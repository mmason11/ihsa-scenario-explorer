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son\Desktop\"/>
    </mc:Choice>
  </mc:AlternateContent>
  <xr:revisionPtr revIDLastSave="0" documentId="8_{71634DBE-34A5-41E6-82E3-D48BB6B117E4}" xr6:coauthVersionLast="47" xr6:coauthVersionMax="47" xr10:uidLastSave="{00000000-0000-0000-0000-000000000000}"/>
  <bookViews>
    <workbookView xWindow="-120" yWindow="-120" windowWidth="29040" windowHeight="15720" xr2:uid="{5E447520-F05E-4760-8573-D657304B939F}"/>
  </bookViews>
  <sheets>
    <sheet name="All" sheetId="4" r:id="rId1"/>
    <sheet name="Flag Football" sheetId="8" state="hidden" r:id="rId2"/>
    <sheet name="All by Sport" sheetId="7" r:id="rId3"/>
    <sheet name="Private by Sport" sheetId="6" r:id="rId4"/>
    <sheet name="Public v Private" sheetId="5" state="hidden" r:id="rId5"/>
    <sheet name="Fall" sheetId="3" state="hidden" r:id="rId6"/>
    <sheet name="Winter" sheetId="2" state="hidden" r:id="rId7"/>
    <sheet name="Spring" sheetId="1" state="hidden" r:id="rId8"/>
  </sheets>
  <definedNames>
    <definedName name="_xlnm._FilterDatabase" localSheetId="0" hidden="1">All!$A$1:$AC$782</definedName>
    <definedName name="_xlnm._FilterDatabase" localSheetId="5" hidden="1">Fall!$A$1:$J$770</definedName>
    <definedName name="_xlnm._FilterDatabase" localSheetId="7" hidden="1">Spring!$A$1:$I$759</definedName>
    <definedName name="_xlnm._FilterDatabase" localSheetId="6" hidden="1">Winter!$A$1:$I$791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" i="7" l="1"/>
  <c r="K19" i="7"/>
  <c r="L19" i="7"/>
  <c r="M19" i="7"/>
  <c r="F19" i="7"/>
  <c r="G19" i="7"/>
  <c r="H19" i="7"/>
  <c r="I19" i="7"/>
  <c r="O12" i="6"/>
  <c r="O13" i="6"/>
  <c r="O14" i="6"/>
  <c r="O15" i="6"/>
  <c r="O16" i="6"/>
  <c r="O17" i="6"/>
  <c r="O11" i="6"/>
  <c r="M11" i="6"/>
  <c r="O6" i="6"/>
  <c r="O5" i="6"/>
  <c r="O4" i="6"/>
  <c r="O3" i="6"/>
  <c r="M3" i="6"/>
  <c r="O11" i="7"/>
  <c r="O12" i="7"/>
  <c r="O13" i="7"/>
  <c r="O14" i="7"/>
  <c r="O15" i="7"/>
  <c r="O16" i="7"/>
  <c r="O17" i="7"/>
  <c r="O10" i="7"/>
  <c r="M10" i="7"/>
  <c r="L10" i="7"/>
  <c r="K10" i="7"/>
  <c r="I10" i="7"/>
  <c r="H10" i="7"/>
  <c r="G10" i="7"/>
  <c r="F10" i="7"/>
  <c r="D10" i="7"/>
  <c r="C10" i="7"/>
  <c r="M11" i="7"/>
  <c r="O3" i="7"/>
  <c r="O6" i="7"/>
  <c r="O5" i="7"/>
  <c r="O4" i="7"/>
  <c r="K3" i="7"/>
  <c r="AD3" i="4"/>
  <c r="AE3" i="4" s="1"/>
  <c r="AD4" i="4"/>
  <c r="AE4" i="4" s="1"/>
  <c r="AD5" i="4"/>
  <c r="AE5" i="4" s="1"/>
  <c r="AD6" i="4"/>
  <c r="AE6" i="4" s="1"/>
  <c r="AD7" i="4"/>
  <c r="AE7" i="4" s="1"/>
  <c r="AD8" i="4"/>
  <c r="AE8" i="4" s="1"/>
  <c r="AD9" i="4"/>
  <c r="AE9" i="4" s="1"/>
  <c r="AD10" i="4"/>
  <c r="AE10" i="4" s="1"/>
  <c r="AD11" i="4"/>
  <c r="AE11" i="4" s="1"/>
  <c r="AD12" i="4"/>
  <c r="AE12" i="4" s="1"/>
  <c r="AD13" i="4"/>
  <c r="AE13" i="4" s="1"/>
  <c r="AD14" i="4"/>
  <c r="AE14" i="4" s="1"/>
  <c r="AD15" i="4"/>
  <c r="AE15" i="4" s="1"/>
  <c r="AD16" i="4"/>
  <c r="AE16" i="4" s="1"/>
  <c r="AD17" i="4"/>
  <c r="AE17" i="4" s="1"/>
  <c r="AD18" i="4"/>
  <c r="AE18" i="4" s="1"/>
  <c r="AD19" i="4"/>
  <c r="AE19" i="4" s="1"/>
  <c r="AD20" i="4"/>
  <c r="AE20" i="4" s="1"/>
  <c r="AD21" i="4"/>
  <c r="AE21" i="4" s="1"/>
  <c r="AD22" i="4"/>
  <c r="AE22" i="4" s="1"/>
  <c r="AD23" i="4"/>
  <c r="AE23" i="4" s="1"/>
  <c r="AD24" i="4"/>
  <c r="AE24" i="4" s="1"/>
  <c r="AD25" i="4"/>
  <c r="AE25" i="4" s="1"/>
  <c r="AD26" i="4"/>
  <c r="AE26" i="4" s="1"/>
  <c r="AD27" i="4"/>
  <c r="AE27" i="4" s="1"/>
  <c r="AD28" i="4"/>
  <c r="AE28" i="4" s="1"/>
  <c r="AD29" i="4"/>
  <c r="AE29" i="4" s="1"/>
  <c r="AD30" i="4"/>
  <c r="AE30" i="4" s="1"/>
  <c r="AD31" i="4"/>
  <c r="AE31" i="4" s="1"/>
  <c r="AD32" i="4"/>
  <c r="AE32" i="4" s="1"/>
  <c r="AD33" i="4"/>
  <c r="AE33" i="4" s="1"/>
  <c r="AD34" i="4"/>
  <c r="AE34" i="4" s="1"/>
  <c r="AD35" i="4"/>
  <c r="AE35" i="4" s="1"/>
  <c r="AD36" i="4"/>
  <c r="AE36" i="4" s="1"/>
  <c r="AD37" i="4"/>
  <c r="AE37" i="4" s="1"/>
  <c r="AD38" i="4"/>
  <c r="AE38" i="4" s="1"/>
  <c r="AD39" i="4"/>
  <c r="AE39" i="4" s="1"/>
  <c r="AD40" i="4"/>
  <c r="AE40" i="4" s="1"/>
  <c r="AD41" i="4"/>
  <c r="AE41" i="4" s="1"/>
  <c r="AD42" i="4"/>
  <c r="AE42" i="4" s="1"/>
  <c r="AD43" i="4"/>
  <c r="AE43" i="4" s="1"/>
  <c r="AD44" i="4"/>
  <c r="AE44" i="4" s="1"/>
  <c r="AD45" i="4"/>
  <c r="AE45" i="4" s="1"/>
  <c r="AD46" i="4"/>
  <c r="AE46" i="4" s="1"/>
  <c r="AD47" i="4"/>
  <c r="AE47" i="4" s="1"/>
  <c r="AD48" i="4"/>
  <c r="AE48" i="4" s="1"/>
  <c r="AD49" i="4"/>
  <c r="AE49" i="4" s="1"/>
  <c r="AD50" i="4"/>
  <c r="AE50" i="4" s="1"/>
  <c r="AD51" i="4"/>
  <c r="AE51" i="4" s="1"/>
  <c r="AD52" i="4"/>
  <c r="AE52" i="4" s="1"/>
  <c r="AD53" i="4"/>
  <c r="AE53" i="4" s="1"/>
  <c r="AD54" i="4"/>
  <c r="AE54" i="4" s="1"/>
  <c r="AD55" i="4"/>
  <c r="AE55" i="4" s="1"/>
  <c r="AD56" i="4"/>
  <c r="AE56" i="4" s="1"/>
  <c r="AD57" i="4"/>
  <c r="AE57" i="4" s="1"/>
  <c r="AD58" i="4"/>
  <c r="AE58" i="4" s="1"/>
  <c r="AD59" i="4"/>
  <c r="AE59" i="4" s="1"/>
  <c r="AD60" i="4"/>
  <c r="AE60" i="4" s="1"/>
  <c r="AD61" i="4"/>
  <c r="AE61" i="4" s="1"/>
  <c r="AD62" i="4"/>
  <c r="AE62" i="4" s="1"/>
  <c r="AD63" i="4"/>
  <c r="AE63" i="4" s="1"/>
  <c r="AD64" i="4"/>
  <c r="AE64" i="4" s="1"/>
  <c r="AD65" i="4"/>
  <c r="AE65" i="4" s="1"/>
  <c r="AD66" i="4"/>
  <c r="AE66" i="4" s="1"/>
  <c r="AD67" i="4"/>
  <c r="AE67" i="4" s="1"/>
  <c r="AD68" i="4"/>
  <c r="AE68" i="4" s="1"/>
  <c r="AD69" i="4"/>
  <c r="AE69" i="4" s="1"/>
  <c r="AD70" i="4"/>
  <c r="AE70" i="4" s="1"/>
  <c r="AD71" i="4"/>
  <c r="AE71" i="4" s="1"/>
  <c r="AD72" i="4"/>
  <c r="AE72" i="4" s="1"/>
  <c r="AD73" i="4"/>
  <c r="AE73" i="4" s="1"/>
  <c r="AD74" i="4"/>
  <c r="AE74" i="4" s="1"/>
  <c r="AD75" i="4"/>
  <c r="AE75" i="4" s="1"/>
  <c r="AD76" i="4"/>
  <c r="AE76" i="4" s="1"/>
  <c r="AD77" i="4"/>
  <c r="AE77" i="4" s="1"/>
  <c r="AD78" i="4"/>
  <c r="AE78" i="4" s="1"/>
  <c r="AD79" i="4"/>
  <c r="AE79" i="4" s="1"/>
  <c r="AD80" i="4"/>
  <c r="AE80" i="4" s="1"/>
  <c r="AD81" i="4"/>
  <c r="AE81" i="4" s="1"/>
  <c r="AD82" i="4"/>
  <c r="AE82" i="4" s="1"/>
  <c r="AD83" i="4"/>
  <c r="AE83" i="4" s="1"/>
  <c r="AD84" i="4"/>
  <c r="AE84" i="4" s="1"/>
  <c r="AD85" i="4"/>
  <c r="AE85" i="4" s="1"/>
  <c r="AD86" i="4"/>
  <c r="AE86" i="4" s="1"/>
  <c r="AD87" i="4"/>
  <c r="AE87" i="4" s="1"/>
  <c r="AD88" i="4"/>
  <c r="AE88" i="4" s="1"/>
  <c r="AD89" i="4"/>
  <c r="AE89" i="4" s="1"/>
  <c r="AD90" i="4"/>
  <c r="AE90" i="4" s="1"/>
  <c r="AD91" i="4"/>
  <c r="AE91" i="4" s="1"/>
  <c r="AD92" i="4"/>
  <c r="AE92" i="4" s="1"/>
  <c r="AD93" i="4"/>
  <c r="AE93" i="4" s="1"/>
  <c r="AD94" i="4"/>
  <c r="AE94" i="4" s="1"/>
  <c r="AD95" i="4"/>
  <c r="AE95" i="4" s="1"/>
  <c r="AD96" i="4"/>
  <c r="AE96" i="4" s="1"/>
  <c r="AD97" i="4"/>
  <c r="AE97" i="4" s="1"/>
  <c r="AD98" i="4"/>
  <c r="AE98" i="4" s="1"/>
  <c r="AD99" i="4"/>
  <c r="AE99" i="4" s="1"/>
  <c r="AD100" i="4"/>
  <c r="AE100" i="4" s="1"/>
  <c r="AD101" i="4"/>
  <c r="AE101" i="4" s="1"/>
  <c r="AD102" i="4"/>
  <c r="AE102" i="4" s="1"/>
  <c r="AD103" i="4"/>
  <c r="AE103" i="4" s="1"/>
  <c r="AD104" i="4"/>
  <c r="AE104" i="4" s="1"/>
  <c r="AD105" i="4"/>
  <c r="AE105" i="4" s="1"/>
  <c r="AD106" i="4"/>
  <c r="AE106" i="4" s="1"/>
  <c r="AD107" i="4"/>
  <c r="AE107" i="4" s="1"/>
  <c r="AD108" i="4"/>
  <c r="AE108" i="4" s="1"/>
  <c r="AD109" i="4"/>
  <c r="AE109" i="4" s="1"/>
  <c r="AD110" i="4"/>
  <c r="AE110" i="4" s="1"/>
  <c r="AD111" i="4"/>
  <c r="AE111" i="4" s="1"/>
  <c r="AD112" i="4"/>
  <c r="AE112" i="4" s="1"/>
  <c r="AD113" i="4"/>
  <c r="AE113" i="4" s="1"/>
  <c r="AD114" i="4"/>
  <c r="AE114" i="4" s="1"/>
  <c r="AD115" i="4"/>
  <c r="AE115" i="4" s="1"/>
  <c r="AD116" i="4"/>
  <c r="AE116" i="4" s="1"/>
  <c r="AD117" i="4"/>
  <c r="AE117" i="4" s="1"/>
  <c r="AD118" i="4"/>
  <c r="AE118" i="4" s="1"/>
  <c r="AD119" i="4"/>
  <c r="AE119" i="4" s="1"/>
  <c r="AD120" i="4"/>
  <c r="AE120" i="4" s="1"/>
  <c r="AD121" i="4"/>
  <c r="AE121" i="4" s="1"/>
  <c r="AD122" i="4"/>
  <c r="AE122" i="4" s="1"/>
  <c r="AD123" i="4"/>
  <c r="AE123" i="4" s="1"/>
  <c r="AD124" i="4"/>
  <c r="AE124" i="4" s="1"/>
  <c r="AD125" i="4"/>
  <c r="AE125" i="4" s="1"/>
  <c r="AD126" i="4"/>
  <c r="AE126" i="4" s="1"/>
  <c r="AD127" i="4"/>
  <c r="AE127" i="4" s="1"/>
  <c r="AD128" i="4"/>
  <c r="AE128" i="4" s="1"/>
  <c r="AD129" i="4"/>
  <c r="AE129" i="4" s="1"/>
  <c r="AD130" i="4"/>
  <c r="AE130" i="4" s="1"/>
  <c r="AD131" i="4"/>
  <c r="AE131" i="4" s="1"/>
  <c r="AD132" i="4"/>
  <c r="AE132" i="4" s="1"/>
  <c r="AD133" i="4"/>
  <c r="AE133" i="4" s="1"/>
  <c r="AD134" i="4"/>
  <c r="AE134" i="4" s="1"/>
  <c r="AD135" i="4"/>
  <c r="AE135" i="4" s="1"/>
  <c r="AD136" i="4"/>
  <c r="AE136" i="4" s="1"/>
  <c r="AD137" i="4"/>
  <c r="AE137" i="4" s="1"/>
  <c r="AD138" i="4"/>
  <c r="AE138" i="4" s="1"/>
  <c r="AD139" i="4"/>
  <c r="AE139" i="4" s="1"/>
  <c r="AD140" i="4"/>
  <c r="AE140" i="4" s="1"/>
  <c r="AD141" i="4"/>
  <c r="AE141" i="4" s="1"/>
  <c r="AD142" i="4"/>
  <c r="AE142" i="4" s="1"/>
  <c r="AD143" i="4"/>
  <c r="AE143" i="4" s="1"/>
  <c r="AD144" i="4"/>
  <c r="AE144" i="4" s="1"/>
  <c r="AD145" i="4"/>
  <c r="AE145" i="4" s="1"/>
  <c r="AD146" i="4"/>
  <c r="AE146" i="4" s="1"/>
  <c r="AD147" i="4"/>
  <c r="AE147" i="4" s="1"/>
  <c r="AD148" i="4"/>
  <c r="AE148" i="4" s="1"/>
  <c r="AD149" i="4"/>
  <c r="AE149" i="4" s="1"/>
  <c r="AD150" i="4"/>
  <c r="AE150" i="4" s="1"/>
  <c r="AD151" i="4"/>
  <c r="AE151" i="4" s="1"/>
  <c r="AD152" i="4"/>
  <c r="AE152" i="4" s="1"/>
  <c r="AD153" i="4"/>
  <c r="AE153" i="4" s="1"/>
  <c r="AD154" i="4"/>
  <c r="AE154" i="4" s="1"/>
  <c r="AD155" i="4"/>
  <c r="AE155" i="4" s="1"/>
  <c r="AD156" i="4"/>
  <c r="AE156" i="4" s="1"/>
  <c r="AD157" i="4"/>
  <c r="AE157" i="4" s="1"/>
  <c r="AD158" i="4"/>
  <c r="AE158" i="4" s="1"/>
  <c r="AD159" i="4"/>
  <c r="AE159" i="4" s="1"/>
  <c r="AD160" i="4"/>
  <c r="AE160" i="4" s="1"/>
  <c r="AD161" i="4"/>
  <c r="AE161" i="4" s="1"/>
  <c r="AD162" i="4"/>
  <c r="AE162" i="4" s="1"/>
  <c r="AD163" i="4"/>
  <c r="AE163" i="4" s="1"/>
  <c r="AD164" i="4"/>
  <c r="AE164" i="4" s="1"/>
  <c r="AD165" i="4"/>
  <c r="AE165" i="4" s="1"/>
  <c r="AD166" i="4"/>
  <c r="AE166" i="4" s="1"/>
  <c r="AD167" i="4"/>
  <c r="AE167" i="4" s="1"/>
  <c r="AD168" i="4"/>
  <c r="AE168" i="4" s="1"/>
  <c r="AD169" i="4"/>
  <c r="AE169" i="4" s="1"/>
  <c r="AD170" i="4"/>
  <c r="AE170" i="4" s="1"/>
  <c r="AD171" i="4"/>
  <c r="AE171" i="4" s="1"/>
  <c r="AD172" i="4"/>
  <c r="AE172" i="4" s="1"/>
  <c r="AD173" i="4"/>
  <c r="AE173" i="4" s="1"/>
  <c r="AD174" i="4"/>
  <c r="AE174" i="4" s="1"/>
  <c r="AD175" i="4"/>
  <c r="AE175" i="4" s="1"/>
  <c r="AD176" i="4"/>
  <c r="AE176" i="4" s="1"/>
  <c r="AD177" i="4"/>
  <c r="AE177" i="4" s="1"/>
  <c r="AD178" i="4"/>
  <c r="AE178" i="4" s="1"/>
  <c r="AD179" i="4"/>
  <c r="AE179" i="4" s="1"/>
  <c r="AD180" i="4"/>
  <c r="AE180" i="4" s="1"/>
  <c r="AD181" i="4"/>
  <c r="AE181" i="4" s="1"/>
  <c r="AD182" i="4"/>
  <c r="AE182" i="4" s="1"/>
  <c r="AD183" i="4"/>
  <c r="AE183" i="4" s="1"/>
  <c r="AD184" i="4"/>
  <c r="AE184" i="4" s="1"/>
  <c r="AD185" i="4"/>
  <c r="AE185" i="4" s="1"/>
  <c r="AD186" i="4"/>
  <c r="AE186" i="4" s="1"/>
  <c r="AD187" i="4"/>
  <c r="AE187" i="4" s="1"/>
  <c r="AD188" i="4"/>
  <c r="AE188" i="4" s="1"/>
  <c r="AD189" i="4"/>
  <c r="AE189" i="4" s="1"/>
  <c r="AD190" i="4"/>
  <c r="AE190" i="4" s="1"/>
  <c r="AD191" i="4"/>
  <c r="AE191" i="4" s="1"/>
  <c r="AD192" i="4"/>
  <c r="AE192" i="4" s="1"/>
  <c r="AD193" i="4"/>
  <c r="AE193" i="4" s="1"/>
  <c r="AD194" i="4"/>
  <c r="AE194" i="4" s="1"/>
  <c r="AD195" i="4"/>
  <c r="AE195" i="4" s="1"/>
  <c r="AD196" i="4"/>
  <c r="AE196" i="4" s="1"/>
  <c r="AD197" i="4"/>
  <c r="AE197" i="4" s="1"/>
  <c r="AD198" i="4"/>
  <c r="AE198" i="4" s="1"/>
  <c r="AD199" i="4"/>
  <c r="AE199" i="4" s="1"/>
  <c r="AD200" i="4"/>
  <c r="AE200" i="4" s="1"/>
  <c r="AD201" i="4"/>
  <c r="AE201" i="4" s="1"/>
  <c r="AD202" i="4"/>
  <c r="AE202" i="4" s="1"/>
  <c r="AD203" i="4"/>
  <c r="AE203" i="4" s="1"/>
  <c r="AD204" i="4"/>
  <c r="AE204" i="4" s="1"/>
  <c r="AD205" i="4"/>
  <c r="AE205" i="4" s="1"/>
  <c r="AD206" i="4"/>
  <c r="AE206" i="4" s="1"/>
  <c r="AD207" i="4"/>
  <c r="AE207" i="4" s="1"/>
  <c r="AD208" i="4"/>
  <c r="AE208" i="4" s="1"/>
  <c r="AD209" i="4"/>
  <c r="AE209" i="4" s="1"/>
  <c r="AD210" i="4"/>
  <c r="AE210" i="4" s="1"/>
  <c r="AD211" i="4"/>
  <c r="AE211" i="4" s="1"/>
  <c r="AD212" i="4"/>
  <c r="AE212" i="4" s="1"/>
  <c r="AD213" i="4"/>
  <c r="AE213" i="4" s="1"/>
  <c r="AD214" i="4"/>
  <c r="AE214" i="4" s="1"/>
  <c r="AD215" i="4"/>
  <c r="AE215" i="4" s="1"/>
  <c r="AD216" i="4"/>
  <c r="AE216" i="4" s="1"/>
  <c r="AD217" i="4"/>
  <c r="AE217" i="4" s="1"/>
  <c r="AD218" i="4"/>
  <c r="AE218" i="4" s="1"/>
  <c r="AD219" i="4"/>
  <c r="AE219" i="4" s="1"/>
  <c r="AD220" i="4"/>
  <c r="AE220" i="4" s="1"/>
  <c r="AD221" i="4"/>
  <c r="AE221" i="4" s="1"/>
  <c r="AD222" i="4"/>
  <c r="AE222" i="4" s="1"/>
  <c r="AD223" i="4"/>
  <c r="AE223" i="4" s="1"/>
  <c r="AD224" i="4"/>
  <c r="AE224" i="4" s="1"/>
  <c r="AD225" i="4"/>
  <c r="AE225" i="4" s="1"/>
  <c r="AD226" i="4"/>
  <c r="AE226" i="4" s="1"/>
  <c r="AD227" i="4"/>
  <c r="AE227" i="4" s="1"/>
  <c r="AD228" i="4"/>
  <c r="AE228" i="4" s="1"/>
  <c r="AD229" i="4"/>
  <c r="AE229" i="4" s="1"/>
  <c r="AD230" i="4"/>
  <c r="AE230" i="4" s="1"/>
  <c r="AD231" i="4"/>
  <c r="AE231" i="4" s="1"/>
  <c r="AD232" i="4"/>
  <c r="AE232" i="4" s="1"/>
  <c r="AD233" i="4"/>
  <c r="AE233" i="4" s="1"/>
  <c r="AD234" i="4"/>
  <c r="AE234" i="4" s="1"/>
  <c r="AD235" i="4"/>
  <c r="AE235" i="4" s="1"/>
  <c r="AD236" i="4"/>
  <c r="AE236" i="4" s="1"/>
  <c r="AD237" i="4"/>
  <c r="AE237" i="4" s="1"/>
  <c r="AD238" i="4"/>
  <c r="AE238" i="4" s="1"/>
  <c r="AD239" i="4"/>
  <c r="AE239" i="4" s="1"/>
  <c r="AD240" i="4"/>
  <c r="AE240" i="4" s="1"/>
  <c r="AD241" i="4"/>
  <c r="AE241" i="4" s="1"/>
  <c r="AD242" i="4"/>
  <c r="AE242" i="4" s="1"/>
  <c r="AD243" i="4"/>
  <c r="AE243" i="4" s="1"/>
  <c r="AD244" i="4"/>
  <c r="AE244" i="4" s="1"/>
  <c r="AD245" i="4"/>
  <c r="AE245" i="4" s="1"/>
  <c r="AD246" i="4"/>
  <c r="AE246" i="4" s="1"/>
  <c r="AD247" i="4"/>
  <c r="AE247" i="4" s="1"/>
  <c r="AD248" i="4"/>
  <c r="AE248" i="4" s="1"/>
  <c r="AD249" i="4"/>
  <c r="AE249" i="4" s="1"/>
  <c r="AD250" i="4"/>
  <c r="AE250" i="4" s="1"/>
  <c r="AD251" i="4"/>
  <c r="AE251" i="4" s="1"/>
  <c r="AD252" i="4"/>
  <c r="AE252" i="4" s="1"/>
  <c r="AD253" i="4"/>
  <c r="AE253" i="4" s="1"/>
  <c r="AD254" i="4"/>
  <c r="AE254" i="4" s="1"/>
  <c r="AD255" i="4"/>
  <c r="AE255" i="4" s="1"/>
  <c r="AD256" i="4"/>
  <c r="AE256" i="4" s="1"/>
  <c r="AD257" i="4"/>
  <c r="AE257" i="4" s="1"/>
  <c r="AD258" i="4"/>
  <c r="AE258" i="4" s="1"/>
  <c r="AD259" i="4"/>
  <c r="AE259" i="4" s="1"/>
  <c r="AD260" i="4"/>
  <c r="AE260" i="4" s="1"/>
  <c r="AD261" i="4"/>
  <c r="AE261" i="4" s="1"/>
  <c r="AD262" i="4"/>
  <c r="AE262" i="4" s="1"/>
  <c r="AD263" i="4"/>
  <c r="AE263" i="4" s="1"/>
  <c r="AD264" i="4"/>
  <c r="AE264" i="4" s="1"/>
  <c r="AD265" i="4"/>
  <c r="AE265" i="4" s="1"/>
  <c r="AD266" i="4"/>
  <c r="AE266" i="4" s="1"/>
  <c r="AD267" i="4"/>
  <c r="AE267" i="4" s="1"/>
  <c r="AD268" i="4"/>
  <c r="AE268" i="4" s="1"/>
  <c r="AD269" i="4"/>
  <c r="AE269" i="4" s="1"/>
  <c r="AD270" i="4"/>
  <c r="AE270" i="4" s="1"/>
  <c r="AD271" i="4"/>
  <c r="AE271" i="4" s="1"/>
  <c r="AD272" i="4"/>
  <c r="AE272" i="4" s="1"/>
  <c r="AD273" i="4"/>
  <c r="AE273" i="4" s="1"/>
  <c r="AD274" i="4"/>
  <c r="AE274" i="4" s="1"/>
  <c r="AD275" i="4"/>
  <c r="AE275" i="4" s="1"/>
  <c r="AD276" i="4"/>
  <c r="AE276" i="4" s="1"/>
  <c r="AD277" i="4"/>
  <c r="AE277" i="4" s="1"/>
  <c r="AD278" i="4"/>
  <c r="AE278" i="4" s="1"/>
  <c r="AD279" i="4"/>
  <c r="AE279" i="4" s="1"/>
  <c r="AD280" i="4"/>
  <c r="AE280" i="4" s="1"/>
  <c r="AD281" i="4"/>
  <c r="AE281" i="4" s="1"/>
  <c r="AD282" i="4"/>
  <c r="AE282" i="4" s="1"/>
  <c r="AD283" i="4"/>
  <c r="AE283" i="4" s="1"/>
  <c r="AD284" i="4"/>
  <c r="AE284" i="4" s="1"/>
  <c r="AD285" i="4"/>
  <c r="AE285" i="4" s="1"/>
  <c r="AD286" i="4"/>
  <c r="AE286" i="4" s="1"/>
  <c r="AD287" i="4"/>
  <c r="AE287" i="4" s="1"/>
  <c r="AD288" i="4"/>
  <c r="AE288" i="4" s="1"/>
  <c r="AD289" i="4"/>
  <c r="AE289" i="4" s="1"/>
  <c r="AD290" i="4"/>
  <c r="AE290" i="4" s="1"/>
  <c r="AD291" i="4"/>
  <c r="AE291" i="4" s="1"/>
  <c r="AD292" i="4"/>
  <c r="AE292" i="4" s="1"/>
  <c r="AD293" i="4"/>
  <c r="AE293" i="4" s="1"/>
  <c r="AD294" i="4"/>
  <c r="AE294" i="4" s="1"/>
  <c r="AD295" i="4"/>
  <c r="AE295" i="4" s="1"/>
  <c r="AD296" i="4"/>
  <c r="AE296" i="4" s="1"/>
  <c r="AD297" i="4"/>
  <c r="AE297" i="4" s="1"/>
  <c r="AD298" i="4"/>
  <c r="AE298" i="4" s="1"/>
  <c r="AD299" i="4"/>
  <c r="AE299" i="4" s="1"/>
  <c r="AD300" i="4"/>
  <c r="AE300" i="4" s="1"/>
  <c r="AD301" i="4"/>
  <c r="AE301" i="4" s="1"/>
  <c r="AD302" i="4"/>
  <c r="AE302" i="4" s="1"/>
  <c r="AD303" i="4"/>
  <c r="AE303" i="4" s="1"/>
  <c r="AD304" i="4"/>
  <c r="AE304" i="4" s="1"/>
  <c r="AD305" i="4"/>
  <c r="AE305" i="4" s="1"/>
  <c r="AD306" i="4"/>
  <c r="AE306" i="4" s="1"/>
  <c r="AD307" i="4"/>
  <c r="AE307" i="4" s="1"/>
  <c r="AD308" i="4"/>
  <c r="AE308" i="4" s="1"/>
  <c r="AD309" i="4"/>
  <c r="AE309" i="4" s="1"/>
  <c r="AD310" i="4"/>
  <c r="AE310" i="4" s="1"/>
  <c r="AD311" i="4"/>
  <c r="AE311" i="4" s="1"/>
  <c r="AD312" i="4"/>
  <c r="AE312" i="4" s="1"/>
  <c r="AD313" i="4"/>
  <c r="AE313" i="4" s="1"/>
  <c r="AD314" i="4"/>
  <c r="AE314" i="4" s="1"/>
  <c r="AD315" i="4"/>
  <c r="AE315" i="4" s="1"/>
  <c r="AD316" i="4"/>
  <c r="AE316" i="4" s="1"/>
  <c r="AD317" i="4"/>
  <c r="AE317" i="4" s="1"/>
  <c r="AD318" i="4"/>
  <c r="AE318" i="4" s="1"/>
  <c r="AD319" i="4"/>
  <c r="AE319" i="4" s="1"/>
  <c r="AD320" i="4"/>
  <c r="AE320" i="4" s="1"/>
  <c r="AD321" i="4"/>
  <c r="AE321" i="4" s="1"/>
  <c r="AD322" i="4"/>
  <c r="AE322" i="4" s="1"/>
  <c r="AD323" i="4"/>
  <c r="AE323" i="4" s="1"/>
  <c r="AD324" i="4"/>
  <c r="AE324" i="4" s="1"/>
  <c r="AD325" i="4"/>
  <c r="AE325" i="4" s="1"/>
  <c r="AD326" i="4"/>
  <c r="AE326" i="4" s="1"/>
  <c r="AD327" i="4"/>
  <c r="AE327" i="4" s="1"/>
  <c r="AD328" i="4"/>
  <c r="AE328" i="4" s="1"/>
  <c r="AD329" i="4"/>
  <c r="AE329" i="4" s="1"/>
  <c r="AD330" i="4"/>
  <c r="AE330" i="4" s="1"/>
  <c r="AD331" i="4"/>
  <c r="AE331" i="4" s="1"/>
  <c r="AD332" i="4"/>
  <c r="AE332" i="4" s="1"/>
  <c r="AD333" i="4"/>
  <c r="AE333" i="4" s="1"/>
  <c r="AD334" i="4"/>
  <c r="AE334" i="4" s="1"/>
  <c r="AD335" i="4"/>
  <c r="AE335" i="4" s="1"/>
  <c r="AD336" i="4"/>
  <c r="AE336" i="4" s="1"/>
  <c r="AD337" i="4"/>
  <c r="AE337" i="4" s="1"/>
  <c r="AD338" i="4"/>
  <c r="AE338" i="4" s="1"/>
  <c r="AD339" i="4"/>
  <c r="AE339" i="4" s="1"/>
  <c r="AD340" i="4"/>
  <c r="AE340" i="4" s="1"/>
  <c r="AD341" i="4"/>
  <c r="AE341" i="4" s="1"/>
  <c r="AD342" i="4"/>
  <c r="AE342" i="4" s="1"/>
  <c r="AD343" i="4"/>
  <c r="AE343" i="4" s="1"/>
  <c r="AD344" i="4"/>
  <c r="AE344" i="4" s="1"/>
  <c r="AD345" i="4"/>
  <c r="AE345" i="4" s="1"/>
  <c r="AD346" i="4"/>
  <c r="AE346" i="4" s="1"/>
  <c r="AD347" i="4"/>
  <c r="AE347" i="4" s="1"/>
  <c r="AD348" i="4"/>
  <c r="AE348" i="4" s="1"/>
  <c r="AD349" i="4"/>
  <c r="AE349" i="4" s="1"/>
  <c r="AD350" i="4"/>
  <c r="AE350" i="4" s="1"/>
  <c r="AD351" i="4"/>
  <c r="AE351" i="4" s="1"/>
  <c r="AD352" i="4"/>
  <c r="AE352" i="4" s="1"/>
  <c r="AD353" i="4"/>
  <c r="AE353" i="4" s="1"/>
  <c r="AD354" i="4"/>
  <c r="AE354" i="4" s="1"/>
  <c r="AD355" i="4"/>
  <c r="AE355" i="4" s="1"/>
  <c r="AD356" i="4"/>
  <c r="AE356" i="4" s="1"/>
  <c r="AD357" i="4"/>
  <c r="AE357" i="4" s="1"/>
  <c r="AD358" i="4"/>
  <c r="AE358" i="4" s="1"/>
  <c r="AD359" i="4"/>
  <c r="AE359" i="4" s="1"/>
  <c r="AD360" i="4"/>
  <c r="AE360" i="4" s="1"/>
  <c r="AD361" i="4"/>
  <c r="AE361" i="4" s="1"/>
  <c r="AD362" i="4"/>
  <c r="AE362" i="4" s="1"/>
  <c r="AD363" i="4"/>
  <c r="AE363" i="4" s="1"/>
  <c r="AD364" i="4"/>
  <c r="AE364" i="4" s="1"/>
  <c r="AD365" i="4"/>
  <c r="AE365" i="4" s="1"/>
  <c r="AD366" i="4"/>
  <c r="AE366" i="4" s="1"/>
  <c r="AD367" i="4"/>
  <c r="AE367" i="4" s="1"/>
  <c r="AD368" i="4"/>
  <c r="AE368" i="4" s="1"/>
  <c r="AD369" i="4"/>
  <c r="AE369" i="4" s="1"/>
  <c r="AD370" i="4"/>
  <c r="AE370" i="4" s="1"/>
  <c r="AD371" i="4"/>
  <c r="AE371" i="4" s="1"/>
  <c r="AD372" i="4"/>
  <c r="AE372" i="4" s="1"/>
  <c r="AD373" i="4"/>
  <c r="AE373" i="4" s="1"/>
  <c r="AD374" i="4"/>
  <c r="AE374" i="4" s="1"/>
  <c r="AD375" i="4"/>
  <c r="AE375" i="4" s="1"/>
  <c r="AD376" i="4"/>
  <c r="AE376" i="4" s="1"/>
  <c r="AD377" i="4"/>
  <c r="AE377" i="4" s="1"/>
  <c r="AD378" i="4"/>
  <c r="AE378" i="4" s="1"/>
  <c r="AD379" i="4"/>
  <c r="AE379" i="4" s="1"/>
  <c r="AD380" i="4"/>
  <c r="AE380" i="4" s="1"/>
  <c r="AD381" i="4"/>
  <c r="AE381" i="4" s="1"/>
  <c r="AD382" i="4"/>
  <c r="AE382" i="4" s="1"/>
  <c r="AD383" i="4"/>
  <c r="AE383" i="4" s="1"/>
  <c r="AD384" i="4"/>
  <c r="AE384" i="4" s="1"/>
  <c r="AD385" i="4"/>
  <c r="AE385" i="4" s="1"/>
  <c r="AD386" i="4"/>
  <c r="AE386" i="4" s="1"/>
  <c r="AD387" i="4"/>
  <c r="AE387" i="4" s="1"/>
  <c r="AD388" i="4"/>
  <c r="AE388" i="4" s="1"/>
  <c r="AD389" i="4"/>
  <c r="AE389" i="4" s="1"/>
  <c r="AD390" i="4"/>
  <c r="AE390" i="4" s="1"/>
  <c r="AD391" i="4"/>
  <c r="AE391" i="4" s="1"/>
  <c r="AD392" i="4"/>
  <c r="AE392" i="4" s="1"/>
  <c r="AD393" i="4"/>
  <c r="AE393" i="4" s="1"/>
  <c r="AD394" i="4"/>
  <c r="AE394" i="4" s="1"/>
  <c r="AD395" i="4"/>
  <c r="AE395" i="4" s="1"/>
  <c r="AD396" i="4"/>
  <c r="AE396" i="4" s="1"/>
  <c r="AD397" i="4"/>
  <c r="AE397" i="4" s="1"/>
  <c r="AD398" i="4"/>
  <c r="AE398" i="4" s="1"/>
  <c r="AD399" i="4"/>
  <c r="AE399" i="4" s="1"/>
  <c r="AD400" i="4"/>
  <c r="AE400" i="4" s="1"/>
  <c r="AD401" i="4"/>
  <c r="AE401" i="4" s="1"/>
  <c r="AD402" i="4"/>
  <c r="AE402" i="4" s="1"/>
  <c r="AD403" i="4"/>
  <c r="AE403" i="4" s="1"/>
  <c r="AD404" i="4"/>
  <c r="AE404" i="4" s="1"/>
  <c r="AD405" i="4"/>
  <c r="AE405" i="4" s="1"/>
  <c r="AD406" i="4"/>
  <c r="AE406" i="4" s="1"/>
  <c r="AD407" i="4"/>
  <c r="AE407" i="4" s="1"/>
  <c r="AD408" i="4"/>
  <c r="AE408" i="4" s="1"/>
  <c r="AD409" i="4"/>
  <c r="AE409" i="4" s="1"/>
  <c r="AD410" i="4"/>
  <c r="AE410" i="4" s="1"/>
  <c r="AD411" i="4"/>
  <c r="AE411" i="4" s="1"/>
  <c r="AD412" i="4"/>
  <c r="AE412" i="4" s="1"/>
  <c r="AD413" i="4"/>
  <c r="AE413" i="4" s="1"/>
  <c r="AD414" i="4"/>
  <c r="AE414" i="4" s="1"/>
  <c r="AD415" i="4"/>
  <c r="AE415" i="4" s="1"/>
  <c r="AD416" i="4"/>
  <c r="AE416" i="4" s="1"/>
  <c r="AD417" i="4"/>
  <c r="AE417" i="4" s="1"/>
  <c r="AD418" i="4"/>
  <c r="AE418" i="4" s="1"/>
  <c r="AD419" i="4"/>
  <c r="AE419" i="4" s="1"/>
  <c r="AD420" i="4"/>
  <c r="AE420" i="4" s="1"/>
  <c r="AD421" i="4"/>
  <c r="AE421" i="4" s="1"/>
  <c r="AD422" i="4"/>
  <c r="AE422" i="4" s="1"/>
  <c r="AD423" i="4"/>
  <c r="AE423" i="4" s="1"/>
  <c r="AD424" i="4"/>
  <c r="AE424" i="4" s="1"/>
  <c r="AD425" i="4"/>
  <c r="AE425" i="4" s="1"/>
  <c r="AD426" i="4"/>
  <c r="AE426" i="4" s="1"/>
  <c r="AD427" i="4"/>
  <c r="AE427" i="4" s="1"/>
  <c r="AD428" i="4"/>
  <c r="AE428" i="4" s="1"/>
  <c r="AD429" i="4"/>
  <c r="AE429" i="4" s="1"/>
  <c r="AD430" i="4"/>
  <c r="AE430" i="4" s="1"/>
  <c r="AD431" i="4"/>
  <c r="AE431" i="4" s="1"/>
  <c r="AD432" i="4"/>
  <c r="AE432" i="4" s="1"/>
  <c r="AD433" i="4"/>
  <c r="AE433" i="4" s="1"/>
  <c r="AD434" i="4"/>
  <c r="AE434" i="4" s="1"/>
  <c r="AD435" i="4"/>
  <c r="AE435" i="4" s="1"/>
  <c r="AD436" i="4"/>
  <c r="AE436" i="4" s="1"/>
  <c r="AD437" i="4"/>
  <c r="AE437" i="4" s="1"/>
  <c r="AD438" i="4"/>
  <c r="AE438" i="4" s="1"/>
  <c r="AD439" i="4"/>
  <c r="AE439" i="4" s="1"/>
  <c r="AD440" i="4"/>
  <c r="AE440" i="4" s="1"/>
  <c r="AD441" i="4"/>
  <c r="AE441" i="4" s="1"/>
  <c r="AD442" i="4"/>
  <c r="AE442" i="4" s="1"/>
  <c r="AD443" i="4"/>
  <c r="AE443" i="4" s="1"/>
  <c r="AD444" i="4"/>
  <c r="AE444" i="4" s="1"/>
  <c r="AD445" i="4"/>
  <c r="AE445" i="4" s="1"/>
  <c r="AD446" i="4"/>
  <c r="AE446" i="4" s="1"/>
  <c r="AD447" i="4"/>
  <c r="AE447" i="4" s="1"/>
  <c r="AD448" i="4"/>
  <c r="AE448" i="4" s="1"/>
  <c r="AD449" i="4"/>
  <c r="AE449" i="4" s="1"/>
  <c r="AD450" i="4"/>
  <c r="AE450" i="4" s="1"/>
  <c r="AD451" i="4"/>
  <c r="AE451" i="4" s="1"/>
  <c r="AD452" i="4"/>
  <c r="AE452" i="4" s="1"/>
  <c r="AD453" i="4"/>
  <c r="AE453" i="4" s="1"/>
  <c r="AD454" i="4"/>
  <c r="AE454" i="4" s="1"/>
  <c r="AD455" i="4"/>
  <c r="AE455" i="4" s="1"/>
  <c r="AD456" i="4"/>
  <c r="AE456" i="4" s="1"/>
  <c r="AD457" i="4"/>
  <c r="AE457" i="4" s="1"/>
  <c r="AD458" i="4"/>
  <c r="AE458" i="4" s="1"/>
  <c r="AD459" i="4"/>
  <c r="AE459" i="4" s="1"/>
  <c r="AD460" i="4"/>
  <c r="AE460" i="4" s="1"/>
  <c r="AD461" i="4"/>
  <c r="AE461" i="4" s="1"/>
  <c r="AD462" i="4"/>
  <c r="AE462" i="4" s="1"/>
  <c r="AD463" i="4"/>
  <c r="AE463" i="4" s="1"/>
  <c r="AD464" i="4"/>
  <c r="AE464" i="4" s="1"/>
  <c r="AD465" i="4"/>
  <c r="AE465" i="4" s="1"/>
  <c r="AD466" i="4"/>
  <c r="AE466" i="4" s="1"/>
  <c r="AD467" i="4"/>
  <c r="AE467" i="4" s="1"/>
  <c r="AD468" i="4"/>
  <c r="AE468" i="4" s="1"/>
  <c r="AD469" i="4"/>
  <c r="AE469" i="4" s="1"/>
  <c r="AD470" i="4"/>
  <c r="AE470" i="4" s="1"/>
  <c r="AD471" i="4"/>
  <c r="AE471" i="4" s="1"/>
  <c r="AD472" i="4"/>
  <c r="AE472" i="4" s="1"/>
  <c r="AD473" i="4"/>
  <c r="AE473" i="4" s="1"/>
  <c r="AD474" i="4"/>
  <c r="AE474" i="4" s="1"/>
  <c r="AD475" i="4"/>
  <c r="AE475" i="4" s="1"/>
  <c r="AD476" i="4"/>
  <c r="AE476" i="4" s="1"/>
  <c r="AD477" i="4"/>
  <c r="AE477" i="4" s="1"/>
  <c r="AD478" i="4"/>
  <c r="AE478" i="4" s="1"/>
  <c r="AD479" i="4"/>
  <c r="AE479" i="4" s="1"/>
  <c r="AD480" i="4"/>
  <c r="AE480" i="4" s="1"/>
  <c r="AD481" i="4"/>
  <c r="AE481" i="4" s="1"/>
  <c r="AD482" i="4"/>
  <c r="AE482" i="4" s="1"/>
  <c r="AD483" i="4"/>
  <c r="AE483" i="4" s="1"/>
  <c r="AD484" i="4"/>
  <c r="AE484" i="4" s="1"/>
  <c r="AD485" i="4"/>
  <c r="AE485" i="4" s="1"/>
  <c r="AD486" i="4"/>
  <c r="AE486" i="4" s="1"/>
  <c r="AD487" i="4"/>
  <c r="AE487" i="4" s="1"/>
  <c r="AD488" i="4"/>
  <c r="AE488" i="4" s="1"/>
  <c r="AD489" i="4"/>
  <c r="AE489" i="4" s="1"/>
  <c r="AD490" i="4"/>
  <c r="AE490" i="4" s="1"/>
  <c r="AD491" i="4"/>
  <c r="AE491" i="4" s="1"/>
  <c r="AD492" i="4"/>
  <c r="AE492" i="4" s="1"/>
  <c r="AD493" i="4"/>
  <c r="AE493" i="4" s="1"/>
  <c r="AD494" i="4"/>
  <c r="AE494" i="4" s="1"/>
  <c r="AD495" i="4"/>
  <c r="AE495" i="4" s="1"/>
  <c r="AD496" i="4"/>
  <c r="AE496" i="4" s="1"/>
  <c r="AD497" i="4"/>
  <c r="AE497" i="4" s="1"/>
  <c r="AD498" i="4"/>
  <c r="AE498" i="4" s="1"/>
  <c r="AD499" i="4"/>
  <c r="AE499" i="4" s="1"/>
  <c r="AD500" i="4"/>
  <c r="AE500" i="4" s="1"/>
  <c r="AD501" i="4"/>
  <c r="AE501" i="4" s="1"/>
  <c r="AD502" i="4"/>
  <c r="AE502" i="4" s="1"/>
  <c r="AD503" i="4"/>
  <c r="AE503" i="4" s="1"/>
  <c r="AD504" i="4"/>
  <c r="AE504" i="4" s="1"/>
  <c r="AD505" i="4"/>
  <c r="AE505" i="4" s="1"/>
  <c r="AD506" i="4"/>
  <c r="AE506" i="4" s="1"/>
  <c r="AD507" i="4"/>
  <c r="AE507" i="4" s="1"/>
  <c r="AD508" i="4"/>
  <c r="AE508" i="4" s="1"/>
  <c r="AD509" i="4"/>
  <c r="AE509" i="4" s="1"/>
  <c r="AD510" i="4"/>
  <c r="AE510" i="4" s="1"/>
  <c r="AD511" i="4"/>
  <c r="AE511" i="4" s="1"/>
  <c r="AD512" i="4"/>
  <c r="AE512" i="4" s="1"/>
  <c r="AD513" i="4"/>
  <c r="AE513" i="4" s="1"/>
  <c r="AD514" i="4"/>
  <c r="AE514" i="4" s="1"/>
  <c r="AD515" i="4"/>
  <c r="AE515" i="4" s="1"/>
  <c r="AD516" i="4"/>
  <c r="AE516" i="4" s="1"/>
  <c r="AD517" i="4"/>
  <c r="AE517" i="4" s="1"/>
  <c r="AD518" i="4"/>
  <c r="AE518" i="4" s="1"/>
  <c r="AD519" i="4"/>
  <c r="AE519" i="4" s="1"/>
  <c r="AD520" i="4"/>
  <c r="AE520" i="4" s="1"/>
  <c r="AD521" i="4"/>
  <c r="AE521" i="4" s="1"/>
  <c r="AD522" i="4"/>
  <c r="AE522" i="4" s="1"/>
  <c r="AD523" i="4"/>
  <c r="AE523" i="4" s="1"/>
  <c r="AD524" i="4"/>
  <c r="AE524" i="4" s="1"/>
  <c r="AD525" i="4"/>
  <c r="AE525" i="4" s="1"/>
  <c r="AD526" i="4"/>
  <c r="AE526" i="4" s="1"/>
  <c r="AD527" i="4"/>
  <c r="AE527" i="4" s="1"/>
  <c r="AD528" i="4"/>
  <c r="AE528" i="4" s="1"/>
  <c r="AD529" i="4"/>
  <c r="AE529" i="4" s="1"/>
  <c r="AD530" i="4"/>
  <c r="AE530" i="4" s="1"/>
  <c r="AD531" i="4"/>
  <c r="AE531" i="4" s="1"/>
  <c r="AD532" i="4"/>
  <c r="AE532" i="4" s="1"/>
  <c r="AD533" i="4"/>
  <c r="AE533" i="4" s="1"/>
  <c r="AD534" i="4"/>
  <c r="AE534" i="4" s="1"/>
  <c r="AD535" i="4"/>
  <c r="AE535" i="4" s="1"/>
  <c r="AD536" i="4"/>
  <c r="AE536" i="4" s="1"/>
  <c r="AD537" i="4"/>
  <c r="AE537" i="4" s="1"/>
  <c r="AD538" i="4"/>
  <c r="AE538" i="4" s="1"/>
  <c r="AD539" i="4"/>
  <c r="AE539" i="4" s="1"/>
  <c r="AD540" i="4"/>
  <c r="AE540" i="4" s="1"/>
  <c r="AD541" i="4"/>
  <c r="AE541" i="4" s="1"/>
  <c r="AD542" i="4"/>
  <c r="AE542" i="4" s="1"/>
  <c r="AD543" i="4"/>
  <c r="AE543" i="4" s="1"/>
  <c r="AD544" i="4"/>
  <c r="AE544" i="4" s="1"/>
  <c r="AD545" i="4"/>
  <c r="AE545" i="4" s="1"/>
  <c r="AD546" i="4"/>
  <c r="AE546" i="4" s="1"/>
  <c r="AD547" i="4"/>
  <c r="AE547" i="4" s="1"/>
  <c r="AD548" i="4"/>
  <c r="AE548" i="4" s="1"/>
  <c r="AD549" i="4"/>
  <c r="AE549" i="4" s="1"/>
  <c r="AD550" i="4"/>
  <c r="AE550" i="4" s="1"/>
  <c r="AD551" i="4"/>
  <c r="AE551" i="4" s="1"/>
  <c r="AD552" i="4"/>
  <c r="AE552" i="4" s="1"/>
  <c r="AD553" i="4"/>
  <c r="AE553" i="4" s="1"/>
  <c r="AD554" i="4"/>
  <c r="AE554" i="4" s="1"/>
  <c r="AD555" i="4"/>
  <c r="AE555" i="4" s="1"/>
  <c r="AD556" i="4"/>
  <c r="AE556" i="4" s="1"/>
  <c r="AD557" i="4"/>
  <c r="AE557" i="4" s="1"/>
  <c r="AD558" i="4"/>
  <c r="AE558" i="4" s="1"/>
  <c r="AD559" i="4"/>
  <c r="AE559" i="4" s="1"/>
  <c r="AD560" i="4"/>
  <c r="AE560" i="4" s="1"/>
  <c r="AD561" i="4"/>
  <c r="AE561" i="4" s="1"/>
  <c r="AD562" i="4"/>
  <c r="AE562" i="4" s="1"/>
  <c r="AD563" i="4"/>
  <c r="AE563" i="4" s="1"/>
  <c r="AD564" i="4"/>
  <c r="AE564" i="4" s="1"/>
  <c r="AD565" i="4"/>
  <c r="AE565" i="4" s="1"/>
  <c r="AD566" i="4"/>
  <c r="AE566" i="4" s="1"/>
  <c r="AD567" i="4"/>
  <c r="AE567" i="4" s="1"/>
  <c r="AD568" i="4"/>
  <c r="AE568" i="4" s="1"/>
  <c r="AD569" i="4"/>
  <c r="AE569" i="4" s="1"/>
  <c r="AD570" i="4"/>
  <c r="AE570" i="4" s="1"/>
  <c r="AD571" i="4"/>
  <c r="AE571" i="4" s="1"/>
  <c r="AD572" i="4"/>
  <c r="AE572" i="4" s="1"/>
  <c r="AD573" i="4"/>
  <c r="AE573" i="4" s="1"/>
  <c r="AD574" i="4"/>
  <c r="AE574" i="4" s="1"/>
  <c r="AD575" i="4"/>
  <c r="AE575" i="4" s="1"/>
  <c r="AD576" i="4"/>
  <c r="AE576" i="4" s="1"/>
  <c r="AD577" i="4"/>
  <c r="AE577" i="4" s="1"/>
  <c r="AD578" i="4"/>
  <c r="AE578" i="4" s="1"/>
  <c r="AD579" i="4"/>
  <c r="AE579" i="4" s="1"/>
  <c r="AD580" i="4"/>
  <c r="AE580" i="4" s="1"/>
  <c r="AD581" i="4"/>
  <c r="AE581" i="4" s="1"/>
  <c r="AD582" i="4"/>
  <c r="AE582" i="4" s="1"/>
  <c r="AD583" i="4"/>
  <c r="AE583" i="4" s="1"/>
  <c r="AD584" i="4"/>
  <c r="AE584" i="4" s="1"/>
  <c r="AD585" i="4"/>
  <c r="AE585" i="4" s="1"/>
  <c r="AD586" i="4"/>
  <c r="AE586" i="4" s="1"/>
  <c r="AD587" i="4"/>
  <c r="AE587" i="4" s="1"/>
  <c r="AD588" i="4"/>
  <c r="AE588" i="4" s="1"/>
  <c r="AD589" i="4"/>
  <c r="AE589" i="4" s="1"/>
  <c r="AD590" i="4"/>
  <c r="AE590" i="4" s="1"/>
  <c r="AD591" i="4"/>
  <c r="AE591" i="4" s="1"/>
  <c r="AD592" i="4"/>
  <c r="AE592" i="4" s="1"/>
  <c r="AD593" i="4"/>
  <c r="AE593" i="4" s="1"/>
  <c r="AD594" i="4"/>
  <c r="AE594" i="4" s="1"/>
  <c r="AD595" i="4"/>
  <c r="AE595" i="4" s="1"/>
  <c r="AD596" i="4"/>
  <c r="AE596" i="4" s="1"/>
  <c r="AD597" i="4"/>
  <c r="AE597" i="4" s="1"/>
  <c r="AD598" i="4"/>
  <c r="AE598" i="4" s="1"/>
  <c r="AD599" i="4"/>
  <c r="AE599" i="4" s="1"/>
  <c r="AD600" i="4"/>
  <c r="AE600" i="4" s="1"/>
  <c r="AD601" i="4"/>
  <c r="AE601" i="4" s="1"/>
  <c r="AD602" i="4"/>
  <c r="AE602" i="4" s="1"/>
  <c r="AD603" i="4"/>
  <c r="AE603" i="4" s="1"/>
  <c r="AD604" i="4"/>
  <c r="AE604" i="4" s="1"/>
  <c r="AD605" i="4"/>
  <c r="AE605" i="4" s="1"/>
  <c r="AD606" i="4"/>
  <c r="AE606" i="4" s="1"/>
  <c r="AD607" i="4"/>
  <c r="AE607" i="4" s="1"/>
  <c r="AD608" i="4"/>
  <c r="AE608" i="4" s="1"/>
  <c r="AD609" i="4"/>
  <c r="AE609" i="4" s="1"/>
  <c r="AD610" i="4"/>
  <c r="AE610" i="4" s="1"/>
  <c r="AD611" i="4"/>
  <c r="AE611" i="4" s="1"/>
  <c r="AD612" i="4"/>
  <c r="AE612" i="4" s="1"/>
  <c r="AD613" i="4"/>
  <c r="AE613" i="4" s="1"/>
  <c r="AD614" i="4"/>
  <c r="AE614" i="4" s="1"/>
  <c r="AD615" i="4"/>
  <c r="AE615" i="4" s="1"/>
  <c r="AD616" i="4"/>
  <c r="AE616" i="4" s="1"/>
  <c r="AD617" i="4"/>
  <c r="AE617" i="4" s="1"/>
  <c r="AD618" i="4"/>
  <c r="AE618" i="4" s="1"/>
  <c r="AD619" i="4"/>
  <c r="AE619" i="4" s="1"/>
  <c r="AD620" i="4"/>
  <c r="AE620" i="4" s="1"/>
  <c r="AD621" i="4"/>
  <c r="AE621" i="4" s="1"/>
  <c r="AD622" i="4"/>
  <c r="AE622" i="4" s="1"/>
  <c r="AD623" i="4"/>
  <c r="AE623" i="4" s="1"/>
  <c r="AD624" i="4"/>
  <c r="AE624" i="4" s="1"/>
  <c r="AD625" i="4"/>
  <c r="AE625" i="4" s="1"/>
  <c r="AD626" i="4"/>
  <c r="AE626" i="4" s="1"/>
  <c r="AD627" i="4"/>
  <c r="AE627" i="4" s="1"/>
  <c r="AD628" i="4"/>
  <c r="AE628" i="4" s="1"/>
  <c r="AD629" i="4"/>
  <c r="AE629" i="4" s="1"/>
  <c r="AD630" i="4"/>
  <c r="AE630" i="4" s="1"/>
  <c r="AD631" i="4"/>
  <c r="AE631" i="4" s="1"/>
  <c r="AD632" i="4"/>
  <c r="AE632" i="4" s="1"/>
  <c r="AD633" i="4"/>
  <c r="AE633" i="4" s="1"/>
  <c r="AD634" i="4"/>
  <c r="AE634" i="4" s="1"/>
  <c r="AD635" i="4"/>
  <c r="AE635" i="4" s="1"/>
  <c r="AD636" i="4"/>
  <c r="AE636" i="4" s="1"/>
  <c r="AD637" i="4"/>
  <c r="AE637" i="4" s="1"/>
  <c r="AD638" i="4"/>
  <c r="AE638" i="4" s="1"/>
  <c r="AD639" i="4"/>
  <c r="AE639" i="4" s="1"/>
  <c r="AD640" i="4"/>
  <c r="AE640" i="4" s="1"/>
  <c r="AD641" i="4"/>
  <c r="AE641" i="4" s="1"/>
  <c r="AD642" i="4"/>
  <c r="AE642" i="4" s="1"/>
  <c r="AD643" i="4"/>
  <c r="AE643" i="4" s="1"/>
  <c r="AD644" i="4"/>
  <c r="AE644" i="4" s="1"/>
  <c r="AD645" i="4"/>
  <c r="AE645" i="4" s="1"/>
  <c r="AD646" i="4"/>
  <c r="AE646" i="4" s="1"/>
  <c r="AD647" i="4"/>
  <c r="AE647" i="4" s="1"/>
  <c r="AD648" i="4"/>
  <c r="AE648" i="4" s="1"/>
  <c r="AD649" i="4"/>
  <c r="AE649" i="4" s="1"/>
  <c r="AD650" i="4"/>
  <c r="AE650" i="4" s="1"/>
  <c r="AD651" i="4"/>
  <c r="AE651" i="4" s="1"/>
  <c r="AD652" i="4"/>
  <c r="AE652" i="4" s="1"/>
  <c r="AD653" i="4"/>
  <c r="AE653" i="4" s="1"/>
  <c r="AD654" i="4"/>
  <c r="AE654" i="4" s="1"/>
  <c r="AD655" i="4"/>
  <c r="AE655" i="4" s="1"/>
  <c r="AD656" i="4"/>
  <c r="AE656" i="4" s="1"/>
  <c r="AD657" i="4"/>
  <c r="AE657" i="4" s="1"/>
  <c r="AD658" i="4"/>
  <c r="AE658" i="4" s="1"/>
  <c r="AD659" i="4"/>
  <c r="AE659" i="4" s="1"/>
  <c r="AD660" i="4"/>
  <c r="AE660" i="4" s="1"/>
  <c r="AD661" i="4"/>
  <c r="AE661" i="4" s="1"/>
  <c r="AD662" i="4"/>
  <c r="AE662" i="4" s="1"/>
  <c r="AD663" i="4"/>
  <c r="AE663" i="4" s="1"/>
  <c r="AD664" i="4"/>
  <c r="AE664" i="4" s="1"/>
  <c r="AD665" i="4"/>
  <c r="AE665" i="4" s="1"/>
  <c r="AD666" i="4"/>
  <c r="AE666" i="4" s="1"/>
  <c r="AD667" i="4"/>
  <c r="AE667" i="4" s="1"/>
  <c r="AD668" i="4"/>
  <c r="AE668" i="4" s="1"/>
  <c r="AD669" i="4"/>
  <c r="AE669" i="4" s="1"/>
  <c r="AD670" i="4"/>
  <c r="AE670" i="4" s="1"/>
  <c r="AD671" i="4"/>
  <c r="AE671" i="4" s="1"/>
  <c r="AD672" i="4"/>
  <c r="AE672" i="4" s="1"/>
  <c r="AD673" i="4"/>
  <c r="AE673" i="4" s="1"/>
  <c r="AD674" i="4"/>
  <c r="AE674" i="4" s="1"/>
  <c r="AD675" i="4"/>
  <c r="AE675" i="4" s="1"/>
  <c r="AD676" i="4"/>
  <c r="AE676" i="4" s="1"/>
  <c r="AD677" i="4"/>
  <c r="AE677" i="4" s="1"/>
  <c r="AD678" i="4"/>
  <c r="AE678" i="4" s="1"/>
  <c r="AD679" i="4"/>
  <c r="AE679" i="4" s="1"/>
  <c r="AD680" i="4"/>
  <c r="AE680" i="4" s="1"/>
  <c r="AD681" i="4"/>
  <c r="AE681" i="4" s="1"/>
  <c r="AD682" i="4"/>
  <c r="AE682" i="4" s="1"/>
  <c r="AD683" i="4"/>
  <c r="AE683" i="4" s="1"/>
  <c r="AD684" i="4"/>
  <c r="AE684" i="4" s="1"/>
  <c r="AD685" i="4"/>
  <c r="AE685" i="4" s="1"/>
  <c r="AD686" i="4"/>
  <c r="AE686" i="4" s="1"/>
  <c r="AD687" i="4"/>
  <c r="AE687" i="4" s="1"/>
  <c r="AD688" i="4"/>
  <c r="AE688" i="4" s="1"/>
  <c r="AD689" i="4"/>
  <c r="AE689" i="4" s="1"/>
  <c r="AD690" i="4"/>
  <c r="AE690" i="4" s="1"/>
  <c r="AD691" i="4"/>
  <c r="AE691" i="4" s="1"/>
  <c r="AD692" i="4"/>
  <c r="AE692" i="4" s="1"/>
  <c r="AD693" i="4"/>
  <c r="AE693" i="4" s="1"/>
  <c r="AD694" i="4"/>
  <c r="AE694" i="4" s="1"/>
  <c r="AD695" i="4"/>
  <c r="AE695" i="4" s="1"/>
  <c r="AD696" i="4"/>
  <c r="AE696" i="4" s="1"/>
  <c r="AD697" i="4"/>
  <c r="AE697" i="4" s="1"/>
  <c r="AD698" i="4"/>
  <c r="AE698" i="4" s="1"/>
  <c r="AD699" i="4"/>
  <c r="AE699" i="4" s="1"/>
  <c r="AD700" i="4"/>
  <c r="AE700" i="4" s="1"/>
  <c r="AD701" i="4"/>
  <c r="AE701" i="4" s="1"/>
  <c r="AD702" i="4"/>
  <c r="AE702" i="4" s="1"/>
  <c r="AD703" i="4"/>
  <c r="AE703" i="4" s="1"/>
  <c r="AD704" i="4"/>
  <c r="AE704" i="4" s="1"/>
  <c r="AD705" i="4"/>
  <c r="AE705" i="4" s="1"/>
  <c r="AD706" i="4"/>
  <c r="AE706" i="4" s="1"/>
  <c r="AD707" i="4"/>
  <c r="AE707" i="4" s="1"/>
  <c r="AD708" i="4"/>
  <c r="AE708" i="4" s="1"/>
  <c r="AD709" i="4"/>
  <c r="AE709" i="4" s="1"/>
  <c r="AD710" i="4"/>
  <c r="AE710" i="4" s="1"/>
  <c r="AD711" i="4"/>
  <c r="AE711" i="4" s="1"/>
  <c r="AD712" i="4"/>
  <c r="AE712" i="4" s="1"/>
  <c r="AD713" i="4"/>
  <c r="AE713" i="4" s="1"/>
  <c r="AD714" i="4"/>
  <c r="AE714" i="4" s="1"/>
  <c r="AD715" i="4"/>
  <c r="AE715" i="4" s="1"/>
  <c r="AD716" i="4"/>
  <c r="AE716" i="4" s="1"/>
  <c r="AD717" i="4"/>
  <c r="AE717" i="4" s="1"/>
  <c r="AD718" i="4"/>
  <c r="AE718" i="4" s="1"/>
  <c r="AD719" i="4"/>
  <c r="AE719" i="4" s="1"/>
  <c r="AD720" i="4"/>
  <c r="AE720" i="4" s="1"/>
  <c r="AD721" i="4"/>
  <c r="AE721" i="4" s="1"/>
  <c r="AD722" i="4"/>
  <c r="AE722" i="4" s="1"/>
  <c r="AD723" i="4"/>
  <c r="AE723" i="4" s="1"/>
  <c r="AD724" i="4"/>
  <c r="AE724" i="4" s="1"/>
  <c r="AD725" i="4"/>
  <c r="AE725" i="4" s="1"/>
  <c r="AD726" i="4"/>
  <c r="AE726" i="4" s="1"/>
  <c r="AD727" i="4"/>
  <c r="AE727" i="4" s="1"/>
  <c r="AD728" i="4"/>
  <c r="AE728" i="4" s="1"/>
  <c r="AD729" i="4"/>
  <c r="AE729" i="4" s="1"/>
  <c r="AD730" i="4"/>
  <c r="AE730" i="4" s="1"/>
  <c r="AD731" i="4"/>
  <c r="AE731" i="4" s="1"/>
  <c r="AD732" i="4"/>
  <c r="AE732" i="4" s="1"/>
  <c r="AD733" i="4"/>
  <c r="AE733" i="4" s="1"/>
  <c r="AD734" i="4"/>
  <c r="AE734" i="4" s="1"/>
  <c r="AD735" i="4"/>
  <c r="AE735" i="4" s="1"/>
  <c r="AD736" i="4"/>
  <c r="AE736" i="4" s="1"/>
  <c r="AD737" i="4"/>
  <c r="AE737" i="4" s="1"/>
  <c r="AD738" i="4"/>
  <c r="AE738" i="4" s="1"/>
  <c r="AD739" i="4"/>
  <c r="AE739" i="4" s="1"/>
  <c r="AD740" i="4"/>
  <c r="AE740" i="4" s="1"/>
  <c r="AD741" i="4"/>
  <c r="AE741" i="4" s="1"/>
  <c r="AD742" i="4"/>
  <c r="AE742" i="4" s="1"/>
  <c r="AD743" i="4"/>
  <c r="AE743" i="4" s="1"/>
  <c r="AD744" i="4"/>
  <c r="AE744" i="4" s="1"/>
  <c r="AD745" i="4"/>
  <c r="AE745" i="4" s="1"/>
  <c r="AD746" i="4"/>
  <c r="AE746" i="4" s="1"/>
  <c r="AD747" i="4"/>
  <c r="AE747" i="4" s="1"/>
  <c r="AD748" i="4"/>
  <c r="AE748" i="4" s="1"/>
  <c r="AD749" i="4"/>
  <c r="AE749" i="4" s="1"/>
  <c r="AD750" i="4"/>
  <c r="AE750" i="4" s="1"/>
  <c r="AD751" i="4"/>
  <c r="AE751" i="4" s="1"/>
  <c r="AD752" i="4"/>
  <c r="AE752" i="4" s="1"/>
  <c r="AD753" i="4"/>
  <c r="AE753" i="4" s="1"/>
  <c r="AD754" i="4"/>
  <c r="AE754" i="4" s="1"/>
  <c r="AD755" i="4"/>
  <c r="AE755" i="4" s="1"/>
  <c r="AD756" i="4"/>
  <c r="AE756" i="4" s="1"/>
  <c r="AD757" i="4"/>
  <c r="AE757" i="4" s="1"/>
  <c r="AD758" i="4"/>
  <c r="AE758" i="4" s="1"/>
  <c r="AD759" i="4"/>
  <c r="AE759" i="4" s="1"/>
  <c r="AD760" i="4"/>
  <c r="AE760" i="4" s="1"/>
  <c r="AD761" i="4"/>
  <c r="AE761" i="4" s="1"/>
  <c r="AD762" i="4"/>
  <c r="AE762" i="4" s="1"/>
  <c r="AD763" i="4"/>
  <c r="AE763" i="4" s="1"/>
  <c r="AD764" i="4"/>
  <c r="AE764" i="4" s="1"/>
  <c r="AD765" i="4"/>
  <c r="AE765" i="4" s="1"/>
  <c r="AD766" i="4"/>
  <c r="AE766" i="4" s="1"/>
  <c r="AD767" i="4"/>
  <c r="AE767" i="4" s="1"/>
  <c r="AD768" i="4"/>
  <c r="AE768" i="4" s="1"/>
  <c r="AD769" i="4"/>
  <c r="AE769" i="4" s="1"/>
  <c r="AD770" i="4"/>
  <c r="AE770" i="4" s="1"/>
  <c r="AD771" i="4"/>
  <c r="AE771" i="4" s="1"/>
  <c r="AD772" i="4"/>
  <c r="AE772" i="4" s="1"/>
  <c r="AD773" i="4"/>
  <c r="AE773" i="4" s="1"/>
  <c r="AD774" i="4"/>
  <c r="AE774" i="4" s="1"/>
  <c r="AD775" i="4"/>
  <c r="AE775" i="4" s="1"/>
  <c r="AD776" i="4"/>
  <c r="AE776" i="4" s="1"/>
  <c r="AD777" i="4"/>
  <c r="AE777" i="4" s="1"/>
  <c r="AD778" i="4"/>
  <c r="AE778" i="4" s="1"/>
  <c r="AD779" i="4"/>
  <c r="AE779" i="4" s="1"/>
  <c r="AD780" i="4"/>
  <c r="AE780" i="4" s="1"/>
  <c r="AD781" i="4"/>
  <c r="AE781" i="4" s="1"/>
  <c r="AD2" i="4"/>
  <c r="AE2" i="4" s="1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1" i="8"/>
  <c r="B13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/>
  <c r="C73" i="4"/>
  <c r="D73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D99" i="4"/>
  <c r="B100" i="4"/>
  <c r="C100" i="4"/>
  <c r="D100" i="4"/>
  <c r="B101" i="4"/>
  <c r="C101" i="4"/>
  <c r="D101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C107" i="4"/>
  <c r="D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112" i="4"/>
  <c r="C112" i="4"/>
  <c r="D112" i="4"/>
  <c r="B113" i="4"/>
  <c r="C113" i="4"/>
  <c r="D113" i="4"/>
  <c r="B114" i="4"/>
  <c r="C114" i="4"/>
  <c r="D114" i="4"/>
  <c r="B115" i="4"/>
  <c r="C115" i="4"/>
  <c r="D115" i="4"/>
  <c r="B116" i="4"/>
  <c r="C116" i="4"/>
  <c r="D116" i="4"/>
  <c r="B117" i="4"/>
  <c r="C117" i="4"/>
  <c r="D117" i="4"/>
  <c r="B118" i="4"/>
  <c r="C118" i="4"/>
  <c r="D118" i="4"/>
  <c r="B119" i="4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B124" i="4"/>
  <c r="C124" i="4"/>
  <c r="D124" i="4"/>
  <c r="B125" i="4"/>
  <c r="C125" i="4"/>
  <c r="D125" i="4"/>
  <c r="B126" i="4"/>
  <c r="C126" i="4"/>
  <c r="D126" i="4"/>
  <c r="B127" i="4"/>
  <c r="C127" i="4"/>
  <c r="D127" i="4"/>
  <c r="B128" i="4"/>
  <c r="C128" i="4"/>
  <c r="D128" i="4"/>
  <c r="B129" i="4"/>
  <c r="C129" i="4"/>
  <c r="D129" i="4"/>
  <c r="B130" i="4"/>
  <c r="C130" i="4"/>
  <c r="D130" i="4"/>
  <c r="B131" i="4"/>
  <c r="C131" i="4"/>
  <c r="D131" i="4"/>
  <c r="B132" i="4"/>
  <c r="C132" i="4"/>
  <c r="D132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7" i="4"/>
  <c r="B138" i="4"/>
  <c r="C138" i="4"/>
  <c r="D138" i="4"/>
  <c r="B139" i="4"/>
  <c r="C139" i="4"/>
  <c r="D139" i="4"/>
  <c r="B140" i="4"/>
  <c r="C140" i="4"/>
  <c r="D140" i="4"/>
  <c r="B141" i="4"/>
  <c r="C141" i="4"/>
  <c r="D141" i="4"/>
  <c r="B142" i="4"/>
  <c r="C142" i="4"/>
  <c r="D142" i="4"/>
  <c r="B143" i="4"/>
  <c r="C143" i="4"/>
  <c r="D143" i="4"/>
  <c r="B144" i="4"/>
  <c r="C144" i="4"/>
  <c r="D144" i="4"/>
  <c r="B145" i="4"/>
  <c r="C145" i="4"/>
  <c r="D145" i="4"/>
  <c r="B146" i="4"/>
  <c r="B147" i="4"/>
  <c r="C147" i="4"/>
  <c r="D147" i="4"/>
  <c r="B148" i="4"/>
  <c r="C148" i="4"/>
  <c r="D148" i="4"/>
  <c r="B149" i="4"/>
  <c r="C149" i="4"/>
  <c r="D149" i="4"/>
  <c r="B150" i="4"/>
  <c r="C150" i="4"/>
  <c r="D150" i="4"/>
  <c r="B151" i="4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B156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B212" i="4"/>
  <c r="C212" i="4"/>
  <c r="D212" i="4"/>
  <c r="B213" i="4"/>
  <c r="C213" i="4"/>
  <c r="D213" i="4"/>
  <c r="B214" i="4"/>
  <c r="C214" i="4"/>
  <c r="D214" i="4"/>
  <c r="B215" i="4"/>
  <c r="C215" i="4"/>
  <c r="D215" i="4"/>
  <c r="B216" i="4"/>
  <c r="C216" i="4"/>
  <c r="D216" i="4"/>
  <c r="B217" i="4"/>
  <c r="C217" i="4"/>
  <c r="D217" i="4"/>
  <c r="B218" i="4"/>
  <c r="C218" i="4"/>
  <c r="D218" i="4"/>
  <c r="B219" i="4"/>
  <c r="C219" i="4"/>
  <c r="D219" i="4"/>
  <c r="B220" i="4"/>
  <c r="C220" i="4"/>
  <c r="D220" i="4"/>
  <c r="B221" i="4"/>
  <c r="C221" i="4"/>
  <c r="D221" i="4"/>
  <c r="B222" i="4"/>
  <c r="C222" i="4"/>
  <c r="D222" i="4"/>
  <c r="B223" i="4"/>
  <c r="C223" i="4"/>
  <c r="D223" i="4"/>
  <c r="B224" i="4"/>
  <c r="C224" i="4"/>
  <c r="D224" i="4"/>
  <c r="B225" i="4"/>
  <c r="C225" i="4"/>
  <c r="D225" i="4"/>
  <c r="B226" i="4"/>
  <c r="C226" i="4"/>
  <c r="D226" i="4"/>
  <c r="B227" i="4"/>
  <c r="C227" i="4"/>
  <c r="D227" i="4"/>
  <c r="B228" i="4"/>
  <c r="C228" i="4"/>
  <c r="D228" i="4"/>
  <c r="B229" i="4"/>
  <c r="C229" i="4"/>
  <c r="D229" i="4"/>
  <c r="B230" i="4"/>
  <c r="C230" i="4"/>
  <c r="D230" i="4"/>
  <c r="B231" i="4"/>
  <c r="C231" i="4"/>
  <c r="D231" i="4"/>
  <c r="B232" i="4"/>
  <c r="C232" i="4"/>
  <c r="D232" i="4"/>
  <c r="B233" i="4"/>
  <c r="C233" i="4"/>
  <c r="D233" i="4"/>
  <c r="B234" i="4"/>
  <c r="C234" i="4"/>
  <c r="D234" i="4"/>
  <c r="B235" i="4"/>
  <c r="C235" i="4"/>
  <c r="D235" i="4"/>
  <c r="B236" i="4"/>
  <c r="C236" i="4"/>
  <c r="D236" i="4"/>
  <c r="B237" i="4"/>
  <c r="C237" i="4"/>
  <c r="D237" i="4"/>
  <c r="B238" i="4"/>
  <c r="C238" i="4"/>
  <c r="D238" i="4"/>
  <c r="B239" i="4"/>
  <c r="C239" i="4"/>
  <c r="D239" i="4"/>
  <c r="B240" i="4"/>
  <c r="C240" i="4"/>
  <c r="D240" i="4"/>
  <c r="B241" i="4"/>
  <c r="C241" i="4"/>
  <c r="D241" i="4"/>
  <c r="B242" i="4"/>
  <c r="C242" i="4"/>
  <c r="D242" i="4"/>
  <c r="B243" i="4"/>
  <c r="C243" i="4"/>
  <c r="D243" i="4"/>
  <c r="B244" i="4"/>
  <c r="C244" i="4"/>
  <c r="D244" i="4"/>
  <c r="B245" i="4"/>
  <c r="C245" i="4"/>
  <c r="D245" i="4"/>
  <c r="B246" i="4"/>
  <c r="C246" i="4"/>
  <c r="D246" i="4"/>
  <c r="B247" i="4"/>
  <c r="C247" i="4"/>
  <c r="D247" i="4"/>
  <c r="B248" i="4"/>
  <c r="C248" i="4"/>
  <c r="D248" i="4"/>
  <c r="B249" i="4"/>
  <c r="C249" i="4"/>
  <c r="D249" i="4"/>
  <c r="B250" i="4"/>
  <c r="C250" i="4"/>
  <c r="D250" i="4"/>
  <c r="B251" i="4"/>
  <c r="C251" i="4"/>
  <c r="D251" i="4"/>
  <c r="B252" i="4"/>
  <c r="C252" i="4"/>
  <c r="D252" i="4"/>
  <c r="B253" i="4"/>
  <c r="C253" i="4"/>
  <c r="D253" i="4"/>
  <c r="B254" i="4"/>
  <c r="C254" i="4"/>
  <c r="D254" i="4"/>
  <c r="B255" i="4"/>
  <c r="C255" i="4"/>
  <c r="D255" i="4"/>
  <c r="B256" i="4"/>
  <c r="C256" i="4"/>
  <c r="D256" i="4"/>
  <c r="B257" i="4"/>
  <c r="C257" i="4"/>
  <c r="D257" i="4"/>
  <c r="B258" i="4"/>
  <c r="C258" i="4"/>
  <c r="D258" i="4"/>
  <c r="B259" i="4"/>
  <c r="C259" i="4"/>
  <c r="D259" i="4"/>
  <c r="B260" i="4"/>
  <c r="C260" i="4"/>
  <c r="D260" i="4"/>
  <c r="B261" i="4"/>
  <c r="C261" i="4"/>
  <c r="D261" i="4"/>
  <c r="B262" i="4"/>
  <c r="C262" i="4"/>
  <c r="D262" i="4"/>
  <c r="B263" i="4"/>
  <c r="C263" i="4"/>
  <c r="D263" i="4"/>
  <c r="B264" i="4"/>
  <c r="C264" i="4"/>
  <c r="D264" i="4"/>
  <c r="B265" i="4"/>
  <c r="C265" i="4"/>
  <c r="D265" i="4"/>
  <c r="B266" i="4"/>
  <c r="C266" i="4"/>
  <c r="D266" i="4"/>
  <c r="B267" i="4"/>
  <c r="C267" i="4"/>
  <c r="D267" i="4"/>
  <c r="B268" i="4"/>
  <c r="C268" i="4"/>
  <c r="D268" i="4"/>
  <c r="B269" i="4"/>
  <c r="C269" i="4"/>
  <c r="D269" i="4"/>
  <c r="B270" i="4"/>
  <c r="C270" i="4"/>
  <c r="D270" i="4"/>
  <c r="B271" i="4"/>
  <c r="C271" i="4"/>
  <c r="D271" i="4"/>
  <c r="B272" i="4"/>
  <c r="C272" i="4"/>
  <c r="D272" i="4"/>
  <c r="B273" i="4"/>
  <c r="C273" i="4"/>
  <c r="D273" i="4"/>
  <c r="B274" i="4"/>
  <c r="C274" i="4"/>
  <c r="D274" i="4"/>
  <c r="B275" i="4"/>
  <c r="C275" i="4"/>
  <c r="D275" i="4"/>
  <c r="B276" i="4"/>
  <c r="C276" i="4"/>
  <c r="D276" i="4"/>
  <c r="B277" i="4"/>
  <c r="C277" i="4"/>
  <c r="D277" i="4"/>
  <c r="B278" i="4"/>
  <c r="C278" i="4"/>
  <c r="D278" i="4"/>
  <c r="B279" i="4"/>
  <c r="C279" i="4"/>
  <c r="D279" i="4"/>
  <c r="B280" i="4"/>
  <c r="C280" i="4"/>
  <c r="D280" i="4"/>
  <c r="B281" i="4"/>
  <c r="C281" i="4"/>
  <c r="D281" i="4"/>
  <c r="B282" i="4"/>
  <c r="C282" i="4"/>
  <c r="D282" i="4"/>
  <c r="B283" i="4"/>
  <c r="C283" i="4"/>
  <c r="D283" i="4"/>
  <c r="B284" i="4"/>
  <c r="C284" i="4"/>
  <c r="D284" i="4"/>
  <c r="B285" i="4"/>
  <c r="C285" i="4"/>
  <c r="D285" i="4"/>
  <c r="B286" i="4"/>
  <c r="C286" i="4"/>
  <c r="D286" i="4"/>
  <c r="B287" i="4"/>
  <c r="C287" i="4"/>
  <c r="D287" i="4"/>
  <c r="B288" i="4"/>
  <c r="C288" i="4"/>
  <c r="D288" i="4"/>
  <c r="B289" i="4"/>
  <c r="C289" i="4"/>
  <c r="D289" i="4"/>
  <c r="B290" i="4"/>
  <c r="C290" i="4"/>
  <c r="D290" i="4"/>
  <c r="B291" i="4"/>
  <c r="C291" i="4"/>
  <c r="D291" i="4"/>
  <c r="B292" i="4"/>
  <c r="C292" i="4"/>
  <c r="D292" i="4"/>
  <c r="B293" i="4"/>
  <c r="C293" i="4"/>
  <c r="D293" i="4"/>
  <c r="B294" i="4"/>
  <c r="C294" i="4"/>
  <c r="D294" i="4"/>
  <c r="B295" i="4"/>
  <c r="C295" i="4"/>
  <c r="D295" i="4"/>
  <c r="B296" i="4"/>
  <c r="C296" i="4"/>
  <c r="D296" i="4"/>
  <c r="B297" i="4"/>
  <c r="C297" i="4"/>
  <c r="D297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B388" i="4"/>
  <c r="C388" i="4"/>
  <c r="D388" i="4"/>
  <c r="B389" i="4"/>
  <c r="C389" i="4"/>
  <c r="D389" i="4"/>
  <c r="B390" i="4"/>
  <c r="C390" i="4"/>
  <c r="D390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95" i="4"/>
  <c r="C395" i="4"/>
  <c r="D395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400" i="4"/>
  <c r="C400" i="4"/>
  <c r="D400" i="4"/>
  <c r="B401" i="4"/>
  <c r="C401" i="4"/>
  <c r="D401" i="4"/>
  <c r="B402" i="4"/>
  <c r="C402" i="4"/>
  <c r="D402" i="4"/>
  <c r="B403" i="4"/>
  <c r="C403" i="4"/>
  <c r="D403" i="4"/>
  <c r="B404" i="4"/>
  <c r="C404" i="4"/>
  <c r="D404" i="4"/>
  <c r="B405" i="4"/>
  <c r="C405" i="4"/>
  <c r="D405" i="4"/>
  <c r="B406" i="4"/>
  <c r="C406" i="4"/>
  <c r="D406" i="4"/>
  <c r="B407" i="4"/>
  <c r="C407" i="4"/>
  <c r="D407" i="4"/>
  <c r="B408" i="4"/>
  <c r="C408" i="4"/>
  <c r="D408" i="4"/>
  <c r="B409" i="4"/>
  <c r="C409" i="4"/>
  <c r="D409" i="4"/>
  <c r="B410" i="4"/>
  <c r="C410" i="4"/>
  <c r="D410" i="4"/>
  <c r="B411" i="4"/>
  <c r="C411" i="4"/>
  <c r="D411" i="4"/>
  <c r="B412" i="4"/>
  <c r="C412" i="4"/>
  <c r="D412" i="4"/>
  <c r="B413" i="4"/>
  <c r="C413" i="4"/>
  <c r="D413" i="4"/>
  <c r="B414" i="4"/>
  <c r="C414" i="4"/>
  <c r="D414" i="4"/>
  <c r="B415" i="4"/>
  <c r="C415" i="4"/>
  <c r="D415" i="4"/>
  <c r="B416" i="4"/>
  <c r="C416" i="4"/>
  <c r="D416" i="4"/>
  <c r="B417" i="4"/>
  <c r="C417" i="4"/>
  <c r="D417" i="4"/>
  <c r="B418" i="4"/>
  <c r="C418" i="4"/>
  <c r="D418" i="4"/>
  <c r="B419" i="4"/>
  <c r="C419" i="4"/>
  <c r="D419" i="4"/>
  <c r="B420" i="4"/>
  <c r="C420" i="4"/>
  <c r="D420" i="4"/>
  <c r="B421" i="4"/>
  <c r="C421" i="4"/>
  <c r="D421" i="4"/>
  <c r="B422" i="4"/>
  <c r="C422" i="4"/>
  <c r="D422" i="4"/>
  <c r="B423" i="4"/>
  <c r="C423" i="4"/>
  <c r="D423" i="4"/>
  <c r="B424" i="4"/>
  <c r="C424" i="4"/>
  <c r="D424" i="4"/>
  <c r="B425" i="4"/>
  <c r="C425" i="4"/>
  <c r="D425" i="4"/>
  <c r="B426" i="4"/>
  <c r="C426" i="4"/>
  <c r="D426" i="4"/>
  <c r="B427" i="4"/>
  <c r="C427" i="4"/>
  <c r="D427" i="4"/>
  <c r="B428" i="4"/>
  <c r="C428" i="4"/>
  <c r="D428" i="4"/>
  <c r="B429" i="4"/>
  <c r="C429" i="4"/>
  <c r="D429" i="4"/>
  <c r="B430" i="4"/>
  <c r="C430" i="4"/>
  <c r="D430" i="4"/>
  <c r="B431" i="4"/>
  <c r="C431" i="4"/>
  <c r="D431" i="4"/>
  <c r="B432" i="4"/>
  <c r="C432" i="4"/>
  <c r="D432" i="4"/>
  <c r="B433" i="4"/>
  <c r="C433" i="4"/>
  <c r="D433" i="4"/>
  <c r="B434" i="4"/>
  <c r="C434" i="4"/>
  <c r="D434" i="4"/>
  <c r="B435" i="4"/>
  <c r="C435" i="4"/>
  <c r="D435" i="4"/>
  <c r="B436" i="4"/>
  <c r="C436" i="4"/>
  <c r="D436" i="4"/>
  <c r="B437" i="4"/>
  <c r="C437" i="4"/>
  <c r="D437" i="4"/>
  <c r="B438" i="4"/>
  <c r="C438" i="4"/>
  <c r="D438" i="4"/>
  <c r="B439" i="4"/>
  <c r="C439" i="4"/>
  <c r="D439" i="4"/>
  <c r="B440" i="4"/>
  <c r="C440" i="4"/>
  <c r="D440" i="4"/>
  <c r="B441" i="4"/>
  <c r="C441" i="4"/>
  <c r="D441" i="4"/>
  <c r="B442" i="4"/>
  <c r="C442" i="4"/>
  <c r="D442" i="4"/>
  <c r="B443" i="4"/>
  <c r="C443" i="4"/>
  <c r="D443" i="4"/>
  <c r="B444" i="4"/>
  <c r="C444" i="4"/>
  <c r="D444" i="4"/>
  <c r="B445" i="4"/>
  <c r="C445" i="4"/>
  <c r="D445" i="4"/>
  <c r="B446" i="4"/>
  <c r="C446" i="4"/>
  <c r="D446" i="4"/>
  <c r="B447" i="4"/>
  <c r="C447" i="4"/>
  <c r="D447" i="4"/>
  <c r="B448" i="4"/>
  <c r="C448" i="4"/>
  <c r="D448" i="4"/>
  <c r="B449" i="4"/>
  <c r="C449" i="4"/>
  <c r="D449" i="4"/>
  <c r="B450" i="4"/>
  <c r="C450" i="4"/>
  <c r="D450" i="4"/>
  <c r="B451" i="4"/>
  <c r="C451" i="4"/>
  <c r="D451" i="4"/>
  <c r="B452" i="4"/>
  <c r="C452" i="4"/>
  <c r="D452" i="4"/>
  <c r="B453" i="4"/>
  <c r="C453" i="4"/>
  <c r="D453" i="4"/>
  <c r="B454" i="4"/>
  <c r="C454" i="4"/>
  <c r="D454" i="4"/>
  <c r="B455" i="4"/>
  <c r="C455" i="4"/>
  <c r="D455" i="4"/>
  <c r="B456" i="4"/>
  <c r="C456" i="4"/>
  <c r="D456" i="4"/>
  <c r="B457" i="4"/>
  <c r="C457" i="4"/>
  <c r="D457" i="4"/>
  <c r="B458" i="4"/>
  <c r="C458" i="4"/>
  <c r="D458" i="4"/>
  <c r="B459" i="4"/>
  <c r="C459" i="4"/>
  <c r="D459" i="4"/>
  <c r="B460" i="4"/>
  <c r="C460" i="4"/>
  <c r="D460" i="4"/>
  <c r="B461" i="4"/>
  <c r="C461" i="4"/>
  <c r="D461" i="4"/>
  <c r="B462" i="4"/>
  <c r="C462" i="4"/>
  <c r="D462" i="4"/>
  <c r="B463" i="4"/>
  <c r="C463" i="4"/>
  <c r="D463" i="4"/>
  <c r="B464" i="4"/>
  <c r="C464" i="4"/>
  <c r="D464" i="4"/>
  <c r="B465" i="4"/>
  <c r="C465" i="4"/>
  <c r="D465" i="4"/>
  <c r="B466" i="4"/>
  <c r="C466" i="4"/>
  <c r="D466" i="4"/>
  <c r="B467" i="4"/>
  <c r="C467" i="4"/>
  <c r="D467" i="4"/>
  <c r="B468" i="4"/>
  <c r="C468" i="4"/>
  <c r="D468" i="4"/>
  <c r="B469" i="4"/>
  <c r="C469" i="4"/>
  <c r="D469" i="4"/>
  <c r="B470" i="4"/>
  <c r="C470" i="4"/>
  <c r="D470" i="4"/>
  <c r="B471" i="4"/>
  <c r="C471" i="4"/>
  <c r="D471" i="4"/>
  <c r="B472" i="4"/>
  <c r="C472" i="4"/>
  <c r="D472" i="4"/>
  <c r="B473" i="4"/>
  <c r="C473" i="4"/>
  <c r="D473" i="4"/>
  <c r="B474" i="4"/>
  <c r="C474" i="4"/>
  <c r="D474" i="4"/>
  <c r="B475" i="4"/>
  <c r="C475" i="4"/>
  <c r="D475" i="4"/>
  <c r="B476" i="4"/>
  <c r="C476" i="4"/>
  <c r="D476" i="4"/>
  <c r="B477" i="4"/>
  <c r="C477" i="4"/>
  <c r="D477" i="4"/>
  <c r="B478" i="4"/>
  <c r="C478" i="4"/>
  <c r="D478" i="4"/>
  <c r="B479" i="4"/>
  <c r="C479" i="4"/>
  <c r="D479" i="4"/>
  <c r="B480" i="4"/>
  <c r="C480" i="4"/>
  <c r="D480" i="4"/>
  <c r="B481" i="4"/>
  <c r="C481" i="4"/>
  <c r="D481" i="4"/>
  <c r="B482" i="4"/>
  <c r="C482" i="4"/>
  <c r="D482" i="4"/>
  <c r="B483" i="4"/>
  <c r="C483" i="4"/>
  <c r="D483" i="4"/>
  <c r="B484" i="4"/>
  <c r="C484" i="4"/>
  <c r="D484" i="4"/>
  <c r="B485" i="4"/>
  <c r="C485" i="4"/>
  <c r="D485" i="4"/>
  <c r="B486" i="4"/>
  <c r="C486" i="4"/>
  <c r="D486" i="4"/>
  <c r="B487" i="4"/>
  <c r="C487" i="4"/>
  <c r="D487" i="4"/>
  <c r="B488" i="4"/>
  <c r="C488" i="4"/>
  <c r="D488" i="4"/>
  <c r="B489" i="4"/>
  <c r="C489" i="4"/>
  <c r="D489" i="4"/>
  <c r="B490" i="4"/>
  <c r="C490" i="4"/>
  <c r="D490" i="4"/>
  <c r="B491" i="4"/>
  <c r="C491" i="4"/>
  <c r="D491" i="4"/>
  <c r="B492" i="4"/>
  <c r="C492" i="4"/>
  <c r="D492" i="4"/>
  <c r="B493" i="4"/>
  <c r="C493" i="4"/>
  <c r="D493" i="4"/>
  <c r="B494" i="4"/>
  <c r="C494" i="4"/>
  <c r="D494" i="4"/>
  <c r="B495" i="4"/>
  <c r="C495" i="4"/>
  <c r="D495" i="4"/>
  <c r="B496" i="4"/>
  <c r="C496" i="4"/>
  <c r="D496" i="4"/>
  <c r="B497" i="4"/>
  <c r="C497" i="4"/>
  <c r="D497" i="4"/>
  <c r="B498" i="4"/>
  <c r="C498" i="4"/>
  <c r="D498" i="4"/>
  <c r="B499" i="4"/>
  <c r="C499" i="4"/>
  <c r="D499" i="4"/>
  <c r="B500" i="4"/>
  <c r="C500" i="4"/>
  <c r="D500" i="4"/>
  <c r="B501" i="4"/>
  <c r="C501" i="4"/>
  <c r="D501" i="4"/>
  <c r="B502" i="4"/>
  <c r="C502" i="4"/>
  <c r="D502" i="4"/>
  <c r="B503" i="4"/>
  <c r="C503" i="4"/>
  <c r="D503" i="4"/>
  <c r="B504" i="4"/>
  <c r="C504" i="4"/>
  <c r="D504" i="4"/>
  <c r="B505" i="4"/>
  <c r="C505" i="4"/>
  <c r="D505" i="4"/>
  <c r="B506" i="4"/>
  <c r="C506" i="4"/>
  <c r="D506" i="4"/>
  <c r="B507" i="4"/>
  <c r="C507" i="4"/>
  <c r="D507" i="4"/>
  <c r="B508" i="4"/>
  <c r="C508" i="4"/>
  <c r="D508" i="4"/>
  <c r="B509" i="4"/>
  <c r="C509" i="4"/>
  <c r="D509" i="4"/>
  <c r="B510" i="4"/>
  <c r="C510" i="4"/>
  <c r="D510" i="4"/>
  <c r="B511" i="4"/>
  <c r="C511" i="4"/>
  <c r="D511" i="4"/>
  <c r="B512" i="4"/>
  <c r="C512" i="4"/>
  <c r="D512" i="4"/>
  <c r="B513" i="4"/>
  <c r="C513" i="4"/>
  <c r="D513" i="4"/>
  <c r="B514" i="4"/>
  <c r="C514" i="4"/>
  <c r="D514" i="4"/>
  <c r="B515" i="4"/>
  <c r="C515" i="4"/>
  <c r="D515" i="4"/>
  <c r="B516" i="4"/>
  <c r="C516" i="4"/>
  <c r="D516" i="4"/>
  <c r="B517" i="4"/>
  <c r="C517" i="4"/>
  <c r="D517" i="4"/>
  <c r="B518" i="4"/>
  <c r="C518" i="4"/>
  <c r="D518" i="4"/>
  <c r="B519" i="4"/>
  <c r="C519" i="4"/>
  <c r="D519" i="4"/>
  <c r="B520" i="4"/>
  <c r="C520" i="4"/>
  <c r="D520" i="4"/>
  <c r="B521" i="4"/>
  <c r="C521" i="4"/>
  <c r="D521" i="4"/>
  <c r="B522" i="4"/>
  <c r="C522" i="4"/>
  <c r="D522" i="4"/>
  <c r="B523" i="4"/>
  <c r="C523" i="4"/>
  <c r="D523" i="4"/>
  <c r="B524" i="4"/>
  <c r="C524" i="4"/>
  <c r="D524" i="4"/>
  <c r="B525" i="4"/>
  <c r="C525" i="4"/>
  <c r="D525" i="4"/>
  <c r="B526" i="4"/>
  <c r="C526" i="4"/>
  <c r="D526" i="4"/>
  <c r="B527" i="4"/>
  <c r="C527" i="4"/>
  <c r="D527" i="4"/>
  <c r="B528" i="4"/>
  <c r="C528" i="4"/>
  <c r="D528" i="4"/>
  <c r="B529" i="4"/>
  <c r="C529" i="4"/>
  <c r="D529" i="4"/>
  <c r="B530" i="4"/>
  <c r="C530" i="4"/>
  <c r="D530" i="4"/>
  <c r="B531" i="4"/>
  <c r="C531" i="4"/>
  <c r="D531" i="4"/>
  <c r="B532" i="4"/>
  <c r="C532" i="4"/>
  <c r="D532" i="4"/>
  <c r="B533" i="4"/>
  <c r="C533" i="4"/>
  <c r="D533" i="4"/>
  <c r="B534" i="4"/>
  <c r="C534" i="4"/>
  <c r="D534" i="4"/>
  <c r="B535" i="4"/>
  <c r="C535" i="4"/>
  <c r="D535" i="4"/>
  <c r="B536" i="4"/>
  <c r="C536" i="4"/>
  <c r="D536" i="4"/>
  <c r="B537" i="4"/>
  <c r="C537" i="4"/>
  <c r="D537" i="4"/>
  <c r="B538" i="4"/>
  <c r="C538" i="4"/>
  <c r="D538" i="4"/>
  <c r="B539" i="4"/>
  <c r="C539" i="4"/>
  <c r="D539" i="4"/>
  <c r="B540" i="4"/>
  <c r="C540" i="4"/>
  <c r="D540" i="4"/>
  <c r="B541" i="4"/>
  <c r="C541" i="4"/>
  <c r="D541" i="4"/>
  <c r="B542" i="4"/>
  <c r="C542" i="4"/>
  <c r="D542" i="4"/>
  <c r="B543" i="4"/>
  <c r="C543" i="4"/>
  <c r="D543" i="4"/>
  <c r="B544" i="4"/>
  <c r="C544" i="4"/>
  <c r="D544" i="4"/>
  <c r="B545" i="4"/>
  <c r="C545" i="4"/>
  <c r="D545" i="4"/>
  <c r="B546" i="4"/>
  <c r="C546" i="4"/>
  <c r="D546" i="4"/>
  <c r="B547" i="4"/>
  <c r="C547" i="4"/>
  <c r="D547" i="4"/>
  <c r="B548" i="4"/>
  <c r="C548" i="4"/>
  <c r="D548" i="4"/>
  <c r="B549" i="4"/>
  <c r="C549" i="4"/>
  <c r="D549" i="4"/>
  <c r="B550" i="4"/>
  <c r="C550" i="4"/>
  <c r="D550" i="4"/>
  <c r="B551" i="4"/>
  <c r="C551" i="4"/>
  <c r="D551" i="4"/>
  <c r="B552" i="4"/>
  <c r="C552" i="4"/>
  <c r="D552" i="4"/>
  <c r="B553" i="4"/>
  <c r="C553" i="4"/>
  <c r="D553" i="4"/>
  <c r="B554" i="4"/>
  <c r="C554" i="4"/>
  <c r="D554" i="4"/>
  <c r="B555" i="4"/>
  <c r="C555" i="4"/>
  <c r="D555" i="4"/>
  <c r="B556" i="4"/>
  <c r="C556" i="4"/>
  <c r="D556" i="4"/>
  <c r="B557" i="4"/>
  <c r="C557" i="4"/>
  <c r="D557" i="4"/>
  <c r="B558" i="4"/>
  <c r="C558" i="4"/>
  <c r="D558" i="4"/>
  <c r="B559" i="4"/>
  <c r="C559" i="4"/>
  <c r="D559" i="4"/>
  <c r="B560" i="4"/>
  <c r="C560" i="4"/>
  <c r="D560" i="4"/>
  <c r="B561" i="4"/>
  <c r="C561" i="4"/>
  <c r="D561" i="4"/>
  <c r="B562" i="4"/>
  <c r="C562" i="4"/>
  <c r="D562" i="4"/>
  <c r="B563" i="4"/>
  <c r="C563" i="4"/>
  <c r="D563" i="4"/>
  <c r="B564" i="4"/>
  <c r="C564" i="4"/>
  <c r="D564" i="4"/>
  <c r="B565" i="4"/>
  <c r="C565" i="4"/>
  <c r="D565" i="4"/>
  <c r="B566" i="4"/>
  <c r="C566" i="4"/>
  <c r="D566" i="4"/>
  <c r="B567" i="4"/>
  <c r="C567" i="4"/>
  <c r="D567" i="4"/>
  <c r="B568" i="4"/>
  <c r="C568" i="4"/>
  <c r="D568" i="4"/>
  <c r="B569" i="4"/>
  <c r="C569" i="4"/>
  <c r="D569" i="4"/>
  <c r="B570" i="4"/>
  <c r="C570" i="4"/>
  <c r="D570" i="4"/>
  <c r="B571" i="4"/>
  <c r="C571" i="4"/>
  <c r="D571" i="4"/>
  <c r="B572" i="4"/>
  <c r="C572" i="4"/>
  <c r="D572" i="4"/>
  <c r="B573" i="4"/>
  <c r="C573" i="4"/>
  <c r="D573" i="4"/>
  <c r="B574" i="4"/>
  <c r="C574" i="4"/>
  <c r="D574" i="4"/>
  <c r="B575" i="4"/>
  <c r="C575" i="4"/>
  <c r="D575" i="4"/>
  <c r="B576" i="4"/>
  <c r="C576" i="4"/>
  <c r="D576" i="4"/>
  <c r="B577" i="4"/>
  <c r="C577" i="4"/>
  <c r="D577" i="4"/>
  <c r="B578" i="4"/>
  <c r="C578" i="4"/>
  <c r="D578" i="4"/>
  <c r="B579" i="4"/>
  <c r="C579" i="4"/>
  <c r="D579" i="4"/>
  <c r="B580" i="4"/>
  <c r="C580" i="4"/>
  <c r="D580" i="4"/>
  <c r="B581" i="4"/>
  <c r="C581" i="4"/>
  <c r="D581" i="4"/>
  <c r="B582" i="4"/>
  <c r="C582" i="4"/>
  <c r="D582" i="4"/>
  <c r="B583" i="4"/>
  <c r="C583" i="4"/>
  <c r="D583" i="4"/>
  <c r="B584" i="4"/>
  <c r="C584" i="4"/>
  <c r="D584" i="4"/>
  <c r="B585" i="4"/>
  <c r="C585" i="4"/>
  <c r="D585" i="4"/>
  <c r="B586" i="4"/>
  <c r="C586" i="4"/>
  <c r="D586" i="4"/>
  <c r="B587" i="4"/>
  <c r="C587" i="4"/>
  <c r="D587" i="4"/>
  <c r="B588" i="4"/>
  <c r="C588" i="4"/>
  <c r="D588" i="4"/>
  <c r="B589" i="4"/>
  <c r="C589" i="4"/>
  <c r="D589" i="4"/>
  <c r="B590" i="4"/>
  <c r="C590" i="4"/>
  <c r="D590" i="4"/>
  <c r="B591" i="4"/>
  <c r="C591" i="4"/>
  <c r="D591" i="4"/>
  <c r="B592" i="4"/>
  <c r="C592" i="4"/>
  <c r="D592" i="4"/>
  <c r="B593" i="4"/>
  <c r="C593" i="4"/>
  <c r="D593" i="4"/>
  <c r="B594" i="4"/>
  <c r="C594" i="4"/>
  <c r="D594" i="4"/>
  <c r="B595" i="4"/>
  <c r="C595" i="4"/>
  <c r="D595" i="4"/>
  <c r="B596" i="4"/>
  <c r="C596" i="4"/>
  <c r="D596" i="4"/>
  <c r="B597" i="4"/>
  <c r="C597" i="4"/>
  <c r="D597" i="4"/>
  <c r="B598" i="4"/>
  <c r="C598" i="4"/>
  <c r="D598" i="4"/>
  <c r="B599" i="4"/>
  <c r="C599" i="4"/>
  <c r="D599" i="4"/>
  <c r="B600" i="4"/>
  <c r="C600" i="4"/>
  <c r="D600" i="4"/>
  <c r="B601" i="4"/>
  <c r="C601" i="4"/>
  <c r="D601" i="4"/>
  <c r="B602" i="4"/>
  <c r="C602" i="4"/>
  <c r="D602" i="4"/>
  <c r="B603" i="4"/>
  <c r="C603" i="4"/>
  <c r="D603" i="4"/>
  <c r="B604" i="4"/>
  <c r="C604" i="4"/>
  <c r="D604" i="4"/>
  <c r="B605" i="4"/>
  <c r="C605" i="4"/>
  <c r="D605" i="4"/>
  <c r="B606" i="4"/>
  <c r="C606" i="4"/>
  <c r="D606" i="4"/>
  <c r="B607" i="4"/>
  <c r="C607" i="4"/>
  <c r="D607" i="4"/>
  <c r="B608" i="4"/>
  <c r="C608" i="4"/>
  <c r="D608" i="4"/>
  <c r="B609" i="4"/>
  <c r="C609" i="4"/>
  <c r="D609" i="4"/>
  <c r="B610" i="4"/>
  <c r="C610" i="4"/>
  <c r="D610" i="4"/>
  <c r="B611" i="4"/>
  <c r="C611" i="4"/>
  <c r="D611" i="4"/>
  <c r="B612" i="4"/>
  <c r="C612" i="4"/>
  <c r="D612" i="4"/>
  <c r="B613" i="4"/>
  <c r="C613" i="4"/>
  <c r="D613" i="4"/>
  <c r="B614" i="4"/>
  <c r="C614" i="4"/>
  <c r="D614" i="4"/>
  <c r="B615" i="4"/>
  <c r="C615" i="4"/>
  <c r="D615" i="4"/>
  <c r="B616" i="4"/>
  <c r="C616" i="4"/>
  <c r="D616" i="4"/>
  <c r="B617" i="4"/>
  <c r="C617" i="4"/>
  <c r="D617" i="4"/>
  <c r="B618" i="4"/>
  <c r="C618" i="4"/>
  <c r="D618" i="4"/>
  <c r="B619" i="4"/>
  <c r="C619" i="4"/>
  <c r="D619" i="4"/>
  <c r="B620" i="4"/>
  <c r="C620" i="4"/>
  <c r="D620" i="4"/>
  <c r="B621" i="4"/>
  <c r="C621" i="4"/>
  <c r="D621" i="4"/>
  <c r="B622" i="4"/>
  <c r="C622" i="4"/>
  <c r="D622" i="4"/>
  <c r="B623" i="4"/>
  <c r="C623" i="4"/>
  <c r="D623" i="4"/>
  <c r="B624" i="4"/>
  <c r="C624" i="4"/>
  <c r="D624" i="4"/>
  <c r="B625" i="4"/>
  <c r="C625" i="4"/>
  <c r="D625" i="4"/>
  <c r="B626" i="4"/>
  <c r="C626" i="4"/>
  <c r="D626" i="4"/>
  <c r="B627" i="4"/>
  <c r="C627" i="4"/>
  <c r="D627" i="4"/>
  <c r="B628" i="4"/>
  <c r="C628" i="4"/>
  <c r="D628" i="4"/>
  <c r="B629" i="4"/>
  <c r="C629" i="4"/>
  <c r="D629" i="4"/>
  <c r="B630" i="4"/>
  <c r="C630" i="4"/>
  <c r="D630" i="4"/>
  <c r="B631" i="4"/>
  <c r="C631" i="4"/>
  <c r="D631" i="4"/>
  <c r="B632" i="4"/>
  <c r="C632" i="4"/>
  <c r="D632" i="4"/>
  <c r="B633" i="4"/>
  <c r="C633" i="4"/>
  <c r="D633" i="4"/>
  <c r="B634" i="4"/>
  <c r="C634" i="4"/>
  <c r="D634" i="4"/>
  <c r="B635" i="4"/>
  <c r="C635" i="4"/>
  <c r="D635" i="4"/>
  <c r="B636" i="4"/>
  <c r="C636" i="4"/>
  <c r="D636" i="4"/>
  <c r="B637" i="4"/>
  <c r="C637" i="4"/>
  <c r="D637" i="4"/>
  <c r="B638" i="4"/>
  <c r="C638" i="4"/>
  <c r="D638" i="4"/>
  <c r="B639" i="4"/>
  <c r="C639" i="4"/>
  <c r="D639" i="4"/>
  <c r="B640" i="4"/>
  <c r="C640" i="4"/>
  <c r="D640" i="4"/>
  <c r="B641" i="4"/>
  <c r="C641" i="4"/>
  <c r="D641" i="4"/>
  <c r="B642" i="4"/>
  <c r="C642" i="4"/>
  <c r="D642" i="4"/>
  <c r="B643" i="4"/>
  <c r="C643" i="4"/>
  <c r="D643" i="4"/>
  <c r="B644" i="4"/>
  <c r="C644" i="4"/>
  <c r="D644" i="4"/>
  <c r="B645" i="4"/>
  <c r="C645" i="4"/>
  <c r="D645" i="4"/>
  <c r="B646" i="4"/>
  <c r="C646" i="4"/>
  <c r="D646" i="4"/>
  <c r="B647" i="4"/>
  <c r="C647" i="4"/>
  <c r="D647" i="4"/>
  <c r="B648" i="4"/>
  <c r="C648" i="4"/>
  <c r="D648" i="4"/>
  <c r="B649" i="4"/>
  <c r="C649" i="4"/>
  <c r="D649" i="4"/>
  <c r="B650" i="4"/>
  <c r="C650" i="4"/>
  <c r="D650" i="4"/>
  <c r="B651" i="4"/>
  <c r="C651" i="4"/>
  <c r="D651" i="4"/>
  <c r="B652" i="4"/>
  <c r="C652" i="4"/>
  <c r="D652" i="4"/>
  <c r="B653" i="4"/>
  <c r="C653" i="4"/>
  <c r="D653" i="4"/>
  <c r="B654" i="4"/>
  <c r="C654" i="4"/>
  <c r="D654" i="4"/>
  <c r="B655" i="4"/>
  <c r="C655" i="4"/>
  <c r="D655" i="4"/>
  <c r="B656" i="4"/>
  <c r="C656" i="4"/>
  <c r="D656" i="4"/>
  <c r="B657" i="4"/>
  <c r="C657" i="4"/>
  <c r="D657" i="4"/>
  <c r="B658" i="4"/>
  <c r="C658" i="4"/>
  <c r="D658" i="4"/>
  <c r="B659" i="4"/>
  <c r="C659" i="4"/>
  <c r="D659" i="4"/>
  <c r="B660" i="4"/>
  <c r="C660" i="4"/>
  <c r="D660" i="4"/>
  <c r="B661" i="4"/>
  <c r="C661" i="4"/>
  <c r="D661" i="4"/>
  <c r="B662" i="4"/>
  <c r="C662" i="4"/>
  <c r="D662" i="4"/>
  <c r="B663" i="4"/>
  <c r="C663" i="4"/>
  <c r="D663" i="4"/>
  <c r="B664" i="4"/>
  <c r="C664" i="4"/>
  <c r="D664" i="4"/>
  <c r="B665" i="4"/>
  <c r="C665" i="4"/>
  <c r="D665" i="4"/>
  <c r="B666" i="4"/>
  <c r="C666" i="4"/>
  <c r="D666" i="4"/>
  <c r="B667" i="4"/>
  <c r="C667" i="4"/>
  <c r="D667" i="4"/>
  <c r="B668" i="4"/>
  <c r="C668" i="4"/>
  <c r="D668" i="4"/>
  <c r="B669" i="4"/>
  <c r="C669" i="4"/>
  <c r="D669" i="4"/>
  <c r="B670" i="4"/>
  <c r="C670" i="4"/>
  <c r="D670" i="4"/>
  <c r="B671" i="4"/>
  <c r="C671" i="4"/>
  <c r="D671" i="4"/>
  <c r="B672" i="4"/>
  <c r="C672" i="4"/>
  <c r="D672" i="4"/>
  <c r="B673" i="4"/>
  <c r="C673" i="4"/>
  <c r="D673" i="4"/>
  <c r="B674" i="4"/>
  <c r="C674" i="4"/>
  <c r="D674" i="4"/>
  <c r="B675" i="4"/>
  <c r="C675" i="4"/>
  <c r="D675" i="4"/>
  <c r="B676" i="4"/>
  <c r="C676" i="4"/>
  <c r="D676" i="4"/>
  <c r="B677" i="4"/>
  <c r="C677" i="4"/>
  <c r="D677" i="4"/>
  <c r="B678" i="4"/>
  <c r="C678" i="4"/>
  <c r="D678" i="4"/>
  <c r="B679" i="4"/>
  <c r="C679" i="4"/>
  <c r="D679" i="4"/>
  <c r="B680" i="4"/>
  <c r="C680" i="4"/>
  <c r="D680" i="4"/>
  <c r="B681" i="4"/>
  <c r="C681" i="4"/>
  <c r="D681" i="4"/>
  <c r="B682" i="4"/>
  <c r="C682" i="4"/>
  <c r="D682" i="4"/>
  <c r="B683" i="4"/>
  <c r="C683" i="4"/>
  <c r="D683" i="4"/>
  <c r="B684" i="4"/>
  <c r="C684" i="4"/>
  <c r="D684" i="4"/>
  <c r="B685" i="4"/>
  <c r="C685" i="4"/>
  <c r="D685" i="4"/>
  <c r="B686" i="4"/>
  <c r="C686" i="4"/>
  <c r="D686" i="4"/>
  <c r="B687" i="4"/>
  <c r="C687" i="4"/>
  <c r="D687" i="4"/>
  <c r="B688" i="4"/>
  <c r="C688" i="4"/>
  <c r="D688" i="4"/>
  <c r="B689" i="4"/>
  <c r="C689" i="4"/>
  <c r="D689" i="4"/>
  <c r="B690" i="4"/>
  <c r="C690" i="4"/>
  <c r="D690" i="4"/>
  <c r="B691" i="4"/>
  <c r="C691" i="4"/>
  <c r="D691" i="4"/>
  <c r="B692" i="4"/>
  <c r="C692" i="4"/>
  <c r="D692" i="4"/>
  <c r="B693" i="4"/>
  <c r="C693" i="4"/>
  <c r="D693" i="4"/>
  <c r="B694" i="4"/>
  <c r="C694" i="4"/>
  <c r="D694" i="4"/>
  <c r="B695" i="4"/>
  <c r="C695" i="4"/>
  <c r="D695" i="4"/>
  <c r="B696" i="4"/>
  <c r="C696" i="4"/>
  <c r="D696" i="4"/>
  <c r="B697" i="4"/>
  <c r="C697" i="4"/>
  <c r="D697" i="4"/>
  <c r="B698" i="4"/>
  <c r="C698" i="4"/>
  <c r="D698" i="4"/>
  <c r="B699" i="4"/>
  <c r="C699" i="4"/>
  <c r="D699" i="4"/>
  <c r="B700" i="4"/>
  <c r="C700" i="4"/>
  <c r="D700" i="4"/>
  <c r="B701" i="4"/>
  <c r="C701" i="4"/>
  <c r="D701" i="4"/>
  <c r="B702" i="4"/>
  <c r="C702" i="4"/>
  <c r="D702" i="4"/>
  <c r="B703" i="4"/>
  <c r="C703" i="4"/>
  <c r="D703" i="4"/>
  <c r="B704" i="4"/>
  <c r="C704" i="4"/>
  <c r="D704" i="4"/>
  <c r="B705" i="4"/>
  <c r="C705" i="4"/>
  <c r="D705" i="4"/>
  <c r="B706" i="4"/>
  <c r="C706" i="4"/>
  <c r="D706" i="4"/>
  <c r="B707" i="4"/>
  <c r="C707" i="4"/>
  <c r="D707" i="4"/>
  <c r="B708" i="4"/>
  <c r="C708" i="4"/>
  <c r="D708" i="4"/>
  <c r="B709" i="4"/>
  <c r="C709" i="4"/>
  <c r="D709" i="4"/>
  <c r="B710" i="4"/>
  <c r="C710" i="4"/>
  <c r="D710" i="4"/>
  <c r="B711" i="4"/>
  <c r="C711" i="4"/>
  <c r="D711" i="4"/>
  <c r="B712" i="4"/>
  <c r="C712" i="4"/>
  <c r="D712" i="4"/>
  <c r="B713" i="4"/>
  <c r="C713" i="4"/>
  <c r="D713" i="4"/>
  <c r="B714" i="4"/>
  <c r="C714" i="4"/>
  <c r="D714" i="4"/>
  <c r="B715" i="4"/>
  <c r="C715" i="4"/>
  <c r="D715" i="4"/>
  <c r="B716" i="4"/>
  <c r="C716" i="4"/>
  <c r="D716" i="4"/>
  <c r="B717" i="4"/>
  <c r="C717" i="4"/>
  <c r="D717" i="4"/>
  <c r="B718" i="4"/>
  <c r="C718" i="4"/>
  <c r="D718" i="4"/>
  <c r="B719" i="4"/>
  <c r="C719" i="4"/>
  <c r="D719" i="4"/>
  <c r="B720" i="4"/>
  <c r="C720" i="4"/>
  <c r="D720" i="4"/>
  <c r="B721" i="4"/>
  <c r="C721" i="4"/>
  <c r="D721" i="4"/>
  <c r="B722" i="4"/>
  <c r="C722" i="4"/>
  <c r="D722" i="4"/>
  <c r="B723" i="4"/>
  <c r="C723" i="4"/>
  <c r="D723" i="4"/>
  <c r="B724" i="4"/>
  <c r="C724" i="4"/>
  <c r="D724" i="4"/>
  <c r="B725" i="4"/>
  <c r="C725" i="4"/>
  <c r="D725" i="4"/>
  <c r="B726" i="4"/>
  <c r="C726" i="4"/>
  <c r="D726" i="4"/>
  <c r="B727" i="4"/>
  <c r="C727" i="4"/>
  <c r="D727" i="4"/>
  <c r="B728" i="4"/>
  <c r="C728" i="4"/>
  <c r="D728" i="4"/>
  <c r="B729" i="4"/>
  <c r="C729" i="4"/>
  <c r="D729" i="4"/>
  <c r="B730" i="4"/>
  <c r="C730" i="4"/>
  <c r="D730" i="4"/>
  <c r="B731" i="4"/>
  <c r="C731" i="4"/>
  <c r="D731" i="4"/>
  <c r="B732" i="4"/>
  <c r="C732" i="4"/>
  <c r="D732" i="4"/>
  <c r="B733" i="4"/>
  <c r="C733" i="4"/>
  <c r="D733" i="4"/>
  <c r="B734" i="4"/>
  <c r="C734" i="4"/>
  <c r="D734" i="4"/>
  <c r="B735" i="4"/>
  <c r="C735" i="4"/>
  <c r="D735" i="4"/>
  <c r="B736" i="4"/>
  <c r="C736" i="4"/>
  <c r="D736" i="4"/>
  <c r="B737" i="4"/>
  <c r="C737" i="4"/>
  <c r="D737" i="4"/>
  <c r="B738" i="4"/>
  <c r="C738" i="4"/>
  <c r="D738" i="4"/>
  <c r="B739" i="4"/>
  <c r="C739" i="4"/>
  <c r="D739" i="4"/>
  <c r="B740" i="4"/>
  <c r="C740" i="4"/>
  <c r="D740" i="4"/>
  <c r="B741" i="4"/>
  <c r="C741" i="4"/>
  <c r="D741" i="4"/>
  <c r="B742" i="4"/>
  <c r="C742" i="4"/>
  <c r="D742" i="4"/>
  <c r="B743" i="4"/>
  <c r="C743" i="4"/>
  <c r="D743" i="4"/>
  <c r="B744" i="4"/>
  <c r="C744" i="4"/>
  <c r="D744" i="4"/>
  <c r="B745" i="4"/>
  <c r="C745" i="4"/>
  <c r="D745" i="4"/>
  <c r="B746" i="4"/>
  <c r="C746" i="4"/>
  <c r="D746" i="4"/>
  <c r="B747" i="4"/>
  <c r="C747" i="4"/>
  <c r="D747" i="4"/>
  <c r="B748" i="4"/>
  <c r="C748" i="4"/>
  <c r="D748" i="4"/>
  <c r="B749" i="4"/>
  <c r="C749" i="4"/>
  <c r="D749" i="4"/>
  <c r="B750" i="4"/>
  <c r="C750" i="4"/>
  <c r="D750" i="4"/>
  <c r="B751" i="4"/>
  <c r="C751" i="4"/>
  <c r="D751" i="4"/>
  <c r="B752" i="4"/>
  <c r="C752" i="4"/>
  <c r="D752" i="4"/>
  <c r="B753" i="4"/>
  <c r="C753" i="4"/>
  <c r="D753" i="4"/>
  <c r="B754" i="4"/>
  <c r="C754" i="4"/>
  <c r="D754" i="4"/>
  <c r="B755" i="4"/>
  <c r="C755" i="4"/>
  <c r="D755" i="4"/>
  <c r="B756" i="4"/>
  <c r="C756" i="4"/>
  <c r="D756" i="4"/>
  <c r="B757" i="4"/>
  <c r="C757" i="4"/>
  <c r="D757" i="4"/>
  <c r="B758" i="4"/>
  <c r="C758" i="4"/>
  <c r="D758" i="4"/>
  <c r="B759" i="4"/>
  <c r="C759" i="4"/>
  <c r="D759" i="4"/>
  <c r="B760" i="4"/>
  <c r="C760" i="4"/>
  <c r="D760" i="4"/>
  <c r="B761" i="4"/>
  <c r="C761" i="4"/>
  <c r="D761" i="4"/>
  <c r="B762" i="4"/>
  <c r="C762" i="4"/>
  <c r="D762" i="4"/>
  <c r="B763" i="4"/>
  <c r="C763" i="4"/>
  <c r="D763" i="4"/>
  <c r="B764" i="4"/>
  <c r="C764" i="4"/>
  <c r="D764" i="4"/>
  <c r="B765" i="4"/>
  <c r="C765" i="4"/>
  <c r="D765" i="4"/>
  <c r="B766" i="4"/>
  <c r="C766" i="4"/>
  <c r="D766" i="4"/>
  <c r="B767" i="4"/>
  <c r="C767" i="4"/>
  <c r="D767" i="4"/>
  <c r="B768" i="4"/>
  <c r="C768" i="4"/>
  <c r="D768" i="4"/>
  <c r="B769" i="4"/>
  <c r="C769" i="4"/>
  <c r="D769" i="4"/>
  <c r="B770" i="4"/>
  <c r="C770" i="4"/>
  <c r="D770" i="4"/>
  <c r="B771" i="4"/>
  <c r="C771" i="4"/>
  <c r="D771" i="4"/>
  <c r="B772" i="4"/>
  <c r="C772" i="4"/>
  <c r="D772" i="4"/>
  <c r="B773" i="4"/>
  <c r="C773" i="4"/>
  <c r="D773" i="4"/>
  <c r="B774" i="4"/>
  <c r="C774" i="4"/>
  <c r="D774" i="4"/>
  <c r="B775" i="4"/>
  <c r="C775" i="4"/>
  <c r="D775" i="4"/>
  <c r="B776" i="4"/>
  <c r="C776" i="4"/>
  <c r="D776" i="4"/>
  <c r="B777" i="4"/>
  <c r="C777" i="4"/>
  <c r="D777" i="4"/>
  <c r="B778" i="4"/>
  <c r="C778" i="4"/>
  <c r="D778" i="4"/>
  <c r="B779" i="4"/>
  <c r="C779" i="4"/>
  <c r="D779" i="4"/>
  <c r="B780" i="4"/>
  <c r="C780" i="4"/>
  <c r="D780" i="4"/>
  <c r="B781" i="4"/>
  <c r="C781" i="4"/>
  <c r="D781" i="4"/>
  <c r="D2" i="4"/>
  <c r="C2" i="4"/>
  <c r="B2" i="4"/>
  <c r="Y3" i="5" l="1"/>
  <c r="Z3" i="5"/>
  <c r="AA3" i="5"/>
  <c r="AB3" i="5"/>
  <c r="AC3" i="5"/>
  <c r="AD3" i="5"/>
  <c r="Y4" i="5"/>
  <c r="Z4" i="5"/>
  <c r="AA4" i="5"/>
  <c r="AB4" i="5"/>
  <c r="AC4" i="5"/>
  <c r="AD4" i="5"/>
  <c r="Y5" i="5"/>
  <c r="Z5" i="5"/>
  <c r="AA5" i="5"/>
  <c r="AB5" i="5"/>
  <c r="AC5" i="5"/>
  <c r="AD5" i="5"/>
  <c r="Y6" i="5"/>
  <c r="Z6" i="5"/>
  <c r="AA6" i="5"/>
  <c r="AB6" i="5"/>
  <c r="AC6" i="5"/>
  <c r="AD6" i="5"/>
  <c r="Y7" i="5"/>
  <c r="Z7" i="5"/>
  <c r="AA7" i="5"/>
  <c r="AB7" i="5"/>
  <c r="AC7" i="5"/>
  <c r="AD7" i="5"/>
  <c r="Y8" i="5"/>
  <c r="Z8" i="5"/>
  <c r="AA8" i="5"/>
  <c r="AB8" i="5"/>
  <c r="AC8" i="5"/>
  <c r="AD8" i="5"/>
  <c r="Y9" i="5"/>
  <c r="Z9" i="5"/>
  <c r="AA9" i="5"/>
  <c r="AB9" i="5"/>
  <c r="AC9" i="5"/>
  <c r="AD9" i="5"/>
  <c r="Y10" i="5"/>
  <c r="Z10" i="5"/>
  <c r="AA10" i="5"/>
  <c r="AB10" i="5"/>
  <c r="AC10" i="5"/>
  <c r="AD10" i="5"/>
  <c r="Y11" i="5"/>
  <c r="Z11" i="5"/>
  <c r="AA11" i="5"/>
  <c r="AB11" i="5"/>
  <c r="AC11" i="5"/>
  <c r="AD11" i="5"/>
  <c r="Y12" i="5"/>
  <c r="Z12" i="5"/>
  <c r="AA12" i="5"/>
  <c r="AB12" i="5"/>
  <c r="AC12" i="5"/>
  <c r="AD12" i="5"/>
  <c r="Y13" i="5"/>
  <c r="Z13" i="5"/>
  <c r="AA13" i="5"/>
  <c r="AB13" i="5"/>
  <c r="AC13" i="5"/>
  <c r="AD13" i="5"/>
  <c r="Y14" i="5"/>
  <c r="Z14" i="5"/>
  <c r="AA14" i="5"/>
  <c r="AB14" i="5"/>
  <c r="AC14" i="5"/>
  <c r="AD14" i="5"/>
  <c r="Y15" i="5"/>
  <c r="Z15" i="5"/>
  <c r="AA15" i="5"/>
  <c r="AB15" i="5"/>
  <c r="AC15" i="5"/>
  <c r="AD15" i="5"/>
  <c r="Y16" i="5"/>
  <c r="Z16" i="5"/>
  <c r="AA16" i="5"/>
  <c r="AB16" i="5"/>
  <c r="AC16" i="5"/>
  <c r="AD16" i="5"/>
  <c r="Y17" i="5"/>
  <c r="Z17" i="5"/>
  <c r="AA17" i="5"/>
  <c r="AB17" i="5"/>
  <c r="AC17" i="5"/>
  <c r="AD17" i="5"/>
  <c r="Y18" i="5"/>
  <c r="Z18" i="5"/>
  <c r="AA18" i="5"/>
  <c r="AB18" i="5"/>
  <c r="AC18" i="5"/>
  <c r="AD18" i="5"/>
  <c r="Y19" i="5"/>
  <c r="Z19" i="5"/>
  <c r="AA19" i="5"/>
  <c r="AB19" i="5"/>
  <c r="AC19" i="5"/>
  <c r="AD19" i="5"/>
  <c r="Y20" i="5"/>
  <c r="Z20" i="5"/>
  <c r="AA20" i="5"/>
  <c r="AB20" i="5"/>
  <c r="AC20" i="5"/>
  <c r="AD20" i="5"/>
  <c r="Y21" i="5"/>
  <c r="Z21" i="5"/>
  <c r="AA21" i="5"/>
  <c r="AB21" i="5"/>
  <c r="AC21" i="5"/>
  <c r="AD21" i="5"/>
  <c r="Y22" i="5"/>
  <c r="Z22" i="5"/>
  <c r="AA22" i="5"/>
  <c r="AB22" i="5"/>
  <c r="AC22" i="5"/>
  <c r="AD22" i="5"/>
  <c r="Y23" i="5"/>
  <c r="Z23" i="5"/>
  <c r="AA23" i="5"/>
  <c r="AB23" i="5"/>
  <c r="AC23" i="5"/>
  <c r="AD23" i="5"/>
  <c r="Y24" i="5"/>
  <c r="Z24" i="5"/>
  <c r="AA24" i="5"/>
  <c r="AB24" i="5"/>
  <c r="AC24" i="5"/>
  <c r="AD24" i="5"/>
  <c r="Y25" i="5"/>
  <c r="Z25" i="5"/>
  <c r="AA25" i="5"/>
  <c r="AB25" i="5"/>
  <c r="AC25" i="5"/>
  <c r="AD25" i="5"/>
  <c r="Y26" i="5"/>
  <c r="Z26" i="5"/>
  <c r="AA26" i="5"/>
  <c r="AB26" i="5"/>
  <c r="AC26" i="5"/>
  <c r="AD26" i="5"/>
  <c r="Y27" i="5"/>
  <c r="Z27" i="5"/>
  <c r="AA27" i="5"/>
  <c r="AB27" i="5"/>
  <c r="AC27" i="5"/>
  <c r="AD27" i="5"/>
  <c r="Y28" i="5"/>
  <c r="Z28" i="5"/>
  <c r="AA28" i="5"/>
  <c r="AB28" i="5"/>
  <c r="AC28" i="5"/>
  <c r="AD28" i="5"/>
  <c r="Y29" i="5"/>
  <c r="Z29" i="5"/>
  <c r="AA29" i="5"/>
  <c r="AB29" i="5"/>
  <c r="AC29" i="5"/>
  <c r="AD29" i="5"/>
  <c r="Y30" i="5"/>
  <c r="Z30" i="5"/>
  <c r="AA30" i="5"/>
  <c r="AB30" i="5"/>
  <c r="AC30" i="5"/>
  <c r="AD30" i="5"/>
  <c r="Y31" i="5"/>
  <c r="Z31" i="5"/>
  <c r="AA31" i="5"/>
  <c r="AB31" i="5"/>
  <c r="AC31" i="5"/>
  <c r="AD31" i="5"/>
  <c r="Y32" i="5"/>
  <c r="Z32" i="5"/>
  <c r="AA32" i="5"/>
  <c r="AB32" i="5"/>
  <c r="AC32" i="5"/>
  <c r="AD32" i="5"/>
  <c r="Y33" i="5"/>
  <c r="Z33" i="5"/>
  <c r="AA33" i="5"/>
  <c r="AB33" i="5"/>
  <c r="AC33" i="5"/>
  <c r="AD33" i="5"/>
  <c r="Y34" i="5"/>
  <c r="Z34" i="5"/>
  <c r="AA34" i="5"/>
  <c r="AB34" i="5"/>
  <c r="AC34" i="5"/>
  <c r="AD34" i="5"/>
  <c r="Y35" i="5"/>
  <c r="Z35" i="5"/>
  <c r="AA35" i="5"/>
  <c r="AB35" i="5"/>
  <c r="AC35" i="5"/>
  <c r="AD35" i="5"/>
  <c r="Y36" i="5"/>
  <c r="Z36" i="5"/>
  <c r="AA36" i="5"/>
  <c r="AB36" i="5"/>
  <c r="AC36" i="5"/>
  <c r="AD36" i="5"/>
  <c r="Y37" i="5"/>
  <c r="Z37" i="5"/>
  <c r="AA37" i="5"/>
  <c r="AB37" i="5"/>
  <c r="AC37" i="5"/>
  <c r="AD37" i="5"/>
  <c r="Y38" i="5"/>
  <c r="Z38" i="5"/>
  <c r="AA38" i="5"/>
  <c r="AB38" i="5"/>
  <c r="AC38" i="5"/>
  <c r="AD38" i="5"/>
  <c r="Y39" i="5"/>
  <c r="Z39" i="5"/>
  <c r="AA39" i="5"/>
  <c r="AB39" i="5"/>
  <c r="AC39" i="5"/>
  <c r="AD39" i="5"/>
  <c r="Y40" i="5"/>
  <c r="Z40" i="5"/>
  <c r="AA40" i="5"/>
  <c r="AB40" i="5"/>
  <c r="AC40" i="5"/>
  <c r="AD40" i="5"/>
  <c r="Y41" i="5"/>
  <c r="Z41" i="5"/>
  <c r="AA41" i="5"/>
  <c r="AB41" i="5"/>
  <c r="AC41" i="5"/>
  <c r="AD41" i="5"/>
  <c r="Y42" i="5"/>
  <c r="Z42" i="5"/>
  <c r="AA42" i="5"/>
  <c r="AB42" i="5"/>
  <c r="AC42" i="5"/>
  <c r="AD42" i="5"/>
  <c r="Y43" i="5"/>
  <c r="Z43" i="5"/>
  <c r="AA43" i="5"/>
  <c r="AB43" i="5"/>
  <c r="AC43" i="5"/>
  <c r="AD43" i="5"/>
  <c r="Y44" i="5"/>
  <c r="Z44" i="5"/>
  <c r="AA44" i="5"/>
  <c r="AB44" i="5"/>
  <c r="AC44" i="5"/>
  <c r="AD44" i="5"/>
  <c r="Y45" i="5"/>
  <c r="Z45" i="5"/>
  <c r="AA45" i="5"/>
  <c r="AB45" i="5"/>
  <c r="AC45" i="5"/>
  <c r="AD45" i="5"/>
  <c r="Y46" i="5"/>
  <c r="Z46" i="5"/>
  <c r="AA46" i="5"/>
  <c r="AB46" i="5"/>
  <c r="AC46" i="5"/>
  <c r="AD46" i="5"/>
  <c r="Y47" i="5"/>
  <c r="Z47" i="5"/>
  <c r="AA47" i="5"/>
  <c r="AB47" i="5"/>
  <c r="AC47" i="5"/>
  <c r="AD47" i="5"/>
  <c r="Y48" i="5"/>
  <c r="Z48" i="5"/>
  <c r="AA48" i="5"/>
  <c r="AB48" i="5"/>
  <c r="AC48" i="5"/>
  <c r="AD48" i="5"/>
  <c r="Y49" i="5"/>
  <c r="Z49" i="5"/>
  <c r="AA49" i="5"/>
  <c r="AB49" i="5"/>
  <c r="AC49" i="5"/>
  <c r="AD49" i="5"/>
  <c r="Y50" i="5"/>
  <c r="Z50" i="5"/>
  <c r="AA50" i="5"/>
  <c r="AB50" i="5"/>
  <c r="AC50" i="5"/>
  <c r="AD50" i="5"/>
  <c r="Y51" i="5"/>
  <c r="Z51" i="5"/>
  <c r="AA51" i="5"/>
  <c r="AB51" i="5"/>
  <c r="AC51" i="5"/>
  <c r="AD51" i="5"/>
  <c r="Y52" i="5"/>
  <c r="Z52" i="5"/>
  <c r="AA52" i="5"/>
  <c r="AB52" i="5"/>
  <c r="AC52" i="5"/>
  <c r="AD52" i="5"/>
  <c r="Y53" i="5"/>
  <c r="Z53" i="5"/>
  <c r="AA53" i="5"/>
  <c r="AB53" i="5"/>
  <c r="AC53" i="5"/>
  <c r="AD53" i="5"/>
  <c r="Y54" i="5"/>
  <c r="Z54" i="5"/>
  <c r="AA54" i="5"/>
  <c r="AB54" i="5"/>
  <c r="AC54" i="5"/>
  <c r="AD54" i="5"/>
  <c r="Y55" i="5"/>
  <c r="Z55" i="5"/>
  <c r="AA55" i="5"/>
  <c r="AB55" i="5"/>
  <c r="AC55" i="5"/>
  <c r="AD55" i="5"/>
  <c r="Y56" i="5"/>
  <c r="Z56" i="5"/>
  <c r="AA56" i="5"/>
  <c r="AB56" i="5"/>
  <c r="AC56" i="5"/>
  <c r="AD56" i="5"/>
  <c r="Y57" i="5"/>
  <c r="Z57" i="5"/>
  <c r="AA57" i="5"/>
  <c r="AB57" i="5"/>
  <c r="AC57" i="5"/>
  <c r="AD57" i="5"/>
  <c r="Y58" i="5"/>
  <c r="Z58" i="5"/>
  <c r="AA58" i="5"/>
  <c r="AB58" i="5"/>
  <c r="AC58" i="5"/>
  <c r="AD58" i="5"/>
  <c r="Y59" i="5"/>
  <c r="Z59" i="5"/>
  <c r="AA59" i="5"/>
  <c r="AB59" i="5"/>
  <c r="AC59" i="5"/>
  <c r="AD59" i="5"/>
  <c r="Y60" i="5"/>
  <c r="Z60" i="5"/>
  <c r="AA60" i="5"/>
  <c r="AB60" i="5"/>
  <c r="AC60" i="5"/>
  <c r="AD60" i="5"/>
  <c r="Y61" i="5"/>
  <c r="Z61" i="5"/>
  <c r="AA61" i="5"/>
  <c r="AB61" i="5"/>
  <c r="AC61" i="5"/>
  <c r="AD61" i="5"/>
  <c r="Y62" i="5"/>
  <c r="Z62" i="5"/>
  <c r="AA62" i="5"/>
  <c r="AB62" i="5"/>
  <c r="AC62" i="5"/>
  <c r="AD62" i="5"/>
  <c r="Y63" i="5"/>
  <c r="Z63" i="5"/>
  <c r="AA63" i="5"/>
  <c r="AB63" i="5"/>
  <c r="AC63" i="5"/>
  <c r="AD63" i="5"/>
  <c r="Y64" i="5"/>
  <c r="Z64" i="5"/>
  <c r="AA64" i="5"/>
  <c r="AB64" i="5"/>
  <c r="AC64" i="5"/>
  <c r="AD64" i="5"/>
  <c r="Y65" i="5"/>
  <c r="Z65" i="5"/>
  <c r="AA65" i="5"/>
  <c r="AB65" i="5"/>
  <c r="AC65" i="5"/>
  <c r="AD65" i="5"/>
  <c r="Y66" i="5"/>
  <c r="Z66" i="5"/>
  <c r="AA66" i="5"/>
  <c r="AB66" i="5"/>
  <c r="AC66" i="5"/>
  <c r="AD66" i="5"/>
  <c r="Y67" i="5"/>
  <c r="Z67" i="5"/>
  <c r="AA67" i="5"/>
  <c r="AB67" i="5"/>
  <c r="AC67" i="5"/>
  <c r="AD67" i="5"/>
  <c r="Y68" i="5"/>
  <c r="Z68" i="5"/>
  <c r="AA68" i="5"/>
  <c r="AB68" i="5"/>
  <c r="AC68" i="5"/>
  <c r="AD68" i="5"/>
  <c r="Y69" i="5"/>
  <c r="Z69" i="5"/>
  <c r="AA69" i="5"/>
  <c r="AB69" i="5"/>
  <c r="AC69" i="5"/>
  <c r="AD69" i="5"/>
  <c r="Y70" i="5"/>
  <c r="Z70" i="5"/>
  <c r="AA70" i="5"/>
  <c r="AB70" i="5"/>
  <c r="AC70" i="5"/>
  <c r="AD70" i="5"/>
  <c r="Y71" i="5"/>
  <c r="Z71" i="5"/>
  <c r="AA71" i="5"/>
  <c r="AB71" i="5"/>
  <c r="AC71" i="5"/>
  <c r="AD71" i="5"/>
  <c r="Y72" i="5"/>
  <c r="Z72" i="5"/>
  <c r="AA72" i="5"/>
  <c r="AB72" i="5"/>
  <c r="AC72" i="5"/>
  <c r="AD72" i="5"/>
  <c r="Y73" i="5"/>
  <c r="Z73" i="5"/>
  <c r="AA73" i="5"/>
  <c r="AB73" i="5"/>
  <c r="AC73" i="5"/>
  <c r="AD73" i="5"/>
  <c r="Y74" i="5"/>
  <c r="Z74" i="5"/>
  <c r="AA74" i="5"/>
  <c r="AB74" i="5"/>
  <c r="AC74" i="5"/>
  <c r="AD74" i="5"/>
  <c r="Y75" i="5"/>
  <c r="Z75" i="5"/>
  <c r="AA75" i="5"/>
  <c r="AB75" i="5"/>
  <c r="AC75" i="5"/>
  <c r="AD75" i="5"/>
  <c r="Y76" i="5"/>
  <c r="Z76" i="5"/>
  <c r="AA76" i="5"/>
  <c r="AB76" i="5"/>
  <c r="AC76" i="5"/>
  <c r="AD76" i="5"/>
  <c r="Y77" i="5"/>
  <c r="Z77" i="5"/>
  <c r="AA77" i="5"/>
  <c r="AB77" i="5"/>
  <c r="AC77" i="5"/>
  <c r="AD77" i="5"/>
  <c r="Y78" i="5"/>
  <c r="Z78" i="5"/>
  <c r="AA78" i="5"/>
  <c r="AB78" i="5"/>
  <c r="AC78" i="5"/>
  <c r="AD78" i="5"/>
  <c r="Y79" i="5"/>
  <c r="Z79" i="5"/>
  <c r="AA79" i="5"/>
  <c r="AB79" i="5"/>
  <c r="AC79" i="5"/>
  <c r="AD79" i="5"/>
  <c r="Y80" i="5"/>
  <c r="Z80" i="5"/>
  <c r="AA80" i="5"/>
  <c r="AB80" i="5"/>
  <c r="AC80" i="5"/>
  <c r="AD80" i="5"/>
  <c r="Y81" i="5"/>
  <c r="Z81" i="5"/>
  <c r="AA81" i="5"/>
  <c r="AB81" i="5"/>
  <c r="AC81" i="5"/>
  <c r="AD81" i="5"/>
  <c r="Y82" i="5"/>
  <c r="Z82" i="5"/>
  <c r="AA82" i="5"/>
  <c r="AB82" i="5"/>
  <c r="AC82" i="5"/>
  <c r="AD82" i="5"/>
  <c r="Y83" i="5"/>
  <c r="Z83" i="5"/>
  <c r="AA83" i="5"/>
  <c r="AB83" i="5"/>
  <c r="AC83" i="5"/>
  <c r="AD83" i="5"/>
  <c r="Y84" i="5"/>
  <c r="Z84" i="5"/>
  <c r="AA84" i="5"/>
  <c r="AB84" i="5"/>
  <c r="AC84" i="5"/>
  <c r="AD84" i="5"/>
  <c r="Y85" i="5"/>
  <c r="Z85" i="5"/>
  <c r="AA85" i="5"/>
  <c r="AB85" i="5"/>
  <c r="AC85" i="5"/>
  <c r="AD85" i="5"/>
  <c r="Y86" i="5"/>
  <c r="Z86" i="5"/>
  <c r="AA86" i="5"/>
  <c r="AB86" i="5"/>
  <c r="AC86" i="5"/>
  <c r="AD86" i="5"/>
  <c r="Y87" i="5"/>
  <c r="Z87" i="5"/>
  <c r="AA87" i="5"/>
  <c r="AB87" i="5"/>
  <c r="AC87" i="5"/>
  <c r="AD87" i="5"/>
  <c r="Y88" i="5"/>
  <c r="Z88" i="5"/>
  <c r="AA88" i="5"/>
  <c r="AB88" i="5"/>
  <c r="AC88" i="5"/>
  <c r="AD88" i="5"/>
  <c r="Y89" i="5"/>
  <c r="Z89" i="5"/>
  <c r="AA89" i="5"/>
  <c r="AB89" i="5"/>
  <c r="AC89" i="5"/>
  <c r="AD89" i="5"/>
  <c r="Y90" i="5"/>
  <c r="Z90" i="5"/>
  <c r="AA90" i="5"/>
  <c r="AB90" i="5"/>
  <c r="AC90" i="5"/>
  <c r="AD90" i="5"/>
  <c r="Y91" i="5"/>
  <c r="Z91" i="5"/>
  <c r="AA91" i="5"/>
  <c r="AB91" i="5"/>
  <c r="AC91" i="5"/>
  <c r="AD91" i="5"/>
  <c r="Y92" i="5"/>
  <c r="Z92" i="5"/>
  <c r="AA92" i="5"/>
  <c r="AB92" i="5"/>
  <c r="AC92" i="5"/>
  <c r="AD92" i="5"/>
  <c r="Y93" i="5"/>
  <c r="Z93" i="5"/>
  <c r="AA93" i="5"/>
  <c r="AB93" i="5"/>
  <c r="AC93" i="5"/>
  <c r="AD93" i="5"/>
  <c r="Y94" i="5"/>
  <c r="Z94" i="5"/>
  <c r="AA94" i="5"/>
  <c r="AB94" i="5"/>
  <c r="AC94" i="5"/>
  <c r="AD94" i="5"/>
  <c r="Y95" i="5"/>
  <c r="Z95" i="5"/>
  <c r="AA95" i="5"/>
  <c r="AB95" i="5"/>
  <c r="AC95" i="5"/>
  <c r="AD95" i="5"/>
  <c r="Y96" i="5"/>
  <c r="Z96" i="5"/>
  <c r="AA96" i="5"/>
  <c r="AB96" i="5"/>
  <c r="AC96" i="5"/>
  <c r="AD96" i="5"/>
  <c r="Y97" i="5"/>
  <c r="Z97" i="5"/>
  <c r="AA97" i="5"/>
  <c r="AB97" i="5"/>
  <c r="AC97" i="5"/>
  <c r="AD97" i="5"/>
  <c r="Y98" i="5"/>
  <c r="Z98" i="5"/>
  <c r="AA98" i="5"/>
  <c r="AB98" i="5"/>
  <c r="AC98" i="5"/>
  <c r="AD98" i="5"/>
  <c r="Y99" i="5"/>
  <c r="Z99" i="5"/>
  <c r="AA99" i="5"/>
  <c r="AB99" i="5"/>
  <c r="AC99" i="5"/>
  <c r="AD99" i="5"/>
  <c r="Y100" i="5"/>
  <c r="Z100" i="5"/>
  <c r="AA100" i="5"/>
  <c r="AB100" i="5"/>
  <c r="AC100" i="5"/>
  <c r="AD100" i="5"/>
  <c r="Y101" i="5"/>
  <c r="Z101" i="5"/>
  <c r="AA101" i="5"/>
  <c r="AB101" i="5"/>
  <c r="AC101" i="5"/>
  <c r="AD101" i="5"/>
  <c r="Y102" i="5"/>
  <c r="Z102" i="5"/>
  <c r="AA102" i="5"/>
  <c r="AB102" i="5"/>
  <c r="AC102" i="5"/>
  <c r="AD102" i="5"/>
  <c r="Y103" i="5"/>
  <c r="Z103" i="5"/>
  <c r="AA103" i="5"/>
  <c r="AB103" i="5"/>
  <c r="AC103" i="5"/>
  <c r="AD103" i="5"/>
  <c r="Y104" i="5"/>
  <c r="Z104" i="5"/>
  <c r="AA104" i="5"/>
  <c r="AB104" i="5"/>
  <c r="AC104" i="5"/>
  <c r="AD104" i="5"/>
  <c r="Y105" i="5"/>
  <c r="Z105" i="5"/>
  <c r="AA105" i="5"/>
  <c r="AB105" i="5"/>
  <c r="AC105" i="5"/>
  <c r="AD105" i="5"/>
  <c r="Y106" i="5"/>
  <c r="Z106" i="5"/>
  <c r="AA106" i="5"/>
  <c r="AB106" i="5"/>
  <c r="AC106" i="5"/>
  <c r="AD106" i="5"/>
  <c r="Y107" i="5"/>
  <c r="Z107" i="5"/>
  <c r="AA107" i="5"/>
  <c r="AB107" i="5"/>
  <c r="AC107" i="5"/>
  <c r="AD107" i="5"/>
  <c r="Y108" i="5"/>
  <c r="Z108" i="5"/>
  <c r="AA108" i="5"/>
  <c r="AB108" i="5"/>
  <c r="AC108" i="5"/>
  <c r="AD108" i="5"/>
  <c r="Y109" i="5"/>
  <c r="Z109" i="5"/>
  <c r="AA109" i="5"/>
  <c r="AB109" i="5"/>
  <c r="AC109" i="5"/>
  <c r="AD109" i="5"/>
  <c r="Y110" i="5"/>
  <c r="Z110" i="5"/>
  <c r="AA110" i="5"/>
  <c r="AB110" i="5"/>
  <c r="AC110" i="5"/>
  <c r="AD110" i="5"/>
  <c r="Y111" i="5"/>
  <c r="Z111" i="5"/>
  <c r="AA111" i="5"/>
  <c r="AB111" i="5"/>
  <c r="AC111" i="5"/>
  <c r="AD111" i="5"/>
  <c r="Y112" i="5"/>
  <c r="Z112" i="5"/>
  <c r="AA112" i="5"/>
  <c r="AB112" i="5"/>
  <c r="AC112" i="5"/>
  <c r="AD112" i="5"/>
  <c r="Y113" i="5"/>
  <c r="Z113" i="5"/>
  <c r="AA113" i="5"/>
  <c r="AB113" i="5"/>
  <c r="AC113" i="5"/>
  <c r="AD113" i="5"/>
  <c r="Y114" i="5"/>
  <c r="Z114" i="5"/>
  <c r="AA114" i="5"/>
  <c r="AB114" i="5"/>
  <c r="AC114" i="5"/>
  <c r="AD114" i="5"/>
  <c r="Y115" i="5"/>
  <c r="Z115" i="5"/>
  <c r="AA115" i="5"/>
  <c r="AB115" i="5"/>
  <c r="AC115" i="5"/>
  <c r="AD115" i="5"/>
  <c r="Y116" i="5"/>
  <c r="Z116" i="5"/>
  <c r="AA116" i="5"/>
  <c r="AB116" i="5"/>
  <c r="AC116" i="5"/>
  <c r="AD116" i="5"/>
  <c r="Y117" i="5"/>
  <c r="Z117" i="5"/>
  <c r="AA117" i="5"/>
  <c r="AB117" i="5"/>
  <c r="AC117" i="5"/>
  <c r="AD117" i="5"/>
  <c r="Y118" i="5"/>
  <c r="Z118" i="5"/>
  <c r="AA118" i="5"/>
  <c r="AB118" i="5"/>
  <c r="AC118" i="5"/>
  <c r="AD118" i="5"/>
  <c r="Y119" i="5"/>
  <c r="Z119" i="5"/>
  <c r="AA119" i="5"/>
  <c r="AB119" i="5"/>
  <c r="AC119" i="5"/>
  <c r="AD119" i="5"/>
  <c r="Y120" i="5"/>
  <c r="Z120" i="5"/>
  <c r="AA120" i="5"/>
  <c r="AB120" i="5"/>
  <c r="AC120" i="5"/>
  <c r="AD120" i="5"/>
  <c r="Y121" i="5"/>
  <c r="Z121" i="5"/>
  <c r="AA121" i="5"/>
  <c r="AB121" i="5"/>
  <c r="AC121" i="5"/>
  <c r="AD121" i="5"/>
  <c r="Y122" i="5"/>
  <c r="Z122" i="5"/>
  <c r="AA122" i="5"/>
  <c r="AB122" i="5"/>
  <c r="AC122" i="5"/>
  <c r="AD122" i="5"/>
  <c r="Y123" i="5"/>
  <c r="Z123" i="5"/>
  <c r="AA123" i="5"/>
  <c r="AB123" i="5"/>
  <c r="AC123" i="5"/>
  <c r="AD123" i="5"/>
  <c r="Y124" i="5"/>
  <c r="Z124" i="5"/>
  <c r="AA124" i="5"/>
  <c r="AB124" i="5"/>
  <c r="AC124" i="5"/>
  <c r="AD124" i="5"/>
  <c r="Y125" i="5"/>
  <c r="Z125" i="5"/>
  <c r="AA125" i="5"/>
  <c r="AB125" i="5"/>
  <c r="AC125" i="5"/>
  <c r="AD125" i="5"/>
  <c r="Y126" i="5"/>
  <c r="Z126" i="5"/>
  <c r="AA126" i="5"/>
  <c r="AB126" i="5"/>
  <c r="AC126" i="5"/>
  <c r="AD126" i="5"/>
  <c r="Y127" i="5"/>
  <c r="Z127" i="5"/>
  <c r="AA127" i="5"/>
  <c r="AB127" i="5"/>
  <c r="AC127" i="5"/>
  <c r="AD127" i="5"/>
  <c r="Y128" i="5"/>
  <c r="Z128" i="5"/>
  <c r="AA128" i="5"/>
  <c r="AB128" i="5"/>
  <c r="AC128" i="5"/>
  <c r="AD128" i="5"/>
  <c r="Y129" i="5"/>
  <c r="Z129" i="5"/>
  <c r="AA129" i="5"/>
  <c r="AB129" i="5"/>
  <c r="AC129" i="5"/>
  <c r="AD129" i="5"/>
  <c r="Y130" i="5"/>
  <c r="Z130" i="5"/>
  <c r="AA130" i="5"/>
  <c r="AB130" i="5"/>
  <c r="AC130" i="5"/>
  <c r="AD130" i="5"/>
  <c r="Y131" i="5"/>
  <c r="Z131" i="5"/>
  <c r="AA131" i="5"/>
  <c r="AB131" i="5"/>
  <c r="AC131" i="5"/>
  <c r="AD131" i="5"/>
  <c r="Y132" i="5"/>
  <c r="Z132" i="5"/>
  <c r="AA132" i="5"/>
  <c r="AB132" i="5"/>
  <c r="AC132" i="5"/>
  <c r="AD132" i="5"/>
  <c r="Y133" i="5"/>
  <c r="Z133" i="5"/>
  <c r="AA133" i="5"/>
  <c r="AB133" i="5"/>
  <c r="AC133" i="5"/>
  <c r="AD133" i="5"/>
  <c r="Y134" i="5"/>
  <c r="Z134" i="5"/>
  <c r="AA134" i="5"/>
  <c r="AB134" i="5"/>
  <c r="AC134" i="5"/>
  <c r="AD134" i="5"/>
  <c r="Y135" i="5"/>
  <c r="Z135" i="5"/>
  <c r="AA135" i="5"/>
  <c r="AB135" i="5"/>
  <c r="AC135" i="5"/>
  <c r="AD135" i="5"/>
  <c r="Y136" i="5"/>
  <c r="Z136" i="5"/>
  <c r="AA136" i="5"/>
  <c r="AB136" i="5"/>
  <c r="AC136" i="5"/>
  <c r="AD136" i="5"/>
  <c r="Y137" i="5"/>
  <c r="Z137" i="5"/>
  <c r="AA137" i="5"/>
  <c r="AB137" i="5"/>
  <c r="AC137" i="5"/>
  <c r="AD137" i="5"/>
  <c r="Y138" i="5"/>
  <c r="Z138" i="5"/>
  <c r="AA138" i="5"/>
  <c r="AB138" i="5"/>
  <c r="AC138" i="5"/>
  <c r="AD138" i="5"/>
  <c r="Y139" i="5"/>
  <c r="Z139" i="5"/>
  <c r="AA139" i="5"/>
  <c r="AB139" i="5"/>
  <c r="AC139" i="5"/>
  <c r="AD139" i="5"/>
  <c r="Y140" i="5"/>
  <c r="Z140" i="5"/>
  <c r="AA140" i="5"/>
  <c r="AB140" i="5"/>
  <c r="AC140" i="5"/>
  <c r="AD140" i="5"/>
  <c r="Y141" i="5"/>
  <c r="Z141" i="5"/>
  <c r="AA141" i="5"/>
  <c r="AB141" i="5"/>
  <c r="AC141" i="5"/>
  <c r="AD141" i="5"/>
  <c r="Y142" i="5"/>
  <c r="Z142" i="5"/>
  <c r="AA142" i="5"/>
  <c r="AB142" i="5"/>
  <c r="AC142" i="5"/>
  <c r="AD142" i="5"/>
  <c r="Y143" i="5"/>
  <c r="Z143" i="5"/>
  <c r="AA143" i="5"/>
  <c r="AB143" i="5"/>
  <c r="AC143" i="5"/>
  <c r="AD143" i="5"/>
  <c r="Y144" i="5"/>
  <c r="Z144" i="5"/>
  <c r="AA144" i="5"/>
  <c r="AB144" i="5"/>
  <c r="AC144" i="5"/>
  <c r="AD144" i="5"/>
  <c r="Y145" i="5"/>
  <c r="Z145" i="5"/>
  <c r="AA145" i="5"/>
  <c r="AB145" i="5"/>
  <c r="AC145" i="5"/>
  <c r="AD145" i="5"/>
  <c r="Y146" i="5"/>
  <c r="Z146" i="5"/>
  <c r="AA146" i="5"/>
  <c r="AB146" i="5"/>
  <c r="AC146" i="5"/>
  <c r="AD146" i="5"/>
  <c r="Y147" i="5"/>
  <c r="Z147" i="5"/>
  <c r="AA147" i="5"/>
  <c r="AB147" i="5"/>
  <c r="AC147" i="5"/>
  <c r="AD147" i="5"/>
  <c r="Y148" i="5"/>
  <c r="Z148" i="5"/>
  <c r="AA148" i="5"/>
  <c r="AB148" i="5"/>
  <c r="AC148" i="5"/>
  <c r="AD148" i="5"/>
  <c r="Y149" i="5"/>
  <c r="Z149" i="5"/>
  <c r="AA149" i="5"/>
  <c r="AB149" i="5"/>
  <c r="AC149" i="5"/>
  <c r="AD149" i="5"/>
  <c r="Y150" i="5"/>
  <c r="Z150" i="5"/>
  <c r="AA150" i="5"/>
  <c r="AB150" i="5"/>
  <c r="AC150" i="5"/>
  <c r="AD150" i="5"/>
  <c r="Y151" i="5"/>
  <c r="Z151" i="5"/>
  <c r="AA151" i="5"/>
  <c r="AB151" i="5"/>
  <c r="AC151" i="5"/>
  <c r="AD151" i="5"/>
  <c r="Y152" i="5"/>
  <c r="Z152" i="5"/>
  <c r="AA152" i="5"/>
  <c r="AB152" i="5"/>
  <c r="AC152" i="5"/>
  <c r="AD152" i="5"/>
  <c r="Y153" i="5"/>
  <c r="Z153" i="5"/>
  <c r="AA153" i="5"/>
  <c r="AB153" i="5"/>
  <c r="AC153" i="5"/>
  <c r="AD153" i="5"/>
  <c r="Y154" i="5"/>
  <c r="Z154" i="5"/>
  <c r="AA154" i="5"/>
  <c r="AB154" i="5"/>
  <c r="AC154" i="5"/>
  <c r="AD154" i="5"/>
  <c r="Y155" i="5"/>
  <c r="Z155" i="5"/>
  <c r="AA155" i="5"/>
  <c r="AB155" i="5"/>
  <c r="AC155" i="5"/>
  <c r="AD155" i="5"/>
  <c r="Y156" i="5"/>
  <c r="Z156" i="5"/>
  <c r="AA156" i="5"/>
  <c r="AB156" i="5"/>
  <c r="AC156" i="5"/>
  <c r="AD156" i="5"/>
  <c r="Y157" i="5"/>
  <c r="Z157" i="5"/>
  <c r="AA157" i="5"/>
  <c r="AB157" i="5"/>
  <c r="AC157" i="5"/>
  <c r="AD157" i="5"/>
  <c r="Y158" i="5"/>
  <c r="Z158" i="5"/>
  <c r="AA158" i="5"/>
  <c r="AB158" i="5"/>
  <c r="AC158" i="5"/>
  <c r="AD158" i="5"/>
  <c r="Y159" i="5"/>
  <c r="Z159" i="5"/>
  <c r="AA159" i="5"/>
  <c r="AB159" i="5"/>
  <c r="AC159" i="5"/>
  <c r="AD159" i="5"/>
  <c r="Y160" i="5"/>
  <c r="Z160" i="5"/>
  <c r="AA160" i="5"/>
  <c r="AB160" i="5"/>
  <c r="AC160" i="5"/>
  <c r="AD160" i="5"/>
  <c r="Y161" i="5"/>
  <c r="Z161" i="5"/>
  <c r="AA161" i="5"/>
  <c r="AB161" i="5"/>
  <c r="AC161" i="5"/>
  <c r="AD161" i="5"/>
  <c r="Y162" i="5"/>
  <c r="Z162" i="5"/>
  <c r="AA162" i="5"/>
  <c r="AB162" i="5"/>
  <c r="AC162" i="5"/>
  <c r="AD162" i="5"/>
  <c r="Y163" i="5"/>
  <c r="Z163" i="5"/>
  <c r="AA163" i="5"/>
  <c r="AB163" i="5"/>
  <c r="AC163" i="5"/>
  <c r="AD163" i="5"/>
  <c r="Y164" i="5"/>
  <c r="Z164" i="5"/>
  <c r="AA164" i="5"/>
  <c r="AB164" i="5"/>
  <c r="AC164" i="5"/>
  <c r="AD164" i="5"/>
  <c r="Y165" i="5"/>
  <c r="Z165" i="5"/>
  <c r="AA165" i="5"/>
  <c r="AB165" i="5"/>
  <c r="AC165" i="5"/>
  <c r="AD165" i="5"/>
  <c r="Y166" i="5"/>
  <c r="Z166" i="5"/>
  <c r="AA166" i="5"/>
  <c r="AB166" i="5"/>
  <c r="AC166" i="5"/>
  <c r="AD166" i="5"/>
  <c r="Y167" i="5"/>
  <c r="Z167" i="5"/>
  <c r="AA167" i="5"/>
  <c r="AB167" i="5"/>
  <c r="AC167" i="5"/>
  <c r="AD167" i="5"/>
  <c r="Y168" i="5"/>
  <c r="Z168" i="5"/>
  <c r="AA168" i="5"/>
  <c r="AB168" i="5"/>
  <c r="AC168" i="5"/>
  <c r="AD168" i="5"/>
  <c r="Y169" i="5"/>
  <c r="Z169" i="5"/>
  <c r="AA169" i="5"/>
  <c r="AB169" i="5"/>
  <c r="AC169" i="5"/>
  <c r="AD169" i="5"/>
  <c r="Y170" i="5"/>
  <c r="Z170" i="5"/>
  <c r="AA170" i="5"/>
  <c r="AB170" i="5"/>
  <c r="AC170" i="5"/>
  <c r="AD170" i="5"/>
  <c r="Y171" i="5"/>
  <c r="Z171" i="5"/>
  <c r="AA171" i="5"/>
  <c r="AB171" i="5"/>
  <c r="AC171" i="5"/>
  <c r="AD171" i="5"/>
  <c r="Y172" i="5"/>
  <c r="Z172" i="5"/>
  <c r="AA172" i="5"/>
  <c r="AB172" i="5"/>
  <c r="AC172" i="5"/>
  <c r="AD172" i="5"/>
  <c r="Y173" i="5"/>
  <c r="Z173" i="5"/>
  <c r="AA173" i="5"/>
  <c r="AB173" i="5"/>
  <c r="AC173" i="5"/>
  <c r="AD173" i="5"/>
  <c r="Y174" i="5"/>
  <c r="Z174" i="5"/>
  <c r="AA174" i="5"/>
  <c r="AB174" i="5"/>
  <c r="AC174" i="5"/>
  <c r="AD174" i="5"/>
  <c r="Y175" i="5"/>
  <c r="Z175" i="5"/>
  <c r="AA175" i="5"/>
  <c r="AB175" i="5"/>
  <c r="AC175" i="5"/>
  <c r="AD175" i="5"/>
  <c r="Y176" i="5"/>
  <c r="Z176" i="5"/>
  <c r="AA176" i="5"/>
  <c r="AB176" i="5"/>
  <c r="AC176" i="5"/>
  <c r="AD176" i="5"/>
  <c r="Y177" i="5"/>
  <c r="Z177" i="5"/>
  <c r="AA177" i="5"/>
  <c r="AB177" i="5"/>
  <c r="AC177" i="5"/>
  <c r="AD177" i="5"/>
  <c r="Y178" i="5"/>
  <c r="Z178" i="5"/>
  <c r="AA178" i="5"/>
  <c r="AB178" i="5"/>
  <c r="AC178" i="5"/>
  <c r="AD178" i="5"/>
  <c r="Y179" i="5"/>
  <c r="Z179" i="5"/>
  <c r="AA179" i="5"/>
  <c r="AB179" i="5"/>
  <c r="AC179" i="5"/>
  <c r="AD179" i="5"/>
  <c r="Y180" i="5"/>
  <c r="Z180" i="5"/>
  <c r="AA180" i="5"/>
  <c r="AB180" i="5"/>
  <c r="AC180" i="5"/>
  <c r="AD180" i="5"/>
  <c r="Y181" i="5"/>
  <c r="Z181" i="5"/>
  <c r="AA181" i="5"/>
  <c r="AB181" i="5"/>
  <c r="AC181" i="5"/>
  <c r="AD181" i="5"/>
  <c r="Y182" i="5"/>
  <c r="Z182" i="5"/>
  <c r="AA182" i="5"/>
  <c r="AB182" i="5"/>
  <c r="AC182" i="5"/>
  <c r="AD182" i="5"/>
  <c r="Y183" i="5"/>
  <c r="Z183" i="5"/>
  <c r="AA183" i="5"/>
  <c r="AB183" i="5"/>
  <c r="AC183" i="5"/>
  <c r="AD183" i="5"/>
  <c r="Y184" i="5"/>
  <c r="Z184" i="5"/>
  <c r="AA184" i="5"/>
  <c r="AB184" i="5"/>
  <c r="AC184" i="5"/>
  <c r="AD184" i="5"/>
  <c r="AD2" i="5"/>
  <c r="AC2" i="5"/>
  <c r="AB2" i="5"/>
  <c r="AA2" i="5"/>
  <c r="Z2" i="5"/>
  <c r="Y2" i="5"/>
  <c r="R3" i="5"/>
  <c r="S3" i="5"/>
  <c r="T3" i="5"/>
  <c r="U3" i="5"/>
  <c r="V3" i="5"/>
  <c r="W3" i="5"/>
  <c r="R4" i="5"/>
  <c r="S4" i="5"/>
  <c r="T4" i="5"/>
  <c r="U4" i="5"/>
  <c r="V4" i="5"/>
  <c r="W4" i="5"/>
  <c r="R5" i="5"/>
  <c r="S5" i="5"/>
  <c r="T5" i="5"/>
  <c r="U5" i="5"/>
  <c r="V5" i="5"/>
  <c r="W5" i="5"/>
  <c r="R6" i="5"/>
  <c r="S6" i="5"/>
  <c r="T6" i="5"/>
  <c r="U6" i="5"/>
  <c r="V6" i="5"/>
  <c r="W6" i="5"/>
  <c r="R7" i="5"/>
  <c r="S7" i="5"/>
  <c r="T7" i="5"/>
  <c r="U7" i="5"/>
  <c r="V7" i="5"/>
  <c r="W7" i="5"/>
  <c r="R8" i="5"/>
  <c r="S8" i="5"/>
  <c r="T8" i="5"/>
  <c r="U8" i="5"/>
  <c r="V8" i="5"/>
  <c r="W8" i="5"/>
  <c r="R9" i="5"/>
  <c r="S9" i="5"/>
  <c r="T9" i="5"/>
  <c r="U9" i="5"/>
  <c r="V9" i="5"/>
  <c r="W9" i="5"/>
  <c r="R10" i="5"/>
  <c r="S10" i="5"/>
  <c r="T10" i="5"/>
  <c r="U10" i="5"/>
  <c r="V10" i="5"/>
  <c r="W10" i="5"/>
  <c r="R11" i="5"/>
  <c r="S11" i="5"/>
  <c r="T11" i="5"/>
  <c r="U11" i="5"/>
  <c r="V11" i="5"/>
  <c r="W11" i="5"/>
  <c r="R12" i="5"/>
  <c r="S12" i="5"/>
  <c r="T12" i="5"/>
  <c r="U12" i="5"/>
  <c r="V12" i="5"/>
  <c r="W12" i="5"/>
  <c r="R13" i="5"/>
  <c r="S13" i="5"/>
  <c r="T13" i="5"/>
  <c r="U13" i="5"/>
  <c r="V13" i="5"/>
  <c r="W13" i="5"/>
  <c r="R14" i="5"/>
  <c r="S14" i="5"/>
  <c r="T14" i="5"/>
  <c r="U14" i="5"/>
  <c r="V14" i="5"/>
  <c r="W14" i="5"/>
  <c r="R15" i="5"/>
  <c r="S15" i="5"/>
  <c r="T15" i="5"/>
  <c r="U15" i="5"/>
  <c r="V15" i="5"/>
  <c r="W15" i="5"/>
  <c r="R16" i="5"/>
  <c r="S16" i="5"/>
  <c r="T16" i="5"/>
  <c r="U16" i="5"/>
  <c r="V16" i="5"/>
  <c r="W16" i="5"/>
  <c r="R17" i="5"/>
  <c r="S17" i="5"/>
  <c r="T17" i="5"/>
  <c r="U17" i="5"/>
  <c r="V17" i="5"/>
  <c r="W17" i="5"/>
  <c r="R18" i="5"/>
  <c r="S18" i="5"/>
  <c r="T18" i="5"/>
  <c r="U18" i="5"/>
  <c r="V18" i="5"/>
  <c r="W18" i="5"/>
  <c r="R19" i="5"/>
  <c r="S19" i="5"/>
  <c r="T19" i="5"/>
  <c r="U19" i="5"/>
  <c r="V19" i="5"/>
  <c r="W19" i="5"/>
  <c r="R20" i="5"/>
  <c r="S20" i="5"/>
  <c r="T20" i="5"/>
  <c r="U20" i="5"/>
  <c r="V20" i="5"/>
  <c r="W20" i="5"/>
  <c r="R21" i="5"/>
  <c r="S21" i="5"/>
  <c r="T21" i="5"/>
  <c r="U21" i="5"/>
  <c r="V21" i="5"/>
  <c r="W21" i="5"/>
  <c r="R22" i="5"/>
  <c r="S22" i="5"/>
  <c r="T22" i="5"/>
  <c r="U22" i="5"/>
  <c r="V22" i="5"/>
  <c r="W22" i="5"/>
  <c r="R23" i="5"/>
  <c r="S23" i="5"/>
  <c r="T23" i="5"/>
  <c r="U23" i="5"/>
  <c r="V23" i="5"/>
  <c r="W23" i="5"/>
  <c r="R24" i="5"/>
  <c r="S24" i="5"/>
  <c r="T24" i="5"/>
  <c r="U24" i="5"/>
  <c r="V24" i="5"/>
  <c r="W24" i="5"/>
  <c r="R25" i="5"/>
  <c r="S25" i="5"/>
  <c r="T25" i="5"/>
  <c r="U25" i="5"/>
  <c r="V25" i="5"/>
  <c r="W25" i="5"/>
  <c r="R26" i="5"/>
  <c r="S26" i="5"/>
  <c r="T26" i="5"/>
  <c r="U26" i="5"/>
  <c r="V26" i="5"/>
  <c r="W26" i="5"/>
  <c r="R27" i="5"/>
  <c r="S27" i="5"/>
  <c r="T27" i="5"/>
  <c r="U27" i="5"/>
  <c r="V27" i="5"/>
  <c r="W27" i="5"/>
  <c r="R28" i="5"/>
  <c r="S28" i="5"/>
  <c r="T28" i="5"/>
  <c r="U28" i="5"/>
  <c r="V28" i="5"/>
  <c r="W28" i="5"/>
  <c r="R29" i="5"/>
  <c r="S29" i="5"/>
  <c r="T29" i="5"/>
  <c r="U29" i="5"/>
  <c r="V29" i="5"/>
  <c r="W29" i="5"/>
  <c r="R30" i="5"/>
  <c r="S30" i="5"/>
  <c r="T30" i="5"/>
  <c r="U30" i="5"/>
  <c r="V30" i="5"/>
  <c r="W30" i="5"/>
  <c r="R31" i="5"/>
  <c r="S31" i="5"/>
  <c r="T31" i="5"/>
  <c r="U31" i="5"/>
  <c r="V31" i="5"/>
  <c r="W31" i="5"/>
  <c r="R32" i="5"/>
  <c r="S32" i="5"/>
  <c r="T32" i="5"/>
  <c r="U32" i="5"/>
  <c r="V32" i="5"/>
  <c r="W32" i="5"/>
  <c r="R33" i="5"/>
  <c r="S33" i="5"/>
  <c r="T33" i="5"/>
  <c r="U33" i="5"/>
  <c r="V33" i="5"/>
  <c r="W33" i="5"/>
  <c r="R34" i="5"/>
  <c r="S34" i="5"/>
  <c r="T34" i="5"/>
  <c r="U34" i="5"/>
  <c r="V34" i="5"/>
  <c r="W34" i="5"/>
  <c r="R35" i="5"/>
  <c r="S35" i="5"/>
  <c r="T35" i="5"/>
  <c r="U35" i="5"/>
  <c r="V35" i="5"/>
  <c r="W35" i="5"/>
  <c r="R36" i="5"/>
  <c r="S36" i="5"/>
  <c r="T36" i="5"/>
  <c r="U36" i="5"/>
  <c r="V36" i="5"/>
  <c r="W36" i="5"/>
  <c r="R37" i="5"/>
  <c r="S37" i="5"/>
  <c r="T37" i="5"/>
  <c r="U37" i="5"/>
  <c r="V37" i="5"/>
  <c r="W37" i="5"/>
  <c r="R38" i="5"/>
  <c r="S38" i="5"/>
  <c r="T38" i="5"/>
  <c r="U38" i="5"/>
  <c r="V38" i="5"/>
  <c r="W38" i="5"/>
  <c r="R39" i="5"/>
  <c r="S39" i="5"/>
  <c r="T39" i="5"/>
  <c r="U39" i="5"/>
  <c r="V39" i="5"/>
  <c r="W39" i="5"/>
  <c r="R40" i="5"/>
  <c r="S40" i="5"/>
  <c r="T40" i="5"/>
  <c r="U40" i="5"/>
  <c r="V40" i="5"/>
  <c r="W40" i="5"/>
  <c r="R41" i="5"/>
  <c r="S41" i="5"/>
  <c r="T41" i="5"/>
  <c r="U41" i="5"/>
  <c r="V41" i="5"/>
  <c r="W41" i="5"/>
  <c r="R42" i="5"/>
  <c r="S42" i="5"/>
  <c r="T42" i="5"/>
  <c r="U42" i="5"/>
  <c r="V42" i="5"/>
  <c r="W42" i="5"/>
  <c r="R43" i="5"/>
  <c r="S43" i="5"/>
  <c r="T43" i="5"/>
  <c r="U43" i="5"/>
  <c r="V43" i="5"/>
  <c r="W43" i="5"/>
  <c r="R44" i="5"/>
  <c r="S44" i="5"/>
  <c r="T44" i="5"/>
  <c r="U44" i="5"/>
  <c r="V44" i="5"/>
  <c r="W44" i="5"/>
  <c r="R45" i="5"/>
  <c r="S45" i="5"/>
  <c r="T45" i="5"/>
  <c r="U45" i="5"/>
  <c r="V45" i="5"/>
  <c r="W45" i="5"/>
  <c r="R46" i="5"/>
  <c r="S46" i="5"/>
  <c r="T46" i="5"/>
  <c r="U46" i="5"/>
  <c r="V46" i="5"/>
  <c r="W46" i="5"/>
  <c r="R47" i="5"/>
  <c r="S47" i="5"/>
  <c r="T47" i="5"/>
  <c r="U47" i="5"/>
  <c r="V47" i="5"/>
  <c r="W47" i="5"/>
  <c r="R48" i="5"/>
  <c r="S48" i="5"/>
  <c r="T48" i="5"/>
  <c r="U48" i="5"/>
  <c r="V48" i="5"/>
  <c r="W48" i="5"/>
  <c r="R49" i="5"/>
  <c r="S49" i="5"/>
  <c r="T49" i="5"/>
  <c r="U49" i="5"/>
  <c r="V49" i="5"/>
  <c r="W49" i="5"/>
  <c r="R50" i="5"/>
  <c r="S50" i="5"/>
  <c r="T50" i="5"/>
  <c r="U50" i="5"/>
  <c r="V50" i="5"/>
  <c r="W50" i="5"/>
  <c r="R51" i="5"/>
  <c r="S51" i="5"/>
  <c r="T51" i="5"/>
  <c r="U51" i="5"/>
  <c r="V51" i="5"/>
  <c r="W51" i="5"/>
  <c r="R52" i="5"/>
  <c r="S52" i="5"/>
  <c r="T52" i="5"/>
  <c r="U52" i="5"/>
  <c r="V52" i="5"/>
  <c r="W52" i="5"/>
  <c r="R53" i="5"/>
  <c r="S53" i="5"/>
  <c r="T53" i="5"/>
  <c r="U53" i="5"/>
  <c r="V53" i="5"/>
  <c r="W53" i="5"/>
  <c r="R54" i="5"/>
  <c r="S54" i="5"/>
  <c r="T54" i="5"/>
  <c r="U54" i="5"/>
  <c r="V54" i="5"/>
  <c r="W54" i="5"/>
  <c r="R55" i="5"/>
  <c r="S55" i="5"/>
  <c r="T55" i="5"/>
  <c r="U55" i="5"/>
  <c r="V55" i="5"/>
  <c r="W55" i="5"/>
  <c r="R56" i="5"/>
  <c r="S56" i="5"/>
  <c r="T56" i="5"/>
  <c r="U56" i="5"/>
  <c r="V56" i="5"/>
  <c r="W56" i="5"/>
  <c r="R57" i="5"/>
  <c r="S57" i="5"/>
  <c r="T57" i="5"/>
  <c r="U57" i="5"/>
  <c r="V57" i="5"/>
  <c r="W57" i="5"/>
  <c r="R58" i="5"/>
  <c r="S58" i="5"/>
  <c r="T58" i="5"/>
  <c r="U58" i="5"/>
  <c r="V58" i="5"/>
  <c r="W58" i="5"/>
  <c r="R59" i="5"/>
  <c r="S59" i="5"/>
  <c r="T59" i="5"/>
  <c r="U59" i="5"/>
  <c r="V59" i="5"/>
  <c r="W59" i="5"/>
  <c r="R60" i="5"/>
  <c r="S60" i="5"/>
  <c r="T60" i="5"/>
  <c r="U60" i="5"/>
  <c r="V60" i="5"/>
  <c r="W60" i="5"/>
  <c r="R61" i="5"/>
  <c r="S61" i="5"/>
  <c r="T61" i="5"/>
  <c r="U61" i="5"/>
  <c r="V61" i="5"/>
  <c r="W61" i="5"/>
  <c r="R62" i="5"/>
  <c r="S62" i="5"/>
  <c r="T62" i="5"/>
  <c r="U62" i="5"/>
  <c r="V62" i="5"/>
  <c r="W62" i="5"/>
  <c r="R63" i="5"/>
  <c r="S63" i="5"/>
  <c r="T63" i="5"/>
  <c r="U63" i="5"/>
  <c r="V63" i="5"/>
  <c r="W63" i="5"/>
  <c r="R64" i="5"/>
  <c r="S64" i="5"/>
  <c r="T64" i="5"/>
  <c r="U64" i="5"/>
  <c r="V64" i="5"/>
  <c r="W64" i="5"/>
  <c r="R65" i="5"/>
  <c r="S65" i="5"/>
  <c r="T65" i="5"/>
  <c r="U65" i="5"/>
  <c r="V65" i="5"/>
  <c r="W65" i="5"/>
  <c r="R66" i="5"/>
  <c r="S66" i="5"/>
  <c r="T66" i="5"/>
  <c r="U66" i="5"/>
  <c r="V66" i="5"/>
  <c r="W66" i="5"/>
  <c r="R67" i="5"/>
  <c r="S67" i="5"/>
  <c r="T67" i="5"/>
  <c r="U67" i="5"/>
  <c r="V67" i="5"/>
  <c r="W67" i="5"/>
  <c r="R68" i="5"/>
  <c r="S68" i="5"/>
  <c r="T68" i="5"/>
  <c r="U68" i="5"/>
  <c r="V68" i="5"/>
  <c r="W68" i="5"/>
  <c r="R69" i="5"/>
  <c r="S69" i="5"/>
  <c r="T69" i="5"/>
  <c r="U69" i="5"/>
  <c r="V69" i="5"/>
  <c r="W69" i="5"/>
  <c r="R70" i="5"/>
  <c r="S70" i="5"/>
  <c r="T70" i="5"/>
  <c r="U70" i="5"/>
  <c r="V70" i="5"/>
  <c r="W70" i="5"/>
  <c r="R71" i="5"/>
  <c r="S71" i="5"/>
  <c r="T71" i="5"/>
  <c r="U71" i="5"/>
  <c r="V71" i="5"/>
  <c r="W71" i="5"/>
  <c r="R72" i="5"/>
  <c r="S72" i="5"/>
  <c r="T72" i="5"/>
  <c r="U72" i="5"/>
  <c r="V72" i="5"/>
  <c r="W72" i="5"/>
  <c r="R73" i="5"/>
  <c r="S73" i="5"/>
  <c r="T73" i="5"/>
  <c r="U73" i="5"/>
  <c r="V73" i="5"/>
  <c r="W73" i="5"/>
  <c r="R74" i="5"/>
  <c r="S74" i="5"/>
  <c r="T74" i="5"/>
  <c r="U74" i="5"/>
  <c r="V74" i="5"/>
  <c r="W74" i="5"/>
  <c r="R75" i="5"/>
  <c r="S75" i="5"/>
  <c r="T75" i="5"/>
  <c r="U75" i="5"/>
  <c r="V75" i="5"/>
  <c r="W75" i="5"/>
  <c r="R76" i="5"/>
  <c r="S76" i="5"/>
  <c r="T76" i="5"/>
  <c r="U76" i="5"/>
  <c r="V76" i="5"/>
  <c r="W76" i="5"/>
  <c r="R77" i="5"/>
  <c r="S77" i="5"/>
  <c r="T77" i="5"/>
  <c r="U77" i="5"/>
  <c r="V77" i="5"/>
  <c r="W77" i="5"/>
  <c r="R78" i="5"/>
  <c r="S78" i="5"/>
  <c r="T78" i="5"/>
  <c r="U78" i="5"/>
  <c r="V78" i="5"/>
  <c r="W78" i="5"/>
  <c r="R79" i="5"/>
  <c r="S79" i="5"/>
  <c r="T79" i="5"/>
  <c r="U79" i="5"/>
  <c r="V79" i="5"/>
  <c r="W79" i="5"/>
  <c r="R80" i="5"/>
  <c r="S80" i="5"/>
  <c r="T80" i="5"/>
  <c r="U80" i="5"/>
  <c r="V80" i="5"/>
  <c r="W80" i="5"/>
  <c r="R81" i="5"/>
  <c r="S81" i="5"/>
  <c r="T81" i="5"/>
  <c r="U81" i="5"/>
  <c r="V81" i="5"/>
  <c r="W81" i="5"/>
  <c r="R82" i="5"/>
  <c r="S82" i="5"/>
  <c r="T82" i="5"/>
  <c r="U82" i="5"/>
  <c r="V82" i="5"/>
  <c r="W82" i="5"/>
  <c r="R83" i="5"/>
  <c r="S83" i="5"/>
  <c r="T83" i="5"/>
  <c r="U83" i="5"/>
  <c r="V83" i="5"/>
  <c r="W83" i="5"/>
  <c r="R84" i="5"/>
  <c r="S84" i="5"/>
  <c r="T84" i="5"/>
  <c r="U84" i="5"/>
  <c r="V84" i="5"/>
  <c r="W84" i="5"/>
  <c r="R85" i="5"/>
  <c r="S85" i="5"/>
  <c r="T85" i="5"/>
  <c r="U85" i="5"/>
  <c r="V85" i="5"/>
  <c r="W85" i="5"/>
  <c r="R86" i="5"/>
  <c r="S86" i="5"/>
  <c r="T86" i="5"/>
  <c r="U86" i="5"/>
  <c r="V86" i="5"/>
  <c r="W86" i="5"/>
  <c r="R87" i="5"/>
  <c r="S87" i="5"/>
  <c r="T87" i="5"/>
  <c r="U87" i="5"/>
  <c r="V87" i="5"/>
  <c r="W87" i="5"/>
  <c r="R88" i="5"/>
  <c r="S88" i="5"/>
  <c r="T88" i="5"/>
  <c r="U88" i="5"/>
  <c r="V88" i="5"/>
  <c r="W88" i="5"/>
  <c r="R89" i="5"/>
  <c r="S89" i="5"/>
  <c r="T89" i="5"/>
  <c r="U89" i="5"/>
  <c r="V89" i="5"/>
  <c r="W89" i="5"/>
  <c r="R90" i="5"/>
  <c r="S90" i="5"/>
  <c r="T90" i="5"/>
  <c r="U90" i="5"/>
  <c r="V90" i="5"/>
  <c r="W90" i="5"/>
  <c r="R91" i="5"/>
  <c r="S91" i="5"/>
  <c r="T91" i="5"/>
  <c r="U91" i="5"/>
  <c r="V91" i="5"/>
  <c r="W91" i="5"/>
  <c r="R92" i="5"/>
  <c r="S92" i="5"/>
  <c r="T92" i="5"/>
  <c r="U92" i="5"/>
  <c r="V92" i="5"/>
  <c r="W92" i="5"/>
  <c r="R93" i="5"/>
  <c r="S93" i="5"/>
  <c r="T93" i="5"/>
  <c r="U93" i="5"/>
  <c r="V93" i="5"/>
  <c r="W93" i="5"/>
  <c r="R94" i="5"/>
  <c r="S94" i="5"/>
  <c r="T94" i="5"/>
  <c r="U94" i="5"/>
  <c r="V94" i="5"/>
  <c r="W94" i="5"/>
  <c r="R95" i="5"/>
  <c r="S95" i="5"/>
  <c r="T95" i="5"/>
  <c r="U95" i="5"/>
  <c r="V95" i="5"/>
  <c r="W95" i="5"/>
  <c r="R96" i="5"/>
  <c r="S96" i="5"/>
  <c r="T96" i="5"/>
  <c r="U96" i="5"/>
  <c r="V96" i="5"/>
  <c r="W96" i="5"/>
  <c r="R97" i="5"/>
  <c r="S97" i="5"/>
  <c r="T97" i="5"/>
  <c r="U97" i="5"/>
  <c r="V97" i="5"/>
  <c r="W97" i="5"/>
  <c r="R98" i="5"/>
  <c r="S98" i="5"/>
  <c r="T98" i="5"/>
  <c r="U98" i="5"/>
  <c r="V98" i="5"/>
  <c r="W98" i="5"/>
  <c r="R99" i="5"/>
  <c r="S99" i="5"/>
  <c r="T99" i="5"/>
  <c r="U99" i="5"/>
  <c r="V99" i="5"/>
  <c r="W99" i="5"/>
  <c r="R100" i="5"/>
  <c r="S100" i="5"/>
  <c r="T100" i="5"/>
  <c r="U100" i="5"/>
  <c r="V100" i="5"/>
  <c r="W100" i="5"/>
  <c r="R101" i="5"/>
  <c r="S101" i="5"/>
  <c r="T101" i="5"/>
  <c r="U101" i="5"/>
  <c r="V101" i="5"/>
  <c r="W101" i="5"/>
  <c r="R102" i="5"/>
  <c r="S102" i="5"/>
  <c r="T102" i="5"/>
  <c r="U102" i="5"/>
  <c r="V102" i="5"/>
  <c r="W102" i="5"/>
  <c r="R103" i="5"/>
  <c r="S103" i="5"/>
  <c r="T103" i="5"/>
  <c r="U103" i="5"/>
  <c r="V103" i="5"/>
  <c r="W103" i="5"/>
  <c r="R104" i="5"/>
  <c r="S104" i="5"/>
  <c r="T104" i="5"/>
  <c r="U104" i="5"/>
  <c r="V104" i="5"/>
  <c r="W104" i="5"/>
  <c r="R105" i="5"/>
  <c r="S105" i="5"/>
  <c r="T105" i="5"/>
  <c r="U105" i="5"/>
  <c r="V105" i="5"/>
  <c r="W105" i="5"/>
  <c r="R106" i="5"/>
  <c r="S106" i="5"/>
  <c r="T106" i="5"/>
  <c r="U106" i="5"/>
  <c r="V106" i="5"/>
  <c r="W106" i="5"/>
  <c r="R107" i="5"/>
  <c r="S107" i="5"/>
  <c r="T107" i="5"/>
  <c r="U107" i="5"/>
  <c r="V107" i="5"/>
  <c r="W107" i="5"/>
  <c r="R108" i="5"/>
  <c r="S108" i="5"/>
  <c r="T108" i="5"/>
  <c r="U108" i="5"/>
  <c r="V108" i="5"/>
  <c r="W108" i="5"/>
  <c r="R109" i="5"/>
  <c r="S109" i="5"/>
  <c r="T109" i="5"/>
  <c r="U109" i="5"/>
  <c r="V109" i="5"/>
  <c r="W109" i="5"/>
  <c r="R110" i="5"/>
  <c r="S110" i="5"/>
  <c r="T110" i="5"/>
  <c r="U110" i="5"/>
  <c r="V110" i="5"/>
  <c r="W110" i="5"/>
  <c r="R111" i="5"/>
  <c r="S111" i="5"/>
  <c r="T111" i="5"/>
  <c r="U111" i="5"/>
  <c r="V111" i="5"/>
  <c r="W111" i="5"/>
  <c r="R112" i="5"/>
  <c r="S112" i="5"/>
  <c r="T112" i="5"/>
  <c r="U112" i="5"/>
  <c r="V112" i="5"/>
  <c r="W112" i="5"/>
  <c r="R113" i="5"/>
  <c r="S113" i="5"/>
  <c r="T113" i="5"/>
  <c r="U113" i="5"/>
  <c r="V113" i="5"/>
  <c r="W113" i="5"/>
  <c r="R114" i="5"/>
  <c r="S114" i="5"/>
  <c r="T114" i="5"/>
  <c r="U114" i="5"/>
  <c r="V114" i="5"/>
  <c r="W114" i="5"/>
  <c r="R115" i="5"/>
  <c r="S115" i="5"/>
  <c r="T115" i="5"/>
  <c r="U115" i="5"/>
  <c r="V115" i="5"/>
  <c r="W115" i="5"/>
  <c r="R116" i="5"/>
  <c r="S116" i="5"/>
  <c r="T116" i="5"/>
  <c r="U116" i="5"/>
  <c r="V116" i="5"/>
  <c r="W116" i="5"/>
  <c r="R117" i="5"/>
  <c r="S117" i="5"/>
  <c r="T117" i="5"/>
  <c r="U117" i="5"/>
  <c r="V117" i="5"/>
  <c r="W117" i="5"/>
  <c r="R118" i="5"/>
  <c r="S118" i="5"/>
  <c r="T118" i="5"/>
  <c r="U118" i="5"/>
  <c r="V118" i="5"/>
  <c r="W118" i="5"/>
  <c r="R119" i="5"/>
  <c r="S119" i="5"/>
  <c r="T119" i="5"/>
  <c r="U119" i="5"/>
  <c r="V119" i="5"/>
  <c r="W119" i="5"/>
  <c r="R120" i="5"/>
  <c r="S120" i="5"/>
  <c r="T120" i="5"/>
  <c r="U120" i="5"/>
  <c r="V120" i="5"/>
  <c r="W120" i="5"/>
  <c r="R121" i="5"/>
  <c r="S121" i="5"/>
  <c r="T121" i="5"/>
  <c r="U121" i="5"/>
  <c r="V121" i="5"/>
  <c r="W121" i="5"/>
  <c r="R122" i="5"/>
  <c r="S122" i="5"/>
  <c r="T122" i="5"/>
  <c r="U122" i="5"/>
  <c r="V122" i="5"/>
  <c r="W122" i="5"/>
  <c r="R123" i="5"/>
  <c r="S123" i="5"/>
  <c r="T123" i="5"/>
  <c r="U123" i="5"/>
  <c r="V123" i="5"/>
  <c r="W123" i="5"/>
  <c r="R124" i="5"/>
  <c r="S124" i="5"/>
  <c r="T124" i="5"/>
  <c r="U124" i="5"/>
  <c r="V124" i="5"/>
  <c r="W124" i="5"/>
  <c r="R125" i="5"/>
  <c r="S125" i="5"/>
  <c r="T125" i="5"/>
  <c r="U125" i="5"/>
  <c r="V125" i="5"/>
  <c r="W125" i="5"/>
  <c r="R126" i="5"/>
  <c r="S126" i="5"/>
  <c r="T126" i="5"/>
  <c r="U126" i="5"/>
  <c r="V126" i="5"/>
  <c r="W126" i="5"/>
  <c r="R127" i="5"/>
  <c r="S127" i="5"/>
  <c r="T127" i="5"/>
  <c r="U127" i="5"/>
  <c r="V127" i="5"/>
  <c r="W127" i="5"/>
  <c r="R128" i="5"/>
  <c r="S128" i="5"/>
  <c r="T128" i="5"/>
  <c r="U128" i="5"/>
  <c r="V128" i="5"/>
  <c r="W128" i="5"/>
  <c r="R129" i="5"/>
  <c r="S129" i="5"/>
  <c r="T129" i="5"/>
  <c r="U129" i="5"/>
  <c r="V129" i="5"/>
  <c r="W129" i="5"/>
  <c r="R130" i="5"/>
  <c r="S130" i="5"/>
  <c r="T130" i="5"/>
  <c r="U130" i="5"/>
  <c r="V130" i="5"/>
  <c r="W130" i="5"/>
  <c r="R131" i="5"/>
  <c r="S131" i="5"/>
  <c r="T131" i="5"/>
  <c r="U131" i="5"/>
  <c r="V131" i="5"/>
  <c r="W131" i="5"/>
  <c r="R132" i="5"/>
  <c r="S132" i="5"/>
  <c r="T132" i="5"/>
  <c r="U132" i="5"/>
  <c r="V132" i="5"/>
  <c r="W132" i="5"/>
  <c r="R133" i="5"/>
  <c r="S133" i="5"/>
  <c r="T133" i="5"/>
  <c r="U133" i="5"/>
  <c r="V133" i="5"/>
  <c r="W133" i="5"/>
  <c r="R134" i="5"/>
  <c r="S134" i="5"/>
  <c r="T134" i="5"/>
  <c r="U134" i="5"/>
  <c r="V134" i="5"/>
  <c r="W134" i="5"/>
  <c r="R135" i="5"/>
  <c r="S135" i="5"/>
  <c r="T135" i="5"/>
  <c r="U135" i="5"/>
  <c r="V135" i="5"/>
  <c r="W135" i="5"/>
  <c r="R136" i="5"/>
  <c r="S136" i="5"/>
  <c r="T136" i="5"/>
  <c r="U136" i="5"/>
  <c r="V136" i="5"/>
  <c r="W136" i="5"/>
  <c r="R137" i="5"/>
  <c r="S137" i="5"/>
  <c r="T137" i="5"/>
  <c r="U137" i="5"/>
  <c r="V137" i="5"/>
  <c r="W137" i="5"/>
  <c r="R138" i="5"/>
  <c r="S138" i="5"/>
  <c r="T138" i="5"/>
  <c r="U138" i="5"/>
  <c r="V138" i="5"/>
  <c r="W138" i="5"/>
  <c r="R139" i="5"/>
  <c r="S139" i="5"/>
  <c r="T139" i="5"/>
  <c r="U139" i="5"/>
  <c r="V139" i="5"/>
  <c r="W139" i="5"/>
  <c r="R140" i="5"/>
  <c r="S140" i="5"/>
  <c r="T140" i="5"/>
  <c r="U140" i="5"/>
  <c r="V140" i="5"/>
  <c r="W140" i="5"/>
  <c r="R141" i="5"/>
  <c r="S141" i="5"/>
  <c r="T141" i="5"/>
  <c r="U141" i="5"/>
  <c r="V141" i="5"/>
  <c r="W141" i="5"/>
  <c r="R142" i="5"/>
  <c r="S142" i="5"/>
  <c r="T142" i="5"/>
  <c r="U142" i="5"/>
  <c r="V142" i="5"/>
  <c r="W142" i="5"/>
  <c r="R143" i="5"/>
  <c r="S143" i="5"/>
  <c r="T143" i="5"/>
  <c r="U143" i="5"/>
  <c r="V143" i="5"/>
  <c r="W143" i="5"/>
  <c r="R144" i="5"/>
  <c r="S144" i="5"/>
  <c r="T144" i="5"/>
  <c r="U144" i="5"/>
  <c r="V144" i="5"/>
  <c r="W144" i="5"/>
  <c r="R145" i="5"/>
  <c r="S145" i="5"/>
  <c r="T145" i="5"/>
  <c r="U145" i="5"/>
  <c r="V145" i="5"/>
  <c r="W145" i="5"/>
  <c r="R146" i="5"/>
  <c r="S146" i="5"/>
  <c r="T146" i="5"/>
  <c r="U146" i="5"/>
  <c r="V146" i="5"/>
  <c r="W146" i="5"/>
  <c r="R147" i="5"/>
  <c r="S147" i="5"/>
  <c r="T147" i="5"/>
  <c r="U147" i="5"/>
  <c r="V147" i="5"/>
  <c r="W147" i="5"/>
  <c r="R148" i="5"/>
  <c r="S148" i="5"/>
  <c r="T148" i="5"/>
  <c r="U148" i="5"/>
  <c r="V148" i="5"/>
  <c r="W148" i="5"/>
  <c r="R149" i="5"/>
  <c r="S149" i="5"/>
  <c r="T149" i="5"/>
  <c r="U149" i="5"/>
  <c r="V149" i="5"/>
  <c r="W149" i="5"/>
  <c r="R150" i="5"/>
  <c r="S150" i="5"/>
  <c r="T150" i="5"/>
  <c r="U150" i="5"/>
  <c r="V150" i="5"/>
  <c r="W150" i="5"/>
  <c r="R151" i="5"/>
  <c r="S151" i="5"/>
  <c r="T151" i="5"/>
  <c r="U151" i="5"/>
  <c r="V151" i="5"/>
  <c r="W151" i="5"/>
  <c r="R152" i="5"/>
  <c r="S152" i="5"/>
  <c r="T152" i="5"/>
  <c r="U152" i="5"/>
  <c r="V152" i="5"/>
  <c r="W152" i="5"/>
  <c r="R153" i="5"/>
  <c r="S153" i="5"/>
  <c r="T153" i="5"/>
  <c r="U153" i="5"/>
  <c r="V153" i="5"/>
  <c r="W153" i="5"/>
  <c r="R154" i="5"/>
  <c r="S154" i="5"/>
  <c r="T154" i="5"/>
  <c r="U154" i="5"/>
  <c r="V154" i="5"/>
  <c r="W154" i="5"/>
  <c r="R155" i="5"/>
  <c r="S155" i="5"/>
  <c r="T155" i="5"/>
  <c r="U155" i="5"/>
  <c r="V155" i="5"/>
  <c r="W155" i="5"/>
  <c r="R156" i="5"/>
  <c r="S156" i="5"/>
  <c r="T156" i="5"/>
  <c r="U156" i="5"/>
  <c r="V156" i="5"/>
  <c r="W156" i="5"/>
  <c r="R157" i="5"/>
  <c r="S157" i="5"/>
  <c r="T157" i="5"/>
  <c r="U157" i="5"/>
  <c r="V157" i="5"/>
  <c r="W157" i="5"/>
  <c r="R158" i="5"/>
  <c r="S158" i="5"/>
  <c r="T158" i="5"/>
  <c r="U158" i="5"/>
  <c r="V158" i="5"/>
  <c r="W158" i="5"/>
  <c r="R159" i="5"/>
  <c r="S159" i="5"/>
  <c r="T159" i="5"/>
  <c r="U159" i="5"/>
  <c r="V159" i="5"/>
  <c r="W159" i="5"/>
  <c r="R160" i="5"/>
  <c r="S160" i="5"/>
  <c r="T160" i="5"/>
  <c r="U160" i="5"/>
  <c r="V160" i="5"/>
  <c r="W160" i="5"/>
  <c r="R161" i="5"/>
  <c r="S161" i="5"/>
  <c r="T161" i="5"/>
  <c r="U161" i="5"/>
  <c r="V161" i="5"/>
  <c r="W161" i="5"/>
  <c r="R162" i="5"/>
  <c r="S162" i="5"/>
  <c r="T162" i="5"/>
  <c r="U162" i="5"/>
  <c r="V162" i="5"/>
  <c r="W162" i="5"/>
  <c r="R163" i="5"/>
  <c r="S163" i="5"/>
  <c r="T163" i="5"/>
  <c r="U163" i="5"/>
  <c r="V163" i="5"/>
  <c r="W163" i="5"/>
  <c r="R164" i="5"/>
  <c r="S164" i="5"/>
  <c r="T164" i="5"/>
  <c r="U164" i="5"/>
  <c r="V164" i="5"/>
  <c r="W164" i="5"/>
  <c r="R165" i="5"/>
  <c r="S165" i="5"/>
  <c r="T165" i="5"/>
  <c r="U165" i="5"/>
  <c r="V165" i="5"/>
  <c r="W165" i="5"/>
  <c r="R166" i="5"/>
  <c r="S166" i="5"/>
  <c r="T166" i="5"/>
  <c r="U166" i="5"/>
  <c r="V166" i="5"/>
  <c r="W166" i="5"/>
  <c r="R167" i="5"/>
  <c r="S167" i="5"/>
  <c r="T167" i="5"/>
  <c r="U167" i="5"/>
  <c r="V167" i="5"/>
  <c r="W167" i="5"/>
  <c r="R168" i="5"/>
  <c r="S168" i="5"/>
  <c r="T168" i="5"/>
  <c r="U168" i="5"/>
  <c r="V168" i="5"/>
  <c r="W168" i="5"/>
  <c r="R169" i="5"/>
  <c r="S169" i="5"/>
  <c r="T169" i="5"/>
  <c r="U169" i="5"/>
  <c r="V169" i="5"/>
  <c r="W169" i="5"/>
  <c r="R170" i="5"/>
  <c r="S170" i="5"/>
  <c r="T170" i="5"/>
  <c r="U170" i="5"/>
  <c r="V170" i="5"/>
  <c r="W170" i="5"/>
  <c r="R171" i="5"/>
  <c r="S171" i="5"/>
  <c r="T171" i="5"/>
  <c r="U171" i="5"/>
  <c r="V171" i="5"/>
  <c r="W171" i="5"/>
  <c r="R172" i="5"/>
  <c r="S172" i="5"/>
  <c r="T172" i="5"/>
  <c r="U172" i="5"/>
  <c r="V172" i="5"/>
  <c r="W172" i="5"/>
  <c r="R173" i="5"/>
  <c r="S173" i="5"/>
  <c r="T173" i="5"/>
  <c r="U173" i="5"/>
  <c r="V173" i="5"/>
  <c r="W173" i="5"/>
  <c r="R174" i="5"/>
  <c r="S174" i="5"/>
  <c r="T174" i="5"/>
  <c r="U174" i="5"/>
  <c r="V174" i="5"/>
  <c r="W174" i="5"/>
  <c r="R175" i="5"/>
  <c r="S175" i="5"/>
  <c r="T175" i="5"/>
  <c r="U175" i="5"/>
  <c r="V175" i="5"/>
  <c r="W175" i="5"/>
  <c r="R176" i="5"/>
  <c r="S176" i="5"/>
  <c r="T176" i="5"/>
  <c r="U176" i="5"/>
  <c r="V176" i="5"/>
  <c r="W176" i="5"/>
  <c r="R177" i="5"/>
  <c r="S177" i="5"/>
  <c r="T177" i="5"/>
  <c r="U177" i="5"/>
  <c r="V177" i="5"/>
  <c r="W177" i="5"/>
  <c r="R178" i="5"/>
  <c r="S178" i="5"/>
  <c r="T178" i="5"/>
  <c r="U178" i="5"/>
  <c r="V178" i="5"/>
  <c r="W178" i="5"/>
  <c r="R179" i="5"/>
  <c r="S179" i="5"/>
  <c r="T179" i="5"/>
  <c r="U179" i="5"/>
  <c r="V179" i="5"/>
  <c r="W179" i="5"/>
  <c r="R180" i="5"/>
  <c r="S180" i="5"/>
  <c r="T180" i="5"/>
  <c r="U180" i="5"/>
  <c r="V180" i="5"/>
  <c r="W180" i="5"/>
  <c r="R181" i="5"/>
  <c r="S181" i="5"/>
  <c r="T181" i="5"/>
  <c r="U181" i="5"/>
  <c r="V181" i="5"/>
  <c r="W181" i="5"/>
  <c r="R182" i="5"/>
  <c r="S182" i="5"/>
  <c r="T182" i="5"/>
  <c r="U182" i="5"/>
  <c r="V182" i="5"/>
  <c r="W182" i="5"/>
  <c r="R183" i="5"/>
  <c r="S183" i="5"/>
  <c r="T183" i="5"/>
  <c r="U183" i="5"/>
  <c r="V183" i="5"/>
  <c r="W183" i="5"/>
  <c r="R184" i="5"/>
  <c r="S184" i="5"/>
  <c r="T184" i="5"/>
  <c r="U184" i="5"/>
  <c r="V184" i="5"/>
  <c r="W184" i="5"/>
  <c r="W2" i="5"/>
  <c r="V2" i="5"/>
  <c r="U2" i="5"/>
  <c r="T2" i="5"/>
  <c r="S2" i="5"/>
  <c r="R2" i="5"/>
  <c r="J3" i="5"/>
  <c r="K3" i="5"/>
  <c r="L3" i="5"/>
  <c r="M3" i="5"/>
  <c r="N3" i="5"/>
  <c r="O3" i="5"/>
  <c r="P3" i="5"/>
  <c r="J4" i="5"/>
  <c r="K4" i="5"/>
  <c r="L4" i="5"/>
  <c r="M4" i="5"/>
  <c r="N4" i="5"/>
  <c r="O4" i="5"/>
  <c r="P4" i="5"/>
  <c r="J5" i="5"/>
  <c r="K5" i="5"/>
  <c r="L5" i="5"/>
  <c r="M5" i="5"/>
  <c r="N5" i="5"/>
  <c r="O5" i="5"/>
  <c r="P5" i="5"/>
  <c r="J6" i="5"/>
  <c r="K6" i="5"/>
  <c r="L6" i="5"/>
  <c r="M6" i="5"/>
  <c r="N6" i="5"/>
  <c r="O6" i="5"/>
  <c r="P6" i="5"/>
  <c r="J7" i="5"/>
  <c r="K7" i="5"/>
  <c r="L7" i="5"/>
  <c r="M7" i="5"/>
  <c r="N7" i="5"/>
  <c r="O7" i="5"/>
  <c r="P7" i="5"/>
  <c r="J8" i="5"/>
  <c r="K8" i="5"/>
  <c r="L8" i="5"/>
  <c r="M8" i="5"/>
  <c r="N8" i="5"/>
  <c r="O8" i="5"/>
  <c r="P8" i="5"/>
  <c r="J9" i="5"/>
  <c r="K9" i="5"/>
  <c r="L9" i="5"/>
  <c r="M9" i="5"/>
  <c r="N9" i="5"/>
  <c r="O9" i="5"/>
  <c r="P9" i="5"/>
  <c r="J10" i="5"/>
  <c r="K10" i="5"/>
  <c r="L10" i="5"/>
  <c r="M10" i="5"/>
  <c r="N10" i="5"/>
  <c r="O10" i="5"/>
  <c r="P10" i="5"/>
  <c r="J11" i="5"/>
  <c r="K11" i="5"/>
  <c r="L11" i="5"/>
  <c r="M11" i="5"/>
  <c r="N11" i="5"/>
  <c r="O11" i="5"/>
  <c r="P11" i="5"/>
  <c r="J12" i="5"/>
  <c r="K12" i="5"/>
  <c r="L12" i="5"/>
  <c r="M12" i="5"/>
  <c r="N12" i="5"/>
  <c r="O12" i="5"/>
  <c r="P12" i="5"/>
  <c r="J13" i="5"/>
  <c r="K13" i="5"/>
  <c r="L13" i="5"/>
  <c r="M13" i="5"/>
  <c r="N13" i="5"/>
  <c r="O13" i="5"/>
  <c r="P13" i="5"/>
  <c r="J14" i="5"/>
  <c r="K14" i="5"/>
  <c r="L14" i="5"/>
  <c r="M14" i="5"/>
  <c r="N14" i="5"/>
  <c r="O14" i="5"/>
  <c r="P14" i="5"/>
  <c r="J15" i="5"/>
  <c r="K15" i="5"/>
  <c r="L15" i="5"/>
  <c r="M15" i="5"/>
  <c r="N15" i="5"/>
  <c r="O15" i="5"/>
  <c r="P15" i="5"/>
  <c r="J16" i="5"/>
  <c r="K16" i="5"/>
  <c r="L16" i="5"/>
  <c r="M16" i="5"/>
  <c r="N16" i="5"/>
  <c r="O16" i="5"/>
  <c r="P16" i="5"/>
  <c r="J17" i="5"/>
  <c r="K17" i="5"/>
  <c r="L17" i="5"/>
  <c r="M17" i="5"/>
  <c r="N17" i="5"/>
  <c r="O17" i="5"/>
  <c r="P17" i="5"/>
  <c r="J18" i="5"/>
  <c r="K18" i="5"/>
  <c r="L18" i="5"/>
  <c r="M18" i="5"/>
  <c r="N18" i="5"/>
  <c r="O18" i="5"/>
  <c r="P18" i="5"/>
  <c r="J19" i="5"/>
  <c r="K19" i="5"/>
  <c r="L19" i="5"/>
  <c r="M19" i="5"/>
  <c r="N19" i="5"/>
  <c r="O19" i="5"/>
  <c r="P19" i="5"/>
  <c r="J20" i="5"/>
  <c r="K20" i="5"/>
  <c r="L20" i="5"/>
  <c r="M20" i="5"/>
  <c r="N20" i="5"/>
  <c r="O20" i="5"/>
  <c r="P20" i="5"/>
  <c r="J21" i="5"/>
  <c r="K21" i="5"/>
  <c r="L21" i="5"/>
  <c r="M21" i="5"/>
  <c r="N21" i="5"/>
  <c r="O21" i="5"/>
  <c r="P21" i="5"/>
  <c r="J22" i="5"/>
  <c r="K22" i="5"/>
  <c r="L22" i="5"/>
  <c r="M22" i="5"/>
  <c r="N22" i="5"/>
  <c r="O22" i="5"/>
  <c r="P22" i="5"/>
  <c r="J23" i="5"/>
  <c r="K23" i="5"/>
  <c r="L23" i="5"/>
  <c r="M23" i="5"/>
  <c r="N23" i="5"/>
  <c r="O23" i="5"/>
  <c r="P23" i="5"/>
  <c r="J24" i="5"/>
  <c r="K24" i="5"/>
  <c r="L24" i="5"/>
  <c r="M24" i="5"/>
  <c r="N24" i="5"/>
  <c r="O24" i="5"/>
  <c r="P24" i="5"/>
  <c r="J25" i="5"/>
  <c r="K25" i="5"/>
  <c r="L25" i="5"/>
  <c r="M25" i="5"/>
  <c r="N25" i="5"/>
  <c r="O25" i="5"/>
  <c r="P25" i="5"/>
  <c r="J26" i="5"/>
  <c r="K26" i="5"/>
  <c r="L26" i="5"/>
  <c r="M26" i="5"/>
  <c r="N26" i="5"/>
  <c r="O26" i="5"/>
  <c r="P26" i="5"/>
  <c r="J27" i="5"/>
  <c r="K27" i="5"/>
  <c r="L27" i="5"/>
  <c r="M27" i="5"/>
  <c r="N27" i="5"/>
  <c r="O27" i="5"/>
  <c r="P27" i="5"/>
  <c r="J28" i="5"/>
  <c r="K28" i="5"/>
  <c r="L28" i="5"/>
  <c r="M28" i="5"/>
  <c r="N28" i="5"/>
  <c r="O28" i="5"/>
  <c r="P28" i="5"/>
  <c r="J29" i="5"/>
  <c r="K29" i="5"/>
  <c r="L29" i="5"/>
  <c r="M29" i="5"/>
  <c r="N29" i="5"/>
  <c r="O29" i="5"/>
  <c r="P29" i="5"/>
  <c r="J30" i="5"/>
  <c r="K30" i="5"/>
  <c r="L30" i="5"/>
  <c r="M30" i="5"/>
  <c r="N30" i="5"/>
  <c r="O30" i="5"/>
  <c r="P30" i="5"/>
  <c r="J31" i="5"/>
  <c r="K31" i="5"/>
  <c r="L31" i="5"/>
  <c r="M31" i="5"/>
  <c r="N31" i="5"/>
  <c r="O31" i="5"/>
  <c r="P31" i="5"/>
  <c r="J32" i="5"/>
  <c r="K32" i="5"/>
  <c r="L32" i="5"/>
  <c r="M32" i="5"/>
  <c r="N32" i="5"/>
  <c r="O32" i="5"/>
  <c r="P32" i="5"/>
  <c r="J33" i="5"/>
  <c r="K33" i="5"/>
  <c r="L33" i="5"/>
  <c r="M33" i="5"/>
  <c r="N33" i="5"/>
  <c r="O33" i="5"/>
  <c r="P33" i="5"/>
  <c r="J34" i="5"/>
  <c r="K34" i="5"/>
  <c r="L34" i="5"/>
  <c r="M34" i="5"/>
  <c r="N34" i="5"/>
  <c r="O34" i="5"/>
  <c r="P34" i="5"/>
  <c r="J35" i="5"/>
  <c r="K35" i="5"/>
  <c r="L35" i="5"/>
  <c r="M35" i="5"/>
  <c r="N35" i="5"/>
  <c r="O35" i="5"/>
  <c r="P35" i="5"/>
  <c r="J36" i="5"/>
  <c r="K36" i="5"/>
  <c r="L36" i="5"/>
  <c r="M36" i="5"/>
  <c r="N36" i="5"/>
  <c r="O36" i="5"/>
  <c r="P36" i="5"/>
  <c r="J37" i="5"/>
  <c r="K37" i="5"/>
  <c r="L37" i="5"/>
  <c r="M37" i="5"/>
  <c r="N37" i="5"/>
  <c r="O37" i="5"/>
  <c r="P37" i="5"/>
  <c r="J38" i="5"/>
  <c r="K38" i="5"/>
  <c r="L38" i="5"/>
  <c r="M38" i="5"/>
  <c r="N38" i="5"/>
  <c r="O38" i="5"/>
  <c r="P38" i="5"/>
  <c r="J39" i="5"/>
  <c r="K39" i="5"/>
  <c r="L39" i="5"/>
  <c r="M39" i="5"/>
  <c r="N39" i="5"/>
  <c r="O39" i="5"/>
  <c r="P39" i="5"/>
  <c r="J40" i="5"/>
  <c r="K40" i="5"/>
  <c r="L40" i="5"/>
  <c r="M40" i="5"/>
  <c r="N40" i="5"/>
  <c r="O40" i="5"/>
  <c r="P40" i="5"/>
  <c r="J41" i="5"/>
  <c r="K41" i="5"/>
  <c r="L41" i="5"/>
  <c r="M41" i="5"/>
  <c r="N41" i="5"/>
  <c r="O41" i="5"/>
  <c r="P41" i="5"/>
  <c r="J42" i="5"/>
  <c r="K42" i="5"/>
  <c r="L42" i="5"/>
  <c r="M42" i="5"/>
  <c r="N42" i="5"/>
  <c r="O42" i="5"/>
  <c r="P42" i="5"/>
  <c r="J43" i="5"/>
  <c r="K43" i="5"/>
  <c r="L43" i="5"/>
  <c r="M43" i="5"/>
  <c r="N43" i="5"/>
  <c r="O43" i="5"/>
  <c r="P43" i="5"/>
  <c r="J44" i="5"/>
  <c r="K44" i="5"/>
  <c r="L44" i="5"/>
  <c r="M44" i="5"/>
  <c r="N44" i="5"/>
  <c r="O44" i="5"/>
  <c r="P44" i="5"/>
  <c r="J45" i="5"/>
  <c r="K45" i="5"/>
  <c r="L45" i="5"/>
  <c r="M45" i="5"/>
  <c r="N45" i="5"/>
  <c r="O45" i="5"/>
  <c r="P45" i="5"/>
  <c r="J46" i="5"/>
  <c r="K46" i="5"/>
  <c r="L46" i="5"/>
  <c r="M46" i="5"/>
  <c r="N46" i="5"/>
  <c r="O46" i="5"/>
  <c r="P46" i="5"/>
  <c r="J47" i="5"/>
  <c r="K47" i="5"/>
  <c r="L47" i="5"/>
  <c r="M47" i="5"/>
  <c r="N47" i="5"/>
  <c r="O47" i="5"/>
  <c r="P47" i="5"/>
  <c r="J48" i="5"/>
  <c r="K48" i="5"/>
  <c r="L48" i="5"/>
  <c r="M48" i="5"/>
  <c r="N48" i="5"/>
  <c r="O48" i="5"/>
  <c r="P48" i="5"/>
  <c r="J49" i="5"/>
  <c r="K49" i="5"/>
  <c r="L49" i="5"/>
  <c r="M49" i="5"/>
  <c r="N49" i="5"/>
  <c r="O49" i="5"/>
  <c r="P49" i="5"/>
  <c r="J50" i="5"/>
  <c r="K50" i="5"/>
  <c r="L50" i="5"/>
  <c r="M50" i="5"/>
  <c r="N50" i="5"/>
  <c r="O50" i="5"/>
  <c r="P50" i="5"/>
  <c r="J51" i="5"/>
  <c r="K51" i="5"/>
  <c r="L51" i="5"/>
  <c r="M51" i="5"/>
  <c r="N51" i="5"/>
  <c r="O51" i="5"/>
  <c r="P51" i="5"/>
  <c r="J52" i="5"/>
  <c r="K52" i="5"/>
  <c r="L52" i="5"/>
  <c r="M52" i="5"/>
  <c r="N52" i="5"/>
  <c r="O52" i="5"/>
  <c r="P52" i="5"/>
  <c r="J53" i="5"/>
  <c r="K53" i="5"/>
  <c r="L53" i="5"/>
  <c r="M53" i="5"/>
  <c r="N53" i="5"/>
  <c r="O53" i="5"/>
  <c r="P53" i="5"/>
  <c r="J54" i="5"/>
  <c r="K54" i="5"/>
  <c r="L54" i="5"/>
  <c r="M54" i="5"/>
  <c r="N54" i="5"/>
  <c r="O54" i="5"/>
  <c r="P54" i="5"/>
  <c r="J55" i="5"/>
  <c r="K55" i="5"/>
  <c r="L55" i="5"/>
  <c r="M55" i="5"/>
  <c r="N55" i="5"/>
  <c r="O55" i="5"/>
  <c r="P55" i="5"/>
  <c r="J56" i="5"/>
  <c r="K56" i="5"/>
  <c r="L56" i="5"/>
  <c r="M56" i="5"/>
  <c r="N56" i="5"/>
  <c r="O56" i="5"/>
  <c r="P56" i="5"/>
  <c r="J57" i="5"/>
  <c r="K57" i="5"/>
  <c r="L57" i="5"/>
  <c r="M57" i="5"/>
  <c r="N57" i="5"/>
  <c r="O57" i="5"/>
  <c r="P57" i="5"/>
  <c r="J58" i="5"/>
  <c r="K58" i="5"/>
  <c r="L58" i="5"/>
  <c r="M58" i="5"/>
  <c r="N58" i="5"/>
  <c r="O58" i="5"/>
  <c r="P58" i="5"/>
  <c r="J59" i="5"/>
  <c r="K59" i="5"/>
  <c r="L59" i="5"/>
  <c r="M59" i="5"/>
  <c r="N59" i="5"/>
  <c r="O59" i="5"/>
  <c r="P59" i="5"/>
  <c r="J60" i="5"/>
  <c r="K60" i="5"/>
  <c r="L60" i="5"/>
  <c r="M60" i="5"/>
  <c r="N60" i="5"/>
  <c r="O60" i="5"/>
  <c r="P60" i="5"/>
  <c r="J61" i="5"/>
  <c r="K61" i="5"/>
  <c r="L61" i="5"/>
  <c r="M61" i="5"/>
  <c r="N61" i="5"/>
  <c r="O61" i="5"/>
  <c r="P61" i="5"/>
  <c r="J62" i="5"/>
  <c r="K62" i="5"/>
  <c r="L62" i="5"/>
  <c r="M62" i="5"/>
  <c r="N62" i="5"/>
  <c r="O62" i="5"/>
  <c r="P62" i="5"/>
  <c r="J63" i="5"/>
  <c r="K63" i="5"/>
  <c r="L63" i="5"/>
  <c r="M63" i="5"/>
  <c r="N63" i="5"/>
  <c r="O63" i="5"/>
  <c r="P63" i="5"/>
  <c r="J64" i="5"/>
  <c r="K64" i="5"/>
  <c r="L64" i="5"/>
  <c r="M64" i="5"/>
  <c r="N64" i="5"/>
  <c r="O64" i="5"/>
  <c r="P64" i="5"/>
  <c r="J65" i="5"/>
  <c r="K65" i="5"/>
  <c r="L65" i="5"/>
  <c r="M65" i="5"/>
  <c r="N65" i="5"/>
  <c r="O65" i="5"/>
  <c r="P65" i="5"/>
  <c r="J66" i="5"/>
  <c r="K66" i="5"/>
  <c r="L66" i="5"/>
  <c r="M66" i="5"/>
  <c r="N66" i="5"/>
  <c r="O66" i="5"/>
  <c r="P66" i="5"/>
  <c r="J67" i="5"/>
  <c r="K67" i="5"/>
  <c r="L67" i="5"/>
  <c r="M67" i="5"/>
  <c r="N67" i="5"/>
  <c r="O67" i="5"/>
  <c r="P67" i="5"/>
  <c r="J68" i="5"/>
  <c r="K68" i="5"/>
  <c r="L68" i="5"/>
  <c r="M68" i="5"/>
  <c r="N68" i="5"/>
  <c r="O68" i="5"/>
  <c r="P68" i="5"/>
  <c r="J69" i="5"/>
  <c r="K69" i="5"/>
  <c r="L69" i="5"/>
  <c r="M69" i="5"/>
  <c r="N69" i="5"/>
  <c r="O69" i="5"/>
  <c r="P69" i="5"/>
  <c r="J70" i="5"/>
  <c r="K70" i="5"/>
  <c r="L70" i="5"/>
  <c r="M70" i="5"/>
  <c r="N70" i="5"/>
  <c r="O70" i="5"/>
  <c r="P70" i="5"/>
  <c r="J71" i="5"/>
  <c r="K71" i="5"/>
  <c r="L71" i="5"/>
  <c r="M71" i="5"/>
  <c r="N71" i="5"/>
  <c r="O71" i="5"/>
  <c r="P71" i="5"/>
  <c r="J72" i="5"/>
  <c r="K72" i="5"/>
  <c r="L72" i="5"/>
  <c r="M72" i="5"/>
  <c r="N72" i="5"/>
  <c r="O72" i="5"/>
  <c r="P72" i="5"/>
  <c r="J73" i="5"/>
  <c r="K73" i="5"/>
  <c r="L73" i="5"/>
  <c r="M73" i="5"/>
  <c r="N73" i="5"/>
  <c r="O73" i="5"/>
  <c r="P73" i="5"/>
  <c r="J74" i="5"/>
  <c r="K74" i="5"/>
  <c r="L74" i="5"/>
  <c r="M74" i="5"/>
  <c r="N74" i="5"/>
  <c r="O74" i="5"/>
  <c r="P74" i="5"/>
  <c r="J75" i="5"/>
  <c r="K75" i="5"/>
  <c r="L75" i="5"/>
  <c r="M75" i="5"/>
  <c r="N75" i="5"/>
  <c r="O75" i="5"/>
  <c r="P75" i="5"/>
  <c r="J76" i="5"/>
  <c r="K76" i="5"/>
  <c r="L76" i="5"/>
  <c r="M76" i="5"/>
  <c r="N76" i="5"/>
  <c r="O76" i="5"/>
  <c r="P76" i="5"/>
  <c r="J77" i="5"/>
  <c r="K77" i="5"/>
  <c r="L77" i="5"/>
  <c r="M77" i="5"/>
  <c r="N77" i="5"/>
  <c r="O77" i="5"/>
  <c r="P77" i="5"/>
  <c r="J78" i="5"/>
  <c r="K78" i="5"/>
  <c r="L78" i="5"/>
  <c r="M78" i="5"/>
  <c r="N78" i="5"/>
  <c r="O78" i="5"/>
  <c r="P78" i="5"/>
  <c r="J79" i="5"/>
  <c r="K79" i="5"/>
  <c r="L79" i="5"/>
  <c r="M79" i="5"/>
  <c r="N79" i="5"/>
  <c r="O79" i="5"/>
  <c r="P79" i="5"/>
  <c r="J80" i="5"/>
  <c r="K80" i="5"/>
  <c r="L80" i="5"/>
  <c r="M80" i="5"/>
  <c r="N80" i="5"/>
  <c r="O80" i="5"/>
  <c r="P80" i="5"/>
  <c r="J81" i="5"/>
  <c r="K81" i="5"/>
  <c r="L81" i="5"/>
  <c r="M81" i="5"/>
  <c r="N81" i="5"/>
  <c r="O81" i="5"/>
  <c r="P81" i="5"/>
  <c r="J82" i="5"/>
  <c r="K82" i="5"/>
  <c r="L82" i="5"/>
  <c r="M82" i="5"/>
  <c r="N82" i="5"/>
  <c r="O82" i="5"/>
  <c r="P82" i="5"/>
  <c r="J83" i="5"/>
  <c r="K83" i="5"/>
  <c r="L83" i="5"/>
  <c r="M83" i="5"/>
  <c r="N83" i="5"/>
  <c r="O83" i="5"/>
  <c r="P83" i="5"/>
  <c r="J84" i="5"/>
  <c r="K84" i="5"/>
  <c r="L84" i="5"/>
  <c r="M84" i="5"/>
  <c r="N84" i="5"/>
  <c r="O84" i="5"/>
  <c r="P84" i="5"/>
  <c r="J85" i="5"/>
  <c r="K85" i="5"/>
  <c r="L85" i="5"/>
  <c r="M85" i="5"/>
  <c r="N85" i="5"/>
  <c r="O85" i="5"/>
  <c r="P85" i="5"/>
  <c r="J86" i="5"/>
  <c r="K86" i="5"/>
  <c r="L86" i="5"/>
  <c r="M86" i="5"/>
  <c r="N86" i="5"/>
  <c r="O86" i="5"/>
  <c r="P86" i="5"/>
  <c r="J87" i="5"/>
  <c r="K87" i="5"/>
  <c r="L87" i="5"/>
  <c r="M87" i="5"/>
  <c r="N87" i="5"/>
  <c r="O87" i="5"/>
  <c r="P87" i="5"/>
  <c r="J88" i="5"/>
  <c r="K88" i="5"/>
  <c r="L88" i="5"/>
  <c r="M88" i="5"/>
  <c r="N88" i="5"/>
  <c r="O88" i="5"/>
  <c r="P88" i="5"/>
  <c r="J89" i="5"/>
  <c r="K89" i="5"/>
  <c r="L89" i="5"/>
  <c r="M89" i="5"/>
  <c r="N89" i="5"/>
  <c r="O89" i="5"/>
  <c r="P89" i="5"/>
  <c r="J90" i="5"/>
  <c r="K90" i="5"/>
  <c r="L90" i="5"/>
  <c r="M90" i="5"/>
  <c r="N90" i="5"/>
  <c r="O90" i="5"/>
  <c r="P90" i="5"/>
  <c r="J91" i="5"/>
  <c r="K91" i="5"/>
  <c r="L91" i="5"/>
  <c r="M91" i="5"/>
  <c r="N91" i="5"/>
  <c r="O91" i="5"/>
  <c r="P91" i="5"/>
  <c r="J92" i="5"/>
  <c r="K92" i="5"/>
  <c r="L92" i="5"/>
  <c r="M92" i="5"/>
  <c r="N92" i="5"/>
  <c r="O92" i="5"/>
  <c r="P92" i="5"/>
  <c r="J93" i="5"/>
  <c r="K93" i="5"/>
  <c r="L93" i="5"/>
  <c r="M93" i="5"/>
  <c r="N93" i="5"/>
  <c r="O93" i="5"/>
  <c r="P93" i="5"/>
  <c r="J94" i="5"/>
  <c r="K94" i="5"/>
  <c r="L94" i="5"/>
  <c r="M94" i="5"/>
  <c r="N94" i="5"/>
  <c r="O94" i="5"/>
  <c r="P94" i="5"/>
  <c r="J95" i="5"/>
  <c r="K95" i="5"/>
  <c r="L95" i="5"/>
  <c r="M95" i="5"/>
  <c r="N95" i="5"/>
  <c r="O95" i="5"/>
  <c r="P95" i="5"/>
  <c r="J96" i="5"/>
  <c r="K96" i="5"/>
  <c r="L96" i="5"/>
  <c r="M96" i="5"/>
  <c r="N96" i="5"/>
  <c r="O96" i="5"/>
  <c r="P96" i="5"/>
  <c r="J97" i="5"/>
  <c r="K97" i="5"/>
  <c r="L97" i="5"/>
  <c r="M97" i="5"/>
  <c r="N97" i="5"/>
  <c r="O97" i="5"/>
  <c r="P97" i="5"/>
  <c r="J98" i="5"/>
  <c r="K98" i="5"/>
  <c r="L98" i="5"/>
  <c r="M98" i="5"/>
  <c r="N98" i="5"/>
  <c r="O98" i="5"/>
  <c r="P98" i="5"/>
  <c r="J99" i="5"/>
  <c r="K99" i="5"/>
  <c r="L99" i="5"/>
  <c r="M99" i="5"/>
  <c r="N99" i="5"/>
  <c r="O99" i="5"/>
  <c r="P99" i="5"/>
  <c r="J100" i="5"/>
  <c r="K100" i="5"/>
  <c r="L100" i="5"/>
  <c r="M100" i="5"/>
  <c r="N100" i="5"/>
  <c r="O100" i="5"/>
  <c r="P100" i="5"/>
  <c r="J101" i="5"/>
  <c r="K101" i="5"/>
  <c r="L101" i="5"/>
  <c r="M101" i="5"/>
  <c r="N101" i="5"/>
  <c r="O101" i="5"/>
  <c r="P101" i="5"/>
  <c r="J102" i="5"/>
  <c r="K102" i="5"/>
  <c r="L102" i="5"/>
  <c r="M102" i="5"/>
  <c r="N102" i="5"/>
  <c r="O102" i="5"/>
  <c r="P102" i="5"/>
  <c r="J103" i="5"/>
  <c r="K103" i="5"/>
  <c r="L103" i="5"/>
  <c r="M103" i="5"/>
  <c r="N103" i="5"/>
  <c r="O103" i="5"/>
  <c r="P103" i="5"/>
  <c r="J104" i="5"/>
  <c r="K104" i="5"/>
  <c r="L104" i="5"/>
  <c r="M104" i="5"/>
  <c r="N104" i="5"/>
  <c r="O104" i="5"/>
  <c r="P104" i="5"/>
  <c r="J105" i="5"/>
  <c r="K105" i="5"/>
  <c r="L105" i="5"/>
  <c r="M105" i="5"/>
  <c r="N105" i="5"/>
  <c r="O105" i="5"/>
  <c r="P105" i="5"/>
  <c r="J106" i="5"/>
  <c r="K106" i="5"/>
  <c r="L106" i="5"/>
  <c r="M106" i="5"/>
  <c r="N106" i="5"/>
  <c r="O106" i="5"/>
  <c r="P106" i="5"/>
  <c r="J107" i="5"/>
  <c r="K107" i="5"/>
  <c r="L107" i="5"/>
  <c r="M107" i="5"/>
  <c r="N107" i="5"/>
  <c r="O107" i="5"/>
  <c r="P107" i="5"/>
  <c r="J108" i="5"/>
  <c r="K108" i="5"/>
  <c r="L108" i="5"/>
  <c r="M108" i="5"/>
  <c r="N108" i="5"/>
  <c r="O108" i="5"/>
  <c r="P108" i="5"/>
  <c r="J109" i="5"/>
  <c r="K109" i="5"/>
  <c r="L109" i="5"/>
  <c r="M109" i="5"/>
  <c r="N109" i="5"/>
  <c r="O109" i="5"/>
  <c r="P109" i="5"/>
  <c r="J110" i="5"/>
  <c r="K110" i="5"/>
  <c r="L110" i="5"/>
  <c r="M110" i="5"/>
  <c r="N110" i="5"/>
  <c r="O110" i="5"/>
  <c r="P110" i="5"/>
  <c r="J111" i="5"/>
  <c r="K111" i="5"/>
  <c r="L111" i="5"/>
  <c r="M111" i="5"/>
  <c r="N111" i="5"/>
  <c r="O111" i="5"/>
  <c r="P111" i="5"/>
  <c r="J112" i="5"/>
  <c r="K112" i="5"/>
  <c r="L112" i="5"/>
  <c r="M112" i="5"/>
  <c r="N112" i="5"/>
  <c r="O112" i="5"/>
  <c r="P112" i="5"/>
  <c r="J113" i="5"/>
  <c r="K113" i="5"/>
  <c r="L113" i="5"/>
  <c r="M113" i="5"/>
  <c r="N113" i="5"/>
  <c r="O113" i="5"/>
  <c r="P113" i="5"/>
  <c r="J114" i="5"/>
  <c r="K114" i="5"/>
  <c r="L114" i="5"/>
  <c r="M114" i="5"/>
  <c r="N114" i="5"/>
  <c r="O114" i="5"/>
  <c r="P114" i="5"/>
  <c r="J115" i="5"/>
  <c r="K115" i="5"/>
  <c r="L115" i="5"/>
  <c r="M115" i="5"/>
  <c r="N115" i="5"/>
  <c r="O115" i="5"/>
  <c r="P115" i="5"/>
  <c r="J116" i="5"/>
  <c r="K116" i="5"/>
  <c r="L116" i="5"/>
  <c r="M116" i="5"/>
  <c r="N116" i="5"/>
  <c r="O116" i="5"/>
  <c r="P116" i="5"/>
  <c r="J117" i="5"/>
  <c r="K117" i="5"/>
  <c r="L117" i="5"/>
  <c r="M117" i="5"/>
  <c r="N117" i="5"/>
  <c r="O117" i="5"/>
  <c r="P117" i="5"/>
  <c r="J118" i="5"/>
  <c r="K118" i="5"/>
  <c r="L118" i="5"/>
  <c r="M118" i="5"/>
  <c r="N118" i="5"/>
  <c r="O118" i="5"/>
  <c r="P118" i="5"/>
  <c r="J119" i="5"/>
  <c r="K119" i="5"/>
  <c r="L119" i="5"/>
  <c r="M119" i="5"/>
  <c r="N119" i="5"/>
  <c r="O119" i="5"/>
  <c r="P119" i="5"/>
  <c r="J120" i="5"/>
  <c r="K120" i="5"/>
  <c r="L120" i="5"/>
  <c r="M120" i="5"/>
  <c r="N120" i="5"/>
  <c r="O120" i="5"/>
  <c r="P120" i="5"/>
  <c r="J121" i="5"/>
  <c r="K121" i="5"/>
  <c r="L121" i="5"/>
  <c r="M121" i="5"/>
  <c r="N121" i="5"/>
  <c r="O121" i="5"/>
  <c r="P121" i="5"/>
  <c r="J122" i="5"/>
  <c r="K122" i="5"/>
  <c r="L122" i="5"/>
  <c r="M122" i="5"/>
  <c r="N122" i="5"/>
  <c r="O122" i="5"/>
  <c r="P122" i="5"/>
  <c r="J123" i="5"/>
  <c r="K123" i="5"/>
  <c r="L123" i="5"/>
  <c r="M123" i="5"/>
  <c r="N123" i="5"/>
  <c r="O123" i="5"/>
  <c r="P123" i="5"/>
  <c r="J124" i="5"/>
  <c r="K124" i="5"/>
  <c r="L124" i="5"/>
  <c r="M124" i="5"/>
  <c r="N124" i="5"/>
  <c r="O124" i="5"/>
  <c r="P124" i="5"/>
  <c r="J125" i="5"/>
  <c r="K125" i="5"/>
  <c r="L125" i="5"/>
  <c r="M125" i="5"/>
  <c r="N125" i="5"/>
  <c r="O125" i="5"/>
  <c r="P125" i="5"/>
  <c r="J126" i="5"/>
  <c r="K126" i="5"/>
  <c r="L126" i="5"/>
  <c r="M126" i="5"/>
  <c r="N126" i="5"/>
  <c r="O126" i="5"/>
  <c r="P126" i="5"/>
  <c r="J127" i="5"/>
  <c r="K127" i="5"/>
  <c r="L127" i="5"/>
  <c r="M127" i="5"/>
  <c r="N127" i="5"/>
  <c r="O127" i="5"/>
  <c r="P127" i="5"/>
  <c r="J128" i="5"/>
  <c r="K128" i="5"/>
  <c r="L128" i="5"/>
  <c r="M128" i="5"/>
  <c r="N128" i="5"/>
  <c r="O128" i="5"/>
  <c r="P128" i="5"/>
  <c r="J129" i="5"/>
  <c r="K129" i="5"/>
  <c r="L129" i="5"/>
  <c r="M129" i="5"/>
  <c r="N129" i="5"/>
  <c r="O129" i="5"/>
  <c r="P129" i="5"/>
  <c r="J130" i="5"/>
  <c r="K130" i="5"/>
  <c r="L130" i="5"/>
  <c r="M130" i="5"/>
  <c r="N130" i="5"/>
  <c r="O130" i="5"/>
  <c r="P130" i="5"/>
  <c r="J131" i="5"/>
  <c r="K131" i="5"/>
  <c r="L131" i="5"/>
  <c r="M131" i="5"/>
  <c r="N131" i="5"/>
  <c r="O131" i="5"/>
  <c r="P131" i="5"/>
  <c r="J132" i="5"/>
  <c r="K132" i="5"/>
  <c r="L132" i="5"/>
  <c r="M132" i="5"/>
  <c r="N132" i="5"/>
  <c r="O132" i="5"/>
  <c r="P132" i="5"/>
  <c r="J133" i="5"/>
  <c r="K133" i="5"/>
  <c r="L133" i="5"/>
  <c r="M133" i="5"/>
  <c r="N133" i="5"/>
  <c r="O133" i="5"/>
  <c r="P133" i="5"/>
  <c r="J134" i="5"/>
  <c r="K134" i="5"/>
  <c r="L134" i="5"/>
  <c r="M134" i="5"/>
  <c r="N134" i="5"/>
  <c r="O134" i="5"/>
  <c r="P134" i="5"/>
  <c r="J135" i="5"/>
  <c r="K135" i="5"/>
  <c r="L135" i="5"/>
  <c r="M135" i="5"/>
  <c r="N135" i="5"/>
  <c r="O135" i="5"/>
  <c r="P135" i="5"/>
  <c r="J136" i="5"/>
  <c r="K136" i="5"/>
  <c r="L136" i="5"/>
  <c r="M136" i="5"/>
  <c r="N136" i="5"/>
  <c r="O136" i="5"/>
  <c r="P136" i="5"/>
  <c r="J137" i="5"/>
  <c r="K137" i="5"/>
  <c r="L137" i="5"/>
  <c r="M137" i="5"/>
  <c r="N137" i="5"/>
  <c r="O137" i="5"/>
  <c r="P137" i="5"/>
  <c r="J138" i="5"/>
  <c r="K138" i="5"/>
  <c r="L138" i="5"/>
  <c r="M138" i="5"/>
  <c r="N138" i="5"/>
  <c r="O138" i="5"/>
  <c r="P138" i="5"/>
  <c r="J139" i="5"/>
  <c r="K139" i="5"/>
  <c r="L139" i="5"/>
  <c r="M139" i="5"/>
  <c r="N139" i="5"/>
  <c r="O139" i="5"/>
  <c r="P139" i="5"/>
  <c r="J140" i="5"/>
  <c r="K140" i="5"/>
  <c r="L140" i="5"/>
  <c r="M140" i="5"/>
  <c r="N140" i="5"/>
  <c r="O140" i="5"/>
  <c r="P140" i="5"/>
  <c r="J141" i="5"/>
  <c r="K141" i="5"/>
  <c r="L141" i="5"/>
  <c r="M141" i="5"/>
  <c r="N141" i="5"/>
  <c r="O141" i="5"/>
  <c r="P141" i="5"/>
  <c r="J142" i="5"/>
  <c r="K142" i="5"/>
  <c r="L142" i="5"/>
  <c r="M142" i="5"/>
  <c r="N142" i="5"/>
  <c r="O142" i="5"/>
  <c r="P142" i="5"/>
  <c r="J143" i="5"/>
  <c r="K143" i="5"/>
  <c r="L143" i="5"/>
  <c r="M143" i="5"/>
  <c r="N143" i="5"/>
  <c r="O143" i="5"/>
  <c r="P143" i="5"/>
  <c r="J144" i="5"/>
  <c r="K144" i="5"/>
  <c r="L144" i="5"/>
  <c r="M144" i="5"/>
  <c r="N144" i="5"/>
  <c r="O144" i="5"/>
  <c r="P144" i="5"/>
  <c r="J145" i="5"/>
  <c r="K145" i="5"/>
  <c r="L145" i="5"/>
  <c r="M145" i="5"/>
  <c r="N145" i="5"/>
  <c r="O145" i="5"/>
  <c r="P145" i="5"/>
  <c r="J146" i="5"/>
  <c r="K146" i="5"/>
  <c r="L146" i="5"/>
  <c r="M146" i="5"/>
  <c r="N146" i="5"/>
  <c r="O146" i="5"/>
  <c r="P146" i="5"/>
  <c r="J147" i="5"/>
  <c r="K147" i="5"/>
  <c r="L147" i="5"/>
  <c r="M147" i="5"/>
  <c r="N147" i="5"/>
  <c r="O147" i="5"/>
  <c r="P147" i="5"/>
  <c r="J148" i="5"/>
  <c r="K148" i="5"/>
  <c r="L148" i="5"/>
  <c r="M148" i="5"/>
  <c r="N148" i="5"/>
  <c r="O148" i="5"/>
  <c r="P148" i="5"/>
  <c r="J149" i="5"/>
  <c r="K149" i="5"/>
  <c r="L149" i="5"/>
  <c r="M149" i="5"/>
  <c r="N149" i="5"/>
  <c r="O149" i="5"/>
  <c r="P149" i="5"/>
  <c r="J150" i="5"/>
  <c r="K150" i="5"/>
  <c r="L150" i="5"/>
  <c r="M150" i="5"/>
  <c r="N150" i="5"/>
  <c r="O150" i="5"/>
  <c r="P150" i="5"/>
  <c r="J151" i="5"/>
  <c r="K151" i="5"/>
  <c r="L151" i="5"/>
  <c r="M151" i="5"/>
  <c r="N151" i="5"/>
  <c r="O151" i="5"/>
  <c r="P151" i="5"/>
  <c r="J152" i="5"/>
  <c r="K152" i="5"/>
  <c r="L152" i="5"/>
  <c r="M152" i="5"/>
  <c r="N152" i="5"/>
  <c r="O152" i="5"/>
  <c r="P152" i="5"/>
  <c r="J153" i="5"/>
  <c r="K153" i="5"/>
  <c r="L153" i="5"/>
  <c r="M153" i="5"/>
  <c r="N153" i="5"/>
  <c r="O153" i="5"/>
  <c r="P153" i="5"/>
  <c r="J154" i="5"/>
  <c r="K154" i="5"/>
  <c r="L154" i="5"/>
  <c r="M154" i="5"/>
  <c r="N154" i="5"/>
  <c r="O154" i="5"/>
  <c r="P154" i="5"/>
  <c r="J155" i="5"/>
  <c r="K155" i="5"/>
  <c r="L155" i="5"/>
  <c r="M155" i="5"/>
  <c r="N155" i="5"/>
  <c r="O155" i="5"/>
  <c r="P155" i="5"/>
  <c r="J156" i="5"/>
  <c r="K156" i="5"/>
  <c r="L156" i="5"/>
  <c r="M156" i="5"/>
  <c r="N156" i="5"/>
  <c r="O156" i="5"/>
  <c r="P156" i="5"/>
  <c r="J157" i="5"/>
  <c r="K157" i="5"/>
  <c r="L157" i="5"/>
  <c r="M157" i="5"/>
  <c r="N157" i="5"/>
  <c r="O157" i="5"/>
  <c r="P157" i="5"/>
  <c r="J158" i="5"/>
  <c r="K158" i="5"/>
  <c r="L158" i="5"/>
  <c r="M158" i="5"/>
  <c r="N158" i="5"/>
  <c r="O158" i="5"/>
  <c r="P158" i="5"/>
  <c r="J159" i="5"/>
  <c r="K159" i="5"/>
  <c r="L159" i="5"/>
  <c r="M159" i="5"/>
  <c r="N159" i="5"/>
  <c r="O159" i="5"/>
  <c r="P159" i="5"/>
  <c r="J160" i="5"/>
  <c r="K160" i="5"/>
  <c r="L160" i="5"/>
  <c r="M160" i="5"/>
  <c r="N160" i="5"/>
  <c r="O160" i="5"/>
  <c r="P160" i="5"/>
  <c r="J161" i="5"/>
  <c r="K161" i="5"/>
  <c r="L161" i="5"/>
  <c r="M161" i="5"/>
  <c r="N161" i="5"/>
  <c r="O161" i="5"/>
  <c r="P161" i="5"/>
  <c r="J162" i="5"/>
  <c r="K162" i="5"/>
  <c r="L162" i="5"/>
  <c r="M162" i="5"/>
  <c r="N162" i="5"/>
  <c r="O162" i="5"/>
  <c r="P162" i="5"/>
  <c r="J163" i="5"/>
  <c r="K163" i="5"/>
  <c r="L163" i="5"/>
  <c r="M163" i="5"/>
  <c r="N163" i="5"/>
  <c r="O163" i="5"/>
  <c r="P163" i="5"/>
  <c r="J164" i="5"/>
  <c r="K164" i="5"/>
  <c r="L164" i="5"/>
  <c r="M164" i="5"/>
  <c r="N164" i="5"/>
  <c r="O164" i="5"/>
  <c r="P164" i="5"/>
  <c r="J165" i="5"/>
  <c r="K165" i="5"/>
  <c r="L165" i="5"/>
  <c r="M165" i="5"/>
  <c r="N165" i="5"/>
  <c r="O165" i="5"/>
  <c r="P165" i="5"/>
  <c r="J166" i="5"/>
  <c r="K166" i="5"/>
  <c r="L166" i="5"/>
  <c r="M166" i="5"/>
  <c r="N166" i="5"/>
  <c r="O166" i="5"/>
  <c r="P166" i="5"/>
  <c r="J167" i="5"/>
  <c r="K167" i="5"/>
  <c r="L167" i="5"/>
  <c r="M167" i="5"/>
  <c r="N167" i="5"/>
  <c r="O167" i="5"/>
  <c r="P167" i="5"/>
  <c r="J168" i="5"/>
  <c r="K168" i="5"/>
  <c r="L168" i="5"/>
  <c r="M168" i="5"/>
  <c r="N168" i="5"/>
  <c r="O168" i="5"/>
  <c r="P168" i="5"/>
  <c r="J169" i="5"/>
  <c r="K169" i="5"/>
  <c r="L169" i="5"/>
  <c r="M169" i="5"/>
  <c r="N169" i="5"/>
  <c r="O169" i="5"/>
  <c r="P169" i="5"/>
  <c r="J170" i="5"/>
  <c r="K170" i="5"/>
  <c r="L170" i="5"/>
  <c r="M170" i="5"/>
  <c r="N170" i="5"/>
  <c r="O170" i="5"/>
  <c r="P170" i="5"/>
  <c r="J171" i="5"/>
  <c r="K171" i="5"/>
  <c r="L171" i="5"/>
  <c r="M171" i="5"/>
  <c r="N171" i="5"/>
  <c r="O171" i="5"/>
  <c r="P171" i="5"/>
  <c r="J172" i="5"/>
  <c r="K172" i="5"/>
  <c r="L172" i="5"/>
  <c r="M172" i="5"/>
  <c r="N172" i="5"/>
  <c r="O172" i="5"/>
  <c r="P172" i="5"/>
  <c r="J173" i="5"/>
  <c r="K173" i="5"/>
  <c r="L173" i="5"/>
  <c r="M173" i="5"/>
  <c r="N173" i="5"/>
  <c r="O173" i="5"/>
  <c r="P173" i="5"/>
  <c r="J174" i="5"/>
  <c r="K174" i="5"/>
  <c r="L174" i="5"/>
  <c r="M174" i="5"/>
  <c r="N174" i="5"/>
  <c r="O174" i="5"/>
  <c r="P174" i="5"/>
  <c r="J175" i="5"/>
  <c r="K175" i="5"/>
  <c r="L175" i="5"/>
  <c r="M175" i="5"/>
  <c r="N175" i="5"/>
  <c r="O175" i="5"/>
  <c r="P175" i="5"/>
  <c r="J176" i="5"/>
  <c r="K176" i="5"/>
  <c r="L176" i="5"/>
  <c r="M176" i="5"/>
  <c r="N176" i="5"/>
  <c r="O176" i="5"/>
  <c r="P176" i="5"/>
  <c r="J177" i="5"/>
  <c r="K177" i="5"/>
  <c r="L177" i="5"/>
  <c r="M177" i="5"/>
  <c r="N177" i="5"/>
  <c r="O177" i="5"/>
  <c r="P177" i="5"/>
  <c r="J178" i="5"/>
  <c r="K178" i="5"/>
  <c r="L178" i="5"/>
  <c r="M178" i="5"/>
  <c r="N178" i="5"/>
  <c r="O178" i="5"/>
  <c r="P178" i="5"/>
  <c r="J179" i="5"/>
  <c r="K179" i="5"/>
  <c r="L179" i="5"/>
  <c r="M179" i="5"/>
  <c r="N179" i="5"/>
  <c r="O179" i="5"/>
  <c r="P179" i="5"/>
  <c r="J180" i="5"/>
  <c r="K180" i="5"/>
  <c r="L180" i="5"/>
  <c r="M180" i="5"/>
  <c r="N180" i="5"/>
  <c r="O180" i="5"/>
  <c r="P180" i="5"/>
  <c r="J181" i="5"/>
  <c r="K181" i="5"/>
  <c r="L181" i="5"/>
  <c r="M181" i="5"/>
  <c r="N181" i="5"/>
  <c r="O181" i="5"/>
  <c r="P181" i="5"/>
  <c r="J182" i="5"/>
  <c r="K182" i="5"/>
  <c r="L182" i="5"/>
  <c r="M182" i="5"/>
  <c r="N182" i="5"/>
  <c r="O182" i="5"/>
  <c r="P182" i="5"/>
  <c r="J183" i="5"/>
  <c r="K183" i="5"/>
  <c r="L183" i="5"/>
  <c r="M183" i="5"/>
  <c r="N183" i="5"/>
  <c r="O183" i="5"/>
  <c r="P183" i="5"/>
  <c r="J184" i="5"/>
  <c r="K184" i="5"/>
  <c r="L184" i="5"/>
  <c r="M184" i="5"/>
  <c r="N184" i="5"/>
  <c r="O184" i="5"/>
  <c r="P184" i="5"/>
  <c r="J185" i="5"/>
  <c r="K185" i="5"/>
  <c r="L185" i="5"/>
  <c r="M185" i="5"/>
  <c r="N185" i="5"/>
  <c r="O185" i="5"/>
  <c r="P185" i="5"/>
  <c r="J186" i="5"/>
  <c r="K186" i="5"/>
  <c r="L186" i="5"/>
  <c r="M186" i="5"/>
  <c r="N186" i="5"/>
  <c r="O186" i="5"/>
  <c r="P186" i="5"/>
  <c r="J187" i="5"/>
  <c r="K187" i="5"/>
  <c r="L187" i="5"/>
  <c r="M187" i="5"/>
  <c r="N187" i="5"/>
  <c r="O187" i="5"/>
  <c r="P187" i="5"/>
  <c r="J188" i="5"/>
  <c r="K188" i="5"/>
  <c r="L188" i="5"/>
  <c r="M188" i="5"/>
  <c r="N188" i="5"/>
  <c r="O188" i="5"/>
  <c r="P188" i="5"/>
  <c r="J189" i="5"/>
  <c r="K189" i="5"/>
  <c r="L189" i="5"/>
  <c r="M189" i="5"/>
  <c r="N189" i="5"/>
  <c r="O189" i="5"/>
  <c r="P189" i="5"/>
  <c r="J190" i="5"/>
  <c r="K190" i="5"/>
  <c r="L190" i="5"/>
  <c r="M190" i="5"/>
  <c r="N190" i="5"/>
  <c r="O190" i="5"/>
  <c r="P190" i="5"/>
  <c r="K2" i="5"/>
  <c r="L2" i="5"/>
  <c r="M2" i="5"/>
  <c r="N2" i="5"/>
  <c r="O2" i="5"/>
  <c r="P2" i="5"/>
  <c r="J2" i="5"/>
  <c r="R3" i="4"/>
  <c r="W3" i="4"/>
  <c r="X3" i="4"/>
  <c r="Y3" i="4"/>
  <c r="Z3" i="4"/>
  <c r="AA3" i="4"/>
  <c r="AB3" i="4"/>
  <c r="AC3" i="4"/>
  <c r="W4" i="4"/>
  <c r="X4" i="4"/>
  <c r="Y4" i="4"/>
  <c r="Z4" i="4"/>
  <c r="AA4" i="4"/>
  <c r="AB4" i="4"/>
  <c r="AC4" i="4"/>
  <c r="W5" i="4"/>
  <c r="X5" i="4"/>
  <c r="Y5" i="4"/>
  <c r="Z5" i="4"/>
  <c r="AA5" i="4"/>
  <c r="AB5" i="4"/>
  <c r="AC5" i="4"/>
  <c r="W6" i="4"/>
  <c r="X6" i="4"/>
  <c r="Y6" i="4"/>
  <c r="Z6" i="4"/>
  <c r="AA6" i="4"/>
  <c r="AB6" i="4"/>
  <c r="AC6" i="4"/>
  <c r="W7" i="4"/>
  <c r="X7" i="4"/>
  <c r="Y7" i="4"/>
  <c r="Z7" i="4"/>
  <c r="AA7" i="4"/>
  <c r="AB7" i="4"/>
  <c r="AC7" i="4"/>
  <c r="W8" i="4"/>
  <c r="X8" i="4"/>
  <c r="Y8" i="4"/>
  <c r="Z8" i="4"/>
  <c r="AA8" i="4"/>
  <c r="AB8" i="4"/>
  <c r="AC8" i="4"/>
  <c r="W9" i="4"/>
  <c r="X9" i="4"/>
  <c r="Y9" i="4"/>
  <c r="Z9" i="4"/>
  <c r="AA9" i="4"/>
  <c r="AB9" i="4"/>
  <c r="AC9" i="4"/>
  <c r="W10" i="4"/>
  <c r="X10" i="4"/>
  <c r="Y10" i="4"/>
  <c r="Z10" i="4"/>
  <c r="AA10" i="4"/>
  <c r="AB10" i="4"/>
  <c r="AC10" i="4"/>
  <c r="W11" i="4"/>
  <c r="X11" i="4"/>
  <c r="Y11" i="4"/>
  <c r="Z11" i="4"/>
  <c r="AA11" i="4"/>
  <c r="AB11" i="4"/>
  <c r="AC11" i="4"/>
  <c r="W12" i="4"/>
  <c r="X12" i="4"/>
  <c r="Y12" i="4"/>
  <c r="Z12" i="4"/>
  <c r="AA12" i="4"/>
  <c r="AB12" i="4"/>
  <c r="AC12" i="4"/>
  <c r="W13" i="4"/>
  <c r="X13" i="4"/>
  <c r="Y13" i="4"/>
  <c r="Z13" i="4"/>
  <c r="AA13" i="4"/>
  <c r="AB13" i="4"/>
  <c r="AC13" i="4"/>
  <c r="W14" i="4"/>
  <c r="X14" i="4"/>
  <c r="Y14" i="4"/>
  <c r="Z14" i="4"/>
  <c r="AA14" i="4"/>
  <c r="AB14" i="4"/>
  <c r="AC14" i="4"/>
  <c r="W15" i="4"/>
  <c r="X15" i="4"/>
  <c r="Y15" i="4"/>
  <c r="Z15" i="4"/>
  <c r="AA15" i="4"/>
  <c r="AB15" i="4"/>
  <c r="AC15" i="4"/>
  <c r="W16" i="4"/>
  <c r="X16" i="4"/>
  <c r="Y16" i="4"/>
  <c r="Z16" i="4"/>
  <c r="AA16" i="4"/>
  <c r="AB16" i="4"/>
  <c r="AC16" i="4"/>
  <c r="W17" i="4"/>
  <c r="X17" i="4"/>
  <c r="Y17" i="4"/>
  <c r="Z17" i="4"/>
  <c r="AA17" i="4"/>
  <c r="AB17" i="4"/>
  <c r="AC17" i="4"/>
  <c r="W18" i="4"/>
  <c r="X18" i="4"/>
  <c r="Y18" i="4"/>
  <c r="Z18" i="4"/>
  <c r="AA18" i="4"/>
  <c r="AB18" i="4"/>
  <c r="AC18" i="4"/>
  <c r="W19" i="4"/>
  <c r="X19" i="4"/>
  <c r="Y19" i="4"/>
  <c r="Z19" i="4"/>
  <c r="AA19" i="4"/>
  <c r="AB19" i="4"/>
  <c r="AC19" i="4"/>
  <c r="W20" i="4"/>
  <c r="X20" i="4"/>
  <c r="Y20" i="4"/>
  <c r="Z20" i="4"/>
  <c r="AA20" i="4"/>
  <c r="AB20" i="4"/>
  <c r="AC20" i="4"/>
  <c r="W21" i="4"/>
  <c r="X21" i="4"/>
  <c r="Y21" i="4"/>
  <c r="Z21" i="4"/>
  <c r="AA21" i="4"/>
  <c r="AB21" i="4"/>
  <c r="AC21" i="4"/>
  <c r="W22" i="4"/>
  <c r="X22" i="4"/>
  <c r="Y22" i="4"/>
  <c r="Z22" i="4"/>
  <c r="AA22" i="4"/>
  <c r="AB22" i="4"/>
  <c r="AC22" i="4"/>
  <c r="W23" i="4"/>
  <c r="X23" i="4"/>
  <c r="Y23" i="4"/>
  <c r="Z23" i="4"/>
  <c r="AA23" i="4"/>
  <c r="AB23" i="4"/>
  <c r="AC23" i="4"/>
  <c r="W24" i="4"/>
  <c r="X24" i="4"/>
  <c r="Y24" i="4"/>
  <c r="Z24" i="4"/>
  <c r="AA24" i="4"/>
  <c r="AB24" i="4"/>
  <c r="AC24" i="4"/>
  <c r="W25" i="4"/>
  <c r="X25" i="4"/>
  <c r="Y25" i="4"/>
  <c r="Z25" i="4"/>
  <c r="AA25" i="4"/>
  <c r="AB25" i="4"/>
  <c r="AC25" i="4"/>
  <c r="W26" i="4"/>
  <c r="X26" i="4"/>
  <c r="Y26" i="4"/>
  <c r="Z26" i="4"/>
  <c r="AA26" i="4"/>
  <c r="AB26" i="4"/>
  <c r="AC26" i="4"/>
  <c r="W27" i="4"/>
  <c r="X27" i="4"/>
  <c r="Y27" i="4"/>
  <c r="Z27" i="4"/>
  <c r="AA27" i="4"/>
  <c r="AB27" i="4"/>
  <c r="AC27" i="4"/>
  <c r="W28" i="4"/>
  <c r="X28" i="4"/>
  <c r="Y28" i="4"/>
  <c r="Z28" i="4"/>
  <c r="AA28" i="4"/>
  <c r="AB28" i="4"/>
  <c r="AC28" i="4"/>
  <c r="W29" i="4"/>
  <c r="X29" i="4"/>
  <c r="Y29" i="4"/>
  <c r="Z29" i="4"/>
  <c r="AA29" i="4"/>
  <c r="AB29" i="4"/>
  <c r="AC29" i="4"/>
  <c r="W30" i="4"/>
  <c r="X30" i="4"/>
  <c r="Y30" i="4"/>
  <c r="Z30" i="4"/>
  <c r="AA30" i="4"/>
  <c r="AB30" i="4"/>
  <c r="AC30" i="4"/>
  <c r="W31" i="4"/>
  <c r="X31" i="4"/>
  <c r="Y31" i="4"/>
  <c r="Z31" i="4"/>
  <c r="AA31" i="4"/>
  <c r="AB31" i="4"/>
  <c r="AC31" i="4"/>
  <c r="W32" i="4"/>
  <c r="X32" i="4"/>
  <c r="Y32" i="4"/>
  <c r="Z32" i="4"/>
  <c r="AA32" i="4"/>
  <c r="AB32" i="4"/>
  <c r="AC32" i="4"/>
  <c r="W33" i="4"/>
  <c r="X33" i="4"/>
  <c r="Y33" i="4"/>
  <c r="Z33" i="4"/>
  <c r="AA33" i="4"/>
  <c r="AB33" i="4"/>
  <c r="AC33" i="4"/>
  <c r="W34" i="4"/>
  <c r="X34" i="4"/>
  <c r="Y34" i="4"/>
  <c r="Z34" i="4"/>
  <c r="AA34" i="4"/>
  <c r="AB34" i="4"/>
  <c r="AC34" i="4"/>
  <c r="W35" i="4"/>
  <c r="X35" i="4"/>
  <c r="Y35" i="4"/>
  <c r="Z35" i="4"/>
  <c r="AA35" i="4"/>
  <c r="AB35" i="4"/>
  <c r="AC35" i="4"/>
  <c r="W36" i="4"/>
  <c r="X36" i="4"/>
  <c r="Y36" i="4"/>
  <c r="Z36" i="4"/>
  <c r="AA36" i="4"/>
  <c r="AB36" i="4"/>
  <c r="AC36" i="4"/>
  <c r="W37" i="4"/>
  <c r="X37" i="4"/>
  <c r="Y37" i="4"/>
  <c r="Z37" i="4"/>
  <c r="AA37" i="4"/>
  <c r="AB37" i="4"/>
  <c r="AC37" i="4"/>
  <c r="W38" i="4"/>
  <c r="X38" i="4"/>
  <c r="Y38" i="4"/>
  <c r="Z38" i="4"/>
  <c r="AA38" i="4"/>
  <c r="AB38" i="4"/>
  <c r="AC38" i="4"/>
  <c r="W39" i="4"/>
  <c r="X39" i="4"/>
  <c r="Y39" i="4"/>
  <c r="Z39" i="4"/>
  <c r="AA39" i="4"/>
  <c r="AB39" i="4"/>
  <c r="AC39" i="4"/>
  <c r="W40" i="4"/>
  <c r="X40" i="4"/>
  <c r="Y40" i="4"/>
  <c r="Z40" i="4"/>
  <c r="AA40" i="4"/>
  <c r="AB40" i="4"/>
  <c r="AC40" i="4"/>
  <c r="W41" i="4"/>
  <c r="X41" i="4"/>
  <c r="Y41" i="4"/>
  <c r="Z41" i="4"/>
  <c r="AA41" i="4"/>
  <c r="AB41" i="4"/>
  <c r="AC41" i="4"/>
  <c r="W42" i="4"/>
  <c r="X42" i="4"/>
  <c r="Y42" i="4"/>
  <c r="Z42" i="4"/>
  <c r="AA42" i="4"/>
  <c r="AB42" i="4"/>
  <c r="AC42" i="4"/>
  <c r="W43" i="4"/>
  <c r="X43" i="4"/>
  <c r="Y43" i="4"/>
  <c r="Z43" i="4"/>
  <c r="AA43" i="4"/>
  <c r="AB43" i="4"/>
  <c r="AC43" i="4"/>
  <c r="W44" i="4"/>
  <c r="X44" i="4"/>
  <c r="Y44" i="4"/>
  <c r="Z44" i="4"/>
  <c r="AA44" i="4"/>
  <c r="AB44" i="4"/>
  <c r="AC44" i="4"/>
  <c r="W45" i="4"/>
  <c r="X45" i="4"/>
  <c r="Y45" i="4"/>
  <c r="Z45" i="4"/>
  <c r="AA45" i="4"/>
  <c r="AB45" i="4"/>
  <c r="AC45" i="4"/>
  <c r="W46" i="4"/>
  <c r="X46" i="4"/>
  <c r="Y46" i="4"/>
  <c r="Z46" i="4"/>
  <c r="AA46" i="4"/>
  <c r="AB46" i="4"/>
  <c r="AC46" i="4"/>
  <c r="W47" i="4"/>
  <c r="X47" i="4"/>
  <c r="Y47" i="4"/>
  <c r="Z47" i="4"/>
  <c r="AA47" i="4"/>
  <c r="AB47" i="4"/>
  <c r="AC47" i="4"/>
  <c r="W48" i="4"/>
  <c r="X48" i="4"/>
  <c r="Y48" i="4"/>
  <c r="Z48" i="4"/>
  <c r="AA48" i="4"/>
  <c r="AB48" i="4"/>
  <c r="AC48" i="4"/>
  <c r="W49" i="4"/>
  <c r="X49" i="4"/>
  <c r="Y49" i="4"/>
  <c r="Z49" i="4"/>
  <c r="AA49" i="4"/>
  <c r="AB49" i="4"/>
  <c r="AC49" i="4"/>
  <c r="W50" i="4"/>
  <c r="X50" i="4"/>
  <c r="Y50" i="4"/>
  <c r="Z50" i="4"/>
  <c r="AA50" i="4"/>
  <c r="AB50" i="4"/>
  <c r="AC50" i="4"/>
  <c r="W51" i="4"/>
  <c r="X51" i="4"/>
  <c r="Y51" i="4"/>
  <c r="Z51" i="4"/>
  <c r="AA51" i="4"/>
  <c r="AB51" i="4"/>
  <c r="AC51" i="4"/>
  <c r="W52" i="4"/>
  <c r="X52" i="4"/>
  <c r="Y52" i="4"/>
  <c r="Z52" i="4"/>
  <c r="AA52" i="4"/>
  <c r="AB52" i="4"/>
  <c r="AC52" i="4"/>
  <c r="W53" i="4"/>
  <c r="X53" i="4"/>
  <c r="Y53" i="4"/>
  <c r="Z53" i="4"/>
  <c r="AA53" i="4"/>
  <c r="AB53" i="4"/>
  <c r="AC53" i="4"/>
  <c r="W54" i="4"/>
  <c r="X54" i="4"/>
  <c r="Y54" i="4"/>
  <c r="Z54" i="4"/>
  <c r="AA54" i="4"/>
  <c r="AB54" i="4"/>
  <c r="AC54" i="4"/>
  <c r="W55" i="4"/>
  <c r="X55" i="4"/>
  <c r="Y55" i="4"/>
  <c r="Z55" i="4"/>
  <c r="AA55" i="4"/>
  <c r="AB55" i="4"/>
  <c r="AC55" i="4"/>
  <c r="W56" i="4"/>
  <c r="X56" i="4"/>
  <c r="Y56" i="4"/>
  <c r="Z56" i="4"/>
  <c r="AA56" i="4"/>
  <c r="AB56" i="4"/>
  <c r="AC56" i="4"/>
  <c r="W57" i="4"/>
  <c r="X57" i="4"/>
  <c r="Y57" i="4"/>
  <c r="Z57" i="4"/>
  <c r="AA57" i="4"/>
  <c r="AB57" i="4"/>
  <c r="AC57" i="4"/>
  <c r="W58" i="4"/>
  <c r="X58" i="4"/>
  <c r="Y58" i="4"/>
  <c r="Z58" i="4"/>
  <c r="AA58" i="4"/>
  <c r="AB58" i="4"/>
  <c r="AC58" i="4"/>
  <c r="W59" i="4"/>
  <c r="X59" i="4"/>
  <c r="Y59" i="4"/>
  <c r="Z59" i="4"/>
  <c r="AA59" i="4"/>
  <c r="AB59" i="4"/>
  <c r="AC59" i="4"/>
  <c r="W60" i="4"/>
  <c r="X60" i="4"/>
  <c r="Y60" i="4"/>
  <c r="Z60" i="4"/>
  <c r="AA60" i="4"/>
  <c r="AB60" i="4"/>
  <c r="AC60" i="4"/>
  <c r="W61" i="4"/>
  <c r="X61" i="4"/>
  <c r="Y61" i="4"/>
  <c r="Z61" i="4"/>
  <c r="AA61" i="4"/>
  <c r="AB61" i="4"/>
  <c r="AC61" i="4"/>
  <c r="W62" i="4"/>
  <c r="X62" i="4"/>
  <c r="Y62" i="4"/>
  <c r="Z62" i="4"/>
  <c r="AA62" i="4"/>
  <c r="AB62" i="4"/>
  <c r="AC62" i="4"/>
  <c r="W63" i="4"/>
  <c r="X63" i="4"/>
  <c r="Y63" i="4"/>
  <c r="Z63" i="4"/>
  <c r="AA63" i="4"/>
  <c r="AB63" i="4"/>
  <c r="AC63" i="4"/>
  <c r="W64" i="4"/>
  <c r="X64" i="4"/>
  <c r="Y64" i="4"/>
  <c r="Z64" i="4"/>
  <c r="AA64" i="4"/>
  <c r="AB64" i="4"/>
  <c r="AC64" i="4"/>
  <c r="W65" i="4"/>
  <c r="X65" i="4"/>
  <c r="Y65" i="4"/>
  <c r="Z65" i="4"/>
  <c r="AA65" i="4"/>
  <c r="AB65" i="4"/>
  <c r="AC65" i="4"/>
  <c r="W66" i="4"/>
  <c r="X66" i="4"/>
  <c r="Y66" i="4"/>
  <c r="Z66" i="4"/>
  <c r="AA66" i="4"/>
  <c r="AB66" i="4"/>
  <c r="AC66" i="4"/>
  <c r="W67" i="4"/>
  <c r="X67" i="4"/>
  <c r="Y67" i="4"/>
  <c r="Z67" i="4"/>
  <c r="AA67" i="4"/>
  <c r="AB67" i="4"/>
  <c r="AC67" i="4"/>
  <c r="W68" i="4"/>
  <c r="X68" i="4"/>
  <c r="Y68" i="4"/>
  <c r="Z68" i="4"/>
  <c r="AA68" i="4"/>
  <c r="AB68" i="4"/>
  <c r="AC68" i="4"/>
  <c r="W69" i="4"/>
  <c r="X69" i="4"/>
  <c r="Y69" i="4"/>
  <c r="Z69" i="4"/>
  <c r="AA69" i="4"/>
  <c r="AB69" i="4"/>
  <c r="AC69" i="4"/>
  <c r="W70" i="4"/>
  <c r="X70" i="4"/>
  <c r="Y70" i="4"/>
  <c r="Z70" i="4"/>
  <c r="AA70" i="4"/>
  <c r="AB70" i="4"/>
  <c r="AC70" i="4"/>
  <c r="W71" i="4"/>
  <c r="X71" i="4"/>
  <c r="Y71" i="4"/>
  <c r="Z71" i="4"/>
  <c r="AA71" i="4"/>
  <c r="AB71" i="4"/>
  <c r="AC71" i="4"/>
  <c r="W72" i="4"/>
  <c r="X72" i="4"/>
  <c r="Y72" i="4"/>
  <c r="Z72" i="4"/>
  <c r="AA72" i="4"/>
  <c r="AB72" i="4"/>
  <c r="AC72" i="4"/>
  <c r="W73" i="4"/>
  <c r="X73" i="4"/>
  <c r="Y73" i="4"/>
  <c r="Z73" i="4"/>
  <c r="AA73" i="4"/>
  <c r="AB73" i="4"/>
  <c r="AC73" i="4"/>
  <c r="W74" i="4"/>
  <c r="X74" i="4"/>
  <c r="Y74" i="4"/>
  <c r="Z74" i="4"/>
  <c r="AA74" i="4"/>
  <c r="AB74" i="4"/>
  <c r="AC74" i="4"/>
  <c r="W75" i="4"/>
  <c r="X75" i="4"/>
  <c r="Y75" i="4"/>
  <c r="Z75" i="4"/>
  <c r="AA75" i="4"/>
  <c r="AB75" i="4"/>
  <c r="AC75" i="4"/>
  <c r="W76" i="4"/>
  <c r="X76" i="4"/>
  <c r="Y76" i="4"/>
  <c r="Z76" i="4"/>
  <c r="AA76" i="4"/>
  <c r="AB76" i="4"/>
  <c r="AC76" i="4"/>
  <c r="W77" i="4"/>
  <c r="X77" i="4"/>
  <c r="Y77" i="4"/>
  <c r="Z77" i="4"/>
  <c r="AA77" i="4"/>
  <c r="AB77" i="4"/>
  <c r="AC77" i="4"/>
  <c r="W78" i="4"/>
  <c r="X78" i="4"/>
  <c r="Y78" i="4"/>
  <c r="Z78" i="4"/>
  <c r="AA78" i="4"/>
  <c r="AB78" i="4"/>
  <c r="AC78" i="4"/>
  <c r="W79" i="4"/>
  <c r="X79" i="4"/>
  <c r="Y79" i="4"/>
  <c r="Z79" i="4"/>
  <c r="AA79" i="4"/>
  <c r="AB79" i="4"/>
  <c r="AC79" i="4"/>
  <c r="W80" i="4"/>
  <c r="X80" i="4"/>
  <c r="Y80" i="4"/>
  <c r="Z80" i="4"/>
  <c r="AA80" i="4"/>
  <c r="AB80" i="4"/>
  <c r="AC80" i="4"/>
  <c r="W81" i="4"/>
  <c r="X81" i="4"/>
  <c r="Y81" i="4"/>
  <c r="Z81" i="4"/>
  <c r="AA81" i="4"/>
  <c r="AB81" i="4"/>
  <c r="AC81" i="4"/>
  <c r="W82" i="4"/>
  <c r="X82" i="4"/>
  <c r="Y82" i="4"/>
  <c r="Z82" i="4"/>
  <c r="AA82" i="4"/>
  <c r="AB82" i="4"/>
  <c r="AC82" i="4"/>
  <c r="W83" i="4"/>
  <c r="X83" i="4"/>
  <c r="Y83" i="4"/>
  <c r="Z83" i="4"/>
  <c r="AA83" i="4"/>
  <c r="AB83" i="4"/>
  <c r="AC83" i="4"/>
  <c r="W84" i="4"/>
  <c r="X84" i="4"/>
  <c r="Y84" i="4"/>
  <c r="Z84" i="4"/>
  <c r="AA84" i="4"/>
  <c r="AB84" i="4"/>
  <c r="AC84" i="4"/>
  <c r="W85" i="4"/>
  <c r="X85" i="4"/>
  <c r="Y85" i="4"/>
  <c r="Z85" i="4"/>
  <c r="AA85" i="4"/>
  <c r="AB85" i="4"/>
  <c r="AC85" i="4"/>
  <c r="W86" i="4"/>
  <c r="X86" i="4"/>
  <c r="Y86" i="4"/>
  <c r="Z86" i="4"/>
  <c r="AA86" i="4"/>
  <c r="AB86" i="4"/>
  <c r="AC86" i="4"/>
  <c r="W87" i="4"/>
  <c r="X87" i="4"/>
  <c r="Y87" i="4"/>
  <c r="Z87" i="4"/>
  <c r="AA87" i="4"/>
  <c r="AB87" i="4"/>
  <c r="AC87" i="4"/>
  <c r="W88" i="4"/>
  <c r="X88" i="4"/>
  <c r="Y88" i="4"/>
  <c r="Z88" i="4"/>
  <c r="AA88" i="4"/>
  <c r="AB88" i="4"/>
  <c r="AC88" i="4"/>
  <c r="W89" i="4"/>
  <c r="X89" i="4"/>
  <c r="Y89" i="4"/>
  <c r="Z89" i="4"/>
  <c r="AA89" i="4"/>
  <c r="AB89" i="4"/>
  <c r="AC89" i="4"/>
  <c r="W90" i="4"/>
  <c r="X90" i="4"/>
  <c r="Y90" i="4"/>
  <c r="Z90" i="4"/>
  <c r="AA90" i="4"/>
  <c r="AB90" i="4"/>
  <c r="AC90" i="4"/>
  <c r="W91" i="4"/>
  <c r="X91" i="4"/>
  <c r="Y91" i="4"/>
  <c r="Z91" i="4"/>
  <c r="AA91" i="4"/>
  <c r="AB91" i="4"/>
  <c r="AC91" i="4"/>
  <c r="W92" i="4"/>
  <c r="X92" i="4"/>
  <c r="Y92" i="4"/>
  <c r="Z92" i="4"/>
  <c r="AA92" i="4"/>
  <c r="AB92" i="4"/>
  <c r="AC92" i="4"/>
  <c r="W93" i="4"/>
  <c r="X93" i="4"/>
  <c r="Y93" i="4"/>
  <c r="Z93" i="4"/>
  <c r="AA93" i="4"/>
  <c r="AB93" i="4"/>
  <c r="AC93" i="4"/>
  <c r="W94" i="4"/>
  <c r="X94" i="4"/>
  <c r="Y94" i="4"/>
  <c r="Z94" i="4"/>
  <c r="AA94" i="4"/>
  <c r="AB94" i="4"/>
  <c r="AC94" i="4"/>
  <c r="W95" i="4"/>
  <c r="X95" i="4"/>
  <c r="Y95" i="4"/>
  <c r="Z95" i="4"/>
  <c r="AA95" i="4"/>
  <c r="AB95" i="4"/>
  <c r="AC95" i="4"/>
  <c r="W96" i="4"/>
  <c r="X96" i="4"/>
  <c r="Y96" i="4"/>
  <c r="Z96" i="4"/>
  <c r="AA96" i="4"/>
  <c r="AB96" i="4"/>
  <c r="AC96" i="4"/>
  <c r="W97" i="4"/>
  <c r="X97" i="4"/>
  <c r="Y97" i="4"/>
  <c r="Z97" i="4"/>
  <c r="AA97" i="4"/>
  <c r="AB97" i="4"/>
  <c r="AC97" i="4"/>
  <c r="W98" i="4"/>
  <c r="X98" i="4"/>
  <c r="Y98" i="4"/>
  <c r="Z98" i="4"/>
  <c r="AA98" i="4"/>
  <c r="AB98" i="4"/>
  <c r="AC98" i="4"/>
  <c r="W99" i="4"/>
  <c r="X99" i="4"/>
  <c r="Y99" i="4"/>
  <c r="Z99" i="4"/>
  <c r="AA99" i="4"/>
  <c r="AB99" i="4"/>
  <c r="AC99" i="4"/>
  <c r="W100" i="4"/>
  <c r="X100" i="4"/>
  <c r="Y100" i="4"/>
  <c r="Z100" i="4"/>
  <c r="AA100" i="4"/>
  <c r="AB100" i="4"/>
  <c r="AC100" i="4"/>
  <c r="W101" i="4"/>
  <c r="X101" i="4"/>
  <c r="Y101" i="4"/>
  <c r="Z101" i="4"/>
  <c r="AA101" i="4"/>
  <c r="AB101" i="4"/>
  <c r="AC101" i="4"/>
  <c r="W102" i="4"/>
  <c r="X102" i="4"/>
  <c r="Y102" i="4"/>
  <c r="Z102" i="4"/>
  <c r="AA102" i="4"/>
  <c r="AB102" i="4"/>
  <c r="AC102" i="4"/>
  <c r="W103" i="4"/>
  <c r="X103" i="4"/>
  <c r="Y103" i="4"/>
  <c r="Z103" i="4"/>
  <c r="AA103" i="4"/>
  <c r="AB103" i="4"/>
  <c r="AC103" i="4"/>
  <c r="W104" i="4"/>
  <c r="X104" i="4"/>
  <c r="Y104" i="4"/>
  <c r="Z104" i="4"/>
  <c r="AA104" i="4"/>
  <c r="AB104" i="4"/>
  <c r="AC104" i="4"/>
  <c r="W105" i="4"/>
  <c r="X105" i="4"/>
  <c r="Y105" i="4"/>
  <c r="Z105" i="4"/>
  <c r="AA105" i="4"/>
  <c r="AB105" i="4"/>
  <c r="AC105" i="4"/>
  <c r="W106" i="4"/>
  <c r="X106" i="4"/>
  <c r="Y106" i="4"/>
  <c r="Z106" i="4"/>
  <c r="AA106" i="4"/>
  <c r="AB106" i="4"/>
  <c r="AC106" i="4"/>
  <c r="W107" i="4"/>
  <c r="X107" i="4"/>
  <c r="Y107" i="4"/>
  <c r="Z107" i="4"/>
  <c r="AA107" i="4"/>
  <c r="AB107" i="4"/>
  <c r="AC107" i="4"/>
  <c r="W108" i="4"/>
  <c r="X108" i="4"/>
  <c r="Y108" i="4"/>
  <c r="Z108" i="4"/>
  <c r="AA108" i="4"/>
  <c r="AB108" i="4"/>
  <c r="AC108" i="4"/>
  <c r="W109" i="4"/>
  <c r="X109" i="4"/>
  <c r="Y109" i="4"/>
  <c r="Z109" i="4"/>
  <c r="AA109" i="4"/>
  <c r="AB109" i="4"/>
  <c r="AC109" i="4"/>
  <c r="W110" i="4"/>
  <c r="X110" i="4"/>
  <c r="Y110" i="4"/>
  <c r="Z110" i="4"/>
  <c r="AA110" i="4"/>
  <c r="AB110" i="4"/>
  <c r="AC110" i="4"/>
  <c r="W111" i="4"/>
  <c r="X111" i="4"/>
  <c r="Y111" i="4"/>
  <c r="Z111" i="4"/>
  <c r="AA111" i="4"/>
  <c r="AB111" i="4"/>
  <c r="AC111" i="4"/>
  <c r="W112" i="4"/>
  <c r="X112" i="4"/>
  <c r="Y112" i="4"/>
  <c r="Z112" i="4"/>
  <c r="AA112" i="4"/>
  <c r="AB112" i="4"/>
  <c r="AC112" i="4"/>
  <c r="W113" i="4"/>
  <c r="X113" i="4"/>
  <c r="Y113" i="4"/>
  <c r="Z113" i="4"/>
  <c r="AA113" i="4"/>
  <c r="AB113" i="4"/>
  <c r="AC113" i="4"/>
  <c r="W114" i="4"/>
  <c r="X114" i="4"/>
  <c r="Y114" i="4"/>
  <c r="Z114" i="4"/>
  <c r="AA114" i="4"/>
  <c r="AB114" i="4"/>
  <c r="AC114" i="4"/>
  <c r="W115" i="4"/>
  <c r="X115" i="4"/>
  <c r="Y115" i="4"/>
  <c r="Z115" i="4"/>
  <c r="AA115" i="4"/>
  <c r="AB115" i="4"/>
  <c r="AC115" i="4"/>
  <c r="W116" i="4"/>
  <c r="X116" i="4"/>
  <c r="Y116" i="4"/>
  <c r="Z116" i="4"/>
  <c r="AA116" i="4"/>
  <c r="AB116" i="4"/>
  <c r="AC116" i="4"/>
  <c r="W117" i="4"/>
  <c r="X117" i="4"/>
  <c r="Y117" i="4"/>
  <c r="Z117" i="4"/>
  <c r="AA117" i="4"/>
  <c r="AB117" i="4"/>
  <c r="AC117" i="4"/>
  <c r="W118" i="4"/>
  <c r="X118" i="4"/>
  <c r="Y118" i="4"/>
  <c r="Z118" i="4"/>
  <c r="AA118" i="4"/>
  <c r="AB118" i="4"/>
  <c r="AC118" i="4"/>
  <c r="W119" i="4"/>
  <c r="X119" i="4"/>
  <c r="Y119" i="4"/>
  <c r="Z119" i="4"/>
  <c r="AA119" i="4"/>
  <c r="AB119" i="4"/>
  <c r="AC119" i="4"/>
  <c r="W120" i="4"/>
  <c r="X120" i="4"/>
  <c r="Y120" i="4"/>
  <c r="Z120" i="4"/>
  <c r="AA120" i="4"/>
  <c r="AB120" i="4"/>
  <c r="AC120" i="4"/>
  <c r="W121" i="4"/>
  <c r="X121" i="4"/>
  <c r="Y121" i="4"/>
  <c r="Z121" i="4"/>
  <c r="AA121" i="4"/>
  <c r="AB121" i="4"/>
  <c r="AC121" i="4"/>
  <c r="W122" i="4"/>
  <c r="X122" i="4"/>
  <c r="Y122" i="4"/>
  <c r="Z122" i="4"/>
  <c r="AA122" i="4"/>
  <c r="AB122" i="4"/>
  <c r="AC122" i="4"/>
  <c r="W123" i="4"/>
  <c r="X123" i="4"/>
  <c r="Y123" i="4"/>
  <c r="Z123" i="4"/>
  <c r="AA123" i="4"/>
  <c r="AB123" i="4"/>
  <c r="AC123" i="4"/>
  <c r="W124" i="4"/>
  <c r="X124" i="4"/>
  <c r="Y124" i="4"/>
  <c r="Z124" i="4"/>
  <c r="AA124" i="4"/>
  <c r="AB124" i="4"/>
  <c r="AC124" i="4"/>
  <c r="W125" i="4"/>
  <c r="X125" i="4"/>
  <c r="Y125" i="4"/>
  <c r="Z125" i="4"/>
  <c r="AA125" i="4"/>
  <c r="AB125" i="4"/>
  <c r="AC125" i="4"/>
  <c r="W126" i="4"/>
  <c r="X126" i="4"/>
  <c r="Y126" i="4"/>
  <c r="Z126" i="4"/>
  <c r="AA126" i="4"/>
  <c r="AB126" i="4"/>
  <c r="AC126" i="4"/>
  <c r="W127" i="4"/>
  <c r="X127" i="4"/>
  <c r="Y127" i="4"/>
  <c r="Z127" i="4"/>
  <c r="AA127" i="4"/>
  <c r="AB127" i="4"/>
  <c r="AC127" i="4"/>
  <c r="W128" i="4"/>
  <c r="X128" i="4"/>
  <c r="Y128" i="4"/>
  <c r="Z128" i="4"/>
  <c r="AA128" i="4"/>
  <c r="AB128" i="4"/>
  <c r="AC128" i="4"/>
  <c r="W129" i="4"/>
  <c r="X129" i="4"/>
  <c r="Y129" i="4"/>
  <c r="Z129" i="4"/>
  <c r="AA129" i="4"/>
  <c r="AB129" i="4"/>
  <c r="AC129" i="4"/>
  <c r="W130" i="4"/>
  <c r="X130" i="4"/>
  <c r="Y130" i="4"/>
  <c r="Z130" i="4"/>
  <c r="AA130" i="4"/>
  <c r="AB130" i="4"/>
  <c r="AC130" i="4"/>
  <c r="W131" i="4"/>
  <c r="X131" i="4"/>
  <c r="Y131" i="4"/>
  <c r="Z131" i="4"/>
  <c r="AA131" i="4"/>
  <c r="AB131" i="4"/>
  <c r="AC131" i="4"/>
  <c r="W132" i="4"/>
  <c r="X132" i="4"/>
  <c r="Y132" i="4"/>
  <c r="Z132" i="4"/>
  <c r="AA132" i="4"/>
  <c r="AB132" i="4"/>
  <c r="AC132" i="4"/>
  <c r="W133" i="4"/>
  <c r="X133" i="4"/>
  <c r="Y133" i="4"/>
  <c r="Z133" i="4"/>
  <c r="AA133" i="4"/>
  <c r="AB133" i="4"/>
  <c r="AC133" i="4"/>
  <c r="W134" i="4"/>
  <c r="X134" i="4"/>
  <c r="Y134" i="4"/>
  <c r="Z134" i="4"/>
  <c r="AA134" i="4"/>
  <c r="AB134" i="4"/>
  <c r="AC134" i="4"/>
  <c r="W135" i="4"/>
  <c r="X135" i="4"/>
  <c r="Y135" i="4"/>
  <c r="Z135" i="4"/>
  <c r="AA135" i="4"/>
  <c r="AB135" i="4"/>
  <c r="AC135" i="4"/>
  <c r="W136" i="4"/>
  <c r="X136" i="4"/>
  <c r="Y136" i="4"/>
  <c r="Z136" i="4"/>
  <c r="AA136" i="4"/>
  <c r="AB136" i="4"/>
  <c r="AC136" i="4"/>
  <c r="W137" i="4"/>
  <c r="X137" i="4"/>
  <c r="Y137" i="4"/>
  <c r="Z137" i="4"/>
  <c r="AA137" i="4"/>
  <c r="AB137" i="4"/>
  <c r="AC137" i="4"/>
  <c r="W138" i="4"/>
  <c r="X138" i="4"/>
  <c r="Y138" i="4"/>
  <c r="Z138" i="4"/>
  <c r="AA138" i="4"/>
  <c r="AB138" i="4"/>
  <c r="AC138" i="4"/>
  <c r="W139" i="4"/>
  <c r="X139" i="4"/>
  <c r="Y139" i="4"/>
  <c r="Z139" i="4"/>
  <c r="AA139" i="4"/>
  <c r="AB139" i="4"/>
  <c r="AC139" i="4"/>
  <c r="W140" i="4"/>
  <c r="X140" i="4"/>
  <c r="Y140" i="4"/>
  <c r="Z140" i="4"/>
  <c r="AA140" i="4"/>
  <c r="AB140" i="4"/>
  <c r="AC140" i="4"/>
  <c r="W141" i="4"/>
  <c r="X141" i="4"/>
  <c r="Y141" i="4"/>
  <c r="Z141" i="4"/>
  <c r="AA141" i="4"/>
  <c r="AB141" i="4"/>
  <c r="AC141" i="4"/>
  <c r="W142" i="4"/>
  <c r="X142" i="4"/>
  <c r="Y142" i="4"/>
  <c r="Z142" i="4"/>
  <c r="AA142" i="4"/>
  <c r="AB142" i="4"/>
  <c r="AC142" i="4"/>
  <c r="W143" i="4"/>
  <c r="X143" i="4"/>
  <c r="Y143" i="4"/>
  <c r="Z143" i="4"/>
  <c r="AA143" i="4"/>
  <c r="AB143" i="4"/>
  <c r="AC143" i="4"/>
  <c r="W144" i="4"/>
  <c r="X144" i="4"/>
  <c r="Y144" i="4"/>
  <c r="Z144" i="4"/>
  <c r="AA144" i="4"/>
  <c r="AB144" i="4"/>
  <c r="AC144" i="4"/>
  <c r="W145" i="4"/>
  <c r="X145" i="4"/>
  <c r="Y145" i="4"/>
  <c r="Z145" i="4"/>
  <c r="AA145" i="4"/>
  <c r="AB145" i="4"/>
  <c r="AC145" i="4"/>
  <c r="W146" i="4"/>
  <c r="X146" i="4"/>
  <c r="Y146" i="4"/>
  <c r="Z146" i="4"/>
  <c r="AA146" i="4"/>
  <c r="AB146" i="4"/>
  <c r="AC146" i="4"/>
  <c r="W147" i="4"/>
  <c r="X147" i="4"/>
  <c r="Y147" i="4"/>
  <c r="Z147" i="4"/>
  <c r="AA147" i="4"/>
  <c r="AB147" i="4"/>
  <c r="AC147" i="4"/>
  <c r="W148" i="4"/>
  <c r="X148" i="4"/>
  <c r="Y148" i="4"/>
  <c r="Z148" i="4"/>
  <c r="AA148" i="4"/>
  <c r="AB148" i="4"/>
  <c r="AC148" i="4"/>
  <c r="W149" i="4"/>
  <c r="X149" i="4"/>
  <c r="Y149" i="4"/>
  <c r="Z149" i="4"/>
  <c r="AA149" i="4"/>
  <c r="AB149" i="4"/>
  <c r="AC149" i="4"/>
  <c r="W150" i="4"/>
  <c r="X150" i="4"/>
  <c r="Y150" i="4"/>
  <c r="Z150" i="4"/>
  <c r="AA150" i="4"/>
  <c r="AB150" i="4"/>
  <c r="AC150" i="4"/>
  <c r="W151" i="4"/>
  <c r="X151" i="4"/>
  <c r="Y151" i="4"/>
  <c r="Z151" i="4"/>
  <c r="AA151" i="4"/>
  <c r="AB151" i="4"/>
  <c r="AC151" i="4"/>
  <c r="W152" i="4"/>
  <c r="X152" i="4"/>
  <c r="Y152" i="4"/>
  <c r="Z152" i="4"/>
  <c r="AA152" i="4"/>
  <c r="AB152" i="4"/>
  <c r="AC152" i="4"/>
  <c r="W153" i="4"/>
  <c r="X153" i="4"/>
  <c r="Y153" i="4"/>
  <c r="Z153" i="4"/>
  <c r="AA153" i="4"/>
  <c r="AB153" i="4"/>
  <c r="AC153" i="4"/>
  <c r="W154" i="4"/>
  <c r="X154" i="4"/>
  <c r="Y154" i="4"/>
  <c r="Z154" i="4"/>
  <c r="AA154" i="4"/>
  <c r="AB154" i="4"/>
  <c r="AC154" i="4"/>
  <c r="W155" i="4"/>
  <c r="X155" i="4"/>
  <c r="Y155" i="4"/>
  <c r="Z155" i="4"/>
  <c r="AA155" i="4"/>
  <c r="AB155" i="4"/>
  <c r="AC155" i="4"/>
  <c r="W156" i="4"/>
  <c r="X156" i="4"/>
  <c r="Y156" i="4"/>
  <c r="Z156" i="4"/>
  <c r="AA156" i="4"/>
  <c r="AB156" i="4"/>
  <c r="AC156" i="4"/>
  <c r="W157" i="4"/>
  <c r="X157" i="4"/>
  <c r="Y157" i="4"/>
  <c r="Z157" i="4"/>
  <c r="AA157" i="4"/>
  <c r="AB157" i="4"/>
  <c r="AC157" i="4"/>
  <c r="W158" i="4"/>
  <c r="X158" i="4"/>
  <c r="Y158" i="4"/>
  <c r="Z158" i="4"/>
  <c r="AA158" i="4"/>
  <c r="AB158" i="4"/>
  <c r="AC158" i="4"/>
  <c r="W159" i="4"/>
  <c r="X159" i="4"/>
  <c r="Y159" i="4"/>
  <c r="Z159" i="4"/>
  <c r="AA159" i="4"/>
  <c r="AB159" i="4"/>
  <c r="AC159" i="4"/>
  <c r="W160" i="4"/>
  <c r="X160" i="4"/>
  <c r="Y160" i="4"/>
  <c r="Z160" i="4"/>
  <c r="AA160" i="4"/>
  <c r="AB160" i="4"/>
  <c r="AC160" i="4"/>
  <c r="W161" i="4"/>
  <c r="X161" i="4"/>
  <c r="Y161" i="4"/>
  <c r="Z161" i="4"/>
  <c r="AA161" i="4"/>
  <c r="AB161" i="4"/>
  <c r="AC161" i="4"/>
  <c r="W162" i="4"/>
  <c r="X162" i="4"/>
  <c r="Y162" i="4"/>
  <c r="Z162" i="4"/>
  <c r="AA162" i="4"/>
  <c r="AB162" i="4"/>
  <c r="AC162" i="4"/>
  <c r="W163" i="4"/>
  <c r="X163" i="4"/>
  <c r="Y163" i="4"/>
  <c r="Z163" i="4"/>
  <c r="AA163" i="4"/>
  <c r="AB163" i="4"/>
  <c r="AC163" i="4"/>
  <c r="W164" i="4"/>
  <c r="X164" i="4"/>
  <c r="Y164" i="4"/>
  <c r="Z164" i="4"/>
  <c r="AA164" i="4"/>
  <c r="AB164" i="4"/>
  <c r="AC164" i="4"/>
  <c r="W165" i="4"/>
  <c r="X165" i="4"/>
  <c r="Y165" i="4"/>
  <c r="Z165" i="4"/>
  <c r="AA165" i="4"/>
  <c r="AB165" i="4"/>
  <c r="AC165" i="4"/>
  <c r="W166" i="4"/>
  <c r="X166" i="4"/>
  <c r="Y166" i="4"/>
  <c r="Z166" i="4"/>
  <c r="AA166" i="4"/>
  <c r="AB166" i="4"/>
  <c r="AC166" i="4"/>
  <c r="W167" i="4"/>
  <c r="X167" i="4"/>
  <c r="Y167" i="4"/>
  <c r="Z167" i="4"/>
  <c r="AA167" i="4"/>
  <c r="AB167" i="4"/>
  <c r="AC167" i="4"/>
  <c r="W168" i="4"/>
  <c r="X168" i="4"/>
  <c r="Y168" i="4"/>
  <c r="Z168" i="4"/>
  <c r="AA168" i="4"/>
  <c r="AB168" i="4"/>
  <c r="AC168" i="4"/>
  <c r="W169" i="4"/>
  <c r="X169" i="4"/>
  <c r="Y169" i="4"/>
  <c r="Z169" i="4"/>
  <c r="AA169" i="4"/>
  <c r="AB169" i="4"/>
  <c r="AC169" i="4"/>
  <c r="W170" i="4"/>
  <c r="X170" i="4"/>
  <c r="Y170" i="4"/>
  <c r="Z170" i="4"/>
  <c r="AA170" i="4"/>
  <c r="AB170" i="4"/>
  <c r="AC170" i="4"/>
  <c r="W171" i="4"/>
  <c r="X171" i="4"/>
  <c r="Y171" i="4"/>
  <c r="Z171" i="4"/>
  <c r="AA171" i="4"/>
  <c r="AB171" i="4"/>
  <c r="AC171" i="4"/>
  <c r="W172" i="4"/>
  <c r="X172" i="4"/>
  <c r="Y172" i="4"/>
  <c r="Z172" i="4"/>
  <c r="AA172" i="4"/>
  <c r="AB172" i="4"/>
  <c r="AC172" i="4"/>
  <c r="W173" i="4"/>
  <c r="X173" i="4"/>
  <c r="Y173" i="4"/>
  <c r="Z173" i="4"/>
  <c r="AA173" i="4"/>
  <c r="AB173" i="4"/>
  <c r="AC173" i="4"/>
  <c r="W174" i="4"/>
  <c r="X174" i="4"/>
  <c r="Y174" i="4"/>
  <c r="Z174" i="4"/>
  <c r="AA174" i="4"/>
  <c r="AB174" i="4"/>
  <c r="AC174" i="4"/>
  <c r="W175" i="4"/>
  <c r="X175" i="4"/>
  <c r="Y175" i="4"/>
  <c r="Z175" i="4"/>
  <c r="AA175" i="4"/>
  <c r="AB175" i="4"/>
  <c r="AC175" i="4"/>
  <c r="W176" i="4"/>
  <c r="X176" i="4"/>
  <c r="Y176" i="4"/>
  <c r="Z176" i="4"/>
  <c r="AA176" i="4"/>
  <c r="AB176" i="4"/>
  <c r="AC176" i="4"/>
  <c r="W177" i="4"/>
  <c r="X177" i="4"/>
  <c r="Y177" i="4"/>
  <c r="Z177" i="4"/>
  <c r="AA177" i="4"/>
  <c r="AB177" i="4"/>
  <c r="AC177" i="4"/>
  <c r="W178" i="4"/>
  <c r="X178" i="4"/>
  <c r="Y178" i="4"/>
  <c r="Z178" i="4"/>
  <c r="AA178" i="4"/>
  <c r="AB178" i="4"/>
  <c r="AC178" i="4"/>
  <c r="W179" i="4"/>
  <c r="X179" i="4"/>
  <c r="Y179" i="4"/>
  <c r="Z179" i="4"/>
  <c r="AA179" i="4"/>
  <c r="AB179" i="4"/>
  <c r="AC179" i="4"/>
  <c r="W180" i="4"/>
  <c r="X180" i="4"/>
  <c r="Y180" i="4"/>
  <c r="Z180" i="4"/>
  <c r="AA180" i="4"/>
  <c r="AB180" i="4"/>
  <c r="AC180" i="4"/>
  <c r="W181" i="4"/>
  <c r="X181" i="4"/>
  <c r="Y181" i="4"/>
  <c r="Z181" i="4"/>
  <c r="AA181" i="4"/>
  <c r="AB181" i="4"/>
  <c r="AC181" i="4"/>
  <c r="W182" i="4"/>
  <c r="X182" i="4"/>
  <c r="Y182" i="4"/>
  <c r="Z182" i="4"/>
  <c r="AA182" i="4"/>
  <c r="AB182" i="4"/>
  <c r="AC182" i="4"/>
  <c r="W183" i="4"/>
  <c r="X183" i="4"/>
  <c r="Y183" i="4"/>
  <c r="Z183" i="4"/>
  <c r="AA183" i="4"/>
  <c r="AB183" i="4"/>
  <c r="AC183" i="4"/>
  <c r="W184" i="4"/>
  <c r="X184" i="4"/>
  <c r="Y184" i="4"/>
  <c r="Z184" i="4"/>
  <c r="AA184" i="4"/>
  <c r="AB184" i="4"/>
  <c r="AC184" i="4"/>
  <c r="W185" i="4"/>
  <c r="X185" i="4"/>
  <c r="Y185" i="4"/>
  <c r="Z185" i="4"/>
  <c r="AA185" i="4"/>
  <c r="AB185" i="4"/>
  <c r="AC185" i="4"/>
  <c r="W186" i="4"/>
  <c r="X186" i="4"/>
  <c r="Y186" i="4"/>
  <c r="Z186" i="4"/>
  <c r="AA186" i="4"/>
  <c r="AB186" i="4"/>
  <c r="AC186" i="4"/>
  <c r="W187" i="4"/>
  <c r="X187" i="4"/>
  <c r="Y187" i="4"/>
  <c r="Z187" i="4"/>
  <c r="AA187" i="4"/>
  <c r="AB187" i="4"/>
  <c r="AC187" i="4"/>
  <c r="W188" i="4"/>
  <c r="X188" i="4"/>
  <c r="Y188" i="4"/>
  <c r="Z188" i="4"/>
  <c r="AA188" i="4"/>
  <c r="AB188" i="4"/>
  <c r="AC188" i="4"/>
  <c r="W189" i="4"/>
  <c r="X189" i="4"/>
  <c r="Y189" i="4"/>
  <c r="Z189" i="4"/>
  <c r="AA189" i="4"/>
  <c r="AB189" i="4"/>
  <c r="AC189" i="4"/>
  <c r="W190" i="4"/>
  <c r="X190" i="4"/>
  <c r="Y190" i="4"/>
  <c r="Z190" i="4"/>
  <c r="AA190" i="4"/>
  <c r="AB190" i="4"/>
  <c r="AC190" i="4"/>
  <c r="W191" i="4"/>
  <c r="X191" i="4"/>
  <c r="Y191" i="4"/>
  <c r="Z191" i="4"/>
  <c r="AA191" i="4"/>
  <c r="AB191" i="4"/>
  <c r="AC191" i="4"/>
  <c r="W192" i="4"/>
  <c r="X192" i="4"/>
  <c r="Y192" i="4"/>
  <c r="Z192" i="4"/>
  <c r="AA192" i="4"/>
  <c r="AB192" i="4"/>
  <c r="AC192" i="4"/>
  <c r="W193" i="4"/>
  <c r="X193" i="4"/>
  <c r="Y193" i="4"/>
  <c r="Z193" i="4"/>
  <c r="AA193" i="4"/>
  <c r="AB193" i="4"/>
  <c r="AC193" i="4"/>
  <c r="W194" i="4"/>
  <c r="X194" i="4"/>
  <c r="Y194" i="4"/>
  <c r="Z194" i="4"/>
  <c r="AA194" i="4"/>
  <c r="AB194" i="4"/>
  <c r="AC194" i="4"/>
  <c r="W195" i="4"/>
  <c r="X195" i="4"/>
  <c r="Y195" i="4"/>
  <c r="Z195" i="4"/>
  <c r="AA195" i="4"/>
  <c r="AB195" i="4"/>
  <c r="AC195" i="4"/>
  <c r="W196" i="4"/>
  <c r="X196" i="4"/>
  <c r="Y196" i="4"/>
  <c r="Z196" i="4"/>
  <c r="AA196" i="4"/>
  <c r="AB196" i="4"/>
  <c r="AC196" i="4"/>
  <c r="W197" i="4"/>
  <c r="X197" i="4"/>
  <c r="Y197" i="4"/>
  <c r="Z197" i="4"/>
  <c r="AA197" i="4"/>
  <c r="AB197" i="4"/>
  <c r="AC197" i="4"/>
  <c r="W198" i="4"/>
  <c r="X198" i="4"/>
  <c r="Y198" i="4"/>
  <c r="Z198" i="4"/>
  <c r="AA198" i="4"/>
  <c r="AB198" i="4"/>
  <c r="AC198" i="4"/>
  <c r="W199" i="4"/>
  <c r="X199" i="4"/>
  <c r="Y199" i="4"/>
  <c r="Z199" i="4"/>
  <c r="AA199" i="4"/>
  <c r="AB199" i="4"/>
  <c r="AC199" i="4"/>
  <c r="W200" i="4"/>
  <c r="X200" i="4"/>
  <c r="Y200" i="4"/>
  <c r="Z200" i="4"/>
  <c r="AA200" i="4"/>
  <c r="AB200" i="4"/>
  <c r="AC200" i="4"/>
  <c r="W201" i="4"/>
  <c r="X201" i="4"/>
  <c r="Y201" i="4"/>
  <c r="Z201" i="4"/>
  <c r="AA201" i="4"/>
  <c r="AB201" i="4"/>
  <c r="AC201" i="4"/>
  <c r="W202" i="4"/>
  <c r="X202" i="4"/>
  <c r="Y202" i="4"/>
  <c r="Z202" i="4"/>
  <c r="AA202" i="4"/>
  <c r="AB202" i="4"/>
  <c r="AC202" i="4"/>
  <c r="W203" i="4"/>
  <c r="X203" i="4"/>
  <c r="Y203" i="4"/>
  <c r="Z203" i="4"/>
  <c r="AA203" i="4"/>
  <c r="AB203" i="4"/>
  <c r="AC203" i="4"/>
  <c r="W204" i="4"/>
  <c r="X204" i="4"/>
  <c r="Y204" i="4"/>
  <c r="Z204" i="4"/>
  <c r="AA204" i="4"/>
  <c r="AB204" i="4"/>
  <c r="AC204" i="4"/>
  <c r="W205" i="4"/>
  <c r="X205" i="4"/>
  <c r="Y205" i="4"/>
  <c r="Z205" i="4"/>
  <c r="AA205" i="4"/>
  <c r="AB205" i="4"/>
  <c r="AC205" i="4"/>
  <c r="W206" i="4"/>
  <c r="X206" i="4"/>
  <c r="Y206" i="4"/>
  <c r="Z206" i="4"/>
  <c r="AA206" i="4"/>
  <c r="AB206" i="4"/>
  <c r="AC206" i="4"/>
  <c r="W207" i="4"/>
  <c r="X207" i="4"/>
  <c r="Y207" i="4"/>
  <c r="Z207" i="4"/>
  <c r="AA207" i="4"/>
  <c r="AB207" i="4"/>
  <c r="AC207" i="4"/>
  <c r="W208" i="4"/>
  <c r="X208" i="4"/>
  <c r="Y208" i="4"/>
  <c r="Z208" i="4"/>
  <c r="AA208" i="4"/>
  <c r="AB208" i="4"/>
  <c r="AC208" i="4"/>
  <c r="W209" i="4"/>
  <c r="X209" i="4"/>
  <c r="Y209" i="4"/>
  <c r="Z209" i="4"/>
  <c r="AA209" i="4"/>
  <c r="AB209" i="4"/>
  <c r="AC209" i="4"/>
  <c r="W210" i="4"/>
  <c r="X210" i="4"/>
  <c r="Y210" i="4"/>
  <c r="Z210" i="4"/>
  <c r="AA210" i="4"/>
  <c r="AB210" i="4"/>
  <c r="AC210" i="4"/>
  <c r="W211" i="4"/>
  <c r="X211" i="4"/>
  <c r="Y211" i="4"/>
  <c r="Z211" i="4"/>
  <c r="AA211" i="4"/>
  <c r="AB211" i="4"/>
  <c r="AC211" i="4"/>
  <c r="W212" i="4"/>
  <c r="X212" i="4"/>
  <c r="Y212" i="4"/>
  <c r="Z212" i="4"/>
  <c r="AA212" i="4"/>
  <c r="AB212" i="4"/>
  <c r="AC212" i="4"/>
  <c r="W213" i="4"/>
  <c r="X213" i="4"/>
  <c r="Y213" i="4"/>
  <c r="Z213" i="4"/>
  <c r="AA213" i="4"/>
  <c r="AB213" i="4"/>
  <c r="AC213" i="4"/>
  <c r="W214" i="4"/>
  <c r="X214" i="4"/>
  <c r="Y214" i="4"/>
  <c r="Z214" i="4"/>
  <c r="AA214" i="4"/>
  <c r="AB214" i="4"/>
  <c r="AC214" i="4"/>
  <c r="W215" i="4"/>
  <c r="X215" i="4"/>
  <c r="Y215" i="4"/>
  <c r="Z215" i="4"/>
  <c r="AA215" i="4"/>
  <c r="AB215" i="4"/>
  <c r="AC215" i="4"/>
  <c r="W216" i="4"/>
  <c r="X216" i="4"/>
  <c r="Y216" i="4"/>
  <c r="Z216" i="4"/>
  <c r="AA216" i="4"/>
  <c r="AB216" i="4"/>
  <c r="AC216" i="4"/>
  <c r="W217" i="4"/>
  <c r="X217" i="4"/>
  <c r="Y217" i="4"/>
  <c r="Z217" i="4"/>
  <c r="AA217" i="4"/>
  <c r="AB217" i="4"/>
  <c r="AC217" i="4"/>
  <c r="W218" i="4"/>
  <c r="X218" i="4"/>
  <c r="Y218" i="4"/>
  <c r="Z218" i="4"/>
  <c r="AA218" i="4"/>
  <c r="AB218" i="4"/>
  <c r="AC218" i="4"/>
  <c r="W219" i="4"/>
  <c r="X219" i="4"/>
  <c r="Y219" i="4"/>
  <c r="Z219" i="4"/>
  <c r="AA219" i="4"/>
  <c r="AB219" i="4"/>
  <c r="AC219" i="4"/>
  <c r="W220" i="4"/>
  <c r="X220" i="4"/>
  <c r="Y220" i="4"/>
  <c r="Z220" i="4"/>
  <c r="AA220" i="4"/>
  <c r="AB220" i="4"/>
  <c r="AC220" i="4"/>
  <c r="W221" i="4"/>
  <c r="X221" i="4"/>
  <c r="Y221" i="4"/>
  <c r="Z221" i="4"/>
  <c r="AA221" i="4"/>
  <c r="AB221" i="4"/>
  <c r="AC221" i="4"/>
  <c r="W222" i="4"/>
  <c r="X222" i="4"/>
  <c r="Y222" i="4"/>
  <c r="Z222" i="4"/>
  <c r="AA222" i="4"/>
  <c r="AB222" i="4"/>
  <c r="AC222" i="4"/>
  <c r="W223" i="4"/>
  <c r="X223" i="4"/>
  <c r="Y223" i="4"/>
  <c r="Z223" i="4"/>
  <c r="AA223" i="4"/>
  <c r="AB223" i="4"/>
  <c r="AC223" i="4"/>
  <c r="W224" i="4"/>
  <c r="X224" i="4"/>
  <c r="Y224" i="4"/>
  <c r="Z224" i="4"/>
  <c r="AA224" i="4"/>
  <c r="AB224" i="4"/>
  <c r="AC224" i="4"/>
  <c r="W225" i="4"/>
  <c r="X225" i="4"/>
  <c r="Y225" i="4"/>
  <c r="Z225" i="4"/>
  <c r="AA225" i="4"/>
  <c r="AB225" i="4"/>
  <c r="AC225" i="4"/>
  <c r="W226" i="4"/>
  <c r="X226" i="4"/>
  <c r="Y226" i="4"/>
  <c r="Z226" i="4"/>
  <c r="AA226" i="4"/>
  <c r="AB226" i="4"/>
  <c r="AC226" i="4"/>
  <c r="W227" i="4"/>
  <c r="X227" i="4"/>
  <c r="Y227" i="4"/>
  <c r="Z227" i="4"/>
  <c r="AA227" i="4"/>
  <c r="AB227" i="4"/>
  <c r="AC227" i="4"/>
  <c r="W228" i="4"/>
  <c r="X228" i="4"/>
  <c r="Y228" i="4"/>
  <c r="Z228" i="4"/>
  <c r="AA228" i="4"/>
  <c r="AB228" i="4"/>
  <c r="AC228" i="4"/>
  <c r="W229" i="4"/>
  <c r="X229" i="4"/>
  <c r="Y229" i="4"/>
  <c r="Z229" i="4"/>
  <c r="AA229" i="4"/>
  <c r="AB229" i="4"/>
  <c r="AC229" i="4"/>
  <c r="W230" i="4"/>
  <c r="X230" i="4"/>
  <c r="Y230" i="4"/>
  <c r="Z230" i="4"/>
  <c r="AA230" i="4"/>
  <c r="AB230" i="4"/>
  <c r="AC230" i="4"/>
  <c r="W231" i="4"/>
  <c r="X231" i="4"/>
  <c r="Y231" i="4"/>
  <c r="Z231" i="4"/>
  <c r="AA231" i="4"/>
  <c r="AB231" i="4"/>
  <c r="AC231" i="4"/>
  <c r="W232" i="4"/>
  <c r="X232" i="4"/>
  <c r="Y232" i="4"/>
  <c r="Z232" i="4"/>
  <c r="AA232" i="4"/>
  <c r="AB232" i="4"/>
  <c r="AC232" i="4"/>
  <c r="W233" i="4"/>
  <c r="X233" i="4"/>
  <c r="Y233" i="4"/>
  <c r="Z233" i="4"/>
  <c r="AA233" i="4"/>
  <c r="AB233" i="4"/>
  <c r="AC233" i="4"/>
  <c r="W234" i="4"/>
  <c r="X234" i="4"/>
  <c r="Y234" i="4"/>
  <c r="Z234" i="4"/>
  <c r="AA234" i="4"/>
  <c r="AB234" i="4"/>
  <c r="AC234" i="4"/>
  <c r="W235" i="4"/>
  <c r="X235" i="4"/>
  <c r="Y235" i="4"/>
  <c r="Z235" i="4"/>
  <c r="AA235" i="4"/>
  <c r="AB235" i="4"/>
  <c r="AC235" i="4"/>
  <c r="W236" i="4"/>
  <c r="X236" i="4"/>
  <c r="Y236" i="4"/>
  <c r="Z236" i="4"/>
  <c r="AA236" i="4"/>
  <c r="AB236" i="4"/>
  <c r="AC236" i="4"/>
  <c r="W237" i="4"/>
  <c r="X237" i="4"/>
  <c r="Y237" i="4"/>
  <c r="Z237" i="4"/>
  <c r="AA237" i="4"/>
  <c r="AB237" i="4"/>
  <c r="AC237" i="4"/>
  <c r="W238" i="4"/>
  <c r="X238" i="4"/>
  <c r="Y238" i="4"/>
  <c r="Z238" i="4"/>
  <c r="AA238" i="4"/>
  <c r="AB238" i="4"/>
  <c r="AC238" i="4"/>
  <c r="W239" i="4"/>
  <c r="X239" i="4"/>
  <c r="Y239" i="4"/>
  <c r="Z239" i="4"/>
  <c r="AA239" i="4"/>
  <c r="AB239" i="4"/>
  <c r="AC239" i="4"/>
  <c r="W240" i="4"/>
  <c r="X240" i="4"/>
  <c r="Y240" i="4"/>
  <c r="Z240" i="4"/>
  <c r="AA240" i="4"/>
  <c r="AB240" i="4"/>
  <c r="AC240" i="4"/>
  <c r="W241" i="4"/>
  <c r="X241" i="4"/>
  <c r="Y241" i="4"/>
  <c r="Z241" i="4"/>
  <c r="AA241" i="4"/>
  <c r="AB241" i="4"/>
  <c r="AC241" i="4"/>
  <c r="W242" i="4"/>
  <c r="X242" i="4"/>
  <c r="Y242" i="4"/>
  <c r="Z242" i="4"/>
  <c r="AA242" i="4"/>
  <c r="AB242" i="4"/>
  <c r="AC242" i="4"/>
  <c r="W243" i="4"/>
  <c r="X243" i="4"/>
  <c r="Y243" i="4"/>
  <c r="Z243" i="4"/>
  <c r="AA243" i="4"/>
  <c r="AB243" i="4"/>
  <c r="AC243" i="4"/>
  <c r="W244" i="4"/>
  <c r="X244" i="4"/>
  <c r="Y244" i="4"/>
  <c r="Z244" i="4"/>
  <c r="AA244" i="4"/>
  <c r="AB244" i="4"/>
  <c r="AC244" i="4"/>
  <c r="W245" i="4"/>
  <c r="X245" i="4"/>
  <c r="Y245" i="4"/>
  <c r="Z245" i="4"/>
  <c r="AA245" i="4"/>
  <c r="AB245" i="4"/>
  <c r="AC245" i="4"/>
  <c r="W246" i="4"/>
  <c r="X246" i="4"/>
  <c r="Y246" i="4"/>
  <c r="Z246" i="4"/>
  <c r="AA246" i="4"/>
  <c r="AB246" i="4"/>
  <c r="AC246" i="4"/>
  <c r="W247" i="4"/>
  <c r="X247" i="4"/>
  <c r="Y247" i="4"/>
  <c r="Z247" i="4"/>
  <c r="AA247" i="4"/>
  <c r="AB247" i="4"/>
  <c r="AC247" i="4"/>
  <c r="W248" i="4"/>
  <c r="X248" i="4"/>
  <c r="Y248" i="4"/>
  <c r="Z248" i="4"/>
  <c r="AA248" i="4"/>
  <c r="AB248" i="4"/>
  <c r="AC248" i="4"/>
  <c r="W249" i="4"/>
  <c r="X249" i="4"/>
  <c r="Y249" i="4"/>
  <c r="Z249" i="4"/>
  <c r="AA249" i="4"/>
  <c r="AB249" i="4"/>
  <c r="AC249" i="4"/>
  <c r="W250" i="4"/>
  <c r="X250" i="4"/>
  <c r="Y250" i="4"/>
  <c r="Z250" i="4"/>
  <c r="AA250" i="4"/>
  <c r="AB250" i="4"/>
  <c r="AC250" i="4"/>
  <c r="W251" i="4"/>
  <c r="X251" i="4"/>
  <c r="Y251" i="4"/>
  <c r="Z251" i="4"/>
  <c r="AA251" i="4"/>
  <c r="AB251" i="4"/>
  <c r="AC251" i="4"/>
  <c r="W252" i="4"/>
  <c r="X252" i="4"/>
  <c r="Y252" i="4"/>
  <c r="Z252" i="4"/>
  <c r="AA252" i="4"/>
  <c r="AB252" i="4"/>
  <c r="AC252" i="4"/>
  <c r="W253" i="4"/>
  <c r="X253" i="4"/>
  <c r="Y253" i="4"/>
  <c r="Z253" i="4"/>
  <c r="AA253" i="4"/>
  <c r="AB253" i="4"/>
  <c r="AC253" i="4"/>
  <c r="W254" i="4"/>
  <c r="X254" i="4"/>
  <c r="Y254" i="4"/>
  <c r="Z254" i="4"/>
  <c r="AA254" i="4"/>
  <c r="AB254" i="4"/>
  <c r="AC254" i="4"/>
  <c r="W255" i="4"/>
  <c r="X255" i="4"/>
  <c r="Y255" i="4"/>
  <c r="Z255" i="4"/>
  <c r="AA255" i="4"/>
  <c r="AB255" i="4"/>
  <c r="AC255" i="4"/>
  <c r="W256" i="4"/>
  <c r="X256" i="4"/>
  <c r="Y256" i="4"/>
  <c r="Z256" i="4"/>
  <c r="AA256" i="4"/>
  <c r="AB256" i="4"/>
  <c r="AC256" i="4"/>
  <c r="W257" i="4"/>
  <c r="X257" i="4"/>
  <c r="Y257" i="4"/>
  <c r="Z257" i="4"/>
  <c r="AA257" i="4"/>
  <c r="AB257" i="4"/>
  <c r="AC257" i="4"/>
  <c r="W258" i="4"/>
  <c r="X258" i="4"/>
  <c r="Y258" i="4"/>
  <c r="Z258" i="4"/>
  <c r="AA258" i="4"/>
  <c r="AB258" i="4"/>
  <c r="AC258" i="4"/>
  <c r="W259" i="4"/>
  <c r="X259" i="4"/>
  <c r="Y259" i="4"/>
  <c r="Z259" i="4"/>
  <c r="AA259" i="4"/>
  <c r="AB259" i="4"/>
  <c r="AC259" i="4"/>
  <c r="W260" i="4"/>
  <c r="X260" i="4"/>
  <c r="Y260" i="4"/>
  <c r="Z260" i="4"/>
  <c r="AA260" i="4"/>
  <c r="AB260" i="4"/>
  <c r="AC260" i="4"/>
  <c r="W261" i="4"/>
  <c r="X261" i="4"/>
  <c r="Y261" i="4"/>
  <c r="Z261" i="4"/>
  <c r="AA261" i="4"/>
  <c r="AB261" i="4"/>
  <c r="AC261" i="4"/>
  <c r="W262" i="4"/>
  <c r="X262" i="4"/>
  <c r="Y262" i="4"/>
  <c r="Z262" i="4"/>
  <c r="AA262" i="4"/>
  <c r="AB262" i="4"/>
  <c r="AC262" i="4"/>
  <c r="W263" i="4"/>
  <c r="X263" i="4"/>
  <c r="Y263" i="4"/>
  <c r="Z263" i="4"/>
  <c r="AA263" i="4"/>
  <c r="AB263" i="4"/>
  <c r="AC263" i="4"/>
  <c r="W264" i="4"/>
  <c r="X264" i="4"/>
  <c r="Y264" i="4"/>
  <c r="Z264" i="4"/>
  <c r="AA264" i="4"/>
  <c r="AB264" i="4"/>
  <c r="AC264" i="4"/>
  <c r="W265" i="4"/>
  <c r="X265" i="4"/>
  <c r="Y265" i="4"/>
  <c r="Z265" i="4"/>
  <c r="AA265" i="4"/>
  <c r="AB265" i="4"/>
  <c r="AC265" i="4"/>
  <c r="W266" i="4"/>
  <c r="X266" i="4"/>
  <c r="Y266" i="4"/>
  <c r="Z266" i="4"/>
  <c r="AA266" i="4"/>
  <c r="AB266" i="4"/>
  <c r="AC266" i="4"/>
  <c r="W267" i="4"/>
  <c r="X267" i="4"/>
  <c r="Y267" i="4"/>
  <c r="Z267" i="4"/>
  <c r="AA267" i="4"/>
  <c r="AB267" i="4"/>
  <c r="AC267" i="4"/>
  <c r="W268" i="4"/>
  <c r="X268" i="4"/>
  <c r="Y268" i="4"/>
  <c r="Z268" i="4"/>
  <c r="AA268" i="4"/>
  <c r="AB268" i="4"/>
  <c r="AC268" i="4"/>
  <c r="W269" i="4"/>
  <c r="X269" i="4"/>
  <c r="Y269" i="4"/>
  <c r="Z269" i="4"/>
  <c r="AA269" i="4"/>
  <c r="AB269" i="4"/>
  <c r="AC269" i="4"/>
  <c r="W270" i="4"/>
  <c r="X270" i="4"/>
  <c r="Y270" i="4"/>
  <c r="Z270" i="4"/>
  <c r="AA270" i="4"/>
  <c r="AB270" i="4"/>
  <c r="AC270" i="4"/>
  <c r="W271" i="4"/>
  <c r="X271" i="4"/>
  <c r="Y271" i="4"/>
  <c r="Z271" i="4"/>
  <c r="AA271" i="4"/>
  <c r="AB271" i="4"/>
  <c r="AC271" i="4"/>
  <c r="W272" i="4"/>
  <c r="X272" i="4"/>
  <c r="Y272" i="4"/>
  <c r="Z272" i="4"/>
  <c r="AA272" i="4"/>
  <c r="AB272" i="4"/>
  <c r="AC272" i="4"/>
  <c r="W273" i="4"/>
  <c r="X273" i="4"/>
  <c r="Y273" i="4"/>
  <c r="Z273" i="4"/>
  <c r="AA273" i="4"/>
  <c r="AB273" i="4"/>
  <c r="AC273" i="4"/>
  <c r="W274" i="4"/>
  <c r="X274" i="4"/>
  <c r="Y274" i="4"/>
  <c r="Z274" i="4"/>
  <c r="AA274" i="4"/>
  <c r="AB274" i="4"/>
  <c r="AC274" i="4"/>
  <c r="W275" i="4"/>
  <c r="X275" i="4"/>
  <c r="Y275" i="4"/>
  <c r="Z275" i="4"/>
  <c r="AA275" i="4"/>
  <c r="AB275" i="4"/>
  <c r="AC275" i="4"/>
  <c r="W276" i="4"/>
  <c r="X276" i="4"/>
  <c r="Y276" i="4"/>
  <c r="Z276" i="4"/>
  <c r="AA276" i="4"/>
  <c r="AB276" i="4"/>
  <c r="AC276" i="4"/>
  <c r="W277" i="4"/>
  <c r="X277" i="4"/>
  <c r="Y277" i="4"/>
  <c r="Z277" i="4"/>
  <c r="AA277" i="4"/>
  <c r="AB277" i="4"/>
  <c r="AC277" i="4"/>
  <c r="W278" i="4"/>
  <c r="X278" i="4"/>
  <c r="Y278" i="4"/>
  <c r="Z278" i="4"/>
  <c r="AA278" i="4"/>
  <c r="AB278" i="4"/>
  <c r="AC278" i="4"/>
  <c r="W279" i="4"/>
  <c r="X279" i="4"/>
  <c r="Y279" i="4"/>
  <c r="Z279" i="4"/>
  <c r="AA279" i="4"/>
  <c r="AB279" i="4"/>
  <c r="AC279" i="4"/>
  <c r="W280" i="4"/>
  <c r="X280" i="4"/>
  <c r="Y280" i="4"/>
  <c r="Z280" i="4"/>
  <c r="AA280" i="4"/>
  <c r="AB280" i="4"/>
  <c r="AC280" i="4"/>
  <c r="W281" i="4"/>
  <c r="X281" i="4"/>
  <c r="Y281" i="4"/>
  <c r="Z281" i="4"/>
  <c r="AA281" i="4"/>
  <c r="AB281" i="4"/>
  <c r="AC281" i="4"/>
  <c r="W282" i="4"/>
  <c r="X282" i="4"/>
  <c r="Y282" i="4"/>
  <c r="Z282" i="4"/>
  <c r="AA282" i="4"/>
  <c r="AB282" i="4"/>
  <c r="AC282" i="4"/>
  <c r="W283" i="4"/>
  <c r="X283" i="4"/>
  <c r="Y283" i="4"/>
  <c r="Z283" i="4"/>
  <c r="AA283" i="4"/>
  <c r="AB283" i="4"/>
  <c r="AC283" i="4"/>
  <c r="W284" i="4"/>
  <c r="X284" i="4"/>
  <c r="Y284" i="4"/>
  <c r="Z284" i="4"/>
  <c r="AA284" i="4"/>
  <c r="AB284" i="4"/>
  <c r="AC284" i="4"/>
  <c r="W285" i="4"/>
  <c r="X285" i="4"/>
  <c r="Y285" i="4"/>
  <c r="Z285" i="4"/>
  <c r="AA285" i="4"/>
  <c r="AB285" i="4"/>
  <c r="AC285" i="4"/>
  <c r="W286" i="4"/>
  <c r="X286" i="4"/>
  <c r="Y286" i="4"/>
  <c r="Z286" i="4"/>
  <c r="AA286" i="4"/>
  <c r="AB286" i="4"/>
  <c r="AC286" i="4"/>
  <c r="W287" i="4"/>
  <c r="X287" i="4"/>
  <c r="Y287" i="4"/>
  <c r="Z287" i="4"/>
  <c r="AA287" i="4"/>
  <c r="AB287" i="4"/>
  <c r="AC287" i="4"/>
  <c r="W288" i="4"/>
  <c r="X288" i="4"/>
  <c r="Y288" i="4"/>
  <c r="Z288" i="4"/>
  <c r="AA288" i="4"/>
  <c r="AB288" i="4"/>
  <c r="AC288" i="4"/>
  <c r="W289" i="4"/>
  <c r="X289" i="4"/>
  <c r="Y289" i="4"/>
  <c r="Z289" i="4"/>
  <c r="AA289" i="4"/>
  <c r="AB289" i="4"/>
  <c r="AC289" i="4"/>
  <c r="W290" i="4"/>
  <c r="X290" i="4"/>
  <c r="Y290" i="4"/>
  <c r="Z290" i="4"/>
  <c r="AA290" i="4"/>
  <c r="AB290" i="4"/>
  <c r="AC290" i="4"/>
  <c r="W291" i="4"/>
  <c r="X291" i="4"/>
  <c r="Y291" i="4"/>
  <c r="Z291" i="4"/>
  <c r="AA291" i="4"/>
  <c r="AB291" i="4"/>
  <c r="AC291" i="4"/>
  <c r="W292" i="4"/>
  <c r="X292" i="4"/>
  <c r="Y292" i="4"/>
  <c r="Z292" i="4"/>
  <c r="AA292" i="4"/>
  <c r="AB292" i="4"/>
  <c r="AC292" i="4"/>
  <c r="W293" i="4"/>
  <c r="X293" i="4"/>
  <c r="Y293" i="4"/>
  <c r="Z293" i="4"/>
  <c r="AA293" i="4"/>
  <c r="AB293" i="4"/>
  <c r="AC293" i="4"/>
  <c r="W294" i="4"/>
  <c r="X294" i="4"/>
  <c r="Y294" i="4"/>
  <c r="Z294" i="4"/>
  <c r="AA294" i="4"/>
  <c r="AB294" i="4"/>
  <c r="AC294" i="4"/>
  <c r="W295" i="4"/>
  <c r="X295" i="4"/>
  <c r="Y295" i="4"/>
  <c r="Z295" i="4"/>
  <c r="AA295" i="4"/>
  <c r="AB295" i="4"/>
  <c r="AC295" i="4"/>
  <c r="W296" i="4"/>
  <c r="X296" i="4"/>
  <c r="Y296" i="4"/>
  <c r="Z296" i="4"/>
  <c r="AA296" i="4"/>
  <c r="AB296" i="4"/>
  <c r="AC296" i="4"/>
  <c r="W297" i="4"/>
  <c r="X297" i="4"/>
  <c r="Y297" i="4"/>
  <c r="Z297" i="4"/>
  <c r="AA297" i="4"/>
  <c r="AB297" i="4"/>
  <c r="AC297" i="4"/>
  <c r="W298" i="4"/>
  <c r="X298" i="4"/>
  <c r="Y298" i="4"/>
  <c r="Z298" i="4"/>
  <c r="AA298" i="4"/>
  <c r="AB298" i="4"/>
  <c r="AC298" i="4"/>
  <c r="W299" i="4"/>
  <c r="X299" i="4"/>
  <c r="Y299" i="4"/>
  <c r="Z299" i="4"/>
  <c r="AA299" i="4"/>
  <c r="AB299" i="4"/>
  <c r="AC299" i="4"/>
  <c r="W300" i="4"/>
  <c r="X300" i="4"/>
  <c r="Y300" i="4"/>
  <c r="Z300" i="4"/>
  <c r="AA300" i="4"/>
  <c r="AB300" i="4"/>
  <c r="AC300" i="4"/>
  <c r="W301" i="4"/>
  <c r="X301" i="4"/>
  <c r="Y301" i="4"/>
  <c r="Z301" i="4"/>
  <c r="AA301" i="4"/>
  <c r="AB301" i="4"/>
  <c r="AC301" i="4"/>
  <c r="W302" i="4"/>
  <c r="X302" i="4"/>
  <c r="Y302" i="4"/>
  <c r="Z302" i="4"/>
  <c r="AA302" i="4"/>
  <c r="AB302" i="4"/>
  <c r="AC302" i="4"/>
  <c r="W303" i="4"/>
  <c r="X303" i="4"/>
  <c r="Y303" i="4"/>
  <c r="Z303" i="4"/>
  <c r="AA303" i="4"/>
  <c r="AB303" i="4"/>
  <c r="AC303" i="4"/>
  <c r="W304" i="4"/>
  <c r="X304" i="4"/>
  <c r="Y304" i="4"/>
  <c r="Z304" i="4"/>
  <c r="AA304" i="4"/>
  <c r="AB304" i="4"/>
  <c r="AC304" i="4"/>
  <c r="W305" i="4"/>
  <c r="X305" i="4"/>
  <c r="Y305" i="4"/>
  <c r="Z305" i="4"/>
  <c r="AA305" i="4"/>
  <c r="AB305" i="4"/>
  <c r="AC305" i="4"/>
  <c r="W306" i="4"/>
  <c r="X306" i="4"/>
  <c r="Y306" i="4"/>
  <c r="Z306" i="4"/>
  <c r="AA306" i="4"/>
  <c r="AB306" i="4"/>
  <c r="AC306" i="4"/>
  <c r="W307" i="4"/>
  <c r="X307" i="4"/>
  <c r="Y307" i="4"/>
  <c r="Z307" i="4"/>
  <c r="AA307" i="4"/>
  <c r="AB307" i="4"/>
  <c r="AC307" i="4"/>
  <c r="W308" i="4"/>
  <c r="X308" i="4"/>
  <c r="Y308" i="4"/>
  <c r="Z308" i="4"/>
  <c r="AA308" i="4"/>
  <c r="AB308" i="4"/>
  <c r="AC308" i="4"/>
  <c r="W309" i="4"/>
  <c r="X309" i="4"/>
  <c r="Y309" i="4"/>
  <c r="Z309" i="4"/>
  <c r="AA309" i="4"/>
  <c r="AB309" i="4"/>
  <c r="AC309" i="4"/>
  <c r="W310" i="4"/>
  <c r="X310" i="4"/>
  <c r="Y310" i="4"/>
  <c r="Z310" i="4"/>
  <c r="AA310" i="4"/>
  <c r="AB310" i="4"/>
  <c r="AC310" i="4"/>
  <c r="W311" i="4"/>
  <c r="X311" i="4"/>
  <c r="Y311" i="4"/>
  <c r="Z311" i="4"/>
  <c r="AA311" i="4"/>
  <c r="AB311" i="4"/>
  <c r="AC311" i="4"/>
  <c r="W312" i="4"/>
  <c r="X312" i="4"/>
  <c r="Y312" i="4"/>
  <c r="Z312" i="4"/>
  <c r="AA312" i="4"/>
  <c r="AB312" i="4"/>
  <c r="AC312" i="4"/>
  <c r="W313" i="4"/>
  <c r="X313" i="4"/>
  <c r="Y313" i="4"/>
  <c r="Z313" i="4"/>
  <c r="AA313" i="4"/>
  <c r="AB313" i="4"/>
  <c r="AC313" i="4"/>
  <c r="W314" i="4"/>
  <c r="X314" i="4"/>
  <c r="Y314" i="4"/>
  <c r="Z314" i="4"/>
  <c r="AA314" i="4"/>
  <c r="AB314" i="4"/>
  <c r="AC314" i="4"/>
  <c r="W315" i="4"/>
  <c r="X315" i="4"/>
  <c r="Y315" i="4"/>
  <c r="Z315" i="4"/>
  <c r="AA315" i="4"/>
  <c r="AB315" i="4"/>
  <c r="AC315" i="4"/>
  <c r="W316" i="4"/>
  <c r="X316" i="4"/>
  <c r="Y316" i="4"/>
  <c r="Z316" i="4"/>
  <c r="AA316" i="4"/>
  <c r="AB316" i="4"/>
  <c r="AC316" i="4"/>
  <c r="W317" i="4"/>
  <c r="X317" i="4"/>
  <c r="Y317" i="4"/>
  <c r="Z317" i="4"/>
  <c r="AA317" i="4"/>
  <c r="AB317" i="4"/>
  <c r="AC317" i="4"/>
  <c r="W318" i="4"/>
  <c r="X318" i="4"/>
  <c r="Y318" i="4"/>
  <c r="Z318" i="4"/>
  <c r="AA318" i="4"/>
  <c r="AB318" i="4"/>
  <c r="AC318" i="4"/>
  <c r="W319" i="4"/>
  <c r="X319" i="4"/>
  <c r="Y319" i="4"/>
  <c r="Z319" i="4"/>
  <c r="AA319" i="4"/>
  <c r="AB319" i="4"/>
  <c r="AC319" i="4"/>
  <c r="W320" i="4"/>
  <c r="X320" i="4"/>
  <c r="Y320" i="4"/>
  <c r="Z320" i="4"/>
  <c r="AA320" i="4"/>
  <c r="AB320" i="4"/>
  <c r="AC320" i="4"/>
  <c r="W321" i="4"/>
  <c r="X321" i="4"/>
  <c r="Y321" i="4"/>
  <c r="Z321" i="4"/>
  <c r="AA321" i="4"/>
  <c r="AB321" i="4"/>
  <c r="AC321" i="4"/>
  <c r="W322" i="4"/>
  <c r="X322" i="4"/>
  <c r="Y322" i="4"/>
  <c r="Z322" i="4"/>
  <c r="AA322" i="4"/>
  <c r="AB322" i="4"/>
  <c r="AC322" i="4"/>
  <c r="W323" i="4"/>
  <c r="X323" i="4"/>
  <c r="Y323" i="4"/>
  <c r="Z323" i="4"/>
  <c r="AA323" i="4"/>
  <c r="AB323" i="4"/>
  <c r="AC323" i="4"/>
  <c r="W324" i="4"/>
  <c r="X324" i="4"/>
  <c r="Y324" i="4"/>
  <c r="Z324" i="4"/>
  <c r="AA324" i="4"/>
  <c r="AB324" i="4"/>
  <c r="AC324" i="4"/>
  <c r="W325" i="4"/>
  <c r="X325" i="4"/>
  <c r="Y325" i="4"/>
  <c r="Z325" i="4"/>
  <c r="AA325" i="4"/>
  <c r="AB325" i="4"/>
  <c r="AC325" i="4"/>
  <c r="W326" i="4"/>
  <c r="X326" i="4"/>
  <c r="Y326" i="4"/>
  <c r="Z326" i="4"/>
  <c r="AA326" i="4"/>
  <c r="AB326" i="4"/>
  <c r="AC326" i="4"/>
  <c r="W327" i="4"/>
  <c r="X327" i="4"/>
  <c r="Y327" i="4"/>
  <c r="Z327" i="4"/>
  <c r="AA327" i="4"/>
  <c r="AB327" i="4"/>
  <c r="AC327" i="4"/>
  <c r="W328" i="4"/>
  <c r="X328" i="4"/>
  <c r="Y328" i="4"/>
  <c r="Z328" i="4"/>
  <c r="AA328" i="4"/>
  <c r="AB328" i="4"/>
  <c r="AC328" i="4"/>
  <c r="W329" i="4"/>
  <c r="X329" i="4"/>
  <c r="Y329" i="4"/>
  <c r="Z329" i="4"/>
  <c r="AA329" i="4"/>
  <c r="AB329" i="4"/>
  <c r="AC329" i="4"/>
  <c r="W330" i="4"/>
  <c r="X330" i="4"/>
  <c r="Y330" i="4"/>
  <c r="Z330" i="4"/>
  <c r="AA330" i="4"/>
  <c r="AB330" i="4"/>
  <c r="AC330" i="4"/>
  <c r="W331" i="4"/>
  <c r="X331" i="4"/>
  <c r="Y331" i="4"/>
  <c r="Z331" i="4"/>
  <c r="AA331" i="4"/>
  <c r="AB331" i="4"/>
  <c r="AC331" i="4"/>
  <c r="W332" i="4"/>
  <c r="X332" i="4"/>
  <c r="Y332" i="4"/>
  <c r="Z332" i="4"/>
  <c r="AA332" i="4"/>
  <c r="AB332" i="4"/>
  <c r="AC332" i="4"/>
  <c r="W333" i="4"/>
  <c r="X333" i="4"/>
  <c r="Y333" i="4"/>
  <c r="Z333" i="4"/>
  <c r="AA333" i="4"/>
  <c r="AB333" i="4"/>
  <c r="AC333" i="4"/>
  <c r="W334" i="4"/>
  <c r="X334" i="4"/>
  <c r="Y334" i="4"/>
  <c r="Z334" i="4"/>
  <c r="AA334" i="4"/>
  <c r="AB334" i="4"/>
  <c r="AC334" i="4"/>
  <c r="W335" i="4"/>
  <c r="X335" i="4"/>
  <c r="Y335" i="4"/>
  <c r="Z335" i="4"/>
  <c r="AA335" i="4"/>
  <c r="AB335" i="4"/>
  <c r="AC335" i="4"/>
  <c r="W336" i="4"/>
  <c r="X336" i="4"/>
  <c r="Y336" i="4"/>
  <c r="Z336" i="4"/>
  <c r="AA336" i="4"/>
  <c r="AB336" i="4"/>
  <c r="AC336" i="4"/>
  <c r="W337" i="4"/>
  <c r="X337" i="4"/>
  <c r="Y337" i="4"/>
  <c r="Z337" i="4"/>
  <c r="AA337" i="4"/>
  <c r="AB337" i="4"/>
  <c r="AC337" i="4"/>
  <c r="W338" i="4"/>
  <c r="X338" i="4"/>
  <c r="Y338" i="4"/>
  <c r="Z338" i="4"/>
  <c r="AA338" i="4"/>
  <c r="AB338" i="4"/>
  <c r="AC338" i="4"/>
  <c r="W339" i="4"/>
  <c r="X339" i="4"/>
  <c r="Y339" i="4"/>
  <c r="Z339" i="4"/>
  <c r="AA339" i="4"/>
  <c r="AB339" i="4"/>
  <c r="AC339" i="4"/>
  <c r="W340" i="4"/>
  <c r="X340" i="4"/>
  <c r="Y340" i="4"/>
  <c r="Z340" i="4"/>
  <c r="AA340" i="4"/>
  <c r="AB340" i="4"/>
  <c r="AC340" i="4"/>
  <c r="W341" i="4"/>
  <c r="X341" i="4"/>
  <c r="Y341" i="4"/>
  <c r="Z341" i="4"/>
  <c r="AA341" i="4"/>
  <c r="AB341" i="4"/>
  <c r="AC341" i="4"/>
  <c r="W342" i="4"/>
  <c r="X342" i="4"/>
  <c r="Y342" i="4"/>
  <c r="Z342" i="4"/>
  <c r="AA342" i="4"/>
  <c r="AB342" i="4"/>
  <c r="AC342" i="4"/>
  <c r="W343" i="4"/>
  <c r="X343" i="4"/>
  <c r="Y343" i="4"/>
  <c r="Z343" i="4"/>
  <c r="AA343" i="4"/>
  <c r="AB343" i="4"/>
  <c r="AC343" i="4"/>
  <c r="W344" i="4"/>
  <c r="X344" i="4"/>
  <c r="Y344" i="4"/>
  <c r="Z344" i="4"/>
  <c r="AA344" i="4"/>
  <c r="AB344" i="4"/>
  <c r="AC344" i="4"/>
  <c r="W345" i="4"/>
  <c r="X345" i="4"/>
  <c r="Y345" i="4"/>
  <c r="Z345" i="4"/>
  <c r="AA345" i="4"/>
  <c r="AB345" i="4"/>
  <c r="AC345" i="4"/>
  <c r="W346" i="4"/>
  <c r="X346" i="4"/>
  <c r="Y346" i="4"/>
  <c r="Z346" i="4"/>
  <c r="AA346" i="4"/>
  <c r="AB346" i="4"/>
  <c r="AC346" i="4"/>
  <c r="W347" i="4"/>
  <c r="X347" i="4"/>
  <c r="Y347" i="4"/>
  <c r="Z347" i="4"/>
  <c r="AA347" i="4"/>
  <c r="AB347" i="4"/>
  <c r="AC347" i="4"/>
  <c r="W348" i="4"/>
  <c r="X348" i="4"/>
  <c r="Y348" i="4"/>
  <c r="Z348" i="4"/>
  <c r="AA348" i="4"/>
  <c r="AB348" i="4"/>
  <c r="AC348" i="4"/>
  <c r="W349" i="4"/>
  <c r="X349" i="4"/>
  <c r="Y349" i="4"/>
  <c r="Z349" i="4"/>
  <c r="AA349" i="4"/>
  <c r="AB349" i="4"/>
  <c r="AC349" i="4"/>
  <c r="W350" i="4"/>
  <c r="X350" i="4"/>
  <c r="Y350" i="4"/>
  <c r="Z350" i="4"/>
  <c r="AA350" i="4"/>
  <c r="AB350" i="4"/>
  <c r="AC350" i="4"/>
  <c r="W351" i="4"/>
  <c r="X351" i="4"/>
  <c r="Y351" i="4"/>
  <c r="Z351" i="4"/>
  <c r="AA351" i="4"/>
  <c r="AB351" i="4"/>
  <c r="AC351" i="4"/>
  <c r="W352" i="4"/>
  <c r="X352" i="4"/>
  <c r="Y352" i="4"/>
  <c r="Z352" i="4"/>
  <c r="AA352" i="4"/>
  <c r="AB352" i="4"/>
  <c r="AC352" i="4"/>
  <c r="W353" i="4"/>
  <c r="X353" i="4"/>
  <c r="Y353" i="4"/>
  <c r="Z353" i="4"/>
  <c r="AA353" i="4"/>
  <c r="AB353" i="4"/>
  <c r="AC353" i="4"/>
  <c r="W354" i="4"/>
  <c r="X354" i="4"/>
  <c r="Y354" i="4"/>
  <c r="Z354" i="4"/>
  <c r="AA354" i="4"/>
  <c r="AB354" i="4"/>
  <c r="AC354" i="4"/>
  <c r="W355" i="4"/>
  <c r="X355" i="4"/>
  <c r="Y355" i="4"/>
  <c r="Z355" i="4"/>
  <c r="AA355" i="4"/>
  <c r="AB355" i="4"/>
  <c r="AC355" i="4"/>
  <c r="W356" i="4"/>
  <c r="X356" i="4"/>
  <c r="Y356" i="4"/>
  <c r="Z356" i="4"/>
  <c r="AA356" i="4"/>
  <c r="AB356" i="4"/>
  <c r="AC356" i="4"/>
  <c r="W357" i="4"/>
  <c r="X357" i="4"/>
  <c r="Y357" i="4"/>
  <c r="Z357" i="4"/>
  <c r="AA357" i="4"/>
  <c r="AB357" i="4"/>
  <c r="AC357" i="4"/>
  <c r="W358" i="4"/>
  <c r="X358" i="4"/>
  <c r="Y358" i="4"/>
  <c r="Z358" i="4"/>
  <c r="AA358" i="4"/>
  <c r="AB358" i="4"/>
  <c r="AC358" i="4"/>
  <c r="W359" i="4"/>
  <c r="X359" i="4"/>
  <c r="Y359" i="4"/>
  <c r="Z359" i="4"/>
  <c r="AA359" i="4"/>
  <c r="AB359" i="4"/>
  <c r="AC359" i="4"/>
  <c r="W360" i="4"/>
  <c r="X360" i="4"/>
  <c r="Y360" i="4"/>
  <c r="Z360" i="4"/>
  <c r="AA360" i="4"/>
  <c r="AB360" i="4"/>
  <c r="AC360" i="4"/>
  <c r="W361" i="4"/>
  <c r="X361" i="4"/>
  <c r="Y361" i="4"/>
  <c r="Z361" i="4"/>
  <c r="AA361" i="4"/>
  <c r="AB361" i="4"/>
  <c r="AC361" i="4"/>
  <c r="W362" i="4"/>
  <c r="X362" i="4"/>
  <c r="Y362" i="4"/>
  <c r="Z362" i="4"/>
  <c r="AA362" i="4"/>
  <c r="AB362" i="4"/>
  <c r="AC362" i="4"/>
  <c r="W363" i="4"/>
  <c r="X363" i="4"/>
  <c r="Y363" i="4"/>
  <c r="Z363" i="4"/>
  <c r="AA363" i="4"/>
  <c r="AB363" i="4"/>
  <c r="AC363" i="4"/>
  <c r="W364" i="4"/>
  <c r="X364" i="4"/>
  <c r="Y364" i="4"/>
  <c r="Z364" i="4"/>
  <c r="AA364" i="4"/>
  <c r="AB364" i="4"/>
  <c r="AC364" i="4"/>
  <c r="W365" i="4"/>
  <c r="X365" i="4"/>
  <c r="Y365" i="4"/>
  <c r="Z365" i="4"/>
  <c r="AA365" i="4"/>
  <c r="AB365" i="4"/>
  <c r="AC365" i="4"/>
  <c r="W366" i="4"/>
  <c r="X366" i="4"/>
  <c r="Y366" i="4"/>
  <c r="Z366" i="4"/>
  <c r="AA366" i="4"/>
  <c r="AB366" i="4"/>
  <c r="AC366" i="4"/>
  <c r="W367" i="4"/>
  <c r="X367" i="4"/>
  <c r="Y367" i="4"/>
  <c r="Z367" i="4"/>
  <c r="AA367" i="4"/>
  <c r="AB367" i="4"/>
  <c r="AC367" i="4"/>
  <c r="W368" i="4"/>
  <c r="X368" i="4"/>
  <c r="Y368" i="4"/>
  <c r="Z368" i="4"/>
  <c r="AA368" i="4"/>
  <c r="AB368" i="4"/>
  <c r="AC368" i="4"/>
  <c r="W369" i="4"/>
  <c r="X369" i="4"/>
  <c r="Y369" i="4"/>
  <c r="Z369" i="4"/>
  <c r="AA369" i="4"/>
  <c r="AB369" i="4"/>
  <c r="AC369" i="4"/>
  <c r="W370" i="4"/>
  <c r="X370" i="4"/>
  <c r="Y370" i="4"/>
  <c r="Z370" i="4"/>
  <c r="AA370" i="4"/>
  <c r="AB370" i="4"/>
  <c r="AC370" i="4"/>
  <c r="W371" i="4"/>
  <c r="X371" i="4"/>
  <c r="Y371" i="4"/>
  <c r="Z371" i="4"/>
  <c r="AA371" i="4"/>
  <c r="AB371" i="4"/>
  <c r="AC371" i="4"/>
  <c r="W372" i="4"/>
  <c r="X372" i="4"/>
  <c r="Y372" i="4"/>
  <c r="Z372" i="4"/>
  <c r="AA372" i="4"/>
  <c r="AB372" i="4"/>
  <c r="AC372" i="4"/>
  <c r="W373" i="4"/>
  <c r="X373" i="4"/>
  <c r="Y373" i="4"/>
  <c r="Z373" i="4"/>
  <c r="AA373" i="4"/>
  <c r="AB373" i="4"/>
  <c r="AC373" i="4"/>
  <c r="W374" i="4"/>
  <c r="X374" i="4"/>
  <c r="Y374" i="4"/>
  <c r="Z374" i="4"/>
  <c r="AA374" i="4"/>
  <c r="AB374" i="4"/>
  <c r="AC374" i="4"/>
  <c r="W375" i="4"/>
  <c r="X375" i="4"/>
  <c r="Y375" i="4"/>
  <c r="Z375" i="4"/>
  <c r="AA375" i="4"/>
  <c r="AB375" i="4"/>
  <c r="AC375" i="4"/>
  <c r="W376" i="4"/>
  <c r="X376" i="4"/>
  <c r="Y376" i="4"/>
  <c r="Z376" i="4"/>
  <c r="AA376" i="4"/>
  <c r="AB376" i="4"/>
  <c r="AC376" i="4"/>
  <c r="W377" i="4"/>
  <c r="X377" i="4"/>
  <c r="Y377" i="4"/>
  <c r="Z377" i="4"/>
  <c r="AA377" i="4"/>
  <c r="AB377" i="4"/>
  <c r="AC377" i="4"/>
  <c r="W378" i="4"/>
  <c r="X378" i="4"/>
  <c r="Y378" i="4"/>
  <c r="Z378" i="4"/>
  <c r="AA378" i="4"/>
  <c r="AB378" i="4"/>
  <c r="AC378" i="4"/>
  <c r="W379" i="4"/>
  <c r="X379" i="4"/>
  <c r="Y379" i="4"/>
  <c r="Z379" i="4"/>
  <c r="AA379" i="4"/>
  <c r="AB379" i="4"/>
  <c r="AC379" i="4"/>
  <c r="W380" i="4"/>
  <c r="X380" i="4"/>
  <c r="Y380" i="4"/>
  <c r="Z380" i="4"/>
  <c r="AA380" i="4"/>
  <c r="AB380" i="4"/>
  <c r="AC380" i="4"/>
  <c r="W381" i="4"/>
  <c r="X381" i="4"/>
  <c r="Y381" i="4"/>
  <c r="Z381" i="4"/>
  <c r="AA381" i="4"/>
  <c r="AB381" i="4"/>
  <c r="AC381" i="4"/>
  <c r="W382" i="4"/>
  <c r="X382" i="4"/>
  <c r="Y382" i="4"/>
  <c r="Z382" i="4"/>
  <c r="AA382" i="4"/>
  <c r="AB382" i="4"/>
  <c r="AC382" i="4"/>
  <c r="W383" i="4"/>
  <c r="X383" i="4"/>
  <c r="Y383" i="4"/>
  <c r="Z383" i="4"/>
  <c r="AA383" i="4"/>
  <c r="AB383" i="4"/>
  <c r="AC383" i="4"/>
  <c r="W384" i="4"/>
  <c r="X384" i="4"/>
  <c r="Y384" i="4"/>
  <c r="Z384" i="4"/>
  <c r="AA384" i="4"/>
  <c r="AB384" i="4"/>
  <c r="AC384" i="4"/>
  <c r="W385" i="4"/>
  <c r="X385" i="4"/>
  <c r="Y385" i="4"/>
  <c r="Z385" i="4"/>
  <c r="AA385" i="4"/>
  <c r="AB385" i="4"/>
  <c r="AC385" i="4"/>
  <c r="W386" i="4"/>
  <c r="X386" i="4"/>
  <c r="Y386" i="4"/>
  <c r="Z386" i="4"/>
  <c r="AA386" i="4"/>
  <c r="AB386" i="4"/>
  <c r="AC386" i="4"/>
  <c r="W387" i="4"/>
  <c r="X387" i="4"/>
  <c r="Y387" i="4"/>
  <c r="Z387" i="4"/>
  <c r="AA387" i="4"/>
  <c r="AB387" i="4"/>
  <c r="AC387" i="4"/>
  <c r="W388" i="4"/>
  <c r="X388" i="4"/>
  <c r="Y388" i="4"/>
  <c r="Z388" i="4"/>
  <c r="AA388" i="4"/>
  <c r="AB388" i="4"/>
  <c r="AC388" i="4"/>
  <c r="W389" i="4"/>
  <c r="X389" i="4"/>
  <c r="Y389" i="4"/>
  <c r="Z389" i="4"/>
  <c r="AA389" i="4"/>
  <c r="AB389" i="4"/>
  <c r="AC389" i="4"/>
  <c r="W390" i="4"/>
  <c r="X390" i="4"/>
  <c r="Y390" i="4"/>
  <c r="Z390" i="4"/>
  <c r="AA390" i="4"/>
  <c r="AB390" i="4"/>
  <c r="AC390" i="4"/>
  <c r="W391" i="4"/>
  <c r="X391" i="4"/>
  <c r="Y391" i="4"/>
  <c r="Z391" i="4"/>
  <c r="AA391" i="4"/>
  <c r="AB391" i="4"/>
  <c r="AC391" i="4"/>
  <c r="W392" i="4"/>
  <c r="X392" i="4"/>
  <c r="Y392" i="4"/>
  <c r="Z392" i="4"/>
  <c r="AA392" i="4"/>
  <c r="AB392" i="4"/>
  <c r="AC392" i="4"/>
  <c r="W393" i="4"/>
  <c r="X393" i="4"/>
  <c r="Y393" i="4"/>
  <c r="Z393" i="4"/>
  <c r="AA393" i="4"/>
  <c r="AB393" i="4"/>
  <c r="AC393" i="4"/>
  <c r="W394" i="4"/>
  <c r="X394" i="4"/>
  <c r="Y394" i="4"/>
  <c r="Z394" i="4"/>
  <c r="AA394" i="4"/>
  <c r="AB394" i="4"/>
  <c r="AC394" i="4"/>
  <c r="W395" i="4"/>
  <c r="X395" i="4"/>
  <c r="Y395" i="4"/>
  <c r="Z395" i="4"/>
  <c r="AA395" i="4"/>
  <c r="AB395" i="4"/>
  <c r="AC395" i="4"/>
  <c r="W396" i="4"/>
  <c r="X396" i="4"/>
  <c r="Y396" i="4"/>
  <c r="Z396" i="4"/>
  <c r="AA396" i="4"/>
  <c r="AB396" i="4"/>
  <c r="AC396" i="4"/>
  <c r="W397" i="4"/>
  <c r="X397" i="4"/>
  <c r="Y397" i="4"/>
  <c r="Z397" i="4"/>
  <c r="AA397" i="4"/>
  <c r="AB397" i="4"/>
  <c r="AC397" i="4"/>
  <c r="W398" i="4"/>
  <c r="X398" i="4"/>
  <c r="Y398" i="4"/>
  <c r="Z398" i="4"/>
  <c r="AA398" i="4"/>
  <c r="AB398" i="4"/>
  <c r="AC398" i="4"/>
  <c r="W399" i="4"/>
  <c r="X399" i="4"/>
  <c r="Y399" i="4"/>
  <c r="Z399" i="4"/>
  <c r="AA399" i="4"/>
  <c r="AB399" i="4"/>
  <c r="AC399" i="4"/>
  <c r="W400" i="4"/>
  <c r="X400" i="4"/>
  <c r="Y400" i="4"/>
  <c r="Z400" i="4"/>
  <c r="AA400" i="4"/>
  <c r="AB400" i="4"/>
  <c r="AC400" i="4"/>
  <c r="W401" i="4"/>
  <c r="X401" i="4"/>
  <c r="Y401" i="4"/>
  <c r="Z401" i="4"/>
  <c r="AA401" i="4"/>
  <c r="AB401" i="4"/>
  <c r="AC401" i="4"/>
  <c r="W402" i="4"/>
  <c r="X402" i="4"/>
  <c r="Y402" i="4"/>
  <c r="Z402" i="4"/>
  <c r="AA402" i="4"/>
  <c r="AB402" i="4"/>
  <c r="AC402" i="4"/>
  <c r="W403" i="4"/>
  <c r="X403" i="4"/>
  <c r="Y403" i="4"/>
  <c r="Z403" i="4"/>
  <c r="AA403" i="4"/>
  <c r="AB403" i="4"/>
  <c r="AC403" i="4"/>
  <c r="W404" i="4"/>
  <c r="X404" i="4"/>
  <c r="Y404" i="4"/>
  <c r="Z404" i="4"/>
  <c r="AA404" i="4"/>
  <c r="AB404" i="4"/>
  <c r="AC404" i="4"/>
  <c r="W405" i="4"/>
  <c r="X405" i="4"/>
  <c r="Y405" i="4"/>
  <c r="Z405" i="4"/>
  <c r="AA405" i="4"/>
  <c r="AB405" i="4"/>
  <c r="AC405" i="4"/>
  <c r="W406" i="4"/>
  <c r="X406" i="4"/>
  <c r="Y406" i="4"/>
  <c r="Z406" i="4"/>
  <c r="AA406" i="4"/>
  <c r="AB406" i="4"/>
  <c r="AC406" i="4"/>
  <c r="W407" i="4"/>
  <c r="X407" i="4"/>
  <c r="Y407" i="4"/>
  <c r="Z407" i="4"/>
  <c r="AA407" i="4"/>
  <c r="AB407" i="4"/>
  <c r="AC407" i="4"/>
  <c r="W408" i="4"/>
  <c r="X408" i="4"/>
  <c r="Y408" i="4"/>
  <c r="Z408" i="4"/>
  <c r="AA408" i="4"/>
  <c r="AB408" i="4"/>
  <c r="AC408" i="4"/>
  <c r="W409" i="4"/>
  <c r="X409" i="4"/>
  <c r="Y409" i="4"/>
  <c r="Z409" i="4"/>
  <c r="AA409" i="4"/>
  <c r="AB409" i="4"/>
  <c r="AC409" i="4"/>
  <c r="W410" i="4"/>
  <c r="X410" i="4"/>
  <c r="Y410" i="4"/>
  <c r="Z410" i="4"/>
  <c r="AA410" i="4"/>
  <c r="AB410" i="4"/>
  <c r="AC410" i="4"/>
  <c r="W411" i="4"/>
  <c r="X411" i="4"/>
  <c r="Y411" i="4"/>
  <c r="Z411" i="4"/>
  <c r="AA411" i="4"/>
  <c r="AB411" i="4"/>
  <c r="AC411" i="4"/>
  <c r="W412" i="4"/>
  <c r="X412" i="4"/>
  <c r="Y412" i="4"/>
  <c r="Z412" i="4"/>
  <c r="AA412" i="4"/>
  <c r="AB412" i="4"/>
  <c r="AC412" i="4"/>
  <c r="W413" i="4"/>
  <c r="X413" i="4"/>
  <c r="Y413" i="4"/>
  <c r="Z413" i="4"/>
  <c r="AA413" i="4"/>
  <c r="AB413" i="4"/>
  <c r="AC413" i="4"/>
  <c r="W414" i="4"/>
  <c r="X414" i="4"/>
  <c r="Y414" i="4"/>
  <c r="Z414" i="4"/>
  <c r="AA414" i="4"/>
  <c r="AB414" i="4"/>
  <c r="AC414" i="4"/>
  <c r="W415" i="4"/>
  <c r="X415" i="4"/>
  <c r="Y415" i="4"/>
  <c r="Z415" i="4"/>
  <c r="AA415" i="4"/>
  <c r="AB415" i="4"/>
  <c r="AC415" i="4"/>
  <c r="W416" i="4"/>
  <c r="X416" i="4"/>
  <c r="Y416" i="4"/>
  <c r="Z416" i="4"/>
  <c r="AA416" i="4"/>
  <c r="AB416" i="4"/>
  <c r="AC416" i="4"/>
  <c r="W417" i="4"/>
  <c r="X417" i="4"/>
  <c r="Y417" i="4"/>
  <c r="Z417" i="4"/>
  <c r="AA417" i="4"/>
  <c r="AB417" i="4"/>
  <c r="AC417" i="4"/>
  <c r="W418" i="4"/>
  <c r="X418" i="4"/>
  <c r="Y418" i="4"/>
  <c r="Z418" i="4"/>
  <c r="AA418" i="4"/>
  <c r="AB418" i="4"/>
  <c r="AC418" i="4"/>
  <c r="W419" i="4"/>
  <c r="X419" i="4"/>
  <c r="Y419" i="4"/>
  <c r="Z419" i="4"/>
  <c r="AA419" i="4"/>
  <c r="AB419" i="4"/>
  <c r="AC419" i="4"/>
  <c r="W420" i="4"/>
  <c r="X420" i="4"/>
  <c r="Y420" i="4"/>
  <c r="Z420" i="4"/>
  <c r="AA420" i="4"/>
  <c r="AB420" i="4"/>
  <c r="AC420" i="4"/>
  <c r="W421" i="4"/>
  <c r="X421" i="4"/>
  <c r="Y421" i="4"/>
  <c r="Z421" i="4"/>
  <c r="AA421" i="4"/>
  <c r="AB421" i="4"/>
  <c r="AC421" i="4"/>
  <c r="W422" i="4"/>
  <c r="X422" i="4"/>
  <c r="Y422" i="4"/>
  <c r="Z422" i="4"/>
  <c r="AA422" i="4"/>
  <c r="AB422" i="4"/>
  <c r="AC422" i="4"/>
  <c r="W423" i="4"/>
  <c r="X423" i="4"/>
  <c r="Y423" i="4"/>
  <c r="Z423" i="4"/>
  <c r="AA423" i="4"/>
  <c r="AB423" i="4"/>
  <c r="AC423" i="4"/>
  <c r="W424" i="4"/>
  <c r="X424" i="4"/>
  <c r="Y424" i="4"/>
  <c r="Z424" i="4"/>
  <c r="AA424" i="4"/>
  <c r="AB424" i="4"/>
  <c r="AC424" i="4"/>
  <c r="W425" i="4"/>
  <c r="X425" i="4"/>
  <c r="Y425" i="4"/>
  <c r="Z425" i="4"/>
  <c r="AA425" i="4"/>
  <c r="AB425" i="4"/>
  <c r="AC425" i="4"/>
  <c r="W426" i="4"/>
  <c r="X426" i="4"/>
  <c r="Y426" i="4"/>
  <c r="Z426" i="4"/>
  <c r="AA426" i="4"/>
  <c r="AB426" i="4"/>
  <c r="AC426" i="4"/>
  <c r="W427" i="4"/>
  <c r="X427" i="4"/>
  <c r="Y427" i="4"/>
  <c r="Z427" i="4"/>
  <c r="AA427" i="4"/>
  <c r="AB427" i="4"/>
  <c r="AC427" i="4"/>
  <c r="W428" i="4"/>
  <c r="X428" i="4"/>
  <c r="Y428" i="4"/>
  <c r="Z428" i="4"/>
  <c r="AA428" i="4"/>
  <c r="AB428" i="4"/>
  <c r="AC428" i="4"/>
  <c r="W429" i="4"/>
  <c r="X429" i="4"/>
  <c r="Y429" i="4"/>
  <c r="Z429" i="4"/>
  <c r="AA429" i="4"/>
  <c r="AB429" i="4"/>
  <c r="AC429" i="4"/>
  <c r="W430" i="4"/>
  <c r="X430" i="4"/>
  <c r="Y430" i="4"/>
  <c r="Z430" i="4"/>
  <c r="AA430" i="4"/>
  <c r="AB430" i="4"/>
  <c r="AC430" i="4"/>
  <c r="W431" i="4"/>
  <c r="X431" i="4"/>
  <c r="Y431" i="4"/>
  <c r="Z431" i="4"/>
  <c r="AA431" i="4"/>
  <c r="AB431" i="4"/>
  <c r="AC431" i="4"/>
  <c r="W432" i="4"/>
  <c r="X432" i="4"/>
  <c r="Y432" i="4"/>
  <c r="Z432" i="4"/>
  <c r="AA432" i="4"/>
  <c r="AB432" i="4"/>
  <c r="AC432" i="4"/>
  <c r="W433" i="4"/>
  <c r="X433" i="4"/>
  <c r="Y433" i="4"/>
  <c r="Z433" i="4"/>
  <c r="AA433" i="4"/>
  <c r="AB433" i="4"/>
  <c r="AC433" i="4"/>
  <c r="W434" i="4"/>
  <c r="X434" i="4"/>
  <c r="Y434" i="4"/>
  <c r="Z434" i="4"/>
  <c r="AA434" i="4"/>
  <c r="AB434" i="4"/>
  <c r="AC434" i="4"/>
  <c r="W435" i="4"/>
  <c r="X435" i="4"/>
  <c r="Y435" i="4"/>
  <c r="Z435" i="4"/>
  <c r="AA435" i="4"/>
  <c r="AB435" i="4"/>
  <c r="AC435" i="4"/>
  <c r="W436" i="4"/>
  <c r="X436" i="4"/>
  <c r="Y436" i="4"/>
  <c r="Z436" i="4"/>
  <c r="AA436" i="4"/>
  <c r="AB436" i="4"/>
  <c r="AC436" i="4"/>
  <c r="W437" i="4"/>
  <c r="X437" i="4"/>
  <c r="Y437" i="4"/>
  <c r="Z437" i="4"/>
  <c r="AA437" i="4"/>
  <c r="AB437" i="4"/>
  <c r="AC437" i="4"/>
  <c r="W438" i="4"/>
  <c r="X438" i="4"/>
  <c r="Y438" i="4"/>
  <c r="Z438" i="4"/>
  <c r="AA438" i="4"/>
  <c r="AB438" i="4"/>
  <c r="AC438" i="4"/>
  <c r="W439" i="4"/>
  <c r="X439" i="4"/>
  <c r="Y439" i="4"/>
  <c r="Z439" i="4"/>
  <c r="AA439" i="4"/>
  <c r="AB439" i="4"/>
  <c r="AC439" i="4"/>
  <c r="W440" i="4"/>
  <c r="X440" i="4"/>
  <c r="Y440" i="4"/>
  <c r="Z440" i="4"/>
  <c r="AA440" i="4"/>
  <c r="AB440" i="4"/>
  <c r="AC440" i="4"/>
  <c r="W441" i="4"/>
  <c r="X441" i="4"/>
  <c r="Y441" i="4"/>
  <c r="Z441" i="4"/>
  <c r="AA441" i="4"/>
  <c r="AB441" i="4"/>
  <c r="AC441" i="4"/>
  <c r="W442" i="4"/>
  <c r="X442" i="4"/>
  <c r="Y442" i="4"/>
  <c r="Z442" i="4"/>
  <c r="AA442" i="4"/>
  <c r="AB442" i="4"/>
  <c r="AC442" i="4"/>
  <c r="W443" i="4"/>
  <c r="X443" i="4"/>
  <c r="Y443" i="4"/>
  <c r="Z443" i="4"/>
  <c r="AA443" i="4"/>
  <c r="AB443" i="4"/>
  <c r="AC443" i="4"/>
  <c r="W444" i="4"/>
  <c r="X444" i="4"/>
  <c r="Y444" i="4"/>
  <c r="Z444" i="4"/>
  <c r="AA444" i="4"/>
  <c r="AB444" i="4"/>
  <c r="AC444" i="4"/>
  <c r="W445" i="4"/>
  <c r="X445" i="4"/>
  <c r="Y445" i="4"/>
  <c r="Z445" i="4"/>
  <c r="AA445" i="4"/>
  <c r="AB445" i="4"/>
  <c r="AC445" i="4"/>
  <c r="W446" i="4"/>
  <c r="X446" i="4"/>
  <c r="Y446" i="4"/>
  <c r="Z446" i="4"/>
  <c r="AA446" i="4"/>
  <c r="AB446" i="4"/>
  <c r="AC446" i="4"/>
  <c r="W447" i="4"/>
  <c r="X447" i="4"/>
  <c r="Y447" i="4"/>
  <c r="Z447" i="4"/>
  <c r="AA447" i="4"/>
  <c r="AB447" i="4"/>
  <c r="AC447" i="4"/>
  <c r="W448" i="4"/>
  <c r="X448" i="4"/>
  <c r="Y448" i="4"/>
  <c r="Z448" i="4"/>
  <c r="AA448" i="4"/>
  <c r="AB448" i="4"/>
  <c r="AC448" i="4"/>
  <c r="W449" i="4"/>
  <c r="X449" i="4"/>
  <c r="Y449" i="4"/>
  <c r="Z449" i="4"/>
  <c r="AA449" i="4"/>
  <c r="AB449" i="4"/>
  <c r="AC449" i="4"/>
  <c r="W450" i="4"/>
  <c r="X450" i="4"/>
  <c r="Y450" i="4"/>
  <c r="Z450" i="4"/>
  <c r="AA450" i="4"/>
  <c r="AB450" i="4"/>
  <c r="AC450" i="4"/>
  <c r="W451" i="4"/>
  <c r="X451" i="4"/>
  <c r="Y451" i="4"/>
  <c r="Z451" i="4"/>
  <c r="AA451" i="4"/>
  <c r="AB451" i="4"/>
  <c r="AC451" i="4"/>
  <c r="W452" i="4"/>
  <c r="X452" i="4"/>
  <c r="Y452" i="4"/>
  <c r="Z452" i="4"/>
  <c r="AA452" i="4"/>
  <c r="AB452" i="4"/>
  <c r="AC452" i="4"/>
  <c r="W453" i="4"/>
  <c r="X453" i="4"/>
  <c r="Y453" i="4"/>
  <c r="Z453" i="4"/>
  <c r="AA453" i="4"/>
  <c r="AB453" i="4"/>
  <c r="AC453" i="4"/>
  <c r="W454" i="4"/>
  <c r="X454" i="4"/>
  <c r="Y454" i="4"/>
  <c r="Z454" i="4"/>
  <c r="AA454" i="4"/>
  <c r="AB454" i="4"/>
  <c r="AC454" i="4"/>
  <c r="W455" i="4"/>
  <c r="X455" i="4"/>
  <c r="Y455" i="4"/>
  <c r="Z455" i="4"/>
  <c r="AA455" i="4"/>
  <c r="AB455" i="4"/>
  <c r="AC455" i="4"/>
  <c r="W456" i="4"/>
  <c r="X456" i="4"/>
  <c r="Y456" i="4"/>
  <c r="Z456" i="4"/>
  <c r="AA456" i="4"/>
  <c r="AB456" i="4"/>
  <c r="AC456" i="4"/>
  <c r="W457" i="4"/>
  <c r="X457" i="4"/>
  <c r="Y457" i="4"/>
  <c r="Z457" i="4"/>
  <c r="AA457" i="4"/>
  <c r="AB457" i="4"/>
  <c r="AC457" i="4"/>
  <c r="W458" i="4"/>
  <c r="X458" i="4"/>
  <c r="Y458" i="4"/>
  <c r="Z458" i="4"/>
  <c r="AA458" i="4"/>
  <c r="AB458" i="4"/>
  <c r="AC458" i="4"/>
  <c r="W459" i="4"/>
  <c r="X459" i="4"/>
  <c r="Y459" i="4"/>
  <c r="Z459" i="4"/>
  <c r="AA459" i="4"/>
  <c r="AB459" i="4"/>
  <c r="AC459" i="4"/>
  <c r="W460" i="4"/>
  <c r="X460" i="4"/>
  <c r="Y460" i="4"/>
  <c r="Z460" i="4"/>
  <c r="AA460" i="4"/>
  <c r="AB460" i="4"/>
  <c r="AC460" i="4"/>
  <c r="W461" i="4"/>
  <c r="X461" i="4"/>
  <c r="Y461" i="4"/>
  <c r="Z461" i="4"/>
  <c r="AA461" i="4"/>
  <c r="AB461" i="4"/>
  <c r="AC461" i="4"/>
  <c r="W462" i="4"/>
  <c r="X462" i="4"/>
  <c r="Y462" i="4"/>
  <c r="Z462" i="4"/>
  <c r="AA462" i="4"/>
  <c r="AB462" i="4"/>
  <c r="AC462" i="4"/>
  <c r="W463" i="4"/>
  <c r="X463" i="4"/>
  <c r="Y463" i="4"/>
  <c r="Z463" i="4"/>
  <c r="AA463" i="4"/>
  <c r="AB463" i="4"/>
  <c r="AC463" i="4"/>
  <c r="W464" i="4"/>
  <c r="X464" i="4"/>
  <c r="Y464" i="4"/>
  <c r="Z464" i="4"/>
  <c r="AA464" i="4"/>
  <c r="AB464" i="4"/>
  <c r="AC464" i="4"/>
  <c r="W465" i="4"/>
  <c r="X465" i="4"/>
  <c r="Y465" i="4"/>
  <c r="Z465" i="4"/>
  <c r="AA465" i="4"/>
  <c r="AB465" i="4"/>
  <c r="AC465" i="4"/>
  <c r="W466" i="4"/>
  <c r="X466" i="4"/>
  <c r="Y466" i="4"/>
  <c r="Z466" i="4"/>
  <c r="AA466" i="4"/>
  <c r="AB466" i="4"/>
  <c r="AC466" i="4"/>
  <c r="W467" i="4"/>
  <c r="X467" i="4"/>
  <c r="Y467" i="4"/>
  <c r="Z467" i="4"/>
  <c r="AA467" i="4"/>
  <c r="AB467" i="4"/>
  <c r="AC467" i="4"/>
  <c r="W468" i="4"/>
  <c r="X468" i="4"/>
  <c r="Y468" i="4"/>
  <c r="Z468" i="4"/>
  <c r="AA468" i="4"/>
  <c r="AB468" i="4"/>
  <c r="AC468" i="4"/>
  <c r="W469" i="4"/>
  <c r="X469" i="4"/>
  <c r="Y469" i="4"/>
  <c r="Z469" i="4"/>
  <c r="AA469" i="4"/>
  <c r="AB469" i="4"/>
  <c r="AC469" i="4"/>
  <c r="W470" i="4"/>
  <c r="X470" i="4"/>
  <c r="Y470" i="4"/>
  <c r="Z470" i="4"/>
  <c r="AA470" i="4"/>
  <c r="AB470" i="4"/>
  <c r="AC470" i="4"/>
  <c r="W471" i="4"/>
  <c r="X471" i="4"/>
  <c r="Y471" i="4"/>
  <c r="Z471" i="4"/>
  <c r="AA471" i="4"/>
  <c r="AB471" i="4"/>
  <c r="AC471" i="4"/>
  <c r="W472" i="4"/>
  <c r="X472" i="4"/>
  <c r="Y472" i="4"/>
  <c r="Z472" i="4"/>
  <c r="AA472" i="4"/>
  <c r="AB472" i="4"/>
  <c r="AC472" i="4"/>
  <c r="W473" i="4"/>
  <c r="X473" i="4"/>
  <c r="Y473" i="4"/>
  <c r="Z473" i="4"/>
  <c r="AA473" i="4"/>
  <c r="AB473" i="4"/>
  <c r="AC473" i="4"/>
  <c r="W474" i="4"/>
  <c r="X474" i="4"/>
  <c r="Y474" i="4"/>
  <c r="Z474" i="4"/>
  <c r="AA474" i="4"/>
  <c r="AB474" i="4"/>
  <c r="AC474" i="4"/>
  <c r="W475" i="4"/>
  <c r="X475" i="4"/>
  <c r="Y475" i="4"/>
  <c r="Z475" i="4"/>
  <c r="AA475" i="4"/>
  <c r="AB475" i="4"/>
  <c r="AC475" i="4"/>
  <c r="W476" i="4"/>
  <c r="X476" i="4"/>
  <c r="Y476" i="4"/>
  <c r="Z476" i="4"/>
  <c r="AA476" i="4"/>
  <c r="AB476" i="4"/>
  <c r="AC476" i="4"/>
  <c r="W477" i="4"/>
  <c r="X477" i="4"/>
  <c r="Y477" i="4"/>
  <c r="Z477" i="4"/>
  <c r="AA477" i="4"/>
  <c r="AB477" i="4"/>
  <c r="AC477" i="4"/>
  <c r="W478" i="4"/>
  <c r="X478" i="4"/>
  <c r="Y478" i="4"/>
  <c r="Z478" i="4"/>
  <c r="AA478" i="4"/>
  <c r="AB478" i="4"/>
  <c r="AC478" i="4"/>
  <c r="W479" i="4"/>
  <c r="X479" i="4"/>
  <c r="Y479" i="4"/>
  <c r="Z479" i="4"/>
  <c r="AA479" i="4"/>
  <c r="AB479" i="4"/>
  <c r="AC479" i="4"/>
  <c r="W480" i="4"/>
  <c r="X480" i="4"/>
  <c r="Y480" i="4"/>
  <c r="Z480" i="4"/>
  <c r="AA480" i="4"/>
  <c r="AB480" i="4"/>
  <c r="AC480" i="4"/>
  <c r="W481" i="4"/>
  <c r="X481" i="4"/>
  <c r="Y481" i="4"/>
  <c r="Z481" i="4"/>
  <c r="AA481" i="4"/>
  <c r="AB481" i="4"/>
  <c r="AC481" i="4"/>
  <c r="W482" i="4"/>
  <c r="X482" i="4"/>
  <c r="Y482" i="4"/>
  <c r="Z482" i="4"/>
  <c r="AA482" i="4"/>
  <c r="AB482" i="4"/>
  <c r="AC482" i="4"/>
  <c r="W483" i="4"/>
  <c r="X483" i="4"/>
  <c r="Y483" i="4"/>
  <c r="Z483" i="4"/>
  <c r="AA483" i="4"/>
  <c r="AB483" i="4"/>
  <c r="AC483" i="4"/>
  <c r="W484" i="4"/>
  <c r="X484" i="4"/>
  <c r="Y484" i="4"/>
  <c r="Z484" i="4"/>
  <c r="AA484" i="4"/>
  <c r="AB484" i="4"/>
  <c r="AC484" i="4"/>
  <c r="W485" i="4"/>
  <c r="X485" i="4"/>
  <c r="Y485" i="4"/>
  <c r="Z485" i="4"/>
  <c r="AA485" i="4"/>
  <c r="AB485" i="4"/>
  <c r="AC485" i="4"/>
  <c r="W486" i="4"/>
  <c r="X486" i="4"/>
  <c r="Y486" i="4"/>
  <c r="Z486" i="4"/>
  <c r="AA486" i="4"/>
  <c r="AB486" i="4"/>
  <c r="AC486" i="4"/>
  <c r="W487" i="4"/>
  <c r="X487" i="4"/>
  <c r="Y487" i="4"/>
  <c r="Z487" i="4"/>
  <c r="AA487" i="4"/>
  <c r="AB487" i="4"/>
  <c r="AC487" i="4"/>
  <c r="W488" i="4"/>
  <c r="X488" i="4"/>
  <c r="Y488" i="4"/>
  <c r="Z488" i="4"/>
  <c r="AA488" i="4"/>
  <c r="AB488" i="4"/>
  <c r="AC488" i="4"/>
  <c r="W489" i="4"/>
  <c r="X489" i="4"/>
  <c r="Y489" i="4"/>
  <c r="Z489" i="4"/>
  <c r="AA489" i="4"/>
  <c r="AB489" i="4"/>
  <c r="AC489" i="4"/>
  <c r="W490" i="4"/>
  <c r="X490" i="4"/>
  <c r="Y490" i="4"/>
  <c r="Z490" i="4"/>
  <c r="AA490" i="4"/>
  <c r="AB490" i="4"/>
  <c r="AC490" i="4"/>
  <c r="W491" i="4"/>
  <c r="X491" i="4"/>
  <c r="Y491" i="4"/>
  <c r="Z491" i="4"/>
  <c r="AA491" i="4"/>
  <c r="AB491" i="4"/>
  <c r="AC491" i="4"/>
  <c r="W492" i="4"/>
  <c r="X492" i="4"/>
  <c r="Y492" i="4"/>
  <c r="Z492" i="4"/>
  <c r="AA492" i="4"/>
  <c r="AB492" i="4"/>
  <c r="AC492" i="4"/>
  <c r="W493" i="4"/>
  <c r="X493" i="4"/>
  <c r="Y493" i="4"/>
  <c r="Z493" i="4"/>
  <c r="AA493" i="4"/>
  <c r="AB493" i="4"/>
  <c r="AC493" i="4"/>
  <c r="W494" i="4"/>
  <c r="X494" i="4"/>
  <c r="Y494" i="4"/>
  <c r="Z494" i="4"/>
  <c r="AA494" i="4"/>
  <c r="AB494" i="4"/>
  <c r="AC494" i="4"/>
  <c r="W495" i="4"/>
  <c r="X495" i="4"/>
  <c r="Y495" i="4"/>
  <c r="Z495" i="4"/>
  <c r="AA495" i="4"/>
  <c r="AB495" i="4"/>
  <c r="AC495" i="4"/>
  <c r="W496" i="4"/>
  <c r="X496" i="4"/>
  <c r="Y496" i="4"/>
  <c r="Z496" i="4"/>
  <c r="AA496" i="4"/>
  <c r="AB496" i="4"/>
  <c r="AC496" i="4"/>
  <c r="W497" i="4"/>
  <c r="X497" i="4"/>
  <c r="Y497" i="4"/>
  <c r="Z497" i="4"/>
  <c r="AA497" i="4"/>
  <c r="AB497" i="4"/>
  <c r="AC497" i="4"/>
  <c r="W498" i="4"/>
  <c r="X498" i="4"/>
  <c r="Y498" i="4"/>
  <c r="Z498" i="4"/>
  <c r="AA498" i="4"/>
  <c r="AB498" i="4"/>
  <c r="AC498" i="4"/>
  <c r="W499" i="4"/>
  <c r="X499" i="4"/>
  <c r="Y499" i="4"/>
  <c r="Z499" i="4"/>
  <c r="AA499" i="4"/>
  <c r="AB499" i="4"/>
  <c r="AC499" i="4"/>
  <c r="W500" i="4"/>
  <c r="X500" i="4"/>
  <c r="Y500" i="4"/>
  <c r="Z500" i="4"/>
  <c r="AA500" i="4"/>
  <c r="AB500" i="4"/>
  <c r="AC500" i="4"/>
  <c r="W501" i="4"/>
  <c r="X501" i="4"/>
  <c r="Y501" i="4"/>
  <c r="Z501" i="4"/>
  <c r="AA501" i="4"/>
  <c r="AB501" i="4"/>
  <c r="AC501" i="4"/>
  <c r="W502" i="4"/>
  <c r="X502" i="4"/>
  <c r="Y502" i="4"/>
  <c r="Z502" i="4"/>
  <c r="AA502" i="4"/>
  <c r="AB502" i="4"/>
  <c r="AC502" i="4"/>
  <c r="W503" i="4"/>
  <c r="X503" i="4"/>
  <c r="Y503" i="4"/>
  <c r="Z503" i="4"/>
  <c r="AA503" i="4"/>
  <c r="AB503" i="4"/>
  <c r="AC503" i="4"/>
  <c r="W504" i="4"/>
  <c r="X504" i="4"/>
  <c r="Y504" i="4"/>
  <c r="Z504" i="4"/>
  <c r="AA504" i="4"/>
  <c r="AB504" i="4"/>
  <c r="AC504" i="4"/>
  <c r="W505" i="4"/>
  <c r="X505" i="4"/>
  <c r="Y505" i="4"/>
  <c r="Z505" i="4"/>
  <c r="AA505" i="4"/>
  <c r="AB505" i="4"/>
  <c r="AC505" i="4"/>
  <c r="W506" i="4"/>
  <c r="X506" i="4"/>
  <c r="Y506" i="4"/>
  <c r="Z506" i="4"/>
  <c r="AA506" i="4"/>
  <c r="AB506" i="4"/>
  <c r="AC506" i="4"/>
  <c r="W507" i="4"/>
  <c r="X507" i="4"/>
  <c r="Y507" i="4"/>
  <c r="Z507" i="4"/>
  <c r="AA507" i="4"/>
  <c r="AB507" i="4"/>
  <c r="AC507" i="4"/>
  <c r="W508" i="4"/>
  <c r="X508" i="4"/>
  <c r="Y508" i="4"/>
  <c r="Z508" i="4"/>
  <c r="AA508" i="4"/>
  <c r="AB508" i="4"/>
  <c r="AC508" i="4"/>
  <c r="W509" i="4"/>
  <c r="X509" i="4"/>
  <c r="Y509" i="4"/>
  <c r="Z509" i="4"/>
  <c r="AA509" i="4"/>
  <c r="AB509" i="4"/>
  <c r="AC509" i="4"/>
  <c r="W510" i="4"/>
  <c r="X510" i="4"/>
  <c r="Y510" i="4"/>
  <c r="Z510" i="4"/>
  <c r="AA510" i="4"/>
  <c r="AB510" i="4"/>
  <c r="AC510" i="4"/>
  <c r="W511" i="4"/>
  <c r="X511" i="4"/>
  <c r="Y511" i="4"/>
  <c r="Z511" i="4"/>
  <c r="AA511" i="4"/>
  <c r="AB511" i="4"/>
  <c r="AC511" i="4"/>
  <c r="W512" i="4"/>
  <c r="X512" i="4"/>
  <c r="Y512" i="4"/>
  <c r="Z512" i="4"/>
  <c r="AA512" i="4"/>
  <c r="AB512" i="4"/>
  <c r="AC512" i="4"/>
  <c r="W513" i="4"/>
  <c r="X513" i="4"/>
  <c r="Y513" i="4"/>
  <c r="Z513" i="4"/>
  <c r="AA513" i="4"/>
  <c r="AB513" i="4"/>
  <c r="AC513" i="4"/>
  <c r="W514" i="4"/>
  <c r="X514" i="4"/>
  <c r="Y514" i="4"/>
  <c r="Z514" i="4"/>
  <c r="AA514" i="4"/>
  <c r="AB514" i="4"/>
  <c r="AC514" i="4"/>
  <c r="W515" i="4"/>
  <c r="X515" i="4"/>
  <c r="Y515" i="4"/>
  <c r="Z515" i="4"/>
  <c r="AA515" i="4"/>
  <c r="AB515" i="4"/>
  <c r="AC515" i="4"/>
  <c r="W516" i="4"/>
  <c r="X516" i="4"/>
  <c r="Y516" i="4"/>
  <c r="Z516" i="4"/>
  <c r="AA516" i="4"/>
  <c r="AB516" i="4"/>
  <c r="AC516" i="4"/>
  <c r="W517" i="4"/>
  <c r="X517" i="4"/>
  <c r="Y517" i="4"/>
  <c r="Z517" i="4"/>
  <c r="AA517" i="4"/>
  <c r="AB517" i="4"/>
  <c r="AC517" i="4"/>
  <c r="W518" i="4"/>
  <c r="X518" i="4"/>
  <c r="Y518" i="4"/>
  <c r="Z518" i="4"/>
  <c r="AA518" i="4"/>
  <c r="AB518" i="4"/>
  <c r="AC518" i="4"/>
  <c r="W519" i="4"/>
  <c r="X519" i="4"/>
  <c r="Y519" i="4"/>
  <c r="Z519" i="4"/>
  <c r="AA519" i="4"/>
  <c r="AB519" i="4"/>
  <c r="AC519" i="4"/>
  <c r="W520" i="4"/>
  <c r="X520" i="4"/>
  <c r="Y520" i="4"/>
  <c r="Z520" i="4"/>
  <c r="AA520" i="4"/>
  <c r="AB520" i="4"/>
  <c r="AC520" i="4"/>
  <c r="W521" i="4"/>
  <c r="X521" i="4"/>
  <c r="Y521" i="4"/>
  <c r="Z521" i="4"/>
  <c r="AA521" i="4"/>
  <c r="AB521" i="4"/>
  <c r="AC521" i="4"/>
  <c r="W522" i="4"/>
  <c r="X522" i="4"/>
  <c r="Y522" i="4"/>
  <c r="Z522" i="4"/>
  <c r="AA522" i="4"/>
  <c r="AB522" i="4"/>
  <c r="AC522" i="4"/>
  <c r="W523" i="4"/>
  <c r="X523" i="4"/>
  <c r="Y523" i="4"/>
  <c r="Z523" i="4"/>
  <c r="AA523" i="4"/>
  <c r="AB523" i="4"/>
  <c r="AC523" i="4"/>
  <c r="W524" i="4"/>
  <c r="X524" i="4"/>
  <c r="Y524" i="4"/>
  <c r="Z524" i="4"/>
  <c r="AA524" i="4"/>
  <c r="AB524" i="4"/>
  <c r="AC524" i="4"/>
  <c r="W525" i="4"/>
  <c r="X525" i="4"/>
  <c r="Y525" i="4"/>
  <c r="Z525" i="4"/>
  <c r="AA525" i="4"/>
  <c r="AB525" i="4"/>
  <c r="AC525" i="4"/>
  <c r="W526" i="4"/>
  <c r="X526" i="4"/>
  <c r="Y526" i="4"/>
  <c r="Z526" i="4"/>
  <c r="AA526" i="4"/>
  <c r="AB526" i="4"/>
  <c r="AC526" i="4"/>
  <c r="W527" i="4"/>
  <c r="X527" i="4"/>
  <c r="Y527" i="4"/>
  <c r="Z527" i="4"/>
  <c r="AA527" i="4"/>
  <c r="AB527" i="4"/>
  <c r="AC527" i="4"/>
  <c r="W528" i="4"/>
  <c r="X528" i="4"/>
  <c r="Y528" i="4"/>
  <c r="Z528" i="4"/>
  <c r="AA528" i="4"/>
  <c r="AB528" i="4"/>
  <c r="AC528" i="4"/>
  <c r="W529" i="4"/>
  <c r="X529" i="4"/>
  <c r="Y529" i="4"/>
  <c r="Z529" i="4"/>
  <c r="AA529" i="4"/>
  <c r="AB529" i="4"/>
  <c r="AC529" i="4"/>
  <c r="W530" i="4"/>
  <c r="X530" i="4"/>
  <c r="Y530" i="4"/>
  <c r="Z530" i="4"/>
  <c r="AA530" i="4"/>
  <c r="AB530" i="4"/>
  <c r="AC530" i="4"/>
  <c r="W531" i="4"/>
  <c r="X531" i="4"/>
  <c r="Y531" i="4"/>
  <c r="Z531" i="4"/>
  <c r="AA531" i="4"/>
  <c r="AB531" i="4"/>
  <c r="AC531" i="4"/>
  <c r="W532" i="4"/>
  <c r="X532" i="4"/>
  <c r="Y532" i="4"/>
  <c r="Z532" i="4"/>
  <c r="AA532" i="4"/>
  <c r="AB532" i="4"/>
  <c r="AC532" i="4"/>
  <c r="W533" i="4"/>
  <c r="X533" i="4"/>
  <c r="Y533" i="4"/>
  <c r="Z533" i="4"/>
  <c r="AA533" i="4"/>
  <c r="AB533" i="4"/>
  <c r="AC533" i="4"/>
  <c r="W534" i="4"/>
  <c r="X534" i="4"/>
  <c r="Y534" i="4"/>
  <c r="Z534" i="4"/>
  <c r="AA534" i="4"/>
  <c r="AB534" i="4"/>
  <c r="AC534" i="4"/>
  <c r="W535" i="4"/>
  <c r="X535" i="4"/>
  <c r="Y535" i="4"/>
  <c r="Z535" i="4"/>
  <c r="AA535" i="4"/>
  <c r="AB535" i="4"/>
  <c r="AC535" i="4"/>
  <c r="W536" i="4"/>
  <c r="X536" i="4"/>
  <c r="Y536" i="4"/>
  <c r="Z536" i="4"/>
  <c r="AA536" i="4"/>
  <c r="AB536" i="4"/>
  <c r="AC536" i="4"/>
  <c r="W537" i="4"/>
  <c r="X537" i="4"/>
  <c r="Y537" i="4"/>
  <c r="Z537" i="4"/>
  <c r="AA537" i="4"/>
  <c r="AB537" i="4"/>
  <c r="AC537" i="4"/>
  <c r="W538" i="4"/>
  <c r="X538" i="4"/>
  <c r="Y538" i="4"/>
  <c r="Z538" i="4"/>
  <c r="AA538" i="4"/>
  <c r="AB538" i="4"/>
  <c r="AC538" i="4"/>
  <c r="W539" i="4"/>
  <c r="X539" i="4"/>
  <c r="Y539" i="4"/>
  <c r="Z539" i="4"/>
  <c r="AA539" i="4"/>
  <c r="AB539" i="4"/>
  <c r="AC539" i="4"/>
  <c r="W540" i="4"/>
  <c r="X540" i="4"/>
  <c r="Y540" i="4"/>
  <c r="Z540" i="4"/>
  <c r="AA540" i="4"/>
  <c r="AB540" i="4"/>
  <c r="AC540" i="4"/>
  <c r="W541" i="4"/>
  <c r="X541" i="4"/>
  <c r="Y541" i="4"/>
  <c r="Z541" i="4"/>
  <c r="AA541" i="4"/>
  <c r="AB541" i="4"/>
  <c r="AC541" i="4"/>
  <c r="W542" i="4"/>
  <c r="X542" i="4"/>
  <c r="Y542" i="4"/>
  <c r="Z542" i="4"/>
  <c r="AA542" i="4"/>
  <c r="AB542" i="4"/>
  <c r="AC542" i="4"/>
  <c r="W543" i="4"/>
  <c r="X543" i="4"/>
  <c r="Y543" i="4"/>
  <c r="Z543" i="4"/>
  <c r="AA543" i="4"/>
  <c r="AB543" i="4"/>
  <c r="AC543" i="4"/>
  <c r="W544" i="4"/>
  <c r="X544" i="4"/>
  <c r="Y544" i="4"/>
  <c r="Z544" i="4"/>
  <c r="AA544" i="4"/>
  <c r="AB544" i="4"/>
  <c r="AC544" i="4"/>
  <c r="W545" i="4"/>
  <c r="X545" i="4"/>
  <c r="Y545" i="4"/>
  <c r="Z545" i="4"/>
  <c r="AA545" i="4"/>
  <c r="AB545" i="4"/>
  <c r="AC545" i="4"/>
  <c r="W546" i="4"/>
  <c r="X546" i="4"/>
  <c r="Y546" i="4"/>
  <c r="Z546" i="4"/>
  <c r="AA546" i="4"/>
  <c r="AB546" i="4"/>
  <c r="AC546" i="4"/>
  <c r="W547" i="4"/>
  <c r="X547" i="4"/>
  <c r="Y547" i="4"/>
  <c r="Z547" i="4"/>
  <c r="AA547" i="4"/>
  <c r="AB547" i="4"/>
  <c r="AC547" i="4"/>
  <c r="W548" i="4"/>
  <c r="X548" i="4"/>
  <c r="Y548" i="4"/>
  <c r="Z548" i="4"/>
  <c r="AA548" i="4"/>
  <c r="AB548" i="4"/>
  <c r="AC548" i="4"/>
  <c r="W549" i="4"/>
  <c r="X549" i="4"/>
  <c r="Y549" i="4"/>
  <c r="Z549" i="4"/>
  <c r="AA549" i="4"/>
  <c r="AB549" i="4"/>
  <c r="AC549" i="4"/>
  <c r="W550" i="4"/>
  <c r="X550" i="4"/>
  <c r="Y550" i="4"/>
  <c r="Z550" i="4"/>
  <c r="AA550" i="4"/>
  <c r="AB550" i="4"/>
  <c r="AC550" i="4"/>
  <c r="W551" i="4"/>
  <c r="X551" i="4"/>
  <c r="Y551" i="4"/>
  <c r="Z551" i="4"/>
  <c r="AA551" i="4"/>
  <c r="AB551" i="4"/>
  <c r="AC551" i="4"/>
  <c r="W552" i="4"/>
  <c r="X552" i="4"/>
  <c r="Y552" i="4"/>
  <c r="Z552" i="4"/>
  <c r="AA552" i="4"/>
  <c r="AB552" i="4"/>
  <c r="AC552" i="4"/>
  <c r="W553" i="4"/>
  <c r="X553" i="4"/>
  <c r="Y553" i="4"/>
  <c r="Z553" i="4"/>
  <c r="AA553" i="4"/>
  <c r="AB553" i="4"/>
  <c r="AC553" i="4"/>
  <c r="W554" i="4"/>
  <c r="X554" i="4"/>
  <c r="Y554" i="4"/>
  <c r="Z554" i="4"/>
  <c r="AA554" i="4"/>
  <c r="AB554" i="4"/>
  <c r="AC554" i="4"/>
  <c r="W555" i="4"/>
  <c r="X555" i="4"/>
  <c r="Y555" i="4"/>
  <c r="Z555" i="4"/>
  <c r="AA555" i="4"/>
  <c r="AB555" i="4"/>
  <c r="AC555" i="4"/>
  <c r="W556" i="4"/>
  <c r="X556" i="4"/>
  <c r="Y556" i="4"/>
  <c r="Z556" i="4"/>
  <c r="AA556" i="4"/>
  <c r="AB556" i="4"/>
  <c r="AC556" i="4"/>
  <c r="W557" i="4"/>
  <c r="X557" i="4"/>
  <c r="Y557" i="4"/>
  <c r="Z557" i="4"/>
  <c r="AA557" i="4"/>
  <c r="AB557" i="4"/>
  <c r="AC557" i="4"/>
  <c r="W558" i="4"/>
  <c r="X558" i="4"/>
  <c r="Y558" i="4"/>
  <c r="Z558" i="4"/>
  <c r="AA558" i="4"/>
  <c r="AB558" i="4"/>
  <c r="AC558" i="4"/>
  <c r="W559" i="4"/>
  <c r="X559" i="4"/>
  <c r="Y559" i="4"/>
  <c r="Z559" i="4"/>
  <c r="AA559" i="4"/>
  <c r="AB559" i="4"/>
  <c r="AC559" i="4"/>
  <c r="W560" i="4"/>
  <c r="X560" i="4"/>
  <c r="Y560" i="4"/>
  <c r="Z560" i="4"/>
  <c r="AA560" i="4"/>
  <c r="AB560" i="4"/>
  <c r="AC560" i="4"/>
  <c r="W561" i="4"/>
  <c r="X561" i="4"/>
  <c r="Y561" i="4"/>
  <c r="Z561" i="4"/>
  <c r="AA561" i="4"/>
  <c r="AB561" i="4"/>
  <c r="AC561" i="4"/>
  <c r="W562" i="4"/>
  <c r="X562" i="4"/>
  <c r="Y562" i="4"/>
  <c r="Z562" i="4"/>
  <c r="AA562" i="4"/>
  <c r="AB562" i="4"/>
  <c r="AC562" i="4"/>
  <c r="W563" i="4"/>
  <c r="X563" i="4"/>
  <c r="Y563" i="4"/>
  <c r="Z563" i="4"/>
  <c r="AA563" i="4"/>
  <c r="AB563" i="4"/>
  <c r="AC563" i="4"/>
  <c r="W564" i="4"/>
  <c r="X564" i="4"/>
  <c r="Y564" i="4"/>
  <c r="Z564" i="4"/>
  <c r="AA564" i="4"/>
  <c r="AB564" i="4"/>
  <c r="AC564" i="4"/>
  <c r="W565" i="4"/>
  <c r="X565" i="4"/>
  <c r="Y565" i="4"/>
  <c r="Z565" i="4"/>
  <c r="AA565" i="4"/>
  <c r="AB565" i="4"/>
  <c r="AC565" i="4"/>
  <c r="W566" i="4"/>
  <c r="X566" i="4"/>
  <c r="Y566" i="4"/>
  <c r="Z566" i="4"/>
  <c r="AA566" i="4"/>
  <c r="AB566" i="4"/>
  <c r="AC566" i="4"/>
  <c r="W567" i="4"/>
  <c r="X567" i="4"/>
  <c r="Y567" i="4"/>
  <c r="Z567" i="4"/>
  <c r="AA567" i="4"/>
  <c r="AB567" i="4"/>
  <c r="AC567" i="4"/>
  <c r="W568" i="4"/>
  <c r="X568" i="4"/>
  <c r="Y568" i="4"/>
  <c r="Z568" i="4"/>
  <c r="AA568" i="4"/>
  <c r="AB568" i="4"/>
  <c r="AC568" i="4"/>
  <c r="W569" i="4"/>
  <c r="X569" i="4"/>
  <c r="Y569" i="4"/>
  <c r="Z569" i="4"/>
  <c r="AA569" i="4"/>
  <c r="AB569" i="4"/>
  <c r="AC569" i="4"/>
  <c r="W570" i="4"/>
  <c r="X570" i="4"/>
  <c r="Y570" i="4"/>
  <c r="Z570" i="4"/>
  <c r="AA570" i="4"/>
  <c r="AB570" i="4"/>
  <c r="AC570" i="4"/>
  <c r="W571" i="4"/>
  <c r="X571" i="4"/>
  <c r="Y571" i="4"/>
  <c r="Z571" i="4"/>
  <c r="AA571" i="4"/>
  <c r="AB571" i="4"/>
  <c r="AC571" i="4"/>
  <c r="W572" i="4"/>
  <c r="X572" i="4"/>
  <c r="Y572" i="4"/>
  <c r="Z572" i="4"/>
  <c r="AA572" i="4"/>
  <c r="AB572" i="4"/>
  <c r="AC572" i="4"/>
  <c r="W573" i="4"/>
  <c r="X573" i="4"/>
  <c r="Y573" i="4"/>
  <c r="Z573" i="4"/>
  <c r="AA573" i="4"/>
  <c r="AB573" i="4"/>
  <c r="AC573" i="4"/>
  <c r="W574" i="4"/>
  <c r="X574" i="4"/>
  <c r="Y574" i="4"/>
  <c r="Z574" i="4"/>
  <c r="AA574" i="4"/>
  <c r="AB574" i="4"/>
  <c r="AC574" i="4"/>
  <c r="W575" i="4"/>
  <c r="X575" i="4"/>
  <c r="Y575" i="4"/>
  <c r="Z575" i="4"/>
  <c r="AA575" i="4"/>
  <c r="AB575" i="4"/>
  <c r="AC575" i="4"/>
  <c r="W576" i="4"/>
  <c r="X576" i="4"/>
  <c r="Y576" i="4"/>
  <c r="Z576" i="4"/>
  <c r="AA576" i="4"/>
  <c r="AB576" i="4"/>
  <c r="AC576" i="4"/>
  <c r="W577" i="4"/>
  <c r="X577" i="4"/>
  <c r="Y577" i="4"/>
  <c r="Z577" i="4"/>
  <c r="AA577" i="4"/>
  <c r="AB577" i="4"/>
  <c r="AC577" i="4"/>
  <c r="W578" i="4"/>
  <c r="X578" i="4"/>
  <c r="Y578" i="4"/>
  <c r="Z578" i="4"/>
  <c r="AA578" i="4"/>
  <c r="AB578" i="4"/>
  <c r="AC578" i="4"/>
  <c r="W579" i="4"/>
  <c r="X579" i="4"/>
  <c r="Y579" i="4"/>
  <c r="Z579" i="4"/>
  <c r="AA579" i="4"/>
  <c r="AB579" i="4"/>
  <c r="AC579" i="4"/>
  <c r="W580" i="4"/>
  <c r="X580" i="4"/>
  <c r="Y580" i="4"/>
  <c r="Z580" i="4"/>
  <c r="AA580" i="4"/>
  <c r="AB580" i="4"/>
  <c r="AC580" i="4"/>
  <c r="W581" i="4"/>
  <c r="X581" i="4"/>
  <c r="Y581" i="4"/>
  <c r="Z581" i="4"/>
  <c r="AA581" i="4"/>
  <c r="AB581" i="4"/>
  <c r="AC581" i="4"/>
  <c r="W582" i="4"/>
  <c r="X582" i="4"/>
  <c r="Y582" i="4"/>
  <c r="Z582" i="4"/>
  <c r="AA582" i="4"/>
  <c r="AB582" i="4"/>
  <c r="AC582" i="4"/>
  <c r="W583" i="4"/>
  <c r="X583" i="4"/>
  <c r="Y583" i="4"/>
  <c r="Z583" i="4"/>
  <c r="AA583" i="4"/>
  <c r="AB583" i="4"/>
  <c r="AC583" i="4"/>
  <c r="W584" i="4"/>
  <c r="X584" i="4"/>
  <c r="Y584" i="4"/>
  <c r="Z584" i="4"/>
  <c r="AA584" i="4"/>
  <c r="AB584" i="4"/>
  <c r="AC584" i="4"/>
  <c r="W585" i="4"/>
  <c r="X585" i="4"/>
  <c r="Y585" i="4"/>
  <c r="Z585" i="4"/>
  <c r="AA585" i="4"/>
  <c r="AB585" i="4"/>
  <c r="AC585" i="4"/>
  <c r="W586" i="4"/>
  <c r="X586" i="4"/>
  <c r="Y586" i="4"/>
  <c r="Z586" i="4"/>
  <c r="AA586" i="4"/>
  <c r="AB586" i="4"/>
  <c r="AC586" i="4"/>
  <c r="W587" i="4"/>
  <c r="X587" i="4"/>
  <c r="Y587" i="4"/>
  <c r="Z587" i="4"/>
  <c r="AA587" i="4"/>
  <c r="AB587" i="4"/>
  <c r="AC587" i="4"/>
  <c r="W588" i="4"/>
  <c r="X588" i="4"/>
  <c r="Y588" i="4"/>
  <c r="Z588" i="4"/>
  <c r="AA588" i="4"/>
  <c r="AB588" i="4"/>
  <c r="AC588" i="4"/>
  <c r="W589" i="4"/>
  <c r="X589" i="4"/>
  <c r="Y589" i="4"/>
  <c r="Z589" i="4"/>
  <c r="AA589" i="4"/>
  <c r="AB589" i="4"/>
  <c r="AC589" i="4"/>
  <c r="W590" i="4"/>
  <c r="X590" i="4"/>
  <c r="Y590" i="4"/>
  <c r="Z590" i="4"/>
  <c r="AA590" i="4"/>
  <c r="AB590" i="4"/>
  <c r="AC590" i="4"/>
  <c r="W591" i="4"/>
  <c r="X591" i="4"/>
  <c r="Y591" i="4"/>
  <c r="Z591" i="4"/>
  <c r="AA591" i="4"/>
  <c r="AB591" i="4"/>
  <c r="AC591" i="4"/>
  <c r="W592" i="4"/>
  <c r="X592" i="4"/>
  <c r="Y592" i="4"/>
  <c r="Z592" i="4"/>
  <c r="AA592" i="4"/>
  <c r="AB592" i="4"/>
  <c r="AC592" i="4"/>
  <c r="W593" i="4"/>
  <c r="X593" i="4"/>
  <c r="Y593" i="4"/>
  <c r="Z593" i="4"/>
  <c r="AA593" i="4"/>
  <c r="AB593" i="4"/>
  <c r="AC593" i="4"/>
  <c r="W594" i="4"/>
  <c r="X594" i="4"/>
  <c r="Y594" i="4"/>
  <c r="Z594" i="4"/>
  <c r="AA594" i="4"/>
  <c r="AB594" i="4"/>
  <c r="AC594" i="4"/>
  <c r="W595" i="4"/>
  <c r="X595" i="4"/>
  <c r="Y595" i="4"/>
  <c r="Z595" i="4"/>
  <c r="AA595" i="4"/>
  <c r="AB595" i="4"/>
  <c r="AC595" i="4"/>
  <c r="W596" i="4"/>
  <c r="X596" i="4"/>
  <c r="Y596" i="4"/>
  <c r="Z596" i="4"/>
  <c r="AA596" i="4"/>
  <c r="AB596" i="4"/>
  <c r="AC596" i="4"/>
  <c r="W597" i="4"/>
  <c r="X597" i="4"/>
  <c r="Y597" i="4"/>
  <c r="Z597" i="4"/>
  <c r="AA597" i="4"/>
  <c r="AB597" i="4"/>
  <c r="AC597" i="4"/>
  <c r="W598" i="4"/>
  <c r="X598" i="4"/>
  <c r="Y598" i="4"/>
  <c r="Z598" i="4"/>
  <c r="AA598" i="4"/>
  <c r="AB598" i="4"/>
  <c r="AC598" i="4"/>
  <c r="W599" i="4"/>
  <c r="X599" i="4"/>
  <c r="Y599" i="4"/>
  <c r="Z599" i="4"/>
  <c r="AA599" i="4"/>
  <c r="AB599" i="4"/>
  <c r="AC599" i="4"/>
  <c r="W600" i="4"/>
  <c r="X600" i="4"/>
  <c r="Y600" i="4"/>
  <c r="Z600" i="4"/>
  <c r="AA600" i="4"/>
  <c r="AB600" i="4"/>
  <c r="AC600" i="4"/>
  <c r="W601" i="4"/>
  <c r="X601" i="4"/>
  <c r="Y601" i="4"/>
  <c r="Z601" i="4"/>
  <c r="AA601" i="4"/>
  <c r="AB601" i="4"/>
  <c r="AC601" i="4"/>
  <c r="W602" i="4"/>
  <c r="X602" i="4"/>
  <c r="Y602" i="4"/>
  <c r="Z602" i="4"/>
  <c r="AA602" i="4"/>
  <c r="AB602" i="4"/>
  <c r="AC602" i="4"/>
  <c r="W603" i="4"/>
  <c r="X603" i="4"/>
  <c r="Y603" i="4"/>
  <c r="Z603" i="4"/>
  <c r="AA603" i="4"/>
  <c r="AB603" i="4"/>
  <c r="AC603" i="4"/>
  <c r="W604" i="4"/>
  <c r="X604" i="4"/>
  <c r="Y604" i="4"/>
  <c r="Z604" i="4"/>
  <c r="AA604" i="4"/>
  <c r="AB604" i="4"/>
  <c r="AC604" i="4"/>
  <c r="W605" i="4"/>
  <c r="X605" i="4"/>
  <c r="Y605" i="4"/>
  <c r="Z605" i="4"/>
  <c r="AA605" i="4"/>
  <c r="AB605" i="4"/>
  <c r="AC605" i="4"/>
  <c r="W606" i="4"/>
  <c r="X606" i="4"/>
  <c r="Y606" i="4"/>
  <c r="Z606" i="4"/>
  <c r="AA606" i="4"/>
  <c r="AB606" i="4"/>
  <c r="AC606" i="4"/>
  <c r="W607" i="4"/>
  <c r="X607" i="4"/>
  <c r="Y607" i="4"/>
  <c r="Z607" i="4"/>
  <c r="AA607" i="4"/>
  <c r="AB607" i="4"/>
  <c r="AC607" i="4"/>
  <c r="W608" i="4"/>
  <c r="X608" i="4"/>
  <c r="Y608" i="4"/>
  <c r="Z608" i="4"/>
  <c r="AA608" i="4"/>
  <c r="AB608" i="4"/>
  <c r="AC608" i="4"/>
  <c r="W609" i="4"/>
  <c r="X609" i="4"/>
  <c r="Y609" i="4"/>
  <c r="Z609" i="4"/>
  <c r="AA609" i="4"/>
  <c r="AB609" i="4"/>
  <c r="AC609" i="4"/>
  <c r="W610" i="4"/>
  <c r="X610" i="4"/>
  <c r="Y610" i="4"/>
  <c r="Z610" i="4"/>
  <c r="AA610" i="4"/>
  <c r="AB610" i="4"/>
  <c r="AC610" i="4"/>
  <c r="W611" i="4"/>
  <c r="X611" i="4"/>
  <c r="Y611" i="4"/>
  <c r="Z611" i="4"/>
  <c r="AA611" i="4"/>
  <c r="AB611" i="4"/>
  <c r="AC611" i="4"/>
  <c r="W612" i="4"/>
  <c r="X612" i="4"/>
  <c r="Y612" i="4"/>
  <c r="Z612" i="4"/>
  <c r="AA612" i="4"/>
  <c r="AB612" i="4"/>
  <c r="AC612" i="4"/>
  <c r="W613" i="4"/>
  <c r="X613" i="4"/>
  <c r="Y613" i="4"/>
  <c r="Z613" i="4"/>
  <c r="AA613" i="4"/>
  <c r="AB613" i="4"/>
  <c r="AC613" i="4"/>
  <c r="W614" i="4"/>
  <c r="X614" i="4"/>
  <c r="Y614" i="4"/>
  <c r="Z614" i="4"/>
  <c r="AA614" i="4"/>
  <c r="AB614" i="4"/>
  <c r="AC614" i="4"/>
  <c r="W615" i="4"/>
  <c r="X615" i="4"/>
  <c r="Y615" i="4"/>
  <c r="Z615" i="4"/>
  <c r="AA615" i="4"/>
  <c r="AB615" i="4"/>
  <c r="AC615" i="4"/>
  <c r="W616" i="4"/>
  <c r="X616" i="4"/>
  <c r="Y616" i="4"/>
  <c r="Z616" i="4"/>
  <c r="AA616" i="4"/>
  <c r="AB616" i="4"/>
  <c r="AC616" i="4"/>
  <c r="W617" i="4"/>
  <c r="X617" i="4"/>
  <c r="Y617" i="4"/>
  <c r="Z617" i="4"/>
  <c r="AA617" i="4"/>
  <c r="AB617" i="4"/>
  <c r="AC617" i="4"/>
  <c r="W618" i="4"/>
  <c r="X618" i="4"/>
  <c r="Y618" i="4"/>
  <c r="Z618" i="4"/>
  <c r="AA618" i="4"/>
  <c r="AB618" i="4"/>
  <c r="AC618" i="4"/>
  <c r="W619" i="4"/>
  <c r="X619" i="4"/>
  <c r="Y619" i="4"/>
  <c r="Z619" i="4"/>
  <c r="AA619" i="4"/>
  <c r="AB619" i="4"/>
  <c r="AC619" i="4"/>
  <c r="W620" i="4"/>
  <c r="X620" i="4"/>
  <c r="Y620" i="4"/>
  <c r="Z620" i="4"/>
  <c r="AA620" i="4"/>
  <c r="AB620" i="4"/>
  <c r="AC620" i="4"/>
  <c r="W621" i="4"/>
  <c r="X621" i="4"/>
  <c r="Y621" i="4"/>
  <c r="Z621" i="4"/>
  <c r="AA621" i="4"/>
  <c r="AB621" i="4"/>
  <c r="AC621" i="4"/>
  <c r="W622" i="4"/>
  <c r="X622" i="4"/>
  <c r="Y622" i="4"/>
  <c r="Z622" i="4"/>
  <c r="AA622" i="4"/>
  <c r="AB622" i="4"/>
  <c r="AC622" i="4"/>
  <c r="W623" i="4"/>
  <c r="X623" i="4"/>
  <c r="Y623" i="4"/>
  <c r="Z623" i="4"/>
  <c r="AA623" i="4"/>
  <c r="AB623" i="4"/>
  <c r="AC623" i="4"/>
  <c r="W624" i="4"/>
  <c r="X624" i="4"/>
  <c r="Y624" i="4"/>
  <c r="Z624" i="4"/>
  <c r="AA624" i="4"/>
  <c r="AB624" i="4"/>
  <c r="AC624" i="4"/>
  <c r="W625" i="4"/>
  <c r="X625" i="4"/>
  <c r="Y625" i="4"/>
  <c r="Z625" i="4"/>
  <c r="AA625" i="4"/>
  <c r="AB625" i="4"/>
  <c r="AC625" i="4"/>
  <c r="W626" i="4"/>
  <c r="X626" i="4"/>
  <c r="Y626" i="4"/>
  <c r="Z626" i="4"/>
  <c r="AA626" i="4"/>
  <c r="AB626" i="4"/>
  <c r="AC626" i="4"/>
  <c r="W627" i="4"/>
  <c r="X627" i="4"/>
  <c r="Y627" i="4"/>
  <c r="Z627" i="4"/>
  <c r="AA627" i="4"/>
  <c r="AB627" i="4"/>
  <c r="AC627" i="4"/>
  <c r="W628" i="4"/>
  <c r="X628" i="4"/>
  <c r="Y628" i="4"/>
  <c r="Z628" i="4"/>
  <c r="AA628" i="4"/>
  <c r="AB628" i="4"/>
  <c r="AC628" i="4"/>
  <c r="W629" i="4"/>
  <c r="X629" i="4"/>
  <c r="Y629" i="4"/>
  <c r="Z629" i="4"/>
  <c r="AA629" i="4"/>
  <c r="AB629" i="4"/>
  <c r="AC629" i="4"/>
  <c r="W630" i="4"/>
  <c r="X630" i="4"/>
  <c r="Y630" i="4"/>
  <c r="Z630" i="4"/>
  <c r="AA630" i="4"/>
  <c r="AB630" i="4"/>
  <c r="AC630" i="4"/>
  <c r="W631" i="4"/>
  <c r="X631" i="4"/>
  <c r="Y631" i="4"/>
  <c r="Z631" i="4"/>
  <c r="AA631" i="4"/>
  <c r="AB631" i="4"/>
  <c r="AC631" i="4"/>
  <c r="W632" i="4"/>
  <c r="X632" i="4"/>
  <c r="Y632" i="4"/>
  <c r="Z632" i="4"/>
  <c r="AA632" i="4"/>
  <c r="AB632" i="4"/>
  <c r="AC632" i="4"/>
  <c r="W633" i="4"/>
  <c r="X633" i="4"/>
  <c r="Y633" i="4"/>
  <c r="Z633" i="4"/>
  <c r="AA633" i="4"/>
  <c r="AB633" i="4"/>
  <c r="AC633" i="4"/>
  <c r="W634" i="4"/>
  <c r="X634" i="4"/>
  <c r="Y634" i="4"/>
  <c r="Z634" i="4"/>
  <c r="AA634" i="4"/>
  <c r="AB634" i="4"/>
  <c r="AC634" i="4"/>
  <c r="W635" i="4"/>
  <c r="X635" i="4"/>
  <c r="Y635" i="4"/>
  <c r="Z635" i="4"/>
  <c r="AA635" i="4"/>
  <c r="AB635" i="4"/>
  <c r="AC635" i="4"/>
  <c r="W636" i="4"/>
  <c r="X636" i="4"/>
  <c r="Y636" i="4"/>
  <c r="Z636" i="4"/>
  <c r="AA636" i="4"/>
  <c r="AB636" i="4"/>
  <c r="AC636" i="4"/>
  <c r="W637" i="4"/>
  <c r="X637" i="4"/>
  <c r="Y637" i="4"/>
  <c r="Z637" i="4"/>
  <c r="AA637" i="4"/>
  <c r="AB637" i="4"/>
  <c r="AC637" i="4"/>
  <c r="W638" i="4"/>
  <c r="X638" i="4"/>
  <c r="Y638" i="4"/>
  <c r="Z638" i="4"/>
  <c r="AA638" i="4"/>
  <c r="AB638" i="4"/>
  <c r="AC638" i="4"/>
  <c r="W639" i="4"/>
  <c r="X639" i="4"/>
  <c r="Y639" i="4"/>
  <c r="Z639" i="4"/>
  <c r="AA639" i="4"/>
  <c r="AB639" i="4"/>
  <c r="AC639" i="4"/>
  <c r="W640" i="4"/>
  <c r="X640" i="4"/>
  <c r="Y640" i="4"/>
  <c r="Z640" i="4"/>
  <c r="AA640" i="4"/>
  <c r="AB640" i="4"/>
  <c r="AC640" i="4"/>
  <c r="W641" i="4"/>
  <c r="X641" i="4"/>
  <c r="Y641" i="4"/>
  <c r="Z641" i="4"/>
  <c r="AA641" i="4"/>
  <c r="AB641" i="4"/>
  <c r="AC641" i="4"/>
  <c r="W642" i="4"/>
  <c r="X642" i="4"/>
  <c r="Y642" i="4"/>
  <c r="Z642" i="4"/>
  <c r="AA642" i="4"/>
  <c r="AB642" i="4"/>
  <c r="AC642" i="4"/>
  <c r="W643" i="4"/>
  <c r="X643" i="4"/>
  <c r="Y643" i="4"/>
  <c r="Z643" i="4"/>
  <c r="AA643" i="4"/>
  <c r="AB643" i="4"/>
  <c r="AC643" i="4"/>
  <c r="W644" i="4"/>
  <c r="X644" i="4"/>
  <c r="Y644" i="4"/>
  <c r="Z644" i="4"/>
  <c r="AA644" i="4"/>
  <c r="AB644" i="4"/>
  <c r="AC644" i="4"/>
  <c r="W645" i="4"/>
  <c r="X645" i="4"/>
  <c r="Y645" i="4"/>
  <c r="Z645" i="4"/>
  <c r="AA645" i="4"/>
  <c r="AB645" i="4"/>
  <c r="AC645" i="4"/>
  <c r="W646" i="4"/>
  <c r="X646" i="4"/>
  <c r="Y646" i="4"/>
  <c r="Z646" i="4"/>
  <c r="AA646" i="4"/>
  <c r="AB646" i="4"/>
  <c r="AC646" i="4"/>
  <c r="W647" i="4"/>
  <c r="X647" i="4"/>
  <c r="Y647" i="4"/>
  <c r="Z647" i="4"/>
  <c r="AA647" i="4"/>
  <c r="AB647" i="4"/>
  <c r="AC647" i="4"/>
  <c r="W648" i="4"/>
  <c r="X648" i="4"/>
  <c r="Y648" i="4"/>
  <c r="Z648" i="4"/>
  <c r="AA648" i="4"/>
  <c r="AB648" i="4"/>
  <c r="AC648" i="4"/>
  <c r="W649" i="4"/>
  <c r="X649" i="4"/>
  <c r="Y649" i="4"/>
  <c r="Z649" i="4"/>
  <c r="AA649" i="4"/>
  <c r="AB649" i="4"/>
  <c r="AC649" i="4"/>
  <c r="W650" i="4"/>
  <c r="X650" i="4"/>
  <c r="Y650" i="4"/>
  <c r="Z650" i="4"/>
  <c r="AA650" i="4"/>
  <c r="AB650" i="4"/>
  <c r="AC650" i="4"/>
  <c r="W651" i="4"/>
  <c r="X651" i="4"/>
  <c r="Y651" i="4"/>
  <c r="Z651" i="4"/>
  <c r="AA651" i="4"/>
  <c r="AB651" i="4"/>
  <c r="AC651" i="4"/>
  <c r="W652" i="4"/>
  <c r="X652" i="4"/>
  <c r="Y652" i="4"/>
  <c r="Z652" i="4"/>
  <c r="AA652" i="4"/>
  <c r="AB652" i="4"/>
  <c r="AC652" i="4"/>
  <c r="W653" i="4"/>
  <c r="X653" i="4"/>
  <c r="Y653" i="4"/>
  <c r="Z653" i="4"/>
  <c r="AA653" i="4"/>
  <c r="AB653" i="4"/>
  <c r="AC653" i="4"/>
  <c r="W654" i="4"/>
  <c r="X654" i="4"/>
  <c r="Y654" i="4"/>
  <c r="Z654" i="4"/>
  <c r="AA654" i="4"/>
  <c r="AB654" i="4"/>
  <c r="AC654" i="4"/>
  <c r="W655" i="4"/>
  <c r="X655" i="4"/>
  <c r="Y655" i="4"/>
  <c r="Z655" i="4"/>
  <c r="AA655" i="4"/>
  <c r="AB655" i="4"/>
  <c r="AC655" i="4"/>
  <c r="W656" i="4"/>
  <c r="X656" i="4"/>
  <c r="Y656" i="4"/>
  <c r="Z656" i="4"/>
  <c r="AA656" i="4"/>
  <c r="AB656" i="4"/>
  <c r="AC656" i="4"/>
  <c r="W657" i="4"/>
  <c r="X657" i="4"/>
  <c r="Y657" i="4"/>
  <c r="Z657" i="4"/>
  <c r="AA657" i="4"/>
  <c r="AB657" i="4"/>
  <c r="AC657" i="4"/>
  <c r="W658" i="4"/>
  <c r="X658" i="4"/>
  <c r="Y658" i="4"/>
  <c r="Z658" i="4"/>
  <c r="AA658" i="4"/>
  <c r="AB658" i="4"/>
  <c r="AC658" i="4"/>
  <c r="W659" i="4"/>
  <c r="X659" i="4"/>
  <c r="Y659" i="4"/>
  <c r="Z659" i="4"/>
  <c r="AA659" i="4"/>
  <c r="AB659" i="4"/>
  <c r="AC659" i="4"/>
  <c r="W660" i="4"/>
  <c r="X660" i="4"/>
  <c r="Y660" i="4"/>
  <c r="Z660" i="4"/>
  <c r="AA660" i="4"/>
  <c r="AB660" i="4"/>
  <c r="AC660" i="4"/>
  <c r="W661" i="4"/>
  <c r="X661" i="4"/>
  <c r="Y661" i="4"/>
  <c r="Z661" i="4"/>
  <c r="AA661" i="4"/>
  <c r="AB661" i="4"/>
  <c r="AC661" i="4"/>
  <c r="W662" i="4"/>
  <c r="X662" i="4"/>
  <c r="Y662" i="4"/>
  <c r="Z662" i="4"/>
  <c r="AA662" i="4"/>
  <c r="AB662" i="4"/>
  <c r="AC662" i="4"/>
  <c r="W663" i="4"/>
  <c r="X663" i="4"/>
  <c r="Y663" i="4"/>
  <c r="Z663" i="4"/>
  <c r="AA663" i="4"/>
  <c r="AB663" i="4"/>
  <c r="AC663" i="4"/>
  <c r="W664" i="4"/>
  <c r="X664" i="4"/>
  <c r="Y664" i="4"/>
  <c r="Z664" i="4"/>
  <c r="AA664" i="4"/>
  <c r="AB664" i="4"/>
  <c r="AC664" i="4"/>
  <c r="W665" i="4"/>
  <c r="X665" i="4"/>
  <c r="Y665" i="4"/>
  <c r="Z665" i="4"/>
  <c r="AA665" i="4"/>
  <c r="AB665" i="4"/>
  <c r="AC665" i="4"/>
  <c r="W666" i="4"/>
  <c r="X666" i="4"/>
  <c r="Y666" i="4"/>
  <c r="Z666" i="4"/>
  <c r="AA666" i="4"/>
  <c r="AB666" i="4"/>
  <c r="AC666" i="4"/>
  <c r="W667" i="4"/>
  <c r="X667" i="4"/>
  <c r="Y667" i="4"/>
  <c r="Z667" i="4"/>
  <c r="AA667" i="4"/>
  <c r="AB667" i="4"/>
  <c r="AC667" i="4"/>
  <c r="W668" i="4"/>
  <c r="X668" i="4"/>
  <c r="Y668" i="4"/>
  <c r="Z668" i="4"/>
  <c r="AA668" i="4"/>
  <c r="AB668" i="4"/>
  <c r="AC668" i="4"/>
  <c r="W669" i="4"/>
  <c r="X669" i="4"/>
  <c r="Y669" i="4"/>
  <c r="Z669" i="4"/>
  <c r="AA669" i="4"/>
  <c r="AB669" i="4"/>
  <c r="AC669" i="4"/>
  <c r="W670" i="4"/>
  <c r="X670" i="4"/>
  <c r="Y670" i="4"/>
  <c r="Z670" i="4"/>
  <c r="AA670" i="4"/>
  <c r="AB670" i="4"/>
  <c r="AC670" i="4"/>
  <c r="W671" i="4"/>
  <c r="X671" i="4"/>
  <c r="Y671" i="4"/>
  <c r="Z671" i="4"/>
  <c r="AA671" i="4"/>
  <c r="AB671" i="4"/>
  <c r="AC671" i="4"/>
  <c r="W672" i="4"/>
  <c r="X672" i="4"/>
  <c r="Y672" i="4"/>
  <c r="Z672" i="4"/>
  <c r="AA672" i="4"/>
  <c r="AB672" i="4"/>
  <c r="AC672" i="4"/>
  <c r="W673" i="4"/>
  <c r="X673" i="4"/>
  <c r="Y673" i="4"/>
  <c r="Z673" i="4"/>
  <c r="AA673" i="4"/>
  <c r="AB673" i="4"/>
  <c r="AC673" i="4"/>
  <c r="W674" i="4"/>
  <c r="X674" i="4"/>
  <c r="Y674" i="4"/>
  <c r="Z674" i="4"/>
  <c r="AA674" i="4"/>
  <c r="AB674" i="4"/>
  <c r="AC674" i="4"/>
  <c r="W675" i="4"/>
  <c r="X675" i="4"/>
  <c r="Y675" i="4"/>
  <c r="Z675" i="4"/>
  <c r="AA675" i="4"/>
  <c r="AB675" i="4"/>
  <c r="AC675" i="4"/>
  <c r="W676" i="4"/>
  <c r="X676" i="4"/>
  <c r="Y676" i="4"/>
  <c r="Z676" i="4"/>
  <c r="AA676" i="4"/>
  <c r="AB676" i="4"/>
  <c r="AC676" i="4"/>
  <c r="W677" i="4"/>
  <c r="X677" i="4"/>
  <c r="Y677" i="4"/>
  <c r="Z677" i="4"/>
  <c r="AA677" i="4"/>
  <c r="AB677" i="4"/>
  <c r="AC677" i="4"/>
  <c r="W678" i="4"/>
  <c r="X678" i="4"/>
  <c r="Y678" i="4"/>
  <c r="Z678" i="4"/>
  <c r="AA678" i="4"/>
  <c r="AB678" i="4"/>
  <c r="AC678" i="4"/>
  <c r="W679" i="4"/>
  <c r="X679" i="4"/>
  <c r="Y679" i="4"/>
  <c r="Z679" i="4"/>
  <c r="AA679" i="4"/>
  <c r="AB679" i="4"/>
  <c r="AC679" i="4"/>
  <c r="W680" i="4"/>
  <c r="X680" i="4"/>
  <c r="Y680" i="4"/>
  <c r="Z680" i="4"/>
  <c r="AA680" i="4"/>
  <c r="AB680" i="4"/>
  <c r="AC680" i="4"/>
  <c r="W681" i="4"/>
  <c r="X681" i="4"/>
  <c r="Y681" i="4"/>
  <c r="Z681" i="4"/>
  <c r="AA681" i="4"/>
  <c r="AB681" i="4"/>
  <c r="AC681" i="4"/>
  <c r="W682" i="4"/>
  <c r="X682" i="4"/>
  <c r="Y682" i="4"/>
  <c r="Z682" i="4"/>
  <c r="AA682" i="4"/>
  <c r="AB682" i="4"/>
  <c r="AC682" i="4"/>
  <c r="W683" i="4"/>
  <c r="X683" i="4"/>
  <c r="Y683" i="4"/>
  <c r="Z683" i="4"/>
  <c r="AA683" i="4"/>
  <c r="AB683" i="4"/>
  <c r="AC683" i="4"/>
  <c r="W684" i="4"/>
  <c r="X684" i="4"/>
  <c r="Y684" i="4"/>
  <c r="Z684" i="4"/>
  <c r="AA684" i="4"/>
  <c r="AB684" i="4"/>
  <c r="AC684" i="4"/>
  <c r="W685" i="4"/>
  <c r="X685" i="4"/>
  <c r="Y685" i="4"/>
  <c r="Z685" i="4"/>
  <c r="AA685" i="4"/>
  <c r="AB685" i="4"/>
  <c r="AC685" i="4"/>
  <c r="W686" i="4"/>
  <c r="X686" i="4"/>
  <c r="Y686" i="4"/>
  <c r="Z686" i="4"/>
  <c r="AA686" i="4"/>
  <c r="AB686" i="4"/>
  <c r="AC686" i="4"/>
  <c r="W687" i="4"/>
  <c r="X687" i="4"/>
  <c r="Y687" i="4"/>
  <c r="Z687" i="4"/>
  <c r="AA687" i="4"/>
  <c r="AB687" i="4"/>
  <c r="AC687" i="4"/>
  <c r="W688" i="4"/>
  <c r="X688" i="4"/>
  <c r="Y688" i="4"/>
  <c r="Z688" i="4"/>
  <c r="AA688" i="4"/>
  <c r="AB688" i="4"/>
  <c r="AC688" i="4"/>
  <c r="W689" i="4"/>
  <c r="X689" i="4"/>
  <c r="Y689" i="4"/>
  <c r="Z689" i="4"/>
  <c r="AA689" i="4"/>
  <c r="AB689" i="4"/>
  <c r="AC689" i="4"/>
  <c r="W690" i="4"/>
  <c r="X690" i="4"/>
  <c r="Y690" i="4"/>
  <c r="Z690" i="4"/>
  <c r="AA690" i="4"/>
  <c r="AB690" i="4"/>
  <c r="AC690" i="4"/>
  <c r="W691" i="4"/>
  <c r="X691" i="4"/>
  <c r="Y691" i="4"/>
  <c r="Z691" i="4"/>
  <c r="AA691" i="4"/>
  <c r="AB691" i="4"/>
  <c r="AC691" i="4"/>
  <c r="W692" i="4"/>
  <c r="X692" i="4"/>
  <c r="Y692" i="4"/>
  <c r="Z692" i="4"/>
  <c r="AA692" i="4"/>
  <c r="AB692" i="4"/>
  <c r="AC692" i="4"/>
  <c r="W693" i="4"/>
  <c r="X693" i="4"/>
  <c r="Y693" i="4"/>
  <c r="Z693" i="4"/>
  <c r="AA693" i="4"/>
  <c r="AB693" i="4"/>
  <c r="AC693" i="4"/>
  <c r="W694" i="4"/>
  <c r="X694" i="4"/>
  <c r="Y694" i="4"/>
  <c r="Z694" i="4"/>
  <c r="AA694" i="4"/>
  <c r="AB694" i="4"/>
  <c r="AC694" i="4"/>
  <c r="W695" i="4"/>
  <c r="X695" i="4"/>
  <c r="Y695" i="4"/>
  <c r="Z695" i="4"/>
  <c r="AA695" i="4"/>
  <c r="AB695" i="4"/>
  <c r="AC695" i="4"/>
  <c r="W696" i="4"/>
  <c r="X696" i="4"/>
  <c r="Y696" i="4"/>
  <c r="Z696" i="4"/>
  <c r="AA696" i="4"/>
  <c r="AB696" i="4"/>
  <c r="AC696" i="4"/>
  <c r="W697" i="4"/>
  <c r="X697" i="4"/>
  <c r="Y697" i="4"/>
  <c r="Z697" i="4"/>
  <c r="AA697" i="4"/>
  <c r="AB697" i="4"/>
  <c r="AC697" i="4"/>
  <c r="W698" i="4"/>
  <c r="X698" i="4"/>
  <c r="Y698" i="4"/>
  <c r="Z698" i="4"/>
  <c r="AA698" i="4"/>
  <c r="AB698" i="4"/>
  <c r="AC698" i="4"/>
  <c r="W699" i="4"/>
  <c r="X699" i="4"/>
  <c r="Y699" i="4"/>
  <c r="Z699" i="4"/>
  <c r="AA699" i="4"/>
  <c r="AB699" i="4"/>
  <c r="AC699" i="4"/>
  <c r="W700" i="4"/>
  <c r="X700" i="4"/>
  <c r="Y700" i="4"/>
  <c r="Z700" i="4"/>
  <c r="AA700" i="4"/>
  <c r="AB700" i="4"/>
  <c r="AC700" i="4"/>
  <c r="W701" i="4"/>
  <c r="X701" i="4"/>
  <c r="Y701" i="4"/>
  <c r="Z701" i="4"/>
  <c r="AA701" i="4"/>
  <c r="AB701" i="4"/>
  <c r="AC701" i="4"/>
  <c r="W702" i="4"/>
  <c r="X702" i="4"/>
  <c r="Y702" i="4"/>
  <c r="Z702" i="4"/>
  <c r="AA702" i="4"/>
  <c r="AB702" i="4"/>
  <c r="AC702" i="4"/>
  <c r="W703" i="4"/>
  <c r="X703" i="4"/>
  <c r="Y703" i="4"/>
  <c r="Z703" i="4"/>
  <c r="AA703" i="4"/>
  <c r="AB703" i="4"/>
  <c r="AC703" i="4"/>
  <c r="W704" i="4"/>
  <c r="X704" i="4"/>
  <c r="Y704" i="4"/>
  <c r="Z704" i="4"/>
  <c r="AA704" i="4"/>
  <c r="AB704" i="4"/>
  <c r="AC704" i="4"/>
  <c r="W705" i="4"/>
  <c r="X705" i="4"/>
  <c r="Y705" i="4"/>
  <c r="Z705" i="4"/>
  <c r="AA705" i="4"/>
  <c r="AB705" i="4"/>
  <c r="AC705" i="4"/>
  <c r="W706" i="4"/>
  <c r="X706" i="4"/>
  <c r="Y706" i="4"/>
  <c r="Z706" i="4"/>
  <c r="AA706" i="4"/>
  <c r="AB706" i="4"/>
  <c r="AC706" i="4"/>
  <c r="W707" i="4"/>
  <c r="X707" i="4"/>
  <c r="Y707" i="4"/>
  <c r="Z707" i="4"/>
  <c r="AA707" i="4"/>
  <c r="AB707" i="4"/>
  <c r="AC707" i="4"/>
  <c r="W708" i="4"/>
  <c r="X708" i="4"/>
  <c r="Y708" i="4"/>
  <c r="Z708" i="4"/>
  <c r="AA708" i="4"/>
  <c r="AB708" i="4"/>
  <c r="AC708" i="4"/>
  <c r="W709" i="4"/>
  <c r="X709" i="4"/>
  <c r="Y709" i="4"/>
  <c r="Z709" i="4"/>
  <c r="AA709" i="4"/>
  <c r="AB709" i="4"/>
  <c r="AC709" i="4"/>
  <c r="W710" i="4"/>
  <c r="X710" i="4"/>
  <c r="Y710" i="4"/>
  <c r="Z710" i="4"/>
  <c r="AA710" i="4"/>
  <c r="AB710" i="4"/>
  <c r="AC710" i="4"/>
  <c r="W711" i="4"/>
  <c r="X711" i="4"/>
  <c r="Y711" i="4"/>
  <c r="Z711" i="4"/>
  <c r="AA711" i="4"/>
  <c r="AB711" i="4"/>
  <c r="AC711" i="4"/>
  <c r="W712" i="4"/>
  <c r="X712" i="4"/>
  <c r="Y712" i="4"/>
  <c r="Z712" i="4"/>
  <c r="AA712" i="4"/>
  <c r="AB712" i="4"/>
  <c r="AC712" i="4"/>
  <c r="W713" i="4"/>
  <c r="X713" i="4"/>
  <c r="Y713" i="4"/>
  <c r="Z713" i="4"/>
  <c r="AA713" i="4"/>
  <c r="AB713" i="4"/>
  <c r="AC713" i="4"/>
  <c r="W714" i="4"/>
  <c r="X714" i="4"/>
  <c r="Y714" i="4"/>
  <c r="Z714" i="4"/>
  <c r="AA714" i="4"/>
  <c r="AB714" i="4"/>
  <c r="AC714" i="4"/>
  <c r="W715" i="4"/>
  <c r="X715" i="4"/>
  <c r="Y715" i="4"/>
  <c r="Z715" i="4"/>
  <c r="AA715" i="4"/>
  <c r="AB715" i="4"/>
  <c r="AC715" i="4"/>
  <c r="W716" i="4"/>
  <c r="X716" i="4"/>
  <c r="Y716" i="4"/>
  <c r="Z716" i="4"/>
  <c r="AA716" i="4"/>
  <c r="AB716" i="4"/>
  <c r="AC716" i="4"/>
  <c r="W717" i="4"/>
  <c r="X717" i="4"/>
  <c r="Y717" i="4"/>
  <c r="Z717" i="4"/>
  <c r="AA717" i="4"/>
  <c r="AB717" i="4"/>
  <c r="AC717" i="4"/>
  <c r="W718" i="4"/>
  <c r="X718" i="4"/>
  <c r="Y718" i="4"/>
  <c r="Z718" i="4"/>
  <c r="AA718" i="4"/>
  <c r="AB718" i="4"/>
  <c r="AC718" i="4"/>
  <c r="W719" i="4"/>
  <c r="X719" i="4"/>
  <c r="Y719" i="4"/>
  <c r="Z719" i="4"/>
  <c r="AA719" i="4"/>
  <c r="AB719" i="4"/>
  <c r="AC719" i="4"/>
  <c r="W720" i="4"/>
  <c r="X720" i="4"/>
  <c r="Y720" i="4"/>
  <c r="Z720" i="4"/>
  <c r="AA720" i="4"/>
  <c r="AB720" i="4"/>
  <c r="AC720" i="4"/>
  <c r="W721" i="4"/>
  <c r="X721" i="4"/>
  <c r="Y721" i="4"/>
  <c r="Z721" i="4"/>
  <c r="AA721" i="4"/>
  <c r="AB721" i="4"/>
  <c r="AC721" i="4"/>
  <c r="W722" i="4"/>
  <c r="X722" i="4"/>
  <c r="Y722" i="4"/>
  <c r="Z722" i="4"/>
  <c r="AA722" i="4"/>
  <c r="AB722" i="4"/>
  <c r="AC722" i="4"/>
  <c r="W723" i="4"/>
  <c r="X723" i="4"/>
  <c r="Y723" i="4"/>
  <c r="Z723" i="4"/>
  <c r="AA723" i="4"/>
  <c r="AB723" i="4"/>
  <c r="AC723" i="4"/>
  <c r="W724" i="4"/>
  <c r="X724" i="4"/>
  <c r="Y724" i="4"/>
  <c r="Z724" i="4"/>
  <c r="AA724" i="4"/>
  <c r="AB724" i="4"/>
  <c r="AC724" i="4"/>
  <c r="W725" i="4"/>
  <c r="X725" i="4"/>
  <c r="Y725" i="4"/>
  <c r="Z725" i="4"/>
  <c r="AA725" i="4"/>
  <c r="AB725" i="4"/>
  <c r="AC725" i="4"/>
  <c r="W726" i="4"/>
  <c r="X726" i="4"/>
  <c r="Y726" i="4"/>
  <c r="Z726" i="4"/>
  <c r="AA726" i="4"/>
  <c r="AB726" i="4"/>
  <c r="AC726" i="4"/>
  <c r="W727" i="4"/>
  <c r="X727" i="4"/>
  <c r="Y727" i="4"/>
  <c r="Z727" i="4"/>
  <c r="AA727" i="4"/>
  <c r="AB727" i="4"/>
  <c r="AC727" i="4"/>
  <c r="W728" i="4"/>
  <c r="X728" i="4"/>
  <c r="Y728" i="4"/>
  <c r="Z728" i="4"/>
  <c r="AA728" i="4"/>
  <c r="AB728" i="4"/>
  <c r="AC728" i="4"/>
  <c r="W729" i="4"/>
  <c r="X729" i="4"/>
  <c r="Y729" i="4"/>
  <c r="Z729" i="4"/>
  <c r="AA729" i="4"/>
  <c r="AB729" i="4"/>
  <c r="AC729" i="4"/>
  <c r="W730" i="4"/>
  <c r="X730" i="4"/>
  <c r="Y730" i="4"/>
  <c r="Z730" i="4"/>
  <c r="AA730" i="4"/>
  <c r="AB730" i="4"/>
  <c r="AC730" i="4"/>
  <c r="W731" i="4"/>
  <c r="X731" i="4"/>
  <c r="Y731" i="4"/>
  <c r="Z731" i="4"/>
  <c r="AA731" i="4"/>
  <c r="AB731" i="4"/>
  <c r="AC731" i="4"/>
  <c r="W732" i="4"/>
  <c r="X732" i="4"/>
  <c r="Y732" i="4"/>
  <c r="Z732" i="4"/>
  <c r="AA732" i="4"/>
  <c r="AB732" i="4"/>
  <c r="AC732" i="4"/>
  <c r="W733" i="4"/>
  <c r="X733" i="4"/>
  <c r="Y733" i="4"/>
  <c r="Z733" i="4"/>
  <c r="AA733" i="4"/>
  <c r="AB733" i="4"/>
  <c r="AC733" i="4"/>
  <c r="W734" i="4"/>
  <c r="X734" i="4"/>
  <c r="Y734" i="4"/>
  <c r="Z734" i="4"/>
  <c r="AA734" i="4"/>
  <c r="AB734" i="4"/>
  <c r="AC734" i="4"/>
  <c r="W735" i="4"/>
  <c r="X735" i="4"/>
  <c r="Y735" i="4"/>
  <c r="Z735" i="4"/>
  <c r="AA735" i="4"/>
  <c r="AB735" i="4"/>
  <c r="AC735" i="4"/>
  <c r="W736" i="4"/>
  <c r="X736" i="4"/>
  <c r="Y736" i="4"/>
  <c r="Z736" i="4"/>
  <c r="AA736" i="4"/>
  <c r="AB736" i="4"/>
  <c r="AC736" i="4"/>
  <c r="W737" i="4"/>
  <c r="X737" i="4"/>
  <c r="Y737" i="4"/>
  <c r="Z737" i="4"/>
  <c r="AA737" i="4"/>
  <c r="AB737" i="4"/>
  <c r="AC737" i="4"/>
  <c r="W738" i="4"/>
  <c r="X738" i="4"/>
  <c r="Y738" i="4"/>
  <c r="Z738" i="4"/>
  <c r="AA738" i="4"/>
  <c r="AB738" i="4"/>
  <c r="AC738" i="4"/>
  <c r="W739" i="4"/>
  <c r="X739" i="4"/>
  <c r="Y739" i="4"/>
  <c r="Z739" i="4"/>
  <c r="AA739" i="4"/>
  <c r="AB739" i="4"/>
  <c r="AC739" i="4"/>
  <c r="W740" i="4"/>
  <c r="X740" i="4"/>
  <c r="Y740" i="4"/>
  <c r="Z740" i="4"/>
  <c r="AA740" i="4"/>
  <c r="AB740" i="4"/>
  <c r="AC740" i="4"/>
  <c r="W741" i="4"/>
  <c r="X741" i="4"/>
  <c r="Y741" i="4"/>
  <c r="Z741" i="4"/>
  <c r="AA741" i="4"/>
  <c r="AB741" i="4"/>
  <c r="AC741" i="4"/>
  <c r="W742" i="4"/>
  <c r="X742" i="4"/>
  <c r="Y742" i="4"/>
  <c r="Z742" i="4"/>
  <c r="AA742" i="4"/>
  <c r="AB742" i="4"/>
  <c r="AC742" i="4"/>
  <c r="W743" i="4"/>
  <c r="X743" i="4"/>
  <c r="Y743" i="4"/>
  <c r="Z743" i="4"/>
  <c r="AA743" i="4"/>
  <c r="AB743" i="4"/>
  <c r="AC743" i="4"/>
  <c r="W744" i="4"/>
  <c r="X744" i="4"/>
  <c r="Y744" i="4"/>
  <c r="Z744" i="4"/>
  <c r="AA744" i="4"/>
  <c r="AB744" i="4"/>
  <c r="AC744" i="4"/>
  <c r="W745" i="4"/>
  <c r="X745" i="4"/>
  <c r="Y745" i="4"/>
  <c r="Z745" i="4"/>
  <c r="AA745" i="4"/>
  <c r="AB745" i="4"/>
  <c r="AC745" i="4"/>
  <c r="W746" i="4"/>
  <c r="X746" i="4"/>
  <c r="Y746" i="4"/>
  <c r="Z746" i="4"/>
  <c r="AA746" i="4"/>
  <c r="AB746" i="4"/>
  <c r="AC746" i="4"/>
  <c r="W747" i="4"/>
  <c r="X747" i="4"/>
  <c r="Y747" i="4"/>
  <c r="Z747" i="4"/>
  <c r="AA747" i="4"/>
  <c r="AB747" i="4"/>
  <c r="AC747" i="4"/>
  <c r="W748" i="4"/>
  <c r="X748" i="4"/>
  <c r="Y748" i="4"/>
  <c r="Z748" i="4"/>
  <c r="AA748" i="4"/>
  <c r="AB748" i="4"/>
  <c r="AC748" i="4"/>
  <c r="W749" i="4"/>
  <c r="X749" i="4"/>
  <c r="Y749" i="4"/>
  <c r="Z749" i="4"/>
  <c r="AA749" i="4"/>
  <c r="AB749" i="4"/>
  <c r="AC749" i="4"/>
  <c r="W750" i="4"/>
  <c r="X750" i="4"/>
  <c r="Y750" i="4"/>
  <c r="Z750" i="4"/>
  <c r="AA750" i="4"/>
  <c r="AB750" i="4"/>
  <c r="AC750" i="4"/>
  <c r="W751" i="4"/>
  <c r="X751" i="4"/>
  <c r="Y751" i="4"/>
  <c r="Z751" i="4"/>
  <c r="AA751" i="4"/>
  <c r="AB751" i="4"/>
  <c r="AC751" i="4"/>
  <c r="W752" i="4"/>
  <c r="X752" i="4"/>
  <c r="Y752" i="4"/>
  <c r="Z752" i="4"/>
  <c r="AA752" i="4"/>
  <c r="AB752" i="4"/>
  <c r="AC752" i="4"/>
  <c r="W753" i="4"/>
  <c r="X753" i="4"/>
  <c r="Y753" i="4"/>
  <c r="Z753" i="4"/>
  <c r="AA753" i="4"/>
  <c r="AB753" i="4"/>
  <c r="AC753" i="4"/>
  <c r="W754" i="4"/>
  <c r="X754" i="4"/>
  <c r="Y754" i="4"/>
  <c r="Z754" i="4"/>
  <c r="AA754" i="4"/>
  <c r="AB754" i="4"/>
  <c r="AC754" i="4"/>
  <c r="W755" i="4"/>
  <c r="X755" i="4"/>
  <c r="Y755" i="4"/>
  <c r="Z755" i="4"/>
  <c r="AA755" i="4"/>
  <c r="AB755" i="4"/>
  <c r="AC755" i="4"/>
  <c r="W756" i="4"/>
  <c r="X756" i="4"/>
  <c r="Y756" i="4"/>
  <c r="Z756" i="4"/>
  <c r="AA756" i="4"/>
  <c r="AB756" i="4"/>
  <c r="AC756" i="4"/>
  <c r="W757" i="4"/>
  <c r="X757" i="4"/>
  <c r="Y757" i="4"/>
  <c r="Z757" i="4"/>
  <c r="AA757" i="4"/>
  <c r="AB757" i="4"/>
  <c r="AC757" i="4"/>
  <c r="W758" i="4"/>
  <c r="X758" i="4"/>
  <c r="Y758" i="4"/>
  <c r="Z758" i="4"/>
  <c r="AA758" i="4"/>
  <c r="AB758" i="4"/>
  <c r="AC758" i="4"/>
  <c r="W759" i="4"/>
  <c r="X759" i="4"/>
  <c r="Y759" i="4"/>
  <c r="Z759" i="4"/>
  <c r="AA759" i="4"/>
  <c r="AB759" i="4"/>
  <c r="AC759" i="4"/>
  <c r="W760" i="4"/>
  <c r="X760" i="4"/>
  <c r="Y760" i="4"/>
  <c r="Z760" i="4"/>
  <c r="AA760" i="4"/>
  <c r="AB760" i="4"/>
  <c r="AC760" i="4"/>
  <c r="W761" i="4"/>
  <c r="X761" i="4"/>
  <c r="Y761" i="4"/>
  <c r="Z761" i="4"/>
  <c r="AA761" i="4"/>
  <c r="AB761" i="4"/>
  <c r="AC761" i="4"/>
  <c r="W762" i="4"/>
  <c r="X762" i="4"/>
  <c r="Y762" i="4"/>
  <c r="Z762" i="4"/>
  <c r="AA762" i="4"/>
  <c r="AB762" i="4"/>
  <c r="AC762" i="4"/>
  <c r="W763" i="4"/>
  <c r="X763" i="4"/>
  <c r="Y763" i="4"/>
  <c r="Z763" i="4"/>
  <c r="AA763" i="4"/>
  <c r="AB763" i="4"/>
  <c r="AC763" i="4"/>
  <c r="W764" i="4"/>
  <c r="X764" i="4"/>
  <c r="Y764" i="4"/>
  <c r="Z764" i="4"/>
  <c r="AA764" i="4"/>
  <c r="AB764" i="4"/>
  <c r="AC764" i="4"/>
  <c r="W765" i="4"/>
  <c r="X765" i="4"/>
  <c r="Y765" i="4"/>
  <c r="Z765" i="4"/>
  <c r="AA765" i="4"/>
  <c r="AB765" i="4"/>
  <c r="AC765" i="4"/>
  <c r="W766" i="4"/>
  <c r="X766" i="4"/>
  <c r="Y766" i="4"/>
  <c r="Z766" i="4"/>
  <c r="AA766" i="4"/>
  <c r="AB766" i="4"/>
  <c r="AC766" i="4"/>
  <c r="W767" i="4"/>
  <c r="X767" i="4"/>
  <c r="Y767" i="4"/>
  <c r="Z767" i="4"/>
  <c r="AA767" i="4"/>
  <c r="AB767" i="4"/>
  <c r="AC767" i="4"/>
  <c r="W768" i="4"/>
  <c r="X768" i="4"/>
  <c r="Y768" i="4"/>
  <c r="Z768" i="4"/>
  <c r="AA768" i="4"/>
  <c r="AB768" i="4"/>
  <c r="AC768" i="4"/>
  <c r="W769" i="4"/>
  <c r="X769" i="4"/>
  <c r="Y769" i="4"/>
  <c r="Z769" i="4"/>
  <c r="AA769" i="4"/>
  <c r="AB769" i="4"/>
  <c r="AC769" i="4"/>
  <c r="W770" i="4"/>
  <c r="X770" i="4"/>
  <c r="Y770" i="4"/>
  <c r="Z770" i="4"/>
  <c r="AA770" i="4"/>
  <c r="AB770" i="4"/>
  <c r="AC770" i="4"/>
  <c r="W771" i="4"/>
  <c r="X771" i="4"/>
  <c r="Y771" i="4"/>
  <c r="Z771" i="4"/>
  <c r="AA771" i="4"/>
  <c r="AB771" i="4"/>
  <c r="AC771" i="4"/>
  <c r="W772" i="4"/>
  <c r="X772" i="4"/>
  <c r="Y772" i="4"/>
  <c r="Z772" i="4"/>
  <c r="AA772" i="4"/>
  <c r="AB772" i="4"/>
  <c r="AC772" i="4"/>
  <c r="W773" i="4"/>
  <c r="X773" i="4"/>
  <c r="Y773" i="4"/>
  <c r="Z773" i="4"/>
  <c r="AA773" i="4"/>
  <c r="AB773" i="4"/>
  <c r="AC773" i="4"/>
  <c r="W774" i="4"/>
  <c r="X774" i="4"/>
  <c r="Y774" i="4"/>
  <c r="Z774" i="4"/>
  <c r="AA774" i="4"/>
  <c r="AB774" i="4"/>
  <c r="AC774" i="4"/>
  <c r="W775" i="4"/>
  <c r="X775" i="4"/>
  <c r="Y775" i="4"/>
  <c r="Z775" i="4"/>
  <c r="AA775" i="4"/>
  <c r="AB775" i="4"/>
  <c r="AC775" i="4"/>
  <c r="W776" i="4"/>
  <c r="X776" i="4"/>
  <c r="Y776" i="4"/>
  <c r="Z776" i="4"/>
  <c r="AA776" i="4"/>
  <c r="AB776" i="4"/>
  <c r="AC776" i="4"/>
  <c r="W777" i="4"/>
  <c r="X777" i="4"/>
  <c r="Y777" i="4"/>
  <c r="Z777" i="4"/>
  <c r="AA777" i="4"/>
  <c r="AB777" i="4"/>
  <c r="AC777" i="4"/>
  <c r="W778" i="4"/>
  <c r="X778" i="4"/>
  <c r="Y778" i="4"/>
  <c r="Z778" i="4"/>
  <c r="AA778" i="4"/>
  <c r="AB778" i="4"/>
  <c r="AC778" i="4"/>
  <c r="W779" i="4"/>
  <c r="X779" i="4"/>
  <c r="Y779" i="4"/>
  <c r="Z779" i="4"/>
  <c r="AA779" i="4"/>
  <c r="AB779" i="4"/>
  <c r="AC779" i="4"/>
  <c r="W780" i="4"/>
  <c r="X780" i="4"/>
  <c r="Y780" i="4"/>
  <c r="Z780" i="4"/>
  <c r="AA780" i="4"/>
  <c r="AB780" i="4"/>
  <c r="AC780" i="4"/>
  <c r="W781" i="4"/>
  <c r="X781" i="4"/>
  <c r="Y781" i="4"/>
  <c r="Z781" i="4"/>
  <c r="AA781" i="4"/>
  <c r="AB781" i="4"/>
  <c r="AC781" i="4"/>
  <c r="X2" i="4"/>
  <c r="Y2" i="4"/>
  <c r="Z2" i="4"/>
  <c r="AA2" i="4"/>
  <c r="AB2" i="4"/>
  <c r="AC2" i="4"/>
  <c r="W2" i="4"/>
  <c r="P2" i="4"/>
  <c r="O3" i="4"/>
  <c r="P3" i="4"/>
  <c r="Q3" i="4"/>
  <c r="S3" i="4"/>
  <c r="T3" i="4"/>
  <c r="U3" i="4"/>
  <c r="O4" i="4"/>
  <c r="P4" i="4"/>
  <c r="Q4" i="4"/>
  <c r="R4" i="4"/>
  <c r="S4" i="4"/>
  <c r="T4" i="4"/>
  <c r="U4" i="4"/>
  <c r="O5" i="4"/>
  <c r="P5" i="4"/>
  <c r="Q5" i="4"/>
  <c r="R5" i="4"/>
  <c r="S5" i="4"/>
  <c r="T5" i="4"/>
  <c r="U5" i="4"/>
  <c r="O6" i="4"/>
  <c r="P6" i="4"/>
  <c r="Q6" i="4"/>
  <c r="R6" i="4"/>
  <c r="S6" i="4"/>
  <c r="T6" i="4"/>
  <c r="U6" i="4"/>
  <c r="O7" i="4"/>
  <c r="P7" i="4"/>
  <c r="Q7" i="4"/>
  <c r="R7" i="4"/>
  <c r="S7" i="4"/>
  <c r="T7" i="4"/>
  <c r="U7" i="4"/>
  <c r="O8" i="4"/>
  <c r="P8" i="4"/>
  <c r="Q8" i="4"/>
  <c r="R8" i="4"/>
  <c r="S8" i="4"/>
  <c r="T8" i="4"/>
  <c r="U8" i="4"/>
  <c r="O9" i="4"/>
  <c r="P9" i="4"/>
  <c r="Q9" i="4"/>
  <c r="R9" i="4"/>
  <c r="S9" i="4"/>
  <c r="T9" i="4"/>
  <c r="U9" i="4"/>
  <c r="O10" i="4"/>
  <c r="P10" i="4"/>
  <c r="Q10" i="4"/>
  <c r="R10" i="4"/>
  <c r="S10" i="4"/>
  <c r="T10" i="4"/>
  <c r="U10" i="4"/>
  <c r="O11" i="4"/>
  <c r="P11" i="4"/>
  <c r="Q11" i="4"/>
  <c r="R11" i="4"/>
  <c r="S11" i="4"/>
  <c r="T11" i="4"/>
  <c r="U11" i="4"/>
  <c r="O12" i="4"/>
  <c r="P12" i="4"/>
  <c r="Q12" i="4"/>
  <c r="R12" i="4"/>
  <c r="S12" i="4"/>
  <c r="T12" i="4"/>
  <c r="U12" i="4"/>
  <c r="O13" i="4"/>
  <c r="P13" i="4"/>
  <c r="Q13" i="4"/>
  <c r="R13" i="4"/>
  <c r="S13" i="4"/>
  <c r="T13" i="4"/>
  <c r="U13" i="4"/>
  <c r="O14" i="4"/>
  <c r="P14" i="4"/>
  <c r="Q14" i="4"/>
  <c r="R14" i="4"/>
  <c r="S14" i="4"/>
  <c r="T14" i="4"/>
  <c r="U14" i="4"/>
  <c r="O15" i="4"/>
  <c r="P15" i="4"/>
  <c r="Q15" i="4"/>
  <c r="R15" i="4"/>
  <c r="S15" i="4"/>
  <c r="T15" i="4"/>
  <c r="U15" i="4"/>
  <c r="O16" i="4"/>
  <c r="P16" i="4"/>
  <c r="Q16" i="4"/>
  <c r="R16" i="4"/>
  <c r="S16" i="4"/>
  <c r="T16" i="4"/>
  <c r="U16" i="4"/>
  <c r="O17" i="4"/>
  <c r="P17" i="4"/>
  <c r="Q17" i="4"/>
  <c r="R17" i="4"/>
  <c r="S17" i="4"/>
  <c r="T17" i="4"/>
  <c r="U17" i="4"/>
  <c r="O18" i="4"/>
  <c r="P18" i="4"/>
  <c r="Q18" i="4"/>
  <c r="R18" i="4"/>
  <c r="S18" i="4"/>
  <c r="T18" i="4"/>
  <c r="U18" i="4"/>
  <c r="O19" i="4"/>
  <c r="P19" i="4"/>
  <c r="Q19" i="4"/>
  <c r="R19" i="4"/>
  <c r="S19" i="4"/>
  <c r="T19" i="4"/>
  <c r="U19" i="4"/>
  <c r="O20" i="4"/>
  <c r="P20" i="4"/>
  <c r="Q20" i="4"/>
  <c r="R20" i="4"/>
  <c r="S20" i="4"/>
  <c r="T20" i="4"/>
  <c r="U20" i="4"/>
  <c r="O21" i="4"/>
  <c r="P21" i="4"/>
  <c r="Q21" i="4"/>
  <c r="R21" i="4"/>
  <c r="S21" i="4"/>
  <c r="T21" i="4"/>
  <c r="U21" i="4"/>
  <c r="O22" i="4"/>
  <c r="P22" i="4"/>
  <c r="Q22" i="4"/>
  <c r="R22" i="4"/>
  <c r="S22" i="4"/>
  <c r="T22" i="4"/>
  <c r="U22" i="4"/>
  <c r="O23" i="4"/>
  <c r="P23" i="4"/>
  <c r="Q23" i="4"/>
  <c r="R23" i="4"/>
  <c r="S23" i="4"/>
  <c r="T23" i="4"/>
  <c r="U23" i="4"/>
  <c r="O24" i="4"/>
  <c r="P24" i="4"/>
  <c r="Q24" i="4"/>
  <c r="R24" i="4"/>
  <c r="S24" i="4"/>
  <c r="T24" i="4"/>
  <c r="U24" i="4"/>
  <c r="O25" i="4"/>
  <c r="P25" i="4"/>
  <c r="Q25" i="4"/>
  <c r="R25" i="4"/>
  <c r="S25" i="4"/>
  <c r="T25" i="4"/>
  <c r="U25" i="4"/>
  <c r="O26" i="4"/>
  <c r="P26" i="4"/>
  <c r="Q26" i="4"/>
  <c r="R26" i="4"/>
  <c r="S26" i="4"/>
  <c r="T26" i="4"/>
  <c r="U26" i="4"/>
  <c r="O27" i="4"/>
  <c r="P27" i="4"/>
  <c r="Q27" i="4"/>
  <c r="R27" i="4"/>
  <c r="S27" i="4"/>
  <c r="T27" i="4"/>
  <c r="U27" i="4"/>
  <c r="O28" i="4"/>
  <c r="P28" i="4"/>
  <c r="Q28" i="4"/>
  <c r="R28" i="4"/>
  <c r="S28" i="4"/>
  <c r="T28" i="4"/>
  <c r="U28" i="4"/>
  <c r="O29" i="4"/>
  <c r="P29" i="4"/>
  <c r="Q29" i="4"/>
  <c r="R29" i="4"/>
  <c r="S29" i="4"/>
  <c r="T29" i="4"/>
  <c r="U29" i="4"/>
  <c r="O30" i="4"/>
  <c r="P30" i="4"/>
  <c r="Q30" i="4"/>
  <c r="R30" i="4"/>
  <c r="S30" i="4"/>
  <c r="T30" i="4"/>
  <c r="U30" i="4"/>
  <c r="O31" i="4"/>
  <c r="P31" i="4"/>
  <c r="Q31" i="4"/>
  <c r="R31" i="4"/>
  <c r="S31" i="4"/>
  <c r="T31" i="4"/>
  <c r="U31" i="4"/>
  <c r="O32" i="4"/>
  <c r="P32" i="4"/>
  <c r="Q32" i="4"/>
  <c r="R32" i="4"/>
  <c r="S32" i="4"/>
  <c r="T32" i="4"/>
  <c r="U32" i="4"/>
  <c r="O33" i="4"/>
  <c r="P33" i="4"/>
  <c r="Q33" i="4"/>
  <c r="R33" i="4"/>
  <c r="S33" i="4"/>
  <c r="T33" i="4"/>
  <c r="U33" i="4"/>
  <c r="O34" i="4"/>
  <c r="P34" i="4"/>
  <c r="Q34" i="4"/>
  <c r="R34" i="4"/>
  <c r="S34" i="4"/>
  <c r="T34" i="4"/>
  <c r="U34" i="4"/>
  <c r="O35" i="4"/>
  <c r="P35" i="4"/>
  <c r="Q35" i="4"/>
  <c r="R35" i="4"/>
  <c r="S35" i="4"/>
  <c r="T35" i="4"/>
  <c r="U35" i="4"/>
  <c r="O36" i="4"/>
  <c r="P36" i="4"/>
  <c r="Q36" i="4"/>
  <c r="R36" i="4"/>
  <c r="S36" i="4"/>
  <c r="T36" i="4"/>
  <c r="U36" i="4"/>
  <c r="O37" i="4"/>
  <c r="P37" i="4"/>
  <c r="Q37" i="4"/>
  <c r="R37" i="4"/>
  <c r="S37" i="4"/>
  <c r="T37" i="4"/>
  <c r="U37" i="4"/>
  <c r="O38" i="4"/>
  <c r="P38" i="4"/>
  <c r="Q38" i="4"/>
  <c r="R38" i="4"/>
  <c r="S38" i="4"/>
  <c r="T38" i="4"/>
  <c r="U38" i="4"/>
  <c r="O39" i="4"/>
  <c r="P39" i="4"/>
  <c r="Q39" i="4"/>
  <c r="R39" i="4"/>
  <c r="S39" i="4"/>
  <c r="T39" i="4"/>
  <c r="U39" i="4"/>
  <c r="O40" i="4"/>
  <c r="P40" i="4"/>
  <c r="Q40" i="4"/>
  <c r="R40" i="4"/>
  <c r="S40" i="4"/>
  <c r="T40" i="4"/>
  <c r="U40" i="4"/>
  <c r="O41" i="4"/>
  <c r="P41" i="4"/>
  <c r="Q41" i="4"/>
  <c r="R41" i="4"/>
  <c r="S41" i="4"/>
  <c r="T41" i="4"/>
  <c r="U41" i="4"/>
  <c r="O42" i="4"/>
  <c r="P42" i="4"/>
  <c r="Q42" i="4"/>
  <c r="R42" i="4"/>
  <c r="S42" i="4"/>
  <c r="T42" i="4"/>
  <c r="U42" i="4"/>
  <c r="O43" i="4"/>
  <c r="P43" i="4"/>
  <c r="Q43" i="4"/>
  <c r="R43" i="4"/>
  <c r="S43" i="4"/>
  <c r="T43" i="4"/>
  <c r="U43" i="4"/>
  <c r="O44" i="4"/>
  <c r="P44" i="4"/>
  <c r="Q44" i="4"/>
  <c r="R44" i="4"/>
  <c r="S44" i="4"/>
  <c r="T44" i="4"/>
  <c r="U44" i="4"/>
  <c r="O45" i="4"/>
  <c r="P45" i="4"/>
  <c r="Q45" i="4"/>
  <c r="R45" i="4"/>
  <c r="S45" i="4"/>
  <c r="T45" i="4"/>
  <c r="U45" i="4"/>
  <c r="O46" i="4"/>
  <c r="P46" i="4"/>
  <c r="Q46" i="4"/>
  <c r="R46" i="4"/>
  <c r="S46" i="4"/>
  <c r="T46" i="4"/>
  <c r="U46" i="4"/>
  <c r="O47" i="4"/>
  <c r="P47" i="4"/>
  <c r="Q47" i="4"/>
  <c r="R47" i="4"/>
  <c r="S47" i="4"/>
  <c r="T47" i="4"/>
  <c r="U47" i="4"/>
  <c r="O48" i="4"/>
  <c r="P48" i="4"/>
  <c r="Q48" i="4"/>
  <c r="R48" i="4"/>
  <c r="S48" i="4"/>
  <c r="T48" i="4"/>
  <c r="U48" i="4"/>
  <c r="O49" i="4"/>
  <c r="P49" i="4"/>
  <c r="Q49" i="4"/>
  <c r="R49" i="4"/>
  <c r="S49" i="4"/>
  <c r="T49" i="4"/>
  <c r="U49" i="4"/>
  <c r="O50" i="4"/>
  <c r="P50" i="4"/>
  <c r="Q50" i="4"/>
  <c r="R50" i="4"/>
  <c r="S50" i="4"/>
  <c r="T50" i="4"/>
  <c r="U50" i="4"/>
  <c r="O51" i="4"/>
  <c r="P51" i="4"/>
  <c r="Q51" i="4"/>
  <c r="R51" i="4"/>
  <c r="S51" i="4"/>
  <c r="T51" i="4"/>
  <c r="U51" i="4"/>
  <c r="O52" i="4"/>
  <c r="P52" i="4"/>
  <c r="Q52" i="4"/>
  <c r="R52" i="4"/>
  <c r="S52" i="4"/>
  <c r="T52" i="4"/>
  <c r="U52" i="4"/>
  <c r="O53" i="4"/>
  <c r="P53" i="4"/>
  <c r="Q53" i="4"/>
  <c r="R53" i="4"/>
  <c r="S53" i="4"/>
  <c r="T53" i="4"/>
  <c r="U53" i="4"/>
  <c r="O54" i="4"/>
  <c r="P54" i="4"/>
  <c r="Q54" i="4"/>
  <c r="R54" i="4"/>
  <c r="S54" i="4"/>
  <c r="T54" i="4"/>
  <c r="U54" i="4"/>
  <c r="O55" i="4"/>
  <c r="P55" i="4"/>
  <c r="Q55" i="4"/>
  <c r="R55" i="4"/>
  <c r="S55" i="4"/>
  <c r="T55" i="4"/>
  <c r="U55" i="4"/>
  <c r="O56" i="4"/>
  <c r="P56" i="4"/>
  <c r="Q56" i="4"/>
  <c r="R56" i="4"/>
  <c r="S56" i="4"/>
  <c r="T56" i="4"/>
  <c r="U56" i="4"/>
  <c r="O57" i="4"/>
  <c r="P57" i="4"/>
  <c r="Q57" i="4"/>
  <c r="R57" i="4"/>
  <c r="S57" i="4"/>
  <c r="T57" i="4"/>
  <c r="U57" i="4"/>
  <c r="O58" i="4"/>
  <c r="P58" i="4"/>
  <c r="Q58" i="4"/>
  <c r="R58" i="4"/>
  <c r="S58" i="4"/>
  <c r="T58" i="4"/>
  <c r="U58" i="4"/>
  <c r="O59" i="4"/>
  <c r="P59" i="4"/>
  <c r="Q59" i="4"/>
  <c r="R59" i="4"/>
  <c r="S59" i="4"/>
  <c r="T59" i="4"/>
  <c r="U59" i="4"/>
  <c r="O60" i="4"/>
  <c r="P60" i="4"/>
  <c r="Q60" i="4"/>
  <c r="R60" i="4"/>
  <c r="S60" i="4"/>
  <c r="T60" i="4"/>
  <c r="U60" i="4"/>
  <c r="O61" i="4"/>
  <c r="P61" i="4"/>
  <c r="Q61" i="4"/>
  <c r="R61" i="4"/>
  <c r="S61" i="4"/>
  <c r="T61" i="4"/>
  <c r="U61" i="4"/>
  <c r="O62" i="4"/>
  <c r="P62" i="4"/>
  <c r="Q62" i="4"/>
  <c r="R62" i="4"/>
  <c r="S62" i="4"/>
  <c r="T62" i="4"/>
  <c r="U62" i="4"/>
  <c r="O63" i="4"/>
  <c r="P63" i="4"/>
  <c r="Q63" i="4"/>
  <c r="R63" i="4"/>
  <c r="S63" i="4"/>
  <c r="T63" i="4"/>
  <c r="U63" i="4"/>
  <c r="O64" i="4"/>
  <c r="P64" i="4"/>
  <c r="Q64" i="4"/>
  <c r="R64" i="4"/>
  <c r="S64" i="4"/>
  <c r="T64" i="4"/>
  <c r="U64" i="4"/>
  <c r="O65" i="4"/>
  <c r="P65" i="4"/>
  <c r="Q65" i="4"/>
  <c r="R65" i="4"/>
  <c r="S65" i="4"/>
  <c r="T65" i="4"/>
  <c r="U65" i="4"/>
  <c r="O66" i="4"/>
  <c r="P66" i="4"/>
  <c r="Q66" i="4"/>
  <c r="R66" i="4"/>
  <c r="S66" i="4"/>
  <c r="T66" i="4"/>
  <c r="U66" i="4"/>
  <c r="O67" i="4"/>
  <c r="P67" i="4"/>
  <c r="Q67" i="4"/>
  <c r="R67" i="4"/>
  <c r="S67" i="4"/>
  <c r="T67" i="4"/>
  <c r="U67" i="4"/>
  <c r="O68" i="4"/>
  <c r="P68" i="4"/>
  <c r="Q68" i="4"/>
  <c r="R68" i="4"/>
  <c r="S68" i="4"/>
  <c r="T68" i="4"/>
  <c r="U68" i="4"/>
  <c r="O69" i="4"/>
  <c r="P69" i="4"/>
  <c r="Q69" i="4"/>
  <c r="R69" i="4"/>
  <c r="S69" i="4"/>
  <c r="T69" i="4"/>
  <c r="U69" i="4"/>
  <c r="O70" i="4"/>
  <c r="P70" i="4"/>
  <c r="Q70" i="4"/>
  <c r="R70" i="4"/>
  <c r="S70" i="4"/>
  <c r="T70" i="4"/>
  <c r="U70" i="4"/>
  <c r="O71" i="4"/>
  <c r="P71" i="4"/>
  <c r="Q71" i="4"/>
  <c r="R71" i="4"/>
  <c r="S71" i="4"/>
  <c r="T71" i="4"/>
  <c r="U71" i="4"/>
  <c r="O72" i="4"/>
  <c r="P72" i="4"/>
  <c r="Q72" i="4"/>
  <c r="R72" i="4"/>
  <c r="S72" i="4"/>
  <c r="T72" i="4"/>
  <c r="U72" i="4"/>
  <c r="O73" i="4"/>
  <c r="P73" i="4"/>
  <c r="Q73" i="4"/>
  <c r="R73" i="4"/>
  <c r="S73" i="4"/>
  <c r="T73" i="4"/>
  <c r="U73" i="4"/>
  <c r="O74" i="4"/>
  <c r="P74" i="4"/>
  <c r="Q74" i="4"/>
  <c r="R74" i="4"/>
  <c r="S74" i="4"/>
  <c r="T74" i="4"/>
  <c r="U74" i="4"/>
  <c r="O75" i="4"/>
  <c r="P75" i="4"/>
  <c r="Q75" i="4"/>
  <c r="R75" i="4"/>
  <c r="S75" i="4"/>
  <c r="T75" i="4"/>
  <c r="U75" i="4"/>
  <c r="O76" i="4"/>
  <c r="P76" i="4"/>
  <c r="Q76" i="4"/>
  <c r="R76" i="4"/>
  <c r="S76" i="4"/>
  <c r="T76" i="4"/>
  <c r="U76" i="4"/>
  <c r="O77" i="4"/>
  <c r="P77" i="4"/>
  <c r="Q77" i="4"/>
  <c r="R77" i="4"/>
  <c r="S77" i="4"/>
  <c r="T77" i="4"/>
  <c r="U77" i="4"/>
  <c r="O78" i="4"/>
  <c r="P78" i="4"/>
  <c r="Q78" i="4"/>
  <c r="R78" i="4"/>
  <c r="S78" i="4"/>
  <c r="T78" i="4"/>
  <c r="U78" i="4"/>
  <c r="O79" i="4"/>
  <c r="P79" i="4"/>
  <c r="Q79" i="4"/>
  <c r="R79" i="4"/>
  <c r="S79" i="4"/>
  <c r="T79" i="4"/>
  <c r="U79" i="4"/>
  <c r="O80" i="4"/>
  <c r="P80" i="4"/>
  <c r="Q80" i="4"/>
  <c r="R80" i="4"/>
  <c r="S80" i="4"/>
  <c r="T80" i="4"/>
  <c r="U80" i="4"/>
  <c r="O81" i="4"/>
  <c r="P81" i="4"/>
  <c r="Q81" i="4"/>
  <c r="R81" i="4"/>
  <c r="S81" i="4"/>
  <c r="T81" i="4"/>
  <c r="U81" i="4"/>
  <c r="O82" i="4"/>
  <c r="P82" i="4"/>
  <c r="Q82" i="4"/>
  <c r="R82" i="4"/>
  <c r="S82" i="4"/>
  <c r="T82" i="4"/>
  <c r="U82" i="4"/>
  <c r="O83" i="4"/>
  <c r="P83" i="4"/>
  <c r="Q83" i="4"/>
  <c r="R83" i="4"/>
  <c r="S83" i="4"/>
  <c r="T83" i="4"/>
  <c r="U83" i="4"/>
  <c r="O84" i="4"/>
  <c r="P84" i="4"/>
  <c r="Q84" i="4"/>
  <c r="R84" i="4"/>
  <c r="S84" i="4"/>
  <c r="T84" i="4"/>
  <c r="U84" i="4"/>
  <c r="O85" i="4"/>
  <c r="P85" i="4"/>
  <c r="Q85" i="4"/>
  <c r="R85" i="4"/>
  <c r="S85" i="4"/>
  <c r="T85" i="4"/>
  <c r="U85" i="4"/>
  <c r="O86" i="4"/>
  <c r="P86" i="4"/>
  <c r="Q86" i="4"/>
  <c r="R86" i="4"/>
  <c r="S86" i="4"/>
  <c r="T86" i="4"/>
  <c r="U86" i="4"/>
  <c r="O87" i="4"/>
  <c r="P87" i="4"/>
  <c r="Q87" i="4"/>
  <c r="R87" i="4"/>
  <c r="S87" i="4"/>
  <c r="T87" i="4"/>
  <c r="U87" i="4"/>
  <c r="O88" i="4"/>
  <c r="P88" i="4"/>
  <c r="Q88" i="4"/>
  <c r="R88" i="4"/>
  <c r="S88" i="4"/>
  <c r="T88" i="4"/>
  <c r="U88" i="4"/>
  <c r="O89" i="4"/>
  <c r="P89" i="4"/>
  <c r="Q89" i="4"/>
  <c r="R89" i="4"/>
  <c r="S89" i="4"/>
  <c r="T89" i="4"/>
  <c r="U89" i="4"/>
  <c r="O90" i="4"/>
  <c r="P90" i="4"/>
  <c r="Q90" i="4"/>
  <c r="R90" i="4"/>
  <c r="S90" i="4"/>
  <c r="T90" i="4"/>
  <c r="U90" i="4"/>
  <c r="O91" i="4"/>
  <c r="P91" i="4"/>
  <c r="Q91" i="4"/>
  <c r="R91" i="4"/>
  <c r="S91" i="4"/>
  <c r="T91" i="4"/>
  <c r="U91" i="4"/>
  <c r="O92" i="4"/>
  <c r="P92" i="4"/>
  <c r="Q92" i="4"/>
  <c r="R92" i="4"/>
  <c r="S92" i="4"/>
  <c r="T92" i="4"/>
  <c r="U92" i="4"/>
  <c r="O93" i="4"/>
  <c r="P93" i="4"/>
  <c r="Q93" i="4"/>
  <c r="R93" i="4"/>
  <c r="S93" i="4"/>
  <c r="T93" i="4"/>
  <c r="U93" i="4"/>
  <c r="O94" i="4"/>
  <c r="P94" i="4"/>
  <c r="Q94" i="4"/>
  <c r="R94" i="4"/>
  <c r="S94" i="4"/>
  <c r="T94" i="4"/>
  <c r="U94" i="4"/>
  <c r="O95" i="4"/>
  <c r="P95" i="4"/>
  <c r="Q95" i="4"/>
  <c r="R95" i="4"/>
  <c r="S95" i="4"/>
  <c r="T95" i="4"/>
  <c r="U95" i="4"/>
  <c r="O96" i="4"/>
  <c r="P96" i="4"/>
  <c r="Q96" i="4"/>
  <c r="R96" i="4"/>
  <c r="S96" i="4"/>
  <c r="T96" i="4"/>
  <c r="U96" i="4"/>
  <c r="O97" i="4"/>
  <c r="P97" i="4"/>
  <c r="Q97" i="4"/>
  <c r="R97" i="4"/>
  <c r="S97" i="4"/>
  <c r="T97" i="4"/>
  <c r="U97" i="4"/>
  <c r="O98" i="4"/>
  <c r="P98" i="4"/>
  <c r="Q98" i="4"/>
  <c r="R98" i="4"/>
  <c r="S98" i="4"/>
  <c r="T98" i="4"/>
  <c r="U98" i="4"/>
  <c r="O99" i="4"/>
  <c r="P99" i="4"/>
  <c r="Q99" i="4"/>
  <c r="R99" i="4"/>
  <c r="S99" i="4"/>
  <c r="T99" i="4"/>
  <c r="U99" i="4"/>
  <c r="O100" i="4"/>
  <c r="P100" i="4"/>
  <c r="Q100" i="4"/>
  <c r="R100" i="4"/>
  <c r="S100" i="4"/>
  <c r="T100" i="4"/>
  <c r="U100" i="4"/>
  <c r="O101" i="4"/>
  <c r="P101" i="4"/>
  <c r="Q101" i="4"/>
  <c r="R101" i="4"/>
  <c r="S101" i="4"/>
  <c r="T101" i="4"/>
  <c r="U101" i="4"/>
  <c r="O102" i="4"/>
  <c r="P102" i="4"/>
  <c r="Q102" i="4"/>
  <c r="R102" i="4"/>
  <c r="S102" i="4"/>
  <c r="T102" i="4"/>
  <c r="U102" i="4"/>
  <c r="O103" i="4"/>
  <c r="P103" i="4"/>
  <c r="Q103" i="4"/>
  <c r="R103" i="4"/>
  <c r="S103" i="4"/>
  <c r="T103" i="4"/>
  <c r="U103" i="4"/>
  <c r="O104" i="4"/>
  <c r="P104" i="4"/>
  <c r="Q104" i="4"/>
  <c r="R104" i="4"/>
  <c r="S104" i="4"/>
  <c r="T104" i="4"/>
  <c r="U104" i="4"/>
  <c r="O105" i="4"/>
  <c r="P105" i="4"/>
  <c r="Q105" i="4"/>
  <c r="R105" i="4"/>
  <c r="S105" i="4"/>
  <c r="T105" i="4"/>
  <c r="U105" i="4"/>
  <c r="O106" i="4"/>
  <c r="P106" i="4"/>
  <c r="Q106" i="4"/>
  <c r="R106" i="4"/>
  <c r="S106" i="4"/>
  <c r="T106" i="4"/>
  <c r="U106" i="4"/>
  <c r="O107" i="4"/>
  <c r="P107" i="4"/>
  <c r="Q107" i="4"/>
  <c r="R107" i="4"/>
  <c r="S107" i="4"/>
  <c r="T107" i="4"/>
  <c r="U107" i="4"/>
  <c r="O108" i="4"/>
  <c r="P108" i="4"/>
  <c r="Q108" i="4"/>
  <c r="R108" i="4"/>
  <c r="S108" i="4"/>
  <c r="T108" i="4"/>
  <c r="U108" i="4"/>
  <c r="O109" i="4"/>
  <c r="P109" i="4"/>
  <c r="Q109" i="4"/>
  <c r="R109" i="4"/>
  <c r="S109" i="4"/>
  <c r="T109" i="4"/>
  <c r="U109" i="4"/>
  <c r="O110" i="4"/>
  <c r="P110" i="4"/>
  <c r="Q110" i="4"/>
  <c r="R110" i="4"/>
  <c r="S110" i="4"/>
  <c r="T110" i="4"/>
  <c r="U110" i="4"/>
  <c r="O111" i="4"/>
  <c r="P111" i="4"/>
  <c r="Q111" i="4"/>
  <c r="R111" i="4"/>
  <c r="S111" i="4"/>
  <c r="T111" i="4"/>
  <c r="U111" i="4"/>
  <c r="O112" i="4"/>
  <c r="P112" i="4"/>
  <c r="Q112" i="4"/>
  <c r="R112" i="4"/>
  <c r="S112" i="4"/>
  <c r="T112" i="4"/>
  <c r="U112" i="4"/>
  <c r="O113" i="4"/>
  <c r="P113" i="4"/>
  <c r="Q113" i="4"/>
  <c r="R113" i="4"/>
  <c r="S113" i="4"/>
  <c r="T113" i="4"/>
  <c r="U113" i="4"/>
  <c r="O114" i="4"/>
  <c r="P114" i="4"/>
  <c r="Q114" i="4"/>
  <c r="R114" i="4"/>
  <c r="S114" i="4"/>
  <c r="T114" i="4"/>
  <c r="U114" i="4"/>
  <c r="O115" i="4"/>
  <c r="P115" i="4"/>
  <c r="Q115" i="4"/>
  <c r="R115" i="4"/>
  <c r="S115" i="4"/>
  <c r="T115" i="4"/>
  <c r="U115" i="4"/>
  <c r="O116" i="4"/>
  <c r="P116" i="4"/>
  <c r="Q116" i="4"/>
  <c r="R116" i="4"/>
  <c r="S116" i="4"/>
  <c r="T116" i="4"/>
  <c r="U116" i="4"/>
  <c r="O117" i="4"/>
  <c r="P117" i="4"/>
  <c r="Q117" i="4"/>
  <c r="R117" i="4"/>
  <c r="S117" i="4"/>
  <c r="T117" i="4"/>
  <c r="U117" i="4"/>
  <c r="O118" i="4"/>
  <c r="P118" i="4"/>
  <c r="Q118" i="4"/>
  <c r="R118" i="4"/>
  <c r="S118" i="4"/>
  <c r="T118" i="4"/>
  <c r="U118" i="4"/>
  <c r="O119" i="4"/>
  <c r="P119" i="4"/>
  <c r="Q119" i="4"/>
  <c r="R119" i="4"/>
  <c r="S119" i="4"/>
  <c r="T119" i="4"/>
  <c r="U119" i="4"/>
  <c r="O120" i="4"/>
  <c r="P120" i="4"/>
  <c r="Q120" i="4"/>
  <c r="R120" i="4"/>
  <c r="S120" i="4"/>
  <c r="T120" i="4"/>
  <c r="U120" i="4"/>
  <c r="O121" i="4"/>
  <c r="P121" i="4"/>
  <c r="Q121" i="4"/>
  <c r="R121" i="4"/>
  <c r="S121" i="4"/>
  <c r="T121" i="4"/>
  <c r="U121" i="4"/>
  <c r="O122" i="4"/>
  <c r="P122" i="4"/>
  <c r="Q122" i="4"/>
  <c r="R122" i="4"/>
  <c r="S122" i="4"/>
  <c r="T122" i="4"/>
  <c r="U122" i="4"/>
  <c r="O123" i="4"/>
  <c r="P123" i="4"/>
  <c r="Q123" i="4"/>
  <c r="R123" i="4"/>
  <c r="S123" i="4"/>
  <c r="T123" i="4"/>
  <c r="U123" i="4"/>
  <c r="O124" i="4"/>
  <c r="P124" i="4"/>
  <c r="Q124" i="4"/>
  <c r="R124" i="4"/>
  <c r="S124" i="4"/>
  <c r="T124" i="4"/>
  <c r="U124" i="4"/>
  <c r="O125" i="4"/>
  <c r="P125" i="4"/>
  <c r="Q125" i="4"/>
  <c r="R125" i="4"/>
  <c r="S125" i="4"/>
  <c r="T125" i="4"/>
  <c r="U125" i="4"/>
  <c r="O126" i="4"/>
  <c r="P126" i="4"/>
  <c r="Q126" i="4"/>
  <c r="R126" i="4"/>
  <c r="S126" i="4"/>
  <c r="T126" i="4"/>
  <c r="U126" i="4"/>
  <c r="O127" i="4"/>
  <c r="P127" i="4"/>
  <c r="Q127" i="4"/>
  <c r="R127" i="4"/>
  <c r="S127" i="4"/>
  <c r="T127" i="4"/>
  <c r="U127" i="4"/>
  <c r="O128" i="4"/>
  <c r="P128" i="4"/>
  <c r="Q128" i="4"/>
  <c r="R128" i="4"/>
  <c r="S128" i="4"/>
  <c r="T128" i="4"/>
  <c r="U128" i="4"/>
  <c r="O129" i="4"/>
  <c r="P129" i="4"/>
  <c r="Q129" i="4"/>
  <c r="R129" i="4"/>
  <c r="S129" i="4"/>
  <c r="T129" i="4"/>
  <c r="U129" i="4"/>
  <c r="O130" i="4"/>
  <c r="P130" i="4"/>
  <c r="Q130" i="4"/>
  <c r="R130" i="4"/>
  <c r="S130" i="4"/>
  <c r="T130" i="4"/>
  <c r="U130" i="4"/>
  <c r="O131" i="4"/>
  <c r="P131" i="4"/>
  <c r="Q131" i="4"/>
  <c r="R131" i="4"/>
  <c r="S131" i="4"/>
  <c r="T131" i="4"/>
  <c r="U131" i="4"/>
  <c r="O132" i="4"/>
  <c r="P132" i="4"/>
  <c r="Q132" i="4"/>
  <c r="R132" i="4"/>
  <c r="S132" i="4"/>
  <c r="T132" i="4"/>
  <c r="U132" i="4"/>
  <c r="O133" i="4"/>
  <c r="P133" i="4"/>
  <c r="Q133" i="4"/>
  <c r="R133" i="4"/>
  <c r="S133" i="4"/>
  <c r="T133" i="4"/>
  <c r="U133" i="4"/>
  <c r="O134" i="4"/>
  <c r="P134" i="4"/>
  <c r="Q134" i="4"/>
  <c r="R134" i="4"/>
  <c r="S134" i="4"/>
  <c r="T134" i="4"/>
  <c r="U134" i="4"/>
  <c r="O135" i="4"/>
  <c r="P135" i="4"/>
  <c r="Q135" i="4"/>
  <c r="R135" i="4"/>
  <c r="S135" i="4"/>
  <c r="T135" i="4"/>
  <c r="U135" i="4"/>
  <c r="O136" i="4"/>
  <c r="P136" i="4"/>
  <c r="Q136" i="4"/>
  <c r="R136" i="4"/>
  <c r="S136" i="4"/>
  <c r="T136" i="4"/>
  <c r="U136" i="4"/>
  <c r="O137" i="4"/>
  <c r="P137" i="4"/>
  <c r="Q137" i="4"/>
  <c r="R137" i="4"/>
  <c r="S137" i="4"/>
  <c r="T137" i="4"/>
  <c r="U137" i="4"/>
  <c r="O138" i="4"/>
  <c r="P138" i="4"/>
  <c r="Q138" i="4"/>
  <c r="R138" i="4"/>
  <c r="S138" i="4"/>
  <c r="T138" i="4"/>
  <c r="U138" i="4"/>
  <c r="O139" i="4"/>
  <c r="P139" i="4"/>
  <c r="Q139" i="4"/>
  <c r="R139" i="4"/>
  <c r="S139" i="4"/>
  <c r="T139" i="4"/>
  <c r="U139" i="4"/>
  <c r="O140" i="4"/>
  <c r="P140" i="4"/>
  <c r="Q140" i="4"/>
  <c r="R140" i="4"/>
  <c r="S140" i="4"/>
  <c r="T140" i="4"/>
  <c r="U140" i="4"/>
  <c r="O141" i="4"/>
  <c r="P141" i="4"/>
  <c r="Q141" i="4"/>
  <c r="R141" i="4"/>
  <c r="S141" i="4"/>
  <c r="T141" i="4"/>
  <c r="U141" i="4"/>
  <c r="O142" i="4"/>
  <c r="P142" i="4"/>
  <c r="Q142" i="4"/>
  <c r="R142" i="4"/>
  <c r="S142" i="4"/>
  <c r="T142" i="4"/>
  <c r="U142" i="4"/>
  <c r="O143" i="4"/>
  <c r="P143" i="4"/>
  <c r="Q143" i="4"/>
  <c r="R143" i="4"/>
  <c r="S143" i="4"/>
  <c r="T143" i="4"/>
  <c r="U143" i="4"/>
  <c r="O144" i="4"/>
  <c r="P144" i="4"/>
  <c r="Q144" i="4"/>
  <c r="R144" i="4"/>
  <c r="S144" i="4"/>
  <c r="T144" i="4"/>
  <c r="U144" i="4"/>
  <c r="O145" i="4"/>
  <c r="P145" i="4"/>
  <c r="Q145" i="4"/>
  <c r="R145" i="4"/>
  <c r="S145" i="4"/>
  <c r="T145" i="4"/>
  <c r="U145" i="4"/>
  <c r="O146" i="4"/>
  <c r="P146" i="4"/>
  <c r="Q146" i="4"/>
  <c r="R146" i="4"/>
  <c r="S146" i="4"/>
  <c r="T146" i="4"/>
  <c r="U146" i="4"/>
  <c r="O147" i="4"/>
  <c r="P147" i="4"/>
  <c r="Q147" i="4"/>
  <c r="R147" i="4"/>
  <c r="S147" i="4"/>
  <c r="T147" i="4"/>
  <c r="U147" i="4"/>
  <c r="O148" i="4"/>
  <c r="P148" i="4"/>
  <c r="Q148" i="4"/>
  <c r="R148" i="4"/>
  <c r="S148" i="4"/>
  <c r="T148" i="4"/>
  <c r="U148" i="4"/>
  <c r="O149" i="4"/>
  <c r="P149" i="4"/>
  <c r="Q149" i="4"/>
  <c r="R149" i="4"/>
  <c r="S149" i="4"/>
  <c r="T149" i="4"/>
  <c r="U149" i="4"/>
  <c r="O150" i="4"/>
  <c r="P150" i="4"/>
  <c r="Q150" i="4"/>
  <c r="R150" i="4"/>
  <c r="S150" i="4"/>
  <c r="T150" i="4"/>
  <c r="U150" i="4"/>
  <c r="O151" i="4"/>
  <c r="P151" i="4"/>
  <c r="Q151" i="4"/>
  <c r="R151" i="4"/>
  <c r="S151" i="4"/>
  <c r="T151" i="4"/>
  <c r="U151" i="4"/>
  <c r="O152" i="4"/>
  <c r="P152" i="4"/>
  <c r="Q152" i="4"/>
  <c r="R152" i="4"/>
  <c r="S152" i="4"/>
  <c r="T152" i="4"/>
  <c r="U152" i="4"/>
  <c r="O153" i="4"/>
  <c r="P153" i="4"/>
  <c r="Q153" i="4"/>
  <c r="R153" i="4"/>
  <c r="S153" i="4"/>
  <c r="T153" i="4"/>
  <c r="U153" i="4"/>
  <c r="O154" i="4"/>
  <c r="P154" i="4"/>
  <c r="Q154" i="4"/>
  <c r="R154" i="4"/>
  <c r="S154" i="4"/>
  <c r="T154" i="4"/>
  <c r="U154" i="4"/>
  <c r="O155" i="4"/>
  <c r="P155" i="4"/>
  <c r="Q155" i="4"/>
  <c r="R155" i="4"/>
  <c r="S155" i="4"/>
  <c r="T155" i="4"/>
  <c r="U155" i="4"/>
  <c r="O156" i="4"/>
  <c r="P156" i="4"/>
  <c r="Q156" i="4"/>
  <c r="R156" i="4"/>
  <c r="S156" i="4"/>
  <c r="T156" i="4"/>
  <c r="U156" i="4"/>
  <c r="O157" i="4"/>
  <c r="P157" i="4"/>
  <c r="Q157" i="4"/>
  <c r="R157" i="4"/>
  <c r="S157" i="4"/>
  <c r="T157" i="4"/>
  <c r="U157" i="4"/>
  <c r="O158" i="4"/>
  <c r="P158" i="4"/>
  <c r="Q158" i="4"/>
  <c r="R158" i="4"/>
  <c r="S158" i="4"/>
  <c r="T158" i="4"/>
  <c r="U158" i="4"/>
  <c r="O159" i="4"/>
  <c r="P159" i="4"/>
  <c r="Q159" i="4"/>
  <c r="R159" i="4"/>
  <c r="S159" i="4"/>
  <c r="T159" i="4"/>
  <c r="U159" i="4"/>
  <c r="O160" i="4"/>
  <c r="P160" i="4"/>
  <c r="Q160" i="4"/>
  <c r="R160" i="4"/>
  <c r="S160" i="4"/>
  <c r="T160" i="4"/>
  <c r="U160" i="4"/>
  <c r="O161" i="4"/>
  <c r="P161" i="4"/>
  <c r="Q161" i="4"/>
  <c r="R161" i="4"/>
  <c r="S161" i="4"/>
  <c r="T161" i="4"/>
  <c r="U161" i="4"/>
  <c r="O162" i="4"/>
  <c r="P162" i="4"/>
  <c r="Q162" i="4"/>
  <c r="R162" i="4"/>
  <c r="S162" i="4"/>
  <c r="T162" i="4"/>
  <c r="U162" i="4"/>
  <c r="O163" i="4"/>
  <c r="P163" i="4"/>
  <c r="Q163" i="4"/>
  <c r="R163" i="4"/>
  <c r="S163" i="4"/>
  <c r="T163" i="4"/>
  <c r="U163" i="4"/>
  <c r="O164" i="4"/>
  <c r="P164" i="4"/>
  <c r="Q164" i="4"/>
  <c r="R164" i="4"/>
  <c r="S164" i="4"/>
  <c r="T164" i="4"/>
  <c r="U164" i="4"/>
  <c r="O165" i="4"/>
  <c r="P165" i="4"/>
  <c r="Q165" i="4"/>
  <c r="R165" i="4"/>
  <c r="S165" i="4"/>
  <c r="T165" i="4"/>
  <c r="U165" i="4"/>
  <c r="O166" i="4"/>
  <c r="P166" i="4"/>
  <c r="Q166" i="4"/>
  <c r="R166" i="4"/>
  <c r="S166" i="4"/>
  <c r="T166" i="4"/>
  <c r="U166" i="4"/>
  <c r="O167" i="4"/>
  <c r="P167" i="4"/>
  <c r="Q167" i="4"/>
  <c r="R167" i="4"/>
  <c r="S167" i="4"/>
  <c r="T167" i="4"/>
  <c r="U167" i="4"/>
  <c r="O168" i="4"/>
  <c r="P168" i="4"/>
  <c r="Q168" i="4"/>
  <c r="R168" i="4"/>
  <c r="S168" i="4"/>
  <c r="T168" i="4"/>
  <c r="U168" i="4"/>
  <c r="O169" i="4"/>
  <c r="P169" i="4"/>
  <c r="Q169" i="4"/>
  <c r="R169" i="4"/>
  <c r="S169" i="4"/>
  <c r="T169" i="4"/>
  <c r="U169" i="4"/>
  <c r="O170" i="4"/>
  <c r="P170" i="4"/>
  <c r="Q170" i="4"/>
  <c r="R170" i="4"/>
  <c r="S170" i="4"/>
  <c r="T170" i="4"/>
  <c r="U170" i="4"/>
  <c r="O171" i="4"/>
  <c r="P171" i="4"/>
  <c r="Q171" i="4"/>
  <c r="R171" i="4"/>
  <c r="S171" i="4"/>
  <c r="T171" i="4"/>
  <c r="U171" i="4"/>
  <c r="O172" i="4"/>
  <c r="P172" i="4"/>
  <c r="Q172" i="4"/>
  <c r="R172" i="4"/>
  <c r="S172" i="4"/>
  <c r="T172" i="4"/>
  <c r="U172" i="4"/>
  <c r="O173" i="4"/>
  <c r="P173" i="4"/>
  <c r="Q173" i="4"/>
  <c r="R173" i="4"/>
  <c r="S173" i="4"/>
  <c r="T173" i="4"/>
  <c r="U173" i="4"/>
  <c r="O174" i="4"/>
  <c r="P174" i="4"/>
  <c r="Q174" i="4"/>
  <c r="R174" i="4"/>
  <c r="S174" i="4"/>
  <c r="T174" i="4"/>
  <c r="U174" i="4"/>
  <c r="O175" i="4"/>
  <c r="P175" i="4"/>
  <c r="Q175" i="4"/>
  <c r="R175" i="4"/>
  <c r="S175" i="4"/>
  <c r="T175" i="4"/>
  <c r="U175" i="4"/>
  <c r="O176" i="4"/>
  <c r="P176" i="4"/>
  <c r="Q176" i="4"/>
  <c r="R176" i="4"/>
  <c r="S176" i="4"/>
  <c r="T176" i="4"/>
  <c r="U176" i="4"/>
  <c r="O177" i="4"/>
  <c r="P177" i="4"/>
  <c r="Q177" i="4"/>
  <c r="R177" i="4"/>
  <c r="S177" i="4"/>
  <c r="T177" i="4"/>
  <c r="U177" i="4"/>
  <c r="O178" i="4"/>
  <c r="P178" i="4"/>
  <c r="Q178" i="4"/>
  <c r="R178" i="4"/>
  <c r="S178" i="4"/>
  <c r="T178" i="4"/>
  <c r="U178" i="4"/>
  <c r="O179" i="4"/>
  <c r="P179" i="4"/>
  <c r="Q179" i="4"/>
  <c r="R179" i="4"/>
  <c r="S179" i="4"/>
  <c r="T179" i="4"/>
  <c r="U179" i="4"/>
  <c r="O180" i="4"/>
  <c r="P180" i="4"/>
  <c r="Q180" i="4"/>
  <c r="R180" i="4"/>
  <c r="S180" i="4"/>
  <c r="T180" i="4"/>
  <c r="U180" i="4"/>
  <c r="O181" i="4"/>
  <c r="P181" i="4"/>
  <c r="Q181" i="4"/>
  <c r="R181" i="4"/>
  <c r="S181" i="4"/>
  <c r="T181" i="4"/>
  <c r="U181" i="4"/>
  <c r="O182" i="4"/>
  <c r="P182" i="4"/>
  <c r="Q182" i="4"/>
  <c r="R182" i="4"/>
  <c r="S182" i="4"/>
  <c r="T182" i="4"/>
  <c r="U182" i="4"/>
  <c r="O183" i="4"/>
  <c r="P183" i="4"/>
  <c r="Q183" i="4"/>
  <c r="R183" i="4"/>
  <c r="S183" i="4"/>
  <c r="T183" i="4"/>
  <c r="U183" i="4"/>
  <c r="O184" i="4"/>
  <c r="P184" i="4"/>
  <c r="Q184" i="4"/>
  <c r="R184" i="4"/>
  <c r="S184" i="4"/>
  <c r="T184" i="4"/>
  <c r="U184" i="4"/>
  <c r="O185" i="4"/>
  <c r="P185" i="4"/>
  <c r="Q185" i="4"/>
  <c r="R185" i="4"/>
  <c r="S185" i="4"/>
  <c r="T185" i="4"/>
  <c r="U185" i="4"/>
  <c r="O186" i="4"/>
  <c r="P186" i="4"/>
  <c r="Q186" i="4"/>
  <c r="R186" i="4"/>
  <c r="S186" i="4"/>
  <c r="T186" i="4"/>
  <c r="U186" i="4"/>
  <c r="O187" i="4"/>
  <c r="P187" i="4"/>
  <c r="Q187" i="4"/>
  <c r="R187" i="4"/>
  <c r="S187" i="4"/>
  <c r="T187" i="4"/>
  <c r="U187" i="4"/>
  <c r="O188" i="4"/>
  <c r="P188" i="4"/>
  <c r="Q188" i="4"/>
  <c r="R188" i="4"/>
  <c r="S188" i="4"/>
  <c r="T188" i="4"/>
  <c r="U188" i="4"/>
  <c r="O189" i="4"/>
  <c r="P189" i="4"/>
  <c r="Q189" i="4"/>
  <c r="R189" i="4"/>
  <c r="S189" i="4"/>
  <c r="T189" i="4"/>
  <c r="U189" i="4"/>
  <c r="O190" i="4"/>
  <c r="P190" i="4"/>
  <c r="Q190" i="4"/>
  <c r="R190" i="4"/>
  <c r="S190" i="4"/>
  <c r="T190" i="4"/>
  <c r="U190" i="4"/>
  <c r="O191" i="4"/>
  <c r="P191" i="4"/>
  <c r="Q191" i="4"/>
  <c r="R191" i="4"/>
  <c r="S191" i="4"/>
  <c r="T191" i="4"/>
  <c r="U191" i="4"/>
  <c r="O192" i="4"/>
  <c r="P192" i="4"/>
  <c r="Q192" i="4"/>
  <c r="R192" i="4"/>
  <c r="S192" i="4"/>
  <c r="T192" i="4"/>
  <c r="U192" i="4"/>
  <c r="O193" i="4"/>
  <c r="P193" i="4"/>
  <c r="Q193" i="4"/>
  <c r="R193" i="4"/>
  <c r="S193" i="4"/>
  <c r="T193" i="4"/>
  <c r="U193" i="4"/>
  <c r="O194" i="4"/>
  <c r="P194" i="4"/>
  <c r="Q194" i="4"/>
  <c r="R194" i="4"/>
  <c r="S194" i="4"/>
  <c r="T194" i="4"/>
  <c r="U194" i="4"/>
  <c r="O195" i="4"/>
  <c r="P195" i="4"/>
  <c r="Q195" i="4"/>
  <c r="R195" i="4"/>
  <c r="S195" i="4"/>
  <c r="T195" i="4"/>
  <c r="U195" i="4"/>
  <c r="O196" i="4"/>
  <c r="P196" i="4"/>
  <c r="Q196" i="4"/>
  <c r="R196" i="4"/>
  <c r="S196" i="4"/>
  <c r="T196" i="4"/>
  <c r="U196" i="4"/>
  <c r="O197" i="4"/>
  <c r="P197" i="4"/>
  <c r="Q197" i="4"/>
  <c r="R197" i="4"/>
  <c r="S197" i="4"/>
  <c r="T197" i="4"/>
  <c r="U197" i="4"/>
  <c r="O198" i="4"/>
  <c r="P198" i="4"/>
  <c r="Q198" i="4"/>
  <c r="R198" i="4"/>
  <c r="S198" i="4"/>
  <c r="T198" i="4"/>
  <c r="U198" i="4"/>
  <c r="O199" i="4"/>
  <c r="P199" i="4"/>
  <c r="Q199" i="4"/>
  <c r="R199" i="4"/>
  <c r="S199" i="4"/>
  <c r="T199" i="4"/>
  <c r="U199" i="4"/>
  <c r="O200" i="4"/>
  <c r="P200" i="4"/>
  <c r="Q200" i="4"/>
  <c r="R200" i="4"/>
  <c r="S200" i="4"/>
  <c r="T200" i="4"/>
  <c r="U200" i="4"/>
  <c r="O201" i="4"/>
  <c r="P201" i="4"/>
  <c r="Q201" i="4"/>
  <c r="R201" i="4"/>
  <c r="S201" i="4"/>
  <c r="T201" i="4"/>
  <c r="U201" i="4"/>
  <c r="O202" i="4"/>
  <c r="P202" i="4"/>
  <c r="Q202" i="4"/>
  <c r="R202" i="4"/>
  <c r="S202" i="4"/>
  <c r="T202" i="4"/>
  <c r="U202" i="4"/>
  <c r="O203" i="4"/>
  <c r="P203" i="4"/>
  <c r="Q203" i="4"/>
  <c r="R203" i="4"/>
  <c r="S203" i="4"/>
  <c r="T203" i="4"/>
  <c r="U203" i="4"/>
  <c r="O204" i="4"/>
  <c r="P204" i="4"/>
  <c r="Q204" i="4"/>
  <c r="R204" i="4"/>
  <c r="S204" i="4"/>
  <c r="T204" i="4"/>
  <c r="U204" i="4"/>
  <c r="O205" i="4"/>
  <c r="P205" i="4"/>
  <c r="Q205" i="4"/>
  <c r="R205" i="4"/>
  <c r="S205" i="4"/>
  <c r="T205" i="4"/>
  <c r="U205" i="4"/>
  <c r="O206" i="4"/>
  <c r="P206" i="4"/>
  <c r="Q206" i="4"/>
  <c r="R206" i="4"/>
  <c r="S206" i="4"/>
  <c r="T206" i="4"/>
  <c r="U206" i="4"/>
  <c r="O207" i="4"/>
  <c r="P207" i="4"/>
  <c r="Q207" i="4"/>
  <c r="R207" i="4"/>
  <c r="S207" i="4"/>
  <c r="T207" i="4"/>
  <c r="U207" i="4"/>
  <c r="O208" i="4"/>
  <c r="P208" i="4"/>
  <c r="Q208" i="4"/>
  <c r="R208" i="4"/>
  <c r="S208" i="4"/>
  <c r="T208" i="4"/>
  <c r="U208" i="4"/>
  <c r="O209" i="4"/>
  <c r="P209" i="4"/>
  <c r="Q209" i="4"/>
  <c r="R209" i="4"/>
  <c r="S209" i="4"/>
  <c r="T209" i="4"/>
  <c r="U209" i="4"/>
  <c r="O210" i="4"/>
  <c r="P210" i="4"/>
  <c r="Q210" i="4"/>
  <c r="R210" i="4"/>
  <c r="S210" i="4"/>
  <c r="T210" i="4"/>
  <c r="U210" i="4"/>
  <c r="O211" i="4"/>
  <c r="P211" i="4"/>
  <c r="Q211" i="4"/>
  <c r="R211" i="4"/>
  <c r="S211" i="4"/>
  <c r="T211" i="4"/>
  <c r="U211" i="4"/>
  <c r="O212" i="4"/>
  <c r="P212" i="4"/>
  <c r="Q212" i="4"/>
  <c r="R212" i="4"/>
  <c r="S212" i="4"/>
  <c r="T212" i="4"/>
  <c r="U212" i="4"/>
  <c r="O213" i="4"/>
  <c r="P213" i="4"/>
  <c r="Q213" i="4"/>
  <c r="R213" i="4"/>
  <c r="S213" i="4"/>
  <c r="T213" i="4"/>
  <c r="U213" i="4"/>
  <c r="O214" i="4"/>
  <c r="P214" i="4"/>
  <c r="Q214" i="4"/>
  <c r="R214" i="4"/>
  <c r="S214" i="4"/>
  <c r="T214" i="4"/>
  <c r="U214" i="4"/>
  <c r="O215" i="4"/>
  <c r="P215" i="4"/>
  <c r="Q215" i="4"/>
  <c r="R215" i="4"/>
  <c r="S215" i="4"/>
  <c r="T215" i="4"/>
  <c r="U215" i="4"/>
  <c r="O216" i="4"/>
  <c r="P216" i="4"/>
  <c r="Q216" i="4"/>
  <c r="R216" i="4"/>
  <c r="S216" i="4"/>
  <c r="T216" i="4"/>
  <c r="U216" i="4"/>
  <c r="O217" i="4"/>
  <c r="P217" i="4"/>
  <c r="Q217" i="4"/>
  <c r="R217" i="4"/>
  <c r="S217" i="4"/>
  <c r="T217" i="4"/>
  <c r="U217" i="4"/>
  <c r="O218" i="4"/>
  <c r="P218" i="4"/>
  <c r="Q218" i="4"/>
  <c r="R218" i="4"/>
  <c r="S218" i="4"/>
  <c r="T218" i="4"/>
  <c r="U218" i="4"/>
  <c r="O219" i="4"/>
  <c r="P219" i="4"/>
  <c r="Q219" i="4"/>
  <c r="R219" i="4"/>
  <c r="S219" i="4"/>
  <c r="T219" i="4"/>
  <c r="U219" i="4"/>
  <c r="O220" i="4"/>
  <c r="P220" i="4"/>
  <c r="Q220" i="4"/>
  <c r="R220" i="4"/>
  <c r="S220" i="4"/>
  <c r="T220" i="4"/>
  <c r="U220" i="4"/>
  <c r="O221" i="4"/>
  <c r="P221" i="4"/>
  <c r="Q221" i="4"/>
  <c r="R221" i="4"/>
  <c r="S221" i="4"/>
  <c r="T221" i="4"/>
  <c r="U221" i="4"/>
  <c r="O222" i="4"/>
  <c r="P222" i="4"/>
  <c r="Q222" i="4"/>
  <c r="R222" i="4"/>
  <c r="S222" i="4"/>
  <c r="T222" i="4"/>
  <c r="U222" i="4"/>
  <c r="O223" i="4"/>
  <c r="P223" i="4"/>
  <c r="Q223" i="4"/>
  <c r="R223" i="4"/>
  <c r="S223" i="4"/>
  <c r="T223" i="4"/>
  <c r="U223" i="4"/>
  <c r="O224" i="4"/>
  <c r="P224" i="4"/>
  <c r="Q224" i="4"/>
  <c r="R224" i="4"/>
  <c r="S224" i="4"/>
  <c r="T224" i="4"/>
  <c r="U224" i="4"/>
  <c r="O225" i="4"/>
  <c r="P225" i="4"/>
  <c r="Q225" i="4"/>
  <c r="R225" i="4"/>
  <c r="S225" i="4"/>
  <c r="T225" i="4"/>
  <c r="U225" i="4"/>
  <c r="O226" i="4"/>
  <c r="P226" i="4"/>
  <c r="Q226" i="4"/>
  <c r="R226" i="4"/>
  <c r="S226" i="4"/>
  <c r="T226" i="4"/>
  <c r="U226" i="4"/>
  <c r="O227" i="4"/>
  <c r="P227" i="4"/>
  <c r="Q227" i="4"/>
  <c r="R227" i="4"/>
  <c r="S227" i="4"/>
  <c r="T227" i="4"/>
  <c r="U227" i="4"/>
  <c r="O228" i="4"/>
  <c r="P228" i="4"/>
  <c r="Q228" i="4"/>
  <c r="R228" i="4"/>
  <c r="S228" i="4"/>
  <c r="T228" i="4"/>
  <c r="U228" i="4"/>
  <c r="O229" i="4"/>
  <c r="P229" i="4"/>
  <c r="Q229" i="4"/>
  <c r="R229" i="4"/>
  <c r="S229" i="4"/>
  <c r="T229" i="4"/>
  <c r="U229" i="4"/>
  <c r="O230" i="4"/>
  <c r="P230" i="4"/>
  <c r="Q230" i="4"/>
  <c r="R230" i="4"/>
  <c r="S230" i="4"/>
  <c r="T230" i="4"/>
  <c r="U230" i="4"/>
  <c r="O231" i="4"/>
  <c r="P231" i="4"/>
  <c r="Q231" i="4"/>
  <c r="R231" i="4"/>
  <c r="S231" i="4"/>
  <c r="T231" i="4"/>
  <c r="U231" i="4"/>
  <c r="O232" i="4"/>
  <c r="P232" i="4"/>
  <c r="Q232" i="4"/>
  <c r="R232" i="4"/>
  <c r="S232" i="4"/>
  <c r="T232" i="4"/>
  <c r="U232" i="4"/>
  <c r="O233" i="4"/>
  <c r="P233" i="4"/>
  <c r="Q233" i="4"/>
  <c r="R233" i="4"/>
  <c r="S233" i="4"/>
  <c r="T233" i="4"/>
  <c r="U233" i="4"/>
  <c r="O234" i="4"/>
  <c r="P234" i="4"/>
  <c r="Q234" i="4"/>
  <c r="R234" i="4"/>
  <c r="S234" i="4"/>
  <c r="T234" i="4"/>
  <c r="U234" i="4"/>
  <c r="O235" i="4"/>
  <c r="P235" i="4"/>
  <c r="Q235" i="4"/>
  <c r="R235" i="4"/>
  <c r="S235" i="4"/>
  <c r="T235" i="4"/>
  <c r="U235" i="4"/>
  <c r="O236" i="4"/>
  <c r="P236" i="4"/>
  <c r="Q236" i="4"/>
  <c r="R236" i="4"/>
  <c r="S236" i="4"/>
  <c r="T236" i="4"/>
  <c r="U236" i="4"/>
  <c r="O237" i="4"/>
  <c r="P237" i="4"/>
  <c r="Q237" i="4"/>
  <c r="R237" i="4"/>
  <c r="S237" i="4"/>
  <c r="T237" i="4"/>
  <c r="U237" i="4"/>
  <c r="O238" i="4"/>
  <c r="P238" i="4"/>
  <c r="Q238" i="4"/>
  <c r="R238" i="4"/>
  <c r="S238" i="4"/>
  <c r="T238" i="4"/>
  <c r="U238" i="4"/>
  <c r="O239" i="4"/>
  <c r="P239" i="4"/>
  <c r="Q239" i="4"/>
  <c r="R239" i="4"/>
  <c r="S239" i="4"/>
  <c r="T239" i="4"/>
  <c r="U239" i="4"/>
  <c r="O240" i="4"/>
  <c r="P240" i="4"/>
  <c r="Q240" i="4"/>
  <c r="R240" i="4"/>
  <c r="S240" i="4"/>
  <c r="T240" i="4"/>
  <c r="U240" i="4"/>
  <c r="O241" i="4"/>
  <c r="P241" i="4"/>
  <c r="Q241" i="4"/>
  <c r="R241" i="4"/>
  <c r="S241" i="4"/>
  <c r="T241" i="4"/>
  <c r="U241" i="4"/>
  <c r="O242" i="4"/>
  <c r="P242" i="4"/>
  <c r="Q242" i="4"/>
  <c r="R242" i="4"/>
  <c r="S242" i="4"/>
  <c r="T242" i="4"/>
  <c r="U242" i="4"/>
  <c r="O243" i="4"/>
  <c r="P243" i="4"/>
  <c r="Q243" i="4"/>
  <c r="R243" i="4"/>
  <c r="S243" i="4"/>
  <c r="T243" i="4"/>
  <c r="U243" i="4"/>
  <c r="O244" i="4"/>
  <c r="P244" i="4"/>
  <c r="Q244" i="4"/>
  <c r="R244" i="4"/>
  <c r="S244" i="4"/>
  <c r="T244" i="4"/>
  <c r="U244" i="4"/>
  <c r="O245" i="4"/>
  <c r="P245" i="4"/>
  <c r="Q245" i="4"/>
  <c r="R245" i="4"/>
  <c r="S245" i="4"/>
  <c r="T245" i="4"/>
  <c r="U245" i="4"/>
  <c r="O246" i="4"/>
  <c r="P246" i="4"/>
  <c r="Q246" i="4"/>
  <c r="R246" i="4"/>
  <c r="S246" i="4"/>
  <c r="T246" i="4"/>
  <c r="U246" i="4"/>
  <c r="O247" i="4"/>
  <c r="P247" i="4"/>
  <c r="Q247" i="4"/>
  <c r="R247" i="4"/>
  <c r="S247" i="4"/>
  <c r="T247" i="4"/>
  <c r="U247" i="4"/>
  <c r="O248" i="4"/>
  <c r="P248" i="4"/>
  <c r="Q248" i="4"/>
  <c r="R248" i="4"/>
  <c r="S248" i="4"/>
  <c r="T248" i="4"/>
  <c r="U248" i="4"/>
  <c r="O249" i="4"/>
  <c r="P249" i="4"/>
  <c r="Q249" i="4"/>
  <c r="R249" i="4"/>
  <c r="S249" i="4"/>
  <c r="T249" i="4"/>
  <c r="U249" i="4"/>
  <c r="O250" i="4"/>
  <c r="P250" i="4"/>
  <c r="Q250" i="4"/>
  <c r="R250" i="4"/>
  <c r="S250" i="4"/>
  <c r="T250" i="4"/>
  <c r="U250" i="4"/>
  <c r="O251" i="4"/>
  <c r="P251" i="4"/>
  <c r="Q251" i="4"/>
  <c r="R251" i="4"/>
  <c r="S251" i="4"/>
  <c r="T251" i="4"/>
  <c r="U251" i="4"/>
  <c r="O252" i="4"/>
  <c r="P252" i="4"/>
  <c r="Q252" i="4"/>
  <c r="R252" i="4"/>
  <c r="S252" i="4"/>
  <c r="T252" i="4"/>
  <c r="U252" i="4"/>
  <c r="O253" i="4"/>
  <c r="P253" i="4"/>
  <c r="Q253" i="4"/>
  <c r="R253" i="4"/>
  <c r="S253" i="4"/>
  <c r="T253" i="4"/>
  <c r="U253" i="4"/>
  <c r="O254" i="4"/>
  <c r="P254" i="4"/>
  <c r="Q254" i="4"/>
  <c r="R254" i="4"/>
  <c r="S254" i="4"/>
  <c r="T254" i="4"/>
  <c r="U254" i="4"/>
  <c r="O255" i="4"/>
  <c r="P255" i="4"/>
  <c r="Q255" i="4"/>
  <c r="R255" i="4"/>
  <c r="S255" i="4"/>
  <c r="T255" i="4"/>
  <c r="U255" i="4"/>
  <c r="O256" i="4"/>
  <c r="P256" i="4"/>
  <c r="Q256" i="4"/>
  <c r="R256" i="4"/>
  <c r="S256" i="4"/>
  <c r="T256" i="4"/>
  <c r="U256" i="4"/>
  <c r="O257" i="4"/>
  <c r="P257" i="4"/>
  <c r="Q257" i="4"/>
  <c r="R257" i="4"/>
  <c r="S257" i="4"/>
  <c r="T257" i="4"/>
  <c r="U257" i="4"/>
  <c r="O258" i="4"/>
  <c r="P258" i="4"/>
  <c r="Q258" i="4"/>
  <c r="R258" i="4"/>
  <c r="S258" i="4"/>
  <c r="T258" i="4"/>
  <c r="U258" i="4"/>
  <c r="O259" i="4"/>
  <c r="P259" i="4"/>
  <c r="Q259" i="4"/>
  <c r="R259" i="4"/>
  <c r="S259" i="4"/>
  <c r="T259" i="4"/>
  <c r="U259" i="4"/>
  <c r="O260" i="4"/>
  <c r="P260" i="4"/>
  <c r="Q260" i="4"/>
  <c r="R260" i="4"/>
  <c r="S260" i="4"/>
  <c r="T260" i="4"/>
  <c r="U260" i="4"/>
  <c r="O261" i="4"/>
  <c r="P261" i="4"/>
  <c r="Q261" i="4"/>
  <c r="R261" i="4"/>
  <c r="S261" i="4"/>
  <c r="T261" i="4"/>
  <c r="U261" i="4"/>
  <c r="O262" i="4"/>
  <c r="P262" i="4"/>
  <c r="Q262" i="4"/>
  <c r="R262" i="4"/>
  <c r="S262" i="4"/>
  <c r="T262" i="4"/>
  <c r="U262" i="4"/>
  <c r="O263" i="4"/>
  <c r="P263" i="4"/>
  <c r="Q263" i="4"/>
  <c r="R263" i="4"/>
  <c r="S263" i="4"/>
  <c r="T263" i="4"/>
  <c r="U263" i="4"/>
  <c r="O264" i="4"/>
  <c r="P264" i="4"/>
  <c r="Q264" i="4"/>
  <c r="R264" i="4"/>
  <c r="S264" i="4"/>
  <c r="T264" i="4"/>
  <c r="U264" i="4"/>
  <c r="O265" i="4"/>
  <c r="P265" i="4"/>
  <c r="Q265" i="4"/>
  <c r="R265" i="4"/>
  <c r="S265" i="4"/>
  <c r="T265" i="4"/>
  <c r="U265" i="4"/>
  <c r="O266" i="4"/>
  <c r="P266" i="4"/>
  <c r="Q266" i="4"/>
  <c r="R266" i="4"/>
  <c r="S266" i="4"/>
  <c r="T266" i="4"/>
  <c r="U266" i="4"/>
  <c r="O267" i="4"/>
  <c r="P267" i="4"/>
  <c r="Q267" i="4"/>
  <c r="R267" i="4"/>
  <c r="S267" i="4"/>
  <c r="T267" i="4"/>
  <c r="U267" i="4"/>
  <c r="O268" i="4"/>
  <c r="P268" i="4"/>
  <c r="Q268" i="4"/>
  <c r="R268" i="4"/>
  <c r="S268" i="4"/>
  <c r="T268" i="4"/>
  <c r="U268" i="4"/>
  <c r="O269" i="4"/>
  <c r="P269" i="4"/>
  <c r="Q269" i="4"/>
  <c r="R269" i="4"/>
  <c r="S269" i="4"/>
  <c r="T269" i="4"/>
  <c r="U269" i="4"/>
  <c r="O270" i="4"/>
  <c r="P270" i="4"/>
  <c r="Q270" i="4"/>
  <c r="R270" i="4"/>
  <c r="S270" i="4"/>
  <c r="T270" i="4"/>
  <c r="U270" i="4"/>
  <c r="O271" i="4"/>
  <c r="P271" i="4"/>
  <c r="Q271" i="4"/>
  <c r="R271" i="4"/>
  <c r="S271" i="4"/>
  <c r="T271" i="4"/>
  <c r="U271" i="4"/>
  <c r="O272" i="4"/>
  <c r="P272" i="4"/>
  <c r="Q272" i="4"/>
  <c r="R272" i="4"/>
  <c r="S272" i="4"/>
  <c r="T272" i="4"/>
  <c r="U272" i="4"/>
  <c r="O273" i="4"/>
  <c r="P273" i="4"/>
  <c r="Q273" i="4"/>
  <c r="R273" i="4"/>
  <c r="S273" i="4"/>
  <c r="T273" i="4"/>
  <c r="U273" i="4"/>
  <c r="O274" i="4"/>
  <c r="P274" i="4"/>
  <c r="Q274" i="4"/>
  <c r="R274" i="4"/>
  <c r="S274" i="4"/>
  <c r="T274" i="4"/>
  <c r="U274" i="4"/>
  <c r="O275" i="4"/>
  <c r="P275" i="4"/>
  <c r="Q275" i="4"/>
  <c r="R275" i="4"/>
  <c r="S275" i="4"/>
  <c r="T275" i="4"/>
  <c r="U275" i="4"/>
  <c r="O276" i="4"/>
  <c r="P276" i="4"/>
  <c r="Q276" i="4"/>
  <c r="R276" i="4"/>
  <c r="S276" i="4"/>
  <c r="T276" i="4"/>
  <c r="U276" i="4"/>
  <c r="O277" i="4"/>
  <c r="P277" i="4"/>
  <c r="Q277" i="4"/>
  <c r="R277" i="4"/>
  <c r="S277" i="4"/>
  <c r="T277" i="4"/>
  <c r="U277" i="4"/>
  <c r="O278" i="4"/>
  <c r="P278" i="4"/>
  <c r="Q278" i="4"/>
  <c r="R278" i="4"/>
  <c r="S278" i="4"/>
  <c r="T278" i="4"/>
  <c r="U278" i="4"/>
  <c r="O279" i="4"/>
  <c r="P279" i="4"/>
  <c r="Q279" i="4"/>
  <c r="R279" i="4"/>
  <c r="S279" i="4"/>
  <c r="T279" i="4"/>
  <c r="U279" i="4"/>
  <c r="O280" i="4"/>
  <c r="P280" i="4"/>
  <c r="Q280" i="4"/>
  <c r="R280" i="4"/>
  <c r="S280" i="4"/>
  <c r="T280" i="4"/>
  <c r="U280" i="4"/>
  <c r="O281" i="4"/>
  <c r="P281" i="4"/>
  <c r="Q281" i="4"/>
  <c r="R281" i="4"/>
  <c r="S281" i="4"/>
  <c r="T281" i="4"/>
  <c r="U281" i="4"/>
  <c r="O282" i="4"/>
  <c r="P282" i="4"/>
  <c r="Q282" i="4"/>
  <c r="R282" i="4"/>
  <c r="S282" i="4"/>
  <c r="T282" i="4"/>
  <c r="U282" i="4"/>
  <c r="O283" i="4"/>
  <c r="P283" i="4"/>
  <c r="Q283" i="4"/>
  <c r="R283" i="4"/>
  <c r="S283" i="4"/>
  <c r="T283" i="4"/>
  <c r="U283" i="4"/>
  <c r="O284" i="4"/>
  <c r="P284" i="4"/>
  <c r="Q284" i="4"/>
  <c r="R284" i="4"/>
  <c r="S284" i="4"/>
  <c r="T284" i="4"/>
  <c r="U284" i="4"/>
  <c r="O285" i="4"/>
  <c r="P285" i="4"/>
  <c r="Q285" i="4"/>
  <c r="R285" i="4"/>
  <c r="S285" i="4"/>
  <c r="T285" i="4"/>
  <c r="U285" i="4"/>
  <c r="O286" i="4"/>
  <c r="P286" i="4"/>
  <c r="Q286" i="4"/>
  <c r="R286" i="4"/>
  <c r="S286" i="4"/>
  <c r="T286" i="4"/>
  <c r="U286" i="4"/>
  <c r="O287" i="4"/>
  <c r="P287" i="4"/>
  <c r="Q287" i="4"/>
  <c r="R287" i="4"/>
  <c r="S287" i="4"/>
  <c r="T287" i="4"/>
  <c r="U287" i="4"/>
  <c r="O288" i="4"/>
  <c r="P288" i="4"/>
  <c r="Q288" i="4"/>
  <c r="R288" i="4"/>
  <c r="S288" i="4"/>
  <c r="T288" i="4"/>
  <c r="U288" i="4"/>
  <c r="O289" i="4"/>
  <c r="P289" i="4"/>
  <c r="Q289" i="4"/>
  <c r="R289" i="4"/>
  <c r="S289" i="4"/>
  <c r="T289" i="4"/>
  <c r="U289" i="4"/>
  <c r="O290" i="4"/>
  <c r="P290" i="4"/>
  <c r="Q290" i="4"/>
  <c r="R290" i="4"/>
  <c r="S290" i="4"/>
  <c r="T290" i="4"/>
  <c r="U290" i="4"/>
  <c r="O291" i="4"/>
  <c r="P291" i="4"/>
  <c r="Q291" i="4"/>
  <c r="R291" i="4"/>
  <c r="S291" i="4"/>
  <c r="T291" i="4"/>
  <c r="U291" i="4"/>
  <c r="O292" i="4"/>
  <c r="P292" i="4"/>
  <c r="Q292" i="4"/>
  <c r="R292" i="4"/>
  <c r="S292" i="4"/>
  <c r="T292" i="4"/>
  <c r="U292" i="4"/>
  <c r="O293" i="4"/>
  <c r="P293" i="4"/>
  <c r="Q293" i="4"/>
  <c r="R293" i="4"/>
  <c r="S293" i="4"/>
  <c r="T293" i="4"/>
  <c r="U293" i="4"/>
  <c r="O294" i="4"/>
  <c r="P294" i="4"/>
  <c r="Q294" i="4"/>
  <c r="R294" i="4"/>
  <c r="S294" i="4"/>
  <c r="T294" i="4"/>
  <c r="U294" i="4"/>
  <c r="O295" i="4"/>
  <c r="P295" i="4"/>
  <c r="Q295" i="4"/>
  <c r="R295" i="4"/>
  <c r="S295" i="4"/>
  <c r="T295" i="4"/>
  <c r="U295" i="4"/>
  <c r="O296" i="4"/>
  <c r="P296" i="4"/>
  <c r="Q296" i="4"/>
  <c r="R296" i="4"/>
  <c r="S296" i="4"/>
  <c r="T296" i="4"/>
  <c r="U296" i="4"/>
  <c r="O297" i="4"/>
  <c r="P297" i="4"/>
  <c r="Q297" i="4"/>
  <c r="R297" i="4"/>
  <c r="S297" i="4"/>
  <c r="T297" i="4"/>
  <c r="U297" i="4"/>
  <c r="O298" i="4"/>
  <c r="P298" i="4"/>
  <c r="Q298" i="4"/>
  <c r="R298" i="4"/>
  <c r="S298" i="4"/>
  <c r="T298" i="4"/>
  <c r="U298" i="4"/>
  <c r="O299" i="4"/>
  <c r="P299" i="4"/>
  <c r="Q299" i="4"/>
  <c r="R299" i="4"/>
  <c r="S299" i="4"/>
  <c r="T299" i="4"/>
  <c r="U299" i="4"/>
  <c r="O300" i="4"/>
  <c r="P300" i="4"/>
  <c r="Q300" i="4"/>
  <c r="R300" i="4"/>
  <c r="S300" i="4"/>
  <c r="T300" i="4"/>
  <c r="U300" i="4"/>
  <c r="O301" i="4"/>
  <c r="P301" i="4"/>
  <c r="Q301" i="4"/>
  <c r="R301" i="4"/>
  <c r="S301" i="4"/>
  <c r="T301" i="4"/>
  <c r="U301" i="4"/>
  <c r="O302" i="4"/>
  <c r="P302" i="4"/>
  <c r="Q302" i="4"/>
  <c r="R302" i="4"/>
  <c r="S302" i="4"/>
  <c r="T302" i="4"/>
  <c r="U302" i="4"/>
  <c r="O303" i="4"/>
  <c r="P303" i="4"/>
  <c r="Q303" i="4"/>
  <c r="R303" i="4"/>
  <c r="S303" i="4"/>
  <c r="T303" i="4"/>
  <c r="U303" i="4"/>
  <c r="O304" i="4"/>
  <c r="P304" i="4"/>
  <c r="Q304" i="4"/>
  <c r="R304" i="4"/>
  <c r="S304" i="4"/>
  <c r="T304" i="4"/>
  <c r="U304" i="4"/>
  <c r="O305" i="4"/>
  <c r="P305" i="4"/>
  <c r="Q305" i="4"/>
  <c r="R305" i="4"/>
  <c r="S305" i="4"/>
  <c r="T305" i="4"/>
  <c r="U305" i="4"/>
  <c r="O306" i="4"/>
  <c r="P306" i="4"/>
  <c r="Q306" i="4"/>
  <c r="R306" i="4"/>
  <c r="S306" i="4"/>
  <c r="T306" i="4"/>
  <c r="U306" i="4"/>
  <c r="O307" i="4"/>
  <c r="P307" i="4"/>
  <c r="Q307" i="4"/>
  <c r="R307" i="4"/>
  <c r="S307" i="4"/>
  <c r="T307" i="4"/>
  <c r="U307" i="4"/>
  <c r="O308" i="4"/>
  <c r="P308" i="4"/>
  <c r="Q308" i="4"/>
  <c r="R308" i="4"/>
  <c r="S308" i="4"/>
  <c r="T308" i="4"/>
  <c r="U308" i="4"/>
  <c r="O309" i="4"/>
  <c r="P309" i="4"/>
  <c r="Q309" i="4"/>
  <c r="R309" i="4"/>
  <c r="S309" i="4"/>
  <c r="T309" i="4"/>
  <c r="U309" i="4"/>
  <c r="O310" i="4"/>
  <c r="P310" i="4"/>
  <c r="Q310" i="4"/>
  <c r="R310" i="4"/>
  <c r="S310" i="4"/>
  <c r="T310" i="4"/>
  <c r="U310" i="4"/>
  <c r="O311" i="4"/>
  <c r="P311" i="4"/>
  <c r="Q311" i="4"/>
  <c r="R311" i="4"/>
  <c r="S311" i="4"/>
  <c r="T311" i="4"/>
  <c r="U311" i="4"/>
  <c r="O312" i="4"/>
  <c r="P312" i="4"/>
  <c r="Q312" i="4"/>
  <c r="R312" i="4"/>
  <c r="S312" i="4"/>
  <c r="T312" i="4"/>
  <c r="U312" i="4"/>
  <c r="O313" i="4"/>
  <c r="P313" i="4"/>
  <c r="Q313" i="4"/>
  <c r="R313" i="4"/>
  <c r="S313" i="4"/>
  <c r="T313" i="4"/>
  <c r="U313" i="4"/>
  <c r="O314" i="4"/>
  <c r="P314" i="4"/>
  <c r="Q314" i="4"/>
  <c r="R314" i="4"/>
  <c r="S314" i="4"/>
  <c r="T314" i="4"/>
  <c r="U314" i="4"/>
  <c r="O315" i="4"/>
  <c r="P315" i="4"/>
  <c r="Q315" i="4"/>
  <c r="R315" i="4"/>
  <c r="S315" i="4"/>
  <c r="T315" i="4"/>
  <c r="U315" i="4"/>
  <c r="O316" i="4"/>
  <c r="P316" i="4"/>
  <c r="Q316" i="4"/>
  <c r="R316" i="4"/>
  <c r="S316" i="4"/>
  <c r="T316" i="4"/>
  <c r="U316" i="4"/>
  <c r="O317" i="4"/>
  <c r="P317" i="4"/>
  <c r="Q317" i="4"/>
  <c r="R317" i="4"/>
  <c r="S317" i="4"/>
  <c r="T317" i="4"/>
  <c r="U317" i="4"/>
  <c r="O318" i="4"/>
  <c r="P318" i="4"/>
  <c r="Q318" i="4"/>
  <c r="R318" i="4"/>
  <c r="S318" i="4"/>
  <c r="T318" i="4"/>
  <c r="U318" i="4"/>
  <c r="O319" i="4"/>
  <c r="P319" i="4"/>
  <c r="Q319" i="4"/>
  <c r="R319" i="4"/>
  <c r="S319" i="4"/>
  <c r="T319" i="4"/>
  <c r="U319" i="4"/>
  <c r="O320" i="4"/>
  <c r="P320" i="4"/>
  <c r="Q320" i="4"/>
  <c r="R320" i="4"/>
  <c r="S320" i="4"/>
  <c r="T320" i="4"/>
  <c r="U320" i="4"/>
  <c r="O321" i="4"/>
  <c r="P321" i="4"/>
  <c r="Q321" i="4"/>
  <c r="R321" i="4"/>
  <c r="S321" i="4"/>
  <c r="T321" i="4"/>
  <c r="U321" i="4"/>
  <c r="O322" i="4"/>
  <c r="P322" i="4"/>
  <c r="Q322" i="4"/>
  <c r="R322" i="4"/>
  <c r="S322" i="4"/>
  <c r="T322" i="4"/>
  <c r="U322" i="4"/>
  <c r="O323" i="4"/>
  <c r="P323" i="4"/>
  <c r="Q323" i="4"/>
  <c r="R323" i="4"/>
  <c r="S323" i="4"/>
  <c r="T323" i="4"/>
  <c r="U323" i="4"/>
  <c r="O324" i="4"/>
  <c r="P324" i="4"/>
  <c r="Q324" i="4"/>
  <c r="R324" i="4"/>
  <c r="S324" i="4"/>
  <c r="T324" i="4"/>
  <c r="U324" i="4"/>
  <c r="O325" i="4"/>
  <c r="P325" i="4"/>
  <c r="Q325" i="4"/>
  <c r="R325" i="4"/>
  <c r="S325" i="4"/>
  <c r="T325" i="4"/>
  <c r="U325" i="4"/>
  <c r="O326" i="4"/>
  <c r="P326" i="4"/>
  <c r="Q326" i="4"/>
  <c r="R326" i="4"/>
  <c r="S326" i="4"/>
  <c r="T326" i="4"/>
  <c r="U326" i="4"/>
  <c r="O327" i="4"/>
  <c r="P327" i="4"/>
  <c r="Q327" i="4"/>
  <c r="R327" i="4"/>
  <c r="S327" i="4"/>
  <c r="T327" i="4"/>
  <c r="U327" i="4"/>
  <c r="O328" i="4"/>
  <c r="P328" i="4"/>
  <c r="Q328" i="4"/>
  <c r="R328" i="4"/>
  <c r="S328" i="4"/>
  <c r="T328" i="4"/>
  <c r="U328" i="4"/>
  <c r="O329" i="4"/>
  <c r="P329" i="4"/>
  <c r="Q329" i="4"/>
  <c r="R329" i="4"/>
  <c r="S329" i="4"/>
  <c r="T329" i="4"/>
  <c r="U329" i="4"/>
  <c r="O330" i="4"/>
  <c r="P330" i="4"/>
  <c r="Q330" i="4"/>
  <c r="R330" i="4"/>
  <c r="S330" i="4"/>
  <c r="T330" i="4"/>
  <c r="U330" i="4"/>
  <c r="O331" i="4"/>
  <c r="P331" i="4"/>
  <c r="Q331" i="4"/>
  <c r="R331" i="4"/>
  <c r="S331" i="4"/>
  <c r="T331" i="4"/>
  <c r="U331" i="4"/>
  <c r="O332" i="4"/>
  <c r="P332" i="4"/>
  <c r="Q332" i="4"/>
  <c r="R332" i="4"/>
  <c r="S332" i="4"/>
  <c r="T332" i="4"/>
  <c r="U332" i="4"/>
  <c r="O333" i="4"/>
  <c r="P333" i="4"/>
  <c r="Q333" i="4"/>
  <c r="R333" i="4"/>
  <c r="S333" i="4"/>
  <c r="T333" i="4"/>
  <c r="U333" i="4"/>
  <c r="O334" i="4"/>
  <c r="P334" i="4"/>
  <c r="Q334" i="4"/>
  <c r="R334" i="4"/>
  <c r="S334" i="4"/>
  <c r="T334" i="4"/>
  <c r="U334" i="4"/>
  <c r="O335" i="4"/>
  <c r="P335" i="4"/>
  <c r="Q335" i="4"/>
  <c r="R335" i="4"/>
  <c r="S335" i="4"/>
  <c r="T335" i="4"/>
  <c r="U335" i="4"/>
  <c r="O336" i="4"/>
  <c r="P336" i="4"/>
  <c r="Q336" i="4"/>
  <c r="R336" i="4"/>
  <c r="S336" i="4"/>
  <c r="T336" i="4"/>
  <c r="U336" i="4"/>
  <c r="O337" i="4"/>
  <c r="P337" i="4"/>
  <c r="Q337" i="4"/>
  <c r="R337" i="4"/>
  <c r="S337" i="4"/>
  <c r="T337" i="4"/>
  <c r="U337" i="4"/>
  <c r="O338" i="4"/>
  <c r="P338" i="4"/>
  <c r="Q338" i="4"/>
  <c r="R338" i="4"/>
  <c r="S338" i="4"/>
  <c r="T338" i="4"/>
  <c r="U338" i="4"/>
  <c r="O339" i="4"/>
  <c r="P339" i="4"/>
  <c r="Q339" i="4"/>
  <c r="R339" i="4"/>
  <c r="S339" i="4"/>
  <c r="T339" i="4"/>
  <c r="U339" i="4"/>
  <c r="O340" i="4"/>
  <c r="P340" i="4"/>
  <c r="Q340" i="4"/>
  <c r="R340" i="4"/>
  <c r="S340" i="4"/>
  <c r="T340" i="4"/>
  <c r="U340" i="4"/>
  <c r="O341" i="4"/>
  <c r="P341" i="4"/>
  <c r="Q341" i="4"/>
  <c r="R341" i="4"/>
  <c r="S341" i="4"/>
  <c r="T341" i="4"/>
  <c r="U341" i="4"/>
  <c r="O342" i="4"/>
  <c r="P342" i="4"/>
  <c r="Q342" i="4"/>
  <c r="R342" i="4"/>
  <c r="S342" i="4"/>
  <c r="T342" i="4"/>
  <c r="U342" i="4"/>
  <c r="O343" i="4"/>
  <c r="P343" i="4"/>
  <c r="Q343" i="4"/>
  <c r="R343" i="4"/>
  <c r="S343" i="4"/>
  <c r="T343" i="4"/>
  <c r="U343" i="4"/>
  <c r="O344" i="4"/>
  <c r="P344" i="4"/>
  <c r="Q344" i="4"/>
  <c r="R344" i="4"/>
  <c r="S344" i="4"/>
  <c r="T344" i="4"/>
  <c r="U344" i="4"/>
  <c r="O345" i="4"/>
  <c r="P345" i="4"/>
  <c r="Q345" i="4"/>
  <c r="R345" i="4"/>
  <c r="S345" i="4"/>
  <c r="T345" i="4"/>
  <c r="U345" i="4"/>
  <c r="O346" i="4"/>
  <c r="P346" i="4"/>
  <c r="Q346" i="4"/>
  <c r="R346" i="4"/>
  <c r="S346" i="4"/>
  <c r="T346" i="4"/>
  <c r="U346" i="4"/>
  <c r="O347" i="4"/>
  <c r="P347" i="4"/>
  <c r="Q347" i="4"/>
  <c r="R347" i="4"/>
  <c r="S347" i="4"/>
  <c r="T347" i="4"/>
  <c r="U347" i="4"/>
  <c r="O348" i="4"/>
  <c r="P348" i="4"/>
  <c r="Q348" i="4"/>
  <c r="R348" i="4"/>
  <c r="S348" i="4"/>
  <c r="T348" i="4"/>
  <c r="U348" i="4"/>
  <c r="O349" i="4"/>
  <c r="P349" i="4"/>
  <c r="Q349" i="4"/>
  <c r="R349" i="4"/>
  <c r="S349" i="4"/>
  <c r="T349" i="4"/>
  <c r="U349" i="4"/>
  <c r="O350" i="4"/>
  <c r="P350" i="4"/>
  <c r="Q350" i="4"/>
  <c r="R350" i="4"/>
  <c r="S350" i="4"/>
  <c r="T350" i="4"/>
  <c r="U350" i="4"/>
  <c r="O351" i="4"/>
  <c r="P351" i="4"/>
  <c r="Q351" i="4"/>
  <c r="R351" i="4"/>
  <c r="S351" i="4"/>
  <c r="T351" i="4"/>
  <c r="U351" i="4"/>
  <c r="O352" i="4"/>
  <c r="P352" i="4"/>
  <c r="Q352" i="4"/>
  <c r="R352" i="4"/>
  <c r="S352" i="4"/>
  <c r="T352" i="4"/>
  <c r="U352" i="4"/>
  <c r="O353" i="4"/>
  <c r="P353" i="4"/>
  <c r="Q353" i="4"/>
  <c r="R353" i="4"/>
  <c r="S353" i="4"/>
  <c r="T353" i="4"/>
  <c r="U353" i="4"/>
  <c r="O354" i="4"/>
  <c r="P354" i="4"/>
  <c r="Q354" i="4"/>
  <c r="R354" i="4"/>
  <c r="S354" i="4"/>
  <c r="T354" i="4"/>
  <c r="U354" i="4"/>
  <c r="O355" i="4"/>
  <c r="P355" i="4"/>
  <c r="Q355" i="4"/>
  <c r="R355" i="4"/>
  <c r="S355" i="4"/>
  <c r="T355" i="4"/>
  <c r="U355" i="4"/>
  <c r="O356" i="4"/>
  <c r="P356" i="4"/>
  <c r="Q356" i="4"/>
  <c r="R356" i="4"/>
  <c r="S356" i="4"/>
  <c r="T356" i="4"/>
  <c r="U356" i="4"/>
  <c r="O357" i="4"/>
  <c r="P357" i="4"/>
  <c r="Q357" i="4"/>
  <c r="R357" i="4"/>
  <c r="S357" i="4"/>
  <c r="T357" i="4"/>
  <c r="U357" i="4"/>
  <c r="O358" i="4"/>
  <c r="P358" i="4"/>
  <c r="Q358" i="4"/>
  <c r="R358" i="4"/>
  <c r="S358" i="4"/>
  <c r="T358" i="4"/>
  <c r="U358" i="4"/>
  <c r="O359" i="4"/>
  <c r="P359" i="4"/>
  <c r="Q359" i="4"/>
  <c r="R359" i="4"/>
  <c r="S359" i="4"/>
  <c r="T359" i="4"/>
  <c r="U359" i="4"/>
  <c r="O360" i="4"/>
  <c r="P360" i="4"/>
  <c r="Q360" i="4"/>
  <c r="R360" i="4"/>
  <c r="S360" i="4"/>
  <c r="T360" i="4"/>
  <c r="U360" i="4"/>
  <c r="O361" i="4"/>
  <c r="P361" i="4"/>
  <c r="Q361" i="4"/>
  <c r="R361" i="4"/>
  <c r="S361" i="4"/>
  <c r="T361" i="4"/>
  <c r="U361" i="4"/>
  <c r="O362" i="4"/>
  <c r="P362" i="4"/>
  <c r="Q362" i="4"/>
  <c r="R362" i="4"/>
  <c r="S362" i="4"/>
  <c r="T362" i="4"/>
  <c r="U362" i="4"/>
  <c r="O363" i="4"/>
  <c r="P363" i="4"/>
  <c r="Q363" i="4"/>
  <c r="R363" i="4"/>
  <c r="S363" i="4"/>
  <c r="T363" i="4"/>
  <c r="U363" i="4"/>
  <c r="O364" i="4"/>
  <c r="P364" i="4"/>
  <c r="Q364" i="4"/>
  <c r="R364" i="4"/>
  <c r="S364" i="4"/>
  <c r="T364" i="4"/>
  <c r="U364" i="4"/>
  <c r="O365" i="4"/>
  <c r="P365" i="4"/>
  <c r="Q365" i="4"/>
  <c r="R365" i="4"/>
  <c r="S365" i="4"/>
  <c r="T365" i="4"/>
  <c r="U365" i="4"/>
  <c r="O366" i="4"/>
  <c r="P366" i="4"/>
  <c r="Q366" i="4"/>
  <c r="R366" i="4"/>
  <c r="S366" i="4"/>
  <c r="T366" i="4"/>
  <c r="U366" i="4"/>
  <c r="O367" i="4"/>
  <c r="P367" i="4"/>
  <c r="Q367" i="4"/>
  <c r="R367" i="4"/>
  <c r="S367" i="4"/>
  <c r="T367" i="4"/>
  <c r="U367" i="4"/>
  <c r="O368" i="4"/>
  <c r="P368" i="4"/>
  <c r="Q368" i="4"/>
  <c r="R368" i="4"/>
  <c r="S368" i="4"/>
  <c r="T368" i="4"/>
  <c r="U368" i="4"/>
  <c r="O369" i="4"/>
  <c r="P369" i="4"/>
  <c r="Q369" i="4"/>
  <c r="R369" i="4"/>
  <c r="S369" i="4"/>
  <c r="T369" i="4"/>
  <c r="U369" i="4"/>
  <c r="O370" i="4"/>
  <c r="P370" i="4"/>
  <c r="Q370" i="4"/>
  <c r="R370" i="4"/>
  <c r="S370" i="4"/>
  <c r="T370" i="4"/>
  <c r="U370" i="4"/>
  <c r="O371" i="4"/>
  <c r="P371" i="4"/>
  <c r="Q371" i="4"/>
  <c r="R371" i="4"/>
  <c r="S371" i="4"/>
  <c r="T371" i="4"/>
  <c r="U371" i="4"/>
  <c r="O372" i="4"/>
  <c r="P372" i="4"/>
  <c r="Q372" i="4"/>
  <c r="R372" i="4"/>
  <c r="S372" i="4"/>
  <c r="T372" i="4"/>
  <c r="U372" i="4"/>
  <c r="O373" i="4"/>
  <c r="P373" i="4"/>
  <c r="Q373" i="4"/>
  <c r="R373" i="4"/>
  <c r="S373" i="4"/>
  <c r="T373" i="4"/>
  <c r="U373" i="4"/>
  <c r="O374" i="4"/>
  <c r="P374" i="4"/>
  <c r="Q374" i="4"/>
  <c r="R374" i="4"/>
  <c r="S374" i="4"/>
  <c r="T374" i="4"/>
  <c r="U374" i="4"/>
  <c r="O375" i="4"/>
  <c r="P375" i="4"/>
  <c r="Q375" i="4"/>
  <c r="R375" i="4"/>
  <c r="S375" i="4"/>
  <c r="T375" i="4"/>
  <c r="U375" i="4"/>
  <c r="O376" i="4"/>
  <c r="P376" i="4"/>
  <c r="Q376" i="4"/>
  <c r="R376" i="4"/>
  <c r="S376" i="4"/>
  <c r="T376" i="4"/>
  <c r="U376" i="4"/>
  <c r="O377" i="4"/>
  <c r="P377" i="4"/>
  <c r="Q377" i="4"/>
  <c r="R377" i="4"/>
  <c r="S377" i="4"/>
  <c r="T377" i="4"/>
  <c r="U377" i="4"/>
  <c r="O378" i="4"/>
  <c r="P378" i="4"/>
  <c r="Q378" i="4"/>
  <c r="R378" i="4"/>
  <c r="S378" i="4"/>
  <c r="T378" i="4"/>
  <c r="U378" i="4"/>
  <c r="O379" i="4"/>
  <c r="P379" i="4"/>
  <c r="Q379" i="4"/>
  <c r="R379" i="4"/>
  <c r="S379" i="4"/>
  <c r="T379" i="4"/>
  <c r="U379" i="4"/>
  <c r="O380" i="4"/>
  <c r="P380" i="4"/>
  <c r="Q380" i="4"/>
  <c r="R380" i="4"/>
  <c r="S380" i="4"/>
  <c r="T380" i="4"/>
  <c r="U380" i="4"/>
  <c r="O381" i="4"/>
  <c r="P381" i="4"/>
  <c r="Q381" i="4"/>
  <c r="R381" i="4"/>
  <c r="S381" i="4"/>
  <c r="T381" i="4"/>
  <c r="U381" i="4"/>
  <c r="O382" i="4"/>
  <c r="P382" i="4"/>
  <c r="Q382" i="4"/>
  <c r="R382" i="4"/>
  <c r="S382" i="4"/>
  <c r="T382" i="4"/>
  <c r="U382" i="4"/>
  <c r="O383" i="4"/>
  <c r="P383" i="4"/>
  <c r="Q383" i="4"/>
  <c r="R383" i="4"/>
  <c r="S383" i="4"/>
  <c r="T383" i="4"/>
  <c r="U383" i="4"/>
  <c r="O384" i="4"/>
  <c r="P384" i="4"/>
  <c r="Q384" i="4"/>
  <c r="R384" i="4"/>
  <c r="S384" i="4"/>
  <c r="T384" i="4"/>
  <c r="U384" i="4"/>
  <c r="O385" i="4"/>
  <c r="P385" i="4"/>
  <c r="Q385" i="4"/>
  <c r="R385" i="4"/>
  <c r="S385" i="4"/>
  <c r="T385" i="4"/>
  <c r="U385" i="4"/>
  <c r="O386" i="4"/>
  <c r="P386" i="4"/>
  <c r="Q386" i="4"/>
  <c r="R386" i="4"/>
  <c r="S386" i="4"/>
  <c r="T386" i="4"/>
  <c r="U386" i="4"/>
  <c r="O387" i="4"/>
  <c r="P387" i="4"/>
  <c r="Q387" i="4"/>
  <c r="R387" i="4"/>
  <c r="S387" i="4"/>
  <c r="T387" i="4"/>
  <c r="U387" i="4"/>
  <c r="O388" i="4"/>
  <c r="P388" i="4"/>
  <c r="Q388" i="4"/>
  <c r="R388" i="4"/>
  <c r="S388" i="4"/>
  <c r="T388" i="4"/>
  <c r="U388" i="4"/>
  <c r="O389" i="4"/>
  <c r="P389" i="4"/>
  <c r="Q389" i="4"/>
  <c r="R389" i="4"/>
  <c r="S389" i="4"/>
  <c r="T389" i="4"/>
  <c r="U389" i="4"/>
  <c r="O390" i="4"/>
  <c r="P390" i="4"/>
  <c r="Q390" i="4"/>
  <c r="R390" i="4"/>
  <c r="S390" i="4"/>
  <c r="T390" i="4"/>
  <c r="U390" i="4"/>
  <c r="O391" i="4"/>
  <c r="P391" i="4"/>
  <c r="Q391" i="4"/>
  <c r="R391" i="4"/>
  <c r="S391" i="4"/>
  <c r="T391" i="4"/>
  <c r="U391" i="4"/>
  <c r="O392" i="4"/>
  <c r="P392" i="4"/>
  <c r="Q392" i="4"/>
  <c r="R392" i="4"/>
  <c r="S392" i="4"/>
  <c r="T392" i="4"/>
  <c r="U392" i="4"/>
  <c r="O393" i="4"/>
  <c r="P393" i="4"/>
  <c r="Q393" i="4"/>
  <c r="R393" i="4"/>
  <c r="S393" i="4"/>
  <c r="T393" i="4"/>
  <c r="U393" i="4"/>
  <c r="O394" i="4"/>
  <c r="P394" i="4"/>
  <c r="Q394" i="4"/>
  <c r="R394" i="4"/>
  <c r="S394" i="4"/>
  <c r="T394" i="4"/>
  <c r="U394" i="4"/>
  <c r="O395" i="4"/>
  <c r="P395" i="4"/>
  <c r="Q395" i="4"/>
  <c r="R395" i="4"/>
  <c r="S395" i="4"/>
  <c r="T395" i="4"/>
  <c r="U395" i="4"/>
  <c r="O396" i="4"/>
  <c r="P396" i="4"/>
  <c r="Q396" i="4"/>
  <c r="R396" i="4"/>
  <c r="S396" i="4"/>
  <c r="T396" i="4"/>
  <c r="U396" i="4"/>
  <c r="O397" i="4"/>
  <c r="P397" i="4"/>
  <c r="Q397" i="4"/>
  <c r="R397" i="4"/>
  <c r="S397" i="4"/>
  <c r="T397" i="4"/>
  <c r="U397" i="4"/>
  <c r="O398" i="4"/>
  <c r="P398" i="4"/>
  <c r="Q398" i="4"/>
  <c r="R398" i="4"/>
  <c r="S398" i="4"/>
  <c r="T398" i="4"/>
  <c r="U398" i="4"/>
  <c r="O399" i="4"/>
  <c r="P399" i="4"/>
  <c r="Q399" i="4"/>
  <c r="R399" i="4"/>
  <c r="S399" i="4"/>
  <c r="T399" i="4"/>
  <c r="U399" i="4"/>
  <c r="O400" i="4"/>
  <c r="P400" i="4"/>
  <c r="Q400" i="4"/>
  <c r="R400" i="4"/>
  <c r="S400" i="4"/>
  <c r="T400" i="4"/>
  <c r="U400" i="4"/>
  <c r="O401" i="4"/>
  <c r="P401" i="4"/>
  <c r="Q401" i="4"/>
  <c r="R401" i="4"/>
  <c r="S401" i="4"/>
  <c r="T401" i="4"/>
  <c r="U401" i="4"/>
  <c r="O402" i="4"/>
  <c r="P402" i="4"/>
  <c r="Q402" i="4"/>
  <c r="R402" i="4"/>
  <c r="S402" i="4"/>
  <c r="T402" i="4"/>
  <c r="U402" i="4"/>
  <c r="O403" i="4"/>
  <c r="P403" i="4"/>
  <c r="Q403" i="4"/>
  <c r="R403" i="4"/>
  <c r="S403" i="4"/>
  <c r="T403" i="4"/>
  <c r="U403" i="4"/>
  <c r="O404" i="4"/>
  <c r="P404" i="4"/>
  <c r="Q404" i="4"/>
  <c r="R404" i="4"/>
  <c r="S404" i="4"/>
  <c r="T404" i="4"/>
  <c r="U404" i="4"/>
  <c r="O405" i="4"/>
  <c r="P405" i="4"/>
  <c r="Q405" i="4"/>
  <c r="R405" i="4"/>
  <c r="S405" i="4"/>
  <c r="T405" i="4"/>
  <c r="U405" i="4"/>
  <c r="O406" i="4"/>
  <c r="P406" i="4"/>
  <c r="Q406" i="4"/>
  <c r="R406" i="4"/>
  <c r="S406" i="4"/>
  <c r="T406" i="4"/>
  <c r="U406" i="4"/>
  <c r="O407" i="4"/>
  <c r="P407" i="4"/>
  <c r="Q407" i="4"/>
  <c r="R407" i="4"/>
  <c r="S407" i="4"/>
  <c r="T407" i="4"/>
  <c r="U407" i="4"/>
  <c r="O408" i="4"/>
  <c r="P408" i="4"/>
  <c r="Q408" i="4"/>
  <c r="R408" i="4"/>
  <c r="S408" i="4"/>
  <c r="T408" i="4"/>
  <c r="U408" i="4"/>
  <c r="O409" i="4"/>
  <c r="P409" i="4"/>
  <c r="Q409" i="4"/>
  <c r="R409" i="4"/>
  <c r="S409" i="4"/>
  <c r="T409" i="4"/>
  <c r="U409" i="4"/>
  <c r="O410" i="4"/>
  <c r="P410" i="4"/>
  <c r="Q410" i="4"/>
  <c r="R410" i="4"/>
  <c r="S410" i="4"/>
  <c r="T410" i="4"/>
  <c r="U410" i="4"/>
  <c r="O411" i="4"/>
  <c r="P411" i="4"/>
  <c r="Q411" i="4"/>
  <c r="R411" i="4"/>
  <c r="S411" i="4"/>
  <c r="T411" i="4"/>
  <c r="U411" i="4"/>
  <c r="O412" i="4"/>
  <c r="P412" i="4"/>
  <c r="Q412" i="4"/>
  <c r="R412" i="4"/>
  <c r="S412" i="4"/>
  <c r="T412" i="4"/>
  <c r="U412" i="4"/>
  <c r="O413" i="4"/>
  <c r="P413" i="4"/>
  <c r="Q413" i="4"/>
  <c r="R413" i="4"/>
  <c r="S413" i="4"/>
  <c r="T413" i="4"/>
  <c r="U413" i="4"/>
  <c r="O414" i="4"/>
  <c r="P414" i="4"/>
  <c r="Q414" i="4"/>
  <c r="R414" i="4"/>
  <c r="S414" i="4"/>
  <c r="T414" i="4"/>
  <c r="U414" i="4"/>
  <c r="O415" i="4"/>
  <c r="P415" i="4"/>
  <c r="Q415" i="4"/>
  <c r="R415" i="4"/>
  <c r="S415" i="4"/>
  <c r="T415" i="4"/>
  <c r="U415" i="4"/>
  <c r="O416" i="4"/>
  <c r="P416" i="4"/>
  <c r="Q416" i="4"/>
  <c r="R416" i="4"/>
  <c r="S416" i="4"/>
  <c r="T416" i="4"/>
  <c r="U416" i="4"/>
  <c r="O417" i="4"/>
  <c r="P417" i="4"/>
  <c r="Q417" i="4"/>
  <c r="R417" i="4"/>
  <c r="S417" i="4"/>
  <c r="T417" i="4"/>
  <c r="U417" i="4"/>
  <c r="O418" i="4"/>
  <c r="P418" i="4"/>
  <c r="Q418" i="4"/>
  <c r="R418" i="4"/>
  <c r="S418" i="4"/>
  <c r="T418" i="4"/>
  <c r="U418" i="4"/>
  <c r="O419" i="4"/>
  <c r="P419" i="4"/>
  <c r="Q419" i="4"/>
  <c r="R419" i="4"/>
  <c r="S419" i="4"/>
  <c r="T419" i="4"/>
  <c r="U419" i="4"/>
  <c r="O420" i="4"/>
  <c r="P420" i="4"/>
  <c r="Q420" i="4"/>
  <c r="R420" i="4"/>
  <c r="S420" i="4"/>
  <c r="T420" i="4"/>
  <c r="U420" i="4"/>
  <c r="O421" i="4"/>
  <c r="P421" i="4"/>
  <c r="Q421" i="4"/>
  <c r="R421" i="4"/>
  <c r="S421" i="4"/>
  <c r="T421" i="4"/>
  <c r="U421" i="4"/>
  <c r="O422" i="4"/>
  <c r="P422" i="4"/>
  <c r="Q422" i="4"/>
  <c r="R422" i="4"/>
  <c r="S422" i="4"/>
  <c r="T422" i="4"/>
  <c r="U422" i="4"/>
  <c r="O423" i="4"/>
  <c r="P423" i="4"/>
  <c r="Q423" i="4"/>
  <c r="R423" i="4"/>
  <c r="S423" i="4"/>
  <c r="T423" i="4"/>
  <c r="U423" i="4"/>
  <c r="O424" i="4"/>
  <c r="P424" i="4"/>
  <c r="Q424" i="4"/>
  <c r="R424" i="4"/>
  <c r="S424" i="4"/>
  <c r="T424" i="4"/>
  <c r="U424" i="4"/>
  <c r="O425" i="4"/>
  <c r="P425" i="4"/>
  <c r="Q425" i="4"/>
  <c r="R425" i="4"/>
  <c r="S425" i="4"/>
  <c r="T425" i="4"/>
  <c r="U425" i="4"/>
  <c r="O426" i="4"/>
  <c r="P426" i="4"/>
  <c r="Q426" i="4"/>
  <c r="R426" i="4"/>
  <c r="S426" i="4"/>
  <c r="T426" i="4"/>
  <c r="U426" i="4"/>
  <c r="O427" i="4"/>
  <c r="P427" i="4"/>
  <c r="Q427" i="4"/>
  <c r="R427" i="4"/>
  <c r="S427" i="4"/>
  <c r="T427" i="4"/>
  <c r="U427" i="4"/>
  <c r="O428" i="4"/>
  <c r="P428" i="4"/>
  <c r="Q428" i="4"/>
  <c r="R428" i="4"/>
  <c r="S428" i="4"/>
  <c r="T428" i="4"/>
  <c r="U428" i="4"/>
  <c r="O429" i="4"/>
  <c r="P429" i="4"/>
  <c r="Q429" i="4"/>
  <c r="R429" i="4"/>
  <c r="S429" i="4"/>
  <c r="T429" i="4"/>
  <c r="U429" i="4"/>
  <c r="O430" i="4"/>
  <c r="P430" i="4"/>
  <c r="Q430" i="4"/>
  <c r="R430" i="4"/>
  <c r="S430" i="4"/>
  <c r="T430" i="4"/>
  <c r="U430" i="4"/>
  <c r="O431" i="4"/>
  <c r="P431" i="4"/>
  <c r="Q431" i="4"/>
  <c r="R431" i="4"/>
  <c r="S431" i="4"/>
  <c r="T431" i="4"/>
  <c r="U431" i="4"/>
  <c r="O432" i="4"/>
  <c r="P432" i="4"/>
  <c r="Q432" i="4"/>
  <c r="R432" i="4"/>
  <c r="S432" i="4"/>
  <c r="T432" i="4"/>
  <c r="U432" i="4"/>
  <c r="O433" i="4"/>
  <c r="P433" i="4"/>
  <c r="Q433" i="4"/>
  <c r="R433" i="4"/>
  <c r="S433" i="4"/>
  <c r="T433" i="4"/>
  <c r="U433" i="4"/>
  <c r="O434" i="4"/>
  <c r="P434" i="4"/>
  <c r="Q434" i="4"/>
  <c r="R434" i="4"/>
  <c r="S434" i="4"/>
  <c r="T434" i="4"/>
  <c r="U434" i="4"/>
  <c r="O435" i="4"/>
  <c r="P435" i="4"/>
  <c r="Q435" i="4"/>
  <c r="R435" i="4"/>
  <c r="S435" i="4"/>
  <c r="T435" i="4"/>
  <c r="U435" i="4"/>
  <c r="O436" i="4"/>
  <c r="P436" i="4"/>
  <c r="Q436" i="4"/>
  <c r="R436" i="4"/>
  <c r="S436" i="4"/>
  <c r="T436" i="4"/>
  <c r="U436" i="4"/>
  <c r="O437" i="4"/>
  <c r="P437" i="4"/>
  <c r="Q437" i="4"/>
  <c r="R437" i="4"/>
  <c r="S437" i="4"/>
  <c r="T437" i="4"/>
  <c r="U437" i="4"/>
  <c r="O438" i="4"/>
  <c r="P438" i="4"/>
  <c r="Q438" i="4"/>
  <c r="R438" i="4"/>
  <c r="S438" i="4"/>
  <c r="T438" i="4"/>
  <c r="U438" i="4"/>
  <c r="O439" i="4"/>
  <c r="P439" i="4"/>
  <c r="Q439" i="4"/>
  <c r="R439" i="4"/>
  <c r="S439" i="4"/>
  <c r="T439" i="4"/>
  <c r="U439" i="4"/>
  <c r="O440" i="4"/>
  <c r="P440" i="4"/>
  <c r="Q440" i="4"/>
  <c r="R440" i="4"/>
  <c r="S440" i="4"/>
  <c r="T440" i="4"/>
  <c r="U440" i="4"/>
  <c r="O441" i="4"/>
  <c r="P441" i="4"/>
  <c r="Q441" i="4"/>
  <c r="R441" i="4"/>
  <c r="S441" i="4"/>
  <c r="T441" i="4"/>
  <c r="U441" i="4"/>
  <c r="O442" i="4"/>
  <c r="P442" i="4"/>
  <c r="Q442" i="4"/>
  <c r="R442" i="4"/>
  <c r="S442" i="4"/>
  <c r="T442" i="4"/>
  <c r="U442" i="4"/>
  <c r="O443" i="4"/>
  <c r="P443" i="4"/>
  <c r="Q443" i="4"/>
  <c r="R443" i="4"/>
  <c r="S443" i="4"/>
  <c r="T443" i="4"/>
  <c r="U443" i="4"/>
  <c r="O444" i="4"/>
  <c r="P444" i="4"/>
  <c r="Q444" i="4"/>
  <c r="R444" i="4"/>
  <c r="S444" i="4"/>
  <c r="T444" i="4"/>
  <c r="U444" i="4"/>
  <c r="O445" i="4"/>
  <c r="P445" i="4"/>
  <c r="Q445" i="4"/>
  <c r="R445" i="4"/>
  <c r="S445" i="4"/>
  <c r="T445" i="4"/>
  <c r="U445" i="4"/>
  <c r="O446" i="4"/>
  <c r="P446" i="4"/>
  <c r="Q446" i="4"/>
  <c r="R446" i="4"/>
  <c r="S446" i="4"/>
  <c r="T446" i="4"/>
  <c r="U446" i="4"/>
  <c r="O447" i="4"/>
  <c r="P447" i="4"/>
  <c r="Q447" i="4"/>
  <c r="R447" i="4"/>
  <c r="S447" i="4"/>
  <c r="T447" i="4"/>
  <c r="U447" i="4"/>
  <c r="O448" i="4"/>
  <c r="P448" i="4"/>
  <c r="Q448" i="4"/>
  <c r="R448" i="4"/>
  <c r="S448" i="4"/>
  <c r="T448" i="4"/>
  <c r="U448" i="4"/>
  <c r="O449" i="4"/>
  <c r="P449" i="4"/>
  <c r="Q449" i="4"/>
  <c r="R449" i="4"/>
  <c r="S449" i="4"/>
  <c r="T449" i="4"/>
  <c r="U449" i="4"/>
  <c r="O450" i="4"/>
  <c r="P450" i="4"/>
  <c r="Q450" i="4"/>
  <c r="R450" i="4"/>
  <c r="S450" i="4"/>
  <c r="T450" i="4"/>
  <c r="U450" i="4"/>
  <c r="O451" i="4"/>
  <c r="P451" i="4"/>
  <c r="Q451" i="4"/>
  <c r="R451" i="4"/>
  <c r="S451" i="4"/>
  <c r="T451" i="4"/>
  <c r="U451" i="4"/>
  <c r="O452" i="4"/>
  <c r="P452" i="4"/>
  <c r="Q452" i="4"/>
  <c r="R452" i="4"/>
  <c r="S452" i="4"/>
  <c r="T452" i="4"/>
  <c r="U452" i="4"/>
  <c r="O453" i="4"/>
  <c r="P453" i="4"/>
  <c r="Q453" i="4"/>
  <c r="R453" i="4"/>
  <c r="S453" i="4"/>
  <c r="T453" i="4"/>
  <c r="U453" i="4"/>
  <c r="O454" i="4"/>
  <c r="P454" i="4"/>
  <c r="Q454" i="4"/>
  <c r="R454" i="4"/>
  <c r="S454" i="4"/>
  <c r="T454" i="4"/>
  <c r="U454" i="4"/>
  <c r="O455" i="4"/>
  <c r="P455" i="4"/>
  <c r="Q455" i="4"/>
  <c r="R455" i="4"/>
  <c r="S455" i="4"/>
  <c r="T455" i="4"/>
  <c r="U455" i="4"/>
  <c r="O456" i="4"/>
  <c r="P456" i="4"/>
  <c r="Q456" i="4"/>
  <c r="R456" i="4"/>
  <c r="S456" i="4"/>
  <c r="T456" i="4"/>
  <c r="U456" i="4"/>
  <c r="O457" i="4"/>
  <c r="P457" i="4"/>
  <c r="Q457" i="4"/>
  <c r="R457" i="4"/>
  <c r="S457" i="4"/>
  <c r="T457" i="4"/>
  <c r="U457" i="4"/>
  <c r="O458" i="4"/>
  <c r="P458" i="4"/>
  <c r="Q458" i="4"/>
  <c r="R458" i="4"/>
  <c r="S458" i="4"/>
  <c r="T458" i="4"/>
  <c r="U458" i="4"/>
  <c r="O459" i="4"/>
  <c r="P459" i="4"/>
  <c r="Q459" i="4"/>
  <c r="R459" i="4"/>
  <c r="S459" i="4"/>
  <c r="T459" i="4"/>
  <c r="U459" i="4"/>
  <c r="O460" i="4"/>
  <c r="P460" i="4"/>
  <c r="Q460" i="4"/>
  <c r="R460" i="4"/>
  <c r="S460" i="4"/>
  <c r="T460" i="4"/>
  <c r="U460" i="4"/>
  <c r="O461" i="4"/>
  <c r="P461" i="4"/>
  <c r="Q461" i="4"/>
  <c r="R461" i="4"/>
  <c r="S461" i="4"/>
  <c r="T461" i="4"/>
  <c r="U461" i="4"/>
  <c r="O462" i="4"/>
  <c r="P462" i="4"/>
  <c r="Q462" i="4"/>
  <c r="R462" i="4"/>
  <c r="S462" i="4"/>
  <c r="T462" i="4"/>
  <c r="U462" i="4"/>
  <c r="O463" i="4"/>
  <c r="P463" i="4"/>
  <c r="Q463" i="4"/>
  <c r="R463" i="4"/>
  <c r="S463" i="4"/>
  <c r="T463" i="4"/>
  <c r="U463" i="4"/>
  <c r="O464" i="4"/>
  <c r="P464" i="4"/>
  <c r="Q464" i="4"/>
  <c r="R464" i="4"/>
  <c r="S464" i="4"/>
  <c r="T464" i="4"/>
  <c r="U464" i="4"/>
  <c r="O465" i="4"/>
  <c r="P465" i="4"/>
  <c r="Q465" i="4"/>
  <c r="R465" i="4"/>
  <c r="S465" i="4"/>
  <c r="T465" i="4"/>
  <c r="U465" i="4"/>
  <c r="O466" i="4"/>
  <c r="P466" i="4"/>
  <c r="Q466" i="4"/>
  <c r="R466" i="4"/>
  <c r="S466" i="4"/>
  <c r="T466" i="4"/>
  <c r="U466" i="4"/>
  <c r="O467" i="4"/>
  <c r="P467" i="4"/>
  <c r="Q467" i="4"/>
  <c r="R467" i="4"/>
  <c r="S467" i="4"/>
  <c r="T467" i="4"/>
  <c r="U467" i="4"/>
  <c r="O468" i="4"/>
  <c r="P468" i="4"/>
  <c r="Q468" i="4"/>
  <c r="R468" i="4"/>
  <c r="S468" i="4"/>
  <c r="T468" i="4"/>
  <c r="U468" i="4"/>
  <c r="O469" i="4"/>
  <c r="P469" i="4"/>
  <c r="Q469" i="4"/>
  <c r="R469" i="4"/>
  <c r="S469" i="4"/>
  <c r="T469" i="4"/>
  <c r="U469" i="4"/>
  <c r="O470" i="4"/>
  <c r="P470" i="4"/>
  <c r="Q470" i="4"/>
  <c r="R470" i="4"/>
  <c r="S470" i="4"/>
  <c r="T470" i="4"/>
  <c r="U470" i="4"/>
  <c r="O471" i="4"/>
  <c r="P471" i="4"/>
  <c r="Q471" i="4"/>
  <c r="R471" i="4"/>
  <c r="S471" i="4"/>
  <c r="T471" i="4"/>
  <c r="U471" i="4"/>
  <c r="O472" i="4"/>
  <c r="P472" i="4"/>
  <c r="Q472" i="4"/>
  <c r="R472" i="4"/>
  <c r="S472" i="4"/>
  <c r="T472" i="4"/>
  <c r="U472" i="4"/>
  <c r="O473" i="4"/>
  <c r="P473" i="4"/>
  <c r="Q473" i="4"/>
  <c r="R473" i="4"/>
  <c r="S473" i="4"/>
  <c r="T473" i="4"/>
  <c r="U473" i="4"/>
  <c r="O474" i="4"/>
  <c r="P474" i="4"/>
  <c r="Q474" i="4"/>
  <c r="R474" i="4"/>
  <c r="S474" i="4"/>
  <c r="T474" i="4"/>
  <c r="U474" i="4"/>
  <c r="O475" i="4"/>
  <c r="P475" i="4"/>
  <c r="Q475" i="4"/>
  <c r="R475" i="4"/>
  <c r="S475" i="4"/>
  <c r="T475" i="4"/>
  <c r="U475" i="4"/>
  <c r="O476" i="4"/>
  <c r="P476" i="4"/>
  <c r="Q476" i="4"/>
  <c r="R476" i="4"/>
  <c r="S476" i="4"/>
  <c r="T476" i="4"/>
  <c r="U476" i="4"/>
  <c r="O477" i="4"/>
  <c r="P477" i="4"/>
  <c r="Q477" i="4"/>
  <c r="R477" i="4"/>
  <c r="S477" i="4"/>
  <c r="T477" i="4"/>
  <c r="U477" i="4"/>
  <c r="O478" i="4"/>
  <c r="P478" i="4"/>
  <c r="Q478" i="4"/>
  <c r="R478" i="4"/>
  <c r="S478" i="4"/>
  <c r="T478" i="4"/>
  <c r="U478" i="4"/>
  <c r="O479" i="4"/>
  <c r="P479" i="4"/>
  <c r="Q479" i="4"/>
  <c r="R479" i="4"/>
  <c r="S479" i="4"/>
  <c r="T479" i="4"/>
  <c r="U479" i="4"/>
  <c r="O480" i="4"/>
  <c r="P480" i="4"/>
  <c r="Q480" i="4"/>
  <c r="R480" i="4"/>
  <c r="S480" i="4"/>
  <c r="T480" i="4"/>
  <c r="U480" i="4"/>
  <c r="O481" i="4"/>
  <c r="P481" i="4"/>
  <c r="Q481" i="4"/>
  <c r="R481" i="4"/>
  <c r="S481" i="4"/>
  <c r="T481" i="4"/>
  <c r="U481" i="4"/>
  <c r="O482" i="4"/>
  <c r="P482" i="4"/>
  <c r="Q482" i="4"/>
  <c r="R482" i="4"/>
  <c r="S482" i="4"/>
  <c r="T482" i="4"/>
  <c r="U482" i="4"/>
  <c r="O483" i="4"/>
  <c r="P483" i="4"/>
  <c r="Q483" i="4"/>
  <c r="R483" i="4"/>
  <c r="S483" i="4"/>
  <c r="T483" i="4"/>
  <c r="U483" i="4"/>
  <c r="O484" i="4"/>
  <c r="P484" i="4"/>
  <c r="Q484" i="4"/>
  <c r="R484" i="4"/>
  <c r="S484" i="4"/>
  <c r="T484" i="4"/>
  <c r="U484" i="4"/>
  <c r="O485" i="4"/>
  <c r="P485" i="4"/>
  <c r="Q485" i="4"/>
  <c r="R485" i="4"/>
  <c r="S485" i="4"/>
  <c r="T485" i="4"/>
  <c r="U485" i="4"/>
  <c r="O486" i="4"/>
  <c r="P486" i="4"/>
  <c r="Q486" i="4"/>
  <c r="R486" i="4"/>
  <c r="S486" i="4"/>
  <c r="T486" i="4"/>
  <c r="U486" i="4"/>
  <c r="O487" i="4"/>
  <c r="P487" i="4"/>
  <c r="Q487" i="4"/>
  <c r="R487" i="4"/>
  <c r="S487" i="4"/>
  <c r="T487" i="4"/>
  <c r="U487" i="4"/>
  <c r="O488" i="4"/>
  <c r="P488" i="4"/>
  <c r="Q488" i="4"/>
  <c r="R488" i="4"/>
  <c r="S488" i="4"/>
  <c r="T488" i="4"/>
  <c r="U488" i="4"/>
  <c r="O489" i="4"/>
  <c r="P489" i="4"/>
  <c r="Q489" i="4"/>
  <c r="R489" i="4"/>
  <c r="S489" i="4"/>
  <c r="T489" i="4"/>
  <c r="U489" i="4"/>
  <c r="O490" i="4"/>
  <c r="P490" i="4"/>
  <c r="Q490" i="4"/>
  <c r="R490" i="4"/>
  <c r="S490" i="4"/>
  <c r="T490" i="4"/>
  <c r="U490" i="4"/>
  <c r="O491" i="4"/>
  <c r="P491" i="4"/>
  <c r="Q491" i="4"/>
  <c r="R491" i="4"/>
  <c r="S491" i="4"/>
  <c r="T491" i="4"/>
  <c r="U491" i="4"/>
  <c r="O492" i="4"/>
  <c r="P492" i="4"/>
  <c r="Q492" i="4"/>
  <c r="R492" i="4"/>
  <c r="S492" i="4"/>
  <c r="T492" i="4"/>
  <c r="U492" i="4"/>
  <c r="O493" i="4"/>
  <c r="P493" i="4"/>
  <c r="Q493" i="4"/>
  <c r="R493" i="4"/>
  <c r="S493" i="4"/>
  <c r="T493" i="4"/>
  <c r="U493" i="4"/>
  <c r="O494" i="4"/>
  <c r="P494" i="4"/>
  <c r="Q494" i="4"/>
  <c r="R494" i="4"/>
  <c r="S494" i="4"/>
  <c r="T494" i="4"/>
  <c r="U494" i="4"/>
  <c r="O495" i="4"/>
  <c r="P495" i="4"/>
  <c r="Q495" i="4"/>
  <c r="R495" i="4"/>
  <c r="S495" i="4"/>
  <c r="T495" i="4"/>
  <c r="U495" i="4"/>
  <c r="O496" i="4"/>
  <c r="P496" i="4"/>
  <c r="Q496" i="4"/>
  <c r="R496" i="4"/>
  <c r="S496" i="4"/>
  <c r="T496" i="4"/>
  <c r="U496" i="4"/>
  <c r="O497" i="4"/>
  <c r="P497" i="4"/>
  <c r="Q497" i="4"/>
  <c r="R497" i="4"/>
  <c r="S497" i="4"/>
  <c r="T497" i="4"/>
  <c r="U497" i="4"/>
  <c r="O498" i="4"/>
  <c r="P498" i="4"/>
  <c r="Q498" i="4"/>
  <c r="R498" i="4"/>
  <c r="S498" i="4"/>
  <c r="T498" i="4"/>
  <c r="U498" i="4"/>
  <c r="O499" i="4"/>
  <c r="P499" i="4"/>
  <c r="Q499" i="4"/>
  <c r="R499" i="4"/>
  <c r="S499" i="4"/>
  <c r="T499" i="4"/>
  <c r="U499" i="4"/>
  <c r="O500" i="4"/>
  <c r="P500" i="4"/>
  <c r="Q500" i="4"/>
  <c r="R500" i="4"/>
  <c r="S500" i="4"/>
  <c r="T500" i="4"/>
  <c r="U500" i="4"/>
  <c r="O501" i="4"/>
  <c r="P501" i="4"/>
  <c r="Q501" i="4"/>
  <c r="R501" i="4"/>
  <c r="S501" i="4"/>
  <c r="T501" i="4"/>
  <c r="U501" i="4"/>
  <c r="O502" i="4"/>
  <c r="P502" i="4"/>
  <c r="Q502" i="4"/>
  <c r="R502" i="4"/>
  <c r="S502" i="4"/>
  <c r="T502" i="4"/>
  <c r="U502" i="4"/>
  <c r="O503" i="4"/>
  <c r="P503" i="4"/>
  <c r="Q503" i="4"/>
  <c r="R503" i="4"/>
  <c r="S503" i="4"/>
  <c r="T503" i="4"/>
  <c r="U503" i="4"/>
  <c r="O504" i="4"/>
  <c r="P504" i="4"/>
  <c r="Q504" i="4"/>
  <c r="R504" i="4"/>
  <c r="S504" i="4"/>
  <c r="T504" i="4"/>
  <c r="U504" i="4"/>
  <c r="O505" i="4"/>
  <c r="P505" i="4"/>
  <c r="Q505" i="4"/>
  <c r="R505" i="4"/>
  <c r="S505" i="4"/>
  <c r="T505" i="4"/>
  <c r="U505" i="4"/>
  <c r="O506" i="4"/>
  <c r="P506" i="4"/>
  <c r="Q506" i="4"/>
  <c r="R506" i="4"/>
  <c r="S506" i="4"/>
  <c r="T506" i="4"/>
  <c r="U506" i="4"/>
  <c r="O507" i="4"/>
  <c r="P507" i="4"/>
  <c r="Q507" i="4"/>
  <c r="R507" i="4"/>
  <c r="S507" i="4"/>
  <c r="T507" i="4"/>
  <c r="U507" i="4"/>
  <c r="O508" i="4"/>
  <c r="P508" i="4"/>
  <c r="Q508" i="4"/>
  <c r="R508" i="4"/>
  <c r="S508" i="4"/>
  <c r="T508" i="4"/>
  <c r="U508" i="4"/>
  <c r="O509" i="4"/>
  <c r="P509" i="4"/>
  <c r="Q509" i="4"/>
  <c r="R509" i="4"/>
  <c r="S509" i="4"/>
  <c r="T509" i="4"/>
  <c r="U509" i="4"/>
  <c r="O510" i="4"/>
  <c r="P510" i="4"/>
  <c r="Q510" i="4"/>
  <c r="R510" i="4"/>
  <c r="S510" i="4"/>
  <c r="T510" i="4"/>
  <c r="U510" i="4"/>
  <c r="O511" i="4"/>
  <c r="P511" i="4"/>
  <c r="Q511" i="4"/>
  <c r="R511" i="4"/>
  <c r="S511" i="4"/>
  <c r="T511" i="4"/>
  <c r="U511" i="4"/>
  <c r="O512" i="4"/>
  <c r="P512" i="4"/>
  <c r="Q512" i="4"/>
  <c r="R512" i="4"/>
  <c r="S512" i="4"/>
  <c r="T512" i="4"/>
  <c r="U512" i="4"/>
  <c r="O513" i="4"/>
  <c r="P513" i="4"/>
  <c r="Q513" i="4"/>
  <c r="R513" i="4"/>
  <c r="S513" i="4"/>
  <c r="T513" i="4"/>
  <c r="U513" i="4"/>
  <c r="O514" i="4"/>
  <c r="P514" i="4"/>
  <c r="Q514" i="4"/>
  <c r="R514" i="4"/>
  <c r="S514" i="4"/>
  <c r="T514" i="4"/>
  <c r="U514" i="4"/>
  <c r="O515" i="4"/>
  <c r="P515" i="4"/>
  <c r="Q515" i="4"/>
  <c r="R515" i="4"/>
  <c r="S515" i="4"/>
  <c r="T515" i="4"/>
  <c r="U515" i="4"/>
  <c r="O516" i="4"/>
  <c r="P516" i="4"/>
  <c r="Q516" i="4"/>
  <c r="R516" i="4"/>
  <c r="S516" i="4"/>
  <c r="T516" i="4"/>
  <c r="U516" i="4"/>
  <c r="O517" i="4"/>
  <c r="P517" i="4"/>
  <c r="Q517" i="4"/>
  <c r="R517" i="4"/>
  <c r="S517" i="4"/>
  <c r="T517" i="4"/>
  <c r="U517" i="4"/>
  <c r="O518" i="4"/>
  <c r="P518" i="4"/>
  <c r="Q518" i="4"/>
  <c r="R518" i="4"/>
  <c r="S518" i="4"/>
  <c r="T518" i="4"/>
  <c r="U518" i="4"/>
  <c r="O519" i="4"/>
  <c r="P519" i="4"/>
  <c r="Q519" i="4"/>
  <c r="R519" i="4"/>
  <c r="S519" i="4"/>
  <c r="T519" i="4"/>
  <c r="U519" i="4"/>
  <c r="O520" i="4"/>
  <c r="P520" i="4"/>
  <c r="Q520" i="4"/>
  <c r="R520" i="4"/>
  <c r="S520" i="4"/>
  <c r="T520" i="4"/>
  <c r="U520" i="4"/>
  <c r="O521" i="4"/>
  <c r="P521" i="4"/>
  <c r="Q521" i="4"/>
  <c r="R521" i="4"/>
  <c r="S521" i="4"/>
  <c r="T521" i="4"/>
  <c r="U521" i="4"/>
  <c r="O522" i="4"/>
  <c r="P522" i="4"/>
  <c r="Q522" i="4"/>
  <c r="R522" i="4"/>
  <c r="S522" i="4"/>
  <c r="T522" i="4"/>
  <c r="U522" i="4"/>
  <c r="O523" i="4"/>
  <c r="P523" i="4"/>
  <c r="Q523" i="4"/>
  <c r="R523" i="4"/>
  <c r="S523" i="4"/>
  <c r="T523" i="4"/>
  <c r="U523" i="4"/>
  <c r="O524" i="4"/>
  <c r="P524" i="4"/>
  <c r="Q524" i="4"/>
  <c r="R524" i="4"/>
  <c r="S524" i="4"/>
  <c r="T524" i="4"/>
  <c r="U524" i="4"/>
  <c r="O525" i="4"/>
  <c r="P525" i="4"/>
  <c r="Q525" i="4"/>
  <c r="R525" i="4"/>
  <c r="S525" i="4"/>
  <c r="T525" i="4"/>
  <c r="U525" i="4"/>
  <c r="O526" i="4"/>
  <c r="P526" i="4"/>
  <c r="Q526" i="4"/>
  <c r="R526" i="4"/>
  <c r="S526" i="4"/>
  <c r="T526" i="4"/>
  <c r="U526" i="4"/>
  <c r="O527" i="4"/>
  <c r="P527" i="4"/>
  <c r="Q527" i="4"/>
  <c r="R527" i="4"/>
  <c r="S527" i="4"/>
  <c r="T527" i="4"/>
  <c r="U527" i="4"/>
  <c r="O528" i="4"/>
  <c r="P528" i="4"/>
  <c r="Q528" i="4"/>
  <c r="R528" i="4"/>
  <c r="S528" i="4"/>
  <c r="T528" i="4"/>
  <c r="U528" i="4"/>
  <c r="O529" i="4"/>
  <c r="P529" i="4"/>
  <c r="Q529" i="4"/>
  <c r="R529" i="4"/>
  <c r="S529" i="4"/>
  <c r="T529" i="4"/>
  <c r="U529" i="4"/>
  <c r="O530" i="4"/>
  <c r="P530" i="4"/>
  <c r="Q530" i="4"/>
  <c r="R530" i="4"/>
  <c r="S530" i="4"/>
  <c r="T530" i="4"/>
  <c r="U530" i="4"/>
  <c r="O531" i="4"/>
  <c r="P531" i="4"/>
  <c r="Q531" i="4"/>
  <c r="R531" i="4"/>
  <c r="S531" i="4"/>
  <c r="T531" i="4"/>
  <c r="U531" i="4"/>
  <c r="O532" i="4"/>
  <c r="P532" i="4"/>
  <c r="Q532" i="4"/>
  <c r="R532" i="4"/>
  <c r="S532" i="4"/>
  <c r="T532" i="4"/>
  <c r="U532" i="4"/>
  <c r="O533" i="4"/>
  <c r="P533" i="4"/>
  <c r="Q533" i="4"/>
  <c r="R533" i="4"/>
  <c r="S533" i="4"/>
  <c r="T533" i="4"/>
  <c r="U533" i="4"/>
  <c r="O534" i="4"/>
  <c r="P534" i="4"/>
  <c r="Q534" i="4"/>
  <c r="R534" i="4"/>
  <c r="S534" i="4"/>
  <c r="T534" i="4"/>
  <c r="U534" i="4"/>
  <c r="O535" i="4"/>
  <c r="P535" i="4"/>
  <c r="Q535" i="4"/>
  <c r="R535" i="4"/>
  <c r="S535" i="4"/>
  <c r="T535" i="4"/>
  <c r="U535" i="4"/>
  <c r="O536" i="4"/>
  <c r="P536" i="4"/>
  <c r="Q536" i="4"/>
  <c r="R536" i="4"/>
  <c r="S536" i="4"/>
  <c r="T536" i="4"/>
  <c r="U536" i="4"/>
  <c r="O537" i="4"/>
  <c r="P537" i="4"/>
  <c r="Q537" i="4"/>
  <c r="R537" i="4"/>
  <c r="S537" i="4"/>
  <c r="T537" i="4"/>
  <c r="U537" i="4"/>
  <c r="O538" i="4"/>
  <c r="P538" i="4"/>
  <c r="Q538" i="4"/>
  <c r="R538" i="4"/>
  <c r="S538" i="4"/>
  <c r="T538" i="4"/>
  <c r="U538" i="4"/>
  <c r="O539" i="4"/>
  <c r="P539" i="4"/>
  <c r="Q539" i="4"/>
  <c r="R539" i="4"/>
  <c r="S539" i="4"/>
  <c r="T539" i="4"/>
  <c r="U539" i="4"/>
  <c r="O540" i="4"/>
  <c r="P540" i="4"/>
  <c r="Q540" i="4"/>
  <c r="R540" i="4"/>
  <c r="S540" i="4"/>
  <c r="T540" i="4"/>
  <c r="U540" i="4"/>
  <c r="O541" i="4"/>
  <c r="P541" i="4"/>
  <c r="Q541" i="4"/>
  <c r="R541" i="4"/>
  <c r="S541" i="4"/>
  <c r="T541" i="4"/>
  <c r="U541" i="4"/>
  <c r="O542" i="4"/>
  <c r="P542" i="4"/>
  <c r="Q542" i="4"/>
  <c r="R542" i="4"/>
  <c r="S542" i="4"/>
  <c r="T542" i="4"/>
  <c r="U542" i="4"/>
  <c r="O543" i="4"/>
  <c r="P543" i="4"/>
  <c r="Q543" i="4"/>
  <c r="R543" i="4"/>
  <c r="S543" i="4"/>
  <c r="T543" i="4"/>
  <c r="U543" i="4"/>
  <c r="O544" i="4"/>
  <c r="P544" i="4"/>
  <c r="Q544" i="4"/>
  <c r="R544" i="4"/>
  <c r="S544" i="4"/>
  <c r="T544" i="4"/>
  <c r="U544" i="4"/>
  <c r="O545" i="4"/>
  <c r="P545" i="4"/>
  <c r="Q545" i="4"/>
  <c r="R545" i="4"/>
  <c r="S545" i="4"/>
  <c r="T545" i="4"/>
  <c r="U545" i="4"/>
  <c r="O546" i="4"/>
  <c r="P546" i="4"/>
  <c r="Q546" i="4"/>
  <c r="R546" i="4"/>
  <c r="S546" i="4"/>
  <c r="T546" i="4"/>
  <c r="U546" i="4"/>
  <c r="O547" i="4"/>
  <c r="P547" i="4"/>
  <c r="Q547" i="4"/>
  <c r="R547" i="4"/>
  <c r="S547" i="4"/>
  <c r="T547" i="4"/>
  <c r="U547" i="4"/>
  <c r="O548" i="4"/>
  <c r="P548" i="4"/>
  <c r="Q548" i="4"/>
  <c r="R548" i="4"/>
  <c r="S548" i="4"/>
  <c r="T548" i="4"/>
  <c r="U548" i="4"/>
  <c r="O549" i="4"/>
  <c r="P549" i="4"/>
  <c r="Q549" i="4"/>
  <c r="R549" i="4"/>
  <c r="S549" i="4"/>
  <c r="T549" i="4"/>
  <c r="U549" i="4"/>
  <c r="O550" i="4"/>
  <c r="P550" i="4"/>
  <c r="Q550" i="4"/>
  <c r="R550" i="4"/>
  <c r="S550" i="4"/>
  <c r="T550" i="4"/>
  <c r="U550" i="4"/>
  <c r="O551" i="4"/>
  <c r="P551" i="4"/>
  <c r="Q551" i="4"/>
  <c r="R551" i="4"/>
  <c r="S551" i="4"/>
  <c r="T551" i="4"/>
  <c r="U551" i="4"/>
  <c r="O552" i="4"/>
  <c r="P552" i="4"/>
  <c r="Q552" i="4"/>
  <c r="R552" i="4"/>
  <c r="S552" i="4"/>
  <c r="T552" i="4"/>
  <c r="U552" i="4"/>
  <c r="O553" i="4"/>
  <c r="P553" i="4"/>
  <c r="Q553" i="4"/>
  <c r="R553" i="4"/>
  <c r="S553" i="4"/>
  <c r="T553" i="4"/>
  <c r="U553" i="4"/>
  <c r="O554" i="4"/>
  <c r="P554" i="4"/>
  <c r="Q554" i="4"/>
  <c r="R554" i="4"/>
  <c r="S554" i="4"/>
  <c r="T554" i="4"/>
  <c r="U554" i="4"/>
  <c r="O555" i="4"/>
  <c r="P555" i="4"/>
  <c r="Q555" i="4"/>
  <c r="R555" i="4"/>
  <c r="S555" i="4"/>
  <c r="T555" i="4"/>
  <c r="U555" i="4"/>
  <c r="O556" i="4"/>
  <c r="P556" i="4"/>
  <c r="Q556" i="4"/>
  <c r="R556" i="4"/>
  <c r="S556" i="4"/>
  <c r="T556" i="4"/>
  <c r="U556" i="4"/>
  <c r="O557" i="4"/>
  <c r="P557" i="4"/>
  <c r="Q557" i="4"/>
  <c r="R557" i="4"/>
  <c r="S557" i="4"/>
  <c r="T557" i="4"/>
  <c r="U557" i="4"/>
  <c r="O558" i="4"/>
  <c r="P558" i="4"/>
  <c r="Q558" i="4"/>
  <c r="R558" i="4"/>
  <c r="S558" i="4"/>
  <c r="T558" i="4"/>
  <c r="U558" i="4"/>
  <c r="O559" i="4"/>
  <c r="P559" i="4"/>
  <c r="Q559" i="4"/>
  <c r="R559" i="4"/>
  <c r="S559" i="4"/>
  <c r="T559" i="4"/>
  <c r="U559" i="4"/>
  <c r="O560" i="4"/>
  <c r="P560" i="4"/>
  <c r="Q560" i="4"/>
  <c r="R560" i="4"/>
  <c r="S560" i="4"/>
  <c r="T560" i="4"/>
  <c r="U560" i="4"/>
  <c r="O561" i="4"/>
  <c r="P561" i="4"/>
  <c r="Q561" i="4"/>
  <c r="R561" i="4"/>
  <c r="S561" i="4"/>
  <c r="T561" i="4"/>
  <c r="U561" i="4"/>
  <c r="O562" i="4"/>
  <c r="P562" i="4"/>
  <c r="Q562" i="4"/>
  <c r="R562" i="4"/>
  <c r="S562" i="4"/>
  <c r="T562" i="4"/>
  <c r="U562" i="4"/>
  <c r="O563" i="4"/>
  <c r="P563" i="4"/>
  <c r="Q563" i="4"/>
  <c r="R563" i="4"/>
  <c r="S563" i="4"/>
  <c r="T563" i="4"/>
  <c r="U563" i="4"/>
  <c r="O564" i="4"/>
  <c r="P564" i="4"/>
  <c r="Q564" i="4"/>
  <c r="R564" i="4"/>
  <c r="S564" i="4"/>
  <c r="T564" i="4"/>
  <c r="U564" i="4"/>
  <c r="O565" i="4"/>
  <c r="P565" i="4"/>
  <c r="Q565" i="4"/>
  <c r="R565" i="4"/>
  <c r="S565" i="4"/>
  <c r="T565" i="4"/>
  <c r="U565" i="4"/>
  <c r="O566" i="4"/>
  <c r="P566" i="4"/>
  <c r="Q566" i="4"/>
  <c r="R566" i="4"/>
  <c r="S566" i="4"/>
  <c r="T566" i="4"/>
  <c r="U566" i="4"/>
  <c r="O567" i="4"/>
  <c r="P567" i="4"/>
  <c r="Q567" i="4"/>
  <c r="R567" i="4"/>
  <c r="S567" i="4"/>
  <c r="T567" i="4"/>
  <c r="U567" i="4"/>
  <c r="O568" i="4"/>
  <c r="P568" i="4"/>
  <c r="Q568" i="4"/>
  <c r="R568" i="4"/>
  <c r="S568" i="4"/>
  <c r="T568" i="4"/>
  <c r="U568" i="4"/>
  <c r="O569" i="4"/>
  <c r="P569" i="4"/>
  <c r="Q569" i="4"/>
  <c r="R569" i="4"/>
  <c r="S569" i="4"/>
  <c r="T569" i="4"/>
  <c r="U569" i="4"/>
  <c r="O570" i="4"/>
  <c r="P570" i="4"/>
  <c r="Q570" i="4"/>
  <c r="R570" i="4"/>
  <c r="S570" i="4"/>
  <c r="T570" i="4"/>
  <c r="U570" i="4"/>
  <c r="O571" i="4"/>
  <c r="P571" i="4"/>
  <c r="Q571" i="4"/>
  <c r="R571" i="4"/>
  <c r="S571" i="4"/>
  <c r="T571" i="4"/>
  <c r="U571" i="4"/>
  <c r="O572" i="4"/>
  <c r="P572" i="4"/>
  <c r="Q572" i="4"/>
  <c r="R572" i="4"/>
  <c r="S572" i="4"/>
  <c r="T572" i="4"/>
  <c r="U572" i="4"/>
  <c r="O573" i="4"/>
  <c r="P573" i="4"/>
  <c r="Q573" i="4"/>
  <c r="R573" i="4"/>
  <c r="S573" i="4"/>
  <c r="T573" i="4"/>
  <c r="U573" i="4"/>
  <c r="O574" i="4"/>
  <c r="P574" i="4"/>
  <c r="Q574" i="4"/>
  <c r="R574" i="4"/>
  <c r="S574" i="4"/>
  <c r="T574" i="4"/>
  <c r="U574" i="4"/>
  <c r="O575" i="4"/>
  <c r="P575" i="4"/>
  <c r="Q575" i="4"/>
  <c r="R575" i="4"/>
  <c r="S575" i="4"/>
  <c r="T575" i="4"/>
  <c r="U575" i="4"/>
  <c r="O576" i="4"/>
  <c r="P576" i="4"/>
  <c r="Q576" i="4"/>
  <c r="R576" i="4"/>
  <c r="S576" i="4"/>
  <c r="T576" i="4"/>
  <c r="U576" i="4"/>
  <c r="O577" i="4"/>
  <c r="P577" i="4"/>
  <c r="Q577" i="4"/>
  <c r="R577" i="4"/>
  <c r="S577" i="4"/>
  <c r="T577" i="4"/>
  <c r="U577" i="4"/>
  <c r="O578" i="4"/>
  <c r="P578" i="4"/>
  <c r="Q578" i="4"/>
  <c r="R578" i="4"/>
  <c r="S578" i="4"/>
  <c r="T578" i="4"/>
  <c r="U578" i="4"/>
  <c r="O579" i="4"/>
  <c r="P579" i="4"/>
  <c r="Q579" i="4"/>
  <c r="R579" i="4"/>
  <c r="S579" i="4"/>
  <c r="T579" i="4"/>
  <c r="U579" i="4"/>
  <c r="O580" i="4"/>
  <c r="P580" i="4"/>
  <c r="Q580" i="4"/>
  <c r="R580" i="4"/>
  <c r="S580" i="4"/>
  <c r="T580" i="4"/>
  <c r="U580" i="4"/>
  <c r="O581" i="4"/>
  <c r="P581" i="4"/>
  <c r="Q581" i="4"/>
  <c r="R581" i="4"/>
  <c r="S581" i="4"/>
  <c r="T581" i="4"/>
  <c r="U581" i="4"/>
  <c r="O582" i="4"/>
  <c r="P582" i="4"/>
  <c r="Q582" i="4"/>
  <c r="R582" i="4"/>
  <c r="S582" i="4"/>
  <c r="T582" i="4"/>
  <c r="U582" i="4"/>
  <c r="O583" i="4"/>
  <c r="P583" i="4"/>
  <c r="Q583" i="4"/>
  <c r="R583" i="4"/>
  <c r="S583" i="4"/>
  <c r="T583" i="4"/>
  <c r="U583" i="4"/>
  <c r="O584" i="4"/>
  <c r="P584" i="4"/>
  <c r="Q584" i="4"/>
  <c r="R584" i="4"/>
  <c r="S584" i="4"/>
  <c r="T584" i="4"/>
  <c r="U584" i="4"/>
  <c r="O585" i="4"/>
  <c r="P585" i="4"/>
  <c r="Q585" i="4"/>
  <c r="R585" i="4"/>
  <c r="S585" i="4"/>
  <c r="T585" i="4"/>
  <c r="U585" i="4"/>
  <c r="O586" i="4"/>
  <c r="P586" i="4"/>
  <c r="Q586" i="4"/>
  <c r="R586" i="4"/>
  <c r="S586" i="4"/>
  <c r="T586" i="4"/>
  <c r="U586" i="4"/>
  <c r="O587" i="4"/>
  <c r="P587" i="4"/>
  <c r="Q587" i="4"/>
  <c r="R587" i="4"/>
  <c r="S587" i="4"/>
  <c r="T587" i="4"/>
  <c r="U587" i="4"/>
  <c r="O588" i="4"/>
  <c r="P588" i="4"/>
  <c r="Q588" i="4"/>
  <c r="R588" i="4"/>
  <c r="S588" i="4"/>
  <c r="T588" i="4"/>
  <c r="U588" i="4"/>
  <c r="O589" i="4"/>
  <c r="P589" i="4"/>
  <c r="Q589" i="4"/>
  <c r="R589" i="4"/>
  <c r="S589" i="4"/>
  <c r="T589" i="4"/>
  <c r="U589" i="4"/>
  <c r="O590" i="4"/>
  <c r="P590" i="4"/>
  <c r="Q590" i="4"/>
  <c r="R590" i="4"/>
  <c r="S590" i="4"/>
  <c r="T590" i="4"/>
  <c r="U590" i="4"/>
  <c r="O591" i="4"/>
  <c r="P591" i="4"/>
  <c r="Q591" i="4"/>
  <c r="R591" i="4"/>
  <c r="S591" i="4"/>
  <c r="T591" i="4"/>
  <c r="U591" i="4"/>
  <c r="O592" i="4"/>
  <c r="P592" i="4"/>
  <c r="Q592" i="4"/>
  <c r="R592" i="4"/>
  <c r="S592" i="4"/>
  <c r="T592" i="4"/>
  <c r="U592" i="4"/>
  <c r="O593" i="4"/>
  <c r="P593" i="4"/>
  <c r="Q593" i="4"/>
  <c r="R593" i="4"/>
  <c r="S593" i="4"/>
  <c r="T593" i="4"/>
  <c r="U593" i="4"/>
  <c r="O594" i="4"/>
  <c r="P594" i="4"/>
  <c r="Q594" i="4"/>
  <c r="R594" i="4"/>
  <c r="S594" i="4"/>
  <c r="T594" i="4"/>
  <c r="U594" i="4"/>
  <c r="O595" i="4"/>
  <c r="P595" i="4"/>
  <c r="Q595" i="4"/>
  <c r="R595" i="4"/>
  <c r="S595" i="4"/>
  <c r="T595" i="4"/>
  <c r="U595" i="4"/>
  <c r="O596" i="4"/>
  <c r="P596" i="4"/>
  <c r="Q596" i="4"/>
  <c r="R596" i="4"/>
  <c r="S596" i="4"/>
  <c r="T596" i="4"/>
  <c r="U596" i="4"/>
  <c r="O597" i="4"/>
  <c r="P597" i="4"/>
  <c r="Q597" i="4"/>
  <c r="R597" i="4"/>
  <c r="S597" i="4"/>
  <c r="T597" i="4"/>
  <c r="U597" i="4"/>
  <c r="O598" i="4"/>
  <c r="P598" i="4"/>
  <c r="Q598" i="4"/>
  <c r="R598" i="4"/>
  <c r="S598" i="4"/>
  <c r="T598" i="4"/>
  <c r="U598" i="4"/>
  <c r="O599" i="4"/>
  <c r="P599" i="4"/>
  <c r="Q599" i="4"/>
  <c r="R599" i="4"/>
  <c r="S599" i="4"/>
  <c r="T599" i="4"/>
  <c r="U599" i="4"/>
  <c r="O600" i="4"/>
  <c r="P600" i="4"/>
  <c r="Q600" i="4"/>
  <c r="R600" i="4"/>
  <c r="S600" i="4"/>
  <c r="T600" i="4"/>
  <c r="U600" i="4"/>
  <c r="O601" i="4"/>
  <c r="P601" i="4"/>
  <c r="Q601" i="4"/>
  <c r="R601" i="4"/>
  <c r="S601" i="4"/>
  <c r="T601" i="4"/>
  <c r="U601" i="4"/>
  <c r="O602" i="4"/>
  <c r="P602" i="4"/>
  <c r="Q602" i="4"/>
  <c r="R602" i="4"/>
  <c r="S602" i="4"/>
  <c r="T602" i="4"/>
  <c r="U602" i="4"/>
  <c r="O603" i="4"/>
  <c r="P603" i="4"/>
  <c r="Q603" i="4"/>
  <c r="R603" i="4"/>
  <c r="S603" i="4"/>
  <c r="T603" i="4"/>
  <c r="U603" i="4"/>
  <c r="O604" i="4"/>
  <c r="P604" i="4"/>
  <c r="Q604" i="4"/>
  <c r="R604" i="4"/>
  <c r="S604" i="4"/>
  <c r="T604" i="4"/>
  <c r="U604" i="4"/>
  <c r="O605" i="4"/>
  <c r="P605" i="4"/>
  <c r="Q605" i="4"/>
  <c r="R605" i="4"/>
  <c r="S605" i="4"/>
  <c r="T605" i="4"/>
  <c r="U605" i="4"/>
  <c r="O606" i="4"/>
  <c r="P606" i="4"/>
  <c r="Q606" i="4"/>
  <c r="R606" i="4"/>
  <c r="S606" i="4"/>
  <c r="T606" i="4"/>
  <c r="U606" i="4"/>
  <c r="O607" i="4"/>
  <c r="P607" i="4"/>
  <c r="Q607" i="4"/>
  <c r="R607" i="4"/>
  <c r="S607" i="4"/>
  <c r="T607" i="4"/>
  <c r="U607" i="4"/>
  <c r="O608" i="4"/>
  <c r="P608" i="4"/>
  <c r="Q608" i="4"/>
  <c r="R608" i="4"/>
  <c r="S608" i="4"/>
  <c r="T608" i="4"/>
  <c r="U608" i="4"/>
  <c r="O609" i="4"/>
  <c r="P609" i="4"/>
  <c r="Q609" i="4"/>
  <c r="R609" i="4"/>
  <c r="S609" i="4"/>
  <c r="T609" i="4"/>
  <c r="U609" i="4"/>
  <c r="O610" i="4"/>
  <c r="P610" i="4"/>
  <c r="Q610" i="4"/>
  <c r="R610" i="4"/>
  <c r="S610" i="4"/>
  <c r="T610" i="4"/>
  <c r="U610" i="4"/>
  <c r="O611" i="4"/>
  <c r="P611" i="4"/>
  <c r="Q611" i="4"/>
  <c r="R611" i="4"/>
  <c r="S611" i="4"/>
  <c r="T611" i="4"/>
  <c r="U611" i="4"/>
  <c r="O612" i="4"/>
  <c r="P612" i="4"/>
  <c r="Q612" i="4"/>
  <c r="R612" i="4"/>
  <c r="S612" i="4"/>
  <c r="T612" i="4"/>
  <c r="U612" i="4"/>
  <c r="O613" i="4"/>
  <c r="P613" i="4"/>
  <c r="Q613" i="4"/>
  <c r="R613" i="4"/>
  <c r="S613" i="4"/>
  <c r="T613" i="4"/>
  <c r="U613" i="4"/>
  <c r="O614" i="4"/>
  <c r="P614" i="4"/>
  <c r="Q614" i="4"/>
  <c r="R614" i="4"/>
  <c r="S614" i="4"/>
  <c r="T614" i="4"/>
  <c r="U614" i="4"/>
  <c r="O615" i="4"/>
  <c r="P615" i="4"/>
  <c r="Q615" i="4"/>
  <c r="R615" i="4"/>
  <c r="S615" i="4"/>
  <c r="T615" i="4"/>
  <c r="U615" i="4"/>
  <c r="O616" i="4"/>
  <c r="P616" i="4"/>
  <c r="Q616" i="4"/>
  <c r="R616" i="4"/>
  <c r="S616" i="4"/>
  <c r="T616" i="4"/>
  <c r="U616" i="4"/>
  <c r="O617" i="4"/>
  <c r="P617" i="4"/>
  <c r="Q617" i="4"/>
  <c r="R617" i="4"/>
  <c r="S617" i="4"/>
  <c r="T617" i="4"/>
  <c r="U617" i="4"/>
  <c r="O618" i="4"/>
  <c r="P618" i="4"/>
  <c r="Q618" i="4"/>
  <c r="R618" i="4"/>
  <c r="S618" i="4"/>
  <c r="T618" i="4"/>
  <c r="U618" i="4"/>
  <c r="O619" i="4"/>
  <c r="P619" i="4"/>
  <c r="Q619" i="4"/>
  <c r="R619" i="4"/>
  <c r="S619" i="4"/>
  <c r="T619" i="4"/>
  <c r="U619" i="4"/>
  <c r="O620" i="4"/>
  <c r="P620" i="4"/>
  <c r="Q620" i="4"/>
  <c r="R620" i="4"/>
  <c r="S620" i="4"/>
  <c r="T620" i="4"/>
  <c r="U620" i="4"/>
  <c r="O621" i="4"/>
  <c r="P621" i="4"/>
  <c r="Q621" i="4"/>
  <c r="R621" i="4"/>
  <c r="S621" i="4"/>
  <c r="T621" i="4"/>
  <c r="U621" i="4"/>
  <c r="O622" i="4"/>
  <c r="P622" i="4"/>
  <c r="Q622" i="4"/>
  <c r="R622" i="4"/>
  <c r="S622" i="4"/>
  <c r="T622" i="4"/>
  <c r="U622" i="4"/>
  <c r="O623" i="4"/>
  <c r="P623" i="4"/>
  <c r="Q623" i="4"/>
  <c r="R623" i="4"/>
  <c r="S623" i="4"/>
  <c r="T623" i="4"/>
  <c r="U623" i="4"/>
  <c r="O624" i="4"/>
  <c r="P624" i="4"/>
  <c r="Q624" i="4"/>
  <c r="R624" i="4"/>
  <c r="S624" i="4"/>
  <c r="T624" i="4"/>
  <c r="U624" i="4"/>
  <c r="O625" i="4"/>
  <c r="P625" i="4"/>
  <c r="Q625" i="4"/>
  <c r="R625" i="4"/>
  <c r="S625" i="4"/>
  <c r="T625" i="4"/>
  <c r="U625" i="4"/>
  <c r="O626" i="4"/>
  <c r="P626" i="4"/>
  <c r="Q626" i="4"/>
  <c r="R626" i="4"/>
  <c r="S626" i="4"/>
  <c r="T626" i="4"/>
  <c r="U626" i="4"/>
  <c r="O627" i="4"/>
  <c r="P627" i="4"/>
  <c r="Q627" i="4"/>
  <c r="R627" i="4"/>
  <c r="S627" i="4"/>
  <c r="T627" i="4"/>
  <c r="U627" i="4"/>
  <c r="O628" i="4"/>
  <c r="P628" i="4"/>
  <c r="Q628" i="4"/>
  <c r="R628" i="4"/>
  <c r="S628" i="4"/>
  <c r="T628" i="4"/>
  <c r="U628" i="4"/>
  <c r="O629" i="4"/>
  <c r="P629" i="4"/>
  <c r="Q629" i="4"/>
  <c r="R629" i="4"/>
  <c r="S629" i="4"/>
  <c r="T629" i="4"/>
  <c r="U629" i="4"/>
  <c r="O630" i="4"/>
  <c r="P630" i="4"/>
  <c r="Q630" i="4"/>
  <c r="R630" i="4"/>
  <c r="S630" i="4"/>
  <c r="T630" i="4"/>
  <c r="U630" i="4"/>
  <c r="O631" i="4"/>
  <c r="P631" i="4"/>
  <c r="Q631" i="4"/>
  <c r="R631" i="4"/>
  <c r="S631" i="4"/>
  <c r="T631" i="4"/>
  <c r="U631" i="4"/>
  <c r="O632" i="4"/>
  <c r="P632" i="4"/>
  <c r="Q632" i="4"/>
  <c r="R632" i="4"/>
  <c r="S632" i="4"/>
  <c r="T632" i="4"/>
  <c r="U632" i="4"/>
  <c r="O633" i="4"/>
  <c r="P633" i="4"/>
  <c r="Q633" i="4"/>
  <c r="R633" i="4"/>
  <c r="S633" i="4"/>
  <c r="T633" i="4"/>
  <c r="U633" i="4"/>
  <c r="O634" i="4"/>
  <c r="P634" i="4"/>
  <c r="Q634" i="4"/>
  <c r="R634" i="4"/>
  <c r="S634" i="4"/>
  <c r="T634" i="4"/>
  <c r="U634" i="4"/>
  <c r="O635" i="4"/>
  <c r="P635" i="4"/>
  <c r="Q635" i="4"/>
  <c r="R635" i="4"/>
  <c r="S635" i="4"/>
  <c r="T635" i="4"/>
  <c r="U635" i="4"/>
  <c r="O636" i="4"/>
  <c r="P636" i="4"/>
  <c r="Q636" i="4"/>
  <c r="R636" i="4"/>
  <c r="S636" i="4"/>
  <c r="T636" i="4"/>
  <c r="U636" i="4"/>
  <c r="O637" i="4"/>
  <c r="P637" i="4"/>
  <c r="Q637" i="4"/>
  <c r="R637" i="4"/>
  <c r="S637" i="4"/>
  <c r="T637" i="4"/>
  <c r="U637" i="4"/>
  <c r="O638" i="4"/>
  <c r="P638" i="4"/>
  <c r="Q638" i="4"/>
  <c r="R638" i="4"/>
  <c r="S638" i="4"/>
  <c r="T638" i="4"/>
  <c r="U638" i="4"/>
  <c r="O639" i="4"/>
  <c r="P639" i="4"/>
  <c r="Q639" i="4"/>
  <c r="R639" i="4"/>
  <c r="S639" i="4"/>
  <c r="T639" i="4"/>
  <c r="U639" i="4"/>
  <c r="O640" i="4"/>
  <c r="P640" i="4"/>
  <c r="Q640" i="4"/>
  <c r="R640" i="4"/>
  <c r="S640" i="4"/>
  <c r="T640" i="4"/>
  <c r="U640" i="4"/>
  <c r="O641" i="4"/>
  <c r="P641" i="4"/>
  <c r="Q641" i="4"/>
  <c r="R641" i="4"/>
  <c r="S641" i="4"/>
  <c r="T641" i="4"/>
  <c r="U641" i="4"/>
  <c r="O642" i="4"/>
  <c r="P642" i="4"/>
  <c r="Q642" i="4"/>
  <c r="R642" i="4"/>
  <c r="S642" i="4"/>
  <c r="T642" i="4"/>
  <c r="U642" i="4"/>
  <c r="O643" i="4"/>
  <c r="P643" i="4"/>
  <c r="Q643" i="4"/>
  <c r="R643" i="4"/>
  <c r="S643" i="4"/>
  <c r="T643" i="4"/>
  <c r="U643" i="4"/>
  <c r="O644" i="4"/>
  <c r="P644" i="4"/>
  <c r="Q644" i="4"/>
  <c r="R644" i="4"/>
  <c r="S644" i="4"/>
  <c r="T644" i="4"/>
  <c r="U644" i="4"/>
  <c r="O645" i="4"/>
  <c r="P645" i="4"/>
  <c r="Q645" i="4"/>
  <c r="R645" i="4"/>
  <c r="S645" i="4"/>
  <c r="T645" i="4"/>
  <c r="U645" i="4"/>
  <c r="O646" i="4"/>
  <c r="P646" i="4"/>
  <c r="Q646" i="4"/>
  <c r="R646" i="4"/>
  <c r="S646" i="4"/>
  <c r="T646" i="4"/>
  <c r="U646" i="4"/>
  <c r="O647" i="4"/>
  <c r="P647" i="4"/>
  <c r="Q647" i="4"/>
  <c r="R647" i="4"/>
  <c r="S647" i="4"/>
  <c r="T647" i="4"/>
  <c r="U647" i="4"/>
  <c r="O648" i="4"/>
  <c r="P648" i="4"/>
  <c r="Q648" i="4"/>
  <c r="R648" i="4"/>
  <c r="S648" i="4"/>
  <c r="T648" i="4"/>
  <c r="U648" i="4"/>
  <c r="O649" i="4"/>
  <c r="P649" i="4"/>
  <c r="Q649" i="4"/>
  <c r="R649" i="4"/>
  <c r="S649" i="4"/>
  <c r="T649" i="4"/>
  <c r="U649" i="4"/>
  <c r="O650" i="4"/>
  <c r="P650" i="4"/>
  <c r="Q650" i="4"/>
  <c r="R650" i="4"/>
  <c r="S650" i="4"/>
  <c r="T650" i="4"/>
  <c r="U650" i="4"/>
  <c r="O651" i="4"/>
  <c r="P651" i="4"/>
  <c r="Q651" i="4"/>
  <c r="R651" i="4"/>
  <c r="S651" i="4"/>
  <c r="T651" i="4"/>
  <c r="U651" i="4"/>
  <c r="O652" i="4"/>
  <c r="P652" i="4"/>
  <c r="Q652" i="4"/>
  <c r="R652" i="4"/>
  <c r="S652" i="4"/>
  <c r="T652" i="4"/>
  <c r="U652" i="4"/>
  <c r="O653" i="4"/>
  <c r="P653" i="4"/>
  <c r="Q653" i="4"/>
  <c r="R653" i="4"/>
  <c r="S653" i="4"/>
  <c r="T653" i="4"/>
  <c r="U653" i="4"/>
  <c r="O654" i="4"/>
  <c r="P654" i="4"/>
  <c r="Q654" i="4"/>
  <c r="R654" i="4"/>
  <c r="S654" i="4"/>
  <c r="T654" i="4"/>
  <c r="U654" i="4"/>
  <c r="O655" i="4"/>
  <c r="P655" i="4"/>
  <c r="Q655" i="4"/>
  <c r="R655" i="4"/>
  <c r="S655" i="4"/>
  <c r="T655" i="4"/>
  <c r="U655" i="4"/>
  <c r="O656" i="4"/>
  <c r="P656" i="4"/>
  <c r="Q656" i="4"/>
  <c r="R656" i="4"/>
  <c r="S656" i="4"/>
  <c r="T656" i="4"/>
  <c r="U656" i="4"/>
  <c r="O657" i="4"/>
  <c r="P657" i="4"/>
  <c r="Q657" i="4"/>
  <c r="R657" i="4"/>
  <c r="S657" i="4"/>
  <c r="T657" i="4"/>
  <c r="U657" i="4"/>
  <c r="O658" i="4"/>
  <c r="P658" i="4"/>
  <c r="Q658" i="4"/>
  <c r="R658" i="4"/>
  <c r="S658" i="4"/>
  <c r="T658" i="4"/>
  <c r="U658" i="4"/>
  <c r="O659" i="4"/>
  <c r="P659" i="4"/>
  <c r="Q659" i="4"/>
  <c r="R659" i="4"/>
  <c r="S659" i="4"/>
  <c r="T659" i="4"/>
  <c r="U659" i="4"/>
  <c r="O660" i="4"/>
  <c r="P660" i="4"/>
  <c r="Q660" i="4"/>
  <c r="R660" i="4"/>
  <c r="S660" i="4"/>
  <c r="T660" i="4"/>
  <c r="U660" i="4"/>
  <c r="O661" i="4"/>
  <c r="P661" i="4"/>
  <c r="Q661" i="4"/>
  <c r="R661" i="4"/>
  <c r="S661" i="4"/>
  <c r="T661" i="4"/>
  <c r="U661" i="4"/>
  <c r="O662" i="4"/>
  <c r="P662" i="4"/>
  <c r="Q662" i="4"/>
  <c r="R662" i="4"/>
  <c r="S662" i="4"/>
  <c r="T662" i="4"/>
  <c r="U662" i="4"/>
  <c r="O663" i="4"/>
  <c r="P663" i="4"/>
  <c r="Q663" i="4"/>
  <c r="R663" i="4"/>
  <c r="S663" i="4"/>
  <c r="T663" i="4"/>
  <c r="U663" i="4"/>
  <c r="O664" i="4"/>
  <c r="P664" i="4"/>
  <c r="Q664" i="4"/>
  <c r="R664" i="4"/>
  <c r="S664" i="4"/>
  <c r="T664" i="4"/>
  <c r="U664" i="4"/>
  <c r="O665" i="4"/>
  <c r="P665" i="4"/>
  <c r="Q665" i="4"/>
  <c r="R665" i="4"/>
  <c r="S665" i="4"/>
  <c r="T665" i="4"/>
  <c r="U665" i="4"/>
  <c r="O666" i="4"/>
  <c r="P666" i="4"/>
  <c r="Q666" i="4"/>
  <c r="R666" i="4"/>
  <c r="S666" i="4"/>
  <c r="T666" i="4"/>
  <c r="U666" i="4"/>
  <c r="O667" i="4"/>
  <c r="P667" i="4"/>
  <c r="Q667" i="4"/>
  <c r="R667" i="4"/>
  <c r="S667" i="4"/>
  <c r="T667" i="4"/>
  <c r="U667" i="4"/>
  <c r="O668" i="4"/>
  <c r="P668" i="4"/>
  <c r="Q668" i="4"/>
  <c r="R668" i="4"/>
  <c r="S668" i="4"/>
  <c r="T668" i="4"/>
  <c r="U668" i="4"/>
  <c r="O669" i="4"/>
  <c r="P669" i="4"/>
  <c r="Q669" i="4"/>
  <c r="R669" i="4"/>
  <c r="S669" i="4"/>
  <c r="T669" i="4"/>
  <c r="U669" i="4"/>
  <c r="O670" i="4"/>
  <c r="P670" i="4"/>
  <c r="Q670" i="4"/>
  <c r="R670" i="4"/>
  <c r="S670" i="4"/>
  <c r="T670" i="4"/>
  <c r="U670" i="4"/>
  <c r="O671" i="4"/>
  <c r="P671" i="4"/>
  <c r="Q671" i="4"/>
  <c r="R671" i="4"/>
  <c r="S671" i="4"/>
  <c r="T671" i="4"/>
  <c r="U671" i="4"/>
  <c r="O672" i="4"/>
  <c r="P672" i="4"/>
  <c r="Q672" i="4"/>
  <c r="R672" i="4"/>
  <c r="S672" i="4"/>
  <c r="T672" i="4"/>
  <c r="U672" i="4"/>
  <c r="O673" i="4"/>
  <c r="P673" i="4"/>
  <c r="Q673" i="4"/>
  <c r="R673" i="4"/>
  <c r="S673" i="4"/>
  <c r="T673" i="4"/>
  <c r="U673" i="4"/>
  <c r="O674" i="4"/>
  <c r="P674" i="4"/>
  <c r="Q674" i="4"/>
  <c r="R674" i="4"/>
  <c r="S674" i="4"/>
  <c r="T674" i="4"/>
  <c r="U674" i="4"/>
  <c r="O675" i="4"/>
  <c r="P675" i="4"/>
  <c r="Q675" i="4"/>
  <c r="R675" i="4"/>
  <c r="S675" i="4"/>
  <c r="T675" i="4"/>
  <c r="U675" i="4"/>
  <c r="O676" i="4"/>
  <c r="P676" i="4"/>
  <c r="Q676" i="4"/>
  <c r="R676" i="4"/>
  <c r="S676" i="4"/>
  <c r="T676" i="4"/>
  <c r="U676" i="4"/>
  <c r="O677" i="4"/>
  <c r="P677" i="4"/>
  <c r="Q677" i="4"/>
  <c r="R677" i="4"/>
  <c r="S677" i="4"/>
  <c r="T677" i="4"/>
  <c r="U677" i="4"/>
  <c r="O678" i="4"/>
  <c r="P678" i="4"/>
  <c r="Q678" i="4"/>
  <c r="R678" i="4"/>
  <c r="S678" i="4"/>
  <c r="T678" i="4"/>
  <c r="U678" i="4"/>
  <c r="O679" i="4"/>
  <c r="P679" i="4"/>
  <c r="Q679" i="4"/>
  <c r="R679" i="4"/>
  <c r="S679" i="4"/>
  <c r="T679" i="4"/>
  <c r="U679" i="4"/>
  <c r="O680" i="4"/>
  <c r="P680" i="4"/>
  <c r="Q680" i="4"/>
  <c r="R680" i="4"/>
  <c r="S680" i="4"/>
  <c r="T680" i="4"/>
  <c r="U680" i="4"/>
  <c r="O681" i="4"/>
  <c r="P681" i="4"/>
  <c r="Q681" i="4"/>
  <c r="R681" i="4"/>
  <c r="S681" i="4"/>
  <c r="T681" i="4"/>
  <c r="U681" i="4"/>
  <c r="O682" i="4"/>
  <c r="P682" i="4"/>
  <c r="Q682" i="4"/>
  <c r="R682" i="4"/>
  <c r="S682" i="4"/>
  <c r="T682" i="4"/>
  <c r="U682" i="4"/>
  <c r="O683" i="4"/>
  <c r="P683" i="4"/>
  <c r="Q683" i="4"/>
  <c r="R683" i="4"/>
  <c r="S683" i="4"/>
  <c r="T683" i="4"/>
  <c r="U683" i="4"/>
  <c r="O684" i="4"/>
  <c r="P684" i="4"/>
  <c r="Q684" i="4"/>
  <c r="R684" i="4"/>
  <c r="S684" i="4"/>
  <c r="T684" i="4"/>
  <c r="U684" i="4"/>
  <c r="O685" i="4"/>
  <c r="P685" i="4"/>
  <c r="Q685" i="4"/>
  <c r="R685" i="4"/>
  <c r="S685" i="4"/>
  <c r="T685" i="4"/>
  <c r="U685" i="4"/>
  <c r="O686" i="4"/>
  <c r="P686" i="4"/>
  <c r="Q686" i="4"/>
  <c r="R686" i="4"/>
  <c r="S686" i="4"/>
  <c r="T686" i="4"/>
  <c r="U686" i="4"/>
  <c r="O687" i="4"/>
  <c r="P687" i="4"/>
  <c r="Q687" i="4"/>
  <c r="R687" i="4"/>
  <c r="S687" i="4"/>
  <c r="T687" i="4"/>
  <c r="U687" i="4"/>
  <c r="O688" i="4"/>
  <c r="P688" i="4"/>
  <c r="Q688" i="4"/>
  <c r="R688" i="4"/>
  <c r="S688" i="4"/>
  <c r="T688" i="4"/>
  <c r="U688" i="4"/>
  <c r="O689" i="4"/>
  <c r="P689" i="4"/>
  <c r="Q689" i="4"/>
  <c r="R689" i="4"/>
  <c r="S689" i="4"/>
  <c r="T689" i="4"/>
  <c r="U689" i="4"/>
  <c r="O690" i="4"/>
  <c r="P690" i="4"/>
  <c r="Q690" i="4"/>
  <c r="R690" i="4"/>
  <c r="S690" i="4"/>
  <c r="T690" i="4"/>
  <c r="U690" i="4"/>
  <c r="O691" i="4"/>
  <c r="P691" i="4"/>
  <c r="Q691" i="4"/>
  <c r="R691" i="4"/>
  <c r="S691" i="4"/>
  <c r="T691" i="4"/>
  <c r="U691" i="4"/>
  <c r="O692" i="4"/>
  <c r="P692" i="4"/>
  <c r="Q692" i="4"/>
  <c r="R692" i="4"/>
  <c r="S692" i="4"/>
  <c r="T692" i="4"/>
  <c r="U692" i="4"/>
  <c r="O693" i="4"/>
  <c r="P693" i="4"/>
  <c r="Q693" i="4"/>
  <c r="R693" i="4"/>
  <c r="S693" i="4"/>
  <c r="T693" i="4"/>
  <c r="U693" i="4"/>
  <c r="O694" i="4"/>
  <c r="P694" i="4"/>
  <c r="Q694" i="4"/>
  <c r="R694" i="4"/>
  <c r="S694" i="4"/>
  <c r="T694" i="4"/>
  <c r="U694" i="4"/>
  <c r="O695" i="4"/>
  <c r="P695" i="4"/>
  <c r="Q695" i="4"/>
  <c r="R695" i="4"/>
  <c r="S695" i="4"/>
  <c r="T695" i="4"/>
  <c r="U695" i="4"/>
  <c r="O696" i="4"/>
  <c r="P696" i="4"/>
  <c r="Q696" i="4"/>
  <c r="R696" i="4"/>
  <c r="S696" i="4"/>
  <c r="T696" i="4"/>
  <c r="U696" i="4"/>
  <c r="O697" i="4"/>
  <c r="P697" i="4"/>
  <c r="Q697" i="4"/>
  <c r="R697" i="4"/>
  <c r="S697" i="4"/>
  <c r="T697" i="4"/>
  <c r="U697" i="4"/>
  <c r="O698" i="4"/>
  <c r="P698" i="4"/>
  <c r="Q698" i="4"/>
  <c r="R698" i="4"/>
  <c r="S698" i="4"/>
  <c r="T698" i="4"/>
  <c r="U698" i="4"/>
  <c r="O699" i="4"/>
  <c r="P699" i="4"/>
  <c r="Q699" i="4"/>
  <c r="R699" i="4"/>
  <c r="S699" i="4"/>
  <c r="T699" i="4"/>
  <c r="U699" i="4"/>
  <c r="O700" i="4"/>
  <c r="P700" i="4"/>
  <c r="Q700" i="4"/>
  <c r="R700" i="4"/>
  <c r="S700" i="4"/>
  <c r="T700" i="4"/>
  <c r="U700" i="4"/>
  <c r="O701" i="4"/>
  <c r="P701" i="4"/>
  <c r="Q701" i="4"/>
  <c r="R701" i="4"/>
  <c r="S701" i="4"/>
  <c r="T701" i="4"/>
  <c r="U701" i="4"/>
  <c r="O702" i="4"/>
  <c r="P702" i="4"/>
  <c r="Q702" i="4"/>
  <c r="R702" i="4"/>
  <c r="S702" i="4"/>
  <c r="T702" i="4"/>
  <c r="U702" i="4"/>
  <c r="O703" i="4"/>
  <c r="P703" i="4"/>
  <c r="Q703" i="4"/>
  <c r="R703" i="4"/>
  <c r="S703" i="4"/>
  <c r="T703" i="4"/>
  <c r="U703" i="4"/>
  <c r="O704" i="4"/>
  <c r="P704" i="4"/>
  <c r="Q704" i="4"/>
  <c r="R704" i="4"/>
  <c r="S704" i="4"/>
  <c r="T704" i="4"/>
  <c r="U704" i="4"/>
  <c r="O705" i="4"/>
  <c r="P705" i="4"/>
  <c r="Q705" i="4"/>
  <c r="R705" i="4"/>
  <c r="S705" i="4"/>
  <c r="T705" i="4"/>
  <c r="U705" i="4"/>
  <c r="O706" i="4"/>
  <c r="P706" i="4"/>
  <c r="Q706" i="4"/>
  <c r="R706" i="4"/>
  <c r="S706" i="4"/>
  <c r="T706" i="4"/>
  <c r="U706" i="4"/>
  <c r="O707" i="4"/>
  <c r="P707" i="4"/>
  <c r="Q707" i="4"/>
  <c r="R707" i="4"/>
  <c r="S707" i="4"/>
  <c r="T707" i="4"/>
  <c r="U707" i="4"/>
  <c r="O708" i="4"/>
  <c r="P708" i="4"/>
  <c r="Q708" i="4"/>
  <c r="R708" i="4"/>
  <c r="S708" i="4"/>
  <c r="T708" i="4"/>
  <c r="U708" i="4"/>
  <c r="O709" i="4"/>
  <c r="P709" i="4"/>
  <c r="Q709" i="4"/>
  <c r="R709" i="4"/>
  <c r="S709" i="4"/>
  <c r="T709" i="4"/>
  <c r="U709" i="4"/>
  <c r="O710" i="4"/>
  <c r="P710" i="4"/>
  <c r="Q710" i="4"/>
  <c r="R710" i="4"/>
  <c r="S710" i="4"/>
  <c r="T710" i="4"/>
  <c r="U710" i="4"/>
  <c r="O711" i="4"/>
  <c r="P711" i="4"/>
  <c r="Q711" i="4"/>
  <c r="R711" i="4"/>
  <c r="S711" i="4"/>
  <c r="T711" i="4"/>
  <c r="U711" i="4"/>
  <c r="O712" i="4"/>
  <c r="P712" i="4"/>
  <c r="Q712" i="4"/>
  <c r="R712" i="4"/>
  <c r="S712" i="4"/>
  <c r="T712" i="4"/>
  <c r="U712" i="4"/>
  <c r="O713" i="4"/>
  <c r="P713" i="4"/>
  <c r="Q713" i="4"/>
  <c r="R713" i="4"/>
  <c r="S713" i="4"/>
  <c r="T713" i="4"/>
  <c r="U713" i="4"/>
  <c r="O714" i="4"/>
  <c r="P714" i="4"/>
  <c r="Q714" i="4"/>
  <c r="R714" i="4"/>
  <c r="S714" i="4"/>
  <c r="T714" i="4"/>
  <c r="U714" i="4"/>
  <c r="O715" i="4"/>
  <c r="P715" i="4"/>
  <c r="Q715" i="4"/>
  <c r="R715" i="4"/>
  <c r="S715" i="4"/>
  <c r="T715" i="4"/>
  <c r="U715" i="4"/>
  <c r="O716" i="4"/>
  <c r="P716" i="4"/>
  <c r="Q716" i="4"/>
  <c r="R716" i="4"/>
  <c r="S716" i="4"/>
  <c r="T716" i="4"/>
  <c r="U716" i="4"/>
  <c r="O717" i="4"/>
  <c r="P717" i="4"/>
  <c r="Q717" i="4"/>
  <c r="R717" i="4"/>
  <c r="S717" i="4"/>
  <c r="T717" i="4"/>
  <c r="U717" i="4"/>
  <c r="O718" i="4"/>
  <c r="P718" i="4"/>
  <c r="Q718" i="4"/>
  <c r="R718" i="4"/>
  <c r="S718" i="4"/>
  <c r="T718" i="4"/>
  <c r="U718" i="4"/>
  <c r="O719" i="4"/>
  <c r="P719" i="4"/>
  <c r="Q719" i="4"/>
  <c r="R719" i="4"/>
  <c r="S719" i="4"/>
  <c r="T719" i="4"/>
  <c r="U719" i="4"/>
  <c r="O720" i="4"/>
  <c r="P720" i="4"/>
  <c r="Q720" i="4"/>
  <c r="R720" i="4"/>
  <c r="S720" i="4"/>
  <c r="T720" i="4"/>
  <c r="U720" i="4"/>
  <c r="O721" i="4"/>
  <c r="P721" i="4"/>
  <c r="Q721" i="4"/>
  <c r="R721" i="4"/>
  <c r="S721" i="4"/>
  <c r="T721" i="4"/>
  <c r="U721" i="4"/>
  <c r="O722" i="4"/>
  <c r="P722" i="4"/>
  <c r="Q722" i="4"/>
  <c r="R722" i="4"/>
  <c r="S722" i="4"/>
  <c r="T722" i="4"/>
  <c r="U722" i="4"/>
  <c r="O723" i="4"/>
  <c r="P723" i="4"/>
  <c r="Q723" i="4"/>
  <c r="R723" i="4"/>
  <c r="S723" i="4"/>
  <c r="T723" i="4"/>
  <c r="U723" i="4"/>
  <c r="O724" i="4"/>
  <c r="P724" i="4"/>
  <c r="Q724" i="4"/>
  <c r="R724" i="4"/>
  <c r="S724" i="4"/>
  <c r="T724" i="4"/>
  <c r="U724" i="4"/>
  <c r="O725" i="4"/>
  <c r="P725" i="4"/>
  <c r="Q725" i="4"/>
  <c r="R725" i="4"/>
  <c r="S725" i="4"/>
  <c r="T725" i="4"/>
  <c r="U725" i="4"/>
  <c r="O726" i="4"/>
  <c r="P726" i="4"/>
  <c r="Q726" i="4"/>
  <c r="R726" i="4"/>
  <c r="S726" i="4"/>
  <c r="T726" i="4"/>
  <c r="U726" i="4"/>
  <c r="O727" i="4"/>
  <c r="P727" i="4"/>
  <c r="Q727" i="4"/>
  <c r="R727" i="4"/>
  <c r="S727" i="4"/>
  <c r="T727" i="4"/>
  <c r="U727" i="4"/>
  <c r="O728" i="4"/>
  <c r="P728" i="4"/>
  <c r="Q728" i="4"/>
  <c r="R728" i="4"/>
  <c r="S728" i="4"/>
  <c r="T728" i="4"/>
  <c r="U728" i="4"/>
  <c r="O729" i="4"/>
  <c r="P729" i="4"/>
  <c r="Q729" i="4"/>
  <c r="R729" i="4"/>
  <c r="S729" i="4"/>
  <c r="T729" i="4"/>
  <c r="U729" i="4"/>
  <c r="O730" i="4"/>
  <c r="P730" i="4"/>
  <c r="Q730" i="4"/>
  <c r="R730" i="4"/>
  <c r="S730" i="4"/>
  <c r="T730" i="4"/>
  <c r="U730" i="4"/>
  <c r="O731" i="4"/>
  <c r="P731" i="4"/>
  <c r="Q731" i="4"/>
  <c r="R731" i="4"/>
  <c r="S731" i="4"/>
  <c r="T731" i="4"/>
  <c r="U731" i="4"/>
  <c r="O732" i="4"/>
  <c r="P732" i="4"/>
  <c r="Q732" i="4"/>
  <c r="R732" i="4"/>
  <c r="S732" i="4"/>
  <c r="T732" i="4"/>
  <c r="U732" i="4"/>
  <c r="O733" i="4"/>
  <c r="P733" i="4"/>
  <c r="Q733" i="4"/>
  <c r="R733" i="4"/>
  <c r="S733" i="4"/>
  <c r="T733" i="4"/>
  <c r="U733" i="4"/>
  <c r="O734" i="4"/>
  <c r="P734" i="4"/>
  <c r="Q734" i="4"/>
  <c r="R734" i="4"/>
  <c r="S734" i="4"/>
  <c r="T734" i="4"/>
  <c r="U734" i="4"/>
  <c r="O735" i="4"/>
  <c r="P735" i="4"/>
  <c r="Q735" i="4"/>
  <c r="R735" i="4"/>
  <c r="S735" i="4"/>
  <c r="T735" i="4"/>
  <c r="U735" i="4"/>
  <c r="O736" i="4"/>
  <c r="P736" i="4"/>
  <c r="Q736" i="4"/>
  <c r="R736" i="4"/>
  <c r="S736" i="4"/>
  <c r="T736" i="4"/>
  <c r="U736" i="4"/>
  <c r="O737" i="4"/>
  <c r="P737" i="4"/>
  <c r="Q737" i="4"/>
  <c r="R737" i="4"/>
  <c r="S737" i="4"/>
  <c r="T737" i="4"/>
  <c r="U737" i="4"/>
  <c r="O738" i="4"/>
  <c r="P738" i="4"/>
  <c r="Q738" i="4"/>
  <c r="R738" i="4"/>
  <c r="S738" i="4"/>
  <c r="T738" i="4"/>
  <c r="U738" i="4"/>
  <c r="O739" i="4"/>
  <c r="P739" i="4"/>
  <c r="Q739" i="4"/>
  <c r="R739" i="4"/>
  <c r="S739" i="4"/>
  <c r="T739" i="4"/>
  <c r="U739" i="4"/>
  <c r="O740" i="4"/>
  <c r="P740" i="4"/>
  <c r="Q740" i="4"/>
  <c r="R740" i="4"/>
  <c r="S740" i="4"/>
  <c r="T740" i="4"/>
  <c r="U740" i="4"/>
  <c r="O741" i="4"/>
  <c r="P741" i="4"/>
  <c r="Q741" i="4"/>
  <c r="R741" i="4"/>
  <c r="S741" i="4"/>
  <c r="T741" i="4"/>
  <c r="U741" i="4"/>
  <c r="O742" i="4"/>
  <c r="P742" i="4"/>
  <c r="Q742" i="4"/>
  <c r="R742" i="4"/>
  <c r="S742" i="4"/>
  <c r="T742" i="4"/>
  <c r="U742" i="4"/>
  <c r="O743" i="4"/>
  <c r="P743" i="4"/>
  <c r="Q743" i="4"/>
  <c r="R743" i="4"/>
  <c r="S743" i="4"/>
  <c r="T743" i="4"/>
  <c r="U743" i="4"/>
  <c r="O744" i="4"/>
  <c r="P744" i="4"/>
  <c r="Q744" i="4"/>
  <c r="R744" i="4"/>
  <c r="S744" i="4"/>
  <c r="T744" i="4"/>
  <c r="U744" i="4"/>
  <c r="O745" i="4"/>
  <c r="P745" i="4"/>
  <c r="Q745" i="4"/>
  <c r="R745" i="4"/>
  <c r="S745" i="4"/>
  <c r="T745" i="4"/>
  <c r="U745" i="4"/>
  <c r="O746" i="4"/>
  <c r="P746" i="4"/>
  <c r="Q746" i="4"/>
  <c r="R746" i="4"/>
  <c r="S746" i="4"/>
  <c r="T746" i="4"/>
  <c r="U746" i="4"/>
  <c r="O747" i="4"/>
  <c r="P747" i="4"/>
  <c r="Q747" i="4"/>
  <c r="R747" i="4"/>
  <c r="S747" i="4"/>
  <c r="T747" i="4"/>
  <c r="U747" i="4"/>
  <c r="O748" i="4"/>
  <c r="P748" i="4"/>
  <c r="Q748" i="4"/>
  <c r="R748" i="4"/>
  <c r="S748" i="4"/>
  <c r="T748" i="4"/>
  <c r="U748" i="4"/>
  <c r="O749" i="4"/>
  <c r="P749" i="4"/>
  <c r="Q749" i="4"/>
  <c r="R749" i="4"/>
  <c r="S749" i="4"/>
  <c r="T749" i="4"/>
  <c r="U749" i="4"/>
  <c r="O750" i="4"/>
  <c r="P750" i="4"/>
  <c r="Q750" i="4"/>
  <c r="R750" i="4"/>
  <c r="S750" i="4"/>
  <c r="T750" i="4"/>
  <c r="U750" i="4"/>
  <c r="O751" i="4"/>
  <c r="P751" i="4"/>
  <c r="Q751" i="4"/>
  <c r="R751" i="4"/>
  <c r="S751" i="4"/>
  <c r="T751" i="4"/>
  <c r="U751" i="4"/>
  <c r="O752" i="4"/>
  <c r="P752" i="4"/>
  <c r="Q752" i="4"/>
  <c r="R752" i="4"/>
  <c r="S752" i="4"/>
  <c r="T752" i="4"/>
  <c r="U752" i="4"/>
  <c r="O753" i="4"/>
  <c r="P753" i="4"/>
  <c r="Q753" i="4"/>
  <c r="R753" i="4"/>
  <c r="S753" i="4"/>
  <c r="T753" i="4"/>
  <c r="U753" i="4"/>
  <c r="O754" i="4"/>
  <c r="P754" i="4"/>
  <c r="Q754" i="4"/>
  <c r="R754" i="4"/>
  <c r="S754" i="4"/>
  <c r="T754" i="4"/>
  <c r="U754" i="4"/>
  <c r="O755" i="4"/>
  <c r="P755" i="4"/>
  <c r="Q755" i="4"/>
  <c r="R755" i="4"/>
  <c r="S755" i="4"/>
  <c r="T755" i="4"/>
  <c r="U755" i="4"/>
  <c r="O756" i="4"/>
  <c r="P756" i="4"/>
  <c r="Q756" i="4"/>
  <c r="R756" i="4"/>
  <c r="S756" i="4"/>
  <c r="T756" i="4"/>
  <c r="U756" i="4"/>
  <c r="O757" i="4"/>
  <c r="P757" i="4"/>
  <c r="Q757" i="4"/>
  <c r="R757" i="4"/>
  <c r="S757" i="4"/>
  <c r="T757" i="4"/>
  <c r="U757" i="4"/>
  <c r="O758" i="4"/>
  <c r="P758" i="4"/>
  <c r="Q758" i="4"/>
  <c r="R758" i="4"/>
  <c r="S758" i="4"/>
  <c r="T758" i="4"/>
  <c r="U758" i="4"/>
  <c r="O759" i="4"/>
  <c r="P759" i="4"/>
  <c r="Q759" i="4"/>
  <c r="R759" i="4"/>
  <c r="S759" i="4"/>
  <c r="T759" i="4"/>
  <c r="U759" i="4"/>
  <c r="O760" i="4"/>
  <c r="P760" i="4"/>
  <c r="Q760" i="4"/>
  <c r="R760" i="4"/>
  <c r="S760" i="4"/>
  <c r="T760" i="4"/>
  <c r="U760" i="4"/>
  <c r="O761" i="4"/>
  <c r="P761" i="4"/>
  <c r="Q761" i="4"/>
  <c r="R761" i="4"/>
  <c r="S761" i="4"/>
  <c r="T761" i="4"/>
  <c r="U761" i="4"/>
  <c r="O762" i="4"/>
  <c r="P762" i="4"/>
  <c r="Q762" i="4"/>
  <c r="R762" i="4"/>
  <c r="S762" i="4"/>
  <c r="T762" i="4"/>
  <c r="U762" i="4"/>
  <c r="O763" i="4"/>
  <c r="P763" i="4"/>
  <c r="Q763" i="4"/>
  <c r="R763" i="4"/>
  <c r="S763" i="4"/>
  <c r="T763" i="4"/>
  <c r="U763" i="4"/>
  <c r="O764" i="4"/>
  <c r="P764" i="4"/>
  <c r="Q764" i="4"/>
  <c r="R764" i="4"/>
  <c r="S764" i="4"/>
  <c r="T764" i="4"/>
  <c r="U764" i="4"/>
  <c r="O765" i="4"/>
  <c r="P765" i="4"/>
  <c r="Q765" i="4"/>
  <c r="R765" i="4"/>
  <c r="S765" i="4"/>
  <c r="T765" i="4"/>
  <c r="U765" i="4"/>
  <c r="O766" i="4"/>
  <c r="P766" i="4"/>
  <c r="Q766" i="4"/>
  <c r="R766" i="4"/>
  <c r="S766" i="4"/>
  <c r="T766" i="4"/>
  <c r="U766" i="4"/>
  <c r="O767" i="4"/>
  <c r="P767" i="4"/>
  <c r="Q767" i="4"/>
  <c r="R767" i="4"/>
  <c r="S767" i="4"/>
  <c r="T767" i="4"/>
  <c r="U767" i="4"/>
  <c r="O768" i="4"/>
  <c r="P768" i="4"/>
  <c r="Q768" i="4"/>
  <c r="R768" i="4"/>
  <c r="S768" i="4"/>
  <c r="T768" i="4"/>
  <c r="U768" i="4"/>
  <c r="O769" i="4"/>
  <c r="P769" i="4"/>
  <c r="Q769" i="4"/>
  <c r="R769" i="4"/>
  <c r="S769" i="4"/>
  <c r="T769" i="4"/>
  <c r="U769" i="4"/>
  <c r="O770" i="4"/>
  <c r="P770" i="4"/>
  <c r="Q770" i="4"/>
  <c r="R770" i="4"/>
  <c r="S770" i="4"/>
  <c r="T770" i="4"/>
  <c r="U770" i="4"/>
  <c r="O771" i="4"/>
  <c r="P771" i="4"/>
  <c r="Q771" i="4"/>
  <c r="R771" i="4"/>
  <c r="S771" i="4"/>
  <c r="T771" i="4"/>
  <c r="U771" i="4"/>
  <c r="O772" i="4"/>
  <c r="P772" i="4"/>
  <c r="Q772" i="4"/>
  <c r="R772" i="4"/>
  <c r="S772" i="4"/>
  <c r="T772" i="4"/>
  <c r="U772" i="4"/>
  <c r="O773" i="4"/>
  <c r="P773" i="4"/>
  <c r="Q773" i="4"/>
  <c r="R773" i="4"/>
  <c r="S773" i="4"/>
  <c r="T773" i="4"/>
  <c r="U773" i="4"/>
  <c r="O774" i="4"/>
  <c r="P774" i="4"/>
  <c r="Q774" i="4"/>
  <c r="R774" i="4"/>
  <c r="S774" i="4"/>
  <c r="T774" i="4"/>
  <c r="U774" i="4"/>
  <c r="O775" i="4"/>
  <c r="P775" i="4"/>
  <c r="Q775" i="4"/>
  <c r="R775" i="4"/>
  <c r="S775" i="4"/>
  <c r="T775" i="4"/>
  <c r="U775" i="4"/>
  <c r="O776" i="4"/>
  <c r="P776" i="4"/>
  <c r="Q776" i="4"/>
  <c r="R776" i="4"/>
  <c r="S776" i="4"/>
  <c r="T776" i="4"/>
  <c r="U776" i="4"/>
  <c r="O777" i="4"/>
  <c r="P777" i="4"/>
  <c r="Q777" i="4"/>
  <c r="R777" i="4"/>
  <c r="S777" i="4"/>
  <c r="T777" i="4"/>
  <c r="U777" i="4"/>
  <c r="O778" i="4"/>
  <c r="P778" i="4"/>
  <c r="Q778" i="4"/>
  <c r="R778" i="4"/>
  <c r="S778" i="4"/>
  <c r="T778" i="4"/>
  <c r="U778" i="4"/>
  <c r="O779" i="4"/>
  <c r="P779" i="4"/>
  <c r="Q779" i="4"/>
  <c r="R779" i="4"/>
  <c r="S779" i="4"/>
  <c r="T779" i="4"/>
  <c r="U779" i="4"/>
  <c r="O780" i="4"/>
  <c r="P780" i="4"/>
  <c r="Q780" i="4"/>
  <c r="R780" i="4"/>
  <c r="S780" i="4"/>
  <c r="T780" i="4"/>
  <c r="U780" i="4"/>
  <c r="O781" i="4"/>
  <c r="P781" i="4"/>
  <c r="Q781" i="4"/>
  <c r="R781" i="4"/>
  <c r="S781" i="4"/>
  <c r="T781" i="4"/>
  <c r="U781" i="4"/>
  <c r="Q2" i="4"/>
  <c r="R2" i="4"/>
  <c r="S2" i="4"/>
  <c r="T2" i="4"/>
  <c r="U2" i="4"/>
  <c r="O2" i="4"/>
  <c r="G2" i="4"/>
  <c r="G3" i="4"/>
  <c r="H3" i="4"/>
  <c r="I3" i="4"/>
  <c r="J3" i="4"/>
  <c r="K3" i="4"/>
  <c r="L3" i="4"/>
  <c r="M3" i="4"/>
  <c r="G4" i="4"/>
  <c r="H4" i="4"/>
  <c r="I4" i="4"/>
  <c r="J4" i="4"/>
  <c r="K4" i="4"/>
  <c r="L4" i="4"/>
  <c r="M4" i="4"/>
  <c r="G5" i="4"/>
  <c r="H5" i="4"/>
  <c r="I5" i="4"/>
  <c r="J5" i="4"/>
  <c r="K5" i="4"/>
  <c r="L5" i="4"/>
  <c r="M5" i="4"/>
  <c r="G6" i="4"/>
  <c r="H6" i="4"/>
  <c r="I6" i="4"/>
  <c r="J6" i="4"/>
  <c r="K6" i="4"/>
  <c r="L6" i="4"/>
  <c r="M6" i="4"/>
  <c r="G7" i="4"/>
  <c r="H7" i="4"/>
  <c r="I7" i="4"/>
  <c r="J7" i="4"/>
  <c r="K7" i="4"/>
  <c r="L7" i="4"/>
  <c r="M7" i="4"/>
  <c r="G8" i="4"/>
  <c r="H8" i="4"/>
  <c r="I8" i="4"/>
  <c r="J8" i="4"/>
  <c r="K8" i="4"/>
  <c r="L8" i="4"/>
  <c r="M8" i="4"/>
  <c r="G9" i="4"/>
  <c r="H9" i="4"/>
  <c r="I9" i="4"/>
  <c r="J9" i="4"/>
  <c r="K9" i="4"/>
  <c r="L9" i="4"/>
  <c r="M9" i="4"/>
  <c r="G10" i="4"/>
  <c r="H10" i="4"/>
  <c r="I10" i="4"/>
  <c r="J10" i="4"/>
  <c r="K10" i="4"/>
  <c r="L10" i="4"/>
  <c r="M10" i="4"/>
  <c r="G11" i="4"/>
  <c r="H11" i="4"/>
  <c r="I11" i="4"/>
  <c r="J11" i="4"/>
  <c r="K11" i="4"/>
  <c r="L11" i="4"/>
  <c r="M11" i="4"/>
  <c r="G12" i="4"/>
  <c r="H12" i="4"/>
  <c r="I12" i="4"/>
  <c r="J12" i="4"/>
  <c r="K12" i="4"/>
  <c r="L12" i="4"/>
  <c r="M12" i="4"/>
  <c r="G13" i="4"/>
  <c r="H13" i="4"/>
  <c r="I13" i="4"/>
  <c r="J13" i="4"/>
  <c r="K13" i="4"/>
  <c r="L13" i="4"/>
  <c r="M13" i="4"/>
  <c r="G14" i="4"/>
  <c r="H14" i="4"/>
  <c r="I14" i="4"/>
  <c r="J14" i="4"/>
  <c r="K14" i="4"/>
  <c r="L14" i="4"/>
  <c r="M14" i="4"/>
  <c r="G15" i="4"/>
  <c r="H15" i="4"/>
  <c r="I15" i="4"/>
  <c r="J15" i="4"/>
  <c r="K15" i="4"/>
  <c r="L15" i="4"/>
  <c r="M15" i="4"/>
  <c r="G16" i="4"/>
  <c r="H16" i="4"/>
  <c r="I16" i="4"/>
  <c r="J16" i="4"/>
  <c r="K16" i="4"/>
  <c r="L16" i="4"/>
  <c r="M16" i="4"/>
  <c r="G17" i="4"/>
  <c r="H17" i="4"/>
  <c r="I17" i="4"/>
  <c r="J17" i="4"/>
  <c r="K17" i="4"/>
  <c r="L17" i="4"/>
  <c r="M17" i="4"/>
  <c r="G18" i="4"/>
  <c r="H18" i="4"/>
  <c r="I18" i="4"/>
  <c r="J18" i="4"/>
  <c r="K18" i="4"/>
  <c r="L18" i="4"/>
  <c r="M18" i="4"/>
  <c r="G19" i="4"/>
  <c r="H19" i="4"/>
  <c r="I19" i="4"/>
  <c r="J19" i="4"/>
  <c r="K19" i="4"/>
  <c r="L19" i="4"/>
  <c r="M19" i="4"/>
  <c r="G20" i="4"/>
  <c r="H20" i="4"/>
  <c r="I20" i="4"/>
  <c r="J20" i="4"/>
  <c r="K20" i="4"/>
  <c r="L20" i="4"/>
  <c r="M20" i="4"/>
  <c r="G21" i="4"/>
  <c r="H21" i="4"/>
  <c r="I21" i="4"/>
  <c r="J21" i="4"/>
  <c r="K21" i="4"/>
  <c r="L21" i="4"/>
  <c r="M21" i="4"/>
  <c r="G22" i="4"/>
  <c r="H22" i="4"/>
  <c r="I22" i="4"/>
  <c r="J22" i="4"/>
  <c r="K22" i="4"/>
  <c r="L22" i="4"/>
  <c r="M22" i="4"/>
  <c r="G23" i="4"/>
  <c r="H23" i="4"/>
  <c r="I23" i="4"/>
  <c r="J23" i="4"/>
  <c r="K23" i="4"/>
  <c r="L23" i="4"/>
  <c r="M23" i="4"/>
  <c r="G24" i="4"/>
  <c r="H24" i="4"/>
  <c r="I24" i="4"/>
  <c r="J24" i="4"/>
  <c r="K24" i="4"/>
  <c r="L24" i="4"/>
  <c r="M24" i="4"/>
  <c r="G25" i="4"/>
  <c r="H25" i="4"/>
  <c r="I25" i="4"/>
  <c r="J25" i="4"/>
  <c r="K25" i="4"/>
  <c r="L25" i="4"/>
  <c r="M25" i="4"/>
  <c r="G26" i="4"/>
  <c r="H26" i="4"/>
  <c r="I26" i="4"/>
  <c r="J26" i="4"/>
  <c r="K26" i="4"/>
  <c r="L26" i="4"/>
  <c r="M26" i="4"/>
  <c r="G27" i="4"/>
  <c r="H27" i="4"/>
  <c r="I27" i="4"/>
  <c r="J27" i="4"/>
  <c r="K27" i="4"/>
  <c r="L27" i="4"/>
  <c r="M27" i="4"/>
  <c r="G28" i="4"/>
  <c r="H28" i="4"/>
  <c r="I28" i="4"/>
  <c r="J28" i="4"/>
  <c r="K28" i="4"/>
  <c r="L28" i="4"/>
  <c r="M28" i="4"/>
  <c r="G29" i="4"/>
  <c r="H29" i="4"/>
  <c r="I29" i="4"/>
  <c r="J29" i="4"/>
  <c r="K29" i="4"/>
  <c r="L29" i="4"/>
  <c r="M29" i="4"/>
  <c r="G30" i="4"/>
  <c r="H30" i="4"/>
  <c r="I30" i="4"/>
  <c r="J30" i="4"/>
  <c r="K30" i="4"/>
  <c r="L30" i="4"/>
  <c r="M30" i="4"/>
  <c r="G31" i="4"/>
  <c r="H31" i="4"/>
  <c r="I31" i="4"/>
  <c r="J31" i="4"/>
  <c r="K31" i="4"/>
  <c r="L31" i="4"/>
  <c r="M31" i="4"/>
  <c r="G32" i="4"/>
  <c r="H32" i="4"/>
  <c r="I32" i="4"/>
  <c r="J32" i="4"/>
  <c r="K32" i="4"/>
  <c r="L32" i="4"/>
  <c r="M32" i="4"/>
  <c r="G33" i="4"/>
  <c r="H33" i="4"/>
  <c r="I33" i="4"/>
  <c r="J33" i="4"/>
  <c r="K33" i="4"/>
  <c r="L33" i="4"/>
  <c r="M33" i="4"/>
  <c r="G34" i="4"/>
  <c r="H34" i="4"/>
  <c r="I34" i="4"/>
  <c r="J34" i="4"/>
  <c r="K34" i="4"/>
  <c r="L34" i="4"/>
  <c r="M34" i="4"/>
  <c r="G35" i="4"/>
  <c r="H35" i="4"/>
  <c r="I35" i="4"/>
  <c r="J35" i="4"/>
  <c r="K35" i="4"/>
  <c r="L35" i="4"/>
  <c r="M35" i="4"/>
  <c r="G36" i="4"/>
  <c r="H36" i="4"/>
  <c r="I36" i="4"/>
  <c r="J36" i="4"/>
  <c r="K36" i="4"/>
  <c r="L36" i="4"/>
  <c r="M36" i="4"/>
  <c r="G37" i="4"/>
  <c r="H37" i="4"/>
  <c r="I37" i="4"/>
  <c r="J37" i="4"/>
  <c r="K37" i="4"/>
  <c r="L37" i="4"/>
  <c r="M37" i="4"/>
  <c r="G38" i="4"/>
  <c r="H38" i="4"/>
  <c r="I38" i="4"/>
  <c r="J38" i="4"/>
  <c r="K38" i="4"/>
  <c r="L38" i="4"/>
  <c r="M38" i="4"/>
  <c r="G39" i="4"/>
  <c r="H39" i="4"/>
  <c r="I39" i="4"/>
  <c r="J39" i="4"/>
  <c r="K39" i="4"/>
  <c r="L39" i="4"/>
  <c r="M39" i="4"/>
  <c r="G40" i="4"/>
  <c r="H40" i="4"/>
  <c r="I40" i="4"/>
  <c r="J40" i="4"/>
  <c r="K40" i="4"/>
  <c r="L40" i="4"/>
  <c r="M40" i="4"/>
  <c r="G41" i="4"/>
  <c r="H41" i="4"/>
  <c r="I41" i="4"/>
  <c r="J41" i="4"/>
  <c r="K41" i="4"/>
  <c r="L41" i="4"/>
  <c r="M41" i="4"/>
  <c r="G42" i="4"/>
  <c r="H42" i="4"/>
  <c r="I42" i="4"/>
  <c r="J42" i="4"/>
  <c r="K42" i="4"/>
  <c r="L42" i="4"/>
  <c r="M42" i="4"/>
  <c r="G43" i="4"/>
  <c r="H43" i="4"/>
  <c r="I43" i="4"/>
  <c r="J43" i="4"/>
  <c r="K43" i="4"/>
  <c r="L43" i="4"/>
  <c r="M43" i="4"/>
  <c r="G44" i="4"/>
  <c r="H44" i="4"/>
  <c r="I44" i="4"/>
  <c r="J44" i="4"/>
  <c r="K44" i="4"/>
  <c r="L44" i="4"/>
  <c r="M44" i="4"/>
  <c r="G45" i="4"/>
  <c r="H45" i="4"/>
  <c r="I45" i="4"/>
  <c r="J45" i="4"/>
  <c r="K45" i="4"/>
  <c r="L45" i="4"/>
  <c r="M45" i="4"/>
  <c r="G46" i="4"/>
  <c r="H46" i="4"/>
  <c r="I46" i="4"/>
  <c r="J46" i="4"/>
  <c r="K46" i="4"/>
  <c r="L46" i="4"/>
  <c r="M46" i="4"/>
  <c r="G47" i="4"/>
  <c r="H47" i="4"/>
  <c r="I47" i="4"/>
  <c r="J47" i="4"/>
  <c r="K47" i="4"/>
  <c r="L47" i="4"/>
  <c r="M47" i="4"/>
  <c r="G48" i="4"/>
  <c r="H48" i="4"/>
  <c r="I48" i="4"/>
  <c r="J48" i="4"/>
  <c r="K48" i="4"/>
  <c r="L48" i="4"/>
  <c r="M48" i="4"/>
  <c r="G49" i="4"/>
  <c r="H49" i="4"/>
  <c r="I49" i="4"/>
  <c r="J49" i="4"/>
  <c r="K49" i="4"/>
  <c r="L49" i="4"/>
  <c r="M49" i="4"/>
  <c r="G50" i="4"/>
  <c r="H50" i="4"/>
  <c r="I50" i="4"/>
  <c r="J50" i="4"/>
  <c r="K50" i="4"/>
  <c r="L50" i="4"/>
  <c r="M50" i="4"/>
  <c r="G51" i="4"/>
  <c r="H51" i="4"/>
  <c r="I51" i="4"/>
  <c r="J51" i="4"/>
  <c r="K51" i="4"/>
  <c r="L51" i="4"/>
  <c r="M51" i="4"/>
  <c r="G52" i="4"/>
  <c r="H52" i="4"/>
  <c r="I52" i="4"/>
  <c r="J52" i="4"/>
  <c r="K52" i="4"/>
  <c r="L52" i="4"/>
  <c r="M52" i="4"/>
  <c r="G53" i="4"/>
  <c r="H53" i="4"/>
  <c r="I53" i="4"/>
  <c r="J53" i="4"/>
  <c r="K53" i="4"/>
  <c r="L53" i="4"/>
  <c r="M53" i="4"/>
  <c r="G54" i="4"/>
  <c r="H54" i="4"/>
  <c r="I54" i="4"/>
  <c r="J54" i="4"/>
  <c r="K54" i="4"/>
  <c r="L54" i="4"/>
  <c r="M54" i="4"/>
  <c r="G55" i="4"/>
  <c r="H55" i="4"/>
  <c r="I55" i="4"/>
  <c r="J55" i="4"/>
  <c r="K55" i="4"/>
  <c r="L55" i="4"/>
  <c r="M55" i="4"/>
  <c r="G56" i="4"/>
  <c r="H56" i="4"/>
  <c r="I56" i="4"/>
  <c r="J56" i="4"/>
  <c r="K56" i="4"/>
  <c r="L56" i="4"/>
  <c r="M56" i="4"/>
  <c r="G57" i="4"/>
  <c r="H57" i="4"/>
  <c r="I57" i="4"/>
  <c r="J57" i="4"/>
  <c r="K57" i="4"/>
  <c r="L57" i="4"/>
  <c r="M57" i="4"/>
  <c r="G58" i="4"/>
  <c r="H58" i="4"/>
  <c r="I58" i="4"/>
  <c r="J58" i="4"/>
  <c r="K58" i="4"/>
  <c r="L58" i="4"/>
  <c r="M58" i="4"/>
  <c r="G59" i="4"/>
  <c r="H59" i="4"/>
  <c r="I59" i="4"/>
  <c r="J59" i="4"/>
  <c r="K59" i="4"/>
  <c r="L59" i="4"/>
  <c r="M59" i="4"/>
  <c r="G60" i="4"/>
  <c r="H60" i="4"/>
  <c r="I60" i="4"/>
  <c r="J60" i="4"/>
  <c r="K60" i="4"/>
  <c r="L60" i="4"/>
  <c r="M60" i="4"/>
  <c r="G61" i="4"/>
  <c r="H61" i="4"/>
  <c r="I61" i="4"/>
  <c r="J61" i="4"/>
  <c r="K61" i="4"/>
  <c r="L61" i="4"/>
  <c r="M61" i="4"/>
  <c r="G62" i="4"/>
  <c r="H62" i="4"/>
  <c r="I62" i="4"/>
  <c r="J62" i="4"/>
  <c r="K62" i="4"/>
  <c r="L62" i="4"/>
  <c r="M62" i="4"/>
  <c r="G63" i="4"/>
  <c r="H63" i="4"/>
  <c r="I63" i="4"/>
  <c r="J63" i="4"/>
  <c r="K63" i="4"/>
  <c r="L63" i="4"/>
  <c r="M63" i="4"/>
  <c r="G64" i="4"/>
  <c r="H64" i="4"/>
  <c r="I64" i="4"/>
  <c r="J64" i="4"/>
  <c r="K64" i="4"/>
  <c r="L64" i="4"/>
  <c r="M64" i="4"/>
  <c r="G65" i="4"/>
  <c r="H65" i="4"/>
  <c r="I65" i="4"/>
  <c r="J65" i="4"/>
  <c r="K65" i="4"/>
  <c r="L65" i="4"/>
  <c r="M65" i="4"/>
  <c r="G66" i="4"/>
  <c r="H66" i="4"/>
  <c r="I66" i="4"/>
  <c r="J66" i="4"/>
  <c r="K66" i="4"/>
  <c r="L66" i="4"/>
  <c r="M66" i="4"/>
  <c r="G67" i="4"/>
  <c r="H67" i="4"/>
  <c r="I67" i="4"/>
  <c r="J67" i="4"/>
  <c r="K67" i="4"/>
  <c r="L67" i="4"/>
  <c r="M67" i="4"/>
  <c r="G68" i="4"/>
  <c r="H68" i="4"/>
  <c r="I68" i="4"/>
  <c r="J68" i="4"/>
  <c r="K68" i="4"/>
  <c r="L68" i="4"/>
  <c r="M68" i="4"/>
  <c r="G69" i="4"/>
  <c r="H69" i="4"/>
  <c r="I69" i="4"/>
  <c r="J69" i="4"/>
  <c r="K69" i="4"/>
  <c r="L69" i="4"/>
  <c r="M69" i="4"/>
  <c r="G70" i="4"/>
  <c r="H70" i="4"/>
  <c r="I70" i="4"/>
  <c r="J70" i="4"/>
  <c r="K70" i="4"/>
  <c r="L70" i="4"/>
  <c r="M70" i="4"/>
  <c r="G71" i="4"/>
  <c r="H71" i="4"/>
  <c r="I71" i="4"/>
  <c r="J71" i="4"/>
  <c r="K71" i="4"/>
  <c r="L71" i="4"/>
  <c r="M71" i="4"/>
  <c r="G72" i="4"/>
  <c r="H72" i="4"/>
  <c r="I72" i="4"/>
  <c r="J72" i="4"/>
  <c r="K72" i="4"/>
  <c r="L72" i="4"/>
  <c r="M72" i="4"/>
  <c r="G73" i="4"/>
  <c r="H73" i="4"/>
  <c r="I73" i="4"/>
  <c r="J73" i="4"/>
  <c r="K73" i="4"/>
  <c r="L73" i="4"/>
  <c r="M73" i="4"/>
  <c r="G74" i="4"/>
  <c r="H74" i="4"/>
  <c r="I74" i="4"/>
  <c r="J74" i="4"/>
  <c r="K74" i="4"/>
  <c r="L74" i="4"/>
  <c r="M74" i="4"/>
  <c r="G75" i="4"/>
  <c r="H75" i="4"/>
  <c r="I75" i="4"/>
  <c r="J75" i="4"/>
  <c r="K75" i="4"/>
  <c r="L75" i="4"/>
  <c r="M75" i="4"/>
  <c r="G76" i="4"/>
  <c r="H76" i="4"/>
  <c r="I76" i="4"/>
  <c r="J76" i="4"/>
  <c r="K76" i="4"/>
  <c r="L76" i="4"/>
  <c r="M76" i="4"/>
  <c r="G77" i="4"/>
  <c r="H77" i="4"/>
  <c r="I77" i="4"/>
  <c r="J77" i="4"/>
  <c r="K77" i="4"/>
  <c r="L77" i="4"/>
  <c r="M77" i="4"/>
  <c r="G78" i="4"/>
  <c r="H78" i="4"/>
  <c r="I78" i="4"/>
  <c r="J78" i="4"/>
  <c r="K78" i="4"/>
  <c r="L78" i="4"/>
  <c r="M78" i="4"/>
  <c r="G79" i="4"/>
  <c r="H79" i="4"/>
  <c r="I79" i="4"/>
  <c r="J79" i="4"/>
  <c r="K79" i="4"/>
  <c r="L79" i="4"/>
  <c r="M79" i="4"/>
  <c r="G80" i="4"/>
  <c r="H80" i="4"/>
  <c r="I80" i="4"/>
  <c r="J80" i="4"/>
  <c r="K80" i="4"/>
  <c r="L80" i="4"/>
  <c r="M80" i="4"/>
  <c r="G81" i="4"/>
  <c r="H81" i="4"/>
  <c r="I81" i="4"/>
  <c r="J81" i="4"/>
  <c r="K81" i="4"/>
  <c r="L81" i="4"/>
  <c r="M81" i="4"/>
  <c r="G82" i="4"/>
  <c r="H82" i="4"/>
  <c r="I82" i="4"/>
  <c r="J82" i="4"/>
  <c r="K82" i="4"/>
  <c r="L82" i="4"/>
  <c r="M82" i="4"/>
  <c r="G83" i="4"/>
  <c r="H83" i="4"/>
  <c r="I83" i="4"/>
  <c r="J83" i="4"/>
  <c r="K83" i="4"/>
  <c r="L83" i="4"/>
  <c r="M83" i="4"/>
  <c r="G84" i="4"/>
  <c r="H84" i="4"/>
  <c r="I84" i="4"/>
  <c r="J84" i="4"/>
  <c r="K84" i="4"/>
  <c r="L84" i="4"/>
  <c r="M84" i="4"/>
  <c r="G85" i="4"/>
  <c r="H85" i="4"/>
  <c r="I85" i="4"/>
  <c r="J85" i="4"/>
  <c r="K85" i="4"/>
  <c r="L85" i="4"/>
  <c r="M85" i="4"/>
  <c r="G86" i="4"/>
  <c r="H86" i="4"/>
  <c r="I86" i="4"/>
  <c r="J86" i="4"/>
  <c r="K86" i="4"/>
  <c r="L86" i="4"/>
  <c r="M86" i="4"/>
  <c r="G87" i="4"/>
  <c r="H87" i="4"/>
  <c r="I87" i="4"/>
  <c r="J87" i="4"/>
  <c r="K87" i="4"/>
  <c r="L87" i="4"/>
  <c r="M87" i="4"/>
  <c r="G88" i="4"/>
  <c r="H88" i="4"/>
  <c r="I88" i="4"/>
  <c r="J88" i="4"/>
  <c r="K88" i="4"/>
  <c r="L88" i="4"/>
  <c r="M88" i="4"/>
  <c r="G89" i="4"/>
  <c r="H89" i="4"/>
  <c r="I89" i="4"/>
  <c r="J89" i="4"/>
  <c r="K89" i="4"/>
  <c r="L89" i="4"/>
  <c r="M89" i="4"/>
  <c r="G90" i="4"/>
  <c r="H90" i="4"/>
  <c r="I90" i="4"/>
  <c r="J90" i="4"/>
  <c r="K90" i="4"/>
  <c r="L90" i="4"/>
  <c r="M90" i="4"/>
  <c r="G91" i="4"/>
  <c r="H91" i="4"/>
  <c r="I91" i="4"/>
  <c r="J91" i="4"/>
  <c r="K91" i="4"/>
  <c r="L91" i="4"/>
  <c r="M91" i="4"/>
  <c r="G92" i="4"/>
  <c r="H92" i="4"/>
  <c r="I92" i="4"/>
  <c r="J92" i="4"/>
  <c r="K92" i="4"/>
  <c r="L92" i="4"/>
  <c r="M92" i="4"/>
  <c r="G93" i="4"/>
  <c r="H93" i="4"/>
  <c r="I93" i="4"/>
  <c r="J93" i="4"/>
  <c r="K93" i="4"/>
  <c r="L93" i="4"/>
  <c r="M93" i="4"/>
  <c r="G94" i="4"/>
  <c r="H94" i="4"/>
  <c r="I94" i="4"/>
  <c r="J94" i="4"/>
  <c r="K94" i="4"/>
  <c r="L94" i="4"/>
  <c r="M94" i="4"/>
  <c r="G95" i="4"/>
  <c r="H95" i="4"/>
  <c r="I95" i="4"/>
  <c r="J95" i="4"/>
  <c r="K95" i="4"/>
  <c r="L95" i="4"/>
  <c r="M95" i="4"/>
  <c r="G96" i="4"/>
  <c r="H96" i="4"/>
  <c r="I96" i="4"/>
  <c r="J96" i="4"/>
  <c r="K96" i="4"/>
  <c r="L96" i="4"/>
  <c r="M96" i="4"/>
  <c r="G97" i="4"/>
  <c r="H97" i="4"/>
  <c r="I97" i="4"/>
  <c r="J97" i="4"/>
  <c r="K97" i="4"/>
  <c r="L97" i="4"/>
  <c r="M97" i="4"/>
  <c r="G98" i="4"/>
  <c r="H98" i="4"/>
  <c r="I98" i="4"/>
  <c r="J98" i="4"/>
  <c r="K98" i="4"/>
  <c r="L98" i="4"/>
  <c r="M98" i="4"/>
  <c r="G99" i="4"/>
  <c r="H99" i="4"/>
  <c r="I99" i="4"/>
  <c r="J99" i="4"/>
  <c r="K99" i="4"/>
  <c r="L99" i="4"/>
  <c r="M99" i="4"/>
  <c r="G100" i="4"/>
  <c r="H100" i="4"/>
  <c r="I100" i="4"/>
  <c r="J100" i="4"/>
  <c r="K100" i="4"/>
  <c r="L100" i="4"/>
  <c r="M100" i="4"/>
  <c r="G101" i="4"/>
  <c r="H101" i="4"/>
  <c r="I101" i="4"/>
  <c r="J101" i="4"/>
  <c r="K101" i="4"/>
  <c r="L101" i="4"/>
  <c r="M101" i="4"/>
  <c r="G102" i="4"/>
  <c r="H102" i="4"/>
  <c r="I102" i="4"/>
  <c r="J102" i="4"/>
  <c r="K102" i="4"/>
  <c r="L102" i="4"/>
  <c r="M102" i="4"/>
  <c r="G103" i="4"/>
  <c r="H103" i="4"/>
  <c r="I103" i="4"/>
  <c r="J103" i="4"/>
  <c r="K103" i="4"/>
  <c r="L103" i="4"/>
  <c r="M103" i="4"/>
  <c r="G104" i="4"/>
  <c r="H104" i="4"/>
  <c r="I104" i="4"/>
  <c r="J104" i="4"/>
  <c r="K104" i="4"/>
  <c r="L104" i="4"/>
  <c r="M104" i="4"/>
  <c r="G105" i="4"/>
  <c r="H105" i="4"/>
  <c r="I105" i="4"/>
  <c r="J105" i="4"/>
  <c r="K105" i="4"/>
  <c r="L105" i="4"/>
  <c r="M105" i="4"/>
  <c r="G106" i="4"/>
  <c r="H106" i="4"/>
  <c r="I106" i="4"/>
  <c r="J106" i="4"/>
  <c r="K106" i="4"/>
  <c r="L106" i="4"/>
  <c r="M106" i="4"/>
  <c r="G107" i="4"/>
  <c r="H107" i="4"/>
  <c r="I107" i="4"/>
  <c r="J107" i="4"/>
  <c r="K107" i="4"/>
  <c r="L107" i="4"/>
  <c r="M107" i="4"/>
  <c r="G108" i="4"/>
  <c r="H108" i="4"/>
  <c r="I108" i="4"/>
  <c r="J108" i="4"/>
  <c r="K108" i="4"/>
  <c r="L108" i="4"/>
  <c r="M108" i="4"/>
  <c r="G109" i="4"/>
  <c r="H109" i="4"/>
  <c r="I109" i="4"/>
  <c r="J109" i="4"/>
  <c r="K109" i="4"/>
  <c r="L109" i="4"/>
  <c r="M109" i="4"/>
  <c r="G110" i="4"/>
  <c r="H110" i="4"/>
  <c r="I110" i="4"/>
  <c r="J110" i="4"/>
  <c r="K110" i="4"/>
  <c r="L110" i="4"/>
  <c r="M110" i="4"/>
  <c r="G111" i="4"/>
  <c r="H111" i="4"/>
  <c r="I111" i="4"/>
  <c r="J111" i="4"/>
  <c r="K111" i="4"/>
  <c r="L111" i="4"/>
  <c r="M111" i="4"/>
  <c r="G112" i="4"/>
  <c r="H112" i="4"/>
  <c r="I112" i="4"/>
  <c r="J112" i="4"/>
  <c r="K112" i="4"/>
  <c r="L112" i="4"/>
  <c r="M112" i="4"/>
  <c r="G113" i="4"/>
  <c r="H113" i="4"/>
  <c r="I113" i="4"/>
  <c r="J113" i="4"/>
  <c r="K113" i="4"/>
  <c r="L113" i="4"/>
  <c r="M113" i="4"/>
  <c r="G114" i="4"/>
  <c r="H114" i="4"/>
  <c r="I114" i="4"/>
  <c r="J114" i="4"/>
  <c r="K114" i="4"/>
  <c r="L114" i="4"/>
  <c r="M114" i="4"/>
  <c r="G115" i="4"/>
  <c r="H115" i="4"/>
  <c r="I115" i="4"/>
  <c r="J115" i="4"/>
  <c r="K115" i="4"/>
  <c r="L115" i="4"/>
  <c r="M115" i="4"/>
  <c r="G116" i="4"/>
  <c r="H116" i="4"/>
  <c r="I116" i="4"/>
  <c r="J116" i="4"/>
  <c r="K116" i="4"/>
  <c r="L116" i="4"/>
  <c r="M116" i="4"/>
  <c r="G117" i="4"/>
  <c r="H117" i="4"/>
  <c r="I117" i="4"/>
  <c r="J117" i="4"/>
  <c r="K117" i="4"/>
  <c r="L117" i="4"/>
  <c r="M117" i="4"/>
  <c r="G118" i="4"/>
  <c r="H118" i="4"/>
  <c r="I118" i="4"/>
  <c r="J118" i="4"/>
  <c r="K118" i="4"/>
  <c r="L118" i="4"/>
  <c r="M118" i="4"/>
  <c r="G119" i="4"/>
  <c r="H119" i="4"/>
  <c r="I119" i="4"/>
  <c r="J119" i="4"/>
  <c r="K119" i="4"/>
  <c r="L119" i="4"/>
  <c r="M119" i="4"/>
  <c r="G120" i="4"/>
  <c r="H120" i="4"/>
  <c r="I120" i="4"/>
  <c r="J120" i="4"/>
  <c r="K120" i="4"/>
  <c r="L120" i="4"/>
  <c r="M120" i="4"/>
  <c r="G121" i="4"/>
  <c r="H121" i="4"/>
  <c r="I121" i="4"/>
  <c r="J121" i="4"/>
  <c r="K121" i="4"/>
  <c r="L121" i="4"/>
  <c r="M121" i="4"/>
  <c r="G122" i="4"/>
  <c r="H122" i="4"/>
  <c r="I122" i="4"/>
  <c r="J122" i="4"/>
  <c r="K122" i="4"/>
  <c r="L122" i="4"/>
  <c r="M122" i="4"/>
  <c r="G123" i="4"/>
  <c r="H123" i="4"/>
  <c r="I123" i="4"/>
  <c r="J123" i="4"/>
  <c r="K123" i="4"/>
  <c r="L123" i="4"/>
  <c r="M123" i="4"/>
  <c r="G124" i="4"/>
  <c r="H124" i="4"/>
  <c r="I124" i="4"/>
  <c r="J124" i="4"/>
  <c r="K124" i="4"/>
  <c r="L124" i="4"/>
  <c r="M124" i="4"/>
  <c r="G125" i="4"/>
  <c r="H125" i="4"/>
  <c r="I125" i="4"/>
  <c r="J125" i="4"/>
  <c r="K125" i="4"/>
  <c r="L125" i="4"/>
  <c r="M125" i="4"/>
  <c r="G126" i="4"/>
  <c r="H126" i="4"/>
  <c r="I126" i="4"/>
  <c r="J126" i="4"/>
  <c r="K126" i="4"/>
  <c r="L126" i="4"/>
  <c r="M126" i="4"/>
  <c r="G127" i="4"/>
  <c r="H127" i="4"/>
  <c r="I127" i="4"/>
  <c r="J127" i="4"/>
  <c r="K127" i="4"/>
  <c r="L127" i="4"/>
  <c r="M127" i="4"/>
  <c r="G128" i="4"/>
  <c r="H128" i="4"/>
  <c r="I128" i="4"/>
  <c r="J128" i="4"/>
  <c r="K128" i="4"/>
  <c r="L128" i="4"/>
  <c r="M128" i="4"/>
  <c r="G129" i="4"/>
  <c r="H129" i="4"/>
  <c r="I129" i="4"/>
  <c r="J129" i="4"/>
  <c r="K129" i="4"/>
  <c r="L129" i="4"/>
  <c r="M129" i="4"/>
  <c r="G130" i="4"/>
  <c r="H130" i="4"/>
  <c r="I130" i="4"/>
  <c r="J130" i="4"/>
  <c r="K130" i="4"/>
  <c r="L130" i="4"/>
  <c r="M130" i="4"/>
  <c r="G131" i="4"/>
  <c r="H131" i="4"/>
  <c r="I131" i="4"/>
  <c r="J131" i="4"/>
  <c r="K131" i="4"/>
  <c r="L131" i="4"/>
  <c r="M131" i="4"/>
  <c r="G132" i="4"/>
  <c r="H132" i="4"/>
  <c r="I132" i="4"/>
  <c r="J132" i="4"/>
  <c r="K132" i="4"/>
  <c r="L132" i="4"/>
  <c r="M132" i="4"/>
  <c r="G133" i="4"/>
  <c r="H133" i="4"/>
  <c r="I133" i="4"/>
  <c r="J133" i="4"/>
  <c r="K133" i="4"/>
  <c r="L133" i="4"/>
  <c r="M133" i="4"/>
  <c r="G134" i="4"/>
  <c r="H134" i="4"/>
  <c r="I134" i="4"/>
  <c r="J134" i="4"/>
  <c r="K134" i="4"/>
  <c r="L134" i="4"/>
  <c r="M134" i="4"/>
  <c r="G135" i="4"/>
  <c r="H135" i="4"/>
  <c r="I135" i="4"/>
  <c r="J135" i="4"/>
  <c r="K135" i="4"/>
  <c r="L135" i="4"/>
  <c r="M135" i="4"/>
  <c r="G136" i="4"/>
  <c r="H136" i="4"/>
  <c r="I136" i="4"/>
  <c r="J136" i="4"/>
  <c r="K136" i="4"/>
  <c r="L136" i="4"/>
  <c r="M136" i="4"/>
  <c r="G137" i="4"/>
  <c r="H137" i="4"/>
  <c r="I137" i="4"/>
  <c r="J137" i="4"/>
  <c r="K137" i="4"/>
  <c r="L137" i="4"/>
  <c r="M137" i="4"/>
  <c r="G138" i="4"/>
  <c r="H138" i="4"/>
  <c r="I138" i="4"/>
  <c r="J138" i="4"/>
  <c r="K138" i="4"/>
  <c r="L138" i="4"/>
  <c r="M138" i="4"/>
  <c r="G139" i="4"/>
  <c r="H139" i="4"/>
  <c r="I139" i="4"/>
  <c r="J139" i="4"/>
  <c r="K139" i="4"/>
  <c r="L139" i="4"/>
  <c r="M139" i="4"/>
  <c r="G140" i="4"/>
  <c r="H140" i="4"/>
  <c r="I140" i="4"/>
  <c r="J140" i="4"/>
  <c r="K140" i="4"/>
  <c r="L140" i="4"/>
  <c r="M140" i="4"/>
  <c r="G141" i="4"/>
  <c r="H141" i="4"/>
  <c r="I141" i="4"/>
  <c r="J141" i="4"/>
  <c r="K141" i="4"/>
  <c r="L141" i="4"/>
  <c r="M141" i="4"/>
  <c r="G142" i="4"/>
  <c r="H142" i="4"/>
  <c r="I142" i="4"/>
  <c r="J142" i="4"/>
  <c r="K142" i="4"/>
  <c r="L142" i="4"/>
  <c r="M142" i="4"/>
  <c r="G143" i="4"/>
  <c r="H143" i="4"/>
  <c r="I143" i="4"/>
  <c r="J143" i="4"/>
  <c r="K143" i="4"/>
  <c r="L143" i="4"/>
  <c r="M143" i="4"/>
  <c r="G144" i="4"/>
  <c r="H144" i="4"/>
  <c r="I144" i="4"/>
  <c r="J144" i="4"/>
  <c r="K144" i="4"/>
  <c r="L144" i="4"/>
  <c r="M144" i="4"/>
  <c r="G145" i="4"/>
  <c r="H145" i="4"/>
  <c r="I145" i="4"/>
  <c r="J145" i="4"/>
  <c r="K145" i="4"/>
  <c r="L145" i="4"/>
  <c r="M145" i="4"/>
  <c r="G146" i="4"/>
  <c r="H146" i="4"/>
  <c r="I146" i="4"/>
  <c r="J146" i="4"/>
  <c r="K146" i="4"/>
  <c r="L146" i="4"/>
  <c r="M146" i="4"/>
  <c r="G147" i="4"/>
  <c r="H147" i="4"/>
  <c r="I147" i="4"/>
  <c r="J147" i="4"/>
  <c r="K147" i="4"/>
  <c r="L147" i="4"/>
  <c r="M147" i="4"/>
  <c r="G148" i="4"/>
  <c r="H148" i="4"/>
  <c r="I148" i="4"/>
  <c r="J148" i="4"/>
  <c r="K148" i="4"/>
  <c r="L148" i="4"/>
  <c r="M148" i="4"/>
  <c r="G149" i="4"/>
  <c r="H149" i="4"/>
  <c r="I149" i="4"/>
  <c r="J149" i="4"/>
  <c r="K149" i="4"/>
  <c r="L149" i="4"/>
  <c r="M149" i="4"/>
  <c r="G150" i="4"/>
  <c r="H150" i="4"/>
  <c r="I150" i="4"/>
  <c r="J150" i="4"/>
  <c r="K150" i="4"/>
  <c r="L150" i="4"/>
  <c r="M150" i="4"/>
  <c r="G151" i="4"/>
  <c r="H151" i="4"/>
  <c r="I151" i="4"/>
  <c r="J151" i="4"/>
  <c r="K151" i="4"/>
  <c r="L151" i="4"/>
  <c r="M151" i="4"/>
  <c r="G152" i="4"/>
  <c r="H152" i="4"/>
  <c r="I152" i="4"/>
  <c r="J152" i="4"/>
  <c r="K152" i="4"/>
  <c r="L152" i="4"/>
  <c r="M152" i="4"/>
  <c r="G153" i="4"/>
  <c r="H153" i="4"/>
  <c r="I153" i="4"/>
  <c r="J153" i="4"/>
  <c r="K153" i="4"/>
  <c r="L153" i="4"/>
  <c r="M153" i="4"/>
  <c r="G154" i="4"/>
  <c r="H154" i="4"/>
  <c r="I154" i="4"/>
  <c r="J154" i="4"/>
  <c r="K154" i="4"/>
  <c r="L154" i="4"/>
  <c r="M154" i="4"/>
  <c r="G155" i="4"/>
  <c r="H155" i="4"/>
  <c r="I155" i="4"/>
  <c r="J155" i="4"/>
  <c r="K155" i="4"/>
  <c r="L155" i="4"/>
  <c r="M155" i="4"/>
  <c r="G156" i="4"/>
  <c r="H156" i="4"/>
  <c r="I156" i="4"/>
  <c r="J156" i="4"/>
  <c r="K156" i="4"/>
  <c r="L156" i="4"/>
  <c r="M156" i="4"/>
  <c r="G157" i="4"/>
  <c r="H157" i="4"/>
  <c r="I157" i="4"/>
  <c r="J157" i="4"/>
  <c r="K157" i="4"/>
  <c r="L157" i="4"/>
  <c r="M157" i="4"/>
  <c r="G158" i="4"/>
  <c r="H158" i="4"/>
  <c r="I158" i="4"/>
  <c r="J158" i="4"/>
  <c r="K158" i="4"/>
  <c r="L158" i="4"/>
  <c r="M158" i="4"/>
  <c r="G159" i="4"/>
  <c r="H159" i="4"/>
  <c r="I159" i="4"/>
  <c r="J159" i="4"/>
  <c r="K159" i="4"/>
  <c r="L159" i="4"/>
  <c r="M159" i="4"/>
  <c r="G160" i="4"/>
  <c r="H160" i="4"/>
  <c r="I160" i="4"/>
  <c r="J160" i="4"/>
  <c r="K160" i="4"/>
  <c r="L160" i="4"/>
  <c r="M160" i="4"/>
  <c r="G161" i="4"/>
  <c r="H161" i="4"/>
  <c r="I161" i="4"/>
  <c r="J161" i="4"/>
  <c r="K161" i="4"/>
  <c r="L161" i="4"/>
  <c r="M161" i="4"/>
  <c r="G162" i="4"/>
  <c r="H162" i="4"/>
  <c r="I162" i="4"/>
  <c r="J162" i="4"/>
  <c r="K162" i="4"/>
  <c r="L162" i="4"/>
  <c r="M162" i="4"/>
  <c r="G163" i="4"/>
  <c r="H163" i="4"/>
  <c r="I163" i="4"/>
  <c r="J163" i="4"/>
  <c r="K163" i="4"/>
  <c r="L163" i="4"/>
  <c r="M163" i="4"/>
  <c r="G164" i="4"/>
  <c r="H164" i="4"/>
  <c r="I164" i="4"/>
  <c r="J164" i="4"/>
  <c r="K164" i="4"/>
  <c r="L164" i="4"/>
  <c r="M164" i="4"/>
  <c r="G165" i="4"/>
  <c r="H165" i="4"/>
  <c r="I165" i="4"/>
  <c r="J165" i="4"/>
  <c r="K165" i="4"/>
  <c r="L165" i="4"/>
  <c r="M165" i="4"/>
  <c r="G166" i="4"/>
  <c r="H166" i="4"/>
  <c r="I166" i="4"/>
  <c r="J166" i="4"/>
  <c r="K166" i="4"/>
  <c r="L166" i="4"/>
  <c r="M166" i="4"/>
  <c r="G167" i="4"/>
  <c r="H167" i="4"/>
  <c r="I167" i="4"/>
  <c r="J167" i="4"/>
  <c r="K167" i="4"/>
  <c r="L167" i="4"/>
  <c r="M167" i="4"/>
  <c r="G168" i="4"/>
  <c r="H168" i="4"/>
  <c r="I168" i="4"/>
  <c r="J168" i="4"/>
  <c r="K168" i="4"/>
  <c r="L168" i="4"/>
  <c r="M168" i="4"/>
  <c r="G169" i="4"/>
  <c r="H169" i="4"/>
  <c r="I169" i="4"/>
  <c r="J169" i="4"/>
  <c r="K169" i="4"/>
  <c r="L169" i="4"/>
  <c r="M169" i="4"/>
  <c r="G170" i="4"/>
  <c r="H170" i="4"/>
  <c r="I170" i="4"/>
  <c r="J170" i="4"/>
  <c r="K170" i="4"/>
  <c r="L170" i="4"/>
  <c r="M170" i="4"/>
  <c r="G171" i="4"/>
  <c r="H171" i="4"/>
  <c r="I171" i="4"/>
  <c r="J171" i="4"/>
  <c r="K171" i="4"/>
  <c r="L171" i="4"/>
  <c r="M171" i="4"/>
  <c r="G172" i="4"/>
  <c r="H172" i="4"/>
  <c r="I172" i="4"/>
  <c r="J172" i="4"/>
  <c r="K172" i="4"/>
  <c r="L172" i="4"/>
  <c r="M172" i="4"/>
  <c r="G173" i="4"/>
  <c r="H173" i="4"/>
  <c r="I173" i="4"/>
  <c r="J173" i="4"/>
  <c r="K173" i="4"/>
  <c r="L173" i="4"/>
  <c r="M173" i="4"/>
  <c r="G174" i="4"/>
  <c r="H174" i="4"/>
  <c r="I174" i="4"/>
  <c r="J174" i="4"/>
  <c r="K174" i="4"/>
  <c r="L174" i="4"/>
  <c r="M174" i="4"/>
  <c r="G175" i="4"/>
  <c r="H175" i="4"/>
  <c r="I175" i="4"/>
  <c r="J175" i="4"/>
  <c r="K175" i="4"/>
  <c r="L175" i="4"/>
  <c r="M175" i="4"/>
  <c r="G176" i="4"/>
  <c r="H176" i="4"/>
  <c r="I176" i="4"/>
  <c r="J176" i="4"/>
  <c r="K176" i="4"/>
  <c r="L176" i="4"/>
  <c r="M176" i="4"/>
  <c r="G177" i="4"/>
  <c r="H177" i="4"/>
  <c r="I177" i="4"/>
  <c r="J177" i="4"/>
  <c r="K177" i="4"/>
  <c r="L177" i="4"/>
  <c r="M177" i="4"/>
  <c r="G178" i="4"/>
  <c r="H178" i="4"/>
  <c r="I178" i="4"/>
  <c r="J178" i="4"/>
  <c r="K178" i="4"/>
  <c r="L178" i="4"/>
  <c r="M178" i="4"/>
  <c r="G179" i="4"/>
  <c r="H179" i="4"/>
  <c r="I179" i="4"/>
  <c r="J179" i="4"/>
  <c r="K179" i="4"/>
  <c r="L179" i="4"/>
  <c r="M179" i="4"/>
  <c r="G180" i="4"/>
  <c r="H180" i="4"/>
  <c r="I180" i="4"/>
  <c r="J180" i="4"/>
  <c r="K180" i="4"/>
  <c r="L180" i="4"/>
  <c r="M180" i="4"/>
  <c r="G181" i="4"/>
  <c r="H181" i="4"/>
  <c r="I181" i="4"/>
  <c r="J181" i="4"/>
  <c r="K181" i="4"/>
  <c r="L181" i="4"/>
  <c r="M181" i="4"/>
  <c r="G182" i="4"/>
  <c r="H182" i="4"/>
  <c r="I182" i="4"/>
  <c r="J182" i="4"/>
  <c r="K182" i="4"/>
  <c r="L182" i="4"/>
  <c r="M182" i="4"/>
  <c r="G183" i="4"/>
  <c r="H183" i="4"/>
  <c r="I183" i="4"/>
  <c r="J183" i="4"/>
  <c r="K183" i="4"/>
  <c r="L183" i="4"/>
  <c r="M183" i="4"/>
  <c r="G184" i="4"/>
  <c r="H184" i="4"/>
  <c r="I184" i="4"/>
  <c r="J184" i="4"/>
  <c r="K184" i="4"/>
  <c r="L184" i="4"/>
  <c r="M184" i="4"/>
  <c r="G185" i="4"/>
  <c r="H185" i="4"/>
  <c r="I185" i="4"/>
  <c r="J185" i="4"/>
  <c r="K185" i="4"/>
  <c r="L185" i="4"/>
  <c r="M185" i="4"/>
  <c r="G186" i="4"/>
  <c r="H186" i="4"/>
  <c r="I186" i="4"/>
  <c r="J186" i="4"/>
  <c r="K186" i="4"/>
  <c r="L186" i="4"/>
  <c r="M186" i="4"/>
  <c r="G187" i="4"/>
  <c r="H187" i="4"/>
  <c r="I187" i="4"/>
  <c r="J187" i="4"/>
  <c r="K187" i="4"/>
  <c r="L187" i="4"/>
  <c r="M187" i="4"/>
  <c r="G188" i="4"/>
  <c r="H188" i="4"/>
  <c r="I188" i="4"/>
  <c r="J188" i="4"/>
  <c r="K188" i="4"/>
  <c r="L188" i="4"/>
  <c r="M188" i="4"/>
  <c r="G189" i="4"/>
  <c r="H189" i="4"/>
  <c r="I189" i="4"/>
  <c r="J189" i="4"/>
  <c r="K189" i="4"/>
  <c r="L189" i="4"/>
  <c r="M189" i="4"/>
  <c r="G190" i="4"/>
  <c r="H190" i="4"/>
  <c r="I190" i="4"/>
  <c r="J190" i="4"/>
  <c r="K190" i="4"/>
  <c r="L190" i="4"/>
  <c r="M190" i="4"/>
  <c r="G191" i="4"/>
  <c r="H191" i="4"/>
  <c r="I191" i="4"/>
  <c r="J191" i="4"/>
  <c r="K191" i="4"/>
  <c r="L191" i="4"/>
  <c r="M191" i="4"/>
  <c r="G192" i="4"/>
  <c r="H192" i="4"/>
  <c r="I192" i="4"/>
  <c r="J192" i="4"/>
  <c r="K192" i="4"/>
  <c r="L192" i="4"/>
  <c r="M192" i="4"/>
  <c r="G193" i="4"/>
  <c r="H193" i="4"/>
  <c r="I193" i="4"/>
  <c r="J193" i="4"/>
  <c r="K193" i="4"/>
  <c r="L193" i="4"/>
  <c r="M193" i="4"/>
  <c r="G194" i="4"/>
  <c r="H194" i="4"/>
  <c r="I194" i="4"/>
  <c r="J194" i="4"/>
  <c r="K194" i="4"/>
  <c r="L194" i="4"/>
  <c r="M194" i="4"/>
  <c r="G195" i="4"/>
  <c r="H195" i="4"/>
  <c r="I195" i="4"/>
  <c r="J195" i="4"/>
  <c r="K195" i="4"/>
  <c r="L195" i="4"/>
  <c r="M195" i="4"/>
  <c r="G196" i="4"/>
  <c r="H196" i="4"/>
  <c r="I196" i="4"/>
  <c r="J196" i="4"/>
  <c r="K196" i="4"/>
  <c r="L196" i="4"/>
  <c r="M196" i="4"/>
  <c r="G197" i="4"/>
  <c r="H197" i="4"/>
  <c r="I197" i="4"/>
  <c r="J197" i="4"/>
  <c r="K197" i="4"/>
  <c r="L197" i="4"/>
  <c r="M197" i="4"/>
  <c r="G198" i="4"/>
  <c r="H198" i="4"/>
  <c r="I198" i="4"/>
  <c r="J198" i="4"/>
  <c r="K198" i="4"/>
  <c r="L198" i="4"/>
  <c r="M198" i="4"/>
  <c r="G199" i="4"/>
  <c r="H199" i="4"/>
  <c r="I199" i="4"/>
  <c r="J199" i="4"/>
  <c r="K199" i="4"/>
  <c r="L199" i="4"/>
  <c r="M199" i="4"/>
  <c r="G200" i="4"/>
  <c r="H200" i="4"/>
  <c r="I200" i="4"/>
  <c r="J200" i="4"/>
  <c r="K200" i="4"/>
  <c r="L200" i="4"/>
  <c r="M200" i="4"/>
  <c r="G201" i="4"/>
  <c r="H201" i="4"/>
  <c r="I201" i="4"/>
  <c r="J201" i="4"/>
  <c r="K201" i="4"/>
  <c r="L201" i="4"/>
  <c r="M201" i="4"/>
  <c r="G202" i="4"/>
  <c r="H202" i="4"/>
  <c r="I202" i="4"/>
  <c r="J202" i="4"/>
  <c r="K202" i="4"/>
  <c r="L202" i="4"/>
  <c r="M202" i="4"/>
  <c r="G203" i="4"/>
  <c r="H203" i="4"/>
  <c r="I203" i="4"/>
  <c r="J203" i="4"/>
  <c r="K203" i="4"/>
  <c r="L203" i="4"/>
  <c r="M203" i="4"/>
  <c r="G204" i="4"/>
  <c r="H204" i="4"/>
  <c r="I204" i="4"/>
  <c r="J204" i="4"/>
  <c r="K204" i="4"/>
  <c r="L204" i="4"/>
  <c r="M204" i="4"/>
  <c r="G205" i="4"/>
  <c r="H205" i="4"/>
  <c r="I205" i="4"/>
  <c r="J205" i="4"/>
  <c r="K205" i="4"/>
  <c r="L205" i="4"/>
  <c r="M205" i="4"/>
  <c r="G206" i="4"/>
  <c r="H206" i="4"/>
  <c r="I206" i="4"/>
  <c r="J206" i="4"/>
  <c r="K206" i="4"/>
  <c r="L206" i="4"/>
  <c r="M206" i="4"/>
  <c r="G207" i="4"/>
  <c r="H207" i="4"/>
  <c r="I207" i="4"/>
  <c r="J207" i="4"/>
  <c r="K207" i="4"/>
  <c r="L207" i="4"/>
  <c r="M207" i="4"/>
  <c r="G208" i="4"/>
  <c r="H208" i="4"/>
  <c r="I208" i="4"/>
  <c r="J208" i="4"/>
  <c r="K208" i="4"/>
  <c r="L208" i="4"/>
  <c r="M208" i="4"/>
  <c r="G209" i="4"/>
  <c r="H209" i="4"/>
  <c r="I209" i="4"/>
  <c r="J209" i="4"/>
  <c r="K209" i="4"/>
  <c r="L209" i="4"/>
  <c r="M209" i="4"/>
  <c r="G210" i="4"/>
  <c r="H210" i="4"/>
  <c r="I210" i="4"/>
  <c r="J210" i="4"/>
  <c r="K210" i="4"/>
  <c r="L210" i="4"/>
  <c r="M210" i="4"/>
  <c r="G211" i="4"/>
  <c r="H211" i="4"/>
  <c r="I211" i="4"/>
  <c r="J211" i="4"/>
  <c r="K211" i="4"/>
  <c r="L211" i="4"/>
  <c r="M211" i="4"/>
  <c r="G212" i="4"/>
  <c r="H212" i="4"/>
  <c r="I212" i="4"/>
  <c r="J212" i="4"/>
  <c r="K212" i="4"/>
  <c r="L212" i="4"/>
  <c r="M212" i="4"/>
  <c r="G213" i="4"/>
  <c r="H213" i="4"/>
  <c r="I213" i="4"/>
  <c r="J213" i="4"/>
  <c r="K213" i="4"/>
  <c r="L213" i="4"/>
  <c r="M213" i="4"/>
  <c r="G214" i="4"/>
  <c r="H214" i="4"/>
  <c r="I214" i="4"/>
  <c r="J214" i="4"/>
  <c r="K214" i="4"/>
  <c r="L214" i="4"/>
  <c r="M214" i="4"/>
  <c r="G215" i="4"/>
  <c r="H215" i="4"/>
  <c r="I215" i="4"/>
  <c r="J215" i="4"/>
  <c r="K215" i="4"/>
  <c r="L215" i="4"/>
  <c r="M215" i="4"/>
  <c r="G216" i="4"/>
  <c r="H216" i="4"/>
  <c r="I216" i="4"/>
  <c r="J216" i="4"/>
  <c r="K216" i="4"/>
  <c r="L216" i="4"/>
  <c r="M216" i="4"/>
  <c r="G217" i="4"/>
  <c r="H217" i="4"/>
  <c r="I217" i="4"/>
  <c r="J217" i="4"/>
  <c r="K217" i="4"/>
  <c r="L217" i="4"/>
  <c r="M217" i="4"/>
  <c r="G218" i="4"/>
  <c r="H218" i="4"/>
  <c r="I218" i="4"/>
  <c r="J218" i="4"/>
  <c r="K218" i="4"/>
  <c r="L218" i="4"/>
  <c r="M218" i="4"/>
  <c r="G219" i="4"/>
  <c r="H219" i="4"/>
  <c r="I219" i="4"/>
  <c r="J219" i="4"/>
  <c r="K219" i="4"/>
  <c r="L219" i="4"/>
  <c r="M219" i="4"/>
  <c r="G220" i="4"/>
  <c r="H220" i="4"/>
  <c r="I220" i="4"/>
  <c r="J220" i="4"/>
  <c r="K220" i="4"/>
  <c r="L220" i="4"/>
  <c r="M220" i="4"/>
  <c r="G221" i="4"/>
  <c r="H221" i="4"/>
  <c r="I221" i="4"/>
  <c r="J221" i="4"/>
  <c r="K221" i="4"/>
  <c r="L221" i="4"/>
  <c r="M221" i="4"/>
  <c r="G222" i="4"/>
  <c r="H222" i="4"/>
  <c r="I222" i="4"/>
  <c r="J222" i="4"/>
  <c r="K222" i="4"/>
  <c r="L222" i="4"/>
  <c r="M222" i="4"/>
  <c r="G223" i="4"/>
  <c r="H223" i="4"/>
  <c r="I223" i="4"/>
  <c r="J223" i="4"/>
  <c r="K223" i="4"/>
  <c r="L223" i="4"/>
  <c r="M223" i="4"/>
  <c r="G224" i="4"/>
  <c r="H224" i="4"/>
  <c r="I224" i="4"/>
  <c r="J224" i="4"/>
  <c r="K224" i="4"/>
  <c r="L224" i="4"/>
  <c r="M224" i="4"/>
  <c r="G225" i="4"/>
  <c r="H225" i="4"/>
  <c r="I225" i="4"/>
  <c r="J225" i="4"/>
  <c r="K225" i="4"/>
  <c r="L225" i="4"/>
  <c r="M225" i="4"/>
  <c r="G226" i="4"/>
  <c r="H226" i="4"/>
  <c r="I226" i="4"/>
  <c r="J226" i="4"/>
  <c r="K226" i="4"/>
  <c r="L226" i="4"/>
  <c r="M226" i="4"/>
  <c r="G227" i="4"/>
  <c r="H227" i="4"/>
  <c r="I227" i="4"/>
  <c r="J227" i="4"/>
  <c r="K227" i="4"/>
  <c r="L227" i="4"/>
  <c r="M227" i="4"/>
  <c r="G228" i="4"/>
  <c r="H228" i="4"/>
  <c r="I228" i="4"/>
  <c r="J228" i="4"/>
  <c r="K228" i="4"/>
  <c r="L228" i="4"/>
  <c r="M228" i="4"/>
  <c r="G229" i="4"/>
  <c r="H229" i="4"/>
  <c r="I229" i="4"/>
  <c r="J229" i="4"/>
  <c r="K229" i="4"/>
  <c r="L229" i="4"/>
  <c r="M229" i="4"/>
  <c r="G230" i="4"/>
  <c r="H230" i="4"/>
  <c r="I230" i="4"/>
  <c r="J230" i="4"/>
  <c r="K230" i="4"/>
  <c r="L230" i="4"/>
  <c r="M230" i="4"/>
  <c r="G231" i="4"/>
  <c r="H231" i="4"/>
  <c r="I231" i="4"/>
  <c r="J231" i="4"/>
  <c r="K231" i="4"/>
  <c r="L231" i="4"/>
  <c r="M231" i="4"/>
  <c r="G232" i="4"/>
  <c r="H232" i="4"/>
  <c r="I232" i="4"/>
  <c r="J232" i="4"/>
  <c r="K232" i="4"/>
  <c r="L232" i="4"/>
  <c r="M232" i="4"/>
  <c r="G233" i="4"/>
  <c r="H233" i="4"/>
  <c r="I233" i="4"/>
  <c r="J233" i="4"/>
  <c r="K233" i="4"/>
  <c r="L233" i="4"/>
  <c r="M233" i="4"/>
  <c r="G234" i="4"/>
  <c r="H234" i="4"/>
  <c r="I234" i="4"/>
  <c r="J234" i="4"/>
  <c r="K234" i="4"/>
  <c r="L234" i="4"/>
  <c r="M234" i="4"/>
  <c r="G235" i="4"/>
  <c r="H235" i="4"/>
  <c r="I235" i="4"/>
  <c r="J235" i="4"/>
  <c r="K235" i="4"/>
  <c r="L235" i="4"/>
  <c r="M235" i="4"/>
  <c r="G236" i="4"/>
  <c r="H236" i="4"/>
  <c r="I236" i="4"/>
  <c r="J236" i="4"/>
  <c r="K236" i="4"/>
  <c r="L236" i="4"/>
  <c r="M236" i="4"/>
  <c r="G237" i="4"/>
  <c r="H237" i="4"/>
  <c r="I237" i="4"/>
  <c r="J237" i="4"/>
  <c r="K237" i="4"/>
  <c r="L237" i="4"/>
  <c r="M237" i="4"/>
  <c r="G238" i="4"/>
  <c r="H238" i="4"/>
  <c r="I238" i="4"/>
  <c r="J238" i="4"/>
  <c r="K238" i="4"/>
  <c r="L238" i="4"/>
  <c r="M238" i="4"/>
  <c r="G239" i="4"/>
  <c r="H239" i="4"/>
  <c r="I239" i="4"/>
  <c r="J239" i="4"/>
  <c r="K239" i="4"/>
  <c r="L239" i="4"/>
  <c r="M239" i="4"/>
  <c r="G240" i="4"/>
  <c r="H240" i="4"/>
  <c r="I240" i="4"/>
  <c r="J240" i="4"/>
  <c r="K240" i="4"/>
  <c r="L240" i="4"/>
  <c r="M240" i="4"/>
  <c r="G241" i="4"/>
  <c r="H241" i="4"/>
  <c r="I241" i="4"/>
  <c r="J241" i="4"/>
  <c r="K241" i="4"/>
  <c r="L241" i="4"/>
  <c r="M241" i="4"/>
  <c r="G242" i="4"/>
  <c r="H242" i="4"/>
  <c r="I242" i="4"/>
  <c r="J242" i="4"/>
  <c r="K242" i="4"/>
  <c r="L242" i="4"/>
  <c r="M242" i="4"/>
  <c r="G243" i="4"/>
  <c r="H243" i="4"/>
  <c r="I243" i="4"/>
  <c r="J243" i="4"/>
  <c r="K243" i="4"/>
  <c r="L243" i="4"/>
  <c r="M243" i="4"/>
  <c r="G244" i="4"/>
  <c r="H244" i="4"/>
  <c r="I244" i="4"/>
  <c r="J244" i="4"/>
  <c r="K244" i="4"/>
  <c r="L244" i="4"/>
  <c r="M244" i="4"/>
  <c r="G245" i="4"/>
  <c r="H245" i="4"/>
  <c r="I245" i="4"/>
  <c r="J245" i="4"/>
  <c r="K245" i="4"/>
  <c r="L245" i="4"/>
  <c r="M245" i="4"/>
  <c r="G246" i="4"/>
  <c r="H246" i="4"/>
  <c r="I246" i="4"/>
  <c r="J246" i="4"/>
  <c r="K246" i="4"/>
  <c r="L246" i="4"/>
  <c r="M246" i="4"/>
  <c r="G247" i="4"/>
  <c r="H247" i="4"/>
  <c r="I247" i="4"/>
  <c r="J247" i="4"/>
  <c r="K247" i="4"/>
  <c r="L247" i="4"/>
  <c r="M247" i="4"/>
  <c r="G248" i="4"/>
  <c r="H248" i="4"/>
  <c r="I248" i="4"/>
  <c r="J248" i="4"/>
  <c r="K248" i="4"/>
  <c r="L248" i="4"/>
  <c r="M248" i="4"/>
  <c r="G249" i="4"/>
  <c r="H249" i="4"/>
  <c r="I249" i="4"/>
  <c r="J249" i="4"/>
  <c r="K249" i="4"/>
  <c r="L249" i="4"/>
  <c r="M249" i="4"/>
  <c r="G250" i="4"/>
  <c r="H250" i="4"/>
  <c r="I250" i="4"/>
  <c r="J250" i="4"/>
  <c r="K250" i="4"/>
  <c r="L250" i="4"/>
  <c r="M250" i="4"/>
  <c r="G251" i="4"/>
  <c r="H251" i="4"/>
  <c r="I251" i="4"/>
  <c r="J251" i="4"/>
  <c r="K251" i="4"/>
  <c r="L251" i="4"/>
  <c r="M251" i="4"/>
  <c r="G252" i="4"/>
  <c r="H252" i="4"/>
  <c r="I252" i="4"/>
  <c r="J252" i="4"/>
  <c r="K252" i="4"/>
  <c r="L252" i="4"/>
  <c r="M252" i="4"/>
  <c r="G253" i="4"/>
  <c r="H253" i="4"/>
  <c r="I253" i="4"/>
  <c r="J253" i="4"/>
  <c r="K253" i="4"/>
  <c r="L253" i="4"/>
  <c r="M253" i="4"/>
  <c r="G254" i="4"/>
  <c r="H254" i="4"/>
  <c r="I254" i="4"/>
  <c r="J254" i="4"/>
  <c r="K254" i="4"/>
  <c r="L254" i="4"/>
  <c r="M254" i="4"/>
  <c r="G255" i="4"/>
  <c r="H255" i="4"/>
  <c r="I255" i="4"/>
  <c r="J255" i="4"/>
  <c r="K255" i="4"/>
  <c r="L255" i="4"/>
  <c r="M255" i="4"/>
  <c r="G256" i="4"/>
  <c r="H256" i="4"/>
  <c r="I256" i="4"/>
  <c r="J256" i="4"/>
  <c r="K256" i="4"/>
  <c r="L256" i="4"/>
  <c r="M256" i="4"/>
  <c r="G257" i="4"/>
  <c r="H257" i="4"/>
  <c r="I257" i="4"/>
  <c r="J257" i="4"/>
  <c r="K257" i="4"/>
  <c r="L257" i="4"/>
  <c r="M257" i="4"/>
  <c r="G258" i="4"/>
  <c r="H258" i="4"/>
  <c r="I258" i="4"/>
  <c r="J258" i="4"/>
  <c r="K258" i="4"/>
  <c r="L258" i="4"/>
  <c r="M258" i="4"/>
  <c r="G259" i="4"/>
  <c r="H259" i="4"/>
  <c r="I259" i="4"/>
  <c r="J259" i="4"/>
  <c r="K259" i="4"/>
  <c r="L259" i="4"/>
  <c r="M259" i="4"/>
  <c r="G260" i="4"/>
  <c r="H260" i="4"/>
  <c r="I260" i="4"/>
  <c r="J260" i="4"/>
  <c r="K260" i="4"/>
  <c r="L260" i="4"/>
  <c r="M260" i="4"/>
  <c r="G261" i="4"/>
  <c r="H261" i="4"/>
  <c r="I261" i="4"/>
  <c r="J261" i="4"/>
  <c r="K261" i="4"/>
  <c r="L261" i="4"/>
  <c r="M261" i="4"/>
  <c r="G262" i="4"/>
  <c r="H262" i="4"/>
  <c r="I262" i="4"/>
  <c r="J262" i="4"/>
  <c r="K262" i="4"/>
  <c r="L262" i="4"/>
  <c r="M262" i="4"/>
  <c r="G263" i="4"/>
  <c r="H263" i="4"/>
  <c r="I263" i="4"/>
  <c r="J263" i="4"/>
  <c r="K263" i="4"/>
  <c r="L263" i="4"/>
  <c r="M263" i="4"/>
  <c r="G264" i="4"/>
  <c r="H264" i="4"/>
  <c r="I264" i="4"/>
  <c r="J264" i="4"/>
  <c r="K264" i="4"/>
  <c r="L264" i="4"/>
  <c r="M264" i="4"/>
  <c r="G265" i="4"/>
  <c r="H265" i="4"/>
  <c r="I265" i="4"/>
  <c r="J265" i="4"/>
  <c r="K265" i="4"/>
  <c r="L265" i="4"/>
  <c r="M265" i="4"/>
  <c r="G266" i="4"/>
  <c r="H266" i="4"/>
  <c r="I266" i="4"/>
  <c r="J266" i="4"/>
  <c r="K266" i="4"/>
  <c r="L266" i="4"/>
  <c r="M266" i="4"/>
  <c r="G267" i="4"/>
  <c r="H267" i="4"/>
  <c r="I267" i="4"/>
  <c r="J267" i="4"/>
  <c r="K267" i="4"/>
  <c r="L267" i="4"/>
  <c r="M267" i="4"/>
  <c r="G268" i="4"/>
  <c r="H268" i="4"/>
  <c r="I268" i="4"/>
  <c r="J268" i="4"/>
  <c r="K268" i="4"/>
  <c r="L268" i="4"/>
  <c r="M268" i="4"/>
  <c r="G269" i="4"/>
  <c r="H269" i="4"/>
  <c r="I269" i="4"/>
  <c r="J269" i="4"/>
  <c r="K269" i="4"/>
  <c r="L269" i="4"/>
  <c r="M269" i="4"/>
  <c r="G270" i="4"/>
  <c r="H270" i="4"/>
  <c r="I270" i="4"/>
  <c r="J270" i="4"/>
  <c r="K270" i="4"/>
  <c r="L270" i="4"/>
  <c r="M270" i="4"/>
  <c r="G271" i="4"/>
  <c r="H271" i="4"/>
  <c r="I271" i="4"/>
  <c r="J271" i="4"/>
  <c r="K271" i="4"/>
  <c r="L271" i="4"/>
  <c r="M271" i="4"/>
  <c r="G272" i="4"/>
  <c r="H272" i="4"/>
  <c r="I272" i="4"/>
  <c r="J272" i="4"/>
  <c r="K272" i="4"/>
  <c r="L272" i="4"/>
  <c r="M272" i="4"/>
  <c r="G273" i="4"/>
  <c r="H273" i="4"/>
  <c r="I273" i="4"/>
  <c r="J273" i="4"/>
  <c r="K273" i="4"/>
  <c r="L273" i="4"/>
  <c r="M273" i="4"/>
  <c r="G274" i="4"/>
  <c r="H274" i="4"/>
  <c r="I274" i="4"/>
  <c r="J274" i="4"/>
  <c r="K274" i="4"/>
  <c r="L274" i="4"/>
  <c r="M274" i="4"/>
  <c r="G275" i="4"/>
  <c r="H275" i="4"/>
  <c r="I275" i="4"/>
  <c r="J275" i="4"/>
  <c r="K275" i="4"/>
  <c r="L275" i="4"/>
  <c r="M275" i="4"/>
  <c r="G276" i="4"/>
  <c r="H276" i="4"/>
  <c r="I276" i="4"/>
  <c r="J276" i="4"/>
  <c r="K276" i="4"/>
  <c r="L276" i="4"/>
  <c r="M276" i="4"/>
  <c r="G277" i="4"/>
  <c r="H277" i="4"/>
  <c r="I277" i="4"/>
  <c r="J277" i="4"/>
  <c r="K277" i="4"/>
  <c r="L277" i="4"/>
  <c r="M277" i="4"/>
  <c r="G278" i="4"/>
  <c r="H278" i="4"/>
  <c r="I278" i="4"/>
  <c r="J278" i="4"/>
  <c r="K278" i="4"/>
  <c r="L278" i="4"/>
  <c r="M278" i="4"/>
  <c r="G279" i="4"/>
  <c r="H279" i="4"/>
  <c r="I279" i="4"/>
  <c r="J279" i="4"/>
  <c r="K279" i="4"/>
  <c r="L279" i="4"/>
  <c r="M279" i="4"/>
  <c r="G280" i="4"/>
  <c r="H280" i="4"/>
  <c r="I280" i="4"/>
  <c r="J280" i="4"/>
  <c r="K280" i="4"/>
  <c r="L280" i="4"/>
  <c r="M280" i="4"/>
  <c r="G281" i="4"/>
  <c r="H281" i="4"/>
  <c r="I281" i="4"/>
  <c r="J281" i="4"/>
  <c r="K281" i="4"/>
  <c r="L281" i="4"/>
  <c r="M281" i="4"/>
  <c r="G282" i="4"/>
  <c r="H282" i="4"/>
  <c r="I282" i="4"/>
  <c r="J282" i="4"/>
  <c r="K282" i="4"/>
  <c r="L282" i="4"/>
  <c r="M282" i="4"/>
  <c r="G283" i="4"/>
  <c r="H283" i="4"/>
  <c r="I283" i="4"/>
  <c r="J283" i="4"/>
  <c r="K283" i="4"/>
  <c r="L283" i="4"/>
  <c r="M283" i="4"/>
  <c r="G284" i="4"/>
  <c r="H284" i="4"/>
  <c r="I284" i="4"/>
  <c r="J284" i="4"/>
  <c r="K284" i="4"/>
  <c r="L284" i="4"/>
  <c r="M284" i="4"/>
  <c r="G285" i="4"/>
  <c r="H285" i="4"/>
  <c r="I285" i="4"/>
  <c r="J285" i="4"/>
  <c r="K285" i="4"/>
  <c r="L285" i="4"/>
  <c r="M285" i="4"/>
  <c r="G286" i="4"/>
  <c r="H286" i="4"/>
  <c r="I286" i="4"/>
  <c r="J286" i="4"/>
  <c r="K286" i="4"/>
  <c r="L286" i="4"/>
  <c r="M286" i="4"/>
  <c r="G287" i="4"/>
  <c r="H287" i="4"/>
  <c r="I287" i="4"/>
  <c r="J287" i="4"/>
  <c r="K287" i="4"/>
  <c r="L287" i="4"/>
  <c r="M287" i="4"/>
  <c r="G288" i="4"/>
  <c r="H288" i="4"/>
  <c r="I288" i="4"/>
  <c r="J288" i="4"/>
  <c r="K288" i="4"/>
  <c r="L288" i="4"/>
  <c r="M288" i="4"/>
  <c r="G289" i="4"/>
  <c r="H289" i="4"/>
  <c r="I289" i="4"/>
  <c r="J289" i="4"/>
  <c r="K289" i="4"/>
  <c r="L289" i="4"/>
  <c r="M289" i="4"/>
  <c r="G290" i="4"/>
  <c r="H290" i="4"/>
  <c r="I290" i="4"/>
  <c r="J290" i="4"/>
  <c r="K290" i="4"/>
  <c r="L290" i="4"/>
  <c r="M290" i="4"/>
  <c r="G291" i="4"/>
  <c r="H291" i="4"/>
  <c r="I291" i="4"/>
  <c r="J291" i="4"/>
  <c r="K291" i="4"/>
  <c r="L291" i="4"/>
  <c r="M291" i="4"/>
  <c r="G292" i="4"/>
  <c r="H292" i="4"/>
  <c r="I292" i="4"/>
  <c r="J292" i="4"/>
  <c r="K292" i="4"/>
  <c r="L292" i="4"/>
  <c r="M292" i="4"/>
  <c r="G293" i="4"/>
  <c r="H293" i="4"/>
  <c r="I293" i="4"/>
  <c r="J293" i="4"/>
  <c r="K293" i="4"/>
  <c r="L293" i="4"/>
  <c r="M293" i="4"/>
  <c r="G294" i="4"/>
  <c r="H294" i="4"/>
  <c r="I294" i="4"/>
  <c r="J294" i="4"/>
  <c r="K294" i="4"/>
  <c r="L294" i="4"/>
  <c r="M294" i="4"/>
  <c r="G295" i="4"/>
  <c r="H295" i="4"/>
  <c r="I295" i="4"/>
  <c r="J295" i="4"/>
  <c r="K295" i="4"/>
  <c r="L295" i="4"/>
  <c r="M295" i="4"/>
  <c r="G296" i="4"/>
  <c r="H296" i="4"/>
  <c r="I296" i="4"/>
  <c r="J296" i="4"/>
  <c r="K296" i="4"/>
  <c r="L296" i="4"/>
  <c r="M296" i="4"/>
  <c r="G297" i="4"/>
  <c r="H297" i="4"/>
  <c r="I297" i="4"/>
  <c r="J297" i="4"/>
  <c r="K297" i="4"/>
  <c r="L297" i="4"/>
  <c r="M297" i="4"/>
  <c r="G298" i="4"/>
  <c r="H298" i="4"/>
  <c r="I298" i="4"/>
  <c r="J298" i="4"/>
  <c r="K298" i="4"/>
  <c r="L298" i="4"/>
  <c r="M298" i="4"/>
  <c r="G299" i="4"/>
  <c r="H299" i="4"/>
  <c r="I299" i="4"/>
  <c r="J299" i="4"/>
  <c r="K299" i="4"/>
  <c r="L299" i="4"/>
  <c r="M299" i="4"/>
  <c r="G300" i="4"/>
  <c r="H300" i="4"/>
  <c r="I300" i="4"/>
  <c r="J300" i="4"/>
  <c r="K300" i="4"/>
  <c r="L300" i="4"/>
  <c r="M300" i="4"/>
  <c r="G301" i="4"/>
  <c r="H301" i="4"/>
  <c r="I301" i="4"/>
  <c r="J301" i="4"/>
  <c r="K301" i="4"/>
  <c r="L301" i="4"/>
  <c r="M301" i="4"/>
  <c r="G302" i="4"/>
  <c r="H302" i="4"/>
  <c r="I302" i="4"/>
  <c r="J302" i="4"/>
  <c r="K302" i="4"/>
  <c r="L302" i="4"/>
  <c r="M302" i="4"/>
  <c r="G303" i="4"/>
  <c r="H303" i="4"/>
  <c r="I303" i="4"/>
  <c r="J303" i="4"/>
  <c r="K303" i="4"/>
  <c r="L303" i="4"/>
  <c r="M303" i="4"/>
  <c r="G304" i="4"/>
  <c r="H304" i="4"/>
  <c r="I304" i="4"/>
  <c r="J304" i="4"/>
  <c r="K304" i="4"/>
  <c r="L304" i="4"/>
  <c r="M304" i="4"/>
  <c r="G305" i="4"/>
  <c r="H305" i="4"/>
  <c r="I305" i="4"/>
  <c r="J305" i="4"/>
  <c r="K305" i="4"/>
  <c r="L305" i="4"/>
  <c r="M305" i="4"/>
  <c r="G306" i="4"/>
  <c r="H306" i="4"/>
  <c r="I306" i="4"/>
  <c r="J306" i="4"/>
  <c r="K306" i="4"/>
  <c r="L306" i="4"/>
  <c r="M306" i="4"/>
  <c r="G307" i="4"/>
  <c r="H307" i="4"/>
  <c r="I307" i="4"/>
  <c r="J307" i="4"/>
  <c r="K307" i="4"/>
  <c r="L307" i="4"/>
  <c r="M307" i="4"/>
  <c r="G308" i="4"/>
  <c r="H308" i="4"/>
  <c r="I308" i="4"/>
  <c r="J308" i="4"/>
  <c r="K308" i="4"/>
  <c r="L308" i="4"/>
  <c r="M308" i="4"/>
  <c r="G309" i="4"/>
  <c r="H309" i="4"/>
  <c r="I309" i="4"/>
  <c r="J309" i="4"/>
  <c r="K309" i="4"/>
  <c r="L309" i="4"/>
  <c r="M309" i="4"/>
  <c r="G310" i="4"/>
  <c r="H310" i="4"/>
  <c r="I310" i="4"/>
  <c r="J310" i="4"/>
  <c r="K310" i="4"/>
  <c r="L310" i="4"/>
  <c r="M310" i="4"/>
  <c r="G311" i="4"/>
  <c r="H311" i="4"/>
  <c r="I311" i="4"/>
  <c r="J311" i="4"/>
  <c r="K311" i="4"/>
  <c r="L311" i="4"/>
  <c r="M311" i="4"/>
  <c r="G312" i="4"/>
  <c r="H312" i="4"/>
  <c r="I312" i="4"/>
  <c r="J312" i="4"/>
  <c r="K312" i="4"/>
  <c r="L312" i="4"/>
  <c r="M312" i="4"/>
  <c r="G313" i="4"/>
  <c r="H313" i="4"/>
  <c r="I313" i="4"/>
  <c r="J313" i="4"/>
  <c r="K313" i="4"/>
  <c r="L313" i="4"/>
  <c r="M313" i="4"/>
  <c r="G314" i="4"/>
  <c r="H314" i="4"/>
  <c r="I314" i="4"/>
  <c r="J314" i="4"/>
  <c r="K314" i="4"/>
  <c r="L314" i="4"/>
  <c r="M314" i="4"/>
  <c r="G315" i="4"/>
  <c r="H315" i="4"/>
  <c r="I315" i="4"/>
  <c r="J315" i="4"/>
  <c r="K315" i="4"/>
  <c r="L315" i="4"/>
  <c r="M315" i="4"/>
  <c r="G316" i="4"/>
  <c r="H316" i="4"/>
  <c r="I316" i="4"/>
  <c r="J316" i="4"/>
  <c r="K316" i="4"/>
  <c r="L316" i="4"/>
  <c r="M316" i="4"/>
  <c r="G317" i="4"/>
  <c r="H317" i="4"/>
  <c r="I317" i="4"/>
  <c r="J317" i="4"/>
  <c r="K317" i="4"/>
  <c r="L317" i="4"/>
  <c r="M317" i="4"/>
  <c r="G318" i="4"/>
  <c r="H318" i="4"/>
  <c r="I318" i="4"/>
  <c r="J318" i="4"/>
  <c r="K318" i="4"/>
  <c r="L318" i="4"/>
  <c r="M318" i="4"/>
  <c r="G319" i="4"/>
  <c r="H319" i="4"/>
  <c r="I319" i="4"/>
  <c r="J319" i="4"/>
  <c r="K319" i="4"/>
  <c r="L319" i="4"/>
  <c r="M319" i="4"/>
  <c r="G320" i="4"/>
  <c r="H320" i="4"/>
  <c r="I320" i="4"/>
  <c r="J320" i="4"/>
  <c r="K320" i="4"/>
  <c r="L320" i="4"/>
  <c r="M320" i="4"/>
  <c r="G321" i="4"/>
  <c r="H321" i="4"/>
  <c r="I321" i="4"/>
  <c r="J321" i="4"/>
  <c r="K321" i="4"/>
  <c r="L321" i="4"/>
  <c r="M321" i="4"/>
  <c r="G322" i="4"/>
  <c r="H322" i="4"/>
  <c r="I322" i="4"/>
  <c r="J322" i="4"/>
  <c r="K322" i="4"/>
  <c r="L322" i="4"/>
  <c r="M322" i="4"/>
  <c r="G323" i="4"/>
  <c r="H323" i="4"/>
  <c r="I323" i="4"/>
  <c r="J323" i="4"/>
  <c r="K323" i="4"/>
  <c r="L323" i="4"/>
  <c r="M323" i="4"/>
  <c r="G324" i="4"/>
  <c r="H324" i="4"/>
  <c r="I324" i="4"/>
  <c r="J324" i="4"/>
  <c r="K324" i="4"/>
  <c r="L324" i="4"/>
  <c r="M324" i="4"/>
  <c r="G325" i="4"/>
  <c r="H325" i="4"/>
  <c r="I325" i="4"/>
  <c r="J325" i="4"/>
  <c r="K325" i="4"/>
  <c r="L325" i="4"/>
  <c r="M325" i="4"/>
  <c r="G326" i="4"/>
  <c r="H326" i="4"/>
  <c r="I326" i="4"/>
  <c r="J326" i="4"/>
  <c r="K326" i="4"/>
  <c r="L326" i="4"/>
  <c r="M326" i="4"/>
  <c r="G327" i="4"/>
  <c r="H327" i="4"/>
  <c r="I327" i="4"/>
  <c r="J327" i="4"/>
  <c r="K327" i="4"/>
  <c r="L327" i="4"/>
  <c r="M327" i="4"/>
  <c r="G328" i="4"/>
  <c r="H328" i="4"/>
  <c r="I328" i="4"/>
  <c r="J328" i="4"/>
  <c r="K328" i="4"/>
  <c r="L328" i="4"/>
  <c r="M328" i="4"/>
  <c r="G329" i="4"/>
  <c r="H329" i="4"/>
  <c r="I329" i="4"/>
  <c r="J329" i="4"/>
  <c r="K329" i="4"/>
  <c r="L329" i="4"/>
  <c r="M329" i="4"/>
  <c r="G330" i="4"/>
  <c r="H330" i="4"/>
  <c r="I330" i="4"/>
  <c r="J330" i="4"/>
  <c r="K330" i="4"/>
  <c r="L330" i="4"/>
  <c r="M330" i="4"/>
  <c r="G331" i="4"/>
  <c r="H331" i="4"/>
  <c r="I331" i="4"/>
  <c r="J331" i="4"/>
  <c r="K331" i="4"/>
  <c r="L331" i="4"/>
  <c r="M331" i="4"/>
  <c r="G332" i="4"/>
  <c r="H332" i="4"/>
  <c r="I332" i="4"/>
  <c r="J332" i="4"/>
  <c r="K332" i="4"/>
  <c r="L332" i="4"/>
  <c r="M332" i="4"/>
  <c r="G333" i="4"/>
  <c r="H333" i="4"/>
  <c r="I333" i="4"/>
  <c r="J333" i="4"/>
  <c r="K333" i="4"/>
  <c r="L333" i="4"/>
  <c r="M333" i="4"/>
  <c r="G334" i="4"/>
  <c r="H334" i="4"/>
  <c r="I334" i="4"/>
  <c r="J334" i="4"/>
  <c r="K334" i="4"/>
  <c r="L334" i="4"/>
  <c r="M334" i="4"/>
  <c r="G335" i="4"/>
  <c r="H335" i="4"/>
  <c r="I335" i="4"/>
  <c r="J335" i="4"/>
  <c r="K335" i="4"/>
  <c r="L335" i="4"/>
  <c r="M335" i="4"/>
  <c r="G336" i="4"/>
  <c r="H336" i="4"/>
  <c r="I336" i="4"/>
  <c r="J336" i="4"/>
  <c r="K336" i="4"/>
  <c r="L336" i="4"/>
  <c r="M336" i="4"/>
  <c r="G337" i="4"/>
  <c r="H337" i="4"/>
  <c r="I337" i="4"/>
  <c r="J337" i="4"/>
  <c r="K337" i="4"/>
  <c r="L337" i="4"/>
  <c r="M337" i="4"/>
  <c r="G338" i="4"/>
  <c r="H338" i="4"/>
  <c r="I338" i="4"/>
  <c r="J338" i="4"/>
  <c r="K338" i="4"/>
  <c r="L338" i="4"/>
  <c r="M338" i="4"/>
  <c r="G339" i="4"/>
  <c r="H339" i="4"/>
  <c r="I339" i="4"/>
  <c r="J339" i="4"/>
  <c r="K339" i="4"/>
  <c r="L339" i="4"/>
  <c r="M339" i="4"/>
  <c r="G340" i="4"/>
  <c r="H340" i="4"/>
  <c r="I340" i="4"/>
  <c r="J340" i="4"/>
  <c r="K340" i="4"/>
  <c r="L340" i="4"/>
  <c r="M340" i="4"/>
  <c r="G341" i="4"/>
  <c r="H341" i="4"/>
  <c r="I341" i="4"/>
  <c r="J341" i="4"/>
  <c r="K341" i="4"/>
  <c r="L341" i="4"/>
  <c r="M341" i="4"/>
  <c r="G342" i="4"/>
  <c r="H342" i="4"/>
  <c r="I342" i="4"/>
  <c r="J342" i="4"/>
  <c r="K342" i="4"/>
  <c r="L342" i="4"/>
  <c r="M342" i="4"/>
  <c r="G343" i="4"/>
  <c r="H343" i="4"/>
  <c r="I343" i="4"/>
  <c r="J343" i="4"/>
  <c r="K343" i="4"/>
  <c r="L343" i="4"/>
  <c r="M343" i="4"/>
  <c r="G344" i="4"/>
  <c r="H344" i="4"/>
  <c r="I344" i="4"/>
  <c r="J344" i="4"/>
  <c r="K344" i="4"/>
  <c r="L344" i="4"/>
  <c r="M344" i="4"/>
  <c r="G345" i="4"/>
  <c r="H345" i="4"/>
  <c r="I345" i="4"/>
  <c r="J345" i="4"/>
  <c r="K345" i="4"/>
  <c r="L345" i="4"/>
  <c r="M345" i="4"/>
  <c r="G346" i="4"/>
  <c r="H346" i="4"/>
  <c r="I346" i="4"/>
  <c r="J346" i="4"/>
  <c r="K346" i="4"/>
  <c r="L346" i="4"/>
  <c r="M346" i="4"/>
  <c r="G347" i="4"/>
  <c r="H347" i="4"/>
  <c r="I347" i="4"/>
  <c r="J347" i="4"/>
  <c r="K347" i="4"/>
  <c r="L347" i="4"/>
  <c r="M347" i="4"/>
  <c r="G348" i="4"/>
  <c r="H348" i="4"/>
  <c r="I348" i="4"/>
  <c r="J348" i="4"/>
  <c r="K348" i="4"/>
  <c r="L348" i="4"/>
  <c r="M348" i="4"/>
  <c r="G349" i="4"/>
  <c r="H349" i="4"/>
  <c r="I349" i="4"/>
  <c r="J349" i="4"/>
  <c r="K349" i="4"/>
  <c r="L349" i="4"/>
  <c r="M349" i="4"/>
  <c r="G350" i="4"/>
  <c r="H350" i="4"/>
  <c r="I350" i="4"/>
  <c r="J350" i="4"/>
  <c r="K350" i="4"/>
  <c r="L350" i="4"/>
  <c r="M350" i="4"/>
  <c r="G351" i="4"/>
  <c r="H351" i="4"/>
  <c r="I351" i="4"/>
  <c r="J351" i="4"/>
  <c r="K351" i="4"/>
  <c r="L351" i="4"/>
  <c r="M351" i="4"/>
  <c r="G352" i="4"/>
  <c r="H352" i="4"/>
  <c r="I352" i="4"/>
  <c r="J352" i="4"/>
  <c r="K352" i="4"/>
  <c r="L352" i="4"/>
  <c r="M352" i="4"/>
  <c r="G353" i="4"/>
  <c r="H353" i="4"/>
  <c r="I353" i="4"/>
  <c r="J353" i="4"/>
  <c r="K353" i="4"/>
  <c r="L353" i="4"/>
  <c r="M353" i="4"/>
  <c r="G354" i="4"/>
  <c r="H354" i="4"/>
  <c r="I354" i="4"/>
  <c r="J354" i="4"/>
  <c r="K354" i="4"/>
  <c r="L354" i="4"/>
  <c r="M354" i="4"/>
  <c r="G355" i="4"/>
  <c r="H355" i="4"/>
  <c r="I355" i="4"/>
  <c r="J355" i="4"/>
  <c r="K355" i="4"/>
  <c r="L355" i="4"/>
  <c r="M355" i="4"/>
  <c r="G356" i="4"/>
  <c r="H356" i="4"/>
  <c r="I356" i="4"/>
  <c r="J356" i="4"/>
  <c r="K356" i="4"/>
  <c r="L356" i="4"/>
  <c r="M356" i="4"/>
  <c r="G357" i="4"/>
  <c r="H357" i="4"/>
  <c r="I357" i="4"/>
  <c r="J357" i="4"/>
  <c r="K357" i="4"/>
  <c r="L357" i="4"/>
  <c r="M357" i="4"/>
  <c r="G358" i="4"/>
  <c r="H358" i="4"/>
  <c r="I358" i="4"/>
  <c r="J358" i="4"/>
  <c r="K358" i="4"/>
  <c r="L358" i="4"/>
  <c r="M358" i="4"/>
  <c r="G359" i="4"/>
  <c r="H359" i="4"/>
  <c r="I359" i="4"/>
  <c r="J359" i="4"/>
  <c r="K359" i="4"/>
  <c r="L359" i="4"/>
  <c r="M359" i="4"/>
  <c r="G360" i="4"/>
  <c r="H360" i="4"/>
  <c r="I360" i="4"/>
  <c r="J360" i="4"/>
  <c r="K360" i="4"/>
  <c r="L360" i="4"/>
  <c r="M360" i="4"/>
  <c r="G361" i="4"/>
  <c r="H361" i="4"/>
  <c r="I361" i="4"/>
  <c r="J361" i="4"/>
  <c r="K361" i="4"/>
  <c r="L361" i="4"/>
  <c r="M361" i="4"/>
  <c r="G362" i="4"/>
  <c r="H362" i="4"/>
  <c r="I362" i="4"/>
  <c r="J362" i="4"/>
  <c r="K362" i="4"/>
  <c r="L362" i="4"/>
  <c r="M362" i="4"/>
  <c r="G363" i="4"/>
  <c r="H363" i="4"/>
  <c r="I363" i="4"/>
  <c r="J363" i="4"/>
  <c r="K363" i="4"/>
  <c r="L363" i="4"/>
  <c r="M363" i="4"/>
  <c r="G364" i="4"/>
  <c r="H364" i="4"/>
  <c r="I364" i="4"/>
  <c r="J364" i="4"/>
  <c r="K364" i="4"/>
  <c r="L364" i="4"/>
  <c r="M364" i="4"/>
  <c r="G365" i="4"/>
  <c r="H365" i="4"/>
  <c r="I365" i="4"/>
  <c r="J365" i="4"/>
  <c r="K365" i="4"/>
  <c r="L365" i="4"/>
  <c r="M365" i="4"/>
  <c r="G366" i="4"/>
  <c r="H366" i="4"/>
  <c r="I366" i="4"/>
  <c r="J366" i="4"/>
  <c r="K366" i="4"/>
  <c r="L366" i="4"/>
  <c r="M366" i="4"/>
  <c r="G367" i="4"/>
  <c r="H367" i="4"/>
  <c r="I367" i="4"/>
  <c r="J367" i="4"/>
  <c r="K367" i="4"/>
  <c r="L367" i="4"/>
  <c r="M367" i="4"/>
  <c r="G368" i="4"/>
  <c r="H368" i="4"/>
  <c r="I368" i="4"/>
  <c r="J368" i="4"/>
  <c r="K368" i="4"/>
  <c r="L368" i="4"/>
  <c r="M368" i="4"/>
  <c r="G369" i="4"/>
  <c r="H369" i="4"/>
  <c r="I369" i="4"/>
  <c r="J369" i="4"/>
  <c r="K369" i="4"/>
  <c r="L369" i="4"/>
  <c r="M369" i="4"/>
  <c r="G370" i="4"/>
  <c r="H370" i="4"/>
  <c r="I370" i="4"/>
  <c r="J370" i="4"/>
  <c r="K370" i="4"/>
  <c r="L370" i="4"/>
  <c r="M370" i="4"/>
  <c r="G371" i="4"/>
  <c r="H371" i="4"/>
  <c r="I371" i="4"/>
  <c r="J371" i="4"/>
  <c r="K371" i="4"/>
  <c r="L371" i="4"/>
  <c r="M371" i="4"/>
  <c r="G372" i="4"/>
  <c r="H372" i="4"/>
  <c r="I372" i="4"/>
  <c r="J372" i="4"/>
  <c r="K372" i="4"/>
  <c r="L372" i="4"/>
  <c r="M372" i="4"/>
  <c r="G373" i="4"/>
  <c r="H373" i="4"/>
  <c r="I373" i="4"/>
  <c r="J373" i="4"/>
  <c r="K373" i="4"/>
  <c r="L373" i="4"/>
  <c r="M373" i="4"/>
  <c r="G374" i="4"/>
  <c r="H374" i="4"/>
  <c r="I374" i="4"/>
  <c r="J374" i="4"/>
  <c r="K374" i="4"/>
  <c r="L374" i="4"/>
  <c r="M374" i="4"/>
  <c r="G375" i="4"/>
  <c r="H375" i="4"/>
  <c r="I375" i="4"/>
  <c r="J375" i="4"/>
  <c r="K375" i="4"/>
  <c r="L375" i="4"/>
  <c r="M375" i="4"/>
  <c r="G376" i="4"/>
  <c r="H376" i="4"/>
  <c r="I376" i="4"/>
  <c r="J376" i="4"/>
  <c r="K376" i="4"/>
  <c r="L376" i="4"/>
  <c r="M376" i="4"/>
  <c r="G377" i="4"/>
  <c r="H377" i="4"/>
  <c r="I377" i="4"/>
  <c r="J377" i="4"/>
  <c r="K377" i="4"/>
  <c r="L377" i="4"/>
  <c r="M377" i="4"/>
  <c r="G378" i="4"/>
  <c r="H378" i="4"/>
  <c r="I378" i="4"/>
  <c r="J378" i="4"/>
  <c r="K378" i="4"/>
  <c r="L378" i="4"/>
  <c r="M378" i="4"/>
  <c r="G379" i="4"/>
  <c r="H379" i="4"/>
  <c r="I379" i="4"/>
  <c r="J379" i="4"/>
  <c r="K379" i="4"/>
  <c r="L379" i="4"/>
  <c r="M379" i="4"/>
  <c r="G380" i="4"/>
  <c r="H380" i="4"/>
  <c r="I380" i="4"/>
  <c r="J380" i="4"/>
  <c r="K380" i="4"/>
  <c r="L380" i="4"/>
  <c r="M380" i="4"/>
  <c r="G381" i="4"/>
  <c r="H381" i="4"/>
  <c r="I381" i="4"/>
  <c r="J381" i="4"/>
  <c r="K381" i="4"/>
  <c r="L381" i="4"/>
  <c r="M381" i="4"/>
  <c r="G382" i="4"/>
  <c r="H382" i="4"/>
  <c r="I382" i="4"/>
  <c r="J382" i="4"/>
  <c r="K382" i="4"/>
  <c r="L382" i="4"/>
  <c r="M382" i="4"/>
  <c r="G383" i="4"/>
  <c r="H383" i="4"/>
  <c r="I383" i="4"/>
  <c r="J383" i="4"/>
  <c r="K383" i="4"/>
  <c r="L383" i="4"/>
  <c r="M383" i="4"/>
  <c r="G384" i="4"/>
  <c r="H384" i="4"/>
  <c r="I384" i="4"/>
  <c r="J384" i="4"/>
  <c r="K384" i="4"/>
  <c r="L384" i="4"/>
  <c r="M384" i="4"/>
  <c r="G385" i="4"/>
  <c r="H385" i="4"/>
  <c r="I385" i="4"/>
  <c r="J385" i="4"/>
  <c r="K385" i="4"/>
  <c r="L385" i="4"/>
  <c r="M385" i="4"/>
  <c r="G386" i="4"/>
  <c r="H386" i="4"/>
  <c r="I386" i="4"/>
  <c r="J386" i="4"/>
  <c r="K386" i="4"/>
  <c r="L386" i="4"/>
  <c r="M386" i="4"/>
  <c r="G387" i="4"/>
  <c r="H387" i="4"/>
  <c r="I387" i="4"/>
  <c r="J387" i="4"/>
  <c r="K387" i="4"/>
  <c r="L387" i="4"/>
  <c r="M387" i="4"/>
  <c r="G388" i="4"/>
  <c r="H388" i="4"/>
  <c r="I388" i="4"/>
  <c r="J388" i="4"/>
  <c r="K388" i="4"/>
  <c r="L388" i="4"/>
  <c r="M388" i="4"/>
  <c r="G389" i="4"/>
  <c r="H389" i="4"/>
  <c r="I389" i="4"/>
  <c r="J389" i="4"/>
  <c r="K389" i="4"/>
  <c r="L389" i="4"/>
  <c r="M389" i="4"/>
  <c r="G390" i="4"/>
  <c r="H390" i="4"/>
  <c r="I390" i="4"/>
  <c r="J390" i="4"/>
  <c r="K390" i="4"/>
  <c r="L390" i="4"/>
  <c r="M390" i="4"/>
  <c r="G391" i="4"/>
  <c r="H391" i="4"/>
  <c r="I391" i="4"/>
  <c r="J391" i="4"/>
  <c r="K391" i="4"/>
  <c r="L391" i="4"/>
  <c r="M391" i="4"/>
  <c r="G392" i="4"/>
  <c r="H392" i="4"/>
  <c r="I392" i="4"/>
  <c r="J392" i="4"/>
  <c r="K392" i="4"/>
  <c r="L392" i="4"/>
  <c r="M392" i="4"/>
  <c r="G393" i="4"/>
  <c r="H393" i="4"/>
  <c r="I393" i="4"/>
  <c r="J393" i="4"/>
  <c r="K393" i="4"/>
  <c r="L393" i="4"/>
  <c r="M393" i="4"/>
  <c r="G394" i="4"/>
  <c r="H394" i="4"/>
  <c r="I394" i="4"/>
  <c r="J394" i="4"/>
  <c r="K394" i="4"/>
  <c r="L394" i="4"/>
  <c r="M394" i="4"/>
  <c r="G395" i="4"/>
  <c r="H395" i="4"/>
  <c r="I395" i="4"/>
  <c r="J395" i="4"/>
  <c r="K395" i="4"/>
  <c r="L395" i="4"/>
  <c r="M395" i="4"/>
  <c r="G396" i="4"/>
  <c r="H396" i="4"/>
  <c r="I396" i="4"/>
  <c r="J396" i="4"/>
  <c r="K396" i="4"/>
  <c r="L396" i="4"/>
  <c r="M396" i="4"/>
  <c r="G397" i="4"/>
  <c r="H397" i="4"/>
  <c r="I397" i="4"/>
  <c r="J397" i="4"/>
  <c r="K397" i="4"/>
  <c r="L397" i="4"/>
  <c r="M397" i="4"/>
  <c r="G398" i="4"/>
  <c r="H398" i="4"/>
  <c r="I398" i="4"/>
  <c r="J398" i="4"/>
  <c r="K398" i="4"/>
  <c r="L398" i="4"/>
  <c r="M398" i="4"/>
  <c r="G399" i="4"/>
  <c r="H399" i="4"/>
  <c r="I399" i="4"/>
  <c r="J399" i="4"/>
  <c r="K399" i="4"/>
  <c r="L399" i="4"/>
  <c r="M399" i="4"/>
  <c r="G400" i="4"/>
  <c r="H400" i="4"/>
  <c r="I400" i="4"/>
  <c r="J400" i="4"/>
  <c r="K400" i="4"/>
  <c r="L400" i="4"/>
  <c r="M400" i="4"/>
  <c r="G401" i="4"/>
  <c r="H401" i="4"/>
  <c r="I401" i="4"/>
  <c r="J401" i="4"/>
  <c r="K401" i="4"/>
  <c r="L401" i="4"/>
  <c r="M401" i="4"/>
  <c r="G402" i="4"/>
  <c r="H402" i="4"/>
  <c r="I402" i="4"/>
  <c r="J402" i="4"/>
  <c r="K402" i="4"/>
  <c r="L402" i="4"/>
  <c r="M402" i="4"/>
  <c r="G403" i="4"/>
  <c r="H403" i="4"/>
  <c r="I403" i="4"/>
  <c r="J403" i="4"/>
  <c r="K403" i="4"/>
  <c r="L403" i="4"/>
  <c r="M403" i="4"/>
  <c r="G404" i="4"/>
  <c r="H404" i="4"/>
  <c r="I404" i="4"/>
  <c r="J404" i="4"/>
  <c r="K404" i="4"/>
  <c r="L404" i="4"/>
  <c r="M404" i="4"/>
  <c r="G405" i="4"/>
  <c r="H405" i="4"/>
  <c r="I405" i="4"/>
  <c r="J405" i="4"/>
  <c r="K405" i="4"/>
  <c r="L405" i="4"/>
  <c r="M405" i="4"/>
  <c r="G406" i="4"/>
  <c r="H406" i="4"/>
  <c r="I406" i="4"/>
  <c r="J406" i="4"/>
  <c r="K406" i="4"/>
  <c r="L406" i="4"/>
  <c r="M406" i="4"/>
  <c r="G407" i="4"/>
  <c r="H407" i="4"/>
  <c r="I407" i="4"/>
  <c r="J407" i="4"/>
  <c r="K407" i="4"/>
  <c r="L407" i="4"/>
  <c r="M407" i="4"/>
  <c r="G408" i="4"/>
  <c r="H408" i="4"/>
  <c r="I408" i="4"/>
  <c r="J408" i="4"/>
  <c r="K408" i="4"/>
  <c r="L408" i="4"/>
  <c r="M408" i="4"/>
  <c r="G409" i="4"/>
  <c r="H409" i="4"/>
  <c r="I409" i="4"/>
  <c r="J409" i="4"/>
  <c r="K409" i="4"/>
  <c r="L409" i="4"/>
  <c r="M409" i="4"/>
  <c r="G410" i="4"/>
  <c r="H410" i="4"/>
  <c r="I410" i="4"/>
  <c r="J410" i="4"/>
  <c r="K410" i="4"/>
  <c r="L410" i="4"/>
  <c r="M410" i="4"/>
  <c r="G411" i="4"/>
  <c r="H411" i="4"/>
  <c r="I411" i="4"/>
  <c r="J411" i="4"/>
  <c r="K411" i="4"/>
  <c r="L411" i="4"/>
  <c r="M411" i="4"/>
  <c r="G412" i="4"/>
  <c r="H412" i="4"/>
  <c r="I412" i="4"/>
  <c r="J412" i="4"/>
  <c r="K412" i="4"/>
  <c r="L412" i="4"/>
  <c r="M412" i="4"/>
  <c r="G413" i="4"/>
  <c r="H413" i="4"/>
  <c r="I413" i="4"/>
  <c r="J413" i="4"/>
  <c r="K413" i="4"/>
  <c r="L413" i="4"/>
  <c r="M413" i="4"/>
  <c r="G414" i="4"/>
  <c r="H414" i="4"/>
  <c r="I414" i="4"/>
  <c r="J414" i="4"/>
  <c r="K414" i="4"/>
  <c r="L414" i="4"/>
  <c r="M414" i="4"/>
  <c r="G415" i="4"/>
  <c r="H415" i="4"/>
  <c r="I415" i="4"/>
  <c r="J415" i="4"/>
  <c r="K415" i="4"/>
  <c r="L415" i="4"/>
  <c r="M415" i="4"/>
  <c r="G416" i="4"/>
  <c r="H416" i="4"/>
  <c r="I416" i="4"/>
  <c r="J416" i="4"/>
  <c r="K416" i="4"/>
  <c r="L416" i="4"/>
  <c r="M416" i="4"/>
  <c r="G417" i="4"/>
  <c r="H417" i="4"/>
  <c r="I417" i="4"/>
  <c r="J417" i="4"/>
  <c r="K417" i="4"/>
  <c r="L417" i="4"/>
  <c r="M417" i="4"/>
  <c r="G418" i="4"/>
  <c r="H418" i="4"/>
  <c r="I418" i="4"/>
  <c r="J418" i="4"/>
  <c r="K418" i="4"/>
  <c r="L418" i="4"/>
  <c r="M418" i="4"/>
  <c r="G419" i="4"/>
  <c r="H419" i="4"/>
  <c r="I419" i="4"/>
  <c r="J419" i="4"/>
  <c r="K419" i="4"/>
  <c r="L419" i="4"/>
  <c r="M419" i="4"/>
  <c r="G420" i="4"/>
  <c r="H420" i="4"/>
  <c r="I420" i="4"/>
  <c r="J420" i="4"/>
  <c r="K420" i="4"/>
  <c r="L420" i="4"/>
  <c r="M420" i="4"/>
  <c r="G421" i="4"/>
  <c r="H421" i="4"/>
  <c r="I421" i="4"/>
  <c r="J421" i="4"/>
  <c r="K421" i="4"/>
  <c r="L421" i="4"/>
  <c r="M421" i="4"/>
  <c r="G422" i="4"/>
  <c r="H422" i="4"/>
  <c r="I422" i="4"/>
  <c r="J422" i="4"/>
  <c r="K422" i="4"/>
  <c r="L422" i="4"/>
  <c r="M422" i="4"/>
  <c r="G423" i="4"/>
  <c r="H423" i="4"/>
  <c r="I423" i="4"/>
  <c r="J423" i="4"/>
  <c r="K423" i="4"/>
  <c r="L423" i="4"/>
  <c r="M423" i="4"/>
  <c r="G424" i="4"/>
  <c r="H424" i="4"/>
  <c r="I424" i="4"/>
  <c r="J424" i="4"/>
  <c r="K424" i="4"/>
  <c r="L424" i="4"/>
  <c r="M424" i="4"/>
  <c r="G425" i="4"/>
  <c r="H425" i="4"/>
  <c r="I425" i="4"/>
  <c r="J425" i="4"/>
  <c r="K425" i="4"/>
  <c r="L425" i="4"/>
  <c r="M425" i="4"/>
  <c r="G426" i="4"/>
  <c r="H426" i="4"/>
  <c r="I426" i="4"/>
  <c r="J426" i="4"/>
  <c r="K426" i="4"/>
  <c r="L426" i="4"/>
  <c r="M426" i="4"/>
  <c r="G427" i="4"/>
  <c r="H427" i="4"/>
  <c r="I427" i="4"/>
  <c r="J427" i="4"/>
  <c r="K427" i="4"/>
  <c r="L427" i="4"/>
  <c r="M427" i="4"/>
  <c r="G428" i="4"/>
  <c r="H428" i="4"/>
  <c r="I428" i="4"/>
  <c r="J428" i="4"/>
  <c r="K428" i="4"/>
  <c r="L428" i="4"/>
  <c r="M428" i="4"/>
  <c r="G429" i="4"/>
  <c r="H429" i="4"/>
  <c r="I429" i="4"/>
  <c r="J429" i="4"/>
  <c r="K429" i="4"/>
  <c r="L429" i="4"/>
  <c r="M429" i="4"/>
  <c r="G430" i="4"/>
  <c r="H430" i="4"/>
  <c r="I430" i="4"/>
  <c r="J430" i="4"/>
  <c r="K430" i="4"/>
  <c r="L430" i="4"/>
  <c r="M430" i="4"/>
  <c r="G431" i="4"/>
  <c r="H431" i="4"/>
  <c r="I431" i="4"/>
  <c r="J431" i="4"/>
  <c r="K431" i="4"/>
  <c r="L431" i="4"/>
  <c r="M431" i="4"/>
  <c r="G432" i="4"/>
  <c r="H432" i="4"/>
  <c r="I432" i="4"/>
  <c r="J432" i="4"/>
  <c r="K432" i="4"/>
  <c r="L432" i="4"/>
  <c r="M432" i="4"/>
  <c r="G433" i="4"/>
  <c r="H433" i="4"/>
  <c r="I433" i="4"/>
  <c r="J433" i="4"/>
  <c r="K433" i="4"/>
  <c r="L433" i="4"/>
  <c r="M433" i="4"/>
  <c r="G434" i="4"/>
  <c r="H434" i="4"/>
  <c r="I434" i="4"/>
  <c r="J434" i="4"/>
  <c r="K434" i="4"/>
  <c r="L434" i="4"/>
  <c r="M434" i="4"/>
  <c r="G435" i="4"/>
  <c r="H435" i="4"/>
  <c r="I435" i="4"/>
  <c r="J435" i="4"/>
  <c r="K435" i="4"/>
  <c r="L435" i="4"/>
  <c r="M435" i="4"/>
  <c r="G436" i="4"/>
  <c r="H436" i="4"/>
  <c r="I436" i="4"/>
  <c r="J436" i="4"/>
  <c r="K436" i="4"/>
  <c r="L436" i="4"/>
  <c r="M436" i="4"/>
  <c r="G437" i="4"/>
  <c r="H437" i="4"/>
  <c r="I437" i="4"/>
  <c r="J437" i="4"/>
  <c r="K437" i="4"/>
  <c r="L437" i="4"/>
  <c r="M437" i="4"/>
  <c r="G438" i="4"/>
  <c r="H438" i="4"/>
  <c r="I438" i="4"/>
  <c r="J438" i="4"/>
  <c r="K438" i="4"/>
  <c r="L438" i="4"/>
  <c r="M438" i="4"/>
  <c r="G439" i="4"/>
  <c r="H439" i="4"/>
  <c r="I439" i="4"/>
  <c r="J439" i="4"/>
  <c r="K439" i="4"/>
  <c r="L439" i="4"/>
  <c r="M439" i="4"/>
  <c r="G440" i="4"/>
  <c r="H440" i="4"/>
  <c r="I440" i="4"/>
  <c r="J440" i="4"/>
  <c r="K440" i="4"/>
  <c r="L440" i="4"/>
  <c r="M440" i="4"/>
  <c r="G441" i="4"/>
  <c r="H441" i="4"/>
  <c r="I441" i="4"/>
  <c r="J441" i="4"/>
  <c r="K441" i="4"/>
  <c r="L441" i="4"/>
  <c r="M441" i="4"/>
  <c r="G442" i="4"/>
  <c r="H442" i="4"/>
  <c r="I442" i="4"/>
  <c r="J442" i="4"/>
  <c r="K442" i="4"/>
  <c r="L442" i="4"/>
  <c r="M442" i="4"/>
  <c r="G443" i="4"/>
  <c r="H443" i="4"/>
  <c r="I443" i="4"/>
  <c r="J443" i="4"/>
  <c r="K443" i="4"/>
  <c r="L443" i="4"/>
  <c r="M443" i="4"/>
  <c r="G444" i="4"/>
  <c r="H444" i="4"/>
  <c r="I444" i="4"/>
  <c r="J444" i="4"/>
  <c r="K444" i="4"/>
  <c r="L444" i="4"/>
  <c r="M444" i="4"/>
  <c r="G445" i="4"/>
  <c r="H445" i="4"/>
  <c r="I445" i="4"/>
  <c r="J445" i="4"/>
  <c r="K445" i="4"/>
  <c r="L445" i="4"/>
  <c r="M445" i="4"/>
  <c r="G446" i="4"/>
  <c r="H446" i="4"/>
  <c r="I446" i="4"/>
  <c r="J446" i="4"/>
  <c r="K446" i="4"/>
  <c r="L446" i="4"/>
  <c r="M446" i="4"/>
  <c r="G447" i="4"/>
  <c r="H447" i="4"/>
  <c r="I447" i="4"/>
  <c r="J447" i="4"/>
  <c r="K447" i="4"/>
  <c r="L447" i="4"/>
  <c r="M447" i="4"/>
  <c r="G448" i="4"/>
  <c r="H448" i="4"/>
  <c r="I448" i="4"/>
  <c r="J448" i="4"/>
  <c r="K448" i="4"/>
  <c r="L448" i="4"/>
  <c r="M448" i="4"/>
  <c r="G449" i="4"/>
  <c r="H449" i="4"/>
  <c r="I449" i="4"/>
  <c r="J449" i="4"/>
  <c r="K449" i="4"/>
  <c r="L449" i="4"/>
  <c r="M449" i="4"/>
  <c r="G450" i="4"/>
  <c r="H450" i="4"/>
  <c r="I450" i="4"/>
  <c r="J450" i="4"/>
  <c r="K450" i="4"/>
  <c r="L450" i="4"/>
  <c r="M450" i="4"/>
  <c r="G451" i="4"/>
  <c r="H451" i="4"/>
  <c r="I451" i="4"/>
  <c r="J451" i="4"/>
  <c r="K451" i="4"/>
  <c r="L451" i="4"/>
  <c r="M451" i="4"/>
  <c r="G452" i="4"/>
  <c r="H452" i="4"/>
  <c r="I452" i="4"/>
  <c r="J452" i="4"/>
  <c r="K452" i="4"/>
  <c r="L452" i="4"/>
  <c r="M452" i="4"/>
  <c r="G453" i="4"/>
  <c r="H453" i="4"/>
  <c r="I453" i="4"/>
  <c r="J453" i="4"/>
  <c r="K453" i="4"/>
  <c r="L453" i="4"/>
  <c r="M453" i="4"/>
  <c r="G454" i="4"/>
  <c r="H454" i="4"/>
  <c r="I454" i="4"/>
  <c r="J454" i="4"/>
  <c r="K454" i="4"/>
  <c r="L454" i="4"/>
  <c r="M454" i="4"/>
  <c r="G455" i="4"/>
  <c r="H455" i="4"/>
  <c r="I455" i="4"/>
  <c r="J455" i="4"/>
  <c r="K455" i="4"/>
  <c r="L455" i="4"/>
  <c r="M455" i="4"/>
  <c r="G456" i="4"/>
  <c r="H456" i="4"/>
  <c r="I456" i="4"/>
  <c r="J456" i="4"/>
  <c r="K456" i="4"/>
  <c r="L456" i="4"/>
  <c r="M456" i="4"/>
  <c r="G457" i="4"/>
  <c r="H457" i="4"/>
  <c r="I457" i="4"/>
  <c r="J457" i="4"/>
  <c r="K457" i="4"/>
  <c r="L457" i="4"/>
  <c r="M457" i="4"/>
  <c r="G458" i="4"/>
  <c r="H458" i="4"/>
  <c r="I458" i="4"/>
  <c r="J458" i="4"/>
  <c r="K458" i="4"/>
  <c r="L458" i="4"/>
  <c r="M458" i="4"/>
  <c r="G459" i="4"/>
  <c r="H459" i="4"/>
  <c r="I459" i="4"/>
  <c r="J459" i="4"/>
  <c r="K459" i="4"/>
  <c r="L459" i="4"/>
  <c r="M459" i="4"/>
  <c r="G460" i="4"/>
  <c r="H460" i="4"/>
  <c r="I460" i="4"/>
  <c r="J460" i="4"/>
  <c r="K460" i="4"/>
  <c r="L460" i="4"/>
  <c r="M460" i="4"/>
  <c r="G461" i="4"/>
  <c r="H461" i="4"/>
  <c r="I461" i="4"/>
  <c r="J461" i="4"/>
  <c r="K461" i="4"/>
  <c r="L461" i="4"/>
  <c r="M461" i="4"/>
  <c r="G462" i="4"/>
  <c r="H462" i="4"/>
  <c r="I462" i="4"/>
  <c r="J462" i="4"/>
  <c r="K462" i="4"/>
  <c r="L462" i="4"/>
  <c r="M462" i="4"/>
  <c r="G463" i="4"/>
  <c r="H463" i="4"/>
  <c r="I463" i="4"/>
  <c r="J463" i="4"/>
  <c r="K463" i="4"/>
  <c r="L463" i="4"/>
  <c r="M463" i="4"/>
  <c r="G464" i="4"/>
  <c r="H464" i="4"/>
  <c r="I464" i="4"/>
  <c r="J464" i="4"/>
  <c r="K464" i="4"/>
  <c r="L464" i="4"/>
  <c r="M464" i="4"/>
  <c r="G465" i="4"/>
  <c r="H465" i="4"/>
  <c r="I465" i="4"/>
  <c r="J465" i="4"/>
  <c r="K465" i="4"/>
  <c r="L465" i="4"/>
  <c r="M465" i="4"/>
  <c r="G466" i="4"/>
  <c r="H466" i="4"/>
  <c r="I466" i="4"/>
  <c r="J466" i="4"/>
  <c r="K466" i="4"/>
  <c r="L466" i="4"/>
  <c r="M466" i="4"/>
  <c r="G467" i="4"/>
  <c r="H467" i="4"/>
  <c r="I467" i="4"/>
  <c r="J467" i="4"/>
  <c r="K467" i="4"/>
  <c r="L467" i="4"/>
  <c r="M467" i="4"/>
  <c r="G468" i="4"/>
  <c r="H468" i="4"/>
  <c r="I468" i="4"/>
  <c r="J468" i="4"/>
  <c r="K468" i="4"/>
  <c r="L468" i="4"/>
  <c r="M468" i="4"/>
  <c r="G469" i="4"/>
  <c r="H469" i="4"/>
  <c r="I469" i="4"/>
  <c r="J469" i="4"/>
  <c r="K469" i="4"/>
  <c r="L469" i="4"/>
  <c r="M469" i="4"/>
  <c r="G470" i="4"/>
  <c r="H470" i="4"/>
  <c r="I470" i="4"/>
  <c r="J470" i="4"/>
  <c r="K470" i="4"/>
  <c r="L470" i="4"/>
  <c r="M470" i="4"/>
  <c r="G471" i="4"/>
  <c r="H471" i="4"/>
  <c r="I471" i="4"/>
  <c r="J471" i="4"/>
  <c r="K471" i="4"/>
  <c r="L471" i="4"/>
  <c r="M471" i="4"/>
  <c r="G472" i="4"/>
  <c r="H472" i="4"/>
  <c r="I472" i="4"/>
  <c r="J472" i="4"/>
  <c r="K472" i="4"/>
  <c r="L472" i="4"/>
  <c r="M472" i="4"/>
  <c r="G473" i="4"/>
  <c r="H473" i="4"/>
  <c r="I473" i="4"/>
  <c r="J473" i="4"/>
  <c r="K473" i="4"/>
  <c r="L473" i="4"/>
  <c r="M473" i="4"/>
  <c r="G474" i="4"/>
  <c r="H474" i="4"/>
  <c r="I474" i="4"/>
  <c r="J474" i="4"/>
  <c r="K474" i="4"/>
  <c r="L474" i="4"/>
  <c r="M474" i="4"/>
  <c r="G475" i="4"/>
  <c r="H475" i="4"/>
  <c r="I475" i="4"/>
  <c r="J475" i="4"/>
  <c r="K475" i="4"/>
  <c r="L475" i="4"/>
  <c r="M475" i="4"/>
  <c r="G476" i="4"/>
  <c r="H476" i="4"/>
  <c r="I476" i="4"/>
  <c r="J476" i="4"/>
  <c r="K476" i="4"/>
  <c r="L476" i="4"/>
  <c r="M476" i="4"/>
  <c r="G477" i="4"/>
  <c r="H477" i="4"/>
  <c r="I477" i="4"/>
  <c r="J477" i="4"/>
  <c r="K477" i="4"/>
  <c r="L477" i="4"/>
  <c r="M477" i="4"/>
  <c r="G478" i="4"/>
  <c r="H478" i="4"/>
  <c r="I478" i="4"/>
  <c r="J478" i="4"/>
  <c r="K478" i="4"/>
  <c r="L478" i="4"/>
  <c r="M478" i="4"/>
  <c r="G479" i="4"/>
  <c r="H479" i="4"/>
  <c r="I479" i="4"/>
  <c r="J479" i="4"/>
  <c r="K479" i="4"/>
  <c r="L479" i="4"/>
  <c r="M479" i="4"/>
  <c r="G480" i="4"/>
  <c r="H480" i="4"/>
  <c r="I480" i="4"/>
  <c r="J480" i="4"/>
  <c r="K480" i="4"/>
  <c r="L480" i="4"/>
  <c r="M480" i="4"/>
  <c r="G481" i="4"/>
  <c r="H481" i="4"/>
  <c r="I481" i="4"/>
  <c r="J481" i="4"/>
  <c r="K481" i="4"/>
  <c r="L481" i="4"/>
  <c r="M481" i="4"/>
  <c r="G482" i="4"/>
  <c r="H482" i="4"/>
  <c r="I482" i="4"/>
  <c r="J482" i="4"/>
  <c r="K482" i="4"/>
  <c r="L482" i="4"/>
  <c r="M482" i="4"/>
  <c r="G483" i="4"/>
  <c r="H483" i="4"/>
  <c r="I483" i="4"/>
  <c r="J483" i="4"/>
  <c r="K483" i="4"/>
  <c r="L483" i="4"/>
  <c r="M483" i="4"/>
  <c r="G484" i="4"/>
  <c r="H484" i="4"/>
  <c r="I484" i="4"/>
  <c r="J484" i="4"/>
  <c r="K484" i="4"/>
  <c r="L484" i="4"/>
  <c r="M484" i="4"/>
  <c r="G485" i="4"/>
  <c r="H485" i="4"/>
  <c r="I485" i="4"/>
  <c r="J485" i="4"/>
  <c r="K485" i="4"/>
  <c r="L485" i="4"/>
  <c r="M485" i="4"/>
  <c r="G486" i="4"/>
  <c r="H486" i="4"/>
  <c r="I486" i="4"/>
  <c r="J486" i="4"/>
  <c r="K486" i="4"/>
  <c r="L486" i="4"/>
  <c r="M486" i="4"/>
  <c r="G487" i="4"/>
  <c r="H487" i="4"/>
  <c r="I487" i="4"/>
  <c r="J487" i="4"/>
  <c r="K487" i="4"/>
  <c r="L487" i="4"/>
  <c r="M487" i="4"/>
  <c r="G488" i="4"/>
  <c r="H488" i="4"/>
  <c r="I488" i="4"/>
  <c r="J488" i="4"/>
  <c r="K488" i="4"/>
  <c r="L488" i="4"/>
  <c r="M488" i="4"/>
  <c r="G489" i="4"/>
  <c r="H489" i="4"/>
  <c r="I489" i="4"/>
  <c r="J489" i="4"/>
  <c r="K489" i="4"/>
  <c r="L489" i="4"/>
  <c r="M489" i="4"/>
  <c r="G490" i="4"/>
  <c r="H490" i="4"/>
  <c r="I490" i="4"/>
  <c r="J490" i="4"/>
  <c r="K490" i="4"/>
  <c r="L490" i="4"/>
  <c r="M490" i="4"/>
  <c r="G491" i="4"/>
  <c r="H491" i="4"/>
  <c r="I491" i="4"/>
  <c r="J491" i="4"/>
  <c r="K491" i="4"/>
  <c r="L491" i="4"/>
  <c r="M491" i="4"/>
  <c r="G492" i="4"/>
  <c r="H492" i="4"/>
  <c r="I492" i="4"/>
  <c r="J492" i="4"/>
  <c r="K492" i="4"/>
  <c r="L492" i="4"/>
  <c r="M492" i="4"/>
  <c r="G493" i="4"/>
  <c r="H493" i="4"/>
  <c r="I493" i="4"/>
  <c r="J493" i="4"/>
  <c r="K493" i="4"/>
  <c r="L493" i="4"/>
  <c r="M493" i="4"/>
  <c r="G494" i="4"/>
  <c r="H494" i="4"/>
  <c r="I494" i="4"/>
  <c r="J494" i="4"/>
  <c r="K494" i="4"/>
  <c r="L494" i="4"/>
  <c r="M494" i="4"/>
  <c r="G495" i="4"/>
  <c r="H495" i="4"/>
  <c r="I495" i="4"/>
  <c r="J495" i="4"/>
  <c r="K495" i="4"/>
  <c r="L495" i="4"/>
  <c r="M495" i="4"/>
  <c r="G496" i="4"/>
  <c r="H496" i="4"/>
  <c r="I496" i="4"/>
  <c r="J496" i="4"/>
  <c r="K496" i="4"/>
  <c r="L496" i="4"/>
  <c r="M496" i="4"/>
  <c r="G497" i="4"/>
  <c r="H497" i="4"/>
  <c r="I497" i="4"/>
  <c r="J497" i="4"/>
  <c r="K497" i="4"/>
  <c r="L497" i="4"/>
  <c r="M497" i="4"/>
  <c r="G498" i="4"/>
  <c r="H498" i="4"/>
  <c r="I498" i="4"/>
  <c r="J498" i="4"/>
  <c r="K498" i="4"/>
  <c r="L498" i="4"/>
  <c r="M498" i="4"/>
  <c r="G499" i="4"/>
  <c r="H499" i="4"/>
  <c r="I499" i="4"/>
  <c r="J499" i="4"/>
  <c r="K499" i="4"/>
  <c r="L499" i="4"/>
  <c r="M499" i="4"/>
  <c r="G500" i="4"/>
  <c r="H500" i="4"/>
  <c r="I500" i="4"/>
  <c r="J500" i="4"/>
  <c r="K500" i="4"/>
  <c r="L500" i="4"/>
  <c r="M500" i="4"/>
  <c r="G501" i="4"/>
  <c r="H501" i="4"/>
  <c r="I501" i="4"/>
  <c r="J501" i="4"/>
  <c r="K501" i="4"/>
  <c r="L501" i="4"/>
  <c r="M501" i="4"/>
  <c r="G502" i="4"/>
  <c r="H502" i="4"/>
  <c r="I502" i="4"/>
  <c r="J502" i="4"/>
  <c r="K502" i="4"/>
  <c r="L502" i="4"/>
  <c r="M502" i="4"/>
  <c r="G503" i="4"/>
  <c r="H503" i="4"/>
  <c r="I503" i="4"/>
  <c r="J503" i="4"/>
  <c r="K503" i="4"/>
  <c r="L503" i="4"/>
  <c r="M503" i="4"/>
  <c r="G504" i="4"/>
  <c r="H504" i="4"/>
  <c r="I504" i="4"/>
  <c r="J504" i="4"/>
  <c r="K504" i="4"/>
  <c r="L504" i="4"/>
  <c r="M504" i="4"/>
  <c r="G505" i="4"/>
  <c r="H505" i="4"/>
  <c r="I505" i="4"/>
  <c r="J505" i="4"/>
  <c r="K505" i="4"/>
  <c r="L505" i="4"/>
  <c r="M505" i="4"/>
  <c r="G506" i="4"/>
  <c r="H506" i="4"/>
  <c r="I506" i="4"/>
  <c r="J506" i="4"/>
  <c r="K506" i="4"/>
  <c r="L506" i="4"/>
  <c r="M506" i="4"/>
  <c r="G507" i="4"/>
  <c r="H507" i="4"/>
  <c r="I507" i="4"/>
  <c r="J507" i="4"/>
  <c r="K507" i="4"/>
  <c r="L507" i="4"/>
  <c r="M507" i="4"/>
  <c r="G508" i="4"/>
  <c r="H508" i="4"/>
  <c r="I508" i="4"/>
  <c r="J508" i="4"/>
  <c r="K508" i="4"/>
  <c r="L508" i="4"/>
  <c r="M508" i="4"/>
  <c r="G509" i="4"/>
  <c r="H509" i="4"/>
  <c r="I509" i="4"/>
  <c r="J509" i="4"/>
  <c r="K509" i="4"/>
  <c r="L509" i="4"/>
  <c r="M509" i="4"/>
  <c r="G510" i="4"/>
  <c r="H510" i="4"/>
  <c r="I510" i="4"/>
  <c r="J510" i="4"/>
  <c r="K510" i="4"/>
  <c r="L510" i="4"/>
  <c r="M510" i="4"/>
  <c r="G511" i="4"/>
  <c r="H511" i="4"/>
  <c r="I511" i="4"/>
  <c r="J511" i="4"/>
  <c r="K511" i="4"/>
  <c r="L511" i="4"/>
  <c r="M511" i="4"/>
  <c r="G512" i="4"/>
  <c r="H512" i="4"/>
  <c r="I512" i="4"/>
  <c r="J512" i="4"/>
  <c r="K512" i="4"/>
  <c r="L512" i="4"/>
  <c r="M512" i="4"/>
  <c r="G513" i="4"/>
  <c r="H513" i="4"/>
  <c r="I513" i="4"/>
  <c r="J513" i="4"/>
  <c r="K513" i="4"/>
  <c r="L513" i="4"/>
  <c r="M513" i="4"/>
  <c r="G514" i="4"/>
  <c r="H514" i="4"/>
  <c r="I514" i="4"/>
  <c r="J514" i="4"/>
  <c r="K514" i="4"/>
  <c r="L514" i="4"/>
  <c r="M514" i="4"/>
  <c r="G515" i="4"/>
  <c r="H515" i="4"/>
  <c r="I515" i="4"/>
  <c r="J515" i="4"/>
  <c r="K515" i="4"/>
  <c r="L515" i="4"/>
  <c r="M515" i="4"/>
  <c r="G516" i="4"/>
  <c r="H516" i="4"/>
  <c r="I516" i="4"/>
  <c r="J516" i="4"/>
  <c r="K516" i="4"/>
  <c r="L516" i="4"/>
  <c r="M516" i="4"/>
  <c r="G517" i="4"/>
  <c r="H517" i="4"/>
  <c r="I517" i="4"/>
  <c r="J517" i="4"/>
  <c r="K517" i="4"/>
  <c r="L517" i="4"/>
  <c r="M517" i="4"/>
  <c r="G518" i="4"/>
  <c r="H518" i="4"/>
  <c r="I518" i="4"/>
  <c r="J518" i="4"/>
  <c r="K518" i="4"/>
  <c r="L518" i="4"/>
  <c r="M518" i="4"/>
  <c r="G519" i="4"/>
  <c r="H519" i="4"/>
  <c r="I519" i="4"/>
  <c r="J519" i="4"/>
  <c r="K519" i="4"/>
  <c r="L519" i="4"/>
  <c r="M519" i="4"/>
  <c r="G520" i="4"/>
  <c r="H520" i="4"/>
  <c r="I520" i="4"/>
  <c r="J520" i="4"/>
  <c r="K520" i="4"/>
  <c r="L520" i="4"/>
  <c r="M520" i="4"/>
  <c r="G521" i="4"/>
  <c r="H521" i="4"/>
  <c r="I521" i="4"/>
  <c r="J521" i="4"/>
  <c r="K521" i="4"/>
  <c r="L521" i="4"/>
  <c r="M521" i="4"/>
  <c r="G522" i="4"/>
  <c r="H522" i="4"/>
  <c r="I522" i="4"/>
  <c r="J522" i="4"/>
  <c r="K522" i="4"/>
  <c r="L522" i="4"/>
  <c r="M522" i="4"/>
  <c r="G523" i="4"/>
  <c r="H523" i="4"/>
  <c r="I523" i="4"/>
  <c r="J523" i="4"/>
  <c r="K523" i="4"/>
  <c r="L523" i="4"/>
  <c r="M523" i="4"/>
  <c r="G524" i="4"/>
  <c r="H524" i="4"/>
  <c r="I524" i="4"/>
  <c r="J524" i="4"/>
  <c r="K524" i="4"/>
  <c r="L524" i="4"/>
  <c r="M524" i="4"/>
  <c r="G525" i="4"/>
  <c r="H525" i="4"/>
  <c r="I525" i="4"/>
  <c r="J525" i="4"/>
  <c r="K525" i="4"/>
  <c r="L525" i="4"/>
  <c r="M525" i="4"/>
  <c r="G526" i="4"/>
  <c r="H526" i="4"/>
  <c r="I526" i="4"/>
  <c r="J526" i="4"/>
  <c r="K526" i="4"/>
  <c r="L526" i="4"/>
  <c r="M526" i="4"/>
  <c r="G527" i="4"/>
  <c r="H527" i="4"/>
  <c r="I527" i="4"/>
  <c r="J527" i="4"/>
  <c r="K527" i="4"/>
  <c r="L527" i="4"/>
  <c r="M527" i="4"/>
  <c r="G528" i="4"/>
  <c r="H528" i="4"/>
  <c r="I528" i="4"/>
  <c r="J528" i="4"/>
  <c r="K528" i="4"/>
  <c r="L528" i="4"/>
  <c r="M528" i="4"/>
  <c r="G529" i="4"/>
  <c r="H529" i="4"/>
  <c r="I529" i="4"/>
  <c r="J529" i="4"/>
  <c r="K529" i="4"/>
  <c r="L529" i="4"/>
  <c r="M529" i="4"/>
  <c r="G530" i="4"/>
  <c r="H530" i="4"/>
  <c r="I530" i="4"/>
  <c r="J530" i="4"/>
  <c r="K530" i="4"/>
  <c r="L530" i="4"/>
  <c r="M530" i="4"/>
  <c r="G531" i="4"/>
  <c r="H531" i="4"/>
  <c r="I531" i="4"/>
  <c r="J531" i="4"/>
  <c r="K531" i="4"/>
  <c r="L531" i="4"/>
  <c r="M531" i="4"/>
  <c r="G532" i="4"/>
  <c r="H532" i="4"/>
  <c r="I532" i="4"/>
  <c r="J532" i="4"/>
  <c r="K532" i="4"/>
  <c r="L532" i="4"/>
  <c r="M532" i="4"/>
  <c r="G533" i="4"/>
  <c r="H533" i="4"/>
  <c r="I533" i="4"/>
  <c r="J533" i="4"/>
  <c r="K533" i="4"/>
  <c r="L533" i="4"/>
  <c r="M533" i="4"/>
  <c r="G534" i="4"/>
  <c r="H534" i="4"/>
  <c r="I534" i="4"/>
  <c r="J534" i="4"/>
  <c r="K534" i="4"/>
  <c r="L534" i="4"/>
  <c r="M534" i="4"/>
  <c r="G535" i="4"/>
  <c r="H535" i="4"/>
  <c r="I535" i="4"/>
  <c r="J535" i="4"/>
  <c r="K535" i="4"/>
  <c r="L535" i="4"/>
  <c r="M535" i="4"/>
  <c r="G536" i="4"/>
  <c r="H536" i="4"/>
  <c r="I536" i="4"/>
  <c r="J536" i="4"/>
  <c r="K536" i="4"/>
  <c r="L536" i="4"/>
  <c r="M536" i="4"/>
  <c r="G537" i="4"/>
  <c r="H537" i="4"/>
  <c r="I537" i="4"/>
  <c r="J537" i="4"/>
  <c r="K537" i="4"/>
  <c r="L537" i="4"/>
  <c r="M537" i="4"/>
  <c r="G538" i="4"/>
  <c r="H538" i="4"/>
  <c r="I538" i="4"/>
  <c r="J538" i="4"/>
  <c r="K538" i="4"/>
  <c r="L538" i="4"/>
  <c r="M538" i="4"/>
  <c r="G539" i="4"/>
  <c r="H539" i="4"/>
  <c r="I539" i="4"/>
  <c r="J539" i="4"/>
  <c r="K539" i="4"/>
  <c r="L539" i="4"/>
  <c r="M539" i="4"/>
  <c r="G540" i="4"/>
  <c r="H540" i="4"/>
  <c r="I540" i="4"/>
  <c r="J540" i="4"/>
  <c r="K540" i="4"/>
  <c r="L540" i="4"/>
  <c r="M540" i="4"/>
  <c r="G541" i="4"/>
  <c r="H541" i="4"/>
  <c r="I541" i="4"/>
  <c r="J541" i="4"/>
  <c r="K541" i="4"/>
  <c r="L541" i="4"/>
  <c r="M541" i="4"/>
  <c r="G542" i="4"/>
  <c r="H542" i="4"/>
  <c r="I542" i="4"/>
  <c r="J542" i="4"/>
  <c r="K542" i="4"/>
  <c r="L542" i="4"/>
  <c r="M542" i="4"/>
  <c r="G543" i="4"/>
  <c r="H543" i="4"/>
  <c r="I543" i="4"/>
  <c r="J543" i="4"/>
  <c r="K543" i="4"/>
  <c r="L543" i="4"/>
  <c r="M543" i="4"/>
  <c r="G544" i="4"/>
  <c r="H544" i="4"/>
  <c r="I544" i="4"/>
  <c r="J544" i="4"/>
  <c r="K544" i="4"/>
  <c r="L544" i="4"/>
  <c r="M544" i="4"/>
  <c r="G545" i="4"/>
  <c r="H545" i="4"/>
  <c r="I545" i="4"/>
  <c r="J545" i="4"/>
  <c r="K545" i="4"/>
  <c r="L545" i="4"/>
  <c r="M545" i="4"/>
  <c r="G546" i="4"/>
  <c r="H546" i="4"/>
  <c r="I546" i="4"/>
  <c r="J546" i="4"/>
  <c r="K546" i="4"/>
  <c r="L546" i="4"/>
  <c r="M546" i="4"/>
  <c r="G547" i="4"/>
  <c r="H547" i="4"/>
  <c r="I547" i="4"/>
  <c r="J547" i="4"/>
  <c r="K547" i="4"/>
  <c r="L547" i="4"/>
  <c r="M547" i="4"/>
  <c r="G548" i="4"/>
  <c r="H548" i="4"/>
  <c r="I548" i="4"/>
  <c r="J548" i="4"/>
  <c r="K548" i="4"/>
  <c r="L548" i="4"/>
  <c r="M548" i="4"/>
  <c r="G549" i="4"/>
  <c r="H549" i="4"/>
  <c r="I549" i="4"/>
  <c r="J549" i="4"/>
  <c r="K549" i="4"/>
  <c r="L549" i="4"/>
  <c r="M549" i="4"/>
  <c r="G550" i="4"/>
  <c r="H550" i="4"/>
  <c r="I550" i="4"/>
  <c r="J550" i="4"/>
  <c r="K550" i="4"/>
  <c r="L550" i="4"/>
  <c r="M550" i="4"/>
  <c r="G551" i="4"/>
  <c r="H551" i="4"/>
  <c r="I551" i="4"/>
  <c r="J551" i="4"/>
  <c r="K551" i="4"/>
  <c r="L551" i="4"/>
  <c r="M551" i="4"/>
  <c r="G552" i="4"/>
  <c r="H552" i="4"/>
  <c r="I552" i="4"/>
  <c r="J552" i="4"/>
  <c r="K552" i="4"/>
  <c r="L552" i="4"/>
  <c r="M552" i="4"/>
  <c r="G553" i="4"/>
  <c r="H553" i="4"/>
  <c r="I553" i="4"/>
  <c r="J553" i="4"/>
  <c r="K553" i="4"/>
  <c r="L553" i="4"/>
  <c r="M553" i="4"/>
  <c r="G554" i="4"/>
  <c r="H554" i="4"/>
  <c r="I554" i="4"/>
  <c r="J554" i="4"/>
  <c r="K554" i="4"/>
  <c r="L554" i="4"/>
  <c r="M554" i="4"/>
  <c r="G555" i="4"/>
  <c r="H555" i="4"/>
  <c r="I555" i="4"/>
  <c r="J555" i="4"/>
  <c r="K555" i="4"/>
  <c r="L555" i="4"/>
  <c r="M555" i="4"/>
  <c r="G556" i="4"/>
  <c r="H556" i="4"/>
  <c r="I556" i="4"/>
  <c r="J556" i="4"/>
  <c r="K556" i="4"/>
  <c r="L556" i="4"/>
  <c r="M556" i="4"/>
  <c r="G557" i="4"/>
  <c r="H557" i="4"/>
  <c r="I557" i="4"/>
  <c r="J557" i="4"/>
  <c r="K557" i="4"/>
  <c r="L557" i="4"/>
  <c r="M557" i="4"/>
  <c r="G558" i="4"/>
  <c r="H558" i="4"/>
  <c r="I558" i="4"/>
  <c r="J558" i="4"/>
  <c r="K558" i="4"/>
  <c r="L558" i="4"/>
  <c r="M558" i="4"/>
  <c r="G559" i="4"/>
  <c r="H559" i="4"/>
  <c r="I559" i="4"/>
  <c r="J559" i="4"/>
  <c r="K559" i="4"/>
  <c r="L559" i="4"/>
  <c r="M559" i="4"/>
  <c r="G560" i="4"/>
  <c r="H560" i="4"/>
  <c r="I560" i="4"/>
  <c r="J560" i="4"/>
  <c r="K560" i="4"/>
  <c r="L560" i="4"/>
  <c r="M560" i="4"/>
  <c r="G561" i="4"/>
  <c r="H561" i="4"/>
  <c r="I561" i="4"/>
  <c r="J561" i="4"/>
  <c r="K561" i="4"/>
  <c r="L561" i="4"/>
  <c r="M561" i="4"/>
  <c r="G562" i="4"/>
  <c r="H562" i="4"/>
  <c r="I562" i="4"/>
  <c r="J562" i="4"/>
  <c r="K562" i="4"/>
  <c r="L562" i="4"/>
  <c r="M562" i="4"/>
  <c r="G563" i="4"/>
  <c r="H563" i="4"/>
  <c r="I563" i="4"/>
  <c r="J563" i="4"/>
  <c r="K563" i="4"/>
  <c r="L563" i="4"/>
  <c r="M563" i="4"/>
  <c r="G564" i="4"/>
  <c r="H564" i="4"/>
  <c r="I564" i="4"/>
  <c r="J564" i="4"/>
  <c r="K564" i="4"/>
  <c r="L564" i="4"/>
  <c r="M564" i="4"/>
  <c r="G565" i="4"/>
  <c r="H565" i="4"/>
  <c r="I565" i="4"/>
  <c r="J565" i="4"/>
  <c r="K565" i="4"/>
  <c r="L565" i="4"/>
  <c r="M565" i="4"/>
  <c r="G566" i="4"/>
  <c r="H566" i="4"/>
  <c r="I566" i="4"/>
  <c r="J566" i="4"/>
  <c r="K566" i="4"/>
  <c r="L566" i="4"/>
  <c r="M566" i="4"/>
  <c r="G567" i="4"/>
  <c r="H567" i="4"/>
  <c r="I567" i="4"/>
  <c r="J567" i="4"/>
  <c r="K567" i="4"/>
  <c r="L567" i="4"/>
  <c r="M567" i="4"/>
  <c r="G568" i="4"/>
  <c r="H568" i="4"/>
  <c r="I568" i="4"/>
  <c r="J568" i="4"/>
  <c r="K568" i="4"/>
  <c r="L568" i="4"/>
  <c r="M568" i="4"/>
  <c r="G569" i="4"/>
  <c r="H569" i="4"/>
  <c r="I569" i="4"/>
  <c r="J569" i="4"/>
  <c r="K569" i="4"/>
  <c r="L569" i="4"/>
  <c r="M569" i="4"/>
  <c r="G570" i="4"/>
  <c r="H570" i="4"/>
  <c r="I570" i="4"/>
  <c r="J570" i="4"/>
  <c r="K570" i="4"/>
  <c r="L570" i="4"/>
  <c r="M570" i="4"/>
  <c r="G571" i="4"/>
  <c r="H571" i="4"/>
  <c r="I571" i="4"/>
  <c r="J571" i="4"/>
  <c r="K571" i="4"/>
  <c r="L571" i="4"/>
  <c r="M571" i="4"/>
  <c r="G572" i="4"/>
  <c r="H572" i="4"/>
  <c r="I572" i="4"/>
  <c r="J572" i="4"/>
  <c r="K572" i="4"/>
  <c r="L572" i="4"/>
  <c r="M572" i="4"/>
  <c r="G573" i="4"/>
  <c r="H573" i="4"/>
  <c r="I573" i="4"/>
  <c r="J573" i="4"/>
  <c r="K573" i="4"/>
  <c r="L573" i="4"/>
  <c r="M573" i="4"/>
  <c r="G574" i="4"/>
  <c r="H574" i="4"/>
  <c r="I574" i="4"/>
  <c r="J574" i="4"/>
  <c r="K574" i="4"/>
  <c r="L574" i="4"/>
  <c r="M574" i="4"/>
  <c r="G575" i="4"/>
  <c r="H575" i="4"/>
  <c r="I575" i="4"/>
  <c r="J575" i="4"/>
  <c r="K575" i="4"/>
  <c r="L575" i="4"/>
  <c r="M575" i="4"/>
  <c r="G576" i="4"/>
  <c r="H576" i="4"/>
  <c r="I576" i="4"/>
  <c r="J576" i="4"/>
  <c r="K576" i="4"/>
  <c r="L576" i="4"/>
  <c r="M576" i="4"/>
  <c r="G577" i="4"/>
  <c r="H577" i="4"/>
  <c r="I577" i="4"/>
  <c r="J577" i="4"/>
  <c r="K577" i="4"/>
  <c r="L577" i="4"/>
  <c r="M577" i="4"/>
  <c r="G578" i="4"/>
  <c r="H578" i="4"/>
  <c r="I578" i="4"/>
  <c r="J578" i="4"/>
  <c r="K578" i="4"/>
  <c r="L578" i="4"/>
  <c r="M578" i="4"/>
  <c r="G579" i="4"/>
  <c r="H579" i="4"/>
  <c r="I579" i="4"/>
  <c r="J579" i="4"/>
  <c r="K579" i="4"/>
  <c r="L579" i="4"/>
  <c r="M579" i="4"/>
  <c r="G580" i="4"/>
  <c r="H580" i="4"/>
  <c r="I580" i="4"/>
  <c r="J580" i="4"/>
  <c r="K580" i="4"/>
  <c r="L580" i="4"/>
  <c r="M580" i="4"/>
  <c r="G581" i="4"/>
  <c r="H581" i="4"/>
  <c r="I581" i="4"/>
  <c r="J581" i="4"/>
  <c r="K581" i="4"/>
  <c r="L581" i="4"/>
  <c r="M581" i="4"/>
  <c r="G582" i="4"/>
  <c r="H582" i="4"/>
  <c r="I582" i="4"/>
  <c r="J582" i="4"/>
  <c r="K582" i="4"/>
  <c r="L582" i="4"/>
  <c r="M582" i="4"/>
  <c r="G583" i="4"/>
  <c r="H583" i="4"/>
  <c r="I583" i="4"/>
  <c r="J583" i="4"/>
  <c r="K583" i="4"/>
  <c r="L583" i="4"/>
  <c r="M583" i="4"/>
  <c r="G584" i="4"/>
  <c r="H584" i="4"/>
  <c r="I584" i="4"/>
  <c r="J584" i="4"/>
  <c r="K584" i="4"/>
  <c r="L584" i="4"/>
  <c r="M584" i="4"/>
  <c r="G585" i="4"/>
  <c r="H585" i="4"/>
  <c r="I585" i="4"/>
  <c r="J585" i="4"/>
  <c r="K585" i="4"/>
  <c r="L585" i="4"/>
  <c r="M585" i="4"/>
  <c r="G586" i="4"/>
  <c r="H586" i="4"/>
  <c r="I586" i="4"/>
  <c r="J586" i="4"/>
  <c r="K586" i="4"/>
  <c r="L586" i="4"/>
  <c r="M586" i="4"/>
  <c r="G587" i="4"/>
  <c r="H587" i="4"/>
  <c r="I587" i="4"/>
  <c r="J587" i="4"/>
  <c r="K587" i="4"/>
  <c r="L587" i="4"/>
  <c r="M587" i="4"/>
  <c r="G588" i="4"/>
  <c r="H588" i="4"/>
  <c r="I588" i="4"/>
  <c r="J588" i="4"/>
  <c r="K588" i="4"/>
  <c r="L588" i="4"/>
  <c r="M588" i="4"/>
  <c r="G589" i="4"/>
  <c r="H589" i="4"/>
  <c r="I589" i="4"/>
  <c r="J589" i="4"/>
  <c r="K589" i="4"/>
  <c r="L589" i="4"/>
  <c r="M589" i="4"/>
  <c r="G590" i="4"/>
  <c r="H590" i="4"/>
  <c r="I590" i="4"/>
  <c r="J590" i="4"/>
  <c r="K590" i="4"/>
  <c r="L590" i="4"/>
  <c r="M590" i="4"/>
  <c r="G591" i="4"/>
  <c r="H591" i="4"/>
  <c r="I591" i="4"/>
  <c r="J591" i="4"/>
  <c r="K591" i="4"/>
  <c r="L591" i="4"/>
  <c r="M591" i="4"/>
  <c r="G592" i="4"/>
  <c r="H592" i="4"/>
  <c r="I592" i="4"/>
  <c r="J592" i="4"/>
  <c r="K592" i="4"/>
  <c r="L592" i="4"/>
  <c r="M592" i="4"/>
  <c r="G593" i="4"/>
  <c r="H593" i="4"/>
  <c r="I593" i="4"/>
  <c r="J593" i="4"/>
  <c r="K593" i="4"/>
  <c r="L593" i="4"/>
  <c r="M593" i="4"/>
  <c r="G594" i="4"/>
  <c r="H594" i="4"/>
  <c r="I594" i="4"/>
  <c r="J594" i="4"/>
  <c r="K594" i="4"/>
  <c r="L594" i="4"/>
  <c r="M594" i="4"/>
  <c r="G595" i="4"/>
  <c r="H595" i="4"/>
  <c r="I595" i="4"/>
  <c r="J595" i="4"/>
  <c r="K595" i="4"/>
  <c r="L595" i="4"/>
  <c r="M595" i="4"/>
  <c r="G596" i="4"/>
  <c r="H596" i="4"/>
  <c r="I596" i="4"/>
  <c r="J596" i="4"/>
  <c r="K596" i="4"/>
  <c r="L596" i="4"/>
  <c r="M596" i="4"/>
  <c r="G597" i="4"/>
  <c r="H597" i="4"/>
  <c r="I597" i="4"/>
  <c r="J597" i="4"/>
  <c r="K597" i="4"/>
  <c r="L597" i="4"/>
  <c r="M597" i="4"/>
  <c r="G598" i="4"/>
  <c r="H598" i="4"/>
  <c r="I598" i="4"/>
  <c r="J598" i="4"/>
  <c r="K598" i="4"/>
  <c r="L598" i="4"/>
  <c r="M598" i="4"/>
  <c r="G599" i="4"/>
  <c r="H599" i="4"/>
  <c r="I599" i="4"/>
  <c r="J599" i="4"/>
  <c r="K599" i="4"/>
  <c r="L599" i="4"/>
  <c r="M599" i="4"/>
  <c r="G600" i="4"/>
  <c r="H600" i="4"/>
  <c r="I600" i="4"/>
  <c r="J600" i="4"/>
  <c r="K600" i="4"/>
  <c r="L600" i="4"/>
  <c r="M600" i="4"/>
  <c r="G601" i="4"/>
  <c r="H601" i="4"/>
  <c r="I601" i="4"/>
  <c r="J601" i="4"/>
  <c r="K601" i="4"/>
  <c r="L601" i="4"/>
  <c r="M601" i="4"/>
  <c r="G602" i="4"/>
  <c r="H602" i="4"/>
  <c r="I602" i="4"/>
  <c r="J602" i="4"/>
  <c r="K602" i="4"/>
  <c r="L602" i="4"/>
  <c r="M602" i="4"/>
  <c r="G603" i="4"/>
  <c r="H603" i="4"/>
  <c r="I603" i="4"/>
  <c r="J603" i="4"/>
  <c r="K603" i="4"/>
  <c r="L603" i="4"/>
  <c r="M603" i="4"/>
  <c r="G604" i="4"/>
  <c r="H604" i="4"/>
  <c r="I604" i="4"/>
  <c r="J604" i="4"/>
  <c r="K604" i="4"/>
  <c r="L604" i="4"/>
  <c r="M604" i="4"/>
  <c r="G605" i="4"/>
  <c r="H605" i="4"/>
  <c r="I605" i="4"/>
  <c r="J605" i="4"/>
  <c r="K605" i="4"/>
  <c r="L605" i="4"/>
  <c r="M605" i="4"/>
  <c r="G606" i="4"/>
  <c r="H606" i="4"/>
  <c r="I606" i="4"/>
  <c r="J606" i="4"/>
  <c r="K606" i="4"/>
  <c r="L606" i="4"/>
  <c r="M606" i="4"/>
  <c r="G607" i="4"/>
  <c r="H607" i="4"/>
  <c r="I607" i="4"/>
  <c r="J607" i="4"/>
  <c r="K607" i="4"/>
  <c r="L607" i="4"/>
  <c r="M607" i="4"/>
  <c r="G608" i="4"/>
  <c r="H608" i="4"/>
  <c r="I608" i="4"/>
  <c r="J608" i="4"/>
  <c r="K608" i="4"/>
  <c r="L608" i="4"/>
  <c r="M608" i="4"/>
  <c r="G609" i="4"/>
  <c r="H609" i="4"/>
  <c r="I609" i="4"/>
  <c r="J609" i="4"/>
  <c r="K609" i="4"/>
  <c r="L609" i="4"/>
  <c r="M609" i="4"/>
  <c r="G610" i="4"/>
  <c r="H610" i="4"/>
  <c r="I610" i="4"/>
  <c r="J610" i="4"/>
  <c r="K610" i="4"/>
  <c r="L610" i="4"/>
  <c r="M610" i="4"/>
  <c r="G611" i="4"/>
  <c r="H611" i="4"/>
  <c r="I611" i="4"/>
  <c r="J611" i="4"/>
  <c r="K611" i="4"/>
  <c r="L611" i="4"/>
  <c r="M611" i="4"/>
  <c r="G612" i="4"/>
  <c r="H612" i="4"/>
  <c r="I612" i="4"/>
  <c r="J612" i="4"/>
  <c r="K612" i="4"/>
  <c r="L612" i="4"/>
  <c r="M612" i="4"/>
  <c r="G613" i="4"/>
  <c r="H613" i="4"/>
  <c r="I613" i="4"/>
  <c r="J613" i="4"/>
  <c r="K613" i="4"/>
  <c r="L613" i="4"/>
  <c r="M613" i="4"/>
  <c r="G614" i="4"/>
  <c r="H614" i="4"/>
  <c r="I614" i="4"/>
  <c r="J614" i="4"/>
  <c r="K614" i="4"/>
  <c r="L614" i="4"/>
  <c r="M614" i="4"/>
  <c r="G615" i="4"/>
  <c r="H615" i="4"/>
  <c r="I615" i="4"/>
  <c r="J615" i="4"/>
  <c r="K615" i="4"/>
  <c r="L615" i="4"/>
  <c r="M615" i="4"/>
  <c r="G616" i="4"/>
  <c r="H616" i="4"/>
  <c r="I616" i="4"/>
  <c r="J616" i="4"/>
  <c r="K616" i="4"/>
  <c r="L616" i="4"/>
  <c r="M616" i="4"/>
  <c r="G617" i="4"/>
  <c r="H617" i="4"/>
  <c r="I617" i="4"/>
  <c r="J617" i="4"/>
  <c r="K617" i="4"/>
  <c r="L617" i="4"/>
  <c r="M617" i="4"/>
  <c r="G618" i="4"/>
  <c r="H618" i="4"/>
  <c r="I618" i="4"/>
  <c r="J618" i="4"/>
  <c r="K618" i="4"/>
  <c r="L618" i="4"/>
  <c r="M618" i="4"/>
  <c r="G619" i="4"/>
  <c r="H619" i="4"/>
  <c r="I619" i="4"/>
  <c r="J619" i="4"/>
  <c r="K619" i="4"/>
  <c r="L619" i="4"/>
  <c r="M619" i="4"/>
  <c r="G620" i="4"/>
  <c r="H620" i="4"/>
  <c r="I620" i="4"/>
  <c r="J620" i="4"/>
  <c r="K620" i="4"/>
  <c r="L620" i="4"/>
  <c r="M620" i="4"/>
  <c r="G621" i="4"/>
  <c r="H621" i="4"/>
  <c r="I621" i="4"/>
  <c r="J621" i="4"/>
  <c r="K621" i="4"/>
  <c r="L621" i="4"/>
  <c r="M621" i="4"/>
  <c r="G622" i="4"/>
  <c r="H622" i="4"/>
  <c r="I622" i="4"/>
  <c r="J622" i="4"/>
  <c r="K622" i="4"/>
  <c r="L622" i="4"/>
  <c r="M622" i="4"/>
  <c r="G623" i="4"/>
  <c r="H623" i="4"/>
  <c r="I623" i="4"/>
  <c r="J623" i="4"/>
  <c r="K623" i="4"/>
  <c r="L623" i="4"/>
  <c r="M623" i="4"/>
  <c r="G624" i="4"/>
  <c r="H624" i="4"/>
  <c r="I624" i="4"/>
  <c r="J624" i="4"/>
  <c r="K624" i="4"/>
  <c r="L624" i="4"/>
  <c r="M624" i="4"/>
  <c r="G625" i="4"/>
  <c r="H625" i="4"/>
  <c r="I625" i="4"/>
  <c r="J625" i="4"/>
  <c r="K625" i="4"/>
  <c r="L625" i="4"/>
  <c r="M625" i="4"/>
  <c r="G626" i="4"/>
  <c r="H626" i="4"/>
  <c r="I626" i="4"/>
  <c r="J626" i="4"/>
  <c r="K626" i="4"/>
  <c r="L626" i="4"/>
  <c r="M626" i="4"/>
  <c r="G627" i="4"/>
  <c r="H627" i="4"/>
  <c r="I627" i="4"/>
  <c r="J627" i="4"/>
  <c r="K627" i="4"/>
  <c r="L627" i="4"/>
  <c r="M627" i="4"/>
  <c r="G628" i="4"/>
  <c r="H628" i="4"/>
  <c r="I628" i="4"/>
  <c r="J628" i="4"/>
  <c r="K628" i="4"/>
  <c r="L628" i="4"/>
  <c r="M628" i="4"/>
  <c r="G629" i="4"/>
  <c r="H629" i="4"/>
  <c r="I629" i="4"/>
  <c r="J629" i="4"/>
  <c r="K629" i="4"/>
  <c r="L629" i="4"/>
  <c r="M629" i="4"/>
  <c r="G630" i="4"/>
  <c r="H630" i="4"/>
  <c r="I630" i="4"/>
  <c r="J630" i="4"/>
  <c r="K630" i="4"/>
  <c r="L630" i="4"/>
  <c r="M630" i="4"/>
  <c r="G631" i="4"/>
  <c r="H631" i="4"/>
  <c r="I631" i="4"/>
  <c r="J631" i="4"/>
  <c r="K631" i="4"/>
  <c r="L631" i="4"/>
  <c r="M631" i="4"/>
  <c r="G632" i="4"/>
  <c r="H632" i="4"/>
  <c r="I632" i="4"/>
  <c r="J632" i="4"/>
  <c r="K632" i="4"/>
  <c r="L632" i="4"/>
  <c r="M632" i="4"/>
  <c r="G633" i="4"/>
  <c r="H633" i="4"/>
  <c r="I633" i="4"/>
  <c r="J633" i="4"/>
  <c r="K633" i="4"/>
  <c r="L633" i="4"/>
  <c r="M633" i="4"/>
  <c r="G634" i="4"/>
  <c r="H634" i="4"/>
  <c r="I634" i="4"/>
  <c r="J634" i="4"/>
  <c r="K634" i="4"/>
  <c r="L634" i="4"/>
  <c r="M634" i="4"/>
  <c r="G635" i="4"/>
  <c r="H635" i="4"/>
  <c r="I635" i="4"/>
  <c r="J635" i="4"/>
  <c r="K635" i="4"/>
  <c r="L635" i="4"/>
  <c r="M635" i="4"/>
  <c r="G636" i="4"/>
  <c r="H636" i="4"/>
  <c r="I636" i="4"/>
  <c r="J636" i="4"/>
  <c r="K636" i="4"/>
  <c r="L636" i="4"/>
  <c r="M636" i="4"/>
  <c r="G637" i="4"/>
  <c r="H637" i="4"/>
  <c r="I637" i="4"/>
  <c r="J637" i="4"/>
  <c r="K637" i="4"/>
  <c r="L637" i="4"/>
  <c r="M637" i="4"/>
  <c r="G638" i="4"/>
  <c r="H638" i="4"/>
  <c r="I638" i="4"/>
  <c r="J638" i="4"/>
  <c r="K638" i="4"/>
  <c r="L638" i="4"/>
  <c r="M638" i="4"/>
  <c r="G639" i="4"/>
  <c r="H639" i="4"/>
  <c r="I639" i="4"/>
  <c r="J639" i="4"/>
  <c r="K639" i="4"/>
  <c r="L639" i="4"/>
  <c r="M639" i="4"/>
  <c r="G640" i="4"/>
  <c r="H640" i="4"/>
  <c r="I640" i="4"/>
  <c r="J640" i="4"/>
  <c r="K640" i="4"/>
  <c r="L640" i="4"/>
  <c r="M640" i="4"/>
  <c r="G641" i="4"/>
  <c r="H641" i="4"/>
  <c r="I641" i="4"/>
  <c r="J641" i="4"/>
  <c r="K641" i="4"/>
  <c r="L641" i="4"/>
  <c r="M641" i="4"/>
  <c r="G642" i="4"/>
  <c r="H642" i="4"/>
  <c r="I642" i="4"/>
  <c r="J642" i="4"/>
  <c r="K642" i="4"/>
  <c r="L642" i="4"/>
  <c r="M642" i="4"/>
  <c r="G643" i="4"/>
  <c r="H643" i="4"/>
  <c r="I643" i="4"/>
  <c r="J643" i="4"/>
  <c r="K643" i="4"/>
  <c r="L643" i="4"/>
  <c r="M643" i="4"/>
  <c r="G644" i="4"/>
  <c r="H644" i="4"/>
  <c r="I644" i="4"/>
  <c r="J644" i="4"/>
  <c r="K644" i="4"/>
  <c r="L644" i="4"/>
  <c r="M644" i="4"/>
  <c r="G645" i="4"/>
  <c r="H645" i="4"/>
  <c r="I645" i="4"/>
  <c r="J645" i="4"/>
  <c r="K645" i="4"/>
  <c r="L645" i="4"/>
  <c r="M645" i="4"/>
  <c r="G646" i="4"/>
  <c r="H646" i="4"/>
  <c r="I646" i="4"/>
  <c r="J646" i="4"/>
  <c r="K646" i="4"/>
  <c r="L646" i="4"/>
  <c r="M646" i="4"/>
  <c r="G647" i="4"/>
  <c r="H647" i="4"/>
  <c r="I647" i="4"/>
  <c r="J647" i="4"/>
  <c r="K647" i="4"/>
  <c r="L647" i="4"/>
  <c r="M647" i="4"/>
  <c r="G648" i="4"/>
  <c r="H648" i="4"/>
  <c r="I648" i="4"/>
  <c r="J648" i="4"/>
  <c r="K648" i="4"/>
  <c r="L648" i="4"/>
  <c r="M648" i="4"/>
  <c r="G649" i="4"/>
  <c r="H649" i="4"/>
  <c r="I649" i="4"/>
  <c r="J649" i="4"/>
  <c r="K649" i="4"/>
  <c r="L649" i="4"/>
  <c r="M649" i="4"/>
  <c r="G650" i="4"/>
  <c r="H650" i="4"/>
  <c r="I650" i="4"/>
  <c r="J650" i="4"/>
  <c r="K650" i="4"/>
  <c r="L650" i="4"/>
  <c r="M650" i="4"/>
  <c r="G651" i="4"/>
  <c r="H651" i="4"/>
  <c r="I651" i="4"/>
  <c r="J651" i="4"/>
  <c r="K651" i="4"/>
  <c r="L651" i="4"/>
  <c r="M651" i="4"/>
  <c r="G652" i="4"/>
  <c r="H652" i="4"/>
  <c r="I652" i="4"/>
  <c r="J652" i="4"/>
  <c r="K652" i="4"/>
  <c r="L652" i="4"/>
  <c r="M652" i="4"/>
  <c r="G653" i="4"/>
  <c r="H653" i="4"/>
  <c r="I653" i="4"/>
  <c r="J653" i="4"/>
  <c r="K653" i="4"/>
  <c r="L653" i="4"/>
  <c r="M653" i="4"/>
  <c r="G654" i="4"/>
  <c r="H654" i="4"/>
  <c r="I654" i="4"/>
  <c r="J654" i="4"/>
  <c r="K654" i="4"/>
  <c r="L654" i="4"/>
  <c r="M654" i="4"/>
  <c r="G655" i="4"/>
  <c r="H655" i="4"/>
  <c r="I655" i="4"/>
  <c r="J655" i="4"/>
  <c r="K655" i="4"/>
  <c r="L655" i="4"/>
  <c r="M655" i="4"/>
  <c r="G656" i="4"/>
  <c r="H656" i="4"/>
  <c r="I656" i="4"/>
  <c r="J656" i="4"/>
  <c r="K656" i="4"/>
  <c r="L656" i="4"/>
  <c r="M656" i="4"/>
  <c r="G657" i="4"/>
  <c r="H657" i="4"/>
  <c r="I657" i="4"/>
  <c r="J657" i="4"/>
  <c r="K657" i="4"/>
  <c r="L657" i="4"/>
  <c r="M657" i="4"/>
  <c r="G658" i="4"/>
  <c r="H658" i="4"/>
  <c r="I658" i="4"/>
  <c r="J658" i="4"/>
  <c r="K658" i="4"/>
  <c r="L658" i="4"/>
  <c r="M658" i="4"/>
  <c r="G659" i="4"/>
  <c r="H659" i="4"/>
  <c r="I659" i="4"/>
  <c r="J659" i="4"/>
  <c r="K659" i="4"/>
  <c r="L659" i="4"/>
  <c r="M659" i="4"/>
  <c r="G660" i="4"/>
  <c r="H660" i="4"/>
  <c r="I660" i="4"/>
  <c r="J660" i="4"/>
  <c r="K660" i="4"/>
  <c r="L660" i="4"/>
  <c r="M660" i="4"/>
  <c r="G661" i="4"/>
  <c r="H661" i="4"/>
  <c r="I661" i="4"/>
  <c r="J661" i="4"/>
  <c r="K661" i="4"/>
  <c r="L661" i="4"/>
  <c r="M661" i="4"/>
  <c r="G662" i="4"/>
  <c r="H662" i="4"/>
  <c r="I662" i="4"/>
  <c r="J662" i="4"/>
  <c r="K662" i="4"/>
  <c r="L662" i="4"/>
  <c r="M662" i="4"/>
  <c r="G663" i="4"/>
  <c r="H663" i="4"/>
  <c r="I663" i="4"/>
  <c r="J663" i="4"/>
  <c r="K663" i="4"/>
  <c r="L663" i="4"/>
  <c r="M663" i="4"/>
  <c r="G664" i="4"/>
  <c r="H664" i="4"/>
  <c r="I664" i="4"/>
  <c r="J664" i="4"/>
  <c r="K664" i="4"/>
  <c r="L664" i="4"/>
  <c r="M664" i="4"/>
  <c r="G665" i="4"/>
  <c r="H665" i="4"/>
  <c r="I665" i="4"/>
  <c r="J665" i="4"/>
  <c r="K665" i="4"/>
  <c r="L665" i="4"/>
  <c r="M665" i="4"/>
  <c r="G666" i="4"/>
  <c r="H666" i="4"/>
  <c r="I666" i="4"/>
  <c r="J666" i="4"/>
  <c r="K666" i="4"/>
  <c r="L666" i="4"/>
  <c r="M666" i="4"/>
  <c r="G667" i="4"/>
  <c r="H667" i="4"/>
  <c r="I667" i="4"/>
  <c r="J667" i="4"/>
  <c r="K667" i="4"/>
  <c r="L667" i="4"/>
  <c r="M667" i="4"/>
  <c r="G668" i="4"/>
  <c r="H668" i="4"/>
  <c r="I668" i="4"/>
  <c r="J668" i="4"/>
  <c r="K668" i="4"/>
  <c r="L668" i="4"/>
  <c r="M668" i="4"/>
  <c r="G669" i="4"/>
  <c r="H669" i="4"/>
  <c r="I669" i="4"/>
  <c r="J669" i="4"/>
  <c r="K669" i="4"/>
  <c r="L669" i="4"/>
  <c r="M669" i="4"/>
  <c r="G670" i="4"/>
  <c r="H670" i="4"/>
  <c r="I670" i="4"/>
  <c r="J670" i="4"/>
  <c r="K670" i="4"/>
  <c r="L670" i="4"/>
  <c r="M670" i="4"/>
  <c r="G671" i="4"/>
  <c r="H671" i="4"/>
  <c r="I671" i="4"/>
  <c r="J671" i="4"/>
  <c r="K671" i="4"/>
  <c r="L671" i="4"/>
  <c r="M671" i="4"/>
  <c r="G672" i="4"/>
  <c r="H672" i="4"/>
  <c r="I672" i="4"/>
  <c r="J672" i="4"/>
  <c r="K672" i="4"/>
  <c r="L672" i="4"/>
  <c r="M672" i="4"/>
  <c r="G673" i="4"/>
  <c r="H673" i="4"/>
  <c r="I673" i="4"/>
  <c r="J673" i="4"/>
  <c r="K673" i="4"/>
  <c r="L673" i="4"/>
  <c r="M673" i="4"/>
  <c r="G674" i="4"/>
  <c r="H674" i="4"/>
  <c r="I674" i="4"/>
  <c r="J674" i="4"/>
  <c r="K674" i="4"/>
  <c r="L674" i="4"/>
  <c r="M674" i="4"/>
  <c r="G675" i="4"/>
  <c r="H675" i="4"/>
  <c r="I675" i="4"/>
  <c r="J675" i="4"/>
  <c r="K675" i="4"/>
  <c r="L675" i="4"/>
  <c r="M675" i="4"/>
  <c r="G676" i="4"/>
  <c r="H676" i="4"/>
  <c r="I676" i="4"/>
  <c r="J676" i="4"/>
  <c r="K676" i="4"/>
  <c r="L676" i="4"/>
  <c r="M676" i="4"/>
  <c r="G677" i="4"/>
  <c r="H677" i="4"/>
  <c r="I677" i="4"/>
  <c r="J677" i="4"/>
  <c r="K677" i="4"/>
  <c r="L677" i="4"/>
  <c r="M677" i="4"/>
  <c r="G678" i="4"/>
  <c r="H678" i="4"/>
  <c r="I678" i="4"/>
  <c r="J678" i="4"/>
  <c r="K678" i="4"/>
  <c r="L678" i="4"/>
  <c r="M678" i="4"/>
  <c r="G679" i="4"/>
  <c r="H679" i="4"/>
  <c r="I679" i="4"/>
  <c r="J679" i="4"/>
  <c r="K679" i="4"/>
  <c r="L679" i="4"/>
  <c r="M679" i="4"/>
  <c r="G680" i="4"/>
  <c r="H680" i="4"/>
  <c r="I680" i="4"/>
  <c r="J680" i="4"/>
  <c r="K680" i="4"/>
  <c r="L680" i="4"/>
  <c r="M680" i="4"/>
  <c r="G681" i="4"/>
  <c r="H681" i="4"/>
  <c r="I681" i="4"/>
  <c r="J681" i="4"/>
  <c r="K681" i="4"/>
  <c r="L681" i="4"/>
  <c r="M681" i="4"/>
  <c r="G682" i="4"/>
  <c r="H682" i="4"/>
  <c r="I682" i="4"/>
  <c r="J682" i="4"/>
  <c r="K682" i="4"/>
  <c r="L682" i="4"/>
  <c r="M682" i="4"/>
  <c r="G683" i="4"/>
  <c r="H683" i="4"/>
  <c r="I683" i="4"/>
  <c r="J683" i="4"/>
  <c r="K683" i="4"/>
  <c r="L683" i="4"/>
  <c r="M683" i="4"/>
  <c r="G684" i="4"/>
  <c r="H684" i="4"/>
  <c r="I684" i="4"/>
  <c r="J684" i="4"/>
  <c r="K684" i="4"/>
  <c r="L684" i="4"/>
  <c r="M684" i="4"/>
  <c r="G685" i="4"/>
  <c r="H685" i="4"/>
  <c r="I685" i="4"/>
  <c r="J685" i="4"/>
  <c r="K685" i="4"/>
  <c r="L685" i="4"/>
  <c r="M685" i="4"/>
  <c r="G686" i="4"/>
  <c r="H686" i="4"/>
  <c r="I686" i="4"/>
  <c r="J686" i="4"/>
  <c r="K686" i="4"/>
  <c r="L686" i="4"/>
  <c r="M686" i="4"/>
  <c r="G687" i="4"/>
  <c r="H687" i="4"/>
  <c r="I687" i="4"/>
  <c r="J687" i="4"/>
  <c r="K687" i="4"/>
  <c r="L687" i="4"/>
  <c r="M687" i="4"/>
  <c r="G688" i="4"/>
  <c r="H688" i="4"/>
  <c r="I688" i="4"/>
  <c r="J688" i="4"/>
  <c r="K688" i="4"/>
  <c r="L688" i="4"/>
  <c r="M688" i="4"/>
  <c r="G689" i="4"/>
  <c r="H689" i="4"/>
  <c r="I689" i="4"/>
  <c r="J689" i="4"/>
  <c r="K689" i="4"/>
  <c r="L689" i="4"/>
  <c r="M689" i="4"/>
  <c r="G690" i="4"/>
  <c r="H690" i="4"/>
  <c r="I690" i="4"/>
  <c r="J690" i="4"/>
  <c r="K690" i="4"/>
  <c r="L690" i="4"/>
  <c r="M690" i="4"/>
  <c r="G691" i="4"/>
  <c r="H691" i="4"/>
  <c r="I691" i="4"/>
  <c r="J691" i="4"/>
  <c r="K691" i="4"/>
  <c r="L691" i="4"/>
  <c r="M691" i="4"/>
  <c r="G692" i="4"/>
  <c r="H692" i="4"/>
  <c r="I692" i="4"/>
  <c r="J692" i="4"/>
  <c r="K692" i="4"/>
  <c r="L692" i="4"/>
  <c r="M692" i="4"/>
  <c r="G693" i="4"/>
  <c r="H693" i="4"/>
  <c r="I693" i="4"/>
  <c r="J693" i="4"/>
  <c r="K693" i="4"/>
  <c r="L693" i="4"/>
  <c r="M693" i="4"/>
  <c r="G694" i="4"/>
  <c r="H694" i="4"/>
  <c r="I694" i="4"/>
  <c r="J694" i="4"/>
  <c r="K694" i="4"/>
  <c r="L694" i="4"/>
  <c r="M694" i="4"/>
  <c r="G695" i="4"/>
  <c r="H695" i="4"/>
  <c r="I695" i="4"/>
  <c r="J695" i="4"/>
  <c r="K695" i="4"/>
  <c r="L695" i="4"/>
  <c r="M695" i="4"/>
  <c r="G696" i="4"/>
  <c r="H696" i="4"/>
  <c r="I696" i="4"/>
  <c r="J696" i="4"/>
  <c r="K696" i="4"/>
  <c r="L696" i="4"/>
  <c r="M696" i="4"/>
  <c r="G697" i="4"/>
  <c r="H697" i="4"/>
  <c r="I697" i="4"/>
  <c r="J697" i="4"/>
  <c r="K697" i="4"/>
  <c r="L697" i="4"/>
  <c r="M697" i="4"/>
  <c r="G698" i="4"/>
  <c r="H698" i="4"/>
  <c r="I698" i="4"/>
  <c r="J698" i="4"/>
  <c r="K698" i="4"/>
  <c r="L698" i="4"/>
  <c r="M698" i="4"/>
  <c r="G699" i="4"/>
  <c r="H699" i="4"/>
  <c r="I699" i="4"/>
  <c r="J699" i="4"/>
  <c r="K699" i="4"/>
  <c r="L699" i="4"/>
  <c r="M699" i="4"/>
  <c r="G700" i="4"/>
  <c r="H700" i="4"/>
  <c r="I700" i="4"/>
  <c r="J700" i="4"/>
  <c r="K700" i="4"/>
  <c r="L700" i="4"/>
  <c r="M700" i="4"/>
  <c r="G701" i="4"/>
  <c r="H701" i="4"/>
  <c r="I701" i="4"/>
  <c r="J701" i="4"/>
  <c r="K701" i="4"/>
  <c r="L701" i="4"/>
  <c r="M701" i="4"/>
  <c r="G702" i="4"/>
  <c r="H702" i="4"/>
  <c r="I702" i="4"/>
  <c r="J702" i="4"/>
  <c r="K702" i="4"/>
  <c r="L702" i="4"/>
  <c r="M702" i="4"/>
  <c r="G703" i="4"/>
  <c r="H703" i="4"/>
  <c r="I703" i="4"/>
  <c r="J703" i="4"/>
  <c r="K703" i="4"/>
  <c r="L703" i="4"/>
  <c r="M703" i="4"/>
  <c r="G704" i="4"/>
  <c r="H704" i="4"/>
  <c r="I704" i="4"/>
  <c r="J704" i="4"/>
  <c r="K704" i="4"/>
  <c r="L704" i="4"/>
  <c r="M704" i="4"/>
  <c r="G705" i="4"/>
  <c r="H705" i="4"/>
  <c r="I705" i="4"/>
  <c r="J705" i="4"/>
  <c r="K705" i="4"/>
  <c r="L705" i="4"/>
  <c r="M705" i="4"/>
  <c r="G706" i="4"/>
  <c r="H706" i="4"/>
  <c r="I706" i="4"/>
  <c r="J706" i="4"/>
  <c r="K706" i="4"/>
  <c r="L706" i="4"/>
  <c r="M706" i="4"/>
  <c r="G707" i="4"/>
  <c r="H707" i="4"/>
  <c r="I707" i="4"/>
  <c r="J707" i="4"/>
  <c r="K707" i="4"/>
  <c r="L707" i="4"/>
  <c r="M707" i="4"/>
  <c r="G708" i="4"/>
  <c r="H708" i="4"/>
  <c r="I708" i="4"/>
  <c r="J708" i="4"/>
  <c r="K708" i="4"/>
  <c r="L708" i="4"/>
  <c r="M708" i="4"/>
  <c r="G709" i="4"/>
  <c r="H709" i="4"/>
  <c r="I709" i="4"/>
  <c r="J709" i="4"/>
  <c r="K709" i="4"/>
  <c r="L709" i="4"/>
  <c r="M709" i="4"/>
  <c r="G710" i="4"/>
  <c r="H710" i="4"/>
  <c r="I710" i="4"/>
  <c r="J710" i="4"/>
  <c r="K710" i="4"/>
  <c r="L710" i="4"/>
  <c r="M710" i="4"/>
  <c r="G711" i="4"/>
  <c r="H711" i="4"/>
  <c r="I711" i="4"/>
  <c r="J711" i="4"/>
  <c r="K711" i="4"/>
  <c r="L711" i="4"/>
  <c r="M711" i="4"/>
  <c r="G712" i="4"/>
  <c r="H712" i="4"/>
  <c r="I712" i="4"/>
  <c r="J712" i="4"/>
  <c r="K712" i="4"/>
  <c r="L712" i="4"/>
  <c r="M712" i="4"/>
  <c r="G713" i="4"/>
  <c r="H713" i="4"/>
  <c r="I713" i="4"/>
  <c r="J713" i="4"/>
  <c r="K713" i="4"/>
  <c r="L713" i="4"/>
  <c r="M713" i="4"/>
  <c r="G714" i="4"/>
  <c r="H714" i="4"/>
  <c r="I714" i="4"/>
  <c r="J714" i="4"/>
  <c r="K714" i="4"/>
  <c r="L714" i="4"/>
  <c r="M714" i="4"/>
  <c r="G715" i="4"/>
  <c r="H715" i="4"/>
  <c r="I715" i="4"/>
  <c r="J715" i="4"/>
  <c r="K715" i="4"/>
  <c r="L715" i="4"/>
  <c r="M715" i="4"/>
  <c r="G716" i="4"/>
  <c r="H716" i="4"/>
  <c r="I716" i="4"/>
  <c r="J716" i="4"/>
  <c r="K716" i="4"/>
  <c r="L716" i="4"/>
  <c r="M716" i="4"/>
  <c r="G717" i="4"/>
  <c r="H717" i="4"/>
  <c r="I717" i="4"/>
  <c r="J717" i="4"/>
  <c r="K717" i="4"/>
  <c r="L717" i="4"/>
  <c r="M717" i="4"/>
  <c r="G718" i="4"/>
  <c r="H718" i="4"/>
  <c r="I718" i="4"/>
  <c r="J718" i="4"/>
  <c r="K718" i="4"/>
  <c r="L718" i="4"/>
  <c r="M718" i="4"/>
  <c r="G719" i="4"/>
  <c r="H719" i="4"/>
  <c r="I719" i="4"/>
  <c r="J719" i="4"/>
  <c r="K719" i="4"/>
  <c r="L719" i="4"/>
  <c r="M719" i="4"/>
  <c r="G720" i="4"/>
  <c r="H720" i="4"/>
  <c r="I720" i="4"/>
  <c r="J720" i="4"/>
  <c r="K720" i="4"/>
  <c r="L720" i="4"/>
  <c r="M720" i="4"/>
  <c r="G721" i="4"/>
  <c r="H721" i="4"/>
  <c r="I721" i="4"/>
  <c r="J721" i="4"/>
  <c r="K721" i="4"/>
  <c r="L721" i="4"/>
  <c r="M721" i="4"/>
  <c r="G722" i="4"/>
  <c r="H722" i="4"/>
  <c r="I722" i="4"/>
  <c r="J722" i="4"/>
  <c r="K722" i="4"/>
  <c r="L722" i="4"/>
  <c r="M722" i="4"/>
  <c r="G723" i="4"/>
  <c r="H723" i="4"/>
  <c r="I723" i="4"/>
  <c r="J723" i="4"/>
  <c r="K723" i="4"/>
  <c r="L723" i="4"/>
  <c r="M723" i="4"/>
  <c r="G724" i="4"/>
  <c r="H724" i="4"/>
  <c r="I724" i="4"/>
  <c r="J724" i="4"/>
  <c r="K724" i="4"/>
  <c r="L724" i="4"/>
  <c r="M724" i="4"/>
  <c r="G725" i="4"/>
  <c r="H725" i="4"/>
  <c r="I725" i="4"/>
  <c r="J725" i="4"/>
  <c r="K725" i="4"/>
  <c r="L725" i="4"/>
  <c r="M725" i="4"/>
  <c r="G726" i="4"/>
  <c r="H726" i="4"/>
  <c r="I726" i="4"/>
  <c r="J726" i="4"/>
  <c r="K726" i="4"/>
  <c r="L726" i="4"/>
  <c r="M726" i="4"/>
  <c r="G727" i="4"/>
  <c r="H727" i="4"/>
  <c r="I727" i="4"/>
  <c r="J727" i="4"/>
  <c r="K727" i="4"/>
  <c r="L727" i="4"/>
  <c r="M727" i="4"/>
  <c r="G728" i="4"/>
  <c r="H728" i="4"/>
  <c r="I728" i="4"/>
  <c r="J728" i="4"/>
  <c r="K728" i="4"/>
  <c r="L728" i="4"/>
  <c r="M728" i="4"/>
  <c r="G729" i="4"/>
  <c r="H729" i="4"/>
  <c r="I729" i="4"/>
  <c r="J729" i="4"/>
  <c r="K729" i="4"/>
  <c r="L729" i="4"/>
  <c r="M729" i="4"/>
  <c r="G730" i="4"/>
  <c r="H730" i="4"/>
  <c r="I730" i="4"/>
  <c r="J730" i="4"/>
  <c r="K730" i="4"/>
  <c r="L730" i="4"/>
  <c r="M730" i="4"/>
  <c r="G731" i="4"/>
  <c r="H731" i="4"/>
  <c r="I731" i="4"/>
  <c r="J731" i="4"/>
  <c r="K731" i="4"/>
  <c r="L731" i="4"/>
  <c r="M731" i="4"/>
  <c r="G732" i="4"/>
  <c r="H732" i="4"/>
  <c r="I732" i="4"/>
  <c r="J732" i="4"/>
  <c r="K732" i="4"/>
  <c r="L732" i="4"/>
  <c r="M732" i="4"/>
  <c r="G733" i="4"/>
  <c r="H733" i="4"/>
  <c r="I733" i="4"/>
  <c r="J733" i="4"/>
  <c r="K733" i="4"/>
  <c r="L733" i="4"/>
  <c r="M733" i="4"/>
  <c r="G734" i="4"/>
  <c r="H734" i="4"/>
  <c r="I734" i="4"/>
  <c r="J734" i="4"/>
  <c r="K734" i="4"/>
  <c r="L734" i="4"/>
  <c r="M734" i="4"/>
  <c r="G735" i="4"/>
  <c r="H735" i="4"/>
  <c r="I735" i="4"/>
  <c r="J735" i="4"/>
  <c r="K735" i="4"/>
  <c r="L735" i="4"/>
  <c r="M735" i="4"/>
  <c r="G736" i="4"/>
  <c r="H736" i="4"/>
  <c r="I736" i="4"/>
  <c r="J736" i="4"/>
  <c r="K736" i="4"/>
  <c r="L736" i="4"/>
  <c r="M736" i="4"/>
  <c r="G737" i="4"/>
  <c r="H737" i="4"/>
  <c r="I737" i="4"/>
  <c r="J737" i="4"/>
  <c r="K737" i="4"/>
  <c r="L737" i="4"/>
  <c r="M737" i="4"/>
  <c r="G738" i="4"/>
  <c r="H738" i="4"/>
  <c r="I738" i="4"/>
  <c r="J738" i="4"/>
  <c r="K738" i="4"/>
  <c r="L738" i="4"/>
  <c r="M738" i="4"/>
  <c r="G739" i="4"/>
  <c r="H739" i="4"/>
  <c r="I739" i="4"/>
  <c r="J739" i="4"/>
  <c r="K739" i="4"/>
  <c r="L739" i="4"/>
  <c r="M739" i="4"/>
  <c r="G740" i="4"/>
  <c r="H740" i="4"/>
  <c r="I740" i="4"/>
  <c r="J740" i="4"/>
  <c r="K740" i="4"/>
  <c r="L740" i="4"/>
  <c r="M740" i="4"/>
  <c r="G741" i="4"/>
  <c r="H741" i="4"/>
  <c r="I741" i="4"/>
  <c r="J741" i="4"/>
  <c r="K741" i="4"/>
  <c r="L741" i="4"/>
  <c r="M741" i="4"/>
  <c r="G742" i="4"/>
  <c r="H742" i="4"/>
  <c r="I742" i="4"/>
  <c r="J742" i="4"/>
  <c r="K742" i="4"/>
  <c r="L742" i="4"/>
  <c r="M742" i="4"/>
  <c r="G743" i="4"/>
  <c r="H743" i="4"/>
  <c r="I743" i="4"/>
  <c r="J743" i="4"/>
  <c r="K743" i="4"/>
  <c r="L743" i="4"/>
  <c r="M743" i="4"/>
  <c r="G744" i="4"/>
  <c r="H744" i="4"/>
  <c r="I744" i="4"/>
  <c r="J744" i="4"/>
  <c r="K744" i="4"/>
  <c r="L744" i="4"/>
  <c r="M744" i="4"/>
  <c r="G745" i="4"/>
  <c r="H745" i="4"/>
  <c r="I745" i="4"/>
  <c r="J745" i="4"/>
  <c r="K745" i="4"/>
  <c r="L745" i="4"/>
  <c r="M745" i="4"/>
  <c r="G746" i="4"/>
  <c r="H746" i="4"/>
  <c r="I746" i="4"/>
  <c r="J746" i="4"/>
  <c r="K746" i="4"/>
  <c r="L746" i="4"/>
  <c r="M746" i="4"/>
  <c r="G747" i="4"/>
  <c r="H747" i="4"/>
  <c r="I747" i="4"/>
  <c r="J747" i="4"/>
  <c r="K747" i="4"/>
  <c r="L747" i="4"/>
  <c r="M747" i="4"/>
  <c r="G748" i="4"/>
  <c r="H748" i="4"/>
  <c r="I748" i="4"/>
  <c r="J748" i="4"/>
  <c r="K748" i="4"/>
  <c r="L748" i="4"/>
  <c r="M748" i="4"/>
  <c r="G749" i="4"/>
  <c r="H749" i="4"/>
  <c r="I749" i="4"/>
  <c r="J749" i="4"/>
  <c r="K749" i="4"/>
  <c r="L749" i="4"/>
  <c r="M749" i="4"/>
  <c r="G750" i="4"/>
  <c r="H750" i="4"/>
  <c r="I750" i="4"/>
  <c r="J750" i="4"/>
  <c r="K750" i="4"/>
  <c r="L750" i="4"/>
  <c r="M750" i="4"/>
  <c r="G751" i="4"/>
  <c r="H751" i="4"/>
  <c r="I751" i="4"/>
  <c r="J751" i="4"/>
  <c r="K751" i="4"/>
  <c r="L751" i="4"/>
  <c r="M751" i="4"/>
  <c r="G752" i="4"/>
  <c r="H752" i="4"/>
  <c r="I752" i="4"/>
  <c r="J752" i="4"/>
  <c r="K752" i="4"/>
  <c r="L752" i="4"/>
  <c r="M752" i="4"/>
  <c r="G753" i="4"/>
  <c r="H753" i="4"/>
  <c r="I753" i="4"/>
  <c r="J753" i="4"/>
  <c r="K753" i="4"/>
  <c r="L753" i="4"/>
  <c r="M753" i="4"/>
  <c r="G754" i="4"/>
  <c r="H754" i="4"/>
  <c r="I754" i="4"/>
  <c r="J754" i="4"/>
  <c r="K754" i="4"/>
  <c r="L754" i="4"/>
  <c r="M754" i="4"/>
  <c r="G755" i="4"/>
  <c r="H755" i="4"/>
  <c r="I755" i="4"/>
  <c r="J755" i="4"/>
  <c r="K755" i="4"/>
  <c r="L755" i="4"/>
  <c r="M755" i="4"/>
  <c r="G756" i="4"/>
  <c r="H756" i="4"/>
  <c r="I756" i="4"/>
  <c r="J756" i="4"/>
  <c r="K756" i="4"/>
  <c r="L756" i="4"/>
  <c r="M756" i="4"/>
  <c r="G757" i="4"/>
  <c r="H757" i="4"/>
  <c r="I757" i="4"/>
  <c r="J757" i="4"/>
  <c r="K757" i="4"/>
  <c r="L757" i="4"/>
  <c r="M757" i="4"/>
  <c r="G758" i="4"/>
  <c r="H758" i="4"/>
  <c r="I758" i="4"/>
  <c r="J758" i="4"/>
  <c r="K758" i="4"/>
  <c r="L758" i="4"/>
  <c r="M758" i="4"/>
  <c r="G759" i="4"/>
  <c r="H759" i="4"/>
  <c r="I759" i="4"/>
  <c r="J759" i="4"/>
  <c r="K759" i="4"/>
  <c r="L759" i="4"/>
  <c r="M759" i="4"/>
  <c r="G760" i="4"/>
  <c r="H760" i="4"/>
  <c r="I760" i="4"/>
  <c r="J760" i="4"/>
  <c r="K760" i="4"/>
  <c r="L760" i="4"/>
  <c r="M760" i="4"/>
  <c r="G761" i="4"/>
  <c r="H761" i="4"/>
  <c r="I761" i="4"/>
  <c r="J761" i="4"/>
  <c r="K761" i="4"/>
  <c r="L761" i="4"/>
  <c r="M761" i="4"/>
  <c r="G762" i="4"/>
  <c r="H762" i="4"/>
  <c r="I762" i="4"/>
  <c r="J762" i="4"/>
  <c r="K762" i="4"/>
  <c r="L762" i="4"/>
  <c r="M762" i="4"/>
  <c r="G763" i="4"/>
  <c r="H763" i="4"/>
  <c r="I763" i="4"/>
  <c r="J763" i="4"/>
  <c r="K763" i="4"/>
  <c r="L763" i="4"/>
  <c r="M763" i="4"/>
  <c r="G764" i="4"/>
  <c r="H764" i="4"/>
  <c r="I764" i="4"/>
  <c r="J764" i="4"/>
  <c r="K764" i="4"/>
  <c r="L764" i="4"/>
  <c r="M764" i="4"/>
  <c r="G765" i="4"/>
  <c r="H765" i="4"/>
  <c r="I765" i="4"/>
  <c r="J765" i="4"/>
  <c r="K765" i="4"/>
  <c r="L765" i="4"/>
  <c r="M765" i="4"/>
  <c r="G766" i="4"/>
  <c r="H766" i="4"/>
  <c r="I766" i="4"/>
  <c r="J766" i="4"/>
  <c r="K766" i="4"/>
  <c r="L766" i="4"/>
  <c r="M766" i="4"/>
  <c r="G767" i="4"/>
  <c r="H767" i="4"/>
  <c r="I767" i="4"/>
  <c r="J767" i="4"/>
  <c r="K767" i="4"/>
  <c r="L767" i="4"/>
  <c r="M767" i="4"/>
  <c r="G768" i="4"/>
  <c r="H768" i="4"/>
  <c r="I768" i="4"/>
  <c r="J768" i="4"/>
  <c r="K768" i="4"/>
  <c r="L768" i="4"/>
  <c r="M768" i="4"/>
  <c r="G769" i="4"/>
  <c r="H769" i="4"/>
  <c r="I769" i="4"/>
  <c r="J769" i="4"/>
  <c r="K769" i="4"/>
  <c r="L769" i="4"/>
  <c r="M769" i="4"/>
  <c r="G770" i="4"/>
  <c r="H770" i="4"/>
  <c r="I770" i="4"/>
  <c r="J770" i="4"/>
  <c r="K770" i="4"/>
  <c r="L770" i="4"/>
  <c r="M770" i="4"/>
  <c r="G771" i="4"/>
  <c r="H771" i="4"/>
  <c r="I771" i="4"/>
  <c r="J771" i="4"/>
  <c r="K771" i="4"/>
  <c r="L771" i="4"/>
  <c r="M771" i="4"/>
  <c r="G772" i="4"/>
  <c r="H772" i="4"/>
  <c r="I772" i="4"/>
  <c r="J772" i="4"/>
  <c r="K772" i="4"/>
  <c r="L772" i="4"/>
  <c r="M772" i="4"/>
  <c r="G773" i="4"/>
  <c r="H773" i="4"/>
  <c r="I773" i="4"/>
  <c r="J773" i="4"/>
  <c r="K773" i="4"/>
  <c r="L773" i="4"/>
  <c r="M773" i="4"/>
  <c r="G774" i="4"/>
  <c r="H774" i="4"/>
  <c r="I774" i="4"/>
  <c r="J774" i="4"/>
  <c r="K774" i="4"/>
  <c r="L774" i="4"/>
  <c r="M774" i="4"/>
  <c r="G775" i="4"/>
  <c r="H775" i="4"/>
  <c r="I775" i="4"/>
  <c r="J775" i="4"/>
  <c r="K775" i="4"/>
  <c r="L775" i="4"/>
  <c r="M775" i="4"/>
  <c r="G776" i="4"/>
  <c r="H776" i="4"/>
  <c r="I776" i="4"/>
  <c r="J776" i="4"/>
  <c r="K776" i="4"/>
  <c r="L776" i="4"/>
  <c r="M776" i="4"/>
  <c r="G777" i="4"/>
  <c r="H777" i="4"/>
  <c r="I777" i="4"/>
  <c r="J777" i="4"/>
  <c r="K777" i="4"/>
  <c r="L777" i="4"/>
  <c r="M777" i="4"/>
  <c r="G778" i="4"/>
  <c r="H778" i="4"/>
  <c r="I778" i="4"/>
  <c r="J778" i="4"/>
  <c r="K778" i="4"/>
  <c r="L778" i="4"/>
  <c r="M778" i="4"/>
  <c r="G779" i="4"/>
  <c r="H779" i="4"/>
  <c r="I779" i="4"/>
  <c r="J779" i="4"/>
  <c r="K779" i="4"/>
  <c r="L779" i="4"/>
  <c r="M779" i="4"/>
  <c r="G780" i="4"/>
  <c r="H780" i="4"/>
  <c r="I780" i="4"/>
  <c r="J780" i="4"/>
  <c r="K780" i="4"/>
  <c r="L780" i="4"/>
  <c r="M780" i="4"/>
  <c r="G781" i="4"/>
  <c r="H781" i="4"/>
  <c r="I781" i="4"/>
  <c r="J781" i="4"/>
  <c r="K781" i="4"/>
  <c r="L781" i="4"/>
  <c r="M781" i="4"/>
  <c r="H2" i="4"/>
  <c r="I2" i="4"/>
  <c r="J2" i="4"/>
  <c r="K2" i="4"/>
  <c r="L2" i="4"/>
  <c r="M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3" i="4"/>
  <c r="F2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2" i="3"/>
  <c r="L6" i="7" l="1"/>
  <c r="D43" i="6"/>
  <c r="F13" i="6"/>
  <c r="F43" i="7"/>
  <c r="D33" i="7"/>
  <c r="F23" i="7"/>
  <c r="F43" i="6"/>
  <c r="F23" i="6"/>
  <c r="F33" i="6"/>
  <c r="D43" i="7"/>
  <c r="F13" i="7"/>
  <c r="D33" i="6"/>
  <c r="D23" i="7"/>
  <c r="D23" i="6"/>
  <c r="D13" i="6"/>
  <c r="D13" i="7"/>
  <c r="F33" i="7"/>
  <c r="C12" i="7"/>
  <c r="C22" i="6"/>
  <c r="C42" i="6"/>
  <c r="C32" i="6"/>
  <c r="C32" i="7"/>
  <c r="C22" i="7"/>
  <c r="G23" i="6"/>
  <c r="G13" i="7"/>
  <c r="G43" i="6"/>
  <c r="G13" i="6"/>
  <c r="G43" i="7"/>
  <c r="G33" i="6"/>
  <c r="G33" i="7"/>
  <c r="G23" i="7"/>
  <c r="L5" i="7"/>
  <c r="L4" i="7"/>
  <c r="L3" i="7"/>
  <c r="L16" i="7"/>
  <c r="L46" i="7"/>
  <c r="L26" i="7"/>
  <c r="L26" i="6"/>
  <c r="L36" i="6"/>
  <c r="L36" i="7"/>
  <c r="L46" i="6"/>
  <c r="K11" i="6"/>
  <c r="K21" i="7"/>
  <c r="K11" i="7"/>
  <c r="K31" i="6"/>
  <c r="K21" i="6"/>
  <c r="K31" i="7"/>
  <c r="K41" i="6"/>
  <c r="K41" i="7"/>
  <c r="L25" i="6"/>
  <c r="L45" i="7"/>
  <c r="L35" i="6"/>
  <c r="L35" i="7"/>
  <c r="L45" i="6"/>
  <c r="L15" i="7"/>
  <c r="L25" i="7"/>
  <c r="M47" i="6"/>
  <c r="M27" i="6"/>
  <c r="M17" i="7"/>
  <c r="M37" i="7"/>
  <c r="M37" i="6"/>
  <c r="M27" i="7"/>
  <c r="C24" i="7"/>
  <c r="C34" i="7"/>
  <c r="C24" i="6"/>
  <c r="C44" i="6"/>
  <c r="C14" i="7"/>
  <c r="C34" i="6"/>
  <c r="I21" i="7"/>
  <c r="I21" i="6"/>
  <c r="I41" i="6"/>
  <c r="I31" i="7"/>
  <c r="I31" i="6"/>
  <c r="I11" i="7"/>
  <c r="I11" i="6"/>
  <c r="K6" i="7"/>
  <c r="K5" i="7"/>
  <c r="K4" i="7"/>
  <c r="K36" i="6"/>
  <c r="K26" i="6"/>
  <c r="K36" i="7"/>
  <c r="K16" i="7"/>
  <c r="K46" i="6"/>
  <c r="K46" i="7"/>
  <c r="K26" i="7"/>
  <c r="K15" i="7"/>
  <c r="K45" i="7"/>
  <c r="K25" i="6"/>
  <c r="K25" i="7"/>
  <c r="K35" i="6"/>
  <c r="K45" i="6"/>
  <c r="K35" i="7"/>
  <c r="M22" i="7"/>
  <c r="M12" i="7"/>
  <c r="M42" i="6"/>
  <c r="M32" i="7"/>
  <c r="M32" i="6"/>
  <c r="M22" i="6"/>
  <c r="L17" i="7"/>
  <c r="L47" i="6"/>
  <c r="L47" i="7"/>
  <c r="L27" i="6"/>
  <c r="L37" i="7"/>
  <c r="L37" i="6"/>
  <c r="L27" i="7"/>
  <c r="C33" i="7"/>
  <c r="C13" i="7"/>
  <c r="C43" i="6"/>
  <c r="C33" i="6"/>
  <c r="C23" i="7"/>
  <c r="C23" i="6"/>
  <c r="I36" i="7"/>
  <c r="I16" i="6"/>
  <c r="I46" i="6"/>
  <c r="I36" i="6"/>
  <c r="I26" i="7"/>
  <c r="I26" i="6"/>
  <c r="I16" i="7"/>
  <c r="H11" i="6"/>
  <c r="H41" i="6"/>
  <c r="H21" i="6"/>
  <c r="H31" i="7"/>
  <c r="H21" i="7"/>
  <c r="H11" i="7"/>
  <c r="H31" i="6"/>
  <c r="I45" i="6"/>
  <c r="I35" i="6"/>
  <c r="I25" i="6"/>
  <c r="I15" i="7"/>
  <c r="I35" i="7"/>
  <c r="I25" i="7"/>
  <c r="I15" i="6"/>
  <c r="F4" i="7"/>
  <c r="F3" i="7"/>
  <c r="F6" i="7"/>
  <c r="F5" i="7"/>
  <c r="M24" i="7"/>
  <c r="M44" i="6"/>
  <c r="M34" i="6"/>
  <c r="M34" i="7"/>
  <c r="M24" i="6"/>
  <c r="M14" i="7"/>
  <c r="L22" i="7"/>
  <c r="L32" i="6"/>
  <c r="L22" i="6"/>
  <c r="L42" i="6"/>
  <c r="L12" i="7"/>
  <c r="L32" i="7"/>
  <c r="L42" i="7"/>
  <c r="K37" i="7"/>
  <c r="K17" i="7"/>
  <c r="K47" i="7"/>
  <c r="K47" i="6"/>
  <c r="K27" i="6"/>
  <c r="K27" i="7"/>
  <c r="K37" i="6"/>
  <c r="L34" i="7"/>
  <c r="L24" i="7"/>
  <c r="L34" i="6"/>
  <c r="L44" i="6"/>
  <c r="L44" i="7"/>
  <c r="L14" i="7"/>
  <c r="L24" i="6"/>
  <c r="M23" i="7"/>
  <c r="M43" i="6"/>
  <c r="M33" i="7"/>
  <c r="M13" i="7"/>
  <c r="M33" i="6"/>
  <c r="M23" i="6"/>
  <c r="K42" i="6"/>
  <c r="K32" i="6"/>
  <c r="K22" i="7"/>
  <c r="K32" i="7"/>
  <c r="K42" i="7"/>
  <c r="K12" i="7"/>
  <c r="K22" i="6"/>
  <c r="I46" i="7"/>
  <c r="I44" i="7"/>
  <c r="I42" i="7"/>
  <c r="I6" i="7"/>
  <c r="I47" i="7"/>
  <c r="I45" i="7"/>
  <c r="I43" i="7"/>
  <c r="I41" i="7"/>
  <c r="I5" i="7"/>
  <c r="I4" i="7"/>
  <c r="I3" i="7"/>
  <c r="H45" i="6"/>
  <c r="H15" i="6"/>
  <c r="H35" i="7"/>
  <c r="H35" i="6"/>
  <c r="H25" i="7"/>
  <c r="H15" i="7"/>
  <c r="H25" i="6"/>
  <c r="I47" i="6"/>
  <c r="I27" i="6"/>
  <c r="I27" i="7"/>
  <c r="I17" i="7"/>
  <c r="I17" i="6"/>
  <c r="I37" i="6"/>
  <c r="I37" i="7"/>
  <c r="D5" i="7"/>
  <c r="D4" i="7"/>
  <c r="D3" i="7"/>
  <c r="D6" i="7"/>
  <c r="F26" i="7"/>
  <c r="F16" i="6"/>
  <c r="F46" i="7"/>
  <c r="D26" i="6"/>
  <c r="F26" i="6"/>
  <c r="D26" i="7"/>
  <c r="D16" i="7"/>
  <c r="F16" i="7"/>
  <c r="D16" i="6"/>
  <c r="D46" i="6"/>
  <c r="D36" i="6"/>
  <c r="F46" i="6"/>
  <c r="F36" i="6"/>
  <c r="F36" i="7"/>
  <c r="D46" i="7"/>
  <c r="D36" i="7"/>
  <c r="F25" i="7"/>
  <c r="D45" i="7"/>
  <c r="D35" i="7"/>
  <c r="F45" i="6"/>
  <c r="D25" i="7"/>
  <c r="D15" i="6"/>
  <c r="D35" i="6"/>
  <c r="F15" i="6"/>
  <c r="F25" i="6"/>
  <c r="F35" i="7"/>
  <c r="F35" i="6"/>
  <c r="F45" i="7"/>
  <c r="D45" i="6"/>
  <c r="D25" i="6"/>
  <c r="D15" i="7"/>
  <c r="F15" i="7"/>
  <c r="H46" i="7"/>
  <c r="H44" i="7"/>
  <c r="H42" i="7"/>
  <c r="H6" i="7"/>
  <c r="H47" i="7"/>
  <c r="H45" i="7"/>
  <c r="H43" i="7"/>
  <c r="H41" i="7"/>
  <c r="H5" i="7"/>
  <c r="H4" i="7"/>
  <c r="H3" i="7"/>
  <c r="H7" i="7"/>
  <c r="G46" i="7"/>
  <c r="G26" i="7"/>
  <c r="G36" i="7"/>
  <c r="G46" i="6"/>
  <c r="G16" i="6"/>
  <c r="G36" i="6"/>
  <c r="G26" i="6"/>
  <c r="G16" i="7"/>
  <c r="G35" i="6"/>
  <c r="G45" i="7"/>
  <c r="G45" i="6"/>
  <c r="G25" i="6"/>
  <c r="G15" i="7"/>
  <c r="G35" i="7"/>
  <c r="G15" i="6"/>
  <c r="G25" i="7"/>
  <c r="I12" i="7"/>
  <c r="I22" i="7"/>
  <c r="I42" i="6"/>
  <c r="I32" i="6"/>
  <c r="I22" i="6"/>
  <c r="I12" i="6"/>
  <c r="I32" i="7"/>
  <c r="H47" i="6"/>
  <c r="H17" i="7"/>
  <c r="H27" i="7"/>
  <c r="H37" i="7"/>
  <c r="H17" i="6"/>
  <c r="H37" i="6"/>
  <c r="H27" i="6"/>
  <c r="K14" i="7"/>
  <c r="K44" i="7"/>
  <c r="K24" i="7"/>
  <c r="K44" i="6"/>
  <c r="K34" i="7"/>
  <c r="K24" i="6"/>
  <c r="K34" i="6"/>
  <c r="L43" i="7"/>
  <c r="L23" i="6"/>
  <c r="L23" i="7"/>
  <c r="L43" i="6"/>
  <c r="L33" i="7"/>
  <c r="L13" i="7"/>
  <c r="L33" i="6"/>
  <c r="D41" i="7"/>
  <c r="F21" i="6"/>
  <c r="F41" i="7"/>
  <c r="D31" i="6"/>
  <c r="D11" i="6"/>
  <c r="D21" i="7"/>
  <c r="D11" i="7"/>
  <c r="F11" i="6"/>
  <c r="F31" i="6"/>
  <c r="D31" i="7"/>
  <c r="F21" i="7"/>
  <c r="F11" i="7"/>
  <c r="F41" i="6"/>
  <c r="F31" i="7"/>
  <c r="D21" i="6"/>
  <c r="D41" i="6"/>
  <c r="C31" i="7"/>
  <c r="C11" i="6"/>
  <c r="C21" i="6"/>
  <c r="C21" i="7"/>
  <c r="C41" i="6"/>
  <c r="C31" i="6"/>
  <c r="F47" i="7"/>
  <c r="D47" i="6"/>
  <c r="D27" i="7"/>
  <c r="D37" i="7"/>
  <c r="D37" i="6"/>
  <c r="F37" i="6"/>
  <c r="F17" i="7"/>
  <c r="D17" i="6"/>
  <c r="F27" i="7"/>
  <c r="D47" i="7"/>
  <c r="F27" i="6"/>
  <c r="D17" i="7"/>
  <c r="D27" i="6"/>
  <c r="F47" i="6"/>
  <c r="F37" i="7"/>
  <c r="F17" i="6"/>
  <c r="G37" i="7"/>
  <c r="G37" i="6"/>
  <c r="G27" i="6"/>
  <c r="G17" i="6"/>
  <c r="G47" i="7"/>
  <c r="G17" i="7"/>
  <c r="G47" i="6"/>
  <c r="G27" i="7"/>
  <c r="K23" i="6"/>
  <c r="K13" i="7"/>
  <c r="K33" i="7"/>
  <c r="K23" i="7"/>
  <c r="K43" i="6"/>
  <c r="K43" i="7"/>
  <c r="K33" i="6"/>
  <c r="H36" i="7"/>
  <c r="H16" i="6"/>
  <c r="H26" i="6"/>
  <c r="H36" i="6"/>
  <c r="H26" i="7"/>
  <c r="H16" i="7"/>
  <c r="H46" i="6"/>
  <c r="G41" i="6"/>
  <c r="G11" i="7"/>
  <c r="G11" i="6"/>
  <c r="G21" i="6"/>
  <c r="G21" i="7"/>
  <c r="G31" i="6"/>
  <c r="G31" i="7"/>
  <c r="G41" i="7"/>
  <c r="G6" i="7"/>
  <c r="G5" i="7"/>
  <c r="G4" i="7"/>
  <c r="G3" i="7"/>
  <c r="H42" i="6"/>
  <c r="H32" i="6"/>
  <c r="H12" i="7"/>
  <c r="H32" i="7"/>
  <c r="H22" i="6"/>
  <c r="H12" i="6"/>
  <c r="H22" i="7"/>
  <c r="C6" i="7"/>
  <c r="C11" i="7"/>
  <c r="C5" i="7"/>
  <c r="C4" i="7"/>
  <c r="C46" i="7"/>
  <c r="C44" i="7"/>
  <c r="C42" i="7"/>
  <c r="C3" i="7"/>
  <c r="C47" i="7"/>
  <c r="C45" i="7"/>
  <c r="C43" i="7"/>
  <c r="C41" i="7"/>
  <c r="C16" i="7"/>
  <c r="C46" i="6"/>
  <c r="C36" i="6"/>
  <c r="C36" i="7"/>
  <c r="C26" i="6"/>
  <c r="C26" i="7"/>
  <c r="C25" i="6"/>
  <c r="C35" i="7"/>
  <c r="C35" i="6"/>
  <c r="C25" i="7"/>
  <c r="C15" i="7"/>
  <c r="C45" i="6"/>
  <c r="F12" i="7"/>
  <c r="D12" i="6"/>
  <c r="D42" i="7"/>
  <c r="D32" i="6"/>
  <c r="D42" i="6"/>
  <c r="F32" i="6"/>
  <c r="F42" i="6"/>
  <c r="F22" i="6"/>
  <c r="D22" i="7"/>
  <c r="F12" i="6"/>
  <c r="F42" i="7"/>
  <c r="D22" i="6"/>
  <c r="D32" i="7"/>
  <c r="F22" i="7"/>
  <c r="F32" i="7"/>
  <c r="D12" i="7"/>
  <c r="H44" i="6"/>
  <c r="H34" i="7"/>
  <c r="H24" i="6"/>
  <c r="H14" i="7"/>
  <c r="H34" i="6"/>
  <c r="H14" i="6"/>
  <c r="H24" i="7"/>
  <c r="I13" i="6"/>
  <c r="I13" i="7"/>
  <c r="I23" i="6"/>
  <c r="I23" i="7"/>
  <c r="I33" i="6"/>
  <c r="I43" i="6"/>
  <c r="I33" i="7"/>
  <c r="G12" i="7"/>
  <c r="G22" i="6"/>
  <c r="G22" i="7"/>
  <c r="G12" i="6"/>
  <c r="G42" i="6"/>
  <c r="G32" i="7"/>
  <c r="G42" i="7"/>
  <c r="G32" i="6"/>
  <c r="M41" i="6"/>
  <c r="M31" i="7"/>
  <c r="M21" i="6"/>
  <c r="M21" i="7"/>
  <c r="M31" i="6"/>
  <c r="I14" i="7"/>
  <c r="I24" i="7"/>
  <c r="I24" i="6"/>
  <c r="I14" i="6"/>
  <c r="I44" i="6"/>
  <c r="I34" i="6"/>
  <c r="I34" i="7"/>
  <c r="D14" i="6"/>
  <c r="F24" i="6"/>
  <c r="D34" i="7"/>
  <c r="F34" i="7"/>
  <c r="F24" i="7"/>
  <c r="F14" i="6"/>
  <c r="D24" i="7"/>
  <c r="D44" i="6"/>
  <c r="D44" i="7"/>
  <c r="F44" i="6"/>
  <c r="D24" i="6"/>
  <c r="F34" i="6"/>
  <c r="F14" i="7"/>
  <c r="F44" i="7"/>
  <c r="D34" i="6"/>
  <c r="D14" i="7"/>
  <c r="C47" i="6"/>
  <c r="C27" i="6"/>
  <c r="C37" i="6"/>
  <c r="C37" i="7"/>
  <c r="C17" i="7"/>
  <c r="C27" i="7"/>
  <c r="G34" i="7"/>
  <c r="G14" i="7"/>
  <c r="G24" i="6"/>
  <c r="G24" i="7"/>
  <c r="G34" i="6"/>
  <c r="G44" i="7"/>
  <c r="G14" i="6"/>
  <c r="G44" i="6"/>
  <c r="H23" i="7"/>
  <c r="H33" i="7"/>
  <c r="H13" i="7"/>
  <c r="H33" i="6"/>
  <c r="H23" i="6"/>
  <c r="H43" i="6"/>
  <c r="H13" i="6"/>
  <c r="M6" i="7"/>
  <c r="M5" i="7"/>
  <c r="M4" i="7"/>
  <c r="M3" i="7"/>
  <c r="M47" i="7"/>
  <c r="M45" i="7"/>
  <c r="M43" i="7"/>
  <c r="M41" i="7"/>
  <c r="M46" i="7"/>
  <c r="M44" i="7"/>
  <c r="M42" i="7"/>
  <c r="M26" i="7"/>
  <c r="M26" i="6"/>
  <c r="M16" i="7"/>
  <c r="M36" i="6"/>
  <c r="M46" i="6"/>
  <c r="M36" i="7"/>
  <c r="L31" i="6"/>
  <c r="L39" i="6" s="1"/>
  <c r="L31" i="7"/>
  <c r="L21" i="6"/>
  <c r="L11" i="7"/>
  <c r="L21" i="7"/>
  <c r="L41" i="7"/>
  <c r="L49" i="7" s="1"/>
  <c r="L41" i="6"/>
  <c r="M25" i="6"/>
  <c r="M15" i="7"/>
  <c r="M35" i="6"/>
  <c r="M35" i="7"/>
  <c r="M25" i="7"/>
  <c r="M45" i="6"/>
  <c r="M17" i="6"/>
  <c r="L16" i="6"/>
  <c r="L15" i="6"/>
  <c r="C14" i="6"/>
  <c r="K16" i="6"/>
  <c r="K15" i="6"/>
  <c r="M12" i="6"/>
  <c r="L17" i="6"/>
  <c r="C13" i="6"/>
  <c r="M14" i="6"/>
  <c r="L12" i="6"/>
  <c r="K17" i="6"/>
  <c r="C12" i="6"/>
  <c r="L14" i="6"/>
  <c r="M13" i="6"/>
  <c r="K12" i="6"/>
  <c r="K14" i="6"/>
  <c r="L13" i="6"/>
  <c r="K13" i="6"/>
  <c r="C16" i="6"/>
  <c r="C15" i="6"/>
  <c r="C17" i="6"/>
  <c r="C3" i="6"/>
  <c r="M16" i="6"/>
  <c r="L11" i="6"/>
  <c r="M15" i="6"/>
  <c r="K3" i="6"/>
  <c r="M6" i="6"/>
  <c r="M4" i="6"/>
  <c r="M5" i="6"/>
  <c r="L6" i="6"/>
  <c r="L5" i="6"/>
  <c r="L3" i="6"/>
  <c r="L4" i="6"/>
  <c r="K4" i="6"/>
  <c r="K6" i="6"/>
  <c r="K5" i="6"/>
  <c r="I3" i="6"/>
  <c r="I4" i="6"/>
  <c r="I5" i="6"/>
  <c r="I6" i="6"/>
  <c r="H6" i="6"/>
  <c r="H7" i="6"/>
  <c r="H4" i="6"/>
  <c r="H5" i="6"/>
  <c r="H3" i="6"/>
  <c r="D3" i="6"/>
  <c r="D6" i="6"/>
  <c r="D5" i="6"/>
  <c r="D4" i="6"/>
  <c r="G5" i="6"/>
  <c r="G3" i="6"/>
  <c r="G6" i="6"/>
  <c r="G4" i="6"/>
  <c r="F6" i="6"/>
  <c r="F3" i="6"/>
  <c r="F5" i="6"/>
  <c r="F4" i="6"/>
  <c r="C4" i="6"/>
  <c r="C5" i="6"/>
  <c r="C6" i="6"/>
  <c r="L39" i="7" l="1"/>
  <c r="L49" i="6"/>
  <c r="L29" i="7"/>
  <c r="L29" i="6"/>
  <c r="M39" i="6"/>
  <c r="G39" i="6"/>
  <c r="D39" i="7"/>
  <c r="F29" i="6"/>
  <c r="I39" i="7"/>
  <c r="K49" i="6"/>
  <c r="M29" i="7"/>
  <c r="C19" i="7"/>
  <c r="G29" i="7"/>
  <c r="C39" i="7"/>
  <c r="F39" i="6"/>
  <c r="D49" i="7"/>
  <c r="K39" i="7"/>
  <c r="M29" i="6"/>
  <c r="G29" i="6"/>
  <c r="D49" i="6"/>
  <c r="F19" i="6"/>
  <c r="H49" i="7"/>
  <c r="M49" i="6"/>
  <c r="H39" i="6"/>
  <c r="I29" i="6"/>
  <c r="K29" i="6"/>
  <c r="M49" i="7"/>
  <c r="M39" i="7"/>
  <c r="G19" i="6"/>
  <c r="D29" i="6"/>
  <c r="D19" i="7"/>
  <c r="I49" i="6"/>
  <c r="I29" i="7"/>
  <c r="K39" i="6"/>
  <c r="H19" i="6"/>
  <c r="C39" i="6"/>
  <c r="F39" i="7"/>
  <c r="D29" i="7"/>
  <c r="H29" i="7"/>
  <c r="G49" i="6"/>
  <c r="C49" i="6"/>
  <c r="F49" i="6"/>
  <c r="D19" i="6"/>
  <c r="H39" i="7"/>
  <c r="I19" i="6"/>
  <c r="K29" i="7"/>
  <c r="G49" i="7"/>
  <c r="C29" i="7"/>
  <c r="D39" i="6"/>
  <c r="H29" i="6"/>
  <c r="C49" i="7"/>
  <c r="G39" i="7"/>
  <c r="C29" i="6"/>
  <c r="F29" i="7"/>
  <c r="F49" i="7"/>
  <c r="I49" i="7"/>
  <c r="H49" i="6"/>
  <c r="I39" i="6"/>
  <c r="K49" i="7"/>
  <c r="M19" i="6"/>
  <c r="L19" i="6"/>
  <c r="C19" i="6"/>
  <c r="K19" i="6"/>
</calcChain>
</file>

<file path=xl/sharedStrings.xml><?xml version="1.0" encoding="utf-8"?>
<sst xmlns="http://schemas.openxmlformats.org/spreadsheetml/2006/main" count="15233" uniqueCount="1117">
  <si>
    <t>School</t>
  </si>
  <si>
    <t>Enrollment</t>
  </si>
  <si>
    <t>BA</t>
  </si>
  <si>
    <t>SBG</t>
  </si>
  <si>
    <t>SOG</t>
  </si>
  <si>
    <t>TNB</t>
  </si>
  <si>
    <t>TRB</t>
  </si>
  <si>
    <t>TRG</t>
  </si>
  <si>
    <t>Abingdon (A.-Avon)</t>
  </si>
  <si>
    <t>1A</t>
  </si>
  <si>
    <t>Addison (A. Trail)</t>
  </si>
  <si>
    <t>4A</t>
  </si>
  <si>
    <t>3A</t>
  </si>
  <si>
    <t>2A</t>
  </si>
  <si>
    <t>Albion (Edwards County)</t>
  </si>
  <si>
    <t>Aledo (Mercer County)</t>
  </si>
  <si>
    <t>Algonquin (Jacobs)</t>
  </si>
  <si>
    <t>Altamont</t>
  </si>
  <si>
    <t>Alton (Marquette)</t>
  </si>
  <si>
    <t>372.00 (613.80)</t>
  </si>
  <si>
    <t>Alton (Sr.)</t>
  </si>
  <si>
    <t>Amboy</t>
  </si>
  <si>
    <t>Anna (A.-Jonesboro)</t>
  </si>
  <si>
    <t>Antioch</t>
  </si>
  <si>
    <t>Arcola</t>
  </si>
  <si>
    <t>Argenta (A.-Oreana)</t>
  </si>
  <si>
    <t>Arlington Heights (Hersey)</t>
  </si>
  <si>
    <t>Arlington Heights (St. Viator)</t>
  </si>
  <si>
    <t>774.00 (1,277.10)</t>
  </si>
  <si>
    <t>Armstrong</t>
  </si>
  <si>
    <t>Arthur (A.-Lovington-Atwood-Hammond)</t>
  </si>
  <si>
    <t>Ashton (A.-Franklin Center)</t>
  </si>
  <si>
    <t>Astoria</t>
  </si>
  <si>
    <t>Athens</t>
  </si>
  <si>
    <t>Auburn</t>
  </si>
  <si>
    <t>Augusta (Southeastern)</t>
  </si>
  <si>
    <t>Aurora (A. Christian)</t>
  </si>
  <si>
    <t>217.00 (358.05)</t>
  </si>
  <si>
    <t>Aurora (Central Catholic)</t>
  </si>
  <si>
    <t>425.00 (701.25)</t>
  </si>
  <si>
    <t>Aurora (East)</t>
  </si>
  <si>
    <t>Aurora (Illinois Math and Science Academy)</t>
  </si>
  <si>
    <t>872.00 (1,438.80)</t>
  </si>
  <si>
    <t>Aurora (Marmion Academy)</t>
  </si>
  <si>
    <t>820.00 (1,353.00)</t>
  </si>
  <si>
    <t>Aurora (Metea Valley)</t>
  </si>
  <si>
    <t>Aurora (Rosary)</t>
  </si>
  <si>
    <t>420.00 (693.00)</t>
  </si>
  <si>
    <t>Aurora (Waubonsie Valley)</t>
  </si>
  <si>
    <t>Aurora (West Aurora)</t>
  </si>
  <si>
    <t>Barrington</t>
  </si>
  <si>
    <t>Barry (Western)</t>
  </si>
  <si>
    <t>Bartlett</t>
  </si>
  <si>
    <t>Bartonville (Limestone)</t>
  </si>
  <si>
    <t>Batavia</t>
  </si>
  <si>
    <t>Beardstown (H.S.)</t>
  </si>
  <si>
    <t>Beecher</t>
  </si>
  <si>
    <t>Beecher City</t>
  </si>
  <si>
    <t>Belleville (Althoff Catholic)</t>
  </si>
  <si>
    <t>332.00 (547.80)</t>
  </si>
  <si>
    <t>Belleville (East)</t>
  </si>
  <si>
    <t>Belleville (West)</t>
  </si>
  <si>
    <t>Belvidere (H.S.)</t>
  </si>
  <si>
    <t>Belvidere (North)</t>
  </si>
  <si>
    <t>Bensenville (Fenton)</t>
  </si>
  <si>
    <t>Benton</t>
  </si>
  <si>
    <t>Berwyn-Cicero (Morton)</t>
  </si>
  <si>
    <t>Bethalto (Civic Memorial)</t>
  </si>
  <si>
    <t>Bethany (Okaw Valley)</t>
  </si>
  <si>
    <t>Biggsville (West Central)</t>
  </si>
  <si>
    <t>Bismarck (B.-Henning-Rossville-Alvin)</t>
  </si>
  <si>
    <t>Bloomington (Central Catholic)</t>
  </si>
  <si>
    <t>316.00 (521.40)</t>
  </si>
  <si>
    <t>Bloomington (Cornerstone Christian Academy)</t>
  </si>
  <si>
    <t>148.00 (244.20)</t>
  </si>
  <si>
    <t>Bloomington (H.S.)</t>
  </si>
  <si>
    <t>Blue Island (Eisenhower)</t>
  </si>
  <si>
    <t>Bluffs</t>
  </si>
  <si>
    <t>Bluford (Webber)</t>
  </si>
  <si>
    <t>Bolingbrook</t>
  </si>
  <si>
    <t>Bradley (B.-Bourbonnais)</t>
  </si>
  <si>
    <t>Braidwood (Reed-Custer)</t>
  </si>
  <si>
    <t>Breese (Central)</t>
  </si>
  <si>
    <t>Breese (Mater Dei)</t>
  </si>
  <si>
    <t>338.00 (557.70)</t>
  </si>
  <si>
    <t>Bridgeport (Red Hill)</t>
  </si>
  <si>
    <t>Brimfield</t>
  </si>
  <si>
    <t>Broadlands (Heritage)</t>
  </si>
  <si>
    <t>Brownstown</t>
  </si>
  <si>
    <t>Buckley (Christ Lutheran)</t>
  </si>
  <si>
    <t>13.00 (21.45)</t>
  </si>
  <si>
    <t>Buffalo (Tri-City)</t>
  </si>
  <si>
    <t>Buffalo Grove</t>
  </si>
  <si>
    <t>Bunker Hill</t>
  </si>
  <si>
    <t>Burbank (Reavis)</t>
  </si>
  <si>
    <t>Burbank (St. Laurence)</t>
  </si>
  <si>
    <t>1,098.00 (1,811.70)</t>
  </si>
  <si>
    <t>Burlington (Central)</t>
  </si>
  <si>
    <t>Bushnell (B.-Prairie City)</t>
  </si>
  <si>
    <t>Byron</t>
  </si>
  <si>
    <t>Cahokia (H.S.)</t>
  </si>
  <si>
    <t>Cairo</t>
  </si>
  <si>
    <t>Calumet City (Thornton Fractional North)</t>
  </si>
  <si>
    <t>Cambridge</t>
  </si>
  <si>
    <t>Camp Point (Central)</t>
  </si>
  <si>
    <t>Campbell Hill (Trico)</t>
  </si>
  <si>
    <t>Canton</t>
  </si>
  <si>
    <t>Carbondale (H.S.)</t>
  </si>
  <si>
    <t>Carlinville</t>
  </si>
  <si>
    <t>Carlyle</t>
  </si>
  <si>
    <t>Carmi (C.-White County)</t>
  </si>
  <si>
    <t>Carol Stream (Glenbard North)</t>
  </si>
  <si>
    <t>Carpentersville (Dundee-Crown)</t>
  </si>
  <si>
    <t>Carrier Mills (C.M.-Stonefort)</t>
  </si>
  <si>
    <t>Carrollton</t>
  </si>
  <si>
    <t>Carterville</t>
  </si>
  <si>
    <t>Carthage (Illini West)</t>
  </si>
  <si>
    <t>Cary (C.-Grove)</t>
  </si>
  <si>
    <t>Casey (C.-Westfield)</t>
  </si>
  <si>
    <t>Catlin (Salt Fork)</t>
  </si>
  <si>
    <t>Centralia (Christ Our Rock Lutheran)</t>
  </si>
  <si>
    <t>107.00 (176.55)</t>
  </si>
  <si>
    <t>Centralia (H.S.)</t>
  </si>
  <si>
    <t>Cerro Gordo</t>
  </si>
  <si>
    <t>Champaign (Centennial)</t>
  </si>
  <si>
    <t>Champaign (Central)</t>
  </si>
  <si>
    <t>Champaign (Judah Christian)</t>
  </si>
  <si>
    <t>76.00 (125.40)</t>
  </si>
  <si>
    <t>Champaign (St. Thomas More)</t>
  </si>
  <si>
    <t>191.00 (315.15)</t>
  </si>
  <si>
    <t>Charleston</t>
  </si>
  <si>
    <t>Chatham (Glenwood)</t>
  </si>
  <si>
    <t>Chester</t>
  </si>
  <si>
    <t>Chicago (Acero/Garcia)</t>
  </si>
  <si>
    <t>654.00 (1,079.10)</t>
  </si>
  <si>
    <t>Chicago (Acero/Soto)</t>
  </si>
  <si>
    <t>552.00 (910.80)</t>
  </si>
  <si>
    <t>Chicago (Agricultural Science)</t>
  </si>
  <si>
    <t>760.00 (1,254.00)</t>
  </si>
  <si>
    <t>Chicago (Air Force Academy)</t>
  </si>
  <si>
    <t>130.00 (214.50)</t>
  </si>
  <si>
    <t>Chicago (Amundsen)</t>
  </si>
  <si>
    <t>Chicago (Austin)</t>
  </si>
  <si>
    <t>Chicago (Back of the Yards)</t>
  </si>
  <si>
    <t>1,014.00 (1,673.10)</t>
  </si>
  <si>
    <t>Chicago (Bogan)</t>
  </si>
  <si>
    <t>Chicago (Brooks)</t>
  </si>
  <si>
    <t>873.00 (1,440.45)</t>
  </si>
  <si>
    <t>Chicago (Brother Rice)</t>
  </si>
  <si>
    <t>1,322.00 (2,181.30)</t>
  </si>
  <si>
    <t>Chicago (C. Academy)</t>
  </si>
  <si>
    <t>569.00 (938.85)</t>
  </si>
  <si>
    <t>Chicago (C. Hope Academy)</t>
  </si>
  <si>
    <t>289.00 (476.85)</t>
  </si>
  <si>
    <t>Chicago (C. Math and Science Charter)</t>
  </si>
  <si>
    <t>421.00 (694.65)</t>
  </si>
  <si>
    <t>Chicago (C. Military Academy-Bronzeville)</t>
  </si>
  <si>
    <t>201.00 (331.65)</t>
  </si>
  <si>
    <t>Chicago (C. Tech Academy Charter)</t>
  </si>
  <si>
    <t>313.00 (516.45)</t>
  </si>
  <si>
    <t>Chicago (C. Vocational)</t>
  </si>
  <si>
    <t>578.00 (953.70)</t>
  </si>
  <si>
    <t>Chicago (Carver Military Academy)</t>
  </si>
  <si>
    <t>415.00 (684.75)</t>
  </si>
  <si>
    <t>Chicago (Catalyst/Maria)</t>
  </si>
  <si>
    <t>Chicago (Christ the King)</t>
  </si>
  <si>
    <t>397.00 (655.05)</t>
  </si>
  <si>
    <t>Chicago (CICS/Longwood)</t>
  </si>
  <si>
    <t>443.00 (730.95)</t>
  </si>
  <si>
    <t>Chicago (CICS/Northtown)</t>
  </si>
  <si>
    <t>Chicago (Clark)</t>
  </si>
  <si>
    <t>442.00 (729.30)</t>
  </si>
  <si>
    <t>Chicago (Clemente)</t>
  </si>
  <si>
    <t>Chicago (Collins Academy)</t>
  </si>
  <si>
    <t>196.00 (323.40)</t>
  </si>
  <si>
    <t>Chicago (Corliss)</t>
  </si>
  <si>
    <t>Chicago (Crane Medical Prep)</t>
  </si>
  <si>
    <t>282.00 (465.30)</t>
  </si>
  <si>
    <t>Chicago (Cristo Rey Jesuit)</t>
  </si>
  <si>
    <t>527.00 (869.55)</t>
  </si>
  <si>
    <t>Chicago (Curie)</t>
  </si>
  <si>
    <t>2,873.00 (4,740.45)</t>
  </si>
  <si>
    <t>Chicago (De La Salle)</t>
  </si>
  <si>
    <t>740.00 (1,221.00)</t>
  </si>
  <si>
    <t>Chicago (DePaul College Prep)</t>
  </si>
  <si>
    <t>1,342.00 (2,214.30)</t>
  </si>
  <si>
    <t>Chicago (Disney II)</t>
  </si>
  <si>
    <t>571.00 (942.15)</t>
  </si>
  <si>
    <t>Chicago (DuSable)</t>
  </si>
  <si>
    <t>Chicago (Dyett)</t>
  </si>
  <si>
    <t>Chicago (Englewood STEM)</t>
  </si>
  <si>
    <t>Chicago (Excel Academy/Roseland)</t>
  </si>
  <si>
    <t>268.00 (442.20)</t>
  </si>
  <si>
    <t>Chicago (F.W. Parker)</t>
  </si>
  <si>
    <t>344.00 (567.60)</t>
  </si>
  <si>
    <t>Chicago (Farragut)</t>
  </si>
  <si>
    <t>Chicago (Fenger)</t>
  </si>
  <si>
    <t>Chicago (Foreman)</t>
  </si>
  <si>
    <t>Chicago (Gage Park)</t>
  </si>
  <si>
    <t>Chicago (Goode STEM Academy)</t>
  </si>
  <si>
    <t>961.00 (1,585.65)</t>
  </si>
  <si>
    <t>Chicago (Hancock)</t>
  </si>
  <si>
    <t>1,043.00 (1,720.95)</t>
  </si>
  <si>
    <t>Chicago (Holy Trinity)</t>
  </si>
  <si>
    <t>291.00 (480.15)</t>
  </si>
  <si>
    <t>Chicago (Horizon/Belmont)</t>
  </si>
  <si>
    <t>Chicago (Horizon/McKinley)</t>
  </si>
  <si>
    <t>284.00 (468.60)</t>
  </si>
  <si>
    <t>Chicago (Horizon/Southwest Chicago)</t>
  </si>
  <si>
    <t>226.00 (372.90)</t>
  </si>
  <si>
    <t>Chicago (Hubbard)</t>
  </si>
  <si>
    <t>Chicago (Hyde Park)</t>
  </si>
  <si>
    <t>Chicago (Intrinsic Charter)</t>
  </si>
  <si>
    <t>672.00 (1,108.80)</t>
  </si>
  <si>
    <t>Chicago (Intrinsic Charter-Downtown Campus)</t>
  </si>
  <si>
    <t>713.00 (1,176.45)</t>
  </si>
  <si>
    <t>Chicago (Jones)</t>
  </si>
  <si>
    <t>1,932.00 (3,187.80)</t>
  </si>
  <si>
    <t>Chicago (Juarez)</t>
  </si>
  <si>
    <t>Chicago (Julian)</t>
  </si>
  <si>
    <t>Chicago (Kelly)</t>
  </si>
  <si>
    <t>Chicago (Kennedy)</t>
  </si>
  <si>
    <t>Chicago (Kenwood)</t>
  </si>
  <si>
    <t>Chicago (King)</t>
  </si>
  <si>
    <t>794.00 (1,310.10)</t>
  </si>
  <si>
    <t>Chicago (Lake View)</t>
  </si>
  <si>
    <t>Chicago (Lane)</t>
  </si>
  <si>
    <t>4,376.00 (7,220.40)</t>
  </si>
  <si>
    <t>Chicago (Latin)</t>
  </si>
  <si>
    <t>508.00 (838.20)</t>
  </si>
  <si>
    <t>Chicago (Leo)</t>
  </si>
  <si>
    <t>480.00 (792.00)</t>
  </si>
  <si>
    <t>Chicago (Lincoln Park)</t>
  </si>
  <si>
    <t>Chicago (Lindblom)</t>
  </si>
  <si>
    <t>1,046.00 (1,725.90)</t>
  </si>
  <si>
    <t>Chicago (Little Village)</t>
  </si>
  <si>
    <t>Chicago (Lycée Français de Chicago)</t>
  </si>
  <si>
    <t>225.00 (371.25)</t>
  </si>
  <si>
    <t>Chicago (Manley)</t>
  </si>
  <si>
    <t>Chicago (Marine Leadership Academy)</t>
  </si>
  <si>
    <t>416.00 (686.40)</t>
  </si>
  <si>
    <t>Chicago (Marist)</t>
  </si>
  <si>
    <t>1,507.00 (2,486.55)</t>
  </si>
  <si>
    <t>Chicago (Mather)</t>
  </si>
  <si>
    <t>Chicago (Morgan Park Academy)</t>
  </si>
  <si>
    <t>110.00 (181.50)</t>
  </si>
  <si>
    <t>Chicago (Morgan Park)</t>
  </si>
  <si>
    <t>Chicago (Mother McAuley)</t>
  </si>
  <si>
    <t>1,540.00 (2,541.00)</t>
  </si>
  <si>
    <t>Chicago (Mt. Carmel)</t>
  </si>
  <si>
    <t>1,184.00 (1,953.60)</t>
  </si>
  <si>
    <t>Chicago (Noble Street Charter)</t>
  </si>
  <si>
    <t>683.00 (1,126.95)</t>
  </si>
  <si>
    <t>Chicago (Noble/Baker)</t>
  </si>
  <si>
    <t>279.00 (460.35)</t>
  </si>
  <si>
    <t>Chicago (Noble/Bulls)</t>
  </si>
  <si>
    <t>1,049.00 (1,730.85)</t>
  </si>
  <si>
    <t>Chicago (Noble/Butler)</t>
  </si>
  <si>
    <t>Chicago (Noble/Comer)</t>
  </si>
  <si>
    <t>735.00 (1,212.75)</t>
  </si>
  <si>
    <t>Chicago (Noble/Golder)</t>
  </si>
  <si>
    <t>626.00 (1,032.90)</t>
  </si>
  <si>
    <t>Chicago (Noble/Hansberry)</t>
  </si>
  <si>
    <t>Chicago (Noble/ITW Speer)</t>
  </si>
  <si>
    <t>1,127.00 (1,859.55)</t>
  </si>
  <si>
    <t>Chicago (Noble/Johnson)</t>
  </si>
  <si>
    <t>498.00 (821.70)</t>
  </si>
  <si>
    <t>Chicago (Noble/Mansueto)</t>
  </si>
  <si>
    <t>1,081.00 (1,783.65)</t>
  </si>
  <si>
    <t>Chicago (Noble/Muchin)</t>
  </si>
  <si>
    <t>890.00 (1,468.50)</t>
  </si>
  <si>
    <t>Chicago (Noble/Noble Academy)</t>
  </si>
  <si>
    <t>399.00 (658.35)</t>
  </si>
  <si>
    <t>Chicago (Noble/Pritzker)</t>
  </si>
  <si>
    <t>978.00 (1,613.70)</t>
  </si>
  <si>
    <t>Chicago (Noble/Rauner)</t>
  </si>
  <si>
    <t>550.00 (907.50)</t>
  </si>
  <si>
    <t>Chicago (Noble/UIC)</t>
  </si>
  <si>
    <t>940.00 (1,551.00)</t>
  </si>
  <si>
    <t>Chicago (North Lawndale Charter)</t>
  </si>
  <si>
    <t>266.00 (438.90)</t>
  </si>
  <si>
    <t>Chicago (Northside)</t>
  </si>
  <si>
    <t>1,059.00 (1,747.35)</t>
  </si>
  <si>
    <t>Chicago (Ogden International)</t>
  </si>
  <si>
    <t>509.00 (839.85)</t>
  </si>
  <si>
    <t>Chicago (Orr)</t>
  </si>
  <si>
    <t>Chicago (Our Lady of Tepeyac)</t>
  </si>
  <si>
    <t>272.00 (448.80)</t>
  </si>
  <si>
    <t>Chicago (Payton)</t>
  </si>
  <si>
    <t>1,251.00 (2,064.15)</t>
  </si>
  <si>
    <t>Chicago (Perspectives/Leadership)</t>
  </si>
  <si>
    <t>673.00 (1,110.45)</t>
  </si>
  <si>
    <t>Chicago (Phillips)</t>
  </si>
  <si>
    <t>Chicago (Prosser)</t>
  </si>
  <si>
    <t>1,163.00 (1,918.95)</t>
  </si>
  <si>
    <t>Chicago (Providence St. Mel)</t>
  </si>
  <si>
    <t>68.00 (112.20)</t>
  </si>
  <si>
    <t>Chicago (Resurrection)</t>
  </si>
  <si>
    <t>904.00 (1,491.60)</t>
  </si>
  <si>
    <t>Chicago (Richards)</t>
  </si>
  <si>
    <t>Chicago (Rickover Naval Academy)</t>
  </si>
  <si>
    <t>524.00 (864.60)</t>
  </si>
  <si>
    <t>Chicago (Roosevelt)</t>
  </si>
  <si>
    <t>Chicago (Schurz)</t>
  </si>
  <si>
    <t>Chicago (Senn)</t>
  </si>
  <si>
    <t>Chicago (Simeon)</t>
  </si>
  <si>
    <t>1,044.00 (1,722.60)</t>
  </si>
  <si>
    <t>Chicago (Solorio Academy)</t>
  </si>
  <si>
    <t>Chicago (South Shore International College Prep)</t>
  </si>
  <si>
    <t>594.00 (980.10)</t>
  </si>
  <si>
    <t>Chicago (St. Ignatius College Prep)</t>
  </si>
  <si>
    <t>1,485.00 (2,450.25)</t>
  </si>
  <si>
    <t>Chicago (St. Patrick)</t>
  </si>
  <si>
    <t>1,068.00 (1,762.20)</t>
  </si>
  <si>
    <t>Chicago (St. Rita)</t>
  </si>
  <si>
    <t>Chicago (Steinmetz)</t>
  </si>
  <si>
    <t>Chicago (Sullivan)</t>
  </si>
  <si>
    <t>Chicago (Taft)</t>
  </si>
  <si>
    <t>Chicago (UCCS/Woodlawn)</t>
  </si>
  <si>
    <t>346.00 (570.90)</t>
  </si>
  <si>
    <t>Chicago (University)</t>
  </si>
  <si>
    <t>625.00 (1,031.25)</t>
  </si>
  <si>
    <t>Chicago (Uplift)</t>
  </si>
  <si>
    <t>221.00 (364.65)</t>
  </si>
  <si>
    <t>Chicago (Urban Prep/Bronzeville)</t>
  </si>
  <si>
    <t>286.00 (471.90)</t>
  </si>
  <si>
    <t>Chicago (Von Steuben)</t>
  </si>
  <si>
    <t>1,669.00 (2,753.85)</t>
  </si>
  <si>
    <t>Chicago (Washington)</t>
  </si>
  <si>
    <t>Chicago (Westinghouse College Prep)</t>
  </si>
  <si>
    <t>1,216.00 (2,006.40)</t>
  </si>
  <si>
    <t>Chicago (Whitney Young)</t>
  </si>
  <si>
    <t>1,924.00 (3,174.60)</t>
  </si>
  <si>
    <t>Chicago (Wolcott)</t>
  </si>
  <si>
    <t>135.00 (222.75)</t>
  </si>
  <si>
    <t>Chicago Heights (Bloom Twp.)</t>
  </si>
  <si>
    <t>Chicago Heights (Marian)</t>
  </si>
  <si>
    <t>744.00 (1,227.60)</t>
  </si>
  <si>
    <t>Chillicothe (Illinois Valley Central)</t>
  </si>
  <si>
    <t>Chrisman</t>
  </si>
  <si>
    <t>Christopher</t>
  </si>
  <si>
    <t>Cisne</t>
  </si>
  <si>
    <t>Cissna Park</t>
  </si>
  <si>
    <t>Clifton (Central)</t>
  </si>
  <si>
    <t>Clinton</t>
  </si>
  <si>
    <t>Coal City</t>
  </si>
  <si>
    <t>Cobden</t>
  </si>
  <si>
    <t>Colfax (Ridgeview)</t>
  </si>
  <si>
    <t>Collinsville</t>
  </si>
  <si>
    <t>Columbia</t>
  </si>
  <si>
    <t>Concord (Triopia)</t>
  </si>
  <si>
    <t>Country Club Hills (Hillcrest)</t>
  </si>
  <si>
    <t>Cowden (C.-Herrick)</t>
  </si>
  <si>
    <t>Crete (C.-Monee)</t>
  </si>
  <si>
    <t>Crete (Illinois Lutheran)</t>
  </si>
  <si>
    <t>86.00 (141.90)</t>
  </si>
  <si>
    <t>Crystal Lake (Central)</t>
  </si>
  <si>
    <t>Crystal Lake (Prairie Ridge)</t>
  </si>
  <si>
    <t>Crystal Lake (South)</t>
  </si>
  <si>
    <t>Cuba</t>
  </si>
  <si>
    <t>Cullom (Tri-Point)</t>
  </si>
  <si>
    <t>Dakota</t>
  </si>
  <si>
    <t>Danville (H.S.)</t>
  </si>
  <si>
    <t>Danville (Schlarman)</t>
  </si>
  <si>
    <t>74.00 (122.10)</t>
  </si>
  <si>
    <t>Darien (Hinsdale South)</t>
  </si>
  <si>
    <t>Decatur (Eisenhower)</t>
  </si>
  <si>
    <t>Decatur (MacArthur)</t>
  </si>
  <si>
    <t>Decatur (St. Teresa)</t>
  </si>
  <si>
    <t>211.00 (348.15)</t>
  </si>
  <si>
    <t>Decatur (Unity Christian)</t>
  </si>
  <si>
    <t>128.00 (211.20)</t>
  </si>
  <si>
    <t>Deerfield (H.S.)</t>
  </si>
  <si>
    <t>Deerfield (Rochelle Zell)</t>
  </si>
  <si>
    <t>140.00 (231.00)</t>
  </si>
  <si>
    <t>DeKalb</t>
  </si>
  <si>
    <t>DeLand (D.-Weldon)</t>
  </si>
  <si>
    <t>Delavan</t>
  </si>
  <si>
    <t>DePue</t>
  </si>
  <si>
    <t>Des Plaines (Maine West)</t>
  </si>
  <si>
    <t>Des Plaines (Willows Academy)</t>
  </si>
  <si>
    <t>254.00 (419.10)</t>
  </si>
  <si>
    <t>Dieterich</t>
  </si>
  <si>
    <t>Dixon (H.S.)</t>
  </si>
  <si>
    <t>Dolton (Thornridge)</t>
  </si>
  <si>
    <t>Donovan</t>
  </si>
  <si>
    <t>Downers Grove (North)</t>
  </si>
  <si>
    <t>Downers Grove (South)</t>
  </si>
  <si>
    <t>Downs (Tri-Valley)</t>
  </si>
  <si>
    <t>Dunlap</t>
  </si>
  <si>
    <t>Dupo</t>
  </si>
  <si>
    <t>DuQuoin (H.S.)</t>
  </si>
  <si>
    <t>Durand</t>
  </si>
  <si>
    <t>Dwight</t>
  </si>
  <si>
    <t>Earlville</t>
  </si>
  <si>
    <t>East Dubuque</t>
  </si>
  <si>
    <t>East Moline (United)</t>
  </si>
  <si>
    <t>East Peoria</t>
  </si>
  <si>
    <t>East St. Louis (SIUE Charter)</t>
  </si>
  <si>
    <t>99.00 (163.35)</t>
  </si>
  <si>
    <t>East St. Louis (Sr.)</t>
  </si>
  <si>
    <t>Edinburg</t>
  </si>
  <si>
    <t>Edwardsville (H.S.)</t>
  </si>
  <si>
    <t>Edwardsville (Metro-East Lutheran)</t>
  </si>
  <si>
    <t>219.00 (361.35)</t>
  </si>
  <si>
    <t>Effingham (H.S.)</t>
  </si>
  <si>
    <t>Effingham (St. Anthony)</t>
  </si>
  <si>
    <t>218.00 (359.70)</t>
  </si>
  <si>
    <t>El Paso (E.P.-Gridley)</t>
  </si>
  <si>
    <t>Eldorado</t>
  </si>
  <si>
    <t>Elgin (H.S.)</t>
  </si>
  <si>
    <t>Elgin (Larkin)</t>
  </si>
  <si>
    <t>Elgin (River Valley Christian)</t>
  </si>
  <si>
    <t>238.00 (392.70)</t>
  </si>
  <si>
    <t>Elgin (St. Edward)</t>
  </si>
  <si>
    <t>204.00 (336.60)</t>
  </si>
  <si>
    <t>Elizabethtown (Hardin County)</t>
  </si>
  <si>
    <t>Elk Grove Village (E.G.)</t>
  </si>
  <si>
    <t>Elkville (Elverado)</t>
  </si>
  <si>
    <t>Elmhurst (IC Catholic)</t>
  </si>
  <si>
    <t>322.00 (531.30)</t>
  </si>
  <si>
    <t>Elmhurst (Timothy Christian)</t>
  </si>
  <si>
    <t>449.00 (740.85)</t>
  </si>
  <si>
    <t>Elmhurst (York)</t>
  </si>
  <si>
    <t>Elmwood</t>
  </si>
  <si>
    <t>Elmwood Park</t>
  </si>
  <si>
    <t>Erie</t>
  </si>
  <si>
    <t>Eureka</t>
  </si>
  <si>
    <t>Evanston (Beacon Academy)</t>
  </si>
  <si>
    <t>152.00 (250.80)</t>
  </si>
  <si>
    <t>Evanston (Roycemore)</t>
  </si>
  <si>
    <t>63.00 (103.95)</t>
  </si>
  <si>
    <t>Evanston (Twp.)</t>
  </si>
  <si>
    <t>Evergreen Park</t>
  </si>
  <si>
    <t>Fairbury (Prairie Central)</t>
  </si>
  <si>
    <t>Fairfield</t>
  </si>
  <si>
    <t>Farina (South Central)</t>
  </si>
  <si>
    <t>Farmer City (Blue Ridge)</t>
  </si>
  <si>
    <t>Farmington</t>
  </si>
  <si>
    <t>Fisher</t>
  </si>
  <si>
    <t>Fithian (Oakwood)</t>
  </si>
  <si>
    <t>Flanagan (F.-Cornell)</t>
  </si>
  <si>
    <t>Flora</t>
  </si>
  <si>
    <t>Flossmoor (Homewood-F.)</t>
  </si>
  <si>
    <t>Forreston</t>
  </si>
  <si>
    <t>Fox Lake (Grant)</t>
  </si>
  <si>
    <t>Frankfort (Lincoln-Way East)</t>
  </si>
  <si>
    <t>Franklin Park-Northlake (Leyden)</t>
  </si>
  <si>
    <t>Freeburg</t>
  </si>
  <si>
    <t>Freeport (H.S.)</t>
  </si>
  <si>
    <t>Fulton (H.S.)</t>
  </si>
  <si>
    <t>Galatia</t>
  </si>
  <si>
    <t>Galena (H.S.)</t>
  </si>
  <si>
    <t>Galesburg (H.S.)</t>
  </si>
  <si>
    <t>Galva</t>
  </si>
  <si>
    <t>Gardner (G.-South Wilmington)</t>
  </si>
  <si>
    <t>Geneseo</t>
  </si>
  <si>
    <t>Geneva</t>
  </si>
  <si>
    <t>Genoa (G.-Kingston)</t>
  </si>
  <si>
    <t>Georgetown (G.-Ridge Farm)</t>
  </si>
  <si>
    <t>Gibson City (G.C.-Melvin-Sibley)</t>
  </si>
  <si>
    <t>Gillespie</t>
  </si>
  <si>
    <t>Gilman (Iroquois West)</t>
  </si>
  <si>
    <t>Glasford (Illini Bluffs)</t>
  </si>
  <si>
    <t>Glen Carbon (Father McGivney)</t>
  </si>
  <si>
    <t>329.00 (542.85)</t>
  </si>
  <si>
    <t>Glen Ellyn (Glenbard South)</t>
  </si>
  <si>
    <t>Glen Ellyn (Glenbard West)</t>
  </si>
  <si>
    <t>Glenview (Glenbrook South)</t>
  </si>
  <si>
    <t>Golconda (Pope County)</t>
  </si>
  <si>
    <t>Goreville</t>
  </si>
  <si>
    <t>Granite City</t>
  </si>
  <si>
    <t>Grant Park</t>
  </si>
  <si>
    <t>Granville (Putnam County)</t>
  </si>
  <si>
    <t>Grayslake (Central)</t>
  </si>
  <si>
    <t>Grayslake (North)</t>
  </si>
  <si>
    <t>Grayville</t>
  </si>
  <si>
    <t>Greenfield</t>
  </si>
  <si>
    <t>Greenview</t>
  </si>
  <si>
    <t>Greenville</t>
  </si>
  <si>
    <t>Griggsville (G.-Perry)</t>
  </si>
  <si>
    <t>Gurnee (Warren)</t>
  </si>
  <si>
    <t>Hamilton</t>
  </si>
  <si>
    <t>Hampshire</t>
  </si>
  <si>
    <t>Hanover (River Ridge)</t>
  </si>
  <si>
    <t>Hardin (Calhoun)</t>
  </si>
  <si>
    <t>Harrisburg</t>
  </si>
  <si>
    <t>Hartsburg (H.-Emden)</t>
  </si>
  <si>
    <t>Harvard</t>
  </si>
  <si>
    <t>Harvey (Thornton)</t>
  </si>
  <si>
    <t>Havana</t>
  </si>
  <si>
    <t>Hebron (Alden-H.)</t>
  </si>
  <si>
    <t>Henry (H.-Senachwine)</t>
  </si>
  <si>
    <t>Herrin (H.S.)</t>
  </si>
  <si>
    <t>Herscher</t>
  </si>
  <si>
    <t>Heyworth</t>
  </si>
  <si>
    <t>Highland</t>
  </si>
  <si>
    <t>Highland Park</t>
  </si>
  <si>
    <t>Hillsboro</t>
  </si>
  <si>
    <t>Hillside (Proviso West)</t>
  </si>
  <si>
    <t>Hinckley (H.-Big Rock)</t>
  </si>
  <si>
    <t>Hinsdale (Central)</t>
  </si>
  <si>
    <t>Hoffman Estates (Conant)</t>
  </si>
  <si>
    <t>Hoffman Estates (H.S.)</t>
  </si>
  <si>
    <t>Hoopeston (H. Area)</t>
  </si>
  <si>
    <t>Hume (Shiloh)</t>
  </si>
  <si>
    <t>Huntley</t>
  </si>
  <si>
    <t>Hutsonville</t>
  </si>
  <si>
    <t>Jacksonville (H.S.)</t>
  </si>
  <si>
    <t>Jacksonville (Illinois School for the Deaf)</t>
  </si>
  <si>
    <t>54.00 (89.10)</t>
  </si>
  <si>
    <t>Jacksonville (Routt)</t>
  </si>
  <si>
    <t>116.00 (191.40)</t>
  </si>
  <si>
    <t>Jerseyville (Jersey)</t>
  </si>
  <si>
    <t>Johnsburg</t>
  </si>
  <si>
    <t>Johnston City</t>
  </si>
  <si>
    <t>Joliet (Catholic Academy)</t>
  </si>
  <si>
    <t>587.00 (968.55)</t>
  </si>
  <si>
    <t>Joliet (Central)</t>
  </si>
  <si>
    <t>Joliet (West)</t>
  </si>
  <si>
    <t>Joppa (J.-Maple Grove)</t>
  </si>
  <si>
    <t>Junction (Gallatin County)</t>
  </si>
  <si>
    <t>Kankakee (McNamara)</t>
  </si>
  <si>
    <t>336.00 (554.40)</t>
  </si>
  <si>
    <t>Kankakee (Sr.)</t>
  </si>
  <si>
    <t>Kansas</t>
  </si>
  <si>
    <t>Kewanee (H.S.)</t>
  </si>
  <si>
    <t>Kewanee (Wethersfield)</t>
  </si>
  <si>
    <t>Kirkland (Hiawatha)</t>
  </si>
  <si>
    <t>Knoxville</t>
  </si>
  <si>
    <t>LaGrange (Lyons)</t>
  </si>
  <si>
    <t>LaGrange Park (Nazareth Academy)</t>
  </si>
  <si>
    <t>790.00 (1,303.50)</t>
  </si>
  <si>
    <t>Lake Forest (H.S.)</t>
  </si>
  <si>
    <t>Lake Forest (Woodlands Academy)</t>
  </si>
  <si>
    <t>104.00 (171.60)</t>
  </si>
  <si>
    <t>Lake Villa (Lakes)</t>
  </si>
  <si>
    <t>Lake Zurich</t>
  </si>
  <si>
    <t>Lanark (Eastland)</t>
  </si>
  <si>
    <t>Lansing (Thornton Fractional South)</t>
  </si>
  <si>
    <t>LaSalle (L.-Peru)</t>
  </si>
  <si>
    <t>Lawrenceville</t>
  </si>
  <si>
    <t>Lebanon</t>
  </si>
  <si>
    <t>Lemont (H.S.)</t>
  </si>
  <si>
    <t>Lena (L.-Winslow)</t>
  </si>
  <si>
    <t>LeRoy</t>
  </si>
  <si>
    <t>Lewistown</t>
  </si>
  <si>
    <t>Lexington</t>
  </si>
  <si>
    <t>Liberty</t>
  </si>
  <si>
    <t>Libertyville</t>
  </si>
  <si>
    <t>Lincoln</t>
  </si>
  <si>
    <t>Lincolnshire (Stevenson)</t>
  </si>
  <si>
    <t>Lisle (Benet Academy)</t>
  </si>
  <si>
    <t>1,211.00 (1,998.15)</t>
  </si>
  <si>
    <t>Lisle (Sr.)</t>
  </si>
  <si>
    <t>Litchfield</t>
  </si>
  <si>
    <t>Lockport (Twp.)</t>
  </si>
  <si>
    <t>Lombard (Glenbard East)</t>
  </si>
  <si>
    <t>Lombard (Montini)</t>
  </si>
  <si>
    <t>553.00 (912.45)</t>
  </si>
  <si>
    <t>London Mills (Spoon River Valley)</t>
  </si>
  <si>
    <t>Louisville (North Clay)</t>
  </si>
  <si>
    <t>Machesney Park (Harlem)</t>
  </si>
  <si>
    <t>Mackinaw (Deer Creek-M.)</t>
  </si>
  <si>
    <t>Macomb</t>
  </si>
  <si>
    <t>Macon (Meridian)</t>
  </si>
  <si>
    <t>Madison</t>
  </si>
  <si>
    <t>Mahomet (M.-Seymour)</t>
  </si>
  <si>
    <t>Manito (Midwest Central)</t>
  </si>
  <si>
    <t>Manlius (Bureau Valley)</t>
  </si>
  <si>
    <t>Manteno</t>
  </si>
  <si>
    <t>Maple Park (Kaneland)</t>
  </si>
  <si>
    <t>Marengo</t>
  </si>
  <si>
    <t>Marion (Crab Orchard)</t>
  </si>
  <si>
    <t>Marion (H.S.)</t>
  </si>
  <si>
    <t>Marissa</t>
  </si>
  <si>
    <t>Maroa (M.-Forsyth)</t>
  </si>
  <si>
    <t>Marshall</t>
  </si>
  <si>
    <t>Martinsville</t>
  </si>
  <si>
    <t>Maryville (M. Christian)</t>
  </si>
  <si>
    <t>164.00 (270.60)</t>
  </si>
  <si>
    <t>Mascoutah</t>
  </si>
  <si>
    <t>Mason City (Illini Central)</t>
  </si>
  <si>
    <t>Mattoon</t>
  </si>
  <si>
    <t>Maywood (Proviso East)</t>
  </si>
  <si>
    <t>McHenry</t>
  </si>
  <si>
    <t>McLeansboro (Hamilton County)</t>
  </si>
  <si>
    <t>Melrose Park (Walther Christian)</t>
  </si>
  <si>
    <t>260.00 (429.00)</t>
  </si>
  <si>
    <t>Mendon (Unity)</t>
  </si>
  <si>
    <t>Mendota</t>
  </si>
  <si>
    <t>Meredosia (M.-Chambersburg)</t>
  </si>
  <si>
    <t>Metamora</t>
  </si>
  <si>
    <t>Metropolis (Massac County)</t>
  </si>
  <si>
    <t>Midlothian (Bremen)</t>
  </si>
  <si>
    <t>Milford</t>
  </si>
  <si>
    <t>Milledgeville</t>
  </si>
  <si>
    <t>Minonk (Fieldcrest)</t>
  </si>
  <si>
    <t>Minooka</t>
  </si>
  <si>
    <t>Moline (H.S.)</t>
  </si>
  <si>
    <t>Momence</t>
  </si>
  <si>
    <t>Monmouth (M.-Roseville)</t>
  </si>
  <si>
    <t>Monmouth (United)</t>
  </si>
  <si>
    <t>Monticello</t>
  </si>
  <si>
    <t>Mooseheart</t>
  </si>
  <si>
    <t>37.00 (61.05)</t>
  </si>
  <si>
    <t>Morris</t>
  </si>
  <si>
    <t>Morrison</t>
  </si>
  <si>
    <t>Morrisonville</t>
  </si>
  <si>
    <t>Morton</t>
  </si>
  <si>
    <t>Mounds (Meridian)</t>
  </si>
  <si>
    <t>Mount Carroll (West Carroll)</t>
  </si>
  <si>
    <t>Moweaqua (Central A &amp; M)</t>
  </si>
  <si>
    <t>Mt. Carmel</t>
  </si>
  <si>
    <t>Mt. Olive</t>
  </si>
  <si>
    <t>Mt. Prospect (Prospect)</t>
  </si>
  <si>
    <t>Mt. Pulaski</t>
  </si>
  <si>
    <t>Mt. Sterling (Brown County)</t>
  </si>
  <si>
    <t>Mt. Vernon (H.S.)</t>
  </si>
  <si>
    <t>Mt. Zion</t>
  </si>
  <si>
    <t>Mulberry Grove</t>
  </si>
  <si>
    <t>Mundelein (Carmel)</t>
  </si>
  <si>
    <t>1,115.00 (1,839.75)</t>
  </si>
  <si>
    <t>Mundelein (H.S.)</t>
  </si>
  <si>
    <t>Murphysboro</t>
  </si>
  <si>
    <t>Naperville (Calvary Christian)</t>
  </si>
  <si>
    <t>21.00 (34.65)</t>
  </si>
  <si>
    <t>Naperville (Central)</t>
  </si>
  <si>
    <t>Naperville (Neuqua Valley)</t>
  </si>
  <si>
    <t>Naperville (North)</t>
  </si>
  <si>
    <t>Nashville</t>
  </si>
  <si>
    <t>Neoga</t>
  </si>
  <si>
    <t>New Athens</t>
  </si>
  <si>
    <t>New Berlin</t>
  </si>
  <si>
    <t>New Lenox (Lincoln-Way Central)</t>
  </si>
  <si>
    <t>New Lenox (Lincoln-Way West)</t>
  </si>
  <si>
    <t>New Lenox (Providence Catholic)</t>
  </si>
  <si>
    <t>753.00 (1,242.45)</t>
  </si>
  <si>
    <t>Newark</t>
  </si>
  <si>
    <t>Newton</t>
  </si>
  <si>
    <t>Niantic (Sangamon Valley)</t>
  </si>
  <si>
    <t>Niles (Northridge Prep)</t>
  </si>
  <si>
    <t>458.00 (755.70)</t>
  </si>
  <si>
    <t>Niles (Notre Dame)</t>
  </si>
  <si>
    <t>1,624.00 (2,679.60)</t>
  </si>
  <si>
    <t>Nokomis</t>
  </si>
  <si>
    <t>Normal (Community West)</t>
  </si>
  <si>
    <t>Normal (Community)</t>
  </si>
  <si>
    <t>Normal (University)</t>
  </si>
  <si>
    <t>Norridge (Ridgewood)</t>
  </si>
  <si>
    <t>Norris City (N.C.-Omaha-Enfield)</t>
  </si>
  <si>
    <t>North Chicago</t>
  </si>
  <si>
    <t>Northbrook (Glenbrook North)</t>
  </si>
  <si>
    <t>Northfield (Christian Heritage Academy)</t>
  </si>
  <si>
    <t>81.00 (133.65)</t>
  </si>
  <si>
    <t>Oak Forest</t>
  </si>
  <si>
    <t>Oak Lawn (Community)</t>
  </si>
  <si>
    <t>Oak Lawn (Richards)</t>
  </si>
  <si>
    <t>Oak Park (Fenwick)</t>
  </si>
  <si>
    <t>966.00 (1,593.90)</t>
  </si>
  <si>
    <t>Oak Park (O.P.-River Forest)</t>
  </si>
  <si>
    <t>Oakland</t>
  </si>
  <si>
    <t>Oblong</t>
  </si>
  <si>
    <t>Odin</t>
  </si>
  <si>
    <t>O'Fallon (First Baptist Academy)</t>
  </si>
  <si>
    <t>83.00 (136.95)</t>
  </si>
  <si>
    <t>O'Fallon (H.S.)</t>
  </si>
  <si>
    <t>Okawville</t>
  </si>
  <si>
    <t>Olney (Richland County)</t>
  </si>
  <si>
    <t>Oneida (ROWVA)</t>
  </si>
  <si>
    <t>Orangeville</t>
  </si>
  <si>
    <t>Oregon</t>
  </si>
  <si>
    <t>Orion</t>
  </si>
  <si>
    <t>Orland Park (Sandburg)</t>
  </si>
  <si>
    <t>Oswego (East)</t>
  </si>
  <si>
    <t>Oswego (H.S.)</t>
  </si>
  <si>
    <t>Ottawa (Marquette)</t>
  </si>
  <si>
    <t>Ottawa (Twp.)</t>
  </si>
  <si>
    <t>Palatine (Fremd)</t>
  </si>
  <si>
    <t>Palatine (H.S.)</t>
  </si>
  <si>
    <t>Palestine</t>
  </si>
  <si>
    <t>Palos Heights (Chicago Christian)</t>
  </si>
  <si>
    <t>302.00 (498.30)</t>
  </si>
  <si>
    <t>Palos Heights (Shepard)</t>
  </si>
  <si>
    <t>Palos Hills (Stagg)</t>
  </si>
  <si>
    <t>Pana</t>
  </si>
  <si>
    <t>Paris</t>
  </si>
  <si>
    <t>Park Ridge (Maine East)</t>
  </si>
  <si>
    <t>Park Ridge (Maine South)</t>
  </si>
  <si>
    <t>Patoka</t>
  </si>
  <si>
    <t>Pawnee</t>
  </si>
  <si>
    <t>Paxton (P.-Buckley-Loda)</t>
  </si>
  <si>
    <t>Payson (Seymour)</t>
  </si>
  <si>
    <t>Pearl City</t>
  </si>
  <si>
    <t>Pecatonica</t>
  </si>
  <si>
    <t>Pekin</t>
  </si>
  <si>
    <t>Peoria (H.S.)</t>
  </si>
  <si>
    <t>Peoria (Manual)</t>
  </si>
  <si>
    <t>Peoria (Notre Dame)</t>
  </si>
  <si>
    <t>502.00 (828.30)</t>
  </si>
  <si>
    <t>Peoria (P. Christian)</t>
  </si>
  <si>
    <t>214.00 (353.10)</t>
  </si>
  <si>
    <t>Peoria (Richwoods)</t>
  </si>
  <si>
    <t>Peoria Heights</t>
  </si>
  <si>
    <t>Peotone</t>
  </si>
  <si>
    <t>Peru (St. Bede)</t>
  </si>
  <si>
    <t>271.00 (447.15)</t>
  </si>
  <si>
    <t>Petersburg (PORTA)</t>
  </si>
  <si>
    <t>Piasa (Southwestern)</t>
  </si>
  <si>
    <t>Pinckneyville</t>
  </si>
  <si>
    <t>Pittsfield</t>
  </si>
  <si>
    <t>Plainfield (Central)</t>
  </si>
  <si>
    <t>Plainfield (East)</t>
  </si>
  <si>
    <t>Plainfield (North)</t>
  </si>
  <si>
    <t>Plainfield (South)</t>
  </si>
  <si>
    <t>Plano</t>
  </si>
  <si>
    <t>Pleasant Hill</t>
  </si>
  <si>
    <t>Pleasant Plains</t>
  </si>
  <si>
    <t>Polo</t>
  </si>
  <si>
    <t>Pontiac</t>
  </si>
  <si>
    <t>Poplar Grove (North Boone)</t>
  </si>
  <si>
    <t>Port Byron (Riverdale)</t>
  </si>
  <si>
    <t>Princeton</t>
  </si>
  <si>
    <t>Princeville</t>
  </si>
  <si>
    <t>Prophetstown</t>
  </si>
  <si>
    <t>Quincy (Notre Dame)</t>
  </si>
  <si>
    <t>Quincy (Sr.)</t>
  </si>
  <si>
    <t>Ramsey</t>
  </si>
  <si>
    <t>Rantoul</t>
  </si>
  <si>
    <t>Raymond (Lincolnwood)</t>
  </si>
  <si>
    <t>Red Bud</t>
  </si>
  <si>
    <t>Richmond (R.-Burton)</t>
  </si>
  <si>
    <t>Richton Park (Rich Township)</t>
  </si>
  <si>
    <t>Richton Park (Southland College Prep Charter)</t>
  </si>
  <si>
    <t>576.00 (950.40)</t>
  </si>
  <si>
    <t>River Forest (Trinity)</t>
  </si>
  <si>
    <t>628.00 (1,036.20)</t>
  </si>
  <si>
    <t>Riverside (R.-Brookfield)</t>
  </si>
  <si>
    <t>Riverton</t>
  </si>
  <si>
    <t>Roanoke (R.-Benson)</t>
  </si>
  <si>
    <t>Robinson</t>
  </si>
  <si>
    <t>Rochelle</t>
  </si>
  <si>
    <t>Rochester</t>
  </si>
  <si>
    <t>Rock Falls</t>
  </si>
  <si>
    <t>Rock Island (Alleman)</t>
  </si>
  <si>
    <t>285.00 (470.25)</t>
  </si>
  <si>
    <t>Rock Island (H.S.)</t>
  </si>
  <si>
    <t>Rockford (Auburn)</t>
  </si>
  <si>
    <t>Rockford (Boylan Catholic)</t>
  </si>
  <si>
    <t>558.00 (920.70)</t>
  </si>
  <si>
    <t>Rockford (East)</t>
  </si>
  <si>
    <t>Rockford (Guilford)</t>
  </si>
  <si>
    <t>Rockford (Jefferson)</t>
  </si>
  <si>
    <t>Rockford (Lutheran)</t>
  </si>
  <si>
    <t>274.00 (452.10)</t>
  </si>
  <si>
    <t>Rockford (R. Christian)</t>
  </si>
  <si>
    <t>200.00 (330.00)</t>
  </si>
  <si>
    <t>Rockton (Hononegah)</t>
  </si>
  <si>
    <t>Rolling Meadows</t>
  </si>
  <si>
    <t>Romeoville (H.S.)</t>
  </si>
  <si>
    <t>Roselle (Lake Park)</t>
  </si>
  <si>
    <t>Round Lake</t>
  </si>
  <si>
    <t>Roxana</t>
  </si>
  <si>
    <t>Rushville (R.-Industry)</t>
  </si>
  <si>
    <t>Salem</t>
  </si>
  <si>
    <t>Sandwich</t>
  </si>
  <si>
    <t>Scales Mound</t>
  </si>
  <si>
    <t>Schaumburg (H.S.)</t>
  </si>
  <si>
    <t>Schaumburg (S. Christian)</t>
  </si>
  <si>
    <t>Seneca</t>
  </si>
  <si>
    <t>Serena</t>
  </si>
  <si>
    <t>Sesser (S.-Valier)</t>
  </si>
  <si>
    <t>Shabbona (Indian Creek)</t>
  </si>
  <si>
    <t>Shelbyville</t>
  </si>
  <si>
    <t>Sherrard</t>
  </si>
  <si>
    <t>Skokie (Ida Crown)</t>
  </si>
  <si>
    <t>235.00 (387.75)</t>
  </si>
  <si>
    <t>Skokie (Niles North)</t>
  </si>
  <si>
    <t>Skokie (Niles West)</t>
  </si>
  <si>
    <t>Skokie (Yeshiva)</t>
  </si>
  <si>
    <t>202.00 (333.30)</t>
  </si>
  <si>
    <t>Somonauk</t>
  </si>
  <si>
    <t>South Beloit</t>
  </si>
  <si>
    <t>South Elgin</t>
  </si>
  <si>
    <t>South Holland (Thornwood)</t>
  </si>
  <si>
    <t>South Holland (Unity Christian Academy)</t>
  </si>
  <si>
    <t>114.00 (114.00)</t>
  </si>
  <si>
    <t>Sparta</t>
  </si>
  <si>
    <t>Spring Valley (Hall)</t>
  </si>
  <si>
    <t>Springfield (H.S.)</t>
  </si>
  <si>
    <t>Springfield (Lanphier)</t>
  </si>
  <si>
    <t>Springfield (Lutheran)</t>
  </si>
  <si>
    <t>105.00 (173.25)</t>
  </si>
  <si>
    <t>Springfield (Sacred Heart-Griffin)</t>
  </si>
  <si>
    <t>Springfield (Southeast)</t>
  </si>
  <si>
    <t>St. Anne</t>
  </si>
  <si>
    <t>St. Charles (East)</t>
  </si>
  <si>
    <t>St. Charles (North)</t>
  </si>
  <si>
    <t>St. Elmo</t>
  </si>
  <si>
    <t>St. Joseph (S.J.-Ogden)</t>
  </si>
  <si>
    <t>Stanford (Olympia)</t>
  </si>
  <si>
    <t>Staunton</t>
  </si>
  <si>
    <t>Steeleville</t>
  </si>
  <si>
    <t>Sterling (H.S.)</t>
  </si>
  <si>
    <t>Sterling (Newman Central Catholic)</t>
  </si>
  <si>
    <t>183.00 (301.95)</t>
  </si>
  <si>
    <t>Stillman Valley</t>
  </si>
  <si>
    <t>Stockton</t>
  </si>
  <si>
    <t>Strasburg (Stewardson-S.)</t>
  </si>
  <si>
    <t>Streamwood</t>
  </si>
  <si>
    <t>Streator (Twp.)</t>
  </si>
  <si>
    <t>Streator (Woodland)</t>
  </si>
  <si>
    <t>Sullivan</t>
  </si>
  <si>
    <t>Summit (Argo)</t>
  </si>
  <si>
    <t>Sycamore (H.S.)</t>
  </si>
  <si>
    <t>Tamms (Egyptian)</t>
  </si>
  <si>
    <t>Taylor Ridge (Rockridge)</t>
  </si>
  <si>
    <t>Taylorville</t>
  </si>
  <si>
    <t>Teutopolis</t>
  </si>
  <si>
    <t>Tinley Park (Andrew)</t>
  </si>
  <si>
    <t>Tinley Park (H.S.)</t>
  </si>
  <si>
    <t>Toledo (Cumberland)</t>
  </si>
  <si>
    <t>Tolono (Unity)</t>
  </si>
  <si>
    <t>Toulon (Stark County)</t>
  </si>
  <si>
    <t>Tremont</t>
  </si>
  <si>
    <t>Trenton (Wesclin)</t>
  </si>
  <si>
    <t>Troy (Triad)</t>
  </si>
  <si>
    <t>Tuscola</t>
  </si>
  <si>
    <t>Ullin (Century)</t>
  </si>
  <si>
    <t>Urbana (H.S.)</t>
  </si>
  <si>
    <t>Urbana (University)</t>
  </si>
  <si>
    <t>252.00 (415.80)</t>
  </si>
  <si>
    <t>Valmeyer</t>
  </si>
  <si>
    <t>Vandalia</t>
  </si>
  <si>
    <t>Varna (Midland)</t>
  </si>
  <si>
    <t>Vernon Hills</t>
  </si>
  <si>
    <t>Vienna</t>
  </si>
  <si>
    <t>Villa Grove</t>
  </si>
  <si>
    <t>Villa Park (Islamic Foundation)</t>
  </si>
  <si>
    <t>Villa Park (Willowbrook)</t>
  </si>
  <si>
    <t>Virden (North Mac)</t>
  </si>
  <si>
    <t>Virginia</t>
  </si>
  <si>
    <t>Waltonville</t>
  </si>
  <si>
    <t>Warren</t>
  </si>
  <si>
    <t>Warrensburg (W.-Latham)</t>
  </si>
  <si>
    <t>Warsaw</t>
  </si>
  <si>
    <t>Washburn (Lowpoint-W.)</t>
  </si>
  <si>
    <t>Washington</t>
  </si>
  <si>
    <t>Waterloo (Gibault Catholic)</t>
  </si>
  <si>
    <t>172.00 (283.80)</t>
  </si>
  <si>
    <t>Waterloo (H.S.)</t>
  </si>
  <si>
    <t>Watseka</t>
  </si>
  <si>
    <t>Wauconda</t>
  </si>
  <si>
    <t>Waukegan (Cristo Rey St. Martin)</t>
  </si>
  <si>
    <t>428.00 (706.20)</t>
  </si>
  <si>
    <t>Waukegan (H.S.)</t>
  </si>
  <si>
    <t>Waverly</t>
  </si>
  <si>
    <t>Wayne City</t>
  </si>
  <si>
    <t>West Chicago (H.S.)</t>
  </si>
  <si>
    <t>West Chicago (Wheaton Academy)</t>
  </si>
  <si>
    <t>670.00 (1,105.50)</t>
  </si>
  <si>
    <t>West Frankfort (Frankfort)</t>
  </si>
  <si>
    <t>West Prairie</t>
  </si>
  <si>
    <t>Westmont</t>
  </si>
  <si>
    <t>Westville</t>
  </si>
  <si>
    <t>Wheaton (North)</t>
  </si>
  <si>
    <t>Wheaton (St. Francis)</t>
  </si>
  <si>
    <t>707.00 (1,166.55)</t>
  </si>
  <si>
    <t>Wheaton (W. Warrenville South)</t>
  </si>
  <si>
    <t>Wheeling</t>
  </si>
  <si>
    <t>White Hall (North Greene)</t>
  </si>
  <si>
    <t>Williamsfield</t>
  </si>
  <si>
    <t>Williamsville</t>
  </si>
  <si>
    <t>Wilmette (Loyola Academy)</t>
  </si>
  <si>
    <t>1,944.00 (3,207.60)</t>
  </si>
  <si>
    <t>Wilmette (Regina Dominican)</t>
  </si>
  <si>
    <t>396.00 (653.40)</t>
  </si>
  <si>
    <t>Wilmington</t>
  </si>
  <si>
    <t>Winchester</t>
  </si>
  <si>
    <t>Windsor</t>
  </si>
  <si>
    <t>Winnebago</t>
  </si>
  <si>
    <t>Winnetka (New Trier)</t>
  </si>
  <si>
    <t>Winnetka (North Shore Country Day)</t>
  </si>
  <si>
    <t>188.00 (310.20)</t>
  </si>
  <si>
    <t>Wolf Lake (Shawnee)</t>
  </si>
  <si>
    <t>Wood River (East Alton-W.R.)</t>
  </si>
  <si>
    <t>Woodhull (AlWood)</t>
  </si>
  <si>
    <t>Woodlawn</t>
  </si>
  <si>
    <t>Woodstock (H.S.)</t>
  </si>
  <si>
    <t>Woodstock (Marian)</t>
  </si>
  <si>
    <t>300.00 (495.00)</t>
  </si>
  <si>
    <t>Woodstock (North)</t>
  </si>
  <si>
    <t>Yorkville (H.S.)</t>
  </si>
  <si>
    <t>Yorkville (Parkview Christian Academy)</t>
  </si>
  <si>
    <t>103.00 (169.95)</t>
  </si>
  <si>
    <t>Yorkville (Y. Christian)</t>
  </si>
  <si>
    <t>187.00 (308.55)</t>
  </si>
  <si>
    <t>Zeigler (Z.-Royalton)</t>
  </si>
  <si>
    <t>Zion (Z.-Benton)</t>
  </si>
  <si>
    <t>BKB</t>
  </si>
  <si>
    <t>BKG</t>
  </si>
  <si>
    <t>CHC</t>
  </si>
  <si>
    <t>DAC</t>
  </si>
  <si>
    <t>SCB</t>
  </si>
  <si>
    <t>WR</t>
  </si>
  <si>
    <t>C</t>
  </si>
  <si>
    <t>Annawan</t>
  </si>
  <si>
    <t>Bridgeview (Universal)</t>
  </si>
  <si>
    <t>290.00 (478.50)</t>
  </si>
  <si>
    <t>Brussels</t>
  </si>
  <si>
    <t>Cary (Trinity Oaks Christian Academy)</t>
  </si>
  <si>
    <t>48.00 (79.20)</t>
  </si>
  <si>
    <t>Chicago (ACE Amandla Charter)</t>
  </si>
  <si>
    <t>141.00 (232.65)</t>
  </si>
  <si>
    <t>Chicago (Bowen)</t>
  </si>
  <si>
    <t>Chicago (CICS/Ellison)</t>
  </si>
  <si>
    <t>224.00 (369.60)</t>
  </si>
  <si>
    <t>Chicago (Daystar Academy)</t>
  </si>
  <si>
    <t>45.00 (45.00)</t>
  </si>
  <si>
    <t>Chicago (Dunbar)</t>
  </si>
  <si>
    <t>331.00 (546.15)</t>
  </si>
  <si>
    <t>Chicago (EPIC Academy Charter)</t>
  </si>
  <si>
    <t>243.00 (400.95)</t>
  </si>
  <si>
    <t>Chicago (Excel Academy/Englewood)</t>
  </si>
  <si>
    <t>269.00 (443.85)</t>
  </si>
  <si>
    <t>Chicago (Excel Academy/South Shore)</t>
  </si>
  <si>
    <t>Chicago (Harlan)</t>
  </si>
  <si>
    <t>Chicago (Josephinum)</t>
  </si>
  <si>
    <t>190.00 (313.50)</t>
  </si>
  <si>
    <t>Chicago (Legal Prep Charter)</t>
  </si>
  <si>
    <t>209.00 (344.85)</t>
  </si>
  <si>
    <t>Chicago (Marshall)</t>
  </si>
  <si>
    <t>Chicago (Noble/DRW Trading)</t>
  </si>
  <si>
    <t>Chicago (Noble/Rowe-Clark)</t>
  </si>
  <si>
    <t>311.00 (513.15)</t>
  </si>
  <si>
    <t>Chicago (Perspectives/IIT Math &amp; Science)</t>
  </si>
  <si>
    <t>362.00 (597.30)</t>
  </si>
  <si>
    <t>Chicago (Phoenix Military Academy)</t>
  </si>
  <si>
    <t>366.00 (603.90)</t>
  </si>
  <si>
    <t>Chicago (St. Francis de Sales)</t>
  </si>
  <si>
    <t>165.00 (272.25)</t>
  </si>
  <si>
    <t>Chicago (Tilden)</t>
  </si>
  <si>
    <t>Chicago (Wells)</t>
  </si>
  <si>
    <t>Clay City</t>
  </si>
  <si>
    <t>Dongola</t>
  </si>
  <si>
    <t>Franklin</t>
  </si>
  <si>
    <t>Georgetown (La Salette)</t>
  </si>
  <si>
    <t>Jacksonville (Illinois School for the Visually Impaired)</t>
  </si>
  <si>
    <t>20.00 (33.00)</t>
  </si>
  <si>
    <t>Kankakee (Grace Christian Academy)</t>
  </si>
  <si>
    <t>71.00 (71.00)</t>
  </si>
  <si>
    <t>Kincaid (South Fork)</t>
  </si>
  <si>
    <t>LaMoille</t>
  </si>
  <si>
    <t>Leland</t>
  </si>
  <si>
    <t>Lombard (College Prep)</t>
  </si>
  <si>
    <t>173.00 (285.45)</t>
  </si>
  <si>
    <t>Moline (Quad Cities Christian School)</t>
  </si>
  <si>
    <t>Morton Grove (MCC Academy)</t>
  </si>
  <si>
    <t>95.00 (156.75)</t>
  </si>
  <si>
    <t>Normal (Calvary Christian Academy)</t>
  </si>
  <si>
    <t>44.00 (72.60)</t>
  </si>
  <si>
    <t>Rockford (Christian Life)</t>
  </si>
  <si>
    <t>114.00 (188.10)</t>
  </si>
  <si>
    <t>Rockford (Keith Country Day)</t>
  </si>
  <si>
    <t>50.00 (82.50)</t>
  </si>
  <si>
    <t>Rockford (Our Lady of the Sacred Heart)</t>
  </si>
  <si>
    <t>34.00 (56.10)</t>
  </si>
  <si>
    <t>Sandoval</t>
  </si>
  <si>
    <t>Springfield (Calvary)</t>
  </si>
  <si>
    <t>52.00 (85.80)</t>
  </si>
  <si>
    <t>Thompsonville</t>
  </si>
  <si>
    <t>CCB</t>
  </si>
  <si>
    <t>CCG</t>
  </si>
  <si>
    <t>GOB</t>
  </si>
  <si>
    <t>GOG</t>
  </si>
  <si>
    <t>SOB</t>
  </si>
  <si>
    <t>TNG</t>
  </si>
  <si>
    <t>VBG</t>
  </si>
  <si>
    <t>Bement</t>
  </si>
  <si>
    <t>Bridgeview (Aqsa)</t>
  </si>
  <si>
    <t>122.00 (201.30)</t>
  </si>
  <si>
    <t>Chicago (Alcott)</t>
  </si>
  <si>
    <t>340.00 (561.83)</t>
  </si>
  <si>
    <t>Chicago (ASPIRA/Business and Finance)</t>
  </si>
  <si>
    <t>Chicago (Instituto Health Science Charter)</t>
  </si>
  <si>
    <t>546.00 (900.90)</t>
  </si>
  <si>
    <t>Chicago (North Grand)</t>
  </si>
  <si>
    <t>Chicago (Spry Community Links)</t>
  </si>
  <si>
    <t>82.00 (135.30)</t>
  </si>
  <si>
    <t>Chicago (Waldorf)</t>
  </si>
  <si>
    <t>69.00 (113.85)</t>
  </si>
  <si>
    <t>Palmyra (Northwestern)</t>
  </si>
  <si>
    <t>Board Division</t>
  </si>
  <si>
    <t>District</t>
  </si>
  <si>
    <t>Public/Private</t>
  </si>
  <si>
    <t>Private?</t>
  </si>
  <si>
    <t>Division</t>
  </si>
  <si>
    <t>private</t>
  </si>
  <si>
    <t>774.00 (1277.10)</t>
  </si>
  <si>
    <t>872.00 (1438.80)</t>
  </si>
  <si>
    <t>no</t>
  </si>
  <si>
    <t>820.00 (1353.00)</t>
  </si>
  <si>
    <t>1098.00 (1811.70)</t>
  </si>
  <si>
    <t>Champaign (Academy High)</t>
  </si>
  <si>
    <t>?</t>
  </si>
  <si>
    <t>Chicago (Acero/Cruz)</t>
  </si>
  <si>
    <t>642.00 (1059.30)</t>
  </si>
  <si>
    <t>537.00 (886.05)</t>
  </si>
  <si>
    <t>757.00 (1249.05)</t>
  </si>
  <si>
    <t>129.00 (212.85)</t>
  </si>
  <si>
    <t>990.00 (1633.50)</t>
  </si>
  <si>
    <t>862.00 (1422.30)</t>
  </si>
  <si>
    <t>1322.00 (2181.30)</t>
  </si>
  <si>
    <t>570.00 (940.50)</t>
  </si>
  <si>
    <t>yes</t>
  </si>
  <si>
    <t>301.00 (496.65)</t>
  </si>
  <si>
    <t>590.00 (973.50)</t>
  </si>
  <si>
    <t>210.00 (346.50)</t>
  </si>
  <si>
    <t>854.00 (1409.10)</t>
  </si>
  <si>
    <t>426.00 (702.90)</t>
  </si>
  <si>
    <t>216.00 (356.40)</t>
  </si>
  <si>
    <t>283.00 (466.95)</t>
  </si>
  <si>
    <t>2806.00 (4629.90)</t>
  </si>
  <si>
    <t>740.00 (1221.00)</t>
  </si>
  <si>
    <t>1342.00 (2214.30)</t>
  </si>
  <si>
    <t>564.00 (930.60)</t>
  </si>
  <si>
    <t>317.00 (523.05)</t>
  </si>
  <si>
    <t>239.00 (394.35)</t>
  </si>
  <si>
    <t>945.00 (1559.25)</t>
  </si>
  <si>
    <t>1037.00 (1711.05)</t>
  </si>
  <si>
    <t>713.00 (1176.45)</t>
  </si>
  <si>
    <t>670.00 (1105.50)</t>
  </si>
  <si>
    <t>1917.00 (3163.05)</t>
  </si>
  <si>
    <t>784.00 (1293.60)</t>
  </si>
  <si>
    <t>4347.00 (7172.55)</t>
  </si>
  <si>
    <t>197.00 (325.05)</t>
  </si>
  <si>
    <t>1041.00 (1717.65)</t>
  </si>
  <si>
    <t>Chicago (Lyc e Fran ais de Chicago)</t>
  </si>
  <si>
    <t>1507.00 (2486.55)</t>
  </si>
  <si>
    <t>1540.00 (2541.00)</t>
  </si>
  <si>
    <t>1184.00 (1953.60)</t>
  </si>
  <si>
    <t>666.00 (1098.90)</t>
  </si>
  <si>
    <t>1054.00 (1739.10)</t>
  </si>
  <si>
    <t>647.00 (1067.55)</t>
  </si>
  <si>
    <t>711.00 (1173.15)</t>
  </si>
  <si>
    <t>294.00 (485.10)</t>
  </si>
  <si>
    <t>632.00 (1042.80)</t>
  </si>
  <si>
    <t>496.00 (818.40)</t>
  </si>
  <si>
    <t>1110.00 (1831.50)</t>
  </si>
  <si>
    <t>491.00 (810.15)</t>
  </si>
  <si>
    <t>1057.00 (1744.05)</t>
  </si>
  <si>
    <t>905.00 (1493.25)</t>
  </si>
  <si>
    <t>400.00 (660.00)</t>
  </si>
  <si>
    <t>977.00 (1612.05)</t>
  </si>
  <si>
    <t>357.00 (589.05)</t>
  </si>
  <si>
    <t>913.00 (1506.45)</t>
  </si>
  <si>
    <t>474.00 (782.10)</t>
  </si>
  <si>
    <t>1058.00 (1745.70)</t>
  </si>
  <si>
    <t>516.00 (851.40)</t>
  </si>
  <si>
    <t>1255.00 (2070.75)</t>
  </si>
  <si>
    <t>361.00 (595.65)</t>
  </si>
  <si>
    <t>685.00 (1130.25)</t>
  </si>
  <si>
    <t>360.00 (594.00)</t>
  </si>
  <si>
    <t>1162.00 (1917.30)</t>
  </si>
  <si>
    <t>904.00 (1491.60)</t>
  </si>
  <si>
    <t>521.00 (859.65)</t>
  </si>
  <si>
    <t>1003.00 (1654.95)</t>
  </si>
  <si>
    <t>589.00 (971.85)</t>
  </si>
  <si>
    <t>78.00 (128.70)</t>
  </si>
  <si>
    <t>1485.00 (2450.25)</t>
  </si>
  <si>
    <t>1068.00 (1762.20)</t>
  </si>
  <si>
    <t>625.00 (1031.25)</t>
  </si>
  <si>
    <t>212.00 (349.80)</t>
  </si>
  <si>
    <t>1644.00 (2712.60)</t>
  </si>
  <si>
    <t>1200.00 (1980.00)</t>
  </si>
  <si>
    <t>1923.00 (3172.95)</t>
  </si>
  <si>
    <t>744.00 (1227.60)</t>
  </si>
  <si>
    <t>Do not sponsor</t>
  </si>
  <si>
    <t>106.00 (174.90)</t>
  </si>
  <si>
    <t>Elgin (Harvest Christian Academy)</t>
  </si>
  <si>
    <t>153.00 (252.45)</t>
  </si>
  <si>
    <t>coop?</t>
  </si>
  <si>
    <t>Elgin (Westminster Christian)</t>
  </si>
  <si>
    <t>85.00 (140.25)</t>
  </si>
  <si>
    <t>Green -- This program has an approved waiver of the 1.65 multiplier and will be determined by actual enrollment.</t>
  </si>
  <si>
    <t>Green -- This program has chosen to "play up" to this class. (0)</t>
  </si>
  <si>
    <t>Green Pink -- This program is subject to the 1.65 multiplier, but with an approved waiver, classification would be determined by actual enrollment.</t>
  </si>
  <si>
    <t>71.00 (117.15)</t>
  </si>
  <si>
    <t>Key</t>
  </si>
  <si>
    <t>790.00 (1303.50)</t>
  </si>
  <si>
    <t>1211.00 (1998.15)</t>
  </si>
  <si>
    <t>Mattoon (St. John's Lutheran School)</t>
  </si>
  <si>
    <t>28.00 (46.20)</t>
  </si>
  <si>
    <t>1115.00 (1839.75)</t>
  </si>
  <si>
    <t>753.00 (1242.45)</t>
  </si>
  <si>
    <t>1624.00 (2679.60)</t>
  </si>
  <si>
    <t>966.00 (1593.90)</t>
  </si>
  <si>
    <t>Pink -- This program is subject to the 1.65 multiplier. Its classification is either unchanged after applying the multiplier, or the program is ineligible for a waiver.</t>
  </si>
  <si>
    <t>563.00 (928.95)</t>
  </si>
  <si>
    <t>628.00 (1036.20)</t>
  </si>
  <si>
    <t>Savanna (West Carroll)</t>
  </si>
  <si>
    <t>Sciota (West Prairie)</t>
  </si>
  <si>
    <t>The "Enrollment" column includes the adjustment for single-sex schools but not the enrollment of any other teams involved in a coop. The number in parentheses includes the 1.65 multiplier to be used when applicable.</t>
  </si>
  <si>
    <t>707.00 (1166.55)</t>
  </si>
  <si>
    <t>1944.00 (3207.60)</t>
  </si>
  <si>
    <t>Yellow -- This school hosted a coop program, and the classification is based on the combined enrollments of the schools involved. The classification shown here may change if the coop is dissolved or altered. Hosting a coop does not necessarily result in a higher classification.</t>
  </si>
  <si>
    <t>K</t>
  </si>
  <si>
    <t>M</t>
  </si>
  <si>
    <t>P</t>
  </si>
  <si>
    <t>Q</t>
  </si>
  <si>
    <t>R</t>
  </si>
  <si>
    <t>S</t>
  </si>
  <si>
    <t>X</t>
  </si>
  <si>
    <t>Y</t>
  </si>
  <si>
    <t>Z</t>
  </si>
  <si>
    <t>FF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</si>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</sst>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1F242E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rgb="FFFFFFFF"/>
      <name val="Arial"/>
      <family val="2"/>
    </font>
    <font>
      <sz val="8"/>
      <color theme="1"/>
      <name val="Arial"/>
      <family val="2"/>
    </font>
    <font>
      <sz val="14"/>
      <color rgb="FF172751"/>
      <name val="Trebuchet MS"/>
      <family val="2"/>
    </font>
    <font>
      <b/>
      <sz val="11"/>
      <color rgb="FF1F242E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E1F3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CEFB4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E2E4E9"/>
      </left>
      <right style="medium">
        <color rgb="FFE2E4E9"/>
      </right>
      <top style="medium">
        <color rgb="FFE2E4E9"/>
      </top>
      <bottom style="medium">
        <color rgb="FFE2E4E9"/>
      </bottom>
      <diagonal/>
    </border>
    <border>
      <left style="medium">
        <color rgb="FFD1D5DB"/>
      </left>
      <right style="medium">
        <color rgb="FFE2E4E9"/>
      </right>
      <top style="medium">
        <color rgb="FFD1D5DB"/>
      </top>
      <bottom style="medium">
        <color rgb="FFE2E4E9"/>
      </bottom>
      <diagonal/>
    </border>
    <border>
      <left style="medium">
        <color rgb="FFE2E4E9"/>
      </left>
      <right style="medium">
        <color rgb="FFE2E4E9"/>
      </right>
      <top style="medium">
        <color rgb="FFD1D5DB"/>
      </top>
      <bottom style="medium">
        <color rgb="FFE2E4E9"/>
      </bottom>
      <diagonal/>
    </border>
    <border>
      <left style="medium">
        <color rgb="FFE2E4E9"/>
      </left>
      <right style="medium">
        <color rgb="FFD1D5DB"/>
      </right>
      <top style="medium">
        <color rgb="FFD1D5DB"/>
      </top>
      <bottom style="medium">
        <color rgb="FFE2E4E9"/>
      </bottom>
      <diagonal/>
    </border>
    <border>
      <left style="medium">
        <color rgb="FFD1D5DB"/>
      </left>
      <right style="medium">
        <color rgb="FFE2E4E9"/>
      </right>
      <top style="medium">
        <color rgb="FFE2E4E9"/>
      </top>
      <bottom style="medium">
        <color rgb="FFE2E4E9"/>
      </bottom>
      <diagonal/>
    </border>
    <border>
      <left style="medium">
        <color rgb="FFE2E4E9"/>
      </left>
      <right style="medium">
        <color rgb="FFD1D5DB"/>
      </right>
      <top style="medium">
        <color rgb="FFE2E4E9"/>
      </top>
      <bottom style="medium">
        <color rgb="FFE2E4E9"/>
      </bottom>
      <diagonal/>
    </border>
    <border>
      <left style="medium">
        <color rgb="FFD1D5DB"/>
      </left>
      <right style="medium">
        <color rgb="FFE2E4E9"/>
      </right>
      <top style="medium">
        <color rgb="FFE2E4E9"/>
      </top>
      <bottom style="medium">
        <color rgb="FFD1D5DB"/>
      </bottom>
      <diagonal/>
    </border>
    <border>
      <left style="medium">
        <color rgb="FFE2E4E9"/>
      </left>
      <right style="medium">
        <color rgb="FFE2E4E9"/>
      </right>
      <top style="medium">
        <color rgb="FFE2E4E9"/>
      </top>
      <bottom style="medium">
        <color rgb="FFD1D5DB"/>
      </bottom>
      <diagonal/>
    </border>
    <border>
      <left style="medium">
        <color rgb="FFE2E4E9"/>
      </left>
      <right style="medium">
        <color rgb="FFD1D5DB"/>
      </right>
      <top style="medium">
        <color rgb="FFE2E4E9"/>
      </top>
      <bottom style="medium">
        <color rgb="FFD1D5DB"/>
      </bottom>
      <diagonal/>
    </border>
    <border>
      <left/>
      <right style="medium">
        <color rgb="FFE2E4E9"/>
      </right>
      <top style="medium">
        <color rgb="FFD1D5DB"/>
      </top>
      <bottom style="medium">
        <color rgb="FFE2E4E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/>
    </xf>
    <xf numFmtId="4" fontId="3" fillId="3" borderId="8" xfId="0" applyNumberFormat="1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/>
    </xf>
    <xf numFmtId="4" fontId="3" fillId="4" borderId="8" xfId="0" applyNumberFormat="1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11" xfId="0" applyBorder="1" applyAlignment="1">
      <alignment wrapText="1"/>
    </xf>
    <xf numFmtId="0" fontId="6" fillId="0" borderId="11" xfId="0" applyFont="1" applyBorder="1" applyAlignment="1">
      <alignment wrapText="1"/>
    </xf>
    <xf numFmtId="0" fontId="5" fillId="0" borderId="11" xfId="0" applyFont="1" applyBorder="1"/>
    <xf numFmtId="0" fontId="0" fillId="0" borderId="11" xfId="0" applyBorder="1"/>
    <xf numFmtId="0" fontId="6" fillId="0" borderId="11" xfId="0" applyFont="1" applyBorder="1"/>
    <xf numFmtId="0" fontId="7" fillId="11" borderId="11" xfId="0" applyFont="1" applyFill="1" applyBorder="1" applyAlignment="1">
      <alignment horizontal="center" vertical="top" wrapText="1"/>
    </xf>
    <xf numFmtId="0" fontId="7" fillId="11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top" wrapText="1"/>
    </xf>
    <xf numFmtId="0" fontId="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8" fillId="0" borderId="12" xfId="0" applyFont="1" applyBorder="1" applyAlignment="1">
      <alignment vertical="top" wrapText="1"/>
    </xf>
    <xf numFmtId="0" fontId="8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0" fillId="10" borderId="11" xfId="0" applyFill="1" applyBorder="1" applyAlignment="1">
      <alignment vertical="center" wrapText="1"/>
    </xf>
    <xf numFmtId="0" fontId="4" fillId="0" borderId="11" xfId="0" applyFont="1" applyBorder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wrapText="1"/>
    </xf>
    <xf numFmtId="0" fontId="3" fillId="12" borderId="0" xfId="0" applyFont="1" applyFill="1" applyAlignment="1">
      <alignment vertical="center"/>
    </xf>
    <xf numFmtId="0" fontId="1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1" fillId="12" borderId="0" xfId="0" applyFont="1" applyFill="1" applyAlignment="1">
      <alignment vertical="center"/>
    </xf>
    <xf numFmtId="0" fontId="0" fillId="12" borderId="0" xfId="0" applyFill="1"/>
    <xf numFmtId="0" fontId="1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6D19-B6F5-4E4B-95DA-7102714C5C07}">
  <sheetPr>
    <tabColor rgb="FFFFFF00"/>
  </sheetPr>
  <dimension ref="A1:AE781"/>
  <sheetViews>
    <sheetView tabSelected="1" zoomScale="85" zoomScaleNormal="85" workbookViewId="0">
      <selection activeCell="A5" sqref="A5"/>
    </sheetView>
  </sheetViews>
  <sheetFormatPr defaultRowHeight="15" x14ac:dyDescent="0.25"/>
  <cols>
    <col min="1" max="1" width="51.42578125" bestFit="1" customWidth="1"/>
    <col min="2" max="2" width="9.5703125" bestFit="1" customWidth="1"/>
    <col min="3" max="3" width="16.140625" bestFit="1" customWidth="1"/>
    <col min="4" max="5" width="9.5703125" customWidth="1"/>
    <col min="6" max="6" width="17.42578125" bestFit="1" customWidth="1"/>
    <col min="7" max="8" width="10.5703125" bestFit="1" customWidth="1"/>
    <col min="9" max="11" width="10.7109375" bestFit="1" customWidth="1"/>
    <col min="12" max="12" width="10.42578125" bestFit="1" customWidth="1"/>
    <col min="13" max="13" width="10.5703125" bestFit="1" customWidth="1"/>
    <col min="14" max="14" width="1.85546875" hidden="1" customWidth="1"/>
    <col min="15" max="15" width="17.42578125" bestFit="1" customWidth="1"/>
    <col min="16" max="20" width="10.5703125" bestFit="1" customWidth="1"/>
    <col min="21" max="21" width="9.85546875" bestFit="1" customWidth="1"/>
    <col min="22" max="22" width="2" hidden="1" customWidth="1"/>
    <col min="23" max="23" width="17.42578125" bestFit="1" customWidth="1"/>
    <col min="24" max="24" width="9.28515625" bestFit="1" customWidth="1"/>
    <col min="25" max="25" width="10.5703125" bestFit="1" customWidth="1"/>
    <col min="26" max="26" width="10.7109375" bestFit="1" customWidth="1"/>
    <col min="27" max="29" width="10.42578125" bestFit="1" customWidth="1"/>
    <col min="30" max="30" width="43" bestFit="1" customWidth="1"/>
  </cols>
  <sheetData>
    <row r="1" spans="1:31" ht="15.75" thickBot="1" x14ac:dyDescent="0.3">
      <c r="A1" s="14" t="s">
        <v>0</v>
      </c>
      <c r="B1" s="37" t="s">
        <v>995</v>
      </c>
      <c r="C1" s="37" t="s">
        <v>992</v>
      </c>
      <c r="D1" s="37" t="s">
        <v>993</v>
      </c>
      <c r="E1" s="37"/>
      <c r="F1" s="15" t="s">
        <v>1</v>
      </c>
      <c r="G1" s="16" t="s">
        <v>971</v>
      </c>
      <c r="H1" s="16" t="s">
        <v>972</v>
      </c>
      <c r="I1" s="16" t="s">
        <v>973</v>
      </c>
      <c r="J1" s="16" t="s">
        <v>974</v>
      </c>
      <c r="K1" s="16" t="s">
        <v>975</v>
      </c>
      <c r="L1" s="16" t="s">
        <v>976</v>
      </c>
      <c r="M1" s="17" t="s">
        <v>977</v>
      </c>
      <c r="O1" s="15" t="s">
        <v>1</v>
      </c>
      <c r="P1" s="16" t="s">
        <v>899</v>
      </c>
      <c r="Q1" s="16" t="s">
        <v>900</v>
      </c>
      <c r="R1" s="16" t="s">
        <v>901</v>
      </c>
      <c r="S1" s="16" t="s">
        <v>902</v>
      </c>
      <c r="T1" s="16" t="s">
        <v>903</v>
      </c>
      <c r="U1" s="17" t="s">
        <v>904</v>
      </c>
      <c r="W1" s="15" t="s">
        <v>1</v>
      </c>
      <c r="X1" s="16" t="s">
        <v>2</v>
      </c>
      <c r="Y1" s="16" t="s">
        <v>3</v>
      </c>
      <c r="Z1" s="16" t="s">
        <v>4</v>
      </c>
      <c r="AA1" s="16" t="s">
        <v>5</v>
      </c>
      <c r="AB1" s="16" t="s">
        <v>6</v>
      </c>
      <c r="AC1" s="17" t="s">
        <v>7</v>
      </c>
      <c r="AD1" s="39" t="s">
        <v>1115</v>
      </c>
      <c r="AE1" s="39" t="s">
        <v>1115</v>
      </c>
    </row>
    <row r="2" spans="1:31" ht="15.75" thickBot="1" x14ac:dyDescent="0.3">
      <c r="A2" s="18" t="s">
        <v>8</v>
      </c>
      <c r="B2" s="38">
        <f>IFERROR(VLOOKUP(A2,'Public v Private'!A:G,3,FALSE),"")</f>
        <v>0</v>
      </c>
      <c r="C2" s="38">
        <f>IFERROR(VLOOKUP(A2,'Public v Private'!A:G,4,FALSE),"")</f>
        <v>0</v>
      </c>
      <c r="D2" s="38">
        <f>IFERROR(VLOOKUP(A2,'Public v Private'!A:G,5,FALSE),"")</f>
        <v>0</v>
      </c>
      <c r="E2" s="38"/>
      <c r="F2" s="40">
        <f>IFERROR(INDEX(Fall!$1:$1048576,MATCH(All!$A2,Fall!$A:$A,FALSE),MATCH(All!F$1,Fall!$1:$1,FALSE)),"N/A")</f>
        <v>270</v>
      </c>
      <c r="G2" t="str">
        <f>IFERROR(IF(INDEX(Fall!$1:$1048576,MATCH(All!$A2,Fall!$A:$A,FALSE),MATCH(All!G$1,Fall!$1:$1,FALSE))="","",INDEX(Fall!$1:$1048576,MATCH(All!$A2,Fall!$A:$A,FALSE),MATCH(All!G$1,Fall!$1:$1,FALSE))),"")</f>
        <v>1A</v>
      </c>
      <c r="H2" t="str">
        <f>IFERROR(IF(INDEX(Fall!$1:$1048576,MATCH(All!$A2,Fall!$A:$A,FALSE),MATCH(All!H$1,Fall!$1:$1,FALSE))="","",INDEX(Fall!$1:$1048576,MATCH(All!$A2,Fall!$A:$A,FALSE),MATCH(All!H$1,Fall!$1:$1,FALSE))),"")</f>
        <v>1A</v>
      </c>
      <c r="I2" t="str">
        <f>IFERROR(IF(INDEX(Fall!$1:$1048576,MATCH(All!$A2,Fall!$A:$A,FALSE),MATCH(All!I$1,Fall!$1:$1,FALSE))="","",INDEX(Fall!$1:$1048576,MATCH(All!$A2,Fall!$A:$A,FALSE),MATCH(All!I$1,Fall!$1:$1,FALSE))),"")</f>
        <v>1A</v>
      </c>
      <c r="J2" t="str">
        <f>IFERROR(IF(INDEX(Fall!$1:$1048576,MATCH(All!$A2,Fall!$A:$A,FALSE),MATCH(All!J$1,Fall!$1:$1,FALSE))="","",INDEX(Fall!$1:$1048576,MATCH(All!$A2,Fall!$A:$A,FALSE),MATCH(All!J$1,Fall!$1:$1,FALSE))),"")</f>
        <v/>
      </c>
      <c r="K2" t="str">
        <f>IFERROR(IF(INDEX(Fall!$1:$1048576,MATCH(All!$A2,Fall!$A:$A,FALSE),MATCH(All!K$1,Fall!$1:$1,FALSE))="","",INDEX(Fall!$1:$1048576,MATCH(All!$A2,Fall!$A:$A,FALSE),MATCH(All!K$1,Fall!$1:$1,FALSE))),"")</f>
        <v>1A</v>
      </c>
      <c r="L2" t="str">
        <f>IFERROR(IF(INDEX(Fall!$1:$1048576,MATCH(All!$A2,Fall!$A:$A,FALSE),MATCH(All!L$1,Fall!$1:$1,FALSE))="","",INDEX(Fall!$1:$1048576,MATCH(All!$A2,Fall!$A:$A,FALSE),MATCH(All!L$1,Fall!$1:$1,FALSE))),"")</f>
        <v/>
      </c>
      <c r="M2" t="str">
        <f>IFERROR(IF(INDEX(Fall!$1:$1048576,MATCH(All!$A2,Fall!$A:$A,FALSE),MATCH(All!M$1,Fall!$1:$1,FALSE))="","",INDEX(Fall!$1:$1048576,MATCH(All!$A2,Fall!$A:$A,FALSE),MATCH(All!M$1,Fall!$1:$1,FALSE))),"")</f>
        <v>1A</v>
      </c>
      <c r="O2">
        <f>IFERROR(IF(INDEX(Winter!$1:$1048576,MATCH(All!$A2,Winter!$A:$A,FALSE),MATCH(All!O$1,Winter!$1:$1,FALSE))="","",INDEX(Winter!$1:$1048576,MATCH(All!$A2,Winter!$A:$A,FALSE),MATCH(All!O$1,Winter!$1:$1,FALSE))),"")</f>
        <v>270</v>
      </c>
      <c r="P2" t="str">
        <f>IFERROR(IF(INDEX(Winter!$1:$1048576,MATCH(All!$A2,Winter!$A:$A,FALSE),MATCH(All!P$1,Winter!$1:$1,FALSE))="","",INDEX(Winter!$1:$1048576,MATCH(All!$A2,Winter!$A:$A,FALSE),MATCH(All!P$1,Winter!$1:$1,FALSE))),"")</f>
        <v>1A</v>
      </c>
      <c r="Q2" t="str">
        <f>IFERROR(IF(INDEX(Winter!$1:$1048576,MATCH(All!$A2,Winter!$A:$A,FALSE),MATCH(All!Q$1,Winter!$1:$1,FALSE))="","",INDEX(Winter!$1:$1048576,MATCH(All!$A2,Winter!$A:$A,FALSE),MATCH(All!Q$1,Winter!$1:$1,FALSE))),"")</f>
        <v>1A</v>
      </c>
      <c r="R2" t="str">
        <f>IFERROR(IF(INDEX(Winter!$1:$1048576,MATCH(All!$A2,Winter!$A:$A,FALSE),MATCH(All!R$1,Winter!$1:$1,FALSE))="","",INDEX(Winter!$1:$1048576,MATCH(All!$A2,Winter!$A:$A,FALSE),MATCH(All!R$1,Winter!$1:$1,FALSE))),"")</f>
        <v/>
      </c>
      <c r="S2" t="str">
        <f>IFERROR(IF(INDEX(Winter!$1:$1048576,MATCH(All!$A2,Winter!$A:$A,FALSE),MATCH(All!S$1,Winter!$1:$1,FALSE))="","",INDEX(Winter!$1:$1048576,MATCH(All!$A2,Winter!$A:$A,FALSE),MATCH(All!S$1,Winter!$1:$1,FALSE))),"")</f>
        <v/>
      </c>
      <c r="T2" t="str">
        <f>IFERROR(IF(INDEX(Winter!$1:$1048576,MATCH(All!$A2,Winter!$A:$A,FALSE),MATCH(All!T$1,Winter!$1:$1,FALSE))="","",INDEX(Winter!$1:$1048576,MATCH(All!$A2,Winter!$A:$A,FALSE),MATCH(All!T$1,Winter!$1:$1,FALSE))),"")</f>
        <v>1A</v>
      </c>
      <c r="U2" t="str">
        <f>IFERROR(IF(INDEX(Winter!$1:$1048576,MATCH(All!$A2,Winter!$A:$A,FALSE),MATCH(All!U$1,Winter!$1:$1,FALSE))="","",INDEX(Winter!$1:$1048576,MATCH(All!$A2,Winter!$A:$A,FALSE),MATCH(All!U$1,Winter!$1:$1,FALSE))),"")</f>
        <v>1A</v>
      </c>
      <c r="W2">
        <f>IFERROR(IF(INDEX(Spring!$1:$1048576,MATCH(All!$A2,Spring!$A:$A,FALSE),MATCH(All!W$1,Spring!$1:$1,FALSE))="","",INDEX(Spring!$1:$1048576,MATCH(All!$A2,Spring!$A:$A,FALSE),MATCH(All!W$1,Spring!$1:$1,FALSE))),"")</f>
        <v>270</v>
      </c>
      <c r="X2" t="str">
        <f>IFERROR(IF(INDEX(Spring!$1:$1048576,MATCH(All!$A2,Spring!$A:$A,FALSE),MATCH(All!X$1,Spring!$1:$1,FALSE))="","",INDEX(Spring!$1:$1048576,MATCH(All!$A2,Spring!$A:$A,FALSE),MATCH(All!X$1,Spring!$1:$1,FALSE))),"")</f>
        <v>1A</v>
      </c>
      <c r="Y2" t="str">
        <f>IFERROR(IF(INDEX(Spring!$1:$1048576,MATCH(All!$A2,Spring!$A:$A,FALSE),MATCH(All!Y$1,Spring!$1:$1,FALSE))="","",INDEX(Spring!$1:$1048576,MATCH(All!$A2,Spring!$A:$A,FALSE),MATCH(All!Y$1,Spring!$1:$1,FALSE))),"")</f>
        <v>1A</v>
      </c>
      <c r="Z2" t="str">
        <f>IFERROR(IF(INDEX(Spring!$1:$1048576,MATCH(All!$A2,Spring!$A:$A,FALSE),MATCH(All!Z$1,Spring!$1:$1,FALSE))="","",INDEX(Spring!$1:$1048576,MATCH(All!$A2,Spring!$A:$A,FALSE),MATCH(All!Z$1,Spring!$1:$1,FALSE))),"")</f>
        <v/>
      </c>
      <c r="AA2" t="str">
        <f>IFERROR(IF(INDEX(Spring!$1:$1048576,MATCH(All!$A2,Spring!$A:$A,FALSE),MATCH(All!AA$1,Spring!$1:$1,FALSE))="","",INDEX(Spring!$1:$1048576,MATCH(All!$A2,Spring!$A:$A,FALSE),MATCH(All!AA$1,Spring!$1:$1,FALSE))),"")</f>
        <v/>
      </c>
      <c r="AB2" t="str">
        <f>IFERROR(IF(INDEX(Spring!$1:$1048576,MATCH(All!$A2,Spring!$A:$A,FALSE),MATCH(All!AB$1,Spring!$1:$1,FALSE))="","",INDEX(Spring!$1:$1048576,MATCH(All!$A2,Spring!$A:$A,FALSE),MATCH(All!AB$1,Spring!$1:$1,FALSE))),"")</f>
        <v>1A</v>
      </c>
      <c r="AC2" t="str">
        <f>IFERROR(IF(INDEX(Spring!$1:$1048576,MATCH(All!$A2,Spring!$A:$A,FALSE),MATCH(All!AC$1,Spring!$1:$1,FALSE))="","",INDEX(Spring!$1:$1048576,MATCH(All!$A2,Spring!$A:$A,FALSE),MATCH(All!AC$1,Spring!$1:$1,FALSE))),"")</f>
        <v>1A</v>
      </c>
      <c r="AD2" t="str">
        <f>IFERROR(VLOOKUP(A2,'Flag Football'!A:A,1,FALSE),"")</f>
        <v/>
      </c>
      <c r="AE2" t="str">
        <f>IF(AD2="","","1A")</f>
        <v/>
      </c>
    </row>
    <row r="3" spans="1:31" ht="15.75" thickBot="1" x14ac:dyDescent="0.3">
      <c r="A3" s="20" t="s">
        <v>10</v>
      </c>
      <c r="B3" s="38">
        <f>IFERROR(VLOOKUP(A3,'Public v Private'!A:G,3,FALSE),"")</f>
        <v>0</v>
      </c>
      <c r="C3" s="38">
        <f>IFERROR(VLOOKUP(A3,'Public v Private'!A:G,4,FALSE),"")</f>
        <v>0</v>
      </c>
      <c r="D3" s="38">
        <f>IFERROR(VLOOKUP(A3,'Public v Private'!A:G,5,FALSE),"")</f>
        <v>0</v>
      </c>
      <c r="E3" s="38"/>
      <c r="F3" s="40">
        <f>IFERROR(INDEX(Fall!$1:$1048576,MATCH(All!$A3,Fall!$A:$A,FALSE),MATCH(All!F$1,Fall!$1:$1,FALSE)),"N/A")</f>
        <v>1840</v>
      </c>
      <c r="G3" t="str">
        <f>IFERROR(IF(INDEX(Fall!$1:$1048576,MATCH(All!$A3,Fall!$A:$A,FALSE),MATCH(All!G$1,Fall!$1:$1,FALSE))="","",INDEX(Fall!$1:$1048576,MATCH(All!$A3,Fall!$A:$A,FALSE),MATCH(All!G$1,Fall!$1:$1,FALSE))),"")</f>
        <v>3A</v>
      </c>
      <c r="H3" t="str">
        <f>IFERROR(IF(INDEX(Fall!$1:$1048576,MATCH(All!$A3,Fall!$A:$A,FALSE),MATCH(All!H$1,Fall!$1:$1,FALSE))="","",INDEX(Fall!$1:$1048576,MATCH(All!$A3,Fall!$A:$A,FALSE),MATCH(All!H$1,Fall!$1:$1,FALSE))),"")</f>
        <v>3A</v>
      </c>
      <c r="I3" t="str">
        <f>IFERROR(IF(INDEX(Fall!$1:$1048576,MATCH(All!$A3,Fall!$A:$A,FALSE),MATCH(All!I$1,Fall!$1:$1,FALSE))="","",INDEX(Fall!$1:$1048576,MATCH(All!$A3,Fall!$A:$A,FALSE),MATCH(All!I$1,Fall!$1:$1,FALSE))),"")</f>
        <v>3A</v>
      </c>
      <c r="J3" t="str">
        <f>IFERROR(IF(INDEX(Fall!$1:$1048576,MATCH(All!$A3,Fall!$A:$A,FALSE),MATCH(All!J$1,Fall!$1:$1,FALSE))="","",INDEX(Fall!$1:$1048576,MATCH(All!$A3,Fall!$A:$A,FALSE),MATCH(All!J$1,Fall!$1:$1,FALSE))),"")</f>
        <v>2A</v>
      </c>
      <c r="K3" t="str">
        <f>IFERROR(IF(INDEX(Fall!$1:$1048576,MATCH(All!$A3,Fall!$A:$A,FALSE),MATCH(All!K$1,Fall!$1:$1,FALSE))="","",INDEX(Fall!$1:$1048576,MATCH(All!$A3,Fall!$A:$A,FALSE),MATCH(All!K$1,Fall!$1:$1,FALSE))),"")</f>
        <v>3A</v>
      </c>
      <c r="L3" t="str">
        <f>IFERROR(IF(INDEX(Fall!$1:$1048576,MATCH(All!$A3,Fall!$A:$A,FALSE),MATCH(All!L$1,Fall!$1:$1,FALSE))="","",INDEX(Fall!$1:$1048576,MATCH(All!$A3,Fall!$A:$A,FALSE),MATCH(All!L$1,Fall!$1:$1,FALSE))),"")</f>
        <v>2A</v>
      </c>
      <c r="M3" t="str">
        <f>IFERROR(IF(INDEX(Fall!$1:$1048576,MATCH(All!$A3,Fall!$A:$A,FALSE),MATCH(All!M$1,Fall!$1:$1,FALSE))="","",INDEX(Fall!$1:$1048576,MATCH(All!$A3,Fall!$A:$A,FALSE),MATCH(All!M$1,Fall!$1:$1,FALSE))),"")</f>
        <v>4A</v>
      </c>
      <c r="O3">
        <f>IFERROR(IF(INDEX(Winter!$1:$1048576,MATCH(All!$A3,Winter!$A:$A,FALSE),MATCH(All!O$1,Winter!$1:$1,FALSE))="","",INDEX(Winter!$1:$1048576,MATCH(All!$A3,Winter!$A:$A,FALSE),MATCH(All!O$1,Winter!$1:$1,FALSE))),"")</f>
        <v>1840</v>
      </c>
      <c r="P3" t="str">
        <f>IFERROR(IF(INDEX(Winter!$1:$1048576,MATCH(All!$A3,Winter!$A:$A,FALSE),MATCH(All!P$1,Winter!$1:$1,FALSE))="","",INDEX(Winter!$1:$1048576,MATCH(All!$A3,Winter!$A:$A,FALSE),MATCH(All!P$1,Winter!$1:$1,FALSE))),"")</f>
        <v>4A</v>
      </c>
      <c r="Q3" t="str">
        <f>IFERROR(IF(INDEX(Winter!$1:$1048576,MATCH(All!$A3,Winter!$A:$A,FALSE),MATCH(All!Q$1,Winter!$1:$1,FALSE))="","",INDEX(Winter!$1:$1048576,MATCH(All!$A3,Winter!$A:$A,FALSE),MATCH(All!Q$1,Winter!$1:$1,FALSE))),"")</f>
        <v>4A</v>
      </c>
      <c r="R3" t="str">
        <f>IFERROR(IF(INDEX(Winter!$1:$1048576,MATCH(All!$A3,Winter!$A:$A,FALSE),MATCH(All!R$1,Winter!$1:$1,FALSE))="","",INDEX(Winter!$1:$1048576,MATCH(All!$A3,Winter!$A:$A,FALSE),MATCH(All!R$1,Winter!$1:$1,FALSE))),"")</f>
        <v>C</v>
      </c>
      <c r="S3" t="str">
        <f>IFERROR(IF(INDEX(Winter!$1:$1048576,MATCH(All!$A3,Winter!$A:$A,FALSE),MATCH(All!S$1,Winter!$1:$1,FALSE))="","",INDEX(Winter!$1:$1048576,MATCH(All!$A3,Winter!$A:$A,FALSE),MATCH(All!S$1,Winter!$1:$1,FALSE))),"")</f>
        <v>2A</v>
      </c>
      <c r="T3" t="str">
        <f>IFERROR(IF(INDEX(Winter!$1:$1048576,MATCH(All!$A3,Winter!$A:$A,FALSE),MATCH(All!T$1,Winter!$1:$1,FALSE))="","",INDEX(Winter!$1:$1048576,MATCH(All!$A3,Winter!$A:$A,FALSE),MATCH(All!T$1,Winter!$1:$1,FALSE))),"")</f>
        <v>2A</v>
      </c>
      <c r="U3" t="str">
        <f>IFERROR(IF(INDEX(Winter!$1:$1048576,MATCH(All!$A3,Winter!$A:$A,FALSE),MATCH(All!U$1,Winter!$1:$1,FALSE))="","",INDEX(Winter!$1:$1048576,MATCH(All!$A3,Winter!$A:$A,FALSE),MATCH(All!U$1,Winter!$1:$1,FALSE))),"")</f>
        <v>3A</v>
      </c>
      <c r="W3">
        <f>IFERROR(IF(INDEX(Spring!$1:$1048576,MATCH(All!$A3,Spring!$A:$A,FALSE),MATCH(All!W$1,Spring!$1:$1,FALSE))="","",INDEX(Spring!$1:$1048576,MATCH(All!$A3,Spring!$A:$A,FALSE),MATCH(All!W$1,Spring!$1:$1,FALSE))),"")</f>
        <v>1840</v>
      </c>
      <c r="X3" t="str">
        <f>IFERROR(IF(INDEX(Spring!$1:$1048576,MATCH(All!$A3,Spring!$A:$A,FALSE),MATCH(All!X$1,Spring!$1:$1,FALSE))="","",INDEX(Spring!$1:$1048576,MATCH(All!$A3,Spring!$A:$A,FALSE),MATCH(All!X$1,Spring!$1:$1,FALSE))),"")</f>
        <v>4A</v>
      </c>
      <c r="Y3" t="str">
        <f>IFERROR(IF(INDEX(Spring!$1:$1048576,MATCH(All!$A3,Spring!$A:$A,FALSE),MATCH(All!Y$1,Spring!$1:$1,FALSE))="","",INDEX(Spring!$1:$1048576,MATCH(All!$A3,Spring!$A:$A,FALSE),MATCH(All!Y$1,Spring!$1:$1,FALSE))),"")</f>
        <v>4A</v>
      </c>
      <c r="Z3" t="str">
        <f>IFERROR(IF(INDEX(Spring!$1:$1048576,MATCH(All!$A3,Spring!$A:$A,FALSE),MATCH(All!Z$1,Spring!$1:$1,FALSE))="","",INDEX(Spring!$1:$1048576,MATCH(All!$A3,Spring!$A:$A,FALSE),MATCH(All!Z$1,Spring!$1:$1,FALSE))),"")</f>
        <v>3A</v>
      </c>
      <c r="AA3" t="str">
        <f>IFERROR(IF(INDEX(Spring!$1:$1048576,MATCH(All!$A3,Spring!$A:$A,FALSE),MATCH(All!AA$1,Spring!$1:$1,FALSE))="","",INDEX(Spring!$1:$1048576,MATCH(All!$A3,Spring!$A:$A,FALSE),MATCH(All!AA$1,Spring!$1:$1,FALSE))),"")</f>
        <v>2A</v>
      </c>
      <c r="AB3" t="str">
        <f>IFERROR(IF(INDEX(Spring!$1:$1048576,MATCH(All!$A3,Spring!$A:$A,FALSE),MATCH(All!AB$1,Spring!$1:$1,FALSE))="","",INDEX(Spring!$1:$1048576,MATCH(All!$A3,Spring!$A:$A,FALSE),MATCH(All!AB$1,Spring!$1:$1,FALSE))),"")</f>
        <v>3A</v>
      </c>
      <c r="AC3" t="str">
        <f>IFERROR(IF(INDEX(Spring!$1:$1048576,MATCH(All!$A3,Spring!$A:$A,FALSE),MATCH(All!AC$1,Spring!$1:$1,FALSE))="","",INDEX(Spring!$1:$1048576,MATCH(All!$A3,Spring!$A:$A,FALSE),MATCH(All!AC$1,Spring!$1:$1,FALSE))),"")</f>
        <v>3A</v>
      </c>
      <c r="AD3" t="str">
        <f>IFERROR(VLOOKUP(A3,'Flag Football'!A:A,1,FALSE),"")</f>
        <v>Addison (A. Trail)</v>
      </c>
      <c r="AE3" t="str">
        <f t="shared" ref="AE3:AE66" si="0">IF(AD3="","","1A")</f>
        <v>1A</v>
      </c>
    </row>
    <row r="4" spans="1:31" ht="15.75" thickBot="1" x14ac:dyDescent="0.3">
      <c r="A4" s="18" t="s">
        <v>14</v>
      </c>
      <c r="B4" s="38">
        <f>IFERROR(VLOOKUP(A4,'Public v Private'!A:G,3,FALSE),"")</f>
        <v>0</v>
      </c>
      <c r="C4" s="38">
        <f>IFERROR(VLOOKUP(A4,'Public v Private'!A:G,4,FALSE),"")</f>
        <v>0</v>
      </c>
      <c r="D4" s="38">
        <f>IFERROR(VLOOKUP(A4,'Public v Private'!A:G,5,FALSE),"")</f>
        <v>0</v>
      </c>
      <c r="E4" s="38"/>
      <c r="F4" s="40">
        <f>IFERROR(INDEX(Fall!$1:$1048576,MATCH(All!$A4,Fall!$A:$A,FALSE),MATCH(All!F$1,Fall!$1:$1,FALSE)),"N/A")</f>
        <v>215</v>
      </c>
      <c r="G4" t="str">
        <f>IFERROR(IF(INDEX(Fall!$1:$1048576,MATCH(All!$A4,Fall!$A:$A,FALSE),MATCH(All!G$1,Fall!$1:$1,FALSE))="","",INDEX(Fall!$1:$1048576,MATCH(All!$A4,Fall!$A:$A,FALSE),MATCH(All!G$1,Fall!$1:$1,FALSE))),"")</f>
        <v/>
      </c>
      <c r="H4" t="str">
        <f>IFERROR(IF(INDEX(Fall!$1:$1048576,MATCH(All!$A4,Fall!$A:$A,FALSE),MATCH(All!H$1,Fall!$1:$1,FALSE))="","",INDEX(Fall!$1:$1048576,MATCH(All!$A4,Fall!$A:$A,FALSE),MATCH(All!H$1,Fall!$1:$1,FALSE))),"")</f>
        <v/>
      </c>
      <c r="I4" t="str">
        <f>IFERROR(IF(INDEX(Fall!$1:$1048576,MATCH(All!$A4,Fall!$A:$A,FALSE),MATCH(All!I$1,Fall!$1:$1,FALSE))="","",INDEX(Fall!$1:$1048576,MATCH(All!$A4,Fall!$A:$A,FALSE),MATCH(All!I$1,Fall!$1:$1,FALSE))),"")</f>
        <v>1A</v>
      </c>
      <c r="J4" t="str">
        <f>IFERROR(IF(INDEX(Fall!$1:$1048576,MATCH(All!$A4,Fall!$A:$A,FALSE),MATCH(All!J$1,Fall!$1:$1,FALSE))="","",INDEX(Fall!$1:$1048576,MATCH(All!$A4,Fall!$A:$A,FALSE),MATCH(All!J$1,Fall!$1:$1,FALSE))),"")</f>
        <v>1A</v>
      </c>
      <c r="K4" t="str">
        <f>IFERROR(IF(INDEX(Fall!$1:$1048576,MATCH(All!$A4,Fall!$A:$A,FALSE),MATCH(All!K$1,Fall!$1:$1,FALSE))="","",INDEX(Fall!$1:$1048576,MATCH(All!$A4,Fall!$A:$A,FALSE),MATCH(All!K$1,Fall!$1:$1,FALSE))),"")</f>
        <v/>
      </c>
      <c r="L4" t="str">
        <f>IFERROR(IF(INDEX(Fall!$1:$1048576,MATCH(All!$A4,Fall!$A:$A,FALSE),MATCH(All!L$1,Fall!$1:$1,FALSE))="","",INDEX(Fall!$1:$1048576,MATCH(All!$A4,Fall!$A:$A,FALSE),MATCH(All!L$1,Fall!$1:$1,FALSE))),"")</f>
        <v/>
      </c>
      <c r="M4" t="str">
        <f>IFERROR(IF(INDEX(Fall!$1:$1048576,MATCH(All!$A4,Fall!$A:$A,FALSE),MATCH(All!M$1,Fall!$1:$1,FALSE))="","",INDEX(Fall!$1:$1048576,MATCH(All!$A4,Fall!$A:$A,FALSE),MATCH(All!M$1,Fall!$1:$1,FALSE))),"")</f>
        <v>1A</v>
      </c>
      <c r="O4">
        <f>IFERROR(IF(INDEX(Winter!$1:$1048576,MATCH(All!$A4,Winter!$A:$A,FALSE),MATCH(All!O$1,Winter!$1:$1,FALSE))="","",INDEX(Winter!$1:$1048576,MATCH(All!$A4,Winter!$A:$A,FALSE),MATCH(All!O$1,Winter!$1:$1,FALSE))),"")</f>
        <v>215</v>
      </c>
      <c r="P4" t="str">
        <f>IFERROR(IF(INDEX(Winter!$1:$1048576,MATCH(All!$A4,Winter!$A:$A,FALSE),MATCH(All!P$1,Winter!$1:$1,FALSE))="","",INDEX(Winter!$1:$1048576,MATCH(All!$A4,Winter!$A:$A,FALSE),MATCH(All!P$1,Winter!$1:$1,FALSE))),"")</f>
        <v>1A</v>
      </c>
      <c r="Q4" t="str">
        <f>IFERROR(IF(INDEX(Winter!$1:$1048576,MATCH(All!$A4,Winter!$A:$A,FALSE),MATCH(All!Q$1,Winter!$1:$1,FALSE))="","",INDEX(Winter!$1:$1048576,MATCH(All!$A4,Winter!$A:$A,FALSE),MATCH(All!Q$1,Winter!$1:$1,FALSE))),"")</f>
        <v>1A</v>
      </c>
      <c r="R4" t="str">
        <f>IFERROR(IF(INDEX(Winter!$1:$1048576,MATCH(All!$A4,Winter!$A:$A,FALSE),MATCH(All!R$1,Winter!$1:$1,FALSE))="","",INDEX(Winter!$1:$1048576,MATCH(All!$A4,Winter!$A:$A,FALSE),MATCH(All!R$1,Winter!$1:$1,FALSE))),"")</f>
        <v/>
      </c>
      <c r="S4" t="str">
        <f>IFERROR(IF(INDEX(Winter!$1:$1048576,MATCH(All!$A4,Winter!$A:$A,FALSE),MATCH(All!S$1,Winter!$1:$1,FALSE))="","",INDEX(Winter!$1:$1048576,MATCH(All!$A4,Winter!$A:$A,FALSE),MATCH(All!S$1,Winter!$1:$1,FALSE))),"")</f>
        <v/>
      </c>
      <c r="T4" t="str">
        <f>IFERROR(IF(INDEX(Winter!$1:$1048576,MATCH(All!$A4,Winter!$A:$A,FALSE),MATCH(All!T$1,Winter!$1:$1,FALSE))="","",INDEX(Winter!$1:$1048576,MATCH(All!$A4,Winter!$A:$A,FALSE),MATCH(All!T$1,Winter!$1:$1,FALSE))),"")</f>
        <v>1A</v>
      </c>
      <c r="U4" t="str">
        <f>IFERROR(IF(INDEX(Winter!$1:$1048576,MATCH(All!$A4,Winter!$A:$A,FALSE),MATCH(All!U$1,Winter!$1:$1,FALSE))="","",INDEX(Winter!$1:$1048576,MATCH(All!$A4,Winter!$A:$A,FALSE),MATCH(All!U$1,Winter!$1:$1,FALSE))),"")</f>
        <v/>
      </c>
      <c r="W4">
        <f>IFERROR(IF(INDEX(Spring!$1:$1048576,MATCH(All!$A4,Spring!$A:$A,FALSE),MATCH(All!W$1,Spring!$1:$1,FALSE))="","",INDEX(Spring!$1:$1048576,MATCH(All!$A4,Spring!$A:$A,FALSE),MATCH(All!W$1,Spring!$1:$1,FALSE))),"")</f>
        <v>215</v>
      </c>
      <c r="X4" t="str">
        <f>IFERROR(IF(INDEX(Spring!$1:$1048576,MATCH(All!$A4,Spring!$A:$A,FALSE),MATCH(All!X$1,Spring!$1:$1,FALSE))="","",INDEX(Spring!$1:$1048576,MATCH(All!$A4,Spring!$A:$A,FALSE),MATCH(All!X$1,Spring!$1:$1,FALSE))),"")</f>
        <v>1A</v>
      </c>
      <c r="Y4" t="str">
        <f>IFERROR(IF(INDEX(Spring!$1:$1048576,MATCH(All!$A4,Spring!$A:$A,FALSE),MATCH(All!Y$1,Spring!$1:$1,FALSE))="","",INDEX(Spring!$1:$1048576,MATCH(All!$A4,Spring!$A:$A,FALSE),MATCH(All!Y$1,Spring!$1:$1,FALSE))),"")</f>
        <v>1A</v>
      </c>
      <c r="Z4" t="str">
        <f>IFERROR(IF(INDEX(Spring!$1:$1048576,MATCH(All!$A4,Spring!$A:$A,FALSE),MATCH(All!Z$1,Spring!$1:$1,FALSE))="","",INDEX(Spring!$1:$1048576,MATCH(All!$A4,Spring!$A:$A,FALSE),MATCH(All!Z$1,Spring!$1:$1,FALSE))),"")</f>
        <v/>
      </c>
      <c r="AA4" t="str">
        <f>IFERROR(IF(INDEX(Spring!$1:$1048576,MATCH(All!$A4,Spring!$A:$A,FALSE),MATCH(All!AA$1,Spring!$1:$1,FALSE))="","",INDEX(Spring!$1:$1048576,MATCH(All!$A4,Spring!$A:$A,FALSE),MATCH(All!AA$1,Spring!$1:$1,FALSE))),"")</f>
        <v/>
      </c>
      <c r="AB4" t="str">
        <f>IFERROR(IF(INDEX(Spring!$1:$1048576,MATCH(All!$A4,Spring!$A:$A,FALSE),MATCH(All!AB$1,Spring!$1:$1,FALSE))="","",INDEX(Spring!$1:$1048576,MATCH(All!$A4,Spring!$A:$A,FALSE),MATCH(All!AB$1,Spring!$1:$1,FALSE))),"")</f>
        <v/>
      </c>
      <c r="AC4" t="str">
        <f>IFERROR(IF(INDEX(Spring!$1:$1048576,MATCH(All!$A4,Spring!$A:$A,FALSE),MATCH(All!AC$1,Spring!$1:$1,FALSE))="","",INDEX(Spring!$1:$1048576,MATCH(All!$A4,Spring!$A:$A,FALSE),MATCH(All!AC$1,Spring!$1:$1,FALSE))),"")</f>
        <v/>
      </c>
      <c r="AD4" t="str">
        <f>IFERROR(VLOOKUP(A4,'Flag Football'!A:A,1,FALSE),"")</f>
        <v/>
      </c>
      <c r="AE4" t="str">
        <f t="shared" si="0"/>
        <v/>
      </c>
    </row>
    <row r="5" spans="1:31" ht="15.75" thickBot="1" x14ac:dyDescent="0.3">
      <c r="A5" s="20" t="s">
        <v>15</v>
      </c>
      <c r="B5" s="38">
        <f>IFERROR(VLOOKUP(A5,'Public v Private'!A:G,3,FALSE),"")</f>
        <v>0</v>
      </c>
      <c r="C5" s="38">
        <f>IFERROR(VLOOKUP(A5,'Public v Private'!A:G,4,FALSE),"")</f>
        <v>0</v>
      </c>
      <c r="D5" s="38">
        <f>IFERROR(VLOOKUP(A5,'Public v Private'!A:G,5,FALSE),"")</f>
        <v>0</v>
      </c>
      <c r="E5" s="38"/>
      <c r="F5" s="40">
        <f>IFERROR(INDEX(Fall!$1:$1048576,MATCH(All!$A5,Fall!$A:$A,FALSE),MATCH(All!F$1,Fall!$1:$1,FALSE)),"N/A")</f>
        <v>399</v>
      </c>
      <c r="G5" t="str">
        <f>IFERROR(IF(INDEX(Fall!$1:$1048576,MATCH(All!$A5,Fall!$A:$A,FALSE),MATCH(All!G$1,Fall!$1:$1,FALSE))="","",INDEX(Fall!$1:$1048576,MATCH(All!$A5,Fall!$A:$A,FALSE),MATCH(All!G$1,Fall!$1:$1,FALSE))),"")</f>
        <v>1A</v>
      </c>
      <c r="H5" t="str">
        <f>IFERROR(IF(INDEX(Fall!$1:$1048576,MATCH(All!$A5,Fall!$A:$A,FALSE),MATCH(All!H$1,Fall!$1:$1,FALSE))="","",INDEX(Fall!$1:$1048576,MATCH(All!$A5,Fall!$A:$A,FALSE),MATCH(All!H$1,Fall!$1:$1,FALSE))),"")</f>
        <v>1A</v>
      </c>
      <c r="I5" t="str">
        <f>IFERROR(IF(INDEX(Fall!$1:$1048576,MATCH(All!$A5,Fall!$A:$A,FALSE),MATCH(All!I$1,Fall!$1:$1,FALSE))="","",INDEX(Fall!$1:$1048576,MATCH(All!$A5,Fall!$A:$A,FALSE),MATCH(All!I$1,Fall!$1:$1,FALSE))),"")</f>
        <v>1A</v>
      </c>
      <c r="J5" t="str">
        <f>IFERROR(IF(INDEX(Fall!$1:$1048576,MATCH(All!$A5,Fall!$A:$A,FALSE),MATCH(All!J$1,Fall!$1:$1,FALSE))="","",INDEX(Fall!$1:$1048576,MATCH(All!$A5,Fall!$A:$A,FALSE),MATCH(All!J$1,Fall!$1:$1,FALSE))),"")</f>
        <v>1A</v>
      </c>
      <c r="K5" t="str">
        <f>IFERROR(IF(INDEX(Fall!$1:$1048576,MATCH(All!$A5,Fall!$A:$A,FALSE),MATCH(All!K$1,Fall!$1:$1,FALSE))="","",INDEX(Fall!$1:$1048576,MATCH(All!$A5,Fall!$A:$A,FALSE),MATCH(All!K$1,Fall!$1:$1,FALSE))),"")</f>
        <v/>
      </c>
      <c r="L5" t="str">
        <f>IFERROR(IF(INDEX(Fall!$1:$1048576,MATCH(All!$A5,Fall!$A:$A,FALSE),MATCH(All!L$1,Fall!$1:$1,FALSE))="","",INDEX(Fall!$1:$1048576,MATCH(All!$A5,Fall!$A:$A,FALSE),MATCH(All!L$1,Fall!$1:$1,FALSE))),"")</f>
        <v/>
      </c>
      <c r="M5" t="str">
        <f>IFERROR(IF(INDEX(Fall!$1:$1048576,MATCH(All!$A5,Fall!$A:$A,FALSE),MATCH(All!M$1,Fall!$1:$1,FALSE))="","",INDEX(Fall!$1:$1048576,MATCH(All!$A5,Fall!$A:$A,FALSE),MATCH(All!M$1,Fall!$1:$1,FALSE))),"")</f>
        <v>2A</v>
      </c>
      <c r="O5">
        <f>IFERROR(IF(INDEX(Winter!$1:$1048576,MATCH(All!$A5,Winter!$A:$A,FALSE),MATCH(All!O$1,Winter!$1:$1,FALSE))="","",INDEX(Winter!$1:$1048576,MATCH(All!$A5,Winter!$A:$A,FALSE),MATCH(All!O$1,Winter!$1:$1,FALSE))),"")</f>
        <v>399</v>
      </c>
      <c r="P5" t="str">
        <f>IFERROR(IF(INDEX(Winter!$1:$1048576,MATCH(All!$A5,Winter!$A:$A,FALSE),MATCH(All!P$1,Winter!$1:$1,FALSE))="","",INDEX(Winter!$1:$1048576,MATCH(All!$A5,Winter!$A:$A,FALSE),MATCH(All!P$1,Winter!$1:$1,FALSE))),"")</f>
        <v>2A</v>
      </c>
      <c r="Q5" t="str">
        <f>IFERROR(IF(INDEX(Winter!$1:$1048576,MATCH(All!$A5,Winter!$A:$A,FALSE),MATCH(All!Q$1,Winter!$1:$1,FALSE))="","",INDEX(Winter!$1:$1048576,MATCH(All!$A5,Winter!$A:$A,FALSE),MATCH(All!Q$1,Winter!$1:$1,FALSE))),"")</f>
        <v>2A</v>
      </c>
      <c r="R5" t="str">
        <f>IFERROR(IF(INDEX(Winter!$1:$1048576,MATCH(All!$A5,Winter!$A:$A,FALSE),MATCH(All!R$1,Winter!$1:$1,FALSE))="","",INDEX(Winter!$1:$1048576,MATCH(All!$A5,Winter!$A:$A,FALSE),MATCH(All!R$1,Winter!$1:$1,FALSE))),"")</f>
        <v/>
      </c>
      <c r="S5" t="str">
        <f>IFERROR(IF(INDEX(Winter!$1:$1048576,MATCH(All!$A5,Winter!$A:$A,FALSE),MATCH(All!S$1,Winter!$1:$1,FALSE))="","",INDEX(Winter!$1:$1048576,MATCH(All!$A5,Winter!$A:$A,FALSE),MATCH(All!S$1,Winter!$1:$1,FALSE))),"")</f>
        <v/>
      </c>
      <c r="T5" t="str">
        <f>IFERROR(IF(INDEX(Winter!$1:$1048576,MATCH(All!$A5,Winter!$A:$A,FALSE),MATCH(All!T$1,Winter!$1:$1,FALSE))="","",INDEX(Winter!$1:$1048576,MATCH(All!$A5,Winter!$A:$A,FALSE),MATCH(All!T$1,Winter!$1:$1,FALSE))),"")</f>
        <v>1A</v>
      </c>
      <c r="U5" t="str">
        <f>IFERROR(IF(INDEX(Winter!$1:$1048576,MATCH(All!$A5,Winter!$A:$A,FALSE),MATCH(All!U$1,Winter!$1:$1,FALSE))="","",INDEX(Winter!$1:$1048576,MATCH(All!$A5,Winter!$A:$A,FALSE),MATCH(All!U$1,Winter!$1:$1,FALSE))),"")</f>
        <v>1A</v>
      </c>
      <c r="W5">
        <f>IFERROR(IF(INDEX(Spring!$1:$1048576,MATCH(All!$A5,Spring!$A:$A,FALSE),MATCH(All!W$1,Spring!$1:$1,FALSE))="","",INDEX(Spring!$1:$1048576,MATCH(All!$A5,Spring!$A:$A,FALSE),MATCH(All!W$1,Spring!$1:$1,FALSE))),"")</f>
        <v>399</v>
      </c>
      <c r="X5" t="str">
        <f>IFERROR(IF(INDEX(Spring!$1:$1048576,MATCH(All!$A5,Spring!$A:$A,FALSE),MATCH(All!X$1,Spring!$1:$1,FALSE))="","",INDEX(Spring!$1:$1048576,MATCH(All!$A5,Spring!$A:$A,FALSE),MATCH(All!X$1,Spring!$1:$1,FALSE))),"")</f>
        <v>2A</v>
      </c>
      <c r="Y5" t="str">
        <f>IFERROR(IF(INDEX(Spring!$1:$1048576,MATCH(All!$A5,Spring!$A:$A,FALSE),MATCH(All!Y$1,Spring!$1:$1,FALSE))="","",INDEX(Spring!$1:$1048576,MATCH(All!$A5,Spring!$A:$A,FALSE),MATCH(All!Y$1,Spring!$1:$1,FALSE))),"")</f>
        <v>2A</v>
      </c>
      <c r="Z5" t="str">
        <f>IFERROR(IF(INDEX(Spring!$1:$1048576,MATCH(All!$A5,Spring!$A:$A,FALSE),MATCH(All!Z$1,Spring!$1:$1,FALSE))="","",INDEX(Spring!$1:$1048576,MATCH(All!$A5,Spring!$A:$A,FALSE),MATCH(All!Z$1,Spring!$1:$1,FALSE))),"")</f>
        <v/>
      </c>
      <c r="AA5" t="str">
        <f>IFERROR(IF(INDEX(Spring!$1:$1048576,MATCH(All!$A5,Spring!$A:$A,FALSE),MATCH(All!AA$1,Spring!$1:$1,FALSE))="","",INDEX(Spring!$1:$1048576,MATCH(All!$A5,Spring!$A:$A,FALSE),MATCH(All!AA$1,Spring!$1:$1,FALSE))),"")</f>
        <v/>
      </c>
      <c r="AB5" t="str">
        <f>IFERROR(IF(INDEX(Spring!$1:$1048576,MATCH(All!$A5,Spring!$A:$A,FALSE),MATCH(All!AB$1,Spring!$1:$1,FALSE))="","",INDEX(Spring!$1:$1048576,MATCH(All!$A5,Spring!$A:$A,FALSE),MATCH(All!AB$1,Spring!$1:$1,FALSE))),"")</f>
        <v>1A</v>
      </c>
      <c r="AC5" t="str">
        <f>IFERROR(IF(INDEX(Spring!$1:$1048576,MATCH(All!$A5,Spring!$A:$A,FALSE),MATCH(All!AC$1,Spring!$1:$1,FALSE))="","",INDEX(Spring!$1:$1048576,MATCH(All!$A5,Spring!$A:$A,FALSE),MATCH(All!AC$1,Spring!$1:$1,FALSE))),"")</f>
        <v>1A</v>
      </c>
      <c r="AD5" t="str">
        <f>IFERROR(VLOOKUP(A5,'Flag Football'!A:A,1,FALSE),"")</f>
        <v/>
      </c>
      <c r="AE5" t="str">
        <f t="shared" si="0"/>
        <v/>
      </c>
    </row>
    <row r="6" spans="1:31" ht="15.75" thickBot="1" x14ac:dyDescent="0.3">
      <c r="A6" s="18" t="s">
        <v>16</v>
      </c>
      <c r="B6" s="38">
        <f>IFERROR(VLOOKUP(A6,'Public v Private'!A:G,3,FALSE),"")</f>
        <v>0</v>
      </c>
      <c r="C6" s="38">
        <f>IFERROR(VLOOKUP(A6,'Public v Private'!A:G,4,FALSE),"")</f>
        <v>0</v>
      </c>
      <c r="D6" s="38">
        <f>IFERROR(VLOOKUP(A6,'Public v Private'!A:G,5,FALSE),"")</f>
        <v>0</v>
      </c>
      <c r="E6" s="38"/>
      <c r="F6" s="40">
        <f>IFERROR(INDEX(Fall!$1:$1048576,MATCH(All!$A6,Fall!$A:$A,FALSE),MATCH(All!F$1,Fall!$1:$1,FALSE)),"N/A")</f>
        <v>2048</v>
      </c>
      <c r="G6" t="str">
        <f>IFERROR(IF(INDEX(Fall!$1:$1048576,MATCH(All!$A6,Fall!$A:$A,FALSE),MATCH(All!G$1,Fall!$1:$1,FALSE))="","",INDEX(Fall!$1:$1048576,MATCH(All!$A6,Fall!$A:$A,FALSE),MATCH(All!G$1,Fall!$1:$1,FALSE))),"")</f>
        <v>3A</v>
      </c>
      <c r="H6" t="str">
        <f>IFERROR(IF(INDEX(Fall!$1:$1048576,MATCH(All!$A6,Fall!$A:$A,FALSE),MATCH(All!H$1,Fall!$1:$1,FALSE))="","",INDEX(Fall!$1:$1048576,MATCH(All!$A6,Fall!$A:$A,FALSE),MATCH(All!H$1,Fall!$1:$1,FALSE))),"")</f>
        <v>3A</v>
      </c>
      <c r="I6" t="str">
        <f>IFERROR(IF(INDEX(Fall!$1:$1048576,MATCH(All!$A6,Fall!$A:$A,FALSE),MATCH(All!I$1,Fall!$1:$1,FALSE))="","",INDEX(Fall!$1:$1048576,MATCH(All!$A6,Fall!$A:$A,FALSE),MATCH(All!I$1,Fall!$1:$1,FALSE))),"")</f>
        <v>3A</v>
      </c>
      <c r="J6" t="str">
        <f>IFERROR(IF(INDEX(Fall!$1:$1048576,MATCH(All!$A6,Fall!$A:$A,FALSE),MATCH(All!J$1,Fall!$1:$1,FALSE))="","",INDEX(Fall!$1:$1048576,MATCH(All!$A6,Fall!$A:$A,FALSE),MATCH(All!J$1,Fall!$1:$1,FALSE))),"")</f>
        <v>2A</v>
      </c>
      <c r="K6" t="str">
        <f>IFERROR(IF(INDEX(Fall!$1:$1048576,MATCH(All!$A6,Fall!$A:$A,FALSE),MATCH(All!K$1,Fall!$1:$1,FALSE))="","",INDEX(Fall!$1:$1048576,MATCH(All!$A6,Fall!$A:$A,FALSE),MATCH(All!K$1,Fall!$1:$1,FALSE))),"")</f>
        <v>3A</v>
      </c>
      <c r="L6" t="str">
        <f>IFERROR(IF(INDEX(Fall!$1:$1048576,MATCH(All!$A6,Fall!$A:$A,FALSE),MATCH(All!L$1,Fall!$1:$1,FALSE))="","",INDEX(Fall!$1:$1048576,MATCH(All!$A6,Fall!$A:$A,FALSE),MATCH(All!L$1,Fall!$1:$1,FALSE))),"")</f>
        <v>2A</v>
      </c>
      <c r="M6" t="str">
        <f>IFERROR(IF(INDEX(Fall!$1:$1048576,MATCH(All!$A6,Fall!$A:$A,FALSE),MATCH(All!M$1,Fall!$1:$1,FALSE))="","",INDEX(Fall!$1:$1048576,MATCH(All!$A6,Fall!$A:$A,FALSE),MATCH(All!M$1,Fall!$1:$1,FALSE))),"")</f>
        <v>4A</v>
      </c>
      <c r="O6">
        <f>IFERROR(IF(INDEX(Winter!$1:$1048576,MATCH(All!$A6,Winter!$A:$A,FALSE),MATCH(All!O$1,Winter!$1:$1,FALSE))="","",INDEX(Winter!$1:$1048576,MATCH(All!$A6,Winter!$A:$A,FALSE),MATCH(All!O$1,Winter!$1:$1,FALSE))),"")</f>
        <v>2048</v>
      </c>
      <c r="P6" t="str">
        <f>IFERROR(IF(INDEX(Winter!$1:$1048576,MATCH(All!$A6,Winter!$A:$A,FALSE),MATCH(All!P$1,Winter!$1:$1,FALSE))="","",INDEX(Winter!$1:$1048576,MATCH(All!$A6,Winter!$A:$A,FALSE),MATCH(All!P$1,Winter!$1:$1,FALSE))),"")</f>
        <v>4A</v>
      </c>
      <c r="Q6" t="str">
        <f>IFERROR(IF(INDEX(Winter!$1:$1048576,MATCH(All!$A6,Winter!$A:$A,FALSE),MATCH(All!Q$1,Winter!$1:$1,FALSE))="","",INDEX(Winter!$1:$1048576,MATCH(All!$A6,Winter!$A:$A,FALSE),MATCH(All!Q$1,Winter!$1:$1,FALSE))),"")</f>
        <v>4A</v>
      </c>
      <c r="R6" t="str">
        <f>IFERROR(IF(INDEX(Winter!$1:$1048576,MATCH(All!$A6,Winter!$A:$A,FALSE),MATCH(All!R$1,Winter!$1:$1,FALSE))="","",INDEX(Winter!$1:$1048576,MATCH(All!$A6,Winter!$A:$A,FALSE),MATCH(All!R$1,Winter!$1:$1,FALSE))),"")</f>
        <v>3A</v>
      </c>
      <c r="S6" t="str">
        <f>IFERROR(IF(INDEX(Winter!$1:$1048576,MATCH(All!$A6,Winter!$A:$A,FALSE),MATCH(All!S$1,Winter!$1:$1,FALSE))="","",INDEX(Winter!$1:$1048576,MATCH(All!$A6,Winter!$A:$A,FALSE),MATCH(All!S$1,Winter!$1:$1,FALSE))),"")</f>
        <v>3A</v>
      </c>
      <c r="T6" t="str">
        <f>IFERROR(IF(INDEX(Winter!$1:$1048576,MATCH(All!$A6,Winter!$A:$A,FALSE),MATCH(All!T$1,Winter!$1:$1,FALSE))="","",INDEX(Winter!$1:$1048576,MATCH(All!$A6,Winter!$A:$A,FALSE),MATCH(All!T$1,Winter!$1:$1,FALSE))),"")</f>
        <v>2A</v>
      </c>
      <c r="U6" t="str">
        <f>IFERROR(IF(INDEX(Winter!$1:$1048576,MATCH(All!$A6,Winter!$A:$A,FALSE),MATCH(All!U$1,Winter!$1:$1,FALSE))="","",INDEX(Winter!$1:$1048576,MATCH(All!$A6,Winter!$A:$A,FALSE),MATCH(All!U$1,Winter!$1:$1,FALSE))),"")</f>
        <v>3A</v>
      </c>
      <c r="W6">
        <f>IFERROR(IF(INDEX(Spring!$1:$1048576,MATCH(All!$A6,Spring!$A:$A,FALSE),MATCH(All!W$1,Spring!$1:$1,FALSE))="","",INDEX(Spring!$1:$1048576,MATCH(All!$A6,Spring!$A:$A,FALSE),MATCH(All!W$1,Spring!$1:$1,FALSE))),"")</f>
        <v>2048</v>
      </c>
      <c r="X6" t="str">
        <f>IFERROR(IF(INDEX(Spring!$1:$1048576,MATCH(All!$A6,Spring!$A:$A,FALSE),MATCH(All!X$1,Spring!$1:$1,FALSE))="","",INDEX(Spring!$1:$1048576,MATCH(All!$A6,Spring!$A:$A,FALSE),MATCH(All!X$1,Spring!$1:$1,FALSE))),"")</f>
        <v>4A</v>
      </c>
      <c r="Y6" t="str">
        <f>IFERROR(IF(INDEX(Spring!$1:$1048576,MATCH(All!$A6,Spring!$A:$A,FALSE),MATCH(All!Y$1,Spring!$1:$1,FALSE))="","",INDEX(Spring!$1:$1048576,MATCH(All!$A6,Spring!$A:$A,FALSE),MATCH(All!Y$1,Spring!$1:$1,FALSE))),"")</f>
        <v>4A</v>
      </c>
      <c r="Z6" t="str">
        <f>IFERROR(IF(INDEX(Spring!$1:$1048576,MATCH(All!$A6,Spring!$A:$A,FALSE),MATCH(All!Z$1,Spring!$1:$1,FALSE))="","",INDEX(Spring!$1:$1048576,MATCH(All!$A6,Spring!$A:$A,FALSE),MATCH(All!Z$1,Spring!$1:$1,FALSE))),"")</f>
        <v>3A</v>
      </c>
      <c r="AA6" t="str">
        <f>IFERROR(IF(INDEX(Spring!$1:$1048576,MATCH(All!$A6,Spring!$A:$A,FALSE),MATCH(All!AA$1,Spring!$1:$1,FALSE))="","",INDEX(Spring!$1:$1048576,MATCH(All!$A6,Spring!$A:$A,FALSE),MATCH(All!AA$1,Spring!$1:$1,FALSE))),"")</f>
        <v>2A</v>
      </c>
      <c r="AB6" t="str">
        <f>IFERROR(IF(INDEX(Spring!$1:$1048576,MATCH(All!$A6,Spring!$A:$A,FALSE),MATCH(All!AB$1,Spring!$1:$1,FALSE))="","",INDEX(Spring!$1:$1048576,MATCH(All!$A6,Spring!$A:$A,FALSE),MATCH(All!AB$1,Spring!$1:$1,FALSE))),"")</f>
        <v>3A</v>
      </c>
      <c r="AC6" t="str">
        <f>IFERROR(IF(INDEX(Spring!$1:$1048576,MATCH(All!$A6,Spring!$A:$A,FALSE),MATCH(All!AC$1,Spring!$1:$1,FALSE))="","",INDEX(Spring!$1:$1048576,MATCH(All!$A6,Spring!$A:$A,FALSE),MATCH(All!AC$1,Spring!$1:$1,FALSE))),"")</f>
        <v>3A</v>
      </c>
      <c r="AD6" t="str">
        <f>IFERROR(VLOOKUP(A6,'Flag Football'!A:A,1,FALSE),"")</f>
        <v>Algonquin (Jacobs)</v>
      </c>
      <c r="AE6" t="str">
        <f t="shared" si="0"/>
        <v>1A</v>
      </c>
    </row>
    <row r="7" spans="1:31" ht="15.75" thickBot="1" x14ac:dyDescent="0.3">
      <c r="A7" s="20" t="s">
        <v>17</v>
      </c>
      <c r="B7" s="38">
        <f>IFERROR(VLOOKUP(A7,'Public v Private'!A:G,3,FALSE),"")</f>
        <v>0</v>
      </c>
      <c r="C7" s="38">
        <f>IFERROR(VLOOKUP(A7,'Public v Private'!A:G,4,FALSE),"")</f>
        <v>0</v>
      </c>
      <c r="D7" s="38">
        <f>IFERROR(VLOOKUP(A7,'Public v Private'!A:G,5,FALSE),"")</f>
        <v>0</v>
      </c>
      <c r="E7" s="38"/>
      <c r="F7" s="40">
        <f>IFERROR(INDEX(Fall!$1:$1048576,MATCH(All!$A7,Fall!$A:$A,FALSE),MATCH(All!F$1,Fall!$1:$1,FALSE)),"N/A")</f>
        <v>228</v>
      </c>
      <c r="G7" t="str">
        <f>IFERROR(IF(INDEX(Fall!$1:$1048576,MATCH(All!$A7,Fall!$A:$A,FALSE),MATCH(All!G$1,Fall!$1:$1,FALSE))="","",INDEX(Fall!$1:$1048576,MATCH(All!$A7,Fall!$A:$A,FALSE),MATCH(All!G$1,Fall!$1:$1,FALSE))),"")</f>
        <v>1A</v>
      </c>
      <c r="H7" t="str">
        <f>IFERROR(IF(INDEX(Fall!$1:$1048576,MATCH(All!$A7,Fall!$A:$A,FALSE),MATCH(All!H$1,Fall!$1:$1,FALSE))="","",INDEX(Fall!$1:$1048576,MATCH(All!$A7,Fall!$A:$A,FALSE),MATCH(All!H$1,Fall!$1:$1,FALSE))),"")</f>
        <v>1A</v>
      </c>
      <c r="I7" t="str">
        <f>IFERROR(IF(INDEX(Fall!$1:$1048576,MATCH(All!$A7,Fall!$A:$A,FALSE),MATCH(All!I$1,Fall!$1:$1,FALSE))="","",INDEX(Fall!$1:$1048576,MATCH(All!$A7,Fall!$A:$A,FALSE),MATCH(All!I$1,Fall!$1:$1,FALSE))),"")</f>
        <v>1A</v>
      </c>
      <c r="J7" t="str">
        <f>IFERROR(IF(INDEX(Fall!$1:$1048576,MATCH(All!$A7,Fall!$A:$A,FALSE),MATCH(All!J$1,Fall!$1:$1,FALSE))="","",INDEX(Fall!$1:$1048576,MATCH(All!$A7,Fall!$A:$A,FALSE),MATCH(All!J$1,Fall!$1:$1,FALSE))),"")</f>
        <v>1A</v>
      </c>
      <c r="K7" t="str">
        <f>IFERROR(IF(INDEX(Fall!$1:$1048576,MATCH(All!$A7,Fall!$A:$A,FALSE),MATCH(All!K$1,Fall!$1:$1,FALSE))="","",INDEX(Fall!$1:$1048576,MATCH(All!$A7,Fall!$A:$A,FALSE),MATCH(All!K$1,Fall!$1:$1,FALSE))),"")</f>
        <v>1A</v>
      </c>
      <c r="L7" t="str">
        <f>IFERROR(IF(INDEX(Fall!$1:$1048576,MATCH(All!$A7,Fall!$A:$A,FALSE),MATCH(All!L$1,Fall!$1:$1,FALSE))="","",INDEX(Fall!$1:$1048576,MATCH(All!$A7,Fall!$A:$A,FALSE),MATCH(All!L$1,Fall!$1:$1,FALSE))),"")</f>
        <v/>
      </c>
      <c r="M7" t="str">
        <f>IFERROR(IF(INDEX(Fall!$1:$1048576,MATCH(All!$A7,Fall!$A:$A,FALSE),MATCH(All!M$1,Fall!$1:$1,FALSE))="","",INDEX(Fall!$1:$1048576,MATCH(All!$A7,Fall!$A:$A,FALSE),MATCH(All!M$1,Fall!$1:$1,FALSE))),"")</f>
        <v>1A</v>
      </c>
      <c r="O7">
        <f>IFERROR(IF(INDEX(Winter!$1:$1048576,MATCH(All!$A7,Winter!$A:$A,FALSE),MATCH(All!O$1,Winter!$1:$1,FALSE))="","",INDEX(Winter!$1:$1048576,MATCH(All!$A7,Winter!$A:$A,FALSE),MATCH(All!O$1,Winter!$1:$1,FALSE))),"")</f>
        <v>228</v>
      </c>
      <c r="P7" t="str">
        <f>IFERROR(IF(INDEX(Winter!$1:$1048576,MATCH(All!$A7,Winter!$A:$A,FALSE),MATCH(All!P$1,Winter!$1:$1,FALSE))="","",INDEX(Winter!$1:$1048576,MATCH(All!$A7,Winter!$A:$A,FALSE),MATCH(All!P$1,Winter!$1:$1,FALSE))),"")</f>
        <v>1A</v>
      </c>
      <c r="Q7" t="str">
        <f>IFERROR(IF(INDEX(Winter!$1:$1048576,MATCH(All!$A7,Winter!$A:$A,FALSE),MATCH(All!Q$1,Winter!$1:$1,FALSE))="","",INDEX(Winter!$1:$1048576,MATCH(All!$A7,Winter!$A:$A,FALSE),MATCH(All!Q$1,Winter!$1:$1,FALSE))),"")</f>
        <v>1A</v>
      </c>
      <c r="R7" t="str">
        <f>IFERROR(IF(INDEX(Winter!$1:$1048576,MATCH(All!$A7,Winter!$A:$A,FALSE),MATCH(All!R$1,Winter!$1:$1,FALSE))="","",INDEX(Winter!$1:$1048576,MATCH(All!$A7,Winter!$A:$A,FALSE),MATCH(All!R$1,Winter!$1:$1,FALSE))),"")</f>
        <v/>
      </c>
      <c r="S7" t="str">
        <f>IFERROR(IF(INDEX(Winter!$1:$1048576,MATCH(All!$A7,Winter!$A:$A,FALSE),MATCH(All!S$1,Winter!$1:$1,FALSE))="","",INDEX(Winter!$1:$1048576,MATCH(All!$A7,Winter!$A:$A,FALSE),MATCH(All!S$1,Winter!$1:$1,FALSE))),"")</f>
        <v/>
      </c>
      <c r="T7" t="str">
        <f>IFERROR(IF(INDEX(Winter!$1:$1048576,MATCH(All!$A7,Winter!$A:$A,FALSE),MATCH(All!T$1,Winter!$1:$1,FALSE))="","",INDEX(Winter!$1:$1048576,MATCH(All!$A7,Winter!$A:$A,FALSE),MATCH(All!T$1,Winter!$1:$1,FALSE))),"")</f>
        <v>1A</v>
      </c>
      <c r="U7" t="str">
        <f>IFERROR(IF(INDEX(Winter!$1:$1048576,MATCH(All!$A7,Winter!$A:$A,FALSE),MATCH(All!U$1,Winter!$1:$1,FALSE))="","",INDEX(Winter!$1:$1048576,MATCH(All!$A7,Winter!$A:$A,FALSE),MATCH(All!U$1,Winter!$1:$1,FALSE))),"")</f>
        <v/>
      </c>
      <c r="W7">
        <f>IFERROR(IF(INDEX(Spring!$1:$1048576,MATCH(All!$A7,Spring!$A:$A,FALSE),MATCH(All!W$1,Spring!$1:$1,FALSE))="","",INDEX(Spring!$1:$1048576,MATCH(All!$A7,Spring!$A:$A,FALSE),MATCH(All!W$1,Spring!$1:$1,FALSE))),"")</f>
        <v>228</v>
      </c>
      <c r="X7" t="str">
        <f>IFERROR(IF(INDEX(Spring!$1:$1048576,MATCH(All!$A7,Spring!$A:$A,FALSE),MATCH(All!X$1,Spring!$1:$1,FALSE))="","",INDEX(Spring!$1:$1048576,MATCH(All!$A7,Spring!$A:$A,FALSE),MATCH(All!X$1,Spring!$1:$1,FALSE))),"")</f>
        <v>1A</v>
      </c>
      <c r="Y7" t="str">
        <f>IFERROR(IF(INDEX(Spring!$1:$1048576,MATCH(All!$A7,Spring!$A:$A,FALSE),MATCH(All!Y$1,Spring!$1:$1,FALSE))="","",INDEX(Spring!$1:$1048576,MATCH(All!$A7,Spring!$A:$A,FALSE),MATCH(All!Y$1,Spring!$1:$1,FALSE))),"")</f>
        <v>1A</v>
      </c>
      <c r="Z7" t="str">
        <f>IFERROR(IF(INDEX(Spring!$1:$1048576,MATCH(All!$A7,Spring!$A:$A,FALSE),MATCH(All!Z$1,Spring!$1:$1,FALSE))="","",INDEX(Spring!$1:$1048576,MATCH(All!$A7,Spring!$A:$A,FALSE),MATCH(All!Z$1,Spring!$1:$1,FALSE))),"")</f>
        <v/>
      </c>
      <c r="AA7" t="str">
        <f>IFERROR(IF(INDEX(Spring!$1:$1048576,MATCH(All!$A7,Spring!$A:$A,FALSE),MATCH(All!AA$1,Spring!$1:$1,FALSE))="","",INDEX(Spring!$1:$1048576,MATCH(All!$A7,Spring!$A:$A,FALSE),MATCH(All!AA$1,Spring!$1:$1,FALSE))),"")</f>
        <v/>
      </c>
      <c r="AB7" t="str">
        <f>IFERROR(IF(INDEX(Spring!$1:$1048576,MATCH(All!$A7,Spring!$A:$A,FALSE),MATCH(All!AB$1,Spring!$1:$1,FALSE))="","",INDEX(Spring!$1:$1048576,MATCH(All!$A7,Spring!$A:$A,FALSE),MATCH(All!AB$1,Spring!$1:$1,FALSE))),"")</f>
        <v>1A</v>
      </c>
      <c r="AC7" t="str">
        <f>IFERROR(IF(INDEX(Spring!$1:$1048576,MATCH(All!$A7,Spring!$A:$A,FALSE),MATCH(All!AC$1,Spring!$1:$1,FALSE))="","",INDEX(Spring!$1:$1048576,MATCH(All!$A7,Spring!$A:$A,FALSE),MATCH(All!AC$1,Spring!$1:$1,FALSE))),"")</f>
        <v>1A</v>
      </c>
      <c r="AD7" t="str">
        <f>IFERROR(VLOOKUP(A7,'Flag Football'!A:A,1,FALSE),"")</f>
        <v/>
      </c>
      <c r="AE7" t="str">
        <f t="shared" si="0"/>
        <v/>
      </c>
    </row>
    <row r="8" spans="1:31" ht="15.75" thickBot="1" x14ac:dyDescent="0.3">
      <c r="A8" s="18" t="s">
        <v>18</v>
      </c>
      <c r="B8" s="38" t="str">
        <f>IFERROR(VLOOKUP(A8,'Public v Private'!A:G,3,FALSE),"")</f>
        <v>private</v>
      </c>
      <c r="C8" s="38">
        <f>IFERROR(VLOOKUP(A8,'Public v Private'!A:G,4,FALSE),"")</f>
        <v>7</v>
      </c>
      <c r="D8" s="38">
        <f>IFERROR(VLOOKUP(A8,'Public v Private'!A:G,5,FALSE),"")</f>
        <v>19</v>
      </c>
      <c r="E8" s="38"/>
      <c r="F8" s="40" t="str">
        <f>IFERROR(INDEX(Fall!$1:$1048576,MATCH(All!$A8,Fall!$A:$A,FALSE),MATCH(All!F$1,Fall!$1:$1,FALSE)),"N/A")</f>
        <v>372.00 (613.80)</v>
      </c>
      <c r="G8" t="str">
        <f>IFERROR(IF(INDEX(Fall!$1:$1048576,MATCH(All!$A8,Fall!$A:$A,FALSE),MATCH(All!G$1,Fall!$1:$1,FALSE))="","",INDEX(Fall!$1:$1048576,MATCH(All!$A8,Fall!$A:$A,FALSE),MATCH(All!G$1,Fall!$1:$1,FALSE))),"")</f>
        <v>2A</v>
      </c>
      <c r="H8" t="str">
        <f>IFERROR(IF(INDEX(Fall!$1:$1048576,MATCH(All!$A8,Fall!$A:$A,FALSE),MATCH(All!H$1,Fall!$1:$1,FALSE))="","",INDEX(Fall!$1:$1048576,MATCH(All!$A8,Fall!$A:$A,FALSE),MATCH(All!H$1,Fall!$1:$1,FALSE))),"")</f>
        <v>2A</v>
      </c>
      <c r="I8" t="str">
        <f>IFERROR(IF(INDEX(Fall!$1:$1048576,MATCH(All!$A8,Fall!$A:$A,FALSE),MATCH(All!I$1,Fall!$1:$1,FALSE))="","",INDEX(Fall!$1:$1048576,MATCH(All!$A8,Fall!$A:$A,FALSE),MATCH(All!I$1,Fall!$1:$1,FALSE))),"")</f>
        <v>2A</v>
      </c>
      <c r="J8" t="str">
        <f>IFERROR(IF(INDEX(Fall!$1:$1048576,MATCH(All!$A8,Fall!$A:$A,FALSE),MATCH(All!J$1,Fall!$1:$1,FALSE))="","",INDEX(Fall!$1:$1048576,MATCH(All!$A8,Fall!$A:$A,FALSE),MATCH(All!J$1,Fall!$1:$1,FALSE))),"")</f>
        <v>1A</v>
      </c>
      <c r="K8" t="str">
        <f>IFERROR(IF(INDEX(Fall!$1:$1048576,MATCH(All!$A8,Fall!$A:$A,FALSE),MATCH(All!K$1,Fall!$1:$1,FALSE))="","",INDEX(Fall!$1:$1048576,MATCH(All!$A8,Fall!$A:$A,FALSE),MATCH(All!K$1,Fall!$1:$1,FALSE))),"")</f>
        <v>1A</v>
      </c>
      <c r="L8" t="str">
        <f>IFERROR(IF(INDEX(Fall!$1:$1048576,MATCH(All!$A8,Fall!$A:$A,FALSE),MATCH(All!L$1,Fall!$1:$1,FALSE))="","",INDEX(Fall!$1:$1048576,MATCH(All!$A8,Fall!$A:$A,FALSE),MATCH(All!L$1,Fall!$1:$1,FALSE))),"")</f>
        <v>1A</v>
      </c>
      <c r="M8" t="str">
        <f>IFERROR(IF(INDEX(Fall!$1:$1048576,MATCH(All!$A8,Fall!$A:$A,FALSE),MATCH(All!M$1,Fall!$1:$1,FALSE))="","",INDEX(Fall!$1:$1048576,MATCH(All!$A8,Fall!$A:$A,FALSE),MATCH(All!M$1,Fall!$1:$1,FALSE))),"")</f>
        <v>2A</v>
      </c>
      <c r="O8" t="str">
        <f>IFERROR(IF(INDEX(Winter!$1:$1048576,MATCH(All!$A8,Winter!$A:$A,FALSE),MATCH(All!O$1,Winter!$1:$1,FALSE))="","",INDEX(Winter!$1:$1048576,MATCH(All!$A8,Winter!$A:$A,FALSE),MATCH(All!O$1,Winter!$1:$1,FALSE))),"")</f>
        <v>372.00 (613.80)</v>
      </c>
      <c r="P8" t="str">
        <f>IFERROR(IF(INDEX(Winter!$1:$1048576,MATCH(All!$A8,Winter!$A:$A,FALSE),MATCH(All!P$1,Winter!$1:$1,FALSE))="","",INDEX(Winter!$1:$1048576,MATCH(All!$A8,Winter!$A:$A,FALSE),MATCH(All!P$1,Winter!$1:$1,FALSE))),"")</f>
        <v>2A</v>
      </c>
      <c r="Q8" t="str">
        <f>IFERROR(IF(INDEX(Winter!$1:$1048576,MATCH(All!$A8,Winter!$A:$A,FALSE),MATCH(All!Q$1,Winter!$1:$1,FALSE))="","",INDEX(Winter!$1:$1048576,MATCH(All!$A8,Winter!$A:$A,FALSE),MATCH(All!Q$1,Winter!$1:$1,FALSE))),"")</f>
        <v>2A</v>
      </c>
      <c r="R8" t="str">
        <f>IFERROR(IF(INDEX(Winter!$1:$1048576,MATCH(All!$A8,Winter!$A:$A,FALSE),MATCH(All!R$1,Winter!$1:$1,FALSE))="","",INDEX(Winter!$1:$1048576,MATCH(All!$A8,Winter!$A:$A,FALSE),MATCH(All!R$1,Winter!$1:$1,FALSE))),"")</f>
        <v/>
      </c>
      <c r="S8" t="str">
        <f>IFERROR(IF(INDEX(Winter!$1:$1048576,MATCH(All!$A8,Winter!$A:$A,FALSE),MATCH(All!S$1,Winter!$1:$1,FALSE))="","",INDEX(Winter!$1:$1048576,MATCH(All!$A8,Winter!$A:$A,FALSE),MATCH(All!S$1,Winter!$1:$1,FALSE))),"")</f>
        <v>1A</v>
      </c>
      <c r="T8" t="str">
        <f>IFERROR(IF(INDEX(Winter!$1:$1048576,MATCH(All!$A8,Winter!$A:$A,FALSE),MATCH(All!T$1,Winter!$1:$1,FALSE))="","",INDEX(Winter!$1:$1048576,MATCH(All!$A8,Winter!$A:$A,FALSE),MATCH(All!T$1,Winter!$1:$1,FALSE))),"")</f>
        <v>2A</v>
      </c>
      <c r="U8" t="str">
        <f>IFERROR(IF(INDEX(Winter!$1:$1048576,MATCH(All!$A8,Winter!$A:$A,FALSE),MATCH(All!U$1,Winter!$1:$1,FALSE))="","",INDEX(Winter!$1:$1048576,MATCH(All!$A8,Winter!$A:$A,FALSE),MATCH(All!U$1,Winter!$1:$1,FALSE))),"")</f>
        <v/>
      </c>
      <c r="W8" t="str">
        <f>IFERROR(IF(INDEX(Spring!$1:$1048576,MATCH(All!$A8,Spring!$A:$A,FALSE),MATCH(All!W$1,Spring!$1:$1,FALSE))="","",INDEX(Spring!$1:$1048576,MATCH(All!$A8,Spring!$A:$A,FALSE),MATCH(All!W$1,Spring!$1:$1,FALSE))),"")</f>
        <v>372.00 (613.80)</v>
      </c>
      <c r="X8" t="str">
        <f>IFERROR(IF(INDEX(Spring!$1:$1048576,MATCH(All!$A8,Spring!$A:$A,FALSE),MATCH(All!X$1,Spring!$1:$1,FALSE))="","",INDEX(Spring!$1:$1048576,MATCH(All!$A8,Spring!$A:$A,FALSE),MATCH(All!X$1,Spring!$1:$1,FALSE))),"")</f>
        <v>2A</v>
      </c>
      <c r="Y8" t="str">
        <f>IFERROR(IF(INDEX(Spring!$1:$1048576,MATCH(All!$A8,Spring!$A:$A,FALSE),MATCH(All!Y$1,Spring!$1:$1,FALSE))="","",INDEX(Spring!$1:$1048576,MATCH(All!$A8,Spring!$A:$A,FALSE),MATCH(All!Y$1,Spring!$1:$1,FALSE))),"")</f>
        <v>2A</v>
      </c>
      <c r="Z8" t="str">
        <f>IFERROR(IF(INDEX(Spring!$1:$1048576,MATCH(All!$A8,Spring!$A:$A,FALSE),MATCH(All!Z$1,Spring!$1:$1,FALSE))="","",INDEX(Spring!$1:$1048576,MATCH(All!$A8,Spring!$A:$A,FALSE),MATCH(All!Z$1,Spring!$1:$1,FALSE))),"")</f>
        <v>1A</v>
      </c>
      <c r="AA8" t="str">
        <f>IFERROR(IF(INDEX(Spring!$1:$1048576,MATCH(All!$A8,Spring!$A:$A,FALSE),MATCH(All!AA$1,Spring!$1:$1,FALSE))="","",INDEX(Spring!$1:$1048576,MATCH(All!$A8,Spring!$A:$A,FALSE),MATCH(All!AA$1,Spring!$1:$1,FALSE))),"")</f>
        <v>1A</v>
      </c>
      <c r="AB8" t="str">
        <f>IFERROR(IF(INDEX(Spring!$1:$1048576,MATCH(All!$A8,Spring!$A:$A,FALSE),MATCH(All!AB$1,Spring!$1:$1,FALSE))="","",INDEX(Spring!$1:$1048576,MATCH(All!$A8,Spring!$A:$A,FALSE),MATCH(All!AB$1,Spring!$1:$1,FALSE))),"")</f>
        <v>2A</v>
      </c>
      <c r="AC8" t="str">
        <f>IFERROR(IF(INDEX(Spring!$1:$1048576,MATCH(All!$A8,Spring!$A:$A,FALSE),MATCH(All!AC$1,Spring!$1:$1,FALSE))="","",INDEX(Spring!$1:$1048576,MATCH(All!$A8,Spring!$A:$A,FALSE),MATCH(All!AC$1,Spring!$1:$1,FALSE))),"")</f>
        <v>2A</v>
      </c>
      <c r="AD8" t="str">
        <f>IFERROR(VLOOKUP(A8,'Flag Football'!A:A,1,FALSE),"")</f>
        <v/>
      </c>
      <c r="AE8" t="str">
        <f t="shared" si="0"/>
        <v/>
      </c>
    </row>
    <row r="9" spans="1:31" ht="15.75" thickBot="1" x14ac:dyDescent="0.3">
      <c r="A9" s="20" t="s">
        <v>20</v>
      </c>
      <c r="B9" s="38">
        <f>IFERROR(VLOOKUP(A9,'Public v Private'!A:G,3,FALSE),"")</f>
        <v>0</v>
      </c>
      <c r="C9" s="38">
        <f>IFERROR(VLOOKUP(A9,'Public v Private'!A:G,4,FALSE),"")</f>
        <v>0</v>
      </c>
      <c r="D9" s="38">
        <f>IFERROR(VLOOKUP(A9,'Public v Private'!A:G,5,FALSE),"")</f>
        <v>0</v>
      </c>
      <c r="E9" s="38"/>
      <c r="F9" s="40">
        <f>IFERROR(INDEX(Fall!$1:$1048576,MATCH(All!$A9,Fall!$A:$A,FALSE),MATCH(All!F$1,Fall!$1:$1,FALSE)),"N/A")</f>
        <v>1759</v>
      </c>
      <c r="G9" t="str">
        <f>IFERROR(IF(INDEX(Fall!$1:$1048576,MATCH(All!$A9,Fall!$A:$A,FALSE),MATCH(All!G$1,Fall!$1:$1,FALSE))="","",INDEX(Fall!$1:$1048576,MATCH(All!$A9,Fall!$A:$A,FALSE),MATCH(All!G$1,Fall!$1:$1,FALSE))),"")</f>
        <v>3A</v>
      </c>
      <c r="H9" t="str">
        <f>IFERROR(IF(INDEX(Fall!$1:$1048576,MATCH(All!$A9,Fall!$A:$A,FALSE),MATCH(All!H$1,Fall!$1:$1,FALSE))="","",INDEX(Fall!$1:$1048576,MATCH(All!$A9,Fall!$A:$A,FALSE),MATCH(All!H$1,Fall!$1:$1,FALSE))),"")</f>
        <v>3A</v>
      </c>
      <c r="I9" t="str">
        <f>IFERROR(IF(INDEX(Fall!$1:$1048576,MATCH(All!$A9,Fall!$A:$A,FALSE),MATCH(All!I$1,Fall!$1:$1,FALSE))="","",INDEX(Fall!$1:$1048576,MATCH(All!$A9,Fall!$A:$A,FALSE),MATCH(All!I$1,Fall!$1:$1,FALSE))),"")</f>
        <v>3A</v>
      </c>
      <c r="J9" t="str">
        <f>IFERROR(IF(INDEX(Fall!$1:$1048576,MATCH(All!$A9,Fall!$A:$A,FALSE),MATCH(All!J$1,Fall!$1:$1,FALSE))="","",INDEX(Fall!$1:$1048576,MATCH(All!$A9,Fall!$A:$A,FALSE),MATCH(All!J$1,Fall!$1:$1,FALSE))),"")</f>
        <v/>
      </c>
      <c r="K9" t="str">
        <f>IFERROR(IF(INDEX(Fall!$1:$1048576,MATCH(All!$A9,Fall!$A:$A,FALSE),MATCH(All!K$1,Fall!$1:$1,FALSE))="","",INDEX(Fall!$1:$1048576,MATCH(All!$A9,Fall!$A:$A,FALSE),MATCH(All!K$1,Fall!$1:$1,FALSE))),"")</f>
        <v>3A</v>
      </c>
      <c r="L9" t="str">
        <f>IFERROR(IF(INDEX(Fall!$1:$1048576,MATCH(All!$A9,Fall!$A:$A,FALSE),MATCH(All!L$1,Fall!$1:$1,FALSE))="","",INDEX(Fall!$1:$1048576,MATCH(All!$A9,Fall!$A:$A,FALSE),MATCH(All!L$1,Fall!$1:$1,FALSE))),"")</f>
        <v>2A</v>
      </c>
      <c r="M9" t="str">
        <f>IFERROR(IF(INDEX(Fall!$1:$1048576,MATCH(All!$A9,Fall!$A:$A,FALSE),MATCH(All!M$1,Fall!$1:$1,FALSE))="","",INDEX(Fall!$1:$1048576,MATCH(All!$A9,Fall!$A:$A,FALSE),MATCH(All!M$1,Fall!$1:$1,FALSE))),"")</f>
        <v>4A</v>
      </c>
      <c r="O9">
        <f>IFERROR(IF(INDEX(Winter!$1:$1048576,MATCH(All!$A9,Winter!$A:$A,FALSE),MATCH(All!O$1,Winter!$1:$1,FALSE))="","",INDEX(Winter!$1:$1048576,MATCH(All!$A9,Winter!$A:$A,FALSE),MATCH(All!O$1,Winter!$1:$1,FALSE))),"")</f>
        <v>1759</v>
      </c>
      <c r="P9" t="str">
        <f>IFERROR(IF(INDEX(Winter!$1:$1048576,MATCH(All!$A9,Winter!$A:$A,FALSE),MATCH(All!P$1,Winter!$1:$1,FALSE))="","",INDEX(Winter!$1:$1048576,MATCH(All!$A9,Winter!$A:$A,FALSE),MATCH(All!P$1,Winter!$1:$1,FALSE))),"")</f>
        <v>4A</v>
      </c>
      <c r="Q9" t="str">
        <f>IFERROR(IF(INDEX(Winter!$1:$1048576,MATCH(All!$A9,Winter!$A:$A,FALSE),MATCH(All!Q$1,Winter!$1:$1,FALSE))="","",INDEX(Winter!$1:$1048576,MATCH(All!$A9,Winter!$A:$A,FALSE),MATCH(All!Q$1,Winter!$1:$1,FALSE))),"")</f>
        <v>4A</v>
      </c>
      <c r="R9" t="str">
        <f>IFERROR(IF(INDEX(Winter!$1:$1048576,MATCH(All!$A9,Winter!$A:$A,FALSE),MATCH(All!R$1,Winter!$1:$1,FALSE))="","",INDEX(Winter!$1:$1048576,MATCH(All!$A9,Winter!$A:$A,FALSE),MATCH(All!R$1,Winter!$1:$1,FALSE))),"")</f>
        <v>C</v>
      </c>
      <c r="S9" t="str">
        <f>IFERROR(IF(INDEX(Winter!$1:$1048576,MATCH(All!$A9,Winter!$A:$A,FALSE),MATCH(All!S$1,Winter!$1:$1,FALSE))="","",INDEX(Winter!$1:$1048576,MATCH(All!$A9,Winter!$A:$A,FALSE),MATCH(All!S$1,Winter!$1:$1,FALSE))),"")</f>
        <v>2A</v>
      </c>
      <c r="T9" t="str">
        <f>IFERROR(IF(INDEX(Winter!$1:$1048576,MATCH(All!$A9,Winter!$A:$A,FALSE),MATCH(All!T$1,Winter!$1:$1,FALSE))="","",INDEX(Winter!$1:$1048576,MATCH(All!$A9,Winter!$A:$A,FALSE),MATCH(All!T$1,Winter!$1:$1,FALSE))),"")</f>
        <v>2A</v>
      </c>
      <c r="U9" t="str">
        <f>IFERROR(IF(INDEX(Winter!$1:$1048576,MATCH(All!$A9,Winter!$A:$A,FALSE),MATCH(All!U$1,Winter!$1:$1,FALSE))="","",INDEX(Winter!$1:$1048576,MATCH(All!$A9,Winter!$A:$A,FALSE),MATCH(All!U$1,Winter!$1:$1,FALSE))),"")</f>
        <v>3A</v>
      </c>
      <c r="W9">
        <f>IFERROR(IF(INDEX(Spring!$1:$1048576,MATCH(All!$A9,Spring!$A:$A,FALSE),MATCH(All!W$1,Spring!$1:$1,FALSE))="","",INDEX(Spring!$1:$1048576,MATCH(All!$A9,Spring!$A:$A,FALSE),MATCH(All!W$1,Spring!$1:$1,FALSE))),"")</f>
        <v>1759</v>
      </c>
      <c r="X9" t="str">
        <f>IFERROR(IF(INDEX(Spring!$1:$1048576,MATCH(All!$A9,Spring!$A:$A,FALSE),MATCH(All!X$1,Spring!$1:$1,FALSE))="","",INDEX(Spring!$1:$1048576,MATCH(All!$A9,Spring!$A:$A,FALSE),MATCH(All!X$1,Spring!$1:$1,FALSE))),"")</f>
        <v>4A</v>
      </c>
      <c r="Y9" t="str">
        <f>IFERROR(IF(INDEX(Spring!$1:$1048576,MATCH(All!$A9,Spring!$A:$A,FALSE),MATCH(All!Y$1,Spring!$1:$1,FALSE))="","",INDEX(Spring!$1:$1048576,MATCH(All!$A9,Spring!$A:$A,FALSE),MATCH(All!Y$1,Spring!$1:$1,FALSE))),"")</f>
        <v>4A</v>
      </c>
      <c r="Z9" t="str">
        <f>IFERROR(IF(INDEX(Spring!$1:$1048576,MATCH(All!$A9,Spring!$A:$A,FALSE),MATCH(All!Z$1,Spring!$1:$1,FALSE))="","",INDEX(Spring!$1:$1048576,MATCH(All!$A9,Spring!$A:$A,FALSE),MATCH(All!Z$1,Spring!$1:$1,FALSE))),"")</f>
        <v>2A</v>
      </c>
      <c r="AA9" t="str">
        <f>IFERROR(IF(INDEX(Spring!$1:$1048576,MATCH(All!$A9,Spring!$A:$A,FALSE),MATCH(All!AA$1,Spring!$1:$1,FALSE))="","",INDEX(Spring!$1:$1048576,MATCH(All!$A9,Spring!$A:$A,FALSE),MATCH(All!AA$1,Spring!$1:$1,FALSE))),"")</f>
        <v>2A</v>
      </c>
      <c r="AB9" t="str">
        <f>IFERROR(IF(INDEX(Spring!$1:$1048576,MATCH(All!$A9,Spring!$A:$A,FALSE),MATCH(All!AB$1,Spring!$1:$1,FALSE))="","",INDEX(Spring!$1:$1048576,MATCH(All!$A9,Spring!$A:$A,FALSE),MATCH(All!AB$1,Spring!$1:$1,FALSE))),"")</f>
        <v>3A</v>
      </c>
      <c r="AC9" t="str">
        <f>IFERROR(IF(INDEX(Spring!$1:$1048576,MATCH(All!$A9,Spring!$A:$A,FALSE),MATCH(All!AC$1,Spring!$1:$1,FALSE))="","",INDEX(Spring!$1:$1048576,MATCH(All!$A9,Spring!$A:$A,FALSE),MATCH(All!AC$1,Spring!$1:$1,FALSE))),"")</f>
        <v>3A</v>
      </c>
      <c r="AD9" t="str">
        <f>IFERROR(VLOOKUP(A9,'Flag Football'!A:A,1,FALSE),"")</f>
        <v/>
      </c>
      <c r="AE9" t="str">
        <f t="shared" si="0"/>
        <v/>
      </c>
    </row>
    <row r="10" spans="1:31" ht="15.75" thickBot="1" x14ac:dyDescent="0.3">
      <c r="A10" s="18" t="s">
        <v>21</v>
      </c>
      <c r="B10" s="38">
        <f>IFERROR(VLOOKUP(A10,'Public v Private'!A:G,3,FALSE),"")</f>
        <v>0</v>
      </c>
      <c r="C10" s="38">
        <f>IFERROR(VLOOKUP(A10,'Public v Private'!A:G,4,FALSE),"")</f>
        <v>0</v>
      </c>
      <c r="D10" s="38">
        <f>IFERROR(VLOOKUP(A10,'Public v Private'!A:G,5,FALSE),"")</f>
        <v>0</v>
      </c>
      <c r="E10" s="38"/>
      <c r="F10" s="40">
        <f>IFERROR(INDEX(Fall!$1:$1048576,MATCH(All!$A10,Fall!$A:$A,FALSE),MATCH(All!F$1,Fall!$1:$1,FALSE)),"N/A")</f>
        <v>222</v>
      </c>
      <c r="G10" t="str">
        <f>IFERROR(IF(INDEX(Fall!$1:$1048576,MATCH(All!$A10,Fall!$A:$A,FALSE),MATCH(All!G$1,Fall!$1:$1,FALSE))="","",INDEX(Fall!$1:$1048576,MATCH(All!$A10,Fall!$A:$A,FALSE),MATCH(All!G$1,Fall!$1:$1,FALSE))),"")</f>
        <v>1A</v>
      </c>
      <c r="H10" t="str">
        <f>IFERROR(IF(INDEX(Fall!$1:$1048576,MATCH(All!$A10,Fall!$A:$A,FALSE),MATCH(All!H$1,Fall!$1:$1,FALSE))="","",INDEX(Fall!$1:$1048576,MATCH(All!$A10,Fall!$A:$A,FALSE),MATCH(All!H$1,Fall!$1:$1,FALSE))),"")</f>
        <v>1A</v>
      </c>
      <c r="I10" t="str">
        <f>IFERROR(IF(INDEX(Fall!$1:$1048576,MATCH(All!$A10,Fall!$A:$A,FALSE),MATCH(All!I$1,Fall!$1:$1,FALSE))="","",INDEX(Fall!$1:$1048576,MATCH(All!$A10,Fall!$A:$A,FALSE),MATCH(All!I$1,Fall!$1:$1,FALSE))),"")</f>
        <v>1A</v>
      </c>
      <c r="J10" t="str">
        <f>IFERROR(IF(INDEX(Fall!$1:$1048576,MATCH(All!$A10,Fall!$A:$A,FALSE),MATCH(All!J$1,Fall!$1:$1,FALSE))="","",INDEX(Fall!$1:$1048576,MATCH(All!$A10,Fall!$A:$A,FALSE),MATCH(All!J$1,Fall!$1:$1,FALSE))),"")</f>
        <v/>
      </c>
      <c r="K10" t="str">
        <f>IFERROR(IF(INDEX(Fall!$1:$1048576,MATCH(All!$A10,Fall!$A:$A,FALSE),MATCH(All!K$1,Fall!$1:$1,FALSE))="","",INDEX(Fall!$1:$1048576,MATCH(All!$A10,Fall!$A:$A,FALSE),MATCH(All!K$1,Fall!$1:$1,FALSE))),"")</f>
        <v/>
      </c>
      <c r="L10" t="str">
        <f>IFERROR(IF(INDEX(Fall!$1:$1048576,MATCH(All!$A10,Fall!$A:$A,FALSE),MATCH(All!L$1,Fall!$1:$1,FALSE))="","",INDEX(Fall!$1:$1048576,MATCH(All!$A10,Fall!$A:$A,FALSE),MATCH(All!L$1,Fall!$1:$1,FALSE))),"")</f>
        <v/>
      </c>
      <c r="M10" t="str">
        <f>IFERROR(IF(INDEX(Fall!$1:$1048576,MATCH(All!$A10,Fall!$A:$A,FALSE),MATCH(All!M$1,Fall!$1:$1,FALSE))="","",INDEX(Fall!$1:$1048576,MATCH(All!$A10,Fall!$A:$A,FALSE),MATCH(All!M$1,Fall!$1:$1,FALSE))),"")</f>
        <v>1A</v>
      </c>
      <c r="O10">
        <f>IFERROR(IF(INDEX(Winter!$1:$1048576,MATCH(All!$A10,Winter!$A:$A,FALSE),MATCH(All!O$1,Winter!$1:$1,FALSE))="","",INDEX(Winter!$1:$1048576,MATCH(All!$A10,Winter!$A:$A,FALSE),MATCH(All!O$1,Winter!$1:$1,FALSE))),"")</f>
        <v>222</v>
      </c>
      <c r="P10" t="str">
        <f>IFERROR(IF(INDEX(Winter!$1:$1048576,MATCH(All!$A10,Winter!$A:$A,FALSE),MATCH(All!P$1,Winter!$1:$1,FALSE))="","",INDEX(Winter!$1:$1048576,MATCH(All!$A10,Winter!$A:$A,FALSE),MATCH(All!P$1,Winter!$1:$1,FALSE))),"")</f>
        <v>1A</v>
      </c>
      <c r="Q10" t="str">
        <f>IFERROR(IF(INDEX(Winter!$1:$1048576,MATCH(All!$A10,Winter!$A:$A,FALSE),MATCH(All!Q$1,Winter!$1:$1,FALSE))="","",INDEX(Winter!$1:$1048576,MATCH(All!$A10,Winter!$A:$A,FALSE),MATCH(All!Q$1,Winter!$1:$1,FALSE))),"")</f>
        <v>1A</v>
      </c>
      <c r="R10" t="str">
        <f>IFERROR(IF(INDEX(Winter!$1:$1048576,MATCH(All!$A10,Winter!$A:$A,FALSE),MATCH(All!R$1,Winter!$1:$1,FALSE))="","",INDEX(Winter!$1:$1048576,MATCH(All!$A10,Winter!$A:$A,FALSE),MATCH(All!R$1,Winter!$1:$1,FALSE))),"")</f>
        <v/>
      </c>
      <c r="S10" t="str">
        <f>IFERROR(IF(INDEX(Winter!$1:$1048576,MATCH(All!$A10,Winter!$A:$A,FALSE),MATCH(All!S$1,Winter!$1:$1,FALSE))="","",INDEX(Winter!$1:$1048576,MATCH(All!$A10,Winter!$A:$A,FALSE),MATCH(All!S$1,Winter!$1:$1,FALSE))),"")</f>
        <v/>
      </c>
      <c r="T10" t="str">
        <f>IFERROR(IF(INDEX(Winter!$1:$1048576,MATCH(All!$A10,Winter!$A:$A,FALSE),MATCH(All!T$1,Winter!$1:$1,FALSE))="","",INDEX(Winter!$1:$1048576,MATCH(All!$A10,Winter!$A:$A,FALSE),MATCH(All!T$1,Winter!$1:$1,FALSE))),"")</f>
        <v>1A</v>
      </c>
      <c r="U10" t="str">
        <f>IFERROR(IF(INDEX(Winter!$1:$1048576,MATCH(All!$A10,Winter!$A:$A,FALSE),MATCH(All!U$1,Winter!$1:$1,FALSE))="","",INDEX(Winter!$1:$1048576,MATCH(All!$A10,Winter!$A:$A,FALSE),MATCH(All!U$1,Winter!$1:$1,FALSE))),"")</f>
        <v>1A</v>
      </c>
      <c r="W10">
        <f>IFERROR(IF(INDEX(Spring!$1:$1048576,MATCH(All!$A10,Spring!$A:$A,FALSE),MATCH(All!W$1,Spring!$1:$1,FALSE))="","",INDEX(Spring!$1:$1048576,MATCH(All!$A10,Spring!$A:$A,FALSE),MATCH(All!W$1,Spring!$1:$1,FALSE))),"")</f>
        <v>222</v>
      </c>
      <c r="X10" t="str">
        <f>IFERROR(IF(INDEX(Spring!$1:$1048576,MATCH(All!$A10,Spring!$A:$A,FALSE),MATCH(All!X$1,Spring!$1:$1,FALSE))="","",INDEX(Spring!$1:$1048576,MATCH(All!$A10,Spring!$A:$A,FALSE),MATCH(All!X$1,Spring!$1:$1,FALSE))),"")</f>
        <v>1A</v>
      </c>
      <c r="Y10" t="str">
        <f>IFERROR(IF(INDEX(Spring!$1:$1048576,MATCH(All!$A10,Spring!$A:$A,FALSE),MATCH(All!Y$1,Spring!$1:$1,FALSE))="","",INDEX(Spring!$1:$1048576,MATCH(All!$A10,Spring!$A:$A,FALSE),MATCH(All!Y$1,Spring!$1:$1,FALSE))),"")</f>
        <v>1A</v>
      </c>
      <c r="Z10" t="str">
        <f>IFERROR(IF(INDEX(Spring!$1:$1048576,MATCH(All!$A10,Spring!$A:$A,FALSE),MATCH(All!Z$1,Spring!$1:$1,FALSE))="","",INDEX(Spring!$1:$1048576,MATCH(All!$A10,Spring!$A:$A,FALSE),MATCH(All!Z$1,Spring!$1:$1,FALSE))),"")</f>
        <v/>
      </c>
      <c r="AA10" t="str">
        <f>IFERROR(IF(INDEX(Spring!$1:$1048576,MATCH(All!$A10,Spring!$A:$A,FALSE),MATCH(All!AA$1,Spring!$1:$1,FALSE))="","",INDEX(Spring!$1:$1048576,MATCH(All!$A10,Spring!$A:$A,FALSE),MATCH(All!AA$1,Spring!$1:$1,FALSE))),"")</f>
        <v/>
      </c>
      <c r="AB10" t="str">
        <f>IFERROR(IF(INDEX(Spring!$1:$1048576,MATCH(All!$A10,Spring!$A:$A,FALSE),MATCH(All!AB$1,Spring!$1:$1,FALSE))="","",INDEX(Spring!$1:$1048576,MATCH(All!$A10,Spring!$A:$A,FALSE),MATCH(All!AB$1,Spring!$1:$1,FALSE))),"")</f>
        <v>1A</v>
      </c>
      <c r="AC10" t="str">
        <f>IFERROR(IF(INDEX(Spring!$1:$1048576,MATCH(All!$A10,Spring!$A:$A,FALSE),MATCH(All!AC$1,Spring!$1:$1,FALSE))="","",INDEX(Spring!$1:$1048576,MATCH(All!$A10,Spring!$A:$A,FALSE),MATCH(All!AC$1,Spring!$1:$1,FALSE))),"")</f>
        <v>1A</v>
      </c>
      <c r="AD10" t="str">
        <f>IFERROR(VLOOKUP(A10,'Flag Football'!A:A,1,FALSE),"")</f>
        <v/>
      </c>
      <c r="AE10" t="str">
        <f t="shared" si="0"/>
        <v/>
      </c>
    </row>
    <row r="11" spans="1:31" ht="15.75" thickBot="1" x14ac:dyDescent="0.3">
      <c r="A11" s="20" t="s">
        <v>22</v>
      </c>
      <c r="B11" s="38">
        <f>IFERROR(VLOOKUP(A11,'Public v Private'!A:G,3,FALSE),"")</f>
        <v>0</v>
      </c>
      <c r="C11" s="38">
        <f>IFERROR(VLOOKUP(A11,'Public v Private'!A:G,4,FALSE),"")</f>
        <v>0</v>
      </c>
      <c r="D11" s="38">
        <f>IFERROR(VLOOKUP(A11,'Public v Private'!A:G,5,FALSE),"")</f>
        <v>0</v>
      </c>
      <c r="E11" s="38"/>
      <c r="F11" s="40">
        <f>IFERROR(INDEX(Fall!$1:$1048576,MATCH(All!$A11,Fall!$A:$A,FALSE),MATCH(All!F$1,Fall!$1:$1,FALSE)),"N/A")</f>
        <v>453</v>
      </c>
      <c r="G11" t="str">
        <f>IFERROR(IF(INDEX(Fall!$1:$1048576,MATCH(All!$A11,Fall!$A:$A,FALSE),MATCH(All!G$1,Fall!$1:$1,FALSE))="","",INDEX(Fall!$1:$1048576,MATCH(All!$A11,Fall!$A:$A,FALSE),MATCH(All!G$1,Fall!$1:$1,FALSE))),"")</f>
        <v>1A</v>
      </c>
      <c r="H11" t="str">
        <f>IFERROR(IF(INDEX(Fall!$1:$1048576,MATCH(All!$A11,Fall!$A:$A,FALSE),MATCH(All!H$1,Fall!$1:$1,FALSE))="","",INDEX(Fall!$1:$1048576,MATCH(All!$A11,Fall!$A:$A,FALSE),MATCH(All!H$1,Fall!$1:$1,FALSE))),"")</f>
        <v>1A</v>
      </c>
      <c r="I11" t="str">
        <f>IFERROR(IF(INDEX(Fall!$1:$1048576,MATCH(All!$A11,Fall!$A:$A,FALSE),MATCH(All!I$1,Fall!$1:$1,FALSE))="","",INDEX(Fall!$1:$1048576,MATCH(All!$A11,Fall!$A:$A,FALSE),MATCH(All!I$1,Fall!$1:$1,FALSE))),"")</f>
        <v>1A</v>
      </c>
      <c r="J11" t="str">
        <f>IFERROR(IF(INDEX(Fall!$1:$1048576,MATCH(All!$A11,Fall!$A:$A,FALSE),MATCH(All!J$1,Fall!$1:$1,FALSE))="","",INDEX(Fall!$1:$1048576,MATCH(All!$A11,Fall!$A:$A,FALSE),MATCH(All!J$1,Fall!$1:$1,FALSE))),"")</f>
        <v>1A</v>
      </c>
      <c r="K11" t="str">
        <f>IFERROR(IF(INDEX(Fall!$1:$1048576,MATCH(All!$A11,Fall!$A:$A,FALSE),MATCH(All!K$1,Fall!$1:$1,FALSE))="","",INDEX(Fall!$1:$1048576,MATCH(All!$A11,Fall!$A:$A,FALSE),MATCH(All!K$1,Fall!$1:$1,FALSE))),"")</f>
        <v>1A</v>
      </c>
      <c r="L11" t="str">
        <f>IFERROR(IF(INDEX(Fall!$1:$1048576,MATCH(All!$A11,Fall!$A:$A,FALSE),MATCH(All!L$1,Fall!$1:$1,FALSE))="","",INDEX(Fall!$1:$1048576,MATCH(All!$A11,Fall!$A:$A,FALSE),MATCH(All!L$1,Fall!$1:$1,FALSE))),"")</f>
        <v/>
      </c>
      <c r="M11" t="str">
        <f>IFERROR(IF(INDEX(Fall!$1:$1048576,MATCH(All!$A11,Fall!$A:$A,FALSE),MATCH(All!M$1,Fall!$1:$1,FALSE))="","",INDEX(Fall!$1:$1048576,MATCH(All!$A11,Fall!$A:$A,FALSE),MATCH(All!M$1,Fall!$1:$1,FALSE))),"")</f>
        <v>2A</v>
      </c>
      <c r="O11">
        <f>IFERROR(IF(INDEX(Winter!$1:$1048576,MATCH(All!$A11,Winter!$A:$A,FALSE),MATCH(All!O$1,Winter!$1:$1,FALSE))="","",INDEX(Winter!$1:$1048576,MATCH(All!$A11,Winter!$A:$A,FALSE),MATCH(All!O$1,Winter!$1:$1,FALSE))),"")</f>
        <v>453</v>
      </c>
      <c r="P11" t="str">
        <f>IFERROR(IF(INDEX(Winter!$1:$1048576,MATCH(All!$A11,Winter!$A:$A,FALSE),MATCH(All!P$1,Winter!$1:$1,FALSE))="","",INDEX(Winter!$1:$1048576,MATCH(All!$A11,Winter!$A:$A,FALSE),MATCH(All!P$1,Winter!$1:$1,FALSE))),"")</f>
        <v>2A</v>
      </c>
      <c r="Q11" t="str">
        <f>IFERROR(IF(INDEX(Winter!$1:$1048576,MATCH(All!$A11,Winter!$A:$A,FALSE),MATCH(All!Q$1,Winter!$1:$1,FALSE))="","",INDEX(Winter!$1:$1048576,MATCH(All!$A11,Winter!$A:$A,FALSE),MATCH(All!Q$1,Winter!$1:$1,FALSE))),"")</f>
        <v>2A</v>
      </c>
      <c r="R11" t="str">
        <f>IFERROR(IF(INDEX(Winter!$1:$1048576,MATCH(All!$A11,Winter!$A:$A,FALSE),MATCH(All!R$1,Winter!$1:$1,FALSE))="","",INDEX(Winter!$1:$1048576,MATCH(All!$A11,Winter!$A:$A,FALSE),MATCH(All!R$1,Winter!$1:$1,FALSE))),"")</f>
        <v/>
      </c>
      <c r="S11" t="str">
        <f>IFERROR(IF(INDEX(Winter!$1:$1048576,MATCH(All!$A11,Winter!$A:$A,FALSE),MATCH(All!S$1,Winter!$1:$1,FALSE))="","",INDEX(Winter!$1:$1048576,MATCH(All!$A11,Winter!$A:$A,FALSE),MATCH(All!S$1,Winter!$1:$1,FALSE))),"")</f>
        <v/>
      </c>
      <c r="T11" t="str">
        <f>IFERROR(IF(INDEX(Winter!$1:$1048576,MATCH(All!$A11,Winter!$A:$A,FALSE),MATCH(All!T$1,Winter!$1:$1,FALSE))="","",INDEX(Winter!$1:$1048576,MATCH(All!$A11,Winter!$A:$A,FALSE),MATCH(All!T$1,Winter!$1:$1,FALSE))),"")</f>
        <v>2A</v>
      </c>
      <c r="U11" t="str">
        <f>IFERROR(IF(INDEX(Winter!$1:$1048576,MATCH(All!$A11,Winter!$A:$A,FALSE),MATCH(All!U$1,Winter!$1:$1,FALSE))="","",INDEX(Winter!$1:$1048576,MATCH(All!$A11,Winter!$A:$A,FALSE),MATCH(All!U$1,Winter!$1:$1,FALSE))),"")</f>
        <v>1A</v>
      </c>
      <c r="W11">
        <f>IFERROR(IF(INDEX(Spring!$1:$1048576,MATCH(All!$A11,Spring!$A:$A,FALSE),MATCH(All!W$1,Spring!$1:$1,FALSE))="","",INDEX(Spring!$1:$1048576,MATCH(All!$A11,Spring!$A:$A,FALSE),MATCH(All!W$1,Spring!$1:$1,FALSE))),"")</f>
        <v>453</v>
      </c>
      <c r="X11" t="str">
        <f>IFERROR(IF(INDEX(Spring!$1:$1048576,MATCH(All!$A11,Spring!$A:$A,FALSE),MATCH(All!X$1,Spring!$1:$1,FALSE))="","",INDEX(Spring!$1:$1048576,MATCH(All!$A11,Spring!$A:$A,FALSE),MATCH(All!X$1,Spring!$1:$1,FALSE))),"")</f>
        <v>2A</v>
      </c>
      <c r="Y11" t="str">
        <f>IFERROR(IF(INDEX(Spring!$1:$1048576,MATCH(All!$A11,Spring!$A:$A,FALSE),MATCH(All!Y$1,Spring!$1:$1,FALSE))="","",INDEX(Spring!$1:$1048576,MATCH(All!$A11,Spring!$A:$A,FALSE),MATCH(All!Y$1,Spring!$1:$1,FALSE))),"")</f>
        <v>2A</v>
      </c>
      <c r="Z11" t="str">
        <f>IFERROR(IF(INDEX(Spring!$1:$1048576,MATCH(All!$A11,Spring!$A:$A,FALSE),MATCH(All!Z$1,Spring!$1:$1,FALSE))="","",INDEX(Spring!$1:$1048576,MATCH(All!$A11,Spring!$A:$A,FALSE),MATCH(All!Z$1,Spring!$1:$1,FALSE))),"")</f>
        <v>1A</v>
      </c>
      <c r="AA11" t="str">
        <f>IFERROR(IF(INDEX(Spring!$1:$1048576,MATCH(All!$A11,Spring!$A:$A,FALSE),MATCH(All!AA$1,Spring!$1:$1,FALSE))="","",INDEX(Spring!$1:$1048576,MATCH(All!$A11,Spring!$A:$A,FALSE),MATCH(All!AA$1,Spring!$1:$1,FALSE))),"")</f>
        <v/>
      </c>
      <c r="AB11" t="str">
        <f>IFERROR(IF(INDEX(Spring!$1:$1048576,MATCH(All!$A11,Spring!$A:$A,FALSE),MATCH(All!AB$1,Spring!$1:$1,FALSE))="","",INDEX(Spring!$1:$1048576,MATCH(All!$A11,Spring!$A:$A,FALSE),MATCH(All!AB$1,Spring!$1:$1,FALSE))),"")</f>
        <v>2A</v>
      </c>
      <c r="AC11" t="str">
        <f>IFERROR(IF(INDEX(Spring!$1:$1048576,MATCH(All!$A11,Spring!$A:$A,FALSE),MATCH(All!AC$1,Spring!$1:$1,FALSE))="","",INDEX(Spring!$1:$1048576,MATCH(All!$A11,Spring!$A:$A,FALSE),MATCH(All!AC$1,Spring!$1:$1,FALSE))),"")</f>
        <v>2A</v>
      </c>
      <c r="AD11" t="str">
        <f>IFERROR(VLOOKUP(A11,'Flag Football'!A:A,1,FALSE),"")</f>
        <v/>
      </c>
      <c r="AE11" t="str">
        <f t="shared" si="0"/>
        <v/>
      </c>
    </row>
    <row r="12" spans="1:31" ht="15.75" thickBot="1" x14ac:dyDescent="0.3">
      <c r="A12" s="18" t="s">
        <v>906</v>
      </c>
      <c r="B12" s="38">
        <f>IFERROR(VLOOKUP(A12,'Public v Private'!A:G,3,FALSE),"")</f>
        <v>0</v>
      </c>
      <c r="C12" s="38">
        <f>IFERROR(VLOOKUP(A12,'Public v Private'!A:G,4,FALSE),"")</f>
        <v>0</v>
      </c>
      <c r="D12" s="38">
        <f>IFERROR(VLOOKUP(A12,'Public v Private'!A:G,5,FALSE),"")</f>
        <v>0</v>
      </c>
      <c r="E12" s="38"/>
      <c r="F12" s="40">
        <f>IFERROR(INDEX(Fall!$1:$1048576,MATCH(All!$A12,Fall!$A:$A,FALSE),MATCH(All!F$1,Fall!$1:$1,FALSE)),"N/A")</f>
        <v>94</v>
      </c>
      <c r="G12" t="str">
        <f>IFERROR(IF(INDEX(Fall!$1:$1048576,MATCH(All!$A12,Fall!$A:$A,FALSE),MATCH(All!G$1,Fall!$1:$1,FALSE))="","",INDEX(Fall!$1:$1048576,MATCH(All!$A12,Fall!$A:$A,FALSE),MATCH(All!G$1,Fall!$1:$1,FALSE))),"")</f>
        <v/>
      </c>
      <c r="H12" t="str">
        <f>IFERROR(IF(INDEX(Fall!$1:$1048576,MATCH(All!$A12,Fall!$A:$A,FALSE),MATCH(All!H$1,Fall!$1:$1,FALSE))="","",INDEX(Fall!$1:$1048576,MATCH(All!$A12,Fall!$A:$A,FALSE),MATCH(All!H$1,Fall!$1:$1,FALSE))),"")</f>
        <v/>
      </c>
      <c r="I12" t="str">
        <f>IFERROR(IF(INDEX(Fall!$1:$1048576,MATCH(All!$A12,Fall!$A:$A,FALSE),MATCH(All!I$1,Fall!$1:$1,FALSE))="","",INDEX(Fall!$1:$1048576,MATCH(All!$A12,Fall!$A:$A,FALSE),MATCH(All!I$1,Fall!$1:$1,FALSE))),"")</f>
        <v/>
      </c>
      <c r="J12" t="str">
        <f>IFERROR(IF(INDEX(Fall!$1:$1048576,MATCH(All!$A12,Fall!$A:$A,FALSE),MATCH(All!J$1,Fall!$1:$1,FALSE))="","",INDEX(Fall!$1:$1048576,MATCH(All!$A12,Fall!$A:$A,FALSE),MATCH(All!J$1,Fall!$1:$1,FALSE))),"")</f>
        <v/>
      </c>
      <c r="K12" t="str">
        <f>IFERROR(IF(INDEX(Fall!$1:$1048576,MATCH(All!$A12,Fall!$A:$A,FALSE),MATCH(All!K$1,Fall!$1:$1,FALSE))="","",INDEX(Fall!$1:$1048576,MATCH(All!$A12,Fall!$A:$A,FALSE),MATCH(All!K$1,Fall!$1:$1,FALSE))),"")</f>
        <v/>
      </c>
      <c r="L12" t="str">
        <f>IFERROR(IF(INDEX(Fall!$1:$1048576,MATCH(All!$A12,Fall!$A:$A,FALSE),MATCH(All!L$1,Fall!$1:$1,FALSE))="","",INDEX(Fall!$1:$1048576,MATCH(All!$A12,Fall!$A:$A,FALSE),MATCH(All!L$1,Fall!$1:$1,FALSE))),"")</f>
        <v/>
      </c>
      <c r="M12" t="str">
        <f>IFERROR(IF(INDEX(Fall!$1:$1048576,MATCH(All!$A12,Fall!$A:$A,FALSE),MATCH(All!M$1,Fall!$1:$1,FALSE))="","",INDEX(Fall!$1:$1048576,MATCH(All!$A12,Fall!$A:$A,FALSE),MATCH(All!M$1,Fall!$1:$1,FALSE))),"")</f>
        <v>1A</v>
      </c>
      <c r="O12">
        <f>IFERROR(IF(INDEX(Winter!$1:$1048576,MATCH(All!$A12,Winter!$A:$A,FALSE),MATCH(All!O$1,Winter!$1:$1,FALSE))="","",INDEX(Winter!$1:$1048576,MATCH(All!$A12,Winter!$A:$A,FALSE),MATCH(All!O$1,Winter!$1:$1,FALSE))),"")</f>
        <v>94</v>
      </c>
      <c r="P12" t="str">
        <f>IFERROR(IF(INDEX(Winter!$1:$1048576,MATCH(All!$A12,Winter!$A:$A,FALSE),MATCH(All!P$1,Winter!$1:$1,FALSE))="","",INDEX(Winter!$1:$1048576,MATCH(All!$A12,Winter!$A:$A,FALSE),MATCH(All!P$1,Winter!$1:$1,FALSE))),"")</f>
        <v>1A</v>
      </c>
      <c r="Q12" t="str">
        <f>IFERROR(IF(INDEX(Winter!$1:$1048576,MATCH(All!$A12,Winter!$A:$A,FALSE),MATCH(All!Q$1,Winter!$1:$1,FALSE))="","",INDEX(Winter!$1:$1048576,MATCH(All!$A12,Winter!$A:$A,FALSE),MATCH(All!Q$1,Winter!$1:$1,FALSE))),"")</f>
        <v>1A</v>
      </c>
      <c r="R12" t="str">
        <f>IFERROR(IF(INDEX(Winter!$1:$1048576,MATCH(All!$A12,Winter!$A:$A,FALSE),MATCH(All!R$1,Winter!$1:$1,FALSE))="","",INDEX(Winter!$1:$1048576,MATCH(All!$A12,Winter!$A:$A,FALSE),MATCH(All!R$1,Winter!$1:$1,FALSE))),"")</f>
        <v/>
      </c>
      <c r="S12" t="str">
        <f>IFERROR(IF(INDEX(Winter!$1:$1048576,MATCH(All!$A12,Winter!$A:$A,FALSE),MATCH(All!S$1,Winter!$1:$1,FALSE))="","",INDEX(Winter!$1:$1048576,MATCH(All!$A12,Winter!$A:$A,FALSE),MATCH(All!S$1,Winter!$1:$1,FALSE))),"")</f>
        <v/>
      </c>
      <c r="T12" t="str">
        <f>IFERROR(IF(INDEX(Winter!$1:$1048576,MATCH(All!$A12,Winter!$A:$A,FALSE),MATCH(All!T$1,Winter!$1:$1,FALSE))="","",INDEX(Winter!$1:$1048576,MATCH(All!$A12,Winter!$A:$A,FALSE),MATCH(All!T$1,Winter!$1:$1,FALSE))),"")</f>
        <v>1A</v>
      </c>
      <c r="U12" t="str">
        <f>IFERROR(IF(INDEX(Winter!$1:$1048576,MATCH(All!$A12,Winter!$A:$A,FALSE),MATCH(All!U$1,Winter!$1:$1,FALSE))="","",INDEX(Winter!$1:$1048576,MATCH(All!$A12,Winter!$A:$A,FALSE),MATCH(All!U$1,Winter!$1:$1,FALSE))),"")</f>
        <v/>
      </c>
      <c r="W12" t="str">
        <f>IFERROR(IF(INDEX(Spring!$1:$1048576,MATCH(All!$A12,Spring!$A:$A,FALSE),MATCH(All!W$1,Spring!$1:$1,FALSE))="","",INDEX(Spring!$1:$1048576,MATCH(All!$A12,Spring!$A:$A,FALSE),MATCH(All!W$1,Spring!$1:$1,FALSE))),"")</f>
        <v/>
      </c>
      <c r="X12" t="str">
        <f>IFERROR(IF(INDEX(Spring!$1:$1048576,MATCH(All!$A12,Spring!$A:$A,FALSE),MATCH(All!X$1,Spring!$1:$1,FALSE))="","",INDEX(Spring!$1:$1048576,MATCH(All!$A12,Spring!$A:$A,FALSE),MATCH(All!X$1,Spring!$1:$1,FALSE))),"")</f>
        <v/>
      </c>
      <c r="Y12" t="str">
        <f>IFERROR(IF(INDEX(Spring!$1:$1048576,MATCH(All!$A12,Spring!$A:$A,FALSE),MATCH(All!Y$1,Spring!$1:$1,FALSE))="","",INDEX(Spring!$1:$1048576,MATCH(All!$A12,Spring!$A:$A,FALSE),MATCH(All!Y$1,Spring!$1:$1,FALSE))),"")</f>
        <v/>
      </c>
      <c r="Z12" t="str">
        <f>IFERROR(IF(INDEX(Spring!$1:$1048576,MATCH(All!$A12,Spring!$A:$A,FALSE),MATCH(All!Z$1,Spring!$1:$1,FALSE))="","",INDEX(Spring!$1:$1048576,MATCH(All!$A12,Spring!$A:$A,FALSE),MATCH(All!Z$1,Spring!$1:$1,FALSE))),"")</f>
        <v/>
      </c>
      <c r="AA12" t="str">
        <f>IFERROR(IF(INDEX(Spring!$1:$1048576,MATCH(All!$A12,Spring!$A:$A,FALSE),MATCH(All!AA$1,Spring!$1:$1,FALSE))="","",INDEX(Spring!$1:$1048576,MATCH(All!$A12,Spring!$A:$A,FALSE),MATCH(All!AA$1,Spring!$1:$1,FALSE))),"")</f>
        <v/>
      </c>
      <c r="AB12" t="str">
        <f>IFERROR(IF(INDEX(Spring!$1:$1048576,MATCH(All!$A12,Spring!$A:$A,FALSE),MATCH(All!AB$1,Spring!$1:$1,FALSE))="","",INDEX(Spring!$1:$1048576,MATCH(All!$A12,Spring!$A:$A,FALSE),MATCH(All!AB$1,Spring!$1:$1,FALSE))),"")</f>
        <v/>
      </c>
      <c r="AC12" t="str">
        <f>IFERROR(IF(INDEX(Spring!$1:$1048576,MATCH(All!$A12,Spring!$A:$A,FALSE),MATCH(All!AC$1,Spring!$1:$1,FALSE))="","",INDEX(Spring!$1:$1048576,MATCH(All!$A12,Spring!$A:$A,FALSE),MATCH(All!AC$1,Spring!$1:$1,FALSE))),"")</f>
        <v/>
      </c>
      <c r="AD12" t="str">
        <f>IFERROR(VLOOKUP(A12,'Flag Football'!A:A,1,FALSE),"")</f>
        <v/>
      </c>
      <c r="AE12" t="str">
        <f t="shared" si="0"/>
        <v/>
      </c>
    </row>
    <row r="13" spans="1:31" ht="15.75" thickBot="1" x14ac:dyDescent="0.3">
      <c r="A13" s="20" t="s">
        <v>23</v>
      </c>
      <c r="B13" s="38">
        <f>IFERROR(VLOOKUP(A13,'Public v Private'!A:G,3,FALSE),"")</f>
        <v>0</v>
      </c>
      <c r="C13" s="38">
        <f>IFERROR(VLOOKUP(A13,'Public v Private'!A:G,4,FALSE),"")</f>
        <v>0</v>
      </c>
      <c r="D13" s="38">
        <f>IFERROR(VLOOKUP(A13,'Public v Private'!A:G,5,FALSE),"")</f>
        <v>0</v>
      </c>
      <c r="E13" s="38"/>
      <c r="F13" s="40">
        <f>IFERROR(INDEX(Fall!$1:$1048576,MATCH(All!$A13,Fall!$A:$A,FALSE),MATCH(All!F$1,Fall!$1:$1,FALSE)),"N/A")</f>
        <v>1296</v>
      </c>
      <c r="G13" t="str">
        <f>IFERROR(IF(INDEX(Fall!$1:$1048576,MATCH(All!$A13,Fall!$A:$A,FALSE),MATCH(All!G$1,Fall!$1:$1,FALSE))="","",INDEX(Fall!$1:$1048576,MATCH(All!$A13,Fall!$A:$A,FALSE),MATCH(All!G$1,Fall!$1:$1,FALSE))),"")</f>
        <v>2A</v>
      </c>
      <c r="H13" t="str">
        <f>IFERROR(IF(INDEX(Fall!$1:$1048576,MATCH(All!$A13,Fall!$A:$A,FALSE),MATCH(All!H$1,Fall!$1:$1,FALSE))="","",INDEX(Fall!$1:$1048576,MATCH(All!$A13,Fall!$A:$A,FALSE),MATCH(All!H$1,Fall!$1:$1,FALSE))),"")</f>
        <v>2A</v>
      </c>
      <c r="I13" t="str">
        <f>IFERROR(IF(INDEX(Fall!$1:$1048576,MATCH(All!$A13,Fall!$A:$A,FALSE),MATCH(All!I$1,Fall!$1:$1,FALSE))="","",INDEX(Fall!$1:$1048576,MATCH(All!$A13,Fall!$A:$A,FALSE),MATCH(All!I$1,Fall!$1:$1,FALSE))),"")</f>
        <v>2A</v>
      </c>
      <c r="J13" t="str">
        <f>IFERROR(IF(INDEX(Fall!$1:$1048576,MATCH(All!$A13,Fall!$A:$A,FALSE),MATCH(All!J$1,Fall!$1:$1,FALSE))="","",INDEX(Fall!$1:$1048576,MATCH(All!$A13,Fall!$A:$A,FALSE),MATCH(All!J$1,Fall!$1:$1,FALSE))),"")</f>
        <v>2A</v>
      </c>
      <c r="K13" t="str">
        <f>IFERROR(IF(INDEX(Fall!$1:$1048576,MATCH(All!$A13,Fall!$A:$A,FALSE),MATCH(All!K$1,Fall!$1:$1,FALSE))="","",INDEX(Fall!$1:$1048576,MATCH(All!$A13,Fall!$A:$A,FALSE),MATCH(All!K$1,Fall!$1:$1,FALSE))),"")</f>
        <v>2A</v>
      </c>
      <c r="L13" t="str">
        <f>IFERROR(IF(INDEX(Fall!$1:$1048576,MATCH(All!$A13,Fall!$A:$A,FALSE),MATCH(All!L$1,Fall!$1:$1,FALSE))="","",INDEX(Fall!$1:$1048576,MATCH(All!$A13,Fall!$A:$A,FALSE),MATCH(All!L$1,Fall!$1:$1,FALSE))),"")</f>
        <v>1A</v>
      </c>
      <c r="M13" t="str">
        <f>IFERROR(IF(INDEX(Fall!$1:$1048576,MATCH(All!$A13,Fall!$A:$A,FALSE),MATCH(All!M$1,Fall!$1:$1,FALSE))="","",INDEX(Fall!$1:$1048576,MATCH(All!$A13,Fall!$A:$A,FALSE),MATCH(All!M$1,Fall!$1:$1,FALSE))),"")</f>
        <v>3A</v>
      </c>
      <c r="O13">
        <f>IFERROR(IF(INDEX(Winter!$1:$1048576,MATCH(All!$A13,Winter!$A:$A,FALSE),MATCH(All!O$1,Winter!$1:$1,FALSE))="","",INDEX(Winter!$1:$1048576,MATCH(All!$A13,Winter!$A:$A,FALSE),MATCH(All!O$1,Winter!$1:$1,FALSE))),"")</f>
        <v>1296</v>
      </c>
      <c r="P13" t="str">
        <f>IFERROR(IF(INDEX(Winter!$1:$1048576,MATCH(All!$A13,Winter!$A:$A,FALSE),MATCH(All!P$1,Winter!$1:$1,FALSE))="","",INDEX(Winter!$1:$1048576,MATCH(All!$A13,Winter!$A:$A,FALSE),MATCH(All!P$1,Winter!$1:$1,FALSE))),"")</f>
        <v>3A</v>
      </c>
      <c r="Q13" t="str">
        <f>IFERROR(IF(INDEX(Winter!$1:$1048576,MATCH(All!$A13,Winter!$A:$A,FALSE),MATCH(All!Q$1,Winter!$1:$1,FALSE))="","",INDEX(Winter!$1:$1048576,MATCH(All!$A13,Winter!$A:$A,FALSE),MATCH(All!Q$1,Winter!$1:$1,FALSE))),"")</f>
        <v>3A</v>
      </c>
      <c r="R13" t="str">
        <f>IFERROR(IF(INDEX(Winter!$1:$1048576,MATCH(All!$A13,Winter!$A:$A,FALSE),MATCH(All!R$1,Winter!$1:$1,FALSE))="","",INDEX(Winter!$1:$1048576,MATCH(All!$A13,Winter!$A:$A,FALSE),MATCH(All!R$1,Winter!$1:$1,FALSE))),"")</f>
        <v>2A</v>
      </c>
      <c r="S13" t="str">
        <f>IFERROR(IF(INDEX(Winter!$1:$1048576,MATCH(All!$A13,Winter!$A:$A,FALSE),MATCH(All!S$1,Winter!$1:$1,FALSE))="","",INDEX(Winter!$1:$1048576,MATCH(All!$A13,Winter!$A:$A,FALSE),MATCH(All!S$1,Winter!$1:$1,FALSE))),"")</f>
        <v>2A</v>
      </c>
      <c r="T13" t="str">
        <f>IFERROR(IF(INDEX(Winter!$1:$1048576,MATCH(All!$A13,Winter!$A:$A,FALSE),MATCH(All!T$1,Winter!$1:$1,FALSE))="","",INDEX(Winter!$1:$1048576,MATCH(All!$A13,Winter!$A:$A,FALSE),MATCH(All!T$1,Winter!$1:$1,FALSE))),"")</f>
        <v>2A</v>
      </c>
      <c r="U13" t="str">
        <f>IFERROR(IF(INDEX(Winter!$1:$1048576,MATCH(All!$A13,Winter!$A:$A,FALSE),MATCH(All!U$1,Winter!$1:$1,FALSE))="","",INDEX(Winter!$1:$1048576,MATCH(All!$A13,Winter!$A:$A,FALSE),MATCH(All!U$1,Winter!$1:$1,FALSE))),"")</f>
        <v>2A</v>
      </c>
      <c r="W13">
        <f>IFERROR(IF(INDEX(Spring!$1:$1048576,MATCH(All!$A13,Spring!$A:$A,FALSE),MATCH(All!W$1,Spring!$1:$1,FALSE))="","",INDEX(Spring!$1:$1048576,MATCH(All!$A13,Spring!$A:$A,FALSE),MATCH(All!W$1,Spring!$1:$1,FALSE))),"")</f>
        <v>1296</v>
      </c>
      <c r="X13" t="str">
        <f>IFERROR(IF(INDEX(Spring!$1:$1048576,MATCH(All!$A13,Spring!$A:$A,FALSE),MATCH(All!X$1,Spring!$1:$1,FALSE))="","",INDEX(Spring!$1:$1048576,MATCH(All!$A13,Spring!$A:$A,FALSE),MATCH(All!X$1,Spring!$1:$1,FALSE))),"")</f>
        <v>3A</v>
      </c>
      <c r="Y13" t="str">
        <f>IFERROR(IF(INDEX(Spring!$1:$1048576,MATCH(All!$A13,Spring!$A:$A,FALSE),MATCH(All!Y$1,Spring!$1:$1,FALSE))="","",INDEX(Spring!$1:$1048576,MATCH(All!$A13,Spring!$A:$A,FALSE),MATCH(All!Y$1,Spring!$1:$1,FALSE))),"")</f>
        <v>3A</v>
      </c>
      <c r="Z13" t="str">
        <f>IFERROR(IF(INDEX(Spring!$1:$1048576,MATCH(All!$A13,Spring!$A:$A,FALSE),MATCH(All!Z$1,Spring!$1:$1,FALSE))="","",INDEX(Spring!$1:$1048576,MATCH(All!$A13,Spring!$A:$A,FALSE),MATCH(All!Z$1,Spring!$1:$1,FALSE))),"")</f>
        <v>2A</v>
      </c>
      <c r="AA13" t="str">
        <f>IFERROR(IF(INDEX(Spring!$1:$1048576,MATCH(All!$A13,Spring!$A:$A,FALSE),MATCH(All!AA$1,Spring!$1:$1,FALSE))="","",INDEX(Spring!$1:$1048576,MATCH(All!$A13,Spring!$A:$A,FALSE),MATCH(All!AA$1,Spring!$1:$1,FALSE))),"")</f>
        <v>1A</v>
      </c>
      <c r="AB13" t="str">
        <f>IFERROR(IF(INDEX(Spring!$1:$1048576,MATCH(All!$A13,Spring!$A:$A,FALSE),MATCH(All!AB$1,Spring!$1:$1,FALSE))="","",INDEX(Spring!$1:$1048576,MATCH(All!$A13,Spring!$A:$A,FALSE),MATCH(All!AB$1,Spring!$1:$1,FALSE))),"")</f>
        <v>3A</v>
      </c>
      <c r="AC13" t="str">
        <f>IFERROR(IF(INDEX(Spring!$1:$1048576,MATCH(All!$A13,Spring!$A:$A,FALSE),MATCH(All!AC$1,Spring!$1:$1,FALSE))="","",INDEX(Spring!$1:$1048576,MATCH(All!$A13,Spring!$A:$A,FALSE),MATCH(All!AC$1,Spring!$1:$1,FALSE))),"")</f>
        <v>3A</v>
      </c>
      <c r="AD13" t="str">
        <f>IFERROR(VLOOKUP(A13,'Flag Football'!A:A,1,FALSE),"")</f>
        <v>Antioch</v>
      </c>
      <c r="AE13" t="str">
        <f t="shared" si="0"/>
        <v>1A</v>
      </c>
    </row>
    <row r="14" spans="1:31" ht="15.75" thickBot="1" x14ac:dyDescent="0.3">
      <c r="A14" s="18" t="s">
        <v>24</v>
      </c>
      <c r="B14" s="38">
        <f>IFERROR(VLOOKUP(A14,'Public v Private'!A:G,3,FALSE),"")</f>
        <v>0</v>
      </c>
      <c r="C14" s="38">
        <f>IFERROR(VLOOKUP(A14,'Public v Private'!A:G,4,FALSE),"")</f>
        <v>0</v>
      </c>
      <c r="D14" s="38">
        <f>IFERROR(VLOOKUP(A14,'Public v Private'!A:G,5,FALSE),"")</f>
        <v>0</v>
      </c>
      <c r="E14" s="38"/>
      <c r="F14" s="40">
        <f>IFERROR(INDEX(Fall!$1:$1048576,MATCH(All!$A14,Fall!$A:$A,FALSE),MATCH(All!F$1,Fall!$1:$1,FALSE)),"N/A")</f>
        <v>194</v>
      </c>
      <c r="G14" t="str">
        <f>IFERROR(IF(INDEX(Fall!$1:$1048576,MATCH(All!$A14,Fall!$A:$A,FALSE),MATCH(All!G$1,Fall!$1:$1,FALSE))="","",INDEX(Fall!$1:$1048576,MATCH(All!$A14,Fall!$A:$A,FALSE),MATCH(All!G$1,Fall!$1:$1,FALSE))),"")</f>
        <v/>
      </c>
      <c r="H14" t="str">
        <f>IFERROR(IF(INDEX(Fall!$1:$1048576,MATCH(All!$A14,Fall!$A:$A,FALSE),MATCH(All!H$1,Fall!$1:$1,FALSE))="","",INDEX(Fall!$1:$1048576,MATCH(All!$A14,Fall!$A:$A,FALSE),MATCH(All!H$1,Fall!$1:$1,FALSE))),"")</f>
        <v/>
      </c>
      <c r="I14" t="str">
        <f>IFERROR(IF(INDEX(Fall!$1:$1048576,MATCH(All!$A14,Fall!$A:$A,FALSE),MATCH(All!I$1,Fall!$1:$1,FALSE))="","",INDEX(Fall!$1:$1048576,MATCH(All!$A14,Fall!$A:$A,FALSE),MATCH(All!I$1,Fall!$1:$1,FALSE))),"")</f>
        <v>1A</v>
      </c>
      <c r="J14" t="str">
        <f>IFERROR(IF(INDEX(Fall!$1:$1048576,MATCH(All!$A14,Fall!$A:$A,FALSE),MATCH(All!J$1,Fall!$1:$1,FALSE))="","",INDEX(Fall!$1:$1048576,MATCH(All!$A14,Fall!$A:$A,FALSE),MATCH(All!J$1,Fall!$1:$1,FALSE))),"")</f>
        <v>1A</v>
      </c>
      <c r="K14" t="str">
        <f>IFERROR(IF(INDEX(Fall!$1:$1048576,MATCH(All!$A14,Fall!$A:$A,FALSE),MATCH(All!K$1,Fall!$1:$1,FALSE))="","",INDEX(Fall!$1:$1048576,MATCH(All!$A14,Fall!$A:$A,FALSE),MATCH(All!K$1,Fall!$1:$1,FALSE))),"")</f>
        <v/>
      </c>
      <c r="L14" t="str">
        <f>IFERROR(IF(INDEX(Fall!$1:$1048576,MATCH(All!$A14,Fall!$A:$A,FALSE),MATCH(All!L$1,Fall!$1:$1,FALSE))="","",INDEX(Fall!$1:$1048576,MATCH(All!$A14,Fall!$A:$A,FALSE),MATCH(All!L$1,Fall!$1:$1,FALSE))),"")</f>
        <v/>
      </c>
      <c r="M14" t="str">
        <f>IFERROR(IF(INDEX(Fall!$1:$1048576,MATCH(All!$A14,Fall!$A:$A,FALSE),MATCH(All!M$1,Fall!$1:$1,FALSE))="","",INDEX(Fall!$1:$1048576,MATCH(All!$A14,Fall!$A:$A,FALSE),MATCH(All!M$1,Fall!$1:$1,FALSE))),"")</f>
        <v>1A</v>
      </c>
      <c r="O14">
        <f>IFERROR(IF(INDEX(Winter!$1:$1048576,MATCH(All!$A14,Winter!$A:$A,FALSE),MATCH(All!O$1,Winter!$1:$1,FALSE))="","",INDEX(Winter!$1:$1048576,MATCH(All!$A14,Winter!$A:$A,FALSE),MATCH(All!O$1,Winter!$1:$1,FALSE))),"")</f>
        <v>194</v>
      </c>
      <c r="P14" t="str">
        <f>IFERROR(IF(INDEX(Winter!$1:$1048576,MATCH(All!$A14,Winter!$A:$A,FALSE),MATCH(All!P$1,Winter!$1:$1,FALSE))="","",INDEX(Winter!$1:$1048576,MATCH(All!$A14,Winter!$A:$A,FALSE),MATCH(All!P$1,Winter!$1:$1,FALSE))),"")</f>
        <v>1A</v>
      </c>
      <c r="Q14" t="str">
        <f>IFERROR(IF(INDEX(Winter!$1:$1048576,MATCH(All!$A14,Winter!$A:$A,FALSE),MATCH(All!Q$1,Winter!$1:$1,FALSE))="","",INDEX(Winter!$1:$1048576,MATCH(All!$A14,Winter!$A:$A,FALSE),MATCH(All!Q$1,Winter!$1:$1,FALSE))),"")</f>
        <v>1A</v>
      </c>
      <c r="R14" t="str">
        <f>IFERROR(IF(INDEX(Winter!$1:$1048576,MATCH(All!$A14,Winter!$A:$A,FALSE),MATCH(All!R$1,Winter!$1:$1,FALSE))="","",INDEX(Winter!$1:$1048576,MATCH(All!$A14,Winter!$A:$A,FALSE),MATCH(All!R$1,Winter!$1:$1,FALSE))),"")</f>
        <v/>
      </c>
      <c r="S14" t="str">
        <f>IFERROR(IF(INDEX(Winter!$1:$1048576,MATCH(All!$A14,Winter!$A:$A,FALSE),MATCH(All!S$1,Winter!$1:$1,FALSE))="","",INDEX(Winter!$1:$1048576,MATCH(All!$A14,Winter!$A:$A,FALSE),MATCH(All!S$1,Winter!$1:$1,FALSE))),"")</f>
        <v/>
      </c>
      <c r="T14" t="str">
        <f>IFERROR(IF(INDEX(Winter!$1:$1048576,MATCH(All!$A14,Winter!$A:$A,FALSE),MATCH(All!T$1,Winter!$1:$1,FALSE))="","",INDEX(Winter!$1:$1048576,MATCH(All!$A14,Winter!$A:$A,FALSE),MATCH(All!T$1,Winter!$1:$1,FALSE))),"")</f>
        <v>1A</v>
      </c>
      <c r="U14" t="str">
        <f>IFERROR(IF(INDEX(Winter!$1:$1048576,MATCH(All!$A14,Winter!$A:$A,FALSE),MATCH(All!U$1,Winter!$1:$1,FALSE))="","",INDEX(Winter!$1:$1048576,MATCH(All!$A14,Winter!$A:$A,FALSE),MATCH(All!U$1,Winter!$1:$1,FALSE))),"")</f>
        <v/>
      </c>
      <c r="W14">
        <f>IFERROR(IF(INDEX(Spring!$1:$1048576,MATCH(All!$A14,Spring!$A:$A,FALSE),MATCH(All!W$1,Spring!$1:$1,FALSE))="","",INDEX(Spring!$1:$1048576,MATCH(All!$A14,Spring!$A:$A,FALSE),MATCH(All!W$1,Spring!$1:$1,FALSE))),"")</f>
        <v>194</v>
      </c>
      <c r="X14" t="str">
        <f>IFERROR(IF(INDEX(Spring!$1:$1048576,MATCH(All!$A14,Spring!$A:$A,FALSE),MATCH(All!X$1,Spring!$1:$1,FALSE))="","",INDEX(Spring!$1:$1048576,MATCH(All!$A14,Spring!$A:$A,FALSE),MATCH(All!X$1,Spring!$1:$1,FALSE))),"")</f>
        <v>1A</v>
      </c>
      <c r="Y14" t="str">
        <f>IFERROR(IF(INDEX(Spring!$1:$1048576,MATCH(All!$A14,Spring!$A:$A,FALSE),MATCH(All!Y$1,Spring!$1:$1,FALSE))="","",INDEX(Spring!$1:$1048576,MATCH(All!$A14,Spring!$A:$A,FALSE),MATCH(All!Y$1,Spring!$1:$1,FALSE))),"")</f>
        <v>1A</v>
      </c>
      <c r="Z14" t="str">
        <f>IFERROR(IF(INDEX(Spring!$1:$1048576,MATCH(All!$A14,Spring!$A:$A,FALSE),MATCH(All!Z$1,Spring!$1:$1,FALSE))="","",INDEX(Spring!$1:$1048576,MATCH(All!$A14,Spring!$A:$A,FALSE),MATCH(All!Z$1,Spring!$1:$1,FALSE))),"")</f>
        <v/>
      </c>
      <c r="AA14" t="str">
        <f>IFERROR(IF(INDEX(Spring!$1:$1048576,MATCH(All!$A14,Spring!$A:$A,FALSE),MATCH(All!AA$1,Spring!$1:$1,FALSE))="","",INDEX(Spring!$1:$1048576,MATCH(All!$A14,Spring!$A:$A,FALSE),MATCH(All!AA$1,Spring!$1:$1,FALSE))),"")</f>
        <v/>
      </c>
      <c r="AB14" t="str">
        <f>IFERROR(IF(INDEX(Spring!$1:$1048576,MATCH(All!$A14,Spring!$A:$A,FALSE),MATCH(All!AB$1,Spring!$1:$1,FALSE))="","",INDEX(Spring!$1:$1048576,MATCH(All!$A14,Spring!$A:$A,FALSE),MATCH(All!AB$1,Spring!$1:$1,FALSE))),"")</f>
        <v>1A</v>
      </c>
      <c r="AC14" t="str">
        <f>IFERROR(IF(INDEX(Spring!$1:$1048576,MATCH(All!$A14,Spring!$A:$A,FALSE),MATCH(All!AC$1,Spring!$1:$1,FALSE))="","",INDEX(Spring!$1:$1048576,MATCH(All!$A14,Spring!$A:$A,FALSE),MATCH(All!AC$1,Spring!$1:$1,FALSE))),"")</f>
        <v>1A</v>
      </c>
      <c r="AD14" t="str">
        <f>IFERROR(VLOOKUP(A14,'Flag Football'!A:A,1,FALSE),"")</f>
        <v/>
      </c>
      <c r="AE14" t="str">
        <f t="shared" si="0"/>
        <v/>
      </c>
    </row>
    <row r="15" spans="1:31" ht="15.75" thickBot="1" x14ac:dyDescent="0.3">
      <c r="A15" s="20" t="s">
        <v>25</v>
      </c>
      <c r="B15" s="38">
        <f>IFERROR(VLOOKUP(A15,'Public v Private'!A:G,3,FALSE),"")</f>
        <v>0</v>
      </c>
      <c r="C15" s="38">
        <f>IFERROR(VLOOKUP(A15,'Public v Private'!A:G,4,FALSE),"")</f>
        <v>0</v>
      </c>
      <c r="D15" s="38">
        <f>IFERROR(VLOOKUP(A15,'Public v Private'!A:G,5,FALSE),"")</f>
        <v>0</v>
      </c>
      <c r="E15" s="38"/>
      <c r="F15" s="40">
        <f>IFERROR(INDEX(Fall!$1:$1048576,MATCH(All!$A15,Fall!$A:$A,FALSE),MATCH(All!F$1,Fall!$1:$1,FALSE)),"N/A")</f>
        <v>258</v>
      </c>
      <c r="G15" t="str">
        <f>IFERROR(IF(INDEX(Fall!$1:$1048576,MATCH(All!$A15,Fall!$A:$A,FALSE),MATCH(All!G$1,Fall!$1:$1,FALSE))="","",INDEX(Fall!$1:$1048576,MATCH(All!$A15,Fall!$A:$A,FALSE),MATCH(All!G$1,Fall!$1:$1,FALSE))),"")</f>
        <v>1A</v>
      </c>
      <c r="H15" t="str">
        <f>IFERROR(IF(INDEX(Fall!$1:$1048576,MATCH(All!$A15,Fall!$A:$A,FALSE),MATCH(All!H$1,Fall!$1:$1,FALSE))="","",INDEX(Fall!$1:$1048576,MATCH(All!$A15,Fall!$A:$A,FALSE),MATCH(All!H$1,Fall!$1:$1,FALSE))),"")</f>
        <v>1A</v>
      </c>
      <c r="I15" t="str">
        <f>IFERROR(IF(INDEX(Fall!$1:$1048576,MATCH(All!$A15,Fall!$A:$A,FALSE),MATCH(All!I$1,Fall!$1:$1,FALSE))="","",INDEX(Fall!$1:$1048576,MATCH(All!$A15,Fall!$A:$A,FALSE),MATCH(All!I$1,Fall!$1:$1,FALSE))),"")</f>
        <v>1A</v>
      </c>
      <c r="J15" t="str">
        <f>IFERROR(IF(INDEX(Fall!$1:$1048576,MATCH(All!$A15,Fall!$A:$A,FALSE),MATCH(All!J$1,Fall!$1:$1,FALSE))="","",INDEX(Fall!$1:$1048576,MATCH(All!$A15,Fall!$A:$A,FALSE),MATCH(All!J$1,Fall!$1:$1,FALSE))),"")</f>
        <v/>
      </c>
      <c r="K15" t="str">
        <f>IFERROR(IF(INDEX(Fall!$1:$1048576,MATCH(All!$A15,Fall!$A:$A,FALSE),MATCH(All!K$1,Fall!$1:$1,FALSE))="","",INDEX(Fall!$1:$1048576,MATCH(All!$A15,Fall!$A:$A,FALSE),MATCH(All!K$1,Fall!$1:$1,FALSE))),"")</f>
        <v>1A</v>
      </c>
      <c r="L15" t="str">
        <f>IFERROR(IF(INDEX(Fall!$1:$1048576,MATCH(All!$A15,Fall!$A:$A,FALSE),MATCH(All!L$1,Fall!$1:$1,FALSE))="","",INDEX(Fall!$1:$1048576,MATCH(All!$A15,Fall!$A:$A,FALSE),MATCH(All!L$1,Fall!$1:$1,FALSE))),"")</f>
        <v/>
      </c>
      <c r="M15" t="str">
        <f>IFERROR(IF(INDEX(Fall!$1:$1048576,MATCH(All!$A15,Fall!$A:$A,FALSE),MATCH(All!M$1,Fall!$1:$1,FALSE))="","",INDEX(Fall!$1:$1048576,MATCH(All!$A15,Fall!$A:$A,FALSE),MATCH(All!M$1,Fall!$1:$1,FALSE))),"")</f>
        <v>1A</v>
      </c>
      <c r="O15">
        <f>IFERROR(IF(INDEX(Winter!$1:$1048576,MATCH(All!$A15,Winter!$A:$A,FALSE),MATCH(All!O$1,Winter!$1:$1,FALSE))="","",INDEX(Winter!$1:$1048576,MATCH(All!$A15,Winter!$A:$A,FALSE),MATCH(All!O$1,Winter!$1:$1,FALSE))),"")</f>
        <v>258</v>
      </c>
      <c r="P15" t="str">
        <f>IFERROR(IF(INDEX(Winter!$1:$1048576,MATCH(All!$A15,Winter!$A:$A,FALSE),MATCH(All!P$1,Winter!$1:$1,FALSE))="","",INDEX(Winter!$1:$1048576,MATCH(All!$A15,Winter!$A:$A,FALSE),MATCH(All!P$1,Winter!$1:$1,FALSE))),"")</f>
        <v>1A</v>
      </c>
      <c r="Q15" t="str">
        <f>IFERROR(IF(INDEX(Winter!$1:$1048576,MATCH(All!$A15,Winter!$A:$A,FALSE),MATCH(All!Q$1,Winter!$1:$1,FALSE))="","",INDEX(Winter!$1:$1048576,MATCH(All!$A15,Winter!$A:$A,FALSE),MATCH(All!Q$1,Winter!$1:$1,FALSE))),"")</f>
        <v>1A</v>
      </c>
      <c r="R15" t="str">
        <f>IFERROR(IF(INDEX(Winter!$1:$1048576,MATCH(All!$A15,Winter!$A:$A,FALSE),MATCH(All!R$1,Winter!$1:$1,FALSE))="","",INDEX(Winter!$1:$1048576,MATCH(All!$A15,Winter!$A:$A,FALSE),MATCH(All!R$1,Winter!$1:$1,FALSE))),"")</f>
        <v/>
      </c>
      <c r="S15" t="str">
        <f>IFERROR(IF(INDEX(Winter!$1:$1048576,MATCH(All!$A15,Winter!$A:$A,FALSE),MATCH(All!S$1,Winter!$1:$1,FALSE))="","",INDEX(Winter!$1:$1048576,MATCH(All!$A15,Winter!$A:$A,FALSE),MATCH(All!S$1,Winter!$1:$1,FALSE))),"")</f>
        <v/>
      </c>
      <c r="T15" t="str">
        <f>IFERROR(IF(INDEX(Winter!$1:$1048576,MATCH(All!$A15,Winter!$A:$A,FALSE),MATCH(All!T$1,Winter!$1:$1,FALSE))="","",INDEX(Winter!$1:$1048576,MATCH(All!$A15,Winter!$A:$A,FALSE),MATCH(All!T$1,Winter!$1:$1,FALSE))),"")</f>
        <v>1A</v>
      </c>
      <c r="U15" t="str">
        <f>IFERROR(IF(INDEX(Winter!$1:$1048576,MATCH(All!$A15,Winter!$A:$A,FALSE),MATCH(All!U$1,Winter!$1:$1,FALSE))="","",INDEX(Winter!$1:$1048576,MATCH(All!$A15,Winter!$A:$A,FALSE),MATCH(All!U$1,Winter!$1:$1,FALSE))),"")</f>
        <v/>
      </c>
      <c r="W15">
        <f>IFERROR(IF(INDEX(Spring!$1:$1048576,MATCH(All!$A15,Spring!$A:$A,FALSE),MATCH(All!W$1,Spring!$1:$1,FALSE))="","",INDEX(Spring!$1:$1048576,MATCH(All!$A15,Spring!$A:$A,FALSE),MATCH(All!W$1,Spring!$1:$1,FALSE))),"")</f>
        <v>258</v>
      </c>
      <c r="X15" t="str">
        <f>IFERROR(IF(INDEX(Spring!$1:$1048576,MATCH(All!$A15,Spring!$A:$A,FALSE),MATCH(All!X$1,Spring!$1:$1,FALSE))="","",INDEX(Spring!$1:$1048576,MATCH(All!$A15,Spring!$A:$A,FALSE),MATCH(All!X$1,Spring!$1:$1,FALSE))),"")</f>
        <v>1A</v>
      </c>
      <c r="Y15" t="str">
        <f>IFERROR(IF(INDEX(Spring!$1:$1048576,MATCH(All!$A15,Spring!$A:$A,FALSE),MATCH(All!Y$1,Spring!$1:$1,FALSE))="","",INDEX(Spring!$1:$1048576,MATCH(All!$A15,Spring!$A:$A,FALSE),MATCH(All!Y$1,Spring!$1:$1,FALSE))),"")</f>
        <v>1A</v>
      </c>
      <c r="Z15" t="str">
        <f>IFERROR(IF(INDEX(Spring!$1:$1048576,MATCH(All!$A15,Spring!$A:$A,FALSE),MATCH(All!Z$1,Spring!$1:$1,FALSE))="","",INDEX(Spring!$1:$1048576,MATCH(All!$A15,Spring!$A:$A,FALSE),MATCH(All!Z$1,Spring!$1:$1,FALSE))),"")</f>
        <v/>
      </c>
      <c r="AA15" t="str">
        <f>IFERROR(IF(INDEX(Spring!$1:$1048576,MATCH(All!$A15,Spring!$A:$A,FALSE),MATCH(All!AA$1,Spring!$1:$1,FALSE))="","",INDEX(Spring!$1:$1048576,MATCH(All!$A15,Spring!$A:$A,FALSE),MATCH(All!AA$1,Spring!$1:$1,FALSE))),"")</f>
        <v/>
      </c>
      <c r="AB15" t="str">
        <f>IFERROR(IF(INDEX(Spring!$1:$1048576,MATCH(All!$A15,Spring!$A:$A,FALSE),MATCH(All!AB$1,Spring!$1:$1,FALSE))="","",INDEX(Spring!$1:$1048576,MATCH(All!$A15,Spring!$A:$A,FALSE),MATCH(All!AB$1,Spring!$1:$1,FALSE))),"")</f>
        <v>2A</v>
      </c>
      <c r="AC15" t="str">
        <f>IFERROR(IF(INDEX(Spring!$1:$1048576,MATCH(All!$A15,Spring!$A:$A,FALSE),MATCH(All!AC$1,Spring!$1:$1,FALSE))="","",INDEX(Spring!$1:$1048576,MATCH(All!$A15,Spring!$A:$A,FALSE),MATCH(All!AC$1,Spring!$1:$1,FALSE))),"")</f>
        <v>2A</v>
      </c>
      <c r="AD15" t="str">
        <f>IFERROR(VLOOKUP(A15,'Flag Football'!A:A,1,FALSE),"")</f>
        <v/>
      </c>
      <c r="AE15" t="str">
        <f t="shared" si="0"/>
        <v/>
      </c>
    </row>
    <row r="16" spans="1:31" ht="15.75" thickBot="1" x14ac:dyDescent="0.3">
      <c r="A16" s="18" t="s">
        <v>26</v>
      </c>
      <c r="B16" s="38">
        <f>IFERROR(VLOOKUP(A16,'Public v Private'!A:G,3,FALSE),"")</f>
        <v>0</v>
      </c>
      <c r="C16" s="38">
        <f>IFERROR(VLOOKUP(A16,'Public v Private'!A:G,4,FALSE),"")</f>
        <v>0</v>
      </c>
      <c r="D16" s="38">
        <f>IFERROR(VLOOKUP(A16,'Public v Private'!A:G,5,FALSE),"")</f>
        <v>0</v>
      </c>
      <c r="E16" s="38"/>
      <c r="F16" s="40">
        <f>IFERROR(INDEX(Fall!$1:$1048576,MATCH(All!$A16,Fall!$A:$A,FALSE),MATCH(All!F$1,Fall!$1:$1,FALSE)),"N/A")</f>
        <v>2046</v>
      </c>
      <c r="G16" t="str">
        <f>IFERROR(IF(INDEX(Fall!$1:$1048576,MATCH(All!$A16,Fall!$A:$A,FALSE),MATCH(All!G$1,Fall!$1:$1,FALSE))="","",INDEX(Fall!$1:$1048576,MATCH(All!$A16,Fall!$A:$A,FALSE),MATCH(All!G$1,Fall!$1:$1,FALSE))),"")</f>
        <v>3A</v>
      </c>
      <c r="H16" t="str">
        <f>IFERROR(IF(INDEX(Fall!$1:$1048576,MATCH(All!$A16,Fall!$A:$A,FALSE),MATCH(All!H$1,Fall!$1:$1,FALSE))="","",INDEX(Fall!$1:$1048576,MATCH(All!$A16,Fall!$A:$A,FALSE),MATCH(All!H$1,Fall!$1:$1,FALSE))),"")</f>
        <v>3A</v>
      </c>
      <c r="I16" t="str">
        <f>IFERROR(IF(INDEX(Fall!$1:$1048576,MATCH(All!$A16,Fall!$A:$A,FALSE),MATCH(All!I$1,Fall!$1:$1,FALSE))="","",INDEX(Fall!$1:$1048576,MATCH(All!$A16,Fall!$A:$A,FALSE),MATCH(All!I$1,Fall!$1:$1,FALSE))),"")</f>
        <v>3A</v>
      </c>
      <c r="J16" t="str">
        <f>IFERROR(IF(INDEX(Fall!$1:$1048576,MATCH(All!$A16,Fall!$A:$A,FALSE),MATCH(All!J$1,Fall!$1:$1,FALSE))="","",INDEX(Fall!$1:$1048576,MATCH(All!$A16,Fall!$A:$A,FALSE),MATCH(All!J$1,Fall!$1:$1,FALSE))),"")</f>
        <v>2A</v>
      </c>
      <c r="K16" t="str">
        <f>IFERROR(IF(INDEX(Fall!$1:$1048576,MATCH(All!$A16,Fall!$A:$A,FALSE),MATCH(All!K$1,Fall!$1:$1,FALSE))="","",INDEX(Fall!$1:$1048576,MATCH(All!$A16,Fall!$A:$A,FALSE),MATCH(All!K$1,Fall!$1:$1,FALSE))),"")</f>
        <v>3A</v>
      </c>
      <c r="L16" t="str">
        <f>IFERROR(IF(INDEX(Fall!$1:$1048576,MATCH(All!$A16,Fall!$A:$A,FALSE),MATCH(All!L$1,Fall!$1:$1,FALSE))="","",INDEX(Fall!$1:$1048576,MATCH(All!$A16,Fall!$A:$A,FALSE),MATCH(All!L$1,Fall!$1:$1,FALSE))),"")</f>
        <v>2A</v>
      </c>
      <c r="M16" t="str">
        <f>IFERROR(IF(INDEX(Fall!$1:$1048576,MATCH(All!$A16,Fall!$A:$A,FALSE),MATCH(All!M$1,Fall!$1:$1,FALSE))="","",INDEX(Fall!$1:$1048576,MATCH(All!$A16,Fall!$A:$A,FALSE),MATCH(All!M$1,Fall!$1:$1,FALSE))),"")</f>
        <v>4A</v>
      </c>
      <c r="O16">
        <f>IFERROR(IF(INDEX(Winter!$1:$1048576,MATCH(All!$A16,Winter!$A:$A,FALSE),MATCH(All!O$1,Winter!$1:$1,FALSE))="","",INDEX(Winter!$1:$1048576,MATCH(All!$A16,Winter!$A:$A,FALSE),MATCH(All!O$1,Winter!$1:$1,FALSE))),"")</f>
        <v>2046</v>
      </c>
      <c r="P16" t="str">
        <f>IFERROR(IF(INDEX(Winter!$1:$1048576,MATCH(All!$A16,Winter!$A:$A,FALSE),MATCH(All!P$1,Winter!$1:$1,FALSE))="","",INDEX(Winter!$1:$1048576,MATCH(All!$A16,Winter!$A:$A,FALSE),MATCH(All!P$1,Winter!$1:$1,FALSE))),"")</f>
        <v>4A</v>
      </c>
      <c r="Q16" t="str">
        <f>IFERROR(IF(INDEX(Winter!$1:$1048576,MATCH(All!$A16,Winter!$A:$A,FALSE),MATCH(All!Q$1,Winter!$1:$1,FALSE))="","",INDEX(Winter!$1:$1048576,MATCH(All!$A16,Winter!$A:$A,FALSE),MATCH(All!Q$1,Winter!$1:$1,FALSE))),"")</f>
        <v>4A</v>
      </c>
      <c r="R16" t="str">
        <f>IFERROR(IF(INDEX(Winter!$1:$1048576,MATCH(All!$A16,Winter!$A:$A,FALSE),MATCH(All!R$1,Winter!$1:$1,FALSE))="","",INDEX(Winter!$1:$1048576,MATCH(All!$A16,Winter!$A:$A,FALSE),MATCH(All!R$1,Winter!$1:$1,FALSE))),"")</f>
        <v>C</v>
      </c>
      <c r="S16" t="str">
        <f>IFERROR(IF(INDEX(Winter!$1:$1048576,MATCH(All!$A16,Winter!$A:$A,FALSE),MATCH(All!S$1,Winter!$1:$1,FALSE))="","",INDEX(Winter!$1:$1048576,MATCH(All!$A16,Winter!$A:$A,FALSE),MATCH(All!S$1,Winter!$1:$1,FALSE))),"")</f>
        <v>3A</v>
      </c>
      <c r="T16" t="str">
        <f>IFERROR(IF(INDEX(Winter!$1:$1048576,MATCH(All!$A16,Winter!$A:$A,FALSE),MATCH(All!T$1,Winter!$1:$1,FALSE))="","",INDEX(Winter!$1:$1048576,MATCH(All!$A16,Winter!$A:$A,FALSE),MATCH(All!T$1,Winter!$1:$1,FALSE))),"")</f>
        <v>2A</v>
      </c>
      <c r="U16" t="str">
        <f>IFERROR(IF(INDEX(Winter!$1:$1048576,MATCH(All!$A16,Winter!$A:$A,FALSE),MATCH(All!U$1,Winter!$1:$1,FALSE))="","",INDEX(Winter!$1:$1048576,MATCH(All!$A16,Winter!$A:$A,FALSE),MATCH(All!U$1,Winter!$1:$1,FALSE))),"")</f>
        <v>3A</v>
      </c>
      <c r="W16">
        <f>IFERROR(IF(INDEX(Spring!$1:$1048576,MATCH(All!$A16,Spring!$A:$A,FALSE),MATCH(All!W$1,Spring!$1:$1,FALSE))="","",INDEX(Spring!$1:$1048576,MATCH(All!$A16,Spring!$A:$A,FALSE),MATCH(All!W$1,Spring!$1:$1,FALSE))),"")</f>
        <v>2046</v>
      </c>
      <c r="X16" t="str">
        <f>IFERROR(IF(INDEX(Spring!$1:$1048576,MATCH(All!$A16,Spring!$A:$A,FALSE),MATCH(All!X$1,Spring!$1:$1,FALSE))="","",INDEX(Spring!$1:$1048576,MATCH(All!$A16,Spring!$A:$A,FALSE),MATCH(All!X$1,Spring!$1:$1,FALSE))),"")</f>
        <v>4A</v>
      </c>
      <c r="Y16" t="str">
        <f>IFERROR(IF(INDEX(Spring!$1:$1048576,MATCH(All!$A16,Spring!$A:$A,FALSE),MATCH(All!Y$1,Spring!$1:$1,FALSE))="","",INDEX(Spring!$1:$1048576,MATCH(All!$A16,Spring!$A:$A,FALSE),MATCH(All!Y$1,Spring!$1:$1,FALSE))),"")</f>
        <v>4A</v>
      </c>
      <c r="Z16" t="str">
        <f>IFERROR(IF(INDEX(Spring!$1:$1048576,MATCH(All!$A16,Spring!$A:$A,FALSE),MATCH(All!Z$1,Spring!$1:$1,FALSE))="","",INDEX(Spring!$1:$1048576,MATCH(All!$A16,Spring!$A:$A,FALSE),MATCH(All!Z$1,Spring!$1:$1,FALSE))),"")</f>
        <v>3A</v>
      </c>
      <c r="AA16" t="str">
        <f>IFERROR(IF(INDEX(Spring!$1:$1048576,MATCH(All!$A16,Spring!$A:$A,FALSE),MATCH(All!AA$1,Spring!$1:$1,FALSE))="","",INDEX(Spring!$1:$1048576,MATCH(All!$A16,Spring!$A:$A,FALSE),MATCH(All!AA$1,Spring!$1:$1,FALSE))),"")</f>
        <v>2A</v>
      </c>
      <c r="AB16" t="str">
        <f>IFERROR(IF(INDEX(Spring!$1:$1048576,MATCH(All!$A16,Spring!$A:$A,FALSE),MATCH(All!AB$1,Spring!$1:$1,FALSE))="","",INDEX(Spring!$1:$1048576,MATCH(All!$A16,Spring!$A:$A,FALSE),MATCH(All!AB$1,Spring!$1:$1,FALSE))),"")</f>
        <v>3A</v>
      </c>
      <c r="AC16" t="str">
        <f>IFERROR(IF(INDEX(Spring!$1:$1048576,MATCH(All!$A16,Spring!$A:$A,FALSE),MATCH(All!AC$1,Spring!$1:$1,FALSE))="","",INDEX(Spring!$1:$1048576,MATCH(All!$A16,Spring!$A:$A,FALSE),MATCH(All!AC$1,Spring!$1:$1,FALSE))),"")</f>
        <v>3A</v>
      </c>
      <c r="AD16" t="str">
        <f>IFERROR(VLOOKUP(A16,'Flag Football'!A:A,1,FALSE),"")</f>
        <v>Arlington Heights (Hersey)</v>
      </c>
      <c r="AE16" t="str">
        <f t="shared" si="0"/>
        <v>1A</v>
      </c>
    </row>
    <row r="17" spans="1:31" ht="15.75" thickBot="1" x14ac:dyDescent="0.3">
      <c r="A17" s="20" t="s">
        <v>27</v>
      </c>
      <c r="B17" s="38" t="str">
        <f>IFERROR(VLOOKUP(A17,'Public v Private'!A:G,3,FALSE),"")</f>
        <v>private</v>
      </c>
      <c r="C17" s="38">
        <f>IFERROR(VLOOKUP(A17,'Public v Private'!A:G,4,FALSE),"")</f>
        <v>2</v>
      </c>
      <c r="D17" s="38">
        <f>IFERROR(VLOOKUP(A17,'Public v Private'!A:G,5,FALSE),"")</f>
        <v>4</v>
      </c>
      <c r="E17" s="38"/>
      <c r="F17" s="40" t="str">
        <f>IFERROR(INDEX(Fall!$1:$1048576,MATCH(All!$A17,Fall!$A:$A,FALSE),MATCH(All!F$1,Fall!$1:$1,FALSE)),"N/A")</f>
        <v>774.00 (1,277.10)</v>
      </c>
      <c r="G17" t="str">
        <f>IFERROR(IF(INDEX(Fall!$1:$1048576,MATCH(All!$A17,Fall!$A:$A,FALSE),MATCH(All!G$1,Fall!$1:$1,FALSE))="","",INDEX(Fall!$1:$1048576,MATCH(All!$A17,Fall!$A:$A,FALSE),MATCH(All!G$1,Fall!$1:$1,FALSE))),"")</f>
        <v>2A</v>
      </c>
      <c r="H17" t="str">
        <f>IFERROR(IF(INDEX(Fall!$1:$1048576,MATCH(All!$A17,Fall!$A:$A,FALSE),MATCH(All!H$1,Fall!$1:$1,FALSE))="","",INDEX(Fall!$1:$1048576,MATCH(All!$A17,Fall!$A:$A,FALSE),MATCH(All!H$1,Fall!$1:$1,FALSE))),"")</f>
        <v>2A</v>
      </c>
      <c r="I17" t="str">
        <f>IFERROR(IF(INDEX(Fall!$1:$1048576,MATCH(All!$A17,Fall!$A:$A,FALSE),MATCH(All!I$1,Fall!$1:$1,FALSE))="","",INDEX(Fall!$1:$1048576,MATCH(All!$A17,Fall!$A:$A,FALSE),MATCH(All!I$1,Fall!$1:$1,FALSE))),"")</f>
        <v>2A</v>
      </c>
      <c r="J17" t="str">
        <f>IFERROR(IF(INDEX(Fall!$1:$1048576,MATCH(All!$A17,Fall!$A:$A,FALSE),MATCH(All!J$1,Fall!$1:$1,FALSE))="","",INDEX(Fall!$1:$1048576,MATCH(All!$A17,Fall!$A:$A,FALSE),MATCH(All!J$1,Fall!$1:$1,FALSE))),"")</f>
        <v>2A</v>
      </c>
      <c r="K17" t="str">
        <f>IFERROR(IF(INDEX(Fall!$1:$1048576,MATCH(All!$A17,Fall!$A:$A,FALSE),MATCH(All!K$1,Fall!$1:$1,FALSE))="","",INDEX(Fall!$1:$1048576,MATCH(All!$A17,Fall!$A:$A,FALSE),MATCH(All!K$1,Fall!$1:$1,FALSE))),"")</f>
        <v>2A</v>
      </c>
      <c r="L17" t="str">
        <f>IFERROR(IF(INDEX(Fall!$1:$1048576,MATCH(All!$A17,Fall!$A:$A,FALSE),MATCH(All!L$1,Fall!$1:$1,FALSE))="","",INDEX(Fall!$1:$1048576,MATCH(All!$A17,Fall!$A:$A,FALSE),MATCH(All!L$1,Fall!$1:$1,FALSE))),"")</f>
        <v>1A</v>
      </c>
      <c r="M17" t="str">
        <f>IFERROR(IF(INDEX(Fall!$1:$1048576,MATCH(All!$A17,Fall!$A:$A,FALSE),MATCH(All!M$1,Fall!$1:$1,FALSE))="","",INDEX(Fall!$1:$1048576,MATCH(All!$A17,Fall!$A:$A,FALSE),MATCH(All!M$1,Fall!$1:$1,FALSE))),"")</f>
        <v>3A</v>
      </c>
      <c r="O17" t="str">
        <f>IFERROR(IF(INDEX(Winter!$1:$1048576,MATCH(All!$A17,Winter!$A:$A,FALSE),MATCH(All!O$1,Winter!$1:$1,FALSE))="","",INDEX(Winter!$1:$1048576,MATCH(All!$A17,Winter!$A:$A,FALSE),MATCH(All!O$1,Winter!$1:$1,FALSE))),"")</f>
        <v>774.00 (1,277.10)</v>
      </c>
      <c r="P17" t="str">
        <f>IFERROR(IF(INDEX(Winter!$1:$1048576,MATCH(All!$A17,Winter!$A:$A,FALSE),MATCH(All!P$1,Winter!$1:$1,FALSE))="","",INDEX(Winter!$1:$1048576,MATCH(All!$A17,Winter!$A:$A,FALSE),MATCH(All!P$1,Winter!$1:$1,FALSE))),"")</f>
        <v>3A</v>
      </c>
      <c r="Q17" t="str">
        <f>IFERROR(IF(INDEX(Winter!$1:$1048576,MATCH(All!$A17,Winter!$A:$A,FALSE),MATCH(All!Q$1,Winter!$1:$1,FALSE))="","",INDEX(Winter!$1:$1048576,MATCH(All!$A17,Winter!$A:$A,FALSE),MATCH(All!Q$1,Winter!$1:$1,FALSE))),"")</f>
        <v>3A</v>
      </c>
      <c r="R17" t="str">
        <f>IFERROR(IF(INDEX(Winter!$1:$1048576,MATCH(All!$A17,Winter!$A:$A,FALSE),MATCH(All!R$1,Winter!$1:$1,FALSE))="","",INDEX(Winter!$1:$1048576,MATCH(All!$A17,Winter!$A:$A,FALSE),MATCH(All!R$1,Winter!$1:$1,FALSE))),"")</f>
        <v>2A</v>
      </c>
      <c r="S17" t="str">
        <f>IFERROR(IF(INDEX(Winter!$1:$1048576,MATCH(All!$A17,Winter!$A:$A,FALSE),MATCH(All!S$1,Winter!$1:$1,FALSE))="","",INDEX(Winter!$1:$1048576,MATCH(All!$A17,Winter!$A:$A,FALSE),MATCH(All!S$1,Winter!$1:$1,FALSE))),"")</f>
        <v>2A</v>
      </c>
      <c r="T17" t="str">
        <f>IFERROR(IF(INDEX(Winter!$1:$1048576,MATCH(All!$A17,Winter!$A:$A,FALSE),MATCH(All!T$1,Winter!$1:$1,FALSE))="","",INDEX(Winter!$1:$1048576,MATCH(All!$A17,Winter!$A:$A,FALSE),MATCH(All!T$1,Winter!$1:$1,FALSE))),"")</f>
        <v>2A</v>
      </c>
      <c r="U17" t="str">
        <f>IFERROR(IF(INDEX(Winter!$1:$1048576,MATCH(All!$A17,Winter!$A:$A,FALSE),MATCH(All!U$1,Winter!$1:$1,FALSE))="","",INDEX(Winter!$1:$1048576,MATCH(All!$A17,Winter!$A:$A,FALSE),MATCH(All!U$1,Winter!$1:$1,FALSE))),"")</f>
        <v>2A</v>
      </c>
      <c r="W17" t="str">
        <f>IFERROR(IF(INDEX(Spring!$1:$1048576,MATCH(All!$A17,Spring!$A:$A,FALSE),MATCH(All!W$1,Spring!$1:$1,FALSE))="","",INDEX(Spring!$1:$1048576,MATCH(All!$A17,Spring!$A:$A,FALSE),MATCH(All!W$1,Spring!$1:$1,FALSE))),"")</f>
        <v>774.00 (1,277.10)</v>
      </c>
      <c r="X17" t="str">
        <f>IFERROR(IF(INDEX(Spring!$1:$1048576,MATCH(All!$A17,Spring!$A:$A,FALSE),MATCH(All!X$1,Spring!$1:$1,FALSE))="","",INDEX(Spring!$1:$1048576,MATCH(All!$A17,Spring!$A:$A,FALSE),MATCH(All!X$1,Spring!$1:$1,FALSE))),"")</f>
        <v>3A</v>
      </c>
      <c r="Y17" t="str">
        <f>IFERROR(IF(INDEX(Spring!$1:$1048576,MATCH(All!$A17,Spring!$A:$A,FALSE),MATCH(All!Y$1,Spring!$1:$1,FALSE))="","",INDEX(Spring!$1:$1048576,MATCH(All!$A17,Spring!$A:$A,FALSE),MATCH(All!Y$1,Spring!$1:$1,FALSE))),"")</f>
        <v>3A</v>
      </c>
      <c r="Z17" t="str">
        <f>IFERROR(IF(INDEX(Spring!$1:$1048576,MATCH(All!$A17,Spring!$A:$A,FALSE),MATCH(All!Z$1,Spring!$1:$1,FALSE))="","",INDEX(Spring!$1:$1048576,MATCH(All!$A17,Spring!$A:$A,FALSE),MATCH(All!Z$1,Spring!$1:$1,FALSE))),"")</f>
        <v>2A</v>
      </c>
      <c r="AA17" t="str">
        <f>IFERROR(IF(INDEX(Spring!$1:$1048576,MATCH(All!$A17,Spring!$A:$A,FALSE),MATCH(All!AA$1,Spring!$1:$1,FALSE))="","",INDEX(Spring!$1:$1048576,MATCH(All!$A17,Spring!$A:$A,FALSE),MATCH(All!AA$1,Spring!$1:$1,FALSE))),"")</f>
        <v>1A</v>
      </c>
      <c r="AB17" t="str">
        <f>IFERROR(IF(INDEX(Spring!$1:$1048576,MATCH(All!$A17,Spring!$A:$A,FALSE),MATCH(All!AB$1,Spring!$1:$1,FALSE))="","",INDEX(Spring!$1:$1048576,MATCH(All!$A17,Spring!$A:$A,FALSE),MATCH(All!AB$1,Spring!$1:$1,FALSE))),"")</f>
        <v>2A</v>
      </c>
      <c r="AC17" t="str">
        <f>IFERROR(IF(INDEX(Spring!$1:$1048576,MATCH(All!$A17,Spring!$A:$A,FALSE),MATCH(All!AC$1,Spring!$1:$1,FALSE))="","",INDEX(Spring!$1:$1048576,MATCH(All!$A17,Spring!$A:$A,FALSE),MATCH(All!AC$1,Spring!$1:$1,FALSE))),"")</f>
        <v>2A</v>
      </c>
      <c r="AD17" t="str">
        <f>IFERROR(VLOOKUP(A17,'Flag Football'!A:A,1,FALSE),"")</f>
        <v>Arlington Heights (St. Viator)</v>
      </c>
      <c r="AE17" t="str">
        <f t="shared" si="0"/>
        <v>1A</v>
      </c>
    </row>
    <row r="18" spans="1:31" ht="15.75" thickBot="1" x14ac:dyDescent="0.3">
      <c r="A18" s="18" t="s">
        <v>29</v>
      </c>
      <c r="B18" s="38">
        <f>IFERROR(VLOOKUP(A18,'Public v Private'!A:G,3,FALSE),"")</f>
        <v>0</v>
      </c>
      <c r="C18" s="38">
        <f>IFERROR(VLOOKUP(A18,'Public v Private'!A:G,4,FALSE),"")</f>
        <v>0</v>
      </c>
      <c r="D18" s="38">
        <f>IFERROR(VLOOKUP(A18,'Public v Private'!A:G,5,FALSE),"")</f>
        <v>0</v>
      </c>
      <c r="E18" s="38"/>
      <c r="F18" s="40">
        <f>IFERROR(INDEX(Fall!$1:$1048576,MATCH(All!$A18,Fall!$A:$A,FALSE),MATCH(All!F$1,Fall!$1:$1,FALSE)),"N/A")</f>
        <v>114</v>
      </c>
      <c r="G18" t="str">
        <f>IFERROR(IF(INDEX(Fall!$1:$1048576,MATCH(All!$A18,Fall!$A:$A,FALSE),MATCH(All!G$1,Fall!$1:$1,FALSE))="","",INDEX(Fall!$1:$1048576,MATCH(All!$A18,Fall!$A:$A,FALSE),MATCH(All!G$1,Fall!$1:$1,FALSE))),"")</f>
        <v>1A</v>
      </c>
      <c r="H18" t="str">
        <f>IFERROR(IF(INDEX(Fall!$1:$1048576,MATCH(All!$A18,Fall!$A:$A,FALSE),MATCH(All!H$1,Fall!$1:$1,FALSE))="","",INDEX(Fall!$1:$1048576,MATCH(All!$A18,Fall!$A:$A,FALSE),MATCH(All!H$1,Fall!$1:$1,FALSE))),"")</f>
        <v>1A</v>
      </c>
      <c r="I18" t="str">
        <f>IFERROR(IF(INDEX(Fall!$1:$1048576,MATCH(All!$A18,Fall!$A:$A,FALSE),MATCH(All!I$1,Fall!$1:$1,FALSE))="","",INDEX(Fall!$1:$1048576,MATCH(All!$A18,Fall!$A:$A,FALSE),MATCH(All!I$1,Fall!$1:$1,FALSE))),"")</f>
        <v>1A</v>
      </c>
      <c r="J18" t="str">
        <f>IFERROR(IF(INDEX(Fall!$1:$1048576,MATCH(All!$A18,Fall!$A:$A,FALSE),MATCH(All!J$1,Fall!$1:$1,FALSE))="","",INDEX(Fall!$1:$1048576,MATCH(All!$A18,Fall!$A:$A,FALSE),MATCH(All!J$1,Fall!$1:$1,FALSE))),"")</f>
        <v/>
      </c>
      <c r="K18" t="str">
        <f>IFERROR(IF(INDEX(Fall!$1:$1048576,MATCH(All!$A18,Fall!$A:$A,FALSE),MATCH(All!K$1,Fall!$1:$1,FALSE))="","",INDEX(Fall!$1:$1048576,MATCH(All!$A18,Fall!$A:$A,FALSE),MATCH(All!K$1,Fall!$1:$1,FALSE))),"")</f>
        <v/>
      </c>
      <c r="L18" t="str">
        <f>IFERROR(IF(INDEX(Fall!$1:$1048576,MATCH(All!$A18,Fall!$A:$A,FALSE),MATCH(All!L$1,Fall!$1:$1,FALSE))="","",INDEX(Fall!$1:$1048576,MATCH(All!$A18,Fall!$A:$A,FALSE),MATCH(All!L$1,Fall!$1:$1,FALSE))),"")</f>
        <v/>
      </c>
      <c r="M18" t="str">
        <f>IFERROR(IF(INDEX(Fall!$1:$1048576,MATCH(All!$A18,Fall!$A:$A,FALSE),MATCH(All!M$1,Fall!$1:$1,FALSE))="","",INDEX(Fall!$1:$1048576,MATCH(All!$A18,Fall!$A:$A,FALSE),MATCH(All!M$1,Fall!$1:$1,FALSE))),"")</f>
        <v>1A</v>
      </c>
      <c r="O18">
        <f>IFERROR(IF(INDEX(Winter!$1:$1048576,MATCH(All!$A18,Winter!$A:$A,FALSE),MATCH(All!O$1,Winter!$1:$1,FALSE))="","",INDEX(Winter!$1:$1048576,MATCH(All!$A18,Winter!$A:$A,FALSE),MATCH(All!O$1,Winter!$1:$1,FALSE))),"")</f>
        <v>114</v>
      </c>
      <c r="P18" t="str">
        <f>IFERROR(IF(INDEX(Winter!$1:$1048576,MATCH(All!$A18,Winter!$A:$A,FALSE),MATCH(All!P$1,Winter!$1:$1,FALSE))="","",INDEX(Winter!$1:$1048576,MATCH(All!$A18,Winter!$A:$A,FALSE),MATCH(All!P$1,Winter!$1:$1,FALSE))),"")</f>
        <v>1A</v>
      </c>
      <c r="Q18" t="str">
        <f>IFERROR(IF(INDEX(Winter!$1:$1048576,MATCH(All!$A18,Winter!$A:$A,FALSE),MATCH(All!Q$1,Winter!$1:$1,FALSE))="","",INDEX(Winter!$1:$1048576,MATCH(All!$A18,Winter!$A:$A,FALSE),MATCH(All!Q$1,Winter!$1:$1,FALSE))),"")</f>
        <v>1A</v>
      </c>
      <c r="R18" t="str">
        <f>IFERROR(IF(INDEX(Winter!$1:$1048576,MATCH(All!$A18,Winter!$A:$A,FALSE),MATCH(All!R$1,Winter!$1:$1,FALSE))="","",INDEX(Winter!$1:$1048576,MATCH(All!$A18,Winter!$A:$A,FALSE),MATCH(All!R$1,Winter!$1:$1,FALSE))),"")</f>
        <v/>
      </c>
      <c r="S18" t="str">
        <f>IFERROR(IF(INDEX(Winter!$1:$1048576,MATCH(All!$A18,Winter!$A:$A,FALSE),MATCH(All!S$1,Winter!$1:$1,FALSE))="","",INDEX(Winter!$1:$1048576,MATCH(All!$A18,Winter!$A:$A,FALSE),MATCH(All!S$1,Winter!$1:$1,FALSE))),"")</f>
        <v/>
      </c>
      <c r="T18" t="str">
        <f>IFERROR(IF(INDEX(Winter!$1:$1048576,MATCH(All!$A18,Winter!$A:$A,FALSE),MATCH(All!T$1,Winter!$1:$1,FALSE))="","",INDEX(Winter!$1:$1048576,MATCH(All!$A18,Winter!$A:$A,FALSE),MATCH(All!T$1,Winter!$1:$1,FALSE))),"")</f>
        <v>1A</v>
      </c>
      <c r="U18" t="str">
        <f>IFERROR(IF(INDEX(Winter!$1:$1048576,MATCH(All!$A18,Winter!$A:$A,FALSE),MATCH(All!U$1,Winter!$1:$1,FALSE))="","",INDEX(Winter!$1:$1048576,MATCH(All!$A18,Winter!$A:$A,FALSE),MATCH(All!U$1,Winter!$1:$1,FALSE))),"")</f>
        <v/>
      </c>
      <c r="W18">
        <f>IFERROR(IF(INDEX(Spring!$1:$1048576,MATCH(All!$A18,Spring!$A:$A,FALSE),MATCH(All!W$1,Spring!$1:$1,FALSE))="","",INDEX(Spring!$1:$1048576,MATCH(All!$A18,Spring!$A:$A,FALSE),MATCH(All!W$1,Spring!$1:$1,FALSE))),"")</f>
        <v>114</v>
      </c>
      <c r="X18" t="str">
        <f>IFERROR(IF(INDEX(Spring!$1:$1048576,MATCH(All!$A18,Spring!$A:$A,FALSE),MATCH(All!X$1,Spring!$1:$1,FALSE))="","",INDEX(Spring!$1:$1048576,MATCH(All!$A18,Spring!$A:$A,FALSE),MATCH(All!X$1,Spring!$1:$1,FALSE))),"")</f>
        <v>1A</v>
      </c>
      <c r="Y18" t="str">
        <f>IFERROR(IF(INDEX(Spring!$1:$1048576,MATCH(All!$A18,Spring!$A:$A,FALSE),MATCH(All!Y$1,Spring!$1:$1,FALSE))="","",INDEX(Spring!$1:$1048576,MATCH(All!$A18,Spring!$A:$A,FALSE),MATCH(All!Y$1,Spring!$1:$1,FALSE))),"")</f>
        <v>1A</v>
      </c>
      <c r="Z18" t="str">
        <f>IFERROR(IF(INDEX(Spring!$1:$1048576,MATCH(All!$A18,Spring!$A:$A,FALSE),MATCH(All!Z$1,Spring!$1:$1,FALSE))="","",INDEX(Spring!$1:$1048576,MATCH(All!$A18,Spring!$A:$A,FALSE),MATCH(All!Z$1,Spring!$1:$1,FALSE))),"")</f>
        <v/>
      </c>
      <c r="AA18" t="str">
        <f>IFERROR(IF(INDEX(Spring!$1:$1048576,MATCH(All!$A18,Spring!$A:$A,FALSE),MATCH(All!AA$1,Spring!$1:$1,FALSE))="","",INDEX(Spring!$1:$1048576,MATCH(All!$A18,Spring!$A:$A,FALSE),MATCH(All!AA$1,Spring!$1:$1,FALSE))),"")</f>
        <v/>
      </c>
      <c r="AB18" t="str">
        <f>IFERROR(IF(INDEX(Spring!$1:$1048576,MATCH(All!$A18,Spring!$A:$A,FALSE),MATCH(All!AB$1,Spring!$1:$1,FALSE))="","",INDEX(Spring!$1:$1048576,MATCH(All!$A18,Spring!$A:$A,FALSE),MATCH(All!AB$1,Spring!$1:$1,FALSE))),"")</f>
        <v>1A</v>
      </c>
      <c r="AC18" t="str">
        <f>IFERROR(IF(INDEX(Spring!$1:$1048576,MATCH(All!$A18,Spring!$A:$A,FALSE),MATCH(All!AC$1,Spring!$1:$1,FALSE))="","",INDEX(Spring!$1:$1048576,MATCH(All!$A18,Spring!$A:$A,FALSE),MATCH(All!AC$1,Spring!$1:$1,FALSE))),"")</f>
        <v>1A</v>
      </c>
      <c r="AD18" t="str">
        <f>IFERROR(VLOOKUP(A18,'Flag Football'!A:A,1,FALSE),"")</f>
        <v/>
      </c>
      <c r="AE18" t="str">
        <f t="shared" si="0"/>
        <v/>
      </c>
    </row>
    <row r="19" spans="1:31" ht="15.75" thickBot="1" x14ac:dyDescent="0.3">
      <c r="A19" s="20" t="s">
        <v>30</v>
      </c>
      <c r="B19" s="38">
        <f>IFERROR(VLOOKUP(A19,'Public v Private'!A:G,3,FALSE),"")</f>
        <v>0</v>
      </c>
      <c r="C19" s="38">
        <f>IFERROR(VLOOKUP(A19,'Public v Private'!A:G,4,FALSE),"")</f>
        <v>0</v>
      </c>
      <c r="D19" s="38">
        <f>IFERROR(VLOOKUP(A19,'Public v Private'!A:G,5,FALSE),"")</f>
        <v>0</v>
      </c>
      <c r="E19" s="38"/>
      <c r="F19" s="40">
        <f>IFERROR(INDEX(Fall!$1:$1048576,MATCH(All!$A19,Fall!$A:$A,FALSE),MATCH(All!F$1,Fall!$1:$1,FALSE)),"N/A")</f>
        <v>296</v>
      </c>
      <c r="G19" t="str">
        <f>IFERROR(IF(INDEX(Fall!$1:$1048576,MATCH(All!$A19,Fall!$A:$A,FALSE),MATCH(All!G$1,Fall!$1:$1,FALSE))="","",INDEX(Fall!$1:$1048576,MATCH(All!$A19,Fall!$A:$A,FALSE),MATCH(All!G$1,Fall!$1:$1,FALSE))),"")</f>
        <v>1A</v>
      </c>
      <c r="H19" t="str">
        <f>IFERROR(IF(INDEX(Fall!$1:$1048576,MATCH(All!$A19,Fall!$A:$A,FALSE),MATCH(All!H$1,Fall!$1:$1,FALSE))="","",INDEX(Fall!$1:$1048576,MATCH(All!$A19,Fall!$A:$A,FALSE),MATCH(All!H$1,Fall!$1:$1,FALSE))),"")</f>
        <v>1A</v>
      </c>
      <c r="I19" t="str">
        <f>IFERROR(IF(INDEX(Fall!$1:$1048576,MATCH(All!$A19,Fall!$A:$A,FALSE),MATCH(All!I$1,Fall!$1:$1,FALSE))="","",INDEX(Fall!$1:$1048576,MATCH(All!$A19,Fall!$A:$A,FALSE),MATCH(All!I$1,Fall!$1:$1,FALSE))),"")</f>
        <v/>
      </c>
      <c r="J19" t="str">
        <f>IFERROR(IF(INDEX(Fall!$1:$1048576,MATCH(All!$A19,Fall!$A:$A,FALSE),MATCH(All!J$1,Fall!$1:$1,FALSE))="","",INDEX(Fall!$1:$1048576,MATCH(All!$A19,Fall!$A:$A,FALSE),MATCH(All!J$1,Fall!$1:$1,FALSE))),"")</f>
        <v/>
      </c>
      <c r="K19" t="str">
        <f>IFERROR(IF(INDEX(Fall!$1:$1048576,MATCH(All!$A19,Fall!$A:$A,FALSE),MATCH(All!K$1,Fall!$1:$1,FALSE))="","",INDEX(Fall!$1:$1048576,MATCH(All!$A19,Fall!$A:$A,FALSE),MATCH(All!K$1,Fall!$1:$1,FALSE))),"")</f>
        <v>1A</v>
      </c>
      <c r="L19" t="str">
        <f>IFERROR(IF(INDEX(Fall!$1:$1048576,MATCH(All!$A19,Fall!$A:$A,FALSE),MATCH(All!L$1,Fall!$1:$1,FALSE))="","",INDEX(Fall!$1:$1048576,MATCH(All!$A19,Fall!$A:$A,FALSE),MATCH(All!L$1,Fall!$1:$1,FALSE))),"")</f>
        <v/>
      </c>
      <c r="M19" t="str">
        <f>IFERROR(IF(INDEX(Fall!$1:$1048576,MATCH(All!$A19,Fall!$A:$A,FALSE),MATCH(All!M$1,Fall!$1:$1,FALSE))="","",INDEX(Fall!$1:$1048576,MATCH(All!$A19,Fall!$A:$A,FALSE),MATCH(All!M$1,Fall!$1:$1,FALSE))),"")</f>
        <v>1A</v>
      </c>
      <c r="O19">
        <f>IFERROR(IF(INDEX(Winter!$1:$1048576,MATCH(All!$A19,Winter!$A:$A,FALSE),MATCH(All!O$1,Winter!$1:$1,FALSE))="","",INDEX(Winter!$1:$1048576,MATCH(All!$A19,Winter!$A:$A,FALSE),MATCH(All!O$1,Winter!$1:$1,FALSE))),"")</f>
        <v>296</v>
      </c>
      <c r="P19" t="str">
        <f>IFERROR(IF(INDEX(Winter!$1:$1048576,MATCH(All!$A19,Winter!$A:$A,FALSE),MATCH(All!P$1,Winter!$1:$1,FALSE))="","",INDEX(Winter!$1:$1048576,MATCH(All!$A19,Winter!$A:$A,FALSE),MATCH(All!P$1,Winter!$1:$1,FALSE))),"")</f>
        <v>1A</v>
      </c>
      <c r="Q19" t="str">
        <f>IFERROR(IF(INDEX(Winter!$1:$1048576,MATCH(All!$A19,Winter!$A:$A,FALSE),MATCH(All!Q$1,Winter!$1:$1,FALSE))="","",INDEX(Winter!$1:$1048576,MATCH(All!$A19,Winter!$A:$A,FALSE),MATCH(All!Q$1,Winter!$1:$1,FALSE))),"")</f>
        <v>1A</v>
      </c>
      <c r="R19" t="str">
        <f>IFERROR(IF(INDEX(Winter!$1:$1048576,MATCH(All!$A19,Winter!$A:$A,FALSE),MATCH(All!R$1,Winter!$1:$1,FALSE))="","",INDEX(Winter!$1:$1048576,MATCH(All!$A19,Winter!$A:$A,FALSE),MATCH(All!R$1,Winter!$1:$1,FALSE))),"")</f>
        <v/>
      </c>
      <c r="S19" t="str">
        <f>IFERROR(IF(INDEX(Winter!$1:$1048576,MATCH(All!$A19,Winter!$A:$A,FALSE),MATCH(All!S$1,Winter!$1:$1,FALSE))="","",INDEX(Winter!$1:$1048576,MATCH(All!$A19,Winter!$A:$A,FALSE),MATCH(All!S$1,Winter!$1:$1,FALSE))),"")</f>
        <v/>
      </c>
      <c r="T19" t="str">
        <f>IFERROR(IF(INDEX(Winter!$1:$1048576,MATCH(All!$A19,Winter!$A:$A,FALSE),MATCH(All!T$1,Winter!$1:$1,FALSE))="","",INDEX(Winter!$1:$1048576,MATCH(All!$A19,Winter!$A:$A,FALSE),MATCH(All!T$1,Winter!$1:$1,FALSE))),"")</f>
        <v>1A</v>
      </c>
      <c r="U19" t="str">
        <f>IFERROR(IF(INDEX(Winter!$1:$1048576,MATCH(All!$A19,Winter!$A:$A,FALSE),MATCH(All!U$1,Winter!$1:$1,FALSE))="","",INDEX(Winter!$1:$1048576,MATCH(All!$A19,Winter!$A:$A,FALSE),MATCH(All!U$1,Winter!$1:$1,FALSE))),"")</f>
        <v/>
      </c>
      <c r="W19">
        <f>IFERROR(IF(INDEX(Spring!$1:$1048576,MATCH(All!$A19,Spring!$A:$A,FALSE),MATCH(All!W$1,Spring!$1:$1,FALSE))="","",INDEX(Spring!$1:$1048576,MATCH(All!$A19,Spring!$A:$A,FALSE),MATCH(All!W$1,Spring!$1:$1,FALSE))),"")</f>
        <v>296</v>
      </c>
      <c r="X19" t="str">
        <f>IFERROR(IF(INDEX(Spring!$1:$1048576,MATCH(All!$A19,Spring!$A:$A,FALSE),MATCH(All!X$1,Spring!$1:$1,FALSE))="","",INDEX(Spring!$1:$1048576,MATCH(All!$A19,Spring!$A:$A,FALSE),MATCH(All!X$1,Spring!$1:$1,FALSE))),"")</f>
        <v>1A</v>
      </c>
      <c r="Y19" t="str">
        <f>IFERROR(IF(INDEX(Spring!$1:$1048576,MATCH(All!$A19,Spring!$A:$A,FALSE),MATCH(All!Y$1,Spring!$1:$1,FALSE))="","",INDEX(Spring!$1:$1048576,MATCH(All!$A19,Spring!$A:$A,FALSE),MATCH(All!Y$1,Spring!$1:$1,FALSE))),"")</f>
        <v>1A</v>
      </c>
      <c r="Z19" t="str">
        <f>IFERROR(IF(INDEX(Spring!$1:$1048576,MATCH(All!$A19,Spring!$A:$A,FALSE),MATCH(All!Z$1,Spring!$1:$1,FALSE))="","",INDEX(Spring!$1:$1048576,MATCH(All!$A19,Spring!$A:$A,FALSE),MATCH(All!Z$1,Spring!$1:$1,FALSE))),"")</f>
        <v/>
      </c>
      <c r="AA19" t="str">
        <f>IFERROR(IF(INDEX(Spring!$1:$1048576,MATCH(All!$A19,Spring!$A:$A,FALSE),MATCH(All!AA$1,Spring!$1:$1,FALSE))="","",INDEX(Spring!$1:$1048576,MATCH(All!$A19,Spring!$A:$A,FALSE),MATCH(All!AA$1,Spring!$1:$1,FALSE))),"")</f>
        <v/>
      </c>
      <c r="AB19" t="str">
        <f>IFERROR(IF(INDEX(Spring!$1:$1048576,MATCH(All!$A19,Spring!$A:$A,FALSE),MATCH(All!AB$1,Spring!$1:$1,FALSE))="","",INDEX(Spring!$1:$1048576,MATCH(All!$A19,Spring!$A:$A,FALSE),MATCH(All!AB$1,Spring!$1:$1,FALSE))),"")</f>
        <v>1A</v>
      </c>
      <c r="AC19" t="str">
        <f>IFERROR(IF(INDEX(Spring!$1:$1048576,MATCH(All!$A19,Spring!$A:$A,FALSE),MATCH(All!AC$1,Spring!$1:$1,FALSE))="","",INDEX(Spring!$1:$1048576,MATCH(All!$A19,Spring!$A:$A,FALSE),MATCH(All!AC$1,Spring!$1:$1,FALSE))),"")</f>
        <v>1A</v>
      </c>
      <c r="AD19" t="str">
        <f>IFERROR(VLOOKUP(A19,'Flag Football'!A:A,1,FALSE),"")</f>
        <v/>
      </c>
      <c r="AE19" t="str">
        <f t="shared" si="0"/>
        <v/>
      </c>
    </row>
    <row r="20" spans="1:31" ht="15.75" thickBot="1" x14ac:dyDescent="0.3">
      <c r="A20" s="18" t="s">
        <v>31</v>
      </c>
      <c r="B20" s="38">
        <f>IFERROR(VLOOKUP(A20,'Public v Private'!A:G,3,FALSE),"")</f>
        <v>0</v>
      </c>
      <c r="C20" s="38">
        <f>IFERROR(VLOOKUP(A20,'Public v Private'!A:G,4,FALSE),"")</f>
        <v>0</v>
      </c>
      <c r="D20" s="38">
        <f>IFERROR(VLOOKUP(A20,'Public v Private'!A:G,5,FALSE),"")</f>
        <v>0</v>
      </c>
      <c r="E20" s="38"/>
      <c r="F20" s="40">
        <f>IFERROR(INDEX(Fall!$1:$1048576,MATCH(All!$A20,Fall!$A:$A,FALSE),MATCH(All!F$1,Fall!$1:$1,FALSE)),"N/A")</f>
        <v>132</v>
      </c>
      <c r="G20" t="str">
        <f>IFERROR(IF(INDEX(Fall!$1:$1048576,MATCH(All!$A20,Fall!$A:$A,FALSE),MATCH(All!G$1,Fall!$1:$1,FALSE))="","",INDEX(Fall!$1:$1048576,MATCH(All!$A20,Fall!$A:$A,FALSE),MATCH(All!G$1,Fall!$1:$1,FALSE))),"")</f>
        <v/>
      </c>
      <c r="H20" t="str">
        <f>IFERROR(IF(INDEX(Fall!$1:$1048576,MATCH(All!$A20,Fall!$A:$A,FALSE),MATCH(All!H$1,Fall!$1:$1,FALSE))="","",INDEX(Fall!$1:$1048576,MATCH(All!$A20,Fall!$A:$A,FALSE),MATCH(All!H$1,Fall!$1:$1,FALSE))),"")</f>
        <v/>
      </c>
      <c r="I20" t="str">
        <f>IFERROR(IF(INDEX(Fall!$1:$1048576,MATCH(All!$A20,Fall!$A:$A,FALSE),MATCH(All!I$1,Fall!$1:$1,FALSE))="","",INDEX(Fall!$1:$1048576,MATCH(All!$A20,Fall!$A:$A,FALSE),MATCH(All!I$1,Fall!$1:$1,FALSE))),"")</f>
        <v/>
      </c>
      <c r="J20" t="str">
        <f>IFERROR(IF(INDEX(Fall!$1:$1048576,MATCH(All!$A20,Fall!$A:$A,FALSE),MATCH(All!J$1,Fall!$1:$1,FALSE))="","",INDEX(Fall!$1:$1048576,MATCH(All!$A20,Fall!$A:$A,FALSE),MATCH(All!J$1,Fall!$1:$1,FALSE))),"")</f>
        <v/>
      </c>
      <c r="K20" t="str">
        <f>IFERROR(IF(INDEX(Fall!$1:$1048576,MATCH(All!$A20,Fall!$A:$A,FALSE),MATCH(All!K$1,Fall!$1:$1,FALSE))="","",INDEX(Fall!$1:$1048576,MATCH(All!$A20,Fall!$A:$A,FALSE),MATCH(All!K$1,Fall!$1:$1,FALSE))),"")</f>
        <v/>
      </c>
      <c r="L20" t="str">
        <f>IFERROR(IF(INDEX(Fall!$1:$1048576,MATCH(All!$A20,Fall!$A:$A,FALSE),MATCH(All!L$1,Fall!$1:$1,FALSE))="","",INDEX(Fall!$1:$1048576,MATCH(All!$A20,Fall!$A:$A,FALSE),MATCH(All!L$1,Fall!$1:$1,FALSE))),"")</f>
        <v/>
      </c>
      <c r="M20" t="str">
        <f>IFERROR(IF(INDEX(Fall!$1:$1048576,MATCH(All!$A20,Fall!$A:$A,FALSE),MATCH(All!M$1,Fall!$1:$1,FALSE))="","",INDEX(Fall!$1:$1048576,MATCH(All!$A20,Fall!$A:$A,FALSE),MATCH(All!M$1,Fall!$1:$1,FALSE))),"")</f>
        <v>1A</v>
      </c>
      <c r="O20">
        <f>IFERROR(IF(INDEX(Winter!$1:$1048576,MATCH(All!$A20,Winter!$A:$A,FALSE),MATCH(All!O$1,Winter!$1:$1,FALSE))="","",INDEX(Winter!$1:$1048576,MATCH(All!$A20,Winter!$A:$A,FALSE),MATCH(All!O$1,Winter!$1:$1,FALSE))),"")</f>
        <v>132</v>
      </c>
      <c r="P20" t="str">
        <f>IFERROR(IF(INDEX(Winter!$1:$1048576,MATCH(All!$A20,Winter!$A:$A,FALSE),MATCH(All!P$1,Winter!$1:$1,FALSE))="","",INDEX(Winter!$1:$1048576,MATCH(All!$A20,Winter!$A:$A,FALSE),MATCH(All!P$1,Winter!$1:$1,FALSE))),"")</f>
        <v>1A</v>
      </c>
      <c r="Q20" t="str">
        <f>IFERROR(IF(INDEX(Winter!$1:$1048576,MATCH(All!$A20,Winter!$A:$A,FALSE),MATCH(All!Q$1,Winter!$1:$1,FALSE))="","",INDEX(Winter!$1:$1048576,MATCH(All!$A20,Winter!$A:$A,FALSE),MATCH(All!Q$1,Winter!$1:$1,FALSE))),"")</f>
        <v>1A</v>
      </c>
      <c r="R20" t="str">
        <f>IFERROR(IF(INDEX(Winter!$1:$1048576,MATCH(All!$A20,Winter!$A:$A,FALSE),MATCH(All!R$1,Winter!$1:$1,FALSE))="","",INDEX(Winter!$1:$1048576,MATCH(All!$A20,Winter!$A:$A,FALSE),MATCH(All!R$1,Winter!$1:$1,FALSE))),"")</f>
        <v/>
      </c>
      <c r="S20" t="str">
        <f>IFERROR(IF(INDEX(Winter!$1:$1048576,MATCH(All!$A20,Winter!$A:$A,FALSE),MATCH(All!S$1,Winter!$1:$1,FALSE))="","",INDEX(Winter!$1:$1048576,MATCH(All!$A20,Winter!$A:$A,FALSE),MATCH(All!S$1,Winter!$1:$1,FALSE))),"")</f>
        <v/>
      </c>
      <c r="T20" t="str">
        <f>IFERROR(IF(INDEX(Winter!$1:$1048576,MATCH(All!$A20,Winter!$A:$A,FALSE),MATCH(All!T$1,Winter!$1:$1,FALSE))="","",INDEX(Winter!$1:$1048576,MATCH(All!$A20,Winter!$A:$A,FALSE),MATCH(All!T$1,Winter!$1:$1,FALSE))),"")</f>
        <v>1A</v>
      </c>
      <c r="U20" t="str">
        <f>IFERROR(IF(INDEX(Winter!$1:$1048576,MATCH(All!$A20,Winter!$A:$A,FALSE),MATCH(All!U$1,Winter!$1:$1,FALSE))="","",INDEX(Winter!$1:$1048576,MATCH(All!$A20,Winter!$A:$A,FALSE),MATCH(All!U$1,Winter!$1:$1,FALSE))),"")</f>
        <v/>
      </c>
      <c r="W20">
        <f>IFERROR(IF(INDEX(Spring!$1:$1048576,MATCH(All!$A20,Spring!$A:$A,FALSE),MATCH(All!W$1,Spring!$1:$1,FALSE))="","",INDEX(Spring!$1:$1048576,MATCH(All!$A20,Spring!$A:$A,FALSE),MATCH(All!W$1,Spring!$1:$1,FALSE))),"")</f>
        <v>132</v>
      </c>
      <c r="X20" t="str">
        <f>IFERROR(IF(INDEX(Spring!$1:$1048576,MATCH(All!$A20,Spring!$A:$A,FALSE),MATCH(All!X$1,Spring!$1:$1,FALSE))="","",INDEX(Spring!$1:$1048576,MATCH(All!$A20,Spring!$A:$A,FALSE),MATCH(All!X$1,Spring!$1:$1,FALSE))),"")</f>
        <v>1A</v>
      </c>
      <c r="Y20" t="str">
        <f>IFERROR(IF(INDEX(Spring!$1:$1048576,MATCH(All!$A20,Spring!$A:$A,FALSE),MATCH(All!Y$1,Spring!$1:$1,FALSE))="","",INDEX(Spring!$1:$1048576,MATCH(All!$A20,Spring!$A:$A,FALSE),MATCH(All!Y$1,Spring!$1:$1,FALSE))),"")</f>
        <v>1A</v>
      </c>
      <c r="Z20" t="str">
        <f>IFERROR(IF(INDEX(Spring!$1:$1048576,MATCH(All!$A20,Spring!$A:$A,FALSE),MATCH(All!Z$1,Spring!$1:$1,FALSE))="","",INDEX(Spring!$1:$1048576,MATCH(All!$A20,Spring!$A:$A,FALSE),MATCH(All!Z$1,Spring!$1:$1,FALSE))),"")</f>
        <v/>
      </c>
      <c r="AA20" t="str">
        <f>IFERROR(IF(INDEX(Spring!$1:$1048576,MATCH(All!$A20,Spring!$A:$A,FALSE),MATCH(All!AA$1,Spring!$1:$1,FALSE))="","",INDEX(Spring!$1:$1048576,MATCH(All!$A20,Spring!$A:$A,FALSE),MATCH(All!AA$1,Spring!$1:$1,FALSE))),"")</f>
        <v/>
      </c>
      <c r="AB20" t="str">
        <f>IFERROR(IF(INDEX(Spring!$1:$1048576,MATCH(All!$A20,Spring!$A:$A,FALSE),MATCH(All!AB$1,Spring!$1:$1,FALSE))="","",INDEX(Spring!$1:$1048576,MATCH(All!$A20,Spring!$A:$A,FALSE),MATCH(All!AB$1,Spring!$1:$1,FALSE))),"")</f>
        <v/>
      </c>
      <c r="AC20" t="str">
        <f>IFERROR(IF(INDEX(Spring!$1:$1048576,MATCH(All!$A20,Spring!$A:$A,FALSE),MATCH(All!AC$1,Spring!$1:$1,FALSE))="","",INDEX(Spring!$1:$1048576,MATCH(All!$A20,Spring!$A:$A,FALSE),MATCH(All!AC$1,Spring!$1:$1,FALSE))),"")</f>
        <v>1A</v>
      </c>
      <c r="AD20" t="str">
        <f>IFERROR(VLOOKUP(A20,'Flag Football'!A:A,1,FALSE),"")</f>
        <v/>
      </c>
      <c r="AE20" t="str">
        <f t="shared" si="0"/>
        <v/>
      </c>
    </row>
    <row r="21" spans="1:31" ht="15.75" thickBot="1" x14ac:dyDescent="0.3">
      <c r="A21" s="20" t="s">
        <v>32</v>
      </c>
      <c r="B21" s="38">
        <f>IFERROR(VLOOKUP(A21,'Public v Private'!A:G,3,FALSE),"")</f>
        <v>0</v>
      </c>
      <c r="C21" s="38">
        <f>IFERROR(VLOOKUP(A21,'Public v Private'!A:G,4,FALSE),"")</f>
        <v>0</v>
      </c>
      <c r="D21" s="38">
        <f>IFERROR(VLOOKUP(A21,'Public v Private'!A:G,5,FALSE),"")</f>
        <v>0</v>
      </c>
      <c r="E21" s="38"/>
      <c r="F21" s="40">
        <f>IFERROR(INDEX(Fall!$1:$1048576,MATCH(All!$A21,Fall!$A:$A,FALSE),MATCH(All!F$1,Fall!$1:$1,FALSE)),"N/A")</f>
        <v>84</v>
      </c>
      <c r="G21" t="str">
        <f>IFERROR(IF(INDEX(Fall!$1:$1048576,MATCH(All!$A21,Fall!$A:$A,FALSE),MATCH(All!G$1,Fall!$1:$1,FALSE))="","",INDEX(Fall!$1:$1048576,MATCH(All!$A21,Fall!$A:$A,FALSE),MATCH(All!G$1,Fall!$1:$1,FALSE))),"")</f>
        <v>1A</v>
      </c>
      <c r="H21" t="str">
        <f>IFERROR(IF(INDEX(Fall!$1:$1048576,MATCH(All!$A21,Fall!$A:$A,FALSE),MATCH(All!H$1,Fall!$1:$1,FALSE))="","",INDEX(Fall!$1:$1048576,MATCH(All!$A21,Fall!$A:$A,FALSE),MATCH(All!H$1,Fall!$1:$1,FALSE))),"")</f>
        <v>1A</v>
      </c>
      <c r="I21" t="str">
        <f>IFERROR(IF(INDEX(Fall!$1:$1048576,MATCH(All!$A21,Fall!$A:$A,FALSE),MATCH(All!I$1,Fall!$1:$1,FALSE))="","",INDEX(Fall!$1:$1048576,MATCH(All!$A21,Fall!$A:$A,FALSE),MATCH(All!I$1,Fall!$1:$1,FALSE))),"")</f>
        <v/>
      </c>
      <c r="J21" t="str">
        <f>IFERROR(IF(INDEX(Fall!$1:$1048576,MATCH(All!$A21,Fall!$A:$A,FALSE),MATCH(All!J$1,Fall!$1:$1,FALSE))="","",INDEX(Fall!$1:$1048576,MATCH(All!$A21,Fall!$A:$A,FALSE),MATCH(All!J$1,Fall!$1:$1,FALSE))),"")</f>
        <v/>
      </c>
      <c r="K21" t="str">
        <f>IFERROR(IF(INDEX(Fall!$1:$1048576,MATCH(All!$A21,Fall!$A:$A,FALSE),MATCH(All!K$1,Fall!$1:$1,FALSE))="","",INDEX(Fall!$1:$1048576,MATCH(All!$A21,Fall!$A:$A,FALSE),MATCH(All!K$1,Fall!$1:$1,FALSE))),"")</f>
        <v/>
      </c>
      <c r="L21" t="str">
        <f>IFERROR(IF(INDEX(Fall!$1:$1048576,MATCH(All!$A21,Fall!$A:$A,FALSE),MATCH(All!L$1,Fall!$1:$1,FALSE))="","",INDEX(Fall!$1:$1048576,MATCH(All!$A21,Fall!$A:$A,FALSE),MATCH(All!L$1,Fall!$1:$1,FALSE))),"")</f>
        <v/>
      </c>
      <c r="M21" t="str">
        <f>IFERROR(IF(INDEX(Fall!$1:$1048576,MATCH(All!$A21,Fall!$A:$A,FALSE),MATCH(All!M$1,Fall!$1:$1,FALSE))="","",INDEX(Fall!$1:$1048576,MATCH(All!$A21,Fall!$A:$A,FALSE),MATCH(All!M$1,Fall!$1:$1,FALSE))),"")</f>
        <v>1A</v>
      </c>
      <c r="O21">
        <f>IFERROR(IF(INDEX(Winter!$1:$1048576,MATCH(All!$A21,Winter!$A:$A,FALSE),MATCH(All!O$1,Winter!$1:$1,FALSE))="","",INDEX(Winter!$1:$1048576,MATCH(All!$A21,Winter!$A:$A,FALSE),MATCH(All!O$1,Winter!$1:$1,FALSE))),"")</f>
        <v>84</v>
      </c>
      <c r="P21" t="str">
        <f>IFERROR(IF(INDEX(Winter!$1:$1048576,MATCH(All!$A21,Winter!$A:$A,FALSE),MATCH(All!P$1,Winter!$1:$1,FALSE))="","",INDEX(Winter!$1:$1048576,MATCH(All!$A21,Winter!$A:$A,FALSE),MATCH(All!P$1,Winter!$1:$1,FALSE))),"")</f>
        <v>1A</v>
      </c>
      <c r="Q21" t="str">
        <f>IFERROR(IF(INDEX(Winter!$1:$1048576,MATCH(All!$A21,Winter!$A:$A,FALSE),MATCH(All!Q$1,Winter!$1:$1,FALSE))="","",INDEX(Winter!$1:$1048576,MATCH(All!$A21,Winter!$A:$A,FALSE),MATCH(All!Q$1,Winter!$1:$1,FALSE))),"")</f>
        <v>1A</v>
      </c>
      <c r="R21" t="str">
        <f>IFERROR(IF(INDEX(Winter!$1:$1048576,MATCH(All!$A21,Winter!$A:$A,FALSE),MATCH(All!R$1,Winter!$1:$1,FALSE))="","",INDEX(Winter!$1:$1048576,MATCH(All!$A21,Winter!$A:$A,FALSE),MATCH(All!R$1,Winter!$1:$1,FALSE))),"")</f>
        <v/>
      </c>
      <c r="S21" t="str">
        <f>IFERROR(IF(INDEX(Winter!$1:$1048576,MATCH(All!$A21,Winter!$A:$A,FALSE),MATCH(All!S$1,Winter!$1:$1,FALSE))="","",INDEX(Winter!$1:$1048576,MATCH(All!$A21,Winter!$A:$A,FALSE),MATCH(All!S$1,Winter!$1:$1,FALSE))),"")</f>
        <v/>
      </c>
      <c r="T21" t="str">
        <f>IFERROR(IF(INDEX(Winter!$1:$1048576,MATCH(All!$A21,Winter!$A:$A,FALSE),MATCH(All!T$1,Winter!$1:$1,FALSE))="","",INDEX(Winter!$1:$1048576,MATCH(All!$A21,Winter!$A:$A,FALSE),MATCH(All!T$1,Winter!$1:$1,FALSE))),"")</f>
        <v/>
      </c>
      <c r="U21" t="str">
        <f>IFERROR(IF(INDEX(Winter!$1:$1048576,MATCH(All!$A21,Winter!$A:$A,FALSE),MATCH(All!U$1,Winter!$1:$1,FALSE))="","",INDEX(Winter!$1:$1048576,MATCH(All!$A21,Winter!$A:$A,FALSE),MATCH(All!U$1,Winter!$1:$1,FALSE))),"")</f>
        <v/>
      </c>
      <c r="W21">
        <f>IFERROR(IF(INDEX(Spring!$1:$1048576,MATCH(All!$A21,Spring!$A:$A,FALSE),MATCH(All!W$1,Spring!$1:$1,FALSE))="","",INDEX(Spring!$1:$1048576,MATCH(All!$A21,Spring!$A:$A,FALSE),MATCH(All!W$1,Spring!$1:$1,FALSE))),"")</f>
        <v>84</v>
      </c>
      <c r="X21" t="str">
        <f>IFERROR(IF(INDEX(Spring!$1:$1048576,MATCH(All!$A21,Spring!$A:$A,FALSE),MATCH(All!X$1,Spring!$1:$1,FALSE))="","",INDEX(Spring!$1:$1048576,MATCH(All!$A21,Spring!$A:$A,FALSE),MATCH(All!X$1,Spring!$1:$1,FALSE))),"")</f>
        <v>1A</v>
      </c>
      <c r="Y21" t="str">
        <f>IFERROR(IF(INDEX(Spring!$1:$1048576,MATCH(All!$A21,Spring!$A:$A,FALSE),MATCH(All!Y$1,Spring!$1:$1,FALSE))="","",INDEX(Spring!$1:$1048576,MATCH(All!$A21,Spring!$A:$A,FALSE),MATCH(All!Y$1,Spring!$1:$1,FALSE))),"")</f>
        <v>1A</v>
      </c>
      <c r="Z21" t="str">
        <f>IFERROR(IF(INDEX(Spring!$1:$1048576,MATCH(All!$A21,Spring!$A:$A,FALSE),MATCH(All!Z$1,Spring!$1:$1,FALSE))="","",INDEX(Spring!$1:$1048576,MATCH(All!$A21,Spring!$A:$A,FALSE),MATCH(All!Z$1,Spring!$1:$1,FALSE))),"")</f>
        <v/>
      </c>
      <c r="AA21" t="str">
        <f>IFERROR(IF(INDEX(Spring!$1:$1048576,MATCH(All!$A21,Spring!$A:$A,FALSE),MATCH(All!AA$1,Spring!$1:$1,FALSE))="","",INDEX(Spring!$1:$1048576,MATCH(All!$A21,Spring!$A:$A,FALSE),MATCH(All!AA$1,Spring!$1:$1,FALSE))),"")</f>
        <v/>
      </c>
      <c r="AB21" t="str">
        <f>IFERROR(IF(INDEX(Spring!$1:$1048576,MATCH(All!$A21,Spring!$A:$A,FALSE),MATCH(All!AB$1,Spring!$1:$1,FALSE))="","",INDEX(Spring!$1:$1048576,MATCH(All!$A21,Spring!$A:$A,FALSE),MATCH(All!AB$1,Spring!$1:$1,FALSE))),"")</f>
        <v>1A</v>
      </c>
      <c r="AC21" t="str">
        <f>IFERROR(IF(INDEX(Spring!$1:$1048576,MATCH(All!$A21,Spring!$A:$A,FALSE),MATCH(All!AC$1,Spring!$1:$1,FALSE))="","",INDEX(Spring!$1:$1048576,MATCH(All!$A21,Spring!$A:$A,FALSE),MATCH(All!AC$1,Spring!$1:$1,FALSE))),"")</f>
        <v>1A</v>
      </c>
      <c r="AD21" t="str">
        <f>IFERROR(VLOOKUP(A21,'Flag Football'!A:A,1,FALSE),"")</f>
        <v/>
      </c>
      <c r="AE21" t="str">
        <f t="shared" si="0"/>
        <v/>
      </c>
    </row>
    <row r="22" spans="1:31" ht="15.75" thickBot="1" x14ac:dyDescent="0.3">
      <c r="A22" s="18" t="s">
        <v>33</v>
      </c>
      <c r="B22" s="38">
        <f>IFERROR(VLOOKUP(A22,'Public v Private'!A:G,3,FALSE),"")</f>
        <v>0</v>
      </c>
      <c r="C22" s="38">
        <f>IFERROR(VLOOKUP(A22,'Public v Private'!A:G,4,FALSE),"")</f>
        <v>0</v>
      </c>
      <c r="D22" s="38">
        <f>IFERROR(VLOOKUP(A22,'Public v Private'!A:G,5,FALSE),"")</f>
        <v>0</v>
      </c>
      <c r="E22" s="38"/>
      <c r="F22" s="40">
        <f>IFERROR(INDEX(Fall!$1:$1048576,MATCH(All!$A22,Fall!$A:$A,FALSE),MATCH(All!F$1,Fall!$1:$1,FALSE)),"N/A")</f>
        <v>289</v>
      </c>
      <c r="G22" t="str">
        <f>IFERROR(IF(INDEX(Fall!$1:$1048576,MATCH(All!$A22,Fall!$A:$A,FALSE),MATCH(All!G$1,Fall!$1:$1,FALSE))="","",INDEX(Fall!$1:$1048576,MATCH(All!$A22,Fall!$A:$A,FALSE),MATCH(All!G$1,Fall!$1:$1,FALSE))),"")</f>
        <v>1A</v>
      </c>
      <c r="H22" t="str">
        <f>IFERROR(IF(INDEX(Fall!$1:$1048576,MATCH(All!$A22,Fall!$A:$A,FALSE),MATCH(All!H$1,Fall!$1:$1,FALSE))="","",INDEX(Fall!$1:$1048576,MATCH(All!$A22,Fall!$A:$A,FALSE),MATCH(All!H$1,Fall!$1:$1,FALSE))),"")</f>
        <v/>
      </c>
      <c r="I22" t="str">
        <f>IFERROR(IF(INDEX(Fall!$1:$1048576,MATCH(All!$A22,Fall!$A:$A,FALSE),MATCH(All!I$1,Fall!$1:$1,FALSE))="","",INDEX(Fall!$1:$1048576,MATCH(All!$A22,Fall!$A:$A,FALSE),MATCH(All!I$1,Fall!$1:$1,FALSE))),"")</f>
        <v/>
      </c>
      <c r="J22" t="str">
        <f>IFERROR(IF(INDEX(Fall!$1:$1048576,MATCH(All!$A22,Fall!$A:$A,FALSE),MATCH(All!J$1,Fall!$1:$1,FALSE))="","",INDEX(Fall!$1:$1048576,MATCH(All!$A22,Fall!$A:$A,FALSE),MATCH(All!J$1,Fall!$1:$1,FALSE))),"")</f>
        <v/>
      </c>
      <c r="K22" t="str">
        <f>IFERROR(IF(INDEX(Fall!$1:$1048576,MATCH(All!$A22,Fall!$A:$A,FALSE),MATCH(All!K$1,Fall!$1:$1,FALSE))="","",INDEX(Fall!$1:$1048576,MATCH(All!$A22,Fall!$A:$A,FALSE),MATCH(All!K$1,Fall!$1:$1,FALSE))),"")</f>
        <v>1A</v>
      </c>
      <c r="L22" t="str">
        <f>IFERROR(IF(INDEX(Fall!$1:$1048576,MATCH(All!$A22,Fall!$A:$A,FALSE),MATCH(All!L$1,Fall!$1:$1,FALSE))="","",INDEX(Fall!$1:$1048576,MATCH(All!$A22,Fall!$A:$A,FALSE),MATCH(All!L$1,Fall!$1:$1,FALSE))),"")</f>
        <v/>
      </c>
      <c r="M22" t="str">
        <f>IFERROR(IF(INDEX(Fall!$1:$1048576,MATCH(All!$A22,Fall!$A:$A,FALSE),MATCH(All!M$1,Fall!$1:$1,FALSE))="","",INDEX(Fall!$1:$1048576,MATCH(All!$A22,Fall!$A:$A,FALSE),MATCH(All!M$1,Fall!$1:$1,FALSE))),"")</f>
        <v>1A</v>
      </c>
      <c r="O22">
        <f>IFERROR(IF(INDEX(Winter!$1:$1048576,MATCH(All!$A22,Winter!$A:$A,FALSE),MATCH(All!O$1,Winter!$1:$1,FALSE))="","",INDEX(Winter!$1:$1048576,MATCH(All!$A22,Winter!$A:$A,FALSE),MATCH(All!O$1,Winter!$1:$1,FALSE))),"")</f>
        <v>289</v>
      </c>
      <c r="P22" t="str">
        <f>IFERROR(IF(INDEX(Winter!$1:$1048576,MATCH(All!$A22,Winter!$A:$A,FALSE),MATCH(All!P$1,Winter!$1:$1,FALSE))="","",INDEX(Winter!$1:$1048576,MATCH(All!$A22,Winter!$A:$A,FALSE),MATCH(All!P$1,Winter!$1:$1,FALSE))),"")</f>
        <v>1A</v>
      </c>
      <c r="Q22" t="str">
        <f>IFERROR(IF(INDEX(Winter!$1:$1048576,MATCH(All!$A22,Winter!$A:$A,FALSE),MATCH(All!Q$1,Winter!$1:$1,FALSE))="","",INDEX(Winter!$1:$1048576,MATCH(All!$A22,Winter!$A:$A,FALSE),MATCH(All!Q$1,Winter!$1:$1,FALSE))),"")</f>
        <v>1A</v>
      </c>
      <c r="R22" t="str">
        <f>IFERROR(IF(INDEX(Winter!$1:$1048576,MATCH(All!$A22,Winter!$A:$A,FALSE),MATCH(All!R$1,Winter!$1:$1,FALSE))="","",INDEX(Winter!$1:$1048576,MATCH(All!$A22,Winter!$A:$A,FALSE),MATCH(All!R$1,Winter!$1:$1,FALSE))),"")</f>
        <v/>
      </c>
      <c r="S22" t="str">
        <f>IFERROR(IF(INDEX(Winter!$1:$1048576,MATCH(All!$A22,Winter!$A:$A,FALSE),MATCH(All!S$1,Winter!$1:$1,FALSE))="","",INDEX(Winter!$1:$1048576,MATCH(All!$A22,Winter!$A:$A,FALSE),MATCH(All!S$1,Winter!$1:$1,FALSE))),"")</f>
        <v/>
      </c>
      <c r="T22" t="str">
        <f>IFERROR(IF(INDEX(Winter!$1:$1048576,MATCH(All!$A22,Winter!$A:$A,FALSE),MATCH(All!T$1,Winter!$1:$1,FALSE))="","",INDEX(Winter!$1:$1048576,MATCH(All!$A22,Winter!$A:$A,FALSE),MATCH(All!T$1,Winter!$1:$1,FALSE))),"")</f>
        <v>1A</v>
      </c>
      <c r="U22" t="str">
        <f>IFERROR(IF(INDEX(Winter!$1:$1048576,MATCH(All!$A22,Winter!$A:$A,FALSE),MATCH(All!U$1,Winter!$1:$1,FALSE))="","",INDEX(Winter!$1:$1048576,MATCH(All!$A22,Winter!$A:$A,FALSE),MATCH(All!U$1,Winter!$1:$1,FALSE))),"")</f>
        <v/>
      </c>
      <c r="W22">
        <f>IFERROR(IF(INDEX(Spring!$1:$1048576,MATCH(All!$A22,Spring!$A:$A,FALSE),MATCH(All!W$1,Spring!$1:$1,FALSE))="","",INDEX(Spring!$1:$1048576,MATCH(All!$A22,Spring!$A:$A,FALSE),MATCH(All!W$1,Spring!$1:$1,FALSE))),"")</f>
        <v>289</v>
      </c>
      <c r="X22" t="str">
        <f>IFERROR(IF(INDEX(Spring!$1:$1048576,MATCH(All!$A22,Spring!$A:$A,FALSE),MATCH(All!X$1,Spring!$1:$1,FALSE))="","",INDEX(Spring!$1:$1048576,MATCH(All!$A22,Spring!$A:$A,FALSE),MATCH(All!X$1,Spring!$1:$1,FALSE))),"")</f>
        <v>1A</v>
      </c>
      <c r="Y22" t="str">
        <f>IFERROR(IF(INDEX(Spring!$1:$1048576,MATCH(All!$A22,Spring!$A:$A,FALSE),MATCH(All!Y$1,Spring!$1:$1,FALSE))="","",INDEX(Spring!$1:$1048576,MATCH(All!$A22,Spring!$A:$A,FALSE),MATCH(All!Y$1,Spring!$1:$1,FALSE))),"")</f>
        <v>1A</v>
      </c>
      <c r="Z22" t="str">
        <f>IFERROR(IF(INDEX(Spring!$1:$1048576,MATCH(All!$A22,Spring!$A:$A,FALSE),MATCH(All!Z$1,Spring!$1:$1,FALSE))="","",INDEX(Spring!$1:$1048576,MATCH(All!$A22,Spring!$A:$A,FALSE),MATCH(All!Z$1,Spring!$1:$1,FALSE))),"")</f>
        <v>1A</v>
      </c>
      <c r="AA22" t="str">
        <f>IFERROR(IF(INDEX(Spring!$1:$1048576,MATCH(All!$A22,Spring!$A:$A,FALSE),MATCH(All!AA$1,Spring!$1:$1,FALSE))="","",INDEX(Spring!$1:$1048576,MATCH(All!$A22,Spring!$A:$A,FALSE),MATCH(All!AA$1,Spring!$1:$1,FALSE))),"")</f>
        <v/>
      </c>
      <c r="AB22" t="str">
        <f>IFERROR(IF(INDEX(Spring!$1:$1048576,MATCH(All!$A22,Spring!$A:$A,FALSE),MATCH(All!AB$1,Spring!$1:$1,FALSE))="","",INDEX(Spring!$1:$1048576,MATCH(All!$A22,Spring!$A:$A,FALSE),MATCH(All!AB$1,Spring!$1:$1,FALSE))),"")</f>
        <v>1A</v>
      </c>
      <c r="AC22" t="str">
        <f>IFERROR(IF(INDEX(Spring!$1:$1048576,MATCH(All!$A22,Spring!$A:$A,FALSE),MATCH(All!AC$1,Spring!$1:$1,FALSE))="","",INDEX(Spring!$1:$1048576,MATCH(All!$A22,Spring!$A:$A,FALSE),MATCH(All!AC$1,Spring!$1:$1,FALSE))),"")</f>
        <v>1A</v>
      </c>
      <c r="AD22" t="str">
        <f>IFERROR(VLOOKUP(A22,'Flag Football'!A:A,1,FALSE),"")</f>
        <v/>
      </c>
      <c r="AE22" t="str">
        <f t="shared" si="0"/>
        <v/>
      </c>
    </row>
    <row r="23" spans="1:31" ht="15.75" thickBot="1" x14ac:dyDescent="0.3">
      <c r="A23" s="20" t="s">
        <v>34</v>
      </c>
      <c r="B23" s="38">
        <f>IFERROR(VLOOKUP(A23,'Public v Private'!A:G,3,FALSE),"")</f>
        <v>0</v>
      </c>
      <c r="C23" s="38">
        <f>IFERROR(VLOOKUP(A23,'Public v Private'!A:G,4,FALSE),"")</f>
        <v>0</v>
      </c>
      <c r="D23" s="38">
        <f>IFERROR(VLOOKUP(A23,'Public v Private'!A:G,5,FALSE),"")</f>
        <v>0</v>
      </c>
      <c r="E23" s="38"/>
      <c r="F23" s="40">
        <f>IFERROR(INDEX(Fall!$1:$1048576,MATCH(All!$A23,Fall!$A:$A,FALSE),MATCH(All!F$1,Fall!$1:$1,FALSE)),"N/A")</f>
        <v>317</v>
      </c>
      <c r="G23" t="str">
        <f>IFERROR(IF(INDEX(Fall!$1:$1048576,MATCH(All!$A23,Fall!$A:$A,FALSE),MATCH(All!G$1,Fall!$1:$1,FALSE))="","",INDEX(Fall!$1:$1048576,MATCH(All!$A23,Fall!$A:$A,FALSE),MATCH(All!G$1,Fall!$1:$1,FALSE))),"")</f>
        <v>1A</v>
      </c>
      <c r="H23" t="str">
        <f>IFERROR(IF(INDEX(Fall!$1:$1048576,MATCH(All!$A23,Fall!$A:$A,FALSE),MATCH(All!H$1,Fall!$1:$1,FALSE))="","",INDEX(Fall!$1:$1048576,MATCH(All!$A23,Fall!$A:$A,FALSE),MATCH(All!H$1,Fall!$1:$1,FALSE))),"")</f>
        <v>1A</v>
      </c>
      <c r="I23" t="str">
        <f>IFERROR(IF(INDEX(Fall!$1:$1048576,MATCH(All!$A23,Fall!$A:$A,FALSE),MATCH(All!I$1,Fall!$1:$1,FALSE))="","",INDEX(Fall!$1:$1048576,MATCH(All!$A23,Fall!$A:$A,FALSE),MATCH(All!I$1,Fall!$1:$1,FALSE))),"")</f>
        <v>1A</v>
      </c>
      <c r="J23" t="str">
        <f>IFERROR(IF(INDEX(Fall!$1:$1048576,MATCH(All!$A23,Fall!$A:$A,FALSE),MATCH(All!J$1,Fall!$1:$1,FALSE))="","",INDEX(Fall!$1:$1048576,MATCH(All!$A23,Fall!$A:$A,FALSE),MATCH(All!J$1,Fall!$1:$1,FALSE))),"")</f>
        <v>1A</v>
      </c>
      <c r="K23" t="str">
        <f>IFERROR(IF(INDEX(Fall!$1:$1048576,MATCH(All!$A23,Fall!$A:$A,FALSE),MATCH(All!K$1,Fall!$1:$1,FALSE))="","",INDEX(Fall!$1:$1048576,MATCH(All!$A23,Fall!$A:$A,FALSE),MATCH(All!K$1,Fall!$1:$1,FALSE))),"")</f>
        <v/>
      </c>
      <c r="L23" t="str">
        <f>IFERROR(IF(INDEX(Fall!$1:$1048576,MATCH(All!$A23,Fall!$A:$A,FALSE),MATCH(All!L$1,Fall!$1:$1,FALSE))="","",INDEX(Fall!$1:$1048576,MATCH(All!$A23,Fall!$A:$A,FALSE),MATCH(All!L$1,Fall!$1:$1,FALSE))),"")</f>
        <v/>
      </c>
      <c r="M23" t="str">
        <f>IFERROR(IF(INDEX(Fall!$1:$1048576,MATCH(All!$A23,Fall!$A:$A,FALSE),MATCH(All!M$1,Fall!$1:$1,FALSE))="","",INDEX(Fall!$1:$1048576,MATCH(All!$A23,Fall!$A:$A,FALSE),MATCH(All!M$1,Fall!$1:$1,FALSE))),"")</f>
        <v>2A</v>
      </c>
      <c r="O23">
        <f>IFERROR(IF(INDEX(Winter!$1:$1048576,MATCH(All!$A23,Winter!$A:$A,FALSE),MATCH(All!O$1,Winter!$1:$1,FALSE))="","",INDEX(Winter!$1:$1048576,MATCH(All!$A23,Winter!$A:$A,FALSE),MATCH(All!O$1,Winter!$1:$1,FALSE))),"")</f>
        <v>317</v>
      </c>
      <c r="P23" t="str">
        <f>IFERROR(IF(INDEX(Winter!$1:$1048576,MATCH(All!$A23,Winter!$A:$A,FALSE),MATCH(All!P$1,Winter!$1:$1,FALSE))="","",INDEX(Winter!$1:$1048576,MATCH(All!$A23,Winter!$A:$A,FALSE),MATCH(All!P$1,Winter!$1:$1,FALSE))),"")</f>
        <v>2A</v>
      </c>
      <c r="Q23" t="str">
        <f>IFERROR(IF(INDEX(Winter!$1:$1048576,MATCH(All!$A23,Winter!$A:$A,FALSE),MATCH(All!Q$1,Winter!$1:$1,FALSE))="","",INDEX(Winter!$1:$1048576,MATCH(All!$A23,Winter!$A:$A,FALSE),MATCH(All!Q$1,Winter!$1:$1,FALSE))),"")</f>
        <v>2A</v>
      </c>
      <c r="R23" t="str">
        <f>IFERROR(IF(INDEX(Winter!$1:$1048576,MATCH(All!$A23,Winter!$A:$A,FALSE),MATCH(All!R$1,Winter!$1:$1,FALSE))="","",INDEX(Winter!$1:$1048576,MATCH(All!$A23,Winter!$A:$A,FALSE),MATCH(All!R$1,Winter!$1:$1,FALSE))),"")</f>
        <v/>
      </c>
      <c r="S23" t="str">
        <f>IFERROR(IF(INDEX(Winter!$1:$1048576,MATCH(All!$A23,Winter!$A:$A,FALSE),MATCH(All!S$1,Winter!$1:$1,FALSE))="","",INDEX(Winter!$1:$1048576,MATCH(All!$A23,Winter!$A:$A,FALSE),MATCH(All!S$1,Winter!$1:$1,FALSE))),"")</f>
        <v/>
      </c>
      <c r="T23" t="str">
        <f>IFERROR(IF(INDEX(Winter!$1:$1048576,MATCH(All!$A23,Winter!$A:$A,FALSE),MATCH(All!T$1,Winter!$1:$1,FALSE))="","",INDEX(Winter!$1:$1048576,MATCH(All!$A23,Winter!$A:$A,FALSE),MATCH(All!T$1,Winter!$1:$1,FALSE))),"")</f>
        <v>1A</v>
      </c>
      <c r="U23" t="str">
        <f>IFERROR(IF(INDEX(Winter!$1:$1048576,MATCH(All!$A23,Winter!$A:$A,FALSE),MATCH(All!U$1,Winter!$1:$1,FALSE))="","",INDEX(Winter!$1:$1048576,MATCH(All!$A23,Winter!$A:$A,FALSE),MATCH(All!U$1,Winter!$1:$1,FALSE))),"")</f>
        <v>1A</v>
      </c>
      <c r="W23">
        <f>IFERROR(IF(INDEX(Spring!$1:$1048576,MATCH(All!$A23,Spring!$A:$A,FALSE),MATCH(All!W$1,Spring!$1:$1,FALSE))="","",INDEX(Spring!$1:$1048576,MATCH(All!$A23,Spring!$A:$A,FALSE),MATCH(All!W$1,Spring!$1:$1,FALSE))),"")</f>
        <v>317</v>
      </c>
      <c r="X23" t="str">
        <f>IFERROR(IF(INDEX(Spring!$1:$1048576,MATCH(All!$A23,Spring!$A:$A,FALSE),MATCH(All!X$1,Spring!$1:$1,FALSE))="","",INDEX(Spring!$1:$1048576,MATCH(All!$A23,Spring!$A:$A,FALSE),MATCH(All!X$1,Spring!$1:$1,FALSE))),"")</f>
        <v>2A</v>
      </c>
      <c r="Y23" t="str">
        <f>IFERROR(IF(INDEX(Spring!$1:$1048576,MATCH(All!$A23,Spring!$A:$A,FALSE),MATCH(All!Y$1,Spring!$1:$1,FALSE))="","",INDEX(Spring!$1:$1048576,MATCH(All!$A23,Spring!$A:$A,FALSE),MATCH(All!Y$1,Spring!$1:$1,FALSE))),"")</f>
        <v>2A</v>
      </c>
      <c r="Z23" t="str">
        <f>IFERROR(IF(INDEX(Spring!$1:$1048576,MATCH(All!$A23,Spring!$A:$A,FALSE),MATCH(All!Z$1,Spring!$1:$1,FALSE))="","",INDEX(Spring!$1:$1048576,MATCH(All!$A23,Spring!$A:$A,FALSE),MATCH(All!Z$1,Spring!$1:$1,FALSE))),"")</f>
        <v>1A</v>
      </c>
      <c r="AA23" t="str">
        <f>IFERROR(IF(INDEX(Spring!$1:$1048576,MATCH(All!$A23,Spring!$A:$A,FALSE),MATCH(All!AA$1,Spring!$1:$1,FALSE))="","",INDEX(Spring!$1:$1048576,MATCH(All!$A23,Spring!$A:$A,FALSE),MATCH(All!AA$1,Spring!$1:$1,FALSE))),"")</f>
        <v/>
      </c>
      <c r="AB23" t="str">
        <f>IFERROR(IF(INDEX(Spring!$1:$1048576,MATCH(All!$A23,Spring!$A:$A,FALSE),MATCH(All!AB$1,Spring!$1:$1,FALSE))="","",INDEX(Spring!$1:$1048576,MATCH(All!$A23,Spring!$A:$A,FALSE),MATCH(All!AB$1,Spring!$1:$1,FALSE))),"")</f>
        <v>1A</v>
      </c>
      <c r="AC23" t="str">
        <f>IFERROR(IF(INDEX(Spring!$1:$1048576,MATCH(All!$A23,Spring!$A:$A,FALSE),MATCH(All!AC$1,Spring!$1:$1,FALSE))="","",INDEX(Spring!$1:$1048576,MATCH(All!$A23,Spring!$A:$A,FALSE),MATCH(All!AC$1,Spring!$1:$1,FALSE))),"")</f>
        <v>1A</v>
      </c>
      <c r="AD23" t="str">
        <f>IFERROR(VLOOKUP(A23,'Flag Football'!A:A,1,FALSE),"")</f>
        <v/>
      </c>
      <c r="AE23" t="str">
        <f t="shared" si="0"/>
        <v/>
      </c>
    </row>
    <row r="24" spans="1:31" ht="15.75" thickBot="1" x14ac:dyDescent="0.3">
      <c r="A24" s="18" t="s">
        <v>35</v>
      </c>
      <c r="B24" s="38">
        <f>IFERROR(VLOOKUP(A24,'Public v Private'!A:G,3,FALSE),"")</f>
        <v>0</v>
      </c>
      <c r="C24" s="38">
        <f>IFERROR(VLOOKUP(A24,'Public v Private'!A:G,4,FALSE),"")</f>
        <v>0</v>
      </c>
      <c r="D24" s="38">
        <f>IFERROR(VLOOKUP(A24,'Public v Private'!A:G,5,FALSE),"")</f>
        <v>0</v>
      </c>
      <c r="E24" s="38"/>
      <c r="F24" s="40">
        <f>IFERROR(INDEX(Fall!$1:$1048576,MATCH(All!$A24,Fall!$A:$A,FALSE),MATCH(All!F$1,Fall!$1:$1,FALSE)),"N/A")</f>
        <v>117</v>
      </c>
      <c r="G24" t="str">
        <f>IFERROR(IF(INDEX(Fall!$1:$1048576,MATCH(All!$A24,Fall!$A:$A,FALSE),MATCH(All!G$1,Fall!$1:$1,FALSE))="","",INDEX(Fall!$1:$1048576,MATCH(All!$A24,Fall!$A:$A,FALSE),MATCH(All!G$1,Fall!$1:$1,FALSE))),"")</f>
        <v/>
      </c>
      <c r="H24" t="str">
        <f>IFERROR(IF(INDEX(Fall!$1:$1048576,MATCH(All!$A24,Fall!$A:$A,FALSE),MATCH(All!H$1,Fall!$1:$1,FALSE))="","",INDEX(Fall!$1:$1048576,MATCH(All!$A24,Fall!$A:$A,FALSE),MATCH(All!H$1,Fall!$1:$1,FALSE))),"")</f>
        <v/>
      </c>
      <c r="I24" t="str">
        <f>IFERROR(IF(INDEX(Fall!$1:$1048576,MATCH(All!$A24,Fall!$A:$A,FALSE),MATCH(All!I$1,Fall!$1:$1,FALSE))="","",INDEX(Fall!$1:$1048576,MATCH(All!$A24,Fall!$A:$A,FALSE),MATCH(All!I$1,Fall!$1:$1,FALSE))),"")</f>
        <v>1A</v>
      </c>
      <c r="J24" t="str">
        <f>IFERROR(IF(INDEX(Fall!$1:$1048576,MATCH(All!$A24,Fall!$A:$A,FALSE),MATCH(All!J$1,Fall!$1:$1,FALSE))="","",INDEX(Fall!$1:$1048576,MATCH(All!$A24,Fall!$A:$A,FALSE),MATCH(All!J$1,Fall!$1:$1,FALSE))),"")</f>
        <v/>
      </c>
      <c r="K24" t="str">
        <f>IFERROR(IF(INDEX(Fall!$1:$1048576,MATCH(All!$A24,Fall!$A:$A,FALSE),MATCH(All!K$1,Fall!$1:$1,FALSE))="","",INDEX(Fall!$1:$1048576,MATCH(All!$A24,Fall!$A:$A,FALSE),MATCH(All!K$1,Fall!$1:$1,FALSE))),"")</f>
        <v/>
      </c>
      <c r="L24" t="str">
        <f>IFERROR(IF(INDEX(Fall!$1:$1048576,MATCH(All!$A24,Fall!$A:$A,FALSE),MATCH(All!L$1,Fall!$1:$1,FALSE))="","",INDEX(Fall!$1:$1048576,MATCH(All!$A24,Fall!$A:$A,FALSE),MATCH(All!L$1,Fall!$1:$1,FALSE))),"")</f>
        <v/>
      </c>
      <c r="M24" t="str">
        <f>IFERROR(IF(INDEX(Fall!$1:$1048576,MATCH(All!$A24,Fall!$A:$A,FALSE),MATCH(All!M$1,Fall!$1:$1,FALSE))="","",INDEX(Fall!$1:$1048576,MATCH(All!$A24,Fall!$A:$A,FALSE),MATCH(All!M$1,Fall!$1:$1,FALSE))),"")</f>
        <v>1A</v>
      </c>
      <c r="O24">
        <f>IFERROR(IF(INDEX(Winter!$1:$1048576,MATCH(All!$A24,Winter!$A:$A,FALSE),MATCH(All!O$1,Winter!$1:$1,FALSE))="","",INDEX(Winter!$1:$1048576,MATCH(All!$A24,Winter!$A:$A,FALSE),MATCH(All!O$1,Winter!$1:$1,FALSE))),"")</f>
        <v>117</v>
      </c>
      <c r="P24" t="str">
        <f>IFERROR(IF(INDEX(Winter!$1:$1048576,MATCH(All!$A24,Winter!$A:$A,FALSE),MATCH(All!P$1,Winter!$1:$1,FALSE))="","",INDEX(Winter!$1:$1048576,MATCH(All!$A24,Winter!$A:$A,FALSE),MATCH(All!P$1,Winter!$1:$1,FALSE))),"")</f>
        <v>1A</v>
      </c>
      <c r="Q24" t="str">
        <f>IFERROR(IF(INDEX(Winter!$1:$1048576,MATCH(All!$A24,Winter!$A:$A,FALSE),MATCH(All!Q$1,Winter!$1:$1,FALSE))="","",INDEX(Winter!$1:$1048576,MATCH(All!$A24,Winter!$A:$A,FALSE),MATCH(All!Q$1,Winter!$1:$1,FALSE))),"")</f>
        <v/>
      </c>
      <c r="R24" t="str">
        <f>IFERROR(IF(INDEX(Winter!$1:$1048576,MATCH(All!$A24,Winter!$A:$A,FALSE),MATCH(All!R$1,Winter!$1:$1,FALSE))="","",INDEX(Winter!$1:$1048576,MATCH(All!$A24,Winter!$A:$A,FALSE),MATCH(All!R$1,Winter!$1:$1,FALSE))),"")</f>
        <v/>
      </c>
      <c r="S24" t="str">
        <f>IFERROR(IF(INDEX(Winter!$1:$1048576,MATCH(All!$A24,Winter!$A:$A,FALSE),MATCH(All!S$1,Winter!$1:$1,FALSE))="","",INDEX(Winter!$1:$1048576,MATCH(All!$A24,Winter!$A:$A,FALSE),MATCH(All!S$1,Winter!$1:$1,FALSE))),"")</f>
        <v/>
      </c>
      <c r="T24" t="str">
        <f>IFERROR(IF(INDEX(Winter!$1:$1048576,MATCH(All!$A24,Winter!$A:$A,FALSE),MATCH(All!T$1,Winter!$1:$1,FALSE))="","",INDEX(Winter!$1:$1048576,MATCH(All!$A24,Winter!$A:$A,FALSE),MATCH(All!T$1,Winter!$1:$1,FALSE))),"")</f>
        <v>1A</v>
      </c>
      <c r="U24" t="str">
        <f>IFERROR(IF(INDEX(Winter!$1:$1048576,MATCH(All!$A24,Winter!$A:$A,FALSE),MATCH(All!U$1,Winter!$1:$1,FALSE))="","",INDEX(Winter!$1:$1048576,MATCH(All!$A24,Winter!$A:$A,FALSE),MATCH(All!U$1,Winter!$1:$1,FALSE))),"")</f>
        <v/>
      </c>
      <c r="W24">
        <f>IFERROR(IF(INDEX(Spring!$1:$1048576,MATCH(All!$A24,Spring!$A:$A,FALSE),MATCH(All!W$1,Spring!$1:$1,FALSE))="","",INDEX(Spring!$1:$1048576,MATCH(All!$A24,Spring!$A:$A,FALSE),MATCH(All!W$1,Spring!$1:$1,FALSE))),"")</f>
        <v>117</v>
      </c>
      <c r="X24" t="str">
        <f>IFERROR(IF(INDEX(Spring!$1:$1048576,MATCH(All!$A24,Spring!$A:$A,FALSE),MATCH(All!X$1,Spring!$1:$1,FALSE))="","",INDEX(Spring!$1:$1048576,MATCH(All!$A24,Spring!$A:$A,FALSE),MATCH(All!X$1,Spring!$1:$1,FALSE))),"")</f>
        <v>1A</v>
      </c>
      <c r="Y24" t="str">
        <f>IFERROR(IF(INDEX(Spring!$1:$1048576,MATCH(All!$A24,Spring!$A:$A,FALSE),MATCH(All!Y$1,Spring!$1:$1,FALSE))="","",INDEX(Spring!$1:$1048576,MATCH(All!$A24,Spring!$A:$A,FALSE),MATCH(All!Y$1,Spring!$1:$1,FALSE))),"")</f>
        <v>1A</v>
      </c>
      <c r="Z24" t="str">
        <f>IFERROR(IF(INDEX(Spring!$1:$1048576,MATCH(All!$A24,Spring!$A:$A,FALSE),MATCH(All!Z$1,Spring!$1:$1,FALSE))="","",INDEX(Spring!$1:$1048576,MATCH(All!$A24,Spring!$A:$A,FALSE),MATCH(All!Z$1,Spring!$1:$1,FALSE))),"")</f>
        <v/>
      </c>
      <c r="AA24" t="str">
        <f>IFERROR(IF(INDEX(Spring!$1:$1048576,MATCH(All!$A24,Spring!$A:$A,FALSE),MATCH(All!AA$1,Spring!$1:$1,FALSE))="","",INDEX(Spring!$1:$1048576,MATCH(All!$A24,Spring!$A:$A,FALSE),MATCH(All!AA$1,Spring!$1:$1,FALSE))),"")</f>
        <v/>
      </c>
      <c r="AB24" t="str">
        <f>IFERROR(IF(INDEX(Spring!$1:$1048576,MATCH(All!$A24,Spring!$A:$A,FALSE),MATCH(All!AB$1,Spring!$1:$1,FALSE))="","",INDEX(Spring!$1:$1048576,MATCH(All!$A24,Spring!$A:$A,FALSE),MATCH(All!AB$1,Spring!$1:$1,FALSE))),"")</f>
        <v/>
      </c>
      <c r="AC24" t="str">
        <f>IFERROR(IF(INDEX(Spring!$1:$1048576,MATCH(All!$A24,Spring!$A:$A,FALSE),MATCH(All!AC$1,Spring!$1:$1,FALSE))="","",INDEX(Spring!$1:$1048576,MATCH(All!$A24,Spring!$A:$A,FALSE),MATCH(All!AC$1,Spring!$1:$1,FALSE))),"")</f>
        <v/>
      </c>
      <c r="AD24" t="str">
        <f>IFERROR(VLOOKUP(A24,'Flag Football'!A:A,1,FALSE),"")</f>
        <v/>
      </c>
      <c r="AE24" t="str">
        <f t="shared" si="0"/>
        <v/>
      </c>
    </row>
    <row r="25" spans="1:31" ht="15.75" thickBot="1" x14ac:dyDescent="0.3">
      <c r="A25" s="20" t="s">
        <v>36</v>
      </c>
      <c r="B25" s="38" t="str">
        <f>IFERROR(VLOOKUP(A25,'Public v Private'!A:G,3,FALSE),"")</f>
        <v>private</v>
      </c>
      <c r="C25" s="38">
        <f>IFERROR(VLOOKUP(A25,'Public v Private'!A:G,4,FALSE),"")</f>
        <v>2</v>
      </c>
      <c r="D25" s="38">
        <f>IFERROR(VLOOKUP(A25,'Public v Private'!A:G,5,FALSE),"")</f>
        <v>5</v>
      </c>
      <c r="E25" s="38"/>
      <c r="F25" s="40" t="str">
        <f>IFERROR(INDEX(Fall!$1:$1048576,MATCH(All!$A25,Fall!$A:$A,FALSE),MATCH(All!F$1,Fall!$1:$1,FALSE)),"N/A")</f>
        <v>217.00 (358.05)</v>
      </c>
      <c r="G25" t="str">
        <f>IFERROR(IF(INDEX(Fall!$1:$1048576,MATCH(All!$A25,Fall!$A:$A,FALSE),MATCH(All!G$1,Fall!$1:$1,FALSE))="","",INDEX(Fall!$1:$1048576,MATCH(All!$A25,Fall!$A:$A,FALSE),MATCH(All!G$1,Fall!$1:$1,FALSE))),"")</f>
        <v>1A</v>
      </c>
      <c r="H25" t="str">
        <f>IFERROR(IF(INDEX(Fall!$1:$1048576,MATCH(All!$A25,Fall!$A:$A,FALSE),MATCH(All!H$1,Fall!$1:$1,FALSE))="","",INDEX(Fall!$1:$1048576,MATCH(All!$A25,Fall!$A:$A,FALSE),MATCH(All!H$1,Fall!$1:$1,FALSE))),"")</f>
        <v>1A</v>
      </c>
      <c r="I25" t="str">
        <f>IFERROR(IF(INDEX(Fall!$1:$1048576,MATCH(All!$A25,Fall!$A:$A,FALSE),MATCH(All!I$1,Fall!$1:$1,FALSE))="","",INDEX(Fall!$1:$1048576,MATCH(All!$A25,Fall!$A:$A,FALSE),MATCH(All!I$1,Fall!$1:$1,FALSE))),"")</f>
        <v>1A</v>
      </c>
      <c r="J25" t="str">
        <f>IFERROR(IF(INDEX(Fall!$1:$1048576,MATCH(All!$A25,Fall!$A:$A,FALSE),MATCH(All!J$1,Fall!$1:$1,FALSE))="","",INDEX(Fall!$1:$1048576,MATCH(All!$A25,Fall!$A:$A,FALSE),MATCH(All!J$1,Fall!$1:$1,FALSE))),"")</f>
        <v/>
      </c>
      <c r="K25" t="str">
        <f>IFERROR(IF(INDEX(Fall!$1:$1048576,MATCH(All!$A25,Fall!$A:$A,FALSE),MATCH(All!K$1,Fall!$1:$1,FALSE))="","",INDEX(Fall!$1:$1048576,MATCH(All!$A25,Fall!$A:$A,FALSE),MATCH(All!K$1,Fall!$1:$1,FALSE))),"")</f>
        <v/>
      </c>
      <c r="L25" t="str">
        <f>IFERROR(IF(INDEX(Fall!$1:$1048576,MATCH(All!$A25,Fall!$A:$A,FALSE),MATCH(All!L$1,Fall!$1:$1,FALSE))="","",INDEX(Fall!$1:$1048576,MATCH(All!$A25,Fall!$A:$A,FALSE),MATCH(All!L$1,Fall!$1:$1,FALSE))),"")</f>
        <v/>
      </c>
      <c r="M25" t="str">
        <f>IFERROR(IF(INDEX(Fall!$1:$1048576,MATCH(All!$A25,Fall!$A:$A,FALSE),MATCH(All!M$1,Fall!$1:$1,FALSE))="","",INDEX(Fall!$1:$1048576,MATCH(All!$A25,Fall!$A:$A,FALSE),MATCH(All!M$1,Fall!$1:$1,FALSE))),"")</f>
        <v>1A</v>
      </c>
      <c r="O25" t="str">
        <f>IFERROR(IF(INDEX(Winter!$1:$1048576,MATCH(All!$A25,Winter!$A:$A,FALSE),MATCH(All!O$1,Winter!$1:$1,FALSE))="","",INDEX(Winter!$1:$1048576,MATCH(All!$A25,Winter!$A:$A,FALSE),MATCH(All!O$1,Winter!$1:$1,FALSE))),"")</f>
        <v>217.00 (358.05)</v>
      </c>
      <c r="P25" t="str">
        <f>IFERROR(IF(INDEX(Winter!$1:$1048576,MATCH(All!$A25,Winter!$A:$A,FALSE),MATCH(All!P$1,Winter!$1:$1,FALSE))="","",INDEX(Winter!$1:$1048576,MATCH(All!$A25,Winter!$A:$A,FALSE),MATCH(All!P$1,Winter!$1:$1,FALSE))),"")</f>
        <v>2A</v>
      </c>
      <c r="Q25" t="str">
        <f>IFERROR(IF(INDEX(Winter!$1:$1048576,MATCH(All!$A25,Winter!$A:$A,FALSE),MATCH(All!Q$1,Winter!$1:$1,FALSE))="","",INDEX(Winter!$1:$1048576,MATCH(All!$A25,Winter!$A:$A,FALSE),MATCH(All!Q$1,Winter!$1:$1,FALSE))),"")</f>
        <v>1A</v>
      </c>
      <c r="R25" t="str">
        <f>IFERROR(IF(INDEX(Winter!$1:$1048576,MATCH(All!$A25,Winter!$A:$A,FALSE),MATCH(All!R$1,Winter!$1:$1,FALSE))="","",INDEX(Winter!$1:$1048576,MATCH(All!$A25,Winter!$A:$A,FALSE),MATCH(All!R$1,Winter!$1:$1,FALSE))),"")</f>
        <v/>
      </c>
      <c r="S25" t="str">
        <f>IFERROR(IF(INDEX(Winter!$1:$1048576,MATCH(All!$A25,Winter!$A:$A,FALSE),MATCH(All!S$1,Winter!$1:$1,FALSE))="","",INDEX(Winter!$1:$1048576,MATCH(All!$A25,Winter!$A:$A,FALSE),MATCH(All!S$1,Winter!$1:$1,FALSE))),"")</f>
        <v/>
      </c>
      <c r="T25" t="str">
        <f>IFERROR(IF(INDEX(Winter!$1:$1048576,MATCH(All!$A25,Winter!$A:$A,FALSE),MATCH(All!T$1,Winter!$1:$1,FALSE))="","",INDEX(Winter!$1:$1048576,MATCH(All!$A25,Winter!$A:$A,FALSE),MATCH(All!T$1,Winter!$1:$1,FALSE))),"")</f>
        <v/>
      </c>
      <c r="U25" t="str">
        <f>IFERROR(IF(INDEX(Winter!$1:$1048576,MATCH(All!$A25,Winter!$A:$A,FALSE),MATCH(All!U$1,Winter!$1:$1,FALSE))="","",INDEX(Winter!$1:$1048576,MATCH(All!$A25,Winter!$A:$A,FALSE),MATCH(All!U$1,Winter!$1:$1,FALSE))),"")</f>
        <v/>
      </c>
      <c r="W25" t="str">
        <f>IFERROR(IF(INDEX(Spring!$1:$1048576,MATCH(All!$A25,Spring!$A:$A,FALSE),MATCH(All!W$1,Spring!$1:$1,FALSE))="","",INDEX(Spring!$1:$1048576,MATCH(All!$A25,Spring!$A:$A,FALSE),MATCH(All!W$1,Spring!$1:$1,FALSE))),"")</f>
        <v>217.00 (358.05)</v>
      </c>
      <c r="X25" t="str">
        <f>IFERROR(IF(INDEX(Spring!$1:$1048576,MATCH(All!$A25,Spring!$A:$A,FALSE),MATCH(All!X$1,Spring!$1:$1,FALSE))="","",INDEX(Spring!$1:$1048576,MATCH(All!$A25,Spring!$A:$A,FALSE),MATCH(All!X$1,Spring!$1:$1,FALSE))),"")</f>
        <v>2A</v>
      </c>
      <c r="Y25" t="str">
        <f>IFERROR(IF(INDEX(Spring!$1:$1048576,MATCH(All!$A25,Spring!$A:$A,FALSE),MATCH(All!Y$1,Spring!$1:$1,FALSE))="","",INDEX(Spring!$1:$1048576,MATCH(All!$A25,Spring!$A:$A,FALSE),MATCH(All!Y$1,Spring!$1:$1,FALSE))),"")</f>
        <v>1A</v>
      </c>
      <c r="Z25" t="str">
        <f>IFERROR(IF(INDEX(Spring!$1:$1048576,MATCH(All!$A25,Spring!$A:$A,FALSE),MATCH(All!Z$1,Spring!$1:$1,FALSE))="","",INDEX(Spring!$1:$1048576,MATCH(All!$A25,Spring!$A:$A,FALSE),MATCH(All!Z$1,Spring!$1:$1,FALSE))),"")</f>
        <v/>
      </c>
      <c r="AA25" t="str">
        <f>IFERROR(IF(INDEX(Spring!$1:$1048576,MATCH(All!$A25,Spring!$A:$A,FALSE),MATCH(All!AA$1,Spring!$1:$1,FALSE))="","",INDEX(Spring!$1:$1048576,MATCH(All!$A25,Spring!$A:$A,FALSE),MATCH(All!AA$1,Spring!$1:$1,FALSE))),"")</f>
        <v/>
      </c>
      <c r="AB25" t="str">
        <f>IFERROR(IF(INDEX(Spring!$1:$1048576,MATCH(All!$A25,Spring!$A:$A,FALSE),MATCH(All!AB$1,Spring!$1:$1,FALSE))="","",INDEX(Spring!$1:$1048576,MATCH(All!$A25,Spring!$A:$A,FALSE),MATCH(All!AB$1,Spring!$1:$1,FALSE))),"")</f>
        <v>1A</v>
      </c>
      <c r="AC25" t="str">
        <f>IFERROR(IF(INDEX(Spring!$1:$1048576,MATCH(All!$A25,Spring!$A:$A,FALSE),MATCH(All!AC$1,Spring!$1:$1,FALSE))="","",INDEX(Spring!$1:$1048576,MATCH(All!$A25,Spring!$A:$A,FALSE),MATCH(All!AC$1,Spring!$1:$1,FALSE))),"")</f>
        <v>1A</v>
      </c>
      <c r="AD25" t="str">
        <f>IFERROR(VLOOKUP(A25,'Flag Football'!A:A,1,FALSE),"")</f>
        <v/>
      </c>
      <c r="AE25" t="str">
        <f t="shared" si="0"/>
        <v/>
      </c>
    </row>
    <row r="26" spans="1:31" ht="15.75" thickBot="1" x14ac:dyDescent="0.3">
      <c r="A26" s="18" t="s">
        <v>38</v>
      </c>
      <c r="B26" s="38" t="str">
        <f>IFERROR(VLOOKUP(A26,'Public v Private'!A:G,3,FALSE),"")</f>
        <v>private</v>
      </c>
      <c r="C26" s="38">
        <f>IFERROR(VLOOKUP(A26,'Public v Private'!A:G,4,FALSE),"")</f>
        <v>2</v>
      </c>
      <c r="D26" s="38">
        <f>IFERROR(VLOOKUP(A26,'Public v Private'!A:G,5,FALSE),"")</f>
        <v>5</v>
      </c>
      <c r="E26" s="38"/>
      <c r="F26" s="40" t="str">
        <f>IFERROR(INDEX(Fall!$1:$1048576,MATCH(All!$A26,Fall!$A:$A,FALSE),MATCH(All!F$1,Fall!$1:$1,FALSE)),"N/A")</f>
        <v>425.00 (701.25)</v>
      </c>
      <c r="G26" t="str">
        <f>IFERROR(IF(INDEX(Fall!$1:$1048576,MATCH(All!$A26,Fall!$A:$A,FALSE),MATCH(All!G$1,Fall!$1:$1,FALSE))="","",INDEX(Fall!$1:$1048576,MATCH(All!$A26,Fall!$A:$A,FALSE),MATCH(All!G$1,Fall!$1:$1,FALSE))),"")</f>
        <v>2A</v>
      </c>
      <c r="H26" t="str">
        <f>IFERROR(IF(INDEX(Fall!$1:$1048576,MATCH(All!$A26,Fall!$A:$A,FALSE),MATCH(All!H$1,Fall!$1:$1,FALSE))="","",INDEX(Fall!$1:$1048576,MATCH(All!$A26,Fall!$A:$A,FALSE),MATCH(All!H$1,Fall!$1:$1,FALSE))),"")</f>
        <v>2A</v>
      </c>
      <c r="I26" t="str">
        <f>IFERROR(IF(INDEX(Fall!$1:$1048576,MATCH(All!$A26,Fall!$A:$A,FALSE),MATCH(All!I$1,Fall!$1:$1,FALSE))="","",INDEX(Fall!$1:$1048576,MATCH(All!$A26,Fall!$A:$A,FALSE),MATCH(All!I$1,Fall!$1:$1,FALSE))),"")</f>
        <v>2A</v>
      </c>
      <c r="J26" t="str">
        <f>IFERROR(IF(INDEX(Fall!$1:$1048576,MATCH(All!$A26,Fall!$A:$A,FALSE),MATCH(All!J$1,Fall!$1:$1,FALSE))="","",INDEX(Fall!$1:$1048576,MATCH(All!$A26,Fall!$A:$A,FALSE),MATCH(All!J$1,Fall!$1:$1,FALSE))),"")</f>
        <v>1A</v>
      </c>
      <c r="K26" t="str">
        <f>IFERROR(IF(INDEX(Fall!$1:$1048576,MATCH(All!$A26,Fall!$A:$A,FALSE),MATCH(All!K$1,Fall!$1:$1,FALSE))="","",INDEX(Fall!$1:$1048576,MATCH(All!$A26,Fall!$A:$A,FALSE),MATCH(All!K$1,Fall!$1:$1,FALSE))),"")</f>
        <v>2A</v>
      </c>
      <c r="L26" t="str">
        <f>IFERROR(IF(INDEX(Fall!$1:$1048576,MATCH(All!$A26,Fall!$A:$A,FALSE),MATCH(All!L$1,Fall!$1:$1,FALSE))="","",INDEX(Fall!$1:$1048576,MATCH(All!$A26,Fall!$A:$A,FALSE),MATCH(All!L$1,Fall!$1:$1,FALSE))),"")</f>
        <v>1A</v>
      </c>
      <c r="M26" t="str">
        <f>IFERROR(IF(INDEX(Fall!$1:$1048576,MATCH(All!$A26,Fall!$A:$A,FALSE),MATCH(All!M$1,Fall!$1:$1,FALSE))="","",INDEX(Fall!$1:$1048576,MATCH(All!$A26,Fall!$A:$A,FALSE),MATCH(All!M$1,Fall!$1:$1,FALSE))),"")</f>
        <v>2A</v>
      </c>
      <c r="O26" t="str">
        <f>IFERROR(IF(INDEX(Winter!$1:$1048576,MATCH(All!$A26,Winter!$A:$A,FALSE),MATCH(All!O$1,Winter!$1:$1,FALSE))="","",INDEX(Winter!$1:$1048576,MATCH(All!$A26,Winter!$A:$A,FALSE),MATCH(All!O$1,Winter!$1:$1,FALSE))),"")</f>
        <v>425.00 (701.25)</v>
      </c>
      <c r="P26" t="str">
        <f>IFERROR(IF(INDEX(Winter!$1:$1048576,MATCH(All!$A26,Winter!$A:$A,FALSE),MATCH(All!P$1,Winter!$1:$1,FALSE))="","",INDEX(Winter!$1:$1048576,MATCH(All!$A26,Winter!$A:$A,FALSE),MATCH(All!P$1,Winter!$1:$1,FALSE))),"")</f>
        <v>2A</v>
      </c>
      <c r="Q26" t="str">
        <f>IFERROR(IF(INDEX(Winter!$1:$1048576,MATCH(All!$A26,Winter!$A:$A,FALSE),MATCH(All!Q$1,Winter!$1:$1,FALSE))="","",INDEX(Winter!$1:$1048576,MATCH(All!$A26,Winter!$A:$A,FALSE),MATCH(All!Q$1,Winter!$1:$1,FALSE))),"")</f>
        <v>3A</v>
      </c>
      <c r="R26" t="str">
        <f>IFERROR(IF(INDEX(Winter!$1:$1048576,MATCH(All!$A26,Winter!$A:$A,FALSE),MATCH(All!R$1,Winter!$1:$1,FALSE))="","",INDEX(Winter!$1:$1048576,MATCH(All!$A26,Winter!$A:$A,FALSE),MATCH(All!R$1,Winter!$1:$1,FALSE))),"")</f>
        <v/>
      </c>
      <c r="S26" t="str">
        <f>IFERROR(IF(INDEX(Winter!$1:$1048576,MATCH(All!$A26,Winter!$A:$A,FALSE),MATCH(All!S$1,Winter!$1:$1,FALSE))="","",INDEX(Winter!$1:$1048576,MATCH(All!$A26,Winter!$A:$A,FALSE),MATCH(All!S$1,Winter!$1:$1,FALSE))),"")</f>
        <v>1A</v>
      </c>
      <c r="T26" t="str">
        <f>IFERROR(IF(INDEX(Winter!$1:$1048576,MATCH(All!$A26,Winter!$A:$A,FALSE),MATCH(All!T$1,Winter!$1:$1,FALSE))="","",INDEX(Winter!$1:$1048576,MATCH(All!$A26,Winter!$A:$A,FALSE),MATCH(All!T$1,Winter!$1:$1,FALSE))),"")</f>
        <v/>
      </c>
      <c r="U26" t="str">
        <f>IFERROR(IF(INDEX(Winter!$1:$1048576,MATCH(All!$A26,Winter!$A:$A,FALSE),MATCH(All!U$1,Winter!$1:$1,FALSE))="","",INDEX(Winter!$1:$1048576,MATCH(All!$A26,Winter!$A:$A,FALSE),MATCH(All!U$1,Winter!$1:$1,FALSE))),"")</f>
        <v>1A</v>
      </c>
      <c r="W26" t="str">
        <f>IFERROR(IF(INDEX(Spring!$1:$1048576,MATCH(All!$A26,Spring!$A:$A,FALSE),MATCH(All!W$1,Spring!$1:$1,FALSE))="","",INDEX(Spring!$1:$1048576,MATCH(All!$A26,Spring!$A:$A,FALSE),MATCH(All!W$1,Spring!$1:$1,FALSE))),"")</f>
        <v>425.00 (701.25)</v>
      </c>
      <c r="X26" t="str">
        <f>IFERROR(IF(INDEX(Spring!$1:$1048576,MATCH(All!$A26,Spring!$A:$A,FALSE),MATCH(All!X$1,Spring!$1:$1,FALSE))="","",INDEX(Spring!$1:$1048576,MATCH(All!$A26,Spring!$A:$A,FALSE),MATCH(All!X$1,Spring!$1:$1,FALSE))),"")</f>
        <v>2A</v>
      </c>
      <c r="Y26" t="str">
        <f>IFERROR(IF(INDEX(Spring!$1:$1048576,MATCH(All!$A26,Spring!$A:$A,FALSE),MATCH(All!Y$1,Spring!$1:$1,FALSE))="","",INDEX(Spring!$1:$1048576,MATCH(All!$A26,Spring!$A:$A,FALSE),MATCH(All!Y$1,Spring!$1:$1,FALSE))),"")</f>
        <v>2A</v>
      </c>
      <c r="Z26" t="str">
        <f>IFERROR(IF(INDEX(Spring!$1:$1048576,MATCH(All!$A26,Spring!$A:$A,FALSE),MATCH(All!Z$1,Spring!$1:$1,FALSE))="","",INDEX(Spring!$1:$1048576,MATCH(All!$A26,Spring!$A:$A,FALSE),MATCH(All!Z$1,Spring!$1:$1,FALSE))),"")</f>
        <v>1A</v>
      </c>
      <c r="AA26" t="str">
        <f>IFERROR(IF(INDEX(Spring!$1:$1048576,MATCH(All!$A26,Spring!$A:$A,FALSE),MATCH(All!AA$1,Spring!$1:$1,FALSE))="","",INDEX(Spring!$1:$1048576,MATCH(All!$A26,Spring!$A:$A,FALSE),MATCH(All!AA$1,Spring!$1:$1,FALSE))),"")</f>
        <v>1A</v>
      </c>
      <c r="AB26" t="str">
        <f>IFERROR(IF(INDEX(Spring!$1:$1048576,MATCH(All!$A26,Spring!$A:$A,FALSE),MATCH(All!AB$1,Spring!$1:$1,FALSE))="","",INDEX(Spring!$1:$1048576,MATCH(All!$A26,Spring!$A:$A,FALSE),MATCH(All!AB$1,Spring!$1:$1,FALSE))),"")</f>
        <v>2A</v>
      </c>
      <c r="AC26" t="str">
        <f>IFERROR(IF(INDEX(Spring!$1:$1048576,MATCH(All!$A26,Spring!$A:$A,FALSE),MATCH(All!AC$1,Spring!$1:$1,FALSE))="","",INDEX(Spring!$1:$1048576,MATCH(All!$A26,Spring!$A:$A,FALSE),MATCH(All!AC$1,Spring!$1:$1,FALSE))),"")</f>
        <v>2A</v>
      </c>
      <c r="AD26" t="str">
        <f>IFERROR(VLOOKUP(A26,'Flag Football'!A:A,1,FALSE),"")</f>
        <v/>
      </c>
      <c r="AE26" t="str">
        <f t="shared" si="0"/>
        <v/>
      </c>
    </row>
    <row r="27" spans="1:31" ht="15.75" thickBot="1" x14ac:dyDescent="0.3">
      <c r="A27" s="20" t="s">
        <v>40</v>
      </c>
      <c r="B27" s="38">
        <f>IFERROR(VLOOKUP(A27,'Public v Private'!A:G,3,FALSE),"")</f>
        <v>0</v>
      </c>
      <c r="C27" s="38">
        <f>IFERROR(VLOOKUP(A27,'Public v Private'!A:G,4,FALSE),"")</f>
        <v>0</v>
      </c>
      <c r="D27" s="38">
        <f>IFERROR(VLOOKUP(A27,'Public v Private'!A:G,5,FALSE),"")</f>
        <v>0</v>
      </c>
      <c r="E27" s="38"/>
      <c r="F27" s="40">
        <f>IFERROR(INDEX(Fall!$1:$1048576,MATCH(All!$A27,Fall!$A:$A,FALSE),MATCH(All!F$1,Fall!$1:$1,FALSE)),"N/A")</f>
        <v>3941</v>
      </c>
      <c r="G27" t="str">
        <f>IFERROR(IF(INDEX(Fall!$1:$1048576,MATCH(All!$A27,Fall!$A:$A,FALSE),MATCH(All!G$1,Fall!$1:$1,FALSE))="","",INDEX(Fall!$1:$1048576,MATCH(All!$A27,Fall!$A:$A,FALSE),MATCH(All!G$1,Fall!$1:$1,FALSE))),"")</f>
        <v>3A</v>
      </c>
      <c r="H27" t="str">
        <f>IFERROR(IF(INDEX(Fall!$1:$1048576,MATCH(All!$A27,Fall!$A:$A,FALSE),MATCH(All!H$1,Fall!$1:$1,FALSE))="","",INDEX(Fall!$1:$1048576,MATCH(All!$A27,Fall!$A:$A,FALSE),MATCH(All!H$1,Fall!$1:$1,FALSE))),"")</f>
        <v>3A</v>
      </c>
      <c r="I27" t="str">
        <f>IFERROR(IF(INDEX(Fall!$1:$1048576,MATCH(All!$A27,Fall!$A:$A,FALSE),MATCH(All!I$1,Fall!$1:$1,FALSE))="","",INDEX(Fall!$1:$1048576,MATCH(All!$A27,Fall!$A:$A,FALSE),MATCH(All!I$1,Fall!$1:$1,FALSE))),"")</f>
        <v>3A</v>
      </c>
      <c r="J27" t="str">
        <f>IFERROR(IF(INDEX(Fall!$1:$1048576,MATCH(All!$A27,Fall!$A:$A,FALSE),MATCH(All!J$1,Fall!$1:$1,FALSE))="","",INDEX(Fall!$1:$1048576,MATCH(All!$A27,Fall!$A:$A,FALSE),MATCH(All!J$1,Fall!$1:$1,FALSE))),"")</f>
        <v/>
      </c>
      <c r="K27" t="str">
        <f>IFERROR(IF(INDEX(Fall!$1:$1048576,MATCH(All!$A27,Fall!$A:$A,FALSE),MATCH(All!K$1,Fall!$1:$1,FALSE))="","",INDEX(Fall!$1:$1048576,MATCH(All!$A27,Fall!$A:$A,FALSE),MATCH(All!K$1,Fall!$1:$1,FALSE))),"")</f>
        <v>3A</v>
      </c>
      <c r="L27" t="str">
        <f>IFERROR(IF(INDEX(Fall!$1:$1048576,MATCH(All!$A27,Fall!$A:$A,FALSE),MATCH(All!L$1,Fall!$1:$1,FALSE))="","",INDEX(Fall!$1:$1048576,MATCH(All!$A27,Fall!$A:$A,FALSE),MATCH(All!L$1,Fall!$1:$1,FALSE))),"")</f>
        <v>2A</v>
      </c>
      <c r="M27" t="str">
        <f>IFERROR(IF(INDEX(Fall!$1:$1048576,MATCH(All!$A27,Fall!$A:$A,FALSE),MATCH(All!M$1,Fall!$1:$1,FALSE))="","",INDEX(Fall!$1:$1048576,MATCH(All!$A27,Fall!$A:$A,FALSE),MATCH(All!M$1,Fall!$1:$1,FALSE))),"")</f>
        <v>4A</v>
      </c>
      <c r="O27">
        <f>IFERROR(IF(INDEX(Winter!$1:$1048576,MATCH(All!$A27,Winter!$A:$A,FALSE),MATCH(All!O$1,Winter!$1:$1,FALSE))="","",INDEX(Winter!$1:$1048576,MATCH(All!$A27,Winter!$A:$A,FALSE),MATCH(All!O$1,Winter!$1:$1,FALSE))),"")</f>
        <v>3941</v>
      </c>
      <c r="P27" t="str">
        <f>IFERROR(IF(INDEX(Winter!$1:$1048576,MATCH(All!$A27,Winter!$A:$A,FALSE),MATCH(All!P$1,Winter!$1:$1,FALSE))="","",INDEX(Winter!$1:$1048576,MATCH(All!$A27,Winter!$A:$A,FALSE),MATCH(All!P$1,Winter!$1:$1,FALSE))),"")</f>
        <v>4A</v>
      </c>
      <c r="Q27" t="str">
        <f>IFERROR(IF(INDEX(Winter!$1:$1048576,MATCH(All!$A27,Winter!$A:$A,FALSE),MATCH(All!Q$1,Winter!$1:$1,FALSE))="","",INDEX(Winter!$1:$1048576,MATCH(All!$A27,Winter!$A:$A,FALSE),MATCH(All!Q$1,Winter!$1:$1,FALSE))),"")</f>
        <v>4A</v>
      </c>
      <c r="R27" t="str">
        <f>IFERROR(IF(INDEX(Winter!$1:$1048576,MATCH(All!$A27,Winter!$A:$A,FALSE),MATCH(All!R$1,Winter!$1:$1,FALSE))="","",INDEX(Winter!$1:$1048576,MATCH(All!$A27,Winter!$A:$A,FALSE),MATCH(All!R$1,Winter!$1:$1,FALSE))),"")</f>
        <v>C</v>
      </c>
      <c r="S27" t="str">
        <f>IFERROR(IF(INDEX(Winter!$1:$1048576,MATCH(All!$A27,Winter!$A:$A,FALSE),MATCH(All!S$1,Winter!$1:$1,FALSE))="","",INDEX(Winter!$1:$1048576,MATCH(All!$A27,Winter!$A:$A,FALSE),MATCH(All!S$1,Winter!$1:$1,FALSE))),"")</f>
        <v>3A</v>
      </c>
      <c r="T27" t="str">
        <f>IFERROR(IF(INDEX(Winter!$1:$1048576,MATCH(All!$A27,Winter!$A:$A,FALSE),MATCH(All!T$1,Winter!$1:$1,FALSE))="","",INDEX(Winter!$1:$1048576,MATCH(All!$A27,Winter!$A:$A,FALSE),MATCH(All!T$1,Winter!$1:$1,FALSE))),"")</f>
        <v>2A</v>
      </c>
      <c r="U27" t="str">
        <f>IFERROR(IF(INDEX(Winter!$1:$1048576,MATCH(All!$A27,Winter!$A:$A,FALSE),MATCH(All!U$1,Winter!$1:$1,FALSE))="","",INDEX(Winter!$1:$1048576,MATCH(All!$A27,Winter!$A:$A,FALSE),MATCH(All!U$1,Winter!$1:$1,FALSE))),"")</f>
        <v>3A</v>
      </c>
      <c r="W27">
        <f>IFERROR(IF(INDEX(Spring!$1:$1048576,MATCH(All!$A27,Spring!$A:$A,FALSE),MATCH(All!W$1,Spring!$1:$1,FALSE))="","",INDEX(Spring!$1:$1048576,MATCH(All!$A27,Spring!$A:$A,FALSE),MATCH(All!W$1,Spring!$1:$1,FALSE))),"")</f>
        <v>3941</v>
      </c>
      <c r="X27" t="str">
        <f>IFERROR(IF(INDEX(Spring!$1:$1048576,MATCH(All!$A27,Spring!$A:$A,FALSE),MATCH(All!X$1,Spring!$1:$1,FALSE))="","",INDEX(Spring!$1:$1048576,MATCH(All!$A27,Spring!$A:$A,FALSE),MATCH(All!X$1,Spring!$1:$1,FALSE))),"")</f>
        <v>4A</v>
      </c>
      <c r="Y27" t="str">
        <f>IFERROR(IF(INDEX(Spring!$1:$1048576,MATCH(All!$A27,Spring!$A:$A,FALSE),MATCH(All!Y$1,Spring!$1:$1,FALSE))="","",INDEX(Spring!$1:$1048576,MATCH(All!$A27,Spring!$A:$A,FALSE),MATCH(All!Y$1,Spring!$1:$1,FALSE))),"")</f>
        <v>4A</v>
      </c>
      <c r="Z27" t="str">
        <f>IFERROR(IF(INDEX(Spring!$1:$1048576,MATCH(All!$A27,Spring!$A:$A,FALSE),MATCH(All!Z$1,Spring!$1:$1,FALSE))="","",INDEX(Spring!$1:$1048576,MATCH(All!$A27,Spring!$A:$A,FALSE),MATCH(All!Z$1,Spring!$1:$1,FALSE))),"")</f>
        <v>3A</v>
      </c>
      <c r="AA27" t="str">
        <f>IFERROR(IF(INDEX(Spring!$1:$1048576,MATCH(All!$A27,Spring!$A:$A,FALSE),MATCH(All!AA$1,Spring!$1:$1,FALSE))="","",INDEX(Spring!$1:$1048576,MATCH(All!$A27,Spring!$A:$A,FALSE),MATCH(All!AA$1,Spring!$1:$1,FALSE))),"")</f>
        <v>2A</v>
      </c>
      <c r="AB27" t="str">
        <f>IFERROR(IF(INDEX(Spring!$1:$1048576,MATCH(All!$A27,Spring!$A:$A,FALSE),MATCH(All!AB$1,Spring!$1:$1,FALSE))="","",INDEX(Spring!$1:$1048576,MATCH(All!$A27,Spring!$A:$A,FALSE),MATCH(All!AB$1,Spring!$1:$1,FALSE))),"")</f>
        <v>3A</v>
      </c>
      <c r="AC27" t="str">
        <f>IFERROR(IF(INDEX(Spring!$1:$1048576,MATCH(All!$A27,Spring!$A:$A,FALSE),MATCH(All!AC$1,Spring!$1:$1,FALSE))="","",INDEX(Spring!$1:$1048576,MATCH(All!$A27,Spring!$A:$A,FALSE),MATCH(All!AC$1,Spring!$1:$1,FALSE))),"")</f>
        <v>3A</v>
      </c>
      <c r="AD27" t="str">
        <f>IFERROR(VLOOKUP(A27,'Flag Football'!A:A,1,FALSE),"")</f>
        <v>Aurora (East)</v>
      </c>
      <c r="AE27" t="str">
        <f t="shared" si="0"/>
        <v>1A</v>
      </c>
    </row>
    <row r="28" spans="1:31" ht="15.75" thickBot="1" x14ac:dyDescent="0.3">
      <c r="A28" s="18" t="s">
        <v>41</v>
      </c>
      <c r="B28" s="38" t="str">
        <f>IFERROR(VLOOKUP(A28,'Public v Private'!A:G,3,FALSE),"")</f>
        <v>no</v>
      </c>
      <c r="C28" s="38">
        <f>IFERROR(VLOOKUP(A28,'Public v Private'!A:G,4,FALSE),"")</f>
        <v>0</v>
      </c>
      <c r="D28" s="38">
        <f>IFERROR(VLOOKUP(A28,'Public v Private'!A:G,5,FALSE),"")</f>
        <v>0</v>
      </c>
      <c r="E28" s="38"/>
      <c r="F28" s="40" t="str">
        <f>IFERROR(INDEX(Fall!$1:$1048576,MATCH(All!$A28,Fall!$A:$A,FALSE),MATCH(All!F$1,Fall!$1:$1,FALSE)),"N/A")</f>
        <v>872.00 (1,438.80)</v>
      </c>
      <c r="G28" t="str">
        <f>IFERROR(IF(INDEX(Fall!$1:$1048576,MATCH(All!$A28,Fall!$A:$A,FALSE),MATCH(All!G$1,Fall!$1:$1,FALSE))="","",INDEX(Fall!$1:$1048576,MATCH(All!$A28,Fall!$A:$A,FALSE),MATCH(All!G$1,Fall!$1:$1,FALSE))),"")</f>
        <v>2A</v>
      </c>
      <c r="H28" t="str">
        <f>IFERROR(IF(INDEX(Fall!$1:$1048576,MATCH(All!$A28,Fall!$A:$A,FALSE),MATCH(All!H$1,Fall!$1:$1,FALSE))="","",INDEX(Fall!$1:$1048576,MATCH(All!$A28,Fall!$A:$A,FALSE),MATCH(All!H$1,Fall!$1:$1,FALSE))),"")</f>
        <v>2A</v>
      </c>
      <c r="I28" t="str">
        <f>IFERROR(IF(INDEX(Fall!$1:$1048576,MATCH(All!$A28,Fall!$A:$A,FALSE),MATCH(All!I$1,Fall!$1:$1,FALSE))="","",INDEX(Fall!$1:$1048576,MATCH(All!$A28,Fall!$A:$A,FALSE),MATCH(All!I$1,Fall!$1:$1,FALSE))),"")</f>
        <v>2A</v>
      </c>
      <c r="J28" t="str">
        <f>IFERROR(IF(INDEX(Fall!$1:$1048576,MATCH(All!$A28,Fall!$A:$A,FALSE),MATCH(All!J$1,Fall!$1:$1,FALSE))="","",INDEX(Fall!$1:$1048576,MATCH(All!$A28,Fall!$A:$A,FALSE),MATCH(All!J$1,Fall!$1:$1,FALSE))),"")</f>
        <v>1A</v>
      </c>
      <c r="K28" t="str">
        <f>IFERROR(IF(INDEX(Fall!$1:$1048576,MATCH(All!$A28,Fall!$A:$A,FALSE),MATCH(All!K$1,Fall!$1:$1,FALSE))="","",INDEX(Fall!$1:$1048576,MATCH(All!$A28,Fall!$A:$A,FALSE),MATCH(All!K$1,Fall!$1:$1,FALSE))),"")</f>
        <v>2A</v>
      </c>
      <c r="L28" t="str">
        <f>IFERROR(IF(INDEX(Fall!$1:$1048576,MATCH(All!$A28,Fall!$A:$A,FALSE),MATCH(All!L$1,Fall!$1:$1,FALSE))="","",INDEX(Fall!$1:$1048576,MATCH(All!$A28,Fall!$A:$A,FALSE),MATCH(All!L$1,Fall!$1:$1,FALSE))),"")</f>
        <v>1A</v>
      </c>
      <c r="M28" t="str">
        <f>IFERROR(IF(INDEX(Fall!$1:$1048576,MATCH(All!$A28,Fall!$A:$A,FALSE),MATCH(All!M$1,Fall!$1:$1,FALSE))="","",INDEX(Fall!$1:$1048576,MATCH(All!$A28,Fall!$A:$A,FALSE),MATCH(All!M$1,Fall!$1:$1,FALSE))),"")</f>
        <v>3A</v>
      </c>
      <c r="O28" t="str">
        <f>IFERROR(IF(INDEX(Winter!$1:$1048576,MATCH(All!$A28,Winter!$A:$A,FALSE),MATCH(All!O$1,Winter!$1:$1,FALSE))="","",INDEX(Winter!$1:$1048576,MATCH(All!$A28,Winter!$A:$A,FALSE),MATCH(All!O$1,Winter!$1:$1,FALSE))),"")</f>
        <v>872.00 (1,438.80)</v>
      </c>
      <c r="P28" t="str">
        <f>IFERROR(IF(INDEX(Winter!$1:$1048576,MATCH(All!$A28,Winter!$A:$A,FALSE),MATCH(All!P$1,Winter!$1:$1,FALSE))="","",INDEX(Winter!$1:$1048576,MATCH(All!$A28,Winter!$A:$A,FALSE),MATCH(All!P$1,Winter!$1:$1,FALSE))),"")</f>
        <v>3A</v>
      </c>
      <c r="Q28" t="str">
        <f>IFERROR(IF(INDEX(Winter!$1:$1048576,MATCH(All!$A28,Winter!$A:$A,FALSE),MATCH(All!Q$1,Winter!$1:$1,FALSE))="","",INDEX(Winter!$1:$1048576,MATCH(All!$A28,Winter!$A:$A,FALSE),MATCH(All!Q$1,Winter!$1:$1,FALSE))),"")</f>
        <v>3A</v>
      </c>
      <c r="R28" t="str">
        <f>IFERROR(IF(INDEX(Winter!$1:$1048576,MATCH(All!$A28,Winter!$A:$A,FALSE),MATCH(All!R$1,Winter!$1:$1,FALSE))="","",INDEX(Winter!$1:$1048576,MATCH(All!$A28,Winter!$A:$A,FALSE),MATCH(All!R$1,Winter!$1:$1,FALSE))),"")</f>
        <v/>
      </c>
      <c r="S28" t="str">
        <f>IFERROR(IF(INDEX(Winter!$1:$1048576,MATCH(All!$A28,Winter!$A:$A,FALSE),MATCH(All!S$1,Winter!$1:$1,FALSE))="","",INDEX(Winter!$1:$1048576,MATCH(All!$A28,Winter!$A:$A,FALSE),MATCH(All!S$1,Winter!$1:$1,FALSE))),"")</f>
        <v>1A</v>
      </c>
      <c r="T28" t="str">
        <f>IFERROR(IF(INDEX(Winter!$1:$1048576,MATCH(All!$A28,Winter!$A:$A,FALSE),MATCH(All!T$1,Winter!$1:$1,FALSE))="","",INDEX(Winter!$1:$1048576,MATCH(All!$A28,Winter!$A:$A,FALSE),MATCH(All!T$1,Winter!$1:$1,FALSE))),"")</f>
        <v>2A</v>
      </c>
      <c r="U28" t="str">
        <f>IFERROR(IF(INDEX(Winter!$1:$1048576,MATCH(All!$A28,Winter!$A:$A,FALSE),MATCH(All!U$1,Winter!$1:$1,FALSE))="","",INDEX(Winter!$1:$1048576,MATCH(All!$A28,Winter!$A:$A,FALSE),MATCH(All!U$1,Winter!$1:$1,FALSE))),"")</f>
        <v/>
      </c>
      <c r="W28" t="str">
        <f>IFERROR(IF(INDEX(Spring!$1:$1048576,MATCH(All!$A28,Spring!$A:$A,FALSE),MATCH(All!W$1,Spring!$1:$1,FALSE))="","",INDEX(Spring!$1:$1048576,MATCH(All!$A28,Spring!$A:$A,FALSE),MATCH(All!W$1,Spring!$1:$1,FALSE))),"")</f>
        <v>872.00 (1,438.80)</v>
      </c>
      <c r="X28" t="str">
        <f>IFERROR(IF(INDEX(Spring!$1:$1048576,MATCH(All!$A28,Spring!$A:$A,FALSE),MATCH(All!X$1,Spring!$1:$1,FALSE))="","",INDEX(Spring!$1:$1048576,MATCH(All!$A28,Spring!$A:$A,FALSE),MATCH(All!X$1,Spring!$1:$1,FALSE))),"")</f>
        <v/>
      </c>
      <c r="Y28" t="str">
        <f>IFERROR(IF(INDEX(Spring!$1:$1048576,MATCH(All!$A28,Spring!$A:$A,FALSE),MATCH(All!Y$1,Spring!$1:$1,FALSE))="","",INDEX(Spring!$1:$1048576,MATCH(All!$A28,Spring!$A:$A,FALSE),MATCH(All!Y$1,Spring!$1:$1,FALSE))),"")</f>
        <v/>
      </c>
      <c r="Z28" t="str">
        <f>IFERROR(IF(INDEX(Spring!$1:$1048576,MATCH(All!$A28,Spring!$A:$A,FALSE),MATCH(All!Z$1,Spring!$1:$1,FALSE))="","",INDEX(Spring!$1:$1048576,MATCH(All!$A28,Spring!$A:$A,FALSE),MATCH(All!Z$1,Spring!$1:$1,FALSE))),"")</f>
        <v>2A</v>
      </c>
      <c r="AA28" t="str">
        <f>IFERROR(IF(INDEX(Spring!$1:$1048576,MATCH(All!$A28,Spring!$A:$A,FALSE),MATCH(All!AA$1,Spring!$1:$1,FALSE))="","",INDEX(Spring!$1:$1048576,MATCH(All!$A28,Spring!$A:$A,FALSE),MATCH(All!AA$1,Spring!$1:$1,FALSE))),"")</f>
        <v>1A</v>
      </c>
      <c r="AB28" t="str">
        <f>IFERROR(IF(INDEX(Spring!$1:$1048576,MATCH(All!$A28,Spring!$A:$A,FALSE),MATCH(All!AB$1,Spring!$1:$1,FALSE))="","",INDEX(Spring!$1:$1048576,MATCH(All!$A28,Spring!$A:$A,FALSE),MATCH(All!AB$1,Spring!$1:$1,FALSE))),"")</f>
        <v>2A</v>
      </c>
      <c r="AC28" t="str">
        <f>IFERROR(IF(INDEX(Spring!$1:$1048576,MATCH(All!$A28,Spring!$A:$A,FALSE),MATCH(All!AC$1,Spring!$1:$1,FALSE))="","",INDEX(Spring!$1:$1048576,MATCH(All!$A28,Spring!$A:$A,FALSE),MATCH(All!AC$1,Spring!$1:$1,FALSE))),"")</f>
        <v>2A</v>
      </c>
      <c r="AD28" t="str">
        <f>IFERROR(VLOOKUP(A28,'Flag Football'!A:A,1,FALSE),"")</f>
        <v/>
      </c>
      <c r="AE28" t="str">
        <f t="shared" si="0"/>
        <v/>
      </c>
    </row>
    <row r="29" spans="1:31" ht="15.75" thickBot="1" x14ac:dyDescent="0.3">
      <c r="A29" s="20" t="s">
        <v>43</v>
      </c>
      <c r="B29" s="38" t="str">
        <f>IFERROR(VLOOKUP(A29,'Public v Private'!A:G,3,FALSE),"")</f>
        <v>private</v>
      </c>
      <c r="C29" s="38">
        <f>IFERROR(VLOOKUP(A29,'Public v Private'!A:G,4,FALSE),"")</f>
        <v>2</v>
      </c>
      <c r="D29" s="38">
        <f>IFERROR(VLOOKUP(A29,'Public v Private'!A:G,5,FALSE),"")</f>
        <v>5</v>
      </c>
      <c r="E29" s="38"/>
      <c r="F29" s="40" t="str">
        <f>IFERROR(INDEX(Fall!$1:$1048576,MATCH(All!$A29,Fall!$A:$A,FALSE),MATCH(All!F$1,Fall!$1:$1,FALSE)),"N/A")</f>
        <v>820.00 (1,353.00)</v>
      </c>
      <c r="G29" t="str">
        <f>IFERROR(IF(INDEX(Fall!$1:$1048576,MATCH(All!$A29,Fall!$A:$A,FALSE),MATCH(All!G$1,Fall!$1:$1,FALSE))="","",INDEX(Fall!$1:$1048576,MATCH(All!$A29,Fall!$A:$A,FALSE),MATCH(All!G$1,Fall!$1:$1,FALSE))),"")</f>
        <v>2A</v>
      </c>
      <c r="H29" t="str">
        <f>IFERROR(IF(INDEX(Fall!$1:$1048576,MATCH(All!$A29,Fall!$A:$A,FALSE),MATCH(All!H$1,Fall!$1:$1,FALSE))="","",INDEX(Fall!$1:$1048576,MATCH(All!$A29,Fall!$A:$A,FALSE),MATCH(All!H$1,Fall!$1:$1,FALSE))),"")</f>
        <v/>
      </c>
      <c r="I29" t="str">
        <f>IFERROR(IF(INDEX(Fall!$1:$1048576,MATCH(All!$A29,Fall!$A:$A,FALSE),MATCH(All!I$1,Fall!$1:$1,FALSE))="","",INDEX(Fall!$1:$1048576,MATCH(All!$A29,Fall!$A:$A,FALSE),MATCH(All!I$1,Fall!$1:$1,FALSE))),"")</f>
        <v>2A</v>
      </c>
      <c r="J29" t="str">
        <f>IFERROR(IF(INDEX(Fall!$1:$1048576,MATCH(All!$A29,Fall!$A:$A,FALSE),MATCH(All!J$1,Fall!$1:$1,FALSE))="","",INDEX(Fall!$1:$1048576,MATCH(All!$A29,Fall!$A:$A,FALSE),MATCH(All!J$1,Fall!$1:$1,FALSE))),"")</f>
        <v/>
      </c>
      <c r="K29" t="str">
        <f>IFERROR(IF(INDEX(Fall!$1:$1048576,MATCH(All!$A29,Fall!$A:$A,FALSE),MATCH(All!K$1,Fall!$1:$1,FALSE))="","",INDEX(Fall!$1:$1048576,MATCH(All!$A29,Fall!$A:$A,FALSE),MATCH(All!K$1,Fall!$1:$1,FALSE))),"")</f>
        <v>2A</v>
      </c>
      <c r="L29" t="str">
        <f>IFERROR(IF(INDEX(Fall!$1:$1048576,MATCH(All!$A29,Fall!$A:$A,FALSE),MATCH(All!L$1,Fall!$1:$1,FALSE))="","",INDEX(Fall!$1:$1048576,MATCH(All!$A29,Fall!$A:$A,FALSE),MATCH(All!L$1,Fall!$1:$1,FALSE))),"")</f>
        <v/>
      </c>
      <c r="M29" t="str">
        <f>IFERROR(IF(INDEX(Fall!$1:$1048576,MATCH(All!$A29,Fall!$A:$A,FALSE),MATCH(All!M$1,Fall!$1:$1,FALSE))="","",INDEX(Fall!$1:$1048576,MATCH(All!$A29,Fall!$A:$A,FALSE),MATCH(All!M$1,Fall!$1:$1,FALSE))),"")</f>
        <v/>
      </c>
      <c r="O29" t="str">
        <f>IFERROR(IF(INDEX(Winter!$1:$1048576,MATCH(All!$A29,Winter!$A:$A,FALSE),MATCH(All!O$1,Winter!$1:$1,FALSE))="","",INDEX(Winter!$1:$1048576,MATCH(All!$A29,Winter!$A:$A,FALSE),MATCH(All!O$1,Winter!$1:$1,FALSE))),"")</f>
        <v>820.00 (1,353.00)</v>
      </c>
      <c r="P29" t="str">
        <f>IFERROR(IF(INDEX(Winter!$1:$1048576,MATCH(All!$A29,Winter!$A:$A,FALSE),MATCH(All!P$1,Winter!$1:$1,FALSE))="","",INDEX(Winter!$1:$1048576,MATCH(All!$A29,Winter!$A:$A,FALSE),MATCH(All!P$1,Winter!$1:$1,FALSE))),"")</f>
        <v>3A</v>
      </c>
      <c r="Q29" t="str">
        <f>IFERROR(IF(INDEX(Winter!$1:$1048576,MATCH(All!$A29,Winter!$A:$A,FALSE),MATCH(All!Q$1,Winter!$1:$1,FALSE))="","",INDEX(Winter!$1:$1048576,MATCH(All!$A29,Winter!$A:$A,FALSE),MATCH(All!Q$1,Winter!$1:$1,FALSE))),"")</f>
        <v/>
      </c>
      <c r="R29" t="str">
        <f>IFERROR(IF(INDEX(Winter!$1:$1048576,MATCH(All!$A29,Winter!$A:$A,FALSE),MATCH(All!R$1,Winter!$1:$1,FALSE))="","",INDEX(Winter!$1:$1048576,MATCH(All!$A29,Winter!$A:$A,FALSE),MATCH(All!R$1,Winter!$1:$1,FALSE))),"")</f>
        <v/>
      </c>
      <c r="S29" t="str">
        <f>IFERROR(IF(INDEX(Winter!$1:$1048576,MATCH(All!$A29,Winter!$A:$A,FALSE),MATCH(All!S$1,Winter!$1:$1,FALSE))="","",INDEX(Winter!$1:$1048576,MATCH(All!$A29,Winter!$A:$A,FALSE),MATCH(All!S$1,Winter!$1:$1,FALSE))),"")</f>
        <v/>
      </c>
      <c r="T29" t="str">
        <f>IFERROR(IF(INDEX(Winter!$1:$1048576,MATCH(All!$A29,Winter!$A:$A,FALSE),MATCH(All!T$1,Winter!$1:$1,FALSE))="","",INDEX(Winter!$1:$1048576,MATCH(All!$A29,Winter!$A:$A,FALSE),MATCH(All!T$1,Winter!$1:$1,FALSE))),"")</f>
        <v/>
      </c>
      <c r="U29" t="str">
        <f>IFERROR(IF(INDEX(Winter!$1:$1048576,MATCH(All!$A29,Winter!$A:$A,FALSE),MATCH(All!U$1,Winter!$1:$1,FALSE))="","",INDEX(Winter!$1:$1048576,MATCH(All!$A29,Winter!$A:$A,FALSE),MATCH(All!U$1,Winter!$1:$1,FALSE))),"")</f>
        <v>3A</v>
      </c>
      <c r="W29" t="str">
        <f>IFERROR(IF(INDEX(Spring!$1:$1048576,MATCH(All!$A29,Spring!$A:$A,FALSE),MATCH(All!W$1,Spring!$1:$1,FALSE))="","",INDEX(Spring!$1:$1048576,MATCH(All!$A29,Spring!$A:$A,FALSE),MATCH(All!W$1,Spring!$1:$1,FALSE))),"")</f>
        <v>820.00 (1,353.00)</v>
      </c>
      <c r="X29" t="str">
        <f>IFERROR(IF(INDEX(Spring!$1:$1048576,MATCH(All!$A29,Spring!$A:$A,FALSE),MATCH(All!X$1,Spring!$1:$1,FALSE))="","",INDEX(Spring!$1:$1048576,MATCH(All!$A29,Spring!$A:$A,FALSE),MATCH(All!X$1,Spring!$1:$1,FALSE))),"")</f>
        <v>3A</v>
      </c>
      <c r="Y29" t="str">
        <f>IFERROR(IF(INDEX(Spring!$1:$1048576,MATCH(All!$A29,Spring!$A:$A,FALSE),MATCH(All!Y$1,Spring!$1:$1,FALSE))="","",INDEX(Spring!$1:$1048576,MATCH(All!$A29,Spring!$A:$A,FALSE),MATCH(All!Y$1,Spring!$1:$1,FALSE))),"")</f>
        <v/>
      </c>
      <c r="Z29" t="str">
        <f>IFERROR(IF(INDEX(Spring!$1:$1048576,MATCH(All!$A29,Spring!$A:$A,FALSE),MATCH(All!Z$1,Spring!$1:$1,FALSE))="","",INDEX(Spring!$1:$1048576,MATCH(All!$A29,Spring!$A:$A,FALSE),MATCH(All!Z$1,Spring!$1:$1,FALSE))),"")</f>
        <v/>
      </c>
      <c r="AA29" t="str">
        <f>IFERROR(IF(INDEX(Spring!$1:$1048576,MATCH(All!$A29,Spring!$A:$A,FALSE),MATCH(All!AA$1,Spring!$1:$1,FALSE))="","",INDEX(Spring!$1:$1048576,MATCH(All!$A29,Spring!$A:$A,FALSE),MATCH(All!AA$1,Spring!$1:$1,FALSE))),"")</f>
        <v>1A</v>
      </c>
      <c r="AB29" t="str">
        <f>IFERROR(IF(INDEX(Spring!$1:$1048576,MATCH(All!$A29,Spring!$A:$A,FALSE),MATCH(All!AB$1,Spring!$1:$1,FALSE))="","",INDEX(Spring!$1:$1048576,MATCH(All!$A29,Spring!$A:$A,FALSE),MATCH(All!AB$1,Spring!$1:$1,FALSE))),"")</f>
        <v>2A</v>
      </c>
      <c r="AC29" t="str">
        <f>IFERROR(IF(INDEX(Spring!$1:$1048576,MATCH(All!$A29,Spring!$A:$A,FALSE),MATCH(All!AC$1,Spring!$1:$1,FALSE))="","",INDEX(Spring!$1:$1048576,MATCH(All!$A29,Spring!$A:$A,FALSE),MATCH(All!AC$1,Spring!$1:$1,FALSE))),"")</f>
        <v/>
      </c>
      <c r="AD29" t="str">
        <f>IFERROR(VLOOKUP(A29,'Flag Football'!A:A,1,FALSE),"")</f>
        <v/>
      </c>
      <c r="AE29" t="str">
        <f t="shared" si="0"/>
        <v/>
      </c>
    </row>
    <row r="30" spans="1:31" ht="15.75" thickBot="1" x14ac:dyDescent="0.3">
      <c r="A30" s="18" t="s">
        <v>45</v>
      </c>
      <c r="B30" s="38">
        <f>IFERROR(VLOOKUP(A30,'Public v Private'!A:G,3,FALSE),"")</f>
        <v>0</v>
      </c>
      <c r="C30" s="38">
        <f>IFERROR(VLOOKUP(A30,'Public v Private'!A:G,4,FALSE),"")</f>
        <v>0</v>
      </c>
      <c r="D30" s="38">
        <f>IFERROR(VLOOKUP(A30,'Public v Private'!A:G,5,FALSE),"")</f>
        <v>0</v>
      </c>
      <c r="E30" s="38"/>
      <c r="F30" s="40">
        <f>IFERROR(INDEX(Fall!$1:$1048576,MATCH(All!$A30,Fall!$A:$A,FALSE),MATCH(All!F$1,Fall!$1:$1,FALSE)),"N/A")</f>
        <v>2726</v>
      </c>
      <c r="G30" t="str">
        <f>IFERROR(IF(INDEX(Fall!$1:$1048576,MATCH(All!$A30,Fall!$A:$A,FALSE),MATCH(All!G$1,Fall!$1:$1,FALSE))="","",INDEX(Fall!$1:$1048576,MATCH(All!$A30,Fall!$A:$A,FALSE),MATCH(All!G$1,Fall!$1:$1,FALSE))),"")</f>
        <v>3A</v>
      </c>
      <c r="H30" t="str">
        <f>IFERROR(IF(INDEX(Fall!$1:$1048576,MATCH(All!$A30,Fall!$A:$A,FALSE),MATCH(All!H$1,Fall!$1:$1,FALSE))="","",INDEX(Fall!$1:$1048576,MATCH(All!$A30,Fall!$A:$A,FALSE),MATCH(All!H$1,Fall!$1:$1,FALSE))),"")</f>
        <v>3A</v>
      </c>
      <c r="I30" t="str">
        <f>IFERROR(IF(INDEX(Fall!$1:$1048576,MATCH(All!$A30,Fall!$A:$A,FALSE),MATCH(All!I$1,Fall!$1:$1,FALSE))="","",INDEX(Fall!$1:$1048576,MATCH(All!$A30,Fall!$A:$A,FALSE),MATCH(All!I$1,Fall!$1:$1,FALSE))),"")</f>
        <v>3A</v>
      </c>
      <c r="J30" t="str">
        <f>IFERROR(IF(INDEX(Fall!$1:$1048576,MATCH(All!$A30,Fall!$A:$A,FALSE),MATCH(All!J$1,Fall!$1:$1,FALSE))="","",INDEX(Fall!$1:$1048576,MATCH(All!$A30,Fall!$A:$A,FALSE),MATCH(All!J$1,Fall!$1:$1,FALSE))),"")</f>
        <v>2A</v>
      </c>
      <c r="K30" t="str">
        <f>IFERROR(IF(INDEX(Fall!$1:$1048576,MATCH(All!$A30,Fall!$A:$A,FALSE),MATCH(All!K$1,Fall!$1:$1,FALSE))="","",INDEX(Fall!$1:$1048576,MATCH(All!$A30,Fall!$A:$A,FALSE),MATCH(All!K$1,Fall!$1:$1,FALSE))),"")</f>
        <v>3A</v>
      </c>
      <c r="L30" t="str">
        <f>IFERROR(IF(INDEX(Fall!$1:$1048576,MATCH(All!$A30,Fall!$A:$A,FALSE),MATCH(All!L$1,Fall!$1:$1,FALSE))="","",INDEX(Fall!$1:$1048576,MATCH(All!$A30,Fall!$A:$A,FALSE),MATCH(All!L$1,Fall!$1:$1,FALSE))),"")</f>
        <v>2A</v>
      </c>
      <c r="M30" t="str">
        <f>IFERROR(IF(INDEX(Fall!$1:$1048576,MATCH(All!$A30,Fall!$A:$A,FALSE),MATCH(All!M$1,Fall!$1:$1,FALSE))="","",INDEX(Fall!$1:$1048576,MATCH(All!$A30,Fall!$A:$A,FALSE),MATCH(All!M$1,Fall!$1:$1,FALSE))),"")</f>
        <v>4A</v>
      </c>
      <c r="O30">
        <f>IFERROR(IF(INDEX(Winter!$1:$1048576,MATCH(All!$A30,Winter!$A:$A,FALSE),MATCH(All!O$1,Winter!$1:$1,FALSE))="","",INDEX(Winter!$1:$1048576,MATCH(All!$A30,Winter!$A:$A,FALSE),MATCH(All!O$1,Winter!$1:$1,FALSE))),"")</f>
        <v>2726</v>
      </c>
      <c r="P30" t="str">
        <f>IFERROR(IF(INDEX(Winter!$1:$1048576,MATCH(All!$A30,Winter!$A:$A,FALSE),MATCH(All!P$1,Winter!$1:$1,FALSE))="","",INDEX(Winter!$1:$1048576,MATCH(All!$A30,Winter!$A:$A,FALSE),MATCH(All!P$1,Winter!$1:$1,FALSE))),"")</f>
        <v>4A</v>
      </c>
      <c r="Q30" t="str">
        <f>IFERROR(IF(INDEX(Winter!$1:$1048576,MATCH(All!$A30,Winter!$A:$A,FALSE),MATCH(All!Q$1,Winter!$1:$1,FALSE))="","",INDEX(Winter!$1:$1048576,MATCH(All!$A30,Winter!$A:$A,FALSE),MATCH(All!Q$1,Winter!$1:$1,FALSE))),"")</f>
        <v>4A</v>
      </c>
      <c r="R30" t="str">
        <f>IFERROR(IF(INDEX(Winter!$1:$1048576,MATCH(All!$A30,Winter!$A:$A,FALSE),MATCH(All!R$1,Winter!$1:$1,FALSE))="","",INDEX(Winter!$1:$1048576,MATCH(All!$A30,Winter!$A:$A,FALSE),MATCH(All!R$1,Winter!$1:$1,FALSE))),"")</f>
        <v>3A</v>
      </c>
      <c r="S30" t="str">
        <f>IFERROR(IF(INDEX(Winter!$1:$1048576,MATCH(All!$A30,Winter!$A:$A,FALSE),MATCH(All!S$1,Winter!$1:$1,FALSE))="","",INDEX(Winter!$1:$1048576,MATCH(All!$A30,Winter!$A:$A,FALSE),MATCH(All!S$1,Winter!$1:$1,FALSE))),"")</f>
        <v>3A</v>
      </c>
      <c r="T30" t="str">
        <f>IFERROR(IF(INDEX(Winter!$1:$1048576,MATCH(All!$A30,Winter!$A:$A,FALSE),MATCH(All!T$1,Winter!$1:$1,FALSE))="","",INDEX(Winter!$1:$1048576,MATCH(All!$A30,Winter!$A:$A,FALSE),MATCH(All!T$1,Winter!$1:$1,FALSE))),"")</f>
        <v>2A</v>
      </c>
      <c r="U30" t="str">
        <f>IFERROR(IF(INDEX(Winter!$1:$1048576,MATCH(All!$A30,Winter!$A:$A,FALSE),MATCH(All!U$1,Winter!$1:$1,FALSE))="","",INDEX(Winter!$1:$1048576,MATCH(All!$A30,Winter!$A:$A,FALSE),MATCH(All!U$1,Winter!$1:$1,FALSE))),"")</f>
        <v>3A</v>
      </c>
      <c r="W30">
        <f>IFERROR(IF(INDEX(Spring!$1:$1048576,MATCH(All!$A30,Spring!$A:$A,FALSE),MATCH(All!W$1,Spring!$1:$1,FALSE))="","",INDEX(Spring!$1:$1048576,MATCH(All!$A30,Spring!$A:$A,FALSE),MATCH(All!W$1,Spring!$1:$1,FALSE))),"")</f>
        <v>2726</v>
      </c>
      <c r="X30" t="str">
        <f>IFERROR(IF(INDEX(Spring!$1:$1048576,MATCH(All!$A30,Spring!$A:$A,FALSE),MATCH(All!X$1,Spring!$1:$1,FALSE))="","",INDEX(Spring!$1:$1048576,MATCH(All!$A30,Spring!$A:$A,FALSE),MATCH(All!X$1,Spring!$1:$1,FALSE))),"")</f>
        <v>4A</v>
      </c>
      <c r="Y30" t="str">
        <f>IFERROR(IF(INDEX(Spring!$1:$1048576,MATCH(All!$A30,Spring!$A:$A,FALSE),MATCH(All!Y$1,Spring!$1:$1,FALSE))="","",INDEX(Spring!$1:$1048576,MATCH(All!$A30,Spring!$A:$A,FALSE),MATCH(All!Y$1,Spring!$1:$1,FALSE))),"")</f>
        <v>4A</v>
      </c>
      <c r="Z30" t="str">
        <f>IFERROR(IF(INDEX(Spring!$1:$1048576,MATCH(All!$A30,Spring!$A:$A,FALSE),MATCH(All!Z$1,Spring!$1:$1,FALSE))="","",INDEX(Spring!$1:$1048576,MATCH(All!$A30,Spring!$A:$A,FALSE),MATCH(All!Z$1,Spring!$1:$1,FALSE))),"")</f>
        <v>3A</v>
      </c>
      <c r="AA30" t="str">
        <f>IFERROR(IF(INDEX(Spring!$1:$1048576,MATCH(All!$A30,Spring!$A:$A,FALSE),MATCH(All!AA$1,Spring!$1:$1,FALSE))="","",INDEX(Spring!$1:$1048576,MATCH(All!$A30,Spring!$A:$A,FALSE),MATCH(All!AA$1,Spring!$1:$1,FALSE))),"")</f>
        <v>2A</v>
      </c>
      <c r="AB30" t="str">
        <f>IFERROR(IF(INDEX(Spring!$1:$1048576,MATCH(All!$A30,Spring!$A:$A,FALSE),MATCH(All!AB$1,Spring!$1:$1,FALSE))="","",INDEX(Spring!$1:$1048576,MATCH(All!$A30,Spring!$A:$A,FALSE),MATCH(All!AB$1,Spring!$1:$1,FALSE))),"")</f>
        <v>3A</v>
      </c>
      <c r="AC30" t="str">
        <f>IFERROR(IF(INDEX(Spring!$1:$1048576,MATCH(All!$A30,Spring!$A:$A,FALSE),MATCH(All!AC$1,Spring!$1:$1,FALSE))="","",INDEX(Spring!$1:$1048576,MATCH(All!$A30,Spring!$A:$A,FALSE),MATCH(All!AC$1,Spring!$1:$1,FALSE))),"")</f>
        <v>3A</v>
      </c>
      <c r="AD30" t="str">
        <f>IFERROR(VLOOKUP(A30,'Flag Football'!A:A,1,FALSE),"")</f>
        <v/>
      </c>
      <c r="AE30" t="str">
        <f t="shared" si="0"/>
        <v/>
      </c>
    </row>
    <row r="31" spans="1:31" ht="15.75" thickBot="1" x14ac:dyDescent="0.3">
      <c r="A31" s="20" t="s">
        <v>46</v>
      </c>
      <c r="B31" s="38" t="str">
        <f>IFERROR(VLOOKUP(A31,'Public v Private'!A:G,3,FALSE),"")</f>
        <v>private</v>
      </c>
      <c r="C31" s="38">
        <f>IFERROR(VLOOKUP(A31,'Public v Private'!A:G,4,FALSE),"")</f>
        <v>2</v>
      </c>
      <c r="D31" s="38">
        <f>IFERROR(VLOOKUP(A31,'Public v Private'!A:G,5,FALSE),"")</f>
        <v>5</v>
      </c>
      <c r="E31" s="38"/>
      <c r="F31" s="40" t="str">
        <f>IFERROR(INDEX(Fall!$1:$1048576,MATCH(All!$A31,Fall!$A:$A,FALSE),MATCH(All!F$1,Fall!$1:$1,FALSE)),"N/A")</f>
        <v>420.00 (693.00)</v>
      </c>
      <c r="G31" t="str">
        <f>IFERROR(IF(INDEX(Fall!$1:$1048576,MATCH(All!$A31,Fall!$A:$A,FALSE),MATCH(All!G$1,Fall!$1:$1,FALSE))="","",INDEX(Fall!$1:$1048576,MATCH(All!$A31,Fall!$A:$A,FALSE),MATCH(All!G$1,Fall!$1:$1,FALSE))),"")</f>
        <v/>
      </c>
      <c r="H31" t="str">
        <f>IFERROR(IF(INDEX(Fall!$1:$1048576,MATCH(All!$A31,Fall!$A:$A,FALSE),MATCH(All!H$1,Fall!$1:$1,FALSE))="","",INDEX(Fall!$1:$1048576,MATCH(All!$A31,Fall!$A:$A,FALSE),MATCH(All!H$1,Fall!$1:$1,FALSE))),"")</f>
        <v>2A</v>
      </c>
      <c r="I31" t="str">
        <f>IFERROR(IF(INDEX(Fall!$1:$1048576,MATCH(All!$A31,Fall!$A:$A,FALSE),MATCH(All!I$1,Fall!$1:$1,FALSE))="","",INDEX(Fall!$1:$1048576,MATCH(All!$A31,Fall!$A:$A,FALSE),MATCH(All!I$1,Fall!$1:$1,FALSE))),"")</f>
        <v/>
      </c>
      <c r="J31" t="str">
        <f>IFERROR(IF(INDEX(Fall!$1:$1048576,MATCH(All!$A31,Fall!$A:$A,FALSE),MATCH(All!J$1,Fall!$1:$1,FALSE))="","",INDEX(Fall!$1:$1048576,MATCH(All!$A31,Fall!$A:$A,FALSE),MATCH(All!J$1,Fall!$1:$1,FALSE))),"")</f>
        <v>1A</v>
      </c>
      <c r="K31" t="str">
        <f>IFERROR(IF(INDEX(Fall!$1:$1048576,MATCH(All!$A31,Fall!$A:$A,FALSE),MATCH(All!K$1,Fall!$1:$1,FALSE))="","",INDEX(Fall!$1:$1048576,MATCH(All!$A31,Fall!$A:$A,FALSE),MATCH(All!K$1,Fall!$1:$1,FALSE))),"")</f>
        <v/>
      </c>
      <c r="L31" t="str">
        <f>IFERROR(IF(INDEX(Fall!$1:$1048576,MATCH(All!$A31,Fall!$A:$A,FALSE),MATCH(All!L$1,Fall!$1:$1,FALSE))="","",INDEX(Fall!$1:$1048576,MATCH(All!$A31,Fall!$A:$A,FALSE),MATCH(All!L$1,Fall!$1:$1,FALSE))),"")</f>
        <v>1A</v>
      </c>
      <c r="M31" t="str">
        <f>IFERROR(IF(INDEX(Fall!$1:$1048576,MATCH(All!$A31,Fall!$A:$A,FALSE),MATCH(All!M$1,Fall!$1:$1,FALSE))="","",INDEX(Fall!$1:$1048576,MATCH(All!$A31,Fall!$A:$A,FALSE),MATCH(All!M$1,Fall!$1:$1,FALSE))),"")</f>
        <v>2A</v>
      </c>
      <c r="O31" t="str">
        <f>IFERROR(IF(INDEX(Winter!$1:$1048576,MATCH(All!$A31,Winter!$A:$A,FALSE),MATCH(All!O$1,Winter!$1:$1,FALSE))="","",INDEX(Winter!$1:$1048576,MATCH(All!$A31,Winter!$A:$A,FALSE),MATCH(All!O$1,Winter!$1:$1,FALSE))),"")</f>
        <v>420.00 (693.00)</v>
      </c>
      <c r="P31" t="str">
        <f>IFERROR(IF(INDEX(Winter!$1:$1048576,MATCH(All!$A31,Winter!$A:$A,FALSE),MATCH(All!P$1,Winter!$1:$1,FALSE))="","",INDEX(Winter!$1:$1048576,MATCH(All!$A31,Winter!$A:$A,FALSE),MATCH(All!P$1,Winter!$1:$1,FALSE))),"")</f>
        <v/>
      </c>
      <c r="Q31" t="str">
        <f>IFERROR(IF(INDEX(Winter!$1:$1048576,MATCH(All!$A31,Winter!$A:$A,FALSE),MATCH(All!Q$1,Winter!$1:$1,FALSE))="","",INDEX(Winter!$1:$1048576,MATCH(All!$A31,Winter!$A:$A,FALSE),MATCH(All!Q$1,Winter!$1:$1,FALSE))),"")</f>
        <v>2A</v>
      </c>
      <c r="R31" t="str">
        <f>IFERROR(IF(INDEX(Winter!$1:$1048576,MATCH(All!$A31,Winter!$A:$A,FALSE),MATCH(All!R$1,Winter!$1:$1,FALSE))="","",INDEX(Winter!$1:$1048576,MATCH(All!$A31,Winter!$A:$A,FALSE),MATCH(All!R$1,Winter!$1:$1,FALSE))),"")</f>
        <v/>
      </c>
      <c r="S31" t="str">
        <f>IFERROR(IF(INDEX(Winter!$1:$1048576,MATCH(All!$A31,Winter!$A:$A,FALSE),MATCH(All!S$1,Winter!$1:$1,FALSE))="","",INDEX(Winter!$1:$1048576,MATCH(All!$A31,Winter!$A:$A,FALSE),MATCH(All!S$1,Winter!$1:$1,FALSE))),"")</f>
        <v/>
      </c>
      <c r="T31" t="str">
        <f>IFERROR(IF(INDEX(Winter!$1:$1048576,MATCH(All!$A31,Winter!$A:$A,FALSE),MATCH(All!T$1,Winter!$1:$1,FALSE))="","",INDEX(Winter!$1:$1048576,MATCH(All!$A31,Winter!$A:$A,FALSE),MATCH(All!T$1,Winter!$1:$1,FALSE))),"")</f>
        <v/>
      </c>
      <c r="U31" t="str">
        <f>IFERROR(IF(INDEX(Winter!$1:$1048576,MATCH(All!$A31,Winter!$A:$A,FALSE),MATCH(All!U$1,Winter!$1:$1,FALSE))="","",INDEX(Winter!$1:$1048576,MATCH(All!$A31,Winter!$A:$A,FALSE),MATCH(All!U$1,Winter!$1:$1,FALSE))),"")</f>
        <v/>
      </c>
      <c r="W31" t="str">
        <f>IFERROR(IF(INDEX(Spring!$1:$1048576,MATCH(All!$A31,Spring!$A:$A,FALSE),MATCH(All!W$1,Spring!$1:$1,FALSE))="","",INDEX(Spring!$1:$1048576,MATCH(All!$A31,Spring!$A:$A,FALSE),MATCH(All!W$1,Spring!$1:$1,FALSE))),"")</f>
        <v>420.00 (693.00)</v>
      </c>
      <c r="X31" t="str">
        <f>IFERROR(IF(INDEX(Spring!$1:$1048576,MATCH(All!$A31,Spring!$A:$A,FALSE),MATCH(All!X$1,Spring!$1:$1,FALSE))="","",INDEX(Spring!$1:$1048576,MATCH(All!$A31,Spring!$A:$A,FALSE),MATCH(All!X$1,Spring!$1:$1,FALSE))),"")</f>
        <v/>
      </c>
      <c r="Y31" t="str">
        <f>IFERROR(IF(INDEX(Spring!$1:$1048576,MATCH(All!$A31,Spring!$A:$A,FALSE),MATCH(All!Y$1,Spring!$1:$1,FALSE))="","",INDEX(Spring!$1:$1048576,MATCH(All!$A31,Spring!$A:$A,FALSE),MATCH(All!Y$1,Spring!$1:$1,FALSE))),"")</f>
        <v/>
      </c>
      <c r="Z31" t="str">
        <f>IFERROR(IF(INDEX(Spring!$1:$1048576,MATCH(All!$A31,Spring!$A:$A,FALSE),MATCH(All!Z$1,Spring!$1:$1,FALSE))="","",INDEX(Spring!$1:$1048576,MATCH(All!$A31,Spring!$A:$A,FALSE),MATCH(All!Z$1,Spring!$1:$1,FALSE))),"")</f>
        <v>1A</v>
      </c>
      <c r="AA31" t="str">
        <f>IFERROR(IF(INDEX(Spring!$1:$1048576,MATCH(All!$A31,Spring!$A:$A,FALSE),MATCH(All!AA$1,Spring!$1:$1,FALSE))="","",INDEX(Spring!$1:$1048576,MATCH(All!$A31,Spring!$A:$A,FALSE),MATCH(All!AA$1,Spring!$1:$1,FALSE))),"")</f>
        <v/>
      </c>
      <c r="AB31" t="str">
        <f>IFERROR(IF(INDEX(Spring!$1:$1048576,MATCH(All!$A31,Spring!$A:$A,FALSE),MATCH(All!AB$1,Spring!$1:$1,FALSE))="","",INDEX(Spring!$1:$1048576,MATCH(All!$A31,Spring!$A:$A,FALSE),MATCH(All!AB$1,Spring!$1:$1,FALSE))),"")</f>
        <v/>
      </c>
      <c r="AC31" t="str">
        <f>IFERROR(IF(INDEX(Spring!$1:$1048576,MATCH(All!$A31,Spring!$A:$A,FALSE),MATCH(All!AC$1,Spring!$1:$1,FALSE))="","",INDEX(Spring!$1:$1048576,MATCH(All!$A31,Spring!$A:$A,FALSE),MATCH(All!AC$1,Spring!$1:$1,FALSE))),"")</f>
        <v>2A</v>
      </c>
      <c r="AD31" t="str">
        <f>IFERROR(VLOOKUP(A31,'Flag Football'!A:A,1,FALSE),"")</f>
        <v>Aurora (Rosary)</v>
      </c>
      <c r="AE31" t="str">
        <f t="shared" si="0"/>
        <v>1A</v>
      </c>
    </row>
    <row r="32" spans="1:31" ht="15.75" thickBot="1" x14ac:dyDescent="0.3">
      <c r="A32" s="18" t="s">
        <v>48</v>
      </c>
      <c r="B32" s="38">
        <f>IFERROR(VLOOKUP(A32,'Public v Private'!A:G,3,FALSE),"")</f>
        <v>0</v>
      </c>
      <c r="C32" s="38">
        <f>IFERROR(VLOOKUP(A32,'Public v Private'!A:G,4,FALSE),"")</f>
        <v>0</v>
      </c>
      <c r="D32" s="38">
        <f>IFERROR(VLOOKUP(A32,'Public v Private'!A:G,5,FALSE),"")</f>
        <v>0</v>
      </c>
      <c r="E32" s="38"/>
      <c r="F32" s="40">
        <f>IFERROR(INDEX(Fall!$1:$1048576,MATCH(All!$A32,Fall!$A:$A,FALSE),MATCH(All!F$1,Fall!$1:$1,FALSE)),"N/A")</f>
        <v>2717</v>
      </c>
      <c r="G32" t="str">
        <f>IFERROR(IF(INDEX(Fall!$1:$1048576,MATCH(All!$A32,Fall!$A:$A,FALSE),MATCH(All!G$1,Fall!$1:$1,FALSE))="","",INDEX(Fall!$1:$1048576,MATCH(All!$A32,Fall!$A:$A,FALSE),MATCH(All!G$1,Fall!$1:$1,FALSE))),"")</f>
        <v>3A</v>
      </c>
      <c r="H32" t="str">
        <f>IFERROR(IF(INDEX(Fall!$1:$1048576,MATCH(All!$A32,Fall!$A:$A,FALSE),MATCH(All!H$1,Fall!$1:$1,FALSE))="","",INDEX(Fall!$1:$1048576,MATCH(All!$A32,Fall!$A:$A,FALSE),MATCH(All!H$1,Fall!$1:$1,FALSE))),"")</f>
        <v>3A</v>
      </c>
      <c r="I32" t="str">
        <f>IFERROR(IF(INDEX(Fall!$1:$1048576,MATCH(All!$A32,Fall!$A:$A,FALSE),MATCH(All!I$1,Fall!$1:$1,FALSE))="","",INDEX(Fall!$1:$1048576,MATCH(All!$A32,Fall!$A:$A,FALSE),MATCH(All!I$1,Fall!$1:$1,FALSE))),"")</f>
        <v>3A</v>
      </c>
      <c r="J32" t="str">
        <f>IFERROR(IF(INDEX(Fall!$1:$1048576,MATCH(All!$A32,Fall!$A:$A,FALSE),MATCH(All!J$1,Fall!$1:$1,FALSE))="","",INDEX(Fall!$1:$1048576,MATCH(All!$A32,Fall!$A:$A,FALSE),MATCH(All!J$1,Fall!$1:$1,FALSE))),"")</f>
        <v>2A</v>
      </c>
      <c r="K32" t="str">
        <f>IFERROR(IF(INDEX(Fall!$1:$1048576,MATCH(All!$A32,Fall!$A:$A,FALSE),MATCH(All!K$1,Fall!$1:$1,FALSE))="","",INDEX(Fall!$1:$1048576,MATCH(All!$A32,Fall!$A:$A,FALSE),MATCH(All!K$1,Fall!$1:$1,FALSE))),"")</f>
        <v>3A</v>
      </c>
      <c r="L32" t="str">
        <f>IFERROR(IF(INDEX(Fall!$1:$1048576,MATCH(All!$A32,Fall!$A:$A,FALSE),MATCH(All!L$1,Fall!$1:$1,FALSE))="","",INDEX(Fall!$1:$1048576,MATCH(All!$A32,Fall!$A:$A,FALSE),MATCH(All!L$1,Fall!$1:$1,FALSE))),"")</f>
        <v>2A</v>
      </c>
      <c r="M32" t="str">
        <f>IFERROR(IF(INDEX(Fall!$1:$1048576,MATCH(All!$A32,Fall!$A:$A,FALSE),MATCH(All!M$1,Fall!$1:$1,FALSE))="","",INDEX(Fall!$1:$1048576,MATCH(All!$A32,Fall!$A:$A,FALSE),MATCH(All!M$1,Fall!$1:$1,FALSE))),"")</f>
        <v>4A</v>
      </c>
      <c r="O32">
        <f>IFERROR(IF(INDEX(Winter!$1:$1048576,MATCH(All!$A32,Winter!$A:$A,FALSE),MATCH(All!O$1,Winter!$1:$1,FALSE))="","",INDEX(Winter!$1:$1048576,MATCH(All!$A32,Winter!$A:$A,FALSE),MATCH(All!O$1,Winter!$1:$1,FALSE))),"")</f>
        <v>2717</v>
      </c>
      <c r="P32" t="str">
        <f>IFERROR(IF(INDEX(Winter!$1:$1048576,MATCH(All!$A32,Winter!$A:$A,FALSE),MATCH(All!P$1,Winter!$1:$1,FALSE))="","",INDEX(Winter!$1:$1048576,MATCH(All!$A32,Winter!$A:$A,FALSE),MATCH(All!P$1,Winter!$1:$1,FALSE))),"")</f>
        <v>4A</v>
      </c>
      <c r="Q32" t="str">
        <f>IFERROR(IF(INDEX(Winter!$1:$1048576,MATCH(All!$A32,Winter!$A:$A,FALSE),MATCH(All!Q$1,Winter!$1:$1,FALSE))="","",INDEX(Winter!$1:$1048576,MATCH(All!$A32,Winter!$A:$A,FALSE),MATCH(All!Q$1,Winter!$1:$1,FALSE))),"")</f>
        <v>4A</v>
      </c>
      <c r="R32" t="str">
        <f>IFERROR(IF(INDEX(Winter!$1:$1048576,MATCH(All!$A32,Winter!$A:$A,FALSE),MATCH(All!R$1,Winter!$1:$1,FALSE))="","",INDEX(Winter!$1:$1048576,MATCH(All!$A32,Winter!$A:$A,FALSE),MATCH(All!R$1,Winter!$1:$1,FALSE))),"")</f>
        <v>3A</v>
      </c>
      <c r="S32" t="str">
        <f>IFERROR(IF(INDEX(Winter!$1:$1048576,MATCH(All!$A32,Winter!$A:$A,FALSE),MATCH(All!S$1,Winter!$1:$1,FALSE))="","",INDEX(Winter!$1:$1048576,MATCH(All!$A32,Winter!$A:$A,FALSE),MATCH(All!S$1,Winter!$1:$1,FALSE))),"")</f>
        <v>3A</v>
      </c>
      <c r="T32" t="str">
        <f>IFERROR(IF(INDEX(Winter!$1:$1048576,MATCH(All!$A32,Winter!$A:$A,FALSE),MATCH(All!T$1,Winter!$1:$1,FALSE))="","",INDEX(Winter!$1:$1048576,MATCH(All!$A32,Winter!$A:$A,FALSE),MATCH(All!T$1,Winter!$1:$1,FALSE))),"")</f>
        <v>2A</v>
      </c>
      <c r="U32" t="str">
        <f>IFERROR(IF(INDEX(Winter!$1:$1048576,MATCH(All!$A32,Winter!$A:$A,FALSE),MATCH(All!U$1,Winter!$1:$1,FALSE))="","",INDEX(Winter!$1:$1048576,MATCH(All!$A32,Winter!$A:$A,FALSE),MATCH(All!U$1,Winter!$1:$1,FALSE))),"")</f>
        <v>3A</v>
      </c>
      <c r="W32">
        <f>IFERROR(IF(INDEX(Spring!$1:$1048576,MATCH(All!$A32,Spring!$A:$A,FALSE),MATCH(All!W$1,Spring!$1:$1,FALSE))="","",INDEX(Spring!$1:$1048576,MATCH(All!$A32,Spring!$A:$A,FALSE),MATCH(All!W$1,Spring!$1:$1,FALSE))),"")</f>
        <v>2717</v>
      </c>
      <c r="X32" t="str">
        <f>IFERROR(IF(INDEX(Spring!$1:$1048576,MATCH(All!$A32,Spring!$A:$A,FALSE),MATCH(All!X$1,Spring!$1:$1,FALSE))="","",INDEX(Spring!$1:$1048576,MATCH(All!$A32,Spring!$A:$A,FALSE),MATCH(All!X$1,Spring!$1:$1,FALSE))),"")</f>
        <v>4A</v>
      </c>
      <c r="Y32" t="str">
        <f>IFERROR(IF(INDEX(Spring!$1:$1048576,MATCH(All!$A32,Spring!$A:$A,FALSE),MATCH(All!Y$1,Spring!$1:$1,FALSE))="","",INDEX(Spring!$1:$1048576,MATCH(All!$A32,Spring!$A:$A,FALSE),MATCH(All!Y$1,Spring!$1:$1,FALSE))),"")</f>
        <v>4A</v>
      </c>
      <c r="Z32" t="str">
        <f>IFERROR(IF(INDEX(Spring!$1:$1048576,MATCH(All!$A32,Spring!$A:$A,FALSE),MATCH(All!Z$1,Spring!$1:$1,FALSE))="","",INDEX(Spring!$1:$1048576,MATCH(All!$A32,Spring!$A:$A,FALSE),MATCH(All!Z$1,Spring!$1:$1,FALSE))),"")</f>
        <v>3A</v>
      </c>
      <c r="AA32" t="str">
        <f>IFERROR(IF(INDEX(Spring!$1:$1048576,MATCH(All!$A32,Spring!$A:$A,FALSE),MATCH(All!AA$1,Spring!$1:$1,FALSE))="","",INDEX(Spring!$1:$1048576,MATCH(All!$A32,Spring!$A:$A,FALSE),MATCH(All!AA$1,Spring!$1:$1,FALSE))),"")</f>
        <v>2A</v>
      </c>
      <c r="AB32" t="str">
        <f>IFERROR(IF(INDEX(Spring!$1:$1048576,MATCH(All!$A32,Spring!$A:$A,FALSE),MATCH(All!AB$1,Spring!$1:$1,FALSE))="","",INDEX(Spring!$1:$1048576,MATCH(All!$A32,Spring!$A:$A,FALSE),MATCH(All!AB$1,Spring!$1:$1,FALSE))),"")</f>
        <v>3A</v>
      </c>
      <c r="AC32" t="str">
        <f>IFERROR(IF(INDEX(Spring!$1:$1048576,MATCH(All!$A32,Spring!$A:$A,FALSE),MATCH(All!AC$1,Spring!$1:$1,FALSE))="","",INDEX(Spring!$1:$1048576,MATCH(All!$A32,Spring!$A:$A,FALSE),MATCH(All!AC$1,Spring!$1:$1,FALSE))),"")</f>
        <v>3A</v>
      </c>
      <c r="AD32" t="str">
        <f>IFERROR(VLOOKUP(A32,'Flag Football'!A:A,1,FALSE),"")</f>
        <v/>
      </c>
      <c r="AE32" t="str">
        <f t="shared" si="0"/>
        <v/>
      </c>
    </row>
    <row r="33" spans="1:31" ht="15.75" thickBot="1" x14ac:dyDescent="0.3">
      <c r="A33" s="20" t="s">
        <v>49</v>
      </c>
      <c r="B33" s="38">
        <f>IFERROR(VLOOKUP(A33,'Public v Private'!A:G,3,FALSE),"")</f>
        <v>0</v>
      </c>
      <c r="C33" s="38">
        <f>IFERROR(VLOOKUP(A33,'Public v Private'!A:G,4,FALSE),"")</f>
        <v>0</v>
      </c>
      <c r="D33" s="38">
        <f>IFERROR(VLOOKUP(A33,'Public v Private'!A:G,5,FALSE),"")</f>
        <v>0</v>
      </c>
      <c r="E33" s="38"/>
      <c r="F33" s="40">
        <f>IFERROR(INDEX(Fall!$1:$1048576,MATCH(All!$A33,Fall!$A:$A,FALSE),MATCH(All!F$1,Fall!$1:$1,FALSE)),"N/A")</f>
        <v>3559</v>
      </c>
      <c r="G33" t="str">
        <f>IFERROR(IF(INDEX(Fall!$1:$1048576,MATCH(All!$A33,Fall!$A:$A,FALSE),MATCH(All!G$1,Fall!$1:$1,FALSE))="","",INDEX(Fall!$1:$1048576,MATCH(All!$A33,Fall!$A:$A,FALSE),MATCH(All!G$1,Fall!$1:$1,FALSE))),"")</f>
        <v>3A</v>
      </c>
      <c r="H33" t="str">
        <f>IFERROR(IF(INDEX(Fall!$1:$1048576,MATCH(All!$A33,Fall!$A:$A,FALSE),MATCH(All!H$1,Fall!$1:$1,FALSE))="","",INDEX(Fall!$1:$1048576,MATCH(All!$A33,Fall!$A:$A,FALSE),MATCH(All!H$1,Fall!$1:$1,FALSE))),"")</f>
        <v>3A</v>
      </c>
      <c r="I33" t="str">
        <f>IFERROR(IF(INDEX(Fall!$1:$1048576,MATCH(All!$A33,Fall!$A:$A,FALSE),MATCH(All!I$1,Fall!$1:$1,FALSE))="","",INDEX(Fall!$1:$1048576,MATCH(All!$A33,Fall!$A:$A,FALSE),MATCH(All!I$1,Fall!$1:$1,FALSE))),"")</f>
        <v>3A</v>
      </c>
      <c r="J33" t="str">
        <f>IFERROR(IF(INDEX(Fall!$1:$1048576,MATCH(All!$A33,Fall!$A:$A,FALSE),MATCH(All!J$1,Fall!$1:$1,FALSE))="","",INDEX(Fall!$1:$1048576,MATCH(All!$A33,Fall!$A:$A,FALSE),MATCH(All!J$1,Fall!$1:$1,FALSE))),"")</f>
        <v>2A</v>
      </c>
      <c r="K33" t="str">
        <f>IFERROR(IF(INDEX(Fall!$1:$1048576,MATCH(All!$A33,Fall!$A:$A,FALSE),MATCH(All!K$1,Fall!$1:$1,FALSE))="","",INDEX(Fall!$1:$1048576,MATCH(All!$A33,Fall!$A:$A,FALSE),MATCH(All!K$1,Fall!$1:$1,FALSE))),"")</f>
        <v>3A</v>
      </c>
      <c r="L33" t="str">
        <f>IFERROR(IF(INDEX(Fall!$1:$1048576,MATCH(All!$A33,Fall!$A:$A,FALSE),MATCH(All!L$1,Fall!$1:$1,FALSE))="","",INDEX(Fall!$1:$1048576,MATCH(All!$A33,Fall!$A:$A,FALSE),MATCH(All!L$1,Fall!$1:$1,FALSE))),"")</f>
        <v>2A</v>
      </c>
      <c r="M33" t="str">
        <f>IFERROR(IF(INDEX(Fall!$1:$1048576,MATCH(All!$A33,Fall!$A:$A,FALSE),MATCH(All!M$1,Fall!$1:$1,FALSE))="","",INDEX(Fall!$1:$1048576,MATCH(All!$A33,Fall!$A:$A,FALSE),MATCH(All!M$1,Fall!$1:$1,FALSE))),"")</f>
        <v>4A</v>
      </c>
      <c r="O33">
        <f>IFERROR(IF(INDEX(Winter!$1:$1048576,MATCH(All!$A33,Winter!$A:$A,FALSE),MATCH(All!O$1,Winter!$1:$1,FALSE))="","",INDEX(Winter!$1:$1048576,MATCH(All!$A33,Winter!$A:$A,FALSE),MATCH(All!O$1,Winter!$1:$1,FALSE))),"")</f>
        <v>3559</v>
      </c>
      <c r="P33" t="str">
        <f>IFERROR(IF(INDEX(Winter!$1:$1048576,MATCH(All!$A33,Winter!$A:$A,FALSE),MATCH(All!P$1,Winter!$1:$1,FALSE))="","",INDEX(Winter!$1:$1048576,MATCH(All!$A33,Winter!$A:$A,FALSE),MATCH(All!P$1,Winter!$1:$1,FALSE))),"")</f>
        <v>4A</v>
      </c>
      <c r="Q33" t="str">
        <f>IFERROR(IF(INDEX(Winter!$1:$1048576,MATCH(All!$A33,Winter!$A:$A,FALSE),MATCH(All!Q$1,Winter!$1:$1,FALSE))="","",INDEX(Winter!$1:$1048576,MATCH(All!$A33,Winter!$A:$A,FALSE),MATCH(All!Q$1,Winter!$1:$1,FALSE))),"")</f>
        <v>4A</v>
      </c>
      <c r="R33" t="str">
        <f>IFERROR(IF(INDEX(Winter!$1:$1048576,MATCH(All!$A33,Winter!$A:$A,FALSE),MATCH(All!R$1,Winter!$1:$1,FALSE))="","",INDEX(Winter!$1:$1048576,MATCH(All!$A33,Winter!$A:$A,FALSE),MATCH(All!R$1,Winter!$1:$1,FALSE))),"")</f>
        <v>3A</v>
      </c>
      <c r="S33" t="str">
        <f>IFERROR(IF(INDEX(Winter!$1:$1048576,MATCH(All!$A33,Winter!$A:$A,FALSE),MATCH(All!S$1,Winter!$1:$1,FALSE))="","",INDEX(Winter!$1:$1048576,MATCH(All!$A33,Winter!$A:$A,FALSE),MATCH(All!S$1,Winter!$1:$1,FALSE))),"")</f>
        <v>3A</v>
      </c>
      <c r="T33" t="str">
        <f>IFERROR(IF(INDEX(Winter!$1:$1048576,MATCH(All!$A33,Winter!$A:$A,FALSE),MATCH(All!T$1,Winter!$1:$1,FALSE))="","",INDEX(Winter!$1:$1048576,MATCH(All!$A33,Winter!$A:$A,FALSE),MATCH(All!T$1,Winter!$1:$1,FALSE))),"")</f>
        <v>2A</v>
      </c>
      <c r="U33" t="str">
        <f>IFERROR(IF(INDEX(Winter!$1:$1048576,MATCH(All!$A33,Winter!$A:$A,FALSE),MATCH(All!U$1,Winter!$1:$1,FALSE))="","",INDEX(Winter!$1:$1048576,MATCH(All!$A33,Winter!$A:$A,FALSE),MATCH(All!U$1,Winter!$1:$1,FALSE))),"")</f>
        <v>3A</v>
      </c>
      <c r="W33">
        <f>IFERROR(IF(INDEX(Spring!$1:$1048576,MATCH(All!$A33,Spring!$A:$A,FALSE),MATCH(All!W$1,Spring!$1:$1,FALSE))="","",INDEX(Spring!$1:$1048576,MATCH(All!$A33,Spring!$A:$A,FALSE),MATCH(All!W$1,Spring!$1:$1,FALSE))),"")</f>
        <v>3559</v>
      </c>
      <c r="X33" t="str">
        <f>IFERROR(IF(INDEX(Spring!$1:$1048576,MATCH(All!$A33,Spring!$A:$A,FALSE),MATCH(All!X$1,Spring!$1:$1,FALSE))="","",INDEX(Spring!$1:$1048576,MATCH(All!$A33,Spring!$A:$A,FALSE),MATCH(All!X$1,Spring!$1:$1,FALSE))),"")</f>
        <v>4A</v>
      </c>
      <c r="Y33" t="str">
        <f>IFERROR(IF(INDEX(Spring!$1:$1048576,MATCH(All!$A33,Spring!$A:$A,FALSE),MATCH(All!Y$1,Spring!$1:$1,FALSE))="","",INDEX(Spring!$1:$1048576,MATCH(All!$A33,Spring!$A:$A,FALSE),MATCH(All!Y$1,Spring!$1:$1,FALSE))),"")</f>
        <v>4A</v>
      </c>
      <c r="Z33" t="str">
        <f>IFERROR(IF(INDEX(Spring!$1:$1048576,MATCH(All!$A33,Spring!$A:$A,FALSE),MATCH(All!Z$1,Spring!$1:$1,FALSE))="","",INDEX(Spring!$1:$1048576,MATCH(All!$A33,Spring!$A:$A,FALSE),MATCH(All!Z$1,Spring!$1:$1,FALSE))),"")</f>
        <v>3A</v>
      </c>
      <c r="AA33" t="str">
        <f>IFERROR(IF(INDEX(Spring!$1:$1048576,MATCH(All!$A33,Spring!$A:$A,FALSE),MATCH(All!AA$1,Spring!$1:$1,FALSE))="","",INDEX(Spring!$1:$1048576,MATCH(All!$A33,Spring!$A:$A,FALSE),MATCH(All!AA$1,Spring!$1:$1,FALSE))),"")</f>
        <v>2A</v>
      </c>
      <c r="AB33" t="str">
        <f>IFERROR(IF(INDEX(Spring!$1:$1048576,MATCH(All!$A33,Spring!$A:$A,FALSE),MATCH(All!AB$1,Spring!$1:$1,FALSE))="","",INDEX(Spring!$1:$1048576,MATCH(All!$A33,Spring!$A:$A,FALSE),MATCH(All!AB$1,Spring!$1:$1,FALSE))),"")</f>
        <v>3A</v>
      </c>
      <c r="AC33" t="str">
        <f>IFERROR(IF(INDEX(Spring!$1:$1048576,MATCH(All!$A33,Spring!$A:$A,FALSE),MATCH(All!AC$1,Spring!$1:$1,FALSE))="","",INDEX(Spring!$1:$1048576,MATCH(All!$A33,Spring!$A:$A,FALSE),MATCH(All!AC$1,Spring!$1:$1,FALSE))),"")</f>
        <v>3A</v>
      </c>
      <c r="AD33" t="str">
        <f>IFERROR(VLOOKUP(A33,'Flag Football'!A:A,1,FALSE),"")</f>
        <v>Aurora (West Aurora)</v>
      </c>
      <c r="AE33" t="str">
        <f t="shared" si="0"/>
        <v>1A</v>
      </c>
    </row>
    <row r="34" spans="1:31" ht="15.75" thickBot="1" x14ac:dyDescent="0.3">
      <c r="A34" s="18" t="s">
        <v>50</v>
      </c>
      <c r="B34" s="38">
        <f>IFERROR(VLOOKUP(A34,'Public v Private'!A:G,3,FALSE),"")</f>
        <v>0</v>
      </c>
      <c r="C34" s="38">
        <f>IFERROR(VLOOKUP(A34,'Public v Private'!A:G,4,FALSE),"")</f>
        <v>0</v>
      </c>
      <c r="D34" s="38">
        <f>IFERROR(VLOOKUP(A34,'Public v Private'!A:G,5,FALSE),"")</f>
        <v>0</v>
      </c>
      <c r="E34" s="38"/>
      <c r="F34" s="40">
        <f>IFERROR(INDEX(Fall!$1:$1048576,MATCH(All!$A34,Fall!$A:$A,FALSE),MATCH(All!F$1,Fall!$1:$1,FALSE)),"N/A")</f>
        <v>2692</v>
      </c>
      <c r="G34" t="str">
        <f>IFERROR(IF(INDEX(Fall!$1:$1048576,MATCH(All!$A34,Fall!$A:$A,FALSE),MATCH(All!G$1,Fall!$1:$1,FALSE))="","",INDEX(Fall!$1:$1048576,MATCH(All!$A34,Fall!$A:$A,FALSE),MATCH(All!G$1,Fall!$1:$1,FALSE))),"")</f>
        <v>3A</v>
      </c>
      <c r="H34" t="str">
        <f>IFERROR(IF(INDEX(Fall!$1:$1048576,MATCH(All!$A34,Fall!$A:$A,FALSE),MATCH(All!H$1,Fall!$1:$1,FALSE))="","",INDEX(Fall!$1:$1048576,MATCH(All!$A34,Fall!$A:$A,FALSE),MATCH(All!H$1,Fall!$1:$1,FALSE))),"")</f>
        <v>3A</v>
      </c>
      <c r="I34" t="str">
        <f>IFERROR(IF(INDEX(Fall!$1:$1048576,MATCH(All!$A34,Fall!$A:$A,FALSE),MATCH(All!I$1,Fall!$1:$1,FALSE))="","",INDEX(Fall!$1:$1048576,MATCH(All!$A34,Fall!$A:$A,FALSE),MATCH(All!I$1,Fall!$1:$1,FALSE))),"")</f>
        <v>3A</v>
      </c>
      <c r="J34" t="str">
        <f>IFERROR(IF(INDEX(Fall!$1:$1048576,MATCH(All!$A34,Fall!$A:$A,FALSE),MATCH(All!J$1,Fall!$1:$1,FALSE))="","",INDEX(Fall!$1:$1048576,MATCH(All!$A34,Fall!$A:$A,FALSE),MATCH(All!J$1,Fall!$1:$1,FALSE))),"")</f>
        <v>2A</v>
      </c>
      <c r="K34" t="str">
        <f>IFERROR(IF(INDEX(Fall!$1:$1048576,MATCH(All!$A34,Fall!$A:$A,FALSE),MATCH(All!K$1,Fall!$1:$1,FALSE))="","",INDEX(Fall!$1:$1048576,MATCH(All!$A34,Fall!$A:$A,FALSE),MATCH(All!K$1,Fall!$1:$1,FALSE))),"")</f>
        <v>3A</v>
      </c>
      <c r="L34" t="str">
        <f>IFERROR(IF(INDEX(Fall!$1:$1048576,MATCH(All!$A34,Fall!$A:$A,FALSE),MATCH(All!L$1,Fall!$1:$1,FALSE))="","",INDEX(Fall!$1:$1048576,MATCH(All!$A34,Fall!$A:$A,FALSE),MATCH(All!L$1,Fall!$1:$1,FALSE))),"")</f>
        <v>2A</v>
      </c>
      <c r="M34" t="str">
        <f>IFERROR(IF(INDEX(Fall!$1:$1048576,MATCH(All!$A34,Fall!$A:$A,FALSE),MATCH(All!M$1,Fall!$1:$1,FALSE))="","",INDEX(Fall!$1:$1048576,MATCH(All!$A34,Fall!$A:$A,FALSE),MATCH(All!M$1,Fall!$1:$1,FALSE))),"")</f>
        <v>4A</v>
      </c>
      <c r="O34">
        <f>IFERROR(IF(INDEX(Winter!$1:$1048576,MATCH(All!$A34,Winter!$A:$A,FALSE),MATCH(All!O$1,Winter!$1:$1,FALSE))="","",INDEX(Winter!$1:$1048576,MATCH(All!$A34,Winter!$A:$A,FALSE),MATCH(All!O$1,Winter!$1:$1,FALSE))),"")</f>
        <v>2692</v>
      </c>
      <c r="P34" t="str">
        <f>IFERROR(IF(INDEX(Winter!$1:$1048576,MATCH(All!$A34,Winter!$A:$A,FALSE),MATCH(All!P$1,Winter!$1:$1,FALSE))="","",INDEX(Winter!$1:$1048576,MATCH(All!$A34,Winter!$A:$A,FALSE),MATCH(All!P$1,Winter!$1:$1,FALSE))),"")</f>
        <v>4A</v>
      </c>
      <c r="Q34" t="str">
        <f>IFERROR(IF(INDEX(Winter!$1:$1048576,MATCH(All!$A34,Winter!$A:$A,FALSE),MATCH(All!Q$1,Winter!$1:$1,FALSE))="","",INDEX(Winter!$1:$1048576,MATCH(All!$A34,Winter!$A:$A,FALSE),MATCH(All!Q$1,Winter!$1:$1,FALSE))),"")</f>
        <v>4A</v>
      </c>
      <c r="R34" t="str">
        <f>IFERROR(IF(INDEX(Winter!$1:$1048576,MATCH(All!$A34,Winter!$A:$A,FALSE),MATCH(All!R$1,Winter!$1:$1,FALSE))="","",INDEX(Winter!$1:$1048576,MATCH(All!$A34,Winter!$A:$A,FALSE),MATCH(All!R$1,Winter!$1:$1,FALSE))),"")</f>
        <v>3A</v>
      </c>
      <c r="S34" t="str">
        <f>IFERROR(IF(INDEX(Winter!$1:$1048576,MATCH(All!$A34,Winter!$A:$A,FALSE),MATCH(All!S$1,Winter!$1:$1,FALSE))="","",INDEX(Winter!$1:$1048576,MATCH(All!$A34,Winter!$A:$A,FALSE),MATCH(All!S$1,Winter!$1:$1,FALSE))),"")</f>
        <v>3A</v>
      </c>
      <c r="T34" t="str">
        <f>IFERROR(IF(INDEX(Winter!$1:$1048576,MATCH(All!$A34,Winter!$A:$A,FALSE),MATCH(All!T$1,Winter!$1:$1,FALSE))="","",INDEX(Winter!$1:$1048576,MATCH(All!$A34,Winter!$A:$A,FALSE),MATCH(All!T$1,Winter!$1:$1,FALSE))),"")</f>
        <v>2A</v>
      </c>
      <c r="U34" t="str">
        <f>IFERROR(IF(INDEX(Winter!$1:$1048576,MATCH(All!$A34,Winter!$A:$A,FALSE),MATCH(All!U$1,Winter!$1:$1,FALSE))="","",INDEX(Winter!$1:$1048576,MATCH(All!$A34,Winter!$A:$A,FALSE),MATCH(All!U$1,Winter!$1:$1,FALSE))),"")</f>
        <v>3A</v>
      </c>
      <c r="W34">
        <f>IFERROR(IF(INDEX(Spring!$1:$1048576,MATCH(All!$A34,Spring!$A:$A,FALSE),MATCH(All!W$1,Spring!$1:$1,FALSE))="","",INDEX(Spring!$1:$1048576,MATCH(All!$A34,Spring!$A:$A,FALSE),MATCH(All!W$1,Spring!$1:$1,FALSE))),"")</f>
        <v>2692</v>
      </c>
      <c r="X34" t="str">
        <f>IFERROR(IF(INDEX(Spring!$1:$1048576,MATCH(All!$A34,Spring!$A:$A,FALSE),MATCH(All!X$1,Spring!$1:$1,FALSE))="","",INDEX(Spring!$1:$1048576,MATCH(All!$A34,Spring!$A:$A,FALSE),MATCH(All!X$1,Spring!$1:$1,FALSE))),"")</f>
        <v>4A</v>
      </c>
      <c r="Y34" t="str">
        <f>IFERROR(IF(INDEX(Spring!$1:$1048576,MATCH(All!$A34,Spring!$A:$A,FALSE),MATCH(All!Y$1,Spring!$1:$1,FALSE))="","",INDEX(Spring!$1:$1048576,MATCH(All!$A34,Spring!$A:$A,FALSE),MATCH(All!Y$1,Spring!$1:$1,FALSE))),"")</f>
        <v>4A</v>
      </c>
      <c r="Z34" t="str">
        <f>IFERROR(IF(INDEX(Spring!$1:$1048576,MATCH(All!$A34,Spring!$A:$A,FALSE),MATCH(All!Z$1,Spring!$1:$1,FALSE))="","",INDEX(Spring!$1:$1048576,MATCH(All!$A34,Spring!$A:$A,FALSE),MATCH(All!Z$1,Spring!$1:$1,FALSE))),"")</f>
        <v>3A</v>
      </c>
      <c r="AA34" t="str">
        <f>IFERROR(IF(INDEX(Spring!$1:$1048576,MATCH(All!$A34,Spring!$A:$A,FALSE),MATCH(All!AA$1,Spring!$1:$1,FALSE))="","",INDEX(Spring!$1:$1048576,MATCH(All!$A34,Spring!$A:$A,FALSE),MATCH(All!AA$1,Spring!$1:$1,FALSE))),"")</f>
        <v>2A</v>
      </c>
      <c r="AB34" t="str">
        <f>IFERROR(IF(INDEX(Spring!$1:$1048576,MATCH(All!$A34,Spring!$A:$A,FALSE),MATCH(All!AB$1,Spring!$1:$1,FALSE))="","",INDEX(Spring!$1:$1048576,MATCH(All!$A34,Spring!$A:$A,FALSE),MATCH(All!AB$1,Spring!$1:$1,FALSE))),"")</f>
        <v>3A</v>
      </c>
      <c r="AC34" t="str">
        <f>IFERROR(IF(INDEX(Spring!$1:$1048576,MATCH(All!$A34,Spring!$A:$A,FALSE),MATCH(All!AC$1,Spring!$1:$1,FALSE))="","",INDEX(Spring!$1:$1048576,MATCH(All!$A34,Spring!$A:$A,FALSE),MATCH(All!AC$1,Spring!$1:$1,FALSE))),"")</f>
        <v>3A</v>
      </c>
      <c r="AD34" t="str">
        <f>IFERROR(VLOOKUP(A34,'Flag Football'!A:A,1,FALSE),"")</f>
        <v>Barrington</v>
      </c>
      <c r="AE34" t="str">
        <f t="shared" si="0"/>
        <v>1A</v>
      </c>
    </row>
    <row r="35" spans="1:31" ht="15.75" thickBot="1" x14ac:dyDescent="0.3">
      <c r="A35" s="20" t="s">
        <v>51</v>
      </c>
      <c r="B35" s="38">
        <f>IFERROR(VLOOKUP(A35,'Public v Private'!A:G,3,FALSE),"")</f>
        <v>0</v>
      </c>
      <c r="C35" s="38">
        <f>IFERROR(VLOOKUP(A35,'Public v Private'!A:G,4,FALSE),"")</f>
        <v>0</v>
      </c>
      <c r="D35" s="38">
        <f>IFERROR(VLOOKUP(A35,'Public v Private'!A:G,5,FALSE),"")</f>
        <v>0</v>
      </c>
      <c r="E35" s="38"/>
      <c r="F35" s="40">
        <f>IFERROR(INDEX(Fall!$1:$1048576,MATCH(All!$A35,Fall!$A:$A,FALSE),MATCH(All!F$1,Fall!$1:$1,FALSE)),"N/A")</f>
        <v>140</v>
      </c>
      <c r="G35" t="str">
        <f>IFERROR(IF(INDEX(Fall!$1:$1048576,MATCH(All!$A35,Fall!$A:$A,FALSE),MATCH(All!G$1,Fall!$1:$1,FALSE))="","",INDEX(Fall!$1:$1048576,MATCH(All!$A35,Fall!$A:$A,FALSE),MATCH(All!G$1,Fall!$1:$1,FALSE))),"")</f>
        <v/>
      </c>
      <c r="H35" t="str">
        <f>IFERROR(IF(INDEX(Fall!$1:$1048576,MATCH(All!$A35,Fall!$A:$A,FALSE),MATCH(All!H$1,Fall!$1:$1,FALSE))="","",INDEX(Fall!$1:$1048576,MATCH(All!$A35,Fall!$A:$A,FALSE),MATCH(All!H$1,Fall!$1:$1,FALSE))),"")</f>
        <v/>
      </c>
      <c r="I35" t="str">
        <f>IFERROR(IF(INDEX(Fall!$1:$1048576,MATCH(All!$A35,Fall!$A:$A,FALSE),MATCH(All!I$1,Fall!$1:$1,FALSE))="","",INDEX(Fall!$1:$1048576,MATCH(All!$A35,Fall!$A:$A,FALSE),MATCH(All!I$1,Fall!$1:$1,FALSE))),"")</f>
        <v>1A</v>
      </c>
      <c r="J35" t="str">
        <f>IFERROR(IF(INDEX(Fall!$1:$1048576,MATCH(All!$A35,Fall!$A:$A,FALSE),MATCH(All!J$1,Fall!$1:$1,FALSE))="","",INDEX(Fall!$1:$1048576,MATCH(All!$A35,Fall!$A:$A,FALSE),MATCH(All!J$1,Fall!$1:$1,FALSE))),"")</f>
        <v/>
      </c>
      <c r="K35" t="str">
        <f>IFERROR(IF(INDEX(Fall!$1:$1048576,MATCH(All!$A35,Fall!$A:$A,FALSE),MATCH(All!K$1,Fall!$1:$1,FALSE))="","",INDEX(Fall!$1:$1048576,MATCH(All!$A35,Fall!$A:$A,FALSE),MATCH(All!K$1,Fall!$1:$1,FALSE))),"")</f>
        <v/>
      </c>
      <c r="L35" t="str">
        <f>IFERROR(IF(INDEX(Fall!$1:$1048576,MATCH(All!$A35,Fall!$A:$A,FALSE),MATCH(All!L$1,Fall!$1:$1,FALSE))="","",INDEX(Fall!$1:$1048576,MATCH(All!$A35,Fall!$A:$A,FALSE),MATCH(All!L$1,Fall!$1:$1,FALSE))),"")</f>
        <v/>
      </c>
      <c r="M35" t="str">
        <f>IFERROR(IF(INDEX(Fall!$1:$1048576,MATCH(All!$A35,Fall!$A:$A,FALSE),MATCH(All!M$1,Fall!$1:$1,FALSE))="","",INDEX(Fall!$1:$1048576,MATCH(All!$A35,Fall!$A:$A,FALSE),MATCH(All!M$1,Fall!$1:$1,FALSE))),"")</f>
        <v>1A</v>
      </c>
      <c r="O35">
        <f>IFERROR(IF(INDEX(Winter!$1:$1048576,MATCH(All!$A35,Winter!$A:$A,FALSE),MATCH(All!O$1,Winter!$1:$1,FALSE))="","",INDEX(Winter!$1:$1048576,MATCH(All!$A35,Winter!$A:$A,FALSE),MATCH(All!O$1,Winter!$1:$1,FALSE))),"")</f>
        <v>140</v>
      </c>
      <c r="P35" t="str">
        <f>IFERROR(IF(INDEX(Winter!$1:$1048576,MATCH(All!$A35,Winter!$A:$A,FALSE),MATCH(All!P$1,Winter!$1:$1,FALSE))="","",INDEX(Winter!$1:$1048576,MATCH(All!$A35,Winter!$A:$A,FALSE),MATCH(All!P$1,Winter!$1:$1,FALSE))),"")</f>
        <v>1A</v>
      </c>
      <c r="Q35" t="str">
        <f>IFERROR(IF(INDEX(Winter!$1:$1048576,MATCH(All!$A35,Winter!$A:$A,FALSE),MATCH(All!Q$1,Winter!$1:$1,FALSE))="","",INDEX(Winter!$1:$1048576,MATCH(All!$A35,Winter!$A:$A,FALSE),MATCH(All!Q$1,Winter!$1:$1,FALSE))),"")</f>
        <v>1A</v>
      </c>
      <c r="R35" t="str">
        <f>IFERROR(IF(INDEX(Winter!$1:$1048576,MATCH(All!$A35,Winter!$A:$A,FALSE),MATCH(All!R$1,Winter!$1:$1,FALSE))="","",INDEX(Winter!$1:$1048576,MATCH(All!$A35,Winter!$A:$A,FALSE),MATCH(All!R$1,Winter!$1:$1,FALSE))),"")</f>
        <v/>
      </c>
      <c r="S35" t="str">
        <f>IFERROR(IF(INDEX(Winter!$1:$1048576,MATCH(All!$A35,Winter!$A:$A,FALSE),MATCH(All!S$1,Winter!$1:$1,FALSE))="","",INDEX(Winter!$1:$1048576,MATCH(All!$A35,Winter!$A:$A,FALSE),MATCH(All!S$1,Winter!$1:$1,FALSE))),"")</f>
        <v/>
      </c>
      <c r="T35" t="str">
        <f>IFERROR(IF(INDEX(Winter!$1:$1048576,MATCH(All!$A35,Winter!$A:$A,FALSE),MATCH(All!T$1,Winter!$1:$1,FALSE))="","",INDEX(Winter!$1:$1048576,MATCH(All!$A35,Winter!$A:$A,FALSE),MATCH(All!T$1,Winter!$1:$1,FALSE))),"")</f>
        <v>1A</v>
      </c>
      <c r="U35" t="str">
        <f>IFERROR(IF(INDEX(Winter!$1:$1048576,MATCH(All!$A35,Winter!$A:$A,FALSE),MATCH(All!U$1,Winter!$1:$1,FALSE))="","",INDEX(Winter!$1:$1048576,MATCH(All!$A35,Winter!$A:$A,FALSE),MATCH(All!U$1,Winter!$1:$1,FALSE))),"")</f>
        <v/>
      </c>
      <c r="W35">
        <f>IFERROR(IF(INDEX(Spring!$1:$1048576,MATCH(All!$A35,Spring!$A:$A,FALSE),MATCH(All!W$1,Spring!$1:$1,FALSE))="","",INDEX(Spring!$1:$1048576,MATCH(All!$A35,Spring!$A:$A,FALSE),MATCH(All!W$1,Spring!$1:$1,FALSE))),"")</f>
        <v>140</v>
      </c>
      <c r="X35" t="str">
        <f>IFERROR(IF(INDEX(Spring!$1:$1048576,MATCH(All!$A35,Spring!$A:$A,FALSE),MATCH(All!X$1,Spring!$1:$1,FALSE))="","",INDEX(Spring!$1:$1048576,MATCH(All!$A35,Spring!$A:$A,FALSE),MATCH(All!X$1,Spring!$1:$1,FALSE))),"")</f>
        <v>1A</v>
      </c>
      <c r="Y35" t="str">
        <f>IFERROR(IF(INDEX(Spring!$1:$1048576,MATCH(All!$A35,Spring!$A:$A,FALSE),MATCH(All!Y$1,Spring!$1:$1,FALSE))="","",INDEX(Spring!$1:$1048576,MATCH(All!$A35,Spring!$A:$A,FALSE),MATCH(All!Y$1,Spring!$1:$1,FALSE))),"")</f>
        <v>1A</v>
      </c>
      <c r="Z35" t="str">
        <f>IFERROR(IF(INDEX(Spring!$1:$1048576,MATCH(All!$A35,Spring!$A:$A,FALSE),MATCH(All!Z$1,Spring!$1:$1,FALSE))="","",INDEX(Spring!$1:$1048576,MATCH(All!$A35,Spring!$A:$A,FALSE),MATCH(All!Z$1,Spring!$1:$1,FALSE))),"")</f>
        <v/>
      </c>
      <c r="AA35" t="str">
        <f>IFERROR(IF(INDEX(Spring!$1:$1048576,MATCH(All!$A35,Spring!$A:$A,FALSE),MATCH(All!AA$1,Spring!$1:$1,FALSE))="","",INDEX(Spring!$1:$1048576,MATCH(All!$A35,Spring!$A:$A,FALSE),MATCH(All!AA$1,Spring!$1:$1,FALSE))),"")</f>
        <v/>
      </c>
      <c r="AB35" t="str">
        <f>IFERROR(IF(INDEX(Spring!$1:$1048576,MATCH(All!$A35,Spring!$A:$A,FALSE),MATCH(All!AB$1,Spring!$1:$1,FALSE))="","",INDEX(Spring!$1:$1048576,MATCH(All!$A35,Spring!$A:$A,FALSE),MATCH(All!AB$1,Spring!$1:$1,FALSE))),"")</f>
        <v>1A</v>
      </c>
      <c r="AC35" t="str">
        <f>IFERROR(IF(INDEX(Spring!$1:$1048576,MATCH(All!$A35,Spring!$A:$A,FALSE),MATCH(All!AC$1,Spring!$1:$1,FALSE))="","",INDEX(Spring!$1:$1048576,MATCH(All!$A35,Spring!$A:$A,FALSE),MATCH(All!AC$1,Spring!$1:$1,FALSE))),"")</f>
        <v>1A</v>
      </c>
      <c r="AD35" t="str">
        <f>IFERROR(VLOOKUP(A35,'Flag Football'!A:A,1,FALSE),"")</f>
        <v/>
      </c>
      <c r="AE35" t="str">
        <f t="shared" si="0"/>
        <v/>
      </c>
    </row>
    <row r="36" spans="1:31" ht="15.75" thickBot="1" x14ac:dyDescent="0.3">
      <c r="A36" s="18" t="s">
        <v>52</v>
      </c>
      <c r="B36" s="38">
        <f>IFERROR(VLOOKUP(A36,'Public v Private'!A:G,3,FALSE),"")</f>
        <v>0</v>
      </c>
      <c r="C36" s="38">
        <f>IFERROR(VLOOKUP(A36,'Public v Private'!A:G,4,FALSE),"")</f>
        <v>0</v>
      </c>
      <c r="D36" s="38">
        <f>IFERROR(VLOOKUP(A36,'Public v Private'!A:G,5,FALSE),"")</f>
        <v>0</v>
      </c>
      <c r="E36" s="38"/>
      <c r="F36" s="40">
        <f>IFERROR(INDEX(Fall!$1:$1048576,MATCH(All!$A36,Fall!$A:$A,FALSE),MATCH(All!F$1,Fall!$1:$1,FALSE)),"N/A")</f>
        <v>2223</v>
      </c>
      <c r="G36" t="str">
        <f>IFERROR(IF(INDEX(Fall!$1:$1048576,MATCH(All!$A36,Fall!$A:$A,FALSE),MATCH(All!G$1,Fall!$1:$1,FALSE))="","",INDEX(Fall!$1:$1048576,MATCH(All!$A36,Fall!$A:$A,FALSE),MATCH(All!G$1,Fall!$1:$1,FALSE))),"")</f>
        <v>3A</v>
      </c>
      <c r="H36" t="str">
        <f>IFERROR(IF(INDEX(Fall!$1:$1048576,MATCH(All!$A36,Fall!$A:$A,FALSE),MATCH(All!H$1,Fall!$1:$1,FALSE))="","",INDEX(Fall!$1:$1048576,MATCH(All!$A36,Fall!$A:$A,FALSE),MATCH(All!H$1,Fall!$1:$1,FALSE))),"")</f>
        <v>3A</v>
      </c>
      <c r="I36" t="str">
        <f>IFERROR(IF(INDEX(Fall!$1:$1048576,MATCH(All!$A36,Fall!$A:$A,FALSE),MATCH(All!I$1,Fall!$1:$1,FALSE))="","",INDEX(Fall!$1:$1048576,MATCH(All!$A36,Fall!$A:$A,FALSE),MATCH(All!I$1,Fall!$1:$1,FALSE))),"")</f>
        <v>3A</v>
      </c>
      <c r="J36" t="str">
        <f>IFERROR(IF(INDEX(Fall!$1:$1048576,MATCH(All!$A36,Fall!$A:$A,FALSE),MATCH(All!J$1,Fall!$1:$1,FALSE))="","",INDEX(Fall!$1:$1048576,MATCH(All!$A36,Fall!$A:$A,FALSE),MATCH(All!J$1,Fall!$1:$1,FALSE))),"")</f>
        <v/>
      </c>
      <c r="K36" t="str">
        <f>IFERROR(IF(INDEX(Fall!$1:$1048576,MATCH(All!$A36,Fall!$A:$A,FALSE),MATCH(All!K$1,Fall!$1:$1,FALSE))="","",INDEX(Fall!$1:$1048576,MATCH(All!$A36,Fall!$A:$A,FALSE),MATCH(All!K$1,Fall!$1:$1,FALSE))),"")</f>
        <v>3A</v>
      </c>
      <c r="L36" t="str">
        <f>IFERROR(IF(INDEX(Fall!$1:$1048576,MATCH(All!$A36,Fall!$A:$A,FALSE),MATCH(All!L$1,Fall!$1:$1,FALSE))="","",INDEX(Fall!$1:$1048576,MATCH(All!$A36,Fall!$A:$A,FALSE),MATCH(All!L$1,Fall!$1:$1,FALSE))),"")</f>
        <v>2A</v>
      </c>
      <c r="M36" t="str">
        <f>IFERROR(IF(INDEX(Fall!$1:$1048576,MATCH(All!$A36,Fall!$A:$A,FALSE),MATCH(All!M$1,Fall!$1:$1,FALSE))="","",INDEX(Fall!$1:$1048576,MATCH(All!$A36,Fall!$A:$A,FALSE),MATCH(All!M$1,Fall!$1:$1,FALSE))),"")</f>
        <v>4A</v>
      </c>
      <c r="O36">
        <f>IFERROR(IF(INDEX(Winter!$1:$1048576,MATCH(All!$A36,Winter!$A:$A,FALSE),MATCH(All!O$1,Winter!$1:$1,FALSE))="","",INDEX(Winter!$1:$1048576,MATCH(All!$A36,Winter!$A:$A,FALSE),MATCH(All!O$1,Winter!$1:$1,FALSE))),"")</f>
        <v>2223</v>
      </c>
      <c r="P36" t="str">
        <f>IFERROR(IF(INDEX(Winter!$1:$1048576,MATCH(All!$A36,Winter!$A:$A,FALSE),MATCH(All!P$1,Winter!$1:$1,FALSE))="","",INDEX(Winter!$1:$1048576,MATCH(All!$A36,Winter!$A:$A,FALSE),MATCH(All!P$1,Winter!$1:$1,FALSE))),"")</f>
        <v>4A</v>
      </c>
      <c r="Q36" t="str">
        <f>IFERROR(IF(INDEX(Winter!$1:$1048576,MATCH(All!$A36,Winter!$A:$A,FALSE),MATCH(All!Q$1,Winter!$1:$1,FALSE))="","",INDEX(Winter!$1:$1048576,MATCH(All!$A36,Winter!$A:$A,FALSE),MATCH(All!Q$1,Winter!$1:$1,FALSE))),"")</f>
        <v>4A</v>
      </c>
      <c r="R36" t="str">
        <f>IFERROR(IF(INDEX(Winter!$1:$1048576,MATCH(All!$A36,Winter!$A:$A,FALSE),MATCH(All!R$1,Winter!$1:$1,FALSE))="","",INDEX(Winter!$1:$1048576,MATCH(All!$A36,Winter!$A:$A,FALSE),MATCH(All!R$1,Winter!$1:$1,FALSE))),"")</f>
        <v>3A</v>
      </c>
      <c r="S36" t="str">
        <f>IFERROR(IF(INDEX(Winter!$1:$1048576,MATCH(All!$A36,Winter!$A:$A,FALSE),MATCH(All!S$1,Winter!$1:$1,FALSE))="","",INDEX(Winter!$1:$1048576,MATCH(All!$A36,Winter!$A:$A,FALSE),MATCH(All!S$1,Winter!$1:$1,FALSE))),"")</f>
        <v>3A</v>
      </c>
      <c r="T36" t="str">
        <f>IFERROR(IF(INDEX(Winter!$1:$1048576,MATCH(All!$A36,Winter!$A:$A,FALSE),MATCH(All!T$1,Winter!$1:$1,FALSE))="","",INDEX(Winter!$1:$1048576,MATCH(All!$A36,Winter!$A:$A,FALSE),MATCH(All!T$1,Winter!$1:$1,FALSE))),"")</f>
        <v>2A</v>
      </c>
      <c r="U36" t="str">
        <f>IFERROR(IF(INDEX(Winter!$1:$1048576,MATCH(All!$A36,Winter!$A:$A,FALSE),MATCH(All!U$1,Winter!$1:$1,FALSE))="","",INDEX(Winter!$1:$1048576,MATCH(All!$A36,Winter!$A:$A,FALSE),MATCH(All!U$1,Winter!$1:$1,FALSE))),"")</f>
        <v>3A</v>
      </c>
      <c r="W36">
        <f>IFERROR(IF(INDEX(Spring!$1:$1048576,MATCH(All!$A36,Spring!$A:$A,FALSE),MATCH(All!W$1,Spring!$1:$1,FALSE))="","",INDEX(Spring!$1:$1048576,MATCH(All!$A36,Spring!$A:$A,FALSE),MATCH(All!W$1,Spring!$1:$1,FALSE))),"")</f>
        <v>2223</v>
      </c>
      <c r="X36" t="str">
        <f>IFERROR(IF(INDEX(Spring!$1:$1048576,MATCH(All!$A36,Spring!$A:$A,FALSE),MATCH(All!X$1,Spring!$1:$1,FALSE))="","",INDEX(Spring!$1:$1048576,MATCH(All!$A36,Spring!$A:$A,FALSE),MATCH(All!X$1,Spring!$1:$1,FALSE))),"")</f>
        <v>4A</v>
      </c>
      <c r="Y36" t="str">
        <f>IFERROR(IF(INDEX(Spring!$1:$1048576,MATCH(All!$A36,Spring!$A:$A,FALSE),MATCH(All!Y$1,Spring!$1:$1,FALSE))="","",INDEX(Spring!$1:$1048576,MATCH(All!$A36,Spring!$A:$A,FALSE),MATCH(All!Y$1,Spring!$1:$1,FALSE))),"")</f>
        <v>4A</v>
      </c>
      <c r="Z36" t="str">
        <f>IFERROR(IF(INDEX(Spring!$1:$1048576,MATCH(All!$A36,Spring!$A:$A,FALSE),MATCH(All!Z$1,Spring!$1:$1,FALSE))="","",INDEX(Spring!$1:$1048576,MATCH(All!$A36,Spring!$A:$A,FALSE),MATCH(All!Z$1,Spring!$1:$1,FALSE))),"")</f>
        <v>3A</v>
      </c>
      <c r="AA36" t="str">
        <f>IFERROR(IF(INDEX(Spring!$1:$1048576,MATCH(All!$A36,Spring!$A:$A,FALSE),MATCH(All!AA$1,Spring!$1:$1,FALSE))="","",INDEX(Spring!$1:$1048576,MATCH(All!$A36,Spring!$A:$A,FALSE),MATCH(All!AA$1,Spring!$1:$1,FALSE))),"")</f>
        <v>2A</v>
      </c>
      <c r="AB36" t="str">
        <f>IFERROR(IF(INDEX(Spring!$1:$1048576,MATCH(All!$A36,Spring!$A:$A,FALSE),MATCH(All!AB$1,Spring!$1:$1,FALSE))="","",INDEX(Spring!$1:$1048576,MATCH(All!$A36,Spring!$A:$A,FALSE),MATCH(All!AB$1,Spring!$1:$1,FALSE))),"")</f>
        <v>3A</v>
      </c>
      <c r="AC36" t="str">
        <f>IFERROR(IF(INDEX(Spring!$1:$1048576,MATCH(All!$A36,Spring!$A:$A,FALSE),MATCH(All!AC$1,Spring!$1:$1,FALSE))="","",INDEX(Spring!$1:$1048576,MATCH(All!$A36,Spring!$A:$A,FALSE),MATCH(All!AC$1,Spring!$1:$1,FALSE))),"")</f>
        <v>3A</v>
      </c>
      <c r="AD36" t="str">
        <f>IFERROR(VLOOKUP(A36,'Flag Football'!A:A,1,FALSE),"")</f>
        <v>Bartlett</v>
      </c>
      <c r="AE36" t="str">
        <f t="shared" si="0"/>
        <v>1A</v>
      </c>
    </row>
    <row r="37" spans="1:31" ht="15.75" thickBot="1" x14ac:dyDescent="0.3">
      <c r="A37" s="20" t="s">
        <v>53</v>
      </c>
      <c r="B37" s="38">
        <f>IFERROR(VLOOKUP(A37,'Public v Private'!A:G,3,FALSE),"")</f>
        <v>0</v>
      </c>
      <c r="C37" s="38">
        <f>IFERROR(VLOOKUP(A37,'Public v Private'!A:G,4,FALSE),"")</f>
        <v>0</v>
      </c>
      <c r="D37" s="38">
        <f>IFERROR(VLOOKUP(A37,'Public v Private'!A:G,5,FALSE),"")</f>
        <v>0</v>
      </c>
      <c r="E37" s="38"/>
      <c r="F37" s="40">
        <f>IFERROR(INDEX(Fall!$1:$1048576,MATCH(All!$A37,Fall!$A:$A,FALSE),MATCH(All!F$1,Fall!$1:$1,FALSE)),"N/A")</f>
        <v>856</v>
      </c>
      <c r="G37" t="str">
        <f>IFERROR(IF(INDEX(Fall!$1:$1048576,MATCH(All!$A37,Fall!$A:$A,FALSE),MATCH(All!G$1,Fall!$1:$1,FALSE))="","",INDEX(Fall!$1:$1048576,MATCH(All!$A37,Fall!$A:$A,FALSE),MATCH(All!G$1,Fall!$1:$1,FALSE))),"")</f>
        <v>2A</v>
      </c>
      <c r="H37" t="str">
        <f>IFERROR(IF(INDEX(Fall!$1:$1048576,MATCH(All!$A37,Fall!$A:$A,FALSE),MATCH(All!H$1,Fall!$1:$1,FALSE))="","",INDEX(Fall!$1:$1048576,MATCH(All!$A37,Fall!$A:$A,FALSE),MATCH(All!H$1,Fall!$1:$1,FALSE))),"")</f>
        <v>2A</v>
      </c>
      <c r="I37" t="str">
        <f>IFERROR(IF(INDEX(Fall!$1:$1048576,MATCH(All!$A37,Fall!$A:$A,FALSE),MATCH(All!I$1,Fall!$1:$1,FALSE))="","",INDEX(Fall!$1:$1048576,MATCH(All!$A37,Fall!$A:$A,FALSE),MATCH(All!I$1,Fall!$1:$1,FALSE))),"")</f>
        <v>2A</v>
      </c>
      <c r="J37" t="str">
        <f>IFERROR(IF(INDEX(Fall!$1:$1048576,MATCH(All!$A37,Fall!$A:$A,FALSE),MATCH(All!J$1,Fall!$1:$1,FALSE))="","",INDEX(Fall!$1:$1048576,MATCH(All!$A37,Fall!$A:$A,FALSE),MATCH(All!J$1,Fall!$1:$1,FALSE))),"")</f>
        <v>1A</v>
      </c>
      <c r="K37" t="str">
        <f>IFERROR(IF(INDEX(Fall!$1:$1048576,MATCH(All!$A37,Fall!$A:$A,FALSE),MATCH(All!K$1,Fall!$1:$1,FALSE))="","",INDEX(Fall!$1:$1048576,MATCH(All!$A37,Fall!$A:$A,FALSE),MATCH(All!K$1,Fall!$1:$1,FALSE))),"")</f>
        <v>2A</v>
      </c>
      <c r="L37" t="str">
        <f>IFERROR(IF(INDEX(Fall!$1:$1048576,MATCH(All!$A37,Fall!$A:$A,FALSE),MATCH(All!L$1,Fall!$1:$1,FALSE))="","",INDEX(Fall!$1:$1048576,MATCH(All!$A37,Fall!$A:$A,FALSE),MATCH(All!L$1,Fall!$1:$1,FALSE))),"")</f>
        <v>1A</v>
      </c>
      <c r="M37" t="str">
        <f>IFERROR(IF(INDEX(Fall!$1:$1048576,MATCH(All!$A37,Fall!$A:$A,FALSE),MATCH(All!M$1,Fall!$1:$1,FALSE))="","",INDEX(Fall!$1:$1048576,MATCH(All!$A37,Fall!$A:$A,FALSE),MATCH(All!M$1,Fall!$1:$1,FALSE))),"")</f>
        <v>3A</v>
      </c>
      <c r="O37">
        <f>IFERROR(IF(INDEX(Winter!$1:$1048576,MATCH(All!$A37,Winter!$A:$A,FALSE),MATCH(All!O$1,Winter!$1:$1,FALSE))="","",INDEX(Winter!$1:$1048576,MATCH(All!$A37,Winter!$A:$A,FALSE),MATCH(All!O$1,Winter!$1:$1,FALSE))),"")</f>
        <v>856</v>
      </c>
      <c r="P37" t="str">
        <f>IFERROR(IF(INDEX(Winter!$1:$1048576,MATCH(All!$A37,Winter!$A:$A,FALSE),MATCH(All!P$1,Winter!$1:$1,FALSE))="","",INDEX(Winter!$1:$1048576,MATCH(All!$A37,Winter!$A:$A,FALSE),MATCH(All!P$1,Winter!$1:$1,FALSE))),"")</f>
        <v>3A</v>
      </c>
      <c r="Q37" t="str">
        <f>IFERROR(IF(INDEX(Winter!$1:$1048576,MATCH(All!$A37,Winter!$A:$A,FALSE),MATCH(All!Q$1,Winter!$1:$1,FALSE))="","",INDEX(Winter!$1:$1048576,MATCH(All!$A37,Winter!$A:$A,FALSE),MATCH(All!Q$1,Winter!$1:$1,FALSE))),"")</f>
        <v>3A</v>
      </c>
      <c r="R37" t="str">
        <f>IFERROR(IF(INDEX(Winter!$1:$1048576,MATCH(All!$A37,Winter!$A:$A,FALSE),MATCH(All!R$1,Winter!$1:$1,FALSE))="","",INDEX(Winter!$1:$1048576,MATCH(All!$A37,Winter!$A:$A,FALSE),MATCH(All!R$1,Winter!$1:$1,FALSE))),"")</f>
        <v>2A</v>
      </c>
      <c r="S37" t="str">
        <f>IFERROR(IF(INDEX(Winter!$1:$1048576,MATCH(All!$A37,Winter!$A:$A,FALSE),MATCH(All!S$1,Winter!$1:$1,FALSE))="","",INDEX(Winter!$1:$1048576,MATCH(All!$A37,Winter!$A:$A,FALSE),MATCH(All!S$1,Winter!$1:$1,FALSE))),"")</f>
        <v/>
      </c>
      <c r="T37" t="str">
        <f>IFERROR(IF(INDEX(Winter!$1:$1048576,MATCH(All!$A37,Winter!$A:$A,FALSE),MATCH(All!T$1,Winter!$1:$1,FALSE))="","",INDEX(Winter!$1:$1048576,MATCH(All!$A37,Winter!$A:$A,FALSE),MATCH(All!T$1,Winter!$1:$1,FALSE))),"")</f>
        <v>2A</v>
      </c>
      <c r="U37" t="str">
        <f>IFERROR(IF(INDEX(Winter!$1:$1048576,MATCH(All!$A37,Winter!$A:$A,FALSE),MATCH(All!U$1,Winter!$1:$1,FALSE))="","",INDEX(Winter!$1:$1048576,MATCH(All!$A37,Winter!$A:$A,FALSE),MATCH(All!U$1,Winter!$1:$1,FALSE))),"")</f>
        <v>2A</v>
      </c>
      <c r="W37">
        <f>IFERROR(IF(INDEX(Spring!$1:$1048576,MATCH(All!$A37,Spring!$A:$A,FALSE),MATCH(All!W$1,Spring!$1:$1,FALSE))="","",INDEX(Spring!$1:$1048576,MATCH(All!$A37,Spring!$A:$A,FALSE),MATCH(All!W$1,Spring!$1:$1,FALSE))),"")</f>
        <v>856</v>
      </c>
      <c r="X37" t="str">
        <f>IFERROR(IF(INDEX(Spring!$1:$1048576,MATCH(All!$A37,Spring!$A:$A,FALSE),MATCH(All!X$1,Spring!$1:$1,FALSE))="","",INDEX(Spring!$1:$1048576,MATCH(All!$A37,Spring!$A:$A,FALSE),MATCH(All!X$1,Spring!$1:$1,FALSE))),"")</f>
        <v>3A</v>
      </c>
      <c r="Y37" t="str">
        <f>IFERROR(IF(INDEX(Spring!$1:$1048576,MATCH(All!$A37,Spring!$A:$A,FALSE),MATCH(All!Y$1,Spring!$1:$1,FALSE))="","",INDEX(Spring!$1:$1048576,MATCH(All!$A37,Spring!$A:$A,FALSE),MATCH(All!Y$1,Spring!$1:$1,FALSE))),"")</f>
        <v>3A</v>
      </c>
      <c r="Z37" t="str">
        <f>IFERROR(IF(INDEX(Spring!$1:$1048576,MATCH(All!$A37,Spring!$A:$A,FALSE),MATCH(All!Z$1,Spring!$1:$1,FALSE))="","",INDEX(Spring!$1:$1048576,MATCH(All!$A37,Spring!$A:$A,FALSE),MATCH(All!Z$1,Spring!$1:$1,FALSE))),"")</f>
        <v>2A</v>
      </c>
      <c r="AA37" t="str">
        <f>IFERROR(IF(INDEX(Spring!$1:$1048576,MATCH(All!$A37,Spring!$A:$A,FALSE),MATCH(All!AA$1,Spring!$1:$1,FALSE))="","",INDEX(Spring!$1:$1048576,MATCH(All!$A37,Spring!$A:$A,FALSE),MATCH(All!AA$1,Spring!$1:$1,FALSE))),"")</f>
        <v>1A</v>
      </c>
      <c r="AB37" t="str">
        <f>IFERROR(IF(INDEX(Spring!$1:$1048576,MATCH(All!$A37,Spring!$A:$A,FALSE),MATCH(All!AB$1,Spring!$1:$1,FALSE))="","",INDEX(Spring!$1:$1048576,MATCH(All!$A37,Spring!$A:$A,FALSE),MATCH(All!AB$1,Spring!$1:$1,FALSE))),"")</f>
        <v>2A</v>
      </c>
      <c r="AC37" t="str">
        <f>IFERROR(IF(INDEX(Spring!$1:$1048576,MATCH(All!$A37,Spring!$A:$A,FALSE),MATCH(All!AC$1,Spring!$1:$1,FALSE))="","",INDEX(Spring!$1:$1048576,MATCH(All!$A37,Spring!$A:$A,FALSE),MATCH(All!AC$1,Spring!$1:$1,FALSE))),"")</f>
        <v>2A</v>
      </c>
      <c r="AD37" t="str">
        <f>IFERROR(VLOOKUP(A37,'Flag Football'!A:A,1,FALSE),"")</f>
        <v/>
      </c>
      <c r="AE37" t="str">
        <f t="shared" si="0"/>
        <v/>
      </c>
    </row>
    <row r="38" spans="1:31" ht="15.75" thickBot="1" x14ac:dyDescent="0.3">
      <c r="A38" s="18" t="s">
        <v>54</v>
      </c>
      <c r="B38" s="38">
        <f>IFERROR(VLOOKUP(A38,'Public v Private'!A:G,3,FALSE),"")</f>
        <v>0</v>
      </c>
      <c r="C38" s="38">
        <f>IFERROR(VLOOKUP(A38,'Public v Private'!A:G,4,FALSE),"")</f>
        <v>0</v>
      </c>
      <c r="D38" s="38">
        <f>IFERROR(VLOOKUP(A38,'Public v Private'!A:G,5,FALSE),"")</f>
        <v>0</v>
      </c>
      <c r="E38" s="38"/>
      <c r="F38" s="40">
        <f>IFERROR(INDEX(Fall!$1:$1048576,MATCH(All!$A38,Fall!$A:$A,FALSE),MATCH(All!F$1,Fall!$1:$1,FALSE)),"N/A")</f>
        <v>1632</v>
      </c>
      <c r="G38" t="str">
        <f>IFERROR(IF(INDEX(Fall!$1:$1048576,MATCH(All!$A38,Fall!$A:$A,FALSE),MATCH(All!G$1,Fall!$1:$1,FALSE))="","",INDEX(Fall!$1:$1048576,MATCH(All!$A38,Fall!$A:$A,FALSE),MATCH(All!G$1,Fall!$1:$1,FALSE))),"")</f>
        <v>3A</v>
      </c>
      <c r="H38" t="str">
        <f>IFERROR(IF(INDEX(Fall!$1:$1048576,MATCH(All!$A38,Fall!$A:$A,FALSE),MATCH(All!H$1,Fall!$1:$1,FALSE))="","",INDEX(Fall!$1:$1048576,MATCH(All!$A38,Fall!$A:$A,FALSE),MATCH(All!H$1,Fall!$1:$1,FALSE))),"")</f>
        <v>3A</v>
      </c>
      <c r="I38" t="str">
        <f>IFERROR(IF(INDEX(Fall!$1:$1048576,MATCH(All!$A38,Fall!$A:$A,FALSE),MATCH(All!I$1,Fall!$1:$1,FALSE))="","",INDEX(Fall!$1:$1048576,MATCH(All!$A38,Fall!$A:$A,FALSE),MATCH(All!I$1,Fall!$1:$1,FALSE))),"")</f>
        <v>3A</v>
      </c>
      <c r="J38" t="str">
        <f>IFERROR(IF(INDEX(Fall!$1:$1048576,MATCH(All!$A38,Fall!$A:$A,FALSE),MATCH(All!J$1,Fall!$1:$1,FALSE))="","",INDEX(Fall!$1:$1048576,MATCH(All!$A38,Fall!$A:$A,FALSE),MATCH(All!J$1,Fall!$1:$1,FALSE))),"")</f>
        <v>2A</v>
      </c>
      <c r="K38" t="str">
        <f>IFERROR(IF(INDEX(Fall!$1:$1048576,MATCH(All!$A38,Fall!$A:$A,FALSE),MATCH(All!K$1,Fall!$1:$1,FALSE))="","",INDEX(Fall!$1:$1048576,MATCH(All!$A38,Fall!$A:$A,FALSE),MATCH(All!K$1,Fall!$1:$1,FALSE))),"")</f>
        <v>2A</v>
      </c>
      <c r="L38" t="str">
        <f>IFERROR(IF(INDEX(Fall!$1:$1048576,MATCH(All!$A38,Fall!$A:$A,FALSE),MATCH(All!L$1,Fall!$1:$1,FALSE))="","",INDEX(Fall!$1:$1048576,MATCH(All!$A38,Fall!$A:$A,FALSE),MATCH(All!L$1,Fall!$1:$1,FALSE))),"")</f>
        <v>2A</v>
      </c>
      <c r="M38" t="str">
        <f>IFERROR(IF(INDEX(Fall!$1:$1048576,MATCH(All!$A38,Fall!$A:$A,FALSE),MATCH(All!M$1,Fall!$1:$1,FALSE))="","",INDEX(Fall!$1:$1048576,MATCH(All!$A38,Fall!$A:$A,FALSE),MATCH(All!M$1,Fall!$1:$1,FALSE))),"")</f>
        <v>4A</v>
      </c>
      <c r="O38">
        <f>IFERROR(IF(INDEX(Winter!$1:$1048576,MATCH(All!$A38,Winter!$A:$A,FALSE),MATCH(All!O$1,Winter!$1:$1,FALSE))="","",INDEX(Winter!$1:$1048576,MATCH(All!$A38,Winter!$A:$A,FALSE),MATCH(All!O$1,Winter!$1:$1,FALSE))),"")</f>
        <v>1632</v>
      </c>
      <c r="P38" t="str">
        <f>IFERROR(IF(INDEX(Winter!$1:$1048576,MATCH(All!$A38,Winter!$A:$A,FALSE),MATCH(All!P$1,Winter!$1:$1,FALSE))="","",INDEX(Winter!$1:$1048576,MATCH(All!$A38,Winter!$A:$A,FALSE),MATCH(All!P$1,Winter!$1:$1,FALSE))),"")</f>
        <v>4A</v>
      </c>
      <c r="Q38" t="str">
        <f>IFERROR(IF(INDEX(Winter!$1:$1048576,MATCH(All!$A38,Winter!$A:$A,FALSE),MATCH(All!Q$1,Winter!$1:$1,FALSE))="","",INDEX(Winter!$1:$1048576,MATCH(All!$A38,Winter!$A:$A,FALSE),MATCH(All!Q$1,Winter!$1:$1,FALSE))),"")</f>
        <v>4A</v>
      </c>
      <c r="R38" t="str">
        <f>IFERROR(IF(INDEX(Winter!$1:$1048576,MATCH(All!$A38,Winter!$A:$A,FALSE),MATCH(All!R$1,Winter!$1:$1,FALSE))="","",INDEX(Winter!$1:$1048576,MATCH(All!$A38,Winter!$A:$A,FALSE),MATCH(All!R$1,Winter!$1:$1,FALSE))),"")</f>
        <v>3A</v>
      </c>
      <c r="S38" t="str">
        <f>IFERROR(IF(INDEX(Winter!$1:$1048576,MATCH(All!$A38,Winter!$A:$A,FALSE),MATCH(All!S$1,Winter!$1:$1,FALSE))="","",INDEX(Winter!$1:$1048576,MATCH(All!$A38,Winter!$A:$A,FALSE),MATCH(All!S$1,Winter!$1:$1,FALSE))),"")</f>
        <v>2A</v>
      </c>
      <c r="T38" t="str">
        <f>IFERROR(IF(INDEX(Winter!$1:$1048576,MATCH(All!$A38,Winter!$A:$A,FALSE),MATCH(All!T$1,Winter!$1:$1,FALSE))="","",INDEX(Winter!$1:$1048576,MATCH(All!$A38,Winter!$A:$A,FALSE),MATCH(All!T$1,Winter!$1:$1,FALSE))),"")</f>
        <v>2A</v>
      </c>
      <c r="U38" t="str">
        <f>IFERROR(IF(INDEX(Winter!$1:$1048576,MATCH(All!$A38,Winter!$A:$A,FALSE),MATCH(All!U$1,Winter!$1:$1,FALSE))="","",INDEX(Winter!$1:$1048576,MATCH(All!$A38,Winter!$A:$A,FALSE),MATCH(All!U$1,Winter!$1:$1,FALSE))),"")</f>
        <v>2A</v>
      </c>
      <c r="W38">
        <f>IFERROR(IF(INDEX(Spring!$1:$1048576,MATCH(All!$A38,Spring!$A:$A,FALSE),MATCH(All!W$1,Spring!$1:$1,FALSE))="","",INDEX(Spring!$1:$1048576,MATCH(All!$A38,Spring!$A:$A,FALSE),MATCH(All!W$1,Spring!$1:$1,FALSE))),"")</f>
        <v>1632</v>
      </c>
      <c r="X38" t="str">
        <f>IFERROR(IF(INDEX(Spring!$1:$1048576,MATCH(All!$A38,Spring!$A:$A,FALSE),MATCH(All!X$1,Spring!$1:$1,FALSE))="","",INDEX(Spring!$1:$1048576,MATCH(All!$A38,Spring!$A:$A,FALSE),MATCH(All!X$1,Spring!$1:$1,FALSE))),"")</f>
        <v>4A</v>
      </c>
      <c r="Y38" t="str">
        <f>IFERROR(IF(INDEX(Spring!$1:$1048576,MATCH(All!$A38,Spring!$A:$A,FALSE),MATCH(All!Y$1,Spring!$1:$1,FALSE))="","",INDEX(Spring!$1:$1048576,MATCH(All!$A38,Spring!$A:$A,FALSE),MATCH(All!Y$1,Spring!$1:$1,FALSE))),"")</f>
        <v>4A</v>
      </c>
      <c r="Z38" t="str">
        <f>IFERROR(IF(INDEX(Spring!$1:$1048576,MATCH(All!$A38,Spring!$A:$A,FALSE),MATCH(All!Z$1,Spring!$1:$1,FALSE))="","",INDEX(Spring!$1:$1048576,MATCH(All!$A38,Spring!$A:$A,FALSE),MATCH(All!Z$1,Spring!$1:$1,FALSE))),"")</f>
        <v>2A</v>
      </c>
      <c r="AA38" t="str">
        <f>IFERROR(IF(INDEX(Spring!$1:$1048576,MATCH(All!$A38,Spring!$A:$A,FALSE),MATCH(All!AA$1,Spring!$1:$1,FALSE))="","",INDEX(Spring!$1:$1048576,MATCH(All!$A38,Spring!$A:$A,FALSE),MATCH(All!AA$1,Spring!$1:$1,FALSE))),"")</f>
        <v>2A</v>
      </c>
      <c r="AB38" t="str">
        <f>IFERROR(IF(INDEX(Spring!$1:$1048576,MATCH(All!$A38,Spring!$A:$A,FALSE),MATCH(All!AB$1,Spring!$1:$1,FALSE))="","",INDEX(Spring!$1:$1048576,MATCH(All!$A38,Spring!$A:$A,FALSE),MATCH(All!AB$1,Spring!$1:$1,FALSE))),"")</f>
        <v>3A</v>
      </c>
      <c r="AC38" t="str">
        <f>IFERROR(IF(INDEX(Spring!$1:$1048576,MATCH(All!$A38,Spring!$A:$A,FALSE),MATCH(All!AC$1,Spring!$1:$1,FALSE))="","",INDEX(Spring!$1:$1048576,MATCH(All!$A38,Spring!$A:$A,FALSE),MATCH(All!AC$1,Spring!$1:$1,FALSE))),"")</f>
        <v>3A</v>
      </c>
      <c r="AD38" t="str">
        <f>IFERROR(VLOOKUP(A38,'Flag Football'!A:A,1,FALSE),"")</f>
        <v/>
      </c>
      <c r="AE38" t="str">
        <f t="shared" si="0"/>
        <v/>
      </c>
    </row>
    <row r="39" spans="1:31" ht="15.75" thickBot="1" x14ac:dyDescent="0.3">
      <c r="A39" s="20" t="s">
        <v>55</v>
      </c>
      <c r="B39" s="38">
        <f>IFERROR(VLOOKUP(A39,'Public v Private'!A:G,3,FALSE),"")</f>
        <v>0</v>
      </c>
      <c r="C39" s="38">
        <f>IFERROR(VLOOKUP(A39,'Public v Private'!A:G,4,FALSE),"")</f>
        <v>0</v>
      </c>
      <c r="D39" s="38">
        <f>IFERROR(VLOOKUP(A39,'Public v Private'!A:G,5,FALSE),"")</f>
        <v>0</v>
      </c>
      <c r="E39" s="38"/>
      <c r="F39" s="40">
        <f>IFERROR(INDEX(Fall!$1:$1048576,MATCH(All!$A39,Fall!$A:$A,FALSE),MATCH(All!F$1,Fall!$1:$1,FALSE)),"N/A")</f>
        <v>423</v>
      </c>
      <c r="G39" t="str">
        <f>IFERROR(IF(INDEX(Fall!$1:$1048576,MATCH(All!$A39,Fall!$A:$A,FALSE),MATCH(All!G$1,Fall!$1:$1,FALSE))="","",INDEX(Fall!$1:$1048576,MATCH(All!$A39,Fall!$A:$A,FALSE),MATCH(All!G$1,Fall!$1:$1,FALSE))),"")</f>
        <v>1A</v>
      </c>
      <c r="H39" t="str">
        <f>IFERROR(IF(INDEX(Fall!$1:$1048576,MATCH(All!$A39,Fall!$A:$A,FALSE),MATCH(All!H$1,Fall!$1:$1,FALSE))="","",INDEX(Fall!$1:$1048576,MATCH(All!$A39,Fall!$A:$A,FALSE),MATCH(All!H$1,Fall!$1:$1,FALSE))),"")</f>
        <v>1A</v>
      </c>
      <c r="I39" t="str">
        <f>IFERROR(IF(INDEX(Fall!$1:$1048576,MATCH(All!$A39,Fall!$A:$A,FALSE),MATCH(All!I$1,Fall!$1:$1,FALSE))="","",INDEX(Fall!$1:$1048576,MATCH(All!$A39,Fall!$A:$A,FALSE),MATCH(All!I$1,Fall!$1:$1,FALSE))),"")</f>
        <v>1A</v>
      </c>
      <c r="J39" t="str">
        <f>IFERROR(IF(INDEX(Fall!$1:$1048576,MATCH(All!$A39,Fall!$A:$A,FALSE),MATCH(All!J$1,Fall!$1:$1,FALSE))="","",INDEX(Fall!$1:$1048576,MATCH(All!$A39,Fall!$A:$A,FALSE),MATCH(All!J$1,Fall!$1:$1,FALSE))),"")</f>
        <v/>
      </c>
      <c r="K39" t="str">
        <f>IFERROR(IF(INDEX(Fall!$1:$1048576,MATCH(All!$A39,Fall!$A:$A,FALSE),MATCH(All!K$1,Fall!$1:$1,FALSE))="","",INDEX(Fall!$1:$1048576,MATCH(All!$A39,Fall!$A:$A,FALSE),MATCH(All!K$1,Fall!$1:$1,FALSE))),"")</f>
        <v>1A</v>
      </c>
      <c r="L39" t="str">
        <f>IFERROR(IF(INDEX(Fall!$1:$1048576,MATCH(All!$A39,Fall!$A:$A,FALSE),MATCH(All!L$1,Fall!$1:$1,FALSE))="","",INDEX(Fall!$1:$1048576,MATCH(All!$A39,Fall!$A:$A,FALSE),MATCH(All!L$1,Fall!$1:$1,FALSE))),"")</f>
        <v/>
      </c>
      <c r="M39" t="str">
        <f>IFERROR(IF(INDEX(Fall!$1:$1048576,MATCH(All!$A39,Fall!$A:$A,FALSE),MATCH(All!M$1,Fall!$1:$1,FALSE))="","",INDEX(Fall!$1:$1048576,MATCH(All!$A39,Fall!$A:$A,FALSE),MATCH(All!M$1,Fall!$1:$1,FALSE))),"")</f>
        <v>2A</v>
      </c>
      <c r="O39">
        <f>IFERROR(IF(INDEX(Winter!$1:$1048576,MATCH(All!$A39,Winter!$A:$A,FALSE),MATCH(All!O$1,Winter!$1:$1,FALSE))="","",INDEX(Winter!$1:$1048576,MATCH(All!$A39,Winter!$A:$A,FALSE),MATCH(All!O$1,Winter!$1:$1,FALSE))),"")</f>
        <v>423</v>
      </c>
      <c r="P39" t="str">
        <f>IFERROR(IF(INDEX(Winter!$1:$1048576,MATCH(All!$A39,Winter!$A:$A,FALSE),MATCH(All!P$1,Winter!$1:$1,FALSE))="","",INDEX(Winter!$1:$1048576,MATCH(All!$A39,Winter!$A:$A,FALSE),MATCH(All!P$1,Winter!$1:$1,FALSE))),"")</f>
        <v>2A</v>
      </c>
      <c r="Q39" t="str">
        <f>IFERROR(IF(INDEX(Winter!$1:$1048576,MATCH(All!$A39,Winter!$A:$A,FALSE),MATCH(All!Q$1,Winter!$1:$1,FALSE))="","",INDEX(Winter!$1:$1048576,MATCH(All!$A39,Winter!$A:$A,FALSE),MATCH(All!Q$1,Winter!$1:$1,FALSE))),"")</f>
        <v>2A</v>
      </c>
      <c r="R39" t="str">
        <f>IFERROR(IF(INDEX(Winter!$1:$1048576,MATCH(All!$A39,Winter!$A:$A,FALSE),MATCH(All!R$1,Winter!$1:$1,FALSE))="","",INDEX(Winter!$1:$1048576,MATCH(All!$A39,Winter!$A:$A,FALSE),MATCH(All!R$1,Winter!$1:$1,FALSE))),"")</f>
        <v/>
      </c>
      <c r="S39" t="str">
        <f>IFERROR(IF(INDEX(Winter!$1:$1048576,MATCH(All!$A39,Winter!$A:$A,FALSE),MATCH(All!S$1,Winter!$1:$1,FALSE))="","",INDEX(Winter!$1:$1048576,MATCH(All!$A39,Winter!$A:$A,FALSE),MATCH(All!S$1,Winter!$1:$1,FALSE))),"")</f>
        <v/>
      </c>
      <c r="T39" t="str">
        <f>IFERROR(IF(INDEX(Winter!$1:$1048576,MATCH(All!$A39,Winter!$A:$A,FALSE),MATCH(All!T$1,Winter!$1:$1,FALSE))="","",INDEX(Winter!$1:$1048576,MATCH(All!$A39,Winter!$A:$A,FALSE),MATCH(All!T$1,Winter!$1:$1,FALSE))),"")</f>
        <v>1A</v>
      </c>
      <c r="U39" t="str">
        <f>IFERROR(IF(INDEX(Winter!$1:$1048576,MATCH(All!$A39,Winter!$A:$A,FALSE),MATCH(All!U$1,Winter!$1:$1,FALSE))="","",INDEX(Winter!$1:$1048576,MATCH(All!$A39,Winter!$A:$A,FALSE),MATCH(All!U$1,Winter!$1:$1,FALSE))),"")</f>
        <v>1A</v>
      </c>
      <c r="W39">
        <f>IFERROR(IF(INDEX(Spring!$1:$1048576,MATCH(All!$A39,Spring!$A:$A,FALSE),MATCH(All!W$1,Spring!$1:$1,FALSE))="","",INDEX(Spring!$1:$1048576,MATCH(All!$A39,Spring!$A:$A,FALSE),MATCH(All!W$1,Spring!$1:$1,FALSE))),"")</f>
        <v>423</v>
      </c>
      <c r="X39" t="str">
        <f>IFERROR(IF(INDEX(Spring!$1:$1048576,MATCH(All!$A39,Spring!$A:$A,FALSE),MATCH(All!X$1,Spring!$1:$1,FALSE))="","",INDEX(Spring!$1:$1048576,MATCH(All!$A39,Spring!$A:$A,FALSE),MATCH(All!X$1,Spring!$1:$1,FALSE))),"")</f>
        <v>2A</v>
      </c>
      <c r="Y39" t="str">
        <f>IFERROR(IF(INDEX(Spring!$1:$1048576,MATCH(All!$A39,Spring!$A:$A,FALSE),MATCH(All!Y$1,Spring!$1:$1,FALSE))="","",INDEX(Spring!$1:$1048576,MATCH(All!$A39,Spring!$A:$A,FALSE),MATCH(All!Y$1,Spring!$1:$1,FALSE))),"")</f>
        <v>2A</v>
      </c>
      <c r="Z39" t="str">
        <f>IFERROR(IF(INDEX(Spring!$1:$1048576,MATCH(All!$A39,Spring!$A:$A,FALSE),MATCH(All!Z$1,Spring!$1:$1,FALSE))="","",INDEX(Spring!$1:$1048576,MATCH(All!$A39,Spring!$A:$A,FALSE),MATCH(All!Z$1,Spring!$1:$1,FALSE))),"")</f>
        <v>1A</v>
      </c>
      <c r="AA39" t="str">
        <f>IFERROR(IF(INDEX(Spring!$1:$1048576,MATCH(All!$A39,Spring!$A:$A,FALSE),MATCH(All!AA$1,Spring!$1:$1,FALSE))="","",INDEX(Spring!$1:$1048576,MATCH(All!$A39,Spring!$A:$A,FALSE),MATCH(All!AA$1,Spring!$1:$1,FALSE))),"")</f>
        <v/>
      </c>
      <c r="AB39" t="str">
        <f>IFERROR(IF(INDEX(Spring!$1:$1048576,MATCH(All!$A39,Spring!$A:$A,FALSE),MATCH(All!AB$1,Spring!$1:$1,FALSE))="","",INDEX(Spring!$1:$1048576,MATCH(All!$A39,Spring!$A:$A,FALSE),MATCH(All!AB$1,Spring!$1:$1,FALSE))),"")</f>
        <v>1A</v>
      </c>
      <c r="AC39" t="str">
        <f>IFERROR(IF(INDEX(Spring!$1:$1048576,MATCH(All!$A39,Spring!$A:$A,FALSE),MATCH(All!AC$1,Spring!$1:$1,FALSE))="","",INDEX(Spring!$1:$1048576,MATCH(All!$A39,Spring!$A:$A,FALSE),MATCH(All!AC$1,Spring!$1:$1,FALSE))),"")</f>
        <v>1A</v>
      </c>
      <c r="AD39" t="str">
        <f>IFERROR(VLOOKUP(A39,'Flag Football'!A:A,1,FALSE),"")</f>
        <v/>
      </c>
      <c r="AE39" t="str">
        <f t="shared" si="0"/>
        <v/>
      </c>
    </row>
    <row r="40" spans="1:31" ht="15.75" thickBot="1" x14ac:dyDescent="0.3">
      <c r="A40" s="18" t="s">
        <v>56</v>
      </c>
      <c r="B40" s="38">
        <f>IFERROR(VLOOKUP(A40,'Public v Private'!A:G,3,FALSE),"")</f>
        <v>0</v>
      </c>
      <c r="C40" s="38">
        <f>IFERROR(VLOOKUP(A40,'Public v Private'!A:G,4,FALSE),"")</f>
        <v>0</v>
      </c>
      <c r="D40" s="38">
        <f>IFERROR(VLOOKUP(A40,'Public v Private'!A:G,5,FALSE),"")</f>
        <v>0</v>
      </c>
      <c r="E40" s="38"/>
      <c r="F40" s="40">
        <f>IFERROR(INDEX(Fall!$1:$1048576,MATCH(All!$A40,Fall!$A:$A,FALSE),MATCH(All!F$1,Fall!$1:$1,FALSE)),"N/A")</f>
        <v>334</v>
      </c>
      <c r="G40" t="str">
        <f>IFERROR(IF(INDEX(Fall!$1:$1048576,MATCH(All!$A40,Fall!$A:$A,FALSE),MATCH(All!G$1,Fall!$1:$1,FALSE))="","",INDEX(Fall!$1:$1048576,MATCH(All!$A40,Fall!$A:$A,FALSE),MATCH(All!G$1,Fall!$1:$1,FALSE))),"")</f>
        <v>1A</v>
      </c>
      <c r="H40" t="str">
        <f>IFERROR(IF(INDEX(Fall!$1:$1048576,MATCH(All!$A40,Fall!$A:$A,FALSE),MATCH(All!H$1,Fall!$1:$1,FALSE))="","",INDEX(Fall!$1:$1048576,MATCH(All!$A40,Fall!$A:$A,FALSE),MATCH(All!H$1,Fall!$1:$1,FALSE))),"")</f>
        <v>1A</v>
      </c>
      <c r="I40" t="str">
        <f>IFERROR(IF(INDEX(Fall!$1:$1048576,MATCH(All!$A40,Fall!$A:$A,FALSE),MATCH(All!I$1,Fall!$1:$1,FALSE))="","",INDEX(Fall!$1:$1048576,MATCH(All!$A40,Fall!$A:$A,FALSE),MATCH(All!I$1,Fall!$1:$1,FALSE))),"")</f>
        <v>1A</v>
      </c>
      <c r="J40" t="str">
        <f>IFERROR(IF(INDEX(Fall!$1:$1048576,MATCH(All!$A40,Fall!$A:$A,FALSE),MATCH(All!J$1,Fall!$1:$1,FALSE))="","",INDEX(Fall!$1:$1048576,MATCH(All!$A40,Fall!$A:$A,FALSE),MATCH(All!J$1,Fall!$1:$1,FALSE))),"")</f>
        <v>1A</v>
      </c>
      <c r="K40" t="str">
        <f>IFERROR(IF(INDEX(Fall!$1:$1048576,MATCH(All!$A40,Fall!$A:$A,FALSE),MATCH(All!K$1,Fall!$1:$1,FALSE))="","",INDEX(Fall!$1:$1048576,MATCH(All!$A40,Fall!$A:$A,FALSE),MATCH(All!K$1,Fall!$1:$1,FALSE))),"")</f>
        <v>1A</v>
      </c>
      <c r="L40" t="str">
        <f>IFERROR(IF(INDEX(Fall!$1:$1048576,MATCH(All!$A40,Fall!$A:$A,FALSE),MATCH(All!L$1,Fall!$1:$1,FALSE))="","",INDEX(Fall!$1:$1048576,MATCH(All!$A40,Fall!$A:$A,FALSE),MATCH(All!L$1,Fall!$1:$1,FALSE))),"")</f>
        <v/>
      </c>
      <c r="M40" t="str">
        <f>IFERROR(IF(INDEX(Fall!$1:$1048576,MATCH(All!$A40,Fall!$A:$A,FALSE),MATCH(All!M$1,Fall!$1:$1,FALSE))="","",INDEX(Fall!$1:$1048576,MATCH(All!$A40,Fall!$A:$A,FALSE),MATCH(All!M$1,Fall!$1:$1,FALSE))),"")</f>
        <v>2A</v>
      </c>
      <c r="O40">
        <f>IFERROR(IF(INDEX(Winter!$1:$1048576,MATCH(All!$A40,Winter!$A:$A,FALSE),MATCH(All!O$1,Winter!$1:$1,FALSE))="","",INDEX(Winter!$1:$1048576,MATCH(All!$A40,Winter!$A:$A,FALSE),MATCH(All!O$1,Winter!$1:$1,FALSE))),"")</f>
        <v>334</v>
      </c>
      <c r="P40" t="str">
        <f>IFERROR(IF(INDEX(Winter!$1:$1048576,MATCH(All!$A40,Winter!$A:$A,FALSE),MATCH(All!P$1,Winter!$1:$1,FALSE))="","",INDEX(Winter!$1:$1048576,MATCH(All!$A40,Winter!$A:$A,FALSE),MATCH(All!P$1,Winter!$1:$1,FALSE))),"")</f>
        <v>2A</v>
      </c>
      <c r="Q40" t="str">
        <f>IFERROR(IF(INDEX(Winter!$1:$1048576,MATCH(All!$A40,Winter!$A:$A,FALSE),MATCH(All!Q$1,Winter!$1:$1,FALSE))="","",INDEX(Winter!$1:$1048576,MATCH(All!$A40,Winter!$A:$A,FALSE),MATCH(All!Q$1,Winter!$1:$1,FALSE))),"")</f>
        <v>2A</v>
      </c>
      <c r="R40" t="str">
        <f>IFERROR(IF(INDEX(Winter!$1:$1048576,MATCH(All!$A40,Winter!$A:$A,FALSE),MATCH(All!R$1,Winter!$1:$1,FALSE))="","",INDEX(Winter!$1:$1048576,MATCH(All!$A40,Winter!$A:$A,FALSE),MATCH(All!R$1,Winter!$1:$1,FALSE))),"")</f>
        <v/>
      </c>
      <c r="S40" t="str">
        <f>IFERROR(IF(INDEX(Winter!$1:$1048576,MATCH(All!$A40,Winter!$A:$A,FALSE),MATCH(All!S$1,Winter!$1:$1,FALSE))="","",INDEX(Winter!$1:$1048576,MATCH(All!$A40,Winter!$A:$A,FALSE),MATCH(All!S$1,Winter!$1:$1,FALSE))),"")</f>
        <v/>
      </c>
      <c r="T40" t="str">
        <f>IFERROR(IF(INDEX(Winter!$1:$1048576,MATCH(All!$A40,Winter!$A:$A,FALSE),MATCH(All!T$1,Winter!$1:$1,FALSE))="","",INDEX(Winter!$1:$1048576,MATCH(All!$A40,Winter!$A:$A,FALSE),MATCH(All!T$1,Winter!$1:$1,FALSE))),"")</f>
        <v>1A</v>
      </c>
      <c r="U40" t="str">
        <f>IFERROR(IF(INDEX(Winter!$1:$1048576,MATCH(All!$A40,Winter!$A:$A,FALSE),MATCH(All!U$1,Winter!$1:$1,FALSE))="","",INDEX(Winter!$1:$1048576,MATCH(All!$A40,Winter!$A:$A,FALSE),MATCH(All!U$1,Winter!$1:$1,FALSE))),"")</f>
        <v/>
      </c>
      <c r="W40">
        <f>IFERROR(IF(INDEX(Spring!$1:$1048576,MATCH(All!$A40,Spring!$A:$A,FALSE),MATCH(All!W$1,Spring!$1:$1,FALSE))="","",INDEX(Spring!$1:$1048576,MATCH(All!$A40,Spring!$A:$A,FALSE),MATCH(All!W$1,Spring!$1:$1,FALSE))),"")</f>
        <v>334</v>
      </c>
      <c r="X40" t="str">
        <f>IFERROR(IF(INDEX(Spring!$1:$1048576,MATCH(All!$A40,Spring!$A:$A,FALSE),MATCH(All!X$1,Spring!$1:$1,FALSE))="","",INDEX(Spring!$1:$1048576,MATCH(All!$A40,Spring!$A:$A,FALSE),MATCH(All!X$1,Spring!$1:$1,FALSE))),"")</f>
        <v>2A</v>
      </c>
      <c r="Y40" t="str">
        <f>IFERROR(IF(INDEX(Spring!$1:$1048576,MATCH(All!$A40,Spring!$A:$A,FALSE),MATCH(All!Y$1,Spring!$1:$1,FALSE))="","",INDEX(Spring!$1:$1048576,MATCH(All!$A40,Spring!$A:$A,FALSE),MATCH(All!Y$1,Spring!$1:$1,FALSE))),"")</f>
        <v>2A</v>
      </c>
      <c r="Z40" t="str">
        <f>IFERROR(IF(INDEX(Spring!$1:$1048576,MATCH(All!$A40,Spring!$A:$A,FALSE),MATCH(All!Z$1,Spring!$1:$1,FALSE))="","",INDEX(Spring!$1:$1048576,MATCH(All!$A40,Spring!$A:$A,FALSE),MATCH(All!Z$1,Spring!$1:$1,FALSE))),"")</f>
        <v>1A</v>
      </c>
      <c r="AA40" t="str">
        <f>IFERROR(IF(INDEX(Spring!$1:$1048576,MATCH(All!$A40,Spring!$A:$A,FALSE),MATCH(All!AA$1,Spring!$1:$1,FALSE))="","",INDEX(Spring!$1:$1048576,MATCH(All!$A40,Spring!$A:$A,FALSE),MATCH(All!AA$1,Spring!$1:$1,FALSE))),"")</f>
        <v/>
      </c>
      <c r="AB40" t="str">
        <f>IFERROR(IF(INDEX(Spring!$1:$1048576,MATCH(All!$A40,Spring!$A:$A,FALSE),MATCH(All!AB$1,Spring!$1:$1,FALSE))="","",INDEX(Spring!$1:$1048576,MATCH(All!$A40,Spring!$A:$A,FALSE),MATCH(All!AB$1,Spring!$1:$1,FALSE))),"")</f>
        <v>1A</v>
      </c>
      <c r="AC40" t="str">
        <f>IFERROR(IF(INDEX(Spring!$1:$1048576,MATCH(All!$A40,Spring!$A:$A,FALSE),MATCH(All!AC$1,Spring!$1:$1,FALSE))="","",INDEX(Spring!$1:$1048576,MATCH(All!$A40,Spring!$A:$A,FALSE),MATCH(All!AC$1,Spring!$1:$1,FALSE))),"")</f>
        <v>1A</v>
      </c>
      <c r="AD40" t="str">
        <f>IFERROR(VLOOKUP(A40,'Flag Football'!A:A,1,FALSE),"")</f>
        <v/>
      </c>
      <c r="AE40" t="str">
        <f t="shared" si="0"/>
        <v/>
      </c>
    </row>
    <row r="41" spans="1:31" ht="15.75" thickBot="1" x14ac:dyDescent="0.3">
      <c r="A41" s="20" t="s">
        <v>57</v>
      </c>
      <c r="B41" s="38">
        <f>IFERROR(VLOOKUP(A41,'Public v Private'!A:G,3,FALSE),"")</f>
        <v>0</v>
      </c>
      <c r="C41" s="38">
        <f>IFERROR(VLOOKUP(A41,'Public v Private'!A:G,4,FALSE),"")</f>
        <v>0</v>
      </c>
      <c r="D41" s="38">
        <f>IFERROR(VLOOKUP(A41,'Public v Private'!A:G,5,FALSE),"")</f>
        <v>0</v>
      </c>
      <c r="E41" s="38"/>
      <c r="F41" s="40" t="str">
        <f>IFERROR(INDEX(Fall!$1:$1048576,MATCH(All!$A41,Fall!$A:$A,FALSE),MATCH(All!F$1,Fall!$1:$1,FALSE)),"N/A")</f>
        <v>N/A</v>
      </c>
      <c r="G41" t="str">
        <f>IFERROR(IF(INDEX(Fall!$1:$1048576,MATCH(All!$A41,Fall!$A:$A,FALSE),MATCH(All!G$1,Fall!$1:$1,FALSE))="","",INDEX(Fall!$1:$1048576,MATCH(All!$A41,Fall!$A:$A,FALSE),MATCH(All!G$1,Fall!$1:$1,FALSE))),"")</f>
        <v/>
      </c>
      <c r="H41" t="str">
        <f>IFERROR(IF(INDEX(Fall!$1:$1048576,MATCH(All!$A41,Fall!$A:$A,FALSE),MATCH(All!H$1,Fall!$1:$1,FALSE))="","",INDEX(Fall!$1:$1048576,MATCH(All!$A41,Fall!$A:$A,FALSE),MATCH(All!H$1,Fall!$1:$1,FALSE))),"")</f>
        <v/>
      </c>
      <c r="I41" t="str">
        <f>IFERROR(IF(INDEX(Fall!$1:$1048576,MATCH(All!$A41,Fall!$A:$A,FALSE),MATCH(All!I$1,Fall!$1:$1,FALSE))="","",INDEX(Fall!$1:$1048576,MATCH(All!$A41,Fall!$A:$A,FALSE),MATCH(All!I$1,Fall!$1:$1,FALSE))),"")</f>
        <v/>
      </c>
      <c r="J41" t="str">
        <f>IFERROR(IF(INDEX(Fall!$1:$1048576,MATCH(All!$A41,Fall!$A:$A,FALSE),MATCH(All!J$1,Fall!$1:$1,FALSE))="","",INDEX(Fall!$1:$1048576,MATCH(All!$A41,Fall!$A:$A,FALSE),MATCH(All!J$1,Fall!$1:$1,FALSE))),"")</f>
        <v/>
      </c>
      <c r="K41" t="str">
        <f>IFERROR(IF(INDEX(Fall!$1:$1048576,MATCH(All!$A41,Fall!$A:$A,FALSE),MATCH(All!K$1,Fall!$1:$1,FALSE))="","",INDEX(Fall!$1:$1048576,MATCH(All!$A41,Fall!$A:$A,FALSE),MATCH(All!K$1,Fall!$1:$1,FALSE))),"")</f>
        <v/>
      </c>
      <c r="L41" t="str">
        <f>IFERROR(IF(INDEX(Fall!$1:$1048576,MATCH(All!$A41,Fall!$A:$A,FALSE),MATCH(All!L$1,Fall!$1:$1,FALSE))="","",INDEX(Fall!$1:$1048576,MATCH(All!$A41,Fall!$A:$A,FALSE),MATCH(All!L$1,Fall!$1:$1,FALSE))),"")</f>
        <v/>
      </c>
      <c r="M41" t="str">
        <f>IFERROR(IF(INDEX(Fall!$1:$1048576,MATCH(All!$A41,Fall!$A:$A,FALSE),MATCH(All!M$1,Fall!$1:$1,FALSE))="","",INDEX(Fall!$1:$1048576,MATCH(All!$A41,Fall!$A:$A,FALSE),MATCH(All!M$1,Fall!$1:$1,FALSE))),"")</f>
        <v/>
      </c>
      <c r="O41">
        <f>IFERROR(IF(INDEX(Winter!$1:$1048576,MATCH(All!$A41,Winter!$A:$A,FALSE),MATCH(All!O$1,Winter!$1:$1,FALSE))="","",INDEX(Winter!$1:$1048576,MATCH(All!$A41,Winter!$A:$A,FALSE),MATCH(All!O$1,Winter!$1:$1,FALSE))),"")</f>
        <v>89</v>
      </c>
      <c r="P41" t="str">
        <f>IFERROR(IF(INDEX(Winter!$1:$1048576,MATCH(All!$A41,Winter!$A:$A,FALSE),MATCH(All!P$1,Winter!$1:$1,FALSE))="","",INDEX(Winter!$1:$1048576,MATCH(All!$A41,Winter!$A:$A,FALSE),MATCH(All!P$1,Winter!$1:$1,FALSE))),"")</f>
        <v>1A</v>
      </c>
      <c r="Q41" t="str">
        <f>IFERROR(IF(INDEX(Winter!$1:$1048576,MATCH(All!$A41,Winter!$A:$A,FALSE),MATCH(All!Q$1,Winter!$1:$1,FALSE))="","",INDEX(Winter!$1:$1048576,MATCH(All!$A41,Winter!$A:$A,FALSE),MATCH(All!Q$1,Winter!$1:$1,FALSE))),"")</f>
        <v/>
      </c>
      <c r="R41" t="str">
        <f>IFERROR(IF(INDEX(Winter!$1:$1048576,MATCH(All!$A41,Winter!$A:$A,FALSE),MATCH(All!R$1,Winter!$1:$1,FALSE))="","",INDEX(Winter!$1:$1048576,MATCH(All!$A41,Winter!$A:$A,FALSE),MATCH(All!R$1,Winter!$1:$1,FALSE))),"")</f>
        <v/>
      </c>
      <c r="S41" t="str">
        <f>IFERROR(IF(INDEX(Winter!$1:$1048576,MATCH(All!$A41,Winter!$A:$A,FALSE),MATCH(All!S$1,Winter!$1:$1,FALSE))="","",INDEX(Winter!$1:$1048576,MATCH(All!$A41,Winter!$A:$A,FALSE),MATCH(All!S$1,Winter!$1:$1,FALSE))),"")</f>
        <v/>
      </c>
      <c r="T41" t="str">
        <f>IFERROR(IF(INDEX(Winter!$1:$1048576,MATCH(All!$A41,Winter!$A:$A,FALSE),MATCH(All!T$1,Winter!$1:$1,FALSE))="","",INDEX(Winter!$1:$1048576,MATCH(All!$A41,Winter!$A:$A,FALSE),MATCH(All!T$1,Winter!$1:$1,FALSE))),"")</f>
        <v>1A</v>
      </c>
      <c r="U41" t="str">
        <f>IFERROR(IF(INDEX(Winter!$1:$1048576,MATCH(All!$A41,Winter!$A:$A,FALSE),MATCH(All!U$1,Winter!$1:$1,FALSE))="","",INDEX(Winter!$1:$1048576,MATCH(All!$A41,Winter!$A:$A,FALSE),MATCH(All!U$1,Winter!$1:$1,FALSE))),"")</f>
        <v/>
      </c>
      <c r="W41">
        <f>IFERROR(IF(INDEX(Spring!$1:$1048576,MATCH(All!$A41,Spring!$A:$A,FALSE),MATCH(All!W$1,Spring!$1:$1,FALSE))="","",INDEX(Spring!$1:$1048576,MATCH(All!$A41,Spring!$A:$A,FALSE),MATCH(All!W$1,Spring!$1:$1,FALSE))),"")</f>
        <v>89</v>
      </c>
      <c r="X41" t="str">
        <f>IFERROR(IF(INDEX(Spring!$1:$1048576,MATCH(All!$A41,Spring!$A:$A,FALSE),MATCH(All!X$1,Spring!$1:$1,FALSE))="","",INDEX(Spring!$1:$1048576,MATCH(All!$A41,Spring!$A:$A,FALSE),MATCH(All!X$1,Spring!$1:$1,FALSE))),"")</f>
        <v>1A</v>
      </c>
      <c r="Y41" t="str">
        <f>IFERROR(IF(INDEX(Spring!$1:$1048576,MATCH(All!$A41,Spring!$A:$A,FALSE),MATCH(All!Y$1,Spring!$1:$1,FALSE))="","",INDEX(Spring!$1:$1048576,MATCH(All!$A41,Spring!$A:$A,FALSE),MATCH(All!Y$1,Spring!$1:$1,FALSE))),"")</f>
        <v>1A</v>
      </c>
      <c r="Z41" t="str">
        <f>IFERROR(IF(INDEX(Spring!$1:$1048576,MATCH(All!$A41,Spring!$A:$A,FALSE),MATCH(All!Z$1,Spring!$1:$1,FALSE))="","",INDEX(Spring!$1:$1048576,MATCH(All!$A41,Spring!$A:$A,FALSE),MATCH(All!Z$1,Spring!$1:$1,FALSE))),"")</f>
        <v/>
      </c>
      <c r="AA41" t="str">
        <f>IFERROR(IF(INDEX(Spring!$1:$1048576,MATCH(All!$A41,Spring!$A:$A,FALSE),MATCH(All!AA$1,Spring!$1:$1,FALSE))="","",INDEX(Spring!$1:$1048576,MATCH(All!$A41,Spring!$A:$A,FALSE),MATCH(All!AA$1,Spring!$1:$1,FALSE))),"")</f>
        <v/>
      </c>
      <c r="AB41" t="str">
        <f>IFERROR(IF(INDEX(Spring!$1:$1048576,MATCH(All!$A41,Spring!$A:$A,FALSE),MATCH(All!AB$1,Spring!$1:$1,FALSE))="","",INDEX(Spring!$1:$1048576,MATCH(All!$A41,Spring!$A:$A,FALSE),MATCH(All!AB$1,Spring!$1:$1,FALSE))),"")</f>
        <v/>
      </c>
      <c r="AC41" t="str">
        <f>IFERROR(IF(INDEX(Spring!$1:$1048576,MATCH(All!$A41,Spring!$A:$A,FALSE),MATCH(All!AC$1,Spring!$1:$1,FALSE))="","",INDEX(Spring!$1:$1048576,MATCH(All!$A41,Spring!$A:$A,FALSE),MATCH(All!AC$1,Spring!$1:$1,FALSE))),"")</f>
        <v/>
      </c>
      <c r="AD41" t="str">
        <f>IFERROR(VLOOKUP(A41,'Flag Football'!A:A,1,FALSE),"")</f>
        <v/>
      </c>
      <c r="AE41" t="str">
        <f t="shared" si="0"/>
        <v/>
      </c>
    </row>
    <row r="42" spans="1:31" ht="15.75" thickBot="1" x14ac:dyDescent="0.3">
      <c r="A42" s="20" t="s">
        <v>58</v>
      </c>
      <c r="B42" s="38" t="str">
        <f>IFERROR(VLOOKUP(A42,'Public v Private'!A:G,3,FALSE),"")</f>
        <v>private</v>
      </c>
      <c r="C42" s="38">
        <f>IFERROR(VLOOKUP(A42,'Public v Private'!A:G,4,FALSE),"")</f>
        <v>7</v>
      </c>
      <c r="D42" s="38">
        <f>IFERROR(VLOOKUP(A42,'Public v Private'!A:G,5,FALSE),"")</f>
        <v>19</v>
      </c>
      <c r="E42" s="38"/>
      <c r="F42" s="40" t="str">
        <f>IFERROR(INDEX(Fall!$1:$1048576,MATCH(All!$A42,Fall!$A:$A,FALSE),MATCH(All!F$1,Fall!$1:$1,FALSE)),"N/A")</f>
        <v>332.00 (547.80)</v>
      </c>
      <c r="G42" t="str">
        <f>IFERROR(IF(INDEX(Fall!$1:$1048576,MATCH(All!$A42,Fall!$A:$A,FALSE),MATCH(All!G$1,Fall!$1:$1,FALSE))="","",INDEX(Fall!$1:$1048576,MATCH(All!$A42,Fall!$A:$A,FALSE),MATCH(All!G$1,Fall!$1:$1,FALSE))),"")</f>
        <v>1A</v>
      </c>
      <c r="H42" t="str">
        <f>IFERROR(IF(INDEX(Fall!$1:$1048576,MATCH(All!$A42,Fall!$A:$A,FALSE),MATCH(All!H$1,Fall!$1:$1,FALSE))="","",INDEX(Fall!$1:$1048576,MATCH(All!$A42,Fall!$A:$A,FALSE),MATCH(All!H$1,Fall!$1:$1,FALSE))),"")</f>
        <v>1A</v>
      </c>
      <c r="I42" t="str">
        <f>IFERROR(IF(INDEX(Fall!$1:$1048576,MATCH(All!$A42,Fall!$A:$A,FALSE),MATCH(All!I$1,Fall!$1:$1,FALSE))="","",INDEX(Fall!$1:$1048576,MATCH(All!$A42,Fall!$A:$A,FALSE),MATCH(All!I$1,Fall!$1:$1,FALSE))),"")</f>
        <v>2A</v>
      </c>
      <c r="J42" t="str">
        <f>IFERROR(IF(INDEX(Fall!$1:$1048576,MATCH(All!$A42,Fall!$A:$A,FALSE),MATCH(All!J$1,Fall!$1:$1,FALSE))="","",INDEX(Fall!$1:$1048576,MATCH(All!$A42,Fall!$A:$A,FALSE),MATCH(All!J$1,Fall!$1:$1,FALSE))),"")</f>
        <v>1A</v>
      </c>
      <c r="K42" t="str">
        <f>IFERROR(IF(INDEX(Fall!$1:$1048576,MATCH(All!$A42,Fall!$A:$A,FALSE),MATCH(All!K$1,Fall!$1:$1,FALSE))="","",INDEX(Fall!$1:$1048576,MATCH(All!$A42,Fall!$A:$A,FALSE),MATCH(All!K$1,Fall!$1:$1,FALSE))),"")</f>
        <v>2A</v>
      </c>
      <c r="L42" t="str">
        <f>IFERROR(IF(INDEX(Fall!$1:$1048576,MATCH(All!$A42,Fall!$A:$A,FALSE),MATCH(All!L$1,Fall!$1:$1,FALSE))="","",INDEX(Fall!$1:$1048576,MATCH(All!$A42,Fall!$A:$A,FALSE),MATCH(All!L$1,Fall!$1:$1,FALSE))),"")</f>
        <v>1A</v>
      </c>
      <c r="M42" t="str">
        <f>IFERROR(IF(INDEX(Fall!$1:$1048576,MATCH(All!$A42,Fall!$A:$A,FALSE),MATCH(All!M$1,Fall!$1:$1,FALSE))="","",INDEX(Fall!$1:$1048576,MATCH(All!$A42,Fall!$A:$A,FALSE),MATCH(All!M$1,Fall!$1:$1,FALSE))),"")</f>
        <v>2A</v>
      </c>
      <c r="O42" t="str">
        <f>IFERROR(IF(INDEX(Winter!$1:$1048576,MATCH(All!$A42,Winter!$A:$A,FALSE),MATCH(All!O$1,Winter!$1:$1,FALSE))="","",INDEX(Winter!$1:$1048576,MATCH(All!$A42,Winter!$A:$A,FALSE),MATCH(All!O$1,Winter!$1:$1,FALSE))),"")</f>
        <v>332.00 (547.80)</v>
      </c>
      <c r="P42" t="str">
        <f>IFERROR(IF(INDEX(Winter!$1:$1048576,MATCH(All!$A42,Winter!$A:$A,FALSE),MATCH(All!P$1,Winter!$1:$1,FALSE))="","",INDEX(Winter!$1:$1048576,MATCH(All!$A42,Winter!$A:$A,FALSE),MATCH(All!P$1,Winter!$1:$1,FALSE))),"")</f>
        <v>2A</v>
      </c>
      <c r="Q42" t="str">
        <f>IFERROR(IF(INDEX(Winter!$1:$1048576,MATCH(All!$A42,Winter!$A:$A,FALSE),MATCH(All!Q$1,Winter!$1:$1,FALSE))="","",INDEX(Winter!$1:$1048576,MATCH(All!$A42,Winter!$A:$A,FALSE),MATCH(All!Q$1,Winter!$1:$1,FALSE))),"")</f>
        <v>2A</v>
      </c>
      <c r="R42" t="str">
        <f>IFERROR(IF(INDEX(Winter!$1:$1048576,MATCH(All!$A42,Winter!$A:$A,FALSE),MATCH(All!R$1,Winter!$1:$1,FALSE))="","",INDEX(Winter!$1:$1048576,MATCH(All!$A42,Winter!$A:$A,FALSE),MATCH(All!R$1,Winter!$1:$1,FALSE))),"")</f>
        <v/>
      </c>
      <c r="S42" t="str">
        <f>IFERROR(IF(INDEX(Winter!$1:$1048576,MATCH(All!$A42,Winter!$A:$A,FALSE),MATCH(All!S$1,Winter!$1:$1,FALSE))="","",INDEX(Winter!$1:$1048576,MATCH(All!$A42,Winter!$A:$A,FALSE),MATCH(All!S$1,Winter!$1:$1,FALSE))),"")</f>
        <v/>
      </c>
      <c r="T42" t="str">
        <f>IFERROR(IF(INDEX(Winter!$1:$1048576,MATCH(All!$A42,Winter!$A:$A,FALSE),MATCH(All!T$1,Winter!$1:$1,FALSE))="","",INDEX(Winter!$1:$1048576,MATCH(All!$A42,Winter!$A:$A,FALSE),MATCH(All!T$1,Winter!$1:$1,FALSE))),"")</f>
        <v>2A</v>
      </c>
      <c r="U42" t="str">
        <f>IFERROR(IF(INDEX(Winter!$1:$1048576,MATCH(All!$A42,Winter!$A:$A,FALSE),MATCH(All!U$1,Winter!$1:$1,FALSE))="","",INDEX(Winter!$1:$1048576,MATCH(All!$A42,Winter!$A:$A,FALSE),MATCH(All!U$1,Winter!$1:$1,FALSE))),"")</f>
        <v>1A</v>
      </c>
      <c r="W42" t="str">
        <f>IFERROR(IF(INDEX(Spring!$1:$1048576,MATCH(All!$A42,Spring!$A:$A,FALSE),MATCH(All!W$1,Spring!$1:$1,FALSE))="","",INDEX(Spring!$1:$1048576,MATCH(All!$A42,Spring!$A:$A,FALSE),MATCH(All!W$1,Spring!$1:$1,FALSE))),"")</f>
        <v>332.00 (547.80)</v>
      </c>
      <c r="X42" t="str">
        <f>IFERROR(IF(INDEX(Spring!$1:$1048576,MATCH(All!$A42,Spring!$A:$A,FALSE),MATCH(All!X$1,Spring!$1:$1,FALSE))="","",INDEX(Spring!$1:$1048576,MATCH(All!$A42,Spring!$A:$A,FALSE),MATCH(All!X$1,Spring!$1:$1,FALSE))),"")</f>
        <v>2A</v>
      </c>
      <c r="Y42" t="str">
        <f>IFERROR(IF(INDEX(Spring!$1:$1048576,MATCH(All!$A42,Spring!$A:$A,FALSE),MATCH(All!Y$1,Spring!$1:$1,FALSE))="","",INDEX(Spring!$1:$1048576,MATCH(All!$A42,Spring!$A:$A,FALSE),MATCH(All!Y$1,Spring!$1:$1,FALSE))),"")</f>
        <v>2A</v>
      </c>
      <c r="Z42" t="str">
        <f>IFERROR(IF(INDEX(Spring!$1:$1048576,MATCH(All!$A42,Spring!$A:$A,FALSE),MATCH(All!Z$1,Spring!$1:$1,FALSE))="","",INDEX(Spring!$1:$1048576,MATCH(All!$A42,Spring!$A:$A,FALSE),MATCH(All!Z$1,Spring!$1:$1,FALSE))),"")</f>
        <v>1A</v>
      </c>
      <c r="AA42" t="str">
        <f>IFERROR(IF(INDEX(Spring!$1:$1048576,MATCH(All!$A42,Spring!$A:$A,FALSE),MATCH(All!AA$1,Spring!$1:$1,FALSE))="","",INDEX(Spring!$1:$1048576,MATCH(All!$A42,Spring!$A:$A,FALSE),MATCH(All!AA$1,Spring!$1:$1,FALSE))),"")</f>
        <v>1A</v>
      </c>
      <c r="AB42" t="str">
        <f>IFERROR(IF(INDEX(Spring!$1:$1048576,MATCH(All!$A42,Spring!$A:$A,FALSE),MATCH(All!AB$1,Spring!$1:$1,FALSE))="","",INDEX(Spring!$1:$1048576,MATCH(All!$A42,Spring!$A:$A,FALSE),MATCH(All!AB$1,Spring!$1:$1,FALSE))),"")</f>
        <v>2A</v>
      </c>
      <c r="AC42" t="str">
        <f>IFERROR(IF(INDEX(Spring!$1:$1048576,MATCH(All!$A42,Spring!$A:$A,FALSE),MATCH(All!AC$1,Spring!$1:$1,FALSE))="","",INDEX(Spring!$1:$1048576,MATCH(All!$A42,Spring!$A:$A,FALSE),MATCH(All!AC$1,Spring!$1:$1,FALSE))),"")</f>
        <v>2A</v>
      </c>
      <c r="AD42" t="str">
        <f>IFERROR(VLOOKUP(A42,'Flag Football'!A:A,1,FALSE),"")</f>
        <v/>
      </c>
      <c r="AE42" t="str">
        <f t="shared" si="0"/>
        <v/>
      </c>
    </row>
    <row r="43" spans="1:31" ht="15.75" thickBot="1" x14ac:dyDescent="0.3">
      <c r="A43" s="18" t="s">
        <v>60</v>
      </c>
      <c r="B43" s="38">
        <f>IFERROR(VLOOKUP(A43,'Public v Private'!A:G,3,FALSE),"")</f>
        <v>0</v>
      </c>
      <c r="C43" s="38">
        <f>IFERROR(VLOOKUP(A43,'Public v Private'!A:G,4,FALSE),"")</f>
        <v>0</v>
      </c>
      <c r="D43" s="38">
        <f>IFERROR(VLOOKUP(A43,'Public v Private'!A:G,5,FALSE),"")</f>
        <v>0</v>
      </c>
      <c r="E43" s="38"/>
      <c r="F43" s="40">
        <f>IFERROR(INDEX(Fall!$1:$1048576,MATCH(All!$A43,Fall!$A:$A,FALSE),MATCH(All!F$1,Fall!$1:$1,FALSE)),"N/A")</f>
        <v>2352</v>
      </c>
      <c r="G43" t="str">
        <f>IFERROR(IF(INDEX(Fall!$1:$1048576,MATCH(All!$A43,Fall!$A:$A,FALSE),MATCH(All!G$1,Fall!$1:$1,FALSE))="","",INDEX(Fall!$1:$1048576,MATCH(All!$A43,Fall!$A:$A,FALSE),MATCH(All!G$1,Fall!$1:$1,FALSE))),"")</f>
        <v>3A</v>
      </c>
      <c r="H43" t="str">
        <f>IFERROR(IF(INDEX(Fall!$1:$1048576,MATCH(All!$A43,Fall!$A:$A,FALSE),MATCH(All!H$1,Fall!$1:$1,FALSE))="","",INDEX(Fall!$1:$1048576,MATCH(All!$A43,Fall!$A:$A,FALSE),MATCH(All!H$1,Fall!$1:$1,FALSE))),"")</f>
        <v>3A</v>
      </c>
      <c r="I43" t="str">
        <f>IFERROR(IF(INDEX(Fall!$1:$1048576,MATCH(All!$A43,Fall!$A:$A,FALSE),MATCH(All!I$1,Fall!$1:$1,FALSE))="","",INDEX(Fall!$1:$1048576,MATCH(All!$A43,Fall!$A:$A,FALSE),MATCH(All!I$1,Fall!$1:$1,FALSE))),"")</f>
        <v>3A</v>
      </c>
      <c r="J43" t="str">
        <f>IFERROR(IF(INDEX(Fall!$1:$1048576,MATCH(All!$A43,Fall!$A:$A,FALSE),MATCH(All!J$1,Fall!$1:$1,FALSE))="","",INDEX(Fall!$1:$1048576,MATCH(All!$A43,Fall!$A:$A,FALSE),MATCH(All!J$1,Fall!$1:$1,FALSE))),"")</f>
        <v>2A</v>
      </c>
      <c r="K43" t="str">
        <f>IFERROR(IF(INDEX(Fall!$1:$1048576,MATCH(All!$A43,Fall!$A:$A,FALSE),MATCH(All!K$1,Fall!$1:$1,FALSE))="","",INDEX(Fall!$1:$1048576,MATCH(All!$A43,Fall!$A:$A,FALSE),MATCH(All!K$1,Fall!$1:$1,FALSE))),"")</f>
        <v>3A</v>
      </c>
      <c r="L43" t="str">
        <f>IFERROR(IF(INDEX(Fall!$1:$1048576,MATCH(All!$A43,Fall!$A:$A,FALSE),MATCH(All!L$1,Fall!$1:$1,FALSE))="","",INDEX(Fall!$1:$1048576,MATCH(All!$A43,Fall!$A:$A,FALSE),MATCH(All!L$1,Fall!$1:$1,FALSE))),"")</f>
        <v>2A</v>
      </c>
      <c r="M43" t="str">
        <f>IFERROR(IF(INDEX(Fall!$1:$1048576,MATCH(All!$A43,Fall!$A:$A,FALSE),MATCH(All!M$1,Fall!$1:$1,FALSE))="","",INDEX(Fall!$1:$1048576,MATCH(All!$A43,Fall!$A:$A,FALSE),MATCH(All!M$1,Fall!$1:$1,FALSE))),"")</f>
        <v>4A</v>
      </c>
      <c r="O43">
        <f>IFERROR(IF(INDEX(Winter!$1:$1048576,MATCH(All!$A43,Winter!$A:$A,FALSE),MATCH(All!O$1,Winter!$1:$1,FALSE))="","",INDEX(Winter!$1:$1048576,MATCH(All!$A43,Winter!$A:$A,FALSE),MATCH(All!O$1,Winter!$1:$1,FALSE))),"")</f>
        <v>2352</v>
      </c>
      <c r="P43" t="str">
        <f>IFERROR(IF(INDEX(Winter!$1:$1048576,MATCH(All!$A43,Winter!$A:$A,FALSE),MATCH(All!P$1,Winter!$1:$1,FALSE))="","",INDEX(Winter!$1:$1048576,MATCH(All!$A43,Winter!$A:$A,FALSE),MATCH(All!P$1,Winter!$1:$1,FALSE))),"")</f>
        <v>4A</v>
      </c>
      <c r="Q43" t="str">
        <f>IFERROR(IF(INDEX(Winter!$1:$1048576,MATCH(All!$A43,Winter!$A:$A,FALSE),MATCH(All!Q$1,Winter!$1:$1,FALSE))="","",INDEX(Winter!$1:$1048576,MATCH(All!$A43,Winter!$A:$A,FALSE),MATCH(All!Q$1,Winter!$1:$1,FALSE))),"")</f>
        <v>4A</v>
      </c>
      <c r="R43" t="str">
        <f>IFERROR(IF(INDEX(Winter!$1:$1048576,MATCH(All!$A43,Winter!$A:$A,FALSE),MATCH(All!R$1,Winter!$1:$1,FALSE))="","",INDEX(Winter!$1:$1048576,MATCH(All!$A43,Winter!$A:$A,FALSE),MATCH(All!R$1,Winter!$1:$1,FALSE))),"")</f>
        <v>3A</v>
      </c>
      <c r="S43" t="str">
        <f>IFERROR(IF(INDEX(Winter!$1:$1048576,MATCH(All!$A43,Winter!$A:$A,FALSE),MATCH(All!S$1,Winter!$1:$1,FALSE))="","",INDEX(Winter!$1:$1048576,MATCH(All!$A43,Winter!$A:$A,FALSE),MATCH(All!S$1,Winter!$1:$1,FALSE))),"")</f>
        <v/>
      </c>
      <c r="T43" t="str">
        <f>IFERROR(IF(INDEX(Winter!$1:$1048576,MATCH(All!$A43,Winter!$A:$A,FALSE),MATCH(All!T$1,Winter!$1:$1,FALSE))="","",INDEX(Winter!$1:$1048576,MATCH(All!$A43,Winter!$A:$A,FALSE),MATCH(All!T$1,Winter!$1:$1,FALSE))),"")</f>
        <v>2A</v>
      </c>
      <c r="U43" t="str">
        <f>IFERROR(IF(INDEX(Winter!$1:$1048576,MATCH(All!$A43,Winter!$A:$A,FALSE),MATCH(All!U$1,Winter!$1:$1,FALSE))="","",INDEX(Winter!$1:$1048576,MATCH(All!$A43,Winter!$A:$A,FALSE),MATCH(All!U$1,Winter!$1:$1,FALSE))),"")</f>
        <v>3A</v>
      </c>
      <c r="W43">
        <f>IFERROR(IF(INDEX(Spring!$1:$1048576,MATCH(All!$A43,Spring!$A:$A,FALSE),MATCH(All!W$1,Spring!$1:$1,FALSE))="","",INDEX(Spring!$1:$1048576,MATCH(All!$A43,Spring!$A:$A,FALSE),MATCH(All!W$1,Spring!$1:$1,FALSE))),"")</f>
        <v>2352</v>
      </c>
      <c r="X43" t="str">
        <f>IFERROR(IF(INDEX(Spring!$1:$1048576,MATCH(All!$A43,Spring!$A:$A,FALSE),MATCH(All!X$1,Spring!$1:$1,FALSE))="","",INDEX(Spring!$1:$1048576,MATCH(All!$A43,Spring!$A:$A,FALSE),MATCH(All!X$1,Spring!$1:$1,FALSE))),"")</f>
        <v>4A</v>
      </c>
      <c r="Y43" t="str">
        <f>IFERROR(IF(INDEX(Spring!$1:$1048576,MATCH(All!$A43,Spring!$A:$A,FALSE),MATCH(All!Y$1,Spring!$1:$1,FALSE))="","",INDEX(Spring!$1:$1048576,MATCH(All!$A43,Spring!$A:$A,FALSE),MATCH(All!Y$1,Spring!$1:$1,FALSE))),"")</f>
        <v>4A</v>
      </c>
      <c r="Z43" t="str">
        <f>IFERROR(IF(INDEX(Spring!$1:$1048576,MATCH(All!$A43,Spring!$A:$A,FALSE),MATCH(All!Z$1,Spring!$1:$1,FALSE))="","",INDEX(Spring!$1:$1048576,MATCH(All!$A43,Spring!$A:$A,FALSE),MATCH(All!Z$1,Spring!$1:$1,FALSE))),"")</f>
        <v>3A</v>
      </c>
      <c r="AA43" t="str">
        <f>IFERROR(IF(INDEX(Spring!$1:$1048576,MATCH(All!$A43,Spring!$A:$A,FALSE),MATCH(All!AA$1,Spring!$1:$1,FALSE))="","",INDEX(Spring!$1:$1048576,MATCH(All!$A43,Spring!$A:$A,FALSE),MATCH(All!AA$1,Spring!$1:$1,FALSE))),"")</f>
        <v>2A</v>
      </c>
      <c r="AB43" t="str">
        <f>IFERROR(IF(INDEX(Spring!$1:$1048576,MATCH(All!$A43,Spring!$A:$A,FALSE),MATCH(All!AB$1,Spring!$1:$1,FALSE))="","",INDEX(Spring!$1:$1048576,MATCH(All!$A43,Spring!$A:$A,FALSE),MATCH(All!AB$1,Spring!$1:$1,FALSE))),"")</f>
        <v>3A</v>
      </c>
      <c r="AC43" t="str">
        <f>IFERROR(IF(INDEX(Spring!$1:$1048576,MATCH(All!$A43,Spring!$A:$A,FALSE),MATCH(All!AC$1,Spring!$1:$1,FALSE))="","",INDEX(Spring!$1:$1048576,MATCH(All!$A43,Spring!$A:$A,FALSE),MATCH(All!AC$1,Spring!$1:$1,FALSE))),"")</f>
        <v>3A</v>
      </c>
      <c r="AD43" t="str">
        <f>IFERROR(VLOOKUP(A43,'Flag Football'!A:A,1,FALSE),"")</f>
        <v>Belleville (East)</v>
      </c>
      <c r="AE43" t="str">
        <f t="shared" si="0"/>
        <v>1A</v>
      </c>
    </row>
    <row r="44" spans="1:31" ht="15.75" thickBot="1" x14ac:dyDescent="0.3">
      <c r="A44" s="20" t="s">
        <v>61</v>
      </c>
      <c r="B44" s="38">
        <f>IFERROR(VLOOKUP(A44,'Public v Private'!A:G,3,FALSE),"")</f>
        <v>0</v>
      </c>
      <c r="C44" s="38">
        <f>IFERROR(VLOOKUP(A44,'Public v Private'!A:G,4,FALSE),"")</f>
        <v>0</v>
      </c>
      <c r="D44" s="38">
        <f>IFERROR(VLOOKUP(A44,'Public v Private'!A:G,5,FALSE),"")</f>
        <v>0</v>
      </c>
      <c r="E44" s="38"/>
      <c r="F44" s="40">
        <f>IFERROR(INDEX(Fall!$1:$1048576,MATCH(All!$A44,Fall!$A:$A,FALSE),MATCH(All!F$1,Fall!$1:$1,FALSE)),"N/A")</f>
        <v>1990</v>
      </c>
      <c r="G44" t="str">
        <f>IFERROR(IF(INDEX(Fall!$1:$1048576,MATCH(All!$A44,Fall!$A:$A,FALSE),MATCH(All!G$1,Fall!$1:$1,FALSE))="","",INDEX(Fall!$1:$1048576,MATCH(All!$A44,Fall!$A:$A,FALSE),MATCH(All!G$1,Fall!$1:$1,FALSE))),"")</f>
        <v>3A</v>
      </c>
      <c r="H44" t="str">
        <f>IFERROR(IF(INDEX(Fall!$1:$1048576,MATCH(All!$A44,Fall!$A:$A,FALSE),MATCH(All!H$1,Fall!$1:$1,FALSE))="","",INDEX(Fall!$1:$1048576,MATCH(All!$A44,Fall!$A:$A,FALSE),MATCH(All!H$1,Fall!$1:$1,FALSE))),"")</f>
        <v>3A</v>
      </c>
      <c r="I44" t="str">
        <f>IFERROR(IF(INDEX(Fall!$1:$1048576,MATCH(All!$A44,Fall!$A:$A,FALSE),MATCH(All!I$1,Fall!$1:$1,FALSE))="","",INDEX(Fall!$1:$1048576,MATCH(All!$A44,Fall!$A:$A,FALSE),MATCH(All!I$1,Fall!$1:$1,FALSE))),"")</f>
        <v>3A</v>
      </c>
      <c r="J44" t="str">
        <f>IFERROR(IF(INDEX(Fall!$1:$1048576,MATCH(All!$A44,Fall!$A:$A,FALSE),MATCH(All!J$1,Fall!$1:$1,FALSE))="","",INDEX(Fall!$1:$1048576,MATCH(All!$A44,Fall!$A:$A,FALSE),MATCH(All!J$1,Fall!$1:$1,FALSE))),"")</f>
        <v>2A</v>
      </c>
      <c r="K44" t="str">
        <f>IFERROR(IF(INDEX(Fall!$1:$1048576,MATCH(All!$A44,Fall!$A:$A,FALSE),MATCH(All!K$1,Fall!$1:$1,FALSE))="","",INDEX(Fall!$1:$1048576,MATCH(All!$A44,Fall!$A:$A,FALSE),MATCH(All!K$1,Fall!$1:$1,FALSE))),"")</f>
        <v>3A</v>
      </c>
      <c r="L44" t="str">
        <f>IFERROR(IF(INDEX(Fall!$1:$1048576,MATCH(All!$A44,Fall!$A:$A,FALSE),MATCH(All!L$1,Fall!$1:$1,FALSE))="","",INDEX(Fall!$1:$1048576,MATCH(All!$A44,Fall!$A:$A,FALSE),MATCH(All!L$1,Fall!$1:$1,FALSE))),"")</f>
        <v>2A</v>
      </c>
      <c r="M44" t="str">
        <f>IFERROR(IF(INDEX(Fall!$1:$1048576,MATCH(All!$A44,Fall!$A:$A,FALSE),MATCH(All!M$1,Fall!$1:$1,FALSE))="","",INDEX(Fall!$1:$1048576,MATCH(All!$A44,Fall!$A:$A,FALSE),MATCH(All!M$1,Fall!$1:$1,FALSE))),"")</f>
        <v>4A</v>
      </c>
      <c r="O44">
        <f>IFERROR(IF(INDEX(Winter!$1:$1048576,MATCH(All!$A44,Winter!$A:$A,FALSE),MATCH(All!O$1,Winter!$1:$1,FALSE))="","",INDEX(Winter!$1:$1048576,MATCH(All!$A44,Winter!$A:$A,FALSE),MATCH(All!O$1,Winter!$1:$1,FALSE))),"")</f>
        <v>1990</v>
      </c>
      <c r="P44" t="str">
        <f>IFERROR(IF(INDEX(Winter!$1:$1048576,MATCH(All!$A44,Winter!$A:$A,FALSE),MATCH(All!P$1,Winter!$1:$1,FALSE))="","",INDEX(Winter!$1:$1048576,MATCH(All!$A44,Winter!$A:$A,FALSE),MATCH(All!P$1,Winter!$1:$1,FALSE))),"")</f>
        <v>4A</v>
      </c>
      <c r="Q44" t="str">
        <f>IFERROR(IF(INDEX(Winter!$1:$1048576,MATCH(All!$A44,Winter!$A:$A,FALSE),MATCH(All!Q$1,Winter!$1:$1,FALSE))="","",INDEX(Winter!$1:$1048576,MATCH(All!$A44,Winter!$A:$A,FALSE),MATCH(All!Q$1,Winter!$1:$1,FALSE))),"")</f>
        <v>4A</v>
      </c>
      <c r="R44" t="str">
        <f>IFERROR(IF(INDEX(Winter!$1:$1048576,MATCH(All!$A44,Winter!$A:$A,FALSE),MATCH(All!R$1,Winter!$1:$1,FALSE))="","",INDEX(Winter!$1:$1048576,MATCH(All!$A44,Winter!$A:$A,FALSE),MATCH(All!R$1,Winter!$1:$1,FALSE))),"")</f>
        <v>3A</v>
      </c>
      <c r="S44" t="str">
        <f>IFERROR(IF(INDEX(Winter!$1:$1048576,MATCH(All!$A44,Winter!$A:$A,FALSE),MATCH(All!S$1,Winter!$1:$1,FALSE))="","",INDEX(Winter!$1:$1048576,MATCH(All!$A44,Winter!$A:$A,FALSE),MATCH(All!S$1,Winter!$1:$1,FALSE))),"")</f>
        <v>3A</v>
      </c>
      <c r="T44" t="str">
        <f>IFERROR(IF(INDEX(Winter!$1:$1048576,MATCH(All!$A44,Winter!$A:$A,FALSE),MATCH(All!T$1,Winter!$1:$1,FALSE))="","",INDEX(Winter!$1:$1048576,MATCH(All!$A44,Winter!$A:$A,FALSE),MATCH(All!T$1,Winter!$1:$1,FALSE))),"")</f>
        <v>2A</v>
      </c>
      <c r="U44" t="str">
        <f>IFERROR(IF(INDEX(Winter!$1:$1048576,MATCH(All!$A44,Winter!$A:$A,FALSE),MATCH(All!U$1,Winter!$1:$1,FALSE))="","",INDEX(Winter!$1:$1048576,MATCH(All!$A44,Winter!$A:$A,FALSE),MATCH(All!U$1,Winter!$1:$1,FALSE))),"")</f>
        <v>3A</v>
      </c>
      <c r="W44">
        <f>IFERROR(IF(INDEX(Spring!$1:$1048576,MATCH(All!$A44,Spring!$A:$A,FALSE),MATCH(All!W$1,Spring!$1:$1,FALSE))="","",INDEX(Spring!$1:$1048576,MATCH(All!$A44,Spring!$A:$A,FALSE),MATCH(All!W$1,Spring!$1:$1,FALSE))),"")</f>
        <v>1990</v>
      </c>
      <c r="X44" t="str">
        <f>IFERROR(IF(INDEX(Spring!$1:$1048576,MATCH(All!$A44,Spring!$A:$A,FALSE),MATCH(All!X$1,Spring!$1:$1,FALSE))="","",INDEX(Spring!$1:$1048576,MATCH(All!$A44,Spring!$A:$A,FALSE),MATCH(All!X$1,Spring!$1:$1,FALSE))),"")</f>
        <v>4A</v>
      </c>
      <c r="Y44" t="str">
        <f>IFERROR(IF(INDEX(Spring!$1:$1048576,MATCH(All!$A44,Spring!$A:$A,FALSE),MATCH(All!Y$1,Spring!$1:$1,FALSE))="","",INDEX(Spring!$1:$1048576,MATCH(All!$A44,Spring!$A:$A,FALSE),MATCH(All!Y$1,Spring!$1:$1,FALSE))),"")</f>
        <v>4A</v>
      </c>
      <c r="Z44" t="str">
        <f>IFERROR(IF(INDEX(Spring!$1:$1048576,MATCH(All!$A44,Spring!$A:$A,FALSE),MATCH(All!Z$1,Spring!$1:$1,FALSE))="","",INDEX(Spring!$1:$1048576,MATCH(All!$A44,Spring!$A:$A,FALSE),MATCH(All!Z$1,Spring!$1:$1,FALSE))),"")</f>
        <v>3A</v>
      </c>
      <c r="AA44" t="str">
        <f>IFERROR(IF(INDEX(Spring!$1:$1048576,MATCH(All!$A44,Spring!$A:$A,FALSE),MATCH(All!AA$1,Spring!$1:$1,FALSE))="","",INDEX(Spring!$1:$1048576,MATCH(All!$A44,Spring!$A:$A,FALSE),MATCH(All!AA$1,Spring!$1:$1,FALSE))),"")</f>
        <v>2A</v>
      </c>
      <c r="AB44" t="str">
        <f>IFERROR(IF(INDEX(Spring!$1:$1048576,MATCH(All!$A44,Spring!$A:$A,FALSE),MATCH(All!AB$1,Spring!$1:$1,FALSE))="","",INDEX(Spring!$1:$1048576,MATCH(All!$A44,Spring!$A:$A,FALSE),MATCH(All!AB$1,Spring!$1:$1,FALSE))),"")</f>
        <v>3A</v>
      </c>
      <c r="AC44" t="str">
        <f>IFERROR(IF(INDEX(Spring!$1:$1048576,MATCH(All!$A44,Spring!$A:$A,FALSE),MATCH(All!AC$1,Spring!$1:$1,FALSE))="","",INDEX(Spring!$1:$1048576,MATCH(All!$A44,Spring!$A:$A,FALSE),MATCH(All!AC$1,Spring!$1:$1,FALSE))),"")</f>
        <v>3A</v>
      </c>
      <c r="AD44" t="str">
        <f>IFERROR(VLOOKUP(A44,'Flag Football'!A:A,1,FALSE),"")</f>
        <v>Belleville (West)</v>
      </c>
      <c r="AE44" t="str">
        <f t="shared" si="0"/>
        <v>1A</v>
      </c>
    </row>
    <row r="45" spans="1:31" ht="15.75" thickBot="1" x14ac:dyDescent="0.3">
      <c r="A45" s="18" t="s">
        <v>62</v>
      </c>
      <c r="B45" s="38">
        <f>IFERROR(VLOOKUP(A45,'Public v Private'!A:G,3,FALSE),"")</f>
        <v>0</v>
      </c>
      <c r="C45" s="38">
        <f>IFERROR(VLOOKUP(A45,'Public v Private'!A:G,4,FALSE),"")</f>
        <v>0</v>
      </c>
      <c r="D45" s="38">
        <f>IFERROR(VLOOKUP(A45,'Public v Private'!A:G,5,FALSE),"")</f>
        <v>0</v>
      </c>
      <c r="E45" s="38"/>
      <c r="F45" s="40">
        <f>IFERROR(INDEX(Fall!$1:$1048576,MATCH(All!$A45,Fall!$A:$A,FALSE),MATCH(All!F$1,Fall!$1:$1,FALSE)),"N/A")</f>
        <v>1113</v>
      </c>
      <c r="G45" t="str">
        <f>IFERROR(IF(INDEX(Fall!$1:$1048576,MATCH(All!$A45,Fall!$A:$A,FALSE),MATCH(All!G$1,Fall!$1:$1,FALSE))="","",INDEX(Fall!$1:$1048576,MATCH(All!$A45,Fall!$A:$A,FALSE),MATCH(All!G$1,Fall!$1:$1,FALSE))),"")</f>
        <v>2A</v>
      </c>
      <c r="H45" t="str">
        <f>IFERROR(IF(INDEX(Fall!$1:$1048576,MATCH(All!$A45,Fall!$A:$A,FALSE),MATCH(All!H$1,Fall!$1:$1,FALSE))="","",INDEX(Fall!$1:$1048576,MATCH(All!$A45,Fall!$A:$A,FALSE),MATCH(All!H$1,Fall!$1:$1,FALSE))),"")</f>
        <v>2A</v>
      </c>
      <c r="I45" t="str">
        <f>IFERROR(IF(INDEX(Fall!$1:$1048576,MATCH(All!$A45,Fall!$A:$A,FALSE),MATCH(All!I$1,Fall!$1:$1,FALSE))="","",INDEX(Fall!$1:$1048576,MATCH(All!$A45,Fall!$A:$A,FALSE),MATCH(All!I$1,Fall!$1:$1,FALSE))),"")</f>
        <v>2A</v>
      </c>
      <c r="J45" t="str">
        <f>IFERROR(IF(INDEX(Fall!$1:$1048576,MATCH(All!$A45,Fall!$A:$A,FALSE),MATCH(All!J$1,Fall!$1:$1,FALSE))="","",INDEX(Fall!$1:$1048576,MATCH(All!$A45,Fall!$A:$A,FALSE),MATCH(All!J$1,Fall!$1:$1,FALSE))),"")</f>
        <v>2A</v>
      </c>
      <c r="K45" t="str">
        <f>IFERROR(IF(INDEX(Fall!$1:$1048576,MATCH(All!$A45,Fall!$A:$A,FALSE),MATCH(All!K$1,Fall!$1:$1,FALSE))="","",INDEX(Fall!$1:$1048576,MATCH(All!$A45,Fall!$A:$A,FALSE),MATCH(All!K$1,Fall!$1:$1,FALSE))),"")</f>
        <v>2A</v>
      </c>
      <c r="L45" t="str">
        <f>IFERROR(IF(INDEX(Fall!$1:$1048576,MATCH(All!$A45,Fall!$A:$A,FALSE),MATCH(All!L$1,Fall!$1:$1,FALSE))="","",INDEX(Fall!$1:$1048576,MATCH(All!$A45,Fall!$A:$A,FALSE),MATCH(All!L$1,Fall!$1:$1,FALSE))),"")</f>
        <v>1A</v>
      </c>
      <c r="M45" t="str">
        <f>IFERROR(IF(INDEX(Fall!$1:$1048576,MATCH(All!$A45,Fall!$A:$A,FALSE),MATCH(All!M$1,Fall!$1:$1,FALSE))="","",INDEX(Fall!$1:$1048576,MATCH(All!$A45,Fall!$A:$A,FALSE),MATCH(All!M$1,Fall!$1:$1,FALSE))),"")</f>
        <v>3A</v>
      </c>
      <c r="O45">
        <f>IFERROR(IF(INDEX(Winter!$1:$1048576,MATCH(All!$A45,Winter!$A:$A,FALSE),MATCH(All!O$1,Winter!$1:$1,FALSE))="","",INDEX(Winter!$1:$1048576,MATCH(All!$A45,Winter!$A:$A,FALSE),MATCH(All!O$1,Winter!$1:$1,FALSE))),"")</f>
        <v>1113</v>
      </c>
      <c r="P45" t="str">
        <f>IFERROR(IF(INDEX(Winter!$1:$1048576,MATCH(All!$A45,Winter!$A:$A,FALSE),MATCH(All!P$1,Winter!$1:$1,FALSE))="","",INDEX(Winter!$1:$1048576,MATCH(All!$A45,Winter!$A:$A,FALSE),MATCH(All!P$1,Winter!$1:$1,FALSE))),"")</f>
        <v>3A</v>
      </c>
      <c r="Q45" t="str">
        <f>IFERROR(IF(INDEX(Winter!$1:$1048576,MATCH(All!$A45,Winter!$A:$A,FALSE),MATCH(All!Q$1,Winter!$1:$1,FALSE))="","",INDEX(Winter!$1:$1048576,MATCH(All!$A45,Winter!$A:$A,FALSE),MATCH(All!Q$1,Winter!$1:$1,FALSE))),"")</f>
        <v>3A</v>
      </c>
      <c r="R45" t="str">
        <f>IFERROR(IF(INDEX(Winter!$1:$1048576,MATCH(All!$A45,Winter!$A:$A,FALSE),MATCH(All!R$1,Winter!$1:$1,FALSE))="","",INDEX(Winter!$1:$1048576,MATCH(All!$A45,Winter!$A:$A,FALSE),MATCH(All!R$1,Winter!$1:$1,FALSE))),"")</f>
        <v>2A</v>
      </c>
      <c r="S45" t="str">
        <f>IFERROR(IF(INDEX(Winter!$1:$1048576,MATCH(All!$A45,Winter!$A:$A,FALSE),MATCH(All!S$1,Winter!$1:$1,FALSE))="","",INDEX(Winter!$1:$1048576,MATCH(All!$A45,Winter!$A:$A,FALSE),MATCH(All!S$1,Winter!$1:$1,FALSE))),"")</f>
        <v>2A</v>
      </c>
      <c r="T45" t="str">
        <f>IFERROR(IF(INDEX(Winter!$1:$1048576,MATCH(All!$A45,Winter!$A:$A,FALSE),MATCH(All!T$1,Winter!$1:$1,FALSE))="","",INDEX(Winter!$1:$1048576,MATCH(All!$A45,Winter!$A:$A,FALSE),MATCH(All!T$1,Winter!$1:$1,FALSE))),"")</f>
        <v>2A</v>
      </c>
      <c r="U45" t="str">
        <f>IFERROR(IF(INDEX(Winter!$1:$1048576,MATCH(All!$A45,Winter!$A:$A,FALSE),MATCH(All!U$1,Winter!$1:$1,FALSE))="","",INDEX(Winter!$1:$1048576,MATCH(All!$A45,Winter!$A:$A,FALSE),MATCH(All!U$1,Winter!$1:$1,FALSE))),"")</f>
        <v>2A</v>
      </c>
      <c r="W45">
        <f>IFERROR(IF(INDEX(Spring!$1:$1048576,MATCH(All!$A45,Spring!$A:$A,FALSE),MATCH(All!W$1,Spring!$1:$1,FALSE))="","",INDEX(Spring!$1:$1048576,MATCH(All!$A45,Spring!$A:$A,FALSE),MATCH(All!W$1,Spring!$1:$1,FALSE))),"")</f>
        <v>1113</v>
      </c>
      <c r="X45" t="str">
        <f>IFERROR(IF(INDEX(Spring!$1:$1048576,MATCH(All!$A45,Spring!$A:$A,FALSE),MATCH(All!X$1,Spring!$1:$1,FALSE))="","",INDEX(Spring!$1:$1048576,MATCH(All!$A45,Spring!$A:$A,FALSE),MATCH(All!X$1,Spring!$1:$1,FALSE))),"")</f>
        <v>3A</v>
      </c>
      <c r="Y45" t="str">
        <f>IFERROR(IF(INDEX(Spring!$1:$1048576,MATCH(All!$A45,Spring!$A:$A,FALSE),MATCH(All!Y$1,Spring!$1:$1,FALSE))="","",INDEX(Spring!$1:$1048576,MATCH(All!$A45,Spring!$A:$A,FALSE),MATCH(All!Y$1,Spring!$1:$1,FALSE))),"")</f>
        <v>3A</v>
      </c>
      <c r="Z45" t="str">
        <f>IFERROR(IF(INDEX(Spring!$1:$1048576,MATCH(All!$A45,Spring!$A:$A,FALSE),MATCH(All!Z$1,Spring!$1:$1,FALSE))="","",INDEX(Spring!$1:$1048576,MATCH(All!$A45,Spring!$A:$A,FALSE),MATCH(All!Z$1,Spring!$1:$1,FALSE))),"")</f>
        <v>2A</v>
      </c>
      <c r="AA45" t="str">
        <f>IFERROR(IF(INDEX(Spring!$1:$1048576,MATCH(All!$A45,Spring!$A:$A,FALSE),MATCH(All!AA$1,Spring!$1:$1,FALSE))="","",INDEX(Spring!$1:$1048576,MATCH(All!$A45,Spring!$A:$A,FALSE),MATCH(All!AA$1,Spring!$1:$1,FALSE))),"")</f>
        <v>1A</v>
      </c>
      <c r="AB45" t="str">
        <f>IFERROR(IF(INDEX(Spring!$1:$1048576,MATCH(All!$A45,Spring!$A:$A,FALSE),MATCH(All!AB$1,Spring!$1:$1,FALSE))="","",INDEX(Spring!$1:$1048576,MATCH(All!$A45,Spring!$A:$A,FALSE),MATCH(All!AB$1,Spring!$1:$1,FALSE))),"")</f>
        <v>2A</v>
      </c>
      <c r="AC45" t="str">
        <f>IFERROR(IF(INDEX(Spring!$1:$1048576,MATCH(All!$A45,Spring!$A:$A,FALSE),MATCH(All!AC$1,Spring!$1:$1,FALSE))="","",INDEX(Spring!$1:$1048576,MATCH(All!$A45,Spring!$A:$A,FALSE),MATCH(All!AC$1,Spring!$1:$1,FALSE))),"")</f>
        <v>2A</v>
      </c>
      <c r="AD45" t="str">
        <f>IFERROR(VLOOKUP(A45,'Flag Football'!A:A,1,FALSE),"")</f>
        <v>Belvidere (H.S.)</v>
      </c>
      <c r="AE45" t="str">
        <f t="shared" si="0"/>
        <v>1A</v>
      </c>
    </row>
    <row r="46" spans="1:31" ht="15.75" thickBot="1" x14ac:dyDescent="0.3">
      <c r="A46" s="20" t="s">
        <v>63</v>
      </c>
      <c r="B46" s="38">
        <f>IFERROR(VLOOKUP(A46,'Public v Private'!A:G,3,FALSE),"")</f>
        <v>0</v>
      </c>
      <c r="C46" s="38">
        <f>IFERROR(VLOOKUP(A46,'Public v Private'!A:G,4,FALSE),"")</f>
        <v>0</v>
      </c>
      <c r="D46" s="38">
        <f>IFERROR(VLOOKUP(A46,'Public v Private'!A:G,5,FALSE),"")</f>
        <v>0</v>
      </c>
      <c r="E46" s="38"/>
      <c r="F46" s="40">
        <f>IFERROR(INDEX(Fall!$1:$1048576,MATCH(All!$A46,Fall!$A:$A,FALSE),MATCH(All!F$1,Fall!$1:$1,FALSE)),"N/A")</f>
        <v>1304</v>
      </c>
      <c r="G46" t="str">
        <f>IFERROR(IF(INDEX(Fall!$1:$1048576,MATCH(All!$A46,Fall!$A:$A,FALSE),MATCH(All!G$1,Fall!$1:$1,FALSE))="","",INDEX(Fall!$1:$1048576,MATCH(All!$A46,Fall!$A:$A,FALSE),MATCH(All!G$1,Fall!$1:$1,FALSE))),"")</f>
        <v>2A</v>
      </c>
      <c r="H46" t="str">
        <f>IFERROR(IF(INDEX(Fall!$1:$1048576,MATCH(All!$A46,Fall!$A:$A,FALSE),MATCH(All!H$1,Fall!$1:$1,FALSE))="","",INDEX(Fall!$1:$1048576,MATCH(All!$A46,Fall!$A:$A,FALSE),MATCH(All!H$1,Fall!$1:$1,FALSE))),"")</f>
        <v>2A</v>
      </c>
      <c r="I46" t="str">
        <f>IFERROR(IF(INDEX(Fall!$1:$1048576,MATCH(All!$A46,Fall!$A:$A,FALSE),MATCH(All!I$1,Fall!$1:$1,FALSE))="","",INDEX(Fall!$1:$1048576,MATCH(All!$A46,Fall!$A:$A,FALSE),MATCH(All!I$1,Fall!$1:$1,FALSE))),"")</f>
        <v>2A</v>
      </c>
      <c r="J46" t="str">
        <f>IFERROR(IF(INDEX(Fall!$1:$1048576,MATCH(All!$A46,Fall!$A:$A,FALSE),MATCH(All!J$1,Fall!$1:$1,FALSE))="","",INDEX(Fall!$1:$1048576,MATCH(All!$A46,Fall!$A:$A,FALSE),MATCH(All!J$1,Fall!$1:$1,FALSE))),"")</f>
        <v/>
      </c>
      <c r="K46" t="str">
        <f>IFERROR(IF(INDEX(Fall!$1:$1048576,MATCH(All!$A46,Fall!$A:$A,FALSE),MATCH(All!K$1,Fall!$1:$1,FALSE))="","",INDEX(Fall!$1:$1048576,MATCH(All!$A46,Fall!$A:$A,FALSE),MATCH(All!K$1,Fall!$1:$1,FALSE))),"")</f>
        <v>2A</v>
      </c>
      <c r="L46" t="str">
        <f>IFERROR(IF(INDEX(Fall!$1:$1048576,MATCH(All!$A46,Fall!$A:$A,FALSE),MATCH(All!L$1,Fall!$1:$1,FALSE))="","",INDEX(Fall!$1:$1048576,MATCH(All!$A46,Fall!$A:$A,FALSE),MATCH(All!L$1,Fall!$1:$1,FALSE))),"")</f>
        <v>1A</v>
      </c>
      <c r="M46" t="str">
        <f>IFERROR(IF(INDEX(Fall!$1:$1048576,MATCH(All!$A46,Fall!$A:$A,FALSE),MATCH(All!M$1,Fall!$1:$1,FALSE))="","",INDEX(Fall!$1:$1048576,MATCH(All!$A46,Fall!$A:$A,FALSE),MATCH(All!M$1,Fall!$1:$1,FALSE))),"")</f>
        <v>3A</v>
      </c>
      <c r="O46">
        <f>IFERROR(IF(INDEX(Winter!$1:$1048576,MATCH(All!$A46,Winter!$A:$A,FALSE),MATCH(All!O$1,Winter!$1:$1,FALSE))="","",INDEX(Winter!$1:$1048576,MATCH(All!$A46,Winter!$A:$A,FALSE),MATCH(All!O$1,Winter!$1:$1,FALSE))),"")</f>
        <v>1304</v>
      </c>
      <c r="P46" t="str">
        <f>IFERROR(IF(INDEX(Winter!$1:$1048576,MATCH(All!$A46,Winter!$A:$A,FALSE),MATCH(All!P$1,Winter!$1:$1,FALSE))="","",INDEX(Winter!$1:$1048576,MATCH(All!$A46,Winter!$A:$A,FALSE),MATCH(All!P$1,Winter!$1:$1,FALSE))),"")</f>
        <v>3A</v>
      </c>
      <c r="Q46" t="str">
        <f>IFERROR(IF(INDEX(Winter!$1:$1048576,MATCH(All!$A46,Winter!$A:$A,FALSE),MATCH(All!Q$1,Winter!$1:$1,FALSE))="","",INDEX(Winter!$1:$1048576,MATCH(All!$A46,Winter!$A:$A,FALSE),MATCH(All!Q$1,Winter!$1:$1,FALSE))),"")</f>
        <v>3A</v>
      </c>
      <c r="R46" t="str">
        <f>IFERROR(IF(INDEX(Winter!$1:$1048576,MATCH(All!$A46,Winter!$A:$A,FALSE),MATCH(All!R$1,Winter!$1:$1,FALSE))="","",INDEX(Winter!$1:$1048576,MATCH(All!$A46,Winter!$A:$A,FALSE),MATCH(All!R$1,Winter!$1:$1,FALSE))),"")</f>
        <v>C</v>
      </c>
      <c r="S46" t="str">
        <f>IFERROR(IF(INDEX(Winter!$1:$1048576,MATCH(All!$A46,Winter!$A:$A,FALSE),MATCH(All!S$1,Winter!$1:$1,FALSE))="","",INDEX(Winter!$1:$1048576,MATCH(All!$A46,Winter!$A:$A,FALSE),MATCH(All!S$1,Winter!$1:$1,FALSE))),"")</f>
        <v>2A</v>
      </c>
      <c r="T46" t="str">
        <f>IFERROR(IF(INDEX(Winter!$1:$1048576,MATCH(All!$A46,Winter!$A:$A,FALSE),MATCH(All!T$1,Winter!$1:$1,FALSE))="","",INDEX(Winter!$1:$1048576,MATCH(All!$A46,Winter!$A:$A,FALSE),MATCH(All!T$1,Winter!$1:$1,FALSE))),"")</f>
        <v>2A</v>
      </c>
      <c r="U46" t="str">
        <f>IFERROR(IF(INDEX(Winter!$1:$1048576,MATCH(All!$A46,Winter!$A:$A,FALSE),MATCH(All!U$1,Winter!$1:$1,FALSE))="","",INDEX(Winter!$1:$1048576,MATCH(All!$A46,Winter!$A:$A,FALSE),MATCH(All!U$1,Winter!$1:$1,FALSE))),"")</f>
        <v>2A</v>
      </c>
      <c r="W46">
        <f>IFERROR(IF(INDEX(Spring!$1:$1048576,MATCH(All!$A46,Spring!$A:$A,FALSE),MATCH(All!W$1,Spring!$1:$1,FALSE))="","",INDEX(Spring!$1:$1048576,MATCH(All!$A46,Spring!$A:$A,FALSE),MATCH(All!W$1,Spring!$1:$1,FALSE))),"")</f>
        <v>1304</v>
      </c>
      <c r="X46" t="str">
        <f>IFERROR(IF(INDEX(Spring!$1:$1048576,MATCH(All!$A46,Spring!$A:$A,FALSE),MATCH(All!X$1,Spring!$1:$1,FALSE))="","",INDEX(Spring!$1:$1048576,MATCH(All!$A46,Spring!$A:$A,FALSE),MATCH(All!X$1,Spring!$1:$1,FALSE))),"")</f>
        <v>3A</v>
      </c>
      <c r="Y46" t="str">
        <f>IFERROR(IF(INDEX(Spring!$1:$1048576,MATCH(All!$A46,Spring!$A:$A,FALSE),MATCH(All!Y$1,Spring!$1:$1,FALSE))="","",INDEX(Spring!$1:$1048576,MATCH(All!$A46,Spring!$A:$A,FALSE),MATCH(All!Y$1,Spring!$1:$1,FALSE))),"")</f>
        <v>3A</v>
      </c>
      <c r="Z46" t="str">
        <f>IFERROR(IF(INDEX(Spring!$1:$1048576,MATCH(All!$A46,Spring!$A:$A,FALSE),MATCH(All!Z$1,Spring!$1:$1,FALSE))="","",INDEX(Spring!$1:$1048576,MATCH(All!$A46,Spring!$A:$A,FALSE),MATCH(All!Z$1,Spring!$1:$1,FALSE))),"")</f>
        <v>2A</v>
      </c>
      <c r="AA46" t="str">
        <f>IFERROR(IF(INDEX(Spring!$1:$1048576,MATCH(All!$A46,Spring!$A:$A,FALSE),MATCH(All!AA$1,Spring!$1:$1,FALSE))="","",INDEX(Spring!$1:$1048576,MATCH(All!$A46,Spring!$A:$A,FALSE),MATCH(All!AA$1,Spring!$1:$1,FALSE))),"")</f>
        <v>1A</v>
      </c>
      <c r="AB46" t="str">
        <f>IFERROR(IF(INDEX(Spring!$1:$1048576,MATCH(All!$A46,Spring!$A:$A,FALSE),MATCH(All!AB$1,Spring!$1:$1,FALSE))="","",INDEX(Spring!$1:$1048576,MATCH(All!$A46,Spring!$A:$A,FALSE),MATCH(All!AB$1,Spring!$1:$1,FALSE))),"")</f>
        <v>3A</v>
      </c>
      <c r="AC46" t="str">
        <f>IFERROR(IF(INDEX(Spring!$1:$1048576,MATCH(All!$A46,Spring!$A:$A,FALSE),MATCH(All!AC$1,Spring!$1:$1,FALSE))="","",INDEX(Spring!$1:$1048576,MATCH(All!$A46,Spring!$A:$A,FALSE),MATCH(All!AC$1,Spring!$1:$1,FALSE))),"")</f>
        <v>3A</v>
      </c>
      <c r="AD46" t="str">
        <f>IFERROR(VLOOKUP(A46,'Flag Football'!A:A,1,FALSE),"")</f>
        <v>Belvidere (North)</v>
      </c>
      <c r="AE46" t="str">
        <f t="shared" si="0"/>
        <v>1A</v>
      </c>
    </row>
    <row r="47" spans="1:31" ht="15.75" thickBot="1" x14ac:dyDescent="0.3">
      <c r="A47" s="18" t="s">
        <v>978</v>
      </c>
      <c r="B47" s="38">
        <f>IFERROR(VLOOKUP(A47,'Public v Private'!A:G,3,FALSE),"")</f>
        <v>0</v>
      </c>
      <c r="C47" s="38">
        <f>IFERROR(VLOOKUP(A47,'Public v Private'!A:G,4,FALSE),"")</f>
        <v>0</v>
      </c>
      <c r="D47" s="38">
        <f>IFERROR(VLOOKUP(A47,'Public v Private'!A:G,5,FALSE),"")</f>
        <v>0</v>
      </c>
      <c r="E47" s="38"/>
      <c r="F47" s="40">
        <f>IFERROR(INDEX(Fall!$1:$1048576,MATCH(All!$A47,Fall!$A:$A,FALSE),MATCH(All!F$1,Fall!$1:$1,FALSE)),"N/A")</f>
        <v>82</v>
      </c>
      <c r="G47" t="str">
        <f>IFERROR(IF(INDEX(Fall!$1:$1048576,MATCH(All!$A47,Fall!$A:$A,FALSE),MATCH(All!G$1,Fall!$1:$1,FALSE))="","",INDEX(Fall!$1:$1048576,MATCH(All!$A47,Fall!$A:$A,FALSE),MATCH(All!G$1,Fall!$1:$1,FALSE))),"")</f>
        <v>1A</v>
      </c>
      <c r="H47" t="str">
        <f>IFERROR(IF(INDEX(Fall!$1:$1048576,MATCH(All!$A47,Fall!$A:$A,FALSE),MATCH(All!H$1,Fall!$1:$1,FALSE))="","",INDEX(Fall!$1:$1048576,MATCH(All!$A47,Fall!$A:$A,FALSE),MATCH(All!H$1,Fall!$1:$1,FALSE))),"")</f>
        <v>1A</v>
      </c>
      <c r="I47" t="str">
        <f>IFERROR(IF(INDEX(Fall!$1:$1048576,MATCH(All!$A47,Fall!$A:$A,FALSE),MATCH(All!I$1,Fall!$1:$1,FALSE))="","",INDEX(Fall!$1:$1048576,MATCH(All!$A47,Fall!$A:$A,FALSE),MATCH(All!I$1,Fall!$1:$1,FALSE))),"")</f>
        <v/>
      </c>
      <c r="J47" t="str">
        <f>IFERROR(IF(INDEX(Fall!$1:$1048576,MATCH(All!$A47,Fall!$A:$A,FALSE),MATCH(All!J$1,Fall!$1:$1,FALSE))="","",INDEX(Fall!$1:$1048576,MATCH(All!$A47,Fall!$A:$A,FALSE),MATCH(All!J$1,Fall!$1:$1,FALSE))),"")</f>
        <v/>
      </c>
      <c r="K47" t="str">
        <f>IFERROR(IF(INDEX(Fall!$1:$1048576,MATCH(All!$A47,Fall!$A:$A,FALSE),MATCH(All!K$1,Fall!$1:$1,FALSE))="","",INDEX(Fall!$1:$1048576,MATCH(All!$A47,Fall!$A:$A,FALSE),MATCH(All!K$1,Fall!$1:$1,FALSE))),"")</f>
        <v/>
      </c>
      <c r="L47" t="str">
        <f>IFERROR(IF(INDEX(Fall!$1:$1048576,MATCH(All!$A47,Fall!$A:$A,FALSE),MATCH(All!L$1,Fall!$1:$1,FALSE))="","",INDEX(Fall!$1:$1048576,MATCH(All!$A47,Fall!$A:$A,FALSE),MATCH(All!L$1,Fall!$1:$1,FALSE))),"")</f>
        <v/>
      </c>
      <c r="M47" t="str">
        <f>IFERROR(IF(INDEX(Fall!$1:$1048576,MATCH(All!$A47,Fall!$A:$A,FALSE),MATCH(All!M$1,Fall!$1:$1,FALSE))="","",INDEX(Fall!$1:$1048576,MATCH(All!$A47,Fall!$A:$A,FALSE),MATCH(All!M$1,Fall!$1:$1,FALSE))),"")</f>
        <v/>
      </c>
      <c r="O47" t="str">
        <f>IFERROR(IF(INDEX(Winter!$1:$1048576,MATCH(All!$A47,Winter!$A:$A,FALSE),MATCH(All!O$1,Winter!$1:$1,FALSE))="","",INDEX(Winter!$1:$1048576,MATCH(All!$A47,Winter!$A:$A,FALSE),MATCH(All!O$1,Winter!$1:$1,FALSE))),"")</f>
        <v/>
      </c>
      <c r="P47" t="str">
        <f>IFERROR(IF(INDEX(Winter!$1:$1048576,MATCH(All!$A47,Winter!$A:$A,FALSE),MATCH(All!P$1,Winter!$1:$1,FALSE))="","",INDEX(Winter!$1:$1048576,MATCH(All!$A47,Winter!$A:$A,FALSE),MATCH(All!P$1,Winter!$1:$1,FALSE))),"")</f>
        <v/>
      </c>
      <c r="Q47" t="str">
        <f>IFERROR(IF(INDEX(Winter!$1:$1048576,MATCH(All!$A47,Winter!$A:$A,FALSE),MATCH(All!Q$1,Winter!$1:$1,FALSE))="","",INDEX(Winter!$1:$1048576,MATCH(All!$A47,Winter!$A:$A,FALSE),MATCH(All!Q$1,Winter!$1:$1,FALSE))),"")</f>
        <v/>
      </c>
      <c r="R47" t="str">
        <f>IFERROR(IF(INDEX(Winter!$1:$1048576,MATCH(All!$A47,Winter!$A:$A,FALSE),MATCH(All!R$1,Winter!$1:$1,FALSE))="","",INDEX(Winter!$1:$1048576,MATCH(All!$A47,Winter!$A:$A,FALSE),MATCH(All!R$1,Winter!$1:$1,FALSE))),"")</f>
        <v/>
      </c>
      <c r="S47" t="str">
        <f>IFERROR(IF(INDEX(Winter!$1:$1048576,MATCH(All!$A47,Winter!$A:$A,FALSE),MATCH(All!S$1,Winter!$1:$1,FALSE))="","",INDEX(Winter!$1:$1048576,MATCH(All!$A47,Winter!$A:$A,FALSE),MATCH(All!S$1,Winter!$1:$1,FALSE))),"")</f>
        <v/>
      </c>
      <c r="T47" t="str">
        <f>IFERROR(IF(INDEX(Winter!$1:$1048576,MATCH(All!$A47,Winter!$A:$A,FALSE),MATCH(All!T$1,Winter!$1:$1,FALSE))="","",INDEX(Winter!$1:$1048576,MATCH(All!$A47,Winter!$A:$A,FALSE),MATCH(All!T$1,Winter!$1:$1,FALSE))),"")</f>
        <v/>
      </c>
      <c r="U47" t="str">
        <f>IFERROR(IF(INDEX(Winter!$1:$1048576,MATCH(All!$A47,Winter!$A:$A,FALSE),MATCH(All!U$1,Winter!$1:$1,FALSE))="","",INDEX(Winter!$1:$1048576,MATCH(All!$A47,Winter!$A:$A,FALSE),MATCH(All!U$1,Winter!$1:$1,FALSE))),"")</f>
        <v/>
      </c>
      <c r="W47" t="str">
        <f>IFERROR(IF(INDEX(Spring!$1:$1048576,MATCH(All!$A47,Spring!$A:$A,FALSE),MATCH(All!W$1,Spring!$1:$1,FALSE))="","",INDEX(Spring!$1:$1048576,MATCH(All!$A47,Spring!$A:$A,FALSE),MATCH(All!W$1,Spring!$1:$1,FALSE))),"")</f>
        <v/>
      </c>
      <c r="X47" t="str">
        <f>IFERROR(IF(INDEX(Spring!$1:$1048576,MATCH(All!$A47,Spring!$A:$A,FALSE),MATCH(All!X$1,Spring!$1:$1,FALSE))="","",INDEX(Spring!$1:$1048576,MATCH(All!$A47,Spring!$A:$A,FALSE),MATCH(All!X$1,Spring!$1:$1,FALSE))),"")</f>
        <v/>
      </c>
      <c r="Y47" t="str">
        <f>IFERROR(IF(INDEX(Spring!$1:$1048576,MATCH(All!$A47,Spring!$A:$A,FALSE),MATCH(All!Y$1,Spring!$1:$1,FALSE))="","",INDEX(Spring!$1:$1048576,MATCH(All!$A47,Spring!$A:$A,FALSE),MATCH(All!Y$1,Spring!$1:$1,FALSE))),"")</f>
        <v/>
      </c>
      <c r="Z47" t="str">
        <f>IFERROR(IF(INDEX(Spring!$1:$1048576,MATCH(All!$A47,Spring!$A:$A,FALSE),MATCH(All!Z$1,Spring!$1:$1,FALSE))="","",INDEX(Spring!$1:$1048576,MATCH(All!$A47,Spring!$A:$A,FALSE),MATCH(All!Z$1,Spring!$1:$1,FALSE))),"")</f>
        <v/>
      </c>
      <c r="AA47" t="str">
        <f>IFERROR(IF(INDEX(Spring!$1:$1048576,MATCH(All!$A47,Spring!$A:$A,FALSE),MATCH(All!AA$1,Spring!$1:$1,FALSE))="","",INDEX(Spring!$1:$1048576,MATCH(All!$A47,Spring!$A:$A,FALSE),MATCH(All!AA$1,Spring!$1:$1,FALSE))),"")</f>
        <v/>
      </c>
      <c r="AB47" t="str">
        <f>IFERROR(IF(INDEX(Spring!$1:$1048576,MATCH(All!$A47,Spring!$A:$A,FALSE),MATCH(All!AB$1,Spring!$1:$1,FALSE))="","",INDEX(Spring!$1:$1048576,MATCH(All!$A47,Spring!$A:$A,FALSE),MATCH(All!AB$1,Spring!$1:$1,FALSE))),"")</f>
        <v/>
      </c>
      <c r="AC47" t="str">
        <f>IFERROR(IF(INDEX(Spring!$1:$1048576,MATCH(All!$A47,Spring!$A:$A,FALSE),MATCH(All!AC$1,Spring!$1:$1,FALSE))="","",INDEX(Spring!$1:$1048576,MATCH(All!$A47,Spring!$A:$A,FALSE),MATCH(All!AC$1,Spring!$1:$1,FALSE))),"")</f>
        <v/>
      </c>
      <c r="AD47" t="str">
        <f>IFERROR(VLOOKUP(A47,'Flag Football'!A:A,1,FALSE),"")</f>
        <v/>
      </c>
      <c r="AE47" t="str">
        <f t="shared" si="0"/>
        <v/>
      </c>
    </row>
    <row r="48" spans="1:31" ht="15.75" thickBot="1" x14ac:dyDescent="0.3">
      <c r="A48" s="20" t="s">
        <v>64</v>
      </c>
      <c r="B48" s="38">
        <f>IFERROR(VLOOKUP(A48,'Public v Private'!A:G,3,FALSE),"")</f>
        <v>0</v>
      </c>
      <c r="C48" s="38">
        <f>IFERROR(VLOOKUP(A48,'Public v Private'!A:G,4,FALSE),"")</f>
        <v>0</v>
      </c>
      <c r="D48" s="38">
        <f>IFERROR(VLOOKUP(A48,'Public v Private'!A:G,5,FALSE),"")</f>
        <v>0</v>
      </c>
      <c r="E48" s="38"/>
      <c r="F48" s="40">
        <f>IFERROR(INDEX(Fall!$1:$1048576,MATCH(All!$A48,Fall!$A:$A,FALSE),MATCH(All!F$1,Fall!$1:$1,FALSE)),"N/A")</f>
        <v>1347</v>
      </c>
      <c r="G48" t="str">
        <f>IFERROR(IF(INDEX(Fall!$1:$1048576,MATCH(All!$A48,Fall!$A:$A,FALSE),MATCH(All!G$1,Fall!$1:$1,FALSE))="","",INDEX(Fall!$1:$1048576,MATCH(All!$A48,Fall!$A:$A,FALSE),MATCH(All!G$1,Fall!$1:$1,FALSE))),"")</f>
        <v>2A</v>
      </c>
      <c r="H48" t="str">
        <f>IFERROR(IF(INDEX(Fall!$1:$1048576,MATCH(All!$A48,Fall!$A:$A,FALSE),MATCH(All!H$1,Fall!$1:$1,FALSE))="","",INDEX(Fall!$1:$1048576,MATCH(All!$A48,Fall!$A:$A,FALSE),MATCH(All!H$1,Fall!$1:$1,FALSE))),"")</f>
        <v>2A</v>
      </c>
      <c r="I48" t="str">
        <f>IFERROR(IF(INDEX(Fall!$1:$1048576,MATCH(All!$A48,Fall!$A:$A,FALSE),MATCH(All!I$1,Fall!$1:$1,FALSE))="","",INDEX(Fall!$1:$1048576,MATCH(All!$A48,Fall!$A:$A,FALSE),MATCH(All!I$1,Fall!$1:$1,FALSE))),"")</f>
        <v>2A</v>
      </c>
      <c r="J48" t="str">
        <f>IFERROR(IF(INDEX(Fall!$1:$1048576,MATCH(All!$A48,Fall!$A:$A,FALSE),MATCH(All!J$1,Fall!$1:$1,FALSE))="","",INDEX(Fall!$1:$1048576,MATCH(All!$A48,Fall!$A:$A,FALSE),MATCH(All!J$1,Fall!$1:$1,FALSE))),"")</f>
        <v/>
      </c>
      <c r="K48" t="str">
        <f>IFERROR(IF(INDEX(Fall!$1:$1048576,MATCH(All!$A48,Fall!$A:$A,FALSE),MATCH(All!K$1,Fall!$1:$1,FALSE))="","",INDEX(Fall!$1:$1048576,MATCH(All!$A48,Fall!$A:$A,FALSE),MATCH(All!K$1,Fall!$1:$1,FALSE))),"")</f>
        <v>2A</v>
      </c>
      <c r="L48" t="str">
        <f>IFERROR(IF(INDEX(Fall!$1:$1048576,MATCH(All!$A48,Fall!$A:$A,FALSE),MATCH(All!L$1,Fall!$1:$1,FALSE))="","",INDEX(Fall!$1:$1048576,MATCH(All!$A48,Fall!$A:$A,FALSE),MATCH(All!L$1,Fall!$1:$1,FALSE))),"")</f>
        <v>1A</v>
      </c>
      <c r="M48" t="str">
        <f>IFERROR(IF(INDEX(Fall!$1:$1048576,MATCH(All!$A48,Fall!$A:$A,FALSE),MATCH(All!M$1,Fall!$1:$1,FALSE))="","",INDEX(Fall!$1:$1048576,MATCH(All!$A48,Fall!$A:$A,FALSE),MATCH(All!M$1,Fall!$1:$1,FALSE))),"")</f>
        <v>3A</v>
      </c>
      <c r="O48">
        <f>IFERROR(IF(INDEX(Winter!$1:$1048576,MATCH(All!$A48,Winter!$A:$A,FALSE),MATCH(All!O$1,Winter!$1:$1,FALSE))="","",INDEX(Winter!$1:$1048576,MATCH(All!$A48,Winter!$A:$A,FALSE),MATCH(All!O$1,Winter!$1:$1,FALSE))),"")</f>
        <v>1347</v>
      </c>
      <c r="P48" t="str">
        <f>IFERROR(IF(INDEX(Winter!$1:$1048576,MATCH(All!$A48,Winter!$A:$A,FALSE),MATCH(All!P$1,Winter!$1:$1,FALSE))="","",INDEX(Winter!$1:$1048576,MATCH(All!$A48,Winter!$A:$A,FALSE),MATCH(All!P$1,Winter!$1:$1,FALSE))),"")</f>
        <v>3A</v>
      </c>
      <c r="Q48" t="str">
        <f>IFERROR(IF(INDEX(Winter!$1:$1048576,MATCH(All!$A48,Winter!$A:$A,FALSE),MATCH(All!Q$1,Winter!$1:$1,FALSE))="","",INDEX(Winter!$1:$1048576,MATCH(All!$A48,Winter!$A:$A,FALSE),MATCH(All!Q$1,Winter!$1:$1,FALSE))),"")</f>
        <v>3A</v>
      </c>
      <c r="R48" t="str">
        <f>IFERROR(IF(INDEX(Winter!$1:$1048576,MATCH(All!$A48,Winter!$A:$A,FALSE),MATCH(All!R$1,Winter!$1:$1,FALSE))="","",INDEX(Winter!$1:$1048576,MATCH(All!$A48,Winter!$A:$A,FALSE),MATCH(All!R$1,Winter!$1:$1,FALSE))),"")</f>
        <v>2A</v>
      </c>
      <c r="S48" t="str">
        <f>IFERROR(IF(INDEX(Winter!$1:$1048576,MATCH(All!$A48,Winter!$A:$A,FALSE),MATCH(All!S$1,Winter!$1:$1,FALSE))="","",INDEX(Winter!$1:$1048576,MATCH(All!$A48,Winter!$A:$A,FALSE),MATCH(All!S$1,Winter!$1:$1,FALSE))),"")</f>
        <v>2A</v>
      </c>
      <c r="T48" t="str">
        <f>IFERROR(IF(INDEX(Winter!$1:$1048576,MATCH(All!$A48,Winter!$A:$A,FALSE),MATCH(All!T$1,Winter!$1:$1,FALSE))="","",INDEX(Winter!$1:$1048576,MATCH(All!$A48,Winter!$A:$A,FALSE),MATCH(All!T$1,Winter!$1:$1,FALSE))),"")</f>
        <v>2A</v>
      </c>
      <c r="U48" t="str">
        <f>IFERROR(IF(INDEX(Winter!$1:$1048576,MATCH(All!$A48,Winter!$A:$A,FALSE),MATCH(All!U$1,Winter!$1:$1,FALSE))="","",INDEX(Winter!$1:$1048576,MATCH(All!$A48,Winter!$A:$A,FALSE),MATCH(All!U$1,Winter!$1:$1,FALSE))),"")</f>
        <v>2A</v>
      </c>
      <c r="W48">
        <f>IFERROR(IF(INDEX(Spring!$1:$1048576,MATCH(All!$A48,Spring!$A:$A,FALSE),MATCH(All!W$1,Spring!$1:$1,FALSE))="","",INDEX(Spring!$1:$1048576,MATCH(All!$A48,Spring!$A:$A,FALSE),MATCH(All!W$1,Spring!$1:$1,FALSE))),"")</f>
        <v>1347</v>
      </c>
      <c r="X48" t="str">
        <f>IFERROR(IF(INDEX(Spring!$1:$1048576,MATCH(All!$A48,Spring!$A:$A,FALSE),MATCH(All!X$1,Spring!$1:$1,FALSE))="","",INDEX(Spring!$1:$1048576,MATCH(All!$A48,Spring!$A:$A,FALSE),MATCH(All!X$1,Spring!$1:$1,FALSE))),"")</f>
        <v>3A</v>
      </c>
      <c r="Y48" t="str">
        <f>IFERROR(IF(INDEX(Spring!$1:$1048576,MATCH(All!$A48,Spring!$A:$A,FALSE),MATCH(All!Y$1,Spring!$1:$1,FALSE))="","",INDEX(Spring!$1:$1048576,MATCH(All!$A48,Spring!$A:$A,FALSE),MATCH(All!Y$1,Spring!$1:$1,FALSE))),"")</f>
        <v>3A</v>
      </c>
      <c r="Z48" t="str">
        <f>IFERROR(IF(INDEX(Spring!$1:$1048576,MATCH(All!$A48,Spring!$A:$A,FALSE),MATCH(All!Z$1,Spring!$1:$1,FALSE))="","",INDEX(Spring!$1:$1048576,MATCH(All!$A48,Spring!$A:$A,FALSE),MATCH(All!Z$1,Spring!$1:$1,FALSE))),"")</f>
        <v>2A</v>
      </c>
      <c r="AA48" t="str">
        <f>IFERROR(IF(INDEX(Spring!$1:$1048576,MATCH(All!$A48,Spring!$A:$A,FALSE),MATCH(All!AA$1,Spring!$1:$1,FALSE))="","",INDEX(Spring!$1:$1048576,MATCH(All!$A48,Spring!$A:$A,FALSE),MATCH(All!AA$1,Spring!$1:$1,FALSE))),"")</f>
        <v>1A</v>
      </c>
      <c r="AB48" t="str">
        <f>IFERROR(IF(INDEX(Spring!$1:$1048576,MATCH(All!$A48,Spring!$A:$A,FALSE),MATCH(All!AB$1,Spring!$1:$1,FALSE))="","",INDEX(Spring!$1:$1048576,MATCH(All!$A48,Spring!$A:$A,FALSE),MATCH(All!AB$1,Spring!$1:$1,FALSE))),"")</f>
        <v>3A</v>
      </c>
      <c r="AC48" t="str">
        <f>IFERROR(IF(INDEX(Spring!$1:$1048576,MATCH(All!$A48,Spring!$A:$A,FALSE),MATCH(All!AC$1,Spring!$1:$1,FALSE))="","",INDEX(Spring!$1:$1048576,MATCH(All!$A48,Spring!$A:$A,FALSE),MATCH(All!AC$1,Spring!$1:$1,FALSE))),"")</f>
        <v>3A</v>
      </c>
      <c r="AD48" t="str">
        <f>IFERROR(VLOOKUP(A48,'Flag Football'!A:A,1,FALSE),"")</f>
        <v>Bensenville (Fenton)</v>
      </c>
      <c r="AE48" t="str">
        <f t="shared" si="0"/>
        <v>1A</v>
      </c>
    </row>
    <row r="49" spans="1:31" ht="15.75" thickBot="1" x14ac:dyDescent="0.3">
      <c r="A49" s="18" t="s">
        <v>65</v>
      </c>
      <c r="B49" s="38">
        <f>IFERROR(VLOOKUP(A49,'Public v Private'!A:G,3,FALSE),"")</f>
        <v>0</v>
      </c>
      <c r="C49" s="38">
        <f>IFERROR(VLOOKUP(A49,'Public v Private'!A:G,4,FALSE),"")</f>
        <v>0</v>
      </c>
      <c r="D49" s="38">
        <f>IFERROR(VLOOKUP(A49,'Public v Private'!A:G,5,FALSE),"")</f>
        <v>0</v>
      </c>
      <c r="E49" s="38"/>
      <c r="F49" s="40">
        <f>IFERROR(INDEX(Fall!$1:$1048576,MATCH(All!$A49,Fall!$A:$A,FALSE),MATCH(All!F$1,Fall!$1:$1,FALSE)),"N/A")</f>
        <v>594</v>
      </c>
      <c r="G49" t="str">
        <f>IFERROR(IF(INDEX(Fall!$1:$1048576,MATCH(All!$A49,Fall!$A:$A,FALSE),MATCH(All!G$1,Fall!$1:$1,FALSE))="","",INDEX(Fall!$1:$1048576,MATCH(All!$A49,Fall!$A:$A,FALSE),MATCH(All!G$1,Fall!$1:$1,FALSE))),"")</f>
        <v>1A</v>
      </c>
      <c r="H49" t="str">
        <f>IFERROR(IF(INDEX(Fall!$1:$1048576,MATCH(All!$A49,Fall!$A:$A,FALSE),MATCH(All!H$1,Fall!$1:$1,FALSE))="","",INDEX(Fall!$1:$1048576,MATCH(All!$A49,Fall!$A:$A,FALSE),MATCH(All!H$1,Fall!$1:$1,FALSE))),"")</f>
        <v>1A</v>
      </c>
      <c r="I49" t="str">
        <f>IFERROR(IF(INDEX(Fall!$1:$1048576,MATCH(All!$A49,Fall!$A:$A,FALSE),MATCH(All!I$1,Fall!$1:$1,FALSE))="","",INDEX(Fall!$1:$1048576,MATCH(All!$A49,Fall!$A:$A,FALSE),MATCH(All!I$1,Fall!$1:$1,FALSE))),"")</f>
        <v>2A</v>
      </c>
      <c r="J49" t="str">
        <f>IFERROR(IF(INDEX(Fall!$1:$1048576,MATCH(All!$A49,Fall!$A:$A,FALSE),MATCH(All!J$1,Fall!$1:$1,FALSE))="","",INDEX(Fall!$1:$1048576,MATCH(All!$A49,Fall!$A:$A,FALSE),MATCH(All!J$1,Fall!$1:$1,FALSE))),"")</f>
        <v>1A</v>
      </c>
      <c r="K49" t="str">
        <f>IFERROR(IF(INDEX(Fall!$1:$1048576,MATCH(All!$A49,Fall!$A:$A,FALSE),MATCH(All!K$1,Fall!$1:$1,FALSE))="","",INDEX(Fall!$1:$1048576,MATCH(All!$A49,Fall!$A:$A,FALSE),MATCH(All!K$1,Fall!$1:$1,FALSE))),"")</f>
        <v/>
      </c>
      <c r="L49" t="str">
        <f>IFERROR(IF(INDEX(Fall!$1:$1048576,MATCH(All!$A49,Fall!$A:$A,FALSE),MATCH(All!L$1,Fall!$1:$1,FALSE))="","",INDEX(Fall!$1:$1048576,MATCH(All!$A49,Fall!$A:$A,FALSE),MATCH(All!L$1,Fall!$1:$1,FALSE))),"")</f>
        <v>1A</v>
      </c>
      <c r="M49" t="str">
        <f>IFERROR(IF(INDEX(Fall!$1:$1048576,MATCH(All!$A49,Fall!$A:$A,FALSE),MATCH(All!M$1,Fall!$1:$1,FALSE))="","",INDEX(Fall!$1:$1048576,MATCH(All!$A49,Fall!$A:$A,FALSE),MATCH(All!M$1,Fall!$1:$1,FALSE))),"")</f>
        <v>2A</v>
      </c>
      <c r="O49">
        <f>IFERROR(IF(INDEX(Winter!$1:$1048576,MATCH(All!$A49,Winter!$A:$A,FALSE),MATCH(All!O$1,Winter!$1:$1,FALSE))="","",INDEX(Winter!$1:$1048576,MATCH(All!$A49,Winter!$A:$A,FALSE),MATCH(All!O$1,Winter!$1:$1,FALSE))),"")</f>
        <v>594</v>
      </c>
      <c r="P49" t="str">
        <f>IFERROR(IF(INDEX(Winter!$1:$1048576,MATCH(All!$A49,Winter!$A:$A,FALSE),MATCH(All!P$1,Winter!$1:$1,FALSE))="","",INDEX(Winter!$1:$1048576,MATCH(All!$A49,Winter!$A:$A,FALSE),MATCH(All!P$1,Winter!$1:$1,FALSE))),"")</f>
        <v>2A</v>
      </c>
      <c r="Q49" t="str">
        <f>IFERROR(IF(INDEX(Winter!$1:$1048576,MATCH(All!$A49,Winter!$A:$A,FALSE),MATCH(All!Q$1,Winter!$1:$1,FALSE))="","",INDEX(Winter!$1:$1048576,MATCH(All!$A49,Winter!$A:$A,FALSE),MATCH(All!Q$1,Winter!$1:$1,FALSE))),"")</f>
        <v>2A</v>
      </c>
      <c r="R49" t="str">
        <f>IFERROR(IF(INDEX(Winter!$1:$1048576,MATCH(All!$A49,Winter!$A:$A,FALSE),MATCH(All!R$1,Winter!$1:$1,FALSE))="","",INDEX(Winter!$1:$1048576,MATCH(All!$A49,Winter!$A:$A,FALSE),MATCH(All!R$1,Winter!$1:$1,FALSE))),"")</f>
        <v>1A</v>
      </c>
      <c r="S49" t="str">
        <f>IFERROR(IF(INDEX(Winter!$1:$1048576,MATCH(All!$A49,Winter!$A:$A,FALSE),MATCH(All!S$1,Winter!$1:$1,FALSE))="","",INDEX(Winter!$1:$1048576,MATCH(All!$A49,Winter!$A:$A,FALSE),MATCH(All!S$1,Winter!$1:$1,FALSE))),"")</f>
        <v>1A</v>
      </c>
      <c r="T49" t="str">
        <f>IFERROR(IF(INDEX(Winter!$1:$1048576,MATCH(All!$A49,Winter!$A:$A,FALSE),MATCH(All!T$1,Winter!$1:$1,FALSE))="","",INDEX(Winter!$1:$1048576,MATCH(All!$A49,Winter!$A:$A,FALSE),MATCH(All!T$1,Winter!$1:$1,FALSE))),"")</f>
        <v>2A</v>
      </c>
      <c r="U49" t="str">
        <f>IFERROR(IF(INDEX(Winter!$1:$1048576,MATCH(All!$A49,Winter!$A:$A,FALSE),MATCH(All!U$1,Winter!$1:$1,FALSE))="","",INDEX(Winter!$1:$1048576,MATCH(All!$A49,Winter!$A:$A,FALSE),MATCH(All!U$1,Winter!$1:$1,FALSE))),"")</f>
        <v>1A</v>
      </c>
      <c r="W49">
        <f>IFERROR(IF(INDEX(Spring!$1:$1048576,MATCH(All!$A49,Spring!$A:$A,FALSE),MATCH(All!W$1,Spring!$1:$1,FALSE))="","",INDEX(Spring!$1:$1048576,MATCH(All!$A49,Spring!$A:$A,FALSE),MATCH(All!W$1,Spring!$1:$1,FALSE))),"")</f>
        <v>594</v>
      </c>
      <c r="X49" t="str">
        <f>IFERROR(IF(INDEX(Spring!$1:$1048576,MATCH(All!$A49,Spring!$A:$A,FALSE),MATCH(All!X$1,Spring!$1:$1,FALSE))="","",INDEX(Spring!$1:$1048576,MATCH(All!$A49,Spring!$A:$A,FALSE),MATCH(All!X$1,Spring!$1:$1,FALSE))),"")</f>
        <v>2A</v>
      </c>
      <c r="Y49" t="str">
        <f>IFERROR(IF(INDEX(Spring!$1:$1048576,MATCH(All!$A49,Spring!$A:$A,FALSE),MATCH(All!Y$1,Spring!$1:$1,FALSE))="","",INDEX(Spring!$1:$1048576,MATCH(All!$A49,Spring!$A:$A,FALSE),MATCH(All!Y$1,Spring!$1:$1,FALSE))),"")</f>
        <v>2A</v>
      </c>
      <c r="Z49" t="str">
        <f>IFERROR(IF(INDEX(Spring!$1:$1048576,MATCH(All!$A49,Spring!$A:$A,FALSE),MATCH(All!Z$1,Spring!$1:$1,FALSE))="","",INDEX(Spring!$1:$1048576,MATCH(All!$A49,Spring!$A:$A,FALSE),MATCH(All!Z$1,Spring!$1:$1,FALSE))),"")</f>
        <v/>
      </c>
      <c r="AA49" t="str">
        <f>IFERROR(IF(INDEX(Spring!$1:$1048576,MATCH(All!$A49,Spring!$A:$A,FALSE),MATCH(All!AA$1,Spring!$1:$1,FALSE))="","",INDEX(Spring!$1:$1048576,MATCH(All!$A49,Spring!$A:$A,FALSE),MATCH(All!AA$1,Spring!$1:$1,FALSE))),"")</f>
        <v/>
      </c>
      <c r="AB49" t="str">
        <f>IFERROR(IF(INDEX(Spring!$1:$1048576,MATCH(All!$A49,Spring!$A:$A,FALSE),MATCH(All!AB$1,Spring!$1:$1,FALSE))="","",INDEX(Spring!$1:$1048576,MATCH(All!$A49,Spring!$A:$A,FALSE),MATCH(All!AB$1,Spring!$1:$1,FALSE))),"")</f>
        <v>2A</v>
      </c>
      <c r="AC49" t="str">
        <f>IFERROR(IF(INDEX(Spring!$1:$1048576,MATCH(All!$A49,Spring!$A:$A,FALSE),MATCH(All!AC$1,Spring!$1:$1,FALSE))="","",INDEX(Spring!$1:$1048576,MATCH(All!$A49,Spring!$A:$A,FALSE),MATCH(All!AC$1,Spring!$1:$1,FALSE))),"")</f>
        <v>2A</v>
      </c>
      <c r="AD49" t="str">
        <f>IFERROR(VLOOKUP(A49,'Flag Football'!A:A,1,FALSE),"")</f>
        <v/>
      </c>
      <c r="AE49" t="str">
        <f t="shared" si="0"/>
        <v/>
      </c>
    </row>
    <row r="50" spans="1:31" ht="15.75" thickBot="1" x14ac:dyDescent="0.3">
      <c r="A50" s="20" t="s">
        <v>66</v>
      </c>
      <c r="B50" s="38">
        <f>IFERROR(VLOOKUP(A50,'Public v Private'!A:G,3,FALSE),"")</f>
        <v>0</v>
      </c>
      <c r="C50" s="38">
        <f>IFERROR(VLOOKUP(A50,'Public v Private'!A:G,4,FALSE),"")</f>
        <v>0</v>
      </c>
      <c r="D50" s="38">
        <f>IFERROR(VLOOKUP(A50,'Public v Private'!A:G,5,FALSE),"")</f>
        <v>0</v>
      </c>
      <c r="E50" s="38"/>
      <c r="F50" s="40">
        <f>IFERROR(INDEX(Fall!$1:$1048576,MATCH(All!$A50,Fall!$A:$A,FALSE),MATCH(All!F$1,Fall!$1:$1,FALSE)),"N/A")</f>
        <v>7552</v>
      </c>
      <c r="G50" t="str">
        <f>IFERROR(IF(INDEX(Fall!$1:$1048576,MATCH(All!$A50,Fall!$A:$A,FALSE),MATCH(All!G$1,Fall!$1:$1,FALSE))="","",INDEX(Fall!$1:$1048576,MATCH(All!$A50,Fall!$A:$A,FALSE),MATCH(All!G$1,Fall!$1:$1,FALSE))),"")</f>
        <v>3A</v>
      </c>
      <c r="H50" t="str">
        <f>IFERROR(IF(INDEX(Fall!$1:$1048576,MATCH(All!$A50,Fall!$A:$A,FALSE),MATCH(All!H$1,Fall!$1:$1,FALSE))="","",INDEX(Fall!$1:$1048576,MATCH(All!$A50,Fall!$A:$A,FALSE),MATCH(All!H$1,Fall!$1:$1,FALSE))),"")</f>
        <v>3A</v>
      </c>
      <c r="I50" t="str">
        <f>IFERROR(IF(INDEX(Fall!$1:$1048576,MATCH(All!$A50,Fall!$A:$A,FALSE),MATCH(All!I$1,Fall!$1:$1,FALSE))="","",INDEX(Fall!$1:$1048576,MATCH(All!$A50,Fall!$A:$A,FALSE),MATCH(All!I$1,Fall!$1:$1,FALSE))),"")</f>
        <v>3A</v>
      </c>
      <c r="J50" t="str">
        <f>IFERROR(IF(INDEX(Fall!$1:$1048576,MATCH(All!$A50,Fall!$A:$A,FALSE),MATCH(All!J$1,Fall!$1:$1,FALSE))="","",INDEX(Fall!$1:$1048576,MATCH(All!$A50,Fall!$A:$A,FALSE),MATCH(All!J$1,Fall!$1:$1,FALSE))),"")</f>
        <v/>
      </c>
      <c r="K50" t="str">
        <f>IFERROR(IF(INDEX(Fall!$1:$1048576,MATCH(All!$A50,Fall!$A:$A,FALSE),MATCH(All!K$1,Fall!$1:$1,FALSE))="","",INDEX(Fall!$1:$1048576,MATCH(All!$A50,Fall!$A:$A,FALSE),MATCH(All!K$1,Fall!$1:$1,FALSE))),"")</f>
        <v>3A</v>
      </c>
      <c r="L50" t="str">
        <f>IFERROR(IF(INDEX(Fall!$1:$1048576,MATCH(All!$A50,Fall!$A:$A,FALSE),MATCH(All!L$1,Fall!$1:$1,FALSE))="","",INDEX(Fall!$1:$1048576,MATCH(All!$A50,Fall!$A:$A,FALSE),MATCH(All!L$1,Fall!$1:$1,FALSE))),"")</f>
        <v>2A</v>
      </c>
      <c r="M50" t="str">
        <f>IFERROR(IF(INDEX(Fall!$1:$1048576,MATCH(All!$A50,Fall!$A:$A,FALSE),MATCH(All!M$1,Fall!$1:$1,FALSE))="","",INDEX(Fall!$1:$1048576,MATCH(All!$A50,Fall!$A:$A,FALSE),MATCH(All!M$1,Fall!$1:$1,FALSE))),"")</f>
        <v>4A</v>
      </c>
      <c r="O50">
        <f>IFERROR(IF(INDEX(Winter!$1:$1048576,MATCH(All!$A50,Winter!$A:$A,FALSE),MATCH(All!O$1,Winter!$1:$1,FALSE))="","",INDEX(Winter!$1:$1048576,MATCH(All!$A50,Winter!$A:$A,FALSE),MATCH(All!O$1,Winter!$1:$1,FALSE))),"")</f>
        <v>7552</v>
      </c>
      <c r="P50" t="str">
        <f>IFERROR(IF(INDEX(Winter!$1:$1048576,MATCH(All!$A50,Winter!$A:$A,FALSE),MATCH(All!P$1,Winter!$1:$1,FALSE))="","",INDEX(Winter!$1:$1048576,MATCH(All!$A50,Winter!$A:$A,FALSE),MATCH(All!P$1,Winter!$1:$1,FALSE))),"")</f>
        <v>4A</v>
      </c>
      <c r="Q50" t="str">
        <f>IFERROR(IF(INDEX(Winter!$1:$1048576,MATCH(All!$A50,Winter!$A:$A,FALSE),MATCH(All!Q$1,Winter!$1:$1,FALSE))="","",INDEX(Winter!$1:$1048576,MATCH(All!$A50,Winter!$A:$A,FALSE),MATCH(All!Q$1,Winter!$1:$1,FALSE))),"")</f>
        <v>4A</v>
      </c>
      <c r="R50" t="str">
        <f>IFERROR(IF(INDEX(Winter!$1:$1048576,MATCH(All!$A50,Winter!$A:$A,FALSE),MATCH(All!R$1,Winter!$1:$1,FALSE))="","",INDEX(Winter!$1:$1048576,MATCH(All!$A50,Winter!$A:$A,FALSE),MATCH(All!R$1,Winter!$1:$1,FALSE))),"")</f>
        <v>C</v>
      </c>
      <c r="S50" t="str">
        <f>IFERROR(IF(INDEX(Winter!$1:$1048576,MATCH(All!$A50,Winter!$A:$A,FALSE),MATCH(All!S$1,Winter!$1:$1,FALSE))="","",INDEX(Winter!$1:$1048576,MATCH(All!$A50,Winter!$A:$A,FALSE),MATCH(All!S$1,Winter!$1:$1,FALSE))),"")</f>
        <v>3A</v>
      </c>
      <c r="T50" t="str">
        <f>IFERROR(IF(INDEX(Winter!$1:$1048576,MATCH(All!$A50,Winter!$A:$A,FALSE),MATCH(All!T$1,Winter!$1:$1,FALSE))="","",INDEX(Winter!$1:$1048576,MATCH(All!$A50,Winter!$A:$A,FALSE),MATCH(All!T$1,Winter!$1:$1,FALSE))),"")</f>
        <v/>
      </c>
      <c r="U50" t="str">
        <f>IFERROR(IF(INDEX(Winter!$1:$1048576,MATCH(All!$A50,Winter!$A:$A,FALSE),MATCH(All!U$1,Winter!$1:$1,FALSE))="","",INDEX(Winter!$1:$1048576,MATCH(All!$A50,Winter!$A:$A,FALSE),MATCH(All!U$1,Winter!$1:$1,FALSE))),"")</f>
        <v>3A</v>
      </c>
      <c r="W50">
        <f>IFERROR(IF(INDEX(Spring!$1:$1048576,MATCH(All!$A50,Spring!$A:$A,FALSE),MATCH(All!W$1,Spring!$1:$1,FALSE))="","",INDEX(Spring!$1:$1048576,MATCH(All!$A50,Spring!$A:$A,FALSE),MATCH(All!W$1,Spring!$1:$1,FALSE))),"")</f>
        <v>7552</v>
      </c>
      <c r="X50" t="str">
        <f>IFERROR(IF(INDEX(Spring!$1:$1048576,MATCH(All!$A50,Spring!$A:$A,FALSE),MATCH(All!X$1,Spring!$1:$1,FALSE))="","",INDEX(Spring!$1:$1048576,MATCH(All!$A50,Spring!$A:$A,FALSE),MATCH(All!X$1,Spring!$1:$1,FALSE))),"")</f>
        <v>4A</v>
      </c>
      <c r="Y50" t="str">
        <f>IFERROR(IF(INDEX(Spring!$1:$1048576,MATCH(All!$A50,Spring!$A:$A,FALSE),MATCH(All!Y$1,Spring!$1:$1,FALSE))="","",INDEX(Spring!$1:$1048576,MATCH(All!$A50,Spring!$A:$A,FALSE),MATCH(All!Y$1,Spring!$1:$1,FALSE))),"")</f>
        <v>4A</v>
      </c>
      <c r="Z50" t="str">
        <f>IFERROR(IF(INDEX(Spring!$1:$1048576,MATCH(All!$A50,Spring!$A:$A,FALSE),MATCH(All!Z$1,Spring!$1:$1,FALSE))="","",INDEX(Spring!$1:$1048576,MATCH(All!$A50,Spring!$A:$A,FALSE),MATCH(All!Z$1,Spring!$1:$1,FALSE))),"")</f>
        <v>3A</v>
      </c>
      <c r="AA50" t="str">
        <f>IFERROR(IF(INDEX(Spring!$1:$1048576,MATCH(All!$A50,Spring!$A:$A,FALSE),MATCH(All!AA$1,Spring!$1:$1,FALSE))="","",INDEX(Spring!$1:$1048576,MATCH(All!$A50,Spring!$A:$A,FALSE),MATCH(All!AA$1,Spring!$1:$1,FALSE))),"")</f>
        <v>2A</v>
      </c>
      <c r="AB50" t="str">
        <f>IFERROR(IF(INDEX(Spring!$1:$1048576,MATCH(All!$A50,Spring!$A:$A,FALSE),MATCH(All!AB$1,Spring!$1:$1,FALSE))="","",INDEX(Spring!$1:$1048576,MATCH(All!$A50,Spring!$A:$A,FALSE),MATCH(All!AB$1,Spring!$1:$1,FALSE))),"")</f>
        <v>3A</v>
      </c>
      <c r="AC50" t="str">
        <f>IFERROR(IF(INDEX(Spring!$1:$1048576,MATCH(All!$A50,Spring!$A:$A,FALSE),MATCH(All!AC$1,Spring!$1:$1,FALSE))="","",INDEX(Spring!$1:$1048576,MATCH(All!$A50,Spring!$A:$A,FALSE),MATCH(All!AC$1,Spring!$1:$1,FALSE))),"")</f>
        <v>3A</v>
      </c>
      <c r="AD50" t="str">
        <f>IFERROR(VLOOKUP(A50,'Flag Football'!A:A,1,FALSE),"")</f>
        <v>Berwyn-Cicero (Morton)</v>
      </c>
      <c r="AE50" t="str">
        <f t="shared" si="0"/>
        <v>1A</v>
      </c>
    </row>
    <row r="51" spans="1:31" ht="15.75" thickBot="1" x14ac:dyDescent="0.3">
      <c r="A51" s="18" t="s">
        <v>67</v>
      </c>
      <c r="B51" s="38">
        <f>IFERROR(VLOOKUP(A51,'Public v Private'!A:G,3,FALSE),"")</f>
        <v>0</v>
      </c>
      <c r="C51" s="38">
        <f>IFERROR(VLOOKUP(A51,'Public v Private'!A:G,4,FALSE),"")</f>
        <v>0</v>
      </c>
      <c r="D51" s="38">
        <f>IFERROR(VLOOKUP(A51,'Public v Private'!A:G,5,FALSE),"")</f>
        <v>0</v>
      </c>
      <c r="E51" s="38"/>
      <c r="F51" s="40">
        <f>IFERROR(INDEX(Fall!$1:$1048576,MATCH(All!$A51,Fall!$A:$A,FALSE),MATCH(All!F$1,Fall!$1:$1,FALSE)),"N/A")</f>
        <v>754</v>
      </c>
      <c r="G51" t="str">
        <f>IFERROR(IF(INDEX(Fall!$1:$1048576,MATCH(All!$A51,Fall!$A:$A,FALSE),MATCH(All!G$1,Fall!$1:$1,FALSE))="","",INDEX(Fall!$1:$1048576,MATCH(All!$A51,Fall!$A:$A,FALSE),MATCH(All!G$1,Fall!$1:$1,FALSE))),"")</f>
        <v>2A</v>
      </c>
      <c r="H51" t="str">
        <f>IFERROR(IF(INDEX(Fall!$1:$1048576,MATCH(All!$A51,Fall!$A:$A,FALSE),MATCH(All!H$1,Fall!$1:$1,FALSE))="","",INDEX(Fall!$1:$1048576,MATCH(All!$A51,Fall!$A:$A,FALSE),MATCH(All!H$1,Fall!$1:$1,FALSE))),"")</f>
        <v>2A</v>
      </c>
      <c r="I51" t="str">
        <f>IFERROR(IF(INDEX(Fall!$1:$1048576,MATCH(All!$A51,Fall!$A:$A,FALSE),MATCH(All!I$1,Fall!$1:$1,FALSE))="","",INDEX(Fall!$1:$1048576,MATCH(All!$A51,Fall!$A:$A,FALSE),MATCH(All!I$1,Fall!$1:$1,FALSE))),"")</f>
        <v>2A</v>
      </c>
      <c r="J51" t="str">
        <f>IFERROR(IF(INDEX(Fall!$1:$1048576,MATCH(All!$A51,Fall!$A:$A,FALSE),MATCH(All!J$1,Fall!$1:$1,FALSE))="","",INDEX(Fall!$1:$1048576,MATCH(All!$A51,Fall!$A:$A,FALSE),MATCH(All!J$1,Fall!$1:$1,FALSE))),"")</f>
        <v>1A</v>
      </c>
      <c r="K51" t="str">
        <f>IFERROR(IF(INDEX(Fall!$1:$1048576,MATCH(All!$A51,Fall!$A:$A,FALSE),MATCH(All!K$1,Fall!$1:$1,FALSE))="","",INDEX(Fall!$1:$1048576,MATCH(All!$A51,Fall!$A:$A,FALSE),MATCH(All!K$1,Fall!$1:$1,FALSE))),"")</f>
        <v>2A</v>
      </c>
      <c r="L51" t="str">
        <f>IFERROR(IF(INDEX(Fall!$1:$1048576,MATCH(All!$A51,Fall!$A:$A,FALSE),MATCH(All!L$1,Fall!$1:$1,FALSE))="","",INDEX(Fall!$1:$1048576,MATCH(All!$A51,Fall!$A:$A,FALSE),MATCH(All!L$1,Fall!$1:$1,FALSE))),"")</f>
        <v>1A</v>
      </c>
      <c r="M51" t="str">
        <f>IFERROR(IF(INDEX(Fall!$1:$1048576,MATCH(All!$A51,Fall!$A:$A,FALSE),MATCH(All!M$1,Fall!$1:$1,FALSE))="","",INDEX(Fall!$1:$1048576,MATCH(All!$A51,Fall!$A:$A,FALSE),MATCH(All!M$1,Fall!$1:$1,FALSE))),"")</f>
        <v>3A</v>
      </c>
      <c r="O51">
        <f>IFERROR(IF(INDEX(Winter!$1:$1048576,MATCH(All!$A51,Winter!$A:$A,FALSE),MATCH(All!O$1,Winter!$1:$1,FALSE))="","",INDEX(Winter!$1:$1048576,MATCH(All!$A51,Winter!$A:$A,FALSE),MATCH(All!O$1,Winter!$1:$1,FALSE))),"")</f>
        <v>754</v>
      </c>
      <c r="P51" t="str">
        <f>IFERROR(IF(INDEX(Winter!$1:$1048576,MATCH(All!$A51,Winter!$A:$A,FALSE),MATCH(All!P$1,Winter!$1:$1,FALSE))="","",INDEX(Winter!$1:$1048576,MATCH(All!$A51,Winter!$A:$A,FALSE),MATCH(All!P$1,Winter!$1:$1,FALSE))),"")</f>
        <v>3A</v>
      </c>
      <c r="Q51" t="str">
        <f>IFERROR(IF(INDEX(Winter!$1:$1048576,MATCH(All!$A51,Winter!$A:$A,FALSE),MATCH(All!Q$1,Winter!$1:$1,FALSE))="","",INDEX(Winter!$1:$1048576,MATCH(All!$A51,Winter!$A:$A,FALSE),MATCH(All!Q$1,Winter!$1:$1,FALSE))),"")</f>
        <v>3A</v>
      </c>
      <c r="R51" t="str">
        <f>IFERROR(IF(INDEX(Winter!$1:$1048576,MATCH(All!$A51,Winter!$A:$A,FALSE),MATCH(All!R$1,Winter!$1:$1,FALSE))="","",INDEX(Winter!$1:$1048576,MATCH(All!$A51,Winter!$A:$A,FALSE),MATCH(All!R$1,Winter!$1:$1,FALSE))),"")</f>
        <v>2A</v>
      </c>
      <c r="S51" t="str">
        <f>IFERROR(IF(INDEX(Winter!$1:$1048576,MATCH(All!$A51,Winter!$A:$A,FALSE),MATCH(All!S$1,Winter!$1:$1,FALSE))="","",INDEX(Winter!$1:$1048576,MATCH(All!$A51,Winter!$A:$A,FALSE),MATCH(All!S$1,Winter!$1:$1,FALSE))),"")</f>
        <v>1A</v>
      </c>
      <c r="T51" t="str">
        <f>IFERROR(IF(INDEX(Winter!$1:$1048576,MATCH(All!$A51,Winter!$A:$A,FALSE),MATCH(All!T$1,Winter!$1:$1,FALSE))="","",INDEX(Winter!$1:$1048576,MATCH(All!$A51,Winter!$A:$A,FALSE),MATCH(All!T$1,Winter!$1:$1,FALSE))),"")</f>
        <v>2A</v>
      </c>
      <c r="U51" t="str">
        <f>IFERROR(IF(INDEX(Winter!$1:$1048576,MATCH(All!$A51,Winter!$A:$A,FALSE),MATCH(All!U$1,Winter!$1:$1,FALSE))="","",INDEX(Winter!$1:$1048576,MATCH(All!$A51,Winter!$A:$A,FALSE),MATCH(All!U$1,Winter!$1:$1,FALSE))),"")</f>
        <v>2A</v>
      </c>
      <c r="W51">
        <f>IFERROR(IF(INDEX(Spring!$1:$1048576,MATCH(All!$A51,Spring!$A:$A,FALSE),MATCH(All!W$1,Spring!$1:$1,FALSE))="","",INDEX(Spring!$1:$1048576,MATCH(All!$A51,Spring!$A:$A,FALSE),MATCH(All!W$1,Spring!$1:$1,FALSE))),"")</f>
        <v>754</v>
      </c>
      <c r="X51" t="str">
        <f>IFERROR(IF(INDEX(Spring!$1:$1048576,MATCH(All!$A51,Spring!$A:$A,FALSE),MATCH(All!X$1,Spring!$1:$1,FALSE))="","",INDEX(Spring!$1:$1048576,MATCH(All!$A51,Spring!$A:$A,FALSE),MATCH(All!X$1,Spring!$1:$1,FALSE))),"")</f>
        <v>3A</v>
      </c>
      <c r="Y51" t="str">
        <f>IFERROR(IF(INDEX(Spring!$1:$1048576,MATCH(All!$A51,Spring!$A:$A,FALSE),MATCH(All!Y$1,Spring!$1:$1,FALSE))="","",INDEX(Spring!$1:$1048576,MATCH(All!$A51,Spring!$A:$A,FALSE),MATCH(All!Y$1,Spring!$1:$1,FALSE))),"")</f>
        <v>3A</v>
      </c>
      <c r="Z51" t="str">
        <f>IFERROR(IF(INDEX(Spring!$1:$1048576,MATCH(All!$A51,Spring!$A:$A,FALSE),MATCH(All!Z$1,Spring!$1:$1,FALSE))="","",INDEX(Spring!$1:$1048576,MATCH(All!$A51,Spring!$A:$A,FALSE),MATCH(All!Z$1,Spring!$1:$1,FALSE))),"")</f>
        <v>1A</v>
      </c>
      <c r="AA51" t="str">
        <f>IFERROR(IF(INDEX(Spring!$1:$1048576,MATCH(All!$A51,Spring!$A:$A,FALSE),MATCH(All!AA$1,Spring!$1:$1,FALSE))="","",INDEX(Spring!$1:$1048576,MATCH(All!$A51,Spring!$A:$A,FALSE),MATCH(All!AA$1,Spring!$1:$1,FALSE))),"")</f>
        <v>1A</v>
      </c>
      <c r="AB51" t="str">
        <f>IFERROR(IF(INDEX(Spring!$1:$1048576,MATCH(All!$A51,Spring!$A:$A,FALSE),MATCH(All!AB$1,Spring!$1:$1,FALSE))="","",INDEX(Spring!$1:$1048576,MATCH(All!$A51,Spring!$A:$A,FALSE),MATCH(All!AB$1,Spring!$1:$1,FALSE))),"")</f>
        <v>2A</v>
      </c>
      <c r="AC51" t="str">
        <f>IFERROR(IF(INDEX(Spring!$1:$1048576,MATCH(All!$A51,Spring!$A:$A,FALSE),MATCH(All!AC$1,Spring!$1:$1,FALSE))="","",INDEX(Spring!$1:$1048576,MATCH(All!$A51,Spring!$A:$A,FALSE),MATCH(All!AC$1,Spring!$1:$1,FALSE))),"")</f>
        <v>2A</v>
      </c>
      <c r="AD51" t="str">
        <f>IFERROR(VLOOKUP(A51,'Flag Football'!A:A,1,FALSE),"")</f>
        <v/>
      </c>
      <c r="AE51" t="str">
        <f t="shared" si="0"/>
        <v/>
      </c>
    </row>
    <row r="52" spans="1:31" ht="15.75" thickBot="1" x14ac:dyDescent="0.3">
      <c r="A52" s="20" t="s">
        <v>68</v>
      </c>
      <c r="B52" s="38">
        <f>IFERROR(VLOOKUP(A52,'Public v Private'!A:G,3,FALSE),"")</f>
        <v>0</v>
      </c>
      <c r="C52" s="38">
        <f>IFERROR(VLOOKUP(A52,'Public v Private'!A:G,4,FALSE),"")</f>
        <v>0</v>
      </c>
      <c r="D52" s="38">
        <f>IFERROR(VLOOKUP(A52,'Public v Private'!A:G,5,FALSE),"")</f>
        <v>0</v>
      </c>
      <c r="E52" s="38"/>
      <c r="F52" s="40">
        <f>IFERROR(INDEX(Fall!$1:$1048576,MATCH(All!$A52,Fall!$A:$A,FALSE),MATCH(All!F$1,Fall!$1:$1,FALSE)),"N/A")</f>
        <v>155</v>
      </c>
      <c r="G52" t="str">
        <f>IFERROR(IF(INDEX(Fall!$1:$1048576,MATCH(All!$A52,Fall!$A:$A,FALSE),MATCH(All!G$1,Fall!$1:$1,FALSE))="","",INDEX(Fall!$1:$1048576,MATCH(All!$A52,Fall!$A:$A,FALSE),MATCH(All!G$1,Fall!$1:$1,FALSE))),"")</f>
        <v/>
      </c>
      <c r="H52" t="str">
        <f>IFERROR(IF(INDEX(Fall!$1:$1048576,MATCH(All!$A52,Fall!$A:$A,FALSE),MATCH(All!H$1,Fall!$1:$1,FALSE))="","",INDEX(Fall!$1:$1048576,MATCH(All!$A52,Fall!$A:$A,FALSE),MATCH(All!H$1,Fall!$1:$1,FALSE))),"")</f>
        <v/>
      </c>
      <c r="I52" t="str">
        <f>IFERROR(IF(INDEX(Fall!$1:$1048576,MATCH(All!$A52,Fall!$A:$A,FALSE),MATCH(All!I$1,Fall!$1:$1,FALSE))="","",INDEX(Fall!$1:$1048576,MATCH(All!$A52,Fall!$A:$A,FALSE),MATCH(All!I$1,Fall!$1:$1,FALSE))),"")</f>
        <v>1A</v>
      </c>
      <c r="J52" t="str">
        <f>IFERROR(IF(INDEX(Fall!$1:$1048576,MATCH(All!$A52,Fall!$A:$A,FALSE),MATCH(All!J$1,Fall!$1:$1,FALSE))="","",INDEX(Fall!$1:$1048576,MATCH(All!$A52,Fall!$A:$A,FALSE),MATCH(All!J$1,Fall!$1:$1,FALSE))),"")</f>
        <v>1A</v>
      </c>
      <c r="K52" t="str">
        <f>IFERROR(IF(INDEX(Fall!$1:$1048576,MATCH(All!$A52,Fall!$A:$A,FALSE),MATCH(All!K$1,Fall!$1:$1,FALSE))="","",INDEX(Fall!$1:$1048576,MATCH(All!$A52,Fall!$A:$A,FALSE),MATCH(All!K$1,Fall!$1:$1,FALSE))),"")</f>
        <v/>
      </c>
      <c r="L52" t="str">
        <f>IFERROR(IF(INDEX(Fall!$1:$1048576,MATCH(All!$A52,Fall!$A:$A,FALSE),MATCH(All!L$1,Fall!$1:$1,FALSE))="","",INDEX(Fall!$1:$1048576,MATCH(All!$A52,Fall!$A:$A,FALSE),MATCH(All!L$1,Fall!$1:$1,FALSE))),"")</f>
        <v/>
      </c>
      <c r="M52" t="str">
        <f>IFERROR(IF(INDEX(Fall!$1:$1048576,MATCH(All!$A52,Fall!$A:$A,FALSE),MATCH(All!M$1,Fall!$1:$1,FALSE))="","",INDEX(Fall!$1:$1048576,MATCH(All!$A52,Fall!$A:$A,FALSE),MATCH(All!M$1,Fall!$1:$1,FALSE))),"")</f>
        <v>1A</v>
      </c>
      <c r="O52">
        <f>IFERROR(IF(INDEX(Winter!$1:$1048576,MATCH(All!$A52,Winter!$A:$A,FALSE),MATCH(All!O$1,Winter!$1:$1,FALSE))="","",INDEX(Winter!$1:$1048576,MATCH(All!$A52,Winter!$A:$A,FALSE),MATCH(All!O$1,Winter!$1:$1,FALSE))),"")</f>
        <v>155</v>
      </c>
      <c r="P52" t="str">
        <f>IFERROR(IF(INDEX(Winter!$1:$1048576,MATCH(All!$A52,Winter!$A:$A,FALSE),MATCH(All!P$1,Winter!$1:$1,FALSE))="","",INDEX(Winter!$1:$1048576,MATCH(All!$A52,Winter!$A:$A,FALSE),MATCH(All!P$1,Winter!$1:$1,FALSE))),"")</f>
        <v>1A</v>
      </c>
      <c r="Q52" t="str">
        <f>IFERROR(IF(INDEX(Winter!$1:$1048576,MATCH(All!$A52,Winter!$A:$A,FALSE),MATCH(All!Q$1,Winter!$1:$1,FALSE))="","",INDEX(Winter!$1:$1048576,MATCH(All!$A52,Winter!$A:$A,FALSE),MATCH(All!Q$1,Winter!$1:$1,FALSE))),"")</f>
        <v>1A</v>
      </c>
      <c r="R52" t="str">
        <f>IFERROR(IF(INDEX(Winter!$1:$1048576,MATCH(All!$A52,Winter!$A:$A,FALSE),MATCH(All!R$1,Winter!$1:$1,FALSE))="","",INDEX(Winter!$1:$1048576,MATCH(All!$A52,Winter!$A:$A,FALSE),MATCH(All!R$1,Winter!$1:$1,FALSE))),"")</f>
        <v/>
      </c>
      <c r="S52" t="str">
        <f>IFERROR(IF(INDEX(Winter!$1:$1048576,MATCH(All!$A52,Winter!$A:$A,FALSE),MATCH(All!S$1,Winter!$1:$1,FALSE))="","",INDEX(Winter!$1:$1048576,MATCH(All!$A52,Winter!$A:$A,FALSE),MATCH(All!S$1,Winter!$1:$1,FALSE))),"")</f>
        <v/>
      </c>
      <c r="T52" t="str">
        <f>IFERROR(IF(INDEX(Winter!$1:$1048576,MATCH(All!$A52,Winter!$A:$A,FALSE),MATCH(All!T$1,Winter!$1:$1,FALSE))="","",INDEX(Winter!$1:$1048576,MATCH(All!$A52,Winter!$A:$A,FALSE),MATCH(All!T$1,Winter!$1:$1,FALSE))),"")</f>
        <v>1A</v>
      </c>
      <c r="U52" t="str">
        <f>IFERROR(IF(INDEX(Winter!$1:$1048576,MATCH(All!$A52,Winter!$A:$A,FALSE),MATCH(All!U$1,Winter!$1:$1,FALSE))="","",INDEX(Winter!$1:$1048576,MATCH(All!$A52,Winter!$A:$A,FALSE),MATCH(All!U$1,Winter!$1:$1,FALSE))),"")</f>
        <v/>
      </c>
      <c r="W52">
        <f>IFERROR(IF(INDEX(Spring!$1:$1048576,MATCH(All!$A52,Spring!$A:$A,FALSE),MATCH(All!W$1,Spring!$1:$1,FALSE))="","",INDEX(Spring!$1:$1048576,MATCH(All!$A52,Spring!$A:$A,FALSE),MATCH(All!W$1,Spring!$1:$1,FALSE))),"")</f>
        <v>155</v>
      </c>
      <c r="X52" t="str">
        <f>IFERROR(IF(INDEX(Spring!$1:$1048576,MATCH(All!$A52,Spring!$A:$A,FALSE),MATCH(All!X$1,Spring!$1:$1,FALSE))="","",INDEX(Spring!$1:$1048576,MATCH(All!$A52,Spring!$A:$A,FALSE),MATCH(All!X$1,Spring!$1:$1,FALSE))),"")</f>
        <v>1A</v>
      </c>
      <c r="Y52" t="str">
        <f>IFERROR(IF(INDEX(Spring!$1:$1048576,MATCH(All!$A52,Spring!$A:$A,FALSE),MATCH(All!Y$1,Spring!$1:$1,FALSE))="","",INDEX(Spring!$1:$1048576,MATCH(All!$A52,Spring!$A:$A,FALSE),MATCH(All!Y$1,Spring!$1:$1,FALSE))),"")</f>
        <v>1A</v>
      </c>
      <c r="Z52" t="str">
        <f>IFERROR(IF(INDEX(Spring!$1:$1048576,MATCH(All!$A52,Spring!$A:$A,FALSE),MATCH(All!Z$1,Spring!$1:$1,FALSE))="","",INDEX(Spring!$1:$1048576,MATCH(All!$A52,Spring!$A:$A,FALSE),MATCH(All!Z$1,Spring!$1:$1,FALSE))),"")</f>
        <v/>
      </c>
      <c r="AA52" t="str">
        <f>IFERROR(IF(INDEX(Spring!$1:$1048576,MATCH(All!$A52,Spring!$A:$A,FALSE),MATCH(All!AA$1,Spring!$1:$1,FALSE))="","",INDEX(Spring!$1:$1048576,MATCH(All!$A52,Spring!$A:$A,FALSE),MATCH(All!AA$1,Spring!$1:$1,FALSE))),"")</f>
        <v/>
      </c>
      <c r="AB52" t="str">
        <f>IFERROR(IF(INDEX(Spring!$1:$1048576,MATCH(All!$A52,Spring!$A:$A,FALSE),MATCH(All!AB$1,Spring!$1:$1,FALSE))="","",INDEX(Spring!$1:$1048576,MATCH(All!$A52,Spring!$A:$A,FALSE),MATCH(All!AB$1,Spring!$1:$1,FALSE))),"")</f>
        <v>1A</v>
      </c>
      <c r="AC52" t="str">
        <f>IFERROR(IF(INDEX(Spring!$1:$1048576,MATCH(All!$A52,Spring!$A:$A,FALSE),MATCH(All!AC$1,Spring!$1:$1,FALSE))="","",INDEX(Spring!$1:$1048576,MATCH(All!$A52,Spring!$A:$A,FALSE),MATCH(All!AC$1,Spring!$1:$1,FALSE))),"")</f>
        <v>1A</v>
      </c>
      <c r="AD52" t="str">
        <f>IFERROR(VLOOKUP(A52,'Flag Football'!A:A,1,FALSE),"")</f>
        <v/>
      </c>
      <c r="AE52" t="str">
        <f t="shared" si="0"/>
        <v/>
      </c>
    </row>
    <row r="53" spans="1:31" ht="15.75" thickBot="1" x14ac:dyDescent="0.3">
      <c r="A53" s="18" t="s">
        <v>69</v>
      </c>
      <c r="B53" s="38">
        <f>IFERROR(VLOOKUP(A53,'Public v Private'!A:G,3,FALSE),"")</f>
        <v>0</v>
      </c>
      <c r="C53" s="38">
        <f>IFERROR(VLOOKUP(A53,'Public v Private'!A:G,4,FALSE),"")</f>
        <v>0</v>
      </c>
      <c r="D53" s="38">
        <f>IFERROR(VLOOKUP(A53,'Public v Private'!A:G,5,FALSE),"")</f>
        <v>0</v>
      </c>
      <c r="E53" s="38"/>
      <c r="F53" s="40">
        <f>IFERROR(INDEX(Fall!$1:$1048576,MATCH(All!$A53,Fall!$A:$A,FALSE),MATCH(All!F$1,Fall!$1:$1,FALSE)),"N/A")</f>
        <v>202</v>
      </c>
      <c r="G53" t="str">
        <f>IFERROR(IF(INDEX(Fall!$1:$1048576,MATCH(All!$A53,Fall!$A:$A,FALSE),MATCH(All!G$1,Fall!$1:$1,FALSE))="","",INDEX(Fall!$1:$1048576,MATCH(All!$A53,Fall!$A:$A,FALSE),MATCH(All!G$1,Fall!$1:$1,FALSE))),"")</f>
        <v>1A</v>
      </c>
      <c r="H53" t="str">
        <f>IFERROR(IF(INDEX(Fall!$1:$1048576,MATCH(All!$A53,Fall!$A:$A,FALSE),MATCH(All!H$1,Fall!$1:$1,FALSE))="","",INDEX(Fall!$1:$1048576,MATCH(All!$A53,Fall!$A:$A,FALSE),MATCH(All!H$1,Fall!$1:$1,FALSE))),"")</f>
        <v>1A</v>
      </c>
      <c r="I53" t="str">
        <f>IFERROR(IF(INDEX(Fall!$1:$1048576,MATCH(All!$A53,Fall!$A:$A,FALSE),MATCH(All!I$1,Fall!$1:$1,FALSE))="","",INDEX(Fall!$1:$1048576,MATCH(All!$A53,Fall!$A:$A,FALSE),MATCH(All!I$1,Fall!$1:$1,FALSE))),"")</f>
        <v>1A</v>
      </c>
      <c r="J53" t="str">
        <f>IFERROR(IF(INDEX(Fall!$1:$1048576,MATCH(All!$A53,Fall!$A:$A,FALSE),MATCH(All!J$1,Fall!$1:$1,FALSE))="","",INDEX(Fall!$1:$1048576,MATCH(All!$A53,Fall!$A:$A,FALSE),MATCH(All!J$1,Fall!$1:$1,FALSE))),"")</f>
        <v/>
      </c>
      <c r="K53" t="str">
        <f>IFERROR(IF(INDEX(Fall!$1:$1048576,MATCH(All!$A53,Fall!$A:$A,FALSE),MATCH(All!K$1,Fall!$1:$1,FALSE))="","",INDEX(Fall!$1:$1048576,MATCH(All!$A53,Fall!$A:$A,FALSE),MATCH(All!K$1,Fall!$1:$1,FALSE))),"")</f>
        <v/>
      </c>
      <c r="L53" t="str">
        <f>IFERROR(IF(INDEX(Fall!$1:$1048576,MATCH(All!$A53,Fall!$A:$A,FALSE),MATCH(All!L$1,Fall!$1:$1,FALSE))="","",INDEX(Fall!$1:$1048576,MATCH(All!$A53,Fall!$A:$A,FALSE),MATCH(All!L$1,Fall!$1:$1,FALSE))),"")</f>
        <v/>
      </c>
      <c r="M53" t="str">
        <f>IFERROR(IF(INDEX(Fall!$1:$1048576,MATCH(All!$A53,Fall!$A:$A,FALSE),MATCH(All!M$1,Fall!$1:$1,FALSE))="","",INDEX(Fall!$1:$1048576,MATCH(All!$A53,Fall!$A:$A,FALSE),MATCH(All!M$1,Fall!$1:$1,FALSE))),"")</f>
        <v>1A</v>
      </c>
      <c r="O53">
        <f>IFERROR(IF(INDEX(Winter!$1:$1048576,MATCH(All!$A53,Winter!$A:$A,FALSE),MATCH(All!O$1,Winter!$1:$1,FALSE))="","",INDEX(Winter!$1:$1048576,MATCH(All!$A53,Winter!$A:$A,FALSE),MATCH(All!O$1,Winter!$1:$1,FALSE))),"")</f>
        <v>202</v>
      </c>
      <c r="P53" t="str">
        <f>IFERROR(IF(INDEX(Winter!$1:$1048576,MATCH(All!$A53,Winter!$A:$A,FALSE),MATCH(All!P$1,Winter!$1:$1,FALSE))="","",INDEX(Winter!$1:$1048576,MATCH(All!$A53,Winter!$A:$A,FALSE),MATCH(All!P$1,Winter!$1:$1,FALSE))),"")</f>
        <v>1A</v>
      </c>
      <c r="Q53" t="str">
        <f>IFERROR(IF(INDEX(Winter!$1:$1048576,MATCH(All!$A53,Winter!$A:$A,FALSE),MATCH(All!Q$1,Winter!$1:$1,FALSE))="","",INDEX(Winter!$1:$1048576,MATCH(All!$A53,Winter!$A:$A,FALSE),MATCH(All!Q$1,Winter!$1:$1,FALSE))),"")</f>
        <v>1A</v>
      </c>
      <c r="R53" t="str">
        <f>IFERROR(IF(INDEX(Winter!$1:$1048576,MATCH(All!$A53,Winter!$A:$A,FALSE),MATCH(All!R$1,Winter!$1:$1,FALSE))="","",INDEX(Winter!$1:$1048576,MATCH(All!$A53,Winter!$A:$A,FALSE),MATCH(All!R$1,Winter!$1:$1,FALSE))),"")</f>
        <v/>
      </c>
      <c r="S53" t="str">
        <f>IFERROR(IF(INDEX(Winter!$1:$1048576,MATCH(All!$A53,Winter!$A:$A,FALSE),MATCH(All!S$1,Winter!$1:$1,FALSE))="","",INDEX(Winter!$1:$1048576,MATCH(All!$A53,Winter!$A:$A,FALSE),MATCH(All!S$1,Winter!$1:$1,FALSE))),"")</f>
        <v/>
      </c>
      <c r="T53" t="str">
        <f>IFERROR(IF(INDEX(Winter!$1:$1048576,MATCH(All!$A53,Winter!$A:$A,FALSE),MATCH(All!T$1,Winter!$1:$1,FALSE))="","",INDEX(Winter!$1:$1048576,MATCH(All!$A53,Winter!$A:$A,FALSE),MATCH(All!T$1,Winter!$1:$1,FALSE))),"")</f>
        <v>1A</v>
      </c>
      <c r="U53" t="str">
        <f>IFERROR(IF(INDEX(Winter!$1:$1048576,MATCH(All!$A53,Winter!$A:$A,FALSE),MATCH(All!U$1,Winter!$1:$1,FALSE))="","",INDEX(Winter!$1:$1048576,MATCH(All!$A53,Winter!$A:$A,FALSE),MATCH(All!U$1,Winter!$1:$1,FALSE))),"")</f>
        <v/>
      </c>
      <c r="W53">
        <f>IFERROR(IF(INDEX(Spring!$1:$1048576,MATCH(All!$A53,Spring!$A:$A,FALSE),MATCH(All!W$1,Spring!$1:$1,FALSE))="","",INDEX(Spring!$1:$1048576,MATCH(All!$A53,Spring!$A:$A,FALSE),MATCH(All!W$1,Spring!$1:$1,FALSE))),"")</f>
        <v>202</v>
      </c>
      <c r="X53" t="str">
        <f>IFERROR(IF(INDEX(Spring!$1:$1048576,MATCH(All!$A53,Spring!$A:$A,FALSE),MATCH(All!X$1,Spring!$1:$1,FALSE))="","",INDEX(Spring!$1:$1048576,MATCH(All!$A53,Spring!$A:$A,FALSE),MATCH(All!X$1,Spring!$1:$1,FALSE))),"")</f>
        <v>1A</v>
      </c>
      <c r="Y53" t="str">
        <f>IFERROR(IF(INDEX(Spring!$1:$1048576,MATCH(All!$A53,Spring!$A:$A,FALSE),MATCH(All!Y$1,Spring!$1:$1,FALSE))="","",INDEX(Spring!$1:$1048576,MATCH(All!$A53,Spring!$A:$A,FALSE),MATCH(All!Y$1,Spring!$1:$1,FALSE))),"")</f>
        <v>1A</v>
      </c>
      <c r="Z53" t="str">
        <f>IFERROR(IF(INDEX(Spring!$1:$1048576,MATCH(All!$A53,Spring!$A:$A,FALSE),MATCH(All!Z$1,Spring!$1:$1,FALSE))="","",INDEX(Spring!$1:$1048576,MATCH(All!$A53,Spring!$A:$A,FALSE),MATCH(All!Z$1,Spring!$1:$1,FALSE))),"")</f>
        <v/>
      </c>
      <c r="AA53" t="str">
        <f>IFERROR(IF(INDEX(Spring!$1:$1048576,MATCH(All!$A53,Spring!$A:$A,FALSE),MATCH(All!AA$1,Spring!$1:$1,FALSE))="","",INDEX(Spring!$1:$1048576,MATCH(All!$A53,Spring!$A:$A,FALSE),MATCH(All!AA$1,Spring!$1:$1,FALSE))),"")</f>
        <v/>
      </c>
      <c r="AB53" t="str">
        <f>IFERROR(IF(INDEX(Spring!$1:$1048576,MATCH(All!$A53,Spring!$A:$A,FALSE),MATCH(All!AB$1,Spring!$1:$1,FALSE))="","",INDEX(Spring!$1:$1048576,MATCH(All!$A53,Spring!$A:$A,FALSE),MATCH(All!AB$1,Spring!$1:$1,FALSE))),"")</f>
        <v>1A</v>
      </c>
      <c r="AC53" t="str">
        <f>IFERROR(IF(INDEX(Spring!$1:$1048576,MATCH(All!$A53,Spring!$A:$A,FALSE),MATCH(All!AC$1,Spring!$1:$1,FALSE))="","",INDEX(Spring!$1:$1048576,MATCH(All!$A53,Spring!$A:$A,FALSE),MATCH(All!AC$1,Spring!$1:$1,FALSE))),"")</f>
        <v>1A</v>
      </c>
      <c r="AD53" t="str">
        <f>IFERROR(VLOOKUP(A53,'Flag Football'!A:A,1,FALSE),"")</f>
        <v/>
      </c>
      <c r="AE53" t="str">
        <f t="shared" si="0"/>
        <v/>
      </c>
    </row>
    <row r="54" spans="1:31" ht="15.75" thickBot="1" x14ac:dyDescent="0.3">
      <c r="A54" s="20" t="s">
        <v>70</v>
      </c>
      <c r="B54" s="38">
        <f>IFERROR(VLOOKUP(A54,'Public v Private'!A:G,3,FALSE),"")</f>
        <v>0</v>
      </c>
      <c r="C54" s="38">
        <f>IFERROR(VLOOKUP(A54,'Public v Private'!A:G,4,FALSE),"")</f>
        <v>0</v>
      </c>
      <c r="D54" s="38">
        <f>IFERROR(VLOOKUP(A54,'Public v Private'!A:G,5,FALSE),"")</f>
        <v>0</v>
      </c>
      <c r="E54" s="38"/>
      <c r="F54" s="40">
        <f>IFERROR(INDEX(Fall!$1:$1048576,MATCH(All!$A54,Fall!$A:$A,FALSE),MATCH(All!F$1,Fall!$1:$1,FALSE)),"N/A")</f>
        <v>354</v>
      </c>
      <c r="G54" t="str">
        <f>IFERROR(IF(INDEX(Fall!$1:$1048576,MATCH(All!$A54,Fall!$A:$A,FALSE),MATCH(All!G$1,Fall!$1:$1,FALSE))="","",INDEX(Fall!$1:$1048576,MATCH(All!$A54,Fall!$A:$A,FALSE),MATCH(All!G$1,Fall!$1:$1,FALSE))),"")</f>
        <v>1A</v>
      </c>
      <c r="H54" t="str">
        <f>IFERROR(IF(INDEX(Fall!$1:$1048576,MATCH(All!$A54,Fall!$A:$A,FALSE),MATCH(All!H$1,Fall!$1:$1,FALSE))="","",INDEX(Fall!$1:$1048576,MATCH(All!$A54,Fall!$A:$A,FALSE),MATCH(All!H$1,Fall!$1:$1,FALSE))),"")</f>
        <v>1A</v>
      </c>
      <c r="I54" t="str">
        <f>IFERROR(IF(INDEX(Fall!$1:$1048576,MATCH(All!$A54,Fall!$A:$A,FALSE),MATCH(All!I$1,Fall!$1:$1,FALSE))="","",INDEX(Fall!$1:$1048576,MATCH(All!$A54,Fall!$A:$A,FALSE),MATCH(All!I$1,Fall!$1:$1,FALSE))),"")</f>
        <v>1A</v>
      </c>
      <c r="J54" t="str">
        <f>IFERROR(IF(INDEX(Fall!$1:$1048576,MATCH(All!$A54,Fall!$A:$A,FALSE),MATCH(All!J$1,Fall!$1:$1,FALSE))="","",INDEX(Fall!$1:$1048576,MATCH(All!$A54,Fall!$A:$A,FALSE),MATCH(All!J$1,Fall!$1:$1,FALSE))),"")</f>
        <v/>
      </c>
      <c r="K54" t="str">
        <f>IFERROR(IF(INDEX(Fall!$1:$1048576,MATCH(All!$A54,Fall!$A:$A,FALSE),MATCH(All!K$1,Fall!$1:$1,FALSE))="","",INDEX(Fall!$1:$1048576,MATCH(All!$A54,Fall!$A:$A,FALSE),MATCH(All!K$1,Fall!$1:$1,FALSE))),"")</f>
        <v>1A</v>
      </c>
      <c r="L54" t="str">
        <f>IFERROR(IF(INDEX(Fall!$1:$1048576,MATCH(All!$A54,Fall!$A:$A,FALSE),MATCH(All!L$1,Fall!$1:$1,FALSE))="","",INDEX(Fall!$1:$1048576,MATCH(All!$A54,Fall!$A:$A,FALSE),MATCH(All!L$1,Fall!$1:$1,FALSE))),"")</f>
        <v/>
      </c>
      <c r="M54" t="str">
        <f>IFERROR(IF(INDEX(Fall!$1:$1048576,MATCH(All!$A54,Fall!$A:$A,FALSE),MATCH(All!M$1,Fall!$1:$1,FALSE))="","",INDEX(Fall!$1:$1048576,MATCH(All!$A54,Fall!$A:$A,FALSE),MATCH(All!M$1,Fall!$1:$1,FALSE))),"")</f>
        <v>2A</v>
      </c>
      <c r="O54">
        <f>IFERROR(IF(INDEX(Winter!$1:$1048576,MATCH(All!$A54,Winter!$A:$A,FALSE),MATCH(All!O$1,Winter!$1:$1,FALSE))="","",INDEX(Winter!$1:$1048576,MATCH(All!$A54,Winter!$A:$A,FALSE),MATCH(All!O$1,Winter!$1:$1,FALSE))),"")</f>
        <v>354</v>
      </c>
      <c r="P54" t="str">
        <f>IFERROR(IF(INDEX(Winter!$1:$1048576,MATCH(All!$A54,Winter!$A:$A,FALSE),MATCH(All!P$1,Winter!$1:$1,FALSE))="","",INDEX(Winter!$1:$1048576,MATCH(All!$A54,Winter!$A:$A,FALSE),MATCH(All!P$1,Winter!$1:$1,FALSE))),"")</f>
        <v>2A</v>
      </c>
      <c r="Q54" t="str">
        <f>IFERROR(IF(INDEX(Winter!$1:$1048576,MATCH(All!$A54,Winter!$A:$A,FALSE),MATCH(All!Q$1,Winter!$1:$1,FALSE))="","",INDEX(Winter!$1:$1048576,MATCH(All!$A54,Winter!$A:$A,FALSE),MATCH(All!Q$1,Winter!$1:$1,FALSE))),"")</f>
        <v>2A</v>
      </c>
      <c r="R54" t="str">
        <f>IFERROR(IF(INDEX(Winter!$1:$1048576,MATCH(All!$A54,Winter!$A:$A,FALSE),MATCH(All!R$1,Winter!$1:$1,FALSE))="","",INDEX(Winter!$1:$1048576,MATCH(All!$A54,Winter!$A:$A,FALSE),MATCH(All!R$1,Winter!$1:$1,FALSE))),"")</f>
        <v/>
      </c>
      <c r="S54" t="str">
        <f>IFERROR(IF(INDEX(Winter!$1:$1048576,MATCH(All!$A54,Winter!$A:$A,FALSE),MATCH(All!S$1,Winter!$1:$1,FALSE))="","",INDEX(Winter!$1:$1048576,MATCH(All!$A54,Winter!$A:$A,FALSE),MATCH(All!S$1,Winter!$1:$1,FALSE))),"")</f>
        <v/>
      </c>
      <c r="T54" t="str">
        <f>IFERROR(IF(INDEX(Winter!$1:$1048576,MATCH(All!$A54,Winter!$A:$A,FALSE),MATCH(All!T$1,Winter!$1:$1,FALSE))="","",INDEX(Winter!$1:$1048576,MATCH(All!$A54,Winter!$A:$A,FALSE),MATCH(All!T$1,Winter!$1:$1,FALSE))),"")</f>
        <v>1A</v>
      </c>
      <c r="U54" t="str">
        <f>IFERROR(IF(INDEX(Winter!$1:$1048576,MATCH(All!$A54,Winter!$A:$A,FALSE),MATCH(All!U$1,Winter!$1:$1,FALSE))="","",INDEX(Winter!$1:$1048576,MATCH(All!$A54,Winter!$A:$A,FALSE),MATCH(All!U$1,Winter!$1:$1,FALSE))),"")</f>
        <v>1A</v>
      </c>
      <c r="W54">
        <f>IFERROR(IF(INDEX(Spring!$1:$1048576,MATCH(All!$A54,Spring!$A:$A,FALSE),MATCH(All!W$1,Spring!$1:$1,FALSE))="","",INDEX(Spring!$1:$1048576,MATCH(All!$A54,Spring!$A:$A,FALSE),MATCH(All!W$1,Spring!$1:$1,FALSE))),"")</f>
        <v>354</v>
      </c>
      <c r="X54" t="str">
        <f>IFERROR(IF(INDEX(Spring!$1:$1048576,MATCH(All!$A54,Spring!$A:$A,FALSE),MATCH(All!X$1,Spring!$1:$1,FALSE))="","",INDEX(Spring!$1:$1048576,MATCH(All!$A54,Spring!$A:$A,FALSE),MATCH(All!X$1,Spring!$1:$1,FALSE))),"")</f>
        <v>2A</v>
      </c>
      <c r="Y54" t="str">
        <f>IFERROR(IF(INDEX(Spring!$1:$1048576,MATCH(All!$A54,Spring!$A:$A,FALSE),MATCH(All!Y$1,Spring!$1:$1,FALSE))="","",INDEX(Spring!$1:$1048576,MATCH(All!$A54,Spring!$A:$A,FALSE),MATCH(All!Y$1,Spring!$1:$1,FALSE))),"")</f>
        <v>2A</v>
      </c>
      <c r="Z54" t="str">
        <f>IFERROR(IF(INDEX(Spring!$1:$1048576,MATCH(All!$A54,Spring!$A:$A,FALSE),MATCH(All!Z$1,Spring!$1:$1,FALSE))="","",INDEX(Spring!$1:$1048576,MATCH(All!$A54,Spring!$A:$A,FALSE),MATCH(All!Z$1,Spring!$1:$1,FALSE))),"")</f>
        <v/>
      </c>
      <c r="AA54" t="str">
        <f>IFERROR(IF(INDEX(Spring!$1:$1048576,MATCH(All!$A54,Spring!$A:$A,FALSE),MATCH(All!AA$1,Spring!$1:$1,FALSE))="","",INDEX(Spring!$1:$1048576,MATCH(All!$A54,Spring!$A:$A,FALSE),MATCH(All!AA$1,Spring!$1:$1,FALSE))),"")</f>
        <v/>
      </c>
      <c r="AB54" t="str">
        <f>IFERROR(IF(INDEX(Spring!$1:$1048576,MATCH(All!$A54,Spring!$A:$A,FALSE),MATCH(All!AB$1,Spring!$1:$1,FALSE))="","",INDEX(Spring!$1:$1048576,MATCH(All!$A54,Spring!$A:$A,FALSE),MATCH(All!AB$1,Spring!$1:$1,FALSE))),"")</f>
        <v>1A</v>
      </c>
      <c r="AC54" t="str">
        <f>IFERROR(IF(INDEX(Spring!$1:$1048576,MATCH(All!$A54,Spring!$A:$A,FALSE),MATCH(All!AC$1,Spring!$1:$1,FALSE))="","",INDEX(Spring!$1:$1048576,MATCH(All!$A54,Spring!$A:$A,FALSE),MATCH(All!AC$1,Spring!$1:$1,FALSE))),"")</f>
        <v>1A</v>
      </c>
      <c r="AD54" t="str">
        <f>IFERROR(VLOOKUP(A54,'Flag Football'!A:A,1,FALSE),"")</f>
        <v/>
      </c>
      <c r="AE54" t="str">
        <f t="shared" si="0"/>
        <v/>
      </c>
    </row>
    <row r="55" spans="1:31" ht="15.75" thickBot="1" x14ac:dyDescent="0.3">
      <c r="A55" s="18" t="s">
        <v>71</v>
      </c>
      <c r="B55" s="38" t="str">
        <f>IFERROR(VLOOKUP(A55,'Public v Private'!A:G,3,FALSE),"")</f>
        <v>private</v>
      </c>
      <c r="C55" s="38">
        <f>IFERROR(VLOOKUP(A55,'Public v Private'!A:G,4,FALSE),"")</f>
        <v>5</v>
      </c>
      <c r="D55" s="38">
        <f>IFERROR(VLOOKUP(A55,'Public v Private'!A:G,5,FALSE),"")</f>
        <v>15</v>
      </c>
      <c r="E55" s="38"/>
      <c r="F55" s="40" t="str">
        <f>IFERROR(INDEX(Fall!$1:$1048576,MATCH(All!$A55,Fall!$A:$A,FALSE),MATCH(All!F$1,Fall!$1:$1,FALSE)),"N/A")</f>
        <v>316.00 (521.40)</v>
      </c>
      <c r="G55" t="str">
        <f>IFERROR(IF(INDEX(Fall!$1:$1048576,MATCH(All!$A55,Fall!$A:$A,FALSE),MATCH(All!G$1,Fall!$1:$1,FALSE))="","",INDEX(Fall!$1:$1048576,MATCH(All!$A55,Fall!$A:$A,FALSE),MATCH(All!G$1,Fall!$1:$1,FALSE))),"")</f>
        <v>1A</v>
      </c>
      <c r="H55" t="str">
        <f>IFERROR(IF(INDEX(Fall!$1:$1048576,MATCH(All!$A55,Fall!$A:$A,FALSE),MATCH(All!H$1,Fall!$1:$1,FALSE))="","",INDEX(Fall!$1:$1048576,MATCH(All!$A55,Fall!$A:$A,FALSE),MATCH(All!H$1,Fall!$1:$1,FALSE))),"")</f>
        <v>1A</v>
      </c>
      <c r="I55" t="str">
        <f>IFERROR(IF(INDEX(Fall!$1:$1048576,MATCH(All!$A55,Fall!$A:$A,FALSE),MATCH(All!I$1,Fall!$1:$1,FALSE))="","",INDEX(Fall!$1:$1048576,MATCH(All!$A55,Fall!$A:$A,FALSE),MATCH(All!I$1,Fall!$1:$1,FALSE))),"")</f>
        <v>2A</v>
      </c>
      <c r="J55" t="str">
        <f>IFERROR(IF(INDEX(Fall!$1:$1048576,MATCH(All!$A55,Fall!$A:$A,FALSE),MATCH(All!J$1,Fall!$1:$1,FALSE))="","",INDEX(Fall!$1:$1048576,MATCH(All!$A55,Fall!$A:$A,FALSE),MATCH(All!J$1,Fall!$1:$1,FALSE))),"")</f>
        <v>1A</v>
      </c>
      <c r="K55" t="str">
        <f>IFERROR(IF(INDEX(Fall!$1:$1048576,MATCH(All!$A55,Fall!$A:$A,FALSE),MATCH(All!K$1,Fall!$1:$1,FALSE))="","",INDEX(Fall!$1:$1048576,MATCH(All!$A55,Fall!$A:$A,FALSE),MATCH(All!K$1,Fall!$1:$1,FALSE))),"")</f>
        <v>1A</v>
      </c>
      <c r="L55" t="str">
        <f>IFERROR(IF(INDEX(Fall!$1:$1048576,MATCH(All!$A55,Fall!$A:$A,FALSE),MATCH(All!L$1,Fall!$1:$1,FALSE))="","",INDEX(Fall!$1:$1048576,MATCH(All!$A55,Fall!$A:$A,FALSE),MATCH(All!L$1,Fall!$1:$1,FALSE))),"")</f>
        <v>1A</v>
      </c>
      <c r="M55" t="str">
        <f>IFERROR(IF(INDEX(Fall!$1:$1048576,MATCH(All!$A55,Fall!$A:$A,FALSE),MATCH(All!M$1,Fall!$1:$1,FALSE))="","",INDEX(Fall!$1:$1048576,MATCH(All!$A55,Fall!$A:$A,FALSE),MATCH(All!M$1,Fall!$1:$1,FALSE))),"")</f>
        <v>2A</v>
      </c>
      <c r="O55" t="str">
        <f>IFERROR(IF(INDEX(Winter!$1:$1048576,MATCH(All!$A55,Winter!$A:$A,FALSE),MATCH(All!O$1,Winter!$1:$1,FALSE))="","",INDEX(Winter!$1:$1048576,MATCH(All!$A55,Winter!$A:$A,FALSE),MATCH(All!O$1,Winter!$1:$1,FALSE))),"")</f>
        <v>316.00 (521.40)</v>
      </c>
      <c r="P55" t="str">
        <f>IFERROR(IF(INDEX(Winter!$1:$1048576,MATCH(All!$A55,Winter!$A:$A,FALSE),MATCH(All!P$1,Winter!$1:$1,FALSE))="","",INDEX(Winter!$1:$1048576,MATCH(All!$A55,Winter!$A:$A,FALSE),MATCH(All!P$1,Winter!$1:$1,FALSE))),"")</f>
        <v>2A</v>
      </c>
      <c r="Q55" t="str">
        <f>IFERROR(IF(INDEX(Winter!$1:$1048576,MATCH(All!$A55,Winter!$A:$A,FALSE),MATCH(All!Q$1,Winter!$1:$1,FALSE))="","",INDEX(Winter!$1:$1048576,MATCH(All!$A55,Winter!$A:$A,FALSE),MATCH(All!Q$1,Winter!$1:$1,FALSE))),"")</f>
        <v>2A</v>
      </c>
      <c r="R55" t="str">
        <f>IFERROR(IF(INDEX(Winter!$1:$1048576,MATCH(All!$A55,Winter!$A:$A,FALSE),MATCH(All!R$1,Winter!$1:$1,FALSE))="","",INDEX(Winter!$1:$1048576,MATCH(All!$A55,Winter!$A:$A,FALSE),MATCH(All!R$1,Winter!$1:$1,FALSE))),"")</f>
        <v/>
      </c>
      <c r="S55" t="str">
        <f>IFERROR(IF(INDEX(Winter!$1:$1048576,MATCH(All!$A55,Winter!$A:$A,FALSE),MATCH(All!S$1,Winter!$1:$1,FALSE))="","",INDEX(Winter!$1:$1048576,MATCH(All!$A55,Winter!$A:$A,FALSE),MATCH(All!S$1,Winter!$1:$1,FALSE))),"")</f>
        <v/>
      </c>
      <c r="T55" t="str">
        <f>IFERROR(IF(INDEX(Winter!$1:$1048576,MATCH(All!$A55,Winter!$A:$A,FALSE),MATCH(All!T$1,Winter!$1:$1,FALSE))="","",INDEX(Winter!$1:$1048576,MATCH(All!$A55,Winter!$A:$A,FALSE),MATCH(All!T$1,Winter!$1:$1,FALSE))),"")</f>
        <v>2A</v>
      </c>
      <c r="U55" t="str">
        <f>IFERROR(IF(INDEX(Winter!$1:$1048576,MATCH(All!$A55,Winter!$A:$A,FALSE),MATCH(All!U$1,Winter!$1:$1,FALSE))="","",INDEX(Winter!$1:$1048576,MATCH(All!$A55,Winter!$A:$A,FALSE),MATCH(All!U$1,Winter!$1:$1,FALSE))),"")</f>
        <v/>
      </c>
      <c r="W55" t="str">
        <f>IFERROR(IF(INDEX(Spring!$1:$1048576,MATCH(All!$A55,Spring!$A:$A,FALSE),MATCH(All!W$1,Spring!$1:$1,FALSE))="","",INDEX(Spring!$1:$1048576,MATCH(All!$A55,Spring!$A:$A,FALSE),MATCH(All!W$1,Spring!$1:$1,FALSE))),"")</f>
        <v>316.00 (521.40)</v>
      </c>
      <c r="X55" t="str">
        <f>IFERROR(IF(INDEX(Spring!$1:$1048576,MATCH(All!$A55,Spring!$A:$A,FALSE),MATCH(All!X$1,Spring!$1:$1,FALSE))="","",INDEX(Spring!$1:$1048576,MATCH(All!$A55,Spring!$A:$A,FALSE),MATCH(All!X$1,Spring!$1:$1,FALSE))),"")</f>
        <v>2A</v>
      </c>
      <c r="Y55" t="str">
        <f>IFERROR(IF(INDEX(Spring!$1:$1048576,MATCH(All!$A55,Spring!$A:$A,FALSE),MATCH(All!Y$1,Spring!$1:$1,FALSE))="","",INDEX(Spring!$1:$1048576,MATCH(All!$A55,Spring!$A:$A,FALSE),MATCH(All!Y$1,Spring!$1:$1,FALSE))),"")</f>
        <v>2A</v>
      </c>
      <c r="Z55" t="str">
        <f>IFERROR(IF(INDEX(Spring!$1:$1048576,MATCH(All!$A55,Spring!$A:$A,FALSE),MATCH(All!Z$1,Spring!$1:$1,FALSE))="","",INDEX(Spring!$1:$1048576,MATCH(All!$A55,Spring!$A:$A,FALSE),MATCH(All!Z$1,Spring!$1:$1,FALSE))),"")</f>
        <v>1A</v>
      </c>
      <c r="AA55" t="str">
        <f>IFERROR(IF(INDEX(Spring!$1:$1048576,MATCH(All!$A55,Spring!$A:$A,FALSE),MATCH(All!AA$1,Spring!$1:$1,FALSE))="","",INDEX(Spring!$1:$1048576,MATCH(All!$A55,Spring!$A:$A,FALSE),MATCH(All!AA$1,Spring!$1:$1,FALSE))),"")</f>
        <v>1A</v>
      </c>
      <c r="AB55" t="str">
        <f>IFERROR(IF(INDEX(Spring!$1:$1048576,MATCH(All!$A55,Spring!$A:$A,FALSE),MATCH(All!AB$1,Spring!$1:$1,FALSE))="","",INDEX(Spring!$1:$1048576,MATCH(All!$A55,Spring!$A:$A,FALSE),MATCH(All!AB$1,Spring!$1:$1,FALSE))),"")</f>
        <v>2A</v>
      </c>
      <c r="AC55" t="str">
        <f>IFERROR(IF(INDEX(Spring!$1:$1048576,MATCH(All!$A55,Spring!$A:$A,FALSE),MATCH(All!AC$1,Spring!$1:$1,FALSE))="","",INDEX(Spring!$1:$1048576,MATCH(All!$A55,Spring!$A:$A,FALSE),MATCH(All!AC$1,Spring!$1:$1,FALSE))),"")</f>
        <v>1A</v>
      </c>
      <c r="AD55" t="str">
        <f>IFERROR(VLOOKUP(A55,'Flag Football'!A:A,1,FALSE),"")</f>
        <v/>
      </c>
      <c r="AE55" t="str">
        <f t="shared" si="0"/>
        <v/>
      </c>
    </row>
    <row r="56" spans="1:31" ht="15.75" thickBot="1" x14ac:dyDescent="0.3">
      <c r="A56" s="20" t="s">
        <v>73</v>
      </c>
      <c r="B56" s="38" t="str">
        <f>IFERROR(VLOOKUP(A56,'Public v Private'!A:G,3,FALSE),"")</f>
        <v>private</v>
      </c>
      <c r="C56" s="38">
        <f>IFERROR(VLOOKUP(A56,'Public v Private'!A:G,4,FALSE),"")</f>
        <v>5</v>
      </c>
      <c r="D56" s="38">
        <f>IFERROR(VLOOKUP(A56,'Public v Private'!A:G,5,FALSE),"")</f>
        <v>15</v>
      </c>
      <c r="E56" s="38"/>
      <c r="F56" s="40" t="str">
        <f>IFERROR(INDEX(Fall!$1:$1048576,MATCH(All!$A56,Fall!$A:$A,FALSE),MATCH(All!F$1,Fall!$1:$1,FALSE)),"N/A")</f>
        <v>148.00 (244.20)</v>
      </c>
      <c r="G56" t="str">
        <f>IFERROR(IF(INDEX(Fall!$1:$1048576,MATCH(All!$A56,Fall!$A:$A,FALSE),MATCH(All!G$1,Fall!$1:$1,FALSE))="","",INDEX(Fall!$1:$1048576,MATCH(All!$A56,Fall!$A:$A,FALSE),MATCH(All!G$1,Fall!$1:$1,FALSE))),"")</f>
        <v>1A</v>
      </c>
      <c r="H56" t="str">
        <f>IFERROR(IF(INDEX(Fall!$1:$1048576,MATCH(All!$A56,Fall!$A:$A,FALSE),MATCH(All!H$1,Fall!$1:$1,FALSE))="","",INDEX(Fall!$1:$1048576,MATCH(All!$A56,Fall!$A:$A,FALSE),MATCH(All!H$1,Fall!$1:$1,FALSE))),"")</f>
        <v/>
      </c>
      <c r="I56" t="str">
        <f>IFERROR(IF(INDEX(Fall!$1:$1048576,MATCH(All!$A56,Fall!$A:$A,FALSE),MATCH(All!I$1,Fall!$1:$1,FALSE))="","",INDEX(Fall!$1:$1048576,MATCH(All!$A56,Fall!$A:$A,FALSE),MATCH(All!I$1,Fall!$1:$1,FALSE))),"")</f>
        <v>1A</v>
      </c>
      <c r="J56" t="str">
        <f>IFERROR(IF(INDEX(Fall!$1:$1048576,MATCH(All!$A56,Fall!$A:$A,FALSE),MATCH(All!J$1,Fall!$1:$1,FALSE))="","",INDEX(Fall!$1:$1048576,MATCH(All!$A56,Fall!$A:$A,FALSE),MATCH(All!J$1,Fall!$1:$1,FALSE))),"")</f>
        <v/>
      </c>
      <c r="K56" t="str">
        <f>IFERROR(IF(INDEX(Fall!$1:$1048576,MATCH(All!$A56,Fall!$A:$A,FALSE),MATCH(All!K$1,Fall!$1:$1,FALSE))="","",INDEX(Fall!$1:$1048576,MATCH(All!$A56,Fall!$A:$A,FALSE),MATCH(All!K$1,Fall!$1:$1,FALSE))),"")</f>
        <v>1A</v>
      </c>
      <c r="L56" t="str">
        <f>IFERROR(IF(INDEX(Fall!$1:$1048576,MATCH(All!$A56,Fall!$A:$A,FALSE),MATCH(All!L$1,Fall!$1:$1,FALSE))="","",INDEX(Fall!$1:$1048576,MATCH(All!$A56,Fall!$A:$A,FALSE),MATCH(All!L$1,Fall!$1:$1,FALSE))),"")</f>
        <v>1A</v>
      </c>
      <c r="M56" t="str">
        <f>IFERROR(IF(INDEX(Fall!$1:$1048576,MATCH(All!$A56,Fall!$A:$A,FALSE),MATCH(All!M$1,Fall!$1:$1,FALSE))="","",INDEX(Fall!$1:$1048576,MATCH(All!$A56,Fall!$A:$A,FALSE),MATCH(All!M$1,Fall!$1:$1,FALSE))),"")</f>
        <v>1A</v>
      </c>
      <c r="O56" t="str">
        <f>IFERROR(IF(INDEX(Winter!$1:$1048576,MATCH(All!$A56,Winter!$A:$A,FALSE),MATCH(All!O$1,Winter!$1:$1,FALSE))="","",INDEX(Winter!$1:$1048576,MATCH(All!$A56,Winter!$A:$A,FALSE),MATCH(All!O$1,Winter!$1:$1,FALSE))),"")</f>
        <v>148.00 (244.20)</v>
      </c>
      <c r="P56" t="str">
        <f>IFERROR(IF(INDEX(Winter!$1:$1048576,MATCH(All!$A56,Winter!$A:$A,FALSE),MATCH(All!P$1,Winter!$1:$1,FALSE))="","",INDEX(Winter!$1:$1048576,MATCH(All!$A56,Winter!$A:$A,FALSE),MATCH(All!P$1,Winter!$1:$1,FALSE))),"")</f>
        <v>1A</v>
      </c>
      <c r="Q56" t="str">
        <f>IFERROR(IF(INDEX(Winter!$1:$1048576,MATCH(All!$A56,Winter!$A:$A,FALSE),MATCH(All!Q$1,Winter!$1:$1,FALSE))="","",INDEX(Winter!$1:$1048576,MATCH(All!$A56,Winter!$A:$A,FALSE),MATCH(All!Q$1,Winter!$1:$1,FALSE))),"")</f>
        <v>1A</v>
      </c>
      <c r="R56" t="str">
        <f>IFERROR(IF(INDEX(Winter!$1:$1048576,MATCH(All!$A56,Winter!$A:$A,FALSE),MATCH(All!R$1,Winter!$1:$1,FALSE))="","",INDEX(Winter!$1:$1048576,MATCH(All!$A56,Winter!$A:$A,FALSE),MATCH(All!R$1,Winter!$1:$1,FALSE))),"")</f>
        <v/>
      </c>
      <c r="S56" t="str">
        <f>IFERROR(IF(INDEX(Winter!$1:$1048576,MATCH(All!$A56,Winter!$A:$A,FALSE),MATCH(All!S$1,Winter!$1:$1,FALSE))="","",INDEX(Winter!$1:$1048576,MATCH(All!$A56,Winter!$A:$A,FALSE),MATCH(All!S$1,Winter!$1:$1,FALSE))),"")</f>
        <v/>
      </c>
      <c r="T56" t="str">
        <f>IFERROR(IF(INDEX(Winter!$1:$1048576,MATCH(All!$A56,Winter!$A:$A,FALSE),MATCH(All!T$1,Winter!$1:$1,FALSE))="","",INDEX(Winter!$1:$1048576,MATCH(All!$A56,Winter!$A:$A,FALSE),MATCH(All!T$1,Winter!$1:$1,FALSE))),"")</f>
        <v>1A</v>
      </c>
      <c r="U56" t="str">
        <f>IFERROR(IF(INDEX(Winter!$1:$1048576,MATCH(All!$A56,Winter!$A:$A,FALSE),MATCH(All!U$1,Winter!$1:$1,FALSE))="","",INDEX(Winter!$1:$1048576,MATCH(All!$A56,Winter!$A:$A,FALSE),MATCH(All!U$1,Winter!$1:$1,FALSE))),"")</f>
        <v/>
      </c>
      <c r="W56" t="str">
        <f>IFERROR(IF(INDEX(Spring!$1:$1048576,MATCH(All!$A56,Spring!$A:$A,FALSE),MATCH(All!W$1,Spring!$1:$1,FALSE))="","",INDEX(Spring!$1:$1048576,MATCH(All!$A56,Spring!$A:$A,FALSE),MATCH(All!W$1,Spring!$1:$1,FALSE))),"")</f>
        <v>148.00 (244.20)</v>
      </c>
      <c r="X56" t="str">
        <f>IFERROR(IF(INDEX(Spring!$1:$1048576,MATCH(All!$A56,Spring!$A:$A,FALSE),MATCH(All!X$1,Spring!$1:$1,FALSE))="","",INDEX(Spring!$1:$1048576,MATCH(All!$A56,Spring!$A:$A,FALSE),MATCH(All!X$1,Spring!$1:$1,FALSE))),"")</f>
        <v>2A</v>
      </c>
      <c r="Y56" t="str">
        <f>IFERROR(IF(INDEX(Spring!$1:$1048576,MATCH(All!$A56,Spring!$A:$A,FALSE),MATCH(All!Y$1,Spring!$1:$1,FALSE))="","",INDEX(Spring!$1:$1048576,MATCH(All!$A56,Spring!$A:$A,FALSE),MATCH(All!Y$1,Spring!$1:$1,FALSE))),"")</f>
        <v/>
      </c>
      <c r="Z56" t="str">
        <f>IFERROR(IF(INDEX(Spring!$1:$1048576,MATCH(All!$A56,Spring!$A:$A,FALSE),MATCH(All!Z$1,Spring!$1:$1,FALSE))="","",INDEX(Spring!$1:$1048576,MATCH(All!$A56,Spring!$A:$A,FALSE),MATCH(All!Z$1,Spring!$1:$1,FALSE))),"")</f>
        <v>1A</v>
      </c>
      <c r="AA56" t="str">
        <f>IFERROR(IF(INDEX(Spring!$1:$1048576,MATCH(All!$A56,Spring!$A:$A,FALSE),MATCH(All!AA$1,Spring!$1:$1,FALSE))="","",INDEX(Spring!$1:$1048576,MATCH(All!$A56,Spring!$A:$A,FALSE),MATCH(All!AA$1,Spring!$1:$1,FALSE))),"")</f>
        <v>1A</v>
      </c>
      <c r="AB56" t="str">
        <f>IFERROR(IF(INDEX(Spring!$1:$1048576,MATCH(All!$A56,Spring!$A:$A,FALSE),MATCH(All!AB$1,Spring!$1:$1,FALSE))="","",INDEX(Spring!$1:$1048576,MATCH(All!$A56,Spring!$A:$A,FALSE),MATCH(All!AB$1,Spring!$1:$1,FALSE))),"")</f>
        <v>1A</v>
      </c>
      <c r="AC56" t="str">
        <f>IFERROR(IF(INDEX(Spring!$1:$1048576,MATCH(All!$A56,Spring!$A:$A,FALSE),MATCH(All!AC$1,Spring!$1:$1,FALSE))="","",INDEX(Spring!$1:$1048576,MATCH(All!$A56,Spring!$A:$A,FALSE),MATCH(All!AC$1,Spring!$1:$1,FALSE))),"")</f>
        <v>1A</v>
      </c>
      <c r="AD56" t="str">
        <f>IFERROR(VLOOKUP(A56,'Flag Football'!A:A,1,FALSE),"")</f>
        <v/>
      </c>
      <c r="AE56" t="str">
        <f t="shared" si="0"/>
        <v/>
      </c>
    </row>
    <row r="57" spans="1:31" ht="15.75" thickBot="1" x14ac:dyDescent="0.3">
      <c r="A57" s="18" t="s">
        <v>75</v>
      </c>
      <c r="B57" s="38">
        <f>IFERROR(VLOOKUP(A57,'Public v Private'!A:G,3,FALSE),"")</f>
        <v>0</v>
      </c>
      <c r="C57" s="38">
        <f>IFERROR(VLOOKUP(A57,'Public v Private'!A:G,4,FALSE),"")</f>
        <v>0</v>
      </c>
      <c r="D57" s="38">
        <f>IFERROR(VLOOKUP(A57,'Public v Private'!A:G,5,FALSE),"")</f>
        <v>0</v>
      </c>
      <c r="E57" s="38"/>
      <c r="F57" s="40">
        <f>IFERROR(INDEX(Fall!$1:$1048576,MATCH(All!$A57,Fall!$A:$A,FALSE),MATCH(All!F$1,Fall!$1:$1,FALSE)),"N/A")</f>
        <v>1280</v>
      </c>
      <c r="G57" t="str">
        <f>IFERROR(IF(INDEX(Fall!$1:$1048576,MATCH(All!$A57,Fall!$A:$A,FALSE),MATCH(All!G$1,Fall!$1:$1,FALSE))="","",INDEX(Fall!$1:$1048576,MATCH(All!$A57,Fall!$A:$A,FALSE),MATCH(All!G$1,Fall!$1:$1,FALSE))),"")</f>
        <v>2A</v>
      </c>
      <c r="H57" t="str">
        <f>IFERROR(IF(INDEX(Fall!$1:$1048576,MATCH(All!$A57,Fall!$A:$A,FALSE),MATCH(All!H$1,Fall!$1:$1,FALSE))="","",INDEX(Fall!$1:$1048576,MATCH(All!$A57,Fall!$A:$A,FALSE),MATCH(All!H$1,Fall!$1:$1,FALSE))),"")</f>
        <v>2A</v>
      </c>
      <c r="I57" t="str">
        <f>IFERROR(IF(INDEX(Fall!$1:$1048576,MATCH(All!$A57,Fall!$A:$A,FALSE),MATCH(All!I$1,Fall!$1:$1,FALSE))="","",INDEX(Fall!$1:$1048576,MATCH(All!$A57,Fall!$A:$A,FALSE),MATCH(All!I$1,Fall!$1:$1,FALSE))),"")</f>
        <v>2A</v>
      </c>
      <c r="J57" t="str">
        <f>IFERROR(IF(INDEX(Fall!$1:$1048576,MATCH(All!$A57,Fall!$A:$A,FALSE),MATCH(All!J$1,Fall!$1:$1,FALSE))="","",INDEX(Fall!$1:$1048576,MATCH(All!$A57,Fall!$A:$A,FALSE),MATCH(All!J$1,Fall!$1:$1,FALSE))),"")</f>
        <v>2A</v>
      </c>
      <c r="K57" t="str">
        <f>IFERROR(IF(INDEX(Fall!$1:$1048576,MATCH(All!$A57,Fall!$A:$A,FALSE),MATCH(All!K$1,Fall!$1:$1,FALSE))="","",INDEX(Fall!$1:$1048576,MATCH(All!$A57,Fall!$A:$A,FALSE),MATCH(All!K$1,Fall!$1:$1,FALSE))),"")</f>
        <v>2A</v>
      </c>
      <c r="L57" t="str">
        <f>IFERROR(IF(INDEX(Fall!$1:$1048576,MATCH(All!$A57,Fall!$A:$A,FALSE),MATCH(All!L$1,Fall!$1:$1,FALSE))="","",INDEX(Fall!$1:$1048576,MATCH(All!$A57,Fall!$A:$A,FALSE),MATCH(All!L$1,Fall!$1:$1,FALSE))),"")</f>
        <v>1A</v>
      </c>
      <c r="M57" t="str">
        <f>IFERROR(IF(INDEX(Fall!$1:$1048576,MATCH(All!$A57,Fall!$A:$A,FALSE),MATCH(All!M$1,Fall!$1:$1,FALSE))="","",INDEX(Fall!$1:$1048576,MATCH(All!$A57,Fall!$A:$A,FALSE),MATCH(All!M$1,Fall!$1:$1,FALSE))),"")</f>
        <v>3A</v>
      </c>
      <c r="O57">
        <f>IFERROR(IF(INDEX(Winter!$1:$1048576,MATCH(All!$A57,Winter!$A:$A,FALSE),MATCH(All!O$1,Winter!$1:$1,FALSE))="","",INDEX(Winter!$1:$1048576,MATCH(All!$A57,Winter!$A:$A,FALSE),MATCH(All!O$1,Winter!$1:$1,FALSE))),"")</f>
        <v>1280</v>
      </c>
      <c r="P57" t="str">
        <f>IFERROR(IF(INDEX(Winter!$1:$1048576,MATCH(All!$A57,Winter!$A:$A,FALSE),MATCH(All!P$1,Winter!$1:$1,FALSE))="","",INDEX(Winter!$1:$1048576,MATCH(All!$A57,Winter!$A:$A,FALSE),MATCH(All!P$1,Winter!$1:$1,FALSE))),"")</f>
        <v>3A</v>
      </c>
      <c r="Q57" t="str">
        <f>IFERROR(IF(INDEX(Winter!$1:$1048576,MATCH(All!$A57,Winter!$A:$A,FALSE),MATCH(All!Q$1,Winter!$1:$1,FALSE))="","",INDEX(Winter!$1:$1048576,MATCH(All!$A57,Winter!$A:$A,FALSE),MATCH(All!Q$1,Winter!$1:$1,FALSE))),"")</f>
        <v>3A</v>
      </c>
      <c r="R57" t="str">
        <f>IFERROR(IF(INDEX(Winter!$1:$1048576,MATCH(All!$A57,Winter!$A:$A,FALSE),MATCH(All!R$1,Winter!$1:$1,FALSE))="","",INDEX(Winter!$1:$1048576,MATCH(All!$A57,Winter!$A:$A,FALSE),MATCH(All!R$1,Winter!$1:$1,FALSE))),"")</f>
        <v>2A</v>
      </c>
      <c r="S57" t="str">
        <f>IFERROR(IF(INDEX(Winter!$1:$1048576,MATCH(All!$A57,Winter!$A:$A,FALSE),MATCH(All!S$1,Winter!$1:$1,FALSE))="","",INDEX(Winter!$1:$1048576,MATCH(All!$A57,Winter!$A:$A,FALSE),MATCH(All!S$1,Winter!$1:$1,FALSE))),"")</f>
        <v>2A</v>
      </c>
      <c r="T57" t="str">
        <f>IFERROR(IF(INDEX(Winter!$1:$1048576,MATCH(All!$A57,Winter!$A:$A,FALSE),MATCH(All!T$1,Winter!$1:$1,FALSE))="","",INDEX(Winter!$1:$1048576,MATCH(All!$A57,Winter!$A:$A,FALSE),MATCH(All!T$1,Winter!$1:$1,FALSE))),"")</f>
        <v>2A</v>
      </c>
      <c r="U57" t="str">
        <f>IFERROR(IF(INDEX(Winter!$1:$1048576,MATCH(All!$A57,Winter!$A:$A,FALSE),MATCH(All!U$1,Winter!$1:$1,FALSE))="","",INDEX(Winter!$1:$1048576,MATCH(All!$A57,Winter!$A:$A,FALSE),MATCH(All!U$1,Winter!$1:$1,FALSE))),"")</f>
        <v>2A</v>
      </c>
      <c r="W57">
        <f>IFERROR(IF(INDEX(Spring!$1:$1048576,MATCH(All!$A57,Spring!$A:$A,FALSE),MATCH(All!W$1,Spring!$1:$1,FALSE))="","",INDEX(Spring!$1:$1048576,MATCH(All!$A57,Spring!$A:$A,FALSE),MATCH(All!W$1,Spring!$1:$1,FALSE))),"")</f>
        <v>1280</v>
      </c>
      <c r="X57" t="str">
        <f>IFERROR(IF(INDEX(Spring!$1:$1048576,MATCH(All!$A57,Spring!$A:$A,FALSE),MATCH(All!X$1,Spring!$1:$1,FALSE))="","",INDEX(Spring!$1:$1048576,MATCH(All!$A57,Spring!$A:$A,FALSE),MATCH(All!X$1,Spring!$1:$1,FALSE))),"")</f>
        <v>3A</v>
      </c>
      <c r="Y57" t="str">
        <f>IFERROR(IF(INDEX(Spring!$1:$1048576,MATCH(All!$A57,Spring!$A:$A,FALSE),MATCH(All!Y$1,Spring!$1:$1,FALSE))="","",INDEX(Spring!$1:$1048576,MATCH(All!$A57,Spring!$A:$A,FALSE),MATCH(All!Y$1,Spring!$1:$1,FALSE))),"")</f>
        <v>3A</v>
      </c>
      <c r="Z57" t="str">
        <f>IFERROR(IF(INDEX(Spring!$1:$1048576,MATCH(All!$A57,Spring!$A:$A,FALSE),MATCH(All!Z$1,Spring!$1:$1,FALSE))="","",INDEX(Spring!$1:$1048576,MATCH(All!$A57,Spring!$A:$A,FALSE),MATCH(All!Z$1,Spring!$1:$1,FALSE))),"")</f>
        <v>2A</v>
      </c>
      <c r="AA57" t="str">
        <f>IFERROR(IF(INDEX(Spring!$1:$1048576,MATCH(All!$A57,Spring!$A:$A,FALSE),MATCH(All!AA$1,Spring!$1:$1,FALSE))="","",INDEX(Spring!$1:$1048576,MATCH(All!$A57,Spring!$A:$A,FALSE),MATCH(All!AA$1,Spring!$1:$1,FALSE))),"")</f>
        <v>1A</v>
      </c>
      <c r="AB57" t="str">
        <f>IFERROR(IF(INDEX(Spring!$1:$1048576,MATCH(All!$A57,Spring!$A:$A,FALSE),MATCH(All!AB$1,Spring!$1:$1,FALSE))="","",INDEX(Spring!$1:$1048576,MATCH(All!$A57,Spring!$A:$A,FALSE),MATCH(All!AB$1,Spring!$1:$1,FALSE))),"")</f>
        <v>3A</v>
      </c>
      <c r="AC57" t="str">
        <f>IFERROR(IF(INDEX(Spring!$1:$1048576,MATCH(All!$A57,Spring!$A:$A,FALSE),MATCH(All!AC$1,Spring!$1:$1,FALSE))="","",INDEX(Spring!$1:$1048576,MATCH(All!$A57,Spring!$A:$A,FALSE),MATCH(All!AC$1,Spring!$1:$1,FALSE))),"")</f>
        <v>3A</v>
      </c>
      <c r="AD57" t="str">
        <f>IFERROR(VLOOKUP(A57,'Flag Football'!A:A,1,FALSE),"")</f>
        <v/>
      </c>
      <c r="AE57" t="str">
        <f t="shared" si="0"/>
        <v/>
      </c>
    </row>
    <row r="58" spans="1:31" ht="15.75" thickBot="1" x14ac:dyDescent="0.3">
      <c r="A58" s="20" t="s">
        <v>76</v>
      </c>
      <c r="B58" s="38">
        <f>IFERROR(VLOOKUP(A58,'Public v Private'!A:G,3,FALSE),"")</f>
        <v>0</v>
      </c>
      <c r="C58" s="38">
        <f>IFERROR(VLOOKUP(A58,'Public v Private'!A:G,4,FALSE),"")</f>
        <v>0</v>
      </c>
      <c r="D58" s="38">
        <f>IFERROR(VLOOKUP(A58,'Public v Private'!A:G,5,FALSE),"")</f>
        <v>0</v>
      </c>
      <c r="E58" s="38"/>
      <c r="F58" s="40">
        <f>IFERROR(INDEX(Fall!$1:$1048576,MATCH(All!$A58,Fall!$A:$A,FALSE),MATCH(All!F$1,Fall!$1:$1,FALSE)),"N/A")</f>
        <v>1770</v>
      </c>
      <c r="G58" t="str">
        <f>IFERROR(IF(INDEX(Fall!$1:$1048576,MATCH(All!$A58,Fall!$A:$A,FALSE),MATCH(All!G$1,Fall!$1:$1,FALSE))="","",INDEX(Fall!$1:$1048576,MATCH(All!$A58,Fall!$A:$A,FALSE),MATCH(All!G$1,Fall!$1:$1,FALSE))),"")</f>
        <v>3A</v>
      </c>
      <c r="H58" t="str">
        <f>IFERROR(IF(INDEX(Fall!$1:$1048576,MATCH(All!$A58,Fall!$A:$A,FALSE),MATCH(All!H$1,Fall!$1:$1,FALSE))="","",INDEX(Fall!$1:$1048576,MATCH(All!$A58,Fall!$A:$A,FALSE),MATCH(All!H$1,Fall!$1:$1,FALSE))),"")</f>
        <v>3A</v>
      </c>
      <c r="I58" t="str">
        <f>IFERROR(IF(INDEX(Fall!$1:$1048576,MATCH(All!$A58,Fall!$A:$A,FALSE),MATCH(All!I$1,Fall!$1:$1,FALSE))="","",INDEX(Fall!$1:$1048576,MATCH(All!$A58,Fall!$A:$A,FALSE),MATCH(All!I$1,Fall!$1:$1,FALSE))),"")</f>
        <v>3A</v>
      </c>
      <c r="J58" t="str">
        <f>IFERROR(IF(INDEX(Fall!$1:$1048576,MATCH(All!$A58,Fall!$A:$A,FALSE),MATCH(All!J$1,Fall!$1:$1,FALSE))="","",INDEX(Fall!$1:$1048576,MATCH(All!$A58,Fall!$A:$A,FALSE),MATCH(All!J$1,Fall!$1:$1,FALSE))),"")</f>
        <v/>
      </c>
      <c r="K58" t="str">
        <f>IFERROR(IF(INDEX(Fall!$1:$1048576,MATCH(All!$A58,Fall!$A:$A,FALSE),MATCH(All!K$1,Fall!$1:$1,FALSE))="","",INDEX(Fall!$1:$1048576,MATCH(All!$A58,Fall!$A:$A,FALSE),MATCH(All!K$1,Fall!$1:$1,FALSE))),"")</f>
        <v>3A</v>
      </c>
      <c r="L58" t="str">
        <f>IFERROR(IF(INDEX(Fall!$1:$1048576,MATCH(All!$A58,Fall!$A:$A,FALSE),MATCH(All!L$1,Fall!$1:$1,FALSE))="","",INDEX(Fall!$1:$1048576,MATCH(All!$A58,Fall!$A:$A,FALSE),MATCH(All!L$1,Fall!$1:$1,FALSE))),"")</f>
        <v>2A</v>
      </c>
      <c r="M58" t="str">
        <f>IFERROR(IF(INDEX(Fall!$1:$1048576,MATCH(All!$A58,Fall!$A:$A,FALSE),MATCH(All!M$1,Fall!$1:$1,FALSE))="","",INDEX(Fall!$1:$1048576,MATCH(All!$A58,Fall!$A:$A,FALSE),MATCH(All!M$1,Fall!$1:$1,FALSE))),"")</f>
        <v>4A</v>
      </c>
      <c r="O58">
        <f>IFERROR(IF(INDEX(Winter!$1:$1048576,MATCH(All!$A58,Winter!$A:$A,FALSE),MATCH(All!O$1,Winter!$1:$1,FALSE))="","",INDEX(Winter!$1:$1048576,MATCH(All!$A58,Winter!$A:$A,FALSE),MATCH(All!O$1,Winter!$1:$1,FALSE))),"")</f>
        <v>1770</v>
      </c>
      <c r="P58" t="str">
        <f>IFERROR(IF(INDEX(Winter!$1:$1048576,MATCH(All!$A58,Winter!$A:$A,FALSE),MATCH(All!P$1,Winter!$1:$1,FALSE))="","",INDEX(Winter!$1:$1048576,MATCH(All!$A58,Winter!$A:$A,FALSE),MATCH(All!P$1,Winter!$1:$1,FALSE))),"")</f>
        <v>4A</v>
      </c>
      <c r="Q58" t="str">
        <f>IFERROR(IF(INDEX(Winter!$1:$1048576,MATCH(All!$A58,Winter!$A:$A,FALSE),MATCH(All!Q$1,Winter!$1:$1,FALSE))="","",INDEX(Winter!$1:$1048576,MATCH(All!$A58,Winter!$A:$A,FALSE),MATCH(All!Q$1,Winter!$1:$1,FALSE))),"")</f>
        <v>4A</v>
      </c>
      <c r="R58" t="str">
        <f>IFERROR(IF(INDEX(Winter!$1:$1048576,MATCH(All!$A58,Winter!$A:$A,FALSE),MATCH(All!R$1,Winter!$1:$1,FALSE))="","",INDEX(Winter!$1:$1048576,MATCH(All!$A58,Winter!$A:$A,FALSE),MATCH(All!R$1,Winter!$1:$1,FALSE))),"")</f>
        <v>3A</v>
      </c>
      <c r="S58" t="str">
        <f>IFERROR(IF(INDEX(Winter!$1:$1048576,MATCH(All!$A58,Winter!$A:$A,FALSE),MATCH(All!S$1,Winter!$1:$1,FALSE))="","",INDEX(Winter!$1:$1048576,MATCH(All!$A58,Winter!$A:$A,FALSE),MATCH(All!S$1,Winter!$1:$1,FALSE))),"")</f>
        <v>2A</v>
      </c>
      <c r="T58" t="str">
        <f>IFERROR(IF(INDEX(Winter!$1:$1048576,MATCH(All!$A58,Winter!$A:$A,FALSE),MATCH(All!T$1,Winter!$1:$1,FALSE))="","",INDEX(Winter!$1:$1048576,MATCH(All!$A58,Winter!$A:$A,FALSE),MATCH(All!T$1,Winter!$1:$1,FALSE))),"")</f>
        <v/>
      </c>
      <c r="U58" t="str">
        <f>IFERROR(IF(INDEX(Winter!$1:$1048576,MATCH(All!$A58,Winter!$A:$A,FALSE),MATCH(All!U$1,Winter!$1:$1,FALSE))="","",INDEX(Winter!$1:$1048576,MATCH(All!$A58,Winter!$A:$A,FALSE),MATCH(All!U$1,Winter!$1:$1,FALSE))),"")</f>
        <v>3A</v>
      </c>
      <c r="W58">
        <f>IFERROR(IF(INDEX(Spring!$1:$1048576,MATCH(All!$A58,Spring!$A:$A,FALSE),MATCH(All!W$1,Spring!$1:$1,FALSE))="","",INDEX(Spring!$1:$1048576,MATCH(All!$A58,Spring!$A:$A,FALSE),MATCH(All!W$1,Spring!$1:$1,FALSE))),"")</f>
        <v>1770</v>
      </c>
      <c r="X58" t="str">
        <f>IFERROR(IF(INDEX(Spring!$1:$1048576,MATCH(All!$A58,Spring!$A:$A,FALSE),MATCH(All!X$1,Spring!$1:$1,FALSE))="","",INDEX(Spring!$1:$1048576,MATCH(All!$A58,Spring!$A:$A,FALSE),MATCH(All!X$1,Spring!$1:$1,FALSE))),"")</f>
        <v>4A</v>
      </c>
      <c r="Y58" t="str">
        <f>IFERROR(IF(INDEX(Spring!$1:$1048576,MATCH(All!$A58,Spring!$A:$A,FALSE),MATCH(All!Y$1,Spring!$1:$1,FALSE))="","",INDEX(Spring!$1:$1048576,MATCH(All!$A58,Spring!$A:$A,FALSE),MATCH(All!Y$1,Spring!$1:$1,FALSE))),"")</f>
        <v>4A</v>
      </c>
      <c r="Z58" t="str">
        <f>IFERROR(IF(INDEX(Spring!$1:$1048576,MATCH(All!$A58,Spring!$A:$A,FALSE),MATCH(All!Z$1,Spring!$1:$1,FALSE))="","",INDEX(Spring!$1:$1048576,MATCH(All!$A58,Spring!$A:$A,FALSE),MATCH(All!Z$1,Spring!$1:$1,FALSE))),"")</f>
        <v>2A</v>
      </c>
      <c r="AA58" t="str">
        <f>IFERROR(IF(INDEX(Spring!$1:$1048576,MATCH(All!$A58,Spring!$A:$A,FALSE),MATCH(All!AA$1,Spring!$1:$1,FALSE))="","",INDEX(Spring!$1:$1048576,MATCH(All!$A58,Spring!$A:$A,FALSE),MATCH(All!AA$1,Spring!$1:$1,FALSE))),"")</f>
        <v>2A</v>
      </c>
      <c r="AB58" t="str">
        <f>IFERROR(IF(INDEX(Spring!$1:$1048576,MATCH(All!$A58,Spring!$A:$A,FALSE),MATCH(All!AB$1,Spring!$1:$1,FALSE))="","",INDEX(Spring!$1:$1048576,MATCH(All!$A58,Spring!$A:$A,FALSE),MATCH(All!AB$1,Spring!$1:$1,FALSE))),"")</f>
        <v>3A</v>
      </c>
      <c r="AC58" t="str">
        <f>IFERROR(IF(INDEX(Spring!$1:$1048576,MATCH(All!$A58,Spring!$A:$A,FALSE),MATCH(All!AC$1,Spring!$1:$1,FALSE))="","",INDEX(Spring!$1:$1048576,MATCH(All!$A58,Spring!$A:$A,FALSE),MATCH(All!AC$1,Spring!$1:$1,FALSE))),"")</f>
        <v>3A</v>
      </c>
      <c r="AD58" t="str">
        <f>IFERROR(VLOOKUP(A58,'Flag Football'!A:A,1,FALSE),"")</f>
        <v>Blue Island (Eisenhower)</v>
      </c>
      <c r="AE58" t="str">
        <f t="shared" si="0"/>
        <v>1A</v>
      </c>
    </row>
    <row r="59" spans="1:31" ht="15.75" thickBot="1" x14ac:dyDescent="0.3">
      <c r="A59" s="18" t="s">
        <v>77</v>
      </c>
      <c r="B59" s="38">
        <f>IFERROR(VLOOKUP(A59,'Public v Private'!A:G,3,FALSE),"")</f>
        <v>0</v>
      </c>
      <c r="C59" s="38">
        <f>IFERROR(VLOOKUP(A59,'Public v Private'!A:G,4,FALSE),"")</f>
        <v>0</v>
      </c>
      <c r="D59" s="38">
        <f>IFERROR(VLOOKUP(A59,'Public v Private'!A:G,5,FALSE),"")</f>
        <v>0</v>
      </c>
      <c r="E59" s="38"/>
      <c r="F59" s="40">
        <f>IFERROR(INDEX(Fall!$1:$1048576,MATCH(All!$A59,Fall!$A:$A,FALSE),MATCH(All!F$1,Fall!$1:$1,FALSE)),"N/A")</f>
        <v>51</v>
      </c>
      <c r="G59" t="str">
        <f>IFERROR(IF(INDEX(Fall!$1:$1048576,MATCH(All!$A59,Fall!$A:$A,FALSE),MATCH(All!G$1,Fall!$1:$1,FALSE))="","",INDEX(Fall!$1:$1048576,MATCH(All!$A59,Fall!$A:$A,FALSE),MATCH(All!G$1,Fall!$1:$1,FALSE))),"")</f>
        <v/>
      </c>
      <c r="H59" t="str">
        <f>IFERROR(IF(INDEX(Fall!$1:$1048576,MATCH(All!$A59,Fall!$A:$A,FALSE),MATCH(All!H$1,Fall!$1:$1,FALSE))="","",INDEX(Fall!$1:$1048576,MATCH(All!$A59,Fall!$A:$A,FALSE),MATCH(All!H$1,Fall!$1:$1,FALSE))),"")</f>
        <v/>
      </c>
      <c r="I59" t="str">
        <f>IFERROR(IF(INDEX(Fall!$1:$1048576,MATCH(All!$A59,Fall!$A:$A,FALSE),MATCH(All!I$1,Fall!$1:$1,FALSE))="","",INDEX(Fall!$1:$1048576,MATCH(All!$A59,Fall!$A:$A,FALSE),MATCH(All!I$1,Fall!$1:$1,FALSE))),"")</f>
        <v>1A</v>
      </c>
      <c r="J59" t="str">
        <f>IFERROR(IF(INDEX(Fall!$1:$1048576,MATCH(All!$A59,Fall!$A:$A,FALSE),MATCH(All!J$1,Fall!$1:$1,FALSE))="","",INDEX(Fall!$1:$1048576,MATCH(All!$A59,Fall!$A:$A,FALSE),MATCH(All!J$1,Fall!$1:$1,FALSE))),"")</f>
        <v/>
      </c>
      <c r="K59" t="str">
        <f>IFERROR(IF(INDEX(Fall!$1:$1048576,MATCH(All!$A59,Fall!$A:$A,FALSE),MATCH(All!K$1,Fall!$1:$1,FALSE))="","",INDEX(Fall!$1:$1048576,MATCH(All!$A59,Fall!$A:$A,FALSE),MATCH(All!K$1,Fall!$1:$1,FALSE))),"")</f>
        <v/>
      </c>
      <c r="L59" t="str">
        <f>IFERROR(IF(INDEX(Fall!$1:$1048576,MATCH(All!$A59,Fall!$A:$A,FALSE),MATCH(All!L$1,Fall!$1:$1,FALSE))="","",INDEX(Fall!$1:$1048576,MATCH(All!$A59,Fall!$A:$A,FALSE),MATCH(All!L$1,Fall!$1:$1,FALSE))),"")</f>
        <v/>
      </c>
      <c r="M59" t="str">
        <f>IFERROR(IF(INDEX(Fall!$1:$1048576,MATCH(All!$A59,Fall!$A:$A,FALSE),MATCH(All!M$1,Fall!$1:$1,FALSE))="","",INDEX(Fall!$1:$1048576,MATCH(All!$A59,Fall!$A:$A,FALSE),MATCH(All!M$1,Fall!$1:$1,FALSE))),"")</f>
        <v>1A</v>
      </c>
      <c r="O59">
        <f>IFERROR(IF(INDEX(Winter!$1:$1048576,MATCH(All!$A59,Winter!$A:$A,FALSE),MATCH(All!O$1,Winter!$1:$1,FALSE))="","",INDEX(Winter!$1:$1048576,MATCH(All!$A59,Winter!$A:$A,FALSE),MATCH(All!O$1,Winter!$1:$1,FALSE))),"")</f>
        <v>51</v>
      </c>
      <c r="P59" t="str">
        <f>IFERROR(IF(INDEX(Winter!$1:$1048576,MATCH(All!$A59,Winter!$A:$A,FALSE),MATCH(All!P$1,Winter!$1:$1,FALSE))="","",INDEX(Winter!$1:$1048576,MATCH(All!$A59,Winter!$A:$A,FALSE),MATCH(All!P$1,Winter!$1:$1,FALSE))),"")</f>
        <v/>
      </c>
      <c r="Q59" t="str">
        <f>IFERROR(IF(INDEX(Winter!$1:$1048576,MATCH(All!$A59,Winter!$A:$A,FALSE),MATCH(All!Q$1,Winter!$1:$1,FALSE))="","",INDEX(Winter!$1:$1048576,MATCH(All!$A59,Winter!$A:$A,FALSE),MATCH(All!Q$1,Winter!$1:$1,FALSE))),"")</f>
        <v>1A</v>
      </c>
      <c r="R59" t="str">
        <f>IFERROR(IF(INDEX(Winter!$1:$1048576,MATCH(All!$A59,Winter!$A:$A,FALSE),MATCH(All!R$1,Winter!$1:$1,FALSE))="","",INDEX(Winter!$1:$1048576,MATCH(All!$A59,Winter!$A:$A,FALSE),MATCH(All!R$1,Winter!$1:$1,FALSE))),"")</f>
        <v/>
      </c>
      <c r="S59" t="str">
        <f>IFERROR(IF(INDEX(Winter!$1:$1048576,MATCH(All!$A59,Winter!$A:$A,FALSE),MATCH(All!S$1,Winter!$1:$1,FALSE))="","",INDEX(Winter!$1:$1048576,MATCH(All!$A59,Winter!$A:$A,FALSE),MATCH(All!S$1,Winter!$1:$1,FALSE))),"")</f>
        <v/>
      </c>
      <c r="T59" t="str">
        <f>IFERROR(IF(INDEX(Winter!$1:$1048576,MATCH(All!$A59,Winter!$A:$A,FALSE),MATCH(All!T$1,Winter!$1:$1,FALSE))="","",INDEX(Winter!$1:$1048576,MATCH(All!$A59,Winter!$A:$A,FALSE),MATCH(All!T$1,Winter!$1:$1,FALSE))),"")</f>
        <v/>
      </c>
      <c r="U59" t="str">
        <f>IFERROR(IF(INDEX(Winter!$1:$1048576,MATCH(All!$A59,Winter!$A:$A,FALSE),MATCH(All!U$1,Winter!$1:$1,FALSE))="","",INDEX(Winter!$1:$1048576,MATCH(All!$A59,Winter!$A:$A,FALSE),MATCH(All!U$1,Winter!$1:$1,FALSE))),"")</f>
        <v/>
      </c>
      <c r="W59">
        <f>IFERROR(IF(INDEX(Spring!$1:$1048576,MATCH(All!$A59,Spring!$A:$A,FALSE),MATCH(All!W$1,Spring!$1:$1,FALSE))="","",INDEX(Spring!$1:$1048576,MATCH(All!$A59,Spring!$A:$A,FALSE),MATCH(All!W$1,Spring!$1:$1,FALSE))),"")</f>
        <v>51</v>
      </c>
      <c r="X59" t="str">
        <f>IFERROR(IF(INDEX(Spring!$1:$1048576,MATCH(All!$A59,Spring!$A:$A,FALSE),MATCH(All!X$1,Spring!$1:$1,FALSE))="","",INDEX(Spring!$1:$1048576,MATCH(All!$A59,Spring!$A:$A,FALSE),MATCH(All!X$1,Spring!$1:$1,FALSE))),"")</f>
        <v>1A</v>
      </c>
      <c r="Y59" t="str">
        <f>IFERROR(IF(INDEX(Spring!$1:$1048576,MATCH(All!$A59,Spring!$A:$A,FALSE),MATCH(All!Y$1,Spring!$1:$1,FALSE))="","",INDEX(Spring!$1:$1048576,MATCH(All!$A59,Spring!$A:$A,FALSE),MATCH(All!Y$1,Spring!$1:$1,FALSE))),"")</f>
        <v/>
      </c>
      <c r="Z59" t="str">
        <f>IFERROR(IF(INDEX(Spring!$1:$1048576,MATCH(All!$A59,Spring!$A:$A,FALSE),MATCH(All!Z$1,Spring!$1:$1,FALSE))="","",INDEX(Spring!$1:$1048576,MATCH(All!$A59,Spring!$A:$A,FALSE),MATCH(All!Z$1,Spring!$1:$1,FALSE))),"")</f>
        <v/>
      </c>
      <c r="AA59" t="str">
        <f>IFERROR(IF(INDEX(Spring!$1:$1048576,MATCH(All!$A59,Spring!$A:$A,FALSE),MATCH(All!AA$1,Spring!$1:$1,FALSE))="","",INDEX(Spring!$1:$1048576,MATCH(All!$A59,Spring!$A:$A,FALSE),MATCH(All!AA$1,Spring!$1:$1,FALSE))),"")</f>
        <v/>
      </c>
      <c r="AB59" t="str">
        <f>IFERROR(IF(INDEX(Spring!$1:$1048576,MATCH(All!$A59,Spring!$A:$A,FALSE),MATCH(All!AB$1,Spring!$1:$1,FALSE))="","",INDEX(Spring!$1:$1048576,MATCH(All!$A59,Spring!$A:$A,FALSE),MATCH(All!AB$1,Spring!$1:$1,FALSE))),"")</f>
        <v/>
      </c>
      <c r="AC59" t="str">
        <f>IFERROR(IF(INDEX(Spring!$1:$1048576,MATCH(All!$A59,Spring!$A:$A,FALSE),MATCH(All!AC$1,Spring!$1:$1,FALSE))="","",INDEX(Spring!$1:$1048576,MATCH(All!$A59,Spring!$A:$A,FALSE),MATCH(All!AC$1,Spring!$1:$1,FALSE))),"")</f>
        <v/>
      </c>
      <c r="AD59" t="str">
        <f>IFERROR(VLOOKUP(A59,'Flag Football'!A:A,1,FALSE),"")</f>
        <v/>
      </c>
      <c r="AE59" t="str">
        <f t="shared" si="0"/>
        <v/>
      </c>
    </row>
    <row r="60" spans="1:31" ht="15.75" thickBot="1" x14ac:dyDescent="0.3">
      <c r="A60" s="20" t="s">
        <v>78</v>
      </c>
      <c r="B60" s="38">
        <f>IFERROR(VLOOKUP(A60,'Public v Private'!A:G,3,FALSE),"")</f>
        <v>0</v>
      </c>
      <c r="C60" s="38">
        <f>IFERROR(VLOOKUP(A60,'Public v Private'!A:G,4,FALSE),"")</f>
        <v>0</v>
      </c>
      <c r="D60" s="38">
        <f>IFERROR(VLOOKUP(A60,'Public v Private'!A:G,5,FALSE),"")</f>
        <v>0</v>
      </c>
      <c r="E60" s="38"/>
      <c r="F60" s="40">
        <f>IFERROR(INDEX(Fall!$1:$1048576,MATCH(All!$A60,Fall!$A:$A,FALSE),MATCH(All!F$1,Fall!$1:$1,FALSE)),"N/A")</f>
        <v>132</v>
      </c>
      <c r="G60" t="str">
        <f>IFERROR(IF(INDEX(Fall!$1:$1048576,MATCH(All!$A60,Fall!$A:$A,FALSE),MATCH(All!G$1,Fall!$1:$1,FALSE))="","",INDEX(Fall!$1:$1048576,MATCH(All!$A60,Fall!$A:$A,FALSE),MATCH(All!G$1,Fall!$1:$1,FALSE))),"")</f>
        <v>1A</v>
      </c>
      <c r="H60" t="str">
        <f>IFERROR(IF(INDEX(Fall!$1:$1048576,MATCH(All!$A60,Fall!$A:$A,FALSE),MATCH(All!H$1,Fall!$1:$1,FALSE))="","",INDEX(Fall!$1:$1048576,MATCH(All!$A60,Fall!$A:$A,FALSE),MATCH(All!H$1,Fall!$1:$1,FALSE))),"")</f>
        <v>1A</v>
      </c>
      <c r="I60" t="str">
        <f>IFERROR(IF(INDEX(Fall!$1:$1048576,MATCH(All!$A60,Fall!$A:$A,FALSE),MATCH(All!I$1,Fall!$1:$1,FALSE))="","",INDEX(Fall!$1:$1048576,MATCH(All!$A60,Fall!$A:$A,FALSE),MATCH(All!I$1,Fall!$1:$1,FALSE))),"")</f>
        <v/>
      </c>
      <c r="J60" t="str">
        <f>IFERROR(IF(INDEX(Fall!$1:$1048576,MATCH(All!$A60,Fall!$A:$A,FALSE),MATCH(All!J$1,Fall!$1:$1,FALSE))="","",INDEX(Fall!$1:$1048576,MATCH(All!$A60,Fall!$A:$A,FALSE),MATCH(All!J$1,Fall!$1:$1,FALSE))),"")</f>
        <v/>
      </c>
      <c r="K60" t="str">
        <f>IFERROR(IF(INDEX(Fall!$1:$1048576,MATCH(All!$A60,Fall!$A:$A,FALSE),MATCH(All!K$1,Fall!$1:$1,FALSE))="","",INDEX(Fall!$1:$1048576,MATCH(All!$A60,Fall!$A:$A,FALSE),MATCH(All!K$1,Fall!$1:$1,FALSE))),"")</f>
        <v/>
      </c>
      <c r="L60" t="str">
        <f>IFERROR(IF(INDEX(Fall!$1:$1048576,MATCH(All!$A60,Fall!$A:$A,FALSE),MATCH(All!L$1,Fall!$1:$1,FALSE))="","",INDEX(Fall!$1:$1048576,MATCH(All!$A60,Fall!$A:$A,FALSE),MATCH(All!L$1,Fall!$1:$1,FALSE))),"")</f>
        <v/>
      </c>
      <c r="M60" t="str">
        <f>IFERROR(IF(INDEX(Fall!$1:$1048576,MATCH(All!$A60,Fall!$A:$A,FALSE),MATCH(All!M$1,Fall!$1:$1,FALSE))="","",INDEX(Fall!$1:$1048576,MATCH(All!$A60,Fall!$A:$A,FALSE),MATCH(All!M$1,Fall!$1:$1,FALSE))),"")</f>
        <v>1A</v>
      </c>
      <c r="O60">
        <f>IFERROR(IF(INDEX(Winter!$1:$1048576,MATCH(All!$A60,Winter!$A:$A,FALSE),MATCH(All!O$1,Winter!$1:$1,FALSE))="","",INDEX(Winter!$1:$1048576,MATCH(All!$A60,Winter!$A:$A,FALSE),MATCH(All!O$1,Winter!$1:$1,FALSE))),"")</f>
        <v>132</v>
      </c>
      <c r="P60" t="str">
        <f>IFERROR(IF(INDEX(Winter!$1:$1048576,MATCH(All!$A60,Winter!$A:$A,FALSE),MATCH(All!P$1,Winter!$1:$1,FALSE))="","",INDEX(Winter!$1:$1048576,MATCH(All!$A60,Winter!$A:$A,FALSE),MATCH(All!P$1,Winter!$1:$1,FALSE))),"")</f>
        <v>1A</v>
      </c>
      <c r="Q60" t="str">
        <f>IFERROR(IF(INDEX(Winter!$1:$1048576,MATCH(All!$A60,Winter!$A:$A,FALSE),MATCH(All!Q$1,Winter!$1:$1,FALSE))="","",INDEX(Winter!$1:$1048576,MATCH(All!$A60,Winter!$A:$A,FALSE),MATCH(All!Q$1,Winter!$1:$1,FALSE))),"")</f>
        <v>1A</v>
      </c>
      <c r="R60" t="str">
        <f>IFERROR(IF(INDEX(Winter!$1:$1048576,MATCH(All!$A60,Winter!$A:$A,FALSE),MATCH(All!R$1,Winter!$1:$1,FALSE))="","",INDEX(Winter!$1:$1048576,MATCH(All!$A60,Winter!$A:$A,FALSE),MATCH(All!R$1,Winter!$1:$1,FALSE))),"")</f>
        <v/>
      </c>
      <c r="S60" t="str">
        <f>IFERROR(IF(INDEX(Winter!$1:$1048576,MATCH(All!$A60,Winter!$A:$A,FALSE),MATCH(All!S$1,Winter!$1:$1,FALSE))="","",INDEX(Winter!$1:$1048576,MATCH(All!$A60,Winter!$A:$A,FALSE),MATCH(All!S$1,Winter!$1:$1,FALSE))),"")</f>
        <v/>
      </c>
      <c r="T60" t="str">
        <f>IFERROR(IF(INDEX(Winter!$1:$1048576,MATCH(All!$A60,Winter!$A:$A,FALSE),MATCH(All!T$1,Winter!$1:$1,FALSE))="","",INDEX(Winter!$1:$1048576,MATCH(All!$A60,Winter!$A:$A,FALSE),MATCH(All!T$1,Winter!$1:$1,FALSE))),"")</f>
        <v>1A</v>
      </c>
      <c r="U60" t="str">
        <f>IFERROR(IF(INDEX(Winter!$1:$1048576,MATCH(All!$A60,Winter!$A:$A,FALSE),MATCH(All!U$1,Winter!$1:$1,FALSE))="","",INDEX(Winter!$1:$1048576,MATCH(All!$A60,Winter!$A:$A,FALSE),MATCH(All!U$1,Winter!$1:$1,FALSE))),"")</f>
        <v/>
      </c>
      <c r="W60">
        <f>IFERROR(IF(INDEX(Spring!$1:$1048576,MATCH(All!$A60,Spring!$A:$A,FALSE),MATCH(All!W$1,Spring!$1:$1,FALSE))="","",INDEX(Spring!$1:$1048576,MATCH(All!$A60,Spring!$A:$A,FALSE),MATCH(All!W$1,Spring!$1:$1,FALSE))),"")</f>
        <v>132</v>
      </c>
      <c r="X60" t="str">
        <f>IFERROR(IF(INDEX(Spring!$1:$1048576,MATCH(All!$A60,Spring!$A:$A,FALSE),MATCH(All!X$1,Spring!$1:$1,FALSE))="","",INDEX(Spring!$1:$1048576,MATCH(All!$A60,Spring!$A:$A,FALSE),MATCH(All!X$1,Spring!$1:$1,FALSE))),"")</f>
        <v>1A</v>
      </c>
      <c r="Y60" t="str">
        <f>IFERROR(IF(INDEX(Spring!$1:$1048576,MATCH(All!$A60,Spring!$A:$A,FALSE),MATCH(All!Y$1,Spring!$1:$1,FALSE))="","",INDEX(Spring!$1:$1048576,MATCH(All!$A60,Spring!$A:$A,FALSE),MATCH(All!Y$1,Spring!$1:$1,FALSE))),"")</f>
        <v>1A</v>
      </c>
      <c r="Z60" t="str">
        <f>IFERROR(IF(INDEX(Spring!$1:$1048576,MATCH(All!$A60,Spring!$A:$A,FALSE),MATCH(All!Z$1,Spring!$1:$1,FALSE))="","",INDEX(Spring!$1:$1048576,MATCH(All!$A60,Spring!$A:$A,FALSE),MATCH(All!Z$1,Spring!$1:$1,FALSE))),"")</f>
        <v/>
      </c>
      <c r="AA60" t="str">
        <f>IFERROR(IF(INDEX(Spring!$1:$1048576,MATCH(All!$A60,Spring!$A:$A,FALSE),MATCH(All!AA$1,Spring!$1:$1,FALSE))="","",INDEX(Spring!$1:$1048576,MATCH(All!$A60,Spring!$A:$A,FALSE),MATCH(All!AA$1,Spring!$1:$1,FALSE))),"")</f>
        <v/>
      </c>
      <c r="AB60" t="str">
        <f>IFERROR(IF(INDEX(Spring!$1:$1048576,MATCH(All!$A60,Spring!$A:$A,FALSE),MATCH(All!AB$1,Spring!$1:$1,FALSE))="","",INDEX(Spring!$1:$1048576,MATCH(All!$A60,Spring!$A:$A,FALSE),MATCH(All!AB$1,Spring!$1:$1,FALSE))),"")</f>
        <v>1A</v>
      </c>
      <c r="AC60" t="str">
        <f>IFERROR(IF(INDEX(Spring!$1:$1048576,MATCH(All!$A60,Spring!$A:$A,FALSE),MATCH(All!AC$1,Spring!$1:$1,FALSE))="","",INDEX(Spring!$1:$1048576,MATCH(All!$A60,Spring!$A:$A,FALSE),MATCH(All!AC$1,Spring!$1:$1,FALSE))),"")</f>
        <v>1A</v>
      </c>
      <c r="AD60" t="str">
        <f>IFERROR(VLOOKUP(A60,'Flag Football'!A:A,1,FALSE),"")</f>
        <v/>
      </c>
      <c r="AE60" t="str">
        <f t="shared" si="0"/>
        <v/>
      </c>
    </row>
    <row r="61" spans="1:31" ht="15.75" thickBot="1" x14ac:dyDescent="0.3">
      <c r="A61" s="18" t="s">
        <v>79</v>
      </c>
      <c r="B61" s="38">
        <f>IFERROR(VLOOKUP(A61,'Public v Private'!A:G,3,FALSE),"")</f>
        <v>0</v>
      </c>
      <c r="C61" s="38">
        <f>IFERROR(VLOOKUP(A61,'Public v Private'!A:G,4,FALSE),"")</f>
        <v>0</v>
      </c>
      <c r="D61" s="38">
        <f>IFERROR(VLOOKUP(A61,'Public v Private'!A:G,5,FALSE),"")</f>
        <v>0</v>
      </c>
      <c r="E61" s="38"/>
      <c r="F61" s="40">
        <f>IFERROR(INDEX(Fall!$1:$1048576,MATCH(All!$A61,Fall!$A:$A,FALSE),MATCH(All!F$1,Fall!$1:$1,FALSE)),"N/A")</f>
        <v>3244</v>
      </c>
      <c r="G61" t="str">
        <f>IFERROR(IF(INDEX(Fall!$1:$1048576,MATCH(All!$A61,Fall!$A:$A,FALSE),MATCH(All!G$1,Fall!$1:$1,FALSE))="","",INDEX(Fall!$1:$1048576,MATCH(All!$A61,Fall!$A:$A,FALSE),MATCH(All!G$1,Fall!$1:$1,FALSE))),"")</f>
        <v>3A</v>
      </c>
      <c r="H61" t="str">
        <f>IFERROR(IF(INDEX(Fall!$1:$1048576,MATCH(All!$A61,Fall!$A:$A,FALSE),MATCH(All!H$1,Fall!$1:$1,FALSE))="","",INDEX(Fall!$1:$1048576,MATCH(All!$A61,Fall!$A:$A,FALSE),MATCH(All!H$1,Fall!$1:$1,FALSE))),"")</f>
        <v>3A</v>
      </c>
      <c r="I61" t="str">
        <f>IFERROR(IF(INDEX(Fall!$1:$1048576,MATCH(All!$A61,Fall!$A:$A,FALSE),MATCH(All!I$1,Fall!$1:$1,FALSE))="","",INDEX(Fall!$1:$1048576,MATCH(All!$A61,Fall!$A:$A,FALSE),MATCH(All!I$1,Fall!$1:$1,FALSE))),"")</f>
        <v>3A</v>
      </c>
      <c r="J61" t="str">
        <f>IFERROR(IF(INDEX(Fall!$1:$1048576,MATCH(All!$A61,Fall!$A:$A,FALSE),MATCH(All!J$1,Fall!$1:$1,FALSE))="","",INDEX(Fall!$1:$1048576,MATCH(All!$A61,Fall!$A:$A,FALSE),MATCH(All!J$1,Fall!$1:$1,FALSE))),"")</f>
        <v>2A</v>
      </c>
      <c r="K61" t="str">
        <f>IFERROR(IF(INDEX(Fall!$1:$1048576,MATCH(All!$A61,Fall!$A:$A,FALSE),MATCH(All!K$1,Fall!$1:$1,FALSE))="","",INDEX(Fall!$1:$1048576,MATCH(All!$A61,Fall!$A:$A,FALSE),MATCH(All!K$1,Fall!$1:$1,FALSE))),"")</f>
        <v>3A</v>
      </c>
      <c r="L61" t="str">
        <f>IFERROR(IF(INDEX(Fall!$1:$1048576,MATCH(All!$A61,Fall!$A:$A,FALSE),MATCH(All!L$1,Fall!$1:$1,FALSE))="","",INDEX(Fall!$1:$1048576,MATCH(All!$A61,Fall!$A:$A,FALSE),MATCH(All!L$1,Fall!$1:$1,FALSE))),"")</f>
        <v>2A</v>
      </c>
      <c r="M61" t="str">
        <f>IFERROR(IF(INDEX(Fall!$1:$1048576,MATCH(All!$A61,Fall!$A:$A,FALSE),MATCH(All!M$1,Fall!$1:$1,FALSE))="","",INDEX(Fall!$1:$1048576,MATCH(All!$A61,Fall!$A:$A,FALSE),MATCH(All!M$1,Fall!$1:$1,FALSE))),"")</f>
        <v>4A</v>
      </c>
      <c r="O61">
        <f>IFERROR(IF(INDEX(Winter!$1:$1048576,MATCH(All!$A61,Winter!$A:$A,FALSE),MATCH(All!O$1,Winter!$1:$1,FALSE))="","",INDEX(Winter!$1:$1048576,MATCH(All!$A61,Winter!$A:$A,FALSE),MATCH(All!O$1,Winter!$1:$1,FALSE))),"")</f>
        <v>3244</v>
      </c>
      <c r="P61" t="str">
        <f>IFERROR(IF(INDEX(Winter!$1:$1048576,MATCH(All!$A61,Winter!$A:$A,FALSE),MATCH(All!P$1,Winter!$1:$1,FALSE))="","",INDEX(Winter!$1:$1048576,MATCH(All!$A61,Winter!$A:$A,FALSE),MATCH(All!P$1,Winter!$1:$1,FALSE))),"")</f>
        <v>4A</v>
      </c>
      <c r="Q61" t="str">
        <f>IFERROR(IF(INDEX(Winter!$1:$1048576,MATCH(All!$A61,Winter!$A:$A,FALSE),MATCH(All!Q$1,Winter!$1:$1,FALSE))="","",INDEX(Winter!$1:$1048576,MATCH(All!$A61,Winter!$A:$A,FALSE),MATCH(All!Q$1,Winter!$1:$1,FALSE))),"")</f>
        <v>4A</v>
      </c>
      <c r="R61" t="str">
        <f>IFERROR(IF(INDEX(Winter!$1:$1048576,MATCH(All!$A61,Winter!$A:$A,FALSE),MATCH(All!R$1,Winter!$1:$1,FALSE))="","",INDEX(Winter!$1:$1048576,MATCH(All!$A61,Winter!$A:$A,FALSE),MATCH(All!R$1,Winter!$1:$1,FALSE))),"")</f>
        <v>C</v>
      </c>
      <c r="S61" t="str">
        <f>IFERROR(IF(INDEX(Winter!$1:$1048576,MATCH(All!$A61,Winter!$A:$A,FALSE),MATCH(All!S$1,Winter!$1:$1,FALSE))="","",INDEX(Winter!$1:$1048576,MATCH(All!$A61,Winter!$A:$A,FALSE),MATCH(All!S$1,Winter!$1:$1,FALSE))),"")</f>
        <v>3A</v>
      </c>
      <c r="T61" t="str">
        <f>IFERROR(IF(INDEX(Winter!$1:$1048576,MATCH(All!$A61,Winter!$A:$A,FALSE),MATCH(All!T$1,Winter!$1:$1,FALSE))="","",INDEX(Winter!$1:$1048576,MATCH(All!$A61,Winter!$A:$A,FALSE),MATCH(All!T$1,Winter!$1:$1,FALSE))),"")</f>
        <v>2A</v>
      </c>
      <c r="U61" t="str">
        <f>IFERROR(IF(INDEX(Winter!$1:$1048576,MATCH(All!$A61,Winter!$A:$A,FALSE),MATCH(All!U$1,Winter!$1:$1,FALSE))="","",INDEX(Winter!$1:$1048576,MATCH(All!$A61,Winter!$A:$A,FALSE),MATCH(All!U$1,Winter!$1:$1,FALSE))),"")</f>
        <v>3A</v>
      </c>
      <c r="W61">
        <f>IFERROR(IF(INDEX(Spring!$1:$1048576,MATCH(All!$A61,Spring!$A:$A,FALSE),MATCH(All!W$1,Spring!$1:$1,FALSE))="","",INDEX(Spring!$1:$1048576,MATCH(All!$A61,Spring!$A:$A,FALSE),MATCH(All!W$1,Spring!$1:$1,FALSE))),"")</f>
        <v>3244</v>
      </c>
      <c r="X61" t="str">
        <f>IFERROR(IF(INDEX(Spring!$1:$1048576,MATCH(All!$A61,Spring!$A:$A,FALSE),MATCH(All!X$1,Spring!$1:$1,FALSE))="","",INDEX(Spring!$1:$1048576,MATCH(All!$A61,Spring!$A:$A,FALSE),MATCH(All!X$1,Spring!$1:$1,FALSE))),"")</f>
        <v>4A</v>
      </c>
      <c r="Y61" t="str">
        <f>IFERROR(IF(INDEX(Spring!$1:$1048576,MATCH(All!$A61,Spring!$A:$A,FALSE),MATCH(All!Y$1,Spring!$1:$1,FALSE))="","",INDEX(Spring!$1:$1048576,MATCH(All!$A61,Spring!$A:$A,FALSE),MATCH(All!Y$1,Spring!$1:$1,FALSE))),"")</f>
        <v>4A</v>
      </c>
      <c r="Z61" t="str">
        <f>IFERROR(IF(INDEX(Spring!$1:$1048576,MATCH(All!$A61,Spring!$A:$A,FALSE),MATCH(All!Z$1,Spring!$1:$1,FALSE))="","",INDEX(Spring!$1:$1048576,MATCH(All!$A61,Spring!$A:$A,FALSE),MATCH(All!Z$1,Spring!$1:$1,FALSE))),"")</f>
        <v>3A</v>
      </c>
      <c r="AA61" t="str">
        <f>IFERROR(IF(INDEX(Spring!$1:$1048576,MATCH(All!$A61,Spring!$A:$A,FALSE),MATCH(All!AA$1,Spring!$1:$1,FALSE))="","",INDEX(Spring!$1:$1048576,MATCH(All!$A61,Spring!$A:$A,FALSE),MATCH(All!AA$1,Spring!$1:$1,FALSE))),"")</f>
        <v>2A</v>
      </c>
      <c r="AB61" t="str">
        <f>IFERROR(IF(INDEX(Spring!$1:$1048576,MATCH(All!$A61,Spring!$A:$A,FALSE),MATCH(All!AB$1,Spring!$1:$1,FALSE))="","",INDEX(Spring!$1:$1048576,MATCH(All!$A61,Spring!$A:$A,FALSE),MATCH(All!AB$1,Spring!$1:$1,FALSE))),"")</f>
        <v>3A</v>
      </c>
      <c r="AC61" t="str">
        <f>IFERROR(IF(INDEX(Spring!$1:$1048576,MATCH(All!$A61,Spring!$A:$A,FALSE),MATCH(All!AC$1,Spring!$1:$1,FALSE))="","",INDEX(Spring!$1:$1048576,MATCH(All!$A61,Spring!$A:$A,FALSE),MATCH(All!AC$1,Spring!$1:$1,FALSE))),"")</f>
        <v>3A</v>
      </c>
      <c r="AD61" t="str">
        <f>IFERROR(VLOOKUP(A61,'Flag Football'!A:A,1,FALSE),"")</f>
        <v>Bolingbrook</v>
      </c>
      <c r="AE61" t="str">
        <f t="shared" si="0"/>
        <v>1A</v>
      </c>
    </row>
    <row r="62" spans="1:31" ht="15.75" thickBot="1" x14ac:dyDescent="0.3">
      <c r="A62" s="20" t="s">
        <v>80</v>
      </c>
      <c r="B62" s="38">
        <f>IFERROR(VLOOKUP(A62,'Public v Private'!A:G,3,FALSE),"")</f>
        <v>0</v>
      </c>
      <c r="C62" s="38">
        <f>IFERROR(VLOOKUP(A62,'Public v Private'!A:G,4,FALSE),"")</f>
        <v>0</v>
      </c>
      <c r="D62" s="38">
        <f>IFERROR(VLOOKUP(A62,'Public v Private'!A:G,5,FALSE),"")</f>
        <v>0</v>
      </c>
      <c r="E62" s="38"/>
      <c r="F62" s="40">
        <f>IFERROR(INDEX(Fall!$1:$1048576,MATCH(All!$A62,Fall!$A:$A,FALSE),MATCH(All!F$1,Fall!$1:$1,FALSE)),"N/A")</f>
        <v>1817</v>
      </c>
      <c r="G62" t="str">
        <f>IFERROR(IF(INDEX(Fall!$1:$1048576,MATCH(All!$A62,Fall!$A:$A,FALSE),MATCH(All!G$1,Fall!$1:$1,FALSE))="","",INDEX(Fall!$1:$1048576,MATCH(All!$A62,Fall!$A:$A,FALSE),MATCH(All!G$1,Fall!$1:$1,FALSE))),"")</f>
        <v>3A</v>
      </c>
      <c r="H62" t="str">
        <f>IFERROR(IF(INDEX(Fall!$1:$1048576,MATCH(All!$A62,Fall!$A:$A,FALSE),MATCH(All!H$1,Fall!$1:$1,FALSE))="","",INDEX(Fall!$1:$1048576,MATCH(All!$A62,Fall!$A:$A,FALSE),MATCH(All!H$1,Fall!$1:$1,FALSE))),"")</f>
        <v>3A</v>
      </c>
      <c r="I62" t="str">
        <f>IFERROR(IF(INDEX(Fall!$1:$1048576,MATCH(All!$A62,Fall!$A:$A,FALSE),MATCH(All!I$1,Fall!$1:$1,FALSE))="","",INDEX(Fall!$1:$1048576,MATCH(All!$A62,Fall!$A:$A,FALSE),MATCH(All!I$1,Fall!$1:$1,FALSE))),"")</f>
        <v>3A</v>
      </c>
      <c r="J62" t="str">
        <f>IFERROR(IF(INDEX(Fall!$1:$1048576,MATCH(All!$A62,Fall!$A:$A,FALSE),MATCH(All!J$1,Fall!$1:$1,FALSE))="","",INDEX(Fall!$1:$1048576,MATCH(All!$A62,Fall!$A:$A,FALSE),MATCH(All!J$1,Fall!$1:$1,FALSE))),"")</f>
        <v>2A</v>
      </c>
      <c r="K62" t="str">
        <f>IFERROR(IF(INDEX(Fall!$1:$1048576,MATCH(All!$A62,Fall!$A:$A,FALSE),MATCH(All!K$1,Fall!$1:$1,FALSE))="","",INDEX(Fall!$1:$1048576,MATCH(All!$A62,Fall!$A:$A,FALSE),MATCH(All!K$1,Fall!$1:$1,FALSE))),"")</f>
        <v>3A</v>
      </c>
      <c r="L62" t="str">
        <f>IFERROR(IF(INDEX(Fall!$1:$1048576,MATCH(All!$A62,Fall!$A:$A,FALSE),MATCH(All!L$1,Fall!$1:$1,FALSE))="","",INDEX(Fall!$1:$1048576,MATCH(All!$A62,Fall!$A:$A,FALSE),MATCH(All!L$1,Fall!$1:$1,FALSE))),"")</f>
        <v>2A</v>
      </c>
      <c r="M62" t="str">
        <f>IFERROR(IF(INDEX(Fall!$1:$1048576,MATCH(All!$A62,Fall!$A:$A,FALSE),MATCH(All!M$1,Fall!$1:$1,FALSE))="","",INDEX(Fall!$1:$1048576,MATCH(All!$A62,Fall!$A:$A,FALSE),MATCH(All!M$1,Fall!$1:$1,FALSE))),"")</f>
        <v>4A</v>
      </c>
      <c r="O62">
        <f>IFERROR(IF(INDEX(Winter!$1:$1048576,MATCH(All!$A62,Winter!$A:$A,FALSE),MATCH(All!O$1,Winter!$1:$1,FALSE))="","",INDEX(Winter!$1:$1048576,MATCH(All!$A62,Winter!$A:$A,FALSE),MATCH(All!O$1,Winter!$1:$1,FALSE))),"")</f>
        <v>1817</v>
      </c>
      <c r="P62" t="str">
        <f>IFERROR(IF(INDEX(Winter!$1:$1048576,MATCH(All!$A62,Winter!$A:$A,FALSE),MATCH(All!P$1,Winter!$1:$1,FALSE))="","",INDEX(Winter!$1:$1048576,MATCH(All!$A62,Winter!$A:$A,FALSE),MATCH(All!P$1,Winter!$1:$1,FALSE))),"")</f>
        <v>4A</v>
      </c>
      <c r="Q62" t="str">
        <f>IFERROR(IF(INDEX(Winter!$1:$1048576,MATCH(All!$A62,Winter!$A:$A,FALSE),MATCH(All!Q$1,Winter!$1:$1,FALSE))="","",INDEX(Winter!$1:$1048576,MATCH(All!$A62,Winter!$A:$A,FALSE),MATCH(All!Q$1,Winter!$1:$1,FALSE))),"")</f>
        <v>4A</v>
      </c>
      <c r="R62" t="str">
        <f>IFERROR(IF(INDEX(Winter!$1:$1048576,MATCH(All!$A62,Winter!$A:$A,FALSE),MATCH(All!R$1,Winter!$1:$1,FALSE))="","",INDEX(Winter!$1:$1048576,MATCH(All!$A62,Winter!$A:$A,FALSE),MATCH(All!R$1,Winter!$1:$1,FALSE))),"")</f>
        <v>C</v>
      </c>
      <c r="S62" t="str">
        <f>IFERROR(IF(INDEX(Winter!$1:$1048576,MATCH(All!$A62,Winter!$A:$A,FALSE),MATCH(All!S$1,Winter!$1:$1,FALSE))="","",INDEX(Winter!$1:$1048576,MATCH(All!$A62,Winter!$A:$A,FALSE),MATCH(All!S$1,Winter!$1:$1,FALSE))),"")</f>
        <v>2A</v>
      </c>
      <c r="T62" t="str">
        <f>IFERROR(IF(INDEX(Winter!$1:$1048576,MATCH(All!$A62,Winter!$A:$A,FALSE),MATCH(All!T$1,Winter!$1:$1,FALSE))="","",INDEX(Winter!$1:$1048576,MATCH(All!$A62,Winter!$A:$A,FALSE),MATCH(All!T$1,Winter!$1:$1,FALSE))),"")</f>
        <v>2A</v>
      </c>
      <c r="U62" t="str">
        <f>IFERROR(IF(INDEX(Winter!$1:$1048576,MATCH(All!$A62,Winter!$A:$A,FALSE),MATCH(All!U$1,Winter!$1:$1,FALSE))="","",INDEX(Winter!$1:$1048576,MATCH(All!$A62,Winter!$A:$A,FALSE),MATCH(All!U$1,Winter!$1:$1,FALSE))),"")</f>
        <v>3A</v>
      </c>
      <c r="W62">
        <f>IFERROR(IF(INDEX(Spring!$1:$1048576,MATCH(All!$A62,Spring!$A:$A,FALSE),MATCH(All!W$1,Spring!$1:$1,FALSE))="","",INDEX(Spring!$1:$1048576,MATCH(All!$A62,Spring!$A:$A,FALSE),MATCH(All!W$1,Spring!$1:$1,FALSE))),"")</f>
        <v>1817</v>
      </c>
      <c r="X62" t="str">
        <f>IFERROR(IF(INDEX(Spring!$1:$1048576,MATCH(All!$A62,Spring!$A:$A,FALSE),MATCH(All!X$1,Spring!$1:$1,FALSE))="","",INDEX(Spring!$1:$1048576,MATCH(All!$A62,Spring!$A:$A,FALSE),MATCH(All!X$1,Spring!$1:$1,FALSE))),"")</f>
        <v>4A</v>
      </c>
      <c r="Y62" t="str">
        <f>IFERROR(IF(INDEX(Spring!$1:$1048576,MATCH(All!$A62,Spring!$A:$A,FALSE),MATCH(All!Y$1,Spring!$1:$1,FALSE))="","",INDEX(Spring!$1:$1048576,MATCH(All!$A62,Spring!$A:$A,FALSE),MATCH(All!Y$1,Spring!$1:$1,FALSE))),"")</f>
        <v>4A</v>
      </c>
      <c r="Z62" t="str">
        <f>IFERROR(IF(INDEX(Spring!$1:$1048576,MATCH(All!$A62,Spring!$A:$A,FALSE),MATCH(All!Z$1,Spring!$1:$1,FALSE))="","",INDEX(Spring!$1:$1048576,MATCH(All!$A62,Spring!$A:$A,FALSE),MATCH(All!Z$1,Spring!$1:$1,FALSE))),"")</f>
        <v>3A</v>
      </c>
      <c r="AA62" t="str">
        <f>IFERROR(IF(INDEX(Spring!$1:$1048576,MATCH(All!$A62,Spring!$A:$A,FALSE),MATCH(All!AA$1,Spring!$1:$1,FALSE))="","",INDEX(Spring!$1:$1048576,MATCH(All!$A62,Spring!$A:$A,FALSE),MATCH(All!AA$1,Spring!$1:$1,FALSE))),"")</f>
        <v>2A</v>
      </c>
      <c r="AB62" t="str">
        <f>IFERROR(IF(INDEX(Spring!$1:$1048576,MATCH(All!$A62,Spring!$A:$A,FALSE),MATCH(All!AB$1,Spring!$1:$1,FALSE))="","",INDEX(Spring!$1:$1048576,MATCH(All!$A62,Spring!$A:$A,FALSE),MATCH(All!AB$1,Spring!$1:$1,FALSE))),"")</f>
        <v>3A</v>
      </c>
      <c r="AC62" t="str">
        <f>IFERROR(IF(INDEX(Spring!$1:$1048576,MATCH(All!$A62,Spring!$A:$A,FALSE),MATCH(All!AC$1,Spring!$1:$1,FALSE))="","",INDEX(Spring!$1:$1048576,MATCH(All!$A62,Spring!$A:$A,FALSE),MATCH(All!AC$1,Spring!$1:$1,FALSE))),"")</f>
        <v>3A</v>
      </c>
      <c r="AD62" t="str">
        <f>IFERROR(VLOOKUP(A62,'Flag Football'!A:A,1,FALSE),"")</f>
        <v>Bradley (B.-Bourbonnais)</v>
      </c>
      <c r="AE62" t="str">
        <f t="shared" si="0"/>
        <v>1A</v>
      </c>
    </row>
    <row r="63" spans="1:31" ht="15.75" thickBot="1" x14ac:dyDescent="0.3">
      <c r="A63" s="18" t="s">
        <v>81</v>
      </c>
      <c r="B63" s="38">
        <f>IFERROR(VLOOKUP(A63,'Public v Private'!A:G,3,FALSE),"")</f>
        <v>0</v>
      </c>
      <c r="C63" s="38">
        <f>IFERROR(VLOOKUP(A63,'Public v Private'!A:G,4,FALSE),"")</f>
        <v>0</v>
      </c>
      <c r="D63" s="38">
        <f>IFERROR(VLOOKUP(A63,'Public v Private'!A:G,5,FALSE),"")</f>
        <v>0</v>
      </c>
      <c r="E63" s="38"/>
      <c r="F63" s="40">
        <f>IFERROR(INDEX(Fall!$1:$1048576,MATCH(All!$A63,Fall!$A:$A,FALSE),MATCH(All!F$1,Fall!$1:$1,FALSE)),"N/A")</f>
        <v>375</v>
      </c>
      <c r="G63" t="str">
        <f>IFERROR(IF(INDEX(Fall!$1:$1048576,MATCH(All!$A63,Fall!$A:$A,FALSE),MATCH(All!G$1,Fall!$1:$1,FALSE))="","",INDEX(Fall!$1:$1048576,MATCH(All!$A63,Fall!$A:$A,FALSE),MATCH(All!G$1,Fall!$1:$1,FALSE))),"")</f>
        <v/>
      </c>
      <c r="H63" t="str">
        <f>IFERROR(IF(INDEX(Fall!$1:$1048576,MATCH(All!$A63,Fall!$A:$A,FALSE),MATCH(All!H$1,Fall!$1:$1,FALSE))="","",INDEX(Fall!$1:$1048576,MATCH(All!$A63,Fall!$A:$A,FALSE),MATCH(All!H$1,Fall!$1:$1,FALSE))),"")</f>
        <v/>
      </c>
      <c r="I63" t="str">
        <f>IFERROR(IF(INDEX(Fall!$1:$1048576,MATCH(All!$A63,Fall!$A:$A,FALSE),MATCH(All!I$1,Fall!$1:$1,FALSE))="","",INDEX(Fall!$1:$1048576,MATCH(All!$A63,Fall!$A:$A,FALSE),MATCH(All!I$1,Fall!$1:$1,FALSE))),"")</f>
        <v>1A</v>
      </c>
      <c r="J63" t="str">
        <f>IFERROR(IF(INDEX(Fall!$1:$1048576,MATCH(All!$A63,Fall!$A:$A,FALSE),MATCH(All!J$1,Fall!$1:$1,FALSE))="","",INDEX(Fall!$1:$1048576,MATCH(All!$A63,Fall!$A:$A,FALSE),MATCH(All!J$1,Fall!$1:$1,FALSE))),"")</f>
        <v>1A</v>
      </c>
      <c r="K63" t="str">
        <f>IFERROR(IF(INDEX(Fall!$1:$1048576,MATCH(All!$A63,Fall!$A:$A,FALSE),MATCH(All!K$1,Fall!$1:$1,FALSE))="","",INDEX(Fall!$1:$1048576,MATCH(All!$A63,Fall!$A:$A,FALSE),MATCH(All!K$1,Fall!$1:$1,FALSE))),"")</f>
        <v>1A</v>
      </c>
      <c r="L63" t="str">
        <f>IFERROR(IF(INDEX(Fall!$1:$1048576,MATCH(All!$A63,Fall!$A:$A,FALSE),MATCH(All!L$1,Fall!$1:$1,FALSE))="","",INDEX(Fall!$1:$1048576,MATCH(All!$A63,Fall!$A:$A,FALSE),MATCH(All!L$1,Fall!$1:$1,FALSE))),"")</f>
        <v/>
      </c>
      <c r="M63" t="str">
        <f>IFERROR(IF(INDEX(Fall!$1:$1048576,MATCH(All!$A63,Fall!$A:$A,FALSE),MATCH(All!M$1,Fall!$1:$1,FALSE))="","",INDEX(Fall!$1:$1048576,MATCH(All!$A63,Fall!$A:$A,FALSE),MATCH(All!M$1,Fall!$1:$1,FALSE))),"")</f>
        <v>2A</v>
      </c>
      <c r="O63">
        <f>IFERROR(IF(INDEX(Winter!$1:$1048576,MATCH(All!$A63,Winter!$A:$A,FALSE),MATCH(All!O$1,Winter!$1:$1,FALSE))="","",INDEX(Winter!$1:$1048576,MATCH(All!$A63,Winter!$A:$A,FALSE),MATCH(All!O$1,Winter!$1:$1,FALSE))),"")</f>
        <v>375</v>
      </c>
      <c r="P63" t="str">
        <f>IFERROR(IF(INDEX(Winter!$1:$1048576,MATCH(All!$A63,Winter!$A:$A,FALSE),MATCH(All!P$1,Winter!$1:$1,FALSE))="","",INDEX(Winter!$1:$1048576,MATCH(All!$A63,Winter!$A:$A,FALSE),MATCH(All!P$1,Winter!$1:$1,FALSE))),"")</f>
        <v>2A</v>
      </c>
      <c r="Q63" t="str">
        <f>IFERROR(IF(INDEX(Winter!$1:$1048576,MATCH(All!$A63,Winter!$A:$A,FALSE),MATCH(All!Q$1,Winter!$1:$1,FALSE))="","",INDEX(Winter!$1:$1048576,MATCH(All!$A63,Winter!$A:$A,FALSE),MATCH(All!Q$1,Winter!$1:$1,FALSE))),"")</f>
        <v>2A</v>
      </c>
      <c r="R63" t="str">
        <f>IFERROR(IF(INDEX(Winter!$1:$1048576,MATCH(All!$A63,Winter!$A:$A,FALSE),MATCH(All!R$1,Winter!$1:$1,FALSE))="","",INDEX(Winter!$1:$1048576,MATCH(All!$A63,Winter!$A:$A,FALSE),MATCH(All!R$1,Winter!$1:$1,FALSE))),"")</f>
        <v>1A</v>
      </c>
      <c r="S63" t="str">
        <f>IFERROR(IF(INDEX(Winter!$1:$1048576,MATCH(All!$A63,Winter!$A:$A,FALSE),MATCH(All!S$1,Winter!$1:$1,FALSE))="","",INDEX(Winter!$1:$1048576,MATCH(All!$A63,Winter!$A:$A,FALSE),MATCH(All!S$1,Winter!$1:$1,FALSE))),"")</f>
        <v/>
      </c>
      <c r="T63" t="str">
        <f>IFERROR(IF(INDEX(Winter!$1:$1048576,MATCH(All!$A63,Winter!$A:$A,FALSE),MATCH(All!T$1,Winter!$1:$1,FALSE))="","",INDEX(Winter!$1:$1048576,MATCH(All!$A63,Winter!$A:$A,FALSE),MATCH(All!T$1,Winter!$1:$1,FALSE))),"")</f>
        <v>1A</v>
      </c>
      <c r="U63" t="str">
        <f>IFERROR(IF(INDEX(Winter!$1:$1048576,MATCH(All!$A63,Winter!$A:$A,FALSE),MATCH(All!U$1,Winter!$1:$1,FALSE))="","",INDEX(Winter!$1:$1048576,MATCH(All!$A63,Winter!$A:$A,FALSE),MATCH(All!U$1,Winter!$1:$1,FALSE))),"")</f>
        <v>1A</v>
      </c>
      <c r="W63">
        <f>IFERROR(IF(INDEX(Spring!$1:$1048576,MATCH(All!$A63,Spring!$A:$A,FALSE),MATCH(All!W$1,Spring!$1:$1,FALSE))="","",INDEX(Spring!$1:$1048576,MATCH(All!$A63,Spring!$A:$A,FALSE),MATCH(All!W$1,Spring!$1:$1,FALSE))),"")</f>
        <v>375</v>
      </c>
      <c r="X63" t="str">
        <f>IFERROR(IF(INDEX(Spring!$1:$1048576,MATCH(All!$A63,Spring!$A:$A,FALSE),MATCH(All!X$1,Spring!$1:$1,FALSE))="","",INDEX(Spring!$1:$1048576,MATCH(All!$A63,Spring!$A:$A,FALSE),MATCH(All!X$1,Spring!$1:$1,FALSE))),"")</f>
        <v>2A</v>
      </c>
      <c r="Y63" t="str">
        <f>IFERROR(IF(INDEX(Spring!$1:$1048576,MATCH(All!$A63,Spring!$A:$A,FALSE),MATCH(All!Y$1,Spring!$1:$1,FALSE))="","",INDEX(Spring!$1:$1048576,MATCH(All!$A63,Spring!$A:$A,FALSE),MATCH(All!Y$1,Spring!$1:$1,FALSE))),"")</f>
        <v>2A</v>
      </c>
      <c r="Z63" t="str">
        <f>IFERROR(IF(INDEX(Spring!$1:$1048576,MATCH(All!$A63,Spring!$A:$A,FALSE),MATCH(All!Z$1,Spring!$1:$1,FALSE))="","",INDEX(Spring!$1:$1048576,MATCH(All!$A63,Spring!$A:$A,FALSE),MATCH(All!Z$1,Spring!$1:$1,FALSE))),"")</f>
        <v>1A</v>
      </c>
      <c r="AA63" t="str">
        <f>IFERROR(IF(INDEX(Spring!$1:$1048576,MATCH(All!$A63,Spring!$A:$A,FALSE),MATCH(All!AA$1,Spring!$1:$1,FALSE))="","",INDEX(Spring!$1:$1048576,MATCH(All!$A63,Spring!$A:$A,FALSE),MATCH(All!AA$1,Spring!$1:$1,FALSE))),"")</f>
        <v/>
      </c>
      <c r="AB63" t="str">
        <f>IFERROR(IF(INDEX(Spring!$1:$1048576,MATCH(All!$A63,Spring!$A:$A,FALSE),MATCH(All!AB$1,Spring!$1:$1,FALSE))="","",INDEX(Spring!$1:$1048576,MATCH(All!$A63,Spring!$A:$A,FALSE),MATCH(All!AB$1,Spring!$1:$1,FALSE))),"")</f>
        <v>1A</v>
      </c>
      <c r="AC63" t="str">
        <f>IFERROR(IF(INDEX(Spring!$1:$1048576,MATCH(All!$A63,Spring!$A:$A,FALSE),MATCH(All!AC$1,Spring!$1:$1,FALSE))="","",INDEX(Spring!$1:$1048576,MATCH(All!$A63,Spring!$A:$A,FALSE),MATCH(All!AC$1,Spring!$1:$1,FALSE))),"")</f>
        <v>1A</v>
      </c>
      <c r="AD63" t="str">
        <f>IFERROR(VLOOKUP(A63,'Flag Football'!A:A,1,FALSE),"")</f>
        <v/>
      </c>
      <c r="AE63" t="str">
        <f t="shared" si="0"/>
        <v/>
      </c>
    </row>
    <row r="64" spans="1:31" ht="15.75" thickBot="1" x14ac:dyDescent="0.3">
      <c r="A64" s="20" t="s">
        <v>82</v>
      </c>
      <c r="B64" s="38">
        <f>IFERROR(VLOOKUP(A64,'Public v Private'!A:G,3,FALSE),"")</f>
        <v>0</v>
      </c>
      <c r="C64" s="38">
        <f>IFERROR(VLOOKUP(A64,'Public v Private'!A:G,4,FALSE),"")</f>
        <v>0</v>
      </c>
      <c r="D64" s="38">
        <f>IFERROR(VLOOKUP(A64,'Public v Private'!A:G,5,FALSE),"")</f>
        <v>0</v>
      </c>
      <c r="E64" s="38"/>
      <c r="F64" s="40">
        <f>IFERROR(INDEX(Fall!$1:$1048576,MATCH(All!$A64,Fall!$A:$A,FALSE),MATCH(All!F$1,Fall!$1:$1,FALSE)),"N/A")</f>
        <v>628</v>
      </c>
      <c r="G64" t="str">
        <f>IFERROR(IF(INDEX(Fall!$1:$1048576,MATCH(All!$A64,Fall!$A:$A,FALSE),MATCH(All!G$1,Fall!$1:$1,FALSE))="","",INDEX(Fall!$1:$1048576,MATCH(All!$A64,Fall!$A:$A,FALSE),MATCH(All!G$1,Fall!$1:$1,FALSE))),"")</f>
        <v>2A</v>
      </c>
      <c r="H64" t="str">
        <f>IFERROR(IF(INDEX(Fall!$1:$1048576,MATCH(All!$A64,Fall!$A:$A,FALSE),MATCH(All!H$1,Fall!$1:$1,FALSE))="","",INDEX(Fall!$1:$1048576,MATCH(All!$A64,Fall!$A:$A,FALSE),MATCH(All!H$1,Fall!$1:$1,FALSE))),"")</f>
        <v>2A</v>
      </c>
      <c r="I64" t="str">
        <f>IFERROR(IF(INDEX(Fall!$1:$1048576,MATCH(All!$A64,Fall!$A:$A,FALSE),MATCH(All!I$1,Fall!$1:$1,FALSE))="","",INDEX(Fall!$1:$1048576,MATCH(All!$A64,Fall!$A:$A,FALSE),MATCH(All!I$1,Fall!$1:$1,FALSE))),"")</f>
        <v>2A</v>
      </c>
      <c r="J64" t="str">
        <f>IFERROR(IF(INDEX(Fall!$1:$1048576,MATCH(All!$A64,Fall!$A:$A,FALSE),MATCH(All!J$1,Fall!$1:$1,FALSE))="","",INDEX(Fall!$1:$1048576,MATCH(All!$A64,Fall!$A:$A,FALSE),MATCH(All!J$1,Fall!$1:$1,FALSE))),"")</f>
        <v>1A</v>
      </c>
      <c r="K64" t="str">
        <f>IFERROR(IF(INDEX(Fall!$1:$1048576,MATCH(All!$A64,Fall!$A:$A,FALSE),MATCH(All!K$1,Fall!$1:$1,FALSE))="","",INDEX(Fall!$1:$1048576,MATCH(All!$A64,Fall!$A:$A,FALSE),MATCH(All!K$1,Fall!$1:$1,FALSE))),"")</f>
        <v>1A</v>
      </c>
      <c r="L64" t="str">
        <f>IFERROR(IF(INDEX(Fall!$1:$1048576,MATCH(All!$A64,Fall!$A:$A,FALSE),MATCH(All!L$1,Fall!$1:$1,FALSE))="","",INDEX(Fall!$1:$1048576,MATCH(All!$A64,Fall!$A:$A,FALSE),MATCH(All!L$1,Fall!$1:$1,FALSE))),"")</f>
        <v/>
      </c>
      <c r="M64" t="str">
        <f>IFERROR(IF(INDEX(Fall!$1:$1048576,MATCH(All!$A64,Fall!$A:$A,FALSE),MATCH(All!M$1,Fall!$1:$1,FALSE))="","",INDEX(Fall!$1:$1048576,MATCH(All!$A64,Fall!$A:$A,FALSE),MATCH(All!M$1,Fall!$1:$1,FALSE))),"")</f>
        <v>2A</v>
      </c>
      <c r="O64">
        <f>IFERROR(IF(INDEX(Winter!$1:$1048576,MATCH(All!$A64,Winter!$A:$A,FALSE),MATCH(All!O$1,Winter!$1:$1,FALSE))="","",INDEX(Winter!$1:$1048576,MATCH(All!$A64,Winter!$A:$A,FALSE),MATCH(All!O$1,Winter!$1:$1,FALSE))),"")</f>
        <v>628</v>
      </c>
      <c r="P64" t="str">
        <f>IFERROR(IF(INDEX(Winter!$1:$1048576,MATCH(All!$A64,Winter!$A:$A,FALSE),MATCH(All!P$1,Winter!$1:$1,FALSE))="","",INDEX(Winter!$1:$1048576,MATCH(All!$A64,Winter!$A:$A,FALSE),MATCH(All!P$1,Winter!$1:$1,FALSE))),"")</f>
        <v>2A</v>
      </c>
      <c r="Q64" t="str">
        <f>IFERROR(IF(INDEX(Winter!$1:$1048576,MATCH(All!$A64,Winter!$A:$A,FALSE),MATCH(All!Q$1,Winter!$1:$1,FALSE))="","",INDEX(Winter!$1:$1048576,MATCH(All!$A64,Winter!$A:$A,FALSE),MATCH(All!Q$1,Winter!$1:$1,FALSE))),"")</f>
        <v>2A</v>
      </c>
      <c r="R64" t="str">
        <f>IFERROR(IF(INDEX(Winter!$1:$1048576,MATCH(All!$A64,Winter!$A:$A,FALSE),MATCH(All!R$1,Winter!$1:$1,FALSE))="","",INDEX(Winter!$1:$1048576,MATCH(All!$A64,Winter!$A:$A,FALSE),MATCH(All!R$1,Winter!$1:$1,FALSE))),"")</f>
        <v>1A</v>
      </c>
      <c r="S64" t="str">
        <f>IFERROR(IF(INDEX(Winter!$1:$1048576,MATCH(All!$A64,Winter!$A:$A,FALSE),MATCH(All!S$1,Winter!$1:$1,FALSE))="","",INDEX(Winter!$1:$1048576,MATCH(All!$A64,Winter!$A:$A,FALSE),MATCH(All!S$1,Winter!$1:$1,FALSE))),"")</f>
        <v/>
      </c>
      <c r="T64" t="str">
        <f>IFERROR(IF(INDEX(Winter!$1:$1048576,MATCH(All!$A64,Winter!$A:$A,FALSE),MATCH(All!T$1,Winter!$1:$1,FALSE))="","",INDEX(Winter!$1:$1048576,MATCH(All!$A64,Winter!$A:$A,FALSE),MATCH(All!T$1,Winter!$1:$1,FALSE))),"")</f>
        <v>2A</v>
      </c>
      <c r="U64" t="str">
        <f>IFERROR(IF(INDEX(Winter!$1:$1048576,MATCH(All!$A64,Winter!$A:$A,FALSE),MATCH(All!U$1,Winter!$1:$1,FALSE))="","",INDEX(Winter!$1:$1048576,MATCH(All!$A64,Winter!$A:$A,FALSE),MATCH(All!U$1,Winter!$1:$1,FALSE))),"")</f>
        <v>1A</v>
      </c>
      <c r="W64">
        <f>IFERROR(IF(INDEX(Spring!$1:$1048576,MATCH(All!$A64,Spring!$A:$A,FALSE),MATCH(All!W$1,Spring!$1:$1,FALSE))="","",INDEX(Spring!$1:$1048576,MATCH(All!$A64,Spring!$A:$A,FALSE),MATCH(All!W$1,Spring!$1:$1,FALSE))),"")</f>
        <v>628</v>
      </c>
      <c r="X64" t="str">
        <f>IFERROR(IF(INDEX(Spring!$1:$1048576,MATCH(All!$A64,Spring!$A:$A,FALSE),MATCH(All!X$1,Spring!$1:$1,FALSE))="","",INDEX(Spring!$1:$1048576,MATCH(All!$A64,Spring!$A:$A,FALSE),MATCH(All!X$1,Spring!$1:$1,FALSE))),"")</f>
        <v>2A</v>
      </c>
      <c r="Y64" t="str">
        <f>IFERROR(IF(INDEX(Spring!$1:$1048576,MATCH(All!$A64,Spring!$A:$A,FALSE),MATCH(All!Y$1,Spring!$1:$1,FALSE))="","",INDEX(Spring!$1:$1048576,MATCH(All!$A64,Spring!$A:$A,FALSE),MATCH(All!Y$1,Spring!$1:$1,FALSE))),"")</f>
        <v>2A</v>
      </c>
      <c r="Z64" t="str">
        <f>IFERROR(IF(INDEX(Spring!$1:$1048576,MATCH(All!$A64,Spring!$A:$A,FALSE),MATCH(All!Z$1,Spring!$1:$1,FALSE))="","",INDEX(Spring!$1:$1048576,MATCH(All!$A64,Spring!$A:$A,FALSE),MATCH(All!Z$1,Spring!$1:$1,FALSE))),"")</f>
        <v>1A</v>
      </c>
      <c r="AA64" t="str">
        <f>IFERROR(IF(INDEX(Spring!$1:$1048576,MATCH(All!$A64,Spring!$A:$A,FALSE),MATCH(All!AA$1,Spring!$1:$1,FALSE))="","",INDEX(Spring!$1:$1048576,MATCH(All!$A64,Spring!$A:$A,FALSE),MATCH(All!AA$1,Spring!$1:$1,FALSE))),"")</f>
        <v/>
      </c>
      <c r="AB64" t="str">
        <f>IFERROR(IF(INDEX(Spring!$1:$1048576,MATCH(All!$A64,Spring!$A:$A,FALSE),MATCH(All!AB$1,Spring!$1:$1,FALSE))="","",INDEX(Spring!$1:$1048576,MATCH(All!$A64,Spring!$A:$A,FALSE),MATCH(All!AB$1,Spring!$1:$1,FALSE))),"")</f>
        <v>2A</v>
      </c>
      <c r="AC64" t="str">
        <f>IFERROR(IF(INDEX(Spring!$1:$1048576,MATCH(All!$A64,Spring!$A:$A,FALSE),MATCH(All!AC$1,Spring!$1:$1,FALSE))="","",INDEX(Spring!$1:$1048576,MATCH(All!$A64,Spring!$A:$A,FALSE),MATCH(All!AC$1,Spring!$1:$1,FALSE))),"")</f>
        <v>2A</v>
      </c>
      <c r="AD64" t="str">
        <f>IFERROR(VLOOKUP(A64,'Flag Football'!A:A,1,FALSE),"")</f>
        <v/>
      </c>
      <c r="AE64" t="str">
        <f t="shared" si="0"/>
        <v/>
      </c>
    </row>
    <row r="65" spans="1:31" ht="15.75" thickBot="1" x14ac:dyDescent="0.3">
      <c r="A65" s="18" t="s">
        <v>83</v>
      </c>
      <c r="B65" s="38" t="str">
        <f>IFERROR(VLOOKUP(A65,'Public v Private'!A:G,3,FALSE),"")</f>
        <v>private</v>
      </c>
      <c r="C65" s="38">
        <f>IFERROR(VLOOKUP(A65,'Public v Private'!A:G,4,FALSE),"")</f>
        <v>7</v>
      </c>
      <c r="D65" s="38">
        <f>IFERROR(VLOOKUP(A65,'Public v Private'!A:G,5,FALSE),"")</f>
        <v>20</v>
      </c>
      <c r="E65" s="38"/>
      <c r="F65" s="40" t="str">
        <f>IFERROR(INDEX(Fall!$1:$1048576,MATCH(All!$A65,Fall!$A:$A,FALSE),MATCH(All!F$1,Fall!$1:$1,FALSE)),"N/A")</f>
        <v>338.00 (557.70)</v>
      </c>
      <c r="G65" t="str">
        <f>IFERROR(IF(INDEX(Fall!$1:$1048576,MATCH(All!$A65,Fall!$A:$A,FALSE),MATCH(All!G$1,Fall!$1:$1,FALSE))="","",INDEX(Fall!$1:$1048576,MATCH(All!$A65,Fall!$A:$A,FALSE),MATCH(All!G$1,Fall!$1:$1,FALSE))),"")</f>
        <v>1A</v>
      </c>
      <c r="H65" t="str">
        <f>IFERROR(IF(INDEX(Fall!$1:$1048576,MATCH(All!$A65,Fall!$A:$A,FALSE),MATCH(All!H$1,Fall!$1:$1,FALSE))="","",INDEX(Fall!$1:$1048576,MATCH(All!$A65,Fall!$A:$A,FALSE),MATCH(All!H$1,Fall!$1:$1,FALSE))),"")</f>
        <v>1A</v>
      </c>
      <c r="I65" t="str">
        <f>IFERROR(IF(INDEX(Fall!$1:$1048576,MATCH(All!$A65,Fall!$A:$A,FALSE),MATCH(All!I$1,Fall!$1:$1,FALSE))="","",INDEX(Fall!$1:$1048576,MATCH(All!$A65,Fall!$A:$A,FALSE),MATCH(All!I$1,Fall!$1:$1,FALSE))),"")</f>
        <v>2A</v>
      </c>
      <c r="J65" t="str">
        <f>IFERROR(IF(INDEX(Fall!$1:$1048576,MATCH(All!$A65,Fall!$A:$A,FALSE),MATCH(All!J$1,Fall!$1:$1,FALSE))="","",INDEX(Fall!$1:$1048576,MATCH(All!$A65,Fall!$A:$A,FALSE),MATCH(All!J$1,Fall!$1:$1,FALSE))),"")</f>
        <v>1A</v>
      </c>
      <c r="K65" t="str">
        <f>IFERROR(IF(INDEX(Fall!$1:$1048576,MATCH(All!$A65,Fall!$A:$A,FALSE),MATCH(All!K$1,Fall!$1:$1,FALSE))="","",INDEX(Fall!$1:$1048576,MATCH(All!$A65,Fall!$A:$A,FALSE),MATCH(All!K$1,Fall!$1:$1,FALSE))),"")</f>
        <v>1A</v>
      </c>
      <c r="L65" t="str">
        <f>IFERROR(IF(INDEX(Fall!$1:$1048576,MATCH(All!$A65,Fall!$A:$A,FALSE),MATCH(All!L$1,Fall!$1:$1,FALSE))="","",INDEX(Fall!$1:$1048576,MATCH(All!$A65,Fall!$A:$A,FALSE),MATCH(All!L$1,Fall!$1:$1,FALSE))),"")</f>
        <v/>
      </c>
      <c r="M65" t="str">
        <f>IFERROR(IF(INDEX(Fall!$1:$1048576,MATCH(All!$A65,Fall!$A:$A,FALSE),MATCH(All!M$1,Fall!$1:$1,FALSE))="","",INDEX(Fall!$1:$1048576,MATCH(All!$A65,Fall!$A:$A,FALSE),MATCH(All!M$1,Fall!$1:$1,FALSE))),"")</f>
        <v>3A</v>
      </c>
      <c r="O65" t="str">
        <f>IFERROR(IF(INDEX(Winter!$1:$1048576,MATCH(All!$A65,Winter!$A:$A,FALSE),MATCH(All!O$1,Winter!$1:$1,FALSE))="","",INDEX(Winter!$1:$1048576,MATCH(All!$A65,Winter!$A:$A,FALSE),MATCH(All!O$1,Winter!$1:$1,FALSE))),"")</f>
        <v>338.00 (557.70)</v>
      </c>
      <c r="P65" t="str">
        <f>IFERROR(IF(INDEX(Winter!$1:$1048576,MATCH(All!$A65,Winter!$A:$A,FALSE),MATCH(All!P$1,Winter!$1:$1,FALSE))="","",INDEX(Winter!$1:$1048576,MATCH(All!$A65,Winter!$A:$A,FALSE),MATCH(All!P$1,Winter!$1:$1,FALSE))),"")</f>
        <v>2A</v>
      </c>
      <c r="Q65" t="str">
        <f>IFERROR(IF(INDEX(Winter!$1:$1048576,MATCH(All!$A65,Winter!$A:$A,FALSE),MATCH(All!Q$1,Winter!$1:$1,FALSE))="","",INDEX(Winter!$1:$1048576,MATCH(All!$A65,Winter!$A:$A,FALSE),MATCH(All!Q$1,Winter!$1:$1,FALSE))),"")</f>
        <v>2A</v>
      </c>
      <c r="R65" t="str">
        <f>IFERROR(IF(INDEX(Winter!$1:$1048576,MATCH(All!$A65,Winter!$A:$A,FALSE),MATCH(All!R$1,Winter!$1:$1,FALSE))="","",INDEX(Winter!$1:$1048576,MATCH(All!$A65,Winter!$A:$A,FALSE),MATCH(All!R$1,Winter!$1:$1,FALSE))),"")</f>
        <v>1A</v>
      </c>
      <c r="S65" t="str">
        <f>IFERROR(IF(INDEX(Winter!$1:$1048576,MATCH(All!$A65,Winter!$A:$A,FALSE),MATCH(All!S$1,Winter!$1:$1,FALSE))="","",INDEX(Winter!$1:$1048576,MATCH(All!$A65,Winter!$A:$A,FALSE),MATCH(All!S$1,Winter!$1:$1,FALSE))),"")</f>
        <v/>
      </c>
      <c r="T65" t="str">
        <f>IFERROR(IF(INDEX(Winter!$1:$1048576,MATCH(All!$A65,Winter!$A:$A,FALSE),MATCH(All!T$1,Winter!$1:$1,FALSE))="","",INDEX(Winter!$1:$1048576,MATCH(All!$A65,Winter!$A:$A,FALSE),MATCH(All!T$1,Winter!$1:$1,FALSE))),"")</f>
        <v>2A</v>
      </c>
      <c r="U65" t="str">
        <f>IFERROR(IF(INDEX(Winter!$1:$1048576,MATCH(All!$A65,Winter!$A:$A,FALSE),MATCH(All!U$1,Winter!$1:$1,FALSE))="","",INDEX(Winter!$1:$1048576,MATCH(All!$A65,Winter!$A:$A,FALSE),MATCH(All!U$1,Winter!$1:$1,FALSE))),"")</f>
        <v/>
      </c>
      <c r="W65" t="str">
        <f>IFERROR(IF(INDEX(Spring!$1:$1048576,MATCH(All!$A65,Spring!$A:$A,FALSE),MATCH(All!W$1,Spring!$1:$1,FALSE))="","",INDEX(Spring!$1:$1048576,MATCH(All!$A65,Spring!$A:$A,FALSE),MATCH(All!W$1,Spring!$1:$1,FALSE))),"")</f>
        <v>338.00 (557.70)</v>
      </c>
      <c r="X65" t="str">
        <f>IFERROR(IF(INDEX(Spring!$1:$1048576,MATCH(All!$A65,Spring!$A:$A,FALSE),MATCH(All!X$1,Spring!$1:$1,FALSE))="","",INDEX(Spring!$1:$1048576,MATCH(All!$A65,Spring!$A:$A,FALSE),MATCH(All!X$1,Spring!$1:$1,FALSE))),"")</f>
        <v>2A</v>
      </c>
      <c r="Y65" t="str">
        <f>IFERROR(IF(INDEX(Spring!$1:$1048576,MATCH(All!$A65,Spring!$A:$A,FALSE),MATCH(All!Y$1,Spring!$1:$1,FALSE))="","",INDEX(Spring!$1:$1048576,MATCH(All!$A65,Spring!$A:$A,FALSE),MATCH(All!Y$1,Spring!$1:$1,FALSE))),"")</f>
        <v>2A</v>
      </c>
      <c r="Z65" t="str">
        <f>IFERROR(IF(INDEX(Spring!$1:$1048576,MATCH(All!$A65,Spring!$A:$A,FALSE),MATCH(All!Z$1,Spring!$1:$1,FALSE))="","",INDEX(Spring!$1:$1048576,MATCH(All!$A65,Spring!$A:$A,FALSE),MATCH(All!Z$1,Spring!$1:$1,FALSE))),"")</f>
        <v>1A</v>
      </c>
      <c r="AA65" t="str">
        <f>IFERROR(IF(INDEX(Spring!$1:$1048576,MATCH(All!$A65,Spring!$A:$A,FALSE),MATCH(All!AA$1,Spring!$1:$1,FALSE))="","",INDEX(Spring!$1:$1048576,MATCH(All!$A65,Spring!$A:$A,FALSE),MATCH(All!AA$1,Spring!$1:$1,FALSE))),"")</f>
        <v/>
      </c>
      <c r="AB65" t="str">
        <f>IFERROR(IF(INDEX(Spring!$1:$1048576,MATCH(All!$A65,Spring!$A:$A,FALSE),MATCH(All!AB$1,Spring!$1:$1,FALSE))="","",INDEX(Spring!$1:$1048576,MATCH(All!$A65,Spring!$A:$A,FALSE),MATCH(All!AB$1,Spring!$1:$1,FALSE))),"")</f>
        <v>1A</v>
      </c>
      <c r="AC65" t="str">
        <f>IFERROR(IF(INDEX(Spring!$1:$1048576,MATCH(All!$A65,Spring!$A:$A,FALSE),MATCH(All!AC$1,Spring!$1:$1,FALSE))="","",INDEX(Spring!$1:$1048576,MATCH(All!$A65,Spring!$A:$A,FALSE),MATCH(All!AC$1,Spring!$1:$1,FALSE))),"")</f>
        <v>1A</v>
      </c>
      <c r="AD65" t="str">
        <f>IFERROR(VLOOKUP(A65,'Flag Football'!A:A,1,FALSE),"")</f>
        <v/>
      </c>
      <c r="AE65" t="str">
        <f t="shared" si="0"/>
        <v/>
      </c>
    </row>
    <row r="66" spans="1:31" ht="15.75" thickBot="1" x14ac:dyDescent="0.3">
      <c r="A66" s="20" t="s">
        <v>85</v>
      </c>
      <c r="B66" s="38">
        <f>IFERROR(VLOOKUP(A66,'Public v Private'!A:G,3,FALSE),"")</f>
        <v>0</v>
      </c>
      <c r="C66" s="38">
        <f>IFERROR(VLOOKUP(A66,'Public v Private'!A:G,4,FALSE),"")</f>
        <v>0</v>
      </c>
      <c r="D66" s="38">
        <f>IFERROR(VLOOKUP(A66,'Public v Private'!A:G,5,FALSE),"")</f>
        <v>0</v>
      </c>
      <c r="E66" s="38"/>
      <c r="F66" s="40">
        <f>IFERROR(INDEX(Fall!$1:$1048576,MATCH(All!$A66,Fall!$A:$A,FALSE),MATCH(All!F$1,Fall!$1:$1,FALSE)),"N/A")</f>
        <v>242</v>
      </c>
      <c r="G66" t="str">
        <f>IFERROR(IF(INDEX(Fall!$1:$1048576,MATCH(All!$A66,Fall!$A:$A,FALSE),MATCH(All!G$1,Fall!$1:$1,FALSE))="","",INDEX(Fall!$1:$1048576,MATCH(All!$A66,Fall!$A:$A,FALSE),MATCH(All!G$1,Fall!$1:$1,FALSE))),"")</f>
        <v/>
      </c>
      <c r="H66" t="str">
        <f>IFERROR(IF(INDEX(Fall!$1:$1048576,MATCH(All!$A66,Fall!$A:$A,FALSE),MATCH(All!H$1,Fall!$1:$1,FALSE))="","",INDEX(Fall!$1:$1048576,MATCH(All!$A66,Fall!$A:$A,FALSE),MATCH(All!H$1,Fall!$1:$1,FALSE))),"")</f>
        <v/>
      </c>
      <c r="I66" t="str">
        <f>IFERROR(IF(INDEX(Fall!$1:$1048576,MATCH(All!$A66,Fall!$A:$A,FALSE),MATCH(All!I$1,Fall!$1:$1,FALSE))="","",INDEX(Fall!$1:$1048576,MATCH(All!$A66,Fall!$A:$A,FALSE),MATCH(All!I$1,Fall!$1:$1,FALSE))),"")</f>
        <v>2A</v>
      </c>
      <c r="J66" t="str">
        <f>IFERROR(IF(INDEX(Fall!$1:$1048576,MATCH(All!$A66,Fall!$A:$A,FALSE),MATCH(All!J$1,Fall!$1:$1,FALSE))="","",INDEX(Fall!$1:$1048576,MATCH(All!$A66,Fall!$A:$A,FALSE),MATCH(All!J$1,Fall!$1:$1,FALSE))),"")</f>
        <v/>
      </c>
      <c r="K66" t="str">
        <f>IFERROR(IF(INDEX(Fall!$1:$1048576,MATCH(All!$A66,Fall!$A:$A,FALSE),MATCH(All!K$1,Fall!$1:$1,FALSE))="","",INDEX(Fall!$1:$1048576,MATCH(All!$A66,Fall!$A:$A,FALSE),MATCH(All!K$1,Fall!$1:$1,FALSE))),"")</f>
        <v/>
      </c>
      <c r="L66" t="str">
        <f>IFERROR(IF(INDEX(Fall!$1:$1048576,MATCH(All!$A66,Fall!$A:$A,FALSE),MATCH(All!L$1,Fall!$1:$1,FALSE))="","",INDEX(Fall!$1:$1048576,MATCH(All!$A66,Fall!$A:$A,FALSE),MATCH(All!L$1,Fall!$1:$1,FALSE))),"")</f>
        <v/>
      </c>
      <c r="M66" t="str">
        <f>IFERROR(IF(INDEX(Fall!$1:$1048576,MATCH(All!$A66,Fall!$A:$A,FALSE),MATCH(All!M$1,Fall!$1:$1,FALSE))="","",INDEX(Fall!$1:$1048576,MATCH(All!$A66,Fall!$A:$A,FALSE),MATCH(All!M$1,Fall!$1:$1,FALSE))),"")</f>
        <v>1A</v>
      </c>
      <c r="O66">
        <f>IFERROR(IF(INDEX(Winter!$1:$1048576,MATCH(All!$A66,Winter!$A:$A,FALSE),MATCH(All!O$1,Winter!$1:$1,FALSE))="","",INDEX(Winter!$1:$1048576,MATCH(All!$A66,Winter!$A:$A,FALSE),MATCH(All!O$1,Winter!$1:$1,FALSE))),"")</f>
        <v>242</v>
      </c>
      <c r="P66" t="str">
        <f>IFERROR(IF(INDEX(Winter!$1:$1048576,MATCH(All!$A66,Winter!$A:$A,FALSE),MATCH(All!P$1,Winter!$1:$1,FALSE))="","",INDEX(Winter!$1:$1048576,MATCH(All!$A66,Winter!$A:$A,FALSE),MATCH(All!P$1,Winter!$1:$1,FALSE))),"")</f>
        <v>1A</v>
      </c>
      <c r="Q66" t="str">
        <f>IFERROR(IF(INDEX(Winter!$1:$1048576,MATCH(All!$A66,Winter!$A:$A,FALSE),MATCH(All!Q$1,Winter!$1:$1,FALSE))="","",INDEX(Winter!$1:$1048576,MATCH(All!$A66,Winter!$A:$A,FALSE),MATCH(All!Q$1,Winter!$1:$1,FALSE))),"")</f>
        <v>1A</v>
      </c>
      <c r="R66" t="str">
        <f>IFERROR(IF(INDEX(Winter!$1:$1048576,MATCH(All!$A66,Winter!$A:$A,FALSE),MATCH(All!R$1,Winter!$1:$1,FALSE))="","",INDEX(Winter!$1:$1048576,MATCH(All!$A66,Winter!$A:$A,FALSE),MATCH(All!R$1,Winter!$1:$1,FALSE))),"")</f>
        <v/>
      </c>
      <c r="S66" t="str">
        <f>IFERROR(IF(INDEX(Winter!$1:$1048576,MATCH(All!$A66,Winter!$A:$A,FALSE),MATCH(All!S$1,Winter!$1:$1,FALSE))="","",INDEX(Winter!$1:$1048576,MATCH(All!$A66,Winter!$A:$A,FALSE),MATCH(All!S$1,Winter!$1:$1,FALSE))),"")</f>
        <v/>
      </c>
      <c r="T66" t="str">
        <f>IFERROR(IF(INDEX(Winter!$1:$1048576,MATCH(All!$A66,Winter!$A:$A,FALSE),MATCH(All!T$1,Winter!$1:$1,FALSE))="","",INDEX(Winter!$1:$1048576,MATCH(All!$A66,Winter!$A:$A,FALSE),MATCH(All!T$1,Winter!$1:$1,FALSE))),"")</f>
        <v>1A</v>
      </c>
      <c r="U66" t="str">
        <f>IFERROR(IF(INDEX(Winter!$1:$1048576,MATCH(All!$A66,Winter!$A:$A,FALSE),MATCH(All!U$1,Winter!$1:$1,FALSE))="","",INDEX(Winter!$1:$1048576,MATCH(All!$A66,Winter!$A:$A,FALSE),MATCH(All!U$1,Winter!$1:$1,FALSE))),"")</f>
        <v/>
      </c>
      <c r="W66">
        <f>IFERROR(IF(INDEX(Spring!$1:$1048576,MATCH(All!$A66,Spring!$A:$A,FALSE),MATCH(All!W$1,Spring!$1:$1,FALSE))="","",INDEX(Spring!$1:$1048576,MATCH(All!$A66,Spring!$A:$A,FALSE),MATCH(All!W$1,Spring!$1:$1,FALSE))),"")</f>
        <v>242</v>
      </c>
      <c r="X66" t="str">
        <f>IFERROR(IF(INDEX(Spring!$1:$1048576,MATCH(All!$A66,Spring!$A:$A,FALSE),MATCH(All!X$1,Spring!$1:$1,FALSE))="","",INDEX(Spring!$1:$1048576,MATCH(All!$A66,Spring!$A:$A,FALSE),MATCH(All!X$1,Spring!$1:$1,FALSE))),"")</f>
        <v>1A</v>
      </c>
      <c r="Y66" t="str">
        <f>IFERROR(IF(INDEX(Spring!$1:$1048576,MATCH(All!$A66,Spring!$A:$A,FALSE),MATCH(All!Y$1,Spring!$1:$1,FALSE))="","",INDEX(Spring!$1:$1048576,MATCH(All!$A66,Spring!$A:$A,FALSE),MATCH(All!Y$1,Spring!$1:$1,FALSE))),"")</f>
        <v>1A</v>
      </c>
      <c r="Z66" t="str">
        <f>IFERROR(IF(INDEX(Spring!$1:$1048576,MATCH(All!$A66,Spring!$A:$A,FALSE),MATCH(All!Z$1,Spring!$1:$1,FALSE))="","",INDEX(Spring!$1:$1048576,MATCH(All!$A66,Spring!$A:$A,FALSE),MATCH(All!Z$1,Spring!$1:$1,FALSE))),"")</f>
        <v/>
      </c>
      <c r="AA66" t="str">
        <f>IFERROR(IF(INDEX(Spring!$1:$1048576,MATCH(All!$A66,Spring!$A:$A,FALSE),MATCH(All!AA$1,Spring!$1:$1,FALSE))="","",INDEX(Spring!$1:$1048576,MATCH(All!$A66,Spring!$A:$A,FALSE),MATCH(All!AA$1,Spring!$1:$1,FALSE))),"")</f>
        <v/>
      </c>
      <c r="AB66" t="str">
        <f>IFERROR(IF(INDEX(Spring!$1:$1048576,MATCH(All!$A66,Spring!$A:$A,FALSE),MATCH(All!AB$1,Spring!$1:$1,FALSE))="","",INDEX(Spring!$1:$1048576,MATCH(All!$A66,Spring!$A:$A,FALSE),MATCH(All!AB$1,Spring!$1:$1,FALSE))),"")</f>
        <v>1A</v>
      </c>
      <c r="AC66" t="str">
        <f>IFERROR(IF(INDEX(Spring!$1:$1048576,MATCH(All!$A66,Spring!$A:$A,FALSE),MATCH(All!AC$1,Spring!$1:$1,FALSE))="","",INDEX(Spring!$1:$1048576,MATCH(All!$A66,Spring!$A:$A,FALSE),MATCH(All!AC$1,Spring!$1:$1,FALSE))),"")</f>
        <v>1A</v>
      </c>
      <c r="AD66" t="str">
        <f>IFERROR(VLOOKUP(A66,'Flag Football'!A:A,1,FALSE),"")</f>
        <v/>
      </c>
      <c r="AE66" t="str">
        <f t="shared" si="0"/>
        <v/>
      </c>
    </row>
    <row r="67" spans="1:31" ht="15.75" thickBot="1" x14ac:dyDescent="0.3">
      <c r="A67" s="18" t="s">
        <v>979</v>
      </c>
      <c r="B67" s="38" t="str">
        <f>IFERROR(VLOOKUP(A67,'Public v Private'!A:G,3,FALSE),"")</f>
        <v>private</v>
      </c>
      <c r="C67" s="38">
        <f>IFERROR(VLOOKUP(A67,'Public v Private'!A:G,4,FALSE),"")</f>
        <v>3</v>
      </c>
      <c r="D67" s="38">
        <f>IFERROR(VLOOKUP(A67,'Public v Private'!A:G,5,FALSE),"")</f>
        <v>8</v>
      </c>
      <c r="E67" s="38"/>
      <c r="F67" s="40" t="str">
        <f>IFERROR(INDEX(Fall!$1:$1048576,MATCH(All!$A67,Fall!$A:$A,FALSE),MATCH(All!F$1,Fall!$1:$1,FALSE)),"N/A")</f>
        <v>122.00 (201.30)</v>
      </c>
      <c r="G67" t="str">
        <f>IFERROR(IF(INDEX(Fall!$1:$1048576,MATCH(All!$A67,Fall!$A:$A,FALSE),MATCH(All!G$1,Fall!$1:$1,FALSE))="","",INDEX(Fall!$1:$1048576,MATCH(All!$A67,Fall!$A:$A,FALSE),MATCH(All!G$1,Fall!$1:$1,FALSE))),"")</f>
        <v/>
      </c>
      <c r="H67" t="str">
        <f>IFERROR(IF(INDEX(Fall!$1:$1048576,MATCH(All!$A67,Fall!$A:$A,FALSE),MATCH(All!H$1,Fall!$1:$1,FALSE))="","",INDEX(Fall!$1:$1048576,MATCH(All!$A67,Fall!$A:$A,FALSE),MATCH(All!H$1,Fall!$1:$1,FALSE))),"")</f>
        <v/>
      </c>
      <c r="I67" t="str">
        <f>IFERROR(IF(INDEX(Fall!$1:$1048576,MATCH(All!$A67,Fall!$A:$A,FALSE),MATCH(All!I$1,Fall!$1:$1,FALSE))="","",INDEX(Fall!$1:$1048576,MATCH(All!$A67,Fall!$A:$A,FALSE),MATCH(All!I$1,Fall!$1:$1,FALSE))),"")</f>
        <v/>
      </c>
      <c r="J67" t="str">
        <f>IFERROR(IF(INDEX(Fall!$1:$1048576,MATCH(All!$A67,Fall!$A:$A,FALSE),MATCH(All!J$1,Fall!$1:$1,FALSE))="","",INDEX(Fall!$1:$1048576,MATCH(All!$A67,Fall!$A:$A,FALSE),MATCH(All!J$1,Fall!$1:$1,FALSE))),"")</f>
        <v/>
      </c>
      <c r="K67" t="str">
        <f>IFERROR(IF(INDEX(Fall!$1:$1048576,MATCH(All!$A67,Fall!$A:$A,FALSE),MATCH(All!K$1,Fall!$1:$1,FALSE))="","",INDEX(Fall!$1:$1048576,MATCH(All!$A67,Fall!$A:$A,FALSE),MATCH(All!K$1,Fall!$1:$1,FALSE))),"")</f>
        <v/>
      </c>
      <c r="L67" t="str">
        <f>IFERROR(IF(INDEX(Fall!$1:$1048576,MATCH(All!$A67,Fall!$A:$A,FALSE),MATCH(All!L$1,Fall!$1:$1,FALSE))="","",INDEX(Fall!$1:$1048576,MATCH(All!$A67,Fall!$A:$A,FALSE),MATCH(All!L$1,Fall!$1:$1,FALSE))),"")</f>
        <v/>
      </c>
      <c r="M67" t="str">
        <f>IFERROR(IF(INDEX(Fall!$1:$1048576,MATCH(All!$A67,Fall!$A:$A,FALSE),MATCH(All!M$1,Fall!$1:$1,FALSE))="","",INDEX(Fall!$1:$1048576,MATCH(All!$A67,Fall!$A:$A,FALSE),MATCH(All!M$1,Fall!$1:$1,FALSE))),"")</f>
        <v>1A</v>
      </c>
      <c r="O67" t="str">
        <f>IFERROR(IF(INDEX(Winter!$1:$1048576,MATCH(All!$A67,Winter!$A:$A,FALSE),MATCH(All!O$1,Winter!$1:$1,FALSE))="","",INDEX(Winter!$1:$1048576,MATCH(All!$A67,Winter!$A:$A,FALSE),MATCH(All!O$1,Winter!$1:$1,FALSE))),"")</f>
        <v/>
      </c>
      <c r="P67" t="str">
        <f>IFERROR(IF(INDEX(Winter!$1:$1048576,MATCH(All!$A67,Winter!$A:$A,FALSE),MATCH(All!P$1,Winter!$1:$1,FALSE))="","",INDEX(Winter!$1:$1048576,MATCH(All!$A67,Winter!$A:$A,FALSE),MATCH(All!P$1,Winter!$1:$1,FALSE))),"")</f>
        <v/>
      </c>
      <c r="Q67" t="str">
        <f>IFERROR(IF(INDEX(Winter!$1:$1048576,MATCH(All!$A67,Winter!$A:$A,FALSE),MATCH(All!Q$1,Winter!$1:$1,FALSE))="","",INDEX(Winter!$1:$1048576,MATCH(All!$A67,Winter!$A:$A,FALSE),MATCH(All!Q$1,Winter!$1:$1,FALSE))),"")</f>
        <v/>
      </c>
      <c r="R67" t="str">
        <f>IFERROR(IF(INDEX(Winter!$1:$1048576,MATCH(All!$A67,Winter!$A:$A,FALSE),MATCH(All!R$1,Winter!$1:$1,FALSE))="","",INDEX(Winter!$1:$1048576,MATCH(All!$A67,Winter!$A:$A,FALSE),MATCH(All!R$1,Winter!$1:$1,FALSE))),"")</f>
        <v/>
      </c>
      <c r="S67" t="str">
        <f>IFERROR(IF(INDEX(Winter!$1:$1048576,MATCH(All!$A67,Winter!$A:$A,FALSE),MATCH(All!S$1,Winter!$1:$1,FALSE))="","",INDEX(Winter!$1:$1048576,MATCH(All!$A67,Winter!$A:$A,FALSE),MATCH(All!S$1,Winter!$1:$1,FALSE))),"")</f>
        <v/>
      </c>
      <c r="T67" t="str">
        <f>IFERROR(IF(INDEX(Winter!$1:$1048576,MATCH(All!$A67,Winter!$A:$A,FALSE),MATCH(All!T$1,Winter!$1:$1,FALSE))="","",INDEX(Winter!$1:$1048576,MATCH(All!$A67,Winter!$A:$A,FALSE),MATCH(All!T$1,Winter!$1:$1,FALSE))),"")</f>
        <v/>
      </c>
      <c r="U67" t="str">
        <f>IFERROR(IF(INDEX(Winter!$1:$1048576,MATCH(All!$A67,Winter!$A:$A,FALSE),MATCH(All!U$1,Winter!$1:$1,FALSE))="","",INDEX(Winter!$1:$1048576,MATCH(All!$A67,Winter!$A:$A,FALSE),MATCH(All!U$1,Winter!$1:$1,FALSE))),"")</f>
        <v/>
      </c>
      <c r="W67" t="str">
        <f>IFERROR(IF(INDEX(Spring!$1:$1048576,MATCH(All!$A67,Spring!$A:$A,FALSE),MATCH(All!W$1,Spring!$1:$1,FALSE))="","",INDEX(Spring!$1:$1048576,MATCH(All!$A67,Spring!$A:$A,FALSE),MATCH(All!W$1,Spring!$1:$1,FALSE))),"")</f>
        <v/>
      </c>
      <c r="X67" t="str">
        <f>IFERROR(IF(INDEX(Spring!$1:$1048576,MATCH(All!$A67,Spring!$A:$A,FALSE),MATCH(All!X$1,Spring!$1:$1,FALSE))="","",INDEX(Spring!$1:$1048576,MATCH(All!$A67,Spring!$A:$A,FALSE),MATCH(All!X$1,Spring!$1:$1,FALSE))),"")</f>
        <v/>
      </c>
      <c r="Y67" t="str">
        <f>IFERROR(IF(INDEX(Spring!$1:$1048576,MATCH(All!$A67,Spring!$A:$A,FALSE),MATCH(All!Y$1,Spring!$1:$1,FALSE))="","",INDEX(Spring!$1:$1048576,MATCH(All!$A67,Spring!$A:$A,FALSE),MATCH(All!Y$1,Spring!$1:$1,FALSE))),"")</f>
        <v/>
      </c>
      <c r="Z67" t="str">
        <f>IFERROR(IF(INDEX(Spring!$1:$1048576,MATCH(All!$A67,Spring!$A:$A,FALSE),MATCH(All!Z$1,Spring!$1:$1,FALSE))="","",INDEX(Spring!$1:$1048576,MATCH(All!$A67,Spring!$A:$A,FALSE),MATCH(All!Z$1,Spring!$1:$1,FALSE))),"")</f>
        <v/>
      </c>
      <c r="AA67" t="str">
        <f>IFERROR(IF(INDEX(Spring!$1:$1048576,MATCH(All!$A67,Spring!$A:$A,FALSE),MATCH(All!AA$1,Spring!$1:$1,FALSE))="","",INDEX(Spring!$1:$1048576,MATCH(All!$A67,Spring!$A:$A,FALSE),MATCH(All!AA$1,Spring!$1:$1,FALSE))),"")</f>
        <v/>
      </c>
      <c r="AB67" t="str">
        <f>IFERROR(IF(INDEX(Spring!$1:$1048576,MATCH(All!$A67,Spring!$A:$A,FALSE),MATCH(All!AB$1,Spring!$1:$1,FALSE))="","",INDEX(Spring!$1:$1048576,MATCH(All!$A67,Spring!$A:$A,FALSE),MATCH(All!AB$1,Spring!$1:$1,FALSE))),"")</f>
        <v/>
      </c>
      <c r="AC67" t="str">
        <f>IFERROR(IF(INDEX(Spring!$1:$1048576,MATCH(All!$A67,Spring!$A:$A,FALSE),MATCH(All!AC$1,Spring!$1:$1,FALSE))="","",INDEX(Spring!$1:$1048576,MATCH(All!$A67,Spring!$A:$A,FALSE),MATCH(All!AC$1,Spring!$1:$1,FALSE))),"")</f>
        <v/>
      </c>
      <c r="AD67" t="str">
        <f>IFERROR(VLOOKUP(A67,'Flag Football'!A:A,1,FALSE),"")</f>
        <v/>
      </c>
      <c r="AE67" t="str">
        <f t="shared" ref="AE67:AE130" si="1">IF(AD67="","","1A")</f>
        <v/>
      </c>
    </row>
    <row r="68" spans="1:31" ht="15.75" thickBot="1" x14ac:dyDescent="0.3">
      <c r="A68" s="20" t="s">
        <v>907</v>
      </c>
      <c r="B68" s="38" t="str">
        <f>IFERROR(VLOOKUP(A68,'Public v Private'!A:G,3,FALSE),"")</f>
        <v>private</v>
      </c>
      <c r="C68" s="38">
        <f>IFERROR(VLOOKUP(A68,'Public v Private'!A:G,4,FALSE),"")</f>
        <v>3</v>
      </c>
      <c r="D68" s="38">
        <f>IFERROR(VLOOKUP(A68,'Public v Private'!A:G,5,FALSE),"")</f>
        <v>8</v>
      </c>
      <c r="E68" s="38"/>
      <c r="F68" s="40" t="str">
        <f>IFERROR(INDEX(Fall!$1:$1048576,MATCH(All!$A68,Fall!$A:$A,FALSE),MATCH(All!F$1,Fall!$1:$1,FALSE)),"N/A")</f>
        <v>290.00 (478.50)</v>
      </c>
      <c r="G68" t="str">
        <f>IFERROR(IF(INDEX(Fall!$1:$1048576,MATCH(All!$A68,Fall!$A:$A,FALSE),MATCH(All!G$1,Fall!$1:$1,FALSE))="","",INDEX(Fall!$1:$1048576,MATCH(All!$A68,Fall!$A:$A,FALSE),MATCH(All!G$1,Fall!$1:$1,FALSE))),"")</f>
        <v/>
      </c>
      <c r="H68" t="str">
        <f>IFERROR(IF(INDEX(Fall!$1:$1048576,MATCH(All!$A68,Fall!$A:$A,FALSE),MATCH(All!H$1,Fall!$1:$1,FALSE))="","",INDEX(Fall!$1:$1048576,MATCH(All!$A68,Fall!$A:$A,FALSE),MATCH(All!H$1,Fall!$1:$1,FALSE))),"")</f>
        <v/>
      </c>
      <c r="I68" t="str">
        <f>IFERROR(IF(INDEX(Fall!$1:$1048576,MATCH(All!$A68,Fall!$A:$A,FALSE),MATCH(All!I$1,Fall!$1:$1,FALSE))="","",INDEX(Fall!$1:$1048576,MATCH(All!$A68,Fall!$A:$A,FALSE),MATCH(All!I$1,Fall!$1:$1,FALSE))),"")</f>
        <v/>
      </c>
      <c r="J68" t="str">
        <f>IFERROR(IF(INDEX(Fall!$1:$1048576,MATCH(All!$A68,Fall!$A:$A,FALSE),MATCH(All!J$1,Fall!$1:$1,FALSE))="","",INDEX(Fall!$1:$1048576,MATCH(All!$A68,Fall!$A:$A,FALSE),MATCH(All!J$1,Fall!$1:$1,FALSE))),"")</f>
        <v/>
      </c>
      <c r="K68" t="str">
        <f>IFERROR(IF(INDEX(Fall!$1:$1048576,MATCH(All!$A68,Fall!$A:$A,FALSE),MATCH(All!K$1,Fall!$1:$1,FALSE))="","",INDEX(Fall!$1:$1048576,MATCH(All!$A68,Fall!$A:$A,FALSE),MATCH(All!K$1,Fall!$1:$1,FALSE))),"")</f>
        <v>1A</v>
      </c>
      <c r="L68" t="str">
        <f>IFERROR(IF(INDEX(Fall!$1:$1048576,MATCH(All!$A68,Fall!$A:$A,FALSE),MATCH(All!L$1,Fall!$1:$1,FALSE))="","",INDEX(Fall!$1:$1048576,MATCH(All!$A68,Fall!$A:$A,FALSE),MATCH(All!L$1,Fall!$1:$1,FALSE))),"")</f>
        <v/>
      </c>
      <c r="M68" t="str">
        <f>IFERROR(IF(INDEX(Fall!$1:$1048576,MATCH(All!$A68,Fall!$A:$A,FALSE),MATCH(All!M$1,Fall!$1:$1,FALSE))="","",INDEX(Fall!$1:$1048576,MATCH(All!$A68,Fall!$A:$A,FALSE),MATCH(All!M$1,Fall!$1:$1,FALSE))),"")</f>
        <v/>
      </c>
      <c r="O68" t="str">
        <f>IFERROR(IF(INDEX(Winter!$1:$1048576,MATCH(All!$A68,Winter!$A:$A,FALSE),MATCH(All!O$1,Winter!$1:$1,FALSE))="","",INDEX(Winter!$1:$1048576,MATCH(All!$A68,Winter!$A:$A,FALSE),MATCH(All!O$1,Winter!$1:$1,FALSE))),"")</f>
        <v>290.00 (478.50)</v>
      </c>
      <c r="P68" t="str">
        <f>IFERROR(IF(INDEX(Winter!$1:$1048576,MATCH(All!$A68,Winter!$A:$A,FALSE),MATCH(All!P$1,Winter!$1:$1,FALSE))="","",INDEX(Winter!$1:$1048576,MATCH(All!$A68,Winter!$A:$A,FALSE),MATCH(All!P$1,Winter!$1:$1,FALSE))),"")</f>
        <v>2A</v>
      </c>
      <c r="Q68" t="str">
        <f>IFERROR(IF(INDEX(Winter!$1:$1048576,MATCH(All!$A68,Winter!$A:$A,FALSE),MATCH(All!Q$1,Winter!$1:$1,FALSE))="","",INDEX(Winter!$1:$1048576,MATCH(All!$A68,Winter!$A:$A,FALSE),MATCH(All!Q$1,Winter!$1:$1,FALSE))),"")</f>
        <v/>
      </c>
      <c r="R68" t="str">
        <f>IFERROR(IF(INDEX(Winter!$1:$1048576,MATCH(All!$A68,Winter!$A:$A,FALSE),MATCH(All!R$1,Winter!$1:$1,FALSE))="","",INDEX(Winter!$1:$1048576,MATCH(All!$A68,Winter!$A:$A,FALSE),MATCH(All!R$1,Winter!$1:$1,FALSE))),"")</f>
        <v/>
      </c>
      <c r="S68" t="str">
        <f>IFERROR(IF(INDEX(Winter!$1:$1048576,MATCH(All!$A68,Winter!$A:$A,FALSE),MATCH(All!S$1,Winter!$1:$1,FALSE))="","",INDEX(Winter!$1:$1048576,MATCH(All!$A68,Winter!$A:$A,FALSE),MATCH(All!S$1,Winter!$1:$1,FALSE))),"")</f>
        <v/>
      </c>
      <c r="T68" t="str">
        <f>IFERROR(IF(INDEX(Winter!$1:$1048576,MATCH(All!$A68,Winter!$A:$A,FALSE),MATCH(All!T$1,Winter!$1:$1,FALSE))="","",INDEX(Winter!$1:$1048576,MATCH(All!$A68,Winter!$A:$A,FALSE),MATCH(All!T$1,Winter!$1:$1,FALSE))),"")</f>
        <v/>
      </c>
      <c r="U68" t="str">
        <f>IFERROR(IF(INDEX(Winter!$1:$1048576,MATCH(All!$A68,Winter!$A:$A,FALSE),MATCH(All!U$1,Winter!$1:$1,FALSE))="","",INDEX(Winter!$1:$1048576,MATCH(All!$A68,Winter!$A:$A,FALSE),MATCH(All!U$1,Winter!$1:$1,FALSE))),"")</f>
        <v>1A</v>
      </c>
      <c r="W68" t="str">
        <f>IFERROR(IF(INDEX(Spring!$1:$1048576,MATCH(All!$A68,Spring!$A:$A,FALSE),MATCH(All!W$1,Spring!$1:$1,FALSE))="","",INDEX(Spring!$1:$1048576,MATCH(All!$A68,Spring!$A:$A,FALSE),MATCH(All!W$1,Spring!$1:$1,FALSE))),"")</f>
        <v/>
      </c>
      <c r="X68" t="str">
        <f>IFERROR(IF(INDEX(Spring!$1:$1048576,MATCH(All!$A68,Spring!$A:$A,FALSE),MATCH(All!X$1,Spring!$1:$1,FALSE))="","",INDEX(Spring!$1:$1048576,MATCH(All!$A68,Spring!$A:$A,FALSE),MATCH(All!X$1,Spring!$1:$1,FALSE))),"")</f>
        <v/>
      </c>
      <c r="Y68" t="str">
        <f>IFERROR(IF(INDEX(Spring!$1:$1048576,MATCH(All!$A68,Spring!$A:$A,FALSE),MATCH(All!Y$1,Spring!$1:$1,FALSE))="","",INDEX(Spring!$1:$1048576,MATCH(All!$A68,Spring!$A:$A,FALSE),MATCH(All!Y$1,Spring!$1:$1,FALSE))),"")</f>
        <v/>
      </c>
      <c r="Z68" t="str">
        <f>IFERROR(IF(INDEX(Spring!$1:$1048576,MATCH(All!$A68,Spring!$A:$A,FALSE),MATCH(All!Z$1,Spring!$1:$1,FALSE))="","",INDEX(Spring!$1:$1048576,MATCH(All!$A68,Spring!$A:$A,FALSE),MATCH(All!Z$1,Spring!$1:$1,FALSE))),"")</f>
        <v/>
      </c>
      <c r="AA68" t="str">
        <f>IFERROR(IF(INDEX(Spring!$1:$1048576,MATCH(All!$A68,Spring!$A:$A,FALSE),MATCH(All!AA$1,Spring!$1:$1,FALSE))="","",INDEX(Spring!$1:$1048576,MATCH(All!$A68,Spring!$A:$A,FALSE),MATCH(All!AA$1,Spring!$1:$1,FALSE))),"")</f>
        <v/>
      </c>
      <c r="AB68" t="str">
        <f>IFERROR(IF(INDEX(Spring!$1:$1048576,MATCH(All!$A68,Spring!$A:$A,FALSE),MATCH(All!AB$1,Spring!$1:$1,FALSE))="","",INDEX(Spring!$1:$1048576,MATCH(All!$A68,Spring!$A:$A,FALSE),MATCH(All!AB$1,Spring!$1:$1,FALSE))),"")</f>
        <v/>
      </c>
      <c r="AC68" t="str">
        <f>IFERROR(IF(INDEX(Spring!$1:$1048576,MATCH(All!$A68,Spring!$A:$A,FALSE),MATCH(All!AC$1,Spring!$1:$1,FALSE))="","",INDEX(Spring!$1:$1048576,MATCH(All!$A68,Spring!$A:$A,FALSE),MATCH(All!AC$1,Spring!$1:$1,FALSE))),"")</f>
        <v/>
      </c>
      <c r="AD68" t="str">
        <f>IFERROR(VLOOKUP(A68,'Flag Football'!A:A,1,FALSE),"")</f>
        <v/>
      </c>
      <c r="AE68" t="str">
        <f t="shared" si="1"/>
        <v/>
      </c>
    </row>
    <row r="69" spans="1:31" ht="15.75" thickBot="1" x14ac:dyDescent="0.3">
      <c r="A69" s="18" t="s">
        <v>86</v>
      </c>
      <c r="B69" s="38">
        <f>IFERROR(VLOOKUP(A69,'Public v Private'!A:G,3,FALSE),"")</f>
        <v>0</v>
      </c>
      <c r="C69" s="38">
        <f>IFERROR(VLOOKUP(A69,'Public v Private'!A:G,4,FALSE),"")</f>
        <v>0</v>
      </c>
      <c r="D69" s="38">
        <f>IFERROR(VLOOKUP(A69,'Public v Private'!A:G,5,FALSE),"")</f>
        <v>0</v>
      </c>
      <c r="E69" s="38"/>
      <c r="F69" s="40">
        <f>IFERROR(INDEX(Fall!$1:$1048576,MATCH(All!$A69,Fall!$A:$A,FALSE),MATCH(All!F$1,Fall!$1:$1,FALSE)),"N/A")</f>
        <v>184</v>
      </c>
      <c r="G69" t="str">
        <f>IFERROR(IF(INDEX(Fall!$1:$1048576,MATCH(All!$A69,Fall!$A:$A,FALSE),MATCH(All!G$1,Fall!$1:$1,FALSE))="","",INDEX(Fall!$1:$1048576,MATCH(All!$A69,Fall!$A:$A,FALSE),MATCH(All!G$1,Fall!$1:$1,FALSE))),"")</f>
        <v/>
      </c>
      <c r="H69" t="str">
        <f>IFERROR(IF(INDEX(Fall!$1:$1048576,MATCH(All!$A69,Fall!$A:$A,FALSE),MATCH(All!H$1,Fall!$1:$1,FALSE))="","",INDEX(Fall!$1:$1048576,MATCH(All!$A69,Fall!$A:$A,FALSE),MATCH(All!H$1,Fall!$1:$1,FALSE))),"")</f>
        <v/>
      </c>
      <c r="I69" t="str">
        <f>IFERROR(IF(INDEX(Fall!$1:$1048576,MATCH(All!$A69,Fall!$A:$A,FALSE),MATCH(All!I$1,Fall!$1:$1,FALSE))="","",INDEX(Fall!$1:$1048576,MATCH(All!$A69,Fall!$A:$A,FALSE),MATCH(All!I$1,Fall!$1:$1,FALSE))),"")</f>
        <v>1A</v>
      </c>
      <c r="J69" t="str">
        <f>IFERROR(IF(INDEX(Fall!$1:$1048576,MATCH(All!$A69,Fall!$A:$A,FALSE),MATCH(All!J$1,Fall!$1:$1,FALSE))="","",INDEX(Fall!$1:$1048576,MATCH(All!$A69,Fall!$A:$A,FALSE),MATCH(All!J$1,Fall!$1:$1,FALSE))),"")</f>
        <v>1A</v>
      </c>
      <c r="K69" t="str">
        <f>IFERROR(IF(INDEX(Fall!$1:$1048576,MATCH(All!$A69,Fall!$A:$A,FALSE),MATCH(All!K$1,Fall!$1:$1,FALSE))="","",INDEX(Fall!$1:$1048576,MATCH(All!$A69,Fall!$A:$A,FALSE),MATCH(All!K$1,Fall!$1:$1,FALSE))),"")</f>
        <v/>
      </c>
      <c r="L69" t="str">
        <f>IFERROR(IF(INDEX(Fall!$1:$1048576,MATCH(All!$A69,Fall!$A:$A,FALSE),MATCH(All!L$1,Fall!$1:$1,FALSE))="","",INDEX(Fall!$1:$1048576,MATCH(All!$A69,Fall!$A:$A,FALSE),MATCH(All!L$1,Fall!$1:$1,FALSE))),"")</f>
        <v/>
      </c>
      <c r="M69" t="str">
        <f>IFERROR(IF(INDEX(Fall!$1:$1048576,MATCH(All!$A69,Fall!$A:$A,FALSE),MATCH(All!M$1,Fall!$1:$1,FALSE))="","",INDEX(Fall!$1:$1048576,MATCH(All!$A69,Fall!$A:$A,FALSE),MATCH(All!M$1,Fall!$1:$1,FALSE))),"")</f>
        <v>1A</v>
      </c>
      <c r="O69">
        <f>IFERROR(IF(INDEX(Winter!$1:$1048576,MATCH(All!$A69,Winter!$A:$A,FALSE),MATCH(All!O$1,Winter!$1:$1,FALSE))="","",INDEX(Winter!$1:$1048576,MATCH(All!$A69,Winter!$A:$A,FALSE),MATCH(All!O$1,Winter!$1:$1,FALSE))),"")</f>
        <v>184</v>
      </c>
      <c r="P69" t="str">
        <f>IFERROR(IF(INDEX(Winter!$1:$1048576,MATCH(All!$A69,Winter!$A:$A,FALSE),MATCH(All!P$1,Winter!$1:$1,FALSE))="","",INDEX(Winter!$1:$1048576,MATCH(All!$A69,Winter!$A:$A,FALSE),MATCH(All!P$1,Winter!$1:$1,FALSE))),"")</f>
        <v>1A</v>
      </c>
      <c r="Q69" t="str">
        <f>IFERROR(IF(INDEX(Winter!$1:$1048576,MATCH(All!$A69,Winter!$A:$A,FALSE),MATCH(All!Q$1,Winter!$1:$1,FALSE))="","",INDEX(Winter!$1:$1048576,MATCH(All!$A69,Winter!$A:$A,FALSE),MATCH(All!Q$1,Winter!$1:$1,FALSE))),"")</f>
        <v>1A</v>
      </c>
      <c r="R69" t="str">
        <f>IFERROR(IF(INDEX(Winter!$1:$1048576,MATCH(All!$A69,Winter!$A:$A,FALSE),MATCH(All!R$1,Winter!$1:$1,FALSE))="","",INDEX(Winter!$1:$1048576,MATCH(All!$A69,Winter!$A:$A,FALSE),MATCH(All!R$1,Winter!$1:$1,FALSE))),"")</f>
        <v>1A</v>
      </c>
      <c r="S69" t="str">
        <f>IFERROR(IF(INDEX(Winter!$1:$1048576,MATCH(All!$A69,Winter!$A:$A,FALSE),MATCH(All!S$1,Winter!$1:$1,FALSE))="","",INDEX(Winter!$1:$1048576,MATCH(All!$A69,Winter!$A:$A,FALSE),MATCH(All!S$1,Winter!$1:$1,FALSE))),"")</f>
        <v/>
      </c>
      <c r="T69" t="str">
        <f>IFERROR(IF(INDEX(Winter!$1:$1048576,MATCH(All!$A69,Winter!$A:$A,FALSE),MATCH(All!T$1,Winter!$1:$1,FALSE))="","",INDEX(Winter!$1:$1048576,MATCH(All!$A69,Winter!$A:$A,FALSE),MATCH(All!T$1,Winter!$1:$1,FALSE))),"")</f>
        <v>1A</v>
      </c>
      <c r="U69" t="str">
        <f>IFERROR(IF(INDEX(Winter!$1:$1048576,MATCH(All!$A69,Winter!$A:$A,FALSE),MATCH(All!U$1,Winter!$1:$1,FALSE))="","",INDEX(Winter!$1:$1048576,MATCH(All!$A69,Winter!$A:$A,FALSE),MATCH(All!U$1,Winter!$1:$1,FALSE))),"")</f>
        <v/>
      </c>
      <c r="W69">
        <f>IFERROR(IF(INDEX(Spring!$1:$1048576,MATCH(All!$A69,Spring!$A:$A,FALSE),MATCH(All!W$1,Spring!$1:$1,FALSE))="","",INDEX(Spring!$1:$1048576,MATCH(All!$A69,Spring!$A:$A,FALSE),MATCH(All!W$1,Spring!$1:$1,FALSE))),"")</f>
        <v>184</v>
      </c>
      <c r="X69" t="str">
        <f>IFERROR(IF(INDEX(Spring!$1:$1048576,MATCH(All!$A69,Spring!$A:$A,FALSE),MATCH(All!X$1,Spring!$1:$1,FALSE))="","",INDEX(Spring!$1:$1048576,MATCH(All!$A69,Spring!$A:$A,FALSE),MATCH(All!X$1,Spring!$1:$1,FALSE))),"")</f>
        <v>2A</v>
      </c>
      <c r="Y69" t="str">
        <f>IFERROR(IF(INDEX(Spring!$1:$1048576,MATCH(All!$A69,Spring!$A:$A,FALSE),MATCH(All!Y$1,Spring!$1:$1,FALSE))="","",INDEX(Spring!$1:$1048576,MATCH(All!$A69,Spring!$A:$A,FALSE),MATCH(All!Y$1,Spring!$1:$1,FALSE))),"")</f>
        <v>2A</v>
      </c>
      <c r="Z69" t="str">
        <f>IFERROR(IF(INDEX(Spring!$1:$1048576,MATCH(All!$A69,Spring!$A:$A,FALSE),MATCH(All!Z$1,Spring!$1:$1,FALSE))="","",INDEX(Spring!$1:$1048576,MATCH(All!$A69,Spring!$A:$A,FALSE),MATCH(All!Z$1,Spring!$1:$1,FALSE))),"")</f>
        <v/>
      </c>
      <c r="AA69" t="str">
        <f>IFERROR(IF(INDEX(Spring!$1:$1048576,MATCH(All!$A69,Spring!$A:$A,FALSE),MATCH(All!AA$1,Spring!$1:$1,FALSE))="","",INDEX(Spring!$1:$1048576,MATCH(All!$A69,Spring!$A:$A,FALSE),MATCH(All!AA$1,Spring!$1:$1,FALSE))),"")</f>
        <v/>
      </c>
      <c r="AB69" t="str">
        <f>IFERROR(IF(INDEX(Spring!$1:$1048576,MATCH(All!$A69,Spring!$A:$A,FALSE),MATCH(All!AB$1,Spring!$1:$1,FALSE))="","",INDEX(Spring!$1:$1048576,MATCH(All!$A69,Spring!$A:$A,FALSE),MATCH(All!AB$1,Spring!$1:$1,FALSE))),"")</f>
        <v/>
      </c>
      <c r="AC69" t="str">
        <f>IFERROR(IF(INDEX(Spring!$1:$1048576,MATCH(All!$A69,Spring!$A:$A,FALSE),MATCH(All!AC$1,Spring!$1:$1,FALSE))="","",INDEX(Spring!$1:$1048576,MATCH(All!$A69,Spring!$A:$A,FALSE),MATCH(All!AC$1,Spring!$1:$1,FALSE))),"")</f>
        <v/>
      </c>
      <c r="AD69" t="str">
        <f>IFERROR(VLOOKUP(A69,'Flag Football'!A:A,1,FALSE),"")</f>
        <v/>
      </c>
      <c r="AE69" t="str">
        <f t="shared" si="1"/>
        <v/>
      </c>
    </row>
    <row r="70" spans="1:31" ht="15.75" thickBot="1" x14ac:dyDescent="0.3">
      <c r="A70" s="20" t="s">
        <v>87</v>
      </c>
      <c r="B70" s="38">
        <f>IFERROR(VLOOKUP(A70,'Public v Private'!A:G,3,FALSE),"")</f>
        <v>0</v>
      </c>
      <c r="C70" s="38">
        <f>IFERROR(VLOOKUP(A70,'Public v Private'!A:G,4,FALSE),"")</f>
        <v>0</v>
      </c>
      <c r="D70" s="38">
        <f>IFERROR(VLOOKUP(A70,'Public v Private'!A:G,5,FALSE),"")</f>
        <v>0</v>
      </c>
      <c r="E70" s="38"/>
      <c r="F70" s="40">
        <f>IFERROR(INDEX(Fall!$1:$1048576,MATCH(All!$A70,Fall!$A:$A,FALSE),MATCH(All!F$1,Fall!$1:$1,FALSE)),"N/A")</f>
        <v>120</v>
      </c>
      <c r="G70" t="str">
        <f>IFERROR(IF(INDEX(Fall!$1:$1048576,MATCH(All!$A70,Fall!$A:$A,FALSE),MATCH(All!G$1,Fall!$1:$1,FALSE))="","",INDEX(Fall!$1:$1048576,MATCH(All!$A70,Fall!$A:$A,FALSE),MATCH(All!G$1,Fall!$1:$1,FALSE))),"")</f>
        <v>1A</v>
      </c>
      <c r="H70" t="str">
        <f>IFERROR(IF(INDEX(Fall!$1:$1048576,MATCH(All!$A70,Fall!$A:$A,FALSE),MATCH(All!H$1,Fall!$1:$1,FALSE))="","",INDEX(Fall!$1:$1048576,MATCH(All!$A70,Fall!$A:$A,FALSE),MATCH(All!H$1,Fall!$1:$1,FALSE))),"")</f>
        <v/>
      </c>
      <c r="I70" t="str">
        <f>IFERROR(IF(INDEX(Fall!$1:$1048576,MATCH(All!$A70,Fall!$A:$A,FALSE),MATCH(All!I$1,Fall!$1:$1,FALSE))="","",INDEX(Fall!$1:$1048576,MATCH(All!$A70,Fall!$A:$A,FALSE),MATCH(All!I$1,Fall!$1:$1,FALSE))),"")</f>
        <v>1A</v>
      </c>
      <c r="J70" t="str">
        <f>IFERROR(IF(INDEX(Fall!$1:$1048576,MATCH(All!$A70,Fall!$A:$A,FALSE),MATCH(All!J$1,Fall!$1:$1,FALSE))="","",INDEX(Fall!$1:$1048576,MATCH(All!$A70,Fall!$A:$A,FALSE),MATCH(All!J$1,Fall!$1:$1,FALSE))),"")</f>
        <v/>
      </c>
      <c r="K70" t="str">
        <f>IFERROR(IF(INDEX(Fall!$1:$1048576,MATCH(All!$A70,Fall!$A:$A,FALSE),MATCH(All!K$1,Fall!$1:$1,FALSE))="","",INDEX(Fall!$1:$1048576,MATCH(All!$A70,Fall!$A:$A,FALSE),MATCH(All!K$1,Fall!$1:$1,FALSE))),"")</f>
        <v/>
      </c>
      <c r="L70" t="str">
        <f>IFERROR(IF(INDEX(Fall!$1:$1048576,MATCH(All!$A70,Fall!$A:$A,FALSE),MATCH(All!L$1,Fall!$1:$1,FALSE))="","",INDEX(Fall!$1:$1048576,MATCH(All!$A70,Fall!$A:$A,FALSE),MATCH(All!L$1,Fall!$1:$1,FALSE))),"")</f>
        <v/>
      </c>
      <c r="M70" t="str">
        <f>IFERROR(IF(INDEX(Fall!$1:$1048576,MATCH(All!$A70,Fall!$A:$A,FALSE),MATCH(All!M$1,Fall!$1:$1,FALSE))="","",INDEX(Fall!$1:$1048576,MATCH(All!$A70,Fall!$A:$A,FALSE),MATCH(All!M$1,Fall!$1:$1,FALSE))),"")</f>
        <v>1A</v>
      </c>
      <c r="O70">
        <f>IFERROR(IF(INDEX(Winter!$1:$1048576,MATCH(All!$A70,Winter!$A:$A,FALSE),MATCH(All!O$1,Winter!$1:$1,FALSE))="","",INDEX(Winter!$1:$1048576,MATCH(All!$A70,Winter!$A:$A,FALSE),MATCH(All!O$1,Winter!$1:$1,FALSE))),"")</f>
        <v>120</v>
      </c>
      <c r="P70" t="str">
        <f>IFERROR(IF(INDEX(Winter!$1:$1048576,MATCH(All!$A70,Winter!$A:$A,FALSE),MATCH(All!P$1,Winter!$1:$1,FALSE))="","",INDEX(Winter!$1:$1048576,MATCH(All!$A70,Winter!$A:$A,FALSE),MATCH(All!P$1,Winter!$1:$1,FALSE))),"")</f>
        <v>1A</v>
      </c>
      <c r="Q70" t="str">
        <f>IFERROR(IF(INDEX(Winter!$1:$1048576,MATCH(All!$A70,Winter!$A:$A,FALSE),MATCH(All!Q$1,Winter!$1:$1,FALSE))="","",INDEX(Winter!$1:$1048576,MATCH(All!$A70,Winter!$A:$A,FALSE),MATCH(All!Q$1,Winter!$1:$1,FALSE))),"")</f>
        <v>1A</v>
      </c>
      <c r="R70" t="str">
        <f>IFERROR(IF(INDEX(Winter!$1:$1048576,MATCH(All!$A70,Winter!$A:$A,FALSE),MATCH(All!R$1,Winter!$1:$1,FALSE))="","",INDEX(Winter!$1:$1048576,MATCH(All!$A70,Winter!$A:$A,FALSE),MATCH(All!R$1,Winter!$1:$1,FALSE))),"")</f>
        <v/>
      </c>
      <c r="S70" t="str">
        <f>IFERROR(IF(INDEX(Winter!$1:$1048576,MATCH(All!$A70,Winter!$A:$A,FALSE),MATCH(All!S$1,Winter!$1:$1,FALSE))="","",INDEX(Winter!$1:$1048576,MATCH(All!$A70,Winter!$A:$A,FALSE),MATCH(All!S$1,Winter!$1:$1,FALSE))),"")</f>
        <v/>
      </c>
      <c r="T70" t="str">
        <f>IFERROR(IF(INDEX(Winter!$1:$1048576,MATCH(All!$A70,Winter!$A:$A,FALSE),MATCH(All!T$1,Winter!$1:$1,FALSE))="","",INDEX(Winter!$1:$1048576,MATCH(All!$A70,Winter!$A:$A,FALSE),MATCH(All!T$1,Winter!$1:$1,FALSE))),"")</f>
        <v>1A</v>
      </c>
      <c r="U70" t="str">
        <f>IFERROR(IF(INDEX(Winter!$1:$1048576,MATCH(All!$A70,Winter!$A:$A,FALSE),MATCH(All!U$1,Winter!$1:$1,FALSE))="","",INDEX(Winter!$1:$1048576,MATCH(All!$A70,Winter!$A:$A,FALSE),MATCH(All!U$1,Winter!$1:$1,FALSE))),"")</f>
        <v/>
      </c>
      <c r="W70">
        <f>IFERROR(IF(INDEX(Spring!$1:$1048576,MATCH(All!$A70,Spring!$A:$A,FALSE),MATCH(All!W$1,Spring!$1:$1,FALSE))="","",INDEX(Spring!$1:$1048576,MATCH(All!$A70,Spring!$A:$A,FALSE),MATCH(All!W$1,Spring!$1:$1,FALSE))),"")</f>
        <v>120</v>
      </c>
      <c r="X70" t="str">
        <f>IFERROR(IF(INDEX(Spring!$1:$1048576,MATCH(All!$A70,Spring!$A:$A,FALSE),MATCH(All!X$1,Spring!$1:$1,FALSE))="","",INDEX(Spring!$1:$1048576,MATCH(All!$A70,Spring!$A:$A,FALSE),MATCH(All!X$1,Spring!$1:$1,FALSE))),"")</f>
        <v>1A</v>
      </c>
      <c r="Y70" t="str">
        <f>IFERROR(IF(INDEX(Spring!$1:$1048576,MATCH(All!$A70,Spring!$A:$A,FALSE),MATCH(All!Y$1,Spring!$1:$1,FALSE))="","",INDEX(Spring!$1:$1048576,MATCH(All!$A70,Spring!$A:$A,FALSE),MATCH(All!Y$1,Spring!$1:$1,FALSE))),"")</f>
        <v>1A</v>
      </c>
      <c r="Z70" t="str">
        <f>IFERROR(IF(INDEX(Spring!$1:$1048576,MATCH(All!$A70,Spring!$A:$A,FALSE),MATCH(All!Z$1,Spring!$1:$1,FALSE))="","",INDEX(Spring!$1:$1048576,MATCH(All!$A70,Spring!$A:$A,FALSE),MATCH(All!Z$1,Spring!$1:$1,FALSE))),"")</f>
        <v/>
      </c>
      <c r="AA70" t="str">
        <f>IFERROR(IF(INDEX(Spring!$1:$1048576,MATCH(All!$A70,Spring!$A:$A,FALSE),MATCH(All!AA$1,Spring!$1:$1,FALSE))="","",INDEX(Spring!$1:$1048576,MATCH(All!$A70,Spring!$A:$A,FALSE),MATCH(All!AA$1,Spring!$1:$1,FALSE))),"")</f>
        <v/>
      </c>
      <c r="AB70" t="str">
        <f>IFERROR(IF(INDEX(Spring!$1:$1048576,MATCH(All!$A70,Spring!$A:$A,FALSE),MATCH(All!AB$1,Spring!$1:$1,FALSE))="","",INDEX(Spring!$1:$1048576,MATCH(All!$A70,Spring!$A:$A,FALSE),MATCH(All!AB$1,Spring!$1:$1,FALSE))),"")</f>
        <v>1A</v>
      </c>
      <c r="AC70" t="str">
        <f>IFERROR(IF(INDEX(Spring!$1:$1048576,MATCH(All!$A70,Spring!$A:$A,FALSE),MATCH(All!AC$1,Spring!$1:$1,FALSE))="","",INDEX(Spring!$1:$1048576,MATCH(All!$A70,Spring!$A:$A,FALSE),MATCH(All!AC$1,Spring!$1:$1,FALSE))),"")</f>
        <v>1A</v>
      </c>
      <c r="AD70" t="str">
        <f>IFERROR(VLOOKUP(A70,'Flag Football'!A:A,1,FALSE),"")</f>
        <v/>
      </c>
      <c r="AE70" t="str">
        <f t="shared" si="1"/>
        <v/>
      </c>
    </row>
    <row r="71" spans="1:31" ht="15.75" thickBot="1" x14ac:dyDescent="0.3">
      <c r="A71" s="20" t="s">
        <v>88</v>
      </c>
      <c r="B71" s="38">
        <f>IFERROR(VLOOKUP(A71,'Public v Private'!A:G,3,FALSE),"")</f>
        <v>0</v>
      </c>
      <c r="C71" s="38">
        <f>IFERROR(VLOOKUP(A71,'Public v Private'!A:G,4,FALSE),"")</f>
        <v>0</v>
      </c>
      <c r="D71" s="38">
        <f>IFERROR(VLOOKUP(A71,'Public v Private'!A:G,5,FALSE),"")</f>
        <v>0</v>
      </c>
      <c r="E71" s="38"/>
      <c r="F71" s="40" t="str">
        <f>IFERROR(INDEX(Fall!$1:$1048576,MATCH(All!$A71,Fall!$A:$A,FALSE),MATCH(All!F$1,Fall!$1:$1,FALSE)),"N/A")</f>
        <v>N/A</v>
      </c>
      <c r="G71" t="str">
        <f>IFERROR(IF(INDEX(Fall!$1:$1048576,MATCH(All!$A71,Fall!$A:$A,FALSE),MATCH(All!G$1,Fall!$1:$1,FALSE))="","",INDEX(Fall!$1:$1048576,MATCH(All!$A71,Fall!$A:$A,FALSE),MATCH(All!G$1,Fall!$1:$1,FALSE))),"")</f>
        <v/>
      </c>
      <c r="H71" t="str">
        <f>IFERROR(IF(INDEX(Fall!$1:$1048576,MATCH(All!$A71,Fall!$A:$A,FALSE),MATCH(All!H$1,Fall!$1:$1,FALSE))="","",INDEX(Fall!$1:$1048576,MATCH(All!$A71,Fall!$A:$A,FALSE),MATCH(All!H$1,Fall!$1:$1,FALSE))),"")</f>
        <v/>
      </c>
      <c r="I71" t="str">
        <f>IFERROR(IF(INDEX(Fall!$1:$1048576,MATCH(All!$A71,Fall!$A:$A,FALSE),MATCH(All!I$1,Fall!$1:$1,FALSE))="","",INDEX(Fall!$1:$1048576,MATCH(All!$A71,Fall!$A:$A,FALSE),MATCH(All!I$1,Fall!$1:$1,FALSE))),"")</f>
        <v/>
      </c>
      <c r="J71" t="str">
        <f>IFERROR(IF(INDEX(Fall!$1:$1048576,MATCH(All!$A71,Fall!$A:$A,FALSE),MATCH(All!J$1,Fall!$1:$1,FALSE))="","",INDEX(Fall!$1:$1048576,MATCH(All!$A71,Fall!$A:$A,FALSE),MATCH(All!J$1,Fall!$1:$1,FALSE))),"")</f>
        <v/>
      </c>
      <c r="K71" t="str">
        <f>IFERROR(IF(INDEX(Fall!$1:$1048576,MATCH(All!$A71,Fall!$A:$A,FALSE),MATCH(All!K$1,Fall!$1:$1,FALSE))="","",INDEX(Fall!$1:$1048576,MATCH(All!$A71,Fall!$A:$A,FALSE),MATCH(All!K$1,Fall!$1:$1,FALSE))),"")</f>
        <v/>
      </c>
      <c r="L71" t="str">
        <f>IFERROR(IF(INDEX(Fall!$1:$1048576,MATCH(All!$A71,Fall!$A:$A,FALSE),MATCH(All!L$1,Fall!$1:$1,FALSE))="","",INDEX(Fall!$1:$1048576,MATCH(All!$A71,Fall!$A:$A,FALSE),MATCH(All!L$1,Fall!$1:$1,FALSE))),"")</f>
        <v/>
      </c>
      <c r="M71" t="str">
        <f>IFERROR(IF(INDEX(Fall!$1:$1048576,MATCH(All!$A71,Fall!$A:$A,FALSE),MATCH(All!M$1,Fall!$1:$1,FALSE))="","",INDEX(Fall!$1:$1048576,MATCH(All!$A71,Fall!$A:$A,FALSE),MATCH(All!M$1,Fall!$1:$1,FALSE))),"")</f>
        <v/>
      </c>
      <c r="O71">
        <f>IFERROR(IF(INDEX(Winter!$1:$1048576,MATCH(All!$A71,Winter!$A:$A,FALSE),MATCH(All!O$1,Winter!$1:$1,FALSE))="","",INDEX(Winter!$1:$1048576,MATCH(All!$A71,Winter!$A:$A,FALSE),MATCH(All!O$1,Winter!$1:$1,FALSE))),"")</f>
        <v>94</v>
      </c>
      <c r="P71" t="str">
        <f>IFERROR(IF(INDEX(Winter!$1:$1048576,MATCH(All!$A71,Winter!$A:$A,FALSE),MATCH(All!P$1,Winter!$1:$1,FALSE))="","",INDEX(Winter!$1:$1048576,MATCH(All!$A71,Winter!$A:$A,FALSE),MATCH(All!P$1,Winter!$1:$1,FALSE))),"")</f>
        <v/>
      </c>
      <c r="Q71" t="str">
        <f>IFERROR(IF(INDEX(Winter!$1:$1048576,MATCH(All!$A71,Winter!$A:$A,FALSE),MATCH(All!Q$1,Winter!$1:$1,FALSE))="","",INDEX(Winter!$1:$1048576,MATCH(All!$A71,Winter!$A:$A,FALSE),MATCH(All!Q$1,Winter!$1:$1,FALSE))),"")</f>
        <v>1A</v>
      </c>
      <c r="R71" t="str">
        <f>IFERROR(IF(INDEX(Winter!$1:$1048576,MATCH(All!$A71,Winter!$A:$A,FALSE),MATCH(All!R$1,Winter!$1:$1,FALSE))="","",INDEX(Winter!$1:$1048576,MATCH(All!$A71,Winter!$A:$A,FALSE),MATCH(All!R$1,Winter!$1:$1,FALSE))),"")</f>
        <v/>
      </c>
      <c r="S71" t="str">
        <f>IFERROR(IF(INDEX(Winter!$1:$1048576,MATCH(All!$A71,Winter!$A:$A,FALSE),MATCH(All!S$1,Winter!$1:$1,FALSE))="","",INDEX(Winter!$1:$1048576,MATCH(All!$A71,Winter!$A:$A,FALSE),MATCH(All!S$1,Winter!$1:$1,FALSE))),"")</f>
        <v/>
      </c>
      <c r="T71" t="str">
        <f>IFERROR(IF(INDEX(Winter!$1:$1048576,MATCH(All!$A71,Winter!$A:$A,FALSE),MATCH(All!T$1,Winter!$1:$1,FALSE))="","",INDEX(Winter!$1:$1048576,MATCH(All!$A71,Winter!$A:$A,FALSE),MATCH(All!T$1,Winter!$1:$1,FALSE))),"")</f>
        <v/>
      </c>
      <c r="U71" t="str">
        <f>IFERROR(IF(INDEX(Winter!$1:$1048576,MATCH(All!$A71,Winter!$A:$A,FALSE),MATCH(All!U$1,Winter!$1:$1,FALSE))="","",INDEX(Winter!$1:$1048576,MATCH(All!$A71,Winter!$A:$A,FALSE),MATCH(All!U$1,Winter!$1:$1,FALSE))),"")</f>
        <v/>
      </c>
      <c r="W71">
        <f>IFERROR(IF(INDEX(Spring!$1:$1048576,MATCH(All!$A71,Spring!$A:$A,FALSE),MATCH(All!W$1,Spring!$1:$1,FALSE))="","",INDEX(Spring!$1:$1048576,MATCH(All!$A71,Spring!$A:$A,FALSE),MATCH(All!W$1,Spring!$1:$1,FALSE))),"")</f>
        <v>94</v>
      </c>
      <c r="X71" t="str">
        <f>IFERROR(IF(INDEX(Spring!$1:$1048576,MATCH(All!$A71,Spring!$A:$A,FALSE),MATCH(All!X$1,Spring!$1:$1,FALSE))="","",INDEX(Spring!$1:$1048576,MATCH(All!$A71,Spring!$A:$A,FALSE),MATCH(All!X$1,Spring!$1:$1,FALSE))),"")</f>
        <v>1A</v>
      </c>
      <c r="Y71" t="str">
        <f>IFERROR(IF(INDEX(Spring!$1:$1048576,MATCH(All!$A71,Spring!$A:$A,FALSE),MATCH(All!Y$1,Spring!$1:$1,FALSE))="","",INDEX(Spring!$1:$1048576,MATCH(All!$A71,Spring!$A:$A,FALSE),MATCH(All!Y$1,Spring!$1:$1,FALSE))),"")</f>
        <v/>
      </c>
      <c r="Z71" t="str">
        <f>IFERROR(IF(INDEX(Spring!$1:$1048576,MATCH(All!$A71,Spring!$A:$A,FALSE),MATCH(All!Z$1,Spring!$1:$1,FALSE))="","",INDEX(Spring!$1:$1048576,MATCH(All!$A71,Spring!$A:$A,FALSE),MATCH(All!Z$1,Spring!$1:$1,FALSE))),"")</f>
        <v/>
      </c>
      <c r="AA71" t="str">
        <f>IFERROR(IF(INDEX(Spring!$1:$1048576,MATCH(All!$A71,Spring!$A:$A,FALSE),MATCH(All!AA$1,Spring!$1:$1,FALSE))="","",INDEX(Spring!$1:$1048576,MATCH(All!$A71,Spring!$A:$A,FALSE),MATCH(All!AA$1,Spring!$1:$1,FALSE))),"")</f>
        <v/>
      </c>
      <c r="AB71" t="str">
        <f>IFERROR(IF(INDEX(Spring!$1:$1048576,MATCH(All!$A71,Spring!$A:$A,FALSE),MATCH(All!AB$1,Spring!$1:$1,FALSE))="","",INDEX(Spring!$1:$1048576,MATCH(All!$A71,Spring!$A:$A,FALSE),MATCH(All!AB$1,Spring!$1:$1,FALSE))),"")</f>
        <v>1A</v>
      </c>
      <c r="AC71" t="str">
        <f>IFERROR(IF(INDEX(Spring!$1:$1048576,MATCH(All!$A71,Spring!$A:$A,FALSE),MATCH(All!AC$1,Spring!$1:$1,FALSE))="","",INDEX(Spring!$1:$1048576,MATCH(All!$A71,Spring!$A:$A,FALSE),MATCH(All!AC$1,Spring!$1:$1,FALSE))),"")</f>
        <v>1A</v>
      </c>
      <c r="AD71" t="str">
        <f>IFERROR(VLOOKUP(A71,'Flag Football'!A:A,1,FALSE),"")</f>
        <v/>
      </c>
      <c r="AE71" t="str">
        <f t="shared" si="1"/>
        <v/>
      </c>
    </row>
    <row r="72" spans="1:31" ht="15.75" thickBot="1" x14ac:dyDescent="0.3">
      <c r="A72" s="18" t="s">
        <v>909</v>
      </c>
      <c r="B72" s="38">
        <f>IFERROR(VLOOKUP(A72,'Public v Private'!A:G,3,FALSE),"")</f>
        <v>0</v>
      </c>
      <c r="C72" s="38">
        <f>IFERROR(VLOOKUP(A72,'Public v Private'!A:G,4,FALSE),"")</f>
        <v>0</v>
      </c>
      <c r="D72" s="38">
        <f>IFERROR(VLOOKUP(A72,'Public v Private'!A:G,5,FALSE),"")</f>
        <v>0</v>
      </c>
      <c r="E72" s="38"/>
      <c r="F72" s="40">
        <f>IFERROR(INDEX(Fall!$1:$1048576,MATCH(All!$A72,Fall!$A:$A,FALSE),MATCH(All!F$1,Fall!$1:$1,FALSE)),"N/A")</f>
        <v>40</v>
      </c>
      <c r="G72" t="str">
        <f>IFERROR(IF(INDEX(Fall!$1:$1048576,MATCH(All!$A72,Fall!$A:$A,FALSE),MATCH(All!G$1,Fall!$1:$1,FALSE))="","",INDEX(Fall!$1:$1048576,MATCH(All!$A72,Fall!$A:$A,FALSE),MATCH(All!G$1,Fall!$1:$1,FALSE))),"")</f>
        <v/>
      </c>
      <c r="H72" t="str">
        <f>IFERROR(IF(INDEX(Fall!$1:$1048576,MATCH(All!$A72,Fall!$A:$A,FALSE),MATCH(All!H$1,Fall!$1:$1,FALSE))="","",INDEX(Fall!$1:$1048576,MATCH(All!$A72,Fall!$A:$A,FALSE),MATCH(All!H$1,Fall!$1:$1,FALSE))),"")</f>
        <v/>
      </c>
      <c r="I72" t="str">
        <f>IFERROR(IF(INDEX(Fall!$1:$1048576,MATCH(All!$A72,Fall!$A:$A,FALSE),MATCH(All!I$1,Fall!$1:$1,FALSE))="","",INDEX(Fall!$1:$1048576,MATCH(All!$A72,Fall!$A:$A,FALSE),MATCH(All!I$1,Fall!$1:$1,FALSE))),"")</f>
        <v>1A</v>
      </c>
      <c r="J72" t="str">
        <f>IFERROR(IF(INDEX(Fall!$1:$1048576,MATCH(All!$A72,Fall!$A:$A,FALSE),MATCH(All!J$1,Fall!$1:$1,FALSE))="","",INDEX(Fall!$1:$1048576,MATCH(All!$A72,Fall!$A:$A,FALSE),MATCH(All!J$1,Fall!$1:$1,FALSE))),"")</f>
        <v/>
      </c>
      <c r="K72" t="str">
        <f>IFERROR(IF(INDEX(Fall!$1:$1048576,MATCH(All!$A72,Fall!$A:$A,FALSE),MATCH(All!K$1,Fall!$1:$1,FALSE))="","",INDEX(Fall!$1:$1048576,MATCH(All!$A72,Fall!$A:$A,FALSE),MATCH(All!K$1,Fall!$1:$1,FALSE))),"")</f>
        <v/>
      </c>
      <c r="L72" t="str">
        <f>IFERROR(IF(INDEX(Fall!$1:$1048576,MATCH(All!$A72,Fall!$A:$A,FALSE),MATCH(All!L$1,Fall!$1:$1,FALSE))="","",INDEX(Fall!$1:$1048576,MATCH(All!$A72,Fall!$A:$A,FALSE),MATCH(All!L$1,Fall!$1:$1,FALSE))),"")</f>
        <v/>
      </c>
      <c r="M72" t="str">
        <f>IFERROR(IF(INDEX(Fall!$1:$1048576,MATCH(All!$A72,Fall!$A:$A,FALSE),MATCH(All!M$1,Fall!$1:$1,FALSE))="","",INDEX(Fall!$1:$1048576,MATCH(All!$A72,Fall!$A:$A,FALSE),MATCH(All!M$1,Fall!$1:$1,FALSE))),"")</f>
        <v/>
      </c>
      <c r="O72">
        <f>IFERROR(IF(INDEX(Winter!$1:$1048576,MATCH(All!$A72,Winter!$A:$A,FALSE),MATCH(All!O$1,Winter!$1:$1,FALSE))="","",INDEX(Winter!$1:$1048576,MATCH(All!$A72,Winter!$A:$A,FALSE),MATCH(All!O$1,Winter!$1:$1,FALSE))),"")</f>
        <v>40</v>
      </c>
      <c r="P72" t="str">
        <f>IFERROR(IF(INDEX(Winter!$1:$1048576,MATCH(All!$A72,Winter!$A:$A,FALSE),MATCH(All!P$1,Winter!$1:$1,FALSE))="","",INDEX(Winter!$1:$1048576,MATCH(All!$A72,Winter!$A:$A,FALSE),MATCH(All!P$1,Winter!$1:$1,FALSE))),"")</f>
        <v/>
      </c>
      <c r="Q72" t="str">
        <f>IFERROR(IF(INDEX(Winter!$1:$1048576,MATCH(All!$A72,Winter!$A:$A,FALSE),MATCH(All!Q$1,Winter!$1:$1,FALSE))="","",INDEX(Winter!$1:$1048576,MATCH(All!$A72,Winter!$A:$A,FALSE),MATCH(All!Q$1,Winter!$1:$1,FALSE))),"")</f>
        <v/>
      </c>
      <c r="R72" t="str">
        <f>IFERROR(IF(INDEX(Winter!$1:$1048576,MATCH(All!$A72,Winter!$A:$A,FALSE),MATCH(All!R$1,Winter!$1:$1,FALSE))="","",INDEX(Winter!$1:$1048576,MATCH(All!$A72,Winter!$A:$A,FALSE),MATCH(All!R$1,Winter!$1:$1,FALSE))),"")</f>
        <v/>
      </c>
      <c r="S72" t="str">
        <f>IFERROR(IF(INDEX(Winter!$1:$1048576,MATCH(All!$A72,Winter!$A:$A,FALSE),MATCH(All!S$1,Winter!$1:$1,FALSE))="","",INDEX(Winter!$1:$1048576,MATCH(All!$A72,Winter!$A:$A,FALSE),MATCH(All!S$1,Winter!$1:$1,FALSE))),"")</f>
        <v/>
      </c>
      <c r="T72" t="str">
        <f>IFERROR(IF(INDEX(Winter!$1:$1048576,MATCH(All!$A72,Winter!$A:$A,FALSE),MATCH(All!T$1,Winter!$1:$1,FALSE))="","",INDEX(Winter!$1:$1048576,MATCH(All!$A72,Winter!$A:$A,FALSE),MATCH(All!T$1,Winter!$1:$1,FALSE))),"")</f>
        <v>1A</v>
      </c>
      <c r="U72" t="str">
        <f>IFERROR(IF(INDEX(Winter!$1:$1048576,MATCH(All!$A72,Winter!$A:$A,FALSE),MATCH(All!U$1,Winter!$1:$1,FALSE))="","",INDEX(Winter!$1:$1048576,MATCH(All!$A72,Winter!$A:$A,FALSE),MATCH(All!U$1,Winter!$1:$1,FALSE))),"")</f>
        <v/>
      </c>
      <c r="W72" t="str">
        <f>IFERROR(IF(INDEX(Spring!$1:$1048576,MATCH(All!$A72,Spring!$A:$A,FALSE),MATCH(All!W$1,Spring!$1:$1,FALSE))="","",INDEX(Spring!$1:$1048576,MATCH(All!$A72,Spring!$A:$A,FALSE),MATCH(All!W$1,Spring!$1:$1,FALSE))),"")</f>
        <v/>
      </c>
      <c r="X72" t="str">
        <f>IFERROR(IF(INDEX(Spring!$1:$1048576,MATCH(All!$A72,Spring!$A:$A,FALSE),MATCH(All!X$1,Spring!$1:$1,FALSE))="","",INDEX(Spring!$1:$1048576,MATCH(All!$A72,Spring!$A:$A,FALSE),MATCH(All!X$1,Spring!$1:$1,FALSE))),"")</f>
        <v/>
      </c>
      <c r="Y72" t="str">
        <f>IFERROR(IF(INDEX(Spring!$1:$1048576,MATCH(All!$A72,Spring!$A:$A,FALSE),MATCH(All!Y$1,Spring!$1:$1,FALSE))="","",INDEX(Spring!$1:$1048576,MATCH(All!$A72,Spring!$A:$A,FALSE),MATCH(All!Y$1,Spring!$1:$1,FALSE))),"")</f>
        <v/>
      </c>
      <c r="Z72" t="str">
        <f>IFERROR(IF(INDEX(Spring!$1:$1048576,MATCH(All!$A72,Spring!$A:$A,FALSE),MATCH(All!Z$1,Spring!$1:$1,FALSE))="","",INDEX(Spring!$1:$1048576,MATCH(All!$A72,Spring!$A:$A,FALSE),MATCH(All!Z$1,Spring!$1:$1,FALSE))),"")</f>
        <v/>
      </c>
      <c r="AA72" t="str">
        <f>IFERROR(IF(INDEX(Spring!$1:$1048576,MATCH(All!$A72,Spring!$A:$A,FALSE),MATCH(All!AA$1,Spring!$1:$1,FALSE))="","",INDEX(Spring!$1:$1048576,MATCH(All!$A72,Spring!$A:$A,FALSE),MATCH(All!AA$1,Spring!$1:$1,FALSE))),"")</f>
        <v/>
      </c>
      <c r="AB72" t="str">
        <f>IFERROR(IF(INDEX(Spring!$1:$1048576,MATCH(All!$A72,Spring!$A:$A,FALSE),MATCH(All!AB$1,Spring!$1:$1,FALSE))="","",INDEX(Spring!$1:$1048576,MATCH(All!$A72,Spring!$A:$A,FALSE),MATCH(All!AB$1,Spring!$1:$1,FALSE))),"")</f>
        <v/>
      </c>
      <c r="AC72" t="str">
        <f>IFERROR(IF(INDEX(Spring!$1:$1048576,MATCH(All!$A72,Spring!$A:$A,FALSE),MATCH(All!AC$1,Spring!$1:$1,FALSE))="","",INDEX(Spring!$1:$1048576,MATCH(All!$A72,Spring!$A:$A,FALSE),MATCH(All!AC$1,Spring!$1:$1,FALSE))),"")</f>
        <v/>
      </c>
      <c r="AD72" t="str">
        <f>IFERROR(VLOOKUP(A72,'Flag Football'!A:A,1,FALSE),"")</f>
        <v/>
      </c>
      <c r="AE72" t="str">
        <f t="shared" si="1"/>
        <v/>
      </c>
    </row>
    <row r="73" spans="1:31" ht="15.75" thickBot="1" x14ac:dyDescent="0.3">
      <c r="A73" s="20" t="s">
        <v>89</v>
      </c>
      <c r="B73" s="38" t="str">
        <f>IFERROR(VLOOKUP(A73,'Public v Private'!A:G,3,FALSE),"")</f>
        <v>private</v>
      </c>
      <c r="C73" s="38">
        <f>IFERROR(VLOOKUP(A73,'Public v Private'!A:G,4,FALSE),"")</f>
        <v>5</v>
      </c>
      <c r="D73" s="38">
        <f>IFERROR(VLOOKUP(A73,'Public v Private'!A:G,5,FALSE),"")</f>
        <v>13</v>
      </c>
      <c r="E73" s="38"/>
      <c r="F73" s="40" t="str">
        <f>IFERROR(INDEX(Fall!$1:$1048576,MATCH(All!$A73,Fall!$A:$A,FALSE),MATCH(All!F$1,Fall!$1:$1,FALSE)),"N/A")</f>
        <v>N/A</v>
      </c>
      <c r="G73" t="str">
        <f>IFERROR(IF(INDEX(Fall!$1:$1048576,MATCH(All!$A73,Fall!$A:$A,FALSE),MATCH(All!G$1,Fall!$1:$1,FALSE))="","",INDEX(Fall!$1:$1048576,MATCH(All!$A73,Fall!$A:$A,FALSE),MATCH(All!G$1,Fall!$1:$1,FALSE))),"")</f>
        <v/>
      </c>
      <c r="H73" t="str">
        <f>IFERROR(IF(INDEX(Fall!$1:$1048576,MATCH(All!$A73,Fall!$A:$A,FALSE),MATCH(All!H$1,Fall!$1:$1,FALSE))="","",INDEX(Fall!$1:$1048576,MATCH(All!$A73,Fall!$A:$A,FALSE),MATCH(All!H$1,Fall!$1:$1,FALSE))),"")</f>
        <v/>
      </c>
      <c r="I73" t="str">
        <f>IFERROR(IF(INDEX(Fall!$1:$1048576,MATCH(All!$A73,Fall!$A:$A,FALSE),MATCH(All!I$1,Fall!$1:$1,FALSE))="","",INDEX(Fall!$1:$1048576,MATCH(All!$A73,Fall!$A:$A,FALSE),MATCH(All!I$1,Fall!$1:$1,FALSE))),"")</f>
        <v/>
      </c>
      <c r="J73" t="str">
        <f>IFERROR(IF(INDEX(Fall!$1:$1048576,MATCH(All!$A73,Fall!$A:$A,FALSE),MATCH(All!J$1,Fall!$1:$1,FALSE))="","",INDEX(Fall!$1:$1048576,MATCH(All!$A73,Fall!$A:$A,FALSE),MATCH(All!J$1,Fall!$1:$1,FALSE))),"")</f>
        <v/>
      </c>
      <c r="K73" t="str">
        <f>IFERROR(IF(INDEX(Fall!$1:$1048576,MATCH(All!$A73,Fall!$A:$A,FALSE),MATCH(All!K$1,Fall!$1:$1,FALSE))="","",INDEX(Fall!$1:$1048576,MATCH(All!$A73,Fall!$A:$A,FALSE),MATCH(All!K$1,Fall!$1:$1,FALSE))),"")</f>
        <v/>
      </c>
      <c r="L73" t="str">
        <f>IFERROR(IF(INDEX(Fall!$1:$1048576,MATCH(All!$A73,Fall!$A:$A,FALSE),MATCH(All!L$1,Fall!$1:$1,FALSE))="","",INDEX(Fall!$1:$1048576,MATCH(All!$A73,Fall!$A:$A,FALSE),MATCH(All!L$1,Fall!$1:$1,FALSE))),"")</f>
        <v/>
      </c>
      <c r="M73" t="str">
        <f>IFERROR(IF(INDEX(Fall!$1:$1048576,MATCH(All!$A73,Fall!$A:$A,FALSE),MATCH(All!M$1,Fall!$1:$1,FALSE))="","",INDEX(Fall!$1:$1048576,MATCH(All!$A73,Fall!$A:$A,FALSE),MATCH(All!M$1,Fall!$1:$1,FALSE))),"")</f>
        <v/>
      </c>
      <c r="O73" t="str">
        <f>IFERROR(IF(INDEX(Winter!$1:$1048576,MATCH(All!$A73,Winter!$A:$A,FALSE),MATCH(All!O$1,Winter!$1:$1,FALSE))="","",INDEX(Winter!$1:$1048576,MATCH(All!$A73,Winter!$A:$A,FALSE),MATCH(All!O$1,Winter!$1:$1,FALSE))),"")</f>
        <v>13.00 (21.45)</v>
      </c>
      <c r="P73" t="str">
        <f>IFERROR(IF(INDEX(Winter!$1:$1048576,MATCH(All!$A73,Winter!$A:$A,FALSE),MATCH(All!P$1,Winter!$1:$1,FALSE))="","",INDEX(Winter!$1:$1048576,MATCH(All!$A73,Winter!$A:$A,FALSE),MATCH(All!P$1,Winter!$1:$1,FALSE))),"")</f>
        <v/>
      </c>
      <c r="Q73" t="str">
        <f>IFERROR(IF(INDEX(Winter!$1:$1048576,MATCH(All!$A73,Winter!$A:$A,FALSE),MATCH(All!Q$1,Winter!$1:$1,FALSE))="","",INDEX(Winter!$1:$1048576,MATCH(All!$A73,Winter!$A:$A,FALSE),MATCH(All!Q$1,Winter!$1:$1,FALSE))),"")</f>
        <v/>
      </c>
      <c r="R73" t="str">
        <f>IFERROR(IF(INDEX(Winter!$1:$1048576,MATCH(All!$A73,Winter!$A:$A,FALSE),MATCH(All!R$1,Winter!$1:$1,FALSE))="","",INDEX(Winter!$1:$1048576,MATCH(All!$A73,Winter!$A:$A,FALSE),MATCH(All!R$1,Winter!$1:$1,FALSE))),"")</f>
        <v/>
      </c>
      <c r="S73" t="str">
        <f>IFERROR(IF(INDEX(Winter!$1:$1048576,MATCH(All!$A73,Winter!$A:$A,FALSE),MATCH(All!S$1,Winter!$1:$1,FALSE))="","",INDEX(Winter!$1:$1048576,MATCH(All!$A73,Winter!$A:$A,FALSE),MATCH(All!S$1,Winter!$1:$1,FALSE))),"")</f>
        <v/>
      </c>
      <c r="T73" t="str">
        <f>IFERROR(IF(INDEX(Winter!$1:$1048576,MATCH(All!$A73,Winter!$A:$A,FALSE),MATCH(All!T$1,Winter!$1:$1,FALSE))="","",INDEX(Winter!$1:$1048576,MATCH(All!$A73,Winter!$A:$A,FALSE),MATCH(All!T$1,Winter!$1:$1,FALSE))),"")</f>
        <v>1A</v>
      </c>
      <c r="U73" t="str">
        <f>IFERROR(IF(INDEX(Winter!$1:$1048576,MATCH(All!$A73,Winter!$A:$A,FALSE),MATCH(All!U$1,Winter!$1:$1,FALSE))="","",INDEX(Winter!$1:$1048576,MATCH(All!$A73,Winter!$A:$A,FALSE),MATCH(All!U$1,Winter!$1:$1,FALSE))),"")</f>
        <v/>
      </c>
      <c r="W73" t="str">
        <f>IFERROR(IF(INDEX(Spring!$1:$1048576,MATCH(All!$A73,Spring!$A:$A,FALSE),MATCH(All!W$1,Spring!$1:$1,FALSE))="","",INDEX(Spring!$1:$1048576,MATCH(All!$A73,Spring!$A:$A,FALSE),MATCH(All!W$1,Spring!$1:$1,FALSE))),"")</f>
        <v>13.00 (21.45)</v>
      </c>
      <c r="X73" t="str">
        <f>IFERROR(IF(INDEX(Spring!$1:$1048576,MATCH(All!$A73,Spring!$A:$A,FALSE),MATCH(All!X$1,Spring!$1:$1,FALSE))="","",INDEX(Spring!$1:$1048576,MATCH(All!$A73,Spring!$A:$A,FALSE),MATCH(All!X$1,Spring!$1:$1,FALSE))),"")</f>
        <v/>
      </c>
      <c r="Y73" t="str">
        <f>IFERROR(IF(INDEX(Spring!$1:$1048576,MATCH(All!$A73,Spring!$A:$A,FALSE),MATCH(All!Y$1,Spring!$1:$1,FALSE))="","",INDEX(Spring!$1:$1048576,MATCH(All!$A73,Spring!$A:$A,FALSE),MATCH(All!Y$1,Spring!$1:$1,FALSE))),"")</f>
        <v/>
      </c>
      <c r="Z73" t="str">
        <f>IFERROR(IF(INDEX(Spring!$1:$1048576,MATCH(All!$A73,Spring!$A:$A,FALSE),MATCH(All!Z$1,Spring!$1:$1,FALSE))="","",INDEX(Spring!$1:$1048576,MATCH(All!$A73,Spring!$A:$A,FALSE),MATCH(All!Z$1,Spring!$1:$1,FALSE))),"")</f>
        <v/>
      </c>
      <c r="AA73" t="str">
        <f>IFERROR(IF(INDEX(Spring!$1:$1048576,MATCH(All!$A73,Spring!$A:$A,FALSE),MATCH(All!AA$1,Spring!$1:$1,FALSE))="","",INDEX(Spring!$1:$1048576,MATCH(All!$A73,Spring!$A:$A,FALSE),MATCH(All!AA$1,Spring!$1:$1,FALSE))),"")</f>
        <v/>
      </c>
      <c r="AB73" t="str">
        <f>IFERROR(IF(INDEX(Spring!$1:$1048576,MATCH(All!$A73,Spring!$A:$A,FALSE),MATCH(All!AB$1,Spring!$1:$1,FALSE))="","",INDEX(Spring!$1:$1048576,MATCH(All!$A73,Spring!$A:$A,FALSE),MATCH(All!AB$1,Spring!$1:$1,FALSE))),"")</f>
        <v>1A</v>
      </c>
      <c r="AC73" t="str">
        <f>IFERROR(IF(INDEX(Spring!$1:$1048576,MATCH(All!$A73,Spring!$A:$A,FALSE),MATCH(All!AC$1,Spring!$1:$1,FALSE))="","",INDEX(Spring!$1:$1048576,MATCH(All!$A73,Spring!$A:$A,FALSE),MATCH(All!AC$1,Spring!$1:$1,FALSE))),"")</f>
        <v>1A</v>
      </c>
      <c r="AD73" t="str">
        <f>IFERROR(VLOOKUP(A73,'Flag Football'!A:A,1,FALSE),"")</f>
        <v/>
      </c>
      <c r="AE73" t="str">
        <f t="shared" si="1"/>
        <v/>
      </c>
    </row>
    <row r="74" spans="1:31" ht="15.75" thickBot="1" x14ac:dyDescent="0.3">
      <c r="A74" s="20" t="s">
        <v>91</v>
      </c>
      <c r="B74" s="38">
        <f>IFERROR(VLOOKUP(A74,'Public v Private'!A:G,3,FALSE),"")</f>
        <v>0</v>
      </c>
      <c r="C74" s="38">
        <f>IFERROR(VLOOKUP(A74,'Public v Private'!A:G,4,FALSE),"")</f>
        <v>0</v>
      </c>
      <c r="D74" s="38">
        <f>IFERROR(VLOOKUP(A74,'Public v Private'!A:G,5,FALSE),"")</f>
        <v>0</v>
      </c>
      <c r="E74" s="38"/>
      <c r="F74" s="40">
        <f>IFERROR(INDEX(Fall!$1:$1048576,MATCH(All!$A74,Fall!$A:$A,FALSE),MATCH(All!F$1,Fall!$1:$1,FALSE)),"N/A")</f>
        <v>149</v>
      </c>
      <c r="G74" t="str">
        <f>IFERROR(IF(INDEX(Fall!$1:$1048576,MATCH(All!$A74,Fall!$A:$A,FALSE),MATCH(All!G$1,Fall!$1:$1,FALSE))="","",INDEX(Fall!$1:$1048576,MATCH(All!$A74,Fall!$A:$A,FALSE),MATCH(All!G$1,Fall!$1:$1,FALSE))),"")</f>
        <v/>
      </c>
      <c r="H74" t="str">
        <f>IFERROR(IF(INDEX(Fall!$1:$1048576,MATCH(All!$A74,Fall!$A:$A,FALSE),MATCH(All!H$1,Fall!$1:$1,FALSE))="","",INDEX(Fall!$1:$1048576,MATCH(All!$A74,Fall!$A:$A,FALSE),MATCH(All!H$1,Fall!$1:$1,FALSE))),"")</f>
        <v/>
      </c>
      <c r="I74" t="str">
        <f>IFERROR(IF(INDEX(Fall!$1:$1048576,MATCH(All!$A74,Fall!$A:$A,FALSE),MATCH(All!I$1,Fall!$1:$1,FALSE))="","",INDEX(Fall!$1:$1048576,MATCH(All!$A74,Fall!$A:$A,FALSE),MATCH(All!I$1,Fall!$1:$1,FALSE))),"")</f>
        <v/>
      </c>
      <c r="J74" t="str">
        <f>IFERROR(IF(INDEX(Fall!$1:$1048576,MATCH(All!$A74,Fall!$A:$A,FALSE),MATCH(All!J$1,Fall!$1:$1,FALSE))="","",INDEX(Fall!$1:$1048576,MATCH(All!$A74,Fall!$A:$A,FALSE),MATCH(All!J$1,Fall!$1:$1,FALSE))),"")</f>
        <v/>
      </c>
      <c r="K74" t="str">
        <f>IFERROR(IF(INDEX(Fall!$1:$1048576,MATCH(All!$A74,Fall!$A:$A,FALSE),MATCH(All!K$1,Fall!$1:$1,FALSE))="","",INDEX(Fall!$1:$1048576,MATCH(All!$A74,Fall!$A:$A,FALSE),MATCH(All!K$1,Fall!$1:$1,FALSE))),"")</f>
        <v/>
      </c>
      <c r="L74" t="str">
        <f>IFERROR(IF(INDEX(Fall!$1:$1048576,MATCH(All!$A74,Fall!$A:$A,FALSE),MATCH(All!L$1,Fall!$1:$1,FALSE))="","",INDEX(Fall!$1:$1048576,MATCH(All!$A74,Fall!$A:$A,FALSE),MATCH(All!L$1,Fall!$1:$1,FALSE))),"")</f>
        <v/>
      </c>
      <c r="M74" t="str">
        <f>IFERROR(IF(INDEX(Fall!$1:$1048576,MATCH(All!$A74,Fall!$A:$A,FALSE),MATCH(All!M$1,Fall!$1:$1,FALSE))="","",INDEX(Fall!$1:$1048576,MATCH(All!$A74,Fall!$A:$A,FALSE),MATCH(All!M$1,Fall!$1:$1,FALSE))),"")</f>
        <v>2A</v>
      </c>
      <c r="O74">
        <f>IFERROR(IF(INDEX(Winter!$1:$1048576,MATCH(All!$A74,Winter!$A:$A,FALSE),MATCH(All!O$1,Winter!$1:$1,FALSE))="","",INDEX(Winter!$1:$1048576,MATCH(All!$A74,Winter!$A:$A,FALSE),MATCH(All!O$1,Winter!$1:$1,FALSE))),"")</f>
        <v>149</v>
      </c>
      <c r="P74" t="str">
        <f>IFERROR(IF(INDEX(Winter!$1:$1048576,MATCH(All!$A74,Winter!$A:$A,FALSE),MATCH(All!P$1,Winter!$1:$1,FALSE))="","",INDEX(Winter!$1:$1048576,MATCH(All!$A74,Winter!$A:$A,FALSE),MATCH(All!P$1,Winter!$1:$1,FALSE))),"")</f>
        <v>2A</v>
      </c>
      <c r="Q74" t="str">
        <f>IFERROR(IF(INDEX(Winter!$1:$1048576,MATCH(All!$A74,Winter!$A:$A,FALSE),MATCH(All!Q$1,Winter!$1:$1,FALSE))="","",INDEX(Winter!$1:$1048576,MATCH(All!$A74,Winter!$A:$A,FALSE),MATCH(All!Q$1,Winter!$1:$1,FALSE))),"")</f>
        <v/>
      </c>
      <c r="R74" t="str">
        <f>IFERROR(IF(INDEX(Winter!$1:$1048576,MATCH(All!$A74,Winter!$A:$A,FALSE),MATCH(All!R$1,Winter!$1:$1,FALSE))="","",INDEX(Winter!$1:$1048576,MATCH(All!$A74,Winter!$A:$A,FALSE),MATCH(All!R$1,Winter!$1:$1,FALSE))),"")</f>
        <v/>
      </c>
      <c r="S74" t="str">
        <f>IFERROR(IF(INDEX(Winter!$1:$1048576,MATCH(All!$A74,Winter!$A:$A,FALSE),MATCH(All!S$1,Winter!$1:$1,FALSE))="","",INDEX(Winter!$1:$1048576,MATCH(All!$A74,Winter!$A:$A,FALSE),MATCH(All!S$1,Winter!$1:$1,FALSE))),"")</f>
        <v/>
      </c>
      <c r="T74" t="str">
        <f>IFERROR(IF(INDEX(Winter!$1:$1048576,MATCH(All!$A74,Winter!$A:$A,FALSE),MATCH(All!T$1,Winter!$1:$1,FALSE))="","",INDEX(Winter!$1:$1048576,MATCH(All!$A74,Winter!$A:$A,FALSE),MATCH(All!T$1,Winter!$1:$1,FALSE))),"")</f>
        <v>1A</v>
      </c>
      <c r="U74" t="str">
        <f>IFERROR(IF(INDEX(Winter!$1:$1048576,MATCH(All!$A74,Winter!$A:$A,FALSE),MATCH(All!U$1,Winter!$1:$1,FALSE))="","",INDEX(Winter!$1:$1048576,MATCH(All!$A74,Winter!$A:$A,FALSE),MATCH(All!U$1,Winter!$1:$1,FALSE))),"")</f>
        <v/>
      </c>
      <c r="W74">
        <f>IFERROR(IF(INDEX(Spring!$1:$1048576,MATCH(All!$A74,Spring!$A:$A,FALSE),MATCH(All!W$1,Spring!$1:$1,FALSE))="","",INDEX(Spring!$1:$1048576,MATCH(All!$A74,Spring!$A:$A,FALSE),MATCH(All!W$1,Spring!$1:$1,FALSE))),"")</f>
        <v>149</v>
      </c>
      <c r="X74" t="str">
        <f>IFERROR(IF(INDEX(Spring!$1:$1048576,MATCH(All!$A74,Spring!$A:$A,FALSE),MATCH(All!X$1,Spring!$1:$1,FALSE))="","",INDEX(Spring!$1:$1048576,MATCH(All!$A74,Spring!$A:$A,FALSE),MATCH(All!X$1,Spring!$1:$1,FALSE))),"")</f>
        <v>2A</v>
      </c>
      <c r="Y74" t="str">
        <f>IFERROR(IF(INDEX(Spring!$1:$1048576,MATCH(All!$A74,Spring!$A:$A,FALSE),MATCH(All!Y$1,Spring!$1:$1,FALSE))="","",INDEX(Spring!$1:$1048576,MATCH(All!$A74,Spring!$A:$A,FALSE),MATCH(All!Y$1,Spring!$1:$1,FALSE))),"")</f>
        <v>2A</v>
      </c>
      <c r="Z74" t="str">
        <f>IFERROR(IF(INDEX(Spring!$1:$1048576,MATCH(All!$A74,Spring!$A:$A,FALSE),MATCH(All!Z$1,Spring!$1:$1,FALSE))="","",INDEX(Spring!$1:$1048576,MATCH(All!$A74,Spring!$A:$A,FALSE),MATCH(All!Z$1,Spring!$1:$1,FALSE))),"")</f>
        <v/>
      </c>
      <c r="AA74" t="str">
        <f>IFERROR(IF(INDEX(Spring!$1:$1048576,MATCH(All!$A74,Spring!$A:$A,FALSE),MATCH(All!AA$1,Spring!$1:$1,FALSE))="","",INDEX(Spring!$1:$1048576,MATCH(All!$A74,Spring!$A:$A,FALSE),MATCH(All!AA$1,Spring!$1:$1,FALSE))),"")</f>
        <v/>
      </c>
      <c r="AB74" t="str">
        <f>IFERROR(IF(INDEX(Spring!$1:$1048576,MATCH(All!$A74,Spring!$A:$A,FALSE),MATCH(All!AB$1,Spring!$1:$1,FALSE))="","",INDEX(Spring!$1:$1048576,MATCH(All!$A74,Spring!$A:$A,FALSE),MATCH(All!AB$1,Spring!$1:$1,FALSE))),"")</f>
        <v/>
      </c>
      <c r="AC74" t="str">
        <f>IFERROR(IF(INDEX(Spring!$1:$1048576,MATCH(All!$A74,Spring!$A:$A,FALSE),MATCH(All!AC$1,Spring!$1:$1,FALSE))="","",INDEX(Spring!$1:$1048576,MATCH(All!$A74,Spring!$A:$A,FALSE),MATCH(All!AC$1,Spring!$1:$1,FALSE))),"")</f>
        <v/>
      </c>
      <c r="AD74" t="str">
        <f>IFERROR(VLOOKUP(A74,'Flag Football'!A:A,1,FALSE),"")</f>
        <v/>
      </c>
      <c r="AE74" t="str">
        <f t="shared" si="1"/>
        <v/>
      </c>
    </row>
    <row r="75" spans="1:31" ht="15.75" thickBot="1" x14ac:dyDescent="0.3">
      <c r="A75" s="18" t="s">
        <v>92</v>
      </c>
      <c r="B75" s="38">
        <f>IFERROR(VLOOKUP(A75,'Public v Private'!A:G,3,FALSE),"")</f>
        <v>0</v>
      </c>
      <c r="C75" s="38">
        <f>IFERROR(VLOOKUP(A75,'Public v Private'!A:G,4,FALSE),"")</f>
        <v>0</v>
      </c>
      <c r="D75" s="38">
        <f>IFERROR(VLOOKUP(A75,'Public v Private'!A:G,5,FALSE),"")</f>
        <v>0</v>
      </c>
      <c r="E75" s="38"/>
      <c r="F75" s="40">
        <f>IFERROR(INDEX(Fall!$1:$1048576,MATCH(All!$A75,Fall!$A:$A,FALSE),MATCH(All!F$1,Fall!$1:$1,FALSE)),"N/A")</f>
        <v>1955</v>
      </c>
      <c r="G75" t="str">
        <f>IFERROR(IF(INDEX(Fall!$1:$1048576,MATCH(All!$A75,Fall!$A:$A,FALSE),MATCH(All!G$1,Fall!$1:$1,FALSE))="","",INDEX(Fall!$1:$1048576,MATCH(All!$A75,Fall!$A:$A,FALSE),MATCH(All!G$1,Fall!$1:$1,FALSE))),"")</f>
        <v>3A</v>
      </c>
      <c r="H75" t="str">
        <f>IFERROR(IF(INDEX(Fall!$1:$1048576,MATCH(All!$A75,Fall!$A:$A,FALSE),MATCH(All!H$1,Fall!$1:$1,FALSE))="","",INDEX(Fall!$1:$1048576,MATCH(All!$A75,Fall!$A:$A,FALSE),MATCH(All!H$1,Fall!$1:$1,FALSE))),"")</f>
        <v>3A</v>
      </c>
      <c r="I75" t="str">
        <f>IFERROR(IF(INDEX(Fall!$1:$1048576,MATCH(All!$A75,Fall!$A:$A,FALSE),MATCH(All!I$1,Fall!$1:$1,FALSE))="","",INDEX(Fall!$1:$1048576,MATCH(All!$A75,Fall!$A:$A,FALSE),MATCH(All!I$1,Fall!$1:$1,FALSE))),"")</f>
        <v>3A</v>
      </c>
      <c r="J75" t="str">
        <f>IFERROR(IF(INDEX(Fall!$1:$1048576,MATCH(All!$A75,Fall!$A:$A,FALSE),MATCH(All!J$1,Fall!$1:$1,FALSE))="","",INDEX(Fall!$1:$1048576,MATCH(All!$A75,Fall!$A:$A,FALSE),MATCH(All!J$1,Fall!$1:$1,FALSE))),"")</f>
        <v>2A</v>
      </c>
      <c r="K75" t="str">
        <f>IFERROR(IF(INDEX(Fall!$1:$1048576,MATCH(All!$A75,Fall!$A:$A,FALSE),MATCH(All!K$1,Fall!$1:$1,FALSE))="","",INDEX(Fall!$1:$1048576,MATCH(All!$A75,Fall!$A:$A,FALSE),MATCH(All!K$1,Fall!$1:$1,FALSE))),"")</f>
        <v>3A</v>
      </c>
      <c r="L75" t="str">
        <f>IFERROR(IF(INDEX(Fall!$1:$1048576,MATCH(All!$A75,Fall!$A:$A,FALSE),MATCH(All!L$1,Fall!$1:$1,FALSE))="","",INDEX(Fall!$1:$1048576,MATCH(All!$A75,Fall!$A:$A,FALSE),MATCH(All!L$1,Fall!$1:$1,FALSE))),"")</f>
        <v>2A</v>
      </c>
      <c r="M75" t="str">
        <f>IFERROR(IF(INDEX(Fall!$1:$1048576,MATCH(All!$A75,Fall!$A:$A,FALSE),MATCH(All!M$1,Fall!$1:$1,FALSE))="","",INDEX(Fall!$1:$1048576,MATCH(All!$A75,Fall!$A:$A,FALSE),MATCH(All!M$1,Fall!$1:$1,FALSE))),"")</f>
        <v>4A</v>
      </c>
      <c r="O75">
        <f>IFERROR(IF(INDEX(Winter!$1:$1048576,MATCH(All!$A75,Winter!$A:$A,FALSE),MATCH(All!O$1,Winter!$1:$1,FALSE))="","",INDEX(Winter!$1:$1048576,MATCH(All!$A75,Winter!$A:$A,FALSE),MATCH(All!O$1,Winter!$1:$1,FALSE))),"")</f>
        <v>1955</v>
      </c>
      <c r="P75" t="str">
        <f>IFERROR(IF(INDEX(Winter!$1:$1048576,MATCH(All!$A75,Winter!$A:$A,FALSE),MATCH(All!P$1,Winter!$1:$1,FALSE))="","",INDEX(Winter!$1:$1048576,MATCH(All!$A75,Winter!$A:$A,FALSE),MATCH(All!P$1,Winter!$1:$1,FALSE))),"")</f>
        <v>4A</v>
      </c>
      <c r="Q75" t="str">
        <f>IFERROR(IF(INDEX(Winter!$1:$1048576,MATCH(All!$A75,Winter!$A:$A,FALSE),MATCH(All!Q$1,Winter!$1:$1,FALSE))="","",INDEX(Winter!$1:$1048576,MATCH(All!$A75,Winter!$A:$A,FALSE),MATCH(All!Q$1,Winter!$1:$1,FALSE))),"")</f>
        <v>4A</v>
      </c>
      <c r="R75" t="str">
        <f>IFERROR(IF(INDEX(Winter!$1:$1048576,MATCH(All!$A75,Winter!$A:$A,FALSE),MATCH(All!R$1,Winter!$1:$1,FALSE))="","",INDEX(Winter!$1:$1048576,MATCH(All!$A75,Winter!$A:$A,FALSE),MATCH(All!R$1,Winter!$1:$1,FALSE))),"")</f>
        <v>C</v>
      </c>
      <c r="S75" t="str">
        <f>IFERROR(IF(INDEX(Winter!$1:$1048576,MATCH(All!$A75,Winter!$A:$A,FALSE),MATCH(All!S$1,Winter!$1:$1,FALSE))="","",INDEX(Winter!$1:$1048576,MATCH(All!$A75,Winter!$A:$A,FALSE),MATCH(All!S$1,Winter!$1:$1,FALSE))),"")</f>
        <v>3A</v>
      </c>
      <c r="T75" t="str">
        <f>IFERROR(IF(INDEX(Winter!$1:$1048576,MATCH(All!$A75,Winter!$A:$A,FALSE),MATCH(All!T$1,Winter!$1:$1,FALSE))="","",INDEX(Winter!$1:$1048576,MATCH(All!$A75,Winter!$A:$A,FALSE),MATCH(All!T$1,Winter!$1:$1,FALSE))),"")</f>
        <v>2A</v>
      </c>
      <c r="U75" t="str">
        <f>IFERROR(IF(INDEX(Winter!$1:$1048576,MATCH(All!$A75,Winter!$A:$A,FALSE),MATCH(All!U$1,Winter!$1:$1,FALSE))="","",INDEX(Winter!$1:$1048576,MATCH(All!$A75,Winter!$A:$A,FALSE),MATCH(All!U$1,Winter!$1:$1,FALSE))),"")</f>
        <v>3A</v>
      </c>
      <c r="W75">
        <f>IFERROR(IF(INDEX(Spring!$1:$1048576,MATCH(All!$A75,Spring!$A:$A,FALSE),MATCH(All!W$1,Spring!$1:$1,FALSE))="","",INDEX(Spring!$1:$1048576,MATCH(All!$A75,Spring!$A:$A,FALSE),MATCH(All!W$1,Spring!$1:$1,FALSE))),"")</f>
        <v>1955</v>
      </c>
      <c r="X75" t="str">
        <f>IFERROR(IF(INDEX(Spring!$1:$1048576,MATCH(All!$A75,Spring!$A:$A,FALSE),MATCH(All!X$1,Spring!$1:$1,FALSE))="","",INDEX(Spring!$1:$1048576,MATCH(All!$A75,Spring!$A:$A,FALSE),MATCH(All!X$1,Spring!$1:$1,FALSE))),"")</f>
        <v>4A</v>
      </c>
      <c r="Y75" t="str">
        <f>IFERROR(IF(INDEX(Spring!$1:$1048576,MATCH(All!$A75,Spring!$A:$A,FALSE),MATCH(All!Y$1,Spring!$1:$1,FALSE))="","",INDEX(Spring!$1:$1048576,MATCH(All!$A75,Spring!$A:$A,FALSE),MATCH(All!Y$1,Spring!$1:$1,FALSE))),"")</f>
        <v>4A</v>
      </c>
      <c r="Z75" t="str">
        <f>IFERROR(IF(INDEX(Spring!$1:$1048576,MATCH(All!$A75,Spring!$A:$A,FALSE),MATCH(All!Z$1,Spring!$1:$1,FALSE))="","",INDEX(Spring!$1:$1048576,MATCH(All!$A75,Spring!$A:$A,FALSE),MATCH(All!Z$1,Spring!$1:$1,FALSE))),"")</f>
        <v>3A</v>
      </c>
      <c r="AA75" t="str">
        <f>IFERROR(IF(INDEX(Spring!$1:$1048576,MATCH(All!$A75,Spring!$A:$A,FALSE),MATCH(All!AA$1,Spring!$1:$1,FALSE))="","",INDEX(Spring!$1:$1048576,MATCH(All!$A75,Spring!$A:$A,FALSE),MATCH(All!AA$1,Spring!$1:$1,FALSE))),"")</f>
        <v>2A</v>
      </c>
      <c r="AB75" t="str">
        <f>IFERROR(IF(INDEX(Spring!$1:$1048576,MATCH(All!$A75,Spring!$A:$A,FALSE),MATCH(All!AB$1,Spring!$1:$1,FALSE))="","",INDEX(Spring!$1:$1048576,MATCH(All!$A75,Spring!$A:$A,FALSE),MATCH(All!AB$1,Spring!$1:$1,FALSE))),"")</f>
        <v>3A</v>
      </c>
      <c r="AC75" t="str">
        <f>IFERROR(IF(INDEX(Spring!$1:$1048576,MATCH(All!$A75,Spring!$A:$A,FALSE),MATCH(All!AC$1,Spring!$1:$1,FALSE))="","",INDEX(Spring!$1:$1048576,MATCH(All!$A75,Spring!$A:$A,FALSE),MATCH(All!AC$1,Spring!$1:$1,FALSE))),"")</f>
        <v>3A</v>
      </c>
      <c r="AD75" t="str">
        <f>IFERROR(VLOOKUP(A75,'Flag Football'!A:A,1,FALSE),"")</f>
        <v>Buffalo Grove</v>
      </c>
      <c r="AE75" t="str">
        <f t="shared" si="1"/>
        <v>1A</v>
      </c>
    </row>
    <row r="76" spans="1:31" ht="15.75" thickBot="1" x14ac:dyDescent="0.3">
      <c r="A76" s="20" t="s">
        <v>93</v>
      </c>
      <c r="B76" s="38">
        <f>IFERROR(VLOOKUP(A76,'Public v Private'!A:G,3,FALSE),"")</f>
        <v>0</v>
      </c>
      <c r="C76" s="38">
        <f>IFERROR(VLOOKUP(A76,'Public v Private'!A:G,4,FALSE),"")</f>
        <v>0</v>
      </c>
      <c r="D76" s="38">
        <f>IFERROR(VLOOKUP(A76,'Public v Private'!A:G,5,FALSE),"")</f>
        <v>0</v>
      </c>
      <c r="E76" s="38"/>
      <c r="F76" s="40">
        <f>IFERROR(INDEX(Fall!$1:$1048576,MATCH(All!$A76,Fall!$A:$A,FALSE),MATCH(All!F$1,Fall!$1:$1,FALSE)),"N/A")</f>
        <v>164</v>
      </c>
      <c r="G76" t="str">
        <f>IFERROR(IF(INDEX(Fall!$1:$1048576,MATCH(All!$A76,Fall!$A:$A,FALSE),MATCH(All!G$1,Fall!$1:$1,FALSE))="","",INDEX(Fall!$1:$1048576,MATCH(All!$A76,Fall!$A:$A,FALSE),MATCH(All!G$1,Fall!$1:$1,FALSE))),"")</f>
        <v/>
      </c>
      <c r="H76" t="str">
        <f>IFERROR(IF(INDEX(Fall!$1:$1048576,MATCH(All!$A76,Fall!$A:$A,FALSE),MATCH(All!H$1,Fall!$1:$1,FALSE))="","",INDEX(Fall!$1:$1048576,MATCH(All!$A76,Fall!$A:$A,FALSE),MATCH(All!H$1,Fall!$1:$1,FALSE))),"")</f>
        <v/>
      </c>
      <c r="I76" t="str">
        <f>IFERROR(IF(INDEX(Fall!$1:$1048576,MATCH(All!$A76,Fall!$A:$A,FALSE),MATCH(All!I$1,Fall!$1:$1,FALSE))="","",INDEX(Fall!$1:$1048576,MATCH(All!$A76,Fall!$A:$A,FALSE),MATCH(All!I$1,Fall!$1:$1,FALSE))),"")</f>
        <v/>
      </c>
      <c r="J76" t="str">
        <f>IFERROR(IF(INDEX(Fall!$1:$1048576,MATCH(All!$A76,Fall!$A:$A,FALSE),MATCH(All!J$1,Fall!$1:$1,FALSE))="","",INDEX(Fall!$1:$1048576,MATCH(All!$A76,Fall!$A:$A,FALSE),MATCH(All!J$1,Fall!$1:$1,FALSE))),"")</f>
        <v/>
      </c>
      <c r="K76" t="str">
        <f>IFERROR(IF(INDEX(Fall!$1:$1048576,MATCH(All!$A76,Fall!$A:$A,FALSE),MATCH(All!K$1,Fall!$1:$1,FALSE))="","",INDEX(Fall!$1:$1048576,MATCH(All!$A76,Fall!$A:$A,FALSE),MATCH(All!K$1,Fall!$1:$1,FALSE))),"")</f>
        <v/>
      </c>
      <c r="L76" t="str">
        <f>IFERROR(IF(INDEX(Fall!$1:$1048576,MATCH(All!$A76,Fall!$A:$A,FALSE),MATCH(All!L$1,Fall!$1:$1,FALSE))="","",INDEX(Fall!$1:$1048576,MATCH(All!$A76,Fall!$A:$A,FALSE),MATCH(All!L$1,Fall!$1:$1,FALSE))),"")</f>
        <v>1A</v>
      </c>
      <c r="M76" t="str">
        <f>IFERROR(IF(INDEX(Fall!$1:$1048576,MATCH(All!$A76,Fall!$A:$A,FALSE),MATCH(All!M$1,Fall!$1:$1,FALSE))="","",INDEX(Fall!$1:$1048576,MATCH(All!$A76,Fall!$A:$A,FALSE),MATCH(All!M$1,Fall!$1:$1,FALSE))),"")</f>
        <v>1A</v>
      </c>
      <c r="O76">
        <f>IFERROR(IF(INDEX(Winter!$1:$1048576,MATCH(All!$A76,Winter!$A:$A,FALSE),MATCH(All!O$1,Winter!$1:$1,FALSE))="","",INDEX(Winter!$1:$1048576,MATCH(All!$A76,Winter!$A:$A,FALSE),MATCH(All!O$1,Winter!$1:$1,FALSE))),"")</f>
        <v>164</v>
      </c>
      <c r="P76" t="str">
        <f>IFERROR(IF(INDEX(Winter!$1:$1048576,MATCH(All!$A76,Winter!$A:$A,FALSE),MATCH(All!P$1,Winter!$1:$1,FALSE))="","",INDEX(Winter!$1:$1048576,MATCH(All!$A76,Winter!$A:$A,FALSE),MATCH(All!P$1,Winter!$1:$1,FALSE))),"")</f>
        <v>1A</v>
      </c>
      <c r="Q76" t="str">
        <f>IFERROR(IF(INDEX(Winter!$1:$1048576,MATCH(All!$A76,Winter!$A:$A,FALSE),MATCH(All!Q$1,Winter!$1:$1,FALSE))="","",INDEX(Winter!$1:$1048576,MATCH(All!$A76,Winter!$A:$A,FALSE),MATCH(All!Q$1,Winter!$1:$1,FALSE))),"")</f>
        <v>1A</v>
      </c>
      <c r="R76" t="str">
        <f>IFERROR(IF(INDEX(Winter!$1:$1048576,MATCH(All!$A76,Winter!$A:$A,FALSE),MATCH(All!R$1,Winter!$1:$1,FALSE))="","",INDEX(Winter!$1:$1048576,MATCH(All!$A76,Winter!$A:$A,FALSE),MATCH(All!R$1,Winter!$1:$1,FALSE))),"")</f>
        <v/>
      </c>
      <c r="S76" t="str">
        <f>IFERROR(IF(INDEX(Winter!$1:$1048576,MATCH(All!$A76,Winter!$A:$A,FALSE),MATCH(All!S$1,Winter!$1:$1,FALSE))="","",INDEX(Winter!$1:$1048576,MATCH(All!$A76,Winter!$A:$A,FALSE),MATCH(All!S$1,Winter!$1:$1,FALSE))),"")</f>
        <v/>
      </c>
      <c r="T76" t="str">
        <f>IFERROR(IF(INDEX(Winter!$1:$1048576,MATCH(All!$A76,Winter!$A:$A,FALSE),MATCH(All!T$1,Winter!$1:$1,FALSE))="","",INDEX(Winter!$1:$1048576,MATCH(All!$A76,Winter!$A:$A,FALSE),MATCH(All!T$1,Winter!$1:$1,FALSE))),"")</f>
        <v>1A</v>
      </c>
      <c r="U76" t="str">
        <f>IFERROR(IF(INDEX(Winter!$1:$1048576,MATCH(All!$A76,Winter!$A:$A,FALSE),MATCH(All!U$1,Winter!$1:$1,FALSE))="","",INDEX(Winter!$1:$1048576,MATCH(All!$A76,Winter!$A:$A,FALSE),MATCH(All!U$1,Winter!$1:$1,FALSE))),"")</f>
        <v/>
      </c>
      <c r="W76">
        <f>IFERROR(IF(INDEX(Spring!$1:$1048576,MATCH(All!$A76,Spring!$A:$A,FALSE),MATCH(All!W$1,Spring!$1:$1,FALSE))="","",INDEX(Spring!$1:$1048576,MATCH(All!$A76,Spring!$A:$A,FALSE),MATCH(All!W$1,Spring!$1:$1,FALSE))),"")</f>
        <v>164</v>
      </c>
      <c r="X76" t="str">
        <f>IFERROR(IF(INDEX(Spring!$1:$1048576,MATCH(All!$A76,Spring!$A:$A,FALSE),MATCH(All!X$1,Spring!$1:$1,FALSE))="","",INDEX(Spring!$1:$1048576,MATCH(All!$A76,Spring!$A:$A,FALSE),MATCH(All!X$1,Spring!$1:$1,FALSE))),"")</f>
        <v>1A</v>
      </c>
      <c r="Y76" t="str">
        <f>IFERROR(IF(INDEX(Spring!$1:$1048576,MATCH(All!$A76,Spring!$A:$A,FALSE),MATCH(All!Y$1,Spring!$1:$1,FALSE))="","",INDEX(Spring!$1:$1048576,MATCH(All!$A76,Spring!$A:$A,FALSE),MATCH(All!Y$1,Spring!$1:$1,FALSE))),"")</f>
        <v/>
      </c>
      <c r="Z76" t="str">
        <f>IFERROR(IF(INDEX(Spring!$1:$1048576,MATCH(All!$A76,Spring!$A:$A,FALSE),MATCH(All!Z$1,Spring!$1:$1,FALSE))="","",INDEX(Spring!$1:$1048576,MATCH(All!$A76,Spring!$A:$A,FALSE),MATCH(All!Z$1,Spring!$1:$1,FALSE))),"")</f>
        <v/>
      </c>
      <c r="AA76" t="str">
        <f>IFERROR(IF(INDEX(Spring!$1:$1048576,MATCH(All!$A76,Spring!$A:$A,FALSE),MATCH(All!AA$1,Spring!$1:$1,FALSE))="","",INDEX(Spring!$1:$1048576,MATCH(All!$A76,Spring!$A:$A,FALSE),MATCH(All!AA$1,Spring!$1:$1,FALSE))),"")</f>
        <v>1A</v>
      </c>
      <c r="AB76" t="str">
        <f>IFERROR(IF(INDEX(Spring!$1:$1048576,MATCH(All!$A76,Spring!$A:$A,FALSE),MATCH(All!AB$1,Spring!$1:$1,FALSE))="","",INDEX(Spring!$1:$1048576,MATCH(All!$A76,Spring!$A:$A,FALSE),MATCH(All!AB$1,Spring!$1:$1,FALSE))),"")</f>
        <v>1A</v>
      </c>
      <c r="AC76" t="str">
        <f>IFERROR(IF(INDEX(Spring!$1:$1048576,MATCH(All!$A76,Spring!$A:$A,FALSE),MATCH(All!AC$1,Spring!$1:$1,FALSE))="","",INDEX(Spring!$1:$1048576,MATCH(All!$A76,Spring!$A:$A,FALSE),MATCH(All!AC$1,Spring!$1:$1,FALSE))),"")</f>
        <v>1A</v>
      </c>
      <c r="AD76" t="str">
        <f>IFERROR(VLOOKUP(A76,'Flag Football'!A:A,1,FALSE),"")</f>
        <v/>
      </c>
      <c r="AE76" t="str">
        <f t="shared" si="1"/>
        <v/>
      </c>
    </row>
    <row r="77" spans="1:31" ht="15.75" thickBot="1" x14ac:dyDescent="0.3">
      <c r="A77" s="18" t="s">
        <v>94</v>
      </c>
      <c r="B77" s="38">
        <f>IFERROR(VLOOKUP(A77,'Public v Private'!A:G,3,FALSE),"")</f>
        <v>0</v>
      </c>
      <c r="C77" s="38">
        <f>IFERROR(VLOOKUP(A77,'Public v Private'!A:G,4,FALSE),"")</f>
        <v>0</v>
      </c>
      <c r="D77" s="38">
        <f>IFERROR(VLOOKUP(A77,'Public v Private'!A:G,5,FALSE),"")</f>
        <v>0</v>
      </c>
      <c r="E77" s="38"/>
      <c r="F77" s="40">
        <f>IFERROR(INDEX(Fall!$1:$1048576,MATCH(All!$A77,Fall!$A:$A,FALSE),MATCH(All!F$1,Fall!$1:$1,FALSE)),"N/A")</f>
        <v>1865</v>
      </c>
      <c r="G77" t="str">
        <f>IFERROR(IF(INDEX(Fall!$1:$1048576,MATCH(All!$A77,Fall!$A:$A,FALSE),MATCH(All!G$1,Fall!$1:$1,FALSE))="","",INDEX(Fall!$1:$1048576,MATCH(All!$A77,Fall!$A:$A,FALSE),MATCH(All!G$1,Fall!$1:$1,FALSE))),"")</f>
        <v>3A</v>
      </c>
      <c r="H77" t="str">
        <f>IFERROR(IF(INDEX(Fall!$1:$1048576,MATCH(All!$A77,Fall!$A:$A,FALSE),MATCH(All!H$1,Fall!$1:$1,FALSE))="","",INDEX(Fall!$1:$1048576,MATCH(All!$A77,Fall!$A:$A,FALSE),MATCH(All!H$1,Fall!$1:$1,FALSE))),"")</f>
        <v>3A</v>
      </c>
      <c r="I77" t="str">
        <f>IFERROR(IF(INDEX(Fall!$1:$1048576,MATCH(All!$A77,Fall!$A:$A,FALSE),MATCH(All!I$1,Fall!$1:$1,FALSE))="","",INDEX(Fall!$1:$1048576,MATCH(All!$A77,Fall!$A:$A,FALSE),MATCH(All!I$1,Fall!$1:$1,FALSE))),"")</f>
        <v>3A</v>
      </c>
      <c r="J77" t="str">
        <f>IFERROR(IF(INDEX(Fall!$1:$1048576,MATCH(All!$A77,Fall!$A:$A,FALSE),MATCH(All!J$1,Fall!$1:$1,FALSE))="","",INDEX(Fall!$1:$1048576,MATCH(All!$A77,Fall!$A:$A,FALSE),MATCH(All!J$1,Fall!$1:$1,FALSE))),"")</f>
        <v>2A</v>
      </c>
      <c r="K77" t="str">
        <f>IFERROR(IF(INDEX(Fall!$1:$1048576,MATCH(All!$A77,Fall!$A:$A,FALSE),MATCH(All!K$1,Fall!$1:$1,FALSE))="","",INDEX(Fall!$1:$1048576,MATCH(All!$A77,Fall!$A:$A,FALSE),MATCH(All!K$1,Fall!$1:$1,FALSE))),"")</f>
        <v>3A</v>
      </c>
      <c r="L77" t="str">
        <f>IFERROR(IF(INDEX(Fall!$1:$1048576,MATCH(All!$A77,Fall!$A:$A,FALSE),MATCH(All!L$1,Fall!$1:$1,FALSE))="","",INDEX(Fall!$1:$1048576,MATCH(All!$A77,Fall!$A:$A,FALSE),MATCH(All!L$1,Fall!$1:$1,FALSE))),"")</f>
        <v>2A</v>
      </c>
      <c r="M77" t="str">
        <f>IFERROR(IF(INDEX(Fall!$1:$1048576,MATCH(All!$A77,Fall!$A:$A,FALSE),MATCH(All!M$1,Fall!$1:$1,FALSE))="","",INDEX(Fall!$1:$1048576,MATCH(All!$A77,Fall!$A:$A,FALSE),MATCH(All!M$1,Fall!$1:$1,FALSE))),"")</f>
        <v>4A</v>
      </c>
      <c r="O77">
        <f>IFERROR(IF(INDEX(Winter!$1:$1048576,MATCH(All!$A77,Winter!$A:$A,FALSE),MATCH(All!O$1,Winter!$1:$1,FALSE))="","",INDEX(Winter!$1:$1048576,MATCH(All!$A77,Winter!$A:$A,FALSE),MATCH(All!O$1,Winter!$1:$1,FALSE))),"")</f>
        <v>1865</v>
      </c>
      <c r="P77" t="str">
        <f>IFERROR(IF(INDEX(Winter!$1:$1048576,MATCH(All!$A77,Winter!$A:$A,FALSE),MATCH(All!P$1,Winter!$1:$1,FALSE))="","",INDEX(Winter!$1:$1048576,MATCH(All!$A77,Winter!$A:$A,FALSE),MATCH(All!P$1,Winter!$1:$1,FALSE))),"")</f>
        <v>4A</v>
      </c>
      <c r="Q77" t="str">
        <f>IFERROR(IF(INDEX(Winter!$1:$1048576,MATCH(All!$A77,Winter!$A:$A,FALSE),MATCH(All!Q$1,Winter!$1:$1,FALSE))="","",INDEX(Winter!$1:$1048576,MATCH(All!$A77,Winter!$A:$A,FALSE),MATCH(All!Q$1,Winter!$1:$1,FALSE))),"")</f>
        <v>4A</v>
      </c>
      <c r="R77" t="str">
        <f>IFERROR(IF(INDEX(Winter!$1:$1048576,MATCH(All!$A77,Winter!$A:$A,FALSE),MATCH(All!R$1,Winter!$1:$1,FALSE))="","",INDEX(Winter!$1:$1048576,MATCH(All!$A77,Winter!$A:$A,FALSE),MATCH(All!R$1,Winter!$1:$1,FALSE))),"")</f>
        <v>C</v>
      </c>
      <c r="S77" t="str">
        <f>IFERROR(IF(INDEX(Winter!$1:$1048576,MATCH(All!$A77,Winter!$A:$A,FALSE),MATCH(All!S$1,Winter!$1:$1,FALSE))="","",INDEX(Winter!$1:$1048576,MATCH(All!$A77,Winter!$A:$A,FALSE),MATCH(All!S$1,Winter!$1:$1,FALSE))),"")</f>
        <v>2A</v>
      </c>
      <c r="T77" t="str">
        <f>IFERROR(IF(INDEX(Winter!$1:$1048576,MATCH(All!$A77,Winter!$A:$A,FALSE),MATCH(All!T$1,Winter!$1:$1,FALSE))="","",INDEX(Winter!$1:$1048576,MATCH(All!$A77,Winter!$A:$A,FALSE),MATCH(All!T$1,Winter!$1:$1,FALSE))),"")</f>
        <v>2A</v>
      </c>
      <c r="U77" t="str">
        <f>IFERROR(IF(INDEX(Winter!$1:$1048576,MATCH(All!$A77,Winter!$A:$A,FALSE),MATCH(All!U$1,Winter!$1:$1,FALSE))="","",INDEX(Winter!$1:$1048576,MATCH(All!$A77,Winter!$A:$A,FALSE),MATCH(All!U$1,Winter!$1:$1,FALSE))),"")</f>
        <v>3A</v>
      </c>
      <c r="W77">
        <f>IFERROR(IF(INDEX(Spring!$1:$1048576,MATCH(All!$A77,Spring!$A:$A,FALSE),MATCH(All!W$1,Spring!$1:$1,FALSE))="","",INDEX(Spring!$1:$1048576,MATCH(All!$A77,Spring!$A:$A,FALSE),MATCH(All!W$1,Spring!$1:$1,FALSE))),"")</f>
        <v>1865</v>
      </c>
      <c r="X77" t="str">
        <f>IFERROR(IF(INDEX(Spring!$1:$1048576,MATCH(All!$A77,Spring!$A:$A,FALSE),MATCH(All!X$1,Spring!$1:$1,FALSE))="","",INDEX(Spring!$1:$1048576,MATCH(All!$A77,Spring!$A:$A,FALSE),MATCH(All!X$1,Spring!$1:$1,FALSE))),"")</f>
        <v>4A</v>
      </c>
      <c r="Y77" t="str">
        <f>IFERROR(IF(INDEX(Spring!$1:$1048576,MATCH(All!$A77,Spring!$A:$A,FALSE),MATCH(All!Y$1,Spring!$1:$1,FALSE))="","",INDEX(Spring!$1:$1048576,MATCH(All!$A77,Spring!$A:$A,FALSE),MATCH(All!Y$1,Spring!$1:$1,FALSE))),"")</f>
        <v>4A</v>
      </c>
      <c r="Z77" t="str">
        <f>IFERROR(IF(INDEX(Spring!$1:$1048576,MATCH(All!$A77,Spring!$A:$A,FALSE),MATCH(All!Z$1,Spring!$1:$1,FALSE))="","",INDEX(Spring!$1:$1048576,MATCH(All!$A77,Spring!$A:$A,FALSE),MATCH(All!Z$1,Spring!$1:$1,FALSE))),"")</f>
        <v>3A</v>
      </c>
      <c r="AA77" t="str">
        <f>IFERROR(IF(INDEX(Spring!$1:$1048576,MATCH(All!$A77,Spring!$A:$A,FALSE),MATCH(All!AA$1,Spring!$1:$1,FALSE))="","",INDEX(Spring!$1:$1048576,MATCH(All!$A77,Spring!$A:$A,FALSE),MATCH(All!AA$1,Spring!$1:$1,FALSE))),"")</f>
        <v>2A</v>
      </c>
      <c r="AB77" t="str">
        <f>IFERROR(IF(INDEX(Spring!$1:$1048576,MATCH(All!$A77,Spring!$A:$A,FALSE),MATCH(All!AB$1,Spring!$1:$1,FALSE))="","",INDEX(Spring!$1:$1048576,MATCH(All!$A77,Spring!$A:$A,FALSE),MATCH(All!AB$1,Spring!$1:$1,FALSE))),"")</f>
        <v>3A</v>
      </c>
      <c r="AC77" t="str">
        <f>IFERROR(IF(INDEX(Spring!$1:$1048576,MATCH(All!$A77,Spring!$A:$A,FALSE),MATCH(All!AC$1,Spring!$1:$1,FALSE))="","",INDEX(Spring!$1:$1048576,MATCH(All!$A77,Spring!$A:$A,FALSE),MATCH(All!AC$1,Spring!$1:$1,FALSE))),"")</f>
        <v>3A</v>
      </c>
      <c r="AD77" t="str">
        <f>IFERROR(VLOOKUP(A77,'Flag Football'!A:A,1,FALSE),"")</f>
        <v>Burbank (Reavis)</v>
      </c>
      <c r="AE77" t="str">
        <f t="shared" si="1"/>
        <v>1A</v>
      </c>
    </row>
    <row r="78" spans="1:31" ht="15.75" thickBot="1" x14ac:dyDescent="0.3">
      <c r="A78" s="20" t="s">
        <v>95</v>
      </c>
      <c r="B78" s="38" t="str">
        <f>IFERROR(VLOOKUP(A78,'Public v Private'!A:G,3,FALSE),"")</f>
        <v>private</v>
      </c>
      <c r="C78" s="38">
        <f>IFERROR(VLOOKUP(A78,'Public v Private'!A:G,4,FALSE),"")</f>
        <v>2</v>
      </c>
      <c r="D78" s="38">
        <f>IFERROR(VLOOKUP(A78,'Public v Private'!A:G,5,FALSE),"")</f>
        <v>6</v>
      </c>
      <c r="E78" s="38"/>
      <c r="F78" s="40" t="str">
        <f>IFERROR(INDEX(Fall!$1:$1048576,MATCH(All!$A78,Fall!$A:$A,FALSE),MATCH(All!F$1,Fall!$1:$1,FALSE)),"N/A")</f>
        <v>1,098.00 (1,811.70)</v>
      </c>
      <c r="G78" t="str">
        <f>IFERROR(IF(INDEX(Fall!$1:$1048576,MATCH(All!$A78,Fall!$A:$A,FALSE),MATCH(All!G$1,Fall!$1:$1,FALSE))="","",INDEX(Fall!$1:$1048576,MATCH(All!$A78,Fall!$A:$A,FALSE),MATCH(All!G$1,Fall!$1:$1,FALSE))),"")</f>
        <v>3A</v>
      </c>
      <c r="H78" t="str">
        <f>IFERROR(IF(INDEX(Fall!$1:$1048576,MATCH(All!$A78,Fall!$A:$A,FALSE),MATCH(All!H$1,Fall!$1:$1,FALSE))="","",INDEX(Fall!$1:$1048576,MATCH(All!$A78,Fall!$A:$A,FALSE),MATCH(All!H$1,Fall!$1:$1,FALSE))),"")</f>
        <v>3A</v>
      </c>
      <c r="I78" t="str">
        <f>IFERROR(IF(INDEX(Fall!$1:$1048576,MATCH(All!$A78,Fall!$A:$A,FALSE),MATCH(All!I$1,Fall!$1:$1,FALSE))="","",INDEX(Fall!$1:$1048576,MATCH(All!$A78,Fall!$A:$A,FALSE),MATCH(All!I$1,Fall!$1:$1,FALSE))),"")</f>
        <v>2A</v>
      </c>
      <c r="J78" t="str">
        <f>IFERROR(IF(INDEX(Fall!$1:$1048576,MATCH(All!$A78,Fall!$A:$A,FALSE),MATCH(All!J$1,Fall!$1:$1,FALSE))="","",INDEX(Fall!$1:$1048576,MATCH(All!$A78,Fall!$A:$A,FALSE),MATCH(All!J$1,Fall!$1:$1,FALSE))),"")</f>
        <v>2A</v>
      </c>
      <c r="K78" t="str">
        <f>IFERROR(IF(INDEX(Fall!$1:$1048576,MATCH(All!$A78,Fall!$A:$A,FALSE),MATCH(All!K$1,Fall!$1:$1,FALSE))="","",INDEX(Fall!$1:$1048576,MATCH(All!$A78,Fall!$A:$A,FALSE),MATCH(All!K$1,Fall!$1:$1,FALSE))),"")</f>
        <v>3A</v>
      </c>
      <c r="L78" t="str">
        <f>IFERROR(IF(INDEX(Fall!$1:$1048576,MATCH(All!$A78,Fall!$A:$A,FALSE),MATCH(All!L$1,Fall!$1:$1,FALSE))="","",INDEX(Fall!$1:$1048576,MATCH(All!$A78,Fall!$A:$A,FALSE),MATCH(All!L$1,Fall!$1:$1,FALSE))),"")</f>
        <v>1A</v>
      </c>
      <c r="M78" t="str">
        <f>IFERROR(IF(INDEX(Fall!$1:$1048576,MATCH(All!$A78,Fall!$A:$A,FALSE),MATCH(All!M$1,Fall!$1:$1,FALSE))="","",INDEX(Fall!$1:$1048576,MATCH(All!$A78,Fall!$A:$A,FALSE),MATCH(All!M$1,Fall!$1:$1,FALSE))),"")</f>
        <v>4A</v>
      </c>
      <c r="O78" t="str">
        <f>IFERROR(IF(INDEX(Winter!$1:$1048576,MATCH(All!$A78,Winter!$A:$A,FALSE),MATCH(All!O$1,Winter!$1:$1,FALSE))="","",INDEX(Winter!$1:$1048576,MATCH(All!$A78,Winter!$A:$A,FALSE),MATCH(All!O$1,Winter!$1:$1,FALSE))),"")</f>
        <v>1,098.00 (1,811.70)</v>
      </c>
      <c r="P78" t="str">
        <f>IFERROR(IF(INDEX(Winter!$1:$1048576,MATCH(All!$A78,Winter!$A:$A,FALSE),MATCH(All!P$1,Winter!$1:$1,FALSE))="","",INDEX(Winter!$1:$1048576,MATCH(All!$A78,Winter!$A:$A,FALSE),MATCH(All!P$1,Winter!$1:$1,FALSE))),"")</f>
        <v>4A</v>
      </c>
      <c r="Q78" t="str">
        <f>IFERROR(IF(INDEX(Winter!$1:$1048576,MATCH(All!$A78,Winter!$A:$A,FALSE),MATCH(All!Q$1,Winter!$1:$1,FALSE))="","",INDEX(Winter!$1:$1048576,MATCH(All!$A78,Winter!$A:$A,FALSE),MATCH(All!Q$1,Winter!$1:$1,FALSE))),"")</f>
        <v>4A</v>
      </c>
      <c r="R78" t="str">
        <f>IFERROR(IF(INDEX(Winter!$1:$1048576,MATCH(All!$A78,Winter!$A:$A,FALSE),MATCH(All!R$1,Winter!$1:$1,FALSE))="","",INDEX(Winter!$1:$1048576,MATCH(All!$A78,Winter!$A:$A,FALSE),MATCH(All!R$1,Winter!$1:$1,FALSE))),"")</f>
        <v>2A</v>
      </c>
      <c r="S78" t="str">
        <f>IFERROR(IF(INDEX(Winter!$1:$1048576,MATCH(All!$A78,Winter!$A:$A,FALSE),MATCH(All!S$1,Winter!$1:$1,FALSE))="","",INDEX(Winter!$1:$1048576,MATCH(All!$A78,Winter!$A:$A,FALSE),MATCH(All!S$1,Winter!$1:$1,FALSE))),"")</f>
        <v>2A</v>
      </c>
      <c r="T78" t="str">
        <f>IFERROR(IF(INDEX(Winter!$1:$1048576,MATCH(All!$A78,Winter!$A:$A,FALSE),MATCH(All!T$1,Winter!$1:$1,FALSE))="","",INDEX(Winter!$1:$1048576,MATCH(All!$A78,Winter!$A:$A,FALSE),MATCH(All!T$1,Winter!$1:$1,FALSE))),"")</f>
        <v>2A</v>
      </c>
      <c r="U78" t="str">
        <f>IFERROR(IF(INDEX(Winter!$1:$1048576,MATCH(All!$A78,Winter!$A:$A,FALSE),MATCH(All!U$1,Winter!$1:$1,FALSE))="","",INDEX(Winter!$1:$1048576,MATCH(All!$A78,Winter!$A:$A,FALSE),MATCH(All!U$1,Winter!$1:$1,FALSE))),"")</f>
        <v>3A</v>
      </c>
      <c r="W78" t="str">
        <f>IFERROR(IF(INDEX(Spring!$1:$1048576,MATCH(All!$A78,Spring!$A:$A,FALSE),MATCH(All!W$1,Spring!$1:$1,FALSE))="","",INDEX(Spring!$1:$1048576,MATCH(All!$A78,Spring!$A:$A,FALSE),MATCH(All!W$1,Spring!$1:$1,FALSE))),"")</f>
        <v>1,098.00 (1,811.70)</v>
      </c>
      <c r="X78" t="str">
        <f>IFERROR(IF(INDEX(Spring!$1:$1048576,MATCH(All!$A78,Spring!$A:$A,FALSE),MATCH(All!X$1,Spring!$1:$1,FALSE))="","",INDEX(Spring!$1:$1048576,MATCH(All!$A78,Spring!$A:$A,FALSE),MATCH(All!X$1,Spring!$1:$1,FALSE))),"")</f>
        <v>4A</v>
      </c>
      <c r="Y78" t="str">
        <f>IFERROR(IF(INDEX(Spring!$1:$1048576,MATCH(All!$A78,Spring!$A:$A,FALSE),MATCH(All!Y$1,Spring!$1:$1,FALSE))="","",INDEX(Spring!$1:$1048576,MATCH(All!$A78,Spring!$A:$A,FALSE),MATCH(All!Y$1,Spring!$1:$1,FALSE))),"")</f>
        <v>4A</v>
      </c>
      <c r="Z78" t="str">
        <f>IFERROR(IF(INDEX(Spring!$1:$1048576,MATCH(All!$A78,Spring!$A:$A,FALSE),MATCH(All!Z$1,Spring!$1:$1,FALSE))="","",INDEX(Spring!$1:$1048576,MATCH(All!$A78,Spring!$A:$A,FALSE),MATCH(All!Z$1,Spring!$1:$1,FALSE))),"")</f>
        <v>3A</v>
      </c>
      <c r="AA78" t="str">
        <f>IFERROR(IF(INDEX(Spring!$1:$1048576,MATCH(All!$A78,Spring!$A:$A,FALSE),MATCH(All!AA$1,Spring!$1:$1,FALSE))="","",INDEX(Spring!$1:$1048576,MATCH(All!$A78,Spring!$A:$A,FALSE),MATCH(All!AA$1,Spring!$1:$1,FALSE))),"")</f>
        <v>1A</v>
      </c>
      <c r="AB78" t="str">
        <f>IFERROR(IF(INDEX(Spring!$1:$1048576,MATCH(All!$A78,Spring!$A:$A,FALSE),MATCH(All!AB$1,Spring!$1:$1,FALSE))="","",INDEX(Spring!$1:$1048576,MATCH(All!$A78,Spring!$A:$A,FALSE),MATCH(All!AB$1,Spring!$1:$1,FALSE))),"")</f>
        <v>3A</v>
      </c>
      <c r="AC78" t="str">
        <f>IFERROR(IF(INDEX(Spring!$1:$1048576,MATCH(All!$A78,Spring!$A:$A,FALSE),MATCH(All!AC$1,Spring!$1:$1,FALSE))="","",INDEX(Spring!$1:$1048576,MATCH(All!$A78,Spring!$A:$A,FALSE),MATCH(All!AC$1,Spring!$1:$1,FALSE))),"")</f>
        <v>2A</v>
      </c>
      <c r="AD78" t="str">
        <f>IFERROR(VLOOKUP(A78,'Flag Football'!A:A,1,FALSE),"")</f>
        <v>Burbank (St. Laurence)</v>
      </c>
      <c r="AE78" t="str">
        <f t="shared" si="1"/>
        <v>1A</v>
      </c>
    </row>
    <row r="79" spans="1:31" ht="15.75" thickBot="1" x14ac:dyDescent="0.3">
      <c r="A79" s="18" t="s">
        <v>97</v>
      </c>
      <c r="B79" s="38">
        <f>IFERROR(VLOOKUP(A79,'Public v Private'!A:G,3,FALSE),"")</f>
        <v>0</v>
      </c>
      <c r="C79" s="38">
        <f>IFERROR(VLOOKUP(A79,'Public v Private'!A:G,4,FALSE),"")</f>
        <v>0</v>
      </c>
      <c r="D79" s="38">
        <f>IFERROR(VLOOKUP(A79,'Public v Private'!A:G,5,FALSE),"")</f>
        <v>0</v>
      </c>
      <c r="E79" s="38"/>
      <c r="F79" s="40">
        <f>IFERROR(INDEX(Fall!$1:$1048576,MATCH(All!$A79,Fall!$A:$A,FALSE),MATCH(All!F$1,Fall!$1:$1,FALSE)),"N/A")</f>
        <v>1556</v>
      </c>
      <c r="G79" t="str">
        <f>IFERROR(IF(INDEX(Fall!$1:$1048576,MATCH(All!$A79,Fall!$A:$A,FALSE),MATCH(All!G$1,Fall!$1:$1,FALSE))="","",INDEX(Fall!$1:$1048576,MATCH(All!$A79,Fall!$A:$A,FALSE),MATCH(All!G$1,Fall!$1:$1,FALSE))),"")</f>
        <v>3A</v>
      </c>
      <c r="H79" t="str">
        <f>IFERROR(IF(INDEX(Fall!$1:$1048576,MATCH(All!$A79,Fall!$A:$A,FALSE),MATCH(All!H$1,Fall!$1:$1,FALSE))="","",INDEX(Fall!$1:$1048576,MATCH(All!$A79,Fall!$A:$A,FALSE),MATCH(All!H$1,Fall!$1:$1,FALSE))),"")</f>
        <v>3A</v>
      </c>
      <c r="I79" t="str">
        <f>IFERROR(IF(INDEX(Fall!$1:$1048576,MATCH(All!$A79,Fall!$A:$A,FALSE),MATCH(All!I$1,Fall!$1:$1,FALSE))="","",INDEX(Fall!$1:$1048576,MATCH(All!$A79,Fall!$A:$A,FALSE),MATCH(All!I$1,Fall!$1:$1,FALSE))),"")</f>
        <v>3A</v>
      </c>
      <c r="J79" t="str">
        <f>IFERROR(IF(INDEX(Fall!$1:$1048576,MATCH(All!$A79,Fall!$A:$A,FALSE),MATCH(All!J$1,Fall!$1:$1,FALSE))="","",INDEX(Fall!$1:$1048576,MATCH(All!$A79,Fall!$A:$A,FALSE),MATCH(All!J$1,Fall!$1:$1,FALSE))),"")</f>
        <v>2A</v>
      </c>
      <c r="K79" t="str">
        <f>IFERROR(IF(INDEX(Fall!$1:$1048576,MATCH(All!$A79,Fall!$A:$A,FALSE),MATCH(All!K$1,Fall!$1:$1,FALSE))="","",INDEX(Fall!$1:$1048576,MATCH(All!$A79,Fall!$A:$A,FALSE),MATCH(All!K$1,Fall!$1:$1,FALSE))),"")</f>
        <v>2A</v>
      </c>
      <c r="L79" t="str">
        <f>IFERROR(IF(INDEX(Fall!$1:$1048576,MATCH(All!$A79,Fall!$A:$A,FALSE),MATCH(All!L$1,Fall!$1:$1,FALSE))="","",INDEX(Fall!$1:$1048576,MATCH(All!$A79,Fall!$A:$A,FALSE),MATCH(All!L$1,Fall!$1:$1,FALSE))),"")</f>
        <v/>
      </c>
      <c r="M79" t="str">
        <f>IFERROR(IF(INDEX(Fall!$1:$1048576,MATCH(All!$A79,Fall!$A:$A,FALSE),MATCH(All!M$1,Fall!$1:$1,FALSE))="","",INDEX(Fall!$1:$1048576,MATCH(All!$A79,Fall!$A:$A,FALSE),MATCH(All!M$1,Fall!$1:$1,FALSE))),"")</f>
        <v>3A</v>
      </c>
      <c r="O79">
        <f>IFERROR(IF(INDEX(Winter!$1:$1048576,MATCH(All!$A79,Winter!$A:$A,FALSE),MATCH(All!O$1,Winter!$1:$1,FALSE))="","",INDEX(Winter!$1:$1048576,MATCH(All!$A79,Winter!$A:$A,FALSE),MATCH(All!O$1,Winter!$1:$1,FALSE))),"")</f>
        <v>1556</v>
      </c>
      <c r="P79" t="str">
        <f>IFERROR(IF(INDEX(Winter!$1:$1048576,MATCH(All!$A79,Winter!$A:$A,FALSE),MATCH(All!P$1,Winter!$1:$1,FALSE))="","",INDEX(Winter!$1:$1048576,MATCH(All!$A79,Winter!$A:$A,FALSE),MATCH(All!P$1,Winter!$1:$1,FALSE))),"")</f>
        <v>3A</v>
      </c>
      <c r="Q79" t="str">
        <f>IFERROR(IF(INDEX(Winter!$1:$1048576,MATCH(All!$A79,Winter!$A:$A,FALSE),MATCH(All!Q$1,Winter!$1:$1,FALSE))="","",INDEX(Winter!$1:$1048576,MATCH(All!$A79,Winter!$A:$A,FALSE),MATCH(All!Q$1,Winter!$1:$1,FALSE))),"")</f>
        <v>3A</v>
      </c>
      <c r="R79" t="str">
        <f>IFERROR(IF(INDEX(Winter!$1:$1048576,MATCH(All!$A79,Winter!$A:$A,FALSE),MATCH(All!R$1,Winter!$1:$1,FALSE))="","",INDEX(Winter!$1:$1048576,MATCH(All!$A79,Winter!$A:$A,FALSE),MATCH(All!R$1,Winter!$1:$1,FALSE))),"")</f>
        <v>2A</v>
      </c>
      <c r="S79" t="str">
        <f>IFERROR(IF(INDEX(Winter!$1:$1048576,MATCH(All!$A79,Winter!$A:$A,FALSE),MATCH(All!S$1,Winter!$1:$1,FALSE))="","",INDEX(Winter!$1:$1048576,MATCH(All!$A79,Winter!$A:$A,FALSE),MATCH(All!S$1,Winter!$1:$1,FALSE))),"")</f>
        <v>2A</v>
      </c>
      <c r="T79" t="str">
        <f>IFERROR(IF(INDEX(Winter!$1:$1048576,MATCH(All!$A79,Winter!$A:$A,FALSE),MATCH(All!T$1,Winter!$1:$1,FALSE))="","",INDEX(Winter!$1:$1048576,MATCH(All!$A79,Winter!$A:$A,FALSE),MATCH(All!T$1,Winter!$1:$1,FALSE))),"")</f>
        <v>2A</v>
      </c>
      <c r="U79" t="str">
        <f>IFERROR(IF(INDEX(Winter!$1:$1048576,MATCH(All!$A79,Winter!$A:$A,FALSE),MATCH(All!U$1,Winter!$1:$1,FALSE))="","",INDEX(Winter!$1:$1048576,MATCH(All!$A79,Winter!$A:$A,FALSE),MATCH(All!U$1,Winter!$1:$1,FALSE))),"")</f>
        <v>2A</v>
      </c>
      <c r="W79">
        <f>IFERROR(IF(INDEX(Spring!$1:$1048576,MATCH(All!$A79,Spring!$A:$A,FALSE),MATCH(All!W$1,Spring!$1:$1,FALSE))="","",INDEX(Spring!$1:$1048576,MATCH(All!$A79,Spring!$A:$A,FALSE),MATCH(All!W$1,Spring!$1:$1,FALSE))),"")</f>
        <v>1556</v>
      </c>
      <c r="X79" t="str">
        <f>IFERROR(IF(INDEX(Spring!$1:$1048576,MATCH(All!$A79,Spring!$A:$A,FALSE),MATCH(All!X$1,Spring!$1:$1,FALSE))="","",INDEX(Spring!$1:$1048576,MATCH(All!$A79,Spring!$A:$A,FALSE),MATCH(All!X$1,Spring!$1:$1,FALSE))),"")</f>
        <v>3A</v>
      </c>
      <c r="Y79" t="str">
        <f>IFERROR(IF(INDEX(Spring!$1:$1048576,MATCH(All!$A79,Spring!$A:$A,FALSE),MATCH(All!Y$1,Spring!$1:$1,FALSE))="","",INDEX(Spring!$1:$1048576,MATCH(All!$A79,Spring!$A:$A,FALSE),MATCH(All!Y$1,Spring!$1:$1,FALSE))),"")</f>
        <v>3A</v>
      </c>
      <c r="Z79" t="str">
        <f>IFERROR(IF(INDEX(Spring!$1:$1048576,MATCH(All!$A79,Spring!$A:$A,FALSE),MATCH(All!Z$1,Spring!$1:$1,FALSE))="","",INDEX(Spring!$1:$1048576,MATCH(All!$A79,Spring!$A:$A,FALSE),MATCH(All!Z$1,Spring!$1:$1,FALSE))),"")</f>
        <v>2A</v>
      </c>
      <c r="AA79" t="str">
        <f>IFERROR(IF(INDEX(Spring!$1:$1048576,MATCH(All!$A79,Spring!$A:$A,FALSE),MATCH(All!AA$1,Spring!$1:$1,FALSE))="","",INDEX(Spring!$1:$1048576,MATCH(All!$A79,Spring!$A:$A,FALSE),MATCH(All!AA$1,Spring!$1:$1,FALSE))),"")</f>
        <v/>
      </c>
      <c r="AB79" t="str">
        <f>IFERROR(IF(INDEX(Spring!$1:$1048576,MATCH(All!$A79,Spring!$A:$A,FALSE),MATCH(All!AB$1,Spring!$1:$1,FALSE))="","",INDEX(Spring!$1:$1048576,MATCH(All!$A79,Spring!$A:$A,FALSE),MATCH(All!AB$1,Spring!$1:$1,FALSE))),"")</f>
        <v>3A</v>
      </c>
      <c r="AC79" t="str">
        <f>IFERROR(IF(INDEX(Spring!$1:$1048576,MATCH(All!$A79,Spring!$A:$A,FALSE),MATCH(All!AC$1,Spring!$1:$1,FALSE))="","",INDEX(Spring!$1:$1048576,MATCH(All!$A79,Spring!$A:$A,FALSE),MATCH(All!AC$1,Spring!$1:$1,FALSE))),"")</f>
        <v>3A</v>
      </c>
      <c r="AD79" t="str">
        <f>IFERROR(VLOOKUP(A79,'Flag Football'!A:A,1,FALSE),"")</f>
        <v/>
      </c>
      <c r="AE79" t="str">
        <f t="shared" si="1"/>
        <v/>
      </c>
    </row>
    <row r="80" spans="1:31" ht="15.75" thickBot="1" x14ac:dyDescent="0.3">
      <c r="A80" s="20" t="s">
        <v>98</v>
      </c>
      <c r="B80" s="38">
        <f>IFERROR(VLOOKUP(A80,'Public v Private'!A:G,3,FALSE),"")</f>
        <v>0</v>
      </c>
      <c r="C80" s="38">
        <f>IFERROR(VLOOKUP(A80,'Public v Private'!A:G,4,FALSE),"")</f>
        <v>0</v>
      </c>
      <c r="D80" s="38">
        <f>IFERROR(VLOOKUP(A80,'Public v Private'!A:G,5,FALSE),"")</f>
        <v>0</v>
      </c>
      <c r="E80" s="38"/>
      <c r="F80" s="40">
        <f>IFERROR(INDEX(Fall!$1:$1048576,MATCH(All!$A80,Fall!$A:$A,FALSE),MATCH(All!F$1,Fall!$1:$1,FALSE)),"N/A")</f>
        <v>168</v>
      </c>
      <c r="G80" t="str">
        <f>IFERROR(IF(INDEX(Fall!$1:$1048576,MATCH(All!$A80,Fall!$A:$A,FALSE),MATCH(All!G$1,Fall!$1:$1,FALSE))="","",INDEX(Fall!$1:$1048576,MATCH(All!$A80,Fall!$A:$A,FALSE),MATCH(All!G$1,Fall!$1:$1,FALSE))),"")</f>
        <v>1A</v>
      </c>
      <c r="H80" t="str">
        <f>IFERROR(IF(INDEX(Fall!$1:$1048576,MATCH(All!$A80,Fall!$A:$A,FALSE),MATCH(All!H$1,Fall!$1:$1,FALSE))="","",INDEX(Fall!$1:$1048576,MATCH(All!$A80,Fall!$A:$A,FALSE),MATCH(All!H$1,Fall!$1:$1,FALSE))),"")</f>
        <v>1A</v>
      </c>
      <c r="I80" t="str">
        <f>IFERROR(IF(INDEX(Fall!$1:$1048576,MATCH(All!$A80,Fall!$A:$A,FALSE),MATCH(All!I$1,Fall!$1:$1,FALSE))="","",INDEX(Fall!$1:$1048576,MATCH(All!$A80,Fall!$A:$A,FALSE),MATCH(All!I$1,Fall!$1:$1,FALSE))),"")</f>
        <v/>
      </c>
      <c r="J80" t="str">
        <f>IFERROR(IF(INDEX(Fall!$1:$1048576,MATCH(All!$A80,Fall!$A:$A,FALSE),MATCH(All!J$1,Fall!$1:$1,FALSE))="","",INDEX(Fall!$1:$1048576,MATCH(All!$A80,Fall!$A:$A,FALSE),MATCH(All!J$1,Fall!$1:$1,FALSE))),"")</f>
        <v/>
      </c>
      <c r="K80" t="str">
        <f>IFERROR(IF(INDEX(Fall!$1:$1048576,MATCH(All!$A80,Fall!$A:$A,FALSE),MATCH(All!K$1,Fall!$1:$1,FALSE))="","",INDEX(Fall!$1:$1048576,MATCH(All!$A80,Fall!$A:$A,FALSE),MATCH(All!K$1,Fall!$1:$1,FALSE))),"")</f>
        <v/>
      </c>
      <c r="L80" t="str">
        <f>IFERROR(IF(INDEX(Fall!$1:$1048576,MATCH(All!$A80,Fall!$A:$A,FALSE),MATCH(All!L$1,Fall!$1:$1,FALSE))="","",INDEX(Fall!$1:$1048576,MATCH(All!$A80,Fall!$A:$A,FALSE),MATCH(All!L$1,Fall!$1:$1,FALSE))),"")</f>
        <v/>
      </c>
      <c r="M80" t="str">
        <f>IFERROR(IF(INDEX(Fall!$1:$1048576,MATCH(All!$A80,Fall!$A:$A,FALSE),MATCH(All!M$1,Fall!$1:$1,FALSE))="","",INDEX(Fall!$1:$1048576,MATCH(All!$A80,Fall!$A:$A,FALSE),MATCH(All!M$1,Fall!$1:$1,FALSE))),"")</f>
        <v>1A</v>
      </c>
      <c r="O80">
        <f>IFERROR(IF(INDEX(Winter!$1:$1048576,MATCH(All!$A80,Winter!$A:$A,FALSE),MATCH(All!O$1,Winter!$1:$1,FALSE))="","",INDEX(Winter!$1:$1048576,MATCH(All!$A80,Winter!$A:$A,FALSE),MATCH(All!O$1,Winter!$1:$1,FALSE))),"")</f>
        <v>168</v>
      </c>
      <c r="P80" t="str">
        <f>IFERROR(IF(INDEX(Winter!$1:$1048576,MATCH(All!$A80,Winter!$A:$A,FALSE),MATCH(All!P$1,Winter!$1:$1,FALSE))="","",INDEX(Winter!$1:$1048576,MATCH(All!$A80,Winter!$A:$A,FALSE),MATCH(All!P$1,Winter!$1:$1,FALSE))),"")</f>
        <v>1A</v>
      </c>
      <c r="Q80" t="str">
        <f>IFERROR(IF(INDEX(Winter!$1:$1048576,MATCH(All!$A80,Winter!$A:$A,FALSE),MATCH(All!Q$1,Winter!$1:$1,FALSE))="","",INDEX(Winter!$1:$1048576,MATCH(All!$A80,Winter!$A:$A,FALSE),MATCH(All!Q$1,Winter!$1:$1,FALSE))),"")</f>
        <v>1A</v>
      </c>
      <c r="R80" t="str">
        <f>IFERROR(IF(INDEX(Winter!$1:$1048576,MATCH(All!$A80,Winter!$A:$A,FALSE),MATCH(All!R$1,Winter!$1:$1,FALSE))="","",INDEX(Winter!$1:$1048576,MATCH(All!$A80,Winter!$A:$A,FALSE),MATCH(All!R$1,Winter!$1:$1,FALSE))),"")</f>
        <v/>
      </c>
      <c r="S80" t="str">
        <f>IFERROR(IF(INDEX(Winter!$1:$1048576,MATCH(All!$A80,Winter!$A:$A,FALSE),MATCH(All!S$1,Winter!$1:$1,FALSE))="","",INDEX(Winter!$1:$1048576,MATCH(All!$A80,Winter!$A:$A,FALSE),MATCH(All!S$1,Winter!$1:$1,FALSE))),"")</f>
        <v/>
      </c>
      <c r="T80" t="str">
        <f>IFERROR(IF(INDEX(Winter!$1:$1048576,MATCH(All!$A80,Winter!$A:$A,FALSE),MATCH(All!T$1,Winter!$1:$1,FALSE))="","",INDEX(Winter!$1:$1048576,MATCH(All!$A80,Winter!$A:$A,FALSE),MATCH(All!T$1,Winter!$1:$1,FALSE))),"")</f>
        <v>1A</v>
      </c>
      <c r="U80" t="str">
        <f>IFERROR(IF(INDEX(Winter!$1:$1048576,MATCH(All!$A80,Winter!$A:$A,FALSE),MATCH(All!U$1,Winter!$1:$1,FALSE))="","",INDEX(Winter!$1:$1048576,MATCH(All!$A80,Winter!$A:$A,FALSE),MATCH(All!U$1,Winter!$1:$1,FALSE))),"")</f>
        <v/>
      </c>
      <c r="W80">
        <f>IFERROR(IF(INDEX(Spring!$1:$1048576,MATCH(All!$A80,Spring!$A:$A,FALSE),MATCH(All!W$1,Spring!$1:$1,FALSE))="","",INDEX(Spring!$1:$1048576,MATCH(All!$A80,Spring!$A:$A,FALSE),MATCH(All!W$1,Spring!$1:$1,FALSE))),"")</f>
        <v>168</v>
      </c>
      <c r="X80" t="str">
        <f>IFERROR(IF(INDEX(Spring!$1:$1048576,MATCH(All!$A80,Spring!$A:$A,FALSE),MATCH(All!X$1,Spring!$1:$1,FALSE))="","",INDEX(Spring!$1:$1048576,MATCH(All!$A80,Spring!$A:$A,FALSE),MATCH(All!X$1,Spring!$1:$1,FALSE))),"")</f>
        <v>1A</v>
      </c>
      <c r="Y80" t="str">
        <f>IFERROR(IF(INDEX(Spring!$1:$1048576,MATCH(All!$A80,Spring!$A:$A,FALSE),MATCH(All!Y$1,Spring!$1:$1,FALSE))="","",INDEX(Spring!$1:$1048576,MATCH(All!$A80,Spring!$A:$A,FALSE),MATCH(All!Y$1,Spring!$1:$1,FALSE))),"")</f>
        <v>1A</v>
      </c>
      <c r="Z80" t="str">
        <f>IFERROR(IF(INDEX(Spring!$1:$1048576,MATCH(All!$A80,Spring!$A:$A,FALSE),MATCH(All!Z$1,Spring!$1:$1,FALSE))="","",INDEX(Spring!$1:$1048576,MATCH(All!$A80,Spring!$A:$A,FALSE),MATCH(All!Z$1,Spring!$1:$1,FALSE))),"")</f>
        <v/>
      </c>
      <c r="AA80" t="str">
        <f>IFERROR(IF(INDEX(Spring!$1:$1048576,MATCH(All!$A80,Spring!$A:$A,FALSE),MATCH(All!AA$1,Spring!$1:$1,FALSE))="","",INDEX(Spring!$1:$1048576,MATCH(All!$A80,Spring!$A:$A,FALSE),MATCH(All!AA$1,Spring!$1:$1,FALSE))),"")</f>
        <v/>
      </c>
      <c r="AB80" t="str">
        <f>IFERROR(IF(INDEX(Spring!$1:$1048576,MATCH(All!$A80,Spring!$A:$A,FALSE),MATCH(All!AB$1,Spring!$1:$1,FALSE))="","",INDEX(Spring!$1:$1048576,MATCH(All!$A80,Spring!$A:$A,FALSE),MATCH(All!AB$1,Spring!$1:$1,FALSE))),"")</f>
        <v>1A</v>
      </c>
      <c r="AC80" t="str">
        <f>IFERROR(IF(INDEX(Spring!$1:$1048576,MATCH(All!$A80,Spring!$A:$A,FALSE),MATCH(All!AC$1,Spring!$1:$1,FALSE))="","",INDEX(Spring!$1:$1048576,MATCH(All!$A80,Spring!$A:$A,FALSE),MATCH(All!AC$1,Spring!$1:$1,FALSE))),"")</f>
        <v>1A</v>
      </c>
      <c r="AD80" t="str">
        <f>IFERROR(VLOOKUP(A80,'Flag Football'!A:A,1,FALSE),"")</f>
        <v/>
      </c>
      <c r="AE80" t="str">
        <f t="shared" si="1"/>
        <v/>
      </c>
    </row>
    <row r="81" spans="1:31" ht="15.75" thickBot="1" x14ac:dyDescent="0.3">
      <c r="A81" s="18" t="s">
        <v>99</v>
      </c>
      <c r="B81" s="38">
        <f>IFERROR(VLOOKUP(A81,'Public v Private'!A:G,3,FALSE),"")</f>
        <v>0</v>
      </c>
      <c r="C81" s="38">
        <f>IFERROR(VLOOKUP(A81,'Public v Private'!A:G,4,FALSE),"")</f>
        <v>0</v>
      </c>
      <c r="D81" s="38">
        <f>IFERROR(VLOOKUP(A81,'Public v Private'!A:G,5,FALSE),"")</f>
        <v>0</v>
      </c>
      <c r="E81" s="38"/>
      <c r="F81" s="40">
        <f>IFERROR(INDEX(Fall!$1:$1048576,MATCH(All!$A81,Fall!$A:$A,FALSE),MATCH(All!F$1,Fall!$1:$1,FALSE)),"N/A")</f>
        <v>477</v>
      </c>
      <c r="G81" t="str">
        <f>IFERROR(IF(INDEX(Fall!$1:$1048576,MATCH(All!$A81,Fall!$A:$A,FALSE),MATCH(All!G$1,Fall!$1:$1,FALSE))="","",INDEX(Fall!$1:$1048576,MATCH(All!$A81,Fall!$A:$A,FALSE),MATCH(All!G$1,Fall!$1:$1,FALSE))),"")</f>
        <v>1A</v>
      </c>
      <c r="H81" t="str">
        <f>IFERROR(IF(INDEX(Fall!$1:$1048576,MATCH(All!$A81,Fall!$A:$A,FALSE),MATCH(All!H$1,Fall!$1:$1,FALSE))="","",INDEX(Fall!$1:$1048576,MATCH(All!$A81,Fall!$A:$A,FALSE),MATCH(All!H$1,Fall!$1:$1,FALSE))),"")</f>
        <v>1A</v>
      </c>
      <c r="I81" t="str">
        <f>IFERROR(IF(INDEX(Fall!$1:$1048576,MATCH(All!$A81,Fall!$A:$A,FALSE),MATCH(All!I$1,Fall!$1:$1,FALSE))="","",INDEX(Fall!$1:$1048576,MATCH(All!$A81,Fall!$A:$A,FALSE),MATCH(All!I$1,Fall!$1:$1,FALSE))),"")</f>
        <v>1A</v>
      </c>
      <c r="J81" t="str">
        <f>IFERROR(IF(INDEX(Fall!$1:$1048576,MATCH(All!$A81,Fall!$A:$A,FALSE),MATCH(All!J$1,Fall!$1:$1,FALSE))="","",INDEX(Fall!$1:$1048576,MATCH(All!$A81,Fall!$A:$A,FALSE),MATCH(All!J$1,Fall!$1:$1,FALSE))),"")</f>
        <v>1A</v>
      </c>
      <c r="K81" t="str">
        <f>IFERROR(IF(INDEX(Fall!$1:$1048576,MATCH(All!$A81,Fall!$A:$A,FALSE),MATCH(All!K$1,Fall!$1:$1,FALSE))="","",INDEX(Fall!$1:$1048576,MATCH(All!$A81,Fall!$A:$A,FALSE),MATCH(All!K$1,Fall!$1:$1,FALSE))),"")</f>
        <v>1A</v>
      </c>
      <c r="L81" t="str">
        <f>IFERROR(IF(INDEX(Fall!$1:$1048576,MATCH(All!$A81,Fall!$A:$A,FALSE),MATCH(All!L$1,Fall!$1:$1,FALSE))="","",INDEX(Fall!$1:$1048576,MATCH(All!$A81,Fall!$A:$A,FALSE),MATCH(All!L$1,Fall!$1:$1,FALSE))),"")</f>
        <v/>
      </c>
      <c r="M81" t="str">
        <f>IFERROR(IF(INDEX(Fall!$1:$1048576,MATCH(All!$A81,Fall!$A:$A,FALSE),MATCH(All!M$1,Fall!$1:$1,FALSE))="","",INDEX(Fall!$1:$1048576,MATCH(All!$A81,Fall!$A:$A,FALSE),MATCH(All!M$1,Fall!$1:$1,FALSE))),"")</f>
        <v>2A</v>
      </c>
      <c r="O81">
        <f>IFERROR(IF(INDEX(Winter!$1:$1048576,MATCH(All!$A81,Winter!$A:$A,FALSE),MATCH(All!O$1,Winter!$1:$1,FALSE))="","",INDEX(Winter!$1:$1048576,MATCH(All!$A81,Winter!$A:$A,FALSE),MATCH(All!O$1,Winter!$1:$1,FALSE))),"")</f>
        <v>477</v>
      </c>
      <c r="P81" t="str">
        <f>IFERROR(IF(INDEX(Winter!$1:$1048576,MATCH(All!$A81,Winter!$A:$A,FALSE),MATCH(All!P$1,Winter!$1:$1,FALSE))="","",INDEX(Winter!$1:$1048576,MATCH(All!$A81,Winter!$A:$A,FALSE),MATCH(All!P$1,Winter!$1:$1,FALSE))),"")</f>
        <v>2A</v>
      </c>
      <c r="Q81" t="str">
        <f>IFERROR(IF(INDEX(Winter!$1:$1048576,MATCH(All!$A81,Winter!$A:$A,FALSE),MATCH(All!Q$1,Winter!$1:$1,FALSE))="","",INDEX(Winter!$1:$1048576,MATCH(All!$A81,Winter!$A:$A,FALSE),MATCH(All!Q$1,Winter!$1:$1,FALSE))),"")</f>
        <v>2A</v>
      </c>
      <c r="R81" t="str">
        <f>IFERROR(IF(INDEX(Winter!$1:$1048576,MATCH(All!$A81,Winter!$A:$A,FALSE),MATCH(All!R$1,Winter!$1:$1,FALSE))="","",INDEX(Winter!$1:$1048576,MATCH(All!$A81,Winter!$A:$A,FALSE),MATCH(All!R$1,Winter!$1:$1,FALSE))),"")</f>
        <v>1A</v>
      </c>
      <c r="S81" t="str">
        <f>IFERROR(IF(INDEX(Winter!$1:$1048576,MATCH(All!$A81,Winter!$A:$A,FALSE),MATCH(All!S$1,Winter!$1:$1,FALSE))="","",INDEX(Winter!$1:$1048576,MATCH(All!$A81,Winter!$A:$A,FALSE),MATCH(All!S$1,Winter!$1:$1,FALSE))),"")</f>
        <v/>
      </c>
      <c r="T81" t="str">
        <f>IFERROR(IF(INDEX(Winter!$1:$1048576,MATCH(All!$A81,Winter!$A:$A,FALSE),MATCH(All!T$1,Winter!$1:$1,FALSE))="","",INDEX(Winter!$1:$1048576,MATCH(All!$A81,Winter!$A:$A,FALSE),MATCH(All!T$1,Winter!$1:$1,FALSE))),"")</f>
        <v>2A</v>
      </c>
      <c r="U81" t="str">
        <f>IFERROR(IF(INDEX(Winter!$1:$1048576,MATCH(All!$A81,Winter!$A:$A,FALSE),MATCH(All!U$1,Winter!$1:$1,FALSE))="","",INDEX(Winter!$1:$1048576,MATCH(All!$A81,Winter!$A:$A,FALSE),MATCH(All!U$1,Winter!$1:$1,FALSE))),"")</f>
        <v>1A</v>
      </c>
      <c r="W81">
        <f>IFERROR(IF(INDEX(Spring!$1:$1048576,MATCH(All!$A81,Spring!$A:$A,FALSE),MATCH(All!W$1,Spring!$1:$1,FALSE))="","",INDEX(Spring!$1:$1048576,MATCH(All!$A81,Spring!$A:$A,FALSE),MATCH(All!W$1,Spring!$1:$1,FALSE))),"")</f>
        <v>477</v>
      </c>
      <c r="X81" t="str">
        <f>IFERROR(IF(INDEX(Spring!$1:$1048576,MATCH(All!$A81,Spring!$A:$A,FALSE),MATCH(All!X$1,Spring!$1:$1,FALSE))="","",INDEX(Spring!$1:$1048576,MATCH(All!$A81,Spring!$A:$A,FALSE),MATCH(All!X$1,Spring!$1:$1,FALSE))),"")</f>
        <v>2A</v>
      </c>
      <c r="Y81" t="str">
        <f>IFERROR(IF(INDEX(Spring!$1:$1048576,MATCH(All!$A81,Spring!$A:$A,FALSE),MATCH(All!Y$1,Spring!$1:$1,FALSE))="","",INDEX(Spring!$1:$1048576,MATCH(All!$A81,Spring!$A:$A,FALSE),MATCH(All!Y$1,Spring!$1:$1,FALSE))),"")</f>
        <v>2A</v>
      </c>
      <c r="Z81" t="str">
        <f>IFERROR(IF(INDEX(Spring!$1:$1048576,MATCH(All!$A81,Spring!$A:$A,FALSE),MATCH(All!Z$1,Spring!$1:$1,FALSE))="","",INDEX(Spring!$1:$1048576,MATCH(All!$A81,Spring!$A:$A,FALSE),MATCH(All!Z$1,Spring!$1:$1,FALSE))),"")</f>
        <v>1A</v>
      </c>
      <c r="AA81" t="str">
        <f>IFERROR(IF(INDEX(Spring!$1:$1048576,MATCH(All!$A81,Spring!$A:$A,FALSE),MATCH(All!AA$1,Spring!$1:$1,FALSE))="","",INDEX(Spring!$1:$1048576,MATCH(All!$A81,Spring!$A:$A,FALSE),MATCH(All!AA$1,Spring!$1:$1,FALSE))),"")</f>
        <v/>
      </c>
      <c r="AB81" t="str">
        <f>IFERROR(IF(INDEX(Spring!$1:$1048576,MATCH(All!$A81,Spring!$A:$A,FALSE),MATCH(All!AB$1,Spring!$1:$1,FALSE))="","",INDEX(Spring!$1:$1048576,MATCH(All!$A81,Spring!$A:$A,FALSE),MATCH(All!AB$1,Spring!$1:$1,FALSE))),"")</f>
        <v>2A</v>
      </c>
      <c r="AC81" t="str">
        <f>IFERROR(IF(INDEX(Spring!$1:$1048576,MATCH(All!$A81,Spring!$A:$A,FALSE),MATCH(All!AC$1,Spring!$1:$1,FALSE))="","",INDEX(Spring!$1:$1048576,MATCH(All!$A81,Spring!$A:$A,FALSE),MATCH(All!AC$1,Spring!$1:$1,FALSE))),"")</f>
        <v>2A</v>
      </c>
      <c r="AD81" t="str">
        <f>IFERROR(VLOOKUP(A81,'Flag Football'!A:A,1,FALSE),"")</f>
        <v/>
      </c>
      <c r="AE81" t="str">
        <f t="shared" si="1"/>
        <v/>
      </c>
    </row>
    <row r="82" spans="1:31" ht="15.75" thickBot="1" x14ac:dyDescent="0.3">
      <c r="A82" s="20" t="s">
        <v>100</v>
      </c>
      <c r="B82" s="38">
        <f>IFERROR(VLOOKUP(A82,'Public v Private'!A:G,3,FALSE),"")</f>
        <v>0</v>
      </c>
      <c r="C82" s="38">
        <f>IFERROR(VLOOKUP(A82,'Public v Private'!A:G,4,FALSE),"")</f>
        <v>0</v>
      </c>
      <c r="D82" s="38">
        <f>IFERROR(VLOOKUP(A82,'Public v Private'!A:G,5,FALSE),"")</f>
        <v>0</v>
      </c>
      <c r="E82" s="38"/>
      <c r="F82" s="40">
        <f>IFERROR(INDEX(Fall!$1:$1048576,MATCH(All!$A82,Fall!$A:$A,FALSE),MATCH(All!F$1,Fall!$1:$1,FALSE)),"N/A")</f>
        <v>827</v>
      </c>
      <c r="G82" t="str">
        <f>IFERROR(IF(INDEX(Fall!$1:$1048576,MATCH(All!$A82,Fall!$A:$A,FALSE),MATCH(All!G$1,Fall!$1:$1,FALSE))="","",INDEX(Fall!$1:$1048576,MATCH(All!$A82,Fall!$A:$A,FALSE),MATCH(All!G$1,Fall!$1:$1,FALSE))),"")</f>
        <v>2A</v>
      </c>
      <c r="H82" t="str">
        <f>IFERROR(IF(INDEX(Fall!$1:$1048576,MATCH(All!$A82,Fall!$A:$A,FALSE),MATCH(All!H$1,Fall!$1:$1,FALSE))="","",INDEX(Fall!$1:$1048576,MATCH(All!$A82,Fall!$A:$A,FALSE),MATCH(All!H$1,Fall!$1:$1,FALSE))),"")</f>
        <v>2A</v>
      </c>
      <c r="I82" t="str">
        <f>IFERROR(IF(INDEX(Fall!$1:$1048576,MATCH(All!$A82,Fall!$A:$A,FALSE),MATCH(All!I$1,Fall!$1:$1,FALSE))="","",INDEX(Fall!$1:$1048576,MATCH(All!$A82,Fall!$A:$A,FALSE),MATCH(All!I$1,Fall!$1:$1,FALSE))),"")</f>
        <v/>
      </c>
      <c r="J82" t="str">
        <f>IFERROR(IF(INDEX(Fall!$1:$1048576,MATCH(All!$A82,Fall!$A:$A,FALSE),MATCH(All!J$1,Fall!$1:$1,FALSE))="","",INDEX(Fall!$1:$1048576,MATCH(All!$A82,Fall!$A:$A,FALSE),MATCH(All!J$1,Fall!$1:$1,FALSE))),"")</f>
        <v/>
      </c>
      <c r="K82" t="str">
        <f>IFERROR(IF(INDEX(Fall!$1:$1048576,MATCH(All!$A82,Fall!$A:$A,FALSE),MATCH(All!K$1,Fall!$1:$1,FALSE))="","",INDEX(Fall!$1:$1048576,MATCH(All!$A82,Fall!$A:$A,FALSE),MATCH(All!K$1,Fall!$1:$1,FALSE))),"")</f>
        <v/>
      </c>
      <c r="L82" t="str">
        <f>IFERROR(IF(INDEX(Fall!$1:$1048576,MATCH(All!$A82,Fall!$A:$A,FALSE),MATCH(All!L$1,Fall!$1:$1,FALSE))="","",INDEX(Fall!$1:$1048576,MATCH(All!$A82,Fall!$A:$A,FALSE),MATCH(All!L$1,Fall!$1:$1,FALSE))),"")</f>
        <v/>
      </c>
      <c r="M82" t="str">
        <f>IFERROR(IF(INDEX(Fall!$1:$1048576,MATCH(All!$A82,Fall!$A:$A,FALSE),MATCH(All!M$1,Fall!$1:$1,FALSE))="","",INDEX(Fall!$1:$1048576,MATCH(All!$A82,Fall!$A:$A,FALSE),MATCH(All!M$1,Fall!$1:$1,FALSE))),"")</f>
        <v>3A</v>
      </c>
      <c r="O82">
        <f>IFERROR(IF(INDEX(Winter!$1:$1048576,MATCH(All!$A82,Winter!$A:$A,FALSE),MATCH(All!O$1,Winter!$1:$1,FALSE))="","",INDEX(Winter!$1:$1048576,MATCH(All!$A82,Winter!$A:$A,FALSE),MATCH(All!O$1,Winter!$1:$1,FALSE))),"")</f>
        <v>827</v>
      </c>
      <c r="P82" t="str">
        <f>IFERROR(IF(INDEX(Winter!$1:$1048576,MATCH(All!$A82,Winter!$A:$A,FALSE),MATCH(All!P$1,Winter!$1:$1,FALSE))="","",INDEX(Winter!$1:$1048576,MATCH(All!$A82,Winter!$A:$A,FALSE),MATCH(All!P$1,Winter!$1:$1,FALSE))),"")</f>
        <v>3A</v>
      </c>
      <c r="Q82" t="str">
        <f>IFERROR(IF(INDEX(Winter!$1:$1048576,MATCH(All!$A82,Winter!$A:$A,FALSE),MATCH(All!Q$1,Winter!$1:$1,FALSE))="","",INDEX(Winter!$1:$1048576,MATCH(All!$A82,Winter!$A:$A,FALSE),MATCH(All!Q$1,Winter!$1:$1,FALSE))),"")</f>
        <v>3A</v>
      </c>
      <c r="R82" t="str">
        <f>IFERROR(IF(INDEX(Winter!$1:$1048576,MATCH(All!$A82,Winter!$A:$A,FALSE),MATCH(All!R$1,Winter!$1:$1,FALSE))="","",INDEX(Winter!$1:$1048576,MATCH(All!$A82,Winter!$A:$A,FALSE),MATCH(All!R$1,Winter!$1:$1,FALSE))),"")</f>
        <v/>
      </c>
      <c r="S82" t="str">
        <f>IFERROR(IF(INDEX(Winter!$1:$1048576,MATCH(All!$A82,Winter!$A:$A,FALSE),MATCH(All!S$1,Winter!$1:$1,FALSE))="","",INDEX(Winter!$1:$1048576,MATCH(All!$A82,Winter!$A:$A,FALSE),MATCH(All!S$1,Winter!$1:$1,FALSE))),"")</f>
        <v>1A</v>
      </c>
      <c r="T82" t="str">
        <f>IFERROR(IF(INDEX(Winter!$1:$1048576,MATCH(All!$A82,Winter!$A:$A,FALSE),MATCH(All!T$1,Winter!$1:$1,FALSE))="","",INDEX(Winter!$1:$1048576,MATCH(All!$A82,Winter!$A:$A,FALSE),MATCH(All!T$1,Winter!$1:$1,FALSE))),"")</f>
        <v/>
      </c>
      <c r="U82" t="str">
        <f>IFERROR(IF(INDEX(Winter!$1:$1048576,MATCH(All!$A82,Winter!$A:$A,FALSE),MATCH(All!U$1,Winter!$1:$1,FALSE))="","",INDEX(Winter!$1:$1048576,MATCH(All!$A82,Winter!$A:$A,FALSE),MATCH(All!U$1,Winter!$1:$1,FALSE))),"")</f>
        <v>2A</v>
      </c>
      <c r="W82">
        <f>IFERROR(IF(INDEX(Spring!$1:$1048576,MATCH(All!$A82,Spring!$A:$A,FALSE),MATCH(All!W$1,Spring!$1:$1,FALSE))="","",INDEX(Spring!$1:$1048576,MATCH(All!$A82,Spring!$A:$A,FALSE),MATCH(All!W$1,Spring!$1:$1,FALSE))),"")</f>
        <v>827</v>
      </c>
      <c r="X82" t="str">
        <f>IFERROR(IF(INDEX(Spring!$1:$1048576,MATCH(All!$A82,Spring!$A:$A,FALSE),MATCH(All!X$1,Spring!$1:$1,FALSE))="","",INDEX(Spring!$1:$1048576,MATCH(All!$A82,Spring!$A:$A,FALSE),MATCH(All!X$1,Spring!$1:$1,FALSE))),"")</f>
        <v>3A</v>
      </c>
      <c r="Y82" t="str">
        <f>IFERROR(IF(INDEX(Spring!$1:$1048576,MATCH(All!$A82,Spring!$A:$A,FALSE),MATCH(All!Y$1,Spring!$1:$1,FALSE))="","",INDEX(Spring!$1:$1048576,MATCH(All!$A82,Spring!$A:$A,FALSE),MATCH(All!Y$1,Spring!$1:$1,FALSE))),"")</f>
        <v>3A</v>
      </c>
      <c r="Z82" t="str">
        <f>IFERROR(IF(INDEX(Spring!$1:$1048576,MATCH(All!$A82,Spring!$A:$A,FALSE),MATCH(All!Z$1,Spring!$1:$1,FALSE))="","",INDEX(Spring!$1:$1048576,MATCH(All!$A82,Spring!$A:$A,FALSE),MATCH(All!Z$1,Spring!$1:$1,FALSE))),"")</f>
        <v/>
      </c>
      <c r="AA82" t="str">
        <f>IFERROR(IF(INDEX(Spring!$1:$1048576,MATCH(All!$A82,Spring!$A:$A,FALSE),MATCH(All!AA$1,Spring!$1:$1,FALSE))="","",INDEX(Spring!$1:$1048576,MATCH(All!$A82,Spring!$A:$A,FALSE),MATCH(All!AA$1,Spring!$1:$1,FALSE))),"")</f>
        <v/>
      </c>
      <c r="AB82" t="str">
        <f>IFERROR(IF(INDEX(Spring!$1:$1048576,MATCH(All!$A82,Spring!$A:$A,FALSE),MATCH(All!AB$1,Spring!$1:$1,FALSE))="","",INDEX(Spring!$1:$1048576,MATCH(All!$A82,Spring!$A:$A,FALSE),MATCH(All!AB$1,Spring!$1:$1,FALSE))),"")</f>
        <v>2A</v>
      </c>
      <c r="AC82" t="str">
        <f>IFERROR(IF(INDEX(Spring!$1:$1048576,MATCH(All!$A82,Spring!$A:$A,FALSE),MATCH(All!AC$1,Spring!$1:$1,FALSE))="","",INDEX(Spring!$1:$1048576,MATCH(All!$A82,Spring!$A:$A,FALSE),MATCH(All!AC$1,Spring!$1:$1,FALSE))),"")</f>
        <v>2A</v>
      </c>
      <c r="AD82" t="str">
        <f>IFERROR(VLOOKUP(A82,'Flag Football'!A:A,1,FALSE),"")</f>
        <v/>
      </c>
      <c r="AE82" t="str">
        <f t="shared" si="1"/>
        <v/>
      </c>
    </row>
    <row r="83" spans="1:31" ht="15.75" thickBot="1" x14ac:dyDescent="0.3">
      <c r="A83" s="18" t="s">
        <v>101</v>
      </c>
      <c r="B83" s="38">
        <f>IFERROR(VLOOKUP(A83,'Public v Private'!A:G,3,FALSE),"")</f>
        <v>0</v>
      </c>
      <c r="C83" s="38">
        <f>IFERROR(VLOOKUP(A83,'Public v Private'!A:G,4,FALSE),"")</f>
        <v>0</v>
      </c>
      <c r="D83" s="38">
        <f>IFERROR(VLOOKUP(A83,'Public v Private'!A:G,5,FALSE),"")</f>
        <v>0</v>
      </c>
      <c r="E83" s="38"/>
      <c r="F83" s="40">
        <f>IFERROR(INDEX(Fall!$1:$1048576,MATCH(All!$A83,Fall!$A:$A,FALSE),MATCH(All!F$1,Fall!$1:$1,FALSE)),"N/A")</f>
        <v>77</v>
      </c>
      <c r="G83" t="str">
        <f>IFERROR(IF(INDEX(Fall!$1:$1048576,MATCH(All!$A83,Fall!$A:$A,FALSE),MATCH(All!G$1,Fall!$1:$1,FALSE))="","",INDEX(Fall!$1:$1048576,MATCH(All!$A83,Fall!$A:$A,FALSE),MATCH(All!G$1,Fall!$1:$1,FALSE))),"")</f>
        <v/>
      </c>
      <c r="H83" t="str">
        <f>IFERROR(IF(INDEX(Fall!$1:$1048576,MATCH(All!$A83,Fall!$A:$A,FALSE),MATCH(All!H$1,Fall!$1:$1,FALSE))="","",INDEX(Fall!$1:$1048576,MATCH(All!$A83,Fall!$A:$A,FALSE),MATCH(All!H$1,Fall!$1:$1,FALSE))),"")</f>
        <v/>
      </c>
      <c r="I83" t="str">
        <f>IFERROR(IF(INDEX(Fall!$1:$1048576,MATCH(All!$A83,Fall!$A:$A,FALSE),MATCH(All!I$1,Fall!$1:$1,FALSE))="","",INDEX(Fall!$1:$1048576,MATCH(All!$A83,Fall!$A:$A,FALSE),MATCH(All!I$1,Fall!$1:$1,FALSE))),"")</f>
        <v/>
      </c>
      <c r="J83" t="str">
        <f>IFERROR(IF(INDEX(Fall!$1:$1048576,MATCH(All!$A83,Fall!$A:$A,FALSE),MATCH(All!J$1,Fall!$1:$1,FALSE))="","",INDEX(Fall!$1:$1048576,MATCH(All!$A83,Fall!$A:$A,FALSE),MATCH(All!J$1,Fall!$1:$1,FALSE))),"")</f>
        <v/>
      </c>
      <c r="K83" t="str">
        <f>IFERROR(IF(INDEX(Fall!$1:$1048576,MATCH(All!$A83,Fall!$A:$A,FALSE),MATCH(All!K$1,Fall!$1:$1,FALSE))="","",INDEX(Fall!$1:$1048576,MATCH(All!$A83,Fall!$A:$A,FALSE),MATCH(All!K$1,Fall!$1:$1,FALSE))),"")</f>
        <v/>
      </c>
      <c r="L83" t="str">
        <f>IFERROR(IF(INDEX(Fall!$1:$1048576,MATCH(All!$A83,Fall!$A:$A,FALSE),MATCH(All!L$1,Fall!$1:$1,FALSE))="","",INDEX(Fall!$1:$1048576,MATCH(All!$A83,Fall!$A:$A,FALSE),MATCH(All!L$1,Fall!$1:$1,FALSE))),"")</f>
        <v/>
      </c>
      <c r="M83" t="str">
        <f>IFERROR(IF(INDEX(Fall!$1:$1048576,MATCH(All!$A83,Fall!$A:$A,FALSE),MATCH(All!M$1,Fall!$1:$1,FALSE))="","",INDEX(Fall!$1:$1048576,MATCH(All!$A83,Fall!$A:$A,FALSE),MATCH(All!M$1,Fall!$1:$1,FALSE))),"")</f>
        <v>1A</v>
      </c>
      <c r="O83">
        <f>IFERROR(IF(INDEX(Winter!$1:$1048576,MATCH(All!$A83,Winter!$A:$A,FALSE),MATCH(All!O$1,Winter!$1:$1,FALSE))="","",INDEX(Winter!$1:$1048576,MATCH(All!$A83,Winter!$A:$A,FALSE),MATCH(All!O$1,Winter!$1:$1,FALSE))),"")</f>
        <v>77</v>
      </c>
      <c r="P83" t="str">
        <f>IFERROR(IF(INDEX(Winter!$1:$1048576,MATCH(All!$A83,Winter!$A:$A,FALSE),MATCH(All!P$1,Winter!$1:$1,FALSE))="","",INDEX(Winter!$1:$1048576,MATCH(All!$A83,Winter!$A:$A,FALSE),MATCH(All!P$1,Winter!$1:$1,FALSE))),"")</f>
        <v>1A</v>
      </c>
      <c r="Q83" t="str">
        <f>IFERROR(IF(INDEX(Winter!$1:$1048576,MATCH(All!$A83,Winter!$A:$A,FALSE),MATCH(All!Q$1,Winter!$1:$1,FALSE))="","",INDEX(Winter!$1:$1048576,MATCH(All!$A83,Winter!$A:$A,FALSE),MATCH(All!Q$1,Winter!$1:$1,FALSE))),"")</f>
        <v>1A</v>
      </c>
      <c r="R83" t="str">
        <f>IFERROR(IF(INDEX(Winter!$1:$1048576,MATCH(All!$A83,Winter!$A:$A,FALSE),MATCH(All!R$1,Winter!$1:$1,FALSE))="","",INDEX(Winter!$1:$1048576,MATCH(All!$A83,Winter!$A:$A,FALSE),MATCH(All!R$1,Winter!$1:$1,FALSE))),"")</f>
        <v/>
      </c>
      <c r="S83" t="str">
        <f>IFERROR(IF(INDEX(Winter!$1:$1048576,MATCH(All!$A83,Winter!$A:$A,FALSE),MATCH(All!S$1,Winter!$1:$1,FALSE))="","",INDEX(Winter!$1:$1048576,MATCH(All!$A83,Winter!$A:$A,FALSE),MATCH(All!S$1,Winter!$1:$1,FALSE))),"")</f>
        <v/>
      </c>
      <c r="T83" t="str">
        <f>IFERROR(IF(INDEX(Winter!$1:$1048576,MATCH(All!$A83,Winter!$A:$A,FALSE),MATCH(All!T$1,Winter!$1:$1,FALSE))="","",INDEX(Winter!$1:$1048576,MATCH(All!$A83,Winter!$A:$A,FALSE),MATCH(All!T$1,Winter!$1:$1,FALSE))),"")</f>
        <v/>
      </c>
      <c r="U83" t="str">
        <f>IFERROR(IF(INDEX(Winter!$1:$1048576,MATCH(All!$A83,Winter!$A:$A,FALSE),MATCH(All!U$1,Winter!$1:$1,FALSE))="","",INDEX(Winter!$1:$1048576,MATCH(All!$A83,Winter!$A:$A,FALSE),MATCH(All!U$1,Winter!$1:$1,FALSE))),"")</f>
        <v/>
      </c>
      <c r="W83">
        <f>IFERROR(IF(INDEX(Spring!$1:$1048576,MATCH(All!$A83,Spring!$A:$A,FALSE),MATCH(All!W$1,Spring!$1:$1,FALSE))="","",INDEX(Spring!$1:$1048576,MATCH(All!$A83,Spring!$A:$A,FALSE),MATCH(All!W$1,Spring!$1:$1,FALSE))),"")</f>
        <v>77</v>
      </c>
      <c r="X83" t="str">
        <f>IFERROR(IF(INDEX(Spring!$1:$1048576,MATCH(All!$A83,Spring!$A:$A,FALSE),MATCH(All!X$1,Spring!$1:$1,FALSE))="","",INDEX(Spring!$1:$1048576,MATCH(All!$A83,Spring!$A:$A,FALSE),MATCH(All!X$1,Spring!$1:$1,FALSE))),"")</f>
        <v/>
      </c>
      <c r="Y83" t="str">
        <f>IFERROR(IF(INDEX(Spring!$1:$1048576,MATCH(All!$A83,Spring!$A:$A,FALSE),MATCH(All!Y$1,Spring!$1:$1,FALSE))="","",INDEX(Spring!$1:$1048576,MATCH(All!$A83,Spring!$A:$A,FALSE),MATCH(All!Y$1,Spring!$1:$1,FALSE))),"")</f>
        <v/>
      </c>
      <c r="Z83" t="str">
        <f>IFERROR(IF(INDEX(Spring!$1:$1048576,MATCH(All!$A83,Spring!$A:$A,FALSE),MATCH(All!Z$1,Spring!$1:$1,FALSE))="","",INDEX(Spring!$1:$1048576,MATCH(All!$A83,Spring!$A:$A,FALSE),MATCH(All!Z$1,Spring!$1:$1,FALSE))),"")</f>
        <v/>
      </c>
      <c r="AA83" t="str">
        <f>IFERROR(IF(INDEX(Spring!$1:$1048576,MATCH(All!$A83,Spring!$A:$A,FALSE),MATCH(All!AA$1,Spring!$1:$1,FALSE))="","",INDEX(Spring!$1:$1048576,MATCH(All!$A83,Spring!$A:$A,FALSE),MATCH(All!AA$1,Spring!$1:$1,FALSE))),"")</f>
        <v/>
      </c>
      <c r="AB83" t="str">
        <f>IFERROR(IF(INDEX(Spring!$1:$1048576,MATCH(All!$A83,Spring!$A:$A,FALSE),MATCH(All!AB$1,Spring!$1:$1,FALSE))="","",INDEX(Spring!$1:$1048576,MATCH(All!$A83,Spring!$A:$A,FALSE),MATCH(All!AB$1,Spring!$1:$1,FALSE))),"")</f>
        <v>1A</v>
      </c>
      <c r="AC83" t="str">
        <f>IFERROR(IF(INDEX(Spring!$1:$1048576,MATCH(All!$A83,Spring!$A:$A,FALSE),MATCH(All!AC$1,Spring!$1:$1,FALSE))="","",INDEX(Spring!$1:$1048576,MATCH(All!$A83,Spring!$A:$A,FALSE),MATCH(All!AC$1,Spring!$1:$1,FALSE))),"")</f>
        <v>1A</v>
      </c>
      <c r="AD83" t="str">
        <f>IFERROR(VLOOKUP(A83,'Flag Football'!A:A,1,FALSE),"")</f>
        <v/>
      </c>
      <c r="AE83" t="str">
        <f t="shared" si="1"/>
        <v/>
      </c>
    </row>
    <row r="84" spans="1:31" ht="15.75" thickBot="1" x14ac:dyDescent="0.3">
      <c r="A84" s="20" t="s">
        <v>102</v>
      </c>
      <c r="B84" s="38">
        <f>IFERROR(VLOOKUP(A84,'Public v Private'!A:G,3,FALSE),"")</f>
        <v>0</v>
      </c>
      <c r="C84" s="38">
        <f>IFERROR(VLOOKUP(A84,'Public v Private'!A:G,4,FALSE),"")</f>
        <v>0</v>
      </c>
      <c r="D84" s="38">
        <f>IFERROR(VLOOKUP(A84,'Public v Private'!A:G,5,FALSE),"")</f>
        <v>0</v>
      </c>
      <c r="E84" s="38"/>
      <c r="F84" s="40">
        <f>IFERROR(INDEX(Fall!$1:$1048576,MATCH(All!$A84,Fall!$A:$A,FALSE),MATCH(All!F$1,Fall!$1:$1,FALSE)),"N/A")</f>
        <v>1285</v>
      </c>
      <c r="G84" t="str">
        <f>IFERROR(IF(INDEX(Fall!$1:$1048576,MATCH(All!$A84,Fall!$A:$A,FALSE),MATCH(All!G$1,Fall!$1:$1,FALSE))="","",INDEX(Fall!$1:$1048576,MATCH(All!$A84,Fall!$A:$A,FALSE),MATCH(All!G$1,Fall!$1:$1,FALSE))),"")</f>
        <v>2A</v>
      </c>
      <c r="H84" t="str">
        <f>IFERROR(IF(INDEX(Fall!$1:$1048576,MATCH(All!$A84,Fall!$A:$A,FALSE),MATCH(All!H$1,Fall!$1:$1,FALSE))="","",INDEX(Fall!$1:$1048576,MATCH(All!$A84,Fall!$A:$A,FALSE),MATCH(All!H$1,Fall!$1:$1,FALSE))),"")</f>
        <v>2A</v>
      </c>
      <c r="I84" t="str">
        <f>IFERROR(IF(INDEX(Fall!$1:$1048576,MATCH(All!$A84,Fall!$A:$A,FALSE),MATCH(All!I$1,Fall!$1:$1,FALSE))="","",INDEX(Fall!$1:$1048576,MATCH(All!$A84,Fall!$A:$A,FALSE),MATCH(All!I$1,Fall!$1:$1,FALSE))),"")</f>
        <v>2A</v>
      </c>
      <c r="J84" t="str">
        <f>IFERROR(IF(INDEX(Fall!$1:$1048576,MATCH(All!$A84,Fall!$A:$A,FALSE),MATCH(All!J$1,Fall!$1:$1,FALSE))="","",INDEX(Fall!$1:$1048576,MATCH(All!$A84,Fall!$A:$A,FALSE),MATCH(All!J$1,Fall!$1:$1,FALSE))),"")</f>
        <v/>
      </c>
      <c r="K84" t="str">
        <f>IFERROR(IF(INDEX(Fall!$1:$1048576,MATCH(All!$A84,Fall!$A:$A,FALSE),MATCH(All!K$1,Fall!$1:$1,FALSE))="","",INDEX(Fall!$1:$1048576,MATCH(All!$A84,Fall!$A:$A,FALSE),MATCH(All!K$1,Fall!$1:$1,FALSE))),"")</f>
        <v>3A</v>
      </c>
      <c r="L84" t="str">
        <f>IFERROR(IF(INDEX(Fall!$1:$1048576,MATCH(All!$A84,Fall!$A:$A,FALSE),MATCH(All!L$1,Fall!$1:$1,FALSE))="","",INDEX(Fall!$1:$1048576,MATCH(All!$A84,Fall!$A:$A,FALSE),MATCH(All!L$1,Fall!$1:$1,FALSE))),"")</f>
        <v>1A</v>
      </c>
      <c r="M84" t="str">
        <f>IFERROR(IF(INDEX(Fall!$1:$1048576,MATCH(All!$A84,Fall!$A:$A,FALSE),MATCH(All!M$1,Fall!$1:$1,FALSE))="","",INDEX(Fall!$1:$1048576,MATCH(All!$A84,Fall!$A:$A,FALSE),MATCH(All!M$1,Fall!$1:$1,FALSE))),"")</f>
        <v>3A</v>
      </c>
      <c r="O84">
        <f>IFERROR(IF(INDEX(Winter!$1:$1048576,MATCH(All!$A84,Winter!$A:$A,FALSE),MATCH(All!O$1,Winter!$1:$1,FALSE))="","",INDEX(Winter!$1:$1048576,MATCH(All!$A84,Winter!$A:$A,FALSE),MATCH(All!O$1,Winter!$1:$1,FALSE))),"")</f>
        <v>1285</v>
      </c>
      <c r="P84" t="str">
        <f>IFERROR(IF(INDEX(Winter!$1:$1048576,MATCH(All!$A84,Winter!$A:$A,FALSE),MATCH(All!P$1,Winter!$1:$1,FALSE))="","",INDEX(Winter!$1:$1048576,MATCH(All!$A84,Winter!$A:$A,FALSE),MATCH(All!P$1,Winter!$1:$1,FALSE))),"")</f>
        <v>3A</v>
      </c>
      <c r="Q84" t="str">
        <f>IFERROR(IF(INDEX(Winter!$1:$1048576,MATCH(All!$A84,Winter!$A:$A,FALSE),MATCH(All!Q$1,Winter!$1:$1,FALSE))="","",INDEX(Winter!$1:$1048576,MATCH(All!$A84,Winter!$A:$A,FALSE),MATCH(All!Q$1,Winter!$1:$1,FALSE))),"")</f>
        <v>3A</v>
      </c>
      <c r="R84" t="str">
        <f>IFERROR(IF(INDEX(Winter!$1:$1048576,MATCH(All!$A84,Winter!$A:$A,FALSE),MATCH(All!R$1,Winter!$1:$1,FALSE))="","",INDEX(Winter!$1:$1048576,MATCH(All!$A84,Winter!$A:$A,FALSE),MATCH(All!R$1,Winter!$1:$1,FALSE))),"")</f>
        <v/>
      </c>
      <c r="S84" t="str">
        <f>IFERROR(IF(INDEX(Winter!$1:$1048576,MATCH(All!$A84,Winter!$A:$A,FALSE),MATCH(All!S$1,Winter!$1:$1,FALSE))="","",INDEX(Winter!$1:$1048576,MATCH(All!$A84,Winter!$A:$A,FALSE),MATCH(All!S$1,Winter!$1:$1,FALSE))),"")</f>
        <v>2A</v>
      </c>
      <c r="T84" t="str">
        <f>IFERROR(IF(INDEX(Winter!$1:$1048576,MATCH(All!$A84,Winter!$A:$A,FALSE),MATCH(All!T$1,Winter!$1:$1,FALSE))="","",INDEX(Winter!$1:$1048576,MATCH(All!$A84,Winter!$A:$A,FALSE),MATCH(All!T$1,Winter!$1:$1,FALSE))),"")</f>
        <v>2A</v>
      </c>
      <c r="U84" t="str">
        <f>IFERROR(IF(INDEX(Winter!$1:$1048576,MATCH(All!$A84,Winter!$A:$A,FALSE),MATCH(All!U$1,Winter!$1:$1,FALSE))="","",INDEX(Winter!$1:$1048576,MATCH(All!$A84,Winter!$A:$A,FALSE),MATCH(All!U$1,Winter!$1:$1,FALSE))),"")</f>
        <v>2A</v>
      </c>
      <c r="W84">
        <f>IFERROR(IF(INDEX(Spring!$1:$1048576,MATCH(All!$A84,Spring!$A:$A,FALSE),MATCH(All!W$1,Spring!$1:$1,FALSE))="","",INDEX(Spring!$1:$1048576,MATCH(All!$A84,Spring!$A:$A,FALSE),MATCH(All!W$1,Spring!$1:$1,FALSE))),"")</f>
        <v>1285</v>
      </c>
      <c r="X84" t="str">
        <f>IFERROR(IF(INDEX(Spring!$1:$1048576,MATCH(All!$A84,Spring!$A:$A,FALSE),MATCH(All!X$1,Spring!$1:$1,FALSE))="","",INDEX(Spring!$1:$1048576,MATCH(All!$A84,Spring!$A:$A,FALSE),MATCH(All!X$1,Spring!$1:$1,FALSE))),"")</f>
        <v>3A</v>
      </c>
      <c r="Y84" t="str">
        <f>IFERROR(IF(INDEX(Spring!$1:$1048576,MATCH(All!$A84,Spring!$A:$A,FALSE),MATCH(All!Y$1,Spring!$1:$1,FALSE))="","",INDEX(Spring!$1:$1048576,MATCH(All!$A84,Spring!$A:$A,FALSE),MATCH(All!Y$1,Spring!$1:$1,FALSE))),"")</f>
        <v>3A</v>
      </c>
      <c r="Z84" t="str">
        <f>IFERROR(IF(INDEX(Spring!$1:$1048576,MATCH(All!$A84,Spring!$A:$A,FALSE),MATCH(All!Z$1,Spring!$1:$1,FALSE))="","",INDEX(Spring!$1:$1048576,MATCH(All!$A84,Spring!$A:$A,FALSE),MATCH(All!Z$1,Spring!$1:$1,FALSE))),"")</f>
        <v>3A</v>
      </c>
      <c r="AA84" t="str">
        <f>IFERROR(IF(INDEX(Spring!$1:$1048576,MATCH(All!$A84,Spring!$A:$A,FALSE),MATCH(All!AA$1,Spring!$1:$1,FALSE))="","",INDEX(Spring!$1:$1048576,MATCH(All!$A84,Spring!$A:$A,FALSE),MATCH(All!AA$1,Spring!$1:$1,FALSE))),"")</f>
        <v/>
      </c>
      <c r="AB84" t="str">
        <f>IFERROR(IF(INDEX(Spring!$1:$1048576,MATCH(All!$A84,Spring!$A:$A,FALSE),MATCH(All!AB$1,Spring!$1:$1,FALSE))="","",INDEX(Spring!$1:$1048576,MATCH(All!$A84,Spring!$A:$A,FALSE),MATCH(All!AB$1,Spring!$1:$1,FALSE))),"")</f>
        <v>3A</v>
      </c>
      <c r="AC84" t="str">
        <f>IFERROR(IF(INDEX(Spring!$1:$1048576,MATCH(All!$A84,Spring!$A:$A,FALSE),MATCH(All!AC$1,Spring!$1:$1,FALSE))="","",INDEX(Spring!$1:$1048576,MATCH(All!$A84,Spring!$A:$A,FALSE),MATCH(All!AC$1,Spring!$1:$1,FALSE))),"")</f>
        <v>3A</v>
      </c>
      <c r="AD84" t="str">
        <f>IFERROR(VLOOKUP(A84,'Flag Football'!A:A,1,FALSE),"")</f>
        <v/>
      </c>
      <c r="AE84" t="str">
        <f t="shared" si="1"/>
        <v/>
      </c>
    </row>
    <row r="85" spans="1:31" ht="15.75" thickBot="1" x14ac:dyDescent="0.3">
      <c r="A85" s="18" t="s">
        <v>103</v>
      </c>
      <c r="B85" s="38">
        <f>IFERROR(VLOOKUP(A85,'Public v Private'!A:G,3,FALSE),"")</f>
        <v>0</v>
      </c>
      <c r="C85" s="38">
        <f>IFERROR(VLOOKUP(A85,'Public v Private'!A:G,4,FALSE),"")</f>
        <v>0</v>
      </c>
      <c r="D85" s="38">
        <f>IFERROR(VLOOKUP(A85,'Public v Private'!A:G,5,FALSE),"")</f>
        <v>0</v>
      </c>
      <c r="E85" s="38"/>
      <c r="F85" s="40">
        <f>IFERROR(INDEX(Fall!$1:$1048576,MATCH(All!$A85,Fall!$A:$A,FALSE),MATCH(All!F$1,Fall!$1:$1,FALSE)),"N/A")</f>
        <v>118</v>
      </c>
      <c r="G85" t="str">
        <f>IFERROR(IF(INDEX(Fall!$1:$1048576,MATCH(All!$A85,Fall!$A:$A,FALSE),MATCH(All!G$1,Fall!$1:$1,FALSE))="","",INDEX(Fall!$1:$1048576,MATCH(All!$A85,Fall!$A:$A,FALSE),MATCH(All!G$1,Fall!$1:$1,FALSE))),"")</f>
        <v>1A</v>
      </c>
      <c r="H85" t="str">
        <f>IFERROR(IF(INDEX(Fall!$1:$1048576,MATCH(All!$A85,Fall!$A:$A,FALSE),MATCH(All!H$1,Fall!$1:$1,FALSE))="","",INDEX(Fall!$1:$1048576,MATCH(All!$A85,Fall!$A:$A,FALSE),MATCH(All!H$1,Fall!$1:$1,FALSE))),"")</f>
        <v>1A</v>
      </c>
      <c r="I85" t="str">
        <f>IFERROR(IF(INDEX(Fall!$1:$1048576,MATCH(All!$A85,Fall!$A:$A,FALSE),MATCH(All!I$1,Fall!$1:$1,FALSE))="","",INDEX(Fall!$1:$1048576,MATCH(All!$A85,Fall!$A:$A,FALSE),MATCH(All!I$1,Fall!$1:$1,FALSE))),"")</f>
        <v>1A</v>
      </c>
      <c r="J85" t="str">
        <f>IFERROR(IF(INDEX(Fall!$1:$1048576,MATCH(All!$A85,Fall!$A:$A,FALSE),MATCH(All!J$1,Fall!$1:$1,FALSE))="","",INDEX(Fall!$1:$1048576,MATCH(All!$A85,Fall!$A:$A,FALSE),MATCH(All!J$1,Fall!$1:$1,FALSE))),"")</f>
        <v>1A</v>
      </c>
      <c r="K85" t="str">
        <f>IFERROR(IF(INDEX(Fall!$1:$1048576,MATCH(All!$A85,Fall!$A:$A,FALSE),MATCH(All!K$1,Fall!$1:$1,FALSE))="","",INDEX(Fall!$1:$1048576,MATCH(All!$A85,Fall!$A:$A,FALSE),MATCH(All!K$1,Fall!$1:$1,FALSE))),"")</f>
        <v/>
      </c>
      <c r="L85" t="str">
        <f>IFERROR(IF(INDEX(Fall!$1:$1048576,MATCH(All!$A85,Fall!$A:$A,FALSE),MATCH(All!L$1,Fall!$1:$1,FALSE))="","",INDEX(Fall!$1:$1048576,MATCH(All!$A85,Fall!$A:$A,FALSE),MATCH(All!L$1,Fall!$1:$1,FALSE))),"")</f>
        <v/>
      </c>
      <c r="M85" t="str">
        <f>IFERROR(IF(INDEX(Fall!$1:$1048576,MATCH(All!$A85,Fall!$A:$A,FALSE),MATCH(All!M$1,Fall!$1:$1,FALSE))="","",INDEX(Fall!$1:$1048576,MATCH(All!$A85,Fall!$A:$A,FALSE),MATCH(All!M$1,Fall!$1:$1,FALSE))),"")</f>
        <v>1A</v>
      </c>
      <c r="O85" t="str">
        <f>IFERROR(IF(INDEX(Winter!$1:$1048576,MATCH(All!$A85,Winter!$A:$A,FALSE),MATCH(All!O$1,Winter!$1:$1,FALSE))="","",INDEX(Winter!$1:$1048576,MATCH(All!$A85,Winter!$A:$A,FALSE),MATCH(All!O$1,Winter!$1:$1,FALSE))),"")</f>
        <v/>
      </c>
      <c r="P85" t="str">
        <f>IFERROR(IF(INDEX(Winter!$1:$1048576,MATCH(All!$A85,Winter!$A:$A,FALSE),MATCH(All!P$1,Winter!$1:$1,FALSE))="","",INDEX(Winter!$1:$1048576,MATCH(All!$A85,Winter!$A:$A,FALSE),MATCH(All!P$1,Winter!$1:$1,FALSE))),"")</f>
        <v/>
      </c>
      <c r="Q85" t="str">
        <f>IFERROR(IF(INDEX(Winter!$1:$1048576,MATCH(All!$A85,Winter!$A:$A,FALSE),MATCH(All!Q$1,Winter!$1:$1,FALSE))="","",INDEX(Winter!$1:$1048576,MATCH(All!$A85,Winter!$A:$A,FALSE),MATCH(All!Q$1,Winter!$1:$1,FALSE))),"")</f>
        <v/>
      </c>
      <c r="R85" t="str">
        <f>IFERROR(IF(INDEX(Winter!$1:$1048576,MATCH(All!$A85,Winter!$A:$A,FALSE),MATCH(All!R$1,Winter!$1:$1,FALSE))="","",INDEX(Winter!$1:$1048576,MATCH(All!$A85,Winter!$A:$A,FALSE),MATCH(All!R$1,Winter!$1:$1,FALSE))),"")</f>
        <v/>
      </c>
      <c r="S85" t="str">
        <f>IFERROR(IF(INDEX(Winter!$1:$1048576,MATCH(All!$A85,Winter!$A:$A,FALSE),MATCH(All!S$1,Winter!$1:$1,FALSE))="","",INDEX(Winter!$1:$1048576,MATCH(All!$A85,Winter!$A:$A,FALSE),MATCH(All!S$1,Winter!$1:$1,FALSE))),"")</f>
        <v/>
      </c>
      <c r="T85" t="str">
        <f>IFERROR(IF(INDEX(Winter!$1:$1048576,MATCH(All!$A85,Winter!$A:$A,FALSE),MATCH(All!T$1,Winter!$1:$1,FALSE))="","",INDEX(Winter!$1:$1048576,MATCH(All!$A85,Winter!$A:$A,FALSE),MATCH(All!T$1,Winter!$1:$1,FALSE))),"")</f>
        <v/>
      </c>
      <c r="U85" t="str">
        <f>IFERROR(IF(INDEX(Winter!$1:$1048576,MATCH(All!$A85,Winter!$A:$A,FALSE),MATCH(All!U$1,Winter!$1:$1,FALSE))="","",INDEX(Winter!$1:$1048576,MATCH(All!$A85,Winter!$A:$A,FALSE),MATCH(All!U$1,Winter!$1:$1,FALSE))),"")</f>
        <v/>
      </c>
      <c r="W85">
        <f>IFERROR(IF(INDEX(Spring!$1:$1048576,MATCH(All!$A85,Spring!$A:$A,FALSE),MATCH(All!W$1,Spring!$1:$1,FALSE))="","",INDEX(Spring!$1:$1048576,MATCH(All!$A85,Spring!$A:$A,FALSE),MATCH(All!W$1,Spring!$1:$1,FALSE))),"")</f>
        <v>118</v>
      </c>
      <c r="X85" t="str">
        <f>IFERROR(IF(INDEX(Spring!$1:$1048576,MATCH(All!$A85,Spring!$A:$A,FALSE),MATCH(All!X$1,Spring!$1:$1,FALSE))="","",INDEX(Spring!$1:$1048576,MATCH(All!$A85,Spring!$A:$A,FALSE),MATCH(All!X$1,Spring!$1:$1,FALSE))),"")</f>
        <v/>
      </c>
      <c r="Y85" t="str">
        <f>IFERROR(IF(INDEX(Spring!$1:$1048576,MATCH(All!$A85,Spring!$A:$A,FALSE),MATCH(All!Y$1,Spring!$1:$1,FALSE))="","",INDEX(Spring!$1:$1048576,MATCH(All!$A85,Spring!$A:$A,FALSE),MATCH(All!Y$1,Spring!$1:$1,FALSE))),"")</f>
        <v/>
      </c>
      <c r="Z85" t="str">
        <f>IFERROR(IF(INDEX(Spring!$1:$1048576,MATCH(All!$A85,Spring!$A:$A,FALSE),MATCH(All!Z$1,Spring!$1:$1,FALSE))="","",INDEX(Spring!$1:$1048576,MATCH(All!$A85,Spring!$A:$A,FALSE),MATCH(All!Z$1,Spring!$1:$1,FALSE))),"")</f>
        <v/>
      </c>
      <c r="AA85" t="str">
        <f>IFERROR(IF(INDEX(Spring!$1:$1048576,MATCH(All!$A85,Spring!$A:$A,FALSE),MATCH(All!AA$1,Spring!$1:$1,FALSE))="","",INDEX(Spring!$1:$1048576,MATCH(All!$A85,Spring!$A:$A,FALSE),MATCH(All!AA$1,Spring!$1:$1,FALSE))),"")</f>
        <v/>
      </c>
      <c r="AB85" t="str">
        <f>IFERROR(IF(INDEX(Spring!$1:$1048576,MATCH(All!$A85,Spring!$A:$A,FALSE),MATCH(All!AB$1,Spring!$1:$1,FALSE))="","",INDEX(Spring!$1:$1048576,MATCH(All!$A85,Spring!$A:$A,FALSE),MATCH(All!AB$1,Spring!$1:$1,FALSE))),"")</f>
        <v>1A</v>
      </c>
      <c r="AC85" t="str">
        <f>IFERROR(IF(INDEX(Spring!$1:$1048576,MATCH(All!$A85,Spring!$A:$A,FALSE),MATCH(All!AC$1,Spring!$1:$1,FALSE))="","",INDEX(Spring!$1:$1048576,MATCH(All!$A85,Spring!$A:$A,FALSE),MATCH(All!AC$1,Spring!$1:$1,FALSE))),"")</f>
        <v>1A</v>
      </c>
      <c r="AD85" t="str">
        <f>IFERROR(VLOOKUP(A85,'Flag Football'!A:A,1,FALSE),"")</f>
        <v/>
      </c>
      <c r="AE85" t="str">
        <f t="shared" si="1"/>
        <v/>
      </c>
    </row>
    <row r="86" spans="1:31" ht="15.75" thickBot="1" x14ac:dyDescent="0.3">
      <c r="A86" s="20" t="s">
        <v>104</v>
      </c>
      <c r="B86" s="38">
        <f>IFERROR(VLOOKUP(A86,'Public v Private'!A:G,3,FALSE),"")</f>
        <v>0</v>
      </c>
      <c r="C86" s="38">
        <f>IFERROR(VLOOKUP(A86,'Public v Private'!A:G,4,FALSE),"")</f>
        <v>0</v>
      </c>
      <c r="D86" s="38">
        <f>IFERROR(VLOOKUP(A86,'Public v Private'!A:G,5,FALSE),"")</f>
        <v>0</v>
      </c>
      <c r="E86" s="38"/>
      <c r="F86" s="40">
        <f>IFERROR(INDEX(Fall!$1:$1048576,MATCH(All!$A86,Fall!$A:$A,FALSE),MATCH(All!F$1,Fall!$1:$1,FALSE)),"N/A")</f>
        <v>220</v>
      </c>
      <c r="G86" t="str">
        <f>IFERROR(IF(INDEX(Fall!$1:$1048576,MATCH(All!$A86,Fall!$A:$A,FALSE),MATCH(All!G$1,Fall!$1:$1,FALSE))="","",INDEX(Fall!$1:$1048576,MATCH(All!$A86,Fall!$A:$A,FALSE),MATCH(All!G$1,Fall!$1:$1,FALSE))),"")</f>
        <v/>
      </c>
      <c r="H86" t="str">
        <f>IFERROR(IF(INDEX(Fall!$1:$1048576,MATCH(All!$A86,Fall!$A:$A,FALSE),MATCH(All!H$1,Fall!$1:$1,FALSE))="","",INDEX(Fall!$1:$1048576,MATCH(All!$A86,Fall!$A:$A,FALSE),MATCH(All!H$1,Fall!$1:$1,FALSE))),"")</f>
        <v/>
      </c>
      <c r="I86" t="str">
        <f>IFERROR(IF(INDEX(Fall!$1:$1048576,MATCH(All!$A86,Fall!$A:$A,FALSE),MATCH(All!I$1,Fall!$1:$1,FALSE))="","",INDEX(Fall!$1:$1048576,MATCH(All!$A86,Fall!$A:$A,FALSE),MATCH(All!I$1,Fall!$1:$1,FALSE))),"")</f>
        <v>1A</v>
      </c>
      <c r="J86" t="str">
        <f>IFERROR(IF(INDEX(Fall!$1:$1048576,MATCH(All!$A86,Fall!$A:$A,FALSE),MATCH(All!J$1,Fall!$1:$1,FALSE))="","",INDEX(Fall!$1:$1048576,MATCH(All!$A86,Fall!$A:$A,FALSE),MATCH(All!J$1,Fall!$1:$1,FALSE))),"")</f>
        <v/>
      </c>
      <c r="K86" t="str">
        <f>IFERROR(IF(INDEX(Fall!$1:$1048576,MATCH(All!$A86,Fall!$A:$A,FALSE),MATCH(All!K$1,Fall!$1:$1,FALSE))="","",INDEX(Fall!$1:$1048576,MATCH(All!$A86,Fall!$A:$A,FALSE),MATCH(All!K$1,Fall!$1:$1,FALSE))),"")</f>
        <v/>
      </c>
      <c r="L86" t="str">
        <f>IFERROR(IF(INDEX(Fall!$1:$1048576,MATCH(All!$A86,Fall!$A:$A,FALSE),MATCH(All!L$1,Fall!$1:$1,FALSE))="","",INDEX(Fall!$1:$1048576,MATCH(All!$A86,Fall!$A:$A,FALSE),MATCH(All!L$1,Fall!$1:$1,FALSE))),"")</f>
        <v/>
      </c>
      <c r="M86" t="str">
        <f>IFERROR(IF(INDEX(Fall!$1:$1048576,MATCH(All!$A86,Fall!$A:$A,FALSE),MATCH(All!M$1,Fall!$1:$1,FALSE))="","",INDEX(Fall!$1:$1048576,MATCH(All!$A86,Fall!$A:$A,FALSE),MATCH(All!M$1,Fall!$1:$1,FALSE))),"")</f>
        <v>1A</v>
      </c>
      <c r="O86">
        <f>IFERROR(IF(INDEX(Winter!$1:$1048576,MATCH(All!$A86,Winter!$A:$A,FALSE),MATCH(All!O$1,Winter!$1:$1,FALSE))="","",INDEX(Winter!$1:$1048576,MATCH(All!$A86,Winter!$A:$A,FALSE),MATCH(All!O$1,Winter!$1:$1,FALSE))),"")</f>
        <v>220</v>
      </c>
      <c r="P86" t="str">
        <f>IFERROR(IF(INDEX(Winter!$1:$1048576,MATCH(All!$A86,Winter!$A:$A,FALSE),MATCH(All!P$1,Winter!$1:$1,FALSE))="","",INDEX(Winter!$1:$1048576,MATCH(All!$A86,Winter!$A:$A,FALSE),MATCH(All!P$1,Winter!$1:$1,FALSE))),"")</f>
        <v>1A</v>
      </c>
      <c r="Q86" t="str">
        <f>IFERROR(IF(INDEX(Winter!$1:$1048576,MATCH(All!$A86,Winter!$A:$A,FALSE),MATCH(All!Q$1,Winter!$1:$1,FALSE))="","",INDEX(Winter!$1:$1048576,MATCH(All!$A86,Winter!$A:$A,FALSE),MATCH(All!Q$1,Winter!$1:$1,FALSE))),"")</f>
        <v>1A</v>
      </c>
      <c r="R86" t="str">
        <f>IFERROR(IF(INDEX(Winter!$1:$1048576,MATCH(All!$A86,Winter!$A:$A,FALSE),MATCH(All!R$1,Winter!$1:$1,FALSE))="","",INDEX(Winter!$1:$1048576,MATCH(All!$A86,Winter!$A:$A,FALSE),MATCH(All!R$1,Winter!$1:$1,FALSE))),"")</f>
        <v/>
      </c>
      <c r="S86" t="str">
        <f>IFERROR(IF(INDEX(Winter!$1:$1048576,MATCH(All!$A86,Winter!$A:$A,FALSE),MATCH(All!S$1,Winter!$1:$1,FALSE))="","",INDEX(Winter!$1:$1048576,MATCH(All!$A86,Winter!$A:$A,FALSE),MATCH(All!S$1,Winter!$1:$1,FALSE))),"")</f>
        <v/>
      </c>
      <c r="T86" t="str">
        <f>IFERROR(IF(INDEX(Winter!$1:$1048576,MATCH(All!$A86,Winter!$A:$A,FALSE),MATCH(All!T$1,Winter!$1:$1,FALSE))="","",INDEX(Winter!$1:$1048576,MATCH(All!$A86,Winter!$A:$A,FALSE),MATCH(All!T$1,Winter!$1:$1,FALSE))),"")</f>
        <v/>
      </c>
      <c r="U86" t="str">
        <f>IFERROR(IF(INDEX(Winter!$1:$1048576,MATCH(All!$A86,Winter!$A:$A,FALSE),MATCH(All!U$1,Winter!$1:$1,FALSE))="","",INDEX(Winter!$1:$1048576,MATCH(All!$A86,Winter!$A:$A,FALSE),MATCH(All!U$1,Winter!$1:$1,FALSE))),"")</f>
        <v>1A</v>
      </c>
      <c r="W86">
        <f>IFERROR(IF(INDEX(Spring!$1:$1048576,MATCH(All!$A86,Spring!$A:$A,FALSE),MATCH(All!W$1,Spring!$1:$1,FALSE))="","",INDEX(Spring!$1:$1048576,MATCH(All!$A86,Spring!$A:$A,FALSE),MATCH(All!W$1,Spring!$1:$1,FALSE))),"")</f>
        <v>220</v>
      </c>
      <c r="X86" t="str">
        <f>IFERROR(IF(INDEX(Spring!$1:$1048576,MATCH(All!$A86,Spring!$A:$A,FALSE),MATCH(All!X$1,Spring!$1:$1,FALSE))="","",INDEX(Spring!$1:$1048576,MATCH(All!$A86,Spring!$A:$A,FALSE),MATCH(All!X$1,Spring!$1:$1,FALSE))),"")</f>
        <v>1A</v>
      </c>
      <c r="Y86" t="str">
        <f>IFERROR(IF(INDEX(Spring!$1:$1048576,MATCH(All!$A86,Spring!$A:$A,FALSE),MATCH(All!Y$1,Spring!$1:$1,FALSE))="","",INDEX(Spring!$1:$1048576,MATCH(All!$A86,Spring!$A:$A,FALSE),MATCH(All!Y$1,Spring!$1:$1,FALSE))),"")</f>
        <v>1A</v>
      </c>
      <c r="Z86" t="str">
        <f>IFERROR(IF(INDEX(Spring!$1:$1048576,MATCH(All!$A86,Spring!$A:$A,FALSE),MATCH(All!Z$1,Spring!$1:$1,FALSE))="","",INDEX(Spring!$1:$1048576,MATCH(All!$A86,Spring!$A:$A,FALSE),MATCH(All!Z$1,Spring!$1:$1,FALSE))),"")</f>
        <v/>
      </c>
      <c r="AA86" t="str">
        <f>IFERROR(IF(INDEX(Spring!$1:$1048576,MATCH(All!$A86,Spring!$A:$A,FALSE),MATCH(All!AA$1,Spring!$1:$1,FALSE))="","",INDEX(Spring!$1:$1048576,MATCH(All!$A86,Spring!$A:$A,FALSE),MATCH(All!AA$1,Spring!$1:$1,FALSE))),"")</f>
        <v/>
      </c>
      <c r="AB86" t="str">
        <f>IFERROR(IF(INDEX(Spring!$1:$1048576,MATCH(All!$A86,Spring!$A:$A,FALSE),MATCH(All!AB$1,Spring!$1:$1,FALSE))="","",INDEX(Spring!$1:$1048576,MATCH(All!$A86,Spring!$A:$A,FALSE),MATCH(All!AB$1,Spring!$1:$1,FALSE))),"")</f>
        <v>1A</v>
      </c>
      <c r="AC86" t="str">
        <f>IFERROR(IF(INDEX(Spring!$1:$1048576,MATCH(All!$A86,Spring!$A:$A,FALSE),MATCH(All!AC$1,Spring!$1:$1,FALSE))="","",INDEX(Spring!$1:$1048576,MATCH(All!$A86,Spring!$A:$A,FALSE),MATCH(All!AC$1,Spring!$1:$1,FALSE))),"")</f>
        <v>1A</v>
      </c>
      <c r="AD86" t="str">
        <f>IFERROR(VLOOKUP(A86,'Flag Football'!A:A,1,FALSE),"")</f>
        <v/>
      </c>
      <c r="AE86" t="str">
        <f t="shared" si="1"/>
        <v/>
      </c>
    </row>
    <row r="87" spans="1:31" ht="15.75" thickBot="1" x14ac:dyDescent="0.3">
      <c r="A87" s="18" t="s">
        <v>105</v>
      </c>
      <c r="B87" s="38">
        <f>IFERROR(VLOOKUP(A87,'Public v Private'!A:G,3,FALSE),"")</f>
        <v>0</v>
      </c>
      <c r="C87" s="38">
        <f>IFERROR(VLOOKUP(A87,'Public v Private'!A:G,4,FALSE),"")</f>
        <v>0</v>
      </c>
      <c r="D87" s="38">
        <f>IFERROR(VLOOKUP(A87,'Public v Private'!A:G,5,FALSE),"")</f>
        <v>0</v>
      </c>
      <c r="E87" s="38"/>
      <c r="F87" s="40">
        <f>IFERROR(INDEX(Fall!$1:$1048576,MATCH(All!$A87,Fall!$A:$A,FALSE),MATCH(All!F$1,Fall!$1:$1,FALSE)),"N/A")</f>
        <v>217</v>
      </c>
      <c r="G87" t="str">
        <f>IFERROR(IF(INDEX(Fall!$1:$1048576,MATCH(All!$A87,Fall!$A:$A,FALSE),MATCH(All!G$1,Fall!$1:$1,FALSE))="","",INDEX(Fall!$1:$1048576,MATCH(All!$A87,Fall!$A:$A,FALSE),MATCH(All!G$1,Fall!$1:$1,FALSE))),"")</f>
        <v>1A</v>
      </c>
      <c r="H87" t="str">
        <f>IFERROR(IF(INDEX(Fall!$1:$1048576,MATCH(All!$A87,Fall!$A:$A,FALSE),MATCH(All!H$1,Fall!$1:$1,FALSE))="","",INDEX(Fall!$1:$1048576,MATCH(All!$A87,Fall!$A:$A,FALSE),MATCH(All!H$1,Fall!$1:$1,FALSE))),"")</f>
        <v/>
      </c>
      <c r="I87" t="str">
        <f>IFERROR(IF(INDEX(Fall!$1:$1048576,MATCH(All!$A87,Fall!$A:$A,FALSE),MATCH(All!I$1,Fall!$1:$1,FALSE))="","",INDEX(Fall!$1:$1048576,MATCH(All!$A87,Fall!$A:$A,FALSE),MATCH(All!I$1,Fall!$1:$1,FALSE))),"")</f>
        <v>1A</v>
      </c>
      <c r="J87" t="str">
        <f>IFERROR(IF(INDEX(Fall!$1:$1048576,MATCH(All!$A87,Fall!$A:$A,FALSE),MATCH(All!J$1,Fall!$1:$1,FALSE))="","",INDEX(Fall!$1:$1048576,MATCH(All!$A87,Fall!$A:$A,FALSE),MATCH(All!J$1,Fall!$1:$1,FALSE))),"")</f>
        <v>1A</v>
      </c>
      <c r="K87" t="str">
        <f>IFERROR(IF(INDEX(Fall!$1:$1048576,MATCH(All!$A87,Fall!$A:$A,FALSE),MATCH(All!K$1,Fall!$1:$1,FALSE))="","",INDEX(Fall!$1:$1048576,MATCH(All!$A87,Fall!$A:$A,FALSE),MATCH(All!K$1,Fall!$1:$1,FALSE))),"")</f>
        <v/>
      </c>
      <c r="L87" t="str">
        <f>IFERROR(IF(INDEX(Fall!$1:$1048576,MATCH(All!$A87,Fall!$A:$A,FALSE),MATCH(All!L$1,Fall!$1:$1,FALSE))="","",INDEX(Fall!$1:$1048576,MATCH(All!$A87,Fall!$A:$A,FALSE),MATCH(All!L$1,Fall!$1:$1,FALSE))),"")</f>
        <v/>
      </c>
      <c r="M87" t="str">
        <f>IFERROR(IF(INDEX(Fall!$1:$1048576,MATCH(All!$A87,Fall!$A:$A,FALSE),MATCH(All!M$1,Fall!$1:$1,FALSE))="","",INDEX(Fall!$1:$1048576,MATCH(All!$A87,Fall!$A:$A,FALSE),MATCH(All!M$1,Fall!$1:$1,FALSE))),"")</f>
        <v>1A</v>
      </c>
      <c r="O87">
        <f>IFERROR(IF(INDEX(Winter!$1:$1048576,MATCH(All!$A87,Winter!$A:$A,FALSE),MATCH(All!O$1,Winter!$1:$1,FALSE))="","",INDEX(Winter!$1:$1048576,MATCH(All!$A87,Winter!$A:$A,FALSE),MATCH(All!O$1,Winter!$1:$1,FALSE))),"")</f>
        <v>217</v>
      </c>
      <c r="P87" t="str">
        <f>IFERROR(IF(INDEX(Winter!$1:$1048576,MATCH(All!$A87,Winter!$A:$A,FALSE),MATCH(All!P$1,Winter!$1:$1,FALSE))="","",INDEX(Winter!$1:$1048576,MATCH(All!$A87,Winter!$A:$A,FALSE),MATCH(All!P$1,Winter!$1:$1,FALSE))),"")</f>
        <v>1A</v>
      </c>
      <c r="Q87" t="str">
        <f>IFERROR(IF(INDEX(Winter!$1:$1048576,MATCH(All!$A87,Winter!$A:$A,FALSE),MATCH(All!Q$1,Winter!$1:$1,FALSE))="","",INDEX(Winter!$1:$1048576,MATCH(All!$A87,Winter!$A:$A,FALSE),MATCH(All!Q$1,Winter!$1:$1,FALSE))),"")</f>
        <v>1A</v>
      </c>
      <c r="R87" t="str">
        <f>IFERROR(IF(INDEX(Winter!$1:$1048576,MATCH(All!$A87,Winter!$A:$A,FALSE),MATCH(All!R$1,Winter!$1:$1,FALSE))="","",INDEX(Winter!$1:$1048576,MATCH(All!$A87,Winter!$A:$A,FALSE),MATCH(All!R$1,Winter!$1:$1,FALSE))),"")</f>
        <v/>
      </c>
      <c r="S87" t="str">
        <f>IFERROR(IF(INDEX(Winter!$1:$1048576,MATCH(All!$A87,Winter!$A:$A,FALSE),MATCH(All!S$1,Winter!$1:$1,FALSE))="","",INDEX(Winter!$1:$1048576,MATCH(All!$A87,Winter!$A:$A,FALSE),MATCH(All!S$1,Winter!$1:$1,FALSE))),"")</f>
        <v/>
      </c>
      <c r="T87" t="str">
        <f>IFERROR(IF(INDEX(Winter!$1:$1048576,MATCH(All!$A87,Winter!$A:$A,FALSE),MATCH(All!T$1,Winter!$1:$1,FALSE))="","",INDEX(Winter!$1:$1048576,MATCH(All!$A87,Winter!$A:$A,FALSE),MATCH(All!T$1,Winter!$1:$1,FALSE))),"")</f>
        <v>1A</v>
      </c>
      <c r="U87" t="str">
        <f>IFERROR(IF(INDEX(Winter!$1:$1048576,MATCH(All!$A87,Winter!$A:$A,FALSE),MATCH(All!U$1,Winter!$1:$1,FALSE))="","",INDEX(Winter!$1:$1048576,MATCH(All!$A87,Winter!$A:$A,FALSE),MATCH(All!U$1,Winter!$1:$1,FALSE))),"")</f>
        <v>1A</v>
      </c>
      <c r="W87">
        <f>IFERROR(IF(INDEX(Spring!$1:$1048576,MATCH(All!$A87,Spring!$A:$A,FALSE),MATCH(All!W$1,Spring!$1:$1,FALSE))="","",INDEX(Spring!$1:$1048576,MATCH(All!$A87,Spring!$A:$A,FALSE),MATCH(All!W$1,Spring!$1:$1,FALSE))),"")</f>
        <v>217</v>
      </c>
      <c r="X87" t="str">
        <f>IFERROR(IF(INDEX(Spring!$1:$1048576,MATCH(All!$A87,Spring!$A:$A,FALSE),MATCH(All!X$1,Spring!$1:$1,FALSE))="","",INDEX(Spring!$1:$1048576,MATCH(All!$A87,Spring!$A:$A,FALSE),MATCH(All!X$1,Spring!$1:$1,FALSE))),"")</f>
        <v>1A</v>
      </c>
      <c r="Y87" t="str">
        <f>IFERROR(IF(INDEX(Spring!$1:$1048576,MATCH(All!$A87,Spring!$A:$A,FALSE),MATCH(All!Y$1,Spring!$1:$1,FALSE))="","",INDEX(Spring!$1:$1048576,MATCH(All!$A87,Spring!$A:$A,FALSE),MATCH(All!Y$1,Spring!$1:$1,FALSE))),"")</f>
        <v>1A</v>
      </c>
      <c r="Z87" t="str">
        <f>IFERROR(IF(INDEX(Spring!$1:$1048576,MATCH(All!$A87,Spring!$A:$A,FALSE),MATCH(All!Z$1,Spring!$1:$1,FALSE))="","",INDEX(Spring!$1:$1048576,MATCH(All!$A87,Spring!$A:$A,FALSE),MATCH(All!Z$1,Spring!$1:$1,FALSE))),"")</f>
        <v/>
      </c>
      <c r="AA87" t="str">
        <f>IFERROR(IF(INDEX(Spring!$1:$1048576,MATCH(All!$A87,Spring!$A:$A,FALSE),MATCH(All!AA$1,Spring!$1:$1,FALSE))="","",INDEX(Spring!$1:$1048576,MATCH(All!$A87,Spring!$A:$A,FALSE),MATCH(All!AA$1,Spring!$1:$1,FALSE))),"")</f>
        <v/>
      </c>
      <c r="AB87" t="str">
        <f>IFERROR(IF(INDEX(Spring!$1:$1048576,MATCH(All!$A87,Spring!$A:$A,FALSE),MATCH(All!AB$1,Spring!$1:$1,FALSE))="","",INDEX(Spring!$1:$1048576,MATCH(All!$A87,Spring!$A:$A,FALSE),MATCH(All!AB$1,Spring!$1:$1,FALSE))),"")</f>
        <v/>
      </c>
      <c r="AC87" t="str">
        <f>IFERROR(IF(INDEX(Spring!$1:$1048576,MATCH(All!$A87,Spring!$A:$A,FALSE),MATCH(All!AC$1,Spring!$1:$1,FALSE))="","",INDEX(Spring!$1:$1048576,MATCH(All!$A87,Spring!$A:$A,FALSE),MATCH(All!AC$1,Spring!$1:$1,FALSE))),"")</f>
        <v/>
      </c>
      <c r="AD87" t="str">
        <f>IFERROR(VLOOKUP(A87,'Flag Football'!A:A,1,FALSE),"")</f>
        <v/>
      </c>
      <c r="AE87" t="str">
        <f t="shared" si="1"/>
        <v/>
      </c>
    </row>
    <row r="88" spans="1:31" ht="15.75" thickBot="1" x14ac:dyDescent="0.3">
      <c r="A88" s="20" t="s">
        <v>106</v>
      </c>
      <c r="B88" s="38">
        <f>IFERROR(VLOOKUP(A88,'Public v Private'!A:G,3,FALSE),"")</f>
        <v>0</v>
      </c>
      <c r="C88" s="38">
        <f>IFERROR(VLOOKUP(A88,'Public v Private'!A:G,4,FALSE),"")</f>
        <v>0</v>
      </c>
      <c r="D88" s="38">
        <f>IFERROR(VLOOKUP(A88,'Public v Private'!A:G,5,FALSE),"")</f>
        <v>0</v>
      </c>
      <c r="E88" s="38"/>
      <c r="F88" s="40">
        <f>IFERROR(INDEX(Fall!$1:$1048576,MATCH(All!$A88,Fall!$A:$A,FALSE),MATCH(All!F$1,Fall!$1:$1,FALSE)),"N/A")</f>
        <v>585</v>
      </c>
      <c r="G88" t="str">
        <f>IFERROR(IF(INDEX(Fall!$1:$1048576,MATCH(All!$A88,Fall!$A:$A,FALSE),MATCH(All!G$1,Fall!$1:$1,FALSE))="","",INDEX(Fall!$1:$1048576,MATCH(All!$A88,Fall!$A:$A,FALSE),MATCH(All!G$1,Fall!$1:$1,FALSE))),"")</f>
        <v>1A</v>
      </c>
      <c r="H88" t="str">
        <f>IFERROR(IF(INDEX(Fall!$1:$1048576,MATCH(All!$A88,Fall!$A:$A,FALSE),MATCH(All!H$1,Fall!$1:$1,FALSE))="","",INDEX(Fall!$1:$1048576,MATCH(All!$A88,Fall!$A:$A,FALSE),MATCH(All!H$1,Fall!$1:$1,FALSE))),"")</f>
        <v>1A</v>
      </c>
      <c r="I88" t="str">
        <f>IFERROR(IF(INDEX(Fall!$1:$1048576,MATCH(All!$A88,Fall!$A:$A,FALSE),MATCH(All!I$1,Fall!$1:$1,FALSE))="","",INDEX(Fall!$1:$1048576,MATCH(All!$A88,Fall!$A:$A,FALSE),MATCH(All!I$1,Fall!$1:$1,FALSE))),"")</f>
        <v>2A</v>
      </c>
      <c r="J88" t="str">
        <f>IFERROR(IF(INDEX(Fall!$1:$1048576,MATCH(All!$A88,Fall!$A:$A,FALSE),MATCH(All!J$1,Fall!$1:$1,FALSE))="","",INDEX(Fall!$1:$1048576,MATCH(All!$A88,Fall!$A:$A,FALSE),MATCH(All!J$1,Fall!$1:$1,FALSE))),"")</f>
        <v>1A</v>
      </c>
      <c r="K88" t="str">
        <f>IFERROR(IF(INDEX(Fall!$1:$1048576,MATCH(All!$A88,Fall!$A:$A,FALSE),MATCH(All!K$1,Fall!$1:$1,FALSE))="","",INDEX(Fall!$1:$1048576,MATCH(All!$A88,Fall!$A:$A,FALSE),MATCH(All!K$1,Fall!$1:$1,FALSE))),"")</f>
        <v>1A</v>
      </c>
      <c r="L88" t="str">
        <f>IFERROR(IF(INDEX(Fall!$1:$1048576,MATCH(All!$A88,Fall!$A:$A,FALSE),MATCH(All!L$1,Fall!$1:$1,FALSE))="","",INDEX(Fall!$1:$1048576,MATCH(All!$A88,Fall!$A:$A,FALSE),MATCH(All!L$1,Fall!$1:$1,FALSE))),"")</f>
        <v/>
      </c>
      <c r="M88" t="str">
        <f>IFERROR(IF(INDEX(Fall!$1:$1048576,MATCH(All!$A88,Fall!$A:$A,FALSE),MATCH(All!M$1,Fall!$1:$1,FALSE))="","",INDEX(Fall!$1:$1048576,MATCH(All!$A88,Fall!$A:$A,FALSE),MATCH(All!M$1,Fall!$1:$1,FALSE))),"")</f>
        <v>2A</v>
      </c>
      <c r="O88">
        <f>IFERROR(IF(INDEX(Winter!$1:$1048576,MATCH(All!$A88,Winter!$A:$A,FALSE),MATCH(All!O$1,Winter!$1:$1,FALSE))="","",INDEX(Winter!$1:$1048576,MATCH(All!$A88,Winter!$A:$A,FALSE),MATCH(All!O$1,Winter!$1:$1,FALSE))),"")</f>
        <v>585</v>
      </c>
      <c r="P88" t="str">
        <f>IFERROR(IF(INDEX(Winter!$1:$1048576,MATCH(All!$A88,Winter!$A:$A,FALSE),MATCH(All!P$1,Winter!$1:$1,FALSE))="","",INDEX(Winter!$1:$1048576,MATCH(All!$A88,Winter!$A:$A,FALSE),MATCH(All!P$1,Winter!$1:$1,FALSE))),"")</f>
        <v>2A</v>
      </c>
      <c r="Q88" t="str">
        <f>IFERROR(IF(INDEX(Winter!$1:$1048576,MATCH(All!$A88,Winter!$A:$A,FALSE),MATCH(All!Q$1,Winter!$1:$1,FALSE))="","",INDEX(Winter!$1:$1048576,MATCH(All!$A88,Winter!$A:$A,FALSE),MATCH(All!Q$1,Winter!$1:$1,FALSE))),"")</f>
        <v>2A</v>
      </c>
      <c r="R88" t="str">
        <f>IFERROR(IF(INDEX(Winter!$1:$1048576,MATCH(All!$A88,Winter!$A:$A,FALSE),MATCH(All!R$1,Winter!$1:$1,FALSE))="","",INDEX(Winter!$1:$1048576,MATCH(All!$A88,Winter!$A:$A,FALSE),MATCH(All!R$1,Winter!$1:$1,FALSE))),"")</f>
        <v/>
      </c>
      <c r="S88" t="str">
        <f>IFERROR(IF(INDEX(Winter!$1:$1048576,MATCH(All!$A88,Winter!$A:$A,FALSE),MATCH(All!S$1,Winter!$1:$1,FALSE))="","",INDEX(Winter!$1:$1048576,MATCH(All!$A88,Winter!$A:$A,FALSE),MATCH(All!S$1,Winter!$1:$1,FALSE))),"")</f>
        <v>1A</v>
      </c>
      <c r="T88" t="str">
        <f>IFERROR(IF(INDEX(Winter!$1:$1048576,MATCH(All!$A88,Winter!$A:$A,FALSE),MATCH(All!T$1,Winter!$1:$1,FALSE))="","",INDEX(Winter!$1:$1048576,MATCH(All!$A88,Winter!$A:$A,FALSE),MATCH(All!T$1,Winter!$1:$1,FALSE))),"")</f>
        <v>2A</v>
      </c>
      <c r="U88" t="str">
        <f>IFERROR(IF(INDEX(Winter!$1:$1048576,MATCH(All!$A88,Winter!$A:$A,FALSE),MATCH(All!U$1,Winter!$1:$1,FALSE))="","",INDEX(Winter!$1:$1048576,MATCH(All!$A88,Winter!$A:$A,FALSE),MATCH(All!U$1,Winter!$1:$1,FALSE))),"")</f>
        <v>1A</v>
      </c>
      <c r="W88">
        <f>IFERROR(IF(INDEX(Spring!$1:$1048576,MATCH(All!$A88,Spring!$A:$A,FALSE),MATCH(All!W$1,Spring!$1:$1,FALSE))="","",INDEX(Spring!$1:$1048576,MATCH(All!$A88,Spring!$A:$A,FALSE),MATCH(All!W$1,Spring!$1:$1,FALSE))),"")</f>
        <v>585</v>
      </c>
      <c r="X88" t="str">
        <f>IFERROR(IF(INDEX(Spring!$1:$1048576,MATCH(All!$A88,Spring!$A:$A,FALSE),MATCH(All!X$1,Spring!$1:$1,FALSE))="","",INDEX(Spring!$1:$1048576,MATCH(All!$A88,Spring!$A:$A,FALSE),MATCH(All!X$1,Spring!$1:$1,FALSE))),"")</f>
        <v>2A</v>
      </c>
      <c r="Y88" t="str">
        <f>IFERROR(IF(INDEX(Spring!$1:$1048576,MATCH(All!$A88,Spring!$A:$A,FALSE),MATCH(All!Y$1,Spring!$1:$1,FALSE))="","",INDEX(Spring!$1:$1048576,MATCH(All!$A88,Spring!$A:$A,FALSE),MATCH(All!Y$1,Spring!$1:$1,FALSE))),"")</f>
        <v>2A</v>
      </c>
      <c r="Z88" t="str">
        <f>IFERROR(IF(INDEX(Spring!$1:$1048576,MATCH(All!$A88,Spring!$A:$A,FALSE),MATCH(All!Z$1,Spring!$1:$1,FALSE))="","",INDEX(Spring!$1:$1048576,MATCH(All!$A88,Spring!$A:$A,FALSE),MATCH(All!Z$1,Spring!$1:$1,FALSE))),"")</f>
        <v>1A</v>
      </c>
      <c r="AA88" t="str">
        <f>IFERROR(IF(INDEX(Spring!$1:$1048576,MATCH(All!$A88,Spring!$A:$A,FALSE),MATCH(All!AA$1,Spring!$1:$1,FALSE))="","",INDEX(Spring!$1:$1048576,MATCH(All!$A88,Spring!$A:$A,FALSE),MATCH(All!AA$1,Spring!$1:$1,FALSE))),"")</f>
        <v/>
      </c>
      <c r="AB88" t="str">
        <f>IFERROR(IF(INDEX(Spring!$1:$1048576,MATCH(All!$A88,Spring!$A:$A,FALSE),MATCH(All!AB$1,Spring!$1:$1,FALSE))="","",INDEX(Spring!$1:$1048576,MATCH(All!$A88,Spring!$A:$A,FALSE),MATCH(All!AB$1,Spring!$1:$1,FALSE))),"")</f>
        <v>2A</v>
      </c>
      <c r="AC88" t="str">
        <f>IFERROR(IF(INDEX(Spring!$1:$1048576,MATCH(All!$A88,Spring!$A:$A,FALSE),MATCH(All!AC$1,Spring!$1:$1,FALSE))="","",INDEX(Spring!$1:$1048576,MATCH(All!$A88,Spring!$A:$A,FALSE),MATCH(All!AC$1,Spring!$1:$1,FALSE))),"")</f>
        <v>2A</v>
      </c>
      <c r="AD88" t="str">
        <f>IFERROR(VLOOKUP(A88,'Flag Football'!A:A,1,FALSE),"")</f>
        <v/>
      </c>
      <c r="AE88" t="str">
        <f t="shared" si="1"/>
        <v/>
      </c>
    </row>
    <row r="89" spans="1:31" ht="15.75" thickBot="1" x14ac:dyDescent="0.3">
      <c r="A89" s="18" t="s">
        <v>107</v>
      </c>
      <c r="B89" s="38">
        <f>IFERROR(VLOOKUP(A89,'Public v Private'!A:G,3,FALSE),"")</f>
        <v>0</v>
      </c>
      <c r="C89" s="38">
        <f>IFERROR(VLOOKUP(A89,'Public v Private'!A:G,4,FALSE),"")</f>
        <v>0</v>
      </c>
      <c r="D89" s="38">
        <f>IFERROR(VLOOKUP(A89,'Public v Private'!A:G,5,FALSE),"")</f>
        <v>0</v>
      </c>
      <c r="E89" s="38"/>
      <c r="F89" s="40">
        <f>IFERROR(INDEX(Fall!$1:$1048576,MATCH(All!$A89,Fall!$A:$A,FALSE),MATCH(All!F$1,Fall!$1:$1,FALSE)),"N/A")</f>
        <v>978</v>
      </c>
      <c r="G89" t="str">
        <f>IFERROR(IF(INDEX(Fall!$1:$1048576,MATCH(All!$A89,Fall!$A:$A,FALSE),MATCH(All!G$1,Fall!$1:$1,FALSE))="","",INDEX(Fall!$1:$1048576,MATCH(All!$A89,Fall!$A:$A,FALSE),MATCH(All!G$1,Fall!$1:$1,FALSE))),"")</f>
        <v>2A</v>
      </c>
      <c r="H89" t="str">
        <f>IFERROR(IF(INDEX(Fall!$1:$1048576,MATCH(All!$A89,Fall!$A:$A,FALSE),MATCH(All!H$1,Fall!$1:$1,FALSE))="","",INDEX(Fall!$1:$1048576,MATCH(All!$A89,Fall!$A:$A,FALSE),MATCH(All!H$1,Fall!$1:$1,FALSE))),"")</f>
        <v>2A</v>
      </c>
      <c r="I89" t="str">
        <f>IFERROR(IF(INDEX(Fall!$1:$1048576,MATCH(All!$A89,Fall!$A:$A,FALSE),MATCH(All!I$1,Fall!$1:$1,FALSE))="","",INDEX(Fall!$1:$1048576,MATCH(All!$A89,Fall!$A:$A,FALSE),MATCH(All!I$1,Fall!$1:$1,FALSE))),"")</f>
        <v>2A</v>
      </c>
      <c r="J89" t="str">
        <f>IFERROR(IF(INDEX(Fall!$1:$1048576,MATCH(All!$A89,Fall!$A:$A,FALSE),MATCH(All!J$1,Fall!$1:$1,FALSE))="","",INDEX(Fall!$1:$1048576,MATCH(All!$A89,Fall!$A:$A,FALSE),MATCH(All!J$1,Fall!$1:$1,FALSE))),"")</f>
        <v>2A</v>
      </c>
      <c r="K89" t="str">
        <f>IFERROR(IF(INDEX(Fall!$1:$1048576,MATCH(All!$A89,Fall!$A:$A,FALSE),MATCH(All!K$1,Fall!$1:$1,FALSE))="","",INDEX(Fall!$1:$1048576,MATCH(All!$A89,Fall!$A:$A,FALSE),MATCH(All!K$1,Fall!$1:$1,FALSE))),"")</f>
        <v>2A</v>
      </c>
      <c r="L89" t="str">
        <f>IFERROR(IF(INDEX(Fall!$1:$1048576,MATCH(All!$A89,Fall!$A:$A,FALSE),MATCH(All!L$1,Fall!$1:$1,FALSE))="","",INDEX(Fall!$1:$1048576,MATCH(All!$A89,Fall!$A:$A,FALSE),MATCH(All!L$1,Fall!$1:$1,FALSE))),"")</f>
        <v>1A</v>
      </c>
      <c r="M89" t="str">
        <f>IFERROR(IF(INDEX(Fall!$1:$1048576,MATCH(All!$A89,Fall!$A:$A,FALSE),MATCH(All!M$1,Fall!$1:$1,FALSE))="","",INDEX(Fall!$1:$1048576,MATCH(All!$A89,Fall!$A:$A,FALSE),MATCH(All!M$1,Fall!$1:$1,FALSE))),"")</f>
        <v>3A</v>
      </c>
      <c r="O89">
        <f>IFERROR(IF(INDEX(Winter!$1:$1048576,MATCH(All!$A89,Winter!$A:$A,FALSE),MATCH(All!O$1,Winter!$1:$1,FALSE))="","",INDEX(Winter!$1:$1048576,MATCH(All!$A89,Winter!$A:$A,FALSE),MATCH(All!O$1,Winter!$1:$1,FALSE))),"")</f>
        <v>978</v>
      </c>
      <c r="P89" t="str">
        <f>IFERROR(IF(INDEX(Winter!$1:$1048576,MATCH(All!$A89,Winter!$A:$A,FALSE),MATCH(All!P$1,Winter!$1:$1,FALSE))="","",INDEX(Winter!$1:$1048576,MATCH(All!$A89,Winter!$A:$A,FALSE),MATCH(All!P$1,Winter!$1:$1,FALSE))),"")</f>
        <v>3A</v>
      </c>
      <c r="Q89" t="str">
        <f>IFERROR(IF(INDEX(Winter!$1:$1048576,MATCH(All!$A89,Winter!$A:$A,FALSE),MATCH(All!Q$1,Winter!$1:$1,FALSE))="","",INDEX(Winter!$1:$1048576,MATCH(All!$A89,Winter!$A:$A,FALSE),MATCH(All!Q$1,Winter!$1:$1,FALSE))),"")</f>
        <v>3A</v>
      </c>
      <c r="R89" t="str">
        <f>IFERROR(IF(INDEX(Winter!$1:$1048576,MATCH(All!$A89,Winter!$A:$A,FALSE),MATCH(All!R$1,Winter!$1:$1,FALSE))="","",INDEX(Winter!$1:$1048576,MATCH(All!$A89,Winter!$A:$A,FALSE),MATCH(All!R$1,Winter!$1:$1,FALSE))),"")</f>
        <v>2A</v>
      </c>
      <c r="S89" t="str">
        <f>IFERROR(IF(INDEX(Winter!$1:$1048576,MATCH(All!$A89,Winter!$A:$A,FALSE),MATCH(All!S$1,Winter!$1:$1,FALSE))="","",INDEX(Winter!$1:$1048576,MATCH(All!$A89,Winter!$A:$A,FALSE),MATCH(All!S$1,Winter!$1:$1,FALSE))),"")</f>
        <v/>
      </c>
      <c r="T89" t="str">
        <f>IFERROR(IF(INDEX(Winter!$1:$1048576,MATCH(All!$A89,Winter!$A:$A,FALSE),MATCH(All!T$1,Winter!$1:$1,FALSE))="","",INDEX(Winter!$1:$1048576,MATCH(All!$A89,Winter!$A:$A,FALSE),MATCH(All!T$1,Winter!$1:$1,FALSE))),"")</f>
        <v>2A</v>
      </c>
      <c r="U89" t="str">
        <f>IFERROR(IF(INDEX(Winter!$1:$1048576,MATCH(All!$A89,Winter!$A:$A,FALSE),MATCH(All!U$1,Winter!$1:$1,FALSE))="","",INDEX(Winter!$1:$1048576,MATCH(All!$A89,Winter!$A:$A,FALSE),MATCH(All!U$1,Winter!$1:$1,FALSE))),"")</f>
        <v>2A</v>
      </c>
      <c r="W89">
        <f>IFERROR(IF(INDEX(Spring!$1:$1048576,MATCH(All!$A89,Spring!$A:$A,FALSE),MATCH(All!W$1,Spring!$1:$1,FALSE))="","",INDEX(Spring!$1:$1048576,MATCH(All!$A89,Spring!$A:$A,FALSE),MATCH(All!W$1,Spring!$1:$1,FALSE))),"")</f>
        <v>978</v>
      </c>
      <c r="X89" t="str">
        <f>IFERROR(IF(INDEX(Spring!$1:$1048576,MATCH(All!$A89,Spring!$A:$A,FALSE),MATCH(All!X$1,Spring!$1:$1,FALSE))="","",INDEX(Spring!$1:$1048576,MATCH(All!$A89,Spring!$A:$A,FALSE),MATCH(All!X$1,Spring!$1:$1,FALSE))),"")</f>
        <v>3A</v>
      </c>
      <c r="Y89" t="str">
        <f>IFERROR(IF(INDEX(Spring!$1:$1048576,MATCH(All!$A89,Spring!$A:$A,FALSE),MATCH(All!Y$1,Spring!$1:$1,FALSE))="","",INDEX(Spring!$1:$1048576,MATCH(All!$A89,Spring!$A:$A,FALSE),MATCH(All!Y$1,Spring!$1:$1,FALSE))),"")</f>
        <v>3A</v>
      </c>
      <c r="Z89" t="str">
        <f>IFERROR(IF(INDEX(Spring!$1:$1048576,MATCH(All!$A89,Spring!$A:$A,FALSE),MATCH(All!Z$1,Spring!$1:$1,FALSE))="","",INDEX(Spring!$1:$1048576,MATCH(All!$A89,Spring!$A:$A,FALSE),MATCH(All!Z$1,Spring!$1:$1,FALSE))),"")</f>
        <v>2A</v>
      </c>
      <c r="AA89" t="str">
        <f>IFERROR(IF(INDEX(Spring!$1:$1048576,MATCH(All!$A89,Spring!$A:$A,FALSE),MATCH(All!AA$1,Spring!$1:$1,FALSE))="","",INDEX(Spring!$1:$1048576,MATCH(All!$A89,Spring!$A:$A,FALSE),MATCH(All!AA$1,Spring!$1:$1,FALSE))),"")</f>
        <v>1A</v>
      </c>
      <c r="AB89" t="str">
        <f>IFERROR(IF(INDEX(Spring!$1:$1048576,MATCH(All!$A89,Spring!$A:$A,FALSE),MATCH(All!AB$1,Spring!$1:$1,FALSE))="","",INDEX(Spring!$1:$1048576,MATCH(All!$A89,Spring!$A:$A,FALSE),MATCH(All!AB$1,Spring!$1:$1,FALSE))),"")</f>
        <v>2A</v>
      </c>
      <c r="AC89" t="str">
        <f>IFERROR(IF(INDEX(Spring!$1:$1048576,MATCH(All!$A89,Spring!$A:$A,FALSE),MATCH(All!AC$1,Spring!$1:$1,FALSE))="","",INDEX(Spring!$1:$1048576,MATCH(All!$A89,Spring!$A:$A,FALSE),MATCH(All!AC$1,Spring!$1:$1,FALSE))),"")</f>
        <v>2A</v>
      </c>
      <c r="AD89" t="str">
        <f>IFERROR(VLOOKUP(A89,'Flag Football'!A:A,1,FALSE),"")</f>
        <v/>
      </c>
      <c r="AE89" t="str">
        <f t="shared" si="1"/>
        <v/>
      </c>
    </row>
    <row r="90" spans="1:31" ht="15.75" thickBot="1" x14ac:dyDescent="0.3">
      <c r="A90" s="20" t="s">
        <v>108</v>
      </c>
      <c r="B90" s="38">
        <f>IFERROR(VLOOKUP(A90,'Public v Private'!A:G,3,FALSE),"")</f>
        <v>0</v>
      </c>
      <c r="C90" s="38">
        <f>IFERROR(VLOOKUP(A90,'Public v Private'!A:G,4,FALSE),"")</f>
        <v>0</v>
      </c>
      <c r="D90" s="38">
        <f>IFERROR(VLOOKUP(A90,'Public v Private'!A:G,5,FALSE),"")</f>
        <v>0</v>
      </c>
      <c r="E90" s="38"/>
      <c r="F90" s="40">
        <f>IFERROR(INDEX(Fall!$1:$1048576,MATCH(All!$A90,Fall!$A:$A,FALSE),MATCH(All!F$1,Fall!$1:$1,FALSE)),"N/A")</f>
        <v>351</v>
      </c>
      <c r="G90" t="str">
        <f>IFERROR(IF(INDEX(Fall!$1:$1048576,MATCH(All!$A90,Fall!$A:$A,FALSE),MATCH(All!G$1,Fall!$1:$1,FALSE))="","",INDEX(Fall!$1:$1048576,MATCH(All!$A90,Fall!$A:$A,FALSE),MATCH(All!G$1,Fall!$1:$1,FALSE))),"")</f>
        <v>1A</v>
      </c>
      <c r="H90" t="str">
        <f>IFERROR(IF(INDEX(Fall!$1:$1048576,MATCH(All!$A90,Fall!$A:$A,FALSE),MATCH(All!H$1,Fall!$1:$1,FALSE))="","",INDEX(Fall!$1:$1048576,MATCH(All!$A90,Fall!$A:$A,FALSE),MATCH(All!H$1,Fall!$1:$1,FALSE))),"")</f>
        <v>1A</v>
      </c>
      <c r="I90" t="str">
        <f>IFERROR(IF(INDEX(Fall!$1:$1048576,MATCH(All!$A90,Fall!$A:$A,FALSE),MATCH(All!I$1,Fall!$1:$1,FALSE))="","",INDEX(Fall!$1:$1048576,MATCH(All!$A90,Fall!$A:$A,FALSE),MATCH(All!I$1,Fall!$1:$1,FALSE))),"")</f>
        <v>1A</v>
      </c>
      <c r="J90" t="str">
        <f>IFERROR(IF(INDEX(Fall!$1:$1048576,MATCH(All!$A90,Fall!$A:$A,FALSE),MATCH(All!J$1,Fall!$1:$1,FALSE))="","",INDEX(Fall!$1:$1048576,MATCH(All!$A90,Fall!$A:$A,FALSE),MATCH(All!J$1,Fall!$1:$1,FALSE))),"")</f>
        <v/>
      </c>
      <c r="K90" t="str">
        <f>IFERROR(IF(INDEX(Fall!$1:$1048576,MATCH(All!$A90,Fall!$A:$A,FALSE),MATCH(All!K$1,Fall!$1:$1,FALSE))="","",INDEX(Fall!$1:$1048576,MATCH(All!$A90,Fall!$A:$A,FALSE),MATCH(All!K$1,Fall!$1:$1,FALSE))),"")</f>
        <v>1A</v>
      </c>
      <c r="L90" t="str">
        <f>IFERROR(IF(INDEX(Fall!$1:$1048576,MATCH(All!$A90,Fall!$A:$A,FALSE),MATCH(All!L$1,Fall!$1:$1,FALSE))="","",INDEX(Fall!$1:$1048576,MATCH(All!$A90,Fall!$A:$A,FALSE),MATCH(All!L$1,Fall!$1:$1,FALSE))),"")</f>
        <v/>
      </c>
      <c r="M90" t="str">
        <f>IFERROR(IF(INDEX(Fall!$1:$1048576,MATCH(All!$A90,Fall!$A:$A,FALSE),MATCH(All!M$1,Fall!$1:$1,FALSE))="","",INDEX(Fall!$1:$1048576,MATCH(All!$A90,Fall!$A:$A,FALSE),MATCH(All!M$1,Fall!$1:$1,FALSE))),"")</f>
        <v>2A</v>
      </c>
      <c r="O90">
        <f>IFERROR(IF(INDEX(Winter!$1:$1048576,MATCH(All!$A90,Winter!$A:$A,FALSE),MATCH(All!O$1,Winter!$1:$1,FALSE))="","",INDEX(Winter!$1:$1048576,MATCH(All!$A90,Winter!$A:$A,FALSE),MATCH(All!O$1,Winter!$1:$1,FALSE))),"")</f>
        <v>351</v>
      </c>
      <c r="P90" t="str">
        <f>IFERROR(IF(INDEX(Winter!$1:$1048576,MATCH(All!$A90,Winter!$A:$A,FALSE),MATCH(All!P$1,Winter!$1:$1,FALSE))="","",INDEX(Winter!$1:$1048576,MATCH(All!$A90,Winter!$A:$A,FALSE),MATCH(All!P$1,Winter!$1:$1,FALSE))),"")</f>
        <v>2A</v>
      </c>
      <c r="Q90" t="str">
        <f>IFERROR(IF(INDEX(Winter!$1:$1048576,MATCH(All!$A90,Winter!$A:$A,FALSE),MATCH(All!Q$1,Winter!$1:$1,FALSE))="","",INDEX(Winter!$1:$1048576,MATCH(All!$A90,Winter!$A:$A,FALSE),MATCH(All!Q$1,Winter!$1:$1,FALSE))),"")</f>
        <v>2A</v>
      </c>
      <c r="R90" t="str">
        <f>IFERROR(IF(INDEX(Winter!$1:$1048576,MATCH(All!$A90,Winter!$A:$A,FALSE),MATCH(All!R$1,Winter!$1:$1,FALSE))="","",INDEX(Winter!$1:$1048576,MATCH(All!$A90,Winter!$A:$A,FALSE),MATCH(All!R$1,Winter!$1:$1,FALSE))),"")</f>
        <v/>
      </c>
      <c r="S90" t="str">
        <f>IFERROR(IF(INDEX(Winter!$1:$1048576,MATCH(All!$A90,Winter!$A:$A,FALSE),MATCH(All!S$1,Winter!$1:$1,FALSE))="","",INDEX(Winter!$1:$1048576,MATCH(All!$A90,Winter!$A:$A,FALSE),MATCH(All!S$1,Winter!$1:$1,FALSE))),"")</f>
        <v/>
      </c>
      <c r="T90" t="str">
        <f>IFERROR(IF(INDEX(Winter!$1:$1048576,MATCH(All!$A90,Winter!$A:$A,FALSE),MATCH(All!T$1,Winter!$1:$1,FALSE))="","",INDEX(Winter!$1:$1048576,MATCH(All!$A90,Winter!$A:$A,FALSE),MATCH(All!T$1,Winter!$1:$1,FALSE))),"")</f>
        <v>1A</v>
      </c>
      <c r="U90" t="str">
        <f>IFERROR(IF(INDEX(Winter!$1:$1048576,MATCH(All!$A90,Winter!$A:$A,FALSE),MATCH(All!U$1,Winter!$1:$1,FALSE))="","",INDEX(Winter!$1:$1048576,MATCH(All!$A90,Winter!$A:$A,FALSE),MATCH(All!U$1,Winter!$1:$1,FALSE))),"")</f>
        <v>1A</v>
      </c>
      <c r="W90">
        <f>IFERROR(IF(INDEX(Spring!$1:$1048576,MATCH(All!$A90,Spring!$A:$A,FALSE),MATCH(All!W$1,Spring!$1:$1,FALSE))="","",INDEX(Spring!$1:$1048576,MATCH(All!$A90,Spring!$A:$A,FALSE),MATCH(All!W$1,Spring!$1:$1,FALSE))),"")</f>
        <v>351</v>
      </c>
      <c r="X90" t="str">
        <f>IFERROR(IF(INDEX(Spring!$1:$1048576,MATCH(All!$A90,Spring!$A:$A,FALSE),MATCH(All!X$1,Spring!$1:$1,FALSE))="","",INDEX(Spring!$1:$1048576,MATCH(All!$A90,Spring!$A:$A,FALSE),MATCH(All!X$1,Spring!$1:$1,FALSE))),"")</f>
        <v>2A</v>
      </c>
      <c r="Y90" t="str">
        <f>IFERROR(IF(INDEX(Spring!$1:$1048576,MATCH(All!$A90,Spring!$A:$A,FALSE),MATCH(All!Y$1,Spring!$1:$1,FALSE))="","",INDEX(Spring!$1:$1048576,MATCH(All!$A90,Spring!$A:$A,FALSE),MATCH(All!Y$1,Spring!$1:$1,FALSE))),"")</f>
        <v>2A</v>
      </c>
      <c r="Z90" t="str">
        <f>IFERROR(IF(INDEX(Spring!$1:$1048576,MATCH(All!$A90,Spring!$A:$A,FALSE),MATCH(All!Z$1,Spring!$1:$1,FALSE))="","",INDEX(Spring!$1:$1048576,MATCH(All!$A90,Spring!$A:$A,FALSE),MATCH(All!Z$1,Spring!$1:$1,FALSE))),"")</f>
        <v>1A</v>
      </c>
      <c r="AA90" t="str">
        <f>IFERROR(IF(INDEX(Spring!$1:$1048576,MATCH(All!$A90,Spring!$A:$A,FALSE),MATCH(All!AA$1,Spring!$1:$1,FALSE))="","",INDEX(Spring!$1:$1048576,MATCH(All!$A90,Spring!$A:$A,FALSE),MATCH(All!AA$1,Spring!$1:$1,FALSE))),"")</f>
        <v/>
      </c>
      <c r="AB90" t="str">
        <f>IFERROR(IF(INDEX(Spring!$1:$1048576,MATCH(All!$A90,Spring!$A:$A,FALSE),MATCH(All!AB$1,Spring!$1:$1,FALSE))="","",INDEX(Spring!$1:$1048576,MATCH(All!$A90,Spring!$A:$A,FALSE),MATCH(All!AB$1,Spring!$1:$1,FALSE))),"")</f>
        <v>1A</v>
      </c>
      <c r="AC90" t="str">
        <f>IFERROR(IF(INDEX(Spring!$1:$1048576,MATCH(All!$A90,Spring!$A:$A,FALSE),MATCH(All!AC$1,Spring!$1:$1,FALSE))="","",INDEX(Spring!$1:$1048576,MATCH(All!$A90,Spring!$A:$A,FALSE),MATCH(All!AC$1,Spring!$1:$1,FALSE))),"")</f>
        <v>1A</v>
      </c>
      <c r="AD90" t="str">
        <f>IFERROR(VLOOKUP(A90,'Flag Football'!A:A,1,FALSE),"")</f>
        <v/>
      </c>
      <c r="AE90" t="str">
        <f t="shared" si="1"/>
        <v/>
      </c>
    </row>
    <row r="91" spans="1:31" ht="15.75" thickBot="1" x14ac:dyDescent="0.3">
      <c r="A91" s="18" t="s">
        <v>109</v>
      </c>
      <c r="B91" s="38">
        <f>IFERROR(VLOOKUP(A91,'Public v Private'!A:G,3,FALSE),"")</f>
        <v>0</v>
      </c>
      <c r="C91" s="38">
        <f>IFERROR(VLOOKUP(A91,'Public v Private'!A:G,4,FALSE),"")</f>
        <v>0</v>
      </c>
      <c r="D91" s="38">
        <f>IFERROR(VLOOKUP(A91,'Public v Private'!A:G,5,FALSE),"")</f>
        <v>0</v>
      </c>
      <c r="E91" s="38"/>
      <c r="F91" s="40">
        <f>IFERROR(INDEX(Fall!$1:$1048576,MATCH(All!$A91,Fall!$A:$A,FALSE),MATCH(All!F$1,Fall!$1:$1,FALSE)),"N/A")</f>
        <v>281</v>
      </c>
      <c r="G91" t="str">
        <f>IFERROR(IF(INDEX(Fall!$1:$1048576,MATCH(All!$A91,Fall!$A:$A,FALSE),MATCH(All!G$1,Fall!$1:$1,FALSE))="","",INDEX(Fall!$1:$1048576,MATCH(All!$A91,Fall!$A:$A,FALSE),MATCH(All!G$1,Fall!$1:$1,FALSE))),"")</f>
        <v>1A</v>
      </c>
      <c r="H91" t="str">
        <f>IFERROR(IF(INDEX(Fall!$1:$1048576,MATCH(All!$A91,Fall!$A:$A,FALSE),MATCH(All!H$1,Fall!$1:$1,FALSE))="","",INDEX(Fall!$1:$1048576,MATCH(All!$A91,Fall!$A:$A,FALSE),MATCH(All!H$1,Fall!$1:$1,FALSE))),"")</f>
        <v>1A</v>
      </c>
      <c r="I91" t="str">
        <f>IFERROR(IF(INDEX(Fall!$1:$1048576,MATCH(All!$A91,Fall!$A:$A,FALSE),MATCH(All!I$1,Fall!$1:$1,FALSE))="","",INDEX(Fall!$1:$1048576,MATCH(All!$A91,Fall!$A:$A,FALSE),MATCH(All!I$1,Fall!$1:$1,FALSE))),"")</f>
        <v>1A</v>
      </c>
      <c r="J91" t="str">
        <f>IFERROR(IF(INDEX(Fall!$1:$1048576,MATCH(All!$A91,Fall!$A:$A,FALSE),MATCH(All!J$1,Fall!$1:$1,FALSE))="","",INDEX(Fall!$1:$1048576,MATCH(All!$A91,Fall!$A:$A,FALSE),MATCH(All!J$1,Fall!$1:$1,FALSE))),"")</f>
        <v>1A</v>
      </c>
      <c r="K91" t="str">
        <f>IFERROR(IF(INDEX(Fall!$1:$1048576,MATCH(All!$A91,Fall!$A:$A,FALSE),MATCH(All!K$1,Fall!$1:$1,FALSE))="","",INDEX(Fall!$1:$1048576,MATCH(All!$A91,Fall!$A:$A,FALSE),MATCH(All!K$1,Fall!$1:$1,FALSE))),"")</f>
        <v>1A</v>
      </c>
      <c r="L91" t="str">
        <f>IFERROR(IF(INDEX(Fall!$1:$1048576,MATCH(All!$A91,Fall!$A:$A,FALSE),MATCH(All!L$1,Fall!$1:$1,FALSE))="","",INDEX(Fall!$1:$1048576,MATCH(All!$A91,Fall!$A:$A,FALSE),MATCH(All!L$1,Fall!$1:$1,FALSE))),"")</f>
        <v/>
      </c>
      <c r="M91" t="str">
        <f>IFERROR(IF(INDEX(Fall!$1:$1048576,MATCH(All!$A91,Fall!$A:$A,FALSE),MATCH(All!M$1,Fall!$1:$1,FALSE))="","",INDEX(Fall!$1:$1048576,MATCH(All!$A91,Fall!$A:$A,FALSE),MATCH(All!M$1,Fall!$1:$1,FALSE))),"")</f>
        <v>1A</v>
      </c>
      <c r="O91">
        <f>IFERROR(IF(INDEX(Winter!$1:$1048576,MATCH(All!$A91,Winter!$A:$A,FALSE),MATCH(All!O$1,Winter!$1:$1,FALSE))="","",INDEX(Winter!$1:$1048576,MATCH(All!$A91,Winter!$A:$A,FALSE),MATCH(All!O$1,Winter!$1:$1,FALSE))),"")</f>
        <v>281</v>
      </c>
      <c r="P91" t="str">
        <f>IFERROR(IF(INDEX(Winter!$1:$1048576,MATCH(All!$A91,Winter!$A:$A,FALSE),MATCH(All!P$1,Winter!$1:$1,FALSE))="","",INDEX(Winter!$1:$1048576,MATCH(All!$A91,Winter!$A:$A,FALSE),MATCH(All!P$1,Winter!$1:$1,FALSE))),"")</f>
        <v>1A</v>
      </c>
      <c r="Q91" t="str">
        <f>IFERROR(IF(INDEX(Winter!$1:$1048576,MATCH(All!$A91,Winter!$A:$A,FALSE),MATCH(All!Q$1,Winter!$1:$1,FALSE))="","",INDEX(Winter!$1:$1048576,MATCH(All!$A91,Winter!$A:$A,FALSE),MATCH(All!Q$1,Winter!$1:$1,FALSE))),"")</f>
        <v>1A</v>
      </c>
      <c r="R91" t="str">
        <f>IFERROR(IF(INDEX(Winter!$1:$1048576,MATCH(All!$A91,Winter!$A:$A,FALSE),MATCH(All!R$1,Winter!$1:$1,FALSE))="","",INDEX(Winter!$1:$1048576,MATCH(All!$A91,Winter!$A:$A,FALSE),MATCH(All!R$1,Winter!$1:$1,FALSE))),"")</f>
        <v/>
      </c>
      <c r="S91" t="str">
        <f>IFERROR(IF(INDEX(Winter!$1:$1048576,MATCH(All!$A91,Winter!$A:$A,FALSE),MATCH(All!S$1,Winter!$1:$1,FALSE))="","",INDEX(Winter!$1:$1048576,MATCH(All!$A91,Winter!$A:$A,FALSE),MATCH(All!S$1,Winter!$1:$1,FALSE))),"")</f>
        <v/>
      </c>
      <c r="T91" t="str">
        <f>IFERROR(IF(INDEX(Winter!$1:$1048576,MATCH(All!$A91,Winter!$A:$A,FALSE),MATCH(All!T$1,Winter!$1:$1,FALSE))="","",INDEX(Winter!$1:$1048576,MATCH(All!$A91,Winter!$A:$A,FALSE),MATCH(All!T$1,Winter!$1:$1,FALSE))),"")</f>
        <v>1A</v>
      </c>
      <c r="U91" t="str">
        <f>IFERROR(IF(INDEX(Winter!$1:$1048576,MATCH(All!$A91,Winter!$A:$A,FALSE),MATCH(All!U$1,Winter!$1:$1,FALSE))="","",INDEX(Winter!$1:$1048576,MATCH(All!$A91,Winter!$A:$A,FALSE),MATCH(All!U$1,Winter!$1:$1,FALSE))),"")</f>
        <v/>
      </c>
      <c r="W91">
        <f>IFERROR(IF(INDEX(Spring!$1:$1048576,MATCH(All!$A91,Spring!$A:$A,FALSE),MATCH(All!W$1,Spring!$1:$1,FALSE))="","",INDEX(Spring!$1:$1048576,MATCH(All!$A91,Spring!$A:$A,FALSE),MATCH(All!W$1,Spring!$1:$1,FALSE))),"")</f>
        <v>281</v>
      </c>
      <c r="X91" t="str">
        <f>IFERROR(IF(INDEX(Spring!$1:$1048576,MATCH(All!$A91,Spring!$A:$A,FALSE),MATCH(All!X$1,Spring!$1:$1,FALSE))="","",INDEX(Spring!$1:$1048576,MATCH(All!$A91,Spring!$A:$A,FALSE),MATCH(All!X$1,Spring!$1:$1,FALSE))),"")</f>
        <v>1A</v>
      </c>
      <c r="Y91" t="str">
        <f>IFERROR(IF(INDEX(Spring!$1:$1048576,MATCH(All!$A91,Spring!$A:$A,FALSE),MATCH(All!Y$1,Spring!$1:$1,FALSE))="","",INDEX(Spring!$1:$1048576,MATCH(All!$A91,Spring!$A:$A,FALSE),MATCH(All!Y$1,Spring!$1:$1,FALSE))),"")</f>
        <v>1A</v>
      </c>
      <c r="Z91" t="str">
        <f>IFERROR(IF(INDEX(Spring!$1:$1048576,MATCH(All!$A91,Spring!$A:$A,FALSE),MATCH(All!Z$1,Spring!$1:$1,FALSE))="","",INDEX(Spring!$1:$1048576,MATCH(All!$A91,Spring!$A:$A,FALSE),MATCH(All!Z$1,Spring!$1:$1,FALSE))),"")</f>
        <v/>
      </c>
      <c r="AA91" t="str">
        <f>IFERROR(IF(INDEX(Spring!$1:$1048576,MATCH(All!$A91,Spring!$A:$A,FALSE),MATCH(All!AA$1,Spring!$1:$1,FALSE))="","",INDEX(Spring!$1:$1048576,MATCH(All!$A91,Spring!$A:$A,FALSE),MATCH(All!AA$1,Spring!$1:$1,FALSE))),"")</f>
        <v/>
      </c>
      <c r="AB91" t="str">
        <f>IFERROR(IF(INDEX(Spring!$1:$1048576,MATCH(All!$A91,Spring!$A:$A,FALSE),MATCH(All!AB$1,Spring!$1:$1,FALSE))="","",INDEX(Spring!$1:$1048576,MATCH(All!$A91,Spring!$A:$A,FALSE),MATCH(All!AB$1,Spring!$1:$1,FALSE))),"")</f>
        <v>1A</v>
      </c>
      <c r="AC91" t="str">
        <f>IFERROR(IF(INDEX(Spring!$1:$1048576,MATCH(All!$A91,Spring!$A:$A,FALSE),MATCH(All!AC$1,Spring!$1:$1,FALSE))="","",INDEX(Spring!$1:$1048576,MATCH(All!$A91,Spring!$A:$A,FALSE),MATCH(All!AC$1,Spring!$1:$1,FALSE))),"")</f>
        <v>1A</v>
      </c>
      <c r="AD91" t="str">
        <f>IFERROR(VLOOKUP(A91,'Flag Football'!A:A,1,FALSE),"")</f>
        <v/>
      </c>
      <c r="AE91" t="str">
        <f t="shared" si="1"/>
        <v/>
      </c>
    </row>
    <row r="92" spans="1:31" ht="15.75" thickBot="1" x14ac:dyDescent="0.3">
      <c r="A92" s="20" t="s">
        <v>110</v>
      </c>
      <c r="B92" s="38">
        <f>IFERROR(VLOOKUP(A92,'Public v Private'!A:G,3,FALSE),"")</f>
        <v>0</v>
      </c>
      <c r="C92" s="38">
        <f>IFERROR(VLOOKUP(A92,'Public v Private'!A:G,4,FALSE),"")</f>
        <v>0</v>
      </c>
      <c r="D92" s="38">
        <f>IFERROR(VLOOKUP(A92,'Public v Private'!A:G,5,FALSE),"")</f>
        <v>0</v>
      </c>
      <c r="E92" s="38"/>
      <c r="F92" s="40">
        <f>IFERROR(INDEX(Fall!$1:$1048576,MATCH(All!$A92,Fall!$A:$A,FALSE),MATCH(All!F$1,Fall!$1:$1,FALSE)),"N/A")</f>
        <v>403</v>
      </c>
      <c r="G92" t="str">
        <f>IFERROR(IF(INDEX(Fall!$1:$1048576,MATCH(All!$A92,Fall!$A:$A,FALSE),MATCH(All!G$1,Fall!$1:$1,FALSE))="","",INDEX(Fall!$1:$1048576,MATCH(All!$A92,Fall!$A:$A,FALSE),MATCH(All!G$1,Fall!$1:$1,FALSE))),"")</f>
        <v>1A</v>
      </c>
      <c r="H92" t="str">
        <f>IFERROR(IF(INDEX(Fall!$1:$1048576,MATCH(All!$A92,Fall!$A:$A,FALSE),MATCH(All!H$1,Fall!$1:$1,FALSE))="","",INDEX(Fall!$1:$1048576,MATCH(All!$A92,Fall!$A:$A,FALSE),MATCH(All!H$1,Fall!$1:$1,FALSE))),"")</f>
        <v>1A</v>
      </c>
      <c r="I92" t="str">
        <f>IFERROR(IF(INDEX(Fall!$1:$1048576,MATCH(All!$A92,Fall!$A:$A,FALSE),MATCH(All!I$1,Fall!$1:$1,FALSE))="","",INDEX(Fall!$1:$1048576,MATCH(All!$A92,Fall!$A:$A,FALSE),MATCH(All!I$1,Fall!$1:$1,FALSE))),"")</f>
        <v>1A</v>
      </c>
      <c r="J92" t="str">
        <f>IFERROR(IF(INDEX(Fall!$1:$1048576,MATCH(All!$A92,Fall!$A:$A,FALSE),MATCH(All!J$1,Fall!$1:$1,FALSE))="","",INDEX(Fall!$1:$1048576,MATCH(All!$A92,Fall!$A:$A,FALSE),MATCH(All!J$1,Fall!$1:$1,FALSE))),"")</f>
        <v>1A</v>
      </c>
      <c r="K92" t="str">
        <f>IFERROR(IF(INDEX(Fall!$1:$1048576,MATCH(All!$A92,Fall!$A:$A,FALSE),MATCH(All!K$1,Fall!$1:$1,FALSE))="","",INDEX(Fall!$1:$1048576,MATCH(All!$A92,Fall!$A:$A,FALSE),MATCH(All!K$1,Fall!$1:$1,FALSE))),"")</f>
        <v/>
      </c>
      <c r="L92" t="str">
        <f>IFERROR(IF(INDEX(Fall!$1:$1048576,MATCH(All!$A92,Fall!$A:$A,FALSE),MATCH(All!L$1,Fall!$1:$1,FALSE))="","",INDEX(Fall!$1:$1048576,MATCH(All!$A92,Fall!$A:$A,FALSE),MATCH(All!L$1,Fall!$1:$1,FALSE))),"")</f>
        <v>1A</v>
      </c>
      <c r="M92" t="str">
        <f>IFERROR(IF(INDEX(Fall!$1:$1048576,MATCH(All!$A92,Fall!$A:$A,FALSE),MATCH(All!M$1,Fall!$1:$1,FALSE))="","",INDEX(Fall!$1:$1048576,MATCH(All!$A92,Fall!$A:$A,FALSE),MATCH(All!M$1,Fall!$1:$1,FALSE))),"")</f>
        <v>2A</v>
      </c>
      <c r="O92">
        <f>IFERROR(IF(INDEX(Winter!$1:$1048576,MATCH(All!$A92,Winter!$A:$A,FALSE),MATCH(All!O$1,Winter!$1:$1,FALSE))="","",INDEX(Winter!$1:$1048576,MATCH(All!$A92,Winter!$A:$A,FALSE),MATCH(All!O$1,Winter!$1:$1,FALSE))),"")</f>
        <v>403</v>
      </c>
      <c r="P92" t="str">
        <f>IFERROR(IF(INDEX(Winter!$1:$1048576,MATCH(All!$A92,Winter!$A:$A,FALSE),MATCH(All!P$1,Winter!$1:$1,FALSE))="","",INDEX(Winter!$1:$1048576,MATCH(All!$A92,Winter!$A:$A,FALSE),MATCH(All!P$1,Winter!$1:$1,FALSE))),"")</f>
        <v>2A</v>
      </c>
      <c r="Q92" t="str">
        <f>IFERROR(IF(INDEX(Winter!$1:$1048576,MATCH(All!$A92,Winter!$A:$A,FALSE),MATCH(All!Q$1,Winter!$1:$1,FALSE))="","",INDEX(Winter!$1:$1048576,MATCH(All!$A92,Winter!$A:$A,FALSE),MATCH(All!Q$1,Winter!$1:$1,FALSE))),"")</f>
        <v>2A</v>
      </c>
      <c r="R92" t="str">
        <f>IFERROR(IF(INDEX(Winter!$1:$1048576,MATCH(All!$A92,Winter!$A:$A,FALSE),MATCH(All!R$1,Winter!$1:$1,FALSE))="","",INDEX(Winter!$1:$1048576,MATCH(All!$A92,Winter!$A:$A,FALSE),MATCH(All!R$1,Winter!$1:$1,FALSE))),"")</f>
        <v/>
      </c>
      <c r="S92" t="str">
        <f>IFERROR(IF(INDEX(Winter!$1:$1048576,MATCH(All!$A92,Winter!$A:$A,FALSE),MATCH(All!S$1,Winter!$1:$1,FALSE))="","",INDEX(Winter!$1:$1048576,MATCH(All!$A92,Winter!$A:$A,FALSE),MATCH(All!S$1,Winter!$1:$1,FALSE))),"")</f>
        <v/>
      </c>
      <c r="T92" t="str">
        <f>IFERROR(IF(INDEX(Winter!$1:$1048576,MATCH(All!$A92,Winter!$A:$A,FALSE),MATCH(All!T$1,Winter!$1:$1,FALSE))="","",INDEX(Winter!$1:$1048576,MATCH(All!$A92,Winter!$A:$A,FALSE),MATCH(All!T$1,Winter!$1:$1,FALSE))),"")</f>
        <v/>
      </c>
      <c r="U92" t="str">
        <f>IFERROR(IF(INDEX(Winter!$1:$1048576,MATCH(All!$A92,Winter!$A:$A,FALSE),MATCH(All!U$1,Winter!$1:$1,FALSE))="","",INDEX(Winter!$1:$1048576,MATCH(All!$A92,Winter!$A:$A,FALSE),MATCH(All!U$1,Winter!$1:$1,FALSE))),"")</f>
        <v>1A</v>
      </c>
      <c r="W92">
        <f>IFERROR(IF(INDEX(Spring!$1:$1048576,MATCH(All!$A92,Spring!$A:$A,FALSE),MATCH(All!W$1,Spring!$1:$1,FALSE))="","",INDEX(Spring!$1:$1048576,MATCH(All!$A92,Spring!$A:$A,FALSE),MATCH(All!W$1,Spring!$1:$1,FALSE))),"")</f>
        <v>403</v>
      </c>
      <c r="X92" t="str">
        <f>IFERROR(IF(INDEX(Spring!$1:$1048576,MATCH(All!$A92,Spring!$A:$A,FALSE),MATCH(All!X$1,Spring!$1:$1,FALSE))="","",INDEX(Spring!$1:$1048576,MATCH(All!$A92,Spring!$A:$A,FALSE),MATCH(All!X$1,Spring!$1:$1,FALSE))),"")</f>
        <v>2A</v>
      </c>
      <c r="Y92" t="str">
        <f>IFERROR(IF(INDEX(Spring!$1:$1048576,MATCH(All!$A92,Spring!$A:$A,FALSE),MATCH(All!Y$1,Spring!$1:$1,FALSE))="","",INDEX(Spring!$1:$1048576,MATCH(All!$A92,Spring!$A:$A,FALSE),MATCH(All!Y$1,Spring!$1:$1,FALSE))),"")</f>
        <v>2A</v>
      </c>
      <c r="Z92" t="str">
        <f>IFERROR(IF(INDEX(Spring!$1:$1048576,MATCH(All!$A92,Spring!$A:$A,FALSE),MATCH(All!Z$1,Spring!$1:$1,FALSE))="","",INDEX(Spring!$1:$1048576,MATCH(All!$A92,Spring!$A:$A,FALSE),MATCH(All!Z$1,Spring!$1:$1,FALSE))),"")</f>
        <v/>
      </c>
      <c r="AA92" t="str">
        <f>IFERROR(IF(INDEX(Spring!$1:$1048576,MATCH(All!$A92,Spring!$A:$A,FALSE),MATCH(All!AA$1,Spring!$1:$1,FALSE))="","",INDEX(Spring!$1:$1048576,MATCH(All!$A92,Spring!$A:$A,FALSE),MATCH(All!AA$1,Spring!$1:$1,FALSE))),"")</f>
        <v>1A</v>
      </c>
      <c r="AB92" t="str">
        <f>IFERROR(IF(INDEX(Spring!$1:$1048576,MATCH(All!$A92,Spring!$A:$A,FALSE),MATCH(All!AB$1,Spring!$1:$1,FALSE))="","",INDEX(Spring!$1:$1048576,MATCH(All!$A92,Spring!$A:$A,FALSE),MATCH(All!AB$1,Spring!$1:$1,FALSE))),"")</f>
        <v>1A</v>
      </c>
      <c r="AC92" t="str">
        <f>IFERROR(IF(INDEX(Spring!$1:$1048576,MATCH(All!$A92,Spring!$A:$A,FALSE),MATCH(All!AC$1,Spring!$1:$1,FALSE))="","",INDEX(Spring!$1:$1048576,MATCH(All!$A92,Spring!$A:$A,FALSE),MATCH(All!AC$1,Spring!$1:$1,FALSE))),"")</f>
        <v>1A</v>
      </c>
      <c r="AD92" t="str">
        <f>IFERROR(VLOOKUP(A92,'Flag Football'!A:A,1,FALSE),"")</f>
        <v/>
      </c>
      <c r="AE92" t="str">
        <f t="shared" si="1"/>
        <v/>
      </c>
    </row>
    <row r="93" spans="1:31" ht="15.75" thickBot="1" x14ac:dyDescent="0.3">
      <c r="A93" s="18" t="s">
        <v>111</v>
      </c>
      <c r="B93" s="38">
        <f>IFERROR(VLOOKUP(A93,'Public v Private'!A:G,3,FALSE),"")</f>
        <v>0</v>
      </c>
      <c r="C93" s="38">
        <f>IFERROR(VLOOKUP(A93,'Public v Private'!A:G,4,FALSE),"")</f>
        <v>0</v>
      </c>
      <c r="D93" s="38">
        <f>IFERROR(VLOOKUP(A93,'Public v Private'!A:G,5,FALSE),"")</f>
        <v>0</v>
      </c>
      <c r="E93" s="38"/>
      <c r="F93" s="40">
        <f>IFERROR(INDEX(Fall!$1:$1048576,MATCH(All!$A93,Fall!$A:$A,FALSE),MATCH(All!F$1,Fall!$1:$1,FALSE)),"N/A")</f>
        <v>2043</v>
      </c>
      <c r="G93" t="str">
        <f>IFERROR(IF(INDEX(Fall!$1:$1048576,MATCH(All!$A93,Fall!$A:$A,FALSE),MATCH(All!G$1,Fall!$1:$1,FALSE))="","",INDEX(Fall!$1:$1048576,MATCH(All!$A93,Fall!$A:$A,FALSE),MATCH(All!G$1,Fall!$1:$1,FALSE))),"")</f>
        <v>3A</v>
      </c>
      <c r="H93" t="str">
        <f>IFERROR(IF(INDEX(Fall!$1:$1048576,MATCH(All!$A93,Fall!$A:$A,FALSE),MATCH(All!H$1,Fall!$1:$1,FALSE))="","",INDEX(Fall!$1:$1048576,MATCH(All!$A93,Fall!$A:$A,FALSE),MATCH(All!H$1,Fall!$1:$1,FALSE))),"")</f>
        <v>3A</v>
      </c>
      <c r="I93" t="str">
        <f>IFERROR(IF(INDEX(Fall!$1:$1048576,MATCH(All!$A93,Fall!$A:$A,FALSE),MATCH(All!I$1,Fall!$1:$1,FALSE))="","",INDEX(Fall!$1:$1048576,MATCH(All!$A93,Fall!$A:$A,FALSE),MATCH(All!I$1,Fall!$1:$1,FALSE))),"")</f>
        <v>3A</v>
      </c>
      <c r="J93" t="str">
        <f>IFERROR(IF(INDEX(Fall!$1:$1048576,MATCH(All!$A93,Fall!$A:$A,FALSE),MATCH(All!J$1,Fall!$1:$1,FALSE))="","",INDEX(Fall!$1:$1048576,MATCH(All!$A93,Fall!$A:$A,FALSE),MATCH(All!J$1,Fall!$1:$1,FALSE))),"")</f>
        <v>2A</v>
      </c>
      <c r="K93" t="str">
        <f>IFERROR(IF(INDEX(Fall!$1:$1048576,MATCH(All!$A93,Fall!$A:$A,FALSE),MATCH(All!K$1,Fall!$1:$1,FALSE))="","",INDEX(Fall!$1:$1048576,MATCH(All!$A93,Fall!$A:$A,FALSE),MATCH(All!K$1,Fall!$1:$1,FALSE))),"")</f>
        <v>3A</v>
      </c>
      <c r="L93" t="str">
        <f>IFERROR(IF(INDEX(Fall!$1:$1048576,MATCH(All!$A93,Fall!$A:$A,FALSE),MATCH(All!L$1,Fall!$1:$1,FALSE))="","",INDEX(Fall!$1:$1048576,MATCH(All!$A93,Fall!$A:$A,FALSE),MATCH(All!L$1,Fall!$1:$1,FALSE))),"")</f>
        <v>2A</v>
      </c>
      <c r="M93" t="str">
        <f>IFERROR(IF(INDEX(Fall!$1:$1048576,MATCH(All!$A93,Fall!$A:$A,FALSE),MATCH(All!M$1,Fall!$1:$1,FALSE))="","",INDEX(Fall!$1:$1048576,MATCH(All!$A93,Fall!$A:$A,FALSE),MATCH(All!M$1,Fall!$1:$1,FALSE))),"")</f>
        <v>4A</v>
      </c>
      <c r="O93">
        <f>IFERROR(IF(INDEX(Winter!$1:$1048576,MATCH(All!$A93,Winter!$A:$A,FALSE),MATCH(All!O$1,Winter!$1:$1,FALSE))="","",INDEX(Winter!$1:$1048576,MATCH(All!$A93,Winter!$A:$A,FALSE),MATCH(All!O$1,Winter!$1:$1,FALSE))),"")</f>
        <v>2043</v>
      </c>
      <c r="P93" t="str">
        <f>IFERROR(IF(INDEX(Winter!$1:$1048576,MATCH(All!$A93,Winter!$A:$A,FALSE),MATCH(All!P$1,Winter!$1:$1,FALSE))="","",INDEX(Winter!$1:$1048576,MATCH(All!$A93,Winter!$A:$A,FALSE),MATCH(All!P$1,Winter!$1:$1,FALSE))),"")</f>
        <v>4A</v>
      </c>
      <c r="Q93" t="str">
        <f>IFERROR(IF(INDEX(Winter!$1:$1048576,MATCH(All!$A93,Winter!$A:$A,FALSE),MATCH(All!Q$1,Winter!$1:$1,FALSE))="","",INDEX(Winter!$1:$1048576,MATCH(All!$A93,Winter!$A:$A,FALSE),MATCH(All!Q$1,Winter!$1:$1,FALSE))),"")</f>
        <v>4A</v>
      </c>
      <c r="R93" t="str">
        <f>IFERROR(IF(INDEX(Winter!$1:$1048576,MATCH(All!$A93,Winter!$A:$A,FALSE),MATCH(All!R$1,Winter!$1:$1,FALSE))="","",INDEX(Winter!$1:$1048576,MATCH(All!$A93,Winter!$A:$A,FALSE),MATCH(All!R$1,Winter!$1:$1,FALSE))),"")</f>
        <v>3A</v>
      </c>
      <c r="S93" t="str">
        <f>IFERROR(IF(INDEX(Winter!$1:$1048576,MATCH(All!$A93,Winter!$A:$A,FALSE),MATCH(All!S$1,Winter!$1:$1,FALSE))="","",INDEX(Winter!$1:$1048576,MATCH(All!$A93,Winter!$A:$A,FALSE),MATCH(All!S$1,Winter!$1:$1,FALSE))),"")</f>
        <v>3A</v>
      </c>
      <c r="T93" t="str">
        <f>IFERROR(IF(INDEX(Winter!$1:$1048576,MATCH(All!$A93,Winter!$A:$A,FALSE),MATCH(All!T$1,Winter!$1:$1,FALSE))="","",INDEX(Winter!$1:$1048576,MATCH(All!$A93,Winter!$A:$A,FALSE),MATCH(All!T$1,Winter!$1:$1,FALSE))),"")</f>
        <v>2A</v>
      </c>
      <c r="U93" t="str">
        <f>IFERROR(IF(INDEX(Winter!$1:$1048576,MATCH(All!$A93,Winter!$A:$A,FALSE),MATCH(All!U$1,Winter!$1:$1,FALSE))="","",INDEX(Winter!$1:$1048576,MATCH(All!$A93,Winter!$A:$A,FALSE),MATCH(All!U$1,Winter!$1:$1,FALSE))),"")</f>
        <v>3A</v>
      </c>
      <c r="W93">
        <f>IFERROR(IF(INDEX(Spring!$1:$1048576,MATCH(All!$A93,Spring!$A:$A,FALSE),MATCH(All!W$1,Spring!$1:$1,FALSE))="","",INDEX(Spring!$1:$1048576,MATCH(All!$A93,Spring!$A:$A,FALSE),MATCH(All!W$1,Spring!$1:$1,FALSE))),"")</f>
        <v>2043</v>
      </c>
      <c r="X93" t="str">
        <f>IFERROR(IF(INDEX(Spring!$1:$1048576,MATCH(All!$A93,Spring!$A:$A,FALSE),MATCH(All!X$1,Spring!$1:$1,FALSE))="","",INDEX(Spring!$1:$1048576,MATCH(All!$A93,Spring!$A:$A,FALSE),MATCH(All!X$1,Spring!$1:$1,FALSE))),"")</f>
        <v>4A</v>
      </c>
      <c r="Y93" t="str">
        <f>IFERROR(IF(INDEX(Spring!$1:$1048576,MATCH(All!$A93,Spring!$A:$A,FALSE),MATCH(All!Y$1,Spring!$1:$1,FALSE))="","",INDEX(Spring!$1:$1048576,MATCH(All!$A93,Spring!$A:$A,FALSE),MATCH(All!Y$1,Spring!$1:$1,FALSE))),"")</f>
        <v>4A</v>
      </c>
      <c r="Z93" t="str">
        <f>IFERROR(IF(INDEX(Spring!$1:$1048576,MATCH(All!$A93,Spring!$A:$A,FALSE),MATCH(All!Z$1,Spring!$1:$1,FALSE))="","",INDEX(Spring!$1:$1048576,MATCH(All!$A93,Spring!$A:$A,FALSE),MATCH(All!Z$1,Spring!$1:$1,FALSE))),"")</f>
        <v>3A</v>
      </c>
      <c r="AA93" t="str">
        <f>IFERROR(IF(INDEX(Spring!$1:$1048576,MATCH(All!$A93,Spring!$A:$A,FALSE),MATCH(All!AA$1,Spring!$1:$1,FALSE))="","",INDEX(Spring!$1:$1048576,MATCH(All!$A93,Spring!$A:$A,FALSE),MATCH(All!AA$1,Spring!$1:$1,FALSE))),"")</f>
        <v>2A</v>
      </c>
      <c r="AB93" t="str">
        <f>IFERROR(IF(INDEX(Spring!$1:$1048576,MATCH(All!$A93,Spring!$A:$A,FALSE),MATCH(All!AB$1,Spring!$1:$1,FALSE))="","",INDEX(Spring!$1:$1048576,MATCH(All!$A93,Spring!$A:$A,FALSE),MATCH(All!AB$1,Spring!$1:$1,FALSE))),"")</f>
        <v>3A</v>
      </c>
      <c r="AC93" t="str">
        <f>IFERROR(IF(INDEX(Spring!$1:$1048576,MATCH(All!$A93,Spring!$A:$A,FALSE),MATCH(All!AC$1,Spring!$1:$1,FALSE))="","",INDEX(Spring!$1:$1048576,MATCH(All!$A93,Spring!$A:$A,FALSE),MATCH(All!AC$1,Spring!$1:$1,FALSE))),"")</f>
        <v>3A</v>
      </c>
      <c r="AD93" t="str">
        <f>IFERROR(VLOOKUP(A93,'Flag Football'!A:A,1,FALSE),"")</f>
        <v>Carol Stream (Glenbard North)</v>
      </c>
      <c r="AE93" t="str">
        <f t="shared" si="1"/>
        <v>1A</v>
      </c>
    </row>
    <row r="94" spans="1:31" ht="15.75" thickBot="1" x14ac:dyDescent="0.3">
      <c r="A94" s="20" t="s">
        <v>112</v>
      </c>
      <c r="B94" s="38">
        <f>IFERROR(VLOOKUP(A94,'Public v Private'!A:G,3,FALSE),"")</f>
        <v>0</v>
      </c>
      <c r="C94" s="38">
        <f>IFERROR(VLOOKUP(A94,'Public v Private'!A:G,4,FALSE),"")</f>
        <v>0</v>
      </c>
      <c r="D94" s="38">
        <f>IFERROR(VLOOKUP(A94,'Public v Private'!A:G,5,FALSE),"")</f>
        <v>0</v>
      </c>
      <c r="E94" s="38"/>
      <c r="F94" s="40">
        <f>IFERROR(INDEX(Fall!$1:$1048576,MATCH(All!$A94,Fall!$A:$A,FALSE),MATCH(All!F$1,Fall!$1:$1,FALSE)),"N/A")</f>
        <v>2405</v>
      </c>
      <c r="G94" t="str">
        <f>IFERROR(IF(INDEX(Fall!$1:$1048576,MATCH(All!$A94,Fall!$A:$A,FALSE),MATCH(All!G$1,Fall!$1:$1,FALSE))="","",INDEX(Fall!$1:$1048576,MATCH(All!$A94,Fall!$A:$A,FALSE),MATCH(All!G$1,Fall!$1:$1,FALSE))),"")</f>
        <v>3A</v>
      </c>
      <c r="H94" t="str">
        <f>IFERROR(IF(INDEX(Fall!$1:$1048576,MATCH(All!$A94,Fall!$A:$A,FALSE),MATCH(All!H$1,Fall!$1:$1,FALSE))="","",INDEX(Fall!$1:$1048576,MATCH(All!$A94,Fall!$A:$A,FALSE),MATCH(All!H$1,Fall!$1:$1,FALSE))),"")</f>
        <v>3A</v>
      </c>
      <c r="I94" t="str">
        <f>IFERROR(IF(INDEX(Fall!$1:$1048576,MATCH(All!$A94,Fall!$A:$A,FALSE),MATCH(All!I$1,Fall!$1:$1,FALSE))="","",INDEX(Fall!$1:$1048576,MATCH(All!$A94,Fall!$A:$A,FALSE),MATCH(All!I$1,Fall!$1:$1,FALSE))),"")</f>
        <v>3A</v>
      </c>
      <c r="J94" t="str">
        <f>IFERROR(IF(INDEX(Fall!$1:$1048576,MATCH(All!$A94,Fall!$A:$A,FALSE),MATCH(All!J$1,Fall!$1:$1,FALSE))="","",INDEX(Fall!$1:$1048576,MATCH(All!$A94,Fall!$A:$A,FALSE),MATCH(All!J$1,Fall!$1:$1,FALSE))),"")</f>
        <v>2A</v>
      </c>
      <c r="K94" t="str">
        <f>IFERROR(IF(INDEX(Fall!$1:$1048576,MATCH(All!$A94,Fall!$A:$A,FALSE),MATCH(All!K$1,Fall!$1:$1,FALSE))="","",INDEX(Fall!$1:$1048576,MATCH(All!$A94,Fall!$A:$A,FALSE),MATCH(All!K$1,Fall!$1:$1,FALSE))),"")</f>
        <v>3A</v>
      </c>
      <c r="L94" t="str">
        <f>IFERROR(IF(INDEX(Fall!$1:$1048576,MATCH(All!$A94,Fall!$A:$A,FALSE),MATCH(All!L$1,Fall!$1:$1,FALSE))="","",INDEX(Fall!$1:$1048576,MATCH(All!$A94,Fall!$A:$A,FALSE),MATCH(All!L$1,Fall!$1:$1,FALSE))),"")</f>
        <v>2A</v>
      </c>
      <c r="M94" t="str">
        <f>IFERROR(IF(INDEX(Fall!$1:$1048576,MATCH(All!$A94,Fall!$A:$A,FALSE),MATCH(All!M$1,Fall!$1:$1,FALSE))="","",INDEX(Fall!$1:$1048576,MATCH(All!$A94,Fall!$A:$A,FALSE),MATCH(All!M$1,Fall!$1:$1,FALSE))),"")</f>
        <v>4A</v>
      </c>
      <c r="O94">
        <f>IFERROR(IF(INDEX(Winter!$1:$1048576,MATCH(All!$A94,Winter!$A:$A,FALSE),MATCH(All!O$1,Winter!$1:$1,FALSE))="","",INDEX(Winter!$1:$1048576,MATCH(All!$A94,Winter!$A:$A,FALSE),MATCH(All!O$1,Winter!$1:$1,FALSE))),"")</f>
        <v>2405</v>
      </c>
      <c r="P94" t="str">
        <f>IFERROR(IF(INDEX(Winter!$1:$1048576,MATCH(All!$A94,Winter!$A:$A,FALSE),MATCH(All!P$1,Winter!$1:$1,FALSE))="","",INDEX(Winter!$1:$1048576,MATCH(All!$A94,Winter!$A:$A,FALSE),MATCH(All!P$1,Winter!$1:$1,FALSE))),"")</f>
        <v>4A</v>
      </c>
      <c r="Q94" t="str">
        <f>IFERROR(IF(INDEX(Winter!$1:$1048576,MATCH(All!$A94,Winter!$A:$A,FALSE),MATCH(All!Q$1,Winter!$1:$1,FALSE))="","",INDEX(Winter!$1:$1048576,MATCH(All!$A94,Winter!$A:$A,FALSE),MATCH(All!Q$1,Winter!$1:$1,FALSE))),"")</f>
        <v>4A</v>
      </c>
      <c r="R94" t="str">
        <f>IFERROR(IF(INDEX(Winter!$1:$1048576,MATCH(All!$A94,Winter!$A:$A,FALSE),MATCH(All!R$1,Winter!$1:$1,FALSE))="","",INDEX(Winter!$1:$1048576,MATCH(All!$A94,Winter!$A:$A,FALSE),MATCH(All!R$1,Winter!$1:$1,FALSE))),"")</f>
        <v>3A</v>
      </c>
      <c r="S94" t="str">
        <f>IFERROR(IF(INDEX(Winter!$1:$1048576,MATCH(All!$A94,Winter!$A:$A,FALSE),MATCH(All!S$1,Winter!$1:$1,FALSE))="","",INDEX(Winter!$1:$1048576,MATCH(All!$A94,Winter!$A:$A,FALSE),MATCH(All!S$1,Winter!$1:$1,FALSE))),"")</f>
        <v>3A</v>
      </c>
      <c r="T94" t="str">
        <f>IFERROR(IF(INDEX(Winter!$1:$1048576,MATCH(All!$A94,Winter!$A:$A,FALSE),MATCH(All!T$1,Winter!$1:$1,FALSE))="","",INDEX(Winter!$1:$1048576,MATCH(All!$A94,Winter!$A:$A,FALSE),MATCH(All!T$1,Winter!$1:$1,FALSE))),"")</f>
        <v>2A</v>
      </c>
      <c r="U94" t="str">
        <f>IFERROR(IF(INDEX(Winter!$1:$1048576,MATCH(All!$A94,Winter!$A:$A,FALSE),MATCH(All!U$1,Winter!$1:$1,FALSE))="","",INDEX(Winter!$1:$1048576,MATCH(All!$A94,Winter!$A:$A,FALSE),MATCH(All!U$1,Winter!$1:$1,FALSE))),"")</f>
        <v>3A</v>
      </c>
      <c r="W94">
        <f>IFERROR(IF(INDEX(Spring!$1:$1048576,MATCH(All!$A94,Spring!$A:$A,FALSE),MATCH(All!W$1,Spring!$1:$1,FALSE))="","",INDEX(Spring!$1:$1048576,MATCH(All!$A94,Spring!$A:$A,FALSE),MATCH(All!W$1,Spring!$1:$1,FALSE))),"")</f>
        <v>2405</v>
      </c>
      <c r="X94" t="str">
        <f>IFERROR(IF(INDEX(Spring!$1:$1048576,MATCH(All!$A94,Spring!$A:$A,FALSE),MATCH(All!X$1,Spring!$1:$1,FALSE))="","",INDEX(Spring!$1:$1048576,MATCH(All!$A94,Spring!$A:$A,FALSE),MATCH(All!X$1,Spring!$1:$1,FALSE))),"")</f>
        <v>4A</v>
      </c>
      <c r="Y94" t="str">
        <f>IFERROR(IF(INDEX(Spring!$1:$1048576,MATCH(All!$A94,Spring!$A:$A,FALSE),MATCH(All!Y$1,Spring!$1:$1,FALSE))="","",INDEX(Spring!$1:$1048576,MATCH(All!$A94,Spring!$A:$A,FALSE),MATCH(All!Y$1,Spring!$1:$1,FALSE))),"")</f>
        <v>4A</v>
      </c>
      <c r="Z94" t="str">
        <f>IFERROR(IF(INDEX(Spring!$1:$1048576,MATCH(All!$A94,Spring!$A:$A,FALSE),MATCH(All!Z$1,Spring!$1:$1,FALSE))="","",INDEX(Spring!$1:$1048576,MATCH(All!$A94,Spring!$A:$A,FALSE),MATCH(All!Z$1,Spring!$1:$1,FALSE))),"")</f>
        <v>3A</v>
      </c>
      <c r="AA94" t="str">
        <f>IFERROR(IF(INDEX(Spring!$1:$1048576,MATCH(All!$A94,Spring!$A:$A,FALSE),MATCH(All!AA$1,Spring!$1:$1,FALSE))="","",INDEX(Spring!$1:$1048576,MATCH(All!$A94,Spring!$A:$A,FALSE),MATCH(All!AA$1,Spring!$1:$1,FALSE))),"")</f>
        <v>2A</v>
      </c>
      <c r="AB94" t="str">
        <f>IFERROR(IF(INDEX(Spring!$1:$1048576,MATCH(All!$A94,Spring!$A:$A,FALSE),MATCH(All!AB$1,Spring!$1:$1,FALSE))="","",INDEX(Spring!$1:$1048576,MATCH(All!$A94,Spring!$A:$A,FALSE),MATCH(All!AB$1,Spring!$1:$1,FALSE))),"")</f>
        <v>3A</v>
      </c>
      <c r="AC94" t="str">
        <f>IFERROR(IF(INDEX(Spring!$1:$1048576,MATCH(All!$A94,Spring!$A:$A,FALSE),MATCH(All!AC$1,Spring!$1:$1,FALSE))="","",INDEX(Spring!$1:$1048576,MATCH(All!$A94,Spring!$A:$A,FALSE),MATCH(All!AC$1,Spring!$1:$1,FALSE))),"")</f>
        <v>3A</v>
      </c>
      <c r="AD94" t="str">
        <f>IFERROR(VLOOKUP(A94,'Flag Football'!A:A,1,FALSE),"")</f>
        <v>Carpentersville (Dundee-Crown)</v>
      </c>
      <c r="AE94" t="str">
        <f t="shared" si="1"/>
        <v>1A</v>
      </c>
    </row>
    <row r="95" spans="1:31" ht="15.75" thickBot="1" x14ac:dyDescent="0.3">
      <c r="A95" s="18" t="s">
        <v>113</v>
      </c>
      <c r="B95" s="38">
        <f>IFERROR(VLOOKUP(A95,'Public v Private'!A:G,3,FALSE),"")</f>
        <v>0</v>
      </c>
      <c r="C95" s="38">
        <f>IFERROR(VLOOKUP(A95,'Public v Private'!A:G,4,FALSE),"")</f>
        <v>0</v>
      </c>
      <c r="D95" s="38">
        <f>IFERROR(VLOOKUP(A95,'Public v Private'!A:G,5,FALSE),"")</f>
        <v>0</v>
      </c>
      <c r="E95" s="38"/>
      <c r="F95" s="40">
        <f>IFERROR(INDEX(Fall!$1:$1048576,MATCH(All!$A95,Fall!$A:$A,FALSE),MATCH(All!F$1,Fall!$1:$1,FALSE)),"N/A")</f>
        <v>90</v>
      </c>
      <c r="G95" t="str">
        <f>IFERROR(IF(INDEX(Fall!$1:$1048576,MATCH(All!$A95,Fall!$A:$A,FALSE),MATCH(All!G$1,Fall!$1:$1,FALSE))="","",INDEX(Fall!$1:$1048576,MATCH(All!$A95,Fall!$A:$A,FALSE),MATCH(All!G$1,Fall!$1:$1,FALSE))),"")</f>
        <v>1A</v>
      </c>
      <c r="H95" t="str">
        <f>IFERROR(IF(INDEX(Fall!$1:$1048576,MATCH(All!$A95,Fall!$A:$A,FALSE),MATCH(All!H$1,Fall!$1:$1,FALSE))="","",INDEX(Fall!$1:$1048576,MATCH(All!$A95,Fall!$A:$A,FALSE),MATCH(All!H$1,Fall!$1:$1,FALSE))),"")</f>
        <v>1A</v>
      </c>
      <c r="I95" t="str">
        <f>IFERROR(IF(INDEX(Fall!$1:$1048576,MATCH(All!$A95,Fall!$A:$A,FALSE),MATCH(All!I$1,Fall!$1:$1,FALSE))="","",INDEX(Fall!$1:$1048576,MATCH(All!$A95,Fall!$A:$A,FALSE),MATCH(All!I$1,Fall!$1:$1,FALSE))),"")</f>
        <v/>
      </c>
      <c r="J95" t="str">
        <f>IFERROR(IF(INDEX(Fall!$1:$1048576,MATCH(All!$A95,Fall!$A:$A,FALSE),MATCH(All!J$1,Fall!$1:$1,FALSE))="","",INDEX(Fall!$1:$1048576,MATCH(All!$A95,Fall!$A:$A,FALSE),MATCH(All!J$1,Fall!$1:$1,FALSE))),"")</f>
        <v/>
      </c>
      <c r="K95" t="str">
        <f>IFERROR(IF(INDEX(Fall!$1:$1048576,MATCH(All!$A95,Fall!$A:$A,FALSE),MATCH(All!K$1,Fall!$1:$1,FALSE))="","",INDEX(Fall!$1:$1048576,MATCH(All!$A95,Fall!$A:$A,FALSE),MATCH(All!K$1,Fall!$1:$1,FALSE))),"")</f>
        <v/>
      </c>
      <c r="L95" t="str">
        <f>IFERROR(IF(INDEX(Fall!$1:$1048576,MATCH(All!$A95,Fall!$A:$A,FALSE),MATCH(All!L$1,Fall!$1:$1,FALSE))="","",INDEX(Fall!$1:$1048576,MATCH(All!$A95,Fall!$A:$A,FALSE),MATCH(All!L$1,Fall!$1:$1,FALSE))),"")</f>
        <v/>
      </c>
      <c r="M95" t="str">
        <f>IFERROR(IF(INDEX(Fall!$1:$1048576,MATCH(All!$A95,Fall!$A:$A,FALSE),MATCH(All!M$1,Fall!$1:$1,FALSE))="","",INDEX(Fall!$1:$1048576,MATCH(All!$A95,Fall!$A:$A,FALSE),MATCH(All!M$1,Fall!$1:$1,FALSE))),"")</f>
        <v>1A</v>
      </c>
      <c r="O95">
        <f>IFERROR(IF(INDEX(Winter!$1:$1048576,MATCH(All!$A95,Winter!$A:$A,FALSE),MATCH(All!O$1,Winter!$1:$1,FALSE))="","",INDEX(Winter!$1:$1048576,MATCH(All!$A95,Winter!$A:$A,FALSE),MATCH(All!O$1,Winter!$1:$1,FALSE))),"")</f>
        <v>90</v>
      </c>
      <c r="P95" t="str">
        <f>IFERROR(IF(INDEX(Winter!$1:$1048576,MATCH(All!$A95,Winter!$A:$A,FALSE),MATCH(All!P$1,Winter!$1:$1,FALSE))="","",INDEX(Winter!$1:$1048576,MATCH(All!$A95,Winter!$A:$A,FALSE),MATCH(All!P$1,Winter!$1:$1,FALSE))),"")</f>
        <v>1A</v>
      </c>
      <c r="Q95" t="str">
        <f>IFERROR(IF(INDEX(Winter!$1:$1048576,MATCH(All!$A95,Winter!$A:$A,FALSE),MATCH(All!Q$1,Winter!$1:$1,FALSE))="","",INDEX(Winter!$1:$1048576,MATCH(All!$A95,Winter!$A:$A,FALSE),MATCH(All!Q$1,Winter!$1:$1,FALSE))),"")</f>
        <v/>
      </c>
      <c r="R95" t="str">
        <f>IFERROR(IF(INDEX(Winter!$1:$1048576,MATCH(All!$A95,Winter!$A:$A,FALSE),MATCH(All!R$1,Winter!$1:$1,FALSE))="","",INDEX(Winter!$1:$1048576,MATCH(All!$A95,Winter!$A:$A,FALSE),MATCH(All!R$1,Winter!$1:$1,FALSE))),"")</f>
        <v/>
      </c>
      <c r="S95" t="str">
        <f>IFERROR(IF(INDEX(Winter!$1:$1048576,MATCH(All!$A95,Winter!$A:$A,FALSE),MATCH(All!S$1,Winter!$1:$1,FALSE))="","",INDEX(Winter!$1:$1048576,MATCH(All!$A95,Winter!$A:$A,FALSE),MATCH(All!S$1,Winter!$1:$1,FALSE))),"")</f>
        <v/>
      </c>
      <c r="T95" t="str">
        <f>IFERROR(IF(INDEX(Winter!$1:$1048576,MATCH(All!$A95,Winter!$A:$A,FALSE),MATCH(All!T$1,Winter!$1:$1,FALSE))="","",INDEX(Winter!$1:$1048576,MATCH(All!$A95,Winter!$A:$A,FALSE),MATCH(All!T$1,Winter!$1:$1,FALSE))),"")</f>
        <v>1A</v>
      </c>
      <c r="U95" t="str">
        <f>IFERROR(IF(INDEX(Winter!$1:$1048576,MATCH(All!$A95,Winter!$A:$A,FALSE),MATCH(All!U$1,Winter!$1:$1,FALSE))="","",INDEX(Winter!$1:$1048576,MATCH(All!$A95,Winter!$A:$A,FALSE),MATCH(All!U$1,Winter!$1:$1,FALSE))),"")</f>
        <v/>
      </c>
      <c r="W95">
        <f>IFERROR(IF(INDEX(Spring!$1:$1048576,MATCH(All!$A95,Spring!$A:$A,FALSE),MATCH(All!W$1,Spring!$1:$1,FALSE))="","",INDEX(Spring!$1:$1048576,MATCH(All!$A95,Spring!$A:$A,FALSE),MATCH(All!W$1,Spring!$1:$1,FALSE))),"")</f>
        <v>90</v>
      </c>
      <c r="X95" t="str">
        <f>IFERROR(IF(INDEX(Spring!$1:$1048576,MATCH(All!$A95,Spring!$A:$A,FALSE),MATCH(All!X$1,Spring!$1:$1,FALSE))="","",INDEX(Spring!$1:$1048576,MATCH(All!$A95,Spring!$A:$A,FALSE),MATCH(All!X$1,Spring!$1:$1,FALSE))),"")</f>
        <v>1A</v>
      </c>
      <c r="Y95" t="str">
        <f>IFERROR(IF(INDEX(Spring!$1:$1048576,MATCH(All!$A95,Spring!$A:$A,FALSE),MATCH(All!Y$1,Spring!$1:$1,FALSE))="","",INDEX(Spring!$1:$1048576,MATCH(All!$A95,Spring!$A:$A,FALSE),MATCH(All!Y$1,Spring!$1:$1,FALSE))),"")</f>
        <v>1A</v>
      </c>
      <c r="Z95" t="str">
        <f>IFERROR(IF(INDEX(Spring!$1:$1048576,MATCH(All!$A95,Spring!$A:$A,FALSE),MATCH(All!Z$1,Spring!$1:$1,FALSE))="","",INDEX(Spring!$1:$1048576,MATCH(All!$A95,Spring!$A:$A,FALSE),MATCH(All!Z$1,Spring!$1:$1,FALSE))),"")</f>
        <v/>
      </c>
      <c r="AA95" t="str">
        <f>IFERROR(IF(INDEX(Spring!$1:$1048576,MATCH(All!$A95,Spring!$A:$A,FALSE),MATCH(All!AA$1,Spring!$1:$1,FALSE))="","",INDEX(Spring!$1:$1048576,MATCH(All!$A95,Spring!$A:$A,FALSE),MATCH(All!AA$1,Spring!$1:$1,FALSE))),"")</f>
        <v/>
      </c>
      <c r="AB95" t="str">
        <f>IFERROR(IF(INDEX(Spring!$1:$1048576,MATCH(All!$A95,Spring!$A:$A,FALSE),MATCH(All!AB$1,Spring!$1:$1,FALSE))="","",INDEX(Spring!$1:$1048576,MATCH(All!$A95,Spring!$A:$A,FALSE),MATCH(All!AB$1,Spring!$1:$1,FALSE))),"")</f>
        <v/>
      </c>
      <c r="AC95" t="str">
        <f>IFERROR(IF(INDEX(Spring!$1:$1048576,MATCH(All!$A95,Spring!$A:$A,FALSE),MATCH(All!AC$1,Spring!$1:$1,FALSE))="","",INDEX(Spring!$1:$1048576,MATCH(All!$A95,Spring!$A:$A,FALSE),MATCH(All!AC$1,Spring!$1:$1,FALSE))),"")</f>
        <v/>
      </c>
      <c r="AD95" t="str">
        <f>IFERROR(VLOOKUP(A95,'Flag Football'!A:A,1,FALSE),"")</f>
        <v/>
      </c>
      <c r="AE95" t="str">
        <f t="shared" si="1"/>
        <v/>
      </c>
    </row>
    <row r="96" spans="1:31" ht="15.75" thickBot="1" x14ac:dyDescent="0.3">
      <c r="A96" s="20" t="s">
        <v>114</v>
      </c>
      <c r="B96" s="38">
        <f>IFERROR(VLOOKUP(A96,'Public v Private'!A:G,3,FALSE),"")</f>
        <v>0</v>
      </c>
      <c r="C96" s="38">
        <f>IFERROR(VLOOKUP(A96,'Public v Private'!A:G,4,FALSE),"")</f>
        <v>0</v>
      </c>
      <c r="D96" s="38">
        <f>IFERROR(VLOOKUP(A96,'Public v Private'!A:G,5,FALSE),"")</f>
        <v>0</v>
      </c>
      <c r="E96" s="38"/>
      <c r="F96" s="40">
        <f>IFERROR(INDEX(Fall!$1:$1048576,MATCH(All!$A96,Fall!$A:$A,FALSE),MATCH(All!F$1,Fall!$1:$1,FALSE)),"N/A")</f>
        <v>168</v>
      </c>
      <c r="G96" t="str">
        <f>IFERROR(IF(INDEX(Fall!$1:$1048576,MATCH(All!$A96,Fall!$A:$A,FALSE),MATCH(All!G$1,Fall!$1:$1,FALSE))="","",INDEX(Fall!$1:$1048576,MATCH(All!$A96,Fall!$A:$A,FALSE),MATCH(All!G$1,Fall!$1:$1,FALSE))),"")</f>
        <v>1A</v>
      </c>
      <c r="H96" t="str">
        <f>IFERROR(IF(INDEX(Fall!$1:$1048576,MATCH(All!$A96,Fall!$A:$A,FALSE),MATCH(All!H$1,Fall!$1:$1,FALSE))="","",INDEX(Fall!$1:$1048576,MATCH(All!$A96,Fall!$A:$A,FALSE),MATCH(All!H$1,Fall!$1:$1,FALSE))),"")</f>
        <v>1A</v>
      </c>
      <c r="I96" t="str">
        <f>IFERROR(IF(INDEX(Fall!$1:$1048576,MATCH(All!$A96,Fall!$A:$A,FALSE),MATCH(All!I$1,Fall!$1:$1,FALSE))="","",INDEX(Fall!$1:$1048576,MATCH(All!$A96,Fall!$A:$A,FALSE),MATCH(All!I$1,Fall!$1:$1,FALSE))),"")</f>
        <v/>
      </c>
      <c r="J96" t="str">
        <f>IFERROR(IF(INDEX(Fall!$1:$1048576,MATCH(All!$A96,Fall!$A:$A,FALSE),MATCH(All!J$1,Fall!$1:$1,FALSE))="","",INDEX(Fall!$1:$1048576,MATCH(All!$A96,Fall!$A:$A,FALSE),MATCH(All!J$1,Fall!$1:$1,FALSE))),"")</f>
        <v/>
      </c>
      <c r="K96" t="str">
        <f>IFERROR(IF(INDEX(Fall!$1:$1048576,MATCH(All!$A96,Fall!$A:$A,FALSE),MATCH(All!K$1,Fall!$1:$1,FALSE))="","",INDEX(Fall!$1:$1048576,MATCH(All!$A96,Fall!$A:$A,FALSE),MATCH(All!K$1,Fall!$1:$1,FALSE))),"")</f>
        <v/>
      </c>
      <c r="L96" t="str">
        <f>IFERROR(IF(INDEX(Fall!$1:$1048576,MATCH(All!$A96,Fall!$A:$A,FALSE),MATCH(All!L$1,Fall!$1:$1,FALSE))="","",INDEX(Fall!$1:$1048576,MATCH(All!$A96,Fall!$A:$A,FALSE),MATCH(All!L$1,Fall!$1:$1,FALSE))),"")</f>
        <v/>
      </c>
      <c r="M96" t="str">
        <f>IFERROR(IF(INDEX(Fall!$1:$1048576,MATCH(All!$A96,Fall!$A:$A,FALSE),MATCH(All!M$1,Fall!$1:$1,FALSE))="","",INDEX(Fall!$1:$1048576,MATCH(All!$A96,Fall!$A:$A,FALSE),MATCH(All!M$1,Fall!$1:$1,FALSE))),"")</f>
        <v>1A</v>
      </c>
      <c r="O96">
        <f>IFERROR(IF(INDEX(Winter!$1:$1048576,MATCH(All!$A96,Winter!$A:$A,FALSE),MATCH(All!O$1,Winter!$1:$1,FALSE))="","",INDEX(Winter!$1:$1048576,MATCH(All!$A96,Winter!$A:$A,FALSE),MATCH(All!O$1,Winter!$1:$1,FALSE))),"")</f>
        <v>168</v>
      </c>
      <c r="P96" t="str">
        <f>IFERROR(IF(INDEX(Winter!$1:$1048576,MATCH(All!$A96,Winter!$A:$A,FALSE),MATCH(All!P$1,Winter!$1:$1,FALSE))="","",INDEX(Winter!$1:$1048576,MATCH(All!$A96,Winter!$A:$A,FALSE),MATCH(All!P$1,Winter!$1:$1,FALSE))),"")</f>
        <v>1A</v>
      </c>
      <c r="Q96" t="str">
        <f>IFERROR(IF(INDEX(Winter!$1:$1048576,MATCH(All!$A96,Winter!$A:$A,FALSE),MATCH(All!Q$1,Winter!$1:$1,FALSE))="","",INDEX(Winter!$1:$1048576,MATCH(All!$A96,Winter!$A:$A,FALSE),MATCH(All!Q$1,Winter!$1:$1,FALSE))),"")</f>
        <v>1A</v>
      </c>
      <c r="R96" t="str">
        <f>IFERROR(IF(INDEX(Winter!$1:$1048576,MATCH(All!$A96,Winter!$A:$A,FALSE),MATCH(All!R$1,Winter!$1:$1,FALSE))="","",INDEX(Winter!$1:$1048576,MATCH(All!$A96,Winter!$A:$A,FALSE),MATCH(All!R$1,Winter!$1:$1,FALSE))),"")</f>
        <v/>
      </c>
      <c r="S96" t="str">
        <f>IFERROR(IF(INDEX(Winter!$1:$1048576,MATCH(All!$A96,Winter!$A:$A,FALSE),MATCH(All!S$1,Winter!$1:$1,FALSE))="","",INDEX(Winter!$1:$1048576,MATCH(All!$A96,Winter!$A:$A,FALSE),MATCH(All!S$1,Winter!$1:$1,FALSE))),"")</f>
        <v/>
      </c>
      <c r="T96" t="str">
        <f>IFERROR(IF(INDEX(Winter!$1:$1048576,MATCH(All!$A96,Winter!$A:$A,FALSE),MATCH(All!T$1,Winter!$1:$1,FALSE))="","",INDEX(Winter!$1:$1048576,MATCH(All!$A96,Winter!$A:$A,FALSE),MATCH(All!T$1,Winter!$1:$1,FALSE))),"")</f>
        <v/>
      </c>
      <c r="U96" t="str">
        <f>IFERROR(IF(INDEX(Winter!$1:$1048576,MATCH(All!$A96,Winter!$A:$A,FALSE),MATCH(All!U$1,Winter!$1:$1,FALSE))="","",INDEX(Winter!$1:$1048576,MATCH(All!$A96,Winter!$A:$A,FALSE),MATCH(All!U$1,Winter!$1:$1,FALSE))),"")</f>
        <v/>
      </c>
      <c r="W96">
        <f>IFERROR(IF(INDEX(Spring!$1:$1048576,MATCH(All!$A96,Spring!$A:$A,FALSE),MATCH(All!W$1,Spring!$1:$1,FALSE))="","",INDEX(Spring!$1:$1048576,MATCH(All!$A96,Spring!$A:$A,FALSE),MATCH(All!W$1,Spring!$1:$1,FALSE))),"")</f>
        <v>168</v>
      </c>
      <c r="X96" t="str">
        <f>IFERROR(IF(INDEX(Spring!$1:$1048576,MATCH(All!$A96,Spring!$A:$A,FALSE),MATCH(All!X$1,Spring!$1:$1,FALSE))="","",INDEX(Spring!$1:$1048576,MATCH(All!$A96,Spring!$A:$A,FALSE),MATCH(All!X$1,Spring!$1:$1,FALSE))),"")</f>
        <v>1A</v>
      </c>
      <c r="Y96" t="str">
        <f>IFERROR(IF(INDEX(Spring!$1:$1048576,MATCH(All!$A96,Spring!$A:$A,FALSE),MATCH(All!Y$1,Spring!$1:$1,FALSE))="","",INDEX(Spring!$1:$1048576,MATCH(All!$A96,Spring!$A:$A,FALSE),MATCH(All!Y$1,Spring!$1:$1,FALSE))),"")</f>
        <v>1A</v>
      </c>
      <c r="Z96" t="str">
        <f>IFERROR(IF(INDEX(Spring!$1:$1048576,MATCH(All!$A96,Spring!$A:$A,FALSE),MATCH(All!Z$1,Spring!$1:$1,FALSE))="","",INDEX(Spring!$1:$1048576,MATCH(All!$A96,Spring!$A:$A,FALSE),MATCH(All!Z$1,Spring!$1:$1,FALSE))),"")</f>
        <v/>
      </c>
      <c r="AA96" t="str">
        <f>IFERROR(IF(INDEX(Spring!$1:$1048576,MATCH(All!$A96,Spring!$A:$A,FALSE),MATCH(All!AA$1,Spring!$1:$1,FALSE))="","",INDEX(Spring!$1:$1048576,MATCH(All!$A96,Spring!$A:$A,FALSE),MATCH(All!AA$1,Spring!$1:$1,FALSE))),"")</f>
        <v/>
      </c>
      <c r="AB96" t="str">
        <f>IFERROR(IF(INDEX(Spring!$1:$1048576,MATCH(All!$A96,Spring!$A:$A,FALSE),MATCH(All!AB$1,Spring!$1:$1,FALSE))="","",INDEX(Spring!$1:$1048576,MATCH(All!$A96,Spring!$A:$A,FALSE),MATCH(All!AB$1,Spring!$1:$1,FALSE))),"")</f>
        <v>1A</v>
      </c>
      <c r="AC96" t="str">
        <f>IFERROR(IF(INDEX(Spring!$1:$1048576,MATCH(All!$A96,Spring!$A:$A,FALSE),MATCH(All!AC$1,Spring!$1:$1,FALSE))="","",INDEX(Spring!$1:$1048576,MATCH(All!$A96,Spring!$A:$A,FALSE),MATCH(All!AC$1,Spring!$1:$1,FALSE))),"")</f>
        <v>1A</v>
      </c>
      <c r="AD96" t="str">
        <f>IFERROR(VLOOKUP(A96,'Flag Football'!A:A,1,FALSE),"")</f>
        <v/>
      </c>
      <c r="AE96" t="str">
        <f t="shared" si="1"/>
        <v/>
      </c>
    </row>
    <row r="97" spans="1:31" ht="15.75" thickBot="1" x14ac:dyDescent="0.3">
      <c r="A97" s="18" t="s">
        <v>115</v>
      </c>
      <c r="B97" s="38">
        <f>IFERROR(VLOOKUP(A97,'Public v Private'!A:G,3,FALSE),"")</f>
        <v>0</v>
      </c>
      <c r="C97" s="38">
        <f>IFERROR(VLOOKUP(A97,'Public v Private'!A:G,4,FALSE),"")</f>
        <v>0</v>
      </c>
      <c r="D97" s="38">
        <f>IFERROR(VLOOKUP(A97,'Public v Private'!A:G,5,FALSE),"")</f>
        <v>0</v>
      </c>
      <c r="E97" s="38"/>
      <c r="F97" s="40">
        <f>IFERROR(INDEX(Fall!$1:$1048576,MATCH(All!$A97,Fall!$A:$A,FALSE),MATCH(All!F$1,Fall!$1:$1,FALSE)),"N/A")</f>
        <v>652</v>
      </c>
      <c r="G97" t="str">
        <f>IFERROR(IF(INDEX(Fall!$1:$1048576,MATCH(All!$A97,Fall!$A:$A,FALSE),MATCH(All!G$1,Fall!$1:$1,FALSE))="","",INDEX(Fall!$1:$1048576,MATCH(All!$A97,Fall!$A:$A,FALSE),MATCH(All!G$1,Fall!$1:$1,FALSE))),"")</f>
        <v>2A</v>
      </c>
      <c r="H97" t="str">
        <f>IFERROR(IF(INDEX(Fall!$1:$1048576,MATCH(All!$A97,Fall!$A:$A,FALSE),MATCH(All!H$1,Fall!$1:$1,FALSE))="","",INDEX(Fall!$1:$1048576,MATCH(All!$A97,Fall!$A:$A,FALSE),MATCH(All!H$1,Fall!$1:$1,FALSE))),"")</f>
        <v>2A</v>
      </c>
      <c r="I97" t="str">
        <f>IFERROR(IF(INDEX(Fall!$1:$1048576,MATCH(All!$A97,Fall!$A:$A,FALSE),MATCH(All!I$1,Fall!$1:$1,FALSE))="","",INDEX(Fall!$1:$1048576,MATCH(All!$A97,Fall!$A:$A,FALSE),MATCH(All!I$1,Fall!$1:$1,FALSE))),"")</f>
        <v>2A</v>
      </c>
      <c r="J97" t="str">
        <f>IFERROR(IF(INDEX(Fall!$1:$1048576,MATCH(All!$A97,Fall!$A:$A,FALSE),MATCH(All!J$1,Fall!$1:$1,FALSE))="","",INDEX(Fall!$1:$1048576,MATCH(All!$A97,Fall!$A:$A,FALSE),MATCH(All!J$1,Fall!$1:$1,FALSE))),"")</f>
        <v>1A</v>
      </c>
      <c r="K97" t="str">
        <f>IFERROR(IF(INDEX(Fall!$1:$1048576,MATCH(All!$A97,Fall!$A:$A,FALSE),MATCH(All!K$1,Fall!$1:$1,FALSE))="","",INDEX(Fall!$1:$1048576,MATCH(All!$A97,Fall!$A:$A,FALSE),MATCH(All!K$1,Fall!$1:$1,FALSE))),"")</f>
        <v>2A</v>
      </c>
      <c r="L97" t="str">
        <f>IFERROR(IF(INDEX(Fall!$1:$1048576,MATCH(All!$A97,Fall!$A:$A,FALSE),MATCH(All!L$1,Fall!$1:$1,FALSE))="","",INDEX(Fall!$1:$1048576,MATCH(All!$A97,Fall!$A:$A,FALSE),MATCH(All!L$1,Fall!$1:$1,FALSE))),"")</f>
        <v>1A</v>
      </c>
      <c r="M97" t="str">
        <f>IFERROR(IF(INDEX(Fall!$1:$1048576,MATCH(All!$A97,Fall!$A:$A,FALSE),MATCH(All!M$1,Fall!$1:$1,FALSE))="","",INDEX(Fall!$1:$1048576,MATCH(All!$A97,Fall!$A:$A,FALSE),MATCH(All!M$1,Fall!$1:$1,FALSE))),"")</f>
        <v>2A</v>
      </c>
      <c r="O97">
        <f>IFERROR(IF(INDEX(Winter!$1:$1048576,MATCH(All!$A97,Winter!$A:$A,FALSE),MATCH(All!O$1,Winter!$1:$1,FALSE))="","",INDEX(Winter!$1:$1048576,MATCH(All!$A97,Winter!$A:$A,FALSE),MATCH(All!O$1,Winter!$1:$1,FALSE))),"")</f>
        <v>652</v>
      </c>
      <c r="P97" t="str">
        <f>IFERROR(IF(INDEX(Winter!$1:$1048576,MATCH(All!$A97,Winter!$A:$A,FALSE),MATCH(All!P$1,Winter!$1:$1,FALSE))="","",INDEX(Winter!$1:$1048576,MATCH(All!$A97,Winter!$A:$A,FALSE),MATCH(All!P$1,Winter!$1:$1,FALSE))),"")</f>
        <v>2A</v>
      </c>
      <c r="Q97" t="str">
        <f>IFERROR(IF(INDEX(Winter!$1:$1048576,MATCH(All!$A97,Winter!$A:$A,FALSE),MATCH(All!Q$1,Winter!$1:$1,FALSE))="","",INDEX(Winter!$1:$1048576,MATCH(All!$A97,Winter!$A:$A,FALSE),MATCH(All!Q$1,Winter!$1:$1,FALSE))),"")</f>
        <v>2A</v>
      </c>
      <c r="R97" t="str">
        <f>IFERROR(IF(INDEX(Winter!$1:$1048576,MATCH(All!$A97,Winter!$A:$A,FALSE),MATCH(All!R$1,Winter!$1:$1,FALSE))="","",INDEX(Winter!$1:$1048576,MATCH(All!$A97,Winter!$A:$A,FALSE),MATCH(All!R$1,Winter!$1:$1,FALSE))),"")</f>
        <v>1A</v>
      </c>
      <c r="S97" t="str">
        <f>IFERROR(IF(INDEX(Winter!$1:$1048576,MATCH(All!$A97,Winter!$A:$A,FALSE),MATCH(All!S$1,Winter!$1:$1,FALSE))="","",INDEX(Winter!$1:$1048576,MATCH(All!$A97,Winter!$A:$A,FALSE),MATCH(All!S$1,Winter!$1:$1,FALSE))),"")</f>
        <v>1A</v>
      </c>
      <c r="T97" t="str">
        <f>IFERROR(IF(INDEX(Winter!$1:$1048576,MATCH(All!$A97,Winter!$A:$A,FALSE),MATCH(All!T$1,Winter!$1:$1,FALSE))="","",INDEX(Winter!$1:$1048576,MATCH(All!$A97,Winter!$A:$A,FALSE),MATCH(All!T$1,Winter!$1:$1,FALSE))),"")</f>
        <v>2A</v>
      </c>
      <c r="U97" t="str">
        <f>IFERROR(IF(INDEX(Winter!$1:$1048576,MATCH(All!$A97,Winter!$A:$A,FALSE),MATCH(All!U$1,Winter!$1:$1,FALSE))="","",INDEX(Winter!$1:$1048576,MATCH(All!$A97,Winter!$A:$A,FALSE),MATCH(All!U$1,Winter!$1:$1,FALSE))),"")</f>
        <v>1A</v>
      </c>
      <c r="W97">
        <f>IFERROR(IF(INDEX(Spring!$1:$1048576,MATCH(All!$A97,Spring!$A:$A,FALSE),MATCH(All!W$1,Spring!$1:$1,FALSE))="","",INDEX(Spring!$1:$1048576,MATCH(All!$A97,Spring!$A:$A,FALSE),MATCH(All!W$1,Spring!$1:$1,FALSE))),"")</f>
        <v>652</v>
      </c>
      <c r="X97" t="str">
        <f>IFERROR(IF(INDEX(Spring!$1:$1048576,MATCH(All!$A97,Spring!$A:$A,FALSE),MATCH(All!X$1,Spring!$1:$1,FALSE))="","",INDEX(Spring!$1:$1048576,MATCH(All!$A97,Spring!$A:$A,FALSE),MATCH(All!X$1,Spring!$1:$1,FALSE))),"")</f>
        <v>2A</v>
      </c>
      <c r="Y97" t="str">
        <f>IFERROR(IF(INDEX(Spring!$1:$1048576,MATCH(All!$A97,Spring!$A:$A,FALSE),MATCH(All!Y$1,Spring!$1:$1,FALSE))="","",INDEX(Spring!$1:$1048576,MATCH(All!$A97,Spring!$A:$A,FALSE),MATCH(All!Y$1,Spring!$1:$1,FALSE))),"")</f>
        <v>2A</v>
      </c>
      <c r="Z97" t="str">
        <f>IFERROR(IF(INDEX(Spring!$1:$1048576,MATCH(All!$A97,Spring!$A:$A,FALSE),MATCH(All!Z$1,Spring!$1:$1,FALSE))="","",INDEX(Spring!$1:$1048576,MATCH(All!$A97,Spring!$A:$A,FALSE),MATCH(All!Z$1,Spring!$1:$1,FALSE))),"")</f>
        <v>2A</v>
      </c>
      <c r="AA97" t="str">
        <f>IFERROR(IF(INDEX(Spring!$1:$1048576,MATCH(All!$A97,Spring!$A:$A,FALSE),MATCH(All!AA$1,Spring!$1:$1,FALSE))="","",INDEX(Spring!$1:$1048576,MATCH(All!$A97,Spring!$A:$A,FALSE),MATCH(All!AA$1,Spring!$1:$1,FALSE))),"")</f>
        <v>1A</v>
      </c>
      <c r="AB97" t="str">
        <f>IFERROR(IF(INDEX(Spring!$1:$1048576,MATCH(All!$A97,Spring!$A:$A,FALSE),MATCH(All!AB$1,Spring!$1:$1,FALSE))="","",INDEX(Spring!$1:$1048576,MATCH(All!$A97,Spring!$A:$A,FALSE),MATCH(All!AB$1,Spring!$1:$1,FALSE))),"")</f>
        <v>2A</v>
      </c>
      <c r="AC97" t="str">
        <f>IFERROR(IF(INDEX(Spring!$1:$1048576,MATCH(All!$A97,Spring!$A:$A,FALSE),MATCH(All!AC$1,Spring!$1:$1,FALSE))="","",INDEX(Spring!$1:$1048576,MATCH(All!$A97,Spring!$A:$A,FALSE),MATCH(All!AC$1,Spring!$1:$1,FALSE))),"")</f>
        <v>2A</v>
      </c>
      <c r="AD97" t="str">
        <f>IFERROR(VLOOKUP(A97,'Flag Football'!A:A,1,FALSE),"")</f>
        <v/>
      </c>
      <c r="AE97" t="str">
        <f t="shared" si="1"/>
        <v/>
      </c>
    </row>
    <row r="98" spans="1:31" ht="15.75" thickBot="1" x14ac:dyDescent="0.3">
      <c r="A98" s="20" t="s">
        <v>116</v>
      </c>
      <c r="B98" s="38">
        <f>IFERROR(VLOOKUP(A98,'Public v Private'!A:G,3,FALSE),"")</f>
        <v>0</v>
      </c>
      <c r="C98" s="38">
        <f>IFERROR(VLOOKUP(A98,'Public v Private'!A:G,4,FALSE),"")</f>
        <v>0</v>
      </c>
      <c r="D98" s="38">
        <f>IFERROR(VLOOKUP(A98,'Public v Private'!A:G,5,FALSE),"")</f>
        <v>0</v>
      </c>
      <c r="E98" s="38"/>
      <c r="F98" s="40">
        <f>IFERROR(INDEX(Fall!$1:$1048576,MATCH(All!$A98,Fall!$A:$A,FALSE),MATCH(All!F$1,Fall!$1:$1,FALSE)),"N/A")</f>
        <v>345</v>
      </c>
      <c r="G98" t="str">
        <f>IFERROR(IF(INDEX(Fall!$1:$1048576,MATCH(All!$A98,Fall!$A:$A,FALSE),MATCH(All!G$1,Fall!$1:$1,FALSE))="","",INDEX(Fall!$1:$1048576,MATCH(All!$A98,Fall!$A:$A,FALSE),MATCH(All!G$1,Fall!$1:$1,FALSE))),"")</f>
        <v>1A</v>
      </c>
      <c r="H98" t="str">
        <f>IFERROR(IF(INDEX(Fall!$1:$1048576,MATCH(All!$A98,Fall!$A:$A,FALSE),MATCH(All!H$1,Fall!$1:$1,FALSE))="","",INDEX(Fall!$1:$1048576,MATCH(All!$A98,Fall!$A:$A,FALSE),MATCH(All!H$1,Fall!$1:$1,FALSE))),"")</f>
        <v>1A</v>
      </c>
      <c r="I98" t="str">
        <f>IFERROR(IF(INDEX(Fall!$1:$1048576,MATCH(All!$A98,Fall!$A:$A,FALSE),MATCH(All!I$1,Fall!$1:$1,FALSE))="","",INDEX(Fall!$1:$1048576,MATCH(All!$A98,Fall!$A:$A,FALSE),MATCH(All!I$1,Fall!$1:$1,FALSE))),"")</f>
        <v>1A</v>
      </c>
      <c r="J98" t="str">
        <f>IFERROR(IF(INDEX(Fall!$1:$1048576,MATCH(All!$A98,Fall!$A:$A,FALSE),MATCH(All!J$1,Fall!$1:$1,FALSE))="","",INDEX(Fall!$1:$1048576,MATCH(All!$A98,Fall!$A:$A,FALSE),MATCH(All!J$1,Fall!$1:$1,FALSE))),"")</f>
        <v>1A</v>
      </c>
      <c r="K98" t="str">
        <f>IFERROR(IF(INDEX(Fall!$1:$1048576,MATCH(All!$A98,Fall!$A:$A,FALSE),MATCH(All!K$1,Fall!$1:$1,FALSE))="","",INDEX(Fall!$1:$1048576,MATCH(All!$A98,Fall!$A:$A,FALSE),MATCH(All!K$1,Fall!$1:$1,FALSE))),"")</f>
        <v/>
      </c>
      <c r="L98" t="str">
        <f>IFERROR(IF(INDEX(Fall!$1:$1048576,MATCH(All!$A98,Fall!$A:$A,FALSE),MATCH(All!L$1,Fall!$1:$1,FALSE))="","",INDEX(Fall!$1:$1048576,MATCH(All!$A98,Fall!$A:$A,FALSE),MATCH(All!L$1,Fall!$1:$1,FALSE))),"")</f>
        <v/>
      </c>
      <c r="M98" t="str">
        <f>IFERROR(IF(INDEX(Fall!$1:$1048576,MATCH(All!$A98,Fall!$A:$A,FALSE),MATCH(All!M$1,Fall!$1:$1,FALSE))="","",INDEX(Fall!$1:$1048576,MATCH(All!$A98,Fall!$A:$A,FALSE),MATCH(All!M$1,Fall!$1:$1,FALSE))),"")</f>
        <v>2A</v>
      </c>
      <c r="O98">
        <f>IFERROR(IF(INDEX(Winter!$1:$1048576,MATCH(All!$A98,Winter!$A:$A,FALSE),MATCH(All!O$1,Winter!$1:$1,FALSE))="","",INDEX(Winter!$1:$1048576,MATCH(All!$A98,Winter!$A:$A,FALSE),MATCH(All!O$1,Winter!$1:$1,FALSE))),"")</f>
        <v>345</v>
      </c>
      <c r="P98" t="str">
        <f>IFERROR(IF(INDEX(Winter!$1:$1048576,MATCH(All!$A98,Winter!$A:$A,FALSE),MATCH(All!P$1,Winter!$1:$1,FALSE))="","",INDEX(Winter!$1:$1048576,MATCH(All!$A98,Winter!$A:$A,FALSE),MATCH(All!P$1,Winter!$1:$1,FALSE))),"")</f>
        <v>2A</v>
      </c>
      <c r="Q98" t="str">
        <f>IFERROR(IF(INDEX(Winter!$1:$1048576,MATCH(All!$A98,Winter!$A:$A,FALSE),MATCH(All!Q$1,Winter!$1:$1,FALSE))="","",INDEX(Winter!$1:$1048576,MATCH(All!$A98,Winter!$A:$A,FALSE),MATCH(All!Q$1,Winter!$1:$1,FALSE))),"")</f>
        <v>2A</v>
      </c>
      <c r="R98" t="str">
        <f>IFERROR(IF(INDEX(Winter!$1:$1048576,MATCH(All!$A98,Winter!$A:$A,FALSE),MATCH(All!R$1,Winter!$1:$1,FALSE))="","",INDEX(Winter!$1:$1048576,MATCH(All!$A98,Winter!$A:$A,FALSE),MATCH(All!R$1,Winter!$1:$1,FALSE))),"")</f>
        <v/>
      </c>
      <c r="S98" t="str">
        <f>IFERROR(IF(INDEX(Winter!$1:$1048576,MATCH(All!$A98,Winter!$A:$A,FALSE),MATCH(All!S$1,Winter!$1:$1,FALSE))="","",INDEX(Winter!$1:$1048576,MATCH(All!$A98,Winter!$A:$A,FALSE),MATCH(All!S$1,Winter!$1:$1,FALSE))),"")</f>
        <v>1A</v>
      </c>
      <c r="T98" t="str">
        <f>IFERROR(IF(INDEX(Winter!$1:$1048576,MATCH(All!$A98,Winter!$A:$A,FALSE),MATCH(All!T$1,Winter!$1:$1,FALSE))="","",INDEX(Winter!$1:$1048576,MATCH(All!$A98,Winter!$A:$A,FALSE),MATCH(All!T$1,Winter!$1:$1,FALSE))),"")</f>
        <v>1A</v>
      </c>
      <c r="U98" t="str">
        <f>IFERROR(IF(INDEX(Winter!$1:$1048576,MATCH(All!$A98,Winter!$A:$A,FALSE),MATCH(All!U$1,Winter!$1:$1,FALSE))="","",INDEX(Winter!$1:$1048576,MATCH(All!$A98,Winter!$A:$A,FALSE),MATCH(All!U$1,Winter!$1:$1,FALSE))),"")</f>
        <v>1A</v>
      </c>
      <c r="W98">
        <f>IFERROR(IF(INDEX(Spring!$1:$1048576,MATCH(All!$A98,Spring!$A:$A,FALSE),MATCH(All!W$1,Spring!$1:$1,FALSE))="","",INDEX(Spring!$1:$1048576,MATCH(All!$A98,Spring!$A:$A,FALSE),MATCH(All!W$1,Spring!$1:$1,FALSE))),"")</f>
        <v>345</v>
      </c>
      <c r="X98" t="str">
        <f>IFERROR(IF(INDEX(Spring!$1:$1048576,MATCH(All!$A98,Spring!$A:$A,FALSE),MATCH(All!X$1,Spring!$1:$1,FALSE))="","",INDEX(Spring!$1:$1048576,MATCH(All!$A98,Spring!$A:$A,FALSE),MATCH(All!X$1,Spring!$1:$1,FALSE))),"")</f>
        <v>2A</v>
      </c>
      <c r="Y98" t="str">
        <f>IFERROR(IF(INDEX(Spring!$1:$1048576,MATCH(All!$A98,Spring!$A:$A,FALSE),MATCH(All!Y$1,Spring!$1:$1,FALSE))="","",INDEX(Spring!$1:$1048576,MATCH(All!$A98,Spring!$A:$A,FALSE),MATCH(All!Y$1,Spring!$1:$1,FALSE))),"")</f>
        <v>2A</v>
      </c>
      <c r="Z98" t="str">
        <f>IFERROR(IF(INDEX(Spring!$1:$1048576,MATCH(All!$A98,Spring!$A:$A,FALSE),MATCH(All!Z$1,Spring!$1:$1,FALSE))="","",INDEX(Spring!$1:$1048576,MATCH(All!$A98,Spring!$A:$A,FALSE),MATCH(All!Z$1,Spring!$1:$1,FALSE))),"")</f>
        <v/>
      </c>
      <c r="AA98" t="str">
        <f>IFERROR(IF(INDEX(Spring!$1:$1048576,MATCH(All!$A98,Spring!$A:$A,FALSE),MATCH(All!AA$1,Spring!$1:$1,FALSE))="","",INDEX(Spring!$1:$1048576,MATCH(All!$A98,Spring!$A:$A,FALSE),MATCH(All!AA$1,Spring!$1:$1,FALSE))),"")</f>
        <v/>
      </c>
      <c r="AB98" t="str">
        <f>IFERROR(IF(INDEX(Spring!$1:$1048576,MATCH(All!$A98,Spring!$A:$A,FALSE),MATCH(All!AB$1,Spring!$1:$1,FALSE))="","",INDEX(Spring!$1:$1048576,MATCH(All!$A98,Spring!$A:$A,FALSE),MATCH(All!AB$1,Spring!$1:$1,FALSE))),"")</f>
        <v>1A</v>
      </c>
      <c r="AC98" t="str">
        <f>IFERROR(IF(INDEX(Spring!$1:$1048576,MATCH(All!$A98,Spring!$A:$A,FALSE),MATCH(All!AC$1,Spring!$1:$1,FALSE))="","",INDEX(Spring!$1:$1048576,MATCH(All!$A98,Spring!$A:$A,FALSE),MATCH(All!AC$1,Spring!$1:$1,FALSE))),"")</f>
        <v>1A</v>
      </c>
      <c r="AD98" t="str">
        <f>IFERROR(VLOOKUP(A98,'Flag Football'!A:A,1,FALSE),"")</f>
        <v/>
      </c>
      <c r="AE98" t="str">
        <f t="shared" si="1"/>
        <v/>
      </c>
    </row>
    <row r="99" spans="1:31" ht="15.75" thickBot="1" x14ac:dyDescent="0.3">
      <c r="A99" s="18" t="s">
        <v>117</v>
      </c>
      <c r="B99" s="38">
        <f>IFERROR(VLOOKUP(A99,'Public v Private'!A:G,3,FALSE),"")</f>
        <v>0</v>
      </c>
      <c r="C99" s="38">
        <f>IFERROR(VLOOKUP(A99,'Public v Private'!A:G,4,FALSE),"")</f>
        <v>0</v>
      </c>
      <c r="D99" s="38">
        <f>IFERROR(VLOOKUP(A99,'Public v Private'!A:G,5,FALSE),"")</f>
        <v>0</v>
      </c>
      <c r="E99" s="38"/>
      <c r="F99" s="40">
        <f>IFERROR(INDEX(Fall!$1:$1048576,MATCH(All!$A99,Fall!$A:$A,FALSE),MATCH(All!F$1,Fall!$1:$1,FALSE)),"N/A")</f>
        <v>1310</v>
      </c>
      <c r="G99" t="str">
        <f>IFERROR(IF(INDEX(Fall!$1:$1048576,MATCH(All!$A99,Fall!$A:$A,FALSE),MATCH(All!G$1,Fall!$1:$1,FALSE))="","",INDEX(Fall!$1:$1048576,MATCH(All!$A99,Fall!$A:$A,FALSE),MATCH(All!G$1,Fall!$1:$1,FALSE))),"")</f>
        <v>2A</v>
      </c>
      <c r="H99" t="str">
        <f>IFERROR(IF(INDEX(Fall!$1:$1048576,MATCH(All!$A99,Fall!$A:$A,FALSE),MATCH(All!H$1,Fall!$1:$1,FALSE))="","",INDEX(Fall!$1:$1048576,MATCH(All!$A99,Fall!$A:$A,FALSE),MATCH(All!H$1,Fall!$1:$1,FALSE))),"")</f>
        <v>2A</v>
      </c>
      <c r="I99" t="str">
        <f>IFERROR(IF(INDEX(Fall!$1:$1048576,MATCH(All!$A99,Fall!$A:$A,FALSE),MATCH(All!I$1,Fall!$1:$1,FALSE))="","",INDEX(Fall!$1:$1048576,MATCH(All!$A99,Fall!$A:$A,FALSE),MATCH(All!I$1,Fall!$1:$1,FALSE))),"")</f>
        <v>2A</v>
      </c>
      <c r="J99" t="str">
        <f>IFERROR(IF(INDEX(Fall!$1:$1048576,MATCH(All!$A99,Fall!$A:$A,FALSE),MATCH(All!J$1,Fall!$1:$1,FALSE))="","",INDEX(Fall!$1:$1048576,MATCH(All!$A99,Fall!$A:$A,FALSE),MATCH(All!J$1,Fall!$1:$1,FALSE))),"")</f>
        <v/>
      </c>
      <c r="K99" t="str">
        <f>IFERROR(IF(INDEX(Fall!$1:$1048576,MATCH(All!$A99,Fall!$A:$A,FALSE),MATCH(All!K$1,Fall!$1:$1,FALSE))="","",INDEX(Fall!$1:$1048576,MATCH(All!$A99,Fall!$A:$A,FALSE),MATCH(All!K$1,Fall!$1:$1,FALSE))),"")</f>
        <v>2A</v>
      </c>
      <c r="L99" t="str">
        <f>IFERROR(IF(INDEX(Fall!$1:$1048576,MATCH(All!$A99,Fall!$A:$A,FALSE),MATCH(All!L$1,Fall!$1:$1,FALSE))="","",INDEX(Fall!$1:$1048576,MATCH(All!$A99,Fall!$A:$A,FALSE),MATCH(All!L$1,Fall!$1:$1,FALSE))),"")</f>
        <v>1A</v>
      </c>
      <c r="M99" t="str">
        <f>IFERROR(IF(INDEX(Fall!$1:$1048576,MATCH(All!$A99,Fall!$A:$A,FALSE),MATCH(All!M$1,Fall!$1:$1,FALSE))="","",INDEX(Fall!$1:$1048576,MATCH(All!$A99,Fall!$A:$A,FALSE),MATCH(All!M$1,Fall!$1:$1,FALSE))),"")</f>
        <v>3A</v>
      </c>
      <c r="O99">
        <f>IFERROR(IF(INDEX(Winter!$1:$1048576,MATCH(All!$A99,Winter!$A:$A,FALSE),MATCH(All!O$1,Winter!$1:$1,FALSE))="","",INDEX(Winter!$1:$1048576,MATCH(All!$A99,Winter!$A:$A,FALSE),MATCH(All!O$1,Winter!$1:$1,FALSE))),"")</f>
        <v>1310</v>
      </c>
      <c r="P99" t="str">
        <f>IFERROR(IF(INDEX(Winter!$1:$1048576,MATCH(All!$A99,Winter!$A:$A,FALSE),MATCH(All!P$1,Winter!$1:$1,FALSE))="","",INDEX(Winter!$1:$1048576,MATCH(All!$A99,Winter!$A:$A,FALSE),MATCH(All!P$1,Winter!$1:$1,FALSE))),"")</f>
        <v>3A</v>
      </c>
      <c r="Q99" t="str">
        <f>IFERROR(IF(INDEX(Winter!$1:$1048576,MATCH(All!$A99,Winter!$A:$A,FALSE),MATCH(All!Q$1,Winter!$1:$1,FALSE))="","",INDEX(Winter!$1:$1048576,MATCH(All!$A99,Winter!$A:$A,FALSE),MATCH(All!Q$1,Winter!$1:$1,FALSE))),"")</f>
        <v>3A</v>
      </c>
      <c r="R99" t="str">
        <f>IFERROR(IF(INDEX(Winter!$1:$1048576,MATCH(All!$A99,Winter!$A:$A,FALSE),MATCH(All!R$1,Winter!$1:$1,FALSE))="","",INDEX(Winter!$1:$1048576,MATCH(All!$A99,Winter!$A:$A,FALSE),MATCH(All!R$1,Winter!$1:$1,FALSE))),"")</f>
        <v>2A</v>
      </c>
      <c r="S99" t="str">
        <f>IFERROR(IF(INDEX(Winter!$1:$1048576,MATCH(All!$A99,Winter!$A:$A,FALSE),MATCH(All!S$1,Winter!$1:$1,FALSE))="","",INDEX(Winter!$1:$1048576,MATCH(All!$A99,Winter!$A:$A,FALSE),MATCH(All!S$1,Winter!$1:$1,FALSE))),"")</f>
        <v>2A</v>
      </c>
      <c r="T99" t="str">
        <f>IFERROR(IF(INDEX(Winter!$1:$1048576,MATCH(All!$A99,Winter!$A:$A,FALSE),MATCH(All!T$1,Winter!$1:$1,FALSE))="","",INDEX(Winter!$1:$1048576,MATCH(All!$A99,Winter!$A:$A,FALSE),MATCH(All!T$1,Winter!$1:$1,FALSE))),"")</f>
        <v>2A</v>
      </c>
      <c r="U99" t="str">
        <f>IFERROR(IF(INDEX(Winter!$1:$1048576,MATCH(All!$A99,Winter!$A:$A,FALSE),MATCH(All!U$1,Winter!$1:$1,FALSE))="","",INDEX(Winter!$1:$1048576,MATCH(All!$A99,Winter!$A:$A,FALSE),MATCH(All!U$1,Winter!$1:$1,FALSE))),"")</f>
        <v>2A</v>
      </c>
      <c r="W99">
        <f>IFERROR(IF(INDEX(Spring!$1:$1048576,MATCH(All!$A99,Spring!$A:$A,FALSE),MATCH(All!W$1,Spring!$1:$1,FALSE))="","",INDEX(Spring!$1:$1048576,MATCH(All!$A99,Spring!$A:$A,FALSE),MATCH(All!W$1,Spring!$1:$1,FALSE))),"")</f>
        <v>1310</v>
      </c>
      <c r="X99" t="str">
        <f>IFERROR(IF(INDEX(Spring!$1:$1048576,MATCH(All!$A99,Spring!$A:$A,FALSE),MATCH(All!X$1,Spring!$1:$1,FALSE))="","",INDEX(Spring!$1:$1048576,MATCH(All!$A99,Spring!$A:$A,FALSE),MATCH(All!X$1,Spring!$1:$1,FALSE))),"")</f>
        <v>3A</v>
      </c>
      <c r="Y99" t="str">
        <f>IFERROR(IF(INDEX(Spring!$1:$1048576,MATCH(All!$A99,Spring!$A:$A,FALSE),MATCH(All!Y$1,Spring!$1:$1,FALSE))="","",INDEX(Spring!$1:$1048576,MATCH(All!$A99,Spring!$A:$A,FALSE),MATCH(All!Y$1,Spring!$1:$1,FALSE))),"")</f>
        <v>3A</v>
      </c>
      <c r="Z99" t="str">
        <f>IFERROR(IF(INDEX(Spring!$1:$1048576,MATCH(All!$A99,Spring!$A:$A,FALSE),MATCH(All!Z$1,Spring!$1:$1,FALSE))="","",INDEX(Spring!$1:$1048576,MATCH(All!$A99,Spring!$A:$A,FALSE),MATCH(All!Z$1,Spring!$1:$1,FALSE))),"")</f>
        <v>2A</v>
      </c>
      <c r="AA99" t="str">
        <f>IFERROR(IF(INDEX(Spring!$1:$1048576,MATCH(All!$A99,Spring!$A:$A,FALSE),MATCH(All!AA$1,Spring!$1:$1,FALSE))="","",INDEX(Spring!$1:$1048576,MATCH(All!$A99,Spring!$A:$A,FALSE),MATCH(All!AA$1,Spring!$1:$1,FALSE))),"")</f>
        <v>1A</v>
      </c>
      <c r="AB99" t="str">
        <f>IFERROR(IF(INDEX(Spring!$1:$1048576,MATCH(All!$A99,Spring!$A:$A,FALSE),MATCH(All!AB$1,Spring!$1:$1,FALSE))="","",INDEX(Spring!$1:$1048576,MATCH(All!$A99,Spring!$A:$A,FALSE),MATCH(All!AB$1,Spring!$1:$1,FALSE))),"")</f>
        <v>3A</v>
      </c>
      <c r="AC99" t="str">
        <f>IFERROR(IF(INDEX(Spring!$1:$1048576,MATCH(All!$A99,Spring!$A:$A,FALSE),MATCH(All!AC$1,Spring!$1:$1,FALSE))="","",INDEX(Spring!$1:$1048576,MATCH(All!$A99,Spring!$A:$A,FALSE),MATCH(All!AC$1,Spring!$1:$1,FALSE))),"")</f>
        <v>3A</v>
      </c>
      <c r="AD99" t="str">
        <f>IFERROR(VLOOKUP(A99,'Flag Football'!A:A,1,FALSE),"")</f>
        <v>Cary (C.-Grove)</v>
      </c>
      <c r="AE99" t="str">
        <f t="shared" si="1"/>
        <v>1A</v>
      </c>
    </row>
    <row r="100" spans="1:31" ht="15.75" thickBot="1" x14ac:dyDescent="0.3">
      <c r="A100" s="20" t="s">
        <v>910</v>
      </c>
      <c r="B100" s="38" t="str">
        <f>IFERROR(VLOOKUP(A100,'Public v Private'!A:G,3,FALSE),"")</f>
        <v/>
      </c>
      <c r="C100" s="38" t="str">
        <f>IFERROR(VLOOKUP(A100,'Public v Private'!A:G,4,FALSE),"")</f>
        <v/>
      </c>
      <c r="D100" s="38" t="str">
        <f>IFERROR(VLOOKUP(A100,'Public v Private'!A:G,5,FALSE),"")</f>
        <v/>
      </c>
      <c r="E100" s="38"/>
      <c r="F100" s="40" t="str">
        <f>IFERROR(INDEX(Fall!$1:$1048576,MATCH(All!$A100,Fall!$A:$A,FALSE),MATCH(All!F$1,Fall!$1:$1,FALSE)),"N/A")</f>
        <v>48.00 (79.20)</v>
      </c>
      <c r="G100" t="str">
        <f>IFERROR(IF(INDEX(Fall!$1:$1048576,MATCH(All!$A100,Fall!$A:$A,FALSE),MATCH(All!G$1,Fall!$1:$1,FALSE))="","",INDEX(Fall!$1:$1048576,MATCH(All!$A100,Fall!$A:$A,FALSE),MATCH(All!G$1,Fall!$1:$1,FALSE))),"")</f>
        <v/>
      </c>
      <c r="H100" t="str">
        <f>IFERROR(IF(INDEX(Fall!$1:$1048576,MATCH(All!$A100,Fall!$A:$A,FALSE),MATCH(All!H$1,Fall!$1:$1,FALSE))="","",INDEX(Fall!$1:$1048576,MATCH(All!$A100,Fall!$A:$A,FALSE),MATCH(All!H$1,Fall!$1:$1,FALSE))),"")</f>
        <v/>
      </c>
      <c r="I100" t="str">
        <f>IFERROR(IF(INDEX(Fall!$1:$1048576,MATCH(All!$A100,Fall!$A:$A,FALSE),MATCH(All!I$1,Fall!$1:$1,FALSE))="","",INDEX(Fall!$1:$1048576,MATCH(All!$A100,Fall!$A:$A,FALSE),MATCH(All!I$1,Fall!$1:$1,FALSE))),"")</f>
        <v/>
      </c>
      <c r="J100" t="str">
        <f>IFERROR(IF(INDEX(Fall!$1:$1048576,MATCH(All!$A100,Fall!$A:$A,FALSE),MATCH(All!J$1,Fall!$1:$1,FALSE))="","",INDEX(Fall!$1:$1048576,MATCH(All!$A100,Fall!$A:$A,FALSE),MATCH(All!J$1,Fall!$1:$1,FALSE))),"")</f>
        <v/>
      </c>
      <c r="K100" t="str">
        <f>IFERROR(IF(INDEX(Fall!$1:$1048576,MATCH(All!$A100,Fall!$A:$A,FALSE),MATCH(All!K$1,Fall!$1:$1,FALSE))="","",INDEX(Fall!$1:$1048576,MATCH(All!$A100,Fall!$A:$A,FALSE),MATCH(All!K$1,Fall!$1:$1,FALSE))),"")</f>
        <v/>
      </c>
      <c r="L100" t="str">
        <f>IFERROR(IF(INDEX(Fall!$1:$1048576,MATCH(All!$A100,Fall!$A:$A,FALSE),MATCH(All!L$1,Fall!$1:$1,FALSE))="","",INDEX(Fall!$1:$1048576,MATCH(All!$A100,Fall!$A:$A,FALSE),MATCH(All!L$1,Fall!$1:$1,FALSE))),"")</f>
        <v/>
      </c>
      <c r="M100" t="str">
        <f>IFERROR(IF(INDEX(Fall!$1:$1048576,MATCH(All!$A100,Fall!$A:$A,FALSE),MATCH(All!M$1,Fall!$1:$1,FALSE))="","",INDEX(Fall!$1:$1048576,MATCH(All!$A100,Fall!$A:$A,FALSE),MATCH(All!M$1,Fall!$1:$1,FALSE))),"")</f>
        <v>1A</v>
      </c>
      <c r="O100" t="str">
        <f>IFERROR(IF(INDEX(Winter!$1:$1048576,MATCH(All!$A100,Winter!$A:$A,FALSE),MATCH(All!O$1,Winter!$1:$1,FALSE))="","",INDEX(Winter!$1:$1048576,MATCH(All!$A100,Winter!$A:$A,FALSE),MATCH(All!O$1,Winter!$1:$1,FALSE))),"")</f>
        <v>48.00 (79.20)</v>
      </c>
      <c r="P100" t="str">
        <f>IFERROR(IF(INDEX(Winter!$1:$1048576,MATCH(All!$A100,Winter!$A:$A,FALSE),MATCH(All!P$1,Winter!$1:$1,FALSE))="","",INDEX(Winter!$1:$1048576,MATCH(All!$A100,Winter!$A:$A,FALSE),MATCH(All!P$1,Winter!$1:$1,FALSE))),"")</f>
        <v>1A</v>
      </c>
      <c r="Q100" t="str">
        <f>IFERROR(IF(INDEX(Winter!$1:$1048576,MATCH(All!$A100,Winter!$A:$A,FALSE),MATCH(All!Q$1,Winter!$1:$1,FALSE))="","",INDEX(Winter!$1:$1048576,MATCH(All!$A100,Winter!$A:$A,FALSE),MATCH(All!Q$1,Winter!$1:$1,FALSE))),"")</f>
        <v/>
      </c>
      <c r="R100" t="str">
        <f>IFERROR(IF(INDEX(Winter!$1:$1048576,MATCH(All!$A100,Winter!$A:$A,FALSE),MATCH(All!R$1,Winter!$1:$1,FALSE))="","",INDEX(Winter!$1:$1048576,MATCH(All!$A100,Winter!$A:$A,FALSE),MATCH(All!R$1,Winter!$1:$1,FALSE))),"")</f>
        <v/>
      </c>
      <c r="S100" t="str">
        <f>IFERROR(IF(INDEX(Winter!$1:$1048576,MATCH(All!$A100,Winter!$A:$A,FALSE),MATCH(All!S$1,Winter!$1:$1,FALSE))="","",INDEX(Winter!$1:$1048576,MATCH(All!$A100,Winter!$A:$A,FALSE),MATCH(All!S$1,Winter!$1:$1,FALSE))),"")</f>
        <v/>
      </c>
      <c r="T100" t="str">
        <f>IFERROR(IF(INDEX(Winter!$1:$1048576,MATCH(All!$A100,Winter!$A:$A,FALSE),MATCH(All!T$1,Winter!$1:$1,FALSE))="","",INDEX(Winter!$1:$1048576,MATCH(All!$A100,Winter!$A:$A,FALSE),MATCH(All!T$1,Winter!$1:$1,FALSE))),"")</f>
        <v/>
      </c>
      <c r="U100" t="str">
        <f>IFERROR(IF(INDEX(Winter!$1:$1048576,MATCH(All!$A100,Winter!$A:$A,FALSE),MATCH(All!U$1,Winter!$1:$1,FALSE))="","",INDEX(Winter!$1:$1048576,MATCH(All!$A100,Winter!$A:$A,FALSE),MATCH(All!U$1,Winter!$1:$1,FALSE))),"")</f>
        <v/>
      </c>
      <c r="W100" t="str">
        <f>IFERROR(IF(INDEX(Spring!$1:$1048576,MATCH(All!$A100,Spring!$A:$A,FALSE),MATCH(All!W$1,Spring!$1:$1,FALSE))="","",INDEX(Spring!$1:$1048576,MATCH(All!$A100,Spring!$A:$A,FALSE),MATCH(All!W$1,Spring!$1:$1,FALSE))),"")</f>
        <v/>
      </c>
      <c r="X100" t="str">
        <f>IFERROR(IF(INDEX(Spring!$1:$1048576,MATCH(All!$A100,Spring!$A:$A,FALSE),MATCH(All!X$1,Spring!$1:$1,FALSE))="","",INDEX(Spring!$1:$1048576,MATCH(All!$A100,Spring!$A:$A,FALSE),MATCH(All!X$1,Spring!$1:$1,FALSE))),"")</f>
        <v/>
      </c>
      <c r="Y100" t="str">
        <f>IFERROR(IF(INDEX(Spring!$1:$1048576,MATCH(All!$A100,Spring!$A:$A,FALSE),MATCH(All!Y$1,Spring!$1:$1,FALSE))="","",INDEX(Spring!$1:$1048576,MATCH(All!$A100,Spring!$A:$A,FALSE),MATCH(All!Y$1,Spring!$1:$1,FALSE))),"")</f>
        <v/>
      </c>
      <c r="Z100" t="str">
        <f>IFERROR(IF(INDEX(Spring!$1:$1048576,MATCH(All!$A100,Spring!$A:$A,FALSE),MATCH(All!Z$1,Spring!$1:$1,FALSE))="","",INDEX(Spring!$1:$1048576,MATCH(All!$A100,Spring!$A:$A,FALSE),MATCH(All!Z$1,Spring!$1:$1,FALSE))),"")</f>
        <v/>
      </c>
      <c r="AA100" t="str">
        <f>IFERROR(IF(INDEX(Spring!$1:$1048576,MATCH(All!$A100,Spring!$A:$A,FALSE),MATCH(All!AA$1,Spring!$1:$1,FALSE))="","",INDEX(Spring!$1:$1048576,MATCH(All!$A100,Spring!$A:$A,FALSE),MATCH(All!AA$1,Spring!$1:$1,FALSE))),"")</f>
        <v/>
      </c>
      <c r="AB100" t="str">
        <f>IFERROR(IF(INDEX(Spring!$1:$1048576,MATCH(All!$A100,Spring!$A:$A,FALSE),MATCH(All!AB$1,Spring!$1:$1,FALSE))="","",INDEX(Spring!$1:$1048576,MATCH(All!$A100,Spring!$A:$A,FALSE),MATCH(All!AB$1,Spring!$1:$1,FALSE))),"")</f>
        <v/>
      </c>
      <c r="AC100" t="str">
        <f>IFERROR(IF(INDEX(Spring!$1:$1048576,MATCH(All!$A100,Spring!$A:$A,FALSE),MATCH(All!AC$1,Spring!$1:$1,FALSE))="","",INDEX(Spring!$1:$1048576,MATCH(All!$A100,Spring!$A:$A,FALSE),MATCH(All!AC$1,Spring!$1:$1,FALSE))),"")</f>
        <v/>
      </c>
      <c r="AD100" t="str">
        <f>IFERROR(VLOOKUP(A100,'Flag Football'!A:A,1,FALSE),"")</f>
        <v/>
      </c>
      <c r="AE100" t="str">
        <f t="shared" si="1"/>
        <v/>
      </c>
    </row>
    <row r="101" spans="1:31" ht="15.75" thickBot="1" x14ac:dyDescent="0.3">
      <c r="A101" s="18" t="s">
        <v>118</v>
      </c>
      <c r="B101" s="38">
        <f>IFERROR(VLOOKUP(A101,'Public v Private'!A:G,3,FALSE),"")</f>
        <v>0</v>
      </c>
      <c r="C101" s="38">
        <f>IFERROR(VLOOKUP(A101,'Public v Private'!A:G,4,FALSE),"")</f>
        <v>0</v>
      </c>
      <c r="D101" s="38">
        <f>IFERROR(VLOOKUP(A101,'Public v Private'!A:G,5,FALSE),"")</f>
        <v>0</v>
      </c>
      <c r="E101" s="38"/>
      <c r="F101" s="40">
        <f>IFERROR(INDEX(Fall!$1:$1048576,MATCH(All!$A101,Fall!$A:$A,FALSE),MATCH(All!F$1,Fall!$1:$1,FALSE)),"N/A")</f>
        <v>235</v>
      </c>
      <c r="G101" t="str">
        <f>IFERROR(IF(INDEX(Fall!$1:$1048576,MATCH(All!$A101,Fall!$A:$A,FALSE),MATCH(All!G$1,Fall!$1:$1,FALSE))="","",INDEX(Fall!$1:$1048576,MATCH(All!$A101,Fall!$A:$A,FALSE),MATCH(All!G$1,Fall!$1:$1,FALSE))),"")</f>
        <v>1A</v>
      </c>
      <c r="H101" t="str">
        <f>IFERROR(IF(INDEX(Fall!$1:$1048576,MATCH(All!$A101,Fall!$A:$A,FALSE),MATCH(All!H$1,Fall!$1:$1,FALSE))="","",INDEX(Fall!$1:$1048576,MATCH(All!$A101,Fall!$A:$A,FALSE),MATCH(All!H$1,Fall!$1:$1,FALSE))),"")</f>
        <v>1A</v>
      </c>
      <c r="I101" t="str">
        <f>IFERROR(IF(INDEX(Fall!$1:$1048576,MATCH(All!$A101,Fall!$A:$A,FALSE),MATCH(All!I$1,Fall!$1:$1,FALSE))="","",INDEX(Fall!$1:$1048576,MATCH(All!$A101,Fall!$A:$A,FALSE),MATCH(All!I$1,Fall!$1:$1,FALSE))),"")</f>
        <v>1A</v>
      </c>
      <c r="J101" t="str">
        <f>IFERROR(IF(INDEX(Fall!$1:$1048576,MATCH(All!$A101,Fall!$A:$A,FALSE),MATCH(All!J$1,Fall!$1:$1,FALSE))="","",INDEX(Fall!$1:$1048576,MATCH(All!$A101,Fall!$A:$A,FALSE),MATCH(All!J$1,Fall!$1:$1,FALSE))),"")</f>
        <v/>
      </c>
      <c r="K101" t="str">
        <f>IFERROR(IF(INDEX(Fall!$1:$1048576,MATCH(All!$A101,Fall!$A:$A,FALSE),MATCH(All!K$1,Fall!$1:$1,FALSE))="","",INDEX(Fall!$1:$1048576,MATCH(All!$A101,Fall!$A:$A,FALSE),MATCH(All!K$1,Fall!$1:$1,FALSE))),"")</f>
        <v/>
      </c>
      <c r="L101" t="str">
        <f>IFERROR(IF(INDEX(Fall!$1:$1048576,MATCH(All!$A101,Fall!$A:$A,FALSE),MATCH(All!L$1,Fall!$1:$1,FALSE))="","",INDEX(Fall!$1:$1048576,MATCH(All!$A101,Fall!$A:$A,FALSE),MATCH(All!L$1,Fall!$1:$1,FALSE))),"")</f>
        <v>1A</v>
      </c>
      <c r="M101" t="str">
        <f>IFERROR(IF(INDEX(Fall!$1:$1048576,MATCH(All!$A101,Fall!$A:$A,FALSE),MATCH(All!M$1,Fall!$1:$1,FALSE))="","",INDEX(Fall!$1:$1048576,MATCH(All!$A101,Fall!$A:$A,FALSE),MATCH(All!M$1,Fall!$1:$1,FALSE))),"")</f>
        <v>1A</v>
      </c>
      <c r="O101">
        <f>IFERROR(IF(INDEX(Winter!$1:$1048576,MATCH(All!$A101,Winter!$A:$A,FALSE),MATCH(All!O$1,Winter!$1:$1,FALSE))="","",INDEX(Winter!$1:$1048576,MATCH(All!$A101,Winter!$A:$A,FALSE),MATCH(All!O$1,Winter!$1:$1,FALSE))),"")</f>
        <v>235</v>
      </c>
      <c r="P101" t="str">
        <f>IFERROR(IF(INDEX(Winter!$1:$1048576,MATCH(All!$A101,Winter!$A:$A,FALSE),MATCH(All!P$1,Winter!$1:$1,FALSE))="","",INDEX(Winter!$1:$1048576,MATCH(All!$A101,Winter!$A:$A,FALSE),MATCH(All!P$1,Winter!$1:$1,FALSE))),"")</f>
        <v>1A</v>
      </c>
      <c r="Q101" t="str">
        <f>IFERROR(IF(INDEX(Winter!$1:$1048576,MATCH(All!$A101,Winter!$A:$A,FALSE),MATCH(All!Q$1,Winter!$1:$1,FALSE))="","",INDEX(Winter!$1:$1048576,MATCH(All!$A101,Winter!$A:$A,FALSE),MATCH(All!Q$1,Winter!$1:$1,FALSE))),"")</f>
        <v>1A</v>
      </c>
      <c r="R101" t="str">
        <f>IFERROR(IF(INDEX(Winter!$1:$1048576,MATCH(All!$A101,Winter!$A:$A,FALSE),MATCH(All!R$1,Winter!$1:$1,FALSE))="","",INDEX(Winter!$1:$1048576,MATCH(All!$A101,Winter!$A:$A,FALSE),MATCH(All!R$1,Winter!$1:$1,FALSE))),"")</f>
        <v/>
      </c>
      <c r="S101" t="str">
        <f>IFERROR(IF(INDEX(Winter!$1:$1048576,MATCH(All!$A101,Winter!$A:$A,FALSE),MATCH(All!S$1,Winter!$1:$1,FALSE))="","",INDEX(Winter!$1:$1048576,MATCH(All!$A101,Winter!$A:$A,FALSE),MATCH(All!S$1,Winter!$1:$1,FALSE))),"")</f>
        <v/>
      </c>
      <c r="T101" t="str">
        <f>IFERROR(IF(INDEX(Winter!$1:$1048576,MATCH(All!$A101,Winter!$A:$A,FALSE),MATCH(All!T$1,Winter!$1:$1,FALSE))="","",INDEX(Winter!$1:$1048576,MATCH(All!$A101,Winter!$A:$A,FALSE),MATCH(All!T$1,Winter!$1:$1,FALSE))),"")</f>
        <v>1A</v>
      </c>
      <c r="U101" t="str">
        <f>IFERROR(IF(INDEX(Winter!$1:$1048576,MATCH(All!$A101,Winter!$A:$A,FALSE),MATCH(All!U$1,Winter!$1:$1,FALSE))="","",INDEX(Winter!$1:$1048576,MATCH(All!$A101,Winter!$A:$A,FALSE),MATCH(All!U$1,Winter!$1:$1,FALSE))),"")</f>
        <v/>
      </c>
      <c r="W101">
        <f>IFERROR(IF(INDEX(Spring!$1:$1048576,MATCH(All!$A101,Spring!$A:$A,FALSE),MATCH(All!W$1,Spring!$1:$1,FALSE))="","",INDEX(Spring!$1:$1048576,MATCH(All!$A101,Spring!$A:$A,FALSE),MATCH(All!W$1,Spring!$1:$1,FALSE))),"")</f>
        <v>235</v>
      </c>
      <c r="X101" t="str">
        <f>IFERROR(IF(INDEX(Spring!$1:$1048576,MATCH(All!$A101,Spring!$A:$A,FALSE),MATCH(All!X$1,Spring!$1:$1,FALSE))="","",INDEX(Spring!$1:$1048576,MATCH(All!$A101,Spring!$A:$A,FALSE),MATCH(All!X$1,Spring!$1:$1,FALSE))),"")</f>
        <v>1A</v>
      </c>
      <c r="Y101" t="str">
        <f>IFERROR(IF(INDEX(Spring!$1:$1048576,MATCH(All!$A101,Spring!$A:$A,FALSE),MATCH(All!Y$1,Spring!$1:$1,FALSE))="","",INDEX(Spring!$1:$1048576,MATCH(All!$A101,Spring!$A:$A,FALSE),MATCH(All!Y$1,Spring!$1:$1,FALSE))),"")</f>
        <v>1A</v>
      </c>
      <c r="Z101" t="str">
        <f>IFERROR(IF(INDEX(Spring!$1:$1048576,MATCH(All!$A101,Spring!$A:$A,FALSE),MATCH(All!Z$1,Spring!$1:$1,FALSE))="","",INDEX(Spring!$1:$1048576,MATCH(All!$A101,Spring!$A:$A,FALSE),MATCH(All!Z$1,Spring!$1:$1,FALSE))),"")</f>
        <v/>
      </c>
      <c r="AA101" t="str">
        <f>IFERROR(IF(INDEX(Spring!$1:$1048576,MATCH(All!$A101,Spring!$A:$A,FALSE),MATCH(All!AA$1,Spring!$1:$1,FALSE))="","",INDEX(Spring!$1:$1048576,MATCH(All!$A101,Spring!$A:$A,FALSE),MATCH(All!AA$1,Spring!$1:$1,FALSE))),"")</f>
        <v>1A</v>
      </c>
      <c r="AB101" t="str">
        <f>IFERROR(IF(INDEX(Spring!$1:$1048576,MATCH(All!$A101,Spring!$A:$A,FALSE),MATCH(All!AB$1,Spring!$1:$1,FALSE))="","",INDEX(Spring!$1:$1048576,MATCH(All!$A101,Spring!$A:$A,FALSE),MATCH(All!AB$1,Spring!$1:$1,FALSE))),"")</f>
        <v>1A</v>
      </c>
      <c r="AC101" t="str">
        <f>IFERROR(IF(INDEX(Spring!$1:$1048576,MATCH(All!$A101,Spring!$A:$A,FALSE),MATCH(All!AC$1,Spring!$1:$1,FALSE))="","",INDEX(Spring!$1:$1048576,MATCH(All!$A101,Spring!$A:$A,FALSE),MATCH(All!AC$1,Spring!$1:$1,FALSE))),"")</f>
        <v>1A</v>
      </c>
      <c r="AD101" t="str">
        <f>IFERROR(VLOOKUP(A101,'Flag Football'!A:A,1,FALSE),"")</f>
        <v/>
      </c>
      <c r="AE101" t="str">
        <f t="shared" si="1"/>
        <v/>
      </c>
    </row>
    <row r="102" spans="1:31" ht="15.75" thickBot="1" x14ac:dyDescent="0.3">
      <c r="A102" s="20" t="s">
        <v>119</v>
      </c>
      <c r="B102" s="38">
        <f>IFERROR(VLOOKUP(A102,'Public v Private'!A:G,3,FALSE),"")</f>
        <v>0</v>
      </c>
      <c r="C102" s="38">
        <f>IFERROR(VLOOKUP(A102,'Public v Private'!A:G,4,FALSE),"")</f>
        <v>0</v>
      </c>
      <c r="D102" s="38">
        <f>IFERROR(VLOOKUP(A102,'Public v Private'!A:G,5,FALSE),"")</f>
        <v>0</v>
      </c>
      <c r="E102" s="38"/>
      <c r="F102" s="40">
        <f>IFERROR(INDEX(Fall!$1:$1048576,MATCH(All!$A102,Fall!$A:$A,FALSE),MATCH(All!F$1,Fall!$1:$1,FALSE)),"N/A")</f>
        <v>243</v>
      </c>
      <c r="G102" t="str">
        <f>IFERROR(IF(INDEX(Fall!$1:$1048576,MATCH(All!$A102,Fall!$A:$A,FALSE),MATCH(All!G$1,Fall!$1:$1,FALSE))="","",INDEX(Fall!$1:$1048576,MATCH(All!$A102,Fall!$A:$A,FALSE),MATCH(All!G$1,Fall!$1:$1,FALSE))),"")</f>
        <v/>
      </c>
      <c r="H102" t="str">
        <f>IFERROR(IF(INDEX(Fall!$1:$1048576,MATCH(All!$A102,Fall!$A:$A,FALSE),MATCH(All!H$1,Fall!$1:$1,FALSE))="","",INDEX(Fall!$1:$1048576,MATCH(All!$A102,Fall!$A:$A,FALSE),MATCH(All!H$1,Fall!$1:$1,FALSE))),"")</f>
        <v/>
      </c>
      <c r="I102" t="str">
        <f>IFERROR(IF(INDEX(Fall!$1:$1048576,MATCH(All!$A102,Fall!$A:$A,FALSE),MATCH(All!I$1,Fall!$1:$1,FALSE))="","",INDEX(Fall!$1:$1048576,MATCH(All!$A102,Fall!$A:$A,FALSE),MATCH(All!I$1,Fall!$1:$1,FALSE))),"")</f>
        <v>1A</v>
      </c>
      <c r="J102" t="str">
        <f>IFERROR(IF(INDEX(Fall!$1:$1048576,MATCH(All!$A102,Fall!$A:$A,FALSE),MATCH(All!J$1,Fall!$1:$1,FALSE))="","",INDEX(Fall!$1:$1048576,MATCH(All!$A102,Fall!$A:$A,FALSE),MATCH(All!J$1,Fall!$1:$1,FALSE))),"")</f>
        <v/>
      </c>
      <c r="K102" t="str">
        <f>IFERROR(IF(INDEX(Fall!$1:$1048576,MATCH(All!$A102,Fall!$A:$A,FALSE),MATCH(All!K$1,Fall!$1:$1,FALSE))="","",INDEX(Fall!$1:$1048576,MATCH(All!$A102,Fall!$A:$A,FALSE),MATCH(All!K$1,Fall!$1:$1,FALSE))),"")</f>
        <v/>
      </c>
      <c r="L102" t="str">
        <f>IFERROR(IF(INDEX(Fall!$1:$1048576,MATCH(All!$A102,Fall!$A:$A,FALSE),MATCH(All!L$1,Fall!$1:$1,FALSE))="","",INDEX(Fall!$1:$1048576,MATCH(All!$A102,Fall!$A:$A,FALSE),MATCH(All!L$1,Fall!$1:$1,FALSE))),"")</f>
        <v/>
      </c>
      <c r="M102" t="str">
        <f>IFERROR(IF(INDEX(Fall!$1:$1048576,MATCH(All!$A102,Fall!$A:$A,FALSE),MATCH(All!M$1,Fall!$1:$1,FALSE))="","",INDEX(Fall!$1:$1048576,MATCH(All!$A102,Fall!$A:$A,FALSE),MATCH(All!M$1,Fall!$1:$1,FALSE))),"")</f>
        <v>1A</v>
      </c>
      <c r="O102">
        <f>IFERROR(IF(INDEX(Winter!$1:$1048576,MATCH(All!$A102,Winter!$A:$A,FALSE),MATCH(All!O$1,Winter!$1:$1,FALSE))="","",INDEX(Winter!$1:$1048576,MATCH(All!$A102,Winter!$A:$A,FALSE),MATCH(All!O$1,Winter!$1:$1,FALSE))),"")</f>
        <v>243</v>
      </c>
      <c r="P102" t="str">
        <f>IFERROR(IF(INDEX(Winter!$1:$1048576,MATCH(All!$A102,Winter!$A:$A,FALSE),MATCH(All!P$1,Winter!$1:$1,FALSE))="","",INDEX(Winter!$1:$1048576,MATCH(All!$A102,Winter!$A:$A,FALSE),MATCH(All!P$1,Winter!$1:$1,FALSE))),"")</f>
        <v>1A</v>
      </c>
      <c r="Q102" t="str">
        <f>IFERROR(IF(INDEX(Winter!$1:$1048576,MATCH(All!$A102,Winter!$A:$A,FALSE),MATCH(All!Q$1,Winter!$1:$1,FALSE))="","",INDEX(Winter!$1:$1048576,MATCH(All!$A102,Winter!$A:$A,FALSE),MATCH(All!Q$1,Winter!$1:$1,FALSE))),"")</f>
        <v>1A</v>
      </c>
      <c r="R102" t="str">
        <f>IFERROR(IF(INDEX(Winter!$1:$1048576,MATCH(All!$A102,Winter!$A:$A,FALSE),MATCH(All!R$1,Winter!$1:$1,FALSE))="","",INDEX(Winter!$1:$1048576,MATCH(All!$A102,Winter!$A:$A,FALSE),MATCH(All!R$1,Winter!$1:$1,FALSE))),"")</f>
        <v>1A</v>
      </c>
      <c r="S102" t="str">
        <f>IFERROR(IF(INDEX(Winter!$1:$1048576,MATCH(All!$A102,Winter!$A:$A,FALSE),MATCH(All!S$1,Winter!$1:$1,FALSE))="","",INDEX(Winter!$1:$1048576,MATCH(All!$A102,Winter!$A:$A,FALSE),MATCH(All!S$1,Winter!$1:$1,FALSE))),"")</f>
        <v/>
      </c>
      <c r="T102" t="str">
        <f>IFERROR(IF(INDEX(Winter!$1:$1048576,MATCH(All!$A102,Winter!$A:$A,FALSE),MATCH(All!T$1,Winter!$1:$1,FALSE))="","",INDEX(Winter!$1:$1048576,MATCH(All!$A102,Winter!$A:$A,FALSE),MATCH(All!T$1,Winter!$1:$1,FALSE))),"")</f>
        <v>1A</v>
      </c>
      <c r="U102" t="str">
        <f>IFERROR(IF(INDEX(Winter!$1:$1048576,MATCH(All!$A102,Winter!$A:$A,FALSE),MATCH(All!U$1,Winter!$1:$1,FALSE))="","",INDEX(Winter!$1:$1048576,MATCH(All!$A102,Winter!$A:$A,FALSE),MATCH(All!U$1,Winter!$1:$1,FALSE))),"")</f>
        <v/>
      </c>
      <c r="W102">
        <f>IFERROR(IF(INDEX(Spring!$1:$1048576,MATCH(All!$A102,Spring!$A:$A,FALSE),MATCH(All!W$1,Spring!$1:$1,FALSE))="","",INDEX(Spring!$1:$1048576,MATCH(All!$A102,Spring!$A:$A,FALSE),MATCH(All!W$1,Spring!$1:$1,FALSE))),"")</f>
        <v>243</v>
      </c>
      <c r="X102" t="str">
        <f>IFERROR(IF(INDEX(Spring!$1:$1048576,MATCH(All!$A102,Spring!$A:$A,FALSE),MATCH(All!X$1,Spring!$1:$1,FALSE))="","",INDEX(Spring!$1:$1048576,MATCH(All!$A102,Spring!$A:$A,FALSE),MATCH(All!X$1,Spring!$1:$1,FALSE))),"")</f>
        <v>1A</v>
      </c>
      <c r="Y102" t="str">
        <f>IFERROR(IF(INDEX(Spring!$1:$1048576,MATCH(All!$A102,Spring!$A:$A,FALSE),MATCH(All!Y$1,Spring!$1:$1,FALSE))="","",INDEX(Spring!$1:$1048576,MATCH(All!$A102,Spring!$A:$A,FALSE),MATCH(All!Y$1,Spring!$1:$1,FALSE))),"")</f>
        <v>1A</v>
      </c>
      <c r="Z102" t="str">
        <f>IFERROR(IF(INDEX(Spring!$1:$1048576,MATCH(All!$A102,Spring!$A:$A,FALSE),MATCH(All!Z$1,Spring!$1:$1,FALSE))="","",INDEX(Spring!$1:$1048576,MATCH(All!$A102,Spring!$A:$A,FALSE),MATCH(All!Z$1,Spring!$1:$1,FALSE))),"")</f>
        <v/>
      </c>
      <c r="AA102" t="str">
        <f>IFERROR(IF(INDEX(Spring!$1:$1048576,MATCH(All!$A102,Spring!$A:$A,FALSE),MATCH(All!AA$1,Spring!$1:$1,FALSE))="","",INDEX(Spring!$1:$1048576,MATCH(All!$A102,Spring!$A:$A,FALSE),MATCH(All!AA$1,Spring!$1:$1,FALSE))),"")</f>
        <v/>
      </c>
      <c r="AB102" t="str">
        <f>IFERROR(IF(INDEX(Spring!$1:$1048576,MATCH(All!$A102,Spring!$A:$A,FALSE),MATCH(All!AB$1,Spring!$1:$1,FALSE))="","",INDEX(Spring!$1:$1048576,MATCH(All!$A102,Spring!$A:$A,FALSE),MATCH(All!AB$1,Spring!$1:$1,FALSE))),"")</f>
        <v>1A</v>
      </c>
      <c r="AC102" t="str">
        <f>IFERROR(IF(INDEX(Spring!$1:$1048576,MATCH(All!$A102,Spring!$A:$A,FALSE),MATCH(All!AC$1,Spring!$1:$1,FALSE))="","",INDEX(Spring!$1:$1048576,MATCH(All!$A102,Spring!$A:$A,FALSE),MATCH(All!AC$1,Spring!$1:$1,FALSE))),"")</f>
        <v>1A</v>
      </c>
      <c r="AD102" t="str">
        <f>IFERROR(VLOOKUP(A102,'Flag Football'!A:A,1,FALSE),"")</f>
        <v/>
      </c>
      <c r="AE102" t="str">
        <f t="shared" si="1"/>
        <v/>
      </c>
    </row>
    <row r="103" spans="1:31" ht="15.75" thickBot="1" x14ac:dyDescent="0.3">
      <c r="A103" s="18" t="s">
        <v>120</v>
      </c>
      <c r="B103" s="38" t="str">
        <f>IFERROR(VLOOKUP(A103,'Public v Private'!A:G,3,FALSE),"")</f>
        <v>private</v>
      </c>
      <c r="C103" s="38">
        <f>IFERROR(VLOOKUP(A103,'Public v Private'!A:G,4,FALSE),"")</f>
        <v>7</v>
      </c>
      <c r="D103" s="38">
        <f>IFERROR(VLOOKUP(A103,'Public v Private'!A:G,5,FALSE),"")</f>
        <v>20</v>
      </c>
      <c r="E103" s="38"/>
      <c r="F103" s="40" t="str">
        <f>IFERROR(INDEX(Fall!$1:$1048576,MATCH(All!$A103,Fall!$A:$A,FALSE),MATCH(All!F$1,Fall!$1:$1,FALSE)),"N/A")</f>
        <v>107.00 (176.55)</v>
      </c>
      <c r="G103" t="str">
        <f>IFERROR(IF(INDEX(Fall!$1:$1048576,MATCH(All!$A103,Fall!$A:$A,FALSE),MATCH(All!G$1,Fall!$1:$1,FALSE))="","",INDEX(Fall!$1:$1048576,MATCH(All!$A103,Fall!$A:$A,FALSE),MATCH(All!G$1,Fall!$1:$1,FALSE))),"")</f>
        <v>1A</v>
      </c>
      <c r="H103" t="str">
        <f>IFERROR(IF(INDEX(Fall!$1:$1048576,MATCH(All!$A103,Fall!$A:$A,FALSE),MATCH(All!H$1,Fall!$1:$1,FALSE))="","",INDEX(Fall!$1:$1048576,MATCH(All!$A103,Fall!$A:$A,FALSE),MATCH(All!H$1,Fall!$1:$1,FALSE))),"")</f>
        <v/>
      </c>
      <c r="I103" t="str">
        <f>IFERROR(IF(INDEX(Fall!$1:$1048576,MATCH(All!$A103,Fall!$A:$A,FALSE),MATCH(All!I$1,Fall!$1:$1,FALSE))="","",INDEX(Fall!$1:$1048576,MATCH(All!$A103,Fall!$A:$A,FALSE),MATCH(All!I$1,Fall!$1:$1,FALSE))),"")</f>
        <v>1A</v>
      </c>
      <c r="J103" t="str">
        <f>IFERROR(IF(INDEX(Fall!$1:$1048576,MATCH(All!$A103,Fall!$A:$A,FALSE),MATCH(All!J$1,Fall!$1:$1,FALSE))="","",INDEX(Fall!$1:$1048576,MATCH(All!$A103,Fall!$A:$A,FALSE),MATCH(All!J$1,Fall!$1:$1,FALSE))),"")</f>
        <v/>
      </c>
      <c r="K103" t="str">
        <f>IFERROR(IF(INDEX(Fall!$1:$1048576,MATCH(All!$A103,Fall!$A:$A,FALSE),MATCH(All!K$1,Fall!$1:$1,FALSE))="","",INDEX(Fall!$1:$1048576,MATCH(All!$A103,Fall!$A:$A,FALSE),MATCH(All!K$1,Fall!$1:$1,FALSE))),"")</f>
        <v/>
      </c>
      <c r="L103" t="str">
        <f>IFERROR(IF(INDEX(Fall!$1:$1048576,MATCH(All!$A103,Fall!$A:$A,FALSE),MATCH(All!L$1,Fall!$1:$1,FALSE))="","",INDEX(Fall!$1:$1048576,MATCH(All!$A103,Fall!$A:$A,FALSE),MATCH(All!L$1,Fall!$1:$1,FALSE))),"")</f>
        <v/>
      </c>
      <c r="M103" t="str">
        <f>IFERROR(IF(INDEX(Fall!$1:$1048576,MATCH(All!$A103,Fall!$A:$A,FALSE),MATCH(All!M$1,Fall!$1:$1,FALSE))="","",INDEX(Fall!$1:$1048576,MATCH(All!$A103,Fall!$A:$A,FALSE),MATCH(All!M$1,Fall!$1:$1,FALSE))),"")</f>
        <v>1A</v>
      </c>
      <c r="O103" t="str">
        <f>IFERROR(IF(INDEX(Winter!$1:$1048576,MATCH(All!$A103,Winter!$A:$A,FALSE),MATCH(All!O$1,Winter!$1:$1,FALSE))="","",INDEX(Winter!$1:$1048576,MATCH(All!$A103,Winter!$A:$A,FALSE),MATCH(All!O$1,Winter!$1:$1,FALSE))),"")</f>
        <v>107.00 (176.55)</v>
      </c>
      <c r="P103" t="str">
        <f>IFERROR(IF(INDEX(Winter!$1:$1048576,MATCH(All!$A103,Winter!$A:$A,FALSE),MATCH(All!P$1,Winter!$1:$1,FALSE))="","",INDEX(Winter!$1:$1048576,MATCH(All!$A103,Winter!$A:$A,FALSE),MATCH(All!P$1,Winter!$1:$1,FALSE))),"")</f>
        <v>1A</v>
      </c>
      <c r="Q103" t="str">
        <f>IFERROR(IF(INDEX(Winter!$1:$1048576,MATCH(All!$A103,Winter!$A:$A,FALSE),MATCH(All!Q$1,Winter!$1:$1,FALSE))="","",INDEX(Winter!$1:$1048576,MATCH(All!$A103,Winter!$A:$A,FALSE),MATCH(All!Q$1,Winter!$1:$1,FALSE))),"")</f>
        <v/>
      </c>
      <c r="R103" t="str">
        <f>IFERROR(IF(INDEX(Winter!$1:$1048576,MATCH(All!$A103,Winter!$A:$A,FALSE),MATCH(All!R$1,Winter!$1:$1,FALSE))="","",INDEX(Winter!$1:$1048576,MATCH(All!$A103,Winter!$A:$A,FALSE),MATCH(All!R$1,Winter!$1:$1,FALSE))),"")</f>
        <v/>
      </c>
      <c r="S103" t="str">
        <f>IFERROR(IF(INDEX(Winter!$1:$1048576,MATCH(All!$A103,Winter!$A:$A,FALSE),MATCH(All!S$1,Winter!$1:$1,FALSE))="","",INDEX(Winter!$1:$1048576,MATCH(All!$A103,Winter!$A:$A,FALSE),MATCH(All!S$1,Winter!$1:$1,FALSE))),"")</f>
        <v/>
      </c>
      <c r="T103" t="str">
        <f>IFERROR(IF(INDEX(Winter!$1:$1048576,MATCH(All!$A103,Winter!$A:$A,FALSE),MATCH(All!T$1,Winter!$1:$1,FALSE))="","",INDEX(Winter!$1:$1048576,MATCH(All!$A103,Winter!$A:$A,FALSE),MATCH(All!T$1,Winter!$1:$1,FALSE))),"")</f>
        <v/>
      </c>
      <c r="U103" t="str">
        <f>IFERROR(IF(INDEX(Winter!$1:$1048576,MATCH(All!$A103,Winter!$A:$A,FALSE),MATCH(All!U$1,Winter!$1:$1,FALSE))="","",INDEX(Winter!$1:$1048576,MATCH(All!$A103,Winter!$A:$A,FALSE),MATCH(All!U$1,Winter!$1:$1,FALSE))),"")</f>
        <v/>
      </c>
      <c r="W103" t="str">
        <f>IFERROR(IF(INDEX(Spring!$1:$1048576,MATCH(All!$A103,Spring!$A:$A,FALSE),MATCH(All!W$1,Spring!$1:$1,FALSE))="","",INDEX(Spring!$1:$1048576,MATCH(All!$A103,Spring!$A:$A,FALSE),MATCH(All!W$1,Spring!$1:$1,FALSE))),"")</f>
        <v>107.00 (176.55)</v>
      </c>
      <c r="X103" t="str">
        <f>IFERROR(IF(INDEX(Spring!$1:$1048576,MATCH(All!$A103,Spring!$A:$A,FALSE),MATCH(All!X$1,Spring!$1:$1,FALSE))="","",INDEX(Spring!$1:$1048576,MATCH(All!$A103,Spring!$A:$A,FALSE),MATCH(All!X$1,Spring!$1:$1,FALSE))),"")</f>
        <v>1A</v>
      </c>
      <c r="Y103" t="str">
        <f>IFERROR(IF(INDEX(Spring!$1:$1048576,MATCH(All!$A103,Spring!$A:$A,FALSE),MATCH(All!Y$1,Spring!$1:$1,FALSE))="","",INDEX(Spring!$1:$1048576,MATCH(All!$A103,Spring!$A:$A,FALSE),MATCH(All!Y$1,Spring!$1:$1,FALSE))),"")</f>
        <v>1A</v>
      </c>
      <c r="Z103" t="str">
        <f>IFERROR(IF(INDEX(Spring!$1:$1048576,MATCH(All!$A103,Spring!$A:$A,FALSE),MATCH(All!Z$1,Spring!$1:$1,FALSE))="","",INDEX(Spring!$1:$1048576,MATCH(All!$A103,Spring!$A:$A,FALSE),MATCH(All!Z$1,Spring!$1:$1,FALSE))),"")</f>
        <v/>
      </c>
      <c r="AA103" t="str">
        <f>IFERROR(IF(INDEX(Spring!$1:$1048576,MATCH(All!$A103,Spring!$A:$A,FALSE),MATCH(All!AA$1,Spring!$1:$1,FALSE))="","",INDEX(Spring!$1:$1048576,MATCH(All!$A103,Spring!$A:$A,FALSE),MATCH(All!AA$1,Spring!$1:$1,FALSE))),"")</f>
        <v/>
      </c>
      <c r="AB103" t="str">
        <f>IFERROR(IF(INDEX(Spring!$1:$1048576,MATCH(All!$A103,Spring!$A:$A,FALSE),MATCH(All!AB$1,Spring!$1:$1,FALSE))="","",INDEX(Spring!$1:$1048576,MATCH(All!$A103,Spring!$A:$A,FALSE),MATCH(All!AB$1,Spring!$1:$1,FALSE))),"")</f>
        <v>1A</v>
      </c>
      <c r="AC103" t="str">
        <f>IFERROR(IF(INDEX(Spring!$1:$1048576,MATCH(All!$A103,Spring!$A:$A,FALSE),MATCH(All!AC$1,Spring!$1:$1,FALSE))="","",INDEX(Spring!$1:$1048576,MATCH(All!$A103,Spring!$A:$A,FALSE),MATCH(All!AC$1,Spring!$1:$1,FALSE))),"")</f>
        <v/>
      </c>
      <c r="AD103" t="str">
        <f>IFERROR(VLOOKUP(A103,'Flag Football'!A:A,1,FALSE),"")</f>
        <v/>
      </c>
      <c r="AE103" t="str">
        <f t="shared" si="1"/>
        <v/>
      </c>
    </row>
    <row r="104" spans="1:31" ht="15.75" thickBot="1" x14ac:dyDescent="0.3">
      <c r="A104" s="20" t="s">
        <v>122</v>
      </c>
      <c r="B104" s="38">
        <f>IFERROR(VLOOKUP(A104,'Public v Private'!A:G,3,FALSE),"")</f>
        <v>0</v>
      </c>
      <c r="C104" s="38">
        <f>IFERROR(VLOOKUP(A104,'Public v Private'!A:G,4,FALSE),"")</f>
        <v>0</v>
      </c>
      <c r="D104" s="38">
        <f>IFERROR(VLOOKUP(A104,'Public v Private'!A:G,5,FALSE),"")</f>
        <v>0</v>
      </c>
      <c r="E104" s="38"/>
      <c r="F104" s="40">
        <f>IFERROR(INDEX(Fall!$1:$1048576,MATCH(All!$A104,Fall!$A:$A,FALSE),MATCH(All!F$1,Fall!$1:$1,FALSE)),"N/A")</f>
        <v>868</v>
      </c>
      <c r="G104" t="str">
        <f>IFERROR(IF(INDEX(Fall!$1:$1048576,MATCH(All!$A104,Fall!$A:$A,FALSE),MATCH(All!G$1,Fall!$1:$1,FALSE))="","",INDEX(Fall!$1:$1048576,MATCH(All!$A104,Fall!$A:$A,FALSE),MATCH(All!G$1,Fall!$1:$1,FALSE))),"")</f>
        <v>2A</v>
      </c>
      <c r="H104" t="str">
        <f>IFERROR(IF(INDEX(Fall!$1:$1048576,MATCH(All!$A104,Fall!$A:$A,FALSE),MATCH(All!H$1,Fall!$1:$1,FALSE))="","",INDEX(Fall!$1:$1048576,MATCH(All!$A104,Fall!$A:$A,FALSE),MATCH(All!H$1,Fall!$1:$1,FALSE))),"")</f>
        <v>2A</v>
      </c>
      <c r="I104" t="str">
        <f>IFERROR(IF(INDEX(Fall!$1:$1048576,MATCH(All!$A104,Fall!$A:$A,FALSE),MATCH(All!I$1,Fall!$1:$1,FALSE))="","",INDEX(Fall!$1:$1048576,MATCH(All!$A104,Fall!$A:$A,FALSE),MATCH(All!I$1,Fall!$1:$1,FALSE))),"")</f>
        <v>2A</v>
      </c>
      <c r="J104" t="str">
        <f>IFERROR(IF(INDEX(Fall!$1:$1048576,MATCH(All!$A104,Fall!$A:$A,FALSE),MATCH(All!J$1,Fall!$1:$1,FALSE))="","",INDEX(Fall!$1:$1048576,MATCH(All!$A104,Fall!$A:$A,FALSE),MATCH(All!J$1,Fall!$1:$1,FALSE))),"")</f>
        <v>1A</v>
      </c>
      <c r="K104" t="str">
        <f>IFERROR(IF(INDEX(Fall!$1:$1048576,MATCH(All!$A104,Fall!$A:$A,FALSE),MATCH(All!K$1,Fall!$1:$1,FALSE))="","",INDEX(Fall!$1:$1048576,MATCH(All!$A104,Fall!$A:$A,FALSE),MATCH(All!K$1,Fall!$1:$1,FALSE))),"")</f>
        <v>2A</v>
      </c>
      <c r="L104" t="str">
        <f>IFERROR(IF(INDEX(Fall!$1:$1048576,MATCH(All!$A104,Fall!$A:$A,FALSE),MATCH(All!L$1,Fall!$1:$1,FALSE))="","",INDEX(Fall!$1:$1048576,MATCH(All!$A104,Fall!$A:$A,FALSE),MATCH(All!L$1,Fall!$1:$1,FALSE))),"")</f>
        <v>1A</v>
      </c>
      <c r="M104" t="str">
        <f>IFERROR(IF(INDEX(Fall!$1:$1048576,MATCH(All!$A104,Fall!$A:$A,FALSE),MATCH(All!M$1,Fall!$1:$1,FALSE))="","",INDEX(Fall!$1:$1048576,MATCH(All!$A104,Fall!$A:$A,FALSE),MATCH(All!M$1,Fall!$1:$1,FALSE))),"")</f>
        <v>3A</v>
      </c>
      <c r="O104">
        <f>IFERROR(IF(INDEX(Winter!$1:$1048576,MATCH(All!$A104,Winter!$A:$A,FALSE),MATCH(All!O$1,Winter!$1:$1,FALSE))="","",INDEX(Winter!$1:$1048576,MATCH(All!$A104,Winter!$A:$A,FALSE),MATCH(All!O$1,Winter!$1:$1,FALSE))),"")</f>
        <v>868</v>
      </c>
      <c r="P104" t="str">
        <f>IFERROR(IF(INDEX(Winter!$1:$1048576,MATCH(All!$A104,Winter!$A:$A,FALSE),MATCH(All!P$1,Winter!$1:$1,FALSE))="","",INDEX(Winter!$1:$1048576,MATCH(All!$A104,Winter!$A:$A,FALSE),MATCH(All!P$1,Winter!$1:$1,FALSE))),"")</f>
        <v>3A</v>
      </c>
      <c r="Q104" t="str">
        <f>IFERROR(IF(INDEX(Winter!$1:$1048576,MATCH(All!$A104,Winter!$A:$A,FALSE),MATCH(All!Q$1,Winter!$1:$1,FALSE))="","",INDEX(Winter!$1:$1048576,MATCH(All!$A104,Winter!$A:$A,FALSE),MATCH(All!Q$1,Winter!$1:$1,FALSE))),"")</f>
        <v>3A</v>
      </c>
      <c r="R104" t="str">
        <f>IFERROR(IF(INDEX(Winter!$1:$1048576,MATCH(All!$A104,Winter!$A:$A,FALSE),MATCH(All!R$1,Winter!$1:$1,FALSE))="","",INDEX(Winter!$1:$1048576,MATCH(All!$A104,Winter!$A:$A,FALSE),MATCH(All!R$1,Winter!$1:$1,FALSE))),"")</f>
        <v>2A</v>
      </c>
      <c r="S104" t="str">
        <f>IFERROR(IF(INDEX(Winter!$1:$1048576,MATCH(All!$A104,Winter!$A:$A,FALSE),MATCH(All!S$1,Winter!$1:$1,FALSE))="","",INDEX(Winter!$1:$1048576,MATCH(All!$A104,Winter!$A:$A,FALSE),MATCH(All!S$1,Winter!$1:$1,FALSE))),"")</f>
        <v/>
      </c>
      <c r="T104" t="str">
        <f>IFERROR(IF(INDEX(Winter!$1:$1048576,MATCH(All!$A104,Winter!$A:$A,FALSE),MATCH(All!T$1,Winter!$1:$1,FALSE))="","",INDEX(Winter!$1:$1048576,MATCH(All!$A104,Winter!$A:$A,FALSE),MATCH(All!T$1,Winter!$1:$1,FALSE))),"")</f>
        <v>2A</v>
      </c>
      <c r="U104" t="str">
        <f>IFERROR(IF(INDEX(Winter!$1:$1048576,MATCH(All!$A104,Winter!$A:$A,FALSE),MATCH(All!U$1,Winter!$1:$1,FALSE))="","",INDEX(Winter!$1:$1048576,MATCH(All!$A104,Winter!$A:$A,FALSE),MATCH(All!U$1,Winter!$1:$1,FALSE))),"")</f>
        <v>2A</v>
      </c>
      <c r="W104">
        <f>IFERROR(IF(INDEX(Spring!$1:$1048576,MATCH(All!$A104,Spring!$A:$A,FALSE),MATCH(All!W$1,Spring!$1:$1,FALSE))="","",INDEX(Spring!$1:$1048576,MATCH(All!$A104,Spring!$A:$A,FALSE),MATCH(All!W$1,Spring!$1:$1,FALSE))),"")</f>
        <v>868</v>
      </c>
      <c r="X104" t="str">
        <f>IFERROR(IF(INDEX(Spring!$1:$1048576,MATCH(All!$A104,Spring!$A:$A,FALSE),MATCH(All!X$1,Spring!$1:$1,FALSE))="","",INDEX(Spring!$1:$1048576,MATCH(All!$A104,Spring!$A:$A,FALSE),MATCH(All!X$1,Spring!$1:$1,FALSE))),"")</f>
        <v>3A</v>
      </c>
      <c r="Y104" t="str">
        <f>IFERROR(IF(INDEX(Spring!$1:$1048576,MATCH(All!$A104,Spring!$A:$A,FALSE),MATCH(All!Y$1,Spring!$1:$1,FALSE))="","",INDEX(Spring!$1:$1048576,MATCH(All!$A104,Spring!$A:$A,FALSE),MATCH(All!Y$1,Spring!$1:$1,FALSE))),"")</f>
        <v>3A</v>
      </c>
      <c r="Z104" t="str">
        <f>IFERROR(IF(INDEX(Spring!$1:$1048576,MATCH(All!$A104,Spring!$A:$A,FALSE),MATCH(All!Z$1,Spring!$1:$1,FALSE))="","",INDEX(Spring!$1:$1048576,MATCH(All!$A104,Spring!$A:$A,FALSE),MATCH(All!Z$1,Spring!$1:$1,FALSE))),"")</f>
        <v>2A</v>
      </c>
      <c r="AA104" t="str">
        <f>IFERROR(IF(INDEX(Spring!$1:$1048576,MATCH(All!$A104,Spring!$A:$A,FALSE),MATCH(All!AA$1,Spring!$1:$1,FALSE))="","",INDEX(Spring!$1:$1048576,MATCH(All!$A104,Spring!$A:$A,FALSE),MATCH(All!AA$1,Spring!$1:$1,FALSE))),"")</f>
        <v>1A</v>
      </c>
      <c r="AB104" t="str">
        <f>IFERROR(IF(INDEX(Spring!$1:$1048576,MATCH(All!$A104,Spring!$A:$A,FALSE),MATCH(All!AB$1,Spring!$1:$1,FALSE))="","",INDEX(Spring!$1:$1048576,MATCH(All!$A104,Spring!$A:$A,FALSE),MATCH(All!AB$1,Spring!$1:$1,FALSE))),"")</f>
        <v>2A</v>
      </c>
      <c r="AC104" t="str">
        <f>IFERROR(IF(INDEX(Spring!$1:$1048576,MATCH(All!$A104,Spring!$A:$A,FALSE),MATCH(All!AC$1,Spring!$1:$1,FALSE))="","",INDEX(Spring!$1:$1048576,MATCH(All!$A104,Spring!$A:$A,FALSE),MATCH(All!AC$1,Spring!$1:$1,FALSE))),"")</f>
        <v>2A</v>
      </c>
      <c r="AD104" t="str">
        <f>IFERROR(VLOOKUP(A104,'Flag Football'!A:A,1,FALSE),"")</f>
        <v/>
      </c>
      <c r="AE104" t="str">
        <f t="shared" si="1"/>
        <v/>
      </c>
    </row>
    <row r="105" spans="1:31" ht="15.75" thickBot="1" x14ac:dyDescent="0.3">
      <c r="A105" s="18" t="s">
        <v>123</v>
      </c>
      <c r="B105" s="38">
        <f>IFERROR(VLOOKUP(A105,'Public v Private'!A:G,3,FALSE),"")</f>
        <v>0</v>
      </c>
      <c r="C105" s="38">
        <f>IFERROR(VLOOKUP(A105,'Public v Private'!A:G,4,FALSE),"")</f>
        <v>0</v>
      </c>
      <c r="D105" s="38">
        <f>IFERROR(VLOOKUP(A105,'Public v Private'!A:G,5,FALSE),"")</f>
        <v>0</v>
      </c>
      <c r="E105" s="38"/>
      <c r="F105" s="40">
        <f>IFERROR(INDEX(Fall!$1:$1048576,MATCH(All!$A105,Fall!$A:$A,FALSE),MATCH(All!F$1,Fall!$1:$1,FALSE)),"N/A")</f>
        <v>114</v>
      </c>
      <c r="G105" t="str">
        <f>IFERROR(IF(INDEX(Fall!$1:$1048576,MATCH(All!$A105,Fall!$A:$A,FALSE),MATCH(All!G$1,Fall!$1:$1,FALSE))="","",INDEX(Fall!$1:$1048576,MATCH(All!$A105,Fall!$A:$A,FALSE),MATCH(All!G$1,Fall!$1:$1,FALSE))),"")</f>
        <v>1A</v>
      </c>
      <c r="H105" t="str">
        <f>IFERROR(IF(INDEX(Fall!$1:$1048576,MATCH(All!$A105,Fall!$A:$A,FALSE),MATCH(All!H$1,Fall!$1:$1,FALSE))="","",INDEX(Fall!$1:$1048576,MATCH(All!$A105,Fall!$A:$A,FALSE),MATCH(All!H$1,Fall!$1:$1,FALSE))),"")</f>
        <v>1A</v>
      </c>
      <c r="I105" t="str">
        <f>IFERROR(IF(INDEX(Fall!$1:$1048576,MATCH(All!$A105,Fall!$A:$A,FALSE),MATCH(All!I$1,Fall!$1:$1,FALSE))="","",INDEX(Fall!$1:$1048576,MATCH(All!$A105,Fall!$A:$A,FALSE),MATCH(All!I$1,Fall!$1:$1,FALSE))),"")</f>
        <v>1A</v>
      </c>
      <c r="J105" t="str">
        <f>IFERROR(IF(INDEX(Fall!$1:$1048576,MATCH(All!$A105,Fall!$A:$A,FALSE),MATCH(All!J$1,Fall!$1:$1,FALSE))="","",INDEX(Fall!$1:$1048576,MATCH(All!$A105,Fall!$A:$A,FALSE),MATCH(All!J$1,Fall!$1:$1,FALSE))),"")</f>
        <v/>
      </c>
      <c r="K105" t="str">
        <f>IFERROR(IF(INDEX(Fall!$1:$1048576,MATCH(All!$A105,Fall!$A:$A,FALSE),MATCH(All!K$1,Fall!$1:$1,FALSE))="","",INDEX(Fall!$1:$1048576,MATCH(All!$A105,Fall!$A:$A,FALSE),MATCH(All!K$1,Fall!$1:$1,FALSE))),"")</f>
        <v/>
      </c>
      <c r="L105" t="str">
        <f>IFERROR(IF(INDEX(Fall!$1:$1048576,MATCH(All!$A105,Fall!$A:$A,FALSE),MATCH(All!L$1,Fall!$1:$1,FALSE))="","",INDEX(Fall!$1:$1048576,MATCH(All!$A105,Fall!$A:$A,FALSE),MATCH(All!L$1,Fall!$1:$1,FALSE))),"")</f>
        <v/>
      </c>
      <c r="M105" t="str">
        <f>IFERROR(IF(INDEX(Fall!$1:$1048576,MATCH(All!$A105,Fall!$A:$A,FALSE),MATCH(All!M$1,Fall!$1:$1,FALSE))="","",INDEX(Fall!$1:$1048576,MATCH(All!$A105,Fall!$A:$A,FALSE),MATCH(All!M$1,Fall!$1:$1,FALSE))),"")</f>
        <v>1A</v>
      </c>
      <c r="O105">
        <f>IFERROR(IF(INDEX(Winter!$1:$1048576,MATCH(All!$A105,Winter!$A:$A,FALSE),MATCH(All!O$1,Winter!$1:$1,FALSE))="","",INDEX(Winter!$1:$1048576,MATCH(All!$A105,Winter!$A:$A,FALSE),MATCH(All!O$1,Winter!$1:$1,FALSE))),"")</f>
        <v>114</v>
      </c>
      <c r="P105" t="str">
        <f>IFERROR(IF(INDEX(Winter!$1:$1048576,MATCH(All!$A105,Winter!$A:$A,FALSE),MATCH(All!P$1,Winter!$1:$1,FALSE))="","",INDEX(Winter!$1:$1048576,MATCH(All!$A105,Winter!$A:$A,FALSE),MATCH(All!P$1,Winter!$1:$1,FALSE))),"")</f>
        <v>1A</v>
      </c>
      <c r="Q105" t="str">
        <f>IFERROR(IF(INDEX(Winter!$1:$1048576,MATCH(All!$A105,Winter!$A:$A,FALSE),MATCH(All!Q$1,Winter!$1:$1,FALSE))="","",INDEX(Winter!$1:$1048576,MATCH(All!$A105,Winter!$A:$A,FALSE),MATCH(All!Q$1,Winter!$1:$1,FALSE))),"")</f>
        <v>1A</v>
      </c>
      <c r="R105" t="str">
        <f>IFERROR(IF(INDEX(Winter!$1:$1048576,MATCH(All!$A105,Winter!$A:$A,FALSE),MATCH(All!R$1,Winter!$1:$1,FALSE))="","",INDEX(Winter!$1:$1048576,MATCH(All!$A105,Winter!$A:$A,FALSE),MATCH(All!R$1,Winter!$1:$1,FALSE))),"")</f>
        <v/>
      </c>
      <c r="S105" t="str">
        <f>IFERROR(IF(INDEX(Winter!$1:$1048576,MATCH(All!$A105,Winter!$A:$A,FALSE),MATCH(All!S$1,Winter!$1:$1,FALSE))="","",INDEX(Winter!$1:$1048576,MATCH(All!$A105,Winter!$A:$A,FALSE),MATCH(All!S$1,Winter!$1:$1,FALSE))),"")</f>
        <v/>
      </c>
      <c r="T105" t="str">
        <f>IFERROR(IF(INDEX(Winter!$1:$1048576,MATCH(All!$A105,Winter!$A:$A,FALSE),MATCH(All!T$1,Winter!$1:$1,FALSE))="","",INDEX(Winter!$1:$1048576,MATCH(All!$A105,Winter!$A:$A,FALSE),MATCH(All!T$1,Winter!$1:$1,FALSE))),"")</f>
        <v>1A</v>
      </c>
      <c r="U105" t="str">
        <f>IFERROR(IF(INDEX(Winter!$1:$1048576,MATCH(All!$A105,Winter!$A:$A,FALSE),MATCH(All!U$1,Winter!$1:$1,FALSE))="","",INDEX(Winter!$1:$1048576,MATCH(All!$A105,Winter!$A:$A,FALSE),MATCH(All!U$1,Winter!$1:$1,FALSE))),"")</f>
        <v/>
      </c>
      <c r="W105">
        <f>IFERROR(IF(INDEX(Spring!$1:$1048576,MATCH(All!$A105,Spring!$A:$A,FALSE),MATCH(All!W$1,Spring!$1:$1,FALSE))="","",INDEX(Spring!$1:$1048576,MATCH(All!$A105,Spring!$A:$A,FALSE),MATCH(All!W$1,Spring!$1:$1,FALSE))),"")</f>
        <v>114</v>
      </c>
      <c r="X105" t="str">
        <f>IFERROR(IF(INDEX(Spring!$1:$1048576,MATCH(All!$A105,Spring!$A:$A,FALSE),MATCH(All!X$1,Spring!$1:$1,FALSE))="","",INDEX(Spring!$1:$1048576,MATCH(All!$A105,Spring!$A:$A,FALSE),MATCH(All!X$1,Spring!$1:$1,FALSE))),"")</f>
        <v>1A</v>
      </c>
      <c r="Y105" t="str">
        <f>IFERROR(IF(INDEX(Spring!$1:$1048576,MATCH(All!$A105,Spring!$A:$A,FALSE),MATCH(All!Y$1,Spring!$1:$1,FALSE))="","",INDEX(Spring!$1:$1048576,MATCH(All!$A105,Spring!$A:$A,FALSE),MATCH(All!Y$1,Spring!$1:$1,FALSE))),"")</f>
        <v>1A</v>
      </c>
      <c r="Z105" t="str">
        <f>IFERROR(IF(INDEX(Spring!$1:$1048576,MATCH(All!$A105,Spring!$A:$A,FALSE),MATCH(All!Z$1,Spring!$1:$1,FALSE))="","",INDEX(Spring!$1:$1048576,MATCH(All!$A105,Spring!$A:$A,FALSE),MATCH(All!Z$1,Spring!$1:$1,FALSE))),"")</f>
        <v/>
      </c>
      <c r="AA105" t="str">
        <f>IFERROR(IF(INDEX(Spring!$1:$1048576,MATCH(All!$A105,Spring!$A:$A,FALSE),MATCH(All!AA$1,Spring!$1:$1,FALSE))="","",INDEX(Spring!$1:$1048576,MATCH(All!$A105,Spring!$A:$A,FALSE),MATCH(All!AA$1,Spring!$1:$1,FALSE))),"")</f>
        <v/>
      </c>
      <c r="AB105" t="str">
        <f>IFERROR(IF(INDEX(Spring!$1:$1048576,MATCH(All!$A105,Spring!$A:$A,FALSE),MATCH(All!AB$1,Spring!$1:$1,FALSE))="","",INDEX(Spring!$1:$1048576,MATCH(All!$A105,Spring!$A:$A,FALSE),MATCH(All!AB$1,Spring!$1:$1,FALSE))),"")</f>
        <v>1A</v>
      </c>
      <c r="AC105" t="str">
        <f>IFERROR(IF(INDEX(Spring!$1:$1048576,MATCH(All!$A105,Spring!$A:$A,FALSE),MATCH(All!AC$1,Spring!$1:$1,FALSE))="","",INDEX(Spring!$1:$1048576,MATCH(All!$A105,Spring!$A:$A,FALSE),MATCH(All!AC$1,Spring!$1:$1,FALSE))),"")</f>
        <v>1A</v>
      </c>
      <c r="AD105" t="str">
        <f>IFERROR(VLOOKUP(A105,'Flag Football'!A:A,1,FALSE),"")</f>
        <v/>
      </c>
      <c r="AE105" t="str">
        <f t="shared" si="1"/>
        <v/>
      </c>
    </row>
    <row r="106" spans="1:31" ht="15.75" thickBot="1" x14ac:dyDescent="0.3">
      <c r="A106" s="20" t="s">
        <v>124</v>
      </c>
      <c r="B106" s="38">
        <f>IFERROR(VLOOKUP(A106,'Public v Private'!A:G,3,FALSE),"")</f>
        <v>0</v>
      </c>
      <c r="C106" s="38">
        <f>IFERROR(VLOOKUP(A106,'Public v Private'!A:G,4,FALSE),"")</f>
        <v>0</v>
      </c>
      <c r="D106" s="38">
        <f>IFERROR(VLOOKUP(A106,'Public v Private'!A:G,5,FALSE),"")</f>
        <v>0</v>
      </c>
      <c r="E106" s="38"/>
      <c r="F106" s="40">
        <f>IFERROR(INDEX(Fall!$1:$1048576,MATCH(All!$A106,Fall!$A:$A,FALSE),MATCH(All!F$1,Fall!$1:$1,FALSE)),"N/A")</f>
        <v>1389</v>
      </c>
      <c r="G106" t="str">
        <f>IFERROR(IF(INDEX(Fall!$1:$1048576,MATCH(All!$A106,Fall!$A:$A,FALSE),MATCH(All!G$1,Fall!$1:$1,FALSE))="","",INDEX(Fall!$1:$1048576,MATCH(All!$A106,Fall!$A:$A,FALSE),MATCH(All!G$1,Fall!$1:$1,FALSE))),"")</f>
        <v>2A</v>
      </c>
      <c r="H106" t="str">
        <f>IFERROR(IF(INDEX(Fall!$1:$1048576,MATCH(All!$A106,Fall!$A:$A,FALSE),MATCH(All!H$1,Fall!$1:$1,FALSE))="","",INDEX(Fall!$1:$1048576,MATCH(All!$A106,Fall!$A:$A,FALSE),MATCH(All!H$1,Fall!$1:$1,FALSE))),"")</f>
        <v>2A</v>
      </c>
      <c r="I106" t="str">
        <f>IFERROR(IF(INDEX(Fall!$1:$1048576,MATCH(All!$A106,Fall!$A:$A,FALSE),MATCH(All!I$1,Fall!$1:$1,FALSE))="","",INDEX(Fall!$1:$1048576,MATCH(All!$A106,Fall!$A:$A,FALSE),MATCH(All!I$1,Fall!$1:$1,FALSE))),"")</f>
        <v>2A</v>
      </c>
      <c r="J106" t="str">
        <f>IFERROR(IF(INDEX(Fall!$1:$1048576,MATCH(All!$A106,Fall!$A:$A,FALSE),MATCH(All!J$1,Fall!$1:$1,FALSE))="","",INDEX(Fall!$1:$1048576,MATCH(All!$A106,Fall!$A:$A,FALSE),MATCH(All!J$1,Fall!$1:$1,FALSE))),"")</f>
        <v>2A</v>
      </c>
      <c r="K106" t="str">
        <f>IFERROR(IF(INDEX(Fall!$1:$1048576,MATCH(All!$A106,Fall!$A:$A,FALSE),MATCH(All!K$1,Fall!$1:$1,FALSE))="","",INDEX(Fall!$1:$1048576,MATCH(All!$A106,Fall!$A:$A,FALSE),MATCH(All!K$1,Fall!$1:$1,FALSE))),"")</f>
        <v>2A</v>
      </c>
      <c r="L106" t="str">
        <f>IFERROR(IF(INDEX(Fall!$1:$1048576,MATCH(All!$A106,Fall!$A:$A,FALSE),MATCH(All!L$1,Fall!$1:$1,FALSE))="","",INDEX(Fall!$1:$1048576,MATCH(All!$A106,Fall!$A:$A,FALSE),MATCH(All!L$1,Fall!$1:$1,FALSE))),"")</f>
        <v>1A</v>
      </c>
      <c r="M106" t="str">
        <f>IFERROR(IF(INDEX(Fall!$1:$1048576,MATCH(All!$A106,Fall!$A:$A,FALSE),MATCH(All!M$1,Fall!$1:$1,FALSE))="","",INDEX(Fall!$1:$1048576,MATCH(All!$A106,Fall!$A:$A,FALSE),MATCH(All!M$1,Fall!$1:$1,FALSE))),"")</f>
        <v>3A</v>
      </c>
      <c r="O106">
        <f>IFERROR(IF(INDEX(Winter!$1:$1048576,MATCH(All!$A106,Winter!$A:$A,FALSE),MATCH(All!O$1,Winter!$1:$1,FALSE))="","",INDEX(Winter!$1:$1048576,MATCH(All!$A106,Winter!$A:$A,FALSE),MATCH(All!O$1,Winter!$1:$1,FALSE))),"")</f>
        <v>1389</v>
      </c>
      <c r="P106" t="str">
        <f>IFERROR(IF(INDEX(Winter!$1:$1048576,MATCH(All!$A106,Winter!$A:$A,FALSE),MATCH(All!P$1,Winter!$1:$1,FALSE))="","",INDEX(Winter!$1:$1048576,MATCH(All!$A106,Winter!$A:$A,FALSE),MATCH(All!P$1,Winter!$1:$1,FALSE))),"")</f>
        <v>3A</v>
      </c>
      <c r="Q106" t="str">
        <f>IFERROR(IF(INDEX(Winter!$1:$1048576,MATCH(All!$A106,Winter!$A:$A,FALSE),MATCH(All!Q$1,Winter!$1:$1,FALSE))="","",INDEX(Winter!$1:$1048576,MATCH(All!$A106,Winter!$A:$A,FALSE),MATCH(All!Q$1,Winter!$1:$1,FALSE))),"")</f>
        <v>3A</v>
      </c>
      <c r="R106" t="str">
        <f>IFERROR(IF(INDEX(Winter!$1:$1048576,MATCH(All!$A106,Winter!$A:$A,FALSE),MATCH(All!R$1,Winter!$1:$1,FALSE))="","",INDEX(Winter!$1:$1048576,MATCH(All!$A106,Winter!$A:$A,FALSE),MATCH(All!R$1,Winter!$1:$1,FALSE))),"")</f>
        <v>2A</v>
      </c>
      <c r="S106" t="str">
        <f>IFERROR(IF(INDEX(Winter!$1:$1048576,MATCH(All!$A106,Winter!$A:$A,FALSE),MATCH(All!S$1,Winter!$1:$1,FALSE))="","",INDEX(Winter!$1:$1048576,MATCH(All!$A106,Winter!$A:$A,FALSE),MATCH(All!S$1,Winter!$1:$1,FALSE))),"")</f>
        <v>2A</v>
      </c>
      <c r="T106" t="str">
        <f>IFERROR(IF(INDEX(Winter!$1:$1048576,MATCH(All!$A106,Winter!$A:$A,FALSE),MATCH(All!T$1,Winter!$1:$1,FALSE))="","",INDEX(Winter!$1:$1048576,MATCH(All!$A106,Winter!$A:$A,FALSE),MATCH(All!T$1,Winter!$1:$1,FALSE))),"")</f>
        <v>2A</v>
      </c>
      <c r="U106" t="str">
        <f>IFERROR(IF(INDEX(Winter!$1:$1048576,MATCH(All!$A106,Winter!$A:$A,FALSE),MATCH(All!U$1,Winter!$1:$1,FALSE))="","",INDEX(Winter!$1:$1048576,MATCH(All!$A106,Winter!$A:$A,FALSE),MATCH(All!U$1,Winter!$1:$1,FALSE))),"")</f>
        <v>2A</v>
      </c>
      <c r="W106">
        <f>IFERROR(IF(INDEX(Spring!$1:$1048576,MATCH(All!$A106,Spring!$A:$A,FALSE),MATCH(All!W$1,Spring!$1:$1,FALSE))="","",INDEX(Spring!$1:$1048576,MATCH(All!$A106,Spring!$A:$A,FALSE),MATCH(All!W$1,Spring!$1:$1,FALSE))),"")</f>
        <v>1389</v>
      </c>
      <c r="X106" t="str">
        <f>IFERROR(IF(INDEX(Spring!$1:$1048576,MATCH(All!$A106,Spring!$A:$A,FALSE),MATCH(All!X$1,Spring!$1:$1,FALSE))="","",INDEX(Spring!$1:$1048576,MATCH(All!$A106,Spring!$A:$A,FALSE),MATCH(All!X$1,Spring!$1:$1,FALSE))),"")</f>
        <v>3A</v>
      </c>
      <c r="Y106" t="str">
        <f>IFERROR(IF(INDEX(Spring!$1:$1048576,MATCH(All!$A106,Spring!$A:$A,FALSE),MATCH(All!Y$1,Spring!$1:$1,FALSE))="","",INDEX(Spring!$1:$1048576,MATCH(All!$A106,Spring!$A:$A,FALSE),MATCH(All!Y$1,Spring!$1:$1,FALSE))),"")</f>
        <v>3A</v>
      </c>
      <c r="Z106" t="str">
        <f>IFERROR(IF(INDEX(Spring!$1:$1048576,MATCH(All!$A106,Spring!$A:$A,FALSE),MATCH(All!Z$1,Spring!$1:$1,FALSE))="","",INDEX(Spring!$1:$1048576,MATCH(All!$A106,Spring!$A:$A,FALSE),MATCH(All!Z$1,Spring!$1:$1,FALSE))),"")</f>
        <v>2A</v>
      </c>
      <c r="AA106" t="str">
        <f>IFERROR(IF(INDEX(Spring!$1:$1048576,MATCH(All!$A106,Spring!$A:$A,FALSE),MATCH(All!AA$1,Spring!$1:$1,FALSE))="","",INDEX(Spring!$1:$1048576,MATCH(All!$A106,Spring!$A:$A,FALSE),MATCH(All!AA$1,Spring!$1:$1,FALSE))),"")</f>
        <v>1A</v>
      </c>
      <c r="AB106" t="str">
        <f>IFERROR(IF(INDEX(Spring!$1:$1048576,MATCH(All!$A106,Spring!$A:$A,FALSE),MATCH(All!AB$1,Spring!$1:$1,FALSE))="","",INDEX(Spring!$1:$1048576,MATCH(All!$A106,Spring!$A:$A,FALSE),MATCH(All!AB$1,Spring!$1:$1,FALSE))),"")</f>
        <v>3A</v>
      </c>
      <c r="AC106" t="str">
        <f>IFERROR(IF(INDEX(Spring!$1:$1048576,MATCH(All!$A106,Spring!$A:$A,FALSE),MATCH(All!AC$1,Spring!$1:$1,FALSE))="","",INDEX(Spring!$1:$1048576,MATCH(All!$A106,Spring!$A:$A,FALSE),MATCH(All!AC$1,Spring!$1:$1,FALSE))),"")</f>
        <v>3A</v>
      </c>
      <c r="AD106" t="str">
        <f>IFERROR(VLOOKUP(A106,'Flag Football'!A:A,1,FALSE),"")</f>
        <v>Champaign (Centennial)</v>
      </c>
      <c r="AE106" t="str">
        <f t="shared" si="1"/>
        <v>1A</v>
      </c>
    </row>
    <row r="107" spans="1:31" ht="15.75" thickBot="1" x14ac:dyDescent="0.3">
      <c r="A107" s="18" t="s">
        <v>125</v>
      </c>
      <c r="B107" s="38">
        <f>IFERROR(VLOOKUP(A107,'Public v Private'!A:G,3,FALSE),"")</f>
        <v>0</v>
      </c>
      <c r="C107" s="38">
        <f>IFERROR(VLOOKUP(A107,'Public v Private'!A:G,4,FALSE),"")</f>
        <v>0</v>
      </c>
      <c r="D107" s="38">
        <f>IFERROR(VLOOKUP(A107,'Public v Private'!A:G,5,FALSE),"")</f>
        <v>0</v>
      </c>
      <c r="E107" s="38"/>
      <c r="F107" s="40">
        <f>IFERROR(INDEX(Fall!$1:$1048576,MATCH(All!$A107,Fall!$A:$A,FALSE),MATCH(All!F$1,Fall!$1:$1,FALSE)),"N/A")</f>
        <v>1598</v>
      </c>
      <c r="G107" t="str">
        <f>IFERROR(IF(INDEX(Fall!$1:$1048576,MATCH(All!$A107,Fall!$A:$A,FALSE),MATCH(All!G$1,Fall!$1:$1,FALSE))="","",INDEX(Fall!$1:$1048576,MATCH(All!$A107,Fall!$A:$A,FALSE),MATCH(All!G$1,Fall!$1:$1,FALSE))),"")</f>
        <v>3A</v>
      </c>
      <c r="H107" t="str">
        <f>IFERROR(IF(INDEX(Fall!$1:$1048576,MATCH(All!$A107,Fall!$A:$A,FALSE),MATCH(All!H$1,Fall!$1:$1,FALSE))="","",INDEX(Fall!$1:$1048576,MATCH(All!$A107,Fall!$A:$A,FALSE),MATCH(All!H$1,Fall!$1:$1,FALSE))),"")</f>
        <v>3A</v>
      </c>
      <c r="I107" t="str">
        <f>IFERROR(IF(INDEX(Fall!$1:$1048576,MATCH(All!$A107,Fall!$A:$A,FALSE),MATCH(All!I$1,Fall!$1:$1,FALSE))="","",INDEX(Fall!$1:$1048576,MATCH(All!$A107,Fall!$A:$A,FALSE),MATCH(All!I$1,Fall!$1:$1,FALSE))),"")</f>
        <v>3A</v>
      </c>
      <c r="J107" t="str">
        <f>IFERROR(IF(INDEX(Fall!$1:$1048576,MATCH(All!$A107,Fall!$A:$A,FALSE),MATCH(All!J$1,Fall!$1:$1,FALSE))="","",INDEX(Fall!$1:$1048576,MATCH(All!$A107,Fall!$A:$A,FALSE),MATCH(All!J$1,Fall!$1:$1,FALSE))),"")</f>
        <v>2A</v>
      </c>
      <c r="K107" t="str">
        <f>IFERROR(IF(INDEX(Fall!$1:$1048576,MATCH(All!$A107,Fall!$A:$A,FALSE),MATCH(All!K$1,Fall!$1:$1,FALSE))="","",INDEX(Fall!$1:$1048576,MATCH(All!$A107,Fall!$A:$A,FALSE),MATCH(All!K$1,Fall!$1:$1,FALSE))),"")</f>
        <v>2A</v>
      </c>
      <c r="L107" t="str">
        <f>IFERROR(IF(INDEX(Fall!$1:$1048576,MATCH(All!$A107,Fall!$A:$A,FALSE),MATCH(All!L$1,Fall!$1:$1,FALSE))="","",INDEX(Fall!$1:$1048576,MATCH(All!$A107,Fall!$A:$A,FALSE),MATCH(All!L$1,Fall!$1:$1,FALSE))),"")</f>
        <v>2A</v>
      </c>
      <c r="M107" t="str">
        <f>IFERROR(IF(INDEX(Fall!$1:$1048576,MATCH(All!$A107,Fall!$A:$A,FALSE),MATCH(All!M$1,Fall!$1:$1,FALSE))="","",INDEX(Fall!$1:$1048576,MATCH(All!$A107,Fall!$A:$A,FALSE),MATCH(All!M$1,Fall!$1:$1,FALSE))),"")</f>
        <v>3A</v>
      </c>
      <c r="O107">
        <f>IFERROR(IF(INDEX(Winter!$1:$1048576,MATCH(All!$A107,Winter!$A:$A,FALSE),MATCH(All!O$1,Winter!$1:$1,FALSE))="","",INDEX(Winter!$1:$1048576,MATCH(All!$A107,Winter!$A:$A,FALSE),MATCH(All!O$1,Winter!$1:$1,FALSE))),"")</f>
        <v>1598</v>
      </c>
      <c r="P107" t="str">
        <f>IFERROR(IF(INDEX(Winter!$1:$1048576,MATCH(All!$A107,Winter!$A:$A,FALSE),MATCH(All!P$1,Winter!$1:$1,FALSE))="","",INDEX(Winter!$1:$1048576,MATCH(All!$A107,Winter!$A:$A,FALSE),MATCH(All!P$1,Winter!$1:$1,FALSE))),"")</f>
        <v>3A</v>
      </c>
      <c r="Q107" t="str">
        <f>IFERROR(IF(INDEX(Winter!$1:$1048576,MATCH(All!$A107,Winter!$A:$A,FALSE),MATCH(All!Q$1,Winter!$1:$1,FALSE))="","",INDEX(Winter!$1:$1048576,MATCH(All!$A107,Winter!$A:$A,FALSE),MATCH(All!Q$1,Winter!$1:$1,FALSE))),"")</f>
        <v>3A</v>
      </c>
      <c r="R107" t="str">
        <f>IFERROR(IF(INDEX(Winter!$1:$1048576,MATCH(All!$A107,Winter!$A:$A,FALSE),MATCH(All!R$1,Winter!$1:$1,FALSE))="","",INDEX(Winter!$1:$1048576,MATCH(All!$A107,Winter!$A:$A,FALSE),MATCH(All!R$1,Winter!$1:$1,FALSE))),"")</f>
        <v>2A</v>
      </c>
      <c r="S107" t="str">
        <f>IFERROR(IF(INDEX(Winter!$1:$1048576,MATCH(All!$A107,Winter!$A:$A,FALSE),MATCH(All!S$1,Winter!$1:$1,FALSE))="","",INDEX(Winter!$1:$1048576,MATCH(All!$A107,Winter!$A:$A,FALSE),MATCH(All!S$1,Winter!$1:$1,FALSE))),"")</f>
        <v>2A</v>
      </c>
      <c r="T107" t="str">
        <f>IFERROR(IF(INDEX(Winter!$1:$1048576,MATCH(All!$A107,Winter!$A:$A,FALSE),MATCH(All!T$1,Winter!$1:$1,FALSE))="","",INDEX(Winter!$1:$1048576,MATCH(All!$A107,Winter!$A:$A,FALSE),MATCH(All!T$1,Winter!$1:$1,FALSE))),"")</f>
        <v>2A</v>
      </c>
      <c r="U107" t="str">
        <f>IFERROR(IF(INDEX(Winter!$1:$1048576,MATCH(All!$A107,Winter!$A:$A,FALSE),MATCH(All!U$1,Winter!$1:$1,FALSE))="","",INDEX(Winter!$1:$1048576,MATCH(All!$A107,Winter!$A:$A,FALSE),MATCH(All!U$1,Winter!$1:$1,FALSE))),"")</f>
        <v>2A</v>
      </c>
      <c r="W107">
        <f>IFERROR(IF(INDEX(Spring!$1:$1048576,MATCH(All!$A107,Spring!$A:$A,FALSE),MATCH(All!W$1,Spring!$1:$1,FALSE))="","",INDEX(Spring!$1:$1048576,MATCH(All!$A107,Spring!$A:$A,FALSE),MATCH(All!W$1,Spring!$1:$1,FALSE))),"")</f>
        <v>1598</v>
      </c>
      <c r="X107" t="str">
        <f>IFERROR(IF(INDEX(Spring!$1:$1048576,MATCH(All!$A107,Spring!$A:$A,FALSE),MATCH(All!X$1,Spring!$1:$1,FALSE))="","",INDEX(Spring!$1:$1048576,MATCH(All!$A107,Spring!$A:$A,FALSE),MATCH(All!X$1,Spring!$1:$1,FALSE))),"")</f>
        <v>3A</v>
      </c>
      <c r="Y107" t="str">
        <f>IFERROR(IF(INDEX(Spring!$1:$1048576,MATCH(All!$A107,Spring!$A:$A,FALSE),MATCH(All!Y$1,Spring!$1:$1,FALSE))="","",INDEX(Spring!$1:$1048576,MATCH(All!$A107,Spring!$A:$A,FALSE),MATCH(All!Y$1,Spring!$1:$1,FALSE))),"")</f>
        <v>3A</v>
      </c>
      <c r="Z107" t="str">
        <f>IFERROR(IF(INDEX(Spring!$1:$1048576,MATCH(All!$A107,Spring!$A:$A,FALSE),MATCH(All!Z$1,Spring!$1:$1,FALSE))="","",INDEX(Spring!$1:$1048576,MATCH(All!$A107,Spring!$A:$A,FALSE),MATCH(All!Z$1,Spring!$1:$1,FALSE))),"")</f>
        <v>2A</v>
      </c>
      <c r="AA107" t="str">
        <f>IFERROR(IF(INDEX(Spring!$1:$1048576,MATCH(All!$A107,Spring!$A:$A,FALSE),MATCH(All!AA$1,Spring!$1:$1,FALSE))="","",INDEX(Spring!$1:$1048576,MATCH(All!$A107,Spring!$A:$A,FALSE),MATCH(All!AA$1,Spring!$1:$1,FALSE))),"")</f>
        <v>2A</v>
      </c>
      <c r="AB107" t="str">
        <f>IFERROR(IF(INDEX(Spring!$1:$1048576,MATCH(All!$A107,Spring!$A:$A,FALSE),MATCH(All!AB$1,Spring!$1:$1,FALSE))="","",INDEX(Spring!$1:$1048576,MATCH(All!$A107,Spring!$A:$A,FALSE),MATCH(All!AB$1,Spring!$1:$1,FALSE))),"")</f>
        <v>3A</v>
      </c>
      <c r="AC107" t="str">
        <f>IFERROR(IF(INDEX(Spring!$1:$1048576,MATCH(All!$A107,Spring!$A:$A,FALSE),MATCH(All!AC$1,Spring!$1:$1,FALSE))="","",INDEX(Spring!$1:$1048576,MATCH(All!$A107,Spring!$A:$A,FALSE),MATCH(All!AC$1,Spring!$1:$1,FALSE))),"")</f>
        <v>3A</v>
      </c>
      <c r="AD107" t="str">
        <f>IFERROR(VLOOKUP(A107,'Flag Football'!A:A,1,FALSE),"")</f>
        <v>Champaign (Central)</v>
      </c>
      <c r="AE107" t="str">
        <f t="shared" si="1"/>
        <v>1A</v>
      </c>
    </row>
    <row r="108" spans="1:31" ht="15.75" thickBot="1" x14ac:dyDescent="0.3">
      <c r="A108" s="20" t="s">
        <v>126</v>
      </c>
      <c r="B108" s="38" t="str">
        <f>IFERROR(VLOOKUP(A108,'Public v Private'!A:G,3,FALSE),"")</f>
        <v>private</v>
      </c>
      <c r="C108" s="38">
        <f>IFERROR(VLOOKUP(A108,'Public v Private'!A:G,4,FALSE),"")</f>
        <v>5</v>
      </c>
      <c r="D108" s="38">
        <f>IFERROR(VLOOKUP(A108,'Public v Private'!A:G,5,FALSE),"")</f>
        <v>13</v>
      </c>
      <c r="E108" s="38"/>
      <c r="F108" s="40" t="str">
        <f>IFERROR(INDEX(Fall!$1:$1048576,MATCH(All!$A108,Fall!$A:$A,FALSE),MATCH(All!F$1,Fall!$1:$1,FALSE)),"N/A")</f>
        <v>76.00 (125.40)</v>
      </c>
      <c r="G108" t="str">
        <f>IFERROR(IF(INDEX(Fall!$1:$1048576,MATCH(All!$A108,Fall!$A:$A,FALSE),MATCH(All!G$1,Fall!$1:$1,FALSE))="","",INDEX(Fall!$1:$1048576,MATCH(All!$A108,Fall!$A:$A,FALSE),MATCH(All!G$1,Fall!$1:$1,FALSE))),"")</f>
        <v/>
      </c>
      <c r="H108" t="str">
        <f>IFERROR(IF(INDEX(Fall!$1:$1048576,MATCH(All!$A108,Fall!$A:$A,FALSE),MATCH(All!H$1,Fall!$1:$1,FALSE))="","",INDEX(Fall!$1:$1048576,MATCH(All!$A108,Fall!$A:$A,FALSE),MATCH(All!H$1,Fall!$1:$1,FALSE))),"")</f>
        <v/>
      </c>
      <c r="I108" t="str">
        <f>IFERROR(IF(INDEX(Fall!$1:$1048576,MATCH(All!$A108,Fall!$A:$A,FALSE),MATCH(All!I$1,Fall!$1:$1,FALSE))="","",INDEX(Fall!$1:$1048576,MATCH(All!$A108,Fall!$A:$A,FALSE),MATCH(All!I$1,Fall!$1:$1,FALSE))),"")</f>
        <v/>
      </c>
      <c r="J108" t="str">
        <f>IFERROR(IF(INDEX(Fall!$1:$1048576,MATCH(All!$A108,Fall!$A:$A,FALSE),MATCH(All!J$1,Fall!$1:$1,FALSE))="","",INDEX(Fall!$1:$1048576,MATCH(All!$A108,Fall!$A:$A,FALSE),MATCH(All!J$1,Fall!$1:$1,FALSE))),"")</f>
        <v/>
      </c>
      <c r="K108" t="str">
        <f>IFERROR(IF(INDEX(Fall!$1:$1048576,MATCH(All!$A108,Fall!$A:$A,FALSE),MATCH(All!K$1,Fall!$1:$1,FALSE))="","",INDEX(Fall!$1:$1048576,MATCH(All!$A108,Fall!$A:$A,FALSE),MATCH(All!K$1,Fall!$1:$1,FALSE))),"")</f>
        <v>1A</v>
      </c>
      <c r="L108" t="str">
        <f>IFERROR(IF(INDEX(Fall!$1:$1048576,MATCH(All!$A108,Fall!$A:$A,FALSE),MATCH(All!L$1,Fall!$1:$1,FALSE))="","",INDEX(Fall!$1:$1048576,MATCH(All!$A108,Fall!$A:$A,FALSE),MATCH(All!L$1,Fall!$1:$1,FALSE))),"")</f>
        <v/>
      </c>
      <c r="M108" t="str">
        <f>IFERROR(IF(INDEX(Fall!$1:$1048576,MATCH(All!$A108,Fall!$A:$A,FALSE),MATCH(All!M$1,Fall!$1:$1,FALSE))="","",INDEX(Fall!$1:$1048576,MATCH(All!$A108,Fall!$A:$A,FALSE),MATCH(All!M$1,Fall!$1:$1,FALSE))),"")</f>
        <v>1A</v>
      </c>
      <c r="O108" t="str">
        <f>IFERROR(IF(INDEX(Winter!$1:$1048576,MATCH(All!$A108,Winter!$A:$A,FALSE),MATCH(All!O$1,Winter!$1:$1,FALSE))="","",INDEX(Winter!$1:$1048576,MATCH(All!$A108,Winter!$A:$A,FALSE),MATCH(All!O$1,Winter!$1:$1,FALSE))),"")</f>
        <v>76.00 (125.40)</v>
      </c>
      <c r="P108" t="str">
        <f>IFERROR(IF(INDEX(Winter!$1:$1048576,MATCH(All!$A108,Winter!$A:$A,FALSE),MATCH(All!P$1,Winter!$1:$1,FALSE))="","",INDEX(Winter!$1:$1048576,MATCH(All!$A108,Winter!$A:$A,FALSE),MATCH(All!P$1,Winter!$1:$1,FALSE))),"")</f>
        <v>1A</v>
      </c>
      <c r="Q108" t="str">
        <f>IFERROR(IF(INDEX(Winter!$1:$1048576,MATCH(All!$A108,Winter!$A:$A,FALSE),MATCH(All!Q$1,Winter!$1:$1,FALSE))="","",INDEX(Winter!$1:$1048576,MATCH(All!$A108,Winter!$A:$A,FALSE),MATCH(All!Q$1,Winter!$1:$1,FALSE))),"")</f>
        <v>1A</v>
      </c>
      <c r="R108" t="str">
        <f>IFERROR(IF(INDEX(Winter!$1:$1048576,MATCH(All!$A108,Winter!$A:$A,FALSE),MATCH(All!R$1,Winter!$1:$1,FALSE))="","",INDEX(Winter!$1:$1048576,MATCH(All!$A108,Winter!$A:$A,FALSE),MATCH(All!R$1,Winter!$1:$1,FALSE))),"")</f>
        <v/>
      </c>
      <c r="S108" t="str">
        <f>IFERROR(IF(INDEX(Winter!$1:$1048576,MATCH(All!$A108,Winter!$A:$A,FALSE),MATCH(All!S$1,Winter!$1:$1,FALSE))="","",INDEX(Winter!$1:$1048576,MATCH(All!$A108,Winter!$A:$A,FALSE),MATCH(All!S$1,Winter!$1:$1,FALSE))),"")</f>
        <v/>
      </c>
      <c r="T108" t="str">
        <f>IFERROR(IF(INDEX(Winter!$1:$1048576,MATCH(All!$A108,Winter!$A:$A,FALSE),MATCH(All!T$1,Winter!$1:$1,FALSE))="","",INDEX(Winter!$1:$1048576,MATCH(All!$A108,Winter!$A:$A,FALSE),MATCH(All!T$1,Winter!$1:$1,FALSE))),"")</f>
        <v/>
      </c>
      <c r="U108" t="str">
        <f>IFERROR(IF(INDEX(Winter!$1:$1048576,MATCH(All!$A108,Winter!$A:$A,FALSE),MATCH(All!U$1,Winter!$1:$1,FALSE))="","",INDEX(Winter!$1:$1048576,MATCH(All!$A108,Winter!$A:$A,FALSE),MATCH(All!U$1,Winter!$1:$1,FALSE))),"")</f>
        <v/>
      </c>
      <c r="W108" t="str">
        <f>IFERROR(IF(INDEX(Spring!$1:$1048576,MATCH(All!$A108,Spring!$A:$A,FALSE),MATCH(All!W$1,Spring!$1:$1,FALSE))="","",INDEX(Spring!$1:$1048576,MATCH(All!$A108,Spring!$A:$A,FALSE),MATCH(All!W$1,Spring!$1:$1,FALSE))),"")</f>
        <v>76.00 (125.40)</v>
      </c>
      <c r="X108" t="str">
        <f>IFERROR(IF(INDEX(Spring!$1:$1048576,MATCH(All!$A108,Spring!$A:$A,FALSE),MATCH(All!X$1,Spring!$1:$1,FALSE))="","",INDEX(Spring!$1:$1048576,MATCH(All!$A108,Spring!$A:$A,FALSE),MATCH(All!X$1,Spring!$1:$1,FALSE))),"")</f>
        <v/>
      </c>
      <c r="Y108" t="str">
        <f>IFERROR(IF(INDEX(Spring!$1:$1048576,MATCH(All!$A108,Spring!$A:$A,FALSE),MATCH(All!Y$1,Spring!$1:$1,FALSE))="","",INDEX(Spring!$1:$1048576,MATCH(All!$A108,Spring!$A:$A,FALSE),MATCH(All!Y$1,Spring!$1:$1,FALSE))),"")</f>
        <v/>
      </c>
      <c r="Z108" t="str">
        <f>IFERROR(IF(INDEX(Spring!$1:$1048576,MATCH(All!$A108,Spring!$A:$A,FALSE),MATCH(All!Z$1,Spring!$1:$1,FALSE))="","",INDEX(Spring!$1:$1048576,MATCH(All!$A108,Spring!$A:$A,FALSE),MATCH(All!Z$1,Spring!$1:$1,FALSE))),"")</f>
        <v/>
      </c>
      <c r="AA108" t="str">
        <f>IFERROR(IF(INDEX(Spring!$1:$1048576,MATCH(All!$A108,Spring!$A:$A,FALSE),MATCH(All!AA$1,Spring!$1:$1,FALSE))="","",INDEX(Spring!$1:$1048576,MATCH(All!$A108,Spring!$A:$A,FALSE),MATCH(All!AA$1,Spring!$1:$1,FALSE))),"")</f>
        <v/>
      </c>
      <c r="AB108" t="str">
        <f>IFERROR(IF(INDEX(Spring!$1:$1048576,MATCH(All!$A108,Spring!$A:$A,FALSE),MATCH(All!AB$1,Spring!$1:$1,FALSE))="","",INDEX(Spring!$1:$1048576,MATCH(All!$A108,Spring!$A:$A,FALSE),MATCH(All!AB$1,Spring!$1:$1,FALSE))),"")</f>
        <v>1A</v>
      </c>
      <c r="AC108" t="str">
        <f>IFERROR(IF(INDEX(Spring!$1:$1048576,MATCH(All!$A108,Spring!$A:$A,FALSE),MATCH(All!AC$1,Spring!$1:$1,FALSE))="","",INDEX(Spring!$1:$1048576,MATCH(All!$A108,Spring!$A:$A,FALSE),MATCH(All!AC$1,Spring!$1:$1,FALSE))),"")</f>
        <v>1A</v>
      </c>
      <c r="AD108" t="str">
        <f>IFERROR(VLOOKUP(A108,'Flag Football'!A:A,1,FALSE),"")</f>
        <v/>
      </c>
      <c r="AE108" t="str">
        <f t="shared" si="1"/>
        <v/>
      </c>
    </row>
    <row r="109" spans="1:31" ht="15.75" thickBot="1" x14ac:dyDescent="0.3">
      <c r="A109" s="18" t="s">
        <v>128</v>
      </c>
      <c r="B109" s="38" t="str">
        <f>IFERROR(VLOOKUP(A109,'Public v Private'!A:G,3,FALSE),"")</f>
        <v>private</v>
      </c>
      <c r="C109" s="38">
        <f>IFERROR(VLOOKUP(A109,'Public v Private'!A:G,4,FALSE),"")</f>
        <v>5</v>
      </c>
      <c r="D109" s="38">
        <f>IFERROR(VLOOKUP(A109,'Public v Private'!A:G,5,FALSE),"")</f>
        <v>13</v>
      </c>
      <c r="E109" s="38"/>
      <c r="F109" s="40" t="str">
        <f>IFERROR(INDEX(Fall!$1:$1048576,MATCH(All!$A109,Fall!$A:$A,FALSE),MATCH(All!F$1,Fall!$1:$1,FALSE)),"N/A")</f>
        <v>191.00 (315.15)</v>
      </c>
      <c r="G109" t="str">
        <f>IFERROR(IF(INDEX(Fall!$1:$1048576,MATCH(All!$A109,Fall!$A:$A,FALSE),MATCH(All!G$1,Fall!$1:$1,FALSE))="","",INDEX(Fall!$1:$1048576,MATCH(All!$A109,Fall!$A:$A,FALSE),MATCH(All!G$1,Fall!$1:$1,FALSE))),"")</f>
        <v>1A</v>
      </c>
      <c r="H109" t="str">
        <f>IFERROR(IF(INDEX(Fall!$1:$1048576,MATCH(All!$A109,Fall!$A:$A,FALSE),MATCH(All!H$1,Fall!$1:$1,FALSE))="","",INDEX(Fall!$1:$1048576,MATCH(All!$A109,Fall!$A:$A,FALSE),MATCH(All!H$1,Fall!$1:$1,FALSE))),"")</f>
        <v>1A</v>
      </c>
      <c r="I109" t="str">
        <f>IFERROR(IF(INDEX(Fall!$1:$1048576,MATCH(All!$A109,Fall!$A:$A,FALSE),MATCH(All!I$1,Fall!$1:$1,FALSE))="","",INDEX(Fall!$1:$1048576,MATCH(All!$A109,Fall!$A:$A,FALSE),MATCH(All!I$1,Fall!$1:$1,FALSE))),"")</f>
        <v>1A</v>
      </c>
      <c r="J109" t="str">
        <f>IFERROR(IF(INDEX(Fall!$1:$1048576,MATCH(All!$A109,Fall!$A:$A,FALSE),MATCH(All!J$1,Fall!$1:$1,FALSE))="","",INDEX(Fall!$1:$1048576,MATCH(All!$A109,Fall!$A:$A,FALSE),MATCH(All!J$1,Fall!$1:$1,FALSE))),"")</f>
        <v>1A</v>
      </c>
      <c r="K109" t="str">
        <f>IFERROR(IF(INDEX(Fall!$1:$1048576,MATCH(All!$A109,Fall!$A:$A,FALSE),MATCH(All!K$1,Fall!$1:$1,FALSE))="","",INDEX(Fall!$1:$1048576,MATCH(All!$A109,Fall!$A:$A,FALSE),MATCH(All!K$1,Fall!$1:$1,FALSE))),"")</f>
        <v>1A</v>
      </c>
      <c r="L109" t="str">
        <f>IFERROR(IF(INDEX(Fall!$1:$1048576,MATCH(All!$A109,Fall!$A:$A,FALSE),MATCH(All!L$1,Fall!$1:$1,FALSE))="","",INDEX(Fall!$1:$1048576,MATCH(All!$A109,Fall!$A:$A,FALSE),MATCH(All!L$1,Fall!$1:$1,FALSE))),"")</f>
        <v>1A</v>
      </c>
      <c r="M109" t="str">
        <f>IFERROR(IF(INDEX(Fall!$1:$1048576,MATCH(All!$A109,Fall!$A:$A,FALSE),MATCH(All!M$1,Fall!$1:$1,FALSE))="","",INDEX(Fall!$1:$1048576,MATCH(All!$A109,Fall!$A:$A,FALSE),MATCH(All!M$1,Fall!$1:$1,FALSE))),"")</f>
        <v>2A</v>
      </c>
      <c r="O109" t="str">
        <f>IFERROR(IF(INDEX(Winter!$1:$1048576,MATCH(All!$A109,Winter!$A:$A,FALSE),MATCH(All!O$1,Winter!$1:$1,FALSE))="","",INDEX(Winter!$1:$1048576,MATCH(All!$A109,Winter!$A:$A,FALSE),MATCH(All!O$1,Winter!$1:$1,FALSE))),"")</f>
        <v>191.00 (315.15)</v>
      </c>
      <c r="P109" t="str">
        <f>IFERROR(IF(INDEX(Winter!$1:$1048576,MATCH(All!$A109,Winter!$A:$A,FALSE),MATCH(All!P$1,Winter!$1:$1,FALSE))="","",INDEX(Winter!$1:$1048576,MATCH(All!$A109,Winter!$A:$A,FALSE),MATCH(All!P$1,Winter!$1:$1,FALSE))),"")</f>
        <v>1A</v>
      </c>
      <c r="Q109" t="str">
        <f>IFERROR(IF(INDEX(Winter!$1:$1048576,MATCH(All!$A109,Winter!$A:$A,FALSE),MATCH(All!Q$1,Winter!$1:$1,FALSE))="","",INDEX(Winter!$1:$1048576,MATCH(All!$A109,Winter!$A:$A,FALSE),MATCH(All!Q$1,Winter!$1:$1,FALSE))),"")</f>
        <v>2A</v>
      </c>
      <c r="R109" t="str">
        <f>IFERROR(IF(INDEX(Winter!$1:$1048576,MATCH(All!$A109,Winter!$A:$A,FALSE),MATCH(All!R$1,Winter!$1:$1,FALSE))="","",INDEX(Winter!$1:$1048576,MATCH(All!$A109,Winter!$A:$A,FALSE),MATCH(All!R$1,Winter!$1:$1,FALSE))),"")</f>
        <v>1A</v>
      </c>
      <c r="S109" t="str">
        <f>IFERROR(IF(INDEX(Winter!$1:$1048576,MATCH(All!$A109,Winter!$A:$A,FALSE),MATCH(All!S$1,Winter!$1:$1,FALSE))="","",INDEX(Winter!$1:$1048576,MATCH(All!$A109,Winter!$A:$A,FALSE),MATCH(All!S$1,Winter!$1:$1,FALSE))),"")</f>
        <v/>
      </c>
      <c r="T109" t="str">
        <f>IFERROR(IF(INDEX(Winter!$1:$1048576,MATCH(All!$A109,Winter!$A:$A,FALSE),MATCH(All!T$1,Winter!$1:$1,FALSE))="","",INDEX(Winter!$1:$1048576,MATCH(All!$A109,Winter!$A:$A,FALSE),MATCH(All!T$1,Winter!$1:$1,FALSE))),"")</f>
        <v>1A</v>
      </c>
      <c r="U109" t="str">
        <f>IFERROR(IF(INDEX(Winter!$1:$1048576,MATCH(All!$A109,Winter!$A:$A,FALSE),MATCH(All!U$1,Winter!$1:$1,FALSE))="","",INDEX(Winter!$1:$1048576,MATCH(All!$A109,Winter!$A:$A,FALSE),MATCH(All!U$1,Winter!$1:$1,FALSE))),"")</f>
        <v>1A</v>
      </c>
      <c r="W109" t="str">
        <f>IFERROR(IF(INDEX(Spring!$1:$1048576,MATCH(All!$A109,Spring!$A:$A,FALSE),MATCH(All!W$1,Spring!$1:$1,FALSE))="","",INDEX(Spring!$1:$1048576,MATCH(All!$A109,Spring!$A:$A,FALSE),MATCH(All!W$1,Spring!$1:$1,FALSE))),"")</f>
        <v>191.00 (315.15)</v>
      </c>
      <c r="X109" t="str">
        <f>IFERROR(IF(INDEX(Spring!$1:$1048576,MATCH(All!$A109,Spring!$A:$A,FALSE),MATCH(All!X$1,Spring!$1:$1,FALSE))="","",INDEX(Spring!$1:$1048576,MATCH(All!$A109,Spring!$A:$A,FALSE),MATCH(All!X$1,Spring!$1:$1,FALSE))),"")</f>
        <v>2A</v>
      </c>
      <c r="Y109" t="str">
        <f>IFERROR(IF(INDEX(Spring!$1:$1048576,MATCH(All!$A109,Spring!$A:$A,FALSE),MATCH(All!Y$1,Spring!$1:$1,FALSE))="","",INDEX(Spring!$1:$1048576,MATCH(All!$A109,Spring!$A:$A,FALSE),MATCH(All!Y$1,Spring!$1:$1,FALSE))),"")</f>
        <v>1A</v>
      </c>
      <c r="Z109" t="str">
        <f>IFERROR(IF(INDEX(Spring!$1:$1048576,MATCH(All!$A109,Spring!$A:$A,FALSE),MATCH(All!Z$1,Spring!$1:$1,FALSE))="","",INDEX(Spring!$1:$1048576,MATCH(All!$A109,Spring!$A:$A,FALSE),MATCH(All!Z$1,Spring!$1:$1,FALSE))),"")</f>
        <v>1A</v>
      </c>
      <c r="AA109" t="str">
        <f>IFERROR(IF(INDEX(Spring!$1:$1048576,MATCH(All!$A109,Spring!$A:$A,FALSE),MATCH(All!AA$1,Spring!$1:$1,FALSE))="","",INDEX(Spring!$1:$1048576,MATCH(All!$A109,Spring!$A:$A,FALSE),MATCH(All!AA$1,Spring!$1:$1,FALSE))),"")</f>
        <v>1A</v>
      </c>
      <c r="AB109" t="str">
        <f>IFERROR(IF(INDEX(Spring!$1:$1048576,MATCH(All!$A109,Spring!$A:$A,FALSE),MATCH(All!AB$1,Spring!$1:$1,FALSE))="","",INDEX(Spring!$1:$1048576,MATCH(All!$A109,Spring!$A:$A,FALSE),MATCH(All!AB$1,Spring!$1:$1,FALSE))),"")</f>
        <v>1A</v>
      </c>
      <c r="AC109" t="str">
        <f>IFERROR(IF(INDEX(Spring!$1:$1048576,MATCH(All!$A109,Spring!$A:$A,FALSE),MATCH(All!AC$1,Spring!$1:$1,FALSE))="","",INDEX(Spring!$1:$1048576,MATCH(All!$A109,Spring!$A:$A,FALSE),MATCH(All!AC$1,Spring!$1:$1,FALSE))),"")</f>
        <v>1A</v>
      </c>
      <c r="AD109" t="str">
        <f>IFERROR(VLOOKUP(A109,'Flag Football'!A:A,1,FALSE),"")</f>
        <v/>
      </c>
      <c r="AE109" t="str">
        <f t="shared" si="1"/>
        <v/>
      </c>
    </row>
    <row r="110" spans="1:31" ht="15.75" thickBot="1" x14ac:dyDescent="0.3">
      <c r="A110" s="20" t="s">
        <v>130</v>
      </c>
      <c r="B110" s="38">
        <f>IFERROR(VLOOKUP(A110,'Public v Private'!A:G,3,FALSE),"")</f>
        <v>0</v>
      </c>
      <c r="C110" s="38">
        <f>IFERROR(VLOOKUP(A110,'Public v Private'!A:G,4,FALSE),"")</f>
        <v>0</v>
      </c>
      <c r="D110" s="38">
        <f>IFERROR(VLOOKUP(A110,'Public v Private'!A:G,5,FALSE),"")</f>
        <v>0</v>
      </c>
      <c r="E110" s="38"/>
      <c r="F110" s="40">
        <f>IFERROR(INDEX(Fall!$1:$1048576,MATCH(All!$A110,Fall!$A:$A,FALSE),MATCH(All!F$1,Fall!$1:$1,FALSE)),"N/A")</f>
        <v>761</v>
      </c>
      <c r="G110" t="str">
        <f>IFERROR(IF(INDEX(Fall!$1:$1048576,MATCH(All!$A110,Fall!$A:$A,FALSE),MATCH(All!G$1,Fall!$1:$1,FALSE))="","",INDEX(Fall!$1:$1048576,MATCH(All!$A110,Fall!$A:$A,FALSE),MATCH(All!G$1,Fall!$1:$1,FALSE))),"")</f>
        <v>2A</v>
      </c>
      <c r="H110" t="str">
        <f>IFERROR(IF(INDEX(Fall!$1:$1048576,MATCH(All!$A110,Fall!$A:$A,FALSE),MATCH(All!H$1,Fall!$1:$1,FALSE))="","",INDEX(Fall!$1:$1048576,MATCH(All!$A110,Fall!$A:$A,FALSE),MATCH(All!H$1,Fall!$1:$1,FALSE))),"")</f>
        <v>2A</v>
      </c>
      <c r="I110" t="str">
        <f>IFERROR(IF(INDEX(Fall!$1:$1048576,MATCH(All!$A110,Fall!$A:$A,FALSE),MATCH(All!I$1,Fall!$1:$1,FALSE))="","",INDEX(Fall!$1:$1048576,MATCH(All!$A110,Fall!$A:$A,FALSE),MATCH(All!I$1,Fall!$1:$1,FALSE))),"")</f>
        <v>2A</v>
      </c>
      <c r="J110" t="str">
        <f>IFERROR(IF(INDEX(Fall!$1:$1048576,MATCH(All!$A110,Fall!$A:$A,FALSE),MATCH(All!J$1,Fall!$1:$1,FALSE))="","",INDEX(Fall!$1:$1048576,MATCH(All!$A110,Fall!$A:$A,FALSE),MATCH(All!J$1,Fall!$1:$1,FALSE))),"")</f>
        <v>1A</v>
      </c>
      <c r="K110" t="str">
        <f>IFERROR(IF(INDEX(Fall!$1:$1048576,MATCH(All!$A110,Fall!$A:$A,FALSE),MATCH(All!K$1,Fall!$1:$1,FALSE))="","",INDEX(Fall!$1:$1048576,MATCH(All!$A110,Fall!$A:$A,FALSE),MATCH(All!K$1,Fall!$1:$1,FALSE))),"")</f>
        <v>2A</v>
      </c>
      <c r="L110" t="str">
        <f>IFERROR(IF(INDEX(Fall!$1:$1048576,MATCH(All!$A110,Fall!$A:$A,FALSE),MATCH(All!L$1,Fall!$1:$1,FALSE))="","",INDEX(Fall!$1:$1048576,MATCH(All!$A110,Fall!$A:$A,FALSE),MATCH(All!L$1,Fall!$1:$1,FALSE))),"")</f>
        <v>1A</v>
      </c>
      <c r="M110" t="str">
        <f>IFERROR(IF(INDEX(Fall!$1:$1048576,MATCH(All!$A110,Fall!$A:$A,FALSE),MATCH(All!M$1,Fall!$1:$1,FALSE))="","",INDEX(Fall!$1:$1048576,MATCH(All!$A110,Fall!$A:$A,FALSE),MATCH(All!M$1,Fall!$1:$1,FALSE))),"")</f>
        <v>3A</v>
      </c>
      <c r="O110">
        <f>IFERROR(IF(INDEX(Winter!$1:$1048576,MATCH(All!$A110,Winter!$A:$A,FALSE),MATCH(All!O$1,Winter!$1:$1,FALSE))="","",INDEX(Winter!$1:$1048576,MATCH(All!$A110,Winter!$A:$A,FALSE),MATCH(All!O$1,Winter!$1:$1,FALSE))),"")</f>
        <v>761</v>
      </c>
      <c r="P110" t="str">
        <f>IFERROR(IF(INDEX(Winter!$1:$1048576,MATCH(All!$A110,Winter!$A:$A,FALSE),MATCH(All!P$1,Winter!$1:$1,FALSE))="","",INDEX(Winter!$1:$1048576,MATCH(All!$A110,Winter!$A:$A,FALSE),MATCH(All!P$1,Winter!$1:$1,FALSE))),"")</f>
        <v>3A</v>
      </c>
      <c r="Q110" t="str">
        <f>IFERROR(IF(INDEX(Winter!$1:$1048576,MATCH(All!$A110,Winter!$A:$A,FALSE),MATCH(All!Q$1,Winter!$1:$1,FALSE))="","",INDEX(Winter!$1:$1048576,MATCH(All!$A110,Winter!$A:$A,FALSE),MATCH(All!Q$1,Winter!$1:$1,FALSE))),"")</f>
        <v>3A</v>
      </c>
      <c r="R110" t="str">
        <f>IFERROR(IF(INDEX(Winter!$1:$1048576,MATCH(All!$A110,Winter!$A:$A,FALSE),MATCH(All!R$1,Winter!$1:$1,FALSE))="","",INDEX(Winter!$1:$1048576,MATCH(All!$A110,Winter!$A:$A,FALSE),MATCH(All!R$1,Winter!$1:$1,FALSE))),"")</f>
        <v>C</v>
      </c>
      <c r="S110" t="str">
        <f>IFERROR(IF(INDEX(Winter!$1:$1048576,MATCH(All!$A110,Winter!$A:$A,FALSE),MATCH(All!S$1,Winter!$1:$1,FALSE))="","",INDEX(Winter!$1:$1048576,MATCH(All!$A110,Winter!$A:$A,FALSE),MATCH(All!S$1,Winter!$1:$1,FALSE))),"")</f>
        <v/>
      </c>
      <c r="T110" t="str">
        <f>IFERROR(IF(INDEX(Winter!$1:$1048576,MATCH(All!$A110,Winter!$A:$A,FALSE),MATCH(All!T$1,Winter!$1:$1,FALSE))="","",INDEX(Winter!$1:$1048576,MATCH(All!$A110,Winter!$A:$A,FALSE),MATCH(All!T$1,Winter!$1:$1,FALSE))),"")</f>
        <v>2A</v>
      </c>
      <c r="U110" t="str">
        <f>IFERROR(IF(INDEX(Winter!$1:$1048576,MATCH(All!$A110,Winter!$A:$A,FALSE),MATCH(All!U$1,Winter!$1:$1,FALSE))="","",INDEX(Winter!$1:$1048576,MATCH(All!$A110,Winter!$A:$A,FALSE),MATCH(All!U$1,Winter!$1:$1,FALSE))),"")</f>
        <v>2A</v>
      </c>
      <c r="W110">
        <f>IFERROR(IF(INDEX(Spring!$1:$1048576,MATCH(All!$A110,Spring!$A:$A,FALSE),MATCH(All!W$1,Spring!$1:$1,FALSE))="","",INDEX(Spring!$1:$1048576,MATCH(All!$A110,Spring!$A:$A,FALSE),MATCH(All!W$1,Spring!$1:$1,FALSE))),"")</f>
        <v>761</v>
      </c>
      <c r="X110" t="str">
        <f>IFERROR(IF(INDEX(Spring!$1:$1048576,MATCH(All!$A110,Spring!$A:$A,FALSE),MATCH(All!X$1,Spring!$1:$1,FALSE))="","",INDEX(Spring!$1:$1048576,MATCH(All!$A110,Spring!$A:$A,FALSE),MATCH(All!X$1,Spring!$1:$1,FALSE))),"")</f>
        <v>3A</v>
      </c>
      <c r="Y110" t="str">
        <f>IFERROR(IF(INDEX(Spring!$1:$1048576,MATCH(All!$A110,Spring!$A:$A,FALSE),MATCH(All!Y$1,Spring!$1:$1,FALSE))="","",INDEX(Spring!$1:$1048576,MATCH(All!$A110,Spring!$A:$A,FALSE),MATCH(All!Y$1,Spring!$1:$1,FALSE))),"")</f>
        <v>3A</v>
      </c>
      <c r="Z110" t="str">
        <f>IFERROR(IF(INDEX(Spring!$1:$1048576,MATCH(All!$A110,Spring!$A:$A,FALSE),MATCH(All!Z$1,Spring!$1:$1,FALSE))="","",INDEX(Spring!$1:$1048576,MATCH(All!$A110,Spring!$A:$A,FALSE),MATCH(All!Z$1,Spring!$1:$1,FALSE))),"")</f>
        <v>1A</v>
      </c>
      <c r="AA110" t="str">
        <f>IFERROR(IF(INDEX(Spring!$1:$1048576,MATCH(All!$A110,Spring!$A:$A,FALSE),MATCH(All!AA$1,Spring!$1:$1,FALSE))="","",INDEX(Spring!$1:$1048576,MATCH(All!$A110,Spring!$A:$A,FALSE),MATCH(All!AA$1,Spring!$1:$1,FALSE))),"")</f>
        <v>1A</v>
      </c>
      <c r="AB110" t="str">
        <f>IFERROR(IF(INDEX(Spring!$1:$1048576,MATCH(All!$A110,Spring!$A:$A,FALSE),MATCH(All!AB$1,Spring!$1:$1,FALSE))="","",INDEX(Spring!$1:$1048576,MATCH(All!$A110,Spring!$A:$A,FALSE),MATCH(All!AB$1,Spring!$1:$1,FALSE))),"")</f>
        <v>2A</v>
      </c>
      <c r="AC110" t="str">
        <f>IFERROR(IF(INDEX(Spring!$1:$1048576,MATCH(All!$A110,Spring!$A:$A,FALSE),MATCH(All!AC$1,Spring!$1:$1,FALSE))="","",INDEX(Spring!$1:$1048576,MATCH(All!$A110,Spring!$A:$A,FALSE),MATCH(All!AC$1,Spring!$1:$1,FALSE))),"")</f>
        <v>2A</v>
      </c>
      <c r="AD110" t="str">
        <f>IFERROR(VLOOKUP(A110,'Flag Football'!A:A,1,FALSE),"")</f>
        <v/>
      </c>
      <c r="AE110" t="str">
        <f t="shared" si="1"/>
        <v/>
      </c>
    </row>
    <row r="111" spans="1:31" ht="15.75" thickBot="1" x14ac:dyDescent="0.3">
      <c r="A111" s="18" t="s">
        <v>131</v>
      </c>
      <c r="B111" s="38">
        <f>IFERROR(VLOOKUP(A111,'Public v Private'!A:G,3,FALSE),"")</f>
        <v>0</v>
      </c>
      <c r="C111" s="38">
        <f>IFERROR(VLOOKUP(A111,'Public v Private'!A:G,4,FALSE),"")</f>
        <v>0</v>
      </c>
      <c r="D111" s="38">
        <f>IFERROR(VLOOKUP(A111,'Public v Private'!A:G,5,FALSE),"")</f>
        <v>0</v>
      </c>
      <c r="E111" s="38"/>
      <c r="F111" s="40">
        <f>IFERROR(INDEX(Fall!$1:$1048576,MATCH(All!$A111,Fall!$A:$A,FALSE),MATCH(All!F$1,Fall!$1:$1,FALSE)),"N/A")</f>
        <v>1435</v>
      </c>
      <c r="G111" t="str">
        <f>IFERROR(IF(INDEX(Fall!$1:$1048576,MATCH(All!$A111,Fall!$A:$A,FALSE),MATCH(All!G$1,Fall!$1:$1,FALSE))="","",INDEX(Fall!$1:$1048576,MATCH(All!$A111,Fall!$A:$A,FALSE),MATCH(All!G$1,Fall!$1:$1,FALSE))),"")</f>
        <v>2A</v>
      </c>
      <c r="H111" t="str">
        <f>IFERROR(IF(INDEX(Fall!$1:$1048576,MATCH(All!$A111,Fall!$A:$A,FALSE),MATCH(All!H$1,Fall!$1:$1,FALSE))="","",INDEX(Fall!$1:$1048576,MATCH(All!$A111,Fall!$A:$A,FALSE),MATCH(All!H$1,Fall!$1:$1,FALSE))),"")</f>
        <v>2A</v>
      </c>
      <c r="I111" t="str">
        <f>IFERROR(IF(INDEX(Fall!$1:$1048576,MATCH(All!$A111,Fall!$A:$A,FALSE),MATCH(All!I$1,Fall!$1:$1,FALSE))="","",INDEX(Fall!$1:$1048576,MATCH(All!$A111,Fall!$A:$A,FALSE),MATCH(All!I$1,Fall!$1:$1,FALSE))),"")</f>
        <v>2A</v>
      </c>
      <c r="J111" t="str">
        <f>IFERROR(IF(INDEX(Fall!$1:$1048576,MATCH(All!$A111,Fall!$A:$A,FALSE),MATCH(All!J$1,Fall!$1:$1,FALSE))="","",INDEX(Fall!$1:$1048576,MATCH(All!$A111,Fall!$A:$A,FALSE),MATCH(All!J$1,Fall!$1:$1,FALSE))),"")</f>
        <v>2A</v>
      </c>
      <c r="K111" t="str">
        <f>IFERROR(IF(INDEX(Fall!$1:$1048576,MATCH(All!$A111,Fall!$A:$A,FALSE),MATCH(All!K$1,Fall!$1:$1,FALSE))="","",INDEX(Fall!$1:$1048576,MATCH(All!$A111,Fall!$A:$A,FALSE),MATCH(All!K$1,Fall!$1:$1,FALSE))),"")</f>
        <v>2A</v>
      </c>
      <c r="L111" t="str">
        <f>IFERROR(IF(INDEX(Fall!$1:$1048576,MATCH(All!$A111,Fall!$A:$A,FALSE),MATCH(All!L$1,Fall!$1:$1,FALSE))="","",INDEX(Fall!$1:$1048576,MATCH(All!$A111,Fall!$A:$A,FALSE),MATCH(All!L$1,Fall!$1:$1,FALSE))),"")</f>
        <v>1A</v>
      </c>
      <c r="M111" t="str">
        <f>IFERROR(IF(INDEX(Fall!$1:$1048576,MATCH(All!$A111,Fall!$A:$A,FALSE),MATCH(All!M$1,Fall!$1:$1,FALSE))="","",INDEX(Fall!$1:$1048576,MATCH(All!$A111,Fall!$A:$A,FALSE),MATCH(All!M$1,Fall!$1:$1,FALSE))),"")</f>
        <v>3A</v>
      </c>
      <c r="O111">
        <f>IFERROR(IF(INDEX(Winter!$1:$1048576,MATCH(All!$A111,Winter!$A:$A,FALSE),MATCH(All!O$1,Winter!$1:$1,FALSE))="","",INDEX(Winter!$1:$1048576,MATCH(All!$A111,Winter!$A:$A,FALSE),MATCH(All!O$1,Winter!$1:$1,FALSE))),"")</f>
        <v>1435</v>
      </c>
      <c r="P111" t="str">
        <f>IFERROR(IF(INDEX(Winter!$1:$1048576,MATCH(All!$A111,Winter!$A:$A,FALSE),MATCH(All!P$1,Winter!$1:$1,FALSE))="","",INDEX(Winter!$1:$1048576,MATCH(All!$A111,Winter!$A:$A,FALSE),MATCH(All!P$1,Winter!$1:$1,FALSE))),"")</f>
        <v>3A</v>
      </c>
      <c r="Q111" t="str">
        <f>IFERROR(IF(INDEX(Winter!$1:$1048576,MATCH(All!$A111,Winter!$A:$A,FALSE),MATCH(All!Q$1,Winter!$1:$1,FALSE))="","",INDEX(Winter!$1:$1048576,MATCH(All!$A111,Winter!$A:$A,FALSE),MATCH(All!Q$1,Winter!$1:$1,FALSE))),"")</f>
        <v>3A</v>
      </c>
      <c r="R111" t="str">
        <f>IFERROR(IF(INDEX(Winter!$1:$1048576,MATCH(All!$A111,Winter!$A:$A,FALSE),MATCH(All!R$1,Winter!$1:$1,FALSE))="","",INDEX(Winter!$1:$1048576,MATCH(All!$A111,Winter!$A:$A,FALSE),MATCH(All!R$1,Winter!$1:$1,FALSE))),"")</f>
        <v/>
      </c>
      <c r="S111" t="str">
        <f>IFERROR(IF(INDEX(Winter!$1:$1048576,MATCH(All!$A111,Winter!$A:$A,FALSE),MATCH(All!S$1,Winter!$1:$1,FALSE))="","",INDEX(Winter!$1:$1048576,MATCH(All!$A111,Winter!$A:$A,FALSE),MATCH(All!S$1,Winter!$1:$1,FALSE))),"")</f>
        <v/>
      </c>
      <c r="T111" t="str">
        <f>IFERROR(IF(INDEX(Winter!$1:$1048576,MATCH(All!$A111,Winter!$A:$A,FALSE),MATCH(All!T$1,Winter!$1:$1,FALSE))="","",INDEX(Winter!$1:$1048576,MATCH(All!$A111,Winter!$A:$A,FALSE),MATCH(All!T$1,Winter!$1:$1,FALSE))),"")</f>
        <v>2A</v>
      </c>
      <c r="U111" t="str">
        <f>IFERROR(IF(INDEX(Winter!$1:$1048576,MATCH(All!$A111,Winter!$A:$A,FALSE),MATCH(All!U$1,Winter!$1:$1,FALSE))="","",INDEX(Winter!$1:$1048576,MATCH(All!$A111,Winter!$A:$A,FALSE),MATCH(All!U$1,Winter!$1:$1,FALSE))),"")</f>
        <v>2A</v>
      </c>
      <c r="W111">
        <f>IFERROR(IF(INDEX(Spring!$1:$1048576,MATCH(All!$A111,Spring!$A:$A,FALSE),MATCH(All!W$1,Spring!$1:$1,FALSE))="","",INDEX(Spring!$1:$1048576,MATCH(All!$A111,Spring!$A:$A,FALSE),MATCH(All!W$1,Spring!$1:$1,FALSE))),"")</f>
        <v>1435</v>
      </c>
      <c r="X111" t="str">
        <f>IFERROR(IF(INDEX(Spring!$1:$1048576,MATCH(All!$A111,Spring!$A:$A,FALSE),MATCH(All!X$1,Spring!$1:$1,FALSE))="","",INDEX(Spring!$1:$1048576,MATCH(All!$A111,Spring!$A:$A,FALSE),MATCH(All!X$1,Spring!$1:$1,FALSE))),"")</f>
        <v>3A</v>
      </c>
      <c r="Y111" t="str">
        <f>IFERROR(IF(INDEX(Spring!$1:$1048576,MATCH(All!$A111,Spring!$A:$A,FALSE),MATCH(All!Y$1,Spring!$1:$1,FALSE))="","",INDEX(Spring!$1:$1048576,MATCH(All!$A111,Spring!$A:$A,FALSE),MATCH(All!Y$1,Spring!$1:$1,FALSE))),"")</f>
        <v>3A</v>
      </c>
      <c r="Z111" t="str">
        <f>IFERROR(IF(INDEX(Spring!$1:$1048576,MATCH(All!$A111,Spring!$A:$A,FALSE),MATCH(All!Z$1,Spring!$1:$1,FALSE))="","",INDEX(Spring!$1:$1048576,MATCH(All!$A111,Spring!$A:$A,FALSE),MATCH(All!Z$1,Spring!$1:$1,FALSE))),"")</f>
        <v>2A</v>
      </c>
      <c r="AA111" t="str">
        <f>IFERROR(IF(INDEX(Spring!$1:$1048576,MATCH(All!$A111,Spring!$A:$A,FALSE),MATCH(All!AA$1,Spring!$1:$1,FALSE))="","",INDEX(Spring!$1:$1048576,MATCH(All!$A111,Spring!$A:$A,FALSE),MATCH(All!AA$1,Spring!$1:$1,FALSE))),"")</f>
        <v>1A</v>
      </c>
      <c r="AB111" t="str">
        <f>IFERROR(IF(INDEX(Spring!$1:$1048576,MATCH(All!$A111,Spring!$A:$A,FALSE),MATCH(All!AB$1,Spring!$1:$1,FALSE))="","",INDEX(Spring!$1:$1048576,MATCH(All!$A111,Spring!$A:$A,FALSE),MATCH(All!AB$1,Spring!$1:$1,FALSE))),"")</f>
        <v>3A</v>
      </c>
      <c r="AC111" t="str">
        <f>IFERROR(IF(INDEX(Spring!$1:$1048576,MATCH(All!$A111,Spring!$A:$A,FALSE),MATCH(All!AC$1,Spring!$1:$1,FALSE))="","",INDEX(Spring!$1:$1048576,MATCH(All!$A111,Spring!$A:$A,FALSE),MATCH(All!AC$1,Spring!$1:$1,FALSE))),"")</f>
        <v>3A</v>
      </c>
      <c r="AD111" t="str">
        <f>IFERROR(VLOOKUP(A111,'Flag Football'!A:A,1,FALSE),"")</f>
        <v/>
      </c>
      <c r="AE111" t="str">
        <f t="shared" si="1"/>
        <v/>
      </c>
    </row>
    <row r="112" spans="1:31" ht="15.75" thickBot="1" x14ac:dyDescent="0.3">
      <c r="A112" s="20" t="s">
        <v>132</v>
      </c>
      <c r="B112" s="38">
        <f>IFERROR(VLOOKUP(A112,'Public v Private'!A:G,3,FALSE),"")</f>
        <v>0</v>
      </c>
      <c r="C112" s="38">
        <f>IFERROR(VLOOKUP(A112,'Public v Private'!A:G,4,FALSE),"")</f>
        <v>0</v>
      </c>
      <c r="D112" s="38">
        <f>IFERROR(VLOOKUP(A112,'Public v Private'!A:G,5,FALSE),"")</f>
        <v>0</v>
      </c>
      <c r="E112" s="38"/>
      <c r="F112" s="40">
        <f>IFERROR(INDEX(Fall!$1:$1048576,MATCH(All!$A112,Fall!$A:$A,FALSE),MATCH(All!F$1,Fall!$1:$1,FALSE)),"N/A")</f>
        <v>319</v>
      </c>
      <c r="G112" t="str">
        <f>IFERROR(IF(INDEX(Fall!$1:$1048576,MATCH(All!$A112,Fall!$A:$A,FALSE),MATCH(All!G$1,Fall!$1:$1,FALSE))="","",INDEX(Fall!$1:$1048576,MATCH(All!$A112,Fall!$A:$A,FALSE),MATCH(All!G$1,Fall!$1:$1,FALSE))),"")</f>
        <v>1A</v>
      </c>
      <c r="H112" t="str">
        <f>IFERROR(IF(INDEX(Fall!$1:$1048576,MATCH(All!$A112,Fall!$A:$A,FALSE),MATCH(All!H$1,Fall!$1:$1,FALSE))="","",INDEX(Fall!$1:$1048576,MATCH(All!$A112,Fall!$A:$A,FALSE),MATCH(All!H$1,Fall!$1:$1,FALSE))),"")</f>
        <v>1A</v>
      </c>
      <c r="I112" t="str">
        <f>IFERROR(IF(INDEX(Fall!$1:$1048576,MATCH(All!$A112,Fall!$A:$A,FALSE),MATCH(All!I$1,Fall!$1:$1,FALSE))="","",INDEX(Fall!$1:$1048576,MATCH(All!$A112,Fall!$A:$A,FALSE),MATCH(All!I$1,Fall!$1:$1,FALSE))),"")</f>
        <v>1A</v>
      </c>
      <c r="J112" t="str">
        <f>IFERROR(IF(INDEX(Fall!$1:$1048576,MATCH(All!$A112,Fall!$A:$A,FALSE),MATCH(All!J$1,Fall!$1:$1,FALSE))="","",INDEX(Fall!$1:$1048576,MATCH(All!$A112,Fall!$A:$A,FALSE),MATCH(All!J$1,Fall!$1:$1,FALSE))),"")</f>
        <v>1A</v>
      </c>
      <c r="K112" t="str">
        <f>IFERROR(IF(INDEX(Fall!$1:$1048576,MATCH(All!$A112,Fall!$A:$A,FALSE),MATCH(All!K$1,Fall!$1:$1,FALSE))="","",INDEX(Fall!$1:$1048576,MATCH(All!$A112,Fall!$A:$A,FALSE),MATCH(All!K$1,Fall!$1:$1,FALSE))),"")</f>
        <v/>
      </c>
      <c r="L112" t="str">
        <f>IFERROR(IF(INDEX(Fall!$1:$1048576,MATCH(All!$A112,Fall!$A:$A,FALSE),MATCH(All!L$1,Fall!$1:$1,FALSE))="","",INDEX(Fall!$1:$1048576,MATCH(All!$A112,Fall!$A:$A,FALSE),MATCH(All!L$1,Fall!$1:$1,FALSE))),"")</f>
        <v/>
      </c>
      <c r="M112" t="str">
        <f>IFERROR(IF(INDEX(Fall!$1:$1048576,MATCH(All!$A112,Fall!$A:$A,FALSE),MATCH(All!M$1,Fall!$1:$1,FALSE))="","",INDEX(Fall!$1:$1048576,MATCH(All!$A112,Fall!$A:$A,FALSE),MATCH(All!M$1,Fall!$1:$1,FALSE))),"")</f>
        <v>2A</v>
      </c>
      <c r="O112">
        <f>IFERROR(IF(INDEX(Winter!$1:$1048576,MATCH(All!$A112,Winter!$A:$A,FALSE),MATCH(All!O$1,Winter!$1:$1,FALSE))="","",INDEX(Winter!$1:$1048576,MATCH(All!$A112,Winter!$A:$A,FALSE),MATCH(All!O$1,Winter!$1:$1,FALSE))),"")</f>
        <v>319</v>
      </c>
      <c r="P112" t="str">
        <f>IFERROR(IF(INDEX(Winter!$1:$1048576,MATCH(All!$A112,Winter!$A:$A,FALSE),MATCH(All!P$1,Winter!$1:$1,FALSE))="","",INDEX(Winter!$1:$1048576,MATCH(All!$A112,Winter!$A:$A,FALSE),MATCH(All!P$1,Winter!$1:$1,FALSE))),"")</f>
        <v>2A</v>
      </c>
      <c r="Q112" t="str">
        <f>IFERROR(IF(INDEX(Winter!$1:$1048576,MATCH(All!$A112,Winter!$A:$A,FALSE),MATCH(All!Q$1,Winter!$1:$1,FALSE))="","",INDEX(Winter!$1:$1048576,MATCH(All!$A112,Winter!$A:$A,FALSE),MATCH(All!Q$1,Winter!$1:$1,FALSE))),"")</f>
        <v>2A</v>
      </c>
      <c r="R112" t="str">
        <f>IFERROR(IF(INDEX(Winter!$1:$1048576,MATCH(All!$A112,Winter!$A:$A,FALSE),MATCH(All!R$1,Winter!$1:$1,FALSE))="","",INDEX(Winter!$1:$1048576,MATCH(All!$A112,Winter!$A:$A,FALSE),MATCH(All!R$1,Winter!$1:$1,FALSE))),"")</f>
        <v>1A</v>
      </c>
      <c r="S112" t="str">
        <f>IFERROR(IF(INDEX(Winter!$1:$1048576,MATCH(All!$A112,Winter!$A:$A,FALSE),MATCH(All!S$1,Winter!$1:$1,FALSE))="","",INDEX(Winter!$1:$1048576,MATCH(All!$A112,Winter!$A:$A,FALSE),MATCH(All!S$1,Winter!$1:$1,FALSE))),"")</f>
        <v>1A</v>
      </c>
      <c r="T112" t="str">
        <f>IFERROR(IF(INDEX(Winter!$1:$1048576,MATCH(All!$A112,Winter!$A:$A,FALSE),MATCH(All!T$1,Winter!$1:$1,FALSE))="","",INDEX(Winter!$1:$1048576,MATCH(All!$A112,Winter!$A:$A,FALSE),MATCH(All!T$1,Winter!$1:$1,FALSE))),"")</f>
        <v>1A</v>
      </c>
      <c r="U112" t="str">
        <f>IFERROR(IF(INDEX(Winter!$1:$1048576,MATCH(All!$A112,Winter!$A:$A,FALSE),MATCH(All!U$1,Winter!$1:$1,FALSE))="","",INDEX(Winter!$1:$1048576,MATCH(All!$A112,Winter!$A:$A,FALSE),MATCH(All!U$1,Winter!$1:$1,FALSE))),"")</f>
        <v/>
      </c>
      <c r="W112">
        <f>IFERROR(IF(INDEX(Spring!$1:$1048576,MATCH(All!$A112,Spring!$A:$A,FALSE),MATCH(All!W$1,Spring!$1:$1,FALSE))="","",INDEX(Spring!$1:$1048576,MATCH(All!$A112,Spring!$A:$A,FALSE),MATCH(All!W$1,Spring!$1:$1,FALSE))),"")</f>
        <v>319</v>
      </c>
      <c r="X112" t="str">
        <f>IFERROR(IF(INDEX(Spring!$1:$1048576,MATCH(All!$A112,Spring!$A:$A,FALSE),MATCH(All!X$1,Spring!$1:$1,FALSE))="","",INDEX(Spring!$1:$1048576,MATCH(All!$A112,Spring!$A:$A,FALSE),MATCH(All!X$1,Spring!$1:$1,FALSE))),"")</f>
        <v>2A</v>
      </c>
      <c r="Y112" t="str">
        <f>IFERROR(IF(INDEX(Spring!$1:$1048576,MATCH(All!$A112,Spring!$A:$A,FALSE),MATCH(All!Y$1,Spring!$1:$1,FALSE))="","",INDEX(Spring!$1:$1048576,MATCH(All!$A112,Spring!$A:$A,FALSE),MATCH(All!Y$1,Spring!$1:$1,FALSE))),"")</f>
        <v>2A</v>
      </c>
      <c r="Z112" t="str">
        <f>IFERROR(IF(INDEX(Spring!$1:$1048576,MATCH(All!$A112,Spring!$A:$A,FALSE),MATCH(All!Z$1,Spring!$1:$1,FALSE))="","",INDEX(Spring!$1:$1048576,MATCH(All!$A112,Spring!$A:$A,FALSE),MATCH(All!Z$1,Spring!$1:$1,FALSE))),"")</f>
        <v/>
      </c>
      <c r="AA112" t="str">
        <f>IFERROR(IF(INDEX(Spring!$1:$1048576,MATCH(All!$A112,Spring!$A:$A,FALSE),MATCH(All!AA$1,Spring!$1:$1,FALSE))="","",INDEX(Spring!$1:$1048576,MATCH(All!$A112,Spring!$A:$A,FALSE),MATCH(All!AA$1,Spring!$1:$1,FALSE))),"")</f>
        <v/>
      </c>
      <c r="AB112" t="str">
        <f>IFERROR(IF(INDEX(Spring!$1:$1048576,MATCH(All!$A112,Spring!$A:$A,FALSE),MATCH(All!AB$1,Spring!$1:$1,FALSE))="","",INDEX(Spring!$1:$1048576,MATCH(All!$A112,Spring!$A:$A,FALSE),MATCH(All!AB$1,Spring!$1:$1,FALSE))),"")</f>
        <v>1A</v>
      </c>
      <c r="AC112" t="str">
        <f>IFERROR(IF(INDEX(Spring!$1:$1048576,MATCH(All!$A112,Spring!$A:$A,FALSE),MATCH(All!AC$1,Spring!$1:$1,FALSE))="","",INDEX(Spring!$1:$1048576,MATCH(All!$A112,Spring!$A:$A,FALSE),MATCH(All!AC$1,Spring!$1:$1,FALSE))),"")</f>
        <v>1A</v>
      </c>
      <c r="AD112" t="str">
        <f>IFERROR(VLOOKUP(A112,'Flag Football'!A:A,1,FALSE),"")</f>
        <v/>
      </c>
      <c r="AE112" t="str">
        <f t="shared" si="1"/>
        <v/>
      </c>
    </row>
    <row r="113" spans="1:31" ht="15.75" thickBot="1" x14ac:dyDescent="0.3">
      <c r="A113" s="18" t="s">
        <v>912</v>
      </c>
      <c r="B113" s="38" t="str">
        <f>IFERROR(VLOOKUP(A113,'Public v Private'!A:G,3,FALSE),"")</f>
        <v>?</v>
      </c>
      <c r="C113" s="38">
        <f>IFERROR(VLOOKUP(A113,'Public v Private'!A:G,4,FALSE),"")</f>
        <v>0</v>
      </c>
      <c r="D113" s="38">
        <f>IFERROR(VLOOKUP(A113,'Public v Private'!A:G,5,FALSE),"")</f>
        <v>0</v>
      </c>
      <c r="E113" s="38"/>
      <c r="F113" s="40" t="str">
        <f>IFERROR(INDEX(Fall!$1:$1048576,MATCH(All!$A113,Fall!$A:$A,FALSE),MATCH(All!F$1,Fall!$1:$1,FALSE)),"N/A")</f>
        <v>N/A</v>
      </c>
      <c r="G113" t="str">
        <f>IFERROR(IF(INDEX(Fall!$1:$1048576,MATCH(All!$A113,Fall!$A:$A,FALSE),MATCH(All!G$1,Fall!$1:$1,FALSE))="","",INDEX(Fall!$1:$1048576,MATCH(All!$A113,Fall!$A:$A,FALSE),MATCH(All!G$1,Fall!$1:$1,FALSE))),"")</f>
        <v/>
      </c>
      <c r="H113" t="str">
        <f>IFERROR(IF(INDEX(Fall!$1:$1048576,MATCH(All!$A113,Fall!$A:$A,FALSE),MATCH(All!H$1,Fall!$1:$1,FALSE))="","",INDEX(Fall!$1:$1048576,MATCH(All!$A113,Fall!$A:$A,FALSE),MATCH(All!H$1,Fall!$1:$1,FALSE))),"")</f>
        <v/>
      </c>
      <c r="I113" t="str">
        <f>IFERROR(IF(INDEX(Fall!$1:$1048576,MATCH(All!$A113,Fall!$A:$A,FALSE),MATCH(All!I$1,Fall!$1:$1,FALSE))="","",INDEX(Fall!$1:$1048576,MATCH(All!$A113,Fall!$A:$A,FALSE),MATCH(All!I$1,Fall!$1:$1,FALSE))),"")</f>
        <v/>
      </c>
      <c r="J113" t="str">
        <f>IFERROR(IF(INDEX(Fall!$1:$1048576,MATCH(All!$A113,Fall!$A:$A,FALSE),MATCH(All!J$1,Fall!$1:$1,FALSE))="","",INDEX(Fall!$1:$1048576,MATCH(All!$A113,Fall!$A:$A,FALSE),MATCH(All!J$1,Fall!$1:$1,FALSE))),"")</f>
        <v/>
      </c>
      <c r="K113" t="str">
        <f>IFERROR(IF(INDEX(Fall!$1:$1048576,MATCH(All!$A113,Fall!$A:$A,FALSE),MATCH(All!K$1,Fall!$1:$1,FALSE))="","",INDEX(Fall!$1:$1048576,MATCH(All!$A113,Fall!$A:$A,FALSE),MATCH(All!K$1,Fall!$1:$1,FALSE))),"")</f>
        <v/>
      </c>
      <c r="L113" t="str">
        <f>IFERROR(IF(INDEX(Fall!$1:$1048576,MATCH(All!$A113,Fall!$A:$A,FALSE),MATCH(All!L$1,Fall!$1:$1,FALSE))="","",INDEX(Fall!$1:$1048576,MATCH(All!$A113,Fall!$A:$A,FALSE),MATCH(All!L$1,Fall!$1:$1,FALSE))),"")</f>
        <v/>
      </c>
      <c r="M113" t="str">
        <f>IFERROR(IF(INDEX(Fall!$1:$1048576,MATCH(All!$A113,Fall!$A:$A,FALSE),MATCH(All!M$1,Fall!$1:$1,FALSE))="","",INDEX(Fall!$1:$1048576,MATCH(All!$A113,Fall!$A:$A,FALSE),MATCH(All!M$1,Fall!$1:$1,FALSE))),"")</f>
        <v/>
      </c>
      <c r="O113" t="str">
        <f>IFERROR(IF(INDEX(Winter!$1:$1048576,MATCH(All!$A113,Winter!$A:$A,FALSE),MATCH(All!O$1,Winter!$1:$1,FALSE))="","",INDEX(Winter!$1:$1048576,MATCH(All!$A113,Winter!$A:$A,FALSE),MATCH(All!O$1,Winter!$1:$1,FALSE))),"")</f>
        <v>141.00 (232.65)</v>
      </c>
      <c r="P113" t="str">
        <f>IFERROR(IF(INDEX(Winter!$1:$1048576,MATCH(All!$A113,Winter!$A:$A,FALSE),MATCH(All!P$1,Winter!$1:$1,FALSE))="","",INDEX(Winter!$1:$1048576,MATCH(All!$A113,Winter!$A:$A,FALSE),MATCH(All!P$1,Winter!$1:$1,FALSE))),"")</f>
        <v>1A</v>
      </c>
      <c r="Q113" t="str">
        <f>IFERROR(IF(INDEX(Winter!$1:$1048576,MATCH(All!$A113,Winter!$A:$A,FALSE),MATCH(All!Q$1,Winter!$1:$1,FALSE))="","",INDEX(Winter!$1:$1048576,MATCH(All!$A113,Winter!$A:$A,FALSE),MATCH(All!Q$1,Winter!$1:$1,FALSE))),"")</f>
        <v/>
      </c>
      <c r="R113" t="str">
        <f>IFERROR(IF(INDEX(Winter!$1:$1048576,MATCH(All!$A113,Winter!$A:$A,FALSE),MATCH(All!R$1,Winter!$1:$1,FALSE))="","",INDEX(Winter!$1:$1048576,MATCH(All!$A113,Winter!$A:$A,FALSE),MATCH(All!R$1,Winter!$1:$1,FALSE))),"")</f>
        <v/>
      </c>
      <c r="S113" t="str">
        <f>IFERROR(IF(INDEX(Winter!$1:$1048576,MATCH(All!$A113,Winter!$A:$A,FALSE),MATCH(All!S$1,Winter!$1:$1,FALSE))="","",INDEX(Winter!$1:$1048576,MATCH(All!$A113,Winter!$A:$A,FALSE),MATCH(All!S$1,Winter!$1:$1,FALSE))),"")</f>
        <v/>
      </c>
      <c r="T113" t="str">
        <f>IFERROR(IF(INDEX(Winter!$1:$1048576,MATCH(All!$A113,Winter!$A:$A,FALSE),MATCH(All!T$1,Winter!$1:$1,FALSE))="","",INDEX(Winter!$1:$1048576,MATCH(All!$A113,Winter!$A:$A,FALSE),MATCH(All!T$1,Winter!$1:$1,FALSE))),"")</f>
        <v/>
      </c>
      <c r="U113" t="str">
        <f>IFERROR(IF(INDEX(Winter!$1:$1048576,MATCH(All!$A113,Winter!$A:$A,FALSE),MATCH(All!U$1,Winter!$1:$1,FALSE))="","",INDEX(Winter!$1:$1048576,MATCH(All!$A113,Winter!$A:$A,FALSE),MATCH(All!U$1,Winter!$1:$1,FALSE))),"")</f>
        <v/>
      </c>
      <c r="W113" t="str">
        <f>IFERROR(IF(INDEX(Spring!$1:$1048576,MATCH(All!$A113,Spring!$A:$A,FALSE),MATCH(All!W$1,Spring!$1:$1,FALSE))="","",INDEX(Spring!$1:$1048576,MATCH(All!$A113,Spring!$A:$A,FALSE),MATCH(All!W$1,Spring!$1:$1,FALSE))),"")</f>
        <v/>
      </c>
      <c r="X113" t="str">
        <f>IFERROR(IF(INDEX(Spring!$1:$1048576,MATCH(All!$A113,Spring!$A:$A,FALSE),MATCH(All!X$1,Spring!$1:$1,FALSE))="","",INDEX(Spring!$1:$1048576,MATCH(All!$A113,Spring!$A:$A,FALSE),MATCH(All!X$1,Spring!$1:$1,FALSE))),"")</f>
        <v/>
      </c>
      <c r="Y113" t="str">
        <f>IFERROR(IF(INDEX(Spring!$1:$1048576,MATCH(All!$A113,Spring!$A:$A,FALSE),MATCH(All!Y$1,Spring!$1:$1,FALSE))="","",INDEX(Spring!$1:$1048576,MATCH(All!$A113,Spring!$A:$A,FALSE),MATCH(All!Y$1,Spring!$1:$1,FALSE))),"")</f>
        <v/>
      </c>
      <c r="Z113" t="str">
        <f>IFERROR(IF(INDEX(Spring!$1:$1048576,MATCH(All!$A113,Spring!$A:$A,FALSE),MATCH(All!Z$1,Spring!$1:$1,FALSE))="","",INDEX(Spring!$1:$1048576,MATCH(All!$A113,Spring!$A:$A,FALSE),MATCH(All!Z$1,Spring!$1:$1,FALSE))),"")</f>
        <v/>
      </c>
      <c r="AA113" t="str">
        <f>IFERROR(IF(INDEX(Spring!$1:$1048576,MATCH(All!$A113,Spring!$A:$A,FALSE),MATCH(All!AA$1,Spring!$1:$1,FALSE))="","",INDEX(Spring!$1:$1048576,MATCH(All!$A113,Spring!$A:$A,FALSE),MATCH(All!AA$1,Spring!$1:$1,FALSE))),"")</f>
        <v/>
      </c>
      <c r="AB113" t="str">
        <f>IFERROR(IF(INDEX(Spring!$1:$1048576,MATCH(All!$A113,Spring!$A:$A,FALSE),MATCH(All!AB$1,Spring!$1:$1,FALSE))="","",INDEX(Spring!$1:$1048576,MATCH(All!$A113,Spring!$A:$A,FALSE),MATCH(All!AB$1,Spring!$1:$1,FALSE))),"")</f>
        <v/>
      </c>
      <c r="AC113" t="str">
        <f>IFERROR(IF(INDEX(Spring!$1:$1048576,MATCH(All!$A113,Spring!$A:$A,FALSE),MATCH(All!AC$1,Spring!$1:$1,FALSE))="","",INDEX(Spring!$1:$1048576,MATCH(All!$A113,Spring!$A:$A,FALSE),MATCH(All!AC$1,Spring!$1:$1,FALSE))),"")</f>
        <v/>
      </c>
      <c r="AD113" t="str">
        <f>IFERROR(VLOOKUP(A113,'Flag Football'!A:A,1,FALSE),"")</f>
        <v/>
      </c>
      <c r="AE113" t="str">
        <f t="shared" si="1"/>
        <v/>
      </c>
    </row>
    <row r="114" spans="1:31" ht="15.75" thickBot="1" x14ac:dyDescent="0.3">
      <c r="A114" s="18" t="s">
        <v>133</v>
      </c>
      <c r="B114" s="38" t="str">
        <f>IFERROR(VLOOKUP(A114,'Public v Private'!A:G,3,FALSE),"")</f>
        <v>no</v>
      </c>
      <c r="C114" s="38">
        <f>IFERROR(VLOOKUP(A114,'Public v Private'!A:G,4,FALSE),"")</f>
        <v>0</v>
      </c>
      <c r="D114" s="38">
        <f>IFERROR(VLOOKUP(A114,'Public v Private'!A:G,5,FALSE),"")</f>
        <v>0</v>
      </c>
      <c r="E114" s="38"/>
      <c r="F114" s="40" t="str">
        <f>IFERROR(INDEX(Fall!$1:$1048576,MATCH(All!$A114,Fall!$A:$A,FALSE),MATCH(All!F$1,Fall!$1:$1,FALSE)),"N/A")</f>
        <v>654.00 (1,079.10)</v>
      </c>
      <c r="G114" t="str">
        <f>IFERROR(IF(INDEX(Fall!$1:$1048576,MATCH(All!$A114,Fall!$A:$A,FALSE),MATCH(All!G$1,Fall!$1:$1,FALSE))="","",INDEX(Fall!$1:$1048576,MATCH(All!$A114,Fall!$A:$A,FALSE),MATCH(All!G$1,Fall!$1:$1,FALSE))),"")</f>
        <v>2A</v>
      </c>
      <c r="H114" t="str">
        <f>IFERROR(IF(INDEX(Fall!$1:$1048576,MATCH(All!$A114,Fall!$A:$A,FALSE),MATCH(All!H$1,Fall!$1:$1,FALSE))="","",INDEX(Fall!$1:$1048576,MATCH(All!$A114,Fall!$A:$A,FALSE),MATCH(All!H$1,Fall!$1:$1,FALSE))),"")</f>
        <v>2A</v>
      </c>
      <c r="I114" t="str">
        <f>IFERROR(IF(INDEX(Fall!$1:$1048576,MATCH(All!$A114,Fall!$A:$A,FALSE),MATCH(All!I$1,Fall!$1:$1,FALSE))="","",INDEX(Fall!$1:$1048576,MATCH(All!$A114,Fall!$A:$A,FALSE),MATCH(All!I$1,Fall!$1:$1,FALSE))),"")</f>
        <v/>
      </c>
      <c r="J114" t="str">
        <f>IFERROR(IF(INDEX(Fall!$1:$1048576,MATCH(All!$A114,Fall!$A:$A,FALSE),MATCH(All!J$1,Fall!$1:$1,FALSE))="","",INDEX(Fall!$1:$1048576,MATCH(All!$A114,Fall!$A:$A,FALSE),MATCH(All!J$1,Fall!$1:$1,FALSE))),"")</f>
        <v/>
      </c>
      <c r="K114" t="str">
        <f>IFERROR(IF(INDEX(Fall!$1:$1048576,MATCH(All!$A114,Fall!$A:$A,FALSE),MATCH(All!K$1,Fall!$1:$1,FALSE))="","",INDEX(Fall!$1:$1048576,MATCH(All!$A114,Fall!$A:$A,FALSE),MATCH(All!K$1,Fall!$1:$1,FALSE))),"")</f>
        <v>2A</v>
      </c>
      <c r="L114" t="str">
        <f>IFERROR(IF(INDEX(Fall!$1:$1048576,MATCH(All!$A114,Fall!$A:$A,FALSE),MATCH(All!L$1,Fall!$1:$1,FALSE))="","",INDEX(Fall!$1:$1048576,MATCH(All!$A114,Fall!$A:$A,FALSE),MATCH(All!L$1,Fall!$1:$1,FALSE))),"")</f>
        <v/>
      </c>
      <c r="M114" t="str">
        <f>IFERROR(IF(INDEX(Fall!$1:$1048576,MATCH(All!$A114,Fall!$A:$A,FALSE),MATCH(All!M$1,Fall!$1:$1,FALSE))="","",INDEX(Fall!$1:$1048576,MATCH(All!$A114,Fall!$A:$A,FALSE),MATCH(All!M$1,Fall!$1:$1,FALSE))),"")</f>
        <v>3A</v>
      </c>
      <c r="O114" t="str">
        <f>IFERROR(IF(INDEX(Winter!$1:$1048576,MATCH(All!$A114,Winter!$A:$A,FALSE),MATCH(All!O$1,Winter!$1:$1,FALSE))="","",INDEX(Winter!$1:$1048576,MATCH(All!$A114,Winter!$A:$A,FALSE),MATCH(All!O$1,Winter!$1:$1,FALSE))),"")</f>
        <v>654.00 (1,079.10)</v>
      </c>
      <c r="P114" t="str">
        <f>IFERROR(IF(INDEX(Winter!$1:$1048576,MATCH(All!$A114,Winter!$A:$A,FALSE),MATCH(All!P$1,Winter!$1:$1,FALSE))="","",INDEX(Winter!$1:$1048576,MATCH(All!$A114,Winter!$A:$A,FALSE),MATCH(All!P$1,Winter!$1:$1,FALSE))),"")</f>
        <v>3A</v>
      </c>
      <c r="Q114" t="str">
        <f>IFERROR(IF(INDEX(Winter!$1:$1048576,MATCH(All!$A114,Winter!$A:$A,FALSE),MATCH(All!Q$1,Winter!$1:$1,FALSE))="","",INDEX(Winter!$1:$1048576,MATCH(All!$A114,Winter!$A:$A,FALSE),MATCH(All!Q$1,Winter!$1:$1,FALSE))),"")</f>
        <v/>
      </c>
      <c r="R114" t="str">
        <f>IFERROR(IF(INDEX(Winter!$1:$1048576,MATCH(All!$A114,Winter!$A:$A,FALSE),MATCH(All!R$1,Winter!$1:$1,FALSE))="","",INDEX(Winter!$1:$1048576,MATCH(All!$A114,Winter!$A:$A,FALSE),MATCH(All!R$1,Winter!$1:$1,FALSE))),"")</f>
        <v/>
      </c>
      <c r="S114" t="str">
        <f>IFERROR(IF(INDEX(Winter!$1:$1048576,MATCH(All!$A114,Winter!$A:$A,FALSE),MATCH(All!S$1,Winter!$1:$1,FALSE))="","",INDEX(Winter!$1:$1048576,MATCH(All!$A114,Winter!$A:$A,FALSE),MATCH(All!S$1,Winter!$1:$1,FALSE))),"")</f>
        <v/>
      </c>
      <c r="T114" t="str">
        <f>IFERROR(IF(INDEX(Winter!$1:$1048576,MATCH(All!$A114,Winter!$A:$A,FALSE),MATCH(All!T$1,Winter!$1:$1,FALSE))="","",INDEX(Winter!$1:$1048576,MATCH(All!$A114,Winter!$A:$A,FALSE),MATCH(All!T$1,Winter!$1:$1,FALSE))),"")</f>
        <v/>
      </c>
      <c r="U114" t="str">
        <f>IFERROR(IF(INDEX(Winter!$1:$1048576,MATCH(All!$A114,Winter!$A:$A,FALSE),MATCH(All!U$1,Winter!$1:$1,FALSE))="","",INDEX(Winter!$1:$1048576,MATCH(All!$A114,Winter!$A:$A,FALSE),MATCH(All!U$1,Winter!$1:$1,FALSE))),"")</f>
        <v/>
      </c>
      <c r="W114" t="str">
        <f>IFERROR(IF(INDEX(Spring!$1:$1048576,MATCH(All!$A114,Spring!$A:$A,FALSE),MATCH(All!W$1,Spring!$1:$1,FALSE))="","",INDEX(Spring!$1:$1048576,MATCH(All!$A114,Spring!$A:$A,FALSE),MATCH(All!W$1,Spring!$1:$1,FALSE))),"")</f>
        <v>654.00 (1,079.10)</v>
      </c>
      <c r="X114" t="str">
        <f>IFERROR(IF(INDEX(Spring!$1:$1048576,MATCH(All!$A114,Spring!$A:$A,FALSE),MATCH(All!X$1,Spring!$1:$1,FALSE))="","",INDEX(Spring!$1:$1048576,MATCH(All!$A114,Spring!$A:$A,FALSE),MATCH(All!X$1,Spring!$1:$1,FALSE))),"")</f>
        <v>3A</v>
      </c>
      <c r="Y114" t="str">
        <f>IFERROR(IF(INDEX(Spring!$1:$1048576,MATCH(All!$A114,Spring!$A:$A,FALSE),MATCH(All!Y$1,Spring!$1:$1,FALSE))="","",INDEX(Spring!$1:$1048576,MATCH(All!$A114,Spring!$A:$A,FALSE),MATCH(All!Y$1,Spring!$1:$1,FALSE))),"")</f>
        <v/>
      </c>
      <c r="Z114" t="str">
        <f>IFERROR(IF(INDEX(Spring!$1:$1048576,MATCH(All!$A114,Spring!$A:$A,FALSE),MATCH(All!Z$1,Spring!$1:$1,FALSE))="","",INDEX(Spring!$1:$1048576,MATCH(All!$A114,Spring!$A:$A,FALSE),MATCH(All!Z$1,Spring!$1:$1,FALSE))),"")</f>
        <v>2A</v>
      </c>
      <c r="AA114" t="str">
        <f>IFERROR(IF(INDEX(Spring!$1:$1048576,MATCH(All!$A114,Spring!$A:$A,FALSE),MATCH(All!AA$1,Spring!$1:$1,FALSE))="","",INDEX(Spring!$1:$1048576,MATCH(All!$A114,Spring!$A:$A,FALSE),MATCH(All!AA$1,Spring!$1:$1,FALSE))),"")</f>
        <v/>
      </c>
      <c r="AB114" t="str">
        <f>IFERROR(IF(INDEX(Spring!$1:$1048576,MATCH(All!$A114,Spring!$A:$A,FALSE),MATCH(All!AB$1,Spring!$1:$1,FALSE))="","",INDEX(Spring!$1:$1048576,MATCH(All!$A114,Spring!$A:$A,FALSE),MATCH(All!AB$1,Spring!$1:$1,FALSE))),"")</f>
        <v>2A</v>
      </c>
      <c r="AC114" t="str">
        <f>IFERROR(IF(INDEX(Spring!$1:$1048576,MATCH(All!$A114,Spring!$A:$A,FALSE),MATCH(All!AC$1,Spring!$1:$1,FALSE))="","",INDEX(Spring!$1:$1048576,MATCH(All!$A114,Spring!$A:$A,FALSE),MATCH(All!AC$1,Spring!$1:$1,FALSE))),"")</f>
        <v>2A</v>
      </c>
      <c r="AD114" t="str">
        <f>IFERROR(VLOOKUP(A114,'Flag Football'!A:A,1,FALSE),"")</f>
        <v/>
      </c>
      <c r="AE114" t="str">
        <f t="shared" si="1"/>
        <v/>
      </c>
    </row>
    <row r="115" spans="1:31" ht="15.75" thickBot="1" x14ac:dyDescent="0.3">
      <c r="A115" s="20" t="s">
        <v>135</v>
      </c>
      <c r="B115" s="38" t="str">
        <f>IFERROR(VLOOKUP(A115,'Public v Private'!A:G,3,FALSE),"")</f>
        <v>no</v>
      </c>
      <c r="C115" s="38">
        <f>IFERROR(VLOOKUP(A115,'Public v Private'!A:G,4,FALSE),"")</f>
        <v>0</v>
      </c>
      <c r="D115" s="38">
        <f>IFERROR(VLOOKUP(A115,'Public v Private'!A:G,5,FALSE),"")</f>
        <v>0</v>
      </c>
      <c r="E115" s="38"/>
      <c r="F115" s="40" t="str">
        <f>IFERROR(INDEX(Fall!$1:$1048576,MATCH(All!$A115,Fall!$A:$A,FALSE),MATCH(All!F$1,Fall!$1:$1,FALSE)),"N/A")</f>
        <v>552.00 (910.80)</v>
      </c>
      <c r="G115" t="str">
        <f>IFERROR(IF(INDEX(Fall!$1:$1048576,MATCH(All!$A115,Fall!$A:$A,FALSE),MATCH(All!G$1,Fall!$1:$1,FALSE))="","",INDEX(Fall!$1:$1048576,MATCH(All!$A115,Fall!$A:$A,FALSE),MATCH(All!G$1,Fall!$1:$1,FALSE))),"")</f>
        <v>1A</v>
      </c>
      <c r="H115" t="str">
        <f>IFERROR(IF(INDEX(Fall!$1:$1048576,MATCH(All!$A115,Fall!$A:$A,FALSE),MATCH(All!H$1,Fall!$1:$1,FALSE))="","",INDEX(Fall!$1:$1048576,MATCH(All!$A115,Fall!$A:$A,FALSE),MATCH(All!H$1,Fall!$1:$1,FALSE))),"")</f>
        <v>1A</v>
      </c>
      <c r="I115" t="str">
        <f>IFERROR(IF(INDEX(Fall!$1:$1048576,MATCH(All!$A115,Fall!$A:$A,FALSE),MATCH(All!I$1,Fall!$1:$1,FALSE))="","",INDEX(Fall!$1:$1048576,MATCH(All!$A115,Fall!$A:$A,FALSE),MATCH(All!I$1,Fall!$1:$1,FALSE))),"")</f>
        <v/>
      </c>
      <c r="J115" t="str">
        <f>IFERROR(IF(INDEX(Fall!$1:$1048576,MATCH(All!$A115,Fall!$A:$A,FALSE),MATCH(All!J$1,Fall!$1:$1,FALSE))="","",INDEX(Fall!$1:$1048576,MATCH(All!$A115,Fall!$A:$A,FALSE),MATCH(All!J$1,Fall!$1:$1,FALSE))),"")</f>
        <v/>
      </c>
      <c r="K115" t="str">
        <f>IFERROR(IF(INDEX(Fall!$1:$1048576,MATCH(All!$A115,Fall!$A:$A,FALSE),MATCH(All!K$1,Fall!$1:$1,FALSE))="","",INDEX(Fall!$1:$1048576,MATCH(All!$A115,Fall!$A:$A,FALSE),MATCH(All!K$1,Fall!$1:$1,FALSE))),"")</f>
        <v>2A</v>
      </c>
      <c r="L115" t="str">
        <f>IFERROR(IF(INDEX(Fall!$1:$1048576,MATCH(All!$A115,Fall!$A:$A,FALSE),MATCH(All!L$1,Fall!$1:$1,FALSE))="","",INDEX(Fall!$1:$1048576,MATCH(All!$A115,Fall!$A:$A,FALSE),MATCH(All!L$1,Fall!$1:$1,FALSE))),"")</f>
        <v/>
      </c>
      <c r="M115" t="str">
        <f>IFERROR(IF(INDEX(Fall!$1:$1048576,MATCH(All!$A115,Fall!$A:$A,FALSE),MATCH(All!M$1,Fall!$1:$1,FALSE))="","",INDEX(Fall!$1:$1048576,MATCH(All!$A115,Fall!$A:$A,FALSE),MATCH(All!M$1,Fall!$1:$1,FALSE))),"")</f>
        <v>2A</v>
      </c>
      <c r="O115" t="str">
        <f>IFERROR(IF(INDEX(Winter!$1:$1048576,MATCH(All!$A115,Winter!$A:$A,FALSE),MATCH(All!O$1,Winter!$1:$1,FALSE))="","",INDEX(Winter!$1:$1048576,MATCH(All!$A115,Winter!$A:$A,FALSE),MATCH(All!O$1,Winter!$1:$1,FALSE))),"")</f>
        <v>552.00 (910.80)</v>
      </c>
      <c r="P115" t="str">
        <f>IFERROR(IF(INDEX(Winter!$1:$1048576,MATCH(All!$A115,Winter!$A:$A,FALSE),MATCH(All!P$1,Winter!$1:$1,FALSE))="","",INDEX(Winter!$1:$1048576,MATCH(All!$A115,Winter!$A:$A,FALSE),MATCH(All!P$1,Winter!$1:$1,FALSE))),"")</f>
        <v>2A</v>
      </c>
      <c r="Q115" t="str">
        <f>IFERROR(IF(INDEX(Winter!$1:$1048576,MATCH(All!$A115,Winter!$A:$A,FALSE),MATCH(All!Q$1,Winter!$1:$1,FALSE))="","",INDEX(Winter!$1:$1048576,MATCH(All!$A115,Winter!$A:$A,FALSE),MATCH(All!Q$1,Winter!$1:$1,FALSE))),"")</f>
        <v>2A</v>
      </c>
      <c r="R115" t="str">
        <f>IFERROR(IF(INDEX(Winter!$1:$1048576,MATCH(All!$A115,Winter!$A:$A,FALSE),MATCH(All!R$1,Winter!$1:$1,FALSE))="","",INDEX(Winter!$1:$1048576,MATCH(All!$A115,Winter!$A:$A,FALSE),MATCH(All!R$1,Winter!$1:$1,FALSE))),"")</f>
        <v/>
      </c>
      <c r="S115" t="str">
        <f>IFERROR(IF(INDEX(Winter!$1:$1048576,MATCH(All!$A115,Winter!$A:$A,FALSE),MATCH(All!S$1,Winter!$1:$1,FALSE))="","",INDEX(Winter!$1:$1048576,MATCH(All!$A115,Winter!$A:$A,FALSE),MATCH(All!S$1,Winter!$1:$1,FALSE))),"")</f>
        <v/>
      </c>
      <c r="T115" t="str">
        <f>IFERROR(IF(INDEX(Winter!$1:$1048576,MATCH(All!$A115,Winter!$A:$A,FALSE),MATCH(All!T$1,Winter!$1:$1,FALSE))="","",INDEX(Winter!$1:$1048576,MATCH(All!$A115,Winter!$A:$A,FALSE),MATCH(All!T$1,Winter!$1:$1,FALSE))),"")</f>
        <v/>
      </c>
      <c r="U115" t="str">
        <f>IFERROR(IF(INDEX(Winter!$1:$1048576,MATCH(All!$A115,Winter!$A:$A,FALSE),MATCH(All!U$1,Winter!$1:$1,FALSE))="","",INDEX(Winter!$1:$1048576,MATCH(All!$A115,Winter!$A:$A,FALSE),MATCH(All!U$1,Winter!$1:$1,FALSE))),"")</f>
        <v/>
      </c>
      <c r="W115" t="str">
        <f>IFERROR(IF(INDEX(Spring!$1:$1048576,MATCH(All!$A115,Spring!$A:$A,FALSE),MATCH(All!W$1,Spring!$1:$1,FALSE))="","",INDEX(Spring!$1:$1048576,MATCH(All!$A115,Spring!$A:$A,FALSE),MATCH(All!W$1,Spring!$1:$1,FALSE))),"")</f>
        <v>552.00 (910.80)</v>
      </c>
      <c r="X115" t="str">
        <f>IFERROR(IF(INDEX(Spring!$1:$1048576,MATCH(All!$A115,Spring!$A:$A,FALSE),MATCH(All!X$1,Spring!$1:$1,FALSE))="","",INDEX(Spring!$1:$1048576,MATCH(All!$A115,Spring!$A:$A,FALSE),MATCH(All!X$1,Spring!$1:$1,FALSE))),"")</f>
        <v/>
      </c>
      <c r="Y115" t="str">
        <f>IFERROR(IF(INDEX(Spring!$1:$1048576,MATCH(All!$A115,Spring!$A:$A,FALSE),MATCH(All!Y$1,Spring!$1:$1,FALSE))="","",INDEX(Spring!$1:$1048576,MATCH(All!$A115,Spring!$A:$A,FALSE),MATCH(All!Y$1,Spring!$1:$1,FALSE))),"")</f>
        <v/>
      </c>
      <c r="Z115" t="str">
        <f>IFERROR(IF(INDEX(Spring!$1:$1048576,MATCH(All!$A115,Spring!$A:$A,FALSE),MATCH(All!Z$1,Spring!$1:$1,FALSE))="","",INDEX(Spring!$1:$1048576,MATCH(All!$A115,Spring!$A:$A,FALSE),MATCH(All!Z$1,Spring!$1:$1,FALSE))),"")</f>
        <v>2A</v>
      </c>
      <c r="AA115" t="str">
        <f>IFERROR(IF(INDEX(Spring!$1:$1048576,MATCH(All!$A115,Spring!$A:$A,FALSE),MATCH(All!AA$1,Spring!$1:$1,FALSE))="","",INDEX(Spring!$1:$1048576,MATCH(All!$A115,Spring!$A:$A,FALSE),MATCH(All!AA$1,Spring!$1:$1,FALSE))),"")</f>
        <v/>
      </c>
      <c r="AB115" t="str">
        <f>IFERROR(IF(INDEX(Spring!$1:$1048576,MATCH(All!$A115,Spring!$A:$A,FALSE),MATCH(All!AB$1,Spring!$1:$1,FALSE))="","",INDEX(Spring!$1:$1048576,MATCH(All!$A115,Spring!$A:$A,FALSE),MATCH(All!AB$1,Spring!$1:$1,FALSE))),"")</f>
        <v/>
      </c>
      <c r="AC115" t="str">
        <f>IFERROR(IF(INDEX(Spring!$1:$1048576,MATCH(All!$A115,Spring!$A:$A,FALSE),MATCH(All!AC$1,Spring!$1:$1,FALSE))="","",INDEX(Spring!$1:$1048576,MATCH(All!$A115,Spring!$A:$A,FALSE),MATCH(All!AC$1,Spring!$1:$1,FALSE))),"")</f>
        <v/>
      </c>
      <c r="AD115" t="str">
        <f>IFERROR(VLOOKUP(A115,'Flag Football'!A:A,1,FALSE),"")</f>
        <v/>
      </c>
      <c r="AE115" t="str">
        <f t="shared" si="1"/>
        <v/>
      </c>
    </row>
    <row r="116" spans="1:31" ht="15.75" thickBot="1" x14ac:dyDescent="0.3">
      <c r="A116" s="18" t="s">
        <v>137</v>
      </c>
      <c r="B116" s="38" t="str">
        <f>IFERROR(VLOOKUP(A116,'Public v Private'!A:G,3,FALSE),"")</f>
        <v>no</v>
      </c>
      <c r="C116" s="38">
        <f>IFERROR(VLOOKUP(A116,'Public v Private'!A:G,4,FALSE),"")</f>
        <v>0</v>
      </c>
      <c r="D116" s="38">
        <f>IFERROR(VLOOKUP(A116,'Public v Private'!A:G,5,FALSE),"")</f>
        <v>0</v>
      </c>
      <c r="E116" s="38"/>
      <c r="F116" s="40" t="str">
        <f>IFERROR(INDEX(Fall!$1:$1048576,MATCH(All!$A116,Fall!$A:$A,FALSE),MATCH(All!F$1,Fall!$1:$1,FALSE)),"N/A")</f>
        <v>760.00 (1,254.00)</v>
      </c>
      <c r="G116" t="str">
        <f>IFERROR(IF(INDEX(Fall!$1:$1048576,MATCH(All!$A116,Fall!$A:$A,FALSE),MATCH(All!G$1,Fall!$1:$1,FALSE))="","",INDEX(Fall!$1:$1048576,MATCH(All!$A116,Fall!$A:$A,FALSE),MATCH(All!G$1,Fall!$1:$1,FALSE))),"")</f>
        <v>2A</v>
      </c>
      <c r="H116" t="str">
        <f>IFERROR(IF(INDEX(Fall!$1:$1048576,MATCH(All!$A116,Fall!$A:$A,FALSE),MATCH(All!H$1,Fall!$1:$1,FALSE))="","",INDEX(Fall!$1:$1048576,MATCH(All!$A116,Fall!$A:$A,FALSE),MATCH(All!H$1,Fall!$1:$1,FALSE))),"")</f>
        <v>2A</v>
      </c>
      <c r="I116" t="str">
        <f>IFERROR(IF(INDEX(Fall!$1:$1048576,MATCH(All!$A116,Fall!$A:$A,FALSE),MATCH(All!I$1,Fall!$1:$1,FALSE))="","",INDEX(Fall!$1:$1048576,MATCH(All!$A116,Fall!$A:$A,FALSE),MATCH(All!I$1,Fall!$1:$1,FALSE))),"")</f>
        <v>2A</v>
      </c>
      <c r="J116" t="str">
        <f>IFERROR(IF(INDEX(Fall!$1:$1048576,MATCH(All!$A116,Fall!$A:$A,FALSE),MATCH(All!J$1,Fall!$1:$1,FALSE))="","",INDEX(Fall!$1:$1048576,MATCH(All!$A116,Fall!$A:$A,FALSE),MATCH(All!J$1,Fall!$1:$1,FALSE))),"")</f>
        <v/>
      </c>
      <c r="K116" t="str">
        <f>IFERROR(IF(INDEX(Fall!$1:$1048576,MATCH(All!$A116,Fall!$A:$A,FALSE),MATCH(All!K$1,Fall!$1:$1,FALSE))="","",INDEX(Fall!$1:$1048576,MATCH(All!$A116,Fall!$A:$A,FALSE),MATCH(All!K$1,Fall!$1:$1,FALSE))),"")</f>
        <v>2A</v>
      </c>
      <c r="L116" t="str">
        <f>IFERROR(IF(INDEX(Fall!$1:$1048576,MATCH(All!$A116,Fall!$A:$A,FALSE),MATCH(All!L$1,Fall!$1:$1,FALSE))="","",INDEX(Fall!$1:$1048576,MATCH(All!$A116,Fall!$A:$A,FALSE),MATCH(All!L$1,Fall!$1:$1,FALSE))),"")</f>
        <v/>
      </c>
      <c r="M116" t="str">
        <f>IFERROR(IF(INDEX(Fall!$1:$1048576,MATCH(All!$A116,Fall!$A:$A,FALSE),MATCH(All!M$1,Fall!$1:$1,FALSE))="","",INDEX(Fall!$1:$1048576,MATCH(All!$A116,Fall!$A:$A,FALSE),MATCH(All!M$1,Fall!$1:$1,FALSE))),"")</f>
        <v>3A</v>
      </c>
      <c r="O116" t="str">
        <f>IFERROR(IF(INDEX(Winter!$1:$1048576,MATCH(All!$A116,Winter!$A:$A,FALSE),MATCH(All!O$1,Winter!$1:$1,FALSE))="","",INDEX(Winter!$1:$1048576,MATCH(All!$A116,Winter!$A:$A,FALSE),MATCH(All!O$1,Winter!$1:$1,FALSE))),"")</f>
        <v>760.00 (1,254.00)</v>
      </c>
      <c r="P116" t="str">
        <f>IFERROR(IF(INDEX(Winter!$1:$1048576,MATCH(All!$A116,Winter!$A:$A,FALSE),MATCH(All!P$1,Winter!$1:$1,FALSE))="","",INDEX(Winter!$1:$1048576,MATCH(All!$A116,Winter!$A:$A,FALSE),MATCH(All!P$1,Winter!$1:$1,FALSE))),"")</f>
        <v>3A</v>
      </c>
      <c r="Q116" t="str">
        <f>IFERROR(IF(INDEX(Winter!$1:$1048576,MATCH(All!$A116,Winter!$A:$A,FALSE),MATCH(All!Q$1,Winter!$1:$1,FALSE))="","",INDEX(Winter!$1:$1048576,MATCH(All!$A116,Winter!$A:$A,FALSE),MATCH(All!Q$1,Winter!$1:$1,FALSE))),"")</f>
        <v>3A</v>
      </c>
      <c r="R116" t="str">
        <f>IFERROR(IF(INDEX(Winter!$1:$1048576,MATCH(All!$A116,Winter!$A:$A,FALSE),MATCH(All!R$1,Winter!$1:$1,FALSE))="","",INDEX(Winter!$1:$1048576,MATCH(All!$A116,Winter!$A:$A,FALSE),MATCH(All!R$1,Winter!$1:$1,FALSE))),"")</f>
        <v/>
      </c>
      <c r="S116" t="str">
        <f>IFERROR(IF(INDEX(Winter!$1:$1048576,MATCH(All!$A116,Winter!$A:$A,FALSE),MATCH(All!S$1,Winter!$1:$1,FALSE))="","",INDEX(Winter!$1:$1048576,MATCH(All!$A116,Winter!$A:$A,FALSE),MATCH(All!S$1,Winter!$1:$1,FALSE))),"")</f>
        <v/>
      </c>
      <c r="T116" t="str">
        <f>IFERROR(IF(INDEX(Winter!$1:$1048576,MATCH(All!$A116,Winter!$A:$A,FALSE),MATCH(All!T$1,Winter!$1:$1,FALSE))="","",INDEX(Winter!$1:$1048576,MATCH(All!$A116,Winter!$A:$A,FALSE),MATCH(All!T$1,Winter!$1:$1,FALSE))),"")</f>
        <v/>
      </c>
      <c r="U116" t="str">
        <f>IFERROR(IF(INDEX(Winter!$1:$1048576,MATCH(All!$A116,Winter!$A:$A,FALSE),MATCH(All!U$1,Winter!$1:$1,FALSE))="","",INDEX(Winter!$1:$1048576,MATCH(All!$A116,Winter!$A:$A,FALSE),MATCH(All!U$1,Winter!$1:$1,FALSE))),"")</f>
        <v>2A</v>
      </c>
      <c r="W116" t="str">
        <f>IFERROR(IF(INDEX(Spring!$1:$1048576,MATCH(All!$A116,Spring!$A:$A,FALSE),MATCH(All!W$1,Spring!$1:$1,FALSE))="","",INDEX(Spring!$1:$1048576,MATCH(All!$A116,Spring!$A:$A,FALSE),MATCH(All!W$1,Spring!$1:$1,FALSE))),"")</f>
        <v>760.00 (1,254.00)</v>
      </c>
      <c r="X116" t="str">
        <f>IFERROR(IF(INDEX(Spring!$1:$1048576,MATCH(All!$A116,Spring!$A:$A,FALSE),MATCH(All!X$1,Spring!$1:$1,FALSE))="","",INDEX(Spring!$1:$1048576,MATCH(All!$A116,Spring!$A:$A,FALSE),MATCH(All!X$1,Spring!$1:$1,FALSE))),"")</f>
        <v>3A</v>
      </c>
      <c r="Y116" t="str">
        <f>IFERROR(IF(INDEX(Spring!$1:$1048576,MATCH(All!$A116,Spring!$A:$A,FALSE),MATCH(All!Y$1,Spring!$1:$1,FALSE))="","",INDEX(Spring!$1:$1048576,MATCH(All!$A116,Spring!$A:$A,FALSE),MATCH(All!Y$1,Spring!$1:$1,FALSE))),"")</f>
        <v/>
      </c>
      <c r="Z116" t="str">
        <f>IFERROR(IF(INDEX(Spring!$1:$1048576,MATCH(All!$A116,Spring!$A:$A,FALSE),MATCH(All!Z$1,Spring!$1:$1,FALSE))="","",INDEX(Spring!$1:$1048576,MATCH(All!$A116,Spring!$A:$A,FALSE),MATCH(All!Z$1,Spring!$1:$1,FALSE))),"")</f>
        <v>2A</v>
      </c>
      <c r="AA116" t="str">
        <f>IFERROR(IF(INDEX(Spring!$1:$1048576,MATCH(All!$A116,Spring!$A:$A,FALSE),MATCH(All!AA$1,Spring!$1:$1,FALSE))="","",INDEX(Spring!$1:$1048576,MATCH(All!$A116,Spring!$A:$A,FALSE),MATCH(All!AA$1,Spring!$1:$1,FALSE))),"")</f>
        <v/>
      </c>
      <c r="AB116" t="str">
        <f>IFERROR(IF(INDEX(Spring!$1:$1048576,MATCH(All!$A116,Spring!$A:$A,FALSE),MATCH(All!AB$1,Spring!$1:$1,FALSE))="","",INDEX(Spring!$1:$1048576,MATCH(All!$A116,Spring!$A:$A,FALSE),MATCH(All!AB$1,Spring!$1:$1,FALSE))),"")</f>
        <v>3A</v>
      </c>
      <c r="AC116" t="str">
        <f>IFERROR(IF(INDEX(Spring!$1:$1048576,MATCH(All!$A116,Spring!$A:$A,FALSE),MATCH(All!AC$1,Spring!$1:$1,FALSE))="","",INDEX(Spring!$1:$1048576,MATCH(All!$A116,Spring!$A:$A,FALSE),MATCH(All!AC$1,Spring!$1:$1,FALSE))),"")</f>
        <v>3A</v>
      </c>
      <c r="AD116" t="str">
        <f>IFERROR(VLOOKUP(A116,'Flag Football'!A:A,1,FALSE),"")</f>
        <v>Chicago (Agricultural Science)</v>
      </c>
      <c r="AE116" t="str">
        <f t="shared" si="1"/>
        <v>1A</v>
      </c>
    </row>
    <row r="117" spans="1:31" ht="15.75" thickBot="1" x14ac:dyDescent="0.3">
      <c r="A117" s="20" t="s">
        <v>139</v>
      </c>
      <c r="B117" s="38" t="str">
        <f>IFERROR(VLOOKUP(A117,'Public v Private'!A:G,3,FALSE),"")</f>
        <v>no</v>
      </c>
      <c r="C117" s="38">
        <f>IFERROR(VLOOKUP(A117,'Public v Private'!A:G,4,FALSE),"")</f>
        <v>0</v>
      </c>
      <c r="D117" s="38">
        <f>IFERROR(VLOOKUP(A117,'Public v Private'!A:G,5,FALSE),"")</f>
        <v>0</v>
      </c>
      <c r="E117" s="38"/>
      <c r="F117" s="40" t="str">
        <f>IFERROR(INDEX(Fall!$1:$1048576,MATCH(All!$A117,Fall!$A:$A,FALSE),MATCH(All!F$1,Fall!$1:$1,FALSE)),"N/A")</f>
        <v>130.00 (214.50)</v>
      </c>
      <c r="G117" t="str">
        <f>IFERROR(IF(INDEX(Fall!$1:$1048576,MATCH(All!$A117,Fall!$A:$A,FALSE),MATCH(All!G$1,Fall!$1:$1,FALSE))="","",INDEX(Fall!$1:$1048576,MATCH(All!$A117,Fall!$A:$A,FALSE),MATCH(All!G$1,Fall!$1:$1,FALSE))),"")</f>
        <v/>
      </c>
      <c r="H117" t="str">
        <f>IFERROR(IF(INDEX(Fall!$1:$1048576,MATCH(All!$A117,Fall!$A:$A,FALSE),MATCH(All!H$1,Fall!$1:$1,FALSE))="","",INDEX(Fall!$1:$1048576,MATCH(All!$A117,Fall!$A:$A,FALSE),MATCH(All!H$1,Fall!$1:$1,FALSE))),"")</f>
        <v/>
      </c>
      <c r="I117" t="str">
        <f>IFERROR(IF(INDEX(Fall!$1:$1048576,MATCH(All!$A117,Fall!$A:$A,FALSE),MATCH(All!I$1,Fall!$1:$1,FALSE))="","",INDEX(Fall!$1:$1048576,MATCH(All!$A117,Fall!$A:$A,FALSE),MATCH(All!I$1,Fall!$1:$1,FALSE))),"")</f>
        <v/>
      </c>
      <c r="J117" t="str">
        <f>IFERROR(IF(INDEX(Fall!$1:$1048576,MATCH(All!$A117,Fall!$A:$A,FALSE),MATCH(All!J$1,Fall!$1:$1,FALSE))="","",INDEX(Fall!$1:$1048576,MATCH(All!$A117,Fall!$A:$A,FALSE),MATCH(All!J$1,Fall!$1:$1,FALSE))),"")</f>
        <v/>
      </c>
      <c r="K117" t="str">
        <f>IFERROR(IF(INDEX(Fall!$1:$1048576,MATCH(All!$A117,Fall!$A:$A,FALSE),MATCH(All!K$1,Fall!$1:$1,FALSE))="","",INDEX(Fall!$1:$1048576,MATCH(All!$A117,Fall!$A:$A,FALSE),MATCH(All!K$1,Fall!$1:$1,FALSE))),"")</f>
        <v>1A</v>
      </c>
      <c r="L117" t="str">
        <f>IFERROR(IF(INDEX(Fall!$1:$1048576,MATCH(All!$A117,Fall!$A:$A,FALSE),MATCH(All!L$1,Fall!$1:$1,FALSE))="","",INDEX(Fall!$1:$1048576,MATCH(All!$A117,Fall!$A:$A,FALSE),MATCH(All!L$1,Fall!$1:$1,FALSE))),"")</f>
        <v/>
      </c>
      <c r="M117" t="str">
        <f>IFERROR(IF(INDEX(Fall!$1:$1048576,MATCH(All!$A117,Fall!$A:$A,FALSE),MATCH(All!M$1,Fall!$1:$1,FALSE))="","",INDEX(Fall!$1:$1048576,MATCH(All!$A117,Fall!$A:$A,FALSE),MATCH(All!M$1,Fall!$1:$1,FALSE))),"")</f>
        <v>1A</v>
      </c>
      <c r="O117" t="str">
        <f>IFERROR(IF(INDEX(Winter!$1:$1048576,MATCH(All!$A117,Winter!$A:$A,FALSE),MATCH(All!O$1,Winter!$1:$1,FALSE))="","",INDEX(Winter!$1:$1048576,MATCH(All!$A117,Winter!$A:$A,FALSE),MATCH(All!O$1,Winter!$1:$1,FALSE))),"")</f>
        <v>130.00 (214.50)</v>
      </c>
      <c r="P117" t="str">
        <f>IFERROR(IF(INDEX(Winter!$1:$1048576,MATCH(All!$A117,Winter!$A:$A,FALSE),MATCH(All!P$1,Winter!$1:$1,FALSE))="","",INDEX(Winter!$1:$1048576,MATCH(All!$A117,Winter!$A:$A,FALSE),MATCH(All!P$1,Winter!$1:$1,FALSE))),"")</f>
        <v>1A</v>
      </c>
      <c r="Q117" t="str">
        <f>IFERROR(IF(INDEX(Winter!$1:$1048576,MATCH(All!$A117,Winter!$A:$A,FALSE),MATCH(All!Q$1,Winter!$1:$1,FALSE))="","",INDEX(Winter!$1:$1048576,MATCH(All!$A117,Winter!$A:$A,FALSE),MATCH(All!Q$1,Winter!$1:$1,FALSE))),"")</f>
        <v>1A</v>
      </c>
      <c r="R117" t="str">
        <f>IFERROR(IF(INDEX(Winter!$1:$1048576,MATCH(All!$A117,Winter!$A:$A,FALSE),MATCH(All!R$1,Winter!$1:$1,FALSE))="","",INDEX(Winter!$1:$1048576,MATCH(All!$A117,Winter!$A:$A,FALSE),MATCH(All!R$1,Winter!$1:$1,FALSE))),"")</f>
        <v/>
      </c>
      <c r="S117" t="str">
        <f>IFERROR(IF(INDEX(Winter!$1:$1048576,MATCH(All!$A117,Winter!$A:$A,FALSE),MATCH(All!S$1,Winter!$1:$1,FALSE))="","",INDEX(Winter!$1:$1048576,MATCH(All!$A117,Winter!$A:$A,FALSE),MATCH(All!S$1,Winter!$1:$1,FALSE))),"")</f>
        <v/>
      </c>
      <c r="T117" t="str">
        <f>IFERROR(IF(INDEX(Winter!$1:$1048576,MATCH(All!$A117,Winter!$A:$A,FALSE),MATCH(All!T$1,Winter!$1:$1,FALSE))="","",INDEX(Winter!$1:$1048576,MATCH(All!$A117,Winter!$A:$A,FALSE),MATCH(All!T$1,Winter!$1:$1,FALSE))),"")</f>
        <v/>
      </c>
      <c r="U117" t="str">
        <f>IFERROR(IF(INDEX(Winter!$1:$1048576,MATCH(All!$A117,Winter!$A:$A,FALSE),MATCH(All!U$1,Winter!$1:$1,FALSE))="","",INDEX(Winter!$1:$1048576,MATCH(All!$A117,Winter!$A:$A,FALSE),MATCH(All!U$1,Winter!$1:$1,FALSE))),"")</f>
        <v/>
      </c>
      <c r="W117" t="str">
        <f>IFERROR(IF(INDEX(Spring!$1:$1048576,MATCH(All!$A117,Spring!$A:$A,FALSE),MATCH(All!W$1,Spring!$1:$1,FALSE))="","",INDEX(Spring!$1:$1048576,MATCH(All!$A117,Spring!$A:$A,FALSE),MATCH(All!W$1,Spring!$1:$1,FALSE))),"")</f>
        <v>130.00 (214.50)</v>
      </c>
      <c r="X117" t="str">
        <f>IFERROR(IF(INDEX(Spring!$1:$1048576,MATCH(All!$A117,Spring!$A:$A,FALSE),MATCH(All!X$1,Spring!$1:$1,FALSE))="","",INDEX(Spring!$1:$1048576,MATCH(All!$A117,Spring!$A:$A,FALSE),MATCH(All!X$1,Spring!$1:$1,FALSE))),"")</f>
        <v>1A</v>
      </c>
      <c r="Y117" t="str">
        <f>IFERROR(IF(INDEX(Spring!$1:$1048576,MATCH(All!$A117,Spring!$A:$A,FALSE),MATCH(All!Y$1,Spring!$1:$1,FALSE))="","",INDEX(Spring!$1:$1048576,MATCH(All!$A117,Spring!$A:$A,FALSE),MATCH(All!Y$1,Spring!$1:$1,FALSE))),"")</f>
        <v/>
      </c>
      <c r="Z117" t="str">
        <f>IFERROR(IF(INDEX(Spring!$1:$1048576,MATCH(All!$A117,Spring!$A:$A,FALSE),MATCH(All!Z$1,Spring!$1:$1,FALSE))="","",INDEX(Spring!$1:$1048576,MATCH(All!$A117,Spring!$A:$A,FALSE),MATCH(All!Z$1,Spring!$1:$1,FALSE))),"")</f>
        <v>1A</v>
      </c>
      <c r="AA117" t="str">
        <f>IFERROR(IF(INDEX(Spring!$1:$1048576,MATCH(All!$A117,Spring!$A:$A,FALSE),MATCH(All!AA$1,Spring!$1:$1,FALSE))="","",INDEX(Spring!$1:$1048576,MATCH(All!$A117,Spring!$A:$A,FALSE),MATCH(All!AA$1,Spring!$1:$1,FALSE))),"")</f>
        <v/>
      </c>
      <c r="AB117" t="str">
        <f>IFERROR(IF(INDEX(Spring!$1:$1048576,MATCH(All!$A117,Spring!$A:$A,FALSE),MATCH(All!AB$1,Spring!$1:$1,FALSE))="","",INDEX(Spring!$1:$1048576,MATCH(All!$A117,Spring!$A:$A,FALSE),MATCH(All!AB$1,Spring!$1:$1,FALSE))),"")</f>
        <v/>
      </c>
      <c r="AC117" t="str">
        <f>IFERROR(IF(INDEX(Spring!$1:$1048576,MATCH(All!$A117,Spring!$A:$A,FALSE),MATCH(All!AC$1,Spring!$1:$1,FALSE))="","",INDEX(Spring!$1:$1048576,MATCH(All!$A117,Spring!$A:$A,FALSE),MATCH(All!AC$1,Spring!$1:$1,FALSE))),"")</f>
        <v/>
      </c>
      <c r="AD117" t="str">
        <f>IFERROR(VLOOKUP(A117,'Flag Football'!A:A,1,FALSE),"")</f>
        <v>Chicago (Air Force Academy)</v>
      </c>
      <c r="AE117" t="str">
        <f t="shared" si="1"/>
        <v>1A</v>
      </c>
    </row>
    <row r="118" spans="1:31" ht="15.75" thickBot="1" x14ac:dyDescent="0.3">
      <c r="A118" s="18" t="s">
        <v>981</v>
      </c>
      <c r="B118" s="38" t="str">
        <f>IFERROR(VLOOKUP(A118,'Public v Private'!A:G,3,FALSE),"")</f>
        <v/>
      </c>
      <c r="C118" s="38" t="str">
        <f>IFERROR(VLOOKUP(A118,'Public v Private'!A:G,4,FALSE),"")</f>
        <v/>
      </c>
      <c r="D118" s="38" t="str">
        <f>IFERROR(VLOOKUP(A118,'Public v Private'!A:G,5,FALSE),"")</f>
        <v/>
      </c>
      <c r="E118" s="38"/>
      <c r="F118" s="40" t="str">
        <f>IFERROR(INDEX(Fall!$1:$1048576,MATCH(All!$A118,Fall!$A:$A,FALSE),MATCH(All!F$1,Fall!$1:$1,FALSE)),"N/A")</f>
        <v>340.00 (561.83)</v>
      </c>
      <c r="G118" t="str">
        <f>IFERROR(IF(INDEX(Fall!$1:$1048576,MATCH(All!$A118,Fall!$A:$A,FALSE),MATCH(All!G$1,Fall!$1:$1,FALSE))="","",INDEX(Fall!$1:$1048576,MATCH(All!$A118,Fall!$A:$A,FALSE),MATCH(All!G$1,Fall!$1:$1,FALSE))),"")</f>
        <v/>
      </c>
      <c r="H118" t="str">
        <f>IFERROR(IF(INDEX(Fall!$1:$1048576,MATCH(All!$A118,Fall!$A:$A,FALSE),MATCH(All!H$1,Fall!$1:$1,FALSE))="","",INDEX(Fall!$1:$1048576,MATCH(All!$A118,Fall!$A:$A,FALSE),MATCH(All!H$1,Fall!$1:$1,FALSE))),"")</f>
        <v/>
      </c>
      <c r="I118" t="str">
        <f>IFERROR(IF(INDEX(Fall!$1:$1048576,MATCH(All!$A118,Fall!$A:$A,FALSE),MATCH(All!I$1,Fall!$1:$1,FALSE))="","",INDEX(Fall!$1:$1048576,MATCH(All!$A118,Fall!$A:$A,FALSE),MATCH(All!I$1,Fall!$1:$1,FALSE))),"")</f>
        <v/>
      </c>
      <c r="J118" t="str">
        <f>IFERROR(IF(INDEX(Fall!$1:$1048576,MATCH(All!$A118,Fall!$A:$A,FALSE),MATCH(All!J$1,Fall!$1:$1,FALSE))="","",INDEX(Fall!$1:$1048576,MATCH(All!$A118,Fall!$A:$A,FALSE),MATCH(All!J$1,Fall!$1:$1,FALSE))),"")</f>
        <v/>
      </c>
      <c r="K118" t="str">
        <f>IFERROR(IF(INDEX(Fall!$1:$1048576,MATCH(All!$A118,Fall!$A:$A,FALSE),MATCH(All!K$1,Fall!$1:$1,FALSE))="","",INDEX(Fall!$1:$1048576,MATCH(All!$A118,Fall!$A:$A,FALSE),MATCH(All!K$1,Fall!$1:$1,FALSE))),"")</f>
        <v/>
      </c>
      <c r="L118" t="str">
        <f>IFERROR(IF(INDEX(Fall!$1:$1048576,MATCH(All!$A118,Fall!$A:$A,FALSE),MATCH(All!L$1,Fall!$1:$1,FALSE))="","",INDEX(Fall!$1:$1048576,MATCH(All!$A118,Fall!$A:$A,FALSE),MATCH(All!L$1,Fall!$1:$1,FALSE))),"")</f>
        <v/>
      </c>
      <c r="M118" t="str">
        <f>IFERROR(IF(INDEX(Fall!$1:$1048576,MATCH(All!$A118,Fall!$A:$A,FALSE),MATCH(All!M$1,Fall!$1:$1,FALSE))="","",INDEX(Fall!$1:$1048576,MATCH(All!$A118,Fall!$A:$A,FALSE),MATCH(All!M$1,Fall!$1:$1,FALSE))),"")</f>
        <v>2A</v>
      </c>
      <c r="O118" t="str">
        <f>IFERROR(IF(INDEX(Winter!$1:$1048576,MATCH(All!$A118,Winter!$A:$A,FALSE),MATCH(All!O$1,Winter!$1:$1,FALSE))="","",INDEX(Winter!$1:$1048576,MATCH(All!$A118,Winter!$A:$A,FALSE),MATCH(All!O$1,Winter!$1:$1,FALSE))),"")</f>
        <v/>
      </c>
      <c r="P118" t="str">
        <f>IFERROR(IF(INDEX(Winter!$1:$1048576,MATCH(All!$A118,Winter!$A:$A,FALSE),MATCH(All!P$1,Winter!$1:$1,FALSE))="","",INDEX(Winter!$1:$1048576,MATCH(All!$A118,Winter!$A:$A,FALSE),MATCH(All!P$1,Winter!$1:$1,FALSE))),"")</f>
        <v/>
      </c>
      <c r="Q118" t="str">
        <f>IFERROR(IF(INDEX(Winter!$1:$1048576,MATCH(All!$A118,Winter!$A:$A,FALSE),MATCH(All!Q$1,Winter!$1:$1,FALSE))="","",INDEX(Winter!$1:$1048576,MATCH(All!$A118,Winter!$A:$A,FALSE),MATCH(All!Q$1,Winter!$1:$1,FALSE))),"")</f>
        <v/>
      </c>
      <c r="R118" t="str">
        <f>IFERROR(IF(INDEX(Winter!$1:$1048576,MATCH(All!$A118,Winter!$A:$A,FALSE),MATCH(All!R$1,Winter!$1:$1,FALSE))="","",INDEX(Winter!$1:$1048576,MATCH(All!$A118,Winter!$A:$A,FALSE),MATCH(All!R$1,Winter!$1:$1,FALSE))),"")</f>
        <v/>
      </c>
      <c r="S118" t="str">
        <f>IFERROR(IF(INDEX(Winter!$1:$1048576,MATCH(All!$A118,Winter!$A:$A,FALSE),MATCH(All!S$1,Winter!$1:$1,FALSE))="","",INDEX(Winter!$1:$1048576,MATCH(All!$A118,Winter!$A:$A,FALSE),MATCH(All!S$1,Winter!$1:$1,FALSE))),"")</f>
        <v/>
      </c>
      <c r="T118" t="str">
        <f>IFERROR(IF(INDEX(Winter!$1:$1048576,MATCH(All!$A118,Winter!$A:$A,FALSE),MATCH(All!T$1,Winter!$1:$1,FALSE))="","",INDEX(Winter!$1:$1048576,MATCH(All!$A118,Winter!$A:$A,FALSE),MATCH(All!T$1,Winter!$1:$1,FALSE))),"")</f>
        <v/>
      </c>
      <c r="U118" t="str">
        <f>IFERROR(IF(INDEX(Winter!$1:$1048576,MATCH(All!$A118,Winter!$A:$A,FALSE),MATCH(All!U$1,Winter!$1:$1,FALSE))="","",INDEX(Winter!$1:$1048576,MATCH(All!$A118,Winter!$A:$A,FALSE),MATCH(All!U$1,Winter!$1:$1,FALSE))),"")</f>
        <v/>
      </c>
      <c r="W118" t="str">
        <f>IFERROR(IF(INDEX(Spring!$1:$1048576,MATCH(All!$A118,Spring!$A:$A,FALSE),MATCH(All!W$1,Spring!$1:$1,FALSE))="","",INDEX(Spring!$1:$1048576,MATCH(All!$A118,Spring!$A:$A,FALSE),MATCH(All!W$1,Spring!$1:$1,FALSE))),"")</f>
        <v/>
      </c>
      <c r="X118" t="str">
        <f>IFERROR(IF(INDEX(Spring!$1:$1048576,MATCH(All!$A118,Spring!$A:$A,FALSE),MATCH(All!X$1,Spring!$1:$1,FALSE))="","",INDEX(Spring!$1:$1048576,MATCH(All!$A118,Spring!$A:$A,FALSE),MATCH(All!X$1,Spring!$1:$1,FALSE))),"")</f>
        <v/>
      </c>
      <c r="Y118" t="str">
        <f>IFERROR(IF(INDEX(Spring!$1:$1048576,MATCH(All!$A118,Spring!$A:$A,FALSE),MATCH(All!Y$1,Spring!$1:$1,FALSE))="","",INDEX(Spring!$1:$1048576,MATCH(All!$A118,Spring!$A:$A,FALSE),MATCH(All!Y$1,Spring!$1:$1,FALSE))),"")</f>
        <v/>
      </c>
      <c r="Z118" t="str">
        <f>IFERROR(IF(INDEX(Spring!$1:$1048576,MATCH(All!$A118,Spring!$A:$A,FALSE),MATCH(All!Z$1,Spring!$1:$1,FALSE))="","",INDEX(Spring!$1:$1048576,MATCH(All!$A118,Spring!$A:$A,FALSE),MATCH(All!Z$1,Spring!$1:$1,FALSE))),"")</f>
        <v/>
      </c>
      <c r="AA118" t="str">
        <f>IFERROR(IF(INDEX(Spring!$1:$1048576,MATCH(All!$A118,Spring!$A:$A,FALSE),MATCH(All!AA$1,Spring!$1:$1,FALSE))="","",INDEX(Spring!$1:$1048576,MATCH(All!$A118,Spring!$A:$A,FALSE),MATCH(All!AA$1,Spring!$1:$1,FALSE))),"")</f>
        <v/>
      </c>
      <c r="AB118" t="str">
        <f>IFERROR(IF(INDEX(Spring!$1:$1048576,MATCH(All!$A118,Spring!$A:$A,FALSE),MATCH(All!AB$1,Spring!$1:$1,FALSE))="","",INDEX(Spring!$1:$1048576,MATCH(All!$A118,Spring!$A:$A,FALSE),MATCH(All!AB$1,Spring!$1:$1,FALSE))),"")</f>
        <v/>
      </c>
      <c r="AC118" t="str">
        <f>IFERROR(IF(INDEX(Spring!$1:$1048576,MATCH(All!$A118,Spring!$A:$A,FALSE),MATCH(All!AC$1,Spring!$1:$1,FALSE))="","",INDEX(Spring!$1:$1048576,MATCH(All!$A118,Spring!$A:$A,FALSE),MATCH(All!AC$1,Spring!$1:$1,FALSE))),"")</f>
        <v/>
      </c>
      <c r="AD118" t="str">
        <f>IFERROR(VLOOKUP(A118,'Flag Football'!A:A,1,FALSE),"")</f>
        <v/>
      </c>
      <c r="AE118" t="str">
        <f t="shared" si="1"/>
        <v/>
      </c>
    </row>
    <row r="119" spans="1:31" ht="15.75" thickBot="1" x14ac:dyDescent="0.3">
      <c r="A119" s="20" t="s">
        <v>141</v>
      </c>
      <c r="B119" s="38">
        <f>IFERROR(VLOOKUP(A119,'Public v Private'!A:G,3,FALSE),"")</f>
        <v>0</v>
      </c>
      <c r="C119" s="38">
        <f>IFERROR(VLOOKUP(A119,'Public v Private'!A:G,4,FALSE),"")</f>
        <v>0</v>
      </c>
      <c r="D119" s="38">
        <f>IFERROR(VLOOKUP(A119,'Public v Private'!A:G,5,FALSE),"")</f>
        <v>0</v>
      </c>
      <c r="E119" s="38"/>
      <c r="F119" s="40">
        <f>IFERROR(INDEX(Fall!$1:$1048576,MATCH(All!$A119,Fall!$A:$A,FALSE),MATCH(All!F$1,Fall!$1:$1,FALSE)),"N/A")</f>
        <v>1420</v>
      </c>
      <c r="G119" t="str">
        <f>IFERROR(IF(INDEX(Fall!$1:$1048576,MATCH(All!$A119,Fall!$A:$A,FALSE),MATCH(All!G$1,Fall!$1:$1,FALSE))="","",INDEX(Fall!$1:$1048576,MATCH(All!$A119,Fall!$A:$A,FALSE),MATCH(All!G$1,Fall!$1:$1,FALSE))),"")</f>
        <v>2A</v>
      </c>
      <c r="H119" t="str">
        <f>IFERROR(IF(INDEX(Fall!$1:$1048576,MATCH(All!$A119,Fall!$A:$A,FALSE),MATCH(All!H$1,Fall!$1:$1,FALSE))="","",INDEX(Fall!$1:$1048576,MATCH(All!$A119,Fall!$A:$A,FALSE),MATCH(All!H$1,Fall!$1:$1,FALSE))),"")</f>
        <v>2A</v>
      </c>
      <c r="I119" t="str">
        <f>IFERROR(IF(INDEX(Fall!$1:$1048576,MATCH(All!$A119,Fall!$A:$A,FALSE),MATCH(All!I$1,Fall!$1:$1,FALSE))="","",INDEX(Fall!$1:$1048576,MATCH(All!$A119,Fall!$A:$A,FALSE),MATCH(All!I$1,Fall!$1:$1,FALSE))),"")</f>
        <v>2A</v>
      </c>
      <c r="J119" t="str">
        <f>IFERROR(IF(INDEX(Fall!$1:$1048576,MATCH(All!$A119,Fall!$A:$A,FALSE),MATCH(All!J$1,Fall!$1:$1,FALSE))="","",INDEX(Fall!$1:$1048576,MATCH(All!$A119,Fall!$A:$A,FALSE),MATCH(All!J$1,Fall!$1:$1,FALSE))),"")</f>
        <v/>
      </c>
      <c r="K119" t="str">
        <f>IFERROR(IF(INDEX(Fall!$1:$1048576,MATCH(All!$A119,Fall!$A:$A,FALSE),MATCH(All!K$1,Fall!$1:$1,FALSE))="","",INDEX(Fall!$1:$1048576,MATCH(All!$A119,Fall!$A:$A,FALSE),MATCH(All!K$1,Fall!$1:$1,FALSE))),"")</f>
        <v>2A</v>
      </c>
      <c r="L119" t="str">
        <f>IFERROR(IF(INDEX(Fall!$1:$1048576,MATCH(All!$A119,Fall!$A:$A,FALSE),MATCH(All!L$1,Fall!$1:$1,FALSE))="","",INDEX(Fall!$1:$1048576,MATCH(All!$A119,Fall!$A:$A,FALSE),MATCH(All!L$1,Fall!$1:$1,FALSE))),"")</f>
        <v/>
      </c>
      <c r="M119" t="str">
        <f>IFERROR(IF(INDEX(Fall!$1:$1048576,MATCH(All!$A119,Fall!$A:$A,FALSE),MATCH(All!M$1,Fall!$1:$1,FALSE))="","",INDEX(Fall!$1:$1048576,MATCH(All!$A119,Fall!$A:$A,FALSE),MATCH(All!M$1,Fall!$1:$1,FALSE))),"")</f>
        <v>3A</v>
      </c>
      <c r="O119">
        <f>IFERROR(IF(INDEX(Winter!$1:$1048576,MATCH(All!$A119,Winter!$A:$A,FALSE),MATCH(All!O$1,Winter!$1:$1,FALSE))="","",INDEX(Winter!$1:$1048576,MATCH(All!$A119,Winter!$A:$A,FALSE),MATCH(All!O$1,Winter!$1:$1,FALSE))),"")</f>
        <v>1420</v>
      </c>
      <c r="P119" t="str">
        <f>IFERROR(IF(INDEX(Winter!$1:$1048576,MATCH(All!$A119,Winter!$A:$A,FALSE),MATCH(All!P$1,Winter!$1:$1,FALSE))="","",INDEX(Winter!$1:$1048576,MATCH(All!$A119,Winter!$A:$A,FALSE),MATCH(All!P$1,Winter!$1:$1,FALSE))),"")</f>
        <v>3A</v>
      </c>
      <c r="Q119" t="str">
        <f>IFERROR(IF(INDEX(Winter!$1:$1048576,MATCH(All!$A119,Winter!$A:$A,FALSE),MATCH(All!Q$1,Winter!$1:$1,FALSE))="","",INDEX(Winter!$1:$1048576,MATCH(All!$A119,Winter!$A:$A,FALSE),MATCH(All!Q$1,Winter!$1:$1,FALSE))),"")</f>
        <v>3A</v>
      </c>
      <c r="R119" t="str">
        <f>IFERROR(IF(INDEX(Winter!$1:$1048576,MATCH(All!$A119,Winter!$A:$A,FALSE),MATCH(All!R$1,Winter!$1:$1,FALSE))="","",INDEX(Winter!$1:$1048576,MATCH(All!$A119,Winter!$A:$A,FALSE),MATCH(All!R$1,Winter!$1:$1,FALSE))),"")</f>
        <v>2A</v>
      </c>
      <c r="S119" t="str">
        <f>IFERROR(IF(INDEX(Winter!$1:$1048576,MATCH(All!$A119,Winter!$A:$A,FALSE),MATCH(All!S$1,Winter!$1:$1,FALSE))="","",INDEX(Winter!$1:$1048576,MATCH(All!$A119,Winter!$A:$A,FALSE),MATCH(All!S$1,Winter!$1:$1,FALSE))),"")</f>
        <v/>
      </c>
      <c r="T119" t="str">
        <f>IFERROR(IF(INDEX(Winter!$1:$1048576,MATCH(All!$A119,Winter!$A:$A,FALSE),MATCH(All!T$1,Winter!$1:$1,FALSE))="","",INDEX(Winter!$1:$1048576,MATCH(All!$A119,Winter!$A:$A,FALSE),MATCH(All!T$1,Winter!$1:$1,FALSE))),"")</f>
        <v/>
      </c>
      <c r="U119" t="str">
        <f>IFERROR(IF(INDEX(Winter!$1:$1048576,MATCH(All!$A119,Winter!$A:$A,FALSE),MATCH(All!U$1,Winter!$1:$1,FALSE))="","",INDEX(Winter!$1:$1048576,MATCH(All!$A119,Winter!$A:$A,FALSE),MATCH(All!U$1,Winter!$1:$1,FALSE))),"")</f>
        <v>2A</v>
      </c>
      <c r="W119">
        <f>IFERROR(IF(INDEX(Spring!$1:$1048576,MATCH(All!$A119,Spring!$A:$A,FALSE),MATCH(All!W$1,Spring!$1:$1,FALSE))="","",INDEX(Spring!$1:$1048576,MATCH(All!$A119,Spring!$A:$A,FALSE),MATCH(All!W$1,Spring!$1:$1,FALSE))),"")</f>
        <v>1420</v>
      </c>
      <c r="X119" t="str">
        <f>IFERROR(IF(INDEX(Spring!$1:$1048576,MATCH(All!$A119,Spring!$A:$A,FALSE),MATCH(All!X$1,Spring!$1:$1,FALSE))="","",INDEX(Spring!$1:$1048576,MATCH(All!$A119,Spring!$A:$A,FALSE),MATCH(All!X$1,Spring!$1:$1,FALSE))),"")</f>
        <v>3A</v>
      </c>
      <c r="Y119" t="str">
        <f>IFERROR(IF(INDEX(Spring!$1:$1048576,MATCH(All!$A119,Spring!$A:$A,FALSE),MATCH(All!Y$1,Spring!$1:$1,FALSE))="","",INDEX(Spring!$1:$1048576,MATCH(All!$A119,Spring!$A:$A,FALSE),MATCH(All!Y$1,Spring!$1:$1,FALSE))),"")</f>
        <v>3A</v>
      </c>
      <c r="Z119" t="str">
        <f>IFERROR(IF(INDEX(Spring!$1:$1048576,MATCH(All!$A119,Spring!$A:$A,FALSE),MATCH(All!Z$1,Spring!$1:$1,FALSE))="","",INDEX(Spring!$1:$1048576,MATCH(All!$A119,Spring!$A:$A,FALSE),MATCH(All!Z$1,Spring!$1:$1,FALSE))),"")</f>
        <v>2A</v>
      </c>
      <c r="AA119" t="str">
        <f>IFERROR(IF(INDEX(Spring!$1:$1048576,MATCH(All!$A119,Spring!$A:$A,FALSE),MATCH(All!AA$1,Spring!$1:$1,FALSE))="","",INDEX(Spring!$1:$1048576,MATCH(All!$A119,Spring!$A:$A,FALSE),MATCH(All!AA$1,Spring!$1:$1,FALSE))),"")</f>
        <v/>
      </c>
      <c r="AB119" t="str">
        <f>IFERROR(IF(INDEX(Spring!$1:$1048576,MATCH(All!$A119,Spring!$A:$A,FALSE),MATCH(All!AB$1,Spring!$1:$1,FALSE))="","",INDEX(Spring!$1:$1048576,MATCH(All!$A119,Spring!$A:$A,FALSE),MATCH(All!AB$1,Spring!$1:$1,FALSE))),"")</f>
        <v>3A</v>
      </c>
      <c r="AC119" t="str">
        <f>IFERROR(IF(INDEX(Spring!$1:$1048576,MATCH(All!$A119,Spring!$A:$A,FALSE),MATCH(All!AC$1,Spring!$1:$1,FALSE))="","",INDEX(Spring!$1:$1048576,MATCH(All!$A119,Spring!$A:$A,FALSE),MATCH(All!AC$1,Spring!$1:$1,FALSE))),"")</f>
        <v>3A</v>
      </c>
      <c r="AD119" t="str">
        <f>IFERROR(VLOOKUP(A119,'Flag Football'!A:A,1,FALSE),"")</f>
        <v>Chicago (Amundsen)</v>
      </c>
      <c r="AE119" t="str">
        <f t="shared" si="1"/>
        <v>1A</v>
      </c>
    </row>
    <row r="120" spans="1:31" ht="15.75" thickBot="1" x14ac:dyDescent="0.3">
      <c r="A120" s="18" t="s">
        <v>983</v>
      </c>
      <c r="B120" s="38" t="str">
        <f>IFERROR(VLOOKUP(A120,'Public v Private'!A:G,3,FALSE),"")</f>
        <v>no</v>
      </c>
      <c r="C120" s="38">
        <f>IFERROR(VLOOKUP(A120,'Public v Private'!A:G,4,FALSE),"")</f>
        <v>0</v>
      </c>
      <c r="D120" s="38">
        <f>IFERROR(VLOOKUP(A120,'Public v Private'!A:G,5,FALSE),"")</f>
        <v>0</v>
      </c>
      <c r="E120" s="38"/>
      <c r="F120" s="40" t="str">
        <f>IFERROR(INDEX(Fall!$1:$1048576,MATCH(All!$A120,Fall!$A:$A,FALSE),MATCH(All!F$1,Fall!$1:$1,FALSE)),"N/A")</f>
        <v>421.00 (694.65)</v>
      </c>
      <c r="G120" t="str">
        <f>IFERROR(IF(INDEX(Fall!$1:$1048576,MATCH(All!$A120,Fall!$A:$A,FALSE),MATCH(All!G$1,Fall!$1:$1,FALSE))="","",INDEX(Fall!$1:$1048576,MATCH(All!$A120,Fall!$A:$A,FALSE),MATCH(All!G$1,Fall!$1:$1,FALSE))),"")</f>
        <v>2A</v>
      </c>
      <c r="H120" t="str">
        <f>IFERROR(IF(INDEX(Fall!$1:$1048576,MATCH(All!$A120,Fall!$A:$A,FALSE),MATCH(All!H$1,Fall!$1:$1,FALSE))="","",INDEX(Fall!$1:$1048576,MATCH(All!$A120,Fall!$A:$A,FALSE),MATCH(All!H$1,Fall!$1:$1,FALSE))),"")</f>
        <v>2A</v>
      </c>
      <c r="I120" t="str">
        <f>IFERROR(IF(INDEX(Fall!$1:$1048576,MATCH(All!$A120,Fall!$A:$A,FALSE),MATCH(All!I$1,Fall!$1:$1,FALSE))="","",INDEX(Fall!$1:$1048576,MATCH(All!$A120,Fall!$A:$A,FALSE),MATCH(All!I$1,Fall!$1:$1,FALSE))),"")</f>
        <v/>
      </c>
      <c r="J120" t="str">
        <f>IFERROR(IF(INDEX(Fall!$1:$1048576,MATCH(All!$A120,Fall!$A:$A,FALSE),MATCH(All!J$1,Fall!$1:$1,FALSE))="","",INDEX(Fall!$1:$1048576,MATCH(All!$A120,Fall!$A:$A,FALSE),MATCH(All!J$1,Fall!$1:$1,FALSE))),"")</f>
        <v/>
      </c>
      <c r="K120" t="str">
        <f>IFERROR(IF(INDEX(Fall!$1:$1048576,MATCH(All!$A120,Fall!$A:$A,FALSE),MATCH(All!K$1,Fall!$1:$1,FALSE))="","",INDEX(Fall!$1:$1048576,MATCH(All!$A120,Fall!$A:$A,FALSE),MATCH(All!K$1,Fall!$1:$1,FALSE))),"")</f>
        <v>1A</v>
      </c>
      <c r="L120" t="str">
        <f>IFERROR(IF(INDEX(Fall!$1:$1048576,MATCH(All!$A120,Fall!$A:$A,FALSE),MATCH(All!L$1,Fall!$1:$1,FALSE))="","",INDEX(Fall!$1:$1048576,MATCH(All!$A120,Fall!$A:$A,FALSE),MATCH(All!L$1,Fall!$1:$1,FALSE))),"")</f>
        <v/>
      </c>
      <c r="M120" t="str">
        <f>IFERROR(IF(INDEX(Fall!$1:$1048576,MATCH(All!$A120,Fall!$A:$A,FALSE),MATCH(All!M$1,Fall!$1:$1,FALSE))="","",INDEX(Fall!$1:$1048576,MATCH(All!$A120,Fall!$A:$A,FALSE),MATCH(All!M$1,Fall!$1:$1,FALSE))),"")</f>
        <v>3A</v>
      </c>
      <c r="O120" t="str">
        <f>IFERROR(IF(INDEX(Winter!$1:$1048576,MATCH(All!$A120,Winter!$A:$A,FALSE),MATCH(All!O$1,Winter!$1:$1,FALSE))="","",INDEX(Winter!$1:$1048576,MATCH(All!$A120,Winter!$A:$A,FALSE),MATCH(All!O$1,Winter!$1:$1,FALSE))),"")</f>
        <v/>
      </c>
      <c r="P120" t="str">
        <f>IFERROR(IF(INDEX(Winter!$1:$1048576,MATCH(All!$A120,Winter!$A:$A,FALSE),MATCH(All!P$1,Winter!$1:$1,FALSE))="","",INDEX(Winter!$1:$1048576,MATCH(All!$A120,Winter!$A:$A,FALSE),MATCH(All!P$1,Winter!$1:$1,FALSE))),"")</f>
        <v/>
      </c>
      <c r="Q120" t="str">
        <f>IFERROR(IF(INDEX(Winter!$1:$1048576,MATCH(All!$A120,Winter!$A:$A,FALSE),MATCH(All!Q$1,Winter!$1:$1,FALSE))="","",INDEX(Winter!$1:$1048576,MATCH(All!$A120,Winter!$A:$A,FALSE),MATCH(All!Q$1,Winter!$1:$1,FALSE))),"")</f>
        <v/>
      </c>
      <c r="R120" t="str">
        <f>IFERROR(IF(INDEX(Winter!$1:$1048576,MATCH(All!$A120,Winter!$A:$A,FALSE),MATCH(All!R$1,Winter!$1:$1,FALSE))="","",INDEX(Winter!$1:$1048576,MATCH(All!$A120,Winter!$A:$A,FALSE),MATCH(All!R$1,Winter!$1:$1,FALSE))),"")</f>
        <v/>
      </c>
      <c r="S120" t="str">
        <f>IFERROR(IF(INDEX(Winter!$1:$1048576,MATCH(All!$A120,Winter!$A:$A,FALSE),MATCH(All!S$1,Winter!$1:$1,FALSE))="","",INDEX(Winter!$1:$1048576,MATCH(All!$A120,Winter!$A:$A,FALSE),MATCH(All!S$1,Winter!$1:$1,FALSE))),"")</f>
        <v/>
      </c>
      <c r="T120" t="str">
        <f>IFERROR(IF(INDEX(Winter!$1:$1048576,MATCH(All!$A120,Winter!$A:$A,FALSE),MATCH(All!T$1,Winter!$1:$1,FALSE))="","",INDEX(Winter!$1:$1048576,MATCH(All!$A120,Winter!$A:$A,FALSE),MATCH(All!T$1,Winter!$1:$1,FALSE))),"")</f>
        <v/>
      </c>
      <c r="U120" t="str">
        <f>IFERROR(IF(INDEX(Winter!$1:$1048576,MATCH(All!$A120,Winter!$A:$A,FALSE),MATCH(All!U$1,Winter!$1:$1,FALSE))="","",INDEX(Winter!$1:$1048576,MATCH(All!$A120,Winter!$A:$A,FALSE),MATCH(All!U$1,Winter!$1:$1,FALSE))),"")</f>
        <v/>
      </c>
      <c r="W120" t="str">
        <f>IFERROR(IF(INDEX(Spring!$1:$1048576,MATCH(All!$A120,Spring!$A:$A,FALSE),MATCH(All!W$1,Spring!$1:$1,FALSE))="","",INDEX(Spring!$1:$1048576,MATCH(All!$A120,Spring!$A:$A,FALSE),MATCH(All!W$1,Spring!$1:$1,FALSE))),"")</f>
        <v/>
      </c>
      <c r="X120" t="str">
        <f>IFERROR(IF(INDEX(Spring!$1:$1048576,MATCH(All!$A120,Spring!$A:$A,FALSE),MATCH(All!X$1,Spring!$1:$1,FALSE))="","",INDEX(Spring!$1:$1048576,MATCH(All!$A120,Spring!$A:$A,FALSE),MATCH(All!X$1,Spring!$1:$1,FALSE))),"")</f>
        <v/>
      </c>
      <c r="Y120" t="str">
        <f>IFERROR(IF(INDEX(Spring!$1:$1048576,MATCH(All!$A120,Spring!$A:$A,FALSE),MATCH(All!Y$1,Spring!$1:$1,FALSE))="","",INDEX(Spring!$1:$1048576,MATCH(All!$A120,Spring!$A:$A,FALSE),MATCH(All!Y$1,Spring!$1:$1,FALSE))),"")</f>
        <v/>
      </c>
      <c r="Z120" t="str">
        <f>IFERROR(IF(INDEX(Spring!$1:$1048576,MATCH(All!$A120,Spring!$A:$A,FALSE),MATCH(All!Z$1,Spring!$1:$1,FALSE))="","",INDEX(Spring!$1:$1048576,MATCH(All!$A120,Spring!$A:$A,FALSE),MATCH(All!Z$1,Spring!$1:$1,FALSE))),"")</f>
        <v/>
      </c>
      <c r="AA120" t="str">
        <f>IFERROR(IF(INDEX(Spring!$1:$1048576,MATCH(All!$A120,Spring!$A:$A,FALSE),MATCH(All!AA$1,Spring!$1:$1,FALSE))="","",INDEX(Spring!$1:$1048576,MATCH(All!$A120,Spring!$A:$A,FALSE),MATCH(All!AA$1,Spring!$1:$1,FALSE))),"")</f>
        <v/>
      </c>
      <c r="AB120" t="str">
        <f>IFERROR(IF(INDEX(Spring!$1:$1048576,MATCH(All!$A120,Spring!$A:$A,FALSE),MATCH(All!AB$1,Spring!$1:$1,FALSE))="","",INDEX(Spring!$1:$1048576,MATCH(All!$A120,Spring!$A:$A,FALSE),MATCH(All!AB$1,Spring!$1:$1,FALSE))),"")</f>
        <v/>
      </c>
      <c r="AC120" t="str">
        <f>IFERROR(IF(INDEX(Spring!$1:$1048576,MATCH(All!$A120,Spring!$A:$A,FALSE),MATCH(All!AC$1,Spring!$1:$1,FALSE))="","",INDEX(Spring!$1:$1048576,MATCH(All!$A120,Spring!$A:$A,FALSE),MATCH(All!AC$1,Spring!$1:$1,FALSE))),"")</f>
        <v/>
      </c>
      <c r="AD120" t="str">
        <f>IFERROR(VLOOKUP(A120,'Flag Football'!A:A,1,FALSE),"")</f>
        <v/>
      </c>
      <c r="AE120" t="str">
        <f t="shared" si="1"/>
        <v/>
      </c>
    </row>
    <row r="121" spans="1:31" ht="15.75" thickBot="1" x14ac:dyDescent="0.3">
      <c r="A121" s="18" t="s">
        <v>142</v>
      </c>
      <c r="B121" s="38">
        <f>IFERROR(VLOOKUP(A121,'Public v Private'!A:G,3,FALSE),"")</f>
        <v>0</v>
      </c>
      <c r="C121" s="38">
        <f>IFERROR(VLOOKUP(A121,'Public v Private'!A:G,4,FALSE),"")</f>
        <v>0</v>
      </c>
      <c r="D121" s="38">
        <f>IFERROR(VLOOKUP(A121,'Public v Private'!A:G,5,FALSE),"")</f>
        <v>0</v>
      </c>
      <c r="E121" s="38"/>
      <c r="F121" s="40" t="str">
        <f>IFERROR(INDEX(Fall!$1:$1048576,MATCH(All!$A121,Fall!$A:$A,FALSE),MATCH(All!F$1,Fall!$1:$1,FALSE)),"N/A")</f>
        <v>N/A</v>
      </c>
      <c r="G121" t="str">
        <f>IFERROR(IF(INDEX(Fall!$1:$1048576,MATCH(All!$A121,Fall!$A:$A,FALSE),MATCH(All!G$1,Fall!$1:$1,FALSE))="","",INDEX(Fall!$1:$1048576,MATCH(All!$A121,Fall!$A:$A,FALSE),MATCH(All!G$1,Fall!$1:$1,FALSE))),"")</f>
        <v/>
      </c>
      <c r="H121" t="str">
        <f>IFERROR(IF(INDEX(Fall!$1:$1048576,MATCH(All!$A121,Fall!$A:$A,FALSE),MATCH(All!H$1,Fall!$1:$1,FALSE))="","",INDEX(Fall!$1:$1048576,MATCH(All!$A121,Fall!$A:$A,FALSE),MATCH(All!H$1,Fall!$1:$1,FALSE))),"")</f>
        <v/>
      </c>
      <c r="I121" t="str">
        <f>IFERROR(IF(INDEX(Fall!$1:$1048576,MATCH(All!$A121,Fall!$A:$A,FALSE),MATCH(All!I$1,Fall!$1:$1,FALSE))="","",INDEX(Fall!$1:$1048576,MATCH(All!$A121,Fall!$A:$A,FALSE),MATCH(All!I$1,Fall!$1:$1,FALSE))),"")</f>
        <v/>
      </c>
      <c r="J121" t="str">
        <f>IFERROR(IF(INDEX(Fall!$1:$1048576,MATCH(All!$A121,Fall!$A:$A,FALSE),MATCH(All!J$1,Fall!$1:$1,FALSE))="","",INDEX(Fall!$1:$1048576,MATCH(All!$A121,Fall!$A:$A,FALSE),MATCH(All!J$1,Fall!$1:$1,FALSE))),"")</f>
        <v/>
      </c>
      <c r="K121" t="str">
        <f>IFERROR(IF(INDEX(Fall!$1:$1048576,MATCH(All!$A121,Fall!$A:$A,FALSE),MATCH(All!K$1,Fall!$1:$1,FALSE))="","",INDEX(Fall!$1:$1048576,MATCH(All!$A121,Fall!$A:$A,FALSE),MATCH(All!K$1,Fall!$1:$1,FALSE))),"")</f>
        <v/>
      </c>
      <c r="L121" t="str">
        <f>IFERROR(IF(INDEX(Fall!$1:$1048576,MATCH(All!$A121,Fall!$A:$A,FALSE),MATCH(All!L$1,Fall!$1:$1,FALSE))="","",INDEX(Fall!$1:$1048576,MATCH(All!$A121,Fall!$A:$A,FALSE),MATCH(All!L$1,Fall!$1:$1,FALSE))),"")</f>
        <v/>
      </c>
      <c r="M121" t="str">
        <f>IFERROR(IF(INDEX(Fall!$1:$1048576,MATCH(All!$A121,Fall!$A:$A,FALSE),MATCH(All!M$1,Fall!$1:$1,FALSE))="","",INDEX(Fall!$1:$1048576,MATCH(All!$A121,Fall!$A:$A,FALSE),MATCH(All!M$1,Fall!$1:$1,FALSE))),"")</f>
        <v/>
      </c>
      <c r="O121">
        <f>IFERROR(IF(INDEX(Winter!$1:$1048576,MATCH(All!$A121,Winter!$A:$A,FALSE),MATCH(All!O$1,Winter!$1:$1,FALSE))="","",INDEX(Winter!$1:$1048576,MATCH(All!$A121,Winter!$A:$A,FALSE),MATCH(All!O$1,Winter!$1:$1,FALSE))),"")</f>
        <v>145</v>
      </c>
      <c r="P121" t="str">
        <f>IFERROR(IF(INDEX(Winter!$1:$1048576,MATCH(All!$A121,Winter!$A:$A,FALSE),MATCH(All!P$1,Winter!$1:$1,FALSE))="","",INDEX(Winter!$1:$1048576,MATCH(All!$A121,Winter!$A:$A,FALSE),MATCH(All!P$1,Winter!$1:$1,FALSE))),"")</f>
        <v>1A</v>
      </c>
      <c r="Q121" t="str">
        <f>IFERROR(IF(INDEX(Winter!$1:$1048576,MATCH(All!$A121,Winter!$A:$A,FALSE),MATCH(All!Q$1,Winter!$1:$1,FALSE))="","",INDEX(Winter!$1:$1048576,MATCH(All!$A121,Winter!$A:$A,FALSE),MATCH(All!Q$1,Winter!$1:$1,FALSE))),"")</f>
        <v/>
      </c>
      <c r="R121" t="str">
        <f>IFERROR(IF(INDEX(Winter!$1:$1048576,MATCH(All!$A121,Winter!$A:$A,FALSE),MATCH(All!R$1,Winter!$1:$1,FALSE))="","",INDEX(Winter!$1:$1048576,MATCH(All!$A121,Winter!$A:$A,FALSE),MATCH(All!R$1,Winter!$1:$1,FALSE))),"")</f>
        <v/>
      </c>
      <c r="S121" t="str">
        <f>IFERROR(IF(INDEX(Winter!$1:$1048576,MATCH(All!$A121,Winter!$A:$A,FALSE),MATCH(All!S$1,Winter!$1:$1,FALSE))="","",INDEX(Winter!$1:$1048576,MATCH(All!$A121,Winter!$A:$A,FALSE),MATCH(All!S$1,Winter!$1:$1,FALSE))),"")</f>
        <v/>
      </c>
      <c r="T121" t="str">
        <f>IFERROR(IF(INDEX(Winter!$1:$1048576,MATCH(All!$A121,Winter!$A:$A,FALSE),MATCH(All!T$1,Winter!$1:$1,FALSE))="","",INDEX(Winter!$1:$1048576,MATCH(All!$A121,Winter!$A:$A,FALSE),MATCH(All!T$1,Winter!$1:$1,FALSE))),"")</f>
        <v/>
      </c>
      <c r="U121" t="str">
        <f>IFERROR(IF(INDEX(Winter!$1:$1048576,MATCH(All!$A121,Winter!$A:$A,FALSE),MATCH(All!U$1,Winter!$1:$1,FALSE))="","",INDEX(Winter!$1:$1048576,MATCH(All!$A121,Winter!$A:$A,FALSE),MATCH(All!U$1,Winter!$1:$1,FALSE))),"")</f>
        <v/>
      </c>
      <c r="W121">
        <f>IFERROR(IF(INDEX(Spring!$1:$1048576,MATCH(All!$A121,Spring!$A:$A,FALSE),MATCH(All!W$1,Spring!$1:$1,FALSE))="","",INDEX(Spring!$1:$1048576,MATCH(All!$A121,Spring!$A:$A,FALSE),MATCH(All!W$1,Spring!$1:$1,FALSE))),"")</f>
        <v>145</v>
      </c>
      <c r="X121" t="str">
        <f>IFERROR(IF(INDEX(Spring!$1:$1048576,MATCH(All!$A121,Spring!$A:$A,FALSE),MATCH(All!X$1,Spring!$1:$1,FALSE))="","",INDEX(Spring!$1:$1048576,MATCH(All!$A121,Spring!$A:$A,FALSE),MATCH(All!X$1,Spring!$1:$1,FALSE))),"")</f>
        <v/>
      </c>
      <c r="Y121" t="str">
        <f>IFERROR(IF(INDEX(Spring!$1:$1048576,MATCH(All!$A121,Spring!$A:$A,FALSE),MATCH(All!Y$1,Spring!$1:$1,FALSE))="","",INDEX(Spring!$1:$1048576,MATCH(All!$A121,Spring!$A:$A,FALSE),MATCH(All!Y$1,Spring!$1:$1,FALSE))),"")</f>
        <v/>
      </c>
      <c r="Z121" t="str">
        <f>IFERROR(IF(INDEX(Spring!$1:$1048576,MATCH(All!$A121,Spring!$A:$A,FALSE),MATCH(All!Z$1,Spring!$1:$1,FALSE))="","",INDEX(Spring!$1:$1048576,MATCH(All!$A121,Spring!$A:$A,FALSE),MATCH(All!Z$1,Spring!$1:$1,FALSE))),"")</f>
        <v/>
      </c>
      <c r="AA121" t="str">
        <f>IFERROR(IF(INDEX(Spring!$1:$1048576,MATCH(All!$A121,Spring!$A:$A,FALSE),MATCH(All!AA$1,Spring!$1:$1,FALSE))="","",INDEX(Spring!$1:$1048576,MATCH(All!$A121,Spring!$A:$A,FALSE),MATCH(All!AA$1,Spring!$1:$1,FALSE))),"")</f>
        <v/>
      </c>
      <c r="AB121" t="str">
        <f>IFERROR(IF(INDEX(Spring!$1:$1048576,MATCH(All!$A121,Spring!$A:$A,FALSE),MATCH(All!AB$1,Spring!$1:$1,FALSE))="","",INDEX(Spring!$1:$1048576,MATCH(All!$A121,Spring!$A:$A,FALSE),MATCH(All!AB$1,Spring!$1:$1,FALSE))),"")</f>
        <v>1A</v>
      </c>
      <c r="AC121" t="str">
        <f>IFERROR(IF(INDEX(Spring!$1:$1048576,MATCH(All!$A121,Spring!$A:$A,FALSE),MATCH(All!AC$1,Spring!$1:$1,FALSE))="","",INDEX(Spring!$1:$1048576,MATCH(All!$A121,Spring!$A:$A,FALSE),MATCH(All!AC$1,Spring!$1:$1,FALSE))),"")</f>
        <v/>
      </c>
      <c r="AD121" t="str">
        <f>IFERROR(VLOOKUP(A121,'Flag Football'!A:A,1,FALSE),"")</f>
        <v/>
      </c>
      <c r="AE121" t="str">
        <f t="shared" si="1"/>
        <v/>
      </c>
    </row>
    <row r="122" spans="1:31" ht="15.75" thickBot="1" x14ac:dyDescent="0.3">
      <c r="A122" s="20" t="s">
        <v>143</v>
      </c>
      <c r="B122" s="38" t="str">
        <f>IFERROR(VLOOKUP(A122,'Public v Private'!A:G,3,FALSE),"")</f>
        <v>no</v>
      </c>
      <c r="C122" s="38">
        <f>IFERROR(VLOOKUP(A122,'Public v Private'!A:G,4,FALSE),"")</f>
        <v>0</v>
      </c>
      <c r="D122" s="38">
        <f>IFERROR(VLOOKUP(A122,'Public v Private'!A:G,5,FALSE),"")</f>
        <v>0</v>
      </c>
      <c r="E122" s="38"/>
      <c r="F122" s="40" t="str">
        <f>IFERROR(INDEX(Fall!$1:$1048576,MATCH(All!$A122,Fall!$A:$A,FALSE),MATCH(All!F$1,Fall!$1:$1,FALSE)),"N/A")</f>
        <v>1,014.00 (1,673.10)</v>
      </c>
      <c r="G122" t="str">
        <f>IFERROR(IF(INDEX(Fall!$1:$1048576,MATCH(All!$A122,Fall!$A:$A,FALSE),MATCH(All!G$1,Fall!$1:$1,FALSE))="","",INDEX(Fall!$1:$1048576,MATCH(All!$A122,Fall!$A:$A,FALSE),MATCH(All!G$1,Fall!$1:$1,FALSE))),"")</f>
        <v>3A</v>
      </c>
      <c r="H122" t="str">
        <f>IFERROR(IF(INDEX(Fall!$1:$1048576,MATCH(All!$A122,Fall!$A:$A,FALSE),MATCH(All!H$1,Fall!$1:$1,FALSE))="","",INDEX(Fall!$1:$1048576,MATCH(All!$A122,Fall!$A:$A,FALSE),MATCH(All!H$1,Fall!$1:$1,FALSE))),"")</f>
        <v>3A</v>
      </c>
      <c r="I122" t="str">
        <f>IFERROR(IF(INDEX(Fall!$1:$1048576,MATCH(All!$A122,Fall!$A:$A,FALSE),MATCH(All!I$1,Fall!$1:$1,FALSE))="","",INDEX(Fall!$1:$1048576,MATCH(All!$A122,Fall!$A:$A,FALSE),MATCH(All!I$1,Fall!$1:$1,FALSE))),"")</f>
        <v/>
      </c>
      <c r="J122" t="str">
        <f>IFERROR(IF(INDEX(Fall!$1:$1048576,MATCH(All!$A122,Fall!$A:$A,FALSE),MATCH(All!J$1,Fall!$1:$1,FALSE))="","",INDEX(Fall!$1:$1048576,MATCH(All!$A122,Fall!$A:$A,FALSE),MATCH(All!J$1,Fall!$1:$1,FALSE))),"")</f>
        <v/>
      </c>
      <c r="K122" t="str">
        <f>IFERROR(IF(INDEX(Fall!$1:$1048576,MATCH(All!$A122,Fall!$A:$A,FALSE),MATCH(All!K$1,Fall!$1:$1,FALSE))="","",INDEX(Fall!$1:$1048576,MATCH(All!$A122,Fall!$A:$A,FALSE),MATCH(All!K$1,Fall!$1:$1,FALSE))),"")</f>
        <v>2A</v>
      </c>
      <c r="L122" t="str">
        <f>IFERROR(IF(INDEX(Fall!$1:$1048576,MATCH(All!$A122,Fall!$A:$A,FALSE),MATCH(All!L$1,Fall!$1:$1,FALSE))="","",INDEX(Fall!$1:$1048576,MATCH(All!$A122,Fall!$A:$A,FALSE),MATCH(All!L$1,Fall!$1:$1,FALSE))),"")</f>
        <v/>
      </c>
      <c r="M122" t="str">
        <f>IFERROR(IF(INDEX(Fall!$1:$1048576,MATCH(All!$A122,Fall!$A:$A,FALSE),MATCH(All!M$1,Fall!$1:$1,FALSE))="","",INDEX(Fall!$1:$1048576,MATCH(All!$A122,Fall!$A:$A,FALSE),MATCH(All!M$1,Fall!$1:$1,FALSE))),"")</f>
        <v>3A</v>
      </c>
      <c r="O122" t="str">
        <f>IFERROR(IF(INDEX(Winter!$1:$1048576,MATCH(All!$A122,Winter!$A:$A,FALSE),MATCH(All!O$1,Winter!$1:$1,FALSE))="","",INDEX(Winter!$1:$1048576,MATCH(All!$A122,Winter!$A:$A,FALSE),MATCH(All!O$1,Winter!$1:$1,FALSE))),"")</f>
        <v>1,014.00 (1,673.10)</v>
      </c>
      <c r="P122" t="str">
        <f>IFERROR(IF(INDEX(Winter!$1:$1048576,MATCH(All!$A122,Winter!$A:$A,FALSE),MATCH(All!P$1,Winter!$1:$1,FALSE))="","",INDEX(Winter!$1:$1048576,MATCH(All!$A122,Winter!$A:$A,FALSE),MATCH(All!P$1,Winter!$1:$1,FALSE))),"")</f>
        <v>4A</v>
      </c>
      <c r="Q122" t="str">
        <f>IFERROR(IF(INDEX(Winter!$1:$1048576,MATCH(All!$A122,Winter!$A:$A,FALSE),MATCH(All!Q$1,Winter!$1:$1,FALSE))="","",INDEX(Winter!$1:$1048576,MATCH(All!$A122,Winter!$A:$A,FALSE),MATCH(All!Q$1,Winter!$1:$1,FALSE))),"")</f>
        <v/>
      </c>
      <c r="R122" t="str">
        <f>IFERROR(IF(INDEX(Winter!$1:$1048576,MATCH(All!$A122,Winter!$A:$A,FALSE),MATCH(All!R$1,Winter!$1:$1,FALSE))="","",INDEX(Winter!$1:$1048576,MATCH(All!$A122,Winter!$A:$A,FALSE),MATCH(All!R$1,Winter!$1:$1,FALSE))),"")</f>
        <v>2A</v>
      </c>
      <c r="S122" t="str">
        <f>IFERROR(IF(INDEX(Winter!$1:$1048576,MATCH(All!$A122,Winter!$A:$A,FALSE),MATCH(All!S$1,Winter!$1:$1,FALSE))="","",INDEX(Winter!$1:$1048576,MATCH(All!$A122,Winter!$A:$A,FALSE),MATCH(All!S$1,Winter!$1:$1,FALSE))),"")</f>
        <v>1A</v>
      </c>
      <c r="T122" t="str">
        <f>IFERROR(IF(INDEX(Winter!$1:$1048576,MATCH(All!$A122,Winter!$A:$A,FALSE),MATCH(All!T$1,Winter!$1:$1,FALSE))="","",INDEX(Winter!$1:$1048576,MATCH(All!$A122,Winter!$A:$A,FALSE),MATCH(All!T$1,Winter!$1:$1,FALSE))),"")</f>
        <v/>
      </c>
      <c r="U122" t="str">
        <f>IFERROR(IF(INDEX(Winter!$1:$1048576,MATCH(All!$A122,Winter!$A:$A,FALSE),MATCH(All!U$1,Winter!$1:$1,FALSE))="","",INDEX(Winter!$1:$1048576,MATCH(All!$A122,Winter!$A:$A,FALSE),MATCH(All!U$1,Winter!$1:$1,FALSE))),"")</f>
        <v>2A</v>
      </c>
      <c r="W122" t="str">
        <f>IFERROR(IF(INDEX(Spring!$1:$1048576,MATCH(All!$A122,Spring!$A:$A,FALSE),MATCH(All!W$1,Spring!$1:$1,FALSE))="","",INDEX(Spring!$1:$1048576,MATCH(All!$A122,Spring!$A:$A,FALSE),MATCH(All!W$1,Spring!$1:$1,FALSE))),"")</f>
        <v>1,014.00 (1,673.10)</v>
      </c>
      <c r="X122" t="str">
        <f>IFERROR(IF(INDEX(Spring!$1:$1048576,MATCH(All!$A122,Spring!$A:$A,FALSE),MATCH(All!X$1,Spring!$1:$1,FALSE))="","",INDEX(Spring!$1:$1048576,MATCH(All!$A122,Spring!$A:$A,FALSE),MATCH(All!X$1,Spring!$1:$1,FALSE))),"")</f>
        <v/>
      </c>
      <c r="Y122" t="str">
        <f>IFERROR(IF(INDEX(Spring!$1:$1048576,MATCH(All!$A122,Spring!$A:$A,FALSE),MATCH(All!Y$1,Spring!$1:$1,FALSE))="","",INDEX(Spring!$1:$1048576,MATCH(All!$A122,Spring!$A:$A,FALSE),MATCH(All!Y$1,Spring!$1:$1,FALSE))),"")</f>
        <v/>
      </c>
      <c r="Z122" t="str">
        <f>IFERROR(IF(INDEX(Spring!$1:$1048576,MATCH(All!$A122,Spring!$A:$A,FALSE),MATCH(All!Z$1,Spring!$1:$1,FALSE))="","",INDEX(Spring!$1:$1048576,MATCH(All!$A122,Spring!$A:$A,FALSE),MATCH(All!Z$1,Spring!$1:$1,FALSE))),"")</f>
        <v>2A</v>
      </c>
      <c r="AA122" t="str">
        <f>IFERROR(IF(INDEX(Spring!$1:$1048576,MATCH(All!$A122,Spring!$A:$A,FALSE),MATCH(All!AA$1,Spring!$1:$1,FALSE))="","",INDEX(Spring!$1:$1048576,MATCH(All!$A122,Spring!$A:$A,FALSE),MATCH(All!AA$1,Spring!$1:$1,FALSE))),"")</f>
        <v/>
      </c>
      <c r="AB122" t="str">
        <f>IFERROR(IF(INDEX(Spring!$1:$1048576,MATCH(All!$A122,Spring!$A:$A,FALSE),MATCH(All!AB$1,Spring!$1:$1,FALSE))="","",INDEX(Spring!$1:$1048576,MATCH(All!$A122,Spring!$A:$A,FALSE),MATCH(All!AB$1,Spring!$1:$1,FALSE))),"")</f>
        <v/>
      </c>
      <c r="AC122" t="str">
        <f>IFERROR(IF(INDEX(Spring!$1:$1048576,MATCH(All!$A122,Spring!$A:$A,FALSE),MATCH(All!AC$1,Spring!$1:$1,FALSE))="","",INDEX(Spring!$1:$1048576,MATCH(All!$A122,Spring!$A:$A,FALSE),MATCH(All!AC$1,Spring!$1:$1,FALSE))),"")</f>
        <v/>
      </c>
      <c r="AD122" t="str">
        <f>IFERROR(VLOOKUP(A122,'Flag Football'!A:A,1,FALSE),"")</f>
        <v>Chicago (Back of the Yards)</v>
      </c>
      <c r="AE122" t="str">
        <f t="shared" si="1"/>
        <v>1A</v>
      </c>
    </row>
    <row r="123" spans="1:31" ht="15.75" thickBot="1" x14ac:dyDescent="0.3">
      <c r="A123" s="18" t="s">
        <v>145</v>
      </c>
      <c r="B123" s="38">
        <f>IFERROR(VLOOKUP(A123,'Public v Private'!A:G,3,FALSE),"")</f>
        <v>0</v>
      </c>
      <c r="C123" s="38">
        <f>IFERROR(VLOOKUP(A123,'Public v Private'!A:G,4,FALSE),"")</f>
        <v>0</v>
      </c>
      <c r="D123" s="38">
        <f>IFERROR(VLOOKUP(A123,'Public v Private'!A:G,5,FALSE),"")</f>
        <v>0</v>
      </c>
      <c r="E123" s="38"/>
      <c r="F123" s="40">
        <f>IFERROR(INDEX(Fall!$1:$1048576,MATCH(All!$A123,Fall!$A:$A,FALSE),MATCH(All!F$1,Fall!$1:$1,FALSE)),"N/A")</f>
        <v>599</v>
      </c>
      <c r="G123" t="str">
        <f>IFERROR(IF(INDEX(Fall!$1:$1048576,MATCH(All!$A123,Fall!$A:$A,FALSE),MATCH(All!G$1,Fall!$1:$1,FALSE))="","",INDEX(Fall!$1:$1048576,MATCH(All!$A123,Fall!$A:$A,FALSE),MATCH(All!G$1,Fall!$1:$1,FALSE))),"")</f>
        <v/>
      </c>
      <c r="H123" t="str">
        <f>IFERROR(IF(INDEX(Fall!$1:$1048576,MATCH(All!$A123,Fall!$A:$A,FALSE),MATCH(All!H$1,Fall!$1:$1,FALSE))="","",INDEX(Fall!$1:$1048576,MATCH(All!$A123,Fall!$A:$A,FALSE),MATCH(All!H$1,Fall!$1:$1,FALSE))),"")</f>
        <v/>
      </c>
      <c r="I123" t="str">
        <f>IFERROR(IF(INDEX(Fall!$1:$1048576,MATCH(All!$A123,Fall!$A:$A,FALSE),MATCH(All!I$1,Fall!$1:$1,FALSE))="","",INDEX(Fall!$1:$1048576,MATCH(All!$A123,Fall!$A:$A,FALSE),MATCH(All!I$1,Fall!$1:$1,FALSE))),"")</f>
        <v/>
      </c>
      <c r="J123" t="str">
        <f>IFERROR(IF(INDEX(Fall!$1:$1048576,MATCH(All!$A123,Fall!$A:$A,FALSE),MATCH(All!J$1,Fall!$1:$1,FALSE))="","",INDEX(Fall!$1:$1048576,MATCH(All!$A123,Fall!$A:$A,FALSE),MATCH(All!J$1,Fall!$1:$1,FALSE))),"")</f>
        <v/>
      </c>
      <c r="K123" t="str">
        <f>IFERROR(IF(INDEX(Fall!$1:$1048576,MATCH(All!$A123,Fall!$A:$A,FALSE),MATCH(All!K$1,Fall!$1:$1,FALSE))="","",INDEX(Fall!$1:$1048576,MATCH(All!$A123,Fall!$A:$A,FALSE),MATCH(All!K$1,Fall!$1:$1,FALSE))),"")</f>
        <v>1A</v>
      </c>
      <c r="L123" t="str">
        <f>IFERROR(IF(INDEX(Fall!$1:$1048576,MATCH(All!$A123,Fall!$A:$A,FALSE),MATCH(All!L$1,Fall!$1:$1,FALSE))="","",INDEX(Fall!$1:$1048576,MATCH(All!$A123,Fall!$A:$A,FALSE),MATCH(All!L$1,Fall!$1:$1,FALSE))),"")</f>
        <v/>
      </c>
      <c r="M123" t="str">
        <f>IFERROR(IF(INDEX(Fall!$1:$1048576,MATCH(All!$A123,Fall!$A:$A,FALSE),MATCH(All!M$1,Fall!$1:$1,FALSE))="","",INDEX(Fall!$1:$1048576,MATCH(All!$A123,Fall!$A:$A,FALSE),MATCH(All!M$1,Fall!$1:$1,FALSE))),"")</f>
        <v>2A</v>
      </c>
      <c r="O123">
        <f>IFERROR(IF(INDEX(Winter!$1:$1048576,MATCH(All!$A123,Winter!$A:$A,FALSE),MATCH(All!O$1,Winter!$1:$1,FALSE))="","",INDEX(Winter!$1:$1048576,MATCH(All!$A123,Winter!$A:$A,FALSE),MATCH(All!O$1,Winter!$1:$1,FALSE))),"")</f>
        <v>599</v>
      </c>
      <c r="P123" t="str">
        <f>IFERROR(IF(INDEX(Winter!$1:$1048576,MATCH(All!$A123,Winter!$A:$A,FALSE),MATCH(All!P$1,Winter!$1:$1,FALSE))="","",INDEX(Winter!$1:$1048576,MATCH(All!$A123,Winter!$A:$A,FALSE),MATCH(All!P$1,Winter!$1:$1,FALSE))),"")</f>
        <v>2A</v>
      </c>
      <c r="Q123" t="str">
        <f>IFERROR(IF(INDEX(Winter!$1:$1048576,MATCH(All!$A123,Winter!$A:$A,FALSE),MATCH(All!Q$1,Winter!$1:$1,FALSE))="","",INDEX(Winter!$1:$1048576,MATCH(All!$A123,Winter!$A:$A,FALSE),MATCH(All!Q$1,Winter!$1:$1,FALSE))),"")</f>
        <v/>
      </c>
      <c r="R123" t="str">
        <f>IFERROR(IF(INDEX(Winter!$1:$1048576,MATCH(All!$A123,Winter!$A:$A,FALSE),MATCH(All!R$1,Winter!$1:$1,FALSE))="","",INDEX(Winter!$1:$1048576,MATCH(All!$A123,Winter!$A:$A,FALSE),MATCH(All!R$1,Winter!$1:$1,FALSE))),"")</f>
        <v/>
      </c>
      <c r="S123" t="str">
        <f>IFERROR(IF(INDEX(Winter!$1:$1048576,MATCH(All!$A123,Winter!$A:$A,FALSE),MATCH(All!S$1,Winter!$1:$1,FALSE))="","",INDEX(Winter!$1:$1048576,MATCH(All!$A123,Winter!$A:$A,FALSE),MATCH(All!S$1,Winter!$1:$1,FALSE))),"")</f>
        <v/>
      </c>
      <c r="T123" t="str">
        <f>IFERROR(IF(INDEX(Winter!$1:$1048576,MATCH(All!$A123,Winter!$A:$A,FALSE),MATCH(All!T$1,Winter!$1:$1,FALSE))="","",INDEX(Winter!$1:$1048576,MATCH(All!$A123,Winter!$A:$A,FALSE),MATCH(All!T$1,Winter!$1:$1,FALSE))),"")</f>
        <v/>
      </c>
      <c r="U123" t="str">
        <f>IFERROR(IF(INDEX(Winter!$1:$1048576,MATCH(All!$A123,Winter!$A:$A,FALSE),MATCH(All!U$1,Winter!$1:$1,FALSE))="","",INDEX(Winter!$1:$1048576,MATCH(All!$A123,Winter!$A:$A,FALSE),MATCH(All!U$1,Winter!$1:$1,FALSE))),"")</f>
        <v>1A</v>
      </c>
      <c r="W123">
        <f>IFERROR(IF(INDEX(Spring!$1:$1048576,MATCH(All!$A123,Spring!$A:$A,FALSE),MATCH(All!W$1,Spring!$1:$1,FALSE))="","",INDEX(Spring!$1:$1048576,MATCH(All!$A123,Spring!$A:$A,FALSE),MATCH(All!W$1,Spring!$1:$1,FALSE))),"")</f>
        <v>599</v>
      </c>
      <c r="X123" t="str">
        <f>IFERROR(IF(INDEX(Spring!$1:$1048576,MATCH(All!$A123,Spring!$A:$A,FALSE),MATCH(All!X$1,Spring!$1:$1,FALSE))="","",INDEX(Spring!$1:$1048576,MATCH(All!$A123,Spring!$A:$A,FALSE),MATCH(All!X$1,Spring!$1:$1,FALSE))),"")</f>
        <v>2A</v>
      </c>
      <c r="Y123" t="str">
        <f>IFERROR(IF(INDEX(Spring!$1:$1048576,MATCH(All!$A123,Spring!$A:$A,FALSE),MATCH(All!Y$1,Spring!$1:$1,FALSE))="","",INDEX(Spring!$1:$1048576,MATCH(All!$A123,Spring!$A:$A,FALSE),MATCH(All!Y$1,Spring!$1:$1,FALSE))),"")</f>
        <v/>
      </c>
      <c r="Z123" t="str">
        <f>IFERROR(IF(INDEX(Spring!$1:$1048576,MATCH(All!$A123,Spring!$A:$A,FALSE),MATCH(All!Z$1,Spring!$1:$1,FALSE))="","",INDEX(Spring!$1:$1048576,MATCH(All!$A123,Spring!$A:$A,FALSE),MATCH(All!Z$1,Spring!$1:$1,FALSE))),"")</f>
        <v>1A</v>
      </c>
      <c r="AA123" t="str">
        <f>IFERROR(IF(INDEX(Spring!$1:$1048576,MATCH(All!$A123,Spring!$A:$A,FALSE),MATCH(All!AA$1,Spring!$1:$1,FALSE))="","",INDEX(Spring!$1:$1048576,MATCH(All!$A123,Spring!$A:$A,FALSE),MATCH(All!AA$1,Spring!$1:$1,FALSE))),"")</f>
        <v/>
      </c>
      <c r="AB123" t="str">
        <f>IFERROR(IF(INDEX(Spring!$1:$1048576,MATCH(All!$A123,Spring!$A:$A,FALSE),MATCH(All!AB$1,Spring!$1:$1,FALSE))="","",INDEX(Spring!$1:$1048576,MATCH(All!$A123,Spring!$A:$A,FALSE),MATCH(All!AB$1,Spring!$1:$1,FALSE))),"")</f>
        <v>2A</v>
      </c>
      <c r="AC123" t="str">
        <f>IFERROR(IF(INDEX(Spring!$1:$1048576,MATCH(All!$A123,Spring!$A:$A,FALSE),MATCH(All!AC$1,Spring!$1:$1,FALSE))="","",INDEX(Spring!$1:$1048576,MATCH(All!$A123,Spring!$A:$A,FALSE),MATCH(All!AC$1,Spring!$1:$1,FALSE))),"")</f>
        <v>2A</v>
      </c>
      <c r="AD123" t="str">
        <f>IFERROR(VLOOKUP(A123,'Flag Football'!A:A,1,FALSE),"")</f>
        <v/>
      </c>
      <c r="AE123" t="str">
        <f t="shared" si="1"/>
        <v/>
      </c>
    </row>
    <row r="124" spans="1:31" ht="15.75" thickBot="1" x14ac:dyDescent="0.3">
      <c r="A124" s="20" t="s">
        <v>914</v>
      </c>
      <c r="B124" s="38">
        <f>IFERROR(VLOOKUP(A124,'Public v Private'!A:G,3,FALSE),"")</f>
        <v>0</v>
      </c>
      <c r="C124" s="38">
        <f>IFERROR(VLOOKUP(A124,'Public v Private'!A:G,4,FALSE),"")</f>
        <v>0</v>
      </c>
      <c r="D124" s="38">
        <f>IFERROR(VLOOKUP(A124,'Public v Private'!A:G,5,FALSE),"")</f>
        <v>0</v>
      </c>
      <c r="E124" s="38"/>
      <c r="F124" s="40" t="str">
        <f>IFERROR(INDEX(Fall!$1:$1048576,MATCH(All!$A124,Fall!$A:$A,FALSE),MATCH(All!F$1,Fall!$1:$1,FALSE)),"N/A")</f>
        <v>N/A</v>
      </c>
      <c r="G124" t="str">
        <f>IFERROR(IF(INDEX(Fall!$1:$1048576,MATCH(All!$A124,Fall!$A:$A,FALSE),MATCH(All!G$1,Fall!$1:$1,FALSE))="","",INDEX(Fall!$1:$1048576,MATCH(All!$A124,Fall!$A:$A,FALSE),MATCH(All!G$1,Fall!$1:$1,FALSE))),"")</f>
        <v/>
      </c>
      <c r="H124" t="str">
        <f>IFERROR(IF(INDEX(Fall!$1:$1048576,MATCH(All!$A124,Fall!$A:$A,FALSE),MATCH(All!H$1,Fall!$1:$1,FALSE))="","",INDEX(Fall!$1:$1048576,MATCH(All!$A124,Fall!$A:$A,FALSE),MATCH(All!H$1,Fall!$1:$1,FALSE))),"")</f>
        <v/>
      </c>
      <c r="I124" t="str">
        <f>IFERROR(IF(INDEX(Fall!$1:$1048576,MATCH(All!$A124,Fall!$A:$A,FALSE),MATCH(All!I$1,Fall!$1:$1,FALSE))="","",INDEX(Fall!$1:$1048576,MATCH(All!$A124,Fall!$A:$A,FALSE),MATCH(All!I$1,Fall!$1:$1,FALSE))),"")</f>
        <v/>
      </c>
      <c r="J124" t="str">
        <f>IFERROR(IF(INDEX(Fall!$1:$1048576,MATCH(All!$A124,Fall!$A:$A,FALSE),MATCH(All!J$1,Fall!$1:$1,FALSE))="","",INDEX(Fall!$1:$1048576,MATCH(All!$A124,Fall!$A:$A,FALSE),MATCH(All!J$1,Fall!$1:$1,FALSE))),"")</f>
        <v/>
      </c>
      <c r="K124" t="str">
        <f>IFERROR(IF(INDEX(Fall!$1:$1048576,MATCH(All!$A124,Fall!$A:$A,FALSE),MATCH(All!K$1,Fall!$1:$1,FALSE))="","",INDEX(Fall!$1:$1048576,MATCH(All!$A124,Fall!$A:$A,FALSE),MATCH(All!K$1,Fall!$1:$1,FALSE))),"")</f>
        <v/>
      </c>
      <c r="L124" t="str">
        <f>IFERROR(IF(INDEX(Fall!$1:$1048576,MATCH(All!$A124,Fall!$A:$A,FALSE),MATCH(All!L$1,Fall!$1:$1,FALSE))="","",INDEX(Fall!$1:$1048576,MATCH(All!$A124,Fall!$A:$A,FALSE),MATCH(All!L$1,Fall!$1:$1,FALSE))),"")</f>
        <v/>
      </c>
      <c r="M124" t="str">
        <f>IFERROR(IF(INDEX(Fall!$1:$1048576,MATCH(All!$A124,Fall!$A:$A,FALSE),MATCH(All!M$1,Fall!$1:$1,FALSE))="","",INDEX(Fall!$1:$1048576,MATCH(All!$A124,Fall!$A:$A,FALSE),MATCH(All!M$1,Fall!$1:$1,FALSE))),"")</f>
        <v/>
      </c>
      <c r="O124">
        <f>IFERROR(IF(INDEX(Winter!$1:$1048576,MATCH(All!$A124,Winter!$A:$A,FALSE),MATCH(All!O$1,Winter!$1:$1,FALSE))="","",INDEX(Winter!$1:$1048576,MATCH(All!$A124,Winter!$A:$A,FALSE),MATCH(All!O$1,Winter!$1:$1,FALSE))),"")</f>
        <v>229</v>
      </c>
      <c r="P124" t="str">
        <f>IFERROR(IF(INDEX(Winter!$1:$1048576,MATCH(All!$A124,Winter!$A:$A,FALSE),MATCH(All!P$1,Winter!$1:$1,FALSE))="","",INDEX(Winter!$1:$1048576,MATCH(All!$A124,Winter!$A:$A,FALSE),MATCH(All!P$1,Winter!$1:$1,FALSE))),"")</f>
        <v>1A</v>
      </c>
      <c r="Q124" t="str">
        <f>IFERROR(IF(INDEX(Winter!$1:$1048576,MATCH(All!$A124,Winter!$A:$A,FALSE),MATCH(All!Q$1,Winter!$1:$1,FALSE))="","",INDEX(Winter!$1:$1048576,MATCH(All!$A124,Winter!$A:$A,FALSE),MATCH(All!Q$1,Winter!$1:$1,FALSE))),"")</f>
        <v/>
      </c>
      <c r="R124" t="str">
        <f>IFERROR(IF(INDEX(Winter!$1:$1048576,MATCH(All!$A124,Winter!$A:$A,FALSE),MATCH(All!R$1,Winter!$1:$1,FALSE))="","",INDEX(Winter!$1:$1048576,MATCH(All!$A124,Winter!$A:$A,FALSE),MATCH(All!R$1,Winter!$1:$1,FALSE))),"")</f>
        <v/>
      </c>
      <c r="S124" t="str">
        <f>IFERROR(IF(INDEX(Winter!$1:$1048576,MATCH(All!$A124,Winter!$A:$A,FALSE),MATCH(All!S$1,Winter!$1:$1,FALSE))="","",INDEX(Winter!$1:$1048576,MATCH(All!$A124,Winter!$A:$A,FALSE),MATCH(All!S$1,Winter!$1:$1,FALSE))),"")</f>
        <v/>
      </c>
      <c r="T124" t="str">
        <f>IFERROR(IF(INDEX(Winter!$1:$1048576,MATCH(All!$A124,Winter!$A:$A,FALSE),MATCH(All!T$1,Winter!$1:$1,FALSE))="","",INDEX(Winter!$1:$1048576,MATCH(All!$A124,Winter!$A:$A,FALSE),MATCH(All!T$1,Winter!$1:$1,FALSE))),"")</f>
        <v/>
      </c>
      <c r="U124" t="str">
        <f>IFERROR(IF(INDEX(Winter!$1:$1048576,MATCH(All!$A124,Winter!$A:$A,FALSE),MATCH(All!U$1,Winter!$1:$1,FALSE))="","",INDEX(Winter!$1:$1048576,MATCH(All!$A124,Winter!$A:$A,FALSE),MATCH(All!U$1,Winter!$1:$1,FALSE))),"")</f>
        <v>1A</v>
      </c>
      <c r="W124" t="str">
        <f>IFERROR(IF(INDEX(Spring!$1:$1048576,MATCH(All!$A124,Spring!$A:$A,FALSE),MATCH(All!W$1,Spring!$1:$1,FALSE))="","",INDEX(Spring!$1:$1048576,MATCH(All!$A124,Spring!$A:$A,FALSE),MATCH(All!W$1,Spring!$1:$1,FALSE))),"")</f>
        <v/>
      </c>
      <c r="X124" t="str">
        <f>IFERROR(IF(INDEX(Spring!$1:$1048576,MATCH(All!$A124,Spring!$A:$A,FALSE),MATCH(All!X$1,Spring!$1:$1,FALSE))="","",INDEX(Spring!$1:$1048576,MATCH(All!$A124,Spring!$A:$A,FALSE),MATCH(All!X$1,Spring!$1:$1,FALSE))),"")</f>
        <v/>
      </c>
      <c r="Y124" t="str">
        <f>IFERROR(IF(INDEX(Spring!$1:$1048576,MATCH(All!$A124,Spring!$A:$A,FALSE),MATCH(All!Y$1,Spring!$1:$1,FALSE))="","",INDEX(Spring!$1:$1048576,MATCH(All!$A124,Spring!$A:$A,FALSE),MATCH(All!Y$1,Spring!$1:$1,FALSE))),"")</f>
        <v/>
      </c>
      <c r="Z124" t="str">
        <f>IFERROR(IF(INDEX(Spring!$1:$1048576,MATCH(All!$A124,Spring!$A:$A,FALSE),MATCH(All!Z$1,Spring!$1:$1,FALSE))="","",INDEX(Spring!$1:$1048576,MATCH(All!$A124,Spring!$A:$A,FALSE),MATCH(All!Z$1,Spring!$1:$1,FALSE))),"")</f>
        <v/>
      </c>
      <c r="AA124" t="str">
        <f>IFERROR(IF(INDEX(Spring!$1:$1048576,MATCH(All!$A124,Spring!$A:$A,FALSE),MATCH(All!AA$1,Spring!$1:$1,FALSE))="","",INDEX(Spring!$1:$1048576,MATCH(All!$A124,Spring!$A:$A,FALSE),MATCH(All!AA$1,Spring!$1:$1,FALSE))),"")</f>
        <v/>
      </c>
      <c r="AB124" t="str">
        <f>IFERROR(IF(INDEX(Spring!$1:$1048576,MATCH(All!$A124,Spring!$A:$A,FALSE),MATCH(All!AB$1,Spring!$1:$1,FALSE))="","",INDEX(Spring!$1:$1048576,MATCH(All!$A124,Spring!$A:$A,FALSE),MATCH(All!AB$1,Spring!$1:$1,FALSE))),"")</f>
        <v/>
      </c>
      <c r="AC124" t="str">
        <f>IFERROR(IF(INDEX(Spring!$1:$1048576,MATCH(All!$A124,Spring!$A:$A,FALSE),MATCH(All!AC$1,Spring!$1:$1,FALSE))="","",INDEX(Spring!$1:$1048576,MATCH(All!$A124,Spring!$A:$A,FALSE),MATCH(All!AC$1,Spring!$1:$1,FALSE))),"")</f>
        <v/>
      </c>
      <c r="AD124" t="str">
        <f>IFERROR(VLOOKUP(A124,'Flag Football'!A:A,1,FALSE),"")</f>
        <v/>
      </c>
      <c r="AE124" t="str">
        <f t="shared" si="1"/>
        <v/>
      </c>
    </row>
    <row r="125" spans="1:31" ht="15.75" thickBot="1" x14ac:dyDescent="0.3">
      <c r="A125" s="20" t="s">
        <v>146</v>
      </c>
      <c r="B125" s="38" t="str">
        <f>IFERROR(VLOOKUP(A125,'Public v Private'!A:G,3,FALSE),"")</f>
        <v>no</v>
      </c>
      <c r="C125" s="38">
        <f>IFERROR(VLOOKUP(A125,'Public v Private'!A:G,4,FALSE),"")</f>
        <v>0</v>
      </c>
      <c r="D125" s="38">
        <f>IFERROR(VLOOKUP(A125,'Public v Private'!A:G,5,FALSE),"")</f>
        <v>0</v>
      </c>
      <c r="E125" s="38"/>
      <c r="F125" s="40" t="str">
        <f>IFERROR(INDEX(Fall!$1:$1048576,MATCH(All!$A125,Fall!$A:$A,FALSE),MATCH(All!F$1,Fall!$1:$1,FALSE)),"N/A")</f>
        <v>873.00 (1,440.45)</v>
      </c>
      <c r="G125" t="str">
        <f>IFERROR(IF(INDEX(Fall!$1:$1048576,MATCH(All!$A125,Fall!$A:$A,FALSE),MATCH(All!G$1,Fall!$1:$1,FALSE))="","",INDEX(Fall!$1:$1048576,MATCH(All!$A125,Fall!$A:$A,FALSE),MATCH(All!G$1,Fall!$1:$1,FALSE))),"")</f>
        <v/>
      </c>
      <c r="H125" t="str">
        <f>IFERROR(IF(INDEX(Fall!$1:$1048576,MATCH(All!$A125,Fall!$A:$A,FALSE),MATCH(All!H$1,Fall!$1:$1,FALSE))="","",INDEX(Fall!$1:$1048576,MATCH(All!$A125,Fall!$A:$A,FALSE),MATCH(All!H$1,Fall!$1:$1,FALSE))),"")</f>
        <v/>
      </c>
      <c r="I125" t="str">
        <f>IFERROR(IF(INDEX(Fall!$1:$1048576,MATCH(All!$A125,Fall!$A:$A,FALSE),MATCH(All!I$1,Fall!$1:$1,FALSE))="","",INDEX(Fall!$1:$1048576,MATCH(All!$A125,Fall!$A:$A,FALSE),MATCH(All!I$1,Fall!$1:$1,FALSE))),"")</f>
        <v/>
      </c>
      <c r="J125" t="str">
        <f>IFERROR(IF(INDEX(Fall!$1:$1048576,MATCH(All!$A125,Fall!$A:$A,FALSE),MATCH(All!J$1,Fall!$1:$1,FALSE))="","",INDEX(Fall!$1:$1048576,MATCH(All!$A125,Fall!$A:$A,FALSE),MATCH(All!J$1,Fall!$1:$1,FALSE))),"")</f>
        <v/>
      </c>
      <c r="K125" t="str">
        <f>IFERROR(IF(INDEX(Fall!$1:$1048576,MATCH(All!$A125,Fall!$A:$A,FALSE),MATCH(All!K$1,Fall!$1:$1,FALSE))="","",INDEX(Fall!$1:$1048576,MATCH(All!$A125,Fall!$A:$A,FALSE),MATCH(All!K$1,Fall!$1:$1,FALSE))),"")</f>
        <v>2A</v>
      </c>
      <c r="L125" t="str">
        <f>IFERROR(IF(INDEX(Fall!$1:$1048576,MATCH(All!$A125,Fall!$A:$A,FALSE),MATCH(All!L$1,Fall!$1:$1,FALSE))="","",INDEX(Fall!$1:$1048576,MATCH(All!$A125,Fall!$A:$A,FALSE),MATCH(All!L$1,Fall!$1:$1,FALSE))),"")</f>
        <v>1A</v>
      </c>
      <c r="M125" t="str">
        <f>IFERROR(IF(INDEX(Fall!$1:$1048576,MATCH(All!$A125,Fall!$A:$A,FALSE),MATCH(All!M$1,Fall!$1:$1,FALSE))="","",INDEX(Fall!$1:$1048576,MATCH(All!$A125,Fall!$A:$A,FALSE),MATCH(All!M$1,Fall!$1:$1,FALSE))),"")</f>
        <v>3A</v>
      </c>
      <c r="O125" t="str">
        <f>IFERROR(IF(INDEX(Winter!$1:$1048576,MATCH(All!$A125,Winter!$A:$A,FALSE),MATCH(All!O$1,Winter!$1:$1,FALSE))="","",INDEX(Winter!$1:$1048576,MATCH(All!$A125,Winter!$A:$A,FALSE),MATCH(All!O$1,Winter!$1:$1,FALSE))),"")</f>
        <v>873.00 (1,440.45)</v>
      </c>
      <c r="P125" t="str">
        <f>IFERROR(IF(INDEX(Winter!$1:$1048576,MATCH(All!$A125,Winter!$A:$A,FALSE),MATCH(All!P$1,Winter!$1:$1,FALSE))="","",INDEX(Winter!$1:$1048576,MATCH(All!$A125,Winter!$A:$A,FALSE),MATCH(All!P$1,Winter!$1:$1,FALSE))),"")</f>
        <v>3A</v>
      </c>
      <c r="Q125" t="str">
        <f>IFERROR(IF(INDEX(Winter!$1:$1048576,MATCH(All!$A125,Winter!$A:$A,FALSE),MATCH(All!Q$1,Winter!$1:$1,FALSE))="","",INDEX(Winter!$1:$1048576,MATCH(All!$A125,Winter!$A:$A,FALSE),MATCH(All!Q$1,Winter!$1:$1,FALSE))),"")</f>
        <v>3A</v>
      </c>
      <c r="R125" t="str">
        <f>IFERROR(IF(INDEX(Winter!$1:$1048576,MATCH(All!$A125,Winter!$A:$A,FALSE),MATCH(All!R$1,Winter!$1:$1,FALSE))="","",INDEX(Winter!$1:$1048576,MATCH(All!$A125,Winter!$A:$A,FALSE),MATCH(All!R$1,Winter!$1:$1,FALSE))),"")</f>
        <v>2A</v>
      </c>
      <c r="S125" t="str">
        <f>IFERROR(IF(INDEX(Winter!$1:$1048576,MATCH(All!$A125,Winter!$A:$A,FALSE),MATCH(All!S$1,Winter!$1:$1,FALSE))="","",INDEX(Winter!$1:$1048576,MATCH(All!$A125,Winter!$A:$A,FALSE),MATCH(All!S$1,Winter!$1:$1,FALSE))),"")</f>
        <v/>
      </c>
      <c r="T125" t="str">
        <f>IFERROR(IF(INDEX(Winter!$1:$1048576,MATCH(All!$A125,Winter!$A:$A,FALSE),MATCH(All!T$1,Winter!$1:$1,FALSE))="","",INDEX(Winter!$1:$1048576,MATCH(All!$A125,Winter!$A:$A,FALSE),MATCH(All!T$1,Winter!$1:$1,FALSE))),"")</f>
        <v/>
      </c>
      <c r="U125" t="str">
        <f>IFERROR(IF(INDEX(Winter!$1:$1048576,MATCH(All!$A125,Winter!$A:$A,FALSE),MATCH(All!U$1,Winter!$1:$1,FALSE))="","",INDEX(Winter!$1:$1048576,MATCH(All!$A125,Winter!$A:$A,FALSE),MATCH(All!U$1,Winter!$1:$1,FALSE))),"")</f>
        <v/>
      </c>
      <c r="W125" t="str">
        <f>IFERROR(IF(INDEX(Spring!$1:$1048576,MATCH(All!$A125,Spring!$A:$A,FALSE),MATCH(All!W$1,Spring!$1:$1,FALSE))="","",INDEX(Spring!$1:$1048576,MATCH(All!$A125,Spring!$A:$A,FALSE),MATCH(All!W$1,Spring!$1:$1,FALSE))),"")</f>
        <v>873.00 (1,440.45)</v>
      </c>
      <c r="X125" t="str">
        <f>IFERROR(IF(INDEX(Spring!$1:$1048576,MATCH(All!$A125,Spring!$A:$A,FALSE),MATCH(All!X$1,Spring!$1:$1,FALSE))="","",INDEX(Spring!$1:$1048576,MATCH(All!$A125,Spring!$A:$A,FALSE),MATCH(All!X$1,Spring!$1:$1,FALSE))),"")</f>
        <v>3A</v>
      </c>
      <c r="Y125" t="str">
        <f>IFERROR(IF(INDEX(Spring!$1:$1048576,MATCH(All!$A125,Spring!$A:$A,FALSE),MATCH(All!Y$1,Spring!$1:$1,FALSE))="","",INDEX(Spring!$1:$1048576,MATCH(All!$A125,Spring!$A:$A,FALSE),MATCH(All!Y$1,Spring!$1:$1,FALSE))),"")</f>
        <v>3A</v>
      </c>
      <c r="Z125" t="str">
        <f>IFERROR(IF(INDEX(Spring!$1:$1048576,MATCH(All!$A125,Spring!$A:$A,FALSE),MATCH(All!Z$1,Spring!$1:$1,FALSE))="","",INDEX(Spring!$1:$1048576,MATCH(All!$A125,Spring!$A:$A,FALSE),MATCH(All!Z$1,Spring!$1:$1,FALSE))),"")</f>
        <v/>
      </c>
      <c r="AA125" t="str">
        <f>IFERROR(IF(INDEX(Spring!$1:$1048576,MATCH(All!$A125,Spring!$A:$A,FALSE),MATCH(All!AA$1,Spring!$1:$1,FALSE))="","",INDEX(Spring!$1:$1048576,MATCH(All!$A125,Spring!$A:$A,FALSE),MATCH(All!AA$1,Spring!$1:$1,FALSE))),"")</f>
        <v>1A</v>
      </c>
      <c r="AB125" t="str">
        <f>IFERROR(IF(INDEX(Spring!$1:$1048576,MATCH(All!$A125,Spring!$A:$A,FALSE),MATCH(All!AB$1,Spring!$1:$1,FALSE))="","",INDEX(Spring!$1:$1048576,MATCH(All!$A125,Spring!$A:$A,FALSE),MATCH(All!AB$1,Spring!$1:$1,FALSE))),"")</f>
        <v>3A</v>
      </c>
      <c r="AC125" t="str">
        <f>IFERROR(IF(INDEX(Spring!$1:$1048576,MATCH(All!$A125,Spring!$A:$A,FALSE),MATCH(All!AC$1,Spring!$1:$1,FALSE))="","",INDEX(Spring!$1:$1048576,MATCH(All!$A125,Spring!$A:$A,FALSE),MATCH(All!AC$1,Spring!$1:$1,FALSE))),"")</f>
        <v>3A</v>
      </c>
      <c r="AD125" t="str">
        <f>IFERROR(VLOOKUP(A125,'Flag Football'!A:A,1,FALSE),"")</f>
        <v>Chicago (Brooks)</v>
      </c>
      <c r="AE125" t="str">
        <f t="shared" si="1"/>
        <v>1A</v>
      </c>
    </row>
    <row r="126" spans="1:31" ht="15.75" thickBot="1" x14ac:dyDescent="0.3">
      <c r="A126" s="18" t="s">
        <v>148</v>
      </c>
      <c r="B126" s="38" t="str">
        <f>IFERROR(VLOOKUP(A126,'Public v Private'!A:G,3,FALSE),"")</f>
        <v>private</v>
      </c>
      <c r="C126" s="38">
        <f>IFERROR(VLOOKUP(A126,'Public v Private'!A:G,4,FALSE),"")</f>
        <v>1</v>
      </c>
      <c r="D126" s="38">
        <f>IFERROR(VLOOKUP(A126,'Public v Private'!A:G,5,FALSE),"")</f>
        <v>3</v>
      </c>
      <c r="E126" s="38"/>
      <c r="F126" s="40" t="str">
        <f>IFERROR(INDEX(Fall!$1:$1048576,MATCH(All!$A126,Fall!$A:$A,FALSE),MATCH(All!F$1,Fall!$1:$1,FALSE)),"N/A")</f>
        <v>1,322.00 (2,181.30)</v>
      </c>
      <c r="G126" t="str">
        <f>IFERROR(IF(INDEX(Fall!$1:$1048576,MATCH(All!$A126,Fall!$A:$A,FALSE),MATCH(All!G$1,Fall!$1:$1,FALSE))="","",INDEX(Fall!$1:$1048576,MATCH(All!$A126,Fall!$A:$A,FALSE),MATCH(All!G$1,Fall!$1:$1,FALSE))),"")</f>
        <v>3A</v>
      </c>
      <c r="H126" t="str">
        <f>IFERROR(IF(INDEX(Fall!$1:$1048576,MATCH(All!$A126,Fall!$A:$A,FALSE),MATCH(All!H$1,Fall!$1:$1,FALSE))="","",INDEX(Fall!$1:$1048576,MATCH(All!$A126,Fall!$A:$A,FALSE),MATCH(All!H$1,Fall!$1:$1,FALSE))),"")</f>
        <v/>
      </c>
      <c r="I126" t="str">
        <f>IFERROR(IF(INDEX(Fall!$1:$1048576,MATCH(All!$A126,Fall!$A:$A,FALSE),MATCH(All!I$1,Fall!$1:$1,FALSE))="","",INDEX(Fall!$1:$1048576,MATCH(All!$A126,Fall!$A:$A,FALSE),MATCH(All!I$1,Fall!$1:$1,FALSE))),"")</f>
        <v>3A</v>
      </c>
      <c r="J126" t="str">
        <f>IFERROR(IF(INDEX(Fall!$1:$1048576,MATCH(All!$A126,Fall!$A:$A,FALSE),MATCH(All!J$1,Fall!$1:$1,FALSE))="","",INDEX(Fall!$1:$1048576,MATCH(All!$A126,Fall!$A:$A,FALSE),MATCH(All!J$1,Fall!$1:$1,FALSE))),"")</f>
        <v/>
      </c>
      <c r="K126" t="str">
        <f>IFERROR(IF(INDEX(Fall!$1:$1048576,MATCH(All!$A126,Fall!$A:$A,FALSE),MATCH(All!K$1,Fall!$1:$1,FALSE))="","",INDEX(Fall!$1:$1048576,MATCH(All!$A126,Fall!$A:$A,FALSE),MATCH(All!K$1,Fall!$1:$1,FALSE))),"")</f>
        <v>3A</v>
      </c>
      <c r="L126" t="str">
        <f>IFERROR(IF(INDEX(Fall!$1:$1048576,MATCH(All!$A126,Fall!$A:$A,FALSE),MATCH(All!L$1,Fall!$1:$1,FALSE))="","",INDEX(Fall!$1:$1048576,MATCH(All!$A126,Fall!$A:$A,FALSE),MATCH(All!L$1,Fall!$1:$1,FALSE))),"")</f>
        <v/>
      </c>
      <c r="M126" t="str">
        <f>IFERROR(IF(INDEX(Fall!$1:$1048576,MATCH(All!$A126,Fall!$A:$A,FALSE),MATCH(All!M$1,Fall!$1:$1,FALSE))="","",INDEX(Fall!$1:$1048576,MATCH(All!$A126,Fall!$A:$A,FALSE),MATCH(All!M$1,Fall!$1:$1,FALSE))),"")</f>
        <v/>
      </c>
      <c r="O126" t="str">
        <f>IFERROR(IF(INDEX(Winter!$1:$1048576,MATCH(All!$A126,Winter!$A:$A,FALSE),MATCH(All!O$1,Winter!$1:$1,FALSE))="","",INDEX(Winter!$1:$1048576,MATCH(All!$A126,Winter!$A:$A,FALSE),MATCH(All!O$1,Winter!$1:$1,FALSE))),"")</f>
        <v>1,322.00 (2,181.30)</v>
      </c>
      <c r="P126" t="str">
        <f>IFERROR(IF(INDEX(Winter!$1:$1048576,MATCH(All!$A126,Winter!$A:$A,FALSE),MATCH(All!P$1,Winter!$1:$1,FALSE))="","",INDEX(Winter!$1:$1048576,MATCH(All!$A126,Winter!$A:$A,FALSE),MATCH(All!P$1,Winter!$1:$1,FALSE))),"")</f>
        <v>4A</v>
      </c>
      <c r="Q126" t="str">
        <f>IFERROR(IF(INDEX(Winter!$1:$1048576,MATCH(All!$A126,Winter!$A:$A,FALSE),MATCH(All!Q$1,Winter!$1:$1,FALSE))="","",INDEX(Winter!$1:$1048576,MATCH(All!$A126,Winter!$A:$A,FALSE),MATCH(All!Q$1,Winter!$1:$1,FALSE))),"")</f>
        <v/>
      </c>
      <c r="R126" t="str">
        <f>IFERROR(IF(INDEX(Winter!$1:$1048576,MATCH(All!$A126,Winter!$A:$A,FALSE),MATCH(All!R$1,Winter!$1:$1,FALSE))="","",INDEX(Winter!$1:$1048576,MATCH(All!$A126,Winter!$A:$A,FALSE),MATCH(All!R$1,Winter!$1:$1,FALSE))),"")</f>
        <v/>
      </c>
      <c r="S126" t="str">
        <f>IFERROR(IF(INDEX(Winter!$1:$1048576,MATCH(All!$A126,Winter!$A:$A,FALSE),MATCH(All!S$1,Winter!$1:$1,FALSE))="","",INDEX(Winter!$1:$1048576,MATCH(All!$A126,Winter!$A:$A,FALSE),MATCH(All!S$1,Winter!$1:$1,FALSE))),"")</f>
        <v/>
      </c>
      <c r="T126" t="str">
        <f>IFERROR(IF(INDEX(Winter!$1:$1048576,MATCH(All!$A126,Winter!$A:$A,FALSE),MATCH(All!T$1,Winter!$1:$1,FALSE))="","",INDEX(Winter!$1:$1048576,MATCH(All!$A126,Winter!$A:$A,FALSE),MATCH(All!T$1,Winter!$1:$1,FALSE))),"")</f>
        <v>2A</v>
      </c>
      <c r="U126" t="str">
        <f>IFERROR(IF(INDEX(Winter!$1:$1048576,MATCH(All!$A126,Winter!$A:$A,FALSE),MATCH(All!U$1,Winter!$1:$1,FALSE))="","",INDEX(Winter!$1:$1048576,MATCH(All!$A126,Winter!$A:$A,FALSE),MATCH(All!U$1,Winter!$1:$1,FALSE))),"")</f>
        <v>3A</v>
      </c>
      <c r="W126" t="str">
        <f>IFERROR(IF(INDEX(Spring!$1:$1048576,MATCH(All!$A126,Spring!$A:$A,FALSE),MATCH(All!W$1,Spring!$1:$1,FALSE))="","",INDEX(Spring!$1:$1048576,MATCH(All!$A126,Spring!$A:$A,FALSE),MATCH(All!W$1,Spring!$1:$1,FALSE))),"")</f>
        <v>1,322.00 (2,181.30)</v>
      </c>
      <c r="X126" t="str">
        <f>IFERROR(IF(INDEX(Spring!$1:$1048576,MATCH(All!$A126,Spring!$A:$A,FALSE),MATCH(All!X$1,Spring!$1:$1,FALSE))="","",INDEX(Spring!$1:$1048576,MATCH(All!$A126,Spring!$A:$A,FALSE),MATCH(All!X$1,Spring!$1:$1,FALSE))),"")</f>
        <v>4A</v>
      </c>
      <c r="Y126" t="str">
        <f>IFERROR(IF(INDEX(Spring!$1:$1048576,MATCH(All!$A126,Spring!$A:$A,FALSE),MATCH(All!Y$1,Spring!$1:$1,FALSE))="","",INDEX(Spring!$1:$1048576,MATCH(All!$A126,Spring!$A:$A,FALSE),MATCH(All!Y$1,Spring!$1:$1,FALSE))),"")</f>
        <v/>
      </c>
      <c r="Z126" t="str">
        <f>IFERROR(IF(INDEX(Spring!$1:$1048576,MATCH(All!$A126,Spring!$A:$A,FALSE),MATCH(All!Z$1,Spring!$1:$1,FALSE))="","",INDEX(Spring!$1:$1048576,MATCH(All!$A126,Spring!$A:$A,FALSE),MATCH(All!Z$1,Spring!$1:$1,FALSE))),"")</f>
        <v/>
      </c>
      <c r="AA126" t="str">
        <f>IFERROR(IF(INDEX(Spring!$1:$1048576,MATCH(All!$A126,Spring!$A:$A,FALSE),MATCH(All!AA$1,Spring!$1:$1,FALSE))="","",INDEX(Spring!$1:$1048576,MATCH(All!$A126,Spring!$A:$A,FALSE),MATCH(All!AA$1,Spring!$1:$1,FALSE))),"")</f>
        <v>2A</v>
      </c>
      <c r="AB126" t="str">
        <f>IFERROR(IF(INDEX(Spring!$1:$1048576,MATCH(All!$A126,Spring!$A:$A,FALSE),MATCH(All!AB$1,Spring!$1:$1,FALSE))="","",INDEX(Spring!$1:$1048576,MATCH(All!$A126,Spring!$A:$A,FALSE),MATCH(All!AB$1,Spring!$1:$1,FALSE))),"")</f>
        <v>3A</v>
      </c>
      <c r="AC126" t="str">
        <f>IFERROR(IF(INDEX(Spring!$1:$1048576,MATCH(All!$A126,Spring!$A:$A,FALSE),MATCH(All!AC$1,Spring!$1:$1,FALSE))="","",INDEX(Spring!$1:$1048576,MATCH(All!$A126,Spring!$A:$A,FALSE),MATCH(All!AC$1,Spring!$1:$1,FALSE))),"")</f>
        <v/>
      </c>
      <c r="AD126" t="str">
        <f>IFERROR(VLOOKUP(A126,'Flag Football'!A:A,1,FALSE),"")</f>
        <v/>
      </c>
      <c r="AE126" t="str">
        <f t="shared" si="1"/>
        <v/>
      </c>
    </row>
    <row r="127" spans="1:31" ht="15.75" thickBot="1" x14ac:dyDescent="0.3">
      <c r="A127" s="20" t="s">
        <v>150</v>
      </c>
      <c r="B127" s="38" t="str">
        <f>IFERROR(VLOOKUP(A127,'Public v Private'!A:G,3,FALSE),"")</f>
        <v>no</v>
      </c>
      <c r="C127" s="38">
        <f>IFERROR(VLOOKUP(A127,'Public v Private'!A:G,4,FALSE),"")</f>
        <v>0</v>
      </c>
      <c r="D127" s="38">
        <f>IFERROR(VLOOKUP(A127,'Public v Private'!A:G,5,FALSE),"")</f>
        <v>0</v>
      </c>
      <c r="E127" s="38"/>
      <c r="F127" s="40" t="str">
        <f>IFERROR(INDEX(Fall!$1:$1048576,MATCH(All!$A127,Fall!$A:$A,FALSE),MATCH(All!F$1,Fall!$1:$1,FALSE)),"N/A")</f>
        <v>569.00 (938.85)</v>
      </c>
      <c r="G127" t="str">
        <f>IFERROR(IF(INDEX(Fall!$1:$1048576,MATCH(All!$A127,Fall!$A:$A,FALSE),MATCH(All!G$1,Fall!$1:$1,FALSE))="","",INDEX(Fall!$1:$1048576,MATCH(All!$A127,Fall!$A:$A,FALSE),MATCH(All!G$1,Fall!$1:$1,FALSE))),"")</f>
        <v>1A</v>
      </c>
      <c r="H127" t="str">
        <f>IFERROR(IF(INDEX(Fall!$1:$1048576,MATCH(All!$A127,Fall!$A:$A,FALSE),MATCH(All!H$1,Fall!$1:$1,FALSE))="","",INDEX(Fall!$1:$1048576,MATCH(All!$A127,Fall!$A:$A,FALSE),MATCH(All!H$1,Fall!$1:$1,FALSE))),"")</f>
        <v>1A</v>
      </c>
      <c r="I127" t="str">
        <f>IFERROR(IF(INDEX(Fall!$1:$1048576,MATCH(All!$A127,Fall!$A:$A,FALSE),MATCH(All!I$1,Fall!$1:$1,FALSE))="","",INDEX(Fall!$1:$1048576,MATCH(All!$A127,Fall!$A:$A,FALSE),MATCH(All!I$1,Fall!$1:$1,FALSE))),"")</f>
        <v/>
      </c>
      <c r="J127" t="str">
        <f>IFERROR(IF(INDEX(Fall!$1:$1048576,MATCH(All!$A127,Fall!$A:$A,FALSE),MATCH(All!J$1,Fall!$1:$1,FALSE))="","",INDEX(Fall!$1:$1048576,MATCH(All!$A127,Fall!$A:$A,FALSE),MATCH(All!J$1,Fall!$1:$1,FALSE))),"")</f>
        <v/>
      </c>
      <c r="K127" t="str">
        <f>IFERROR(IF(INDEX(Fall!$1:$1048576,MATCH(All!$A127,Fall!$A:$A,FALSE),MATCH(All!K$1,Fall!$1:$1,FALSE))="","",INDEX(Fall!$1:$1048576,MATCH(All!$A127,Fall!$A:$A,FALSE),MATCH(All!K$1,Fall!$1:$1,FALSE))),"")</f>
        <v>1A</v>
      </c>
      <c r="L127" t="str">
        <f>IFERROR(IF(INDEX(Fall!$1:$1048576,MATCH(All!$A127,Fall!$A:$A,FALSE),MATCH(All!L$1,Fall!$1:$1,FALSE))="","",INDEX(Fall!$1:$1048576,MATCH(All!$A127,Fall!$A:$A,FALSE),MATCH(All!L$1,Fall!$1:$1,FALSE))),"")</f>
        <v/>
      </c>
      <c r="M127" t="str">
        <f>IFERROR(IF(INDEX(Fall!$1:$1048576,MATCH(All!$A127,Fall!$A:$A,FALSE),MATCH(All!M$1,Fall!$1:$1,FALSE))="","",INDEX(Fall!$1:$1048576,MATCH(All!$A127,Fall!$A:$A,FALSE),MATCH(All!M$1,Fall!$1:$1,FALSE))),"")</f>
        <v>2A</v>
      </c>
      <c r="O127" t="str">
        <f>IFERROR(IF(INDEX(Winter!$1:$1048576,MATCH(All!$A127,Winter!$A:$A,FALSE),MATCH(All!O$1,Winter!$1:$1,FALSE))="","",INDEX(Winter!$1:$1048576,MATCH(All!$A127,Winter!$A:$A,FALSE),MATCH(All!O$1,Winter!$1:$1,FALSE))),"")</f>
        <v>569.00 (938.85)</v>
      </c>
      <c r="P127" t="str">
        <f>IFERROR(IF(INDEX(Winter!$1:$1048576,MATCH(All!$A127,Winter!$A:$A,FALSE),MATCH(All!P$1,Winter!$1:$1,FALSE))="","",INDEX(Winter!$1:$1048576,MATCH(All!$A127,Winter!$A:$A,FALSE),MATCH(All!P$1,Winter!$1:$1,FALSE))),"")</f>
        <v>2A</v>
      </c>
      <c r="Q127" t="str">
        <f>IFERROR(IF(INDEX(Winter!$1:$1048576,MATCH(All!$A127,Winter!$A:$A,FALSE),MATCH(All!Q$1,Winter!$1:$1,FALSE))="","",INDEX(Winter!$1:$1048576,MATCH(All!$A127,Winter!$A:$A,FALSE),MATCH(All!Q$1,Winter!$1:$1,FALSE))),"")</f>
        <v>2A</v>
      </c>
      <c r="R127" t="str">
        <f>IFERROR(IF(INDEX(Winter!$1:$1048576,MATCH(All!$A127,Winter!$A:$A,FALSE),MATCH(All!R$1,Winter!$1:$1,FALSE))="","",INDEX(Winter!$1:$1048576,MATCH(All!$A127,Winter!$A:$A,FALSE),MATCH(All!R$1,Winter!$1:$1,FALSE))),"")</f>
        <v/>
      </c>
      <c r="S127" t="str">
        <f>IFERROR(IF(INDEX(Winter!$1:$1048576,MATCH(All!$A127,Winter!$A:$A,FALSE),MATCH(All!S$1,Winter!$1:$1,FALSE))="","",INDEX(Winter!$1:$1048576,MATCH(All!$A127,Winter!$A:$A,FALSE),MATCH(All!S$1,Winter!$1:$1,FALSE))),"")</f>
        <v>1A</v>
      </c>
      <c r="T127" t="str">
        <f>IFERROR(IF(INDEX(Winter!$1:$1048576,MATCH(All!$A127,Winter!$A:$A,FALSE),MATCH(All!T$1,Winter!$1:$1,FALSE))="","",INDEX(Winter!$1:$1048576,MATCH(All!$A127,Winter!$A:$A,FALSE),MATCH(All!T$1,Winter!$1:$1,FALSE))),"")</f>
        <v/>
      </c>
      <c r="U127" t="str">
        <f>IFERROR(IF(INDEX(Winter!$1:$1048576,MATCH(All!$A127,Winter!$A:$A,FALSE),MATCH(All!U$1,Winter!$1:$1,FALSE))="","",INDEX(Winter!$1:$1048576,MATCH(All!$A127,Winter!$A:$A,FALSE),MATCH(All!U$1,Winter!$1:$1,FALSE))),"")</f>
        <v>1A</v>
      </c>
      <c r="W127" t="str">
        <f>IFERROR(IF(INDEX(Spring!$1:$1048576,MATCH(All!$A127,Spring!$A:$A,FALSE),MATCH(All!W$1,Spring!$1:$1,FALSE))="","",INDEX(Spring!$1:$1048576,MATCH(All!$A127,Spring!$A:$A,FALSE),MATCH(All!W$1,Spring!$1:$1,FALSE))),"")</f>
        <v>569.00 (938.85)</v>
      </c>
      <c r="X127" t="str">
        <f>IFERROR(IF(INDEX(Spring!$1:$1048576,MATCH(All!$A127,Spring!$A:$A,FALSE),MATCH(All!X$1,Spring!$1:$1,FALSE))="","",INDEX(Spring!$1:$1048576,MATCH(All!$A127,Spring!$A:$A,FALSE),MATCH(All!X$1,Spring!$1:$1,FALSE))),"")</f>
        <v>2A</v>
      </c>
      <c r="Y127" t="str">
        <f>IFERROR(IF(INDEX(Spring!$1:$1048576,MATCH(All!$A127,Spring!$A:$A,FALSE),MATCH(All!Y$1,Spring!$1:$1,FALSE))="","",INDEX(Spring!$1:$1048576,MATCH(All!$A127,Spring!$A:$A,FALSE),MATCH(All!Y$1,Spring!$1:$1,FALSE))),"")</f>
        <v/>
      </c>
      <c r="Z127" t="str">
        <f>IFERROR(IF(INDEX(Spring!$1:$1048576,MATCH(All!$A127,Spring!$A:$A,FALSE),MATCH(All!Z$1,Spring!$1:$1,FALSE))="","",INDEX(Spring!$1:$1048576,MATCH(All!$A127,Spring!$A:$A,FALSE),MATCH(All!Z$1,Spring!$1:$1,FALSE))),"")</f>
        <v>1A</v>
      </c>
      <c r="AA127" t="str">
        <f>IFERROR(IF(INDEX(Spring!$1:$1048576,MATCH(All!$A127,Spring!$A:$A,FALSE),MATCH(All!AA$1,Spring!$1:$1,FALSE))="","",INDEX(Spring!$1:$1048576,MATCH(All!$A127,Spring!$A:$A,FALSE),MATCH(All!AA$1,Spring!$1:$1,FALSE))),"")</f>
        <v/>
      </c>
      <c r="AB127" t="str">
        <f>IFERROR(IF(INDEX(Spring!$1:$1048576,MATCH(All!$A127,Spring!$A:$A,FALSE),MATCH(All!AB$1,Spring!$1:$1,FALSE))="","",INDEX(Spring!$1:$1048576,MATCH(All!$A127,Spring!$A:$A,FALSE),MATCH(All!AB$1,Spring!$1:$1,FALSE))),"")</f>
        <v>2A</v>
      </c>
      <c r="AC127" t="str">
        <f>IFERROR(IF(INDEX(Spring!$1:$1048576,MATCH(All!$A127,Spring!$A:$A,FALSE),MATCH(All!AC$1,Spring!$1:$1,FALSE))="","",INDEX(Spring!$1:$1048576,MATCH(All!$A127,Spring!$A:$A,FALSE),MATCH(All!AC$1,Spring!$1:$1,FALSE))),"")</f>
        <v>2A</v>
      </c>
      <c r="AD127" t="str">
        <f>IFERROR(VLOOKUP(A127,'Flag Football'!A:A,1,FALSE),"")</f>
        <v>Chicago (C. Academy)</v>
      </c>
      <c r="AE127" t="str">
        <f t="shared" si="1"/>
        <v>1A</v>
      </c>
    </row>
    <row r="128" spans="1:31" ht="15.75" thickBot="1" x14ac:dyDescent="0.3">
      <c r="A128" s="18" t="s">
        <v>152</v>
      </c>
      <c r="B128" s="38" t="str">
        <f>IFERROR(VLOOKUP(A128,'Public v Private'!A:G,3,FALSE),"")</f>
        <v>yes</v>
      </c>
      <c r="C128" s="38">
        <f>IFERROR(VLOOKUP(A128,'Public v Private'!A:G,4,FALSE),"")</f>
        <v>1</v>
      </c>
      <c r="D128" s="38">
        <f>IFERROR(VLOOKUP(A128,'Public v Private'!A:G,5,FALSE),"")</f>
        <v>2</v>
      </c>
      <c r="E128" s="38"/>
      <c r="F128" s="40" t="str">
        <f>IFERROR(INDEX(Fall!$1:$1048576,MATCH(All!$A128,Fall!$A:$A,FALSE),MATCH(All!F$1,Fall!$1:$1,FALSE)),"N/A")</f>
        <v>289.00 (476.85)</v>
      </c>
      <c r="G128" t="str">
        <f>IFERROR(IF(INDEX(Fall!$1:$1048576,MATCH(All!$A128,Fall!$A:$A,FALSE),MATCH(All!G$1,Fall!$1:$1,FALSE))="","",INDEX(Fall!$1:$1048576,MATCH(All!$A128,Fall!$A:$A,FALSE),MATCH(All!G$1,Fall!$1:$1,FALSE))),"")</f>
        <v>1A</v>
      </c>
      <c r="H128" t="str">
        <f>IFERROR(IF(INDEX(Fall!$1:$1048576,MATCH(All!$A128,Fall!$A:$A,FALSE),MATCH(All!H$1,Fall!$1:$1,FALSE))="","",INDEX(Fall!$1:$1048576,MATCH(All!$A128,Fall!$A:$A,FALSE),MATCH(All!H$1,Fall!$1:$1,FALSE))),"")</f>
        <v>1A</v>
      </c>
      <c r="I128" t="str">
        <f>IFERROR(IF(INDEX(Fall!$1:$1048576,MATCH(All!$A128,Fall!$A:$A,FALSE),MATCH(All!I$1,Fall!$1:$1,FALSE))="","",INDEX(Fall!$1:$1048576,MATCH(All!$A128,Fall!$A:$A,FALSE),MATCH(All!I$1,Fall!$1:$1,FALSE))),"")</f>
        <v/>
      </c>
      <c r="J128" t="str">
        <f>IFERROR(IF(INDEX(Fall!$1:$1048576,MATCH(All!$A128,Fall!$A:$A,FALSE),MATCH(All!J$1,Fall!$1:$1,FALSE))="","",INDEX(Fall!$1:$1048576,MATCH(All!$A128,Fall!$A:$A,FALSE),MATCH(All!J$1,Fall!$1:$1,FALSE))),"")</f>
        <v/>
      </c>
      <c r="K128" t="str">
        <f>IFERROR(IF(INDEX(Fall!$1:$1048576,MATCH(All!$A128,Fall!$A:$A,FALSE),MATCH(All!K$1,Fall!$1:$1,FALSE))="","",INDEX(Fall!$1:$1048576,MATCH(All!$A128,Fall!$A:$A,FALSE),MATCH(All!K$1,Fall!$1:$1,FALSE))),"")</f>
        <v>1A</v>
      </c>
      <c r="L128" t="str">
        <f>IFERROR(IF(INDEX(Fall!$1:$1048576,MATCH(All!$A128,Fall!$A:$A,FALSE),MATCH(All!L$1,Fall!$1:$1,FALSE))="","",INDEX(Fall!$1:$1048576,MATCH(All!$A128,Fall!$A:$A,FALSE),MATCH(All!L$1,Fall!$1:$1,FALSE))),"")</f>
        <v/>
      </c>
      <c r="M128" t="str">
        <f>IFERROR(IF(INDEX(Fall!$1:$1048576,MATCH(All!$A128,Fall!$A:$A,FALSE),MATCH(All!M$1,Fall!$1:$1,FALSE))="","",INDEX(Fall!$1:$1048576,MATCH(All!$A128,Fall!$A:$A,FALSE),MATCH(All!M$1,Fall!$1:$1,FALSE))),"")</f>
        <v>1A</v>
      </c>
      <c r="O128" t="str">
        <f>IFERROR(IF(INDEX(Winter!$1:$1048576,MATCH(All!$A128,Winter!$A:$A,FALSE),MATCH(All!O$1,Winter!$1:$1,FALSE))="","",INDEX(Winter!$1:$1048576,MATCH(All!$A128,Winter!$A:$A,FALSE),MATCH(All!O$1,Winter!$1:$1,FALSE))),"")</f>
        <v>289.00 (476.85)</v>
      </c>
      <c r="P128" t="str">
        <f>IFERROR(IF(INDEX(Winter!$1:$1048576,MATCH(All!$A128,Winter!$A:$A,FALSE),MATCH(All!P$1,Winter!$1:$1,FALSE))="","",INDEX(Winter!$1:$1048576,MATCH(All!$A128,Winter!$A:$A,FALSE),MATCH(All!P$1,Winter!$1:$1,FALSE))),"")</f>
        <v>2A</v>
      </c>
      <c r="Q128" t="str">
        <f>IFERROR(IF(INDEX(Winter!$1:$1048576,MATCH(All!$A128,Winter!$A:$A,FALSE),MATCH(All!Q$1,Winter!$1:$1,FALSE))="","",INDEX(Winter!$1:$1048576,MATCH(All!$A128,Winter!$A:$A,FALSE),MATCH(All!Q$1,Winter!$1:$1,FALSE))),"")</f>
        <v>2A</v>
      </c>
      <c r="R128" t="str">
        <f>IFERROR(IF(INDEX(Winter!$1:$1048576,MATCH(All!$A128,Winter!$A:$A,FALSE),MATCH(All!R$1,Winter!$1:$1,FALSE))="","",INDEX(Winter!$1:$1048576,MATCH(All!$A128,Winter!$A:$A,FALSE),MATCH(All!R$1,Winter!$1:$1,FALSE))),"")</f>
        <v/>
      </c>
      <c r="S128" t="str">
        <f>IFERROR(IF(INDEX(Winter!$1:$1048576,MATCH(All!$A128,Winter!$A:$A,FALSE),MATCH(All!S$1,Winter!$1:$1,FALSE))="","",INDEX(Winter!$1:$1048576,MATCH(All!$A128,Winter!$A:$A,FALSE),MATCH(All!S$1,Winter!$1:$1,FALSE))),"")</f>
        <v>1A</v>
      </c>
      <c r="T128" t="str">
        <f>IFERROR(IF(INDEX(Winter!$1:$1048576,MATCH(All!$A128,Winter!$A:$A,FALSE),MATCH(All!T$1,Winter!$1:$1,FALSE))="","",INDEX(Winter!$1:$1048576,MATCH(All!$A128,Winter!$A:$A,FALSE),MATCH(All!T$1,Winter!$1:$1,FALSE))),"")</f>
        <v/>
      </c>
      <c r="U128" t="str">
        <f>IFERROR(IF(INDEX(Winter!$1:$1048576,MATCH(All!$A128,Winter!$A:$A,FALSE),MATCH(All!U$1,Winter!$1:$1,FALSE))="","",INDEX(Winter!$1:$1048576,MATCH(All!$A128,Winter!$A:$A,FALSE),MATCH(All!U$1,Winter!$1:$1,FALSE))),"")</f>
        <v>1A</v>
      </c>
      <c r="W128" t="str">
        <f>IFERROR(IF(INDEX(Spring!$1:$1048576,MATCH(All!$A128,Spring!$A:$A,FALSE),MATCH(All!W$1,Spring!$1:$1,FALSE))="","",INDEX(Spring!$1:$1048576,MATCH(All!$A128,Spring!$A:$A,FALSE),MATCH(All!W$1,Spring!$1:$1,FALSE))),"")</f>
        <v>289.00 (476.85)</v>
      </c>
      <c r="X128" t="str">
        <f>IFERROR(IF(INDEX(Spring!$1:$1048576,MATCH(All!$A128,Spring!$A:$A,FALSE),MATCH(All!X$1,Spring!$1:$1,FALSE))="","",INDEX(Spring!$1:$1048576,MATCH(All!$A128,Spring!$A:$A,FALSE),MATCH(All!X$1,Spring!$1:$1,FALSE))),"")</f>
        <v>2A</v>
      </c>
      <c r="Y128" t="str">
        <f>IFERROR(IF(INDEX(Spring!$1:$1048576,MATCH(All!$A128,Spring!$A:$A,FALSE),MATCH(All!Y$1,Spring!$1:$1,FALSE))="","",INDEX(Spring!$1:$1048576,MATCH(All!$A128,Spring!$A:$A,FALSE),MATCH(All!Y$1,Spring!$1:$1,FALSE))),"")</f>
        <v>2A</v>
      </c>
      <c r="Z128" t="str">
        <f>IFERROR(IF(INDEX(Spring!$1:$1048576,MATCH(All!$A128,Spring!$A:$A,FALSE),MATCH(All!Z$1,Spring!$1:$1,FALSE))="","",INDEX(Spring!$1:$1048576,MATCH(All!$A128,Spring!$A:$A,FALSE),MATCH(All!Z$1,Spring!$1:$1,FALSE))),"")</f>
        <v>1A</v>
      </c>
      <c r="AA128" t="str">
        <f>IFERROR(IF(INDEX(Spring!$1:$1048576,MATCH(All!$A128,Spring!$A:$A,FALSE),MATCH(All!AA$1,Spring!$1:$1,FALSE))="","",INDEX(Spring!$1:$1048576,MATCH(All!$A128,Spring!$A:$A,FALSE),MATCH(All!AA$1,Spring!$1:$1,FALSE))),"")</f>
        <v/>
      </c>
      <c r="AB128" t="str">
        <f>IFERROR(IF(INDEX(Spring!$1:$1048576,MATCH(All!$A128,Spring!$A:$A,FALSE),MATCH(All!AB$1,Spring!$1:$1,FALSE))="","",INDEX(Spring!$1:$1048576,MATCH(All!$A128,Spring!$A:$A,FALSE),MATCH(All!AB$1,Spring!$1:$1,FALSE))),"")</f>
        <v>2A</v>
      </c>
      <c r="AC128" t="str">
        <f>IFERROR(IF(INDEX(Spring!$1:$1048576,MATCH(All!$A128,Spring!$A:$A,FALSE),MATCH(All!AC$1,Spring!$1:$1,FALSE))="","",INDEX(Spring!$1:$1048576,MATCH(All!$A128,Spring!$A:$A,FALSE),MATCH(All!AC$1,Spring!$1:$1,FALSE))),"")</f>
        <v>2A</v>
      </c>
      <c r="AD128" t="str">
        <f>IFERROR(VLOOKUP(A128,'Flag Football'!A:A,1,FALSE),"")</f>
        <v>Chicago (C. Hope Academy)</v>
      </c>
      <c r="AE128" t="str">
        <f t="shared" si="1"/>
        <v>1A</v>
      </c>
    </row>
    <row r="129" spans="1:31" ht="15.75" thickBot="1" x14ac:dyDescent="0.3">
      <c r="A129" s="20" t="s">
        <v>154</v>
      </c>
      <c r="B129" s="38" t="str">
        <f>IFERROR(VLOOKUP(A129,'Public v Private'!A:G,3,FALSE),"")</f>
        <v>?</v>
      </c>
      <c r="C129" s="38">
        <f>IFERROR(VLOOKUP(A129,'Public v Private'!A:G,4,FALSE),"")</f>
        <v>0</v>
      </c>
      <c r="D129" s="38">
        <f>IFERROR(VLOOKUP(A129,'Public v Private'!A:G,5,FALSE),"")</f>
        <v>0</v>
      </c>
      <c r="E129" s="38"/>
      <c r="F129" s="40" t="str">
        <f>IFERROR(INDEX(Fall!$1:$1048576,MATCH(All!$A129,Fall!$A:$A,FALSE),MATCH(All!F$1,Fall!$1:$1,FALSE)),"N/A")</f>
        <v>421.00 (694.65)</v>
      </c>
      <c r="G129" t="str">
        <f>IFERROR(IF(INDEX(Fall!$1:$1048576,MATCH(All!$A129,Fall!$A:$A,FALSE),MATCH(All!G$1,Fall!$1:$1,FALSE))="","",INDEX(Fall!$1:$1048576,MATCH(All!$A129,Fall!$A:$A,FALSE),MATCH(All!G$1,Fall!$1:$1,FALSE))),"")</f>
        <v/>
      </c>
      <c r="H129" t="str">
        <f>IFERROR(IF(INDEX(Fall!$1:$1048576,MATCH(All!$A129,Fall!$A:$A,FALSE),MATCH(All!H$1,Fall!$1:$1,FALSE))="","",INDEX(Fall!$1:$1048576,MATCH(All!$A129,Fall!$A:$A,FALSE),MATCH(All!H$1,Fall!$1:$1,FALSE))),"")</f>
        <v/>
      </c>
      <c r="I129" t="str">
        <f>IFERROR(IF(INDEX(Fall!$1:$1048576,MATCH(All!$A129,Fall!$A:$A,FALSE),MATCH(All!I$1,Fall!$1:$1,FALSE))="","",INDEX(Fall!$1:$1048576,MATCH(All!$A129,Fall!$A:$A,FALSE),MATCH(All!I$1,Fall!$1:$1,FALSE))),"")</f>
        <v/>
      </c>
      <c r="J129" t="str">
        <f>IFERROR(IF(INDEX(Fall!$1:$1048576,MATCH(All!$A129,Fall!$A:$A,FALSE),MATCH(All!J$1,Fall!$1:$1,FALSE))="","",INDEX(Fall!$1:$1048576,MATCH(All!$A129,Fall!$A:$A,FALSE),MATCH(All!J$1,Fall!$1:$1,FALSE))),"")</f>
        <v/>
      </c>
      <c r="K129" t="str">
        <f>IFERROR(IF(INDEX(Fall!$1:$1048576,MATCH(All!$A129,Fall!$A:$A,FALSE),MATCH(All!K$1,Fall!$1:$1,FALSE))="","",INDEX(Fall!$1:$1048576,MATCH(All!$A129,Fall!$A:$A,FALSE),MATCH(All!K$1,Fall!$1:$1,FALSE))),"")</f>
        <v>1A</v>
      </c>
      <c r="L129" t="str">
        <f>IFERROR(IF(INDEX(Fall!$1:$1048576,MATCH(All!$A129,Fall!$A:$A,FALSE),MATCH(All!L$1,Fall!$1:$1,FALSE))="","",INDEX(Fall!$1:$1048576,MATCH(All!$A129,Fall!$A:$A,FALSE),MATCH(All!L$1,Fall!$1:$1,FALSE))),"")</f>
        <v/>
      </c>
      <c r="M129" t="str">
        <f>IFERROR(IF(INDEX(Fall!$1:$1048576,MATCH(All!$A129,Fall!$A:$A,FALSE),MATCH(All!M$1,Fall!$1:$1,FALSE))="","",INDEX(Fall!$1:$1048576,MATCH(All!$A129,Fall!$A:$A,FALSE),MATCH(All!M$1,Fall!$1:$1,FALSE))),"")</f>
        <v>2A</v>
      </c>
      <c r="O129" t="str">
        <f>IFERROR(IF(INDEX(Winter!$1:$1048576,MATCH(All!$A129,Winter!$A:$A,FALSE),MATCH(All!O$1,Winter!$1:$1,FALSE))="","",INDEX(Winter!$1:$1048576,MATCH(All!$A129,Winter!$A:$A,FALSE),MATCH(All!O$1,Winter!$1:$1,FALSE))),"")</f>
        <v/>
      </c>
      <c r="P129" t="str">
        <f>IFERROR(IF(INDEX(Winter!$1:$1048576,MATCH(All!$A129,Winter!$A:$A,FALSE),MATCH(All!P$1,Winter!$1:$1,FALSE))="","",INDEX(Winter!$1:$1048576,MATCH(All!$A129,Winter!$A:$A,FALSE),MATCH(All!P$1,Winter!$1:$1,FALSE))),"")</f>
        <v/>
      </c>
      <c r="Q129" t="str">
        <f>IFERROR(IF(INDEX(Winter!$1:$1048576,MATCH(All!$A129,Winter!$A:$A,FALSE),MATCH(All!Q$1,Winter!$1:$1,FALSE))="","",INDEX(Winter!$1:$1048576,MATCH(All!$A129,Winter!$A:$A,FALSE),MATCH(All!Q$1,Winter!$1:$1,FALSE))),"")</f>
        <v/>
      </c>
      <c r="R129" t="str">
        <f>IFERROR(IF(INDEX(Winter!$1:$1048576,MATCH(All!$A129,Winter!$A:$A,FALSE),MATCH(All!R$1,Winter!$1:$1,FALSE))="","",INDEX(Winter!$1:$1048576,MATCH(All!$A129,Winter!$A:$A,FALSE),MATCH(All!R$1,Winter!$1:$1,FALSE))),"")</f>
        <v/>
      </c>
      <c r="S129" t="str">
        <f>IFERROR(IF(INDEX(Winter!$1:$1048576,MATCH(All!$A129,Winter!$A:$A,FALSE),MATCH(All!S$1,Winter!$1:$1,FALSE))="","",INDEX(Winter!$1:$1048576,MATCH(All!$A129,Winter!$A:$A,FALSE),MATCH(All!S$1,Winter!$1:$1,FALSE))),"")</f>
        <v/>
      </c>
      <c r="T129" t="str">
        <f>IFERROR(IF(INDEX(Winter!$1:$1048576,MATCH(All!$A129,Winter!$A:$A,FALSE),MATCH(All!T$1,Winter!$1:$1,FALSE))="","",INDEX(Winter!$1:$1048576,MATCH(All!$A129,Winter!$A:$A,FALSE),MATCH(All!T$1,Winter!$1:$1,FALSE))),"")</f>
        <v/>
      </c>
      <c r="U129" t="str">
        <f>IFERROR(IF(INDEX(Winter!$1:$1048576,MATCH(All!$A129,Winter!$A:$A,FALSE),MATCH(All!U$1,Winter!$1:$1,FALSE))="","",INDEX(Winter!$1:$1048576,MATCH(All!$A129,Winter!$A:$A,FALSE),MATCH(All!U$1,Winter!$1:$1,FALSE))),"")</f>
        <v/>
      </c>
      <c r="W129" t="str">
        <f>IFERROR(IF(INDEX(Spring!$1:$1048576,MATCH(All!$A129,Spring!$A:$A,FALSE),MATCH(All!W$1,Spring!$1:$1,FALSE))="","",INDEX(Spring!$1:$1048576,MATCH(All!$A129,Spring!$A:$A,FALSE),MATCH(All!W$1,Spring!$1:$1,FALSE))),"")</f>
        <v>421.00 (694.65)</v>
      </c>
      <c r="X129" t="str">
        <f>IFERROR(IF(INDEX(Spring!$1:$1048576,MATCH(All!$A129,Spring!$A:$A,FALSE),MATCH(All!X$1,Spring!$1:$1,FALSE))="","",INDEX(Spring!$1:$1048576,MATCH(All!$A129,Spring!$A:$A,FALSE),MATCH(All!X$1,Spring!$1:$1,FALSE))),"")</f>
        <v/>
      </c>
      <c r="Y129" t="str">
        <f>IFERROR(IF(INDEX(Spring!$1:$1048576,MATCH(All!$A129,Spring!$A:$A,FALSE),MATCH(All!Y$1,Spring!$1:$1,FALSE))="","",INDEX(Spring!$1:$1048576,MATCH(All!$A129,Spring!$A:$A,FALSE),MATCH(All!Y$1,Spring!$1:$1,FALSE))),"")</f>
        <v/>
      </c>
      <c r="Z129" t="str">
        <f>IFERROR(IF(INDEX(Spring!$1:$1048576,MATCH(All!$A129,Spring!$A:$A,FALSE),MATCH(All!Z$1,Spring!$1:$1,FALSE))="","",INDEX(Spring!$1:$1048576,MATCH(All!$A129,Spring!$A:$A,FALSE),MATCH(All!Z$1,Spring!$1:$1,FALSE))),"")</f>
        <v/>
      </c>
      <c r="AA129" t="str">
        <f>IFERROR(IF(INDEX(Spring!$1:$1048576,MATCH(All!$A129,Spring!$A:$A,FALSE),MATCH(All!AA$1,Spring!$1:$1,FALSE))="","",INDEX(Spring!$1:$1048576,MATCH(All!$A129,Spring!$A:$A,FALSE),MATCH(All!AA$1,Spring!$1:$1,FALSE))),"")</f>
        <v/>
      </c>
      <c r="AB129" t="str">
        <f>IFERROR(IF(INDEX(Spring!$1:$1048576,MATCH(All!$A129,Spring!$A:$A,FALSE),MATCH(All!AB$1,Spring!$1:$1,FALSE))="","",INDEX(Spring!$1:$1048576,MATCH(All!$A129,Spring!$A:$A,FALSE),MATCH(All!AB$1,Spring!$1:$1,FALSE))),"")</f>
        <v>2A</v>
      </c>
      <c r="AC129" t="str">
        <f>IFERROR(IF(INDEX(Spring!$1:$1048576,MATCH(All!$A129,Spring!$A:$A,FALSE),MATCH(All!AC$1,Spring!$1:$1,FALSE))="","",INDEX(Spring!$1:$1048576,MATCH(All!$A129,Spring!$A:$A,FALSE),MATCH(All!AC$1,Spring!$1:$1,FALSE))),"")</f>
        <v>2A</v>
      </c>
      <c r="AD129" t="str">
        <f>IFERROR(VLOOKUP(A129,'Flag Football'!A:A,1,FALSE),"")</f>
        <v/>
      </c>
      <c r="AE129" t="str">
        <f t="shared" si="1"/>
        <v/>
      </c>
    </row>
    <row r="130" spans="1:31" ht="15.75" thickBot="1" x14ac:dyDescent="0.3">
      <c r="A130" s="18" t="s">
        <v>156</v>
      </c>
      <c r="B130" s="38" t="str">
        <f>IFERROR(VLOOKUP(A130,'Public v Private'!A:G,3,FALSE),"")</f>
        <v>no</v>
      </c>
      <c r="C130" s="38">
        <f>IFERROR(VLOOKUP(A130,'Public v Private'!A:G,4,FALSE),"")</f>
        <v>0</v>
      </c>
      <c r="D130" s="38">
        <f>IFERROR(VLOOKUP(A130,'Public v Private'!A:G,5,FALSE),"")</f>
        <v>0</v>
      </c>
      <c r="E130" s="38"/>
      <c r="F130" s="40" t="str">
        <f>IFERROR(INDEX(Fall!$1:$1048576,MATCH(All!$A130,Fall!$A:$A,FALSE),MATCH(All!F$1,Fall!$1:$1,FALSE)),"N/A")</f>
        <v>201.00 (331.65)</v>
      </c>
      <c r="G130" t="str">
        <f>IFERROR(IF(INDEX(Fall!$1:$1048576,MATCH(All!$A130,Fall!$A:$A,FALSE),MATCH(All!G$1,Fall!$1:$1,FALSE))="","",INDEX(Fall!$1:$1048576,MATCH(All!$A130,Fall!$A:$A,FALSE),MATCH(All!G$1,Fall!$1:$1,FALSE))),"")</f>
        <v/>
      </c>
      <c r="H130" t="str">
        <f>IFERROR(IF(INDEX(Fall!$1:$1048576,MATCH(All!$A130,Fall!$A:$A,FALSE),MATCH(All!H$1,Fall!$1:$1,FALSE))="","",INDEX(Fall!$1:$1048576,MATCH(All!$A130,Fall!$A:$A,FALSE),MATCH(All!H$1,Fall!$1:$1,FALSE))),"")</f>
        <v/>
      </c>
      <c r="I130" t="str">
        <f>IFERROR(IF(INDEX(Fall!$1:$1048576,MATCH(All!$A130,Fall!$A:$A,FALSE),MATCH(All!I$1,Fall!$1:$1,FALSE))="","",INDEX(Fall!$1:$1048576,MATCH(All!$A130,Fall!$A:$A,FALSE),MATCH(All!I$1,Fall!$1:$1,FALSE))),"")</f>
        <v/>
      </c>
      <c r="J130" t="str">
        <f>IFERROR(IF(INDEX(Fall!$1:$1048576,MATCH(All!$A130,Fall!$A:$A,FALSE),MATCH(All!J$1,Fall!$1:$1,FALSE))="","",INDEX(Fall!$1:$1048576,MATCH(All!$A130,Fall!$A:$A,FALSE),MATCH(All!J$1,Fall!$1:$1,FALSE))),"")</f>
        <v/>
      </c>
      <c r="K130" t="str">
        <f>IFERROR(IF(INDEX(Fall!$1:$1048576,MATCH(All!$A130,Fall!$A:$A,FALSE),MATCH(All!K$1,Fall!$1:$1,FALSE))="","",INDEX(Fall!$1:$1048576,MATCH(All!$A130,Fall!$A:$A,FALSE),MATCH(All!K$1,Fall!$1:$1,FALSE))),"")</f>
        <v/>
      </c>
      <c r="L130" t="str">
        <f>IFERROR(IF(INDEX(Fall!$1:$1048576,MATCH(All!$A130,Fall!$A:$A,FALSE),MATCH(All!L$1,Fall!$1:$1,FALSE))="","",INDEX(Fall!$1:$1048576,MATCH(All!$A130,Fall!$A:$A,FALSE),MATCH(All!L$1,Fall!$1:$1,FALSE))),"")</f>
        <v/>
      </c>
      <c r="M130" t="str">
        <f>IFERROR(IF(INDEX(Fall!$1:$1048576,MATCH(All!$A130,Fall!$A:$A,FALSE),MATCH(All!M$1,Fall!$1:$1,FALSE))="","",INDEX(Fall!$1:$1048576,MATCH(All!$A130,Fall!$A:$A,FALSE),MATCH(All!M$1,Fall!$1:$1,FALSE))),"")</f>
        <v>2A</v>
      </c>
      <c r="O130" t="str">
        <f>IFERROR(IF(INDEX(Winter!$1:$1048576,MATCH(All!$A130,Winter!$A:$A,FALSE),MATCH(All!O$1,Winter!$1:$1,FALSE))="","",INDEX(Winter!$1:$1048576,MATCH(All!$A130,Winter!$A:$A,FALSE),MATCH(All!O$1,Winter!$1:$1,FALSE))),"")</f>
        <v>201.00 (331.65)</v>
      </c>
      <c r="P130" t="str">
        <f>IFERROR(IF(INDEX(Winter!$1:$1048576,MATCH(All!$A130,Winter!$A:$A,FALSE),MATCH(All!P$1,Winter!$1:$1,FALSE))="","",INDEX(Winter!$1:$1048576,MATCH(All!$A130,Winter!$A:$A,FALSE),MATCH(All!P$1,Winter!$1:$1,FALSE))),"")</f>
        <v>2A</v>
      </c>
      <c r="Q130" t="str">
        <f>IFERROR(IF(INDEX(Winter!$1:$1048576,MATCH(All!$A130,Winter!$A:$A,FALSE),MATCH(All!Q$1,Winter!$1:$1,FALSE))="","",INDEX(Winter!$1:$1048576,MATCH(All!$A130,Winter!$A:$A,FALSE),MATCH(All!Q$1,Winter!$1:$1,FALSE))),"")</f>
        <v>2A</v>
      </c>
      <c r="R130" t="str">
        <f>IFERROR(IF(INDEX(Winter!$1:$1048576,MATCH(All!$A130,Winter!$A:$A,FALSE),MATCH(All!R$1,Winter!$1:$1,FALSE))="","",INDEX(Winter!$1:$1048576,MATCH(All!$A130,Winter!$A:$A,FALSE),MATCH(All!R$1,Winter!$1:$1,FALSE))),"")</f>
        <v/>
      </c>
      <c r="S130" t="str">
        <f>IFERROR(IF(INDEX(Winter!$1:$1048576,MATCH(All!$A130,Winter!$A:$A,FALSE),MATCH(All!S$1,Winter!$1:$1,FALSE))="","",INDEX(Winter!$1:$1048576,MATCH(All!$A130,Winter!$A:$A,FALSE),MATCH(All!S$1,Winter!$1:$1,FALSE))),"")</f>
        <v/>
      </c>
      <c r="T130" t="str">
        <f>IFERROR(IF(INDEX(Winter!$1:$1048576,MATCH(All!$A130,Winter!$A:$A,FALSE),MATCH(All!T$1,Winter!$1:$1,FALSE))="","",INDEX(Winter!$1:$1048576,MATCH(All!$A130,Winter!$A:$A,FALSE),MATCH(All!T$1,Winter!$1:$1,FALSE))),"")</f>
        <v/>
      </c>
      <c r="U130" t="str">
        <f>IFERROR(IF(INDEX(Winter!$1:$1048576,MATCH(All!$A130,Winter!$A:$A,FALSE),MATCH(All!U$1,Winter!$1:$1,FALSE))="","",INDEX(Winter!$1:$1048576,MATCH(All!$A130,Winter!$A:$A,FALSE),MATCH(All!U$1,Winter!$1:$1,FALSE))),"")</f>
        <v>1A</v>
      </c>
      <c r="W130" t="str">
        <f>IFERROR(IF(INDEX(Spring!$1:$1048576,MATCH(All!$A130,Spring!$A:$A,FALSE),MATCH(All!W$1,Spring!$1:$1,FALSE))="","",INDEX(Spring!$1:$1048576,MATCH(All!$A130,Spring!$A:$A,FALSE),MATCH(All!W$1,Spring!$1:$1,FALSE))),"")</f>
        <v>201.00 (331.65)</v>
      </c>
      <c r="X130" t="str">
        <f>IFERROR(IF(INDEX(Spring!$1:$1048576,MATCH(All!$A130,Spring!$A:$A,FALSE),MATCH(All!X$1,Spring!$1:$1,FALSE))="","",INDEX(Spring!$1:$1048576,MATCH(All!$A130,Spring!$A:$A,FALSE),MATCH(All!X$1,Spring!$1:$1,FALSE))),"")</f>
        <v/>
      </c>
      <c r="Y130" t="str">
        <f>IFERROR(IF(INDEX(Spring!$1:$1048576,MATCH(All!$A130,Spring!$A:$A,FALSE),MATCH(All!Y$1,Spring!$1:$1,FALSE))="","",INDEX(Spring!$1:$1048576,MATCH(All!$A130,Spring!$A:$A,FALSE),MATCH(All!Y$1,Spring!$1:$1,FALSE))),"")</f>
        <v/>
      </c>
      <c r="Z130" t="str">
        <f>IFERROR(IF(INDEX(Spring!$1:$1048576,MATCH(All!$A130,Spring!$A:$A,FALSE),MATCH(All!Z$1,Spring!$1:$1,FALSE))="","",INDEX(Spring!$1:$1048576,MATCH(All!$A130,Spring!$A:$A,FALSE),MATCH(All!Z$1,Spring!$1:$1,FALSE))),"")</f>
        <v/>
      </c>
      <c r="AA130" t="str">
        <f>IFERROR(IF(INDEX(Spring!$1:$1048576,MATCH(All!$A130,Spring!$A:$A,FALSE),MATCH(All!AA$1,Spring!$1:$1,FALSE))="","",INDEX(Spring!$1:$1048576,MATCH(All!$A130,Spring!$A:$A,FALSE),MATCH(All!AA$1,Spring!$1:$1,FALSE))),"")</f>
        <v/>
      </c>
      <c r="AB130" t="str">
        <f>IFERROR(IF(INDEX(Spring!$1:$1048576,MATCH(All!$A130,Spring!$A:$A,FALSE),MATCH(All!AB$1,Spring!$1:$1,FALSE))="","",INDEX(Spring!$1:$1048576,MATCH(All!$A130,Spring!$A:$A,FALSE),MATCH(All!AB$1,Spring!$1:$1,FALSE))),"")</f>
        <v>1A</v>
      </c>
      <c r="AC130" t="str">
        <f>IFERROR(IF(INDEX(Spring!$1:$1048576,MATCH(All!$A130,Spring!$A:$A,FALSE),MATCH(All!AC$1,Spring!$1:$1,FALSE))="","",INDEX(Spring!$1:$1048576,MATCH(All!$A130,Spring!$A:$A,FALSE),MATCH(All!AC$1,Spring!$1:$1,FALSE))),"")</f>
        <v>1A</v>
      </c>
      <c r="AD130" t="str">
        <f>IFERROR(VLOOKUP(A130,'Flag Football'!A:A,1,FALSE),"")</f>
        <v>Chicago (C. Military Academy-Bronzeville)</v>
      </c>
      <c r="AE130" t="str">
        <f t="shared" si="1"/>
        <v>1A</v>
      </c>
    </row>
    <row r="131" spans="1:31" ht="15.75" thickBot="1" x14ac:dyDescent="0.3">
      <c r="A131" s="20" t="s">
        <v>158</v>
      </c>
      <c r="B131" s="38" t="str">
        <f>IFERROR(VLOOKUP(A131,'Public v Private'!A:G,3,FALSE),"")</f>
        <v>?</v>
      </c>
      <c r="C131" s="38">
        <f>IFERROR(VLOOKUP(A131,'Public v Private'!A:G,4,FALSE),"")</f>
        <v>0</v>
      </c>
      <c r="D131" s="38">
        <f>IFERROR(VLOOKUP(A131,'Public v Private'!A:G,5,FALSE),"")</f>
        <v>0</v>
      </c>
      <c r="E131" s="38"/>
      <c r="F131" s="40" t="str">
        <f>IFERROR(INDEX(Fall!$1:$1048576,MATCH(All!$A131,Fall!$A:$A,FALSE),MATCH(All!F$1,Fall!$1:$1,FALSE)),"N/A")</f>
        <v>N/A</v>
      </c>
      <c r="G131" t="str">
        <f>IFERROR(IF(INDEX(Fall!$1:$1048576,MATCH(All!$A131,Fall!$A:$A,FALSE),MATCH(All!G$1,Fall!$1:$1,FALSE))="","",INDEX(Fall!$1:$1048576,MATCH(All!$A131,Fall!$A:$A,FALSE),MATCH(All!G$1,Fall!$1:$1,FALSE))),"")</f>
        <v/>
      </c>
      <c r="H131" t="str">
        <f>IFERROR(IF(INDEX(Fall!$1:$1048576,MATCH(All!$A131,Fall!$A:$A,FALSE),MATCH(All!H$1,Fall!$1:$1,FALSE))="","",INDEX(Fall!$1:$1048576,MATCH(All!$A131,Fall!$A:$A,FALSE),MATCH(All!H$1,Fall!$1:$1,FALSE))),"")</f>
        <v/>
      </c>
      <c r="I131" t="str">
        <f>IFERROR(IF(INDEX(Fall!$1:$1048576,MATCH(All!$A131,Fall!$A:$A,FALSE),MATCH(All!I$1,Fall!$1:$1,FALSE))="","",INDEX(Fall!$1:$1048576,MATCH(All!$A131,Fall!$A:$A,FALSE),MATCH(All!I$1,Fall!$1:$1,FALSE))),"")</f>
        <v/>
      </c>
      <c r="J131" t="str">
        <f>IFERROR(IF(INDEX(Fall!$1:$1048576,MATCH(All!$A131,Fall!$A:$A,FALSE),MATCH(All!J$1,Fall!$1:$1,FALSE))="","",INDEX(Fall!$1:$1048576,MATCH(All!$A131,Fall!$A:$A,FALSE),MATCH(All!J$1,Fall!$1:$1,FALSE))),"")</f>
        <v/>
      </c>
      <c r="K131" t="str">
        <f>IFERROR(IF(INDEX(Fall!$1:$1048576,MATCH(All!$A131,Fall!$A:$A,FALSE),MATCH(All!K$1,Fall!$1:$1,FALSE))="","",INDEX(Fall!$1:$1048576,MATCH(All!$A131,Fall!$A:$A,FALSE),MATCH(All!K$1,Fall!$1:$1,FALSE))),"")</f>
        <v/>
      </c>
      <c r="L131" t="str">
        <f>IFERROR(IF(INDEX(Fall!$1:$1048576,MATCH(All!$A131,Fall!$A:$A,FALSE),MATCH(All!L$1,Fall!$1:$1,FALSE))="","",INDEX(Fall!$1:$1048576,MATCH(All!$A131,Fall!$A:$A,FALSE),MATCH(All!L$1,Fall!$1:$1,FALSE))),"")</f>
        <v/>
      </c>
      <c r="M131" t="str">
        <f>IFERROR(IF(INDEX(Fall!$1:$1048576,MATCH(All!$A131,Fall!$A:$A,FALSE),MATCH(All!M$1,Fall!$1:$1,FALSE))="","",INDEX(Fall!$1:$1048576,MATCH(All!$A131,Fall!$A:$A,FALSE),MATCH(All!M$1,Fall!$1:$1,FALSE))),"")</f>
        <v/>
      </c>
      <c r="O131" t="str">
        <f>IFERROR(IF(INDEX(Winter!$1:$1048576,MATCH(All!$A131,Winter!$A:$A,FALSE),MATCH(All!O$1,Winter!$1:$1,FALSE))="","",INDEX(Winter!$1:$1048576,MATCH(All!$A131,Winter!$A:$A,FALSE),MATCH(All!O$1,Winter!$1:$1,FALSE))),"")</f>
        <v>313.00 (516.45)</v>
      </c>
      <c r="P131" t="str">
        <f>IFERROR(IF(INDEX(Winter!$1:$1048576,MATCH(All!$A131,Winter!$A:$A,FALSE),MATCH(All!P$1,Winter!$1:$1,FALSE))="","",INDEX(Winter!$1:$1048576,MATCH(All!$A131,Winter!$A:$A,FALSE),MATCH(All!P$1,Winter!$1:$1,FALSE))),"")</f>
        <v>2A</v>
      </c>
      <c r="Q131" t="str">
        <f>IFERROR(IF(INDEX(Winter!$1:$1048576,MATCH(All!$A131,Winter!$A:$A,FALSE),MATCH(All!Q$1,Winter!$1:$1,FALSE))="","",INDEX(Winter!$1:$1048576,MATCH(All!$A131,Winter!$A:$A,FALSE),MATCH(All!Q$1,Winter!$1:$1,FALSE))),"")</f>
        <v/>
      </c>
      <c r="R131" t="str">
        <f>IFERROR(IF(INDEX(Winter!$1:$1048576,MATCH(All!$A131,Winter!$A:$A,FALSE),MATCH(All!R$1,Winter!$1:$1,FALSE))="","",INDEX(Winter!$1:$1048576,MATCH(All!$A131,Winter!$A:$A,FALSE),MATCH(All!R$1,Winter!$1:$1,FALSE))),"")</f>
        <v/>
      </c>
      <c r="S131" t="str">
        <f>IFERROR(IF(INDEX(Winter!$1:$1048576,MATCH(All!$A131,Winter!$A:$A,FALSE),MATCH(All!S$1,Winter!$1:$1,FALSE))="","",INDEX(Winter!$1:$1048576,MATCH(All!$A131,Winter!$A:$A,FALSE),MATCH(All!S$1,Winter!$1:$1,FALSE))),"")</f>
        <v/>
      </c>
      <c r="T131" t="str">
        <f>IFERROR(IF(INDEX(Winter!$1:$1048576,MATCH(All!$A131,Winter!$A:$A,FALSE),MATCH(All!T$1,Winter!$1:$1,FALSE))="","",INDEX(Winter!$1:$1048576,MATCH(All!$A131,Winter!$A:$A,FALSE),MATCH(All!T$1,Winter!$1:$1,FALSE))),"")</f>
        <v/>
      </c>
      <c r="U131" t="str">
        <f>IFERROR(IF(INDEX(Winter!$1:$1048576,MATCH(All!$A131,Winter!$A:$A,FALSE),MATCH(All!U$1,Winter!$1:$1,FALSE))="","",INDEX(Winter!$1:$1048576,MATCH(All!$A131,Winter!$A:$A,FALSE),MATCH(All!U$1,Winter!$1:$1,FALSE))),"")</f>
        <v/>
      </c>
      <c r="W131" t="str">
        <f>IFERROR(IF(INDEX(Spring!$1:$1048576,MATCH(All!$A131,Spring!$A:$A,FALSE),MATCH(All!W$1,Spring!$1:$1,FALSE))="","",INDEX(Spring!$1:$1048576,MATCH(All!$A131,Spring!$A:$A,FALSE),MATCH(All!W$1,Spring!$1:$1,FALSE))),"")</f>
        <v>313.00 (516.45)</v>
      </c>
      <c r="X131" t="str">
        <f>IFERROR(IF(INDEX(Spring!$1:$1048576,MATCH(All!$A131,Spring!$A:$A,FALSE),MATCH(All!X$1,Spring!$1:$1,FALSE))="","",INDEX(Spring!$1:$1048576,MATCH(All!$A131,Spring!$A:$A,FALSE),MATCH(All!X$1,Spring!$1:$1,FALSE))),"")</f>
        <v/>
      </c>
      <c r="Y131" t="str">
        <f>IFERROR(IF(INDEX(Spring!$1:$1048576,MATCH(All!$A131,Spring!$A:$A,FALSE),MATCH(All!Y$1,Spring!$1:$1,FALSE))="","",INDEX(Spring!$1:$1048576,MATCH(All!$A131,Spring!$A:$A,FALSE),MATCH(All!Y$1,Spring!$1:$1,FALSE))),"")</f>
        <v/>
      </c>
      <c r="Z131" t="str">
        <f>IFERROR(IF(INDEX(Spring!$1:$1048576,MATCH(All!$A131,Spring!$A:$A,FALSE),MATCH(All!Z$1,Spring!$1:$1,FALSE))="","",INDEX(Spring!$1:$1048576,MATCH(All!$A131,Spring!$A:$A,FALSE),MATCH(All!Z$1,Spring!$1:$1,FALSE))),"")</f>
        <v/>
      </c>
      <c r="AA131" t="str">
        <f>IFERROR(IF(INDEX(Spring!$1:$1048576,MATCH(All!$A131,Spring!$A:$A,FALSE),MATCH(All!AA$1,Spring!$1:$1,FALSE))="","",INDEX(Spring!$1:$1048576,MATCH(All!$A131,Spring!$A:$A,FALSE),MATCH(All!AA$1,Spring!$1:$1,FALSE))),"")</f>
        <v/>
      </c>
      <c r="AB131" t="str">
        <f>IFERROR(IF(INDEX(Spring!$1:$1048576,MATCH(All!$A131,Spring!$A:$A,FALSE),MATCH(All!AB$1,Spring!$1:$1,FALSE))="","",INDEX(Spring!$1:$1048576,MATCH(All!$A131,Spring!$A:$A,FALSE),MATCH(All!AB$1,Spring!$1:$1,FALSE))),"")</f>
        <v>2A</v>
      </c>
      <c r="AC131" t="str">
        <f>IFERROR(IF(INDEX(Spring!$1:$1048576,MATCH(All!$A131,Spring!$A:$A,FALSE),MATCH(All!AC$1,Spring!$1:$1,FALSE))="","",INDEX(Spring!$1:$1048576,MATCH(All!$A131,Spring!$A:$A,FALSE),MATCH(All!AC$1,Spring!$1:$1,FALSE))),"")</f>
        <v>2A</v>
      </c>
      <c r="AD131" t="str">
        <f>IFERROR(VLOOKUP(A131,'Flag Football'!A:A,1,FALSE),"")</f>
        <v/>
      </c>
      <c r="AE131" t="str">
        <f t="shared" ref="AE131:AE194" si="2">IF(AD131="","","1A")</f>
        <v/>
      </c>
    </row>
    <row r="132" spans="1:31" ht="15.75" thickBot="1" x14ac:dyDescent="0.3">
      <c r="A132" s="18" t="s">
        <v>160</v>
      </c>
      <c r="B132" s="38" t="str">
        <f>IFERROR(VLOOKUP(A132,'Public v Private'!A:G,3,FALSE),"")</f>
        <v>no</v>
      </c>
      <c r="C132" s="38">
        <f>IFERROR(VLOOKUP(A132,'Public v Private'!A:G,4,FALSE),"")</f>
        <v>0</v>
      </c>
      <c r="D132" s="38">
        <f>IFERROR(VLOOKUP(A132,'Public v Private'!A:G,5,FALSE),"")</f>
        <v>0</v>
      </c>
      <c r="E132" s="38"/>
      <c r="F132" s="40" t="str">
        <f>IFERROR(INDEX(Fall!$1:$1048576,MATCH(All!$A132,Fall!$A:$A,FALSE),MATCH(All!F$1,Fall!$1:$1,FALSE)),"N/A")</f>
        <v>N/A</v>
      </c>
      <c r="G132" t="str">
        <f>IFERROR(IF(INDEX(Fall!$1:$1048576,MATCH(All!$A132,Fall!$A:$A,FALSE),MATCH(All!G$1,Fall!$1:$1,FALSE))="","",INDEX(Fall!$1:$1048576,MATCH(All!$A132,Fall!$A:$A,FALSE),MATCH(All!G$1,Fall!$1:$1,FALSE))),"")</f>
        <v/>
      </c>
      <c r="H132" t="str">
        <f>IFERROR(IF(INDEX(Fall!$1:$1048576,MATCH(All!$A132,Fall!$A:$A,FALSE),MATCH(All!H$1,Fall!$1:$1,FALSE))="","",INDEX(Fall!$1:$1048576,MATCH(All!$A132,Fall!$A:$A,FALSE),MATCH(All!H$1,Fall!$1:$1,FALSE))),"")</f>
        <v/>
      </c>
      <c r="I132" t="str">
        <f>IFERROR(IF(INDEX(Fall!$1:$1048576,MATCH(All!$A132,Fall!$A:$A,FALSE),MATCH(All!I$1,Fall!$1:$1,FALSE))="","",INDEX(Fall!$1:$1048576,MATCH(All!$A132,Fall!$A:$A,FALSE),MATCH(All!I$1,Fall!$1:$1,FALSE))),"")</f>
        <v/>
      </c>
      <c r="J132" t="str">
        <f>IFERROR(IF(INDEX(Fall!$1:$1048576,MATCH(All!$A132,Fall!$A:$A,FALSE),MATCH(All!J$1,Fall!$1:$1,FALSE))="","",INDEX(Fall!$1:$1048576,MATCH(All!$A132,Fall!$A:$A,FALSE),MATCH(All!J$1,Fall!$1:$1,FALSE))),"")</f>
        <v/>
      </c>
      <c r="K132" t="str">
        <f>IFERROR(IF(INDEX(Fall!$1:$1048576,MATCH(All!$A132,Fall!$A:$A,FALSE),MATCH(All!K$1,Fall!$1:$1,FALSE))="","",INDEX(Fall!$1:$1048576,MATCH(All!$A132,Fall!$A:$A,FALSE),MATCH(All!K$1,Fall!$1:$1,FALSE))),"")</f>
        <v/>
      </c>
      <c r="L132" t="str">
        <f>IFERROR(IF(INDEX(Fall!$1:$1048576,MATCH(All!$A132,Fall!$A:$A,FALSE),MATCH(All!L$1,Fall!$1:$1,FALSE))="","",INDEX(Fall!$1:$1048576,MATCH(All!$A132,Fall!$A:$A,FALSE),MATCH(All!L$1,Fall!$1:$1,FALSE))),"")</f>
        <v/>
      </c>
      <c r="M132" t="str">
        <f>IFERROR(IF(INDEX(Fall!$1:$1048576,MATCH(All!$A132,Fall!$A:$A,FALSE),MATCH(All!M$1,Fall!$1:$1,FALSE))="","",INDEX(Fall!$1:$1048576,MATCH(All!$A132,Fall!$A:$A,FALSE),MATCH(All!M$1,Fall!$1:$1,FALSE))),"")</f>
        <v/>
      </c>
      <c r="O132" t="str">
        <f>IFERROR(IF(INDEX(Winter!$1:$1048576,MATCH(All!$A132,Winter!$A:$A,FALSE),MATCH(All!O$1,Winter!$1:$1,FALSE))="","",INDEX(Winter!$1:$1048576,MATCH(All!$A132,Winter!$A:$A,FALSE),MATCH(All!O$1,Winter!$1:$1,FALSE))),"")</f>
        <v>578.00 (953.70)</v>
      </c>
      <c r="P132" t="str">
        <f>IFERROR(IF(INDEX(Winter!$1:$1048576,MATCH(All!$A132,Winter!$A:$A,FALSE),MATCH(All!P$1,Winter!$1:$1,FALSE))="","",INDEX(Winter!$1:$1048576,MATCH(All!$A132,Winter!$A:$A,FALSE),MATCH(All!P$1,Winter!$1:$1,FALSE))),"")</f>
        <v>3A</v>
      </c>
      <c r="Q132" t="str">
        <f>IFERROR(IF(INDEX(Winter!$1:$1048576,MATCH(All!$A132,Winter!$A:$A,FALSE),MATCH(All!Q$1,Winter!$1:$1,FALSE))="","",INDEX(Winter!$1:$1048576,MATCH(All!$A132,Winter!$A:$A,FALSE),MATCH(All!Q$1,Winter!$1:$1,FALSE))),"")</f>
        <v>3A</v>
      </c>
      <c r="R132" t="str">
        <f>IFERROR(IF(INDEX(Winter!$1:$1048576,MATCH(All!$A132,Winter!$A:$A,FALSE),MATCH(All!R$1,Winter!$1:$1,FALSE))="","",INDEX(Winter!$1:$1048576,MATCH(All!$A132,Winter!$A:$A,FALSE),MATCH(All!R$1,Winter!$1:$1,FALSE))),"")</f>
        <v/>
      </c>
      <c r="S132" t="str">
        <f>IFERROR(IF(INDEX(Winter!$1:$1048576,MATCH(All!$A132,Winter!$A:$A,FALSE),MATCH(All!S$1,Winter!$1:$1,FALSE))="","",INDEX(Winter!$1:$1048576,MATCH(All!$A132,Winter!$A:$A,FALSE),MATCH(All!S$1,Winter!$1:$1,FALSE))),"")</f>
        <v/>
      </c>
      <c r="T132" t="str">
        <f>IFERROR(IF(INDEX(Winter!$1:$1048576,MATCH(All!$A132,Winter!$A:$A,FALSE),MATCH(All!T$1,Winter!$1:$1,FALSE))="","",INDEX(Winter!$1:$1048576,MATCH(All!$A132,Winter!$A:$A,FALSE),MATCH(All!T$1,Winter!$1:$1,FALSE))),"")</f>
        <v/>
      </c>
      <c r="U132" t="str">
        <f>IFERROR(IF(INDEX(Winter!$1:$1048576,MATCH(All!$A132,Winter!$A:$A,FALSE),MATCH(All!U$1,Winter!$1:$1,FALSE))="","",INDEX(Winter!$1:$1048576,MATCH(All!$A132,Winter!$A:$A,FALSE),MATCH(All!U$1,Winter!$1:$1,FALSE))),"")</f>
        <v/>
      </c>
      <c r="W132" t="str">
        <f>IFERROR(IF(INDEX(Spring!$1:$1048576,MATCH(All!$A132,Spring!$A:$A,FALSE),MATCH(All!W$1,Spring!$1:$1,FALSE))="","",INDEX(Spring!$1:$1048576,MATCH(All!$A132,Spring!$A:$A,FALSE),MATCH(All!W$1,Spring!$1:$1,FALSE))),"")</f>
        <v>578.00 (953.70)</v>
      </c>
      <c r="X132" t="str">
        <f>IFERROR(IF(INDEX(Spring!$1:$1048576,MATCH(All!$A132,Spring!$A:$A,FALSE),MATCH(All!X$1,Spring!$1:$1,FALSE))="","",INDEX(Spring!$1:$1048576,MATCH(All!$A132,Spring!$A:$A,FALSE),MATCH(All!X$1,Spring!$1:$1,FALSE))),"")</f>
        <v>3A</v>
      </c>
      <c r="Y132" t="str">
        <f>IFERROR(IF(INDEX(Spring!$1:$1048576,MATCH(All!$A132,Spring!$A:$A,FALSE),MATCH(All!Y$1,Spring!$1:$1,FALSE))="","",INDEX(Spring!$1:$1048576,MATCH(All!$A132,Spring!$A:$A,FALSE),MATCH(All!Y$1,Spring!$1:$1,FALSE))),"")</f>
        <v/>
      </c>
      <c r="Z132" t="str">
        <f>IFERROR(IF(INDEX(Spring!$1:$1048576,MATCH(All!$A132,Spring!$A:$A,FALSE),MATCH(All!Z$1,Spring!$1:$1,FALSE))="","",INDEX(Spring!$1:$1048576,MATCH(All!$A132,Spring!$A:$A,FALSE),MATCH(All!Z$1,Spring!$1:$1,FALSE))),"")</f>
        <v/>
      </c>
      <c r="AA132" t="str">
        <f>IFERROR(IF(INDEX(Spring!$1:$1048576,MATCH(All!$A132,Spring!$A:$A,FALSE),MATCH(All!AA$1,Spring!$1:$1,FALSE))="","",INDEX(Spring!$1:$1048576,MATCH(All!$A132,Spring!$A:$A,FALSE),MATCH(All!AA$1,Spring!$1:$1,FALSE))),"")</f>
        <v/>
      </c>
      <c r="AB132" t="str">
        <f>IFERROR(IF(INDEX(Spring!$1:$1048576,MATCH(All!$A132,Spring!$A:$A,FALSE),MATCH(All!AB$1,Spring!$1:$1,FALSE))="","",INDEX(Spring!$1:$1048576,MATCH(All!$A132,Spring!$A:$A,FALSE),MATCH(All!AB$1,Spring!$1:$1,FALSE))),"")</f>
        <v>2A</v>
      </c>
      <c r="AC132" t="str">
        <f>IFERROR(IF(INDEX(Spring!$1:$1048576,MATCH(All!$A132,Spring!$A:$A,FALSE),MATCH(All!AC$1,Spring!$1:$1,FALSE))="","",INDEX(Spring!$1:$1048576,MATCH(All!$A132,Spring!$A:$A,FALSE),MATCH(All!AC$1,Spring!$1:$1,FALSE))),"")</f>
        <v/>
      </c>
      <c r="AD132" t="str">
        <f>IFERROR(VLOOKUP(A132,'Flag Football'!A:A,1,FALSE),"")</f>
        <v>Chicago (C. Vocational)</v>
      </c>
      <c r="AE132" t="str">
        <f t="shared" si="2"/>
        <v>1A</v>
      </c>
    </row>
    <row r="133" spans="1:31" ht="15.75" thickBot="1" x14ac:dyDescent="0.3">
      <c r="A133" s="20" t="s">
        <v>162</v>
      </c>
      <c r="B133" s="38" t="str">
        <f>IFERROR(VLOOKUP(A133,'Public v Private'!A:G,3,FALSE),"")</f>
        <v>no</v>
      </c>
      <c r="C133" s="38">
        <f>IFERROR(VLOOKUP(A133,'Public v Private'!A:G,4,FALSE),"")</f>
        <v>0</v>
      </c>
      <c r="D133" s="38">
        <f>IFERROR(VLOOKUP(A133,'Public v Private'!A:G,5,FALSE),"")</f>
        <v>0</v>
      </c>
      <c r="E133" s="38"/>
      <c r="F133" s="40" t="str">
        <f>IFERROR(INDEX(Fall!$1:$1048576,MATCH(All!$A133,Fall!$A:$A,FALSE),MATCH(All!F$1,Fall!$1:$1,FALSE)),"N/A")</f>
        <v>415.00 (684.75)</v>
      </c>
      <c r="G133" t="str">
        <f>IFERROR(IF(INDEX(Fall!$1:$1048576,MATCH(All!$A133,Fall!$A:$A,FALSE),MATCH(All!G$1,Fall!$1:$1,FALSE))="","",INDEX(Fall!$1:$1048576,MATCH(All!$A133,Fall!$A:$A,FALSE),MATCH(All!G$1,Fall!$1:$1,FALSE))),"")</f>
        <v>2A</v>
      </c>
      <c r="H133" t="str">
        <f>IFERROR(IF(INDEX(Fall!$1:$1048576,MATCH(All!$A133,Fall!$A:$A,FALSE),MATCH(All!H$1,Fall!$1:$1,FALSE))="","",INDEX(Fall!$1:$1048576,MATCH(All!$A133,Fall!$A:$A,FALSE),MATCH(All!H$1,Fall!$1:$1,FALSE))),"")</f>
        <v>1A</v>
      </c>
      <c r="I133" t="str">
        <f>IFERROR(IF(INDEX(Fall!$1:$1048576,MATCH(All!$A133,Fall!$A:$A,FALSE),MATCH(All!I$1,Fall!$1:$1,FALSE))="","",INDEX(Fall!$1:$1048576,MATCH(All!$A133,Fall!$A:$A,FALSE),MATCH(All!I$1,Fall!$1:$1,FALSE))),"")</f>
        <v/>
      </c>
      <c r="J133" t="str">
        <f>IFERROR(IF(INDEX(Fall!$1:$1048576,MATCH(All!$A133,Fall!$A:$A,FALSE),MATCH(All!J$1,Fall!$1:$1,FALSE))="","",INDEX(Fall!$1:$1048576,MATCH(All!$A133,Fall!$A:$A,FALSE),MATCH(All!J$1,Fall!$1:$1,FALSE))),"")</f>
        <v/>
      </c>
      <c r="K133" t="str">
        <f>IFERROR(IF(INDEX(Fall!$1:$1048576,MATCH(All!$A133,Fall!$A:$A,FALSE),MATCH(All!K$1,Fall!$1:$1,FALSE))="","",INDEX(Fall!$1:$1048576,MATCH(All!$A133,Fall!$A:$A,FALSE),MATCH(All!K$1,Fall!$1:$1,FALSE))),"")</f>
        <v>1A</v>
      </c>
      <c r="L133" t="str">
        <f>IFERROR(IF(INDEX(Fall!$1:$1048576,MATCH(All!$A133,Fall!$A:$A,FALSE),MATCH(All!L$1,Fall!$1:$1,FALSE))="","",INDEX(Fall!$1:$1048576,MATCH(All!$A133,Fall!$A:$A,FALSE),MATCH(All!L$1,Fall!$1:$1,FALSE))),"")</f>
        <v/>
      </c>
      <c r="M133" t="str">
        <f>IFERROR(IF(INDEX(Fall!$1:$1048576,MATCH(All!$A133,Fall!$A:$A,FALSE),MATCH(All!M$1,Fall!$1:$1,FALSE))="","",INDEX(Fall!$1:$1048576,MATCH(All!$A133,Fall!$A:$A,FALSE),MATCH(All!M$1,Fall!$1:$1,FALSE))),"")</f>
        <v/>
      </c>
      <c r="O133" t="str">
        <f>IFERROR(IF(INDEX(Winter!$1:$1048576,MATCH(All!$A133,Winter!$A:$A,FALSE),MATCH(All!O$1,Winter!$1:$1,FALSE))="","",INDEX(Winter!$1:$1048576,MATCH(All!$A133,Winter!$A:$A,FALSE),MATCH(All!O$1,Winter!$1:$1,FALSE))),"")</f>
        <v>415.00 (684.75)</v>
      </c>
      <c r="P133" t="str">
        <f>IFERROR(IF(INDEX(Winter!$1:$1048576,MATCH(All!$A133,Winter!$A:$A,FALSE),MATCH(All!P$1,Winter!$1:$1,FALSE))="","",INDEX(Winter!$1:$1048576,MATCH(All!$A133,Winter!$A:$A,FALSE),MATCH(All!P$1,Winter!$1:$1,FALSE))),"")</f>
        <v>2A</v>
      </c>
      <c r="Q133" t="str">
        <f>IFERROR(IF(INDEX(Winter!$1:$1048576,MATCH(All!$A133,Winter!$A:$A,FALSE),MATCH(All!Q$1,Winter!$1:$1,FALSE))="","",INDEX(Winter!$1:$1048576,MATCH(All!$A133,Winter!$A:$A,FALSE),MATCH(All!Q$1,Winter!$1:$1,FALSE))),"")</f>
        <v/>
      </c>
      <c r="R133" t="str">
        <f>IFERROR(IF(INDEX(Winter!$1:$1048576,MATCH(All!$A133,Winter!$A:$A,FALSE),MATCH(All!R$1,Winter!$1:$1,FALSE))="","",INDEX(Winter!$1:$1048576,MATCH(All!$A133,Winter!$A:$A,FALSE),MATCH(All!R$1,Winter!$1:$1,FALSE))),"")</f>
        <v/>
      </c>
      <c r="S133" t="str">
        <f>IFERROR(IF(INDEX(Winter!$1:$1048576,MATCH(All!$A133,Winter!$A:$A,FALSE),MATCH(All!S$1,Winter!$1:$1,FALSE))="","",INDEX(Winter!$1:$1048576,MATCH(All!$A133,Winter!$A:$A,FALSE),MATCH(All!S$1,Winter!$1:$1,FALSE))),"")</f>
        <v/>
      </c>
      <c r="T133" t="str">
        <f>IFERROR(IF(INDEX(Winter!$1:$1048576,MATCH(All!$A133,Winter!$A:$A,FALSE),MATCH(All!T$1,Winter!$1:$1,FALSE))="","",INDEX(Winter!$1:$1048576,MATCH(All!$A133,Winter!$A:$A,FALSE),MATCH(All!T$1,Winter!$1:$1,FALSE))),"")</f>
        <v/>
      </c>
      <c r="U133" t="str">
        <f>IFERROR(IF(INDEX(Winter!$1:$1048576,MATCH(All!$A133,Winter!$A:$A,FALSE),MATCH(All!U$1,Winter!$1:$1,FALSE))="","",INDEX(Winter!$1:$1048576,MATCH(All!$A133,Winter!$A:$A,FALSE),MATCH(All!U$1,Winter!$1:$1,FALSE))),"")</f>
        <v/>
      </c>
      <c r="W133" t="str">
        <f>IFERROR(IF(INDEX(Spring!$1:$1048576,MATCH(All!$A133,Spring!$A:$A,FALSE),MATCH(All!W$1,Spring!$1:$1,FALSE))="","",INDEX(Spring!$1:$1048576,MATCH(All!$A133,Spring!$A:$A,FALSE),MATCH(All!W$1,Spring!$1:$1,FALSE))),"")</f>
        <v>415.00 (684.75)</v>
      </c>
      <c r="X133" t="str">
        <f>IFERROR(IF(INDEX(Spring!$1:$1048576,MATCH(All!$A133,Spring!$A:$A,FALSE),MATCH(All!X$1,Spring!$1:$1,FALSE))="","",INDEX(Spring!$1:$1048576,MATCH(All!$A133,Spring!$A:$A,FALSE),MATCH(All!X$1,Spring!$1:$1,FALSE))),"")</f>
        <v>2A</v>
      </c>
      <c r="Y133" t="str">
        <f>IFERROR(IF(INDEX(Spring!$1:$1048576,MATCH(All!$A133,Spring!$A:$A,FALSE),MATCH(All!Y$1,Spring!$1:$1,FALSE))="","",INDEX(Spring!$1:$1048576,MATCH(All!$A133,Spring!$A:$A,FALSE),MATCH(All!Y$1,Spring!$1:$1,FALSE))),"")</f>
        <v/>
      </c>
      <c r="Z133" t="str">
        <f>IFERROR(IF(INDEX(Spring!$1:$1048576,MATCH(All!$A133,Spring!$A:$A,FALSE),MATCH(All!Z$1,Spring!$1:$1,FALSE))="","",INDEX(Spring!$1:$1048576,MATCH(All!$A133,Spring!$A:$A,FALSE),MATCH(All!Z$1,Spring!$1:$1,FALSE))),"")</f>
        <v/>
      </c>
      <c r="AA133" t="str">
        <f>IFERROR(IF(INDEX(Spring!$1:$1048576,MATCH(All!$A133,Spring!$A:$A,FALSE),MATCH(All!AA$1,Spring!$1:$1,FALSE))="","",INDEX(Spring!$1:$1048576,MATCH(All!$A133,Spring!$A:$A,FALSE),MATCH(All!AA$1,Spring!$1:$1,FALSE))),"")</f>
        <v/>
      </c>
      <c r="AB133" t="str">
        <f>IFERROR(IF(INDEX(Spring!$1:$1048576,MATCH(All!$A133,Spring!$A:$A,FALSE),MATCH(All!AB$1,Spring!$1:$1,FALSE))="","",INDEX(Spring!$1:$1048576,MATCH(All!$A133,Spring!$A:$A,FALSE),MATCH(All!AB$1,Spring!$1:$1,FALSE))),"")</f>
        <v>2A</v>
      </c>
      <c r="AC133" t="str">
        <f>IFERROR(IF(INDEX(Spring!$1:$1048576,MATCH(All!$A133,Spring!$A:$A,FALSE),MATCH(All!AC$1,Spring!$1:$1,FALSE))="","",INDEX(Spring!$1:$1048576,MATCH(All!$A133,Spring!$A:$A,FALSE),MATCH(All!AC$1,Spring!$1:$1,FALSE))),"")</f>
        <v>2A</v>
      </c>
      <c r="AD133" t="str">
        <f>IFERROR(VLOOKUP(A133,'Flag Football'!A:A,1,FALSE),"")</f>
        <v/>
      </c>
      <c r="AE133" t="str">
        <f t="shared" si="2"/>
        <v/>
      </c>
    </row>
    <row r="134" spans="1:31" ht="15.75" thickBot="1" x14ac:dyDescent="0.3">
      <c r="A134" s="18" t="s">
        <v>164</v>
      </c>
      <c r="B134" s="38" t="str">
        <f>IFERROR(VLOOKUP(A134,'Public v Private'!A:G,3,FALSE),"")</f>
        <v>?</v>
      </c>
      <c r="C134" s="38">
        <f>IFERROR(VLOOKUP(A134,'Public v Private'!A:G,4,FALSE),"")</f>
        <v>0</v>
      </c>
      <c r="D134" s="38">
        <f>IFERROR(VLOOKUP(A134,'Public v Private'!A:G,5,FALSE),"")</f>
        <v>0</v>
      </c>
      <c r="E134" s="38"/>
      <c r="F134" s="40" t="str">
        <f>IFERROR(INDEX(Fall!$1:$1048576,MATCH(All!$A134,Fall!$A:$A,FALSE),MATCH(All!F$1,Fall!$1:$1,FALSE)),"N/A")</f>
        <v>552.00 (910.80)</v>
      </c>
      <c r="G134" t="str">
        <f>IFERROR(IF(INDEX(Fall!$1:$1048576,MATCH(All!$A134,Fall!$A:$A,FALSE),MATCH(All!G$1,Fall!$1:$1,FALSE))="","",INDEX(Fall!$1:$1048576,MATCH(All!$A134,Fall!$A:$A,FALSE),MATCH(All!G$1,Fall!$1:$1,FALSE))),"")</f>
        <v/>
      </c>
      <c r="H134" t="str">
        <f>IFERROR(IF(INDEX(Fall!$1:$1048576,MATCH(All!$A134,Fall!$A:$A,FALSE),MATCH(All!H$1,Fall!$1:$1,FALSE))="","",INDEX(Fall!$1:$1048576,MATCH(All!$A134,Fall!$A:$A,FALSE),MATCH(All!H$1,Fall!$1:$1,FALSE))),"")</f>
        <v/>
      </c>
      <c r="I134" t="str">
        <f>IFERROR(IF(INDEX(Fall!$1:$1048576,MATCH(All!$A134,Fall!$A:$A,FALSE),MATCH(All!I$1,Fall!$1:$1,FALSE))="","",INDEX(Fall!$1:$1048576,MATCH(All!$A134,Fall!$A:$A,FALSE),MATCH(All!I$1,Fall!$1:$1,FALSE))),"")</f>
        <v/>
      </c>
      <c r="J134" t="str">
        <f>IFERROR(IF(INDEX(Fall!$1:$1048576,MATCH(All!$A134,Fall!$A:$A,FALSE),MATCH(All!J$1,Fall!$1:$1,FALSE))="","",INDEX(Fall!$1:$1048576,MATCH(All!$A134,Fall!$A:$A,FALSE),MATCH(All!J$1,Fall!$1:$1,FALSE))),"")</f>
        <v/>
      </c>
      <c r="K134" t="str">
        <f>IFERROR(IF(INDEX(Fall!$1:$1048576,MATCH(All!$A134,Fall!$A:$A,FALSE),MATCH(All!K$1,Fall!$1:$1,FALSE))="","",INDEX(Fall!$1:$1048576,MATCH(All!$A134,Fall!$A:$A,FALSE),MATCH(All!K$1,Fall!$1:$1,FALSE))),"")</f>
        <v>1A</v>
      </c>
      <c r="L134" t="str">
        <f>IFERROR(IF(INDEX(Fall!$1:$1048576,MATCH(All!$A134,Fall!$A:$A,FALSE),MATCH(All!L$1,Fall!$1:$1,FALSE))="","",INDEX(Fall!$1:$1048576,MATCH(All!$A134,Fall!$A:$A,FALSE),MATCH(All!L$1,Fall!$1:$1,FALSE))),"")</f>
        <v/>
      </c>
      <c r="M134" t="str">
        <f>IFERROR(IF(INDEX(Fall!$1:$1048576,MATCH(All!$A134,Fall!$A:$A,FALSE),MATCH(All!M$1,Fall!$1:$1,FALSE))="","",INDEX(Fall!$1:$1048576,MATCH(All!$A134,Fall!$A:$A,FALSE),MATCH(All!M$1,Fall!$1:$1,FALSE))),"")</f>
        <v>2A</v>
      </c>
      <c r="O134" t="str">
        <f>IFERROR(IF(INDEX(Winter!$1:$1048576,MATCH(All!$A134,Winter!$A:$A,FALSE),MATCH(All!O$1,Winter!$1:$1,FALSE))="","",INDEX(Winter!$1:$1048576,MATCH(All!$A134,Winter!$A:$A,FALSE),MATCH(All!O$1,Winter!$1:$1,FALSE))),"")</f>
        <v>552.00 (910.80)</v>
      </c>
      <c r="P134" t="str">
        <f>IFERROR(IF(INDEX(Winter!$1:$1048576,MATCH(All!$A134,Winter!$A:$A,FALSE),MATCH(All!P$1,Winter!$1:$1,FALSE))="","",INDEX(Winter!$1:$1048576,MATCH(All!$A134,Winter!$A:$A,FALSE),MATCH(All!P$1,Winter!$1:$1,FALSE))),"")</f>
        <v>2A</v>
      </c>
      <c r="Q134" t="str">
        <f>IFERROR(IF(INDEX(Winter!$1:$1048576,MATCH(All!$A134,Winter!$A:$A,FALSE),MATCH(All!Q$1,Winter!$1:$1,FALSE))="","",INDEX(Winter!$1:$1048576,MATCH(All!$A134,Winter!$A:$A,FALSE),MATCH(All!Q$1,Winter!$1:$1,FALSE))),"")</f>
        <v>2A</v>
      </c>
      <c r="R134" t="str">
        <f>IFERROR(IF(INDEX(Winter!$1:$1048576,MATCH(All!$A134,Winter!$A:$A,FALSE),MATCH(All!R$1,Winter!$1:$1,FALSE))="","",INDEX(Winter!$1:$1048576,MATCH(All!$A134,Winter!$A:$A,FALSE),MATCH(All!R$1,Winter!$1:$1,FALSE))),"")</f>
        <v/>
      </c>
      <c r="S134" t="str">
        <f>IFERROR(IF(INDEX(Winter!$1:$1048576,MATCH(All!$A134,Winter!$A:$A,FALSE),MATCH(All!S$1,Winter!$1:$1,FALSE))="","",INDEX(Winter!$1:$1048576,MATCH(All!$A134,Winter!$A:$A,FALSE),MATCH(All!S$1,Winter!$1:$1,FALSE))),"")</f>
        <v/>
      </c>
      <c r="T134" t="str">
        <f>IFERROR(IF(INDEX(Winter!$1:$1048576,MATCH(All!$A134,Winter!$A:$A,FALSE),MATCH(All!T$1,Winter!$1:$1,FALSE))="","",INDEX(Winter!$1:$1048576,MATCH(All!$A134,Winter!$A:$A,FALSE),MATCH(All!T$1,Winter!$1:$1,FALSE))),"")</f>
        <v/>
      </c>
      <c r="U134" t="str">
        <f>IFERROR(IF(INDEX(Winter!$1:$1048576,MATCH(All!$A134,Winter!$A:$A,FALSE),MATCH(All!U$1,Winter!$1:$1,FALSE))="","",INDEX(Winter!$1:$1048576,MATCH(All!$A134,Winter!$A:$A,FALSE),MATCH(All!U$1,Winter!$1:$1,FALSE))),"")</f>
        <v/>
      </c>
      <c r="W134" t="str">
        <f>IFERROR(IF(INDEX(Spring!$1:$1048576,MATCH(All!$A134,Spring!$A:$A,FALSE),MATCH(All!W$1,Spring!$1:$1,FALSE))="","",INDEX(Spring!$1:$1048576,MATCH(All!$A134,Spring!$A:$A,FALSE),MATCH(All!W$1,Spring!$1:$1,FALSE))),"")</f>
        <v>552.00 (910.80)</v>
      </c>
      <c r="X134" t="str">
        <f>IFERROR(IF(INDEX(Spring!$1:$1048576,MATCH(All!$A134,Spring!$A:$A,FALSE),MATCH(All!X$1,Spring!$1:$1,FALSE))="","",INDEX(Spring!$1:$1048576,MATCH(All!$A134,Spring!$A:$A,FALSE),MATCH(All!X$1,Spring!$1:$1,FALSE))),"")</f>
        <v/>
      </c>
      <c r="Y134" t="str">
        <f>IFERROR(IF(INDEX(Spring!$1:$1048576,MATCH(All!$A134,Spring!$A:$A,FALSE),MATCH(All!Y$1,Spring!$1:$1,FALSE))="","",INDEX(Spring!$1:$1048576,MATCH(All!$A134,Spring!$A:$A,FALSE),MATCH(All!Y$1,Spring!$1:$1,FALSE))),"")</f>
        <v/>
      </c>
      <c r="Z134" t="str">
        <f>IFERROR(IF(INDEX(Spring!$1:$1048576,MATCH(All!$A134,Spring!$A:$A,FALSE),MATCH(All!Z$1,Spring!$1:$1,FALSE))="","",INDEX(Spring!$1:$1048576,MATCH(All!$A134,Spring!$A:$A,FALSE),MATCH(All!Z$1,Spring!$1:$1,FALSE))),"")</f>
        <v/>
      </c>
      <c r="AA134" t="str">
        <f>IFERROR(IF(INDEX(Spring!$1:$1048576,MATCH(All!$A134,Spring!$A:$A,FALSE),MATCH(All!AA$1,Spring!$1:$1,FALSE))="","",INDEX(Spring!$1:$1048576,MATCH(All!$A134,Spring!$A:$A,FALSE),MATCH(All!AA$1,Spring!$1:$1,FALSE))),"")</f>
        <v/>
      </c>
      <c r="AB134" t="str">
        <f>IFERROR(IF(INDEX(Spring!$1:$1048576,MATCH(All!$A134,Spring!$A:$A,FALSE),MATCH(All!AB$1,Spring!$1:$1,FALSE))="","",INDEX(Spring!$1:$1048576,MATCH(All!$A134,Spring!$A:$A,FALSE),MATCH(All!AB$1,Spring!$1:$1,FALSE))),"")</f>
        <v>2A</v>
      </c>
      <c r="AC134" t="str">
        <f>IFERROR(IF(INDEX(Spring!$1:$1048576,MATCH(All!$A134,Spring!$A:$A,FALSE),MATCH(All!AC$1,Spring!$1:$1,FALSE))="","",INDEX(Spring!$1:$1048576,MATCH(All!$A134,Spring!$A:$A,FALSE),MATCH(All!AC$1,Spring!$1:$1,FALSE))),"")</f>
        <v>2A</v>
      </c>
      <c r="AD134" t="str">
        <f>IFERROR(VLOOKUP(A134,'Flag Football'!A:A,1,FALSE),"")</f>
        <v>Chicago (Catalyst/Maria)</v>
      </c>
      <c r="AE134" t="str">
        <f t="shared" si="2"/>
        <v>1A</v>
      </c>
    </row>
    <row r="135" spans="1:31" ht="15.75" thickBot="1" x14ac:dyDescent="0.3">
      <c r="A135" s="20" t="s">
        <v>165</v>
      </c>
      <c r="B135" s="38" t="str">
        <f>IFERROR(VLOOKUP(A135,'Public v Private'!A:G,3,FALSE),"")</f>
        <v>private</v>
      </c>
      <c r="C135" s="38">
        <f>IFERROR(VLOOKUP(A135,'Public v Private'!A:G,4,FALSE),"")</f>
        <v>1</v>
      </c>
      <c r="D135" s="38">
        <f>IFERROR(VLOOKUP(A135,'Public v Private'!A:G,5,FALSE),"")</f>
        <v>2</v>
      </c>
      <c r="E135" s="38"/>
      <c r="F135" s="40" t="str">
        <f>IFERROR(INDEX(Fall!$1:$1048576,MATCH(All!$A135,Fall!$A:$A,FALSE),MATCH(All!F$1,Fall!$1:$1,FALSE)),"N/A")</f>
        <v>397.00 (655.05)</v>
      </c>
      <c r="G135" t="str">
        <f>IFERROR(IF(INDEX(Fall!$1:$1048576,MATCH(All!$A135,Fall!$A:$A,FALSE),MATCH(All!G$1,Fall!$1:$1,FALSE))="","",INDEX(Fall!$1:$1048576,MATCH(All!$A135,Fall!$A:$A,FALSE),MATCH(All!G$1,Fall!$1:$1,FALSE))),"")</f>
        <v/>
      </c>
      <c r="H135" t="str">
        <f>IFERROR(IF(INDEX(Fall!$1:$1048576,MATCH(All!$A135,Fall!$A:$A,FALSE),MATCH(All!H$1,Fall!$1:$1,FALSE))="","",INDEX(Fall!$1:$1048576,MATCH(All!$A135,Fall!$A:$A,FALSE),MATCH(All!H$1,Fall!$1:$1,FALSE))),"")</f>
        <v/>
      </c>
      <c r="I135" t="str">
        <f>IFERROR(IF(INDEX(Fall!$1:$1048576,MATCH(All!$A135,Fall!$A:$A,FALSE),MATCH(All!I$1,Fall!$1:$1,FALSE))="","",INDEX(Fall!$1:$1048576,MATCH(All!$A135,Fall!$A:$A,FALSE),MATCH(All!I$1,Fall!$1:$1,FALSE))),"")</f>
        <v/>
      </c>
      <c r="J135" t="str">
        <f>IFERROR(IF(INDEX(Fall!$1:$1048576,MATCH(All!$A135,Fall!$A:$A,FALSE),MATCH(All!J$1,Fall!$1:$1,FALSE))="","",INDEX(Fall!$1:$1048576,MATCH(All!$A135,Fall!$A:$A,FALSE),MATCH(All!J$1,Fall!$1:$1,FALSE))),"")</f>
        <v/>
      </c>
      <c r="K135" t="str">
        <f>IFERROR(IF(INDEX(Fall!$1:$1048576,MATCH(All!$A135,Fall!$A:$A,FALSE),MATCH(All!K$1,Fall!$1:$1,FALSE))="","",INDEX(Fall!$1:$1048576,MATCH(All!$A135,Fall!$A:$A,FALSE),MATCH(All!K$1,Fall!$1:$1,FALSE))),"")</f>
        <v/>
      </c>
      <c r="L135" t="str">
        <f>IFERROR(IF(INDEX(Fall!$1:$1048576,MATCH(All!$A135,Fall!$A:$A,FALSE),MATCH(All!L$1,Fall!$1:$1,FALSE))="","",INDEX(Fall!$1:$1048576,MATCH(All!$A135,Fall!$A:$A,FALSE),MATCH(All!L$1,Fall!$1:$1,FALSE))),"")</f>
        <v/>
      </c>
      <c r="M135" t="str">
        <f>IFERROR(IF(INDEX(Fall!$1:$1048576,MATCH(All!$A135,Fall!$A:$A,FALSE),MATCH(All!M$1,Fall!$1:$1,FALSE))="","",INDEX(Fall!$1:$1048576,MATCH(All!$A135,Fall!$A:$A,FALSE),MATCH(All!M$1,Fall!$1:$1,FALSE))),"")</f>
        <v>2A</v>
      </c>
      <c r="O135" t="str">
        <f>IFERROR(IF(INDEX(Winter!$1:$1048576,MATCH(All!$A135,Winter!$A:$A,FALSE),MATCH(All!O$1,Winter!$1:$1,FALSE))="","",INDEX(Winter!$1:$1048576,MATCH(All!$A135,Winter!$A:$A,FALSE),MATCH(All!O$1,Winter!$1:$1,FALSE))),"")</f>
        <v>397.00 (655.05)</v>
      </c>
      <c r="P135" t="str">
        <f>IFERROR(IF(INDEX(Winter!$1:$1048576,MATCH(All!$A135,Winter!$A:$A,FALSE),MATCH(All!P$1,Winter!$1:$1,FALSE))="","",INDEX(Winter!$1:$1048576,MATCH(All!$A135,Winter!$A:$A,FALSE),MATCH(All!P$1,Winter!$1:$1,FALSE))),"")</f>
        <v>2A</v>
      </c>
      <c r="Q135" t="str">
        <f>IFERROR(IF(INDEX(Winter!$1:$1048576,MATCH(All!$A135,Winter!$A:$A,FALSE),MATCH(All!Q$1,Winter!$1:$1,FALSE))="","",INDEX(Winter!$1:$1048576,MATCH(All!$A135,Winter!$A:$A,FALSE),MATCH(All!Q$1,Winter!$1:$1,FALSE))),"")</f>
        <v>2A</v>
      </c>
      <c r="R135" t="str">
        <f>IFERROR(IF(INDEX(Winter!$1:$1048576,MATCH(All!$A135,Winter!$A:$A,FALSE),MATCH(All!R$1,Winter!$1:$1,FALSE))="","",INDEX(Winter!$1:$1048576,MATCH(All!$A135,Winter!$A:$A,FALSE),MATCH(All!R$1,Winter!$1:$1,FALSE))),"")</f>
        <v>1A</v>
      </c>
      <c r="S135" t="str">
        <f>IFERROR(IF(INDEX(Winter!$1:$1048576,MATCH(All!$A135,Winter!$A:$A,FALSE),MATCH(All!S$1,Winter!$1:$1,FALSE))="","",INDEX(Winter!$1:$1048576,MATCH(All!$A135,Winter!$A:$A,FALSE),MATCH(All!S$1,Winter!$1:$1,FALSE))),"")</f>
        <v/>
      </c>
      <c r="T135" t="str">
        <f>IFERROR(IF(INDEX(Winter!$1:$1048576,MATCH(All!$A135,Winter!$A:$A,FALSE),MATCH(All!T$1,Winter!$1:$1,FALSE))="","",INDEX(Winter!$1:$1048576,MATCH(All!$A135,Winter!$A:$A,FALSE),MATCH(All!T$1,Winter!$1:$1,FALSE))),"")</f>
        <v/>
      </c>
      <c r="U135" t="str">
        <f>IFERROR(IF(INDEX(Winter!$1:$1048576,MATCH(All!$A135,Winter!$A:$A,FALSE),MATCH(All!U$1,Winter!$1:$1,FALSE))="","",INDEX(Winter!$1:$1048576,MATCH(All!$A135,Winter!$A:$A,FALSE),MATCH(All!U$1,Winter!$1:$1,FALSE))),"")</f>
        <v/>
      </c>
      <c r="W135" t="str">
        <f>IFERROR(IF(INDEX(Spring!$1:$1048576,MATCH(All!$A135,Spring!$A:$A,FALSE),MATCH(All!W$1,Spring!$1:$1,FALSE))="","",INDEX(Spring!$1:$1048576,MATCH(All!$A135,Spring!$A:$A,FALSE),MATCH(All!W$1,Spring!$1:$1,FALSE))),"")</f>
        <v>397.00 (655.05)</v>
      </c>
      <c r="X135" t="str">
        <f>IFERROR(IF(INDEX(Spring!$1:$1048576,MATCH(All!$A135,Spring!$A:$A,FALSE),MATCH(All!X$1,Spring!$1:$1,FALSE))="","",INDEX(Spring!$1:$1048576,MATCH(All!$A135,Spring!$A:$A,FALSE),MATCH(All!X$1,Spring!$1:$1,FALSE))),"")</f>
        <v/>
      </c>
      <c r="Y135" t="str">
        <f>IFERROR(IF(INDEX(Spring!$1:$1048576,MATCH(All!$A135,Spring!$A:$A,FALSE),MATCH(All!Y$1,Spring!$1:$1,FALSE))="","",INDEX(Spring!$1:$1048576,MATCH(All!$A135,Spring!$A:$A,FALSE),MATCH(All!Y$1,Spring!$1:$1,FALSE))),"")</f>
        <v/>
      </c>
      <c r="Z135" t="str">
        <f>IFERROR(IF(INDEX(Spring!$1:$1048576,MATCH(All!$A135,Spring!$A:$A,FALSE),MATCH(All!Z$1,Spring!$1:$1,FALSE))="","",INDEX(Spring!$1:$1048576,MATCH(All!$A135,Spring!$A:$A,FALSE),MATCH(All!Z$1,Spring!$1:$1,FALSE))),"")</f>
        <v/>
      </c>
      <c r="AA135" t="str">
        <f>IFERROR(IF(INDEX(Spring!$1:$1048576,MATCH(All!$A135,Spring!$A:$A,FALSE),MATCH(All!AA$1,Spring!$1:$1,FALSE))="","",INDEX(Spring!$1:$1048576,MATCH(All!$A135,Spring!$A:$A,FALSE),MATCH(All!AA$1,Spring!$1:$1,FALSE))),"")</f>
        <v/>
      </c>
      <c r="AB135" t="str">
        <f>IFERROR(IF(INDEX(Spring!$1:$1048576,MATCH(All!$A135,Spring!$A:$A,FALSE),MATCH(All!AB$1,Spring!$1:$1,FALSE))="","",INDEX(Spring!$1:$1048576,MATCH(All!$A135,Spring!$A:$A,FALSE),MATCH(All!AB$1,Spring!$1:$1,FALSE))),"")</f>
        <v>1A</v>
      </c>
      <c r="AC135" t="str">
        <f>IFERROR(IF(INDEX(Spring!$1:$1048576,MATCH(All!$A135,Spring!$A:$A,FALSE),MATCH(All!AC$1,Spring!$1:$1,FALSE))="","",INDEX(Spring!$1:$1048576,MATCH(All!$A135,Spring!$A:$A,FALSE),MATCH(All!AC$1,Spring!$1:$1,FALSE))),"")</f>
        <v>1A</v>
      </c>
      <c r="AD135" t="str">
        <f>IFERROR(VLOOKUP(A135,'Flag Football'!A:A,1,FALSE),"")</f>
        <v>Chicago (Christ the King)</v>
      </c>
      <c r="AE135" t="str">
        <f t="shared" si="2"/>
        <v>1A</v>
      </c>
    </row>
    <row r="136" spans="1:31" ht="15.75" thickBot="1" x14ac:dyDescent="0.3">
      <c r="A136" s="18" t="s">
        <v>915</v>
      </c>
      <c r="B136" s="38" t="str">
        <f>IFERROR(VLOOKUP(A136,'Public v Private'!A:G,3,FALSE),"")</f>
        <v>no</v>
      </c>
      <c r="C136" s="38">
        <f>IFERROR(VLOOKUP(A136,'Public v Private'!A:G,4,FALSE),"")</f>
        <v>0</v>
      </c>
      <c r="D136" s="38">
        <f>IFERROR(VLOOKUP(A136,'Public v Private'!A:G,5,FALSE),"")</f>
        <v>0</v>
      </c>
      <c r="E136" s="38"/>
      <c r="F136" s="40" t="str">
        <f>IFERROR(INDEX(Fall!$1:$1048576,MATCH(All!$A136,Fall!$A:$A,FALSE),MATCH(All!F$1,Fall!$1:$1,FALSE)),"N/A")</f>
        <v>224.00 (369.60)</v>
      </c>
      <c r="G136" t="str">
        <f>IFERROR(IF(INDEX(Fall!$1:$1048576,MATCH(All!$A136,Fall!$A:$A,FALSE),MATCH(All!G$1,Fall!$1:$1,FALSE))="","",INDEX(Fall!$1:$1048576,MATCH(All!$A136,Fall!$A:$A,FALSE),MATCH(All!G$1,Fall!$1:$1,FALSE))),"")</f>
        <v/>
      </c>
      <c r="H136" t="str">
        <f>IFERROR(IF(INDEX(Fall!$1:$1048576,MATCH(All!$A136,Fall!$A:$A,FALSE),MATCH(All!H$1,Fall!$1:$1,FALSE))="","",INDEX(Fall!$1:$1048576,MATCH(All!$A136,Fall!$A:$A,FALSE),MATCH(All!H$1,Fall!$1:$1,FALSE))),"")</f>
        <v/>
      </c>
      <c r="I136" t="str">
        <f>IFERROR(IF(INDEX(Fall!$1:$1048576,MATCH(All!$A136,Fall!$A:$A,FALSE),MATCH(All!I$1,Fall!$1:$1,FALSE))="","",INDEX(Fall!$1:$1048576,MATCH(All!$A136,Fall!$A:$A,FALSE),MATCH(All!I$1,Fall!$1:$1,FALSE))),"")</f>
        <v/>
      </c>
      <c r="J136" t="str">
        <f>IFERROR(IF(INDEX(Fall!$1:$1048576,MATCH(All!$A136,Fall!$A:$A,FALSE),MATCH(All!J$1,Fall!$1:$1,FALSE))="","",INDEX(Fall!$1:$1048576,MATCH(All!$A136,Fall!$A:$A,FALSE),MATCH(All!J$1,Fall!$1:$1,FALSE))),"")</f>
        <v/>
      </c>
      <c r="K136" t="str">
        <f>IFERROR(IF(INDEX(Fall!$1:$1048576,MATCH(All!$A136,Fall!$A:$A,FALSE),MATCH(All!K$1,Fall!$1:$1,FALSE))="","",INDEX(Fall!$1:$1048576,MATCH(All!$A136,Fall!$A:$A,FALSE),MATCH(All!K$1,Fall!$1:$1,FALSE))),"")</f>
        <v/>
      </c>
      <c r="L136" t="str">
        <f>IFERROR(IF(INDEX(Fall!$1:$1048576,MATCH(All!$A136,Fall!$A:$A,FALSE),MATCH(All!L$1,Fall!$1:$1,FALSE))="","",INDEX(Fall!$1:$1048576,MATCH(All!$A136,Fall!$A:$A,FALSE),MATCH(All!L$1,Fall!$1:$1,FALSE))),"")</f>
        <v/>
      </c>
      <c r="M136" t="str">
        <f>IFERROR(IF(INDEX(Fall!$1:$1048576,MATCH(All!$A136,Fall!$A:$A,FALSE),MATCH(All!M$1,Fall!$1:$1,FALSE))="","",INDEX(Fall!$1:$1048576,MATCH(All!$A136,Fall!$A:$A,FALSE),MATCH(All!M$1,Fall!$1:$1,FALSE))),"")</f>
        <v>1A</v>
      </c>
      <c r="O136" t="str">
        <f>IFERROR(IF(INDEX(Winter!$1:$1048576,MATCH(All!$A136,Winter!$A:$A,FALSE),MATCH(All!O$1,Winter!$1:$1,FALSE))="","",INDEX(Winter!$1:$1048576,MATCH(All!$A136,Winter!$A:$A,FALSE),MATCH(All!O$1,Winter!$1:$1,FALSE))),"")</f>
        <v>224.00 (369.60)</v>
      </c>
      <c r="P136" t="str">
        <f>IFERROR(IF(INDEX(Winter!$1:$1048576,MATCH(All!$A136,Winter!$A:$A,FALSE),MATCH(All!P$1,Winter!$1:$1,FALSE))="","",INDEX(Winter!$1:$1048576,MATCH(All!$A136,Winter!$A:$A,FALSE),MATCH(All!P$1,Winter!$1:$1,FALSE))),"")</f>
        <v>1A</v>
      </c>
      <c r="Q136" t="str">
        <f>IFERROR(IF(INDEX(Winter!$1:$1048576,MATCH(All!$A136,Winter!$A:$A,FALSE),MATCH(All!Q$1,Winter!$1:$1,FALSE))="","",INDEX(Winter!$1:$1048576,MATCH(All!$A136,Winter!$A:$A,FALSE),MATCH(All!Q$1,Winter!$1:$1,FALSE))),"")</f>
        <v/>
      </c>
      <c r="R136" t="str">
        <f>IFERROR(IF(INDEX(Winter!$1:$1048576,MATCH(All!$A136,Winter!$A:$A,FALSE),MATCH(All!R$1,Winter!$1:$1,FALSE))="","",INDEX(Winter!$1:$1048576,MATCH(All!$A136,Winter!$A:$A,FALSE),MATCH(All!R$1,Winter!$1:$1,FALSE))),"")</f>
        <v/>
      </c>
      <c r="S136" t="str">
        <f>IFERROR(IF(INDEX(Winter!$1:$1048576,MATCH(All!$A136,Winter!$A:$A,FALSE),MATCH(All!S$1,Winter!$1:$1,FALSE))="","",INDEX(Winter!$1:$1048576,MATCH(All!$A136,Winter!$A:$A,FALSE),MATCH(All!S$1,Winter!$1:$1,FALSE))),"")</f>
        <v/>
      </c>
      <c r="T136" t="str">
        <f>IFERROR(IF(INDEX(Winter!$1:$1048576,MATCH(All!$A136,Winter!$A:$A,FALSE),MATCH(All!T$1,Winter!$1:$1,FALSE))="","",INDEX(Winter!$1:$1048576,MATCH(All!$A136,Winter!$A:$A,FALSE),MATCH(All!T$1,Winter!$1:$1,FALSE))),"")</f>
        <v/>
      </c>
      <c r="U136" t="str">
        <f>IFERROR(IF(INDEX(Winter!$1:$1048576,MATCH(All!$A136,Winter!$A:$A,FALSE),MATCH(All!U$1,Winter!$1:$1,FALSE))="","",INDEX(Winter!$1:$1048576,MATCH(All!$A136,Winter!$A:$A,FALSE),MATCH(All!U$1,Winter!$1:$1,FALSE))),"")</f>
        <v/>
      </c>
      <c r="W136" t="str">
        <f>IFERROR(IF(INDEX(Spring!$1:$1048576,MATCH(All!$A136,Spring!$A:$A,FALSE),MATCH(All!W$1,Spring!$1:$1,FALSE))="","",INDEX(Spring!$1:$1048576,MATCH(All!$A136,Spring!$A:$A,FALSE),MATCH(All!W$1,Spring!$1:$1,FALSE))),"")</f>
        <v/>
      </c>
      <c r="X136" t="str">
        <f>IFERROR(IF(INDEX(Spring!$1:$1048576,MATCH(All!$A136,Spring!$A:$A,FALSE),MATCH(All!X$1,Spring!$1:$1,FALSE))="","",INDEX(Spring!$1:$1048576,MATCH(All!$A136,Spring!$A:$A,FALSE),MATCH(All!X$1,Spring!$1:$1,FALSE))),"")</f>
        <v/>
      </c>
      <c r="Y136" t="str">
        <f>IFERROR(IF(INDEX(Spring!$1:$1048576,MATCH(All!$A136,Spring!$A:$A,FALSE),MATCH(All!Y$1,Spring!$1:$1,FALSE))="","",INDEX(Spring!$1:$1048576,MATCH(All!$A136,Spring!$A:$A,FALSE),MATCH(All!Y$1,Spring!$1:$1,FALSE))),"")</f>
        <v/>
      </c>
      <c r="Z136" t="str">
        <f>IFERROR(IF(INDEX(Spring!$1:$1048576,MATCH(All!$A136,Spring!$A:$A,FALSE),MATCH(All!Z$1,Spring!$1:$1,FALSE))="","",INDEX(Spring!$1:$1048576,MATCH(All!$A136,Spring!$A:$A,FALSE),MATCH(All!Z$1,Spring!$1:$1,FALSE))),"")</f>
        <v/>
      </c>
      <c r="AA136" t="str">
        <f>IFERROR(IF(INDEX(Spring!$1:$1048576,MATCH(All!$A136,Spring!$A:$A,FALSE),MATCH(All!AA$1,Spring!$1:$1,FALSE))="","",INDEX(Spring!$1:$1048576,MATCH(All!$A136,Spring!$A:$A,FALSE),MATCH(All!AA$1,Spring!$1:$1,FALSE))),"")</f>
        <v/>
      </c>
      <c r="AB136" t="str">
        <f>IFERROR(IF(INDEX(Spring!$1:$1048576,MATCH(All!$A136,Spring!$A:$A,FALSE),MATCH(All!AB$1,Spring!$1:$1,FALSE))="","",INDEX(Spring!$1:$1048576,MATCH(All!$A136,Spring!$A:$A,FALSE),MATCH(All!AB$1,Spring!$1:$1,FALSE))),"")</f>
        <v/>
      </c>
      <c r="AC136" t="str">
        <f>IFERROR(IF(INDEX(Spring!$1:$1048576,MATCH(All!$A136,Spring!$A:$A,FALSE),MATCH(All!AC$1,Spring!$1:$1,FALSE))="","",INDEX(Spring!$1:$1048576,MATCH(All!$A136,Spring!$A:$A,FALSE),MATCH(All!AC$1,Spring!$1:$1,FALSE))),"")</f>
        <v/>
      </c>
      <c r="AD136" t="str">
        <f>IFERROR(VLOOKUP(A136,'Flag Football'!A:A,1,FALSE),"")</f>
        <v/>
      </c>
      <c r="AE136" t="str">
        <f t="shared" si="2"/>
        <v/>
      </c>
    </row>
    <row r="137" spans="1:31" ht="15.75" thickBot="1" x14ac:dyDescent="0.3">
      <c r="A137" s="20" t="s">
        <v>167</v>
      </c>
      <c r="B137" s="38" t="str">
        <f>IFERROR(VLOOKUP(A137,'Public v Private'!A:G,3,FALSE),"")</f>
        <v>no</v>
      </c>
      <c r="C137" s="38">
        <f>IFERROR(VLOOKUP(A137,'Public v Private'!A:G,4,FALSE),"")</f>
        <v>0</v>
      </c>
      <c r="D137" s="38">
        <f>IFERROR(VLOOKUP(A137,'Public v Private'!A:G,5,FALSE),"")</f>
        <v>0</v>
      </c>
      <c r="E137" s="38"/>
      <c r="F137" s="40" t="str">
        <f>IFERROR(INDEX(Fall!$1:$1048576,MATCH(All!$A137,Fall!$A:$A,FALSE),MATCH(All!F$1,Fall!$1:$1,FALSE)),"N/A")</f>
        <v>443.00 (730.95)</v>
      </c>
      <c r="G137" t="str">
        <f>IFERROR(IF(INDEX(Fall!$1:$1048576,MATCH(All!$A137,Fall!$A:$A,FALSE),MATCH(All!G$1,Fall!$1:$1,FALSE))="","",INDEX(Fall!$1:$1048576,MATCH(All!$A137,Fall!$A:$A,FALSE),MATCH(All!G$1,Fall!$1:$1,FALSE))),"")</f>
        <v/>
      </c>
      <c r="H137" t="str">
        <f>IFERROR(IF(INDEX(Fall!$1:$1048576,MATCH(All!$A137,Fall!$A:$A,FALSE),MATCH(All!H$1,Fall!$1:$1,FALSE))="","",INDEX(Fall!$1:$1048576,MATCH(All!$A137,Fall!$A:$A,FALSE),MATCH(All!H$1,Fall!$1:$1,FALSE))),"")</f>
        <v/>
      </c>
      <c r="I137" t="str">
        <f>IFERROR(IF(INDEX(Fall!$1:$1048576,MATCH(All!$A137,Fall!$A:$A,FALSE),MATCH(All!I$1,Fall!$1:$1,FALSE))="","",INDEX(Fall!$1:$1048576,MATCH(All!$A137,Fall!$A:$A,FALSE),MATCH(All!I$1,Fall!$1:$1,FALSE))),"")</f>
        <v/>
      </c>
      <c r="J137" t="str">
        <f>IFERROR(IF(INDEX(Fall!$1:$1048576,MATCH(All!$A137,Fall!$A:$A,FALSE),MATCH(All!J$1,Fall!$1:$1,FALSE))="","",INDEX(Fall!$1:$1048576,MATCH(All!$A137,Fall!$A:$A,FALSE),MATCH(All!J$1,Fall!$1:$1,FALSE))),"")</f>
        <v/>
      </c>
      <c r="K137" t="str">
        <f>IFERROR(IF(INDEX(Fall!$1:$1048576,MATCH(All!$A137,Fall!$A:$A,FALSE),MATCH(All!K$1,Fall!$1:$1,FALSE))="","",INDEX(Fall!$1:$1048576,MATCH(All!$A137,Fall!$A:$A,FALSE),MATCH(All!K$1,Fall!$1:$1,FALSE))),"")</f>
        <v/>
      </c>
      <c r="L137" t="str">
        <f>IFERROR(IF(INDEX(Fall!$1:$1048576,MATCH(All!$A137,Fall!$A:$A,FALSE),MATCH(All!L$1,Fall!$1:$1,FALSE))="","",INDEX(Fall!$1:$1048576,MATCH(All!$A137,Fall!$A:$A,FALSE),MATCH(All!L$1,Fall!$1:$1,FALSE))),"")</f>
        <v/>
      </c>
      <c r="M137" t="str">
        <f>IFERROR(IF(INDEX(Fall!$1:$1048576,MATCH(All!$A137,Fall!$A:$A,FALSE),MATCH(All!M$1,Fall!$1:$1,FALSE))="","",INDEX(Fall!$1:$1048576,MATCH(All!$A137,Fall!$A:$A,FALSE),MATCH(All!M$1,Fall!$1:$1,FALSE))),"")</f>
        <v>3A</v>
      </c>
      <c r="O137" t="str">
        <f>IFERROR(IF(INDEX(Winter!$1:$1048576,MATCH(All!$A137,Winter!$A:$A,FALSE),MATCH(All!O$1,Winter!$1:$1,FALSE))="","",INDEX(Winter!$1:$1048576,MATCH(All!$A137,Winter!$A:$A,FALSE),MATCH(All!O$1,Winter!$1:$1,FALSE))),"")</f>
        <v>443.00 (730.95)</v>
      </c>
      <c r="P137" t="str">
        <f>IFERROR(IF(INDEX(Winter!$1:$1048576,MATCH(All!$A137,Winter!$A:$A,FALSE),MATCH(All!P$1,Winter!$1:$1,FALSE))="","",INDEX(Winter!$1:$1048576,MATCH(All!$A137,Winter!$A:$A,FALSE),MATCH(All!P$1,Winter!$1:$1,FALSE))),"")</f>
        <v>3A</v>
      </c>
      <c r="Q137" t="str">
        <f>IFERROR(IF(INDEX(Winter!$1:$1048576,MATCH(All!$A137,Winter!$A:$A,FALSE),MATCH(All!Q$1,Winter!$1:$1,FALSE))="","",INDEX(Winter!$1:$1048576,MATCH(All!$A137,Winter!$A:$A,FALSE),MATCH(All!Q$1,Winter!$1:$1,FALSE))),"")</f>
        <v>3A</v>
      </c>
      <c r="R137" t="str">
        <f>IFERROR(IF(INDEX(Winter!$1:$1048576,MATCH(All!$A137,Winter!$A:$A,FALSE),MATCH(All!R$1,Winter!$1:$1,FALSE))="","",INDEX(Winter!$1:$1048576,MATCH(All!$A137,Winter!$A:$A,FALSE),MATCH(All!R$1,Winter!$1:$1,FALSE))),"")</f>
        <v/>
      </c>
      <c r="S137" t="str">
        <f>IFERROR(IF(INDEX(Winter!$1:$1048576,MATCH(All!$A137,Winter!$A:$A,FALSE),MATCH(All!S$1,Winter!$1:$1,FALSE))="","",INDEX(Winter!$1:$1048576,MATCH(All!$A137,Winter!$A:$A,FALSE),MATCH(All!S$1,Winter!$1:$1,FALSE))),"")</f>
        <v/>
      </c>
      <c r="T137" t="str">
        <f>IFERROR(IF(INDEX(Winter!$1:$1048576,MATCH(All!$A137,Winter!$A:$A,FALSE),MATCH(All!T$1,Winter!$1:$1,FALSE))="","",INDEX(Winter!$1:$1048576,MATCH(All!$A137,Winter!$A:$A,FALSE),MATCH(All!T$1,Winter!$1:$1,FALSE))),"")</f>
        <v/>
      </c>
      <c r="U137" t="str">
        <f>IFERROR(IF(INDEX(Winter!$1:$1048576,MATCH(All!$A137,Winter!$A:$A,FALSE),MATCH(All!U$1,Winter!$1:$1,FALSE))="","",INDEX(Winter!$1:$1048576,MATCH(All!$A137,Winter!$A:$A,FALSE),MATCH(All!U$1,Winter!$1:$1,FALSE))),"")</f>
        <v/>
      </c>
      <c r="W137" t="str">
        <f>IFERROR(IF(INDEX(Spring!$1:$1048576,MATCH(All!$A137,Spring!$A:$A,FALSE),MATCH(All!W$1,Spring!$1:$1,FALSE))="","",INDEX(Spring!$1:$1048576,MATCH(All!$A137,Spring!$A:$A,FALSE),MATCH(All!W$1,Spring!$1:$1,FALSE))),"")</f>
        <v>443.00 (730.95)</v>
      </c>
      <c r="X137" t="str">
        <f>IFERROR(IF(INDEX(Spring!$1:$1048576,MATCH(All!$A137,Spring!$A:$A,FALSE),MATCH(All!X$1,Spring!$1:$1,FALSE))="","",INDEX(Spring!$1:$1048576,MATCH(All!$A137,Spring!$A:$A,FALSE),MATCH(All!X$1,Spring!$1:$1,FALSE))),"")</f>
        <v/>
      </c>
      <c r="Y137" t="str">
        <f>IFERROR(IF(INDEX(Spring!$1:$1048576,MATCH(All!$A137,Spring!$A:$A,FALSE),MATCH(All!Y$1,Spring!$1:$1,FALSE))="","",INDEX(Spring!$1:$1048576,MATCH(All!$A137,Spring!$A:$A,FALSE),MATCH(All!Y$1,Spring!$1:$1,FALSE))),"")</f>
        <v/>
      </c>
      <c r="Z137" t="str">
        <f>IFERROR(IF(INDEX(Spring!$1:$1048576,MATCH(All!$A137,Spring!$A:$A,FALSE),MATCH(All!Z$1,Spring!$1:$1,FALSE))="","",INDEX(Spring!$1:$1048576,MATCH(All!$A137,Spring!$A:$A,FALSE),MATCH(All!Z$1,Spring!$1:$1,FALSE))),"")</f>
        <v/>
      </c>
      <c r="AA137" t="str">
        <f>IFERROR(IF(INDEX(Spring!$1:$1048576,MATCH(All!$A137,Spring!$A:$A,FALSE),MATCH(All!AA$1,Spring!$1:$1,FALSE))="","",INDEX(Spring!$1:$1048576,MATCH(All!$A137,Spring!$A:$A,FALSE),MATCH(All!AA$1,Spring!$1:$1,FALSE))),"")</f>
        <v/>
      </c>
      <c r="AB137" t="str">
        <f>IFERROR(IF(INDEX(Spring!$1:$1048576,MATCH(All!$A137,Spring!$A:$A,FALSE),MATCH(All!AB$1,Spring!$1:$1,FALSE))="","",INDEX(Spring!$1:$1048576,MATCH(All!$A137,Spring!$A:$A,FALSE),MATCH(All!AB$1,Spring!$1:$1,FALSE))),"")</f>
        <v>2A</v>
      </c>
      <c r="AC137" t="str">
        <f>IFERROR(IF(INDEX(Spring!$1:$1048576,MATCH(All!$A137,Spring!$A:$A,FALSE),MATCH(All!AC$1,Spring!$1:$1,FALSE))="","",INDEX(Spring!$1:$1048576,MATCH(All!$A137,Spring!$A:$A,FALSE),MATCH(All!AC$1,Spring!$1:$1,FALSE))),"")</f>
        <v>2A</v>
      </c>
      <c r="AD137" t="str">
        <f>IFERROR(VLOOKUP(A137,'Flag Football'!A:A,1,FALSE),"")</f>
        <v/>
      </c>
      <c r="AE137" t="str">
        <f t="shared" si="2"/>
        <v/>
      </c>
    </row>
    <row r="138" spans="1:31" ht="15.75" thickBot="1" x14ac:dyDescent="0.3">
      <c r="A138" s="18" t="s">
        <v>169</v>
      </c>
      <c r="B138" s="38" t="str">
        <f>IFERROR(VLOOKUP(A138,'Public v Private'!A:G,3,FALSE),"")</f>
        <v>no</v>
      </c>
      <c r="C138" s="38">
        <f>IFERROR(VLOOKUP(A138,'Public v Private'!A:G,4,FALSE),"")</f>
        <v>0</v>
      </c>
      <c r="D138" s="38">
        <f>IFERROR(VLOOKUP(A138,'Public v Private'!A:G,5,FALSE),"")</f>
        <v>0</v>
      </c>
      <c r="E138" s="38"/>
      <c r="F138" s="40" t="str">
        <f>IFERROR(INDEX(Fall!$1:$1048576,MATCH(All!$A138,Fall!$A:$A,FALSE),MATCH(All!F$1,Fall!$1:$1,FALSE)),"N/A")</f>
        <v>872.00 (1,438.80)</v>
      </c>
      <c r="G138" t="str">
        <f>IFERROR(IF(INDEX(Fall!$1:$1048576,MATCH(All!$A138,Fall!$A:$A,FALSE),MATCH(All!G$1,Fall!$1:$1,FALSE))="","",INDEX(Fall!$1:$1048576,MATCH(All!$A138,Fall!$A:$A,FALSE),MATCH(All!G$1,Fall!$1:$1,FALSE))),"")</f>
        <v/>
      </c>
      <c r="H138" t="str">
        <f>IFERROR(IF(INDEX(Fall!$1:$1048576,MATCH(All!$A138,Fall!$A:$A,FALSE),MATCH(All!H$1,Fall!$1:$1,FALSE))="","",INDEX(Fall!$1:$1048576,MATCH(All!$A138,Fall!$A:$A,FALSE),MATCH(All!H$1,Fall!$1:$1,FALSE))),"")</f>
        <v/>
      </c>
      <c r="I138" t="str">
        <f>IFERROR(IF(INDEX(Fall!$1:$1048576,MATCH(All!$A138,Fall!$A:$A,FALSE),MATCH(All!I$1,Fall!$1:$1,FALSE))="","",INDEX(Fall!$1:$1048576,MATCH(All!$A138,Fall!$A:$A,FALSE),MATCH(All!I$1,Fall!$1:$1,FALSE))),"")</f>
        <v/>
      </c>
      <c r="J138" t="str">
        <f>IFERROR(IF(INDEX(Fall!$1:$1048576,MATCH(All!$A138,Fall!$A:$A,FALSE),MATCH(All!J$1,Fall!$1:$1,FALSE))="","",INDEX(Fall!$1:$1048576,MATCH(All!$A138,Fall!$A:$A,FALSE),MATCH(All!J$1,Fall!$1:$1,FALSE))),"")</f>
        <v/>
      </c>
      <c r="K138" t="str">
        <f>IFERROR(IF(INDEX(Fall!$1:$1048576,MATCH(All!$A138,Fall!$A:$A,FALSE),MATCH(All!K$1,Fall!$1:$1,FALSE))="","",INDEX(Fall!$1:$1048576,MATCH(All!$A138,Fall!$A:$A,FALSE),MATCH(All!K$1,Fall!$1:$1,FALSE))),"")</f>
        <v>2A</v>
      </c>
      <c r="L138" t="str">
        <f>IFERROR(IF(INDEX(Fall!$1:$1048576,MATCH(All!$A138,Fall!$A:$A,FALSE),MATCH(All!L$1,Fall!$1:$1,FALSE))="","",INDEX(Fall!$1:$1048576,MATCH(All!$A138,Fall!$A:$A,FALSE),MATCH(All!L$1,Fall!$1:$1,FALSE))),"")</f>
        <v/>
      </c>
      <c r="M138" t="str">
        <f>IFERROR(IF(INDEX(Fall!$1:$1048576,MATCH(All!$A138,Fall!$A:$A,FALSE),MATCH(All!M$1,Fall!$1:$1,FALSE))="","",INDEX(Fall!$1:$1048576,MATCH(All!$A138,Fall!$A:$A,FALSE),MATCH(All!M$1,Fall!$1:$1,FALSE))),"")</f>
        <v>3A</v>
      </c>
      <c r="O138" t="str">
        <f>IFERROR(IF(INDEX(Winter!$1:$1048576,MATCH(All!$A138,Winter!$A:$A,FALSE),MATCH(All!O$1,Winter!$1:$1,FALSE))="","",INDEX(Winter!$1:$1048576,MATCH(All!$A138,Winter!$A:$A,FALSE),MATCH(All!O$1,Winter!$1:$1,FALSE))),"")</f>
        <v>872.00 (1,438.80)</v>
      </c>
      <c r="P138" t="str">
        <f>IFERROR(IF(INDEX(Winter!$1:$1048576,MATCH(All!$A138,Winter!$A:$A,FALSE),MATCH(All!P$1,Winter!$1:$1,FALSE))="","",INDEX(Winter!$1:$1048576,MATCH(All!$A138,Winter!$A:$A,FALSE),MATCH(All!P$1,Winter!$1:$1,FALSE))),"")</f>
        <v>3A</v>
      </c>
      <c r="Q138" t="str">
        <f>IFERROR(IF(INDEX(Winter!$1:$1048576,MATCH(All!$A138,Winter!$A:$A,FALSE),MATCH(All!Q$1,Winter!$1:$1,FALSE))="","",INDEX(Winter!$1:$1048576,MATCH(All!$A138,Winter!$A:$A,FALSE),MATCH(All!Q$1,Winter!$1:$1,FALSE))),"")</f>
        <v>3A</v>
      </c>
      <c r="R138" t="str">
        <f>IFERROR(IF(INDEX(Winter!$1:$1048576,MATCH(All!$A138,Winter!$A:$A,FALSE),MATCH(All!R$1,Winter!$1:$1,FALSE))="","",INDEX(Winter!$1:$1048576,MATCH(All!$A138,Winter!$A:$A,FALSE),MATCH(All!R$1,Winter!$1:$1,FALSE))),"")</f>
        <v/>
      </c>
      <c r="S138" t="str">
        <f>IFERROR(IF(INDEX(Winter!$1:$1048576,MATCH(All!$A138,Winter!$A:$A,FALSE),MATCH(All!S$1,Winter!$1:$1,FALSE))="","",INDEX(Winter!$1:$1048576,MATCH(All!$A138,Winter!$A:$A,FALSE),MATCH(All!S$1,Winter!$1:$1,FALSE))),"")</f>
        <v/>
      </c>
      <c r="T138" t="str">
        <f>IFERROR(IF(INDEX(Winter!$1:$1048576,MATCH(All!$A138,Winter!$A:$A,FALSE),MATCH(All!T$1,Winter!$1:$1,FALSE))="","",INDEX(Winter!$1:$1048576,MATCH(All!$A138,Winter!$A:$A,FALSE),MATCH(All!T$1,Winter!$1:$1,FALSE))),"")</f>
        <v/>
      </c>
      <c r="U138" t="str">
        <f>IFERROR(IF(INDEX(Winter!$1:$1048576,MATCH(All!$A138,Winter!$A:$A,FALSE),MATCH(All!U$1,Winter!$1:$1,FALSE))="","",INDEX(Winter!$1:$1048576,MATCH(All!$A138,Winter!$A:$A,FALSE),MATCH(All!U$1,Winter!$1:$1,FALSE))),"")</f>
        <v/>
      </c>
      <c r="W138" t="str">
        <f>IFERROR(IF(INDEX(Spring!$1:$1048576,MATCH(All!$A138,Spring!$A:$A,FALSE),MATCH(All!W$1,Spring!$1:$1,FALSE))="","",INDEX(Spring!$1:$1048576,MATCH(All!$A138,Spring!$A:$A,FALSE),MATCH(All!W$1,Spring!$1:$1,FALSE))),"")</f>
        <v>872.00 (1,438.80)</v>
      </c>
      <c r="X138" t="str">
        <f>IFERROR(IF(INDEX(Spring!$1:$1048576,MATCH(All!$A138,Spring!$A:$A,FALSE),MATCH(All!X$1,Spring!$1:$1,FALSE))="","",INDEX(Spring!$1:$1048576,MATCH(All!$A138,Spring!$A:$A,FALSE),MATCH(All!X$1,Spring!$1:$1,FALSE))),"")</f>
        <v>3A</v>
      </c>
      <c r="Y138" t="str">
        <f>IFERROR(IF(INDEX(Spring!$1:$1048576,MATCH(All!$A138,Spring!$A:$A,FALSE),MATCH(All!Y$1,Spring!$1:$1,FALSE))="","",INDEX(Spring!$1:$1048576,MATCH(All!$A138,Spring!$A:$A,FALSE),MATCH(All!Y$1,Spring!$1:$1,FALSE))),"")</f>
        <v>3A</v>
      </c>
      <c r="Z138" t="str">
        <f>IFERROR(IF(INDEX(Spring!$1:$1048576,MATCH(All!$A138,Spring!$A:$A,FALSE),MATCH(All!Z$1,Spring!$1:$1,FALSE))="","",INDEX(Spring!$1:$1048576,MATCH(All!$A138,Spring!$A:$A,FALSE),MATCH(All!Z$1,Spring!$1:$1,FALSE))),"")</f>
        <v>2A</v>
      </c>
      <c r="AA138" t="str">
        <f>IFERROR(IF(INDEX(Spring!$1:$1048576,MATCH(All!$A138,Spring!$A:$A,FALSE),MATCH(All!AA$1,Spring!$1:$1,FALSE))="","",INDEX(Spring!$1:$1048576,MATCH(All!$A138,Spring!$A:$A,FALSE),MATCH(All!AA$1,Spring!$1:$1,FALSE))),"")</f>
        <v/>
      </c>
      <c r="AB138" t="str">
        <f>IFERROR(IF(INDEX(Spring!$1:$1048576,MATCH(All!$A138,Spring!$A:$A,FALSE),MATCH(All!AB$1,Spring!$1:$1,FALSE))="","",INDEX(Spring!$1:$1048576,MATCH(All!$A138,Spring!$A:$A,FALSE),MATCH(All!AB$1,Spring!$1:$1,FALSE))),"")</f>
        <v>3A</v>
      </c>
      <c r="AC138" t="str">
        <f>IFERROR(IF(INDEX(Spring!$1:$1048576,MATCH(All!$A138,Spring!$A:$A,FALSE),MATCH(All!AC$1,Spring!$1:$1,FALSE))="","",INDEX(Spring!$1:$1048576,MATCH(All!$A138,Spring!$A:$A,FALSE),MATCH(All!AC$1,Spring!$1:$1,FALSE))),"")</f>
        <v>3A</v>
      </c>
      <c r="AD138" t="str">
        <f>IFERROR(VLOOKUP(A138,'Flag Football'!A:A,1,FALSE),"")</f>
        <v>Chicago (CICS/Northtown)</v>
      </c>
      <c r="AE138" t="str">
        <f t="shared" si="2"/>
        <v>1A</v>
      </c>
    </row>
    <row r="139" spans="1:31" ht="15.75" thickBot="1" x14ac:dyDescent="0.3">
      <c r="A139" s="20" t="s">
        <v>170</v>
      </c>
      <c r="B139" s="38" t="str">
        <f>IFERROR(VLOOKUP(A139,'Public v Private'!A:G,3,FALSE),"")</f>
        <v>no</v>
      </c>
      <c r="C139" s="38">
        <f>IFERROR(VLOOKUP(A139,'Public v Private'!A:G,4,FALSE),"")</f>
        <v>0</v>
      </c>
      <c r="D139" s="38">
        <f>IFERROR(VLOOKUP(A139,'Public v Private'!A:G,5,FALSE),"")</f>
        <v>0</v>
      </c>
      <c r="E139" s="38"/>
      <c r="F139" s="40" t="str">
        <f>IFERROR(INDEX(Fall!$1:$1048576,MATCH(All!$A139,Fall!$A:$A,FALSE),MATCH(All!F$1,Fall!$1:$1,FALSE)),"N/A")</f>
        <v>N/A</v>
      </c>
      <c r="G139" t="str">
        <f>IFERROR(IF(INDEX(Fall!$1:$1048576,MATCH(All!$A139,Fall!$A:$A,FALSE),MATCH(All!G$1,Fall!$1:$1,FALSE))="","",INDEX(Fall!$1:$1048576,MATCH(All!$A139,Fall!$A:$A,FALSE),MATCH(All!G$1,Fall!$1:$1,FALSE))),"")</f>
        <v/>
      </c>
      <c r="H139" t="str">
        <f>IFERROR(IF(INDEX(Fall!$1:$1048576,MATCH(All!$A139,Fall!$A:$A,FALSE),MATCH(All!H$1,Fall!$1:$1,FALSE))="","",INDEX(Fall!$1:$1048576,MATCH(All!$A139,Fall!$A:$A,FALSE),MATCH(All!H$1,Fall!$1:$1,FALSE))),"")</f>
        <v/>
      </c>
      <c r="I139" t="str">
        <f>IFERROR(IF(INDEX(Fall!$1:$1048576,MATCH(All!$A139,Fall!$A:$A,FALSE),MATCH(All!I$1,Fall!$1:$1,FALSE))="","",INDEX(Fall!$1:$1048576,MATCH(All!$A139,Fall!$A:$A,FALSE),MATCH(All!I$1,Fall!$1:$1,FALSE))),"")</f>
        <v/>
      </c>
      <c r="J139" t="str">
        <f>IFERROR(IF(INDEX(Fall!$1:$1048576,MATCH(All!$A139,Fall!$A:$A,FALSE),MATCH(All!J$1,Fall!$1:$1,FALSE))="","",INDEX(Fall!$1:$1048576,MATCH(All!$A139,Fall!$A:$A,FALSE),MATCH(All!J$1,Fall!$1:$1,FALSE))),"")</f>
        <v/>
      </c>
      <c r="K139" t="str">
        <f>IFERROR(IF(INDEX(Fall!$1:$1048576,MATCH(All!$A139,Fall!$A:$A,FALSE),MATCH(All!K$1,Fall!$1:$1,FALSE))="","",INDEX(Fall!$1:$1048576,MATCH(All!$A139,Fall!$A:$A,FALSE),MATCH(All!K$1,Fall!$1:$1,FALSE))),"")</f>
        <v/>
      </c>
      <c r="L139" t="str">
        <f>IFERROR(IF(INDEX(Fall!$1:$1048576,MATCH(All!$A139,Fall!$A:$A,FALSE),MATCH(All!L$1,Fall!$1:$1,FALSE))="","",INDEX(Fall!$1:$1048576,MATCH(All!$A139,Fall!$A:$A,FALSE),MATCH(All!L$1,Fall!$1:$1,FALSE))),"")</f>
        <v/>
      </c>
      <c r="M139" t="str">
        <f>IFERROR(IF(INDEX(Fall!$1:$1048576,MATCH(All!$A139,Fall!$A:$A,FALSE),MATCH(All!M$1,Fall!$1:$1,FALSE))="","",INDEX(Fall!$1:$1048576,MATCH(All!$A139,Fall!$A:$A,FALSE),MATCH(All!M$1,Fall!$1:$1,FALSE))),"")</f>
        <v/>
      </c>
      <c r="O139" t="str">
        <f>IFERROR(IF(INDEX(Winter!$1:$1048576,MATCH(All!$A139,Winter!$A:$A,FALSE),MATCH(All!O$1,Winter!$1:$1,FALSE))="","",INDEX(Winter!$1:$1048576,MATCH(All!$A139,Winter!$A:$A,FALSE),MATCH(All!O$1,Winter!$1:$1,FALSE))),"")</f>
        <v>442.00 (729.30)</v>
      </c>
      <c r="P139" t="str">
        <f>IFERROR(IF(INDEX(Winter!$1:$1048576,MATCH(All!$A139,Winter!$A:$A,FALSE),MATCH(All!P$1,Winter!$1:$1,FALSE))="","",INDEX(Winter!$1:$1048576,MATCH(All!$A139,Winter!$A:$A,FALSE),MATCH(All!P$1,Winter!$1:$1,FALSE))),"")</f>
        <v>2A</v>
      </c>
      <c r="Q139" t="str">
        <f>IFERROR(IF(INDEX(Winter!$1:$1048576,MATCH(All!$A139,Winter!$A:$A,FALSE),MATCH(All!Q$1,Winter!$1:$1,FALSE))="","",INDEX(Winter!$1:$1048576,MATCH(All!$A139,Winter!$A:$A,FALSE),MATCH(All!Q$1,Winter!$1:$1,FALSE))),"")</f>
        <v>2A</v>
      </c>
      <c r="R139" t="str">
        <f>IFERROR(IF(INDEX(Winter!$1:$1048576,MATCH(All!$A139,Winter!$A:$A,FALSE),MATCH(All!R$1,Winter!$1:$1,FALSE))="","",INDEX(Winter!$1:$1048576,MATCH(All!$A139,Winter!$A:$A,FALSE),MATCH(All!R$1,Winter!$1:$1,FALSE))),"")</f>
        <v/>
      </c>
      <c r="S139" t="str">
        <f>IFERROR(IF(INDEX(Winter!$1:$1048576,MATCH(All!$A139,Winter!$A:$A,FALSE),MATCH(All!S$1,Winter!$1:$1,FALSE))="","",INDEX(Winter!$1:$1048576,MATCH(All!$A139,Winter!$A:$A,FALSE),MATCH(All!S$1,Winter!$1:$1,FALSE))),"")</f>
        <v/>
      </c>
      <c r="T139" t="str">
        <f>IFERROR(IF(INDEX(Winter!$1:$1048576,MATCH(All!$A139,Winter!$A:$A,FALSE),MATCH(All!T$1,Winter!$1:$1,FALSE))="","",INDEX(Winter!$1:$1048576,MATCH(All!$A139,Winter!$A:$A,FALSE),MATCH(All!T$1,Winter!$1:$1,FALSE))),"")</f>
        <v/>
      </c>
      <c r="U139" t="str">
        <f>IFERROR(IF(INDEX(Winter!$1:$1048576,MATCH(All!$A139,Winter!$A:$A,FALSE),MATCH(All!U$1,Winter!$1:$1,FALSE))="","",INDEX(Winter!$1:$1048576,MATCH(All!$A139,Winter!$A:$A,FALSE),MATCH(All!U$1,Winter!$1:$1,FALSE))),"")</f>
        <v>1A</v>
      </c>
      <c r="W139" t="str">
        <f>IFERROR(IF(INDEX(Spring!$1:$1048576,MATCH(All!$A139,Spring!$A:$A,FALSE),MATCH(All!W$1,Spring!$1:$1,FALSE))="","",INDEX(Spring!$1:$1048576,MATCH(All!$A139,Spring!$A:$A,FALSE),MATCH(All!W$1,Spring!$1:$1,FALSE))),"")</f>
        <v>442.00 (729.30)</v>
      </c>
      <c r="X139" t="str">
        <f>IFERROR(IF(INDEX(Spring!$1:$1048576,MATCH(All!$A139,Spring!$A:$A,FALSE),MATCH(All!X$1,Spring!$1:$1,FALSE))="","",INDEX(Spring!$1:$1048576,MATCH(All!$A139,Spring!$A:$A,FALSE),MATCH(All!X$1,Spring!$1:$1,FALSE))),"")</f>
        <v>3A</v>
      </c>
      <c r="Y139" t="str">
        <f>IFERROR(IF(INDEX(Spring!$1:$1048576,MATCH(All!$A139,Spring!$A:$A,FALSE),MATCH(All!Y$1,Spring!$1:$1,FALSE))="","",INDEX(Spring!$1:$1048576,MATCH(All!$A139,Spring!$A:$A,FALSE),MATCH(All!Y$1,Spring!$1:$1,FALSE))),"")</f>
        <v/>
      </c>
      <c r="Z139" t="str">
        <f>IFERROR(IF(INDEX(Spring!$1:$1048576,MATCH(All!$A139,Spring!$A:$A,FALSE),MATCH(All!Z$1,Spring!$1:$1,FALSE))="","",INDEX(Spring!$1:$1048576,MATCH(All!$A139,Spring!$A:$A,FALSE),MATCH(All!Z$1,Spring!$1:$1,FALSE))),"")</f>
        <v/>
      </c>
      <c r="AA139" t="str">
        <f>IFERROR(IF(INDEX(Spring!$1:$1048576,MATCH(All!$A139,Spring!$A:$A,FALSE),MATCH(All!AA$1,Spring!$1:$1,FALSE))="","",INDEX(Spring!$1:$1048576,MATCH(All!$A139,Spring!$A:$A,FALSE),MATCH(All!AA$1,Spring!$1:$1,FALSE))),"")</f>
        <v/>
      </c>
      <c r="AB139" t="str">
        <f>IFERROR(IF(INDEX(Spring!$1:$1048576,MATCH(All!$A139,Spring!$A:$A,FALSE),MATCH(All!AB$1,Spring!$1:$1,FALSE))="","",INDEX(Spring!$1:$1048576,MATCH(All!$A139,Spring!$A:$A,FALSE),MATCH(All!AB$1,Spring!$1:$1,FALSE))),"")</f>
        <v>2A</v>
      </c>
      <c r="AC139" t="str">
        <f>IFERROR(IF(INDEX(Spring!$1:$1048576,MATCH(All!$A139,Spring!$A:$A,FALSE),MATCH(All!AC$1,Spring!$1:$1,FALSE))="","",INDEX(Spring!$1:$1048576,MATCH(All!$A139,Spring!$A:$A,FALSE),MATCH(All!AC$1,Spring!$1:$1,FALSE))),"")</f>
        <v>2A</v>
      </c>
      <c r="AD139" t="str">
        <f>IFERROR(VLOOKUP(A139,'Flag Football'!A:A,1,FALSE),"")</f>
        <v>Chicago (Clark)</v>
      </c>
      <c r="AE139" t="str">
        <f t="shared" si="2"/>
        <v>1A</v>
      </c>
    </row>
    <row r="140" spans="1:31" ht="15.75" thickBot="1" x14ac:dyDescent="0.3">
      <c r="A140" s="20" t="s">
        <v>172</v>
      </c>
      <c r="B140" s="38">
        <f>IFERROR(VLOOKUP(A140,'Public v Private'!A:G,3,FALSE),"")</f>
        <v>0</v>
      </c>
      <c r="C140" s="38">
        <f>IFERROR(VLOOKUP(A140,'Public v Private'!A:G,4,FALSE),"")</f>
        <v>0</v>
      </c>
      <c r="D140" s="38">
        <f>IFERROR(VLOOKUP(A140,'Public v Private'!A:G,5,FALSE),"")</f>
        <v>0</v>
      </c>
      <c r="E140" s="38"/>
      <c r="F140" s="40">
        <f>IFERROR(INDEX(Fall!$1:$1048576,MATCH(All!$A140,Fall!$A:$A,FALSE),MATCH(All!F$1,Fall!$1:$1,FALSE)),"N/A")</f>
        <v>671</v>
      </c>
      <c r="G140" t="str">
        <f>IFERROR(IF(INDEX(Fall!$1:$1048576,MATCH(All!$A140,Fall!$A:$A,FALSE),MATCH(All!G$1,Fall!$1:$1,FALSE))="","",INDEX(Fall!$1:$1048576,MATCH(All!$A140,Fall!$A:$A,FALSE),MATCH(All!G$1,Fall!$1:$1,FALSE))),"")</f>
        <v/>
      </c>
      <c r="H140" t="str">
        <f>IFERROR(IF(INDEX(Fall!$1:$1048576,MATCH(All!$A140,Fall!$A:$A,FALSE),MATCH(All!H$1,Fall!$1:$1,FALSE))="","",INDEX(Fall!$1:$1048576,MATCH(All!$A140,Fall!$A:$A,FALSE),MATCH(All!H$1,Fall!$1:$1,FALSE))),"")</f>
        <v/>
      </c>
      <c r="I140" t="str">
        <f>IFERROR(IF(INDEX(Fall!$1:$1048576,MATCH(All!$A140,Fall!$A:$A,FALSE),MATCH(All!I$1,Fall!$1:$1,FALSE))="","",INDEX(Fall!$1:$1048576,MATCH(All!$A140,Fall!$A:$A,FALSE),MATCH(All!I$1,Fall!$1:$1,FALSE))),"")</f>
        <v/>
      </c>
      <c r="J140" t="str">
        <f>IFERROR(IF(INDEX(Fall!$1:$1048576,MATCH(All!$A140,Fall!$A:$A,FALSE),MATCH(All!J$1,Fall!$1:$1,FALSE))="","",INDEX(Fall!$1:$1048576,MATCH(All!$A140,Fall!$A:$A,FALSE),MATCH(All!J$1,Fall!$1:$1,FALSE))),"")</f>
        <v/>
      </c>
      <c r="K140" t="str">
        <f>IFERROR(IF(INDEX(Fall!$1:$1048576,MATCH(All!$A140,Fall!$A:$A,FALSE),MATCH(All!K$1,Fall!$1:$1,FALSE))="","",INDEX(Fall!$1:$1048576,MATCH(All!$A140,Fall!$A:$A,FALSE),MATCH(All!K$1,Fall!$1:$1,FALSE))),"")</f>
        <v>1A</v>
      </c>
      <c r="L140" t="str">
        <f>IFERROR(IF(INDEX(Fall!$1:$1048576,MATCH(All!$A140,Fall!$A:$A,FALSE),MATCH(All!L$1,Fall!$1:$1,FALSE))="","",INDEX(Fall!$1:$1048576,MATCH(All!$A140,Fall!$A:$A,FALSE),MATCH(All!L$1,Fall!$1:$1,FALSE))),"")</f>
        <v/>
      </c>
      <c r="M140" t="str">
        <f>IFERROR(IF(INDEX(Fall!$1:$1048576,MATCH(All!$A140,Fall!$A:$A,FALSE),MATCH(All!M$1,Fall!$1:$1,FALSE))="","",INDEX(Fall!$1:$1048576,MATCH(All!$A140,Fall!$A:$A,FALSE),MATCH(All!M$1,Fall!$1:$1,FALSE))),"")</f>
        <v>2A</v>
      </c>
      <c r="O140">
        <f>IFERROR(IF(INDEX(Winter!$1:$1048576,MATCH(All!$A140,Winter!$A:$A,FALSE),MATCH(All!O$1,Winter!$1:$1,FALSE))="","",INDEX(Winter!$1:$1048576,MATCH(All!$A140,Winter!$A:$A,FALSE),MATCH(All!O$1,Winter!$1:$1,FALSE))),"")</f>
        <v>671</v>
      </c>
      <c r="P140" t="str">
        <f>IFERROR(IF(INDEX(Winter!$1:$1048576,MATCH(All!$A140,Winter!$A:$A,FALSE),MATCH(All!P$1,Winter!$1:$1,FALSE))="","",INDEX(Winter!$1:$1048576,MATCH(All!$A140,Winter!$A:$A,FALSE),MATCH(All!P$1,Winter!$1:$1,FALSE))),"")</f>
        <v>2A</v>
      </c>
      <c r="Q140" t="str">
        <f>IFERROR(IF(INDEX(Winter!$1:$1048576,MATCH(All!$A140,Winter!$A:$A,FALSE),MATCH(All!Q$1,Winter!$1:$1,FALSE))="","",INDEX(Winter!$1:$1048576,MATCH(All!$A140,Winter!$A:$A,FALSE),MATCH(All!Q$1,Winter!$1:$1,FALSE))),"")</f>
        <v/>
      </c>
      <c r="R140" t="str">
        <f>IFERROR(IF(INDEX(Winter!$1:$1048576,MATCH(All!$A140,Winter!$A:$A,FALSE),MATCH(All!R$1,Winter!$1:$1,FALSE))="","",INDEX(Winter!$1:$1048576,MATCH(All!$A140,Winter!$A:$A,FALSE),MATCH(All!R$1,Winter!$1:$1,FALSE))),"")</f>
        <v/>
      </c>
      <c r="S140" t="str">
        <f>IFERROR(IF(INDEX(Winter!$1:$1048576,MATCH(All!$A140,Winter!$A:$A,FALSE),MATCH(All!S$1,Winter!$1:$1,FALSE))="","",INDEX(Winter!$1:$1048576,MATCH(All!$A140,Winter!$A:$A,FALSE),MATCH(All!S$1,Winter!$1:$1,FALSE))),"")</f>
        <v/>
      </c>
      <c r="T140" t="str">
        <f>IFERROR(IF(INDEX(Winter!$1:$1048576,MATCH(All!$A140,Winter!$A:$A,FALSE),MATCH(All!T$1,Winter!$1:$1,FALSE))="","",INDEX(Winter!$1:$1048576,MATCH(All!$A140,Winter!$A:$A,FALSE),MATCH(All!T$1,Winter!$1:$1,FALSE))),"")</f>
        <v/>
      </c>
      <c r="U140" t="str">
        <f>IFERROR(IF(INDEX(Winter!$1:$1048576,MATCH(All!$A140,Winter!$A:$A,FALSE),MATCH(All!U$1,Winter!$1:$1,FALSE))="","",INDEX(Winter!$1:$1048576,MATCH(All!$A140,Winter!$A:$A,FALSE),MATCH(All!U$1,Winter!$1:$1,FALSE))),"")</f>
        <v>1A</v>
      </c>
      <c r="W140">
        <f>IFERROR(IF(INDEX(Spring!$1:$1048576,MATCH(All!$A140,Spring!$A:$A,FALSE),MATCH(All!W$1,Spring!$1:$1,FALSE))="","",INDEX(Spring!$1:$1048576,MATCH(All!$A140,Spring!$A:$A,FALSE),MATCH(All!W$1,Spring!$1:$1,FALSE))),"")</f>
        <v>671</v>
      </c>
      <c r="X140" t="str">
        <f>IFERROR(IF(INDEX(Spring!$1:$1048576,MATCH(All!$A140,Spring!$A:$A,FALSE),MATCH(All!X$1,Spring!$1:$1,FALSE))="","",INDEX(Spring!$1:$1048576,MATCH(All!$A140,Spring!$A:$A,FALSE),MATCH(All!X$1,Spring!$1:$1,FALSE))),"")</f>
        <v>2A</v>
      </c>
      <c r="Y140" t="str">
        <f>IFERROR(IF(INDEX(Spring!$1:$1048576,MATCH(All!$A140,Spring!$A:$A,FALSE),MATCH(All!Y$1,Spring!$1:$1,FALSE))="","",INDEX(Spring!$1:$1048576,MATCH(All!$A140,Spring!$A:$A,FALSE),MATCH(All!Y$1,Spring!$1:$1,FALSE))),"")</f>
        <v/>
      </c>
      <c r="Z140" t="str">
        <f>IFERROR(IF(INDEX(Spring!$1:$1048576,MATCH(All!$A140,Spring!$A:$A,FALSE),MATCH(All!Z$1,Spring!$1:$1,FALSE))="","",INDEX(Spring!$1:$1048576,MATCH(All!$A140,Spring!$A:$A,FALSE),MATCH(All!Z$1,Spring!$1:$1,FALSE))),"")</f>
        <v/>
      </c>
      <c r="AA140" t="str">
        <f>IFERROR(IF(INDEX(Spring!$1:$1048576,MATCH(All!$A140,Spring!$A:$A,FALSE),MATCH(All!AA$1,Spring!$1:$1,FALSE))="","",INDEX(Spring!$1:$1048576,MATCH(All!$A140,Spring!$A:$A,FALSE),MATCH(All!AA$1,Spring!$1:$1,FALSE))),"")</f>
        <v/>
      </c>
      <c r="AB140" t="str">
        <f>IFERROR(IF(INDEX(Spring!$1:$1048576,MATCH(All!$A140,Spring!$A:$A,FALSE),MATCH(All!AB$1,Spring!$1:$1,FALSE))="","",INDEX(Spring!$1:$1048576,MATCH(All!$A140,Spring!$A:$A,FALSE),MATCH(All!AB$1,Spring!$1:$1,FALSE))),"")</f>
        <v/>
      </c>
      <c r="AC140" t="str">
        <f>IFERROR(IF(INDEX(Spring!$1:$1048576,MATCH(All!$A140,Spring!$A:$A,FALSE),MATCH(All!AC$1,Spring!$1:$1,FALSE))="","",INDEX(Spring!$1:$1048576,MATCH(All!$A140,Spring!$A:$A,FALSE),MATCH(All!AC$1,Spring!$1:$1,FALSE))),"")</f>
        <v/>
      </c>
      <c r="AD140" t="str">
        <f>IFERROR(VLOOKUP(A140,'Flag Football'!A:A,1,FALSE),"")</f>
        <v/>
      </c>
      <c r="AE140" t="str">
        <f t="shared" si="2"/>
        <v/>
      </c>
    </row>
    <row r="141" spans="1:31" ht="15.75" thickBot="1" x14ac:dyDescent="0.3">
      <c r="A141" s="18" t="s">
        <v>173</v>
      </c>
      <c r="B141" s="38" t="str">
        <f>IFERROR(VLOOKUP(A141,'Public v Private'!A:G,3,FALSE),"")</f>
        <v>no</v>
      </c>
      <c r="C141" s="38">
        <f>IFERROR(VLOOKUP(A141,'Public v Private'!A:G,4,FALSE),"")</f>
        <v>0</v>
      </c>
      <c r="D141" s="38">
        <f>IFERROR(VLOOKUP(A141,'Public v Private'!A:G,5,FALSE),"")</f>
        <v>0</v>
      </c>
      <c r="E141" s="38"/>
      <c r="F141" s="40" t="str">
        <f>IFERROR(INDEX(Fall!$1:$1048576,MATCH(All!$A141,Fall!$A:$A,FALSE),MATCH(All!F$1,Fall!$1:$1,FALSE)),"N/A")</f>
        <v>196.00 (323.40)</v>
      </c>
      <c r="G141" t="str">
        <f>IFERROR(IF(INDEX(Fall!$1:$1048576,MATCH(All!$A141,Fall!$A:$A,FALSE),MATCH(All!G$1,Fall!$1:$1,FALSE))="","",INDEX(Fall!$1:$1048576,MATCH(All!$A141,Fall!$A:$A,FALSE),MATCH(All!G$1,Fall!$1:$1,FALSE))),"")</f>
        <v/>
      </c>
      <c r="H141" t="str">
        <f>IFERROR(IF(INDEX(Fall!$1:$1048576,MATCH(All!$A141,Fall!$A:$A,FALSE),MATCH(All!H$1,Fall!$1:$1,FALSE))="","",INDEX(Fall!$1:$1048576,MATCH(All!$A141,Fall!$A:$A,FALSE),MATCH(All!H$1,Fall!$1:$1,FALSE))),"")</f>
        <v/>
      </c>
      <c r="I141" t="str">
        <f>IFERROR(IF(INDEX(Fall!$1:$1048576,MATCH(All!$A141,Fall!$A:$A,FALSE),MATCH(All!I$1,Fall!$1:$1,FALSE))="","",INDEX(Fall!$1:$1048576,MATCH(All!$A141,Fall!$A:$A,FALSE),MATCH(All!I$1,Fall!$1:$1,FALSE))),"")</f>
        <v/>
      </c>
      <c r="J141" t="str">
        <f>IFERROR(IF(INDEX(Fall!$1:$1048576,MATCH(All!$A141,Fall!$A:$A,FALSE),MATCH(All!J$1,Fall!$1:$1,FALSE))="","",INDEX(Fall!$1:$1048576,MATCH(All!$A141,Fall!$A:$A,FALSE),MATCH(All!J$1,Fall!$1:$1,FALSE))),"")</f>
        <v/>
      </c>
      <c r="K141" t="str">
        <f>IFERROR(IF(INDEX(Fall!$1:$1048576,MATCH(All!$A141,Fall!$A:$A,FALSE),MATCH(All!K$1,Fall!$1:$1,FALSE))="","",INDEX(Fall!$1:$1048576,MATCH(All!$A141,Fall!$A:$A,FALSE),MATCH(All!K$1,Fall!$1:$1,FALSE))),"")</f>
        <v/>
      </c>
      <c r="L141" t="str">
        <f>IFERROR(IF(INDEX(Fall!$1:$1048576,MATCH(All!$A141,Fall!$A:$A,FALSE),MATCH(All!L$1,Fall!$1:$1,FALSE))="","",INDEX(Fall!$1:$1048576,MATCH(All!$A141,Fall!$A:$A,FALSE),MATCH(All!L$1,Fall!$1:$1,FALSE))),"")</f>
        <v/>
      </c>
      <c r="M141" t="str">
        <f>IFERROR(IF(INDEX(Fall!$1:$1048576,MATCH(All!$A141,Fall!$A:$A,FALSE),MATCH(All!M$1,Fall!$1:$1,FALSE))="","",INDEX(Fall!$1:$1048576,MATCH(All!$A141,Fall!$A:$A,FALSE),MATCH(All!M$1,Fall!$1:$1,FALSE))),"")</f>
        <v>1A</v>
      </c>
      <c r="O141" t="str">
        <f>IFERROR(IF(INDEX(Winter!$1:$1048576,MATCH(All!$A141,Winter!$A:$A,FALSE),MATCH(All!O$1,Winter!$1:$1,FALSE))="","",INDEX(Winter!$1:$1048576,MATCH(All!$A141,Winter!$A:$A,FALSE),MATCH(All!O$1,Winter!$1:$1,FALSE))),"")</f>
        <v>196.00 (323.40)</v>
      </c>
      <c r="P141" t="str">
        <f>IFERROR(IF(INDEX(Winter!$1:$1048576,MATCH(All!$A141,Winter!$A:$A,FALSE),MATCH(All!P$1,Winter!$1:$1,FALSE))="","",INDEX(Winter!$1:$1048576,MATCH(All!$A141,Winter!$A:$A,FALSE),MATCH(All!P$1,Winter!$1:$1,FALSE))),"")</f>
        <v>1A</v>
      </c>
      <c r="Q141" t="str">
        <f>IFERROR(IF(INDEX(Winter!$1:$1048576,MATCH(All!$A141,Winter!$A:$A,FALSE),MATCH(All!Q$1,Winter!$1:$1,FALSE))="","",INDEX(Winter!$1:$1048576,MATCH(All!$A141,Winter!$A:$A,FALSE),MATCH(All!Q$1,Winter!$1:$1,FALSE))),"")</f>
        <v>1A</v>
      </c>
      <c r="R141" t="str">
        <f>IFERROR(IF(INDEX(Winter!$1:$1048576,MATCH(All!$A141,Winter!$A:$A,FALSE),MATCH(All!R$1,Winter!$1:$1,FALSE))="","",INDEX(Winter!$1:$1048576,MATCH(All!$A141,Winter!$A:$A,FALSE),MATCH(All!R$1,Winter!$1:$1,FALSE))),"")</f>
        <v/>
      </c>
      <c r="S141" t="str">
        <f>IFERROR(IF(INDEX(Winter!$1:$1048576,MATCH(All!$A141,Winter!$A:$A,FALSE),MATCH(All!S$1,Winter!$1:$1,FALSE))="","",INDEX(Winter!$1:$1048576,MATCH(All!$A141,Winter!$A:$A,FALSE),MATCH(All!S$1,Winter!$1:$1,FALSE))),"")</f>
        <v/>
      </c>
      <c r="T141" t="str">
        <f>IFERROR(IF(INDEX(Winter!$1:$1048576,MATCH(All!$A141,Winter!$A:$A,FALSE),MATCH(All!T$1,Winter!$1:$1,FALSE))="","",INDEX(Winter!$1:$1048576,MATCH(All!$A141,Winter!$A:$A,FALSE),MATCH(All!T$1,Winter!$1:$1,FALSE))),"")</f>
        <v/>
      </c>
      <c r="U141" t="str">
        <f>IFERROR(IF(INDEX(Winter!$1:$1048576,MATCH(All!$A141,Winter!$A:$A,FALSE),MATCH(All!U$1,Winter!$1:$1,FALSE))="","",INDEX(Winter!$1:$1048576,MATCH(All!$A141,Winter!$A:$A,FALSE),MATCH(All!U$1,Winter!$1:$1,FALSE))),"")</f>
        <v/>
      </c>
      <c r="W141" t="str">
        <f>IFERROR(IF(INDEX(Spring!$1:$1048576,MATCH(All!$A141,Spring!$A:$A,FALSE),MATCH(All!W$1,Spring!$1:$1,FALSE))="","",INDEX(Spring!$1:$1048576,MATCH(All!$A141,Spring!$A:$A,FALSE),MATCH(All!W$1,Spring!$1:$1,FALSE))),"")</f>
        <v>196.00 (323.40)</v>
      </c>
      <c r="X141" t="str">
        <f>IFERROR(IF(INDEX(Spring!$1:$1048576,MATCH(All!$A141,Spring!$A:$A,FALSE),MATCH(All!X$1,Spring!$1:$1,FALSE))="","",INDEX(Spring!$1:$1048576,MATCH(All!$A141,Spring!$A:$A,FALSE),MATCH(All!X$1,Spring!$1:$1,FALSE))),"")</f>
        <v/>
      </c>
      <c r="Y141" t="str">
        <f>IFERROR(IF(INDEX(Spring!$1:$1048576,MATCH(All!$A141,Spring!$A:$A,FALSE),MATCH(All!Y$1,Spring!$1:$1,FALSE))="","",INDEX(Spring!$1:$1048576,MATCH(All!$A141,Spring!$A:$A,FALSE),MATCH(All!Y$1,Spring!$1:$1,FALSE))),"")</f>
        <v/>
      </c>
      <c r="Z141" t="str">
        <f>IFERROR(IF(INDEX(Spring!$1:$1048576,MATCH(All!$A141,Spring!$A:$A,FALSE),MATCH(All!Z$1,Spring!$1:$1,FALSE))="","",INDEX(Spring!$1:$1048576,MATCH(All!$A141,Spring!$A:$A,FALSE),MATCH(All!Z$1,Spring!$1:$1,FALSE))),"")</f>
        <v/>
      </c>
      <c r="AA141" t="str">
        <f>IFERROR(IF(INDEX(Spring!$1:$1048576,MATCH(All!$A141,Spring!$A:$A,FALSE),MATCH(All!AA$1,Spring!$1:$1,FALSE))="","",INDEX(Spring!$1:$1048576,MATCH(All!$A141,Spring!$A:$A,FALSE),MATCH(All!AA$1,Spring!$1:$1,FALSE))),"")</f>
        <v/>
      </c>
      <c r="AB141" t="str">
        <f>IFERROR(IF(INDEX(Spring!$1:$1048576,MATCH(All!$A141,Spring!$A:$A,FALSE),MATCH(All!AB$1,Spring!$1:$1,FALSE))="","",INDEX(Spring!$1:$1048576,MATCH(All!$A141,Spring!$A:$A,FALSE),MATCH(All!AB$1,Spring!$1:$1,FALSE))),"")</f>
        <v>1A</v>
      </c>
      <c r="AC141" t="str">
        <f>IFERROR(IF(INDEX(Spring!$1:$1048576,MATCH(All!$A141,Spring!$A:$A,FALSE),MATCH(All!AC$1,Spring!$1:$1,FALSE))="","",INDEX(Spring!$1:$1048576,MATCH(All!$A141,Spring!$A:$A,FALSE),MATCH(All!AC$1,Spring!$1:$1,FALSE))),"")</f>
        <v>1A</v>
      </c>
      <c r="AD141" t="str">
        <f>IFERROR(VLOOKUP(A141,'Flag Football'!A:A,1,FALSE),"")</f>
        <v/>
      </c>
      <c r="AE141" t="str">
        <f t="shared" si="2"/>
        <v/>
      </c>
    </row>
    <row r="142" spans="1:31" ht="15.75" thickBot="1" x14ac:dyDescent="0.3">
      <c r="A142" s="20" t="s">
        <v>175</v>
      </c>
      <c r="B142" s="38">
        <f>IFERROR(VLOOKUP(A142,'Public v Private'!A:G,3,FALSE),"")</f>
        <v>0</v>
      </c>
      <c r="C142" s="38">
        <f>IFERROR(VLOOKUP(A142,'Public v Private'!A:G,4,FALSE),"")</f>
        <v>0</v>
      </c>
      <c r="D142" s="38">
        <f>IFERROR(VLOOKUP(A142,'Public v Private'!A:G,5,FALSE),"")</f>
        <v>0</v>
      </c>
      <c r="E142" s="38"/>
      <c r="F142" s="40">
        <f>IFERROR(INDEX(Fall!$1:$1048576,MATCH(All!$A142,Fall!$A:$A,FALSE),MATCH(All!F$1,Fall!$1:$1,FALSE)),"N/A")</f>
        <v>365</v>
      </c>
      <c r="G142" t="str">
        <f>IFERROR(IF(INDEX(Fall!$1:$1048576,MATCH(All!$A142,Fall!$A:$A,FALSE),MATCH(All!G$1,Fall!$1:$1,FALSE))="","",INDEX(Fall!$1:$1048576,MATCH(All!$A142,Fall!$A:$A,FALSE),MATCH(All!G$1,Fall!$1:$1,FALSE))),"")</f>
        <v/>
      </c>
      <c r="H142" t="str">
        <f>IFERROR(IF(INDEX(Fall!$1:$1048576,MATCH(All!$A142,Fall!$A:$A,FALSE),MATCH(All!H$1,Fall!$1:$1,FALSE))="","",INDEX(Fall!$1:$1048576,MATCH(All!$A142,Fall!$A:$A,FALSE),MATCH(All!H$1,Fall!$1:$1,FALSE))),"")</f>
        <v/>
      </c>
      <c r="I142" t="str">
        <f>IFERROR(IF(INDEX(Fall!$1:$1048576,MATCH(All!$A142,Fall!$A:$A,FALSE),MATCH(All!I$1,Fall!$1:$1,FALSE))="","",INDEX(Fall!$1:$1048576,MATCH(All!$A142,Fall!$A:$A,FALSE),MATCH(All!I$1,Fall!$1:$1,FALSE))),"")</f>
        <v/>
      </c>
      <c r="J142" t="str">
        <f>IFERROR(IF(INDEX(Fall!$1:$1048576,MATCH(All!$A142,Fall!$A:$A,FALSE),MATCH(All!J$1,Fall!$1:$1,FALSE))="","",INDEX(Fall!$1:$1048576,MATCH(All!$A142,Fall!$A:$A,FALSE),MATCH(All!J$1,Fall!$1:$1,FALSE))),"")</f>
        <v/>
      </c>
      <c r="K142" t="str">
        <f>IFERROR(IF(INDEX(Fall!$1:$1048576,MATCH(All!$A142,Fall!$A:$A,FALSE),MATCH(All!K$1,Fall!$1:$1,FALSE))="","",INDEX(Fall!$1:$1048576,MATCH(All!$A142,Fall!$A:$A,FALSE),MATCH(All!K$1,Fall!$1:$1,FALSE))),"")</f>
        <v/>
      </c>
      <c r="L142" t="str">
        <f>IFERROR(IF(INDEX(Fall!$1:$1048576,MATCH(All!$A142,Fall!$A:$A,FALSE),MATCH(All!L$1,Fall!$1:$1,FALSE))="","",INDEX(Fall!$1:$1048576,MATCH(All!$A142,Fall!$A:$A,FALSE),MATCH(All!L$1,Fall!$1:$1,FALSE))),"")</f>
        <v/>
      </c>
      <c r="M142" t="str">
        <f>IFERROR(IF(INDEX(Fall!$1:$1048576,MATCH(All!$A142,Fall!$A:$A,FALSE),MATCH(All!M$1,Fall!$1:$1,FALSE))="","",INDEX(Fall!$1:$1048576,MATCH(All!$A142,Fall!$A:$A,FALSE),MATCH(All!M$1,Fall!$1:$1,FALSE))),"")</f>
        <v>2A</v>
      </c>
      <c r="O142">
        <f>IFERROR(IF(INDEX(Winter!$1:$1048576,MATCH(All!$A142,Winter!$A:$A,FALSE),MATCH(All!O$1,Winter!$1:$1,FALSE))="","",INDEX(Winter!$1:$1048576,MATCH(All!$A142,Winter!$A:$A,FALSE),MATCH(All!O$1,Winter!$1:$1,FALSE))),"")</f>
        <v>365</v>
      </c>
      <c r="P142" t="str">
        <f>IFERROR(IF(INDEX(Winter!$1:$1048576,MATCH(All!$A142,Winter!$A:$A,FALSE),MATCH(All!P$1,Winter!$1:$1,FALSE))="","",INDEX(Winter!$1:$1048576,MATCH(All!$A142,Winter!$A:$A,FALSE),MATCH(All!P$1,Winter!$1:$1,FALSE))),"")</f>
        <v>2A</v>
      </c>
      <c r="Q142" t="str">
        <f>IFERROR(IF(INDEX(Winter!$1:$1048576,MATCH(All!$A142,Winter!$A:$A,FALSE),MATCH(All!Q$1,Winter!$1:$1,FALSE))="","",INDEX(Winter!$1:$1048576,MATCH(All!$A142,Winter!$A:$A,FALSE),MATCH(All!Q$1,Winter!$1:$1,FALSE))),"")</f>
        <v>2A</v>
      </c>
      <c r="R142" t="str">
        <f>IFERROR(IF(INDEX(Winter!$1:$1048576,MATCH(All!$A142,Winter!$A:$A,FALSE),MATCH(All!R$1,Winter!$1:$1,FALSE))="","",INDEX(Winter!$1:$1048576,MATCH(All!$A142,Winter!$A:$A,FALSE),MATCH(All!R$1,Winter!$1:$1,FALSE))),"")</f>
        <v/>
      </c>
      <c r="S142" t="str">
        <f>IFERROR(IF(INDEX(Winter!$1:$1048576,MATCH(All!$A142,Winter!$A:$A,FALSE),MATCH(All!S$1,Winter!$1:$1,FALSE))="","",INDEX(Winter!$1:$1048576,MATCH(All!$A142,Winter!$A:$A,FALSE),MATCH(All!S$1,Winter!$1:$1,FALSE))),"")</f>
        <v/>
      </c>
      <c r="T142" t="str">
        <f>IFERROR(IF(INDEX(Winter!$1:$1048576,MATCH(All!$A142,Winter!$A:$A,FALSE),MATCH(All!T$1,Winter!$1:$1,FALSE))="","",INDEX(Winter!$1:$1048576,MATCH(All!$A142,Winter!$A:$A,FALSE),MATCH(All!T$1,Winter!$1:$1,FALSE))),"")</f>
        <v/>
      </c>
      <c r="U142" t="str">
        <f>IFERROR(IF(INDEX(Winter!$1:$1048576,MATCH(All!$A142,Winter!$A:$A,FALSE),MATCH(All!U$1,Winter!$1:$1,FALSE))="","",INDEX(Winter!$1:$1048576,MATCH(All!$A142,Winter!$A:$A,FALSE),MATCH(All!U$1,Winter!$1:$1,FALSE))),"")</f>
        <v>1A</v>
      </c>
      <c r="W142">
        <f>IFERROR(IF(INDEX(Spring!$1:$1048576,MATCH(All!$A142,Spring!$A:$A,FALSE),MATCH(All!W$1,Spring!$1:$1,FALSE))="","",INDEX(Spring!$1:$1048576,MATCH(All!$A142,Spring!$A:$A,FALSE),MATCH(All!W$1,Spring!$1:$1,FALSE))),"")</f>
        <v>365</v>
      </c>
      <c r="X142" t="str">
        <f>IFERROR(IF(INDEX(Spring!$1:$1048576,MATCH(All!$A142,Spring!$A:$A,FALSE),MATCH(All!X$1,Spring!$1:$1,FALSE))="","",INDEX(Spring!$1:$1048576,MATCH(All!$A142,Spring!$A:$A,FALSE),MATCH(All!X$1,Spring!$1:$1,FALSE))),"")</f>
        <v/>
      </c>
      <c r="Y142" t="str">
        <f>IFERROR(IF(INDEX(Spring!$1:$1048576,MATCH(All!$A142,Spring!$A:$A,FALSE),MATCH(All!Y$1,Spring!$1:$1,FALSE))="","",INDEX(Spring!$1:$1048576,MATCH(All!$A142,Spring!$A:$A,FALSE),MATCH(All!Y$1,Spring!$1:$1,FALSE))),"")</f>
        <v/>
      </c>
      <c r="Z142" t="str">
        <f>IFERROR(IF(INDEX(Spring!$1:$1048576,MATCH(All!$A142,Spring!$A:$A,FALSE),MATCH(All!Z$1,Spring!$1:$1,FALSE))="","",INDEX(Spring!$1:$1048576,MATCH(All!$A142,Spring!$A:$A,FALSE),MATCH(All!Z$1,Spring!$1:$1,FALSE))),"")</f>
        <v/>
      </c>
      <c r="AA142" t="str">
        <f>IFERROR(IF(INDEX(Spring!$1:$1048576,MATCH(All!$A142,Spring!$A:$A,FALSE),MATCH(All!AA$1,Spring!$1:$1,FALSE))="","",INDEX(Spring!$1:$1048576,MATCH(All!$A142,Spring!$A:$A,FALSE),MATCH(All!AA$1,Spring!$1:$1,FALSE))),"")</f>
        <v/>
      </c>
      <c r="AB142" t="str">
        <f>IFERROR(IF(INDEX(Spring!$1:$1048576,MATCH(All!$A142,Spring!$A:$A,FALSE),MATCH(All!AB$1,Spring!$1:$1,FALSE))="","",INDEX(Spring!$1:$1048576,MATCH(All!$A142,Spring!$A:$A,FALSE),MATCH(All!AB$1,Spring!$1:$1,FALSE))),"")</f>
        <v>1A</v>
      </c>
      <c r="AC142" t="str">
        <f>IFERROR(IF(INDEX(Spring!$1:$1048576,MATCH(All!$A142,Spring!$A:$A,FALSE),MATCH(All!AC$1,Spring!$1:$1,FALSE))="","",INDEX(Spring!$1:$1048576,MATCH(All!$A142,Spring!$A:$A,FALSE),MATCH(All!AC$1,Spring!$1:$1,FALSE))),"")</f>
        <v>1A</v>
      </c>
      <c r="AD142" t="str">
        <f>IFERROR(VLOOKUP(A142,'Flag Football'!A:A,1,FALSE),"")</f>
        <v/>
      </c>
      <c r="AE142" t="str">
        <f t="shared" si="2"/>
        <v/>
      </c>
    </row>
    <row r="143" spans="1:31" ht="15.75" thickBot="1" x14ac:dyDescent="0.3">
      <c r="A143" s="18" t="s">
        <v>176</v>
      </c>
      <c r="B143" s="38" t="str">
        <f>IFERROR(VLOOKUP(A143,'Public v Private'!A:G,3,FALSE),"")</f>
        <v>no</v>
      </c>
      <c r="C143" s="38">
        <f>IFERROR(VLOOKUP(A143,'Public v Private'!A:G,4,FALSE),"")</f>
        <v>0</v>
      </c>
      <c r="D143" s="38">
        <f>IFERROR(VLOOKUP(A143,'Public v Private'!A:G,5,FALSE),"")</f>
        <v>0</v>
      </c>
      <c r="E143" s="38"/>
      <c r="F143" s="40" t="str">
        <f>IFERROR(INDEX(Fall!$1:$1048576,MATCH(All!$A143,Fall!$A:$A,FALSE),MATCH(All!F$1,Fall!$1:$1,FALSE)),"N/A")</f>
        <v>282.00 (465.30)</v>
      </c>
      <c r="G143" t="str">
        <f>IFERROR(IF(INDEX(Fall!$1:$1048576,MATCH(All!$A143,Fall!$A:$A,FALSE),MATCH(All!G$1,Fall!$1:$1,FALSE))="","",INDEX(Fall!$1:$1048576,MATCH(All!$A143,Fall!$A:$A,FALSE),MATCH(All!G$1,Fall!$1:$1,FALSE))),"")</f>
        <v/>
      </c>
      <c r="H143" t="str">
        <f>IFERROR(IF(INDEX(Fall!$1:$1048576,MATCH(All!$A143,Fall!$A:$A,FALSE),MATCH(All!H$1,Fall!$1:$1,FALSE))="","",INDEX(Fall!$1:$1048576,MATCH(All!$A143,Fall!$A:$A,FALSE),MATCH(All!H$1,Fall!$1:$1,FALSE))),"")</f>
        <v/>
      </c>
      <c r="I143" t="str">
        <f>IFERROR(IF(INDEX(Fall!$1:$1048576,MATCH(All!$A143,Fall!$A:$A,FALSE),MATCH(All!I$1,Fall!$1:$1,FALSE))="","",INDEX(Fall!$1:$1048576,MATCH(All!$A143,Fall!$A:$A,FALSE),MATCH(All!I$1,Fall!$1:$1,FALSE))),"")</f>
        <v/>
      </c>
      <c r="J143" t="str">
        <f>IFERROR(IF(INDEX(Fall!$1:$1048576,MATCH(All!$A143,Fall!$A:$A,FALSE),MATCH(All!J$1,Fall!$1:$1,FALSE))="","",INDEX(Fall!$1:$1048576,MATCH(All!$A143,Fall!$A:$A,FALSE),MATCH(All!J$1,Fall!$1:$1,FALSE))),"")</f>
        <v/>
      </c>
      <c r="K143" t="str">
        <f>IFERROR(IF(INDEX(Fall!$1:$1048576,MATCH(All!$A143,Fall!$A:$A,FALSE),MATCH(All!K$1,Fall!$1:$1,FALSE))="","",INDEX(Fall!$1:$1048576,MATCH(All!$A143,Fall!$A:$A,FALSE),MATCH(All!K$1,Fall!$1:$1,FALSE))),"")</f>
        <v/>
      </c>
      <c r="L143" t="str">
        <f>IFERROR(IF(INDEX(Fall!$1:$1048576,MATCH(All!$A143,Fall!$A:$A,FALSE),MATCH(All!L$1,Fall!$1:$1,FALSE))="","",INDEX(Fall!$1:$1048576,MATCH(All!$A143,Fall!$A:$A,FALSE),MATCH(All!L$1,Fall!$1:$1,FALSE))),"")</f>
        <v/>
      </c>
      <c r="M143" t="str">
        <f>IFERROR(IF(INDEX(Fall!$1:$1048576,MATCH(All!$A143,Fall!$A:$A,FALSE),MATCH(All!M$1,Fall!$1:$1,FALSE))="","",INDEX(Fall!$1:$1048576,MATCH(All!$A143,Fall!$A:$A,FALSE),MATCH(All!M$1,Fall!$1:$1,FALSE))),"")</f>
        <v>1A</v>
      </c>
      <c r="O143" t="str">
        <f>IFERROR(IF(INDEX(Winter!$1:$1048576,MATCH(All!$A143,Winter!$A:$A,FALSE),MATCH(All!O$1,Winter!$1:$1,FALSE))="","",INDEX(Winter!$1:$1048576,MATCH(All!$A143,Winter!$A:$A,FALSE),MATCH(All!O$1,Winter!$1:$1,FALSE))),"")</f>
        <v>282.00 (465.30)</v>
      </c>
      <c r="P143" t="str">
        <f>IFERROR(IF(INDEX(Winter!$1:$1048576,MATCH(All!$A143,Winter!$A:$A,FALSE),MATCH(All!P$1,Winter!$1:$1,FALSE))="","",INDEX(Winter!$1:$1048576,MATCH(All!$A143,Winter!$A:$A,FALSE),MATCH(All!P$1,Winter!$1:$1,FALSE))),"")</f>
        <v>2A</v>
      </c>
      <c r="Q143" t="str">
        <f>IFERROR(IF(INDEX(Winter!$1:$1048576,MATCH(All!$A143,Winter!$A:$A,FALSE),MATCH(All!Q$1,Winter!$1:$1,FALSE))="","",INDEX(Winter!$1:$1048576,MATCH(All!$A143,Winter!$A:$A,FALSE),MATCH(All!Q$1,Winter!$1:$1,FALSE))),"")</f>
        <v>2A</v>
      </c>
      <c r="R143" t="str">
        <f>IFERROR(IF(INDEX(Winter!$1:$1048576,MATCH(All!$A143,Winter!$A:$A,FALSE),MATCH(All!R$1,Winter!$1:$1,FALSE))="","",INDEX(Winter!$1:$1048576,MATCH(All!$A143,Winter!$A:$A,FALSE),MATCH(All!R$1,Winter!$1:$1,FALSE))),"")</f>
        <v/>
      </c>
      <c r="S143" t="str">
        <f>IFERROR(IF(INDEX(Winter!$1:$1048576,MATCH(All!$A143,Winter!$A:$A,FALSE),MATCH(All!S$1,Winter!$1:$1,FALSE))="","",INDEX(Winter!$1:$1048576,MATCH(All!$A143,Winter!$A:$A,FALSE),MATCH(All!S$1,Winter!$1:$1,FALSE))),"")</f>
        <v/>
      </c>
      <c r="T143" t="str">
        <f>IFERROR(IF(INDEX(Winter!$1:$1048576,MATCH(All!$A143,Winter!$A:$A,FALSE),MATCH(All!T$1,Winter!$1:$1,FALSE))="","",INDEX(Winter!$1:$1048576,MATCH(All!$A143,Winter!$A:$A,FALSE),MATCH(All!T$1,Winter!$1:$1,FALSE))),"")</f>
        <v/>
      </c>
      <c r="U143" t="str">
        <f>IFERROR(IF(INDEX(Winter!$1:$1048576,MATCH(All!$A143,Winter!$A:$A,FALSE),MATCH(All!U$1,Winter!$1:$1,FALSE))="","",INDEX(Winter!$1:$1048576,MATCH(All!$A143,Winter!$A:$A,FALSE),MATCH(All!U$1,Winter!$1:$1,FALSE))),"")</f>
        <v>3A</v>
      </c>
      <c r="W143" t="str">
        <f>IFERROR(IF(INDEX(Spring!$1:$1048576,MATCH(All!$A143,Spring!$A:$A,FALSE),MATCH(All!W$1,Spring!$1:$1,FALSE))="","",INDEX(Spring!$1:$1048576,MATCH(All!$A143,Spring!$A:$A,FALSE),MATCH(All!W$1,Spring!$1:$1,FALSE))),"")</f>
        <v>282.00 (465.30)</v>
      </c>
      <c r="X143" t="str">
        <f>IFERROR(IF(INDEX(Spring!$1:$1048576,MATCH(All!$A143,Spring!$A:$A,FALSE),MATCH(All!X$1,Spring!$1:$1,FALSE))="","",INDEX(Spring!$1:$1048576,MATCH(All!$A143,Spring!$A:$A,FALSE),MATCH(All!X$1,Spring!$1:$1,FALSE))),"")</f>
        <v/>
      </c>
      <c r="Y143" t="str">
        <f>IFERROR(IF(INDEX(Spring!$1:$1048576,MATCH(All!$A143,Spring!$A:$A,FALSE),MATCH(All!Y$1,Spring!$1:$1,FALSE))="","",INDEX(Spring!$1:$1048576,MATCH(All!$A143,Spring!$A:$A,FALSE),MATCH(All!Y$1,Spring!$1:$1,FALSE))),"")</f>
        <v/>
      </c>
      <c r="Z143" t="str">
        <f>IFERROR(IF(INDEX(Spring!$1:$1048576,MATCH(All!$A143,Spring!$A:$A,FALSE),MATCH(All!Z$1,Spring!$1:$1,FALSE))="","",INDEX(Spring!$1:$1048576,MATCH(All!$A143,Spring!$A:$A,FALSE),MATCH(All!Z$1,Spring!$1:$1,FALSE))),"")</f>
        <v/>
      </c>
      <c r="AA143" t="str">
        <f>IFERROR(IF(INDEX(Spring!$1:$1048576,MATCH(All!$A143,Spring!$A:$A,FALSE),MATCH(All!AA$1,Spring!$1:$1,FALSE))="","",INDEX(Spring!$1:$1048576,MATCH(All!$A143,Spring!$A:$A,FALSE),MATCH(All!AA$1,Spring!$1:$1,FALSE))),"")</f>
        <v/>
      </c>
      <c r="AB143" t="str">
        <f>IFERROR(IF(INDEX(Spring!$1:$1048576,MATCH(All!$A143,Spring!$A:$A,FALSE),MATCH(All!AB$1,Spring!$1:$1,FALSE))="","",INDEX(Spring!$1:$1048576,MATCH(All!$A143,Spring!$A:$A,FALSE),MATCH(All!AB$1,Spring!$1:$1,FALSE))),"")</f>
        <v>2A</v>
      </c>
      <c r="AC143" t="str">
        <f>IFERROR(IF(INDEX(Spring!$1:$1048576,MATCH(All!$A143,Spring!$A:$A,FALSE),MATCH(All!AC$1,Spring!$1:$1,FALSE))="","",INDEX(Spring!$1:$1048576,MATCH(All!$A143,Spring!$A:$A,FALSE),MATCH(All!AC$1,Spring!$1:$1,FALSE))),"")</f>
        <v>2A</v>
      </c>
      <c r="AD143" t="str">
        <f>IFERROR(VLOOKUP(A143,'Flag Football'!A:A,1,FALSE),"")</f>
        <v>Chicago (Crane Medical Prep)</v>
      </c>
      <c r="AE143" t="str">
        <f t="shared" si="2"/>
        <v>1A</v>
      </c>
    </row>
    <row r="144" spans="1:31" ht="15.75" thickBot="1" x14ac:dyDescent="0.3">
      <c r="A144" s="20" t="s">
        <v>178</v>
      </c>
      <c r="B144" s="38" t="str">
        <f>IFERROR(VLOOKUP(A144,'Public v Private'!A:G,3,FALSE),"")</f>
        <v>private</v>
      </c>
      <c r="C144" s="38">
        <f>IFERROR(VLOOKUP(A144,'Public v Private'!A:G,4,FALSE),"")</f>
        <v>1</v>
      </c>
      <c r="D144" s="38">
        <f>IFERROR(VLOOKUP(A144,'Public v Private'!A:G,5,FALSE),"")</f>
        <v>2</v>
      </c>
      <c r="E144" s="38"/>
      <c r="F144" s="40" t="str">
        <f>IFERROR(INDEX(Fall!$1:$1048576,MATCH(All!$A144,Fall!$A:$A,FALSE),MATCH(All!F$1,Fall!$1:$1,FALSE)),"N/A")</f>
        <v>527.00 (869.55)</v>
      </c>
      <c r="G144" t="str">
        <f>IFERROR(IF(INDEX(Fall!$1:$1048576,MATCH(All!$A144,Fall!$A:$A,FALSE),MATCH(All!G$1,Fall!$1:$1,FALSE))="","",INDEX(Fall!$1:$1048576,MATCH(All!$A144,Fall!$A:$A,FALSE),MATCH(All!G$1,Fall!$1:$1,FALSE))),"")</f>
        <v>1A</v>
      </c>
      <c r="H144" t="str">
        <f>IFERROR(IF(INDEX(Fall!$1:$1048576,MATCH(All!$A144,Fall!$A:$A,FALSE),MATCH(All!H$1,Fall!$1:$1,FALSE))="","",INDEX(Fall!$1:$1048576,MATCH(All!$A144,Fall!$A:$A,FALSE),MATCH(All!H$1,Fall!$1:$1,FALSE))),"")</f>
        <v>1A</v>
      </c>
      <c r="I144" t="str">
        <f>IFERROR(IF(INDEX(Fall!$1:$1048576,MATCH(All!$A144,Fall!$A:$A,FALSE),MATCH(All!I$1,Fall!$1:$1,FALSE))="","",INDEX(Fall!$1:$1048576,MATCH(All!$A144,Fall!$A:$A,FALSE),MATCH(All!I$1,Fall!$1:$1,FALSE))),"")</f>
        <v/>
      </c>
      <c r="J144" t="str">
        <f>IFERROR(IF(INDEX(Fall!$1:$1048576,MATCH(All!$A144,Fall!$A:$A,FALSE),MATCH(All!J$1,Fall!$1:$1,FALSE))="","",INDEX(Fall!$1:$1048576,MATCH(All!$A144,Fall!$A:$A,FALSE),MATCH(All!J$1,Fall!$1:$1,FALSE))),"")</f>
        <v/>
      </c>
      <c r="K144" t="str">
        <f>IFERROR(IF(INDEX(Fall!$1:$1048576,MATCH(All!$A144,Fall!$A:$A,FALSE),MATCH(All!K$1,Fall!$1:$1,FALSE))="","",INDEX(Fall!$1:$1048576,MATCH(All!$A144,Fall!$A:$A,FALSE),MATCH(All!K$1,Fall!$1:$1,FALSE))),"")</f>
        <v>2A</v>
      </c>
      <c r="L144" t="str">
        <f>IFERROR(IF(INDEX(Fall!$1:$1048576,MATCH(All!$A144,Fall!$A:$A,FALSE),MATCH(All!L$1,Fall!$1:$1,FALSE))="","",INDEX(Fall!$1:$1048576,MATCH(All!$A144,Fall!$A:$A,FALSE),MATCH(All!L$1,Fall!$1:$1,FALSE))),"")</f>
        <v/>
      </c>
      <c r="M144" t="str">
        <f>IFERROR(IF(INDEX(Fall!$1:$1048576,MATCH(All!$A144,Fall!$A:$A,FALSE),MATCH(All!M$1,Fall!$1:$1,FALSE))="","",INDEX(Fall!$1:$1048576,MATCH(All!$A144,Fall!$A:$A,FALSE),MATCH(All!M$1,Fall!$1:$1,FALSE))),"")</f>
        <v>3A</v>
      </c>
      <c r="O144" t="str">
        <f>IFERROR(IF(INDEX(Winter!$1:$1048576,MATCH(All!$A144,Winter!$A:$A,FALSE),MATCH(All!O$1,Winter!$1:$1,FALSE))="","",INDEX(Winter!$1:$1048576,MATCH(All!$A144,Winter!$A:$A,FALSE),MATCH(All!O$1,Winter!$1:$1,FALSE))),"")</f>
        <v>527.00 (869.55)</v>
      </c>
      <c r="P144" t="str">
        <f>IFERROR(IF(INDEX(Winter!$1:$1048576,MATCH(All!$A144,Winter!$A:$A,FALSE),MATCH(All!P$1,Winter!$1:$1,FALSE))="","",INDEX(Winter!$1:$1048576,MATCH(All!$A144,Winter!$A:$A,FALSE),MATCH(All!P$1,Winter!$1:$1,FALSE))),"")</f>
        <v>2A</v>
      </c>
      <c r="Q144" t="str">
        <f>IFERROR(IF(INDEX(Winter!$1:$1048576,MATCH(All!$A144,Winter!$A:$A,FALSE),MATCH(All!Q$1,Winter!$1:$1,FALSE))="","",INDEX(Winter!$1:$1048576,MATCH(All!$A144,Winter!$A:$A,FALSE),MATCH(All!Q$1,Winter!$1:$1,FALSE))),"")</f>
        <v>2A</v>
      </c>
      <c r="R144" t="str">
        <f>IFERROR(IF(INDEX(Winter!$1:$1048576,MATCH(All!$A144,Winter!$A:$A,FALSE),MATCH(All!R$1,Winter!$1:$1,FALSE))="","",INDEX(Winter!$1:$1048576,MATCH(All!$A144,Winter!$A:$A,FALSE),MATCH(All!R$1,Winter!$1:$1,FALSE))),"")</f>
        <v>1A</v>
      </c>
      <c r="S144" t="str">
        <f>IFERROR(IF(INDEX(Winter!$1:$1048576,MATCH(All!$A144,Winter!$A:$A,FALSE),MATCH(All!S$1,Winter!$1:$1,FALSE))="","",INDEX(Winter!$1:$1048576,MATCH(All!$A144,Winter!$A:$A,FALSE),MATCH(All!S$1,Winter!$1:$1,FALSE))),"")</f>
        <v/>
      </c>
      <c r="T144" t="str">
        <f>IFERROR(IF(INDEX(Winter!$1:$1048576,MATCH(All!$A144,Winter!$A:$A,FALSE),MATCH(All!T$1,Winter!$1:$1,FALSE))="","",INDEX(Winter!$1:$1048576,MATCH(All!$A144,Winter!$A:$A,FALSE),MATCH(All!T$1,Winter!$1:$1,FALSE))),"")</f>
        <v/>
      </c>
      <c r="U144" t="str">
        <f>IFERROR(IF(INDEX(Winter!$1:$1048576,MATCH(All!$A144,Winter!$A:$A,FALSE),MATCH(All!U$1,Winter!$1:$1,FALSE))="","",INDEX(Winter!$1:$1048576,MATCH(All!$A144,Winter!$A:$A,FALSE),MATCH(All!U$1,Winter!$1:$1,FALSE))),"")</f>
        <v/>
      </c>
      <c r="W144" t="str">
        <f>IFERROR(IF(INDEX(Spring!$1:$1048576,MATCH(All!$A144,Spring!$A:$A,FALSE),MATCH(All!W$1,Spring!$1:$1,FALSE))="","",INDEX(Spring!$1:$1048576,MATCH(All!$A144,Spring!$A:$A,FALSE),MATCH(All!W$1,Spring!$1:$1,FALSE))),"")</f>
        <v>527.00 (869.55)</v>
      </c>
      <c r="X144" t="str">
        <f>IFERROR(IF(INDEX(Spring!$1:$1048576,MATCH(All!$A144,Spring!$A:$A,FALSE),MATCH(All!X$1,Spring!$1:$1,FALSE))="","",INDEX(Spring!$1:$1048576,MATCH(All!$A144,Spring!$A:$A,FALSE),MATCH(All!X$1,Spring!$1:$1,FALSE))),"")</f>
        <v>2A</v>
      </c>
      <c r="Y144" t="str">
        <f>IFERROR(IF(INDEX(Spring!$1:$1048576,MATCH(All!$A144,Spring!$A:$A,FALSE),MATCH(All!Y$1,Spring!$1:$1,FALSE))="","",INDEX(Spring!$1:$1048576,MATCH(All!$A144,Spring!$A:$A,FALSE),MATCH(All!Y$1,Spring!$1:$1,FALSE))),"")</f>
        <v>2A</v>
      </c>
      <c r="Z144" t="str">
        <f>IFERROR(IF(INDEX(Spring!$1:$1048576,MATCH(All!$A144,Spring!$A:$A,FALSE),MATCH(All!Z$1,Spring!$1:$1,FALSE))="","",INDEX(Spring!$1:$1048576,MATCH(All!$A144,Spring!$A:$A,FALSE),MATCH(All!Z$1,Spring!$1:$1,FALSE))),"")</f>
        <v>2A</v>
      </c>
      <c r="AA144" t="str">
        <f>IFERROR(IF(INDEX(Spring!$1:$1048576,MATCH(All!$A144,Spring!$A:$A,FALSE),MATCH(All!AA$1,Spring!$1:$1,FALSE))="","",INDEX(Spring!$1:$1048576,MATCH(All!$A144,Spring!$A:$A,FALSE),MATCH(All!AA$1,Spring!$1:$1,FALSE))),"")</f>
        <v/>
      </c>
      <c r="AB144" t="str">
        <f>IFERROR(IF(INDEX(Spring!$1:$1048576,MATCH(All!$A144,Spring!$A:$A,FALSE),MATCH(All!AB$1,Spring!$1:$1,FALSE))="","",INDEX(Spring!$1:$1048576,MATCH(All!$A144,Spring!$A:$A,FALSE),MATCH(All!AB$1,Spring!$1:$1,FALSE))),"")</f>
        <v/>
      </c>
      <c r="AC144" t="str">
        <f>IFERROR(IF(INDEX(Spring!$1:$1048576,MATCH(All!$A144,Spring!$A:$A,FALSE),MATCH(All!AC$1,Spring!$1:$1,FALSE))="","",INDEX(Spring!$1:$1048576,MATCH(All!$A144,Spring!$A:$A,FALSE),MATCH(All!AC$1,Spring!$1:$1,FALSE))),"")</f>
        <v/>
      </c>
      <c r="AD144" t="str">
        <f>IFERROR(VLOOKUP(A144,'Flag Football'!A:A,1,FALSE),"")</f>
        <v/>
      </c>
      <c r="AE144" t="str">
        <f t="shared" si="2"/>
        <v/>
      </c>
    </row>
    <row r="145" spans="1:31" ht="15.75" thickBot="1" x14ac:dyDescent="0.3">
      <c r="A145" s="18" t="s">
        <v>180</v>
      </c>
      <c r="B145" s="38" t="str">
        <f>IFERROR(VLOOKUP(A145,'Public v Private'!A:G,3,FALSE),"")</f>
        <v>no</v>
      </c>
      <c r="C145" s="38">
        <f>IFERROR(VLOOKUP(A145,'Public v Private'!A:G,4,FALSE),"")</f>
        <v>0</v>
      </c>
      <c r="D145" s="38">
        <f>IFERROR(VLOOKUP(A145,'Public v Private'!A:G,5,FALSE),"")</f>
        <v>0</v>
      </c>
      <c r="E145" s="38"/>
      <c r="F145" s="40" t="str">
        <f>IFERROR(INDEX(Fall!$1:$1048576,MATCH(All!$A145,Fall!$A:$A,FALSE),MATCH(All!F$1,Fall!$1:$1,FALSE)),"N/A")</f>
        <v>2,873.00 (4,740.45)</v>
      </c>
      <c r="G145" t="str">
        <f>IFERROR(IF(INDEX(Fall!$1:$1048576,MATCH(All!$A145,Fall!$A:$A,FALSE),MATCH(All!G$1,Fall!$1:$1,FALSE))="","",INDEX(Fall!$1:$1048576,MATCH(All!$A145,Fall!$A:$A,FALSE),MATCH(All!G$1,Fall!$1:$1,FALSE))),"")</f>
        <v/>
      </c>
      <c r="H145" t="str">
        <f>IFERROR(IF(INDEX(Fall!$1:$1048576,MATCH(All!$A145,Fall!$A:$A,FALSE),MATCH(All!H$1,Fall!$1:$1,FALSE))="","",INDEX(Fall!$1:$1048576,MATCH(All!$A145,Fall!$A:$A,FALSE),MATCH(All!H$1,Fall!$1:$1,FALSE))),"")</f>
        <v/>
      </c>
      <c r="I145" t="str">
        <f>IFERROR(IF(INDEX(Fall!$1:$1048576,MATCH(All!$A145,Fall!$A:$A,FALSE),MATCH(All!I$1,Fall!$1:$1,FALSE))="","",INDEX(Fall!$1:$1048576,MATCH(All!$A145,Fall!$A:$A,FALSE),MATCH(All!I$1,Fall!$1:$1,FALSE))),"")</f>
        <v/>
      </c>
      <c r="J145" t="str">
        <f>IFERROR(IF(INDEX(Fall!$1:$1048576,MATCH(All!$A145,Fall!$A:$A,FALSE),MATCH(All!J$1,Fall!$1:$1,FALSE))="","",INDEX(Fall!$1:$1048576,MATCH(All!$A145,Fall!$A:$A,FALSE),MATCH(All!J$1,Fall!$1:$1,FALSE))),"")</f>
        <v/>
      </c>
      <c r="K145" t="str">
        <f>IFERROR(IF(INDEX(Fall!$1:$1048576,MATCH(All!$A145,Fall!$A:$A,FALSE),MATCH(All!K$1,Fall!$1:$1,FALSE))="","",INDEX(Fall!$1:$1048576,MATCH(All!$A145,Fall!$A:$A,FALSE),MATCH(All!K$1,Fall!$1:$1,FALSE))),"")</f>
        <v>3A</v>
      </c>
      <c r="L145" t="str">
        <f>IFERROR(IF(INDEX(Fall!$1:$1048576,MATCH(All!$A145,Fall!$A:$A,FALSE),MATCH(All!L$1,Fall!$1:$1,FALSE))="","",INDEX(Fall!$1:$1048576,MATCH(All!$A145,Fall!$A:$A,FALSE),MATCH(All!L$1,Fall!$1:$1,FALSE))),"")</f>
        <v/>
      </c>
      <c r="M145" t="str">
        <f>IFERROR(IF(INDEX(Fall!$1:$1048576,MATCH(All!$A145,Fall!$A:$A,FALSE),MATCH(All!M$1,Fall!$1:$1,FALSE))="","",INDEX(Fall!$1:$1048576,MATCH(All!$A145,Fall!$A:$A,FALSE),MATCH(All!M$1,Fall!$1:$1,FALSE))),"")</f>
        <v>4A</v>
      </c>
      <c r="O145" t="str">
        <f>IFERROR(IF(INDEX(Winter!$1:$1048576,MATCH(All!$A145,Winter!$A:$A,FALSE),MATCH(All!O$1,Winter!$1:$1,FALSE))="","",INDEX(Winter!$1:$1048576,MATCH(All!$A145,Winter!$A:$A,FALSE),MATCH(All!O$1,Winter!$1:$1,FALSE))),"")</f>
        <v>2,873.00 (4,740.45)</v>
      </c>
      <c r="P145" t="str">
        <f>IFERROR(IF(INDEX(Winter!$1:$1048576,MATCH(All!$A145,Winter!$A:$A,FALSE),MATCH(All!P$1,Winter!$1:$1,FALSE))="","",INDEX(Winter!$1:$1048576,MATCH(All!$A145,Winter!$A:$A,FALSE),MATCH(All!P$1,Winter!$1:$1,FALSE))),"")</f>
        <v>4A</v>
      </c>
      <c r="Q145" t="str">
        <f>IFERROR(IF(INDEX(Winter!$1:$1048576,MATCH(All!$A145,Winter!$A:$A,FALSE),MATCH(All!Q$1,Winter!$1:$1,FALSE))="","",INDEX(Winter!$1:$1048576,MATCH(All!$A145,Winter!$A:$A,FALSE),MATCH(All!Q$1,Winter!$1:$1,FALSE))),"")</f>
        <v>4A</v>
      </c>
      <c r="R145" t="str">
        <f>IFERROR(IF(INDEX(Winter!$1:$1048576,MATCH(All!$A145,Winter!$A:$A,FALSE),MATCH(All!R$1,Winter!$1:$1,FALSE))="","",INDEX(Winter!$1:$1048576,MATCH(All!$A145,Winter!$A:$A,FALSE),MATCH(All!R$1,Winter!$1:$1,FALSE))),"")</f>
        <v>3A</v>
      </c>
      <c r="S145" t="str">
        <f>IFERROR(IF(INDEX(Winter!$1:$1048576,MATCH(All!$A145,Winter!$A:$A,FALSE),MATCH(All!S$1,Winter!$1:$1,FALSE))="","",INDEX(Winter!$1:$1048576,MATCH(All!$A145,Winter!$A:$A,FALSE),MATCH(All!S$1,Winter!$1:$1,FALSE))),"")</f>
        <v/>
      </c>
      <c r="T145" t="str">
        <f>IFERROR(IF(INDEX(Winter!$1:$1048576,MATCH(All!$A145,Winter!$A:$A,FALSE),MATCH(All!T$1,Winter!$1:$1,FALSE))="","",INDEX(Winter!$1:$1048576,MATCH(All!$A145,Winter!$A:$A,FALSE),MATCH(All!T$1,Winter!$1:$1,FALSE))),"")</f>
        <v/>
      </c>
      <c r="U145" t="str">
        <f>IFERROR(IF(INDEX(Winter!$1:$1048576,MATCH(All!$A145,Winter!$A:$A,FALSE),MATCH(All!U$1,Winter!$1:$1,FALSE))="","",INDEX(Winter!$1:$1048576,MATCH(All!$A145,Winter!$A:$A,FALSE),MATCH(All!U$1,Winter!$1:$1,FALSE))),"")</f>
        <v>3A</v>
      </c>
      <c r="W145" t="str">
        <f>IFERROR(IF(INDEX(Spring!$1:$1048576,MATCH(All!$A145,Spring!$A:$A,FALSE),MATCH(All!W$1,Spring!$1:$1,FALSE))="","",INDEX(Spring!$1:$1048576,MATCH(All!$A145,Spring!$A:$A,FALSE),MATCH(All!W$1,Spring!$1:$1,FALSE))),"")</f>
        <v>2,873.00 (4,740.45)</v>
      </c>
      <c r="X145" t="str">
        <f>IFERROR(IF(INDEX(Spring!$1:$1048576,MATCH(All!$A145,Spring!$A:$A,FALSE),MATCH(All!X$1,Spring!$1:$1,FALSE))="","",INDEX(Spring!$1:$1048576,MATCH(All!$A145,Spring!$A:$A,FALSE),MATCH(All!X$1,Spring!$1:$1,FALSE))),"")</f>
        <v/>
      </c>
      <c r="Y145" t="str">
        <f>IFERROR(IF(INDEX(Spring!$1:$1048576,MATCH(All!$A145,Spring!$A:$A,FALSE),MATCH(All!Y$1,Spring!$1:$1,FALSE))="","",INDEX(Spring!$1:$1048576,MATCH(All!$A145,Spring!$A:$A,FALSE),MATCH(All!Y$1,Spring!$1:$1,FALSE))),"")</f>
        <v/>
      </c>
      <c r="Z145" t="str">
        <f>IFERROR(IF(INDEX(Spring!$1:$1048576,MATCH(All!$A145,Spring!$A:$A,FALSE),MATCH(All!Z$1,Spring!$1:$1,FALSE))="","",INDEX(Spring!$1:$1048576,MATCH(All!$A145,Spring!$A:$A,FALSE),MATCH(All!Z$1,Spring!$1:$1,FALSE))),"")</f>
        <v/>
      </c>
      <c r="AA145" t="str">
        <f>IFERROR(IF(INDEX(Spring!$1:$1048576,MATCH(All!$A145,Spring!$A:$A,FALSE),MATCH(All!AA$1,Spring!$1:$1,FALSE))="","",INDEX(Spring!$1:$1048576,MATCH(All!$A145,Spring!$A:$A,FALSE),MATCH(All!AA$1,Spring!$1:$1,FALSE))),"")</f>
        <v/>
      </c>
      <c r="AB145" t="str">
        <f>IFERROR(IF(INDEX(Spring!$1:$1048576,MATCH(All!$A145,Spring!$A:$A,FALSE),MATCH(All!AB$1,Spring!$1:$1,FALSE))="","",INDEX(Spring!$1:$1048576,MATCH(All!$A145,Spring!$A:$A,FALSE),MATCH(All!AB$1,Spring!$1:$1,FALSE))),"")</f>
        <v>3A</v>
      </c>
      <c r="AC145" t="str">
        <f>IFERROR(IF(INDEX(Spring!$1:$1048576,MATCH(All!$A145,Spring!$A:$A,FALSE),MATCH(All!AC$1,Spring!$1:$1,FALSE))="","",INDEX(Spring!$1:$1048576,MATCH(All!$A145,Spring!$A:$A,FALSE),MATCH(All!AC$1,Spring!$1:$1,FALSE))),"")</f>
        <v>3A</v>
      </c>
      <c r="AD145" t="str">
        <f>IFERROR(VLOOKUP(A145,'Flag Football'!A:A,1,FALSE),"")</f>
        <v>Chicago (Curie)</v>
      </c>
      <c r="AE145" t="str">
        <f t="shared" si="2"/>
        <v>1A</v>
      </c>
    </row>
    <row r="146" spans="1:31" ht="15.75" thickBot="1" x14ac:dyDescent="0.3">
      <c r="A146" s="20" t="s">
        <v>917</v>
      </c>
      <c r="B146" s="38" t="str">
        <f>IFERROR(VLOOKUP(A146,'Public v Private'!A:G,3,FALSE),"")</f>
        <v>private</v>
      </c>
      <c r="C146" s="59">
        <v>1</v>
      </c>
      <c r="D146" s="59">
        <v>2</v>
      </c>
      <c r="E146" s="38"/>
      <c r="F146" s="40" t="str">
        <f>IFERROR(INDEX(Fall!$1:$1048576,MATCH(All!$A146,Fall!$A:$A,FALSE),MATCH(All!F$1,Fall!$1:$1,FALSE)),"N/A")</f>
        <v>45.00 (45.00)</v>
      </c>
      <c r="G146" t="str">
        <f>IFERROR(IF(INDEX(Fall!$1:$1048576,MATCH(All!$A146,Fall!$A:$A,FALSE),MATCH(All!G$1,Fall!$1:$1,FALSE))="","",INDEX(Fall!$1:$1048576,MATCH(All!$A146,Fall!$A:$A,FALSE),MATCH(All!G$1,Fall!$1:$1,FALSE))),"")</f>
        <v/>
      </c>
      <c r="H146" t="str">
        <f>IFERROR(IF(INDEX(Fall!$1:$1048576,MATCH(All!$A146,Fall!$A:$A,FALSE),MATCH(All!H$1,Fall!$1:$1,FALSE))="","",INDEX(Fall!$1:$1048576,MATCH(All!$A146,Fall!$A:$A,FALSE),MATCH(All!H$1,Fall!$1:$1,FALSE))),"")</f>
        <v/>
      </c>
      <c r="I146" t="str">
        <f>IFERROR(IF(INDEX(Fall!$1:$1048576,MATCH(All!$A146,Fall!$A:$A,FALSE),MATCH(All!I$1,Fall!$1:$1,FALSE))="","",INDEX(Fall!$1:$1048576,MATCH(All!$A146,Fall!$A:$A,FALSE),MATCH(All!I$1,Fall!$1:$1,FALSE))),"")</f>
        <v/>
      </c>
      <c r="J146" t="str">
        <f>IFERROR(IF(INDEX(Fall!$1:$1048576,MATCH(All!$A146,Fall!$A:$A,FALSE),MATCH(All!J$1,Fall!$1:$1,FALSE))="","",INDEX(Fall!$1:$1048576,MATCH(All!$A146,Fall!$A:$A,FALSE),MATCH(All!J$1,Fall!$1:$1,FALSE))),"")</f>
        <v/>
      </c>
      <c r="K146" t="str">
        <f>IFERROR(IF(INDEX(Fall!$1:$1048576,MATCH(All!$A146,Fall!$A:$A,FALSE),MATCH(All!K$1,Fall!$1:$1,FALSE))="","",INDEX(Fall!$1:$1048576,MATCH(All!$A146,Fall!$A:$A,FALSE),MATCH(All!K$1,Fall!$1:$1,FALSE))),"")</f>
        <v>1A</v>
      </c>
      <c r="L146" t="str">
        <f>IFERROR(IF(INDEX(Fall!$1:$1048576,MATCH(All!$A146,Fall!$A:$A,FALSE),MATCH(All!L$1,Fall!$1:$1,FALSE))="","",INDEX(Fall!$1:$1048576,MATCH(All!$A146,Fall!$A:$A,FALSE),MATCH(All!L$1,Fall!$1:$1,FALSE))),"")</f>
        <v/>
      </c>
      <c r="M146" t="str">
        <f>IFERROR(IF(INDEX(Fall!$1:$1048576,MATCH(All!$A146,Fall!$A:$A,FALSE),MATCH(All!M$1,Fall!$1:$1,FALSE))="","",INDEX(Fall!$1:$1048576,MATCH(All!$A146,Fall!$A:$A,FALSE),MATCH(All!M$1,Fall!$1:$1,FALSE))),"")</f>
        <v/>
      </c>
      <c r="O146" t="str">
        <f>IFERROR(IF(INDEX(Winter!$1:$1048576,MATCH(All!$A146,Winter!$A:$A,FALSE),MATCH(All!O$1,Winter!$1:$1,FALSE))="","",INDEX(Winter!$1:$1048576,MATCH(All!$A146,Winter!$A:$A,FALSE),MATCH(All!O$1,Winter!$1:$1,FALSE))),"")</f>
        <v>45.00 (45.00)</v>
      </c>
      <c r="P146" t="str">
        <f>IFERROR(IF(INDEX(Winter!$1:$1048576,MATCH(All!$A146,Winter!$A:$A,FALSE),MATCH(All!P$1,Winter!$1:$1,FALSE))="","",INDEX(Winter!$1:$1048576,MATCH(All!$A146,Winter!$A:$A,FALSE),MATCH(All!P$1,Winter!$1:$1,FALSE))),"")</f>
        <v>1A</v>
      </c>
      <c r="Q146" t="str">
        <f>IFERROR(IF(INDEX(Winter!$1:$1048576,MATCH(All!$A146,Winter!$A:$A,FALSE),MATCH(All!Q$1,Winter!$1:$1,FALSE))="","",INDEX(Winter!$1:$1048576,MATCH(All!$A146,Winter!$A:$A,FALSE),MATCH(All!Q$1,Winter!$1:$1,FALSE))),"")</f>
        <v/>
      </c>
      <c r="R146" t="str">
        <f>IFERROR(IF(INDEX(Winter!$1:$1048576,MATCH(All!$A146,Winter!$A:$A,FALSE),MATCH(All!R$1,Winter!$1:$1,FALSE))="","",INDEX(Winter!$1:$1048576,MATCH(All!$A146,Winter!$A:$A,FALSE),MATCH(All!R$1,Winter!$1:$1,FALSE))),"")</f>
        <v/>
      </c>
      <c r="S146" t="str">
        <f>IFERROR(IF(INDEX(Winter!$1:$1048576,MATCH(All!$A146,Winter!$A:$A,FALSE),MATCH(All!S$1,Winter!$1:$1,FALSE))="","",INDEX(Winter!$1:$1048576,MATCH(All!$A146,Winter!$A:$A,FALSE),MATCH(All!S$1,Winter!$1:$1,FALSE))),"")</f>
        <v/>
      </c>
      <c r="T146" t="str">
        <f>IFERROR(IF(INDEX(Winter!$1:$1048576,MATCH(All!$A146,Winter!$A:$A,FALSE),MATCH(All!T$1,Winter!$1:$1,FALSE))="","",INDEX(Winter!$1:$1048576,MATCH(All!$A146,Winter!$A:$A,FALSE),MATCH(All!T$1,Winter!$1:$1,FALSE))),"")</f>
        <v/>
      </c>
      <c r="U146" t="str">
        <f>IFERROR(IF(INDEX(Winter!$1:$1048576,MATCH(All!$A146,Winter!$A:$A,FALSE),MATCH(All!U$1,Winter!$1:$1,FALSE))="","",INDEX(Winter!$1:$1048576,MATCH(All!$A146,Winter!$A:$A,FALSE),MATCH(All!U$1,Winter!$1:$1,FALSE))),"")</f>
        <v/>
      </c>
      <c r="W146" t="str">
        <f>IFERROR(IF(INDEX(Spring!$1:$1048576,MATCH(All!$A146,Spring!$A:$A,FALSE),MATCH(All!W$1,Spring!$1:$1,FALSE))="","",INDEX(Spring!$1:$1048576,MATCH(All!$A146,Spring!$A:$A,FALSE),MATCH(All!W$1,Spring!$1:$1,FALSE))),"")</f>
        <v/>
      </c>
      <c r="X146" t="str">
        <f>IFERROR(IF(INDEX(Spring!$1:$1048576,MATCH(All!$A146,Spring!$A:$A,FALSE),MATCH(All!X$1,Spring!$1:$1,FALSE))="","",INDEX(Spring!$1:$1048576,MATCH(All!$A146,Spring!$A:$A,FALSE),MATCH(All!X$1,Spring!$1:$1,FALSE))),"")</f>
        <v/>
      </c>
      <c r="Y146" t="str">
        <f>IFERROR(IF(INDEX(Spring!$1:$1048576,MATCH(All!$A146,Spring!$A:$A,FALSE),MATCH(All!Y$1,Spring!$1:$1,FALSE))="","",INDEX(Spring!$1:$1048576,MATCH(All!$A146,Spring!$A:$A,FALSE),MATCH(All!Y$1,Spring!$1:$1,FALSE))),"")</f>
        <v/>
      </c>
      <c r="Z146" t="str">
        <f>IFERROR(IF(INDEX(Spring!$1:$1048576,MATCH(All!$A146,Spring!$A:$A,FALSE),MATCH(All!Z$1,Spring!$1:$1,FALSE))="","",INDEX(Spring!$1:$1048576,MATCH(All!$A146,Spring!$A:$A,FALSE),MATCH(All!Z$1,Spring!$1:$1,FALSE))),"")</f>
        <v/>
      </c>
      <c r="AA146" t="str">
        <f>IFERROR(IF(INDEX(Spring!$1:$1048576,MATCH(All!$A146,Spring!$A:$A,FALSE),MATCH(All!AA$1,Spring!$1:$1,FALSE))="","",INDEX(Spring!$1:$1048576,MATCH(All!$A146,Spring!$A:$A,FALSE),MATCH(All!AA$1,Spring!$1:$1,FALSE))),"")</f>
        <v/>
      </c>
      <c r="AB146" t="str">
        <f>IFERROR(IF(INDEX(Spring!$1:$1048576,MATCH(All!$A146,Spring!$A:$A,FALSE),MATCH(All!AB$1,Spring!$1:$1,FALSE))="","",INDEX(Spring!$1:$1048576,MATCH(All!$A146,Spring!$A:$A,FALSE),MATCH(All!AB$1,Spring!$1:$1,FALSE))),"")</f>
        <v/>
      </c>
      <c r="AC146" t="str">
        <f>IFERROR(IF(INDEX(Spring!$1:$1048576,MATCH(All!$A146,Spring!$A:$A,FALSE),MATCH(All!AC$1,Spring!$1:$1,FALSE))="","",INDEX(Spring!$1:$1048576,MATCH(All!$A146,Spring!$A:$A,FALSE),MATCH(All!AC$1,Spring!$1:$1,FALSE))),"")</f>
        <v/>
      </c>
      <c r="AD146" t="str">
        <f>IFERROR(VLOOKUP(A146,'Flag Football'!A:A,1,FALSE),"")</f>
        <v/>
      </c>
      <c r="AE146" t="str">
        <f t="shared" si="2"/>
        <v/>
      </c>
    </row>
    <row r="147" spans="1:31" ht="15.75" thickBot="1" x14ac:dyDescent="0.3">
      <c r="A147" s="18" t="s">
        <v>182</v>
      </c>
      <c r="B147" s="38" t="str">
        <f>IFERROR(VLOOKUP(A147,'Public v Private'!A:G,3,FALSE),"")</f>
        <v>private</v>
      </c>
      <c r="C147" s="38">
        <f>IFERROR(VLOOKUP(A147,'Public v Private'!A:G,4,FALSE),"")</f>
        <v>1</v>
      </c>
      <c r="D147" s="38">
        <f>IFERROR(VLOOKUP(A147,'Public v Private'!A:G,5,FALSE),"")</f>
        <v>2</v>
      </c>
      <c r="E147" s="38"/>
      <c r="F147" s="40" t="str">
        <f>IFERROR(INDEX(Fall!$1:$1048576,MATCH(All!$A147,Fall!$A:$A,FALSE),MATCH(All!F$1,Fall!$1:$1,FALSE)),"N/A")</f>
        <v>740.00 (1,221.00)</v>
      </c>
      <c r="G147" t="str">
        <f>IFERROR(IF(INDEX(Fall!$1:$1048576,MATCH(All!$A147,Fall!$A:$A,FALSE),MATCH(All!G$1,Fall!$1:$1,FALSE))="","",INDEX(Fall!$1:$1048576,MATCH(All!$A147,Fall!$A:$A,FALSE),MATCH(All!G$1,Fall!$1:$1,FALSE))),"")</f>
        <v>2A</v>
      </c>
      <c r="H147" t="str">
        <f>IFERROR(IF(INDEX(Fall!$1:$1048576,MATCH(All!$A147,Fall!$A:$A,FALSE),MATCH(All!H$1,Fall!$1:$1,FALSE))="","",INDEX(Fall!$1:$1048576,MATCH(All!$A147,Fall!$A:$A,FALSE),MATCH(All!H$1,Fall!$1:$1,FALSE))),"")</f>
        <v>2A</v>
      </c>
      <c r="I147" t="str">
        <f>IFERROR(IF(INDEX(Fall!$1:$1048576,MATCH(All!$A147,Fall!$A:$A,FALSE),MATCH(All!I$1,Fall!$1:$1,FALSE))="","",INDEX(Fall!$1:$1048576,MATCH(All!$A147,Fall!$A:$A,FALSE),MATCH(All!I$1,Fall!$1:$1,FALSE))),"")</f>
        <v>2A</v>
      </c>
      <c r="J147" t="str">
        <f>IFERROR(IF(INDEX(Fall!$1:$1048576,MATCH(All!$A147,Fall!$A:$A,FALSE),MATCH(All!J$1,Fall!$1:$1,FALSE))="","",INDEX(Fall!$1:$1048576,MATCH(All!$A147,Fall!$A:$A,FALSE),MATCH(All!J$1,Fall!$1:$1,FALSE))),"")</f>
        <v>1A</v>
      </c>
      <c r="K147" t="str">
        <f>IFERROR(IF(INDEX(Fall!$1:$1048576,MATCH(All!$A147,Fall!$A:$A,FALSE),MATCH(All!K$1,Fall!$1:$1,FALSE))="","",INDEX(Fall!$1:$1048576,MATCH(All!$A147,Fall!$A:$A,FALSE),MATCH(All!K$1,Fall!$1:$1,FALSE))),"")</f>
        <v>2A</v>
      </c>
      <c r="L147" t="str">
        <f>IFERROR(IF(INDEX(Fall!$1:$1048576,MATCH(All!$A147,Fall!$A:$A,FALSE),MATCH(All!L$1,Fall!$1:$1,FALSE))="","",INDEX(Fall!$1:$1048576,MATCH(All!$A147,Fall!$A:$A,FALSE),MATCH(All!L$1,Fall!$1:$1,FALSE))),"")</f>
        <v>1A</v>
      </c>
      <c r="M147" t="str">
        <f>IFERROR(IF(INDEX(Fall!$1:$1048576,MATCH(All!$A147,Fall!$A:$A,FALSE),MATCH(All!M$1,Fall!$1:$1,FALSE))="","",INDEX(Fall!$1:$1048576,MATCH(All!$A147,Fall!$A:$A,FALSE),MATCH(All!M$1,Fall!$1:$1,FALSE))),"")</f>
        <v>3A</v>
      </c>
      <c r="O147" t="str">
        <f>IFERROR(IF(INDEX(Winter!$1:$1048576,MATCH(All!$A147,Winter!$A:$A,FALSE),MATCH(All!O$1,Winter!$1:$1,FALSE))="","",INDEX(Winter!$1:$1048576,MATCH(All!$A147,Winter!$A:$A,FALSE),MATCH(All!O$1,Winter!$1:$1,FALSE))),"")</f>
        <v>740.00 (1,221.00)</v>
      </c>
      <c r="P147" t="str">
        <f>IFERROR(IF(INDEX(Winter!$1:$1048576,MATCH(All!$A147,Winter!$A:$A,FALSE),MATCH(All!P$1,Winter!$1:$1,FALSE))="","",INDEX(Winter!$1:$1048576,MATCH(All!$A147,Winter!$A:$A,FALSE),MATCH(All!P$1,Winter!$1:$1,FALSE))),"")</f>
        <v>3A</v>
      </c>
      <c r="Q147" t="str">
        <f>IFERROR(IF(INDEX(Winter!$1:$1048576,MATCH(All!$A147,Winter!$A:$A,FALSE),MATCH(All!Q$1,Winter!$1:$1,FALSE))="","",INDEX(Winter!$1:$1048576,MATCH(All!$A147,Winter!$A:$A,FALSE),MATCH(All!Q$1,Winter!$1:$1,FALSE))),"")</f>
        <v>3A</v>
      </c>
      <c r="R147" t="str">
        <f>IFERROR(IF(INDEX(Winter!$1:$1048576,MATCH(All!$A147,Winter!$A:$A,FALSE),MATCH(All!R$1,Winter!$1:$1,FALSE))="","",INDEX(Winter!$1:$1048576,MATCH(All!$A147,Winter!$A:$A,FALSE),MATCH(All!R$1,Winter!$1:$1,FALSE))),"")</f>
        <v/>
      </c>
      <c r="S147" t="str">
        <f>IFERROR(IF(INDEX(Winter!$1:$1048576,MATCH(All!$A147,Winter!$A:$A,FALSE),MATCH(All!S$1,Winter!$1:$1,FALSE))="","",INDEX(Winter!$1:$1048576,MATCH(All!$A147,Winter!$A:$A,FALSE),MATCH(All!S$1,Winter!$1:$1,FALSE))),"")</f>
        <v/>
      </c>
      <c r="T147" t="str">
        <f>IFERROR(IF(INDEX(Winter!$1:$1048576,MATCH(All!$A147,Winter!$A:$A,FALSE),MATCH(All!T$1,Winter!$1:$1,FALSE))="","",INDEX(Winter!$1:$1048576,MATCH(All!$A147,Winter!$A:$A,FALSE),MATCH(All!T$1,Winter!$1:$1,FALSE))),"")</f>
        <v/>
      </c>
      <c r="U147" t="str">
        <f>IFERROR(IF(INDEX(Winter!$1:$1048576,MATCH(All!$A147,Winter!$A:$A,FALSE),MATCH(All!U$1,Winter!$1:$1,FALSE))="","",INDEX(Winter!$1:$1048576,MATCH(All!$A147,Winter!$A:$A,FALSE),MATCH(All!U$1,Winter!$1:$1,FALSE))),"")</f>
        <v>2A</v>
      </c>
      <c r="W147" t="str">
        <f>IFERROR(IF(INDEX(Spring!$1:$1048576,MATCH(All!$A147,Spring!$A:$A,FALSE),MATCH(All!W$1,Spring!$1:$1,FALSE))="","",INDEX(Spring!$1:$1048576,MATCH(All!$A147,Spring!$A:$A,FALSE),MATCH(All!W$1,Spring!$1:$1,FALSE))),"")</f>
        <v>740.00 (1,221.00)</v>
      </c>
      <c r="X147" t="str">
        <f>IFERROR(IF(INDEX(Spring!$1:$1048576,MATCH(All!$A147,Spring!$A:$A,FALSE),MATCH(All!X$1,Spring!$1:$1,FALSE))="","",INDEX(Spring!$1:$1048576,MATCH(All!$A147,Spring!$A:$A,FALSE),MATCH(All!X$1,Spring!$1:$1,FALSE))),"")</f>
        <v>3A</v>
      </c>
      <c r="Y147" t="str">
        <f>IFERROR(IF(INDEX(Spring!$1:$1048576,MATCH(All!$A147,Spring!$A:$A,FALSE),MATCH(All!Y$1,Spring!$1:$1,FALSE))="","",INDEX(Spring!$1:$1048576,MATCH(All!$A147,Spring!$A:$A,FALSE),MATCH(All!Y$1,Spring!$1:$1,FALSE))),"")</f>
        <v>3A</v>
      </c>
      <c r="Z147" t="str">
        <f>IFERROR(IF(INDEX(Spring!$1:$1048576,MATCH(All!$A147,Spring!$A:$A,FALSE),MATCH(All!Z$1,Spring!$1:$1,FALSE))="","",INDEX(Spring!$1:$1048576,MATCH(All!$A147,Spring!$A:$A,FALSE),MATCH(All!Z$1,Spring!$1:$1,FALSE))),"")</f>
        <v>2A</v>
      </c>
      <c r="AA147" t="str">
        <f>IFERROR(IF(INDEX(Spring!$1:$1048576,MATCH(All!$A147,Spring!$A:$A,FALSE),MATCH(All!AA$1,Spring!$1:$1,FALSE))="","",INDEX(Spring!$1:$1048576,MATCH(All!$A147,Spring!$A:$A,FALSE),MATCH(All!AA$1,Spring!$1:$1,FALSE))),"")</f>
        <v>1A</v>
      </c>
      <c r="AB147" t="str">
        <f>IFERROR(IF(INDEX(Spring!$1:$1048576,MATCH(All!$A147,Spring!$A:$A,FALSE),MATCH(All!AB$1,Spring!$1:$1,FALSE))="","",INDEX(Spring!$1:$1048576,MATCH(All!$A147,Spring!$A:$A,FALSE),MATCH(All!AB$1,Spring!$1:$1,FALSE))),"")</f>
        <v>2A</v>
      </c>
      <c r="AC147" t="str">
        <f>IFERROR(IF(INDEX(Spring!$1:$1048576,MATCH(All!$A147,Spring!$A:$A,FALSE),MATCH(All!AC$1,Spring!$1:$1,FALSE))="","",INDEX(Spring!$1:$1048576,MATCH(All!$A147,Spring!$A:$A,FALSE),MATCH(All!AC$1,Spring!$1:$1,FALSE))),"")</f>
        <v>2A</v>
      </c>
      <c r="AD147" t="str">
        <f>IFERROR(VLOOKUP(A147,'Flag Football'!A:A,1,FALSE),"")</f>
        <v>Chicago (De La Salle)</v>
      </c>
      <c r="AE147" t="str">
        <f t="shared" si="2"/>
        <v>1A</v>
      </c>
    </row>
    <row r="148" spans="1:31" ht="15.75" thickBot="1" x14ac:dyDescent="0.3">
      <c r="A148" s="20" t="s">
        <v>184</v>
      </c>
      <c r="B148" s="38" t="str">
        <f>IFERROR(VLOOKUP(A148,'Public v Private'!A:G,3,FALSE),"")</f>
        <v>private</v>
      </c>
      <c r="C148" s="38">
        <f>IFERROR(VLOOKUP(A148,'Public v Private'!A:G,4,FALSE),"")</f>
        <v>1</v>
      </c>
      <c r="D148" s="38">
        <f>IFERROR(VLOOKUP(A148,'Public v Private'!A:G,5,FALSE),"")</f>
        <v>1</v>
      </c>
      <c r="E148" s="38"/>
      <c r="F148" s="40" t="str">
        <f>IFERROR(INDEX(Fall!$1:$1048576,MATCH(All!$A148,Fall!$A:$A,FALSE),MATCH(All!F$1,Fall!$1:$1,FALSE)),"N/A")</f>
        <v>1,342.00 (2,214.30)</v>
      </c>
      <c r="G148" t="str">
        <f>IFERROR(IF(INDEX(Fall!$1:$1048576,MATCH(All!$A148,Fall!$A:$A,FALSE),MATCH(All!G$1,Fall!$1:$1,FALSE))="","",INDEX(Fall!$1:$1048576,MATCH(All!$A148,Fall!$A:$A,FALSE),MATCH(All!G$1,Fall!$1:$1,FALSE))),"")</f>
        <v>3A</v>
      </c>
      <c r="H148" t="str">
        <f>IFERROR(IF(INDEX(Fall!$1:$1048576,MATCH(All!$A148,Fall!$A:$A,FALSE),MATCH(All!H$1,Fall!$1:$1,FALSE))="","",INDEX(Fall!$1:$1048576,MATCH(All!$A148,Fall!$A:$A,FALSE),MATCH(All!H$1,Fall!$1:$1,FALSE))),"")</f>
        <v>3A</v>
      </c>
      <c r="I148" t="str">
        <f>IFERROR(IF(INDEX(Fall!$1:$1048576,MATCH(All!$A148,Fall!$A:$A,FALSE),MATCH(All!I$1,Fall!$1:$1,FALSE))="","",INDEX(Fall!$1:$1048576,MATCH(All!$A148,Fall!$A:$A,FALSE),MATCH(All!I$1,Fall!$1:$1,FALSE))),"")</f>
        <v>2A</v>
      </c>
      <c r="J148" t="str">
        <f>IFERROR(IF(INDEX(Fall!$1:$1048576,MATCH(All!$A148,Fall!$A:$A,FALSE),MATCH(All!J$1,Fall!$1:$1,FALSE))="","",INDEX(Fall!$1:$1048576,MATCH(All!$A148,Fall!$A:$A,FALSE),MATCH(All!J$1,Fall!$1:$1,FALSE))),"")</f>
        <v>2A</v>
      </c>
      <c r="K148" t="str">
        <f>IFERROR(IF(INDEX(Fall!$1:$1048576,MATCH(All!$A148,Fall!$A:$A,FALSE),MATCH(All!K$1,Fall!$1:$1,FALSE))="","",INDEX(Fall!$1:$1048576,MATCH(All!$A148,Fall!$A:$A,FALSE),MATCH(All!K$1,Fall!$1:$1,FALSE))),"")</f>
        <v>3A</v>
      </c>
      <c r="L148" t="str">
        <f>IFERROR(IF(INDEX(Fall!$1:$1048576,MATCH(All!$A148,Fall!$A:$A,FALSE),MATCH(All!L$1,Fall!$1:$1,FALSE))="","",INDEX(Fall!$1:$1048576,MATCH(All!$A148,Fall!$A:$A,FALSE),MATCH(All!L$1,Fall!$1:$1,FALSE))),"")</f>
        <v>2A</v>
      </c>
      <c r="M148" t="str">
        <f>IFERROR(IF(INDEX(Fall!$1:$1048576,MATCH(All!$A148,Fall!$A:$A,FALSE),MATCH(All!M$1,Fall!$1:$1,FALSE))="","",INDEX(Fall!$1:$1048576,MATCH(All!$A148,Fall!$A:$A,FALSE),MATCH(All!M$1,Fall!$1:$1,FALSE))),"")</f>
        <v>4A</v>
      </c>
      <c r="O148" t="str">
        <f>IFERROR(IF(INDEX(Winter!$1:$1048576,MATCH(All!$A148,Winter!$A:$A,FALSE),MATCH(All!O$1,Winter!$1:$1,FALSE))="","",INDEX(Winter!$1:$1048576,MATCH(All!$A148,Winter!$A:$A,FALSE),MATCH(All!O$1,Winter!$1:$1,FALSE))),"")</f>
        <v>1,342.00 (2,214.30)</v>
      </c>
      <c r="P148" t="str">
        <f>IFERROR(IF(INDEX(Winter!$1:$1048576,MATCH(All!$A148,Winter!$A:$A,FALSE),MATCH(All!P$1,Winter!$1:$1,FALSE))="","",INDEX(Winter!$1:$1048576,MATCH(All!$A148,Winter!$A:$A,FALSE),MATCH(All!P$1,Winter!$1:$1,FALSE))),"")</f>
        <v>4A</v>
      </c>
      <c r="Q148" t="str">
        <f>IFERROR(IF(INDEX(Winter!$1:$1048576,MATCH(All!$A148,Winter!$A:$A,FALSE),MATCH(All!Q$1,Winter!$1:$1,FALSE))="","",INDEX(Winter!$1:$1048576,MATCH(All!$A148,Winter!$A:$A,FALSE),MATCH(All!Q$1,Winter!$1:$1,FALSE))),"")</f>
        <v>4A</v>
      </c>
      <c r="R148" t="str">
        <f>IFERROR(IF(INDEX(Winter!$1:$1048576,MATCH(All!$A148,Winter!$A:$A,FALSE),MATCH(All!R$1,Winter!$1:$1,FALSE))="","",INDEX(Winter!$1:$1048576,MATCH(All!$A148,Winter!$A:$A,FALSE),MATCH(All!R$1,Winter!$1:$1,FALSE))),"")</f>
        <v>2A</v>
      </c>
      <c r="S148" t="str">
        <f>IFERROR(IF(INDEX(Winter!$1:$1048576,MATCH(All!$A148,Winter!$A:$A,FALSE),MATCH(All!S$1,Winter!$1:$1,FALSE))="","",INDEX(Winter!$1:$1048576,MATCH(All!$A148,Winter!$A:$A,FALSE),MATCH(All!S$1,Winter!$1:$1,FALSE))),"")</f>
        <v/>
      </c>
      <c r="T148" t="str">
        <f>IFERROR(IF(INDEX(Winter!$1:$1048576,MATCH(All!$A148,Winter!$A:$A,FALSE),MATCH(All!T$1,Winter!$1:$1,FALSE))="","",INDEX(Winter!$1:$1048576,MATCH(All!$A148,Winter!$A:$A,FALSE),MATCH(All!T$1,Winter!$1:$1,FALSE))),"")</f>
        <v>2A</v>
      </c>
      <c r="U148" t="str">
        <f>IFERROR(IF(INDEX(Winter!$1:$1048576,MATCH(All!$A148,Winter!$A:$A,FALSE),MATCH(All!U$1,Winter!$1:$1,FALSE))="","",INDEX(Winter!$1:$1048576,MATCH(All!$A148,Winter!$A:$A,FALSE),MATCH(All!U$1,Winter!$1:$1,FALSE))),"")</f>
        <v>2A</v>
      </c>
      <c r="W148" t="str">
        <f>IFERROR(IF(INDEX(Spring!$1:$1048576,MATCH(All!$A148,Spring!$A:$A,FALSE),MATCH(All!W$1,Spring!$1:$1,FALSE))="","",INDEX(Spring!$1:$1048576,MATCH(All!$A148,Spring!$A:$A,FALSE),MATCH(All!W$1,Spring!$1:$1,FALSE))),"")</f>
        <v>1,342.00 (2,214.30)</v>
      </c>
      <c r="X148" t="str">
        <f>IFERROR(IF(INDEX(Spring!$1:$1048576,MATCH(All!$A148,Spring!$A:$A,FALSE),MATCH(All!X$1,Spring!$1:$1,FALSE))="","",INDEX(Spring!$1:$1048576,MATCH(All!$A148,Spring!$A:$A,FALSE),MATCH(All!X$1,Spring!$1:$1,FALSE))),"")</f>
        <v>4A</v>
      </c>
      <c r="Y148" t="str">
        <f>IFERROR(IF(INDEX(Spring!$1:$1048576,MATCH(All!$A148,Spring!$A:$A,FALSE),MATCH(All!Y$1,Spring!$1:$1,FALSE))="","",INDEX(Spring!$1:$1048576,MATCH(All!$A148,Spring!$A:$A,FALSE),MATCH(All!Y$1,Spring!$1:$1,FALSE))),"")</f>
        <v>4A</v>
      </c>
      <c r="Z148" t="str">
        <f>IFERROR(IF(INDEX(Spring!$1:$1048576,MATCH(All!$A148,Spring!$A:$A,FALSE),MATCH(All!Z$1,Spring!$1:$1,FALSE))="","",INDEX(Spring!$1:$1048576,MATCH(All!$A148,Spring!$A:$A,FALSE),MATCH(All!Z$1,Spring!$1:$1,FALSE))),"")</f>
        <v>3A</v>
      </c>
      <c r="AA148" t="str">
        <f>IFERROR(IF(INDEX(Spring!$1:$1048576,MATCH(All!$A148,Spring!$A:$A,FALSE),MATCH(All!AA$1,Spring!$1:$1,FALSE))="","",INDEX(Spring!$1:$1048576,MATCH(All!$A148,Spring!$A:$A,FALSE),MATCH(All!AA$1,Spring!$1:$1,FALSE))),"")</f>
        <v>2A</v>
      </c>
      <c r="AB148" t="str">
        <f>IFERROR(IF(INDEX(Spring!$1:$1048576,MATCH(All!$A148,Spring!$A:$A,FALSE),MATCH(All!AB$1,Spring!$1:$1,FALSE))="","",INDEX(Spring!$1:$1048576,MATCH(All!$A148,Spring!$A:$A,FALSE),MATCH(All!AB$1,Spring!$1:$1,FALSE))),"")</f>
        <v>3A</v>
      </c>
      <c r="AC148" t="str">
        <f>IFERROR(IF(INDEX(Spring!$1:$1048576,MATCH(All!$A148,Spring!$A:$A,FALSE),MATCH(All!AC$1,Spring!$1:$1,FALSE))="","",INDEX(Spring!$1:$1048576,MATCH(All!$A148,Spring!$A:$A,FALSE),MATCH(All!AC$1,Spring!$1:$1,FALSE))),"")</f>
        <v>3A</v>
      </c>
      <c r="AD148" t="str">
        <f>IFERROR(VLOOKUP(A148,'Flag Football'!A:A,1,FALSE),"")</f>
        <v>Chicago (DePaul College Prep)</v>
      </c>
      <c r="AE148" t="str">
        <f t="shared" si="2"/>
        <v>1A</v>
      </c>
    </row>
    <row r="149" spans="1:31" ht="15.75" thickBot="1" x14ac:dyDescent="0.3">
      <c r="A149" s="18" t="s">
        <v>186</v>
      </c>
      <c r="B149" s="38" t="str">
        <f>IFERROR(VLOOKUP(A149,'Public v Private'!A:G,3,FALSE),"")</f>
        <v>no</v>
      </c>
      <c r="C149" s="38">
        <f>IFERROR(VLOOKUP(A149,'Public v Private'!A:G,4,FALSE),"")</f>
        <v>0</v>
      </c>
      <c r="D149" s="38">
        <f>IFERROR(VLOOKUP(A149,'Public v Private'!A:G,5,FALSE),"")</f>
        <v>0</v>
      </c>
      <c r="E149" s="38"/>
      <c r="F149" s="40" t="str">
        <f>IFERROR(INDEX(Fall!$1:$1048576,MATCH(All!$A149,Fall!$A:$A,FALSE),MATCH(All!F$1,Fall!$1:$1,FALSE)),"N/A")</f>
        <v>571.00 (942.15)</v>
      </c>
      <c r="G149" t="str">
        <f>IFERROR(IF(INDEX(Fall!$1:$1048576,MATCH(All!$A149,Fall!$A:$A,FALSE),MATCH(All!G$1,Fall!$1:$1,FALSE))="","",INDEX(Fall!$1:$1048576,MATCH(All!$A149,Fall!$A:$A,FALSE),MATCH(All!G$1,Fall!$1:$1,FALSE))),"")</f>
        <v/>
      </c>
      <c r="H149" t="str">
        <f>IFERROR(IF(INDEX(Fall!$1:$1048576,MATCH(All!$A149,Fall!$A:$A,FALSE),MATCH(All!H$1,Fall!$1:$1,FALSE))="","",INDEX(Fall!$1:$1048576,MATCH(All!$A149,Fall!$A:$A,FALSE),MATCH(All!H$1,Fall!$1:$1,FALSE))),"")</f>
        <v/>
      </c>
      <c r="I149" t="str">
        <f>IFERROR(IF(INDEX(Fall!$1:$1048576,MATCH(All!$A149,Fall!$A:$A,FALSE),MATCH(All!I$1,Fall!$1:$1,FALSE))="","",INDEX(Fall!$1:$1048576,MATCH(All!$A149,Fall!$A:$A,FALSE),MATCH(All!I$1,Fall!$1:$1,FALSE))),"")</f>
        <v/>
      </c>
      <c r="J149" t="str">
        <f>IFERROR(IF(INDEX(Fall!$1:$1048576,MATCH(All!$A149,Fall!$A:$A,FALSE),MATCH(All!J$1,Fall!$1:$1,FALSE))="","",INDEX(Fall!$1:$1048576,MATCH(All!$A149,Fall!$A:$A,FALSE),MATCH(All!J$1,Fall!$1:$1,FALSE))),"")</f>
        <v/>
      </c>
      <c r="K149" t="str">
        <f>IFERROR(IF(INDEX(Fall!$1:$1048576,MATCH(All!$A149,Fall!$A:$A,FALSE),MATCH(All!K$1,Fall!$1:$1,FALSE))="","",INDEX(Fall!$1:$1048576,MATCH(All!$A149,Fall!$A:$A,FALSE),MATCH(All!K$1,Fall!$1:$1,FALSE))),"")</f>
        <v>2A</v>
      </c>
      <c r="L149" t="str">
        <f>IFERROR(IF(INDEX(Fall!$1:$1048576,MATCH(All!$A149,Fall!$A:$A,FALSE),MATCH(All!L$1,Fall!$1:$1,FALSE))="","",INDEX(Fall!$1:$1048576,MATCH(All!$A149,Fall!$A:$A,FALSE),MATCH(All!L$1,Fall!$1:$1,FALSE))),"")</f>
        <v/>
      </c>
      <c r="M149" t="str">
        <f>IFERROR(IF(INDEX(Fall!$1:$1048576,MATCH(All!$A149,Fall!$A:$A,FALSE),MATCH(All!M$1,Fall!$1:$1,FALSE))="","",INDEX(Fall!$1:$1048576,MATCH(All!$A149,Fall!$A:$A,FALSE),MATCH(All!M$1,Fall!$1:$1,FALSE))),"")</f>
        <v>3A</v>
      </c>
      <c r="O149" t="str">
        <f>IFERROR(IF(INDEX(Winter!$1:$1048576,MATCH(All!$A149,Winter!$A:$A,FALSE),MATCH(All!O$1,Winter!$1:$1,FALSE))="","",INDEX(Winter!$1:$1048576,MATCH(All!$A149,Winter!$A:$A,FALSE),MATCH(All!O$1,Winter!$1:$1,FALSE))),"")</f>
        <v>571.00 (942.15)</v>
      </c>
      <c r="P149" t="str">
        <f>IFERROR(IF(INDEX(Winter!$1:$1048576,MATCH(All!$A149,Winter!$A:$A,FALSE),MATCH(All!P$1,Winter!$1:$1,FALSE))="","",INDEX(Winter!$1:$1048576,MATCH(All!$A149,Winter!$A:$A,FALSE),MATCH(All!P$1,Winter!$1:$1,FALSE))),"")</f>
        <v>3A</v>
      </c>
      <c r="Q149" t="str">
        <f>IFERROR(IF(INDEX(Winter!$1:$1048576,MATCH(All!$A149,Winter!$A:$A,FALSE),MATCH(All!Q$1,Winter!$1:$1,FALSE))="","",INDEX(Winter!$1:$1048576,MATCH(All!$A149,Winter!$A:$A,FALSE),MATCH(All!Q$1,Winter!$1:$1,FALSE))),"")</f>
        <v>3A</v>
      </c>
      <c r="R149" t="str">
        <f>IFERROR(IF(INDEX(Winter!$1:$1048576,MATCH(All!$A149,Winter!$A:$A,FALSE),MATCH(All!R$1,Winter!$1:$1,FALSE))="","",INDEX(Winter!$1:$1048576,MATCH(All!$A149,Winter!$A:$A,FALSE),MATCH(All!R$1,Winter!$1:$1,FALSE))),"")</f>
        <v/>
      </c>
      <c r="S149" t="str">
        <f>IFERROR(IF(INDEX(Winter!$1:$1048576,MATCH(All!$A149,Winter!$A:$A,FALSE),MATCH(All!S$1,Winter!$1:$1,FALSE))="","",INDEX(Winter!$1:$1048576,MATCH(All!$A149,Winter!$A:$A,FALSE),MATCH(All!S$1,Winter!$1:$1,FALSE))),"")</f>
        <v/>
      </c>
      <c r="T149" t="str">
        <f>IFERROR(IF(INDEX(Winter!$1:$1048576,MATCH(All!$A149,Winter!$A:$A,FALSE),MATCH(All!T$1,Winter!$1:$1,FALSE))="","",INDEX(Winter!$1:$1048576,MATCH(All!$A149,Winter!$A:$A,FALSE),MATCH(All!T$1,Winter!$1:$1,FALSE))),"")</f>
        <v/>
      </c>
      <c r="U149" t="str">
        <f>IFERROR(IF(INDEX(Winter!$1:$1048576,MATCH(All!$A149,Winter!$A:$A,FALSE),MATCH(All!U$1,Winter!$1:$1,FALSE))="","",INDEX(Winter!$1:$1048576,MATCH(All!$A149,Winter!$A:$A,FALSE),MATCH(All!U$1,Winter!$1:$1,FALSE))),"")</f>
        <v/>
      </c>
      <c r="W149" t="str">
        <f>IFERROR(IF(INDEX(Spring!$1:$1048576,MATCH(All!$A149,Spring!$A:$A,FALSE),MATCH(All!W$1,Spring!$1:$1,FALSE))="","",INDEX(Spring!$1:$1048576,MATCH(All!$A149,Spring!$A:$A,FALSE),MATCH(All!W$1,Spring!$1:$1,FALSE))),"")</f>
        <v>571.00 (942.15)</v>
      </c>
      <c r="X149" t="str">
        <f>IFERROR(IF(INDEX(Spring!$1:$1048576,MATCH(All!$A149,Spring!$A:$A,FALSE),MATCH(All!X$1,Spring!$1:$1,FALSE))="","",INDEX(Spring!$1:$1048576,MATCH(All!$A149,Spring!$A:$A,FALSE),MATCH(All!X$1,Spring!$1:$1,FALSE))),"")</f>
        <v>3A</v>
      </c>
      <c r="Y149" t="str">
        <f>IFERROR(IF(INDEX(Spring!$1:$1048576,MATCH(All!$A149,Spring!$A:$A,FALSE),MATCH(All!Y$1,Spring!$1:$1,FALSE))="","",INDEX(Spring!$1:$1048576,MATCH(All!$A149,Spring!$A:$A,FALSE),MATCH(All!Y$1,Spring!$1:$1,FALSE))),"")</f>
        <v>3A</v>
      </c>
      <c r="Z149" t="str">
        <f>IFERROR(IF(INDEX(Spring!$1:$1048576,MATCH(All!$A149,Spring!$A:$A,FALSE),MATCH(All!Z$1,Spring!$1:$1,FALSE))="","",INDEX(Spring!$1:$1048576,MATCH(All!$A149,Spring!$A:$A,FALSE),MATCH(All!Z$1,Spring!$1:$1,FALSE))),"")</f>
        <v>2A</v>
      </c>
      <c r="AA149" t="str">
        <f>IFERROR(IF(INDEX(Spring!$1:$1048576,MATCH(All!$A149,Spring!$A:$A,FALSE),MATCH(All!AA$1,Spring!$1:$1,FALSE))="","",INDEX(Spring!$1:$1048576,MATCH(All!$A149,Spring!$A:$A,FALSE),MATCH(All!AA$1,Spring!$1:$1,FALSE))),"")</f>
        <v/>
      </c>
      <c r="AB149" t="str">
        <f>IFERROR(IF(INDEX(Spring!$1:$1048576,MATCH(All!$A149,Spring!$A:$A,FALSE),MATCH(All!AB$1,Spring!$1:$1,FALSE))="","",INDEX(Spring!$1:$1048576,MATCH(All!$A149,Spring!$A:$A,FALSE),MATCH(All!AB$1,Spring!$1:$1,FALSE))),"")</f>
        <v>2A</v>
      </c>
      <c r="AC149" t="str">
        <f>IFERROR(IF(INDEX(Spring!$1:$1048576,MATCH(All!$A149,Spring!$A:$A,FALSE),MATCH(All!AC$1,Spring!$1:$1,FALSE))="","",INDEX(Spring!$1:$1048576,MATCH(All!$A149,Spring!$A:$A,FALSE),MATCH(All!AC$1,Spring!$1:$1,FALSE))),"")</f>
        <v>2A</v>
      </c>
      <c r="AD149" t="str">
        <f>IFERROR(VLOOKUP(A149,'Flag Football'!A:A,1,FALSE),"")</f>
        <v>Chicago (Disney II)</v>
      </c>
      <c r="AE149" t="str">
        <f t="shared" si="2"/>
        <v>1A</v>
      </c>
    </row>
    <row r="150" spans="1:31" ht="15.75" thickBot="1" x14ac:dyDescent="0.3">
      <c r="A150" s="18" t="s">
        <v>919</v>
      </c>
      <c r="B150" s="38" t="str">
        <f>IFERROR(VLOOKUP(A150,'Public v Private'!A:G,3,FALSE),"")</f>
        <v>no</v>
      </c>
      <c r="C150" s="38">
        <f>IFERROR(VLOOKUP(A150,'Public v Private'!A:G,4,FALSE),"")</f>
        <v>0</v>
      </c>
      <c r="D150" s="38">
        <f>IFERROR(VLOOKUP(A150,'Public v Private'!A:G,5,FALSE),"")</f>
        <v>0</v>
      </c>
      <c r="E150" s="38"/>
      <c r="F150" s="40" t="str">
        <f>IFERROR(INDEX(Fall!$1:$1048576,MATCH(All!$A150,Fall!$A:$A,FALSE),MATCH(All!F$1,Fall!$1:$1,FALSE)),"N/A")</f>
        <v>N/A</v>
      </c>
      <c r="G150" t="str">
        <f>IFERROR(IF(INDEX(Fall!$1:$1048576,MATCH(All!$A150,Fall!$A:$A,FALSE),MATCH(All!G$1,Fall!$1:$1,FALSE))="","",INDEX(Fall!$1:$1048576,MATCH(All!$A150,Fall!$A:$A,FALSE),MATCH(All!G$1,Fall!$1:$1,FALSE))),"")</f>
        <v/>
      </c>
      <c r="H150" t="str">
        <f>IFERROR(IF(INDEX(Fall!$1:$1048576,MATCH(All!$A150,Fall!$A:$A,FALSE),MATCH(All!H$1,Fall!$1:$1,FALSE))="","",INDEX(Fall!$1:$1048576,MATCH(All!$A150,Fall!$A:$A,FALSE),MATCH(All!H$1,Fall!$1:$1,FALSE))),"")</f>
        <v/>
      </c>
      <c r="I150" t="str">
        <f>IFERROR(IF(INDEX(Fall!$1:$1048576,MATCH(All!$A150,Fall!$A:$A,FALSE),MATCH(All!I$1,Fall!$1:$1,FALSE))="","",INDEX(Fall!$1:$1048576,MATCH(All!$A150,Fall!$A:$A,FALSE),MATCH(All!I$1,Fall!$1:$1,FALSE))),"")</f>
        <v/>
      </c>
      <c r="J150" t="str">
        <f>IFERROR(IF(INDEX(Fall!$1:$1048576,MATCH(All!$A150,Fall!$A:$A,FALSE),MATCH(All!J$1,Fall!$1:$1,FALSE))="","",INDEX(Fall!$1:$1048576,MATCH(All!$A150,Fall!$A:$A,FALSE),MATCH(All!J$1,Fall!$1:$1,FALSE))),"")</f>
        <v/>
      </c>
      <c r="K150" t="str">
        <f>IFERROR(IF(INDEX(Fall!$1:$1048576,MATCH(All!$A150,Fall!$A:$A,FALSE),MATCH(All!K$1,Fall!$1:$1,FALSE))="","",INDEX(Fall!$1:$1048576,MATCH(All!$A150,Fall!$A:$A,FALSE),MATCH(All!K$1,Fall!$1:$1,FALSE))),"")</f>
        <v/>
      </c>
      <c r="L150" t="str">
        <f>IFERROR(IF(INDEX(Fall!$1:$1048576,MATCH(All!$A150,Fall!$A:$A,FALSE),MATCH(All!L$1,Fall!$1:$1,FALSE))="","",INDEX(Fall!$1:$1048576,MATCH(All!$A150,Fall!$A:$A,FALSE),MATCH(All!L$1,Fall!$1:$1,FALSE))),"")</f>
        <v/>
      </c>
      <c r="M150" t="str">
        <f>IFERROR(IF(INDEX(Fall!$1:$1048576,MATCH(All!$A150,Fall!$A:$A,FALSE),MATCH(All!M$1,Fall!$1:$1,FALSE))="","",INDEX(Fall!$1:$1048576,MATCH(All!$A150,Fall!$A:$A,FALSE),MATCH(All!M$1,Fall!$1:$1,FALSE))),"")</f>
        <v/>
      </c>
      <c r="O150" t="str">
        <f>IFERROR(IF(INDEX(Winter!$1:$1048576,MATCH(All!$A150,Winter!$A:$A,FALSE),MATCH(All!O$1,Winter!$1:$1,FALSE))="","",INDEX(Winter!$1:$1048576,MATCH(All!$A150,Winter!$A:$A,FALSE),MATCH(All!O$1,Winter!$1:$1,FALSE))),"")</f>
        <v>331.00 (546.15)</v>
      </c>
      <c r="P150" t="str">
        <f>IFERROR(IF(INDEX(Winter!$1:$1048576,MATCH(All!$A150,Winter!$A:$A,FALSE),MATCH(All!P$1,Winter!$1:$1,FALSE))="","",INDEX(Winter!$1:$1048576,MATCH(All!$A150,Winter!$A:$A,FALSE),MATCH(All!P$1,Winter!$1:$1,FALSE))),"")</f>
        <v>2A</v>
      </c>
      <c r="Q150" t="str">
        <f>IFERROR(IF(INDEX(Winter!$1:$1048576,MATCH(All!$A150,Winter!$A:$A,FALSE),MATCH(All!Q$1,Winter!$1:$1,FALSE))="","",INDEX(Winter!$1:$1048576,MATCH(All!$A150,Winter!$A:$A,FALSE),MATCH(All!Q$1,Winter!$1:$1,FALSE))),"")</f>
        <v/>
      </c>
      <c r="R150" t="str">
        <f>IFERROR(IF(INDEX(Winter!$1:$1048576,MATCH(All!$A150,Winter!$A:$A,FALSE),MATCH(All!R$1,Winter!$1:$1,FALSE))="","",INDEX(Winter!$1:$1048576,MATCH(All!$A150,Winter!$A:$A,FALSE),MATCH(All!R$1,Winter!$1:$1,FALSE))),"")</f>
        <v/>
      </c>
      <c r="S150" t="str">
        <f>IFERROR(IF(INDEX(Winter!$1:$1048576,MATCH(All!$A150,Winter!$A:$A,FALSE),MATCH(All!S$1,Winter!$1:$1,FALSE))="","",INDEX(Winter!$1:$1048576,MATCH(All!$A150,Winter!$A:$A,FALSE),MATCH(All!S$1,Winter!$1:$1,FALSE))),"")</f>
        <v/>
      </c>
      <c r="T150" t="str">
        <f>IFERROR(IF(INDEX(Winter!$1:$1048576,MATCH(All!$A150,Winter!$A:$A,FALSE),MATCH(All!T$1,Winter!$1:$1,FALSE))="","",INDEX(Winter!$1:$1048576,MATCH(All!$A150,Winter!$A:$A,FALSE),MATCH(All!T$1,Winter!$1:$1,FALSE))),"")</f>
        <v/>
      </c>
      <c r="U150" t="str">
        <f>IFERROR(IF(INDEX(Winter!$1:$1048576,MATCH(All!$A150,Winter!$A:$A,FALSE),MATCH(All!U$1,Winter!$1:$1,FALSE))="","",INDEX(Winter!$1:$1048576,MATCH(All!$A150,Winter!$A:$A,FALSE),MATCH(All!U$1,Winter!$1:$1,FALSE))),"")</f>
        <v/>
      </c>
      <c r="W150" t="str">
        <f>IFERROR(IF(INDEX(Spring!$1:$1048576,MATCH(All!$A150,Spring!$A:$A,FALSE),MATCH(All!W$1,Spring!$1:$1,FALSE))="","",INDEX(Spring!$1:$1048576,MATCH(All!$A150,Spring!$A:$A,FALSE),MATCH(All!W$1,Spring!$1:$1,FALSE))),"")</f>
        <v/>
      </c>
      <c r="X150" t="str">
        <f>IFERROR(IF(INDEX(Spring!$1:$1048576,MATCH(All!$A150,Spring!$A:$A,FALSE),MATCH(All!X$1,Spring!$1:$1,FALSE))="","",INDEX(Spring!$1:$1048576,MATCH(All!$A150,Spring!$A:$A,FALSE),MATCH(All!X$1,Spring!$1:$1,FALSE))),"")</f>
        <v/>
      </c>
      <c r="Y150" t="str">
        <f>IFERROR(IF(INDEX(Spring!$1:$1048576,MATCH(All!$A150,Spring!$A:$A,FALSE),MATCH(All!Y$1,Spring!$1:$1,FALSE))="","",INDEX(Spring!$1:$1048576,MATCH(All!$A150,Spring!$A:$A,FALSE),MATCH(All!Y$1,Spring!$1:$1,FALSE))),"")</f>
        <v/>
      </c>
      <c r="Z150" t="str">
        <f>IFERROR(IF(INDEX(Spring!$1:$1048576,MATCH(All!$A150,Spring!$A:$A,FALSE),MATCH(All!Z$1,Spring!$1:$1,FALSE))="","",INDEX(Spring!$1:$1048576,MATCH(All!$A150,Spring!$A:$A,FALSE),MATCH(All!Z$1,Spring!$1:$1,FALSE))),"")</f>
        <v/>
      </c>
      <c r="AA150" t="str">
        <f>IFERROR(IF(INDEX(Spring!$1:$1048576,MATCH(All!$A150,Spring!$A:$A,FALSE),MATCH(All!AA$1,Spring!$1:$1,FALSE))="","",INDEX(Spring!$1:$1048576,MATCH(All!$A150,Spring!$A:$A,FALSE),MATCH(All!AA$1,Spring!$1:$1,FALSE))),"")</f>
        <v/>
      </c>
      <c r="AB150" t="str">
        <f>IFERROR(IF(INDEX(Spring!$1:$1048576,MATCH(All!$A150,Spring!$A:$A,FALSE),MATCH(All!AB$1,Spring!$1:$1,FALSE))="","",INDEX(Spring!$1:$1048576,MATCH(All!$A150,Spring!$A:$A,FALSE),MATCH(All!AB$1,Spring!$1:$1,FALSE))),"")</f>
        <v/>
      </c>
      <c r="AC150" t="str">
        <f>IFERROR(IF(INDEX(Spring!$1:$1048576,MATCH(All!$A150,Spring!$A:$A,FALSE),MATCH(All!AC$1,Spring!$1:$1,FALSE))="","",INDEX(Spring!$1:$1048576,MATCH(All!$A150,Spring!$A:$A,FALSE),MATCH(All!AC$1,Spring!$1:$1,FALSE))),"")</f>
        <v/>
      </c>
      <c r="AD150" t="str">
        <f>IFERROR(VLOOKUP(A150,'Flag Football'!A:A,1,FALSE),"")</f>
        <v/>
      </c>
      <c r="AE150" t="str">
        <f t="shared" si="2"/>
        <v/>
      </c>
    </row>
    <row r="151" spans="1:31" ht="15.75" thickBot="1" x14ac:dyDescent="0.3">
      <c r="A151" s="20" t="s">
        <v>188</v>
      </c>
      <c r="B151" s="38">
        <f>IFERROR(VLOOKUP(A151,'Public v Private'!A:G,3,FALSE),"")</f>
        <v>0</v>
      </c>
      <c r="C151" s="38">
        <f>IFERROR(VLOOKUP(A151,'Public v Private'!A:G,4,FALSE),"")</f>
        <v>0</v>
      </c>
      <c r="D151" s="38">
        <f>IFERROR(VLOOKUP(A151,'Public v Private'!A:G,5,FALSE),"")</f>
        <v>0</v>
      </c>
      <c r="E151" s="38"/>
      <c r="F151" s="40" t="str">
        <f>IFERROR(INDEX(Fall!$1:$1048576,MATCH(All!$A151,Fall!$A:$A,FALSE),MATCH(All!F$1,Fall!$1:$1,FALSE)),"N/A")</f>
        <v>N/A</v>
      </c>
      <c r="G151" t="str">
        <f>IFERROR(IF(INDEX(Fall!$1:$1048576,MATCH(All!$A151,Fall!$A:$A,FALSE),MATCH(All!G$1,Fall!$1:$1,FALSE))="","",INDEX(Fall!$1:$1048576,MATCH(All!$A151,Fall!$A:$A,FALSE),MATCH(All!G$1,Fall!$1:$1,FALSE))),"")</f>
        <v/>
      </c>
      <c r="H151" t="str">
        <f>IFERROR(IF(INDEX(Fall!$1:$1048576,MATCH(All!$A151,Fall!$A:$A,FALSE),MATCH(All!H$1,Fall!$1:$1,FALSE))="","",INDEX(Fall!$1:$1048576,MATCH(All!$A151,Fall!$A:$A,FALSE),MATCH(All!H$1,Fall!$1:$1,FALSE))),"")</f>
        <v/>
      </c>
      <c r="I151" t="str">
        <f>IFERROR(IF(INDEX(Fall!$1:$1048576,MATCH(All!$A151,Fall!$A:$A,FALSE),MATCH(All!I$1,Fall!$1:$1,FALSE))="","",INDEX(Fall!$1:$1048576,MATCH(All!$A151,Fall!$A:$A,FALSE),MATCH(All!I$1,Fall!$1:$1,FALSE))),"")</f>
        <v/>
      </c>
      <c r="J151" t="str">
        <f>IFERROR(IF(INDEX(Fall!$1:$1048576,MATCH(All!$A151,Fall!$A:$A,FALSE),MATCH(All!J$1,Fall!$1:$1,FALSE))="","",INDEX(Fall!$1:$1048576,MATCH(All!$A151,Fall!$A:$A,FALSE),MATCH(All!J$1,Fall!$1:$1,FALSE))),"")</f>
        <v/>
      </c>
      <c r="K151" t="str">
        <f>IFERROR(IF(INDEX(Fall!$1:$1048576,MATCH(All!$A151,Fall!$A:$A,FALSE),MATCH(All!K$1,Fall!$1:$1,FALSE))="","",INDEX(Fall!$1:$1048576,MATCH(All!$A151,Fall!$A:$A,FALSE),MATCH(All!K$1,Fall!$1:$1,FALSE))),"")</f>
        <v/>
      </c>
      <c r="L151" t="str">
        <f>IFERROR(IF(INDEX(Fall!$1:$1048576,MATCH(All!$A151,Fall!$A:$A,FALSE),MATCH(All!L$1,Fall!$1:$1,FALSE))="","",INDEX(Fall!$1:$1048576,MATCH(All!$A151,Fall!$A:$A,FALSE),MATCH(All!L$1,Fall!$1:$1,FALSE))),"")</f>
        <v/>
      </c>
      <c r="M151" t="str">
        <f>IFERROR(IF(INDEX(Fall!$1:$1048576,MATCH(All!$A151,Fall!$A:$A,FALSE),MATCH(All!M$1,Fall!$1:$1,FALSE))="","",INDEX(Fall!$1:$1048576,MATCH(All!$A151,Fall!$A:$A,FALSE),MATCH(All!M$1,Fall!$1:$1,FALSE))),"")</f>
        <v/>
      </c>
      <c r="O151">
        <f>IFERROR(IF(INDEX(Winter!$1:$1048576,MATCH(All!$A151,Winter!$A:$A,FALSE),MATCH(All!O$1,Winter!$1:$1,FALSE))="","",INDEX(Winter!$1:$1048576,MATCH(All!$A151,Winter!$A:$A,FALSE),MATCH(All!O$1,Winter!$1:$1,FALSE))),"")</f>
        <v>192</v>
      </c>
      <c r="P151" t="str">
        <f>IFERROR(IF(INDEX(Winter!$1:$1048576,MATCH(All!$A151,Winter!$A:$A,FALSE),MATCH(All!P$1,Winter!$1:$1,FALSE))="","",INDEX(Winter!$1:$1048576,MATCH(All!$A151,Winter!$A:$A,FALSE),MATCH(All!P$1,Winter!$1:$1,FALSE))),"")</f>
        <v>1A</v>
      </c>
      <c r="Q151" t="str">
        <f>IFERROR(IF(INDEX(Winter!$1:$1048576,MATCH(All!$A151,Winter!$A:$A,FALSE),MATCH(All!Q$1,Winter!$1:$1,FALSE))="","",INDEX(Winter!$1:$1048576,MATCH(All!$A151,Winter!$A:$A,FALSE),MATCH(All!Q$1,Winter!$1:$1,FALSE))),"")</f>
        <v/>
      </c>
      <c r="R151" t="str">
        <f>IFERROR(IF(INDEX(Winter!$1:$1048576,MATCH(All!$A151,Winter!$A:$A,FALSE),MATCH(All!R$1,Winter!$1:$1,FALSE))="","",INDEX(Winter!$1:$1048576,MATCH(All!$A151,Winter!$A:$A,FALSE),MATCH(All!R$1,Winter!$1:$1,FALSE))),"")</f>
        <v/>
      </c>
      <c r="S151" t="str">
        <f>IFERROR(IF(INDEX(Winter!$1:$1048576,MATCH(All!$A151,Winter!$A:$A,FALSE),MATCH(All!S$1,Winter!$1:$1,FALSE))="","",INDEX(Winter!$1:$1048576,MATCH(All!$A151,Winter!$A:$A,FALSE),MATCH(All!S$1,Winter!$1:$1,FALSE))),"")</f>
        <v>1A</v>
      </c>
      <c r="T151" t="str">
        <f>IFERROR(IF(INDEX(Winter!$1:$1048576,MATCH(All!$A151,Winter!$A:$A,FALSE),MATCH(All!T$1,Winter!$1:$1,FALSE))="","",INDEX(Winter!$1:$1048576,MATCH(All!$A151,Winter!$A:$A,FALSE),MATCH(All!T$1,Winter!$1:$1,FALSE))),"")</f>
        <v/>
      </c>
      <c r="U151" t="str">
        <f>IFERROR(IF(INDEX(Winter!$1:$1048576,MATCH(All!$A151,Winter!$A:$A,FALSE),MATCH(All!U$1,Winter!$1:$1,FALSE))="","",INDEX(Winter!$1:$1048576,MATCH(All!$A151,Winter!$A:$A,FALSE),MATCH(All!U$1,Winter!$1:$1,FALSE))),"")</f>
        <v>1A</v>
      </c>
      <c r="W151">
        <f>IFERROR(IF(INDEX(Spring!$1:$1048576,MATCH(All!$A151,Spring!$A:$A,FALSE),MATCH(All!W$1,Spring!$1:$1,FALSE))="","",INDEX(Spring!$1:$1048576,MATCH(All!$A151,Spring!$A:$A,FALSE),MATCH(All!W$1,Spring!$1:$1,FALSE))),"")</f>
        <v>192</v>
      </c>
      <c r="X151" t="str">
        <f>IFERROR(IF(INDEX(Spring!$1:$1048576,MATCH(All!$A151,Spring!$A:$A,FALSE),MATCH(All!X$1,Spring!$1:$1,FALSE))="","",INDEX(Spring!$1:$1048576,MATCH(All!$A151,Spring!$A:$A,FALSE),MATCH(All!X$1,Spring!$1:$1,FALSE))),"")</f>
        <v/>
      </c>
      <c r="Y151" t="str">
        <f>IFERROR(IF(INDEX(Spring!$1:$1048576,MATCH(All!$A151,Spring!$A:$A,FALSE),MATCH(All!Y$1,Spring!$1:$1,FALSE))="","",INDEX(Spring!$1:$1048576,MATCH(All!$A151,Spring!$A:$A,FALSE),MATCH(All!Y$1,Spring!$1:$1,FALSE))),"")</f>
        <v/>
      </c>
      <c r="Z151" t="str">
        <f>IFERROR(IF(INDEX(Spring!$1:$1048576,MATCH(All!$A151,Spring!$A:$A,FALSE),MATCH(All!Z$1,Spring!$1:$1,FALSE))="","",INDEX(Spring!$1:$1048576,MATCH(All!$A151,Spring!$A:$A,FALSE),MATCH(All!Z$1,Spring!$1:$1,FALSE))),"")</f>
        <v/>
      </c>
      <c r="AA151" t="str">
        <f>IFERROR(IF(INDEX(Spring!$1:$1048576,MATCH(All!$A151,Spring!$A:$A,FALSE),MATCH(All!AA$1,Spring!$1:$1,FALSE))="","",INDEX(Spring!$1:$1048576,MATCH(All!$A151,Spring!$A:$A,FALSE),MATCH(All!AA$1,Spring!$1:$1,FALSE))),"")</f>
        <v/>
      </c>
      <c r="AB151" t="str">
        <f>IFERROR(IF(INDEX(Spring!$1:$1048576,MATCH(All!$A151,Spring!$A:$A,FALSE),MATCH(All!AB$1,Spring!$1:$1,FALSE))="","",INDEX(Spring!$1:$1048576,MATCH(All!$A151,Spring!$A:$A,FALSE),MATCH(All!AB$1,Spring!$1:$1,FALSE))),"")</f>
        <v>1A</v>
      </c>
      <c r="AC151" t="str">
        <f>IFERROR(IF(INDEX(Spring!$1:$1048576,MATCH(All!$A151,Spring!$A:$A,FALSE),MATCH(All!AC$1,Spring!$1:$1,FALSE))="","",INDEX(Spring!$1:$1048576,MATCH(All!$A151,Spring!$A:$A,FALSE),MATCH(All!AC$1,Spring!$1:$1,FALSE))),"")</f>
        <v>1A</v>
      </c>
      <c r="AD151" t="str">
        <f>IFERROR(VLOOKUP(A151,'Flag Football'!A:A,1,FALSE),"")</f>
        <v/>
      </c>
      <c r="AE151" t="str">
        <f t="shared" si="2"/>
        <v/>
      </c>
    </row>
    <row r="152" spans="1:31" ht="15.75" thickBot="1" x14ac:dyDescent="0.3">
      <c r="A152" s="20" t="s">
        <v>189</v>
      </c>
      <c r="B152" s="38">
        <f>IFERROR(VLOOKUP(A152,'Public v Private'!A:G,3,FALSE),"")</f>
        <v>0</v>
      </c>
      <c r="C152" s="38">
        <f>IFERROR(VLOOKUP(A152,'Public v Private'!A:G,4,FALSE),"")</f>
        <v>0</v>
      </c>
      <c r="D152" s="38">
        <f>IFERROR(VLOOKUP(A152,'Public v Private'!A:G,5,FALSE),"")</f>
        <v>0</v>
      </c>
      <c r="E152" s="38"/>
      <c r="F152" s="40">
        <f>IFERROR(INDEX(Fall!$1:$1048576,MATCH(All!$A152,Fall!$A:$A,FALSE),MATCH(All!F$1,Fall!$1:$1,FALSE)),"N/A")</f>
        <v>508</v>
      </c>
      <c r="G152" t="str">
        <f>IFERROR(IF(INDEX(Fall!$1:$1048576,MATCH(All!$A152,Fall!$A:$A,FALSE),MATCH(All!G$1,Fall!$1:$1,FALSE))="","",INDEX(Fall!$1:$1048576,MATCH(All!$A152,Fall!$A:$A,FALSE),MATCH(All!G$1,Fall!$1:$1,FALSE))),"")</f>
        <v/>
      </c>
      <c r="H152" t="str">
        <f>IFERROR(IF(INDEX(Fall!$1:$1048576,MATCH(All!$A152,Fall!$A:$A,FALSE),MATCH(All!H$1,Fall!$1:$1,FALSE))="","",INDEX(Fall!$1:$1048576,MATCH(All!$A152,Fall!$A:$A,FALSE),MATCH(All!H$1,Fall!$1:$1,FALSE))),"")</f>
        <v/>
      </c>
      <c r="I152" t="str">
        <f>IFERROR(IF(INDEX(Fall!$1:$1048576,MATCH(All!$A152,Fall!$A:$A,FALSE),MATCH(All!I$1,Fall!$1:$1,FALSE))="","",INDEX(Fall!$1:$1048576,MATCH(All!$A152,Fall!$A:$A,FALSE),MATCH(All!I$1,Fall!$1:$1,FALSE))),"")</f>
        <v/>
      </c>
      <c r="J152" t="str">
        <f>IFERROR(IF(INDEX(Fall!$1:$1048576,MATCH(All!$A152,Fall!$A:$A,FALSE),MATCH(All!J$1,Fall!$1:$1,FALSE))="","",INDEX(Fall!$1:$1048576,MATCH(All!$A152,Fall!$A:$A,FALSE),MATCH(All!J$1,Fall!$1:$1,FALSE))),"")</f>
        <v/>
      </c>
      <c r="K152" t="str">
        <f>IFERROR(IF(INDEX(Fall!$1:$1048576,MATCH(All!$A152,Fall!$A:$A,FALSE),MATCH(All!K$1,Fall!$1:$1,FALSE))="","",INDEX(Fall!$1:$1048576,MATCH(All!$A152,Fall!$A:$A,FALSE),MATCH(All!K$1,Fall!$1:$1,FALSE))),"")</f>
        <v/>
      </c>
      <c r="L152" t="str">
        <f>IFERROR(IF(INDEX(Fall!$1:$1048576,MATCH(All!$A152,Fall!$A:$A,FALSE),MATCH(All!L$1,Fall!$1:$1,FALSE))="","",INDEX(Fall!$1:$1048576,MATCH(All!$A152,Fall!$A:$A,FALSE),MATCH(All!L$1,Fall!$1:$1,FALSE))),"")</f>
        <v/>
      </c>
      <c r="M152" t="str">
        <f>IFERROR(IF(INDEX(Fall!$1:$1048576,MATCH(All!$A152,Fall!$A:$A,FALSE),MATCH(All!M$1,Fall!$1:$1,FALSE))="","",INDEX(Fall!$1:$1048576,MATCH(All!$A152,Fall!$A:$A,FALSE),MATCH(All!M$1,Fall!$1:$1,FALSE))),"")</f>
        <v>2A</v>
      </c>
      <c r="O152">
        <f>IFERROR(IF(INDEX(Winter!$1:$1048576,MATCH(All!$A152,Winter!$A:$A,FALSE),MATCH(All!O$1,Winter!$1:$1,FALSE))="","",INDEX(Winter!$1:$1048576,MATCH(All!$A152,Winter!$A:$A,FALSE),MATCH(All!O$1,Winter!$1:$1,FALSE))),"")</f>
        <v>508</v>
      </c>
      <c r="P152" t="str">
        <f>IFERROR(IF(INDEX(Winter!$1:$1048576,MATCH(All!$A152,Winter!$A:$A,FALSE),MATCH(All!P$1,Winter!$1:$1,FALSE))="","",INDEX(Winter!$1:$1048576,MATCH(All!$A152,Winter!$A:$A,FALSE),MATCH(All!P$1,Winter!$1:$1,FALSE))),"")</f>
        <v>2A</v>
      </c>
      <c r="Q152" t="str">
        <f>IFERROR(IF(INDEX(Winter!$1:$1048576,MATCH(All!$A152,Winter!$A:$A,FALSE),MATCH(All!Q$1,Winter!$1:$1,FALSE))="","",INDEX(Winter!$1:$1048576,MATCH(All!$A152,Winter!$A:$A,FALSE),MATCH(All!Q$1,Winter!$1:$1,FALSE))),"")</f>
        <v>2A</v>
      </c>
      <c r="R152" t="str">
        <f>IFERROR(IF(INDEX(Winter!$1:$1048576,MATCH(All!$A152,Winter!$A:$A,FALSE),MATCH(All!R$1,Winter!$1:$1,FALSE))="","",INDEX(Winter!$1:$1048576,MATCH(All!$A152,Winter!$A:$A,FALSE),MATCH(All!R$1,Winter!$1:$1,FALSE))),"")</f>
        <v/>
      </c>
      <c r="S152" t="str">
        <f>IFERROR(IF(INDEX(Winter!$1:$1048576,MATCH(All!$A152,Winter!$A:$A,FALSE),MATCH(All!S$1,Winter!$1:$1,FALSE))="","",INDEX(Winter!$1:$1048576,MATCH(All!$A152,Winter!$A:$A,FALSE),MATCH(All!S$1,Winter!$1:$1,FALSE))),"")</f>
        <v>1A</v>
      </c>
      <c r="T152" t="str">
        <f>IFERROR(IF(INDEX(Winter!$1:$1048576,MATCH(All!$A152,Winter!$A:$A,FALSE),MATCH(All!T$1,Winter!$1:$1,FALSE))="","",INDEX(Winter!$1:$1048576,MATCH(All!$A152,Winter!$A:$A,FALSE),MATCH(All!T$1,Winter!$1:$1,FALSE))),"")</f>
        <v/>
      </c>
      <c r="U152" t="str">
        <f>IFERROR(IF(INDEX(Winter!$1:$1048576,MATCH(All!$A152,Winter!$A:$A,FALSE),MATCH(All!U$1,Winter!$1:$1,FALSE))="","",INDEX(Winter!$1:$1048576,MATCH(All!$A152,Winter!$A:$A,FALSE),MATCH(All!U$1,Winter!$1:$1,FALSE))),"")</f>
        <v>1A</v>
      </c>
      <c r="W152">
        <f>IFERROR(IF(INDEX(Spring!$1:$1048576,MATCH(All!$A152,Spring!$A:$A,FALSE),MATCH(All!W$1,Spring!$1:$1,FALSE))="","",INDEX(Spring!$1:$1048576,MATCH(All!$A152,Spring!$A:$A,FALSE),MATCH(All!W$1,Spring!$1:$1,FALSE))),"")</f>
        <v>508</v>
      </c>
      <c r="X152" t="str">
        <f>IFERROR(IF(INDEX(Spring!$1:$1048576,MATCH(All!$A152,Spring!$A:$A,FALSE),MATCH(All!X$1,Spring!$1:$1,FALSE))="","",INDEX(Spring!$1:$1048576,MATCH(All!$A152,Spring!$A:$A,FALSE),MATCH(All!X$1,Spring!$1:$1,FALSE))),"")</f>
        <v/>
      </c>
      <c r="Y152" t="str">
        <f>IFERROR(IF(INDEX(Spring!$1:$1048576,MATCH(All!$A152,Spring!$A:$A,FALSE),MATCH(All!Y$1,Spring!$1:$1,FALSE))="","",INDEX(Spring!$1:$1048576,MATCH(All!$A152,Spring!$A:$A,FALSE),MATCH(All!Y$1,Spring!$1:$1,FALSE))),"")</f>
        <v/>
      </c>
      <c r="Z152" t="str">
        <f>IFERROR(IF(INDEX(Spring!$1:$1048576,MATCH(All!$A152,Spring!$A:$A,FALSE),MATCH(All!Z$1,Spring!$1:$1,FALSE))="","",INDEX(Spring!$1:$1048576,MATCH(All!$A152,Spring!$A:$A,FALSE),MATCH(All!Z$1,Spring!$1:$1,FALSE))),"")</f>
        <v/>
      </c>
      <c r="AA152" t="str">
        <f>IFERROR(IF(INDEX(Spring!$1:$1048576,MATCH(All!$A152,Spring!$A:$A,FALSE),MATCH(All!AA$1,Spring!$1:$1,FALSE))="","",INDEX(Spring!$1:$1048576,MATCH(All!$A152,Spring!$A:$A,FALSE),MATCH(All!AA$1,Spring!$1:$1,FALSE))),"")</f>
        <v/>
      </c>
      <c r="AB152" t="str">
        <f>IFERROR(IF(INDEX(Spring!$1:$1048576,MATCH(All!$A152,Spring!$A:$A,FALSE),MATCH(All!AB$1,Spring!$1:$1,FALSE))="","",INDEX(Spring!$1:$1048576,MATCH(All!$A152,Spring!$A:$A,FALSE),MATCH(All!AB$1,Spring!$1:$1,FALSE))),"")</f>
        <v>2A</v>
      </c>
      <c r="AC152" t="str">
        <f>IFERROR(IF(INDEX(Spring!$1:$1048576,MATCH(All!$A152,Spring!$A:$A,FALSE),MATCH(All!AC$1,Spring!$1:$1,FALSE))="","",INDEX(Spring!$1:$1048576,MATCH(All!$A152,Spring!$A:$A,FALSE),MATCH(All!AC$1,Spring!$1:$1,FALSE))),"")</f>
        <v>2A</v>
      </c>
      <c r="AD152" t="str">
        <f>IFERROR(VLOOKUP(A152,'Flag Football'!A:A,1,FALSE),"")</f>
        <v/>
      </c>
      <c r="AE152" t="str">
        <f t="shared" si="2"/>
        <v/>
      </c>
    </row>
    <row r="153" spans="1:31" ht="15.75" thickBot="1" x14ac:dyDescent="0.3">
      <c r="A153" s="18" t="s">
        <v>190</v>
      </c>
      <c r="B153" s="38">
        <f>IFERROR(VLOOKUP(A153,'Public v Private'!A:G,3,FALSE),"")</f>
        <v>0</v>
      </c>
      <c r="C153" s="38">
        <f>IFERROR(VLOOKUP(A153,'Public v Private'!A:G,4,FALSE),"")</f>
        <v>0</v>
      </c>
      <c r="D153" s="38">
        <f>IFERROR(VLOOKUP(A153,'Public v Private'!A:G,5,FALSE),"")</f>
        <v>0</v>
      </c>
      <c r="E153" s="38"/>
      <c r="F153" s="40">
        <f>IFERROR(INDEX(Fall!$1:$1048576,MATCH(All!$A153,Fall!$A:$A,FALSE),MATCH(All!F$1,Fall!$1:$1,FALSE)),"N/A")</f>
        <v>625</v>
      </c>
      <c r="G153" t="str">
        <f>IFERROR(IF(INDEX(Fall!$1:$1048576,MATCH(All!$A153,Fall!$A:$A,FALSE),MATCH(All!G$1,Fall!$1:$1,FALSE))="","",INDEX(Fall!$1:$1048576,MATCH(All!$A153,Fall!$A:$A,FALSE),MATCH(All!G$1,Fall!$1:$1,FALSE))),"")</f>
        <v/>
      </c>
      <c r="H153" t="str">
        <f>IFERROR(IF(INDEX(Fall!$1:$1048576,MATCH(All!$A153,Fall!$A:$A,FALSE),MATCH(All!H$1,Fall!$1:$1,FALSE))="","",INDEX(Fall!$1:$1048576,MATCH(All!$A153,Fall!$A:$A,FALSE),MATCH(All!H$1,Fall!$1:$1,FALSE))),"")</f>
        <v/>
      </c>
      <c r="I153" t="str">
        <f>IFERROR(IF(INDEX(Fall!$1:$1048576,MATCH(All!$A153,Fall!$A:$A,FALSE),MATCH(All!I$1,Fall!$1:$1,FALSE))="","",INDEX(Fall!$1:$1048576,MATCH(All!$A153,Fall!$A:$A,FALSE),MATCH(All!I$1,Fall!$1:$1,FALSE))),"")</f>
        <v/>
      </c>
      <c r="J153" t="str">
        <f>IFERROR(IF(INDEX(Fall!$1:$1048576,MATCH(All!$A153,Fall!$A:$A,FALSE),MATCH(All!J$1,Fall!$1:$1,FALSE))="","",INDEX(Fall!$1:$1048576,MATCH(All!$A153,Fall!$A:$A,FALSE),MATCH(All!J$1,Fall!$1:$1,FALSE))),"")</f>
        <v/>
      </c>
      <c r="K153" t="str">
        <f>IFERROR(IF(INDEX(Fall!$1:$1048576,MATCH(All!$A153,Fall!$A:$A,FALSE),MATCH(All!K$1,Fall!$1:$1,FALSE))="","",INDEX(Fall!$1:$1048576,MATCH(All!$A153,Fall!$A:$A,FALSE),MATCH(All!K$1,Fall!$1:$1,FALSE))),"")</f>
        <v/>
      </c>
      <c r="L153" t="str">
        <f>IFERROR(IF(INDEX(Fall!$1:$1048576,MATCH(All!$A153,Fall!$A:$A,FALSE),MATCH(All!L$1,Fall!$1:$1,FALSE))="","",INDEX(Fall!$1:$1048576,MATCH(All!$A153,Fall!$A:$A,FALSE),MATCH(All!L$1,Fall!$1:$1,FALSE))),"")</f>
        <v/>
      </c>
      <c r="M153" t="str">
        <f>IFERROR(IF(INDEX(Fall!$1:$1048576,MATCH(All!$A153,Fall!$A:$A,FALSE),MATCH(All!M$1,Fall!$1:$1,FALSE))="","",INDEX(Fall!$1:$1048576,MATCH(All!$A153,Fall!$A:$A,FALSE),MATCH(All!M$1,Fall!$1:$1,FALSE))),"")</f>
        <v>2A</v>
      </c>
      <c r="O153">
        <f>IFERROR(IF(INDEX(Winter!$1:$1048576,MATCH(All!$A153,Winter!$A:$A,FALSE),MATCH(All!O$1,Winter!$1:$1,FALSE))="","",INDEX(Winter!$1:$1048576,MATCH(All!$A153,Winter!$A:$A,FALSE),MATCH(All!O$1,Winter!$1:$1,FALSE))),"")</f>
        <v>625</v>
      </c>
      <c r="P153" t="str">
        <f>IFERROR(IF(INDEX(Winter!$1:$1048576,MATCH(All!$A153,Winter!$A:$A,FALSE),MATCH(All!P$1,Winter!$1:$1,FALSE))="","",INDEX(Winter!$1:$1048576,MATCH(All!$A153,Winter!$A:$A,FALSE),MATCH(All!P$1,Winter!$1:$1,FALSE))),"")</f>
        <v>2A</v>
      </c>
      <c r="Q153" t="str">
        <f>IFERROR(IF(INDEX(Winter!$1:$1048576,MATCH(All!$A153,Winter!$A:$A,FALSE),MATCH(All!Q$1,Winter!$1:$1,FALSE))="","",INDEX(Winter!$1:$1048576,MATCH(All!$A153,Winter!$A:$A,FALSE),MATCH(All!Q$1,Winter!$1:$1,FALSE))),"")</f>
        <v>2A</v>
      </c>
      <c r="R153" t="str">
        <f>IFERROR(IF(INDEX(Winter!$1:$1048576,MATCH(All!$A153,Winter!$A:$A,FALSE),MATCH(All!R$1,Winter!$1:$1,FALSE))="","",INDEX(Winter!$1:$1048576,MATCH(All!$A153,Winter!$A:$A,FALSE),MATCH(All!R$1,Winter!$1:$1,FALSE))),"")</f>
        <v/>
      </c>
      <c r="S153" t="str">
        <f>IFERROR(IF(INDEX(Winter!$1:$1048576,MATCH(All!$A153,Winter!$A:$A,FALSE),MATCH(All!S$1,Winter!$1:$1,FALSE))="","",INDEX(Winter!$1:$1048576,MATCH(All!$A153,Winter!$A:$A,FALSE),MATCH(All!S$1,Winter!$1:$1,FALSE))),"")</f>
        <v/>
      </c>
      <c r="T153" t="str">
        <f>IFERROR(IF(INDEX(Winter!$1:$1048576,MATCH(All!$A153,Winter!$A:$A,FALSE),MATCH(All!T$1,Winter!$1:$1,FALSE))="","",INDEX(Winter!$1:$1048576,MATCH(All!$A153,Winter!$A:$A,FALSE),MATCH(All!T$1,Winter!$1:$1,FALSE))),"")</f>
        <v/>
      </c>
      <c r="U153" t="str">
        <f>IFERROR(IF(INDEX(Winter!$1:$1048576,MATCH(All!$A153,Winter!$A:$A,FALSE),MATCH(All!U$1,Winter!$1:$1,FALSE))="","",INDEX(Winter!$1:$1048576,MATCH(All!$A153,Winter!$A:$A,FALSE),MATCH(All!U$1,Winter!$1:$1,FALSE))),"")</f>
        <v>1A</v>
      </c>
      <c r="W153">
        <f>IFERROR(IF(INDEX(Spring!$1:$1048576,MATCH(All!$A153,Spring!$A:$A,FALSE),MATCH(All!W$1,Spring!$1:$1,FALSE))="","",INDEX(Spring!$1:$1048576,MATCH(All!$A153,Spring!$A:$A,FALSE),MATCH(All!W$1,Spring!$1:$1,FALSE))),"")</f>
        <v>625</v>
      </c>
      <c r="X153" t="str">
        <f>IFERROR(IF(INDEX(Spring!$1:$1048576,MATCH(All!$A153,Spring!$A:$A,FALSE),MATCH(All!X$1,Spring!$1:$1,FALSE))="","",INDEX(Spring!$1:$1048576,MATCH(All!$A153,Spring!$A:$A,FALSE),MATCH(All!X$1,Spring!$1:$1,FALSE))),"")</f>
        <v/>
      </c>
      <c r="Y153" t="str">
        <f>IFERROR(IF(INDEX(Spring!$1:$1048576,MATCH(All!$A153,Spring!$A:$A,FALSE),MATCH(All!Y$1,Spring!$1:$1,FALSE))="","",INDEX(Spring!$1:$1048576,MATCH(All!$A153,Spring!$A:$A,FALSE),MATCH(All!Y$1,Spring!$1:$1,FALSE))),"")</f>
        <v/>
      </c>
      <c r="Z153" t="str">
        <f>IFERROR(IF(INDEX(Spring!$1:$1048576,MATCH(All!$A153,Spring!$A:$A,FALSE),MATCH(All!Z$1,Spring!$1:$1,FALSE))="","",INDEX(Spring!$1:$1048576,MATCH(All!$A153,Spring!$A:$A,FALSE),MATCH(All!Z$1,Spring!$1:$1,FALSE))),"")</f>
        <v>1A</v>
      </c>
      <c r="AA153" t="str">
        <f>IFERROR(IF(INDEX(Spring!$1:$1048576,MATCH(All!$A153,Spring!$A:$A,FALSE),MATCH(All!AA$1,Spring!$1:$1,FALSE))="","",INDEX(Spring!$1:$1048576,MATCH(All!$A153,Spring!$A:$A,FALSE),MATCH(All!AA$1,Spring!$1:$1,FALSE))),"")</f>
        <v/>
      </c>
      <c r="AB153" t="str">
        <f>IFERROR(IF(INDEX(Spring!$1:$1048576,MATCH(All!$A153,Spring!$A:$A,FALSE),MATCH(All!AB$1,Spring!$1:$1,FALSE))="","",INDEX(Spring!$1:$1048576,MATCH(All!$A153,Spring!$A:$A,FALSE),MATCH(All!AB$1,Spring!$1:$1,FALSE))),"")</f>
        <v>2A</v>
      </c>
      <c r="AC153" t="str">
        <f>IFERROR(IF(INDEX(Spring!$1:$1048576,MATCH(All!$A153,Spring!$A:$A,FALSE),MATCH(All!AC$1,Spring!$1:$1,FALSE))="","",INDEX(Spring!$1:$1048576,MATCH(All!$A153,Spring!$A:$A,FALSE),MATCH(All!AC$1,Spring!$1:$1,FALSE))),"")</f>
        <v>2A</v>
      </c>
      <c r="AD153" t="str">
        <f>IFERROR(VLOOKUP(A153,'Flag Football'!A:A,1,FALSE),"")</f>
        <v/>
      </c>
      <c r="AE153" t="str">
        <f t="shared" si="2"/>
        <v/>
      </c>
    </row>
    <row r="154" spans="1:31" ht="15.75" thickBot="1" x14ac:dyDescent="0.3">
      <c r="A154" s="18" t="s">
        <v>921</v>
      </c>
      <c r="B154" s="38" t="str">
        <f>IFERROR(VLOOKUP(A154,'Public v Private'!A:G,3,FALSE),"")</f>
        <v>?</v>
      </c>
      <c r="C154" s="38">
        <f>IFERROR(VLOOKUP(A154,'Public v Private'!A:G,4,FALSE),"")</f>
        <v>0</v>
      </c>
      <c r="D154" s="38">
        <f>IFERROR(VLOOKUP(A154,'Public v Private'!A:G,5,FALSE),"")</f>
        <v>0</v>
      </c>
      <c r="E154" s="38"/>
      <c r="F154" s="40" t="str">
        <f>IFERROR(INDEX(Fall!$1:$1048576,MATCH(All!$A154,Fall!$A:$A,FALSE),MATCH(All!F$1,Fall!$1:$1,FALSE)),"N/A")</f>
        <v>N/A</v>
      </c>
      <c r="G154" t="str">
        <f>IFERROR(IF(INDEX(Fall!$1:$1048576,MATCH(All!$A154,Fall!$A:$A,FALSE),MATCH(All!G$1,Fall!$1:$1,FALSE))="","",INDEX(Fall!$1:$1048576,MATCH(All!$A154,Fall!$A:$A,FALSE),MATCH(All!G$1,Fall!$1:$1,FALSE))),"")</f>
        <v/>
      </c>
      <c r="H154" t="str">
        <f>IFERROR(IF(INDEX(Fall!$1:$1048576,MATCH(All!$A154,Fall!$A:$A,FALSE),MATCH(All!H$1,Fall!$1:$1,FALSE))="","",INDEX(Fall!$1:$1048576,MATCH(All!$A154,Fall!$A:$A,FALSE),MATCH(All!H$1,Fall!$1:$1,FALSE))),"")</f>
        <v/>
      </c>
      <c r="I154" t="str">
        <f>IFERROR(IF(INDEX(Fall!$1:$1048576,MATCH(All!$A154,Fall!$A:$A,FALSE),MATCH(All!I$1,Fall!$1:$1,FALSE))="","",INDEX(Fall!$1:$1048576,MATCH(All!$A154,Fall!$A:$A,FALSE),MATCH(All!I$1,Fall!$1:$1,FALSE))),"")</f>
        <v/>
      </c>
      <c r="J154" t="str">
        <f>IFERROR(IF(INDEX(Fall!$1:$1048576,MATCH(All!$A154,Fall!$A:$A,FALSE),MATCH(All!J$1,Fall!$1:$1,FALSE))="","",INDEX(Fall!$1:$1048576,MATCH(All!$A154,Fall!$A:$A,FALSE),MATCH(All!J$1,Fall!$1:$1,FALSE))),"")</f>
        <v/>
      </c>
      <c r="K154" t="str">
        <f>IFERROR(IF(INDEX(Fall!$1:$1048576,MATCH(All!$A154,Fall!$A:$A,FALSE),MATCH(All!K$1,Fall!$1:$1,FALSE))="","",INDEX(Fall!$1:$1048576,MATCH(All!$A154,Fall!$A:$A,FALSE),MATCH(All!K$1,Fall!$1:$1,FALSE))),"")</f>
        <v/>
      </c>
      <c r="L154" t="str">
        <f>IFERROR(IF(INDEX(Fall!$1:$1048576,MATCH(All!$A154,Fall!$A:$A,FALSE),MATCH(All!L$1,Fall!$1:$1,FALSE))="","",INDEX(Fall!$1:$1048576,MATCH(All!$A154,Fall!$A:$A,FALSE),MATCH(All!L$1,Fall!$1:$1,FALSE))),"")</f>
        <v/>
      </c>
      <c r="M154" t="str">
        <f>IFERROR(IF(INDEX(Fall!$1:$1048576,MATCH(All!$A154,Fall!$A:$A,FALSE),MATCH(All!M$1,Fall!$1:$1,FALSE))="","",INDEX(Fall!$1:$1048576,MATCH(All!$A154,Fall!$A:$A,FALSE),MATCH(All!M$1,Fall!$1:$1,FALSE))),"")</f>
        <v/>
      </c>
      <c r="O154" t="str">
        <f>IFERROR(IF(INDEX(Winter!$1:$1048576,MATCH(All!$A154,Winter!$A:$A,FALSE),MATCH(All!O$1,Winter!$1:$1,FALSE))="","",INDEX(Winter!$1:$1048576,MATCH(All!$A154,Winter!$A:$A,FALSE),MATCH(All!O$1,Winter!$1:$1,FALSE))),"")</f>
        <v>243.00 (400.95)</v>
      </c>
      <c r="P154" t="str">
        <f>IFERROR(IF(INDEX(Winter!$1:$1048576,MATCH(All!$A154,Winter!$A:$A,FALSE),MATCH(All!P$1,Winter!$1:$1,FALSE))="","",INDEX(Winter!$1:$1048576,MATCH(All!$A154,Winter!$A:$A,FALSE),MATCH(All!P$1,Winter!$1:$1,FALSE))),"")</f>
        <v>2A</v>
      </c>
      <c r="Q154" t="str">
        <f>IFERROR(IF(INDEX(Winter!$1:$1048576,MATCH(All!$A154,Winter!$A:$A,FALSE),MATCH(All!Q$1,Winter!$1:$1,FALSE))="","",INDEX(Winter!$1:$1048576,MATCH(All!$A154,Winter!$A:$A,FALSE),MATCH(All!Q$1,Winter!$1:$1,FALSE))),"")</f>
        <v/>
      </c>
      <c r="R154" t="str">
        <f>IFERROR(IF(INDEX(Winter!$1:$1048576,MATCH(All!$A154,Winter!$A:$A,FALSE),MATCH(All!R$1,Winter!$1:$1,FALSE))="","",INDEX(Winter!$1:$1048576,MATCH(All!$A154,Winter!$A:$A,FALSE),MATCH(All!R$1,Winter!$1:$1,FALSE))),"")</f>
        <v/>
      </c>
      <c r="S154" t="str">
        <f>IFERROR(IF(INDEX(Winter!$1:$1048576,MATCH(All!$A154,Winter!$A:$A,FALSE),MATCH(All!S$1,Winter!$1:$1,FALSE))="","",INDEX(Winter!$1:$1048576,MATCH(All!$A154,Winter!$A:$A,FALSE),MATCH(All!S$1,Winter!$1:$1,FALSE))),"")</f>
        <v/>
      </c>
      <c r="T154" t="str">
        <f>IFERROR(IF(INDEX(Winter!$1:$1048576,MATCH(All!$A154,Winter!$A:$A,FALSE),MATCH(All!T$1,Winter!$1:$1,FALSE))="","",INDEX(Winter!$1:$1048576,MATCH(All!$A154,Winter!$A:$A,FALSE),MATCH(All!T$1,Winter!$1:$1,FALSE))),"")</f>
        <v/>
      </c>
      <c r="U154" t="str">
        <f>IFERROR(IF(INDEX(Winter!$1:$1048576,MATCH(All!$A154,Winter!$A:$A,FALSE),MATCH(All!U$1,Winter!$1:$1,FALSE))="","",INDEX(Winter!$1:$1048576,MATCH(All!$A154,Winter!$A:$A,FALSE),MATCH(All!U$1,Winter!$1:$1,FALSE))),"")</f>
        <v/>
      </c>
      <c r="W154" t="str">
        <f>IFERROR(IF(INDEX(Spring!$1:$1048576,MATCH(All!$A154,Spring!$A:$A,FALSE),MATCH(All!W$1,Spring!$1:$1,FALSE))="","",INDEX(Spring!$1:$1048576,MATCH(All!$A154,Spring!$A:$A,FALSE),MATCH(All!W$1,Spring!$1:$1,FALSE))),"")</f>
        <v/>
      </c>
      <c r="X154" t="str">
        <f>IFERROR(IF(INDEX(Spring!$1:$1048576,MATCH(All!$A154,Spring!$A:$A,FALSE),MATCH(All!X$1,Spring!$1:$1,FALSE))="","",INDEX(Spring!$1:$1048576,MATCH(All!$A154,Spring!$A:$A,FALSE),MATCH(All!X$1,Spring!$1:$1,FALSE))),"")</f>
        <v/>
      </c>
      <c r="Y154" t="str">
        <f>IFERROR(IF(INDEX(Spring!$1:$1048576,MATCH(All!$A154,Spring!$A:$A,FALSE),MATCH(All!Y$1,Spring!$1:$1,FALSE))="","",INDEX(Spring!$1:$1048576,MATCH(All!$A154,Spring!$A:$A,FALSE),MATCH(All!Y$1,Spring!$1:$1,FALSE))),"")</f>
        <v/>
      </c>
      <c r="Z154" t="str">
        <f>IFERROR(IF(INDEX(Spring!$1:$1048576,MATCH(All!$A154,Spring!$A:$A,FALSE),MATCH(All!Z$1,Spring!$1:$1,FALSE))="","",INDEX(Spring!$1:$1048576,MATCH(All!$A154,Spring!$A:$A,FALSE),MATCH(All!Z$1,Spring!$1:$1,FALSE))),"")</f>
        <v/>
      </c>
      <c r="AA154" t="str">
        <f>IFERROR(IF(INDEX(Spring!$1:$1048576,MATCH(All!$A154,Spring!$A:$A,FALSE),MATCH(All!AA$1,Spring!$1:$1,FALSE))="","",INDEX(Spring!$1:$1048576,MATCH(All!$A154,Spring!$A:$A,FALSE),MATCH(All!AA$1,Spring!$1:$1,FALSE))),"")</f>
        <v/>
      </c>
      <c r="AB154" t="str">
        <f>IFERROR(IF(INDEX(Spring!$1:$1048576,MATCH(All!$A154,Spring!$A:$A,FALSE),MATCH(All!AB$1,Spring!$1:$1,FALSE))="","",INDEX(Spring!$1:$1048576,MATCH(All!$A154,Spring!$A:$A,FALSE),MATCH(All!AB$1,Spring!$1:$1,FALSE))),"")</f>
        <v/>
      </c>
      <c r="AC154" t="str">
        <f>IFERROR(IF(INDEX(Spring!$1:$1048576,MATCH(All!$A154,Spring!$A:$A,FALSE),MATCH(All!AC$1,Spring!$1:$1,FALSE))="","",INDEX(Spring!$1:$1048576,MATCH(All!$A154,Spring!$A:$A,FALSE),MATCH(All!AC$1,Spring!$1:$1,FALSE))),"")</f>
        <v/>
      </c>
      <c r="AD154" t="str">
        <f>IFERROR(VLOOKUP(A154,'Flag Football'!A:A,1,FALSE),"")</f>
        <v/>
      </c>
      <c r="AE154" t="str">
        <f t="shared" si="2"/>
        <v/>
      </c>
    </row>
    <row r="155" spans="1:31" ht="15.75" thickBot="1" x14ac:dyDescent="0.3">
      <c r="A155" s="20" t="s">
        <v>923</v>
      </c>
      <c r="B155" s="38" t="str">
        <f>IFERROR(VLOOKUP(A155,'Public v Private'!A:G,3,FALSE),"")</f>
        <v>?</v>
      </c>
      <c r="C155" s="38">
        <f>IFERROR(VLOOKUP(A155,'Public v Private'!A:G,4,FALSE),"")</f>
        <v>0</v>
      </c>
      <c r="D155" s="38">
        <f>IFERROR(VLOOKUP(A155,'Public v Private'!A:G,5,FALSE),"")</f>
        <v>0</v>
      </c>
      <c r="E155" s="38"/>
      <c r="F155" s="40" t="str">
        <f>IFERROR(INDEX(Fall!$1:$1048576,MATCH(All!$A155,Fall!$A:$A,FALSE),MATCH(All!F$1,Fall!$1:$1,FALSE)),"N/A")</f>
        <v>N/A</v>
      </c>
      <c r="G155" t="str">
        <f>IFERROR(IF(INDEX(Fall!$1:$1048576,MATCH(All!$A155,Fall!$A:$A,FALSE),MATCH(All!G$1,Fall!$1:$1,FALSE))="","",INDEX(Fall!$1:$1048576,MATCH(All!$A155,Fall!$A:$A,FALSE),MATCH(All!G$1,Fall!$1:$1,FALSE))),"")</f>
        <v/>
      </c>
      <c r="H155" t="str">
        <f>IFERROR(IF(INDEX(Fall!$1:$1048576,MATCH(All!$A155,Fall!$A:$A,FALSE),MATCH(All!H$1,Fall!$1:$1,FALSE))="","",INDEX(Fall!$1:$1048576,MATCH(All!$A155,Fall!$A:$A,FALSE),MATCH(All!H$1,Fall!$1:$1,FALSE))),"")</f>
        <v/>
      </c>
      <c r="I155" t="str">
        <f>IFERROR(IF(INDEX(Fall!$1:$1048576,MATCH(All!$A155,Fall!$A:$A,FALSE),MATCH(All!I$1,Fall!$1:$1,FALSE))="","",INDEX(Fall!$1:$1048576,MATCH(All!$A155,Fall!$A:$A,FALSE),MATCH(All!I$1,Fall!$1:$1,FALSE))),"")</f>
        <v/>
      </c>
      <c r="J155" t="str">
        <f>IFERROR(IF(INDEX(Fall!$1:$1048576,MATCH(All!$A155,Fall!$A:$A,FALSE),MATCH(All!J$1,Fall!$1:$1,FALSE))="","",INDEX(Fall!$1:$1048576,MATCH(All!$A155,Fall!$A:$A,FALSE),MATCH(All!J$1,Fall!$1:$1,FALSE))),"")</f>
        <v/>
      </c>
      <c r="K155" t="str">
        <f>IFERROR(IF(INDEX(Fall!$1:$1048576,MATCH(All!$A155,Fall!$A:$A,FALSE),MATCH(All!K$1,Fall!$1:$1,FALSE))="","",INDEX(Fall!$1:$1048576,MATCH(All!$A155,Fall!$A:$A,FALSE),MATCH(All!K$1,Fall!$1:$1,FALSE))),"")</f>
        <v/>
      </c>
      <c r="L155" t="str">
        <f>IFERROR(IF(INDEX(Fall!$1:$1048576,MATCH(All!$A155,Fall!$A:$A,FALSE),MATCH(All!L$1,Fall!$1:$1,FALSE))="","",INDEX(Fall!$1:$1048576,MATCH(All!$A155,Fall!$A:$A,FALSE),MATCH(All!L$1,Fall!$1:$1,FALSE))),"")</f>
        <v/>
      </c>
      <c r="M155" t="str">
        <f>IFERROR(IF(INDEX(Fall!$1:$1048576,MATCH(All!$A155,Fall!$A:$A,FALSE),MATCH(All!M$1,Fall!$1:$1,FALSE))="","",INDEX(Fall!$1:$1048576,MATCH(All!$A155,Fall!$A:$A,FALSE),MATCH(All!M$1,Fall!$1:$1,FALSE))),"")</f>
        <v/>
      </c>
      <c r="O155" t="str">
        <f>IFERROR(IF(INDEX(Winter!$1:$1048576,MATCH(All!$A155,Winter!$A:$A,FALSE),MATCH(All!O$1,Winter!$1:$1,FALSE))="","",INDEX(Winter!$1:$1048576,MATCH(All!$A155,Winter!$A:$A,FALSE),MATCH(All!O$1,Winter!$1:$1,FALSE))),"")</f>
        <v>269.00 (443.85)</v>
      </c>
      <c r="P155" t="str">
        <f>IFERROR(IF(INDEX(Winter!$1:$1048576,MATCH(All!$A155,Winter!$A:$A,FALSE),MATCH(All!P$1,Winter!$1:$1,FALSE))="","",INDEX(Winter!$1:$1048576,MATCH(All!$A155,Winter!$A:$A,FALSE),MATCH(All!P$1,Winter!$1:$1,FALSE))),"")</f>
        <v>2A</v>
      </c>
      <c r="Q155" t="str">
        <f>IFERROR(IF(INDEX(Winter!$1:$1048576,MATCH(All!$A155,Winter!$A:$A,FALSE),MATCH(All!Q$1,Winter!$1:$1,FALSE))="","",INDEX(Winter!$1:$1048576,MATCH(All!$A155,Winter!$A:$A,FALSE),MATCH(All!Q$1,Winter!$1:$1,FALSE))),"")</f>
        <v/>
      </c>
      <c r="R155" t="str">
        <f>IFERROR(IF(INDEX(Winter!$1:$1048576,MATCH(All!$A155,Winter!$A:$A,FALSE),MATCH(All!R$1,Winter!$1:$1,FALSE))="","",INDEX(Winter!$1:$1048576,MATCH(All!$A155,Winter!$A:$A,FALSE),MATCH(All!R$1,Winter!$1:$1,FALSE))),"")</f>
        <v/>
      </c>
      <c r="S155" t="str">
        <f>IFERROR(IF(INDEX(Winter!$1:$1048576,MATCH(All!$A155,Winter!$A:$A,FALSE),MATCH(All!S$1,Winter!$1:$1,FALSE))="","",INDEX(Winter!$1:$1048576,MATCH(All!$A155,Winter!$A:$A,FALSE),MATCH(All!S$1,Winter!$1:$1,FALSE))),"")</f>
        <v/>
      </c>
      <c r="T155" t="str">
        <f>IFERROR(IF(INDEX(Winter!$1:$1048576,MATCH(All!$A155,Winter!$A:$A,FALSE),MATCH(All!T$1,Winter!$1:$1,FALSE))="","",INDEX(Winter!$1:$1048576,MATCH(All!$A155,Winter!$A:$A,FALSE),MATCH(All!T$1,Winter!$1:$1,FALSE))),"")</f>
        <v/>
      </c>
      <c r="U155" t="str">
        <f>IFERROR(IF(INDEX(Winter!$1:$1048576,MATCH(All!$A155,Winter!$A:$A,FALSE),MATCH(All!U$1,Winter!$1:$1,FALSE))="","",INDEX(Winter!$1:$1048576,MATCH(All!$A155,Winter!$A:$A,FALSE),MATCH(All!U$1,Winter!$1:$1,FALSE))),"")</f>
        <v/>
      </c>
      <c r="W155" t="str">
        <f>IFERROR(IF(INDEX(Spring!$1:$1048576,MATCH(All!$A155,Spring!$A:$A,FALSE),MATCH(All!W$1,Spring!$1:$1,FALSE))="","",INDEX(Spring!$1:$1048576,MATCH(All!$A155,Spring!$A:$A,FALSE),MATCH(All!W$1,Spring!$1:$1,FALSE))),"")</f>
        <v/>
      </c>
      <c r="X155" t="str">
        <f>IFERROR(IF(INDEX(Spring!$1:$1048576,MATCH(All!$A155,Spring!$A:$A,FALSE),MATCH(All!X$1,Spring!$1:$1,FALSE))="","",INDEX(Spring!$1:$1048576,MATCH(All!$A155,Spring!$A:$A,FALSE),MATCH(All!X$1,Spring!$1:$1,FALSE))),"")</f>
        <v/>
      </c>
      <c r="Y155" t="str">
        <f>IFERROR(IF(INDEX(Spring!$1:$1048576,MATCH(All!$A155,Spring!$A:$A,FALSE),MATCH(All!Y$1,Spring!$1:$1,FALSE))="","",INDEX(Spring!$1:$1048576,MATCH(All!$A155,Spring!$A:$A,FALSE),MATCH(All!Y$1,Spring!$1:$1,FALSE))),"")</f>
        <v/>
      </c>
      <c r="Z155" t="str">
        <f>IFERROR(IF(INDEX(Spring!$1:$1048576,MATCH(All!$A155,Spring!$A:$A,FALSE),MATCH(All!Z$1,Spring!$1:$1,FALSE))="","",INDEX(Spring!$1:$1048576,MATCH(All!$A155,Spring!$A:$A,FALSE),MATCH(All!Z$1,Spring!$1:$1,FALSE))),"")</f>
        <v/>
      </c>
      <c r="AA155" t="str">
        <f>IFERROR(IF(INDEX(Spring!$1:$1048576,MATCH(All!$A155,Spring!$A:$A,FALSE),MATCH(All!AA$1,Spring!$1:$1,FALSE))="","",INDEX(Spring!$1:$1048576,MATCH(All!$A155,Spring!$A:$A,FALSE),MATCH(All!AA$1,Spring!$1:$1,FALSE))),"")</f>
        <v/>
      </c>
      <c r="AB155" t="str">
        <f>IFERROR(IF(INDEX(Spring!$1:$1048576,MATCH(All!$A155,Spring!$A:$A,FALSE),MATCH(All!AB$1,Spring!$1:$1,FALSE))="","",INDEX(Spring!$1:$1048576,MATCH(All!$A155,Spring!$A:$A,FALSE),MATCH(All!AB$1,Spring!$1:$1,FALSE))),"")</f>
        <v/>
      </c>
      <c r="AC155" t="str">
        <f>IFERROR(IF(INDEX(Spring!$1:$1048576,MATCH(All!$A155,Spring!$A:$A,FALSE),MATCH(All!AC$1,Spring!$1:$1,FALSE))="","",INDEX(Spring!$1:$1048576,MATCH(All!$A155,Spring!$A:$A,FALSE),MATCH(All!AC$1,Spring!$1:$1,FALSE))),"")</f>
        <v/>
      </c>
      <c r="AD155" t="str">
        <f>IFERROR(VLOOKUP(A155,'Flag Football'!A:A,1,FALSE),"")</f>
        <v/>
      </c>
      <c r="AE155" t="str">
        <f t="shared" si="2"/>
        <v/>
      </c>
    </row>
    <row r="156" spans="1:31" ht="15.75" thickBot="1" x14ac:dyDescent="0.3">
      <c r="A156" s="20" t="s">
        <v>191</v>
      </c>
      <c r="B156" s="38" t="str">
        <f>IFERROR(VLOOKUP(A156,'Public v Private'!A:G,3,FALSE),"")</f>
        <v>?</v>
      </c>
      <c r="C156" s="38">
        <f>IFERROR(VLOOKUP(A156,'Public v Private'!A:G,4,FALSE),"")</f>
        <v>0</v>
      </c>
      <c r="D156" s="38">
        <f>IFERROR(VLOOKUP(A156,'Public v Private'!A:G,5,FALSE),"")</f>
        <v>0</v>
      </c>
      <c r="E156" s="38"/>
      <c r="F156" s="40" t="str">
        <f>IFERROR(INDEX(Fall!$1:$1048576,MATCH(All!$A156,Fall!$A:$A,FALSE),MATCH(All!F$1,Fall!$1:$1,FALSE)),"N/A")</f>
        <v>N/A</v>
      </c>
      <c r="G156" t="str">
        <f>IFERROR(IF(INDEX(Fall!$1:$1048576,MATCH(All!$A156,Fall!$A:$A,FALSE),MATCH(All!G$1,Fall!$1:$1,FALSE))="","",INDEX(Fall!$1:$1048576,MATCH(All!$A156,Fall!$A:$A,FALSE),MATCH(All!G$1,Fall!$1:$1,FALSE))),"")</f>
        <v/>
      </c>
      <c r="H156" t="str">
        <f>IFERROR(IF(INDEX(Fall!$1:$1048576,MATCH(All!$A156,Fall!$A:$A,FALSE),MATCH(All!H$1,Fall!$1:$1,FALSE))="","",INDEX(Fall!$1:$1048576,MATCH(All!$A156,Fall!$A:$A,FALSE),MATCH(All!H$1,Fall!$1:$1,FALSE))),"")</f>
        <v/>
      </c>
      <c r="I156" t="str">
        <f>IFERROR(IF(INDEX(Fall!$1:$1048576,MATCH(All!$A156,Fall!$A:$A,FALSE),MATCH(All!I$1,Fall!$1:$1,FALSE))="","",INDEX(Fall!$1:$1048576,MATCH(All!$A156,Fall!$A:$A,FALSE),MATCH(All!I$1,Fall!$1:$1,FALSE))),"")</f>
        <v/>
      </c>
      <c r="J156" t="str">
        <f>IFERROR(IF(INDEX(Fall!$1:$1048576,MATCH(All!$A156,Fall!$A:$A,FALSE),MATCH(All!J$1,Fall!$1:$1,FALSE))="","",INDEX(Fall!$1:$1048576,MATCH(All!$A156,Fall!$A:$A,FALSE),MATCH(All!J$1,Fall!$1:$1,FALSE))),"")</f>
        <v/>
      </c>
      <c r="K156" t="str">
        <f>IFERROR(IF(INDEX(Fall!$1:$1048576,MATCH(All!$A156,Fall!$A:$A,FALSE),MATCH(All!K$1,Fall!$1:$1,FALSE))="","",INDEX(Fall!$1:$1048576,MATCH(All!$A156,Fall!$A:$A,FALSE),MATCH(All!K$1,Fall!$1:$1,FALSE))),"")</f>
        <v/>
      </c>
      <c r="L156" t="str">
        <f>IFERROR(IF(INDEX(Fall!$1:$1048576,MATCH(All!$A156,Fall!$A:$A,FALSE),MATCH(All!L$1,Fall!$1:$1,FALSE))="","",INDEX(Fall!$1:$1048576,MATCH(All!$A156,Fall!$A:$A,FALSE),MATCH(All!L$1,Fall!$1:$1,FALSE))),"")</f>
        <v/>
      </c>
      <c r="M156" t="str">
        <f>IFERROR(IF(INDEX(Fall!$1:$1048576,MATCH(All!$A156,Fall!$A:$A,FALSE),MATCH(All!M$1,Fall!$1:$1,FALSE))="","",INDEX(Fall!$1:$1048576,MATCH(All!$A156,Fall!$A:$A,FALSE),MATCH(All!M$1,Fall!$1:$1,FALSE))),"")</f>
        <v/>
      </c>
      <c r="O156" t="str">
        <f>IFERROR(IF(INDEX(Winter!$1:$1048576,MATCH(All!$A156,Winter!$A:$A,FALSE),MATCH(All!O$1,Winter!$1:$1,FALSE))="","",INDEX(Winter!$1:$1048576,MATCH(All!$A156,Winter!$A:$A,FALSE),MATCH(All!O$1,Winter!$1:$1,FALSE))),"")</f>
        <v/>
      </c>
      <c r="P156" t="str">
        <f>IFERROR(IF(INDEX(Winter!$1:$1048576,MATCH(All!$A156,Winter!$A:$A,FALSE),MATCH(All!P$1,Winter!$1:$1,FALSE))="","",INDEX(Winter!$1:$1048576,MATCH(All!$A156,Winter!$A:$A,FALSE),MATCH(All!P$1,Winter!$1:$1,FALSE))),"")</f>
        <v/>
      </c>
      <c r="Q156" t="str">
        <f>IFERROR(IF(INDEX(Winter!$1:$1048576,MATCH(All!$A156,Winter!$A:$A,FALSE),MATCH(All!Q$1,Winter!$1:$1,FALSE))="","",INDEX(Winter!$1:$1048576,MATCH(All!$A156,Winter!$A:$A,FALSE),MATCH(All!Q$1,Winter!$1:$1,FALSE))),"")</f>
        <v/>
      </c>
      <c r="R156" t="str">
        <f>IFERROR(IF(INDEX(Winter!$1:$1048576,MATCH(All!$A156,Winter!$A:$A,FALSE),MATCH(All!R$1,Winter!$1:$1,FALSE))="","",INDEX(Winter!$1:$1048576,MATCH(All!$A156,Winter!$A:$A,FALSE),MATCH(All!R$1,Winter!$1:$1,FALSE))),"")</f>
        <v/>
      </c>
      <c r="S156" t="str">
        <f>IFERROR(IF(INDEX(Winter!$1:$1048576,MATCH(All!$A156,Winter!$A:$A,FALSE),MATCH(All!S$1,Winter!$1:$1,FALSE))="","",INDEX(Winter!$1:$1048576,MATCH(All!$A156,Winter!$A:$A,FALSE),MATCH(All!S$1,Winter!$1:$1,FALSE))),"")</f>
        <v/>
      </c>
      <c r="T156" t="str">
        <f>IFERROR(IF(INDEX(Winter!$1:$1048576,MATCH(All!$A156,Winter!$A:$A,FALSE),MATCH(All!T$1,Winter!$1:$1,FALSE))="","",INDEX(Winter!$1:$1048576,MATCH(All!$A156,Winter!$A:$A,FALSE),MATCH(All!T$1,Winter!$1:$1,FALSE))),"")</f>
        <v/>
      </c>
      <c r="U156" t="str">
        <f>IFERROR(IF(INDEX(Winter!$1:$1048576,MATCH(All!$A156,Winter!$A:$A,FALSE),MATCH(All!U$1,Winter!$1:$1,FALSE))="","",INDEX(Winter!$1:$1048576,MATCH(All!$A156,Winter!$A:$A,FALSE),MATCH(All!U$1,Winter!$1:$1,FALSE))),"")</f>
        <v/>
      </c>
      <c r="W156" t="str">
        <f>IFERROR(IF(INDEX(Spring!$1:$1048576,MATCH(All!$A156,Spring!$A:$A,FALSE),MATCH(All!W$1,Spring!$1:$1,FALSE))="","",INDEX(Spring!$1:$1048576,MATCH(All!$A156,Spring!$A:$A,FALSE),MATCH(All!W$1,Spring!$1:$1,FALSE))),"")</f>
        <v>268.00 (442.20)</v>
      </c>
      <c r="X156" t="str">
        <f>IFERROR(IF(INDEX(Spring!$1:$1048576,MATCH(All!$A156,Spring!$A:$A,FALSE),MATCH(All!X$1,Spring!$1:$1,FALSE))="","",INDEX(Spring!$1:$1048576,MATCH(All!$A156,Spring!$A:$A,FALSE),MATCH(All!X$1,Spring!$1:$1,FALSE))),"")</f>
        <v/>
      </c>
      <c r="Y156" t="str">
        <f>IFERROR(IF(INDEX(Spring!$1:$1048576,MATCH(All!$A156,Spring!$A:$A,FALSE),MATCH(All!Y$1,Spring!$1:$1,FALSE))="","",INDEX(Spring!$1:$1048576,MATCH(All!$A156,Spring!$A:$A,FALSE),MATCH(All!Y$1,Spring!$1:$1,FALSE))),"")</f>
        <v/>
      </c>
      <c r="Z156" t="str">
        <f>IFERROR(IF(INDEX(Spring!$1:$1048576,MATCH(All!$A156,Spring!$A:$A,FALSE),MATCH(All!Z$1,Spring!$1:$1,FALSE))="","",INDEX(Spring!$1:$1048576,MATCH(All!$A156,Spring!$A:$A,FALSE),MATCH(All!Z$1,Spring!$1:$1,FALSE))),"")</f>
        <v/>
      </c>
      <c r="AA156" t="str">
        <f>IFERROR(IF(INDEX(Spring!$1:$1048576,MATCH(All!$A156,Spring!$A:$A,FALSE),MATCH(All!AA$1,Spring!$1:$1,FALSE))="","",INDEX(Spring!$1:$1048576,MATCH(All!$A156,Spring!$A:$A,FALSE),MATCH(All!AA$1,Spring!$1:$1,FALSE))),"")</f>
        <v/>
      </c>
      <c r="AB156" t="str">
        <f>IFERROR(IF(INDEX(Spring!$1:$1048576,MATCH(All!$A156,Spring!$A:$A,FALSE),MATCH(All!AB$1,Spring!$1:$1,FALSE))="","",INDEX(Spring!$1:$1048576,MATCH(All!$A156,Spring!$A:$A,FALSE),MATCH(All!AB$1,Spring!$1:$1,FALSE))),"")</f>
        <v>1A</v>
      </c>
      <c r="AC156" t="str">
        <f>IFERROR(IF(INDEX(Spring!$1:$1048576,MATCH(All!$A156,Spring!$A:$A,FALSE),MATCH(All!AC$1,Spring!$1:$1,FALSE))="","",INDEX(Spring!$1:$1048576,MATCH(All!$A156,Spring!$A:$A,FALSE),MATCH(All!AC$1,Spring!$1:$1,FALSE))),"")</f>
        <v/>
      </c>
      <c r="AD156" t="str">
        <f>IFERROR(VLOOKUP(A156,'Flag Football'!A:A,1,FALSE),"")</f>
        <v/>
      </c>
      <c r="AE156" t="str">
        <f t="shared" si="2"/>
        <v/>
      </c>
    </row>
    <row r="157" spans="1:31" ht="15.75" thickBot="1" x14ac:dyDescent="0.3">
      <c r="A157" s="18" t="s">
        <v>925</v>
      </c>
      <c r="B157" s="38" t="str">
        <f>IFERROR(VLOOKUP(A157,'Public v Private'!A:G,3,FALSE),"")</f>
        <v>?</v>
      </c>
      <c r="C157" s="38">
        <f>IFERROR(VLOOKUP(A157,'Public v Private'!A:G,4,FALSE),"")</f>
        <v>0</v>
      </c>
      <c r="D157" s="38">
        <f>IFERROR(VLOOKUP(A157,'Public v Private'!A:G,5,FALSE),"")</f>
        <v>0</v>
      </c>
      <c r="E157" s="38"/>
      <c r="F157" s="40" t="str">
        <f>IFERROR(INDEX(Fall!$1:$1048576,MATCH(All!$A157,Fall!$A:$A,FALSE),MATCH(All!F$1,Fall!$1:$1,FALSE)),"N/A")</f>
        <v>N/A</v>
      </c>
      <c r="G157" t="str">
        <f>IFERROR(IF(INDEX(Fall!$1:$1048576,MATCH(All!$A157,Fall!$A:$A,FALSE),MATCH(All!G$1,Fall!$1:$1,FALSE))="","",INDEX(Fall!$1:$1048576,MATCH(All!$A157,Fall!$A:$A,FALSE),MATCH(All!G$1,Fall!$1:$1,FALSE))),"")</f>
        <v/>
      </c>
      <c r="H157" t="str">
        <f>IFERROR(IF(INDEX(Fall!$1:$1048576,MATCH(All!$A157,Fall!$A:$A,FALSE),MATCH(All!H$1,Fall!$1:$1,FALSE))="","",INDEX(Fall!$1:$1048576,MATCH(All!$A157,Fall!$A:$A,FALSE),MATCH(All!H$1,Fall!$1:$1,FALSE))),"")</f>
        <v/>
      </c>
      <c r="I157" t="str">
        <f>IFERROR(IF(INDEX(Fall!$1:$1048576,MATCH(All!$A157,Fall!$A:$A,FALSE),MATCH(All!I$1,Fall!$1:$1,FALSE))="","",INDEX(Fall!$1:$1048576,MATCH(All!$A157,Fall!$A:$A,FALSE),MATCH(All!I$1,Fall!$1:$1,FALSE))),"")</f>
        <v/>
      </c>
      <c r="J157" t="str">
        <f>IFERROR(IF(INDEX(Fall!$1:$1048576,MATCH(All!$A157,Fall!$A:$A,FALSE),MATCH(All!J$1,Fall!$1:$1,FALSE))="","",INDEX(Fall!$1:$1048576,MATCH(All!$A157,Fall!$A:$A,FALSE),MATCH(All!J$1,Fall!$1:$1,FALSE))),"")</f>
        <v/>
      </c>
      <c r="K157" t="str">
        <f>IFERROR(IF(INDEX(Fall!$1:$1048576,MATCH(All!$A157,Fall!$A:$A,FALSE),MATCH(All!K$1,Fall!$1:$1,FALSE))="","",INDEX(Fall!$1:$1048576,MATCH(All!$A157,Fall!$A:$A,FALSE),MATCH(All!K$1,Fall!$1:$1,FALSE))),"")</f>
        <v/>
      </c>
      <c r="L157" t="str">
        <f>IFERROR(IF(INDEX(Fall!$1:$1048576,MATCH(All!$A157,Fall!$A:$A,FALSE),MATCH(All!L$1,Fall!$1:$1,FALSE))="","",INDEX(Fall!$1:$1048576,MATCH(All!$A157,Fall!$A:$A,FALSE),MATCH(All!L$1,Fall!$1:$1,FALSE))),"")</f>
        <v/>
      </c>
      <c r="M157" t="str">
        <f>IFERROR(IF(INDEX(Fall!$1:$1048576,MATCH(All!$A157,Fall!$A:$A,FALSE),MATCH(All!M$1,Fall!$1:$1,FALSE))="","",INDEX(Fall!$1:$1048576,MATCH(All!$A157,Fall!$A:$A,FALSE),MATCH(All!M$1,Fall!$1:$1,FALSE))),"")</f>
        <v/>
      </c>
      <c r="O157" t="str">
        <f>IFERROR(IF(INDEX(Winter!$1:$1048576,MATCH(All!$A157,Winter!$A:$A,FALSE),MATCH(All!O$1,Winter!$1:$1,FALSE))="","",INDEX(Winter!$1:$1048576,MATCH(All!$A157,Winter!$A:$A,FALSE),MATCH(All!O$1,Winter!$1:$1,FALSE))),"")</f>
        <v>225.00 (371.25)</v>
      </c>
      <c r="P157" t="str">
        <f>IFERROR(IF(INDEX(Winter!$1:$1048576,MATCH(All!$A157,Winter!$A:$A,FALSE),MATCH(All!P$1,Winter!$1:$1,FALSE))="","",INDEX(Winter!$1:$1048576,MATCH(All!$A157,Winter!$A:$A,FALSE),MATCH(All!P$1,Winter!$1:$1,FALSE))),"")</f>
        <v>2A</v>
      </c>
      <c r="Q157" t="str">
        <f>IFERROR(IF(INDEX(Winter!$1:$1048576,MATCH(All!$A157,Winter!$A:$A,FALSE),MATCH(All!Q$1,Winter!$1:$1,FALSE))="","",INDEX(Winter!$1:$1048576,MATCH(All!$A157,Winter!$A:$A,FALSE),MATCH(All!Q$1,Winter!$1:$1,FALSE))),"")</f>
        <v/>
      </c>
      <c r="R157" t="str">
        <f>IFERROR(IF(INDEX(Winter!$1:$1048576,MATCH(All!$A157,Winter!$A:$A,FALSE),MATCH(All!R$1,Winter!$1:$1,FALSE))="","",INDEX(Winter!$1:$1048576,MATCH(All!$A157,Winter!$A:$A,FALSE),MATCH(All!R$1,Winter!$1:$1,FALSE))),"")</f>
        <v/>
      </c>
      <c r="S157" t="str">
        <f>IFERROR(IF(INDEX(Winter!$1:$1048576,MATCH(All!$A157,Winter!$A:$A,FALSE),MATCH(All!S$1,Winter!$1:$1,FALSE))="","",INDEX(Winter!$1:$1048576,MATCH(All!$A157,Winter!$A:$A,FALSE),MATCH(All!S$1,Winter!$1:$1,FALSE))),"")</f>
        <v/>
      </c>
      <c r="T157" t="str">
        <f>IFERROR(IF(INDEX(Winter!$1:$1048576,MATCH(All!$A157,Winter!$A:$A,FALSE),MATCH(All!T$1,Winter!$1:$1,FALSE))="","",INDEX(Winter!$1:$1048576,MATCH(All!$A157,Winter!$A:$A,FALSE),MATCH(All!T$1,Winter!$1:$1,FALSE))),"")</f>
        <v/>
      </c>
      <c r="U157" t="str">
        <f>IFERROR(IF(INDEX(Winter!$1:$1048576,MATCH(All!$A157,Winter!$A:$A,FALSE),MATCH(All!U$1,Winter!$1:$1,FALSE))="","",INDEX(Winter!$1:$1048576,MATCH(All!$A157,Winter!$A:$A,FALSE),MATCH(All!U$1,Winter!$1:$1,FALSE))),"")</f>
        <v/>
      </c>
      <c r="W157" t="str">
        <f>IFERROR(IF(INDEX(Spring!$1:$1048576,MATCH(All!$A157,Spring!$A:$A,FALSE),MATCH(All!W$1,Spring!$1:$1,FALSE))="","",INDEX(Spring!$1:$1048576,MATCH(All!$A157,Spring!$A:$A,FALSE),MATCH(All!W$1,Spring!$1:$1,FALSE))),"")</f>
        <v/>
      </c>
      <c r="X157" t="str">
        <f>IFERROR(IF(INDEX(Spring!$1:$1048576,MATCH(All!$A157,Spring!$A:$A,FALSE),MATCH(All!X$1,Spring!$1:$1,FALSE))="","",INDEX(Spring!$1:$1048576,MATCH(All!$A157,Spring!$A:$A,FALSE),MATCH(All!X$1,Spring!$1:$1,FALSE))),"")</f>
        <v/>
      </c>
      <c r="Y157" t="str">
        <f>IFERROR(IF(INDEX(Spring!$1:$1048576,MATCH(All!$A157,Spring!$A:$A,FALSE),MATCH(All!Y$1,Spring!$1:$1,FALSE))="","",INDEX(Spring!$1:$1048576,MATCH(All!$A157,Spring!$A:$A,FALSE),MATCH(All!Y$1,Spring!$1:$1,FALSE))),"")</f>
        <v/>
      </c>
      <c r="Z157" t="str">
        <f>IFERROR(IF(INDEX(Spring!$1:$1048576,MATCH(All!$A157,Spring!$A:$A,FALSE),MATCH(All!Z$1,Spring!$1:$1,FALSE))="","",INDEX(Spring!$1:$1048576,MATCH(All!$A157,Spring!$A:$A,FALSE),MATCH(All!Z$1,Spring!$1:$1,FALSE))),"")</f>
        <v/>
      </c>
      <c r="AA157" t="str">
        <f>IFERROR(IF(INDEX(Spring!$1:$1048576,MATCH(All!$A157,Spring!$A:$A,FALSE),MATCH(All!AA$1,Spring!$1:$1,FALSE))="","",INDEX(Spring!$1:$1048576,MATCH(All!$A157,Spring!$A:$A,FALSE),MATCH(All!AA$1,Spring!$1:$1,FALSE))),"")</f>
        <v/>
      </c>
      <c r="AB157" t="str">
        <f>IFERROR(IF(INDEX(Spring!$1:$1048576,MATCH(All!$A157,Spring!$A:$A,FALSE),MATCH(All!AB$1,Spring!$1:$1,FALSE))="","",INDEX(Spring!$1:$1048576,MATCH(All!$A157,Spring!$A:$A,FALSE),MATCH(All!AB$1,Spring!$1:$1,FALSE))),"")</f>
        <v/>
      </c>
      <c r="AC157" t="str">
        <f>IFERROR(IF(INDEX(Spring!$1:$1048576,MATCH(All!$A157,Spring!$A:$A,FALSE),MATCH(All!AC$1,Spring!$1:$1,FALSE))="","",INDEX(Spring!$1:$1048576,MATCH(All!$A157,Spring!$A:$A,FALSE),MATCH(All!AC$1,Spring!$1:$1,FALSE))),"")</f>
        <v/>
      </c>
      <c r="AD157" t="str">
        <f>IFERROR(VLOOKUP(A157,'Flag Football'!A:A,1,FALSE),"")</f>
        <v/>
      </c>
      <c r="AE157" t="str">
        <f t="shared" si="2"/>
        <v/>
      </c>
    </row>
    <row r="158" spans="1:31" ht="15.75" thickBot="1" x14ac:dyDescent="0.3">
      <c r="A158" s="20" t="s">
        <v>193</v>
      </c>
      <c r="B158" s="38" t="str">
        <f>IFERROR(VLOOKUP(A158,'Public v Private'!A:G,3,FALSE),"")</f>
        <v>private</v>
      </c>
      <c r="C158" s="38">
        <f>IFERROR(VLOOKUP(A158,'Public v Private'!A:G,4,FALSE),"")</f>
        <v>1</v>
      </c>
      <c r="D158" s="38">
        <f>IFERROR(VLOOKUP(A158,'Public v Private'!A:G,5,FALSE),"")</f>
        <v>1</v>
      </c>
      <c r="E158" s="38"/>
      <c r="F158" s="40" t="str">
        <f>IFERROR(INDEX(Fall!$1:$1048576,MATCH(All!$A158,Fall!$A:$A,FALSE),MATCH(All!F$1,Fall!$1:$1,FALSE)),"N/A")</f>
        <v>344.00 (567.60)</v>
      </c>
      <c r="G158" t="str">
        <f>IFERROR(IF(INDEX(Fall!$1:$1048576,MATCH(All!$A158,Fall!$A:$A,FALSE),MATCH(All!G$1,Fall!$1:$1,FALSE))="","",INDEX(Fall!$1:$1048576,MATCH(All!$A158,Fall!$A:$A,FALSE),MATCH(All!G$1,Fall!$1:$1,FALSE))),"")</f>
        <v>1A</v>
      </c>
      <c r="H158" t="str">
        <f>IFERROR(IF(INDEX(Fall!$1:$1048576,MATCH(All!$A158,Fall!$A:$A,FALSE),MATCH(All!H$1,Fall!$1:$1,FALSE))="","",INDEX(Fall!$1:$1048576,MATCH(All!$A158,Fall!$A:$A,FALSE),MATCH(All!H$1,Fall!$1:$1,FALSE))),"")</f>
        <v>1A</v>
      </c>
      <c r="I158" t="str">
        <f>IFERROR(IF(INDEX(Fall!$1:$1048576,MATCH(All!$A158,Fall!$A:$A,FALSE),MATCH(All!I$1,Fall!$1:$1,FALSE))="","",INDEX(Fall!$1:$1048576,MATCH(All!$A158,Fall!$A:$A,FALSE),MATCH(All!I$1,Fall!$1:$1,FALSE))),"")</f>
        <v>2A</v>
      </c>
      <c r="J158" t="str">
        <f>IFERROR(IF(INDEX(Fall!$1:$1048576,MATCH(All!$A158,Fall!$A:$A,FALSE),MATCH(All!J$1,Fall!$1:$1,FALSE))="","",INDEX(Fall!$1:$1048576,MATCH(All!$A158,Fall!$A:$A,FALSE),MATCH(All!J$1,Fall!$1:$1,FALSE))),"")</f>
        <v>1A</v>
      </c>
      <c r="K158" t="str">
        <f>IFERROR(IF(INDEX(Fall!$1:$1048576,MATCH(All!$A158,Fall!$A:$A,FALSE),MATCH(All!K$1,Fall!$1:$1,FALSE))="","",INDEX(Fall!$1:$1048576,MATCH(All!$A158,Fall!$A:$A,FALSE),MATCH(All!K$1,Fall!$1:$1,FALSE))),"")</f>
        <v>1A</v>
      </c>
      <c r="L158" t="str">
        <f>IFERROR(IF(INDEX(Fall!$1:$1048576,MATCH(All!$A158,Fall!$A:$A,FALSE),MATCH(All!L$1,Fall!$1:$1,FALSE))="","",INDEX(Fall!$1:$1048576,MATCH(All!$A158,Fall!$A:$A,FALSE),MATCH(All!L$1,Fall!$1:$1,FALSE))),"")</f>
        <v>1A</v>
      </c>
      <c r="M158" t="str">
        <f>IFERROR(IF(INDEX(Fall!$1:$1048576,MATCH(All!$A158,Fall!$A:$A,FALSE),MATCH(All!M$1,Fall!$1:$1,FALSE))="","",INDEX(Fall!$1:$1048576,MATCH(All!$A158,Fall!$A:$A,FALSE),MATCH(All!M$1,Fall!$1:$1,FALSE))),"")</f>
        <v>2A</v>
      </c>
      <c r="O158" t="str">
        <f>IFERROR(IF(INDEX(Winter!$1:$1048576,MATCH(All!$A158,Winter!$A:$A,FALSE),MATCH(All!O$1,Winter!$1:$1,FALSE))="","",INDEX(Winter!$1:$1048576,MATCH(All!$A158,Winter!$A:$A,FALSE),MATCH(All!O$1,Winter!$1:$1,FALSE))),"")</f>
        <v>344.00 (567.60)</v>
      </c>
      <c r="P158" t="str">
        <f>IFERROR(IF(INDEX(Winter!$1:$1048576,MATCH(All!$A158,Winter!$A:$A,FALSE),MATCH(All!P$1,Winter!$1:$1,FALSE))="","",INDEX(Winter!$1:$1048576,MATCH(All!$A158,Winter!$A:$A,FALSE),MATCH(All!P$1,Winter!$1:$1,FALSE))),"")</f>
        <v>2A</v>
      </c>
      <c r="Q158" t="str">
        <f>IFERROR(IF(INDEX(Winter!$1:$1048576,MATCH(All!$A158,Winter!$A:$A,FALSE),MATCH(All!Q$1,Winter!$1:$1,FALSE))="","",INDEX(Winter!$1:$1048576,MATCH(All!$A158,Winter!$A:$A,FALSE),MATCH(All!Q$1,Winter!$1:$1,FALSE))),"")</f>
        <v>2A</v>
      </c>
      <c r="R158" t="str">
        <f>IFERROR(IF(INDEX(Winter!$1:$1048576,MATCH(All!$A158,Winter!$A:$A,FALSE),MATCH(All!R$1,Winter!$1:$1,FALSE))="","",INDEX(Winter!$1:$1048576,MATCH(All!$A158,Winter!$A:$A,FALSE),MATCH(All!R$1,Winter!$1:$1,FALSE))),"")</f>
        <v/>
      </c>
      <c r="S158" t="str">
        <f>IFERROR(IF(INDEX(Winter!$1:$1048576,MATCH(All!$A158,Winter!$A:$A,FALSE),MATCH(All!S$1,Winter!$1:$1,FALSE))="","",INDEX(Winter!$1:$1048576,MATCH(All!$A158,Winter!$A:$A,FALSE),MATCH(All!S$1,Winter!$1:$1,FALSE))),"")</f>
        <v/>
      </c>
      <c r="T158" t="str">
        <f>IFERROR(IF(INDEX(Winter!$1:$1048576,MATCH(All!$A158,Winter!$A:$A,FALSE),MATCH(All!T$1,Winter!$1:$1,FALSE))="","",INDEX(Winter!$1:$1048576,MATCH(All!$A158,Winter!$A:$A,FALSE),MATCH(All!T$1,Winter!$1:$1,FALSE))),"")</f>
        <v>2A</v>
      </c>
      <c r="U158" t="str">
        <f>IFERROR(IF(INDEX(Winter!$1:$1048576,MATCH(All!$A158,Winter!$A:$A,FALSE),MATCH(All!U$1,Winter!$1:$1,FALSE))="","",INDEX(Winter!$1:$1048576,MATCH(All!$A158,Winter!$A:$A,FALSE),MATCH(All!U$1,Winter!$1:$1,FALSE))),"")</f>
        <v/>
      </c>
      <c r="W158" t="str">
        <f>IFERROR(IF(INDEX(Spring!$1:$1048576,MATCH(All!$A158,Spring!$A:$A,FALSE),MATCH(All!W$1,Spring!$1:$1,FALSE))="","",INDEX(Spring!$1:$1048576,MATCH(All!$A158,Spring!$A:$A,FALSE),MATCH(All!W$1,Spring!$1:$1,FALSE))),"")</f>
        <v>344.00 (567.60)</v>
      </c>
      <c r="X158" t="str">
        <f>IFERROR(IF(INDEX(Spring!$1:$1048576,MATCH(All!$A158,Spring!$A:$A,FALSE),MATCH(All!X$1,Spring!$1:$1,FALSE))="","",INDEX(Spring!$1:$1048576,MATCH(All!$A158,Spring!$A:$A,FALSE),MATCH(All!X$1,Spring!$1:$1,FALSE))),"")</f>
        <v>2A</v>
      </c>
      <c r="Y158" t="str">
        <f>IFERROR(IF(INDEX(Spring!$1:$1048576,MATCH(All!$A158,Spring!$A:$A,FALSE),MATCH(All!Y$1,Spring!$1:$1,FALSE))="","",INDEX(Spring!$1:$1048576,MATCH(All!$A158,Spring!$A:$A,FALSE),MATCH(All!Y$1,Spring!$1:$1,FALSE))),"")</f>
        <v>2A</v>
      </c>
      <c r="Z158" t="str">
        <f>IFERROR(IF(INDEX(Spring!$1:$1048576,MATCH(All!$A158,Spring!$A:$A,FALSE),MATCH(All!Z$1,Spring!$1:$1,FALSE))="","",INDEX(Spring!$1:$1048576,MATCH(All!$A158,Spring!$A:$A,FALSE),MATCH(All!Z$1,Spring!$1:$1,FALSE))),"")</f>
        <v>1A</v>
      </c>
      <c r="AA158" t="str">
        <f>IFERROR(IF(INDEX(Spring!$1:$1048576,MATCH(All!$A158,Spring!$A:$A,FALSE),MATCH(All!AA$1,Spring!$1:$1,FALSE))="","",INDEX(Spring!$1:$1048576,MATCH(All!$A158,Spring!$A:$A,FALSE),MATCH(All!AA$1,Spring!$1:$1,FALSE))),"")</f>
        <v>1A</v>
      </c>
      <c r="AB158" t="str">
        <f>IFERROR(IF(INDEX(Spring!$1:$1048576,MATCH(All!$A158,Spring!$A:$A,FALSE),MATCH(All!AB$1,Spring!$1:$1,FALSE))="","",INDEX(Spring!$1:$1048576,MATCH(All!$A158,Spring!$A:$A,FALSE),MATCH(All!AB$1,Spring!$1:$1,FALSE))),"")</f>
        <v>2A</v>
      </c>
      <c r="AC158" t="str">
        <f>IFERROR(IF(INDEX(Spring!$1:$1048576,MATCH(All!$A158,Spring!$A:$A,FALSE),MATCH(All!AC$1,Spring!$1:$1,FALSE))="","",INDEX(Spring!$1:$1048576,MATCH(All!$A158,Spring!$A:$A,FALSE),MATCH(All!AC$1,Spring!$1:$1,FALSE))),"")</f>
        <v>2A</v>
      </c>
      <c r="AD158" t="str">
        <f>IFERROR(VLOOKUP(A158,'Flag Football'!A:A,1,FALSE),"")</f>
        <v/>
      </c>
      <c r="AE158" t="str">
        <f t="shared" si="2"/>
        <v/>
      </c>
    </row>
    <row r="159" spans="1:31" ht="15.75" thickBot="1" x14ac:dyDescent="0.3">
      <c r="A159" s="18" t="s">
        <v>195</v>
      </c>
      <c r="B159" s="38">
        <f>IFERROR(VLOOKUP(A159,'Public v Private'!A:G,3,FALSE),"")</f>
        <v>0</v>
      </c>
      <c r="C159" s="38">
        <f>IFERROR(VLOOKUP(A159,'Public v Private'!A:G,4,FALSE),"")</f>
        <v>0</v>
      </c>
      <c r="D159" s="38">
        <f>IFERROR(VLOOKUP(A159,'Public v Private'!A:G,5,FALSE),"")</f>
        <v>0</v>
      </c>
      <c r="E159" s="38"/>
      <c r="F159" s="40" t="str">
        <f>IFERROR(INDEX(Fall!$1:$1048576,MATCH(All!$A159,Fall!$A:$A,FALSE),MATCH(All!F$1,Fall!$1:$1,FALSE)),"N/A")</f>
        <v>N/A</v>
      </c>
      <c r="G159" t="str">
        <f>IFERROR(IF(INDEX(Fall!$1:$1048576,MATCH(All!$A159,Fall!$A:$A,FALSE),MATCH(All!G$1,Fall!$1:$1,FALSE))="","",INDEX(Fall!$1:$1048576,MATCH(All!$A159,Fall!$A:$A,FALSE),MATCH(All!G$1,Fall!$1:$1,FALSE))),"")</f>
        <v/>
      </c>
      <c r="H159" t="str">
        <f>IFERROR(IF(INDEX(Fall!$1:$1048576,MATCH(All!$A159,Fall!$A:$A,FALSE),MATCH(All!H$1,Fall!$1:$1,FALSE))="","",INDEX(Fall!$1:$1048576,MATCH(All!$A159,Fall!$A:$A,FALSE),MATCH(All!H$1,Fall!$1:$1,FALSE))),"")</f>
        <v/>
      </c>
      <c r="I159" t="str">
        <f>IFERROR(IF(INDEX(Fall!$1:$1048576,MATCH(All!$A159,Fall!$A:$A,FALSE),MATCH(All!I$1,Fall!$1:$1,FALSE))="","",INDEX(Fall!$1:$1048576,MATCH(All!$A159,Fall!$A:$A,FALSE),MATCH(All!I$1,Fall!$1:$1,FALSE))),"")</f>
        <v/>
      </c>
      <c r="J159" t="str">
        <f>IFERROR(IF(INDEX(Fall!$1:$1048576,MATCH(All!$A159,Fall!$A:$A,FALSE),MATCH(All!J$1,Fall!$1:$1,FALSE))="","",INDEX(Fall!$1:$1048576,MATCH(All!$A159,Fall!$A:$A,FALSE),MATCH(All!J$1,Fall!$1:$1,FALSE))),"")</f>
        <v/>
      </c>
      <c r="K159" t="str">
        <f>IFERROR(IF(INDEX(Fall!$1:$1048576,MATCH(All!$A159,Fall!$A:$A,FALSE),MATCH(All!K$1,Fall!$1:$1,FALSE))="","",INDEX(Fall!$1:$1048576,MATCH(All!$A159,Fall!$A:$A,FALSE),MATCH(All!K$1,Fall!$1:$1,FALSE))),"")</f>
        <v/>
      </c>
      <c r="L159" t="str">
        <f>IFERROR(IF(INDEX(Fall!$1:$1048576,MATCH(All!$A159,Fall!$A:$A,FALSE),MATCH(All!L$1,Fall!$1:$1,FALSE))="","",INDEX(Fall!$1:$1048576,MATCH(All!$A159,Fall!$A:$A,FALSE),MATCH(All!L$1,Fall!$1:$1,FALSE))),"")</f>
        <v/>
      </c>
      <c r="M159" t="str">
        <f>IFERROR(IF(INDEX(Fall!$1:$1048576,MATCH(All!$A159,Fall!$A:$A,FALSE),MATCH(All!M$1,Fall!$1:$1,FALSE))="","",INDEX(Fall!$1:$1048576,MATCH(All!$A159,Fall!$A:$A,FALSE),MATCH(All!M$1,Fall!$1:$1,FALSE))),"")</f>
        <v/>
      </c>
      <c r="O159">
        <f>IFERROR(IF(INDEX(Winter!$1:$1048576,MATCH(All!$A159,Winter!$A:$A,FALSE),MATCH(All!O$1,Winter!$1:$1,FALSE))="","",INDEX(Winter!$1:$1048576,MATCH(All!$A159,Winter!$A:$A,FALSE),MATCH(All!O$1,Winter!$1:$1,FALSE))),"")</f>
        <v>423</v>
      </c>
      <c r="P159" t="str">
        <f>IFERROR(IF(INDEX(Winter!$1:$1048576,MATCH(All!$A159,Winter!$A:$A,FALSE),MATCH(All!P$1,Winter!$1:$1,FALSE))="","",INDEX(Winter!$1:$1048576,MATCH(All!$A159,Winter!$A:$A,FALSE),MATCH(All!P$1,Winter!$1:$1,FALSE))),"")</f>
        <v>2A</v>
      </c>
      <c r="Q159" t="str">
        <f>IFERROR(IF(INDEX(Winter!$1:$1048576,MATCH(All!$A159,Winter!$A:$A,FALSE),MATCH(All!Q$1,Winter!$1:$1,FALSE))="","",INDEX(Winter!$1:$1048576,MATCH(All!$A159,Winter!$A:$A,FALSE),MATCH(All!Q$1,Winter!$1:$1,FALSE))),"")</f>
        <v/>
      </c>
      <c r="R159" t="str">
        <f>IFERROR(IF(INDEX(Winter!$1:$1048576,MATCH(All!$A159,Winter!$A:$A,FALSE),MATCH(All!R$1,Winter!$1:$1,FALSE))="","",INDEX(Winter!$1:$1048576,MATCH(All!$A159,Winter!$A:$A,FALSE),MATCH(All!R$1,Winter!$1:$1,FALSE))),"")</f>
        <v/>
      </c>
      <c r="S159" t="str">
        <f>IFERROR(IF(INDEX(Winter!$1:$1048576,MATCH(All!$A159,Winter!$A:$A,FALSE),MATCH(All!S$1,Winter!$1:$1,FALSE))="","",INDEX(Winter!$1:$1048576,MATCH(All!$A159,Winter!$A:$A,FALSE),MATCH(All!S$1,Winter!$1:$1,FALSE))),"")</f>
        <v/>
      </c>
      <c r="T159" t="str">
        <f>IFERROR(IF(INDEX(Winter!$1:$1048576,MATCH(All!$A159,Winter!$A:$A,FALSE),MATCH(All!T$1,Winter!$1:$1,FALSE))="","",INDEX(Winter!$1:$1048576,MATCH(All!$A159,Winter!$A:$A,FALSE),MATCH(All!T$1,Winter!$1:$1,FALSE))),"")</f>
        <v/>
      </c>
      <c r="U159" t="str">
        <f>IFERROR(IF(INDEX(Winter!$1:$1048576,MATCH(All!$A159,Winter!$A:$A,FALSE),MATCH(All!U$1,Winter!$1:$1,FALSE))="","",INDEX(Winter!$1:$1048576,MATCH(All!$A159,Winter!$A:$A,FALSE),MATCH(All!U$1,Winter!$1:$1,FALSE))),"")</f>
        <v/>
      </c>
      <c r="W159">
        <f>IFERROR(IF(INDEX(Spring!$1:$1048576,MATCH(All!$A159,Spring!$A:$A,FALSE),MATCH(All!W$1,Spring!$1:$1,FALSE))="","",INDEX(Spring!$1:$1048576,MATCH(All!$A159,Spring!$A:$A,FALSE),MATCH(All!W$1,Spring!$1:$1,FALSE))),"")</f>
        <v>423</v>
      </c>
      <c r="X159" t="str">
        <f>IFERROR(IF(INDEX(Spring!$1:$1048576,MATCH(All!$A159,Spring!$A:$A,FALSE),MATCH(All!X$1,Spring!$1:$1,FALSE))="","",INDEX(Spring!$1:$1048576,MATCH(All!$A159,Spring!$A:$A,FALSE),MATCH(All!X$1,Spring!$1:$1,FALSE))),"")</f>
        <v>2A</v>
      </c>
      <c r="Y159" t="str">
        <f>IFERROR(IF(INDEX(Spring!$1:$1048576,MATCH(All!$A159,Spring!$A:$A,FALSE),MATCH(All!Y$1,Spring!$1:$1,FALSE))="","",INDEX(Spring!$1:$1048576,MATCH(All!$A159,Spring!$A:$A,FALSE),MATCH(All!Y$1,Spring!$1:$1,FALSE))),"")</f>
        <v/>
      </c>
      <c r="Z159" t="str">
        <f>IFERROR(IF(INDEX(Spring!$1:$1048576,MATCH(All!$A159,Spring!$A:$A,FALSE),MATCH(All!Z$1,Spring!$1:$1,FALSE))="","",INDEX(Spring!$1:$1048576,MATCH(All!$A159,Spring!$A:$A,FALSE),MATCH(All!Z$1,Spring!$1:$1,FALSE))),"")</f>
        <v>1A</v>
      </c>
      <c r="AA159" t="str">
        <f>IFERROR(IF(INDEX(Spring!$1:$1048576,MATCH(All!$A159,Spring!$A:$A,FALSE),MATCH(All!AA$1,Spring!$1:$1,FALSE))="","",INDEX(Spring!$1:$1048576,MATCH(All!$A159,Spring!$A:$A,FALSE),MATCH(All!AA$1,Spring!$1:$1,FALSE))),"")</f>
        <v/>
      </c>
      <c r="AB159" t="str">
        <f>IFERROR(IF(INDEX(Spring!$1:$1048576,MATCH(All!$A159,Spring!$A:$A,FALSE),MATCH(All!AB$1,Spring!$1:$1,FALSE))="","",INDEX(Spring!$1:$1048576,MATCH(All!$A159,Spring!$A:$A,FALSE),MATCH(All!AB$1,Spring!$1:$1,FALSE))),"")</f>
        <v>1A</v>
      </c>
      <c r="AC159" t="str">
        <f>IFERROR(IF(INDEX(Spring!$1:$1048576,MATCH(All!$A159,Spring!$A:$A,FALSE),MATCH(All!AC$1,Spring!$1:$1,FALSE))="","",INDEX(Spring!$1:$1048576,MATCH(All!$A159,Spring!$A:$A,FALSE),MATCH(All!AC$1,Spring!$1:$1,FALSE))),"")</f>
        <v>1A</v>
      </c>
      <c r="AD159" t="str">
        <f>IFERROR(VLOOKUP(A159,'Flag Football'!A:A,1,FALSE),"")</f>
        <v/>
      </c>
      <c r="AE159" t="str">
        <f t="shared" si="2"/>
        <v/>
      </c>
    </row>
    <row r="160" spans="1:31" ht="15.75" thickBot="1" x14ac:dyDescent="0.3">
      <c r="A160" s="20" t="s">
        <v>196</v>
      </c>
      <c r="B160" s="38">
        <f>IFERROR(VLOOKUP(A160,'Public v Private'!A:G,3,FALSE),"")</f>
        <v>0</v>
      </c>
      <c r="C160" s="38">
        <f>IFERROR(VLOOKUP(A160,'Public v Private'!A:G,4,FALSE),"")</f>
        <v>0</v>
      </c>
      <c r="D160" s="38">
        <f>IFERROR(VLOOKUP(A160,'Public v Private'!A:G,5,FALSE),"")</f>
        <v>0</v>
      </c>
      <c r="E160" s="38"/>
      <c r="F160" s="40" t="str">
        <f>IFERROR(INDEX(Fall!$1:$1048576,MATCH(All!$A160,Fall!$A:$A,FALSE),MATCH(All!F$1,Fall!$1:$1,FALSE)),"N/A")</f>
        <v>N/A</v>
      </c>
      <c r="G160" t="str">
        <f>IFERROR(IF(INDEX(Fall!$1:$1048576,MATCH(All!$A160,Fall!$A:$A,FALSE),MATCH(All!G$1,Fall!$1:$1,FALSE))="","",INDEX(Fall!$1:$1048576,MATCH(All!$A160,Fall!$A:$A,FALSE),MATCH(All!G$1,Fall!$1:$1,FALSE))),"")</f>
        <v/>
      </c>
      <c r="H160" t="str">
        <f>IFERROR(IF(INDEX(Fall!$1:$1048576,MATCH(All!$A160,Fall!$A:$A,FALSE),MATCH(All!H$1,Fall!$1:$1,FALSE))="","",INDEX(Fall!$1:$1048576,MATCH(All!$A160,Fall!$A:$A,FALSE),MATCH(All!H$1,Fall!$1:$1,FALSE))),"")</f>
        <v/>
      </c>
      <c r="I160" t="str">
        <f>IFERROR(IF(INDEX(Fall!$1:$1048576,MATCH(All!$A160,Fall!$A:$A,FALSE),MATCH(All!I$1,Fall!$1:$1,FALSE))="","",INDEX(Fall!$1:$1048576,MATCH(All!$A160,Fall!$A:$A,FALSE),MATCH(All!I$1,Fall!$1:$1,FALSE))),"")</f>
        <v/>
      </c>
      <c r="J160" t="str">
        <f>IFERROR(IF(INDEX(Fall!$1:$1048576,MATCH(All!$A160,Fall!$A:$A,FALSE),MATCH(All!J$1,Fall!$1:$1,FALSE))="","",INDEX(Fall!$1:$1048576,MATCH(All!$A160,Fall!$A:$A,FALSE),MATCH(All!J$1,Fall!$1:$1,FALSE))),"")</f>
        <v/>
      </c>
      <c r="K160" t="str">
        <f>IFERROR(IF(INDEX(Fall!$1:$1048576,MATCH(All!$A160,Fall!$A:$A,FALSE),MATCH(All!K$1,Fall!$1:$1,FALSE))="","",INDEX(Fall!$1:$1048576,MATCH(All!$A160,Fall!$A:$A,FALSE),MATCH(All!K$1,Fall!$1:$1,FALSE))),"")</f>
        <v/>
      </c>
      <c r="L160" t="str">
        <f>IFERROR(IF(INDEX(Fall!$1:$1048576,MATCH(All!$A160,Fall!$A:$A,FALSE),MATCH(All!L$1,Fall!$1:$1,FALSE))="","",INDEX(Fall!$1:$1048576,MATCH(All!$A160,Fall!$A:$A,FALSE),MATCH(All!L$1,Fall!$1:$1,FALSE))),"")</f>
        <v/>
      </c>
      <c r="M160" t="str">
        <f>IFERROR(IF(INDEX(Fall!$1:$1048576,MATCH(All!$A160,Fall!$A:$A,FALSE),MATCH(All!M$1,Fall!$1:$1,FALSE))="","",INDEX(Fall!$1:$1048576,MATCH(All!$A160,Fall!$A:$A,FALSE),MATCH(All!M$1,Fall!$1:$1,FALSE))),"")</f>
        <v/>
      </c>
      <c r="O160">
        <f>IFERROR(IF(INDEX(Winter!$1:$1048576,MATCH(All!$A160,Winter!$A:$A,FALSE),MATCH(All!O$1,Winter!$1:$1,FALSE))="","",INDEX(Winter!$1:$1048576,MATCH(All!$A160,Winter!$A:$A,FALSE),MATCH(All!O$1,Winter!$1:$1,FALSE))),"")</f>
        <v>201</v>
      </c>
      <c r="P160" t="str">
        <f>IFERROR(IF(INDEX(Winter!$1:$1048576,MATCH(All!$A160,Winter!$A:$A,FALSE),MATCH(All!P$1,Winter!$1:$1,FALSE))="","",INDEX(Winter!$1:$1048576,MATCH(All!$A160,Winter!$A:$A,FALSE),MATCH(All!P$1,Winter!$1:$1,FALSE))),"")</f>
        <v>1A</v>
      </c>
      <c r="Q160" t="str">
        <f>IFERROR(IF(INDEX(Winter!$1:$1048576,MATCH(All!$A160,Winter!$A:$A,FALSE),MATCH(All!Q$1,Winter!$1:$1,FALSE))="","",INDEX(Winter!$1:$1048576,MATCH(All!$A160,Winter!$A:$A,FALSE),MATCH(All!Q$1,Winter!$1:$1,FALSE))),"")</f>
        <v>1A</v>
      </c>
      <c r="R160" t="str">
        <f>IFERROR(IF(INDEX(Winter!$1:$1048576,MATCH(All!$A160,Winter!$A:$A,FALSE),MATCH(All!R$1,Winter!$1:$1,FALSE))="","",INDEX(Winter!$1:$1048576,MATCH(All!$A160,Winter!$A:$A,FALSE),MATCH(All!R$1,Winter!$1:$1,FALSE))),"")</f>
        <v/>
      </c>
      <c r="S160" t="str">
        <f>IFERROR(IF(INDEX(Winter!$1:$1048576,MATCH(All!$A160,Winter!$A:$A,FALSE),MATCH(All!S$1,Winter!$1:$1,FALSE))="","",INDEX(Winter!$1:$1048576,MATCH(All!$A160,Winter!$A:$A,FALSE),MATCH(All!S$1,Winter!$1:$1,FALSE))),"")</f>
        <v/>
      </c>
      <c r="T160" t="str">
        <f>IFERROR(IF(INDEX(Winter!$1:$1048576,MATCH(All!$A160,Winter!$A:$A,FALSE),MATCH(All!T$1,Winter!$1:$1,FALSE))="","",INDEX(Winter!$1:$1048576,MATCH(All!$A160,Winter!$A:$A,FALSE),MATCH(All!T$1,Winter!$1:$1,FALSE))),"")</f>
        <v/>
      </c>
      <c r="U160" t="str">
        <f>IFERROR(IF(INDEX(Winter!$1:$1048576,MATCH(All!$A160,Winter!$A:$A,FALSE),MATCH(All!U$1,Winter!$1:$1,FALSE))="","",INDEX(Winter!$1:$1048576,MATCH(All!$A160,Winter!$A:$A,FALSE),MATCH(All!U$1,Winter!$1:$1,FALSE))),"")</f>
        <v>1A</v>
      </c>
      <c r="W160">
        <f>IFERROR(IF(INDEX(Spring!$1:$1048576,MATCH(All!$A160,Spring!$A:$A,FALSE),MATCH(All!W$1,Spring!$1:$1,FALSE))="","",INDEX(Spring!$1:$1048576,MATCH(All!$A160,Spring!$A:$A,FALSE),MATCH(All!W$1,Spring!$1:$1,FALSE))),"")</f>
        <v>201</v>
      </c>
      <c r="X160" t="str">
        <f>IFERROR(IF(INDEX(Spring!$1:$1048576,MATCH(All!$A160,Spring!$A:$A,FALSE),MATCH(All!X$1,Spring!$1:$1,FALSE))="","",INDEX(Spring!$1:$1048576,MATCH(All!$A160,Spring!$A:$A,FALSE),MATCH(All!X$1,Spring!$1:$1,FALSE))),"")</f>
        <v/>
      </c>
      <c r="Y160" t="str">
        <f>IFERROR(IF(INDEX(Spring!$1:$1048576,MATCH(All!$A160,Spring!$A:$A,FALSE),MATCH(All!Y$1,Spring!$1:$1,FALSE))="","",INDEX(Spring!$1:$1048576,MATCH(All!$A160,Spring!$A:$A,FALSE),MATCH(All!Y$1,Spring!$1:$1,FALSE))),"")</f>
        <v/>
      </c>
      <c r="Z160" t="str">
        <f>IFERROR(IF(INDEX(Spring!$1:$1048576,MATCH(All!$A160,Spring!$A:$A,FALSE),MATCH(All!Z$1,Spring!$1:$1,FALSE))="","",INDEX(Spring!$1:$1048576,MATCH(All!$A160,Spring!$A:$A,FALSE),MATCH(All!Z$1,Spring!$1:$1,FALSE))),"")</f>
        <v/>
      </c>
      <c r="AA160" t="str">
        <f>IFERROR(IF(INDEX(Spring!$1:$1048576,MATCH(All!$A160,Spring!$A:$A,FALSE),MATCH(All!AA$1,Spring!$1:$1,FALSE))="","",INDEX(Spring!$1:$1048576,MATCH(All!$A160,Spring!$A:$A,FALSE),MATCH(All!AA$1,Spring!$1:$1,FALSE))),"")</f>
        <v/>
      </c>
      <c r="AB160" t="str">
        <f>IFERROR(IF(INDEX(Spring!$1:$1048576,MATCH(All!$A160,Spring!$A:$A,FALSE),MATCH(All!AB$1,Spring!$1:$1,FALSE))="","",INDEX(Spring!$1:$1048576,MATCH(All!$A160,Spring!$A:$A,FALSE),MATCH(All!AB$1,Spring!$1:$1,FALSE))),"")</f>
        <v>1A</v>
      </c>
      <c r="AC160" t="str">
        <f>IFERROR(IF(INDEX(Spring!$1:$1048576,MATCH(All!$A160,Spring!$A:$A,FALSE),MATCH(All!AC$1,Spring!$1:$1,FALSE))="","",INDEX(Spring!$1:$1048576,MATCH(All!$A160,Spring!$A:$A,FALSE),MATCH(All!AC$1,Spring!$1:$1,FALSE))),"")</f>
        <v>1A</v>
      </c>
      <c r="AD160" t="str">
        <f>IFERROR(VLOOKUP(A160,'Flag Football'!A:A,1,FALSE),"")</f>
        <v>Chicago (Fenger)</v>
      </c>
      <c r="AE160" t="str">
        <f t="shared" si="2"/>
        <v>1A</v>
      </c>
    </row>
    <row r="161" spans="1:31" ht="15.75" thickBot="1" x14ac:dyDescent="0.3">
      <c r="A161" s="18" t="s">
        <v>197</v>
      </c>
      <c r="B161" s="38">
        <f>IFERROR(VLOOKUP(A161,'Public v Private'!A:G,3,FALSE),"")</f>
        <v>0</v>
      </c>
      <c r="C161" s="38">
        <f>IFERROR(VLOOKUP(A161,'Public v Private'!A:G,4,FALSE),"")</f>
        <v>0</v>
      </c>
      <c r="D161" s="38">
        <f>IFERROR(VLOOKUP(A161,'Public v Private'!A:G,5,FALSE),"")</f>
        <v>0</v>
      </c>
      <c r="E161" s="38"/>
      <c r="F161" s="40">
        <f>IFERROR(INDEX(Fall!$1:$1048576,MATCH(All!$A161,Fall!$A:$A,FALSE),MATCH(All!F$1,Fall!$1:$1,FALSE)),"N/A")</f>
        <v>568</v>
      </c>
      <c r="G161" t="str">
        <f>IFERROR(IF(INDEX(Fall!$1:$1048576,MATCH(All!$A161,Fall!$A:$A,FALSE),MATCH(All!G$1,Fall!$1:$1,FALSE))="","",INDEX(Fall!$1:$1048576,MATCH(All!$A161,Fall!$A:$A,FALSE),MATCH(All!G$1,Fall!$1:$1,FALSE))),"")</f>
        <v/>
      </c>
      <c r="H161" t="str">
        <f>IFERROR(IF(INDEX(Fall!$1:$1048576,MATCH(All!$A161,Fall!$A:$A,FALSE),MATCH(All!H$1,Fall!$1:$1,FALSE))="","",INDEX(Fall!$1:$1048576,MATCH(All!$A161,Fall!$A:$A,FALSE),MATCH(All!H$1,Fall!$1:$1,FALSE))),"")</f>
        <v/>
      </c>
      <c r="I161" t="str">
        <f>IFERROR(IF(INDEX(Fall!$1:$1048576,MATCH(All!$A161,Fall!$A:$A,FALSE),MATCH(All!I$1,Fall!$1:$1,FALSE))="","",INDEX(Fall!$1:$1048576,MATCH(All!$A161,Fall!$A:$A,FALSE),MATCH(All!I$1,Fall!$1:$1,FALSE))),"")</f>
        <v/>
      </c>
      <c r="J161" t="str">
        <f>IFERROR(IF(INDEX(Fall!$1:$1048576,MATCH(All!$A161,Fall!$A:$A,FALSE),MATCH(All!J$1,Fall!$1:$1,FALSE))="","",INDEX(Fall!$1:$1048576,MATCH(All!$A161,Fall!$A:$A,FALSE),MATCH(All!J$1,Fall!$1:$1,FALSE))),"")</f>
        <v/>
      </c>
      <c r="K161" t="str">
        <f>IFERROR(IF(INDEX(Fall!$1:$1048576,MATCH(All!$A161,Fall!$A:$A,FALSE),MATCH(All!K$1,Fall!$1:$1,FALSE))="","",INDEX(Fall!$1:$1048576,MATCH(All!$A161,Fall!$A:$A,FALSE),MATCH(All!K$1,Fall!$1:$1,FALSE))),"")</f>
        <v>1A</v>
      </c>
      <c r="L161" t="str">
        <f>IFERROR(IF(INDEX(Fall!$1:$1048576,MATCH(All!$A161,Fall!$A:$A,FALSE),MATCH(All!L$1,Fall!$1:$1,FALSE))="","",INDEX(Fall!$1:$1048576,MATCH(All!$A161,Fall!$A:$A,FALSE),MATCH(All!L$1,Fall!$1:$1,FALSE))),"")</f>
        <v/>
      </c>
      <c r="M161" t="str">
        <f>IFERROR(IF(INDEX(Fall!$1:$1048576,MATCH(All!$A161,Fall!$A:$A,FALSE),MATCH(All!M$1,Fall!$1:$1,FALSE))="","",INDEX(Fall!$1:$1048576,MATCH(All!$A161,Fall!$A:$A,FALSE),MATCH(All!M$1,Fall!$1:$1,FALSE))),"")</f>
        <v>2A</v>
      </c>
      <c r="O161">
        <f>IFERROR(IF(INDEX(Winter!$1:$1048576,MATCH(All!$A161,Winter!$A:$A,FALSE),MATCH(All!O$1,Winter!$1:$1,FALSE))="","",INDEX(Winter!$1:$1048576,MATCH(All!$A161,Winter!$A:$A,FALSE),MATCH(All!O$1,Winter!$1:$1,FALSE))),"")</f>
        <v>568</v>
      </c>
      <c r="P161" t="str">
        <f>IFERROR(IF(INDEX(Winter!$1:$1048576,MATCH(All!$A161,Winter!$A:$A,FALSE),MATCH(All!P$1,Winter!$1:$1,FALSE))="","",INDEX(Winter!$1:$1048576,MATCH(All!$A161,Winter!$A:$A,FALSE),MATCH(All!P$1,Winter!$1:$1,FALSE))),"")</f>
        <v>2A</v>
      </c>
      <c r="Q161" t="str">
        <f>IFERROR(IF(INDEX(Winter!$1:$1048576,MATCH(All!$A161,Winter!$A:$A,FALSE),MATCH(All!Q$1,Winter!$1:$1,FALSE))="","",INDEX(Winter!$1:$1048576,MATCH(All!$A161,Winter!$A:$A,FALSE),MATCH(All!Q$1,Winter!$1:$1,FALSE))),"")</f>
        <v>2A</v>
      </c>
      <c r="R161" t="str">
        <f>IFERROR(IF(INDEX(Winter!$1:$1048576,MATCH(All!$A161,Winter!$A:$A,FALSE),MATCH(All!R$1,Winter!$1:$1,FALSE))="","",INDEX(Winter!$1:$1048576,MATCH(All!$A161,Winter!$A:$A,FALSE),MATCH(All!R$1,Winter!$1:$1,FALSE))),"")</f>
        <v/>
      </c>
      <c r="S161" t="str">
        <f>IFERROR(IF(INDEX(Winter!$1:$1048576,MATCH(All!$A161,Winter!$A:$A,FALSE),MATCH(All!S$1,Winter!$1:$1,FALSE))="","",INDEX(Winter!$1:$1048576,MATCH(All!$A161,Winter!$A:$A,FALSE),MATCH(All!S$1,Winter!$1:$1,FALSE))),"")</f>
        <v/>
      </c>
      <c r="T161" t="str">
        <f>IFERROR(IF(INDEX(Winter!$1:$1048576,MATCH(All!$A161,Winter!$A:$A,FALSE),MATCH(All!T$1,Winter!$1:$1,FALSE))="","",INDEX(Winter!$1:$1048576,MATCH(All!$A161,Winter!$A:$A,FALSE),MATCH(All!T$1,Winter!$1:$1,FALSE))),"")</f>
        <v/>
      </c>
      <c r="U161" t="str">
        <f>IFERROR(IF(INDEX(Winter!$1:$1048576,MATCH(All!$A161,Winter!$A:$A,FALSE),MATCH(All!U$1,Winter!$1:$1,FALSE))="","",INDEX(Winter!$1:$1048576,MATCH(All!$A161,Winter!$A:$A,FALSE),MATCH(All!U$1,Winter!$1:$1,FALSE))),"")</f>
        <v>1A</v>
      </c>
      <c r="W161">
        <f>IFERROR(IF(INDEX(Spring!$1:$1048576,MATCH(All!$A161,Spring!$A:$A,FALSE),MATCH(All!W$1,Spring!$1:$1,FALSE))="","",INDEX(Spring!$1:$1048576,MATCH(All!$A161,Spring!$A:$A,FALSE),MATCH(All!W$1,Spring!$1:$1,FALSE))),"")</f>
        <v>568</v>
      </c>
      <c r="X161" t="str">
        <f>IFERROR(IF(INDEX(Spring!$1:$1048576,MATCH(All!$A161,Spring!$A:$A,FALSE),MATCH(All!X$1,Spring!$1:$1,FALSE))="","",INDEX(Spring!$1:$1048576,MATCH(All!$A161,Spring!$A:$A,FALSE),MATCH(All!X$1,Spring!$1:$1,FALSE))),"")</f>
        <v/>
      </c>
      <c r="Y161" t="str">
        <f>IFERROR(IF(INDEX(Spring!$1:$1048576,MATCH(All!$A161,Spring!$A:$A,FALSE),MATCH(All!Y$1,Spring!$1:$1,FALSE))="","",INDEX(Spring!$1:$1048576,MATCH(All!$A161,Spring!$A:$A,FALSE),MATCH(All!Y$1,Spring!$1:$1,FALSE))),"")</f>
        <v/>
      </c>
      <c r="Z161" t="str">
        <f>IFERROR(IF(INDEX(Spring!$1:$1048576,MATCH(All!$A161,Spring!$A:$A,FALSE),MATCH(All!Z$1,Spring!$1:$1,FALSE))="","",INDEX(Spring!$1:$1048576,MATCH(All!$A161,Spring!$A:$A,FALSE),MATCH(All!Z$1,Spring!$1:$1,FALSE))),"")</f>
        <v/>
      </c>
      <c r="AA161" t="str">
        <f>IFERROR(IF(INDEX(Spring!$1:$1048576,MATCH(All!$A161,Spring!$A:$A,FALSE),MATCH(All!AA$1,Spring!$1:$1,FALSE))="","",INDEX(Spring!$1:$1048576,MATCH(All!$A161,Spring!$A:$A,FALSE),MATCH(All!AA$1,Spring!$1:$1,FALSE))),"")</f>
        <v/>
      </c>
      <c r="AB161" t="str">
        <f>IFERROR(IF(INDEX(Spring!$1:$1048576,MATCH(All!$A161,Spring!$A:$A,FALSE),MATCH(All!AB$1,Spring!$1:$1,FALSE))="","",INDEX(Spring!$1:$1048576,MATCH(All!$A161,Spring!$A:$A,FALSE),MATCH(All!AB$1,Spring!$1:$1,FALSE))),"")</f>
        <v>2A</v>
      </c>
      <c r="AC161" t="str">
        <f>IFERROR(IF(INDEX(Spring!$1:$1048576,MATCH(All!$A161,Spring!$A:$A,FALSE),MATCH(All!AC$1,Spring!$1:$1,FALSE))="","",INDEX(Spring!$1:$1048576,MATCH(All!$A161,Spring!$A:$A,FALSE),MATCH(All!AC$1,Spring!$1:$1,FALSE))),"")</f>
        <v/>
      </c>
      <c r="AD161" t="str">
        <f>IFERROR(VLOOKUP(A161,'Flag Football'!A:A,1,FALSE),"")</f>
        <v/>
      </c>
      <c r="AE161" t="str">
        <f t="shared" si="2"/>
        <v/>
      </c>
    </row>
    <row r="162" spans="1:31" ht="15.75" thickBot="1" x14ac:dyDescent="0.3">
      <c r="A162" s="20" t="s">
        <v>198</v>
      </c>
      <c r="B162" s="38" t="str">
        <f>IFERROR(VLOOKUP(A162,'Public v Private'!A:G,3,FALSE),"")</f>
        <v>?</v>
      </c>
      <c r="C162" s="38">
        <f>IFERROR(VLOOKUP(A162,'Public v Private'!A:G,4,FALSE),"")</f>
        <v>0</v>
      </c>
      <c r="D162" s="38">
        <f>IFERROR(VLOOKUP(A162,'Public v Private'!A:G,5,FALSE),"")</f>
        <v>0</v>
      </c>
      <c r="E162" s="38"/>
      <c r="F162" s="40" t="str">
        <f>IFERROR(INDEX(Fall!$1:$1048576,MATCH(All!$A162,Fall!$A:$A,FALSE),MATCH(All!F$1,Fall!$1:$1,FALSE)),"N/A")</f>
        <v>N/A</v>
      </c>
      <c r="G162" t="str">
        <f>IFERROR(IF(INDEX(Fall!$1:$1048576,MATCH(All!$A162,Fall!$A:$A,FALSE),MATCH(All!G$1,Fall!$1:$1,FALSE))="","",INDEX(Fall!$1:$1048576,MATCH(All!$A162,Fall!$A:$A,FALSE),MATCH(All!G$1,Fall!$1:$1,FALSE))),"")</f>
        <v/>
      </c>
      <c r="H162" t="str">
        <f>IFERROR(IF(INDEX(Fall!$1:$1048576,MATCH(All!$A162,Fall!$A:$A,FALSE),MATCH(All!H$1,Fall!$1:$1,FALSE))="","",INDEX(Fall!$1:$1048576,MATCH(All!$A162,Fall!$A:$A,FALSE),MATCH(All!H$1,Fall!$1:$1,FALSE))),"")</f>
        <v/>
      </c>
      <c r="I162" t="str">
        <f>IFERROR(IF(INDEX(Fall!$1:$1048576,MATCH(All!$A162,Fall!$A:$A,FALSE),MATCH(All!I$1,Fall!$1:$1,FALSE))="","",INDEX(Fall!$1:$1048576,MATCH(All!$A162,Fall!$A:$A,FALSE),MATCH(All!I$1,Fall!$1:$1,FALSE))),"")</f>
        <v/>
      </c>
      <c r="J162" t="str">
        <f>IFERROR(IF(INDEX(Fall!$1:$1048576,MATCH(All!$A162,Fall!$A:$A,FALSE),MATCH(All!J$1,Fall!$1:$1,FALSE))="","",INDEX(Fall!$1:$1048576,MATCH(All!$A162,Fall!$A:$A,FALSE),MATCH(All!J$1,Fall!$1:$1,FALSE))),"")</f>
        <v/>
      </c>
      <c r="K162" t="str">
        <f>IFERROR(IF(INDEX(Fall!$1:$1048576,MATCH(All!$A162,Fall!$A:$A,FALSE),MATCH(All!K$1,Fall!$1:$1,FALSE))="","",INDEX(Fall!$1:$1048576,MATCH(All!$A162,Fall!$A:$A,FALSE),MATCH(All!K$1,Fall!$1:$1,FALSE))),"")</f>
        <v/>
      </c>
      <c r="L162" t="str">
        <f>IFERROR(IF(INDEX(Fall!$1:$1048576,MATCH(All!$A162,Fall!$A:$A,FALSE),MATCH(All!L$1,Fall!$1:$1,FALSE))="","",INDEX(Fall!$1:$1048576,MATCH(All!$A162,Fall!$A:$A,FALSE),MATCH(All!L$1,Fall!$1:$1,FALSE))),"")</f>
        <v/>
      </c>
      <c r="M162" t="str">
        <f>IFERROR(IF(INDEX(Fall!$1:$1048576,MATCH(All!$A162,Fall!$A:$A,FALSE),MATCH(All!M$1,Fall!$1:$1,FALSE))="","",INDEX(Fall!$1:$1048576,MATCH(All!$A162,Fall!$A:$A,FALSE),MATCH(All!M$1,Fall!$1:$1,FALSE))),"")</f>
        <v/>
      </c>
      <c r="O162">
        <f>IFERROR(IF(INDEX(Winter!$1:$1048576,MATCH(All!$A162,Winter!$A:$A,FALSE),MATCH(All!O$1,Winter!$1:$1,FALSE))="","",INDEX(Winter!$1:$1048576,MATCH(All!$A162,Winter!$A:$A,FALSE),MATCH(All!O$1,Winter!$1:$1,FALSE))),"")</f>
        <v>326</v>
      </c>
      <c r="P162" t="str">
        <f>IFERROR(IF(INDEX(Winter!$1:$1048576,MATCH(All!$A162,Winter!$A:$A,FALSE),MATCH(All!P$1,Winter!$1:$1,FALSE))="","",INDEX(Winter!$1:$1048576,MATCH(All!$A162,Winter!$A:$A,FALSE),MATCH(All!P$1,Winter!$1:$1,FALSE))),"")</f>
        <v>2A</v>
      </c>
      <c r="Q162" t="str">
        <f>IFERROR(IF(INDEX(Winter!$1:$1048576,MATCH(All!$A162,Winter!$A:$A,FALSE),MATCH(All!Q$1,Winter!$1:$1,FALSE))="","",INDEX(Winter!$1:$1048576,MATCH(All!$A162,Winter!$A:$A,FALSE),MATCH(All!Q$1,Winter!$1:$1,FALSE))),"")</f>
        <v/>
      </c>
      <c r="R162" t="str">
        <f>IFERROR(IF(INDEX(Winter!$1:$1048576,MATCH(All!$A162,Winter!$A:$A,FALSE),MATCH(All!R$1,Winter!$1:$1,FALSE))="","",INDEX(Winter!$1:$1048576,MATCH(All!$A162,Winter!$A:$A,FALSE),MATCH(All!R$1,Winter!$1:$1,FALSE))),"")</f>
        <v/>
      </c>
      <c r="S162" t="str">
        <f>IFERROR(IF(INDEX(Winter!$1:$1048576,MATCH(All!$A162,Winter!$A:$A,FALSE),MATCH(All!S$1,Winter!$1:$1,FALSE))="","",INDEX(Winter!$1:$1048576,MATCH(All!$A162,Winter!$A:$A,FALSE),MATCH(All!S$1,Winter!$1:$1,FALSE))),"")</f>
        <v/>
      </c>
      <c r="T162" t="str">
        <f>IFERROR(IF(INDEX(Winter!$1:$1048576,MATCH(All!$A162,Winter!$A:$A,FALSE),MATCH(All!T$1,Winter!$1:$1,FALSE))="","",INDEX(Winter!$1:$1048576,MATCH(All!$A162,Winter!$A:$A,FALSE),MATCH(All!T$1,Winter!$1:$1,FALSE))),"")</f>
        <v/>
      </c>
      <c r="U162" t="str">
        <f>IFERROR(IF(INDEX(Winter!$1:$1048576,MATCH(All!$A162,Winter!$A:$A,FALSE),MATCH(All!U$1,Winter!$1:$1,FALSE))="","",INDEX(Winter!$1:$1048576,MATCH(All!$A162,Winter!$A:$A,FALSE),MATCH(All!U$1,Winter!$1:$1,FALSE))),"")</f>
        <v/>
      </c>
      <c r="W162">
        <f>IFERROR(IF(INDEX(Spring!$1:$1048576,MATCH(All!$A162,Spring!$A:$A,FALSE),MATCH(All!W$1,Spring!$1:$1,FALSE))="","",INDEX(Spring!$1:$1048576,MATCH(All!$A162,Spring!$A:$A,FALSE),MATCH(All!W$1,Spring!$1:$1,FALSE))),"")</f>
        <v>326</v>
      </c>
      <c r="X162" t="str">
        <f>IFERROR(IF(INDEX(Spring!$1:$1048576,MATCH(All!$A162,Spring!$A:$A,FALSE),MATCH(All!X$1,Spring!$1:$1,FALSE))="","",INDEX(Spring!$1:$1048576,MATCH(All!$A162,Spring!$A:$A,FALSE),MATCH(All!X$1,Spring!$1:$1,FALSE))),"")</f>
        <v>2A</v>
      </c>
      <c r="Y162" t="str">
        <f>IFERROR(IF(INDEX(Spring!$1:$1048576,MATCH(All!$A162,Spring!$A:$A,FALSE),MATCH(All!Y$1,Spring!$1:$1,FALSE))="","",INDEX(Spring!$1:$1048576,MATCH(All!$A162,Spring!$A:$A,FALSE),MATCH(All!Y$1,Spring!$1:$1,FALSE))),"")</f>
        <v/>
      </c>
      <c r="Z162" t="str">
        <f>IFERROR(IF(INDEX(Spring!$1:$1048576,MATCH(All!$A162,Spring!$A:$A,FALSE),MATCH(All!Z$1,Spring!$1:$1,FALSE))="","",INDEX(Spring!$1:$1048576,MATCH(All!$A162,Spring!$A:$A,FALSE),MATCH(All!Z$1,Spring!$1:$1,FALSE))),"")</f>
        <v>1A</v>
      </c>
      <c r="AA162" t="str">
        <f>IFERROR(IF(INDEX(Spring!$1:$1048576,MATCH(All!$A162,Spring!$A:$A,FALSE),MATCH(All!AA$1,Spring!$1:$1,FALSE))="","",INDEX(Spring!$1:$1048576,MATCH(All!$A162,Spring!$A:$A,FALSE),MATCH(All!AA$1,Spring!$1:$1,FALSE))),"")</f>
        <v/>
      </c>
      <c r="AB162" t="str">
        <f>IFERROR(IF(INDEX(Spring!$1:$1048576,MATCH(All!$A162,Spring!$A:$A,FALSE),MATCH(All!AB$1,Spring!$1:$1,FALSE))="","",INDEX(Spring!$1:$1048576,MATCH(All!$A162,Spring!$A:$A,FALSE),MATCH(All!AB$1,Spring!$1:$1,FALSE))),"")</f>
        <v>1A</v>
      </c>
      <c r="AC162" t="str">
        <f>IFERROR(IF(INDEX(Spring!$1:$1048576,MATCH(All!$A162,Spring!$A:$A,FALSE),MATCH(All!AC$1,Spring!$1:$1,FALSE))="","",INDEX(Spring!$1:$1048576,MATCH(All!$A162,Spring!$A:$A,FALSE),MATCH(All!AC$1,Spring!$1:$1,FALSE))),"")</f>
        <v/>
      </c>
      <c r="AD162" t="str">
        <f>IFERROR(VLOOKUP(A162,'Flag Football'!A:A,1,FALSE),"")</f>
        <v/>
      </c>
      <c r="AE162" t="str">
        <f t="shared" si="2"/>
        <v/>
      </c>
    </row>
    <row r="163" spans="1:31" ht="15.75" thickBot="1" x14ac:dyDescent="0.3">
      <c r="A163" s="20" t="s">
        <v>199</v>
      </c>
      <c r="B163" s="38" t="str">
        <f>IFERROR(VLOOKUP(A163,'Public v Private'!A:G,3,FALSE),"")</f>
        <v>no</v>
      </c>
      <c r="C163" s="38">
        <f>IFERROR(VLOOKUP(A163,'Public v Private'!A:G,4,FALSE),"")</f>
        <v>0</v>
      </c>
      <c r="D163" s="38">
        <f>IFERROR(VLOOKUP(A163,'Public v Private'!A:G,5,FALSE),"")</f>
        <v>0</v>
      </c>
      <c r="E163" s="38"/>
      <c r="F163" s="40" t="str">
        <f>IFERROR(INDEX(Fall!$1:$1048576,MATCH(All!$A163,Fall!$A:$A,FALSE),MATCH(All!F$1,Fall!$1:$1,FALSE)),"N/A")</f>
        <v>961.00 (1,585.65)</v>
      </c>
      <c r="G163" t="str">
        <f>IFERROR(IF(INDEX(Fall!$1:$1048576,MATCH(All!$A163,Fall!$A:$A,FALSE),MATCH(All!G$1,Fall!$1:$1,FALSE))="","",INDEX(Fall!$1:$1048576,MATCH(All!$A163,Fall!$A:$A,FALSE),MATCH(All!G$1,Fall!$1:$1,FALSE))),"")</f>
        <v>2A</v>
      </c>
      <c r="H163" t="str">
        <f>IFERROR(IF(INDEX(Fall!$1:$1048576,MATCH(All!$A163,Fall!$A:$A,FALSE),MATCH(All!H$1,Fall!$1:$1,FALSE))="","",INDEX(Fall!$1:$1048576,MATCH(All!$A163,Fall!$A:$A,FALSE),MATCH(All!H$1,Fall!$1:$1,FALSE))),"")</f>
        <v>2A</v>
      </c>
      <c r="I163" t="str">
        <f>IFERROR(IF(INDEX(Fall!$1:$1048576,MATCH(All!$A163,Fall!$A:$A,FALSE),MATCH(All!I$1,Fall!$1:$1,FALSE))="","",INDEX(Fall!$1:$1048576,MATCH(All!$A163,Fall!$A:$A,FALSE),MATCH(All!I$1,Fall!$1:$1,FALSE))),"")</f>
        <v/>
      </c>
      <c r="J163" t="str">
        <f>IFERROR(IF(INDEX(Fall!$1:$1048576,MATCH(All!$A163,Fall!$A:$A,FALSE),MATCH(All!J$1,Fall!$1:$1,FALSE))="","",INDEX(Fall!$1:$1048576,MATCH(All!$A163,Fall!$A:$A,FALSE),MATCH(All!J$1,Fall!$1:$1,FALSE))),"")</f>
        <v/>
      </c>
      <c r="K163" t="str">
        <f>IFERROR(IF(INDEX(Fall!$1:$1048576,MATCH(All!$A163,Fall!$A:$A,FALSE),MATCH(All!K$1,Fall!$1:$1,FALSE))="","",INDEX(Fall!$1:$1048576,MATCH(All!$A163,Fall!$A:$A,FALSE),MATCH(All!K$1,Fall!$1:$1,FALSE))),"")</f>
        <v>2A</v>
      </c>
      <c r="L163" t="str">
        <f>IFERROR(IF(INDEX(Fall!$1:$1048576,MATCH(All!$A163,Fall!$A:$A,FALSE),MATCH(All!L$1,Fall!$1:$1,FALSE))="","",INDEX(Fall!$1:$1048576,MATCH(All!$A163,Fall!$A:$A,FALSE),MATCH(All!L$1,Fall!$1:$1,FALSE))),"")</f>
        <v/>
      </c>
      <c r="M163" t="str">
        <f>IFERROR(IF(INDEX(Fall!$1:$1048576,MATCH(All!$A163,Fall!$A:$A,FALSE),MATCH(All!M$1,Fall!$1:$1,FALSE))="","",INDEX(Fall!$1:$1048576,MATCH(All!$A163,Fall!$A:$A,FALSE),MATCH(All!M$1,Fall!$1:$1,FALSE))),"")</f>
        <v/>
      </c>
      <c r="O163" t="str">
        <f>IFERROR(IF(INDEX(Winter!$1:$1048576,MATCH(All!$A163,Winter!$A:$A,FALSE),MATCH(All!O$1,Winter!$1:$1,FALSE))="","",INDEX(Winter!$1:$1048576,MATCH(All!$A163,Winter!$A:$A,FALSE),MATCH(All!O$1,Winter!$1:$1,FALSE))),"")</f>
        <v>961.00 (1,585.65)</v>
      </c>
      <c r="P163" t="str">
        <f>IFERROR(IF(INDEX(Winter!$1:$1048576,MATCH(All!$A163,Winter!$A:$A,FALSE),MATCH(All!P$1,Winter!$1:$1,FALSE))="","",INDEX(Winter!$1:$1048576,MATCH(All!$A163,Winter!$A:$A,FALSE),MATCH(All!P$1,Winter!$1:$1,FALSE))),"")</f>
        <v>3A</v>
      </c>
      <c r="Q163" t="str">
        <f>IFERROR(IF(INDEX(Winter!$1:$1048576,MATCH(All!$A163,Winter!$A:$A,FALSE),MATCH(All!Q$1,Winter!$1:$1,FALSE))="","",INDEX(Winter!$1:$1048576,MATCH(All!$A163,Winter!$A:$A,FALSE),MATCH(All!Q$1,Winter!$1:$1,FALSE))),"")</f>
        <v>3A</v>
      </c>
      <c r="R163" t="str">
        <f>IFERROR(IF(INDEX(Winter!$1:$1048576,MATCH(All!$A163,Winter!$A:$A,FALSE),MATCH(All!R$1,Winter!$1:$1,FALSE))="","",INDEX(Winter!$1:$1048576,MATCH(All!$A163,Winter!$A:$A,FALSE),MATCH(All!R$1,Winter!$1:$1,FALSE))),"")</f>
        <v/>
      </c>
      <c r="S163" t="str">
        <f>IFERROR(IF(INDEX(Winter!$1:$1048576,MATCH(All!$A163,Winter!$A:$A,FALSE),MATCH(All!S$1,Winter!$1:$1,FALSE))="","",INDEX(Winter!$1:$1048576,MATCH(All!$A163,Winter!$A:$A,FALSE),MATCH(All!S$1,Winter!$1:$1,FALSE))),"")</f>
        <v/>
      </c>
      <c r="T163" t="str">
        <f>IFERROR(IF(INDEX(Winter!$1:$1048576,MATCH(All!$A163,Winter!$A:$A,FALSE),MATCH(All!T$1,Winter!$1:$1,FALSE))="","",INDEX(Winter!$1:$1048576,MATCH(All!$A163,Winter!$A:$A,FALSE),MATCH(All!T$1,Winter!$1:$1,FALSE))),"")</f>
        <v/>
      </c>
      <c r="U163" t="str">
        <f>IFERROR(IF(INDEX(Winter!$1:$1048576,MATCH(All!$A163,Winter!$A:$A,FALSE),MATCH(All!U$1,Winter!$1:$1,FALSE))="","",INDEX(Winter!$1:$1048576,MATCH(All!$A163,Winter!$A:$A,FALSE),MATCH(All!U$1,Winter!$1:$1,FALSE))),"")</f>
        <v>2A</v>
      </c>
      <c r="W163" t="str">
        <f>IFERROR(IF(INDEX(Spring!$1:$1048576,MATCH(All!$A163,Spring!$A:$A,FALSE),MATCH(All!W$1,Spring!$1:$1,FALSE))="","",INDEX(Spring!$1:$1048576,MATCH(All!$A163,Spring!$A:$A,FALSE),MATCH(All!W$1,Spring!$1:$1,FALSE))),"")</f>
        <v>961.00 (1,585.65)</v>
      </c>
      <c r="X163" t="str">
        <f>IFERROR(IF(INDEX(Spring!$1:$1048576,MATCH(All!$A163,Spring!$A:$A,FALSE),MATCH(All!X$1,Spring!$1:$1,FALSE))="","",INDEX(Spring!$1:$1048576,MATCH(All!$A163,Spring!$A:$A,FALSE),MATCH(All!X$1,Spring!$1:$1,FALSE))),"")</f>
        <v>3A</v>
      </c>
      <c r="Y163" t="str">
        <f>IFERROR(IF(INDEX(Spring!$1:$1048576,MATCH(All!$A163,Spring!$A:$A,FALSE),MATCH(All!Y$1,Spring!$1:$1,FALSE))="","",INDEX(Spring!$1:$1048576,MATCH(All!$A163,Spring!$A:$A,FALSE),MATCH(All!Y$1,Spring!$1:$1,FALSE))),"")</f>
        <v/>
      </c>
      <c r="Z163" t="str">
        <f>IFERROR(IF(INDEX(Spring!$1:$1048576,MATCH(All!$A163,Spring!$A:$A,FALSE),MATCH(All!Z$1,Spring!$1:$1,FALSE))="","",INDEX(Spring!$1:$1048576,MATCH(All!$A163,Spring!$A:$A,FALSE),MATCH(All!Z$1,Spring!$1:$1,FALSE))),"")</f>
        <v>2A</v>
      </c>
      <c r="AA163" t="str">
        <f>IFERROR(IF(INDEX(Spring!$1:$1048576,MATCH(All!$A163,Spring!$A:$A,FALSE),MATCH(All!AA$1,Spring!$1:$1,FALSE))="","",INDEX(Spring!$1:$1048576,MATCH(All!$A163,Spring!$A:$A,FALSE),MATCH(All!AA$1,Spring!$1:$1,FALSE))),"")</f>
        <v/>
      </c>
      <c r="AB163" t="str">
        <f>IFERROR(IF(INDEX(Spring!$1:$1048576,MATCH(All!$A163,Spring!$A:$A,FALSE),MATCH(All!AB$1,Spring!$1:$1,FALSE))="","",INDEX(Spring!$1:$1048576,MATCH(All!$A163,Spring!$A:$A,FALSE),MATCH(All!AB$1,Spring!$1:$1,FALSE))),"")</f>
        <v>2A</v>
      </c>
      <c r="AC163" t="str">
        <f>IFERROR(IF(INDEX(Spring!$1:$1048576,MATCH(All!$A163,Spring!$A:$A,FALSE),MATCH(All!AC$1,Spring!$1:$1,FALSE))="","",INDEX(Spring!$1:$1048576,MATCH(All!$A163,Spring!$A:$A,FALSE),MATCH(All!AC$1,Spring!$1:$1,FALSE))),"")</f>
        <v>2A</v>
      </c>
      <c r="AD163" t="str">
        <f>IFERROR(VLOOKUP(A163,'Flag Football'!A:A,1,FALSE),"")</f>
        <v/>
      </c>
      <c r="AE163" t="str">
        <f t="shared" si="2"/>
        <v/>
      </c>
    </row>
    <row r="164" spans="1:31" ht="15.75" thickBot="1" x14ac:dyDescent="0.3">
      <c r="A164" s="18" t="s">
        <v>201</v>
      </c>
      <c r="B164" s="38" t="str">
        <f>IFERROR(VLOOKUP(A164,'Public v Private'!A:G,3,FALSE),"")</f>
        <v>no</v>
      </c>
      <c r="C164" s="38">
        <f>IFERROR(VLOOKUP(A164,'Public v Private'!A:G,4,FALSE),"")</f>
        <v>0</v>
      </c>
      <c r="D164" s="38">
        <f>IFERROR(VLOOKUP(A164,'Public v Private'!A:G,5,FALSE),"")</f>
        <v>0</v>
      </c>
      <c r="E164" s="38"/>
      <c r="F164" s="40" t="str">
        <f>IFERROR(INDEX(Fall!$1:$1048576,MATCH(All!$A164,Fall!$A:$A,FALSE),MATCH(All!F$1,Fall!$1:$1,FALSE)),"N/A")</f>
        <v>1,043.00 (1,720.95)</v>
      </c>
      <c r="G164" t="str">
        <f>IFERROR(IF(INDEX(Fall!$1:$1048576,MATCH(All!$A164,Fall!$A:$A,FALSE),MATCH(All!G$1,Fall!$1:$1,FALSE))="","",INDEX(Fall!$1:$1048576,MATCH(All!$A164,Fall!$A:$A,FALSE),MATCH(All!G$1,Fall!$1:$1,FALSE))),"")</f>
        <v>3A</v>
      </c>
      <c r="H164" t="str">
        <f>IFERROR(IF(INDEX(Fall!$1:$1048576,MATCH(All!$A164,Fall!$A:$A,FALSE),MATCH(All!H$1,Fall!$1:$1,FALSE))="","",INDEX(Fall!$1:$1048576,MATCH(All!$A164,Fall!$A:$A,FALSE),MATCH(All!H$1,Fall!$1:$1,FALSE))),"")</f>
        <v>3A</v>
      </c>
      <c r="I164" t="str">
        <f>IFERROR(IF(INDEX(Fall!$1:$1048576,MATCH(All!$A164,Fall!$A:$A,FALSE),MATCH(All!I$1,Fall!$1:$1,FALSE))="","",INDEX(Fall!$1:$1048576,MATCH(All!$A164,Fall!$A:$A,FALSE),MATCH(All!I$1,Fall!$1:$1,FALSE))),"")</f>
        <v/>
      </c>
      <c r="J164" t="str">
        <f>IFERROR(IF(INDEX(Fall!$1:$1048576,MATCH(All!$A164,Fall!$A:$A,FALSE),MATCH(All!J$1,Fall!$1:$1,FALSE))="","",INDEX(Fall!$1:$1048576,MATCH(All!$A164,Fall!$A:$A,FALSE),MATCH(All!J$1,Fall!$1:$1,FALSE))),"")</f>
        <v/>
      </c>
      <c r="K164" t="str">
        <f>IFERROR(IF(INDEX(Fall!$1:$1048576,MATCH(All!$A164,Fall!$A:$A,FALSE),MATCH(All!K$1,Fall!$1:$1,FALSE))="","",INDEX(Fall!$1:$1048576,MATCH(All!$A164,Fall!$A:$A,FALSE),MATCH(All!K$1,Fall!$1:$1,FALSE))),"")</f>
        <v>3A</v>
      </c>
      <c r="L164" t="str">
        <f>IFERROR(IF(INDEX(Fall!$1:$1048576,MATCH(All!$A164,Fall!$A:$A,FALSE),MATCH(All!L$1,Fall!$1:$1,FALSE))="","",INDEX(Fall!$1:$1048576,MATCH(All!$A164,Fall!$A:$A,FALSE),MATCH(All!L$1,Fall!$1:$1,FALSE))),"")</f>
        <v/>
      </c>
      <c r="M164" t="str">
        <f>IFERROR(IF(INDEX(Fall!$1:$1048576,MATCH(All!$A164,Fall!$A:$A,FALSE),MATCH(All!M$1,Fall!$1:$1,FALSE))="","",INDEX(Fall!$1:$1048576,MATCH(All!$A164,Fall!$A:$A,FALSE),MATCH(All!M$1,Fall!$1:$1,FALSE))),"")</f>
        <v>4A</v>
      </c>
      <c r="O164" t="str">
        <f>IFERROR(IF(INDEX(Winter!$1:$1048576,MATCH(All!$A164,Winter!$A:$A,FALSE),MATCH(All!O$1,Winter!$1:$1,FALSE))="","",INDEX(Winter!$1:$1048576,MATCH(All!$A164,Winter!$A:$A,FALSE),MATCH(All!O$1,Winter!$1:$1,FALSE))),"")</f>
        <v>1,043.00 (1,720.95)</v>
      </c>
      <c r="P164" t="str">
        <f>IFERROR(IF(INDEX(Winter!$1:$1048576,MATCH(All!$A164,Winter!$A:$A,FALSE),MATCH(All!P$1,Winter!$1:$1,FALSE))="","",INDEX(Winter!$1:$1048576,MATCH(All!$A164,Winter!$A:$A,FALSE),MATCH(All!P$1,Winter!$1:$1,FALSE))),"")</f>
        <v>4A</v>
      </c>
      <c r="Q164" t="str">
        <f>IFERROR(IF(INDEX(Winter!$1:$1048576,MATCH(All!$A164,Winter!$A:$A,FALSE),MATCH(All!Q$1,Winter!$1:$1,FALSE))="","",INDEX(Winter!$1:$1048576,MATCH(All!$A164,Winter!$A:$A,FALSE),MATCH(All!Q$1,Winter!$1:$1,FALSE))),"")</f>
        <v>4A</v>
      </c>
      <c r="R164" t="str">
        <f>IFERROR(IF(INDEX(Winter!$1:$1048576,MATCH(All!$A164,Winter!$A:$A,FALSE),MATCH(All!R$1,Winter!$1:$1,FALSE))="","",INDEX(Winter!$1:$1048576,MATCH(All!$A164,Winter!$A:$A,FALSE),MATCH(All!R$1,Winter!$1:$1,FALSE))),"")</f>
        <v>C</v>
      </c>
      <c r="S164" t="str">
        <f>IFERROR(IF(INDEX(Winter!$1:$1048576,MATCH(All!$A164,Winter!$A:$A,FALSE),MATCH(All!S$1,Winter!$1:$1,FALSE))="","",INDEX(Winter!$1:$1048576,MATCH(All!$A164,Winter!$A:$A,FALSE),MATCH(All!S$1,Winter!$1:$1,FALSE))),"")</f>
        <v/>
      </c>
      <c r="T164" t="str">
        <f>IFERROR(IF(INDEX(Winter!$1:$1048576,MATCH(All!$A164,Winter!$A:$A,FALSE),MATCH(All!T$1,Winter!$1:$1,FALSE))="","",INDEX(Winter!$1:$1048576,MATCH(All!$A164,Winter!$A:$A,FALSE),MATCH(All!T$1,Winter!$1:$1,FALSE))),"")</f>
        <v/>
      </c>
      <c r="U164" t="str">
        <f>IFERROR(IF(INDEX(Winter!$1:$1048576,MATCH(All!$A164,Winter!$A:$A,FALSE),MATCH(All!U$1,Winter!$1:$1,FALSE))="","",INDEX(Winter!$1:$1048576,MATCH(All!$A164,Winter!$A:$A,FALSE),MATCH(All!U$1,Winter!$1:$1,FALSE))),"")</f>
        <v>3A</v>
      </c>
      <c r="W164" t="str">
        <f>IFERROR(IF(INDEX(Spring!$1:$1048576,MATCH(All!$A164,Spring!$A:$A,FALSE),MATCH(All!W$1,Spring!$1:$1,FALSE))="","",INDEX(Spring!$1:$1048576,MATCH(All!$A164,Spring!$A:$A,FALSE),MATCH(All!W$1,Spring!$1:$1,FALSE))),"")</f>
        <v>1,043.00 (1,720.95)</v>
      </c>
      <c r="X164" t="str">
        <f>IFERROR(IF(INDEX(Spring!$1:$1048576,MATCH(All!$A164,Spring!$A:$A,FALSE),MATCH(All!X$1,Spring!$1:$1,FALSE))="","",INDEX(Spring!$1:$1048576,MATCH(All!$A164,Spring!$A:$A,FALSE),MATCH(All!X$1,Spring!$1:$1,FALSE))),"")</f>
        <v>3A</v>
      </c>
      <c r="Y164" t="str">
        <f>IFERROR(IF(INDEX(Spring!$1:$1048576,MATCH(All!$A164,Spring!$A:$A,FALSE),MATCH(All!Y$1,Spring!$1:$1,FALSE))="","",INDEX(Spring!$1:$1048576,MATCH(All!$A164,Spring!$A:$A,FALSE),MATCH(All!Y$1,Spring!$1:$1,FALSE))),"")</f>
        <v>3A</v>
      </c>
      <c r="Z164" t="str">
        <f>IFERROR(IF(INDEX(Spring!$1:$1048576,MATCH(All!$A164,Spring!$A:$A,FALSE),MATCH(All!Z$1,Spring!$1:$1,FALSE))="","",INDEX(Spring!$1:$1048576,MATCH(All!$A164,Spring!$A:$A,FALSE),MATCH(All!Z$1,Spring!$1:$1,FALSE))),"")</f>
        <v>2A</v>
      </c>
      <c r="AA164" t="str">
        <f>IFERROR(IF(INDEX(Spring!$1:$1048576,MATCH(All!$A164,Spring!$A:$A,FALSE),MATCH(All!AA$1,Spring!$1:$1,FALSE))="","",INDEX(Spring!$1:$1048576,MATCH(All!$A164,Spring!$A:$A,FALSE),MATCH(All!AA$1,Spring!$1:$1,FALSE))),"")</f>
        <v/>
      </c>
      <c r="AB164" t="str">
        <f>IFERROR(IF(INDEX(Spring!$1:$1048576,MATCH(All!$A164,Spring!$A:$A,FALSE),MATCH(All!AB$1,Spring!$1:$1,FALSE))="","",INDEX(Spring!$1:$1048576,MATCH(All!$A164,Spring!$A:$A,FALSE),MATCH(All!AB$1,Spring!$1:$1,FALSE))),"")</f>
        <v>2A</v>
      </c>
      <c r="AC164" t="str">
        <f>IFERROR(IF(INDEX(Spring!$1:$1048576,MATCH(All!$A164,Spring!$A:$A,FALSE),MATCH(All!AC$1,Spring!$1:$1,FALSE))="","",INDEX(Spring!$1:$1048576,MATCH(All!$A164,Spring!$A:$A,FALSE),MATCH(All!AC$1,Spring!$1:$1,FALSE))),"")</f>
        <v>2A</v>
      </c>
      <c r="AD164" t="str">
        <f>IFERROR(VLOOKUP(A164,'Flag Football'!A:A,1,FALSE),"")</f>
        <v>Chicago (Hancock)</v>
      </c>
      <c r="AE164" t="str">
        <f t="shared" si="2"/>
        <v>1A</v>
      </c>
    </row>
    <row r="165" spans="1:31" ht="15.75" thickBot="1" x14ac:dyDescent="0.3">
      <c r="A165" s="20" t="s">
        <v>926</v>
      </c>
      <c r="B165" s="38">
        <f>IFERROR(VLOOKUP(A165,'Public v Private'!A:G,3,FALSE),"")</f>
        <v>0</v>
      </c>
      <c r="C165" s="38">
        <f>IFERROR(VLOOKUP(A165,'Public v Private'!A:G,4,FALSE),"")</f>
        <v>0</v>
      </c>
      <c r="D165" s="38">
        <f>IFERROR(VLOOKUP(A165,'Public v Private'!A:G,5,FALSE),"")</f>
        <v>0</v>
      </c>
      <c r="E165" s="38"/>
      <c r="F165" s="40">
        <f>IFERROR(INDEX(Fall!$1:$1048576,MATCH(All!$A165,Fall!$A:$A,FALSE),MATCH(All!F$1,Fall!$1:$1,FALSE)),"N/A")</f>
        <v>161</v>
      </c>
      <c r="G165" t="str">
        <f>IFERROR(IF(INDEX(Fall!$1:$1048576,MATCH(All!$A165,Fall!$A:$A,FALSE),MATCH(All!G$1,Fall!$1:$1,FALSE))="","",INDEX(Fall!$1:$1048576,MATCH(All!$A165,Fall!$A:$A,FALSE),MATCH(All!G$1,Fall!$1:$1,FALSE))),"")</f>
        <v>1A</v>
      </c>
      <c r="H165" t="str">
        <f>IFERROR(IF(INDEX(Fall!$1:$1048576,MATCH(All!$A165,Fall!$A:$A,FALSE),MATCH(All!H$1,Fall!$1:$1,FALSE))="","",INDEX(Fall!$1:$1048576,MATCH(All!$A165,Fall!$A:$A,FALSE),MATCH(All!H$1,Fall!$1:$1,FALSE))),"")</f>
        <v/>
      </c>
      <c r="I165" t="str">
        <f>IFERROR(IF(INDEX(Fall!$1:$1048576,MATCH(All!$A165,Fall!$A:$A,FALSE),MATCH(All!I$1,Fall!$1:$1,FALSE))="","",INDEX(Fall!$1:$1048576,MATCH(All!$A165,Fall!$A:$A,FALSE),MATCH(All!I$1,Fall!$1:$1,FALSE))),"")</f>
        <v/>
      </c>
      <c r="J165" t="str">
        <f>IFERROR(IF(INDEX(Fall!$1:$1048576,MATCH(All!$A165,Fall!$A:$A,FALSE),MATCH(All!J$1,Fall!$1:$1,FALSE))="","",INDEX(Fall!$1:$1048576,MATCH(All!$A165,Fall!$A:$A,FALSE),MATCH(All!J$1,Fall!$1:$1,FALSE))),"")</f>
        <v/>
      </c>
      <c r="K165" t="str">
        <f>IFERROR(IF(INDEX(Fall!$1:$1048576,MATCH(All!$A165,Fall!$A:$A,FALSE),MATCH(All!K$1,Fall!$1:$1,FALSE))="","",INDEX(Fall!$1:$1048576,MATCH(All!$A165,Fall!$A:$A,FALSE),MATCH(All!K$1,Fall!$1:$1,FALSE))),"")</f>
        <v/>
      </c>
      <c r="L165" t="str">
        <f>IFERROR(IF(INDEX(Fall!$1:$1048576,MATCH(All!$A165,Fall!$A:$A,FALSE),MATCH(All!L$1,Fall!$1:$1,FALSE))="","",INDEX(Fall!$1:$1048576,MATCH(All!$A165,Fall!$A:$A,FALSE),MATCH(All!L$1,Fall!$1:$1,FALSE))),"")</f>
        <v/>
      </c>
      <c r="M165" t="str">
        <f>IFERROR(IF(INDEX(Fall!$1:$1048576,MATCH(All!$A165,Fall!$A:$A,FALSE),MATCH(All!M$1,Fall!$1:$1,FALSE))="","",INDEX(Fall!$1:$1048576,MATCH(All!$A165,Fall!$A:$A,FALSE),MATCH(All!M$1,Fall!$1:$1,FALSE))),"")</f>
        <v>1A</v>
      </c>
      <c r="O165">
        <f>IFERROR(IF(INDEX(Winter!$1:$1048576,MATCH(All!$A165,Winter!$A:$A,FALSE),MATCH(All!O$1,Winter!$1:$1,FALSE))="","",INDEX(Winter!$1:$1048576,MATCH(All!$A165,Winter!$A:$A,FALSE),MATCH(All!O$1,Winter!$1:$1,FALSE))),"")</f>
        <v>161</v>
      </c>
      <c r="P165" t="str">
        <f>IFERROR(IF(INDEX(Winter!$1:$1048576,MATCH(All!$A165,Winter!$A:$A,FALSE),MATCH(All!P$1,Winter!$1:$1,FALSE))="","",INDEX(Winter!$1:$1048576,MATCH(All!$A165,Winter!$A:$A,FALSE),MATCH(All!P$1,Winter!$1:$1,FALSE))),"")</f>
        <v>1A</v>
      </c>
      <c r="Q165" t="str">
        <f>IFERROR(IF(INDEX(Winter!$1:$1048576,MATCH(All!$A165,Winter!$A:$A,FALSE),MATCH(All!Q$1,Winter!$1:$1,FALSE))="","",INDEX(Winter!$1:$1048576,MATCH(All!$A165,Winter!$A:$A,FALSE),MATCH(All!Q$1,Winter!$1:$1,FALSE))),"")</f>
        <v/>
      </c>
      <c r="R165" t="str">
        <f>IFERROR(IF(INDEX(Winter!$1:$1048576,MATCH(All!$A165,Winter!$A:$A,FALSE),MATCH(All!R$1,Winter!$1:$1,FALSE))="","",INDEX(Winter!$1:$1048576,MATCH(All!$A165,Winter!$A:$A,FALSE),MATCH(All!R$1,Winter!$1:$1,FALSE))),"")</f>
        <v/>
      </c>
      <c r="S165" t="str">
        <f>IFERROR(IF(INDEX(Winter!$1:$1048576,MATCH(All!$A165,Winter!$A:$A,FALSE),MATCH(All!S$1,Winter!$1:$1,FALSE))="","",INDEX(Winter!$1:$1048576,MATCH(All!$A165,Winter!$A:$A,FALSE),MATCH(All!S$1,Winter!$1:$1,FALSE))),"")</f>
        <v/>
      </c>
      <c r="T165" t="str">
        <f>IFERROR(IF(INDEX(Winter!$1:$1048576,MATCH(All!$A165,Winter!$A:$A,FALSE),MATCH(All!T$1,Winter!$1:$1,FALSE))="","",INDEX(Winter!$1:$1048576,MATCH(All!$A165,Winter!$A:$A,FALSE),MATCH(All!T$1,Winter!$1:$1,FALSE))),"")</f>
        <v/>
      </c>
      <c r="U165" t="str">
        <f>IFERROR(IF(INDEX(Winter!$1:$1048576,MATCH(All!$A165,Winter!$A:$A,FALSE),MATCH(All!U$1,Winter!$1:$1,FALSE))="","",INDEX(Winter!$1:$1048576,MATCH(All!$A165,Winter!$A:$A,FALSE),MATCH(All!U$1,Winter!$1:$1,FALSE))),"")</f>
        <v>1A</v>
      </c>
      <c r="W165" t="str">
        <f>IFERROR(IF(INDEX(Spring!$1:$1048576,MATCH(All!$A165,Spring!$A:$A,FALSE),MATCH(All!W$1,Spring!$1:$1,FALSE))="","",INDEX(Spring!$1:$1048576,MATCH(All!$A165,Spring!$A:$A,FALSE),MATCH(All!W$1,Spring!$1:$1,FALSE))),"")</f>
        <v/>
      </c>
      <c r="X165" t="str">
        <f>IFERROR(IF(INDEX(Spring!$1:$1048576,MATCH(All!$A165,Spring!$A:$A,FALSE),MATCH(All!X$1,Spring!$1:$1,FALSE))="","",INDEX(Spring!$1:$1048576,MATCH(All!$A165,Spring!$A:$A,FALSE),MATCH(All!X$1,Spring!$1:$1,FALSE))),"")</f>
        <v/>
      </c>
      <c r="Y165" t="str">
        <f>IFERROR(IF(INDEX(Spring!$1:$1048576,MATCH(All!$A165,Spring!$A:$A,FALSE),MATCH(All!Y$1,Spring!$1:$1,FALSE))="","",INDEX(Spring!$1:$1048576,MATCH(All!$A165,Spring!$A:$A,FALSE),MATCH(All!Y$1,Spring!$1:$1,FALSE))),"")</f>
        <v/>
      </c>
      <c r="Z165" t="str">
        <f>IFERROR(IF(INDEX(Spring!$1:$1048576,MATCH(All!$A165,Spring!$A:$A,FALSE),MATCH(All!Z$1,Spring!$1:$1,FALSE))="","",INDEX(Spring!$1:$1048576,MATCH(All!$A165,Spring!$A:$A,FALSE),MATCH(All!Z$1,Spring!$1:$1,FALSE))),"")</f>
        <v/>
      </c>
      <c r="AA165" t="str">
        <f>IFERROR(IF(INDEX(Spring!$1:$1048576,MATCH(All!$A165,Spring!$A:$A,FALSE),MATCH(All!AA$1,Spring!$1:$1,FALSE))="","",INDEX(Spring!$1:$1048576,MATCH(All!$A165,Spring!$A:$A,FALSE),MATCH(All!AA$1,Spring!$1:$1,FALSE))),"")</f>
        <v/>
      </c>
      <c r="AB165" t="str">
        <f>IFERROR(IF(INDEX(Spring!$1:$1048576,MATCH(All!$A165,Spring!$A:$A,FALSE),MATCH(All!AB$1,Spring!$1:$1,FALSE))="","",INDEX(Spring!$1:$1048576,MATCH(All!$A165,Spring!$A:$A,FALSE),MATCH(All!AB$1,Spring!$1:$1,FALSE))),"")</f>
        <v/>
      </c>
      <c r="AC165" t="str">
        <f>IFERROR(IF(INDEX(Spring!$1:$1048576,MATCH(All!$A165,Spring!$A:$A,FALSE),MATCH(All!AC$1,Spring!$1:$1,FALSE))="","",INDEX(Spring!$1:$1048576,MATCH(All!$A165,Spring!$A:$A,FALSE),MATCH(All!AC$1,Spring!$1:$1,FALSE))),"")</f>
        <v/>
      </c>
      <c r="AD165" t="str">
        <f>IFERROR(VLOOKUP(A165,'Flag Football'!A:A,1,FALSE),"")</f>
        <v>Chicago (Harlan)</v>
      </c>
      <c r="AE165" t="str">
        <f t="shared" si="2"/>
        <v>1A</v>
      </c>
    </row>
    <row r="166" spans="1:31" ht="15.75" thickBot="1" x14ac:dyDescent="0.3">
      <c r="A166" s="18" t="s">
        <v>203</v>
      </c>
      <c r="B166" s="38" t="str">
        <f>IFERROR(VLOOKUP(A166,'Public v Private'!A:G,3,FALSE),"")</f>
        <v>private</v>
      </c>
      <c r="C166" s="38">
        <f>IFERROR(VLOOKUP(A166,'Public v Private'!A:G,4,FALSE),"")</f>
        <v>1</v>
      </c>
      <c r="D166" s="38">
        <f>IFERROR(VLOOKUP(A166,'Public v Private'!A:G,5,FALSE),"")</f>
        <v>1</v>
      </c>
      <c r="E166" s="38"/>
      <c r="F166" s="40" t="str">
        <f>IFERROR(INDEX(Fall!$1:$1048576,MATCH(All!$A166,Fall!$A:$A,FALSE),MATCH(All!F$1,Fall!$1:$1,FALSE)),"N/A")</f>
        <v>291.00 (480.15)</v>
      </c>
      <c r="G166" t="str">
        <f>IFERROR(IF(INDEX(Fall!$1:$1048576,MATCH(All!$A166,Fall!$A:$A,FALSE),MATCH(All!G$1,Fall!$1:$1,FALSE))="","",INDEX(Fall!$1:$1048576,MATCH(All!$A166,Fall!$A:$A,FALSE),MATCH(All!G$1,Fall!$1:$1,FALSE))),"")</f>
        <v>1A</v>
      </c>
      <c r="H166" t="str">
        <f>IFERROR(IF(INDEX(Fall!$1:$1048576,MATCH(All!$A166,Fall!$A:$A,FALSE),MATCH(All!H$1,Fall!$1:$1,FALSE))="","",INDEX(Fall!$1:$1048576,MATCH(All!$A166,Fall!$A:$A,FALSE),MATCH(All!H$1,Fall!$1:$1,FALSE))),"")</f>
        <v>1A</v>
      </c>
      <c r="I166" t="str">
        <f>IFERROR(IF(INDEX(Fall!$1:$1048576,MATCH(All!$A166,Fall!$A:$A,FALSE),MATCH(All!I$1,Fall!$1:$1,FALSE))="","",INDEX(Fall!$1:$1048576,MATCH(All!$A166,Fall!$A:$A,FALSE),MATCH(All!I$1,Fall!$1:$1,FALSE))),"")</f>
        <v/>
      </c>
      <c r="J166" t="str">
        <f>IFERROR(IF(INDEX(Fall!$1:$1048576,MATCH(All!$A166,Fall!$A:$A,FALSE),MATCH(All!J$1,Fall!$1:$1,FALSE))="","",INDEX(Fall!$1:$1048576,MATCH(All!$A166,Fall!$A:$A,FALSE),MATCH(All!J$1,Fall!$1:$1,FALSE))),"")</f>
        <v/>
      </c>
      <c r="K166" t="str">
        <f>IFERROR(IF(INDEX(Fall!$1:$1048576,MATCH(All!$A166,Fall!$A:$A,FALSE),MATCH(All!K$1,Fall!$1:$1,FALSE))="","",INDEX(Fall!$1:$1048576,MATCH(All!$A166,Fall!$A:$A,FALSE),MATCH(All!K$1,Fall!$1:$1,FALSE))),"")</f>
        <v>1A</v>
      </c>
      <c r="L166" t="str">
        <f>IFERROR(IF(INDEX(Fall!$1:$1048576,MATCH(All!$A166,Fall!$A:$A,FALSE),MATCH(All!L$1,Fall!$1:$1,FALSE))="","",INDEX(Fall!$1:$1048576,MATCH(All!$A166,Fall!$A:$A,FALSE),MATCH(All!L$1,Fall!$1:$1,FALSE))),"")</f>
        <v/>
      </c>
      <c r="M166" t="str">
        <f>IFERROR(IF(INDEX(Fall!$1:$1048576,MATCH(All!$A166,Fall!$A:$A,FALSE),MATCH(All!M$1,Fall!$1:$1,FALSE))="","",INDEX(Fall!$1:$1048576,MATCH(All!$A166,Fall!$A:$A,FALSE),MATCH(All!M$1,Fall!$1:$1,FALSE))),"")</f>
        <v>2A</v>
      </c>
      <c r="O166" t="str">
        <f>IFERROR(IF(INDEX(Winter!$1:$1048576,MATCH(All!$A166,Winter!$A:$A,FALSE),MATCH(All!O$1,Winter!$1:$1,FALSE))="","",INDEX(Winter!$1:$1048576,MATCH(All!$A166,Winter!$A:$A,FALSE),MATCH(All!O$1,Winter!$1:$1,FALSE))),"")</f>
        <v>291.00 (480.15)</v>
      </c>
      <c r="P166" t="str">
        <f>IFERROR(IF(INDEX(Winter!$1:$1048576,MATCH(All!$A166,Winter!$A:$A,FALSE),MATCH(All!P$1,Winter!$1:$1,FALSE))="","",INDEX(Winter!$1:$1048576,MATCH(All!$A166,Winter!$A:$A,FALSE),MATCH(All!P$1,Winter!$1:$1,FALSE))),"")</f>
        <v>2A</v>
      </c>
      <c r="Q166" t="str">
        <f>IFERROR(IF(INDEX(Winter!$1:$1048576,MATCH(All!$A166,Winter!$A:$A,FALSE),MATCH(All!Q$1,Winter!$1:$1,FALSE))="","",INDEX(Winter!$1:$1048576,MATCH(All!$A166,Winter!$A:$A,FALSE),MATCH(All!Q$1,Winter!$1:$1,FALSE))),"")</f>
        <v>2A</v>
      </c>
      <c r="R166" t="str">
        <f>IFERROR(IF(INDEX(Winter!$1:$1048576,MATCH(All!$A166,Winter!$A:$A,FALSE),MATCH(All!R$1,Winter!$1:$1,FALSE))="","",INDEX(Winter!$1:$1048576,MATCH(All!$A166,Winter!$A:$A,FALSE),MATCH(All!R$1,Winter!$1:$1,FALSE))),"")</f>
        <v/>
      </c>
      <c r="S166" t="str">
        <f>IFERROR(IF(INDEX(Winter!$1:$1048576,MATCH(All!$A166,Winter!$A:$A,FALSE),MATCH(All!S$1,Winter!$1:$1,FALSE))="","",INDEX(Winter!$1:$1048576,MATCH(All!$A166,Winter!$A:$A,FALSE),MATCH(All!S$1,Winter!$1:$1,FALSE))),"")</f>
        <v/>
      </c>
      <c r="T166" t="str">
        <f>IFERROR(IF(INDEX(Winter!$1:$1048576,MATCH(All!$A166,Winter!$A:$A,FALSE),MATCH(All!T$1,Winter!$1:$1,FALSE))="","",INDEX(Winter!$1:$1048576,MATCH(All!$A166,Winter!$A:$A,FALSE),MATCH(All!T$1,Winter!$1:$1,FALSE))),"")</f>
        <v/>
      </c>
      <c r="U166" t="str">
        <f>IFERROR(IF(INDEX(Winter!$1:$1048576,MATCH(All!$A166,Winter!$A:$A,FALSE),MATCH(All!U$1,Winter!$1:$1,FALSE))="","",INDEX(Winter!$1:$1048576,MATCH(All!$A166,Winter!$A:$A,FALSE),MATCH(All!U$1,Winter!$1:$1,FALSE))),"")</f>
        <v/>
      </c>
      <c r="W166" t="str">
        <f>IFERROR(IF(INDEX(Spring!$1:$1048576,MATCH(All!$A166,Spring!$A:$A,FALSE),MATCH(All!W$1,Spring!$1:$1,FALSE))="","",INDEX(Spring!$1:$1048576,MATCH(All!$A166,Spring!$A:$A,FALSE),MATCH(All!W$1,Spring!$1:$1,FALSE))),"")</f>
        <v>291.00 (480.15)</v>
      </c>
      <c r="X166" t="str">
        <f>IFERROR(IF(INDEX(Spring!$1:$1048576,MATCH(All!$A166,Spring!$A:$A,FALSE),MATCH(All!X$1,Spring!$1:$1,FALSE))="","",INDEX(Spring!$1:$1048576,MATCH(All!$A166,Spring!$A:$A,FALSE),MATCH(All!X$1,Spring!$1:$1,FALSE))),"")</f>
        <v>2A</v>
      </c>
      <c r="Y166" t="str">
        <f>IFERROR(IF(INDEX(Spring!$1:$1048576,MATCH(All!$A166,Spring!$A:$A,FALSE),MATCH(All!Y$1,Spring!$1:$1,FALSE))="","",INDEX(Spring!$1:$1048576,MATCH(All!$A166,Spring!$A:$A,FALSE),MATCH(All!Y$1,Spring!$1:$1,FALSE))),"")</f>
        <v>1A</v>
      </c>
      <c r="Z166" t="str">
        <f>IFERROR(IF(INDEX(Spring!$1:$1048576,MATCH(All!$A166,Spring!$A:$A,FALSE),MATCH(All!Z$1,Spring!$1:$1,FALSE))="","",INDEX(Spring!$1:$1048576,MATCH(All!$A166,Spring!$A:$A,FALSE),MATCH(All!Z$1,Spring!$1:$1,FALSE))),"")</f>
        <v/>
      </c>
      <c r="AA166" t="str">
        <f>IFERROR(IF(INDEX(Spring!$1:$1048576,MATCH(All!$A166,Spring!$A:$A,FALSE),MATCH(All!AA$1,Spring!$1:$1,FALSE))="","",INDEX(Spring!$1:$1048576,MATCH(All!$A166,Spring!$A:$A,FALSE),MATCH(All!AA$1,Spring!$1:$1,FALSE))),"")</f>
        <v/>
      </c>
      <c r="AB166" t="str">
        <f>IFERROR(IF(INDEX(Spring!$1:$1048576,MATCH(All!$A166,Spring!$A:$A,FALSE),MATCH(All!AB$1,Spring!$1:$1,FALSE))="","",INDEX(Spring!$1:$1048576,MATCH(All!$A166,Spring!$A:$A,FALSE),MATCH(All!AB$1,Spring!$1:$1,FALSE))),"")</f>
        <v>1A</v>
      </c>
      <c r="AC166" t="str">
        <f>IFERROR(IF(INDEX(Spring!$1:$1048576,MATCH(All!$A166,Spring!$A:$A,FALSE),MATCH(All!AC$1,Spring!$1:$1,FALSE))="","",INDEX(Spring!$1:$1048576,MATCH(All!$A166,Spring!$A:$A,FALSE),MATCH(All!AC$1,Spring!$1:$1,FALSE))),"")</f>
        <v>1A</v>
      </c>
      <c r="AD166" t="str">
        <f>IFERROR(VLOOKUP(A166,'Flag Football'!A:A,1,FALSE),"")</f>
        <v/>
      </c>
      <c r="AE166" t="str">
        <f t="shared" si="2"/>
        <v/>
      </c>
    </row>
    <row r="167" spans="1:31" ht="15.75" thickBot="1" x14ac:dyDescent="0.3">
      <c r="A167" s="20" t="s">
        <v>205</v>
      </c>
      <c r="B167" s="38" t="str">
        <f>IFERROR(VLOOKUP(A167,'Public v Private'!A:G,3,FALSE),"")</f>
        <v>?</v>
      </c>
      <c r="C167" s="38">
        <f>IFERROR(VLOOKUP(A167,'Public v Private'!A:G,4,FALSE),"")</f>
        <v>0</v>
      </c>
      <c r="D167" s="38">
        <f>IFERROR(VLOOKUP(A167,'Public v Private'!A:G,5,FALSE),"")</f>
        <v>0</v>
      </c>
      <c r="E167" s="38"/>
      <c r="F167" s="40" t="str">
        <f>IFERROR(INDEX(Fall!$1:$1048576,MATCH(All!$A167,Fall!$A:$A,FALSE),MATCH(All!F$1,Fall!$1:$1,FALSE)),"N/A")</f>
        <v>196.00 (323.40)</v>
      </c>
      <c r="G167" t="str">
        <f>IFERROR(IF(INDEX(Fall!$1:$1048576,MATCH(All!$A167,Fall!$A:$A,FALSE),MATCH(All!G$1,Fall!$1:$1,FALSE))="","",INDEX(Fall!$1:$1048576,MATCH(All!$A167,Fall!$A:$A,FALSE),MATCH(All!G$1,Fall!$1:$1,FALSE))),"")</f>
        <v>1A</v>
      </c>
      <c r="H167" t="str">
        <f>IFERROR(IF(INDEX(Fall!$1:$1048576,MATCH(All!$A167,Fall!$A:$A,FALSE),MATCH(All!H$1,Fall!$1:$1,FALSE))="","",INDEX(Fall!$1:$1048576,MATCH(All!$A167,Fall!$A:$A,FALSE),MATCH(All!H$1,Fall!$1:$1,FALSE))),"")</f>
        <v>1A</v>
      </c>
      <c r="I167" t="str">
        <f>IFERROR(IF(INDEX(Fall!$1:$1048576,MATCH(All!$A167,Fall!$A:$A,FALSE),MATCH(All!I$1,Fall!$1:$1,FALSE))="","",INDEX(Fall!$1:$1048576,MATCH(All!$A167,Fall!$A:$A,FALSE),MATCH(All!I$1,Fall!$1:$1,FALSE))),"")</f>
        <v/>
      </c>
      <c r="J167" t="str">
        <f>IFERROR(IF(INDEX(Fall!$1:$1048576,MATCH(All!$A167,Fall!$A:$A,FALSE),MATCH(All!J$1,Fall!$1:$1,FALSE))="","",INDEX(Fall!$1:$1048576,MATCH(All!$A167,Fall!$A:$A,FALSE),MATCH(All!J$1,Fall!$1:$1,FALSE))),"")</f>
        <v/>
      </c>
      <c r="K167" t="str">
        <f>IFERROR(IF(INDEX(Fall!$1:$1048576,MATCH(All!$A167,Fall!$A:$A,FALSE),MATCH(All!K$1,Fall!$1:$1,FALSE))="","",INDEX(Fall!$1:$1048576,MATCH(All!$A167,Fall!$A:$A,FALSE),MATCH(All!K$1,Fall!$1:$1,FALSE))),"")</f>
        <v/>
      </c>
      <c r="L167" t="str">
        <f>IFERROR(IF(INDEX(Fall!$1:$1048576,MATCH(All!$A167,Fall!$A:$A,FALSE),MATCH(All!L$1,Fall!$1:$1,FALSE))="","",INDEX(Fall!$1:$1048576,MATCH(All!$A167,Fall!$A:$A,FALSE),MATCH(All!L$1,Fall!$1:$1,FALSE))),"")</f>
        <v/>
      </c>
      <c r="M167" t="str">
        <f>IFERROR(IF(INDEX(Fall!$1:$1048576,MATCH(All!$A167,Fall!$A:$A,FALSE),MATCH(All!M$1,Fall!$1:$1,FALSE))="","",INDEX(Fall!$1:$1048576,MATCH(All!$A167,Fall!$A:$A,FALSE),MATCH(All!M$1,Fall!$1:$1,FALSE))),"")</f>
        <v/>
      </c>
      <c r="O167" t="str">
        <f>IFERROR(IF(INDEX(Winter!$1:$1048576,MATCH(All!$A167,Winter!$A:$A,FALSE),MATCH(All!O$1,Winter!$1:$1,FALSE))="","",INDEX(Winter!$1:$1048576,MATCH(All!$A167,Winter!$A:$A,FALSE),MATCH(All!O$1,Winter!$1:$1,FALSE))),"")</f>
        <v>196.00 (323.40)</v>
      </c>
      <c r="P167" t="str">
        <f>IFERROR(IF(INDEX(Winter!$1:$1048576,MATCH(All!$A167,Winter!$A:$A,FALSE),MATCH(All!P$1,Winter!$1:$1,FALSE))="","",INDEX(Winter!$1:$1048576,MATCH(All!$A167,Winter!$A:$A,FALSE),MATCH(All!P$1,Winter!$1:$1,FALSE))),"")</f>
        <v>2A</v>
      </c>
      <c r="Q167" t="str">
        <f>IFERROR(IF(INDEX(Winter!$1:$1048576,MATCH(All!$A167,Winter!$A:$A,FALSE),MATCH(All!Q$1,Winter!$1:$1,FALSE))="","",INDEX(Winter!$1:$1048576,MATCH(All!$A167,Winter!$A:$A,FALSE),MATCH(All!Q$1,Winter!$1:$1,FALSE))),"")</f>
        <v/>
      </c>
      <c r="R167" t="str">
        <f>IFERROR(IF(INDEX(Winter!$1:$1048576,MATCH(All!$A167,Winter!$A:$A,FALSE),MATCH(All!R$1,Winter!$1:$1,FALSE))="","",INDEX(Winter!$1:$1048576,MATCH(All!$A167,Winter!$A:$A,FALSE),MATCH(All!R$1,Winter!$1:$1,FALSE))),"")</f>
        <v>1A</v>
      </c>
      <c r="S167" t="str">
        <f>IFERROR(IF(INDEX(Winter!$1:$1048576,MATCH(All!$A167,Winter!$A:$A,FALSE),MATCH(All!S$1,Winter!$1:$1,FALSE))="","",INDEX(Winter!$1:$1048576,MATCH(All!$A167,Winter!$A:$A,FALSE),MATCH(All!S$1,Winter!$1:$1,FALSE))),"")</f>
        <v/>
      </c>
      <c r="T167" t="str">
        <f>IFERROR(IF(INDEX(Winter!$1:$1048576,MATCH(All!$A167,Winter!$A:$A,FALSE),MATCH(All!T$1,Winter!$1:$1,FALSE))="","",INDEX(Winter!$1:$1048576,MATCH(All!$A167,Winter!$A:$A,FALSE),MATCH(All!T$1,Winter!$1:$1,FALSE))),"")</f>
        <v/>
      </c>
      <c r="U167" t="str">
        <f>IFERROR(IF(INDEX(Winter!$1:$1048576,MATCH(All!$A167,Winter!$A:$A,FALSE),MATCH(All!U$1,Winter!$1:$1,FALSE))="","",INDEX(Winter!$1:$1048576,MATCH(All!$A167,Winter!$A:$A,FALSE),MATCH(All!U$1,Winter!$1:$1,FALSE))),"")</f>
        <v/>
      </c>
      <c r="W167" t="str">
        <f>IFERROR(IF(INDEX(Spring!$1:$1048576,MATCH(All!$A167,Spring!$A:$A,FALSE),MATCH(All!W$1,Spring!$1:$1,FALSE))="","",INDEX(Spring!$1:$1048576,MATCH(All!$A167,Spring!$A:$A,FALSE),MATCH(All!W$1,Spring!$1:$1,FALSE))),"")</f>
        <v>196.00 (323.40)</v>
      </c>
      <c r="X167" t="str">
        <f>IFERROR(IF(INDEX(Spring!$1:$1048576,MATCH(All!$A167,Spring!$A:$A,FALSE),MATCH(All!X$1,Spring!$1:$1,FALSE))="","",INDEX(Spring!$1:$1048576,MATCH(All!$A167,Spring!$A:$A,FALSE),MATCH(All!X$1,Spring!$1:$1,FALSE))),"")</f>
        <v/>
      </c>
      <c r="Y167" t="str">
        <f>IFERROR(IF(INDEX(Spring!$1:$1048576,MATCH(All!$A167,Spring!$A:$A,FALSE),MATCH(All!Y$1,Spring!$1:$1,FALSE))="","",INDEX(Spring!$1:$1048576,MATCH(All!$A167,Spring!$A:$A,FALSE),MATCH(All!Y$1,Spring!$1:$1,FALSE))),"")</f>
        <v/>
      </c>
      <c r="Z167" t="str">
        <f>IFERROR(IF(INDEX(Spring!$1:$1048576,MATCH(All!$A167,Spring!$A:$A,FALSE),MATCH(All!Z$1,Spring!$1:$1,FALSE))="","",INDEX(Spring!$1:$1048576,MATCH(All!$A167,Spring!$A:$A,FALSE),MATCH(All!Z$1,Spring!$1:$1,FALSE))),"")</f>
        <v/>
      </c>
      <c r="AA167" t="str">
        <f>IFERROR(IF(INDEX(Spring!$1:$1048576,MATCH(All!$A167,Spring!$A:$A,FALSE),MATCH(All!AA$1,Spring!$1:$1,FALSE))="","",INDEX(Spring!$1:$1048576,MATCH(All!$A167,Spring!$A:$A,FALSE),MATCH(All!AA$1,Spring!$1:$1,FALSE))),"")</f>
        <v/>
      </c>
      <c r="AB167" t="str">
        <f>IFERROR(IF(INDEX(Spring!$1:$1048576,MATCH(All!$A167,Spring!$A:$A,FALSE),MATCH(All!AB$1,Spring!$1:$1,FALSE))="","",INDEX(Spring!$1:$1048576,MATCH(All!$A167,Spring!$A:$A,FALSE),MATCH(All!AB$1,Spring!$1:$1,FALSE))),"")</f>
        <v>1A</v>
      </c>
      <c r="AC167" t="str">
        <f>IFERROR(IF(INDEX(Spring!$1:$1048576,MATCH(All!$A167,Spring!$A:$A,FALSE),MATCH(All!AC$1,Spring!$1:$1,FALSE))="","",INDEX(Spring!$1:$1048576,MATCH(All!$A167,Spring!$A:$A,FALSE),MATCH(All!AC$1,Spring!$1:$1,FALSE))),"")</f>
        <v>1A</v>
      </c>
      <c r="AD167" t="str">
        <f>IFERROR(VLOOKUP(A167,'Flag Football'!A:A,1,FALSE),"")</f>
        <v/>
      </c>
      <c r="AE167" t="str">
        <f t="shared" si="2"/>
        <v/>
      </c>
    </row>
    <row r="168" spans="1:31" ht="15.75" thickBot="1" x14ac:dyDescent="0.3">
      <c r="A168" s="18" t="s">
        <v>206</v>
      </c>
      <c r="B168" s="38" t="str">
        <f>IFERROR(VLOOKUP(A168,'Public v Private'!A:G,3,FALSE),"")</f>
        <v>no</v>
      </c>
      <c r="C168" s="38">
        <f>IFERROR(VLOOKUP(A168,'Public v Private'!A:G,4,FALSE),"")</f>
        <v>0</v>
      </c>
      <c r="D168" s="38">
        <f>IFERROR(VLOOKUP(A168,'Public v Private'!A:G,5,FALSE),"")</f>
        <v>0</v>
      </c>
      <c r="E168" s="38"/>
      <c r="F168" s="40" t="str">
        <f>IFERROR(INDEX(Fall!$1:$1048576,MATCH(All!$A168,Fall!$A:$A,FALSE),MATCH(All!F$1,Fall!$1:$1,FALSE)),"N/A")</f>
        <v>284.00 (468.60)</v>
      </c>
      <c r="G168" t="str">
        <f>IFERROR(IF(INDEX(Fall!$1:$1048576,MATCH(All!$A168,Fall!$A:$A,FALSE),MATCH(All!G$1,Fall!$1:$1,FALSE))="","",INDEX(Fall!$1:$1048576,MATCH(All!$A168,Fall!$A:$A,FALSE),MATCH(All!G$1,Fall!$1:$1,FALSE))),"")</f>
        <v>1A</v>
      </c>
      <c r="H168" t="str">
        <f>IFERROR(IF(INDEX(Fall!$1:$1048576,MATCH(All!$A168,Fall!$A:$A,FALSE),MATCH(All!H$1,Fall!$1:$1,FALSE))="","",INDEX(Fall!$1:$1048576,MATCH(All!$A168,Fall!$A:$A,FALSE),MATCH(All!H$1,Fall!$1:$1,FALSE))),"")</f>
        <v>1A</v>
      </c>
      <c r="I168" t="str">
        <f>IFERROR(IF(INDEX(Fall!$1:$1048576,MATCH(All!$A168,Fall!$A:$A,FALSE),MATCH(All!I$1,Fall!$1:$1,FALSE))="","",INDEX(Fall!$1:$1048576,MATCH(All!$A168,Fall!$A:$A,FALSE),MATCH(All!I$1,Fall!$1:$1,FALSE))),"")</f>
        <v/>
      </c>
      <c r="J168" t="str">
        <f>IFERROR(IF(INDEX(Fall!$1:$1048576,MATCH(All!$A168,Fall!$A:$A,FALSE),MATCH(All!J$1,Fall!$1:$1,FALSE))="","",INDEX(Fall!$1:$1048576,MATCH(All!$A168,Fall!$A:$A,FALSE),MATCH(All!J$1,Fall!$1:$1,FALSE))),"")</f>
        <v/>
      </c>
      <c r="K168" t="str">
        <f>IFERROR(IF(INDEX(Fall!$1:$1048576,MATCH(All!$A168,Fall!$A:$A,FALSE),MATCH(All!K$1,Fall!$1:$1,FALSE))="","",INDEX(Fall!$1:$1048576,MATCH(All!$A168,Fall!$A:$A,FALSE),MATCH(All!K$1,Fall!$1:$1,FALSE))),"")</f>
        <v>1A</v>
      </c>
      <c r="L168" t="str">
        <f>IFERROR(IF(INDEX(Fall!$1:$1048576,MATCH(All!$A168,Fall!$A:$A,FALSE),MATCH(All!L$1,Fall!$1:$1,FALSE))="","",INDEX(Fall!$1:$1048576,MATCH(All!$A168,Fall!$A:$A,FALSE),MATCH(All!L$1,Fall!$1:$1,FALSE))),"")</f>
        <v/>
      </c>
      <c r="M168" t="str">
        <f>IFERROR(IF(INDEX(Fall!$1:$1048576,MATCH(All!$A168,Fall!$A:$A,FALSE),MATCH(All!M$1,Fall!$1:$1,FALSE))="","",INDEX(Fall!$1:$1048576,MATCH(All!$A168,Fall!$A:$A,FALSE),MATCH(All!M$1,Fall!$1:$1,FALSE))),"")</f>
        <v>1A</v>
      </c>
      <c r="O168" t="str">
        <f>IFERROR(IF(INDEX(Winter!$1:$1048576,MATCH(All!$A168,Winter!$A:$A,FALSE),MATCH(All!O$1,Winter!$1:$1,FALSE))="","",INDEX(Winter!$1:$1048576,MATCH(All!$A168,Winter!$A:$A,FALSE),MATCH(All!O$1,Winter!$1:$1,FALSE))),"")</f>
        <v>284.00 (468.60)</v>
      </c>
      <c r="P168" t="str">
        <f>IFERROR(IF(INDEX(Winter!$1:$1048576,MATCH(All!$A168,Winter!$A:$A,FALSE),MATCH(All!P$1,Winter!$1:$1,FALSE))="","",INDEX(Winter!$1:$1048576,MATCH(All!$A168,Winter!$A:$A,FALSE),MATCH(All!P$1,Winter!$1:$1,FALSE))),"")</f>
        <v>1A</v>
      </c>
      <c r="Q168" t="str">
        <f>IFERROR(IF(INDEX(Winter!$1:$1048576,MATCH(All!$A168,Winter!$A:$A,FALSE),MATCH(All!Q$1,Winter!$1:$1,FALSE))="","",INDEX(Winter!$1:$1048576,MATCH(All!$A168,Winter!$A:$A,FALSE),MATCH(All!Q$1,Winter!$1:$1,FALSE))),"")</f>
        <v>1A</v>
      </c>
      <c r="R168" t="str">
        <f>IFERROR(IF(INDEX(Winter!$1:$1048576,MATCH(All!$A168,Winter!$A:$A,FALSE),MATCH(All!R$1,Winter!$1:$1,FALSE))="","",INDEX(Winter!$1:$1048576,MATCH(All!$A168,Winter!$A:$A,FALSE),MATCH(All!R$1,Winter!$1:$1,FALSE))),"")</f>
        <v/>
      </c>
      <c r="S168" t="str">
        <f>IFERROR(IF(INDEX(Winter!$1:$1048576,MATCH(All!$A168,Winter!$A:$A,FALSE),MATCH(All!S$1,Winter!$1:$1,FALSE))="","",INDEX(Winter!$1:$1048576,MATCH(All!$A168,Winter!$A:$A,FALSE),MATCH(All!S$1,Winter!$1:$1,FALSE))),"")</f>
        <v/>
      </c>
      <c r="T168" t="str">
        <f>IFERROR(IF(INDEX(Winter!$1:$1048576,MATCH(All!$A168,Winter!$A:$A,FALSE),MATCH(All!T$1,Winter!$1:$1,FALSE))="","",INDEX(Winter!$1:$1048576,MATCH(All!$A168,Winter!$A:$A,FALSE),MATCH(All!T$1,Winter!$1:$1,FALSE))),"")</f>
        <v/>
      </c>
      <c r="U168" t="str">
        <f>IFERROR(IF(INDEX(Winter!$1:$1048576,MATCH(All!$A168,Winter!$A:$A,FALSE),MATCH(All!U$1,Winter!$1:$1,FALSE))="","",INDEX(Winter!$1:$1048576,MATCH(All!$A168,Winter!$A:$A,FALSE),MATCH(All!U$1,Winter!$1:$1,FALSE))),"")</f>
        <v/>
      </c>
      <c r="W168" t="str">
        <f>IFERROR(IF(INDEX(Spring!$1:$1048576,MATCH(All!$A168,Spring!$A:$A,FALSE),MATCH(All!W$1,Spring!$1:$1,FALSE))="","",INDEX(Spring!$1:$1048576,MATCH(All!$A168,Spring!$A:$A,FALSE),MATCH(All!W$1,Spring!$1:$1,FALSE))),"")</f>
        <v>284.00 (468.60)</v>
      </c>
      <c r="X168" t="str">
        <f>IFERROR(IF(INDEX(Spring!$1:$1048576,MATCH(All!$A168,Spring!$A:$A,FALSE),MATCH(All!X$1,Spring!$1:$1,FALSE))="","",INDEX(Spring!$1:$1048576,MATCH(All!$A168,Spring!$A:$A,FALSE),MATCH(All!X$1,Spring!$1:$1,FALSE))),"")</f>
        <v>1A</v>
      </c>
      <c r="Y168" t="str">
        <f>IFERROR(IF(INDEX(Spring!$1:$1048576,MATCH(All!$A168,Spring!$A:$A,FALSE),MATCH(All!Y$1,Spring!$1:$1,FALSE))="","",INDEX(Spring!$1:$1048576,MATCH(All!$A168,Spring!$A:$A,FALSE),MATCH(All!Y$1,Spring!$1:$1,FALSE))),"")</f>
        <v>2A</v>
      </c>
      <c r="Z168" t="str">
        <f>IFERROR(IF(INDEX(Spring!$1:$1048576,MATCH(All!$A168,Spring!$A:$A,FALSE),MATCH(All!Z$1,Spring!$1:$1,FALSE))="","",INDEX(Spring!$1:$1048576,MATCH(All!$A168,Spring!$A:$A,FALSE),MATCH(All!Z$1,Spring!$1:$1,FALSE))),"")</f>
        <v/>
      </c>
      <c r="AA168" t="str">
        <f>IFERROR(IF(INDEX(Spring!$1:$1048576,MATCH(All!$A168,Spring!$A:$A,FALSE),MATCH(All!AA$1,Spring!$1:$1,FALSE))="","",INDEX(Spring!$1:$1048576,MATCH(All!$A168,Spring!$A:$A,FALSE),MATCH(All!AA$1,Spring!$1:$1,FALSE))),"")</f>
        <v/>
      </c>
      <c r="AB168" t="str">
        <f>IFERROR(IF(INDEX(Spring!$1:$1048576,MATCH(All!$A168,Spring!$A:$A,FALSE),MATCH(All!AB$1,Spring!$1:$1,FALSE))="","",INDEX(Spring!$1:$1048576,MATCH(All!$A168,Spring!$A:$A,FALSE),MATCH(All!AB$1,Spring!$1:$1,FALSE))),"")</f>
        <v>1A</v>
      </c>
      <c r="AC168" t="str">
        <f>IFERROR(IF(INDEX(Spring!$1:$1048576,MATCH(All!$A168,Spring!$A:$A,FALSE),MATCH(All!AC$1,Spring!$1:$1,FALSE))="","",INDEX(Spring!$1:$1048576,MATCH(All!$A168,Spring!$A:$A,FALSE),MATCH(All!AC$1,Spring!$1:$1,FALSE))),"")</f>
        <v>1A</v>
      </c>
      <c r="AD168" t="str">
        <f>IFERROR(VLOOKUP(A168,'Flag Football'!A:A,1,FALSE),"")</f>
        <v/>
      </c>
      <c r="AE168" t="str">
        <f t="shared" si="2"/>
        <v/>
      </c>
    </row>
    <row r="169" spans="1:31" ht="15.75" thickBot="1" x14ac:dyDescent="0.3">
      <c r="A169" s="20" t="s">
        <v>208</v>
      </c>
      <c r="B169" s="38" t="str">
        <f>IFERROR(VLOOKUP(A169,'Public v Private'!A:G,3,FALSE),"")</f>
        <v>no</v>
      </c>
      <c r="C169" s="38">
        <f>IFERROR(VLOOKUP(A169,'Public v Private'!A:G,4,FALSE),"")</f>
        <v>0</v>
      </c>
      <c r="D169" s="38">
        <f>IFERROR(VLOOKUP(A169,'Public v Private'!A:G,5,FALSE),"")</f>
        <v>0</v>
      </c>
      <c r="E169" s="38"/>
      <c r="F169" s="40" t="str">
        <f>IFERROR(INDEX(Fall!$1:$1048576,MATCH(All!$A169,Fall!$A:$A,FALSE),MATCH(All!F$1,Fall!$1:$1,FALSE)),"N/A")</f>
        <v>226.00 (372.90)</v>
      </c>
      <c r="G169" t="str">
        <f>IFERROR(IF(INDEX(Fall!$1:$1048576,MATCH(All!$A169,Fall!$A:$A,FALSE),MATCH(All!G$1,Fall!$1:$1,FALSE))="","",INDEX(Fall!$1:$1048576,MATCH(All!$A169,Fall!$A:$A,FALSE),MATCH(All!G$1,Fall!$1:$1,FALSE))),"")</f>
        <v/>
      </c>
      <c r="H169" t="str">
        <f>IFERROR(IF(INDEX(Fall!$1:$1048576,MATCH(All!$A169,Fall!$A:$A,FALSE),MATCH(All!H$1,Fall!$1:$1,FALSE))="","",INDEX(Fall!$1:$1048576,MATCH(All!$A169,Fall!$A:$A,FALSE),MATCH(All!H$1,Fall!$1:$1,FALSE))),"")</f>
        <v>1A</v>
      </c>
      <c r="I169" t="str">
        <f>IFERROR(IF(INDEX(Fall!$1:$1048576,MATCH(All!$A169,Fall!$A:$A,FALSE),MATCH(All!I$1,Fall!$1:$1,FALSE))="","",INDEX(Fall!$1:$1048576,MATCH(All!$A169,Fall!$A:$A,FALSE),MATCH(All!I$1,Fall!$1:$1,FALSE))),"")</f>
        <v/>
      </c>
      <c r="J169" t="str">
        <f>IFERROR(IF(INDEX(Fall!$1:$1048576,MATCH(All!$A169,Fall!$A:$A,FALSE),MATCH(All!J$1,Fall!$1:$1,FALSE))="","",INDEX(Fall!$1:$1048576,MATCH(All!$A169,Fall!$A:$A,FALSE),MATCH(All!J$1,Fall!$1:$1,FALSE))),"")</f>
        <v/>
      </c>
      <c r="K169" t="str">
        <f>IFERROR(IF(INDEX(Fall!$1:$1048576,MATCH(All!$A169,Fall!$A:$A,FALSE),MATCH(All!K$1,Fall!$1:$1,FALSE))="","",INDEX(Fall!$1:$1048576,MATCH(All!$A169,Fall!$A:$A,FALSE),MATCH(All!K$1,Fall!$1:$1,FALSE))),"")</f>
        <v>1A</v>
      </c>
      <c r="L169" t="str">
        <f>IFERROR(IF(INDEX(Fall!$1:$1048576,MATCH(All!$A169,Fall!$A:$A,FALSE),MATCH(All!L$1,Fall!$1:$1,FALSE))="","",INDEX(Fall!$1:$1048576,MATCH(All!$A169,Fall!$A:$A,FALSE),MATCH(All!L$1,Fall!$1:$1,FALSE))),"")</f>
        <v/>
      </c>
      <c r="M169" t="str">
        <f>IFERROR(IF(INDEX(Fall!$1:$1048576,MATCH(All!$A169,Fall!$A:$A,FALSE),MATCH(All!M$1,Fall!$1:$1,FALSE))="","",INDEX(Fall!$1:$1048576,MATCH(All!$A169,Fall!$A:$A,FALSE),MATCH(All!M$1,Fall!$1:$1,FALSE))),"")</f>
        <v>1A</v>
      </c>
      <c r="O169" t="str">
        <f>IFERROR(IF(INDEX(Winter!$1:$1048576,MATCH(All!$A169,Winter!$A:$A,FALSE),MATCH(All!O$1,Winter!$1:$1,FALSE))="","",INDEX(Winter!$1:$1048576,MATCH(All!$A169,Winter!$A:$A,FALSE),MATCH(All!O$1,Winter!$1:$1,FALSE))),"")</f>
        <v>226.00 (372.90)</v>
      </c>
      <c r="P169" t="str">
        <f>IFERROR(IF(INDEX(Winter!$1:$1048576,MATCH(All!$A169,Winter!$A:$A,FALSE),MATCH(All!P$1,Winter!$1:$1,FALSE))="","",INDEX(Winter!$1:$1048576,MATCH(All!$A169,Winter!$A:$A,FALSE),MATCH(All!P$1,Winter!$1:$1,FALSE))),"")</f>
        <v>1A</v>
      </c>
      <c r="Q169" t="str">
        <f>IFERROR(IF(INDEX(Winter!$1:$1048576,MATCH(All!$A169,Winter!$A:$A,FALSE),MATCH(All!Q$1,Winter!$1:$1,FALSE))="","",INDEX(Winter!$1:$1048576,MATCH(All!$A169,Winter!$A:$A,FALSE),MATCH(All!Q$1,Winter!$1:$1,FALSE))),"")</f>
        <v>1A</v>
      </c>
      <c r="R169" t="str">
        <f>IFERROR(IF(INDEX(Winter!$1:$1048576,MATCH(All!$A169,Winter!$A:$A,FALSE),MATCH(All!R$1,Winter!$1:$1,FALSE))="","",INDEX(Winter!$1:$1048576,MATCH(All!$A169,Winter!$A:$A,FALSE),MATCH(All!R$1,Winter!$1:$1,FALSE))),"")</f>
        <v/>
      </c>
      <c r="S169" t="str">
        <f>IFERROR(IF(INDEX(Winter!$1:$1048576,MATCH(All!$A169,Winter!$A:$A,FALSE),MATCH(All!S$1,Winter!$1:$1,FALSE))="","",INDEX(Winter!$1:$1048576,MATCH(All!$A169,Winter!$A:$A,FALSE),MATCH(All!S$1,Winter!$1:$1,FALSE))),"")</f>
        <v/>
      </c>
      <c r="T169" t="str">
        <f>IFERROR(IF(INDEX(Winter!$1:$1048576,MATCH(All!$A169,Winter!$A:$A,FALSE),MATCH(All!T$1,Winter!$1:$1,FALSE))="","",INDEX(Winter!$1:$1048576,MATCH(All!$A169,Winter!$A:$A,FALSE),MATCH(All!T$1,Winter!$1:$1,FALSE))),"")</f>
        <v/>
      </c>
      <c r="U169" t="str">
        <f>IFERROR(IF(INDEX(Winter!$1:$1048576,MATCH(All!$A169,Winter!$A:$A,FALSE),MATCH(All!U$1,Winter!$1:$1,FALSE))="","",INDEX(Winter!$1:$1048576,MATCH(All!$A169,Winter!$A:$A,FALSE),MATCH(All!U$1,Winter!$1:$1,FALSE))),"")</f>
        <v>1A</v>
      </c>
      <c r="W169" t="str">
        <f>IFERROR(IF(INDEX(Spring!$1:$1048576,MATCH(All!$A169,Spring!$A:$A,FALSE),MATCH(All!W$1,Spring!$1:$1,FALSE))="","",INDEX(Spring!$1:$1048576,MATCH(All!$A169,Spring!$A:$A,FALSE),MATCH(All!W$1,Spring!$1:$1,FALSE))),"")</f>
        <v>226.00 (372.90)</v>
      </c>
      <c r="X169" t="str">
        <f>IFERROR(IF(INDEX(Spring!$1:$1048576,MATCH(All!$A169,Spring!$A:$A,FALSE),MATCH(All!X$1,Spring!$1:$1,FALSE))="","",INDEX(Spring!$1:$1048576,MATCH(All!$A169,Spring!$A:$A,FALSE),MATCH(All!X$1,Spring!$1:$1,FALSE))),"")</f>
        <v/>
      </c>
      <c r="Y169" t="str">
        <f>IFERROR(IF(INDEX(Spring!$1:$1048576,MATCH(All!$A169,Spring!$A:$A,FALSE),MATCH(All!Y$1,Spring!$1:$1,FALSE))="","",INDEX(Spring!$1:$1048576,MATCH(All!$A169,Spring!$A:$A,FALSE),MATCH(All!Y$1,Spring!$1:$1,FALSE))),"")</f>
        <v/>
      </c>
      <c r="Z169" t="str">
        <f>IFERROR(IF(INDEX(Spring!$1:$1048576,MATCH(All!$A169,Spring!$A:$A,FALSE),MATCH(All!Z$1,Spring!$1:$1,FALSE))="","",INDEX(Spring!$1:$1048576,MATCH(All!$A169,Spring!$A:$A,FALSE),MATCH(All!Z$1,Spring!$1:$1,FALSE))),"")</f>
        <v>1A</v>
      </c>
      <c r="AA169" t="str">
        <f>IFERROR(IF(INDEX(Spring!$1:$1048576,MATCH(All!$A169,Spring!$A:$A,FALSE),MATCH(All!AA$1,Spring!$1:$1,FALSE))="","",INDEX(Spring!$1:$1048576,MATCH(All!$A169,Spring!$A:$A,FALSE),MATCH(All!AA$1,Spring!$1:$1,FALSE))),"")</f>
        <v/>
      </c>
      <c r="AB169" t="str">
        <f>IFERROR(IF(INDEX(Spring!$1:$1048576,MATCH(All!$A169,Spring!$A:$A,FALSE),MATCH(All!AB$1,Spring!$1:$1,FALSE))="","",INDEX(Spring!$1:$1048576,MATCH(All!$A169,Spring!$A:$A,FALSE),MATCH(All!AB$1,Spring!$1:$1,FALSE))),"")</f>
        <v>1A</v>
      </c>
      <c r="AC169" t="str">
        <f>IFERROR(IF(INDEX(Spring!$1:$1048576,MATCH(All!$A169,Spring!$A:$A,FALSE),MATCH(All!AC$1,Spring!$1:$1,FALSE))="","",INDEX(Spring!$1:$1048576,MATCH(All!$A169,Spring!$A:$A,FALSE),MATCH(All!AC$1,Spring!$1:$1,FALSE))),"")</f>
        <v>1A</v>
      </c>
      <c r="AD169" t="str">
        <f>IFERROR(VLOOKUP(A169,'Flag Football'!A:A,1,FALSE),"")</f>
        <v>Chicago (Horizon/Southwest Chicago)</v>
      </c>
      <c r="AE169" t="str">
        <f t="shared" si="2"/>
        <v>1A</v>
      </c>
    </row>
    <row r="170" spans="1:31" ht="15.75" thickBot="1" x14ac:dyDescent="0.3">
      <c r="A170" s="18" t="s">
        <v>210</v>
      </c>
      <c r="B170" s="38">
        <f>IFERROR(VLOOKUP(A170,'Public v Private'!A:G,3,FALSE),"")</f>
        <v>0</v>
      </c>
      <c r="C170" s="38">
        <f>IFERROR(VLOOKUP(A170,'Public v Private'!A:G,4,FALSE),"")</f>
        <v>0</v>
      </c>
      <c r="D170" s="38">
        <f>IFERROR(VLOOKUP(A170,'Public v Private'!A:G,5,FALSE),"")</f>
        <v>0</v>
      </c>
      <c r="E170" s="38"/>
      <c r="F170" s="40">
        <f>IFERROR(INDEX(Fall!$1:$1048576,MATCH(All!$A170,Fall!$A:$A,FALSE),MATCH(All!F$1,Fall!$1:$1,FALSE)),"N/A")</f>
        <v>1565</v>
      </c>
      <c r="G170" t="str">
        <f>IFERROR(IF(INDEX(Fall!$1:$1048576,MATCH(All!$A170,Fall!$A:$A,FALSE),MATCH(All!G$1,Fall!$1:$1,FALSE))="","",INDEX(Fall!$1:$1048576,MATCH(All!$A170,Fall!$A:$A,FALSE),MATCH(All!G$1,Fall!$1:$1,FALSE))),"")</f>
        <v/>
      </c>
      <c r="H170" t="str">
        <f>IFERROR(IF(INDEX(Fall!$1:$1048576,MATCH(All!$A170,Fall!$A:$A,FALSE),MATCH(All!H$1,Fall!$1:$1,FALSE))="","",INDEX(Fall!$1:$1048576,MATCH(All!$A170,Fall!$A:$A,FALSE),MATCH(All!H$1,Fall!$1:$1,FALSE))),"")</f>
        <v/>
      </c>
      <c r="I170" t="str">
        <f>IFERROR(IF(INDEX(Fall!$1:$1048576,MATCH(All!$A170,Fall!$A:$A,FALSE),MATCH(All!I$1,Fall!$1:$1,FALSE))="","",INDEX(Fall!$1:$1048576,MATCH(All!$A170,Fall!$A:$A,FALSE),MATCH(All!I$1,Fall!$1:$1,FALSE))),"")</f>
        <v/>
      </c>
      <c r="J170" t="str">
        <f>IFERROR(IF(INDEX(Fall!$1:$1048576,MATCH(All!$A170,Fall!$A:$A,FALSE),MATCH(All!J$1,Fall!$1:$1,FALSE))="","",INDEX(Fall!$1:$1048576,MATCH(All!$A170,Fall!$A:$A,FALSE),MATCH(All!J$1,Fall!$1:$1,FALSE))),"")</f>
        <v/>
      </c>
      <c r="K170" t="str">
        <f>IFERROR(IF(INDEX(Fall!$1:$1048576,MATCH(All!$A170,Fall!$A:$A,FALSE),MATCH(All!K$1,Fall!$1:$1,FALSE))="","",INDEX(Fall!$1:$1048576,MATCH(All!$A170,Fall!$A:$A,FALSE),MATCH(All!K$1,Fall!$1:$1,FALSE))),"")</f>
        <v>2A</v>
      </c>
      <c r="L170" t="str">
        <f>IFERROR(IF(INDEX(Fall!$1:$1048576,MATCH(All!$A170,Fall!$A:$A,FALSE),MATCH(All!L$1,Fall!$1:$1,FALSE))="","",INDEX(Fall!$1:$1048576,MATCH(All!$A170,Fall!$A:$A,FALSE),MATCH(All!L$1,Fall!$1:$1,FALSE))),"")</f>
        <v/>
      </c>
      <c r="M170" t="str">
        <f>IFERROR(IF(INDEX(Fall!$1:$1048576,MATCH(All!$A170,Fall!$A:$A,FALSE),MATCH(All!M$1,Fall!$1:$1,FALSE))="","",INDEX(Fall!$1:$1048576,MATCH(All!$A170,Fall!$A:$A,FALSE),MATCH(All!M$1,Fall!$1:$1,FALSE))),"")</f>
        <v>3A</v>
      </c>
      <c r="O170">
        <f>IFERROR(IF(INDEX(Winter!$1:$1048576,MATCH(All!$A170,Winter!$A:$A,FALSE),MATCH(All!O$1,Winter!$1:$1,FALSE))="","",INDEX(Winter!$1:$1048576,MATCH(All!$A170,Winter!$A:$A,FALSE),MATCH(All!O$1,Winter!$1:$1,FALSE))),"")</f>
        <v>1565</v>
      </c>
      <c r="P170" t="str">
        <f>IFERROR(IF(INDEX(Winter!$1:$1048576,MATCH(All!$A170,Winter!$A:$A,FALSE),MATCH(All!P$1,Winter!$1:$1,FALSE))="","",INDEX(Winter!$1:$1048576,MATCH(All!$A170,Winter!$A:$A,FALSE),MATCH(All!P$1,Winter!$1:$1,FALSE))),"")</f>
        <v/>
      </c>
      <c r="Q170" t="str">
        <f>IFERROR(IF(INDEX(Winter!$1:$1048576,MATCH(All!$A170,Winter!$A:$A,FALSE),MATCH(All!Q$1,Winter!$1:$1,FALSE))="","",INDEX(Winter!$1:$1048576,MATCH(All!$A170,Winter!$A:$A,FALSE),MATCH(All!Q$1,Winter!$1:$1,FALSE))),"")</f>
        <v/>
      </c>
      <c r="R170" t="str">
        <f>IFERROR(IF(INDEX(Winter!$1:$1048576,MATCH(All!$A170,Winter!$A:$A,FALSE),MATCH(All!R$1,Winter!$1:$1,FALSE))="","",INDEX(Winter!$1:$1048576,MATCH(All!$A170,Winter!$A:$A,FALSE),MATCH(All!R$1,Winter!$1:$1,FALSE))),"")</f>
        <v/>
      </c>
      <c r="S170" t="str">
        <f>IFERROR(IF(INDEX(Winter!$1:$1048576,MATCH(All!$A170,Winter!$A:$A,FALSE),MATCH(All!S$1,Winter!$1:$1,FALSE))="","",INDEX(Winter!$1:$1048576,MATCH(All!$A170,Winter!$A:$A,FALSE),MATCH(All!S$1,Winter!$1:$1,FALSE))),"")</f>
        <v/>
      </c>
      <c r="T170" t="str">
        <f>IFERROR(IF(INDEX(Winter!$1:$1048576,MATCH(All!$A170,Winter!$A:$A,FALSE),MATCH(All!T$1,Winter!$1:$1,FALSE))="","",INDEX(Winter!$1:$1048576,MATCH(All!$A170,Winter!$A:$A,FALSE),MATCH(All!T$1,Winter!$1:$1,FALSE))),"")</f>
        <v/>
      </c>
      <c r="U170" t="str">
        <f>IFERROR(IF(INDEX(Winter!$1:$1048576,MATCH(All!$A170,Winter!$A:$A,FALSE),MATCH(All!U$1,Winter!$1:$1,FALSE))="","",INDEX(Winter!$1:$1048576,MATCH(All!$A170,Winter!$A:$A,FALSE),MATCH(All!U$1,Winter!$1:$1,FALSE))),"")</f>
        <v>2A</v>
      </c>
      <c r="W170">
        <f>IFERROR(IF(INDEX(Spring!$1:$1048576,MATCH(All!$A170,Spring!$A:$A,FALSE),MATCH(All!W$1,Spring!$1:$1,FALSE))="","",INDEX(Spring!$1:$1048576,MATCH(All!$A170,Spring!$A:$A,FALSE),MATCH(All!W$1,Spring!$1:$1,FALSE))),"")</f>
        <v>1565</v>
      </c>
      <c r="X170" t="str">
        <f>IFERROR(IF(INDEX(Spring!$1:$1048576,MATCH(All!$A170,Spring!$A:$A,FALSE),MATCH(All!X$1,Spring!$1:$1,FALSE))="","",INDEX(Spring!$1:$1048576,MATCH(All!$A170,Spring!$A:$A,FALSE),MATCH(All!X$1,Spring!$1:$1,FALSE))),"")</f>
        <v>3A</v>
      </c>
      <c r="Y170" t="str">
        <f>IFERROR(IF(INDEX(Spring!$1:$1048576,MATCH(All!$A170,Spring!$A:$A,FALSE),MATCH(All!Y$1,Spring!$1:$1,FALSE))="","",INDEX(Spring!$1:$1048576,MATCH(All!$A170,Spring!$A:$A,FALSE),MATCH(All!Y$1,Spring!$1:$1,FALSE))),"")</f>
        <v/>
      </c>
      <c r="Z170" t="str">
        <f>IFERROR(IF(INDEX(Spring!$1:$1048576,MATCH(All!$A170,Spring!$A:$A,FALSE),MATCH(All!Z$1,Spring!$1:$1,FALSE))="","",INDEX(Spring!$1:$1048576,MATCH(All!$A170,Spring!$A:$A,FALSE),MATCH(All!Z$1,Spring!$1:$1,FALSE))),"")</f>
        <v>2A</v>
      </c>
      <c r="AA170" t="str">
        <f>IFERROR(IF(INDEX(Spring!$1:$1048576,MATCH(All!$A170,Spring!$A:$A,FALSE),MATCH(All!AA$1,Spring!$1:$1,FALSE))="","",INDEX(Spring!$1:$1048576,MATCH(All!$A170,Spring!$A:$A,FALSE),MATCH(All!AA$1,Spring!$1:$1,FALSE))),"")</f>
        <v/>
      </c>
      <c r="AB170" t="str">
        <f>IFERROR(IF(INDEX(Spring!$1:$1048576,MATCH(All!$A170,Spring!$A:$A,FALSE),MATCH(All!AB$1,Spring!$1:$1,FALSE))="","",INDEX(Spring!$1:$1048576,MATCH(All!$A170,Spring!$A:$A,FALSE),MATCH(All!AB$1,Spring!$1:$1,FALSE))),"")</f>
        <v>3A</v>
      </c>
      <c r="AC170" t="str">
        <f>IFERROR(IF(INDEX(Spring!$1:$1048576,MATCH(All!$A170,Spring!$A:$A,FALSE),MATCH(All!AC$1,Spring!$1:$1,FALSE))="","",INDEX(Spring!$1:$1048576,MATCH(All!$A170,Spring!$A:$A,FALSE),MATCH(All!AC$1,Spring!$1:$1,FALSE))),"")</f>
        <v>3A</v>
      </c>
      <c r="AD170" t="str">
        <f>IFERROR(VLOOKUP(A170,'Flag Football'!A:A,1,FALSE),"")</f>
        <v>Chicago (Hubbard)</v>
      </c>
      <c r="AE170" t="str">
        <f t="shared" si="2"/>
        <v>1A</v>
      </c>
    </row>
    <row r="171" spans="1:31" ht="15.75" thickBot="1" x14ac:dyDescent="0.3">
      <c r="A171" s="20" t="s">
        <v>211</v>
      </c>
      <c r="B171" s="38">
        <f>IFERROR(VLOOKUP(A171,'Public v Private'!A:G,3,FALSE),"")</f>
        <v>0</v>
      </c>
      <c r="C171" s="38">
        <f>IFERROR(VLOOKUP(A171,'Public v Private'!A:G,4,FALSE),"")</f>
        <v>0</v>
      </c>
      <c r="D171" s="38">
        <f>IFERROR(VLOOKUP(A171,'Public v Private'!A:G,5,FALSE),"")</f>
        <v>0</v>
      </c>
      <c r="E171" s="38"/>
      <c r="F171" s="40">
        <f>IFERROR(INDEX(Fall!$1:$1048576,MATCH(All!$A171,Fall!$A:$A,FALSE),MATCH(All!F$1,Fall!$1:$1,FALSE)),"N/A")</f>
        <v>755</v>
      </c>
      <c r="G171" t="str">
        <f>IFERROR(IF(INDEX(Fall!$1:$1048576,MATCH(All!$A171,Fall!$A:$A,FALSE),MATCH(All!G$1,Fall!$1:$1,FALSE))="","",INDEX(Fall!$1:$1048576,MATCH(All!$A171,Fall!$A:$A,FALSE),MATCH(All!G$1,Fall!$1:$1,FALSE))),"")</f>
        <v>2A</v>
      </c>
      <c r="H171" t="str">
        <f>IFERROR(IF(INDEX(Fall!$1:$1048576,MATCH(All!$A171,Fall!$A:$A,FALSE),MATCH(All!H$1,Fall!$1:$1,FALSE))="","",INDEX(Fall!$1:$1048576,MATCH(All!$A171,Fall!$A:$A,FALSE),MATCH(All!H$1,Fall!$1:$1,FALSE))),"")</f>
        <v/>
      </c>
      <c r="I171" t="str">
        <f>IFERROR(IF(INDEX(Fall!$1:$1048576,MATCH(All!$A171,Fall!$A:$A,FALSE),MATCH(All!I$1,Fall!$1:$1,FALSE))="","",INDEX(Fall!$1:$1048576,MATCH(All!$A171,Fall!$A:$A,FALSE),MATCH(All!I$1,Fall!$1:$1,FALSE))),"")</f>
        <v/>
      </c>
      <c r="J171" t="str">
        <f>IFERROR(IF(INDEX(Fall!$1:$1048576,MATCH(All!$A171,Fall!$A:$A,FALSE),MATCH(All!J$1,Fall!$1:$1,FALSE))="","",INDEX(Fall!$1:$1048576,MATCH(All!$A171,Fall!$A:$A,FALSE),MATCH(All!J$1,Fall!$1:$1,FALSE))),"")</f>
        <v/>
      </c>
      <c r="K171" t="str">
        <f>IFERROR(IF(INDEX(Fall!$1:$1048576,MATCH(All!$A171,Fall!$A:$A,FALSE),MATCH(All!K$1,Fall!$1:$1,FALSE))="","",INDEX(Fall!$1:$1048576,MATCH(All!$A171,Fall!$A:$A,FALSE),MATCH(All!K$1,Fall!$1:$1,FALSE))),"")</f>
        <v/>
      </c>
      <c r="L171" t="str">
        <f>IFERROR(IF(INDEX(Fall!$1:$1048576,MATCH(All!$A171,Fall!$A:$A,FALSE),MATCH(All!L$1,Fall!$1:$1,FALSE))="","",INDEX(Fall!$1:$1048576,MATCH(All!$A171,Fall!$A:$A,FALSE),MATCH(All!L$1,Fall!$1:$1,FALSE))),"")</f>
        <v/>
      </c>
      <c r="M171" t="str">
        <f>IFERROR(IF(INDEX(Fall!$1:$1048576,MATCH(All!$A171,Fall!$A:$A,FALSE),MATCH(All!M$1,Fall!$1:$1,FALSE))="","",INDEX(Fall!$1:$1048576,MATCH(All!$A171,Fall!$A:$A,FALSE),MATCH(All!M$1,Fall!$1:$1,FALSE))),"")</f>
        <v>3A</v>
      </c>
      <c r="O171">
        <f>IFERROR(IF(INDEX(Winter!$1:$1048576,MATCH(All!$A171,Winter!$A:$A,FALSE),MATCH(All!O$1,Winter!$1:$1,FALSE))="","",INDEX(Winter!$1:$1048576,MATCH(All!$A171,Winter!$A:$A,FALSE),MATCH(All!O$1,Winter!$1:$1,FALSE))),"")</f>
        <v>755</v>
      </c>
      <c r="P171" t="str">
        <f>IFERROR(IF(INDEX(Winter!$1:$1048576,MATCH(All!$A171,Winter!$A:$A,FALSE),MATCH(All!P$1,Winter!$1:$1,FALSE))="","",INDEX(Winter!$1:$1048576,MATCH(All!$A171,Winter!$A:$A,FALSE),MATCH(All!P$1,Winter!$1:$1,FALSE))),"")</f>
        <v>3A</v>
      </c>
      <c r="Q171" t="str">
        <f>IFERROR(IF(INDEX(Winter!$1:$1048576,MATCH(All!$A171,Winter!$A:$A,FALSE),MATCH(All!Q$1,Winter!$1:$1,FALSE))="","",INDEX(Winter!$1:$1048576,MATCH(All!$A171,Winter!$A:$A,FALSE),MATCH(All!Q$1,Winter!$1:$1,FALSE))),"")</f>
        <v>3A</v>
      </c>
      <c r="R171" t="str">
        <f>IFERROR(IF(INDEX(Winter!$1:$1048576,MATCH(All!$A171,Winter!$A:$A,FALSE),MATCH(All!R$1,Winter!$1:$1,FALSE))="","",INDEX(Winter!$1:$1048576,MATCH(All!$A171,Winter!$A:$A,FALSE),MATCH(All!R$1,Winter!$1:$1,FALSE))),"")</f>
        <v/>
      </c>
      <c r="S171" t="str">
        <f>IFERROR(IF(INDEX(Winter!$1:$1048576,MATCH(All!$A171,Winter!$A:$A,FALSE),MATCH(All!S$1,Winter!$1:$1,FALSE))="","",INDEX(Winter!$1:$1048576,MATCH(All!$A171,Winter!$A:$A,FALSE),MATCH(All!S$1,Winter!$1:$1,FALSE))),"")</f>
        <v/>
      </c>
      <c r="T171" t="str">
        <f>IFERROR(IF(INDEX(Winter!$1:$1048576,MATCH(All!$A171,Winter!$A:$A,FALSE),MATCH(All!T$1,Winter!$1:$1,FALSE))="","",INDEX(Winter!$1:$1048576,MATCH(All!$A171,Winter!$A:$A,FALSE),MATCH(All!T$1,Winter!$1:$1,FALSE))),"")</f>
        <v/>
      </c>
      <c r="U171" t="str">
        <f>IFERROR(IF(INDEX(Winter!$1:$1048576,MATCH(All!$A171,Winter!$A:$A,FALSE),MATCH(All!U$1,Winter!$1:$1,FALSE))="","",INDEX(Winter!$1:$1048576,MATCH(All!$A171,Winter!$A:$A,FALSE),MATCH(All!U$1,Winter!$1:$1,FALSE))),"")</f>
        <v>2A</v>
      </c>
      <c r="W171">
        <f>IFERROR(IF(INDEX(Spring!$1:$1048576,MATCH(All!$A171,Spring!$A:$A,FALSE),MATCH(All!W$1,Spring!$1:$1,FALSE))="","",INDEX(Spring!$1:$1048576,MATCH(All!$A171,Spring!$A:$A,FALSE),MATCH(All!W$1,Spring!$1:$1,FALSE))),"")</f>
        <v>755</v>
      </c>
      <c r="X171" t="str">
        <f>IFERROR(IF(INDEX(Spring!$1:$1048576,MATCH(All!$A171,Spring!$A:$A,FALSE),MATCH(All!X$1,Spring!$1:$1,FALSE))="","",INDEX(Spring!$1:$1048576,MATCH(All!$A171,Spring!$A:$A,FALSE),MATCH(All!X$1,Spring!$1:$1,FALSE))),"")</f>
        <v/>
      </c>
      <c r="Y171" t="str">
        <f>IFERROR(IF(INDEX(Spring!$1:$1048576,MATCH(All!$A171,Spring!$A:$A,FALSE),MATCH(All!Y$1,Spring!$1:$1,FALSE))="","",INDEX(Spring!$1:$1048576,MATCH(All!$A171,Spring!$A:$A,FALSE),MATCH(All!Y$1,Spring!$1:$1,FALSE))),"")</f>
        <v/>
      </c>
      <c r="Z171" t="str">
        <f>IFERROR(IF(INDEX(Spring!$1:$1048576,MATCH(All!$A171,Spring!$A:$A,FALSE),MATCH(All!Z$1,Spring!$1:$1,FALSE))="","",INDEX(Spring!$1:$1048576,MATCH(All!$A171,Spring!$A:$A,FALSE),MATCH(All!Z$1,Spring!$1:$1,FALSE))),"")</f>
        <v/>
      </c>
      <c r="AA171" t="str">
        <f>IFERROR(IF(INDEX(Spring!$1:$1048576,MATCH(All!$A171,Spring!$A:$A,FALSE),MATCH(All!AA$1,Spring!$1:$1,FALSE))="","",INDEX(Spring!$1:$1048576,MATCH(All!$A171,Spring!$A:$A,FALSE),MATCH(All!AA$1,Spring!$1:$1,FALSE))),"")</f>
        <v/>
      </c>
      <c r="AB171" t="str">
        <f>IFERROR(IF(INDEX(Spring!$1:$1048576,MATCH(All!$A171,Spring!$A:$A,FALSE),MATCH(All!AB$1,Spring!$1:$1,FALSE))="","",INDEX(Spring!$1:$1048576,MATCH(All!$A171,Spring!$A:$A,FALSE),MATCH(All!AB$1,Spring!$1:$1,FALSE))),"")</f>
        <v>2A</v>
      </c>
      <c r="AC171" t="str">
        <f>IFERROR(IF(INDEX(Spring!$1:$1048576,MATCH(All!$A171,Spring!$A:$A,FALSE),MATCH(All!AC$1,Spring!$1:$1,FALSE))="","",INDEX(Spring!$1:$1048576,MATCH(All!$A171,Spring!$A:$A,FALSE),MATCH(All!AC$1,Spring!$1:$1,FALSE))),"")</f>
        <v>2A</v>
      </c>
      <c r="AD171" t="str">
        <f>IFERROR(VLOOKUP(A171,'Flag Football'!A:A,1,FALSE),"")</f>
        <v/>
      </c>
      <c r="AE171" t="str">
        <f t="shared" si="2"/>
        <v/>
      </c>
    </row>
    <row r="172" spans="1:31" ht="15.75" thickBot="1" x14ac:dyDescent="0.3">
      <c r="A172" s="18" t="s">
        <v>984</v>
      </c>
      <c r="B172" s="38" t="str">
        <f>IFERROR(VLOOKUP(A172,'Public v Private'!A:G,3,FALSE),"")</f>
        <v>no</v>
      </c>
      <c r="C172" s="38">
        <f>IFERROR(VLOOKUP(A172,'Public v Private'!A:G,4,FALSE),"")</f>
        <v>0</v>
      </c>
      <c r="D172" s="38">
        <f>IFERROR(VLOOKUP(A172,'Public v Private'!A:G,5,FALSE),"")</f>
        <v>0</v>
      </c>
      <c r="E172" s="38"/>
      <c r="F172" s="40" t="str">
        <f>IFERROR(INDEX(Fall!$1:$1048576,MATCH(All!$A172,Fall!$A:$A,FALSE),MATCH(All!F$1,Fall!$1:$1,FALSE)),"N/A")</f>
        <v>546.00 (900.90)</v>
      </c>
      <c r="G172" t="str">
        <f>IFERROR(IF(INDEX(Fall!$1:$1048576,MATCH(All!$A172,Fall!$A:$A,FALSE),MATCH(All!G$1,Fall!$1:$1,FALSE))="","",INDEX(Fall!$1:$1048576,MATCH(All!$A172,Fall!$A:$A,FALSE),MATCH(All!G$1,Fall!$1:$1,FALSE))),"")</f>
        <v/>
      </c>
      <c r="H172" t="str">
        <f>IFERROR(IF(INDEX(Fall!$1:$1048576,MATCH(All!$A172,Fall!$A:$A,FALSE),MATCH(All!H$1,Fall!$1:$1,FALSE))="","",INDEX(Fall!$1:$1048576,MATCH(All!$A172,Fall!$A:$A,FALSE),MATCH(All!H$1,Fall!$1:$1,FALSE))),"")</f>
        <v/>
      </c>
      <c r="I172" t="str">
        <f>IFERROR(IF(INDEX(Fall!$1:$1048576,MATCH(All!$A172,Fall!$A:$A,FALSE),MATCH(All!I$1,Fall!$1:$1,FALSE))="","",INDEX(Fall!$1:$1048576,MATCH(All!$A172,Fall!$A:$A,FALSE),MATCH(All!I$1,Fall!$1:$1,FALSE))),"")</f>
        <v/>
      </c>
      <c r="J172" t="str">
        <f>IFERROR(IF(INDEX(Fall!$1:$1048576,MATCH(All!$A172,Fall!$A:$A,FALSE),MATCH(All!J$1,Fall!$1:$1,FALSE))="","",INDEX(Fall!$1:$1048576,MATCH(All!$A172,Fall!$A:$A,FALSE),MATCH(All!J$1,Fall!$1:$1,FALSE))),"")</f>
        <v/>
      </c>
      <c r="K172" t="str">
        <f>IFERROR(IF(INDEX(Fall!$1:$1048576,MATCH(All!$A172,Fall!$A:$A,FALSE),MATCH(All!K$1,Fall!$1:$1,FALSE))="","",INDEX(Fall!$1:$1048576,MATCH(All!$A172,Fall!$A:$A,FALSE),MATCH(All!K$1,Fall!$1:$1,FALSE))),"")</f>
        <v>1A</v>
      </c>
      <c r="L172" t="str">
        <f>IFERROR(IF(INDEX(Fall!$1:$1048576,MATCH(All!$A172,Fall!$A:$A,FALSE),MATCH(All!L$1,Fall!$1:$1,FALSE))="","",INDEX(Fall!$1:$1048576,MATCH(All!$A172,Fall!$A:$A,FALSE),MATCH(All!L$1,Fall!$1:$1,FALSE))),"")</f>
        <v/>
      </c>
      <c r="M172" t="str">
        <f>IFERROR(IF(INDEX(Fall!$1:$1048576,MATCH(All!$A172,Fall!$A:$A,FALSE),MATCH(All!M$1,Fall!$1:$1,FALSE))="","",INDEX(Fall!$1:$1048576,MATCH(All!$A172,Fall!$A:$A,FALSE),MATCH(All!M$1,Fall!$1:$1,FALSE))),"")</f>
        <v>3A</v>
      </c>
      <c r="O172" t="str">
        <f>IFERROR(IF(INDEX(Winter!$1:$1048576,MATCH(All!$A172,Winter!$A:$A,FALSE),MATCH(All!O$1,Winter!$1:$1,FALSE))="","",INDEX(Winter!$1:$1048576,MATCH(All!$A172,Winter!$A:$A,FALSE),MATCH(All!O$1,Winter!$1:$1,FALSE))),"")</f>
        <v/>
      </c>
      <c r="P172" t="str">
        <f>IFERROR(IF(INDEX(Winter!$1:$1048576,MATCH(All!$A172,Winter!$A:$A,FALSE),MATCH(All!P$1,Winter!$1:$1,FALSE))="","",INDEX(Winter!$1:$1048576,MATCH(All!$A172,Winter!$A:$A,FALSE),MATCH(All!P$1,Winter!$1:$1,FALSE))),"")</f>
        <v/>
      </c>
      <c r="Q172" t="str">
        <f>IFERROR(IF(INDEX(Winter!$1:$1048576,MATCH(All!$A172,Winter!$A:$A,FALSE),MATCH(All!Q$1,Winter!$1:$1,FALSE))="","",INDEX(Winter!$1:$1048576,MATCH(All!$A172,Winter!$A:$A,FALSE),MATCH(All!Q$1,Winter!$1:$1,FALSE))),"")</f>
        <v/>
      </c>
      <c r="R172" t="str">
        <f>IFERROR(IF(INDEX(Winter!$1:$1048576,MATCH(All!$A172,Winter!$A:$A,FALSE),MATCH(All!R$1,Winter!$1:$1,FALSE))="","",INDEX(Winter!$1:$1048576,MATCH(All!$A172,Winter!$A:$A,FALSE),MATCH(All!R$1,Winter!$1:$1,FALSE))),"")</f>
        <v/>
      </c>
      <c r="S172" t="str">
        <f>IFERROR(IF(INDEX(Winter!$1:$1048576,MATCH(All!$A172,Winter!$A:$A,FALSE),MATCH(All!S$1,Winter!$1:$1,FALSE))="","",INDEX(Winter!$1:$1048576,MATCH(All!$A172,Winter!$A:$A,FALSE),MATCH(All!S$1,Winter!$1:$1,FALSE))),"")</f>
        <v/>
      </c>
      <c r="T172" t="str">
        <f>IFERROR(IF(INDEX(Winter!$1:$1048576,MATCH(All!$A172,Winter!$A:$A,FALSE),MATCH(All!T$1,Winter!$1:$1,FALSE))="","",INDEX(Winter!$1:$1048576,MATCH(All!$A172,Winter!$A:$A,FALSE),MATCH(All!T$1,Winter!$1:$1,FALSE))),"")</f>
        <v/>
      </c>
      <c r="U172" t="str">
        <f>IFERROR(IF(INDEX(Winter!$1:$1048576,MATCH(All!$A172,Winter!$A:$A,FALSE),MATCH(All!U$1,Winter!$1:$1,FALSE))="","",INDEX(Winter!$1:$1048576,MATCH(All!$A172,Winter!$A:$A,FALSE),MATCH(All!U$1,Winter!$1:$1,FALSE))),"")</f>
        <v/>
      </c>
      <c r="W172" t="str">
        <f>IFERROR(IF(INDEX(Spring!$1:$1048576,MATCH(All!$A172,Spring!$A:$A,FALSE),MATCH(All!W$1,Spring!$1:$1,FALSE))="","",INDEX(Spring!$1:$1048576,MATCH(All!$A172,Spring!$A:$A,FALSE),MATCH(All!W$1,Spring!$1:$1,FALSE))),"")</f>
        <v/>
      </c>
      <c r="X172" t="str">
        <f>IFERROR(IF(INDEX(Spring!$1:$1048576,MATCH(All!$A172,Spring!$A:$A,FALSE),MATCH(All!X$1,Spring!$1:$1,FALSE))="","",INDEX(Spring!$1:$1048576,MATCH(All!$A172,Spring!$A:$A,FALSE),MATCH(All!X$1,Spring!$1:$1,FALSE))),"")</f>
        <v/>
      </c>
      <c r="Y172" t="str">
        <f>IFERROR(IF(INDEX(Spring!$1:$1048576,MATCH(All!$A172,Spring!$A:$A,FALSE),MATCH(All!Y$1,Spring!$1:$1,FALSE))="","",INDEX(Spring!$1:$1048576,MATCH(All!$A172,Spring!$A:$A,FALSE),MATCH(All!Y$1,Spring!$1:$1,FALSE))),"")</f>
        <v/>
      </c>
      <c r="Z172" t="str">
        <f>IFERROR(IF(INDEX(Spring!$1:$1048576,MATCH(All!$A172,Spring!$A:$A,FALSE),MATCH(All!Z$1,Spring!$1:$1,FALSE))="","",INDEX(Spring!$1:$1048576,MATCH(All!$A172,Spring!$A:$A,FALSE),MATCH(All!Z$1,Spring!$1:$1,FALSE))),"")</f>
        <v/>
      </c>
      <c r="AA172" t="str">
        <f>IFERROR(IF(INDEX(Spring!$1:$1048576,MATCH(All!$A172,Spring!$A:$A,FALSE),MATCH(All!AA$1,Spring!$1:$1,FALSE))="","",INDEX(Spring!$1:$1048576,MATCH(All!$A172,Spring!$A:$A,FALSE),MATCH(All!AA$1,Spring!$1:$1,FALSE))),"")</f>
        <v/>
      </c>
      <c r="AB172" t="str">
        <f>IFERROR(IF(INDEX(Spring!$1:$1048576,MATCH(All!$A172,Spring!$A:$A,FALSE),MATCH(All!AB$1,Spring!$1:$1,FALSE))="","",INDEX(Spring!$1:$1048576,MATCH(All!$A172,Spring!$A:$A,FALSE),MATCH(All!AB$1,Spring!$1:$1,FALSE))),"")</f>
        <v/>
      </c>
      <c r="AC172" t="str">
        <f>IFERROR(IF(INDEX(Spring!$1:$1048576,MATCH(All!$A172,Spring!$A:$A,FALSE),MATCH(All!AC$1,Spring!$1:$1,FALSE))="","",INDEX(Spring!$1:$1048576,MATCH(All!$A172,Spring!$A:$A,FALSE),MATCH(All!AC$1,Spring!$1:$1,FALSE))),"")</f>
        <v/>
      </c>
      <c r="AD172" t="str">
        <f>IFERROR(VLOOKUP(A172,'Flag Football'!A:A,1,FALSE),"")</f>
        <v>Chicago (Instituto Health Science Charter)</v>
      </c>
      <c r="AE172" t="str">
        <f t="shared" si="2"/>
        <v>1A</v>
      </c>
    </row>
    <row r="173" spans="1:31" ht="15.75" thickBot="1" x14ac:dyDescent="0.3">
      <c r="A173" s="20" t="s">
        <v>212</v>
      </c>
      <c r="B173" s="38" t="str">
        <f>IFERROR(VLOOKUP(A173,'Public v Private'!A:G,3,FALSE),"")</f>
        <v>no</v>
      </c>
      <c r="C173" s="38">
        <f>IFERROR(VLOOKUP(A173,'Public v Private'!A:G,4,FALSE),"")</f>
        <v>0</v>
      </c>
      <c r="D173" s="38">
        <f>IFERROR(VLOOKUP(A173,'Public v Private'!A:G,5,FALSE),"")</f>
        <v>0</v>
      </c>
      <c r="E173" s="38"/>
      <c r="F173" s="40" t="str">
        <f>IFERROR(INDEX(Fall!$1:$1048576,MATCH(All!$A173,Fall!$A:$A,FALSE),MATCH(All!F$1,Fall!$1:$1,FALSE)),"N/A")</f>
        <v>672.00 (1,108.80)</v>
      </c>
      <c r="G173" t="str">
        <f>IFERROR(IF(INDEX(Fall!$1:$1048576,MATCH(All!$A173,Fall!$A:$A,FALSE),MATCH(All!G$1,Fall!$1:$1,FALSE))="","",INDEX(Fall!$1:$1048576,MATCH(All!$A173,Fall!$A:$A,FALSE),MATCH(All!G$1,Fall!$1:$1,FALSE))),"")</f>
        <v/>
      </c>
      <c r="H173" t="str">
        <f>IFERROR(IF(INDEX(Fall!$1:$1048576,MATCH(All!$A173,Fall!$A:$A,FALSE),MATCH(All!H$1,Fall!$1:$1,FALSE))="","",INDEX(Fall!$1:$1048576,MATCH(All!$A173,Fall!$A:$A,FALSE),MATCH(All!H$1,Fall!$1:$1,FALSE))),"")</f>
        <v/>
      </c>
      <c r="I173" t="str">
        <f>IFERROR(IF(INDEX(Fall!$1:$1048576,MATCH(All!$A173,Fall!$A:$A,FALSE),MATCH(All!I$1,Fall!$1:$1,FALSE))="","",INDEX(Fall!$1:$1048576,MATCH(All!$A173,Fall!$A:$A,FALSE),MATCH(All!I$1,Fall!$1:$1,FALSE))),"")</f>
        <v/>
      </c>
      <c r="J173" t="str">
        <f>IFERROR(IF(INDEX(Fall!$1:$1048576,MATCH(All!$A173,Fall!$A:$A,FALSE),MATCH(All!J$1,Fall!$1:$1,FALSE))="","",INDEX(Fall!$1:$1048576,MATCH(All!$A173,Fall!$A:$A,FALSE),MATCH(All!J$1,Fall!$1:$1,FALSE))),"")</f>
        <v/>
      </c>
      <c r="K173" t="str">
        <f>IFERROR(IF(INDEX(Fall!$1:$1048576,MATCH(All!$A173,Fall!$A:$A,FALSE),MATCH(All!K$1,Fall!$1:$1,FALSE))="","",INDEX(Fall!$1:$1048576,MATCH(All!$A173,Fall!$A:$A,FALSE),MATCH(All!K$1,Fall!$1:$1,FALSE))),"")</f>
        <v>2A</v>
      </c>
      <c r="L173" t="str">
        <f>IFERROR(IF(INDEX(Fall!$1:$1048576,MATCH(All!$A173,Fall!$A:$A,FALSE),MATCH(All!L$1,Fall!$1:$1,FALSE))="","",INDEX(Fall!$1:$1048576,MATCH(All!$A173,Fall!$A:$A,FALSE),MATCH(All!L$1,Fall!$1:$1,FALSE))),"")</f>
        <v/>
      </c>
      <c r="M173" t="str">
        <f>IFERROR(IF(INDEX(Fall!$1:$1048576,MATCH(All!$A173,Fall!$A:$A,FALSE),MATCH(All!M$1,Fall!$1:$1,FALSE))="","",INDEX(Fall!$1:$1048576,MATCH(All!$A173,Fall!$A:$A,FALSE),MATCH(All!M$1,Fall!$1:$1,FALSE))),"")</f>
        <v>3A</v>
      </c>
      <c r="O173" t="str">
        <f>IFERROR(IF(INDEX(Winter!$1:$1048576,MATCH(All!$A173,Winter!$A:$A,FALSE),MATCH(All!O$1,Winter!$1:$1,FALSE))="","",INDEX(Winter!$1:$1048576,MATCH(All!$A173,Winter!$A:$A,FALSE),MATCH(All!O$1,Winter!$1:$1,FALSE))),"")</f>
        <v>672.00 (1,108.80)</v>
      </c>
      <c r="P173" t="str">
        <f>IFERROR(IF(INDEX(Winter!$1:$1048576,MATCH(All!$A173,Winter!$A:$A,FALSE),MATCH(All!P$1,Winter!$1:$1,FALSE))="","",INDEX(Winter!$1:$1048576,MATCH(All!$A173,Winter!$A:$A,FALSE),MATCH(All!P$1,Winter!$1:$1,FALSE))),"")</f>
        <v>3A</v>
      </c>
      <c r="Q173" t="str">
        <f>IFERROR(IF(INDEX(Winter!$1:$1048576,MATCH(All!$A173,Winter!$A:$A,FALSE),MATCH(All!Q$1,Winter!$1:$1,FALSE))="","",INDEX(Winter!$1:$1048576,MATCH(All!$A173,Winter!$A:$A,FALSE),MATCH(All!Q$1,Winter!$1:$1,FALSE))),"")</f>
        <v>3A</v>
      </c>
      <c r="R173" t="str">
        <f>IFERROR(IF(INDEX(Winter!$1:$1048576,MATCH(All!$A173,Winter!$A:$A,FALSE),MATCH(All!R$1,Winter!$1:$1,FALSE))="","",INDEX(Winter!$1:$1048576,MATCH(All!$A173,Winter!$A:$A,FALSE),MATCH(All!R$1,Winter!$1:$1,FALSE))),"")</f>
        <v/>
      </c>
      <c r="S173" t="str">
        <f>IFERROR(IF(INDEX(Winter!$1:$1048576,MATCH(All!$A173,Winter!$A:$A,FALSE),MATCH(All!S$1,Winter!$1:$1,FALSE))="","",INDEX(Winter!$1:$1048576,MATCH(All!$A173,Winter!$A:$A,FALSE),MATCH(All!S$1,Winter!$1:$1,FALSE))),"")</f>
        <v>2A</v>
      </c>
      <c r="T173" t="str">
        <f>IFERROR(IF(INDEX(Winter!$1:$1048576,MATCH(All!$A173,Winter!$A:$A,FALSE),MATCH(All!T$1,Winter!$1:$1,FALSE))="","",INDEX(Winter!$1:$1048576,MATCH(All!$A173,Winter!$A:$A,FALSE),MATCH(All!T$1,Winter!$1:$1,FALSE))),"")</f>
        <v/>
      </c>
      <c r="U173" t="str">
        <f>IFERROR(IF(INDEX(Winter!$1:$1048576,MATCH(All!$A173,Winter!$A:$A,FALSE),MATCH(All!U$1,Winter!$1:$1,FALSE))="","",INDEX(Winter!$1:$1048576,MATCH(All!$A173,Winter!$A:$A,FALSE),MATCH(All!U$1,Winter!$1:$1,FALSE))),"")</f>
        <v/>
      </c>
      <c r="W173" t="str">
        <f>IFERROR(IF(INDEX(Spring!$1:$1048576,MATCH(All!$A173,Spring!$A:$A,FALSE),MATCH(All!W$1,Spring!$1:$1,FALSE))="","",INDEX(Spring!$1:$1048576,MATCH(All!$A173,Spring!$A:$A,FALSE),MATCH(All!W$1,Spring!$1:$1,FALSE))),"")</f>
        <v>672.00 (1,108.80)</v>
      </c>
      <c r="X173" t="str">
        <f>IFERROR(IF(INDEX(Spring!$1:$1048576,MATCH(All!$A173,Spring!$A:$A,FALSE),MATCH(All!X$1,Spring!$1:$1,FALSE))="","",INDEX(Spring!$1:$1048576,MATCH(All!$A173,Spring!$A:$A,FALSE),MATCH(All!X$1,Spring!$1:$1,FALSE))),"")</f>
        <v>3A</v>
      </c>
      <c r="Y173" t="str">
        <f>IFERROR(IF(INDEX(Spring!$1:$1048576,MATCH(All!$A173,Spring!$A:$A,FALSE),MATCH(All!Y$1,Spring!$1:$1,FALSE))="","",INDEX(Spring!$1:$1048576,MATCH(All!$A173,Spring!$A:$A,FALSE),MATCH(All!Y$1,Spring!$1:$1,FALSE))),"")</f>
        <v>3A</v>
      </c>
      <c r="Z173" t="str">
        <f>IFERROR(IF(INDEX(Spring!$1:$1048576,MATCH(All!$A173,Spring!$A:$A,FALSE),MATCH(All!Z$1,Spring!$1:$1,FALSE))="","",INDEX(Spring!$1:$1048576,MATCH(All!$A173,Spring!$A:$A,FALSE),MATCH(All!Z$1,Spring!$1:$1,FALSE))),"")</f>
        <v>2A</v>
      </c>
      <c r="AA173" t="str">
        <f>IFERROR(IF(INDEX(Spring!$1:$1048576,MATCH(All!$A173,Spring!$A:$A,FALSE),MATCH(All!AA$1,Spring!$1:$1,FALSE))="","",INDEX(Spring!$1:$1048576,MATCH(All!$A173,Spring!$A:$A,FALSE),MATCH(All!AA$1,Spring!$1:$1,FALSE))),"")</f>
        <v/>
      </c>
      <c r="AB173" t="str">
        <f>IFERROR(IF(INDEX(Spring!$1:$1048576,MATCH(All!$A173,Spring!$A:$A,FALSE),MATCH(All!AB$1,Spring!$1:$1,FALSE))="","",INDEX(Spring!$1:$1048576,MATCH(All!$A173,Spring!$A:$A,FALSE),MATCH(All!AB$1,Spring!$1:$1,FALSE))),"")</f>
        <v/>
      </c>
      <c r="AC173" t="str">
        <f>IFERROR(IF(INDEX(Spring!$1:$1048576,MATCH(All!$A173,Spring!$A:$A,FALSE),MATCH(All!AC$1,Spring!$1:$1,FALSE))="","",INDEX(Spring!$1:$1048576,MATCH(All!$A173,Spring!$A:$A,FALSE),MATCH(All!AC$1,Spring!$1:$1,FALSE))),"")</f>
        <v/>
      </c>
      <c r="AD173" t="str">
        <f>IFERROR(VLOOKUP(A173,'Flag Football'!A:A,1,FALSE),"")</f>
        <v/>
      </c>
      <c r="AE173" t="str">
        <f t="shared" si="2"/>
        <v/>
      </c>
    </row>
    <row r="174" spans="1:31" ht="15.75" thickBot="1" x14ac:dyDescent="0.3">
      <c r="A174" s="18" t="s">
        <v>214</v>
      </c>
      <c r="B174" s="38" t="str">
        <f>IFERROR(VLOOKUP(A174,'Public v Private'!A:G,3,FALSE),"")</f>
        <v>no</v>
      </c>
      <c r="C174" s="38">
        <f>IFERROR(VLOOKUP(A174,'Public v Private'!A:G,4,FALSE),"")</f>
        <v>0</v>
      </c>
      <c r="D174" s="38">
        <f>IFERROR(VLOOKUP(A174,'Public v Private'!A:G,5,FALSE),"")</f>
        <v>0</v>
      </c>
      <c r="E174" s="38"/>
      <c r="F174" s="40" t="str">
        <f>IFERROR(INDEX(Fall!$1:$1048576,MATCH(All!$A174,Fall!$A:$A,FALSE),MATCH(All!F$1,Fall!$1:$1,FALSE)),"N/A")</f>
        <v>713.00 (1,176.45)</v>
      </c>
      <c r="G174" t="str">
        <f>IFERROR(IF(INDEX(Fall!$1:$1048576,MATCH(All!$A174,Fall!$A:$A,FALSE),MATCH(All!G$1,Fall!$1:$1,FALSE))="","",INDEX(Fall!$1:$1048576,MATCH(All!$A174,Fall!$A:$A,FALSE),MATCH(All!G$1,Fall!$1:$1,FALSE))),"")</f>
        <v>2A</v>
      </c>
      <c r="H174" t="str">
        <f>IFERROR(IF(INDEX(Fall!$1:$1048576,MATCH(All!$A174,Fall!$A:$A,FALSE),MATCH(All!H$1,Fall!$1:$1,FALSE))="","",INDEX(Fall!$1:$1048576,MATCH(All!$A174,Fall!$A:$A,FALSE),MATCH(All!H$1,Fall!$1:$1,FALSE))),"")</f>
        <v>2A</v>
      </c>
      <c r="I174" t="str">
        <f>IFERROR(IF(INDEX(Fall!$1:$1048576,MATCH(All!$A174,Fall!$A:$A,FALSE),MATCH(All!I$1,Fall!$1:$1,FALSE))="","",INDEX(Fall!$1:$1048576,MATCH(All!$A174,Fall!$A:$A,FALSE),MATCH(All!I$1,Fall!$1:$1,FALSE))),"")</f>
        <v/>
      </c>
      <c r="J174" t="str">
        <f>IFERROR(IF(INDEX(Fall!$1:$1048576,MATCH(All!$A174,Fall!$A:$A,FALSE),MATCH(All!J$1,Fall!$1:$1,FALSE))="","",INDEX(Fall!$1:$1048576,MATCH(All!$A174,Fall!$A:$A,FALSE),MATCH(All!J$1,Fall!$1:$1,FALSE))),"")</f>
        <v/>
      </c>
      <c r="K174" t="str">
        <f>IFERROR(IF(INDEX(Fall!$1:$1048576,MATCH(All!$A174,Fall!$A:$A,FALSE),MATCH(All!K$1,Fall!$1:$1,FALSE))="","",INDEX(Fall!$1:$1048576,MATCH(All!$A174,Fall!$A:$A,FALSE),MATCH(All!K$1,Fall!$1:$1,FALSE))),"")</f>
        <v>2A</v>
      </c>
      <c r="L174" t="str">
        <f>IFERROR(IF(INDEX(Fall!$1:$1048576,MATCH(All!$A174,Fall!$A:$A,FALSE),MATCH(All!L$1,Fall!$1:$1,FALSE))="","",INDEX(Fall!$1:$1048576,MATCH(All!$A174,Fall!$A:$A,FALSE),MATCH(All!L$1,Fall!$1:$1,FALSE))),"")</f>
        <v/>
      </c>
      <c r="M174" t="str">
        <f>IFERROR(IF(INDEX(Fall!$1:$1048576,MATCH(All!$A174,Fall!$A:$A,FALSE),MATCH(All!M$1,Fall!$1:$1,FALSE))="","",INDEX(Fall!$1:$1048576,MATCH(All!$A174,Fall!$A:$A,FALSE),MATCH(All!M$1,Fall!$1:$1,FALSE))),"")</f>
        <v>3A</v>
      </c>
      <c r="O174" t="str">
        <f>IFERROR(IF(INDEX(Winter!$1:$1048576,MATCH(All!$A174,Winter!$A:$A,FALSE),MATCH(All!O$1,Winter!$1:$1,FALSE))="","",INDEX(Winter!$1:$1048576,MATCH(All!$A174,Winter!$A:$A,FALSE),MATCH(All!O$1,Winter!$1:$1,FALSE))),"")</f>
        <v>713.00 (1,176.45)</v>
      </c>
      <c r="P174" t="str">
        <f>IFERROR(IF(INDEX(Winter!$1:$1048576,MATCH(All!$A174,Winter!$A:$A,FALSE),MATCH(All!P$1,Winter!$1:$1,FALSE))="","",INDEX(Winter!$1:$1048576,MATCH(All!$A174,Winter!$A:$A,FALSE),MATCH(All!P$1,Winter!$1:$1,FALSE))),"")</f>
        <v>3A</v>
      </c>
      <c r="Q174" t="str">
        <f>IFERROR(IF(INDEX(Winter!$1:$1048576,MATCH(All!$A174,Winter!$A:$A,FALSE),MATCH(All!Q$1,Winter!$1:$1,FALSE))="","",INDEX(Winter!$1:$1048576,MATCH(All!$A174,Winter!$A:$A,FALSE),MATCH(All!Q$1,Winter!$1:$1,FALSE))),"")</f>
        <v>3A</v>
      </c>
      <c r="R174" t="str">
        <f>IFERROR(IF(INDEX(Winter!$1:$1048576,MATCH(All!$A174,Winter!$A:$A,FALSE),MATCH(All!R$1,Winter!$1:$1,FALSE))="","",INDEX(Winter!$1:$1048576,MATCH(All!$A174,Winter!$A:$A,FALSE),MATCH(All!R$1,Winter!$1:$1,FALSE))),"")</f>
        <v/>
      </c>
      <c r="S174" t="str">
        <f>IFERROR(IF(INDEX(Winter!$1:$1048576,MATCH(All!$A174,Winter!$A:$A,FALSE),MATCH(All!S$1,Winter!$1:$1,FALSE))="","",INDEX(Winter!$1:$1048576,MATCH(All!$A174,Winter!$A:$A,FALSE),MATCH(All!S$1,Winter!$1:$1,FALSE))),"")</f>
        <v/>
      </c>
      <c r="T174" t="str">
        <f>IFERROR(IF(INDEX(Winter!$1:$1048576,MATCH(All!$A174,Winter!$A:$A,FALSE),MATCH(All!T$1,Winter!$1:$1,FALSE))="","",INDEX(Winter!$1:$1048576,MATCH(All!$A174,Winter!$A:$A,FALSE),MATCH(All!T$1,Winter!$1:$1,FALSE))),"")</f>
        <v/>
      </c>
      <c r="U174" t="str">
        <f>IFERROR(IF(INDEX(Winter!$1:$1048576,MATCH(All!$A174,Winter!$A:$A,FALSE),MATCH(All!U$1,Winter!$1:$1,FALSE))="","",INDEX(Winter!$1:$1048576,MATCH(All!$A174,Winter!$A:$A,FALSE),MATCH(All!U$1,Winter!$1:$1,FALSE))),"")</f>
        <v>2A</v>
      </c>
      <c r="W174" t="str">
        <f>IFERROR(IF(INDEX(Spring!$1:$1048576,MATCH(All!$A174,Spring!$A:$A,FALSE),MATCH(All!W$1,Spring!$1:$1,FALSE))="","",INDEX(Spring!$1:$1048576,MATCH(All!$A174,Spring!$A:$A,FALSE),MATCH(All!W$1,Spring!$1:$1,FALSE))),"")</f>
        <v>713.00 (1,176.45)</v>
      </c>
      <c r="X174" t="str">
        <f>IFERROR(IF(INDEX(Spring!$1:$1048576,MATCH(All!$A174,Spring!$A:$A,FALSE),MATCH(All!X$1,Spring!$1:$1,FALSE))="","",INDEX(Spring!$1:$1048576,MATCH(All!$A174,Spring!$A:$A,FALSE),MATCH(All!X$1,Spring!$1:$1,FALSE))),"")</f>
        <v>3A</v>
      </c>
      <c r="Y174" t="str">
        <f>IFERROR(IF(INDEX(Spring!$1:$1048576,MATCH(All!$A174,Spring!$A:$A,FALSE),MATCH(All!Y$1,Spring!$1:$1,FALSE))="","",INDEX(Spring!$1:$1048576,MATCH(All!$A174,Spring!$A:$A,FALSE),MATCH(All!Y$1,Spring!$1:$1,FALSE))),"")</f>
        <v>3A</v>
      </c>
      <c r="Z174" t="str">
        <f>IFERROR(IF(INDEX(Spring!$1:$1048576,MATCH(All!$A174,Spring!$A:$A,FALSE),MATCH(All!Z$1,Spring!$1:$1,FALSE))="","",INDEX(Spring!$1:$1048576,MATCH(All!$A174,Spring!$A:$A,FALSE),MATCH(All!Z$1,Spring!$1:$1,FALSE))),"")</f>
        <v>2A</v>
      </c>
      <c r="AA174" t="str">
        <f>IFERROR(IF(INDEX(Spring!$1:$1048576,MATCH(All!$A174,Spring!$A:$A,FALSE),MATCH(All!AA$1,Spring!$1:$1,FALSE))="","",INDEX(Spring!$1:$1048576,MATCH(All!$A174,Spring!$A:$A,FALSE),MATCH(All!AA$1,Spring!$1:$1,FALSE))),"")</f>
        <v/>
      </c>
      <c r="AB174" t="str">
        <f>IFERROR(IF(INDEX(Spring!$1:$1048576,MATCH(All!$A174,Spring!$A:$A,FALSE),MATCH(All!AB$1,Spring!$1:$1,FALSE))="","",INDEX(Spring!$1:$1048576,MATCH(All!$A174,Spring!$A:$A,FALSE),MATCH(All!AB$1,Spring!$1:$1,FALSE))),"")</f>
        <v>2A</v>
      </c>
      <c r="AC174" t="str">
        <f>IFERROR(IF(INDEX(Spring!$1:$1048576,MATCH(All!$A174,Spring!$A:$A,FALSE),MATCH(All!AC$1,Spring!$1:$1,FALSE))="","",INDEX(Spring!$1:$1048576,MATCH(All!$A174,Spring!$A:$A,FALSE),MATCH(All!AC$1,Spring!$1:$1,FALSE))),"")</f>
        <v>2A</v>
      </c>
      <c r="AD174" t="str">
        <f>IFERROR(VLOOKUP(A174,'Flag Football'!A:A,1,FALSE),"")</f>
        <v>Chicago (Intrinsic Charter-Downtown Campus)</v>
      </c>
      <c r="AE174" t="str">
        <f t="shared" si="2"/>
        <v>1A</v>
      </c>
    </row>
    <row r="175" spans="1:31" ht="15.75" thickBot="1" x14ac:dyDescent="0.3">
      <c r="A175" s="20" t="s">
        <v>216</v>
      </c>
      <c r="B175" s="38" t="str">
        <f>IFERROR(VLOOKUP(A175,'Public v Private'!A:G,3,FALSE),"")</f>
        <v>no</v>
      </c>
      <c r="C175" s="38">
        <f>IFERROR(VLOOKUP(A175,'Public v Private'!A:G,4,FALSE),"")</f>
        <v>0</v>
      </c>
      <c r="D175" s="38">
        <f>IFERROR(VLOOKUP(A175,'Public v Private'!A:G,5,FALSE),"")</f>
        <v>0</v>
      </c>
      <c r="E175" s="38"/>
      <c r="F175" s="40" t="str">
        <f>IFERROR(INDEX(Fall!$1:$1048576,MATCH(All!$A175,Fall!$A:$A,FALSE),MATCH(All!F$1,Fall!$1:$1,FALSE)),"N/A")</f>
        <v>1,932.00 (3,187.80)</v>
      </c>
      <c r="G175" t="str">
        <f>IFERROR(IF(INDEX(Fall!$1:$1048576,MATCH(All!$A175,Fall!$A:$A,FALSE),MATCH(All!G$1,Fall!$1:$1,FALSE))="","",INDEX(Fall!$1:$1048576,MATCH(All!$A175,Fall!$A:$A,FALSE),MATCH(All!G$1,Fall!$1:$1,FALSE))),"")</f>
        <v>3A</v>
      </c>
      <c r="H175" t="str">
        <f>IFERROR(IF(INDEX(Fall!$1:$1048576,MATCH(All!$A175,Fall!$A:$A,FALSE),MATCH(All!H$1,Fall!$1:$1,FALSE))="","",INDEX(Fall!$1:$1048576,MATCH(All!$A175,Fall!$A:$A,FALSE),MATCH(All!H$1,Fall!$1:$1,FALSE))),"")</f>
        <v>3A</v>
      </c>
      <c r="I175" t="str">
        <f>IFERROR(IF(INDEX(Fall!$1:$1048576,MATCH(All!$A175,Fall!$A:$A,FALSE),MATCH(All!I$1,Fall!$1:$1,FALSE))="","",INDEX(Fall!$1:$1048576,MATCH(All!$A175,Fall!$A:$A,FALSE),MATCH(All!I$1,Fall!$1:$1,FALSE))),"")</f>
        <v/>
      </c>
      <c r="J175" t="str">
        <f>IFERROR(IF(INDEX(Fall!$1:$1048576,MATCH(All!$A175,Fall!$A:$A,FALSE),MATCH(All!J$1,Fall!$1:$1,FALSE))="","",INDEX(Fall!$1:$1048576,MATCH(All!$A175,Fall!$A:$A,FALSE),MATCH(All!J$1,Fall!$1:$1,FALSE))),"")</f>
        <v>2A</v>
      </c>
      <c r="K175" t="str">
        <f>IFERROR(IF(INDEX(Fall!$1:$1048576,MATCH(All!$A175,Fall!$A:$A,FALSE),MATCH(All!K$1,Fall!$1:$1,FALSE))="","",INDEX(Fall!$1:$1048576,MATCH(All!$A175,Fall!$A:$A,FALSE),MATCH(All!K$1,Fall!$1:$1,FALSE))),"")</f>
        <v>3A</v>
      </c>
      <c r="L175" t="str">
        <f>IFERROR(IF(INDEX(Fall!$1:$1048576,MATCH(All!$A175,Fall!$A:$A,FALSE),MATCH(All!L$1,Fall!$1:$1,FALSE))="","",INDEX(Fall!$1:$1048576,MATCH(All!$A175,Fall!$A:$A,FALSE),MATCH(All!L$1,Fall!$1:$1,FALSE))),"")</f>
        <v>2A</v>
      </c>
      <c r="M175" t="str">
        <f>IFERROR(IF(INDEX(Fall!$1:$1048576,MATCH(All!$A175,Fall!$A:$A,FALSE),MATCH(All!M$1,Fall!$1:$1,FALSE))="","",INDEX(Fall!$1:$1048576,MATCH(All!$A175,Fall!$A:$A,FALSE),MATCH(All!M$1,Fall!$1:$1,FALSE))),"")</f>
        <v>4A</v>
      </c>
      <c r="O175" t="str">
        <f>IFERROR(IF(INDEX(Winter!$1:$1048576,MATCH(All!$A175,Winter!$A:$A,FALSE),MATCH(All!O$1,Winter!$1:$1,FALSE))="","",INDEX(Winter!$1:$1048576,MATCH(All!$A175,Winter!$A:$A,FALSE),MATCH(All!O$1,Winter!$1:$1,FALSE))),"")</f>
        <v>1,932.00 (3,187.80)</v>
      </c>
      <c r="P175" t="str">
        <f>IFERROR(IF(INDEX(Winter!$1:$1048576,MATCH(All!$A175,Winter!$A:$A,FALSE),MATCH(All!P$1,Winter!$1:$1,FALSE))="","",INDEX(Winter!$1:$1048576,MATCH(All!$A175,Winter!$A:$A,FALSE),MATCH(All!P$1,Winter!$1:$1,FALSE))),"")</f>
        <v>4A</v>
      </c>
      <c r="Q175" t="str">
        <f>IFERROR(IF(INDEX(Winter!$1:$1048576,MATCH(All!$A175,Winter!$A:$A,FALSE),MATCH(All!Q$1,Winter!$1:$1,FALSE))="","",INDEX(Winter!$1:$1048576,MATCH(All!$A175,Winter!$A:$A,FALSE),MATCH(All!Q$1,Winter!$1:$1,FALSE))),"")</f>
        <v>4A</v>
      </c>
      <c r="R175" t="str">
        <f>IFERROR(IF(INDEX(Winter!$1:$1048576,MATCH(All!$A175,Winter!$A:$A,FALSE),MATCH(All!R$1,Winter!$1:$1,FALSE))="","",INDEX(Winter!$1:$1048576,MATCH(All!$A175,Winter!$A:$A,FALSE),MATCH(All!R$1,Winter!$1:$1,FALSE))),"")</f>
        <v>C</v>
      </c>
      <c r="S175" t="str">
        <f>IFERROR(IF(INDEX(Winter!$1:$1048576,MATCH(All!$A175,Winter!$A:$A,FALSE),MATCH(All!S$1,Winter!$1:$1,FALSE))="","",INDEX(Winter!$1:$1048576,MATCH(All!$A175,Winter!$A:$A,FALSE),MATCH(All!S$1,Winter!$1:$1,FALSE))),"")</f>
        <v>3A</v>
      </c>
      <c r="T175" t="str">
        <f>IFERROR(IF(INDEX(Winter!$1:$1048576,MATCH(All!$A175,Winter!$A:$A,FALSE),MATCH(All!T$1,Winter!$1:$1,FALSE))="","",INDEX(Winter!$1:$1048576,MATCH(All!$A175,Winter!$A:$A,FALSE),MATCH(All!T$1,Winter!$1:$1,FALSE))),"")</f>
        <v>2A</v>
      </c>
      <c r="U175" t="str">
        <f>IFERROR(IF(INDEX(Winter!$1:$1048576,MATCH(All!$A175,Winter!$A:$A,FALSE),MATCH(All!U$1,Winter!$1:$1,FALSE))="","",INDEX(Winter!$1:$1048576,MATCH(All!$A175,Winter!$A:$A,FALSE),MATCH(All!U$1,Winter!$1:$1,FALSE))),"")</f>
        <v/>
      </c>
      <c r="W175" t="str">
        <f>IFERROR(IF(INDEX(Spring!$1:$1048576,MATCH(All!$A175,Spring!$A:$A,FALSE),MATCH(All!W$1,Spring!$1:$1,FALSE))="","",INDEX(Spring!$1:$1048576,MATCH(All!$A175,Spring!$A:$A,FALSE),MATCH(All!W$1,Spring!$1:$1,FALSE))),"")</f>
        <v>1,932.00 (3,187.80)</v>
      </c>
      <c r="X175" t="str">
        <f>IFERROR(IF(INDEX(Spring!$1:$1048576,MATCH(All!$A175,Spring!$A:$A,FALSE),MATCH(All!X$1,Spring!$1:$1,FALSE))="","",INDEX(Spring!$1:$1048576,MATCH(All!$A175,Spring!$A:$A,FALSE),MATCH(All!X$1,Spring!$1:$1,FALSE))),"")</f>
        <v>4A</v>
      </c>
      <c r="Y175" t="str">
        <f>IFERROR(IF(INDEX(Spring!$1:$1048576,MATCH(All!$A175,Spring!$A:$A,FALSE),MATCH(All!Y$1,Spring!$1:$1,FALSE))="","",INDEX(Spring!$1:$1048576,MATCH(All!$A175,Spring!$A:$A,FALSE),MATCH(All!Y$1,Spring!$1:$1,FALSE))),"")</f>
        <v>4A</v>
      </c>
      <c r="Z175" t="str">
        <f>IFERROR(IF(INDEX(Spring!$1:$1048576,MATCH(All!$A175,Spring!$A:$A,FALSE),MATCH(All!Z$1,Spring!$1:$1,FALSE))="","",INDEX(Spring!$1:$1048576,MATCH(All!$A175,Spring!$A:$A,FALSE),MATCH(All!Z$1,Spring!$1:$1,FALSE))),"")</f>
        <v>3A</v>
      </c>
      <c r="AA175" t="str">
        <f>IFERROR(IF(INDEX(Spring!$1:$1048576,MATCH(All!$A175,Spring!$A:$A,FALSE),MATCH(All!AA$1,Spring!$1:$1,FALSE))="","",INDEX(Spring!$1:$1048576,MATCH(All!$A175,Spring!$A:$A,FALSE),MATCH(All!AA$1,Spring!$1:$1,FALSE))),"")</f>
        <v>2A</v>
      </c>
      <c r="AB175" t="str">
        <f>IFERROR(IF(INDEX(Spring!$1:$1048576,MATCH(All!$A175,Spring!$A:$A,FALSE),MATCH(All!AB$1,Spring!$1:$1,FALSE))="","",INDEX(Spring!$1:$1048576,MATCH(All!$A175,Spring!$A:$A,FALSE),MATCH(All!AB$1,Spring!$1:$1,FALSE))),"")</f>
        <v>3A</v>
      </c>
      <c r="AC175" t="str">
        <f>IFERROR(IF(INDEX(Spring!$1:$1048576,MATCH(All!$A175,Spring!$A:$A,FALSE),MATCH(All!AC$1,Spring!$1:$1,FALSE))="","",INDEX(Spring!$1:$1048576,MATCH(All!$A175,Spring!$A:$A,FALSE),MATCH(All!AC$1,Spring!$1:$1,FALSE))),"")</f>
        <v>3A</v>
      </c>
      <c r="AD175" t="str">
        <f>IFERROR(VLOOKUP(A175,'Flag Football'!A:A,1,FALSE),"")</f>
        <v>Chicago (Jones)</v>
      </c>
      <c r="AE175" t="str">
        <f t="shared" si="2"/>
        <v>1A</v>
      </c>
    </row>
    <row r="176" spans="1:31" ht="15.75" thickBot="1" x14ac:dyDescent="0.3">
      <c r="A176" s="18" t="s">
        <v>927</v>
      </c>
      <c r="B176" s="38" t="str">
        <f>IFERROR(VLOOKUP(A176,'Public v Private'!A:G,3,FALSE),"")</f>
        <v>private</v>
      </c>
      <c r="C176" s="38">
        <f>IFERROR(VLOOKUP(A176,'Public v Private'!A:G,4,FALSE),"")</f>
        <v>1</v>
      </c>
      <c r="D176" s="38">
        <f>IFERROR(VLOOKUP(A176,'Public v Private'!A:G,5,FALSE),"")</f>
        <v>1</v>
      </c>
      <c r="E176" s="38"/>
      <c r="F176" s="40" t="str">
        <f>IFERROR(INDEX(Fall!$1:$1048576,MATCH(All!$A176,Fall!$A:$A,FALSE),MATCH(All!F$1,Fall!$1:$1,FALSE)),"N/A")</f>
        <v>190.00 (313.50)</v>
      </c>
      <c r="G176" t="str">
        <f>IFERROR(IF(INDEX(Fall!$1:$1048576,MATCH(All!$A176,Fall!$A:$A,FALSE),MATCH(All!G$1,Fall!$1:$1,FALSE))="","",INDEX(Fall!$1:$1048576,MATCH(All!$A176,Fall!$A:$A,FALSE),MATCH(All!G$1,Fall!$1:$1,FALSE))),"")</f>
        <v/>
      </c>
      <c r="H176" t="str">
        <f>IFERROR(IF(INDEX(Fall!$1:$1048576,MATCH(All!$A176,Fall!$A:$A,FALSE),MATCH(All!H$1,Fall!$1:$1,FALSE))="","",INDEX(Fall!$1:$1048576,MATCH(All!$A176,Fall!$A:$A,FALSE),MATCH(All!H$1,Fall!$1:$1,FALSE))),"")</f>
        <v>1A</v>
      </c>
      <c r="I176" t="str">
        <f>IFERROR(IF(INDEX(Fall!$1:$1048576,MATCH(All!$A176,Fall!$A:$A,FALSE),MATCH(All!I$1,Fall!$1:$1,FALSE))="","",INDEX(Fall!$1:$1048576,MATCH(All!$A176,Fall!$A:$A,FALSE),MATCH(All!I$1,Fall!$1:$1,FALSE))),"")</f>
        <v/>
      </c>
      <c r="J176" t="str">
        <f>IFERROR(IF(INDEX(Fall!$1:$1048576,MATCH(All!$A176,Fall!$A:$A,FALSE),MATCH(All!J$1,Fall!$1:$1,FALSE))="","",INDEX(Fall!$1:$1048576,MATCH(All!$A176,Fall!$A:$A,FALSE),MATCH(All!J$1,Fall!$1:$1,FALSE))),"")</f>
        <v/>
      </c>
      <c r="K176" t="str">
        <f>IFERROR(IF(INDEX(Fall!$1:$1048576,MATCH(All!$A176,Fall!$A:$A,FALSE),MATCH(All!K$1,Fall!$1:$1,FALSE))="","",INDEX(Fall!$1:$1048576,MATCH(All!$A176,Fall!$A:$A,FALSE),MATCH(All!K$1,Fall!$1:$1,FALSE))),"")</f>
        <v/>
      </c>
      <c r="L176" t="str">
        <f>IFERROR(IF(INDEX(Fall!$1:$1048576,MATCH(All!$A176,Fall!$A:$A,FALSE),MATCH(All!L$1,Fall!$1:$1,FALSE))="","",INDEX(Fall!$1:$1048576,MATCH(All!$A176,Fall!$A:$A,FALSE),MATCH(All!L$1,Fall!$1:$1,FALSE))),"")</f>
        <v/>
      </c>
      <c r="M176" t="str">
        <f>IFERROR(IF(INDEX(Fall!$1:$1048576,MATCH(All!$A176,Fall!$A:$A,FALSE),MATCH(All!M$1,Fall!$1:$1,FALSE))="","",INDEX(Fall!$1:$1048576,MATCH(All!$A176,Fall!$A:$A,FALSE),MATCH(All!M$1,Fall!$1:$1,FALSE))),"")</f>
        <v>2A</v>
      </c>
      <c r="O176" t="str">
        <f>IFERROR(IF(INDEX(Winter!$1:$1048576,MATCH(All!$A176,Winter!$A:$A,FALSE),MATCH(All!O$1,Winter!$1:$1,FALSE))="","",INDEX(Winter!$1:$1048576,MATCH(All!$A176,Winter!$A:$A,FALSE),MATCH(All!O$1,Winter!$1:$1,FALSE))),"")</f>
        <v>190.00 (313.50)</v>
      </c>
      <c r="P176" t="str">
        <f>IFERROR(IF(INDEX(Winter!$1:$1048576,MATCH(All!$A176,Winter!$A:$A,FALSE),MATCH(All!P$1,Winter!$1:$1,FALSE))="","",INDEX(Winter!$1:$1048576,MATCH(All!$A176,Winter!$A:$A,FALSE),MATCH(All!P$1,Winter!$1:$1,FALSE))),"")</f>
        <v/>
      </c>
      <c r="Q176" t="str">
        <f>IFERROR(IF(INDEX(Winter!$1:$1048576,MATCH(All!$A176,Winter!$A:$A,FALSE),MATCH(All!Q$1,Winter!$1:$1,FALSE))="","",INDEX(Winter!$1:$1048576,MATCH(All!$A176,Winter!$A:$A,FALSE),MATCH(All!Q$1,Winter!$1:$1,FALSE))),"")</f>
        <v/>
      </c>
      <c r="R176" t="str">
        <f>IFERROR(IF(INDEX(Winter!$1:$1048576,MATCH(All!$A176,Winter!$A:$A,FALSE),MATCH(All!R$1,Winter!$1:$1,FALSE))="","",INDEX(Winter!$1:$1048576,MATCH(All!$A176,Winter!$A:$A,FALSE),MATCH(All!R$1,Winter!$1:$1,FALSE))),"")</f>
        <v/>
      </c>
      <c r="S176" t="str">
        <f>IFERROR(IF(INDEX(Winter!$1:$1048576,MATCH(All!$A176,Winter!$A:$A,FALSE),MATCH(All!S$1,Winter!$1:$1,FALSE))="","",INDEX(Winter!$1:$1048576,MATCH(All!$A176,Winter!$A:$A,FALSE),MATCH(All!S$1,Winter!$1:$1,FALSE))),"")</f>
        <v>1A</v>
      </c>
      <c r="T176" t="str">
        <f>IFERROR(IF(INDEX(Winter!$1:$1048576,MATCH(All!$A176,Winter!$A:$A,FALSE),MATCH(All!T$1,Winter!$1:$1,FALSE))="","",INDEX(Winter!$1:$1048576,MATCH(All!$A176,Winter!$A:$A,FALSE),MATCH(All!T$1,Winter!$1:$1,FALSE))),"")</f>
        <v/>
      </c>
      <c r="U176" t="str">
        <f>IFERROR(IF(INDEX(Winter!$1:$1048576,MATCH(All!$A176,Winter!$A:$A,FALSE),MATCH(All!U$1,Winter!$1:$1,FALSE))="","",INDEX(Winter!$1:$1048576,MATCH(All!$A176,Winter!$A:$A,FALSE),MATCH(All!U$1,Winter!$1:$1,FALSE))),"")</f>
        <v/>
      </c>
      <c r="W176" t="str">
        <f>IFERROR(IF(INDEX(Spring!$1:$1048576,MATCH(All!$A176,Spring!$A:$A,FALSE),MATCH(All!W$1,Spring!$1:$1,FALSE))="","",INDEX(Spring!$1:$1048576,MATCH(All!$A176,Spring!$A:$A,FALSE),MATCH(All!W$1,Spring!$1:$1,FALSE))),"")</f>
        <v/>
      </c>
      <c r="X176" t="str">
        <f>IFERROR(IF(INDEX(Spring!$1:$1048576,MATCH(All!$A176,Spring!$A:$A,FALSE),MATCH(All!X$1,Spring!$1:$1,FALSE))="","",INDEX(Spring!$1:$1048576,MATCH(All!$A176,Spring!$A:$A,FALSE),MATCH(All!X$1,Spring!$1:$1,FALSE))),"")</f>
        <v/>
      </c>
      <c r="Y176" t="str">
        <f>IFERROR(IF(INDEX(Spring!$1:$1048576,MATCH(All!$A176,Spring!$A:$A,FALSE),MATCH(All!Y$1,Spring!$1:$1,FALSE))="","",INDEX(Spring!$1:$1048576,MATCH(All!$A176,Spring!$A:$A,FALSE),MATCH(All!Y$1,Spring!$1:$1,FALSE))),"")</f>
        <v/>
      </c>
      <c r="Z176" t="str">
        <f>IFERROR(IF(INDEX(Spring!$1:$1048576,MATCH(All!$A176,Spring!$A:$A,FALSE),MATCH(All!Z$1,Spring!$1:$1,FALSE))="","",INDEX(Spring!$1:$1048576,MATCH(All!$A176,Spring!$A:$A,FALSE),MATCH(All!Z$1,Spring!$1:$1,FALSE))),"")</f>
        <v/>
      </c>
      <c r="AA176" t="str">
        <f>IFERROR(IF(INDEX(Spring!$1:$1048576,MATCH(All!$A176,Spring!$A:$A,FALSE),MATCH(All!AA$1,Spring!$1:$1,FALSE))="","",INDEX(Spring!$1:$1048576,MATCH(All!$A176,Spring!$A:$A,FALSE),MATCH(All!AA$1,Spring!$1:$1,FALSE))),"")</f>
        <v/>
      </c>
      <c r="AB176" t="str">
        <f>IFERROR(IF(INDEX(Spring!$1:$1048576,MATCH(All!$A176,Spring!$A:$A,FALSE),MATCH(All!AB$1,Spring!$1:$1,FALSE))="","",INDEX(Spring!$1:$1048576,MATCH(All!$A176,Spring!$A:$A,FALSE),MATCH(All!AB$1,Spring!$1:$1,FALSE))),"")</f>
        <v/>
      </c>
      <c r="AC176" t="str">
        <f>IFERROR(IF(INDEX(Spring!$1:$1048576,MATCH(All!$A176,Spring!$A:$A,FALSE),MATCH(All!AC$1,Spring!$1:$1,FALSE))="","",INDEX(Spring!$1:$1048576,MATCH(All!$A176,Spring!$A:$A,FALSE),MATCH(All!AC$1,Spring!$1:$1,FALSE))),"")</f>
        <v/>
      </c>
      <c r="AD176" t="str">
        <f>IFERROR(VLOOKUP(A176,'Flag Football'!A:A,1,FALSE),"")</f>
        <v/>
      </c>
      <c r="AE176" t="str">
        <f t="shared" si="2"/>
        <v/>
      </c>
    </row>
    <row r="177" spans="1:31" ht="15.75" thickBot="1" x14ac:dyDescent="0.3">
      <c r="A177" s="20" t="s">
        <v>218</v>
      </c>
      <c r="B177" s="38">
        <f>IFERROR(VLOOKUP(A177,'Public v Private'!A:G,3,FALSE),"")</f>
        <v>0</v>
      </c>
      <c r="C177" s="38">
        <f>IFERROR(VLOOKUP(A177,'Public v Private'!A:G,4,FALSE),"")</f>
        <v>0</v>
      </c>
      <c r="D177" s="38">
        <f>IFERROR(VLOOKUP(A177,'Public v Private'!A:G,5,FALSE),"")</f>
        <v>0</v>
      </c>
      <c r="E177" s="38"/>
      <c r="F177" s="40">
        <f>IFERROR(INDEX(Fall!$1:$1048576,MATCH(All!$A177,Fall!$A:$A,FALSE),MATCH(All!F$1,Fall!$1:$1,FALSE)),"N/A")</f>
        <v>1518</v>
      </c>
      <c r="G177" t="str">
        <f>IFERROR(IF(INDEX(Fall!$1:$1048576,MATCH(All!$A177,Fall!$A:$A,FALSE),MATCH(All!G$1,Fall!$1:$1,FALSE))="","",INDEX(Fall!$1:$1048576,MATCH(All!$A177,Fall!$A:$A,FALSE),MATCH(All!G$1,Fall!$1:$1,FALSE))),"")</f>
        <v/>
      </c>
      <c r="H177" t="str">
        <f>IFERROR(IF(INDEX(Fall!$1:$1048576,MATCH(All!$A177,Fall!$A:$A,FALSE),MATCH(All!H$1,Fall!$1:$1,FALSE))="","",INDEX(Fall!$1:$1048576,MATCH(All!$A177,Fall!$A:$A,FALSE),MATCH(All!H$1,Fall!$1:$1,FALSE))),"")</f>
        <v/>
      </c>
      <c r="I177" t="str">
        <f>IFERROR(IF(INDEX(Fall!$1:$1048576,MATCH(All!$A177,Fall!$A:$A,FALSE),MATCH(All!I$1,Fall!$1:$1,FALSE))="","",INDEX(Fall!$1:$1048576,MATCH(All!$A177,Fall!$A:$A,FALSE),MATCH(All!I$1,Fall!$1:$1,FALSE))),"")</f>
        <v/>
      </c>
      <c r="J177" t="str">
        <f>IFERROR(IF(INDEX(Fall!$1:$1048576,MATCH(All!$A177,Fall!$A:$A,FALSE),MATCH(All!J$1,Fall!$1:$1,FALSE))="","",INDEX(Fall!$1:$1048576,MATCH(All!$A177,Fall!$A:$A,FALSE),MATCH(All!J$1,Fall!$1:$1,FALSE))),"")</f>
        <v/>
      </c>
      <c r="K177" t="str">
        <f>IFERROR(IF(INDEX(Fall!$1:$1048576,MATCH(All!$A177,Fall!$A:$A,FALSE),MATCH(All!K$1,Fall!$1:$1,FALSE))="","",INDEX(Fall!$1:$1048576,MATCH(All!$A177,Fall!$A:$A,FALSE),MATCH(All!K$1,Fall!$1:$1,FALSE))),"")</f>
        <v>2A</v>
      </c>
      <c r="L177" t="str">
        <f>IFERROR(IF(INDEX(Fall!$1:$1048576,MATCH(All!$A177,Fall!$A:$A,FALSE),MATCH(All!L$1,Fall!$1:$1,FALSE))="","",INDEX(Fall!$1:$1048576,MATCH(All!$A177,Fall!$A:$A,FALSE),MATCH(All!L$1,Fall!$1:$1,FALSE))),"")</f>
        <v/>
      </c>
      <c r="M177" t="str">
        <f>IFERROR(IF(INDEX(Fall!$1:$1048576,MATCH(All!$A177,Fall!$A:$A,FALSE),MATCH(All!M$1,Fall!$1:$1,FALSE))="","",INDEX(Fall!$1:$1048576,MATCH(All!$A177,Fall!$A:$A,FALSE),MATCH(All!M$1,Fall!$1:$1,FALSE))),"")</f>
        <v>3A</v>
      </c>
      <c r="O177">
        <f>IFERROR(IF(INDEX(Winter!$1:$1048576,MATCH(All!$A177,Winter!$A:$A,FALSE),MATCH(All!O$1,Winter!$1:$1,FALSE))="","",INDEX(Winter!$1:$1048576,MATCH(All!$A177,Winter!$A:$A,FALSE),MATCH(All!O$1,Winter!$1:$1,FALSE))),"")</f>
        <v>1518</v>
      </c>
      <c r="P177" t="str">
        <f>IFERROR(IF(INDEX(Winter!$1:$1048576,MATCH(All!$A177,Winter!$A:$A,FALSE),MATCH(All!P$1,Winter!$1:$1,FALSE))="","",INDEX(Winter!$1:$1048576,MATCH(All!$A177,Winter!$A:$A,FALSE),MATCH(All!P$1,Winter!$1:$1,FALSE))),"")</f>
        <v>3A</v>
      </c>
      <c r="Q177" t="str">
        <f>IFERROR(IF(INDEX(Winter!$1:$1048576,MATCH(All!$A177,Winter!$A:$A,FALSE),MATCH(All!Q$1,Winter!$1:$1,FALSE))="","",INDEX(Winter!$1:$1048576,MATCH(All!$A177,Winter!$A:$A,FALSE),MATCH(All!Q$1,Winter!$1:$1,FALSE))),"")</f>
        <v/>
      </c>
      <c r="R177" t="str">
        <f>IFERROR(IF(INDEX(Winter!$1:$1048576,MATCH(All!$A177,Winter!$A:$A,FALSE),MATCH(All!R$1,Winter!$1:$1,FALSE))="","",INDEX(Winter!$1:$1048576,MATCH(All!$A177,Winter!$A:$A,FALSE),MATCH(All!R$1,Winter!$1:$1,FALSE))),"")</f>
        <v/>
      </c>
      <c r="S177" t="str">
        <f>IFERROR(IF(INDEX(Winter!$1:$1048576,MATCH(All!$A177,Winter!$A:$A,FALSE),MATCH(All!S$1,Winter!$1:$1,FALSE))="","",INDEX(Winter!$1:$1048576,MATCH(All!$A177,Winter!$A:$A,FALSE),MATCH(All!S$1,Winter!$1:$1,FALSE))),"")</f>
        <v/>
      </c>
      <c r="T177" t="str">
        <f>IFERROR(IF(INDEX(Winter!$1:$1048576,MATCH(All!$A177,Winter!$A:$A,FALSE),MATCH(All!T$1,Winter!$1:$1,FALSE))="","",INDEX(Winter!$1:$1048576,MATCH(All!$A177,Winter!$A:$A,FALSE),MATCH(All!T$1,Winter!$1:$1,FALSE))),"")</f>
        <v/>
      </c>
      <c r="U177" t="str">
        <f>IFERROR(IF(INDEX(Winter!$1:$1048576,MATCH(All!$A177,Winter!$A:$A,FALSE),MATCH(All!U$1,Winter!$1:$1,FALSE))="","",INDEX(Winter!$1:$1048576,MATCH(All!$A177,Winter!$A:$A,FALSE),MATCH(All!U$1,Winter!$1:$1,FALSE))),"")</f>
        <v/>
      </c>
      <c r="W177">
        <f>IFERROR(IF(INDEX(Spring!$1:$1048576,MATCH(All!$A177,Spring!$A:$A,FALSE),MATCH(All!W$1,Spring!$1:$1,FALSE))="","",INDEX(Spring!$1:$1048576,MATCH(All!$A177,Spring!$A:$A,FALSE),MATCH(All!W$1,Spring!$1:$1,FALSE))),"")</f>
        <v>1518</v>
      </c>
      <c r="X177" t="str">
        <f>IFERROR(IF(INDEX(Spring!$1:$1048576,MATCH(All!$A177,Spring!$A:$A,FALSE),MATCH(All!X$1,Spring!$1:$1,FALSE))="","",INDEX(Spring!$1:$1048576,MATCH(All!$A177,Spring!$A:$A,FALSE),MATCH(All!X$1,Spring!$1:$1,FALSE))),"")</f>
        <v>3A</v>
      </c>
      <c r="Y177" t="str">
        <f>IFERROR(IF(INDEX(Spring!$1:$1048576,MATCH(All!$A177,Spring!$A:$A,FALSE),MATCH(All!Y$1,Spring!$1:$1,FALSE))="","",INDEX(Spring!$1:$1048576,MATCH(All!$A177,Spring!$A:$A,FALSE),MATCH(All!Y$1,Spring!$1:$1,FALSE))),"")</f>
        <v>3A</v>
      </c>
      <c r="Z177" t="str">
        <f>IFERROR(IF(INDEX(Spring!$1:$1048576,MATCH(All!$A177,Spring!$A:$A,FALSE),MATCH(All!Z$1,Spring!$1:$1,FALSE))="","",INDEX(Spring!$1:$1048576,MATCH(All!$A177,Spring!$A:$A,FALSE),MATCH(All!Z$1,Spring!$1:$1,FALSE))),"")</f>
        <v>2A</v>
      </c>
      <c r="AA177" t="str">
        <f>IFERROR(IF(INDEX(Spring!$1:$1048576,MATCH(All!$A177,Spring!$A:$A,FALSE),MATCH(All!AA$1,Spring!$1:$1,FALSE))="","",INDEX(Spring!$1:$1048576,MATCH(All!$A177,Spring!$A:$A,FALSE),MATCH(All!AA$1,Spring!$1:$1,FALSE))),"")</f>
        <v/>
      </c>
      <c r="AB177" t="str">
        <f>IFERROR(IF(INDEX(Spring!$1:$1048576,MATCH(All!$A177,Spring!$A:$A,FALSE),MATCH(All!AB$1,Spring!$1:$1,FALSE))="","",INDEX(Spring!$1:$1048576,MATCH(All!$A177,Spring!$A:$A,FALSE),MATCH(All!AB$1,Spring!$1:$1,FALSE))),"")</f>
        <v>3A</v>
      </c>
      <c r="AC177" t="str">
        <f>IFERROR(IF(INDEX(Spring!$1:$1048576,MATCH(All!$A177,Spring!$A:$A,FALSE),MATCH(All!AC$1,Spring!$1:$1,FALSE))="","",INDEX(Spring!$1:$1048576,MATCH(All!$A177,Spring!$A:$A,FALSE),MATCH(All!AC$1,Spring!$1:$1,FALSE))),"")</f>
        <v>3A</v>
      </c>
      <c r="AD177" t="str">
        <f>IFERROR(VLOOKUP(A177,'Flag Football'!A:A,1,FALSE),"")</f>
        <v>Chicago (Juarez)</v>
      </c>
      <c r="AE177" t="str">
        <f t="shared" si="2"/>
        <v>1A</v>
      </c>
    </row>
    <row r="178" spans="1:31" ht="15.75" thickBot="1" x14ac:dyDescent="0.3">
      <c r="A178" s="18" t="s">
        <v>219</v>
      </c>
      <c r="B178" s="38">
        <f>IFERROR(VLOOKUP(A178,'Public v Private'!A:G,3,FALSE),"")</f>
        <v>0</v>
      </c>
      <c r="C178" s="38">
        <f>IFERROR(VLOOKUP(A178,'Public v Private'!A:G,4,FALSE),"")</f>
        <v>0</v>
      </c>
      <c r="D178" s="38">
        <f>IFERROR(VLOOKUP(A178,'Public v Private'!A:G,5,FALSE),"")</f>
        <v>0</v>
      </c>
      <c r="E178" s="38"/>
      <c r="F178" s="40">
        <f>IFERROR(INDEX(Fall!$1:$1048576,MATCH(All!$A178,Fall!$A:$A,FALSE),MATCH(All!F$1,Fall!$1:$1,FALSE)),"N/A")</f>
        <v>400</v>
      </c>
      <c r="G178" t="str">
        <f>IFERROR(IF(INDEX(Fall!$1:$1048576,MATCH(All!$A178,Fall!$A:$A,FALSE),MATCH(All!G$1,Fall!$1:$1,FALSE))="","",INDEX(Fall!$1:$1048576,MATCH(All!$A178,Fall!$A:$A,FALSE),MATCH(All!G$1,Fall!$1:$1,FALSE))),"")</f>
        <v/>
      </c>
      <c r="H178" t="str">
        <f>IFERROR(IF(INDEX(Fall!$1:$1048576,MATCH(All!$A178,Fall!$A:$A,FALSE),MATCH(All!H$1,Fall!$1:$1,FALSE))="","",INDEX(Fall!$1:$1048576,MATCH(All!$A178,Fall!$A:$A,FALSE),MATCH(All!H$1,Fall!$1:$1,FALSE))),"")</f>
        <v/>
      </c>
      <c r="I178" t="str">
        <f>IFERROR(IF(INDEX(Fall!$1:$1048576,MATCH(All!$A178,Fall!$A:$A,FALSE),MATCH(All!I$1,Fall!$1:$1,FALSE))="","",INDEX(Fall!$1:$1048576,MATCH(All!$A178,Fall!$A:$A,FALSE),MATCH(All!I$1,Fall!$1:$1,FALSE))),"")</f>
        <v/>
      </c>
      <c r="J178" t="str">
        <f>IFERROR(IF(INDEX(Fall!$1:$1048576,MATCH(All!$A178,Fall!$A:$A,FALSE),MATCH(All!J$1,Fall!$1:$1,FALSE))="","",INDEX(Fall!$1:$1048576,MATCH(All!$A178,Fall!$A:$A,FALSE),MATCH(All!J$1,Fall!$1:$1,FALSE))),"")</f>
        <v/>
      </c>
      <c r="K178" t="str">
        <f>IFERROR(IF(INDEX(Fall!$1:$1048576,MATCH(All!$A178,Fall!$A:$A,FALSE),MATCH(All!K$1,Fall!$1:$1,FALSE))="","",INDEX(Fall!$1:$1048576,MATCH(All!$A178,Fall!$A:$A,FALSE),MATCH(All!K$1,Fall!$1:$1,FALSE))),"")</f>
        <v/>
      </c>
      <c r="L178" t="str">
        <f>IFERROR(IF(INDEX(Fall!$1:$1048576,MATCH(All!$A178,Fall!$A:$A,FALSE),MATCH(All!L$1,Fall!$1:$1,FALSE))="","",INDEX(Fall!$1:$1048576,MATCH(All!$A178,Fall!$A:$A,FALSE),MATCH(All!L$1,Fall!$1:$1,FALSE))),"")</f>
        <v/>
      </c>
      <c r="M178" t="str">
        <f>IFERROR(IF(INDEX(Fall!$1:$1048576,MATCH(All!$A178,Fall!$A:$A,FALSE),MATCH(All!M$1,Fall!$1:$1,FALSE))="","",INDEX(Fall!$1:$1048576,MATCH(All!$A178,Fall!$A:$A,FALSE),MATCH(All!M$1,Fall!$1:$1,FALSE))),"")</f>
        <v>2A</v>
      </c>
      <c r="O178">
        <f>IFERROR(IF(INDEX(Winter!$1:$1048576,MATCH(All!$A178,Winter!$A:$A,FALSE),MATCH(All!O$1,Winter!$1:$1,FALSE))="","",INDEX(Winter!$1:$1048576,MATCH(All!$A178,Winter!$A:$A,FALSE),MATCH(All!O$1,Winter!$1:$1,FALSE))),"")</f>
        <v>400</v>
      </c>
      <c r="P178" t="str">
        <f>IFERROR(IF(INDEX(Winter!$1:$1048576,MATCH(All!$A178,Winter!$A:$A,FALSE),MATCH(All!P$1,Winter!$1:$1,FALSE))="","",INDEX(Winter!$1:$1048576,MATCH(All!$A178,Winter!$A:$A,FALSE),MATCH(All!P$1,Winter!$1:$1,FALSE))),"")</f>
        <v>2A</v>
      </c>
      <c r="Q178" t="str">
        <f>IFERROR(IF(INDEX(Winter!$1:$1048576,MATCH(All!$A178,Winter!$A:$A,FALSE),MATCH(All!Q$1,Winter!$1:$1,FALSE))="","",INDEX(Winter!$1:$1048576,MATCH(All!$A178,Winter!$A:$A,FALSE),MATCH(All!Q$1,Winter!$1:$1,FALSE))),"")</f>
        <v>2A</v>
      </c>
      <c r="R178" t="str">
        <f>IFERROR(IF(INDEX(Winter!$1:$1048576,MATCH(All!$A178,Winter!$A:$A,FALSE),MATCH(All!R$1,Winter!$1:$1,FALSE))="","",INDEX(Winter!$1:$1048576,MATCH(All!$A178,Winter!$A:$A,FALSE),MATCH(All!R$1,Winter!$1:$1,FALSE))),"")</f>
        <v/>
      </c>
      <c r="S178" t="str">
        <f>IFERROR(IF(INDEX(Winter!$1:$1048576,MATCH(All!$A178,Winter!$A:$A,FALSE),MATCH(All!S$1,Winter!$1:$1,FALSE))="","",INDEX(Winter!$1:$1048576,MATCH(All!$A178,Winter!$A:$A,FALSE),MATCH(All!S$1,Winter!$1:$1,FALSE))),"")</f>
        <v/>
      </c>
      <c r="T178" t="str">
        <f>IFERROR(IF(INDEX(Winter!$1:$1048576,MATCH(All!$A178,Winter!$A:$A,FALSE),MATCH(All!T$1,Winter!$1:$1,FALSE))="","",INDEX(Winter!$1:$1048576,MATCH(All!$A178,Winter!$A:$A,FALSE),MATCH(All!T$1,Winter!$1:$1,FALSE))),"")</f>
        <v/>
      </c>
      <c r="U178" t="str">
        <f>IFERROR(IF(INDEX(Winter!$1:$1048576,MATCH(All!$A178,Winter!$A:$A,FALSE),MATCH(All!U$1,Winter!$1:$1,FALSE))="","",INDEX(Winter!$1:$1048576,MATCH(All!$A178,Winter!$A:$A,FALSE),MATCH(All!U$1,Winter!$1:$1,FALSE))),"")</f>
        <v/>
      </c>
      <c r="W178">
        <f>IFERROR(IF(INDEX(Spring!$1:$1048576,MATCH(All!$A178,Spring!$A:$A,FALSE),MATCH(All!W$1,Spring!$1:$1,FALSE))="","",INDEX(Spring!$1:$1048576,MATCH(All!$A178,Spring!$A:$A,FALSE),MATCH(All!W$1,Spring!$1:$1,FALSE))),"")</f>
        <v>400</v>
      </c>
      <c r="X178" t="str">
        <f>IFERROR(IF(INDEX(Spring!$1:$1048576,MATCH(All!$A178,Spring!$A:$A,FALSE),MATCH(All!X$1,Spring!$1:$1,FALSE))="","",INDEX(Spring!$1:$1048576,MATCH(All!$A178,Spring!$A:$A,FALSE),MATCH(All!X$1,Spring!$1:$1,FALSE))),"")</f>
        <v/>
      </c>
      <c r="Y178" t="str">
        <f>IFERROR(IF(INDEX(Spring!$1:$1048576,MATCH(All!$A178,Spring!$A:$A,FALSE),MATCH(All!Y$1,Spring!$1:$1,FALSE))="","",INDEX(Spring!$1:$1048576,MATCH(All!$A178,Spring!$A:$A,FALSE),MATCH(All!Y$1,Spring!$1:$1,FALSE))),"")</f>
        <v/>
      </c>
      <c r="Z178" t="str">
        <f>IFERROR(IF(INDEX(Spring!$1:$1048576,MATCH(All!$A178,Spring!$A:$A,FALSE),MATCH(All!Z$1,Spring!$1:$1,FALSE))="","",INDEX(Spring!$1:$1048576,MATCH(All!$A178,Spring!$A:$A,FALSE),MATCH(All!Z$1,Spring!$1:$1,FALSE))),"")</f>
        <v/>
      </c>
      <c r="AA178" t="str">
        <f>IFERROR(IF(INDEX(Spring!$1:$1048576,MATCH(All!$A178,Spring!$A:$A,FALSE),MATCH(All!AA$1,Spring!$1:$1,FALSE))="","",INDEX(Spring!$1:$1048576,MATCH(All!$A178,Spring!$A:$A,FALSE),MATCH(All!AA$1,Spring!$1:$1,FALSE))),"")</f>
        <v/>
      </c>
      <c r="AB178" t="str">
        <f>IFERROR(IF(INDEX(Spring!$1:$1048576,MATCH(All!$A178,Spring!$A:$A,FALSE),MATCH(All!AB$1,Spring!$1:$1,FALSE))="","",INDEX(Spring!$1:$1048576,MATCH(All!$A178,Spring!$A:$A,FALSE),MATCH(All!AB$1,Spring!$1:$1,FALSE))),"")</f>
        <v>1A</v>
      </c>
      <c r="AC178" t="str">
        <f>IFERROR(IF(INDEX(Spring!$1:$1048576,MATCH(All!$A178,Spring!$A:$A,FALSE),MATCH(All!AC$1,Spring!$1:$1,FALSE))="","",INDEX(Spring!$1:$1048576,MATCH(All!$A178,Spring!$A:$A,FALSE),MATCH(All!AC$1,Spring!$1:$1,FALSE))),"")</f>
        <v>1A</v>
      </c>
      <c r="AD178" t="str">
        <f>IFERROR(VLOOKUP(A178,'Flag Football'!A:A,1,FALSE),"")</f>
        <v>Chicago (Julian)</v>
      </c>
      <c r="AE178" t="str">
        <f t="shared" si="2"/>
        <v>1A</v>
      </c>
    </row>
    <row r="179" spans="1:31" ht="15.75" thickBot="1" x14ac:dyDescent="0.3">
      <c r="A179" s="20" t="s">
        <v>220</v>
      </c>
      <c r="B179" s="38">
        <f>IFERROR(VLOOKUP(A179,'Public v Private'!A:G,3,FALSE),"")</f>
        <v>0</v>
      </c>
      <c r="C179" s="38">
        <f>IFERROR(VLOOKUP(A179,'Public v Private'!A:G,4,FALSE),"")</f>
        <v>0</v>
      </c>
      <c r="D179" s="38">
        <f>IFERROR(VLOOKUP(A179,'Public v Private'!A:G,5,FALSE),"")</f>
        <v>0</v>
      </c>
      <c r="E179" s="38"/>
      <c r="F179" s="40">
        <f>IFERROR(INDEX(Fall!$1:$1048576,MATCH(All!$A179,Fall!$A:$A,FALSE),MATCH(All!F$1,Fall!$1:$1,FALSE)),"N/A")</f>
        <v>1594</v>
      </c>
      <c r="G179" t="str">
        <f>IFERROR(IF(INDEX(Fall!$1:$1048576,MATCH(All!$A179,Fall!$A:$A,FALSE),MATCH(All!G$1,Fall!$1:$1,FALSE))="","",INDEX(Fall!$1:$1048576,MATCH(All!$A179,Fall!$A:$A,FALSE),MATCH(All!G$1,Fall!$1:$1,FALSE))),"")</f>
        <v/>
      </c>
      <c r="H179" t="str">
        <f>IFERROR(IF(INDEX(Fall!$1:$1048576,MATCH(All!$A179,Fall!$A:$A,FALSE),MATCH(All!H$1,Fall!$1:$1,FALSE))="","",INDEX(Fall!$1:$1048576,MATCH(All!$A179,Fall!$A:$A,FALSE),MATCH(All!H$1,Fall!$1:$1,FALSE))),"")</f>
        <v/>
      </c>
      <c r="I179" t="str">
        <f>IFERROR(IF(INDEX(Fall!$1:$1048576,MATCH(All!$A179,Fall!$A:$A,FALSE),MATCH(All!I$1,Fall!$1:$1,FALSE))="","",INDEX(Fall!$1:$1048576,MATCH(All!$A179,Fall!$A:$A,FALSE),MATCH(All!I$1,Fall!$1:$1,FALSE))),"")</f>
        <v/>
      </c>
      <c r="J179" t="str">
        <f>IFERROR(IF(INDEX(Fall!$1:$1048576,MATCH(All!$A179,Fall!$A:$A,FALSE),MATCH(All!J$1,Fall!$1:$1,FALSE))="","",INDEX(Fall!$1:$1048576,MATCH(All!$A179,Fall!$A:$A,FALSE),MATCH(All!J$1,Fall!$1:$1,FALSE))),"")</f>
        <v/>
      </c>
      <c r="K179" t="str">
        <f>IFERROR(IF(INDEX(Fall!$1:$1048576,MATCH(All!$A179,Fall!$A:$A,FALSE),MATCH(All!K$1,Fall!$1:$1,FALSE))="","",INDEX(Fall!$1:$1048576,MATCH(All!$A179,Fall!$A:$A,FALSE),MATCH(All!K$1,Fall!$1:$1,FALSE))),"")</f>
        <v>2A</v>
      </c>
      <c r="L179" t="str">
        <f>IFERROR(IF(INDEX(Fall!$1:$1048576,MATCH(All!$A179,Fall!$A:$A,FALSE),MATCH(All!L$1,Fall!$1:$1,FALSE))="","",INDEX(Fall!$1:$1048576,MATCH(All!$A179,Fall!$A:$A,FALSE),MATCH(All!L$1,Fall!$1:$1,FALSE))),"")</f>
        <v/>
      </c>
      <c r="M179" t="str">
        <f>IFERROR(IF(INDEX(Fall!$1:$1048576,MATCH(All!$A179,Fall!$A:$A,FALSE),MATCH(All!M$1,Fall!$1:$1,FALSE))="","",INDEX(Fall!$1:$1048576,MATCH(All!$A179,Fall!$A:$A,FALSE),MATCH(All!M$1,Fall!$1:$1,FALSE))),"")</f>
        <v>3A</v>
      </c>
      <c r="O179">
        <f>IFERROR(IF(INDEX(Winter!$1:$1048576,MATCH(All!$A179,Winter!$A:$A,FALSE),MATCH(All!O$1,Winter!$1:$1,FALSE))="","",INDEX(Winter!$1:$1048576,MATCH(All!$A179,Winter!$A:$A,FALSE),MATCH(All!O$1,Winter!$1:$1,FALSE))),"")</f>
        <v>1594</v>
      </c>
      <c r="P179" t="str">
        <f>IFERROR(IF(INDEX(Winter!$1:$1048576,MATCH(All!$A179,Winter!$A:$A,FALSE),MATCH(All!P$1,Winter!$1:$1,FALSE))="","",INDEX(Winter!$1:$1048576,MATCH(All!$A179,Winter!$A:$A,FALSE),MATCH(All!P$1,Winter!$1:$1,FALSE))),"")</f>
        <v>3A</v>
      </c>
      <c r="Q179" t="str">
        <f>IFERROR(IF(INDEX(Winter!$1:$1048576,MATCH(All!$A179,Winter!$A:$A,FALSE),MATCH(All!Q$1,Winter!$1:$1,FALSE))="","",INDEX(Winter!$1:$1048576,MATCH(All!$A179,Winter!$A:$A,FALSE),MATCH(All!Q$1,Winter!$1:$1,FALSE))),"")</f>
        <v>3A</v>
      </c>
      <c r="R179" t="str">
        <f>IFERROR(IF(INDEX(Winter!$1:$1048576,MATCH(All!$A179,Winter!$A:$A,FALSE),MATCH(All!R$1,Winter!$1:$1,FALSE))="","",INDEX(Winter!$1:$1048576,MATCH(All!$A179,Winter!$A:$A,FALSE),MATCH(All!R$1,Winter!$1:$1,FALSE))),"")</f>
        <v/>
      </c>
      <c r="S179" t="str">
        <f>IFERROR(IF(INDEX(Winter!$1:$1048576,MATCH(All!$A179,Winter!$A:$A,FALSE),MATCH(All!S$1,Winter!$1:$1,FALSE))="","",INDEX(Winter!$1:$1048576,MATCH(All!$A179,Winter!$A:$A,FALSE),MATCH(All!S$1,Winter!$1:$1,FALSE))),"")</f>
        <v/>
      </c>
      <c r="T179" t="str">
        <f>IFERROR(IF(INDEX(Winter!$1:$1048576,MATCH(All!$A179,Winter!$A:$A,FALSE),MATCH(All!T$1,Winter!$1:$1,FALSE))="","",INDEX(Winter!$1:$1048576,MATCH(All!$A179,Winter!$A:$A,FALSE),MATCH(All!T$1,Winter!$1:$1,FALSE))),"")</f>
        <v/>
      </c>
      <c r="U179" t="str">
        <f>IFERROR(IF(INDEX(Winter!$1:$1048576,MATCH(All!$A179,Winter!$A:$A,FALSE),MATCH(All!U$1,Winter!$1:$1,FALSE))="","",INDEX(Winter!$1:$1048576,MATCH(All!$A179,Winter!$A:$A,FALSE),MATCH(All!U$1,Winter!$1:$1,FALSE))),"")</f>
        <v>2A</v>
      </c>
      <c r="W179">
        <f>IFERROR(IF(INDEX(Spring!$1:$1048576,MATCH(All!$A179,Spring!$A:$A,FALSE),MATCH(All!W$1,Spring!$1:$1,FALSE))="","",INDEX(Spring!$1:$1048576,MATCH(All!$A179,Spring!$A:$A,FALSE),MATCH(All!W$1,Spring!$1:$1,FALSE))),"")</f>
        <v>1594</v>
      </c>
      <c r="X179" t="str">
        <f>IFERROR(IF(INDEX(Spring!$1:$1048576,MATCH(All!$A179,Spring!$A:$A,FALSE),MATCH(All!X$1,Spring!$1:$1,FALSE))="","",INDEX(Spring!$1:$1048576,MATCH(All!$A179,Spring!$A:$A,FALSE),MATCH(All!X$1,Spring!$1:$1,FALSE))),"")</f>
        <v/>
      </c>
      <c r="Y179" t="str">
        <f>IFERROR(IF(INDEX(Spring!$1:$1048576,MATCH(All!$A179,Spring!$A:$A,FALSE),MATCH(All!Y$1,Spring!$1:$1,FALSE))="","",INDEX(Spring!$1:$1048576,MATCH(All!$A179,Spring!$A:$A,FALSE),MATCH(All!Y$1,Spring!$1:$1,FALSE))),"")</f>
        <v>3A</v>
      </c>
      <c r="Z179" t="str">
        <f>IFERROR(IF(INDEX(Spring!$1:$1048576,MATCH(All!$A179,Spring!$A:$A,FALSE),MATCH(All!Z$1,Spring!$1:$1,FALSE))="","",INDEX(Spring!$1:$1048576,MATCH(All!$A179,Spring!$A:$A,FALSE),MATCH(All!Z$1,Spring!$1:$1,FALSE))),"")</f>
        <v>2A</v>
      </c>
      <c r="AA179" t="str">
        <f>IFERROR(IF(INDEX(Spring!$1:$1048576,MATCH(All!$A179,Spring!$A:$A,FALSE),MATCH(All!AA$1,Spring!$1:$1,FALSE))="","",INDEX(Spring!$1:$1048576,MATCH(All!$A179,Spring!$A:$A,FALSE),MATCH(All!AA$1,Spring!$1:$1,FALSE))),"")</f>
        <v/>
      </c>
      <c r="AB179" t="str">
        <f>IFERROR(IF(INDEX(Spring!$1:$1048576,MATCH(All!$A179,Spring!$A:$A,FALSE),MATCH(All!AB$1,Spring!$1:$1,FALSE))="","",INDEX(Spring!$1:$1048576,MATCH(All!$A179,Spring!$A:$A,FALSE),MATCH(All!AB$1,Spring!$1:$1,FALSE))),"")</f>
        <v/>
      </c>
      <c r="AC179" t="str">
        <f>IFERROR(IF(INDEX(Spring!$1:$1048576,MATCH(All!$A179,Spring!$A:$A,FALSE),MATCH(All!AC$1,Spring!$1:$1,FALSE))="","",INDEX(Spring!$1:$1048576,MATCH(All!$A179,Spring!$A:$A,FALSE),MATCH(All!AC$1,Spring!$1:$1,FALSE))),"")</f>
        <v/>
      </c>
      <c r="AD179" t="str">
        <f>IFERROR(VLOOKUP(A179,'Flag Football'!A:A,1,FALSE),"")</f>
        <v>Chicago (Kelly)</v>
      </c>
      <c r="AE179" t="str">
        <f t="shared" si="2"/>
        <v>1A</v>
      </c>
    </row>
    <row r="180" spans="1:31" ht="15.75" thickBot="1" x14ac:dyDescent="0.3">
      <c r="A180" s="18" t="s">
        <v>221</v>
      </c>
      <c r="B180" s="38">
        <f>IFERROR(VLOOKUP(A180,'Public v Private'!A:G,3,FALSE),"")</f>
        <v>0</v>
      </c>
      <c r="C180" s="38">
        <f>IFERROR(VLOOKUP(A180,'Public v Private'!A:G,4,FALSE),"")</f>
        <v>0</v>
      </c>
      <c r="D180" s="38">
        <f>IFERROR(VLOOKUP(A180,'Public v Private'!A:G,5,FALSE),"")</f>
        <v>0</v>
      </c>
      <c r="E180" s="38"/>
      <c r="F180" s="40">
        <f>IFERROR(INDEX(Fall!$1:$1048576,MATCH(All!$A180,Fall!$A:$A,FALSE),MATCH(All!F$1,Fall!$1:$1,FALSE)),"N/A")</f>
        <v>1543</v>
      </c>
      <c r="G180" t="str">
        <f>IFERROR(IF(INDEX(Fall!$1:$1048576,MATCH(All!$A180,Fall!$A:$A,FALSE),MATCH(All!G$1,Fall!$1:$1,FALSE))="","",INDEX(Fall!$1:$1048576,MATCH(All!$A180,Fall!$A:$A,FALSE),MATCH(All!G$1,Fall!$1:$1,FALSE))),"")</f>
        <v>2A</v>
      </c>
      <c r="H180" t="str">
        <f>IFERROR(IF(INDEX(Fall!$1:$1048576,MATCH(All!$A180,Fall!$A:$A,FALSE),MATCH(All!H$1,Fall!$1:$1,FALSE))="","",INDEX(Fall!$1:$1048576,MATCH(All!$A180,Fall!$A:$A,FALSE),MATCH(All!H$1,Fall!$1:$1,FALSE))),"")</f>
        <v>2A</v>
      </c>
      <c r="I180" t="str">
        <f>IFERROR(IF(INDEX(Fall!$1:$1048576,MATCH(All!$A180,Fall!$A:$A,FALSE),MATCH(All!I$1,Fall!$1:$1,FALSE))="","",INDEX(Fall!$1:$1048576,MATCH(All!$A180,Fall!$A:$A,FALSE),MATCH(All!I$1,Fall!$1:$1,FALSE))),"")</f>
        <v/>
      </c>
      <c r="J180" t="str">
        <f>IFERROR(IF(INDEX(Fall!$1:$1048576,MATCH(All!$A180,Fall!$A:$A,FALSE),MATCH(All!J$1,Fall!$1:$1,FALSE))="","",INDEX(Fall!$1:$1048576,MATCH(All!$A180,Fall!$A:$A,FALSE),MATCH(All!J$1,Fall!$1:$1,FALSE))),"")</f>
        <v/>
      </c>
      <c r="K180" t="str">
        <f>IFERROR(IF(INDEX(Fall!$1:$1048576,MATCH(All!$A180,Fall!$A:$A,FALSE),MATCH(All!K$1,Fall!$1:$1,FALSE))="","",INDEX(Fall!$1:$1048576,MATCH(All!$A180,Fall!$A:$A,FALSE),MATCH(All!K$1,Fall!$1:$1,FALSE))),"")</f>
        <v>2A</v>
      </c>
      <c r="L180" t="str">
        <f>IFERROR(IF(INDEX(Fall!$1:$1048576,MATCH(All!$A180,Fall!$A:$A,FALSE),MATCH(All!L$1,Fall!$1:$1,FALSE))="","",INDEX(Fall!$1:$1048576,MATCH(All!$A180,Fall!$A:$A,FALSE),MATCH(All!L$1,Fall!$1:$1,FALSE))),"")</f>
        <v/>
      </c>
      <c r="M180" t="str">
        <f>IFERROR(IF(INDEX(Fall!$1:$1048576,MATCH(All!$A180,Fall!$A:$A,FALSE),MATCH(All!M$1,Fall!$1:$1,FALSE))="","",INDEX(Fall!$1:$1048576,MATCH(All!$A180,Fall!$A:$A,FALSE),MATCH(All!M$1,Fall!$1:$1,FALSE))),"")</f>
        <v>3A</v>
      </c>
      <c r="O180">
        <f>IFERROR(IF(INDEX(Winter!$1:$1048576,MATCH(All!$A180,Winter!$A:$A,FALSE),MATCH(All!O$1,Winter!$1:$1,FALSE))="","",INDEX(Winter!$1:$1048576,MATCH(All!$A180,Winter!$A:$A,FALSE),MATCH(All!O$1,Winter!$1:$1,FALSE))),"")</f>
        <v>1543</v>
      </c>
      <c r="P180" t="str">
        <f>IFERROR(IF(INDEX(Winter!$1:$1048576,MATCH(All!$A180,Winter!$A:$A,FALSE),MATCH(All!P$1,Winter!$1:$1,FALSE))="","",INDEX(Winter!$1:$1048576,MATCH(All!$A180,Winter!$A:$A,FALSE),MATCH(All!P$1,Winter!$1:$1,FALSE))),"")</f>
        <v>3A</v>
      </c>
      <c r="Q180" t="str">
        <f>IFERROR(IF(INDEX(Winter!$1:$1048576,MATCH(All!$A180,Winter!$A:$A,FALSE),MATCH(All!Q$1,Winter!$1:$1,FALSE))="","",INDEX(Winter!$1:$1048576,MATCH(All!$A180,Winter!$A:$A,FALSE),MATCH(All!Q$1,Winter!$1:$1,FALSE))),"")</f>
        <v>3A</v>
      </c>
      <c r="R180" t="str">
        <f>IFERROR(IF(INDEX(Winter!$1:$1048576,MATCH(All!$A180,Winter!$A:$A,FALSE),MATCH(All!R$1,Winter!$1:$1,FALSE))="","",INDEX(Winter!$1:$1048576,MATCH(All!$A180,Winter!$A:$A,FALSE),MATCH(All!R$1,Winter!$1:$1,FALSE))),"")</f>
        <v>2A</v>
      </c>
      <c r="S180" t="str">
        <f>IFERROR(IF(INDEX(Winter!$1:$1048576,MATCH(All!$A180,Winter!$A:$A,FALSE),MATCH(All!S$1,Winter!$1:$1,FALSE))="","",INDEX(Winter!$1:$1048576,MATCH(All!$A180,Winter!$A:$A,FALSE),MATCH(All!S$1,Winter!$1:$1,FALSE))),"")</f>
        <v/>
      </c>
      <c r="T180" t="str">
        <f>IFERROR(IF(INDEX(Winter!$1:$1048576,MATCH(All!$A180,Winter!$A:$A,FALSE),MATCH(All!T$1,Winter!$1:$1,FALSE))="","",INDEX(Winter!$1:$1048576,MATCH(All!$A180,Winter!$A:$A,FALSE),MATCH(All!T$1,Winter!$1:$1,FALSE))),"")</f>
        <v/>
      </c>
      <c r="U180" t="str">
        <f>IFERROR(IF(INDEX(Winter!$1:$1048576,MATCH(All!$A180,Winter!$A:$A,FALSE),MATCH(All!U$1,Winter!$1:$1,FALSE))="","",INDEX(Winter!$1:$1048576,MATCH(All!$A180,Winter!$A:$A,FALSE),MATCH(All!U$1,Winter!$1:$1,FALSE))),"")</f>
        <v>2A</v>
      </c>
      <c r="W180">
        <f>IFERROR(IF(INDEX(Spring!$1:$1048576,MATCH(All!$A180,Spring!$A:$A,FALSE),MATCH(All!W$1,Spring!$1:$1,FALSE))="","",INDEX(Spring!$1:$1048576,MATCH(All!$A180,Spring!$A:$A,FALSE),MATCH(All!W$1,Spring!$1:$1,FALSE))),"")</f>
        <v>1543</v>
      </c>
      <c r="X180" t="str">
        <f>IFERROR(IF(INDEX(Spring!$1:$1048576,MATCH(All!$A180,Spring!$A:$A,FALSE),MATCH(All!X$1,Spring!$1:$1,FALSE))="","",INDEX(Spring!$1:$1048576,MATCH(All!$A180,Spring!$A:$A,FALSE),MATCH(All!X$1,Spring!$1:$1,FALSE))),"")</f>
        <v>3A</v>
      </c>
      <c r="Y180" t="str">
        <f>IFERROR(IF(INDEX(Spring!$1:$1048576,MATCH(All!$A180,Spring!$A:$A,FALSE),MATCH(All!Y$1,Spring!$1:$1,FALSE))="","",INDEX(Spring!$1:$1048576,MATCH(All!$A180,Spring!$A:$A,FALSE),MATCH(All!Y$1,Spring!$1:$1,FALSE))),"")</f>
        <v>3A</v>
      </c>
      <c r="Z180" t="str">
        <f>IFERROR(IF(INDEX(Spring!$1:$1048576,MATCH(All!$A180,Spring!$A:$A,FALSE),MATCH(All!Z$1,Spring!$1:$1,FALSE))="","",INDEX(Spring!$1:$1048576,MATCH(All!$A180,Spring!$A:$A,FALSE),MATCH(All!Z$1,Spring!$1:$1,FALSE))),"")</f>
        <v>2A</v>
      </c>
      <c r="AA180" t="str">
        <f>IFERROR(IF(INDEX(Spring!$1:$1048576,MATCH(All!$A180,Spring!$A:$A,FALSE),MATCH(All!AA$1,Spring!$1:$1,FALSE))="","",INDEX(Spring!$1:$1048576,MATCH(All!$A180,Spring!$A:$A,FALSE),MATCH(All!AA$1,Spring!$1:$1,FALSE))),"")</f>
        <v/>
      </c>
      <c r="AB180" t="str">
        <f>IFERROR(IF(INDEX(Spring!$1:$1048576,MATCH(All!$A180,Spring!$A:$A,FALSE),MATCH(All!AB$1,Spring!$1:$1,FALSE))="","",INDEX(Spring!$1:$1048576,MATCH(All!$A180,Spring!$A:$A,FALSE),MATCH(All!AB$1,Spring!$1:$1,FALSE))),"")</f>
        <v>3A</v>
      </c>
      <c r="AC180" t="str">
        <f>IFERROR(IF(INDEX(Spring!$1:$1048576,MATCH(All!$A180,Spring!$A:$A,FALSE),MATCH(All!AC$1,Spring!$1:$1,FALSE))="","",INDEX(Spring!$1:$1048576,MATCH(All!$A180,Spring!$A:$A,FALSE),MATCH(All!AC$1,Spring!$1:$1,FALSE))),"")</f>
        <v>3A</v>
      </c>
      <c r="AD180" t="str">
        <f>IFERROR(VLOOKUP(A180,'Flag Football'!A:A,1,FALSE),"")</f>
        <v>Chicago (Kennedy)</v>
      </c>
      <c r="AE180" t="str">
        <f t="shared" si="2"/>
        <v>1A</v>
      </c>
    </row>
    <row r="181" spans="1:31" ht="15.75" thickBot="1" x14ac:dyDescent="0.3">
      <c r="A181" s="20" t="s">
        <v>222</v>
      </c>
      <c r="B181" s="38">
        <f>IFERROR(VLOOKUP(A181,'Public v Private'!A:G,3,FALSE),"")</f>
        <v>0</v>
      </c>
      <c r="C181" s="38">
        <f>IFERROR(VLOOKUP(A181,'Public v Private'!A:G,4,FALSE),"")</f>
        <v>0</v>
      </c>
      <c r="D181" s="38">
        <f>IFERROR(VLOOKUP(A181,'Public v Private'!A:G,5,FALSE),"")</f>
        <v>0</v>
      </c>
      <c r="E181" s="38"/>
      <c r="F181" s="40">
        <f>IFERROR(INDEX(Fall!$1:$1048576,MATCH(All!$A181,Fall!$A:$A,FALSE),MATCH(All!F$1,Fall!$1:$1,FALSE)),"N/A")</f>
        <v>1918</v>
      </c>
      <c r="G181" t="str">
        <f>IFERROR(IF(INDEX(Fall!$1:$1048576,MATCH(All!$A181,Fall!$A:$A,FALSE),MATCH(All!G$1,Fall!$1:$1,FALSE))="","",INDEX(Fall!$1:$1048576,MATCH(All!$A181,Fall!$A:$A,FALSE),MATCH(All!G$1,Fall!$1:$1,FALSE))),"")</f>
        <v>3A</v>
      </c>
      <c r="H181" t="str">
        <f>IFERROR(IF(INDEX(Fall!$1:$1048576,MATCH(All!$A181,Fall!$A:$A,FALSE),MATCH(All!H$1,Fall!$1:$1,FALSE))="","",INDEX(Fall!$1:$1048576,MATCH(All!$A181,Fall!$A:$A,FALSE),MATCH(All!H$1,Fall!$1:$1,FALSE))),"")</f>
        <v>3A</v>
      </c>
      <c r="I181" t="str">
        <f>IFERROR(IF(INDEX(Fall!$1:$1048576,MATCH(All!$A181,Fall!$A:$A,FALSE),MATCH(All!I$1,Fall!$1:$1,FALSE))="","",INDEX(Fall!$1:$1048576,MATCH(All!$A181,Fall!$A:$A,FALSE),MATCH(All!I$1,Fall!$1:$1,FALSE))),"")</f>
        <v>3A</v>
      </c>
      <c r="J181" t="str">
        <f>IFERROR(IF(INDEX(Fall!$1:$1048576,MATCH(All!$A181,Fall!$A:$A,FALSE),MATCH(All!J$1,Fall!$1:$1,FALSE))="","",INDEX(Fall!$1:$1048576,MATCH(All!$A181,Fall!$A:$A,FALSE),MATCH(All!J$1,Fall!$1:$1,FALSE))),"")</f>
        <v>2A</v>
      </c>
      <c r="K181" t="str">
        <f>IFERROR(IF(INDEX(Fall!$1:$1048576,MATCH(All!$A181,Fall!$A:$A,FALSE),MATCH(All!K$1,Fall!$1:$1,FALSE))="","",INDEX(Fall!$1:$1048576,MATCH(All!$A181,Fall!$A:$A,FALSE),MATCH(All!K$1,Fall!$1:$1,FALSE))),"")</f>
        <v>3A</v>
      </c>
      <c r="L181" t="str">
        <f>IFERROR(IF(INDEX(Fall!$1:$1048576,MATCH(All!$A181,Fall!$A:$A,FALSE),MATCH(All!L$1,Fall!$1:$1,FALSE))="","",INDEX(Fall!$1:$1048576,MATCH(All!$A181,Fall!$A:$A,FALSE),MATCH(All!L$1,Fall!$1:$1,FALSE))),"")</f>
        <v>2A</v>
      </c>
      <c r="M181" t="str">
        <f>IFERROR(IF(INDEX(Fall!$1:$1048576,MATCH(All!$A181,Fall!$A:$A,FALSE),MATCH(All!M$1,Fall!$1:$1,FALSE))="","",INDEX(Fall!$1:$1048576,MATCH(All!$A181,Fall!$A:$A,FALSE),MATCH(All!M$1,Fall!$1:$1,FALSE))),"")</f>
        <v>4A</v>
      </c>
      <c r="O181">
        <f>IFERROR(IF(INDEX(Winter!$1:$1048576,MATCH(All!$A181,Winter!$A:$A,FALSE),MATCH(All!O$1,Winter!$1:$1,FALSE))="","",INDEX(Winter!$1:$1048576,MATCH(All!$A181,Winter!$A:$A,FALSE),MATCH(All!O$1,Winter!$1:$1,FALSE))),"")</f>
        <v>1918</v>
      </c>
      <c r="P181" t="str">
        <f>IFERROR(IF(INDEX(Winter!$1:$1048576,MATCH(All!$A181,Winter!$A:$A,FALSE),MATCH(All!P$1,Winter!$1:$1,FALSE))="","",INDEX(Winter!$1:$1048576,MATCH(All!$A181,Winter!$A:$A,FALSE),MATCH(All!P$1,Winter!$1:$1,FALSE))),"")</f>
        <v>4A</v>
      </c>
      <c r="Q181" t="str">
        <f>IFERROR(IF(INDEX(Winter!$1:$1048576,MATCH(All!$A181,Winter!$A:$A,FALSE),MATCH(All!Q$1,Winter!$1:$1,FALSE))="","",INDEX(Winter!$1:$1048576,MATCH(All!$A181,Winter!$A:$A,FALSE),MATCH(All!Q$1,Winter!$1:$1,FALSE))),"")</f>
        <v>4A</v>
      </c>
      <c r="R181" t="str">
        <f>IFERROR(IF(INDEX(Winter!$1:$1048576,MATCH(All!$A181,Winter!$A:$A,FALSE),MATCH(All!R$1,Winter!$1:$1,FALSE))="","",INDEX(Winter!$1:$1048576,MATCH(All!$A181,Winter!$A:$A,FALSE),MATCH(All!R$1,Winter!$1:$1,FALSE))),"")</f>
        <v>3A</v>
      </c>
      <c r="S181" t="str">
        <f>IFERROR(IF(INDEX(Winter!$1:$1048576,MATCH(All!$A181,Winter!$A:$A,FALSE),MATCH(All!S$1,Winter!$1:$1,FALSE))="","",INDEX(Winter!$1:$1048576,MATCH(All!$A181,Winter!$A:$A,FALSE),MATCH(All!S$1,Winter!$1:$1,FALSE))),"")</f>
        <v>2A</v>
      </c>
      <c r="T181" t="str">
        <f>IFERROR(IF(INDEX(Winter!$1:$1048576,MATCH(All!$A181,Winter!$A:$A,FALSE),MATCH(All!T$1,Winter!$1:$1,FALSE))="","",INDEX(Winter!$1:$1048576,MATCH(All!$A181,Winter!$A:$A,FALSE),MATCH(All!T$1,Winter!$1:$1,FALSE))),"")</f>
        <v/>
      </c>
      <c r="U181" t="str">
        <f>IFERROR(IF(INDEX(Winter!$1:$1048576,MATCH(All!$A181,Winter!$A:$A,FALSE),MATCH(All!U$1,Winter!$1:$1,FALSE))="","",INDEX(Winter!$1:$1048576,MATCH(All!$A181,Winter!$A:$A,FALSE),MATCH(All!U$1,Winter!$1:$1,FALSE))),"")</f>
        <v>3A</v>
      </c>
      <c r="W181">
        <f>IFERROR(IF(INDEX(Spring!$1:$1048576,MATCH(All!$A181,Spring!$A:$A,FALSE),MATCH(All!W$1,Spring!$1:$1,FALSE))="","",INDEX(Spring!$1:$1048576,MATCH(All!$A181,Spring!$A:$A,FALSE),MATCH(All!W$1,Spring!$1:$1,FALSE))),"")</f>
        <v>1918</v>
      </c>
      <c r="X181" t="str">
        <f>IFERROR(IF(INDEX(Spring!$1:$1048576,MATCH(All!$A181,Spring!$A:$A,FALSE),MATCH(All!X$1,Spring!$1:$1,FALSE))="","",INDEX(Spring!$1:$1048576,MATCH(All!$A181,Spring!$A:$A,FALSE),MATCH(All!X$1,Spring!$1:$1,FALSE))),"")</f>
        <v>4A</v>
      </c>
      <c r="Y181" t="str">
        <f>IFERROR(IF(INDEX(Spring!$1:$1048576,MATCH(All!$A181,Spring!$A:$A,FALSE),MATCH(All!Y$1,Spring!$1:$1,FALSE))="","",INDEX(Spring!$1:$1048576,MATCH(All!$A181,Spring!$A:$A,FALSE),MATCH(All!Y$1,Spring!$1:$1,FALSE))),"")</f>
        <v>4A</v>
      </c>
      <c r="Z181" t="str">
        <f>IFERROR(IF(INDEX(Spring!$1:$1048576,MATCH(All!$A181,Spring!$A:$A,FALSE),MATCH(All!Z$1,Spring!$1:$1,FALSE))="","",INDEX(Spring!$1:$1048576,MATCH(All!$A181,Spring!$A:$A,FALSE),MATCH(All!Z$1,Spring!$1:$1,FALSE))),"")</f>
        <v>3A</v>
      </c>
      <c r="AA181" t="str">
        <f>IFERROR(IF(INDEX(Spring!$1:$1048576,MATCH(All!$A181,Spring!$A:$A,FALSE),MATCH(All!AA$1,Spring!$1:$1,FALSE))="","",INDEX(Spring!$1:$1048576,MATCH(All!$A181,Spring!$A:$A,FALSE),MATCH(All!AA$1,Spring!$1:$1,FALSE))),"")</f>
        <v>2A</v>
      </c>
      <c r="AB181" t="str">
        <f>IFERROR(IF(INDEX(Spring!$1:$1048576,MATCH(All!$A181,Spring!$A:$A,FALSE),MATCH(All!AB$1,Spring!$1:$1,FALSE))="","",INDEX(Spring!$1:$1048576,MATCH(All!$A181,Spring!$A:$A,FALSE),MATCH(All!AB$1,Spring!$1:$1,FALSE))),"")</f>
        <v>3A</v>
      </c>
      <c r="AC181" t="str">
        <f>IFERROR(IF(INDEX(Spring!$1:$1048576,MATCH(All!$A181,Spring!$A:$A,FALSE),MATCH(All!AC$1,Spring!$1:$1,FALSE))="","",INDEX(Spring!$1:$1048576,MATCH(All!$A181,Spring!$A:$A,FALSE),MATCH(All!AC$1,Spring!$1:$1,FALSE))),"")</f>
        <v>3A</v>
      </c>
      <c r="AD181" t="str">
        <f>IFERROR(VLOOKUP(A181,'Flag Football'!A:A,1,FALSE),"")</f>
        <v>Chicago (Kenwood)</v>
      </c>
      <c r="AE181" t="str">
        <f t="shared" si="2"/>
        <v>1A</v>
      </c>
    </row>
    <row r="182" spans="1:31" ht="15.75" thickBot="1" x14ac:dyDescent="0.3">
      <c r="A182" s="18" t="s">
        <v>223</v>
      </c>
      <c r="B182" s="38" t="str">
        <f>IFERROR(VLOOKUP(A182,'Public v Private'!A:G,3,FALSE),"")</f>
        <v>no</v>
      </c>
      <c r="C182" s="38">
        <f>IFERROR(VLOOKUP(A182,'Public v Private'!A:G,4,FALSE),"")</f>
        <v>0</v>
      </c>
      <c r="D182" s="38">
        <f>IFERROR(VLOOKUP(A182,'Public v Private'!A:G,5,FALSE),"")</f>
        <v>0</v>
      </c>
      <c r="E182" s="38"/>
      <c r="F182" s="40" t="str">
        <f>IFERROR(INDEX(Fall!$1:$1048576,MATCH(All!$A182,Fall!$A:$A,FALSE),MATCH(All!F$1,Fall!$1:$1,FALSE)),"N/A")</f>
        <v>794.00 (1,310.10)</v>
      </c>
      <c r="G182" t="str">
        <f>IFERROR(IF(INDEX(Fall!$1:$1048576,MATCH(All!$A182,Fall!$A:$A,FALSE),MATCH(All!G$1,Fall!$1:$1,FALSE))="","",INDEX(Fall!$1:$1048576,MATCH(All!$A182,Fall!$A:$A,FALSE),MATCH(All!G$1,Fall!$1:$1,FALSE))),"")</f>
        <v>2A</v>
      </c>
      <c r="H182" t="str">
        <f>IFERROR(IF(INDEX(Fall!$1:$1048576,MATCH(All!$A182,Fall!$A:$A,FALSE),MATCH(All!H$1,Fall!$1:$1,FALSE))="","",INDEX(Fall!$1:$1048576,MATCH(All!$A182,Fall!$A:$A,FALSE),MATCH(All!H$1,Fall!$1:$1,FALSE))),"")</f>
        <v>2A</v>
      </c>
      <c r="I182" t="str">
        <f>IFERROR(IF(INDEX(Fall!$1:$1048576,MATCH(All!$A182,Fall!$A:$A,FALSE),MATCH(All!I$1,Fall!$1:$1,FALSE))="","",INDEX(Fall!$1:$1048576,MATCH(All!$A182,Fall!$A:$A,FALSE),MATCH(All!I$1,Fall!$1:$1,FALSE))),"")</f>
        <v/>
      </c>
      <c r="J182" t="str">
        <f>IFERROR(IF(INDEX(Fall!$1:$1048576,MATCH(All!$A182,Fall!$A:$A,FALSE),MATCH(All!J$1,Fall!$1:$1,FALSE))="","",INDEX(Fall!$1:$1048576,MATCH(All!$A182,Fall!$A:$A,FALSE),MATCH(All!J$1,Fall!$1:$1,FALSE))),"")</f>
        <v/>
      </c>
      <c r="K182" t="str">
        <f>IFERROR(IF(INDEX(Fall!$1:$1048576,MATCH(All!$A182,Fall!$A:$A,FALSE),MATCH(All!K$1,Fall!$1:$1,FALSE))="","",INDEX(Fall!$1:$1048576,MATCH(All!$A182,Fall!$A:$A,FALSE),MATCH(All!K$1,Fall!$1:$1,FALSE))),"")</f>
        <v/>
      </c>
      <c r="L182" t="str">
        <f>IFERROR(IF(INDEX(Fall!$1:$1048576,MATCH(All!$A182,Fall!$A:$A,FALSE),MATCH(All!L$1,Fall!$1:$1,FALSE))="","",INDEX(Fall!$1:$1048576,MATCH(All!$A182,Fall!$A:$A,FALSE),MATCH(All!L$1,Fall!$1:$1,FALSE))),"")</f>
        <v/>
      </c>
      <c r="M182" t="str">
        <f>IFERROR(IF(INDEX(Fall!$1:$1048576,MATCH(All!$A182,Fall!$A:$A,FALSE),MATCH(All!M$1,Fall!$1:$1,FALSE))="","",INDEX(Fall!$1:$1048576,MATCH(All!$A182,Fall!$A:$A,FALSE),MATCH(All!M$1,Fall!$1:$1,FALSE))),"")</f>
        <v>3A</v>
      </c>
      <c r="O182" t="str">
        <f>IFERROR(IF(INDEX(Winter!$1:$1048576,MATCH(All!$A182,Winter!$A:$A,FALSE),MATCH(All!O$1,Winter!$1:$1,FALSE))="","",INDEX(Winter!$1:$1048576,MATCH(All!$A182,Winter!$A:$A,FALSE),MATCH(All!O$1,Winter!$1:$1,FALSE))),"")</f>
        <v>794.00 (1,310.10)</v>
      </c>
      <c r="P182" t="str">
        <f>IFERROR(IF(INDEX(Winter!$1:$1048576,MATCH(All!$A182,Winter!$A:$A,FALSE),MATCH(All!P$1,Winter!$1:$1,FALSE))="","",INDEX(Winter!$1:$1048576,MATCH(All!$A182,Winter!$A:$A,FALSE),MATCH(All!P$1,Winter!$1:$1,FALSE))),"")</f>
        <v>3A</v>
      </c>
      <c r="Q182" t="str">
        <f>IFERROR(IF(INDEX(Winter!$1:$1048576,MATCH(All!$A182,Winter!$A:$A,FALSE),MATCH(All!Q$1,Winter!$1:$1,FALSE))="","",INDEX(Winter!$1:$1048576,MATCH(All!$A182,Winter!$A:$A,FALSE),MATCH(All!Q$1,Winter!$1:$1,FALSE))),"")</f>
        <v>3A</v>
      </c>
      <c r="R182" t="str">
        <f>IFERROR(IF(INDEX(Winter!$1:$1048576,MATCH(All!$A182,Winter!$A:$A,FALSE),MATCH(All!R$1,Winter!$1:$1,FALSE))="","",INDEX(Winter!$1:$1048576,MATCH(All!$A182,Winter!$A:$A,FALSE),MATCH(All!R$1,Winter!$1:$1,FALSE))),"")</f>
        <v/>
      </c>
      <c r="S182" t="str">
        <f>IFERROR(IF(INDEX(Winter!$1:$1048576,MATCH(All!$A182,Winter!$A:$A,FALSE),MATCH(All!S$1,Winter!$1:$1,FALSE))="","",INDEX(Winter!$1:$1048576,MATCH(All!$A182,Winter!$A:$A,FALSE),MATCH(All!S$1,Winter!$1:$1,FALSE))),"")</f>
        <v/>
      </c>
      <c r="T182" t="str">
        <f>IFERROR(IF(INDEX(Winter!$1:$1048576,MATCH(All!$A182,Winter!$A:$A,FALSE),MATCH(All!T$1,Winter!$1:$1,FALSE))="","",INDEX(Winter!$1:$1048576,MATCH(All!$A182,Winter!$A:$A,FALSE),MATCH(All!T$1,Winter!$1:$1,FALSE))),"")</f>
        <v/>
      </c>
      <c r="U182" t="str">
        <f>IFERROR(IF(INDEX(Winter!$1:$1048576,MATCH(All!$A182,Winter!$A:$A,FALSE),MATCH(All!U$1,Winter!$1:$1,FALSE))="","",INDEX(Winter!$1:$1048576,MATCH(All!$A182,Winter!$A:$A,FALSE),MATCH(All!U$1,Winter!$1:$1,FALSE))),"")</f>
        <v>2A</v>
      </c>
      <c r="W182" t="str">
        <f>IFERROR(IF(INDEX(Spring!$1:$1048576,MATCH(All!$A182,Spring!$A:$A,FALSE),MATCH(All!W$1,Spring!$1:$1,FALSE))="","",INDEX(Spring!$1:$1048576,MATCH(All!$A182,Spring!$A:$A,FALSE),MATCH(All!W$1,Spring!$1:$1,FALSE))),"")</f>
        <v>794.00 (1,310.10)</v>
      </c>
      <c r="X182" t="str">
        <f>IFERROR(IF(INDEX(Spring!$1:$1048576,MATCH(All!$A182,Spring!$A:$A,FALSE),MATCH(All!X$1,Spring!$1:$1,FALSE))="","",INDEX(Spring!$1:$1048576,MATCH(All!$A182,Spring!$A:$A,FALSE),MATCH(All!X$1,Spring!$1:$1,FALSE))),"")</f>
        <v>3A</v>
      </c>
      <c r="Y182" t="str">
        <f>IFERROR(IF(INDEX(Spring!$1:$1048576,MATCH(All!$A182,Spring!$A:$A,FALSE),MATCH(All!Y$1,Spring!$1:$1,FALSE))="","",INDEX(Spring!$1:$1048576,MATCH(All!$A182,Spring!$A:$A,FALSE),MATCH(All!Y$1,Spring!$1:$1,FALSE))),"")</f>
        <v/>
      </c>
      <c r="Z182" t="str">
        <f>IFERROR(IF(INDEX(Spring!$1:$1048576,MATCH(All!$A182,Spring!$A:$A,FALSE),MATCH(All!Z$1,Spring!$1:$1,FALSE))="","",INDEX(Spring!$1:$1048576,MATCH(All!$A182,Spring!$A:$A,FALSE),MATCH(All!Z$1,Spring!$1:$1,FALSE))),"")</f>
        <v/>
      </c>
      <c r="AA182" t="str">
        <f>IFERROR(IF(INDEX(Spring!$1:$1048576,MATCH(All!$A182,Spring!$A:$A,FALSE),MATCH(All!AA$1,Spring!$1:$1,FALSE))="","",INDEX(Spring!$1:$1048576,MATCH(All!$A182,Spring!$A:$A,FALSE),MATCH(All!AA$1,Spring!$1:$1,FALSE))),"")</f>
        <v/>
      </c>
      <c r="AB182" t="str">
        <f>IFERROR(IF(INDEX(Spring!$1:$1048576,MATCH(All!$A182,Spring!$A:$A,FALSE),MATCH(All!AB$1,Spring!$1:$1,FALSE))="","",INDEX(Spring!$1:$1048576,MATCH(All!$A182,Spring!$A:$A,FALSE),MATCH(All!AB$1,Spring!$1:$1,FALSE))),"")</f>
        <v>2A</v>
      </c>
      <c r="AC182" t="str">
        <f>IFERROR(IF(INDEX(Spring!$1:$1048576,MATCH(All!$A182,Spring!$A:$A,FALSE),MATCH(All!AC$1,Spring!$1:$1,FALSE))="","",INDEX(Spring!$1:$1048576,MATCH(All!$A182,Spring!$A:$A,FALSE),MATCH(All!AC$1,Spring!$1:$1,FALSE))),"")</f>
        <v>2A</v>
      </c>
      <c r="AD182" t="str">
        <f>IFERROR(VLOOKUP(A182,'Flag Football'!A:A,1,FALSE),"")</f>
        <v>Chicago (King)</v>
      </c>
      <c r="AE182" t="str">
        <f t="shared" si="2"/>
        <v>1A</v>
      </c>
    </row>
    <row r="183" spans="1:31" ht="15.75" thickBot="1" x14ac:dyDescent="0.3">
      <c r="A183" s="20" t="s">
        <v>225</v>
      </c>
      <c r="B183" s="38">
        <f>IFERROR(VLOOKUP(A183,'Public v Private'!A:G,3,FALSE),"")</f>
        <v>0</v>
      </c>
      <c r="C183" s="38">
        <f>IFERROR(VLOOKUP(A183,'Public v Private'!A:G,4,FALSE),"")</f>
        <v>0</v>
      </c>
      <c r="D183" s="38">
        <f>IFERROR(VLOOKUP(A183,'Public v Private'!A:G,5,FALSE),"")</f>
        <v>0</v>
      </c>
      <c r="E183" s="38"/>
      <c r="F183" s="40">
        <f>IFERROR(INDEX(Fall!$1:$1048576,MATCH(All!$A183,Fall!$A:$A,FALSE),MATCH(All!F$1,Fall!$1:$1,FALSE)),"N/A")</f>
        <v>1364</v>
      </c>
      <c r="G183" t="str">
        <f>IFERROR(IF(INDEX(Fall!$1:$1048576,MATCH(All!$A183,Fall!$A:$A,FALSE),MATCH(All!G$1,Fall!$1:$1,FALSE))="","",INDEX(Fall!$1:$1048576,MATCH(All!$A183,Fall!$A:$A,FALSE),MATCH(All!G$1,Fall!$1:$1,FALSE))),"")</f>
        <v>2A</v>
      </c>
      <c r="H183" t="str">
        <f>IFERROR(IF(INDEX(Fall!$1:$1048576,MATCH(All!$A183,Fall!$A:$A,FALSE),MATCH(All!H$1,Fall!$1:$1,FALSE))="","",INDEX(Fall!$1:$1048576,MATCH(All!$A183,Fall!$A:$A,FALSE),MATCH(All!H$1,Fall!$1:$1,FALSE))),"")</f>
        <v>2A</v>
      </c>
      <c r="I183" t="str">
        <f>IFERROR(IF(INDEX(Fall!$1:$1048576,MATCH(All!$A183,Fall!$A:$A,FALSE),MATCH(All!I$1,Fall!$1:$1,FALSE))="","",INDEX(Fall!$1:$1048576,MATCH(All!$A183,Fall!$A:$A,FALSE),MATCH(All!I$1,Fall!$1:$1,FALSE))),"")</f>
        <v/>
      </c>
      <c r="J183" t="str">
        <f>IFERROR(IF(INDEX(Fall!$1:$1048576,MATCH(All!$A183,Fall!$A:$A,FALSE),MATCH(All!J$1,Fall!$1:$1,FALSE))="","",INDEX(Fall!$1:$1048576,MATCH(All!$A183,Fall!$A:$A,FALSE),MATCH(All!J$1,Fall!$1:$1,FALSE))),"")</f>
        <v/>
      </c>
      <c r="K183" t="str">
        <f>IFERROR(IF(INDEX(Fall!$1:$1048576,MATCH(All!$A183,Fall!$A:$A,FALSE),MATCH(All!K$1,Fall!$1:$1,FALSE))="","",INDEX(Fall!$1:$1048576,MATCH(All!$A183,Fall!$A:$A,FALSE),MATCH(All!K$1,Fall!$1:$1,FALSE))),"")</f>
        <v>2A</v>
      </c>
      <c r="L183" t="str">
        <f>IFERROR(IF(INDEX(Fall!$1:$1048576,MATCH(All!$A183,Fall!$A:$A,FALSE),MATCH(All!L$1,Fall!$1:$1,FALSE))="","",INDEX(Fall!$1:$1048576,MATCH(All!$A183,Fall!$A:$A,FALSE),MATCH(All!L$1,Fall!$1:$1,FALSE))),"")</f>
        <v/>
      </c>
      <c r="M183" t="str">
        <f>IFERROR(IF(INDEX(Fall!$1:$1048576,MATCH(All!$A183,Fall!$A:$A,FALSE),MATCH(All!M$1,Fall!$1:$1,FALSE))="","",INDEX(Fall!$1:$1048576,MATCH(All!$A183,Fall!$A:$A,FALSE),MATCH(All!M$1,Fall!$1:$1,FALSE))),"")</f>
        <v>3A</v>
      </c>
      <c r="O183">
        <f>IFERROR(IF(INDEX(Winter!$1:$1048576,MATCH(All!$A183,Winter!$A:$A,FALSE),MATCH(All!O$1,Winter!$1:$1,FALSE))="","",INDEX(Winter!$1:$1048576,MATCH(All!$A183,Winter!$A:$A,FALSE),MATCH(All!O$1,Winter!$1:$1,FALSE))),"")</f>
        <v>1364</v>
      </c>
      <c r="P183" t="str">
        <f>IFERROR(IF(INDEX(Winter!$1:$1048576,MATCH(All!$A183,Winter!$A:$A,FALSE),MATCH(All!P$1,Winter!$1:$1,FALSE))="","",INDEX(Winter!$1:$1048576,MATCH(All!$A183,Winter!$A:$A,FALSE),MATCH(All!P$1,Winter!$1:$1,FALSE))),"")</f>
        <v>3A</v>
      </c>
      <c r="Q183" t="str">
        <f>IFERROR(IF(INDEX(Winter!$1:$1048576,MATCH(All!$A183,Winter!$A:$A,FALSE),MATCH(All!Q$1,Winter!$1:$1,FALSE))="","",INDEX(Winter!$1:$1048576,MATCH(All!$A183,Winter!$A:$A,FALSE),MATCH(All!Q$1,Winter!$1:$1,FALSE))),"")</f>
        <v>3A</v>
      </c>
      <c r="R183" t="str">
        <f>IFERROR(IF(INDEX(Winter!$1:$1048576,MATCH(All!$A183,Winter!$A:$A,FALSE),MATCH(All!R$1,Winter!$1:$1,FALSE))="","",INDEX(Winter!$1:$1048576,MATCH(All!$A183,Winter!$A:$A,FALSE),MATCH(All!R$1,Winter!$1:$1,FALSE))),"")</f>
        <v/>
      </c>
      <c r="S183" t="str">
        <f>IFERROR(IF(INDEX(Winter!$1:$1048576,MATCH(All!$A183,Winter!$A:$A,FALSE),MATCH(All!S$1,Winter!$1:$1,FALSE))="","",INDEX(Winter!$1:$1048576,MATCH(All!$A183,Winter!$A:$A,FALSE),MATCH(All!S$1,Winter!$1:$1,FALSE))),"")</f>
        <v/>
      </c>
      <c r="T183" t="str">
        <f>IFERROR(IF(INDEX(Winter!$1:$1048576,MATCH(All!$A183,Winter!$A:$A,FALSE),MATCH(All!T$1,Winter!$1:$1,FALSE))="","",INDEX(Winter!$1:$1048576,MATCH(All!$A183,Winter!$A:$A,FALSE),MATCH(All!T$1,Winter!$1:$1,FALSE))),"")</f>
        <v/>
      </c>
      <c r="U183" t="str">
        <f>IFERROR(IF(INDEX(Winter!$1:$1048576,MATCH(All!$A183,Winter!$A:$A,FALSE),MATCH(All!U$1,Winter!$1:$1,FALSE))="","",INDEX(Winter!$1:$1048576,MATCH(All!$A183,Winter!$A:$A,FALSE),MATCH(All!U$1,Winter!$1:$1,FALSE))),"")</f>
        <v>2A</v>
      </c>
      <c r="W183">
        <f>IFERROR(IF(INDEX(Spring!$1:$1048576,MATCH(All!$A183,Spring!$A:$A,FALSE),MATCH(All!W$1,Spring!$1:$1,FALSE))="","",INDEX(Spring!$1:$1048576,MATCH(All!$A183,Spring!$A:$A,FALSE),MATCH(All!W$1,Spring!$1:$1,FALSE))),"")</f>
        <v>1364</v>
      </c>
      <c r="X183" t="str">
        <f>IFERROR(IF(INDEX(Spring!$1:$1048576,MATCH(All!$A183,Spring!$A:$A,FALSE),MATCH(All!X$1,Spring!$1:$1,FALSE))="","",INDEX(Spring!$1:$1048576,MATCH(All!$A183,Spring!$A:$A,FALSE),MATCH(All!X$1,Spring!$1:$1,FALSE))),"")</f>
        <v>3A</v>
      </c>
      <c r="Y183" t="str">
        <f>IFERROR(IF(INDEX(Spring!$1:$1048576,MATCH(All!$A183,Spring!$A:$A,FALSE),MATCH(All!Y$1,Spring!$1:$1,FALSE))="","",INDEX(Spring!$1:$1048576,MATCH(All!$A183,Spring!$A:$A,FALSE),MATCH(All!Y$1,Spring!$1:$1,FALSE))),"")</f>
        <v/>
      </c>
      <c r="Z183" t="str">
        <f>IFERROR(IF(INDEX(Spring!$1:$1048576,MATCH(All!$A183,Spring!$A:$A,FALSE),MATCH(All!Z$1,Spring!$1:$1,FALSE))="","",INDEX(Spring!$1:$1048576,MATCH(All!$A183,Spring!$A:$A,FALSE),MATCH(All!Z$1,Spring!$1:$1,FALSE))),"")</f>
        <v>2A</v>
      </c>
      <c r="AA183" t="str">
        <f>IFERROR(IF(INDEX(Spring!$1:$1048576,MATCH(All!$A183,Spring!$A:$A,FALSE),MATCH(All!AA$1,Spring!$1:$1,FALSE))="","",INDEX(Spring!$1:$1048576,MATCH(All!$A183,Spring!$A:$A,FALSE),MATCH(All!AA$1,Spring!$1:$1,FALSE))),"")</f>
        <v/>
      </c>
      <c r="AB183" t="str">
        <f>IFERROR(IF(INDEX(Spring!$1:$1048576,MATCH(All!$A183,Spring!$A:$A,FALSE),MATCH(All!AB$1,Spring!$1:$1,FALSE))="","",INDEX(Spring!$1:$1048576,MATCH(All!$A183,Spring!$A:$A,FALSE),MATCH(All!AB$1,Spring!$1:$1,FALSE))),"")</f>
        <v>3A</v>
      </c>
      <c r="AC183" t="str">
        <f>IFERROR(IF(INDEX(Spring!$1:$1048576,MATCH(All!$A183,Spring!$A:$A,FALSE),MATCH(All!AC$1,Spring!$1:$1,FALSE))="","",INDEX(Spring!$1:$1048576,MATCH(All!$A183,Spring!$A:$A,FALSE),MATCH(All!AC$1,Spring!$1:$1,FALSE))),"")</f>
        <v>3A</v>
      </c>
      <c r="AD183" t="str">
        <f>IFERROR(VLOOKUP(A183,'Flag Football'!A:A,1,FALSE),"")</f>
        <v>Chicago (Lake View)</v>
      </c>
      <c r="AE183" t="str">
        <f t="shared" si="2"/>
        <v>1A</v>
      </c>
    </row>
    <row r="184" spans="1:31" ht="15.75" thickBot="1" x14ac:dyDescent="0.3">
      <c r="A184" s="18" t="s">
        <v>226</v>
      </c>
      <c r="B184" s="38" t="str">
        <f>IFERROR(VLOOKUP(A184,'Public v Private'!A:G,3,FALSE),"")</f>
        <v>no</v>
      </c>
      <c r="C184" s="38">
        <f>IFERROR(VLOOKUP(A184,'Public v Private'!A:G,4,FALSE),"")</f>
        <v>0</v>
      </c>
      <c r="D184" s="38">
        <f>IFERROR(VLOOKUP(A184,'Public v Private'!A:G,5,FALSE),"")</f>
        <v>0</v>
      </c>
      <c r="E184" s="38"/>
      <c r="F184" s="40" t="str">
        <f>IFERROR(INDEX(Fall!$1:$1048576,MATCH(All!$A184,Fall!$A:$A,FALSE),MATCH(All!F$1,Fall!$1:$1,FALSE)),"N/A")</f>
        <v>4,376.00 (7,220.40)</v>
      </c>
      <c r="G184" t="str">
        <f>IFERROR(IF(INDEX(Fall!$1:$1048576,MATCH(All!$A184,Fall!$A:$A,FALSE),MATCH(All!G$1,Fall!$1:$1,FALSE))="","",INDEX(Fall!$1:$1048576,MATCH(All!$A184,Fall!$A:$A,FALSE),MATCH(All!G$1,Fall!$1:$1,FALSE))),"")</f>
        <v>3A</v>
      </c>
      <c r="H184" t="str">
        <f>IFERROR(IF(INDEX(Fall!$1:$1048576,MATCH(All!$A184,Fall!$A:$A,FALSE),MATCH(All!H$1,Fall!$1:$1,FALSE))="","",INDEX(Fall!$1:$1048576,MATCH(All!$A184,Fall!$A:$A,FALSE),MATCH(All!H$1,Fall!$1:$1,FALSE))),"")</f>
        <v>3A</v>
      </c>
      <c r="I184" t="str">
        <f>IFERROR(IF(INDEX(Fall!$1:$1048576,MATCH(All!$A184,Fall!$A:$A,FALSE),MATCH(All!I$1,Fall!$1:$1,FALSE))="","",INDEX(Fall!$1:$1048576,MATCH(All!$A184,Fall!$A:$A,FALSE),MATCH(All!I$1,Fall!$1:$1,FALSE))),"")</f>
        <v>3A</v>
      </c>
      <c r="J184" t="str">
        <f>IFERROR(IF(INDEX(Fall!$1:$1048576,MATCH(All!$A184,Fall!$A:$A,FALSE),MATCH(All!J$1,Fall!$1:$1,FALSE))="","",INDEX(Fall!$1:$1048576,MATCH(All!$A184,Fall!$A:$A,FALSE),MATCH(All!J$1,Fall!$1:$1,FALSE))),"")</f>
        <v>2A</v>
      </c>
      <c r="K184" t="str">
        <f>IFERROR(IF(INDEX(Fall!$1:$1048576,MATCH(All!$A184,Fall!$A:$A,FALSE),MATCH(All!K$1,Fall!$1:$1,FALSE))="","",INDEX(Fall!$1:$1048576,MATCH(All!$A184,Fall!$A:$A,FALSE),MATCH(All!K$1,Fall!$1:$1,FALSE))),"")</f>
        <v>3A</v>
      </c>
      <c r="L184" t="str">
        <f>IFERROR(IF(INDEX(Fall!$1:$1048576,MATCH(All!$A184,Fall!$A:$A,FALSE),MATCH(All!L$1,Fall!$1:$1,FALSE))="","",INDEX(Fall!$1:$1048576,MATCH(All!$A184,Fall!$A:$A,FALSE),MATCH(All!L$1,Fall!$1:$1,FALSE))),"")</f>
        <v>2A</v>
      </c>
      <c r="M184" t="str">
        <f>IFERROR(IF(INDEX(Fall!$1:$1048576,MATCH(All!$A184,Fall!$A:$A,FALSE),MATCH(All!M$1,Fall!$1:$1,FALSE))="","",INDEX(Fall!$1:$1048576,MATCH(All!$A184,Fall!$A:$A,FALSE),MATCH(All!M$1,Fall!$1:$1,FALSE))),"")</f>
        <v>4A</v>
      </c>
      <c r="O184" t="str">
        <f>IFERROR(IF(INDEX(Winter!$1:$1048576,MATCH(All!$A184,Winter!$A:$A,FALSE),MATCH(All!O$1,Winter!$1:$1,FALSE))="","",INDEX(Winter!$1:$1048576,MATCH(All!$A184,Winter!$A:$A,FALSE),MATCH(All!O$1,Winter!$1:$1,FALSE))),"")</f>
        <v>4,376.00 (7,220.40)</v>
      </c>
      <c r="P184" t="str">
        <f>IFERROR(IF(INDEX(Winter!$1:$1048576,MATCH(All!$A184,Winter!$A:$A,FALSE),MATCH(All!P$1,Winter!$1:$1,FALSE))="","",INDEX(Winter!$1:$1048576,MATCH(All!$A184,Winter!$A:$A,FALSE),MATCH(All!P$1,Winter!$1:$1,FALSE))),"")</f>
        <v>4A</v>
      </c>
      <c r="Q184" t="str">
        <f>IFERROR(IF(INDEX(Winter!$1:$1048576,MATCH(All!$A184,Winter!$A:$A,FALSE),MATCH(All!Q$1,Winter!$1:$1,FALSE))="","",INDEX(Winter!$1:$1048576,MATCH(All!$A184,Winter!$A:$A,FALSE),MATCH(All!Q$1,Winter!$1:$1,FALSE))),"")</f>
        <v>4A</v>
      </c>
      <c r="R184" t="str">
        <f>IFERROR(IF(INDEX(Winter!$1:$1048576,MATCH(All!$A184,Winter!$A:$A,FALSE),MATCH(All!R$1,Winter!$1:$1,FALSE))="","",INDEX(Winter!$1:$1048576,MATCH(All!$A184,Winter!$A:$A,FALSE),MATCH(All!R$1,Winter!$1:$1,FALSE))),"")</f>
        <v>3A</v>
      </c>
      <c r="S184" t="str">
        <f>IFERROR(IF(INDEX(Winter!$1:$1048576,MATCH(All!$A184,Winter!$A:$A,FALSE),MATCH(All!S$1,Winter!$1:$1,FALSE))="","",INDEX(Winter!$1:$1048576,MATCH(All!$A184,Winter!$A:$A,FALSE),MATCH(All!S$1,Winter!$1:$1,FALSE))),"")</f>
        <v>3A</v>
      </c>
      <c r="T184" t="str">
        <f>IFERROR(IF(INDEX(Winter!$1:$1048576,MATCH(All!$A184,Winter!$A:$A,FALSE),MATCH(All!T$1,Winter!$1:$1,FALSE))="","",INDEX(Winter!$1:$1048576,MATCH(All!$A184,Winter!$A:$A,FALSE),MATCH(All!T$1,Winter!$1:$1,FALSE))),"")</f>
        <v/>
      </c>
      <c r="U184" t="str">
        <f>IFERROR(IF(INDEX(Winter!$1:$1048576,MATCH(All!$A184,Winter!$A:$A,FALSE),MATCH(All!U$1,Winter!$1:$1,FALSE))="","",INDEX(Winter!$1:$1048576,MATCH(All!$A184,Winter!$A:$A,FALSE),MATCH(All!U$1,Winter!$1:$1,FALSE))),"")</f>
        <v>3A</v>
      </c>
      <c r="W184" t="str">
        <f>IFERROR(IF(INDEX(Spring!$1:$1048576,MATCH(All!$A184,Spring!$A:$A,FALSE),MATCH(All!W$1,Spring!$1:$1,FALSE))="","",INDEX(Spring!$1:$1048576,MATCH(All!$A184,Spring!$A:$A,FALSE),MATCH(All!W$1,Spring!$1:$1,FALSE))),"")</f>
        <v>4,376.00 (7,220.40)</v>
      </c>
      <c r="X184" t="str">
        <f>IFERROR(IF(INDEX(Spring!$1:$1048576,MATCH(All!$A184,Spring!$A:$A,FALSE),MATCH(All!X$1,Spring!$1:$1,FALSE))="","",INDEX(Spring!$1:$1048576,MATCH(All!$A184,Spring!$A:$A,FALSE),MATCH(All!X$1,Spring!$1:$1,FALSE))),"")</f>
        <v>4A</v>
      </c>
      <c r="Y184" t="str">
        <f>IFERROR(IF(INDEX(Spring!$1:$1048576,MATCH(All!$A184,Spring!$A:$A,FALSE),MATCH(All!Y$1,Spring!$1:$1,FALSE))="","",INDEX(Spring!$1:$1048576,MATCH(All!$A184,Spring!$A:$A,FALSE),MATCH(All!Y$1,Spring!$1:$1,FALSE))),"")</f>
        <v>4A</v>
      </c>
      <c r="Z184" t="str">
        <f>IFERROR(IF(INDEX(Spring!$1:$1048576,MATCH(All!$A184,Spring!$A:$A,FALSE),MATCH(All!Z$1,Spring!$1:$1,FALSE))="","",INDEX(Spring!$1:$1048576,MATCH(All!$A184,Spring!$A:$A,FALSE),MATCH(All!Z$1,Spring!$1:$1,FALSE))),"")</f>
        <v>3A</v>
      </c>
      <c r="AA184" t="str">
        <f>IFERROR(IF(INDEX(Spring!$1:$1048576,MATCH(All!$A184,Spring!$A:$A,FALSE),MATCH(All!AA$1,Spring!$1:$1,FALSE))="","",INDEX(Spring!$1:$1048576,MATCH(All!$A184,Spring!$A:$A,FALSE),MATCH(All!AA$1,Spring!$1:$1,FALSE))),"")</f>
        <v>2A</v>
      </c>
      <c r="AB184" t="str">
        <f>IFERROR(IF(INDEX(Spring!$1:$1048576,MATCH(All!$A184,Spring!$A:$A,FALSE),MATCH(All!AB$1,Spring!$1:$1,FALSE))="","",INDEX(Spring!$1:$1048576,MATCH(All!$A184,Spring!$A:$A,FALSE),MATCH(All!AB$1,Spring!$1:$1,FALSE))),"")</f>
        <v>3A</v>
      </c>
      <c r="AC184" t="str">
        <f>IFERROR(IF(INDEX(Spring!$1:$1048576,MATCH(All!$A184,Spring!$A:$A,FALSE),MATCH(All!AC$1,Spring!$1:$1,FALSE))="","",INDEX(Spring!$1:$1048576,MATCH(All!$A184,Spring!$A:$A,FALSE),MATCH(All!AC$1,Spring!$1:$1,FALSE))),"")</f>
        <v>3A</v>
      </c>
      <c r="AD184" t="str">
        <f>IFERROR(VLOOKUP(A184,'Flag Football'!A:A,1,FALSE),"")</f>
        <v>Chicago (Lane)</v>
      </c>
      <c r="AE184" t="str">
        <f t="shared" si="2"/>
        <v>1A</v>
      </c>
    </row>
    <row r="185" spans="1:31" ht="15.75" thickBot="1" x14ac:dyDescent="0.3">
      <c r="A185" s="20" t="s">
        <v>228</v>
      </c>
      <c r="B185" s="38" t="str">
        <f>IFERROR(VLOOKUP(A185,'Public v Private'!A:G,3,FALSE),"")</f>
        <v>private</v>
      </c>
      <c r="C185" s="38">
        <f>IFERROR(VLOOKUP(A185,'Public v Private'!A:G,4,FALSE),"")</f>
        <v>1</v>
      </c>
      <c r="D185" s="38">
        <f>IFERROR(VLOOKUP(A185,'Public v Private'!A:G,5,FALSE),"")</f>
        <v>1</v>
      </c>
      <c r="E185" s="38"/>
      <c r="F185" s="40" t="str">
        <f>IFERROR(INDEX(Fall!$1:$1048576,MATCH(All!$A185,Fall!$A:$A,FALSE),MATCH(All!F$1,Fall!$1:$1,FALSE)),"N/A")</f>
        <v>508.00 (838.20)</v>
      </c>
      <c r="G185" t="str">
        <f>IFERROR(IF(INDEX(Fall!$1:$1048576,MATCH(All!$A185,Fall!$A:$A,FALSE),MATCH(All!G$1,Fall!$1:$1,FALSE))="","",INDEX(Fall!$1:$1048576,MATCH(All!$A185,Fall!$A:$A,FALSE),MATCH(All!G$1,Fall!$1:$1,FALSE))),"")</f>
        <v>2A</v>
      </c>
      <c r="H185" t="str">
        <f>IFERROR(IF(INDEX(Fall!$1:$1048576,MATCH(All!$A185,Fall!$A:$A,FALSE),MATCH(All!H$1,Fall!$1:$1,FALSE))="","",INDEX(Fall!$1:$1048576,MATCH(All!$A185,Fall!$A:$A,FALSE),MATCH(All!H$1,Fall!$1:$1,FALSE))),"")</f>
        <v>2A</v>
      </c>
      <c r="I185" t="str">
        <f>IFERROR(IF(INDEX(Fall!$1:$1048576,MATCH(All!$A185,Fall!$A:$A,FALSE),MATCH(All!I$1,Fall!$1:$1,FALSE))="","",INDEX(Fall!$1:$1048576,MATCH(All!$A185,Fall!$A:$A,FALSE),MATCH(All!I$1,Fall!$1:$1,FALSE))),"")</f>
        <v>2A</v>
      </c>
      <c r="J185" t="str">
        <f>IFERROR(IF(INDEX(Fall!$1:$1048576,MATCH(All!$A185,Fall!$A:$A,FALSE),MATCH(All!J$1,Fall!$1:$1,FALSE))="","",INDEX(Fall!$1:$1048576,MATCH(All!$A185,Fall!$A:$A,FALSE),MATCH(All!J$1,Fall!$1:$1,FALSE))),"")</f>
        <v>1A</v>
      </c>
      <c r="K185" t="str">
        <f>IFERROR(IF(INDEX(Fall!$1:$1048576,MATCH(All!$A185,Fall!$A:$A,FALSE),MATCH(All!K$1,Fall!$1:$1,FALSE))="","",INDEX(Fall!$1:$1048576,MATCH(All!$A185,Fall!$A:$A,FALSE),MATCH(All!K$1,Fall!$1:$1,FALSE))),"")</f>
        <v>2A</v>
      </c>
      <c r="L185" t="str">
        <f>IFERROR(IF(INDEX(Fall!$1:$1048576,MATCH(All!$A185,Fall!$A:$A,FALSE),MATCH(All!L$1,Fall!$1:$1,FALSE))="","",INDEX(Fall!$1:$1048576,MATCH(All!$A185,Fall!$A:$A,FALSE),MATCH(All!L$1,Fall!$1:$1,FALSE))),"")</f>
        <v>1A</v>
      </c>
      <c r="M185" t="str">
        <f>IFERROR(IF(INDEX(Fall!$1:$1048576,MATCH(All!$A185,Fall!$A:$A,FALSE),MATCH(All!M$1,Fall!$1:$1,FALSE))="","",INDEX(Fall!$1:$1048576,MATCH(All!$A185,Fall!$A:$A,FALSE),MATCH(All!M$1,Fall!$1:$1,FALSE))),"")</f>
        <v>3A</v>
      </c>
      <c r="O185" t="str">
        <f>IFERROR(IF(INDEX(Winter!$1:$1048576,MATCH(All!$A185,Winter!$A:$A,FALSE),MATCH(All!O$1,Winter!$1:$1,FALSE))="","",INDEX(Winter!$1:$1048576,MATCH(All!$A185,Winter!$A:$A,FALSE),MATCH(All!O$1,Winter!$1:$1,FALSE))),"")</f>
        <v>508.00 (838.20)</v>
      </c>
      <c r="P185" t="str">
        <f>IFERROR(IF(INDEX(Winter!$1:$1048576,MATCH(All!$A185,Winter!$A:$A,FALSE),MATCH(All!P$1,Winter!$1:$1,FALSE))="","",INDEX(Winter!$1:$1048576,MATCH(All!$A185,Winter!$A:$A,FALSE),MATCH(All!P$1,Winter!$1:$1,FALSE))),"")</f>
        <v>3A</v>
      </c>
      <c r="Q185" t="str">
        <f>IFERROR(IF(INDEX(Winter!$1:$1048576,MATCH(All!$A185,Winter!$A:$A,FALSE),MATCH(All!Q$1,Winter!$1:$1,FALSE))="","",INDEX(Winter!$1:$1048576,MATCH(All!$A185,Winter!$A:$A,FALSE),MATCH(All!Q$1,Winter!$1:$1,FALSE))),"")</f>
        <v>3A</v>
      </c>
      <c r="R185" t="str">
        <f>IFERROR(IF(INDEX(Winter!$1:$1048576,MATCH(All!$A185,Winter!$A:$A,FALSE),MATCH(All!R$1,Winter!$1:$1,FALSE))="","",INDEX(Winter!$1:$1048576,MATCH(All!$A185,Winter!$A:$A,FALSE),MATCH(All!R$1,Winter!$1:$1,FALSE))),"")</f>
        <v/>
      </c>
      <c r="S185" t="str">
        <f>IFERROR(IF(INDEX(Winter!$1:$1048576,MATCH(All!$A185,Winter!$A:$A,FALSE),MATCH(All!S$1,Winter!$1:$1,FALSE))="","",INDEX(Winter!$1:$1048576,MATCH(All!$A185,Winter!$A:$A,FALSE),MATCH(All!S$1,Winter!$1:$1,FALSE))),"")</f>
        <v/>
      </c>
      <c r="T185" t="str">
        <f>IFERROR(IF(INDEX(Winter!$1:$1048576,MATCH(All!$A185,Winter!$A:$A,FALSE),MATCH(All!T$1,Winter!$1:$1,FALSE))="","",INDEX(Winter!$1:$1048576,MATCH(All!$A185,Winter!$A:$A,FALSE),MATCH(All!T$1,Winter!$1:$1,FALSE))),"")</f>
        <v/>
      </c>
      <c r="U185" t="str">
        <f>IFERROR(IF(INDEX(Winter!$1:$1048576,MATCH(All!$A185,Winter!$A:$A,FALSE),MATCH(All!U$1,Winter!$1:$1,FALSE))="","",INDEX(Winter!$1:$1048576,MATCH(All!$A185,Winter!$A:$A,FALSE),MATCH(All!U$1,Winter!$1:$1,FALSE))),"")</f>
        <v/>
      </c>
      <c r="W185" t="str">
        <f>IFERROR(IF(INDEX(Spring!$1:$1048576,MATCH(All!$A185,Spring!$A:$A,FALSE),MATCH(All!W$1,Spring!$1:$1,FALSE))="","",INDEX(Spring!$1:$1048576,MATCH(All!$A185,Spring!$A:$A,FALSE),MATCH(All!W$1,Spring!$1:$1,FALSE))),"")</f>
        <v>508.00 (838.20)</v>
      </c>
      <c r="X185" t="str">
        <f>IFERROR(IF(INDEX(Spring!$1:$1048576,MATCH(All!$A185,Spring!$A:$A,FALSE),MATCH(All!X$1,Spring!$1:$1,FALSE))="","",INDEX(Spring!$1:$1048576,MATCH(All!$A185,Spring!$A:$A,FALSE),MATCH(All!X$1,Spring!$1:$1,FALSE))),"")</f>
        <v>3A</v>
      </c>
      <c r="Y185" t="str">
        <f>IFERROR(IF(INDEX(Spring!$1:$1048576,MATCH(All!$A185,Spring!$A:$A,FALSE),MATCH(All!Y$1,Spring!$1:$1,FALSE))="","",INDEX(Spring!$1:$1048576,MATCH(All!$A185,Spring!$A:$A,FALSE),MATCH(All!Y$1,Spring!$1:$1,FALSE))),"")</f>
        <v>2A</v>
      </c>
      <c r="Z185" t="str">
        <f>IFERROR(IF(INDEX(Spring!$1:$1048576,MATCH(All!$A185,Spring!$A:$A,FALSE),MATCH(All!Z$1,Spring!$1:$1,FALSE))="","",INDEX(Spring!$1:$1048576,MATCH(All!$A185,Spring!$A:$A,FALSE),MATCH(All!Z$1,Spring!$1:$1,FALSE))),"")</f>
        <v>2A</v>
      </c>
      <c r="AA185" t="str">
        <f>IFERROR(IF(INDEX(Spring!$1:$1048576,MATCH(All!$A185,Spring!$A:$A,FALSE),MATCH(All!AA$1,Spring!$1:$1,FALSE))="","",INDEX(Spring!$1:$1048576,MATCH(All!$A185,Spring!$A:$A,FALSE),MATCH(All!AA$1,Spring!$1:$1,FALSE))),"")</f>
        <v>1A</v>
      </c>
      <c r="AB185" t="str">
        <f>IFERROR(IF(INDEX(Spring!$1:$1048576,MATCH(All!$A185,Spring!$A:$A,FALSE),MATCH(All!AB$1,Spring!$1:$1,FALSE))="","",INDEX(Spring!$1:$1048576,MATCH(All!$A185,Spring!$A:$A,FALSE),MATCH(All!AB$1,Spring!$1:$1,FALSE))),"")</f>
        <v>2A</v>
      </c>
      <c r="AC185" t="str">
        <f>IFERROR(IF(INDEX(Spring!$1:$1048576,MATCH(All!$A185,Spring!$A:$A,FALSE),MATCH(All!AC$1,Spring!$1:$1,FALSE))="","",INDEX(Spring!$1:$1048576,MATCH(All!$A185,Spring!$A:$A,FALSE),MATCH(All!AC$1,Spring!$1:$1,FALSE))),"")</f>
        <v>2A</v>
      </c>
      <c r="AD185" t="str">
        <f>IFERROR(VLOOKUP(A185,'Flag Football'!A:A,1,FALSE),"")</f>
        <v/>
      </c>
      <c r="AE185" t="str">
        <f t="shared" si="2"/>
        <v/>
      </c>
    </row>
    <row r="186" spans="1:31" ht="15.75" thickBot="1" x14ac:dyDescent="0.3">
      <c r="A186" s="18" t="s">
        <v>929</v>
      </c>
      <c r="B186" s="38" t="str">
        <f>IFERROR(VLOOKUP(A186,'Public v Private'!A:G,3,FALSE),"")</f>
        <v>?</v>
      </c>
      <c r="C186" s="38">
        <f>IFERROR(VLOOKUP(A186,'Public v Private'!A:G,4,FALSE),"")</f>
        <v>0</v>
      </c>
      <c r="D186" s="38">
        <f>IFERROR(VLOOKUP(A186,'Public v Private'!A:G,5,FALSE),"")</f>
        <v>0</v>
      </c>
      <c r="E186" s="38"/>
      <c r="F186" s="40" t="str">
        <f>IFERROR(INDEX(Fall!$1:$1048576,MATCH(All!$A186,Fall!$A:$A,FALSE),MATCH(All!F$1,Fall!$1:$1,FALSE)),"N/A")</f>
        <v>N/A</v>
      </c>
      <c r="G186" t="str">
        <f>IFERROR(IF(INDEX(Fall!$1:$1048576,MATCH(All!$A186,Fall!$A:$A,FALSE),MATCH(All!G$1,Fall!$1:$1,FALSE))="","",INDEX(Fall!$1:$1048576,MATCH(All!$A186,Fall!$A:$A,FALSE),MATCH(All!G$1,Fall!$1:$1,FALSE))),"")</f>
        <v/>
      </c>
      <c r="H186" t="str">
        <f>IFERROR(IF(INDEX(Fall!$1:$1048576,MATCH(All!$A186,Fall!$A:$A,FALSE),MATCH(All!H$1,Fall!$1:$1,FALSE))="","",INDEX(Fall!$1:$1048576,MATCH(All!$A186,Fall!$A:$A,FALSE),MATCH(All!H$1,Fall!$1:$1,FALSE))),"")</f>
        <v/>
      </c>
      <c r="I186" t="str">
        <f>IFERROR(IF(INDEX(Fall!$1:$1048576,MATCH(All!$A186,Fall!$A:$A,FALSE),MATCH(All!I$1,Fall!$1:$1,FALSE))="","",INDEX(Fall!$1:$1048576,MATCH(All!$A186,Fall!$A:$A,FALSE),MATCH(All!I$1,Fall!$1:$1,FALSE))),"")</f>
        <v/>
      </c>
      <c r="J186" t="str">
        <f>IFERROR(IF(INDEX(Fall!$1:$1048576,MATCH(All!$A186,Fall!$A:$A,FALSE),MATCH(All!J$1,Fall!$1:$1,FALSE))="","",INDEX(Fall!$1:$1048576,MATCH(All!$A186,Fall!$A:$A,FALSE),MATCH(All!J$1,Fall!$1:$1,FALSE))),"")</f>
        <v/>
      </c>
      <c r="K186" t="str">
        <f>IFERROR(IF(INDEX(Fall!$1:$1048576,MATCH(All!$A186,Fall!$A:$A,FALSE),MATCH(All!K$1,Fall!$1:$1,FALSE))="","",INDEX(Fall!$1:$1048576,MATCH(All!$A186,Fall!$A:$A,FALSE),MATCH(All!K$1,Fall!$1:$1,FALSE))),"")</f>
        <v/>
      </c>
      <c r="L186" t="str">
        <f>IFERROR(IF(INDEX(Fall!$1:$1048576,MATCH(All!$A186,Fall!$A:$A,FALSE),MATCH(All!L$1,Fall!$1:$1,FALSE))="","",INDEX(Fall!$1:$1048576,MATCH(All!$A186,Fall!$A:$A,FALSE),MATCH(All!L$1,Fall!$1:$1,FALSE))),"")</f>
        <v/>
      </c>
      <c r="M186" t="str">
        <f>IFERROR(IF(INDEX(Fall!$1:$1048576,MATCH(All!$A186,Fall!$A:$A,FALSE),MATCH(All!M$1,Fall!$1:$1,FALSE))="","",INDEX(Fall!$1:$1048576,MATCH(All!$A186,Fall!$A:$A,FALSE),MATCH(All!M$1,Fall!$1:$1,FALSE))),"")</f>
        <v/>
      </c>
      <c r="O186" t="str">
        <f>IFERROR(IF(INDEX(Winter!$1:$1048576,MATCH(All!$A186,Winter!$A:$A,FALSE),MATCH(All!O$1,Winter!$1:$1,FALSE))="","",INDEX(Winter!$1:$1048576,MATCH(All!$A186,Winter!$A:$A,FALSE),MATCH(All!O$1,Winter!$1:$1,FALSE))),"")</f>
        <v>209.00 (344.85)</v>
      </c>
      <c r="P186" t="str">
        <f>IFERROR(IF(INDEX(Winter!$1:$1048576,MATCH(All!$A186,Winter!$A:$A,FALSE),MATCH(All!P$1,Winter!$1:$1,FALSE))="","",INDEX(Winter!$1:$1048576,MATCH(All!$A186,Winter!$A:$A,FALSE),MATCH(All!P$1,Winter!$1:$1,FALSE))),"")</f>
        <v>2A</v>
      </c>
      <c r="Q186" t="str">
        <f>IFERROR(IF(INDEX(Winter!$1:$1048576,MATCH(All!$A186,Winter!$A:$A,FALSE),MATCH(All!Q$1,Winter!$1:$1,FALSE))="","",INDEX(Winter!$1:$1048576,MATCH(All!$A186,Winter!$A:$A,FALSE),MATCH(All!Q$1,Winter!$1:$1,FALSE))),"")</f>
        <v/>
      </c>
      <c r="R186" t="str">
        <f>IFERROR(IF(INDEX(Winter!$1:$1048576,MATCH(All!$A186,Winter!$A:$A,FALSE),MATCH(All!R$1,Winter!$1:$1,FALSE))="","",INDEX(Winter!$1:$1048576,MATCH(All!$A186,Winter!$A:$A,FALSE),MATCH(All!R$1,Winter!$1:$1,FALSE))),"")</f>
        <v/>
      </c>
      <c r="S186" t="str">
        <f>IFERROR(IF(INDEX(Winter!$1:$1048576,MATCH(All!$A186,Winter!$A:$A,FALSE),MATCH(All!S$1,Winter!$1:$1,FALSE))="","",INDEX(Winter!$1:$1048576,MATCH(All!$A186,Winter!$A:$A,FALSE),MATCH(All!S$1,Winter!$1:$1,FALSE))),"")</f>
        <v/>
      </c>
      <c r="T186" t="str">
        <f>IFERROR(IF(INDEX(Winter!$1:$1048576,MATCH(All!$A186,Winter!$A:$A,FALSE),MATCH(All!T$1,Winter!$1:$1,FALSE))="","",INDEX(Winter!$1:$1048576,MATCH(All!$A186,Winter!$A:$A,FALSE),MATCH(All!T$1,Winter!$1:$1,FALSE))),"")</f>
        <v/>
      </c>
      <c r="U186" t="str">
        <f>IFERROR(IF(INDEX(Winter!$1:$1048576,MATCH(All!$A186,Winter!$A:$A,FALSE),MATCH(All!U$1,Winter!$1:$1,FALSE))="","",INDEX(Winter!$1:$1048576,MATCH(All!$A186,Winter!$A:$A,FALSE),MATCH(All!U$1,Winter!$1:$1,FALSE))),"")</f>
        <v/>
      </c>
      <c r="W186" t="str">
        <f>IFERROR(IF(INDEX(Spring!$1:$1048576,MATCH(All!$A186,Spring!$A:$A,FALSE),MATCH(All!W$1,Spring!$1:$1,FALSE))="","",INDEX(Spring!$1:$1048576,MATCH(All!$A186,Spring!$A:$A,FALSE),MATCH(All!W$1,Spring!$1:$1,FALSE))),"")</f>
        <v/>
      </c>
      <c r="X186" t="str">
        <f>IFERROR(IF(INDEX(Spring!$1:$1048576,MATCH(All!$A186,Spring!$A:$A,FALSE),MATCH(All!X$1,Spring!$1:$1,FALSE))="","",INDEX(Spring!$1:$1048576,MATCH(All!$A186,Spring!$A:$A,FALSE),MATCH(All!X$1,Spring!$1:$1,FALSE))),"")</f>
        <v/>
      </c>
      <c r="Y186" t="str">
        <f>IFERROR(IF(INDEX(Spring!$1:$1048576,MATCH(All!$A186,Spring!$A:$A,FALSE),MATCH(All!Y$1,Spring!$1:$1,FALSE))="","",INDEX(Spring!$1:$1048576,MATCH(All!$A186,Spring!$A:$A,FALSE),MATCH(All!Y$1,Spring!$1:$1,FALSE))),"")</f>
        <v/>
      </c>
      <c r="Z186" t="str">
        <f>IFERROR(IF(INDEX(Spring!$1:$1048576,MATCH(All!$A186,Spring!$A:$A,FALSE),MATCH(All!Z$1,Spring!$1:$1,FALSE))="","",INDEX(Spring!$1:$1048576,MATCH(All!$A186,Spring!$A:$A,FALSE),MATCH(All!Z$1,Spring!$1:$1,FALSE))),"")</f>
        <v/>
      </c>
      <c r="AA186" t="str">
        <f>IFERROR(IF(INDEX(Spring!$1:$1048576,MATCH(All!$A186,Spring!$A:$A,FALSE),MATCH(All!AA$1,Spring!$1:$1,FALSE))="","",INDEX(Spring!$1:$1048576,MATCH(All!$A186,Spring!$A:$A,FALSE),MATCH(All!AA$1,Spring!$1:$1,FALSE))),"")</f>
        <v/>
      </c>
      <c r="AB186" t="str">
        <f>IFERROR(IF(INDEX(Spring!$1:$1048576,MATCH(All!$A186,Spring!$A:$A,FALSE),MATCH(All!AB$1,Spring!$1:$1,FALSE))="","",INDEX(Spring!$1:$1048576,MATCH(All!$A186,Spring!$A:$A,FALSE),MATCH(All!AB$1,Spring!$1:$1,FALSE))),"")</f>
        <v/>
      </c>
      <c r="AC186" t="str">
        <f>IFERROR(IF(INDEX(Spring!$1:$1048576,MATCH(All!$A186,Spring!$A:$A,FALSE),MATCH(All!AC$1,Spring!$1:$1,FALSE))="","",INDEX(Spring!$1:$1048576,MATCH(All!$A186,Spring!$A:$A,FALSE),MATCH(All!AC$1,Spring!$1:$1,FALSE))),"")</f>
        <v/>
      </c>
      <c r="AD186" t="str">
        <f>IFERROR(VLOOKUP(A186,'Flag Football'!A:A,1,FALSE),"")</f>
        <v/>
      </c>
      <c r="AE186" t="str">
        <f t="shared" si="2"/>
        <v/>
      </c>
    </row>
    <row r="187" spans="1:31" ht="15.75" thickBot="1" x14ac:dyDescent="0.3">
      <c r="A187" s="18" t="s">
        <v>230</v>
      </c>
      <c r="B187" s="38" t="str">
        <f>IFERROR(VLOOKUP(A187,'Public v Private'!A:G,3,FALSE),"")</f>
        <v>private</v>
      </c>
      <c r="C187" s="38">
        <f>IFERROR(VLOOKUP(A187,'Public v Private'!A:G,4,FALSE),"")</f>
        <v>1</v>
      </c>
      <c r="D187" s="38">
        <f>IFERROR(VLOOKUP(A187,'Public v Private'!A:G,5,FALSE),"")</f>
        <v>3</v>
      </c>
      <c r="E187" s="38"/>
      <c r="F187" s="40" t="str">
        <f>IFERROR(INDEX(Fall!$1:$1048576,MATCH(All!$A187,Fall!$A:$A,FALSE),MATCH(All!F$1,Fall!$1:$1,FALSE)),"N/A")</f>
        <v>480.00 (792.00)</v>
      </c>
      <c r="G187" t="str">
        <f>IFERROR(IF(INDEX(Fall!$1:$1048576,MATCH(All!$A187,Fall!$A:$A,FALSE),MATCH(All!G$1,Fall!$1:$1,FALSE))="","",INDEX(Fall!$1:$1048576,MATCH(All!$A187,Fall!$A:$A,FALSE),MATCH(All!G$1,Fall!$1:$1,FALSE))),"")</f>
        <v>1A</v>
      </c>
      <c r="H187" t="str">
        <f>IFERROR(IF(INDEX(Fall!$1:$1048576,MATCH(All!$A187,Fall!$A:$A,FALSE),MATCH(All!H$1,Fall!$1:$1,FALSE))="","",INDEX(Fall!$1:$1048576,MATCH(All!$A187,Fall!$A:$A,FALSE),MATCH(All!H$1,Fall!$1:$1,FALSE))),"")</f>
        <v/>
      </c>
      <c r="I187" t="str">
        <f>IFERROR(IF(INDEX(Fall!$1:$1048576,MATCH(All!$A187,Fall!$A:$A,FALSE),MATCH(All!I$1,Fall!$1:$1,FALSE))="","",INDEX(Fall!$1:$1048576,MATCH(All!$A187,Fall!$A:$A,FALSE),MATCH(All!I$1,Fall!$1:$1,FALSE))),"")</f>
        <v/>
      </c>
      <c r="J187" t="str">
        <f>IFERROR(IF(INDEX(Fall!$1:$1048576,MATCH(All!$A187,Fall!$A:$A,FALSE),MATCH(All!J$1,Fall!$1:$1,FALSE))="","",INDEX(Fall!$1:$1048576,MATCH(All!$A187,Fall!$A:$A,FALSE),MATCH(All!J$1,Fall!$1:$1,FALSE))),"")</f>
        <v/>
      </c>
      <c r="K187" t="str">
        <f>IFERROR(IF(INDEX(Fall!$1:$1048576,MATCH(All!$A187,Fall!$A:$A,FALSE),MATCH(All!K$1,Fall!$1:$1,FALSE))="","",INDEX(Fall!$1:$1048576,MATCH(All!$A187,Fall!$A:$A,FALSE),MATCH(All!K$1,Fall!$1:$1,FALSE))),"")</f>
        <v/>
      </c>
      <c r="L187" t="str">
        <f>IFERROR(IF(INDEX(Fall!$1:$1048576,MATCH(All!$A187,Fall!$A:$A,FALSE),MATCH(All!L$1,Fall!$1:$1,FALSE))="","",INDEX(Fall!$1:$1048576,MATCH(All!$A187,Fall!$A:$A,FALSE),MATCH(All!L$1,Fall!$1:$1,FALSE))),"")</f>
        <v/>
      </c>
      <c r="M187" t="str">
        <f>IFERROR(IF(INDEX(Fall!$1:$1048576,MATCH(All!$A187,Fall!$A:$A,FALSE),MATCH(All!M$1,Fall!$1:$1,FALSE))="","",INDEX(Fall!$1:$1048576,MATCH(All!$A187,Fall!$A:$A,FALSE),MATCH(All!M$1,Fall!$1:$1,FALSE))),"")</f>
        <v/>
      </c>
      <c r="O187" t="str">
        <f>IFERROR(IF(INDEX(Winter!$1:$1048576,MATCH(All!$A187,Winter!$A:$A,FALSE),MATCH(All!O$1,Winter!$1:$1,FALSE))="","",INDEX(Winter!$1:$1048576,MATCH(All!$A187,Winter!$A:$A,FALSE),MATCH(All!O$1,Winter!$1:$1,FALSE))),"")</f>
        <v>480.00 (792.00)</v>
      </c>
      <c r="P187" t="str">
        <f>IFERROR(IF(INDEX(Winter!$1:$1048576,MATCH(All!$A187,Winter!$A:$A,FALSE),MATCH(All!P$1,Winter!$1:$1,FALSE))="","",INDEX(Winter!$1:$1048576,MATCH(All!$A187,Winter!$A:$A,FALSE),MATCH(All!P$1,Winter!$1:$1,FALSE))),"")</f>
        <v>3A</v>
      </c>
      <c r="Q187" t="str">
        <f>IFERROR(IF(INDEX(Winter!$1:$1048576,MATCH(All!$A187,Winter!$A:$A,FALSE),MATCH(All!Q$1,Winter!$1:$1,FALSE))="","",INDEX(Winter!$1:$1048576,MATCH(All!$A187,Winter!$A:$A,FALSE),MATCH(All!Q$1,Winter!$1:$1,FALSE))),"")</f>
        <v/>
      </c>
      <c r="R187" t="str">
        <f>IFERROR(IF(INDEX(Winter!$1:$1048576,MATCH(All!$A187,Winter!$A:$A,FALSE),MATCH(All!R$1,Winter!$1:$1,FALSE))="","",INDEX(Winter!$1:$1048576,MATCH(All!$A187,Winter!$A:$A,FALSE),MATCH(All!R$1,Winter!$1:$1,FALSE))),"")</f>
        <v/>
      </c>
      <c r="S187" t="str">
        <f>IFERROR(IF(INDEX(Winter!$1:$1048576,MATCH(All!$A187,Winter!$A:$A,FALSE),MATCH(All!S$1,Winter!$1:$1,FALSE))="","",INDEX(Winter!$1:$1048576,MATCH(All!$A187,Winter!$A:$A,FALSE),MATCH(All!S$1,Winter!$1:$1,FALSE))),"")</f>
        <v/>
      </c>
      <c r="T187" t="str">
        <f>IFERROR(IF(INDEX(Winter!$1:$1048576,MATCH(All!$A187,Winter!$A:$A,FALSE),MATCH(All!T$1,Winter!$1:$1,FALSE))="","",INDEX(Winter!$1:$1048576,MATCH(All!$A187,Winter!$A:$A,FALSE),MATCH(All!T$1,Winter!$1:$1,FALSE))),"")</f>
        <v>2A</v>
      </c>
      <c r="U187" t="str">
        <f>IFERROR(IF(INDEX(Winter!$1:$1048576,MATCH(All!$A187,Winter!$A:$A,FALSE),MATCH(All!U$1,Winter!$1:$1,FALSE))="","",INDEX(Winter!$1:$1048576,MATCH(All!$A187,Winter!$A:$A,FALSE),MATCH(All!U$1,Winter!$1:$1,FALSE))),"")</f>
        <v>1A</v>
      </c>
      <c r="W187" t="str">
        <f>IFERROR(IF(INDEX(Spring!$1:$1048576,MATCH(All!$A187,Spring!$A:$A,FALSE),MATCH(All!W$1,Spring!$1:$1,FALSE))="","",INDEX(Spring!$1:$1048576,MATCH(All!$A187,Spring!$A:$A,FALSE),MATCH(All!W$1,Spring!$1:$1,FALSE))),"")</f>
        <v>480.00 (792.00)</v>
      </c>
      <c r="X187" t="str">
        <f>IFERROR(IF(INDEX(Spring!$1:$1048576,MATCH(All!$A187,Spring!$A:$A,FALSE),MATCH(All!X$1,Spring!$1:$1,FALSE))="","",INDEX(Spring!$1:$1048576,MATCH(All!$A187,Spring!$A:$A,FALSE),MATCH(All!X$1,Spring!$1:$1,FALSE))),"")</f>
        <v>3A</v>
      </c>
      <c r="Y187" t="str">
        <f>IFERROR(IF(INDEX(Spring!$1:$1048576,MATCH(All!$A187,Spring!$A:$A,FALSE),MATCH(All!Y$1,Spring!$1:$1,FALSE))="","",INDEX(Spring!$1:$1048576,MATCH(All!$A187,Spring!$A:$A,FALSE),MATCH(All!Y$1,Spring!$1:$1,FALSE))),"")</f>
        <v/>
      </c>
      <c r="Z187" t="str">
        <f>IFERROR(IF(INDEX(Spring!$1:$1048576,MATCH(All!$A187,Spring!$A:$A,FALSE),MATCH(All!Z$1,Spring!$1:$1,FALSE))="","",INDEX(Spring!$1:$1048576,MATCH(All!$A187,Spring!$A:$A,FALSE),MATCH(All!Z$1,Spring!$1:$1,FALSE))),"")</f>
        <v/>
      </c>
      <c r="AA187" t="str">
        <f>IFERROR(IF(INDEX(Spring!$1:$1048576,MATCH(All!$A187,Spring!$A:$A,FALSE),MATCH(All!AA$1,Spring!$1:$1,FALSE))="","",INDEX(Spring!$1:$1048576,MATCH(All!$A187,Spring!$A:$A,FALSE),MATCH(All!AA$1,Spring!$1:$1,FALSE))),"")</f>
        <v/>
      </c>
      <c r="AB187" t="str">
        <f>IFERROR(IF(INDEX(Spring!$1:$1048576,MATCH(All!$A187,Spring!$A:$A,FALSE),MATCH(All!AB$1,Spring!$1:$1,FALSE))="","",INDEX(Spring!$1:$1048576,MATCH(All!$A187,Spring!$A:$A,FALSE),MATCH(All!AB$1,Spring!$1:$1,FALSE))),"")</f>
        <v>2A</v>
      </c>
      <c r="AC187" t="str">
        <f>IFERROR(IF(INDEX(Spring!$1:$1048576,MATCH(All!$A187,Spring!$A:$A,FALSE),MATCH(All!AC$1,Spring!$1:$1,FALSE))="","",INDEX(Spring!$1:$1048576,MATCH(All!$A187,Spring!$A:$A,FALSE),MATCH(All!AC$1,Spring!$1:$1,FALSE))),"")</f>
        <v/>
      </c>
      <c r="AD187" t="str">
        <f>IFERROR(VLOOKUP(A187,'Flag Football'!A:A,1,FALSE),"")</f>
        <v/>
      </c>
      <c r="AE187" t="str">
        <f t="shared" si="2"/>
        <v/>
      </c>
    </row>
    <row r="188" spans="1:31" ht="15.75" thickBot="1" x14ac:dyDescent="0.3">
      <c r="A188" s="20" t="s">
        <v>232</v>
      </c>
      <c r="B188" s="38">
        <f>IFERROR(VLOOKUP(A188,'Public v Private'!A:G,3,FALSE),"")</f>
        <v>0</v>
      </c>
      <c r="C188" s="38">
        <f>IFERROR(VLOOKUP(A188,'Public v Private'!A:G,4,FALSE),"")</f>
        <v>0</v>
      </c>
      <c r="D188" s="38">
        <f>IFERROR(VLOOKUP(A188,'Public v Private'!A:G,5,FALSE),"")</f>
        <v>0</v>
      </c>
      <c r="E188" s="38"/>
      <c r="F188" s="40">
        <f>IFERROR(INDEX(Fall!$1:$1048576,MATCH(All!$A188,Fall!$A:$A,FALSE),MATCH(All!F$1,Fall!$1:$1,FALSE)),"N/A")</f>
        <v>2178</v>
      </c>
      <c r="G188" t="str">
        <f>IFERROR(IF(INDEX(Fall!$1:$1048576,MATCH(All!$A188,Fall!$A:$A,FALSE),MATCH(All!G$1,Fall!$1:$1,FALSE))="","",INDEX(Fall!$1:$1048576,MATCH(All!$A188,Fall!$A:$A,FALSE),MATCH(All!G$1,Fall!$1:$1,FALSE))),"")</f>
        <v>3A</v>
      </c>
      <c r="H188" t="str">
        <f>IFERROR(IF(INDEX(Fall!$1:$1048576,MATCH(All!$A188,Fall!$A:$A,FALSE),MATCH(All!H$1,Fall!$1:$1,FALSE))="","",INDEX(Fall!$1:$1048576,MATCH(All!$A188,Fall!$A:$A,FALSE),MATCH(All!H$1,Fall!$1:$1,FALSE))),"")</f>
        <v>3A</v>
      </c>
      <c r="I188" t="str">
        <f>IFERROR(IF(INDEX(Fall!$1:$1048576,MATCH(All!$A188,Fall!$A:$A,FALSE),MATCH(All!I$1,Fall!$1:$1,FALSE))="","",INDEX(Fall!$1:$1048576,MATCH(All!$A188,Fall!$A:$A,FALSE),MATCH(All!I$1,Fall!$1:$1,FALSE))),"")</f>
        <v>3A</v>
      </c>
      <c r="J188" t="str">
        <f>IFERROR(IF(INDEX(Fall!$1:$1048576,MATCH(All!$A188,Fall!$A:$A,FALSE),MATCH(All!J$1,Fall!$1:$1,FALSE))="","",INDEX(Fall!$1:$1048576,MATCH(All!$A188,Fall!$A:$A,FALSE),MATCH(All!J$1,Fall!$1:$1,FALSE))),"")</f>
        <v>2A</v>
      </c>
      <c r="K188" t="str">
        <f>IFERROR(IF(INDEX(Fall!$1:$1048576,MATCH(All!$A188,Fall!$A:$A,FALSE),MATCH(All!K$1,Fall!$1:$1,FALSE))="","",INDEX(Fall!$1:$1048576,MATCH(All!$A188,Fall!$A:$A,FALSE),MATCH(All!K$1,Fall!$1:$1,FALSE))),"")</f>
        <v>3A</v>
      </c>
      <c r="L188" t="str">
        <f>IFERROR(IF(INDEX(Fall!$1:$1048576,MATCH(All!$A188,Fall!$A:$A,FALSE),MATCH(All!L$1,Fall!$1:$1,FALSE))="","",INDEX(Fall!$1:$1048576,MATCH(All!$A188,Fall!$A:$A,FALSE),MATCH(All!L$1,Fall!$1:$1,FALSE))),"")</f>
        <v>2A</v>
      </c>
      <c r="M188" t="str">
        <f>IFERROR(IF(INDEX(Fall!$1:$1048576,MATCH(All!$A188,Fall!$A:$A,FALSE),MATCH(All!M$1,Fall!$1:$1,FALSE))="","",INDEX(Fall!$1:$1048576,MATCH(All!$A188,Fall!$A:$A,FALSE),MATCH(All!M$1,Fall!$1:$1,FALSE))),"")</f>
        <v>4A</v>
      </c>
      <c r="O188">
        <f>IFERROR(IF(INDEX(Winter!$1:$1048576,MATCH(All!$A188,Winter!$A:$A,FALSE),MATCH(All!O$1,Winter!$1:$1,FALSE))="","",INDEX(Winter!$1:$1048576,MATCH(All!$A188,Winter!$A:$A,FALSE),MATCH(All!O$1,Winter!$1:$1,FALSE))),"")</f>
        <v>2178</v>
      </c>
      <c r="P188" t="str">
        <f>IFERROR(IF(INDEX(Winter!$1:$1048576,MATCH(All!$A188,Winter!$A:$A,FALSE),MATCH(All!P$1,Winter!$1:$1,FALSE))="","",INDEX(Winter!$1:$1048576,MATCH(All!$A188,Winter!$A:$A,FALSE),MATCH(All!P$1,Winter!$1:$1,FALSE))),"")</f>
        <v>4A</v>
      </c>
      <c r="Q188" t="str">
        <f>IFERROR(IF(INDEX(Winter!$1:$1048576,MATCH(All!$A188,Winter!$A:$A,FALSE),MATCH(All!Q$1,Winter!$1:$1,FALSE))="","",INDEX(Winter!$1:$1048576,MATCH(All!$A188,Winter!$A:$A,FALSE),MATCH(All!Q$1,Winter!$1:$1,FALSE))),"")</f>
        <v>4A</v>
      </c>
      <c r="R188" t="str">
        <f>IFERROR(IF(INDEX(Winter!$1:$1048576,MATCH(All!$A188,Winter!$A:$A,FALSE),MATCH(All!R$1,Winter!$1:$1,FALSE))="","",INDEX(Winter!$1:$1048576,MATCH(All!$A188,Winter!$A:$A,FALSE),MATCH(All!R$1,Winter!$1:$1,FALSE))),"")</f>
        <v>C</v>
      </c>
      <c r="S188" t="str">
        <f>IFERROR(IF(INDEX(Winter!$1:$1048576,MATCH(All!$A188,Winter!$A:$A,FALSE),MATCH(All!S$1,Winter!$1:$1,FALSE))="","",INDEX(Winter!$1:$1048576,MATCH(All!$A188,Winter!$A:$A,FALSE),MATCH(All!S$1,Winter!$1:$1,FALSE))),"")</f>
        <v>3A</v>
      </c>
      <c r="T188" t="str">
        <f>IFERROR(IF(INDEX(Winter!$1:$1048576,MATCH(All!$A188,Winter!$A:$A,FALSE),MATCH(All!T$1,Winter!$1:$1,FALSE))="","",INDEX(Winter!$1:$1048576,MATCH(All!$A188,Winter!$A:$A,FALSE),MATCH(All!T$1,Winter!$1:$1,FALSE))),"")</f>
        <v/>
      </c>
      <c r="U188" t="str">
        <f>IFERROR(IF(INDEX(Winter!$1:$1048576,MATCH(All!$A188,Winter!$A:$A,FALSE),MATCH(All!U$1,Winter!$1:$1,FALSE))="","",INDEX(Winter!$1:$1048576,MATCH(All!$A188,Winter!$A:$A,FALSE),MATCH(All!U$1,Winter!$1:$1,FALSE))),"")</f>
        <v>3A</v>
      </c>
      <c r="W188">
        <f>IFERROR(IF(INDEX(Spring!$1:$1048576,MATCH(All!$A188,Spring!$A:$A,FALSE),MATCH(All!W$1,Spring!$1:$1,FALSE))="","",INDEX(Spring!$1:$1048576,MATCH(All!$A188,Spring!$A:$A,FALSE),MATCH(All!W$1,Spring!$1:$1,FALSE))),"")</f>
        <v>2178</v>
      </c>
      <c r="X188" t="str">
        <f>IFERROR(IF(INDEX(Spring!$1:$1048576,MATCH(All!$A188,Spring!$A:$A,FALSE),MATCH(All!X$1,Spring!$1:$1,FALSE))="","",INDEX(Spring!$1:$1048576,MATCH(All!$A188,Spring!$A:$A,FALSE),MATCH(All!X$1,Spring!$1:$1,FALSE))),"")</f>
        <v>4A</v>
      </c>
      <c r="Y188" t="str">
        <f>IFERROR(IF(INDEX(Spring!$1:$1048576,MATCH(All!$A188,Spring!$A:$A,FALSE),MATCH(All!Y$1,Spring!$1:$1,FALSE))="","",INDEX(Spring!$1:$1048576,MATCH(All!$A188,Spring!$A:$A,FALSE),MATCH(All!Y$1,Spring!$1:$1,FALSE))),"")</f>
        <v>4A</v>
      </c>
      <c r="Z188" t="str">
        <f>IFERROR(IF(INDEX(Spring!$1:$1048576,MATCH(All!$A188,Spring!$A:$A,FALSE),MATCH(All!Z$1,Spring!$1:$1,FALSE))="","",INDEX(Spring!$1:$1048576,MATCH(All!$A188,Spring!$A:$A,FALSE),MATCH(All!Z$1,Spring!$1:$1,FALSE))),"")</f>
        <v>3A</v>
      </c>
      <c r="AA188" t="str">
        <f>IFERROR(IF(INDEX(Spring!$1:$1048576,MATCH(All!$A188,Spring!$A:$A,FALSE),MATCH(All!AA$1,Spring!$1:$1,FALSE))="","",INDEX(Spring!$1:$1048576,MATCH(All!$A188,Spring!$A:$A,FALSE),MATCH(All!AA$1,Spring!$1:$1,FALSE))),"")</f>
        <v>2A</v>
      </c>
      <c r="AB188" t="str">
        <f>IFERROR(IF(INDEX(Spring!$1:$1048576,MATCH(All!$A188,Spring!$A:$A,FALSE),MATCH(All!AB$1,Spring!$1:$1,FALSE))="","",INDEX(Spring!$1:$1048576,MATCH(All!$A188,Spring!$A:$A,FALSE),MATCH(All!AB$1,Spring!$1:$1,FALSE))),"")</f>
        <v>3A</v>
      </c>
      <c r="AC188" t="str">
        <f>IFERROR(IF(INDEX(Spring!$1:$1048576,MATCH(All!$A188,Spring!$A:$A,FALSE),MATCH(All!AC$1,Spring!$1:$1,FALSE))="","",INDEX(Spring!$1:$1048576,MATCH(All!$A188,Spring!$A:$A,FALSE),MATCH(All!AC$1,Spring!$1:$1,FALSE))),"")</f>
        <v>3A</v>
      </c>
      <c r="AD188" t="str">
        <f>IFERROR(VLOOKUP(A188,'Flag Football'!A:A,1,FALSE),"")</f>
        <v>Chicago (Lincoln Park)</v>
      </c>
      <c r="AE188" t="str">
        <f t="shared" si="2"/>
        <v>1A</v>
      </c>
    </row>
    <row r="189" spans="1:31" ht="15.75" thickBot="1" x14ac:dyDescent="0.3">
      <c r="A189" s="18" t="s">
        <v>233</v>
      </c>
      <c r="B189" s="38" t="str">
        <f>IFERROR(VLOOKUP(A189,'Public v Private'!A:G,3,FALSE),"")</f>
        <v>no</v>
      </c>
      <c r="C189" s="38">
        <f>IFERROR(VLOOKUP(A189,'Public v Private'!A:G,4,FALSE),"")</f>
        <v>0</v>
      </c>
      <c r="D189" s="38">
        <f>IFERROR(VLOOKUP(A189,'Public v Private'!A:G,5,FALSE),"")</f>
        <v>0</v>
      </c>
      <c r="E189" s="38"/>
      <c r="F189" s="40" t="str">
        <f>IFERROR(INDEX(Fall!$1:$1048576,MATCH(All!$A189,Fall!$A:$A,FALSE),MATCH(All!F$1,Fall!$1:$1,FALSE)),"N/A")</f>
        <v>1,046.00 (1,725.90)</v>
      </c>
      <c r="G189" t="str">
        <f>IFERROR(IF(INDEX(Fall!$1:$1048576,MATCH(All!$A189,Fall!$A:$A,FALSE),MATCH(All!G$1,Fall!$1:$1,FALSE))="","",INDEX(Fall!$1:$1048576,MATCH(All!$A189,Fall!$A:$A,FALSE),MATCH(All!G$1,Fall!$1:$1,FALSE))),"")</f>
        <v>3A</v>
      </c>
      <c r="H189" t="str">
        <f>IFERROR(IF(INDEX(Fall!$1:$1048576,MATCH(All!$A189,Fall!$A:$A,FALSE),MATCH(All!H$1,Fall!$1:$1,FALSE))="","",INDEX(Fall!$1:$1048576,MATCH(All!$A189,Fall!$A:$A,FALSE),MATCH(All!H$1,Fall!$1:$1,FALSE))),"")</f>
        <v>3A</v>
      </c>
      <c r="I189" t="str">
        <f>IFERROR(IF(INDEX(Fall!$1:$1048576,MATCH(All!$A189,Fall!$A:$A,FALSE),MATCH(All!I$1,Fall!$1:$1,FALSE))="","",INDEX(Fall!$1:$1048576,MATCH(All!$A189,Fall!$A:$A,FALSE),MATCH(All!I$1,Fall!$1:$1,FALSE))),"")</f>
        <v>3A</v>
      </c>
      <c r="J189" t="str">
        <f>IFERROR(IF(INDEX(Fall!$1:$1048576,MATCH(All!$A189,Fall!$A:$A,FALSE),MATCH(All!J$1,Fall!$1:$1,FALSE))="","",INDEX(Fall!$1:$1048576,MATCH(All!$A189,Fall!$A:$A,FALSE),MATCH(All!J$1,Fall!$1:$1,FALSE))),"")</f>
        <v>2A</v>
      </c>
      <c r="K189" t="str">
        <f>IFERROR(IF(INDEX(Fall!$1:$1048576,MATCH(All!$A189,Fall!$A:$A,FALSE),MATCH(All!K$1,Fall!$1:$1,FALSE))="","",INDEX(Fall!$1:$1048576,MATCH(All!$A189,Fall!$A:$A,FALSE),MATCH(All!K$1,Fall!$1:$1,FALSE))),"")</f>
        <v>3A</v>
      </c>
      <c r="L189" t="str">
        <f>IFERROR(IF(INDEX(Fall!$1:$1048576,MATCH(All!$A189,Fall!$A:$A,FALSE),MATCH(All!L$1,Fall!$1:$1,FALSE))="","",INDEX(Fall!$1:$1048576,MATCH(All!$A189,Fall!$A:$A,FALSE),MATCH(All!L$1,Fall!$1:$1,FALSE))),"")</f>
        <v/>
      </c>
      <c r="M189" t="str">
        <f>IFERROR(IF(INDEX(Fall!$1:$1048576,MATCH(All!$A189,Fall!$A:$A,FALSE),MATCH(All!M$1,Fall!$1:$1,FALSE))="","",INDEX(Fall!$1:$1048576,MATCH(All!$A189,Fall!$A:$A,FALSE),MATCH(All!M$1,Fall!$1:$1,FALSE))),"")</f>
        <v>4A</v>
      </c>
      <c r="O189" t="str">
        <f>IFERROR(IF(INDEX(Winter!$1:$1048576,MATCH(All!$A189,Winter!$A:$A,FALSE),MATCH(All!O$1,Winter!$1:$1,FALSE))="","",INDEX(Winter!$1:$1048576,MATCH(All!$A189,Winter!$A:$A,FALSE),MATCH(All!O$1,Winter!$1:$1,FALSE))),"")</f>
        <v>1,046.00 (1,725.90)</v>
      </c>
      <c r="P189" t="str">
        <f>IFERROR(IF(INDEX(Winter!$1:$1048576,MATCH(All!$A189,Winter!$A:$A,FALSE),MATCH(All!P$1,Winter!$1:$1,FALSE))="","",INDEX(Winter!$1:$1048576,MATCH(All!$A189,Winter!$A:$A,FALSE),MATCH(All!P$1,Winter!$1:$1,FALSE))),"")</f>
        <v>4A</v>
      </c>
      <c r="Q189" t="str">
        <f>IFERROR(IF(INDEX(Winter!$1:$1048576,MATCH(All!$A189,Winter!$A:$A,FALSE),MATCH(All!Q$1,Winter!$1:$1,FALSE))="","",INDEX(Winter!$1:$1048576,MATCH(All!$A189,Winter!$A:$A,FALSE),MATCH(All!Q$1,Winter!$1:$1,FALSE))),"")</f>
        <v>4A</v>
      </c>
      <c r="R189" t="str">
        <f>IFERROR(IF(INDEX(Winter!$1:$1048576,MATCH(All!$A189,Winter!$A:$A,FALSE),MATCH(All!R$1,Winter!$1:$1,FALSE))="","",INDEX(Winter!$1:$1048576,MATCH(All!$A189,Winter!$A:$A,FALSE),MATCH(All!R$1,Winter!$1:$1,FALSE))),"")</f>
        <v>3A</v>
      </c>
      <c r="S189" t="str">
        <f>IFERROR(IF(INDEX(Winter!$1:$1048576,MATCH(All!$A189,Winter!$A:$A,FALSE),MATCH(All!S$1,Winter!$1:$1,FALSE))="","",INDEX(Winter!$1:$1048576,MATCH(All!$A189,Winter!$A:$A,FALSE),MATCH(All!S$1,Winter!$1:$1,FALSE))),"")</f>
        <v/>
      </c>
      <c r="T189" t="str">
        <f>IFERROR(IF(INDEX(Winter!$1:$1048576,MATCH(All!$A189,Winter!$A:$A,FALSE),MATCH(All!T$1,Winter!$1:$1,FALSE))="","",INDEX(Winter!$1:$1048576,MATCH(All!$A189,Winter!$A:$A,FALSE),MATCH(All!T$1,Winter!$1:$1,FALSE))),"")</f>
        <v/>
      </c>
      <c r="U189" t="str">
        <f>IFERROR(IF(INDEX(Winter!$1:$1048576,MATCH(All!$A189,Winter!$A:$A,FALSE),MATCH(All!U$1,Winter!$1:$1,FALSE))="","",INDEX(Winter!$1:$1048576,MATCH(All!$A189,Winter!$A:$A,FALSE),MATCH(All!U$1,Winter!$1:$1,FALSE))),"")</f>
        <v>3A</v>
      </c>
      <c r="W189" t="str">
        <f>IFERROR(IF(INDEX(Spring!$1:$1048576,MATCH(All!$A189,Spring!$A:$A,FALSE),MATCH(All!W$1,Spring!$1:$1,FALSE))="","",INDEX(Spring!$1:$1048576,MATCH(All!$A189,Spring!$A:$A,FALSE),MATCH(All!W$1,Spring!$1:$1,FALSE))),"")</f>
        <v>1,046.00 (1,725.90)</v>
      </c>
      <c r="X189" t="str">
        <f>IFERROR(IF(INDEX(Spring!$1:$1048576,MATCH(All!$A189,Spring!$A:$A,FALSE),MATCH(All!X$1,Spring!$1:$1,FALSE))="","",INDEX(Spring!$1:$1048576,MATCH(All!$A189,Spring!$A:$A,FALSE),MATCH(All!X$1,Spring!$1:$1,FALSE))),"")</f>
        <v>4A</v>
      </c>
      <c r="Y189" t="str">
        <f>IFERROR(IF(INDEX(Spring!$1:$1048576,MATCH(All!$A189,Spring!$A:$A,FALSE),MATCH(All!Y$1,Spring!$1:$1,FALSE))="","",INDEX(Spring!$1:$1048576,MATCH(All!$A189,Spring!$A:$A,FALSE),MATCH(All!Y$1,Spring!$1:$1,FALSE))),"")</f>
        <v/>
      </c>
      <c r="Z189" t="str">
        <f>IFERROR(IF(INDEX(Spring!$1:$1048576,MATCH(All!$A189,Spring!$A:$A,FALSE),MATCH(All!Z$1,Spring!$1:$1,FALSE))="","",INDEX(Spring!$1:$1048576,MATCH(All!$A189,Spring!$A:$A,FALSE),MATCH(All!Z$1,Spring!$1:$1,FALSE))),"")</f>
        <v>2A</v>
      </c>
      <c r="AA189" t="str">
        <f>IFERROR(IF(INDEX(Spring!$1:$1048576,MATCH(All!$A189,Spring!$A:$A,FALSE),MATCH(All!AA$1,Spring!$1:$1,FALSE))="","",INDEX(Spring!$1:$1048576,MATCH(All!$A189,Spring!$A:$A,FALSE),MATCH(All!AA$1,Spring!$1:$1,FALSE))),"")</f>
        <v/>
      </c>
      <c r="AB189" t="str">
        <f>IFERROR(IF(INDEX(Spring!$1:$1048576,MATCH(All!$A189,Spring!$A:$A,FALSE),MATCH(All!AB$1,Spring!$1:$1,FALSE))="","",INDEX(Spring!$1:$1048576,MATCH(All!$A189,Spring!$A:$A,FALSE),MATCH(All!AB$1,Spring!$1:$1,FALSE))),"")</f>
        <v>3A</v>
      </c>
      <c r="AC189" t="str">
        <f>IFERROR(IF(INDEX(Spring!$1:$1048576,MATCH(All!$A189,Spring!$A:$A,FALSE),MATCH(All!AC$1,Spring!$1:$1,FALSE))="","",INDEX(Spring!$1:$1048576,MATCH(All!$A189,Spring!$A:$A,FALSE),MATCH(All!AC$1,Spring!$1:$1,FALSE))),"")</f>
        <v>3A</v>
      </c>
      <c r="AD189" t="str">
        <f>IFERROR(VLOOKUP(A189,'Flag Football'!A:A,1,FALSE),"")</f>
        <v>Chicago (Lindblom)</v>
      </c>
      <c r="AE189" t="str">
        <f t="shared" si="2"/>
        <v>1A</v>
      </c>
    </row>
    <row r="190" spans="1:31" ht="15.75" thickBot="1" x14ac:dyDescent="0.3">
      <c r="A190" s="20" t="s">
        <v>235</v>
      </c>
      <c r="B190" s="38">
        <f>IFERROR(VLOOKUP(A190,'Public v Private'!A:G,3,FALSE),"")</f>
        <v>0</v>
      </c>
      <c r="C190" s="38">
        <f>IFERROR(VLOOKUP(A190,'Public v Private'!A:G,4,FALSE),"")</f>
        <v>0</v>
      </c>
      <c r="D190" s="38">
        <f>IFERROR(VLOOKUP(A190,'Public v Private'!A:G,5,FALSE),"")</f>
        <v>0</v>
      </c>
      <c r="E190" s="38"/>
      <c r="F190" s="40">
        <f>IFERROR(INDEX(Fall!$1:$1048576,MATCH(All!$A190,Fall!$A:$A,FALSE),MATCH(All!F$1,Fall!$1:$1,FALSE)),"N/A")</f>
        <v>1064</v>
      </c>
      <c r="G190" t="str">
        <f>IFERROR(IF(INDEX(Fall!$1:$1048576,MATCH(All!$A190,Fall!$A:$A,FALSE),MATCH(All!G$1,Fall!$1:$1,FALSE))="","",INDEX(Fall!$1:$1048576,MATCH(All!$A190,Fall!$A:$A,FALSE),MATCH(All!G$1,Fall!$1:$1,FALSE))),"")</f>
        <v/>
      </c>
      <c r="H190" t="str">
        <f>IFERROR(IF(INDEX(Fall!$1:$1048576,MATCH(All!$A190,Fall!$A:$A,FALSE),MATCH(All!H$1,Fall!$1:$1,FALSE))="","",INDEX(Fall!$1:$1048576,MATCH(All!$A190,Fall!$A:$A,FALSE),MATCH(All!H$1,Fall!$1:$1,FALSE))),"")</f>
        <v/>
      </c>
      <c r="I190" t="str">
        <f>IFERROR(IF(INDEX(Fall!$1:$1048576,MATCH(All!$A190,Fall!$A:$A,FALSE),MATCH(All!I$1,Fall!$1:$1,FALSE))="","",INDEX(Fall!$1:$1048576,MATCH(All!$A190,Fall!$A:$A,FALSE),MATCH(All!I$1,Fall!$1:$1,FALSE))),"")</f>
        <v/>
      </c>
      <c r="J190" t="str">
        <f>IFERROR(IF(INDEX(Fall!$1:$1048576,MATCH(All!$A190,Fall!$A:$A,FALSE),MATCH(All!J$1,Fall!$1:$1,FALSE))="","",INDEX(Fall!$1:$1048576,MATCH(All!$A190,Fall!$A:$A,FALSE),MATCH(All!J$1,Fall!$1:$1,FALSE))),"")</f>
        <v/>
      </c>
      <c r="K190" t="str">
        <f>IFERROR(IF(INDEX(Fall!$1:$1048576,MATCH(All!$A190,Fall!$A:$A,FALSE),MATCH(All!K$1,Fall!$1:$1,FALSE))="","",INDEX(Fall!$1:$1048576,MATCH(All!$A190,Fall!$A:$A,FALSE),MATCH(All!K$1,Fall!$1:$1,FALSE))),"")</f>
        <v>2A</v>
      </c>
      <c r="L190" t="str">
        <f>IFERROR(IF(INDEX(Fall!$1:$1048576,MATCH(All!$A190,Fall!$A:$A,FALSE),MATCH(All!L$1,Fall!$1:$1,FALSE))="","",INDEX(Fall!$1:$1048576,MATCH(All!$A190,Fall!$A:$A,FALSE),MATCH(All!L$1,Fall!$1:$1,FALSE))),"")</f>
        <v/>
      </c>
      <c r="M190" t="str">
        <f>IFERROR(IF(INDEX(Fall!$1:$1048576,MATCH(All!$A190,Fall!$A:$A,FALSE),MATCH(All!M$1,Fall!$1:$1,FALSE))="","",INDEX(Fall!$1:$1048576,MATCH(All!$A190,Fall!$A:$A,FALSE),MATCH(All!M$1,Fall!$1:$1,FALSE))),"")</f>
        <v/>
      </c>
      <c r="O190">
        <f>IFERROR(IF(INDEX(Winter!$1:$1048576,MATCH(All!$A190,Winter!$A:$A,FALSE),MATCH(All!O$1,Winter!$1:$1,FALSE))="","",INDEX(Winter!$1:$1048576,MATCH(All!$A190,Winter!$A:$A,FALSE),MATCH(All!O$1,Winter!$1:$1,FALSE))),"")</f>
        <v>1064</v>
      </c>
      <c r="P190" t="str">
        <f>IFERROR(IF(INDEX(Winter!$1:$1048576,MATCH(All!$A190,Winter!$A:$A,FALSE),MATCH(All!P$1,Winter!$1:$1,FALSE))="","",INDEX(Winter!$1:$1048576,MATCH(All!$A190,Winter!$A:$A,FALSE),MATCH(All!P$1,Winter!$1:$1,FALSE))),"")</f>
        <v>3A</v>
      </c>
      <c r="Q190" t="str">
        <f>IFERROR(IF(INDEX(Winter!$1:$1048576,MATCH(All!$A190,Winter!$A:$A,FALSE),MATCH(All!Q$1,Winter!$1:$1,FALSE))="","",INDEX(Winter!$1:$1048576,MATCH(All!$A190,Winter!$A:$A,FALSE),MATCH(All!Q$1,Winter!$1:$1,FALSE))),"")</f>
        <v/>
      </c>
      <c r="R190" t="str">
        <f>IFERROR(IF(INDEX(Winter!$1:$1048576,MATCH(All!$A190,Winter!$A:$A,FALSE),MATCH(All!R$1,Winter!$1:$1,FALSE))="","",INDEX(Winter!$1:$1048576,MATCH(All!$A190,Winter!$A:$A,FALSE),MATCH(All!R$1,Winter!$1:$1,FALSE))),"")</f>
        <v/>
      </c>
      <c r="S190" t="str">
        <f>IFERROR(IF(INDEX(Winter!$1:$1048576,MATCH(All!$A190,Winter!$A:$A,FALSE),MATCH(All!S$1,Winter!$1:$1,FALSE))="","",INDEX(Winter!$1:$1048576,MATCH(All!$A190,Winter!$A:$A,FALSE),MATCH(All!S$1,Winter!$1:$1,FALSE))),"")</f>
        <v/>
      </c>
      <c r="T190" t="str">
        <f>IFERROR(IF(INDEX(Winter!$1:$1048576,MATCH(All!$A190,Winter!$A:$A,FALSE),MATCH(All!T$1,Winter!$1:$1,FALSE))="","",INDEX(Winter!$1:$1048576,MATCH(All!$A190,Winter!$A:$A,FALSE),MATCH(All!T$1,Winter!$1:$1,FALSE))),"")</f>
        <v/>
      </c>
      <c r="U190" t="str">
        <f>IFERROR(IF(INDEX(Winter!$1:$1048576,MATCH(All!$A190,Winter!$A:$A,FALSE),MATCH(All!U$1,Winter!$1:$1,FALSE))="","",INDEX(Winter!$1:$1048576,MATCH(All!$A190,Winter!$A:$A,FALSE),MATCH(All!U$1,Winter!$1:$1,FALSE))),"")</f>
        <v>2A</v>
      </c>
      <c r="W190">
        <f>IFERROR(IF(INDEX(Spring!$1:$1048576,MATCH(All!$A190,Spring!$A:$A,FALSE),MATCH(All!W$1,Spring!$1:$1,FALSE))="","",INDEX(Spring!$1:$1048576,MATCH(All!$A190,Spring!$A:$A,FALSE),MATCH(All!W$1,Spring!$1:$1,FALSE))),"")</f>
        <v>1064</v>
      </c>
      <c r="X190" t="str">
        <f>IFERROR(IF(INDEX(Spring!$1:$1048576,MATCH(All!$A190,Spring!$A:$A,FALSE),MATCH(All!X$1,Spring!$1:$1,FALSE))="","",INDEX(Spring!$1:$1048576,MATCH(All!$A190,Spring!$A:$A,FALSE),MATCH(All!X$1,Spring!$1:$1,FALSE))),"")</f>
        <v/>
      </c>
      <c r="Y190" t="str">
        <f>IFERROR(IF(INDEX(Spring!$1:$1048576,MATCH(All!$A190,Spring!$A:$A,FALSE),MATCH(All!Y$1,Spring!$1:$1,FALSE))="","",INDEX(Spring!$1:$1048576,MATCH(All!$A190,Spring!$A:$A,FALSE),MATCH(All!Y$1,Spring!$1:$1,FALSE))),"")</f>
        <v/>
      </c>
      <c r="Z190" t="str">
        <f>IFERROR(IF(INDEX(Spring!$1:$1048576,MATCH(All!$A190,Spring!$A:$A,FALSE),MATCH(All!Z$1,Spring!$1:$1,FALSE))="","",INDEX(Spring!$1:$1048576,MATCH(All!$A190,Spring!$A:$A,FALSE),MATCH(All!Z$1,Spring!$1:$1,FALSE))),"")</f>
        <v/>
      </c>
      <c r="AA190" t="str">
        <f>IFERROR(IF(INDEX(Spring!$1:$1048576,MATCH(All!$A190,Spring!$A:$A,FALSE),MATCH(All!AA$1,Spring!$1:$1,FALSE))="","",INDEX(Spring!$1:$1048576,MATCH(All!$A190,Spring!$A:$A,FALSE),MATCH(All!AA$1,Spring!$1:$1,FALSE))),"")</f>
        <v/>
      </c>
      <c r="AB190" t="str">
        <f>IFERROR(IF(INDEX(Spring!$1:$1048576,MATCH(All!$A190,Spring!$A:$A,FALSE),MATCH(All!AB$1,Spring!$1:$1,FALSE))="","",INDEX(Spring!$1:$1048576,MATCH(All!$A190,Spring!$A:$A,FALSE),MATCH(All!AB$1,Spring!$1:$1,FALSE))),"")</f>
        <v>2A</v>
      </c>
      <c r="AC190" t="str">
        <f>IFERROR(IF(INDEX(Spring!$1:$1048576,MATCH(All!$A190,Spring!$A:$A,FALSE),MATCH(All!AC$1,Spring!$1:$1,FALSE))="","",INDEX(Spring!$1:$1048576,MATCH(All!$A190,Spring!$A:$A,FALSE),MATCH(All!AC$1,Spring!$1:$1,FALSE))),"")</f>
        <v>2A</v>
      </c>
      <c r="AD190" t="str">
        <f>IFERROR(VLOOKUP(A190,'Flag Football'!A:A,1,FALSE),"")</f>
        <v/>
      </c>
      <c r="AE190" t="str">
        <f t="shared" si="2"/>
        <v/>
      </c>
    </row>
    <row r="191" spans="1:31" ht="15.75" thickBot="1" x14ac:dyDescent="0.3">
      <c r="A191" s="18" t="s">
        <v>236</v>
      </c>
      <c r="B191" s="38" t="str">
        <f>IFERROR(VLOOKUP(A191,'Public v Private'!A:G,3,FALSE),"")</f>
        <v/>
      </c>
      <c r="C191" s="38" t="str">
        <f>IFERROR(VLOOKUP(A191,'Public v Private'!A:G,4,FALSE),"")</f>
        <v/>
      </c>
      <c r="D191" s="38" t="str">
        <f>IFERROR(VLOOKUP(A191,'Public v Private'!A:G,5,FALSE),"")</f>
        <v/>
      </c>
      <c r="E191" s="38"/>
      <c r="F191" s="40" t="str">
        <f>IFERROR(INDEX(Fall!$1:$1048576,MATCH(All!$A191,Fall!$A:$A,FALSE),MATCH(All!F$1,Fall!$1:$1,FALSE)),"N/A")</f>
        <v>225.00 (371.25)</v>
      </c>
      <c r="G191" t="str">
        <f>IFERROR(IF(INDEX(Fall!$1:$1048576,MATCH(All!$A191,Fall!$A:$A,FALSE),MATCH(All!G$1,Fall!$1:$1,FALSE))="","",INDEX(Fall!$1:$1048576,MATCH(All!$A191,Fall!$A:$A,FALSE),MATCH(All!G$1,Fall!$1:$1,FALSE))),"")</f>
        <v/>
      </c>
      <c r="H191" t="str">
        <f>IFERROR(IF(INDEX(Fall!$1:$1048576,MATCH(All!$A191,Fall!$A:$A,FALSE),MATCH(All!H$1,Fall!$1:$1,FALSE))="","",INDEX(Fall!$1:$1048576,MATCH(All!$A191,Fall!$A:$A,FALSE),MATCH(All!H$1,Fall!$1:$1,FALSE))),"")</f>
        <v/>
      </c>
      <c r="I191" t="str">
        <f>IFERROR(IF(INDEX(Fall!$1:$1048576,MATCH(All!$A191,Fall!$A:$A,FALSE),MATCH(All!I$1,Fall!$1:$1,FALSE))="","",INDEX(Fall!$1:$1048576,MATCH(All!$A191,Fall!$A:$A,FALSE),MATCH(All!I$1,Fall!$1:$1,FALSE))),"")</f>
        <v>1A</v>
      </c>
      <c r="J191" t="str">
        <f>IFERROR(IF(INDEX(Fall!$1:$1048576,MATCH(All!$A191,Fall!$A:$A,FALSE),MATCH(All!J$1,Fall!$1:$1,FALSE))="","",INDEX(Fall!$1:$1048576,MATCH(All!$A191,Fall!$A:$A,FALSE),MATCH(All!J$1,Fall!$1:$1,FALSE))),"")</f>
        <v/>
      </c>
      <c r="K191" t="str">
        <f>IFERROR(IF(INDEX(Fall!$1:$1048576,MATCH(All!$A191,Fall!$A:$A,FALSE),MATCH(All!K$1,Fall!$1:$1,FALSE))="","",INDEX(Fall!$1:$1048576,MATCH(All!$A191,Fall!$A:$A,FALSE),MATCH(All!K$1,Fall!$1:$1,FALSE))),"")</f>
        <v>1A</v>
      </c>
      <c r="L191" t="str">
        <f>IFERROR(IF(INDEX(Fall!$1:$1048576,MATCH(All!$A191,Fall!$A:$A,FALSE),MATCH(All!L$1,Fall!$1:$1,FALSE))="","",INDEX(Fall!$1:$1048576,MATCH(All!$A191,Fall!$A:$A,FALSE),MATCH(All!L$1,Fall!$1:$1,FALSE))),"")</f>
        <v/>
      </c>
      <c r="M191" t="str">
        <f>IFERROR(IF(INDEX(Fall!$1:$1048576,MATCH(All!$A191,Fall!$A:$A,FALSE),MATCH(All!M$1,Fall!$1:$1,FALSE))="","",INDEX(Fall!$1:$1048576,MATCH(All!$A191,Fall!$A:$A,FALSE),MATCH(All!M$1,Fall!$1:$1,FALSE))),"")</f>
        <v>1A</v>
      </c>
      <c r="O191" t="str">
        <f>IFERROR(IF(INDEX(Winter!$1:$1048576,MATCH(All!$A191,Winter!$A:$A,FALSE),MATCH(All!O$1,Winter!$1:$1,FALSE))="","",INDEX(Winter!$1:$1048576,MATCH(All!$A191,Winter!$A:$A,FALSE),MATCH(All!O$1,Winter!$1:$1,FALSE))),"")</f>
        <v>225.00 (371.25)</v>
      </c>
      <c r="P191" t="str">
        <f>IFERROR(IF(INDEX(Winter!$1:$1048576,MATCH(All!$A191,Winter!$A:$A,FALSE),MATCH(All!P$1,Winter!$1:$1,FALSE))="","",INDEX(Winter!$1:$1048576,MATCH(All!$A191,Winter!$A:$A,FALSE),MATCH(All!P$1,Winter!$1:$1,FALSE))),"")</f>
        <v>1A</v>
      </c>
      <c r="Q191" t="str">
        <f>IFERROR(IF(INDEX(Winter!$1:$1048576,MATCH(All!$A191,Winter!$A:$A,FALSE),MATCH(All!Q$1,Winter!$1:$1,FALSE))="","",INDEX(Winter!$1:$1048576,MATCH(All!$A191,Winter!$A:$A,FALSE),MATCH(All!Q$1,Winter!$1:$1,FALSE))),"")</f>
        <v>1A</v>
      </c>
      <c r="R191" t="str">
        <f>IFERROR(IF(INDEX(Winter!$1:$1048576,MATCH(All!$A191,Winter!$A:$A,FALSE),MATCH(All!R$1,Winter!$1:$1,FALSE))="","",INDEX(Winter!$1:$1048576,MATCH(All!$A191,Winter!$A:$A,FALSE),MATCH(All!R$1,Winter!$1:$1,FALSE))),"")</f>
        <v/>
      </c>
      <c r="S191" t="str">
        <f>IFERROR(IF(INDEX(Winter!$1:$1048576,MATCH(All!$A191,Winter!$A:$A,FALSE),MATCH(All!S$1,Winter!$1:$1,FALSE))="","",INDEX(Winter!$1:$1048576,MATCH(All!$A191,Winter!$A:$A,FALSE),MATCH(All!S$1,Winter!$1:$1,FALSE))),"")</f>
        <v/>
      </c>
      <c r="T191" t="str">
        <f>IFERROR(IF(INDEX(Winter!$1:$1048576,MATCH(All!$A191,Winter!$A:$A,FALSE),MATCH(All!T$1,Winter!$1:$1,FALSE))="","",INDEX(Winter!$1:$1048576,MATCH(All!$A191,Winter!$A:$A,FALSE),MATCH(All!T$1,Winter!$1:$1,FALSE))),"")</f>
        <v/>
      </c>
      <c r="U191" t="str">
        <f>IFERROR(IF(INDEX(Winter!$1:$1048576,MATCH(All!$A191,Winter!$A:$A,FALSE),MATCH(All!U$1,Winter!$1:$1,FALSE))="","",INDEX(Winter!$1:$1048576,MATCH(All!$A191,Winter!$A:$A,FALSE),MATCH(All!U$1,Winter!$1:$1,FALSE))),"")</f>
        <v/>
      </c>
      <c r="W191" t="str">
        <f>IFERROR(IF(INDEX(Spring!$1:$1048576,MATCH(All!$A191,Spring!$A:$A,FALSE),MATCH(All!W$1,Spring!$1:$1,FALSE))="","",INDEX(Spring!$1:$1048576,MATCH(All!$A191,Spring!$A:$A,FALSE),MATCH(All!W$1,Spring!$1:$1,FALSE))),"")</f>
        <v>225.00 (371.25)</v>
      </c>
      <c r="X191" t="str">
        <f>IFERROR(IF(INDEX(Spring!$1:$1048576,MATCH(All!$A191,Spring!$A:$A,FALSE),MATCH(All!X$1,Spring!$1:$1,FALSE))="","",INDEX(Spring!$1:$1048576,MATCH(All!$A191,Spring!$A:$A,FALSE),MATCH(All!X$1,Spring!$1:$1,FALSE))),"")</f>
        <v/>
      </c>
      <c r="Y191" t="str">
        <f>IFERROR(IF(INDEX(Spring!$1:$1048576,MATCH(All!$A191,Spring!$A:$A,FALSE),MATCH(All!Y$1,Spring!$1:$1,FALSE))="","",INDEX(Spring!$1:$1048576,MATCH(All!$A191,Spring!$A:$A,FALSE),MATCH(All!Y$1,Spring!$1:$1,FALSE))),"")</f>
        <v/>
      </c>
      <c r="Z191" t="str">
        <f>IFERROR(IF(INDEX(Spring!$1:$1048576,MATCH(All!$A191,Spring!$A:$A,FALSE),MATCH(All!Z$1,Spring!$1:$1,FALSE))="","",INDEX(Spring!$1:$1048576,MATCH(All!$A191,Spring!$A:$A,FALSE),MATCH(All!Z$1,Spring!$1:$1,FALSE))),"")</f>
        <v>1A</v>
      </c>
      <c r="AA191" t="str">
        <f>IFERROR(IF(INDEX(Spring!$1:$1048576,MATCH(All!$A191,Spring!$A:$A,FALSE),MATCH(All!AA$1,Spring!$1:$1,FALSE))="","",INDEX(Spring!$1:$1048576,MATCH(All!$A191,Spring!$A:$A,FALSE),MATCH(All!AA$1,Spring!$1:$1,FALSE))),"")</f>
        <v/>
      </c>
      <c r="AB191" t="str">
        <f>IFERROR(IF(INDEX(Spring!$1:$1048576,MATCH(All!$A191,Spring!$A:$A,FALSE),MATCH(All!AB$1,Spring!$1:$1,FALSE))="","",INDEX(Spring!$1:$1048576,MATCH(All!$A191,Spring!$A:$A,FALSE),MATCH(All!AB$1,Spring!$1:$1,FALSE))),"")</f>
        <v/>
      </c>
      <c r="AC191" t="str">
        <f>IFERROR(IF(INDEX(Spring!$1:$1048576,MATCH(All!$A191,Spring!$A:$A,FALSE),MATCH(All!AC$1,Spring!$1:$1,FALSE))="","",INDEX(Spring!$1:$1048576,MATCH(All!$A191,Spring!$A:$A,FALSE),MATCH(All!AC$1,Spring!$1:$1,FALSE))),"")</f>
        <v/>
      </c>
      <c r="AD191" t="str">
        <f>IFERROR(VLOOKUP(A191,'Flag Football'!A:A,1,FALSE),"")</f>
        <v/>
      </c>
      <c r="AE191" t="str">
        <f t="shared" si="2"/>
        <v/>
      </c>
    </row>
    <row r="192" spans="1:31" ht="15.75" thickBot="1" x14ac:dyDescent="0.3">
      <c r="A192" s="18" t="s">
        <v>238</v>
      </c>
      <c r="B192" s="38">
        <f>IFERROR(VLOOKUP(A192,'Public v Private'!A:G,3,FALSE),"")</f>
        <v>0</v>
      </c>
      <c r="C192" s="38">
        <f>IFERROR(VLOOKUP(A192,'Public v Private'!A:G,4,FALSE),"")</f>
        <v>0</v>
      </c>
      <c r="D192" s="38">
        <f>IFERROR(VLOOKUP(A192,'Public v Private'!A:G,5,FALSE),"")</f>
        <v>0</v>
      </c>
      <c r="E192" s="38"/>
      <c r="F192" s="40" t="str">
        <f>IFERROR(INDEX(Fall!$1:$1048576,MATCH(All!$A192,Fall!$A:$A,FALSE),MATCH(All!F$1,Fall!$1:$1,FALSE)),"N/A")</f>
        <v>N/A</v>
      </c>
      <c r="G192" t="str">
        <f>IFERROR(IF(INDEX(Fall!$1:$1048576,MATCH(All!$A192,Fall!$A:$A,FALSE),MATCH(All!G$1,Fall!$1:$1,FALSE))="","",INDEX(Fall!$1:$1048576,MATCH(All!$A192,Fall!$A:$A,FALSE),MATCH(All!G$1,Fall!$1:$1,FALSE))),"")</f>
        <v/>
      </c>
      <c r="H192" t="str">
        <f>IFERROR(IF(INDEX(Fall!$1:$1048576,MATCH(All!$A192,Fall!$A:$A,FALSE),MATCH(All!H$1,Fall!$1:$1,FALSE))="","",INDEX(Fall!$1:$1048576,MATCH(All!$A192,Fall!$A:$A,FALSE),MATCH(All!H$1,Fall!$1:$1,FALSE))),"")</f>
        <v/>
      </c>
      <c r="I192" t="str">
        <f>IFERROR(IF(INDEX(Fall!$1:$1048576,MATCH(All!$A192,Fall!$A:$A,FALSE),MATCH(All!I$1,Fall!$1:$1,FALSE))="","",INDEX(Fall!$1:$1048576,MATCH(All!$A192,Fall!$A:$A,FALSE),MATCH(All!I$1,Fall!$1:$1,FALSE))),"")</f>
        <v/>
      </c>
      <c r="J192" t="str">
        <f>IFERROR(IF(INDEX(Fall!$1:$1048576,MATCH(All!$A192,Fall!$A:$A,FALSE),MATCH(All!J$1,Fall!$1:$1,FALSE))="","",INDEX(Fall!$1:$1048576,MATCH(All!$A192,Fall!$A:$A,FALSE),MATCH(All!J$1,Fall!$1:$1,FALSE))),"")</f>
        <v/>
      </c>
      <c r="K192" t="str">
        <f>IFERROR(IF(INDEX(Fall!$1:$1048576,MATCH(All!$A192,Fall!$A:$A,FALSE),MATCH(All!K$1,Fall!$1:$1,FALSE))="","",INDEX(Fall!$1:$1048576,MATCH(All!$A192,Fall!$A:$A,FALSE),MATCH(All!K$1,Fall!$1:$1,FALSE))),"")</f>
        <v/>
      </c>
      <c r="L192" t="str">
        <f>IFERROR(IF(INDEX(Fall!$1:$1048576,MATCH(All!$A192,Fall!$A:$A,FALSE),MATCH(All!L$1,Fall!$1:$1,FALSE))="","",INDEX(Fall!$1:$1048576,MATCH(All!$A192,Fall!$A:$A,FALSE),MATCH(All!L$1,Fall!$1:$1,FALSE))),"")</f>
        <v/>
      </c>
      <c r="M192" t="str">
        <f>IFERROR(IF(INDEX(Fall!$1:$1048576,MATCH(All!$A192,Fall!$A:$A,FALSE),MATCH(All!M$1,Fall!$1:$1,FALSE))="","",INDEX(Fall!$1:$1048576,MATCH(All!$A192,Fall!$A:$A,FALSE),MATCH(All!M$1,Fall!$1:$1,FALSE))),"")</f>
        <v/>
      </c>
      <c r="O192">
        <f>IFERROR(IF(INDEX(Winter!$1:$1048576,MATCH(All!$A192,Winter!$A:$A,FALSE),MATCH(All!O$1,Winter!$1:$1,FALSE))="","",INDEX(Winter!$1:$1048576,MATCH(All!$A192,Winter!$A:$A,FALSE),MATCH(All!O$1,Winter!$1:$1,FALSE))),"")</f>
        <v>123</v>
      </c>
      <c r="P192" t="str">
        <f>IFERROR(IF(INDEX(Winter!$1:$1048576,MATCH(All!$A192,Winter!$A:$A,FALSE),MATCH(All!P$1,Winter!$1:$1,FALSE))="","",INDEX(Winter!$1:$1048576,MATCH(All!$A192,Winter!$A:$A,FALSE),MATCH(All!P$1,Winter!$1:$1,FALSE))),"")</f>
        <v>1A</v>
      </c>
      <c r="Q192" t="str">
        <f>IFERROR(IF(INDEX(Winter!$1:$1048576,MATCH(All!$A192,Winter!$A:$A,FALSE),MATCH(All!Q$1,Winter!$1:$1,FALSE))="","",INDEX(Winter!$1:$1048576,MATCH(All!$A192,Winter!$A:$A,FALSE),MATCH(All!Q$1,Winter!$1:$1,FALSE))),"")</f>
        <v>1A</v>
      </c>
      <c r="R192" t="str">
        <f>IFERROR(IF(INDEX(Winter!$1:$1048576,MATCH(All!$A192,Winter!$A:$A,FALSE),MATCH(All!R$1,Winter!$1:$1,FALSE))="","",INDEX(Winter!$1:$1048576,MATCH(All!$A192,Winter!$A:$A,FALSE),MATCH(All!R$1,Winter!$1:$1,FALSE))),"")</f>
        <v/>
      </c>
      <c r="S192" t="str">
        <f>IFERROR(IF(INDEX(Winter!$1:$1048576,MATCH(All!$A192,Winter!$A:$A,FALSE),MATCH(All!S$1,Winter!$1:$1,FALSE))="","",INDEX(Winter!$1:$1048576,MATCH(All!$A192,Winter!$A:$A,FALSE),MATCH(All!S$1,Winter!$1:$1,FALSE))),"")</f>
        <v/>
      </c>
      <c r="T192" t="str">
        <f>IFERROR(IF(INDEX(Winter!$1:$1048576,MATCH(All!$A192,Winter!$A:$A,FALSE),MATCH(All!T$1,Winter!$1:$1,FALSE))="","",INDEX(Winter!$1:$1048576,MATCH(All!$A192,Winter!$A:$A,FALSE),MATCH(All!T$1,Winter!$1:$1,FALSE))),"")</f>
        <v/>
      </c>
      <c r="U192" t="str">
        <f>IFERROR(IF(INDEX(Winter!$1:$1048576,MATCH(All!$A192,Winter!$A:$A,FALSE),MATCH(All!U$1,Winter!$1:$1,FALSE))="","",INDEX(Winter!$1:$1048576,MATCH(All!$A192,Winter!$A:$A,FALSE),MATCH(All!U$1,Winter!$1:$1,FALSE))),"")</f>
        <v/>
      </c>
      <c r="W192">
        <f>IFERROR(IF(INDEX(Spring!$1:$1048576,MATCH(All!$A192,Spring!$A:$A,FALSE),MATCH(All!W$1,Spring!$1:$1,FALSE))="","",INDEX(Spring!$1:$1048576,MATCH(All!$A192,Spring!$A:$A,FALSE),MATCH(All!W$1,Spring!$1:$1,FALSE))),"")</f>
        <v>123</v>
      </c>
      <c r="X192" t="str">
        <f>IFERROR(IF(INDEX(Spring!$1:$1048576,MATCH(All!$A192,Spring!$A:$A,FALSE),MATCH(All!X$1,Spring!$1:$1,FALSE))="","",INDEX(Spring!$1:$1048576,MATCH(All!$A192,Spring!$A:$A,FALSE),MATCH(All!X$1,Spring!$1:$1,FALSE))),"")</f>
        <v/>
      </c>
      <c r="Y192" t="str">
        <f>IFERROR(IF(INDEX(Spring!$1:$1048576,MATCH(All!$A192,Spring!$A:$A,FALSE),MATCH(All!Y$1,Spring!$1:$1,FALSE))="","",INDEX(Spring!$1:$1048576,MATCH(All!$A192,Spring!$A:$A,FALSE),MATCH(All!Y$1,Spring!$1:$1,FALSE))),"")</f>
        <v/>
      </c>
      <c r="Z192" t="str">
        <f>IFERROR(IF(INDEX(Spring!$1:$1048576,MATCH(All!$A192,Spring!$A:$A,FALSE),MATCH(All!Z$1,Spring!$1:$1,FALSE))="","",INDEX(Spring!$1:$1048576,MATCH(All!$A192,Spring!$A:$A,FALSE),MATCH(All!Z$1,Spring!$1:$1,FALSE))),"")</f>
        <v/>
      </c>
      <c r="AA192" t="str">
        <f>IFERROR(IF(INDEX(Spring!$1:$1048576,MATCH(All!$A192,Spring!$A:$A,FALSE),MATCH(All!AA$1,Spring!$1:$1,FALSE))="","",INDEX(Spring!$1:$1048576,MATCH(All!$A192,Spring!$A:$A,FALSE),MATCH(All!AA$1,Spring!$1:$1,FALSE))),"")</f>
        <v/>
      </c>
      <c r="AB192" t="str">
        <f>IFERROR(IF(INDEX(Spring!$1:$1048576,MATCH(All!$A192,Spring!$A:$A,FALSE),MATCH(All!AB$1,Spring!$1:$1,FALSE))="","",INDEX(Spring!$1:$1048576,MATCH(All!$A192,Spring!$A:$A,FALSE),MATCH(All!AB$1,Spring!$1:$1,FALSE))),"")</f>
        <v>1A</v>
      </c>
      <c r="AC192" t="str">
        <f>IFERROR(IF(INDEX(Spring!$1:$1048576,MATCH(All!$A192,Spring!$A:$A,FALSE),MATCH(All!AC$1,Spring!$1:$1,FALSE))="","",INDEX(Spring!$1:$1048576,MATCH(All!$A192,Spring!$A:$A,FALSE),MATCH(All!AC$1,Spring!$1:$1,FALSE))),"")</f>
        <v>1A</v>
      </c>
      <c r="AD192" t="str">
        <f>IFERROR(VLOOKUP(A192,'Flag Football'!A:A,1,FALSE),"")</f>
        <v/>
      </c>
      <c r="AE192" t="str">
        <f t="shared" si="2"/>
        <v/>
      </c>
    </row>
    <row r="193" spans="1:31" ht="15.75" thickBot="1" x14ac:dyDescent="0.3">
      <c r="A193" s="20" t="s">
        <v>239</v>
      </c>
      <c r="B193" s="38" t="str">
        <f>IFERROR(VLOOKUP(A193,'Public v Private'!A:G,3,FALSE),"")</f>
        <v>no</v>
      </c>
      <c r="C193" s="38">
        <f>IFERROR(VLOOKUP(A193,'Public v Private'!A:G,4,FALSE),"")</f>
        <v>0</v>
      </c>
      <c r="D193" s="38">
        <f>IFERROR(VLOOKUP(A193,'Public v Private'!A:G,5,FALSE),"")</f>
        <v>0</v>
      </c>
      <c r="E193" s="38"/>
      <c r="F193" s="40" t="str">
        <f>IFERROR(INDEX(Fall!$1:$1048576,MATCH(All!$A193,Fall!$A:$A,FALSE),MATCH(All!F$1,Fall!$1:$1,FALSE)),"N/A")</f>
        <v>416.00 (686.40)</v>
      </c>
      <c r="G193" t="str">
        <f>IFERROR(IF(INDEX(Fall!$1:$1048576,MATCH(All!$A193,Fall!$A:$A,FALSE),MATCH(All!G$1,Fall!$1:$1,FALSE))="","",INDEX(Fall!$1:$1048576,MATCH(All!$A193,Fall!$A:$A,FALSE),MATCH(All!G$1,Fall!$1:$1,FALSE))),"")</f>
        <v>1A</v>
      </c>
      <c r="H193" t="str">
        <f>IFERROR(IF(INDEX(Fall!$1:$1048576,MATCH(All!$A193,Fall!$A:$A,FALSE),MATCH(All!H$1,Fall!$1:$1,FALSE))="","",INDEX(Fall!$1:$1048576,MATCH(All!$A193,Fall!$A:$A,FALSE),MATCH(All!H$1,Fall!$1:$1,FALSE))),"")</f>
        <v>1A</v>
      </c>
      <c r="I193" t="str">
        <f>IFERROR(IF(INDEX(Fall!$1:$1048576,MATCH(All!$A193,Fall!$A:$A,FALSE),MATCH(All!I$1,Fall!$1:$1,FALSE))="","",INDEX(Fall!$1:$1048576,MATCH(All!$A193,Fall!$A:$A,FALSE),MATCH(All!I$1,Fall!$1:$1,FALSE))),"")</f>
        <v/>
      </c>
      <c r="J193" t="str">
        <f>IFERROR(IF(INDEX(Fall!$1:$1048576,MATCH(All!$A193,Fall!$A:$A,FALSE),MATCH(All!J$1,Fall!$1:$1,FALSE))="","",INDEX(Fall!$1:$1048576,MATCH(All!$A193,Fall!$A:$A,FALSE),MATCH(All!J$1,Fall!$1:$1,FALSE))),"")</f>
        <v/>
      </c>
      <c r="K193" t="str">
        <f>IFERROR(IF(INDEX(Fall!$1:$1048576,MATCH(All!$A193,Fall!$A:$A,FALSE),MATCH(All!K$1,Fall!$1:$1,FALSE))="","",INDEX(Fall!$1:$1048576,MATCH(All!$A193,Fall!$A:$A,FALSE),MATCH(All!K$1,Fall!$1:$1,FALSE))),"")</f>
        <v>1A</v>
      </c>
      <c r="L193" t="str">
        <f>IFERROR(IF(INDEX(Fall!$1:$1048576,MATCH(All!$A193,Fall!$A:$A,FALSE),MATCH(All!L$1,Fall!$1:$1,FALSE))="","",INDEX(Fall!$1:$1048576,MATCH(All!$A193,Fall!$A:$A,FALSE),MATCH(All!L$1,Fall!$1:$1,FALSE))),"")</f>
        <v/>
      </c>
      <c r="M193" t="str">
        <f>IFERROR(IF(INDEX(Fall!$1:$1048576,MATCH(All!$A193,Fall!$A:$A,FALSE),MATCH(All!M$1,Fall!$1:$1,FALSE))="","",INDEX(Fall!$1:$1048576,MATCH(All!$A193,Fall!$A:$A,FALSE),MATCH(All!M$1,Fall!$1:$1,FALSE))),"")</f>
        <v/>
      </c>
      <c r="O193" t="str">
        <f>IFERROR(IF(INDEX(Winter!$1:$1048576,MATCH(All!$A193,Winter!$A:$A,FALSE),MATCH(All!O$1,Winter!$1:$1,FALSE))="","",INDEX(Winter!$1:$1048576,MATCH(All!$A193,Winter!$A:$A,FALSE),MATCH(All!O$1,Winter!$1:$1,FALSE))),"")</f>
        <v/>
      </c>
      <c r="P193" t="str">
        <f>IFERROR(IF(INDEX(Winter!$1:$1048576,MATCH(All!$A193,Winter!$A:$A,FALSE),MATCH(All!P$1,Winter!$1:$1,FALSE))="","",INDEX(Winter!$1:$1048576,MATCH(All!$A193,Winter!$A:$A,FALSE),MATCH(All!P$1,Winter!$1:$1,FALSE))),"")</f>
        <v/>
      </c>
      <c r="Q193" t="str">
        <f>IFERROR(IF(INDEX(Winter!$1:$1048576,MATCH(All!$A193,Winter!$A:$A,FALSE),MATCH(All!Q$1,Winter!$1:$1,FALSE))="","",INDEX(Winter!$1:$1048576,MATCH(All!$A193,Winter!$A:$A,FALSE),MATCH(All!Q$1,Winter!$1:$1,FALSE))),"")</f>
        <v/>
      </c>
      <c r="R193" t="str">
        <f>IFERROR(IF(INDEX(Winter!$1:$1048576,MATCH(All!$A193,Winter!$A:$A,FALSE),MATCH(All!R$1,Winter!$1:$1,FALSE))="","",INDEX(Winter!$1:$1048576,MATCH(All!$A193,Winter!$A:$A,FALSE),MATCH(All!R$1,Winter!$1:$1,FALSE))),"")</f>
        <v/>
      </c>
      <c r="S193" t="str">
        <f>IFERROR(IF(INDEX(Winter!$1:$1048576,MATCH(All!$A193,Winter!$A:$A,FALSE),MATCH(All!S$1,Winter!$1:$1,FALSE))="","",INDEX(Winter!$1:$1048576,MATCH(All!$A193,Winter!$A:$A,FALSE),MATCH(All!S$1,Winter!$1:$1,FALSE))),"")</f>
        <v/>
      </c>
      <c r="T193" t="str">
        <f>IFERROR(IF(INDEX(Winter!$1:$1048576,MATCH(All!$A193,Winter!$A:$A,FALSE),MATCH(All!T$1,Winter!$1:$1,FALSE))="","",INDEX(Winter!$1:$1048576,MATCH(All!$A193,Winter!$A:$A,FALSE),MATCH(All!T$1,Winter!$1:$1,FALSE))),"")</f>
        <v/>
      </c>
      <c r="U193" t="str">
        <f>IFERROR(IF(INDEX(Winter!$1:$1048576,MATCH(All!$A193,Winter!$A:$A,FALSE),MATCH(All!U$1,Winter!$1:$1,FALSE))="","",INDEX(Winter!$1:$1048576,MATCH(All!$A193,Winter!$A:$A,FALSE),MATCH(All!U$1,Winter!$1:$1,FALSE))),"")</f>
        <v/>
      </c>
      <c r="W193" t="str">
        <f>IFERROR(IF(INDEX(Spring!$1:$1048576,MATCH(All!$A193,Spring!$A:$A,FALSE),MATCH(All!W$1,Spring!$1:$1,FALSE))="","",INDEX(Spring!$1:$1048576,MATCH(All!$A193,Spring!$A:$A,FALSE),MATCH(All!W$1,Spring!$1:$1,FALSE))),"")</f>
        <v>416.00 (686.40)</v>
      </c>
      <c r="X193" t="str">
        <f>IFERROR(IF(INDEX(Spring!$1:$1048576,MATCH(All!$A193,Spring!$A:$A,FALSE),MATCH(All!X$1,Spring!$1:$1,FALSE))="","",INDEX(Spring!$1:$1048576,MATCH(All!$A193,Spring!$A:$A,FALSE),MATCH(All!X$1,Spring!$1:$1,FALSE))),"")</f>
        <v/>
      </c>
      <c r="Y193" t="str">
        <f>IFERROR(IF(INDEX(Spring!$1:$1048576,MATCH(All!$A193,Spring!$A:$A,FALSE),MATCH(All!Y$1,Spring!$1:$1,FALSE))="","",INDEX(Spring!$1:$1048576,MATCH(All!$A193,Spring!$A:$A,FALSE),MATCH(All!Y$1,Spring!$1:$1,FALSE))),"")</f>
        <v/>
      </c>
      <c r="Z193" t="str">
        <f>IFERROR(IF(INDEX(Spring!$1:$1048576,MATCH(All!$A193,Spring!$A:$A,FALSE),MATCH(All!Z$1,Spring!$1:$1,FALSE))="","",INDEX(Spring!$1:$1048576,MATCH(All!$A193,Spring!$A:$A,FALSE),MATCH(All!Z$1,Spring!$1:$1,FALSE))),"")</f>
        <v>1A</v>
      </c>
      <c r="AA193" t="str">
        <f>IFERROR(IF(INDEX(Spring!$1:$1048576,MATCH(All!$A193,Spring!$A:$A,FALSE),MATCH(All!AA$1,Spring!$1:$1,FALSE))="","",INDEX(Spring!$1:$1048576,MATCH(All!$A193,Spring!$A:$A,FALSE),MATCH(All!AA$1,Spring!$1:$1,FALSE))),"")</f>
        <v/>
      </c>
      <c r="AB193" t="str">
        <f>IFERROR(IF(INDEX(Spring!$1:$1048576,MATCH(All!$A193,Spring!$A:$A,FALSE),MATCH(All!AB$1,Spring!$1:$1,FALSE))="","",INDEX(Spring!$1:$1048576,MATCH(All!$A193,Spring!$A:$A,FALSE),MATCH(All!AB$1,Spring!$1:$1,FALSE))),"")</f>
        <v>1A</v>
      </c>
      <c r="AC193" t="str">
        <f>IFERROR(IF(INDEX(Spring!$1:$1048576,MATCH(All!$A193,Spring!$A:$A,FALSE),MATCH(All!AC$1,Spring!$1:$1,FALSE))="","",INDEX(Spring!$1:$1048576,MATCH(All!$A193,Spring!$A:$A,FALSE),MATCH(All!AC$1,Spring!$1:$1,FALSE))),"")</f>
        <v>1A</v>
      </c>
      <c r="AD193" t="str">
        <f>IFERROR(VLOOKUP(A193,'Flag Football'!A:A,1,FALSE),"")</f>
        <v/>
      </c>
      <c r="AE193" t="str">
        <f t="shared" si="2"/>
        <v/>
      </c>
    </row>
    <row r="194" spans="1:31" ht="15.75" thickBot="1" x14ac:dyDescent="0.3">
      <c r="A194" s="18" t="s">
        <v>241</v>
      </c>
      <c r="B194" s="38" t="str">
        <f>IFERROR(VLOOKUP(A194,'Public v Private'!A:G,3,FALSE),"")</f>
        <v>private</v>
      </c>
      <c r="C194" s="38">
        <f>IFERROR(VLOOKUP(A194,'Public v Private'!A:G,4,FALSE),"")</f>
        <v>1</v>
      </c>
      <c r="D194" s="38">
        <f>IFERROR(VLOOKUP(A194,'Public v Private'!A:G,5,FALSE),"")</f>
        <v>3</v>
      </c>
      <c r="E194" s="38"/>
      <c r="F194" s="40" t="str">
        <f>IFERROR(INDEX(Fall!$1:$1048576,MATCH(All!$A194,Fall!$A:$A,FALSE),MATCH(All!F$1,Fall!$1:$1,FALSE)),"N/A")</f>
        <v>1,507.00 (2,486.55)</v>
      </c>
      <c r="G194" t="str">
        <f>IFERROR(IF(INDEX(Fall!$1:$1048576,MATCH(All!$A194,Fall!$A:$A,FALSE),MATCH(All!G$1,Fall!$1:$1,FALSE))="","",INDEX(Fall!$1:$1048576,MATCH(All!$A194,Fall!$A:$A,FALSE),MATCH(All!G$1,Fall!$1:$1,FALSE))),"")</f>
        <v>3A</v>
      </c>
      <c r="H194" t="str">
        <f>IFERROR(IF(INDEX(Fall!$1:$1048576,MATCH(All!$A194,Fall!$A:$A,FALSE),MATCH(All!H$1,Fall!$1:$1,FALSE))="","",INDEX(Fall!$1:$1048576,MATCH(All!$A194,Fall!$A:$A,FALSE),MATCH(All!H$1,Fall!$1:$1,FALSE))),"")</f>
        <v>3A</v>
      </c>
      <c r="I194" t="str">
        <f>IFERROR(IF(INDEX(Fall!$1:$1048576,MATCH(All!$A194,Fall!$A:$A,FALSE),MATCH(All!I$1,Fall!$1:$1,FALSE))="","",INDEX(Fall!$1:$1048576,MATCH(All!$A194,Fall!$A:$A,FALSE),MATCH(All!I$1,Fall!$1:$1,FALSE))),"")</f>
        <v>3A</v>
      </c>
      <c r="J194" t="str">
        <f>IFERROR(IF(INDEX(Fall!$1:$1048576,MATCH(All!$A194,Fall!$A:$A,FALSE),MATCH(All!J$1,Fall!$1:$1,FALSE))="","",INDEX(Fall!$1:$1048576,MATCH(All!$A194,Fall!$A:$A,FALSE),MATCH(All!J$1,Fall!$1:$1,FALSE))),"")</f>
        <v>2A</v>
      </c>
      <c r="K194" t="str">
        <f>IFERROR(IF(INDEX(Fall!$1:$1048576,MATCH(All!$A194,Fall!$A:$A,FALSE),MATCH(All!K$1,Fall!$1:$1,FALSE))="","",INDEX(Fall!$1:$1048576,MATCH(All!$A194,Fall!$A:$A,FALSE),MATCH(All!K$1,Fall!$1:$1,FALSE))),"")</f>
        <v>3A</v>
      </c>
      <c r="L194" t="str">
        <f>IFERROR(IF(INDEX(Fall!$1:$1048576,MATCH(All!$A194,Fall!$A:$A,FALSE),MATCH(All!L$1,Fall!$1:$1,FALSE))="","",INDEX(Fall!$1:$1048576,MATCH(All!$A194,Fall!$A:$A,FALSE),MATCH(All!L$1,Fall!$1:$1,FALSE))),"")</f>
        <v>2A</v>
      </c>
      <c r="M194" t="str">
        <f>IFERROR(IF(INDEX(Fall!$1:$1048576,MATCH(All!$A194,Fall!$A:$A,FALSE),MATCH(All!M$1,Fall!$1:$1,FALSE))="","",INDEX(Fall!$1:$1048576,MATCH(All!$A194,Fall!$A:$A,FALSE),MATCH(All!M$1,Fall!$1:$1,FALSE))),"")</f>
        <v>4A</v>
      </c>
      <c r="O194" t="str">
        <f>IFERROR(IF(INDEX(Winter!$1:$1048576,MATCH(All!$A194,Winter!$A:$A,FALSE),MATCH(All!O$1,Winter!$1:$1,FALSE))="","",INDEX(Winter!$1:$1048576,MATCH(All!$A194,Winter!$A:$A,FALSE),MATCH(All!O$1,Winter!$1:$1,FALSE))),"")</f>
        <v>1,507.00 (2,486.55)</v>
      </c>
      <c r="P194" t="str">
        <f>IFERROR(IF(INDEX(Winter!$1:$1048576,MATCH(All!$A194,Winter!$A:$A,FALSE),MATCH(All!P$1,Winter!$1:$1,FALSE))="","",INDEX(Winter!$1:$1048576,MATCH(All!$A194,Winter!$A:$A,FALSE),MATCH(All!P$1,Winter!$1:$1,FALSE))),"")</f>
        <v>4A</v>
      </c>
      <c r="Q194" t="str">
        <f>IFERROR(IF(INDEX(Winter!$1:$1048576,MATCH(All!$A194,Winter!$A:$A,FALSE),MATCH(All!Q$1,Winter!$1:$1,FALSE))="","",INDEX(Winter!$1:$1048576,MATCH(All!$A194,Winter!$A:$A,FALSE),MATCH(All!Q$1,Winter!$1:$1,FALSE))),"")</f>
        <v>4A</v>
      </c>
      <c r="R194" t="str">
        <f>IFERROR(IF(INDEX(Winter!$1:$1048576,MATCH(All!$A194,Winter!$A:$A,FALSE),MATCH(All!R$1,Winter!$1:$1,FALSE))="","",INDEX(Winter!$1:$1048576,MATCH(All!$A194,Winter!$A:$A,FALSE),MATCH(All!R$1,Winter!$1:$1,FALSE))),"")</f>
        <v>3A</v>
      </c>
      <c r="S194" t="str">
        <f>IFERROR(IF(INDEX(Winter!$1:$1048576,MATCH(All!$A194,Winter!$A:$A,FALSE),MATCH(All!S$1,Winter!$1:$1,FALSE))="","",INDEX(Winter!$1:$1048576,MATCH(All!$A194,Winter!$A:$A,FALSE),MATCH(All!S$1,Winter!$1:$1,FALSE))),"")</f>
        <v>3A</v>
      </c>
      <c r="T194" t="str">
        <f>IFERROR(IF(INDEX(Winter!$1:$1048576,MATCH(All!$A194,Winter!$A:$A,FALSE),MATCH(All!T$1,Winter!$1:$1,FALSE))="","",INDEX(Winter!$1:$1048576,MATCH(All!$A194,Winter!$A:$A,FALSE),MATCH(All!T$1,Winter!$1:$1,FALSE))),"")</f>
        <v>2A</v>
      </c>
      <c r="U194" t="str">
        <f>IFERROR(IF(INDEX(Winter!$1:$1048576,MATCH(All!$A194,Winter!$A:$A,FALSE),MATCH(All!U$1,Winter!$1:$1,FALSE))="","",INDEX(Winter!$1:$1048576,MATCH(All!$A194,Winter!$A:$A,FALSE),MATCH(All!U$1,Winter!$1:$1,FALSE))),"")</f>
        <v>3A</v>
      </c>
      <c r="W194" t="str">
        <f>IFERROR(IF(INDEX(Spring!$1:$1048576,MATCH(All!$A194,Spring!$A:$A,FALSE),MATCH(All!W$1,Spring!$1:$1,FALSE))="","",INDEX(Spring!$1:$1048576,MATCH(All!$A194,Spring!$A:$A,FALSE),MATCH(All!W$1,Spring!$1:$1,FALSE))),"")</f>
        <v>1,507.00 (2,486.55)</v>
      </c>
      <c r="X194" t="str">
        <f>IFERROR(IF(INDEX(Spring!$1:$1048576,MATCH(All!$A194,Spring!$A:$A,FALSE),MATCH(All!X$1,Spring!$1:$1,FALSE))="","",INDEX(Spring!$1:$1048576,MATCH(All!$A194,Spring!$A:$A,FALSE),MATCH(All!X$1,Spring!$1:$1,FALSE))),"")</f>
        <v>4A</v>
      </c>
      <c r="Y194" t="str">
        <f>IFERROR(IF(INDEX(Spring!$1:$1048576,MATCH(All!$A194,Spring!$A:$A,FALSE),MATCH(All!Y$1,Spring!$1:$1,FALSE))="","",INDEX(Spring!$1:$1048576,MATCH(All!$A194,Spring!$A:$A,FALSE),MATCH(All!Y$1,Spring!$1:$1,FALSE))),"")</f>
        <v>4A</v>
      </c>
      <c r="Z194" t="str">
        <f>IFERROR(IF(INDEX(Spring!$1:$1048576,MATCH(All!$A194,Spring!$A:$A,FALSE),MATCH(All!Z$1,Spring!$1:$1,FALSE))="","",INDEX(Spring!$1:$1048576,MATCH(All!$A194,Spring!$A:$A,FALSE),MATCH(All!Z$1,Spring!$1:$1,FALSE))),"")</f>
        <v>3A</v>
      </c>
      <c r="AA194" t="str">
        <f>IFERROR(IF(INDEX(Spring!$1:$1048576,MATCH(All!$A194,Spring!$A:$A,FALSE),MATCH(All!AA$1,Spring!$1:$1,FALSE))="","",INDEX(Spring!$1:$1048576,MATCH(All!$A194,Spring!$A:$A,FALSE),MATCH(All!AA$1,Spring!$1:$1,FALSE))),"")</f>
        <v>2A</v>
      </c>
      <c r="AB194" t="str">
        <f>IFERROR(IF(INDEX(Spring!$1:$1048576,MATCH(All!$A194,Spring!$A:$A,FALSE),MATCH(All!AB$1,Spring!$1:$1,FALSE))="","",INDEX(Spring!$1:$1048576,MATCH(All!$A194,Spring!$A:$A,FALSE),MATCH(All!AB$1,Spring!$1:$1,FALSE))),"")</f>
        <v>3A</v>
      </c>
      <c r="AC194" t="str">
        <f>IFERROR(IF(INDEX(Spring!$1:$1048576,MATCH(All!$A194,Spring!$A:$A,FALSE),MATCH(All!AC$1,Spring!$1:$1,FALSE))="","",INDEX(Spring!$1:$1048576,MATCH(All!$A194,Spring!$A:$A,FALSE),MATCH(All!AC$1,Spring!$1:$1,FALSE))),"")</f>
        <v>3A</v>
      </c>
      <c r="AD194" t="str">
        <f>IFERROR(VLOOKUP(A194,'Flag Football'!A:A,1,FALSE),"")</f>
        <v>Chicago (Marist)</v>
      </c>
      <c r="AE194" t="str">
        <f t="shared" si="2"/>
        <v>1A</v>
      </c>
    </row>
    <row r="195" spans="1:31" ht="15.75" thickBot="1" x14ac:dyDescent="0.3">
      <c r="A195" s="18" t="s">
        <v>931</v>
      </c>
      <c r="B195" s="38">
        <f>IFERROR(VLOOKUP(A195,'Public v Private'!A:G,3,FALSE),"")</f>
        <v>0</v>
      </c>
      <c r="C195" s="38">
        <f>IFERROR(VLOOKUP(A195,'Public v Private'!A:G,4,FALSE),"")</f>
        <v>0</v>
      </c>
      <c r="D195" s="38">
        <f>IFERROR(VLOOKUP(A195,'Public v Private'!A:G,5,FALSE),"")</f>
        <v>0</v>
      </c>
      <c r="E195" s="38"/>
      <c r="F195" s="40" t="str">
        <f>IFERROR(INDEX(Fall!$1:$1048576,MATCH(All!$A195,Fall!$A:$A,FALSE),MATCH(All!F$1,Fall!$1:$1,FALSE)),"N/A")</f>
        <v>N/A</v>
      </c>
      <c r="G195" t="str">
        <f>IFERROR(IF(INDEX(Fall!$1:$1048576,MATCH(All!$A195,Fall!$A:$A,FALSE),MATCH(All!G$1,Fall!$1:$1,FALSE))="","",INDEX(Fall!$1:$1048576,MATCH(All!$A195,Fall!$A:$A,FALSE),MATCH(All!G$1,Fall!$1:$1,FALSE))),"")</f>
        <v/>
      </c>
      <c r="H195" t="str">
        <f>IFERROR(IF(INDEX(Fall!$1:$1048576,MATCH(All!$A195,Fall!$A:$A,FALSE),MATCH(All!H$1,Fall!$1:$1,FALSE))="","",INDEX(Fall!$1:$1048576,MATCH(All!$A195,Fall!$A:$A,FALSE),MATCH(All!H$1,Fall!$1:$1,FALSE))),"")</f>
        <v/>
      </c>
      <c r="I195" t="str">
        <f>IFERROR(IF(INDEX(Fall!$1:$1048576,MATCH(All!$A195,Fall!$A:$A,FALSE),MATCH(All!I$1,Fall!$1:$1,FALSE))="","",INDEX(Fall!$1:$1048576,MATCH(All!$A195,Fall!$A:$A,FALSE),MATCH(All!I$1,Fall!$1:$1,FALSE))),"")</f>
        <v/>
      </c>
      <c r="J195" t="str">
        <f>IFERROR(IF(INDEX(Fall!$1:$1048576,MATCH(All!$A195,Fall!$A:$A,FALSE),MATCH(All!J$1,Fall!$1:$1,FALSE))="","",INDEX(Fall!$1:$1048576,MATCH(All!$A195,Fall!$A:$A,FALSE),MATCH(All!J$1,Fall!$1:$1,FALSE))),"")</f>
        <v/>
      </c>
      <c r="K195" t="str">
        <f>IFERROR(IF(INDEX(Fall!$1:$1048576,MATCH(All!$A195,Fall!$A:$A,FALSE),MATCH(All!K$1,Fall!$1:$1,FALSE))="","",INDEX(Fall!$1:$1048576,MATCH(All!$A195,Fall!$A:$A,FALSE),MATCH(All!K$1,Fall!$1:$1,FALSE))),"")</f>
        <v/>
      </c>
      <c r="L195" t="str">
        <f>IFERROR(IF(INDEX(Fall!$1:$1048576,MATCH(All!$A195,Fall!$A:$A,FALSE),MATCH(All!L$1,Fall!$1:$1,FALSE))="","",INDEX(Fall!$1:$1048576,MATCH(All!$A195,Fall!$A:$A,FALSE),MATCH(All!L$1,Fall!$1:$1,FALSE))),"")</f>
        <v/>
      </c>
      <c r="M195" t="str">
        <f>IFERROR(IF(INDEX(Fall!$1:$1048576,MATCH(All!$A195,Fall!$A:$A,FALSE),MATCH(All!M$1,Fall!$1:$1,FALSE))="","",INDEX(Fall!$1:$1048576,MATCH(All!$A195,Fall!$A:$A,FALSE),MATCH(All!M$1,Fall!$1:$1,FALSE))),"")</f>
        <v/>
      </c>
      <c r="O195">
        <f>IFERROR(IF(INDEX(Winter!$1:$1048576,MATCH(All!$A195,Winter!$A:$A,FALSE),MATCH(All!O$1,Winter!$1:$1,FALSE))="","",INDEX(Winter!$1:$1048576,MATCH(All!$A195,Winter!$A:$A,FALSE),MATCH(All!O$1,Winter!$1:$1,FALSE))),"")</f>
        <v>197</v>
      </c>
      <c r="P195" t="str">
        <f>IFERROR(IF(INDEX(Winter!$1:$1048576,MATCH(All!$A195,Winter!$A:$A,FALSE),MATCH(All!P$1,Winter!$1:$1,FALSE))="","",INDEX(Winter!$1:$1048576,MATCH(All!$A195,Winter!$A:$A,FALSE),MATCH(All!P$1,Winter!$1:$1,FALSE))),"")</f>
        <v>1A</v>
      </c>
      <c r="Q195" t="str">
        <f>IFERROR(IF(INDEX(Winter!$1:$1048576,MATCH(All!$A195,Winter!$A:$A,FALSE),MATCH(All!Q$1,Winter!$1:$1,FALSE))="","",INDEX(Winter!$1:$1048576,MATCH(All!$A195,Winter!$A:$A,FALSE),MATCH(All!Q$1,Winter!$1:$1,FALSE))),"")</f>
        <v>2A</v>
      </c>
      <c r="R195" t="str">
        <f>IFERROR(IF(INDEX(Winter!$1:$1048576,MATCH(All!$A195,Winter!$A:$A,FALSE),MATCH(All!R$1,Winter!$1:$1,FALSE))="","",INDEX(Winter!$1:$1048576,MATCH(All!$A195,Winter!$A:$A,FALSE),MATCH(All!R$1,Winter!$1:$1,FALSE))),"")</f>
        <v/>
      </c>
      <c r="S195" t="str">
        <f>IFERROR(IF(INDEX(Winter!$1:$1048576,MATCH(All!$A195,Winter!$A:$A,FALSE),MATCH(All!S$1,Winter!$1:$1,FALSE))="","",INDEX(Winter!$1:$1048576,MATCH(All!$A195,Winter!$A:$A,FALSE),MATCH(All!S$1,Winter!$1:$1,FALSE))),"")</f>
        <v/>
      </c>
      <c r="T195" t="str">
        <f>IFERROR(IF(INDEX(Winter!$1:$1048576,MATCH(All!$A195,Winter!$A:$A,FALSE),MATCH(All!T$1,Winter!$1:$1,FALSE))="","",INDEX(Winter!$1:$1048576,MATCH(All!$A195,Winter!$A:$A,FALSE),MATCH(All!T$1,Winter!$1:$1,FALSE))),"")</f>
        <v/>
      </c>
      <c r="U195" t="str">
        <f>IFERROR(IF(INDEX(Winter!$1:$1048576,MATCH(All!$A195,Winter!$A:$A,FALSE),MATCH(All!U$1,Winter!$1:$1,FALSE))="","",INDEX(Winter!$1:$1048576,MATCH(All!$A195,Winter!$A:$A,FALSE),MATCH(All!U$1,Winter!$1:$1,FALSE))),"")</f>
        <v>1A</v>
      </c>
      <c r="W195" t="str">
        <f>IFERROR(IF(INDEX(Spring!$1:$1048576,MATCH(All!$A195,Spring!$A:$A,FALSE),MATCH(All!W$1,Spring!$1:$1,FALSE))="","",INDEX(Spring!$1:$1048576,MATCH(All!$A195,Spring!$A:$A,FALSE),MATCH(All!W$1,Spring!$1:$1,FALSE))),"")</f>
        <v/>
      </c>
      <c r="X195" t="str">
        <f>IFERROR(IF(INDEX(Spring!$1:$1048576,MATCH(All!$A195,Spring!$A:$A,FALSE),MATCH(All!X$1,Spring!$1:$1,FALSE))="","",INDEX(Spring!$1:$1048576,MATCH(All!$A195,Spring!$A:$A,FALSE),MATCH(All!X$1,Spring!$1:$1,FALSE))),"")</f>
        <v/>
      </c>
      <c r="Y195" t="str">
        <f>IFERROR(IF(INDEX(Spring!$1:$1048576,MATCH(All!$A195,Spring!$A:$A,FALSE),MATCH(All!Y$1,Spring!$1:$1,FALSE))="","",INDEX(Spring!$1:$1048576,MATCH(All!$A195,Spring!$A:$A,FALSE),MATCH(All!Y$1,Spring!$1:$1,FALSE))),"")</f>
        <v/>
      </c>
      <c r="Z195" t="str">
        <f>IFERROR(IF(INDEX(Spring!$1:$1048576,MATCH(All!$A195,Spring!$A:$A,FALSE),MATCH(All!Z$1,Spring!$1:$1,FALSE))="","",INDEX(Spring!$1:$1048576,MATCH(All!$A195,Spring!$A:$A,FALSE),MATCH(All!Z$1,Spring!$1:$1,FALSE))),"")</f>
        <v/>
      </c>
      <c r="AA195" t="str">
        <f>IFERROR(IF(INDEX(Spring!$1:$1048576,MATCH(All!$A195,Spring!$A:$A,FALSE),MATCH(All!AA$1,Spring!$1:$1,FALSE))="","",INDEX(Spring!$1:$1048576,MATCH(All!$A195,Spring!$A:$A,FALSE),MATCH(All!AA$1,Spring!$1:$1,FALSE))),"")</f>
        <v/>
      </c>
      <c r="AB195" t="str">
        <f>IFERROR(IF(INDEX(Spring!$1:$1048576,MATCH(All!$A195,Spring!$A:$A,FALSE),MATCH(All!AB$1,Spring!$1:$1,FALSE))="","",INDEX(Spring!$1:$1048576,MATCH(All!$A195,Spring!$A:$A,FALSE),MATCH(All!AB$1,Spring!$1:$1,FALSE))),"")</f>
        <v/>
      </c>
      <c r="AC195" t="str">
        <f>IFERROR(IF(INDEX(Spring!$1:$1048576,MATCH(All!$A195,Spring!$A:$A,FALSE),MATCH(All!AC$1,Spring!$1:$1,FALSE))="","",INDEX(Spring!$1:$1048576,MATCH(All!$A195,Spring!$A:$A,FALSE),MATCH(All!AC$1,Spring!$1:$1,FALSE))),"")</f>
        <v/>
      </c>
      <c r="AD195" t="str">
        <f>IFERROR(VLOOKUP(A195,'Flag Football'!A:A,1,FALSE),"")</f>
        <v/>
      </c>
      <c r="AE195" t="str">
        <f t="shared" ref="AE195:AE258" si="3">IF(AD195="","","1A")</f>
        <v/>
      </c>
    </row>
    <row r="196" spans="1:31" ht="15.75" thickBot="1" x14ac:dyDescent="0.3">
      <c r="A196" s="20" t="s">
        <v>243</v>
      </c>
      <c r="B196" s="38">
        <f>IFERROR(VLOOKUP(A196,'Public v Private'!A:G,3,FALSE),"")</f>
        <v>0</v>
      </c>
      <c r="C196" s="38">
        <f>IFERROR(VLOOKUP(A196,'Public v Private'!A:G,4,FALSE),"")</f>
        <v>0</v>
      </c>
      <c r="D196" s="38">
        <f>IFERROR(VLOOKUP(A196,'Public v Private'!A:G,5,FALSE),"")</f>
        <v>0</v>
      </c>
      <c r="E196" s="38"/>
      <c r="F196" s="40">
        <f>IFERROR(INDEX(Fall!$1:$1048576,MATCH(All!$A196,Fall!$A:$A,FALSE),MATCH(All!F$1,Fall!$1:$1,FALSE)),"N/A")</f>
        <v>1657</v>
      </c>
      <c r="G196" t="str">
        <f>IFERROR(IF(INDEX(Fall!$1:$1048576,MATCH(All!$A196,Fall!$A:$A,FALSE),MATCH(All!G$1,Fall!$1:$1,FALSE))="","",INDEX(Fall!$1:$1048576,MATCH(All!$A196,Fall!$A:$A,FALSE),MATCH(All!G$1,Fall!$1:$1,FALSE))),"")</f>
        <v>3A</v>
      </c>
      <c r="H196" t="str">
        <f>IFERROR(IF(INDEX(Fall!$1:$1048576,MATCH(All!$A196,Fall!$A:$A,FALSE),MATCH(All!H$1,Fall!$1:$1,FALSE))="","",INDEX(Fall!$1:$1048576,MATCH(All!$A196,Fall!$A:$A,FALSE),MATCH(All!H$1,Fall!$1:$1,FALSE))),"")</f>
        <v>3A</v>
      </c>
      <c r="I196" t="str">
        <f>IFERROR(IF(INDEX(Fall!$1:$1048576,MATCH(All!$A196,Fall!$A:$A,FALSE),MATCH(All!I$1,Fall!$1:$1,FALSE))="","",INDEX(Fall!$1:$1048576,MATCH(All!$A196,Fall!$A:$A,FALSE),MATCH(All!I$1,Fall!$1:$1,FALSE))),"")</f>
        <v/>
      </c>
      <c r="J196" t="str">
        <f>IFERROR(IF(INDEX(Fall!$1:$1048576,MATCH(All!$A196,Fall!$A:$A,FALSE),MATCH(All!J$1,Fall!$1:$1,FALSE))="","",INDEX(Fall!$1:$1048576,MATCH(All!$A196,Fall!$A:$A,FALSE),MATCH(All!J$1,Fall!$1:$1,FALSE))),"")</f>
        <v/>
      </c>
      <c r="K196" t="str">
        <f>IFERROR(IF(INDEX(Fall!$1:$1048576,MATCH(All!$A196,Fall!$A:$A,FALSE),MATCH(All!K$1,Fall!$1:$1,FALSE))="","",INDEX(Fall!$1:$1048576,MATCH(All!$A196,Fall!$A:$A,FALSE),MATCH(All!K$1,Fall!$1:$1,FALSE))),"")</f>
        <v>2A</v>
      </c>
      <c r="L196" t="str">
        <f>IFERROR(IF(INDEX(Fall!$1:$1048576,MATCH(All!$A196,Fall!$A:$A,FALSE),MATCH(All!L$1,Fall!$1:$1,FALSE))="","",INDEX(Fall!$1:$1048576,MATCH(All!$A196,Fall!$A:$A,FALSE),MATCH(All!L$1,Fall!$1:$1,FALSE))),"")</f>
        <v>2A</v>
      </c>
      <c r="M196" t="str">
        <f>IFERROR(IF(INDEX(Fall!$1:$1048576,MATCH(All!$A196,Fall!$A:$A,FALSE),MATCH(All!M$1,Fall!$1:$1,FALSE))="","",INDEX(Fall!$1:$1048576,MATCH(All!$A196,Fall!$A:$A,FALSE),MATCH(All!M$1,Fall!$1:$1,FALSE))),"")</f>
        <v/>
      </c>
      <c r="O196">
        <f>IFERROR(IF(INDEX(Winter!$1:$1048576,MATCH(All!$A196,Winter!$A:$A,FALSE),MATCH(All!O$1,Winter!$1:$1,FALSE))="","",INDEX(Winter!$1:$1048576,MATCH(All!$A196,Winter!$A:$A,FALSE),MATCH(All!O$1,Winter!$1:$1,FALSE))),"")</f>
        <v>1657</v>
      </c>
      <c r="P196" t="str">
        <f>IFERROR(IF(INDEX(Winter!$1:$1048576,MATCH(All!$A196,Winter!$A:$A,FALSE),MATCH(All!P$1,Winter!$1:$1,FALSE))="","",INDEX(Winter!$1:$1048576,MATCH(All!$A196,Winter!$A:$A,FALSE),MATCH(All!P$1,Winter!$1:$1,FALSE))),"")</f>
        <v>4A</v>
      </c>
      <c r="Q196" t="str">
        <f>IFERROR(IF(INDEX(Winter!$1:$1048576,MATCH(All!$A196,Winter!$A:$A,FALSE),MATCH(All!Q$1,Winter!$1:$1,FALSE))="","",INDEX(Winter!$1:$1048576,MATCH(All!$A196,Winter!$A:$A,FALSE),MATCH(All!Q$1,Winter!$1:$1,FALSE))),"")</f>
        <v>4A</v>
      </c>
      <c r="R196" t="str">
        <f>IFERROR(IF(INDEX(Winter!$1:$1048576,MATCH(All!$A196,Winter!$A:$A,FALSE),MATCH(All!R$1,Winter!$1:$1,FALSE))="","",INDEX(Winter!$1:$1048576,MATCH(All!$A196,Winter!$A:$A,FALSE),MATCH(All!R$1,Winter!$1:$1,FALSE))),"")</f>
        <v/>
      </c>
      <c r="S196" t="str">
        <f>IFERROR(IF(INDEX(Winter!$1:$1048576,MATCH(All!$A196,Winter!$A:$A,FALSE),MATCH(All!S$1,Winter!$1:$1,FALSE))="","",INDEX(Winter!$1:$1048576,MATCH(All!$A196,Winter!$A:$A,FALSE),MATCH(All!S$1,Winter!$1:$1,FALSE))),"")</f>
        <v/>
      </c>
      <c r="T196" t="str">
        <f>IFERROR(IF(INDEX(Winter!$1:$1048576,MATCH(All!$A196,Winter!$A:$A,FALSE),MATCH(All!T$1,Winter!$1:$1,FALSE))="","",INDEX(Winter!$1:$1048576,MATCH(All!$A196,Winter!$A:$A,FALSE),MATCH(All!T$1,Winter!$1:$1,FALSE))),"")</f>
        <v/>
      </c>
      <c r="U196" t="str">
        <f>IFERROR(IF(INDEX(Winter!$1:$1048576,MATCH(All!$A196,Winter!$A:$A,FALSE),MATCH(All!U$1,Winter!$1:$1,FALSE))="","",INDEX(Winter!$1:$1048576,MATCH(All!$A196,Winter!$A:$A,FALSE),MATCH(All!U$1,Winter!$1:$1,FALSE))),"")</f>
        <v>3A</v>
      </c>
      <c r="W196">
        <f>IFERROR(IF(INDEX(Spring!$1:$1048576,MATCH(All!$A196,Spring!$A:$A,FALSE),MATCH(All!W$1,Spring!$1:$1,FALSE))="","",INDEX(Spring!$1:$1048576,MATCH(All!$A196,Spring!$A:$A,FALSE),MATCH(All!W$1,Spring!$1:$1,FALSE))),"")</f>
        <v>1657</v>
      </c>
      <c r="X196" t="str">
        <f>IFERROR(IF(INDEX(Spring!$1:$1048576,MATCH(All!$A196,Spring!$A:$A,FALSE),MATCH(All!X$1,Spring!$1:$1,FALSE))="","",INDEX(Spring!$1:$1048576,MATCH(All!$A196,Spring!$A:$A,FALSE),MATCH(All!X$1,Spring!$1:$1,FALSE))),"")</f>
        <v>4A</v>
      </c>
      <c r="Y196" t="str">
        <f>IFERROR(IF(INDEX(Spring!$1:$1048576,MATCH(All!$A196,Spring!$A:$A,FALSE),MATCH(All!Y$1,Spring!$1:$1,FALSE))="","",INDEX(Spring!$1:$1048576,MATCH(All!$A196,Spring!$A:$A,FALSE),MATCH(All!Y$1,Spring!$1:$1,FALSE))),"")</f>
        <v/>
      </c>
      <c r="Z196" t="str">
        <f>IFERROR(IF(INDEX(Spring!$1:$1048576,MATCH(All!$A196,Spring!$A:$A,FALSE),MATCH(All!Z$1,Spring!$1:$1,FALSE))="","",INDEX(Spring!$1:$1048576,MATCH(All!$A196,Spring!$A:$A,FALSE),MATCH(All!Z$1,Spring!$1:$1,FALSE))),"")</f>
        <v/>
      </c>
      <c r="AA196" t="str">
        <f>IFERROR(IF(INDEX(Spring!$1:$1048576,MATCH(All!$A196,Spring!$A:$A,FALSE),MATCH(All!AA$1,Spring!$1:$1,FALSE))="","",INDEX(Spring!$1:$1048576,MATCH(All!$A196,Spring!$A:$A,FALSE),MATCH(All!AA$1,Spring!$1:$1,FALSE))),"")</f>
        <v>2A</v>
      </c>
      <c r="AB196" t="str">
        <f>IFERROR(IF(INDEX(Spring!$1:$1048576,MATCH(All!$A196,Spring!$A:$A,FALSE),MATCH(All!AB$1,Spring!$1:$1,FALSE))="","",INDEX(Spring!$1:$1048576,MATCH(All!$A196,Spring!$A:$A,FALSE),MATCH(All!AB$1,Spring!$1:$1,FALSE))),"")</f>
        <v>3A</v>
      </c>
      <c r="AC196" t="str">
        <f>IFERROR(IF(INDEX(Spring!$1:$1048576,MATCH(All!$A196,Spring!$A:$A,FALSE),MATCH(All!AC$1,Spring!$1:$1,FALSE))="","",INDEX(Spring!$1:$1048576,MATCH(All!$A196,Spring!$A:$A,FALSE),MATCH(All!AC$1,Spring!$1:$1,FALSE))),"")</f>
        <v>3A</v>
      </c>
      <c r="AD196" t="str">
        <f>IFERROR(VLOOKUP(A196,'Flag Football'!A:A,1,FALSE),"")</f>
        <v/>
      </c>
      <c r="AE196" t="str">
        <f t="shared" si="3"/>
        <v/>
      </c>
    </row>
    <row r="197" spans="1:31" ht="15.75" thickBot="1" x14ac:dyDescent="0.3">
      <c r="A197" s="18" t="s">
        <v>244</v>
      </c>
      <c r="B197" s="38" t="str">
        <f>IFERROR(VLOOKUP(A197,'Public v Private'!A:G,3,FALSE),"")</f>
        <v>private</v>
      </c>
      <c r="C197" s="38">
        <f>IFERROR(VLOOKUP(A197,'Public v Private'!A:G,4,FALSE),"")</f>
        <v>1</v>
      </c>
      <c r="D197" s="38">
        <f>IFERROR(VLOOKUP(A197,'Public v Private'!A:G,5,FALSE),"")</f>
        <v>3</v>
      </c>
      <c r="E197" s="38"/>
      <c r="F197" s="40" t="str">
        <f>IFERROR(INDEX(Fall!$1:$1048576,MATCH(All!$A197,Fall!$A:$A,FALSE),MATCH(All!F$1,Fall!$1:$1,FALSE)),"N/A")</f>
        <v>110.00 (181.50)</v>
      </c>
      <c r="G197" t="str">
        <f>IFERROR(IF(INDEX(Fall!$1:$1048576,MATCH(All!$A197,Fall!$A:$A,FALSE),MATCH(All!G$1,Fall!$1:$1,FALSE))="","",INDEX(Fall!$1:$1048576,MATCH(All!$A197,Fall!$A:$A,FALSE),MATCH(All!G$1,Fall!$1:$1,FALSE))),"")</f>
        <v/>
      </c>
      <c r="H197" t="str">
        <f>IFERROR(IF(INDEX(Fall!$1:$1048576,MATCH(All!$A197,Fall!$A:$A,FALSE),MATCH(All!H$1,Fall!$1:$1,FALSE))="","",INDEX(Fall!$1:$1048576,MATCH(All!$A197,Fall!$A:$A,FALSE),MATCH(All!H$1,Fall!$1:$1,FALSE))),"")</f>
        <v/>
      </c>
      <c r="I197" t="str">
        <f>IFERROR(IF(INDEX(Fall!$1:$1048576,MATCH(All!$A197,Fall!$A:$A,FALSE),MATCH(All!I$1,Fall!$1:$1,FALSE))="","",INDEX(Fall!$1:$1048576,MATCH(All!$A197,Fall!$A:$A,FALSE),MATCH(All!I$1,Fall!$1:$1,FALSE))),"")</f>
        <v/>
      </c>
      <c r="J197" t="str">
        <f>IFERROR(IF(INDEX(Fall!$1:$1048576,MATCH(All!$A197,Fall!$A:$A,FALSE),MATCH(All!J$1,Fall!$1:$1,FALSE))="","",INDEX(Fall!$1:$1048576,MATCH(All!$A197,Fall!$A:$A,FALSE),MATCH(All!J$1,Fall!$1:$1,FALSE))),"")</f>
        <v/>
      </c>
      <c r="K197" t="str">
        <f>IFERROR(IF(INDEX(Fall!$1:$1048576,MATCH(All!$A197,Fall!$A:$A,FALSE),MATCH(All!K$1,Fall!$1:$1,FALSE))="","",INDEX(Fall!$1:$1048576,MATCH(All!$A197,Fall!$A:$A,FALSE),MATCH(All!K$1,Fall!$1:$1,FALSE))),"")</f>
        <v>1A</v>
      </c>
      <c r="L197" t="str">
        <f>IFERROR(IF(INDEX(Fall!$1:$1048576,MATCH(All!$A197,Fall!$A:$A,FALSE),MATCH(All!L$1,Fall!$1:$1,FALSE))="","",INDEX(Fall!$1:$1048576,MATCH(All!$A197,Fall!$A:$A,FALSE),MATCH(All!L$1,Fall!$1:$1,FALSE))),"")</f>
        <v>1A</v>
      </c>
      <c r="M197" t="str">
        <f>IFERROR(IF(INDEX(Fall!$1:$1048576,MATCH(All!$A197,Fall!$A:$A,FALSE),MATCH(All!M$1,Fall!$1:$1,FALSE))="","",INDEX(Fall!$1:$1048576,MATCH(All!$A197,Fall!$A:$A,FALSE),MATCH(All!M$1,Fall!$1:$1,FALSE))),"")</f>
        <v>1A</v>
      </c>
      <c r="O197" t="str">
        <f>IFERROR(IF(INDEX(Winter!$1:$1048576,MATCH(All!$A197,Winter!$A:$A,FALSE),MATCH(All!O$1,Winter!$1:$1,FALSE))="","",INDEX(Winter!$1:$1048576,MATCH(All!$A197,Winter!$A:$A,FALSE),MATCH(All!O$1,Winter!$1:$1,FALSE))),"")</f>
        <v>110.00 (181.50)</v>
      </c>
      <c r="P197" t="str">
        <f>IFERROR(IF(INDEX(Winter!$1:$1048576,MATCH(All!$A197,Winter!$A:$A,FALSE),MATCH(All!P$1,Winter!$1:$1,FALSE))="","",INDEX(Winter!$1:$1048576,MATCH(All!$A197,Winter!$A:$A,FALSE),MATCH(All!P$1,Winter!$1:$1,FALSE))),"")</f>
        <v>1A</v>
      </c>
      <c r="Q197" t="str">
        <f>IFERROR(IF(INDEX(Winter!$1:$1048576,MATCH(All!$A197,Winter!$A:$A,FALSE),MATCH(All!Q$1,Winter!$1:$1,FALSE))="","",INDEX(Winter!$1:$1048576,MATCH(All!$A197,Winter!$A:$A,FALSE),MATCH(All!Q$1,Winter!$1:$1,FALSE))),"")</f>
        <v>1A</v>
      </c>
      <c r="R197" t="str">
        <f>IFERROR(IF(INDEX(Winter!$1:$1048576,MATCH(All!$A197,Winter!$A:$A,FALSE),MATCH(All!R$1,Winter!$1:$1,FALSE))="","",INDEX(Winter!$1:$1048576,MATCH(All!$A197,Winter!$A:$A,FALSE),MATCH(All!R$1,Winter!$1:$1,FALSE))),"")</f>
        <v/>
      </c>
      <c r="S197" t="str">
        <f>IFERROR(IF(INDEX(Winter!$1:$1048576,MATCH(All!$A197,Winter!$A:$A,FALSE),MATCH(All!S$1,Winter!$1:$1,FALSE))="","",INDEX(Winter!$1:$1048576,MATCH(All!$A197,Winter!$A:$A,FALSE),MATCH(All!S$1,Winter!$1:$1,FALSE))),"")</f>
        <v/>
      </c>
      <c r="T197" t="str">
        <f>IFERROR(IF(INDEX(Winter!$1:$1048576,MATCH(All!$A197,Winter!$A:$A,FALSE),MATCH(All!T$1,Winter!$1:$1,FALSE))="","",INDEX(Winter!$1:$1048576,MATCH(All!$A197,Winter!$A:$A,FALSE),MATCH(All!T$1,Winter!$1:$1,FALSE))),"")</f>
        <v/>
      </c>
      <c r="U197" t="str">
        <f>IFERROR(IF(INDEX(Winter!$1:$1048576,MATCH(All!$A197,Winter!$A:$A,FALSE),MATCH(All!U$1,Winter!$1:$1,FALSE))="","",INDEX(Winter!$1:$1048576,MATCH(All!$A197,Winter!$A:$A,FALSE),MATCH(All!U$1,Winter!$1:$1,FALSE))),"")</f>
        <v/>
      </c>
      <c r="W197" t="str">
        <f>IFERROR(IF(INDEX(Spring!$1:$1048576,MATCH(All!$A197,Spring!$A:$A,FALSE),MATCH(All!W$1,Spring!$1:$1,FALSE))="","",INDEX(Spring!$1:$1048576,MATCH(All!$A197,Spring!$A:$A,FALSE),MATCH(All!W$1,Spring!$1:$1,FALSE))),"")</f>
        <v>110.00 (181.50)</v>
      </c>
      <c r="X197" t="str">
        <f>IFERROR(IF(INDEX(Spring!$1:$1048576,MATCH(All!$A197,Spring!$A:$A,FALSE),MATCH(All!X$1,Spring!$1:$1,FALSE))="","",INDEX(Spring!$1:$1048576,MATCH(All!$A197,Spring!$A:$A,FALSE),MATCH(All!X$1,Spring!$1:$1,FALSE))),"")</f>
        <v>1A</v>
      </c>
      <c r="Y197" t="str">
        <f>IFERROR(IF(INDEX(Spring!$1:$1048576,MATCH(All!$A197,Spring!$A:$A,FALSE),MATCH(All!Y$1,Spring!$1:$1,FALSE))="","",INDEX(Spring!$1:$1048576,MATCH(All!$A197,Spring!$A:$A,FALSE),MATCH(All!Y$1,Spring!$1:$1,FALSE))),"")</f>
        <v/>
      </c>
      <c r="Z197" t="str">
        <f>IFERROR(IF(INDEX(Spring!$1:$1048576,MATCH(All!$A197,Spring!$A:$A,FALSE),MATCH(All!Z$1,Spring!$1:$1,FALSE))="","",INDEX(Spring!$1:$1048576,MATCH(All!$A197,Spring!$A:$A,FALSE),MATCH(All!Z$1,Spring!$1:$1,FALSE))),"")</f>
        <v>1A</v>
      </c>
      <c r="AA197" t="str">
        <f>IFERROR(IF(INDEX(Spring!$1:$1048576,MATCH(All!$A197,Spring!$A:$A,FALSE),MATCH(All!AA$1,Spring!$1:$1,FALSE))="","",INDEX(Spring!$1:$1048576,MATCH(All!$A197,Spring!$A:$A,FALSE),MATCH(All!AA$1,Spring!$1:$1,FALSE))),"")</f>
        <v>1A</v>
      </c>
      <c r="AB197" t="str">
        <f>IFERROR(IF(INDEX(Spring!$1:$1048576,MATCH(All!$A197,Spring!$A:$A,FALSE),MATCH(All!AB$1,Spring!$1:$1,FALSE))="","",INDEX(Spring!$1:$1048576,MATCH(All!$A197,Spring!$A:$A,FALSE),MATCH(All!AB$1,Spring!$1:$1,FALSE))),"")</f>
        <v>1A</v>
      </c>
      <c r="AC197" t="str">
        <f>IFERROR(IF(INDEX(Spring!$1:$1048576,MATCH(All!$A197,Spring!$A:$A,FALSE),MATCH(All!AC$1,Spring!$1:$1,FALSE))="","",INDEX(Spring!$1:$1048576,MATCH(All!$A197,Spring!$A:$A,FALSE),MATCH(All!AC$1,Spring!$1:$1,FALSE))),"")</f>
        <v>1A</v>
      </c>
      <c r="AD197" t="str">
        <f>IFERROR(VLOOKUP(A197,'Flag Football'!A:A,1,FALSE),"")</f>
        <v/>
      </c>
      <c r="AE197" t="str">
        <f t="shared" si="3"/>
        <v/>
      </c>
    </row>
    <row r="198" spans="1:31" ht="15.75" thickBot="1" x14ac:dyDescent="0.3">
      <c r="A198" s="20" t="s">
        <v>246</v>
      </c>
      <c r="B198" s="38">
        <f>IFERROR(VLOOKUP(A198,'Public v Private'!A:G,3,FALSE),"")</f>
        <v>0</v>
      </c>
      <c r="C198" s="38">
        <f>IFERROR(VLOOKUP(A198,'Public v Private'!A:G,4,FALSE),"")</f>
        <v>0</v>
      </c>
      <c r="D198" s="38">
        <f>IFERROR(VLOOKUP(A198,'Public v Private'!A:G,5,FALSE),"")</f>
        <v>0</v>
      </c>
      <c r="E198" s="38"/>
      <c r="F198" s="40">
        <f>IFERROR(INDEX(Fall!$1:$1048576,MATCH(All!$A198,Fall!$A:$A,FALSE),MATCH(All!F$1,Fall!$1:$1,FALSE)),"N/A")</f>
        <v>1114</v>
      </c>
      <c r="G198" t="str">
        <f>IFERROR(IF(INDEX(Fall!$1:$1048576,MATCH(All!$A198,Fall!$A:$A,FALSE),MATCH(All!G$1,Fall!$1:$1,FALSE))="","",INDEX(Fall!$1:$1048576,MATCH(All!$A198,Fall!$A:$A,FALSE),MATCH(All!G$1,Fall!$1:$1,FALSE))),"")</f>
        <v>2A</v>
      </c>
      <c r="H198" t="str">
        <f>IFERROR(IF(INDEX(Fall!$1:$1048576,MATCH(All!$A198,Fall!$A:$A,FALSE),MATCH(All!H$1,Fall!$1:$1,FALSE))="","",INDEX(Fall!$1:$1048576,MATCH(All!$A198,Fall!$A:$A,FALSE),MATCH(All!H$1,Fall!$1:$1,FALSE))),"")</f>
        <v>2A</v>
      </c>
      <c r="I198" t="str">
        <f>IFERROR(IF(INDEX(Fall!$1:$1048576,MATCH(All!$A198,Fall!$A:$A,FALSE),MATCH(All!I$1,Fall!$1:$1,FALSE))="","",INDEX(Fall!$1:$1048576,MATCH(All!$A198,Fall!$A:$A,FALSE),MATCH(All!I$1,Fall!$1:$1,FALSE))),"")</f>
        <v/>
      </c>
      <c r="J198" t="str">
        <f>IFERROR(IF(INDEX(Fall!$1:$1048576,MATCH(All!$A198,Fall!$A:$A,FALSE),MATCH(All!J$1,Fall!$1:$1,FALSE))="","",INDEX(Fall!$1:$1048576,MATCH(All!$A198,Fall!$A:$A,FALSE),MATCH(All!J$1,Fall!$1:$1,FALSE))),"")</f>
        <v/>
      </c>
      <c r="K198" t="str">
        <f>IFERROR(IF(INDEX(Fall!$1:$1048576,MATCH(All!$A198,Fall!$A:$A,FALSE),MATCH(All!K$1,Fall!$1:$1,FALSE))="","",INDEX(Fall!$1:$1048576,MATCH(All!$A198,Fall!$A:$A,FALSE),MATCH(All!K$1,Fall!$1:$1,FALSE))),"")</f>
        <v>2A</v>
      </c>
      <c r="L198" t="str">
        <f>IFERROR(IF(INDEX(Fall!$1:$1048576,MATCH(All!$A198,Fall!$A:$A,FALSE),MATCH(All!L$1,Fall!$1:$1,FALSE))="","",INDEX(Fall!$1:$1048576,MATCH(All!$A198,Fall!$A:$A,FALSE),MATCH(All!L$1,Fall!$1:$1,FALSE))),"")</f>
        <v/>
      </c>
      <c r="M198" t="str">
        <f>IFERROR(IF(INDEX(Fall!$1:$1048576,MATCH(All!$A198,Fall!$A:$A,FALSE),MATCH(All!M$1,Fall!$1:$1,FALSE))="","",INDEX(Fall!$1:$1048576,MATCH(All!$A198,Fall!$A:$A,FALSE),MATCH(All!M$1,Fall!$1:$1,FALSE))),"")</f>
        <v>3A</v>
      </c>
      <c r="O198">
        <f>IFERROR(IF(INDEX(Winter!$1:$1048576,MATCH(All!$A198,Winter!$A:$A,FALSE),MATCH(All!O$1,Winter!$1:$1,FALSE))="","",INDEX(Winter!$1:$1048576,MATCH(All!$A198,Winter!$A:$A,FALSE),MATCH(All!O$1,Winter!$1:$1,FALSE))),"")</f>
        <v>1114</v>
      </c>
      <c r="P198" t="str">
        <f>IFERROR(IF(INDEX(Winter!$1:$1048576,MATCH(All!$A198,Winter!$A:$A,FALSE),MATCH(All!P$1,Winter!$1:$1,FALSE))="","",INDEX(Winter!$1:$1048576,MATCH(All!$A198,Winter!$A:$A,FALSE),MATCH(All!P$1,Winter!$1:$1,FALSE))),"")</f>
        <v>3A</v>
      </c>
      <c r="Q198" t="str">
        <f>IFERROR(IF(INDEX(Winter!$1:$1048576,MATCH(All!$A198,Winter!$A:$A,FALSE),MATCH(All!Q$1,Winter!$1:$1,FALSE))="","",INDEX(Winter!$1:$1048576,MATCH(All!$A198,Winter!$A:$A,FALSE),MATCH(All!Q$1,Winter!$1:$1,FALSE))),"")</f>
        <v>3A</v>
      </c>
      <c r="R198" t="str">
        <f>IFERROR(IF(INDEX(Winter!$1:$1048576,MATCH(All!$A198,Winter!$A:$A,FALSE),MATCH(All!R$1,Winter!$1:$1,FALSE))="","",INDEX(Winter!$1:$1048576,MATCH(All!$A198,Winter!$A:$A,FALSE),MATCH(All!R$1,Winter!$1:$1,FALSE))),"")</f>
        <v>2A</v>
      </c>
      <c r="S198" t="str">
        <f>IFERROR(IF(INDEX(Winter!$1:$1048576,MATCH(All!$A198,Winter!$A:$A,FALSE),MATCH(All!S$1,Winter!$1:$1,FALSE))="","",INDEX(Winter!$1:$1048576,MATCH(All!$A198,Winter!$A:$A,FALSE),MATCH(All!S$1,Winter!$1:$1,FALSE))),"")</f>
        <v>2A</v>
      </c>
      <c r="T198" t="str">
        <f>IFERROR(IF(INDEX(Winter!$1:$1048576,MATCH(All!$A198,Winter!$A:$A,FALSE),MATCH(All!T$1,Winter!$1:$1,FALSE))="","",INDEX(Winter!$1:$1048576,MATCH(All!$A198,Winter!$A:$A,FALSE),MATCH(All!T$1,Winter!$1:$1,FALSE))),"")</f>
        <v/>
      </c>
      <c r="U198" t="str">
        <f>IFERROR(IF(INDEX(Winter!$1:$1048576,MATCH(All!$A198,Winter!$A:$A,FALSE),MATCH(All!U$1,Winter!$1:$1,FALSE))="","",INDEX(Winter!$1:$1048576,MATCH(All!$A198,Winter!$A:$A,FALSE),MATCH(All!U$1,Winter!$1:$1,FALSE))),"")</f>
        <v>2A</v>
      </c>
      <c r="W198">
        <f>IFERROR(IF(INDEX(Spring!$1:$1048576,MATCH(All!$A198,Spring!$A:$A,FALSE),MATCH(All!W$1,Spring!$1:$1,FALSE))="","",INDEX(Spring!$1:$1048576,MATCH(All!$A198,Spring!$A:$A,FALSE),MATCH(All!W$1,Spring!$1:$1,FALSE))),"")</f>
        <v>1114</v>
      </c>
      <c r="X198" t="str">
        <f>IFERROR(IF(INDEX(Spring!$1:$1048576,MATCH(All!$A198,Spring!$A:$A,FALSE),MATCH(All!X$1,Spring!$1:$1,FALSE))="","",INDEX(Spring!$1:$1048576,MATCH(All!$A198,Spring!$A:$A,FALSE),MATCH(All!X$1,Spring!$1:$1,FALSE))),"")</f>
        <v>3A</v>
      </c>
      <c r="Y198" t="str">
        <f>IFERROR(IF(INDEX(Spring!$1:$1048576,MATCH(All!$A198,Spring!$A:$A,FALSE),MATCH(All!Y$1,Spring!$1:$1,FALSE))="","",INDEX(Spring!$1:$1048576,MATCH(All!$A198,Spring!$A:$A,FALSE),MATCH(All!Y$1,Spring!$1:$1,FALSE))),"")</f>
        <v/>
      </c>
      <c r="Z198" t="str">
        <f>IFERROR(IF(INDEX(Spring!$1:$1048576,MATCH(All!$A198,Spring!$A:$A,FALSE),MATCH(All!Z$1,Spring!$1:$1,FALSE))="","",INDEX(Spring!$1:$1048576,MATCH(All!$A198,Spring!$A:$A,FALSE),MATCH(All!Z$1,Spring!$1:$1,FALSE))),"")</f>
        <v>2A</v>
      </c>
      <c r="AA198" t="str">
        <f>IFERROR(IF(INDEX(Spring!$1:$1048576,MATCH(All!$A198,Spring!$A:$A,FALSE),MATCH(All!AA$1,Spring!$1:$1,FALSE))="","",INDEX(Spring!$1:$1048576,MATCH(All!$A198,Spring!$A:$A,FALSE),MATCH(All!AA$1,Spring!$1:$1,FALSE))),"")</f>
        <v/>
      </c>
      <c r="AB198" t="str">
        <f>IFERROR(IF(INDEX(Spring!$1:$1048576,MATCH(All!$A198,Spring!$A:$A,FALSE),MATCH(All!AB$1,Spring!$1:$1,FALSE))="","",INDEX(Spring!$1:$1048576,MATCH(All!$A198,Spring!$A:$A,FALSE),MATCH(All!AB$1,Spring!$1:$1,FALSE))),"")</f>
        <v>2A</v>
      </c>
      <c r="AC198" t="str">
        <f>IFERROR(IF(INDEX(Spring!$1:$1048576,MATCH(All!$A198,Spring!$A:$A,FALSE),MATCH(All!AC$1,Spring!$1:$1,FALSE))="","",INDEX(Spring!$1:$1048576,MATCH(All!$A198,Spring!$A:$A,FALSE),MATCH(All!AC$1,Spring!$1:$1,FALSE))),"")</f>
        <v>2A</v>
      </c>
      <c r="AD198" t="str">
        <f>IFERROR(VLOOKUP(A198,'Flag Football'!A:A,1,FALSE),"")</f>
        <v>Chicago (Morgan Park)</v>
      </c>
      <c r="AE198" t="str">
        <f t="shared" si="3"/>
        <v>1A</v>
      </c>
    </row>
    <row r="199" spans="1:31" ht="15.75" thickBot="1" x14ac:dyDescent="0.3">
      <c r="A199" s="18" t="s">
        <v>247</v>
      </c>
      <c r="B199" s="38" t="str">
        <f>IFERROR(VLOOKUP(A199,'Public v Private'!A:G,3,FALSE),"")</f>
        <v>private</v>
      </c>
      <c r="C199" s="38">
        <f>IFERROR(VLOOKUP(A199,'Public v Private'!A:G,4,FALSE),"")</f>
        <v>1</v>
      </c>
      <c r="D199" s="38">
        <f>IFERROR(VLOOKUP(A199,'Public v Private'!A:G,5,FALSE),"")</f>
        <v>3</v>
      </c>
      <c r="E199" s="38"/>
      <c r="F199" s="40" t="str">
        <f>IFERROR(INDEX(Fall!$1:$1048576,MATCH(All!$A199,Fall!$A:$A,FALSE),MATCH(All!F$1,Fall!$1:$1,FALSE)),"N/A")</f>
        <v>1,540.00 (2,541.00)</v>
      </c>
      <c r="G199" t="str">
        <f>IFERROR(IF(INDEX(Fall!$1:$1048576,MATCH(All!$A199,Fall!$A:$A,FALSE),MATCH(All!G$1,Fall!$1:$1,FALSE))="","",INDEX(Fall!$1:$1048576,MATCH(All!$A199,Fall!$A:$A,FALSE),MATCH(All!G$1,Fall!$1:$1,FALSE))),"")</f>
        <v/>
      </c>
      <c r="H199" t="str">
        <f>IFERROR(IF(INDEX(Fall!$1:$1048576,MATCH(All!$A199,Fall!$A:$A,FALSE),MATCH(All!H$1,Fall!$1:$1,FALSE))="","",INDEX(Fall!$1:$1048576,MATCH(All!$A199,Fall!$A:$A,FALSE),MATCH(All!H$1,Fall!$1:$1,FALSE))),"")</f>
        <v>3A</v>
      </c>
      <c r="I199" t="str">
        <f>IFERROR(IF(INDEX(Fall!$1:$1048576,MATCH(All!$A199,Fall!$A:$A,FALSE),MATCH(All!I$1,Fall!$1:$1,FALSE))="","",INDEX(Fall!$1:$1048576,MATCH(All!$A199,Fall!$A:$A,FALSE),MATCH(All!I$1,Fall!$1:$1,FALSE))),"")</f>
        <v/>
      </c>
      <c r="J199" t="str">
        <f>IFERROR(IF(INDEX(Fall!$1:$1048576,MATCH(All!$A199,Fall!$A:$A,FALSE),MATCH(All!J$1,Fall!$1:$1,FALSE))="","",INDEX(Fall!$1:$1048576,MATCH(All!$A199,Fall!$A:$A,FALSE),MATCH(All!J$1,Fall!$1:$1,FALSE))),"")</f>
        <v>2A</v>
      </c>
      <c r="K199" t="str">
        <f>IFERROR(IF(INDEX(Fall!$1:$1048576,MATCH(All!$A199,Fall!$A:$A,FALSE),MATCH(All!K$1,Fall!$1:$1,FALSE))="","",INDEX(Fall!$1:$1048576,MATCH(All!$A199,Fall!$A:$A,FALSE),MATCH(All!K$1,Fall!$1:$1,FALSE))),"")</f>
        <v/>
      </c>
      <c r="L199" t="str">
        <f>IFERROR(IF(INDEX(Fall!$1:$1048576,MATCH(All!$A199,Fall!$A:$A,FALSE),MATCH(All!L$1,Fall!$1:$1,FALSE))="","",INDEX(Fall!$1:$1048576,MATCH(All!$A199,Fall!$A:$A,FALSE),MATCH(All!L$1,Fall!$1:$1,FALSE))),"")</f>
        <v>2A</v>
      </c>
      <c r="M199" t="str">
        <f>IFERROR(IF(INDEX(Fall!$1:$1048576,MATCH(All!$A199,Fall!$A:$A,FALSE),MATCH(All!M$1,Fall!$1:$1,FALSE))="","",INDEX(Fall!$1:$1048576,MATCH(All!$A199,Fall!$A:$A,FALSE),MATCH(All!M$1,Fall!$1:$1,FALSE))),"")</f>
        <v>4A</v>
      </c>
      <c r="O199" t="str">
        <f>IFERROR(IF(INDEX(Winter!$1:$1048576,MATCH(All!$A199,Winter!$A:$A,FALSE),MATCH(All!O$1,Winter!$1:$1,FALSE))="","",INDEX(Winter!$1:$1048576,MATCH(All!$A199,Winter!$A:$A,FALSE),MATCH(All!O$1,Winter!$1:$1,FALSE))),"")</f>
        <v>1,540.00 (2,541.00)</v>
      </c>
      <c r="P199" t="str">
        <f>IFERROR(IF(INDEX(Winter!$1:$1048576,MATCH(All!$A199,Winter!$A:$A,FALSE),MATCH(All!P$1,Winter!$1:$1,FALSE))="","",INDEX(Winter!$1:$1048576,MATCH(All!$A199,Winter!$A:$A,FALSE),MATCH(All!P$1,Winter!$1:$1,FALSE))),"")</f>
        <v/>
      </c>
      <c r="Q199" t="str">
        <f>IFERROR(IF(INDEX(Winter!$1:$1048576,MATCH(All!$A199,Winter!$A:$A,FALSE),MATCH(All!Q$1,Winter!$1:$1,FALSE))="","",INDEX(Winter!$1:$1048576,MATCH(All!$A199,Winter!$A:$A,FALSE),MATCH(All!Q$1,Winter!$1:$1,FALSE))),"")</f>
        <v>4A</v>
      </c>
      <c r="R199" t="str">
        <f>IFERROR(IF(INDEX(Winter!$1:$1048576,MATCH(All!$A199,Winter!$A:$A,FALSE),MATCH(All!R$1,Winter!$1:$1,FALSE))="","",INDEX(Winter!$1:$1048576,MATCH(All!$A199,Winter!$A:$A,FALSE),MATCH(All!R$1,Winter!$1:$1,FALSE))),"")</f>
        <v>3A</v>
      </c>
      <c r="S199" t="str">
        <f>IFERROR(IF(INDEX(Winter!$1:$1048576,MATCH(All!$A199,Winter!$A:$A,FALSE),MATCH(All!S$1,Winter!$1:$1,FALSE))="","",INDEX(Winter!$1:$1048576,MATCH(All!$A199,Winter!$A:$A,FALSE),MATCH(All!S$1,Winter!$1:$1,FALSE))),"")</f>
        <v/>
      </c>
      <c r="T199" t="str">
        <f>IFERROR(IF(INDEX(Winter!$1:$1048576,MATCH(All!$A199,Winter!$A:$A,FALSE),MATCH(All!T$1,Winter!$1:$1,FALSE))="","",INDEX(Winter!$1:$1048576,MATCH(All!$A199,Winter!$A:$A,FALSE),MATCH(All!T$1,Winter!$1:$1,FALSE))),"")</f>
        <v>2A</v>
      </c>
      <c r="U199" t="str">
        <f>IFERROR(IF(INDEX(Winter!$1:$1048576,MATCH(All!$A199,Winter!$A:$A,FALSE),MATCH(All!U$1,Winter!$1:$1,FALSE))="","",INDEX(Winter!$1:$1048576,MATCH(All!$A199,Winter!$A:$A,FALSE),MATCH(All!U$1,Winter!$1:$1,FALSE))),"")</f>
        <v/>
      </c>
      <c r="W199" t="str">
        <f>IFERROR(IF(INDEX(Spring!$1:$1048576,MATCH(All!$A199,Spring!$A:$A,FALSE),MATCH(All!W$1,Spring!$1:$1,FALSE))="","",INDEX(Spring!$1:$1048576,MATCH(All!$A199,Spring!$A:$A,FALSE),MATCH(All!W$1,Spring!$1:$1,FALSE))),"")</f>
        <v>1,540.00 (2,541.00)</v>
      </c>
      <c r="X199" t="str">
        <f>IFERROR(IF(INDEX(Spring!$1:$1048576,MATCH(All!$A199,Spring!$A:$A,FALSE),MATCH(All!X$1,Spring!$1:$1,FALSE))="","",INDEX(Spring!$1:$1048576,MATCH(All!$A199,Spring!$A:$A,FALSE),MATCH(All!X$1,Spring!$1:$1,FALSE))),"")</f>
        <v/>
      </c>
      <c r="Y199" t="str">
        <f>IFERROR(IF(INDEX(Spring!$1:$1048576,MATCH(All!$A199,Spring!$A:$A,FALSE),MATCH(All!Y$1,Spring!$1:$1,FALSE))="","",INDEX(Spring!$1:$1048576,MATCH(All!$A199,Spring!$A:$A,FALSE),MATCH(All!Y$1,Spring!$1:$1,FALSE))),"")</f>
        <v>3A</v>
      </c>
      <c r="Z199" t="str">
        <f>IFERROR(IF(INDEX(Spring!$1:$1048576,MATCH(All!$A199,Spring!$A:$A,FALSE),MATCH(All!Z$1,Spring!$1:$1,FALSE))="","",INDEX(Spring!$1:$1048576,MATCH(All!$A199,Spring!$A:$A,FALSE),MATCH(All!Z$1,Spring!$1:$1,FALSE))),"")</f>
        <v>2A</v>
      </c>
      <c r="AA199" t="str">
        <f>IFERROR(IF(INDEX(Spring!$1:$1048576,MATCH(All!$A199,Spring!$A:$A,FALSE),MATCH(All!AA$1,Spring!$1:$1,FALSE))="","",INDEX(Spring!$1:$1048576,MATCH(All!$A199,Spring!$A:$A,FALSE),MATCH(All!AA$1,Spring!$1:$1,FALSE))),"")</f>
        <v/>
      </c>
      <c r="AB199" t="str">
        <f>IFERROR(IF(INDEX(Spring!$1:$1048576,MATCH(All!$A199,Spring!$A:$A,FALSE),MATCH(All!AB$1,Spring!$1:$1,FALSE))="","",INDEX(Spring!$1:$1048576,MATCH(All!$A199,Spring!$A:$A,FALSE),MATCH(All!AB$1,Spring!$1:$1,FALSE))),"")</f>
        <v/>
      </c>
      <c r="AC199" t="str">
        <f>IFERROR(IF(INDEX(Spring!$1:$1048576,MATCH(All!$A199,Spring!$A:$A,FALSE),MATCH(All!AC$1,Spring!$1:$1,FALSE))="","",INDEX(Spring!$1:$1048576,MATCH(All!$A199,Spring!$A:$A,FALSE),MATCH(All!AC$1,Spring!$1:$1,FALSE))),"")</f>
        <v>3A</v>
      </c>
      <c r="AD199" t="str">
        <f>IFERROR(VLOOKUP(A199,'Flag Football'!A:A,1,FALSE),"")</f>
        <v>Chicago (Mother McAuley)</v>
      </c>
      <c r="AE199" t="str">
        <f t="shared" si="3"/>
        <v>1A</v>
      </c>
    </row>
    <row r="200" spans="1:31" ht="15.75" thickBot="1" x14ac:dyDescent="0.3">
      <c r="A200" s="20" t="s">
        <v>249</v>
      </c>
      <c r="B200" s="38" t="str">
        <f>IFERROR(VLOOKUP(A200,'Public v Private'!A:G,3,FALSE),"")</f>
        <v>private</v>
      </c>
      <c r="C200" s="38">
        <f>IFERROR(VLOOKUP(A200,'Public v Private'!A:G,4,FALSE),"")</f>
        <v>1</v>
      </c>
      <c r="D200" s="38">
        <f>IFERROR(VLOOKUP(A200,'Public v Private'!A:G,5,FALSE),"")</f>
        <v>3</v>
      </c>
      <c r="E200" s="38"/>
      <c r="F200" s="40" t="str">
        <f>IFERROR(INDEX(Fall!$1:$1048576,MATCH(All!$A200,Fall!$A:$A,FALSE),MATCH(All!F$1,Fall!$1:$1,FALSE)),"N/A")</f>
        <v>1,184.00 (1,953.60)</v>
      </c>
      <c r="G200" t="str">
        <f>IFERROR(IF(INDEX(Fall!$1:$1048576,MATCH(All!$A200,Fall!$A:$A,FALSE),MATCH(All!G$1,Fall!$1:$1,FALSE))="","",INDEX(Fall!$1:$1048576,MATCH(All!$A200,Fall!$A:$A,FALSE),MATCH(All!G$1,Fall!$1:$1,FALSE))),"")</f>
        <v>2A</v>
      </c>
      <c r="H200" t="str">
        <f>IFERROR(IF(INDEX(Fall!$1:$1048576,MATCH(All!$A200,Fall!$A:$A,FALSE),MATCH(All!H$1,Fall!$1:$1,FALSE))="","",INDEX(Fall!$1:$1048576,MATCH(All!$A200,Fall!$A:$A,FALSE),MATCH(All!H$1,Fall!$1:$1,FALSE))),"")</f>
        <v/>
      </c>
      <c r="I200" t="str">
        <f>IFERROR(IF(INDEX(Fall!$1:$1048576,MATCH(All!$A200,Fall!$A:$A,FALSE),MATCH(All!I$1,Fall!$1:$1,FALSE))="","",INDEX(Fall!$1:$1048576,MATCH(All!$A200,Fall!$A:$A,FALSE),MATCH(All!I$1,Fall!$1:$1,FALSE))),"")</f>
        <v>3A</v>
      </c>
      <c r="J200" t="str">
        <f>IFERROR(IF(INDEX(Fall!$1:$1048576,MATCH(All!$A200,Fall!$A:$A,FALSE),MATCH(All!J$1,Fall!$1:$1,FALSE))="","",INDEX(Fall!$1:$1048576,MATCH(All!$A200,Fall!$A:$A,FALSE),MATCH(All!J$1,Fall!$1:$1,FALSE))),"")</f>
        <v/>
      </c>
      <c r="K200" t="str">
        <f>IFERROR(IF(INDEX(Fall!$1:$1048576,MATCH(All!$A200,Fall!$A:$A,FALSE),MATCH(All!K$1,Fall!$1:$1,FALSE))="","",INDEX(Fall!$1:$1048576,MATCH(All!$A200,Fall!$A:$A,FALSE),MATCH(All!K$1,Fall!$1:$1,FALSE))),"")</f>
        <v>3A</v>
      </c>
      <c r="L200" t="str">
        <f>IFERROR(IF(INDEX(Fall!$1:$1048576,MATCH(All!$A200,Fall!$A:$A,FALSE),MATCH(All!L$1,Fall!$1:$1,FALSE))="","",INDEX(Fall!$1:$1048576,MATCH(All!$A200,Fall!$A:$A,FALSE),MATCH(All!L$1,Fall!$1:$1,FALSE))),"")</f>
        <v/>
      </c>
      <c r="M200" t="str">
        <f>IFERROR(IF(INDEX(Fall!$1:$1048576,MATCH(All!$A200,Fall!$A:$A,FALSE),MATCH(All!M$1,Fall!$1:$1,FALSE))="","",INDEX(Fall!$1:$1048576,MATCH(All!$A200,Fall!$A:$A,FALSE),MATCH(All!M$1,Fall!$1:$1,FALSE))),"")</f>
        <v/>
      </c>
      <c r="O200" t="str">
        <f>IFERROR(IF(INDEX(Winter!$1:$1048576,MATCH(All!$A200,Winter!$A:$A,FALSE),MATCH(All!O$1,Winter!$1:$1,FALSE))="","",INDEX(Winter!$1:$1048576,MATCH(All!$A200,Winter!$A:$A,FALSE),MATCH(All!O$1,Winter!$1:$1,FALSE))),"")</f>
        <v>1,184.00 (1,953.60)</v>
      </c>
      <c r="P200" t="str">
        <f>IFERROR(IF(INDEX(Winter!$1:$1048576,MATCH(All!$A200,Winter!$A:$A,FALSE),MATCH(All!P$1,Winter!$1:$1,FALSE))="","",INDEX(Winter!$1:$1048576,MATCH(All!$A200,Winter!$A:$A,FALSE),MATCH(All!P$1,Winter!$1:$1,FALSE))),"")</f>
        <v>4A</v>
      </c>
      <c r="Q200" t="str">
        <f>IFERROR(IF(INDEX(Winter!$1:$1048576,MATCH(All!$A200,Winter!$A:$A,FALSE),MATCH(All!Q$1,Winter!$1:$1,FALSE))="","",INDEX(Winter!$1:$1048576,MATCH(All!$A200,Winter!$A:$A,FALSE),MATCH(All!Q$1,Winter!$1:$1,FALSE))),"")</f>
        <v/>
      </c>
      <c r="R200" t="str">
        <f>IFERROR(IF(INDEX(Winter!$1:$1048576,MATCH(All!$A200,Winter!$A:$A,FALSE),MATCH(All!R$1,Winter!$1:$1,FALSE))="","",INDEX(Winter!$1:$1048576,MATCH(All!$A200,Winter!$A:$A,FALSE),MATCH(All!R$1,Winter!$1:$1,FALSE))),"")</f>
        <v/>
      </c>
      <c r="S200" t="str">
        <f>IFERROR(IF(INDEX(Winter!$1:$1048576,MATCH(All!$A200,Winter!$A:$A,FALSE),MATCH(All!S$1,Winter!$1:$1,FALSE))="","",INDEX(Winter!$1:$1048576,MATCH(All!$A200,Winter!$A:$A,FALSE),MATCH(All!S$1,Winter!$1:$1,FALSE))),"")</f>
        <v/>
      </c>
      <c r="T200" t="str">
        <f>IFERROR(IF(INDEX(Winter!$1:$1048576,MATCH(All!$A200,Winter!$A:$A,FALSE),MATCH(All!T$1,Winter!$1:$1,FALSE))="","",INDEX(Winter!$1:$1048576,MATCH(All!$A200,Winter!$A:$A,FALSE),MATCH(All!T$1,Winter!$1:$1,FALSE))),"")</f>
        <v>2A</v>
      </c>
      <c r="U200" t="str">
        <f>IFERROR(IF(INDEX(Winter!$1:$1048576,MATCH(All!$A200,Winter!$A:$A,FALSE),MATCH(All!U$1,Winter!$1:$1,FALSE))="","",INDEX(Winter!$1:$1048576,MATCH(All!$A200,Winter!$A:$A,FALSE),MATCH(All!U$1,Winter!$1:$1,FALSE))),"")</f>
        <v>3A</v>
      </c>
      <c r="W200" t="str">
        <f>IFERROR(IF(INDEX(Spring!$1:$1048576,MATCH(All!$A200,Spring!$A:$A,FALSE),MATCH(All!W$1,Spring!$1:$1,FALSE))="","",INDEX(Spring!$1:$1048576,MATCH(All!$A200,Spring!$A:$A,FALSE),MATCH(All!W$1,Spring!$1:$1,FALSE))),"")</f>
        <v>1,184.00 (1,953.60)</v>
      </c>
      <c r="X200" t="str">
        <f>IFERROR(IF(INDEX(Spring!$1:$1048576,MATCH(All!$A200,Spring!$A:$A,FALSE),MATCH(All!X$1,Spring!$1:$1,FALSE))="","",INDEX(Spring!$1:$1048576,MATCH(All!$A200,Spring!$A:$A,FALSE),MATCH(All!X$1,Spring!$1:$1,FALSE))),"")</f>
        <v>4A</v>
      </c>
      <c r="Y200" t="str">
        <f>IFERROR(IF(INDEX(Spring!$1:$1048576,MATCH(All!$A200,Spring!$A:$A,FALSE),MATCH(All!Y$1,Spring!$1:$1,FALSE))="","",INDEX(Spring!$1:$1048576,MATCH(All!$A200,Spring!$A:$A,FALSE),MATCH(All!Y$1,Spring!$1:$1,FALSE))),"")</f>
        <v/>
      </c>
      <c r="Z200" t="str">
        <f>IFERROR(IF(INDEX(Spring!$1:$1048576,MATCH(All!$A200,Spring!$A:$A,FALSE),MATCH(All!Z$1,Spring!$1:$1,FALSE))="","",INDEX(Spring!$1:$1048576,MATCH(All!$A200,Spring!$A:$A,FALSE),MATCH(All!Z$1,Spring!$1:$1,FALSE))),"")</f>
        <v/>
      </c>
      <c r="AA200" t="str">
        <f>IFERROR(IF(INDEX(Spring!$1:$1048576,MATCH(All!$A200,Spring!$A:$A,FALSE),MATCH(All!AA$1,Spring!$1:$1,FALSE))="","",INDEX(Spring!$1:$1048576,MATCH(All!$A200,Spring!$A:$A,FALSE),MATCH(All!AA$1,Spring!$1:$1,FALSE))),"")</f>
        <v>2A</v>
      </c>
      <c r="AB200" t="str">
        <f>IFERROR(IF(INDEX(Spring!$1:$1048576,MATCH(All!$A200,Spring!$A:$A,FALSE),MATCH(All!AB$1,Spring!$1:$1,FALSE))="","",INDEX(Spring!$1:$1048576,MATCH(All!$A200,Spring!$A:$A,FALSE),MATCH(All!AB$1,Spring!$1:$1,FALSE))),"")</f>
        <v>3A</v>
      </c>
      <c r="AC200" t="str">
        <f>IFERROR(IF(INDEX(Spring!$1:$1048576,MATCH(All!$A200,Spring!$A:$A,FALSE),MATCH(All!AC$1,Spring!$1:$1,FALSE))="","",INDEX(Spring!$1:$1048576,MATCH(All!$A200,Spring!$A:$A,FALSE),MATCH(All!AC$1,Spring!$1:$1,FALSE))),"")</f>
        <v/>
      </c>
      <c r="AD200" t="str">
        <f>IFERROR(VLOOKUP(A200,'Flag Football'!A:A,1,FALSE),"")</f>
        <v/>
      </c>
      <c r="AE200" t="str">
        <f t="shared" si="3"/>
        <v/>
      </c>
    </row>
    <row r="201" spans="1:31" ht="15.75" thickBot="1" x14ac:dyDescent="0.3">
      <c r="A201" s="18" t="s">
        <v>251</v>
      </c>
      <c r="B201" s="38" t="str">
        <f>IFERROR(VLOOKUP(A201,'Public v Private'!A:G,3,FALSE),"")</f>
        <v>no</v>
      </c>
      <c r="C201" s="38">
        <f>IFERROR(VLOOKUP(A201,'Public v Private'!A:G,4,FALSE),"")</f>
        <v>0</v>
      </c>
      <c r="D201" s="38">
        <f>IFERROR(VLOOKUP(A201,'Public v Private'!A:G,5,FALSE),"")</f>
        <v>0</v>
      </c>
      <c r="E201" s="38"/>
      <c r="F201" s="40" t="str">
        <f>IFERROR(INDEX(Fall!$1:$1048576,MATCH(All!$A201,Fall!$A:$A,FALSE),MATCH(All!F$1,Fall!$1:$1,FALSE)),"N/A")</f>
        <v>683.00 (1,126.95)</v>
      </c>
      <c r="G201" t="str">
        <f>IFERROR(IF(INDEX(Fall!$1:$1048576,MATCH(All!$A201,Fall!$A:$A,FALSE),MATCH(All!G$1,Fall!$1:$1,FALSE))="","",INDEX(Fall!$1:$1048576,MATCH(All!$A201,Fall!$A:$A,FALSE),MATCH(All!G$1,Fall!$1:$1,FALSE))),"")</f>
        <v>2A</v>
      </c>
      <c r="H201" t="str">
        <f>IFERROR(IF(INDEX(Fall!$1:$1048576,MATCH(All!$A201,Fall!$A:$A,FALSE),MATCH(All!H$1,Fall!$1:$1,FALSE))="","",INDEX(Fall!$1:$1048576,MATCH(All!$A201,Fall!$A:$A,FALSE),MATCH(All!H$1,Fall!$1:$1,FALSE))),"")</f>
        <v>2A</v>
      </c>
      <c r="I201" t="str">
        <f>IFERROR(IF(INDEX(Fall!$1:$1048576,MATCH(All!$A201,Fall!$A:$A,FALSE),MATCH(All!I$1,Fall!$1:$1,FALSE))="","",INDEX(Fall!$1:$1048576,MATCH(All!$A201,Fall!$A:$A,FALSE),MATCH(All!I$1,Fall!$1:$1,FALSE))),"")</f>
        <v/>
      </c>
      <c r="J201" t="str">
        <f>IFERROR(IF(INDEX(Fall!$1:$1048576,MATCH(All!$A201,Fall!$A:$A,FALSE),MATCH(All!J$1,Fall!$1:$1,FALSE))="","",INDEX(Fall!$1:$1048576,MATCH(All!$A201,Fall!$A:$A,FALSE),MATCH(All!J$1,Fall!$1:$1,FALSE))),"")</f>
        <v/>
      </c>
      <c r="K201" t="str">
        <f>IFERROR(IF(INDEX(Fall!$1:$1048576,MATCH(All!$A201,Fall!$A:$A,FALSE),MATCH(All!K$1,Fall!$1:$1,FALSE))="","",INDEX(Fall!$1:$1048576,MATCH(All!$A201,Fall!$A:$A,FALSE),MATCH(All!K$1,Fall!$1:$1,FALSE))),"")</f>
        <v>1A</v>
      </c>
      <c r="L201" t="str">
        <f>IFERROR(IF(INDEX(Fall!$1:$1048576,MATCH(All!$A201,Fall!$A:$A,FALSE),MATCH(All!L$1,Fall!$1:$1,FALSE))="","",INDEX(Fall!$1:$1048576,MATCH(All!$A201,Fall!$A:$A,FALSE),MATCH(All!L$1,Fall!$1:$1,FALSE))),"")</f>
        <v/>
      </c>
      <c r="M201" t="str">
        <f>IFERROR(IF(INDEX(Fall!$1:$1048576,MATCH(All!$A201,Fall!$A:$A,FALSE),MATCH(All!M$1,Fall!$1:$1,FALSE))="","",INDEX(Fall!$1:$1048576,MATCH(All!$A201,Fall!$A:$A,FALSE),MATCH(All!M$1,Fall!$1:$1,FALSE))),"")</f>
        <v>2A</v>
      </c>
      <c r="O201" t="str">
        <f>IFERROR(IF(INDEX(Winter!$1:$1048576,MATCH(All!$A201,Winter!$A:$A,FALSE),MATCH(All!O$1,Winter!$1:$1,FALSE))="","",INDEX(Winter!$1:$1048576,MATCH(All!$A201,Winter!$A:$A,FALSE),MATCH(All!O$1,Winter!$1:$1,FALSE))),"")</f>
        <v>683.00 (1,126.95)</v>
      </c>
      <c r="P201" t="str">
        <f>IFERROR(IF(INDEX(Winter!$1:$1048576,MATCH(All!$A201,Winter!$A:$A,FALSE),MATCH(All!P$1,Winter!$1:$1,FALSE))="","",INDEX(Winter!$1:$1048576,MATCH(All!$A201,Winter!$A:$A,FALSE),MATCH(All!P$1,Winter!$1:$1,FALSE))),"")</f>
        <v>2A</v>
      </c>
      <c r="Q201" t="str">
        <f>IFERROR(IF(INDEX(Winter!$1:$1048576,MATCH(All!$A201,Winter!$A:$A,FALSE),MATCH(All!Q$1,Winter!$1:$1,FALSE))="","",INDEX(Winter!$1:$1048576,MATCH(All!$A201,Winter!$A:$A,FALSE),MATCH(All!Q$1,Winter!$1:$1,FALSE))),"")</f>
        <v/>
      </c>
      <c r="R201" t="str">
        <f>IFERROR(IF(INDEX(Winter!$1:$1048576,MATCH(All!$A201,Winter!$A:$A,FALSE),MATCH(All!R$1,Winter!$1:$1,FALSE))="","",INDEX(Winter!$1:$1048576,MATCH(All!$A201,Winter!$A:$A,FALSE),MATCH(All!R$1,Winter!$1:$1,FALSE))),"")</f>
        <v/>
      </c>
      <c r="S201" t="str">
        <f>IFERROR(IF(INDEX(Winter!$1:$1048576,MATCH(All!$A201,Winter!$A:$A,FALSE),MATCH(All!S$1,Winter!$1:$1,FALSE))="","",INDEX(Winter!$1:$1048576,MATCH(All!$A201,Winter!$A:$A,FALSE),MATCH(All!S$1,Winter!$1:$1,FALSE))),"")</f>
        <v/>
      </c>
      <c r="T201" t="str">
        <f>IFERROR(IF(INDEX(Winter!$1:$1048576,MATCH(All!$A201,Winter!$A:$A,FALSE),MATCH(All!T$1,Winter!$1:$1,FALSE))="","",INDEX(Winter!$1:$1048576,MATCH(All!$A201,Winter!$A:$A,FALSE),MATCH(All!T$1,Winter!$1:$1,FALSE))),"")</f>
        <v/>
      </c>
      <c r="U201" t="str">
        <f>IFERROR(IF(INDEX(Winter!$1:$1048576,MATCH(All!$A201,Winter!$A:$A,FALSE),MATCH(All!U$1,Winter!$1:$1,FALSE))="","",INDEX(Winter!$1:$1048576,MATCH(All!$A201,Winter!$A:$A,FALSE),MATCH(All!U$1,Winter!$1:$1,FALSE))),"")</f>
        <v>2A</v>
      </c>
      <c r="W201" t="str">
        <f>IFERROR(IF(INDEX(Spring!$1:$1048576,MATCH(All!$A201,Spring!$A:$A,FALSE),MATCH(All!W$1,Spring!$1:$1,FALSE))="","",INDEX(Spring!$1:$1048576,MATCH(All!$A201,Spring!$A:$A,FALSE),MATCH(All!W$1,Spring!$1:$1,FALSE))),"")</f>
        <v>683.00 (1,126.95)</v>
      </c>
      <c r="X201" t="str">
        <f>IFERROR(IF(INDEX(Spring!$1:$1048576,MATCH(All!$A201,Spring!$A:$A,FALSE),MATCH(All!X$1,Spring!$1:$1,FALSE))="","",INDEX(Spring!$1:$1048576,MATCH(All!$A201,Spring!$A:$A,FALSE),MATCH(All!X$1,Spring!$1:$1,FALSE))),"")</f>
        <v>2A</v>
      </c>
      <c r="Y201" t="str">
        <f>IFERROR(IF(INDEX(Spring!$1:$1048576,MATCH(All!$A201,Spring!$A:$A,FALSE),MATCH(All!Y$1,Spring!$1:$1,FALSE))="","",INDEX(Spring!$1:$1048576,MATCH(All!$A201,Spring!$A:$A,FALSE),MATCH(All!Y$1,Spring!$1:$1,FALSE))),"")</f>
        <v/>
      </c>
      <c r="Z201" t="str">
        <f>IFERROR(IF(INDEX(Spring!$1:$1048576,MATCH(All!$A201,Spring!$A:$A,FALSE),MATCH(All!Z$1,Spring!$1:$1,FALSE))="","",INDEX(Spring!$1:$1048576,MATCH(All!$A201,Spring!$A:$A,FALSE),MATCH(All!Z$1,Spring!$1:$1,FALSE))),"")</f>
        <v>1A</v>
      </c>
      <c r="AA201" t="str">
        <f>IFERROR(IF(INDEX(Spring!$1:$1048576,MATCH(All!$A201,Spring!$A:$A,FALSE),MATCH(All!AA$1,Spring!$1:$1,FALSE))="","",INDEX(Spring!$1:$1048576,MATCH(All!$A201,Spring!$A:$A,FALSE),MATCH(All!AA$1,Spring!$1:$1,FALSE))),"")</f>
        <v/>
      </c>
      <c r="AB201" t="str">
        <f>IFERROR(IF(INDEX(Spring!$1:$1048576,MATCH(All!$A201,Spring!$A:$A,FALSE),MATCH(All!AB$1,Spring!$1:$1,FALSE))="","",INDEX(Spring!$1:$1048576,MATCH(All!$A201,Spring!$A:$A,FALSE),MATCH(All!AB$1,Spring!$1:$1,FALSE))),"")</f>
        <v>2A</v>
      </c>
      <c r="AC201" t="str">
        <f>IFERROR(IF(INDEX(Spring!$1:$1048576,MATCH(All!$A201,Spring!$A:$A,FALSE),MATCH(All!AC$1,Spring!$1:$1,FALSE))="","",INDEX(Spring!$1:$1048576,MATCH(All!$A201,Spring!$A:$A,FALSE),MATCH(All!AC$1,Spring!$1:$1,FALSE))),"")</f>
        <v>2A</v>
      </c>
      <c r="AD201" t="str">
        <f>IFERROR(VLOOKUP(A201,'Flag Football'!A:A,1,FALSE),"")</f>
        <v/>
      </c>
      <c r="AE201" t="str">
        <f t="shared" si="3"/>
        <v/>
      </c>
    </row>
    <row r="202" spans="1:31" ht="15.75" thickBot="1" x14ac:dyDescent="0.3">
      <c r="A202" s="20" t="s">
        <v>253</v>
      </c>
      <c r="B202" s="38" t="str">
        <f>IFERROR(VLOOKUP(A202,'Public v Private'!A:G,3,FALSE),"")</f>
        <v/>
      </c>
      <c r="C202" s="38" t="str">
        <f>IFERROR(VLOOKUP(A202,'Public v Private'!A:G,4,FALSE),"")</f>
        <v/>
      </c>
      <c r="D202" s="38" t="str">
        <f>IFERROR(VLOOKUP(A202,'Public v Private'!A:G,5,FALSE),"")</f>
        <v/>
      </c>
      <c r="E202" s="38"/>
      <c r="F202" s="40" t="str">
        <f>IFERROR(INDEX(Fall!$1:$1048576,MATCH(All!$A202,Fall!$A:$A,FALSE),MATCH(All!F$1,Fall!$1:$1,FALSE)),"N/A")</f>
        <v>N/A</v>
      </c>
      <c r="G202" t="str">
        <f>IFERROR(IF(INDEX(Fall!$1:$1048576,MATCH(All!$A202,Fall!$A:$A,FALSE),MATCH(All!G$1,Fall!$1:$1,FALSE))="","",INDEX(Fall!$1:$1048576,MATCH(All!$A202,Fall!$A:$A,FALSE),MATCH(All!G$1,Fall!$1:$1,FALSE))),"")</f>
        <v/>
      </c>
      <c r="H202" t="str">
        <f>IFERROR(IF(INDEX(Fall!$1:$1048576,MATCH(All!$A202,Fall!$A:$A,FALSE),MATCH(All!H$1,Fall!$1:$1,FALSE))="","",INDEX(Fall!$1:$1048576,MATCH(All!$A202,Fall!$A:$A,FALSE),MATCH(All!H$1,Fall!$1:$1,FALSE))),"")</f>
        <v/>
      </c>
      <c r="I202" t="str">
        <f>IFERROR(IF(INDEX(Fall!$1:$1048576,MATCH(All!$A202,Fall!$A:$A,FALSE),MATCH(All!I$1,Fall!$1:$1,FALSE))="","",INDEX(Fall!$1:$1048576,MATCH(All!$A202,Fall!$A:$A,FALSE),MATCH(All!I$1,Fall!$1:$1,FALSE))),"")</f>
        <v/>
      </c>
      <c r="J202" t="str">
        <f>IFERROR(IF(INDEX(Fall!$1:$1048576,MATCH(All!$A202,Fall!$A:$A,FALSE),MATCH(All!J$1,Fall!$1:$1,FALSE))="","",INDEX(Fall!$1:$1048576,MATCH(All!$A202,Fall!$A:$A,FALSE),MATCH(All!J$1,Fall!$1:$1,FALSE))),"")</f>
        <v/>
      </c>
      <c r="K202" t="str">
        <f>IFERROR(IF(INDEX(Fall!$1:$1048576,MATCH(All!$A202,Fall!$A:$A,FALSE),MATCH(All!K$1,Fall!$1:$1,FALSE))="","",INDEX(Fall!$1:$1048576,MATCH(All!$A202,Fall!$A:$A,FALSE),MATCH(All!K$1,Fall!$1:$1,FALSE))),"")</f>
        <v/>
      </c>
      <c r="L202" t="str">
        <f>IFERROR(IF(INDEX(Fall!$1:$1048576,MATCH(All!$A202,Fall!$A:$A,FALSE),MATCH(All!L$1,Fall!$1:$1,FALSE))="","",INDEX(Fall!$1:$1048576,MATCH(All!$A202,Fall!$A:$A,FALSE),MATCH(All!L$1,Fall!$1:$1,FALSE))),"")</f>
        <v/>
      </c>
      <c r="M202" t="str">
        <f>IFERROR(IF(INDEX(Fall!$1:$1048576,MATCH(All!$A202,Fall!$A:$A,FALSE),MATCH(All!M$1,Fall!$1:$1,FALSE))="","",INDEX(Fall!$1:$1048576,MATCH(All!$A202,Fall!$A:$A,FALSE),MATCH(All!M$1,Fall!$1:$1,FALSE))),"")</f>
        <v/>
      </c>
      <c r="O202" t="str">
        <f>IFERROR(IF(INDEX(Winter!$1:$1048576,MATCH(All!$A202,Winter!$A:$A,FALSE),MATCH(All!O$1,Winter!$1:$1,FALSE))="","",INDEX(Winter!$1:$1048576,MATCH(All!$A202,Winter!$A:$A,FALSE),MATCH(All!O$1,Winter!$1:$1,FALSE))),"")</f>
        <v/>
      </c>
      <c r="P202" t="str">
        <f>IFERROR(IF(INDEX(Winter!$1:$1048576,MATCH(All!$A202,Winter!$A:$A,FALSE),MATCH(All!P$1,Winter!$1:$1,FALSE))="","",INDEX(Winter!$1:$1048576,MATCH(All!$A202,Winter!$A:$A,FALSE),MATCH(All!P$1,Winter!$1:$1,FALSE))),"")</f>
        <v/>
      </c>
      <c r="Q202" t="str">
        <f>IFERROR(IF(INDEX(Winter!$1:$1048576,MATCH(All!$A202,Winter!$A:$A,FALSE),MATCH(All!Q$1,Winter!$1:$1,FALSE))="","",INDEX(Winter!$1:$1048576,MATCH(All!$A202,Winter!$A:$A,FALSE),MATCH(All!Q$1,Winter!$1:$1,FALSE))),"")</f>
        <v/>
      </c>
      <c r="R202" t="str">
        <f>IFERROR(IF(INDEX(Winter!$1:$1048576,MATCH(All!$A202,Winter!$A:$A,FALSE),MATCH(All!R$1,Winter!$1:$1,FALSE))="","",INDEX(Winter!$1:$1048576,MATCH(All!$A202,Winter!$A:$A,FALSE),MATCH(All!R$1,Winter!$1:$1,FALSE))),"")</f>
        <v/>
      </c>
      <c r="S202" t="str">
        <f>IFERROR(IF(INDEX(Winter!$1:$1048576,MATCH(All!$A202,Winter!$A:$A,FALSE),MATCH(All!S$1,Winter!$1:$1,FALSE))="","",INDEX(Winter!$1:$1048576,MATCH(All!$A202,Winter!$A:$A,FALSE),MATCH(All!S$1,Winter!$1:$1,FALSE))),"")</f>
        <v/>
      </c>
      <c r="T202" t="str">
        <f>IFERROR(IF(INDEX(Winter!$1:$1048576,MATCH(All!$A202,Winter!$A:$A,FALSE),MATCH(All!T$1,Winter!$1:$1,FALSE))="","",INDEX(Winter!$1:$1048576,MATCH(All!$A202,Winter!$A:$A,FALSE),MATCH(All!T$1,Winter!$1:$1,FALSE))),"")</f>
        <v/>
      </c>
      <c r="U202" t="str">
        <f>IFERROR(IF(INDEX(Winter!$1:$1048576,MATCH(All!$A202,Winter!$A:$A,FALSE),MATCH(All!U$1,Winter!$1:$1,FALSE))="","",INDEX(Winter!$1:$1048576,MATCH(All!$A202,Winter!$A:$A,FALSE),MATCH(All!U$1,Winter!$1:$1,FALSE))),"")</f>
        <v/>
      </c>
      <c r="W202" t="str">
        <f>IFERROR(IF(INDEX(Spring!$1:$1048576,MATCH(All!$A202,Spring!$A:$A,FALSE),MATCH(All!W$1,Spring!$1:$1,FALSE))="","",INDEX(Spring!$1:$1048576,MATCH(All!$A202,Spring!$A:$A,FALSE),MATCH(All!W$1,Spring!$1:$1,FALSE))),"")</f>
        <v>279.00 (460.35)</v>
      </c>
      <c r="X202" t="str">
        <f>IFERROR(IF(INDEX(Spring!$1:$1048576,MATCH(All!$A202,Spring!$A:$A,FALSE),MATCH(All!X$1,Spring!$1:$1,FALSE))="","",INDEX(Spring!$1:$1048576,MATCH(All!$A202,Spring!$A:$A,FALSE),MATCH(All!X$1,Spring!$1:$1,FALSE))),"")</f>
        <v/>
      </c>
      <c r="Y202" t="str">
        <f>IFERROR(IF(INDEX(Spring!$1:$1048576,MATCH(All!$A202,Spring!$A:$A,FALSE),MATCH(All!Y$1,Spring!$1:$1,FALSE))="","",INDEX(Spring!$1:$1048576,MATCH(All!$A202,Spring!$A:$A,FALSE),MATCH(All!Y$1,Spring!$1:$1,FALSE))),"")</f>
        <v/>
      </c>
      <c r="Z202" t="str">
        <f>IFERROR(IF(INDEX(Spring!$1:$1048576,MATCH(All!$A202,Spring!$A:$A,FALSE),MATCH(All!Z$1,Spring!$1:$1,FALSE))="","",INDEX(Spring!$1:$1048576,MATCH(All!$A202,Spring!$A:$A,FALSE),MATCH(All!Z$1,Spring!$1:$1,FALSE))),"")</f>
        <v/>
      </c>
      <c r="AA202" t="str">
        <f>IFERROR(IF(INDEX(Spring!$1:$1048576,MATCH(All!$A202,Spring!$A:$A,FALSE),MATCH(All!AA$1,Spring!$1:$1,FALSE))="","",INDEX(Spring!$1:$1048576,MATCH(All!$A202,Spring!$A:$A,FALSE),MATCH(All!AA$1,Spring!$1:$1,FALSE))),"")</f>
        <v/>
      </c>
      <c r="AB202" t="str">
        <f>IFERROR(IF(INDEX(Spring!$1:$1048576,MATCH(All!$A202,Spring!$A:$A,FALSE),MATCH(All!AB$1,Spring!$1:$1,FALSE))="","",INDEX(Spring!$1:$1048576,MATCH(All!$A202,Spring!$A:$A,FALSE),MATCH(All!AB$1,Spring!$1:$1,FALSE))),"")</f>
        <v>2A</v>
      </c>
      <c r="AC202" t="str">
        <f>IFERROR(IF(INDEX(Spring!$1:$1048576,MATCH(All!$A202,Spring!$A:$A,FALSE),MATCH(All!AC$1,Spring!$1:$1,FALSE))="","",INDEX(Spring!$1:$1048576,MATCH(All!$A202,Spring!$A:$A,FALSE),MATCH(All!AC$1,Spring!$1:$1,FALSE))),"")</f>
        <v>2A</v>
      </c>
      <c r="AD202" t="str">
        <f>IFERROR(VLOOKUP(A202,'Flag Football'!A:A,1,FALSE),"")</f>
        <v/>
      </c>
      <c r="AE202" t="str">
        <f t="shared" si="3"/>
        <v/>
      </c>
    </row>
    <row r="203" spans="1:31" ht="15.75" thickBot="1" x14ac:dyDescent="0.3">
      <c r="A203" s="20" t="s">
        <v>255</v>
      </c>
      <c r="B203" s="38" t="str">
        <f>IFERROR(VLOOKUP(A203,'Public v Private'!A:G,3,FALSE),"")</f>
        <v>no</v>
      </c>
      <c r="C203" s="38">
        <f>IFERROR(VLOOKUP(A203,'Public v Private'!A:G,4,FALSE),"")</f>
        <v>0</v>
      </c>
      <c r="D203" s="38">
        <f>IFERROR(VLOOKUP(A203,'Public v Private'!A:G,5,FALSE),"")</f>
        <v>0</v>
      </c>
      <c r="E203" s="38"/>
      <c r="F203" s="40" t="str">
        <f>IFERROR(INDEX(Fall!$1:$1048576,MATCH(All!$A203,Fall!$A:$A,FALSE),MATCH(All!F$1,Fall!$1:$1,FALSE)),"N/A")</f>
        <v>1,049.00 (1,730.85)</v>
      </c>
      <c r="G203" t="str">
        <f>IFERROR(IF(INDEX(Fall!$1:$1048576,MATCH(All!$A203,Fall!$A:$A,FALSE),MATCH(All!G$1,Fall!$1:$1,FALSE))="","",INDEX(Fall!$1:$1048576,MATCH(All!$A203,Fall!$A:$A,FALSE),MATCH(All!G$1,Fall!$1:$1,FALSE))),"")</f>
        <v>2A</v>
      </c>
      <c r="H203" t="str">
        <f>IFERROR(IF(INDEX(Fall!$1:$1048576,MATCH(All!$A203,Fall!$A:$A,FALSE),MATCH(All!H$1,Fall!$1:$1,FALSE))="","",INDEX(Fall!$1:$1048576,MATCH(All!$A203,Fall!$A:$A,FALSE),MATCH(All!H$1,Fall!$1:$1,FALSE))),"")</f>
        <v>2A</v>
      </c>
      <c r="I203" t="str">
        <f>IFERROR(IF(INDEX(Fall!$1:$1048576,MATCH(All!$A203,Fall!$A:$A,FALSE),MATCH(All!I$1,Fall!$1:$1,FALSE))="","",INDEX(Fall!$1:$1048576,MATCH(All!$A203,Fall!$A:$A,FALSE),MATCH(All!I$1,Fall!$1:$1,FALSE))),"")</f>
        <v/>
      </c>
      <c r="J203" t="str">
        <f>IFERROR(IF(INDEX(Fall!$1:$1048576,MATCH(All!$A203,Fall!$A:$A,FALSE),MATCH(All!J$1,Fall!$1:$1,FALSE))="","",INDEX(Fall!$1:$1048576,MATCH(All!$A203,Fall!$A:$A,FALSE),MATCH(All!J$1,Fall!$1:$1,FALSE))),"")</f>
        <v/>
      </c>
      <c r="K203" t="str">
        <f>IFERROR(IF(INDEX(Fall!$1:$1048576,MATCH(All!$A203,Fall!$A:$A,FALSE),MATCH(All!K$1,Fall!$1:$1,FALSE))="","",INDEX(Fall!$1:$1048576,MATCH(All!$A203,Fall!$A:$A,FALSE),MATCH(All!K$1,Fall!$1:$1,FALSE))),"")</f>
        <v>2A</v>
      </c>
      <c r="L203" t="str">
        <f>IFERROR(IF(INDEX(Fall!$1:$1048576,MATCH(All!$A203,Fall!$A:$A,FALSE),MATCH(All!L$1,Fall!$1:$1,FALSE))="","",INDEX(Fall!$1:$1048576,MATCH(All!$A203,Fall!$A:$A,FALSE),MATCH(All!L$1,Fall!$1:$1,FALSE))),"")</f>
        <v/>
      </c>
      <c r="M203" t="str">
        <f>IFERROR(IF(INDEX(Fall!$1:$1048576,MATCH(All!$A203,Fall!$A:$A,FALSE),MATCH(All!M$1,Fall!$1:$1,FALSE))="","",INDEX(Fall!$1:$1048576,MATCH(All!$A203,Fall!$A:$A,FALSE),MATCH(All!M$1,Fall!$1:$1,FALSE))),"")</f>
        <v>3A</v>
      </c>
      <c r="O203" t="str">
        <f>IFERROR(IF(INDEX(Winter!$1:$1048576,MATCH(All!$A203,Winter!$A:$A,FALSE),MATCH(All!O$1,Winter!$1:$1,FALSE))="","",INDEX(Winter!$1:$1048576,MATCH(All!$A203,Winter!$A:$A,FALSE),MATCH(All!O$1,Winter!$1:$1,FALSE))),"")</f>
        <v>1,049.00 (1,730.85)</v>
      </c>
      <c r="P203" t="str">
        <f>IFERROR(IF(INDEX(Winter!$1:$1048576,MATCH(All!$A203,Winter!$A:$A,FALSE),MATCH(All!P$1,Winter!$1:$1,FALSE))="","",INDEX(Winter!$1:$1048576,MATCH(All!$A203,Winter!$A:$A,FALSE),MATCH(All!P$1,Winter!$1:$1,FALSE))),"")</f>
        <v>3A</v>
      </c>
      <c r="Q203" t="str">
        <f>IFERROR(IF(INDEX(Winter!$1:$1048576,MATCH(All!$A203,Winter!$A:$A,FALSE),MATCH(All!Q$1,Winter!$1:$1,FALSE))="","",INDEX(Winter!$1:$1048576,MATCH(All!$A203,Winter!$A:$A,FALSE),MATCH(All!Q$1,Winter!$1:$1,FALSE))),"")</f>
        <v>3A</v>
      </c>
      <c r="R203" t="str">
        <f>IFERROR(IF(INDEX(Winter!$1:$1048576,MATCH(All!$A203,Winter!$A:$A,FALSE),MATCH(All!R$1,Winter!$1:$1,FALSE))="","",INDEX(Winter!$1:$1048576,MATCH(All!$A203,Winter!$A:$A,FALSE),MATCH(All!R$1,Winter!$1:$1,FALSE))),"")</f>
        <v/>
      </c>
      <c r="S203" t="str">
        <f>IFERROR(IF(INDEX(Winter!$1:$1048576,MATCH(All!$A203,Winter!$A:$A,FALSE),MATCH(All!S$1,Winter!$1:$1,FALSE))="","",INDEX(Winter!$1:$1048576,MATCH(All!$A203,Winter!$A:$A,FALSE),MATCH(All!S$1,Winter!$1:$1,FALSE))),"")</f>
        <v/>
      </c>
      <c r="T203" t="str">
        <f>IFERROR(IF(INDEX(Winter!$1:$1048576,MATCH(All!$A203,Winter!$A:$A,FALSE),MATCH(All!T$1,Winter!$1:$1,FALSE))="","",INDEX(Winter!$1:$1048576,MATCH(All!$A203,Winter!$A:$A,FALSE),MATCH(All!T$1,Winter!$1:$1,FALSE))),"")</f>
        <v/>
      </c>
      <c r="U203" t="str">
        <f>IFERROR(IF(INDEX(Winter!$1:$1048576,MATCH(All!$A203,Winter!$A:$A,FALSE),MATCH(All!U$1,Winter!$1:$1,FALSE))="","",INDEX(Winter!$1:$1048576,MATCH(All!$A203,Winter!$A:$A,FALSE),MATCH(All!U$1,Winter!$1:$1,FALSE))),"")</f>
        <v/>
      </c>
      <c r="W203" t="str">
        <f>IFERROR(IF(INDEX(Spring!$1:$1048576,MATCH(All!$A203,Spring!$A:$A,FALSE),MATCH(All!W$1,Spring!$1:$1,FALSE))="","",INDEX(Spring!$1:$1048576,MATCH(All!$A203,Spring!$A:$A,FALSE),MATCH(All!W$1,Spring!$1:$1,FALSE))),"")</f>
        <v>1,049.00 (1,730.85)</v>
      </c>
      <c r="X203" t="str">
        <f>IFERROR(IF(INDEX(Spring!$1:$1048576,MATCH(All!$A203,Spring!$A:$A,FALSE),MATCH(All!X$1,Spring!$1:$1,FALSE))="","",INDEX(Spring!$1:$1048576,MATCH(All!$A203,Spring!$A:$A,FALSE),MATCH(All!X$1,Spring!$1:$1,FALSE))),"")</f>
        <v>4A</v>
      </c>
      <c r="Y203" t="str">
        <f>IFERROR(IF(INDEX(Spring!$1:$1048576,MATCH(All!$A203,Spring!$A:$A,FALSE),MATCH(All!Y$1,Spring!$1:$1,FALSE))="","",INDEX(Spring!$1:$1048576,MATCH(All!$A203,Spring!$A:$A,FALSE),MATCH(All!Y$1,Spring!$1:$1,FALSE))),"")</f>
        <v>4A</v>
      </c>
      <c r="Z203" t="str">
        <f>IFERROR(IF(INDEX(Spring!$1:$1048576,MATCH(All!$A203,Spring!$A:$A,FALSE),MATCH(All!Z$1,Spring!$1:$1,FALSE))="","",INDEX(Spring!$1:$1048576,MATCH(All!$A203,Spring!$A:$A,FALSE),MATCH(All!Z$1,Spring!$1:$1,FALSE))),"")</f>
        <v>2A</v>
      </c>
      <c r="AA203" t="str">
        <f>IFERROR(IF(INDEX(Spring!$1:$1048576,MATCH(All!$A203,Spring!$A:$A,FALSE),MATCH(All!AA$1,Spring!$1:$1,FALSE))="","",INDEX(Spring!$1:$1048576,MATCH(All!$A203,Spring!$A:$A,FALSE),MATCH(All!AA$1,Spring!$1:$1,FALSE))),"")</f>
        <v/>
      </c>
      <c r="AB203" t="str">
        <f>IFERROR(IF(INDEX(Spring!$1:$1048576,MATCH(All!$A203,Spring!$A:$A,FALSE),MATCH(All!AB$1,Spring!$1:$1,FALSE))="","",INDEX(Spring!$1:$1048576,MATCH(All!$A203,Spring!$A:$A,FALSE),MATCH(All!AB$1,Spring!$1:$1,FALSE))),"")</f>
        <v>3A</v>
      </c>
      <c r="AC203" t="str">
        <f>IFERROR(IF(INDEX(Spring!$1:$1048576,MATCH(All!$A203,Spring!$A:$A,FALSE),MATCH(All!AC$1,Spring!$1:$1,FALSE))="","",INDEX(Spring!$1:$1048576,MATCH(All!$A203,Spring!$A:$A,FALSE),MATCH(All!AC$1,Spring!$1:$1,FALSE))),"")</f>
        <v>3A</v>
      </c>
      <c r="AD203" t="str">
        <f>IFERROR(VLOOKUP(A203,'Flag Football'!A:A,1,FALSE),"")</f>
        <v>Chicago (Noble/Bulls)</v>
      </c>
      <c r="AE203" t="str">
        <f t="shared" si="3"/>
        <v>1A</v>
      </c>
    </row>
    <row r="204" spans="1:31" ht="15.75" thickBot="1" x14ac:dyDescent="0.3">
      <c r="A204" s="18" t="s">
        <v>257</v>
      </c>
      <c r="B204" s="38" t="str">
        <f>IFERROR(VLOOKUP(A204,'Public v Private'!A:G,3,FALSE),"")</f>
        <v>no</v>
      </c>
      <c r="C204" s="38">
        <f>IFERROR(VLOOKUP(A204,'Public v Private'!A:G,4,FALSE),"")</f>
        <v>0</v>
      </c>
      <c r="D204" s="38">
        <f>IFERROR(VLOOKUP(A204,'Public v Private'!A:G,5,FALSE),"")</f>
        <v>0</v>
      </c>
      <c r="E204" s="38"/>
      <c r="F204" s="40" t="str">
        <f>IFERROR(INDEX(Fall!$1:$1048576,MATCH(All!$A204,Fall!$A:$A,FALSE),MATCH(All!F$1,Fall!$1:$1,FALSE)),"N/A")</f>
        <v>672.00 (1,108.80)</v>
      </c>
      <c r="G204" t="str">
        <f>IFERROR(IF(INDEX(Fall!$1:$1048576,MATCH(All!$A204,Fall!$A:$A,FALSE),MATCH(All!G$1,Fall!$1:$1,FALSE))="","",INDEX(Fall!$1:$1048576,MATCH(All!$A204,Fall!$A:$A,FALSE),MATCH(All!G$1,Fall!$1:$1,FALSE))),"")</f>
        <v>2A</v>
      </c>
      <c r="H204" t="str">
        <f>IFERROR(IF(INDEX(Fall!$1:$1048576,MATCH(All!$A204,Fall!$A:$A,FALSE),MATCH(All!H$1,Fall!$1:$1,FALSE))="","",INDEX(Fall!$1:$1048576,MATCH(All!$A204,Fall!$A:$A,FALSE),MATCH(All!H$1,Fall!$1:$1,FALSE))),"")</f>
        <v/>
      </c>
      <c r="I204" t="str">
        <f>IFERROR(IF(INDEX(Fall!$1:$1048576,MATCH(All!$A204,Fall!$A:$A,FALSE),MATCH(All!I$1,Fall!$1:$1,FALSE))="","",INDEX(Fall!$1:$1048576,MATCH(All!$A204,Fall!$A:$A,FALSE),MATCH(All!I$1,Fall!$1:$1,FALSE))),"")</f>
        <v/>
      </c>
      <c r="J204" t="str">
        <f>IFERROR(IF(INDEX(Fall!$1:$1048576,MATCH(All!$A204,Fall!$A:$A,FALSE),MATCH(All!J$1,Fall!$1:$1,FALSE))="","",INDEX(Fall!$1:$1048576,MATCH(All!$A204,Fall!$A:$A,FALSE),MATCH(All!J$1,Fall!$1:$1,FALSE))),"")</f>
        <v/>
      </c>
      <c r="K204" t="str">
        <f>IFERROR(IF(INDEX(Fall!$1:$1048576,MATCH(All!$A204,Fall!$A:$A,FALSE),MATCH(All!K$1,Fall!$1:$1,FALSE))="","",INDEX(Fall!$1:$1048576,MATCH(All!$A204,Fall!$A:$A,FALSE),MATCH(All!K$1,Fall!$1:$1,FALSE))),"")</f>
        <v/>
      </c>
      <c r="L204" t="str">
        <f>IFERROR(IF(INDEX(Fall!$1:$1048576,MATCH(All!$A204,Fall!$A:$A,FALSE),MATCH(All!L$1,Fall!$1:$1,FALSE))="","",INDEX(Fall!$1:$1048576,MATCH(All!$A204,Fall!$A:$A,FALSE),MATCH(All!L$1,Fall!$1:$1,FALSE))),"")</f>
        <v/>
      </c>
      <c r="M204" t="str">
        <f>IFERROR(IF(INDEX(Fall!$1:$1048576,MATCH(All!$A204,Fall!$A:$A,FALSE),MATCH(All!M$1,Fall!$1:$1,FALSE))="","",INDEX(Fall!$1:$1048576,MATCH(All!$A204,Fall!$A:$A,FALSE),MATCH(All!M$1,Fall!$1:$1,FALSE))),"")</f>
        <v>2A</v>
      </c>
      <c r="O204" t="str">
        <f>IFERROR(IF(INDEX(Winter!$1:$1048576,MATCH(All!$A204,Winter!$A:$A,FALSE),MATCH(All!O$1,Winter!$1:$1,FALSE))="","",INDEX(Winter!$1:$1048576,MATCH(All!$A204,Winter!$A:$A,FALSE),MATCH(All!O$1,Winter!$1:$1,FALSE))),"")</f>
        <v>672.00 (1,108.80)</v>
      </c>
      <c r="P204" t="str">
        <f>IFERROR(IF(INDEX(Winter!$1:$1048576,MATCH(All!$A204,Winter!$A:$A,FALSE),MATCH(All!P$1,Winter!$1:$1,FALSE))="","",INDEX(Winter!$1:$1048576,MATCH(All!$A204,Winter!$A:$A,FALSE),MATCH(All!P$1,Winter!$1:$1,FALSE))),"")</f>
        <v>2A</v>
      </c>
      <c r="Q204" t="str">
        <f>IFERROR(IF(INDEX(Winter!$1:$1048576,MATCH(All!$A204,Winter!$A:$A,FALSE),MATCH(All!Q$1,Winter!$1:$1,FALSE))="","",INDEX(Winter!$1:$1048576,MATCH(All!$A204,Winter!$A:$A,FALSE),MATCH(All!Q$1,Winter!$1:$1,FALSE))),"")</f>
        <v>3A</v>
      </c>
      <c r="R204" t="str">
        <f>IFERROR(IF(INDEX(Winter!$1:$1048576,MATCH(All!$A204,Winter!$A:$A,FALSE),MATCH(All!R$1,Winter!$1:$1,FALSE))="","",INDEX(Winter!$1:$1048576,MATCH(All!$A204,Winter!$A:$A,FALSE),MATCH(All!R$1,Winter!$1:$1,FALSE))),"")</f>
        <v/>
      </c>
      <c r="S204" t="str">
        <f>IFERROR(IF(INDEX(Winter!$1:$1048576,MATCH(All!$A204,Winter!$A:$A,FALSE),MATCH(All!S$1,Winter!$1:$1,FALSE))="","",INDEX(Winter!$1:$1048576,MATCH(All!$A204,Winter!$A:$A,FALSE),MATCH(All!S$1,Winter!$1:$1,FALSE))),"")</f>
        <v>1A</v>
      </c>
      <c r="T204" t="str">
        <f>IFERROR(IF(INDEX(Winter!$1:$1048576,MATCH(All!$A204,Winter!$A:$A,FALSE),MATCH(All!T$1,Winter!$1:$1,FALSE))="","",INDEX(Winter!$1:$1048576,MATCH(All!$A204,Winter!$A:$A,FALSE),MATCH(All!T$1,Winter!$1:$1,FALSE))),"")</f>
        <v/>
      </c>
      <c r="U204" t="str">
        <f>IFERROR(IF(INDEX(Winter!$1:$1048576,MATCH(All!$A204,Winter!$A:$A,FALSE),MATCH(All!U$1,Winter!$1:$1,FALSE))="","",INDEX(Winter!$1:$1048576,MATCH(All!$A204,Winter!$A:$A,FALSE),MATCH(All!U$1,Winter!$1:$1,FALSE))),"")</f>
        <v/>
      </c>
      <c r="W204" t="str">
        <f>IFERROR(IF(INDEX(Spring!$1:$1048576,MATCH(All!$A204,Spring!$A:$A,FALSE),MATCH(All!W$1,Spring!$1:$1,FALSE))="","",INDEX(Spring!$1:$1048576,MATCH(All!$A204,Spring!$A:$A,FALSE),MATCH(All!W$1,Spring!$1:$1,FALSE))),"")</f>
        <v>672.00 (1,108.80)</v>
      </c>
      <c r="X204" t="str">
        <f>IFERROR(IF(INDEX(Spring!$1:$1048576,MATCH(All!$A204,Spring!$A:$A,FALSE),MATCH(All!X$1,Spring!$1:$1,FALSE))="","",INDEX(Spring!$1:$1048576,MATCH(All!$A204,Spring!$A:$A,FALSE),MATCH(All!X$1,Spring!$1:$1,FALSE))),"")</f>
        <v/>
      </c>
      <c r="Y204" t="str">
        <f>IFERROR(IF(INDEX(Spring!$1:$1048576,MATCH(All!$A204,Spring!$A:$A,FALSE),MATCH(All!Y$1,Spring!$1:$1,FALSE))="","",INDEX(Spring!$1:$1048576,MATCH(All!$A204,Spring!$A:$A,FALSE),MATCH(All!Y$1,Spring!$1:$1,FALSE))),"")</f>
        <v/>
      </c>
      <c r="Z204" t="str">
        <f>IFERROR(IF(INDEX(Spring!$1:$1048576,MATCH(All!$A204,Spring!$A:$A,FALSE),MATCH(All!Z$1,Spring!$1:$1,FALSE))="","",INDEX(Spring!$1:$1048576,MATCH(All!$A204,Spring!$A:$A,FALSE),MATCH(All!Z$1,Spring!$1:$1,FALSE))),"")</f>
        <v/>
      </c>
      <c r="AA204" t="str">
        <f>IFERROR(IF(INDEX(Spring!$1:$1048576,MATCH(All!$A204,Spring!$A:$A,FALSE),MATCH(All!AA$1,Spring!$1:$1,FALSE))="","",INDEX(Spring!$1:$1048576,MATCH(All!$A204,Spring!$A:$A,FALSE),MATCH(All!AA$1,Spring!$1:$1,FALSE))),"")</f>
        <v/>
      </c>
      <c r="AB204" t="str">
        <f>IFERROR(IF(INDEX(Spring!$1:$1048576,MATCH(All!$A204,Spring!$A:$A,FALSE),MATCH(All!AB$1,Spring!$1:$1,FALSE))="","",INDEX(Spring!$1:$1048576,MATCH(All!$A204,Spring!$A:$A,FALSE),MATCH(All!AB$1,Spring!$1:$1,FALSE))),"")</f>
        <v>2A</v>
      </c>
      <c r="AC204" t="str">
        <f>IFERROR(IF(INDEX(Spring!$1:$1048576,MATCH(All!$A204,Spring!$A:$A,FALSE),MATCH(All!AC$1,Spring!$1:$1,FALSE))="","",INDEX(Spring!$1:$1048576,MATCH(All!$A204,Spring!$A:$A,FALSE),MATCH(All!AC$1,Spring!$1:$1,FALSE))),"")</f>
        <v>2A</v>
      </c>
      <c r="AD204" t="str">
        <f>IFERROR(VLOOKUP(A204,'Flag Football'!A:A,1,FALSE),"")</f>
        <v>Chicago (Noble/Butler)</v>
      </c>
      <c r="AE204" t="str">
        <f t="shared" si="3"/>
        <v>1A</v>
      </c>
    </row>
    <row r="205" spans="1:31" ht="15.75" thickBot="1" x14ac:dyDescent="0.3">
      <c r="A205" s="20" t="s">
        <v>258</v>
      </c>
      <c r="B205" s="38" t="str">
        <f>IFERROR(VLOOKUP(A205,'Public v Private'!A:G,3,FALSE),"")</f>
        <v>no</v>
      </c>
      <c r="C205" s="38">
        <f>IFERROR(VLOOKUP(A205,'Public v Private'!A:G,4,FALSE),"")</f>
        <v>0</v>
      </c>
      <c r="D205" s="38">
        <f>IFERROR(VLOOKUP(A205,'Public v Private'!A:G,5,FALSE),"")</f>
        <v>0</v>
      </c>
      <c r="E205" s="38"/>
      <c r="F205" s="40" t="str">
        <f>IFERROR(INDEX(Fall!$1:$1048576,MATCH(All!$A205,Fall!$A:$A,FALSE),MATCH(All!F$1,Fall!$1:$1,FALSE)),"N/A")</f>
        <v>735.00 (1,212.75)</v>
      </c>
      <c r="G205" t="str">
        <f>IFERROR(IF(INDEX(Fall!$1:$1048576,MATCH(All!$A205,Fall!$A:$A,FALSE),MATCH(All!G$1,Fall!$1:$1,FALSE))="","",INDEX(Fall!$1:$1048576,MATCH(All!$A205,Fall!$A:$A,FALSE),MATCH(All!G$1,Fall!$1:$1,FALSE))),"")</f>
        <v/>
      </c>
      <c r="H205" t="str">
        <f>IFERROR(IF(INDEX(Fall!$1:$1048576,MATCH(All!$A205,Fall!$A:$A,FALSE),MATCH(All!H$1,Fall!$1:$1,FALSE))="","",INDEX(Fall!$1:$1048576,MATCH(All!$A205,Fall!$A:$A,FALSE),MATCH(All!H$1,Fall!$1:$1,FALSE))),"")</f>
        <v/>
      </c>
      <c r="I205" t="str">
        <f>IFERROR(IF(INDEX(Fall!$1:$1048576,MATCH(All!$A205,Fall!$A:$A,FALSE),MATCH(All!I$1,Fall!$1:$1,FALSE))="","",INDEX(Fall!$1:$1048576,MATCH(All!$A205,Fall!$A:$A,FALSE),MATCH(All!I$1,Fall!$1:$1,FALSE))),"")</f>
        <v/>
      </c>
      <c r="J205" t="str">
        <f>IFERROR(IF(INDEX(Fall!$1:$1048576,MATCH(All!$A205,Fall!$A:$A,FALSE),MATCH(All!J$1,Fall!$1:$1,FALSE))="","",INDEX(Fall!$1:$1048576,MATCH(All!$A205,Fall!$A:$A,FALSE),MATCH(All!J$1,Fall!$1:$1,FALSE))),"")</f>
        <v/>
      </c>
      <c r="K205" t="str">
        <f>IFERROR(IF(INDEX(Fall!$1:$1048576,MATCH(All!$A205,Fall!$A:$A,FALSE),MATCH(All!K$1,Fall!$1:$1,FALSE))="","",INDEX(Fall!$1:$1048576,MATCH(All!$A205,Fall!$A:$A,FALSE),MATCH(All!K$1,Fall!$1:$1,FALSE))),"")</f>
        <v/>
      </c>
      <c r="L205" t="str">
        <f>IFERROR(IF(INDEX(Fall!$1:$1048576,MATCH(All!$A205,Fall!$A:$A,FALSE),MATCH(All!L$1,Fall!$1:$1,FALSE))="","",INDEX(Fall!$1:$1048576,MATCH(All!$A205,Fall!$A:$A,FALSE),MATCH(All!L$1,Fall!$1:$1,FALSE))),"")</f>
        <v/>
      </c>
      <c r="M205" t="str">
        <f>IFERROR(IF(INDEX(Fall!$1:$1048576,MATCH(All!$A205,Fall!$A:$A,FALSE),MATCH(All!M$1,Fall!$1:$1,FALSE))="","",INDEX(Fall!$1:$1048576,MATCH(All!$A205,Fall!$A:$A,FALSE),MATCH(All!M$1,Fall!$1:$1,FALSE))),"")</f>
        <v>3A</v>
      </c>
      <c r="O205" t="str">
        <f>IFERROR(IF(INDEX(Winter!$1:$1048576,MATCH(All!$A205,Winter!$A:$A,FALSE),MATCH(All!O$1,Winter!$1:$1,FALSE))="","",INDEX(Winter!$1:$1048576,MATCH(All!$A205,Winter!$A:$A,FALSE),MATCH(All!O$1,Winter!$1:$1,FALSE))),"")</f>
        <v>735.00 (1,212.75)</v>
      </c>
      <c r="P205" t="str">
        <f>IFERROR(IF(INDEX(Winter!$1:$1048576,MATCH(All!$A205,Winter!$A:$A,FALSE),MATCH(All!P$1,Winter!$1:$1,FALSE))="","",INDEX(Winter!$1:$1048576,MATCH(All!$A205,Winter!$A:$A,FALSE),MATCH(All!P$1,Winter!$1:$1,FALSE))),"")</f>
        <v>3A</v>
      </c>
      <c r="Q205" t="str">
        <f>IFERROR(IF(INDEX(Winter!$1:$1048576,MATCH(All!$A205,Winter!$A:$A,FALSE),MATCH(All!Q$1,Winter!$1:$1,FALSE))="","",INDEX(Winter!$1:$1048576,MATCH(All!$A205,Winter!$A:$A,FALSE),MATCH(All!Q$1,Winter!$1:$1,FALSE))),"")</f>
        <v>3A</v>
      </c>
      <c r="R205" t="str">
        <f>IFERROR(IF(INDEX(Winter!$1:$1048576,MATCH(All!$A205,Winter!$A:$A,FALSE),MATCH(All!R$1,Winter!$1:$1,FALSE))="","",INDEX(Winter!$1:$1048576,MATCH(All!$A205,Winter!$A:$A,FALSE),MATCH(All!R$1,Winter!$1:$1,FALSE))),"")</f>
        <v/>
      </c>
      <c r="S205" t="str">
        <f>IFERROR(IF(INDEX(Winter!$1:$1048576,MATCH(All!$A205,Winter!$A:$A,FALSE),MATCH(All!S$1,Winter!$1:$1,FALSE))="","",INDEX(Winter!$1:$1048576,MATCH(All!$A205,Winter!$A:$A,FALSE),MATCH(All!S$1,Winter!$1:$1,FALSE))),"")</f>
        <v/>
      </c>
      <c r="T205" t="str">
        <f>IFERROR(IF(INDEX(Winter!$1:$1048576,MATCH(All!$A205,Winter!$A:$A,FALSE),MATCH(All!T$1,Winter!$1:$1,FALSE))="","",INDEX(Winter!$1:$1048576,MATCH(All!$A205,Winter!$A:$A,FALSE),MATCH(All!T$1,Winter!$1:$1,FALSE))),"")</f>
        <v/>
      </c>
      <c r="U205" t="str">
        <f>IFERROR(IF(INDEX(Winter!$1:$1048576,MATCH(All!$A205,Winter!$A:$A,FALSE),MATCH(All!U$1,Winter!$1:$1,FALSE))="","",INDEX(Winter!$1:$1048576,MATCH(All!$A205,Winter!$A:$A,FALSE),MATCH(All!U$1,Winter!$1:$1,FALSE))),"")</f>
        <v>2A</v>
      </c>
      <c r="W205" t="str">
        <f>IFERROR(IF(INDEX(Spring!$1:$1048576,MATCH(All!$A205,Spring!$A:$A,FALSE),MATCH(All!W$1,Spring!$1:$1,FALSE))="","",INDEX(Spring!$1:$1048576,MATCH(All!$A205,Spring!$A:$A,FALSE),MATCH(All!W$1,Spring!$1:$1,FALSE))),"")</f>
        <v>735.00 (1,212.75)</v>
      </c>
      <c r="X205" t="str">
        <f>IFERROR(IF(INDEX(Spring!$1:$1048576,MATCH(All!$A205,Spring!$A:$A,FALSE),MATCH(All!X$1,Spring!$1:$1,FALSE))="","",INDEX(Spring!$1:$1048576,MATCH(All!$A205,Spring!$A:$A,FALSE),MATCH(All!X$1,Spring!$1:$1,FALSE))),"")</f>
        <v/>
      </c>
      <c r="Y205" t="str">
        <f>IFERROR(IF(INDEX(Spring!$1:$1048576,MATCH(All!$A205,Spring!$A:$A,FALSE),MATCH(All!Y$1,Spring!$1:$1,FALSE))="","",INDEX(Spring!$1:$1048576,MATCH(All!$A205,Spring!$A:$A,FALSE),MATCH(All!Y$1,Spring!$1:$1,FALSE))),"")</f>
        <v/>
      </c>
      <c r="Z205" t="str">
        <f>IFERROR(IF(INDEX(Spring!$1:$1048576,MATCH(All!$A205,Spring!$A:$A,FALSE),MATCH(All!Z$1,Spring!$1:$1,FALSE))="","",INDEX(Spring!$1:$1048576,MATCH(All!$A205,Spring!$A:$A,FALSE),MATCH(All!Z$1,Spring!$1:$1,FALSE))),"")</f>
        <v/>
      </c>
      <c r="AA205" t="str">
        <f>IFERROR(IF(INDEX(Spring!$1:$1048576,MATCH(All!$A205,Spring!$A:$A,FALSE),MATCH(All!AA$1,Spring!$1:$1,FALSE))="","",INDEX(Spring!$1:$1048576,MATCH(All!$A205,Spring!$A:$A,FALSE),MATCH(All!AA$1,Spring!$1:$1,FALSE))),"")</f>
        <v/>
      </c>
      <c r="AB205" t="str">
        <f>IFERROR(IF(INDEX(Spring!$1:$1048576,MATCH(All!$A205,Spring!$A:$A,FALSE),MATCH(All!AB$1,Spring!$1:$1,FALSE))="","",INDEX(Spring!$1:$1048576,MATCH(All!$A205,Spring!$A:$A,FALSE),MATCH(All!AB$1,Spring!$1:$1,FALSE))),"")</f>
        <v>2A</v>
      </c>
      <c r="AC205" t="str">
        <f>IFERROR(IF(INDEX(Spring!$1:$1048576,MATCH(All!$A205,Spring!$A:$A,FALSE),MATCH(All!AC$1,Spring!$1:$1,FALSE))="","",INDEX(Spring!$1:$1048576,MATCH(All!$A205,Spring!$A:$A,FALSE),MATCH(All!AC$1,Spring!$1:$1,FALSE))),"")</f>
        <v>2A</v>
      </c>
      <c r="AD205" t="str">
        <f>IFERROR(VLOOKUP(A205,'Flag Football'!A:A,1,FALSE),"")</f>
        <v/>
      </c>
      <c r="AE205" t="str">
        <f t="shared" si="3"/>
        <v/>
      </c>
    </row>
    <row r="206" spans="1:31" ht="15.75" thickBot="1" x14ac:dyDescent="0.3">
      <c r="A206" s="18" t="s">
        <v>932</v>
      </c>
      <c r="B206" s="38" t="str">
        <f>IFERROR(VLOOKUP(A206,'Public v Private'!A:G,3,FALSE),"")</f>
        <v>no</v>
      </c>
      <c r="C206" s="38">
        <f>IFERROR(VLOOKUP(A206,'Public v Private'!A:G,4,FALSE),"")</f>
        <v>0</v>
      </c>
      <c r="D206" s="38">
        <f>IFERROR(VLOOKUP(A206,'Public v Private'!A:G,5,FALSE),"")</f>
        <v>0</v>
      </c>
      <c r="E206" s="38"/>
      <c r="F206" s="40" t="str">
        <f>IFERROR(INDEX(Fall!$1:$1048576,MATCH(All!$A206,Fall!$A:$A,FALSE),MATCH(All!F$1,Fall!$1:$1,FALSE)),"N/A")</f>
        <v>313.00 (516.45)</v>
      </c>
      <c r="G206" t="str">
        <f>IFERROR(IF(INDEX(Fall!$1:$1048576,MATCH(All!$A206,Fall!$A:$A,FALSE),MATCH(All!G$1,Fall!$1:$1,FALSE))="","",INDEX(Fall!$1:$1048576,MATCH(All!$A206,Fall!$A:$A,FALSE),MATCH(All!G$1,Fall!$1:$1,FALSE))),"")</f>
        <v/>
      </c>
      <c r="H206" t="str">
        <f>IFERROR(IF(INDEX(Fall!$1:$1048576,MATCH(All!$A206,Fall!$A:$A,FALSE),MATCH(All!H$1,Fall!$1:$1,FALSE))="","",INDEX(Fall!$1:$1048576,MATCH(All!$A206,Fall!$A:$A,FALSE),MATCH(All!H$1,Fall!$1:$1,FALSE))),"")</f>
        <v/>
      </c>
      <c r="I206" t="str">
        <f>IFERROR(IF(INDEX(Fall!$1:$1048576,MATCH(All!$A206,Fall!$A:$A,FALSE),MATCH(All!I$1,Fall!$1:$1,FALSE))="","",INDEX(Fall!$1:$1048576,MATCH(All!$A206,Fall!$A:$A,FALSE),MATCH(All!I$1,Fall!$1:$1,FALSE))),"")</f>
        <v/>
      </c>
      <c r="J206" t="str">
        <f>IFERROR(IF(INDEX(Fall!$1:$1048576,MATCH(All!$A206,Fall!$A:$A,FALSE),MATCH(All!J$1,Fall!$1:$1,FALSE))="","",INDEX(Fall!$1:$1048576,MATCH(All!$A206,Fall!$A:$A,FALSE),MATCH(All!J$1,Fall!$1:$1,FALSE))),"")</f>
        <v/>
      </c>
      <c r="K206" t="str">
        <f>IFERROR(IF(INDEX(Fall!$1:$1048576,MATCH(All!$A206,Fall!$A:$A,FALSE),MATCH(All!K$1,Fall!$1:$1,FALSE))="","",INDEX(Fall!$1:$1048576,MATCH(All!$A206,Fall!$A:$A,FALSE),MATCH(All!K$1,Fall!$1:$1,FALSE))),"")</f>
        <v/>
      </c>
      <c r="L206" t="str">
        <f>IFERROR(IF(INDEX(Fall!$1:$1048576,MATCH(All!$A206,Fall!$A:$A,FALSE),MATCH(All!L$1,Fall!$1:$1,FALSE))="","",INDEX(Fall!$1:$1048576,MATCH(All!$A206,Fall!$A:$A,FALSE),MATCH(All!L$1,Fall!$1:$1,FALSE))),"")</f>
        <v/>
      </c>
      <c r="M206" t="str">
        <f>IFERROR(IF(INDEX(Fall!$1:$1048576,MATCH(All!$A206,Fall!$A:$A,FALSE),MATCH(All!M$1,Fall!$1:$1,FALSE))="","",INDEX(Fall!$1:$1048576,MATCH(All!$A206,Fall!$A:$A,FALSE),MATCH(All!M$1,Fall!$1:$1,FALSE))),"")</f>
        <v>2A</v>
      </c>
      <c r="O206" t="str">
        <f>IFERROR(IF(INDEX(Winter!$1:$1048576,MATCH(All!$A206,Winter!$A:$A,FALSE),MATCH(All!O$1,Winter!$1:$1,FALSE))="","",INDEX(Winter!$1:$1048576,MATCH(All!$A206,Winter!$A:$A,FALSE),MATCH(All!O$1,Winter!$1:$1,FALSE))),"")</f>
        <v>313.00 (516.45)</v>
      </c>
      <c r="P206" t="str">
        <f>IFERROR(IF(INDEX(Winter!$1:$1048576,MATCH(All!$A206,Winter!$A:$A,FALSE),MATCH(All!P$1,Winter!$1:$1,FALSE))="","",INDEX(Winter!$1:$1048576,MATCH(All!$A206,Winter!$A:$A,FALSE),MATCH(All!P$1,Winter!$1:$1,FALSE))),"")</f>
        <v>2A</v>
      </c>
      <c r="Q206" t="str">
        <f>IFERROR(IF(INDEX(Winter!$1:$1048576,MATCH(All!$A206,Winter!$A:$A,FALSE),MATCH(All!Q$1,Winter!$1:$1,FALSE))="","",INDEX(Winter!$1:$1048576,MATCH(All!$A206,Winter!$A:$A,FALSE),MATCH(All!Q$1,Winter!$1:$1,FALSE))),"")</f>
        <v/>
      </c>
      <c r="R206" t="str">
        <f>IFERROR(IF(INDEX(Winter!$1:$1048576,MATCH(All!$A206,Winter!$A:$A,FALSE),MATCH(All!R$1,Winter!$1:$1,FALSE))="","",INDEX(Winter!$1:$1048576,MATCH(All!$A206,Winter!$A:$A,FALSE),MATCH(All!R$1,Winter!$1:$1,FALSE))),"")</f>
        <v/>
      </c>
      <c r="S206" t="str">
        <f>IFERROR(IF(INDEX(Winter!$1:$1048576,MATCH(All!$A206,Winter!$A:$A,FALSE),MATCH(All!S$1,Winter!$1:$1,FALSE))="","",INDEX(Winter!$1:$1048576,MATCH(All!$A206,Winter!$A:$A,FALSE),MATCH(All!S$1,Winter!$1:$1,FALSE))),"")</f>
        <v/>
      </c>
      <c r="T206" t="str">
        <f>IFERROR(IF(INDEX(Winter!$1:$1048576,MATCH(All!$A206,Winter!$A:$A,FALSE),MATCH(All!T$1,Winter!$1:$1,FALSE))="","",INDEX(Winter!$1:$1048576,MATCH(All!$A206,Winter!$A:$A,FALSE),MATCH(All!T$1,Winter!$1:$1,FALSE))),"")</f>
        <v/>
      </c>
      <c r="U206" t="str">
        <f>IFERROR(IF(INDEX(Winter!$1:$1048576,MATCH(All!$A206,Winter!$A:$A,FALSE),MATCH(All!U$1,Winter!$1:$1,FALSE))="","",INDEX(Winter!$1:$1048576,MATCH(All!$A206,Winter!$A:$A,FALSE),MATCH(All!U$1,Winter!$1:$1,FALSE))),"")</f>
        <v/>
      </c>
      <c r="W206" t="str">
        <f>IFERROR(IF(INDEX(Spring!$1:$1048576,MATCH(All!$A206,Spring!$A:$A,FALSE),MATCH(All!W$1,Spring!$1:$1,FALSE))="","",INDEX(Spring!$1:$1048576,MATCH(All!$A206,Spring!$A:$A,FALSE),MATCH(All!W$1,Spring!$1:$1,FALSE))),"")</f>
        <v/>
      </c>
      <c r="X206" t="str">
        <f>IFERROR(IF(INDEX(Spring!$1:$1048576,MATCH(All!$A206,Spring!$A:$A,FALSE),MATCH(All!X$1,Spring!$1:$1,FALSE))="","",INDEX(Spring!$1:$1048576,MATCH(All!$A206,Spring!$A:$A,FALSE),MATCH(All!X$1,Spring!$1:$1,FALSE))),"")</f>
        <v/>
      </c>
      <c r="Y206" t="str">
        <f>IFERROR(IF(INDEX(Spring!$1:$1048576,MATCH(All!$A206,Spring!$A:$A,FALSE),MATCH(All!Y$1,Spring!$1:$1,FALSE))="","",INDEX(Spring!$1:$1048576,MATCH(All!$A206,Spring!$A:$A,FALSE),MATCH(All!Y$1,Spring!$1:$1,FALSE))),"")</f>
        <v/>
      </c>
      <c r="Z206" t="str">
        <f>IFERROR(IF(INDEX(Spring!$1:$1048576,MATCH(All!$A206,Spring!$A:$A,FALSE),MATCH(All!Z$1,Spring!$1:$1,FALSE))="","",INDEX(Spring!$1:$1048576,MATCH(All!$A206,Spring!$A:$A,FALSE),MATCH(All!Z$1,Spring!$1:$1,FALSE))),"")</f>
        <v/>
      </c>
      <c r="AA206" t="str">
        <f>IFERROR(IF(INDEX(Spring!$1:$1048576,MATCH(All!$A206,Spring!$A:$A,FALSE),MATCH(All!AA$1,Spring!$1:$1,FALSE))="","",INDEX(Spring!$1:$1048576,MATCH(All!$A206,Spring!$A:$A,FALSE),MATCH(All!AA$1,Spring!$1:$1,FALSE))),"")</f>
        <v/>
      </c>
      <c r="AB206" t="str">
        <f>IFERROR(IF(INDEX(Spring!$1:$1048576,MATCH(All!$A206,Spring!$A:$A,FALSE),MATCH(All!AB$1,Spring!$1:$1,FALSE))="","",INDEX(Spring!$1:$1048576,MATCH(All!$A206,Spring!$A:$A,FALSE),MATCH(All!AB$1,Spring!$1:$1,FALSE))),"")</f>
        <v/>
      </c>
      <c r="AC206" t="str">
        <f>IFERROR(IF(INDEX(Spring!$1:$1048576,MATCH(All!$A206,Spring!$A:$A,FALSE),MATCH(All!AC$1,Spring!$1:$1,FALSE))="","",INDEX(Spring!$1:$1048576,MATCH(All!$A206,Spring!$A:$A,FALSE),MATCH(All!AC$1,Spring!$1:$1,FALSE))),"")</f>
        <v/>
      </c>
      <c r="AD206" t="str">
        <f>IFERROR(VLOOKUP(A206,'Flag Football'!A:A,1,FALSE),"")</f>
        <v/>
      </c>
      <c r="AE206" t="str">
        <f t="shared" si="3"/>
        <v/>
      </c>
    </row>
    <row r="207" spans="1:31" ht="15.75" thickBot="1" x14ac:dyDescent="0.3">
      <c r="A207" s="20" t="s">
        <v>260</v>
      </c>
      <c r="B207" s="38" t="str">
        <f>IFERROR(VLOOKUP(A207,'Public v Private'!A:G,3,FALSE),"")</f>
        <v>no</v>
      </c>
      <c r="C207" s="38">
        <f>IFERROR(VLOOKUP(A207,'Public v Private'!A:G,4,FALSE),"")</f>
        <v>0</v>
      </c>
      <c r="D207" s="38">
        <f>IFERROR(VLOOKUP(A207,'Public v Private'!A:G,5,FALSE),"")</f>
        <v>0</v>
      </c>
      <c r="E207" s="38"/>
      <c r="F207" s="40" t="str">
        <f>IFERROR(INDEX(Fall!$1:$1048576,MATCH(All!$A207,Fall!$A:$A,FALSE),MATCH(All!F$1,Fall!$1:$1,FALSE)),"N/A")</f>
        <v>626.00 (1,032.90)</v>
      </c>
      <c r="G207" t="str">
        <f>IFERROR(IF(INDEX(Fall!$1:$1048576,MATCH(All!$A207,Fall!$A:$A,FALSE),MATCH(All!G$1,Fall!$1:$1,FALSE))="","",INDEX(Fall!$1:$1048576,MATCH(All!$A207,Fall!$A:$A,FALSE),MATCH(All!G$1,Fall!$1:$1,FALSE))),"")</f>
        <v>2A</v>
      </c>
      <c r="H207" t="str">
        <f>IFERROR(IF(INDEX(Fall!$1:$1048576,MATCH(All!$A207,Fall!$A:$A,FALSE),MATCH(All!H$1,Fall!$1:$1,FALSE))="","",INDEX(Fall!$1:$1048576,MATCH(All!$A207,Fall!$A:$A,FALSE),MATCH(All!H$1,Fall!$1:$1,FALSE))),"")</f>
        <v>2A</v>
      </c>
      <c r="I207" t="str">
        <f>IFERROR(IF(INDEX(Fall!$1:$1048576,MATCH(All!$A207,Fall!$A:$A,FALSE),MATCH(All!I$1,Fall!$1:$1,FALSE))="","",INDEX(Fall!$1:$1048576,MATCH(All!$A207,Fall!$A:$A,FALSE),MATCH(All!I$1,Fall!$1:$1,FALSE))),"")</f>
        <v/>
      </c>
      <c r="J207" t="str">
        <f>IFERROR(IF(INDEX(Fall!$1:$1048576,MATCH(All!$A207,Fall!$A:$A,FALSE),MATCH(All!J$1,Fall!$1:$1,FALSE))="","",INDEX(Fall!$1:$1048576,MATCH(All!$A207,Fall!$A:$A,FALSE),MATCH(All!J$1,Fall!$1:$1,FALSE))),"")</f>
        <v/>
      </c>
      <c r="K207" t="str">
        <f>IFERROR(IF(INDEX(Fall!$1:$1048576,MATCH(All!$A207,Fall!$A:$A,FALSE),MATCH(All!K$1,Fall!$1:$1,FALSE))="","",INDEX(Fall!$1:$1048576,MATCH(All!$A207,Fall!$A:$A,FALSE),MATCH(All!K$1,Fall!$1:$1,FALSE))),"")</f>
        <v>1A</v>
      </c>
      <c r="L207" t="str">
        <f>IFERROR(IF(INDEX(Fall!$1:$1048576,MATCH(All!$A207,Fall!$A:$A,FALSE),MATCH(All!L$1,Fall!$1:$1,FALSE))="","",INDEX(Fall!$1:$1048576,MATCH(All!$A207,Fall!$A:$A,FALSE),MATCH(All!L$1,Fall!$1:$1,FALSE))),"")</f>
        <v/>
      </c>
      <c r="M207" t="str">
        <f>IFERROR(IF(INDEX(Fall!$1:$1048576,MATCH(All!$A207,Fall!$A:$A,FALSE),MATCH(All!M$1,Fall!$1:$1,FALSE))="","",INDEX(Fall!$1:$1048576,MATCH(All!$A207,Fall!$A:$A,FALSE),MATCH(All!M$1,Fall!$1:$1,FALSE))),"")</f>
        <v>2A</v>
      </c>
      <c r="O207" t="str">
        <f>IFERROR(IF(INDEX(Winter!$1:$1048576,MATCH(All!$A207,Winter!$A:$A,FALSE),MATCH(All!O$1,Winter!$1:$1,FALSE))="","",INDEX(Winter!$1:$1048576,MATCH(All!$A207,Winter!$A:$A,FALSE),MATCH(All!O$1,Winter!$1:$1,FALSE))),"")</f>
        <v>626.00 (1,032.90)</v>
      </c>
      <c r="P207" t="str">
        <f>IFERROR(IF(INDEX(Winter!$1:$1048576,MATCH(All!$A207,Winter!$A:$A,FALSE),MATCH(All!P$1,Winter!$1:$1,FALSE))="","",INDEX(Winter!$1:$1048576,MATCH(All!$A207,Winter!$A:$A,FALSE),MATCH(All!P$1,Winter!$1:$1,FALSE))),"")</f>
        <v>2A</v>
      </c>
      <c r="Q207" t="str">
        <f>IFERROR(IF(INDEX(Winter!$1:$1048576,MATCH(All!$A207,Winter!$A:$A,FALSE),MATCH(All!Q$1,Winter!$1:$1,FALSE))="","",INDEX(Winter!$1:$1048576,MATCH(All!$A207,Winter!$A:$A,FALSE),MATCH(All!Q$1,Winter!$1:$1,FALSE))),"")</f>
        <v>2A</v>
      </c>
      <c r="R207" t="str">
        <f>IFERROR(IF(INDEX(Winter!$1:$1048576,MATCH(All!$A207,Winter!$A:$A,FALSE),MATCH(All!R$1,Winter!$1:$1,FALSE))="","",INDEX(Winter!$1:$1048576,MATCH(All!$A207,Winter!$A:$A,FALSE),MATCH(All!R$1,Winter!$1:$1,FALSE))),"")</f>
        <v/>
      </c>
      <c r="S207" t="str">
        <f>IFERROR(IF(INDEX(Winter!$1:$1048576,MATCH(All!$A207,Winter!$A:$A,FALSE),MATCH(All!S$1,Winter!$1:$1,FALSE))="","",INDEX(Winter!$1:$1048576,MATCH(All!$A207,Winter!$A:$A,FALSE),MATCH(All!S$1,Winter!$1:$1,FALSE))),"")</f>
        <v/>
      </c>
      <c r="T207" t="str">
        <f>IFERROR(IF(INDEX(Winter!$1:$1048576,MATCH(All!$A207,Winter!$A:$A,FALSE),MATCH(All!T$1,Winter!$1:$1,FALSE))="","",INDEX(Winter!$1:$1048576,MATCH(All!$A207,Winter!$A:$A,FALSE),MATCH(All!T$1,Winter!$1:$1,FALSE))),"")</f>
        <v/>
      </c>
      <c r="U207" t="str">
        <f>IFERROR(IF(INDEX(Winter!$1:$1048576,MATCH(All!$A207,Winter!$A:$A,FALSE),MATCH(All!U$1,Winter!$1:$1,FALSE))="","",INDEX(Winter!$1:$1048576,MATCH(All!$A207,Winter!$A:$A,FALSE),MATCH(All!U$1,Winter!$1:$1,FALSE))),"")</f>
        <v>1A</v>
      </c>
      <c r="W207" t="str">
        <f>IFERROR(IF(INDEX(Spring!$1:$1048576,MATCH(All!$A207,Spring!$A:$A,FALSE),MATCH(All!W$1,Spring!$1:$1,FALSE))="","",INDEX(Spring!$1:$1048576,MATCH(All!$A207,Spring!$A:$A,FALSE),MATCH(All!W$1,Spring!$1:$1,FALSE))),"")</f>
        <v>626.00 (1,032.90)</v>
      </c>
      <c r="X207" t="str">
        <f>IFERROR(IF(INDEX(Spring!$1:$1048576,MATCH(All!$A207,Spring!$A:$A,FALSE),MATCH(All!X$1,Spring!$1:$1,FALSE))="","",INDEX(Spring!$1:$1048576,MATCH(All!$A207,Spring!$A:$A,FALSE),MATCH(All!X$1,Spring!$1:$1,FALSE))),"")</f>
        <v>3A</v>
      </c>
      <c r="Y207" t="str">
        <f>IFERROR(IF(INDEX(Spring!$1:$1048576,MATCH(All!$A207,Spring!$A:$A,FALSE),MATCH(All!Y$1,Spring!$1:$1,FALSE))="","",INDEX(Spring!$1:$1048576,MATCH(All!$A207,Spring!$A:$A,FALSE),MATCH(All!Y$1,Spring!$1:$1,FALSE))),"")</f>
        <v>3A</v>
      </c>
      <c r="Z207" t="str">
        <f>IFERROR(IF(INDEX(Spring!$1:$1048576,MATCH(All!$A207,Spring!$A:$A,FALSE),MATCH(All!Z$1,Spring!$1:$1,FALSE))="","",INDEX(Spring!$1:$1048576,MATCH(All!$A207,Spring!$A:$A,FALSE),MATCH(All!Z$1,Spring!$1:$1,FALSE))),"")</f>
        <v>2A</v>
      </c>
      <c r="AA207" t="str">
        <f>IFERROR(IF(INDEX(Spring!$1:$1048576,MATCH(All!$A207,Spring!$A:$A,FALSE),MATCH(All!AA$1,Spring!$1:$1,FALSE))="","",INDEX(Spring!$1:$1048576,MATCH(All!$A207,Spring!$A:$A,FALSE),MATCH(All!AA$1,Spring!$1:$1,FALSE))),"")</f>
        <v/>
      </c>
      <c r="AB207" t="str">
        <f>IFERROR(IF(INDEX(Spring!$1:$1048576,MATCH(All!$A207,Spring!$A:$A,FALSE),MATCH(All!AB$1,Spring!$1:$1,FALSE))="","",INDEX(Spring!$1:$1048576,MATCH(All!$A207,Spring!$A:$A,FALSE),MATCH(All!AB$1,Spring!$1:$1,FALSE))),"")</f>
        <v>2A</v>
      </c>
      <c r="AC207" t="str">
        <f>IFERROR(IF(INDEX(Spring!$1:$1048576,MATCH(All!$A207,Spring!$A:$A,FALSE),MATCH(All!AC$1,Spring!$1:$1,FALSE))="","",INDEX(Spring!$1:$1048576,MATCH(All!$A207,Spring!$A:$A,FALSE),MATCH(All!AC$1,Spring!$1:$1,FALSE))),"")</f>
        <v>2A</v>
      </c>
      <c r="AD207" t="str">
        <f>IFERROR(VLOOKUP(A207,'Flag Football'!A:A,1,FALSE),"")</f>
        <v/>
      </c>
      <c r="AE207" t="str">
        <f t="shared" si="3"/>
        <v/>
      </c>
    </row>
    <row r="208" spans="1:31" ht="15.75" thickBot="1" x14ac:dyDescent="0.3">
      <c r="A208" s="18" t="s">
        <v>262</v>
      </c>
      <c r="B208" s="38" t="str">
        <f>IFERROR(VLOOKUP(A208,'Public v Private'!A:G,3,FALSE),"")</f>
        <v>no</v>
      </c>
      <c r="C208" s="38">
        <f>IFERROR(VLOOKUP(A208,'Public v Private'!A:G,4,FALSE),"")</f>
        <v>0</v>
      </c>
      <c r="D208" s="38">
        <f>IFERROR(VLOOKUP(A208,'Public v Private'!A:G,5,FALSE),"")</f>
        <v>0</v>
      </c>
      <c r="E208" s="38"/>
      <c r="F208" s="40" t="str">
        <f>IFERROR(INDEX(Fall!$1:$1048576,MATCH(All!$A208,Fall!$A:$A,FALSE),MATCH(All!F$1,Fall!$1:$1,FALSE)),"N/A")</f>
        <v>527.00 (869.55)</v>
      </c>
      <c r="G208" t="str">
        <f>IFERROR(IF(INDEX(Fall!$1:$1048576,MATCH(All!$A208,Fall!$A:$A,FALSE),MATCH(All!G$1,Fall!$1:$1,FALSE))="","",INDEX(Fall!$1:$1048576,MATCH(All!$A208,Fall!$A:$A,FALSE),MATCH(All!G$1,Fall!$1:$1,FALSE))),"")</f>
        <v/>
      </c>
      <c r="H208" t="str">
        <f>IFERROR(IF(INDEX(Fall!$1:$1048576,MATCH(All!$A208,Fall!$A:$A,FALSE),MATCH(All!H$1,Fall!$1:$1,FALSE))="","",INDEX(Fall!$1:$1048576,MATCH(All!$A208,Fall!$A:$A,FALSE),MATCH(All!H$1,Fall!$1:$1,FALSE))),"")</f>
        <v/>
      </c>
      <c r="I208" t="str">
        <f>IFERROR(IF(INDEX(Fall!$1:$1048576,MATCH(All!$A208,Fall!$A:$A,FALSE),MATCH(All!I$1,Fall!$1:$1,FALSE))="","",INDEX(Fall!$1:$1048576,MATCH(All!$A208,Fall!$A:$A,FALSE),MATCH(All!I$1,Fall!$1:$1,FALSE))),"")</f>
        <v/>
      </c>
      <c r="J208" t="str">
        <f>IFERROR(IF(INDEX(Fall!$1:$1048576,MATCH(All!$A208,Fall!$A:$A,FALSE),MATCH(All!J$1,Fall!$1:$1,FALSE))="","",INDEX(Fall!$1:$1048576,MATCH(All!$A208,Fall!$A:$A,FALSE),MATCH(All!J$1,Fall!$1:$1,FALSE))),"")</f>
        <v/>
      </c>
      <c r="K208" t="str">
        <f>IFERROR(IF(INDEX(Fall!$1:$1048576,MATCH(All!$A208,Fall!$A:$A,FALSE),MATCH(All!K$1,Fall!$1:$1,FALSE))="","",INDEX(Fall!$1:$1048576,MATCH(All!$A208,Fall!$A:$A,FALSE),MATCH(All!K$1,Fall!$1:$1,FALSE))),"")</f>
        <v/>
      </c>
      <c r="L208" t="str">
        <f>IFERROR(IF(INDEX(Fall!$1:$1048576,MATCH(All!$A208,Fall!$A:$A,FALSE),MATCH(All!L$1,Fall!$1:$1,FALSE))="","",INDEX(Fall!$1:$1048576,MATCH(All!$A208,Fall!$A:$A,FALSE),MATCH(All!L$1,Fall!$1:$1,FALSE))),"")</f>
        <v/>
      </c>
      <c r="M208" t="str">
        <f>IFERROR(IF(INDEX(Fall!$1:$1048576,MATCH(All!$A208,Fall!$A:$A,FALSE),MATCH(All!M$1,Fall!$1:$1,FALSE))="","",INDEX(Fall!$1:$1048576,MATCH(All!$A208,Fall!$A:$A,FALSE),MATCH(All!M$1,Fall!$1:$1,FALSE))),"")</f>
        <v>2A</v>
      </c>
      <c r="O208" t="str">
        <f>IFERROR(IF(INDEX(Winter!$1:$1048576,MATCH(All!$A208,Winter!$A:$A,FALSE),MATCH(All!O$1,Winter!$1:$1,FALSE))="","",INDEX(Winter!$1:$1048576,MATCH(All!$A208,Winter!$A:$A,FALSE),MATCH(All!O$1,Winter!$1:$1,FALSE))),"")</f>
        <v>527.00 (869.55)</v>
      </c>
      <c r="P208" t="str">
        <f>IFERROR(IF(INDEX(Winter!$1:$1048576,MATCH(All!$A208,Winter!$A:$A,FALSE),MATCH(All!P$1,Winter!$1:$1,FALSE))="","",INDEX(Winter!$1:$1048576,MATCH(All!$A208,Winter!$A:$A,FALSE),MATCH(All!P$1,Winter!$1:$1,FALSE))),"")</f>
        <v>3A</v>
      </c>
      <c r="Q208" t="str">
        <f>IFERROR(IF(INDEX(Winter!$1:$1048576,MATCH(All!$A208,Winter!$A:$A,FALSE),MATCH(All!Q$1,Winter!$1:$1,FALSE))="","",INDEX(Winter!$1:$1048576,MATCH(All!$A208,Winter!$A:$A,FALSE),MATCH(All!Q$1,Winter!$1:$1,FALSE))),"")</f>
        <v>2A</v>
      </c>
      <c r="R208" t="str">
        <f>IFERROR(IF(INDEX(Winter!$1:$1048576,MATCH(All!$A208,Winter!$A:$A,FALSE),MATCH(All!R$1,Winter!$1:$1,FALSE))="","",INDEX(Winter!$1:$1048576,MATCH(All!$A208,Winter!$A:$A,FALSE),MATCH(All!R$1,Winter!$1:$1,FALSE))),"")</f>
        <v/>
      </c>
      <c r="S208" t="str">
        <f>IFERROR(IF(INDEX(Winter!$1:$1048576,MATCH(All!$A208,Winter!$A:$A,FALSE),MATCH(All!S$1,Winter!$1:$1,FALSE))="","",INDEX(Winter!$1:$1048576,MATCH(All!$A208,Winter!$A:$A,FALSE),MATCH(All!S$1,Winter!$1:$1,FALSE))),"")</f>
        <v>1A</v>
      </c>
      <c r="T208" t="str">
        <f>IFERROR(IF(INDEX(Winter!$1:$1048576,MATCH(All!$A208,Winter!$A:$A,FALSE),MATCH(All!T$1,Winter!$1:$1,FALSE))="","",INDEX(Winter!$1:$1048576,MATCH(All!$A208,Winter!$A:$A,FALSE),MATCH(All!T$1,Winter!$1:$1,FALSE))),"")</f>
        <v/>
      </c>
      <c r="U208" t="str">
        <f>IFERROR(IF(INDEX(Winter!$1:$1048576,MATCH(All!$A208,Winter!$A:$A,FALSE),MATCH(All!U$1,Winter!$1:$1,FALSE))="","",INDEX(Winter!$1:$1048576,MATCH(All!$A208,Winter!$A:$A,FALSE),MATCH(All!U$1,Winter!$1:$1,FALSE))),"")</f>
        <v/>
      </c>
      <c r="W208" t="str">
        <f>IFERROR(IF(INDEX(Spring!$1:$1048576,MATCH(All!$A208,Spring!$A:$A,FALSE),MATCH(All!W$1,Spring!$1:$1,FALSE))="","",INDEX(Spring!$1:$1048576,MATCH(All!$A208,Spring!$A:$A,FALSE),MATCH(All!W$1,Spring!$1:$1,FALSE))),"")</f>
        <v>527.00 (869.55)</v>
      </c>
      <c r="X208" t="str">
        <f>IFERROR(IF(INDEX(Spring!$1:$1048576,MATCH(All!$A208,Spring!$A:$A,FALSE),MATCH(All!X$1,Spring!$1:$1,FALSE))="","",INDEX(Spring!$1:$1048576,MATCH(All!$A208,Spring!$A:$A,FALSE),MATCH(All!X$1,Spring!$1:$1,FALSE))),"")</f>
        <v/>
      </c>
      <c r="Y208" t="str">
        <f>IFERROR(IF(INDEX(Spring!$1:$1048576,MATCH(All!$A208,Spring!$A:$A,FALSE),MATCH(All!Y$1,Spring!$1:$1,FALSE))="","",INDEX(Spring!$1:$1048576,MATCH(All!$A208,Spring!$A:$A,FALSE),MATCH(All!Y$1,Spring!$1:$1,FALSE))),"")</f>
        <v/>
      </c>
      <c r="Z208" t="str">
        <f>IFERROR(IF(INDEX(Spring!$1:$1048576,MATCH(All!$A208,Spring!$A:$A,FALSE),MATCH(All!Z$1,Spring!$1:$1,FALSE))="","",INDEX(Spring!$1:$1048576,MATCH(All!$A208,Spring!$A:$A,FALSE),MATCH(All!Z$1,Spring!$1:$1,FALSE))),"")</f>
        <v/>
      </c>
      <c r="AA208" t="str">
        <f>IFERROR(IF(INDEX(Spring!$1:$1048576,MATCH(All!$A208,Spring!$A:$A,FALSE),MATCH(All!AA$1,Spring!$1:$1,FALSE))="","",INDEX(Spring!$1:$1048576,MATCH(All!$A208,Spring!$A:$A,FALSE),MATCH(All!AA$1,Spring!$1:$1,FALSE))),"")</f>
        <v/>
      </c>
      <c r="AB208" t="str">
        <f>IFERROR(IF(INDEX(Spring!$1:$1048576,MATCH(All!$A208,Spring!$A:$A,FALSE),MATCH(All!AB$1,Spring!$1:$1,FALSE))="","",INDEX(Spring!$1:$1048576,MATCH(All!$A208,Spring!$A:$A,FALSE),MATCH(All!AB$1,Spring!$1:$1,FALSE))),"")</f>
        <v>2A</v>
      </c>
      <c r="AC208" t="str">
        <f>IFERROR(IF(INDEX(Spring!$1:$1048576,MATCH(All!$A208,Spring!$A:$A,FALSE),MATCH(All!AC$1,Spring!$1:$1,FALSE))="","",INDEX(Spring!$1:$1048576,MATCH(All!$A208,Spring!$A:$A,FALSE),MATCH(All!AC$1,Spring!$1:$1,FALSE))),"")</f>
        <v>2A</v>
      </c>
      <c r="AD208" t="str">
        <f>IFERROR(VLOOKUP(A208,'Flag Football'!A:A,1,FALSE),"")</f>
        <v/>
      </c>
      <c r="AE208" t="str">
        <f t="shared" si="3"/>
        <v/>
      </c>
    </row>
    <row r="209" spans="1:31" ht="15.75" thickBot="1" x14ac:dyDescent="0.3">
      <c r="A209" s="20" t="s">
        <v>263</v>
      </c>
      <c r="B209" s="38" t="str">
        <f>IFERROR(VLOOKUP(A209,'Public v Private'!A:G,3,FALSE),"")</f>
        <v>no</v>
      </c>
      <c r="C209" s="38">
        <f>IFERROR(VLOOKUP(A209,'Public v Private'!A:G,4,FALSE),"")</f>
        <v>0</v>
      </c>
      <c r="D209" s="38">
        <f>IFERROR(VLOOKUP(A209,'Public v Private'!A:G,5,FALSE),"")</f>
        <v>0</v>
      </c>
      <c r="E209" s="38"/>
      <c r="F209" s="40" t="str">
        <f>IFERROR(INDEX(Fall!$1:$1048576,MATCH(All!$A209,Fall!$A:$A,FALSE),MATCH(All!F$1,Fall!$1:$1,FALSE)),"N/A")</f>
        <v>1,127.00 (1,859.55)</v>
      </c>
      <c r="G209" t="str">
        <f>IFERROR(IF(INDEX(Fall!$1:$1048576,MATCH(All!$A209,Fall!$A:$A,FALSE),MATCH(All!G$1,Fall!$1:$1,FALSE))="","",INDEX(Fall!$1:$1048576,MATCH(All!$A209,Fall!$A:$A,FALSE),MATCH(All!G$1,Fall!$1:$1,FALSE))),"")</f>
        <v>2A</v>
      </c>
      <c r="H209" t="str">
        <f>IFERROR(IF(INDEX(Fall!$1:$1048576,MATCH(All!$A209,Fall!$A:$A,FALSE),MATCH(All!H$1,Fall!$1:$1,FALSE))="","",INDEX(Fall!$1:$1048576,MATCH(All!$A209,Fall!$A:$A,FALSE),MATCH(All!H$1,Fall!$1:$1,FALSE))),"")</f>
        <v>2A</v>
      </c>
      <c r="I209" t="str">
        <f>IFERROR(IF(INDEX(Fall!$1:$1048576,MATCH(All!$A209,Fall!$A:$A,FALSE),MATCH(All!I$1,Fall!$1:$1,FALSE))="","",INDEX(Fall!$1:$1048576,MATCH(All!$A209,Fall!$A:$A,FALSE),MATCH(All!I$1,Fall!$1:$1,FALSE))),"")</f>
        <v/>
      </c>
      <c r="J209" t="str">
        <f>IFERROR(IF(INDEX(Fall!$1:$1048576,MATCH(All!$A209,Fall!$A:$A,FALSE),MATCH(All!J$1,Fall!$1:$1,FALSE))="","",INDEX(Fall!$1:$1048576,MATCH(All!$A209,Fall!$A:$A,FALSE),MATCH(All!J$1,Fall!$1:$1,FALSE))),"")</f>
        <v/>
      </c>
      <c r="K209" t="str">
        <f>IFERROR(IF(INDEX(Fall!$1:$1048576,MATCH(All!$A209,Fall!$A:$A,FALSE),MATCH(All!K$1,Fall!$1:$1,FALSE))="","",INDEX(Fall!$1:$1048576,MATCH(All!$A209,Fall!$A:$A,FALSE),MATCH(All!K$1,Fall!$1:$1,FALSE))),"")</f>
        <v>3A</v>
      </c>
      <c r="L209" t="str">
        <f>IFERROR(IF(INDEX(Fall!$1:$1048576,MATCH(All!$A209,Fall!$A:$A,FALSE),MATCH(All!L$1,Fall!$1:$1,FALSE))="","",INDEX(Fall!$1:$1048576,MATCH(All!$A209,Fall!$A:$A,FALSE),MATCH(All!L$1,Fall!$1:$1,FALSE))),"")</f>
        <v/>
      </c>
      <c r="M209" t="str">
        <f>IFERROR(IF(INDEX(Fall!$1:$1048576,MATCH(All!$A209,Fall!$A:$A,FALSE),MATCH(All!M$1,Fall!$1:$1,FALSE))="","",INDEX(Fall!$1:$1048576,MATCH(All!$A209,Fall!$A:$A,FALSE),MATCH(All!M$1,Fall!$1:$1,FALSE))),"")</f>
        <v>3A</v>
      </c>
      <c r="O209" t="str">
        <f>IFERROR(IF(INDEX(Winter!$1:$1048576,MATCH(All!$A209,Winter!$A:$A,FALSE),MATCH(All!O$1,Winter!$1:$1,FALSE))="","",INDEX(Winter!$1:$1048576,MATCH(All!$A209,Winter!$A:$A,FALSE),MATCH(All!O$1,Winter!$1:$1,FALSE))),"")</f>
        <v>1,127.00 (1,859.55)</v>
      </c>
      <c r="P209" t="str">
        <f>IFERROR(IF(INDEX(Winter!$1:$1048576,MATCH(All!$A209,Winter!$A:$A,FALSE),MATCH(All!P$1,Winter!$1:$1,FALSE))="","",INDEX(Winter!$1:$1048576,MATCH(All!$A209,Winter!$A:$A,FALSE),MATCH(All!P$1,Winter!$1:$1,FALSE))),"")</f>
        <v>3A</v>
      </c>
      <c r="Q209" t="str">
        <f>IFERROR(IF(INDEX(Winter!$1:$1048576,MATCH(All!$A209,Winter!$A:$A,FALSE),MATCH(All!Q$1,Winter!$1:$1,FALSE))="","",INDEX(Winter!$1:$1048576,MATCH(All!$A209,Winter!$A:$A,FALSE),MATCH(All!Q$1,Winter!$1:$1,FALSE))),"")</f>
        <v>3A</v>
      </c>
      <c r="R209" t="str">
        <f>IFERROR(IF(INDEX(Winter!$1:$1048576,MATCH(All!$A209,Winter!$A:$A,FALSE),MATCH(All!R$1,Winter!$1:$1,FALSE))="","",INDEX(Winter!$1:$1048576,MATCH(All!$A209,Winter!$A:$A,FALSE),MATCH(All!R$1,Winter!$1:$1,FALSE))),"")</f>
        <v/>
      </c>
      <c r="S209" t="str">
        <f>IFERROR(IF(INDEX(Winter!$1:$1048576,MATCH(All!$A209,Winter!$A:$A,FALSE),MATCH(All!S$1,Winter!$1:$1,FALSE))="","",INDEX(Winter!$1:$1048576,MATCH(All!$A209,Winter!$A:$A,FALSE),MATCH(All!S$1,Winter!$1:$1,FALSE))),"")</f>
        <v/>
      </c>
      <c r="T209" t="str">
        <f>IFERROR(IF(INDEX(Winter!$1:$1048576,MATCH(All!$A209,Winter!$A:$A,FALSE),MATCH(All!T$1,Winter!$1:$1,FALSE))="","",INDEX(Winter!$1:$1048576,MATCH(All!$A209,Winter!$A:$A,FALSE),MATCH(All!T$1,Winter!$1:$1,FALSE))),"")</f>
        <v/>
      </c>
      <c r="U209" t="str">
        <f>IFERROR(IF(INDEX(Winter!$1:$1048576,MATCH(All!$A209,Winter!$A:$A,FALSE),MATCH(All!U$1,Winter!$1:$1,FALSE))="","",INDEX(Winter!$1:$1048576,MATCH(All!$A209,Winter!$A:$A,FALSE),MATCH(All!U$1,Winter!$1:$1,FALSE))),"")</f>
        <v>2A</v>
      </c>
      <c r="W209" t="str">
        <f>IFERROR(IF(INDEX(Spring!$1:$1048576,MATCH(All!$A209,Spring!$A:$A,FALSE),MATCH(All!W$1,Spring!$1:$1,FALSE))="","",INDEX(Spring!$1:$1048576,MATCH(All!$A209,Spring!$A:$A,FALSE),MATCH(All!W$1,Spring!$1:$1,FALSE))),"")</f>
        <v>1,127.00 (1,859.55)</v>
      </c>
      <c r="X209" t="str">
        <f>IFERROR(IF(INDEX(Spring!$1:$1048576,MATCH(All!$A209,Spring!$A:$A,FALSE),MATCH(All!X$1,Spring!$1:$1,FALSE))="","",INDEX(Spring!$1:$1048576,MATCH(All!$A209,Spring!$A:$A,FALSE),MATCH(All!X$1,Spring!$1:$1,FALSE))),"")</f>
        <v>4A</v>
      </c>
      <c r="Y209" t="str">
        <f>IFERROR(IF(INDEX(Spring!$1:$1048576,MATCH(All!$A209,Spring!$A:$A,FALSE),MATCH(All!Y$1,Spring!$1:$1,FALSE))="","",INDEX(Spring!$1:$1048576,MATCH(All!$A209,Spring!$A:$A,FALSE),MATCH(All!Y$1,Spring!$1:$1,FALSE))),"")</f>
        <v>4A</v>
      </c>
      <c r="Z209" t="str">
        <f>IFERROR(IF(INDEX(Spring!$1:$1048576,MATCH(All!$A209,Spring!$A:$A,FALSE),MATCH(All!Z$1,Spring!$1:$1,FALSE))="","",INDEX(Spring!$1:$1048576,MATCH(All!$A209,Spring!$A:$A,FALSE),MATCH(All!Z$1,Spring!$1:$1,FALSE))),"")</f>
        <v>3A</v>
      </c>
      <c r="AA209" t="str">
        <f>IFERROR(IF(INDEX(Spring!$1:$1048576,MATCH(All!$A209,Spring!$A:$A,FALSE),MATCH(All!AA$1,Spring!$1:$1,FALSE))="","",INDEX(Spring!$1:$1048576,MATCH(All!$A209,Spring!$A:$A,FALSE),MATCH(All!AA$1,Spring!$1:$1,FALSE))),"")</f>
        <v/>
      </c>
      <c r="AB209" t="str">
        <f>IFERROR(IF(INDEX(Spring!$1:$1048576,MATCH(All!$A209,Spring!$A:$A,FALSE),MATCH(All!AB$1,Spring!$1:$1,FALSE))="","",INDEX(Spring!$1:$1048576,MATCH(All!$A209,Spring!$A:$A,FALSE),MATCH(All!AB$1,Spring!$1:$1,FALSE))),"")</f>
        <v>3A</v>
      </c>
      <c r="AC209" t="str">
        <f>IFERROR(IF(INDEX(Spring!$1:$1048576,MATCH(All!$A209,Spring!$A:$A,FALSE),MATCH(All!AC$1,Spring!$1:$1,FALSE))="","",INDEX(Spring!$1:$1048576,MATCH(All!$A209,Spring!$A:$A,FALSE),MATCH(All!AC$1,Spring!$1:$1,FALSE))),"")</f>
        <v>3A</v>
      </c>
      <c r="AD209" t="str">
        <f>IFERROR(VLOOKUP(A209,'Flag Football'!A:A,1,FALSE),"")</f>
        <v/>
      </c>
      <c r="AE209" t="str">
        <f t="shared" si="3"/>
        <v/>
      </c>
    </row>
    <row r="210" spans="1:31" ht="15.75" thickBot="1" x14ac:dyDescent="0.3">
      <c r="A210" s="18" t="s">
        <v>265</v>
      </c>
      <c r="B210" s="38" t="str">
        <f>IFERROR(VLOOKUP(A210,'Public v Private'!A:G,3,FALSE),"")</f>
        <v>no</v>
      </c>
      <c r="C210" s="38">
        <f>IFERROR(VLOOKUP(A210,'Public v Private'!A:G,4,FALSE),"")</f>
        <v>0</v>
      </c>
      <c r="D210" s="38">
        <f>IFERROR(VLOOKUP(A210,'Public v Private'!A:G,5,FALSE),"")</f>
        <v>0</v>
      </c>
      <c r="E210" s="38"/>
      <c r="F210" s="40" t="str">
        <f>IFERROR(INDEX(Fall!$1:$1048576,MATCH(All!$A210,Fall!$A:$A,FALSE),MATCH(All!F$1,Fall!$1:$1,FALSE)),"N/A")</f>
        <v>498.00 (821.70)</v>
      </c>
      <c r="G210" t="str">
        <f>IFERROR(IF(INDEX(Fall!$1:$1048576,MATCH(All!$A210,Fall!$A:$A,FALSE),MATCH(All!G$1,Fall!$1:$1,FALSE))="","",INDEX(Fall!$1:$1048576,MATCH(All!$A210,Fall!$A:$A,FALSE),MATCH(All!G$1,Fall!$1:$1,FALSE))),"")</f>
        <v/>
      </c>
      <c r="H210" t="str">
        <f>IFERROR(IF(INDEX(Fall!$1:$1048576,MATCH(All!$A210,Fall!$A:$A,FALSE),MATCH(All!H$1,Fall!$1:$1,FALSE))="","",INDEX(Fall!$1:$1048576,MATCH(All!$A210,Fall!$A:$A,FALSE),MATCH(All!H$1,Fall!$1:$1,FALSE))),"")</f>
        <v/>
      </c>
      <c r="I210" t="str">
        <f>IFERROR(IF(INDEX(Fall!$1:$1048576,MATCH(All!$A210,Fall!$A:$A,FALSE),MATCH(All!I$1,Fall!$1:$1,FALSE))="","",INDEX(Fall!$1:$1048576,MATCH(All!$A210,Fall!$A:$A,FALSE),MATCH(All!I$1,Fall!$1:$1,FALSE))),"")</f>
        <v/>
      </c>
      <c r="J210" t="str">
        <f>IFERROR(IF(INDEX(Fall!$1:$1048576,MATCH(All!$A210,Fall!$A:$A,FALSE),MATCH(All!J$1,Fall!$1:$1,FALSE))="","",INDEX(Fall!$1:$1048576,MATCH(All!$A210,Fall!$A:$A,FALSE),MATCH(All!J$1,Fall!$1:$1,FALSE))),"")</f>
        <v/>
      </c>
      <c r="K210" t="str">
        <f>IFERROR(IF(INDEX(Fall!$1:$1048576,MATCH(All!$A210,Fall!$A:$A,FALSE),MATCH(All!K$1,Fall!$1:$1,FALSE))="","",INDEX(Fall!$1:$1048576,MATCH(All!$A210,Fall!$A:$A,FALSE),MATCH(All!K$1,Fall!$1:$1,FALSE))),"")</f>
        <v/>
      </c>
      <c r="L210" t="str">
        <f>IFERROR(IF(INDEX(Fall!$1:$1048576,MATCH(All!$A210,Fall!$A:$A,FALSE),MATCH(All!L$1,Fall!$1:$1,FALSE))="","",INDEX(Fall!$1:$1048576,MATCH(All!$A210,Fall!$A:$A,FALSE),MATCH(All!L$1,Fall!$1:$1,FALSE))),"")</f>
        <v/>
      </c>
      <c r="M210" t="str">
        <f>IFERROR(IF(INDEX(Fall!$1:$1048576,MATCH(All!$A210,Fall!$A:$A,FALSE),MATCH(All!M$1,Fall!$1:$1,FALSE))="","",INDEX(Fall!$1:$1048576,MATCH(All!$A210,Fall!$A:$A,FALSE),MATCH(All!M$1,Fall!$1:$1,FALSE))),"")</f>
        <v>2A</v>
      </c>
      <c r="O210" t="str">
        <f>IFERROR(IF(INDEX(Winter!$1:$1048576,MATCH(All!$A210,Winter!$A:$A,FALSE),MATCH(All!O$1,Winter!$1:$1,FALSE))="","",INDEX(Winter!$1:$1048576,MATCH(All!$A210,Winter!$A:$A,FALSE),MATCH(All!O$1,Winter!$1:$1,FALSE))),"")</f>
        <v>498.00 (821.70)</v>
      </c>
      <c r="P210" t="str">
        <f>IFERROR(IF(INDEX(Winter!$1:$1048576,MATCH(All!$A210,Winter!$A:$A,FALSE),MATCH(All!P$1,Winter!$1:$1,FALSE))="","",INDEX(Winter!$1:$1048576,MATCH(All!$A210,Winter!$A:$A,FALSE),MATCH(All!P$1,Winter!$1:$1,FALSE))),"")</f>
        <v>2A</v>
      </c>
      <c r="Q210" t="str">
        <f>IFERROR(IF(INDEX(Winter!$1:$1048576,MATCH(All!$A210,Winter!$A:$A,FALSE),MATCH(All!Q$1,Winter!$1:$1,FALSE))="","",INDEX(Winter!$1:$1048576,MATCH(All!$A210,Winter!$A:$A,FALSE),MATCH(All!Q$1,Winter!$1:$1,FALSE))),"")</f>
        <v>2A</v>
      </c>
      <c r="R210" t="str">
        <f>IFERROR(IF(INDEX(Winter!$1:$1048576,MATCH(All!$A210,Winter!$A:$A,FALSE),MATCH(All!R$1,Winter!$1:$1,FALSE))="","",INDEX(Winter!$1:$1048576,MATCH(All!$A210,Winter!$A:$A,FALSE),MATCH(All!R$1,Winter!$1:$1,FALSE))),"")</f>
        <v/>
      </c>
      <c r="S210" t="str">
        <f>IFERROR(IF(INDEX(Winter!$1:$1048576,MATCH(All!$A210,Winter!$A:$A,FALSE),MATCH(All!S$1,Winter!$1:$1,FALSE))="","",INDEX(Winter!$1:$1048576,MATCH(All!$A210,Winter!$A:$A,FALSE),MATCH(All!S$1,Winter!$1:$1,FALSE))),"")</f>
        <v/>
      </c>
      <c r="T210" t="str">
        <f>IFERROR(IF(INDEX(Winter!$1:$1048576,MATCH(All!$A210,Winter!$A:$A,FALSE),MATCH(All!T$1,Winter!$1:$1,FALSE))="","",INDEX(Winter!$1:$1048576,MATCH(All!$A210,Winter!$A:$A,FALSE),MATCH(All!T$1,Winter!$1:$1,FALSE))),"")</f>
        <v/>
      </c>
      <c r="U210" t="str">
        <f>IFERROR(IF(INDEX(Winter!$1:$1048576,MATCH(All!$A210,Winter!$A:$A,FALSE),MATCH(All!U$1,Winter!$1:$1,FALSE))="","",INDEX(Winter!$1:$1048576,MATCH(All!$A210,Winter!$A:$A,FALSE),MATCH(All!U$1,Winter!$1:$1,FALSE))),"")</f>
        <v/>
      </c>
      <c r="W210" t="str">
        <f>IFERROR(IF(INDEX(Spring!$1:$1048576,MATCH(All!$A210,Spring!$A:$A,FALSE),MATCH(All!W$1,Spring!$1:$1,FALSE))="","",INDEX(Spring!$1:$1048576,MATCH(All!$A210,Spring!$A:$A,FALSE),MATCH(All!W$1,Spring!$1:$1,FALSE))),"")</f>
        <v>498.00 (821.70)</v>
      </c>
      <c r="X210" t="str">
        <f>IFERROR(IF(INDEX(Spring!$1:$1048576,MATCH(All!$A210,Spring!$A:$A,FALSE),MATCH(All!X$1,Spring!$1:$1,FALSE))="","",INDEX(Spring!$1:$1048576,MATCH(All!$A210,Spring!$A:$A,FALSE),MATCH(All!X$1,Spring!$1:$1,FALSE))),"")</f>
        <v/>
      </c>
      <c r="Y210" t="str">
        <f>IFERROR(IF(INDEX(Spring!$1:$1048576,MATCH(All!$A210,Spring!$A:$A,FALSE),MATCH(All!Y$1,Spring!$1:$1,FALSE))="","",INDEX(Spring!$1:$1048576,MATCH(All!$A210,Spring!$A:$A,FALSE),MATCH(All!Y$1,Spring!$1:$1,FALSE))),"")</f>
        <v/>
      </c>
      <c r="Z210" t="str">
        <f>IFERROR(IF(INDEX(Spring!$1:$1048576,MATCH(All!$A210,Spring!$A:$A,FALSE),MATCH(All!Z$1,Spring!$1:$1,FALSE))="","",INDEX(Spring!$1:$1048576,MATCH(All!$A210,Spring!$A:$A,FALSE),MATCH(All!Z$1,Spring!$1:$1,FALSE))),"")</f>
        <v/>
      </c>
      <c r="AA210" t="str">
        <f>IFERROR(IF(INDEX(Spring!$1:$1048576,MATCH(All!$A210,Spring!$A:$A,FALSE),MATCH(All!AA$1,Spring!$1:$1,FALSE))="","",INDEX(Spring!$1:$1048576,MATCH(All!$A210,Spring!$A:$A,FALSE),MATCH(All!AA$1,Spring!$1:$1,FALSE))),"")</f>
        <v/>
      </c>
      <c r="AB210" t="str">
        <f>IFERROR(IF(INDEX(Spring!$1:$1048576,MATCH(All!$A210,Spring!$A:$A,FALSE),MATCH(All!AB$1,Spring!$1:$1,FALSE))="","",INDEX(Spring!$1:$1048576,MATCH(All!$A210,Spring!$A:$A,FALSE),MATCH(All!AB$1,Spring!$1:$1,FALSE))),"")</f>
        <v>2A</v>
      </c>
      <c r="AC210" t="str">
        <f>IFERROR(IF(INDEX(Spring!$1:$1048576,MATCH(All!$A210,Spring!$A:$A,FALSE),MATCH(All!AC$1,Spring!$1:$1,FALSE))="","",INDEX(Spring!$1:$1048576,MATCH(All!$A210,Spring!$A:$A,FALSE),MATCH(All!AC$1,Spring!$1:$1,FALSE))),"")</f>
        <v>2A</v>
      </c>
      <c r="AD210" t="str">
        <f>IFERROR(VLOOKUP(A210,'Flag Football'!A:A,1,FALSE),"")</f>
        <v>Chicago (Noble/Johnson)</v>
      </c>
      <c r="AE210" t="str">
        <f t="shared" si="3"/>
        <v>1A</v>
      </c>
    </row>
    <row r="211" spans="1:31" ht="15.75" thickBot="1" x14ac:dyDescent="0.3">
      <c r="A211" s="20" t="s">
        <v>267</v>
      </c>
      <c r="B211" s="38" t="str">
        <f>IFERROR(VLOOKUP(A211,'Public v Private'!A:G,3,FALSE),"")</f>
        <v>no</v>
      </c>
      <c r="C211" s="38">
        <f>IFERROR(VLOOKUP(A211,'Public v Private'!A:G,4,FALSE),"")</f>
        <v>0</v>
      </c>
      <c r="D211" s="38">
        <f>IFERROR(VLOOKUP(A211,'Public v Private'!A:G,5,FALSE),"")</f>
        <v>0</v>
      </c>
      <c r="E211" s="38"/>
      <c r="F211" s="40" t="str">
        <f>IFERROR(INDEX(Fall!$1:$1048576,MATCH(All!$A211,Fall!$A:$A,FALSE),MATCH(All!F$1,Fall!$1:$1,FALSE)),"N/A")</f>
        <v>1,081.00 (1,783.65)</v>
      </c>
      <c r="G211" t="str">
        <f>IFERROR(IF(INDEX(Fall!$1:$1048576,MATCH(All!$A211,Fall!$A:$A,FALSE),MATCH(All!G$1,Fall!$1:$1,FALSE))="","",INDEX(Fall!$1:$1048576,MATCH(All!$A211,Fall!$A:$A,FALSE),MATCH(All!G$1,Fall!$1:$1,FALSE))),"")</f>
        <v>2A</v>
      </c>
      <c r="H211" t="str">
        <f>IFERROR(IF(INDEX(Fall!$1:$1048576,MATCH(All!$A211,Fall!$A:$A,FALSE),MATCH(All!H$1,Fall!$1:$1,FALSE))="","",INDEX(Fall!$1:$1048576,MATCH(All!$A211,Fall!$A:$A,FALSE),MATCH(All!H$1,Fall!$1:$1,FALSE))),"")</f>
        <v>2A</v>
      </c>
      <c r="I211" t="str">
        <f>IFERROR(IF(INDEX(Fall!$1:$1048576,MATCH(All!$A211,Fall!$A:$A,FALSE),MATCH(All!I$1,Fall!$1:$1,FALSE))="","",INDEX(Fall!$1:$1048576,MATCH(All!$A211,Fall!$A:$A,FALSE),MATCH(All!I$1,Fall!$1:$1,FALSE))),"")</f>
        <v/>
      </c>
      <c r="J211" t="str">
        <f>IFERROR(IF(INDEX(Fall!$1:$1048576,MATCH(All!$A211,Fall!$A:$A,FALSE),MATCH(All!J$1,Fall!$1:$1,FALSE))="","",INDEX(Fall!$1:$1048576,MATCH(All!$A211,Fall!$A:$A,FALSE),MATCH(All!J$1,Fall!$1:$1,FALSE))),"")</f>
        <v/>
      </c>
      <c r="K211" t="str">
        <f>IFERROR(IF(INDEX(Fall!$1:$1048576,MATCH(All!$A211,Fall!$A:$A,FALSE),MATCH(All!K$1,Fall!$1:$1,FALSE))="","",INDEX(Fall!$1:$1048576,MATCH(All!$A211,Fall!$A:$A,FALSE),MATCH(All!K$1,Fall!$1:$1,FALSE))),"")</f>
        <v>2A</v>
      </c>
      <c r="L211" t="str">
        <f>IFERROR(IF(INDEX(Fall!$1:$1048576,MATCH(All!$A211,Fall!$A:$A,FALSE),MATCH(All!L$1,Fall!$1:$1,FALSE))="","",INDEX(Fall!$1:$1048576,MATCH(All!$A211,Fall!$A:$A,FALSE),MATCH(All!L$1,Fall!$1:$1,FALSE))),"")</f>
        <v/>
      </c>
      <c r="M211" t="str">
        <f>IFERROR(IF(INDEX(Fall!$1:$1048576,MATCH(All!$A211,Fall!$A:$A,FALSE),MATCH(All!M$1,Fall!$1:$1,FALSE))="","",INDEX(Fall!$1:$1048576,MATCH(All!$A211,Fall!$A:$A,FALSE),MATCH(All!M$1,Fall!$1:$1,FALSE))),"")</f>
        <v>3A</v>
      </c>
      <c r="O211" t="str">
        <f>IFERROR(IF(INDEX(Winter!$1:$1048576,MATCH(All!$A211,Winter!$A:$A,FALSE),MATCH(All!O$1,Winter!$1:$1,FALSE))="","",INDEX(Winter!$1:$1048576,MATCH(All!$A211,Winter!$A:$A,FALSE),MATCH(All!O$1,Winter!$1:$1,FALSE))),"")</f>
        <v>1,081.00 (1,783.65)</v>
      </c>
      <c r="P211" t="str">
        <f>IFERROR(IF(INDEX(Winter!$1:$1048576,MATCH(All!$A211,Winter!$A:$A,FALSE),MATCH(All!P$1,Winter!$1:$1,FALSE))="","",INDEX(Winter!$1:$1048576,MATCH(All!$A211,Winter!$A:$A,FALSE),MATCH(All!P$1,Winter!$1:$1,FALSE))),"")</f>
        <v>3A</v>
      </c>
      <c r="Q211" t="str">
        <f>IFERROR(IF(INDEX(Winter!$1:$1048576,MATCH(All!$A211,Winter!$A:$A,FALSE),MATCH(All!Q$1,Winter!$1:$1,FALSE))="","",INDEX(Winter!$1:$1048576,MATCH(All!$A211,Winter!$A:$A,FALSE),MATCH(All!Q$1,Winter!$1:$1,FALSE))),"")</f>
        <v>3A</v>
      </c>
      <c r="R211" t="str">
        <f>IFERROR(IF(INDEX(Winter!$1:$1048576,MATCH(All!$A211,Winter!$A:$A,FALSE),MATCH(All!R$1,Winter!$1:$1,FALSE))="","",INDEX(Winter!$1:$1048576,MATCH(All!$A211,Winter!$A:$A,FALSE),MATCH(All!R$1,Winter!$1:$1,FALSE))),"")</f>
        <v/>
      </c>
      <c r="S211" t="str">
        <f>IFERROR(IF(INDEX(Winter!$1:$1048576,MATCH(All!$A211,Winter!$A:$A,FALSE),MATCH(All!S$1,Winter!$1:$1,FALSE))="","",INDEX(Winter!$1:$1048576,MATCH(All!$A211,Winter!$A:$A,FALSE),MATCH(All!S$1,Winter!$1:$1,FALSE))),"")</f>
        <v/>
      </c>
      <c r="T211" t="str">
        <f>IFERROR(IF(INDEX(Winter!$1:$1048576,MATCH(All!$A211,Winter!$A:$A,FALSE),MATCH(All!T$1,Winter!$1:$1,FALSE))="","",INDEX(Winter!$1:$1048576,MATCH(All!$A211,Winter!$A:$A,FALSE),MATCH(All!T$1,Winter!$1:$1,FALSE))),"")</f>
        <v/>
      </c>
      <c r="U211" t="str">
        <f>IFERROR(IF(INDEX(Winter!$1:$1048576,MATCH(All!$A211,Winter!$A:$A,FALSE),MATCH(All!U$1,Winter!$1:$1,FALSE))="","",INDEX(Winter!$1:$1048576,MATCH(All!$A211,Winter!$A:$A,FALSE),MATCH(All!U$1,Winter!$1:$1,FALSE))),"")</f>
        <v>3A</v>
      </c>
      <c r="W211" t="str">
        <f>IFERROR(IF(INDEX(Spring!$1:$1048576,MATCH(All!$A211,Spring!$A:$A,FALSE),MATCH(All!W$1,Spring!$1:$1,FALSE))="","",INDEX(Spring!$1:$1048576,MATCH(All!$A211,Spring!$A:$A,FALSE),MATCH(All!W$1,Spring!$1:$1,FALSE))),"")</f>
        <v>1,081.00 (1,783.65)</v>
      </c>
      <c r="X211" t="str">
        <f>IFERROR(IF(INDEX(Spring!$1:$1048576,MATCH(All!$A211,Spring!$A:$A,FALSE),MATCH(All!X$1,Spring!$1:$1,FALSE))="","",INDEX(Spring!$1:$1048576,MATCH(All!$A211,Spring!$A:$A,FALSE),MATCH(All!X$1,Spring!$1:$1,FALSE))),"")</f>
        <v>4A</v>
      </c>
      <c r="Y211" t="str">
        <f>IFERROR(IF(INDEX(Spring!$1:$1048576,MATCH(All!$A211,Spring!$A:$A,FALSE),MATCH(All!Y$1,Spring!$1:$1,FALSE))="","",INDEX(Spring!$1:$1048576,MATCH(All!$A211,Spring!$A:$A,FALSE),MATCH(All!Y$1,Spring!$1:$1,FALSE))),"")</f>
        <v>4A</v>
      </c>
      <c r="Z211" t="str">
        <f>IFERROR(IF(INDEX(Spring!$1:$1048576,MATCH(All!$A211,Spring!$A:$A,FALSE),MATCH(All!Z$1,Spring!$1:$1,FALSE))="","",INDEX(Spring!$1:$1048576,MATCH(All!$A211,Spring!$A:$A,FALSE),MATCH(All!Z$1,Spring!$1:$1,FALSE))),"")</f>
        <v>2A</v>
      </c>
      <c r="AA211" t="str">
        <f>IFERROR(IF(INDEX(Spring!$1:$1048576,MATCH(All!$A211,Spring!$A:$A,FALSE),MATCH(All!AA$1,Spring!$1:$1,FALSE))="","",INDEX(Spring!$1:$1048576,MATCH(All!$A211,Spring!$A:$A,FALSE),MATCH(All!AA$1,Spring!$1:$1,FALSE))),"")</f>
        <v/>
      </c>
      <c r="AB211" t="str">
        <f>IFERROR(IF(INDEX(Spring!$1:$1048576,MATCH(All!$A211,Spring!$A:$A,FALSE),MATCH(All!AB$1,Spring!$1:$1,FALSE))="","",INDEX(Spring!$1:$1048576,MATCH(All!$A211,Spring!$A:$A,FALSE),MATCH(All!AB$1,Spring!$1:$1,FALSE))),"")</f>
        <v/>
      </c>
      <c r="AC211" t="str">
        <f>IFERROR(IF(INDEX(Spring!$1:$1048576,MATCH(All!$A211,Spring!$A:$A,FALSE),MATCH(All!AC$1,Spring!$1:$1,FALSE))="","",INDEX(Spring!$1:$1048576,MATCH(All!$A211,Spring!$A:$A,FALSE),MATCH(All!AC$1,Spring!$1:$1,FALSE))),"")</f>
        <v/>
      </c>
      <c r="AD211" t="str">
        <f>IFERROR(VLOOKUP(A211,'Flag Football'!A:A,1,FALSE),"")</f>
        <v>Chicago (Noble/Mansueto)</v>
      </c>
      <c r="AE211" t="str">
        <f t="shared" si="3"/>
        <v>1A</v>
      </c>
    </row>
    <row r="212" spans="1:31" ht="15.75" thickBot="1" x14ac:dyDescent="0.3">
      <c r="A212" s="18" t="s">
        <v>269</v>
      </c>
      <c r="B212" s="38" t="str">
        <f>IFERROR(VLOOKUP(A212,'Public v Private'!A:G,3,FALSE),"")</f>
        <v>no</v>
      </c>
      <c r="C212" s="38">
        <f>IFERROR(VLOOKUP(A212,'Public v Private'!A:G,4,FALSE),"")</f>
        <v>0</v>
      </c>
      <c r="D212" s="38">
        <f>IFERROR(VLOOKUP(A212,'Public v Private'!A:G,5,FALSE),"")</f>
        <v>0</v>
      </c>
      <c r="E212" s="38"/>
      <c r="F212" s="40" t="str">
        <f>IFERROR(INDEX(Fall!$1:$1048576,MATCH(All!$A212,Fall!$A:$A,FALSE),MATCH(All!F$1,Fall!$1:$1,FALSE)),"N/A")</f>
        <v>890.00 (1,468.50)</v>
      </c>
      <c r="G212" t="str">
        <f>IFERROR(IF(INDEX(Fall!$1:$1048576,MATCH(All!$A212,Fall!$A:$A,FALSE),MATCH(All!G$1,Fall!$1:$1,FALSE))="","",INDEX(Fall!$1:$1048576,MATCH(All!$A212,Fall!$A:$A,FALSE),MATCH(All!G$1,Fall!$1:$1,FALSE))),"")</f>
        <v>2A</v>
      </c>
      <c r="H212" t="str">
        <f>IFERROR(IF(INDEX(Fall!$1:$1048576,MATCH(All!$A212,Fall!$A:$A,FALSE),MATCH(All!H$1,Fall!$1:$1,FALSE))="","",INDEX(Fall!$1:$1048576,MATCH(All!$A212,Fall!$A:$A,FALSE),MATCH(All!H$1,Fall!$1:$1,FALSE))),"")</f>
        <v>2A</v>
      </c>
      <c r="I212" t="str">
        <f>IFERROR(IF(INDEX(Fall!$1:$1048576,MATCH(All!$A212,Fall!$A:$A,FALSE),MATCH(All!I$1,Fall!$1:$1,FALSE))="","",INDEX(Fall!$1:$1048576,MATCH(All!$A212,Fall!$A:$A,FALSE),MATCH(All!I$1,Fall!$1:$1,FALSE))),"")</f>
        <v/>
      </c>
      <c r="J212" t="str">
        <f>IFERROR(IF(INDEX(Fall!$1:$1048576,MATCH(All!$A212,Fall!$A:$A,FALSE),MATCH(All!J$1,Fall!$1:$1,FALSE))="","",INDEX(Fall!$1:$1048576,MATCH(All!$A212,Fall!$A:$A,FALSE),MATCH(All!J$1,Fall!$1:$1,FALSE))),"")</f>
        <v/>
      </c>
      <c r="K212" t="str">
        <f>IFERROR(IF(INDEX(Fall!$1:$1048576,MATCH(All!$A212,Fall!$A:$A,FALSE),MATCH(All!K$1,Fall!$1:$1,FALSE))="","",INDEX(Fall!$1:$1048576,MATCH(All!$A212,Fall!$A:$A,FALSE),MATCH(All!K$1,Fall!$1:$1,FALSE))),"")</f>
        <v>2A</v>
      </c>
      <c r="L212" t="str">
        <f>IFERROR(IF(INDEX(Fall!$1:$1048576,MATCH(All!$A212,Fall!$A:$A,FALSE),MATCH(All!L$1,Fall!$1:$1,FALSE))="","",INDEX(Fall!$1:$1048576,MATCH(All!$A212,Fall!$A:$A,FALSE),MATCH(All!L$1,Fall!$1:$1,FALSE))),"")</f>
        <v/>
      </c>
      <c r="M212" t="str">
        <f>IFERROR(IF(INDEX(Fall!$1:$1048576,MATCH(All!$A212,Fall!$A:$A,FALSE),MATCH(All!M$1,Fall!$1:$1,FALSE))="","",INDEX(Fall!$1:$1048576,MATCH(All!$A212,Fall!$A:$A,FALSE),MATCH(All!M$1,Fall!$1:$1,FALSE))),"")</f>
        <v>3A</v>
      </c>
      <c r="O212" t="str">
        <f>IFERROR(IF(INDEX(Winter!$1:$1048576,MATCH(All!$A212,Winter!$A:$A,FALSE),MATCH(All!O$1,Winter!$1:$1,FALSE))="","",INDEX(Winter!$1:$1048576,MATCH(All!$A212,Winter!$A:$A,FALSE),MATCH(All!O$1,Winter!$1:$1,FALSE))),"")</f>
        <v>890.00 (1,468.50)</v>
      </c>
      <c r="P212" t="str">
        <f>IFERROR(IF(INDEX(Winter!$1:$1048576,MATCH(All!$A212,Winter!$A:$A,FALSE),MATCH(All!P$1,Winter!$1:$1,FALSE))="","",INDEX(Winter!$1:$1048576,MATCH(All!$A212,Winter!$A:$A,FALSE),MATCH(All!P$1,Winter!$1:$1,FALSE))),"")</f>
        <v>3A</v>
      </c>
      <c r="Q212" t="str">
        <f>IFERROR(IF(INDEX(Winter!$1:$1048576,MATCH(All!$A212,Winter!$A:$A,FALSE),MATCH(All!Q$1,Winter!$1:$1,FALSE))="","",INDEX(Winter!$1:$1048576,MATCH(All!$A212,Winter!$A:$A,FALSE),MATCH(All!Q$1,Winter!$1:$1,FALSE))),"")</f>
        <v>3A</v>
      </c>
      <c r="R212" t="str">
        <f>IFERROR(IF(INDEX(Winter!$1:$1048576,MATCH(All!$A212,Winter!$A:$A,FALSE),MATCH(All!R$1,Winter!$1:$1,FALSE))="","",INDEX(Winter!$1:$1048576,MATCH(All!$A212,Winter!$A:$A,FALSE),MATCH(All!R$1,Winter!$1:$1,FALSE))),"")</f>
        <v/>
      </c>
      <c r="S212" t="str">
        <f>IFERROR(IF(INDEX(Winter!$1:$1048576,MATCH(All!$A212,Winter!$A:$A,FALSE),MATCH(All!S$1,Winter!$1:$1,FALSE))="","",INDEX(Winter!$1:$1048576,MATCH(All!$A212,Winter!$A:$A,FALSE),MATCH(All!S$1,Winter!$1:$1,FALSE))),"")</f>
        <v/>
      </c>
      <c r="T212" t="str">
        <f>IFERROR(IF(INDEX(Winter!$1:$1048576,MATCH(All!$A212,Winter!$A:$A,FALSE),MATCH(All!T$1,Winter!$1:$1,FALSE))="","",INDEX(Winter!$1:$1048576,MATCH(All!$A212,Winter!$A:$A,FALSE),MATCH(All!T$1,Winter!$1:$1,FALSE))),"")</f>
        <v/>
      </c>
      <c r="U212" t="str">
        <f>IFERROR(IF(INDEX(Winter!$1:$1048576,MATCH(All!$A212,Winter!$A:$A,FALSE),MATCH(All!U$1,Winter!$1:$1,FALSE))="","",INDEX(Winter!$1:$1048576,MATCH(All!$A212,Winter!$A:$A,FALSE),MATCH(All!U$1,Winter!$1:$1,FALSE))),"")</f>
        <v/>
      </c>
      <c r="W212" t="str">
        <f>IFERROR(IF(INDEX(Spring!$1:$1048576,MATCH(All!$A212,Spring!$A:$A,FALSE),MATCH(All!W$1,Spring!$1:$1,FALSE))="","",INDEX(Spring!$1:$1048576,MATCH(All!$A212,Spring!$A:$A,FALSE),MATCH(All!W$1,Spring!$1:$1,FALSE))),"")</f>
        <v>890.00 (1,468.50)</v>
      </c>
      <c r="X212" t="str">
        <f>IFERROR(IF(INDEX(Spring!$1:$1048576,MATCH(All!$A212,Spring!$A:$A,FALSE),MATCH(All!X$1,Spring!$1:$1,FALSE))="","",INDEX(Spring!$1:$1048576,MATCH(All!$A212,Spring!$A:$A,FALSE),MATCH(All!X$1,Spring!$1:$1,FALSE))),"")</f>
        <v>3A</v>
      </c>
      <c r="Y212" t="str">
        <f>IFERROR(IF(INDEX(Spring!$1:$1048576,MATCH(All!$A212,Spring!$A:$A,FALSE),MATCH(All!Y$1,Spring!$1:$1,FALSE))="","",INDEX(Spring!$1:$1048576,MATCH(All!$A212,Spring!$A:$A,FALSE),MATCH(All!Y$1,Spring!$1:$1,FALSE))),"")</f>
        <v/>
      </c>
      <c r="Z212" t="str">
        <f>IFERROR(IF(INDEX(Spring!$1:$1048576,MATCH(All!$A212,Spring!$A:$A,FALSE),MATCH(All!Z$1,Spring!$1:$1,FALSE))="","",INDEX(Spring!$1:$1048576,MATCH(All!$A212,Spring!$A:$A,FALSE),MATCH(All!Z$1,Spring!$1:$1,FALSE))),"")</f>
        <v>2A</v>
      </c>
      <c r="AA212" t="str">
        <f>IFERROR(IF(INDEX(Spring!$1:$1048576,MATCH(All!$A212,Spring!$A:$A,FALSE),MATCH(All!AA$1,Spring!$1:$1,FALSE))="","",INDEX(Spring!$1:$1048576,MATCH(All!$A212,Spring!$A:$A,FALSE),MATCH(All!AA$1,Spring!$1:$1,FALSE))),"")</f>
        <v/>
      </c>
      <c r="AB212" t="str">
        <f>IFERROR(IF(INDEX(Spring!$1:$1048576,MATCH(All!$A212,Spring!$A:$A,FALSE),MATCH(All!AB$1,Spring!$1:$1,FALSE))="","",INDEX(Spring!$1:$1048576,MATCH(All!$A212,Spring!$A:$A,FALSE),MATCH(All!AB$1,Spring!$1:$1,FALSE))),"")</f>
        <v>3A</v>
      </c>
      <c r="AC212" t="str">
        <f>IFERROR(IF(INDEX(Spring!$1:$1048576,MATCH(All!$A212,Spring!$A:$A,FALSE),MATCH(All!AC$1,Spring!$1:$1,FALSE))="","",INDEX(Spring!$1:$1048576,MATCH(All!$A212,Spring!$A:$A,FALSE),MATCH(All!AC$1,Spring!$1:$1,FALSE))),"")</f>
        <v>3A</v>
      </c>
      <c r="AD212" t="str">
        <f>IFERROR(VLOOKUP(A212,'Flag Football'!A:A,1,FALSE),"")</f>
        <v>Chicago (Noble/Muchin)</v>
      </c>
      <c r="AE212" t="str">
        <f t="shared" si="3"/>
        <v>1A</v>
      </c>
    </row>
    <row r="213" spans="1:31" ht="15.75" thickBot="1" x14ac:dyDescent="0.3">
      <c r="A213" s="20" t="s">
        <v>271</v>
      </c>
      <c r="B213" s="38" t="str">
        <f>IFERROR(VLOOKUP(A213,'Public v Private'!A:G,3,FALSE),"")</f>
        <v>no</v>
      </c>
      <c r="C213" s="38">
        <f>IFERROR(VLOOKUP(A213,'Public v Private'!A:G,4,FALSE),"")</f>
        <v>0</v>
      </c>
      <c r="D213" s="38">
        <f>IFERROR(VLOOKUP(A213,'Public v Private'!A:G,5,FALSE),"")</f>
        <v>0</v>
      </c>
      <c r="E213" s="38"/>
      <c r="F213" s="40" t="str">
        <f>IFERROR(INDEX(Fall!$1:$1048576,MATCH(All!$A213,Fall!$A:$A,FALSE),MATCH(All!F$1,Fall!$1:$1,FALSE)),"N/A")</f>
        <v>399.00 (658.35)</v>
      </c>
      <c r="G213" t="str">
        <f>IFERROR(IF(INDEX(Fall!$1:$1048576,MATCH(All!$A213,Fall!$A:$A,FALSE),MATCH(All!G$1,Fall!$1:$1,FALSE))="","",INDEX(Fall!$1:$1048576,MATCH(All!$A213,Fall!$A:$A,FALSE),MATCH(All!G$1,Fall!$1:$1,FALSE))),"")</f>
        <v/>
      </c>
      <c r="H213" t="str">
        <f>IFERROR(IF(INDEX(Fall!$1:$1048576,MATCH(All!$A213,Fall!$A:$A,FALSE),MATCH(All!H$1,Fall!$1:$1,FALSE))="","",INDEX(Fall!$1:$1048576,MATCH(All!$A213,Fall!$A:$A,FALSE),MATCH(All!H$1,Fall!$1:$1,FALSE))),"")</f>
        <v/>
      </c>
      <c r="I213" t="str">
        <f>IFERROR(IF(INDEX(Fall!$1:$1048576,MATCH(All!$A213,Fall!$A:$A,FALSE),MATCH(All!I$1,Fall!$1:$1,FALSE))="","",INDEX(Fall!$1:$1048576,MATCH(All!$A213,Fall!$A:$A,FALSE),MATCH(All!I$1,Fall!$1:$1,FALSE))),"")</f>
        <v/>
      </c>
      <c r="J213" t="str">
        <f>IFERROR(IF(INDEX(Fall!$1:$1048576,MATCH(All!$A213,Fall!$A:$A,FALSE),MATCH(All!J$1,Fall!$1:$1,FALSE))="","",INDEX(Fall!$1:$1048576,MATCH(All!$A213,Fall!$A:$A,FALSE),MATCH(All!J$1,Fall!$1:$1,FALSE))),"")</f>
        <v/>
      </c>
      <c r="K213" t="str">
        <f>IFERROR(IF(INDEX(Fall!$1:$1048576,MATCH(All!$A213,Fall!$A:$A,FALSE),MATCH(All!K$1,Fall!$1:$1,FALSE))="","",INDEX(Fall!$1:$1048576,MATCH(All!$A213,Fall!$A:$A,FALSE),MATCH(All!K$1,Fall!$1:$1,FALSE))),"")</f>
        <v/>
      </c>
      <c r="L213" t="str">
        <f>IFERROR(IF(INDEX(Fall!$1:$1048576,MATCH(All!$A213,Fall!$A:$A,FALSE),MATCH(All!L$1,Fall!$1:$1,FALSE))="","",INDEX(Fall!$1:$1048576,MATCH(All!$A213,Fall!$A:$A,FALSE),MATCH(All!L$1,Fall!$1:$1,FALSE))),"")</f>
        <v/>
      </c>
      <c r="M213" t="str">
        <f>IFERROR(IF(INDEX(Fall!$1:$1048576,MATCH(All!$A213,Fall!$A:$A,FALSE),MATCH(All!M$1,Fall!$1:$1,FALSE))="","",INDEX(Fall!$1:$1048576,MATCH(All!$A213,Fall!$A:$A,FALSE),MATCH(All!M$1,Fall!$1:$1,FALSE))),"")</f>
        <v>2A</v>
      </c>
      <c r="O213" t="str">
        <f>IFERROR(IF(INDEX(Winter!$1:$1048576,MATCH(All!$A213,Winter!$A:$A,FALSE),MATCH(All!O$1,Winter!$1:$1,FALSE))="","",INDEX(Winter!$1:$1048576,MATCH(All!$A213,Winter!$A:$A,FALSE),MATCH(All!O$1,Winter!$1:$1,FALSE))),"")</f>
        <v>399.00 (658.35)</v>
      </c>
      <c r="P213" t="str">
        <f>IFERROR(IF(INDEX(Winter!$1:$1048576,MATCH(All!$A213,Winter!$A:$A,FALSE),MATCH(All!P$1,Winter!$1:$1,FALSE))="","",INDEX(Winter!$1:$1048576,MATCH(All!$A213,Winter!$A:$A,FALSE),MATCH(All!P$1,Winter!$1:$1,FALSE))),"")</f>
        <v>2A</v>
      </c>
      <c r="Q213" t="str">
        <f>IFERROR(IF(INDEX(Winter!$1:$1048576,MATCH(All!$A213,Winter!$A:$A,FALSE),MATCH(All!Q$1,Winter!$1:$1,FALSE))="","",INDEX(Winter!$1:$1048576,MATCH(All!$A213,Winter!$A:$A,FALSE),MATCH(All!Q$1,Winter!$1:$1,FALSE))),"")</f>
        <v>2A</v>
      </c>
      <c r="R213" t="str">
        <f>IFERROR(IF(INDEX(Winter!$1:$1048576,MATCH(All!$A213,Winter!$A:$A,FALSE),MATCH(All!R$1,Winter!$1:$1,FALSE))="","",INDEX(Winter!$1:$1048576,MATCH(All!$A213,Winter!$A:$A,FALSE),MATCH(All!R$1,Winter!$1:$1,FALSE))),"")</f>
        <v/>
      </c>
      <c r="S213" t="str">
        <f>IFERROR(IF(INDEX(Winter!$1:$1048576,MATCH(All!$A213,Winter!$A:$A,FALSE),MATCH(All!S$1,Winter!$1:$1,FALSE))="","",INDEX(Winter!$1:$1048576,MATCH(All!$A213,Winter!$A:$A,FALSE),MATCH(All!S$1,Winter!$1:$1,FALSE))),"")</f>
        <v/>
      </c>
      <c r="T213" t="str">
        <f>IFERROR(IF(INDEX(Winter!$1:$1048576,MATCH(All!$A213,Winter!$A:$A,FALSE),MATCH(All!T$1,Winter!$1:$1,FALSE))="","",INDEX(Winter!$1:$1048576,MATCH(All!$A213,Winter!$A:$A,FALSE),MATCH(All!T$1,Winter!$1:$1,FALSE))),"")</f>
        <v/>
      </c>
      <c r="U213" t="str">
        <f>IFERROR(IF(INDEX(Winter!$1:$1048576,MATCH(All!$A213,Winter!$A:$A,FALSE),MATCH(All!U$1,Winter!$1:$1,FALSE))="","",INDEX(Winter!$1:$1048576,MATCH(All!$A213,Winter!$A:$A,FALSE),MATCH(All!U$1,Winter!$1:$1,FALSE))),"")</f>
        <v>1A</v>
      </c>
      <c r="W213" t="str">
        <f>IFERROR(IF(INDEX(Spring!$1:$1048576,MATCH(All!$A213,Spring!$A:$A,FALSE),MATCH(All!W$1,Spring!$1:$1,FALSE))="","",INDEX(Spring!$1:$1048576,MATCH(All!$A213,Spring!$A:$A,FALSE),MATCH(All!W$1,Spring!$1:$1,FALSE))),"")</f>
        <v>399.00 (658.35)</v>
      </c>
      <c r="X213" t="str">
        <f>IFERROR(IF(INDEX(Spring!$1:$1048576,MATCH(All!$A213,Spring!$A:$A,FALSE),MATCH(All!X$1,Spring!$1:$1,FALSE))="","",INDEX(Spring!$1:$1048576,MATCH(All!$A213,Spring!$A:$A,FALSE),MATCH(All!X$1,Spring!$1:$1,FALSE))),"")</f>
        <v/>
      </c>
      <c r="Y213" t="str">
        <f>IFERROR(IF(INDEX(Spring!$1:$1048576,MATCH(All!$A213,Spring!$A:$A,FALSE),MATCH(All!Y$1,Spring!$1:$1,FALSE))="","",INDEX(Spring!$1:$1048576,MATCH(All!$A213,Spring!$A:$A,FALSE),MATCH(All!Y$1,Spring!$1:$1,FALSE))),"")</f>
        <v/>
      </c>
      <c r="Z213" t="str">
        <f>IFERROR(IF(INDEX(Spring!$1:$1048576,MATCH(All!$A213,Spring!$A:$A,FALSE),MATCH(All!Z$1,Spring!$1:$1,FALSE))="","",INDEX(Spring!$1:$1048576,MATCH(All!$A213,Spring!$A:$A,FALSE),MATCH(All!Z$1,Spring!$1:$1,FALSE))),"")</f>
        <v>1A</v>
      </c>
      <c r="AA213" t="str">
        <f>IFERROR(IF(INDEX(Spring!$1:$1048576,MATCH(All!$A213,Spring!$A:$A,FALSE),MATCH(All!AA$1,Spring!$1:$1,FALSE))="","",INDEX(Spring!$1:$1048576,MATCH(All!$A213,Spring!$A:$A,FALSE),MATCH(All!AA$1,Spring!$1:$1,FALSE))),"")</f>
        <v/>
      </c>
      <c r="AB213" t="str">
        <f>IFERROR(IF(INDEX(Spring!$1:$1048576,MATCH(All!$A213,Spring!$A:$A,FALSE),MATCH(All!AB$1,Spring!$1:$1,FALSE))="","",INDEX(Spring!$1:$1048576,MATCH(All!$A213,Spring!$A:$A,FALSE),MATCH(All!AB$1,Spring!$1:$1,FALSE))),"")</f>
        <v/>
      </c>
      <c r="AC213" t="str">
        <f>IFERROR(IF(INDEX(Spring!$1:$1048576,MATCH(All!$A213,Spring!$A:$A,FALSE),MATCH(All!AC$1,Spring!$1:$1,FALSE))="","",INDEX(Spring!$1:$1048576,MATCH(All!$A213,Spring!$A:$A,FALSE),MATCH(All!AC$1,Spring!$1:$1,FALSE))),"")</f>
        <v/>
      </c>
      <c r="AD213" t="str">
        <f>IFERROR(VLOOKUP(A213,'Flag Football'!A:A,1,FALSE),"")</f>
        <v/>
      </c>
      <c r="AE213" t="str">
        <f t="shared" si="3"/>
        <v/>
      </c>
    </row>
    <row r="214" spans="1:31" ht="15.75" thickBot="1" x14ac:dyDescent="0.3">
      <c r="A214" s="18" t="s">
        <v>273</v>
      </c>
      <c r="B214" s="38" t="str">
        <f>IFERROR(VLOOKUP(A214,'Public v Private'!A:G,3,FALSE),"")</f>
        <v>no</v>
      </c>
      <c r="C214" s="38">
        <f>IFERROR(VLOOKUP(A214,'Public v Private'!A:G,4,FALSE),"")</f>
        <v>0</v>
      </c>
      <c r="D214" s="38">
        <f>IFERROR(VLOOKUP(A214,'Public v Private'!A:G,5,FALSE),"")</f>
        <v>0</v>
      </c>
      <c r="E214" s="38"/>
      <c r="F214" s="40" t="str">
        <f>IFERROR(INDEX(Fall!$1:$1048576,MATCH(All!$A214,Fall!$A:$A,FALSE),MATCH(All!F$1,Fall!$1:$1,FALSE)),"N/A")</f>
        <v>978.00 (1,613.70)</v>
      </c>
      <c r="G214" t="str">
        <f>IFERROR(IF(INDEX(Fall!$1:$1048576,MATCH(All!$A214,Fall!$A:$A,FALSE),MATCH(All!G$1,Fall!$1:$1,FALSE))="","",INDEX(Fall!$1:$1048576,MATCH(All!$A214,Fall!$A:$A,FALSE),MATCH(All!G$1,Fall!$1:$1,FALSE))),"")</f>
        <v>2A</v>
      </c>
      <c r="H214" t="str">
        <f>IFERROR(IF(INDEX(Fall!$1:$1048576,MATCH(All!$A214,Fall!$A:$A,FALSE),MATCH(All!H$1,Fall!$1:$1,FALSE))="","",INDEX(Fall!$1:$1048576,MATCH(All!$A214,Fall!$A:$A,FALSE),MATCH(All!H$1,Fall!$1:$1,FALSE))),"")</f>
        <v>2A</v>
      </c>
      <c r="I214" t="str">
        <f>IFERROR(IF(INDEX(Fall!$1:$1048576,MATCH(All!$A214,Fall!$A:$A,FALSE),MATCH(All!I$1,Fall!$1:$1,FALSE))="","",INDEX(Fall!$1:$1048576,MATCH(All!$A214,Fall!$A:$A,FALSE),MATCH(All!I$1,Fall!$1:$1,FALSE))),"")</f>
        <v/>
      </c>
      <c r="J214" t="str">
        <f>IFERROR(IF(INDEX(Fall!$1:$1048576,MATCH(All!$A214,Fall!$A:$A,FALSE),MATCH(All!J$1,Fall!$1:$1,FALSE))="","",INDEX(Fall!$1:$1048576,MATCH(All!$A214,Fall!$A:$A,FALSE),MATCH(All!J$1,Fall!$1:$1,FALSE))),"")</f>
        <v/>
      </c>
      <c r="K214" t="str">
        <f>IFERROR(IF(INDEX(Fall!$1:$1048576,MATCH(All!$A214,Fall!$A:$A,FALSE),MATCH(All!K$1,Fall!$1:$1,FALSE))="","",INDEX(Fall!$1:$1048576,MATCH(All!$A214,Fall!$A:$A,FALSE),MATCH(All!K$1,Fall!$1:$1,FALSE))),"")</f>
        <v>2A</v>
      </c>
      <c r="L214" t="str">
        <f>IFERROR(IF(INDEX(Fall!$1:$1048576,MATCH(All!$A214,Fall!$A:$A,FALSE),MATCH(All!L$1,Fall!$1:$1,FALSE))="","",INDEX(Fall!$1:$1048576,MATCH(All!$A214,Fall!$A:$A,FALSE),MATCH(All!L$1,Fall!$1:$1,FALSE))),"")</f>
        <v/>
      </c>
      <c r="M214" t="str">
        <f>IFERROR(IF(INDEX(Fall!$1:$1048576,MATCH(All!$A214,Fall!$A:$A,FALSE),MATCH(All!M$1,Fall!$1:$1,FALSE))="","",INDEX(Fall!$1:$1048576,MATCH(All!$A214,Fall!$A:$A,FALSE),MATCH(All!M$1,Fall!$1:$1,FALSE))),"")</f>
        <v>3A</v>
      </c>
      <c r="O214" t="str">
        <f>IFERROR(IF(INDEX(Winter!$1:$1048576,MATCH(All!$A214,Winter!$A:$A,FALSE),MATCH(All!O$1,Winter!$1:$1,FALSE))="","",INDEX(Winter!$1:$1048576,MATCH(All!$A214,Winter!$A:$A,FALSE),MATCH(All!O$1,Winter!$1:$1,FALSE))),"")</f>
        <v>978.00 (1,613.70)</v>
      </c>
      <c r="P214" t="str">
        <f>IFERROR(IF(INDEX(Winter!$1:$1048576,MATCH(All!$A214,Winter!$A:$A,FALSE),MATCH(All!P$1,Winter!$1:$1,FALSE))="","",INDEX(Winter!$1:$1048576,MATCH(All!$A214,Winter!$A:$A,FALSE),MATCH(All!P$1,Winter!$1:$1,FALSE))),"")</f>
        <v>3A</v>
      </c>
      <c r="Q214" t="str">
        <f>IFERROR(IF(INDEX(Winter!$1:$1048576,MATCH(All!$A214,Winter!$A:$A,FALSE),MATCH(All!Q$1,Winter!$1:$1,FALSE))="","",INDEX(Winter!$1:$1048576,MATCH(All!$A214,Winter!$A:$A,FALSE),MATCH(All!Q$1,Winter!$1:$1,FALSE))),"")</f>
        <v>3A</v>
      </c>
      <c r="R214" t="str">
        <f>IFERROR(IF(INDEX(Winter!$1:$1048576,MATCH(All!$A214,Winter!$A:$A,FALSE),MATCH(All!R$1,Winter!$1:$1,FALSE))="","",INDEX(Winter!$1:$1048576,MATCH(All!$A214,Winter!$A:$A,FALSE),MATCH(All!R$1,Winter!$1:$1,FALSE))),"")</f>
        <v>C</v>
      </c>
      <c r="S214" t="str">
        <f>IFERROR(IF(INDEX(Winter!$1:$1048576,MATCH(All!$A214,Winter!$A:$A,FALSE),MATCH(All!S$1,Winter!$1:$1,FALSE))="","",INDEX(Winter!$1:$1048576,MATCH(All!$A214,Winter!$A:$A,FALSE),MATCH(All!S$1,Winter!$1:$1,FALSE))),"")</f>
        <v>1A</v>
      </c>
      <c r="T214" t="str">
        <f>IFERROR(IF(INDEX(Winter!$1:$1048576,MATCH(All!$A214,Winter!$A:$A,FALSE),MATCH(All!T$1,Winter!$1:$1,FALSE))="","",INDEX(Winter!$1:$1048576,MATCH(All!$A214,Winter!$A:$A,FALSE),MATCH(All!T$1,Winter!$1:$1,FALSE))),"")</f>
        <v/>
      </c>
      <c r="U214" t="str">
        <f>IFERROR(IF(INDEX(Winter!$1:$1048576,MATCH(All!$A214,Winter!$A:$A,FALSE),MATCH(All!U$1,Winter!$1:$1,FALSE))="","",INDEX(Winter!$1:$1048576,MATCH(All!$A214,Winter!$A:$A,FALSE),MATCH(All!U$1,Winter!$1:$1,FALSE))),"")</f>
        <v/>
      </c>
      <c r="W214" t="str">
        <f>IFERROR(IF(INDEX(Spring!$1:$1048576,MATCH(All!$A214,Spring!$A:$A,FALSE),MATCH(All!W$1,Spring!$1:$1,FALSE))="","",INDEX(Spring!$1:$1048576,MATCH(All!$A214,Spring!$A:$A,FALSE),MATCH(All!W$1,Spring!$1:$1,FALSE))),"")</f>
        <v>978.00 (1,613.70)</v>
      </c>
      <c r="X214" t="str">
        <f>IFERROR(IF(INDEX(Spring!$1:$1048576,MATCH(All!$A214,Spring!$A:$A,FALSE),MATCH(All!X$1,Spring!$1:$1,FALSE))="","",INDEX(Spring!$1:$1048576,MATCH(All!$A214,Spring!$A:$A,FALSE),MATCH(All!X$1,Spring!$1:$1,FALSE))),"")</f>
        <v>4A</v>
      </c>
      <c r="Y214" t="str">
        <f>IFERROR(IF(INDEX(Spring!$1:$1048576,MATCH(All!$A214,Spring!$A:$A,FALSE),MATCH(All!Y$1,Spring!$1:$1,FALSE))="","",INDEX(Spring!$1:$1048576,MATCH(All!$A214,Spring!$A:$A,FALSE),MATCH(All!Y$1,Spring!$1:$1,FALSE))),"")</f>
        <v>4A</v>
      </c>
      <c r="Z214" t="str">
        <f>IFERROR(IF(INDEX(Spring!$1:$1048576,MATCH(All!$A214,Spring!$A:$A,FALSE),MATCH(All!Z$1,Spring!$1:$1,FALSE))="","",INDEX(Spring!$1:$1048576,MATCH(All!$A214,Spring!$A:$A,FALSE),MATCH(All!Z$1,Spring!$1:$1,FALSE))),"")</f>
        <v>2A</v>
      </c>
      <c r="AA214" t="str">
        <f>IFERROR(IF(INDEX(Spring!$1:$1048576,MATCH(All!$A214,Spring!$A:$A,FALSE),MATCH(All!AA$1,Spring!$1:$1,FALSE))="","",INDEX(Spring!$1:$1048576,MATCH(All!$A214,Spring!$A:$A,FALSE),MATCH(All!AA$1,Spring!$1:$1,FALSE))),"")</f>
        <v/>
      </c>
      <c r="AB214" t="str">
        <f>IFERROR(IF(INDEX(Spring!$1:$1048576,MATCH(All!$A214,Spring!$A:$A,FALSE),MATCH(All!AB$1,Spring!$1:$1,FALSE))="","",INDEX(Spring!$1:$1048576,MATCH(All!$A214,Spring!$A:$A,FALSE),MATCH(All!AB$1,Spring!$1:$1,FALSE))),"")</f>
        <v>3A</v>
      </c>
      <c r="AC214" t="str">
        <f>IFERROR(IF(INDEX(Spring!$1:$1048576,MATCH(All!$A214,Spring!$A:$A,FALSE),MATCH(All!AC$1,Spring!$1:$1,FALSE))="","",INDEX(Spring!$1:$1048576,MATCH(All!$A214,Spring!$A:$A,FALSE),MATCH(All!AC$1,Spring!$1:$1,FALSE))),"")</f>
        <v/>
      </c>
      <c r="AD214" t="str">
        <f>IFERROR(VLOOKUP(A214,'Flag Football'!A:A,1,FALSE),"")</f>
        <v>Chicago (Noble/Pritzker)</v>
      </c>
      <c r="AE214" t="str">
        <f t="shared" si="3"/>
        <v>1A</v>
      </c>
    </row>
    <row r="215" spans="1:31" ht="15.75" thickBot="1" x14ac:dyDescent="0.3">
      <c r="A215" s="20" t="s">
        <v>275</v>
      </c>
      <c r="B215" s="38" t="str">
        <f>IFERROR(VLOOKUP(A215,'Public v Private'!A:G,3,FALSE),"")</f>
        <v>no</v>
      </c>
      <c r="C215" s="38">
        <f>IFERROR(VLOOKUP(A215,'Public v Private'!A:G,4,FALSE),"")</f>
        <v>0</v>
      </c>
      <c r="D215" s="38">
        <f>IFERROR(VLOOKUP(A215,'Public v Private'!A:G,5,FALSE),"")</f>
        <v>0</v>
      </c>
      <c r="E215" s="38"/>
      <c r="F215" s="40" t="str">
        <f>IFERROR(INDEX(Fall!$1:$1048576,MATCH(All!$A215,Fall!$A:$A,FALSE),MATCH(All!F$1,Fall!$1:$1,FALSE)),"N/A")</f>
        <v>550.00 (907.50)</v>
      </c>
      <c r="G215" t="str">
        <f>IFERROR(IF(INDEX(Fall!$1:$1048576,MATCH(All!$A215,Fall!$A:$A,FALSE),MATCH(All!G$1,Fall!$1:$1,FALSE))="","",INDEX(Fall!$1:$1048576,MATCH(All!$A215,Fall!$A:$A,FALSE),MATCH(All!G$1,Fall!$1:$1,FALSE))),"")</f>
        <v/>
      </c>
      <c r="H215" t="str">
        <f>IFERROR(IF(INDEX(Fall!$1:$1048576,MATCH(All!$A215,Fall!$A:$A,FALSE),MATCH(All!H$1,Fall!$1:$1,FALSE))="","",INDEX(Fall!$1:$1048576,MATCH(All!$A215,Fall!$A:$A,FALSE),MATCH(All!H$1,Fall!$1:$1,FALSE))),"")</f>
        <v/>
      </c>
      <c r="I215" t="str">
        <f>IFERROR(IF(INDEX(Fall!$1:$1048576,MATCH(All!$A215,Fall!$A:$A,FALSE),MATCH(All!I$1,Fall!$1:$1,FALSE))="","",INDEX(Fall!$1:$1048576,MATCH(All!$A215,Fall!$A:$A,FALSE),MATCH(All!I$1,Fall!$1:$1,FALSE))),"")</f>
        <v/>
      </c>
      <c r="J215" t="str">
        <f>IFERROR(IF(INDEX(Fall!$1:$1048576,MATCH(All!$A215,Fall!$A:$A,FALSE),MATCH(All!J$1,Fall!$1:$1,FALSE))="","",INDEX(Fall!$1:$1048576,MATCH(All!$A215,Fall!$A:$A,FALSE),MATCH(All!J$1,Fall!$1:$1,FALSE))),"")</f>
        <v/>
      </c>
      <c r="K215" t="str">
        <f>IFERROR(IF(INDEX(Fall!$1:$1048576,MATCH(All!$A215,Fall!$A:$A,FALSE),MATCH(All!K$1,Fall!$1:$1,FALSE))="","",INDEX(Fall!$1:$1048576,MATCH(All!$A215,Fall!$A:$A,FALSE),MATCH(All!K$1,Fall!$1:$1,FALSE))),"")</f>
        <v>1A</v>
      </c>
      <c r="L215" t="str">
        <f>IFERROR(IF(INDEX(Fall!$1:$1048576,MATCH(All!$A215,Fall!$A:$A,FALSE),MATCH(All!L$1,Fall!$1:$1,FALSE))="","",INDEX(Fall!$1:$1048576,MATCH(All!$A215,Fall!$A:$A,FALSE),MATCH(All!L$1,Fall!$1:$1,FALSE))),"")</f>
        <v/>
      </c>
      <c r="M215" t="str">
        <f>IFERROR(IF(INDEX(Fall!$1:$1048576,MATCH(All!$A215,Fall!$A:$A,FALSE),MATCH(All!M$1,Fall!$1:$1,FALSE))="","",INDEX(Fall!$1:$1048576,MATCH(All!$A215,Fall!$A:$A,FALSE),MATCH(All!M$1,Fall!$1:$1,FALSE))),"")</f>
        <v>2A</v>
      </c>
      <c r="O215" t="str">
        <f>IFERROR(IF(INDEX(Winter!$1:$1048576,MATCH(All!$A215,Winter!$A:$A,FALSE),MATCH(All!O$1,Winter!$1:$1,FALSE))="","",INDEX(Winter!$1:$1048576,MATCH(All!$A215,Winter!$A:$A,FALSE),MATCH(All!O$1,Winter!$1:$1,FALSE))),"")</f>
        <v>550.00 (907.50)</v>
      </c>
      <c r="P215" t="str">
        <f>IFERROR(IF(INDEX(Winter!$1:$1048576,MATCH(All!$A215,Winter!$A:$A,FALSE),MATCH(All!P$1,Winter!$1:$1,FALSE))="","",INDEX(Winter!$1:$1048576,MATCH(All!$A215,Winter!$A:$A,FALSE),MATCH(All!P$1,Winter!$1:$1,FALSE))),"")</f>
        <v>2A</v>
      </c>
      <c r="Q215" t="str">
        <f>IFERROR(IF(INDEX(Winter!$1:$1048576,MATCH(All!$A215,Winter!$A:$A,FALSE),MATCH(All!Q$1,Winter!$1:$1,FALSE))="","",INDEX(Winter!$1:$1048576,MATCH(All!$A215,Winter!$A:$A,FALSE),MATCH(All!Q$1,Winter!$1:$1,FALSE))),"")</f>
        <v>2A</v>
      </c>
      <c r="R215" t="str">
        <f>IFERROR(IF(INDEX(Winter!$1:$1048576,MATCH(All!$A215,Winter!$A:$A,FALSE),MATCH(All!R$1,Winter!$1:$1,FALSE))="","",INDEX(Winter!$1:$1048576,MATCH(All!$A215,Winter!$A:$A,FALSE),MATCH(All!R$1,Winter!$1:$1,FALSE))),"")</f>
        <v/>
      </c>
      <c r="S215" t="str">
        <f>IFERROR(IF(INDEX(Winter!$1:$1048576,MATCH(All!$A215,Winter!$A:$A,FALSE),MATCH(All!S$1,Winter!$1:$1,FALSE))="","",INDEX(Winter!$1:$1048576,MATCH(All!$A215,Winter!$A:$A,FALSE),MATCH(All!S$1,Winter!$1:$1,FALSE))),"")</f>
        <v/>
      </c>
      <c r="T215" t="str">
        <f>IFERROR(IF(INDEX(Winter!$1:$1048576,MATCH(All!$A215,Winter!$A:$A,FALSE),MATCH(All!T$1,Winter!$1:$1,FALSE))="","",INDEX(Winter!$1:$1048576,MATCH(All!$A215,Winter!$A:$A,FALSE),MATCH(All!T$1,Winter!$1:$1,FALSE))),"")</f>
        <v/>
      </c>
      <c r="U215" t="str">
        <f>IFERROR(IF(INDEX(Winter!$1:$1048576,MATCH(All!$A215,Winter!$A:$A,FALSE),MATCH(All!U$1,Winter!$1:$1,FALSE))="","",INDEX(Winter!$1:$1048576,MATCH(All!$A215,Winter!$A:$A,FALSE),MATCH(All!U$1,Winter!$1:$1,FALSE))),"")</f>
        <v/>
      </c>
      <c r="W215" t="str">
        <f>IFERROR(IF(INDEX(Spring!$1:$1048576,MATCH(All!$A215,Spring!$A:$A,FALSE),MATCH(All!W$1,Spring!$1:$1,FALSE))="","",INDEX(Spring!$1:$1048576,MATCH(All!$A215,Spring!$A:$A,FALSE),MATCH(All!W$1,Spring!$1:$1,FALSE))),"")</f>
        <v>550.00 (907.50)</v>
      </c>
      <c r="X215" t="str">
        <f>IFERROR(IF(INDEX(Spring!$1:$1048576,MATCH(All!$A215,Spring!$A:$A,FALSE),MATCH(All!X$1,Spring!$1:$1,FALSE))="","",INDEX(Spring!$1:$1048576,MATCH(All!$A215,Spring!$A:$A,FALSE),MATCH(All!X$1,Spring!$1:$1,FALSE))),"")</f>
        <v>3A</v>
      </c>
      <c r="Y215" t="str">
        <f>IFERROR(IF(INDEX(Spring!$1:$1048576,MATCH(All!$A215,Spring!$A:$A,FALSE),MATCH(All!Y$1,Spring!$1:$1,FALSE))="","",INDEX(Spring!$1:$1048576,MATCH(All!$A215,Spring!$A:$A,FALSE),MATCH(All!Y$1,Spring!$1:$1,FALSE))),"")</f>
        <v/>
      </c>
      <c r="Z215" t="str">
        <f>IFERROR(IF(INDEX(Spring!$1:$1048576,MATCH(All!$A215,Spring!$A:$A,FALSE),MATCH(All!Z$1,Spring!$1:$1,FALSE))="","",INDEX(Spring!$1:$1048576,MATCH(All!$A215,Spring!$A:$A,FALSE),MATCH(All!Z$1,Spring!$1:$1,FALSE))),"")</f>
        <v/>
      </c>
      <c r="AA215" t="str">
        <f>IFERROR(IF(INDEX(Spring!$1:$1048576,MATCH(All!$A215,Spring!$A:$A,FALSE),MATCH(All!AA$1,Spring!$1:$1,FALSE))="","",INDEX(Spring!$1:$1048576,MATCH(All!$A215,Spring!$A:$A,FALSE),MATCH(All!AA$1,Spring!$1:$1,FALSE))),"")</f>
        <v/>
      </c>
      <c r="AB215" t="str">
        <f>IFERROR(IF(INDEX(Spring!$1:$1048576,MATCH(All!$A215,Spring!$A:$A,FALSE),MATCH(All!AB$1,Spring!$1:$1,FALSE))="","",INDEX(Spring!$1:$1048576,MATCH(All!$A215,Spring!$A:$A,FALSE),MATCH(All!AB$1,Spring!$1:$1,FALSE))),"")</f>
        <v>2A</v>
      </c>
      <c r="AC215" t="str">
        <f>IFERROR(IF(INDEX(Spring!$1:$1048576,MATCH(All!$A215,Spring!$A:$A,FALSE),MATCH(All!AC$1,Spring!$1:$1,FALSE))="","",INDEX(Spring!$1:$1048576,MATCH(All!$A215,Spring!$A:$A,FALSE),MATCH(All!AC$1,Spring!$1:$1,FALSE))),"")</f>
        <v>2A</v>
      </c>
      <c r="AD215" t="str">
        <f>IFERROR(VLOOKUP(A215,'Flag Football'!A:A,1,FALSE),"")</f>
        <v/>
      </c>
      <c r="AE215" t="str">
        <f t="shared" si="3"/>
        <v/>
      </c>
    </row>
    <row r="216" spans="1:31" ht="15.75" thickBot="1" x14ac:dyDescent="0.3">
      <c r="A216" s="18" t="s">
        <v>933</v>
      </c>
      <c r="B216" s="38" t="str">
        <f>IFERROR(VLOOKUP(A216,'Public v Private'!A:G,3,FALSE),"")</f>
        <v>no</v>
      </c>
      <c r="C216" s="38">
        <f>IFERROR(VLOOKUP(A216,'Public v Private'!A:G,4,FALSE),"")</f>
        <v>0</v>
      </c>
      <c r="D216" s="38">
        <f>IFERROR(VLOOKUP(A216,'Public v Private'!A:G,5,FALSE),"")</f>
        <v>0</v>
      </c>
      <c r="E216" s="38"/>
      <c r="F216" s="40" t="str">
        <f>IFERROR(INDEX(Fall!$1:$1048576,MATCH(All!$A216,Fall!$A:$A,FALSE),MATCH(All!F$1,Fall!$1:$1,FALSE)),"N/A")</f>
        <v>311.00 (513.15)</v>
      </c>
      <c r="G216" t="str">
        <f>IFERROR(IF(INDEX(Fall!$1:$1048576,MATCH(All!$A216,Fall!$A:$A,FALSE),MATCH(All!G$1,Fall!$1:$1,FALSE))="","",INDEX(Fall!$1:$1048576,MATCH(All!$A216,Fall!$A:$A,FALSE),MATCH(All!G$1,Fall!$1:$1,FALSE))),"")</f>
        <v/>
      </c>
      <c r="H216" t="str">
        <f>IFERROR(IF(INDEX(Fall!$1:$1048576,MATCH(All!$A216,Fall!$A:$A,FALSE),MATCH(All!H$1,Fall!$1:$1,FALSE))="","",INDEX(Fall!$1:$1048576,MATCH(All!$A216,Fall!$A:$A,FALSE),MATCH(All!H$1,Fall!$1:$1,FALSE))),"")</f>
        <v/>
      </c>
      <c r="I216" t="str">
        <f>IFERROR(IF(INDEX(Fall!$1:$1048576,MATCH(All!$A216,Fall!$A:$A,FALSE),MATCH(All!I$1,Fall!$1:$1,FALSE))="","",INDEX(Fall!$1:$1048576,MATCH(All!$A216,Fall!$A:$A,FALSE),MATCH(All!I$1,Fall!$1:$1,FALSE))),"")</f>
        <v/>
      </c>
      <c r="J216" t="str">
        <f>IFERROR(IF(INDEX(Fall!$1:$1048576,MATCH(All!$A216,Fall!$A:$A,FALSE),MATCH(All!J$1,Fall!$1:$1,FALSE))="","",INDEX(Fall!$1:$1048576,MATCH(All!$A216,Fall!$A:$A,FALSE),MATCH(All!J$1,Fall!$1:$1,FALSE))),"")</f>
        <v/>
      </c>
      <c r="K216" t="str">
        <f>IFERROR(IF(INDEX(Fall!$1:$1048576,MATCH(All!$A216,Fall!$A:$A,FALSE),MATCH(All!K$1,Fall!$1:$1,FALSE))="","",INDEX(Fall!$1:$1048576,MATCH(All!$A216,Fall!$A:$A,FALSE),MATCH(All!K$1,Fall!$1:$1,FALSE))),"")</f>
        <v/>
      </c>
      <c r="L216" t="str">
        <f>IFERROR(IF(INDEX(Fall!$1:$1048576,MATCH(All!$A216,Fall!$A:$A,FALSE),MATCH(All!L$1,Fall!$1:$1,FALSE))="","",INDEX(Fall!$1:$1048576,MATCH(All!$A216,Fall!$A:$A,FALSE),MATCH(All!L$1,Fall!$1:$1,FALSE))),"")</f>
        <v/>
      </c>
      <c r="M216" t="str">
        <f>IFERROR(IF(INDEX(Fall!$1:$1048576,MATCH(All!$A216,Fall!$A:$A,FALSE),MATCH(All!M$1,Fall!$1:$1,FALSE))="","",INDEX(Fall!$1:$1048576,MATCH(All!$A216,Fall!$A:$A,FALSE),MATCH(All!M$1,Fall!$1:$1,FALSE))),"")</f>
        <v>2A</v>
      </c>
      <c r="O216" t="str">
        <f>IFERROR(IF(INDEX(Winter!$1:$1048576,MATCH(All!$A216,Winter!$A:$A,FALSE),MATCH(All!O$1,Winter!$1:$1,FALSE))="","",INDEX(Winter!$1:$1048576,MATCH(All!$A216,Winter!$A:$A,FALSE),MATCH(All!O$1,Winter!$1:$1,FALSE))),"")</f>
        <v>311.00 (513.15)</v>
      </c>
      <c r="P216" t="str">
        <f>IFERROR(IF(INDEX(Winter!$1:$1048576,MATCH(All!$A216,Winter!$A:$A,FALSE),MATCH(All!P$1,Winter!$1:$1,FALSE))="","",INDEX(Winter!$1:$1048576,MATCH(All!$A216,Winter!$A:$A,FALSE),MATCH(All!P$1,Winter!$1:$1,FALSE))),"")</f>
        <v>2A</v>
      </c>
      <c r="Q216" t="str">
        <f>IFERROR(IF(INDEX(Winter!$1:$1048576,MATCH(All!$A216,Winter!$A:$A,FALSE),MATCH(All!Q$1,Winter!$1:$1,FALSE))="","",INDEX(Winter!$1:$1048576,MATCH(All!$A216,Winter!$A:$A,FALSE),MATCH(All!Q$1,Winter!$1:$1,FALSE))),"")</f>
        <v/>
      </c>
      <c r="R216" t="str">
        <f>IFERROR(IF(INDEX(Winter!$1:$1048576,MATCH(All!$A216,Winter!$A:$A,FALSE),MATCH(All!R$1,Winter!$1:$1,FALSE))="","",INDEX(Winter!$1:$1048576,MATCH(All!$A216,Winter!$A:$A,FALSE),MATCH(All!R$1,Winter!$1:$1,FALSE))),"")</f>
        <v/>
      </c>
      <c r="S216" t="str">
        <f>IFERROR(IF(INDEX(Winter!$1:$1048576,MATCH(All!$A216,Winter!$A:$A,FALSE),MATCH(All!S$1,Winter!$1:$1,FALSE))="","",INDEX(Winter!$1:$1048576,MATCH(All!$A216,Winter!$A:$A,FALSE),MATCH(All!S$1,Winter!$1:$1,FALSE))),"")</f>
        <v/>
      </c>
      <c r="T216" t="str">
        <f>IFERROR(IF(INDEX(Winter!$1:$1048576,MATCH(All!$A216,Winter!$A:$A,FALSE),MATCH(All!T$1,Winter!$1:$1,FALSE))="","",INDEX(Winter!$1:$1048576,MATCH(All!$A216,Winter!$A:$A,FALSE),MATCH(All!T$1,Winter!$1:$1,FALSE))),"")</f>
        <v/>
      </c>
      <c r="U216" t="str">
        <f>IFERROR(IF(INDEX(Winter!$1:$1048576,MATCH(All!$A216,Winter!$A:$A,FALSE),MATCH(All!U$1,Winter!$1:$1,FALSE))="","",INDEX(Winter!$1:$1048576,MATCH(All!$A216,Winter!$A:$A,FALSE),MATCH(All!U$1,Winter!$1:$1,FALSE))),"")</f>
        <v/>
      </c>
      <c r="W216" t="str">
        <f>IFERROR(IF(INDEX(Spring!$1:$1048576,MATCH(All!$A216,Spring!$A:$A,FALSE),MATCH(All!W$1,Spring!$1:$1,FALSE))="","",INDEX(Spring!$1:$1048576,MATCH(All!$A216,Spring!$A:$A,FALSE),MATCH(All!W$1,Spring!$1:$1,FALSE))),"")</f>
        <v/>
      </c>
      <c r="X216" t="str">
        <f>IFERROR(IF(INDEX(Spring!$1:$1048576,MATCH(All!$A216,Spring!$A:$A,FALSE),MATCH(All!X$1,Spring!$1:$1,FALSE))="","",INDEX(Spring!$1:$1048576,MATCH(All!$A216,Spring!$A:$A,FALSE),MATCH(All!X$1,Spring!$1:$1,FALSE))),"")</f>
        <v/>
      </c>
      <c r="Y216" t="str">
        <f>IFERROR(IF(INDEX(Spring!$1:$1048576,MATCH(All!$A216,Spring!$A:$A,FALSE),MATCH(All!Y$1,Spring!$1:$1,FALSE))="","",INDEX(Spring!$1:$1048576,MATCH(All!$A216,Spring!$A:$A,FALSE),MATCH(All!Y$1,Spring!$1:$1,FALSE))),"")</f>
        <v/>
      </c>
      <c r="Z216" t="str">
        <f>IFERROR(IF(INDEX(Spring!$1:$1048576,MATCH(All!$A216,Spring!$A:$A,FALSE),MATCH(All!Z$1,Spring!$1:$1,FALSE))="","",INDEX(Spring!$1:$1048576,MATCH(All!$A216,Spring!$A:$A,FALSE),MATCH(All!Z$1,Spring!$1:$1,FALSE))),"")</f>
        <v/>
      </c>
      <c r="AA216" t="str">
        <f>IFERROR(IF(INDEX(Spring!$1:$1048576,MATCH(All!$A216,Spring!$A:$A,FALSE),MATCH(All!AA$1,Spring!$1:$1,FALSE))="","",INDEX(Spring!$1:$1048576,MATCH(All!$A216,Spring!$A:$A,FALSE),MATCH(All!AA$1,Spring!$1:$1,FALSE))),"")</f>
        <v/>
      </c>
      <c r="AB216" t="str">
        <f>IFERROR(IF(INDEX(Spring!$1:$1048576,MATCH(All!$A216,Spring!$A:$A,FALSE),MATCH(All!AB$1,Spring!$1:$1,FALSE))="","",INDEX(Spring!$1:$1048576,MATCH(All!$A216,Spring!$A:$A,FALSE),MATCH(All!AB$1,Spring!$1:$1,FALSE))),"")</f>
        <v/>
      </c>
      <c r="AC216" t="str">
        <f>IFERROR(IF(INDEX(Spring!$1:$1048576,MATCH(All!$A216,Spring!$A:$A,FALSE),MATCH(All!AC$1,Spring!$1:$1,FALSE))="","",INDEX(Spring!$1:$1048576,MATCH(All!$A216,Spring!$A:$A,FALSE),MATCH(All!AC$1,Spring!$1:$1,FALSE))),"")</f>
        <v/>
      </c>
      <c r="AD216" t="str">
        <f>IFERROR(VLOOKUP(A216,'Flag Football'!A:A,1,FALSE),"")</f>
        <v/>
      </c>
      <c r="AE216" t="str">
        <f t="shared" si="3"/>
        <v/>
      </c>
    </row>
    <row r="217" spans="1:31" ht="15.75" thickBot="1" x14ac:dyDescent="0.3">
      <c r="A217" s="20" t="s">
        <v>277</v>
      </c>
      <c r="B217" s="38" t="str">
        <f>IFERROR(VLOOKUP(A217,'Public v Private'!A:G,3,FALSE),"")</f>
        <v>no</v>
      </c>
      <c r="C217" s="38">
        <f>IFERROR(VLOOKUP(A217,'Public v Private'!A:G,4,FALSE),"")</f>
        <v>0</v>
      </c>
      <c r="D217" s="38">
        <f>IFERROR(VLOOKUP(A217,'Public v Private'!A:G,5,FALSE),"")</f>
        <v>0</v>
      </c>
      <c r="E217" s="38"/>
      <c r="F217" s="40" t="str">
        <f>IFERROR(INDEX(Fall!$1:$1048576,MATCH(All!$A217,Fall!$A:$A,FALSE),MATCH(All!F$1,Fall!$1:$1,FALSE)),"N/A")</f>
        <v>940.00 (1,551.00)</v>
      </c>
      <c r="G217" t="str">
        <f>IFERROR(IF(INDEX(Fall!$1:$1048576,MATCH(All!$A217,Fall!$A:$A,FALSE),MATCH(All!G$1,Fall!$1:$1,FALSE))="","",INDEX(Fall!$1:$1048576,MATCH(All!$A217,Fall!$A:$A,FALSE),MATCH(All!G$1,Fall!$1:$1,FALSE))),"")</f>
        <v>3A</v>
      </c>
      <c r="H217" t="str">
        <f>IFERROR(IF(INDEX(Fall!$1:$1048576,MATCH(All!$A217,Fall!$A:$A,FALSE),MATCH(All!H$1,Fall!$1:$1,FALSE))="","",INDEX(Fall!$1:$1048576,MATCH(All!$A217,Fall!$A:$A,FALSE),MATCH(All!H$1,Fall!$1:$1,FALSE))),"")</f>
        <v>3A</v>
      </c>
      <c r="I217" t="str">
        <f>IFERROR(IF(INDEX(Fall!$1:$1048576,MATCH(All!$A217,Fall!$A:$A,FALSE),MATCH(All!I$1,Fall!$1:$1,FALSE))="","",INDEX(Fall!$1:$1048576,MATCH(All!$A217,Fall!$A:$A,FALSE),MATCH(All!I$1,Fall!$1:$1,FALSE))),"")</f>
        <v/>
      </c>
      <c r="J217" t="str">
        <f>IFERROR(IF(INDEX(Fall!$1:$1048576,MATCH(All!$A217,Fall!$A:$A,FALSE),MATCH(All!J$1,Fall!$1:$1,FALSE))="","",INDEX(Fall!$1:$1048576,MATCH(All!$A217,Fall!$A:$A,FALSE),MATCH(All!J$1,Fall!$1:$1,FALSE))),"")</f>
        <v/>
      </c>
      <c r="K217" t="str">
        <f>IFERROR(IF(INDEX(Fall!$1:$1048576,MATCH(All!$A217,Fall!$A:$A,FALSE),MATCH(All!K$1,Fall!$1:$1,FALSE))="","",INDEX(Fall!$1:$1048576,MATCH(All!$A217,Fall!$A:$A,FALSE),MATCH(All!K$1,Fall!$1:$1,FALSE))),"")</f>
        <v>2A</v>
      </c>
      <c r="L217" t="str">
        <f>IFERROR(IF(INDEX(Fall!$1:$1048576,MATCH(All!$A217,Fall!$A:$A,FALSE),MATCH(All!L$1,Fall!$1:$1,FALSE))="","",INDEX(Fall!$1:$1048576,MATCH(All!$A217,Fall!$A:$A,FALSE),MATCH(All!L$1,Fall!$1:$1,FALSE))),"")</f>
        <v/>
      </c>
      <c r="M217" t="str">
        <f>IFERROR(IF(INDEX(Fall!$1:$1048576,MATCH(All!$A217,Fall!$A:$A,FALSE),MATCH(All!M$1,Fall!$1:$1,FALSE))="","",INDEX(Fall!$1:$1048576,MATCH(All!$A217,Fall!$A:$A,FALSE),MATCH(All!M$1,Fall!$1:$1,FALSE))),"")</f>
        <v/>
      </c>
      <c r="O217" t="str">
        <f>IFERROR(IF(INDEX(Winter!$1:$1048576,MATCH(All!$A217,Winter!$A:$A,FALSE),MATCH(All!O$1,Winter!$1:$1,FALSE))="","",INDEX(Winter!$1:$1048576,MATCH(All!$A217,Winter!$A:$A,FALSE),MATCH(All!O$1,Winter!$1:$1,FALSE))),"")</f>
        <v>940.00 (1,551.00)</v>
      </c>
      <c r="P217" t="str">
        <f>IFERROR(IF(INDEX(Winter!$1:$1048576,MATCH(All!$A217,Winter!$A:$A,FALSE),MATCH(All!P$1,Winter!$1:$1,FALSE))="","",INDEX(Winter!$1:$1048576,MATCH(All!$A217,Winter!$A:$A,FALSE),MATCH(All!P$1,Winter!$1:$1,FALSE))),"")</f>
        <v>3A</v>
      </c>
      <c r="Q217" t="str">
        <f>IFERROR(IF(INDEX(Winter!$1:$1048576,MATCH(All!$A217,Winter!$A:$A,FALSE),MATCH(All!Q$1,Winter!$1:$1,FALSE))="","",INDEX(Winter!$1:$1048576,MATCH(All!$A217,Winter!$A:$A,FALSE),MATCH(All!Q$1,Winter!$1:$1,FALSE))),"")</f>
        <v/>
      </c>
      <c r="R217" t="str">
        <f>IFERROR(IF(INDEX(Winter!$1:$1048576,MATCH(All!$A217,Winter!$A:$A,FALSE),MATCH(All!R$1,Winter!$1:$1,FALSE))="","",INDEX(Winter!$1:$1048576,MATCH(All!$A217,Winter!$A:$A,FALSE),MATCH(All!R$1,Winter!$1:$1,FALSE))),"")</f>
        <v>2A</v>
      </c>
      <c r="S217" t="str">
        <f>IFERROR(IF(INDEX(Winter!$1:$1048576,MATCH(All!$A217,Winter!$A:$A,FALSE),MATCH(All!S$1,Winter!$1:$1,FALSE))="","",INDEX(Winter!$1:$1048576,MATCH(All!$A217,Winter!$A:$A,FALSE),MATCH(All!S$1,Winter!$1:$1,FALSE))),"")</f>
        <v>1A</v>
      </c>
      <c r="T217" t="str">
        <f>IFERROR(IF(INDEX(Winter!$1:$1048576,MATCH(All!$A217,Winter!$A:$A,FALSE),MATCH(All!T$1,Winter!$1:$1,FALSE))="","",INDEX(Winter!$1:$1048576,MATCH(All!$A217,Winter!$A:$A,FALSE),MATCH(All!T$1,Winter!$1:$1,FALSE))),"")</f>
        <v/>
      </c>
      <c r="U217" t="str">
        <f>IFERROR(IF(INDEX(Winter!$1:$1048576,MATCH(All!$A217,Winter!$A:$A,FALSE),MATCH(All!U$1,Winter!$1:$1,FALSE))="","",INDEX(Winter!$1:$1048576,MATCH(All!$A217,Winter!$A:$A,FALSE),MATCH(All!U$1,Winter!$1:$1,FALSE))),"")</f>
        <v>2A</v>
      </c>
      <c r="W217" t="str">
        <f>IFERROR(IF(INDEX(Spring!$1:$1048576,MATCH(All!$A217,Spring!$A:$A,FALSE),MATCH(All!W$1,Spring!$1:$1,FALSE))="","",INDEX(Spring!$1:$1048576,MATCH(All!$A217,Spring!$A:$A,FALSE),MATCH(All!W$1,Spring!$1:$1,FALSE))),"")</f>
        <v>940.00 (1,551.00)</v>
      </c>
      <c r="X217" t="str">
        <f>IFERROR(IF(INDEX(Spring!$1:$1048576,MATCH(All!$A217,Spring!$A:$A,FALSE),MATCH(All!X$1,Spring!$1:$1,FALSE))="","",INDEX(Spring!$1:$1048576,MATCH(All!$A217,Spring!$A:$A,FALSE),MATCH(All!X$1,Spring!$1:$1,FALSE))),"")</f>
        <v/>
      </c>
      <c r="Y217" t="str">
        <f>IFERROR(IF(INDEX(Spring!$1:$1048576,MATCH(All!$A217,Spring!$A:$A,FALSE),MATCH(All!Y$1,Spring!$1:$1,FALSE))="","",INDEX(Spring!$1:$1048576,MATCH(All!$A217,Spring!$A:$A,FALSE),MATCH(All!Y$1,Spring!$1:$1,FALSE))),"")</f>
        <v/>
      </c>
      <c r="Z217" t="str">
        <f>IFERROR(IF(INDEX(Spring!$1:$1048576,MATCH(All!$A217,Spring!$A:$A,FALSE),MATCH(All!Z$1,Spring!$1:$1,FALSE))="","",INDEX(Spring!$1:$1048576,MATCH(All!$A217,Spring!$A:$A,FALSE),MATCH(All!Z$1,Spring!$1:$1,FALSE))),"")</f>
        <v/>
      </c>
      <c r="AA217" t="str">
        <f>IFERROR(IF(INDEX(Spring!$1:$1048576,MATCH(All!$A217,Spring!$A:$A,FALSE),MATCH(All!AA$1,Spring!$1:$1,FALSE))="","",INDEX(Spring!$1:$1048576,MATCH(All!$A217,Spring!$A:$A,FALSE),MATCH(All!AA$1,Spring!$1:$1,FALSE))),"")</f>
        <v/>
      </c>
      <c r="AB217" t="str">
        <f>IFERROR(IF(INDEX(Spring!$1:$1048576,MATCH(All!$A217,Spring!$A:$A,FALSE),MATCH(All!AB$1,Spring!$1:$1,FALSE))="","",INDEX(Spring!$1:$1048576,MATCH(All!$A217,Spring!$A:$A,FALSE),MATCH(All!AB$1,Spring!$1:$1,FALSE))),"")</f>
        <v>3A</v>
      </c>
      <c r="AC217" t="str">
        <f>IFERROR(IF(INDEX(Spring!$1:$1048576,MATCH(All!$A217,Spring!$A:$A,FALSE),MATCH(All!AC$1,Spring!$1:$1,FALSE))="","",INDEX(Spring!$1:$1048576,MATCH(All!$A217,Spring!$A:$A,FALSE),MATCH(All!AC$1,Spring!$1:$1,FALSE))),"")</f>
        <v>3A</v>
      </c>
      <c r="AD217" t="str">
        <f>IFERROR(VLOOKUP(A217,'Flag Football'!A:A,1,FALSE),"")</f>
        <v>Chicago (Noble/UIC)</v>
      </c>
      <c r="AE217" t="str">
        <f t="shared" si="3"/>
        <v>1A</v>
      </c>
    </row>
    <row r="218" spans="1:31" ht="15.75" thickBot="1" x14ac:dyDescent="0.3">
      <c r="A218" s="18" t="s">
        <v>986</v>
      </c>
      <c r="B218" s="38">
        <f>IFERROR(VLOOKUP(A218,'Public v Private'!A:G,3,FALSE),"")</f>
        <v>0</v>
      </c>
      <c r="C218" s="38">
        <f>IFERROR(VLOOKUP(A218,'Public v Private'!A:G,4,FALSE),"")</f>
        <v>0</v>
      </c>
      <c r="D218" s="38">
        <f>IFERROR(VLOOKUP(A218,'Public v Private'!A:G,5,FALSE),"")</f>
        <v>0</v>
      </c>
      <c r="E218" s="38"/>
      <c r="F218" s="40">
        <f>IFERROR(INDEX(Fall!$1:$1048576,MATCH(All!$A218,Fall!$A:$A,FALSE),MATCH(All!F$1,Fall!$1:$1,FALSE)),"N/A")</f>
        <v>1013</v>
      </c>
      <c r="G218" t="str">
        <f>IFERROR(IF(INDEX(Fall!$1:$1048576,MATCH(All!$A218,Fall!$A:$A,FALSE),MATCH(All!G$1,Fall!$1:$1,FALSE))="","",INDEX(Fall!$1:$1048576,MATCH(All!$A218,Fall!$A:$A,FALSE),MATCH(All!G$1,Fall!$1:$1,FALSE))),"")</f>
        <v/>
      </c>
      <c r="H218" t="str">
        <f>IFERROR(IF(INDEX(Fall!$1:$1048576,MATCH(All!$A218,Fall!$A:$A,FALSE),MATCH(All!H$1,Fall!$1:$1,FALSE))="","",INDEX(Fall!$1:$1048576,MATCH(All!$A218,Fall!$A:$A,FALSE),MATCH(All!H$1,Fall!$1:$1,FALSE))),"")</f>
        <v/>
      </c>
      <c r="I218" t="str">
        <f>IFERROR(IF(INDEX(Fall!$1:$1048576,MATCH(All!$A218,Fall!$A:$A,FALSE),MATCH(All!I$1,Fall!$1:$1,FALSE))="","",INDEX(Fall!$1:$1048576,MATCH(All!$A218,Fall!$A:$A,FALSE),MATCH(All!I$1,Fall!$1:$1,FALSE))),"")</f>
        <v/>
      </c>
      <c r="J218" t="str">
        <f>IFERROR(IF(INDEX(Fall!$1:$1048576,MATCH(All!$A218,Fall!$A:$A,FALSE),MATCH(All!J$1,Fall!$1:$1,FALSE))="","",INDEX(Fall!$1:$1048576,MATCH(All!$A218,Fall!$A:$A,FALSE),MATCH(All!J$1,Fall!$1:$1,FALSE))),"")</f>
        <v/>
      </c>
      <c r="K218" t="str">
        <f>IFERROR(IF(INDEX(Fall!$1:$1048576,MATCH(All!$A218,Fall!$A:$A,FALSE),MATCH(All!K$1,Fall!$1:$1,FALSE))="","",INDEX(Fall!$1:$1048576,MATCH(All!$A218,Fall!$A:$A,FALSE),MATCH(All!K$1,Fall!$1:$1,FALSE))),"")</f>
        <v>2A</v>
      </c>
      <c r="L218" t="str">
        <f>IFERROR(IF(INDEX(Fall!$1:$1048576,MATCH(All!$A218,Fall!$A:$A,FALSE),MATCH(All!L$1,Fall!$1:$1,FALSE))="","",INDEX(Fall!$1:$1048576,MATCH(All!$A218,Fall!$A:$A,FALSE),MATCH(All!L$1,Fall!$1:$1,FALSE))),"")</f>
        <v/>
      </c>
      <c r="M218" t="str">
        <f>IFERROR(IF(INDEX(Fall!$1:$1048576,MATCH(All!$A218,Fall!$A:$A,FALSE),MATCH(All!M$1,Fall!$1:$1,FALSE))="","",INDEX(Fall!$1:$1048576,MATCH(All!$A218,Fall!$A:$A,FALSE),MATCH(All!M$1,Fall!$1:$1,FALSE))),"")</f>
        <v>3A</v>
      </c>
      <c r="O218" t="str">
        <f>IFERROR(IF(INDEX(Winter!$1:$1048576,MATCH(All!$A218,Winter!$A:$A,FALSE),MATCH(All!O$1,Winter!$1:$1,FALSE))="","",INDEX(Winter!$1:$1048576,MATCH(All!$A218,Winter!$A:$A,FALSE),MATCH(All!O$1,Winter!$1:$1,FALSE))),"")</f>
        <v/>
      </c>
      <c r="P218" t="str">
        <f>IFERROR(IF(INDEX(Winter!$1:$1048576,MATCH(All!$A218,Winter!$A:$A,FALSE),MATCH(All!P$1,Winter!$1:$1,FALSE))="","",INDEX(Winter!$1:$1048576,MATCH(All!$A218,Winter!$A:$A,FALSE),MATCH(All!P$1,Winter!$1:$1,FALSE))),"")</f>
        <v/>
      </c>
      <c r="Q218" t="str">
        <f>IFERROR(IF(INDEX(Winter!$1:$1048576,MATCH(All!$A218,Winter!$A:$A,FALSE),MATCH(All!Q$1,Winter!$1:$1,FALSE))="","",INDEX(Winter!$1:$1048576,MATCH(All!$A218,Winter!$A:$A,FALSE),MATCH(All!Q$1,Winter!$1:$1,FALSE))),"")</f>
        <v/>
      </c>
      <c r="R218" t="str">
        <f>IFERROR(IF(INDEX(Winter!$1:$1048576,MATCH(All!$A218,Winter!$A:$A,FALSE),MATCH(All!R$1,Winter!$1:$1,FALSE))="","",INDEX(Winter!$1:$1048576,MATCH(All!$A218,Winter!$A:$A,FALSE),MATCH(All!R$1,Winter!$1:$1,FALSE))),"")</f>
        <v/>
      </c>
      <c r="S218" t="str">
        <f>IFERROR(IF(INDEX(Winter!$1:$1048576,MATCH(All!$A218,Winter!$A:$A,FALSE),MATCH(All!S$1,Winter!$1:$1,FALSE))="","",INDEX(Winter!$1:$1048576,MATCH(All!$A218,Winter!$A:$A,FALSE),MATCH(All!S$1,Winter!$1:$1,FALSE))),"")</f>
        <v/>
      </c>
      <c r="T218" t="str">
        <f>IFERROR(IF(INDEX(Winter!$1:$1048576,MATCH(All!$A218,Winter!$A:$A,FALSE),MATCH(All!T$1,Winter!$1:$1,FALSE))="","",INDEX(Winter!$1:$1048576,MATCH(All!$A218,Winter!$A:$A,FALSE),MATCH(All!T$1,Winter!$1:$1,FALSE))),"")</f>
        <v/>
      </c>
      <c r="U218" t="str">
        <f>IFERROR(IF(INDEX(Winter!$1:$1048576,MATCH(All!$A218,Winter!$A:$A,FALSE),MATCH(All!U$1,Winter!$1:$1,FALSE))="","",INDEX(Winter!$1:$1048576,MATCH(All!$A218,Winter!$A:$A,FALSE),MATCH(All!U$1,Winter!$1:$1,FALSE))),"")</f>
        <v/>
      </c>
      <c r="W218" t="str">
        <f>IFERROR(IF(INDEX(Spring!$1:$1048576,MATCH(All!$A218,Spring!$A:$A,FALSE),MATCH(All!W$1,Spring!$1:$1,FALSE))="","",INDEX(Spring!$1:$1048576,MATCH(All!$A218,Spring!$A:$A,FALSE),MATCH(All!W$1,Spring!$1:$1,FALSE))),"")</f>
        <v/>
      </c>
      <c r="X218" t="str">
        <f>IFERROR(IF(INDEX(Spring!$1:$1048576,MATCH(All!$A218,Spring!$A:$A,FALSE),MATCH(All!X$1,Spring!$1:$1,FALSE))="","",INDEX(Spring!$1:$1048576,MATCH(All!$A218,Spring!$A:$A,FALSE),MATCH(All!X$1,Spring!$1:$1,FALSE))),"")</f>
        <v/>
      </c>
      <c r="Y218" t="str">
        <f>IFERROR(IF(INDEX(Spring!$1:$1048576,MATCH(All!$A218,Spring!$A:$A,FALSE),MATCH(All!Y$1,Spring!$1:$1,FALSE))="","",INDEX(Spring!$1:$1048576,MATCH(All!$A218,Spring!$A:$A,FALSE),MATCH(All!Y$1,Spring!$1:$1,FALSE))),"")</f>
        <v/>
      </c>
      <c r="Z218" t="str">
        <f>IFERROR(IF(INDEX(Spring!$1:$1048576,MATCH(All!$A218,Spring!$A:$A,FALSE),MATCH(All!Z$1,Spring!$1:$1,FALSE))="","",INDEX(Spring!$1:$1048576,MATCH(All!$A218,Spring!$A:$A,FALSE),MATCH(All!Z$1,Spring!$1:$1,FALSE))),"")</f>
        <v/>
      </c>
      <c r="AA218" t="str">
        <f>IFERROR(IF(INDEX(Spring!$1:$1048576,MATCH(All!$A218,Spring!$A:$A,FALSE),MATCH(All!AA$1,Spring!$1:$1,FALSE))="","",INDEX(Spring!$1:$1048576,MATCH(All!$A218,Spring!$A:$A,FALSE),MATCH(All!AA$1,Spring!$1:$1,FALSE))),"")</f>
        <v/>
      </c>
      <c r="AB218" t="str">
        <f>IFERROR(IF(INDEX(Spring!$1:$1048576,MATCH(All!$A218,Spring!$A:$A,FALSE),MATCH(All!AB$1,Spring!$1:$1,FALSE))="","",INDEX(Spring!$1:$1048576,MATCH(All!$A218,Spring!$A:$A,FALSE),MATCH(All!AB$1,Spring!$1:$1,FALSE))),"")</f>
        <v/>
      </c>
      <c r="AC218" t="str">
        <f>IFERROR(IF(INDEX(Spring!$1:$1048576,MATCH(All!$A218,Spring!$A:$A,FALSE),MATCH(All!AC$1,Spring!$1:$1,FALSE))="","",INDEX(Spring!$1:$1048576,MATCH(All!$A218,Spring!$A:$A,FALSE),MATCH(All!AC$1,Spring!$1:$1,FALSE))),"")</f>
        <v/>
      </c>
      <c r="AD218" t="str">
        <f>IFERROR(VLOOKUP(A218,'Flag Football'!A:A,1,FALSE),"")</f>
        <v>Chicago (North Grand)</v>
      </c>
      <c r="AE218" t="str">
        <f t="shared" si="3"/>
        <v>1A</v>
      </c>
    </row>
    <row r="219" spans="1:31" ht="15.75" thickBot="1" x14ac:dyDescent="0.3">
      <c r="A219" s="20" t="s">
        <v>279</v>
      </c>
      <c r="B219" s="38" t="str">
        <f>IFERROR(VLOOKUP(A219,'Public v Private'!A:G,3,FALSE),"")</f>
        <v>no</v>
      </c>
      <c r="C219" s="38">
        <f>IFERROR(VLOOKUP(A219,'Public v Private'!A:G,4,FALSE),"")</f>
        <v>0</v>
      </c>
      <c r="D219" s="38">
        <f>IFERROR(VLOOKUP(A219,'Public v Private'!A:G,5,FALSE),"")</f>
        <v>0</v>
      </c>
      <c r="E219" s="38"/>
      <c r="F219" s="40" t="str">
        <f>IFERROR(INDEX(Fall!$1:$1048576,MATCH(All!$A219,Fall!$A:$A,FALSE),MATCH(All!F$1,Fall!$1:$1,FALSE)),"N/A")</f>
        <v>266.00 (438.90)</v>
      </c>
      <c r="G219" t="str">
        <f>IFERROR(IF(INDEX(Fall!$1:$1048576,MATCH(All!$A219,Fall!$A:$A,FALSE),MATCH(All!G$1,Fall!$1:$1,FALSE))="","",INDEX(Fall!$1:$1048576,MATCH(All!$A219,Fall!$A:$A,FALSE),MATCH(All!G$1,Fall!$1:$1,FALSE))),"")</f>
        <v/>
      </c>
      <c r="H219" t="str">
        <f>IFERROR(IF(INDEX(Fall!$1:$1048576,MATCH(All!$A219,Fall!$A:$A,FALSE),MATCH(All!H$1,Fall!$1:$1,FALSE))="","",INDEX(Fall!$1:$1048576,MATCH(All!$A219,Fall!$A:$A,FALSE),MATCH(All!H$1,Fall!$1:$1,FALSE))),"")</f>
        <v/>
      </c>
      <c r="I219" t="str">
        <f>IFERROR(IF(INDEX(Fall!$1:$1048576,MATCH(All!$A219,Fall!$A:$A,FALSE),MATCH(All!I$1,Fall!$1:$1,FALSE))="","",INDEX(Fall!$1:$1048576,MATCH(All!$A219,Fall!$A:$A,FALSE),MATCH(All!I$1,Fall!$1:$1,FALSE))),"")</f>
        <v/>
      </c>
      <c r="J219" t="str">
        <f>IFERROR(IF(INDEX(Fall!$1:$1048576,MATCH(All!$A219,Fall!$A:$A,FALSE),MATCH(All!J$1,Fall!$1:$1,FALSE))="","",INDEX(Fall!$1:$1048576,MATCH(All!$A219,Fall!$A:$A,FALSE),MATCH(All!J$1,Fall!$1:$1,FALSE))),"")</f>
        <v/>
      </c>
      <c r="K219" t="str">
        <f>IFERROR(IF(INDEX(Fall!$1:$1048576,MATCH(All!$A219,Fall!$A:$A,FALSE),MATCH(All!K$1,Fall!$1:$1,FALSE))="","",INDEX(Fall!$1:$1048576,MATCH(All!$A219,Fall!$A:$A,FALSE),MATCH(All!K$1,Fall!$1:$1,FALSE))),"")</f>
        <v/>
      </c>
      <c r="L219" t="str">
        <f>IFERROR(IF(INDEX(Fall!$1:$1048576,MATCH(All!$A219,Fall!$A:$A,FALSE),MATCH(All!L$1,Fall!$1:$1,FALSE))="","",INDEX(Fall!$1:$1048576,MATCH(All!$A219,Fall!$A:$A,FALSE),MATCH(All!L$1,Fall!$1:$1,FALSE))),"")</f>
        <v/>
      </c>
      <c r="M219" t="str">
        <f>IFERROR(IF(INDEX(Fall!$1:$1048576,MATCH(All!$A219,Fall!$A:$A,FALSE),MATCH(All!M$1,Fall!$1:$1,FALSE))="","",INDEX(Fall!$1:$1048576,MATCH(All!$A219,Fall!$A:$A,FALSE),MATCH(All!M$1,Fall!$1:$1,FALSE))),"")</f>
        <v>2A</v>
      </c>
      <c r="O219" t="str">
        <f>IFERROR(IF(INDEX(Winter!$1:$1048576,MATCH(All!$A219,Winter!$A:$A,FALSE),MATCH(All!O$1,Winter!$1:$1,FALSE))="","",INDEX(Winter!$1:$1048576,MATCH(All!$A219,Winter!$A:$A,FALSE),MATCH(All!O$1,Winter!$1:$1,FALSE))),"")</f>
        <v>266.00 (438.90)</v>
      </c>
      <c r="P219" t="str">
        <f>IFERROR(IF(INDEX(Winter!$1:$1048576,MATCH(All!$A219,Winter!$A:$A,FALSE),MATCH(All!P$1,Winter!$1:$1,FALSE))="","",INDEX(Winter!$1:$1048576,MATCH(All!$A219,Winter!$A:$A,FALSE),MATCH(All!P$1,Winter!$1:$1,FALSE))),"")</f>
        <v>2A</v>
      </c>
      <c r="Q219" t="str">
        <f>IFERROR(IF(INDEX(Winter!$1:$1048576,MATCH(All!$A219,Winter!$A:$A,FALSE),MATCH(All!Q$1,Winter!$1:$1,FALSE))="","",INDEX(Winter!$1:$1048576,MATCH(All!$A219,Winter!$A:$A,FALSE),MATCH(All!Q$1,Winter!$1:$1,FALSE))),"")</f>
        <v>2A</v>
      </c>
      <c r="R219" t="str">
        <f>IFERROR(IF(INDEX(Winter!$1:$1048576,MATCH(All!$A219,Winter!$A:$A,FALSE),MATCH(All!R$1,Winter!$1:$1,FALSE))="","",INDEX(Winter!$1:$1048576,MATCH(All!$A219,Winter!$A:$A,FALSE),MATCH(All!R$1,Winter!$1:$1,FALSE))),"")</f>
        <v/>
      </c>
      <c r="S219" t="str">
        <f>IFERROR(IF(INDEX(Winter!$1:$1048576,MATCH(All!$A219,Winter!$A:$A,FALSE),MATCH(All!S$1,Winter!$1:$1,FALSE))="","",INDEX(Winter!$1:$1048576,MATCH(All!$A219,Winter!$A:$A,FALSE),MATCH(All!S$1,Winter!$1:$1,FALSE))),"")</f>
        <v/>
      </c>
      <c r="T219" t="str">
        <f>IFERROR(IF(INDEX(Winter!$1:$1048576,MATCH(All!$A219,Winter!$A:$A,FALSE),MATCH(All!T$1,Winter!$1:$1,FALSE))="","",INDEX(Winter!$1:$1048576,MATCH(All!$A219,Winter!$A:$A,FALSE),MATCH(All!T$1,Winter!$1:$1,FALSE))),"")</f>
        <v/>
      </c>
      <c r="U219" t="str">
        <f>IFERROR(IF(INDEX(Winter!$1:$1048576,MATCH(All!$A219,Winter!$A:$A,FALSE),MATCH(All!U$1,Winter!$1:$1,FALSE))="","",INDEX(Winter!$1:$1048576,MATCH(All!$A219,Winter!$A:$A,FALSE),MATCH(All!U$1,Winter!$1:$1,FALSE))),"")</f>
        <v/>
      </c>
      <c r="W219" t="str">
        <f>IFERROR(IF(INDEX(Spring!$1:$1048576,MATCH(All!$A219,Spring!$A:$A,FALSE),MATCH(All!W$1,Spring!$1:$1,FALSE))="","",INDEX(Spring!$1:$1048576,MATCH(All!$A219,Spring!$A:$A,FALSE),MATCH(All!W$1,Spring!$1:$1,FALSE))),"")</f>
        <v>266.00 (438.90)</v>
      </c>
      <c r="X219" t="str">
        <f>IFERROR(IF(INDEX(Spring!$1:$1048576,MATCH(All!$A219,Spring!$A:$A,FALSE),MATCH(All!X$1,Spring!$1:$1,FALSE))="","",INDEX(Spring!$1:$1048576,MATCH(All!$A219,Spring!$A:$A,FALSE),MATCH(All!X$1,Spring!$1:$1,FALSE))),"")</f>
        <v/>
      </c>
      <c r="Y219" t="str">
        <f>IFERROR(IF(INDEX(Spring!$1:$1048576,MATCH(All!$A219,Spring!$A:$A,FALSE),MATCH(All!Y$1,Spring!$1:$1,FALSE))="","",INDEX(Spring!$1:$1048576,MATCH(All!$A219,Spring!$A:$A,FALSE),MATCH(All!Y$1,Spring!$1:$1,FALSE))),"")</f>
        <v/>
      </c>
      <c r="Z219" t="str">
        <f>IFERROR(IF(INDEX(Spring!$1:$1048576,MATCH(All!$A219,Spring!$A:$A,FALSE),MATCH(All!Z$1,Spring!$1:$1,FALSE))="","",INDEX(Spring!$1:$1048576,MATCH(All!$A219,Spring!$A:$A,FALSE),MATCH(All!Z$1,Spring!$1:$1,FALSE))),"")</f>
        <v/>
      </c>
      <c r="AA219" t="str">
        <f>IFERROR(IF(INDEX(Spring!$1:$1048576,MATCH(All!$A219,Spring!$A:$A,FALSE),MATCH(All!AA$1,Spring!$1:$1,FALSE))="","",INDEX(Spring!$1:$1048576,MATCH(All!$A219,Spring!$A:$A,FALSE),MATCH(All!AA$1,Spring!$1:$1,FALSE))),"")</f>
        <v/>
      </c>
      <c r="AB219" t="str">
        <f>IFERROR(IF(INDEX(Spring!$1:$1048576,MATCH(All!$A219,Spring!$A:$A,FALSE),MATCH(All!AB$1,Spring!$1:$1,FALSE))="","",INDEX(Spring!$1:$1048576,MATCH(All!$A219,Spring!$A:$A,FALSE),MATCH(All!AB$1,Spring!$1:$1,FALSE))),"")</f>
        <v>1A</v>
      </c>
      <c r="AC219" t="str">
        <f>IFERROR(IF(INDEX(Spring!$1:$1048576,MATCH(All!$A219,Spring!$A:$A,FALSE),MATCH(All!AC$1,Spring!$1:$1,FALSE))="","",INDEX(Spring!$1:$1048576,MATCH(All!$A219,Spring!$A:$A,FALSE),MATCH(All!AC$1,Spring!$1:$1,FALSE))),"")</f>
        <v>1A</v>
      </c>
      <c r="AD219" t="str">
        <f>IFERROR(VLOOKUP(A219,'Flag Football'!A:A,1,FALSE),"")</f>
        <v>Chicago (North Lawndale Charter)</v>
      </c>
      <c r="AE219" t="str">
        <f t="shared" si="3"/>
        <v>1A</v>
      </c>
    </row>
    <row r="220" spans="1:31" ht="15.75" thickBot="1" x14ac:dyDescent="0.3">
      <c r="A220" s="18" t="s">
        <v>281</v>
      </c>
      <c r="B220" s="38" t="str">
        <f>IFERROR(VLOOKUP(A220,'Public v Private'!A:G,3,FALSE),"")</f>
        <v>no</v>
      </c>
      <c r="C220" s="38">
        <f>IFERROR(VLOOKUP(A220,'Public v Private'!A:G,4,FALSE),"")</f>
        <v>0</v>
      </c>
      <c r="D220" s="38">
        <f>IFERROR(VLOOKUP(A220,'Public v Private'!A:G,5,FALSE),"")</f>
        <v>0</v>
      </c>
      <c r="E220" s="38"/>
      <c r="F220" s="40" t="str">
        <f>IFERROR(INDEX(Fall!$1:$1048576,MATCH(All!$A220,Fall!$A:$A,FALSE),MATCH(All!F$1,Fall!$1:$1,FALSE)),"N/A")</f>
        <v>1,059.00 (1,747.35)</v>
      </c>
      <c r="G220" t="str">
        <f>IFERROR(IF(INDEX(Fall!$1:$1048576,MATCH(All!$A220,Fall!$A:$A,FALSE),MATCH(All!G$1,Fall!$1:$1,FALSE))="","",INDEX(Fall!$1:$1048576,MATCH(All!$A220,Fall!$A:$A,FALSE),MATCH(All!G$1,Fall!$1:$1,FALSE))),"")</f>
        <v>2A</v>
      </c>
      <c r="H220" t="str">
        <f>IFERROR(IF(INDEX(Fall!$1:$1048576,MATCH(All!$A220,Fall!$A:$A,FALSE),MATCH(All!H$1,Fall!$1:$1,FALSE))="","",INDEX(Fall!$1:$1048576,MATCH(All!$A220,Fall!$A:$A,FALSE),MATCH(All!H$1,Fall!$1:$1,FALSE))),"")</f>
        <v>2A</v>
      </c>
      <c r="I220" t="str">
        <f>IFERROR(IF(INDEX(Fall!$1:$1048576,MATCH(All!$A220,Fall!$A:$A,FALSE),MATCH(All!I$1,Fall!$1:$1,FALSE))="","",INDEX(Fall!$1:$1048576,MATCH(All!$A220,Fall!$A:$A,FALSE),MATCH(All!I$1,Fall!$1:$1,FALSE))),"")</f>
        <v>2A</v>
      </c>
      <c r="J220" t="str">
        <f>IFERROR(IF(INDEX(Fall!$1:$1048576,MATCH(All!$A220,Fall!$A:$A,FALSE),MATCH(All!J$1,Fall!$1:$1,FALSE))="","",INDEX(Fall!$1:$1048576,MATCH(All!$A220,Fall!$A:$A,FALSE),MATCH(All!J$1,Fall!$1:$1,FALSE))),"")</f>
        <v/>
      </c>
      <c r="K220" t="str">
        <f>IFERROR(IF(INDEX(Fall!$1:$1048576,MATCH(All!$A220,Fall!$A:$A,FALSE),MATCH(All!K$1,Fall!$1:$1,FALSE))="","",INDEX(Fall!$1:$1048576,MATCH(All!$A220,Fall!$A:$A,FALSE),MATCH(All!K$1,Fall!$1:$1,FALSE))),"")</f>
        <v>2A</v>
      </c>
      <c r="L220" t="str">
        <f>IFERROR(IF(INDEX(Fall!$1:$1048576,MATCH(All!$A220,Fall!$A:$A,FALSE),MATCH(All!L$1,Fall!$1:$1,FALSE))="","",INDEX(Fall!$1:$1048576,MATCH(All!$A220,Fall!$A:$A,FALSE),MATCH(All!L$1,Fall!$1:$1,FALSE))),"")</f>
        <v>1A</v>
      </c>
      <c r="M220" t="str">
        <f>IFERROR(IF(INDEX(Fall!$1:$1048576,MATCH(All!$A220,Fall!$A:$A,FALSE),MATCH(All!M$1,Fall!$1:$1,FALSE))="","",INDEX(Fall!$1:$1048576,MATCH(All!$A220,Fall!$A:$A,FALSE),MATCH(All!M$1,Fall!$1:$1,FALSE))),"")</f>
        <v>3A</v>
      </c>
      <c r="O220" t="str">
        <f>IFERROR(IF(INDEX(Winter!$1:$1048576,MATCH(All!$A220,Winter!$A:$A,FALSE),MATCH(All!O$1,Winter!$1:$1,FALSE))="","",INDEX(Winter!$1:$1048576,MATCH(All!$A220,Winter!$A:$A,FALSE),MATCH(All!O$1,Winter!$1:$1,FALSE))),"")</f>
        <v>1,059.00 (1,747.35)</v>
      </c>
      <c r="P220" t="str">
        <f>IFERROR(IF(INDEX(Winter!$1:$1048576,MATCH(All!$A220,Winter!$A:$A,FALSE),MATCH(All!P$1,Winter!$1:$1,FALSE))="","",INDEX(Winter!$1:$1048576,MATCH(All!$A220,Winter!$A:$A,FALSE),MATCH(All!P$1,Winter!$1:$1,FALSE))),"")</f>
        <v>3A</v>
      </c>
      <c r="Q220" t="str">
        <f>IFERROR(IF(INDEX(Winter!$1:$1048576,MATCH(All!$A220,Winter!$A:$A,FALSE),MATCH(All!Q$1,Winter!$1:$1,FALSE))="","",INDEX(Winter!$1:$1048576,MATCH(All!$A220,Winter!$A:$A,FALSE),MATCH(All!Q$1,Winter!$1:$1,FALSE))),"")</f>
        <v>3A</v>
      </c>
      <c r="R220" t="str">
        <f>IFERROR(IF(INDEX(Winter!$1:$1048576,MATCH(All!$A220,Winter!$A:$A,FALSE),MATCH(All!R$1,Winter!$1:$1,FALSE))="","",INDEX(Winter!$1:$1048576,MATCH(All!$A220,Winter!$A:$A,FALSE),MATCH(All!R$1,Winter!$1:$1,FALSE))),"")</f>
        <v/>
      </c>
      <c r="S220" t="str">
        <f>IFERROR(IF(INDEX(Winter!$1:$1048576,MATCH(All!$A220,Winter!$A:$A,FALSE),MATCH(All!S$1,Winter!$1:$1,FALSE))="","",INDEX(Winter!$1:$1048576,MATCH(All!$A220,Winter!$A:$A,FALSE),MATCH(All!S$1,Winter!$1:$1,FALSE))),"")</f>
        <v>2A</v>
      </c>
      <c r="T220" t="str">
        <f>IFERROR(IF(INDEX(Winter!$1:$1048576,MATCH(All!$A220,Winter!$A:$A,FALSE),MATCH(All!T$1,Winter!$1:$1,FALSE))="","",INDEX(Winter!$1:$1048576,MATCH(All!$A220,Winter!$A:$A,FALSE),MATCH(All!T$1,Winter!$1:$1,FALSE))),"")</f>
        <v>2A</v>
      </c>
      <c r="U220" t="str">
        <f>IFERROR(IF(INDEX(Winter!$1:$1048576,MATCH(All!$A220,Winter!$A:$A,FALSE),MATCH(All!U$1,Winter!$1:$1,FALSE))="","",INDEX(Winter!$1:$1048576,MATCH(All!$A220,Winter!$A:$A,FALSE),MATCH(All!U$1,Winter!$1:$1,FALSE))),"")</f>
        <v/>
      </c>
      <c r="W220" t="str">
        <f>IFERROR(IF(INDEX(Spring!$1:$1048576,MATCH(All!$A220,Spring!$A:$A,FALSE),MATCH(All!W$1,Spring!$1:$1,FALSE))="","",INDEX(Spring!$1:$1048576,MATCH(All!$A220,Spring!$A:$A,FALSE),MATCH(All!W$1,Spring!$1:$1,FALSE))),"")</f>
        <v>1,059.00 (1,747.35)</v>
      </c>
      <c r="X220" t="str">
        <f>IFERROR(IF(INDEX(Spring!$1:$1048576,MATCH(All!$A220,Spring!$A:$A,FALSE),MATCH(All!X$1,Spring!$1:$1,FALSE))="","",INDEX(Spring!$1:$1048576,MATCH(All!$A220,Spring!$A:$A,FALSE),MATCH(All!X$1,Spring!$1:$1,FALSE))),"")</f>
        <v>4A</v>
      </c>
      <c r="Y220" t="str">
        <f>IFERROR(IF(INDEX(Spring!$1:$1048576,MATCH(All!$A220,Spring!$A:$A,FALSE),MATCH(All!Y$1,Spring!$1:$1,FALSE))="","",INDEX(Spring!$1:$1048576,MATCH(All!$A220,Spring!$A:$A,FALSE),MATCH(All!Y$1,Spring!$1:$1,FALSE))),"")</f>
        <v>4A</v>
      </c>
      <c r="Z220" t="str">
        <f>IFERROR(IF(INDEX(Spring!$1:$1048576,MATCH(All!$A220,Spring!$A:$A,FALSE),MATCH(All!Z$1,Spring!$1:$1,FALSE))="","",INDEX(Spring!$1:$1048576,MATCH(All!$A220,Spring!$A:$A,FALSE),MATCH(All!Z$1,Spring!$1:$1,FALSE))),"")</f>
        <v>2A</v>
      </c>
      <c r="AA220" t="str">
        <f>IFERROR(IF(INDEX(Spring!$1:$1048576,MATCH(All!$A220,Spring!$A:$A,FALSE),MATCH(All!AA$1,Spring!$1:$1,FALSE))="","",INDEX(Spring!$1:$1048576,MATCH(All!$A220,Spring!$A:$A,FALSE),MATCH(All!AA$1,Spring!$1:$1,FALSE))),"")</f>
        <v>2A</v>
      </c>
      <c r="AB220" t="str">
        <f>IFERROR(IF(INDEX(Spring!$1:$1048576,MATCH(All!$A220,Spring!$A:$A,FALSE),MATCH(All!AB$1,Spring!$1:$1,FALSE))="","",INDEX(Spring!$1:$1048576,MATCH(All!$A220,Spring!$A:$A,FALSE),MATCH(All!AB$1,Spring!$1:$1,FALSE))),"")</f>
        <v>3A</v>
      </c>
      <c r="AC220" t="str">
        <f>IFERROR(IF(INDEX(Spring!$1:$1048576,MATCH(All!$A220,Spring!$A:$A,FALSE),MATCH(All!AC$1,Spring!$1:$1,FALSE))="","",INDEX(Spring!$1:$1048576,MATCH(All!$A220,Spring!$A:$A,FALSE),MATCH(All!AC$1,Spring!$1:$1,FALSE))),"")</f>
        <v>3A</v>
      </c>
      <c r="AD220" t="str">
        <f>IFERROR(VLOOKUP(A220,'Flag Football'!A:A,1,FALSE),"")</f>
        <v>Chicago (Northside)</v>
      </c>
      <c r="AE220" t="str">
        <f t="shared" si="3"/>
        <v>1A</v>
      </c>
    </row>
    <row r="221" spans="1:31" ht="15.75" thickBot="1" x14ac:dyDescent="0.3">
      <c r="A221" s="20" t="s">
        <v>283</v>
      </c>
      <c r="B221" s="38" t="str">
        <f>IFERROR(VLOOKUP(A221,'Public v Private'!A:G,3,FALSE),"")</f>
        <v>no</v>
      </c>
      <c r="C221" s="38">
        <f>IFERROR(VLOOKUP(A221,'Public v Private'!A:G,4,FALSE),"")</f>
        <v>0</v>
      </c>
      <c r="D221" s="38">
        <f>IFERROR(VLOOKUP(A221,'Public v Private'!A:G,5,FALSE),"")</f>
        <v>0</v>
      </c>
      <c r="E221" s="38"/>
      <c r="F221" s="40" t="str">
        <f>IFERROR(INDEX(Fall!$1:$1048576,MATCH(All!$A221,Fall!$A:$A,FALSE),MATCH(All!F$1,Fall!$1:$1,FALSE)),"N/A")</f>
        <v>509.00 (839.85)</v>
      </c>
      <c r="G221" t="str">
        <f>IFERROR(IF(INDEX(Fall!$1:$1048576,MATCH(All!$A221,Fall!$A:$A,FALSE),MATCH(All!G$1,Fall!$1:$1,FALSE))="","",INDEX(Fall!$1:$1048576,MATCH(All!$A221,Fall!$A:$A,FALSE),MATCH(All!G$1,Fall!$1:$1,FALSE))),"")</f>
        <v/>
      </c>
      <c r="H221" t="str">
        <f>IFERROR(IF(INDEX(Fall!$1:$1048576,MATCH(All!$A221,Fall!$A:$A,FALSE),MATCH(All!H$1,Fall!$1:$1,FALSE))="","",INDEX(Fall!$1:$1048576,MATCH(All!$A221,Fall!$A:$A,FALSE),MATCH(All!H$1,Fall!$1:$1,FALSE))),"")</f>
        <v/>
      </c>
      <c r="I221" t="str">
        <f>IFERROR(IF(INDEX(Fall!$1:$1048576,MATCH(All!$A221,Fall!$A:$A,FALSE),MATCH(All!I$1,Fall!$1:$1,FALSE))="","",INDEX(Fall!$1:$1048576,MATCH(All!$A221,Fall!$A:$A,FALSE),MATCH(All!I$1,Fall!$1:$1,FALSE))),"")</f>
        <v/>
      </c>
      <c r="J221" t="str">
        <f>IFERROR(IF(INDEX(Fall!$1:$1048576,MATCH(All!$A221,Fall!$A:$A,FALSE),MATCH(All!J$1,Fall!$1:$1,FALSE))="","",INDEX(Fall!$1:$1048576,MATCH(All!$A221,Fall!$A:$A,FALSE),MATCH(All!J$1,Fall!$1:$1,FALSE))),"")</f>
        <v/>
      </c>
      <c r="K221" t="str">
        <f>IFERROR(IF(INDEX(Fall!$1:$1048576,MATCH(All!$A221,Fall!$A:$A,FALSE),MATCH(All!K$1,Fall!$1:$1,FALSE))="","",INDEX(Fall!$1:$1048576,MATCH(All!$A221,Fall!$A:$A,FALSE),MATCH(All!K$1,Fall!$1:$1,FALSE))),"")</f>
        <v>2A</v>
      </c>
      <c r="L221" t="str">
        <f>IFERROR(IF(INDEX(Fall!$1:$1048576,MATCH(All!$A221,Fall!$A:$A,FALSE),MATCH(All!L$1,Fall!$1:$1,FALSE))="","",INDEX(Fall!$1:$1048576,MATCH(All!$A221,Fall!$A:$A,FALSE),MATCH(All!L$1,Fall!$1:$1,FALSE))),"")</f>
        <v/>
      </c>
      <c r="M221" t="str">
        <f>IFERROR(IF(INDEX(Fall!$1:$1048576,MATCH(All!$A221,Fall!$A:$A,FALSE),MATCH(All!M$1,Fall!$1:$1,FALSE))="","",INDEX(Fall!$1:$1048576,MATCH(All!$A221,Fall!$A:$A,FALSE),MATCH(All!M$1,Fall!$1:$1,FALSE))),"")</f>
        <v>3A</v>
      </c>
      <c r="O221" t="str">
        <f>IFERROR(IF(INDEX(Winter!$1:$1048576,MATCH(All!$A221,Winter!$A:$A,FALSE),MATCH(All!O$1,Winter!$1:$1,FALSE))="","",INDEX(Winter!$1:$1048576,MATCH(All!$A221,Winter!$A:$A,FALSE),MATCH(All!O$1,Winter!$1:$1,FALSE))),"")</f>
        <v>509.00 (839.85)</v>
      </c>
      <c r="P221" t="str">
        <f>IFERROR(IF(INDEX(Winter!$1:$1048576,MATCH(All!$A221,Winter!$A:$A,FALSE),MATCH(All!P$1,Winter!$1:$1,FALSE))="","",INDEX(Winter!$1:$1048576,MATCH(All!$A221,Winter!$A:$A,FALSE),MATCH(All!P$1,Winter!$1:$1,FALSE))),"")</f>
        <v>3A</v>
      </c>
      <c r="Q221" t="str">
        <f>IFERROR(IF(INDEX(Winter!$1:$1048576,MATCH(All!$A221,Winter!$A:$A,FALSE),MATCH(All!Q$1,Winter!$1:$1,FALSE))="","",INDEX(Winter!$1:$1048576,MATCH(All!$A221,Winter!$A:$A,FALSE),MATCH(All!Q$1,Winter!$1:$1,FALSE))),"")</f>
        <v>3A</v>
      </c>
      <c r="R221" t="str">
        <f>IFERROR(IF(INDEX(Winter!$1:$1048576,MATCH(All!$A221,Winter!$A:$A,FALSE),MATCH(All!R$1,Winter!$1:$1,FALSE))="","",INDEX(Winter!$1:$1048576,MATCH(All!$A221,Winter!$A:$A,FALSE),MATCH(All!R$1,Winter!$1:$1,FALSE))),"")</f>
        <v/>
      </c>
      <c r="S221" t="str">
        <f>IFERROR(IF(INDEX(Winter!$1:$1048576,MATCH(All!$A221,Winter!$A:$A,FALSE),MATCH(All!S$1,Winter!$1:$1,FALSE))="","",INDEX(Winter!$1:$1048576,MATCH(All!$A221,Winter!$A:$A,FALSE),MATCH(All!S$1,Winter!$1:$1,FALSE))),"")</f>
        <v/>
      </c>
      <c r="T221" t="str">
        <f>IFERROR(IF(INDEX(Winter!$1:$1048576,MATCH(All!$A221,Winter!$A:$A,FALSE),MATCH(All!T$1,Winter!$1:$1,FALSE))="","",INDEX(Winter!$1:$1048576,MATCH(All!$A221,Winter!$A:$A,FALSE),MATCH(All!T$1,Winter!$1:$1,FALSE))),"")</f>
        <v/>
      </c>
      <c r="U221" t="str">
        <f>IFERROR(IF(INDEX(Winter!$1:$1048576,MATCH(All!$A221,Winter!$A:$A,FALSE),MATCH(All!U$1,Winter!$1:$1,FALSE))="","",INDEX(Winter!$1:$1048576,MATCH(All!$A221,Winter!$A:$A,FALSE),MATCH(All!U$1,Winter!$1:$1,FALSE))),"")</f>
        <v/>
      </c>
      <c r="W221" t="str">
        <f>IFERROR(IF(INDEX(Spring!$1:$1048576,MATCH(All!$A221,Spring!$A:$A,FALSE),MATCH(All!W$1,Spring!$1:$1,FALSE))="","",INDEX(Spring!$1:$1048576,MATCH(All!$A221,Spring!$A:$A,FALSE),MATCH(All!W$1,Spring!$1:$1,FALSE))),"")</f>
        <v>509.00 (839.85)</v>
      </c>
      <c r="X221" t="str">
        <f>IFERROR(IF(INDEX(Spring!$1:$1048576,MATCH(All!$A221,Spring!$A:$A,FALSE),MATCH(All!X$1,Spring!$1:$1,FALSE))="","",INDEX(Spring!$1:$1048576,MATCH(All!$A221,Spring!$A:$A,FALSE),MATCH(All!X$1,Spring!$1:$1,FALSE))),"")</f>
        <v>3A</v>
      </c>
      <c r="Y221" t="str">
        <f>IFERROR(IF(INDEX(Spring!$1:$1048576,MATCH(All!$A221,Spring!$A:$A,FALSE),MATCH(All!Y$1,Spring!$1:$1,FALSE))="","",INDEX(Spring!$1:$1048576,MATCH(All!$A221,Spring!$A:$A,FALSE),MATCH(All!Y$1,Spring!$1:$1,FALSE))),"")</f>
        <v/>
      </c>
      <c r="Z221" t="str">
        <f>IFERROR(IF(INDEX(Spring!$1:$1048576,MATCH(All!$A221,Spring!$A:$A,FALSE),MATCH(All!Z$1,Spring!$1:$1,FALSE))="","",INDEX(Spring!$1:$1048576,MATCH(All!$A221,Spring!$A:$A,FALSE),MATCH(All!Z$1,Spring!$1:$1,FALSE))),"")</f>
        <v/>
      </c>
      <c r="AA221" t="str">
        <f>IFERROR(IF(INDEX(Spring!$1:$1048576,MATCH(All!$A221,Spring!$A:$A,FALSE),MATCH(All!AA$1,Spring!$1:$1,FALSE))="","",INDEX(Spring!$1:$1048576,MATCH(All!$A221,Spring!$A:$A,FALSE),MATCH(All!AA$1,Spring!$1:$1,FALSE))),"")</f>
        <v/>
      </c>
      <c r="AB221" t="str">
        <f>IFERROR(IF(INDEX(Spring!$1:$1048576,MATCH(All!$A221,Spring!$A:$A,FALSE),MATCH(All!AB$1,Spring!$1:$1,FALSE))="","",INDEX(Spring!$1:$1048576,MATCH(All!$A221,Spring!$A:$A,FALSE),MATCH(All!AB$1,Spring!$1:$1,FALSE))),"")</f>
        <v>2A</v>
      </c>
      <c r="AC221" t="str">
        <f>IFERROR(IF(INDEX(Spring!$1:$1048576,MATCH(All!$A221,Spring!$A:$A,FALSE),MATCH(All!AC$1,Spring!$1:$1,FALSE))="","",INDEX(Spring!$1:$1048576,MATCH(All!$A221,Spring!$A:$A,FALSE),MATCH(All!AC$1,Spring!$1:$1,FALSE))),"")</f>
        <v>2A</v>
      </c>
      <c r="AD221" t="str">
        <f>IFERROR(VLOOKUP(A221,'Flag Football'!A:A,1,FALSE),"")</f>
        <v>Chicago (Ogden International)</v>
      </c>
      <c r="AE221" t="str">
        <f t="shared" si="3"/>
        <v>1A</v>
      </c>
    </row>
    <row r="222" spans="1:31" ht="15.75" thickBot="1" x14ac:dyDescent="0.3">
      <c r="A222" s="20" t="s">
        <v>285</v>
      </c>
      <c r="B222" s="38">
        <f>IFERROR(VLOOKUP(A222,'Public v Private'!A:G,3,FALSE),"")</f>
        <v>0</v>
      </c>
      <c r="C222" s="38">
        <f>IFERROR(VLOOKUP(A222,'Public v Private'!A:G,4,FALSE),"")</f>
        <v>0</v>
      </c>
      <c r="D222" s="38">
        <f>IFERROR(VLOOKUP(A222,'Public v Private'!A:G,5,FALSE),"")</f>
        <v>0</v>
      </c>
      <c r="E222" s="38"/>
      <c r="F222" s="40" t="str">
        <f>IFERROR(INDEX(Fall!$1:$1048576,MATCH(All!$A222,Fall!$A:$A,FALSE),MATCH(All!F$1,Fall!$1:$1,FALSE)),"N/A")</f>
        <v>N/A</v>
      </c>
      <c r="G222" t="str">
        <f>IFERROR(IF(INDEX(Fall!$1:$1048576,MATCH(All!$A222,Fall!$A:$A,FALSE),MATCH(All!G$1,Fall!$1:$1,FALSE))="","",INDEX(Fall!$1:$1048576,MATCH(All!$A222,Fall!$A:$A,FALSE),MATCH(All!G$1,Fall!$1:$1,FALSE))),"")</f>
        <v/>
      </c>
      <c r="H222" t="str">
        <f>IFERROR(IF(INDEX(Fall!$1:$1048576,MATCH(All!$A222,Fall!$A:$A,FALSE),MATCH(All!H$1,Fall!$1:$1,FALSE))="","",INDEX(Fall!$1:$1048576,MATCH(All!$A222,Fall!$A:$A,FALSE),MATCH(All!H$1,Fall!$1:$1,FALSE))),"")</f>
        <v/>
      </c>
      <c r="I222" t="str">
        <f>IFERROR(IF(INDEX(Fall!$1:$1048576,MATCH(All!$A222,Fall!$A:$A,FALSE),MATCH(All!I$1,Fall!$1:$1,FALSE))="","",INDEX(Fall!$1:$1048576,MATCH(All!$A222,Fall!$A:$A,FALSE),MATCH(All!I$1,Fall!$1:$1,FALSE))),"")</f>
        <v/>
      </c>
      <c r="J222" t="str">
        <f>IFERROR(IF(INDEX(Fall!$1:$1048576,MATCH(All!$A222,Fall!$A:$A,FALSE),MATCH(All!J$1,Fall!$1:$1,FALSE))="","",INDEX(Fall!$1:$1048576,MATCH(All!$A222,Fall!$A:$A,FALSE),MATCH(All!J$1,Fall!$1:$1,FALSE))),"")</f>
        <v/>
      </c>
      <c r="K222" t="str">
        <f>IFERROR(IF(INDEX(Fall!$1:$1048576,MATCH(All!$A222,Fall!$A:$A,FALSE),MATCH(All!K$1,Fall!$1:$1,FALSE))="","",INDEX(Fall!$1:$1048576,MATCH(All!$A222,Fall!$A:$A,FALSE),MATCH(All!K$1,Fall!$1:$1,FALSE))),"")</f>
        <v/>
      </c>
      <c r="L222" t="str">
        <f>IFERROR(IF(INDEX(Fall!$1:$1048576,MATCH(All!$A222,Fall!$A:$A,FALSE),MATCH(All!L$1,Fall!$1:$1,FALSE))="","",INDEX(Fall!$1:$1048576,MATCH(All!$A222,Fall!$A:$A,FALSE),MATCH(All!L$1,Fall!$1:$1,FALSE))),"")</f>
        <v/>
      </c>
      <c r="M222" t="str">
        <f>IFERROR(IF(INDEX(Fall!$1:$1048576,MATCH(All!$A222,Fall!$A:$A,FALSE),MATCH(All!M$1,Fall!$1:$1,FALSE))="","",INDEX(Fall!$1:$1048576,MATCH(All!$A222,Fall!$A:$A,FALSE),MATCH(All!M$1,Fall!$1:$1,FALSE))),"")</f>
        <v/>
      </c>
      <c r="O222">
        <f>IFERROR(IF(INDEX(Winter!$1:$1048576,MATCH(All!$A222,Winter!$A:$A,FALSE),MATCH(All!O$1,Winter!$1:$1,FALSE))="","",INDEX(Winter!$1:$1048576,MATCH(All!$A222,Winter!$A:$A,FALSE),MATCH(All!O$1,Winter!$1:$1,FALSE))),"")</f>
        <v>302</v>
      </c>
      <c r="P222" t="str">
        <f>IFERROR(IF(INDEX(Winter!$1:$1048576,MATCH(All!$A222,Winter!$A:$A,FALSE),MATCH(All!P$1,Winter!$1:$1,FALSE))="","",INDEX(Winter!$1:$1048576,MATCH(All!$A222,Winter!$A:$A,FALSE),MATCH(All!P$1,Winter!$1:$1,FALSE))),"")</f>
        <v>2A</v>
      </c>
      <c r="Q222" t="str">
        <f>IFERROR(IF(INDEX(Winter!$1:$1048576,MATCH(All!$A222,Winter!$A:$A,FALSE),MATCH(All!Q$1,Winter!$1:$1,FALSE))="","",INDEX(Winter!$1:$1048576,MATCH(All!$A222,Winter!$A:$A,FALSE),MATCH(All!Q$1,Winter!$1:$1,FALSE))),"")</f>
        <v>2A</v>
      </c>
      <c r="R222" t="str">
        <f>IFERROR(IF(INDEX(Winter!$1:$1048576,MATCH(All!$A222,Winter!$A:$A,FALSE),MATCH(All!R$1,Winter!$1:$1,FALSE))="","",INDEX(Winter!$1:$1048576,MATCH(All!$A222,Winter!$A:$A,FALSE),MATCH(All!R$1,Winter!$1:$1,FALSE))),"")</f>
        <v/>
      </c>
      <c r="S222" t="str">
        <f>IFERROR(IF(INDEX(Winter!$1:$1048576,MATCH(All!$A222,Winter!$A:$A,FALSE),MATCH(All!S$1,Winter!$1:$1,FALSE))="","",INDEX(Winter!$1:$1048576,MATCH(All!$A222,Winter!$A:$A,FALSE),MATCH(All!S$1,Winter!$1:$1,FALSE))),"")</f>
        <v/>
      </c>
      <c r="T222" t="str">
        <f>IFERROR(IF(INDEX(Winter!$1:$1048576,MATCH(All!$A222,Winter!$A:$A,FALSE),MATCH(All!T$1,Winter!$1:$1,FALSE))="","",INDEX(Winter!$1:$1048576,MATCH(All!$A222,Winter!$A:$A,FALSE),MATCH(All!T$1,Winter!$1:$1,FALSE))),"")</f>
        <v/>
      </c>
      <c r="U222" t="str">
        <f>IFERROR(IF(INDEX(Winter!$1:$1048576,MATCH(All!$A222,Winter!$A:$A,FALSE),MATCH(All!U$1,Winter!$1:$1,FALSE))="","",INDEX(Winter!$1:$1048576,MATCH(All!$A222,Winter!$A:$A,FALSE),MATCH(All!U$1,Winter!$1:$1,FALSE))),"")</f>
        <v/>
      </c>
      <c r="W222">
        <f>IFERROR(IF(INDEX(Spring!$1:$1048576,MATCH(All!$A222,Spring!$A:$A,FALSE),MATCH(All!W$1,Spring!$1:$1,FALSE))="","",INDEX(Spring!$1:$1048576,MATCH(All!$A222,Spring!$A:$A,FALSE),MATCH(All!W$1,Spring!$1:$1,FALSE))),"")</f>
        <v>302</v>
      </c>
      <c r="X222" t="str">
        <f>IFERROR(IF(INDEX(Spring!$1:$1048576,MATCH(All!$A222,Spring!$A:$A,FALSE),MATCH(All!X$1,Spring!$1:$1,FALSE))="","",INDEX(Spring!$1:$1048576,MATCH(All!$A222,Spring!$A:$A,FALSE),MATCH(All!X$1,Spring!$1:$1,FALSE))),"")</f>
        <v/>
      </c>
      <c r="Y222" t="str">
        <f>IFERROR(IF(INDEX(Spring!$1:$1048576,MATCH(All!$A222,Spring!$A:$A,FALSE),MATCH(All!Y$1,Spring!$1:$1,FALSE))="","",INDEX(Spring!$1:$1048576,MATCH(All!$A222,Spring!$A:$A,FALSE),MATCH(All!Y$1,Spring!$1:$1,FALSE))),"")</f>
        <v/>
      </c>
      <c r="Z222" t="str">
        <f>IFERROR(IF(INDEX(Spring!$1:$1048576,MATCH(All!$A222,Spring!$A:$A,FALSE),MATCH(All!Z$1,Spring!$1:$1,FALSE))="","",INDEX(Spring!$1:$1048576,MATCH(All!$A222,Spring!$A:$A,FALSE),MATCH(All!Z$1,Spring!$1:$1,FALSE))),"")</f>
        <v/>
      </c>
      <c r="AA222" t="str">
        <f>IFERROR(IF(INDEX(Spring!$1:$1048576,MATCH(All!$A222,Spring!$A:$A,FALSE),MATCH(All!AA$1,Spring!$1:$1,FALSE))="","",INDEX(Spring!$1:$1048576,MATCH(All!$A222,Spring!$A:$A,FALSE),MATCH(All!AA$1,Spring!$1:$1,FALSE))),"")</f>
        <v/>
      </c>
      <c r="AB222" t="str">
        <f>IFERROR(IF(INDEX(Spring!$1:$1048576,MATCH(All!$A222,Spring!$A:$A,FALSE),MATCH(All!AB$1,Spring!$1:$1,FALSE))="","",INDEX(Spring!$1:$1048576,MATCH(All!$A222,Spring!$A:$A,FALSE),MATCH(All!AB$1,Spring!$1:$1,FALSE))),"")</f>
        <v>1A</v>
      </c>
      <c r="AC222" t="str">
        <f>IFERROR(IF(INDEX(Spring!$1:$1048576,MATCH(All!$A222,Spring!$A:$A,FALSE),MATCH(All!AC$1,Spring!$1:$1,FALSE))="","",INDEX(Spring!$1:$1048576,MATCH(All!$A222,Spring!$A:$A,FALSE),MATCH(All!AC$1,Spring!$1:$1,FALSE))),"")</f>
        <v>1A</v>
      </c>
      <c r="AD222" t="str">
        <f>IFERROR(VLOOKUP(A222,'Flag Football'!A:A,1,FALSE),"")</f>
        <v/>
      </c>
      <c r="AE222" t="str">
        <f t="shared" si="3"/>
        <v/>
      </c>
    </row>
    <row r="223" spans="1:31" ht="15.75" thickBot="1" x14ac:dyDescent="0.3">
      <c r="A223" s="18" t="s">
        <v>286</v>
      </c>
      <c r="B223" s="38" t="str">
        <f>IFERROR(VLOOKUP(A223,'Public v Private'!A:G,3,FALSE),"")</f>
        <v>private</v>
      </c>
      <c r="C223" s="38">
        <f>IFERROR(VLOOKUP(A223,'Public v Private'!A:G,4,FALSE),"")</f>
        <v>1</v>
      </c>
      <c r="D223" s="38">
        <f>IFERROR(VLOOKUP(A223,'Public v Private'!A:G,5,FALSE),"")</f>
        <v>2</v>
      </c>
      <c r="E223" s="38"/>
      <c r="F223" s="40" t="str">
        <f>IFERROR(INDEX(Fall!$1:$1048576,MATCH(All!$A223,Fall!$A:$A,FALSE),MATCH(All!F$1,Fall!$1:$1,FALSE)),"N/A")</f>
        <v>272.00 (448.80)</v>
      </c>
      <c r="G223" t="str">
        <f>IFERROR(IF(INDEX(Fall!$1:$1048576,MATCH(All!$A223,Fall!$A:$A,FALSE),MATCH(All!G$1,Fall!$1:$1,FALSE))="","",INDEX(Fall!$1:$1048576,MATCH(All!$A223,Fall!$A:$A,FALSE),MATCH(All!G$1,Fall!$1:$1,FALSE))),"")</f>
        <v/>
      </c>
      <c r="H223" t="str">
        <f>IFERROR(IF(INDEX(Fall!$1:$1048576,MATCH(All!$A223,Fall!$A:$A,FALSE),MATCH(All!H$1,Fall!$1:$1,FALSE))="","",INDEX(Fall!$1:$1048576,MATCH(All!$A223,Fall!$A:$A,FALSE),MATCH(All!H$1,Fall!$1:$1,FALSE))),"")</f>
        <v/>
      </c>
      <c r="I223" t="str">
        <f>IFERROR(IF(INDEX(Fall!$1:$1048576,MATCH(All!$A223,Fall!$A:$A,FALSE),MATCH(All!I$1,Fall!$1:$1,FALSE))="","",INDEX(Fall!$1:$1048576,MATCH(All!$A223,Fall!$A:$A,FALSE),MATCH(All!I$1,Fall!$1:$1,FALSE))),"")</f>
        <v/>
      </c>
      <c r="J223" t="str">
        <f>IFERROR(IF(INDEX(Fall!$1:$1048576,MATCH(All!$A223,Fall!$A:$A,FALSE),MATCH(All!J$1,Fall!$1:$1,FALSE))="","",INDEX(Fall!$1:$1048576,MATCH(All!$A223,Fall!$A:$A,FALSE),MATCH(All!J$1,Fall!$1:$1,FALSE))),"")</f>
        <v/>
      </c>
      <c r="K223" t="str">
        <f>IFERROR(IF(INDEX(Fall!$1:$1048576,MATCH(All!$A223,Fall!$A:$A,FALSE),MATCH(All!K$1,Fall!$1:$1,FALSE))="","",INDEX(Fall!$1:$1048576,MATCH(All!$A223,Fall!$A:$A,FALSE),MATCH(All!K$1,Fall!$1:$1,FALSE))),"")</f>
        <v/>
      </c>
      <c r="L223" t="str">
        <f>IFERROR(IF(INDEX(Fall!$1:$1048576,MATCH(All!$A223,Fall!$A:$A,FALSE),MATCH(All!L$1,Fall!$1:$1,FALSE))="","",INDEX(Fall!$1:$1048576,MATCH(All!$A223,Fall!$A:$A,FALSE),MATCH(All!L$1,Fall!$1:$1,FALSE))),"")</f>
        <v/>
      </c>
      <c r="M223" t="str">
        <f>IFERROR(IF(INDEX(Fall!$1:$1048576,MATCH(All!$A223,Fall!$A:$A,FALSE),MATCH(All!M$1,Fall!$1:$1,FALSE))="","",INDEX(Fall!$1:$1048576,MATCH(All!$A223,Fall!$A:$A,FALSE),MATCH(All!M$1,Fall!$1:$1,FALSE))),"")</f>
        <v>1A</v>
      </c>
      <c r="O223" t="str">
        <f>IFERROR(IF(INDEX(Winter!$1:$1048576,MATCH(All!$A223,Winter!$A:$A,FALSE),MATCH(All!O$1,Winter!$1:$1,FALSE))="","",INDEX(Winter!$1:$1048576,MATCH(All!$A223,Winter!$A:$A,FALSE),MATCH(All!O$1,Winter!$1:$1,FALSE))),"")</f>
        <v>272.00 (448.80)</v>
      </c>
      <c r="P223" t="str">
        <f>IFERROR(IF(INDEX(Winter!$1:$1048576,MATCH(All!$A223,Winter!$A:$A,FALSE),MATCH(All!P$1,Winter!$1:$1,FALSE))="","",INDEX(Winter!$1:$1048576,MATCH(All!$A223,Winter!$A:$A,FALSE),MATCH(All!P$1,Winter!$1:$1,FALSE))),"")</f>
        <v/>
      </c>
      <c r="Q223" t="str">
        <f>IFERROR(IF(INDEX(Winter!$1:$1048576,MATCH(All!$A223,Winter!$A:$A,FALSE),MATCH(All!Q$1,Winter!$1:$1,FALSE))="","",INDEX(Winter!$1:$1048576,MATCH(All!$A223,Winter!$A:$A,FALSE),MATCH(All!Q$1,Winter!$1:$1,FALSE))),"")</f>
        <v>1A</v>
      </c>
      <c r="R223" t="str">
        <f>IFERROR(IF(INDEX(Winter!$1:$1048576,MATCH(All!$A223,Winter!$A:$A,FALSE),MATCH(All!R$1,Winter!$1:$1,FALSE))="","",INDEX(Winter!$1:$1048576,MATCH(All!$A223,Winter!$A:$A,FALSE),MATCH(All!R$1,Winter!$1:$1,FALSE))),"")</f>
        <v/>
      </c>
      <c r="S223" t="str">
        <f>IFERROR(IF(INDEX(Winter!$1:$1048576,MATCH(All!$A223,Winter!$A:$A,FALSE),MATCH(All!S$1,Winter!$1:$1,FALSE))="","",INDEX(Winter!$1:$1048576,MATCH(All!$A223,Winter!$A:$A,FALSE),MATCH(All!S$1,Winter!$1:$1,FALSE))),"")</f>
        <v/>
      </c>
      <c r="T223" t="str">
        <f>IFERROR(IF(INDEX(Winter!$1:$1048576,MATCH(All!$A223,Winter!$A:$A,FALSE),MATCH(All!T$1,Winter!$1:$1,FALSE))="","",INDEX(Winter!$1:$1048576,MATCH(All!$A223,Winter!$A:$A,FALSE),MATCH(All!T$1,Winter!$1:$1,FALSE))),"")</f>
        <v/>
      </c>
      <c r="U223" t="str">
        <f>IFERROR(IF(INDEX(Winter!$1:$1048576,MATCH(All!$A223,Winter!$A:$A,FALSE),MATCH(All!U$1,Winter!$1:$1,FALSE))="","",INDEX(Winter!$1:$1048576,MATCH(All!$A223,Winter!$A:$A,FALSE),MATCH(All!U$1,Winter!$1:$1,FALSE))),"")</f>
        <v/>
      </c>
      <c r="W223" t="str">
        <f>IFERROR(IF(INDEX(Spring!$1:$1048576,MATCH(All!$A223,Spring!$A:$A,FALSE),MATCH(All!W$1,Spring!$1:$1,FALSE))="","",INDEX(Spring!$1:$1048576,MATCH(All!$A223,Spring!$A:$A,FALSE),MATCH(All!W$1,Spring!$1:$1,FALSE))),"")</f>
        <v>272.00 (448.80)</v>
      </c>
      <c r="X223" t="str">
        <f>IFERROR(IF(INDEX(Spring!$1:$1048576,MATCH(All!$A223,Spring!$A:$A,FALSE),MATCH(All!X$1,Spring!$1:$1,FALSE))="","",INDEX(Spring!$1:$1048576,MATCH(All!$A223,Spring!$A:$A,FALSE),MATCH(All!X$1,Spring!$1:$1,FALSE))),"")</f>
        <v/>
      </c>
      <c r="Y223" t="str">
        <f>IFERROR(IF(INDEX(Spring!$1:$1048576,MATCH(All!$A223,Spring!$A:$A,FALSE),MATCH(All!Y$1,Spring!$1:$1,FALSE))="","",INDEX(Spring!$1:$1048576,MATCH(All!$A223,Spring!$A:$A,FALSE),MATCH(All!Y$1,Spring!$1:$1,FALSE))),"")</f>
        <v>1A</v>
      </c>
      <c r="Z223" t="str">
        <f>IFERROR(IF(INDEX(Spring!$1:$1048576,MATCH(All!$A223,Spring!$A:$A,FALSE),MATCH(All!Z$1,Spring!$1:$1,FALSE))="","",INDEX(Spring!$1:$1048576,MATCH(All!$A223,Spring!$A:$A,FALSE),MATCH(All!Z$1,Spring!$1:$1,FALSE))),"")</f>
        <v>1A</v>
      </c>
      <c r="AA223" t="str">
        <f>IFERROR(IF(INDEX(Spring!$1:$1048576,MATCH(All!$A223,Spring!$A:$A,FALSE),MATCH(All!AA$1,Spring!$1:$1,FALSE))="","",INDEX(Spring!$1:$1048576,MATCH(All!$A223,Spring!$A:$A,FALSE),MATCH(All!AA$1,Spring!$1:$1,FALSE))),"")</f>
        <v/>
      </c>
      <c r="AB223" t="str">
        <f>IFERROR(IF(INDEX(Spring!$1:$1048576,MATCH(All!$A223,Spring!$A:$A,FALSE),MATCH(All!AB$1,Spring!$1:$1,FALSE))="","",INDEX(Spring!$1:$1048576,MATCH(All!$A223,Spring!$A:$A,FALSE),MATCH(All!AB$1,Spring!$1:$1,FALSE))),"")</f>
        <v/>
      </c>
      <c r="AC223" t="str">
        <f>IFERROR(IF(INDEX(Spring!$1:$1048576,MATCH(All!$A223,Spring!$A:$A,FALSE),MATCH(All!AC$1,Spring!$1:$1,FALSE))="","",INDEX(Spring!$1:$1048576,MATCH(All!$A223,Spring!$A:$A,FALSE),MATCH(All!AC$1,Spring!$1:$1,FALSE))),"")</f>
        <v/>
      </c>
      <c r="AD223" t="str">
        <f>IFERROR(VLOOKUP(A223,'Flag Football'!A:A,1,FALSE),"")</f>
        <v/>
      </c>
      <c r="AE223" t="str">
        <f t="shared" si="3"/>
        <v/>
      </c>
    </row>
    <row r="224" spans="1:31" ht="15.75" thickBot="1" x14ac:dyDescent="0.3">
      <c r="A224" s="20" t="s">
        <v>288</v>
      </c>
      <c r="B224" s="38" t="str">
        <f>IFERROR(VLOOKUP(A224,'Public v Private'!A:G,3,FALSE),"")</f>
        <v>no</v>
      </c>
      <c r="C224" s="38">
        <f>IFERROR(VLOOKUP(A224,'Public v Private'!A:G,4,FALSE),"")</f>
        <v>0</v>
      </c>
      <c r="D224" s="38">
        <f>IFERROR(VLOOKUP(A224,'Public v Private'!A:G,5,FALSE),"")</f>
        <v>0</v>
      </c>
      <c r="E224" s="38"/>
      <c r="F224" s="40" t="str">
        <f>IFERROR(INDEX(Fall!$1:$1048576,MATCH(All!$A224,Fall!$A:$A,FALSE),MATCH(All!F$1,Fall!$1:$1,FALSE)),"N/A")</f>
        <v>1,251.00 (2,064.15)</v>
      </c>
      <c r="G224" t="str">
        <f>IFERROR(IF(INDEX(Fall!$1:$1048576,MATCH(All!$A224,Fall!$A:$A,FALSE),MATCH(All!G$1,Fall!$1:$1,FALSE))="","",INDEX(Fall!$1:$1048576,MATCH(All!$A224,Fall!$A:$A,FALSE),MATCH(All!G$1,Fall!$1:$1,FALSE))),"")</f>
        <v>3A</v>
      </c>
      <c r="H224" t="str">
        <f>IFERROR(IF(INDEX(Fall!$1:$1048576,MATCH(All!$A224,Fall!$A:$A,FALSE),MATCH(All!H$1,Fall!$1:$1,FALSE))="","",INDEX(Fall!$1:$1048576,MATCH(All!$A224,Fall!$A:$A,FALSE),MATCH(All!H$1,Fall!$1:$1,FALSE))),"")</f>
        <v>3A</v>
      </c>
      <c r="I224" t="str">
        <f>IFERROR(IF(INDEX(Fall!$1:$1048576,MATCH(All!$A224,Fall!$A:$A,FALSE),MATCH(All!I$1,Fall!$1:$1,FALSE))="","",INDEX(Fall!$1:$1048576,MATCH(All!$A224,Fall!$A:$A,FALSE),MATCH(All!I$1,Fall!$1:$1,FALSE))),"")</f>
        <v>3A</v>
      </c>
      <c r="J224" t="str">
        <f>IFERROR(IF(INDEX(Fall!$1:$1048576,MATCH(All!$A224,Fall!$A:$A,FALSE),MATCH(All!J$1,Fall!$1:$1,FALSE))="","",INDEX(Fall!$1:$1048576,MATCH(All!$A224,Fall!$A:$A,FALSE),MATCH(All!J$1,Fall!$1:$1,FALSE))),"")</f>
        <v>2A</v>
      </c>
      <c r="K224" t="str">
        <f>IFERROR(IF(INDEX(Fall!$1:$1048576,MATCH(All!$A224,Fall!$A:$A,FALSE),MATCH(All!K$1,Fall!$1:$1,FALSE))="","",INDEX(Fall!$1:$1048576,MATCH(All!$A224,Fall!$A:$A,FALSE),MATCH(All!K$1,Fall!$1:$1,FALSE))),"")</f>
        <v>2A</v>
      </c>
      <c r="L224" t="str">
        <f>IFERROR(IF(INDEX(Fall!$1:$1048576,MATCH(All!$A224,Fall!$A:$A,FALSE),MATCH(All!L$1,Fall!$1:$1,FALSE))="","",INDEX(Fall!$1:$1048576,MATCH(All!$A224,Fall!$A:$A,FALSE),MATCH(All!L$1,Fall!$1:$1,FALSE))),"")</f>
        <v>1A</v>
      </c>
      <c r="M224" t="str">
        <f>IFERROR(IF(INDEX(Fall!$1:$1048576,MATCH(All!$A224,Fall!$A:$A,FALSE),MATCH(All!M$1,Fall!$1:$1,FALSE))="","",INDEX(Fall!$1:$1048576,MATCH(All!$A224,Fall!$A:$A,FALSE),MATCH(All!M$1,Fall!$1:$1,FALSE))),"")</f>
        <v>3A</v>
      </c>
      <c r="O224" t="str">
        <f>IFERROR(IF(INDEX(Winter!$1:$1048576,MATCH(All!$A224,Winter!$A:$A,FALSE),MATCH(All!O$1,Winter!$1:$1,FALSE))="","",INDEX(Winter!$1:$1048576,MATCH(All!$A224,Winter!$A:$A,FALSE),MATCH(All!O$1,Winter!$1:$1,FALSE))),"")</f>
        <v>1,251.00 (2,064.15)</v>
      </c>
      <c r="P224" t="str">
        <f>IFERROR(IF(INDEX(Winter!$1:$1048576,MATCH(All!$A224,Winter!$A:$A,FALSE),MATCH(All!P$1,Winter!$1:$1,FALSE))="","",INDEX(Winter!$1:$1048576,MATCH(All!$A224,Winter!$A:$A,FALSE),MATCH(All!P$1,Winter!$1:$1,FALSE))),"")</f>
        <v>4A</v>
      </c>
      <c r="Q224" t="str">
        <f>IFERROR(IF(INDEX(Winter!$1:$1048576,MATCH(All!$A224,Winter!$A:$A,FALSE),MATCH(All!Q$1,Winter!$1:$1,FALSE))="","",INDEX(Winter!$1:$1048576,MATCH(All!$A224,Winter!$A:$A,FALSE),MATCH(All!Q$1,Winter!$1:$1,FALSE))),"")</f>
        <v>3A</v>
      </c>
      <c r="R224" t="str">
        <f>IFERROR(IF(INDEX(Winter!$1:$1048576,MATCH(All!$A224,Winter!$A:$A,FALSE),MATCH(All!R$1,Winter!$1:$1,FALSE))="","",INDEX(Winter!$1:$1048576,MATCH(All!$A224,Winter!$A:$A,FALSE),MATCH(All!R$1,Winter!$1:$1,FALSE))),"")</f>
        <v>2A</v>
      </c>
      <c r="S224" t="str">
        <f>IFERROR(IF(INDEX(Winter!$1:$1048576,MATCH(All!$A224,Winter!$A:$A,FALSE),MATCH(All!S$1,Winter!$1:$1,FALSE))="","",INDEX(Winter!$1:$1048576,MATCH(All!$A224,Winter!$A:$A,FALSE),MATCH(All!S$1,Winter!$1:$1,FALSE))),"")</f>
        <v>2A</v>
      </c>
      <c r="T224" t="str">
        <f>IFERROR(IF(INDEX(Winter!$1:$1048576,MATCH(All!$A224,Winter!$A:$A,FALSE),MATCH(All!T$1,Winter!$1:$1,FALSE))="","",INDEX(Winter!$1:$1048576,MATCH(All!$A224,Winter!$A:$A,FALSE),MATCH(All!T$1,Winter!$1:$1,FALSE))),"")</f>
        <v>2A</v>
      </c>
      <c r="U224" t="str">
        <f>IFERROR(IF(INDEX(Winter!$1:$1048576,MATCH(All!$A224,Winter!$A:$A,FALSE),MATCH(All!U$1,Winter!$1:$1,FALSE))="","",INDEX(Winter!$1:$1048576,MATCH(All!$A224,Winter!$A:$A,FALSE),MATCH(All!U$1,Winter!$1:$1,FALSE))),"")</f>
        <v>3A</v>
      </c>
      <c r="W224" t="str">
        <f>IFERROR(IF(INDEX(Spring!$1:$1048576,MATCH(All!$A224,Spring!$A:$A,FALSE),MATCH(All!W$1,Spring!$1:$1,FALSE))="","",INDEX(Spring!$1:$1048576,MATCH(All!$A224,Spring!$A:$A,FALSE),MATCH(All!W$1,Spring!$1:$1,FALSE))),"")</f>
        <v>1,251.00 (2,064.15)</v>
      </c>
      <c r="X224" t="str">
        <f>IFERROR(IF(INDEX(Spring!$1:$1048576,MATCH(All!$A224,Spring!$A:$A,FALSE),MATCH(All!X$1,Spring!$1:$1,FALSE))="","",INDEX(Spring!$1:$1048576,MATCH(All!$A224,Spring!$A:$A,FALSE),MATCH(All!X$1,Spring!$1:$1,FALSE))),"")</f>
        <v>4A</v>
      </c>
      <c r="Y224" t="str">
        <f>IFERROR(IF(INDEX(Spring!$1:$1048576,MATCH(All!$A224,Spring!$A:$A,FALSE),MATCH(All!Y$1,Spring!$1:$1,FALSE))="","",INDEX(Spring!$1:$1048576,MATCH(All!$A224,Spring!$A:$A,FALSE),MATCH(All!Y$1,Spring!$1:$1,FALSE))),"")</f>
        <v>4A</v>
      </c>
      <c r="Z224" t="str">
        <f>IFERROR(IF(INDEX(Spring!$1:$1048576,MATCH(All!$A224,Spring!$A:$A,FALSE),MATCH(All!Z$1,Spring!$1:$1,FALSE))="","",INDEX(Spring!$1:$1048576,MATCH(All!$A224,Spring!$A:$A,FALSE),MATCH(All!Z$1,Spring!$1:$1,FALSE))),"")</f>
        <v>3A</v>
      </c>
      <c r="AA224" t="str">
        <f>IFERROR(IF(INDEX(Spring!$1:$1048576,MATCH(All!$A224,Spring!$A:$A,FALSE),MATCH(All!AA$1,Spring!$1:$1,FALSE))="","",INDEX(Spring!$1:$1048576,MATCH(All!$A224,Spring!$A:$A,FALSE),MATCH(All!AA$1,Spring!$1:$1,FALSE))),"")</f>
        <v>2A</v>
      </c>
      <c r="AB224" t="str">
        <f>IFERROR(IF(INDEX(Spring!$1:$1048576,MATCH(All!$A224,Spring!$A:$A,FALSE),MATCH(All!AB$1,Spring!$1:$1,FALSE))="","",INDEX(Spring!$1:$1048576,MATCH(All!$A224,Spring!$A:$A,FALSE),MATCH(All!AB$1,Spring!$1:$1,FALSE))),"")</f>
        <v>3A</v>
      </c>
      <c r="AC224" t="str">
        <f>IFERROR(IF(INDEX(Spring!$1:$1048576,MATCH(All!$A224,Spring!$A:$A,FALSE),MATCH(All!AC$1,Spring!$1:$1,FALSE))="","",INDEX(Spring!$1:$1048576,MATCH(All!$A224,Spring!$A:$A,FALSE),MATCH(All!AC$1,Spring!$1:$1,FALSE))),"")</f>
        <v>3A</v>
      </c>
      <c r="AD224" t="str">
        <f>IFERROR(VLOOKUP(A224,'Flag Football'!A:A,1,FALSE),"")</f>
        <v>Chicago (Payton)</v>
      </c>
      <c r="AE224" t="str">
        <f t="shared" si="3"/>
        <v>1A</v>
      </c>
    </row>
    <row r="225" spans="1:31" ht="15.75" thickBot="1" x14ac:dyDescent="0.3">
      <c r="A225" s="18" t="s">
        <v>935</v>
      </c>
      <c r="B225" s="38" t="str">
        <f>IFERROR(VLOOKUP(A225,'Public v Private'!A:G,3,FALSE),"")</f>
        <v>no</v>
      </c>
      <c r="C225" s="38">
        <f>IFERROR(VLOOKUP(A225,'Public v Private'!A:G,4,FALSE),"")</f>
        <v>0</v>
      </c>
      <c r="D225" s="38">
        <f>IFERROR(VLOOKUP(A225,'Public v Private'!A:G,5,FALSE),"")</f>
        <v>0</v>
      </c>
      <c r="E225" s="38"/>
      <c r="F225" s="40" t="str">
        <f>IFERROR(INDEX(Fall!$1:$1048576,MATCH(All!$A225,Fall!$A:$A,FALSE),MATCH(All!F$1,Fall!$1:$1,FALSE)),"N/A")</f>
        <v>362.00 (597.30)</v>
      </c>
      <c r="G225" t="str">
        <f>IFERROR(IF(INDEX(Fall!$1:$1048576,MATCH(All!$A225,Fall!$A:$A,FALSE),MATCH(All!G$1,Fall!$1:$1,FALSE))="","",INDEX(Fall!$1:$1048576,MATCH(All!$A225,Fall!$A:$A,FALSE),MATCH(All!G$1,Fall!$1:$1,FALSE))),"")</f>
        <v/>
      </c>
      <c r="H225" t="str">
        <f>IFERROR(IF(INDEX(Fall!$1:$1048576,MATCH(All!$A225,Fall!$A:$A,FALSE),MATCH(All!H$1,Fall!$1:$1,FALSE))="","",INDEX(Fall!$1:$1048576,MATCH(All!$A225,Fall!$A:$A,FALSE),MATCH(All!H$1,Fall!$1:$1,FALSE))),"")</f>
        <v/>
      </c>
      <c r="I225" t="str">
        <f>IFERROR(IF(INDEX(Fall!$1:$1048576,MATCH(All!$A225,Fall!$A:$A,FALSE),MATCH(All!I$1,Fall!$1:$1,FALSE))="","",INDEX(Fall!$1:$1048576,MATCH(All!$A225,Fall!$A:$A,FALSE),MATCH(All!I$1,Fall!$1:$1,FALSE))),"")</f>
        <v/>
      </c>
      <c r="J225" t="str">
        <f>IFERROR(IF(INDEX(Fall!$1:$1048576,MATCH(All!$A225,Fall!$A:$A,FALSE),MATCH(All!J$1,Fall!$1:$1,FALSE))="","",INDEX(Fall!$1:$1048576,MATCH(All!$A225,Fall!$A:$A,FALSE),MATCH(All!J$1,Fall!$1:$1,FALSE))),"")</f>
        <v/>
      </c>
      <c r="K225" t="str">
        <f>IFERROR(IF(INDEX(Fall!$1:$1048576,MATCH(All!$A225,Fall!$A:$A,FALSE),MATCH(All!K$1,Fall!$1:$1,FALSE))="","",INDEX(Fall!$1:$1048576,MATCH(All!$A225,Fall!$A:$A,FALSE),MATCH(All!K$1,Fall!$1:$1,FALSE))),"")</f>
        <v/>
      </c>
      <c r="L225" t="str">
        <f>IFERROR(IF(INDEX(Fall!$1:$1048576,MATCH(All!$A225,Fall!$A:$A,FALSE),MATCH(All!L$1,Fall!$1:$1,FALSE))="","",INDEX(Fall!$1:$1048576,MATCH(All!$A225,Fall!$A:$A,FALSE),MATCH(All!L$1,Fall!$1:$1,FALSE))),"")</f>
        <v/>
      </c>
      <c r="M225" t="str">
        <f>IFERROR(IF(INDEX(Fall!$1:$1048576,MATCH(All!$A225,Fall!$A:$A,FALSE),MATCH(All!M$1,Fall!$1:$1,FALSE))="","",INDEX(Fall!$1:$1048576,MATCH(All!$A225,Fall!$A:$A,FALSE),MATCH(All!M$1,Fall!$1:$1,FALSE))),"")</f>
        <v>3A</v>
      </c>
      <c r="O225" t="str">
        <f>IFERROR(IF(INDEX(Winter!$1:$1048576,MATCH(All!$A225,Winter!$A:$A,FALSE),MATCH(All!O$1,Winter!$1:$1,FALSE))="","",INDEX(Winter!$1:$1048576,MATCH(All!$A225,Winter!$A:$A,FALSE),MATCH(All!O$1,Winter!$1:$1,FALSE))),"")</f>
        <v>362.00 (597.30)</v>
      </c>
      <c r="P225" t="str">
        <f>IFERROR(IF(INDEX(Winter!$1:$1048576,MATCH(All!$A225,Winter!$A:$A,FALSE),MATCH(All!P$1,Winter!$1:$1,FALSE))="","",INDEX(Winter!$1:$1048576,MATCH(All!$A225,Winter!$A:$A,FALSE),MATCH(All!P$1,Winter!$1:$1,FALSE))),"")</f>
        <v>2A</v>
      </c>
      <c r="Q225" t="str">
        <f>IFERROR(IF(INDEX(Winter!$1:$1048576,MATCH(All!$A225,Winter!$A:$A,FALSE),MATCH(All!Q$1,Winter!$1:$1,FALSE))="","",INDEX(Winter!$1:$1048576,MATCH(All!$A225,Winter!$A:$A,FALSE),MATCH(All!Q$1,Winter!$1:$1,FALSE))),"")</f>
        <v>3A</v>
      </c>
      <c r="R225" t="str">
        <f>IFERROR(IF(INDEX(Winter!$1:$1048576,MATCH(All!$A225,Winter!$A:$A,FALSE),MATCH(All!R$1,Winter!$1:$1,FALSE))="","",INDEX(Winter!$1:$1048576,MATCH(All!$A225,Winter!$A:$A,FALSE),MATCH(All!R$1,Winter!$1:$1,FALSE))),"")</f>
        <v/>
      </c>
      <c r="S225" t="str">
        <f>IFERROR(IF(INDEX(Winter!$1:$1048576,MATCH(All!$A225,Winter!$A:$A,FALSE),MATCH(All!S$1,Winter!$1:$1,FALSE))="","",INDEX(Winter!$1:$1048576,MATCH(All!$A225,Winter!$A:$A,FALSE),MATCH(All!S$1,Winter!$1:$1,FALSE))),"")</f>
        <v/>
      </c>
      <c r="T225" t="str">
        <f>IFERROR(IF(INDEX(Winter!$1:$1048576,MATCH(All!$A225,Winter!$A:$A,FALSE),MATCH(All!T$1,Winter!$1:$1,FALSE))="","",INDEX(Winter!$1:$1048576,MATCH(All!$A225,Winter!$A:$A,FALSE),MATCH(All!T$1,Winter!$1:$1,FALSE))),"")</f>
        <v/>
      </c>
      <c r="U225" t="str">
        <f>IFERROR(IF(INDEX(Winter!$1:$1048576,MATCH(All!$A225,Winter!$A:$A,FALSE),MATCH(All!U$1,Winter!$1:$1,FALSE))="","",INDEX(Winter!$1:$1048576,MATCH(All!$A225,Winter!$A:$A,FALSE),MATCH(All!U$1,Winter!$1:$1,FALSE))),"")</f>
        <v/>
      </c>
      <c r="W225" t="str">
        <f>IFERROR(IF(INDEX(Spring!$1:$1048576,MATCH(All!$A225,Spring!$A:$A,FALSE),MATCH(All!W$1,Spring!$1:$1,FALSE))="","",INDEX(Spring!$1:$1048576,MATCH(All!$A225,Spring!$A:$A,FALSE),MATCH(All!W$1,Spring!$1:$1,FALSE))),"")</f>
        <v/>
      </c>
      <c r="X225" t="str">
        <f>IFERROR(IF(INDEX(Spring!$1:$1048576,MATCH(All!$A225,Spring!$A:$A,FALSE),MATCH(All!X$1,Spring!$1:$1,FALSE))="","",INDEX(Spring!$1:$1048576,MATCH(All!$A225,Spring!$A:$A,FALSE),MATCH(All!X$1,Spring!$1:$1,FALSE))),"")</f>
        <v/>
      </c>
      <c r="Y225" t="str">
        <f>IFERROR(IF(INDEX(Spring!$1:$1048576,MATCH(All!$A225,Spring!$A:$A,FALSE),MATCH(All!Y$1,Spring!$1:$1,FALSE))="","",INDEX(Spring!$1:$1048576,MATCH(All!$A225,Spring!$A:$A,FALSE),MATCH(All!Y$1,Spring!$1:$1,FALSE))),"")</f>
        <v/>
      </c>
      <c r="Z225" t="str">
        <f>IFERROR(IF(INDEX(Spring!$1:$1048576,MATCH(All!$A225,Spring!$A:$A,FALSE),MATCH(All!Z$1,Spring!$1:$1,FALSE))="","",INDEX(Spring!$1:$1048576,MATCH(All!$A225,Spring!$A:$A,FALSE),MATCH(All!Z$1,Spring!$1:$1,FALSE))),"")</f>
        <v/>
      </c>
      <c r="AA225" t="str">
        <f>IFERROR(IF(INDEX(Spring!$1:$1048576,MATCH(All!$A225,Spring!$A:$A,FALSE),MATCH(All!AA$1,Spring!$1:$1,FALSE))="","",INDEX(Spring!$1:$1048576,MATCH(All!$A225,Spring!$A:$A,FALSE),MATCH(All!AA$1,Spring!$1:$1,FALSE))),"")</f>
        <v/>
      </c>
      <c r="AB225" t="str">
        <f>IFERROR(IF(INDEX(Spring!$1:$1048576,MATCH(All!$A225,Spring!$A:$A,FALSE),MATCH(All!AB$1,Spring!$1:$1,FALSE))="","",INDEX(Spring!$1:$1048576,MATCH(All!$A225,Spring!$A:$A,FALSE),MATCH(All!AB$1,Spring!$1:$1,FALSE))),"")</f>
        <v/>
      </c>
      <c r="AC225" t="str">
        <f>IFERROR(IF(INDEX(Spring!$1:$1048576,MATCH(All!$A225,Spring!$A:$A,FALSE),MATCH(All!AC$1,Spring!$1:$1,FALSE))="","",INDEX(Spring!$1:$1048576,MATCH(All!$A225,Spring!$A:$A,FALSE),MATCH(All!AC$1,Spring!$1:$1,FALSE))),"")</f>
        <v/>
      </c>
      <c r="AD225" t="str">
        <f>IFERROR(VLOOKUP(A225,'Flag Football'!A:A,1,FALSE),"")</f>
        <v>Chicago (Perspectives/IIT Math &amp; Science)</v>
      </c>
      <c r="AE225" t="str">
        <f t="shared" si="3"/>
        <v>1A</v>
      </c>
    </row>
    <row r="226" spans="1:31" ht="15.75" thickBot="1" x14ac:dyDescent="0.3">
      <c r="A226" s="20" t="s">
        <v>290</v>
      </c>
      <c r="B226" s="38" t="str">
        <f>IFERROR(VLOOKUP(A226,'Public v Private'!A:G,3,FALSE),"")</f>
        <v>no</v>
      </c>
      <c r="C226" s="38">
        <f>IFERROR(VLOOKUP(A226,'Public v Private'!A:G,4,FALSE),"")</f>
        <v>0</v>
      </c>
      <c r="D226" s="38">
        <f>IFERROR(VLOOKUP(A226,'Public v Private'!A:G,5,FALSE),"")</f>
        <v>0</v>
      </c>
      <c r="E226" s="38"/>
      <c r="F226" s="40" t="str">
        <f>IFERROR(INDEX(Fall!$1:$1048576,MATCH(All!$A226,Fall!$A:$A,FALSE),MATCH(All!F$1,Fall!$1:$1,FALSE)),"N/A")</f>
        <v>673.00 (1,110.45)</v>
      </c>
      <c r="G226" t="str">
        <f>IFERROR(IF(INDEX(Fall!$1:$1048576,MATCH(All!$A226,Fall!$A:$A,FALSE),MATCH(All!G$1,Fall!$1:$1,FALSE))="","",INDEX(Fall!$1:$1048576,MATCH(All!$A226,Fall!$A:$A,FALSE),MATCH(All!G$1,Fall!$1:$1,FALSE))),"")</f>
        <v/>
      </c>
      <c r="H226" t="str">
        <f>IFERROR(IF(INDEX(Fall!$1:$1048576,MATCH(All!$A226,Fall!$A:$A,FALSE),MATCH(All!H$1,Fall!$1:$1,FALSE))="","",INDEX(Fall!$1:$1048576,MATCH(All!$A226,Fall!$A:$A,FALSE),MATCH(All!H$1,Fall!$1:$1,FALSE))),"")</f>
        <v/>
      </c>
      <c r="I226" t="str">
        <f>IFERROR(IF(INDEX(Fall!$1:$1048576,MATCH(All!$A226,Fall!$A:$A,FALSE),MATCH(All!I$1,Fall!$1:$1,FALSE))="","",INDEX(Fall!$1:$1048576,MATCH(All!$A226,Fall!$A:$A,FALSE),MATCH(All!I$1,Fall!$1:$1,FALSE))),"")</f>
        <v/>
      </c>
      <c r="J226" t="str">
        <f>IFERROR(IF(INDEX(Fall!$1:$1048576,MATCH(All!$A226,Fall!$A:$A,FALSE),MATCH(All!J$1,Fall!$1:$1,FALSE))="","",INDEX(Fall!$1:$1048576,MATCH(All!$A226,Fall!$A:$A,FALSE),MATCH(All!J$1,Fall!$1:$1,FALSE))),"")</f>
        <v/>
      </c>
      <c r="K226" t="str">
        <f>IFERROR(IF(INDEX(Fall!$1:$1048576,MATCH(All!$A226,Fall!$A:$A,FALSE),MATCH(All!K$1,Fall!$1:$1,FALSE))="","",INDEX(Fall!$1:$1048576,MATCH(All!$A226,Fall!$A:$A,FALSE),MATCH(All!K$1,Fall!$1:$1,FALSE))),"")</f>
        <v/>
      </c>
      <c r="L226" t="str">
        <f>IFERROR(IF(INDEX(Fall!$1:$1048576,MATCH(All!$A226,Fall!$A:$A,FALSE),MATCH(All!L$1,Fall!$1:$1,FALSE))="","",INDEX(Fall!$1:$1048576,MATCH(All!$A226,Fall!$A:$A,FALSE),MATCH(All!L$1,Fall!$1:$1,FALSE))),"")</f>
        <v/>
      </c>
      <c r="M226" t="str">
        <f>IFERROR(IF(INDEX(Fall!$1:$1048576,MATCH(All!$A226,Fall!$A:$A,FALSE),MATCH(All!M$1,Fall!$1:$1,FALSE))="","",INDEX(Fall!$1:$1048576,MATCH(All!$A226,Fall!$A:$A,FALSE),MATCH(All!M$1,Fall!$1:$1,FALSE))),"")</f>
        <v>3A</v>
      </c>
      <c r="O226" t="str">
        <f>IFERROR(IF(INDEX(Winter!$1:$1048576,MATCH(All!$A226,Winter!$A:$A,FALSE),MATCH(All!O$1,Winter!$1:$1,FALSE))="","",INDEX(Winter!$1:$1048576,MATCH(All!$A226,Winter!$A:$A,FALSE),MATCH(All!O$1,Winter!$1:$1,FALSE))),"")</f>
        <v>673.00 (1,110.45)</v>
      </c>
      <c r="P226" t="str">
        <f>IFERROR(IF(INDEX(Winter!$1:$1048576,MATCH(All!$A226,Winter!$A:$A,FALSE),MATCH(All!P$1,Winter!$1:$1,FALSE))="","",INDEX(Winter!$1:$1048576,MATCH(All!$A226,Winter!$A:$A,FALSE),MATCH(All!P$1,Winter!$1:$1,FALSE))),"")</f>
        <v>4A</v>
      </c>
      <c r="Q226" t="str">
        <f>IFERROR(IF(INDEX(Winter!$1:$1048576,MATCH(All!$A226,Winter!$A:$A,FALSE),MATCH(All!Q$1,Winter!$1:$1,FALSE))="","",INDEX(Winter!$1:$1048576,MATCH(All!$A226,Winter!$A:$A,FALSE),MATCH(All!Q$1,Winter!$1:$1,FALSE))),"")</f>
        <v>4A</v>
      </c>
      <c r="R226" t="str">
        <f>IFERROR(IF(INDEX(Winter!$1:$1048576,MATCH(All!$A226,Winter!$A:$A,FALSE),MATCH(All!R$1,Winter!$1:$1,FALSE))="","",INDEX(Winter!$1:$1048576,MATCH(All!$A226,Winter!$A:$A,FALSE),MATCH(All!R$1,Winter!$1:$1,FALSE))),"")</f>
        <v/>
      </c>
      <c r="S226" t="str">
        <f>IFERROR(IF(INDEX(Winter!$1:$1048576,MATCH(All!$A226,Winter!$A:$A,FALSE),MATCH(All!S$1,Winter!$1:$1,FALSE))="","",INDEX(Winter!$1:$1048576,MATCH(All!$A226,Winter!$A:$A,FALSE),MATCH(All!S$1,Winter!$1:$1,FALSE))),"")</f>
        <v/>
      </c>
      <c r="T226" t="str">
        <f>IFERROR(IF(INDEX(Winter!$1:$1048576,MATCH(All!$A226,Winter!$A:$A,FALSE),MATCH(All!T$1,Winter!$1:$1,FALSE))="","",INDEX(Winter!$1:$1048576,MATCH(All!$A226,Winter!$A:$A,FALSE),MATCH(All!T$1,Winter!$1:$1,FALSE))),"")</f>
        <v/>
      </c>
      <c r="U226" t="str">
        <f>IFERROR(IF(INDEX(Winter!$1:$1048576,MATCH(All!$A226,Winter!$A:$A,FALSE),MATCH(All!U$1,Winter!$1:$1,FALSE))="","",INDEX(Winter!$1:$1048576,MATCH(All!$A226,Winter!$A:$A,FALSE),MATCH(All!U$1,Winter!$1:$1,FALSE))),"")</f>
        <v>2A</v>
      </c>
      <c r="W226" t="str">
        <f>IFERROR(IF(INDEX(Spring!$1:$1048576,MATCH(All!$A226,Spring!$A:$A,FALSE),MATCH(All!W$1,Spring!$1:$1,FALSE))="","",INDEX(Spring!$1:$1048576,MATCH(All!$A226,Spring!$A:$A,FALSE),MATCH(All!W$1,Spring!$1:$1,FALSE))),"")</f>
        <v>673.00 (1,110.45)</v>
      </c>
      <c r="X226" t="str">
        <f>IFERROR(IF(INDEX(Spring!$1:$1048576,MATCH(All!$A226,Spring!$A:$A,FALSE),MATCH(All!X$1,Spring!$1:$1,FALSE))="","",INDEX(Spring!$1:$1048576,MATCH(All!$A226,Spring!$A:$A,FALSE),MATCH(All!X$1,Spring!$1:$1,FALSE))),"")</f>
        <v/>
      </c>
      <c r="Y226" t="str">
        <f>IFERROR(IF(INDEX(Spring!$1:$1048576,MATCH(All!$A226,Spring!$A:$A,FALSE),MATCH(All!Y$1,Spring!$1:$1,FALSE))="","",INDEX(Spring!$1:$1048576,MATCH(All!$A226,Spring!$A:$A,FALSE),MATCH(All!Y$1,Spring!$1:$1,FALSE))),"")</f>
        <v/>
      </c>
      <c r="Z226" t="str">
        <f>IFERROR(IF(INDEX(Spring!$1:$1048576,MATCH(All!$A226,Spring!$A:$A,FALSE),MATCH(All!Z$1,Spring!$1:$1,FALSE))="","",INDEX(Spring!$1:$1048576,MATCH(All!$A226,Spring!$A:$A,FALSE),MATCH(All!Z$1,Spring!$1:$1,FALSE))),"")</f>
        <v/>
      </c>
      <c r="AA226" t="str">
        <f>IFERROR(IF(INDEX(Spring!$1:$1048576,MATCH(All!$A226,Spring!$A:$A,FALSE),MATCH(All!AA$1,Spring!$1:$1,FALSE))="","",INDEX(Spring!$1:$1048576,MATCH(All!$A226,Spring!$A:$A,FALSE),MATCH(All!AA$1,Spring!$1:$1,FALSE))),"")</f>
        <v/>
      </c>
      <c r="AB226" t="str">
        <f>IFERROR(IF(INDEX(Spring!$1:$1048576,MATCH(All!$A226,Spring!$A:$A,FALSE),MATCH(All!AB$1,Spring!$1:$1,FALSE))="","",INDEX(Spring!$1:$1048576,MATCH(All!$A226,Spring!$A:$A,FALSE),MATCH(All!AB$1,Spring!$1:$1,FALSE))),"")</f>
        <v>3A</v>
      </c>
      <c r="AC226" t="str">
        <f>IFERROR(IF(INDEX(Spring!$1:$1048576,MATCH(All!$A226,Spring!$A:$A,FALSE),MATCH(All!AC$1,Spring!$1:$1,FALSE))="","",INDEX(Spring!$1:$1048576,MATCH(All!$A226,Spring!$A:$A,FALSE),MATCH(All!AC$1,Spring!$1:$1,FALSE))),"")</f>
        <v>3A</v>
      </c>
      <c r="AD226" t="str">
        <f>IFERROR(VLOOKUP(A226,'Flag Football'!A:A,1,FALSE),"")</f>
        <v>Chicago (Perspectives/Leadership)</v>
      </c>
      <c r="AE226" t="str">
        <f t="shared" si="3"/>
        <v>1A</v>
      </c>
    </row>
    <row r="227" spans="1:31" ht="15.75" thickBot="1" x14ac:dyDescent="0.3">
      <c r="A227" s="18" t="s">
        <v>292</v>
      </c>
      <c r="B227" s="38">
        <f>IFERROR(VLOOKUP(A227,'Public v Private'!A:G,3,FALSE),"")</f>
        <v>0</v>
      </c>
      <c r="C227" s="38">
        <f>IFERROR(VLOOKUP(A227,'Public v Private'!A:G,4,FALSE),"")</f>
        <v>0</v>
      </c>
      <c r="D227" s="38">
        <f>IFERROR(VLOOKUP(A227,'Public v Private'!A:G,5,FALSE),"")</f>
        <v>0</v>
      </c>
      <c r="E227" s="38"/>
      <c r="F227" s="40">
        <f>IFERROR(INDEX(Fall!$1:$1048576,MATCH(All!$A227,Fall!$A:$A,FALSE),MATCH(All!F$1,Fall!$1:$1,FALSE)),"N/A")</f>
        <v>397</v>
      </c>
      <c r="G227" t="str">
        <f>IFERROR(IF(INDEX(Fall!$1:$1048576,MATCH(All!$A227,Fall!$A:$A,FALSE),MATCH(All!G$1,Fall!$1:$1,FALSE))="","",INDEX(Fall!$1:$1048576,MATCH(All!$A227,Fall!$A:$A,FALSE),MATCH(All!G$1,Fall!$1:$1,FALSE))),"")</f>
        <v/>
      </c>
      <c r="H227" t="str">
        <f>IFERROR(IF(INDEX(Fall!$1:$1048576,MATCH(All!$A227,Fall!$A:$A,FALSE),MATCH(All!H$1,Fall!$1:$1,FALSE))="","",INDEX(Fall!$1:$1048576,MATCH(All!$A227,Fall!$A:$A,FALSE),MATCH(All!H$1,Fall!$1:$1,FALSE))),"")</f>
        <v/>
      </c>
      <c r="I227" t="str">
        <f>IFERROR(IF(INDEX(Fall!$1:$1048576,MATCH(All!$A227,Fall!$A:$A,FALSE),MATCH(All!I$1,Fall!$1:$1,FALSE))="","",INDEX(Fall!$1:$1048576,MATCH(All!$A227,Fall!$A:$A,FALSE),MATCH(All!I$1,Fall!$1:$1,FALSE))),"")</f>
        <v/>
      </c>
      <c r="J227" t="str">
        <f>IFERROR(IF(INDEX(Fall!$1:$1048576,MATCH(All!$A227,Fall!$A:$A,FALSE),MATCH(All!J$1,Fall!$1:$1,FALSE))="","",INDEX(Fall!$1:$1048576,MATCH(All!$A227,Fall!$A:$A,FALSE),MATCH(All!J$1,Fall!$1:$1,FALSE))),"")</f>
        <v/>
      </c>
      <c r="K227" t="str">
        <f>IFERROR(IF(INDEX(Fall!$1:$1048576,MATCH(All!$A227,Fall!$A:$A,FALSE),MATCH(All!K$1,Fall!$1:$1,FALSE))="","",INDEX(Fall!$1:$1048576,MATCH(All!$A227,Fall!$A:$A,FALSE),MATCH(All!K$1,Fall!$1:$1,FALSE))),"")</f>
        <v/>
      </c>
      <c r="L227" t="str">
        <f>IFERROR(IF(INDEX(Fall!$1:$1048576,MATCH(All!$A227,Fall!$A:$A,FALSE),MATCH(All!L$1,Fall!$1:$1,FALSE))="","",INDEX(Fall!$1:$1048576,MATCH(All!$A227,Fall!$A:$A,FALSE),MATCH(All!L$1,Fall!$1:$1,FALSE))),"")</f>
        <v/>
      </c>
      <c r="M227" t="str">
        <f>IFERROR(IF(INDEX(Fall!$1:$1048576,MATCH(All!$A227,Fall!$A:$A,FALSE),MATCH(All!M$1,Fall!$1:$1,FALSE))="","",INDEX(Fall!$1:$1048576,MATCH(All!$A227,Fall!$A:$A,FALSE),MATCH(All!M$1,Fall!$1:$1,FALSE))),"")</f>
        <v>2A</v>
      </c>
      <c r="O227">
        <f>IFERROR(IF(INDEX(Winter!$1:$1048576,MATCH(All!$A227,Winter!$A:$A,FALSE),MATCH(All!O$1,Winter!$1:$1,FALSE))="","",INDEX(Winter!$1:$1048576,MATCH(All!$A227,Winter!$A:$A,FALSE),MATCH(All!O$1,Winter!$1:$1,FALSE))),"")</f>
        <v>397</v>
      </c>
      <c r="P227" t="str">
        <f>IFERROR(IF(INDEX(Winter!$1:$1048576,MATCH(All!$A227,Winter!$A:$A,FALSE),MATCH(All!P$1,Winter!$1:$1,FALSE))="","",INDEX(Winter!$1:$1048576,MATCH(All!$A227,Winter!$A:$A,FALSE),MATCH(All!P$1,Winter!$1:$1,FALSE))),"")</f>
        <v>2A</v>
      </c>
      <c r="Q227" t="str">
        <f>IFERROR(IF(INDEX(Winter!$1:$1048576,MATCH(All!$A227,Winter!$A:$A,FALSE),MATCH(All!Q$1,Winter!$1:$1,FALSE))="","",INDEX(Winter!$1:$1048576,MATCH(All!$A227,Winter!$A:$A,FALSE),MATCH(All!Q$1,Winter!$1:$1,FALSE))),"")</f>
        <v>2A</v>
      </c>
      <c r="R227" t="str">
        <f>IFERROR(IF(INDEX(Winter!$1:$1048576,MATCH(All!$A227,Winter!$A:$A,FALSE),MATCH(All!R$1,Winter!$1:$1,FALSE))="","",INDEX(Winter!$1:$1048576,MATCH(All!$A227,Winter!$A:$A,FALSE),MATCH(All!R$1,Winter!$1:$1,FALSE))),"")</f>
        <v>1A</v>
      </c>
      <c r="S227" t="str">
        <f>IFERROR(IF(INDEX(Winter!$1:$1048576,MATCH(All!$A227,Winter!$A:$A,FALSE),MATCH(All!S$1,Winter!$1:$1,FALSE))="","",INDEX(Winter!$1:$1048576,MATCH(All!$A227,Winter!$A:$A,FALSE),MATCH(All!S$1,Winter!$1:$1,FALSE))),"")</f>
        <v/>
      </c>
      <c r="T227" t="str">
        <f>IFERROR(IF(INDEX(Winter!$1:$1048576,MATCH(All!$A227,Winter!$A:$A,FALSE),MATCH(All!T$1,Winter!$1:$1,FALSE))="","",INDEX(Winter!$1:$1048576,MATCH(All!$A227,Winter!$A:$A,FALSE),MATCH(All!T$1,Winter!$1:$1,FALSE))),"")</f>
        <v/>
      </c>
      <c r="U227" t="str">
        <f>IFERROR(IF(INDEX(Winter!$1:$1048576,MATCH(All!$A227,Winter!$A:$A,FALSE),MATCH(All!U$1,Winter!$1:$1,FALSE))="","",INDEX(Winter!$1:$1048576,MATCH(All!$A227,Winter!$A:$A,FALSE),MATCH(All!U$1,Winter!$1:$1,FALSE))),"")</f>
        <v>1A</v>
      </c>
      <c r="W227">
        <f>IFERROR(IF(INDEX(Spring!$1:$1048576,MATCH(All!$A227,Spring!$A:$A,FALSE),MATCH(All!W$1,Spring!$1:$1,FALSE))="","",INDEX(Spring!$1:$1048576,MATCH(All!$A227,Spring!$A:$A,FALSE),MATCH(All!W$1,Spring!$1:$1,FALSE))),"")</f>
        <v>397</v>
      </c>
      <c r="X227" t="str">
        <f>IFERROR(IF(INDEX(Spring!$1:$1048576,MATCH(All!$A227,Spring!$A:$A,FALSE),MATCH(All!X$1,Spring!$1:$1,FALSE))="","",INDEX(Spring!$1:$1048576,MATCH(All!$A227,Spring!$A:$A,FALSE),MATCH(All!X$1,Spring!$1:$1,FALSE))),"")</f>
        <v/>
      </c>
      <c r="Y227" t="str">
        <f>IFERROR(IF(INDEX(Spring!$1:$1048576,MATCH(All!$A227,Spring!$A:$A,FALSE),MATCH(All!Y$1,Spring!$1:$1,FALSE))="","",INDEX(Spring!$1:$1048576,MATCH(All!$A227,Spring!$A:$A,FALSE),MATCH(All!Y$1,Spring!$1:$1,FALSE))),"")</f>
        <v>2A</v>
      </c>
      <c r="Z227" t="str">
        <f>IFERROR(IF(INDEX(Spring!$1:$1048576,MATCH(All!$A227,Spring!$A:$A,FALSE),MATCH(All!Z$1,Spring!$1:$1,FALSE))="","",INDEX(Spring!$1:$1048576,MATCH(All!$A227,Spring!$A:$A,FALSE),MATCH(All!Z$1,Spring!$1:$1,FALSE))),"")</f>
        <v/>
      </c>
      <c r="AA227" t="str">
        <f>IFERROR(IF(INDEX(Spring!$1:$1048576,MATCH(All!$A227,Spring!$A:$A,FALSE),MATCH(All!AA$1,Spring!$1:$1,FALSE))="","",INDEX(Spring!$1:$1048576,MATCH(All!$A227,Spring!$A:$A,FALSE),MATCH(All!AA$1,Spring!$1:$1,FALSE))),"")</f>
        <v/>
      </c>
      <c r="AB227" t="str">
        <f>IFERROR(IF(INDEX(Spring!$1:$1048576,MATCH(All!$A227,Spring!$A:$A,FALSE),MATCH(All!AB$1,Spring!$1:$1,FALSE))="","",INDEX(Spring!$1:$1048576,MATCH(All!$A227,Spring!$A:$A,FALSE),MATCH(All!AB$1,Spring!$1:$1,FALSE))),"")</f>
        <v>1A</v>
      </c>
      <c r="AC227" t="str">
        <f>IFERROR(IF(INDEX(Spring!$1:$1048576,MATCH(All!$A227,Spring!$A:$A,FALSE),MATCH(All!AC$1,Spring!$1:$1,FALSE))="","",INDEX(Spring!$1:$1048576,MATCH(All!$A227,Spring!$A:$A,FALSE),MATCH(All!AC$1,Spring!$1:$1,FALSE))),"")</f>
        <v>1A</v>
      </c>
      <c r="AD227" t="str">
        <f>IFERROR(VLOOKUP(A227,'Flag Football'!A:A,1,FALSE),"")</f>
        <v>Chicago (Phillips)</v>
      </c>
      <c r="AE227" t="str">
        <f t="shared" si="3"/>
        <v>1A</v>
      </c>
    </row>
    <row r="228" spans="1:31" ht="15.75" thickBot="1" x14ac:dyDescent="0.3">
      <c r="A228" s="20" t="s">
        <v>937</v>
      </c>
      <c r="B228" s="38" t="str">
        <f>IFERROR(VLOOKUP(A228,'Public v Private'!A:G,3,FALSE),"")</f>
        <v>no</v>
      </c>
      <c r="C228" s="38">
        <f>IFERROR(VLOOKUP(A228,'Public v Private'!A:G,4,FALSE),"")</f>
        <v>0</v>
      </c>
      <c r="D228" s="38">
        <f>IFERROR(VLOOKUP(A228,'Public v Private'!A:G,5,FALSE),"")</f>
        <v>0</v>
      </c>
      <c r="E228" s="38"/>
      <c r="F228" s="40" t="str">
        <f>IFERROR(INDEX(Fall!$1:$1048576,MATCH(All!$A228,Fall!$A:$A,FALSE),MATCH(All!F$1,Fall!$1:$1,FALSE)),"N/A")</f>
        <v>366.00 (603.90)</v>
      </c>
      <c r="G228" t="str">
        <f>IFERROR(IF(INDEX(Fall!$1:$1048576,MATCH(All!$A228,Fall!$A:$A,FALSE),MATCH(All!G$1,Fall!$1:$1,FALSE))="","",INDEX(Fall!$1:$1048576,MATCH(All!$A228,Fall!$A:$A,FALSE),MATCH(All!G$1,Fall!$1:$1,FALSE))),"")</f>
        <v/>
      </c>
      <c r="H228" t="str">
        <f>IFERROR(IF(INDEX(Fall!$1:$1048576,MATCH(All!$A228,Fall!$A:$A,FALSE),MATCH(All!H$1,Fall!$1:$1,FALSE))="","",INDEX(Fall!$1:$1048576,MATCH(All!$A228,Fall!$A:$A,FALSE),MATCH(All!H$1,Fall!$1:$1,FALSE))),"")</f>
        <v/>
      </c>
      <c r="I228" t="str">
        <f>IFERROR(IF(INDEX(Fall!$1:$1048576,MATCH(All!$A228,Fall!$A:$A,FALSE),MATCH(All!I$1,Fall!$1:$1,FALSE))="","",INDEX(Fall!$1:$1048576,MATCH(All!$A228,Fall!$A:$A,FALSE),MATCH(All!I$1,Fall!$1:$1,FALSE))),"")</f>
        <v/>
      </c>
      <c r="J228" t="str">
        <f>IFERROR(IF(INDEX(Fall!$1:$1048576,MATCH(All!$A228,Fall!$A:$A,FALSE),MATCH(All!J$1,Fall!$1:$1,FALSE))="","",INDEX(Fall!$1:$1048576,MATCH(All!$A228,Fall!$A:$A,FALSE),MATCH(All!J$1,Fall!$1:$1,FALSE))),"")</f>
        <v/>
      </c>
      <c r="K228" t="str">
        <f>IFERROR(IF(INDEX(Fall!$1:$1048576,MATCH(All!$A228,Fall!$A:$A,FALSE),MATCH(All!K$1,Fall!$1:$1,FALSE))="","",INDEX(Fall!$1:$1048576,MATCH(All!$A228,Fall!$A:$A,FALSE),MATCH(All!K$1,Fall!$1:$1,FALSE))),"")</f>
        <v>1A</v>
      </c>
      <c r="L228" t="str">
        <f>IFERROR(IF(INDEX(Fall!$1:$1048576,MATCH(All!$A228,Fall!$A:$A,FALSE),MATCH(All!L$1,Fall!$1:$1,FALSE))="","",INDEX(Fall!$1:$1048576,MATCH(All!$A228,Fall!$A:$A,FALSE),MATCH(All!L$1,Fall!$1:$1,FALSE))),"")</f>
        <v/>
      </c>
      <c r="M228" t="str">
        <f>IFERROR(IF(INDEX(Fall!$1:$1048576,MATCH(All!$A228,Fall!$A:$A,FALSE),MATCH(All!M$1,Fall!$1:$1,FALSE))="","",INDEX(Fall!$1:$1048576,MATCH(All!$A228,Fall!$A:$A,FALSE),MATCH(All!M$1,Fall!$1:$1,FALSE))),"")</f>
        <v/>
      </c>
      <c r="O228" t="str">
        <f>IFERROR(IF(INDEX(Winter!$1:$1048576,MATCH(All!$A228,Winter!$A:$A,FALSE),MATCH(All!O$1,Winter!$1:$1,FALSE))="","",INDEX(Winter!$1:$1048576,MATCH(All!$A228,Winter!$A:$A,FALSE),MATCH(All!O$1,Winter!$1:$1,FALSE))),"")</f>
        <v>366.00 (603.90)</v>
      </c>
      <c r="P228" t="str">
        <f>IFERROR(IF(INDEX(Winter!$1:$1048576,MATCH(All!$A228,Winter!$A:$A,FALSE),MATCH(All!P$1,Winter!$1:$1,FALSE))="","",INDEX(Winter!$1:$1048576,MATCH(All!$A228,Winter!$A:$A,FALSE),MATCH(All!P$1,Winter!$1:$1,FALSE))),"")</f>
        <v/>
      </c>
      <c r="Q228" t="str">
        <f>IFERROR(IF(INDEX(Winter!$1:$1048576,MATCH(All!$A228,Winter!$A:$A,FALSE),MATCH(All!Q$1,Winter!$1:$1,FALSE))="","",INDEX(Winter!$1:$1048576,MATCH(All!$A228,Winter!$A:$A,FALSE),MATCH(All!Q$1,Winter!$1:$1,FALSE))),"")</f>
        <v/>
      </c>
      <c r="R228" t="str">
        <f>IFERROR(IF(INDEX(Winter!$1:$1048576,MATCH(All!$A228,Winter!$A:$A,FALSE),MATCH(All!R$1,Winter!$1:$1,FALSE))="","",INDEX(Winter!$1:$1048576,MATCH(All!$A228,Winter!$A:$A,FALSE),MATCH(All!R$1,Winter!$1:$1,FALSE))),"")</f>
        <v/>
      </c>
      <c r="S228" t="str">
        <f>IFERROR(IF(INDEX(Winter!$1:$1048576,MATCH(All!$A228,Winter!$A:$A,FALSE),MATCH(All!S$1,Winter!$1:$1,FALSE))="","",INDEX(Winter!$1:$1048576,MATCH(All!$A228,Winter!$A:$A,FALSE),MATCH(All!S$1,Winter!$1:$1,FALSE))),"")</f>
        <v/>
      </c>
      <c r="T228" t="str">
        <f>IFERROR(IF(INDEX(Winter!$1:$1048576,MATCH(All!$A228,Winter!$A:$A,FALSE),MATCH(All!T$1,Winter!$1:$1,FALSE))="","",INDEX(Winter!$1:$1048576,MATCH(All!$A228,Winter!$A:$A,FALSE),MATCH(All!T$1,Winter!$1:$1,FALSE))),"")</f>
        <v/>
      </c>
      <c r="U228" t="str">
        <f>IFERROR(IF(INDEX(Winter!$1:$1048576,MATCH(All!$A228,Winter!$A:$A,FALSE),MATCH(All!U$1,Winter!$1:$1,FALSE))="","",INDEX(Winter!$1:$1048576,MATCH(All!$A228,Winter!$A:$A,FALSE),MATCH(All!U$1,Winter!$1:$1,FALSE))),"")</f>
        <v>1A</v>
      </c>
      <c r="W228" t="str">
        <f>IFERROR(IF(INDEX(Spring!$1:$1048576,MATCH(All!$A228,Spring!$A:$A,FALSE),MATCH(All!W$1,Spring!$1:$1,FALSE))="","",INDEX(Spring!$1:$1048576,MATCH(All!$A228,Spring!$A:$A,FALSE),MATCH(All!W$1,Spring!$1:$1,FALSE))),"")</f>
        <v/>
      </c>
      <c r="X228" t="str">
        <f>IFERROR(IF(INDEX(Spring!$1:$1048576,MATCH(All!$A228,Spring!$A:$A,FALSE),MATCH(All!X$1,Spring!$1:$1,FALSE))="","",INDEX(Spring!$1:$1048576,MATCH(All!$A228,Spring!$A:$A,FALSE),MATCH(All!X$1,Spring!$1:$1,FALSE))),"")</f>
        <v/>
      </c>
      <c r="Y228" t="str">
        <f>IFERROR(IF(INDEX(Spring!$1:$1048576,MATCH(All!$A228,Spring!$A:$A,FALSE),MATCH(All!Y$1,Spring!$1:$1,FALSE))="","",INDEX(Spring!$1:$1048576,MATCH(All!$A228,Spring!$A:$A,FALSE),MATCH(All!Y$1,Spring!$1:$1,FALSE))),"")</f>
        <v/>
      </c>
      <c r="Z228" t="str">
        <f>IFERROR(IF(INDEX(Spring!$1:$1048576,MATCH(All!$A228,Spring!$A:$A,FALSE),MATCH(All!Z$1,Spring!$1:$1,FALSE))="","",INDEX(Spring!$1:$1048576,MATCH(All!$A228,Spring!$A:$A,FALSE),MATCH(All!Z$1,Spring!$1:$1,FALSE))),"")</f>
        <v/>
      </c>
      <c r="AA228" t="str">
        <f>IFERROR(IF(INDEX(Spring!$1:$1048576,MATCH(All!$A228,Spring!$A:$A,FALSE),MATCH(All!AA$1,Spring!$1:$1,FALSE))="","",INDEX(Spring!$1:$1048576,MATCH(All!$A228,Spring!$A:$A,FALSE),MATCH(All!AA$1,Spring!$1:$1,FALSE))),"")</f>
        <v/>
      </c>
      <c r="AB228" t="str">
        <f>IFERROR(IF(INDEX(Spring!$1:$1048576,MATCH(All!$A228,Spring!$A:$A,FALSE),MATCH(All!AB$1,Spring!$1:$1,FALSE))="","",INDEX(Spring!$1:$1048576,MATCH(All!$A228,Spring!$A:$A,FALSE),MATCH(All!AB$1,Spring!$1:$1,FALSE))),"")</f>
        <v/>
      </c>
      <c r="AC228" t="str">
        <f>IFERROR(IF(INDEX(Spring!$1:$1048576,MATCH(All!$A228,Spring!$A:$A,FALSE),MATCH(All!AC$1,Spring!$1:$1,FALSE))="","",INDEX(Spring!$1:$1048576,MATCH(All!$A228,Spring!$A:$A,FALSE),MATCH(All!AC$1,Spring!$1:$1,FALSE))),"")</f>
        <v/>
      </c>
      <c r="AD228" t="str">
        <f>IFERROR(VLOOKUP(A228,'Flag Football'!A:A,1,FALSE),"")</f>
        <v/>
      </c>
      <c r="AE228" t="str">
        <f t="shared" si="3"/>
        <v/>
      </c>
    </row>
    <row r="229" spans="1:31" ht="15.75" thickBot="1" x14ac:dyDescent="0.3">
      <c r="A229" s="18" t="s">
        <v>293</v>
      </c>
      <c r="B229" s="38" t="str">
        <f>IFERROR(VLOOKUP(A229,'Public v Private'!A:G,3,FALSE),"")</f>
        <v>no</v>
      </c>
      <c r="C229" s="38">
        <f>IFERROR(VLOOKUP(A229,'Public v Private'!A:G,4,FALSE),"")</f>
        <v>0</v>
      </c>
      <c r="D229" s="38">
        <f>IFERROR(VLOOKUP(A229,'Public v Private'!A:G,5,FALSE),"")</f>
        <v>0</v>
      </c>
      <c r="E229" s="38"/>
      <c r="F229" s="40" t="str">
        <f>IFERROR(INDEX(Fall!$1:$1048576,MATCH(All!$A229,Fall!$A:$A,FALSE),MATCH(All!F$1,Fall!$1:$1,FALSE)),"N/A")</f>
        <v>1,163.00 (1,918.95)</v>
      </c>
      <c r="G229" t="str">
        <f>IFERROR(IF(INDEX(Fall!$1:$1048576,MATCH(All!$A229,Fall!$A:$A,FALSE),MATCH(All!G$1,Fall!$1:$1,FALSE))="","",INDEX(Fall!$1:$1048576,MATCH(All!$A229,Fall!$A:$A,FALSE),MATCH(All!G$1,Fall!$1:$1,FALSE))),"")</f>
        <v>3A</v>
      </c>
      <c r="H229" t="str">
        <f>IFERROR(IF(INDEX(Fall!$1:$1048576,MATCH(All!$A229,Fall!$A:$A,FALSE),MATCH(All!H$1,Fall!$1:$1,FALSE))="","",INDEX(Fall!$1:$1048576,MATCH(All!$A229,Fall!$A:$A,FALSE),MATCH(All!H$1,Fall!$1:$1,FALSE))),"")</f>
        <v>3A</v>
      </c>
      <c r="I229" t="str">
        <f>IFERROR(IF(INDEX(Fall!$1:$1048576,MATCH(All!$A229,Fall!$A:$A,FALSE),MATCH(All!I$1,Fall!$1:$1,FALSE))="","",INDEX(Fall!$1:$1048576,MATCH(All!$A229,Fall!$A:$A,FALSE),MATCH(All!I$1,Fall!$1:$1,FALSE))),"")</f>
        <v/>
      </c>
      <c r="J229" t="str">
        <f>IFERROR(IF(INDEX(Fall!$1:$1048576,MATCH(All!$A229,Fall!$A:$A,FALSE),MATCH(All!J$1,Fall!$1:$1,FALSE))="","",INDEX(Fall!$1:$1048576,MATCH(All!$A229,Fall!$A:$A,FALSE),MATCH(All!J$1,Fall!$1:$1,FALSE))),"")</f>
        <v/>
      </c>
      <c r="K229" t="str">
        <f>IFERROR(IF(INDEX(Fall!$1:$1048576,MATCH(All!$A229,Fall!$A:$A,FALSE),MATCH(All!K$1,Fall!$1:$1,FALSE))="","",INDEX(Fall!$1:$1048576,MATCH(All!$A229,Fall!$A:$A,FALSE),MATCH(All!K$1,Fall!$1:$1,FALSE))),"")</f>
        <v>3A</v>
      </c>
      <c r="L229" t="str">
        <f>IFERROR(IF(INDEX(Fall!$1:$1048576,MATCH(All!$A229,Fall!$A:$A,FALSE),MATCH(All!L$1,Fall!$1:$1,FALSE))="","",INDEX(Fall!$1:$1048576,MATCH(All!$A229,Fall!$A:$A,FALSE),MATCH(All!L$1,Fall!$1:$1,FALSE))),"")</f>
        <v/>
      </c>
      <c r="M229" t="str">
        <f>IFERROR(IF(INDEX(Fall!$1:$1048576,MATCH(All!$A229,Fall!$A:$A,FALSE),MATCH(All!M$1,Fall!$1:$1,FALSE))="","",INDEX(Fall!$1:$1048576,MATCH(All!$A229,Fall!$A:$A,FALSE),MATCH(All!M$1,Fall!$1:$1,FALSE))),"")</f>
        <v>4A</v>
      </c>
      <c r="O229" t="str">
        <f>IFERROR(IF(INDEX(Winter!$1:$1048576,MATCH(All!$A229,Winter!$A:$A,FALSE),MATCH(All!O$1,Winter!$1:$1,FALSE))="","",INDEX(Winter!$1:$1048576,MATCH(All!$A229,Winter!$A:$A,FALSE),MATCH(All!O$1,Winter!$1:$1,FALSE))),"")</f>
        <v>1,163.00 (1,918.95)</v>
      </c>
      <c r="P229" t="str">
        <f>IFERROR(IF(INDEX(Winter!$1:$1048576,MATCH(All!$A229,Winter!$A:$A,FALSE),MATCH(All!P$1,Winter!$1:$1,FALSE))="","",INDEX(Winter!$1:$1048576,MATCH(All!$A229,Winter!$A:$A,FALSE),MATCH(All!P$1,Winter!$1:$1,FALSE))),"")</f>
        <v>4A</v>
      </c>
      <c r="Q229" t="str">
        <f>IFERROR(IF(INDEX(Winter!$1:$1048576,MATCH(All!$A229,Winter!$A:$A,FALSE),MATCH(All!Q$1,Winter!$1:$1,FALSE))="","",INDEX(Winter!$1:$1048576,MATCH(All!$A229,Winter!$A:$A,FALSE),MATCH(All!Q$1,Winter!$1:$1,FALSE))),"")</f>
        <v>4A</v>
      </c>
      <c r="R229" t="str">
        <f>IFERROR(IF(INDEX(Winter!$1:$1048576,MATCH(All!$A229,Winter!$A:$A,FALSE),MATCH(All!R$1,Winter!$1:$1,FALSE))="","",INDEX(Winter!$1:$1048576,MATCH(All!$A229,Winter!$A:$A,FALSE),MATCH(All!R$1,Winter!$1:$1,FALSE))),"")</f>
        <v/>
      </c>
      <c r="S229" t="str">
        <f>IFERROR(IF(INDEX(Winter!$1:$1048576,MATCH(All!$A229,Winter!$A:$A,FALSE),MATCH(All!S$1,Winter!$1:$1,FALSE))="","",INDEX(Winter!$1:$1048576,MATCH(All!$A229,Winter!$A:$A,FALSE),MATCH(All!S$1,Winter!$1:$1,FALSE))),"")</f>
        <v/>
      </c>
      <c r="T229" t="str">
        <f>IFERROR(IF(INDEX(Winter!$1:$1048576,MATCH(All!$A229,Winter!$A:$A,FALSE),MATCH(All!T$1,Winter!$1:$1,FALSE))="","",INDEX(Winter!$1:$1048576,MATCH(All!$A229,Winter!$A:$A,FALSE),MATCH(All!T$1,Winter!$1:$1,FALSE))),"")</f>
        <v/>
      </c>
      <c r="U229" t="str">
        <f>IFERROR(IF(INDEX(Winter!$1:$1048576,MATCH(All!$A229,Winter!$A:$A,FALSE),MATCH(All!U$1,Winter!$1:$1,FALSE))="","",INDEX(Winter!$1:$1048576,MATCH(All!$A229,Winter!$A:$A,FALSE),MATCH(All!U$1,Winter!$1:$1,FALSE))),"")</f>
        <v/>
      </c>
      <c r="W229" t="str">
        <f>IFERROR(IF(INDEX(Spring!$1:$1048576,MATCH(All!$A229,Spring!$A:$A,FALSE),MATCH(All!W$1,Spring!$1:$1,FALSE))="","",INDEX(Spring!$1:$1048576,MATCH(All!$A229,Spring!$A:$A,FALSE),MATCH(All!W$1,Spring!$1:$1,FALSE))),"")</f>
        <v>1,163.00 (1,918.95)</v>
      </c>
      <c r="X229" t="str">
        <f>IFERROR(IF(INDEX(Spring!$1:$1048576,MATCH(All!$A229,Spring!$A:$A,FALSE),MATCH(All!X$1,Spring!$1:$1,FALSE))="","",INDEX(Spring!$1:$1048576,MATCH(All!$A229,Spring!$A:$A,FALSE),MATCH(All!X$1,Spring!$1:$1,FALSE))),"")</f>
        <v>3A</v>
      </c>
      <c r="Y229" t="str">
        <f>IFERROR(IF(INDEX(Spring!$1:$1048576,MATCH(All!$A229,Spring!$A:$A,FALSE),MATCH(All!Y$1,Spring!$1:$1,FALSE))="","",INDEX(Spring!$1:$1048576,MATCH(All!$A229,Spring!$A:$A,FALSE),MATCH(All!Y$1,Spring!$1:$1,FALSE))),"")</f>
        <v>3A</v>
      </c>
      <c r="Z229" t="str">
        <f>IFERROR(IF(INDEX(Spring!$1:$1048576,MATCH(All!$A229,Spring!$A:$A,FALSE),MATCH(All!Z$1,Spring!$1:$1,FALSE))="","",INDEX(Spring!$1:$1048576,MATCH(All!$A229,Spring!$A:$A,FALSE),MATCH(All!Z$1,Spring!$1:$1,FALSE))),"")</f>
        <v>2A</v>
      </c>
      <c r="AA229" t="str">
        <f>IFERROR(IF(INDEX(Spring!$1:$1048576,MATCH(All!$A229,Spring!$A:$A,FALSE),MATCH(All!AA$1,Spring!$1:$1,FALSE))="","",INDEX(Spring!$1:$1048576,MATCH(All!$A229,Spring!$A:$A,FALSE),MATCH(All!AA$1,Spring!$1:$1,FALSE))),"")</f>
        <v/>
      </c>
      <c r="AB229" t="str">
        <f>IFERROR(IF(INDEX(Spring!$1:$1048576,MATCH(All!$A229,Spring!$A:$A,FALSE),MATCH(All!AB$1,Spring!$1:$1,FALSE))="","",INDEX(Spring!$1:$1048576,MATCH(All!$A229,Spring!$A:$A,FALSE),MATCH(All!AB$1,Spring!$1:$1,FALSE))),"")</f>
        <v>2A</v>
      </c>
      <c r="AC229" t="str">
        <f>IFERROR(IF(INDEX(Spring!$1:$1048576,MATCH(All!$A229,Spring!$A:$A,FALSE),MATCH(All!AC$1,Spring!$1:$1,FALSE))="","",INDEX(Spring!$1:$1048576,MATCH(All!$A229,Spring!$A:$A,FALSE),MATCH(All!AC$1,Spring!$1:$1,FALSE))),"")</f>
        <v>2A</v>
      </c>
      <c r="AD229" t="str">
        <f>IFERROR(VLOOKUP(A229,'Flag Football'!A:A,1,FALSE),"")</f>
        <v/>
      </c>
      <c r="AE229" t="str">
        <f t="shared" si="3"/>
        <v/>
      </c>
    </row>
    <row r="230" spans="1:31" ht="15.75" thickBot="1" x14ac:dyDescent="0.3">
      <c r="A230" s="20" t="s">
        <v>295</v>
      </c>
      <c r="B230" s="38" t="str">
        <f>IFERROR(VLOOKUP(A230,'Public v Private'!A:G,3,FALSE),"")</f>
        <v>private</v>
      </c>
      <c r="C230" s="38">
        <f>IFERROR(VLOOKUP(A230,'Public v Private'!A:G,4,FALSE),"")</f>
        <v>1</v>
      </c>
      <c r="D230" s="38">
        <f>IFERROR(VLOOKUP(A230,'Public v Private'!A:G,5,FALSE),"")</f>
        <v>2</v>
      </c>
      <c r="E230" s="38"/>
      <c r="F230" s="40" t="str">
        <f>IFERROR(INDEX(Fall!$1:$1048576,MATCH(All!$A230,Fall!$A:$A,FALSE),MATCH(All!F$1,Fall!$1:$1,FALSE)),"N/A")</f>
        <v>68.00 (112.20)</v>
      </c>
      <c r="G230" t="str">
        <f>IFERROR(IF(INDEX(Fall!$1:$1048576,MATCH(All!$A230,Fall!$A:$A,FALSE),MATCH(All!G$1,Fall!$1:$1,FALSE))="","",INDEX(Fall!$1:$1048576,MATCH(All!$A230,Fall!$A:$A,FALSE),MATCH(All!G$1,Fall!$1:$1,FALSE))),"")</f>
        <v>1A</v>
      </c>
      <c r="H230" t="str">
        <f>IFERROR(IF(INDEX(Fall!$1:$1048576,MATCH(All!$A230,Fall!$A:$A,FALSE),MATCH(All!H$1,Fall!$1:$1,FALSE))="","",INDEX(Fall!$1:$1048576,MATCH(All!$A230,Fall!$A:$A,FALSE),MATCH(All!H$1,Fall!$1:$1,FALSE))),"")</f>
        <v/>
      </c>
      <c r="I230" t="str">
        <f>IFERROR(IF(INDEX(Fall!$1:$1048576,MATCH(All!$A230,Fall!$A:$A,FALSE),MATCH(All!I$1,Fall!$1:$1,FALSE))="","",INDEX(Fall!$1:$1048576,MATCH(All!$A230,Fall!$A:$A,FALSE),MATCH(All!I$1,Fall!$1:$1,FALSE))),"")</f>
        <v/>
      </c>
      <c r="J230" t="str">
        <f>IFERROR(IF(INDEX(Fall!$1:$1048576,MATCH(All!$A230,Fall!$A:$A,FALSE),MATCH(All!J$1,Fall!$1:$1,FALSE))="","",INDEX(Fall!$1:$1048576,MATCH(All!$A230,Fall!$A:$A,FALSE),MATCH(All!J$1,Fall!$1:$1,FALSE))),"")</f>
        <v/>
      </c>
      <c r="K230" t="str">
        <f>IFERROR(IF(INDEX(Fall!$1:$1048576,MATCH(All!$A230,Fall!$A:$A,FALSE),MATCH(All!K$1,Fall!$1:$1,FALSE))="","",INDEX(Fall!$1:$1048576,MATCH(All!$A230,Fall!$A:$A,FALSE),MATCH(All!K$1,Fall!$1:$1,FALSE))),"")</f>
        <v/>
      </c>
      <c r="L230" t="str">
        <f>IFERROR(IF(INDEX(Fall!$1:$1048576,MATCH(All!$A230,Fall!$A:$A,FALSE),MATCH(All!L$1,Fall!$1:$1,FALSE))="","",INDEX(Fall!$1:$1048576,MATCH(All!$A230,Fall!$A:$A,FALSE),MATCH(All!L$1,Fall!$1:$1,FALSE))),"")</f>
        <v/>
      </c>
      <c r="M230" t="str">
        <f>IFERROR(IF(INDEX(Fall!$1:$1048576,MATCH(All!$A230,Fall!$A:$A,FALSE),MATCH(All!M$1,Fall!$1:$1,FALSE))="","",INDEX(Fall!$1:$1048576,MATCH(All!$A230,Fall!$A:$A,FALSE),MATCH(All!M$1,Fall!$1:$1,FALSE))),"")</f>
        <v>1A</v>
      </c>
      <c r="O230" t="str">
        <f>IFERROR(IF(INDEX(Winter!$1:$1048576,MATCH(All!$A230,Winter!$A:$A,FALSE),MATCH(All!O$1,Winter!$1:$1,FALSE))="","",INDEX(Winter!$1:$1048576,MATCH(All!$A230,Winter!$A:$A,FALSE),MATCH(All!O$1,Winter!$1:$1,FALSE))),"")</f>
        <v>68.00 (112.20)</v>
      </c>
      <c r="P230" t="str">
        <f>IFERROR(IF(INDEX(Winter!$1:$1048576,MATCH(All!$A230,Winter!$A:$A,FALSE),MATCH(All!P$1,Winter!$1:$1,FALSE))="","",INDEX(Winter!$1:$1048576,MATCH(All!$A230,Winter!$A:$A,FALSE),MATCH(All!P$1,Winter!$1:$1,FALSE))),"")</f>
        <v>1A</v>
      </c>
      <c r="Q230" t="str">
        <f>IFERROR(IF(INDEX(Winter!$1:$1048576,MATCH(All!$A230,Winter!$A:$A,FALSE),MATCH(All!Q$1,Winter!$1:$1,FALSE))="","",INDEX(Winter!$1:$1048576,MATCH(All!$A230,Winter!$A:$A,FALSE),MATCH(All!Q$1,Winter!$1:$1,FALSE))),"")</f>
        <v/>
      </c>
      <c r="R230" t="str">
        <f>IFERROR(IF(INDEX(Winter!$1:$1048576,MATCH(All!$A230,Winter!$A:$A,FALSE),MATCH(All!R$1,Winter!$1:$1,FALSE))="","",INDEX(Winter!$1:$1048576,MATCH(All!$A230,Winter!$A:$A,FALSE),MATCH(All!R$1,Winter!$1:$1,FALSE))),"")</f>
        <v/>
      </c>
      <c r="S230" t="str">
        <f>IFERROR(IF(INDEX(Winter!$1:$1048576,MATCH(All!$A230,Winter!$A:$A,FALSE),MATCH(All!S$1,Winter!$1:$1,FALSE))="","",INDEX(Winter!$1:$1048576,MATCH(All!$A230,Winter!$A:$A,FALSE),MATCH(All!S$1,Winter!$1:$1,FALSE))),"")</f>
        <v/>
      </c>
      <c r="T230" t="str">
        <f>IFERROR(IF(INDEX(Winter!$1:$1048576,MATCH(All!$A230,Winter!$A:$A,FALSE),MATCH(All!T$1,Winter!$1:$1,FALSE))="","",INDEX(Winter!$1:$1048576,MATCH(All!$A230,Winter!$A:$A,FALSE),MATCH(All!T$1,Winter!$1:$1,FALSE))),"")</f>
        <v/>
      </c>
      <c r="U230" t="str">
        <f>IFERROR(IF(INDEX(Winter!$1:$1048576,MATCH(All!$A230,Winter!$A:$A,FALSE),MATCH(All!U$1,Winter!$1:$1,FALSE))="","",INDEX(Winter!$1:$1048576,MATCH(All!$A230,Winter!$A:$A,FALSE),MATCH(All!U$1,Winter!$1:$1,FALSE))),"")</f>
        <v/>
      </c>
      <c r="W230" t="str">
        <f>IFERROR(IF(INDEX(Spring!$1:$1048576,MATCH(All!$A230,Spring!$A:$A,FALSE),MATCH(All!W$1,Spring!$1:$1,FALSE))="","",INDEX(Spring!$1:$1048576,MATCH(All!$A230,Spring!$A:$A,FALSE),MATCH(All!W$1,Spring!$1:$1,FALSE))),"")</f>
        <v>68.00 (112.20)</v>
      </c>
      <c r="X230" t="str">
        <f>IFERROR(IF(INDEX(Spring!$1:$1048576,MATCH(All!$A230,Spring!$A:$A,FALSE),MATCH(All!X$1,Spring!$1:$1,FALSE))="","",INDEX(Spring!$1:$1048576,MATCH(All!$A230,Spring!$A:$A,FALSE),MATCH(All!X$1,Spring!$1:$1,FALSE))),"")</f>
        <v/>
      </c>
      <c r="Y230" t="str">
        <f>IFERROR(IF(INDEX(Spring!$1:$1048576,MATCH(All!$A230,Spring!$A:$A,FALSE),MATCH(All!Y$1,Spring!$1:$1,FALSE))="","",INDEX(Spring!$1:$1048576,MATCH(All!$A230,Spring!$A:$A,FALSE),MATCH(All!Y$1,Spring!$1:$1,FALSE))),"")</f>
        <v/>
      </c>
      <c r="Z230" t="str">
        <f>IFERROR(IF(INDEX(Spring!$1:$1048576,MATCH(All!$A230,Spring!$A:$A,FALSE),MATCH(All!Z$1,Spring!$1:$1,FALSE))="","",INDEX(Spring!$1:$1048576,MATCH(All!$A230,Spring!$A:$A,FALSE),MATCH(All!Z$1,Spring!$1:$1,FALSE))),"")</f>
        <v/>
      </c>
      <c r="AA230" t="str">
        <f>IFERROR(IF(INDEX(Spring!$1:$1048576,MATCH(All!$A230,Spring!$A:$A,FALSE),MATCH(All!AA$1,Spring!$1:$1,FALSE))="","",INDEX(Spring!$1:$1048576,MATCH(All!$A230,Spring!$A:$A,FALSE),MATCH(All!AA$1,Spring!$1:$1,FALSE))),"")</f>
        <v/>
      </c>
      <c r="AB230" t="str">
        <f>IFERROR(IF(INDEX(Spring!$1:$1048576,MATCH(All!$A230,Spring!$A:$A,FALSE),MATCH(All!AB$1,Spring!$1:$1,FALSE))="","",INDEX(Spring!$1:$1048576,MATCH(All!$A230,Spring!$A:$A,FALSE),MATCH(All!AB$1,Spring!$1:$1,FALSE))),"")</f>
        <v>1A</v>
      </c>
      <c r="AC230" t="str">
        <f>IFERROR(IF(INDEX(Spring!$1:$1048576,MATCH(All!$A230,Spring!$A:$A,FALSE),MATCH(All!AC$1,Spring!$1:$1,FALSE))="","",INDEX(Spring!$1:$1048576,MATCH(All!$A230,Spring!$A:$A,FALSE),MATCH(All!AC$1,Spring!$1:$1,FALSE))),"")</f>
        <v>1A</v>
      </c>
      <c r="AD230" t="str">
        <f>IFERROR(VLOOKUP(A230,'Flag Football'!A:A,1,FALSE),"")</f>
        <v/>
      </c>
      <c r="AE230" t="str">
        <f t="shared" si="3"/>
        <v/>
      </c>
    </row>
    <row r="231" spans="1:31" ht="15.75" thickBot="1" x14ac:dyDescent="0.3">
      <c r="A231" s="18" t="s">
        <v>297</v>
      </c>
      <c r="B231" s="38" t="str">
        <f>IFERROR(VLOOKUP(A231,'Public v Private'!A:G,3,FALSE),"")</f>
        <v>private</v>
      </c>
      <c r="C231" s="38">
        <f>IFERROR(VLOOKUP(A231,'Public v Private'!A:G,4,FALSE),"")</f>
        <v>1</v>
      </c>
      <c r="D231" s="38">
        <f>IFERROR(VLOOKUP(A231,'Public v Private'!A:G,5,FALSE),"")</f>
        <v>1</v>
      </c>
      <c r="E231" s="38"/>
      <c r="F231" s="40" t="str">
        <f>IFERROR(INDEX(Fall!$1:$1048576,MATCH(All!$A231,Fall!$A:$A,FALSE),MATCH(All!F$1,Fall!$1:$1,FALSE)),"N/A")</f>
        <v>904.00 (1,491.60)</v>
      </c>
      <c r="G231" t="str">
        <f>IFERROR(IF(INDEX(Fall!$1:$1048576,MATCH(All!$A231,Fall!$A:$A,FALSE),MATCH(All!G$1,Fall!$1:$1,FALSE))="","",INDEX(Fall!$1:$1048576,MATCH(All!$A231,Fall!$A:$A,FALSE),MATCH(All!G$1,Fall!$1:$1,FALSE))),"")</f>
        <v/>
      </c>
      <c r="H231" t="str">
        <f>IFERROR(IF(INDEX(Fall!$1:$1048576,MATCH(All!$A231,Fall!$A:$A,FALSE),MATCH(All!H$1,Fall!$1:$1,FALSE))="","",INDEX(Fall!$1:$1048576,MATCH(All!$A231,Fall!$A:$A,FALSE),MATCH(All!H$1,Fall!$1:$1,FALSE))),"")</f>
        <v>2A</v>
      </c>
      <c r="I231" t="str">
        <f>IFERROR(IF(INDEX(Fall!$1:$1048576,MATCH(All!$A231,Fall!$A:$A,FALSE),MATCH(All!I$1,Fall!$1:$1,FALSE))="","",INDEX(Fall!$1:$1048576,MATCH(All!$A231,Fall!$A:$A,FALSE),MATCH(All!I$1,Fall!$1:$1,FALSE))),"")</f>
        <v/>
      </c>
      <c r="J231" t="str">
        <f>IFERROR(IF(INDEX(Fall!$1:$1048576,MATCH(All!$A231,Fall!$A:$A,FALSE),MATCH(All!J$1,Fall!$1:$1,FALSE))="","",INDEX(Fall!$1:$1048576,MATCH(All!$A231,Fall!$A:$A,FALSE),MATCH(All!J$1,Fall!$1:$1,FALSE))),"")</f>
        <v>2A</v>
      </c>
      <c r="K231" t="str">
        <f>IFERROR(IF(INDEX(Fall!$1:$1048576,MATCH(All!$A231,Fall!$A:$A,FALSE),MATCH(All!K$1,Fall!$1:$1,FALSE))="","",INDEX(Fall!$1:$1048576,MATCH(All!$A231,Fall!$A:$A,FALSE),MATCH(All!K$1,Fall!$1:$1,FALSE))),"")</f>
        <v/>
      </c>
      <c r="L231" t="str">
        <f>IFERROR(IF(INDEX(Fall!$1:$1048576,MATCH(All!$A231,Fall!$A:$A,FALSE),MATCH(All!L$1,Fall!$1:$1,FALSE))="","",INDEX(Fall!$1:$1048576,MATCH(All!$A231,Fall!$A:$A,FALSE),MATCH(All!L$1,Fall!$1:$1,FALSE))),"")</f>
        <v>1A</v>
      </c>
      <c r="M231" t="str">
        <f>IFERROR(IF(INDEX(Fall!$1:$1048576,MATCH(All!$A231,Fall!$A:$A,FALSE),MATCH(All!M$1,Fall!$1:$1,FALSE))="","",INDEX(Fall!$1:$1048576,MATCH(All!$A231,Fall!$A:$A,FALSE),MATCH(All!M$1,Fall!$1:$1,FALSE))),"")</f>
        <v>3A</v>
      </c>
      <c r="O231" t="str">
        <f>IFERROR(IF(INDEX(Winter!$1:$1048576,MATCH(All!$A231,Winter!$A:$A,FALSE),MATCH(All!O$1,Winter!$1:$1,FALSE))="","",INDEX(Winter!$1:$1048576,MATCH(All!$A231,Winter!$A:$A,FALSE),MATCH(All!O$1,Winter!$1:$1,FALSE))),"")</f>
        <v>904.00 (1,491.60)</v>
      </c>
      <c r="P231" t="str">
        <f>IFERROR(IF(INDEX(Winter!$1:$1048576,MATCH(All!$A231,Winter!$A:$A,FALSE),MATCH(All!P$1,Winter!$1:$1,FALSE))="","",INDEX(Winter!$1:$1048576,MATCH(All!$A231,Winter!$A:$A,FALSE),MATCH(All!P$1,Winter!$1:$1,FALSE))),"")</f>
        <v/>
      </c>
      <c r="Q231" t="str">
        <f>IFERROR(IF(INDEX(Winter!$1:$1048576,MATCH(All!$A231,Winter!$A:$A,FALSE),MATCH(All!Q$1,Winter!$1:$1,FALSE))="","",INDEX(Winter!$1:$1048576,MATCH(All!$A231,Winter!$A:$A,FALSE),MATCH(All!Q$1,Winter!$1:$1,FALSE))),"")</f>
        <v>3A</v>
      </c>
      <c r="R231" t="str">
        <f>IFERROR(IF(INDEX(Winter!$1:$1048576,MATCH(All!$A231,Winter!$A:$A,FALSE),MATCH(All!R$1,Winter!$1:$1,FALSE))="","",INDEX(Winter!$1:$1048576,MATCH(All!$A231,Winter!$A:$A,FALSE),MATCH(All!R$1,Winter!$1:$1,FALSE))),"")</f>
        <v/>
      </c>
      <c r="S231" t="str">
        <f>IFERROR(IF(INDEX(Winter!$1:$1048576,MATCH(All!$A231,Winter!$A:$A,FALSE),MATCH(All!S$1,Winter!$1:$1,FALSE))="","",INDEX(Winter!$1:$1048576,MATCH(All!$A231,Winter!$A:$A,FALSE),MATCH(All!S$1,Winter!$1:$1,FALSE))),"")</f>
        <v/>
      </c>
      <c r="T231" t="str">
        <f>IFERROR(IF(INDEX(Winter!$1:$1048576,MATCH(All!$A231,Winter!$A:$A,FALSE),MATCH(All!T$1,Winter!$1:$1,FALSE))="","",INDEX(Winter!$1:$1048576,MATCH(All!$A231,Winter!$A:$A,FALSE),MATCH(All!T$1,Winter!$1:$1,FALSE))),"")</f>
        <v/>
      </c>
      <c r="U231" t="str">
        <f>IFERROR(IF(INDEX(Winter!$1:$1048576,MATCH(All!$A231,Winter!$A:$A,FALSE),MATCH(All!U$1,Winter!$1:$1,FALSE))="","",INDEX(Winter!$1:$1048576,MATCH(All!$A231,Winter!$A:$A,FALSE),MATCH(All!U$1,Winter!$1:$1,FALSE))),"")</f>
        <v/>
      </c>
      <c r="W231" t="str">
        <f>IFERROR(IF(INDEX(Spring!$1:$1048576,MATCH(All!$A231,Spring!$A:$A,FALSE),MATCH(All!W$1,Spring!$1:$1,FALSE))="","",INDEX(Spring!$1:$1048576,MATCH(All!$A231,Spring!$A:$A,FALSE),MATCH(All!W$1,Spring!$1:$1,FALSE))),"")</f>
        <v>904.00 (1,491.60)</v>
      </c>
      <c r="X231" t="str">
        <f>IFERROR(IF(INDEX(Spring!$1:$1048576,MATCH(All!$A231,Spring!$A:$A,FALSE),MATCH(All!X$1,Spring!$1:$1,FALSE))="","",INDEX(Spring!$1:$1048576,MATCH(All!$A231,Spring!$A:$A,FALSE),MATCH(All!X$1,Spring!$1:$1,FALSE))),"")</f>
        <v/>
      </c>
      <c r="Y231" t="str">
        <f>IFERROR(IF(INDEX(Spring!$1:$1048576,MATCH(All!$A231,Spring!$A:$A,FALSE),MATCH(All!Y$1,Spring!$1:$1,FALSE))="","",INDEX(Spring!$1:$1048576,MATCH(All!$A231,Spring!$A:$A,FALSE),MATCH(All!Y$1,Spring!$1:$1,FALSE))),"")</f>
        <v>3A</v>
      </c>
      <c r="Z231" t="str">
        <f>IFERROR(IF(INDEX(Spring!$1:$1048576,MATCH(All!$A231,Spring!$A:$A,FALSE),MATCH(All!Z$1,Spring!$1:$1,FALSE))="","",INDEX(Spring!$1:$1048576,MATCH(All!$A231,Spring!$A:$A,FALSE),MATCH(All!Z$1,Spring!$1:$1,FALSE))),"")</f>
        <v>2A</v>
      </c>
      <c r="AA231" t="str">
        <f>IFERROR(IF(INDEX(Spring!$1:$1048576,MATCH(All!$A231,Spring!$A:$A,FALSE),MATCH(All!AA$1,Spring!$1:$1,FALSE))="","",INDEX(Spring!$1:$1048576,MATCH(All!$A231,Spring!$A:$A,FALSE),MATCH(All!AA$1,Spring!$1:$1,FALSE))),"")</f>
        <v/>
      </c>
      <c r="AB231" t="str">
        <f>IFERROR(IF(INDEX(Spring!$1:$1048576,MATCH(All!$A231,Spring!$A:$A,FALSE),MATCH(All!AB$1,Spring!$1:$1,FALSE))="","",INDEX(Spring!$1:$1048576,MATCH(All!$A231,Spring!$A:$A,FALSE),MATCH(All!AB$1,Spring!$1:$1,FALSE))),"")</f>
        <v/>
      </c>
      <c r="AC231" t="str">
        <f>IFERROR(IF(INDEX(Spring!$1:$1048576,MATCH(All!$A231,Spring!$A:$A,FALSE),MATCH(All!AC$1,Spring!$1:$1,FALSE))="","",INDEX(Spring!$1:$1048576,MATCH(All!$A231,Spring!$A:$A,FALSE),MATCH(All!AC$1,Spring!$1:$1,FALSE))),"")</f>
        <v>2A</v>
      </c>
      <c r="AD231" t="str">
        <f>IFERROR(VLOOKUP(A231,'Flag Football'!A:A,1,FALSE),"")</f>
        <v>Chicago (Resurrection)</v>
      </c>
      <c r="AE231" t="str">
        <f t="shared" si="3"/>
        <v>1A</v>
      </c>
    </row>
    <row r="232" spans="1:31" ht="15.75" thickBot="1" x14ac:dyDescent="0.3">
      <c r="A232" s="20" t="s">
        <v>299</v>
      </c>
      <c r="B232" s="38">
        <f>IFERROR(VLOOKUP(A232,'Public v Private'!A:G,3,FALSE),"")</f>
        <v>0</v>
      </c>
      <c r="C232" s="38">
        <f>IFERROR(VLOOKUP(A232,'Public v Private'!A:G,4,FALSE),"")</f>
        <v>0</v>
      </c>
      <c r="D232" s="38">
        <f>IFERROR(VLOOKUP(A232,'Public v Private'!A:G,5,FALSE),"")</f>
        <v>0</v>
      </c>
      <c r="E232" s="38"/>
      <c r="F232" s="40">
        <f>IFERROR(INDEX(Fall!$1:$1048576,MATCH(All!$A232,Fall!$A:$A,FALSE),MATCH(All!F$1,Fall!$1:$1,FALSE)),"N/A")</f>
        <v>304</v>
      </c>
      <c r="G232" t="str">
        <f>IFERROR(IF(INDEX(Fall!$1:$1048576,MATCH(All!$A232,Fall!$A:$A,FALSE),MATCH(All!G$1,Fall!$1:$1,FALSE))="","",INDEX(Fall!$1:$1048576,MATCH(All!$A232,Fall!$A:$A,FALSE),MATCH(All!G$1,Fall!$1:$1,FALSE))),"")</f>
        <v/>
      </c>
      <c r="H232" t="str">
        <f>IFERROR(IF(INDEX(Fall!$1:$1048576,MATCH(All!$A232,Fall!$A:$A,FALSE),MATCH(All!H$1,Fall!$1:$1,FALSE))="","",INDEX(Fall!$1:$1048576,MATCH(All!$A232,Fall!$A:$A,FALSE),MATCH(All!H$1,Fall!$1:$1,FALSE))),"")</f>
        <v/>
      </c>
      <c r="I232" t="str">
        <f>IFERROR(IF(INDEX(Fall!$1:$1048576,MATCH(All!$A232,Fall!$A:$A,FALSE),MATCH(All!I$1,Fall!$1:$1,FALSE))="","",INDEX(Fall!$1:$1048576,MATCH(All!$A232,Fall!$A:$A,FALSE),MATCH(All!I$1,Fall!$1:$1,FALSE))),"")</f>
        <v/>
      </c>
      <c r="J232" t="str">
        <f>IFERROR(IF(INDEX(Fall!$1:$1048576,MATCH(All!$A232,Fall!$A:$A,FALSE),MATCH(All!J$1,Fall!$1:$1,FALSE))="","",INDEX(Fall!$1:$1048576,MATCH(All!$A232,Fall!$A:$A,FALSE),MATCH(All!J$1,Fall!$1:$1,FALSE))),"")</f>
        <v/>
      </c>
      <c r="K232" t="str">
        <f>IFERROR(IF(INDEX(Fall!$1:$1048576,MATCH(All!$A232,Fall!$A:$A,FALSE),MATCH(All!K$1,Fall!$1:$1,FALSE))="","",INDEX(Fall!$1:$1048576,MATCH(All!$A232,Fall!$A:$A,FALSE),MATCH(All!K$1,Fall!$1:$1,FALSE))),"")</f>
        <v>1A</v>
      </c>
      <c r="L232" t="str">
        <f>IFERROR(IF(INDEX(Fall!$1:$1048576,MATCH(All!$A232,Fall!$A:$A,FALSE),MATCH(All!L$1,Fall!$1:$1,FALSE))="","",INDEX(Fall!$1:$1048576,MATCH(All!$A232,Fall!$A:$A,FALSE),MATCH(All!L$1,Fall!$1:$1,FALSE))),"")</f>
        <v/>
      </c>
      <c r="M232" t="str">
        <f>IFERROR(IF(INDEX(Fall!$1:$1048576,MATCH(All!$A232,Fall!$A:$A,FALSE),MATCH(All!M$1,Fall!$1:$1,FALSE))="","",INDEX(Fall!$1:$1048576,MATCH(All!$A232,Fall!$A:$A,FALSE),MATCH(All!M$1,Fall!$1:$1,FALSE))),"")</f>
        <v/>
      </c>
      <c r="O232">
        <f>IFERROR(IF(INDEX(Winter!$1:$1048576,MATCH(All!$A232,Winter!$A:$A,FALSE),MATCH(All!O$1,Winter!$1:$1,FALSE))="","",INDEX(Winter!$1:$1048576,MATCH(All!$A232,Winter!$A:$A,FALSE),MATCH(All!O$1,Winter!$1:$1,FALSE))),"")</f>
        <v>304</v>
      </c>
      <c r="P232" t="str">
        <f>IFERROR(IF(INDEX(Winter!$1:$1048576,MATCH(All!$A232,Winter!$A:$A,FALSE),MATCH(All!P$1,Winter!$1:$1,FALSE))="","",INDEX(Winter!$1:$1048576,MATCH(All!$A232,Winter!$A:$A,FALSE),MATCH(All!P$1,Winter!$1:$1,FALSE))),"")</f>
        <v>2A</v>
      </c>
      <c r="Q232" t="str">
        <f>IFERROR(IF(INDEX(Winter!$1:$1048576,MATCH(All!$A232,Winter!$A:$A,FALSE),MATCH(All!Q$1,Winter!$1:$1,FALSE))="","",INDEX(Winter!$1:$1048576,MATCH(All!$A232,Winter!$A:$A,FALSE),MATCH(All!Q$1,Winter!$1:$1,FALSE))),"")</f>
        <v/>
      </c>
      <c r="R232" t="str">
        <f>IFERROR(IF(INDEX(Winter!$1:$1048576,MATCH(All!$A232,Winter!$A:$A,FALSE),MATCH(All!R$1,Winter!$1:$1,FALSE))="","",INDEX(Winter!$1:$1048576,MATCH(All!$A232,Winter!$A:$A,FALSE),MATCH(All!R$1,Winter!$1:$1,FALSE))),"")</f>
        <v/>
      </c>
      <c r="S232" t="str">
        <f>IFERROR(IF(INDEX(Winter!$1:$1048576,MATCH(All!$A232,Winter!$A:$A,FALSE),MATCH(All!S$1,Winter!$1:$1,FALSE))="","",INDEX(Winter!$1:$1048576,MATCH(All!$A232,Winter!$A:$A,FALSE),MATCH(All!S$1,Winter!$1:$1,FALSE))),"")</f>
        <v/>
      </c>
      <c r="T232" t="str">
        <f>IFERROR(IF(INDEX(Winter!$1:$1048576,MATCH(All!$A232,Winter!$A:$A,FALSE),MATCH(All!T$1,Winter!$1:$1,FALSE))="","",INDEX(Winter!$1:$1048576,MATCH(All!$A232,Winter!$A:$A,FALSE),MATCH(All!T$1,Winter!$1:$1,FALSE))),"")</f>
        <v/>
      </c>
      <c r="U232" t="str">
        <f>IFERROR(IF(INDEX(Winter!$1:$1048576,MATCH(All!$A232,Winter!$A:$A,FALSE),MATCH(All!U$1,Winter!$1:$1,FALSE))="","",INDEX(Winter!$1:$1048576,MATCH(All!$A232,Winter!$A:$A,FALSE),MATCH(All!U$1,Winter!$1:$1,FALSE))),"")</f>
        <v/>
      </c>
      <c r="W232">
        <f>IFERROR(IF(INDEX(Spring!$1:$1048576,MATCH(All!$A232,Spring!$A:$A,FALSE),MATCH(All!W$1,Spring!$1:$1,FALSE))="","",INDEX(Spring!$1:$1048576,MATCH(All!$A232,Spring!$A:$A,FALSE),MATCH(All!W$1,Spring!$1:$1,FALSE))),"")</f>
        <v>304</v>
      </c>
      <c r="X232" t="str">
        <f>IFERROR(IF(INDEX(Spring!$1:$1048576,MATCH(All!$A232,Spring!$A:$A,FALSE),MATCH(All!X$1,Spring!$1:$1,FALSE))="","",INDEX(Spring!$1:$1048576,MATCH(All!$A232,Spring!$A:$A,FALSE),MATCH(All!X$1,Spring!$1:$1,FALSE))),"")</f>
        <v/>
      </c>
      <c r="Y232" t="str">
        <f>IFERROR(IF(INDEX(Spring!$1:$1048576,MATCH(All!$A232,Spring!$A:$A,FALSE),MATCH(All!Y$1,Spring!$1:$1,FALSE))="","",INDEX(Spring!$1:$1048576,MATCH(All!$A232,Spring!$A:$A,FALSE),MATCH(All!Y$1,Spring!$1:$1,FALSE))),"")</f>
        <v/>
      </c>
      <c r="Z232" t="str">
        <f>IFERROR(IF(INDEX(Spring!$1:$1048576,MATCH(All!$A232,Spring!$A:$A,FALSE),MATCH(All!Z$1,Spring!$1:$1,FALSE))="","",INDEX(Spring!$1:$1048576,MATCH(All!$A232,Spring!$A:$A,FALSE),MATCH(All!Z$1,Spring!$1:$1,FALSE))),"")</f>
        <v/>
      </c>
      <c r="AA232" t="str">
        <f>IFERROR(IF(INDEX(Spring!$1:$1048576,MATCH(All!$A232,Spring!$A:$A,FALSE),MATCH(All!AA$1,Spring!$1:$1,FALSE))="","",INDEX(Spring!$1:$1048576,MATCH(All!$A232,Spring!$A:$A,FALSE),MATCH(All!AA$1,Spring!$1:$1,FALSE))),"")</f>
        <v/>
      </c>
      <c r="AB232" t="str">
        <f>IFERROR(IF(INDEX(Spring!$1:$1048576,MATCH(All!$A232,Spring!$A:$A,FALSE),MATCH(All!AB$1,Spring!$1:$1,FALSE))="","",INDEX(Spring!$1:$1048576,MATCH(All!$A232,Spring!$A:$A,FALSE),MATCH(All!AB$1,Spring!$1:$1,FALSE))),"")</f>
        <v>1A</v>
      </c>
      <c r="AC232" t="str">
        <f>IFERROR(IF(INDEX(Spring!$1:$1048576,MATCH(All!$A232,Spring!$A:$A,FALSE),MATCH(All!AC$1,Spring!$1:$1,FALSE))="","",INDEX(Spring!$1:$1048576,MATCH(All!$A232,Spring!$A:$A,FALSE),MATCH(All!AC$1,Spring!$1:$1,FALSE))),"")</f>
        <v/>
      </c>
      <c r="AD232" t="str">
        <f>IFERROR(VLOOKUP(A232,'Flag Football'!A:A,1,FALSE),"")</f>
        <v/>
      </c>
      <c r="AE232" t="str">
        <f t="shared" si="3"/>
        <v/>
      </c>
    </row>
    <row r="233" spans="1:31" ht="15.75" thickBot="1" x14ac:dyDescent="0.3">
      <c r="A233" s="18" t="s">
        <v>300</v>
      </c>
      <c r="B233" s="38" t="str">
        <f>IFERROR(VLOOKUP(A233,'Public v Private'!A:G,3,FALSE),"")</f>
        <v>no</v>
      </c>
      <c r="C233" s="38">
        <f>IFERROR(VLOOKUP(A233,'Public v Private'!A:G,4,FALSE),"")</f>
        <v>0</v>
      </c>
      <c r="D233" s="38">
        <f>IFERROR(VLOOKUP(A233,'Public v Private'!A:G,5,FALSE),"")</f>
        <v>0</v>
      </c>
      <c r="E233" s="38"/>
      <c r="F233" s="40" t="str">
        <f>IFERROR(INDEX(Fall!$1:$1048576,MATCH(All!$A233,Fall!$A:$A,FALSE),MATCH(All!F$1,Fall!$1:$1,FALSE)),"N/A")</f>
        <v>524.00 (864.60)</v>
      </c>
      <c r="G233" t="str">
        <f>IFERROR(IF(INDEX(Fall!$1:$1048576,MATCH(All!$A233,Fall!$A:$A,FALSE),MATCH(All!G$1,Fall!$1:$1,FALSE))="","",INDEX(Fall!$1:$1048576,MATCH(All!$A233,Fall!$A:$A,FALSE),MATCH(All!G$1,Fall!$1:$1,FALSE))),"")</f>
        <v>1A</v>
      </c>
      <c r="H233" t="str">
        <f>IFERROR(IF(INDEX(Fall!$1:$1048576,MATCH(All!$A233,Fall!$A:$A,FALSE),MATCH(All!H$1,Fall!$1:$1,FALSE))="","",INDEX(Fall!$1:$1048576,MATCH(All!$A233,Fall!$A:$A,FALSE),MATCH(All!H$1,Fall!$1:$1,FALSE))),"")</f>
        <v>1A</v>
      </c>
      <c r="I233" t="str">
        <f>IFERROR(IF(INDEX(Fall!$1:$1048576,MATCH(All!$A233,Fall!$A:$A,FALSE),MATCH(All!I$1,Fall!$1:$1,FALSE))="","",INDEX(Fall!$1:$1048576,MATCH(All!$A233,Fall!$A:$A,FALSE),MATCH(All!I$1,Fall!$1:$1,FALSE))),"")</f>
        <v/>
      </c>
      <c r="J233" t="str">
        <f>IFERROR(IF(INDEX(Fall!$1:$1048576,MATCH(All!$A233,Fall!$A:$A,FALSE),MATCH(All!J$1,Fall!$1:$1,FALSE))="","",INDEX(Fall!$1:$1048576,MATCH(All!$A233,Fall!$A:$A,FALSE),MATCH(All!J$1,Fall!$1:$1,FALSE))),"")</f>
        <v>1A</v>
      </c>
      <c r="K233" t="str">
        <f>IFERROR(IF(INDEX(Fall!$1:$1048576,MATCH(All!$A233,Fall!$A:$A,FALSE),MATCH(All!K$1,Fall!$1:$1,FALSE))="","",INDEX(Fall!$1:$1048576,MATCH(All!$A233,Fall!$A:$A,FALSE),MATCH(All!K$1,Fall!$1:$1,FALSE))),"")</f>
        <v>1A</v>
      </c>
      <c r="L233" t="str">
        <f>IFERROR(IF(INDEX(Fall!$1:$1048576,MATCH(All!$A233,Fall!$A:$A,FALSE),MATCH(All!L$1,Fall!$1:$1,FALSE))="","",INDEX(Fall!$1:$1048576,MATCH(All!$A233,Fall!$A:$A,FALSE),MATCH(All!L$1,Fall!$1:$1,FALSE))),"")</f>
        <v/>
      </c>
      <c r="M233" t="str">
        <f>IFERROR(IF(INDEX(Fall!$1:$1048576,MATCH(All!$A233,Fall!$A:$A,FALSE),MATCH(All!M$1,Fall!$1:$1,FALSE))="","",INDEX(Fall!$1:$1048576,MATCH(All!$A233,Fall!$A:$A,FALSE),MATCH(All!M$1,Fall!$1:$1,FALSE))),"")</f>
        <v>2A</v>
      </c>
      <c r="O233" t="str">
        <f>IFERROR(IF(INDEX(Winter!$1:$1048576,MATCH(All!$A233,Winter!$A:$A,FALSE),MATCH(All!O$1,Winter!$1:$1,FALSE))="","",INDEX(Winter!$1:$1048576,MATCH(All!$A233,Winter!$A:$A,FALSE),MATCH(All!O$1,Winter!$1:$1,FALSE))),"")</f>
        <v>524.00 (864.60)</v>
      </c>
      <c r="P233" t="str">
        <f>IFERROR(IF(INDEX(Winter!$1:$1048576,MATCH(All!$A233,Winter!$A:$A,FALSE),MATCH(All!P$1,Winter!$1:$1,FALSE))="","",INDEX(Winter!$1:$1048576,MATCH(All!$A233,Winter!$A:$A,FALSE),MATCH(All!P$1,Winter!$1:$1,FALSE))),"")</f>
        <v/>
      </c>
      <c r="Q233" t="str">
        <f>IFERROR(IF(INDEX(Winter!$1:$1048576,MATCH(All!$A233,Winter!$A:$A,FALSE),MATCH(All!Q$1,Winter!$1:$1,FALSE))="","",INDEX(Winter!$1:$1048576,MATCH(All!$A233,Winter!$A:$A,FALSE),MATCH(All!Q$1,Winter!$1:$1,FALSE))),"")</f>
        <v/>
      </c>
      <c r="R233" t="str">
        <f>IFERROR(IF(INDEX(Winter!$1:$1048576,MATCH(All!$A233,Winter!$A:$A,FALSE),MATCH(All!R$1,Winter!$1:$1,FALSE))="","",INDEX(Winter!$1:$1048576,MATCH(All!$A233,Winter!$A:$A,FALSE),MATCH(All!R$1,Winter!$1:$1,FALSE))),"")</f>
        <v>C</v>
      </c>
      <c r="S233" t="str">
        <f>IFERROR(IF(INDEX(Winter!$1:$1048576,MATCH(All!$A233,Winter!$A:$A,FALSE),MATCH(All!S$1,Winter!$1:$1,FALSE))="","",INDEX(Winter!$1:$1048576,MATCH(All!$A233,Winter!$A:$A,FALSE),MATCH(All!S$1,Winter!$1:$1,FALSE))),"")</f>
        <v/>
      </c>
      <c r="T233" t="str">
        <f>IFERROR(IF(INDEX(Winter!$1:$1048576,MATCH(All!$A233,Winter!$A:$A,FALSE),MATCH(All!T$1,Winter!$1:$1,FALSE))="","",INDEX(Winter!$1:$1048576,MATCH(All!$A233,Winter!$A:$A,FALSE),MATCH(All!T$1,Winter!$1:$1,FALSE))),"")</f>
        <v/>
      </c>
      <c r="U233" t="str">
        <f>IFERROR(IF(INDEX(Winter!$1:$1048576,MATCH(All!$A233,Winter!$A:$A,FALSE),MATCH(All!U$1,Winter!$1:$1,FALSE))="","",INDEX(Winter!$1:$1048576,MATCH(All!$A233,Winter!$A:$A,FALSE),MATCH(All!U$1,Winter!$1:$1,FALSE))),"")</f>
        <v>2A</v>
      </c>
      <c r="W233" t="str">
        <f>IFERROR(IF(INDEX(Spring!$1:$1048576,MATCH(All!$A233,Spring!$A:$A,FALSE),MATCH(All!W$1,Spring!$1:$1,FALSE))="","",INDEX(Spring!$1:$1048576,MATCH(All!$A233,Spring!$A:$A,FALSE),MATCH(All!W$1,Spring!$1:$1,FALSE))),"")</f>
        <v>524.00 (864.60)</v>
      </c>
      <c r="X233" t="str">
        <f>IFERROR(IF(INDEX(Spring!$1:$1048576,MATCH(All!$A233,Spring!$A:$A,FALSE),MATCH(All!X$1,Spring!$1:$1,FALSE))="","",INDEX(Spring!$1:$1048576,MATCH(All!$A233,Spring!$A:$A,FALSE),MATCH(All!X$1,Spring!$1:$1,FALSE))),"")</f>
        <v>2A</v>
      </c>
      <c r="Y233" t="str">
        <f>IFERROR(IF(INDEX(Spring!$1:$1048576,MATCH(All!$A233,Spring!$A:$A,FALSE),MATCH(All!Y$1,Spring!$1:$1,FALSE))="","",INDEX(Spring!$1:$1048576,MATCH(All!$A233,Spring!$A:$A,FALSE),MATCH(All!Y$1,Spring!$1:$1,FALSE))),"")</f>
        <v>2A</v>
      </c>
      <c r="Z233" t="str">
        <f>IFERROR(IF(INDEX(Spring!$1:$1048576,MATCH(All!$A233,Spring!$A:$A,FALSE),MATCH(All!Z$1,Spring!$1:$1,FALSE))="","",INDEX(Spring!$1:$1048576,MATCH(All!$A233,Spring!$A:$A,FALSE),MATCH(All!Z$1,Spring!$1:$1,FALSE))),"")</f>
        <v>1A</v>
      </c>
      <c r="AA233" t="str">
        <f>IFERROR(IF(INDEX(Spring!$1:$1048576,MATCH(All!$A233,Spring!$A:$A,FALSE),MATCH(All!AA$1,Spring!$1:$1,FALSE))="","",INDEX(Spring!$1:$1048576,MATCH(All!$A233,Spring!$A:$A,FALSE),MATCH(All!AA$1,Spring!$1:$1,FALSE))),"")</f>
        <v/>
      </c>
      <c r="AB233" t="str">
        <f>IFERROR(IF(INDEX(Spring!$1:$1048576,MATCH(All!$A233,Spring!$A:$A,FALSE),MATCH(All!AB$1,Spring!$1:$1,FALSE))="","",INDEX(Spring!$1:$1048576,MATCH(All!$A233,Spring!$A:$A,FALSE),MATCH(All!AB$1,Spring!$1:$1,FALSE))),"")</f>
        <v>2A</v>
      </c>
      <c r="AC233" t="str">
        <f>IFERROR(IF(INDEX(Spring!$1:$1048576,MATCH(All!$A233,Spring!$A:$A,FALSE),MATCH(All!AC$1,Spring!$1:$1,FALSE))="","",INDEX(Spring!$1:$1048576,MATCH(All!$A233,Spring!$A:$A,FALSE),MATCH(All!AC$1,Spring!$1:$1,FALSE))),"")</f>
        <v>2A</v>
      </c>
      <c r="AD233" t="str">
        <f>IFERROR(VLOOKUP(A233,'Flag Football'!A:A,1,FALSE),"")</f>
        <v>Chicago (Rickover Naval Academy)</v>
      </c>
      <c r="AE233" t="str">
        <f t="shared" si="3"/>
        <v>1A</v>
      </c>
    </row>
    <row r="234" spans="1:31" ht="15.75" thickBot="1" x14ac:dyDescent="0.3">
      <c r="A234" s="20" t="s">
        <v>302</v>
      </c>
      <c r="B234" s="38">
        <f>IFERROR(VLOOKUP(A234,'Public v Private'!A:G,3,FALSE),"")</f>
        <v>0</v>
      </c>
      <c r="C234" s="38">
        <f>IFERROR(VLOOKUP(A234,'Public v Private'!A:G,4,FALSE),"")</f>
        <v>0</v>
      </c>
      <c r="D234" s="38">
        <f>IFERROR(VLOOKUP(A234,'Public v Private'!A:G,5,FALSE),"")</f>
        <v>0</v>
      </c>
      <c r="E234" s="38"/>
      <c r="F234" s="40">
        <f>IFERROR(INDEX(Fall!$1:$1048576,MATCH(All!$A234,Fall!$A:$A,FALSE),MATCH(All!F$1,Fall!$1:$1,FALSE)),"N/A")</f>
        <v>1057</v>
      </c>
      <c r="G234" t="str">
        <f>IFERROR(IF(INDEX(Fall!$1:$1048576,MATCH(All!$A234,Fall!$A:$A,FALSE),MATCH(All!G$1,Fall!$1:$1,FALSE))="","",INDEX(Fall!$1:$1048576,MATCH(All!$A234,Fall!$A:$A,FALSE),MATCH(All!G$1,Fall!$1:$1,FALSE))),"")</f>
        <v/>
      </c>
      <c r="H234" t="str">
        <f>IFERROR(IF(INDEX(Fall!$1:$1048576,MATCH(All!$A234,Fall!$A:$A,FALSE),MATCH(All!H$1,Fall!$1:$1,FALSE))="","",INDEX(Fall!$1:$1048576,MATCH(All!$A234,Fall!$A:$A,FALSE),MATCH(All!H$1,Fall!$1:$1,FALSE))),"")</f>
        <v/>
      </c>
      <c r="I234" t="str">
        <f>IFERROR(IF(INDEX(Fall!$1:$1048576,MATCH(All!$A234,Fall!$A:$A,FALSE),MATCH(All!I$1,Fall!$1:$1,FALSE))="","",INDEX(Fall!$1:$1048576,MATCH(All!$A234,Fall!$A:$A,FALSE),MATCH(All!I$1,Fall!$1:$1,FALSE))),"")</f>
        <v/>
      </c>
      <c r="J234" t="str">
        <f>IFERROR(IF(INDEX(Fall!$1:$1048576,MATCH(All!$A234,Fall!$A:$A,FALSE),MATCH(All!J$1,Fall!$1:$1,FALSE))="","",INDEX(Fall!$1:$1048576,MATCH(All!$A234,Fall!$A:$A,FALSE),MATCH(All!J$1,Fall!$1:$1,FALSE))),"")</f>
        <v/>
      </c>
      <c r="K234" t="str">
        <f>IFERROR(IF(INDEX(Fall!$1:$1048576,MATCH(All!$A234,Fall!$A:$A,FALSE),MATCH(All!K$1,Fall!$1:$1,FALSE))="","",INDEX(Fall!$1:$1048576,MATCH(All!$A234,Fall!$A:$A,FALSE),MATCH(All!K$1,Fall!$1:$1,FALSE))),"")</f>
        <v>2A</v>
      </c>
      <c r="L234" t="str">
        <f>IFERROR(IF(INDEX(Fall!$1:$1048576,MATCH(All!$A234,Fall!$A:$A,FALSE),MATCH(All!L$1,Fall!$1:$1,FALSE))="","",INDEX(Fall!$1:$1048576,MATCH(All!$A234,Fall!$A:$A,FALSE),MATCH(All!L$1,Fall!$1:$1,FALSE))),"")</f>
        <v/>
      </c>
      <c r="M234" t="str">
        <f>IFERROR(IF(INDEX(Fall!$1:$1048576,MATCH(All!$A234,Fall!$A:$A,FALSE),MATCH(All!M$1,Fall!$1:$1,FALSE))="","",INDEX(Fall!$1:$1048576,MATCH(All!$A234,Fall!$A:$A,FALSE),MATCH(All!M$1,Fall!$1:$1,FALSE))),"")</f>
        <v>3A</v>
      </c>
      <c r="O234">
        <f>IFERROR(IF(INDEX(Winter!$1:$1048576,MATCH(All!$A234,Winter!$A:$A,FALSE),MATCH(All!O$1,Winter!$1:$1,FALSE))="","",INDEX(Winter!$1:$1048576,MATCH(All!$A234,Winter!$A:$A,FALSE),MATCH(All!O$1,Winter!$1:$1,FALSE))),"")</f>
        <v>1057</v>
      </c>
      <c r="P234" t="str">
        <f>IFERROR(IF(INDEX(Winter!$1:$1048576,MATCH(All!$A234,Winter!$A:$A,FALSE),MATCH(All!P$1,Winter!$1:$1,FALSE))="","",INDEX(Winter!$1:$1048576,MATCH(All!$A234,Winter!$A:$A,FALSE),MATCH(All!P$1,Winter!$1:$1,FALSE))),"")</f>
        <v>3A</v>
      </c>
      <c r="Q234" t="str">
        <f>IFERROR(IF(INDEX(Winter!$1:$1048576,MATCH(All!$A234,Winter!$A:$A,FALSE),MATCH(All!Q$1,Winter!$1:$1,FALSE))="","",INDEX(Winter!$1:$1048576,MATCH(All!$A234,Winter!$A:$A,FALSE),MATCH(All!Q$1,Winter!$1:$1,FALSE))),"")</f>
        <v/>
      </c>
      <c r="R234" t="str">
        <f>IFERROR(IF(INDEX(Winter!$1:$1048576,MATCH(All!$A234,Winter!$A:$A,FALSE),MATCH(All!R$1,Winter!$1:$1,FALSE))="","",INDEX(Winter!$1:$1048576,MATCH(All!$A234,Winter!$A:$A,FALSE),MATCH(All!R$1,Winter!$1:$1,FALSE))),"")</f>
        <v/>
      </c>
      <c r="S234" t="str">
        <f>IFERROR(IF(INDEX(Winter!$1:$1048576,MATCH(All!$A234,Winter!$A:$A,FALSE),MATCH(All!S$1,Winter!$1:$1,FALSE))="","",INDEX(Winter!$1:$1048576,MATCH(All!$A234,Winter!$A:$A,FALSE),MATCH(All!S$1,Winter!$1:$1,FALSE))),"")</f>
        <v/>
      </c>
      <c r="T234" t="str">
        <f>IFERROR(IF(INDEX(Winter!$1:$1048576,MATCH(All!$A234,Winter!$A:$A,FALSE),MATCH(All!T$1,Winter!$1:$1,FALSE))="","",INDEX(Winter!$1:$1048576,MATCH(All!$A234,Winter!$A:$A,FALSE),MATCH(All!T$1,Winter!$1:$1,FALSE))),"")</f>
        <v/>
      </c>
      <c r="U234" t="str">
        <f>IFERROR(IF(INDEX(Winter!$1:$1048576,MATCH(All!$A234,Winter!$A:$A,FALSE),MATCH(All!U$1,Winter!$1:$1,FALSE))="","",INDEX(Winter!$1:$1048576,MATCH(All!$A234,Winter!$A:$A,FALSE),MATCH(All!U$1,Winter!$1:$1,FALSE))),"")</f>
        <v/>
      </c>
      <c r="W234">
        <f>IFERROR(IF(INDEX(Spring!$1:$1048576,MATCH(All!$A234,Spring!$A:$A,FALSE),MATCH(All!W$1,Spring!$1:$1,FALSE))="","",INDEX(Spring!$1:$1048576,MATCH(All!$A234,Spring!$A:$A,FALSE),MATCH(All!W$1,Spring!$1:$1,FALSE))),"")</f>
        <v>1057</v>
      </c>
      <c r="X234" t="str">
        <f>IFERROR(IF(INDEX(Spring!$1:$1048576,MATCH(All!$A234,Spring!$A:$A,FALSE),MATCH(All!X$1,Spring!$1:$1,FALSE))="","",INDEX(Spring!$1:$1048576,MATCH(All!$A234,Spring!$A:$A,FALSE),MATCH(All!X$1,Spring!$1:$1,FALSE))),"")</f>
        <v/>
      </c>
      <c r="Y234" t="str">
        <f>IFERROR(IF(INDEX(Spring!$1:$1048576,MATCH(All!$A234,Spring!$A:$A,FALSE),MATCH(All!Y$1,Spring!$1:$1,FALSE))="","",INDEX(Spring!$1:$1048576,MATCH(All!$A234,Spring!$A:$A,FALSE),MATCH(All!Y$1,Spring!$1:$1,FALSE))),"")</f>
        <v/>
      </c>
      <c r="Z234" t="str">
        <f>IFERROR(IF(INDEX(Spring!$1:$1048576,MATCH(All!$A234,Spring!$A:$A,FALSE),MATCH(All!Z$1,Spring!$1:$1,FALSE))="","",INDEX(Spring!$1:$1048576,MATCH(All!$A234,Spring!$A:$A,FALSE),MATCH(All!Z$1,Spring!$1:$1,FALSE))),"")</f>
        <v>2A</v>
      </c>
      <c r="AA234" t="str">
        <f>IFERROR(IF(INDEX(Spring!$1:$1048576,MATCH(All!$A234,Spring!$A:$A,FALSE),MATCH(All!AA$1,Spring!$1:$1,FALSE))="","",INDEX(Spring!$1:$1048576,MATCH(All!$A234,Spring!$A:$A,FALSE),MATCH(All!AA$1,Spring!$1:$1,FALSE))),"")</f>
        <v/>
      </c>
      <c r="AB234" t="str">
        <f>IFERROR(IF(INDEX(Spring!$1:$1048576,MATCH(All!$A234,Spring!$A:$A,FALSE),MATCH(All!AB$1,Spring!$1:$1,FALSE))="","",INDEX(Spring!$1:$1048576,MATCH(All!$A234,Spring!$A:$A,FALSE),MATCH(All!AB$1,Spring!$1:$1,FALSE))),"")</f>
        <v/>
      </c>
      <c r="AC234" t="str">
        <f>IFERROR(IF(INDEX(Spring!$1:$1048576,MATCH(All!$A234,Spring!$A:$A,FALSE),MATCH(All!AC$1,Spring!$1:$1,FALSE))="","",INDEX(Spring!$1:$1048576,MATCH(All!$A234,Spring!$A:$A,FALSE),MATCH(All!AC$1,Spring!$1:$1,FALSE))),"")</f>
        <v/>
      </c>
      <c r="AD234" t="str">
        <f>IFERROR(VLOOKUP(A234,'Flag Football'!A:A,1,FALSE),"")</f>
        <v>Chicago (Roosevelt)</v>
      </c>
      <c r="AE234" t="str">
        <f t="shared" si="3"/>
        <v>1A</v>
      </c>
    </row>
    <row r="235" spans="1:31" ht="15.75" thickBot="1" x14ac:dyDescent="0.3">
      <c r="A235" s="18" t="s">
        <v>303</v>
      </c>
      <c r="B235" s="38">
        <f>IFERROR(VLOOKUP(A235,'Public v Private'!A:G,3,FALSE),"")</f>
        <v>0</v>
      </c>
      <c r="C235" s="38">
        <f>IFERROR(VLOOKUP(A235,'Public v Private'!A:G,4,FALSE),"")</f>
        <v>0</v>
      </c>
      <c r="D235" s="38">
        <f>IFERROR(VLOOKUP(A235,'Public v Private'!A:G,5,FALSE),"")</f>
        <v>0</v>
      </c>
      <c r="E235" s="38"/>
      <c r="F235" s="40">
        <f>IFERROR(INDEX(Fall!$1:$1048576,MATCH(All!$A235,Fall!$A:$A,FALSE),MATCH(All!F$1,Fall!$1:$1,FALSE)),"N/A")</f>
        <v>1123</v>
      </c>
      <c r="G235" t="str">
        <f>IFERROR(IF(INDEX(Fall!$1:$1048576,MATCH(All!$A235,Fall!$A:$A,FALSE),MATCH(All!G$1,Fall!$1:$1,FALSE))="","",INDEX(Fall!$1:$1048576,MATCH(All!$A235,Fall!$A:$A,FALSE),MATCH(All!G$1,Fall!$1:$1,FALSE))),"")</f>
        <v/>
      </c>
      <c r="H235" t="str">
        <f>IFERROR(IF(INDEX(Fall!$1:$1048576,MATCH(All!$A235,Fall!$A:$A,FALSE),MATCH(All!H$1,Fall!$1:$1,FALSE))="","",INDEX(Fall!$1:$1048576,MATCH(All!$A235,Fall!$A:$A,FALSE),MATCH(All!H$1,Fall!$1:$1,FALSE))),"")</f>
        <v/>
      </c>
      <c r="I235" t="str">
        <f>IFERROR(IF(INDEX(Fall!$1:$1048576,MATCH(All!$A235,Fall!$A:$A,FALSE),MATCH(All!I$1,Fall!$1:$1,FALSE))="","",INDEX(Fall!$1:$1048576,MATCH(All!$A235,Fall!$A:$A,FALSE),MATCH(All!I$1,Fall!$1:$1,FALSE))),"")</f>
        <v/>
      </c>
      <c r="J235" t="str">
        <f>IFERROR(IF(INDEX(Fall!$1:$1048576,MATCH(All!$A235,Fall!$A:$A,FALSE),MATCH(All!J$1,Fall!$1:$1,FALSE))="","",INDEX(Fall!$1:$1048576,MATCH(All!$A235,Fall!$A:$A,FALSE),MATCH(All!J$1,Fall!$1:$1,FALSE))),"")</f>
        <v/>
      </c>
      <c r="K235" t="str">
        <f>IFERROR(IF(INDEX(Fall!$1:$1048576,MATCH(All!$A235,Fall!$A:$A,FALSE),MATCH(All!K$1,Fall!$1:$1,FALSE))="","",INDEX(Fall!$1:$1048576,MATCH(All!$A235,Fall!$A:$A,FALSE),MATCH(All!K$1,Fall!$1:$1,FALSE))),"")</f>
        <v>2A</v>
      </c>
      <c r="L235" t="str">
        <f>IFERROR(IF(INDEX(Fall!$1:$1048576,MATCH(All!$A235,Fall!$A:$A,FALSE),MATCH(All!L$1,Fall!$1:$1,FALSE))="","",INDEX(Fall!$1:$1048576,MATCH(All!$A235,Fall!$A:$A,FALSE),MATCH(All!L$1,Fall!$1:$1,FALSE))),"")</f>
        <v/>
      </c>
      <c r="M235" t="str">
        <f>IFERROR(IF(INDEX(Fall!$1:$1048576,MATCH(All!$A235,Fall!$A:$A,FALSE),MATCH(All!M$1,Fall!$1:$1,FALSE))="","",INDEX(Fall!$1:$1048576,MATCH(All!$A235,Fall!$A:$A,FALSE),MATCH(All!M$1,Fall!$1:$1,FALSE))),"")</f>
        <v>3A</v>
      </c>
      <c r="O235">
        <f>IFERROR(IF(INDEX(Winter!$1:$1048576,MATCH(All!$A235,Winter!$A:$A,FALSE),MATCH(All!O$1,Winter!$1:$1,FALSE))="","",INDEX(Winter!$1:$1048576,MATCH(All!$A235,Winter!$A:$A,FALSE),MATCH(All!O$1,Winter!$1:$1,FALSE))),"")</f>
        <v>1123</v>
      </c>
      <c r="P235" t="str">
        <f>IFERROR(IF(INDEX(Winter!$1:$1048576,MATCH(All!$A235,Winter!$A:$A,FALSE),MATCH(All!P$1,Winter!$1:$1,FALSE))="","",INDEX(Winter!$1:$1048576,MATCH(All!$A235,Winter!$A:$A,FALSE),MATCH(All!P$1,Winter!$1:$1,FALSE))),"")</f>
        <v>3A</v>
      </c>
      <c r="Q235" t="str">
        <f>IFERROR(IF(INDEX(Winter!$1:$1048576,MATCH(All!$A235,Winter!$A:$A,FALSE),MATCH(All!Q$1,Winter!$1:$1,FALSE))="","",INDEX(Winter!$1:$1048576,MATCH(All!$A235,Winter!$A:$A,FALSE),MATCH(All!Q$1,Winter!$1:$1,FALSE))),"")</f>
        <v>3A</v>
      </c>
      <c r="R235" t="str">
        <f>IFERROR(IF(INDEX(Winter!$1:$1048576,MATCH(All!$A235,Winter!$A:$A,FALSE),MATCH(All!R$1,Winter!$1:$1,FALSE))="","",INDEX(Winter!$1:$1048576,MATCH(All!$A235,Winter!$A:$A,FALSE),MATCH(All!R$1,Winter!$1:$1,FALSE))),"")</f>
        <v/>
      </c>
      <c r="S235" t="str">
        <f>IFERROR(IF(INDEX(Winter!$1:$1048576,MATCH(All!$A235,Winter!$A:$A,FALSE),MATCH(All!S$1,Winter!$1:$1,FALSE))="","",INDEX(Winter!$1:$1048576,MATCH(All!$A235,Winter!$A:$A,FALSE),MATCH(All!S$1,Winter!$1:$1,FALSE))),"")</f>
        <v/>
      </c>
      <c r="T235" t="str">
        <f>IFERROR(IF(INDEX(Winter!$1:$1048576,MATCH(All!$A235,Winter!$A:$A,FALSE),MATCH(All!T$1,Winter!$1:$1,FALSE))="","",INDEX(Winter!$1:$1048576,MATCH(All!$A235,Winter!$A:$A,FALSE),MATCH(All!T$1,Winter!$1:$1,FALSE))),"")</f>
        <v/>
      </c>
      <c r="U235" t="str">
        <f>IFERROR(IF(INDEX(Winter!$1:$1048576,MATCH(All!$A235,Winter!$A:$A,FALSE),MATCH(All!U$1,Winter!$1:$1,FALSE))="","",INDEX(Winter!$1:$1048576,MATCH(All!$A235,Winter!$A:$A,FALSE),MATCH(All!U$1,Winter!$1:$1,FALSE))),"")</f>
        <v>2A</v>
      </c>
      <c r="W235">
        <f>IFERROR(IF(INDEX(Spring!$1:$1048576,MATCH(All!$A235,Spring!$A:$A,FALSE),MATCH(All!W$1,Spring!$1:$1,FALSE))="","",INDEX(Spring!$1:$1048576,MATCH(All!$A235,Spring!$A:$A,FALSE),MATCH(All!W$1,Spring!$1:$1,FALSE))),"")</f>
        <v>1123</v>
      </c>
      <c r="X235" t="str">
        <f>IFERROR(IF(INDEX(Spring!$1:$1048576,MATCH(All!$A235,Spring!$A:$A,FALSE),MATCH(All!X$1,Spring!$1:$1,FALSE))="","",INDEX(Spring!$1:$1048576,MATCH(All!$A235,Spring!$A:$A,FALSE),MATCH(All!X$1,Spring!$1:$1,FALSE))),"")</f>
        <v/>
      </c>
      <c r="Y235" t="str">
        <f>IFERROR(IF(INDEX(Spring!$1:$1048576,MATCH(All!$A235,Spring!$A:$A,FALSE),MATCH(All!Y$1,Spring!$1:$1,FALSE))="","",INDEX(Spring!$1:$1048576,MATCH(All!$A235,Spring!$A:$A,FALSE),MATCH(All!Y$1,Spring!$1:$1,FALSE))),"")</f>
        <v>3A</v>
      </c>
      <c r="Z235" t="str">
        <f>IFERROR(IF(INDEX(Spring!$1:$1048576,MATCH(All!$A235,Spring!$A:$A,FALSE),MATCH(All!Z$1,Spring!$1:$1,FALSE))="","",INDEX(Spring!$1:$1048576,MATCH(All!$A235,Spring!$A:$A,FALSE),MATCH(All!Z$1,Spring!$1:$1,FALSE))),"")</f>
        <v>2A</v>
      </c>
      <c r="AA235" t="str">
        <f>IFERROR(IF(INDEX(Spring!$1:$1048576,MATCH(All!$A235,Spring!$A:$A,FALSE),MATCH(All!AA$1,Spring!$1:$1,FALSE))="","",INDEX(Spring!$1:$1048576,MATCH(All!$A235,Spring!$A:$A,FALSE),MATCH(All!AA$1,Spring!$1:$1,FALSE))),"")</f>
        <v/>
      </c>
      <c r="AB235" t="str">
        <f>IFERROR(IF(INDEX(Spring!$1:$1048576,MATCH(All!$A235,Spring!$A:$A,FALSE),MATCH(All!AB$1,Spring!$1:$1,FALSE))="","",INDEX(Spring!$1:$1048576,MATCH(All!$A235,Spring!$A:$A,FALSE),MATCH(All!AB$1,Spring!$1:$1,FALSE))),"")</f>
        <v>2A</v>
      </c>
      <c r="AC235" t="str">
        <f>IFERROR(IF(INDEX(Spring!$1:$1048576,MATCH(All!$A235,Spring!$A:$A,FALSE),MATCH(All!AC$1,Spring!$1:$1,FALSE))="","",INDEX(Spring!$1:$1048576,MATCH(All!$A235,Spring!$A:$A,FALSE),MATCH(All!AC$1,Spring!$1:$1,FALSE))),"")</f>
        <v>2A</v>
      </c>
      <c r="AD235" t="str">
        <f>IFERROR(VLOOKUP(A235,'Flag Football'!A:A,1,FALSE),"")</f>
        <v>Chicago (Schurz)</v>
      </c>
      <c r="AE235" t="str">
        <f t="shared" si="3"/>
        <v>1A</v>
      </c>
    </row>
    <row r="236" spans="1:31" ht="15.75" thickBot="1" x14ac:dyDescent="0.3">
      <c r="A236" s="20" t="s">
        <v>304</v>
      </c>
      <c r="B236" s="38">
        <f>IFERROR(VLOOKUP(A236,'Public v Private'!A:G,3,FALSE),"")</f>
        <v>0</v>
      </c>
      <c r="C236" s="38">
        <f>IFERROR(VLOOKUP(A236,'Public v Private'!A:G,4,FALSE),"")</f>
        <v>0</v>
      </c>
      <c r="D236" s="38">
        <f>IFERROR(VLOOKUP(A236,'Public v Private'!A:G,5,FALSE),"")</f>
        <v>0</v>
      </c>
      <c r="E236" s="38"/>
      <c r="F236" s="40">
        <f>IFERROR(INDEX(Fall!$1:$1048576,MATCH(All!$A236,Fall!$A:$A,FALSE),MATCH(All!F$1,Fall!$1:$1,FALSE)),"N/A")</f>
        <v>1494</v>
      </c>
      <c r="G236" t="str">
        <f>IFERROR(IF(INDEX(Fall!$1:$1048576,MATCH(All!$A236,Fall!$A:$A,FALSE),MATCH(All!G$1,Fall!$1:$1,FALSE))="","",INDEX(Fall!$1:$1048576,MATCH(All!$A236,Fall!$A:$A,FALSE),MATCH(All!G$1,Fall!$1:$1,FALSE))),"")</f>
        <v>2A</v>
      </c>
      <c r="H236" t="str">
        <f>IFERROR(IF(INDEX(Fall!$1:$1048576,MATCH(All!$A236,Fall!$A:$A,FALSE),MATCH(All!H$1,Fall!$1:$1,FALSE))="","",INDEX(Fall!$1:$1048576,MATCH(All!$A236,Fall!$A:$A,FALSE),MATCH(All!H$1,Fall!$1:$1,FALSE))),"")</f>
        <v>2A</v>
      </c>
      <c r="I236" t="str">
        <f>IFERROR(IF(INDEX(Fall!$1:$1048576,MATCH(All!$A236,Fall!$A:$A,FALSE),MATCH(All!I$1,Fall!$1:$1,FALSE))="","",INDEX(Fall!$1:$1048576,MATCH(All!$A236,Fall!$A:$A,FALSE),MATCH(All!I$1,Fall!$1:$1,FALSE))),"")</f>
        <v/>
      </c>
      <c r="J236" t="str">
        <f>IFERROR(IF(INDEX(Fall!$1:$1048576,MATCH(All!$A236,Fall!$A:$A,FALSE),MATCH(All!J$1,Fall!$1:$1,FALSE))="","",INDEX(Fall!$1:$1048576,MATCH(All!$A236,Fall!$A:$A,FALSE),MATCH(All!J$1,Fall!$1:$1,FALSE))),"")</f>
        <v/>
      </c>
      <c r="K236" t="str">
        <f>IFERROR(IF(INDEX(Fall!$1:$1048576,MATCH(All!$A236,Fall!$A:$A,FALSE),MATCH(All!K$1,Fall!$1:$1,FALSE))="","",INDEX(Fall!$1:$1048576,MATCH(All!$A236,Fall!$A:$A,FALSE),MATCH(All!K$1,Fall!$1:$1,FALSE))),"")</f>
        <v>2A</v>
      </c>
      <c r="L236" t="str">
        <f>IFERROR(IF(INDEX(Fall!$1:$1048576,MATCH(All!$A236,Fall!$A:$A,FALSE),MATCH(All!L$1,Fall!$1:$1,FALSE))="","",INDEX(Fall!$1:$1048576,MATCH(All!$A236,Fall!$A:$A,FALSE),MATCH(All!L$1,Fall!$1:$1,FALSE))),"")</f>
        <v>2A</v>
      </c>
      <c r="M236" t="str">
        <f>IFERROR(IF(INDEX(Fall!$1:$1048576,MATCH(All!$A236,Fall!$A:$A,FALSE),MATCH(All!M$1,Fall!$1:$1,FALSE))="","",INDEX(Fall!$1:$1048576,MATCH(All!$A236,Fall!$A:$A,FALSE),MATCH(All!M$1,Fall!$1:$1,FALSE))),"")</f>
        <v>3A</v>
      </c>
      <c r="O236">
        <f>IFERROR(IF(INDEX(Winter!$1:$1048576,MATCH(All!$A236,Winter!$A:$A,FALSE),MATCH(All!O$1,Winter!$1:$1,FALSE))="","",INDEX(Winter!$1:$1048576,MATCH(All!$A236,Winter!$A:$A,FALSE),MATCH(All!O$1,Winter!$1:$1,FALSE))),"")</f>
        <v>1494</v>
      </c>
      <c r="P236" t="str">
        <f>IFERROR(IF(INDEX(Winter!$1:$1048576,MATCH(All!$A236,Winter!$A:$A,FALSE),MATCH(All!P$1,Winter!$1:$1,FALSE))="","",INDEX(Winter!$1:$1048576,MATCH(All!$A236,Winter!$A:$A,FALSE),MATCH(All!P$1,Winter!$1:$1,FALSE))),"")</f>
        <v>3A</v>
      </c>
      <c r="Q236" t="str">
        <f>IFERROR(IF(INDEX(Winter!$1:$1048576,MATCH(All!$A236,Winter!$A:$A,FALSE),MATCH(All!Q$1,Winter!$1:$1,FALSE))="","",INDEX(Winter!$1:$1048576,MATCH(All!$A236,Winter!$A:$A,FALSE),MATCH(All!Q$1,Winter!$1:$1,FALSE))),"")</f>
        <v>3A</v>
      </c>
      <c r="R236" t="str">
        <f>IFERROR(IF(INDEX(Winter!$1:$1048576,MATCH(All!$A236,Winter!$A:$A,FALSE),MATCH(All!R$1,Winter!$1:$1,FALSE))="","",INDEX(Winter!$1:$1048576,MATCH(All!$A236,Winter!$A:$A,FALSE),MATCH(All!R$1,Winter!$1:$1,FALSE))),"")</f>
        <v/>
      </c>
      <c r="S236" t="str">
        <f>IFERROR(IF(INDEX(Winter!$1:$1048576,MATCH(All!$A236,Winter!$A:$A,FALSE),MATCH(All!S$1,Winter!$1:$1,FALSE))="","",INDEX(Winter!$1:$1048576,MATCH(All!$A236,Winter!$A:$A,FALSE),MATCH(All!S$1,Winter!$1:$1,FALSE))),"")</f>
        <v/>
      </c>
      <c r="T236" t="str">
        <f>IFERROR(IF(INDEX(Winter!$1:$1048576,MATCH(All!$A236,Winter!$A:$A,FALSE),MATCH(All!T$1,Winter!$1:$1,FALSE))="","",INDEX(Winter!$1:$1048576,MATCH(All!$A236,Winter!$A:$A,FALSE),MATCH(All!T$1,Winter!$1:$1,FALSE))),"")</f>
        <v/>
      </c>
      <c r="U236" t="str">
        <f>IFERROR(IF(INDEX(Winter!$1:$1048576,MATCH(All!$A236,Winter!$A:$A,FALSE),MATCH(All!U$1,Winter!$1:$1,FALSE))="","",INDEX(Winter!$1:$1048576,MATCH(All!$A236,Winter!$A:$A,FALSE),MATCH(All!U$1,Winter!$1:$1,FALSE))),"")</f>
        <v>2A</v>
      </c>
      <c r="W236">
        <f>IFERROR(IF(INDEX(Spring!$1:$1048576,MATCH(All!$A236,Spring!$A:$A,FALSE),MATCH(All!W$1,Spring!$1:$1,FALSE))="","",INDEX(Spring!$1:$1048576,MATCH(All!$A236,Spring!$A:$A,FALSE),MATCH(All!W$1,Spring!$1:$1,FALSE))),"")</f>
        <v>1494</v>
      </c>
      <c r="X236" t="str">
        <f>IFERROR(IF(INDEX(Spring!$1:$1048576,MATCH(All!$A236,Spring!$A:$A,FALSE),MATCH(All!X$1,Spring!$1:$1,FALSE))="","",INDEX(Spring!$1:$1048576,MATCH(All!$A236,Spring!$A:$A,FALSE),MATCH(All!X$1,Spring!$1:$1,FALSE))),"")</f>
        <v/>
      </c>
      <c r="Y236" t="str">
        <f>IFERROR(IF(INDEX(Spring!$1:$1048576,MATCH(All!$A236,Spring!$A:$A,FALSE),MATCH(All!Y$1,Spring!$1:$1,FALSE))="","",INDEX(Spring!$1:$1048576,MATCH(All!$A236,Spring!$A:$A,FALSE),MATCH(All!Y$1,Spring!$1:$1,FALSE))),"")</f>
        <v>3A</v>
      </c>
      <c r="Z236" t="str">
        <f>IFERROR(IF(INDEX(Spring!$1:$1048576,MATCH(All!$A236,Spring!$A:$A,FALSE),MATCH(All!Z$1,Spring!$1:$1,FALSE))="","",INDEX(Spring!$1:$1048576,MATCH(All!$A236,Spring!$A:$A,FALSE),MATCH(All!Z$1,Spring!$1:$1,FALSE))),"")</f>
        <v>2A</v>
      </c>
      <c r="AA236" t="str">
        <f>IFERROR(IF(INDEX(Spring!$1:$1048576,MATCH(All!$A236,Spring!$A:$A,FALSE),MATCH(All!AA$1,Spring!$1:$1,FALSE))="","",INDEX(Spring!$1:$1048576,MATCH(All!$A236,Spring!$A:$A,FALSE),MATCH(All!AA$1,Spring!$1:$1,FALSE))),"")</f>
        <v>2A</v>
      </c>
      <c r="AB236" t="str">
        <f>IFERROR(IF(INDEX(Spring!$1:$1048576,MATCH(All!$A236,Spring!$A:$A,FALSE),MATCH(All!AB$1,Spring!$1:$1,FALSE))="","",INDEX(Spring!$1:$1048576,MATCH(All!$A236,Spring!$A:$A,FALSE),MATCH(All!AB$1,Spring!$1:$1,FALSE))),"")</f>
        <v>3A</v>
      </c>
      <c r="AC236" t="str">
        <f>IFERROR(IF(INDEX(Spring!$1:$1048576,MATCH(All!$A236,Spring!$A:$A,FALSE),MATCH(All!AC$1,Spring!$1:$1,FALSE))="","",INDEX(Spring!$1:$1048576,MATCH(All!$A236,Spring!$A:$A,FALSE),MATCH(All!AC$1,Spring!$1:$1,FALSE))),"")</f>
        <v>3A</v>
      </c>
      <c r="AD236" t="str">
        <f>IFERROR(VLOOKUP(A236,'Flag Football'!A:A,1,FALSE),"")</f>
        <v>Chicago (Senn)</v>
      </c>
      <c r="AE236" t="str">
        <f t="shared" si="3"/>
        <v>1A</v>
      </c>
    </row>
    <row r="237" spans="1:31" ht="15.75" thickBot="1" x14ac:dyDescent="0.3">
      <c r="A237" s="18" t="s">
        <v>305</v>
      </c>
      <c r="B237" s="38" t="str">
        <f>IFERROR(VLOOKUP(A237,'Public v Private'!A:G,3,FALSE),"")</f>
        <v>no</v>
      </c>
      <c r="C237" s="38">
        <f>IFERROR(VLOOKUP(A237,'Public v Private'!A:G,4,FALSE),"")</f>
        <v>0</v>
      </c>
      <c r="D237" s="38">
        <f>IFERROR(VLOOKUP(A237,'Public v Private'!A:G,5,FALSE),"")</f>
        <v>0</v>
      </c>
      <c r="E237" s="38"/>
      <c r="F237" s="40" t="str">
        <f>IFERROR(INDEX(Fall!$1:$1048576,MATCH(All!$A237,Fall!$A:$A,FALSE),MATCH(All!F$1,Fall!$1:$1,FALSE)),"N/A")</f>
        <v>1,044.00 (1,722.60)</v>
      </c>
      <c r="G237" t="str">
        <f>IFERROR(IF(INDEX(Fall!$1:$1048576,MATCH(All!$A237,Fall!$A:$A,FALSE),MATCH(All!G$1,Fall!$1:$1,FALSE))="","",INDEX(Fall!$1:$1048576,MATCH(All!$A237,Fall!$A:$A,FALSE),MATCH(All!G$1,Fall!$1:$1,FALSE))),"")</f>
        <v/>
      </c>
      <c r="H237" t="str">
        <f>IFERROR(IF(INDEX(Fall!$1:$1048576,MATCH(All!$A237,Fall!$A:$A,FALSE),MATCH(All!H$1,Fall!$1:$1,FALSE))="","",INDEX(Fall!$1:$1048576,MATCH(All!$A237,Fall!$A:$A,FALSE),MATCH(All!H$1,Fall!$1:$1,FALSE))),"")</f>
        <v/>
      </c>
      <c r="I237" t="str">
        <f>IFERROR(IF(INDEX(Fall!$1:$1048576,MATCH(All!$A237,Fall!$A:$A,FALSE),MATCH(All!I$1,Fall!$1:$1,FALSE))="","",INDEX(Fall!$1:$1048576,MATCH(All!$A237,Fall!$A:$A,FALSE),MATCH(All!I$1,Fall!$1:$1,FALSE))),"")</f>
        <v/>
      </c>
      <c r="J237" t="str">
        <f>IFERROR(IF(INDEX(Fall!$1:$1048576,MATCH(All!$A237,Fall!$A:$A,FALSE),MATCH(All!J$1,Fall!$1:$1,FALSE))="","",INDEX(Fall!$1:$1048576,MATCH(All!$A237,Fall!$A:$A,FALSE),MATCH(All!J$1,Fall!$1:$1,FALSE))),"")</f>
        <v/>
      </c>
      <c r="K237" t="str">
        <f>IFERROR(IF(INDEX(Fall!$1:$1048576,MATCH(All!$A237,Fall!$A:$A,FALSE),MATCH(All!K$1,Fall!$1:$1,FALSE))="","",INDEX(Fall!$1:$1048576,MATCH(All!$A237,Fall!$A:$A,FALSE),MATCH(All!K$1,Fall!$1:$1,FALSE))),"")</f>
        <v/>
      </c>
      <c r="L237" t="str">
        <f>IFERROR(IF(INDEX(Fall!$1:$1048576,MATCH(All!$A237,Fall!$A:$A,FALSE),MATCH(All!L$1,Fall!$1:$1,FALSE))="","",INDEX(Fall!$1:$1048576,MATCH(All!$A237,Fall!$A:$A,FALSE),MATCH(All!L$1,Fall!$1:$1,FALSE))),"")</f>
        <v/>
      </c>
      <c r="M237" t="str">
        <f>IFERROR(IF(INDEX(Fall!$1:$1048576,MATCH(All!$A237,Fall!$A:$A,FALSE),MATCH(All!M$1,Fall!$1:$1,FALSE))="","",INDEX(Fall!$1:$1048576,MATCH(All!$A237,Fall!$A:$A,FALSE),MATCH(All!M$1,Fall!$1:$1,FALSE))),"")</f>
        <v>4A</v>
      </c>
      <c r="O237" t="str">
        <f>IFERROR(IF(INDEX(Winter!$1:$1048576,MATCH(All!$A237,Winter!$A:$A,FALSE),MATCH(All!O$1,Winter!$1:$1,FALSE))="","",INDEX(Winter!$1:$1048576,MATCH(All!$A237,Winter!$A:$A,FALSE),MATCH(All!O$1,Winter!$1:$1,FALSE))),"")</f>
        <v>1,044.00 (1,722.60)</v>
      </c>
      <c r="P237" t="str">
        <f>IFERROR(IF(INDEX(Winter!$1:$1048576,MATCH(All!$A237,Winter!$A:$A,FALSE),MATCH(All!P$1,Winter!$1:$1,FALSE))="","",INDEX(Winter!$1:$1048576,MATCH(All!$A237,Winter!$A:$A,FALSE),MATCH(All!P$1,Winter!$1:$1,FALSE))),"")</f>
        <v>4A</v>
      </c>
      <c r="Q237" t="str">
        <f>IFERROR(IF(INDEX(Winter!$1:$1048576,MATCH(All!$A237,Winter!$A:$A,FALSE),MATCH(All!Q$1,Winter!$1:$1,FALSE))="","",INDEX(Winter!$1:$1048576,MATCH(All!$A237,Winter!$A:$A,FALSE),MATCH(All!Q$1,Winter!$1:$1,FALSE))),"")</f>
        <v>4A</v>
      </c>
      <c r="R237" t="str">
        <f>IFERROR(IF(INDEX(Winter!$1:$1048576,MATCH(All!$A237,Winter!$A:$A,FALSE),MATCH(All!R$1,Winter!$1:$1,FALSE))="","",INDEX(Winter!$1:$1048576,MATCH(All!$A237,Winter!$A:$A,FALSE),MATCH(All!R$1,Winter!$1:$1,FALSE))),"")</f>
        <v/>
      </c>
      <c r="S237" t="str">
        <f>IFERROR(IF(INDEX(Winter!$1:$1048576,MATCH(All!$A237,Winter!$A:$A,FALSE),MATCH(All!S$1,Winter!$1:$1,FALSE))="","",INDEX(Winter!$1:$1048576,MATCH(All!$A237,Winter!$A:$A,FALSE),MATCH(All!S$1,Winter!$1:$1,FALSE))),"")</f>
        <v/>
      </c>
      <c r="T237" t="str">
        <f>IFERROR(IF(INDEX(Winter!$1:$1048576,MATCH(All!$A237,Winter!$A:$A,FALSE),MATCH(All!T$1,Winter!$1:$1,FALSE))="","",INDEX(Winter!$1:$1048576,MATCH(All!$A237,Winter!$A:$A,FALSE),MATCH(All!T$1,Winter!$1:$1,FALSE))),"")</f>
        <v/>
      </c>
      <c r="U237" t="str">
        <f>IFERROR(IF(INDEX(Winter!$1:$1048576,MATCH(All!$A237,Winter!$A:$A,FALSE),MATCH(All!U$1,Winter!$1:$1,FALSE))="","",INDEX(Winter!$1:$1048576,MATCH(All!$A237,Winter!$A:$A,FALSE),MATCH(All!U$1,Winter!$1:$1,FALSE))),"")</f>
        <v>3A</v>
      </c>
      <c r="W237" t="str">
        <f>IFERROR(IF(INDEX(Spring!$1:$1048576,MATCH(All!$A237,Spring!$A:$A,FALSE),MATCH(All!W$1,Spring!$1:$1,FALSE))="","",INDEX(Spring!$1:$1048576,MATCH(All!$A237,Spring!$A:$A,FALSE),MATCH(All!W$1,Spring!$1:$1,FALSE))),"")</f>
        <v>1,044.00 (1,722.60)</v>
      </c>
      <c r="X237" t="str">
        <f>IFERROR(IF(INDEX(Spring!$1:$1048576,MATCH(All!$A237,Spring!$A:$A,FALSE),MATCH(All!X$1,Spring!$1:$1,FALSE))="","",INDEX(Spring!$1:$1048576,MATCH(All!$A237,Spring!$A:$A,FALSE),MATCH(All!X$1,Spring!$1:$1,FALSE))),"")</f>
        <v>4A</v>
      </c>
      <c r="Y237" t="str">
        <f>IFERROR(IF(INDEX(Spring!$1:$1048576,MATCH(All!$A237,Spring!$A:$A,FALSE),MATCH(All!Y$1,Spring!$1:$1,FALSE))="","",INDEX(Spring!$1:$1048576,MATCH(All!$A237,Spring!$A:$A,FALSE),MATCH(All!Y$1,Spring!$1:$1,FALSE))),"")</f>
        <v/>
      </c>
      <c r="Z237" t="str">
        <f>IFERROR(IF(INDEX(Spring!$1:$1048576,MATCH(All!$A237,Spring!$A:$A,FALSE),MATCH(All!Z$1,Spring!$1:$1,FALSE))="","",INDEX(Spring!$1:$1048576,MATCH(All!$A237,Spring!$A:$A,FALSE),MATCH(All!Z$1,Spring!$1:$1,FALSE))),"")</f>
        <v/>
      </c>
      <c r="AA237" t="str">
        <f>IFERROR(IF(INDEX(Spring!$1:$1048576,MATCH(All!$A237,Spring!$A:$A,FALSE),MATCH(All!AA$1,Spring!$1:$1,FALSE))="","",INDEX(Spring!$1:$1048576,MATCH(All!$A237,Spring!$A:$A,FALSE),MATCH(All!AA$1,Spring!$1:$1,FALSE))),"")</f>
        <v/>
      </c>
      <c r="AB237" t="str">
        <f>IFERROR(IF(INDEX(Spring!$1:$1048576,MATCH(All!$A237,Spring!$A:$A,FALSE),MATCH(All!AB$1,Spring!$1:$1,FALSE))="","",INDEX(Spring!$1:$1048576,MATCH(All!$A237,Spring!$A:$A,FALSE),MATCH(All!AB$1,Spring!$1:$1,FALSE))),"")</f>
        <v>2A</v>
      </c>
      <c r="AC237" t="str">
        <f>IFERROR(IF(INDEX(Spring!$1:$1048576,MATCH(All!$A237,Spring!$A:$A,FALSE),MATCH(All!AC$1,Spring!$1:$1,FALSE))="","",INDEX(Spring!$1:$1048576,MATCH(All!$A237,Spring!$A:$A,FALSE),MATCH(All!AC$1,Spring!$1:$1,FALSE))),"")</f>
        <v>2A</v>
      </c>
      <c r="AD237" t="str">
        <f>IFERROR(VLOOKUP(A237,'Flag Football'!A:A,1,FALSE),"")</f>
        <v>Chicago (Simeon)</v>
      </c>
      <c r="AE237" t="str">
        <f t="shared" si="3"/>
        <v>1A</v>
      </c>
    </row>
    <row r="238" spans="1:31" ht="15.75" thickBot="1" x14ac:dyDescent="0.3">
      <c r="A238" s="20" t="s">
        <v>307</v>
      </c>
      <c r="B238" s="38">
        <f>IFERROR(VLOOKUP(A238,'Public v Private'!A:G,3,FALSE),"")</f>
        <v>0</v>
      </c>
      <c r="C238" s="38">
        <f>IFERROR(VLOOKUP(A238,'Public v Private'!A:G,4,FALSE),"")</f>
        <v>0</v>
      </c>
      <c r="D238" s="38">
        <f>IFERROR(VLOOKUP(A238,'Public v Private'!A:G,5,FALSE),"")</f>
        <v>0</v>
      </c>
      <c r="E238" s="38"/>
      <c r="F238" s="40">
        <f>IFERROR(INDEX(Fall!$1:$1048576,MATCH(All!$A238,Fall!$A:$A,FALSE),MATCH(All!F$1,Fall!$1:$1,FALSE)),"N/A")</f>
        <v>1245</v>
      </c>
      <c r="G238" t="str">
        <f>IFERROR(IF(INDEX(Fall!$1:$1048576,MATCH(All!$A238,Fall!$A:$A,FALSE),MATCH(All!G$1,Fall!$1:$1,FALSE))="","",INDEX(Fall!$1:$1048576,MATCH(All!$A238,Fall!$A:$A,FALSE),MATCH(All!G$1,Fall!$1:$1,FALSE))),"")</f>
        <v>2A</v>
      </c>
      <c r="H238" t="str">
        <f>IFERROR(IF(INDEX(Fall!$1:$1048576,MATCH(All!$A238,Fall!$A:$A,FALSE),MATCH(All!H$1,Fall!$1:$1,FALSE))="","",INDEX(Fall!$1:$1048576,MATCH(All!$A238,Fall!$A:$A,FALSE),MATCH(All!H$1,Fall!$1:$1,FALSE))),"")</f>
        <v>2A</v>
      </c>
      <c r="I238" t="str">
        <f>IFERROR(IF(INDEX(Fall!$1:$1048576,MATCH(All!$A238,Fall!$A:$A,FALSE),MATCH(All!I$1,Fall!$1:$1,FALSE))="","",INDEX(Fall!$1:$1048576,MATCH(All!$A238,Fall!$A:$A,FALSE),MATCH(All!I$1,Fall!$1:$1,FALSE))),"")</f>
        <v/>
      </c>
      <c r="J238" t="str">
        <f>IFERROR(IF(INDEX(Fall!$1:$1048576,MATCH(All!$A238,Fall!$A:$A,FALSE),MATCH(All!J$1,Fall!$1:$1,FALSE))="","",INDEX(Fall!$1:$1048576,MATCH(All!$A238,Fall!$A:$A,FALSE),MATCH(All!J$1,Fall!$1:$1,FALSE))),"")</f>
        <v/>
      </c>
      <c r="K238" t="str">
        <f>IFERROR(IF(INDEX(Fall!$1:$1048576,MATCH(All!$A238,Fall!$A:$A,FALSE),MATCH(All!K$1,Fall!$1:$1,FALSE))="","",INDEX(Fall!$1:$1048576,MATCH(All!$A238,Fall!$A:$A,FALSE),MATCH(All!K$1,Fall!$1:$1,FALSE))),"")</f>
        <v>2A</v>
      </c>
      <c r="L238" t="str">
        <f>IFERROR(IF(INDEX(Fall!$1:$1048576,MATCH(All!$A238,Fall!$A:$A,FALSE),MATCH(All!L$1,Fall!$1:$1,FALSE))="","",INDEX(Fall!$1:$1048576,MATCH(All!$A238,Fall!$A:$A,FALSE),MATCH(All!L$1,Fall!$1:$1,FALSE))),"")</f>
        <v/>
      </c>
      <c r="M238" t="str">
        <f>IFERROR(IF(INDEX(Fall!$1:$1048576,MATCH(All!$A238,Fall!$A:$A,FALSE),MATCH(All!M$1,Fall!$1:$1,FALSE))="","",INDEX(Fall!$1:$1048576,MATCH(All!$A238,Fall!$A:$A,FALSE),MATCH(All!M$1,Fall!$1:$1,FALSE))),"")</f>
        <v>3A</v>
      </c>
      <c r="O238">
        <f>IFERROR(IF(INDEX(Winter!$1:$1048576,MATCH(All!$A238,Winter!$A:$A,FALSE),MATCH(All!O$1,Winter!$1:$1,FALSE))="","",INDEX(Winter!$1:$1048576,MATCH(All!$A238,Winter!$A:$A,FALSE),MATCH(All!O$1,Winter!$1:$1,FALSE))),"")</f>
        <v>1245</v>
      </c>
      <c r="P238" t="str">
        <f>IFERROR(IF(INDEX(Winter!$1:$1048576,MATCH(All!$A238,Winter!$A:$A,FALSE),MATCH(All!P$1,Winter!$1:$1,FALSE))="","",INDEX(Winter!$1:$1048576,MATCH(All!$A238,Winter!$A:$A,FALSE),MATCH(All!P$1,Winter!$1:$1,FALSE))),"")</f>
        <v>3A</v>
      </c>
      <c r="Q238" t="str">
        <f>IFERROR(IF(INDEX(Winter!$1:$1048576,MATCH(All!$A238,Winter!$A:$A,FALSE),MATCH(All!Q$1,Winter!$1:$1,FALSE))="","",INDEX(Winter!$1:$1048576,MATCH(All!$A238,Winter!$A:$A,FALSE),MATCH(All!Q$1,Winter!$1:$1,FALSE))),"")</f>
        <v/>
      </c>
      <c r="R238" t="str">
        <f>IFERROR(IF(INDEX(Winter!$1:$1048576,MATCH(All!$A238,Winter!$A:$A,FALSE),MATCH(All!R$1,Winter!$1:$1,FALSE))="","",INDEX(Winter!$1:$1048576,MATCH(All!$A238,Winter!$A:$A,FALSE),MATCH(All!R$1,Winter!$1:$1,FALSE))),"")</f>
        <v/>
      </c>
      <c r="S238" t="str">
        <f>IFERROR(IF(INDEX(Winter!$1:$1048576,MATCH(All!$A238,Winter!$A:$A,FALSE),MATCH(All!S$1,Winter!$1:$1,FALSE))="","",INDEX(Winter!$1:$1048576,MATCH(All!$A238,Winter!$A:$A,FALSE),MATCH(All!S$1,Winter!$1:$1,FALSE))),"")</f>
        <v/>
      </c>
      <c r="T238" t="str">
        <f>IFERROR(IF(INDEX(Winter!$1:$1048576,MATCH(All!$A238,Winter!$A:$A,FALSE),MATCH(All!T$1,Winter!$1:$1,FALSE))="","",INDEX(Winter!$1:$1048576,MATCH(All!$A238,Winter!$A:$A,FALSE),MATCH(All!T$1,Winter!$1:$1,FALSE))),"")</f>
        <v/>
      </c>
      <c r="U238" t="str">
        <f>IFERROR(IF(INDEX(Winter!$1:$1048576,MATCH(All!$A238,Winter!$A:$A,FALSE),MATCH(All!U$1,Winter!$1:$1,FALSE))="","",INDEX(Winter!$1:$1048576,MATCH(All!$A238,Winter!$A:$A,FALSE),MATCH(All!U$1,Winter!$1:$1,FALSE))),"")</f>
        <v>2A</v>
      </c>
      <c r="W238">
        <f>IFERROR(IF(INDEX(Spring!$1:$1048576,MATCH(All!$A238,Spring!$A:$A,FALSE),MATCH(All!W$1,Spring!$1:$1,FALSE))="","",INDEX(Spring!$1:$1048576,MATCH(All!$A238,Spring!$A:$A,FALSE),MATCH(All!W$1,Spring!$1:$1,FALSE))),"")</f>
        <v>1245</v>
      </c>
      <c r="X238" t="str">
        <f>IFERROR(IF(INDEX(Spring!$1:$1048576,MATCH(All!$A238,Spring!$A:$A,FALSE),MATCH(All!X$1,Spring!$1:$1,FALSE))="","",INDEX(Spring!$1:$1048576,MATCH(All!$A238,Spring!$A:$A,FALSE),MATCH(All!X$1,Spring!$1:$1,FALSE))),"")</f>
        <v>3A</v>
      </c>
      <c r="Y238" t="str">
        <f>IFERROR(IF(INDEX(Spring!$1:$1048576,MATCH(All!$A238,Spring!$A:$A,FALSE),MATCH(All!Y$1,Spring!$1:$1,FALSE))="","",INDEX(Spring!$1:$1048576,MATCH(All!$A238,Spring!$A:$A,FALSE),MATCH(All!Y$1,Spring!$1:$1,FALSE))),"")</f>
        <v/>
      </c>
      <c r="Z238" t="str">
        <f>IFERROR(IF(INDEX(Spring!$1:$1048576,MATCH(All!$A238,Spring!$A:$A,FALSE),MATCH(All!Z$1,Spring!$1:$1,FALSE))="","",INDEX(Spring!$1:$1048576,MATCH(All!$A238,Spring!$A:$A,FALSE),MATCH(All!Z$1,Spring!$1:$1,FALSE))),"")</f>
        <v>2A</v>
      </c>
      <c r="AA238" t="str">
        <f>IFERROR(IF(INDEX(Spring!$1:$1048576,MATCH(All!$A238,Spring!$A:$A,FALSE),MATCH(All!AA$1,Spring!$1:$1,FALSE))="","",INDEX(Spring!$1:$1048576,MATCH(All!$A238,Spring!$A:$A,FALSE),MATCH(All!AA$1,Spring!$1:$1,FALSE))),"")</f>
        <v/>
      </c>
      <c r="AB238" t="str">
        <f>IFERROR(IF(INDEX(Spring!$1:$1048576,MATCH(All!$A238,Spring!$A:$A,FALSE),MATCH(All!AB$1,Spring!$1:$1,FALSE))="","",INDEX(Spring!$1:$1048576,MATCH(All!$A238,Spring!$A:$A,FALSE),MATCH(All!AB$1,Spring!$1:$1,FALSE))),"")</f>
        <v>2A</v>
      </c>
      <c r="AC238" t="str">
        <f>IFERROR(IF(INDEX(Spring!$1:$1048576,MATCH(All!$A238,Spring!$A:$A,FALSE),MATCH(All!AC$1,Spring!$1:$1,FALSE))="","",INDEX(Spring!$1:$1048576,MATCH(All!$A238,Spring!$A:$A,FALSE),MATCH(All!AC$1,Spring!$1:$1,FALSE))),"")</f>
        <v>2A</v>
      </c>
      <c r="AD238" t="str">
        <f>IFERROR(VLOOKUP(A238,'Flag Football'!A:A,1,FALSE),"")</f>
        <v>Chicago (Solorio Academy)</v>
      </c>
      <c r="AE238" t="str">
        <f t="shared" si="3"/>
        <v>1A</v>
      </c>
    </row>
    <row r="239" spans="1:31" ht="15.75" thickBot="1" x14ac:dyDescent="0.3">
      <c r="A239" s="18" t="s">
        <v>308</v>
      </c>
      <c r="B239" s="38" t="str">
        <f>IFERROR(VLOOKUP(A239,'Public v Private'!A:G,3,FALSE),"")</f>
        <v>no</v>
      </c>
      <c r="C239" s="38">
        <f>IFERROR(VLOOKUP(A239,'Public v Private'!A:G,4,FALSE),"")</f>
        <v>0</v>
      </c>
      <c r="D239" s="38">
        <f>IFERROR(VLOOKUP(A239,'Public v Private'!A:G,5,FALSE),"")</f>
        <v>0</v>
      </c>
      <c r="E239" s="38"/>
      <c r="F239" s="40" t="str">
        <f>IFERROR(INDEX(Fall!$1:$1048576,MATCH(All!$A239,Fall!$A:$A,FALSE),MATCH(All!F$1,Fall!$1:$1,FALSE)),"N/A")</f>
        <v>594.00 (980.10)</v>
      </c>
      <c r="G239" t="str">
        <f>IFERROR(IF(INDEX(Fall!$1:$1048576,MATCH(All!$A239,Fall!$A:$A,FALSE),MATCH(All!G$1,Fall!$1:$1,FALSE))="","",INDEX(Fall!$1:$1048576,MATCH(All!$A239,Fall!$A:$A,FALSE),MATCH(All!G$1,Fall!$1:$1,FALSE))),"")</f>
        <v/>
      </c>
      <c r="H239" t="str">
        <f>IFERROR(IF(INDEX(Fall!$1:$1048576,MATCH(All!$A239,Fall!$A:$A,FALSE),MATCH(All!H$1,Fall!$1:$1,FALSE))="","",INDEX(Fall!$1:$1048576,MATCH(All!$A239,Fall!$A:$A,FALSE),MATCH(All!H$1,Fall!$1:$1,FALSE))),"")</f>
        <v/>
      </c>
      <c r="I239" t="str">
        <f>IFERROR(IF(INDEX(Fall!$1:$1048576,MATCH(All!$A239,Fall!$A:$A,FALSE),MATCH(All!I$1,Fall!$1:$1,FALSE))="","",INDEX(Fall!$1:$1048576,MATCH(All!$A239,Fall!$A:$A,FALSE),MATCH(All!I$1,Fall!$1:$1,FALSE))),"")</f>
        <v/>
      </c>
      <c r="J239" t="str">
        <f>IFERROR(IF(INDEX(Fall!$1:$1048576,MATCH(All!$A239,Fall!$A:$A,FALSE),MATCH(All!J$1,Fall!$1:$1,FALSE))="","",INDEX(Fall!$1:$1048576,MATCH(All!$A239,Fall!$A:$A,FALSE),MATCH(All!J$1,Fall!$1:$1,FALSE))),"")</f>
        <v/>
      </c>
      <c r="K239" t="str">
        <f>IFERROR(IF(INDEX(Fall!$1:$1048576,MATCH(All!$A239,Fall!$A:$A,FALSE),MATCH(All!K$1,Fall!$1:$1,FALSE))="","",INDEX(Fall!$1:$1048576,MATCH(All!$A239,Fall!$A:$A,FALSE),MATCH(All!K$1,Fall!$1:$1,FALSE))),"")</f>
        <v>1A</v>
      </c>
      <c r="L239" t="str">
        <f>IFERROR(IF(INDEX(Fall!$1:$1048576,MATCH(All!$A239,Fall!$A:$A,FALSE),MATCH(All!L$1,Fall!$1:$1,FALSE))="","",INDEX(Fall!$1:$1048576,MATCH(All!$A239,Fall!$A:$A,FALSE),MATCH(All!L$1,Fall!$1:$1,FALSE))),"")</f>
        <v/>
      </c>
      <c r="M239" t="str">
        <f>IFERROR(IF(INDEX(Fall!$1:$1048576,MATCH(All!$A239,Fall!$A:$A,FALSE),MATCH(All!M$1,Fall!$1:$1,FALSE))="","",INDEX(Fall!$1:$1048576,MATCH(All!$A239,Fall!$A:$A,FALSE),MATCH(All!M$1,Fall!$1:$1,FALSE))),"")</f>
        <v>2A</v>
      </c>
      <c r="O239" t="str">
        <f>IFERROR(IF(INDEX(Winter!$1:$1048576,MATCH(All!$A239,Winter!$A:$A,FALSE),MATCH(All!O$1,Winter!$1:$1,FALSE))="","",INDEX(Winter!$1:$1048576,MATCH(All!$A239,Winter!$A:$A,FALSE),MATCH(All!O$1,Winter!$1:$1,FALSE))),"")</f>
        <v>594.00 (980.10)</v>
      </c>
      <c r="P239" t="str">
        <f>IFERROR(IF(INDEX(Winter!$1:$1048576,MATCH(All!$A239,Winter!$A:$A,FALSE),MATCH(All!P$1,Winter!$1:$1,FALSE))="","",INDEX(Winter!$1:$1048576,MATCH(All!$A239,Winter!$A:$A,FALSE),MATCH(All!P$1,Winter!$1:$1,FALSE))),"")</f>
        <v>2A</v>
      </c>
      <c r="Q239" t="str">
        <f>IFERROR(IF(INDEX(Winter!$1:$1048576,MATCH(All!$A239,Winter!$A:$A,FALSE),MATCH(All!Q$1,Winter!$1:$1,FALSE))="","",INDEX(Winter!$1:$1048576,MATCH(All!$A239,Winter!$A:$A,FALSE),MATCH(All!Q$1,Winter!$1:$1,FALSE))),"")</f>
        <v>2A</v>
      </c>
      <c r="R239" t="str">
        <f>IFERROR(IF(INDEX(Winter!$1:$1048576,MATCH(All!$A239,Winter!$A:$A,FALSE),MATCH(All!R$1,Winter!$1:$1,FALSE))="","",INDEX(Winter!$1:$1048576,MATCH(All!$A239,Winter!$A:$A,FALSE),MATCH(All!R$1,Winter!$1:$1,FALSE))),"")</f>
        <v/>
      </c>
      <c r="S239" t="str">
        <f>IFERROR(IF(INDEX(Winter!$1:$1048576,MATCH(All!$A239,Winter!$A:$A,FALSE),MATCH(All!S$1,Winter!$1:$1,FALSE))="","",INDEX(Winter!$1:$1048576,MATCH(All!$A239,Winter!$A:$A,FALSE),MATCH(All!S$1,Winter!$1:$1,FALSE))),"")</f>
        <v/>
      </c>
      <c r="T239" t="str">
        <f>IFERROR(IF(INDEX(Winter!$1:$1048576,MATCH(All!$A239,Winter!$A:$A,FALSE),MATCH(All!T$1,Winter!$1:$1,FALSE))="","",INDEX(Winter!$1:$1048576,MATCH(All!$A239,Winter!$A:$A,FALSE),MATCH(All!T$1,Winter!$1:$1,FALSE))),"")</f>
        <v/>
      </c>
      <c r="U239" t="str">
        <f>IFERROR(IF(INDEX(Winter!$1:$1048576,MATCH(All!$A239,Winter!$A:$A,FALSE),MATCH(All!U$1,Winter!$1:$1,FALSE))="","",INDEX(Winter!$1:$1048576,MATCH(All!$A239,Winter!$A:$A,FALSE),MATCH(All!U$1,Winter!$1:$1,FALSE))),"")</f>
        <v>2A</v>
      </c>
      <c r="W239" t="str">
        <f>IFERROR(IF(INDEX(Spring!$1:$1048576,MATCH(All!$A239,Spring!$A:$A,FALSE),MATCH(All!W$1,Spring!$1:$1,FALSE))="","",INDEX(Spring!$1:$1048576,MATCH(All!$A239,Spring!$A:$A,FALSE),MATCH(All!W$1,Spring!$1:$1,FALSE))),"")</f>
        <v>594.00 (980.10)</v>
      </c>
      <c r="X239" t="str">
        <f>IFERROR(IF(INDEX(Spring!$1:$1048576,MATCH(All!$A239,Spring!$A:$A,FALSE),MATCH(All!X$1,Spring!$1:$1,FALSE))="","",INDEX(Spring!$1:$1048576,MATCH(All!$A239,Spring!$A:$A,FALSE),MATCH(All!X$1,Spring!$1:$1,FALSE))),"")</f>
        <v/>
      </c>
      <c r="Y239" t="str">
        <f>IFERROR(IF(INDEX(Spring!$1:$1048576,MATCH(All!$A239,Spring!$A:$A,FALSE),MATCH(All!Y$1,Spring!$1:$1,FALSE))="","",INDEX(Spring!$1:$1048576,MATCH(All!$A239,Spring!$A:$A,FALSE),MATCH(All!Y$1,Spring!$1:$1,FALSE))),"")</f>
        <v/>
      </c>
      <c r="Z239" t="str">
        <f>IFERROR(IF(INDEX(Spring!$1:$1048576,MATCH(All!$A239,Spring!$A:$A,FALSE),MATCH(All!Z$1,Spring!$1:$1,FALSE))="","",INDEX(Spring!$1:$1048576,MATCH(All!$A239,Spring!$A:$A,FALSE),MATCH(All!Z$1,Spring!$1:$1,FALSE))),"")</f>
        <v/>
      </c>
      <c r="AA239" t="str">
        <f>IFERROR(IF(INDEX(Spring!$1:$1048576,MATCH(All!$A239,Spring!$A:$A,FALSE),MATCH(All!AA$1,Spring!$1:$1,FALSE))="","",INDEX(Spring!$1:$1048576,MATCH(All!$A239,Spring!$A:$A,FALSE),MATCH(All!AA$1,Spring!$1:$1,FALSE))),"")</f>
        <v/>
      </c>
      <c r="AB239" t="str">
        <f>IFERROR(IF(INDEX(Spring!$1:$1048576,MATCH(All!$A239,Spring!$A:$A,FALSE),MATCH(All!AB$1,Spring!$1:$1,FALSE))="","",INDEX(Spring!$1:$1048576,MATCH(All!$A239,Spring!$A:$A,FALSE),MATCH(All!AB$1,Spring!$1:$1,FALSE))),"")</f>
        <v>2A</v>
      </c>
      <c r="AC239" t="str">
        <f>IFERROR(IF(INDEX(Spring!$1:$1048576,MATCH(All!$A239,Spring!$A:$A,FALSE),MATCH(All!AC$1,Spring!$1:$1,FALSE))="","",INDEX(Spring!$1:$1048576,MATCH(All!$A239,Spring!$A:$A,FALSE),MATCH(All!AC$1,Spring!$1:$1,FALSE))),"")</f>
        <v>2A</v>
      </c>
      <c r="AD239" t="str">
        <f>IFERROR(VLOOKUP(A239,'Flag Football'!A:A,1,FALSE),"")</f>
        <v/>
      </c>
      <c r="AE239" t="str">
        <f t="shared" si="3"/>
        <v/>
      </c>
    </row>
    <row r="240" spans="1:31" ht="15.75" thickBot="1" x14ac:dyDescent="0.3">
      <c r="A240" s="20" t="s">
        <v>987</v>
      </c>
      <c r="B240" s="38" t="str">
        <f>IFERROR(VLOOKUP(A240,'Public v Private'!A:G,3,FALSE),"")</f>
        <v>no</v>
      </c>
      <c r="C240" s="38">
        <f>IFERROR(VLOOKUP(A240,'Public v Private'!A:G,4,FALSE),"")</f>
        <v>0</v>
      </c>
      <c r="D240" s="38">
        <f>IFERROR(VLOOKUP(A240,'Public v Private'!A:G,5,FALSE),"")</f>
        <v>0</v>
      </c>
      <c r="E240" s="38"/>
      <c r="F240" s="40" t="str">
        <f>IFERROR(INDEX(Fall!$1:$1048576,MATCH(All!$A240,Fall!$A:$A,FALSE),MATCH(All!F$1,Fall!$1:$1,FALSE)),"N/A")</f>
        <v>82.00 (135.30)</v>
      </c>
      <c r="G240" t="str">
        <f>IFERROR(IF(INDEX(Fall!$1:$1048576,MATCH(All!$A240,Fall!$A:$A,FALSE),MATCH(All!G$1,Fall!$1:$1,FALSE))="","",INDEX(Fall!$1:$1048576,MATCH(All!$A240,Fall!$A:$A,FALSE),MATCH(All!G$1,Fall!$1:$1,FALSE))),"")</f>
        <v/>
      </c>
      <c r="H240" t="str">
        <f>IFERROR(IF(INDEX(Fall!$1:$1048576,MATCH(All!$A240,Fall!$A:$A,FALSE),MATCH(All!H$1,Fall!$1:$1,FALSE))="","",INDEX(Fall!$1:$1048576,MATCH(All!$A240,Fall!$A:$A,FALSE),MATCH(All!H$1,Fall!$1:$1,FALSE))),"")</f>
        <v/>
      </c>
      <c r="I240" t="str">
        <f>IFERROR(IF(INDEX(Fall!$1:$1048576,MATCH(All!$A240,Fall!$A:$A,FALSE),MATCH(All!I$1,Fall!$1:$1,FALSE))="","",INDEX(Fall!$1:$1048576,MATCH(All!$A240,Fall!$A:$A,FALSE),MATCH(All!I$1,Fall!$1:$1,FALSE))),"")</f>
        <v/>
      </c>
      <c r="J240" t="str">
        <f>IFERROR(IF(INDEX(Fall!$1:$1048576,MATCH(All!$A240,Fall!$A:$A,FALSE),MATCH(All!J$1,Fall!$1:$1,FALSE))="","",INDEX(Fall!$1:$1048576,MATCH(All!$A240,Fall!$A:$A,FALSE),MATCH(All!J$1,Fall!$1:$1,FALSE))),"")</f>
        <v/>
      </c>
      <c r="K240" t="str">
        <f>IFERROR(IF(INDEX(Fall!$1:$1048576,MATCH(All!$A240,Fall!$A:$A,FALSE),MATCH(All!K$1,Fall!$1:$1,FALSE))="","",INDEX(Fall!$1:$1048576,MATCH(All!$A240,Fall!$A:$A,FALSE),MATCH(All!K$1,Fall!$1:$1,FALSE))),"")</f>
        <v>1A</v>
      </c>
      <c r="L240" t="str">
        <f>IFERROR(IF(INDEX(Fall!$1:$1048576,MATCH(All!$A240,Fall!$A:$A,FALSE),MATCH(All!L$1,Fall!$1:$1,FALSE))="","",INDEX(Fall!$1:$1048576,MATCH(All!$A240,Fall!$A:$A,FALSE),MATCH(All!L$1,Fall!$1:$1,FALSE))),"")</f>
        <v/>
      </c>
      <c r="M240" t="str">
        <f>IFERROR(IF(INDEX(Fall!$1:$1048576,MATCH(All!$A240,Fall!$A:$A,FALSE),MATCH(All!M$1,Fall!$1:$1,FALSE))="","",INDEX(Fall!$1:$1048576,MATCH(All!$A240,Fall!$A:$A,FALSE),MATCH(All!M$1,Fall!$1:$1,FALSE))),"")</f>
        <v/>
      </c>
      <c r="O240" t="str">
        <f>IFERROR(IF(INDEX(Winter!$1:$1048576,MATCH(All!$A240,Winter!$A:$A,FALSE),MATCH(All!O$1,Winter!$1:$1,FALSE))="","",INDEX(Winter!$1:$1048576,MATCH(All!$A240,Winter!$A:$A,FALSE),MATCH(All!O$1,Winter!$1:$1,FALSE))),"")</f>
        <v/>
      </c>
      <c r="P240" t="str">
        <f>IFERROR(IF(INDEX(Winter!$1:$1048576,MATCH(All!$A240,Winter!$A:$A,FALSE),MATCH(All!P$1,Winter!$1:$1,FALSE))="","",INDEX(Winter!$1:$1048576,MATCH(All!$A240,Winter!$A:$A,FALSE),MATCH(All!P$1,Winter!$1:$1,FALSE))),"")</f>
        <v/>
      </c>
      <c r="Q240" t="str">
        <f>IFERROR(IF(INDEX(Winter!$1:$1048576,MATCH(All!$A240,Winter!$A:$A,FALSE),MATCH(All!Q$1,Winter!$1:$1,FALSE))="","",INDEX(Winter!$1:$1048576,MATCH(All!$A240,Winter!$A:$A,FALSE),MATCH(All!Q$1,Winter!$1:$1,FALSE))),"")</f>
        <v/>
      </c>
      <c r="R240" t="str">
        <f>IFERROR(IF(INDEX(Winter!$1:$1048576,MATCH(All!$A240,Winter!$A:$A,FALSE),MATCH(All!R$1,Winter!$1:$1,FALSE))="","",INDEX(Winter!$1:$1048576,MATCH(All!$A240,Winter!$A:$A,FALSE),MATCH(All!R$1,Winter!$1:$1,FALSE))),"")</f>
        <v/>
      </c>
      <c r="S240" t="str">
        <f>IFERROR(IF(INDEX(Winter!$1:$1048576,MATCH(All!$A240,Winter!$A:$A,FALSE),MATCH(All!S$1,Winter!$1:$1,FALSE))="","",INDEX(Winter!$1:$1048576,MATCH(All!$A240,Winter!$A:$A,FALSE),MATCH(All!S$1,Winter!$1:$1,FALSE))),"")</f>
        <v/>
      </c>
      <c r="T240" t="str">
        <f>IFERROR(IF(INDEX(Winter!$1:$1048576,MATCH(All!$A240,Winter!$A:$A,FALSE),MATCH(All!T$1,Winter!$1:$1,FALSE))="","",INDEX(Winter!$1:$1048576,MATCH(All!$A240,Winter!$A:$A,FALSE),MATCH(All!T$1,Winter!$1:$1,FALSE))),"")</f>
        <v/>
      </c>
      <c r="U240" t="str">
        <f>IFERROR(IF(INDEX(Winter!$1:$1048576,MATCH(All!$A240,Winter!$A:$A,FALSE),MATCH(All!U$1,Winter!$1:$1,FALSE))="","",INDEX(Winter!$1:$1048576,MATCH(All!$A240,Winter!$A:$A,FALSE),MATCH(All!U$1,Winter!$1:$1,FALSE))),"")</f>
        <v/>
      </c>
      <c r="W240" t="str">
        <f>IFERROR(IF(INDEX(Spring!$1:$1048576,MATCH(All!$A240,Spring!$A:$A,FALSE),MATCH(All!W$1,Spring!$1:$1,FALSE))="","",INDEX(Spring!$1:$1048576,MATCH(All!$A240,Spring!$A:$A,FALSE),MATCH(All!W$1,Spring!$1:$1,FALSE))),"")</f>
        <v/>
      </c>
      <c r="X240" t="str">
        <f>IFERROR(IF(INDEX(Spring!$1:$1048576,MATCH(All!$A240,Spring!$A:$A,FALSE),MATCH(All!X$1,Spring!$1:$1,FALSE))="","",INDEX(Spring!$1:$1048576,MATCH(All!$A240,Spring!$A:$A,FALSE),MATCH(All!X$1,Spring!$1:$1,FALSE))),"")</f>
        <v/>
      </c>
      <c r="Y240" t="str">
        <f>IFERROR(IF(INDEX(Spring!$1:$1048576,MATCH(All!$A240,Spring!$A:$A,FALSE),MATCH(All!Y$1,Spring!$1:$1,FALSE))="","",INDEX(Spring!$1:$1048576,MATCH(All!$A240,Spring!$A:$A,FALSE),MATCH(All!Y$1,Spring!$1:$1,FALSE))),"")</f>
        <v/>
      </c>
      <c r="Z240" t="str">
        <f>IFERROR(IF(INDEX(Spring!$1:$1048576,MATCH(All!$A240,Spring!$A:$A,FALSE),MATCH(All!Z$1,Spring!$1:$1,FALSE))="","",INDEX(Spring!$1:$1048576,MATCH(All!$A240,Spring!$A:$A,FALSE),MATCH(All!Z$1,Spring!$1:$1,FALSE))),"")</f>
        <v/>
      </c>
      <c r="AA240" t="str">
        <f>IFERROR(IF(INDEX(Spring!$1:$1048576,MATCH(All!$A240,Spring!$A:$A,FALSE),MATCH(All!AA$1,Spring!$1:$1,FALSE))="","",INDEX(Spring!$1:$1048576,MATCH(All!$A240,Spring!$A:$A,FALSE),MATCH(All!AA$1,Spring!$1:$1,FALSE))),"")</f>
        <v/>
      </c>
      <c r="AB240" t="str">
        <f>IFERROR(IF(INDEX(Spring!$1:$1048576,MATCH(All!$A240,Spring!$A:$A,FALSE),MATCH(All!AB$1,Spring!$1:$1,FALSE))="","",INDEX(Spring!$1:$1048576,MATCH(All!$A240,Spring!$A:$A,FALSE),MATCH(All!AB$1,Spring!$1:$1,FALSE))),"")</f>
        <v/>
      </c>
      <c r="AC240" t="str">
        <f>IFERROR(IF(INDEX(Spring!$1:$1048576,MATCH(All!$A240,Spring!$A:$A,FALSE),MATCH(All!AC$1,Spring!$1:$1,FALSE))="","",INDEX(Spring!$1:$1048576,MATCH(All!$A240,Spring!$A:$A,FALSE),MATCH(All!AC$1,Spring!$1:$1,FALSE))),"")</f>
        <v/>
      </c>
      <c r="AD240" t="str">
        <f>IFERROR(VLOOKUP(A240,'Flag Football'!A:A,1,FALSE),"")</f>
        <v/>
      </c>
      <c r="AE240" t="str">
        <f t="shared" si="3"/>
        <v/>
      </c>
    </row>
    <row r="241" spans="1:31" ht="15.75" thickBot="1" x14ac:dyDescent="0.3">
      <c r="A241" s="20" t="s">
        <v>939</v>
      </c>
      <c r="B241" s="38" t="str">
        <f>IFERROR(VLOOKUP(A241,'Public v Private'!A:G,3,FALSE),"")</f>
        <v>private</v>
      </c>
      <c r="C241" s="38">
        <f>IFERROR(VLOOKUP(A241,'Public v Private'!A:G,4,FALSE),"")</f>
        <v>1</v>
      </c>
      <c r="D241" s="38">
        <f>IFERROR(VLOOKUP(A241,'Public v Private'!A:G,5,FALSE),"")</f>
        <v>3</v>
      </c>
      <c r="E241" s="38"/>
      <c r="F241" s="40" t="str">
        <f>IFERROR(INDEX(Fall!$1:$1048576,MATCH(All!$A241,Fall!$A:$A,FALSE),MATCH(All!F$1,Fall!$1:$1,FALSE)),"N/A")</f>
        <v>N/A</v>
      </c>
      <c r="G241" t="str">
        <f>IFERROR(IF(INDEX(Fall!$1:$1048576,MATCH(All!$A241,Fall!$A:$A,FALSE),MATCH(All!G$1,Fall!$1:$1,FALSE))="","",INDEX(Fall!$1:$1048576,MATCH(All!$A241,Fall!$A:$A,FALSE),MATCH(All!G$1,Fall!$1:$1,FALSE))),"")</f>
        <v/>
      </c>
      <c r="H241" t="str">
        <f>IFERROR(IF(INDEX(Fall!$1:$1048576,MATCH(All!$A241,Fall!$A:$A,FALSE),MATCH(All!H$1,Fall!$1:$1,FALSE))="","",INDEX(Fall!$1:$1048576,MATCH(All!$A241,Fall!$A:$A,FALSE),MATCH(All!H$1,Fall!$1:$1,FALSE))),"")</f>
        <v/>
      </c>
      <c r="I241" t="str">
        <f>IFERROR(IF(INDEX(Fall!$1:$1048576,MATCH(All!$A241,Fall!$A:$A,FALSE),MATCH(All!I$1,Fall!$1:$1,FALSE))="","",INDEX(Fall!$1:$1048576,MATCH(All!$A241,Fall!$A:$A,FALSE),MATCH(All!I$1,Fall!$1:$1,FALSE))),"")</f>
        <v/>
      </c>
      <c r="J241" t="str">
        <f>IFERROR(IF(INDEX(Fall!$1:$1048576,MATCH(All!$A241,Fall!$A:$A,FALSE),MATCH(All!J$1,Fall!$1:$1,FALSE))="","",INDEX(Fall!$1:$1048576,MATCH(All!$A241,Fall!$A:$A,FALSE),MATCH(All!J$1,Fall!$1:$1,FALSE))),"")</f>
        <v/>
      </c>
      <c r="K241" t="str">
        <f>IFERROR(IF(INDEX(Fall!$1:$1048576,MATCH(All!$A241,Fall!$A:$A,FALSE),MATCH(All!K$1,Fall!$1:$1,FALSE))="","",INDEX(Fall!$1:$1048576,MATCH(All!$A241,Fall!$A:$A,FALSE),MATCH(All!K$1,Fall!$1:$1,FALSE))),"")</f>
        <v/>
      </c>
      <c r="L241" t="str">
        <f>IFERROR(IF(INDEX(Fall!$1:$1048576,MATCH(All!$A241,Fall!$A:$A,FALSE),MATCH(All!L$1,Fall!$1:$1,FALSE))="","",INDEX(Fall!$1:$1048576,MATCH(All!$A241,Fall!$A:$A,FALSE),MATCH(All!L$1,Fall!$1:$1,FALSE))),"")</f>
        <v/>
      </c>
      <c r="M241" t="str">
        <f>IFERROR(IF(INDEX(Fall!$1:$1048576,MATCH(All!$A241,Fall!$A:$A,FALSE),MATCH(All!M$1,Fall!$1:$1,FALSE))="","",INDEX(Fall!$1:$1048576,MATCH(All!$A241,Fall!$A:$A,FALSE),MATCH(All!M$1,Fall!$1:$1,FALSE))),"")</f>
        <v/>
      </c>
      <c r="O241" t="str">
        <f>IFERROR(IF(INDEX(Winter!$1:$1048576,MATCH(All!$A241,Winter!$A:$A,FALSE),MATCH(All!O$1,Winter!$1:$1,FALSE))="","",INDEX(Winter!$1:$1048576,MATCH(All!$A241,Winter!$A:$A,FALSE),MATCH(All!O$1,Winter!$1:$1,FALSE))),"")</f>
        <v>165.00 (272.25)</v>
      </c>
      <c r="P241" t="str">
        <f>IFERROR(IF(INDEX(Winter!$1:$1048576,MATCH(All!$A241,Winter!$A:$A,FALSE),MATCH(All!P$1,Winter!$1:$1,FALSE))="","",INDEX(Winter!$1:$1048576,MATCH(All!$A241,Winter!$A:$A,FALSE),MATCH(All!P$1,Winter!$1:$1,FALSE))),"")</f>
        <v>1A</v>
      </c>
      <c r="Q241" t="str">
        <f>IFERROR(IF(INDEX(Winter!$1:$1048576,MATCH(All!$A241,Winter!$A:$A,FALSE),MATCH(All!Q$1,Winter!$1:$1,FALSE))="","",INDEX(Winter!$1:$1048576,MATCH(All!$A241,Winter!$A:$A,FALSE),MATCH(All!Q$1,Winter!$1:$1,FALSE))),"")</f>
        <v/>
      </c>
      <c r="R241" t="str">
        <f>IFERROR(IF(INDEX(Winter!$1:$1048576,MATCH(All!$A241,Winter!$A:$A,FALSE),MATCH(All!R$1,Winter!$1:$1,FALSE))="","",INDEX(Winter!$1:$1048576,MATCH(All!$A241,Winter!$A:$A,FALSE),MATCH(All!R$1,Winter!$1:$1,FALSE))),"")</f>
        <v/>
      </c>
      <c r="S241" t="str">
        <f>IFERROR(IF(INDEX(Winter!$1:$1048576,MATCH(All!$A241,Winter!$A:$A,FALSE),MATCH(All!S$1,Winter!$1:$1,FALSE))="","",INDEX(Winter!$1:$1048576,MATCH(All!$A241,Winter!$A:$A,FALSE),MATCH(All!S$1,Winter!$1:$1,FALSE))),"")</f>
        <v/>
      </c>
      <c r="T241" t="str">
        <f>IFERROR(IF(INDEX(Winter!$1:$1048576,MATCH(All!$A241,Winter!$A:$A,FALSE),MATCH(All!T$1,Winter!$1:$1,FALSE))="","",INDEX(Winter!$1:$1048576,MATCH(All!$A241,Winter!$A:$A,FALSE),MATCH(All!T$1,Winter!$1:$1,FALSE))),"")</f>
        <v/>
      </c>
      <c r="U241" t="str">
        <f>IFERROR(IF(INDEX(Winter!$1:$1048576,MATCH(All!$A241,Winter!$A:$A,FALSE),MATCH(All!U$1,Winter!$1:$1,FALSE))="","",INDEX(Winter!$1:$1048576,MATCH(All!$A241,Winter!$A:$A,FALSE),MATCH(All!U$1,Winter!$1:$1,FALSE))),"")</f>
        <v/>
      </c>
      <c r="W241" t="str">
        <f>IFERROR(IF(INDEX(Spring!$1:$1048576,MATCH(All!$A241,Spring!$A:$A,FALSE),MATCH(All!W$1,Spring!$1:$1,FALSE))="","",INDEX(Spring!$1:$1048576,MATCH(All!$A241,Spring!$A:$A,FALSE),MATCH(All!W$1,Spring!$1:$1,FALSE))),"")</f>
        <v/>
      </c>
      <c r="X241" t="str">
        <f>IFERROR(IF(INDEX(Spring!$1:$1048576,MATCH(All!$A241,Spring!$A:$A,FALSE),MATCH(All!X$1,Spring!$1:$1,FALSE))="","",INDEX(Spring!$1:$1048576,MATCH(All!$A241,Spring!$A:$A,FALSE),MATCH(All!X$1,Spring!$1:$1,FALSE))),"")</f>
        <v/>
      </c>
      <c r="Y241" t="str">
        <f>IFERROR(IF(INDEX(Spring!$1:$1048576,MATCH(All!$A241,Spring!$A:$A,FALSE),MATCH(All!Y$1,Spring!$1:$1,FALSE))="","",INDEX(Spring!$1:$1048576,MATCH(All!$A241,Spring!$A:$A,FALSE),MATCH(All!Y$1,Spring!$1:$1,FALSE))),"")</f>
        <v/>
      </c>
      <c r="Z241" t="str">
        <f>IFERROR(IF(INDEX(Spring!$1:$1048576,MATCH(All!$A241,Spring!$A:$A,FALSE),MATCH(All!Z$1,Spring!$1:$1,FALSE))="","",INDEX(Spring!$1:$1048576,MATCH(All!$A241,Spring!$A:$A,FALSE),MATCH(All!Z$1,Spring!$1:$1,FALSE))),"")</f>
        <v/>
      </c>
      <c r="AA241" t="str">
        <f>IFERROR(IF(INDEX(Spring!$1:$1048576,MATCH(All!$A241,Spring!$A:$A,FALSE),MATCH(All!AA$1,Spring!$1:$1,FALSE))="","",INDEX(Spring!$1:$1048576,MATCH(All!$A241,Spring!$A:$A,FALSE),MATCH(All!AA$1,Spring!$1:$1,FALSE))),"")</f>
        <v/>
      </c>
      <c r="AB241" t="str">
        <f>IFERROR(IF(INDEX(Spring!$1:$1048576,MATCH(All!$A241,Spring!$A:$A,FALSE),MATCH(All!AB$1,Spring!$1:$1,FALSE))="","",INDEX(Spring!$1:$1048576,MATCH(All!$A241,Spring!$A:$A,FALSE),MATCH(All!AB$1,Spring!$1:$1,FALSE))),"")</f>
        <v/>
      </c>
      <c r="AC241" t="str">
        <f>IFERROR(IF(INDEX(Spring!$1:$1048576,MATCH(All!$A241,Spring!$A:$A,FALSE),MATCH(All!AC$1,Spring!$1:$1,FALSE))="","",INDEX(Spring!$1:$1048576,MATCH(All!$A241,Spring!$A:$A,FALSE),MATCH(All!AC$1,Spring!$1:$1,FALSE))),"")</f>
        <v/>
      </c>
      <c r="AD241" t="str">
        <f>IFERROR(VLOOKUP(A241,'Flag Football'!A:A,1,FALSE),"")</f>
        <v/>
      </c>
      <c r="AE241" t="str">
        <f t="shared" si="3"/>
        <v/>
      </c>
    </row>
    <row r="242" spans="1:31" ht="15.75" thickBot="1" x14ac:dyDescent="0.3">
      <c r="A242" s="18" t="s">
        <v>310</v>
      </c>
      <c r="B242" s="38" t="str">
        <f>IFERROR(VLOOKUP(A242,'Public v Private'!A:G,3,FALSE),"")</f>
        <v>private</v>
      </c>
      <c r="C242" s="38">
        <f>IFERROR(VLOOKUP(A242,'Public v Private'!A:G,4,FALSE),"")</f>
        <v>1</v>
      </c>
      <c r="D242" s="38">
        <f>IFERROR(VLOOKUP(A242,'Public v Private'!A:G,5,FALSE),"")</f>
        <v>2</v>
      </c>
      <c r="E242" s="38"/>
      <c r="F242" s="40" t="str">
        <f>IFERROR(INDEX(Fall!$1:$1048576,MATCH(All!$A242,Fall!$A:$A,FALSE),MATCH(All!F$1,Fall!$1:$1,FALSE)),"N/A")</f>
        <v>1,485.00 (2,450.25)</v>
      </c>
      <c r="G242" t="str">
        <f>IFERROR(IF(INDEX(Fall!$1:$1048576,MATCH(All!$A242,Fall!$A:$A,FALSE),MATCH(All!G$1,Fall!$1:$1,FALSE))="","",INDEX(Fall!$1:$1048576,MATCH(All!$A242,Fall!$A:$A,FALSE),MATCH(All!G$1,Fall!$1:$1,FALSE))),"")</f>
        <v>3A</v>
      </c>
      <c r="H242" t="str">
        <f>IFERROR(IF(INDEX(Fall!$1:$1048576,MATCH(All!$A242,Fall!$A:$A,FALSE),MATCH(All!H$1,Fall!$1:$1,FALSE))="","",INDEX(Fall!$1:$1048576,MATCH(All!$A242,Fall!$A:$A,FALSE),MATCH(All!H$1,Fall!$1:$1,FALSE))),"")</f>
        <v>3A</v>
      </c>
      <c r="I242" t="str">
        <f>IFERROR(IF(INDEX(Fall!$1:$1048576,MATCH(All!$A242,Fall!$A:$A,FALSE),MATCH(All!I$1,Fall!$1:$1,FALSE))="","",INDEX(Fall!$1:$1048576,MATCH(All!$A242,Fall!$A:$A,FALSE),MATCH(All!I$1,Fall!$1:$1,FALSE))),"")</f>
        <v>3A</v>
      </c>
      <c r="J242" t="str">
        <f>IFERROR(IF(INDEX(Fall!$1:$1048576,MATCH(All!$A242,Fall!$A:$A,FALSE),MATCH(All!J$1,Fall!$1:$1,FALSE))="","",INDEX(Fall!$1:$1048576,MATCH(All!$A242,Fall!$A:$A,FALSE),MATCH(All!J$1,Fall!$1:$1,FALSE))),"")</f>
        <v>2A</v>
      </c>
      <c r="K242" t="str">
        <f>IFERROR(IF(INDEX(Fall!$1:$1048576,MATCH(All!$A242,Fall!$A:$A,FALSE),MATCH(All!K$1,Fall!$1:$1,FALSE))="","",INDEX(Fall!$1:$1048576,MATCH(All!$A242,Fall!$A:$A,FALSE),MATCH(All!K$1,Fall!$1:$1,FALSE))),"")</f>
        <v>3A</v>
      </c>
      <c r="L242" t="str">
        <f>IFERROR(IF(INDEX(Fall!$1:$1048576,MATCH(All!$A242,Fall!$A:$A,FALSE),MATCH(All!L$1,Fall!$1:$1,FALSE))="","",INDEX(Fall!$1:$1048576,MATCH(All!$A242,Fall!$A:$A,FALSE),MATCH(All!L$1,Fall!$1:$1,FALSE))),"")</f>
        <v>2A</v>
      </c>
      <c r="M242" t="str">
        <f>IFERROR(IF(INDEX(Fall!$1:$1048576,MATCH(All!$A242,Fall!$A:$A,FALSE),MATCH(All!M$1,Fall!$1:$1,FALSE))="","",INDEX(Fall!$1:$1048576,MATCH(All!$A242,Fall!$A:$A,FALSE),MATCH(All!M$1,Fall!$1:$1,FALSE))),"")</f>
        <v>4A</v>
      </c>
      <c r="O242" t="str">
        <f>IFERROR(IF(INDEX(Winter!$1:$1048576,MATCH(All!$A242,Winter!$A:$A,FALSE),MATCH(All!O$1,Winter!$1:$1,FALSE))="","",INDEX(Winter!$1:$1048576,MATCH(All!$A242,Winter!$A:$A,FALSE),MATCH(All!O$1,Winter!$1:$1,FALSE))),"")</f>
        <v>1,485.00 (2,450.25)</v>
      </c>
      <c r="P242" t="str">
        <f>IFERROR(IF(INDEX(Winter!$1:$1048576,MATCH(All!$A242,Winter!$A:$A,FALSE),MATCH(All!P$1,Winter!$1:$1,FALSE))="","",INDEX(Winter!$1:$1048576,MATCH(All!$A242,Winter!$A:$A,FALSE),MATCH(All!P$1,Winter!$1:$1,FALSE))),"")</f>
        <v>4A</v>
      </c>
      <c r="Q242" t="str">
        <f>IFERROR(IF(INDEX(Winter!$1:$1048576,MATCH(All!$A242,Winter!$A:$A,FALSE),MATCH(All!Q$1,Winter!$1:$1,FALSE))="","",INDEX(Winter!$1:$1048576,MATCH(All!$A242,Winter!$A:$A,FALSE),MATCH(All!Q$1,Winter!$1:$1,FALSE))),"")</f>
        <v>4A</v>
      </c>
      <c r="R242" t="str">
        <f>IFERROR(IF(INDEX(Winter!$1:$1048576,MATCH(All!$A242,Winter!$A:$A,FALSE),MATCH(All!R$1,Winter!$1:$1,FALSE))="","",INDEX(Winter!$1:$1048576,MATCH(All!$A242,Winter!$A:$A,FALSE),MATCH(All!R$1,Winter!$1:$1,FALSE))),"")</f>
        <v>2A</v>
      </c>
      <c r="S242" t="str">
        <f>IFERROR(IF(INDEX(Winter!$1:$1048576,MATCH(All!$A242,Winter!$A:$A,FALSE),MATCH(All!S$1,Winter!$1:$1,FALSE))="","",INDEX(Winter!$1:$1048576,MATCH(All!$A242,Winter!$A:$A,FALSE),MATCH(All!S$1,Winter!$1:$1,FALSE))),"")</f>
        <v>2A</v>
      </c>
      <c r="T242" t="str">
        <f>IFERROR(IF(INDEX(Winter!$1:$1048576,MATCH(All!$A242,Winter!$A:$A,FALSE),MATCH(All!T$1,Winter!$1:$1,FALSE))="","",INDEX(Winter!$1:$1048576,MATCH(All!$A242,Winter!$A:$A,FALSE),MATCH(All!T$1,Winter!$1:$1,FALSE))),"")</f>
        <v>2A</v>
      </c>
      <c r="U242" t="str">
        <f>IFERROR(IF(INDEX(Winter!$1:$1048576,MATCH(All!$A242,Winter!$A:$A,FALSE),MATCH(All!U$1,Winter!$1:$1,FALSE))="","",INDEX(Winter!$1:$1048576,MATCH(All!$A242,Winter!$A:$A,FALSE),MATCH(All!U$1,Winter!$1:$1,FALSE))),"")</f>
        <v>2A</v>
      </c>
      <c r="W242" t="str">
        <f>IFERROR(IF(INDEX(Spring!$1:$1048576,MATCH(All!$A242,Spring!$A:$A,FALSE),MATCH(All!W$1,Spring!$1:$1,FALSE))="","",INDEX(Spring!$1:$1048576,MATCH(All!$A242,Spring!$A:$A,FALSE),MATCH(All!W$1,Spring!$1:$1,FALSE))),"")</f>
        <v>1,485.00 (2,450.25)</v>
      </c>
      <c r="X242" t="str">
        <f>IFERROR(IF(INDEX(Spring!$1:$1048576,MATCH(All!$A242,Spring!$A:$A,FALSE),MATCH(All!X$1,Spring!$1:$1,FALSE))="","",INDEX(Spring!$1:$1048576,MATCH(All!$A242,Spring!$A:$A,FALSE),MATCH(All!X$1,Spring!$1:$1,FALSE))),"")</f>
        <v>4A</v>
      </c>
      <c r="Y242" t="str">
        <f>IFERROR(IF(INDEX(Spring!$1:$1048576,MATCH(All!$A242,Spring!$A:$A,FALSE),MATCH(All!Y$1,Spring!$1:$1,FALSE))="","",INDEX(Spring!$1:$1048576,MATCH(All!$A242,Spring!$A:$A,FALSE),MATCH(All!Y$1,Spring!$1:$1,FALSE))),"")</f>
        <v>4A</v>
      </c>
      <c r="Z242" t="str">
        <f>IFERROR(IF(INDEX(Spring!$1:$1048576,MATCH(All!$A242,Spring!$A:$A,FALSE),MATCH(All!Z$1,Spring!$1:$1,FALSE))="","",INDEX(Spring!$1:$1048576,MATCH(All!$A242,Spring!$A:$A,FALSE),MATCH(All!Z$1,Spring!$1:$1,FALSE))),"")</f>
        <v>3A</v>
      </c>
      <c r="AA242" t="str">
        <f>IFERROR(IF(INDEX(Spring!$1:$1048576,MATCH(All!$A242,Spring!$A:$A,FALSE),MATCH(All!AA$1,Spring!$1:$1,FALSE))="","",INDEX(Spring!$1:$1048576,MATCH(All!$A242,Spring!$A:$A,FALSE),MATCH(All!AA$1,Spring!$1:$1,FALSE))),"")</f>
        <v>1A</v>
      </c>
      <c r="AB242" t="str">
        <f>IFERROR(IF(INDEX(Spring!$1:$1048576,MATCH(All!$A242,Spring!$A:$A,FALSE),MATCH(All!AB$1,Spring!$1:$1,FALSE))="","",INDEX(Spring!$1:$1048576,MATCH(All!$A242,Spring!$A:$A,FALSE),MATCH(All!AB$1,Spring!$1:$1,FALSE))),"")</f>
        <v>3A</v>
      </c>
      <c r="AC242" t="str">
        <f>IFERROR(IF(INDEX(Spring!$1:$1048576,MATCH(All!$A242,Spring!$A:$A,FALSE),MATCH(All!AC$1,Spring!$1:$1,FALSE))="","",INDEX(Spring!$1:$1048576,MATCH(All!$A242,Spring!$A:$A,FALSE),MATCH(All!AC$1,Spring!$1:$1,FALSE))),"")</f>
        <v>3A</v>
      </c>
      <c r="AD242" t="str">
        <f>IFERROR(VLOOKUP(A242,'Flag Football'!A:A,1,FALSE),"")</f>
        <v>Chicago (St. Ignatius College Prep)</v>
      </c>
      <c r="AE242" t="str">
        <f t="shared" si="3"/>
        <v>1A</v>
      </c>
    </row>
    <row r="243" spans="1:31" ht="15.75" thickBot="1" x14ac:dyDescent="0.3">
      <c r="A243" s="20" t="s">
        <v>312</v>
      </c>
      <c r="B243" s="38" t="str">
        <f>IFERROR(VLOOKUP(A243,'Public v Private'!A:G,3,FALSE),"")</f>
        <v>private</v>
      </c>
      <c r="C243" s="38">
        <f>IFERROR(VLOOKUP(A243,'Public v Private'!A:G,4,FALSE),"")</f>
        <v>1</v>
      </c>
      <c r="D243" s="38">
        <f>IFERROR(VLOOKUP(A243,'Public v Private'!A:G,5,FALSE),"")</f>
        <v>1</v>
      </c>
      <c r="E243" s="38"/>
      <c r="F243" s="40" t="str">
        <f>IFERROR(INDEX(Fall!$1:$1048576,MATCH(All!$A243,Fall!$A:$A,FALSE),MATCH(All!F$1,Fall!$1:$1,FALSE)),"N/A")</f>
        <v>1,068.00 (1,762.20)</v>
      </c>
      <c r="G243" t="str">
        <f>IFERROR(IF(INDEX(Fall!$1:$1048576,MATCH(All!$A243,Fall!$A:$A,FALSE),MATCH(All!G$1,Fall!$1:$1,FALSE))="","",INDEX(Fall!$1:$1048576,MATCH(All!$A243,Fall!$A:$A,FALSE),MATCH(All!G$1,Fall!$1:$1,FALSE))),"")</f>
        <v>2A</v>
      </c>
      <c r="H243" t="str">
        <f>IFERROR(IF(INDEX(Fall!$1:$1048576,MATCH(All!$A243,Fall!$A:$A,FALSE),MATCH(All!H$1,Fall!$1:$1,FALSE))="","",INDEX(Fall!$1:$1048576,MATCH(All!$A243,Fall!$A:$A,FALSE),MATCH(All!H$1,Fall!$1:$1,FALSE))),"")</f>
        <v/>
      </c>
      <c r="I243" t="str">
        <f>IFERROR(IF(INDEX(Fall!$1:$1048576,MATCH(All!$A243,Fall!$A:$A,FALSE),MATCH(All!I$1,Fall!$1:$1,FALSE))="","",INDEX(Fall!$1:$1048576,MATCH(All!$A243,Fall!$A:$A,FALSE),MATCH(All!I$1,Fall!$1:$1,FALSE))),"")</f>
        <v>3A</v>
      </c>
      <c r="J243" t="str">
        <f>IFERROR(IF(INDEX(Fall!$1:$1048576,MATCH(All!$A243,Fall!$A:$A,FALSE),MATCH(All!J$1,Fall!$1:$1,FALSE))="","",INDEX(Fall!$1:$1048576,MATCH(All!$A243,Fall!$A:$A,FALSE),MATCH(All!J$1,Fall!$1:$1,FALSE))),"")</f>
        <v/>
      </c>
      <c r="K243" t="str">
        <f>IFERROR(IF(INDEX(Fall!$1:$1048576,MATCH(All!$A243,Fall!$A:$A,FALSE),MATCH(All!K$1,Fall!$1:$1,FALSE))="","",INDEX(Fall!$1:$1048576,MATCH(All!$A243,Fall!$A:$A,FALSE),MATCH(All!K$1,Fall!$1:$1,FALSE))),"")</f>
        <v>2A</v>
      </c>
      <c r="L243" t="str">
        <f>IFERROR(IF(INDEX(Fall!$1:$1048576,MATCH(All!$A243,Fall!$A:$A,FALSE),MATCH(All!L$1,Fall!$1:$1,FALSE))="","",INDEX(Fall!$1:$1048576,MATCH(All!$A243,Fall!$A:$A,FALSE),MATCH(All!L$1,Fall!$1:$1,FALSE))),"")</f>
        <v/>
      </c>
      <c r="M243" t="str">
        <f>IFERROR(IF(INDEX(Fall!$1:$1048576,MATCH(All!$A243,Fall!$A:$A,FALSE),MATCH(All!M$1,Fall!$1:$1,FALSE))="","",INDEX(Fall!$1:$1048576,MATCH(All!$A243,Fall!$A:$A,FALSE),MATCH(All!M$1,Fall!$1:$1,FALSE))),"")</f>
        <v/>
      </c>
      <c r="O243" t="str">
        <f>IFERROR(IF(INDEX(Winter!$1:$1048576,MATCH(All!$A243,Winter!$A:$A,FALSE),MATCH(All!O$1,Winter!$1:$1,FALSE))="","",INDEX(Winter!$1:$1048576,MATCH(All!$A243,Winter!$A:$A,FALSE),MATCH(All!O$1,Winter!$1:$1,FALSE))),"")</f>
        <v>1,068.00 (1,762.20)</v>
      </c>
      <c r="P243" t="str">
        <f>IFERROR(IF(INDEX(Winter!$1:$1048576,MATCH(All!$A243,Winter!$A:$A,FALSE),MATCH(All!P$1,Winter!$1:$1,FALSE))="","",INDEX(Winter!$1:$1048576,MATCH(All!$A243,Winter!$A:$A,FALSE),MATCH(All!P$1,Winter!$1:$1,FALSE))),"")</f>
        <v>4A</v>
      </c>
      <c r="Q243" t="str">
        <f>IFERROR(IF(INDEX(Winter!$1:$1048576,MATCH(All!$A243,Winter!$A:$A,FALSE),MATCH(All!Q$1,Winter!$1:$1,FALSE))="","",INDEX(Winter!$1:$1048576,MATCH(All!$A243,Winter!$A:$A,FALSE),MATCH(All!Q$1,Winter!$1:$1,FALSE))),"")</f>
        <v/>
      </c>
      <c r="R243" t="str">
        <f>IFERROR(IF(INDEX(Winter!$1:$1048576,MATCH(All!$A243,Winter!$A:$A,FALSE),MATCH(All!R$1,Winter!$1:$1,FALSE))="","",INDEX(Winter!$1:$1048576,MATCH(All!$A243,Winter!$A:$A,FALSE),MATCH(All!R$1,Winter!$1:$1,FALSE))),"")</f>
        <v/>
      </c>
      <c r="S243" t="str">
        <f>IFERROR(IF(INDEX(Winter!$1:$1048576,MATCH(All!$A243,Winter!$A:$A,FALSE),MATCH(All!S$1,Winter!$1:$1,FALSE))="","",INDEX(Winter!$1:$1048576,MATCH(All!$A243,Winter!$A:$A,FALSE),MATCH(All!S$1,Winter!$1:$1,FALSE))),"")</f>
        <v/>
      </c>
      <c r="T243" t="str">
        <f>IFERROR(IF(INDEX(Winter!$1:$1048576,MATCH(All!$A243,Winter!$A:$A,FALSE),MATCH(All!T$1,Winter!$1:$1,FALSE))="","",INDEX(Winter!$1:$1048576,MATCH(All!$A243,Winter!$A:$A,FALSE),MATCH(All!T$1,Winter!$1:$1,FALSE))),"")</f>
        <v>2A</v>
      </c>
      <c r="U243" t="str">
        <f>IFERROR(IF(INDEX(Winter!$1:$1048576,MATCH(All!$A243,Winter!$A:$A,FALSE),MATCH(All!U$1,Winter!$1:$1,FALSE))="","",INDEX(Winter!$1:$1048576,MATCH(All!$A243,Winter!$A:$A,FALSE),MATCH(All!U$1,Winter!$1:$1,FALSE))),"")</f>
        <v>3A</v>
      </c>
      <c r="W243" t="str">
        <f>IFERROR(IF(INDEX(Spring!$1:$1048576,MATCH(All!$A243,Spring!$A:$A,FALSE),MATCH(All!W$1,Spring!$1:$1,FALSE))="","",INDEX(Spring!$1:$1048576,MATCH(All!$A243,Spring!$A:$A,FALSE),MATCH(All!W$1,Spring!$1:$1,FALSE))),"")</f>
        <v>1,068.00 (1,762.20)</v>
      </c>
      <c r="X243" t="str">
        <f>IFERROR(IF(INDEX(Spring!$1:$1048576,MATCH(All!$A243,Spring!$A:$A,FALSE),MATCH(All!X$1,Spring!$1:$1,FALSE))="","",INDEX(Spring!$1:$1048576,MATCH(All!$A243,Spring!$A:$A,FALSE),MATCH(All!X$1,Spring!$1:$1,FALSE))),"")</f>
        <v>4A</v>
      </c>
      <c r="Y243" t="str">
        <f>IFERROR(IF(INDEX(Spring!$1:$1048576,MATCH(All!$A243,Spring!$A:$A,FALSE),MATCH(All!Y$1,Spring!$1:$1,FALSE))="","",INDEX(Spring!$1:$1048576,MATCH(All!$A243,Spring!$A:$A,FALSE),MATCH(All!Y$1,Spring!$1:$1,FALSE))),"")</f>
        <v/>
      </c>
      <c r="Z243" t="str">
        <f>IFERROR(IF(INDEX(Spring!$1:$1048576,MATCH(All!$A243,Spring!$A:$A,FALSE),MATCH(All!Z$1,Spring!$1:$1,FALSE))="","",INDEX(Spring!$1:$1048576,MATCH(All!$A243,Spring!$A:$A,FALSE),MATCH(All!Z$1,Spring!$1:$1,FALSE))),"")</f>
        <v/>
      </c>
      <c r="AA243" t="str">
        <f>IFERROR(IF(INDEX(Spring!$1:$1048576,MATCH(All!$A243,Spring!$A:$A,FALSE),MATCH(All!AA$1,Spring!$1:$1,FALSE))="","",INDEX(Spring!$1:$1048576,MATCH(All!$A243,Spring!$A:$A,FALSE),MATCH(All!AA$1,Spring!$1:$1,FALSE))),"")</f>
        <v/>
      </c>
      <c r="AB243" t="str">
        <f>IFERROR(IF(INDEX(Spring!$1:$1048576,MATCH(All!$A243,Spring!$A:$A,FALSE),MATCH(All!AB$1,Spring!$1:$1,FALSE))="","",INDEX(Spring!$1:$1048576,MATCH(All!$A243,Spring!$A:$A,FALSE),MATCH(All!AB$1,Spring!$1:$1,FALSE))),"")</f>
        <v>2A</v>
      </c>
      <c r="AC243" t="str">
        <f>IFERROR(IF(INDEX(Spring!$1:$1048576,MATCH(All!$A243,Spring!$A:$A,FALSE),MATCH(All!AC$1,Spring!$1:$1,FALSE))="","",INDEX(Spring!$1:$1048576,MATCH(All!$A243,Spring!$A:$A,FALSE),MATCH(All!AC$1,Spring!$1:$1,FALSE))),"")</f>
        <v/>
      </c>
      <c r="AD243" t="str">
        <f>IFERROR(VLOOKUP(A243,'Flag Football'!A:A,1,FALSE),"")</f>
        <v/>
      </c>
      <c r="AE243" t="str">
        <f t="shared" si="3"/>
        <v/>
      </c>
    </row>
    <row r="244" spans="1:31" ht="15.75" thickBot="1" x14ac:dyDescent="0.3">
      <c r="A244" s="18" t="s">
        <v>314</v>
      </c>
      <c r="B244" s="38" t="str">
        <f>IFERROR(VLOOKUP(A244,'Public v Private'!A:G,3,FALSE),"")</f>
        <v>private</v>
      </c>
      <c r="C244" s="38">
        <f>IFERROR(VLOOKUP(A244,'Public v Private'!A:G,4,FALSE),"")</f>
        <v>1</v>
      </c>
      <c r="D244" s="38">
        <f>IFERROR(VLOOKUP(A244,'Public v Private'!A:G,5,FALSE),"")</f>
        <v>3</v>
      </c>
      <c r="E244" s="38"/>
      <c r="F244" s="40" t="str">
        <f>IFERROR(INDEX(Fall!$1:$1048576,MATCH(All!$A244,Fall!$A:$A,FALSE),MATCH(All!F$1,Fall!$1:$1,FALSE)),"N/A")</f>
        <v>872.00 (1,438.80)</v>
      </c>
      <c r="G244" t="str">
        <f>IFERROR(IF(INDEX(Fall!$1:$1048576,MATCH(All!$A244,Fall!$A:$A,FALSE),MATCH(All!G$1,Fall!$1:$1,FALSE))="","",INDEX(Fall!$1:$1048576,MATCH(All!$A244,Fall!$A:$A,FALSE),MATCH(All!G$1,Fall!$1:$1,FALSE))),"")</f>
        <v>2A</v>
      </c>
      <c r="H244" t="str">
        <f>IFERROR(IF(INDEX(Fall!$1:$1048576,MATCH(All!$A244,Fall!$A:$A,FALSE),MATCH(All!H$1,Fall!$1:$1,FALSE))="","",INDEX(Fall!$1:$1048576,MATCH(All!$A244,Fall!$A:$A,FALSE),MATCH(All!H$1,Fall!$1:$1,FALSE))),"")</f>
        <v/>
      </c>
      <c r="I244" t="str">
        <f>IFERROR(IF(INDEX(Fall!$1:$1048576,MATCH(All!$A244,Fall!$A:$A,FALSE),MATCH(All!I$1,Fall!$1:$1,FALSE))="","",INDEX(Fall!$1:$1048576,MATCH(All!$A244,Fall!$A:$A,FALSE),MATCH(All!I$1,Fall!$1:$1,FALSE))),"")</f>
        <v>2A</v>
      </c>
      <c r="J244" t="str">
        <f>IFERROR(IF(INDEX(Fall!$1:$1048576,MATCH(All!$A244,Fall!$A:$A,FALSE),MATCH(All!J$1,Fall!$1:$1,FALSE))="","",INDEX(Fall!$1:$1048576,MATCH(All!$A244,Fall!$A:$A,FALSE),MATCH(All!J$1,Fall!$1:$1,FALSE))),"")</f>
        <v/>
      </c>
      <c r="K244" t="str">
        <f>IFERROR(IF(INDEX(Fall!$1:$1048576,MATCH(All!$A244,Fall!$A:$A,FALSE),MATCH(All!K$1,Fall!$1:$1,FALSE))="","",INDEX(Fall!$1:$1048576,MATCH(All!$A244,Fall!$A:$A,FALSE),MATCH(All!K$1,Fall!$1:$1,FALSE))),"")</f>
        <v>2A</v>
      </c>
      <c r="L244" t="str">
        <f>IFERROR(IF(INDEX(Fall!$1:$1048576,MATCH(All!$A244,Fall!$A:$A,FALSE),MATCH(All!L$1,Fall!$1:$1,FALSE))="","",INDEX(Fall!$1:$1048576,MATCH(All!$A244,Fall!$A:$A,FALSE),MATCH(All!L$1,Fall!$1:$1,FALSE))),"")</f>
        <v/>
      </c>
      <c r="M244" t="str">
        <f>IFERROR(IF(INDEX(Fall!$1:$1048576,MATCH(All!$A244,Fall!$A:$A,FALSE),MATCH(All!M$1,Fall!$1:$1,FALSE))="","",INDEX(Fall!$1:$1048576,MATCH(All!$A244,Fall!$A:$A,FALSE),MATCH(All!M$1,Fall!$1:$1,FALSE))),"")</f>
        <v/>
      </c>
      <c r="O244" t="str">
        <f>IFERROR(IF(INDEX(Winter!$1:$1048576,MATCH(All!$A244,Winter!$A:$A,FALSE),MATCH(All!O$1,Winter!$1:$1,FALSE))="","",INDEX(Winter!$1:$1048576,MATCH(All!$A244,Winter!$A:$A,FALSE),MATCH(All!O$1,Winter!$1:$1,FALSE))),"")</f>
        <v>872.00 (1,438.80)</v>
      </c>
      <c r="P244" t="str">
        <f>IFERROR(IF(INDEX(Winter!$1:$1048576,MATCH(All!$A244,Winter!$A:$A,FALSE),MATCH(All!P$1,Winter!$1:$1,FALSE))="","",INDEX(Winter!$1:$1048576,MATCH(All!$A244,Winter!$A:$A,FALSE),MATCH(All!P$1,Winter!$1:$1,FALSE))),"")</f>
        <v>3A</v>
      </c>
      <c r="Q244" t="str">
        <f>IFERROR(IF(INDEX(Winter!$1:$1048576,MATCH(All!$A244,Winter!$A:$A,FALSE),MATCH(All!Q$1,Winter!$1:$1,FALSE))="","",INDEX(Winter!$1:$1048576,MATCH(All!$A244,Winter!$A:$A,FALSE),MATCH(All!Q$1,Winter!$1:$1,FALSE))),"")</f>
        <v/>
      </c>
      <c r="R244" t="str">
        <f>IFERROR(IF(INDEX(Winter!$1:$1048576,MATCH(All!$A244,Winter!$A:$A,FALSE),MATCH(All!R$1,Winter!$1:$1,FALSE))="","",INDEX(Winter!$1:$1048576,MATCH(All!$A244,Winter!$A:$A,FALSE),MATCH(All!R$1,Winter!$1:$1,FALSE))),"")</f>
        <v/>
      </c>
      <c r="S244" t="str">
        <f>IFERROR(IF(INDEX(Winter!$1:$1048576,MATCH(All!$A244,Winter!$A:$A,FALSE),MATCH(All!S$1,Winter!$1:$1,FALSE))="","",INDEX(Winter!$1:$1048576,MATCH(All!$A244,Winter!$A:$A,FALSE),MATCH(All!S$1,Winter!$1:$1,FALSE))),"")</f>
        <v/>
      </c>
      <c r="T244" t="str">
        <f>IFERROR(IF(INDEX(Winter!$1:$1048576,MATCH(All!$A244,Winter!$A:$A,FALSE),MATCH(All!T$1,Winter!$1:$1,FALSE))="","",INDEX(Winter!$1:$1048576,MATCH(All!$A244,Winter!$A:$A,FALSE),MATCH(All!T$1,Winter!$1:$1,FALSE))),"")</f>
        <v>2A</v>
      </c>
      <c r="U244" t="str">
        <f>IFERROR(IF(INDEX(Winter!$1:$1048576,MATCH(All!$A244,Winter!$A:$A,FALSE),MATCH(All!U$1,Winter!$1:$1,FALSE))="","",INDEX(Winter!$1:$1048576,MATCH(All!$A244,Winter!$A:$A,FALSE),MATCH(All!U$1,Winter!$1:$1,FALSE))),"")</f>
        <v>2A</v>
      </c>
      <c r="W244" t="str">
        <f>IFERROR(IF(INDEX(Spring!$1:$1048576,MATCH(All!$A244,Spring!$A:$A,FALSE),MATCH(All!W$1,Spring!$1:$1,FALSE))="","",INDEX(Spring!$1:$1048576,MATCH(All!$A244,Spring!$A:$A,FALSE),MATCH(All!W$1,Spring!$1:$1,FALSE))),"")</f>
        <v>872.00 (1,438.80)</v>
      </c>
      <c r="X244" t="str">
        <f>IFERROR(IF(INDEX(Spring!$1:$1048576,MATCH(All!$A244,Spring!$A:$A,FALSE),MATCH(All!X$1,Spring!$1:$1,FALSE))="","",INDEX(Spring!$1:$1048576,MATCH(All!$A244,Spring!$A:$A,FALSE),MATCH(All!X$1,Spring!$1:$1,FALSE))),"")</f>
        <v>3A</v>
      </c>
      <c r="Y244" t="str">
        <f>IFERROR(IF(INDEX(Spring!$1:$1048576,MATCH(All!$A244,Spring!$A:$A,FALSE),MATCH(All!Y$1,Spring!$1:$1,FALSE))="","",INDEX(Spring!$1:$1048576,MATCH(All!$A244,Spring!$A:$A,FALSE),MATCH(All!Y$1,Spring!$1:$1,FALSE))),"")</f>
        <v/>
      </c>
      <c r="Z244" t="str">
        <f>IFERROR(IF(INDEX(Spring!$1:$1048576,MATCH(All!$A244,Spring!$A:$A,FALSE),MATCH(All!Z$1,Spring!$1:$1,FALSE))="","",INDEX(Spring!$1:$1048576,MATCH(All!$A244,Spring!$A:$A,FALSE),MATCH(All!Z$1,Spring!$1:$1,FALSE))),"")</f>
        <v/>
      </c>
      <c r="AA244" t="str">
        <f>IFERROR(IF(INDEX(Spring!$1:$1048576,MATCH(All!$A244,Spring!$A:$A,FALSE),MATCH(All!AA$1,Spring!$1:$1,FALSE))="","",INDEX(Spring!$1:$1048576,MATCH(All!$A244,Spring!$A:$A,FALSE),MATCH(All!AA$1,Spring!$1:$1,FALSE))),"")</f>
        <v/>
      </c>
      <c r="AB244" t="str">
        <f>IFERROR(IF(INDEX(Spring!$1:$1048576,MATCH(All!$A244,Spring!$A:$A,FALSE),MATCH(All!AB$1,Spring!$1:$1,FALSE))="","",INDEX(Spring!$1:$1048576,MATCH(All!$A244,Spring!$A:$A,FALSE),MATCH(All!AB$1,Spring!$1:$1,FALSE))),"")</f>
        <v>3A</v>
      </c>
      <c r="AC244" t="str">
        <f>IFERROR(IF(INDEX(Spring!$1:$1048576,MATCH(All!$A244,Spring!$A:$A,FALSE),MATCH(All!AC$1,Spring!$1:$1,FALSE))="","",INDEX(Spring!$1:$1048576,MATCH(All!$A244,Spring!$A:$A,FALSE),MATCH(All!AC$1,Spring!$1:$1,FALSE))),"")</f>
        <v/>
      </c>
      <c r="AD244" t="str">
        <f>IFERROR(VLOOKUP(A244,'Flag Football'!A:A,1,FALSE),"")</f>
        <v/>
      </c>
      <c r="AE244" t="str">
        <f t="shared" si="3"/>
        <v/>
      </c>
    </row>
    <row r="245" spans="1:31" ht="15.75" thickBot="1" x14ac:dyDescent="0.3">
      <c r="A245" s="20" t="s">
        <v>315</v>
      </c>
      <c r="B245" s="38" t="str">
        <f>IFERROR(VLOOKUP(A245,'Public v Private'!A:G,3,FALSE),"")</f>
        <v/>
      </c>
      <c r="C245" s="38" t="str">
        <f>IFERROR(VLOOKUP(A245,'Public v Private'!A:G,4,FALSE),"")</f>
        <v/>
      </c>
      <c r="D245" s="38" t="str">
        <f>IFERROR(VLOOKUP(A245,'Public v Private'!A:G,5,FALSE),"")</f>
        <v/>
      </c>
      <c r="E245" s="38"/>
      <c r="F245" s="40" t="str">
        <f>IFERROR(INDEX(Fall!$1:$1048576,MATCH(All!$A245,Fall!$A:$A,FALSE),MATCH(All!F$1,Fall!$1:$1,FALSE)),"N/A")</f>
        <v>N/A</v>
      </c>
      <c r="G245" t="str">
        <f>IFERROR(IF(INDEX(Fall!$1:$1048576,MATCH(All!$A245,Fall!$A:$A,FALSE),MATCH(All!G$1,Fall!$1:$1,FALSE))="","",INDEX(Fall!$1:$1048576,MATCH(All!$A245,Fall!$A:$A,FALSE),MATCH(All!G$1,Fall!$1:$1,FALSE))),"")</f>
        <v/>
      </c>
      <c r="H245" t="str">
        <f>IFERROR(IF(INDEX(Fall!$1:$1048576,MATCH(All!$A245,Fall!$A:$A,FALSE),MATCH(All!H$1,Fall!$1:$1,FALSE))="","",INDEX(Fall!$1:$1048576,MATCH(All!$A245,Fall!$A:$A,FALSE),MATCH(All!H$1,Fall!$1:$1,FALSE))),"")</f>
        <v/>
      </c>
      <c r="I245" t="str">
        <f>IFERROR(IF(INDEX(Fall!$1:$1048576,MATCH(All!$A245,Fall!$A:$A,FALSE),MATCH(All!I$1,Fall!$1:$1,FALSE))="","",INDEX(Fall!$1:$1048576,MATCH(All!$A245,Fall!$A:$A,FALSE),MATCH(All!I$1,Fall!$1:$1,FALSE))),"")</f>
        <v/>
      </c>
      <c r="J245" t="str">
        <f>IFERROR(IF(INDEX(Fall!$1:$1048576,MATCH(All!$A245,Fall!$A:$A,FALSE),MATCH(All!J$1,Fall!$1:$1,FALSE))="","",INDEX(Fall!$1:$1048576,MATCH(All!$A245,Fall!$A:$A,FALSE),MATCH(All!J$1,Fall!$1:$1,FALSE))),"")</f>
        <v/>
      </c>
      <c r="K245" t="str">
        <f>IFERROR(IF(INDEX(Fall!$1:$1048576,MATCH(All!$A245,Fall!$A:$A,FALSE),MATCH(All!K$1,Fall!$1:$1,FALSE))="","",INDEX(Fall!$1:$1048576,MATCH(All!$A245,Fall!$A:$A,FALSE),MATCH(All!K$1,Fall!$1:$1,FALSE))),"")</f>
        <v/>
      </c>
      <c r="L245" t="str">
        <f>IFERROR(IF(INDEX(Fall!$1:$1048576,MATCH(All!$A245,Fall!$A:$A,FALSE),MATCH(All!L$1,Fall!$1:$1,FALSE))="","",INDEX(Fall!$1:$1048576,MATCH(All!$A245,Fall!$A:$A,FALSE),MATCH(All!L$1,Fall!$1:$1,FALSE))),"")</f>
        <v/>
      </c>
      <c r="M245" t="str">
        <f>IFERROR(IF(INDEX(Fall!$1:$1048576,MATCH(All!$A245,Fall!$A:$A,FALSE),MATCH(All!M$1,Fall!$1:$1,FALSE))="","",INDEX(Fall!$1:$1048576,MATCH(All!$A245,Fall!$A:$A,FALSE),MATCH(All!M$1,Fall!$1:$1,FALSE))),"")</f>
        <v/>
      </c>
      <c r="O245" t="str">
        <f>IFERROR(IF(INDEX(Winter!$1:$1048576,MATCH(All!$A245,Winter!$A:$A,FALSE),MATCH(All!O$1,Winter!$1:$1,FALSE))="","",INDEX(Winter!$1:$1048576,MATCH(All!$A245,Winter!$A:$A,FALSE),MATCH(All!O$1,Winter!$1:$1,FALSE))),"")</f>
        <v/>
      </c>
      <c r="P245" t="str">
        <f>IFERROR(IF(INDEX(Winter!$1:$1048576,MATCH(All!$A245,Winter!$A:$A,FALSE),MATCH(All!P$1,Winter!$1:$1,FALSE))="","",INDEX(Winter!$1:$1048576,MATCH(All!$A245,Winter!$A:$A,FALSE),MATCH(All!P$1,Winter!$1:$1,FALSE))),"")</f>
        <v/>
      </c>
      <c r="Q245" t="str">
        <f>IFERROR(IF(INDEX(Winter!$1:$1048576,MATCH(All!$A245,Winter!$A:$A,FALSE),MATCH(All!Q$1,Winter!$1:$1,FALSE))="","",INDEX(Winter!$1:$1048576,MATCH(All!$A245,Winter!$A:$A,FALSE),MATCH(All!Q$1,Winter!$1:$1,FALSE))),"")</f>
        <v/>
      </c>
      <c r="R245" t="str">
        <f>IFERROR(IF(INDEX(Winter!$1:$1048576,MATCH(All!$A245,Winter!$A:$A,FALSE),MATCH(All!R$1,Winter!$1:$1,FALSE))="","",INDEX(Winter!$1:$1048576,MATCH(All!$A245,Winter!$A:$A,FALSE),MATCH(All!R$1,Winter!$1:$1,FALSE))),"")</f>
        <v/>
      </c>
      <c r="S245" t="str">
        <f>IFERROR(IF(INDEX(Winter!$1:$1048576,MATCH(All!$A245,Winter!$A:$A,FALSE),MATCH(All!S$1,Winter!$1:$1,FALSE))="","",INDEX(Winter!$1:$1048576,MATCH(All!$A245,Winter!$A:$A,FALSE),MATCH(All!S$1,Winter!$1:$1,FALSE))),"")</f>
        <v/>
      </c>
      <c r="T245" t="str">
        <f>IFERROR(IF(INDEX(Winter!$1:$1048576,MATCH(All!$A245,Winter!$A:$A,FALSE),MATCH(All!T$1,Winter!$1:$1,FALSE))="","",INDEX(Winter!$1:$1048576,MATCH(All!$A245,Winter!$A:$A,FALSE),MATCH(All!T$1,Winter!$1:$1,FALSE))),"")</f>
        <v/>
      </c>
      <c r="U245" t="str">
        <f>IFERROR(IF(INDEX(Winter!$1:$1048576,MATCH(All!$A245,Winter!$A:$A,FALSE),MATCH(All!U$1,Winter!$1:$1,FALSE))="","",INDEX(Winter!$1:$1048576,MATCH(All!$A245,Winter!$A:$A,FALSE),MATCH(All!U$1,Winter!$1:$1,FALSE))),"")</f>
        <v/>
      </c>
      <c r="W245">
        <f>IFERROR(IF(INDEX(Spring!$1:$1048576,MATCH(All!$A245,Spring!$A:$A,FALSE),MATCH(All!W$1,Spring!$1:$1,FALSE))="","",INDEX(Spring!$1:$1048576,MATCH(All!$A245,Spring!$A:$A,FALSE),MATCH(All!W$1,Spring!$1:$1,FALSE))),"")</f>
        <v>1062</v>
      </c>
      <c r="X245" t="str">
        <f>IFERROR(IF(INDEX(Spring!$1:$1048576,MATCH(All!$A245,Spring!$A:$A,FALSE),MATCH(All!X$1,Spring!$1:$1,FALSE))="","",INDEX(Spring!$1:$1048576,MATCH(All!$A245,Spring!$A:$A,FALSE),MATCH(All!X$1,Spring!$1:$1,FALSE))),"")</f>
        <v>3A</v>
      </c>
      <c r="Y245" t="str">
        <f>IFERROR(IF(INDEX(Spring!$1:$1048576,MATCH(All!$A245,Spring!$A:$A,FALSE),MATCH(All!Y$1,Spring!$1:$1,FALSE))="","",INDEX(Spring!$1:$1048576,MATCH(All!$A245,Spring!$A:$A,FALSE),MATCH(All!Y$1,Spring!$1:$1,FALSE))),"")</f>
        <v>3A</v>
      </c>
      <c r="Z245" t="str">
        <f>IFERROR(IF(INDEX(Spring!$1:$1048576,MATCH(All!$A245,Spring!$A:$A,FALSE),MATCH(All!Z$1,Spring!$1:$1,FALSE))="","",INDEX(Spring!$1:$1048576,MATCH(All!$A245,Spring!$A:$A,FALSE),MATCH(All!Z$1,Spring!$1:$1,FALSE))),"")</f>
        <v/>
      </c>
      <c r="AA245" t="str">
        <f>IFERROR(IF(INDEX(Spring!$1:$1048576,MATCH(All!$A245,Spring!$A:$A,FALSE),MATCH(All!AA$1,Spring!$1:$1,FALSE))="","",INDEX(Spring!$1:$1048576,MATCH(All!$A245,Spring!$A:$A,FALSE),MATCH(All!AA$1,Spring!$1:$1,FALSE))),"")</f>
        <v/>
      </c>
      <c r="AB245" t="str">
        <f>IFERROR(IF(INDEX(Spring!$1:$1048576,MATCH(All!$A245,Spring!$A:$A,FALSE),MATCH(All!AB$1,Spring!$1:$1,FALSE))="","",INDEX(Spring!$1:$1048576,MATCH(All!$A245,Spring!$A:$A,FALSE),MATCH(All!AB$1,Spring!$1:$1,FALSE))),"")</f>
        <v>2A</v>
      </c>
      <c r="AC245" t="str">
        <f>IFERROR(IF(INDEX(Spring!$1:$1048576,MATCH(All!$A245,Spring!$A:$A,FALSE),MATCH(All!AC$1,Spring!$1:$1,FALSE))="","",INDEX(Spring!$1:$1048576,MATCH(All!$A245,Spring!$A:$A,FALSE),MATCH(All!AC$1,Spring!$1:$1,FALSE))),"")</f>
        <v>2A</v>
      </c>
      <c r="AD245" t="str">
        <f>IFERROR(VLOOKUP(A245,'Flag Football'!A:A,1,FALSE),"")</f>
        <v/>
      </c>
      <c r="AE245" t="str">
        <f t="shared" si="3"/>
        <v/>
      </c>
    </row>
    <row r="246" spans="1:31" ht="15.75" thickBot="1" x14ac:dyDescent="0.3">
      <c r="A246" s="20" t="s">
        <v>316</v>
      </c>
      <c r="B246" s="38">
        <f>IFERROR(VLOOKUP(A246,'Public v Private'!A:G,3,FALSE),"")</f>
        <v>0</v>
      </c>
      <c r="C246" s="38">
        <f>IFERROR(VLOOKUP(A246,'Public v Private'!A:G,4,FALSE),"")</f>
        <v>0</v>
      </c>
      <c r="D246" s="38">
        <f>IFERROR(VLOOKUP(A246,'Public v Private'!A:G,5,FALSE),"")</f>
        <v>0</v>
      </c>
      <c r="E246" s="38"/>
      <c r="F246" s="40">
        <f>IFERROR(INDEX(Fall!$1:$1048576,MATCH(All!$A246,Fall!$A:$A,FALSE),MATCH(All!F$1,Fall!$1:$1,FALSE)),"N/A")</f>
        <v>711</v>
      </c>
      <c r="G246" t="str">
        <f>IFERROR(IF(INDEX(Fall!$1:$1048576,MATCH(All!$A246,Fall!$A:$A,FALSE),MATCH(All!G$1,Fall!$1:$1,FALSE))="","",INDEX(Fall!$1:$1048576,MATCH(All!$A246,Fall!$A:$A,FALSE),MATCH(All!G$1,Fall!$1:$1,FALSE))),"")</f>
        <v>2A</v>
      </c>
      <c r="H246" t="str">
        <f>IFERROR(IF(INDEX(Fall!$1:$1048576,MATCH(All!$A246,Fall!$A:$A,FALSE),MATCH(All!H$1,Fall!$1:$1,FALSE))="","",INDEX(Fall!$1:$1048576,MATCH(All!$A246,Fall!$A:$A,FALSE),MATCH(All!H$1,Fall!$1:$1,FALSE))),"")</f>
        <v>2A</v>
      </c>
      <c r="I246" t="str">
        <f>IFERROR(IF(INDEX(Fall!$1:$1048576,MATCH(All!$A246,Fall!$A:$A,FALSE),MATCH(All!I$1,Fall!$1:$1,FALSE))="","",INDEX(Fall!$1:$1048576,MATCH(All!$A246,Fall!$A:$A,FALSE),MATCH(All!I$1,Fall!$1:$1,FALSE))),"")</f>
        <v/>
      </c>
      <c r="J246" t="str">
        <f>IFERROR(IF(INDEX(Fall!$1:$1048576,MATCH(All!$A246,Fall!$A:$A,FALSE),MATCH(All!J$1,Fall!$1:$1,FALSE))="","",INDEX(Fall!$1:$1048576,MATCH(All!$A246,Fall!$A:$A,FALSE),MATCH(All!J$1,Fall!$1:$1,FALSE))),"")</f>
        <v/>
      </c>
      <c r="K246" t="str">
        <f>IFERROR(IF(INDEX(Fall!$1:$1048576,MATCH(All!$A246,Fall!$A:$A,FALSE),MATCH(All!K$1,Fall!$1:$1,FALSE))="","",INDEX(Fall!$1:$1048576,MATCH(All!$A246,Fall!$A:$A,FALSE),MATCH(All!K$1,Fall!$1:$1,FALSE))),"")</f>
        <v>2A</v>
      </c>
      <c r="L246" t="str">
        <f>IFERROR(IF(INDEX(Fall!$1:$1048576,MATCH(All!$A246,Fall!$A:$A,FALSE),MATCH(All!L$1,Fall!$1:$1,FALSE))="","",INDEX(Fall!$1:$1048576,MATCH(All!$A246,Fall!$A:$A,FALSE),MATCH(All!L$1,Fall!$1:$1,FALSE))),"")</f>
        <v/>
      </c>
      <c r="M246" t="str">
        <f>IFERROR(IF(INDEX(Fall!$1:$1048576,MATCH(All!$A246,Fall!$A:$A,FALSE),MATCH(All!M$1,Fall!$1:$1,FALSE))="","",INDEX(Fall!$1:$1048576,MATCH(All!$A246,Fall!$A:$A,FALSE),MATCH(All!M$1,Fall!$1:$1,FALSE))),"")</f>
        <v>3A</v>
      </c>
      <c r="O246">
        <f>IFERROR(IF(INDEX(Winter!$1:$1048576,MATCH(All!$A246,Winter!$A:$A,FALSE),MATCH(All!O$1,Winter!$1:$1,FALSE))="","",INDEX(Winter!$1:$1048576,MATCH(All!$A246,Winter!$A:$A,FALSE),MATCH(All!O$1,Winter!$1:$1,FALSE))),"")</f>
        <v>711</v>
      </c>
      <c r="P246" t="str">
        <f>IFERROR(IF(INDEX(Winter!$1:$1048576,MATCH(All!$A246,Winter!$A:$A,FALSE),MATCH(All!P$1,Winter!$1:$1,FALSE))="","",INDEX(Winter!$1:$1048576,MATCH(All!$A246,Winter!$A:$A,FALSE),MATCH(All!P$1,Winter!$1:$1,FALSE))),"")</f>
        <v>3A</v>
      </c>
      <c r="Q246" t="str">
        <f>IFERROR(IF(INDEX(Winter!$1:$1048576,MATCH(All!$A246,Winter!$A:$A,FALSE),MATCH(All!Q$1,Winter!$1:$1,FALSE))="","",INDEX(Winter!$1:$1048576,MATCH(All!$A246,Winter!$A:$A,FALSE),MATCH(All!Q$1,Winter!$1:$1,FALSE))),"")</f>
        <v>3A</v>
      </c>
      <c r="R246" t="str">
        <f>IFERROR(IF(INDEX(Winter!$1:$1048576,MATCH(All!$A246,Winter!$A:$A,FALSE),MATCH(All!R$1,Winter!$1:$1,FALSE))="","",INDEX(Winter!$1:$1048576,MATCH(All!$A246,Winter!$A:$A,FALSE),MATCH(All!R$1,Winter!$1:$1,FALSE))),"")</f>
        <v/>
      </c>
      <c r="S246" t="str">
        <f>IFERROR(IF(INDEX(Winter!$1:$1048576,MATCH(All!$A246,Winter!$A:$A,FALSE),MATCH(All!S$1,Winter!$1:$1,FALSE))="","",INDEX(Winter!$1:$1048576,MATCH(All!$A246,Winter!$A:$A,FALSE),MATCH(All!S$1,Winter!$1:$1,FALSE))),"")</f>
        <v/>
      </c>
      <c r="T246" t="str">
        <f>IFERROR(IF(INDEX(Winter!$1:$1048576,MATCH(All!$A246,Winter!$A:$A,FALSE),MATCH(All!T$1,Winter!$1:$1,FALSE))="","",INDEX(Winter!$1:$1048576,MATCH(All!$A246,Winter!$A:$A,FALSE),MATCH(All!T$1,Winter!$1:$1,FALSE))),"")</f>
        <v/>
      </c>
      <c r="U246" t="str">
        <f>IFERROR(IF(INDEX(Winter!$1:$1048576,MATCH(All!$A246,Winter!$A:$A,FALSE),MATCH(All!U$1,Winter!$1:$1,FALSE))="","",INDEX(Winter!$1:$1048576,MATCH(All!$A246,Winter!$A:$A,FALSE),MATCH(All!U$1,Winter!$1:$1,FALSE))),"")</f>
        <v>1A</v>
      </c>
      <c r="W246">
        <f>IFERROR(IF(INDEX(Spring!$1:$1048576,MATCH(All!$A246,Spring!$A:$A,FALSE),MATCH(All!W$1,Spring!$1:$1,FALSE))="","",INDEX(Spring!$1:$1048576,MATCH(All!$A246,Spring!$A:$A,FALSE),MATCH(All!W$1,Spring!$1:$1,FALSE))),"")</f>
        <v>711</v>
      </c>
      <c r="X246" t="str">
        <f>IFERROR(IF(INDEX(Spring!$1:$1048576,MATCH(All!$A246,Spring!$A:$A,FALSE),MATCH(All!X$1,Spring!$1:$1,FALSE))="","",INDEX(Spring!$1:$1048576,MATCH(All!$A246,Spring!$A:$A,FALSE),MATCH(All!X$1,Spring!$1:$1,FALSE))),"")</f>
        <v/>
      </c>
      <c r="Y246" t="str">
        <f>IFERROR(IF(INDEX(Spring!$1:$1048576,MATCH(All!$A246,Spring!$A:$A,FALSE),MATCH(All!Y$1,Spring!$1:$1,FALSE))="","",INDEX(Spring!$1:$1048576,MATCH(All!$A246,Spring!$A:$A,FALSE),MATCH(All!Y$1,Spring!$1:$1,FALSE))),"")</f>
        <v/>
      </c>
      <c r="Z246" t="str">
        <f>IFERROR(IF(INDEX(Spring!$1:$1048576,MATCH(All!$A246,Spring!$A:$A,FALSE),MATCH(All!Z$1,Spring!$1:$1,FALSE))="","",INDEX(Spring!$1:$1048576,MATCH(All!$A246,Spring!$A:$A,FALSE),MATCH(All!Z$1,Spring!$1:$1,FALSE))),"")</f>
        <v/>
      </c>
      <c r="AA246" t="str">
        <f>IFERROR(IF(INDEX(Spring!$1:$1048576,MATCH(All!$A246,Spring!$A:$A,FALSE),MATCH(All!AA$1,Spring!$1:$1,FALSE))="","",INDEX(Spring!$1:$1048576,MATCH(All!$A246,Spring!$A:$A,FALSE),MATCH(All!AA$1,Spring!$1:$1,FALSE))),"")</f>
        <v/>
      </c>
      <c r="AB246" t="str">
        <f>IFERROR(IF(INDEX(Spring!$1:$1048576,MATCH(All!$A246,Spring!$A:$A,FALSE),MATCH(All!AB$1,Spring!$1:$1,FALSE))="","",INDEX(Spring!$1:$1048576,MATCH(All!$A246,Spring!$A:$A,FALSE),MATCH(All!AB$1,Spring!$1:$1,FALSE))),"")</f>
        <v>2A</v>
      </c>
      <c r="AC246" t="str">
        <f>IFERROR(IF(INDEX(Spring!$1:$1048576,MATCH(All!$A246,Spring!$A:$A,FALSE),MATCH(All!AC$1,Spring!$1:$1,FALSE))="","",INDEX(Spring!$1:$1048576,MATCH(All!$A246,Spring!$A:$A,FALSE),MATCH(All!AC$1,Spring!$1:$1,FALSE))),"")</f>
        <v>2A</v>
      </c>
      <c r="AD246" t="str">
        <f>IFERROR(VLOOKUP(A246,'Flag Football'!A:A,1,FALSE),"")</f>
        <v/>
      </c>
      <c r="AE246" t="str">
        <f t="shared" si="3"/>
        <v/>
      </c>
    </row>
    <row r="247" spans="1:31" ht="15.75" thickBot="1" x14ac:dyDescent="0.3">
      <c r="A247" s="18" t="s">
        <v>317</v>
      </c>
      <c r="B247" s="38">
        <f>IFERROR(VLOOKUP(A247,'Public v Private'!A:G,3,FALSE),"")</f>
        <v>0</v>
      </c>
      <c r="C247" s="38">
        <f>IFERROR(VLOOKUP(A247,'Public v Private'!A:G,4,FALSE),"")</f>
        <v>0</v>
      </c>
      <c r="D247" s="38">
        <f>IFERROR(VLOOKUP(A247,'Public v Private'!A:G,5,FALSE),"")</f>
        <v>0</v>
      </c>
      <c r="E247" s="38"/>
      <c r="F247" s="40">
        <f>IFERROR(INDEX(Fall!$1:$1048576,MATCH(All!$A247,Fall!$A:$A,FALSE),MATCH(All!F$1,Fall!$1:$1,FALSE)),"N/A")</f>
        <v>4114</v>
      </c>
      <c r="G247" t="str">
        <f>IFERROR(IF(INDEX(Fall!$1:$1048576,MATCH(All!$A247,Fall!$A:$A,FALSE),MATCH(All!G$1,Fall!$1:$1,FALSE))="","",INDEX(Fall!$1:$1048576,MATCH(All!$A247,Fall!$A:$A,FALSE),MATCH(All!G$1,Fall!$1:$1,FALSE))),"")</f>
        <v>3A</v>
      </c>
      <c r="H247" t="str">
        <f>IFERROR(IF(INDEX(Fall!$1:$1048576,MATCH(All!$A247,Fall!$A:$A,FALSE),MATCH(All!H$1,Fall!$1:$1,FALSE))="","",INDEX(Fall!$1:$1048576,MATCH(All!$A247,Fall!$A:$A,FALSE),MATCH(All!H$1,Fall!$1:$1,FALSE))),"")</f>
        <v>3A</v>
      </c>
      <c r="I247" t="str">
        <f>IFERROR(IF(INDEX(Fall!$1:$1048576,MATCH(All!$A247,Fall!$A:$A,FALSE),MATCH(All!I$1,Fall!$1:$1,FALSE))="","",INDEX(Fall!$1:$1048576,MATCH(All!$A247,Fall!$A:$A,FALSE),MATCH(All!I$1,Fall!$1:$1,FALSE))),"")</f>
        <v>3A</v>
      </c>
      <c r="J247" t="str">
        <f>IFERROR(IF(INDEX(Fall!$1:$1048576,MATCH(All!$A247,Fall!$A:$A,FALSE),MATCH(All!J$1,Fall!$1:$1,FALSE))="","",INDEX(Fall!$1:$1048576,MATCH(All!$A247,Fall!$A:$A,FALSE),MATCH(All!J$1,Fall!$1:$1,FALSE))),"")</f>
        <v>2A</v>
      </c>
      <c r="K247" t="str">
        <f>IFERROR(IF(INDEX(Fall!$1:$1048576,MATCH(All!$A247,Fall!$A:$A,FALSE),MATCH(All!K$1,Fall!$1:$1,FALSE))="","",INDEX(Fall!$1:$1048576,MATCH(All!$A247,Fall!$A:$A,FALSE),MATCH(All!K$1,Fall!$1:$1,FALSE))),"")</f>
        <v>3A</v>
      </c>
      <c r="L247" t="str">
        <f>IFERROR(IF(INDEX(Fall!$1:$1048576,MATCH(All!$A247,Fall!$A:$A,FALSE),MATCH(All!L$1,Fall!$1:$1,FALSE))="","",INDEX(Fall!$1:$1048576,MATCH(All!$A247,Fall!$A:$A,FALSE),MATCH(All!L$1,Fall!$1:$1,FALSE))),"")</f>
        <v>2A</v>
      </c>
      <c r="M247" t="str">
        <f>IFERROR(IF(INDEX(Fall!$1:$1048576,MATCH(All!$A247,Fall!$A:$A,FALSE),MATCH(All!M$1,Fall!$1:$1,FALSE))="","",INDEX(Fall!$1:$1048576,MATCH(All!$A247,Fall!$A:$A,FALSE),MATCH(All!M$1,Fall!$1:$1,FALSE))),"")</f>
        <v>4A</v>
      </c>
      <c r="O247">
        <f>IFERROR(IF(INDEX(Winter!$1:$1048576,MATCH(All!$A247,Winter!$A:$A,FALSE),MATCH(All!O$1,Winter!$1:$1,FALSE))="","",INDEX(Winter!$1:$1048576,MATCH(All!$A247,Winter!$A:$A,FALSE),MATCH(All!O$1,Winter!$1:$1,FALSE))),"")</f>
        <v>4114</v>
      </c>
      <c r="P247" t="str">
        <f>IFERROR(IF(INDEX(Winter!$1:$1048576,MATCH(All!$A247,Winter!$A:$A,FALSE),MATCH(All!P$1,Winter!$1:$1,FALSE))="","",INDEX(Winter!$1:$1048576,MATCH(All!$A247,Winter!$A:$A,FALSE),MATCH(All!P$1,Winter!$1:$1,FALSE))),"")</f>
        <v>4A</v>
      </c>
      <c r="Q247" t="str">
        <f>IFERROR(IF(INDEX(Winter!$1:$1048576,MATCH(All!$A247,Winter!$A:$A,FALSE),MATCH(All!Q$1,Winter!$1:$1,FALSE))="","",INDEX(Winter!$1:$1048576,MATCH(All!$A247,Winter!$A:$A,FALSE),MATCH(All!Q$1,Winter!$1:$1,FALSE))),"")</f>
        <v>4A</v>
      </c>
      <c r="R247" t="str">
        <f>IFERROR(IF(INDEX(Winter!$1:$1048576,MATCH(All!$A247,Winter!$A:$A,FALSE),MATCH(All!R$1,Winter!$1:$1,FALSE))="","",INDEX(Winter!$1:$1048576,MATCH(All!$A247,Winter!$A:$A,FALSE),MATCH(All!R$1,Winter!$1:$1,FALSE))),"")</f>
        <v>3A</v>
      </c>
      <c r="S247" t="str">
        <f>IFERROR(IF(INDEX(Winter!$1:$1048576,MATCH(All!$A247,Winter!$A:$A,FALSE),MATCH(All!S$1,Winter!$1:$1,FALSE))="","",INDEX(Winter!$1:$1048576,MATCH(All!$A247,Winter!$A:$A,FALSE),MATCH(All!S$1,Winter!$1:$1,FALSE))),"")</f>
        <v>3A</v>
      </c>
      <c r="T247" t="str">
        <f>IFERROR(IF(INDEX(Winter!$1:$1048576,MATCH(All!$A247,Winter!$A:$A,FALSE),MATCH(All!T$1,Winter!$1:$1,FALSE))="","",INDEX(Winter!$1:$1048576,MATCH(All!$A247,Winter!$A:$A,FALSE),MATCH(All!T$1,Winter!$1:$1,FALSE))),"")</f>
        <v/>
      </c>
      <c r="U247" t="str">
        <f>IFERROR(IF(INDEX(Winter!$1:$1048576,MATCH(All!$A247,Winter!$A:$A,FALSE),MATCH(All!U$1,Winter!$1:$1,FALSE))="","",INDEX(Winter!$1:$1048576,MATCH(All!$A247,Winter!$A:$A,FALSE),MATCH(All!U$1,Winter!$1:$1,FALSE))),"")</f>
        <v>3A</v>
      </c>
      <c r="W247">
        <f>IFERROR(IF(INDEX(Spring!$1:$1048576,MATCH(All!$A247,Spring!$A:$A,FALSE),MATCH(All!W$1,Spring!$1:$1,FALSE))="","",INDEX(Spring!$1:$1048576,MATCH(All!$A247,Spring!$A:$A,FALSE),MATCH(All!W$1,Spring!$1:$1,FALSE))),"")</f>
        <v>4114</v>
      </c>
      <c r="X247" t="str">
        <f>IFERROR(IF(INDEX(Spring!$1:$1048576,MATCH(All!$A247,Spring!$A:$A,FALSE),MATCH(All!X$1,Spring!$1:$1,FALSE))="","",INDEX(Spring!$1:$1048576,MATCH(All!$A247,Spring!$A:$A,FALSE),MATCH(All!X$1,Spring!$1:$1,FALSE))),"")</f>
        <v>4A</v>
      </c>
      <c r="Y247" t="str">
        <f>IFERROR(IF(INDEX(Spring!$1:$1048576,MATCH(All!$A247,Spring!$A:$A,FALSE),MATCH(All!Y$1,Spring!$1:$1,FALSE))="","",INDEX(Spring!$1:$1048576,MATCH(All!$A247,Spring!$A:$A,FALSE),MATCH(All!Y$1,Spring!$1:$1,FALSE))),"")</f>
        <v>4A</v>
      </c>
      <c r="Z247" t="str">
        <f>IFERROR(IF(INDEX(Spring!$1:$1048576,MATCH(All!$A247,Spring!$A:$A,FALSE),MATCH(All!Z$1,Spring!$1:$1,FALSE))="","",INDEX(Spring!$1:$1048576,MATCH(All!$A247,Spring!$A:$A,FALSE),MATCH(All!Z$1,Spring!$1:$1,FALSE))),"")</f>
        <v>3A</v>
      </c>
      <c r="AA247" t="str">
        <f>IFERROR(IF(INDEX(Spring!$1:$1048576,MATCH(All!$A247,Spring!$A:$A,FALSE),MATCH(All!AA$1,Spring!$1:$1,FALSE))="","",INDEX(Spring!$1:$1048576,MATCH(All!$A247,Spring!$A:$A,FALSE),MATCH(All!AA$1,Spring!$1:$1,FALSE))),"")</f>
        <v>2A</v>
      </c>
      <c r="AB247" t="str">
        <f>IFERROR(IF(INDEX(Spring!$1:$1048576,MATCH(All!$A247,Spring!$A:$A,FALSE),MATCH(All!AB$1,Spring!$1:$1,FALSE))="","",INDEX(Spring!$1:$1048576,MATCH(All!$A247,Spring!$A:$A,FALSE),MATCH(All!AB$1,Spring!$1:$1,FALSE))),"")</f>
        <v>3A</v>
      </c>
      <c r="AC247" t="str">
        <f>IFERROR(IF(INDEX(Spring!$1:$1048576,MATCH(All!$A247,Spring!$A:$A,FALSE),MATCH(All!AC$1,Spring!$1:$1,FALSE))="","",INDEX(Spring!$1:$1048576,MATCH(All!$A247,Spring!$A:$A,FALSE),MATCH(All!AC$1,Spring!$1:$1,FALSE))),"")</f>
        <v>3A</v>
      </c>
      <c r="AD247" t="str">
        <f>IFERROR(VLOOKUP(A247,'Flag Football'!A:A,1,FALSE),"")</f>
        <v>Chicago (Taft)</v>
      </c>
      <c r="AE247" t="str">
        <f t="shared" si="3"/>
        <v>1A</v>
      </c>
    </row>
    <row r="248" spans="1:31" ht="15.75" thickBot="1" x14ac:dyDescent="0.3">
      <c r="A248" s="20" t="s">
        <v>941</v>
      </c>
      <c r="B248" s="38">
        <f>IFERROR(VLOOKUP(A248,'Public v Private'!A:G,3,FALSE),"")</f>
        <v>0</v>
      </c>
      <c r="C248" s="38">
        <f>IFERROR(VLOOKUP(A248,'Public v Private'!A:G,4,FALSE),"")</f>
        <v>0</v>
      </c>
      <c r="D248" s="38">
        <f>IFERROR(VLOOKUP(A248,'Public v Private'!A:G,5,FALSE),"")</f>
        <v>0</v>
      </c>
      <c r="E248" s="38"/>
      <c r="F248" s="40">
        <f>IFERROR(INDEX(Fall!$1:$1048576,MATCH(All!$A248,Fall!$A:$A,FALSE),MATCH(All!F$1,Fall!$1:$1,FALSE)),"N/A")</f>
        <v>246</v>
      </c>
      <c r="G248" t="str">
        <f>IFERROR(IF(INDEX(Fall!$1:$1048576,MATCH(All!$A248,Fall!$A:$A,FALSE),MATCH(All!G$1,Fall!$1:$1,FALSE))="","",INDEX(Fall!$1:$1048576,MATCH(All!$A248,Fall!$A:$A,FALSE),MATCH(All!G$1,Fall!$1:$1,FALSE))),"")</f>
        <v/>
      </c>
      <c r="H248" t="str">
        <f>IFERROR(IF(INDEX(Fall!$1:$1048576,MATCH(All!$A248,Fall!$A:$A,FALSE),MATCH(All!H$1,Fall!$1:$1,FALSE))="","",INDEX(Fall!$1:$1048576,MATCH(All!$A248,Fall!$A:$A,FALSE),MATCH(All!H$1,Fall!$1:$1,FALSE))),"")</f>
        <v/>
      </c>
      <c r="I248" t="str">
        <f>IFERROR(IF(INDEX(Fall!$1:$1048576,MATCH(All!$A248,Fall!$A:$A,FALSE),MATCH(All!I$1,Fall!$1:$1,FALSE))="","",INDEX(Fall!$1:$1048576,MATCH(All!$A248,Fall!$A:$A,FALSE),MATCH(All!I$1,Fall!$1:$1,FALSE))),"")</f>
        <v/>
      </c>
      <c r="J248" t="str">
        <f>IFERROR(IF(INDEX(Fall!$1:$1048576,MATCH(All!$A248,Fall!$A:$A,FALSE),MATCH(All!J$1,Fall!$1:$1,FALSE))="","",INDEX(Fall!$1:$1048576,MATCH(All!$A248,Fall!$A:$A,FALSE),MATCH(All!J$1,Fall!$1:$1,FALSE))),"")</f>
        <v/>
      </c>
      <c r="K248" t="str">
        <f>IFERROR(IF(INDEX(Fall!$1:$1048576,MATCH(All!$A248,Fall!$A:$A,FALSE),MATCH(All!K$1,Fall!$1:$1,FALSE))="","",INDEX(Fall!$1:$1048576,MATCH(All!$A248,Fall!$A:$A,FALSE),MATCH(All!K$1,Fall!$1:$1,FALSE))),"")</f>
        <v>1A</v>
      </c>
      <c r="L248" t="str">
        <f>IFERROR(IF(INDEX(Fall!$1:$1048576,MATCH(All!$A248,Fall!$A:$A,FALSE),MATCH(All!L$1,Fall!$1:$1,FALSE))="","",INDEX(Fall!$1:$1048576,MATCH(All!$A248,Fall!$A:$A,FALSE),MATCH(All!L$1,Fall!$1:$1,FALSE))),"")</f>
        <v/>
      </c>
      <c r="M248" t="str">
        <f>IFERROR(IF(INDEX(Fall!$1:$1048576,MATCH(All!$A248,Fall!$A:$A,FALSE),MATCH(All!M$1,Fall!$1:$1,FALSE))="","",INDEX(Fall!$1:$1048576,MATCH(All!$A248,Fall!$A:$A,FALSE),MATCH(All!M$1,Fall!$1:$1,FALSE))),"")</f>
        <v>1A</v>
      </c>
      <c r="O248">
        <f>IFERROR(IF(INDEX(Winter!$1:$1048576,MATCH(All!$A248,Winter!$A:$A,FALSE),MATCH(All!O$1,Winter!$1:$1,FALSE))="","",INDEX(Winter!$1:$1048576,MATCH(All!$A248,Winter!$A:$A,FALSE),MATCH(All!O$1,Winter!$1:$1,FALSE))),"")</f>
        <v>246</v>
      </c>
      <c r="P248" t="str">
        <f>IFERROR(IF(INDEX(Winter!$1:$1048576,MATCH(All!$A248,Winter!$A:$A,FALSE),MATCH(All!P$1,Winter!$1:$1,FALSE))="","",INDEX(Winter!$1:$1048576,MATCH(All!$A248,Winter!$A:$A,FALSE),MATCH(All!P$1,Winter!$1:$1,FALSE))),"")</f>
        <v>1A</v>
      </c>
      <c r="Q248" t="str">
        <f>IFERROR(IF(INDEX(Winter!$1:$1048576,MATCH(All!$A248,Winter!$A:$A,FALSE),MATCH(All!Q$1,Winter!$1:$1,FALSE))="","",INDEX(Winter!$1:$1048576,MATCH(All!$A248,Winter!$A:$A,FALSE),MATCH(All!Q$1,Winter!$1:$1,FALSE))),"")</f>
        <v/>
      </c>
      <c r="R248" t="str">
        <f>IFERROR(IF(INDEX(Winter!$1:$1048576,MATCH(All!$A248,Winter!$A:$A,FALSE),MATCH(All!R$1,Winter!$1:$1,FALSE))="","",INDEX(Winter!$1:$1048576,MATCH(All!$A248,Winter!$A:$A,FALSE),MATCH(All!R$1,Winter!$1:$1,FALSE))),"")</f>
        <v/>
      </c>
      <c r="S248" t="str">
        <f>IFERROR(IF(INDEX(Winter!$1:$1048576,MATCH(All!$A248,Winter!$A:$A,FALSE),MATCH(All!S$1,Winter!$1:$1,FALSE))="","",INDEX(Winter!$1:$1048576,MATCH(All!$A248,Winter!$A:$A,FALSE),MATCH(All!S$1,Winter!$1:$1,FALSE))),"")</f>
        <v/>
      </c>
      <c r="T248" t="str">
        <f>IFERROR(IF(INDEX(Winter!$1:$1048576,MATCH(All!$A248,Winter!$A:$A,FALSE),MATCH(All!T$1,Winter!$1:$1,FALSE))="","",INDEX(Winter!$1:$1048576,MATCH(All!$A248,Winter!$A:$A,FALSE),MATCH(All!T$1,Winter!$1:$1,FALSE))),"")</f>
        <v/>
      </c>
      <c r="U248" t="str">
        <f>IFERROR(IF(INDEX(Winter!$1:$1048576,MATCH(All!$A248,Winter!$A:$A,FALSE),MATCH(All!U$1,Winter!$1:$1,FALSE))="","",INDEX(Winter!$1:$1048576,MATCH(All!$A248,Winter!$A:$A,FALSE),MATCH(All!U$1,Winter!$1:$1,FALSE))),"")</f>
        <v/>
      </c>
      <c r="W248" t="str">
        <f>IFERROR(IF(INDEX(Spring!$1:$1048576,MATCH(All!$A248,Spring!$A:$A,FALSE),MATCH(All!W$1,Spring!$1:$1,FALSE))="","",INDEX(Spring!$1:$1048576,MATCH(All!$A248,Spring!$A:$A,FALSE),MATCH(All!W$1,Spring!$1:$1,FALSE))),"")</f>
        <v/>
      </c>
      <c r="X248" t="str">
        <f>IFERROR(IF(INDEX(Spring!$1:$1048576,MATCH(All!$A248,Spring!$A:$A,FALSE),MATCH(All!X$1,Spring!$1:$1,FALSE))="","",INDEX(Spring!$1:$1048576,MATCH(All!$A248,Spring!$A:$A,FALSE),MATCH(All!X$1,Spring!$1:$1,FALSE))),"")</f>
        <v/>
      </c>
      <c r="Y248" t="str">
        <f>IFERROR(IF(INDEX(Spring!$1:$1048576,MATCH(All!$A248,Spring!$A:$A,FALSE),MATCH(All!Y$1,Spring!$1:$1,FALSE))="","",INDEX(Spring!$1:$1048576,MATCH(All!$A248,Spring!$A:$A,FALSE),MATCH(All!Y$1,Spring!$1:$1,FALSE))),"")</f>
        <v/>
      </c>
      <c r="Z248" t="str">
        <f>IFERROR(IF(INDEX(Spring!$1:$1048576,MATCH(All!$A248,Spring!$A:$A,FALSE),MATCH(All!Z$1,Spring!$1:$1,FALSE))="","",INDEX(Spring!$1:$1048576,MATCH(All!$A248,Spring!$A:$A,FALSE),MATCH(All!Z$1,Spring!$1:$1,FALSE))),"")</f>
        <v/>
      </c>
      <c r="AA248" t="str">
        <f>IFERROR(IF(INDEX(Spring!$1:$1048576,MATCH(All!$A248,Spring!$A:$A,FALSE),MATCH(All!AA$1,Spring!$1:$1,FALSE))="","",INDEX(Spring!$1:$1048576,MATCH(All!$A248,Spring!$A:$A,FALSE),MATCH(All!AA$1,Spring!$1:$1,FALSE))),"")</f>
        <v/>
      </c>
      <c r="AB248" t="str">
        <f>IFERROR(IF(INDEX(Spring!$1:$1048576,MATCH(All!$A248,Spring!$A:$A,FALSE),MATCH(All!AB$1,Spring!$1:$1,FALSE))="","",INDEX(Spring!$1:$1048576,MATCH(All!$A248,Spring!$A:$A,FALSE),MATCH(All!AB$1,Spring!$1:$1,FALSE))),"")</f>
        <v/>
      </c>
      <c r="AC248" t="str">
        <f>IFERROR(IF(INDEX(Spring!$1:$1048576,MATCH(All!$A248,Spring!$A:$A,FALSE),MATCH(All!AC$1,Spring!$1:$1,FALSE))="","",INDEX(Spring!$1:$1048576,MATCH(All!$A248,Spring!$A:$A,FALSE),MATCH(All!AC$1,Spring!$1:$1,FALSE))),"")</f>
        <v/>
      </c>
      <c r="AD248" t="str">
        <f>IFERROR(VLOOKUP(A248,'Flag Football'!A:A,1,FALSE),"")</f>
        <v/>
      </c>
      <c r="AE248" t="str">
        <f t="shared" si="3"/>
        <v/>
      </c>
    </row>
    <row r="249" spans="1:31" ht="15.75" thickBot="1" x14ac:dyDescent="0.3">
      <c r="A249" s="18" t="s">
        <v>318</v>
      </c>
      <c r="B249" s="38" t="str">
        <f>IFERROR(VLOOKUP(A249,'Public v Private'!A:G,3,FALSE),"")</f>
        <v>?</v>
      </c>
      <c r="C249" s="38">
        <f>IFERROR(VLOOKUP(A249,'Public v Private'!A:G,4,FALSE),"")</f>
        <v>0</v>
      </c>
      <c r="D249" s="38">
        <f>IFERROR(VLOOKUP(A249,'Public v Private'!A:G,5,FALSE),"")</f>
        <v>0</v>
      </c>
      <c r="E249" s="38"/>
      <c r="F249" s="40" t="str">
        <f>IFERROR(INDEX(Fall!$1:$1048576,MATCH(All!$A249,Fall!$A:$A,FALSE),MATCH(All!F$1,Fall!$1:$1,FALSE)),"N/A")</f>
        <v>346.00 (570.90)</v>
      </c>
      <c r="G249" t="str">
        <f>IFERROR(IF(INDEX(Fall!$1:$1048576,MATCH(All!$A249,Fall!$A:$A,FALSE),MATCH(All!G$1,Fall!$1:$1,FALSE))="","",INDEX(Fall!$1:$1048576,MATCH(All!$A249,Fall!$A:$A,FALSE),MATCH(All!G$1,Fall!$1:$1,FALSE))),"")</f>
        <v/>
      </c>
      <c r="H249" t="str">
        <f>IFERROR(IF(INDEX(Fall!$1:$1048576,MATCH(All!$A249,Fall!$A:$A,FALSE),MATCH(All!H$1,Fall!$1:$1,FALSE))="","",INDEX(Fall!$1:$1048576,MATCH(All!$A249,Fall!$A:$A,FALSE),MATCH(All!H$1,Fall!$1:$1,FALSE))),"")</f>
        <v/>
      </c>
      <c r="I249" t="str">
        <f>IFERROR(IF(INDEX(Fall!$1:$1048576,MATCH(All!$A249,Fall!$A:$A,FALSE),MATCH(All!I$1,Fall!$1:$1,FALSE))="","",INDEX(Fall!$1:$1048576,MATCH(All!$A249,Fall!$A:$A,FALSE),MATCH(All!I$1,Fall!$1:$1,FALSE))),"")</f>
        <v/>
      </c>
      <c r="J249" t="str">
        <f>IFERROR(IF(INDEX(Fall!$1:$1048576,MATCH(All!$A249,Fall!$A:$A,FALSE),MATCH(All!J$1,Fall!$1:$1,FALSE))="","",INDEX(Fall!$1:$1048576,MATCH(All!$A249,Fall!$A:$A,FALSE),MATCH(All!J$1,Fall!$1:$1,FALSE))),"")</f>
        <v/>
      </c>
      <c r="K249" t="str">
        <f>IFERROR(IF(INDEX(Fall!$1:$1048576,MATCH(All!$A249,Fall!$A:$A,FALSE),MATCH(All!K$1,Fall!$1:$1,FALSE))="","",INDEX(Fall!$1:$1048576,MATCH(All!$A249,Fall!$A:$A,FALSE),MATCH(All!K$1,Fall!$1:$1,FALSE))),"")</f>
        <v/>
      </c>
      <c r="L249" t="str">
        <f>IFERROR(IF(INDEX(Fall!$1:$1048576,MATCH(All!$A249,Fall!$A:$A,FALSE),MATCH(All!L$1,Fall!$1:$1,FALSE))="","",INDEX(Fall!$1:$1048576,MATCH(All!$A249,Fall!$A:$A,FALSE),MATCH(All!L$1,Fall!$1:$1,FALSE))),"")</f>
        <v/>
      </c>
      <c r="M249" t="str">
        <f>IFERROR(IF(INDEX(Fall!$1:$1048576,MATCH(All!$A249,Fall!$A:$A,FALSE),MATCH(All!M$1,Fall!$1:$1,FALSE))="","",INDEX(Fall!$1:$1048576,MATCH(All!$A249,Fall!$A:$A,FALSE),MATCH(All!M$1,Fall!$1:$1,FALSE))),"")</f>
        <v>2A</v>
      </c>
      <c r="O249" t="str">
        <f>IFERROR(IF(INDEX(Winter!$1:$1048576,MATCH(All!$A249,Winter!$A:$A,FALSE),MATCH(All!O$1,Winter!$1:$1,FALSE))="","",INDEX(Winter!$1:$1048576,MATCH(All!$A249,Winter!$A:$A,FALSE),MATCH(All!O$1,Winter!$1:$1,FALSE))),"")</f>
        <v>346.00 (570.90)</v>
      </c>
      <c r="P249" t="str">
        <f>IFERROR(IF(INDEX(Winter!$1:$1048576,MATCH(All!$A249,Winter!$A:$A,FALSE),MATCH(All!P$1,Winter!$1:$1,FALSE))="","",INDEX(Winter!$1:$1048576,MATCH(All!$A249,Winter!$A:$A,FALSE),MATCH(All!P$1,Winter!$1:$1,FALSE))),"")</f>
        <v>2A</v>
      </c>
      <c r="Q249" t="str">
        <f>IFERROR(IF(INDEX(Winter!$1:$1048576,MATCH(All!$A249,Winter!$A:$A,FALSE),MATCH(All!Q$1,Winter!$1:$1,FALSE))="","",INDEX(Winter!$1:$1048576,MATCH(All!$A249,Winter!$A:$A,FALSE),MATCH(All!Q$1,Winter!$1:$1,FALSE))),"")</f>
        <v/>
      </c>
      <c r="R249" t="str">
        <f>IFERROR(IF(INDEX(Winter!$1:$1048576,MATCH(All!$A249,Winter!$A:$A,FALSE),MATCH(All!R$1,Winter!$1:$1,FALSE))="","",INDEX(Winter!$1:$1048576,MATCH(All!$A249,Winter!$A:$A,FALSE),MATCH(All!R$1,Winter!$1:$1,FALSE))),"")</f>
        <v/>
      </c>
      <c r="S249" t="str">
        <f>IFERROR(IF(INDEX(Winter!$1:$1048576,MATCH(All!$A249,Winter!$A:$A,FALSE),MATCH(All!S$1,Winter!$1:$1,FALSE))="","",INDEX(Winter!$1:$1048576,MATCH(All!$A249,Winter!$A:$A,FALSE),MATCH(All!S$1,Winter!$1:$1,FALSE))),"")</f>
        <v/>
      </c>
      <c r="T249" t="str">
        <f>IFERROR(IF(INDEX(Winter!$1:$1048576,MATCH(All!$A249,Winter!$A:$A,FALSE),MATCH(All!T$1,Winter!$1:$1,FALSE))="","",INDEX(Winter!$1:$1048576,MATCH(All!$A249,Winter!$A:$A,FALSE),MATCH(All!T$1,Winter!$1:$1,FALSE))),"")</f>
        <v/>
      </c>
      <c r="U249" t="str">
        <f>IFERROR(IF(INDEX(Winter!$1:$1048576,MATCH(All!$A249,Winter!$A:$A,FALSE),MATCH(All!U$1,Winter!$1:$1,FALSE))="","",INDEX(Winter!$1:$1048576,MATCH(All!$A249,Winter!$A:$A,FALSE),MATCH(All!U$1,Winter!$1:$1,FALSE))),"")</f>
        <v/>
      </c>
      <c r="W249" t="str">
        <f>IFERROR(IF(INDEX(Spring!$1:$1048576,MATCH(All!$A249,Spring!$A:$A,FALSE),MATCH(All!W$1,Spring!$1:$1,FALSE))="","",INDEX(Spring!$1:$1048576,MATCH(All!$A249,Spring!$A:$A,FALSE),MATCH(All!W$1,Spring!$1:$1,FALSE))),"")</f>
        <v>346.00 (570.90)</v>
      </c>
      <c r="X249" t="str">
        <f>IFERROR(IF(INDEX(Spring!$1:$1048576,MATCH(All!$A249,Spring!$A:$A,FALSE),MATCH(All!X$1,Spring!$1:$1,FALSE))="","",INDEX(Spring!$1:$1048576,MATCH(All!$A249,Spring!$A:$A,FALSE),MATCH(All!X$1,Spring!$1:$1,FALSE))),"")</f>
        <v/>
      </c>
      <c r="Y249" t="str">
        <f>IFERROR(IF(INDEX(Spring!$1:$1048576,MATCH(All!$A249,Spring!$A:$A,FALSE),MATCH(All!Y$1,Spring!$1:$1,FALSE))="","",INDEX(Spring!$1:$1048576,MATCH(All!$A249,Spring!$A:$A,FALSE),MATCH(All!Y$1,Spring!$1:$1,FALSE))),"")</f>
        <v/>
      </c>
      <c r="Z249" t="str">
        <f>IFERROR(IF(INDEX(Spring!$1:$1048576,MATCH(All!$A249,Spring!$A:$A,FALSE),MATCH(All!Z$1,Spring!$1:$1,FALSE))="","",INDEX(Spring!$1:$1048576,MATCH(All!$A249,Spring!$A:$A,FALSE),MATCH(All!Z$1,Spring!$1:$1,FALSE))),"")</f>
        <v/>
      </c>
      <c r="AA249" t="str">
        <f>IFERROR(IF(INDEX(Spring!$1:$1048576,MATCH(All!$A249,Spring!$A:$A,FALSE),MATCH(All!AA$1,Spring!$1:$1,FALSE))="","",INDEX(Spring!$1:$1048576,MATCH(All!$A249,Spring!$A:$A,FALSE),MATCH(All!AA$1,Spring!$1:$1,FALSE))),"")</f>
        <v/>
      </c>
      <c r="AB249" t="str">
        <f>IFERROR(IF(INDEX(Spring!$1:$1048576,MATCH(All!$A249,Spring!$A:$A,FALSE),MATCH(All!AB$1,Spring!$1:$1,FALSE))="","",INDEX(Spring!$1:$1048576,MATCH(All!$A249,Spring!$A:$A,FALSE),MATCH(All!AB$1,Spring!$1:$1,FALSE))),"")</f>
        <v>2A</v>
      </c>
      <c r="AC249" t="str">
        <f>IFERROR(IF(INDEX(Spring!$1:$1048576,MATCH(All!$A249,Spring!$A:$A,FALSE),MATCH(All!AC$1,Spring!$1:$1,FALSE))="","",INDEX(Spring!$1:$1048576,MATCH(All!$A249,Spring!$A:$A,FALSE),MATCH(All!AC$1,Spring!$1:$1,FALSE))),"")</f>
        <v>2A</v>
      </c>
      <c r="AD249" t="str">
        <f>IFERROR(VLOOKUP(A249,'Flag Football'!A:A,1,FALSE),"")</f>
        <v/>
      </c>
      <c r="AE249" t="str">
        <f t="shared" si="3"/>
        <v/>
      </c>
    </row>
    <row r="250" spans="1:31" ht="15.75" thickBot="1" x14ac:dyDescent="0.3">
      <c r="A250" s="20" t="s">
        <v>320</v>
      </c>
      <c r="B250" s="38" t="str">
        <f>IFERROR(VLOOKUP(A250,'Public v Private'!A:G,3,FALSE),"")</f>
        <v>private</v>
      </c>
      <c r="C250" s="38">
        <f>IFERROR(VLOOKUP(A250,'Public v Private'!A:G,4,FALSE),"")</f>
        <v>1</v>
      </c>
      <c r="D250" s="38">
        <f>IFERROR(VLOOKUP(A250,'Public v Private'!A:G,5,FALSE),"")</f>
        <v>3</v>
      </c>
      <c r="E250" s="38"/>
      <c r="F250" s="40" t="str">
        <f>IFERROR(INDEX(Fall!$1:$1048576,MATCH(All!$A250,Fall!$A:$A,FALSE),MATCH(All!F$1,Fall!$1:$1,FALSE)),"N/A")</f>
        <v>625.00 (1,031.25)</v>
      </c>
      <c r="G250" t="str">
        <f>IFERROR(IF(INDEX(Fall!$1:$1048576,MATCH(All!$A250,Fall!$A:$A,FALSE),MATCH(All!G$1,Fall!$1:$1,FALSE))="","",INDEX(Fall!$1:$1048576,MATCH(All!$A250,Fall!$A:$A,FALSE),MATCH(All!G$1,Fall!$1:$1,FALSE))),"")</f>
        <v>2A</v>
      </c>
      <c r="H250" t="str">
        <f>IFERROR(IF(INDEX(Fall!$1:$1048576,MATCH(All!$A250,Fall!$A:$A,FALSE),MATCH(All!H$1,Fall!$1:$1,FALSE))="","",INDEX(Fall!$1:$1048576,MATCH(All!$A250,Fall!$A:$A,FALSE),MATCH(All!H$1,Fall!$1:$1,FALSE))),"")</f>
        <v>2A</v>
      </c>
      <c r="I250" t="str">
        <f>IFERROR(IF(INDEX(Fall!$1:$1048576,MATCH(All!$A250,Fall!$A:$A,FALSE),MATCH(All!I$1,Fall!$1:$1,FALSE))="","",INDEX(Fall!$1:$1048576,MATCH(All!$A250,Fall!$A:$A,FALSE),MATCH(All!I$1,Fall!$1:$1,FALSE))),"")</f>
        <v>2A</v>
      </c>
      <c r="J250" t="str">
        <f>IFERROR(IF(INDEX(Fall!$1:$1048576,MATCH(All!$A250,Fall!$A:$A,FALSE),MATCH(All!J$1,Fall!$1:$1,FALSE))="","",INDEX(Fall!$1:$1048576,MATCH(All!$A250,Fall!$A:$A,FALSE),MATCH(All!J$1,Fall!$1:$1,FALSE))),"")</f>
        <v>2A</v>
      </c>
      <c r="K250" t="str">
        <f>IFERROR(IF(INDEX(Fall!$1:$1048576,MATCH(All!$A250,Fall!$A:$A,FALSE),MATCH(All!K$1,Fall!$1:$1,FALSE))="","",INDEX(Fall!$1:$1048576,MATCH(All!$A250,Fall!$A:$A,FALSE),MATCH(All!K$1,Fall!$1:$1,FALSE))),"")</f>
        <v>2A</v>
      </c>
      <c r="L250" t="str">
        <f>IFERROR(IF(INDEX(Fall!$1:$1048576,MATCH(All!$A250,Fall!$A:$A,FALSE),MATCH(All!L$1,Fall!$1:$1,FALSE))="","",INDEX(Fall!$1:$1048576,MATCH(All!$A250,Fall!$A:$A,FALSE),MATCH(All!L$1,Fall!$1:$1,FALSE))),"")</f>
        <v>1A</v>
      </c>
      <c r="M250" t="str">
        <f>IFERROR(IF(INDEX(Fall!$1:$1048576,MATCH(All!$A250,Fall!$A:$A,FALSE),MATCH(All!M$1,Fall!$1:$1,FALSE))="","",INDEX(Fall!$1:$1048576,MATCH(All!$A250,Fall!$A:$A,FALSE),MATCH(All!M$1,Fall!$1:$1,FALSE))),"")</f>
        <v>3A</v>
      </c>
      <c r="O250" t="str">
        <f>IFERROR(IF(INDEX(Winter!$1:$1048576,MATCH(All!$A250,Winter!$A:$A,FALSE),MATCH(All!O$1,Winter!$1:$1,FALSE))="","",INDEX(Winter!$1:$1048576,MATCH(All!$A250,Winter!$A:$A,FALSE),MATCH(All!O$1,Winter!$1:$1,FALSE))),"")</f>
        <v>625.00 (1,031.25)</v>
      </c>
      <c r="P250" t="str">
        <f>IFERROR(IF(INDEX(Winter!$1:$1048576,MATCH(All!$A250,Winter!$A:$A,FALSE),MATCH(All!P$1,Winter!$1:$1,FALSE))="","",INDEX(Winter!$1:$1048576,MATCH(All!$A250,Winter!$A:$A,FALSE),MATCH(All!P$1,Winter!$1:$1,FALSE))),"")</f>
        <v>2A</v>
      </c>
      <c r="Q250" t="str">
        <f>IFERROR(IF(INDEX(Winter!$1:$1048576,MATCH(All!$A250,Winter!$A:$A,FALSE),MATCH(All!Q$1,Winter!$1:$1,FALSE))="","",INDEX(Winter!$1:$1048576,MATCH(All!$A250,Winter!$A:$A,FALSE),MATCH(All!Q$1,Winter!$1:$1,FALSE))),"")</f>
        <v>2A</v>
      </c>
      <c r="R250" t="str">
        <f>IFERROR(IF(INDEX(Winter!$1:$1048576,MATCH(All!$A250,Winter!$A:$A,FALSE),MATCH(All!R$1,Winter!$1:$1,FALSE))="","",INDEX(Winter!$1:$1048576,MATCH(All!$A250,Winter!$A:$A,FALSE),MATCH(All!R$1,Winter!$1:$1,FALSE))),"")</f>
        <v/>
      </c>
      <c r="S250" t="str">
        <f>IFERROR(IF(INDEX(Winter!$1:$1048576,MATCH(All!$A250,Winter!$A:$A,FALSE),MATCH(All!S$1,Winter!$1:$1,FALSE))="","",INDEX(Winter!$1:$1048576,MATCH(All!$A250,Winter!$A:$A,FALSE),MATCH(All!S$1,Winter!$1:$1,FALSE))),"")</f>
        <v/>
      </c>
      <c r="T250" t="str">
        <f>IFERROR(IF(INDEX(Winter!$1:$1048576,MATCH(All!$A250,Winter!$A:$A,FALSE),MATCH(All!T$1,Winter!$1:$1,FALSE))="","",INDEX(Winter!$1:$1048576,MATCH(All!$A250,Winter!$A:$A,FALSE),MATCH(All!T$1,Winter!$1:$1,FALSE))),"")</f>
        <v/>
      </c>
      <c r="U250" t="str">
        <f>IFERROR(IF(INDEX(Winter!$1:$1048576,MATCH(All!$A250,Winter!$A:$A,FALSE),MATCH(All!U$1,Winter!$1:$1,FALSE))="","",INDEX(Winter!$1:$1048576,MATCH(All!$A250,Winter!$A:$A,FALSE),MATCH(All!U$1,Winter!$1:$1,FALSE))),"")</f>
        <v/>
      </c>
      <c r="W250" t="str">
        <f>IFERROR(IF(INDEX(Spring!$1:$1048576,MATCH(All!$A250,Spring!$A:$A,FALSE),MATCH(All!W$1,Spring!$1:$1,FALSE))="","",INDEX(Spring!$1:$1048576,MATCH(All!$A250,Spring!$A:$A,FALSE),MATCH(All!W$1,Spring!$1:$1,FALSE))),"")</f>
        <v>625.00 (1,031.25)</v>
      </c>
      <c r="X250" t="str">
        <f>IFERROR(IF(INDEX(Spring!$1:$1048576,MATCH(All!$A250,Spring!$A:$A,FALSE),MATCH(All!X$1,Spring!$1:$1,FALSE))="","",INDEX(Spring!$1:$1048576,MATCH(All!$A250,Spring!$A:$A,FALSE),MATCH(All!X$1,Spring!$1:$1,FALSE))),"")</f>
        <v>2A</v>
      </c>
      <c r="Y250" t="str">
        <f>IFERROR(IF(INDEX(Spring!$1:$1048576,MATCH(All!$A250,Spring!$A:$A,FALSE),MATCH(All!Y$1,Spring!$1:$1,FALSE))="","",INDEX(Spring!$1:$1048576,MATCH(All!$A250,Spring!$A:$A,FALSE),MATCH(All!Y$1,Spring!$1:$1,FALSE))),"")</f>
        <v/>
      </c>
      <c r="Z250" t="str">
        <f>IFERROR(IF(INDEX(Spring!$1:$1048576,MATCH(All!$A250,Spring!$A:$A,FALSE),MATCH(All!Z$1,Spring!$1:$1,FALSE))="","",INDEX(Spring!$1:$1048576,MATCH(All!$A250,Spring!$A:$A,FALSE),MATCH(All!Z$1,Spring!$1:$1,FALSE))),"")</f>
        <v>2A</v>
      </c>
      <c r="AA250" t="str">
        <f>IFERROR(IF(INDEX(Spring!$1:$1048576,MATCH(All!$A250,Spring!$A:$A,FALSE),MATCH(All!AA$1,Spring!$1:$1,FALSE))="","",INDEX(Spring!$1:$1048576,MATCH(All!$A250,Spring!$A:$A,FALSE),MATCH(All!AA$1,Spring!$1:$1,FALSE))),"")</f>
        <v>2A</v>
      </c>
      <c r="AB250" t="str">
        <f>IFERROR(IF(INDEX(Spring!$1:$1048576,MATCH(All!$A250,Spring!$A:$A,FALSE),MATCH(All!AB$1,Spring!$1:$1,FALSE))="","",INDEX(Spring!$1:$1048576,MATCH(All!$A250,Spring!$A:$A,FALSE),MATCH(All!AB$1,Spring!$1:$1,FALSE))),"")</f>
        <v>2A</v>
      </c>
      <c r="AC250" t="str">
        <f>IFERROR(IF(INDEX(Spring!$1:$1048576,MATCH(All!$A250,Spring!$A:$A,FALSE),MATCH(All!AC$1,Spring!$1:$1,FALSE))="","",INDEX(Spring!$1:$1048576,MATCH(All!$A250,Spring!$A:$A,FALSE),MATCH(All!AC$1,Spring!$1:$1,FALSE))),"")</f>
        <v>2A</v>
      </c>
      <c r="AD250" t="str">
        <f>IFERROR(VLOOKUP(A250,'Flag Football'!A:A,1,FALSE),"")</f>
        <v/>
      </c>
      <c r="AE250" t="str">
        <f t="shared" si="3"/>
        <v/>
      </c>
    </row>
    <row r="251" spans="1:31" ht="15.75" thickBot="1" x14ac:dyDescent="0.3">
      <c r="A251" s="18" t="s">
        <v>322</v>
      </c>
      <c r="B251" s="38" t="str">
        <f>IFERROR(VLOOKUP(A251,'Public v Private'!A:G,3,FALSE),"")</f>
        <v>no</v>
      </c>
      <c r="C251" s="38">
        <f>IFERROR(VLOOKUP(A251,'Public v Private'!A:G,4,FALSE),"")</f>
        <v>0</v>
      </c>
      <c r="D251" s="38">
        <f>IFERROR(VLOOKUP(A251,'Public v Private'!A:G,5,FALSE),"")</f>
        <v>0</v>
      </c>
      <c r="E251" s="38"/>
      <c r="F251" s="40" t="str">
        <f>IFERROR(INDEX(Fall!$1:$1048576,MATCH(All!$A251,Fall!$A:$A,FALSE),MATCH(All!F$1,Fall!$1:$1,FALSE)),"N/A")</f>
        <v>221.00 (364.65)</v>
      </c>
      <c r="G251" t="str">
        <f>IFERROR(IF(INDEX(Fall!$1:$1048576,MATCH(All!$A251,Fall!$A:$A,FALSE),MATCH(All!G$1,Fall!$1:$1,FALSE))="","",INDEX(Fall!$1:$1048576,MATCH(All!$A251,Fall!$A:$A,FALSE),MATCH(All!G$1,Fall!$1:$1,FALSE))),"")</f>
        <v/>
      </c>
      <c r="H251" t="str">
        <f>IFERROR(IF(INDEX(Fall!$1:$1048576,MATCH(All!$A251,Fall!$A:$A,FALSE),MATCH(All!H$1,Fall!$1:$1,FALSE))="","",INDEX(Fall!$1:$1048576,MATCH(All!$A251,Fall!$A:$A,FALSE),MATCH(All!H$1,Fall!$1:$1,FALSE))),"")</f>
        <v/>
      </c>
      <c r="I251" t="str">
        <f>IFERROR(IF(INDEX(Fall!$1:$1048576,MATCH(All!$A251,Fall!$A:$A,FALSE),MATCH(All!I$1,Fall!$1:$1,FALSE))="","",INDEX(Fall!$1:$1048576,MATCH(All!$A251,Fall!$A:$A,FALSE),MATCH(All!I$1,Fall!$1:$1,FALSE))),"")</f>
        <v/>
      </c>
      <c r="J251" t="str">
        <f>IFERROR(IF(INDEX(Fall!$1:$1048576,MATCH(All!$A251,Fall!$A:$A,FALSE),MATCH(All!J$1,Fall!$1:$1,FALSE))="","",INDEX(Fall!$1:$1048576,MATCH(All!$A251,Fall!$A:$A,FALSE),MATCH(All!J$1,Fall!$1:$1,FALSE))),"")</f>
        <v/>
      </c>
      <c r="K251" t="str">
        <f>IFERROR(IF(INDEX(Fall!$1:$1048576,MATCH(All!$A251,Fall!$A:$A,FALSE),MATCH(All!K$1,Fall!$1:$1,FALSE))="","",INDEX(Fall!$1:$1048576,MATCH(All!$A251,Fall!$A:$A,FALSE),MATCH(All!K$1,Fall!$1:$1,FALSE))),"")</f>
        <v/>
      </c>
      <c r="L251" t="str">
        <f>IFERROR(IF(INDEX(Fall!$1:$1048576,MATCH(All!$A251,Fall!$A:$A,FALSE),MATCH(All!L$1,Fall!$1:$1,FALSE))="","",INDEX(Fall!$1:$1048576,MATCH(All!$A251,Fall!$A:$A,FALSE),MATCH(All!L$1,Fall!$1:$1,FALSE))),"")</f>
        <v/>
      </c>
      <c r="M251" t="str">
        <f>IFERROR(IF(INDEX(Fall!$1:$1048576,MATCH(All!$A251,Fall!$A:$A,FALSE),MATCH(All!M$1,Fall!$1:$1,FALSE))="","",INDEX(Fall!$1:$1048576,MATCH(All!$A251,Fall!$A:$A,FALSE),MATCH(All!M$1,Fall!$1:$1,FALSE))),"")</f>
        <v>1A</v>
      </c>
      <c r="O251" t="str">
        <f>IFERROR(IF(INDEX(Winter!$1:$1048576,MATCH(All!$A251,Winter!$A:$A,FALSE),MATCH(All!O$1,Winter!$1:$1,FALSE))="","",INDEX(Winter!$1:$1048576,MATCH(All!$A251,Winter!$A:$A,FALSE),MATCH(All!O$1,Winter!$1:$1,FALSE))),"")</f>
        <v>221.00 (364.65)</v>
      </c>
      <c r="P251" t="str">
        <f>IFERROR(IF(INDEX(Winter!$1:$1048576,MATCH(All!$A251,Winter!$A:$A,FALSE),MATCH(All!P$1,Winter!$1:$1,FALSE))="","",INDEX(Winter!$1:$1048576,MATCH(All!$A251,Winter!$A:$A,FALSE),MATCH(All!P$1,Winter!$1:$1,FALSE))),"")</f>
        <v>1A</v>
      </c>
      <c r="Q251" t="str">
        <f>IFERROR(IF(INDEX(Winter!$1:$1048576,MATCH(All!$A251,Winter!$A:$A,FALSE),MATCH(All!Q$1,Winter!$1:$1,FALSE))="","",INDEX(Winter!$1:$1048576,MATCH(All!$A251,Winter!$A:$A,FALSE),MATCH(All!Q$1,Winter!$1:$1,FALSE))),"")</f>
        <v>1A</v>
      </c>
      <c r="R251" t="str">
        <f>IFERROR(IF(INDEX(Winter!$1:$1048576,MATCH(All!$A251,Winter!$A:$A,FALSE),MATCH(All!R$1,Winter!$1:$1,FALSE))="","",INDEX(Winter!$1:$1048576,MATCH(All!$A251,Winter!$A:$A,FALSE),MATCH(All!R$1,Winter!$1:$1,FALSE))),"")</f>
        <v/>
      </c>
      <c r="S251" t="str">
        <f>IFERROR(IF(INDEX(Winter!$1:$1048576,MATCH(All!$A251,Winter!$A:$A,FALSE),MATCH(All!S$1,Winter!$1:$1,FALSE))="","",INDEX(Winter!$1:$1048576,MATCH(All!$A251,Winter!$A:$A,FALSE),MATCH(All!S$1,Winter!$1:$1,FALSE))),"")</f>
        <v/>
      </c>
      <c r="T251" t="str">
        <f>IFERROR(IF(INDEX(Winter!$1:$1048576,MATCH(All!$A251,Winter!$A:$A,FALSE),MATCH(All!T$1,Winter!$1:$1,FALSE))="","",INDEX(Winter!$1:$1048576,MATCH(All!$A251,Winter!$A:$A,FALSE),MATCH(All!T$1,Winter!$1:$1,FALSE))),"")</f>
        <v/>
      </c>
      <c r="U251" t="str">
        <f>IFERROR(IF(INDEX(Winter!$1:$1048576,MATCH(All!$A251,Winter!$A:$A,FALSE),MATCH(All!U$1,Winter!$1:$1,FALSE))="","",INDEX(Winter!$1:$1048576,MATCH(All!$A251,Winter!$A:$A,FALSE),MATCH(All!U$1,Winter!$1:$1,FALSE))),"")</f>
        <v/>
      </c>
      <c r="W251" t="str">
        <f>IFERROR(IF(INDEX(Spring!$1:$1048576,MATCH(All!$A251,Spring!$A:$A,FALSE),MATCH(All!W$1,Spring!$1:$1,FALSE))="","",INDEX(Spring!$1:$1048576,MATCH(All!$A251,Spring!$A:$A,FALSE),MATCH(All!W$1,Spring!$1:$1,FALSE))),"")</f>
        <v>221.00 (364.65)</v>
      </c>
      <c r="X251" t="str">
        <f>IFERROR(IF(INDEX(Spring!$1:$1048576,MATCH(All!$A251,Spring!$A:$A,FALSE),MATCH(All!X$1,Spring!$1:$1,FALSE))="","",INDEX(Spring!$1:$1048576,MATCH(All!$A251,Spring!$A:$A,FALSE),MATCH(All!X$1,Spring!$1:$1,FALSE))),"")</f>
        <v/>
      </c>
      <c r="Y251" t="str">
        <f>IFERROR(IF(INDEX(Spring!$1:$1048576,MATCH(All!$A251,Spring!$A:$A,FALSE),MATCH(All!Y$1,Spring!$1:$1,FALSE))="","",INDEX(Spring!$1:$1048576,MATCH(All!$A251,Spring!$A:$A,FALSE),MATCH(All!Y$1,Spring!$1:$1,FALSE))),"")</f>
        <v/>
      </c>
      <c r="Z251" t="str">
        <f>IFERROR(IF(INDEX(Spring!$1:$1048576,MATCH(All!$A251,Spring!$A:$A,FALSE),MATCH(All!Z$1,Spring!$1:$1,FALSE))="","",INDEX(Spring!$1:$1048576,MATCH(All!$A251,Spring!$A:$A,FALSE),MATCH(All!Z$1,Spring!$1:$1,FALSE))),"")</f>
        <v/>
      </c>
      <c r="AA251" t="str">
        <f>IFERROR(IF(INDEX(Spring!$1:$1048576,MATCH(All!$A251,Spring!$A:$A,FALSE),MATCH(All!AA$1,Spring!$1:$1,FALSE))="","",INDEX(Spring!$1:$1048576,MATCH(All!$A251,Spring!$A:$A,FALSE),MATCH(All!AA$1,Spring!$1:$1,FALSE))),"")</f>
        <v/>
      </c>
      <c r="AB251" t="str">
        <f>IFERROR(IF(INDEX(Spring!$1:$1048576,MATCH(All!$A251,Spring!$A:$A,FALSE),MATCH(All!AB$1,Spring!$1:$1,FALSE))="","",INDEX(Spring!$1:$1048576,MATCH(All!$A251,Spring!$A:$A,FALSE),MATCH(All!AB$1,Spring!$1:$1,FALSE))),"")</f>
        <v>1A</v>
      </c>
      <c r="AC251" t="str">
        <f>IFERROR(IF(INDEX(Spring!$1:$1048576,MATCH(All!$A251,Spring!$A:$A,FALSE),MATCH(All!AC$1,Spring!$1:$1,FALSE))="","",INDEX(Spring!$1:$1048576,MATCH(All!$A251,Spring!$A:$A,FALSE),MATCH(All!AC$1,Spring!$1:$1,FALSE))),"")</f>
        <v>1A</v>
      </c>
      <c r="AD251" t="str">
        <f>IFERROR(VLOOKUP(A251,'Flag Football'!A:A,1,FALSE),"")</f>
        <v/>
      </c>
      <c r="AE251" t="str">
        <f t="shared" si="3"/>
        <v/>
      </c>
    </row>
    <row r="252" spans="1:31" ht="15.75" thickBot="1" x14ac:dyDescent="0.3">
      <c r="A252" s="20" t="s">
        <v>324</v>
      </c>
      <c r="B252" s="38" t="str">
        <f>IFERROR(VLOOKUP(A252,'Public v Private'!A:G,3,FALSE),"")</f>
        <v>no</v>
      </c>
      <c r="C252" s="38">
        <f>IFERROR(VLOOKUP(A252,'Public v Private'!A:G,4,FALSE),"")</f>
        <v>0</v>
      </c>
      <c r="D252" s="38">
        <f>IFERROR(VLOOKUP(A252,'Public v Private'!A:G,5,FALSE),"")</f>
        <v>0</v>
      </c>
      <c r="E252" s="38"/>
      <c r="F252" s="40" t="str">
        <f>IFERROR(INDEX(Fall!$1:$1048576,MATCH(All!$A252,Fall!$A:$A,FALSE),MATCH(All!F$1,Fall!$1:$1,FALSE)),"N/A")</f>
        <v>N/A</v>
      </c>
      <c r="G252" t="str">
        <f>IFERROR(IF(INDEX(Fall!$1:$1048576,MATCH(All!$A252,Fall!$A:$A,FALSE),MATCH(All!G$1,Fall!$1:$1,FALSE))="","",INDEX(Fall!$1:$1048576,MATCH(All!$A252,Fall!$A:$A,FALSE),MATCH(All!G$1,Fall!$1:$1,FALSE))),"")</f>
        <v/>
      </c>
      <c r="H252" t="str">
        <f>IFERROR(IF(INDEX(Fall!$1:$1048576,MATCH(All!$A252,Fall!$A:$A,FALSE),MATCH(All!H$1,Fall!$1:$1,FALSE))="","",INDEX(Fall!$1:$1048576,MATCH(All!$A252,Fall!$A:$A,FALSE),MATCH(All!H$1,Fall!$1:$1,FALSE))),"")</f>
        <v/>
      </c>
      <c r="I252" t="str">
        <f>IFERROR(IF(INDEX(Fall!$1:$1048576,MATCH(All!$A252,Fall!$A:$A,FALSE),MATCH(All!I$1,Fall!$1:$1,FALSE))="","",INDEX(Fall!$1:$1048576,MATCH(All!$A252,Fall!$A:$A,FALSE),MATCH(All!I$1,Fall!$1:$1,FALSE))),"")</f>
        <v/>
      </c>
      <c r="J252" t="str">
        <f>IFERROR(IF(INDEX(Fall!$1:$1048576,MATCH(All!$A252,Fall!$A:$A,FALSE),MATCH(All!J$1,Fall!$1:$1,FALSE))="","",INDEX(Fall!$1:$1048576,MATCH(All!$A252,Fall!$A:$A,FALSE),MATCH(All!J$1,Fall!$1:$1,FALSE))),"")</f>
        <v/>
      </c>
      <c r="K252" t="str">
        <f>IFERROR(IF(INDEX(Fall!$1:$1048576,MATCH(All!$A252,Fall!$A:$A,FALSE),MATCH(All!K$1,Fall!$1:$1,FALSE))="","",INDEX(Fall!$1:$1048576,MATCH(All!$A252,Fall!$A:$A,FALSE),MATCH(All!K$1,Fall!$1:$1,FALSE))),"")</f>
        <v/>
      </c>
      <c r="L252" t="str">
        <f>IFERROR(IF(INDEX(Fall!$1:$1048576,MATCH(All!$A252,Fall!$A:$A,FALSE),MATCH(All!L$1,Fall!$1:$1,FALSE))="","",INDEX(Fall!$1:$1048576,MATCH(All!$A252,Fall!$A:$A,FALSE),MATCH(All!L$1,Fall!$1:$1,FALSE))),"")</f>
        <v/>
      </c>
      <c r="M252" t="str">
        <f>IFERROR(IF(INDEX(Fall!$1:$1048576,MATCH(All!$A252,Fall!$A:$A,FALSE),MATCH(All!M$1,Fall!$1:$1,FALSE))="","",INDEX(Fall!$1:$1048576,MATCH(All!$A252,Fall!$A:$A,FALSE),MATCH(All!M$1,Fall!$1:$1,FALSE))),"")</f>
        <v/>
      </c>
      <c r="O252" t="str">
        <f>IFERROR(IF(INDEX(Winter!$1:$1048576,MATCH(All!$A252,Winter!$A:$A,FALSE),MATCH(All!O$1,Winter!$1:$1,FALSE))="","",INDEX(Winter!$1:$1048576,MATCH(All!$A252,Winter!$A:$A,FALSE),MATCH(All!O$1,Winter!$1:$1,FALSE))),"")</f>
        <v>286.00 (471.90)</v>
      </c>
      <c r="P252" t="str">
        <f>IFERROR(IF(INDEX(Winter!$1:$1048576,MATCH(All!$A252,Winter!$A:$A,FALSE),MATCH(All!P$1,Winter!$1:$1,FALSE))="","",INDEX(Winter!$1:$1048576,MATCH(All!$A252,Winter!$A:$A,FALSE),MATCH(All!P$1,Winter!$1:$1,FALSE))),"")</f>
        <v>2A</v>
      </c>
      <c r="Q252" t="str">
        <f>IFERROR(IF(INDEX(Winter!$1:$1048576,MATCH(All!$A252,Winter!$A:$A,FALSE),MATCH(All!Q$1,Winter!$1:$1,FALSE))="","",INDEX(Winter!$1:$1048576,MATCH(All!$A252,Winter!$A:$A,FALSE),MATCH(All!Q$1,Winter!$1:$1,FALSE))),"")</f>
        <v/>
      </c>
      <c r="R252" t="str">
        <f>IFERROR(IF(INDEX(Winter!$1:$1048576,MATCH(All!$A252,Winter!$A:$A,FALSE),MATCH(All!R$1,Winter!$1:$1,FALSE))="","",INDEX(Winter!$1:$1048576,MATCH(All!$A252,Winter!$A:$A,FALSE),MATCH(All!R$1,Winter!$1:$1,FALSE))),"")</f>
        <v/>
      </c>
      <c r="S252" t="str">
        <f>IFERROR(IF(INDEX(Winter!$1:$1048576,MATCH(All!$A252,Winter!$A:$A,FALSE),MATCH(All!S$1,Winter!$1:$1,FALSE))="","",INDEX(Winter!$1:$1048576,MATCH(All!$A252,Winter!$A:$A,FALSE),MATCH(All!S$1,Winter!$1:$1,FALSE))),"")</f>
        <v/>
      </c>
      <c r="T252" t="str">
        <f>IFERROR(IF(INDEX(Winter!$1:$1048576,MATCH(All!$A252,Winter!$A:$A,FALSE),MATCH(All!T$1,Winter!$1:$1,FALSE))="","",INDEX(Winter!$1:$1048576,MATCH(All!$A252,Winter!$A:$A,FALSE),MATCH(All!T$1,Winter!$1:$1,FALSE))),"")</f>
        <v/>
      </c>
      <c r="U252" t="str">
        <f>IFERROR(IF(INDEX(Winter!$1:$1048576,MATCH(All!$A252,Winter!$A:$A,FALSE),MATCH(All!U$1,Winter!$1:$1,FALSE))="","",INDEX(Winter!$1:$1048576,MATCH(All!$A252,Winter!$A:$A,FALSE),MATCH(All!U$1,Winter!$1:$1,FALSE))),"")</f>
        <v/>
      </c>
      <c r="W252" t="str">
        <f>IFERROR(IF(INDEX(Spring!$1:$1048576,MATCH(All!$A252,Spring!$A:$A,FALSE),MATCH(All!W$1,Spring!$1:$1,FALSE))="","",INDEX(Spring!$1:$1048576,MATCH(All!$A252,Spring!$A:$A,FALSE),MATCH(All!W$1,Spring!$1:$1,FALSE))),"")</f>
        <v>286.00 (471.90)</v>
      </c>
      <c r="X252" t="str">
        <f>IFERROR(IF(INDEX(Spring!$1:$1048576,MATCH(All!$A252,Spring!$A:$A,FALSE),MATCH(All!X$1,Spring!$1:$1,FALSE))="","",INDEX(Spring!$1:$1048576,MATCH(All!$A252,Spring!$A:$A,FALSE),MATCH(All!X$1,Spring!$1:$1,FALSE))),"")</f>
        <v/>
      </c>
      <c r="Y252" t="str">
        <f>IFERROR(IF(INDEX(Spring!$1:$1048576,MATCH(All!$A252,Spring!$A:$A,FALSE),MATCH(All!Y$1,Spring!$1:$1,FALSE))="","",INDEX(Spring!$1:$1048576,MATCH(All!$A252,Spring!$A:$A,FALSE),MATCH(All!Y$1,Spring!$1:$1,FALSE))),"")</f>
        <v/>
      </c>
      <c r="Z252" t="str">
        <f>IFERROR(IF(INDEX(Spring!$1:$1048576,MATCH(All!$A252,Spring!$A:$A,FALSE),MATCH(All!Z$1,Spring!$1:$1,FALSE))="","",INDEX(Spring!$1:$1048576,MATCH(All!$A252,Spring!$A:$A,FALSE),MATCH(All!Z$1,Spring!$1:$1,FALSE))),"")</f>
        <v/>
      </c>
      <c r="AA252" t="str">
        <f>IFERROR(IF(INDEX(Spring!$1:$1048576,MATCH(All!$A252,Spring!$A:$A,FALSE),MATCH(All!AA$1,Spring!$1:$1,FALSE))="","",INDEX(Spring!$1:$1048576,MATCH(All!$A252,Spring!$A:$A,FALSE),MATCH(All!AA$1,Spring!$1:$1,FALSE))),"")</f>
        <v/>
      </c>
      <c r="AB252" t="str">
        <f>IFERROR(IF(INDEX(Spring!$1:$1048576,MATCH(All!$A252,Spring!$A:$A,FALSE),MATCH(All!AB$1,Spring!$1:$1,FALSE))="","",INDEX(Spring!$1:$1048576,MATCH(All!$A252,Spring!$A:$A,FALSE),MATCH(All!AB$1,Spring!$1:$1,FALSE))),"")</f>
        <v>2A</v>
      </c>
      <c r="AC252" t="str">
        <f>IFERROR(IF(INDEX(Spring!$1:$1048576,MATCH(All!$A252,Spring!$A:$A,FALSE),MATCH(All!AC$1,Spring!$1:$1,FALSE))="","",INDEX(Spring!$1:$1048576,MATCH(All!$A252,Spring!$A:$A,FALSE),MATCH(All!AC$1,Spring!$1:$1,FALSE))),"")</f>
        <v/>
      </c>
      <c r="AD252" t="str">
        <f>IFERROR(VLOOKUP(A252,'Flag Football'!A:A,1,FALSE),"")</f>
        <v/>
      </c>
      <c r="AE252" t="str">
        <f t="shared" si="3"/>
        <v/>
      </c>
    </row>
    <row r="253" spans="1:31" ht="15.75" thickBot="1" x14ac:dyDescent="0.3">
      <c r="A253" s="20" t="s">
        <v>326</v>
      </c>
      <c r="B253" s="38" t="str">
        <f>IFERROR(VLOOKUP(A253,'Public v Private'!A:G,3,FALSE),"")</f>
        <v>no</v>
      </c>
      <c r="C253" s="38">
        <f>IFERROR(VLOOKUP(A253,'Public v Private'!A:G,4,FALSE),"")</f>
        <v>0</v>
      </c>
      <c r="D253" s="38">
        <f>IFERROR(VLOOKUP(A253,'Public v Private'!A:G,5,FALSE),"")</f>
        <v>0</v>
      </c>
      <c r="E253" s="38"/>
      <c r="F253" s="40" t="str">
        <f>IFERROR(INDEX(Fall!$1:$1048576,MATCH(All!$A253,Fall!$A:$A,FALSE),MATCH(All!F$1,Fall!$1:$1,FALSE)),"N/A")</f>
        <v>1,669.00 (2,753.85)</v>
      </c>
      <c r="G253" t="str">
        <f>IFERROR(IF(INDEX(Fall!$1:$1048576,MATCH(All!$A253,Fall!$A:$A,FALSE),MATCH(All!G$1,Fall!$1:$1,FALSE))="","",INDEX(Fall!$1:$1048576,MATCH(All!$A253,Fall!$A:$A,FALSE),MATCH(All!G$1,Fall!$1:$1,FALSE))),"")</f>
        <v>3A</v>
      </c>
      <c r="H253" t="str">
        <f>IFERROR(IF(INDEX(Fall!$1:$1048576,MATCH(All!$A253,Fall!$A:$A,FALSE),MATCH(All!H$1,Fall!$1:$1,FALSE))="","",INDEX(Fall!$1:$1048576,MATCH(All!$A253,Fall!$A:$A,FALSE),MATCH(All!H$1,Fall!$1:$1,FALSE))),"")</f>
        <v>3A</v>
      </c>
      <c r="I253" t="str">
        <f>IFERROR(IF(INDEX(Fall!$1:$1048576,MATCH(All!$A253,Fall!$A:$A,FALSE),MATCH(All!I$1,Fall!$1:$1,FALSE))="","",INDEX(Fall!$1:$1048576,MATCH(All!$A253,Fall!$A:$A,FALSE),MATCH(All!I$1,Fall!$1:$1,FALSE))),"")</f>
        <v/>
      </c>
      <c r="J253" t="str">
        <f>IFERROR(IF(INDEX(Fall!$1:$1048576,MATCH(All!$A253,Fall!$A:$A,FALSE),MATCH(All!J$1,Fall!$1:$1,FALSE))="","",INDEX(Fall!$1:$1048576,MATCH(All!$A253,Fall!$A:$A,FALSE),MATCH(All!J$1,Fall!$1:$1,FALSE))),"")</f>
        <v/>
      </c>
      <c r="K253" t="str">
        <f>IFERROR(IF(INDEX(Fall!$1:$1048576,MATCH(All!$A253,Fall!$A:$A,FALSE),MATCH(All!K$1,Fall!$1:$1,FALSE))="","",INDEX(Fall!$1:$1048576,MATCH(All!$A253,Fall!$A:$A,FALSE),MATCH(All!K$1,Fall!$1:$1,FALSE))),"")</f>
        <v>2A</v>
      </c>
      <c r="L253" t="str">
        <f>IFERROR(IF(INDEX(Fall!$1:$1048576,MATCH(All!$A253,Fall!$A:$A,FALSE),MATCH(All!L$1,Fall!$1:$1,FALSE))="","",INDEX(Fall!$1:$1048576,MATCH(All!$A253,Fall!$A:$A,FALSE),MATCH(All!L$1,Fall!$1:$1,FALSE))),"")</f>
        <v/>
      </c>
      <c r="M253" t="str">
        <f>IFERROR(IF(INDEX(Fall!$1:$1048576,MATCH(All!$A253,Fall!$A:$A,FALSE),MATCH(All!M$1,Fall!$1:$1,FALSE))="","",INDEX(Fall!$1:$1048576,MATCH(All!$A253,Fall!$A:$A,FALSE),MATCH(All!M$1,Fall!$1:$1,FALSE))),"")</f>
        <v>4A</v>
      </c>
      <c r="O253" t="str">
        <f>IFERROR(IF(INDEX(Winter!$1:$1048576,MATCH(All!$A253,Winter!$A:$A,FALSE),MATCH(All!O$1,Winter!$1:$1,FALSE))="","",INDEX(Winter!$1:$1048576,MATCH(All!$A253,Winter!$A:$A,FALSE),MATCH(All!O$1,Winter!$1:$1,FALSE))),"")</f>
        <v>1,669.00 (2,753.85)</v>
      </c>
      <c r="P253" t="str">
        <f>IFERROR(IF(INDEX(Winter!$1:$1048576,MATCH(All!$A253,Winter!$A:$A,FALSE),MATCH(All!P$1,Winter!$1:$1,FALSE))="","",INDEX(Winter!$1:$1048576,MATCH(All!$A253,Winter!$A:$A,FALSE),MATCH(All!P$1,Winter!$1:$1,FALSE))),"")</f>
        <v>4A</v>
      </c>
      <c r="Q253" t="str">
        <f>IFERROR(IF(INDEX(Winter!$1:$1048576,MATCH(All!$A253,Winter!$A:$A,FALSE),MATCH(All!Q$1,Winter!$1:$1,FALSE))="","",INDEX(Winter!$1:$1048576,MATCH(All!$A253,Winter!$A:$A,FALSE),MATCH(All!Q$1,Winter!$1:$1,FALSE))),"")</f>
        <v/>
      </c>
      <c r="R253" t="str">
        <f>IFERROR(IF(INDEX(Winter!$1:$1048576,MATCH(All!$A253,Winter!$A:$A,FALSE),MATCH(All!R$1,Winter!$1:$1,FALSE))="","",INDEX(Winter!$1:$1048576,MATCH(All!$A253,Winter!$A:$A,FALSE),MATCH(All!R$1,Winter!$1:$1,FALSE))),"")</f>
        <v/>
      </c>
      <c r="S253" t="str">
        <f>IFERROR(IF(INDEX(Winter!$1:$1048576,MATCH(All!$A253,Winter!$A:$A,FALSE),MATCH(All!S$1,Winter!$1:$1,FALSE))="","",INDEX(Winter!$1:$1048576,MATCH(All!$A253,Winter!$A:$A,FALSE),MATCH(All!S$1,Winter!$1:$1,FALSE))),"")</f>
        <v/>
      </c>
      <c r="T253" t="str">
        <f>IFERROR(IF(INDEX(Winter!$1:$1048576,MATCH(All!$A253,Winter!$A:$A,FALSE),MATCH(All!T$1,Winter!$1:$1,FALSE))="","",INDEX(Winter!$1:$1048576,MATCH(All!$A253,Winter!$A:$A,FALSE),MATCH(All!T$1,Winter!$1:$1,FALSE))),"")</f>
        <v/>
      </c>
      <c r="U253" t="str">
        <f>IFERROR(IF(INDEX(Winter!$1:$1048576,MATCH(All!$A253,Winter!$A:$A,FALSE),MATCH(All!U$1,Winter!$1:$1,FALSE))="","",INDEX(Winter!$1:$1048576,MATCH(All!$A253,Winter!$A:$A,FALSE),MATCH(All!U$1,Winter!$1:$1,FALSE))),"")</f>
        <v/>
      </c>
      <c r="W253" t="str">
        <f>IFERROR(IF(INDEX(Spring!$1:$1048576,MATCH(All!$A253,Spring!$A:$A,FALSE),MATCH(All!W$1,Spring!$1:$1,FALSE))="","",INDEX(Spring!$1:$1048576,MATCH(All!$A253,Spring!$A:$A,FALSE),MATCH(All!W$1,Spring!$1:$1,FALSE))),"")</f>
        <v>1,669.00 (2,753.85)</v>
      </c>
      <c r="X253" t="str">
        <f>IFERROR(IF(INDEX(Spring!$1:$1048576,MATCH(All!$A253,Spring!$A:$A,FALSE),MATCH(All!X$1,Spring!$1:$1,FALSE))="","",INDEX(Spring!$1:$1048576,MATCH(All!$A253,Spring!$A:$A,FALSE),MATCH(All!X$1,Spring!$1:$1,FALSE))),"")</f>
        <v>4A</v>
      </c>
      <c r="Y253" t="str">
        <f>IFERROR(IF(INDEX(Spring!$1:$1048576,MATCH(All!$A253,Spring!$A:$A,FALSE),MATCH(All!Y$1,Spring!$1:$1,FALSE))="","",INDEX(Spring!$1:$1048576,MATCH(All!$A253,Spring!$A:$A,FALSE),MATCH(All!Y$1,Spring!$1:$1,FALSE))),"")</f>
        <v/>
      </c>
      <c r="Z253" t="str">
        <f>IFERROR(IF(INDEX(Spring!$1:$1048576,MATCH(All!$A253,Spring!$A:$A,FALSE),MATCH(All!Z$1,Spring!$1:$1,FALSE))="","",INDEX(Spring!$1:$1048576,MATCH(All!$A253,Spring!$A:$A,FALSE),MATCH(All!Z$1,Spring!$1:$1,FALSE))),"")</f>
        <v>3A</v>
      </c>
      <c r="AA253" t="str">
        <f>IFERROR(IF(INDEX(Spring!$1:$1048576,MATCH(All!$A253,Spring!$A:$A,FALSE),MATCH(All!AA$1,Spring!$1:$1,FALSE))="","",INDEX(Spring!$1:$1048576,MATCH(All!$A253,Spring!$A:$A,FALSE),MATCH(All!AA$1,Spring!$1:$1,FALSE))),"")</f>
        <v/>
      </c>
      <c r="AB253" t="str">
        <f>IFERROR(IF(INDEX(Spring!$1:$1048576,MATCH(All!$A253,Spring!$A:$A,FALSE),MATCH(All!AB$1,Spring!$1:$1,FALSE))="","",INDEX(Spring!$1:$1048576,MATCH(All!$A253,Spring!$A:$A,FALSE),MATCH(All!AB$1,Spring!$1:$1,FALSE))),"")</f>
        <v>3A</v>
      </c>
      <c r="AC253" t="str">
        <f>IFERROR(IF(INDEX(Spring!$1:$1048576,MATCH(All!$A253,Spring!$A:$A,FALSE),MATCH(All!AC$1,Spring!$1:$1,FALSE))="","",INDEX(Spring!$1:$1048576,MATCH(All!$A253,Spring!$A:$A,FALSE),MATCH(All!AC$1,Spring!$1:$1,FALSE))),"")</f>
        <v>3A</v>
      </c>
      <c r="AD253" t="str">
        <f>IFERROR(VLOOKUP(A253,'Flag Football'!A:A,1,FALSE),"")</f>
        <v/>
      </c>
      <c r="AE253" t="str">
        <f t="shared" si="3"/>
        <v/>
      </c>
    </row>
    <row r="254" spans="1:31" ht="15.75" thickBot="1" x14ac:dyDescent="0.3">
      <c r="A254" s="18" t="s">
        <v>989</v>
      </c>
      <c r="B254" s="38" t="str">
        <f>IFERROR(VLOOKUP(A254,'Public v Private'!A:G,3,FALSE),"")</f>
        <v>private</v>
      </c>
      <c r="C254" s="38">
        <f>IFERROR(VLOOKUP(A254,'Public v Private'!A:G,4,FALSE),"")</f>
        <v>1</v>
      </c>
      <c r="D254" s="38">
        <f>IFERROR(VLOOKUP(A254,'Public v Private'!A:G,5,FALSE),"")</f>
        <v>1</v>
      </c>
      <c r="E254" s="38"/>
      <c r="F254" s="40" t="str">
        <f>IFERROR(INDEX(Fall!$1:$1048576,MATCH(All!$A254,Fall!$A:$A,FALSE),MATCH(All!F$1,Fall!$1:$1,FALSE)),"N/A")</f>
        <v>69.00 (113.85)</v>
      </c>
      <c r="G254" t="str">
        <f>IFERROR(IF(INDEX(Fall!$1:$1048576,MATCH(All!$A254,Fall!$A:$A,FALSE),MATCH(All!G$1,Fall!$1:$1,FALSE))="","",INDEX(Fall!$1:$1048576,MATCH(All!$A254,Fall!$A:$A,FALSE),MATCH(All!G$1,Fall!$1:$1,FALSE))),"")</f>
        <v/>
      </c>
      <c r="H254" t="str">
        <f>IFERROR(IF(INDEX(Fall!$1:$1048576,MATCH(All!$A254,Fall!$A:$A,FALSE),MATCH(All!H$1,Fall!$1:$1,FALSE))="","",INDEX(Fall!$1:$1048576,MATCH(All!$A254,Fall!$A:$A,FALSE),MATCH(All!H$1,Fall!$1:$1,FALSE))),"")</f>
        <v/>
      </c>
      <c r="I254" t="str">
        <f>IFERROR(IF(INDEX(Fall!$1:$1048576,MATCH(All!$A254,Fall!$A:$A,FALSE),MATCH(All!I$1,Fall!$1:$1,FALSE))="","",INDEX(Fall!$1:$1048576,MATCH(All!$A254,Fall!$A:$A,FALSE),MATCH(All!I$1,Fall!$1:$1,FALSE))),"")</f>
        <v/>
      </c>
      <c r="J254" t="str">
        <f>IFERROR(IF(INDEX(Fall!$1:$1048576,MATCH(All!$A254,Fall!$A:$A,FALSE),MATCH(All!J$1,Fall!$1:$1,FALSE))="","",INDEX(Fall!$1:$1048576,MATCH(All!$A254,Fall!$A:$A,FALSE),MATCH(All!J$1,Fall!$1:$1,FALSE))),"")</f>
        <v/>
      </c>
      <c r="K254" t="str">
        <f>IFERROR(IF(INDEX(Fall!$1:$1048576,MATCH(All!$A254,Fall!$A:$A,FALSE),MATCH(All!K$1,Fall!$1:$1,FALSE))="","",INDEX(Fall!$1:$1048576,MATCH(All!$A254,Fall!$A:$A,FALSE),MATCH(All!K$1,Fall!$1:$1,FALSE))),"")</f>
        <v/>
      </c>
      <c r="L254" t="str">
        <f>IFERROR(IF(INDEX(Fall!$1:$1048576,MATCH(All!$A254,Fall!$A:$A,FALSE),MATCH(All!L$1,Fall!$1:$1,FALSE))="","",INDEX(Fall!$1:$1048576,MATCH(All!$A254,Fall!$A:$A,FALSE),MATCH(All!L$1,Fall!$1:$1,FALSE))),"")</f>
        <v/>
      </c>
      <c r="M254" t="str">
        <f>IFERROR(IF(INDEX(Fall!$1:$1048576,MATCH(All!$A254,Fall!$A:$A,FALSE),MATCH(All!M$1,Fall!$1:$1,FALSE))="","",INDEX(Fall!$1:$1048576,MATCH(All!$A254,Fall!$A:$A,FALSE),MATCH(All!M$1,Fall!$1:$1,FALSE))),"")</f>
        <v>1A</v>
      </c>
      <c r="O254" t="str">
        <f>IFERROR(IF(INDEX(Winter!$1:$1048576,MATCH(All!$A254,Winter!$A:$A,FALSE),MATCH(All!O$1,Winter!$1:$1,FALSE))="","",INDEX(Winter!$1:$1048576,MATCH(All!$A254,Winter!$A:$A,FALSE),MATCH(All!O$1,Winter!$1:$1,FALSE))),"")</f>
        <v/>
      </c>
      <c r="P254" t="str">
        <f>IFERROR(IF(INDEX(Winter!$1:$1048576,MATCH(All!$A254,Winter!$A:$A,FALSE),MATCH(All!P$1,Winter!$1:$1,FALSE))="","",INDEX(Winter!$1:$1048576,MATCH(All!$A254,Winter!$A:$A,FALSE),MATCH(All!P$1,Winter!$1:$1,FALSE))),"")</f>
        <v/>
      </c>
      <c r="Q254" t="str">
        <f>IFERROR(IF(INDEX(Winter!$1:$1048576,MATCH(All!$A254,Winter!$A:$A,FALSE),MATCH(All!Q$1,Winter!$1:$1,FALSE))="","",INDEX(Winter!$1:$1048576,MATCH(All!$A254,Winter!$A:$A,FALSE),MATCH(All!Q$1,Winter!$1:$1,FALSE))),"")</f>
        <v/>
      </c>
      <c r="R254" t="str">
        <f>IFERROR(IF(INDEX(Winter!$1:$1048576,MATCH(All!$A254,Winter!$A:$A,FALSE),MATCH(All!R$1,Winter!$1:$1,FALSE))="","",INDEX(Winter!$1:$1048576,MATCH(All!$A254,Winter!$A:$A,FALSE),MATCH(All!R$1,Winter!$1:$1,FALSE))),"")</f>
        <v/>
      </c>
      <c r="S254" t="str">
        <f>IFERROR(IF(INDEX(Winter!$1:$1048576,MATCH(All!$A254,Winter!$A:$A,FALSE),MATCH(All!S$1,Winter!$1:$1,FALSE))="","",INDEX(Winter!$1:$1048576,MATCH(All!$A254,Winter!$A:$A,FALSE),MATCH(All!S$1,Winter!$1:$1,FALSE))),"")</f>
        <v/>
      </c>
      <c r="T254" t="str">
        <f>IFERROR(IF(INDEX(Winter!$1:$1048576,MATCH(All!$A254,Winter!$A:$A,FALSE),MATCH(All!T$1,Winter!$1:$1,FALSE))="","",INDEX(Winter!$1:$1048576,MATCH(All!$A254,Winter!$A:$A,FALSE),MATCH(All!T$1,Winter!$1:$1,FALSE))),"")</f>
        <v/>
      </c>
      <c r="U254" t="str">
        <f>IFERROR(IF(INDEX(Winter!$1:$1048576,MATCH(All!$A254,Winter!$A:$A,FALSE),MATCH(All!U$1,Winter!$1:$1,FALSE))="","",INDEX(Winter!$1:$1048576,MATCH(All!$A254,Winter!$A:$A,FALSE),MATCH(All!U$1,Winter!$1:$1,FALSE))),"")</f>
        <v/>
      </c>
      <c r="W254" t="str">
        <f>IFERROR(IF(INDEX(Spring!$1:$1048576,MATCH(All!$A254,Spring!$A:$A,FALSE),MATCH(All!W$1,Spring!$1:$1,FALSE))="","",INDEX(Spring!$1:$1048576,MATCH(All!$A254,Spring!$A:$A,FALSE),MATCH(All!W$1,Spring!$1:$1,FALSE))),"")</f>
        <v/>
      </c>
      <c r="X254" t="str">
        <f>IFERROR(IF(INDEX(Spring!$1:$1048576,MATCH(All!$A254,Spring!$A:$A,FALSE),MATCH(All!X$1,Spring!$1:$1,FALSE))="","",INDEX(Spring!$1:$1048576,MATCH(All!$A254,Spring!$A:$A,FALSE),MATCH(All!X$1,Spring!$1:$1,FALSE))),"")</f>
        <v/>
      </c>
      <c r="Y254" t="str">
        <f>IFERROR(IF(INDEX(Spring!$1:$1048576,MATCH(All!$A254,Spring!$A:$A,FALSE),MATCH(All!Y$1,Spring!$1:$1,FALSE))="","",INDEX(Spring!$1:$1048576,MATCH(All!$A254,Spring!$A:$A,FALSE),MATCH(All!Y$1,Spring!$1:$1,FALSE))),"")</f>
        <v/>
      </c>
      <c r="Z254" t="str">
        <f>IFERROR(IF(INDEX(Spring!$1:$1048576,MATCH(All!$A254,Spring!$A:$A,FALSE),MATCH(All!Z$1,Spring!$1:$1,FALSE))="","",INDEX(Spring!$1:$1048576,MATCH(All!$A254,Spring!$A:$A,FALSE),MATCH(All!Z$1,Spring!$1:$1,FALSE))),"")</f>
        <v/>
      </c>
      <c r="AA254" t="str">
        <f>IFERROR(IF(INDEX(Spring!$1:$1048576,MATCH(All!$A254,Spring!$A:$A,FALSE),MATCH(All!AA$1,Spring!$1:$1,FALSE))="","",INDEX(Spring!$1:$1048576,MATCH(All!$A254,Spring!$A:$A,FALSE),MATCH(All!AA$1,Spring!$1:$1,FALSE))),"")</f>
        <v/>
      </c>
      <c r="AB254" t="str">
        <f>IFERROR(IF(INDEX(Spring!$1:$1048576,MATCH(All!$A254,Spring!$A:$A,FALSE),MATCH(All!AB$1,Spring!$1:$1,FALSE))="","",INDEX(Spring!$1:$1048576,MATCH(All!$A254,Spring!$A:$A,FALSE),MATCH(All!AB$1,Spring!$1:$1,FALSE))),"")</f>
        <v/>
      </c>
      <c r="AC254" t="str">
        <f>IFERROR(IF(INDEX(Spring!$1:$1048576,MATCH(All!$A254,Spring!$A:$A,FALSE),MATCH(All!AC$1,Spring!$1:$1,FALSE))="","",INDEX(Spring!$1:$1048576,MATCH(All!$A254,Spring!$A:$A,FALSE),MATCH(All!AC$1,Spring!$1:$1,FALSE))),"")</f>
        <v/>
      </c>
      <c r="AD254" t="str">
        <f>IFERROR(VLOOKUP(A254,'Flag Football'!A:A,1,FALSE),"")</f>
        <v/>
      </c>
      <c r="AE254" t="str">
        <f t="shared" si="3"/>
        <v/>
      </c>
    </row>
    <row r="255" spans="1:31" ht="15.75" thickBot="1" x14ac:dyDescent="0.3">
      <c r="A255" s="20" t="s">
        <v>328</v>
      </c>
      <c r="B255" s="38">
        <f>IFERROR(VLOOKUP(A255,'Public v Private'!A:G,3,FALSE),"")</f>
        <v>0</v>
      </c>
      <c r="C255" s="38">
        <f>IFERROR(VLOOKUP(A255,'Public v Private'!A:G,4,FALSE),"")</f>
        <v>0</v>
      </c>
      <c r="D255" s="38">
        <f>IFERROR(VLOOKUP(A255,'Public v Private'!A:G,5,FALSE),"")</f>
        <v>0</v>
      </c>
      <c r="E255" s="38"/>
      <c r="F255" s="40">
        <f>IFERROR(INDEX(Fall!$1:$1048576,MATCH(All!$A255,Fall!$A:$A,FALSE),MATCH(All!F$1,Fall!$1:$1,FALSE)),"N/A")</f>
        <v>1464</v>
      </c>
      <c r="G255" t="str">
        <f>IFERROR(IF(INDEX(Fall!$1:$1048576,MATCH(All!$A255,Fall!$A:$A,FALSE),MATCH(All!G$1,Fall!$1:$1,FALSE))="","",INDEX(Fall!$1:$1048576,MATCH(All!$A255,Fall!$A:$A,FALSE),MATCH(All!G$1,Fall!$1:$1,FALSE))),"")</f>
        <v>2A</v>
      </c>
      <c r="H255" t="str">
        <f>IFERROR(IF(INDEX(Fall!$1:$1048576,MATCH(All!$A255,Fall!$A:$A,FALSE),MATCH(All!H$1,Fall!$1:$1,FALSE))="","",INDEX(Fall!$1:$1048576,MATCH(All!$A255,Fall!$A:$A,FALSE),MATCH(All!H$1,Fall!$1:$1,FALSE))),"")</f>
        <v>2A</v>
      </c>
      <c r="I255" t="str">
        <f>IFERROR(IF(INDEX(Fall!$1:$1048576,MATCH(All!$A255,Fall!$A:$A,FALSE),MATCH(All!I$1,Fall!$1:$1,FALSE))="","",INDEX(Fall!$1:$1048576,MATCH(All!$A255,Fall!$A:$A,FALSE),MATCH(All!I$1,Fall!$1:$1,FALSE))),"")</f>
        <v/>
      </c>
      <c r="J255" t="str">
        <f>IFERROR(IF(INDEX(Fall!$1:$1048576,MATCH(All!$A255,Fall!$A:$A,FALSE),MATCH(All!J$1,Fall!$1:$1,FALSE))="","",INDEX(Fall!$1:$1048576,MATCH(All!$A255,Fall!$A:$A,FALSE),MATCH(All!J$1,Fall!$1:$1,FALSE))),"")</f>
        <v/>
      </c>
      <c r="K255" t="str">
        <f>IFERROR(IF(INDEX(Fall!$1:$1048576,MATCH(All!$A255,Fall!$A:$A,FALSE),MATCH(All!K$1,Fall!$1:$1,FALSE))="","",INDEX(Fall!$1:$1048576,MATCH(All!$A255,Fall!$A:$A,FALSE),MATCH(All!K$1,Fall!$1:$1,FALSE))),"")</f>
        <v>2A</v>
      </c>
      <c r="L255" t="str">
        <f>IFERROR(IF(INDEX(Fall!$1:$1048576,MATCH(All!$A255,Fall!$A:$A,FALSE),MATCH(All!L$1,Fall!$1:$1,FALSE))="","",INDEX(Fall!$1:$1048576,MATCH(All!$A255,Fall!$A:$A,FALSE),MATCH(All!L$1,Fall!$1:$1,FALSE))),"")</f>
        <v/>
      </c>
      <c r="M255" t="str">
        <f>IFERROR(IF(INDEX(Fall!$1:$1048576,MATCH(All!$A255,Fall!$A:$A,FALSE),MATCH(All!M$1,Fall!$1:$1,FALSE))="","",INDEX(Fall!$1:$1048576,MATCH(All!$A255,Fall!$A:$A,FALSE),MATCH(All!M$1,Fall!$1:$1,FALSE))),"")</f>
        <v>3A</v>
      </c>
      <c r="O255">
        <f>IFERROR(IF(INDEX(Winter!$1:$1048576,MATCH(All!$A255,Winter!$A:$A,FALSE),MATCH(All!O$1,Winter!$1:$1,FALSE))="","",INDEX(Winter!$1:$1048576,MATCH(All!$A255,Winter!$A:$A,FALSE),MATCH(All!O$1,Winter!$1:$1,FALSE))),"")</f>
        <v>1464</v>
      </c>
      <c r="P255" t="str">
        <f>IFERROR(IF(INDEX(Winter!$1:$1048576,MATCH(All!$A255,Winter!$A:$A,FALSE),MATCH(All!P$1,Winter!$1:$1,FALSE))="","",INDEX(Winter!$1:$1048576,MATCH(All!$A255,Winter!$A:$A,FALSE),MATCH(All!P$1,Winter!$1:$1,FALSE))),"")</f>
        <v>3A</v>
      </c>
      <c r="Q255" t="str">
        <f>IFERROR(IF(INDEX(Winter!$1:$1048576,MATCH(All!$A255,Winter!$A:$A,FALSE),MATCH(All!Q$1,Winter!$1:$1,FALSE))="","",INDEX(Winter!$1:$1048576,MATCH(All!$A255,Winter!$A:$A,FALSE),MATCH(All!Q$1,Winter!$1:$1,FALSE))),"")</f>
        <v>3A</v>
      </c>
      <c r="R255" t="str">
        <f>IFERROR(IF(INDEX(Winter!$1:$1048576,MATCH(All!$A255,Winter!$A:$A,FALSE),MATCH(All!R$1,Winter!$1:$1,FALSE))="","",INDEX(Winter!$1:$1048576,MATCH(All!$A255,Winter!$A:$A,FALSE),MATCH(All!R$1,Winter!$1:$1,FALSE))),"")</f>
        <v/>
      </c>
      <c r="S255" t="str">
        <f>IFERROR(IF(INDEX(Winter!$1:$1048576,MATCH(All!$A255,Winter!$A:$A,FALSE),MATCH(All!S$1,Winter!$1:$1,FALSE))="","",INDEX(Winter!$1:$1048576,MATCH(All!$A255,Winter!$A:$A,FALSE),MATCH(All!S$1,Winter!$1:$1,FALSE))),"")</f>
        <v/>
      </c>
      <c r="T255" t="str">
        <f>IFERROR(IF(INDEX(Winter!$1:$1048576,MATCH(All!$A255,Winter!$A:$A,FALSE),MATCH(All!T$1,Winter!$1:$1,FALSE))="","",INDEX(Winter!$1:$1048576,MATCH(All!$A255,Winter!$A:$A,FALSE),MATCH(All!T$1,Winter!$1:$1,FALSE))),"")</f>
        <v/>
      </c>
      <c r="U255" t="str">
        <f>IFERROR(IF(INDEX(Winter!$1:$1048576,MATCH(All!$A255,Winter!$A:$A,FALSE),MATCH(All!U$1,Winter!$1:$1,FALSE))="","",INDEX(Winter!$1:$1048576,MATCH(All!$A255,Winter!$A:$A,FALSE),MATCH(All!U$1,Winter!$1:$1,FALSE))),"")</f>
        <v>2A</v>
      </c>
      <c r="W255">
        <f>IFERROR(IF(INDEX(Spring!$1:$1048576,MATCH(All!$A255,Spring!$A:$A,FALSE),MATCH(All!W$1,Spring!$1:$1,FALSE))="","",INDEX(Spring!$1:$1048576,MATCH(All!$A255,Spring!$A:$A,FALSE),MATCH(All!W$1,Spring!$1:$1,FALSE))),"")</f>
        <v>1464</v>
      </c>
      <c r="X255" t="str">
        <f>IFERROR(IF(INDEX(Spring!$1:$1048576,MATCH(All!$A255,Spring!$A:$A,FALSE),MATCH(All!X$1,Spring!$1:$1,FALSE))="","",INDEX(Spring!$1:$1048576,MATCH(All!$A255,Spring!$A:$A,FALSE),MATCH(All!X$1,Spring!$1:$1,FALSE))),"")</f>
        <v>3A</v>
      </c>
      <c r="Y255" t="str">
        <f>IFERROR(IF(INDEX(Spring!$1:$1048576,MATCH(All!$A255,Spring!$A:$A,FALSE),MATCH(All!Y$1,Spring!$1:$1,FALSE))="","",INDEX(Spring!$1:$1048576,MATCH(All!$A255,Spring!$A:$A,FALSE),MATCH(All!Y$1,Spring!$1:$1,FALSE))),"")</f>
        <v>3A</v>
      </c>
      <c r="Z255" t="str">
        <f>IFERROR(IF(INDEX(Spring!$1:$1048576,MATCH(All!$A255,Spring!$A:$A,FALSE),MATCH(All!Z$1,Spring!$1:$1,FALSE))="","",INDEX(Spring!$1:$1048576,MATCH(All!$A255,Spring!$A:$A,FALSE),MATCH(All!Z$1,Spring!$1:$1,FALSE))),"")</f>
        <v>2A</v>
      </c>
      <c r="AA255" t="str">
        <f>IFERROR(IF(INDEX(Spring!$1:$1048576,MATCH(All!$A255,Spring!$A:$A,FALSE),MATCH(All!AA$1,Spring!$1:$1,FALSE))="","",INDEX(Spring!$1:$1048576,MATCH(All!$A255,Spring!$A:$A,FALSE),MATCH(All!AA$1,Spring!$1:$1,FALSE))),"")</f>
        <v/>
      </c>
      <c r="AB255" t="str">
        <f>IFERROR(IF(INDEX(Spring!$1:$1048576,MATCH(All!$A255,Spring!$A:$A,FALSE),MATCH(All!AB$1,Spring!$1:$1,FALSE))="","",INDEX(Spring!$1:$1048576,MATCH(All!$A255,Spring!$A:$A,FALSE),MATCH(All!AB$1,Spring!$1:$1,FALSE))),"")</f>
        <v>3A</v>
      </c>
      <c r="AC255" t="str">
        <f>IFERROR(IF(INDEX(Spring!$1:$1048576,MATCH(All!$A255,Spring!$A:$A,FALSE),MATCH(All!AC$1,Spring!$1:$1,FALSE))="","",INDEX(Spring!$1:$1048576,MATCH(All!$A255,Spring!$A:$A,FALSE),MATCH(All!AC$1,Spring!$1:$1,FALSE))),"")</f>
        <v>3A</v>
      </c>
      <c r="AD255" t="str">
        <f>IFERROR(VLOOKUP(A255,'Flag Football'!A:A,1,FALSE),"")</f>
        <v/>
      </c>
      <c r="AE255" t="str">
        <f t="shared" si="3"/>
        <v/>
      </c>
    </row>
    <row r="256" spans="1:31" ht="15.75" thickBot="1" x14ac:dyDescent="0.3">
      <c r="A256" s="18" t="s">
        <v>942</v>
      </c>
      <c r="B256" s="38">
        <f>IFERROR(VLOOKUP(A256,'Public v Private'!A:G,3,FALSE),"")</f>
        <v>0</v>
      </c>
      <c r="C256" s="38">
        <f>IFERROR(VLOOKUP(A256,'Public v Private'!A:G,4,FALSE),"")</f>
        <v>0</v>
      </c>
      <c r="D256" s="38">
        <f>IFERROR(VLOOKUP(A256,'Public v Private'!A:G,5,FALSE),"")</f>
        <v>0</v>
      </c>
      <c r="E256" s="38"/>
      <c r="F256" s="40" t="str">
        <f>IFERROR(INDEX(Fall!$1:$1048576,MATCH(All!$A256,Fall!$A:$A,FALSE),MATCH(All!F$1,Fall!$1:$1,FALSE)),"N/A")</f>
        <v>N/A</v>
      </c>
      <c r="G256" t="str">
        <f>IFERROR(IF(INDEX(Fall!$1:$1048576,MATCH(All!$A256,Fall!$A:$A,FALSE),MATCH(All!G$1,Fall!$1:$1,FALSE))="","",INDEX(Fall!$1:$1048576,MATCH(All!$A256,Fall!$A:$A,FALSE),MATCH(All!G$1,Fall!$1:$1,FALSE))),"")</f>
        <v/>
      </c>
      <c r="H256" t="str">
        <f>IFERROR(IF(INDEX(Fall!$1:$1048576,MATCH(All!$A256,Fall!$A:$A,FALSE),MATCH(All!H$1,Fall!$1:$1,FALSE))="","",INDEX(Fall!$1:$1048576,MATCH(All!$A256,Fall!$A:$A,FALSE),MATCH(All!H$1,Fall!$1:$1,FALSE))),"")</f>
        <v/>
      </c>
      <c r="I256" t="str">
        <f>IFERROR(IF(INDEX(Fall!$1:$1048576,MATCH(All!$A256,Fall!$A:$A,FALSE),MATCH(All!I$1,Fall!$1:$1,FALSE))="","",INDEX(Fall!$1:$1048576,MATCH(All!$A256,Fall!$A:$A,FALSE),MATCH(All!I$1,Fall!$1:$1,FALSE))),"")</f>
        <v/>
      </c>
      <c r="J256" t="str">
        <f>IFERROR(IF(INDEX(Fall!$1:$1048576,MATCH(All!$A256,Fall!$A:$A,FALSE),MATCH(All!J$1,Fall!$1:$1,FALSE))="","",INDEX(Fall!$1:$1048576,MATCH(All!$A256,Fall!$A:$A,FALSE),MATCH(All!J$1,Fall!$1:$1,FALSE))),"")</f>
        <v/>
      </c>
      <c r="K256" t="str">
        <f>IFERROR(IF(INDEX(Fall!$1:$1048576,MATCH(All!$A256,Fall!$A:$A,FALSE),MATCH(All!K$1,Fall!$1:$1,FALSE))="","",INDEX(Fall!$1:$1048576,MATCH(All!$A256,Fall!$A:$A,FALSE),MATCH(All!K$1,Fall!$1:$1,FALSE))),"")</f>
        <v/>
      </c>
      <c r="L256" t="str">
        <f>IFERROR(IF(INDEX(Fall!$1:$1048576,MATCH(All!$A256,Fall!$A:$A,FALSE),MATCH(All!L$1,Fall!$1:$1,FALSE))="","",INDEX(Fall!$1:$1048576,MATCH(All!$A256,Fall!$A:$A,FALSE),MATCH(All!L$1,Fall!$1:$1,FALSE))),"")</f>
        <v/>
      </c>
      <c r="M256" t="str">
        <f>IFERROR(IF(INDEX(Fall!$1:$1048576,MATCH(All!$A256,Fall!$A:$A,FALSE),MATCH(All!M$1,Fall!$1:$1,FALSE))="","",INDEX(Fall!$1:$1048576,MATCH(All!$A256,Fall!$A:$A,FALSE),MATCH(All!M$1,Fall!$1:$1,FALSE))),"")</f>
        <v/>
      </c>
      <c r="O256">
        <f>IFERROR(IF(INDEX(Winter!$1:$1048576,MATCH(All!$A256,Winter!$A:$A,FALSE),MATCH(All!O$1,Winter!$1:$1,FALSE))="","",INDEX(Winter!$1:$1048576,MATCH(All!$A256,Winter!$A:$A,FALSE),MATCH(All!O$1,Winter!$1:$1,FALSE))),"")</f>
        <v>358</v>
      </c>
      <c r="P256" t="str">
        <f>IFERROR(IF(INDEX(Winter!$1:$1048576,MATCH(All!$A256,Winter!$A:$A,FALSE),MATCH(All!P$1,Winter!$1:$1,FALSE))="","",INDEX(Winter!$1:$1048576,MATCH(All!$A256,Winter!$A:$A,FALSE),MATCH(All!P$1,Winter!$1:$1,FALSE))),"")</f>
        <v>2A</v>
      </c>
      <c r="Q256" t="str">
        <f>IFERROR(IF(INDEX(Winter!$1:$1048576,MATCH(All!$A256,Winter!$A:$A,FALSE),MATCH(All!Q$1,Winter!$1:$1,FALSE))="","",INDEX(Winter!$1:$1048576,MATCH(All!$A256,Winter!$A:$A,FALSE),MATCH(All!Q$1,Winter!$1:$1,FALSE))),"")</f>
        <v/>
      </c>
      <c r="R256" t="str">
        <f>IFERROR(IF(INDEX(Winter!$1:$1048576,MATCH(All!$A256,Winter!$A:$A,FALSE),MATCH(All!R$1,Winter!$1:$1,FALSE))="","",INDEX(Winter!$1:$1048576,MATCH(All!$A256,Winter!$A:$A,FALSE),MATCH(All!R$1,Winter!$1:$1,FALSE))),"")</f>
        <v/>
      </c>
      <c r="S256" t="str">
        <f>IFERROR(IF(INDEX(Winter!$1:$1048576,MATCH(All!$A256,Winter!$A:$A,FALSE),MATCH(All!S$1,Winter!$1:$1,FALSE))="","",INDEX(Winter!$1:$1048576,MATCH(All!$A256,Winter!$A:$A,FALSE),MATCH(All!S$1,Winter!$1:$1,FALSE))),"")</f>
        <v/>
      </c>
      <c r="T256" t="str">
        <f>IFERROR(IF(INDEX(Winter!$1:$1048576,MATCH(All!$A256,Winter!$A:$A,FALSE),MATCH(All!T$1,Winter!$1:$1,FALSE))="","",INDEX(Winter!$1:$1048576,MATCH(All!$A256,Winter!$A:$A,FALSE),MATCH(All!T$1,Winter!$1:$1,FALSE))),"")</f>
        <v/>
      </c>
      <c r="U256" t="str">
        <f>IFERROR(IF(INDEX(Winter!$1:$1048576,MATCH(All!$A256,Winter!$A:$A,FALSE),MATCH(All!U$1,Winter!$1:$1,FALSE))="","",INDEX(Winter!$1:$1048576,MATCH(All!$A256,Winter!$A:$A,FALSE),MATCH(All!U$1,Winter!$1:$1,FALSE))),"")</f>
        <v/>
      </c>
      <c r="W256" t="str">
        <f>IFERROR(IF(INDEX(Spring!$1:$1048576,MATCH(All!$A256,Spring!$A:$A,FALSE),MATCH(All!W$1,Spring!$1:$1,FALSE))="","",INDEX(Spring!$1:$1048576,MATCH(All!$A256,Spring!$A:$A,FALSE),MATCH(All!W$1,Spring!$1:$1,FALSE))),"")</f>
        <v/>
      </c>
      <c r="X256" t="str">
        <f>IFERROR(IF(INDEX(Spring!$1:$1048576,MATCH(All!$A256,Spring!$A:$A,FALSE),MATCH(All!X$1,Spring!$1:$1,FALSE))="","",INDEX(Spring!$1:$1048576,MATCH(All!$A256,Spring!$A:$A,FALSE),MATCH(All!X$1,Spring!$1:$1,FALSE))),"")</f>
        <v/>
      </c>
      <c r="Y256" t="str">
        <f>IFERROR(IF(INDEX(Spring!$1:$1048576,MATCH(All!$A256,Spring!$A:$A,FALSE),MATCH(All!Y$1,Spring!$1:$1,FALSE))="","",INDEX(Spring!$1:$1048576,MATCH(All!$A256,Spring!$A:$A,FALSE),MATCH(All!Y$1,Spring!$1:$1,FALSE))),"")</f>
        <v/>
      </c>
      <c r="Z256" t="str">
        <f>IFERROR(IF(INDEX(Spring!$1:$1048576,MATCH(All!$A256,Spring!$A:$A,FALSE),MATCH(All!Z$1,Spring!$1:$1,FALSE))="","",INDEX(Spring!$1:$1048576,MATCH(All!$A256,Spring!$A:$A,FALSE),MATCH(All!Z$1,Spring!$1:$1,FALSE))),"")</f>
        <v/>
      </c>
      <c r="AA256" t="str">
        <f>IFERROR(IF(INDEX(Spring!$1:$1048576,MATCH(All!$A256,Spring!$A:$A,FALSE),MATCH(All!AA$1,Spring!$1:$1,FALSE))="","",INDEX(Spring!$1:$1048576,MATCH(All!$A256,Spring!$A:$A,FALSE),MATCH(All!AA$1,Spring!$1:$1,FALSE))),"")</f>
        <v/>
      </c>
      <c r="AB256" t="str">
        <f>IFERROR(IF(INDEX(Spring!$1:$1048576,MATCH(All!$A256,Spring!$A:$A,FALSE),MATCH(All!AB$1,Spring!$1:$1,FALSE))="","",INDEX(Spring!$1:$1048576,MATCH(All!$A256,Spring!$A:$A,FALSE),MATCH(All!AB$1,Spring!$1:$1,FALSE))),"")</f>
        <v/>
      </c>
      <c r="AC256" t="str">
        <f>IFERROR(IF(INDEX(Spring!$1:$1048576,MATCH(All!$A256,Spring!$A:$A,FALSE),MATCH(All!AC$1,Spring!$1:$1,FALSE))="","",INDEX(Spring!$1:$1048576,MATCH(All!$A256,Spring!$A:$A,FALSE),MATCH(All!AC$1,Spring!$1:$1,FALSE))),"")</f>
        <v/>
      </c>
      <c r="AD256" t="str">
        <f>IFERROR(VLOOKUP(A256,'Flag Football'!A:A,1,FALSE),"")</f>
        <v/>
      </c>
      <c r="AE256" t="str">
        <f t="shared" si="3"/>
        <v/>
      </c>
    </row>
    <row r="257" spans="1:31" ht="15.75" thickBot="1" x14ac:dyDescent="0.3">
      <c r="A257" s="18" t="s">
        <v>329</v>
      </c>
      <c r="B257" s="38" t="str">
        <f>IFERROR(VLOOKUP(A257,'Public v Private'!A:G,3,FALSE),"")</f>
        <v>no</v>
      </c>
      <c r="C257" s="38">
        <f>IFERROR(VLOOKUP(A257,'Public v Private'!A:G,4,FALSE),"")</f>
        <v>0</v>
      </c>
      <c r="D257" s="38">
        <f>IFERROR(VLOOKUP(A257,'Public v Private'!A:G,5,FALSE),"")</f>
        <v>0</v>
      </c>
      <c r="E257" s="38"/>
      <c r="F257" s="40" t="str">
        <f>IFERROR(INDEX(Fall!$1:$1048576,MATCH(All!$A257,Fall!$A:$A,FALSE),MATCH(All!F$1,Fall!$1:$1,FALSE)),"N/A")</f>
        <v>1,216.00 (2,006.40)</v>
      </c>
      <c r="G257" t="str">
        <f>IFERROR(IF(INDEX(Fall!$1:$1048576,MATCH(All!$A257,Fall!$A:$A,FALSE),MATCH(All!G$1,Fall!$1:$1,FALSE))="","",INDEX(Fall!$1:$1048576,MATCH(All!$A257,Fall!$A:$A,FALSE),MATCH(All!G$1,Fall!$1:$1,FALSE))),"")</f>
        <v>2A</v>
      </c>
      <c r="H257" t="str">
        <f>IFERROR(IF(INDEX(Fall!$1:$1048576,MATCH(All!$A257,Fall!$A:$A,FALSE),MATCH(All!H$1,Fall!$1:$1,FALSE))="","",INDEX(Fall!$1:$1048576,MATCH(All!$A257,Fall!$A:$A,FALSE),MATCH(All!H$1,Fall!$1:$1,FALSE))),"")</f>
        <v>2A</v>
      </c>
      <c r="I257" t="str">
        <f>IFERROR(IF(INDEX(Fall!$1:$1048576,MATCH(All!$A257,Fall!$A:$A,FALSE),MATCH(All!I$1,Fall!$1:$1,FALSE))="","",INDEX(Fall!$1:$1048576,MATCH(All!$A257,Fall!$A:$A,FALSE),MATCH(All!I$1,Fall!$1:$1,FALSE))),"")</f>
        <v/>
      </c>
      <c r="J257" t="str">
        <f>IFERROR(IF(INDEX(Fall!$1:$1048576,MATCH(All!$A257,Fall!$A:$A,FALSE),MATCH(All!J$1,Fall!$1:$1,FALSE))="","",INDEX(Fall!$1:$1048576,MATCH(All!$A257,Fall!$A:$A,FALSE),MATCH(All!J$1,Fall!$1:$1,FALSE))),"")</f>
        <v/>
      </c>
      <c r="K257" t="str">
        <f>IFERROR(IF(INDEX(Fall!$1:$1048576,MATCH(All!$A257,Fall!$A:$A,FALSE),MATCH(All!K$1,Fall!$1:$1,FALSE))="","",INDEX(Fall!$1:$1048576,MATCH(All!$A257,Fall!$A:$A,FALSE),MATCH(All!K$1,Fall!$1:$1,FALSE))),"")</f>
        <v>2A</v>
      </c>
      <c r="L257" t="str">
        <f>IFERROR(IF(INDEX(Fall!$1:$1048576,MATCH(All!$A257,Fall!$A:$A,FALSE),MATCH(All!L$1,Fall!$1:$1,FALSE))="","",INDEX(Fall!$1:$1048576,MATCH(All!$A257,Fall!$A:$A,FALSE),MATCH(All!L$1,Fall!$1:$1,FALSE))),"")</f>
        <v/>
      </c>
      <c r="M257" t="str">
        <f>IFERROR(IF(INDEX(Fall!$1:$1048576,MATCH(All!$A257,Fall!$A:$A,FALSE),MATCH(All!M$1,Fall!$1:$1,FALSE))="","",INDEX(Fall!$1:$1048576,MATCH(All!$A257,Fall!$A:$A,FALSE),MATCH(All!M$1,Fall!$1:$1,FALSE))),"")</f>
        <v>3A</v>
      </c>
      <c r="O257" t="str">
        <f>IFERROR(IF(INDEX(Winter!$1:$1048576,MATCH(All!$A257,Winter!$A:$A,FALSE),MATCH(All!O$1,Winter!$1:$1,FALSE))="","",INDEX(Winter!$1:$1048576,MATCH(All!$A257,Winter!$A:$A,FALSE),MATCH(All!O$1,Winter!$1:$1,FALSE))),"")</f>
        <v>1,216.00 (2,006.40)</v>
      </c>
      <c r="P257" t="str">
        <f>IFERROR(IF(INDEX(Winter!$1:$1048576,MATCH(All!$A257,Winter!$A:$A,FALSE),MATCH(All!P$1,Winter!$1:$1,FALSE))="","",INDEX(Winter!$1:$1048576,MATCH(All!$A257,Winter!$A:$A,FALSE),MATCH(All!P$1,Winter!$1:$1,FALSE))),"")</f>
        <v>3A</v>
      </c>
      <c r="Q257" t="str">
        <f>IFERROR(IF(INDEX(Winter!$1:$1048576,MATCH(All!$A257,Winter!$A:$A,FALSE),MATCH(All!Q$1,Winter!$1:$1,FALSE))="","",INDEX(Winter!$1:$1048576,MATCH(All!$A257,Winter!$A:$A,FALSE),MATCH(All!Q$1,Winter!$1:$1,FALSE))),"")</f>
        <v>3A</v>
      </c>
      <c r="R257" t="str">
        <f>IFERROR(IF(INDEX(Winter!$1:$1048576,MATCH(All!$A257,Winter!$A:$A,FALSE),MATCH(All!R$1,Winter!$1:$1,FALSE))="","",INDEX(Winter!$1:$1048576,MATCH(All!$A257,Winter!$A:$A,FALSE),MATCH(All!R$1,Winter!$1:$1,FALSE))),"")</f>
        <v/>
      </c>
      <c r="S257" t="str">
        <f>IFERROR(IF(INDEX(Winter!$1:$1048576,MATCH(All!$A257,Winter!$A:$A,FALSE),MATCH(All!S$1,Winter!$1:$1,FALSE))="","",INDEX(Winter!$1:$1048576,MATCH(All!$A257,Winter!$A:$A,FALSE),MATCH(All!S$1,Winter!$1:$1,FALSE))),"")</f>
        <v/>
      </c>
      <c r="T257" t="str">
        <f>IFERROR(IF(INDEX(Winter!$1:$1048576,MATCH(All!$A257,Winter!$A:$A,FALSE),MATCH(All!T$1,Winter!$1:$1,FALSE))="","",INDEX(Winter!$1:$1048576,MATCH(All!$A257,Winter!$A:$A,FALSE),MATCH(All!T$1,Winter!$1:$1,FALSE))),"")</f>
        <v/>
      </c>
      <c r="U257" t="str">
        <f>IFERROR(IF(INDEX(Winter!$1:$1048576,MATCH(All!$A257,Winter!$A:$A,FALSE),MATCH(All!U$1,Winter!$1:$1,FALSE))="","",INDEX(Winter!$1:$1048576,MATCH(All!$A257,Winter!$A:$A,FALSE),MATCH(All!U$1,Winter!$1:$1,FALSE))),"")</f>
        <v>2A</v>
      </c>
      <c r="W257" t="str">
        <f>IFERROR(IF(INDEX(Spring!$1:$1048576,MATCH(All!$A257,Spring!$A:$A,FALSE),MATCH(All!W$1,Spring!$1:$1,FALSE))="","",INDEX(Spring!$1:$1048576,MATCH(All!$A257,Spring!$A:$A,FALSE),MATCH(All!W$1,Spring!$1:$1,FALSE))),"")</f>
        <v>1,216.00 (2,006.40)</v>
      </c>
      <c r="X257" t="str">
        <f>IFERROR(IF(INDEX(Spring!$1:$1048576,MATCH(All!$A257,Spring!$A:$A,FALSE),MATCH(All!X$1,Spring!$1:$1,FALSE))="","",INDEX(Spring!$1:$1048576,MATCH(All!$A257,Spring!$A:$A,FALSE),MATCH(All!X$1,Spring!$1:$1,FALSE))),"")</f>
        <v/>
      </c>
      <c r="Y257" t="str">
        <f>IFERROR(IF(INDEX(Spring!$1:$1048576,MATCH(All!$A257,Spring!$A:$A,FALSE),MATCH(All!Y$1,Spring!$1:$1,FALSE))="","",INDEX(Spring!$1:$1048576,MATCH(All!$A257,Spring!$A:$A,FALSE),MATCH(All!Y$1,Spring!$1:$1,FALSE))),"")</f>
        <v/>
      </c>
      <c r="Z257" t="str">
        <f>IFERROR(IF(INDEX(Spring!$1:$1048576,MATCH(All!$A257,Spring!$A:$A,FALSE),MATCH(All!Z$1,Spring!$1:$1,FALSE))="","",INDEX(Spring!$1:$1048576,MATCH(All!$A257,Spring!$A:$A,FALSE),MATCH(All!Z$1,Spring!$1:$1,FALSE))),"")</f>
        <v>3A</v>
      </c>
      <c r="AA257" t="str">
        <f>IFERROR(IF(INDEX(Spring!$1:$1048576,MATCH(All!$A257,Spring!$A:$A,FALSE),MATCH(All!AA$1,Spring!$1:$1,FALSE))="","",INDEX(Spring!$1:$1048576,MATCH(All!$A257,Spring!$A:$A,FALSE),MATCH(All!AA$1,Spring!$1:$1,FALSE))),"")</f>
        <v/>
      </c>
      <c r="AB257" t="str">
        <f>IFERROR(IF(INDEX(Spring!$1:$1048576,MATCH(All!$A257,Spring!$A:$A,FALSE),MATCH(All!AB$1,Spring!$1:$1,FALSE))="","",INDEX(Spring!$1:$1048576,MATCH(All!$A257,Spring!$A:$A,FALSE),MATCH(All!AB$1,Spring!$1:$1,FALSE))),"")</f>
        <v>3A</v>
      </c>
      <c r="AC257" t="str">
        <f>IFERROR(IF(INDEX(Spring!$1:$1048576,MATCH(All!$A257,Spring!$A:$A,FALSE),MATCH(All!AC$1,Spring!$1:$1,FALSE))="","",INDEX(Spring!$1:$1048576,MATCH(All!$A257,Spring!$A:$A,FALSE),MATCH(All!AC$1,Spring!$1:$1,FALSE))),"")</f>
        <v>3A</v>
      </c>
      <c r="AD257" t="str">
        <f>IFERROR(VLOOKUP(A257,'Flag Football'!A:A,1,FALSE),"")</f>
        <v>Chicago (Westinghouse College Prep)</v>
      </c>
      <c r="AE257" t="str">
        <f t="shared" si="3"/>
        <v>1A</v>
      </c>
    </row>
    <row r="258" spans="1:31" ht="15.75" thickBot="1" x14ac:dyDescent="0.3">
      <c r="A258" s="20" t="s">
        <v>331</v>
      </c>
      <c r="B258" s="38" t="str">
        <f>IFERROR(VLOOKUP(A258,'Public v Private'!A:G,3,FALSE),"")</f>
        <v>no</v>
      </c>
      <c r="C258" s="38">
        <f>IFERROR(VLOOKUP(A258,'Public v Private'!A:G,4,FALSE),"")</f>
        <v>0</v>
      </c>
      <c r="D258" s="38">
        <f>IFERROR(VLOOKUP(A258,'Public v Private'!A:G,5,FALSE),"")</f>
        <v>0</v>
      </c>
      <c r="E258" s="38"/>
      <c r="F258" s="40" t="str">
        <f>IFERROR(INDEX(Fall!$1:$1048576,MATCH(All!$A258,Fall!$A:$A,FALSE),MATCH(All!F$1,Fall!$1:$1,FALSE)),"N/A")</f>
        <v>1,924.00 (3,174.60)</v>
      </c>
      <c r="G258" t="str">
        <f>IFERROR(IF(INDEX(Fall!$1:$1048576,MATCH(All!$A258,Fall!$A:$A,FALSE),MATCH(All!G$1,Fall!$1:$1,FALSE))="","",INDEX(Fall!$1:$1048576,MATCH(All!$A258,Fall!$A:$A,FALSE),MATCH(All!G$1,Fall!$1:$1,FALSE))),"")</f>
        <v>3A</v>
      </c>
      <c r="H258" t="str">
        <f>IFERROR(IF(INDEX(Fall!$1:$1048576,MATCH(All!$A258,Fall!$A:$A,FALSE),MATCH(All!H$1,Fall!$1:$1,FALSE))="","",INDEX(Fall!$1:$1048576,MATCH(All!$A258,Fall!$A:$A,FALSE),MATCH(All!H$1,Fall!$1:$1,FALSE))),"")</f>
        <v>3A</v>
      </c>
      <c r="I258" t="str">
        <f>IFERROR(IF(INDEX(Fall!$1:$1048576,MATCH(All!$A258,Fall!$A:$A,FALSE),MATCH(All!I$1,Fall!$1:$1,FALSE))="","",INDEX(Fall!$1:$1048576,MATCH(All!$A258,Fall!$A:$A,FALSE),MATCH(All!I$1,Fall!$1:$1,FALSE))),"")</f>
        <v>3A</v>
      </c>
      <c r="J258" t="str">
        <f>IFERROR(IF(INDEX(Fall!$1:$1048576,MATCH(All!$A258,Fall!$A:$A,FALSE),MATCH(All!J$1,Fall!$1:$1,FALSE))="","",INDEX(Fall!$1:$1048576,MATCH(All!$A258,Fall!$A:$A,FALSE),MATCH(All!J$1,Fall!$1:$1,FALSE))),"")</f>
        <v>2A</v>
      </c>
      <c r="K258" t="str">
        <f>IFERROR(IF(INDEX(Fall!$1:$1048576,MATCH(All!$A258,Fall!$A:$A,FALSE),MATCH(All!K$1,Fall!$1:$1,FALSE))="","",INDEX(Fall!$1:$1048576,MATCH(All!$A258,Fall!$A:$A,FALSE),MATCH(All!K$1,Fall!$1:$1,FALSE))),"")</f>
        <v>3A</v>
      </c>
      <c r="L258" t="str">
        <f>IFERROR(IF(INDEX(Fall!$1:$1048576,MATCH(All!$A258,Fall!$A:$A,FALSE),MATCH(All!L$1,Fall!$1:$1,FALSE))="","",INDEX(Fall!$1:$1048576,MATCH(All!$A258,Fall!$A:$A,FALSE),MATCH(All!L$1,Fall!$1:$1,FALSE))),"")</f>
        <v>2A</v>
      </c>
      <c r="M258" t="str">
        <f>IFERROR(IF(INDEX(Fall!$1:$1048576,MATCH(All!$A258,Fall!$A:$A,FALSE),MATCH(All!M$1,Fall!$1:$1,FALSE))="","",INDEX(Fall!$1:$1048576,MATCH(All!$A258,Fall!$A:$A,FALSE),MATCH(All!M$1,Fall!$1:$1,FALSE))),"")</f>
        <v>4A</v>
      </c>
      <c r="O258" t="str">
        <f>IFERROR(IF(INDEX(Winter!$1:$1048576,MATCH(All!$A258,Winter!$A:$A,FALSE),MATCH(All!O$1,Winter!$1:$1,FALSE))="","",INDEX(Winter!$1:$1048576,MATCH(All!$A258,Winter!$A:$A,FALSE),MATCH(All!O$1,Winter!$1:$1,FALSE))),"")</f>
        <v>1,924.00 (3,174.60)</v>
      </c>
      <c r="P258" t="str">
        <f>IFERROR(IF(INDEX(Winter!$1:$1048576,MATCH(All!$A258,Winter!$A:$A,FALSE),MATCH(All!P$1,Winter!$1:$1,FALSE))="","",INDEX(Winter!$1:$1048576,MATCH(All!$A258,Winter!$A:$A,FALSE),MATCH(All!P$1,Winter!$1:$1,FALSE))),"")</f>
        <v>4A</v>
      </c>
      <c r="Q258" t="str">
        <f>IFERROR(IF(INDEX(Winter!$1:$1048576,MATCH(All!$A258,Winter!$A:$A,FALSE),MATCH(All!Q$1,Winter!$1:$1,FALSE))="","",INDEX(Winter!$1:$1048576,MATCH(All!$A258,Winter!$A:$A,FALSE),MATCH(All!Q$1,Winter!$1:$1,FALSE))),"")</f>
        <v>4A</v>
      </c>
      <c r="R258" t="str">
        <f>IFERROR(IF(INDEX(Winter!$1:$1048576,MATCH(All!$A258,Winter!$A:$A,FALSE),MATCH(All!R$1,Winter!$1:$1,FALSE))="","",INDEX(Winter!$1:$1048576,MATCH(All!$A258,Winter!$A:$A,FALSE),MATCH(All!R$1,Winter!$1:$1,FALSE))),"")</f>
        <v>3A</v>
      </c>
      <c r="S258" t="str">
        <f>IFERROR(IF(INDEX(Winter!$1:$1048576,MATCH(All!$A258,Winter!$A:$A,FALSE),MATCH(All!S$1,Winter!$1:$1,FALSE))="","",INDEX(Winter!$1:$1048576,MATCH(All!$A258,Winter!$A:$A,FALSE),MATCH(All!S$1,Winter!$1:$1,FALSE))),"")</f>
        <v>3A</v>
      </c>
      <c r="T258" t="str">
        <f>IFERROR(IF(INDEX(Winter!$1:$1048576,MATCH(All!$A258,Winter!$A:$A,FALSE),MATCH(All!T$1,Winter!$1:$1,FALSE))="","",INDEX(Winter!$1:$1048576,MATCH(All!$A258,Winter!$A:$A,FALSE),MATCH(All!T$1,Winter!$1:$1,FALSE))),"")</f>
        <v/>
      </c>
      <c r="U258" t="str">
        <f>IFERROR(IF(INDEX(Winter!$1:$1048576,MATCH(All!$A258,Winter!$A:$A,FALSE),MATCH(All!U$1,Winter!$1:$1,FALSE))="","",INDEX(Winter!$1:$1048576,MATCH(All!$A258,Winter!$A:$A,FALSE),MATCH(All!U$1,Winter!$1:$1,FALSE))),"")</f>
        <v/>
      </c>
      <c r="W258" t="str">
        <f>IFERROR(IF(INDEX(Spring!$1:$1048576,MATCH(All!$A258,Spring!$A:$A,FALSE),MATCH(All!W$1,Spring!$1:$1,FALSE))="","",INDEX(Spring!$1:$1048576,MATCH(All!$A258,Spring!$A:$A,FALSE),MATCH(All!W$1,Spring!$1:$1,FALSE))),"")</f>
        <v>1,924.00 (3,174.60)</v>
      </c>
      <c r="X258" t="str">
        <f>IFERROR(IF(INDEX(Spring!$1:$1048576,MATCH(All!$A258,Spring!$A:$A,FALSE),MATCH(All!X$1,Spring!$1:$1,FALSE))="","",INDEX(Spring!$1:$1048576,MATCH(All!$A258,Spring!$A:$A,FALSE),MATCH(All!X$1,Spring!$1:$1,FALSE))),"")</f>
        <v>4A</v>
      </c>
      <c r="Y258" t="str">
        <f>IFERROR(IF(INDEX(Spring!$1:$1048576,MATCH(All!$A258,Spring!$A:$A,FALSE),MATCH(All!Y$1,Spring!$1:$1,FALSE))="","",INDEX(Spring!$1:$1048576,MATCH(All!$A258,Spring!$A:$A,FALSE),MATCH(All!Y$1,Spring!$1:$1,FALSE))),"")</f>
        <v>4A</v>
      </c>
      <c r="Z258" t="str">
        <f>IFERROR(IF(INDEX(Spring!$1:$1048576,MATCH(All!$A258,Spring!$A:$A,FALSE),MATCH(All!Z$1,Spring!$1:$1,FALSE))="","",INDEX(Spring!$1:$1048576,MATCH(All!$A258,Spring!$A:$A,FALSE),MATCH(All!Z$1,Spring!$1:$1,FALSE))),"")</f>
        <v>3A</v>
      </c>
      <c r="AA258" t="str">
        <f>IFERROR(IF(INDEX(Spring!$1:$1048576,MATCH(All!$A258,Spring!$A:$A,FALSE),MATCH(All!AA$1,Spring!$1:$1,FALSE))="","",INDEX(Spring!$1:$1048576,MATCH(All!$A258,Spring!$A:$A,FALSE),MATCH(All!AA$1,Spring!$1:$1,FALSE))),"")</f>
        <v>2A</v>
      </c>
      <c r="AB258" t="str">
        <f>IFERROR(IF(INDEX(Spring!$1:$1048576,MATCH(All!$A258,Spring!$A:$A,FALSE),MATCH(All!AB$1,Spring!$1:$1,FALSE))="","",INDEX(Spring!$1:$1048576,MATCH(All!$A258,Spring!$A:$A,FALSE),MATCH(All!AB$1,Spring!$1:$1,FALSE))),"")</f>
        <v>3A</v>
      </c>
      <c r="AC258" t="str">
        <f>IFERROR(IF(INDEX(Spring!$1:$1048576,MATCH(All!$A258,Spring!$A:$A,FALSE),MATCH(All!AC$1,Spring!$1:$1,FALSE))="","",INDEX(Spring!$1:$1048576,MATCH(All!$A258,Spring!$A:$A,FALSE),MATCH(All!AC$1,Spring!$1:$1,FALSE))),"")</f>
        <v>3A</v>
      </c>
      <c r="AD258" t="str">
        <f>IFERROR(VLOOKUP(A258,'Flag Football'!A:A,1,FALSE),"")</f>
        <v>Chicago (Whitney Young)</v>
      </c>
      <c r="AE258" t="str">
        <f t="shared" si="3"/>
        <v>1A</v>
      </c>
    </row>
    <row r="259" spans="1:31" ht="15.75" thickBot="1" x14ac:dyDescent="0.3">
      <c r="A259" s="18" t="s">
        <v>333</v>
      </c>
      <c r="B259" s="38" t="str">
        <f>IFERROR(VLOOKUP(A259,'Public v Private'!A:G,3,FALSE),"")</f>
        <v>private</v>
      </c>
      <c r="C259" s="38">
        <f>IFERROR(VLOOKUP(A259,'Public v Private'!A:G,4,FALSE),"")</f>
        <v>1</v>
      </c>
      <c r="D259" s="38">
        <f>IFERROR(VLOOKUP(A259,'Public v Private'!A:G,5,FALSE),"")</f>
        <v>2</v>
      </c>
      <c r="E259" s="38"/>
      <c r="F259" s="40" t="str">
        <f>IFERROR(INDEX(Fall!$1:$1048576,MATCH(All!$A259,Fall!$A:$A,FALSE),MATCH(All!F$1,Fall!$1:$1,FALSE)),"N/A")</f>
        <v>135.00 (222.75)</v>
      </c>
      <c r="G259" t="str">
        <f>IFERROR(IF(INDEX(Fall!$1:$1048576,MATCH(All!$A259,Fall!$A:$A,FALSE),MATCH(All!G$1,Fall!$1:$1,FALSE))="","",INDEX(Fall!$1:$1048576,MATCH(All!$A259,Fall!$A:$A,FALSE),MATCH(All!G$1,Fall!$1:$1,FALSE))),"")</f>
        <v>1A</v>
      </c>
      <c r="H259" t="str">
        <f>IFERROR(IF(INDEX(Fall!$1:$1048576,MATCH(All!$A259,Fall!$A:$A,FALSE),MATCH(All!H$1,Fall!$1:$1,FALSE))="","",INDEX(Fall!$1:$1048576,MATCH(All!$A259,Fall!$A:$A,FALSE),MATCH(All!H$1,Fall!$1:$1,FALSE))),"")</f>
        <v/>
      </c>
      <c r="I259" t="str">
        <f>IFERROR(IF(INDEX(Fall!$1:$1048576,MATCH(All!$A259,Fall!$A:$A,FALSE),MATCH(All!I$1,Fall!$1:$1,FALSE))="","",INDEX(Fall!$1:$1048576,MATCH(All!$A259,Fall!$A:$A,FALSE),MATCH(All!I$1,Fall!$1:$1,FALSE))),"")</f>
        <v/>
      </c>
      <c r="J259" t="str">
        <f>IFERROR(IF(INDEX(Fall!$1:$1048576,MATCH(All!$A259,Fall!$A:$A,FALSE),MATCH(All!J$1,Fall!$1:$1,FALSE))="","",INDEX(Fall!$1:$1048576,MATCH(All!$A259,Fall!$A:$A,FALSE),MATCH(All!J$1,Fall!$1:$1,FALSE))),"")</f>
        <v/>
      </c>
      <c r="K259" t="str">
        <f>IFERROR(IF(INDEX(Fall!$1:$1048576,MATCH(All!$A259,Fall!$A:$A,FALSE),MATCH(All!K$1,Fall!$1:$1,FALSE))="","",INDEX(Fall!$1:$1048576,MATCH(All!$A259,Fall!$A:$A,FALSE),MATCH(All!K$1,Fall!$1:$1,FALSE))),"")</f>
        <v/>
      </c>
      <c r="L259" t="str">
        <f>IFERROR(IF(INDEX(Fall!$1:$1048576,MATCH(All!$A259,Fall!$A:$A,FALSE),MATCH(All!L$1,Fall!$1:$1,FALSE))="","",INDEX(Fall!$1:$1048576,MATCH(All!$A259,Fall!$A:$A,FALSE),MATCH(All!L$1,Fall!$1:$1,FALSE))),"")</f>
        <v/>
      </c>
      <c r="M259" t="str">
        <f>IFERROR(IF(INDEX(Fall!$1:$1048576,MATCH(All!$A259,Fall!$A:$A,FALSE),MATCH(All!M$1,Fall!$1:$1,FALSE))="","",INDEX(Fall!$1:$1048576,MATCH(All!$A259,Fall!$A:$A,FALSE),MATCH(All!M$1,Fall!$1:$1,FALSE))),"")</f>
        <v>1A</v>
      </c>
      <c r="O259" t="str">
        <f>IFERROR(IF(INDEX(Winter!$1:$1048576,MATCH(All!$A259,Winter!$A:$A,FALSE),MATCH(All!O$1,Winter!$1:$1,FALSE))="","",INDEX(Winter!$1:$1048576,MATCH(All!$A259,Winter!$A:$A,FALSE),MATCH(All!O$1,Winter!$1:$1,FALSE))),"")</f>
        <v>135.00 (222.75)</v>
      </c>
      <c r="P259" t="str">
        <f>IFERROR(IF(INDEX(Winter!$1:$1048576,MATCH(All!$A259,Winter!$A:$A,FALSE),MATCH(All!P$1,Winter!$1:$1,FALSE))="","",INDEX(Winter!$1:$1048576,MATCH(All!$A259,Winter!$A:$A,FALSE),MATCH(All!P$1,Winter!$1:$1,FALSE))),"")</f>
        <v>1A</v>
      </c>
      <c r="Q259" t="str">
        <f>IFERROR(IF(INDEX(Winter!$1:$1048576,MATCH(All!$A259,Winter!$A:$A,FALSE),MATCH(All!Q$1,Winter!$1:$1,FALSE))="","",INDEX(Winter!$1:$1048576,MATCH(All!$A259,Winter!$A:$A,FALSE),MATCH(All!Q$1,Winter!$1:$1,FALSE))),"")</f>
        <v>1A</v>
      </c>
      <c r="R259" t="str">
        <f>IFERROR(IF(INDEX(Winter!$1:$1048576,MATCH(All!$A259,Winter!$A:$A,FALSE),MATCH(All!R$1,Winter!$1:$1,FALSE))="","",INDEX(Winter!$1:$1048576,MATCH(All!$A259,Winter!$A:$A,FALSE),MATCH(All!R$1,Winter!$1:$1,FALSE))),"")</f>
        <v/>
      </c>
      <c r="S259" t="str">
        <f>IFERROR(IF(INDEX(Winter!$1:$1048576,MATCH(All!$A259,Winter!$A:$A,FALSE),MATCH(All!S$1,Winter!$1:$1,FALSE))="","",INDEX(Winter!$1:$1048576,MATCH(All!$A259,Winter!$A:$A,FALSE),MATCH(All!S$1,Winter!$1:$1,FALSE))),"")</f>
        <v/>
      </c>
      <c r="T259" t="str">
        <f>IFERROR(IF(INDEX(Winter!$1:$1048576,MATCH(All!$A259,Winter!$A:$A,FALSE),MATCH(All!T$1,Winter!$1:$1,FALSE))="","",INDEX(Winter!$1:$1048576,MATCH(All!$A259,Winter!$A:$A,FALSE),MATCH(All!T$1,Winter!$1:$1,FALSE))),"")</f>
        <v/>
      </c>
      <c r="U259" t="str">
        <f>IFERROR(IF(INDEX(Winter!$1:$1048576,MATCH(All!$A259,Winter!$A:$A,FALSE),MATCH(All!U$1,Winter!$1:$1,FALSE))="","",INDEX(Winter!$1:$1048576,MATCH(All!$A259,Winter!$A:$A,FALSE),MATCH(All!U$1,Winter!$1:$1,FALSE))),"")</f>
        <v/>
      </c>
      <c r="W259" t="str">
        <f>IFERROR(IF(INDEX(Spring!$1:$1048576,MATCH(All!$A259,Spring!$A:$A,FALSE),MATCH(All!W$1,Spring!$1:$1,FALSE))="","",INDEX(Spring!$1:$1048576,MATCH(All!$A259,Spring!$A:$A,FALSE),MATCH(All!W$1,Spring!$1:$1,FALSE))),"")</f>
        <v>135.00 (222.75)</v>
      </c>
      <c r="X259" t="str">
        <f>IFERROR(IF(INDEX(Spring!$1:$1048576,MATCH(All!$A259,Spring!$A:$A,FALSE),MATCH(All!X$1,Spring!$1:$1,FALSE))="","",INDEX(Spring!$1:$1048576,MATCH(All!$A259,Spring!$A:$A,FALSE),MATCH(All!X$1,Spring!$1:$1,FALSE))),"")</f>
        <v/>
      </c>
      <c r="Y259" t="str">
        <f>IFERROR(IF(INDEX(Spring!$1:$1048576,MATCH(All!$A259,Spring!$A:$A,FALSE),MATCH(All!Y$1,Spring!$1:$1,FALSE))="","",INDEX(Spring!$1:$1048576,MATCH(All!$A259,Spring!$A:$A,FALSE),MATCH(All!Y$1,Spring!$1:$1,FALSE))),"")</f>
        <v/>
      </c>
      <c r="Z259" t="str">
        <f>IFERROR(IF(INDEX(Spring!$1:$1048576,MATCH(All!$A259,Spring!$A:$A,FALSE),MATCH(All!Z$1,Spring!$1:$1,FALSE))="","",INDEX(Spring!$1:$1048576,MATCH(All!$A259,Spring!$A:$A,FALSE),MATCH(All!Z$1,Spring!$1:$1,FALSE))),"")</f>
        <v/>
      </c>
      <c r="AA259" t="str">
        <f>IFERROR(IF(INDEX(Spring!$1:$1048576,MATCH(All!$A259,Spring!$A:$A,FALSE),MATCH(All!AA$1,Spring!$1:$1,FALSE))="","",INDEX(Spring!$1:$1048576,MATCH(All!$A259,Spring!$A:$A,FALSE),MATCH(All!AA$1,Spring!$1:$1,FALSE))),"")</f>
        <v/>
      </c>
      <c r="AB259" t="str">
        <f>IFERROR(IF(INDEX(Spring!$1:$1048576,MATCH(All!$A259,Spring!$A:$A,FALSE),MATCH(All!AB$1,Spring!$1:$1,FALSE))="","",INDEX(Spring!$1:$1048576,MATCH(All!$A259,Spring!$A:$A,FALSE),MATCH(All!AB$1,Spring!$1:$1,FALSE))),"")</f>
        <v>1A</v>
      </c>
      <c r="AC259" t="str">
        <f>IFERROR(IF(INDEX(Spring!$1:$1048576,MATCH(All!$A259,Spring!$A:$A,FALSE),MATCH(All!AC$1,Spring!$1:$1,FALSE))="","",INDEX(Spring!$1:$1048576,MATCH(All!$A259,Spring!$A:$A,FALSE),MATCH(All!AC$1,Spring!$1:$1,FALSE))),"")</f>
        <v>1A</v>
      </c>
      <c r="AD259" t="str">
        <f>IFERROR(VLOOKUP(A259,'Flag Football'!A:A,1,FALSE),"")</f>
        <v/>
      </c>
      <c r="AE259" t="str">
        <f t="shared" ref="AE259:AE322" si="4">IF(AD259="","","1A")</f>
        <v/>
      </c>
    </row>
    <row r="260" spans="1:31" ht="15.75" thickBot="1" x14ac:dyDescent="0.3">
      <c r="A260" s="20" t="s">
        <v>335</v>
      </c>
      <c r="B260" s="38">
        <f>IFERROR(VLOOKUP(A260,'Public v Private'!A:G,3,FALSE),"")</f>
        <v>0</v>
      </c>
      <c r="C260" s="38">
        <f>IFERROR(VLOOKUP(A260,'Public v Private'!A:G,4,FALSE),"")</f>
        <v>0</v>
      </c>
      <c r="D260" s="38">
        <f>IFERROR(VLOOKUP(A260,'Public v Private'!A:G,5,FALSE),"")</f>
        <v>0</v>
      </c>
      <c r="E260" s="38"/>
      <c r="F260" s="40">
        <f>IFERROR(INDEX(Fall!$1:$1048576,MATCH(All!$A260,Fall!$A:$A,FALSE),MATCH(All!F$1,Fall!$1:$1,FALSE)),"N/A")</f>
        <v>2964</v>
      </c>
      <c r="G260" t="str">
        <f>IFERROR(IF(INDEX(Fall!$1:$1048576,MATCH(All!$A260,Fall!$A:$A,FALSE),MATCH(All!G$1,Fall!$1:$1,FALSE))="","",INDEX(Fall!$1:$1048576,MATCH(All!$A260,Fall!$A:$A,FALSE),MATCH(All!G$1,Fall!$1:$1,FALSE))),"")</f>
        <v>3A</v>
      </c>
      <c r="H260" t="str">
        <f>IFERROR(IF(INDEX(Fall!$1:$1048576,MATCH(All!$A260,Fall!$A:$A,FALSE),MATCH(All!H$1,Fall!$1:$1,FALSE))="","",INDEX(Fall!$1:$1048576,MATCH(All!$A260,Fall!$A:$A,FALSE),MATCH(All!H$1,Fall!$1:$1,FALSE))),"")</f>
        <v>3A</v>
      </c>
      <c r="I260" t="str">
        <f>IFERROR(IF(INDEX(Fall!$1:$1048576,MATCH(All!$A260,Fall!$A:$A,FALSE),MATCH(All!I$1,Fall!$1:$1,FALSE))="","",INDEX(Fall!$1:$1048576,MATCH(All!$A260,Fall!$A:$A,FALSE),MATCH(All!I$1,Fall!$1:$1,FALSE))),"")</f>
        <v>3A</v>
      </c>
      <c r="J260" t="str">
        <f>IFERROR(IF(INDEX(Fall!$1:$1048576,MATCH(All!$A260,Fall!$A:$A,FALSE),MATCH(All!J$1,Fall!$1:$1,FALSE))="","",INDEX(Fall!$1:$1048576,MATCH(All!$A260,Fall!$A:$A,FALSE),MATCH(All!J$1,Fall!$1:$1,FALSE))),"")</f>
        <v/>
      </c>
      <c r="K260" t="str">
        <f>IFERROR(IF(INDEX(Fall!$1:$1048576,MATCH(All!$A260,Fall!$A:$A,FALSE),MATCH(All!K$1,Fall!$1:$1,FALSE))="","",INDEX(Fall!$1:$1048576,MATCH(All!$A260,Fall!$A:$A,FALSE),MATCH(All!K$1,Fall!$1:$1,FALSE))),"")</f>
        <v>3A</v>
      </c>
      <c r="L260" t="str">
        <f>IFERROR(IF(INDEX(Fall!$1:$1048576,MATCH(All!$A260,Fall!$A:$A,FALSE),MATCH(All!L$1,Fall!$1:$1,FALSE))="","",INDEX(Fall!$1:$1048576,MATCH(All!$A260,Fall!$A:$A,FALSE),MATCH(All!L$1,Fall!$1:$1,FALSE))),"")</f>
        <v>2A</v>
      </c>
      <c r="M260" t="str">
        <f>IFERROR(IF(INDEX(Fall!$1:$1048576,MATCH(All!$A260,Fall!$A:$A,FALSE),MATCH(All!M$1,Fall!$1:$1,FALSE))="","",INDEX(Fall!$1:$1048576,MATCH(All!$A260,Fall!$A:$A,FALSE),MATCH(All!M$1,Fall!$1:$1,FALSE))),"")</f>
        <v>4A</v>
      </c>
      <c r="O260">
        <f>IFERROR(IF(INDEX(Winter!$1:$1048576,MATCH(All!$A260,Winter!$A:$A,FALSE),MATCH(All!O$1,Winter!$1:$1,FALSE))="","",INDEX(Winter!$1:$1048576,MATCH(All!$A260,Winter!$A:$A,FALSE),MATCH(All!O$1,Winter!$1:$1,FALSE))),"")</f>
        <v>2964</v>
      </c>
      <c r="P260" t="str">
        <f>IFERROR(IF(INDEX(Winter!$1:$1048576,MATCH(All!$A260,Winter!$A:$A,FALSE),MATCH(All!P$1,Winter!$1:$1,FALSE))="","",INDEX(Winter!$1:$1048576,MATCH(All!$A260,Winter!$A:$A,FALSE),MATCH(All!P$1,Winter!$1:$1,FALSE))),"")</f>
        <v>4A</v>
      </c>
      <c r="Q260" t="str">
        <f>IFERROR(IF(INDEX(Winter!$1:$1048576,MATCH(All!$A260,Winter!$A:$A,FALSE),MATCH(All!Q$1,Winter!$1:$1,FALSE))="","",INDEX(Winter!$1:$1048576,MATCH(All!$A260,Winter!$A:$A,FALSE),MATCH(All!Q$1,Winter!$1:$1,FALSE))),"")</f>
        <v>4A</v>
      </c>
      <c r="R260" t="str">
        <f>IFERROR(IF(INDEX(Winter!$1:$1048576,MATCH(All!$A260,Winter!$A:$A,FALSE),MATCH(All!R$1,Winter!$1:$1,FALSE))="","",INDEX(Winter!$1:$1048576,MATCH(All!$A260,Winter!$A:$A,FALSE),MATCH(All!R$1,Winter!$1:$1,FALSE))),"")</f>
        <v/>
      </c>
      <c r="S260" t="str">
        <f>IFERROR(IF(INDEX(Winter!$1:$1048576,MATCH(All!$A260,Winter!$A:$A,FALSE),MATCH(All!S$1,Winter!$1:$1,FALSE))="","",INDEX(Winter!$1:$1048576,MATCH(All!$A260,Winter!$A:$A,FALSE),MATCH(All!S$1,Winter!$1:$1,FALSE))),"")</f>
        <v/>
      </c>
      <c r="T260" t="str">
        <f>IFERROR(IF(INDEX(Winter!$1:$1048576,MATCH(All!$A260,Winter!$A:$A,FALSE),MATCH(All!T$1,Winter!$1:$1,FALSE))="","",INDEX(Winter!$1:$1048576,MATCH(All!$A260,Winter!$A:$A,FALSE),MATCH(All!T$1,Winter!$1:$1,FALSE))),"")</f>
        <v/>
      </c>
      <c r="U260" t="str">
        <f>IFERROR(IF(INDEX(Winter!$1:$1048576,MATCH(All!$A260,Winter!$A:$A,FALSE),MATCH(All!U$1,Winter!$1:$1,FALSE))="","",INDEX(Winter!$1:$1048576,MATCH(All!$A260,Winter!$A:$A,FALSE),MATCH(All!U$1,Winter!$1:$1,FALSE))),"")</f>
        <v>3A</v>
      </c>
      <c r="W260">
        <f>IFERROR(IF(INDEX(Spring!$1:$1048576,MATCH(All!$A260,Spring!$A:$A,FALSE),MATCH(All!W$1,Spring!$1:$1,FALSE))="","",INDEX(Spring!$1:$1048576,MATCH(All!$A260,Spring!$A:$A,FALSE),MATCH(All!W$1,Spring!$1:$1,FALSE))),"")</f>
        <v>2964</v>
      </c>
      <c r="X260" t="str">
        <f>IFERROR(IF(INDEX(Spring!$1:$1048576,MATCH(All!$A260,Spring!$A:$A,FALSE),MATCH(All!X$1,Spring!$1:$1,FALSE))="","",INDEX(Spring!$1:$1048576,MATCH(All!$A260,Spring!$A:$A,FALSE),MATCH(All!X$1,Spring!$1:$1,FALSE))),"")</f>
        <v>4A</v>
      </c>
      <c r="Y260" t="str">
        <f>IFERROR(IF(INDEX(Spring!$1:$1048576,MATCH(All!$A260,Spring!$A:$A,FALSE),MATCH(All!Y$1,Spring!$1:$1,FALSE))="","",INDEX(Spring!$1:$1048576,MATCH(All!$A260,Spring!$A:$A,FALSE),MATCH(All!Y$1,Spring!$1:$1,FALSE))),"")</f>
        <v>4A</v>
      </c>
      <c r="Z260" t="str">
        <f>IFERROR(IF(INDEX(Spring!$1:$1048576,MATCH(All!$A260,Spring!$A:$A,FALSE),MATCH(All!Z$1,Spring!$1:$1,FALSE))="","",INDEX(Spring!$1:$1048576,MATCH(All!$A260,Spring!$A:$A,FALSE),MATCH(All!Z$1,Spring!$1:$1,FALSE))),"")</f>
        <v>3A</v>
      </c>
      <c r="AA260" t="str">
        <f>IFERROR(IF(INDEX(Spring!$1:$1048576,MATCH(All!$A260,Spring!$A:$A,FALSE),MATCH(All!AA$1,Spring!$1:$1,FALSE))="","",INDEX(Spring!$1:$1048576,MATCH(All!$A260,Spring!$A:$A,FALSE),MATCH(All!AA$1,Spring!$1:$1,FALSE))),"")</f>
        <v/>
      </c>
      <c r="AB260" t="str">
        <f>IFERROR(IF(INDEX(Spring!$1:$1048576,MATCH(All!$A260,Spring!$A:$A,FALSE),MATCH(All!AB$1,Spring!$1:$1,FALSE))="","",INDEX(Spring!$1:$1048576,MATCH(All!$A260,Spring!$A:$A,FALSE),MATCH(All!AB$1,Spring!$1:$1,FALSE))),"")</f>
        <v>3A</v>
      </c>
      <c r="AC260" t="str">
        <f>IFERROR(IF(INDEX(Spring!$1:$1048576,MATCH(All!$A260,Spring!$A:$A,FALSE),MATCH(All!AC$1,Spring!$1:$1,FALSE))="","",INDEX(Spring!$1:$1048576,MATCH(All!$A260,Spring!$A:$A,FALSE),MATCH(All!AC$1,Spring!$1:$1,FALSE))),"")</f>
        <v>3A</v>
      </c>
      <c r="AD260" t="str">
        <f>IFERROR(VLOOKUP(A260,'Flag Football'!A:A,1,FALSE),"")</f>
        <v>Chicago Heights (Bloom Twp.)</v>
      </c>
      <c r="AE260" t="str">
        <f t="shared" si="4"/>
        <v>1A</v>
      </c>
    </row>
    <row r="261" spans="1:31" ht="15.75" thickBot="1" x14ac:dyDescent="0.3">
      <c r="A261" s="18" t="s">
        <v>336</v>
      </c>
      <c r="B261" s="38" t="str">
        <f>IFERROR(VLOOKUP(A261,'Public v Private'!A:G,3,FALSE),"")</f>
        <v>private</v>
      </c>
      <c r="C261" s="38">
        <f>IFERROR(VLOOKUP(A261,'Public v Private'!A:G,4,FALSE),"")</f>
        <v>3</v>
      </c>
      <c r="D261" s="38">
        <f>IFERROR(VLOOKUP(A261,'Public v Private'!A:G,5,FALSE),"")</f>
        <v>8</v>
      </c>
      <c r="E261" s="38"/>
      <c r="F261" s="40" t="str">
        <f>IFERROR(INDEX(Fall!$1:$1048576,MATCH(All!$A261,Fall!$A:$A,FALSE),MATCH(All!F$1,Fall!$1:$1,FALSE)),"N/A")</f>
        <v>744.00 (1,227.60)</v>
      </c>
      <c r="G261" t="str">
        <f>IFERROR(IF(INDEX(Fall!$1:$1048576,MATCH(All!$A261,Fall!$A:$A,FALSE),MATCH(All!G$1,Fall!$1:$1,FALSE))="","",INDEX(Fall!$1:$1048576,MATCH(All!$A261,Fall!$A:$A,FALSE),MATCH(All!G$1,Fall!$1:$1,FALSE))),"")</f>
        <v>2A</v>
      </c>
      <c r="H261" t="str">
        <f>IFERROR(IF(INDEX(Fall!$1:$1048576,MATCH(All!$A261,Fall!$A:$A,FALSE),MATCH(All!H$1,Fall!$1:$1,FALSE))="","",INDEX(Fall!$1:$1048576,MATCH(All!$A261,Fall!$A:$A,FALSE),MATCH(All!H$1,Fall!$1:$1,FALSE))),"")</f>
        <v>2A</v>
      </c>
      <c r="I261" t="str">
        <f>IFERROR(IF(INDEX(Fall!$1:$1048576,MATCH(All!$A261,Fall!$A:$A,FALSE),MATCH(All!I$1,Fall!$1:$1,FALSE))="","",INDEX(Fall!$1:$1048576,MATCH(All!$A261,Fall!$A:$A,FALSE),MATCH(All!I$1,Fall!$1:$1,FALSE))),"")</f>
        <v>2A</v>
      </c>
      <c r="J261" t="str">
        <f>IFERROR(IF(INDEX(Fall!$1:$1048576,MATCH(All!$A261,Fall!$A:$A,FALSE),MATCH(All!J$1,Fall!$1:$1,FALSE))="","",INDEX(Fall!$1:$1048576,MATCH(All!$A261,Fall!$A:$A,FALSE),MATCH(All!J$1,Fall!$1:$1,FALSE))),"")</f>
        <v/>
      </c>
      <c r="K261" t="str">
        <f>IFERROR(IF(INDEX(Fall!$1:$1048576,MATCH(All!$A261,Fall!$A:$A,FALSE),MATCH(All!K$1,Fall!$1:$1,FALSE))="","",INDEX(Fall!$1:$1048576,MATCH(All!$A261,Fall!$A:$A,FALSE),MATCH(All!K$1,Fall!$1:$1,FALSE))),"")</f>
        <v>2A</v>
      </c>
      <c r="L261" t="str">
        <f>IFERROR(IF(INDEX(Fall!$1:$1048576,MATCH(All!$A261,Fall!$A:$A,FALSE),MATCH(All!L$1,Fall!$1:$1,FALSE))="","",INDEX(Fall!$1:$1048576,MATCH(All!$A261,Fall!$A:$A,FALSE),MATCH(All!L$1,Fall!$1:$1,FALSE))),"")</f>
        <v>1A</v>
      </c>
      <c r="M261" t="str">
        <f>IFERROR(IF(INDEX(Fall!$1:$1048576,MATCH(All!$A261,Fall!$A:$A,FALSE),MATCH(All!M$1,Fall!$1:$1,FALSE))="","",INDEX(Fall!$1:$1048576,MATCH(All!$A261,Fall!$A:$A,FALSE),MATCH(All!M$1,Fall!$1:$1,FALSE))),"")</f>
        <v>3A</v>
      </c>
      <c r="O261" t="str">
        <f>IFERROR(IF(INDEX(Winter!$1:$1048576,MATCH(All!$A261,Winter!$A:$A,FALSE),MATCH(All!O$1,Winter!$1:$1,FALSE))="","",INDEX(Winter!$1:$1048576,MATCH(All!$A261,Winter!$A:$A,FALSE),MATCH(All!O$1,Winter!$1:$1,FALSE))),"")</f>
        <v>744.00 (1,227.60)</v>
      </c>
      <c r="P261" t="str">
        <f>IFERROR(IF(INDEX(Winter!$1:$1048576,MATCH(All!$A261,Winter!$A:$A,FALSE),MATCH(All!P$1,Winter!$1:$1,FALSE))="","",INDEX(Winter!$1:$1048576,MATCH(All!$A261,Winter!$A:$A,FALSE),MATCH(All!P$1,Winter!$1:$1,FALSE))),"")</f>
        <v>3A</v>
      </c>
      <c r="Q261" t="str">
        <f>IFERROR(IF(INDEX(Winter!$1:$1048576,MATCH(All!$A261,Winter!$A:$A,FALSE),MATCH(All!Q$1,Winter!$1:$1,FALSE))="","",INDEX(Winter!$1:$1048576,MATCH(All!$A261,Winter!$A:$A,FALSE),MATCH(All!Q$1,Winter!$1:$1,FALSE))),"")</f>
        <v>3A</v>
      </c>
      <c r="R261" t="str">
        <f>IFERROR(IF(INDEX(Winter!$1:$1048576,MATCH(All!$A261,Winter!$A:$A,FALSE),MATCH(All!R$1,Winter!$1:$1,FALSE))="","",INDEX(Winter!$1:$1048576,MATCH(All!$A261,Winter!$A:$A,FALSE),MATCH(All!R$1,Winter!$1:$1,FALSE))),"")</f>
        <v>2A</v>
      </c>
      <c r="S261" t="str">
        <f>IFERROR(IF(INDEX(Winter!$1:$1048576,MATCH(All!$A261,Winter!$A:$A,FALSE),MATCH(All!S$1,Winter!$1:$1,FALSE))="","",INDEX(Winter!$1:$1048576,MATCH(All!$A261,Winter!$A:$A,FALSE),MATCH(All!S$1,Winter!$1:$1,FALSE))),"")</f>
        <v/>
      </c>
      <c r="T261" t="str">
        <f>IFERROR(IF(INDEX(Winter!$1:$1048576,MATCH(All!$A261,Winter!$A:$A,FALSE),MATCH(All!T$1,Winter!$1:$1,FALSE))="","",INDEX(Winter!$1:$1048576,MATCH(All!$A261,Winter!$A:$A,FALSE),MATCH(All!T$1,Winter!$1:$1,FALSE))),"")</f>
        <v/>
      </c>
      <c r="U261" t="str">
        <f>IFERROR(IF(INDEX(Winter!$1:$1048576,MATCH(All!$A261,Winter!$A:$A,FALSE),MATCH(All!U$1,Winter!$1:$1,FALSE))="","",INDEX(Winter!$1:$1048576,MATCH(All!$A261,Winter!$A:$A,FALSE),MATCH(All!U$1,Winter!$1:$1,FALSE))),"")</f>
        <v>2A</v>
      </c>
      <c r="W261" t="str">
        <f>IFERROR(IF(INDEX(Spring!$1:$1048576,MATCH(All!$A261,Spring!$A:$A,FALSE),MATCH(All!W$1,Spring!$1:$1,FALSE))="","",INDEX(Spring!$1:$1048576,MATCH(All!$A261,Spring!$A:$A,FALSE),MATCH(All!W$1,Spring!$1:$1,FALSE))),"")</f>
        <v>744.00 (1,227.60)</v>
      </c>
      <c r="X261" t="str">
        <f>IFERROR(IF(INDEX(Spring!$1:$1048576,MATCH(All!$A261,Spring!$A:$A,FALSE),MATCH(All!X$1,Spring!$1:$1,FALSE))="","",INDEX(Spring!$1:$1048576,MATCH(All!$A261,Spring!$A:$A,FALSE),MATCH(All!X$1,Spring!$1:$1,FALSE))),"")</f>
        <v>3A</v>
      </c>
      <c r="Y261" t="str">
        <f>IFERROR(IF(INDEX(Spring!$1:$1048576,MATCH(All!$A261,Spring!$A:$A,FALSE),MATCH(All!Y$1,Spring!$1:$1,FALSE))="","",INDEX(Spring!$1:$1048576,MATCH(All!$A261,Spring!$A:$A,FALSE),MATCH(All!Y$1,Spring!$1:$1,FALSE))),"")</f>
        <v>3A</v>
      </c>
      <c r="Z261" t="str">
        <f>IFERROR(IF(INDEX(Spring!$1:$1048576,MATCH(All!$A261,Spring!$A:$A,FALSE),MATCH(All!Z$1,Spring!$1:$1,FALSE))="","",INDEX(Spring!$1:$1048576,MATCH(All!$A261,Spring!$A:$A,FALSE),MATCH(All!Z$1,Spring!$1:$1,FALSE))),"")</f>
        <v>2A</v>
      </c>
      <c r="AA261" t="str">
        <f>IFERROR(IF(INDEX(Spring!$1:$1048576,MATCH(All!$A261,Spring!$A:$A,FALSE),MATCH(All!AA$1,Spring!$1:$1,FALSE))="","",INDEX(Spring!$1:$1048576,MATCH(All!$A261,Spring!$A:$A,FALSE),MATCH(All!AA$1,Spring!$1:$1,FALSE))),"")</f>
        <v>1A</v>
      </c>
      <c r="AB261" t="str">
        <f>IFERROR(IF(INDEX(Spring!$1:$1048576,MATCH(All!$A261,Spring!$A:$A,FALSE),MATCH(All!AB$1,Spring!$1:$1,FALSE))="","",INDEX(Spring!$1:$1048576,MATCH(All!$A261,Spring!$A:$A,FALSE),MATCH(All!AB$1,Spring!$1:$1,FALSE))),"")</f>
        <v>2A</v>
      </c>
      <c r="AC261" t="str">
        <f>IFERROR(IF(INDEX(Spring!$1:$1048576,MATCH(All!$A261,Spring!$A:$A,FALSE),MATCH(All!AC$1,Spring!$1:$1,FALSE))="","",INDEX(Spring!$1:$1048576,MATCH(All!$A261,Spring!$A:$A,FALSE),MATCH(All!AC$1,Spring!$1:$1,FALSE))),"")</f>
        <v>2A</v>
      </c>
      <c r="AD261" t="str">
        <f>IFERROR(VLOOKUP(A261,'Flag Football'!A:A,1,FALSE),"")</f>
        <v/>
      </c>
      <c r="AE261" t="str">
        <f t="shared" si="4"/>
        <v/>
      </c>
    </row>
    <row r="262" spans="1:31" ht="15.75" thickBot="1" x14ac:dyDescent="0.3">
      <c r="A262" s="20" t="s">
        <v>338</v>
      </c>
      <c r="B262" s="38">
        <f>IFERROR(VLOOKUP(A262,'Public v Private'!A:G,3,FALSE),"")</f>
        <v>0</v>
      </c>
      <c r="C262" s="38">
        <f>IFERROR(VLOOKUP(A262,'Public v Private'!A:G,4,FALSE),"")</f>
        <v>0</v>
      </c>
      <c r="D262" s="38">
        <f>IFERROR(VLOOKUP(A262,'Public v Private'!A:G,5,FALSE),"")</f>
        <v>0</v>
      </c>
      <c r="E262" s="38"/>
      <c r="F262" s="40">
        <f>IFERROR(INDEX(Fall!$1:$1048576,MATCH(All!$A262,Fall!$A:$A,FALSE),MATCH(All!F$1,Fall!$1:$1,FALSE)),"N/A")</f>
        <v>624</v>
      </c>
      <c r="G262" t="str">
        <f>IFERROR(IF(INDEX(Fall!$1:$1048576,MATCH(All!$A262,Fall!$A:$A,FALSE),MATCH(All!G$1,Fall!$1:$1,FALSE))="","",INDEX(Fall!$1:$1048576,MATCH(All!$A262,Fall!$A:$A,FALSE),MATCH(All!G$1,Fall!$1:$1,FALSE))),"")</f>
        <v>2A</v>
      </c>
      <c r="H262" t="str">
        <f>IFERROR(IF(INDEX(Fall!$1:$1048576,MATCH(All!$A262,Fall!$A:$A,FALSE),MATCH(All!H$1,Fall!$1:$1,FALSE))="","",INDEX(Fall!$1:$1048576,MATCH(All!$A262,Fall!$A:$A,FALSE),MATCH(All!H$1,Fall!$1:$1,FALSE))),"")</f>
        <v>2A</v>
      </c>
      <c r="I262" t="str">
        <f>IFERROR(IF(INDEX(Fall!$1:$1048576,MATCH(All!$A262,Fall!$A:$A,FALSE),MATCH(All!I$1,Fall!$1:$1,FALSE))="","",INDEX(Fall!$1:$1048576,MATCH(All!$A262,Fall!$A:$A,FALSE),MATCH(All!I$1,Fall!$1:$1,FALSE))),"")</f>
        <v>2A</v>
      </c>
      <c r="J262" t="str">
        <f>IFERROR(IF(INDEX(Fall!$1:$1048576,MATCH(All!$A262,Fall!$A:$A,FALSE),MATCH(All!J$1,Fall!$1:$1,FALSE))="","",INDEX(Fall!$1:$1048576,MATCH(All!$A262,Fall!$A:$A,FALSE),MATCH(All!J$1,Fall!$1:$1,FALSE))),"")</f>
        <v/>
      </c>
      <c r="K262" t="str">
        <f>IFERROR(IF(INDEX(Fall!$1:$1048576,MATCH(All!$A262,Fall!$A:$A,FALSE),MATCH(All!K$1,Fall!$1:$1,FALSE))="","",INDEX(Fall!$1:$1048576,MATCH(All!$A262,Fall!$A:$A,FALSE),MATCH(All!K$1,Fall!$1:$1,FALSE))),"")</f>
        <v>1A</v>
      </c>
      <c r="L262" t="str">
        <f>IFERROR(IF(INDEX(Fall!$1:$1048576,MATCH(All!$A262,Fall!$A:$A,FALSE),MATCH(All!L$1,Fall!$1:$1,FALSE))="","",INDEX(Fall!$1:$1048576,MATCH(All!$A262,Fall!$A:$A,FALSE),MATCH(All!L$1,Fall!$1:$1,FALSE))),"")</f>
        <v/>
      </c>
      <c r="M262" t="str">
        <f>IFERROR(IF(INDEX(Fall!$1:$1048576,MATCH(All!$A262,Fall!$A:$A,FALSE),MATCH(All!M$1,Fall!$1:$1,FALSE))="","",INDEX(Fall!$1:$1048576,MATCH(All!$A262,Fall!$A:$A,FALSE),MATCH(All!M$1,Fall!$1:$1,FALSE))),"")</f>
        <v>2A</v>
      </c>
      <c r="O262">
        <f>IFERROR(IF(INDEX(Winter!$1:$1048576,MATCH(All!$A262,Winter!$A:$A,FALSE),MATCH(All!O$1,Winter!$1:$1,FALSE))="","",INDEX(Winter!$1:$1048576,MATCH(All!$A262,Winter!$A:$A,FALSE),MATCH(All!O$1,Winter!$1:$1,FALSE))),"")</f>
        <v>624</v>
      </c>
      <c r="P262" t="str">
        <f>IFERROR(IF(INDEX(Winter!$1:$1048576,MATCH(All!$A262,Winter!$A:$A,FALSE),MATCH(All!P$1,Winter!$1:$1,FALSE))="","",INDEX(Winter!$1:$1048576,MATCH(All!$A262,Winter!$A:$A,FALSE),MATCH(All!P$1,Winter!$1:$1,FALSE))),"")</f>
        <v>2A</v>
      </c>
      <c r="Q262" t="str">
        <f>IFERROR(IF(INDEX(Winter!$1:$1048576,MATCH(All!$A262,Winter!$A:$A,FALSE),MATCH(All!Q$1,Winter!$1:$1,FALSE))="","",INDEX(Winter!$1:$1048576,MATCH(All!$A262,Winter!$A:$A,FALSE),MATCH(All!Q$1,Winter!$1:$1,FALSE))),"")</f>
        <v>2A</v>
      </c>
      <c r="R262" t="str">
        <f>IFERROR(IF(INDEX(Winter!$1:$1048576,MATCH(All!$A262,Winter!$A:$A,FALSE),MATCH(All!R$1,Winter!$1:$1,FALSE))="","",INDEX(Winter!$1:$1048576,MATCH(All!$A262,Winter!$A:$A,FALSE),MATCH(All!R$1,Winter!$1:$1,FALSE))),"")</f>
        <v>1A</v>
      </c>
      <c r="S262" t="str">
        <f>IFERROR(IF(INDEX(Winter!$1:$1048576,MATCH(All!$A262,Winter!$A:$A,FALSE),MATCH(All!S$1,Winter!$1:$1,FALSE))="","",INDEX(Winter!$1:$1048576,MATCH(All!$A262,Winter!$A:$A,FALSE),MATCH(All!S$1,Winter!$1:$1,FALSE))),"")</f>
        <v/>
      </c>
      <c r="T262" t="str">
        <f>IFERROR(IF(INDEX(Winter!$1:$1048576,MATCH(All!$A262,Winter!$A:$A,FALSE),MATCH(All!T$1,Winter!$1:$1,FALSE))="","",INDEX(Winter!$1:$1048576,MATCH(All!$A262,Winter!$A:$A,FALSE),MATCH(All!T$1,Winter!$1:$1,FALSE))),"")</f>
        <v>2A</v>
      </c>
      <c r="U262" t="str">
        <f>IFERROR(IF(INDEX(Winter!$1:$1048576,MATCH(All!$A262,Winter!$A:$A,FALSE),MATCH(All!U$1,Winter!$1:$1,FALSE))="","",INDEX(Winter!$1:$1048576,MATCH(All!$A262,Winter!$A:$A,FALSE),MATCH(All!U$1,Winter!$1:$1,FALSE))),"")</f>
        <v>1A</v>
      </c>
      <c r="W262">
        <f>IFERROR(IF(INDEX(Spring!$1:$1048576,MATCH(All!$A262,Spring!$A:$A,FALSE),MATCH(All!W$1,Spring!$1:$1,FALSE))="","",INDEX(Spring!$1:$1048576,MATCH(All!$A262,Spring!$A:$A,FALSE),MATCH(All!W$1,Spring!$1:$1,FALSE))),"")</f>
        <v>624</v>
      </c>
      <c r="X262" t="str">
        <f>IFERROR(IF(INDEX(Spring!$1:$1048576,MATCH(All!$A262,Spring!$A:$A,FALSE),MATCH(All!X$1,Spring!$1:$1,FALSE))="","",INDEX(Spring!$1:$1048576,MATCH(All!$A262,Spring!$A:$A,FALSE),MATCH(All!X$1,Spring!$1:$1,FALSE))),"")</f>
        <v>2A</v>
      </c>
      <c r="Y262" t="str">
        <f>IFERROR(IF(INDEX(Spring!$1:$1048576,MATCH(All!$A262,Spring!$A:$A,FALSE),MATCH(All!Y$1,Spring!$1:$1,FALSE))="","",INDEX(Spring!$1:$1048576,MATCH(All!$A262,Spring!$A:$A,FALSE),MATCH(All!Y$1,Spring!$1:$1,FALSE))),"")</f>
        <v>2A</v>
      </c>
      <c r="Z262" t="str">
        <f>IFERROR(IF(INDEX(Spring!$1:$1048576,MATCH(All!$A262,Spring!$A:$A,FALSE),MATCH(All!Z$1,Spring!$1:$1,FALSE))="","",INDEX(Spring!$1:$1048576,MATCH(All!$A262,Spring!$A:$A,FALSE),MATCH(All!Z$1,Spring!$1:$1,FALSE))),"")</f>
        <v>1A</v>
      </c>
      <c r="AA262" t="str">
        <f>IFERROR(IF(INDEX(Spring!$1:$1048576,MATCH(All!$A262,Spring!$A:$A,FALSE),MATCH(All!AA$1,Spring!$1:$1,FALSE))="","",INDEX(Spring!$1:$1048576,MATCH(All!$A262,Spring!$A:$A,FALSE),MATCH(All!AA$1,Spring!$1:$1,FALSE))),"")</f>
        <v/>
      </c>
      <c r="AB262" t="str">
        <f>IFERROR(IF(INDEX(Spring!$1:$1048576,MATCH(All!$A262,Spring!$A:$A,FALSE),MATCH(All!AB$1,Spring!$1:$1,FALSE))="","",INDEX(Spring!$1:$1048576,MATCH(All!$A262,Spring!$A:$A,FALSE),MATCH(All!AB$1,Spring!$1:$1,FALSE))),"")</f>
        <v>2A</v>
      </c>
      <c r="AC262" t="str">
        <f>IFERROR(IF(INDEX(Spring!$1:$1048576,MATCH(All!$A262,Spring!$A:$A,FALSE),MATCH(All!AC$1,Spring!$1:$1,FALSE))="","",INDEX(Spring!$1:$1048576,MATCH(All!$A262,Spring!$A:$A,FALSE),MATCH(All!AC$1,Spring!$1:$1,FALSE))),"")</f>
        <v>2A</v>
      </c>
      <c r="AD262" t="str">
        <f>IFERROR(VLOOKUP(A262,'Flag Football'!A:A,1,FALSE),"")</f>
        <v/>
      </c>
      <c r="AE262" t="str">
        <f t="shared" si="4"/>
        <v/>
      </c>
    </row>
    <row r="263" spans="1:31" ht="15.75" thickBot="1" x14ac:dyDescent="0.3">
      <c r="A263" s="18" t="s">
        <v>339</v>
      </c>
      <c r="B263" s="38">
        <f>IFERROR(VLOOKUP(A263,'Public v Private'!A:G,3,FALSE),"")</f>
        <v>0</v>
      </c>
      <c r="C263" s="38">
        <f>IFERROR(VLOOKUP(A263,'Public v Private'!A:G,4,FALSE),"")</f>
        <v>0</v>
      </c>
      <c r="D263" s="38">
        <f>IFERROR(VLOOKUP(A263,'Public v Private'!A:G,5,FALSE),"")</f>
        <v>0</v>
      </c>
      <c r="E263" s="38"/>
      <c r="F263" s="40">
        <f>IFERROR(INDEX(Fall!$1:$1048576,MATCH(All!$A263,Fall!$A:$A,FALSE),MATCH(All!F$1,Fall!$1:$1,FALSE)),"N/A")</f>
        <v>90</v>
      </c>
      <c r="G263" t="str">
        <f>IFERROR(IF(INDEX(Fall!$1:$1048576,MATCH(All!$A263,Fall!$A:$A,FALSE),MATCH(All!G$1,Fall!$1:$1,FALSE))="","",INDEX(Fall!$1:$1048576,MATCH(All!$A263,Fall!$A:$A,FALSE),MATCH(All!G$1,Fall!$1:$1,FALSE))),"")</f>
        <v>1A</v>
      </c>
      <c r="H263" t="str">
        <f>IFERROR(IF(INDEX(Fall!$1:$1048576,MATCH(All!$A263,Fall!$A:$A,FALSE),MATCH(All!H$1,Fall!$1:$1,FALSE))="","",INDEX(Fall!$1:$1048576,MATCH(All!$A263,Fall!$A:$A,FALSE),MATCH(All!H$1,Fall!$1:$1,FALSE))),"")</f>
        <v/>
      </c>
      <c r="I263" t="str">
        <f>IFERROR(IF(INDEX(Fall!$1:$1048576,MATCH(All!$A263,Fall!$A:$A,FALSE),MATCH(All!I$1,Fall!$1:$1,FALSE))="","",INDEX(Fall!$1:$1048576,MATCH(All!$A263,Fall!$A:$A,FALSE),MATCH(All!I$1,Fall!$1:$1,FALSE))),"")</f>
        <v>1A</v>
      </c>
      <c r="J263" t="str">
        <f>IFERROR(IF(INDEX(Fall!$1:$1048576,MATCH(All!$A263,Fall!$A:$A,FALSE),MATCH(All!J$1,Fall!$1:$1,FALSE))="","",INDEX(Fall!$1:$1048576,MATCH(All!$A263,Fall!$A:$A,FALSE),MATCH(All!J$1,Fall!$1:$1,FALSE))),"")</f>
        <v/>
      </c>
      <c r="K263" t="str">
        <f>IFERROR(IF(INDEX(Fall!$1:$1048576,MATCH(All!$A263,Fall!$A:$A,FALSE),MATCH(All!K$1,Fall!$1:$1,FALSE))="","",INDEX(Fall!$1:$1048576,MATCH(All!$A263,Fall!$A:$A,FALSE),MATCH(All!K$1,Fall!$1:$1,FALSE))),"")</f>
        <v/>
      </c>
      <c r="L263" t="str">
        <f>IFERROR(IF(INDEX(Fall!$1:$1048576,MATCH(All!$A263,Fall!$A:$A,FALSE),MATCH(All!L$1,Fall!$1:$1,FALSE))="","",INDEX(Fall!$1:$1048576,MATCH(All!$A263,Fall!$A:$A,FALSE),MATCH(All!L$1,Fall!$1:$1,FALSE))),"")</f>
        <v/>
      </c>
      <c r="M263" t="str">
        <f>IFERROR(IF(INDEX(Fall!$1:$1048576,MATCH(All!$A263,Fall!$A:$A,FALSE),MATCH(All!M$1,Fall!$1:$1,FALSE))="","",INDEX(Fall!$1:$1048576,MATCH(All!$A263,Fall!$A:$A,FALSE),MATCH(All!M$1,Fall!$1:$1,FALSE))),"")</f>
        <v>1A</v>
      </c>
      <c r="O263">
        <f>IFERROR(IF(INDEX(Winter!$1:$1048576,MATCH(All!$A263,Winter!$A:$A,FALSE),MATCH(All!O$1,Winter!$1:$1,FALSE))="","",INDEX(Winter!$1:$1048576,MATCH(All!$A263,Winter!$A:$A,FALSE),MATCH(All!O$1,Winter!$1:$1,FALSE))),"")</f>
        <v>90</v>
      </c>
      <c r="P263" t="str">
        <f>IFERROR(IF(INDEX(Winter!$1:$1048576,MATCH(All!$A263,Winter!$A:$A,FALSE),MATCH(All!P$1,Winter!$1:$1,FALSE))="","",INDEX(Winter!$1:$1048576,MATCH(All!$A263,Winter!$A:$A,FALSE),MATCH(All!P$1,Winter!$1:$1,FALSE))),"")</f>
        <v>1A</v>
      </c>
      <c r="Q263" t="str">
        <f>IFERROR(IF(INDEX(Winter!$1:$1048576,MATCH(All!$A263,Winter!$A:$A,FALSE),MATCH(All!Q$1,Winter!$1:$1,FALSE))="","",INDEX(Winter!$1:$1048576,MATCH(All!$A263,Winter!$A:$A,FALSE),MATCH(All!Q$1,Winter!$1:$1,FALSE))),"")</f>
        <v>1A</v>
      </c>
      <c r="R263" t="str">
        <f>IFERROR(IF(INDEX(Winter!$1:$1048576,MATCH(All!$A263,Winter!$A:$A,FALSE),MATCH(All!R$1,Winter!$1:$1,FALSE))="","",INDEX(Winter!$1:$1048576,MATCH(All!$A263,Winter!$A:$A,FALSE),MATCH(All!R$1,Winter!$1:$1,FALSE))),"")</f>
        <v/>
      </c>
      <c r="S263" t="str">
        <f>IFERROR(IF(INDEX(Winter!$1:$1048576,MATCH(All!$A263,Winter!$A:$A,FALSE),MATCH(All!S$1,Winter!$1:$1,FALSE))="","",INDEX(Winter!$1:$1048576,MATCH(All!$A263,Winter!$A:$A,FALSE),MATCH(All!S$1,Winter!$1:$1,FALSE))),"")</f>
        <v/>
      </c>
      <c r="T263" t="str">
        <f>IFERROR(IF(INDEX(Winter!$1:$1048576,MATCH(All!$A263,Winter!$A:$A,FALSE),MATCH(All!T$1,Winter!$1:$1,FALSE))="","",INDEX(Winter!$1:$1048576,MATCH(All!$A263,Winter!$A:$A,FALSE),MATCH(All!T$1,Winter!$1:$1,FALSE))),"")</f>
        <v>1A</v>
      </c>
      <c r="U263" t="str">
        <f>IFERROR(IF(INDEX(Winter!$1:$1048576,MATCH(All!$A263,Winter!$A:$A,FALSE),MATCH(All!U$1,Winter!$1:$1,FALSE))="","",INDEX(Winter!$1:$1048576,MATCH(All!$A263,Winter!$A:$A,FALSE),MATCH(All!U$1,Winter!$1:$1,FALSE))),"")</f>
        <v/>
      </c>
      <c r="W263">
        <f>IFERROR(IF(INDEX(Spring!$1:$1048576,MATCH(All!$A263,Spring!$A:$A,FALSE),MATCH(All!W$1,Spring!$1:$1,FALSE))="","",INDEX(Spring!$1:$1048576,MATCH(All!$A263,Spring!$A:$A,FALSE),MATCH(All!W$1,Spring!$1:$1,FALSE))),"")</f>
        <v>90</v>
      </c>
      <c r="X263" t="str">
        <f>IFERROR(IF(INDEX(Spring!$1:$1048576,MATCH(All!$A263,Spring!$A:$A,FALSE),MATCH(All!X$1,Spring!$1:$1,FALSE))="","",INDEX(Spring!$1:$1048576,MATCH(All!$A263,Spring!$A:$A,FALSE),MATCH(All!X$1,Spring!$1:$1,FALSE))),"")</f>
        <v/>
      </c>
      <c r="Y263" t="str">
        <f>IFERROR(IF(INDEX(Spring!$1:$1048576,MATCH(All!$A263,Spring!$A:$A,FALSE),MATCH(All!Y$1,Spring!$1:$1,FALSE))="","",INDEX(Spring!$1:$1048576,MATCH(All!$A263,Spring!$A:$A,FALSE),MATCH(All!Y$1,Spring!$1:$1,FALSE))),"")</f>
        <v>1A</v>
      </c>
      <c r="Z263" t="str">
        <f>IFERROR(IF(INDEX(Spring!$1:$1048576,MATCH(All!$A263,Spring!$A:$A,FALSE),MATCH(All!Z$1,Spring!$1:$1,FALSE))="","",INDEX(Spring!$1:$1048576,MATCH(All!$A263,Spring!$A:$A,FALSE),MATCH(All!Z$1,Spring!$1:$1,FALSE))),"")</f>
        <v/>
      </c>
      <c r="AA263" t="str">
        <f>IFERROR(IF(INDEX(Spring!$1:$1048576,MATCH(All!$A263,Spring!$A:$A,FALSE),MATCH(All!AA$1,Spring!$1:$1,FALSE))="","",INDEX(Spring!$1:$1048576,MATCH(All!$A263,Spring!$A:$A,FALSE),MATCH(All!AA$1,Spring!$1:$1,FALSE))),"")</f>
        <v/>
      </c>
      <c r="AB263" t="str">
        <f>IFERROR(IF(INDEX(Spring!$1:$1048576,MATCH(All!$A263,Spring!$A:$A,FALSE),MATCH(All!AB$1,Spring!$1:$1,FALSE))="","",INDEX(Spring!$1:$1048576,MATCH(All!$A263,Spring!$A:$A,FALSE),MATCH(All!AB$1,Spring!$1:$1,FALSE))),"")</f>
        <v/>
      </c>
      <c r="AC263" t="str">
        <f>IFERROR(IF(INDEX(Spring!$1:$1048576,MATCH(All!$A263,Spring!$A:$A,FALSE),MATCH(All!AC$1,Spring!$1:$1,FALSE))="","",INDEX(Spring!$1:$1048576,MATCH(All!$A263,Spring!$A:$A,FALSE),MATCH(All!AC$1,Spring!$1:$1,FALSE))),"")</f>
        <v/>
      </c>
      <c r="AD263" t="str">
        <f>IFERROR(VLOOKUP(A263,'Flag Football'!A:A,1,FALSE),"")</f>
        <v/>
      </c>
      <c r="AE263" t="str">
        <f t="shared" si="4"/>
        <v/>
      </c>
    </row>
    <row r="264" spans="1:31" ht="15.75" thickBot="1" x14ac:dyDescent="0.3">
      <c r="A264" s="20" t="s">
        <v>340</v>
      </c>
      <c r="B264" s="38">
        <f>IFERROR(VLOOKUP(A264,'Public v Private'!A:G,3,FALSE),"")</f>
        <v>0</v>
      </c>
      <c r="C264" s="38">
        <f>IFERROR(VLOOKUP(A264,'Public v Private'!A:G,4,FALSE),"")</f>
        <v>0</v>
      </c>
      <c r="D264" s="38">
        <f>IFERROR(VLOOKUP(A264,'Public v Private'!A:G,5,FALSE),"")</f>
        <v>0</v>
      </c>
      <c r="E264" s="38"/>
      <c r="F264" s="40">
        <f>IFERROR(INDEX(Fall!$1:$1048576,MATCH(All!$A264,Fall!$A:$A,FALSE),MATCH(All!F$1,Fall!$1:$1,FALSE)),"N/A")</f>
        <v>202</v>
      </c>
      <c r="G264" t="str">
        <f>IFERROR(IF(INDEX(Fall!$1:$1048576,MATCH(All!$A264,Fall!$A:$A,FALSE),MATCH(All!G$1,Fall!$1:$1,FALSE))="","",INDEX(Fall!$1:$1048576,MATCH(All!$A264,Fall!$A:$A,FALSE),MATCH(All!G$1,Fall!$1:$1,FALSE))),"")</f>
        <v>1A</v>
      </c>
      <c r="H264" t="str">
        <f>IFERROR(IF(INDEX(Fall!$1:$1048576,MATCH(All!$A264,Fall!$A:$A,FALSE),MATCH(All!H$1,Fall!$1:$1,FALSE))="","",INDEX(Fall!$1:$1048576,MATCH(All!$A264,Fall!$A:$A,FALSE),MATCH(All!H$1,Fall!$1:$1,FALSE))),"")</f>
        <v>1A</v>
      </c>
      <c r="I264" t="str">
        <f>IFERROR(IF(INDEX(Fall!$1:$1048576,MATCH(All!$A264,Fall!$A:$A,FALSE),MATCH(All!I$1,Fall!$1:$1,FALSE))="","",INDEX(Fall!$1:$1048576,MATCH(All!$A264,Fall!$A:$A,FALSE),MATCH(All!I$1,Fall!$1:$1,FALSE))),"")</f>
        <v/>
      </c>
      <c r="J264" t="str">
        <f>IFERROR(IF(INDEX(Fall!$1:$1048576,MATCH(All!$A264,Fall!$A:$A,FALSE),MATCH(All!J$1,Fall!$1:$1,FALSE))="","",INDEX(Fall!$1:$1048576,MATCH(All!$A264,Fall!$A:$A,FALSE),MATCH(All!J$1,Fall!$1:$1,FALSE))),"")</f>
        <v/>
      </c>
      <c r="K264" t="str">
        <f>IFERROR(IF(INDEX(Fall!$1:$1048576,MATCH(All!$A264,Fall!$A:$A,FALSE),MATCH(All!K$1,Fall!$1:$1,FALSE))="","",INDEX(Fall!$1:$1048576,MATCH(All!$A264,Fall!$A:$A,FALSE),MATCH(All!K$1,Fall!$1:$1,FALSE))),"")</f>
        <v/>
      </c>
      <c r="L264" t="str">
        <f>IFERROR(IF(INDEX(Fall!$1:$1048576,MATCH(All!$A264,Fall!$A:$A,FALSE),MATCH(All!L$1,Fall!$1:$1,FALSE))="","",INDEX(Fall!$1:$1048576,MATCH(All!$A264,Fall!$A:$A,FALSE),MATCH(All!L$1,Fall!$1:$1,FALSE))),"")</f>
        <v/>
      </c>
      <c r="M264" t="str">
        <f>IFERROR(IF(INDEX(Fall!$1:$1048576,MATCH(All!$A264,Fall!$A:$A,FALSE),MATCH(All!M$1,Fall!$1:$1,FALSE))="","",INDEX(Fall!$1:$1048576,MATCH(All!$A264,Fall!$A:$A,FALSE),MATCH(All!M$1,Fall!$1:$1,FALSE))),"")</f>
        <v>1A</v>
      </c>
      <c r="O264">
        <f>IFERROR(IF(INDEX(Winter!$1:$1048576,MATCH(All!$A264,Winter!$A:$A,FALSE),MATCH(All!O$1,Winter!$1:$1,FALSE))="","",INDEX(Winter!$1:$1048576,MATCH(All!$A264,Winter!$A:$A,FALSE),MATCH(All!O$1,Winter!$1:$1,FALSE))),"")</f>
        <v>202</v>
      </c>
      <c r="P264" t="str">
        <f>IFERROR(IF(INDEX(Winter!$1:$1048576,MATCH(All!$A264,Winter!$A:$A,FALSE),MATCH(All!P$1,Winter!$1:$1,FALSE))="","",INDEX(Winter!$1:$1048576,MATCH(All!$A264,Winter!$A:$A,FALSE),MATCH(All!P$1,Winter!$1:$1,FALSE))),"")</f>
        <v>1A</v>
      </c>
      <c r="Q264" t="str">
        <f>IFERROR(IF(INDEX(Winter!$1:$1048576,MATCH(All!$A264,Winter!$A:$A,FALSE),MATCH(All!Q$1,Winter!$1:$1,FALSE))="","",INDEX(Winter!$1:$1048576,MATCH(All!$A264,Winter!$A:$A,FALSE),MATCH(All!Q$1,Winter!$1:$1,FALSE))),"")</f>
        <v>1A</v>
      </c>
      <c r="R264" t="str">
        <f>IFERROR(IF(INDEX(Winter!$1:$1048576,MATCH(All!$A264,Winter!$A:$A,FALSE),MATCH(All!R$1,Winter!$1:$1,FALSE))="","",INDEX(Winter!$1:$1048576,MATCH(All!$A264,Winter!$A:$A,FALSE),MATCH(All!R$1,Winter!$1:$1,FALSE))),"")</f>
        <v/>
      </c>
      <c r="S264" t="str">
        <f>IFERROR(IF(INDEX(Winter!$1:$1048576,MATCH(All!$A264,Winter!$A:$A,FALSE),MATCH(All!S$1,Winter!$1:$1,FALSE))="","",INDEX(Winter!$1:$1048576,MATCH(All!$A264,Winter!$A:$A,FALSE),MATCH(All!S$1,Winter!$1:$1,FALSE))),"")</f>
        <v/>
      </c>
      <c r="T264" t="str">
        <f>IFERROR(IF(INDEX(Winter!$1:$1048576,MATCH(All!$A264,Winter!$A:$A,FALSE),MATCH(All!T$1,Winter!$1:$1,FALSE))="","",INDEX(Winter!$1:$1048576,MATCH(All!$A264,Winter!$A:$A,FALSE),MATCH(All!T$1,Winter!$1:$1,FALSE))),"")</f>
        <v>1A</v>
      </c>
      <c r="U264" t="str">
        <f>IFERROR(IF(INDEX(Winter!$1:$1048576,MATCH(All!$A264,Winter!$A:$A,FALSE),MATCH(All!U$1,Winter!$1:$1,FALSE))="","",INDEX(Winter!$1:$1048576,MATCH(All!$A264,Winter!$A:$A,FALSE),MATCH(All!U$1,Winter!$1:$1,FALSE))),"")</f>
        <v/>
      </c>
      <c r="W264">
        <f>IFERROR(IF(INDEX(Spring!$1:$1048576,MATCH(All!$A264,Spring!$A:$A,FALSE),MATCH(All!W$1,Spring!$1:$1,FALSE))="","",INDEX(Spring!$1:$1048576,MATCH(All!$A264,Spring!$A:$A,FALSE),MATCH(All!W$1,Spring!$1:$1,FALSE))),"")</f>
        <v>202</v>
      </c>
      <c r="X264" t="str">
        <f>IFERROR(IF(INDEX(Spring!$1:$1048576,MATCH(All!$A264,Spring!$A:$A,FALSE),MATCH(All!X$1,Spring!$1:$1,FALSE))="","",INDEX(Spring!$1:$1048576,MATCH(All!$A264,Spring!$A:$A,FALSE),MATCH(All!X$1,Spring!$1:$1,FALSE))),"")</f>
        <v/>
      </c>
      <c r="Y264" t="str">
        <f>IFERROR(IF(INDEX(Spring!$1:$1048576,MATCH(All!$A264,Spring!$A:$A,FALSE),MATCH(All!Y$1,Spring!$1:$1,FALSE))="","",INDEX(Spring!$1:$1048576,MATCH(All!$A264,Spring!$A:$A,FALSE),MATCH(All!Y$1,Spring!$1:$1,FALSE))),"")</f>
        <v/>
      </c>
      <c r="Z264" t="str">
        <f>IFERROR(IF(INDEX(Spring!$1:$1048576,MATCH(All!$A264,Spring!$A:$A,FALSE),MATCH(All!Z$1,Spring!$1:$1,FALSE))="","",INDEX(Spring!$1:$1048576,MATCH(All!$A264,Spring!$A:$A,FALSE),MATCH(All!Z$1,Spring!$1:$1,FALSE))),"")</f>
        <v/>
      </c>
      <c r="AA264" t="str">
        <f>IFERROR(IF(INDEX(Spring!$1:$1048576,MATCH(All!$A264,Spring!$A:$A,FALSE),MATCH(All!AA$1,Spring!$1:$1,FALSE))="","",INDEX(Spring!$1:$1048576,MATCH(All!$A264,Spring!$A:$A,FALSE),MATCH(All!AA$1,Spring!$1:$1,FALSE))),"")</f>
        <v/>
      </c>
      <c r="AB264" t="str">
        <f>IFERROR(IF(INDEX(Spring!$1:$1048576,MATCH(All!$A264,Spring!$A:$A,FALSE),MATCH(All!AB$1,Spring!$1:$1,FALSE))="","",INDEX(Spring!$1:$1048576,MATCH(All!$A264,Spring!$A:$A,FALSE),MATCH(All!AB$1,Spring!$1:$1,FALSE))),"")</f>
        <v>1A</v>
      </c>
      <c r="AC264" t="str">
        <f>IFERROR(IF(INDEX(Spring!$1:$1048576,MATCH(All!$A264,Spring!$A:$A,FALSE),MATCH(All!AC$1,Spring!$1:$1,FALSE))="","",INDEX(Spring!$1:$1048576,MATCH(All!$A264,Spring!$A:$A,FALSE),MATCH(All!AC$1,Spring!$1:$1,FALSE))),"")</f>
        <v>1A</v>
      </c>
      <c r="AD264" t="str">
        <f>IFERROR(VLOOKUP(A264,'Flag Football'!A:A,1,FALSE),"")</f>
        <v/>
      </c>
      <c r="AE264" t="str">
        <f t="shared" si="4"/>
        <v/>
      </c>
    </row>
    <row r="265" spans="1:31" ht="15.75" thickBot="1" x14ac:dyDescent="0.3">
      <c r="A265" s="18" t="s">
        <v>341</v>
      </c>
      <c r="B265" s="38">
        <f>IFERROR(VLOOKUP(A265,'Public v Private'!A:G,3,FALSE),"")</f>
        <v>0</v>
      </c>
      <c r="C265" s="38">
        <f>IFERROR(VLOOKUP(A265,'Public v Private'!A:G,4,FALSE),"")</f>
        <v>0</v>
      </c>
      <c r="D265" s="38">
        <f>IFERROR(VLOOKUP(A265,'Public v Private'!A:G,5,FALSE),"")</f>
        <v>0</v>
      </c>
      <c r="E265" s="38"/>
      <c r="F265" s="40">
        <f>IFERROR(INDEX(Fall!$1:$1048576,MATCH(All!$A265,Fall!$A:$A,FALSE),MATCH(All!F$1,Fall!$1:$1,FALSE)),"N/A")</f>
        <v>104</v>
      </c>
      <c r="G265" t="str">
        <f>IFERROR(IF(INDEX(Fall!$1:$1048576,MATCH(All!$A265,Fall!$A:$A,FALSE),MATCH(All!G$1,Fall!$1:$1,FALSE))="","",INDEX(Fall!$1:$1048576,MATCH(All!$A265,Fall!$A:$A,FALSE),MATCH(All!G$1,Fall!$1:$1,FALSE))),"")</f>
        <v/>
      </c>
      <c r="H265" t="str">
        <f>IFERROR(IF(INDEX(Fall!$1:$1048576,MATCH(All!$A265,Fall!$A:$A,FALSE),MATCH(All!H$1,Fall!$1:$1,FALSE))="","",INDEX(Fall!$1:$1048576,MATCH(All!$A265,Fall!$A:$A,FALSE),MATCH(All!H$1,Fall!$1:$1,FALSE))),"")</f>
        <v/>
      </c>
      <c r="I265" t="str">
        <f>IFERROR(IF(INDEX(Fall!$1:$1048576,MATCH(All!$A265,Fall!$A:$A,FALSE),MATCH(All!I$1,Fall!$1:$1,FALSE))="","",INDEX(Fall!$1:$1048576,MATCH(All!$A265,Fall!$A:$A,FALSE),MATCH(All!I$1,Fall!$1:$1,FALSE))),"")</f>
        <v/>
      </c>
      <c r="J265" t="str">
        <f>IFERROR(IF(INDEX(Fall!$1:$1048576,MATCH(All!$A265,Fall!$A:$A,FALSE),MATCH(All!J$1,Fall!$1:$1,FALSE))="","",INDEX(Fall!$1:$1048576,MATCH(All!$A265,Fall!$A:$A,FALSE),MATCH(All!J$1,Fall!$1:$1,FALSE))),"")</f>
        <v/>
      </c>
      <c r="K265" t="str">
        <f>IFERROR(IF(INDEX(Fall!$1:$1048576,MATCH(All!$A265,Fall!$A:$A,FALSE),MATCH(All!K$1,Fall!$1:$1,FALSE))="","",INDEX(Fall!$1:$1048576,MATCH(All!$A265,Fall!$A:$A,FALSE),MATCH(All!K$1,Fall!$1:$1,FALSE))),"")</f>
        <v/>
      </c>
      <c r="L265" t="str">
        <f>IFERROR(IF(INDEX(Fall!$1:$1048576,MATCH(All!$A265,Fall!$A:$A,FALSE),MATCH(All!L$1,Fall!$1:$1,FALSE))="","",INDEX(Fall!$1:$1048576,MATCH(All!$A265,Fall!$A:$A,FALSE),MATCH(All!L$1,Fall!$1:$1,FALSE))),"")</f>
        <v/>
      </c>
      <c r="M265" t="str">
        <f>IFERROR(IF(INDEX(Fall!$1:$1048576,MATCH(All!$A265,Fall!$A:$A,FALSE),MATCH(All!M$1,Fall!$1:$1,FALSE))="","",INDEX(Fall!$1:$1048576,MATCH(All!$A265,Fall!$A:$A,FALSE),MATCH(All!M$1,Fall!$1:$1,FALSE))),"")</f>
        <v>1A</v>
      </c>
      <c r="O265">
        <f>IFERROR(IF(INDEX(Winter!$1:$1048576,MATCH(All!$A265,Winter!$A:$A,FALSE),MATCH(All!O$1,Winter!$1:$1,FALSE))="","",INDEX(Winter!$1:$1048576,MATCH(All!$A265,Winter!$A:$A,FALSE),MATCH(All!O$1,Winter!$1:$1,FALSE))),"")</f>
        <v>104</v>
      </c>
      <c r="P265" t="str">
        <f>IFERROR(IF(INDEX(Winter!$1:$1048576,MATCH(All!$A265,Winter!$A:$A,FALSE),MATCH(All!P$1,Winter!$1:$1,FALSE))="","",INDEX(Winter!$1:$1048576,MATCH(All!$A265,Winter!$A:$A,FALSE),MATCH(All!P$1,Winter!$1:$1,FALSE))),"")</f>
        <v>1A</v>
      </c>
      <c r="Q265" t="str">
        <f>IFERROR(IF(INDEX(Winter!$1:$1048576,MATCH(All!$A265,Winter!$A:$A,FALSE),MATCH(All!Q$1,Winter!$1:$1,FALSE))="","",INDEX(Winter!$1:$1048576,MATCH(All!$A265,Winter!$A:$A,FALSE),MATCH(All!Q$1,Winter!$1:$1,FALSE))),"")</f>
        <v/>
      </c>
      <c r="R265" t="str">
        <f>IFERROR(IF(INDEX(Winter!$1:$1048576,MATCH(All!$A265,Winter!$A:$A,FALSE),MATCH(All!R$1,Winter!$1:$1,FALSE))="","",INDEX(Winter!$1:$1048576,MATCH(All!$A265,Winter!$A:$A,FALSE),MATCH(All!R$1,Winter!$1:$1,FALSE))),"")</f>
        <v/>
      </c>
      <c r="S265" t="str">
        <f>IFERROR(IF(INDEX(Winter!$1:$1048576,MATCH(All!$A265,Winter!$A:$A,FALSE),MATCH(All!S$1,Winter!$1:$1,FALSE))="","",INDEX(Winter!$1:$1048576,MATCH(All!$A265,Winter!$A:$A,FALSE),MATCH(All!S$1,Winter!$1:$1,FALSE))),"")</f>
        <v/>
      </c>
      <c r="T265" t="str">
        <f>IFERROR(IF(INDEX(Winter!$1:$1048576,MATCH(All!$A265,Winter!$A:$A,FALSE),MATCH(All!T$1,Winter!$1:$1,FALSE))="","",INDEX(Winter!$1:$1048576,MATCH(All!$A265,Winter!$A:$A,FALSE),MATCH(All!T$1,Winter!$1:$1,FALSE))),"")</f>
        <v>1A</v>
      </c>
      <c r="U265" t="str">
        <f>IFERROR(IF(INDEX(Winter!$1:$1048576,MATCH(All!$A265,Winter!$A:$A,FALSE),MATCH(All!U$1,Winter!$1:$1,FALSE))="","",INDEX(Winter!$1:$1048576,MATCH(All!$A265,Winter!$A:$A,FALSE),MATCH(All!U$1,Winter!$1:$1,FALSE))),"")</f>
        <v/>
      </c>
      <c r="W265">
        <f>IFERROR(IF(INDEX(Spring!$1:$1048576,MATCH(All!$A265,Spring!$A:$A,FALSE),MATCH(All!W$1,Spring!$1:$1,FALSE))="","",INDEX(Spring!$1:$1048576,MATCH(All!$A265,Spring!$A:$A,FALSE),MATCH(All!W$1,Spring!$1:$1,FALSE))),"")</f>
        <v>104</v>
      </c>
      <c r="X265" t="str">
        <f>IFERROR(IF(INDEX(Spring!$1:$1048576,MATCH(All!$A265,Spring!$A:$A,FALSE),MATCH(All!X$1,Spring!$1:$1,FALSE))="","",INDEX(Spring!$1:$1048576,MATCH(All!$A265,Spring!$A:$A,FALSE),MATCH(All!X$1,Spring!$1:$1,FALSE))),"")</f>
        <v>1A</v>
      </c>
      <c r="Y265" t="str">
        <f>IFERROR(IF(INDEX(Spring!$1:$1048576,MATCH(All!$A265,Spring!$A:$A,FALSE),MATCH(All!Y$1,Spring!$1:$1,FALSE))="","",INDEX(Spring!$1:$1048576,MATCH(All!$A265,Spring!$A:$A,FALSE),MATCH(All!Y$1,Spring!$1:$1,FALSE))),"")</f>
        <v>1A</v>
      </c>
      <c r="Z265" t="str">
        <f>IFERROR(IF(INDEX(Spring!$1:$1048576,MATCH(All!$A265,Spring!$A:$A,FALSE),MATCH(All!Z$1,Spring!$1:$1,FALSE))="","",INDEX(Spring!$1:$1048576,MATCH(All!$A265,Spring!$A:$A,FALSE),MATCH(All!Z$1,Spring!$1:$1,FALSE))),"")</f>
        <v/>
      </c>
      <c r="AA265" t="str">
        <f>IFERROR(IF(INDEX(Spring!$1:$1048576,MATCH(All!$A265,Spring!$A:$A,FALSE),MATCH(All!AA$1,Spring!$1:$1,FALSE))="","",INDEX(Spring!$1:$1048576,MATCH(All!$A265,Spring!$A:$A,FALSE),MATCH(All!AA$1,Spring!$1:$1,FALSE))),"")</f>
        <v/>
      </c>
      <c r="AB265" t="str">
        <f>IFERROR(IF(INDEX(Spring!$1:$1048576,MATCH(All!$A265,Spring!$A:$A,FALSE),MATCH(All!AB$1,Spring!$1:$1,FALSE))="","",INDEX(Spring!$1:$1048576,MATCH(All!$A265,Spring!$A:$A,FALSE),MATCH(All!AB$1,Spring!$1:$1,FALSE))),"")</f>
        <v>1A</v>
      </c>
      <c r="AC265" t="str">
        <f>IFERROR(IF(INDEX(Spring!$1:$1048576,MATCH(All!$A265,Spring!$A:$A,FALSE),MATCH(All!AC$1,Spring!$1:$1,FALSE))="","",INDEX(Spring!$1:$1048576,MATCH(All!$A265,Spring!$A:$A,FALSE),MATCH(All!AC$1,Spring!$1:$1,FALSE))),"")</f>
        <v>1A</v>
      </c>
      <c r="AD265" t="str">
        <f>IFERROR(VLOOKUP(A265,'Flag Football'!A:A,1,FALSE),"")</f>
        <v/>
      </c>
      <c r="AE265" t="str">
        <f t="shared" si="4"/>
        <v/>
      </c>
    </row>
    <row r="266" spans="1:31" ht="15.75" thickBot="1" x14ac:dyDescent="0.3">
      <c r="A266" s="20" t="s">
        <v>342</v>
      </c>
      <c r="B266" s="38">
        <f>IFERROR(VLOOKUP(A266,'Public v Private'!A:G,3,FALSE),"")</f>
        <v>0</v>
      </c>
      <c r="C266" s="38">
        <f>IFERROR(VLOOKUP(A266,'Public v Private'!A:G,4,FALSE),"")</f>
        <v>0</v>
      </c>
      <c r="D266" s="38">
        <f>IFERROR(VLOOKUP(A266,'Public v Private'!A:G,5,FALSE),"")</f>
        <v>0</v>
      </c>
      <c r="E266" s="38"/>
      <c r="F266" s="40">
        <f>IFERROR(INDEX(Fall!$1:$1048576,MATCH(All!$A266,Fall!$A:$A,FALSE),MATCH(All!F$1,Fall!$1:$1,FALSE)),"N/A")</f>
        <v>100</v>
      </c>
      <c r="G266" t="str">
        <f>IFERROR(IF(INDEX(Fall!$1:$1048576,MATCH(All!$A266,Fall!$A:$A,FALSE),MATCH(All!G$1,Fall!$1:$1,FALSE))="","",INDEX(Fall!$1:$1048576,MATCH(All!$A266,Fall!$A:$A,FALSE),MATCH(All!G$1,Fall!$1:$1,FALSE))),"")</f>
        <v/>
      </c>
      <c r="H266" t="str">
        <f>IFERROR(IF(INDEX(Fall!$1:$1048576,MATCH(All!$A266,Fall!$A:$A,FALSE),MATCH(All!H$1,Fall!$1:$1,FALSE))="","",INDEX(Fall!$1:$1048576,MATCH(All!$A266,Fall!$A:$A,FALSE),MATCH(All!H$1,Fall!$1:$1,FALSE))),"")</f>
        <v/>
      </c>
      <c r="I266" t="str">
        <f>IFERROR(IF(INDEX(Fall!$1:$1048576,MATCH(All!$A266,Fall!$A:$A,FALSE),MATCH(All!I$1,Fall!$1:$1,FALSE))="","",INDEX(Fall!$1:$1048576,MATCH(All!$A266,Fall!$A:$A,FALSE),MATCH(All!I$1,Fall!$1:$1,FALSE))),"")</f>
        <v/>
      </c>
      <c r="J266" t="str">
        <f>IFERROR(IF(INDEX(Fall!$1:$1048576,MATCH(All!$A266,Fall!$A:$A,FALSE),MATCH(All!J$1,Fall!$1:$1,FALSE))="","",INDEX(Fall!$1:$1048576,MATCH(All!$A266,Fall!$A:$A,FALSE),MATCH(All!J$1,Fall!$1:$1,FALSE))),"")</f>
        <v/>
      </c>
      <c r="K266" t="str">
        <f>IFERROR(IF(INDEX(Fall!$1:$1048576,MATCH(All!$A266,Fall!$A:$A,FALSE),MATCH(All!K$1,Fall!$1:$1,FALSE))="","",INDEX(Fall!$1:$1048576,MATCH(All!$A266,Fall!$A:$A,FALSE),MATCH(All!K$1,Fall!$1:$1,FALSE))),"")</f>
        <v/>
      </c>
      <c r="L266" t="str">
        <f>IFERROR(IF(INDEX(Fall!$1:$1048576,MATCH(All!$A266,Fall!$A:$A,FALSE),MATCH(All!L$1,Fall!$1:$1,FALSE))="","",INDEX(Fall!$1:$1048576,MATCH(All!$A266,Fall!$A:$A,FALSE),MATCH(All!L$1,Fall!$1:$1,FALSE))),"")</f>
        <v/>
      </c>
      <c r="M266" t="str">
        <f>IFERROR(IF(INDEX(Fall!$1:$1048576,MATCH(All!$A266,Fall!$A:$A,FALSE),MATCH(All!M$1,Fall!$1:$1,FALSE))="","",INDEX(Fall!$1:$1048576,MATCH(All!$A266,Fall!$A:$A,FALSE),MATCH(All!M$1,Fall!$1:$1,FALSE))),"")</f>
        <v>1A</v>
      </c>
      <c r="O266">
        <f>IFERROR(IF(INDEX(Winter!$1:$1048576,MATCH(All!$A266,Winter!$A:$A,FALSE),MATCH(All!O$1,Winter!$1:$1,FALSE))="","",INDEX(Winter!$1:$1048576,MATCH(All!$A266,Winter!$A:$A,FALSE),MATCH(All!O$1,Winter!$1:$1,FALSE))),"")</f>
        <v>100</v>
      </c>
      <c r="P266" t="str">
        <f>IFERROR(IF(INDEX(Winter!$1:$1048576,MATCH(All!$A266,Winter!$A:$A,FALSE),MATCH(All!P$1,Winter!$1:$1,FALSE))="","",INDEX(Winter!$1:$1048576,MATCH(All!$A266,Winter!$A:$A,FALSE),MATCH(All!P$1,Winter!$1:$1,FALSE))),"")</f>
        <v>1A</v>
      </c>
      <c r="Q266" t="str">
        <f>IFERROR(IF(INDEX(Winter!$1:$1048576,MATCH(All!$A266,Winter!$A:$A,FALSE),MATCH(All!Q$1,Winter!$1:$1,FALSE))="","",INDEX(Winter!$1:$1048576,MATCH(All!$A266,Winter!$A:$A,FALSE),MATCH(All!Q$1,Winter!$1:$1,FALSE))),"")</f>
        <v>1A</v>
      </c>
      <c r="R266" t="str">
        <f>IFERROR(IF(INDEX(Winter!$1:$1048576,MATCH(All!$A266,Winter!$A:$A,FALSE),MATCH(All!R$1,Winter!$1:$1,FALSE))="","",INDEX(Winter!$1:$1048576,MATCH(All!$A266,Winter!$A:$A,FALSE),MATCH(All!R$1,Winter!$1:$1,FALSE))),"")</f>
        <v/>
      </c>
      <c r="S266" t="str">
        <f>IFERROR(IF(INDEX(Winter!$1:$1048576,MATCH(All!$A266,Winter!$A:$A,FALSE),MATCH(All!S$1,Winter!$1:$1,FALSE))="","",INDEX(Winter!$1:$1048576,MATCH(All!$A266,Winter!$A:$A,FALSE),MATCH(All!S$1,Winter!$1:$1,FALSE))),"")</f>
        <v/>
      </c>
      <c r="T266" t="str">
        <f>IFERROR(IF(INDEX(Winter!$1:$1048576,MATCH(All!$A266,Winter!$A:$A,FALSE),MATCH(All!T$1,Winter!$1:$1,FALSE))="","",INDEX(Winter!$1:$1048576,MATCH(All!$A266,Winter!$A:$A,FALSE),MATCH(All!T$1,Winter!$1:$1,FALSE))),"")</f>
        <v>1A</v>
      </c>
      <c r="U266" t="str">
        <f>IFERROR(IF(INDEX(Winter!$1:$1048576,MATCH(All!$A266,Winter!$A:$A,FALSE),MATCH(All!U$1,Winter!$1:$1,FALSE))="","",INDEX(Winter!$1:$1048576,MATCH(All!$A266,Winter!$A:$A,FALSE),MATCH(All!U$1,Winter!$1:$1,FALSE))),"")</f>
        <v/>
      </c>
      <c r="W266">
        <f>IFERROR(IF(INDEX(Spring!$1:$1048576,MATCH(All!$A266,Spring!$A:$A,FALSE),MATCH(All!W$1,Spring!$1:$1,FALSE))="","",INDEX(Spring!$1:$1048576,MATCH(All!$A266,Spring!$A:$A,FALSE),MATCH(All!W$1,Spring!$1:$1,FALSE))),"")</f>
        <v>100</v>
      </c>
      <c r="X266" t="str">
        <f>IFERROR(IF(INDEX(Spring!$1:$1048576,MATCH(All!$A266,Spring!$A:$A,FALSE),MATCH(All!X$1,Spring!$1:$1,FALSE))="","",INDEX(Spring!$1:$1048576,MATCH(All!$A266,Spring!$A:$A,FALSE),MATCH(All!X$1,Spring!$1:$1,FALSE))),"")</f>
        <v>1A</v>
      </c>
      <c r="Y266" t="str">
        <f>IFERROR(IF(INDEX(Spring!$1:$1048576,MATCH(All!$A266,Spring!$A:$A,FALSE),MATCH(All!Y$1,Spring!$1:$1,FALSE))="","",INDEX(Spring!$1:$1048576,MATCH(All!$A266,Spring!$A:$A,FALSE),MATCH(All!Y$1,Spring!$1:$1,FALSE))),"")</f>
        <v/>
      </c>
      <c r="Z266" t="str">
        <f>IFERROR(IF(INDEX(Spring!$1:$1048576,MATCH(All!$A266,Spring!$A:$A,FALSE),MATCH(All!Z$1,Spring!$1:$1,FALSE))="","",INDEX(Spring!$1:$1048576,MATCH(All!$A266,Spring!$A:$A,FALSE),MATCH(All!Z$1,Spring!$1:$1,FALSE))),"")</f>
        <v/>
      </c>
      <c r="AA266" t="str">
        <f>IFERROR(IF(INDEX(Spring!$1:$1048576,MATCH(All!$A266,Spring!$A:$A,FALSE),MATCH(All!AA$1,Spring!$1:$1,FALSE))="","",INDEX(Spring!$1:$1048576,MATCH(All!$A266,Spring!$A:$A,FALSE),MATCH(All!AA$1,Spring!$1:$1,FALSE))),"")</f>
        <v/>
      </c>
      <c r="AB266" t="str">
        <f>IFERROR(IF(INDEX(Spring!$1:$1048576,MATCH(All!$A266,Spring!$A:$A,FALSE),MATCH(All!AB$1,Spring!$1:$1,FALSE))="","",INDEX(Spring!$1:$1048576,MATCH(All!$A266,Spring!$A:$A,FALSE),MATCH(All!AB$1,Spring!$1:$1,FALSE))),"")</f>
        <v/>
      </c>
      <c r="AC266" t="str">
        <f>IFERROR(IF(INDEX(Spring!$1:$1048576,MATCH(All!$A266,Spring!$A:$A,FALSE),MATCH(All!AC$1,Spring!$1:$1,FALSE))="","",INDEX(Spring!$1:$1048576,MATCH(All!$A266,Spring!$A:$A,FALSE),MATCH(All!AC$1,Spring!$1:$1,FALSE))),"")</f>
        <v/>
      </c>
      <c r="AD266" t="str">
        <f>IFERROR(VLOOKUP(A266,'Flag Football'!A:A,1,FALSE),"")</f>
        <v/>
      </c>
      <c r="AE266" t="str">
        <f t="shared" si="4"/>
        <v/>
      </c>
    </row>
    <row r="267" spans="1:31" ht="15.75" thickBot="1" x14ac:dyDescent="0.3">
      <c r="A267" s="18" t="s">
        <v>943</v>
      </c>
      <c r="B267" s="38" t="str">
        <f>IFERROR(VLOOKUP(A267,'Public v Private'!A:G,3,FALSE),"")</f>
        <v/>
      </c>
      <c r="C267" s="38" t="str">
        <f>IFERROR(VLOOKUP(A267,'Public v Private'!A:G,4,FALSE),"")</f>
        <v/>
      </c>
      <c r="D267" s="38" t="str">
        <f>IFERROR(VLOOKUP(A267,'Public v Private'!A:G,5,FALSE),"")</f>
        <v/>
      </c>
      <c r="E267" s="38"/>
      <c r="F267" s="40">
        <f>IFERROR(INDEX(Fall!$1:$1048576,MATCH(All!$A267,Fall!$A:$A,FALSE),MATCH(All!F$1,Fall!$1:$1,FALSE)),"N/A")</f>
        <v>73</v>
      </c>
      <c r="G267" t="str">
        <f>IFERROR(IF(INDEX(Fall!$1:$1048576,MATCH(All!$A267,Fall!$A:$A,FALSE),MATCH(All!G$1,Fall!$1:$1,FALSE))="","",INDEX(Fall!$1:$1048576,MATCH(All!$A267,Fall!$A:$A,FALSE),MATCH(All!G$1,Fall!$1:$1,FALSE))),"")</f>
        <v>1A</v>
      </c>
      <c r="H267" t="str">
        <f>IFERROR(IF(INDEX(Fall!$1:$1048576,MATCH(All!$A267,Fall!$A:$A,FALSE),MATCH(All!H$1,Fall!$1:$1,FALSE))="","",INDEX(Fall!$1:$1048576,MATCH(All!$A267,Fall!$A:$A,FALSE),MATCH(All!H$1,Fall!$1:$1,FALSE))),"")</f>
        <v/>
      </c>
      <c r="I267" t="str">
        <f>IFERROR(IF(INDEX(Fall!$1:$1048576,MATCH(All!$A267,Fall!$A:$A,FALSE),MATCH(All!I$1,Fall!$1:$1,FALSE))="","",INDEX(Fall!$1:$1048576,MATCH(All!$A267,Fall!$A:$A,FALSE),MATCH(All!I$1,Fall!$1:$1,FALSE))),"")</f>
        <v/>
      </c>
      <c r="J267" t="str">
        <f>IFERROR(IF(INDEX(Fall!$1:$1048576,MATCH(All!$A267,Fall!$A:$A,FALSE),MATCH(All!J$1,Fall!$1:$1,FALSE))="","",INDEX(Fall!$1:$1048576,MATCH(All!$A267,Fall!$A:$A,FALSE),MATCH(All!J$1,Fall!$1:$1,FALSE))),"")</f>
        <v/>
      </c>
      <c r="K267" t="str">
        <f>IFERROR(IF(INDEX(Fall!$1:$1048576,MATCH(All!$A267,Fall!$A:$A,FALSE),MATCH(All!K$1,Fall!$1:$1,FALSE))="","",INDEX(Fall!$1:$1048576,MATCH(All!$A267,Fall!$A:$A,FALSE),MATCH(All!K$1,Fall!$1:$1,FALSE))),"")</f>
        <v/>
      </c>
      <c r="L267" t="str">
        <f>IFERROR(IF(INDEX(Fall!$1:$1048576,MATCH(All!$A267,Fall!$A:$A,FALSE),MATCH(All!L$1,Fall!$1:$1,FALSE))="","",INDEX(Fall!$1:$1048576,MATCH(All!$A267,Fall!$A:$A,FALSE),MATCH(All!L$1,Fall!$1:$1,FALSE))),"")</f>
        <v/>
      </c>
      <c r="M267" t="str">
        <f>IFERROR(IF(INDEX(Fall!$1:$1048576,MATCH(All!$A267,Fall!$A:$A,FALSE),MATCH(All!M$1,Fall!$1:$1,FALSE))="","",INDEX(Fall!$1:$1048576,MATCH(All!$A267,Fall!$A:$A,FALSE),MATCH(All!M$1,Fall!$1:$1,FALSE))),"")</f>
        <v/>
      </c>
      <c r="O267">
        <f>IFERROR(IF(INDEX(Winter!$1:$1048576,MATCH(All!$A267,Winter!$A:$A,FALSE),MATCH(All!O$1,Winter!$1:$1,FALSE))="","",INDEX(Winter!$1:$1048576,MATCH(All!$A267,Winter!$A:$A,FALSE),MATCH(All!O$1,Winter!$1:$1,FALSE))),"")</f>
        <v>73</v>
      </c>
      <c r="P267" t="str">
        <f>IFERROR(IF(INDEX(Winter!$1:$1048576,MATCH(All!$A267,Winter!$A:$A,FALSE),MATCH(All!P$1,Winter!$1:$1,FALSE))="","",INDEX(Winter!$1:$1048576,MATCH(All!$A267,Winter!$A:$A,FALSE),MATCH(All!P$1,Winter!$1:$1,FALSE))),"")</f>
        <v/>
      </c>
      <c r="Q267" t="str">
        <f>IFERROR(IF(INDEX(Winter!$1:$1048576,MATCH(All!$A267,Winter!$A:$A,FALSE),MATCH(All!Q$1,Winter!$1:$1,FALSE))="","",INDEX(Winter!$1:$1048576,MATCH(All!$A267,Winter!$A:$A,FALSE),MATCH(All!Q$1,Winter!$1:$1,FALSE))),"")</f>
        <v/>
      </c>
      <c r="R267" t="str">
        <f>IFERROR(IF(INDEX(Winter!$1:$1048576,MATCH(All!$A267,Winter!$A:$A,FALSE),MATCH(All!R$1,Winter!$1:$1,FALSE))="","",INDEX(Winter!$1:$1048576,MATCH(All!$A267,Winter!$A:$A,FALSE),MATCH(All!R$1,Winter!$1:$1,FALSE))),"")</f>
        <v/>
      </c>
      <c r="S267" t="str">
        <f>IFERROR(IF(INDEX(Winter!$1:$1048576,MATCH(All!$A267,Winter!$A:$A,FALSE),MATCH(All!S$1,Winter!$1:$1,FALSE))="","",INDEX(Winter!$1:$1048576,MATCH(All!$A267,Winter!$A:$A,FALSE),MATCH(All!S$1,Winter!$1:$1,FALSE))),"")</f>
        <v/>
      </c>
      <c r="T267" t="str">
        <f>IFERROR(IF(INDEX(Winter!$1:$1048576,MATCH(All!$A267,Winter!$A:$A,FALSE),MATCH(All!T$1,Winter!$1:$1,FALSE))="","",INDEX(Winter!$1:$1048576,MATCH(All!$A267,Winter!$A:$A,FALSE),MATCH(All!T$1,Winter!$1:$1,FALSE))),"")</f>
        <v>1A</v>
      </c>
      <c r="U267" t="str">
        <f>IFERROR(IF(INDEX(Winter!$1:$1048576,MATCH(All!$A267,Winter!$A:$A,FALSE),MATCH(All!U$1,Winter!$1:$1,FALSE))="","",INDEX(Winter!$1:$1048576,MATCH(All!$A267,Winter!$A:$A,FALSE),MATCH(All!U$1,Winter!$1:$1,FALSE))),"")</f>
        <v/>
      </c>
      <c r="W267" t="str">
        <f>IFERROR(IF(INDEX(Spring!$1:$1048576,MATCH(All!$A267,Spring!$A:$A,FALSE),MATCH(All!W$1,Spring!$1:$1,FALSE))="","",INDEX(Spring!$1:$1048576,MATCH(All!$A267,Spring!$A:$A,FALSE),MATCH(All!W$1,Spring!$1:$1,FALSE))),"")</f>
        <v/>
      </c>
      <c r="X267" t="str">
        <f>IFERROR(IF(INDEX(Spring!$1:$1048576,MATCH(All!$A267,Spring!$A:$A,FALSE),MATCH(All!X$1,Spring!$1:$1,FALSE))="","",INDEX(Spring!$1:$1048576,MATCH(All!$A267,Spring!$A:$A,FALSE),MATCH(All!X$1,Spring!$1:$1,FALSE))),"")</f>
        <v/>
      </c>
      <c r="Y267" t="str">
        <f>IFERROR(IF(INDEX(Spring!$1:$1048576,MATCH(All!$A267,Spring!$A:$A,FALSE),MATCH(All!Y$1,Spring!$1:$1,FALSE))="","",INDEX(Spring!$1:$1048576,MATCH(All!$A267,Spring!$A:$A,FALSE),MATCH(All!Y$1,Spring!$1:$1,FALSE))),"")</f>
        <v/>
      </c>
      <c r="Z267" t="str">
        <f>IFERROR(IF(INDEX(Spring!$1:$1048576,MATCH(All!$A267,Spring!$A:$A,FALSE),MATCH(All!Z$1,Spring!$1:$1,FALSE))="","",INDEX(Spring!$1:$1048576,MATCH(All!$A267,Spring!$A:$A,FALSE),MATCH(All!Z$1,Spring!$1:$1,FALSE))),"")</f>
        <v/>
      </c>
      <c r="AA267" t="str">
        <f>IFERROR(IF(INDEX(Spring!$1:$1048576,MATCH(All!$A267,Spring!$A:$A,FALSE),MATCH(All!AA$1,Spring!$1:$1,FALSE))="","",INDEX(Spring!$1:$1048576,MATCH(All!$A267,Spring!$A:$A,FALSE),MATCH(All!AA$1,Spring!$1:$1,FALSE))),"")</f>
        <v/>
      </c>
      <c r="AB267" t="str">
        <f>IFERROR(IF(INDEX(Spring!$1:$1048576,MATCH(All!$A267,Spring!$A:$A,FALSE),MATCH(All!AB$1,Spring!$1:$1,FALSE))="","",INDEX(Spring!$1:$1048576,MATCH(All!$A267,Spring!$A:$A,FALSE),MATCH(All!AB$1,Spring!$1:$1,FALSE))),"")</f>
        <v/>
      </c>
      <c r="AC267" t="str">
        <f>IFERROR(IF(INDEX(Spring!$1:$1048576,MATCH(All!$A267,Spring!$A:$A,FALSE),MATCH(All!AC$1,Spring!$1:$1,FALSE))="","",INDEX(Spring!$1:$1048576,MATCH(All!$A267,Spring!$A:$A,FALSE),MATCH(All!AC$1,Spring!$1:$1,FALSE))),"")</f>
        <v/>
      </c>
      <c r="AD267" t="str">
        <f>IFERROR(VLOOKUP(A267,'Flag Football'!A:A,1,FALSE),"")</f>
        <v/>
      </c>
      <c r="AE267" t="str">
        <f t="shared" si="4"/>
        <v/>
      </c>
    </row>
    <row r="268" spans="1:31" ht="15.75" thickBot="1" x14ac:dyDescent="0.3">
      <c r="A268" s="20" t="s">
        <v>343</v>
      </c>
      <c r="B268" s="38">
        <f>IFERROR(VLOOKUP(A268,'Public v Private'!A:G,3,FALSE),"")</f>
        <v>0</v>
      </c>
      <c r="C268" s="38">
        <f>IFERROR(VLOOKUP(A268,'Public v Private'!A:G,4,FALSE),"")</f>
        <v>0</v>
      </c>
      <c r="D268" s="38">
        <f>IFERROR(VLOOKUP(A268,'Public v Private'!A:G,5,FALSE),"")</f>
        <v>0</v>
      </c>
      <c r="E268" s="38"/>
      <c r="F268" s="40">
        <f>IFERROR(INDEX(Fall!$1:$1048576,MATCH(All!$A268,Fall!$A:$A,FALSE),MATCH(All!F$1,Fall!$1:$1,FALSE)),"N/A")</f>
        <v>277</v>
      </c>
      <c r="G268" t="str">
        <f>IFERROR(IF(INDEX(Fall!$1:$1048576,MATCH(All!$A268,Fall!$A:$A,FALSE),MATCH(All!G$1,Fall!$1:$1,FALSE))="","",INDEX(Fall!$1:$1048576,MATCH(All!$A268,Fall!$A:$A,FALSE),MATCH(All!G$1,Fall!$1:$1,FALSE))),"")</f>
        <v>1A</v>
      </c>
      <c r="H268" t="str">
        <f>IFERROR(IF(INDEX(Fall!$1:$1048576,MATCH(All!$A268,Fall!$A:$A,FALSE),MATCH(All!H$1,Fall!$1:$1,FALSE))="","",INDEX(Fall!$1:$1048576,MATCH(All!$A268,Fall!$A:$A,FALSE),MATCH(All!H$1,Fall!$1:$1,FALSE))),"")</f>
        <v/>
      </c>
      <c r="I268" t="str">
        <f>IFERROR(IF(INDEX(Fall!$1:$1048576,MATCH(All!$A268,Fall!$A:$A,FALSE),MATCH(All!I$1,Fall!$1:$1,FALSE))="","",INDEX(Fall!$1:$1048576,MATCH(All!$A268,Fall!$A:$A,FALSE),MATCH(All!I$1,Fall!$1:$1,FALSE))),"")</f>
        <v/>
      </c>
      <c r="J268" t="str">
        <f>IFERROR(IF(INDEX(Fall!$1:$1048576,MATCH(All!$A268,Fall!$A:$A,FALSE),MATCH(All!J$1,Fall!$1:$1,FALSE))="","",INDEX(Fall!$1:$1048576,MATCH(All!$A268,Fall!$A:$A,FALSE),MATCH(All!J$1,Fall!$1:$1,FALSE))),"")</f>
        <v/>
      </c>
      <c r="K268" t="str">
        <f>IFERROR(IF(INDEX(Fall!$1:$1048576,MATCH(All!$A268,Fall!$A:$A,FALSE),MATCH(All!K$1,Fall!$1:$1,FALSE))="","",INDEX(Fall!$1:$1048576,MATCH(All!$A268,Fall!$A:$A,FALSE),MATCH(All!K$1,Fall!$1:$1,FALSE))),"")</f>
        <v>1A</v>
      </c>
      <c r="L268" t="str">
        <f>IFERROR(IF(INDEX(Fall!$1:$1048576,MATCH(All!$A268,Fall!$A:$A,FALSE),MATCH(All!L$1,Fall!$1:$1,FALSE))="","",INDEX(Fall!$1:$1048576,MATCH(All!$A268,Fall!$A:$A,FALSE),MATCH(All!L$1,Fall!$1:$1,FALSE))),"")</f>
        <v/>
      </c>
      <c r="M268" t="str">
        <f>IFERROR(IF(INDEX(Fall!$1:$1048576,MATCH(All!$A268,Fall!$A:$A,FALSE),MATCH(All!M$1,Fall!$1:$1,FALSE))="","",INDEX(Fall!$1:$1048576,MATCH(All!$A268,Fall!$A:$A,FALSE),MATCH(All!M$1,Fall!$1:$1,FALSE))),"")</f>
        <v>1A</v>
      </c>
      <c r="O268">
        <f>IFERROR(IF(INDEX(Winter!$1:$1048576,MATCH(All!$A268,Winter!$A:$A,FALSE),MATCH(All!O$1,Winter!$1:$1,FALSE))="","",INDEX(Winter!$1:$1048576,MATCH(All!$A268,Winter!$A:$A,FALSE),MATCH(All!O$1,Winter!$1:$1,FALSE))),"")</f>
        <v>277</v>
      </c>
      <c r="P268" t="str">
        <f>IFERROR(IF(INDEX(Winter!$1:$1048576,MATCH(All!$A268,Winter!$A:$A,FALSE),MATCH(All!P$1,Winter!$1:$1,FALSE))="","",INDEX(Winter!$1:$1048576,MATCH(All!$A268,Winter!$A:$A,FALSE),MATCH(All!P$1,Winter!$1:$1,FALSE))),"")</f>
        <v>1A</v>
      </c>
      <c r="Q268" t="str">
        <f>IFERROR(IF(INDEX(Winter!$1:$1048576,MATCH(All!$A268,Winter!$A:$A,FALSE),MATCH(All!Q$1,Winter!$1:$1,FALSE))="","",INDEX(Winter!$1:$1048576,MATCH(All!$A268,Winter!$A:$A,FALSE),MATCH(All!Q$1,Winter!$1:$1,FALSE))),"")</f>
        <v>1A</v>
      </c>
      <c r="R268" t="str">
        <f>IFERROR(IF(INDEX(Winter!$1:$1048576,MATCH(All!$A268,Winter!$A:$A,FALSE),MATCH(All!R$1,Winter!$1:$1,FALSE))="","",INDEX(Winter!$1:$1048576,MATCH(All!$A268,Winter!$A:$A,FALSE),MATCH(All!R$1,Winter!$1:$1,FALSE))),"")</f>
        <v>1A</v>
      </c>
      <c r="S268" t="str">
        <f>IFERROR(IF(INDEX(Winter!$1:$1048576,MATCH(All!$A268,Winter!$A:$A,FALSE),MATCH(All!S$1,Winter!$1:$1,FALSE))="","",INDEX(Winter!$1:$1048576,MATCH(All!$A268,Winter!$A:$A,FALSE),MATCH(All!S$1,Winter!$1:$1,FALSE))),"")</f>
        <v/>
      </c>
      <c r="T268" t="str">
        <f>IFERROR(IF(INDEX(Winter!$1:$1048576,MATCH(All!$A268,Winter!$A:$A,FALSE),MATCH(All!T$1,Winter!$1:$1,FALSE))="","",INDEX(Winter!$1:$1048576,MATCH(All!$A268,Winter!$A:$A,FALSE),MATCH(All!T$1,Winter!$1:$1,FALSE))),"")</f>
        <v/>
      </c>
      <c r="U268" t="str">
        <f>IFERROR(IF(INDEX(Winter!$1:$1048576,MATCH(All!$A268,Winter!$A:$A,FALSE),MATCH(All!U$1,Winter!$1:$1,FALSE))="","",INDEX(Winter!$1:$1048576,MATCH(All!$A268,Winter!$A:$A,FALSE),MATCH(All!U$1,Winter!$1:$1,FALSE))),"")</f>
        <v>1A</v>
      </c>
      <c r="W268">
        <f>IFERROR(IF(INDEX(Spring!$1:$1048576,MATCH(All!$A268,Spring!$A:$A,FALSE),MATCH(All!W$1,Spring!$1:$1,FALSE))="","",INDEX(Spring!$1:$1048576,MATCH(All!$A268,Spring!$A:$A,FALSE),MATCH(All!W$1,Spring!$1:$1,FALSE))),"")</f>
        <v>277</v>
      </c>
      <c r="X268" t="str">
        <f>IFERROR(IF(INDEX(Spring!$1:$1048576,MATCH(All!$A268,Spring!$A:$A,FALSE),MATCH(All!X$1,Spring!$1:$1,FALSE))="","",INDEX(Spring!$1:$1048576,MATCH(All!$A268,Spring!$A:$A,FALSE),MATCH(All!X$1,Spring!$1:$1,FALSE))),"")</f>
        <v>1A</v>
      </c>
      <c r="Y268" t="str">
        <f>IFERROR(IF(INDEX(Spring!$1:$1048576,MATCH(All!$A268,Spring!$A:$A,FALSE),MATCH(All!Y$1,Spring!$1:$1,FALSE))="","",INDEX(Spring!$1:$1048576,MATCH(All!$A268,Spring!$A:$A,FALSE),MATCH(All!Y$1,Spring!$1:$1,FALSE))),"")</f>
        <v>1A</v>
      </c>
      <c r="Z268" t="str">
        <f>IFERROR(IF(INDEX(Spring!$1:$1048576,MATCH(All!$A268,Spring!$A:$A,FALSE),MATCH(All!Z$1,Spring!$1:$1,FALSE))="","",INDEX(Spring!$1:$1048576,MATCH(All!$A268,Spring!$A:$A,FALSE),MATCH(All!Z$1,Spring!$1:$1,FALSE))),"")</f>
        <v/>
      </c>
      <c r="AA268" t="str">
        <f>IFERROR(IF(INDEX(Spring!$1:$1048576,MATCH(All!$A268,Spring!$A:$A,FALSE),MATCH(All!AA$1,Spring!$1:$1,FALSE))="","",INDEX(Spring!$1:$1048576,MATCH(All!$A268,Spring!$A:$A,FALSE),MATCH(All!AA$1,Spring!$1:$1,FALSE))),"")</f>
        <v/>
      </c>
      <c r="AB268" t="str">
        <f>IFERROR(IF(INDEX(Spring!$1:$1048576,MATCH(All!$A268,Spring!$A:$A,FALSE),MATCH(All!AB$1,Spring!$1:$1,FALSE))="","",INDEX(Spring!$1:$1048576,MATCH(All!$A268,Spring!$A:$A,FALSE),MATCH(All!AB$1,Spring!$1:$1,FALSE))),"")</f>
        <v>1A</v>
      </c>
      <c r="AC268" t="str">
        <f>IFERROR(IF(INDEX(Spring!$1:$1048576,MATCH(All!$A268,Spring!$A:$A,FALSE),MATCH(All!AC$1,Spring!$1:$1,FALSE))="","",INDEX(Spring!$1:$1048576,MATCH(All!$A268,Spring!$A:$A,FALSE),MATCH(All!AC$1,Spring!$1:$1,FALSE))),"")</f>
        <v>1A</v>
      </c>
      <c r="AD268" t="str">
        <f>IFERROR(VLOOKUP(A268,'Flag Football'!A:A,1,FALSE),"")</f>
        <v/>
      </c>
      <c r="AE268" t="str">
        <f t="shared" si="4"/>
        <v/>
      </c>
    </row>
    <row r="269" spans="1:31" ht="15.75" thickBot="1" x14ac:dyDescent="0.3">
      <c r="A269" s="18" t="s">
        <v>344</v>
      </c>
      <c r="B269" s="38">
        <f>IFERROR(VLOOKUP(A269,'Public v Private'!A:G,3,FALSE),"")</f>
        <v>0</v>
      </c>
      <c r="C269" s="38">
        <f>IFERROR(VLOOKUP(A269,'Public v Private'!A:G,4,FALSE),"")</f>
        <v>0</v>
      </c>
      <c r="D269" s="38">
        <f>IFERROR(VLOOKUP(A269,'Public v Private'!A:G,5,FALSE),"")</f>
        <v>0</v>
      </c>
      <c r="E269" s="38"/>
      <c r="F269" s="40">
        <f>IFERROR(INDEX(Fall!$1:$1048576,MATCH(All!$A269,Fall!$A:$A,FALSE),MATCH(All!F$1,Fall!$1:$1,FALSE)),"N/A")</f>
        <v>485</v>
      </c>
      <c r="G269" t="str">
        <f>IFERROR(IF(INDEX(Fall!$1:$1048576,MATCH(All!$A269,Fall!$A:$A,FALSE),MATCH(All!G$1,Fall!$1:$1,FALSE))="","",INDEX(Fall!$1:$1048576,MATCH(All!$A269,Fall!$A:$A,FALSE),MATCH(All!G$1,Fall!$1:$1,FALSE))),"")</f>
        <v>1A</v>
      </c>
      <c r="H269" t="str">
        <f>IFERROR(IF(INDEX(Fall!$1:$1048576,MATCH(All!$A269,Fall!$A:$A,FALSE),MATCH(All!H$1,Fall!$1:$1,FALSE))="","",INDEX(Fall!$1:$1048576,MATCH(All!$A269,Fall!$A:$A,FALSE),MATCH(All!H$1,Fall!$1:$1,FALSE))),"")</f>
        <v>1A</v>
      </c>
      <c r="I269" t="str">
        <f>IFERROR(IF(INDEX(Fall!$1:$1048576,MATCH(All!$A269,Fall!$A:$A,FALSE),MATCH(All!I$1,Fall!$1:$1,FALSE))="","",INDEX(Fall!$1:$1048576,MATCH(All!$A269,Fall!$A:$A,FALSE),MATCH(All!I$1,Fall!$1:$1,FALSE))),"")</f>
        <v>1A</v>
      </c>
      <c r="J269" t="str">
        <f>IFERROR(IF(INDEX(Fall!$1:$1048576,MATCH(All!$A269,Fall!$A:$A,FALSE),MATCH(All!J$1,Fall!$1:$1,FALSE))="","",INDEX(Fall!$1:$1048576,MATCH(All!$A269,Fall!$A:$A,FALSE),MATCH(All!J$1,Fall!$1:$1,FALSE))),"")</f>
        <v>1A</v>
      </c>
      <c r="K269" t="str">
        <f>IFERROR(IF(INDEX(Fall!$1:$1048576,MATCH(All!$A269,Fall!$A:$A,FALSE),MATCH(All!K$1,Fall!$1:$1,FALSE))="","",INDEX(Fall!$1:$1048576,MATCH(All!$A269,Fall!$A:$A,FALSE),MATCH(All!K$1,Fall!$1:$1,FALSE))),"")</f>
        <v/>
      </c>
      <c r="L269" t="str">
        <f>IFERROR(IF(INDEX(Fall!$1:$1048576,MATCH(All!$A269,Fall!$A:$A,FALSE),MATCH(All!L$1,Fall!$1:$1,FALSE))="","",INDEX(Fall!$1:$1048576,MATCH(All!$A269,Fall!$A:$A,FALSE),MATCH(All!L$1,Fall!$1:$1,FALSE))),"")</f>
        <v/>
      </c>
      <c r="M269" t="str">
        <f>IFERROR(IF(INDEX(Fall!$1:$1048576,MATCH(All!$A269,Fall!$A:$A,FALSE),MATCH(All!M$1,Fall!$1:$1,FALSE))="","",INDEX(Fall!$1:$1048576,MATCH(All!$A269,Fall!$A:$A,FALSE),MATCH(All!M$1,Fall!$1:$1,FALSE))),"")</f>
        <v>2A</v>
      </c>
      <c r="O269">
        <f>IFERROR(IF(INDEX(Winter!$1:$1048576,MATCH(All!$A269,Winter!$A:$A,FALSE),MATCH(All!O$1,Winter!$1:$1,FALSE))="","",INDEX(Winter!$1:$1048576,MATCH(All!$A269,Winter!$A:$A,FALSE),MATCH(All!O$1,Winter!$1:$1,FALSE))),"")</f>
        <v>485</v>
      </c>
      <c r="P269" t="str">
        <f>IFERROR(IF(INDEX(Winter!$1:$1048576,MATCH(All!$A269,Winter!$A:$A,FALSE),MATCH(All!P$1,Winter!$1:$1,FALSE))="","",INDEX(Winter!$1:$1048576,MATCH(All!$A269,Winter!$A:$A,FALSE),MATCH(All!P$1,Winter!$1:$1,FALSE))),"")</f>
        <v>2A</v>
      </c>
      <c r="Q269" t="str">
        <f>IFERROR(IF(INDEX(Winter!$1:$1048576,MATCH(All!$A269,Winter!$A:$A,FALSE),MATCH(All!Q$1,Winter!$1:$1,FALSE))="","",INDEX(Winter!$1:$1048576,MATCH(All!$A269,Winter!$A:$A,FALSE),MATCH(All!Q$1,Winter!$1:$1,FALSE))),"")</f>
        <v>2A</v>
      </c>
      <c r="R269" t="str">
        <f>IFERROR(IF(INDEX(Winter!$1:$1048576,MATCH(All!$A269,Winter!$A:$A,FALSE),MATCH(All!R$1,Winter!$1:$1,FALSE))="","",INDEX(Winter!$1:$1048576,MATCH(All!$A269,Winter!$A:$A,FALSE),MATCH(All!R$1,Winter!$1:$1,FALSE))),"")</f>
        <v/>
      </c>
      <c r="S269" t="str">
        <f>IFERROR(IF(INDEX(Winter!$1:$1048576,MATCH(All!$A269,Winter!$A:$A,FALSE),MATCH(All!S$1,Winter!$1:$1,FALSE))="","",INDEX(Winter!$1:$1048576,MATCH(All!$A269,Winter!$A:$A,FALSE),MATCH(All!S$1,Winter!$1:$1,FALSE))),"")</f>
        <v>1A</v>
      </c>
      <c r="T269" t="str">
        <f>IFERROR(IF(INDEX(Winter!$1:$1048576,MATCH(All!$A269,Winter!$A:$A,FALSE),MATCH(All!T$1,Winter!$1:$1,FALSE))="","",INDEX(Winter!$1:$1048576,MATCH(All!$A269,Winter!$A:$A,FALSE),MATCH(All!T$1,Winter!$1:$1,FALSE))),"")</f>
        <v>2A</v>
      </c>
      <c r="U269" t="str">
        <f>IFERROR(IF(INDEX(Winter!$1:$1048576,MATCH(All!$A269,Winter!$A:$A,FALSE),MATCH(All!U$1,Winter!$1:$1,FALSE))="","",INDEX(Winter!$1:$1048576,MATCH(All!$A269,Winter!$A:$A,FALSE),MATCH(All!U$1,Winter!$1:$1,FALSE))),"")</f>
        <v>1A</v>
      </c>
      <c r="W269">
        <f>IFERROR(IF(INDEX(Spring!$1:$1048576,MATCH(All!$A269,Spring!$A:$A,FALSE),MATCH(All!W$1,Spring!$1:$1,FALSE))="","",INDEX(Spring!$1:$1048576,MATCH(All!$A269,Spring!$A:$A,FALSE),MATCH(All!W$1,Spring!$1:$1,FALSE))),"")</f>
        <v>485</v>
      </c>
      <c r="X269" t="str">
        <f>IFERROR(IF(INDEX(Spring!$1:$1048576,MATCH(All!$A269,Spring!$A:$A,FALSE),MATCH(All!X$1,Spring!$1:$1,FALSE))="","",INDEX(Spring!$1:$1048576,MATCH(All!$A269,Spring!$A:$A,FALSE),MATCH(All!X$1,Spring!$1:$1,FALSE))),"")</f>
        <v>2A</v>
      </c>
      <c r="Y269" t="str">
        <f>IFERROR(IF(INDEX(Spring!$1:$1048576,MATCH(All!$A269,Spring!$A:$A,FALSE),MATCH(All!Y$1,Spring!$1:$1,FALSE))="","",INDEX(Spring!$1:$1048576,MATCH(All!$A269,Spring!$A:$A,FALSE),MATCH(All!Y$1,Spring!$1:$1,FALSE))),"")</f>
        <v>2A</v>
      </c>
      <c r="Z269" t="str">
        <f>IFERROR(IF(INDEX(Spring!$1:$1048576,MATCH(All!$A269,Spring!$A:$A,FALSE),MATCH(All!Z$1,Spring!$1:$1,FALSE))="","",INDEX(Spring!$1:$1048576,MATCH(All!$A269,Spring!$A:$A,FALSE),MATCH(All!Z$1,Spring!$1:$1,FALSE))),"")</f>
        <v/>
      </c>
      <c r="AA269" t="str">
        <f>IFERROR(IF(INDEX(Spring!$1:$1048576,MATCH(All!$A269,Spring!$A:$A,FALSE),MATCH(All!AA$1,Spring!$1:$1,FALSE))="","",INDEX(Spring!$1:$1048576,MATCH(All!$A269,Spring!$A:$A,FALSE),MATCH(All!AA$1,Spring!$1:$1,FALSE))),"")</f>
        <v/>
      </c>
      <c r="AB269" t="str">
        <f>IFERROR(IF(INDEX(Spring!$1:$1048576,MATCH(All!$A269,Spring!$A:$A,FALSE),MATCH(All!AB$1,Spring!$1:$1,FALSE))="","",INDEX(Spring!$1:$1048576,MATCH(All!$A269,Spring!$A:$A,FALSE),MATCH(All!AB$1,Spring!$1:$1,FALSE))),"")</f>
        <v>2A</v>
      </c>
      <c r="AC269" t="str">
        <f>IFERROR(IF(INDEX(Spring!$1:$1048576,MATCH(All!$A269,Spring!$A:$A,FALSE),MATCH(All!AC$1,Spring!$1:$1,FALSE))="","",INDEX(Spring!$1:$1048576,MATCH(All!$A269,Spring!$A:$A,FALSE),MATCH(All!AC$1,Spring!$1:$1,FALSE))),"")</f>
        <v>2A</v>
      </c>
      <c r="AD269" t="str">
        <f>IFERROR(VLOOKUP(A269,'Flag Football'!A:A,1,FALSE),"")</f>
        <v/>
      </c>
      <c r="AE269" t="str">
        <f t="shared" si="4"/>
        <v/>
      </c>
    </row>
    <row r="270" spans="1:31" ht="15.75" thickBot="1" x14ac:dyDescent="0.3">
      <c r="A270" s="20" t="s">
        <v>345</v>
      </c>
      <c r="B270" s="38">
        <f>IFERROR(VLOOKUP(A270,'Public v Private'!A:G,3,FALSE),"")</f>
        <v>0</v>
      </c>
      <c r="C270" s="38">
        <f>IFERROR(VLOOKUP(A270,'Public v Private'!A:G,4,FALSE),"")</f>
        <v>0</v>
      </c>
      <c r="D270" s="38">
        <f>IFERROR(VLOOKUP(A270,'Public v Private'!A:G,5,FALSE),"")</f>
        <v>0</v>
      </c>
      <c r="E270" s="38"/>
      <c r="F270" s="40">
        <f>IFERROR(INDEX(Fall!$1:$1048576,MATCH(All!$A270,Fall!$A:$A,FALSE),MATCH(All!F$1,Fall!$1:$1,FALSE)),"N/A")</f>
        <v>640</v>
      </c>
      <c r="G270" t="str">
        <f>IFERROR(IF(INDEX(Fall!$1:$1048576,MATCH(All!$A270,Fall!$A:$A,FALSE),MATCH(All!G$1,Fall!$1:$1,FALSE))="","",INDEX(Fall!$1:$1048576,MATCH(All!$A270,Fall!$A:$A,FALSE),MATCH(All!G$1,Fall!$1:$1,FALSE))),"")</f>
        <v/>
      </c>
      <c r="H270" t="str">
        <f>IFERROR(IF(INDEX(Fall!$1:$1048576,MATCH(All!$A270,Fall!$A:$A,FALSE),MATCH(All!H$1,Fall!$1:$1,FALSE))="","",INDEX(Fall!$1:$1048576,MATCH(All!$A270,Fall!$A:$A,FALSE),MATCH(All!H$1,Fall!$1:$1,FALSE))),"")</f>
        <v/>
      </c>
      <c r="I270" t="str">
        <f>IFERROR(IF(INDEX(Fall!$1:$1048576,MATCH(All!$A270,Fall!$A:$A,FALSE),MATCH(All!I$1,Fall!$1:$1,FALSE))="","",INDEX(Fall!$1:$1048576,MATCH(All!$A270,Fall!$A:$A,FALSE),MATCH(All!I$1,Fall!$1:$1,FALSE))),"")</f>
        <v>2A</v>
      </c>
      <c r="J270" t="str">
        <f>IFERROR(IF(INDEX(Fall!$1:$1048576,MATCH(All!$A270,Fall!$A:$A,FALSE),MATCH(All!J$1,Fall!$1:$1,FALSE))="","",INDEX(Fall!$1:$1048576,MATCH(All!$A270,Fall!$A:$A,FALSE),MATCH(All!J$1,Fall!$1:$1,FALSE))),"")</f>
        <v>1A</v>
      </c>
      <c r="K270" t="str">
        <f>IFERROR(IF(INDEX(Fall!$1:$1048576,MATCH(All!$A270,Fall!$A:$A,FALSE),MATCH(All!K$1,Fall!$1:$1,FALSE))="","",INDEX(Fall!$1:$1048576,MATCH(All!$A270,Fall!$A:$A,FALSE),MATCH(All!K$1,Fall!$1:$1,FALSE))),"")</f>
        <v>1A</v>
      </c>
      <c r="L270" t="str">
        <f>IFERROR(IF(INDEX(Fall!$1:$1048576,MATCH(All!$A270,Fall!$A:$A,FALSE),MATCH(All!L$1,Fall!$1:$1,FALSE))="","",INDEX(Fall!$1:$1048576,MATCH(All!$A270,Fall!$A:$A,FALSE),MATCH(All!L$1,Fall!$1:$1,FALSE))),"")</f>
        <v>1A</v>
      </c>
      <c r="M270" t="str">
        <f>IFERROR(IF(INDEX(Fall!$1:$1048576,MATCH(All!$A270,Fall!$A:$A,FALSE),MATCH(All!M$1,Fall!$1:$1,FALSE))="","",INDEX(Fall!$1:$1048576,MATCH(All!$A270,Fall!$A:$A,FALSE),MATCH(All!M$1,Fall!$1:$1,FALSE))),"")</f>
        <v>2A</v>
      </c>
      <c r="O270">
        <f>IFERROR(IF(INDEX(Winter!$1:$1048576,MATCH(All!$A270,Winter!$A:$A,FALSE),MATCH(All!O$1,Winter!$1:$1,FALSE))="","",INDEX(Winter!$1:$1048576,MATCH(All!$A270,Winter!$A:$A,FALSE),MATCH(All!O$1,Winter!$1:$1,FALSE))),"")</f>
        <v>640</v>
      </c>
      <c r="P270" t="str">
        <f>IFERROR(IF(INDEX(Winter!$1:$1048576,MATCH(All!$A270,Winter!$A:$A,FALSE),MATCH(All!P$1,Winter!$1:$1,FALSE))="","",INDEX(Winter!$1:$1048576,MATCH(All!$A270,Winter!$A:$A,FALSE),MATCH(All!P$1,Winter!$1:$1,FALSE))),"")</f>
        <v>2A</v>
      </c>
      <c r="Q270" t="str">
        <f>IFERROR(IF(INDEX(Winter!$1:$1048576,MATCH(All!$A270,Winter!$A:$A,FALSE),MATCH(All!Q$1,Winter!$1:$1,FALSE))="","",INDEX(Winter!$1:$1048576,MATCH(All!$A270,Winter!$A:$A,FALSE),MATCH(All!Q$1,Winter!$1:$1,FALSE))),"")</f>
        <v>2A</v>
      </c>
      <c r="R270" t="str">
        <f>IFERROR(IF(INDEX(Winter!$1:$1048576,MATCH(All!$A270,Winter!$A:$A,FALSE),MATCH(All!R$1,Winter!$1:$1,FALSE))="","",INDEX(Winter!$1:$1048576,MATCH(All!$A270,Winter!$A:$A,FALSE),MATCH(All!R$1,Winter!$1:$1,FALSE))),"")</f>
        <v>1A</v>
      </c>
      <c r="S270" t="str">
        <f>IFERROR(IF(INDEX(Winter!$1:$1048576,MATCH(All!$A270,Winter!$A:$A,FALSE),MATCH(All!S$1,Winter!$1:$1,FALSE))="","",INDEX(Winter!$1:$1048576,MATCH(All!$A270,Winter!$A:$A,FALSE),MATCH(All!S$1,Winter!$1:$1,FALSE))),"")</f>
        <v/>
      </c>
      <c r="T270" t="str">
        <f>IFERROR(IF(INDEX(Winter!$1:$1048576,MATCH(All!$A270,Winter!$A:$A,FALSE),MATCH(All!T$1,Winter!$1:$1,FALSE))="","",INDEX(Winter!$1:$1048576,MATCH(All!$A270,Winter!$A:$A,FALSE),MATCH(All!T$1,Winter!$1:$1,FALSE))),"")</f>
        <v>2A</v>
      </c>
      <c r="U270" t="str">
        <f>IFERROR(IF(INDEX(Winter!$1:$1048576,MATCH(All!$A270,Winter!$A:$A,FALSE),MATCH(All!U$1,Winter!$1:$1,FALSE))="","",INDEX(Winter!$1:$1048576,MATCH(All!$A270,Winter!$A:$A,FALSE),MATCH(All!U$1,Winter!$1:$1,FALSE))),"")</f>
        <v>1A</v>
      </c>
      <c r="W270">
        <f>IFERROR(IF(INDEX(Spring!$1:$1048576,MATCH(All!$A270,Spring!$A:$A,FALSE),MATCH(All!W$1,Spring!$1:$1,FALSE))="","",INDEX(Spring!$1:$1048576,MATCH(All!$A270,Spring!$A:$A,FALSE),MATCH(All!W$1,Spring!$1:$1,FALSE))),"")</f>
        <v>640</v>
      </c>
      <c r="X270" t="str">
        <f>IFERROR(IF(INDEX(Spring!$1:$1048576,MATCH(All!$A270,Spring!$A:$A,FALSE),MATCH(All!X$1,Spring!$1:$1,FALSE))="","",INDEX(Spring!$1:$1048576,MATCH(All!$A270,Spring!$A:$A,FALSE),MATCH(All!X$1,Spring!$1:$1,FALSE))),"")</f>
        <v>2A</v>
      </c>
      <c r="Y270" t="str">
        <f>IFERROR(IF(INDEX(Spring!$1:$1048576,MATCH(All!$A270,Spring!$A:$A,FALSE),MATCH(All!Y$1,Spring!$1:$1,FALSE))="","",INDEX(Spring!$1:$1048576,MATCH(All!$A270,Spring!$A:$A,FALSE),MATCH(All!Y$1,Spring!$1:$1,FALSE))),"")</f>
        <v>2A</v>
      </c>
      <c r="Z270" t="str">
        <f>IFERROR(IF(INDEX(Spring!$1:$1048576,MATCH(All!$A270,Spring!$A:$A,FALSE),MATCH(All!Z$1,Spring!$1:$1,FALSE))="","",INDEX(Spring!$1:$1048576,MATCH(All!$A270,Spring!$A:$A,FALSE),MATCH(All!Z$1,Spring!$1:$1,FALSE))),"")</f>
        <v>1A</v>
      </c>
      <c r="AA270" t="str">
        <f>IFERROR(IF(INDEX(Spring!$1:$1048576,MATCH(All!$A270,Spring!$A:$A,FALSE),MATCH(All!AA$1,Spring!$1:$1,FALSE))="","",INDEX(Spring!$1:$1048576,MATCH(All!$A270,Spring!$A:$A,FALSE),MATCH(All!AA$1,Spring!$1:$1,FALSE))),"")</f>
        <v>1A</v>
      </c>
      <c r="AB270" t="str">
        <f>IFERROR(IF(INDEX(Spring!$1:$1048576,MATCH(All!$A270,Spring!$A:$A,FALSE),MATCH(All!AB$1,Spring!$1:$1,FALSE))="","",INDEX(Spring!$1:$1048576,MATCH(All!$A270,Spring!$A:$A,FALSE),MATCH(All!AB$1,Spring!$1:$1,FALSE))),"")</f>
        <v>2A</v>
      </c>
      <c r="AC270" t="str">
        <f>IFERROR(IF(INDEX(Spring!$1:$1048576,MATCH(All!$A270,Spring!$A:$A,FALSE),MATCH(All!AC$1,Spring!$1:$1,FALSE))="","",INDEX(Spring!$1:$1048576,MATCH(All!$A270,Spring!$A:$A,FALSE),MATCH(All!AC$1,Spring!$1:$1,FALSE))),"")</f>
        <v>2A</v>
      </c>
      <c r="AD270" t="str">
        <f>IFERROR(VLOOKUP(A270,'Flag Football'!A:A,1,FALSE),"")</f>
        <v/>
      </c>
      <c r="AE270" t="str">
        <f t="shared" si="4"/>
        <v/>
      </c>
    </row>
    <row r="271" spans="1:31" ht="15.75" thickBot="1" x14ac:dyDescent="0.3">
      <c r="A271" s="18" t="s">
        <v>346</v>
      </c>
      <c r="B271" s="38">
        <f>IFERROR(VLOOKUP(A271,'Public v Private'!A:G,3,FALSE),"")</f>
        <v>0</v>
      </c>
      <c r="C271" s="38">
        <f>IFERROR(VLOOKUP(A271,'Public v Private'!A:G,4,FALSE),"")</f>
        <v>0</v>
      </c>
      <c r="D271" s="38">
        <f>IFERROR(VLOOKUP(A271,'Public v Private'!A:G,5,FALSE),"")</f>
        <v>0</v>
      </c>
      <c r="E271" s="38"/>
      <c r="F271" s="40">
        <f>IFERROR(INDEX(Fall!$1:$1048576,MATCH(All!$A271,Fall!$A:$A,FALSE),MATCH(All!F$1,Fall!$1:$1,FALSE)),"N/A")</f>
        <v>133</v>
      </c>
      <c r="G271" t="str">
        <f>IFERROR(IF(INDEX(Fall!$1:$1048576,MATCH(All!$A271,Fall!$A:$A,FALSE),MATCH(All!G$1,Fall!$1:$1,FALSE))="","",INDEX(Fall!$1:$1048576,MATCH(All!$A271,Fall!$A:$A,FALSE),MATCH(All!G$1,Fall!$1:$1,FALSE))),"")</f>
        <v>1A</v>
      </c>
      <c r="H271" t="str">
        <f>IFERROR(IF(INDEX(Fall!$1:$1048576,MATCH(All!$A271,Fall!$A:$A,FALSE),MATCH(All!H$1,Fall!$1:$1,FALSE))="","",INDEX(Fall!$1:$1048576,MATCH(All!$A271,Fall!$A:$A,FALSE),MATCH(All!H$1,Fall!$1:$1,FALSE))),"")</f>
        <v>1A</v>
      </c>
      <c r="I271" t="str">
        <f>IFERROR(IF(INDEX(Fall!$1:$1048576,MATCH(All!$A271,Fall!$A:$A,FALSE),MATCH(All!I$1,Fall!$1:$1,FALSE))="","",INDEX(Fall!$1:$1048576,MATCH(All!$A271,Fall!$A:$A,FALSE),MATCH(All!I$1,Fall!$1:$1,FALSE))),"")</f>
        <v>1A</v>
      </c>
      <c r="J271" t="str">
        <f>IFERROR(IF(INDEX(Fall!$1:$1048576,MATCH(All!$A271,Fall!$A:$A,FALSE),MATCH(All!J$1,Fall!$1:$1,FALSE))="","",INDEX(Fall!$1:$1048576,MATCH(All!$A271,Fall!$A:$A,FALSE),MATCH(All!J$1,Fall!$1:$1,FALSE))),"")</f>
        <v>1A</v>
      </c>
      <c r="K271" t="str">
        <f>IFERROR(IF(INDEX(Fall!$1:$1048576,MATCH(All!$A271,Fall!$A:$A,FALSE),MATCH(All!K$1,Fall!$1:$1,FALSE))="","",INDEX(Fall!$1:$1048576,MATCH(All!$A271,Fall!$A:$A,FALSE),MATCH(All!K$1,Fall!$1:$1,FALSE))),"")</f>
        <v/>
      </c>
      <c r="L271" t="str">
        <f>IFERROR(IF(INDEX(Fall!$1:$1048576,MATCH(All!$A271,Fall!$A:$A,FALSE),MATCH(All!L$1,Fall!$1:$1,FALSE))="","",INDEX(Fall!$1:$1048576,MATCH(All!$A271,Fall!$A:$A,FALSE),MATCH(All!L$1,Fall!$1:$1,FALSE))),"")</f>
        <v/>
      </c>
      <c r="M271" t="str">
        <f>IFERROR(IF(INDEX(Fall!$1:$1048576,MATCH(All!$A271,Fall!$A:$A,FALSE),MATCH(All!M$1,Fall!$1:$1,FALSE))="","",INDEX(Fall!$1:$1048576,MATCH(All!$A271,Fall!$A:$A,FALSE),MATCH(All!M$1,Fall!$1:$1,FALSE))),"")</f>
        <v>1A</v>
      </c>
      <c r="O271">
        <f>IFERROR(IF(INDEX(Winter!$1:$1048576,MATCH(All!$A271,Winter!$A:$A,FALSE),MATCH(All!O$1,Winter!$1:$1,FALSE))="","",INDEX(Winter!$1:$1048576,MATCH(All!$A271,Winter!$A:$A,FALSE),MATCH(All!O$1,Winter!$1:$1,FALSE))),"")</f>
        <v>133</v>
      </c>
      <c r="P271" t="str">
        <f>IFERROR(IF(INDEX(Winter!$1:$1048576,MATCH(All!$A271,Winter!$A:$A,FALSE),MATCH(All!P$1,Winter!$1:$1,FALSE))="","",INDEX(Winter!$1:$1048576,MATCH(All!$A271,Winter!$A:$A,FALSE),MATCH(All!P$1,Winter!$1:$1,FALSE))),"")</f>
        <v>1A</v>
      </c>
      <c r="Q271" t="str">
        <f>IFERROR(IF(INDEX(Winter!$1:$1048576,MATCH(All!$A271,Winter!$A:$A,FALSE),MATCH(All!Q$1,Winter!$1:$1,FALSE))="","",INDEX(Winter!$1:$1048576,MATCH(All!$A271,Winter!$A:$A,FALSE),MATCH(All!Q$1,Winter!$1:$1,FALSE))),"")</f>
        <v>1A</v>
      </c>
      <c r="R271" t="str">
        <f>IFERROR(IF(INDEX(Winter!$1:$1048576,MATCH(All!$A271,Winter!$A:$A,FALSE),MATCH(All!R$1,Winter!$1:$1,FALSE))="","",INDEX(Winter!$1:$1048576,MATCH(All!$A271,Winter!$A:$A,FALSE),MATCH(All!R$1,Winter!$1:$1,FALSE))),"")</f>
        <v/>
      </c>
      <c r="S271" t="str">
        <f>IFERROR(IF(INDEX(Winter!$1:$1048576,MATCH(All!$A271,Winter!$A:$A,FALSE),MATCH(All!S$1,Winter!$1:$1,FALSE))="","",INDEX(Winter!$1:$1048576,MATCH(All!$A271,Winter!$A:$A,FALSE),MATCH(All!S$1,Winter!$1:$1,FALSE))),"")</f>
        <v/>
      </c>
      <c r="T271" t="str">
        <f>IFERROR(IF(INDEX(Winter!$1:$1048576,MATCH(All!$A271,Winter!$A:$A,FALSE),MATCH(All!T$1,Winter!$1:$1,FALSE))="","",INDEX(Winter!$1:$1048576,MATCH(All!$A271,Winter!$A:$A,FALSE),MATCH(All!T$1,Winter!$1:$1,FALSE))),"")</f>
        <v>1A</v>
      </c>
      <c r="U271" t="str">
        <f>IFERROR(IF(INDEX(Winter!$1:$1048576,MATCH(All!$A271,Winter!$A:$A,FALSE),MATCH(All!U$1,Winter!$1:$1,FALSE))="","",INDEX(Winter!$1:$1048576,MATCH(All!$A271,Winter!$A:$A,FALSE),MATCH(All!U$1,Winter!$1:$1,FALSE))),"")</f>
        <v/>
      </c>
      <c r="W271">
        <f>IFERROR(IF(INDEX(Spring!$1:$1048576,MATCH(All!$A271,Spring!$A:$A,FALSE),MATCH(All!W$1,Spring!$1:$1,FALSE))="","",INDEX(Spring!$1:$1048576,MATCH(All!$A271,Spring!$A:$A,FALSE),MATCH(All!W$1,Spring!$1:$1,FALSE))),"")</f>
        <v>133</v>
      </c>
      <c r="X271" t="str">
        <f>IFERROR(IF(INDEX(Spring!$1:$1048576,MATCH(All!$A271,Spring!$A:$A,FALSE),MATCH(All!X$1,Spring!$1:$1,FALSE))="","",INDEX(Spring!$1:$1048576,MATCH(All!$A271,Spring!$A:$A,FALSE),MATCH(All!X$1,Spring!$1:$1,FALSE))),"")</f>
        <v>1A</v>
      </c>
      <c r="Y271" t="str">
        <f>IFERROR(IF(INDEX(Spring!$1:$1048576,MATCH(All!$A271,Spring!$A:$A,FALSE),MATCH(All!Y$1,Spring!$1:$1,FALSE))="","",INDEX(Spring!$1:$1048576,MATCH(All!$A271,Spring!$A:$A,FALSE),MATCH(All!Y$1,Spring!$1:$1,FALSE))),"")</f>
        <v>1A</v>
      </c>
      <c r="Z271" t="str">
        <f>IFERROR(IF(INDEX(Spring!$1:$1048576,MATCH(All!$A271,Spring!$A:$A,FALSE),MATCH(All!Z$1,Spring!$1:$1,FALSE))="","",INDEX(Spring!$1:$1048576,MATCH(All!$A271,Spring!$A:$A,FALSE),MATCH(All!Z$1,Spring!$1:$1,FALSE))),"")</f>
        <v/>
      </c>
      <c r="AA271" t="str">
        <f>IFERROR(IF(INDEX(Spring!$1:$1048576,MATCH(All!$A271,Spring!$A:$A,FALSE),MATCH(All!AA$1,Spring!$1:$1,FALSE))="","",INDEX(Spring!$1:$1048576,MATCH(All!$A271,Spring!$A:$A,FALSE),MATCH(All!AA$1,Spring!$1:$1,FALSE))),"")</f>
        <v/>
      </c>
      <c r="AB271" t="str">
        <f>IFERROR(IF(INDEX(Spring!$1:$1048576,MATCH(All!$A271,Spring!$A:$A,FALSE),MATCH(All!AB$1,Spring!$1:$1,FALSE))="","",INDEX(Spring!$1:$1048576,MATCH(All!$A271,Spring!$A:$A,FALSE),MATCH(All!AB$1,Spring!$1:$1,FALSE))),"")</f>
        <v>1A</v>
      </c>
      <c r="AC271" t="str">
        <f>IFERROR(IF(INDEX(Spring!$1:$1048576,MATCH(All!$A271,Spring!$A:$A,FALSE),MATCH(All!AC$1,Spring!$1:$1,FALSE))="","",INDEX(Spring!$1:$1048576,MATCH(All!$A271,Spring!$A:$A,FALSE),MATCH(All!AC$1,Spring!$1:$1,FALSE))),"")</f>
        <v>1A</v>
      </c>
      <c r="AD271" t="str">
        <f>IFERROR(VLOOKUP(A271,'Flag Football'!A:A,1,FALSE),"")</f>
        <v/>
      </c>
      <c r="AE271" t="str">
        <f t="shared" si="4"/>
        <v/>
      </c>
    </row>
    <row r="272" spans="1:31" ht="15.75" thickBot="1" x14ac:dyDescent="0.3">
      <c r="A272" s="20" t="s">
        <v>347</v>
      </c>
      <c r="B272" s="38">
        <f>IFERROR(VLOOKUP(A272,'Public v Private'!A:G,3,FALSE),"")</f>
        <v>0</v>
      </c>
      <c r="C272" s="38">
        <f>IFERROR(VLOOKUP(A272,'Public v Private'!A:G,4,FALSE),"")</f>
        <v>0</v>
      </c>
      <c r="D272" s="38">
        <f>IFERROR(VLOOKUP(A272,'Public v Private'!A:G,5,FALSE),"")</f>
        <v>0</v>
      </c>
      <c r="E272" s="38"/>
      <c r="F272" s="40">
        <f>IFERROR(INDEX(Fall!$1:$1048576,MATCH(All!$A272,Fall!$A:$A,FALSE),MATCH(All!F$1,Fall!$1:$1,FALSE)),"N/A")</f>
        <v>162</v>
      </c>
      <c r="G272" t="str">
        <f>IFERROR(IF(INDEX(Fall!$1:$1048576,MATCH(All!$A272,Fall!$A:$A,FALSE),MATCH(All!G$1,Fall!$1:$1,FALSE))="","",INDEX(Fall!$1:$1048576,MATCH(All!$A272,Fall!$A:$A,FALSE),MATCH(All!G$1,Fall!$1:$1,FALSE))),"")</f>
        <v/>
      </c>
      <c r="H272" t="str">
        <f>IFERROR(IF(INDEX(Fall!$1:$1048576,MATCH(All!$A272,Fall!$A:$A,FALSE),MATCH(All!H$1,Fall!$1:$1,FALSE))="","",INDEX(Fall!$1:$1048576,MATCH(All!$A272,Fall!$A:$A,FALSE),MATCH(All!H$1,Fall!$1:$1,FALSE))),"")</f>
        <v/>
      </c>
      <c r="I272" t="str">
        <f>IFERROR(IF(INDEX(Fall!$1:$1048576,MATCH(All!$A272,Fall!$A:$A,FALSE),MATCH(All!I$1,Fall!$1:$1,FALSE))="","",INDEX(Fall!$1:$1048576,MATCH(All!$A272,Fall!$A:$A,FALSE),MATCH(All!I$1,Fall!$1:$1,FALSE))),"")</f>
        <v>1A</v>
      </c>
      <c r="J272" t="str">
        <f>IFERROR(IF(INDEX(Fall!$1:$1048576,MATCH(All!$A272,Fall!$A:$A,FALSE),MATCH(All!J$1,Fall!$1:$1,FALSE))="","",INDEX(Fall!$1:$1048576,MATCH(All!$A272,Fall!$A:$A,FALSE),MATCH(All!J$1,Fall!$1:$1,FALSE))),"")</f>
        <v/>
      </c>
      <c r="K272" t="str">
        <f>IFERROR(IF(INDEX(Fall!$1:$1048576,MATCH(All!$A272,Fall!$A:$A,FALSE),MATCH(All!K$1,Fall!$1:$1,FALSE))="","",INDEX(Fall!$1:$1048576,MATCH(All!$A272,Fall!$A:$A,FALSE),MATCH(All!K$1,Fall!$1:$1,FALSE))),"")</f>
        <v/>
      </c>
      <c r="L272" t="str">
        <f>IFERROR(IF(INDEX(Fall!$1:$1048576,MATCH(All!$A272,Fall!$A:$A,FALSE),MATCH(All!L$1,Fall!$1:$1,FALSE))="","",INDEX(Fall!$1:$1048576,MATCH(All!$A272,Fall!$A:$A,FALSE),MATCH(All!L$1,Fall!$1:$1,FALSE))),"")</f>
        <v/>
      </c>
      <c r="M272" t="str">
        <f>IFERROR(IF(INDEX(Fall!$1:$1048576,MATCH(All!$A272,Fall!$A:$A,FALSE),MATCH(All!M$1,Fall!$1:$1,FALSE))="","",INDEX(Fall!$1:$1048576,MATCH(All!$A272,Fall!$A:$A,FALSE),MATCH(All!M$1,Fall!$1:$1,FALSE))),"")</f>
        <v>1A</v>
      </c>
      <c r="O272">
        <f>IFERROR(IF(INDEX(Winter!$1:$1048576,MATCH(All!$A272,Winter!$A:$A,FALSE),MATCH(All!O$1,Winter!$1:$1,FALSE))="","",INDEX(Winter!$1:$1048576,MATCH(All!$A272,Winter!$A:$A,FALSE),MATCH(All!O$1,Winter!$1:$1,FALSE))),"")</f>
        <v>162</v>
      </c>
      <c r="P272" t="str">
        <f>IFERROR(IF(INDEX(Winter!$1:$1048576,MATCH(All!$A272,Winter!$A:$A,FALSE),MATCH(All!P$1,Winter!$1:$1,FALSE))="","",INDEX(Winter!$1:$1048576,MATCH(All!$A272,Winter!$A:$A,FALSE),MATCH(All!P$1,Winter!$1:$1,FALSE))),"")</f>
        <v>1A</v>
      </c>
      <c r="Q272" t="str">
        <f>IFERROR(IF(INDEX(Winter!$1:$1048576,MATCH(All!$A272,Winter!$A:$A,FALSE),MATCH(All!Q$1,Winter!$1:$1,FALSE))="","",INDEX(Winter!$1:$1048576,MATCH(All!$A272,Winter!$A:$A,FALSE),MATCH(All!Q$1,Winter!$1:$1,FALSE))),"")</f>
        <v>1A</v>
      </c>
      <c r="R272" t="str">
        <f>IFERROR(IF(INDEX(Winter!$1:$1048576,MATCH(All!$A272,Winter!$A:$A,FALSE),MATCH(All!R$1,Winter!$1:$1,FALSE))="","",INDEX(Winter!$1:$1048576,MATCH(All!$A272,Winter!$A:$A,FALSE),MATCH(All!R$1,Winter!$1:$1,FALSE))),"")</f>
        <v/>
      </c>
      <c r="S272" t="str">
        <f>IFERROR(IF(INDEX(Winter!$1:$1048576,MATCH(All!$A272,Winter!$A:$A,FALSE),MATCH(All!S$1,Winter!$1:$1,FALSE))="","",INDEX(Winter!$1:$1048576,MATCH(All!$A272,Winter!$A:$A,FALSE),MATCH(All!S$1,Winter!$1:$1,FALSE))),"")</f>
        <v/>
      </c>
      <c r="T272" t="str">
        <f>IFERROR(IF(INDEX(Winter!$1:$1048576,MATCH(All!$A272,Winter!$A:$A,FALSE),MATCH(All!T$1,Winter!$1:$1,FALSE))="","",INDEX(Winter!$1:$1048576,MATCH(All!$A272,Winter!$A:$A,FALSE),MATCH(All!T$1,Winter!$1:$1,FALSE))),"")</f>
        <v>1A</v>
      </c>
      <c r="U272" t="str">
        <f>IFERROR(IF(INDEX(Winter!$1:$1048576,MATCH(All!$A272,Winter!$A:$A,FALSE),MATCH(All!U$1,Winter!$1:$1,FALSE))="","",INDEX(Winter!$1:$1048576,MATCH(All!$A272,Winter!$A:$A,FALSE),MATCH(All!U$1,Winter!$1:$1,FALSE))),"")</f>
        <v>1A</v>
      </c>
      <c r="W272">
        <f>IFERROR(IF(INDEX(Spring!$1:$1048576,MATCH(All!$A272,Spring!$A:$A,FALSE),MATCH(All!W$1,Spring!$1:$1,FALSE))="","",INDEX(Spring!$1:$1048576,MATCH(All!$A272,Spring!$A:$A,FALSE),MATCH(All!W$1,Spring!$1:$1,FALSE))),"")</f>
        <v>162</v>
      </c>
      <c r="X272" t="str">
        <f>IFERROR(IF(INDEX(Spring!$1:$1048576,MATCH(All!$A272,Spring!$A:$A,FALSE),MATCH(All!X$1,Spring!$1:$1,FALSE))="","",INDEX(Spring!$1:$1048576,MATCH(All!$A272,Spring!$A:$A,FALSE),MATCH(All!X$1,Spring!$1:$1,FALSE))),"")</f>
        <v>1A</v>
      </c>
      <c r="Y272" t="str">
        <f>IFERROR(IF(INDEX(Spring!$1:$1048576,MATCH(All!$A272,Spring!$A:$A,FALSE),MATCH(All!Y$1,Spring!$1:$1,FALSE))="","",INDEX(Spring!$1:$1048576,MATCH(All!$A272,Spring!$A:$A,FALSE),MATCH(All!Y$1,Spring!$1:$1,FALSE))),"")</f>
        <v/>
      </c>
      <c r="Z272" t="str">
        <f>IFERROR(IF(INDEX(Spring!$1:$1048576,MATCH(All!$A272,Spring!$A:$A,FALSE),MATCH(All!Z$1,Spring!$1:$1,FALSE))="","",INDEX(Spring!$1:$1048576,MATCH(All!$A272,Spring!$A:$A,FALSE),MATCH(All!Z$1,Spring!$1:$1,FALSE))),"")</f>
        <v/>
      </c>
      <c r="AA272" t="str">
        <f>IFERROR(IF(INDEX(Spring!$1:$1048576,MATCH(All!$A272,Spring!$A:$A,FALSE),MATCH(All!AA$1,Spring!$1:$1,FALSE))="","",INDEX(Spring!$1:$1048576,MATCH(All!$A272,Spring!$A:$A,FALSE),MATCH(All!AA$1,Spring!$1:$1,FALSE))),"")</f>
        <v/>
      </c>
      <c r="AB272" t="str">
        <f>IFERROR(IF(INDEX(Spring!$1:$1048576,MATCH(All!$A272,Spring!$A:$A,FALSE),MATCH(All!AB$1,Spring!$1:$1,FALSE))="","",INDEX(Spring!$1:$1048576,MATCH(All!$A272,Spring!$A:$A,FALSE),MATCH(All!AB$1,Spring!$1:$1,FALSE))),"")</f>
        <v>1A</v>
      </c>
      <c r="AC272" t="str">
        <f>IFERROR(IF(INDEX(Spring!$1:$1048576,MATCH(All!$A272,Spring!$A:$A,FALSE),MATCH(All!AC$1,Spring!$1:$1,FALSE))="","",INDEX(Spring!$1:$1048576,MATCH(All!$A272,Spring!$A:$A,FALSE),MATCH(All!AC$1,Spring!$1:$1,FALSE))),"")</f>
        <v>1A</v>
      </c>
      <c r="AD272" t="str">
        <f>IFERROR(VLOOKUP(A272,'Flag Football'!A:A,1,FALSE),"")</f>
        <v/>
      </c>
      <c r="AE272" t="str">
        <f t="shared" si="4"/>
        <v/>
      </c>
    </row>
    <row r="273" spans="1:31" ht="15.75" thickBot="1" x14ac:dyDescent="0.3">
      <c r="A273" s="18" t="s">
        <v>348</v>
      </c>
      <c r="B273" s="38">
        <f>IFERROR(VLOOKUP(A273,'Public v Private'!A:G,3,FALSE),"")</f>
        <v>0</v>
      </c>
      <c r="C273" s="38">
        <f>IFERROR(VLOOKUP(A273,'Public v Private'!A:G,4,FALSE),"")</f>
        <v>0</v>
      </c>
      <c r="D273" s="38">
        <f>IFERROR(VLOOKUP(A273,'Public v Private'!A:G,5,FALSE),"")</f>
        <v>0</v>
      </c>
      <c r="E273" s="38"/>
      <c r="F273" s="40">
        <f>IFERROR(INDEX(Fall!$1:$1048576,MATCH(All!$A273,Fall!$A:$A,FALSE),MATCH(All!F$1,Fall!$1:$1,FALSE)),"N/A")</f>
        <v>1917</v>
      </c>
      <c r="G273" t="str">
        <f>IFERROR(IF(INDEX(Fall!$1:$1048576,MATCH(All!$A273,Fall!$A:$A,FALSE),MATCH(All!G$1,Fall!$1:$1,FALSE))="","",INDEX(Fall!$1:$1048576,MATCH(All!$A273,Fall!$A:$A,FALSE),MATCH(All!G$1,Fall!$1:$1,FALSE))),"")</f>
        <v>3A</v>
      </c>
      <c r="H273" t="str">
        <f>IFERROR(IF(INDEX(Fall!$1:$1048576,MATCH(All!$A273,Fall!$A:$A,FALSE),MATCH(All!H$1,Fall!$1:$1,FALSE))="","",INDEX(Fall!$1:$1048576,MATCH(All!$A273,Fall!$A:$A,FALSE),MATCH(All!H$1,Fall!$1:$1,FALSE))),"")</f>
        <v>3A</v>
      </c>
      <c r="I273" t="str">
        <f>IFERROR(IF(INDEX(Fall!$1:$1048576,MATCH(All!$A273,Fall!$A:$A,FALSE),MATCH(All!I$1,Fall!$1:$1,FALSE))="","",INDEX(Fall!$1:$1048576,MATCH(All!$A273,Fall!$A:$A,FALSE),MATCH(All!I$1,Fall!$1:$1,FALSE))),"")</f>
        <v>3A</v>
      </c>
      <c r="J273" t="str">
        <f>IFERROR(IF(INDEX(Fall!$1:$1048576,MATCH(All!$A273,Fall!$A:$A,FALSE),MATCH(All!J$1,Fall!$1:$1,FALSE))="","",INDEX(Fall!$1:$1048576,MATCH(All!$A273,Fall!$A:$A,FALSE),MATCH(All!J$1,Fall!$1:$1,FALSE))),"")</f>
        <v>2A</v>
      </c>
      <c r="K273" t="str">
        <f>IFERROR(IF(INDEX(Fall!$1:$1048576,MATCH(All!$A273,Fall!$A:$A,FALSE),MATCH(All!K$1,Fall!$1:$1,FALSE))="","",INDEX(Fall!$1:$1048576,MATCH(All!$A273,Fall!$A:$A,FALSE),MATCH(All!K$1,Fall!$1:$1,FALSE))),"")</f>
        <v>3A</v>
      </c>
      <c r="L273" t="str">
        <f>IFERROR(IF(INDEX(Fall!$1:$1048576,MATCH(All!$A273,Fall!$A:$A,FALSE),MATCH(All!L$1,Fall!$1:$1,FALSE))="","",INDEX(Fall!$1:$1048576,MATCH(All!$A273,Fall!$A:$A,FALSE),MATCH(All!L$1,Fall!$1:$1,FALSE))),"")</f>
        <v>2A</v>
      </c>
      <c r="M273" t="str">
        <f>IFERROR(IF(INDEX(Fall!$1:$1048576,MATCH(All!$A273,Fall!$A:$A,FALSE),MATCH(All!M$1,Fall!$1:$1,FALSE))="","",INDEX(Fall!$1:$1048576,MATCH(All!$A273,Fall!$A:$A,FALSE),MATCH(All!M$1,Fall!$1:$1,FALSE))),"")</f>
        <v>4A</v>
      </c>
      <c r="O273">
        <f>IFERROR(IF(INDEX(Winter!$1:$1048576,MATCH(All!$A273,Winter!$A:$A,FALSE),MATCH(All!O$1,Winter!$1:$1,FALSE))="","",INDEX(Winter!$1:$1048576,MATCH(All!$A273,Winter!$A:$A,FALSE),MATCH(All!O$1,Winter!$1:$1,FALSE))),"")</f>
        <v>1917</v>
      </c>
      <c r="P273" t="str">
        <f>IFERROR(IF(INDEX(Winter!$1:$1048576,MATCH(All!$A273,Winter!$A:$A,FALSE),MATCH(All!P$1,Winter!$1:$1,FALSE))="","",INDEX(Winter!$1:$1048576,MATCH(All!$A273,Winter!$A:$A,FALSE),MATCH(All!P$1,Winter!$1:$1,FALSE))),"")</f>
        <v>4A</v>
      </c>
      <c r="Q273" t="str">
        <f>IFERROR(IF(INDEX(Winter!$1:$1048576,MATCH(All!$A273,Winter!$A:$A,FALSE),MATCH(All!Q$1,Winter!$1:$1,FALSE))="","",INDEX(Winter!$1:$1048576,MATCH(All!$A273,Winter!$A:$A,FALSE),MATCH(All!Q$1,Winter!$1:$1,FALSE))),"")</f>
        <v>4A</v>
      </c>
      <c r="R273" t="str">
        <f>IFERROR(IF(INDEX(Winter!$1:$1048576,MATCH(All!$A273,Winter!$A:$A,FALSE),MATCH(All!R$1,Winter!$1:$1,FALSE))="","",INDEX(Winter!$1:$1048576,MATCH(All!$A273,Winter!$A:$A,FALSE),MATCH(All!R$1,Winter!$1:$1,FALSE))),"")</f>
        <v>3A</v>
      </c>
      <c r="S273" t="str">
        <f>IFERROR(IF(INDEX(Winter!$1:$1048576,MATCH(All!$A273,Winter!$A:$A,FALSE),MATCH(All!S$1,Winter!$1:$1,FALSE))="","",INDEX(Winter!$1:$1048576,MATCH(All!$A273,Winter!$A:$A,FALSE),MATCH(All!S$1,Winter!$1:$1,FALSE))),"")</f>
        <v>2A</v>
      </c>
      <c r="T273" t="str">
        <f>IFERROR(IF(INDEX(Winter!$1:$1048576,MATCH(All!$A273,Winter!$A:$A,FALSE),MATCH(All!T$1,Winter!$1:$1,FALSE))="","",INDEX(Winter!$1:$1048576,MATCH(All!$A273,Winter!$A:$A,FALSE),MATCH(All!T$1,Winter!$1:$1,FALSE))),"")</f>
        <v>2A</v>
      </c>
      <c r="U273" t="str">
        <f>IFERROR(IF(INDEX(Winter!$1:$1048576,MATCH(All!$A273,Winter!$A:$A,FALSE),MATCH(All!U$1,Winter!$1:$1,FALSE))="","",INDEX(Winter!$1:$1048576,MATCH(All!$A273,Winter!$A:$A,FALSE),MATCH(All!U$1,Winter!$1:$1,FALSE))),"")</f>
        <v>3A</v>
      </c>
      <c r="W273">
        <f>IFERROR(IF(INDEX(Spring!$1:$1048576,MATCH(All!$A273,Spring!$A:$A,FALSE),MATCH(All!W$1,Spring!$1:$1,FALSE))="","",INDEX(Spring!$1:$1048576,MATCH(All!$A273,Spring!$A:$A,FALSE),MATCH(All!W$1,Spring!$1:$1,FALSE))),"")</f>
        <v>1917</v>
      </c>
      <c r="X273" t="str">
        <f>IFERROR(IF(INDEX(Spring!$1:$1048576,MATCH(All!$A273,Spring!$A:$A,FALSE),MATCH(All!X$1,Spring!$1:$1,FALSE))="","",INDEX(Spring!$1:$1048576,MATCH(All!$A273,Spring!$A:$A,FALSE),MATCH(All!X$1,Spring!$1:$1,FALSE))),"")</f>
        <v>4A</v>
      </c>
      <c r="Y273" t="str">
        <f>IFERROR(IF(INDEX(Spring!$1:$1048576,MATCH(All!$A273,Spring!$A:$A,FALSE),MATCH(All!Y$1,Spring!$1:$1,FALSE))="","",INDEX(Spring!$1:$1048576,MATCH(All!$A273,Spring!$A:$A,FALSE),MATCH(All!Y$1,Spring!$1:$1,FALSE))),"")</f>
        <v>4A</v>
      </c>
      <c r="Z273" t="str">
        <f>IFERROR(IF(INDEX(Spring!$1:$1048576,MATCH(All!$A273,Spring!$A:$A,FALSE),MATCH(All!Z$1,Spring!$1:$1,FALSE))="","",INDEX(Spring!$1:$1048576,MATCH(All!$A273,Spring!$A:$A,FALSE),MATCH(All!Z$1,Spring!$1:$1,FALSE))),"")</f>
        <v>3A</v>
      </c>
      <c r="AA273" t="str">
        <f>IFERROR(IF(INDEX(Spring!$1:$1048576,MATCH(All!$A273,Spring!$A:$A,FALSE),MATCH(All!AA$1,Spring!$1:$1,FALSE))="","",INDEX(Spring!$1:$1048576,MATCH(All!$A273,Spring!$A:$A,FALSE),MATCH(All!AA$1,Spring!$1:$1,FALSE))),"")</f>
        <v>2A</v>
      </c>
      <c r="AB273" t="str">
        <f>IFERROR(IF(INDEX(Spring!$1:$1048576,MATCH(All!$A273,Spring!$A:$A,FALSE),MATCH(All!AB$1,Spring!$1:$1,FALSE))="","",INDEX(Spring!$1:$1048576,MATCH(All!$A273,Spring!$A:$A,FALSE),MATCH(All!AB$1,Spring!$1:$1,FALSE))),"")</f>
        <v>3A</v>
      </c>
      <c r="AC273" t="str">
        <f>IFERROR(IF(INDEX(Spring!$1:$1048576,MATCH(All!$A273,Spring!$A:$A,FALSE),MATCH(All!AC$1,Spring!$1:$1,FALSE))="","",INDEX(Spring!$1:$1048576,MATCH(All!$A273,Spring!$A:$A,FALSE),MATCH(All!AC$1,Spring!$1:$1,FALSE))),"")</f>
        <v>3A</v>
      </c>
      <c r="AD273" t="str">
        <f>IFERROR(VLOOKUP(A273,'Flag Football'!A:A,1,FALSE),"")</f>
        <v/>
      </c>
      <c r="AE273" t="str">
        <f t="shared" si="4"/>
        <v/>
      </c>
    </row>
    <row r="274" spans="1:31" ht="15.75" thickBot="1" x14ac:dyDescent="0.3">
      <c r="A274" s="20" t="s">
        <v>349</v>
      </c>
      <c r="B274" s="38">
        <f>IFERROR(VLOOKUP(A274,'Public v Private'!A:G,3,FALSE),"")</f>
        <v>0</v>
      </c>
      <c r="C274" s="38">
        <f>IFERROR(VLOOKUP(A274,'Public v Private'!A:G,4,FALSE),"")</f>
        <v>0</v>
      </c>
      <c r="D274" s="38">
        <f>IFERROR(VLOOKUP(A274,'Public v Private'!A:G,5,FALSE),"")</f>
        <v>0</v>
      </c>
      <c r="E274" s="38"/>
      <c r="F274" s="40">
        <f>IFERROR(INDEX(Fall!$1:$1048576,MATCH(All!$A274,Fall!$A:$A,FALSE),MATCH(All!F$1,Fall!$1:$1,FALSE)),"N/A")</f>
        <v>600</v>
      </c>
      <c r="G274" t="str">
        <f>IFERROR(IF(INDEX(Fall!$1:$1048576,MATCH(All!$A274,Fall!$A:$A,FALSE),MATCH(All!G$1,Fall!$1:$1,FALSE))="","",INDEX(Fall!$1:$1048576,MATCH(All!$A274,Fall!$A:$A,FALSE),MATCH(All!G$1,Fall!$1:$1,FALSE))),"")</f>
        <v>1A</v>
      </c>
      <c r="H274" t="str">
        <f>IFERROR(IF(INDEX(Fall!$1:$1048576,MATCH(All!$A274,Fall!$A:$A,FALSE),MATCH(All!H$1,Fall!$1:$1,FALSE))="","",INDEX(Fall!$1:$1048576,MATCH(All!$A274,Fall!$A:$A,FALSE),MATCH(All!H$1,Fall!$1:$1,FALSE))),"")</f>
        <v>1A</v>
      </c>
      <c r="I274" t="str">
        <f>IFERROR(IF(INDEX(Fall!$1:$1048576,MATCH(All!$A274,Fall!$A:$A,FALSE),MATCH(All!I$1,Fall!$1:$1,FALSE))="","",INDEX(Fall!$1:$1048576,MATCH(All!$A274,Fall!$A:$A,FALSE),MATCH(All!I$1,Fall!$1:$1,FALSE))),"")</f>
        <v>2A</v>
      </c>
      <c r="J274" t="str">
        <f>IFERROR(IF(INDEX(Fall!$1:$1048576,MATCH(All!$A274,Fall!$A:$A,FALSE),MATCH(All!J$1,Fall!$1:$1,FALSE))="","",INDEX(Fall!$1:$1048576,MATCH(All!$A274,Fall!$A:$A,FALSE),MATCH(All!J$1,Fall!$1:$1,FALSE))),"")</f>
        <v>1A</v>
      </c>
      <c r="K274" t="str">
        <f>IFERROR(IF(INDEX(Fall!$1:$1048576,MATCH(All!$A274,Fall!$A:$A,FALSE),MATCH(All!K$1,Fall!$1:$1,FALSE))="","",INDEX(Fall!$1:$1048576,MATCH(All!$A274,Fall!$A:$A,FALSE),MATCH(All!K$1,Fall!$1:$1,FALSE))),"")</f>
        <v>1A</v>
      </c>
      <c r="L274" t="str">
        <f>IFERROR(IF(INDEX(Fall!$1:$1048576,MATCH(All!$A274,Fall!$A:$A,FALSE),MATCH(All!L$1,Fall!$1:$1,FALSE))="","",INDEX(Fall!$1:$1048576,MATCH(All!$A274,Fall!$A:$A,FALSE),MATCH(All!L$1,Fall!$1:$1,FALSE))),"")</f>
        <v/>
      </c>
      <c r="M274" t="str">
        <f>IFERROR(IF(INDEX(Fall!$1:$1048576,MATCH(All!$A274,Fall!$A:$A,FALSE),MATCH(All!M$1,Fall!$1:$1,FALSE))="","",INDEX(Fall!$1:$1048576,MATCH(All!$A274,Fall!$A:$A,FALSE),MATCH(All!M$1,Fall!$1:$1,FALSE))),"")</f>
        <v>2A</v>
      </c>
      <c r="O274">
        <f>IFERROR(IF(INDEX(Winter!$1:$1048576,MATCH(All!$A274,Winter!$A:$A,FALSE),MATCH(All!O$1,Winter!$1:$1,FALSE))="","",INDEX(Winter!$1:$1048576,MATCH(All!$A274,Winter!$A:$A,FALSE),MATCH(All!O$1,Winter!$1:$1,FALSE))),"")</f>
        <v>600</v>
      </c>
      <c r="P274" t="str">
        <f>IFERROR(IF(INDEX(Winter!$1:$1048576,MATCH(All!$A274,Winter!$A:$A,FALSE),MATCH(All!P$1,Winter!$1:$1,FALSE))="","",INDEX(Winter!$1:$1048576,MATCH(All!$A274,Winter!$A:$A,FALSE),MATCH(All!P$1,Winter!$1:$1,FALSE))),"")</f>
        <v>2A</v>
      </c>
      <c r="Q274" t="str">
        <f>IFERROR(IF(INDEX(Winter!$1:$1048576,MATCH(All!$A274,Winter!$A:$A,FALSE),MATCH(All!Q$1,Winter!$1:$1,FALSE))="","",INDEX(Winter!$1:$1048576,MATCH(All!$A274,Winter!$A:$A,FALSE),MATCH(All!Q$1,Winter!$1:$1,FALSE))),"")</f>
        <v>2A</v>
      </c>
      <c r="R274" t="str">
        <f>IFERROR(IF(INDEX(Winter!$1:$1048576,MATCH(All!$A274,Winter!$A:$A,FALSE),MATCH(All!R$1,Winter!$1:$1,FALSE))="","",INDEX(Winter!$1:$1048576,MATCH(All!$A274,Winter!$A:$A,FALSE),MATCH(All!R$1,Winter!$1:$1,FALSE))),"")</f>
        <v>1A</v>
      </c>
      <c r="S274" t="str">
        <f>IFERROR(IF(INDEX(Winter!$1:$1048576,MATCH(All!$A274,Winter!$A:$A,FALSE),MATCH(All!S$1,Winter!$1:$1,FALSE))="","",INDEX(Winter!$1:$1048576,MATCH(All!$A274,Winter!$A:$A,FALSE),MATCH(All!S$1,Winter!$1:$1,FALSE))),"")</f>
        <v/>
      </c>
      <c r="T274" t="str">
        <f>IFERROR(IF(INDEX(Winter!$1:$1048576,MATCH(All!$A274,Winter!$A:$A,FALSE),MATCH(All!T$1,Winter!$1:$1,FALSE))="","",INDEX(Winter!$1:$1048576,MATCH(All!$A274,Winter!$A:$A,FALSE),MATCH(All!T$1,Winter!$1:$1,FALSE))),"")</f>
        <v>2A</v>
      </c>
      <c r="U274" t="str">
        <f>IFERROR(IF(INDEX(Winter!$1:$1048576,MATCH(All!$A274,Winter!$A:$A,FALSE),MATCH(All!U$1,Winter!$1:$1,FALSE))="","",INDEX(Winter!$1:$1048576,MATCH(All!$A274,Winter!$A:$A,FALSE),MATCH(All!U$1,Winter!$1:$1,FALSE))),"")</f>
        <v/>
      </c>
      <c r="W274">
        <f>IFERROR(IF(INDEX(Spring!$1:$1048576,MATCH(All!$A274,Spring!$A:$A,FALSE),MATCH(All!W$1,Spring!$1:$1,FALSE))="","",INDEX(Spring!$1:$1048576,MATCH(All!$A274,Spring!$A:$A,FALSE),MATCH(All!W$1,Spring!$1:$1,FALSE))),"")</f>
        <v>600</v>
      </c>
      <c r="X274" t="str">
        <f>IFERROR(IF(INDEX(Spring!$1:$1048576,MATCH(All!$A274,Spring!$A:$A,FALSE),MATCH(All!X$1,Spring!$1:$1,FALSE))="","",INDEX(Spring!$1:$1048576,MATCH(All!$A274,Spring!$A:$A,FALSE),MATCH(All!X$1,Spring!$1:$1,FALSE))),"")</f>
        <v>2A</v>
      </c>
      <c r="Y274" t="str">
        <f>IFERROR(IF(INDEX(Spring!$1:$1048576,MATCH(All!$A274,Spring!$A:$A,FALSE),MATCH(All!Y$1,Spring!$1:$1,FALSE))="","",INDEX(Spring!$1:$1048576,MATCH(All!$A274,Spring!$A:$A,FALSE),MATCH(All!Y$1,Spring!$1:$1,FALSE))),"")</f>
        <v>2A</v>
      </c>
      <c r="Z274" t="str">
        <f>IFERROR(IF(INDEX(Spring!$1:$1048576,MATCH(All!$A274,Spring!$A:$A,FALSE),MATCH(All!Z$1,Spring!$1:$1,FALSE))="","",INDEX(Spring!$1:$1048576,MATCH(All!$A274,Spring!$A:$A,FALSE),MATCH(All!Z$1,Spring!$1:$1,FALSE))),"")</f>
        <v>1A</v>
      </c>
      <c r="AA274" t="str">
        <f>IFERROR(IF(INDEX(Spring!$1:$1048576,MATCH(All!$A274,Spring!$A:$A,FALSE),MATCH(All!AA$1,Spring!$1:$1,FALSE))="","",INDEX(Spring!$1:$1048576,MATCH(All!$A274,Spring!$A:$A,FALSE),MATCH(All!AA$1,Spring!$1:$1,FALSE))),"")</f>
        <v/>
      </c>
      <c r="AB274" t="str">
        <f>IFERROR(IF(INDEX(Spring!$1:$1048576,MATCH(All!$A274,Spring!$A:$A,FALSE),MATCH(All!AB$1,Spring!$1:$1,FALSE))="","",INDEX(Spring!$1:$1048576,MATCH(All!$A274,Spring!$A:$A,FALSE),MATCH(All!AB$1,Spring!$1:$1,FALSE))),"")</f>
        <v>2A</v>
      </c>
      <c r="AC274" t="str">
        <f>IFERROR(IF(INDEX(Spring!$1:$1048576,MATCH(All!$A274,Spring!$A:$A,FALSE),MATCH(All!AC$1,Spring!$1:$1,FALSE))="","",INDEX(Spring!$1:$1048576,MATCH(All!$A274,Spring!$A:$A,FALSE),MATCH(All!AC$1,Spring!$1:$1,FALSE))),"")</f>
        <v>2A</v>
      </c>
      <c r="AD274" t="str">
        <f>IFERROR(VLOOKUP(A274,'Flag Football'!A:A,1,FALSE),"")</f>
        <v/>
      </c>
      <c r="AE274" t="str">
        <f t="shared" si="4"/>
        <v/>
      </c>
    </row>
    <row r="275" spans="1:31" ht="15.75" thickBot="1" x14ac:dyDescent="0.3">
      <c r="A275" s="18" t="s">
        <v>350</v>
      </c>
      <c r="B275" s="38">
        <f>IFERROR(VLOOKUP(A275,'Public v Private'!A:G,3,FALSE),"")</f>
        <v>0</v>
      </c>
      <c r="C275" s="38">
        <f>IFERROR(VLOOKUP(A275,'Public v Private'!A:G,4,FALSE),"")</f>
        <v>0</v>
      </c>
      <c r="D275" s="38">
        <f>IFERROR(VLOOKUP(A275,'Public v Private'!A:G,5,FALSE),"")</f>
        <v>0</v>
      </c>
      <c r="E275" s="38"/>
      <c r="F275" s="40">
        <f>IFERROR(INDEX(Fall!$1:$1048576,MATCH(All!$A275,Fall!$A:$A,FALSE),MATCH(All!F$1,Fall!$1:$1,FALSE)),"N/A")</f>
        <v>120</v>
      </c>
      <c r="G275" t="str">
        <f>IFERROR(IF(INDEX(Fall!$1:$1048576,MATCH(All!$A275,Fall!$A:$A,FALSE),MATCH(All!G$1,Fall!$1:$1,FALSE))="","",INDEX(Fall!$1:$1048576,MATCH(All!$A275,Fall!$A:$A,FALSE),MATCH(All!G$1,Fall!$1:$1,FALSE))),"")</f>
        <v/>
      </c>
      <c r="H275" t="str">
        <f>IFERROR(IF(INDEX(Fall!$1:$1048576,MATCH(All!$A275,Fall!$A:$A,FALSE),MATCH(All!H$1,Fall!$1:$1,FALSE))="","",INDEX(Fall!$1:$1048576,MATCH(All!$A275,Fall!$A:$A,FALSE),MATCH(All!H$1,Fall!$1:$1,FALSE))),"")</f>
        <v/>
      </c>
      <c r="I275" t="str">
        <f>IFERROR(IF(INDEX(Fall!$1:$1048576,MATCH(All!$A275,Fall!$A:$A,FALSE),MATCH(All!I$1,Fall!$1:$1,FALSE))="","",INDEX(Fall!$1:$1048576,MATCH(All!$A275,Fall!$A:$A,FALSE),MATCH(All!I$1,Fall!$1:$1,FALSE))),"")</f>
        <v/>
      </c>
      <c r="J275" t="str">
        <f>IFERROR(IF(INDEX(Fall!$1:$1048576,MATCH(All!$A275,Fall!$A:$A,FALSE),MATCH(All!J$1,Fall!$1:$1,FALSE))="","",INDEX(Fall!$1:$1048576,MATCH(All!$A275,Fall!$A:$A,FALSE),MATCH(All!J$1,Fall!$1:$1,FALSE))),"")</f>
        <v/>
      </c>
      <c r="K275" t="str">
        <f>IFERROR(IF(INDEX(Fall!$1:$1048576,MATCH(All!$A275,Fall!$A:$A,FALSE),MATCH(All!K$1,Fall!$1:$1,FALSE))="","",INDEX(Fall!$1:$1048576,MATCH(All!$A275,Fall!$A:$A,FALSE),MATCH(All!K$1,Fall!$1:$1,FALSE))),"")</f>
        <v/>
      </c>
      <c r="L275" t="str">
        <f>IFERROR(IF(INDEX(Fall!$1:$1048576,MATCH(All!$A275,Fall!$A:$A,FALSE),MATCH(All!L$1,Fall!$1:$1,FALSE))="","",INDEX(Fall!$1:$1048576,MATCH(All!$A275,Fall!$A:$A,FALSE),MATCH(All!L$1,Fall!$1:$1,FALSE))),"")</f>
        <v/>
      </c>
      <c r="M275" t="str">
        <f>IFERROR(IF(INDEX(Fall!$1:$1048576,MATCH(All!$A275,Fall!$A:$A,FALSE),MATCH(All!M$1,Fall!$1:$1,FALSE))="","",INDEX(Fall!$1:$1048576,MATCH(All!$A275,Fall!$A:$A,FALSE),MATCH(All!M$1,Fall!$1:$1,FALSE))),"")</f>
        <v>1A</v>
      </c>
      <c r="O275">
        <f>IFERROR(IF(INDEX(Winter!$1:$1048576,MATCH(All!$A275,Winter!$A:$A,FALSE),MATCH(All!O$1,Winter!$1:$1,FALSE))="","",INDEX(Winter!$1:$1048576,MATCH(All!$A275,Winter!$A:$A,FALSE),MATCH(All!O$1,Winter!$1:$1,FALSE))),"")</f>
        <v>120</v>
      </c>
      <c r="P275" t="str">
        <f>IFERROR(IF(INDEX(Winter!$1:$1048576,MATCH(All!$A275,Winter!$A:$A,FALSE),MATCH(All!P$1,Winter!$1:$1,FALSE))="","",INDEX(Winter!$1:$1048576,MATCH(All!$A275,Winter!$A:$A,FALSE),MATCH(All!P$1,Winter!$1:$1,FALSE))),"")</f>
        <v>1A</v>
      </c>
      <c r="Q275" t="str">
        <f>IFERROR(IF(INDEX(Winter!$1:$1048576,MATCH(All!$A275,Winter!$A:$A,FALSE),MATCH(All!Q$1,Winter!$1:$1,FALSE))="","",INDEX(Winter!$1:$1048576,MATCH(All!$A275,Winter!$A:$A,FALSE),MATCH(All!Q$1,Winter!$1:$1,FALSE))),"")</f>
        <v>1A</v>
      </c>
      <c r="R275" t="str">
        <f>IFERROR(IF(INDEX(Winter!$1:$1048576,MATCH(All!$A275,Winter!$A:$A,FALSE),MATCH(All!R$1,Winter!$1:$1,FALSE))="","",INDEX(Winter!$1:$1048576,MATCH(All!$A275,Winter!$A:$A,FALSE),MATCH(All!R$1,Winter!$1:$1,FALSE))),"")</f>
        <v/>
      </c>
      <c r="S275" t="str">
        <f>IFERROR(IF(INDEX(Winter!$1:$1048576,MATCH(All!$A275,Winter!$A:$A,FALSE),MATCH(All!S$1,Winter!$1:$1,FALSE))="","",INDEX(Winter!$1:$1048576,MATCH(All!$A275,Winter!$A:$A,FALSE),MATCH(All!S$1,Winter!$1:$1,FALSE))),"")</f>
        <v/>
      </c>
      <c r="T275" t="str">
        <f>IFERROR(IF(INDEX(Winter!$1:$1048576,MATCH(All!$A275,Winter!$A:$A,FALSE),MATCH(All!T$1,Winter!$1:$1,FALSE))="","",INDEX(Winter!$1:$1048576,MATCH(All!$A275,Winter!$A:$A,FALSE),MATCH(All!T$1,Winter!$1:$1,FALSE))),"")</f>
        <v>1A</v>
      </c>
      <c r="U275" t="str">
        <f>IFERROR(IF(INDEX(Winter!$1:$1048576,MATCH(All!$A275,Winter!$A:$A,FALSE),MATCH(All!U$1,Winter!$1:$1,FALSE))="","",INDEX(Winter!$1:$1048576,MATCH(All!$A275,Winter!$A:$A,FALSE),MATCH(All!U$1,Winter!$1:$1,FALSE))),"")</f>
        <v/>
      </c>
      <c r="W275">
        <f>IFERROR(IF(INDEX(Spring!$1:$1048576,MATCH(All!$A275,Spring!$A:$A,FALSE),MATCH(All!W$1,Spring!$1:$1,FALSE))="","",INDEX(Spring!$1:$1048576,MATCH(All!$A275,Spring!$A:$A,FALSE),MATCH(All!W$1,Spring!$1:$1,FALSE))),"")</f>
        <v>120</v>
      </c>
      <c r="X275" t="str">
        <f>IFERROR(IF(INDEX(Spring!$1:$1048576,MATCH(All!$A275,Spring!$A:$A,FALSE),MATCH(All!X$1,Spring!$1:$1,FALSE))="","",INDEX(Spring!$1:$1048576,MATCH(All!$A275,Spring!$A:$A,FALSE),MATCH(All!X$1,Spring!$1:$1,FALSE))),"")</f>
        <v>1A</v>
      </c>
      <c r="Y275" t="str">
        <f>IFERROR(IF(INDEX(Spring!$1:$1048576,MATCH(All!$A275,Spring!$A:$A,FALSE),MATCH(All!Y$1,Spring!$1:$1,FALSE))="","",INDEX(Spring!$1:$1048576,MATCH(All!$A275,Spring!$A:$A,FALSE),MATCH(All!Y$1,Spring!$1:$1,FALSE))),"")</f>
        <v>1A</v>
      </c>
      <c r="Z275" t="str">
        <f>IFERROR(IF(INDEX(Spring!$1:$1048576,MATCH(All!$A275,Spring!$A:$A,FALSE),MATCH(All!Z$1,Spring!$1:$1,FALSE))="","",INDEX(Spring!$1:$1048576,MATCH(All!$A275,Spring!$A:$A,FALSE),MATCH(All!Z$1,Spring!$1:$1,FALSE))),"")</f>
        <v/>
      </c>
      <c r="AA275" t="str">
        <f>IFERROR(IF(INDEX(Spring!$1:$1048576,MATCH(All!$A275,Spring!$A:$A,FALSE),MATCH(All!AA$1,Spring!$1:$1,FALSE))="","",INDEX(Spring!$1:$1048576,MATCH(All!$A275,Spring!$A:$A,FALSE),MATCH(All!AA$1,Spring!$1:$1,FALSE))),"")</f>
        <v/>
      </c>
      <c r="AB275" t="str">
        <f>IFERROR(IF(INDEX(Spring!$1:$1048576,MATCH(All!$A275,Spring!$A:$A,FALSE),MATCH(All!AB$1,Spring!$1:$1,FALSE))="","",INDEX(Spring!$1:$1048576,MATCH(All!$A275,Spring!$A:$A,FALSE),MATCH(All!AB$1,Spring!$1:$1,FALSE))),"")</f>
        <v/>
      </c>
      <c r="AC275" t="str">
        <f>IFERROR(IF(INDEX(Spring!$1:$1048576,MATCH(All!$A275,Spring!$A:$A,FALSE),MATCH(All!AC$1,Spring!$1:$1,FALSE))="","",INDEX(Spring!$1:$1048576,MATCH(All!$A275,Spring!$A:$A,FALSE),MATCH(All!AC$1,Spring!$1:$1,FALSE))),"")</f>
        <v/>
      </c>
      <c r="AD275" t="str">
        <f>IFERROR(VLOOKUP(A275,'Flag Football'!A:A,1,FALSE),"")</f>
        <v/>
      </c>
      <c r="AE275" t="str">
        <f t="shared" si="4"/>
        <v/>
      </c>
    </row>
    <row r="276" spans="1:31" ht="15.75" thickBot="1" x14ac:dyDescent="0.3">
      <c r="A276" s="20" t="s">
        <v>351</v>
      </c>
      <c r="B276" s="38">
        <f>IFERROR(VLOOKUP(A276,'Public v Private'!A:G,3,FALSE),"")</f>
        <v>0</v>
      </c>
      <c r="C276" s="38">
        <f>IFERROR(VLOOKUP(A276,'Public v Private'!A:G,4,FALSE),"")</f>
        <v>0</v>
      </c>
      <c r="D276" s="38">
        <f>IFERROR(VLOOKUP(A276,'Public v Private'!A:G,5,FALSE),"")</f>
        <v>0</v>
      </c>
      <c r="E276" s="38"/>
      <c r="F276" s="40">
        <f>IFERROR(INDEX(Fall!$1:$1048576,MATCH(All!$A276,Fall!$A:$A,FALSE),MATCH(All!F$1,Fall!$1:$1,FALSE)),"N/A")</f>
        <v>1001</v>
      </c>
      <c r="G276" t="str">
        <f>IFERROR(IF(INDEX(Fall!$1:$1048576,MATCH(All!$A276,Fall!$A:$A,FALSE),MATCH(All!G$1,Fall!$1:$1,FALSE))="","",INDEX(Fall!$1:$1048576,MATCH(All!$A276,Fall!$A:$A,FALSE),MATCH(All!G$1,Fall!$1:$1,FALSE))),"")</f>
        <v>2A</v>
      </c>
      <c r="H276" t="str">
        <f>IFERROR(IF(INDEX(Fall!$1:$1048576,MATCH(All!$A276,Fall!$A:$A,FALSE),MATCH(All!H$1,Fall!$1:$1,FALSE))="","",INDEX(Fall!$1:$1048576,MATCH(All!$A276,Fall!$A:$A,FALSE),MATCH(All!H$1,Fall!$1:$1,FALSE))),"")</f>
        <v>2A</v>
      </c>
      <c r="I276" t="str">
        <f>IFERROR(IF(INDEX(Fall!$1:$1048576,MATCH(All!$A276,Fall!$A:$A,FALSE),MATCH(All!I$1,Fall!$1:$1,FALSE))="","",INDEX(Fall!$1:$1048576,MATCH(All!$A276,Fall!$A:$A,FALSE),MATCH(All!I$1,Fall!$1:$1,FALSE))),"")</f>
        <v/>
      </c>
      <c r="J276" t="str">
        <f>IFERROR(IF(INDEX(Fall!$1:$1048576,MATCH(All!$A276,Fall!$A:$A,FALSE),MATCH(All!J$1,Fall!$1:$1,FALSE))="","",INDEX(Fall!$1:$1048576,MATCH(All!$A276,Fall!$A:$A,FALSE),MATCH(All!J$1,Fall!$1:$1,FALSE))),"")</f>
        <v/>
      </c>
      <c r="K276" t="str">
        <f>IFERROR(IF(INDEX(Fall!$1:$1048576,MATCH(All!$A276,Fall!$A:$A,FALSE),MATCH(All!K$1,Fall!$1:$1,FALSE))="","",INDEX(Fall!$1:$1048576,MATCH(All!$A276,Fall!$A:$A,FALSE),MATCH(All!K$1,Fall!$1:$1,FALSE))),"")</f>
        <v/>
      </c>
      <c r="L276" t="str">
        <f>IFERROR(IF(INDEX(Fall!$1:$1048576,MATCH(All!$A276,Fall!$A:$A,FALSE),MATCH(All!L$1,Fall!$1:$1,FALSE))="","",INDEX(Fall!$1:$1048576,MATCH(All!$A276,Fall!$A:$A,FALSE),MATCH(All!L$1,Fall!$1:$1,FALSE))),"")</f>
        <v>1A</v>
      </c>
      <c r="M276" t="str">
        <f>IFERROR(IF(INDEX(Fall!$1:$1048576,MATCH(All!$A276,Fall!$A:$A,FALSE),MATCH(All!M$1,Fall!$1:$1,FALSE))="","",INDEX(Fall!$1:$1048576,MATCH(All!$A276,Fall!$A:$A,FALSE),MATCH(All!M$1,Fall!$1:$1,FALSE))),"")</f>
        <v>3A</v>
      </c>
      <c r="O276">
        <f>IFERROR(IF(INDEX(Winter!$1:$1048576,MATCH(All!$A276,Winter!$A:$A,FALSE),MATCH(All!O$1,Winter!$1:$1,FALSE))="","",INDEX(Winter!$1:$1048576,MATCH(All!$A276,Winter!$A:$A,FALSE),MATCH(All!O$1,Winter!$1:$1,FALSE))),"")</f>
        <v>1001</v>
      </c>
      <c r="P276" t="str">
        <f>IFERROR(IF(INDEX(Winter!$1:$1048576,MATCH(All!$A276,Winter!$A:$A,FALSE),MATCH(All!P$1,Winter!$1:$1,FALSE))="","",INDEX(Winter!$1:$1048576,MATCH(All!$A276,Winter!$A:$A,FALSE),MATCH(All!P$1,Winter!$1:$1,FALSE))),"")</f>
        <v>3A</v>
      </c>
      <c r="Q276" t="str">
        <f>IFERROR(IF(INDEX(Winter!$1:$1048576,MATCH(All!$A276,Winter!$A:$A,FALSE),MATCH(All!Q$1,Winter!$1:$1,FALSE))="","",INDEX(Winter!$1:$1048576,MATCH(All!$A276,Winter!$A:$A,FALSE),MATCH(All!Q$1,Winter!$1:$1,FALSE))),"")</f>
        <v>3A</v>
      </c>
      <c r="R276" t="str">
        <f>IFERROR(IF(INDEX(Winter!$1:$1048576,MATCH(All!$A276,Winter!$A:$A,FALSE),MATCH(All!R$1,Winter!$1:$1,FALSE))="","",INDEX(Winter!$1:$1048576,MATCH(All!$A276,Winter!$A:$A,FALSE),MATCH(All!R$1,Winter!$1:$1,FALSE))),"")</f>
        <v>2A</v>
      </c>
      <c r="S276" t="str">
        <f>IFERROR(IF(INDEX(Winter!$1:$1048576,MATCH(All!$A276,Winter!$A:$A,FALSE),MATCH(All!S$1,Winter!$1:$1,FALSE))="","",INDEX(Winter!$1:$1048576,MATCH(All!$A276,Winter!$A:$A,FALSE),MATCH(All!S$1,Winter!$1:$1,FALSE))),"")</f>
        <v>1A</v>
      </c>
      <c r="T276" t="str">
        <f>IFERROR(IF(INDEX(Winter!$1:$1048576,MATCH(All!$A276,Winter!$A:$A,FALSE),MATCH(All!T$1,Winter!$1:$1,FALSE))="","",INDEX(Winter!$1:$1048576,MATCH(All!$A276,Winter!$A:$A,FALSE),MATCH(All!T$1,Winter!$1:$1,FALSE))),"")</f>
        <v>2A</v>
      </c>
      <c r="U276" t="str">
        <f>IFERROR(IF(INDEX(Winter!$1:$1048576,MATCH(All!$A276,Winter!$A:$A,FALSE),MATCH(All!U$1,Winter!$1:$1,FALSE))="","",INDEX(Winter!$1:$1048576,MATCH(All!$A276,Winter!$A:$A,FALSE),MATCH(All!U$1,Winter!$1:$1,FALSE))),"")</f>
        <v>2A</v>
      </c>
      <c r="W276">
        <f>IFERROR(IF(INDEX(Spring!$1:$1048576,MATCH(All!$A276,Spring!$A:$A,FALSE),MATCH(All!W$1,Spring!$1:$1,FALSE))="","",INDEX(Spring!$1:$1048576,MATCH(All!$A276,Spring!$A:$A,FALSE),MATCH(All!W$1,Spring!$1:$1,FALSE))),"")</f>
        <v>1001</v>
      </c>
      <c r="X276" t="str">
        <f>IFERROR(IF(INDEX(Spring!$1:$1048576,MATCH(All!$A276,Spring!$A:$A,FALSE),MATCH(All!X$1,Spring!$1:$1,FALSE))="","",INDEX(Spring!$1:$1048576,MATCH(All!$A276,Spring!$A:$A,FALSE),MATCH(All!X$1,Spring!$1:$1,FALSE))),"")</f>
        <v>3A</v>
      </c>
      <c r="Y276" t="str">
        <f>IFERROR(IF(INDEX(Spring!$1:$1048576,MATCH(All!$A276,Spring!$A:$A,FALSE),MATCH(All!Y$1,Spring!$1:$1,FALSE))="","",INDEX(Spring!$1:$1048576,MATCH(All!$A276,Spring!$A:$A,FALSE),MATCH(All!Y$1,Spring!$1:$1,FALSE))),"")</f>
        <v>3A</v>
      </c>
      <c r="Z276" t="str">
        <f>IFERROR(IF(INDEX(Spring!$1:$1048576,MATCH(All!$A276,Spring!$A:$A,FALSE),MATCH(All!Z$1,Spring!$1:$1,FALSE))="","",INDEX(Spring!$1:$1048576,MATCH(All!$A276,Spring!$A:$A,FALSE),MATCH(All!Z$1,Spring!$1:$1,FALSE))),"")</f>
        <v/>
      </c>
      <c r="AA276" t="str">
        <f>IFERROR(IF(INDEX(Spring!$1:$1048576,MATCH(All!$A276,Spring!$A:$A,FALSE),MATCH(All!AA$1,Spring!$1:$1,FALSE))="","",INDEX(Spring!$1:$1048576,MATCH(All!$A276,Spring!$A:$A,FALSE),MATCH(All!AA$1,Spring!$1:$1,FALSE))),"")</f>
        <v>1A</v>
      </c>
      <c r="AB276" t="str">
        <f>IFERROR(IF(INDEX(Spring!$1:$1048576,MATCH(All!$A276,Spring!$A:$A,FALSE),MATCH(All!AB$1,Spring!$1:$1,FALSE))="","",INDEX(Spring!$1:$1048576,MATCH(All!$A276,Spring!$A:$A,FALSE),MATCH(All!AB$1,Spring!$1:$1,FALSE))),"")</f>
        <v>2A</v>
      </c>
      <c r="AC276" t="str">
        <f>IFERROR(IF(INDEX(Spring!$1:$1048576,MATCH(All!$A276,Spring!$A:$A,FALSE),MATCH(All!AC$1,Spring!$1:$1,FALSE))="","",INDEX(Spring!$1:$1048576,MATCH(All!$A276,Spring!$A:$A,FALSE),MATCH(All!AC$1,Spring!$1:$1,FALSE))),"")</f>
        <v>2A</v>
      </c>
      <c r="AD276" t="str">
        <f>IFERROR(VLOOKUP(A276,'Flag Football'!A:A,1,FALSE),"")</f>
        <v>Country Club Hills (Hillcrest)</v>
      </c>
      <c r="AE276" t="str">
        <f t="shared" si="4"/>
        <v>1A</v>
      </c>
    </row>
    <row r="277" spans="1:31" ht="15.75" thickBot="1" x14ac:dyDescent="0.3">
      <c r="A277" s="18" t="s">
        <v>352</v>
      </c>
      <c r="B277" s="38">
        <f>IFERROR(VLOOKUP(A277,'Public v Private'!A:G,3,FALSE),"")</f>
        <v>0</v>
      </c>
      <c r="C277" s="38">
        <f>IFERROR(VLOOKUP(A277,'Public v Private'!A:G,4,FALSE),"")</f>
        <v>0</v>
      </c>
      <c r="D277" s="38">
        <f>IFERROR(VLOOKUP(A277,'Public v Private'!A:G,5,FALSE),"")</f>
        <v>0</v>
      </c>
      <c r="E277" s="38"/>
      <c r="F277" s="40">
        <f>IFERROR(INDEX(Fall!$1:$1048576,MATCH(All!$A277,Fall!$A:$A,FALSE),MATCH(All!F$1,Fall!$1:$1,FALSE)),"N/A")</f>
        <v>98</v>
      </c>
      <c r="G277" t="str">
        <f>IFERROR(IF(INDEX(Fall!$1:$1048576,MATCH(All!$A277,Fall!$A:$A,FALSE),MATCH(All!G$1,Fall!$1:$1,FALSE))="","",INDEX(Fall!$1:$1048576,MATCH(All!$A277,Fall!$A:$A,FALSE),MATCH(All!G$1,Fall!$1:$1,FALSE))),"")</f>
        <v>1A</v>
      </c>
      <c r="H277" t="str">
        <f>IFERROR(IF(INDEX(Fall!$1:$1048576,MATCH(All!$A277,Fall!$A:$A,FALSE),MATCH(All!H$1,Fall!$1:$1,FALSE))="","",INDEX(Fall!$1:$1048576,MATCH(All!$A277,Fall!$A:$A,FALSE),MATCH(All!H$1,Fall!$1:$1,FALSE))),"")</f>
        <v>1A</v>
      </c>
      <c r="I277" t="str">
        <f>IFERROR(IF(INDEX(Fall!$1:$1048576,MATCH(All!$A277,Fall!$A:$A,FALSE),MATCH(All!I$1,Fall!$1:$1,FALSE))="","",INDEX(Fall!$1:$1048576,MATCH(All!$A277,Fall!$A:$A,FALSE),MATCH(All!I$1,Fall!$1:$1,FALSE))),"")</f>
        <v/>
      </c>
      <c r="J277" t="str">
        <f>IFERROR(IF(INDEX(Fall!$1:$1048576,MATCH(All!$A277,Fall!$A:$A,FALSE),MATCH(All!J$1,Fall!$1:$1,FALSE))="","",INDEX(Fall!$1:$1048576,MATCH(All!$A277,Fall!$A:$A,FALSE),MATCH(All!J$1,Fall!$1:$1,FALSE))),"")</f>
        <v/>
      </c>
      <c r="K277" t="str">
        <f>IFERROR(IF(INDEX(Fall!$1:$1048576,MATCH(All!$A277,Fall!$A:$A,FALSE),MATCH(All!K$1,Fall!$1:$1,FALSE))="","",INDEX(Fall!$1:$1048576,MATCH(All!$A277,Fall!$A:$A,FALSE),MATCH(All!K$1,Fall!$1:$1,FALSE))),"")</f>
        <v/>
      </c>
      <c r="L277" t="str">
        <f>IFERROR(IF(INDEX(Fall!$1:$1048576,MATCH(All!$A277,Fall!$A:$A,FALSE),MATCH(All!L$1,Fall!$1:$1,FALSE))="","",INDEX(Fall!$1:$1048576,MATCH(All!$A277,Fall!$A:$A,FALSE),MATCH(All!L$1,Fall!$1:$1,FALSE))),"")</f>
        <v/>
      </c>
      <c r="M277" t="str">
        <f>IFERROR(IF(INDEX(Fall!$1:$1048576,MATCH(All!$A277,Fall!$A:$A,FALSE),MATCH(All!M$1,Fall!$1:$1,FALSE))="","",INDEX(Fall!$1:$1048576,MATCH(All!$A277,Fall!$A:$A,FALSE),MATCH(All!M$1,Fall!$1:$1,FALSE))),"")</f>
        <v>1A</v>
      </c>
      <c r="O277">
        <f>IFERROR(IF(INDEX(Winter!$1:$1048576,MATCH(All!$A277,Winter!$A:$A,FALSE),MATCH(All!O$1,Winter!$1:$1,FALSE))="","",INDEX(Winter!$1:$1048576,MATCH(All!$A277,Winter!$A:$A,FALSE),MATCH(All!O$1,Winter!$1:$1,FALSE))),"")</f>
        <v>98</v>
      </c>
      <c r="P277" t="str">
        <f>IFERROR(IF(INDEX(Winter!$1:$1048576,MATCH(All!$A277,Winter!$A:$A,FALSE),MATCH(All!P$1,Winter!$1:$1,FALSE))="","",INDEX(Winter!$1:$1048576,MATCH(All!$A277,Winter!$A:$A,FALSE),MATCH(All!P$1,Winter!$1:$1,FALSE))),"")</f>
        <v/>
      </c>
      <c r="Q277" t="str">
        <f>IFERROR(IF(INDEX(Winter!$1:$1048576,MATCH(All!$A277,Winter!$A:$A,FALSE),MATCH(All!Q$1,Winter!$1:$1,FALSE))="","",INDEX(Winter!$1:$1048576,MATCH(All!$A277,Winter!$A:$A,FALSE),MATCH(All!Q$1,Winter!$1:$1,FALSE))),"")</f>
        <v>1A</v>
      </c>
      <c r="R277" t="str">
        <f>IFERROR(IF(INDEX(Winter!$1:$1048576,MATCH(All!$A277,Winter!$A:$A,FALSE),MATCH(All!R$1,Winter!$1:$1,FALSE))="","",INDEX(Winter!$1:$1048576,MATCH(All!$A277,Winter!$A:$A,FALSE),MATCH(All!R$1,Winter!$1:$1,FALSE))),"")</f>
        <v/>
      </c>
      <c r="S277" t="str">
        <f>IFERROR(IF(INDEX(Winter!$1:$1048576,MATCH(All!$A277,Winter!$A:$A,FALSE),MATCH(All!S$1,Winter!$1:$1,FALSE))="","",INDEX(Winter!$1:$1048576,MATCH(All!$A277,Winter!$A:$A,FALSE),MATCH(All!S$1,Winter!$1:$1,FALSE))),"")</f>
        <v/>
      </c>
      <c r="T277" t="str">
        <f>IFERROR(IF(INDEX(Winter!$1:$1048576,MATCH(All!$A277,Winter!$A:$A,FALSE),MATCH(All!T$1,Winter!$1:$1,FALSE))="","",INDEX(Winter!$1:$1048576,MATCH(All!$A277,Winter!$A:$A,FALSE),MATCH(All!T$1,Winter!$1:$1,FALSE))),"")</f>
        <v/>
      </c>
      <c r="U277" t="str">
        <f>IFERROR(IF(INDEX(Winter!$1:$1048576,MATCH(All!$A277,Winter!$A:$A,FALSE),MATCH(All!U$1,Winter!$1:$1,FALSE))="","",INDEX(Winter!$1:$1048576,MATCH(All!$A277,Winter!$A:$A,FALSE),MATCH(All!U$1,Winter!$1:$1,FALSE))),"")</f>
        <v/>
      </c>
      <c r="W277">
        <f>IFERROR(IF(INDEX(Spring!$1:$1048576,MATCH(All!$A277,Spring!$A:$A,FALSE),MATCH(All!W$1,Spring!$1:$1,FALSE))="","",INDEX(Spring!$1:$1048576,MATCH(All!$A277,Spring!$A:$A,FALSE),MATCH(All!W$1,Spring!$1:$1,FALSE))),"")</f>
        <v>98</v>
      </c>
      <c r="X277" t="str">
        <f>IFERROR(IF(INDEX(Spring!$1:$1048576,MATCH(All!$A277,Spring!$A:$A,FALSE),MATCH(All!X$1,Spring!$1:$1,FALSE))="","",INDEX(Spring!$1:$1048576,MATCH(All!$A277,Spring!$A:$A,FALSE),MATCH(All!X$1,Spring!$1:$1,FALSE))),"")</f>
        <v/>
      </c>
      <c r="Y277" t="str">
        <f>IFERROR(IF(INDEX(Spring!$1:$1048576,MATCH(All!$A277,Spring!$A:$A,FALSE),MATCH(All!Y$1,Spring!$1:$1,FALSE))="","",INDEX(Spring!$1:$1048576,MATCH(All!$A277,Spring!$A:$A,FALSE),MATCH(All!Y$1,Spring!$1:$1,FALSE))),"")</f>
        <v/>
      </c>
      <c r="Z277" t="str">
        <f>IFERROR(IF(INDEX(Spring!$1:$1048576,MATCH(All!$A277,Spring!$A:$A,FALSE),MATCH(All!Z$1,Spring!$1:$1,FALSE))="","",INDEX(Spring!$1:$1048576,MATCH(All!$A277,Spring!$A:$A,FALSE),MATCH(All!Z$1,Spring!$1:$1,FALSE))),"")</f>
        <v/>
      </c>
      <c r="AA277" t="str">
        <f>IFERROR(IF(INDEX(Spring!$1:$1048576,MATCH(All!$A277,Spring!$A:$A,FALSE),MATCH(All!AA$1,Spring!$1:$1,FALSE))="","",INDEX(Spring!$1:$1048576,MATCH(All!$A277,Spring!$A:$A,FALSE),MATCH(All!AA$1,Spring!$1:$1,FALSE))),"")</f>
        <v/>
      </c>
      <c r="AB277" t="str">
        <f>IFERROR(IF(INDEX(Spring!$1:$1048576,MATCH(All!$A277,Spring!$A:$A,FALSE),MATCH(All!AB$1,Spring!$1:$1,FALSE))="","",INDEX(Spring!$1:$1048576,MATCH(All!$A277,Spring!$A:$A,FALSE),MATCH(All!AB$1,Spring!$1:$1,FALSE))),"")</f>
        <v>1A</v>
      </c>
      <c r="AC277" t="str">
        <f>IFERROR(IF(INDEX(Spring!$1:$1048576,MATCH(All!$A277,Spring!$A:$A,FALSE),MATCH(All!AC$1,Spring!$1:$1,FALSE))="","",INDEX(Spring!$1:$1048576,MATCH(All!$A277,Spring!$A:$A,FALSE),MATCH(All!AC$1,Spring!$1:$1,FALSE))),"")</f>
        <v>1A</v>
      </c>
      <c r="AD277" t="str">
        <f>IFERROR(VLOOKUP(A277,'Flag Football'!A:A,1,FALSE),"")</f>
        <v/>
      </c>
      <c r="AE277" t="str">
        <f t="shared" si="4"/>
        <v/>
      </c>
    </row>
    <row r="278" spans="1:31" ht="15.75" thickBot="1" x14ac:dyDescent="0.3">
      <c r="A278" s="20" t="s">
        <v>353</v>
      </c>
      <c r="B278" s="38">
        <f>IFERROR(VLOOKUP(A278,'Public v Private'!A:G,3,FALSE),"")</f>
        <v>0</v>
      </c>
      <c r="C278" s="38">
        <f>IFERROR(VLOOKUP(A278,'Public v Private'!A:G,4,FALSE),"")</f>
        <v>0</v>
      </c>
      <c r="D278" s="38">
        <f>IFERROR(VLOOKUP(A278,'Public v Private'!A:G,5,FALSE),"")</f>
        <v>0</v>
      </c>
      <c r="E278" s="38"/>
      <c r="F278" s="40">
        <f>IFERROR(INDEX(Fall!$1:$1048576,MATCH(All!$A278,Fall!$A:$A,FALSE),MATCH(All!F$1,Fall!$1:$1,FALSE)),"N/A")</f>
        <v>1461</v>
      </c>
      <c r="G278" t="str">
        <f>IFERROR(IF(INDEX(Fall!$1:$1048576,MATCH(All!$A278,Fall!$A:$A,FALSE),MATCH(All!G$1,Fall!$1:$1,FALSE))="","",INDEX(Fall!$1:$1048576,MATCH(All!$A278,Fall!$A:$A,FALSE),MATCH(All!G$1,Fall!$1:$1,FALSE))),"")</f>
        <v>2A</v>
      </c>
      <c r="H278" t="str">
        <f>IFERROR(IF(INDEX(Fall!$1:$1048576,MATCH(All!$A278,Fall!$A:$A,FALSE),MATCH(All!H$1,Fall!$1:$1,FALSE))="","",INDEX(Fall!$1:$1048576,MATCH(All!$A278,Fall!$A:$A,FALSE),MATCH(All!H$1,Fall!$1:$1,FALSE))),"")</f>
        <v>2A</v>
      </c>
      <c r="I278" t="str">
        <f>IFERROR(IF(INDEX(Fall!$1:$1048576,MATCH(All!$A278,Fall!$A:$A,FALSE),MATCH(All!I$1,Fall!$1:$1,FALSE))="","",INDEX(Fall!$1:$1048576,MATCH(All!$A278,Fall!$A:$A,FALSE),MATCH(All!I$1,Fall!$1:$1,FALSE))),"")</f>
        <v>3A</v>
      </c>
      <c r="J278" t="str">
        <f>IFERROR(IF(INDEX(Fall!$1:$1048576,MATCH(All!$A278,Fall!$A:$A,FALSE),MATCH(All!J$1,Fall!$1:$1,FALSE))="","",INDEX(Fall!$1:$1048576,MATCH(All!$A278,Fall!$A:$A,FALSE),MATCH(All!J$1,Fall!$1:$1,FALSE))),"")</f>
        <v/>
      </c>
      <c r="K278" t="str">
        <f>IFERROR(IF(INDEX(Fall!$1:$1048576,MATCH(All!$A278,Fall!$A:$A,FALSE),MATCH(All!K$1,Fall!$1:$1,FALSE))="","",INDEX(Fall!$1:$1048576,MATCH(All!$A278,Fall!$A:$A,FALSE),MATCH(All!K$1,Fall!$1:$1,FALSE))),"")</f>
        <v>2A</v>
      </c>
      <c r="L278" t="str">
        <f>IFERROR(IF(INDEX(Fall!$1:$1048576,MATCH(All!$A278,Fall!$A:$A,FALSE),MATCH(All!L$1,Fall!$1:$1,FALSE))="","",INDEX(Fall!$1:$1048576,MATCH(All!$A278,Fall!$A:$A,FALSE),MATCH(All!L$1,Fall!$1:$1,FALSE))),"")</f>
        <v>2A</v>
      </c>
      <c r="M278" t="str">
        <f>IFERROR(IF(INDEX(Fall!$1:$1048576,MATCH(All!$A278,Fall!$A:$A,FALSE),MATCH(All!M$1,Fall!$1:$1,FALSE))="","",INDEX(Fall!$1:$1048576,MATCH(All!$A278,Fall!$A:$A,FALSE),MATCH(All!M$1,Fall!$1:$1,FALSE))),"")</f>
        <v>3A</v>
      </c>
      <c r="O278">
        <f>IFERROR(IF(INDEX(Winter!$1:$1048576,MATCH(All!$A278,Winter!$A:$A,FALSE),MATCH(All!O$1,Winter!$1:$1,FALSE))="","",INDEX(Winter!$1:$1048576,MATCH(All!$A278,Winter!$A:$A,FALSE),MATCH(All!O$1,Winter!$1:$1,FALSE))),"")</f>
        <v>1461</v>
      </c>
      <c r="P278" t="str">
        <f>IFERROR(IF(INDEX(Winter!$1:$1048576,MATCH(All!$A278,Winter!$A:$A,FALSE),MATCH(All!P$1,Winter!$1:$1,FALSE))="","",INDEX(Winter!$1:$1048576,MATCH(All!$A278,Winter!$A:$A,FALSE),MATCH(All!P$1,Winter!$1:$1,FALSE))),"")</f>
        <v>3A</v>
      </c>
      <c r="Q278" t="str">
        <f>IFERROR(IF(INDEX(Winter!$1:$1048576,MATCH(All!$A278,Winter!$A:$A,FALSE),MATCH(All!Q$1,Winter!$1:$1,FALSE))="","",INDEX(Winter!$1:$1048576,MATCH(All!$A278,Winter!$A:$A,FALSE),MATCH(All!Q$1,Winter!$1:$1,FALSE))),"")</f>
        <v>3A</v>
      </c>
      <c r="R278" t="str">
        <f>IFERROR(IF(INDEX(Winter!$1:$1048576,MATCH(All!$A278,Winter!$A:$A,FALSE),MATCH(All!R$1,Winter!$1:$1,FALSE))="","",INDEX(Winter!$1:$1048576,MATCH(All!$A278,Winter!$A:$A,FALSE),MATCH(All!R$1,Winter!$1:$1,FALSE))),"")</f>
        <v>2A</v>
      </c>
      <c r="S278" t="str">
        <f>IFERROR(IF(INDEX(Winter!$1:$1048576,MATCH(All!$A278,Winter!$A:$A,FALSE),MATCH(All!S$1,Winter!$1:$1,FALSE))="","",INDEX(Winter!$1:$1048576,MATCH(All!$A278,Winter!$A:$A,FALSE),MATCH(All!S$1,Winter!$1:$1,FALSE))),"")</f>
        <v>2A</v>
      </c>
      <c r="T278" t="str">
        <f>IFERROR(IF(INDEX(Winter!$1:$1048576,MATCH(All!$A278,Winter!$A:$A,FALSE),MATCH(All!T$1,Winter!$1:$1,FALSE))="","",INDEX(Winter!$1:$1048576,MATCH(All!$A278,Winter!$A:$A,FALSE),MATCH(All!T$1,Winter!$1:$1,FALSE))),"")</f>
        <v>2A</v>
      </c>
      <c r="U278" t="str">
        <f>IFERROR(IF(INDEX(Winter!$1:$1048576,MATCH(All!$A278,Winter!$A:$A,FALSE),MATCH(All!U$1,Winter!$1:$1,FALSE))="","",INDEX(Winter!$1:$1048576,MATCH(All!$A278,Winter!$A:$A,FALSE),MATCH(All!U$1,Winter!$1:$1,FALSE))),"")</f>
        <v>2A</v>
      </c>
      <c r="W278">
        <f>IFERROR(IF(INDEX(Spring!$1:$1048576,MATCH(All!$A278,Spring!$A:$A,FALSE),MATCH(All!W$1,Spring!$1:$1,FALSE))="","",INDEX(Spring!$1:$1048576,MATCH(All!$A278,Spring!$A:$A,FALSE),MATCH(All!W$1,Spring!$1:$1,FALSE))),"")</f>
        <v>1461</v>
      </c>
      <c r="X278" t="str">
        <f>IFERROR(IF(INDEX(Spring!$1:$1048576,MATCH(All!$A278,Spring!$A:$A,FALSE),MATCH(All!X$1,Spring!$1:$1,FALSE))="","",INDEX(Spring!$1:$1048576,MATCH(All!$A278,Spring!$A:$A,FALSE),MATCH(All!X$1,Spring!$1:$1,FALSE))),"")</f>
        <v>3A</v>
      </c>
      <c r="Y278" t="str">
        <f>IFERROR(IF(INDEX(Spring!$1:$1048576,MATCH(All!$A278,Spring!$A:$A,FALSE),MATCH(All!Y$1,Spring!$1:$1,FALSE))="","",INDEX(Spring!$1:$1048576,MATCH(All!$A278,Spring!$A:$A,FALSE),MATCH(All!Y$1,Spring!$1:$1,FALSE))),"")</f>
        <v>3A</v>
      </c>
      <c r="Z278" t="str">
        <f>IFERROR(IF(INDEX(Spring!$1:$1048576,MATCH(All!$A278,Spring!$A:$A,FALSE),MATCH(All!Z$1,Spring!$1:$1,FALSE))="","",INDEX(Spring!$1:$1048576,MATCH(All!$A278,Spring!$A:$A,FALSE),MATCH(All!Z$1,Spring!$1:$1,FALSE))),"")</f>
        <v>2A</v>
      </c>
      <c r="AA278" t="str">
        <f>IFERROR(IF(INDEX(Spring!$1:$1048576,MATCH(All!$A278,Spring!$A:$A,FALSE),MATCH(All!AA$1,Spring!$1:$1,FALSE))="","",INDEX(Spring!$1:$1048576,MATCH(All!$A278,Spring!$A:$A,FALSE),MATCH(All!AA$1,Spring!$1:$1,FALSE))),"")</f>
        <v>1A</v>
      </c>
      <c r="AB278" t="str">
        <f>IFERROR(IF(INDEX(Spring!$1:$1048576,MATCH(All!$A278,Spring!$A:$A,FALSE),MATCH(All!AB$1,Spring!$1:$1,FALSE))="","",INDEX(Spring!$1:$1048576,MATCH(All!$A278,Spring!$A:$A,FALSE),MATCH(All!AB$1,Spring!$1:$1,FALSE))),"")</f>
        <v>3A</v>
      </c>
      <c r="AC278" t="str">
        <f>IFERROR(IF(INDEX(Spring!$1:$1048576,MATCH(All!$A278,Spring!$A:$A,FALSE),MATCH(All!AC$1,Spring!$1:$1,FALSE))="","",INDEX(Spring!$1:$1048576,MATCH(All!$A278,Spring!$A:$A,FALSE),MATCH(All!AC$1,Spring!$1:$1,FALSE))),"")</f>
        <v>3A</v>
      </c>
      <c r="AD278" t="str">
        <f>IFERROR(VLOOKUP(A278,'Flag Football'!A:A,1,FALSE),"")</f>
        <v>Crete (C.-Monee)</v>
      </c>
      <c r="AE278" t="str">
        <f t="shared" si="4"/>
        <v>1A</v>
      </c>
    </row>
    <row r="279" spans="1:31" ht="15.75" thickBot="1" x14ac:dyDescent="0.3">
      <c r="A279" s="18" t="s">
        <v>354</v>
      </c>
      <c r="B279" s="38" t="str">
        <f>IFERROR(VLOOKUP(A279,'Public v Private'!A:G,3,FALSE),"")</f>
        <v>private</v>
      </c>
      <c r="C279" s="38">
        <f>IFERROR(VLOOKUP(A279,'Public v Private'!A:G,4,FALSE),"")</f>
        <v>3</v>
      </c>
      <c r="D279" s="38">
        <f>IFERROR(VLOOKUP(A279,'Public v Private'!A:G,5,FALSE),"")</f>
        <v>9</v>
      </c>
      <c r="E279" s="38"/>
      <c r="F279" s="40" t="str">
        <f>IFERROR(INDEX(Fall!$1:$1048576,MATCH(All!$A279,Fall!$A:$A,FALSE),MATCH(All!F$1,Fall!$1:$1,FALSE)),"N/A")</f>
        <v>86.00 (141.90)</v>
      </c>
      <c r="G279" t="str">
        <f>IFERROR(IF(INDEX(Fall!$1:$1048576,MATCH(All!$A279,Fall!$A:$A,FALSE),MATCH(All!G$1,Fall!$1:$1,FALSE))="","",INDEX(Fall!$1:$1048576,MATCH(All!$A279,Fall!$A:$A,FALSE),MATCH(All!G$1,Fall!$1:$1,FALSE))),"")</f>
        <v/>
      </c>
      <c r="H279" t="str">
        <f>IFERROR(IF(INDEX(Fall!$1:$1048576,MATCH(All!$A279,Fall!$A:$A,FALSE),MATCH(All!H$1,Fall!$1:$1,FALSE))="","",INDEX(Fall!$1:$1048576,MATCH(All!$A279,Fall!$A:$A,FALSE),MATCH(All!H$1,Fall!$1:$1,FALSE))),"")</f>
        <v/>
      </c>
      <c r="I279" t="str">
        <f>IFERROR(IF(INDEX(Fall!$1:$1048576,MATCH(All!$A279,Fall!$A:$A,FALSE),MATCH(All!I$1,Fall!$1:$1,FALSE))="","",INDEX(Fall!$1:$1048576,MATCH(All!$A279,Fall!$A:$A,FALSE),MATCH(All!I$1,Fall!$1:$1,FALSE))),"")</f>
        <v>1A</v>
      </c>
      <c r="J279" t="str">
        <f>IFERROR(IF(INDEX(Fall!$1:$1048576,MATCH(All!$A279,Fall!$A:$A,FALSE),MATCH(All!J$1,Fall!$1:$1,FALSE))="","",INDEX(Fall!$1:$1048576,MATCH(All!$A279,Fall!$A:$A,FALSE),MATCH(All!J$1,Fall!$1:$1,FALSE))),"")</f>
        <v/>
      </c>
      <c r="K279" t="str">
        <f>IFERROR(IF(INDEX(Fall!$1:$1048576,MATCH(All!$A279,Fall!$A:$A,FALSE),MATCH(All!K$1,Fall!$1:$1,FALSE))="","",INDEX(Fall!$1:$1048576,MATCH(All!$A279,Fall!$A:$A,FALSE),MATCH(All!K$1,Fall!$1:$1,FALSE))),"")</f>
        <v>1A</v>
      </c>
      <c r="L279" t="str">
        <f>IFERROR(IF(INDEX(Fall!$1:$1048576,MATCH(All!$A279,Fall!$A:$A,FALSE),MATCH(All!L$1,Fall!$1:$1,FALSE))="","",INDEX(Fall!$1:$1048576,MATCH(All!$A279,Fall!$A:$A,FALSE),MATCH(All!L$1,Fall!$1:$1,FALSE))),"")</f>
        <v/>
      </c>
      <c r="M279" t="str">
        <f>IFERROR(IF(INDEX(Fall!$1:$1048576,MATCH(All!$A279,Fall!$A:$A,FALSE),MATCH(All!M$1,Fall!$1:$1,FALSE))="","",INDEX(Fall!$1:$1048576,MATCH(All!$A279,Fall!$A:$A,FALSE),MATCH(All!M$1,Fall!$1:$1,FALSE))),"")</f>
        <v>1A</v>
      </c>
      <c r="O279" t="str">
        <f>IFERROR(IF(INDEX(Winter!$1:$1048576,MATCH(All!$A279,Winter!$A:$A,FALSE),MATCH(All!O$1,Winter!$1:$1,FALSE))="","",INDEX(Winter!$1:$1048576,MATCH(All!$A279,Winter!$A:$A,FALSE),MATCH(All!O$1,Winter!$1:$1,FALSE))),"")</f>
        <v>86.00 (141.90)</v>
      </c>
      <c r="P279" t="str">
        <f>IFERROR(IF(INDEX(Winter!$1:$1048576,MATCH(All!$A279,Winter!$A:$A,FALSE),MATCH(All!P$1,Winter!$1:$1,FALSE))="","",INDEX(Winter!$1:$1048576,MATCH(All!$A279,Winter!$A:$A,FALSE),MATCH(All!P$1,Winter!$1:$1,FALSE))),"")</f>
        <v>1A</v>
      </c>
      <c r="Q279" t="str">
        <f>IFERROR(IF(INDEX(Winter!$1:$1048576,MATCH(All!$A279,Winter!$A:$A,FALSE),MATCH(All!Q$1,Winter!$1:$1,FALSE))="","",INDEX(Winter!$1:$1048576,MATCH(All!$A279,Winter!$A:$A,FALSE),MATCH(All!Q$1,Winter!$1:$1,FALSE))),"")</f>
        <v>1A</v>
      </c>
      <c r="R279" t="str">
        <f>IFERROR(IF(INDEX(Winter!$1:$1048576,MATCH(All!$A279,Winter!$A:$A,FALSE),MATCH(All!R$1,Winter!$1:$1,FALSE))="","",INDEX(Winter!$1:$1048576,MATCH(All!$A279,Winter!$A:$A,FALSE),MATCH(All!R$1,Winter!$1:$1,FALSE))),"")</f>
        <v/>
      </c>
      <c r="S279" t="str">
        <f>IFERROR(IF(INDEX(Winter!$1:$1048576,MATCH(All!$A279,Winter!$A:$A,FALSE),MATCH(All!S$1,Winter!$1:$1,FALSE))="","",INDEX(Winter!$1:$1048576,MATCH(All!$A279,Winter!$A:$A,FALSE),MATCH(All!S$1,Winter!$1:$1,FALSE))),"")</f>
        <v/>
      </c>
      <c r="T279" t="str">
        <f>IFERROR(IF(INDEX(Winter!$1:$1048576,MATCH(All!$A279,Winter!$A:$A,FALSE),MATCH(All!T$1,Winter!$1:$1,FALSE))="","",INDEX(Winter!$1:$1048576,MATCH(All!$A279,Winter!$A:$A,FALSE),MATCH(All!T$1,Winter!$1:$1,FALSE))),"")</f>
        <v>1A</v>
      </c>
      <c r="U279" t="str">
        <f>IFERROR(IF(INDEX(Winter!$1:$1048576,MATCH(All!$A279,Winter!$A:$A,FALSE),MATCH(All!U$1,Winter!$1:$1,FALSE))="","",INDEX(Winter!$1:$1048576,MATCH(All!$A279,Winter!$A:$A,FALSE),MATCH(All!U$1,Winter!$1:$1,FALSE))),"")</f>
        <v/>
      </c>
      <c r="W279" t="str">
        <f>IFERROR(IF(INDEX(Spring!$1:$1048576,MATCH(All!$A279,Spring!$A:$A,FALSE),MATCH(All!W$1,Spring!$1:$1,FALSE))="","",INDEX(Spring!$1:$1048576,MATCH(All!$A279,Spring!$A:$A,FALSE),MATCH(All!W$1,Spring!$1:$1,FALSE))),"")</f>
        <v>86.00 (141.90)</v>
      </c>
      <c r="X279" t="str">
        <f>IFERROR(IF(INDEX(Spring!$1:$1048576,MATCH(All!$A279,Spring!$A:$A,FALSE),MATCH(All!X$1,Spring!$1:$1,FALSE))="","",INDEX(Spring!$1:$1048576,MATCH(All!$A279,Spring!$A:$A,FALSE),MATCH(All!X$1,Spring!$1:$1,FALSE))),"")</f>
        <v/>
      </c>
      <c r="Y279" t="str">
        <f>IFERROR(IF(INDEX(Spring!$1:$1048576,MATCH(All!$A279,Spring!$A:$A,FALSE),MATCH(All!Y$1,Spring!$1:$1,FALSE))="","",INDEX(Spring!$1:$1048576,MATCH(All!$A279,Spring!$A:$A,FALSE),MATCH(All!Y$1,Spring!$1:$1,FALSE))),"")</f>
        <v>1A</v>
      </c>
      <c r="Z279" t="str">
        <f>IFERROR(IF(INDEX(Spring!$1:$1048576,MATCH(All!$A279,Spring!$A:$A,FALSE),MATCH(All!Z$1,Spring!$1:$1,FALSE))="","",INDEX(Spring!$1:$1048576,MATCH(All!$A279,Spring!$A:$A,FALSE),MATCH(All!Z$1,Spring!$1:$1,FALSE))),"")</f>
        <v/>
      </c>
      <c r="AA279" t="str">
        <f>IFERROR(IF(INDEX(Spring!$1:$1048576,MATCH(All!$A279,Spring!$A:$A,FALSE),MATCH(All!AA$1,Spring!$1:$1,FALSE))="","",INDEX(Spring!$1:$1048576,MATCH(All!$A279,Spring!$A:$A,FALSE),MATCH(All!AA$1,Spring!$1:$1,FALSE))),"")</f>
        <v/>
      </c>
      <c r="AB279" t="str">
        <f>IFERROR(IF(INDEX(Spring!$1:$1048576,MATCH(All!$A279,Spring!$A:$A,FALSE),MATCH(All!AB$1,Spring!$1:$1,FALSE))="","",INDEX(Spring!$1:$1048576,MATCH(All!$A279,Spring!$A:$A,FALSE),MATCH(All!AB$1,Spring!$1:$1,FALSE))),"")</f>
        <v>1A</v>
      </c>
      <c r="AC279" t="str">
        <f>IFERROR(IF(INDEX(Spring!$1:$1048576,MATCH(All!$A279,Spring!$A:$A,FALSE),MATCH(All!AC$1,Spring!$1:$1,FALSE))="","",INDEX(Spring!$1:$1048576,MATCH(All!$A279,Spring!$A:$A,FALSE),MATCH(All!AC$1,Spring!$1:$1,FALSE))),"")</f>
        <v>1A</v>
      </c>
      <c r="AD279" t="str">
        <f>IFERROR(VLOOKUP(A279,'Flag Football'!A:A,1,FALSE),"")</f>
        <v/>
      </c>
      <c r="AE279" t="str">
        <f t="shared" si="4"/>
        <v/>
      </c>
    </row>
    <row r="280" spans="1:31" ht="15.75" thickBot="1" x14ac:dyDescent="0.3">
      <c r="A280" s="20" t="s">
        <v>356</v>
      </c>
      <c r="B280" s="38">
        <f>IFERROR(VLOOKUP(A280,'Public v Private'!A:G,3,FALSE),"")</f>
        <v>0</v>
      </c>
      <c r="C280" s="38">
        <f>IFERROR(VLOOKUP(A280,'Public v Private'!A:G,4,FALSE),"")</f>
        <v>0</v>
      </c>
      <c r="D280" s="38">
        <f>IFERROR(VLOOKUP(A280,'Public v Private'!A:G,5,FALSE),"")</f>
        <v>0</v>
      </c>
      <c r="E280" s="38"/>
      <c r="F280" s="40">
        <f>IFERROR(INDEX(Fall!$1:$1048576,MATCH(All!$A280,Fall!$A:$A,FALSE),MATCH(All!F$1,Fall!$1:$1,FALSE)),"N/A")</f>
        <v>1447</v>
      </c>
      <c r="G280" t="str">
        <f>IFERROR(IF(INDEX(Fall!$1:$1048576,MATCH(All!$A280,Fall!$A:$A,FALSE),MATCH(All!G$1,Fall!$1:$1,FALSE))="","",INDEX(Fall!$1:$1048576,MATCH(All!$A280,Fall!$A:$A,FALSE),MATCH(All!G$1,Fall!$1:$1,FALSE))),"")</f>
        <v>2A</v>
      </c>
      <c r="H280" t="str">
        <f>IFERROR(IF(INDEX(Fall!$1:$1048576,MATCH(All!$A280,Fall!$A:$A,FALSE),MATCH(All!H$1,Fall!$1:$1,FALSE))="","",INDEX(Fall!$1:$1048576,MATCH(All!$A280,Fall!$A:$A,FALSE),MATCH(All!H$1,Fall!$1:$1,FALSE))),"")</f>
        <v>2A</v>
      </c>
      <c r="I280" t="str">
        <f>IFERROR(IF(INDEX(Fall!$1:$1048576,MATCH(All!$A280,Fall!$A:$A,FALSE),MATCH(All!I$1,Fall!$1:$1,FALSE))="","",INDEX(Fall!$1:$1048576,MATCH(All!$A280,Fall!$A:$A,FALSE),MATCH(All!I$1,Fall!$1:$1,FALSE))),"")</f>
        <v>2A</v>
      </c>
      <c r="J280" t="str">
        <f>IFERROR(IF(INDEX(Fall!$1:$1048576,MATCH(All!$A280,Fall!$A:$A,FALSE),MATCH(All!J$1,Fall!$1:$1,FALSE))="","",INDEX(Fall!$1:$1048576,MATCH(All!$A280,Fall!$A:$A,FALSE),MATCH(All!J$1,Fall!$1:$1,FALSE))),"")</f>
        <v>2A</v>
      </c>
      <c r="K280" t="str">
        <f>IFERROR(IF(INDEX(Fall!$1:$1048576,MATCH(All!$A280,Fall!$A:$A,FALSE),MATCH(All!K$1,Fall!$1:$1,FALSE))="","",INDEX(Fall!$1:$1048576,MATCH(All!$A280,Fall!$A:$A,FALSE),MATCH(All!K$1,Fall!$1:$1,FALSE))),"")</f>
        <v>2A</v>
      </c>
      <c r="L280" t="str">
        <f>IFERROR(IF(INDEX(Fall!$1:$1048576,MATCH(All!$A280,Fall!$A:$A,FALSE),MATCH(All!L$1,Fall!$1:$1,FALSE))="","",INDEX(Fall!$1:$1048576,MATCH(All!$A280,Fall!$A:$A,FALSE),MATCH(All!L$1,Fall!$1:$1,FALSE))),"")</f>
        <v>1A</v>
      </c>
      <c r="M280" t="str">
        <f>IFERROR(IF(INDEX(Fall!$1:$1048576,MATCH(All!$A280,Fall!$A:$A,FALSE),MATCH(All!M$1,Fall!$1:$1,FALSE))="","",INDEX(Fall!$1:$1048576,MATCH(All!$A280,Fall!$A:$A,FALSE),MATCH(All!M$1,Fall!$1:$1,FALSE))),"")</f>
        <v>3A</v>
      </c>
      <c r="O280">
        <f>IFERROR(IF(INDEX(Winter!$1:$1048576,MATCH(All!$A280,Winter!$A:$A,FALSE),MATCH(All!O$1,Winter!$1:$1,FALSE))="","",INDEX(Winter!$1:$1048576,MATCH(All!$A280,Winter!$A:$A,FALSE),MATCH(All!O$1,Winter!$1:$1,FALSE))),"")</f>
        <v>1447</v>
      </c>
      <c r="P280" t="str">
        <f>IFERROR(IF(INDEX(Winter!$1:$1048576,MATCH(All!$A280,Winter!$A:$A,FALSE),MATCH(All!P$1,Winter!$1:$1,FALSE))="","",INDEX(Winter!$1:$1048576,MATCH(All!$A280,Winter!$A:$A,FALSE),MATCH(All!P$1,Winter!$1:$1,FALSE))),"")</f>
        <v>3A</v>
      </c>
      <c r="Q280" t="str">
        <f>IFERROR(IF(INDEX(Winter!$1:$1048576,MATCH(All!$A280,Winter!$A:$A,FALSE),MATCH(All!Q$1,Winter!$1:$1,FALSE))="","",INDEX(Winter!$1:$1048576,MATCH(All!$A280,Winter!$A:$A,FALSE),MATCH(All!Q$1,Winter!$1:$1,FALSE))),"")</f>
        <v>3A</v>
      </c>
      <c r="R280" t="str">
        <f>IFERROR(IF(INDEX(Winter!$1:$1048576,MATCH(All!$A280,Winter!$A:$A,FALSE),MATCH(All!R$1,Winter!$1:$1,FALSE))="","",INDEX(Winter!$1:$1048576,MATCH(All!$A280,Winter!$A:$A,FALSE),MATCH(All!R$1,Winter!$1:$1,FALSE))),"")</f>
        <v>2A</v>
      </c>
      <c r="S280" t="str">
        <f>IFERROR(IF(INDEX(Winter!$1:$1048576,MATCH(All!$A280,Winter!$A:$A,FALSE),MATCH(All!S$1,Winter!$1:$1,FALSE))="","",INDEX(Winter!$1:$1048576,MATCH(All!$A280,Winter!$A:$A,FALSE),MATCH(All!S$1,Winter!$1:$1,FALSE))),"")</f>
        <v>2A</v>
      </c>
      <c r="T280" t="str">
        <f>IFERROR(IF(INDEX(Winter!$1:$1048576,MATCH(All!$A280,Winter!$A:$A,FALSE),MATCH(All!T$1,Winter!$1:$1,FALSE))="","",INDEX(Winter!$1:$1048576,MATCH(All!$A280,Winter!$A:$A,FALSE),MATCH(All!T$1,Winter!$1:$1,FALSE))),"")</f>
        <v>2A</v>
      </c>
      <c r="U280" t="str">
        <f>IFERROR(IF(INDEX(Winter!$1:$1048576,MATCH(All!$A280,Winter!$A:$A,FALSE),MATCH(All!U$1,Winter!$1:$1,FALSE))="","",INDEX(Winter!$1:$1048576,MATCH(All!$A280,Winter!$A:$A,FALSE),MATCH(All!U$1,Winter!$1:$1,FALSE))),"")</f>
        <v>2A</v>
      </c>
      <c r="W280">
        <f>IFERROR(IF(INDEX(Spring!$1:$1048576,MATCH(All!$A280,Spring!$A:$A,FALSE),MATCH(All!W$1,Spring!$1:$1,FALSE))="","",INDEX(Spring!$1:$1048576,MATCH(All!$A280,Spring!$A:$A,FALSE),MATCH(All!W$1,Spring!$1:$1,FALSE))),"")</f>
        <v>1447</v>
      </c>
      <c r="X280" t="str">
        <f>IFERROR(IF(INDEX(Spring!$1:$1048576,MATCH(All!$A280,Spring!$A:$A,FALSE),MATCH(All!X$1,Spring!$1:$1,FALSE))="","",INDEX(Spring!$1:$1048576,MATCH(All!$A280,Spring!$A:$A,FALSE),MATCH(All!X$1,Spring!$1:$1,FALSE))),"")</f>
        <v>3A</v>
      </c>
      <c r="Y280" t="str">
        <f>IFERROR(IF(INDEX(Spring!$1:$1048576,MATCH(All!$A280,Spring!$A:$A,FALSE),MATCH(All!Y$1,Spring!$1:$1,FALSE))="","",INDEX(Spring!$1:$1048576,MATCH(All!$A280,Spring!$A:$A,FALSE),MATCH(All!Y$1,Spring!$1:$1,FALSE))),"")</f>
        <v>3A</v>
      </c>
      <c r="Z280" t="str">
        <f>IFERROR(IF(INDEX(Spring!$1:$1048576,MATCH(All!$A280,Spring!$A:$A,FALSE),MATCH(All!Z$1,Spring!$1:$1,FALSE))="","",INDEX(Spring!$1:$1048576,MATCH(All!$A280,Spring!$A:$A,FALSE),MATCH(All!Z$1,Spring!$1:$1,FALSE))),"")</f>
        <v>2A</v>
      </c>
      <c r="AA280" t="str">
        <f>IFERROR(IF(INDEX(Spring!$1:$1048576,MATCH(All!$A280,Spring!$A:$A,FALSE),MATCH(All!AA$1,Spring!$1:$1,FALSE))="","",INDEX(Spring!$1:$1048576,MATCH(All!$A280,Spring!$A:$A,FALSE),MATCH(All!AA$1,Spring!$1:$1,FALSE))),"")</f>
        <v>1A</v>
      </c>
      <c r="AB280" t="str">
        <f>IFERROR(IF(INDEX(Spring!$1:$1048576,MATCH(All!$A280,Spring!$A:$A,FALSE),MATCH(All!AB$1,Spring!$1:$1,FALSE))="","",INDEX(Spring!$1:$1048576,MATCH(All!$A280,Spring!$A:$A,FALSE),MATCH(All!AB$1,Spring!$1:$1,FALSE))),"")</f>
        <v>3A</v>
      </c>
      <c r="AC280" t="str">
        <f>IFERROR(IF(INDEX(Spring!$1:$1048576,MATCH(All!$A280,Spring!$A:$A,FALSE),MATCH(All!AC$1,Spring!$1:$1,FALSE))="","",INDEX(Spring!$1:$1048576,MATCH(All!$A280,Spring!$A:$A,FALSE),MATCH(All!AC$1,Spring!$1:$1,FALSE))),"")</f>
        <v>3A</v>
      </c>
      <c r="AD280" t="str">
        <f>IFERROR(VLOOKUP(A280,'Flag Football'!A:A,1,FALSE),"")</f>
        <v>Crystal Lake (Central)</v>
      </c>
      <c r="AE280" t="str">
        <f t="shared" si="4"/>
        <v>1A</v>
      </c>
    </row>
    <row r="281" spans="1:31" ht="15.75" thickBot="1" x14ac:dyDescent="0.3">
      <c r="A281" s="18" t="s">
        <v>357</v>
      </c>
      <c r="B281" s="38">
        <f>IFERROR(VLOOKUP(A281,'Public v Private'!A:G,3,FALSE),"")</f>
        <v>0</v>
      </c>
      <c r="C281" s="38">
        <f>IFERROR(VLOOKUP(A281,'Public v Private'!A:G,4,FALSE),"")</f>
        <v>0</v>
      </c>
      <c r="D281" s="38">
        <f>IFERROR(VLOOKUP(A281,'Public v Private'!A:G,5,FALSE),"")</f>
        <v>0</v>
      </c>
      <c r="E281" s="38"/>
      <c r="F281" s="40">
        <f>IFERROR(INDEX(Fall!$1:$1048576,MATCH(All!$A281,Fall!$A:$A,FALSE),MATCH(All!F$1,Fall!$1:$1,FALSE)),"N/A")</f>
        <v>1175</v>
      </c>
      <c r="G281" t="str">
        <f>IFERROR(IF(INDEX(Fall!$1:$1048576,MATCH(All!$A281,Fall!$A:$A,FALSE),MATCH(All!G$1,Fall!$1:$1,FALSE))="","",INDEX(Fall!$1:$1048576,MATCH(All!$A281,Fall!$A:$A,FALSE),MATCH(All!G$1,Fall!$1:$1,FALSE))),"")</f>
        <v>2A</v>
      </c>
      <c r="H281" t="str">
        <f>IFERROR(IF(INDEX(Fall!$1:$1048576,MATCH(All!$A281,Fall!$A:$A,FALSE),MATCH(All!H$1,Fall!$1:$1,FALSE))="","",INDEX(Fall!$1:$1048576,MATCH(All!$A281,Fall!$A:$A,FALSE),MATCH(All!H$1,Fall!$1:$1,FALSE))),"")</f>
        <v>2A</v>
      </c>
      <c r="I281" t="str">
        <f>IFERROR(IF(INDEX(Fall!$1:$1048576,MATCH(All!$A281,Fall!$A:$A,FALSE),MATCH(All!I$1,Fall!$1:$1,FALSE))="","",INDEX(Fall!$1:$1048576,MATCH(All!$A281,Fall!$A:$A,FALSE),MATCH(All!I$1,Fall!$1:$1,FALSE))),"")</f>
        <v>2A</v>
      </c>
      <c r="J281" t="str">
        <f>IFERROR(IF(INDEX(Fall!$1:$1048576,MATCH(All!$A281,Fall!$A:$A,FALSE),MATCH(All!J$1,Fall!$1:$1,FALSE))="","",INDEX(Fall!$1:$1048576,MATCH(All!$A281,Fall!$A:$A,FALSE),MATCH(All!J$1,Fall!$1:$1,FALSE))),"")</f>
        <v>2A</v>
      </c>
      <c r="K281" t="str">
        <f>IFERROR(IF(INDEX(Fall!$1:$1048576,MATCH(All!$A281,Fall!$A:$A,FALSE),MATCH(All!K$1,Fall!$1:$1,FALSE))="","",INDEX(Fall!$1:$1048576,MATCH(All!$A281,Fall!$A:$A,FALSE),MATCH(All!K$1,Fall!$1:$1,FALSE))),"")</f>
        <v>2A</v>
      </c>
      <c r="L281" t="str">
        <f>IFERROR(IF(INDEX(Fall!$1:$1048576,MATCH(All!$A281,Fall!$A:$A,FALSE),MATCH(All!L$1,Fall!$1:$1,FALSE))="","",INDEX(Fall!$1:$1048576,MATCH(All!$A281,Fall!$A:$A,FALSE),MATCH(All!L$1,Fall!$1:$1,FALSE))),"")</f>
        <v>1A</v>
      </c>
      <c r="M281" t="str">
        <f>IFERROR(IF(INDEX(Fall!$1:$1048576,MATCH(All!$A281,Fall!$A:$A,FALSE),MATCH(All!M$1,Fall!$1:$1,FALSE))="","",INDEX(Fall!$1:$1048576,MATCH(All!$A281,Fall!$A:$A,FALSE),MATCH(All!M$1,Fall!$1:$1,FALSE))),"")</f>
        <v>3A</v>
      </c>
      <c r="O281">
        <f>IFERROR(IF(INDEX(Winter!$1:$1048576,MATCH(All!$A281,Winter!$A:$A,FALSE),MATCH(All!O$1,Winter!$1:$1,FALSE))="","",INDEX(Winter!$1:$1048576,MATCH(All!$A281,Winter!$A:$A,FALSE),MATCH(All!O$1,Winter!$1:$1,FALSE))),"")</f>
        <v>1175</v>
      </c>
      <c r="P281" t="str">
        <f>IFERROR(IF(INDEX(Winter!$1:$1048576,MATCH(All!$A281,Winter!$A:$A,FALSE),MATCH(All!P$1,Winter!$1:$1,FALSE))="","",INDEX(Winter!$1:$1048576,MATCH(All!$A281,Winter!$A:$A,FALSE),MATCH(All!P$1,Winter!$1:$1,FALSE))),"")</f>
        <v>3A</v>
      </c>
      <c r="Q281" t="str">
        <f>IFERROR(IF(INDEX(Winter!$1:$1048576,MATCH(All!$A281,Winter!$A:$A,FALSE),MATCH(All!Q$1,Winter!$1:$1,FALSE))="","",INDEX(Winter!$1:$1048576,MATCH(All!$A281,Winter!$A:$A,FALSE),MATCH(All!Q$1,Winter!$1:$1,FALSE))),"")</f>
        <v>3A</v>
      </c>
      <c r="R281" t="str">
        <f>IFERROR(IF(INDEX(Winter!$1:$1048576,MATCH(All!$A281,Winter!$A:$A,FALSE),MATCH(All!R$1,Winter!$1:$1,FALSE))="","",INDEX(Winter!$1:$1048576,MATCH(All!$A281,Winter!$A:$A,FALSE),MATCH(All!R$1,Winter!$1:$1,FALSE))),"")</f>
        <v>2A</v>
      </c>
      <c r="S281" t="str">
        <f>IFERROR(IF(INDEX(Winter!$1:$1048576,MATCH(All!$A281,Winter!$A:$A,FALSE),MATCH(All!S$1,Winter!$1:$1,FALSE))="","",INDEX(Winter!$1:$1048576,MATCH(All!$A281,Winter!$A:$A,FALSE),MATCH(All!S$1,Winter!$1:$1,FALSE))),"")</f>
        <v>2A</v>
      </c>
      <c r="T281" t="str">
        <f>IFERROR(IF(INDEX(Winter!$1:$1048576,MATCH(All!$A281,Winter!$A:$A,FALSE),MATCH(All!T$1,Winter!$1:$1,FALSE))="","",INDEX(Winter!$1:$1048576,MATCH(All!$A281,Winter!$A:$A,FALSE),MATCH(All!T$1,Winter!$1:$1,FALSE))),"")</f>
        <v>2A</v>
      </c>
      <c r="U281" t="str">
        <f>IFERROR(IF(INDEX(Winter!$1:$1048576,MATCH(All!$A281,Winter!$A:$A,FALSE),MATCH(All!U$1,Winter!$1:$1,FALSE))="","",INDEX(Winter!$1:$1048576,MATCH(All!$A281,Winter!$A:$A,FALSE),MATCH(All!U$1,Winter!$1:$1,FALSE))),"")</f>
        <v>2A</v>
      </c>
      <c r="W281">
        <f>IFERROR(IF(INDEX(Spring!$1:$1048576,MATCH(All!$A281,Spring!$A:$A,FALSE),MATCH(All!W$1,Spring!$1:$1,FALSE))="","",INDEX(Spring!$1:$1048576,MATCH(All!$A281,Spring!$A:$A,FALSE),MATCH(All!W$1,Spring!$1:$1,FALSE))),"")</f>
        <v>1175</v>
      </c>
      <c r="X281" t="str">
        <f>IFERROR(IF(INDEX(Spring!$1:$1048576,MATCH(All!$A281,Spring!$A:$A,FALSE),MATCH(All!X$1,Spring!$1:$1,FALSE))="","",INDEX(Spring!$1:$1048576,MATCH(All!$A281,Spring!$A:$A,FALSE),MATCH(All!X$1,Spring!$1:$1,FALSE))),"")</f>
        <v>3A</v>
      </c>
      <c r="Y281" t="str">
        <f>IFERROR(IF(INDEX(Spring!$1:$1048576,MATCH(All!$A281,Spring!$A:$A,FALSE),MATCH(All!Y$1,Spring!$1:$1,FALSE))="","",INDEX(Spring!$1:$1048576,MATCH(All!$A281,Spring!$A:$A,FALSE),MATCH(All!Y$1,Spring!$1:$1,FALSE))),"")</f>
        <v>3A</v>
      </c>
      <c r="Z281" t="str">
        <f>IFERROR(IF(INDEX(Spring!$1:$1048576,MATCH(All!$A281,Spring!$A:$A,FALSE),MATCH(All!Z$1,Spring!$1:$1,FALSE))="","",INDEX(Spring!$1:$1048576,MATCH(All!$A281,Spring!$A:$A,FALSE),MATCH(All!Z$1,Spring!$1:$1,FALSE))),"")</f>
        <v>2A</v>
      </c>
      <c r="AA281" t="str">
        <f>IFERROR(IF(INDEX(Spring!$1:$1048576,MATCH(All!$A281,Spring!$A:$A,FALSE),MATCH(All!AA$1,Spring!$1:$1,FALSE))="","",INDEX(Spring!$1:$1048576,MATCH(All!$A281,Spring!$A:$A,FALSE),MATCH(All!AA$1,Spring!$1:$1,FALSE))),"")</f>
        <v>1A</v>
      </c>
      <c r="AB281" t="str">
        <f>IFERROR(IF(INDEX(Spring!$1:$1048576,MATCH(All!$A281,Spring!$A:$A,FALSE),MATCH(All!AB$1,Spring!$1:$1,FALSE))="","",INDEX(Spring!$1:$1048576,MATCH(All!$A281,Spring!$A:$A,FALSE),MATCH(All!AB$1,Spring!$1:$1,FALSE))),"")</f>
        <v>2A</v>
      </c>
      <c r="AC281" t="str">
        <f>IFERROR(IF(INDEX(Spring!$1:$1048576,MATCH(All!$A281,Spring!$A:$A,FALSE),MATCH(All!AC$1,Spring!$1:$1,FALSE))="","",INDEX(Spring!$1:$1048576,MATCH(All!$A281,Spring!$A:$A,FALSE),MATCH(All!AC$1,Spring!$1:$1,FALSE))),"")</f>
        <v>2A</v>
      </c>
      <c r="AD281" t="str">
        <f>IFERROR(VLOOKUP(A281,'Flag Football'!A:A,1,FALSE),"")</f>
        <v>Crystal Lake (Prairie Ridge)</v>
      </c>
      <c r="AE281" t="str">
        <f t="shared" si="4"/>
        <v>1A</v>
      </c>
    </row>
    <row r="282" spans="1:31" ht="15.75" thickBot="1" x14ac:dyDescent="0.3">
      <c r="A282" s="20" t="s">
        <v>358</v>
      </c>
      <c r="B282" s="38">
        <f>IFERROR(VLOOKUP(A282,'Public v Private'!A:G,3,FALSE),"")</f>
        <v>0</v>
      </c>
      <c r="C282" s="38">
        <f>IFERROR(VLOOKUP(A282,'Public v Private'!A:G,4,FALSE),"")</f>
        <v>0</v>
      </c>
      <c r="D282" s="38">
        <f>IFERROR(VLOOKUP(A282,'Public v Private'!A:G,5,FALSE),"")</f>
        <v>0</v>
      </c>
      <c r="E282" s="38"/>
      <c r="F282" s="40">
        <f>IFERROR(INDEX(Fall!$1:$1048576,MATCH(All!$A282,Fall!$A:$A,FALSE),MATCH(All!F$1,Fall!$1:$1,FALSE)),"N/A")</f>
        <v>1224</v>
      </c>
      <c r="G282" t="str">
        <f>IFERROR(IF(INDEX(Fall!$1:$1048576,MATCH(All!$A282,Fall!$A:$A,FALSE),MATCH(All!G$1,Fall!$1:$1,FALSE))="","",INDEX(Fall!$1:$1048576,MATCH(All!$A282,Fall!$A:$A,FALSE),MATCH(All!G$1,Fall!$1:$1,FALSE))),"")</f>
        <v>2A</v>
      </c>
      <c r="H282" t="str">
        <f>IFERROR(IF(INDEX(Fall!$1:$1048576,MATCH(All!$A282,Fall!$A:$A,FALSE),MATCH(All!H$1,Fall!$1:$1,FALSE))="","",INDEX(Fall!$1:$1048576,MATCH(All!$A282,Fall!$A:$A,FALSE),MATCH(All!H$1,Fall!$1:$1,FALSE))),"")</f>
        <v>2A</v>
      </c>
      <c r="I282" t="str">
        <f>IFERROR(IF(INDEX(Fall!$1:$1048576,MATCH(All!$A282,Fall!$A:$A,FALSE),MATCH(All!I$1,Fall!$1:$1,FALSE))="","",INDEX(Fall!$1:$1048576,MATCH(All!$A282,Fall!$A:$A,FALSE),MATCH(All!I$1,Fall!$1:$1,FALSE))),"")</f>
        <v>2A</v>
      </c>
      <c r="J282" t="str">
        <f>IFERROR(IF(INDEX(Fall!$1:$1048576,MATCH(All!$A282,Fall!$A:$A,FALSE),MATCH(All!J$1,Fall!$1:$1,FALSE))="","",INDEX(Fall!$1:$1048576,MATCH(All!$A282,Fall!$A:$A,FALSE),MATCH(All!J$1,Fall!$1:$1,FALSE))),"")</f>
        <v/>
      </c>
      <c r="K282" t="str">
        <f>IFERROR(IF(INDEX(Fall!$1:$1048576,MATCH(All!$A282,Fall!$A:$A,FALSE),MATCH(All!K$1,Fall!$1:$1,FALSE))="","",INDEX(Fall!$1:$1048576,MATCH(All!$A282,Fall!$A:$A,FALSE),MATCH(All!K$1,Fall!$1:$1,FALSE))),"")</f>
        <v>2A</v>
      </c>
      <c r="L282" t="str">
        <f>IFERROR(IF(INDEX(Fall!$1:$1048576,MATCH(All!$A282,Fall!$A:$A,FALSE),MATCH(All!L$1,Fall!$1:$1,FALSE))="","",INDEX(Fall!$1:$1048576,MATCH(All!$A282,Fall!$A:$A,FALSE),MATCH(All!L$1,Fall!$1:$1,FALSE))),"")</f>
        <v>1A</v>
      </c>
      <c r="M282" t="str">
        <f>IFERROR(IF(INDEX(Fall!$1:$1048576,MATCH(All!$A282,Fall!$A:$A,FALSE),MATCH(All!M$1,Fall!$1:$1,FALSE))="","",INDEX(Fall!$1:$1048576,MATCH(All!$A282,Fall!$A:$A,FALSE),MATCH(All!M$1,Fall!$1:$1,FALSE))),"")</f>
        <v>3A</v>
      </c>
      <c r="O282">
        <f>IFERROR(IF(INDEX(Winter!$1:$1048576,MATCH(All!$A282,Winter!$A:$A,FALSE),MATCH(All!O$1,Winter!$1:$1,FALSE))="","",INDEX(Winter!$1:$1048576,MATCH(All!$A282,Winter!$A:$A,FALSE),MATCH(All!O$1,Winter!$1:$1,FALSE))),"")</f>
        <v>1224</v>
      </c>
      <c r="P282" t="str">
        <f>IFERROR(IF(INDEX(Winter!$1:$1048576,MATCH(All!$A282,Winter!$A:$A,FALSE),MATCH(All!P$1,Winter!$1:$1,FALSE))="","",INDEX(Winter!$1:$1048576,MATCH(All!$A282,Winter!$A:$A,FALSE),MATCH(All!P$1,Winter!$1:$1,FALSE))),"")</f>
        <v>3A</v>
      </c>
      <c r="Q282" t="str">
        <f>IFERROR(IF(INDEX(Winter!$1:$1048576,MATCH(All!$A282,Winter!$A:$A,FALSE),MATCH(All!Q$1,Winter!$1:$1,FALSE))="","",INDEX(Winter!$1:$1048576,MATCH(All!$A282,Winter!$A:$A,FALSE),MATCH(All!Q$1,Winter!$1:$1,FALSE))),"")</f>
        <v>3A</v>
      </c>
      <c r="R282" t="str">
        <f>IFERROR(IF(INDEX(Winter!$1:$1048576,MATCH(All!$A282,Winter!$A:$A,FALSE),MATCH(All!R$1,Winter!$1:$1,FALSE))="","",INDEX(Winter!$1:$1048576,MATCH(All!$A282,Winter!$A:$A,FALSE),MATCH(All!R$1,Winter!$1:$1,FALSE))),"")</f>
        <v>2A</v>
      </c>
      <c r="S282" t="str">
        <f>IFERROR(IF(INDEX(Winter!$1:$1048576,MATCH(All!$A282,Winter!$A:$A,FALSE),MATCH(All!S$1,Winter!$1:$1,FALSE))="","",INDEX(Winter!$1:$1048576,MATCH(All!$A282,Winter!$A:$A,FALSE),MATCH(All!S$1,Winter!$1:$1,FALSE))),"")</f>
        <v>2A</v>
      </c>
      <c r="T282" t="str">
        <f>IFERROR(IF(INDEX(Winter!$1:$1048576,MATCH(All!$A282,Winter!$A:$A,FALSE),MATCH(All!T$1,Winter!$1:$1,FALSE))="","",INDEX(Winter!$1:$1048576,MATCH(All!$A282,Winter!$A:$A,FALSE),MATCH(All!T$1,Winter!$1:$1,FALSE))),"")</f>
        <v>2A</v>
      </c>
      <c r="U282" t="str">
        <f>IFERROR(IF(INDEX(Winter!$1:$1048576,MATCH(All!$A282,Winter!$A:$A,FALSE),MATCH(All!U$1,Winter!$1:$1,FALSE))="","",INDEX(Winter!$1:$1048576,MATCH(All!$A282,Winter!$A:$A,FALSE),MATCH(All!U$1,Winter!$1:$1,FALSE))),"")</f>
        <v>2A</v>
      </c>
      <c r="W282">
        <f>IFERROR(IF(INDEX(Spring!$1:$1048576,MATCH(All!$A282,Spring!$A:$A,FALSE),MATCH(All!W$1,Spring!$1:$1,FALSE))="","",INDEX(Spring!$1:$1048576,MATCH(All!$A282,Spring!$A:$A,FALSE),MATCH(All!W$1,Spring!$1:$1,FALSE))),"")</f>
        <v>1224</v>
      </c>
      <c r="X282" t="str">
        <f>IFERROR(IF(INDEX(Spring!$1:$1048576,MATCH(All!$A282,Spring!$A:$A,FALSE),MATCH(All!X$1,Spring!$1:$1,FALSE))="","",INDEX(Spring!$1:$1048576,MATCH(All!$A282,Spring!$A:$A,FALSE),MATCH(All!X$1,Spring!$1:$1,FALSE))),"")</f>
        <v>3A</v>
      </c>
      <c r="Y282" t="str">
        <f>IFERROR(IF(INDEX(Spring!$1:$1048576,MATCH(All!$A282,Spring!$A:$A,FALSE),MATCH(All!Y$1,Spring!$1:$1,FALSE))="","",INDEX(Spring!$1:$1048576,MATCH(All!$A282,Spring!$A:$A,FALSE),MATCH(All!Y$1,Spring!$1:$1,FALSE))),"")</f>
        <v>3A</v>
      </c>
      <c r="Z282" t="str">
        <f>IFERROR(IF(INDEX(Spring!$1:$1048576,MATCH(All!$A282,Spring!$A:$A,FALSE),MATCH(All!Z$1,Spring!$1:$1,FALSE))="","",INDEX(Spring!$1:$1048576,MATCH(All!$A282,Spring!$A:$A,FALSE),MATCH(All!Z$1,Spring!$1:$1,FALSE))),"")</f>
        <v>2A</v>
      </c>
      <c r="AA282" t="str">
        <f>IFERROR(IF(INDEX(Spring!$1:$1048576,MATCH(All!$A282,Spring!$A:$A,FALSE),MATCH(All!AA$1,Spring!$1:$1,FALSE))="","",INDEX(Spring!$1:$1048576,MATCH(All!$A282,Spring!$A:$A,FALSE),MATCH(All!AA$1,Spring!$1:$1,FALSE))),"")</f>
        <v>1A</v>
      </c>
      <c r="AB282" t="str">
        <f>IFERROR(IF(INDEX(Spring!$1:$1048576,MATCH(All!$A282,Spring!$A:$A,FALSE),MATCH(All!AB$1,Spring!$1:$1,FALSE))="","",INDEX(Spring!$1:$1048576,MATCH(All!$A282,Spring!$A:$A,FALSE),MATCH(All!AB$1,Spring!$1:$1,FALSE))),"")</f>
        <v>2A</v>
      </c>
      <c r="AC282" t="str">
        <f>IFERROR(IF(INDEX(Spring!$1:$1048576,MATCH(All!$A282,Spring!$A:$A,FALSE),MATCH(All!AC$1,Spring!$1:$1,FALSE))="","",INDEX(Spring!$1:$1048576,MATCH(All!$A282,Spring!$A:$A,FALSE),MATCH(All!AC$1,Spring!$1:$1,FALSE))),"")</f>
        <v>2A</v>
      </c>
      <c r="AD282" t="str">
        <f>IFERROR(VLOOKUP(A282,'Flag Football'!A:A,1,FALSE),"")</f>
        <v>Crystal Lake (South)</v>
      </c>
      <c r="AE282" t="str">
        <f t="shared" si="4"/>
        <v>1A</v>
      </c>
    </row>
    <row r="283" spans="1:31" ht="15.75" thickBot="1" x14ac:dyDescent="0.3">
      <c r="A283" s="18" t="s">
        <v>359</v>
      </c>
      <c r="B283" s="38">
        <f>IFERROR(VLOOKUP(A283,'Public v Private'!A:G,3,FALSE),"")</f>
        <v>0</v>
      </c>
      <c r="C283" s="38">
        <f>IFERROR(VLOOKUP(A283,'Public v Private'!A:G,4,FALSE),"")</f>
        <v>0</v>
      </c>
      <c r="D283" s="38">
        <f>IFERROR(VLOOKUP(A283,'Public v Private'!A:G,5,FALSE),"")</f>
        <v>0</v>
      </c>
      <c r="E283" s="38"/>
      <c r="F283" s="40">
        <f>IFERROR(INDEX(Fall!$1:$1048576,MATCH(All!$A283,Fall!$A:$A,FALSE),MATCH(All!F$1,Fall!$1:$1,FALSE)),"N/A")</f>
        <v>114</v>
      </c>
      <c r="G283" t="str">
        <f>IFERROR(IF(INDEX(Fall!$1:$1048576,MATCH(All!$A283,Fall!$A:$A,FALSE),MATCH(All!G$1,Fall!$1:$1,FALSE))="","",INDEX(Fall!$1:$1048576,MATCH(All!$A283,Fall!$A:$A,FALSE),MATCH(All!G$1,Fall!$1:$1,FALSE))),"")</f>
        <v/>
      </c>
      <c r="H283" t="str">
        <f>IFERROR(IF(INDEX(Fall!$1:$1048576,MATCH(All!$A283,Fall!$A:$A,FALSE),MATCH(All!H$1,Fall!$1:$1,FALSE))="","",INDEX(Fall!$1:$1048576,MATCH(All!$A283,Fall!$A:$A,FALSE),MATCH(All!H$1,Fall!$1:$1,FALSE))),"")</f>
        <v/>
      </c>
      <c r="I283" t="str">
        <f>IFERROR(IF(INDEX(Fall!$1:$1048576,MATCH(All!$A283,Fall!$A:$A,FALSE),MATCH(All!I$1,Fall!$1:$1,FALSE))="","",INDEX(Fall!$1:$1048576,MATCH(All!$A283,Fall!$A:$A,FALSE),MATCH(All!I$1,Fall!$1:$1,FALSE))),"")</f>
        <v>1A</v>
      </c>
      <c r="J283" t="str">
        <f>IFERROR(IF(INDEX(Fall!$1:$1048576,MATCH(All!$A283,Fall!$A:$A,FALSE),MATCH(All!J$1,Fall!$1:$1,FALSE))="","",INDEX(Fall!$1:$1048576,MATCH(All!$A283,Fall!$A:$A,FALSE),MATCH(All!J$1,Fall!$1:$1,FALSE))),"")</f>
        <v>1A</v>
      </c>
      <c r="K283" t="str">
        <f>IFERROR(IF(INDEX(Fall!$1:$1048576,MATCH(All!$A283,Fall!$A:$A,FALSE),MATCH(All!K$1,Fall!$1:$1,FALSE))="","",INDEX(Fall!$1:$1048576,MATCH(All!$A283,Fall!$A:$A,FALSE),MATCH(All!K$1,Fall!$1:$1,FALSE))),"")</f>
        <v/>
      </c>
      <c r="L283" t="str">
        <f>IFERROR(IF(INDEX(Fall!$1:$1048576,MATCH(All!$A283,Fall!$A:$A,FALSE),MATCH(All!L$1,Fall!$1:$1,FALSE))="","",INDEX(Fall!$1:$1048576,MATCH(All!$A283,Fall!$A:$A,FALSE),MATCH(All!L$1,Fall!$1:$1,FALSE))),"")</f>
        <v/>
      </c>
      <c r="M283" t="str">
        <f>IFERROR(IF(INDEX(Fall!$1:$1048576,MATCH(All!$A283,Fall!$A:$A,FALSE),MATCH(All!M$1,Fall!$1:$1,FALSE))="","",INDEX(Fall!$1:$1048576,MATCH(All!$A283,Fall!$A:$A,FALSE),MATCH(All!M$1,Fall!$1:$1,FALSE))),"")</f>
        <v/>
      </c>
      <c r="O283">
        <f>IFERROR(IF(INDEX(Winter!$1:$1048576,MATCH(All!$A283,Winter!$A:$A,FALSE),MATCH(All!O$1,Winter!$1:$1,FALSE))="","",INDEX(Winter!$1:$1048576,MATCH(All!$A283,Winter!$A:$A,FALSE),MATCH(All!O$1,Winter!$1:$1,FALSE))),"")</f>
        <v>114</v>
      </c>
      <c r="P283" t="str">
        <f>IFERROR(IF(INDEX(Winter!$1:$1048576,MATCH(All!$A283,Winter!$A:$A,FALSE),MATCH(All!P$1,Winter!$1:$1,FALSE))="","",INDEX(Winter!$1:$1048576,MATCH(All!$A283,Winter!$A:$A,FALSE),MATCH(All!P$1,Winter!$1:$1,FALSE))),"")</f>
        <v>1A</v>
      </c>
      <c r="Q283" t="str">
        <f>IFERROR(IF(INDEX(Winter!$1:$1048576,MATCH(All!$A283,Winter!$A:$A,FALSE),MATCH(All!Q$1,Winter!$1:$1,FALSE))="","",INDEX(Winter!$1:$1048576,MATCH(All!$A283,Winter!$A:$A,FALSE),MATCH(All!Q$1,Winter!$1:$1,FALSE))),"")</f>
        <v/>
      </c>
      <c r="R283" t="str">
        <f>IFERROR(IF(INDEX(Winter!$1:$1048576,MATCH(All!$A283,Winter!$A:$A,FALSE),MATCH(All!R$1,Winter!$1:$1,FALSE))="","",INDEX(Winter!$1:$1048576,MATCH(All!$A283,Winter!$A:$A,FALSE),MATCH(All!R$1,Winter!$1:$1,FALSE))),"")</f>
        <v/>
      </c>
      <c r="S283" t="str">
        <f>IFERROR(IF(INDEX(Winter!$1:$1048576,MATCH(All!$A283,Winter!$A:$A,FALSE),MATCH(All!S$1,Winter!$1:$1,FALSE))="","",INDEX(Winter!$1:$1048576,MATCH(All!$A283,Winter!$A:$A,FALSE),MATCH(All!S$1,Winter!$1:$1,FALSE))),"")</f>
        <v/>
      </c>
      <c r="T283" t="str">
        <f>IFERROR(IF(INDEX(Winter!$1:$1048576,MATCH(All!$A283,Winter!$A:$A,FALSE),MATCH(All!T$1,Winter!$1:$1,FALSE))="","",INDEX(Winter!$1:$1048576,MATCH(All!$A283,Winter!$A:$A,FALSE),MATCH(All!T$1,Winter!$1:$1,FALSE))),"")</f>
        <v>1A</v>
      </c>
      <c r="U283" t="str">
        <f>IFERROR(IF(INDEX(Winter!$1:$1048576,MATCH(All!$A283,Winter!$A:$A,FALSE),MATCH(All!U$1,Winter!$1:$1,FALSE))="","",INDEX(Winter!$1:$1048576,MATCH(All!$A283,Winter!$A:$A,FALSE),MATCH(All!U$1,Winter!$1:$1,FALSE))),"")</f>
        <v/>
      </c>
      <c r="W283">
        <f>IFERROR(IF(INDEX(Spring!$1:$1048576,MATCH(All!$A283,Spring!$A:$A,FALSE),MATCH(All!W$1,Spring!$1:$1,FALSE))="","",INDEX(Spring!$1:$1048576,MATCH(All!$A283,Spring!$A:$A,FALSE),MATCH(All!W$1,Spring!$1:$1,FALSE))),"")</f>
        <v>114</v>
      </c>
      <c r="X283" t="str">
        <f>IFERROR(IF(INDEX(Spring!$1:$1048576,MATCH(All!$A283,Spring!$A:$A,FALSE),MATCH(All!X$1,Spring!$1:$1,FALSE))="","",INDEX(Spring!$1:$1048576,MATCH(All!$A283,Spring!$A:$A,FALSE),MATCH(All!X$1,Spring!$1:$1,FALSE))),"")</f>
        <v>2A</v>
      </c>
      <c r="Y283" t="str">
        <f>IFERROR(IF(INDEX(Spring!$1:$1048576,MATCH(All!$A283,Spring!$A:$A,FALSE),MATCH(All!Y$1,Spring!$1:$1,FALSE))="","",INDEX(Spring!$1:$1048576,MATCH(All!$A283,Spring!$A:$A,FALSE),MATCH(All!Y$1,Spring!$1:$1,FALSE))),"")</f>
        <v/>
      </c>
      <c r="Z283" t="str">
        <f>IFERROR(IF(INDEX(Spring!$1:$1048576,MATCH(All!$A283,Spring!$A:$A,FALSE),MATCH(All!Z$1,Spring!$1:$1,FALSE))="","",INDEX(Spring!$1:$1048576,MATCH(All!$A283,Spring!$A:$A,FALSE),MATCH(All!Z$1,Spring!$1:$1,FALSE))),"")</f>
        <v/>
      </c>
      <c r="AA283" t="str">
        <f>IFERROR(IF(INDEX(Spring!$1:$1048576,MATCH(All!$A283,Spring!$A:$A,FALSE),MATCH(All!AA$1,Spring!$1:$1,FALSE))="","",INDEX(Spring!$1:$1048576,MATCH(All!$A283,Spring!$A:$A,FALSE),MATCH(All!AA$1,Spring!$1:$1,FALSE))),"")</f>
        <v/>
      </c>
      <c r="AB283" t="str">
        <f>IFERROR(IF(INDEX(Spring!$1:$1048576,MATCH(All!$A283,Spring!$A:$A,FALSE),MATCH(All!AB$1,Spring!$1:$1,FALSE))="","",INDEX(Spring!$1:$1048576,MATCH(All!$A283,Spring!$A:$A,FALSE),MATCH(All!AB$1,Spring!$1:$1,FALSE))),"")</f>
        <v/>
      </c>
      <c r="AC283" t="str">
        <f>IFERROR(IF(INDEX(Spring!$1:$1048576,MATCH(All!$A283,Spring!$A:$A,FALSE),MATCH(All!AC$1,Spring!$1:$1,FALSE))="","",INDEX(Spring!$1:$1048576,MATCH(All!$A283,Spring!$A:$A,FALSE),MATCH(All!AC$1,Spring!$1:$1,FALSE))),"")</f>
        <v/>
      </c>
      <c r="AD283" t="str">
        <f>IFERROR(VLOOKUP(A283,'Flag Football'!A:A,1,FALSE),"")</f>
        <v/>
      </c>
      <c r="AE283" t="str">
        <f t="shared" si="4"/>
        <v/>
      </c>
    </row>
    <row r="284" spans="1:31" ht="15.75" thickBot="1" x14ac:dyDescent="0.3">
      <c r="A284" s="20" t="s">
        <v>360</v>
      </c>
      <c r="B284" s="38">
        <f>IFERROR(VLOOKUP(A284,'Public v Private'!A:G,3,FALSE),"")</f>
        <v>0</v>
      </c>
      <c r="C284" s="38">
        <f>IFERROR(VLOOKUP(A284,'Public v Private'!A:G,4,FALSE),"")</f>
        <v>0</v>
      </c>
      <c r="D284" s="38">
        <f>IFERROR(VLOOKUP(A284,'Public v Private'!A:G,5,FALSE),"")</f>
        <v>0</v>
      </c>
      <c r="E284" s="38"/>
      <c r="F284" s="40">
        <f>IFERROR(INDEX(Fall!$1:$1048576,MATCH(All!$A284,Fall!$A:$A,FALSE),MATCH(All!F$1,Fall!$1:$1,FALSE)),"N/A")</f>
        <v>91</v>
      </c>
      <c r="G284" t="str">
        <f>IFERROR(IF(INDEX(Fall!$1:$1048576,MATCH(All!$A284,Fall!$A:$A,FALSE),MATCH(All!G$1,Fall!$1:$1,FALSE))="","",INDEX(Fall!$1:$1048576,MATCH(All!$A284,Fall!$A:$A,FALSE),MATCH(All!G$1,Fall!$1:$1,FALSE))),"")</f>
        <v>1A</v>
      </c>
      <c r="H284" t="str">
        <f>IFERROR(IF(INDEX(Fall!$1:$1048576,MATCH(All!$A284,Fall!$A:$A,FALSE),MATCH(All!H$1,Fall!$1:$1,FALSE))="","",INDEX(Fall!$1:$1048576,MATCH(All!$A284,Fall!$A:$A,FALSE),MATCH(All!H$1,Fall!$1:$1,FALSE))),"")</f>
        <v/>
      </c>
      <c r="I284" t="str">
        <f>IFERROR(IF(INDEX(Fall!$1:$1048576,MATCH(All!$A284,Fall!$A:$A,FALSE),MATCH(All!I$1,Fall!$1:$1,FALSE))="","",INDEX(Fall!$1:$1048576,MATCH(All!$A284,Fall!$A:$A,FALSE),MATCH(All!I$1,Fall!$1:$1,FALSE))),"")</f>
        <v/>
      </c>
      <c r="J284" t="str">
        <f>IFERROR(IF(INDEX(Fall!$1:$1048576,MATCH(All!$A284,Fall!$A:$A,FALSE),MATCH(All!J$1,Fall!$1:$1,FALSE))="","",INDEX(Fall!$1:$1048576,MATCH(All!$A284,Fall!$A:$A,FALSE),MATCH(All!J$1,Fall!$1:$1,FALSE))),"")</f>
        <v/>
      </c>
      <c r="K284" t="str">
        <f>IFERROR(IF(INDEX(Fall!$1:$1048576,MATCH(All!$A284,Fall!$A:$A,FALSE),MATCH(All!K$1,Fall!$1:$1,FALSE))="","",INDEX(Fall!$1:$1048576,MATCH(All!$A284,Fall!$A:$A,FALSE),MATCH(All!K$1,Fall!$1:$1,FALSE))),"")</f>
        <v/>
      </c>
      <c r="L284" t="str">
        <f>IFERROR(IF(INDEX(Fall!$1:$1048576,MATCH(All!$A284,Fall!$A:$A,FALSE),MATCH(All!L$1,Fall!$1:$1,FALSE))="","",INDEX(Fall!$1:$1048576,MATCH(All!$A284,Fall!$A:$A,FALSE),MATCH(All!L$1,Fall!$1:$1,FALSE))),"")</f>
        <v/>
      </c>
      <c r="M284" t="str">
        <f>IFERROR(IF(INDEX(Fall!$1:$1048576,MATCH(All!$A284,Fall!$A:$A,FALSE),MATCH(All!M$1,Fall!$1:$1,FALSE))="","",INDEX(Fall!$1:$1048576,MATCH(All!$A284,Fall!$A:$A,FALSE),MATCH(All!M$1,Fall!$1:$1,FALSE))),"")</f>
        <v>1A</v>
      </c>
      <c r="O284">
        <f>IFERROR(IF(INDEX(Winter!$1:$1048576,MATCH(All!$A284,Winter!$A:$A,FALSE),MATCH(All!O$1,Winter!$1:$1,FALSE))="","",INDEX(Winter!$1:$1048576,MATCH(All!$A284,Winter!$A:$A,FALSE),MATCH(All!O$1,Winter!$1:$1,FALSE))),"")</f>
        <v>91</v>
      </c>
      <c r="P284" t="str">
        <f>IFERROR(IF(INDEX(Winter!$1:$1048576,MATCH(All!$A284,Winter!$A:$A,FALSE),MATCH(All!P$1,Winter!$1:$1,FALSE))="","",INDEX(Winter!$1:$1048576,MATCH(All!$A284,Winter!$A:$A,FALSE),MATCH(All!P$1,Winter!$1:$1,FALSE))),"")</f>
        <v>1A</v>
      </c>
      <c r="Q284" t="str">
        <f>IFERROR(IF(INDEX(Winter!$1:$1048576,MATCH(All!$A284,Winter!$A:$A,FALSE),MATCH(All!Q$1,Winter!$1:$1,FALSE))="","",INDEX(Winter!$1:$1048576,MATCH(All!$A284,Winter!$A:$A,FALSE),MATCH(All!Q$1,Winter!$1:$1,FALSE))),"")</f>
        <v>1A</v>
      </c>
      <c r="R284" t="str">
        <f>IFERROR(IF(INDEX(Winter!$1:$1048576,MATCH(All!$A284,Winter!$A:$A,FALSE),MATCH(All!R$1,Winter!$1:$1,FALSE))="","",INDEX(Winter!$1:$1048576,MATCH(All!$A284,Winter!$A:$A,FALSE),MATCH(All!R$1,Winter!$1:$1,FALSE))),"")</f>
        <v/>
      </c>
      <c r="S284" t="str">
        <f>IFERROR(IF(INDEX(Winter!$1:$1048576,MATCH(All!$A284,Winter!$A:$A,FALSE),MATCH(All!S$1,Winter!$1:$1,FALSE))="","",INDEX(Winter!$1:$1048576,MATCH(All!$A284,Winter!$A:$A,FALSE),MATCH(All!S$1,Winter!$1:$1,FALSE))),"")</f>
        <v/>
      </c>
      <c r="T284" t="str">
        <f>IFERROR(IF(INDEX(Winter!$1:$1048576,MATCH(All!$A284,Winter!$A:$A,FALSE),MATCH(All!T$1,Winter!$1:$1,FALSE))="","",INDEX(Winter!$1:$1048576,MATCH(All!$A284,Winter!$A:$A,FALSE),MATCH(All!T$1,Winter!$1:$1,FALSE))),"")</f>
        <v>1A</v>
      </c>
      <c r="U284" t="str">
        <f>IFERROR(IF(INDEX(Winter!$1:$1048576,MATCH(All!$A284,Winter!$A:$A,FALSE),MATCH(All!U$1,Winter!$1:$1,FALSE))="","",INDEX(Winter!$1:$1048576,MATCH(All!$A284,Winter!$A:$A,FALSE),MATCH(All!U$1,Winter!$1:$1,FALSE))),"")</f>
        <v/>
      </c>
      <c r="W284">
        <f>IFERROR(IF(INDEX(Spring!$1:$1048576,MATCH(All!$A284,Spring!$A:$A,FALSE),MATCH(All!W$1,Spring!$1:$1,FALSE))="","",INDEX(Spring!$1:$1048576,MATCH(All!$A284,Spring!$A:$A,FALSE),MATCH(All!W$1,Spring!$1:$1,FALSE))),"")</f>
        <v>91</v>
      </c>
      <c r="X284" t="str">
        <f>IFERROR(IF(INDEX(Spring!$1:$1048576,MATCH(All!$A284,Spring!$A:$A,FALSE),MATCH(All!X$1,Spring!$1:$1,FALSE))="","",INDEX(Spring!$1:$1048576,MATCH(All!$A284,Spring!$A:$A,FALSE),MATCH(All!X$1,Spring!$1:$1,FALSE))),"")</f>
        <v/>
      </c>
      <c r="Y284" t="str">
        <f>IFERROR(IF(INDEX(Spring!$1:$1048576,MATCH(All!$A284,Spring!$A:$A,FALSE),MATCH(All!Y$1,Spring!$1:$1,FALSE))="","",INDEX(Spring!$1:$1048576,MATCH(All!$A284,Spring!$A:$A,FALSE),MATCH(All!Y$1,Spring!$1:$1,FALSE))),"")</f>
        <v/>
      </c>
      <c r="Z284" t="str">
        <f>IFERROR(IF(INDEX(Spring!$1:$1048576,MATCH(All!$A284,Spring!$A:$A,FALSE),MATCH(All!Z$1,Spring!$1:$1,FALSE))="","",INDEX(Spring!$1:$1048576,MATCH(All!$A284,Spring!$A:$A,FALSE),MATCH(All!Z$1,Spring!$1:$1,FALSE))),"")</f>
        <v/>
      </c>
      <c r="AA284" t="str">
        <f>IFERROR(IF(INDEX(Spring!$1:$1048576,MATCH(All!$A284,Spring!$A:$A,FALSE),MATCH(All!AA$1,Spring!$1:$1,FALSE))="","",INDEX(Spring!$1:$1048576,MATCH(All!$A284,Spring!$A:$A,FALSE),MATCH(All!AA$1,Spring!$1:$1,FALSE))),"")</f>
        <v/>
      </c>
      <c r="AB284" t="str">
        <f>IFERROR(IF(INDEX(Spring!$1:$1048576,MATCH(All!$A284,Spring!$A:$A,FALSE),MATCH(All!AB$1,Spring!$1:$1,FALSE))="","",INDEX(Spring!$1:$1048576,MATCH(All!$A284,Spring!$A:$A,FALSE),MATCH(All!AB$1,Spring!$1:$1,FALSE))),"")</f>
        <v>1A</v>
      </c>
      <c r="AC284" t="str">
        <f>IFERROR(IF(INDEX(Spring!$1:$1048576,MATCH(All!$A284,Spring!$A:$A,FALSE),MATCH(All!AC$1,Spring!$1:$1,FALSE))="","",INDEX(Spring!$1:$1048576,MATCH(All!$A284,Spring!$A:$A,FALSE),MATCH(All!AC$1,Spring!$1:$1,FALSE))),"")</f>
        <v>1A</v>
      </c>
      <c r="AD284" t="str">
        <f>IFERROR(VLOOKUP(A284,'Flag Football'!A:A,1,FALSE),"")</f>
        <v/>
      </c>
      <c r="AE284" t="str">
        <f t="shared" si="4"/>
        <v/>
      </c>
    </row>
    <row r="285" spans="1:31" ht="15.75" thickBot="1" x14ac:dyDescent="0.3">
      <c r="A285" s="18" t="s">
        <v>361</v>
      </c>
      <c r="B285" s="38">
        <f>IFERROR(VLOOKUP(A285,'Public v Private'!A:G,3,FALSE),"")</f>
        <v>0</v>
      </c>
      <c r="C285" s="38">
        <f>IFERROR(VLOOKUP(A285,'Public v Private'!A:G,4,FALSE),"")</f>
        <v>0</v>
      </c>
      <c r="D285" s="38">
        <f>IFERROR(VLOOKUP(A285,'Public v Private'!A:G,5,FALSE),"")</f>
        <v>0</v>
      </c>
      <c r="E285" s="38"/>
      <c r="F285" s="40">
        <f>IFERROR(INDEX(Fall!$1:$1048576,MATCH(All!$A285,Fall!$A:$A,FALSE),MATCH(All!F$1,Fall!$1:$1,FALSE)),"N/A")</f>
        <v>237</v>
      </c>
      <c r="G285" t="str">
        <f>IFERROR(IF(INDEX(Fall!$1:$1048576,MATCH(All!$A285,Fall!$A:$A,FALSE),MATCH(All!G$1,Fall!$1:$1,FALSE))="","",INDEX(Fall!$1:$1048576,MATCH(All!$A285,Fall!$A:$A,FALSE),MATCH(All!G$1,Fall!$1:$1,FALSE))),"")</f>
        <v>1A</v>
      </c>
      <c r="H285" t="str">
        <f>IFERROR(IF(INDEX(Fall!$1:$1048576,MATCH(All!$A285,Fall!$A:$A,FALSE),MATCH(All!H$1,Fall!$1:$1,FALSE))="","",INDEX(Fall!$1:$1048576,MATCH(All!$A285,Fall!$A:$A,FALSE),MATCH(All!H$1,Fall!$1:$1,FALSE))),"")</f>
        <v>1A</v>
      </c>
      <c r="I285" t="str">
        <f>IFERROR(IF(INDEX(Fall!$1:$1048576,MATCH(All!$A285,Fall!$A:$A,FALSE),MATCH(All!I$1,Fall!$1:$1,FALSE))="","",INDEX(Fall!$1:$1048576,MATCH(All!$A285,Fall!$A:$A,FALSE),MATCH(All!I$1,Fall!$1:$1,FALSE))),"")</f>
        <v>1A</v>
      </c>
      <c r="J285" t="str">
        <f>IFERROR(IF(INDEX(Fall!$1:$1048576,MATCH(All!$A285,Fall!$A:$A,FALSE),MATCH(All!J$1,Fall!$1:$1,FALSE))="","",INDEX(Fall!$1:$1048576,MATCH(All!$A285,Fall!$A:$A,FALSE),MATCH(All!J$1,Fall!$1:$1,FALSE))),"")</f>
        <v/>
      </c>
      <c r="K285" t="str">
        <f>IFERROR(IF(INDEX(Fall!$1:$1048576,MATCH(All!$A285,Fall!$A:$A,FALSE),MATCH(All!K$1,Fall!$1:$1,FALSE))="","",INDEX(Fall!$1:$1048576,MATCH(All!$A285,Fall!$A:$A,FALSE),MATCH(All!K$1,Fall!$1:$1,FALSE))),"")</f>
        <v/>
      </c>
      <c r="L285" t="str">
        <f>IFERROR(IF(INDEX(Fall!$1:$1048576,MATCH(All!$A285,Fall!$A:$A,FALSE),MATCH(All!L$1,Fall!$1:$1,FALSE))="","",INDEX(Fall!$1:$1048576,MATCH(All!$A285,Fall!$A:$A,FALSE),MATCH(All!L$1,Fall!$1:$1,FALSE))),"")</f>
        <v/>
      </c>
      <c r="M285" t="str">
        <f>IFERROR(IF(INDEX(Fall!$1:$1048576,MATCH(All!$A285,Fall!$A:$A,FALSE),MATCH(All!M$1,Fall!$1:$1,FALSE))="","",INDEX(Fall!$1:$1048576,MATCH(All!$A285,Fall!$A:$A,FALSE),MATCH(All!M$1,Fall!$1:$1,FALSE))),"")</f>
        <v>1A</v>
      </c>
      <c r="O285">
        <f>IFERROR(IF(INDEX(Winter!$1:$1048576,MATCH(All!$A285,Winter!$A:$A,FALSE),MATCH(All!O$1,Winter!$1:$1,FALSE))="","",INDEX(Winter!$1:$1048576,MATCH(All!$A285,Winter!$A:$A,FALSE),MATCH(All!O$1,Winter!$1:$1,FALSE))),"")</f>
        <v>237</v>
      </c>
      <c r="P285" t="str">
        <f>IFERROR(IF(INDEX(Winter!$1:$1048576,MATCH(All!$A285,Winter!$A:$A,FALSE),MATCH(All!P$1,Winter!$1:$1,FALSE))="","",INDEX(Winter!$1:$1048576,MATCH(All!$A285,Winter!$A:$A,FALSE),MATCH(All!P$1,Winter!$1:$1,FALSE))),"")</f>
        <v>1A</v>
      </c>
      <c r="Q285" t="str">
        <f>IFERROR(IF(INDEX(Winter!$1:$1048576,MATCH(All!$A285,Winter!$A:$A,FALSE),MATCH(All!Q$1,Winter!$1:$1,FALSE))="","",INDEX(Winter!$1:$1048576,MATCH(All!$A285,Winter!$A:$A,FALSE),MATCH(All!Q$1,Winter!$1:$1,FALSE))),"")</f>
        <v>1A</v>
      </c>
      <c r="R285" t="str">
        <f>IFERROR(IF(INDEX(Winter!$1:$1048576,MATCH(All!$A285,Winter!$A:$A,FALSE),MATCH(All!R$1,Winter!$1:$1,FALSE))="","",INDEX(Winter!$1:$1048576,MATCH(All!$A285,Winter!$A:$A,FALSE),MATCH(All!R$1,Winter!$1:$1,FALSE))),"")</f>
        <v/>
      </c>
      <c r="S285" t="str">
        <f>IFERROR(IF(INDEX(Winter!$1:$1048576,MATCH(All!$A285,Winter!$A:$A,FALSE),MATCH(All!S$1,Winter!$1:$1,FALSE))="","",INDEX(Winter!$1:$1048576,MATCH(All!$A285,Winter!$A:$A,FALSE),MATCH(All!S$1,Winter!$1:$1,FALSE))),"")</f>
        <v/>
      </c>
      <c r="T285" t="str">
        <f>IFERROR(IF(INDEX(Winter!$1:$1048576,MATCH(All!$A285,Winter!$A:$A,FALSE),MATCH(All!T$1,Winter!$1:$1,FALSE))="","",INDEX(Winter!$1:$1048576,MATCH(All!$A285,Winter!$A:$A,FALSE),MATCH(All!T$1,Winter!$1:$1,FALSE))),"")</f>
        <v>1A</v>
      </c>
      <c r="U285" t="str">
        <f>IFERROR(IF(INDEX(Winter!$1:$1048576,MATCH(All!$A285,Winter!$A:$A,FALSE),MATCH(All!U$1,Winter!$1:$1,FALSE))="","",INDEX(Winter!$1:$1048576,MATCH(All!$A285,Winter!$A:$A,FALSE),MATCH(All!U$1,Winter!$1:$1,FALSE))),"")</f>
        <v>1A</v>
      </c>
      <c r="W285">
        <f>IFERROR(IF(INDEX(Spring!$1:$1048576,MATCH(All!$A285,Spring!$A:$A,FALSE),MATCH(All!W$1,Spring!$1:$1,FALSE))="","",INDEX(Spring!$1:$1048576,MATCH(All!$A285,Spring!$A:$A,FALSE),MATCH(All!W$1,Spring!$1:$1,FALSE))),"")</f>
        <v>237</v>
      </c>
      <c r="X285" t="str">
        <f>IFERROR(IF(INDEX(Spring!$1:$1048576,MATCH(All!$A285,Spring!$A:$A,FALSE),MATCH(All!X$1,Spring!$1:$1,FALSE))="","",INDEX(Spring!$1:$1048576,MATCH(All!$A285,Spring!$A:$A,FALSE),MATCH(All!X$1,Spring!$1:$1,FALSE))),"")</f>
        <v>1A</v>
      </c>
      <c r="Y285" t="str">
        <f>IFERROR(IF(INDEX(Spring!$1:$1048576,MATCH(All!$A285,Spring!$A:$A,FALSE),MATCH(All!Y$1,Spring!$1:$1,FALSE))="","",INDEX(Spring!$1:$1048576,MATCH(All!$A285,Spring!$A:$A,FALSE),MATCH(All!Y$1,Spring!$1:$1,FALSE))),"")</f>
        <v>1A</v>
      </c>
      <c r="Z285" t="str">
        <f>IFERROR(IF(INDEX(Spring!$1:$1048576,MATCH(All!$A285,Spring!$A:$A,FALSE),MATCH(All!Z$1,Spring!$1:$1,FALSE))="","",INDEX(Spring!$1:$1048576,MATCH(All!$A285,Spring!$A:$A,FALSE),MATCH(All!Z$1,Spring!$1:$1,FALSE))),"")</f>
        <v/>
      </c>
      <c r="AA285" t="str">
        <f>IFERROR(IF(INDEX(Spring!$1:$1048576,MATCH(All!$A285,Spring!$A:$A,FALSE),MATCH(All!AA$1,Spring!$1:$1,FALSE))="","",INDEX(Spring!$1:$1048576,MATCH(All!$A285,Spring!$A:$A,FALSE),MATCH(All!AA$1,Spring!$1:$1,FALSE))),"")</f>
        <v/>
      </c>
      <c r="AB285" t="str">
        <f>IFERROR(IF(INDEX(Spring!$1:$1048576,MATCH(All!$A285,Spring!$A:$A,FALSE),MATCH(All!AB$1,Spring!$1:$1,FALSE))="","",INDEX(Spring!$1:$1048576,MATCH(All!$A285,Spring!$A:$A,FALSE),MATCH(All!AB$1,Spring!$1:$1,FALSE))),"")</f>
        <v>1A</v>
      </c>
      <c r="AC285" t="str">
        <f>IFERROR(IF(INDEX(Spring!$1:$1048576,MATCH(All!$A285,Spring!$A:$A,FALSE),MATCH(All!AC$1,Spring!$1:$1,FALSE))="","",INDEX(Spring!$1:$1048576,MATCH(All!$A285,Spring!$A:$A,FALSE),MATCH(All!AC$1,Spring!$1:$1,FALSE))),"")</f>
        <v>1A</v>
      </c>
      <c r="AD285" t="str">
        <f>IFERROR(VLOOKUP(A285,'Flag Football'!A:A,1,FALSE),"")</f>
        <v/>
      </c>
      <c r="AE285" t="str">
        <f t="shared" si="4"/>
        <v/>
      </c>
    </row>
    <row r="286" spans="1:31" ht="15.75" thickBot="1" x14ac:dyDescent="0.3">
      <c r="A286" s="20" t="s">
        <v>362</v>
      </c>
      <c r="B286" s="38">
        <f>IFERROR(VLOOKUP(A286,'Public v Private'!A:G,3,FALSE),"")</f>
        <v>0</v>
      </c>
      <c r="C286" s="38">
        <f>IFERROR(VLOOKUP(A286,'Public v Private'!A:G,4,FALSE),"")</f>
        <v>0</v>
      </c>
      <c r="D286" s="38">
        <f>IFERROR(VLOOKUP(A286,'Public v Private'!A:G,5,FALSE),"")</f>
        <v>0</v>
      </c>
      <c r="E286" s="38"/>
      <c r="F286" s="40">
        <f>IFERROR(INDEX(Fall!$1:$1048576,MATCH(All!$A286,Fall!$A:$A,FALSE),MATCH(All!F$1,Fall!$1:$1,FALSE)),"N/A")</f>
        <v>1159</v>
      </c>
      <c r="G286" t="str">
        <f>IFERROR(IF(INDEX(Fall!$1:$1048576,MATCH(All!$A286,Fall!$A:$A,FALSE),MATCH(All!G$1,Fall!$1:$1,FALSE))="","",INDEX(Fall!$1:$1048576,MATCH(All!$A286,Fall!$A:$A,FALSE),MATCH(All!G$1,Fall!$1:$1,FALSE))),"")</f>
        <v>2A</v>
      </c>
      <c r="H286" t="str">
        <f>IFERROR(IF(INDEX(Fall!$1:$1048576,MATCH(All!$A286,Fall!$A:$A,FALSE),MATCH(All!H$1,Fall!$1:$1,FALSE))="","",INDEX(Fall!$1:$1048576,MATCH(All!$A286,Fall!$A:$A,FALSE),MATCH(All!H$1,Fall!$1:$1,FALSE))),"")</f>
        <v/>
      </c>
      <c r="I286" t="str">
        <f>IFERROR(IF(INDEX(Fall!$1:$1048576,MATCH(All!$A286,Fall!$A:$A,FALSE),MATCH(All!I$1,Fall!$1:$1,FALSE))="","",INDEX(Fall!$1:$1048576,MATCH(All!$A286,Fall!$A:$A,FALSE),MATCH(All!I$1,Fall!$1:$1,FALSE))),"")</f>
        <v>2A</v>
      </c>
      <c r="J286" t="str">
        <f>IFERROR(IF(INDEX(Fall!$1:$1048576,MATCH(All!$A286,Fall!$A:$A,FALSE),MATCH(All!J$1,Fall!$1:$1,FALSE))="","",INDEX(Fall!$1:$1048576,MATCH(All!$A286,Fall!$A:$A,FALSE),MATCH(All!J$1,Fall!$1:$1,FALSE))),"")</f>
        <v/>
      </c>
      <c r="K286" t="str">
        <f>IFERROR(IF(INDEX(Fall!$1:$1048576,MATCH(All!$A286,Fall!$A:$A,FALSE),MATCH(All!K$1,Fall!$1:$1,FALSE))="","",INDEX(Fall!$1:$1048576,MATCH(All!$A286,Fall!$A:$A,FALSE),MATCH(All!K$1,Fall!$1:$1,FALSE))),"")</f>
        <v>2A</v>
      </c>
      <c r="L286" t="str">
        <f>IFERROR(IF(INDEX(Fall!$1:$1048576,MATCH(All!$A286,Fall!$A:$A,FALSE),MATCH(All!L$1,Fall!$1:$1,FALSE))="","",INDEX(Fall!$1:$1048576,MATCH(All!$A286,Fall!$A:$A,FALSE),MATCH(All!L$1,Fall!$1:$1,FALSE))),"")</f>
        <v>1A</v>
      </c>
      <c r="M286" t="str">
        <f>IFERROR(IF(INDEX(Fall!$1:$1048576,MATCH(All!$A286,Fall!$A:$A,FALSE),MATCH(All!M$1,Fall!$1:$1,FALSE))="","",INDEX(Fall!$1:$1048576,MATCH(All!$A286,Fall!$A:$A,FALSE),MATCH(All!M$1,Fall!$1:$1,FALSE))),"")</f>
        <v>3A</v>
      </c>
      <c r="O286">
        <f>IFERROR(IF(INDEX(Winter!$1:$1048576,MATCH(All!$A286,Winter!$A:$A,FALSE),MATCH(All!O$1,Winter!$1:$1,FALSE))="","",INDEX(Winter!$1:$1048576,MATCH(All!$A286,Winter!$A:$A,FALSE),MATCH(All!O$1,Winter!$1:$1,FALSE))),"")</f>
        <v>1159</v>
      </c>
      <c r="P286" t="str">
        <f>IFERROR(IF(INDEX(Winter!$1:$1048576,MATCH(All!$A286,Winter!$A:$A,FALSE),MATCH(All!P$1,Winter!$1:$1,FALSE))="","",INDEX(Winter!$1:$1048576,MATCH(All!$A286,Winter!$A:$A,FALSE),MATCH(All!P$1,Winter!$1:$1,FALSE))),"")</f>
        <v>3A</v>
      </c>
      <c r="Q286" t="str">
        <f>IFERROR(IF(INDEX(Winter!$1:$1048576,MATCH(All!$A286,Winter!$A:$A,FALSE),MATCH(All!Q$1,Winter!$1:$1,FALSE))="","",INDEX(Winter!$1:$1048576,MATCH(All!$A286,Winter!$A:$A,FALSE),MATCH(All!Q$1,Winter!$1:$1,FALSE))),"")</f>
        <v>3A</v>
      </c>
      <c r="R286" t="str">
        <f>IFERROR(IF(INDEX(Winter!$1:$1048576,MATCH(All!$A286,Winter!$A:$A,FALSE),MATCH(All!R$1,Winter!$1:$1,FALSE))="","",INDEX(Winter!$1:$1048576,MATCH(All!$A286,Winter!$A:$A,FALSE),MATCH(All!R$1,Winter!$1:$1,FALSE))),"")</f>
        <v/>
      </c>
      <c r="S286" t="str">
        <f>IFERROR(IF(INDEX(Winter!$1:$1048576,MATCH(All!$A286,Winter!$A:$A,FALSE),MATCH(All!S$1,Winter!$1:$1,FALSE))="","",INDEX(Winter!$1:$1048576,MATCH(All!$A286,Winter!$A:$A,FALSE),MATCH(All!S$1,Winter!$1:$1,FALSE))),"")</f>
        <v>2A</v>
      </c>
      <c r="T286" t="str">
        <f>IFERROR(IF(INDEX(Winter!$1:$1048576,MATCH(All!$A286,Winter!$A:$A,FALSE),MATCH(All!T$1,Winter!$1:$1,FALSE))="","",INDEX(Winter!$1:$1048576,MATCH(All!$A286,Winter!$A:$A,FALSE),MATCH(All!T$1,Winter!$1:$1,FALSE))),"")</f>
        <v/>
      </c>
      <c r="U286" t="str">
        <f>IFERROR(IF(INDEX(Winter!$1:$1048576,MATCH(All!$A286,Winter!$A:$A,FALSE),MATCH(All!U$1,Winter!$1:$1,FALSE))="","",INDEX(Winter!$1:$1048576,MATCH(All!$A286,Winter!$A:$A,FALSE),MATCH(All!U$1,Winter!$1:$1,FALSE))),"")</f>
        <v>2A</v>
      </c>
      <c r="W286">
        <f>IFERROR(IF(INDEX(Spring!$1:$1048576,MATCH(All!$A286,Spring!$A:$A,FALSE),MATCH(All!W$1,Spring!$1:$1,FALSE))="","",INDEX(Spring!$1:$1048576,MATCH(All!$A286,Spring!$A:$A,FALSE),MATCH(All!W$1,Spring!$1:$1,FALSE))),"")</f>
        <v>1159</v>
      </c>
      <c r="X286" t="str">
        <f>IFERROR(IF(INDEX(Spring!$1:$1048576,MATCH(All!$A286,Spring!$A:$A,FALSE),MATCH(All!X$1,Spring!$1:$1,FALSE))="","",INDEX(Spring!$1:$1048576,MATCH(All!$A286,Spring!$A:$A,FALSE),MATCH(All!X$1,Spring!$1:$1,FALSE))),"")</f>
        <v>3A</v>
      </c>
      <c r="Y286" t="str">
        <f>IFERROR(IF(INDEX(Spring!$1:$1048576,MATCH(All!$A286,Spring!$A:$A,FALSE),MATCH(All!Y$1,Spring!$1:$1,FALSE))="","",INDEX(Spring!$1:$1048576,MATCH(All!$A286,Spring!$A:$A,FALSE),MATCH(All!Y$1,Spring!$1:$1,FALSE))),"")</f>
        <v>3A</v>
      </c>
      <c r="Z286" t="str">
        <f>IFERROR(IF(INDEX(Spring!$1:$1048576,MATCH(All!$A286,Spring!$A:$A,FALSE),MATCH(All!Z$1,Spring!$1:$1,FALSE))="","",INDEX(Spring!$1:$1048576,MATCH(All!$A286,Spring!$A:$A,FALSE),MATCH(All!Z$1,Spring!$1:$1,FALSE))),"")</f>
        <v>2A</v>
      </c>
      <c r="AA286" t="str">
        <f>IFERROR(IF(INDEX(Spring!$1:$1048576,MATCH(All!$A286,Spring!$A:$A,FALSE),MATCH(All!AA$1,Spring!$1:$1,FALSE))="","",INDEX(Spring!$1:$1048576,MATCH(All!$A286,Spring!$A:$A,FALSE),MATCH(All!AA$1,Spring!$1:$1,FALSE))),"")</f>
        <v>1A</v>
      </c>
      <c r="AB286" t="str">
        <f>IFERROR(IF(INDEX(Spring!$1:$1048576,MATCH(All!$A286,Spring!$A:$A,FALSE),MATCH(All!AB$1,Spring!$1:$1,FALSE))="","",INDEX(Spring!$1:$1048576,MATCH(All!$A286,Spring!$A:$A,FALSE),MATCH(All!AB$1,Spring!$1:$1,FALSE))),"")</f>
        <v>2A</v>
      </c>
      <c r="AC286" t="str">
        <f>IFERROR(IF(INDEX(Spring!$1:$1048576,MATCH(All!$A286,Spring!$A:$A,FALSE),MATCH(All!AC$1,Spring!$1:$1,FALSE))="","",INDEX(Spring!$1:$1048576,MATCH(All!$A286,Spring!$A:$A,FALSE),MATCH(All!AC$1,Spring!$1:$1,FALSE))),"")</f>
        <v>2A</v>
      </c>
      <c r="AD286" t="str">
        <f>IFERROR(VLOOKUP(A286,'Flag Football'!A:A,1,FALSE),"")</f>
        <v>Danville (H.S.)</v>
      </c>
      <c r="AE286" t="str">
        <f t="shared" si="4"/>
        <v>1A</v>
      </c>
    </row>
    <row r="287" spans="1:31" ht="15.75" thickBot="1" x14ac:dyDescent="0.3">
      <c r="A287" s="18" t="s">
        <v>363</v>
      </c>
      <c r="B287" s="38" t="str">
        <f>IFERROR(VLOOKUP(A287,'Public v Private'!A:G,3,FALSE),"")</f>
        <v>private</v>
      </c>
      <c r="C287" s="38">
        <f>IFERROR(VLOOKUP(A287,'Public v Private'!A:G,4,FALSE),"")</f>
        <v>5</v>
      </c>
      <c r="D287" s="38">
        <f>IFERROR(VLOOKUP(A287,'Public v Private'!A:G,5,FALSE),"")</f>
        <v>13</v>
      </c>
      <c r="E287" s="38"/>
      <c r="F287" s="40" t="str">
        <f>IFERROR(INDEX(Fall!$1:$1048576,MATCH(All!$A287,Fall!$A:$A,FALSE),MATCH(All!F$1,Fall!$1:$1,FALSE)),"N/A")</f>
        <v>74.00 (122.10)</v>
      </c>
      <c r="G287" t="str">
        <f>IFERROR(IF(INDEX(Fall!$1:$1048576,MATCH(All!$A287,Fall!$A:$A,FALSE),MATCH(All!G$1,Fall!$1:$1,FALSE))="","",INDEX(Fall!$1:$1048576,MATCH(All!$A287,Fall!$A:$A,FALSE),MATCH(All!G$1,Fall!$1:$1,FALSE))),"")</f>
        <v/>
      </c>
      <c r="H287" t="str">
        <f>IFERROR(IF(INDEX(Fall!$1:$1048576,MATCH(All!$A287,Fall!$A:$A,FALSE),MATCH(All!H$1,Fall!$1:$1,FALSE))="","",INDEX(Fall!$1:$1048576,MATCH(All!$A287,Fall!$A:$A,FALSE),MATCH(All!H$1,Fall!$1:$1,FALSE))),"")</f>
        <v/>
      </c>
      <c r="I287" t="str">
        <f>IFERROR(IF(INDEX(Fall!$1:$1048576,MATCH(All!$A287,Fall!$A:$A,FALSE),MATCH(All!I$1,Fall!$1:$1,FALSE))="","",INDEX(Fall!$1:$1048576,MATCH(All!$A287,Fall!$A:$A,FALSE),MATCH(All!I$1,Fall!$1:$1,FALSE))),"")</f>
        <v>1A</v>
      </c>
      <c r="J287" t="str">
        <f>IFERROR(IF(INDEX(Fall!$1:$1048576,MATCH(All!$A287,Fall!$A:$A,FALSE),MATCH(All!J$1,Fall!$1:$1,FALSE))="","",INDEX(Fall!$1:$1048576,MATCH(All!$A287,Fall!$A:$A,FALSE),MATCH(All!J$1,Fall!$1:$1,FALSE))),"")</f>
        <v/>
      </c>
      <c r="K287" t="str">
        <f>IFERROR(IF(INDEX(Fall!$1:$1048576,MATCH(All!$A287,Fall!$A:$A,FALSE),MATCH(All!K$1,Fall!$1:$1,FALSE))="","",INDEX(Fall!$1:$1048576,MATCH(All!$A287,Fall!$A:$A,FALSE),MATCH(All!K$1,Fall!$1:$1,FALSE))),"")</f>
        <v>1A</v>
      </c>
      <c r="L287" t="str">
        <f>IFERROR(IF(INDEX(Fall!$1:$1048576,MATCH(All!$A287,Fall!$A:$A,FALSE),MATCH(All!L$1,Fall!$1:$1,FALSE))="","",INDEX(Fall!$1:$1048576,MATCH(All!$A287,Fall!$A:$A,FALSE),MATCH(All!L$1,Fall!$1:$1,FALSE))),"")</f>
        <v>1A</v>
      </c>
      <c r="M287" t="str">
        <f>IFERROR(IF(INDEX(Fall!$1:$1048576,MATCH(All!$A287,Fall!$A:$A,FALSE),MATCH(All!M$1,Fall!$1:$1,FALSE))="","",INDEX(Fall!$1:$1048576,MATCH(All!$A287,Fall!$A:$A,FALSE),MATCH(All!M$1,Fall!$1:$1,FALSE))),"")</f>
        <v>1A</v>
      </c>
      <c r="O287" t="str">
        <f>IFERROR(IF(INDEX(Winter!$1:$1048576,MATCH(All!$A287,Winter!$A:$A,FALSE),MATCH(All!O$1,Winter!$1:$1,FALSE))="","",INDEX(Winter!$1:$1048576,MATCH(All!$A287,Winter!$A:$A,FALSE),MATCH(All!O$1,Winter!$1:$1,FALSE))),"")</f>
        <v>74.00 (122.10)</v>
      </c>
      <c r="P287" t="str">
        <f>IFERROR(IF(INDEX(Winter!$1:$1048576,MATCH(All!$A287,Winter!$A:$A,FALSE),MATCH(All!P$1,Winter!$1:$1,FALSE))="","",INDEX(Winter!$1:$1048576,MATCH(All!$A287,Winter!$A:$A,FALSE),MATCH(All!P$1,Winter!$1:$1,FALSE))),"")</f>
        <v>1A</v>
      </c>
      <c r="Q287" t="str">
        <f>IFERROR(IF(INDEX(Winter!$1:$1048576,MATCH(All!$A287,Winter!$A:$A,FALSE),MATCH(All!Q$1,Winter!$1:$1,FALSE))="","",INDEX(Winter!$1:$1048576,MATCH(All!$A287,Winter!$A:$A,FALSE),MATCH(All!Q$1,Winter!$1:$1,FALSE))),"")</f>
        <v>1A</v>
      </c>
      <c r="R287" t="str">
        <f>IFERROR(IF(INDEX(Winter!$1:$1048576,MATCH(All!$A287,Winter!$A:$A,FALSE),MATCH(All!R$1,Winter!$1:$1,FALSE))="","",INDEX(Winter!$1:$1048576,MATCH(All!$A287,Winter!$A:$A,FALSE),MATCH(All!R$1,Winter!$1:$1,FALSE))),"")</f>
        <v/>
      </c>
      <c r="S287" t="str">
        <f>IFERROR(IF(INDEX(Winter!$1:$1048576,MATCH(All!$A287,Winter!$A:$A,FALSE),MATCH(All!S$1,Winter!$1:$1,FALSE))="","",INDEX(Winter!$1:$1048576,MATCH(All!$A287,Winter!$A:$A,FALSE),MATCH(All!S$1,Winter!$1:$1,FALSE))),"")</f>
        <v/>
      </c>
      <c r="T287" t="str">
        <f>IFERROR(IF(INDEX(Winter!$1:$1048576,MATCH(All!$A287,Winter!$A:$A,FALSE),MATCH(All!T$1,Winter!$1:$1,FALSE))="","",INDEX(Winter!$1:$1048576,MATCH(All!$A287,Winter!$A:$A,FALSE),MATCH(All!T$1,Winter!$1:$1,FALSE))),"")</f>
        <v>1A</v>
      </c>
      <c r="U287" t="str">
        <f>IFERROR(IF(INDEX(Winter!$1:$1048576,MATCH(All!$A287,Winter!$A:$A,FALSE),MATCH(All!U$1,Winter!$1:$1,FALSE))="","",INDEX(Winter!$1:$1048576,MATCH(All!$A287,Winter!$A:$A,FALSE),MATCH(All!U$1,Winter!$1:$1,FALSE))),"")</f>
        <v/>
      </c>
      <c r="W287" t="str">
        <f>IFERROR(IF(INDEX(Spring!$1:$1048576,MATCH(All!$A287,Spring!$A:$A,FALSE),MATCH(All!W$1,Spring!$1:$1,FALSE))="","",INDEX(Spring!$1:$1048576,MATCH(All!$A287,Spring!$A:$A,FALSE),MATCH(All!W$1,Spring!$1:$1,FALSE))),"")</f>
        <v>74.00 (122.10)</v>
      </c>
      <c r="X287" t="str">
        <f>IFERROR(IF(INDEX(Spring!$1:$1048576,MATCH(All!$A287,Spring!$A:$A,FALSE),MATCH(All!X$1,Spring!$1:$1,FALSE))="","",INDEX(Spring!$1:$1048576,MATCH(All!$A287,Spring!$A:$A,FALSE),MATCH(All!X$1,Spring!$1:$1,FALSE))),"")</f>
        <v>1A</v>
      </c>
      <c r="Y287" t="str">
        <f>IFERROR(IF(INDEX(Spring!$1:$1048576,MATCH(All!$A287,Spring!$A:$A,FALSE),MATCH(All!Y$1,Spring!$1:$1,FALSE))="","",INDEX(Spring!$1:$1048576,MATCH(All!$A287,Spring!$A:$A,FALSE),MATCH(All!Y$1,Spring!$1:$1,FALSE))),"")</f>
        <v/>
      </c>
      <c r="Z287" t="str">
        <f>IFERROR(IF(INDEX(Spring!$1:$1048576,MATCH(All!$A287,Spring!$A:$A,FALSE),MATCH(All!Z$1,Spring!$1:$1,FALSE))="","",INDEX(Spring!$1:$1048576,MATCH(All!$A287,Spring!$A:$A,FALSE),MATCH(All!Z$1,Spring!$1:$1,FALSE))),"")</f>
        <v/>
      </c>
      <c r="AA287" t="str">
        <f>IFERROR(IF(INDEX(Spring!$1:$1048576,MATCH(All!$A287,Spring!$A:$A,FALSE),MATCH(All!AA$1,Spring!$1:$1,FALSE))="","",INDEX(Spring!$1:$1048576,MATCH(All!$A287,Spring!$A:$A,FALSE),MATCH(All!AA$1,Spring!$1:$1,FALSE))),"")</f>
        <v/>
      </c>
      <c r="AB287" t="str">
        <f>IFERROR(IF(INDEX(Spring!$1:$1048576,MATCH(All!$A287,Spring!$A:$A,FALSE),MATCH(All!AB$1,Spring!$1:$1,FALSE))="","",INDEX(Spring!$1:$1048576,MATCH(All!$A287,Spring!$A:$A,FALSE),MATCH(All!AB$1,Spring!$1:$1,FALSE))),"")</f>
        <v>1A</v>
      </c>
      <c r="AC287" t="str">
        <f>IFERROR(IF(INDEX(Spring!$1:$1048576,MATCH(All!$A287,Spring!$A:$A,FALSE),MATCH(All!AC$1,Spring!$1:$1,FALSE))="","",INDEX(Spring!$1:$1048576,MATCH(All!$A287,Spring!$A:$A,FALSE),MATCH(All!AC$1,Spring!$1:$1,FALSE))),"")</f>
        <v>1A</v>
      </c>
      <c r="AD287" t="str">
        <f>IFERROR(VLOOKUP(A287,'Flag Football'!A:A,1,FALSE),"")</f>
        <v/>
      </c>
      <c r="AE287" t="str">
        <f t="shared" si="4"/>
        <v/>
      </c>
    </row>
    <row r="288" spans="1:31" ht="15.75" thickBot="1" x14ac:dyDescent="0.3">
      <c r="A288" s="20" t="s">
        <v>365</v>
      </c>
      <c r="B288" s="38">
        <f>IFERROR(VLOOKUP(A288,'Public v Private'!A:G,3,FALSE),"")</f>
        <v>0</v>
      </c>
      <c r="C288" s="38">
        <f>IFERROR(VLOOKUP(A288,'Public v Private'!A:G,4,FALSE),"")</f>
        <v>0</v>
      </c>
      <c r="D288" s="38">
        <f>IFERROR(VLOOKUP(A288,'Public v Private'!A:G,5,FALSE),"")</f>
        <v>0</v>
      </c>
      <c r="E288" s="38"/>
      <c r="F288" s="40">
        <f>IFERROR(INDEX(Fall!$1:$1048576,MATCH(All!$A288,Fall!$A:$A,FALSE),MATCH(All!F$1,Fall!$1:$1,FALSE)),"N/A")</f>
        <v>1340</v>
      </c>
      <c r="G288" t="str">
        <f>IFERROR(IF(INDEX(Fall!$1:$1048576,MATCH(All!$A288,Fall!$A:$A,FALSE),MATCH(All!G$1,Fall!$1:$1,FALSE))="","",INDEX(Fall!$1:$1048576,MATCH(All!$A288,Fall!$A:$A,FALSE),MATCH(All!G$1,Fall!$1:$1,FALSE))),"")</f>
        <v>2A</v>
      </c>
      <c r="H288" t="str">
        <f>IFERROR(IF(INDEX(Fall!$1:$1048576,MATCH(All!$A288,Fall!$A:$A,FALSE),MATCH(All!H$1,Fall!$1:$1,FALSE))="","",INDEX(Fall!$1:$1048576,MATCH(All!$A288,Fall!$A:$A,FALSE),MATCH(All!H$1,Fall!$1:$1,FALSE))),"")</f>
        <v>2A</v>
      </c>
      <c r="I288" t="str">
        <f>IFERROR(IF(INDEX(Fall!$1:$1048576,MATCH(All!$A288,Fall!$A:$A,FALSE),MATCH(All!I$1,Fall!$1:$1,FALSE))="","",INDEX(Fall!$1:$1048576,MATCH(All!$A288,Fall!$A:$A,FALSE),MATCH(All!I$1,Fall!$1:$1,FALSE))),"")</f>
        <v>2A</v>
      </c>
      <c r="J288" t="str">
        <f>IFERROR(IF(INDEX(Fall!$1:$1048576,MATCH(All!$A288,Fall!$A:$A,FALSE),MATCH(All!J$1,Fall!$1:$1,FALSE))="","",INDEX(Fall!$1:$1048576,MATCH(All!$A288,Fall!$A:$A,FALSE),MATCH(All!J$1,Fall!$1:$1,FALSE))),"")</f>
        <v>2A</v>
      </c>
      <c r="K288" t="str">
        <f>IFERROR(IF(INDEX(Fall!$1:$1048576,MATCH(All!$A288,Fall!$A:$A,FALSE),MATCH(All!K$1,Fall!$1:$1,FALSE))="","",INDEX(Fall!$1:$1048576,MATCH(All!$A288,Fall!$A:$A,FALSE),MATCH(All!K$1,Fall!$1:$1,FALSE))),"")</f>
        <v>2A</v>
      </c>
      <c r="L288" t="str">
        <f>IFERROR(IF(INDEX(Fall!$1:$1048576,MATCH(All!$A288,Fall!$A:$A,FALSE),MATCH(All!L$1,Fall!$1:$1,FALSE))="","",INDEX(Fall!$1:$1048576,MATCH(All!$A288,Fall!$A:$A,FALSE),MATCH(All!L$1,Fall!$1:$1,FALSE))),"")</f>
        <v>1A</v>
      </c>
      <c r="M288" t="str">
        <f>IFERROR(IF(INDEX(Fall!$1:$1048576,MATCH(All!$A288,Fall!$A:$A,FALSE),MATCH(All!M$1,Fall!$1:$1,FALSE))="","",INDEX(Fall!$1:$1048576,MATCH(All!$A288,Fall!$A:$A,FALSE),MATCH(All!M$1,Fall!$1:$1,FALSE))),"")</f>
        <v>3A</v>
      </c>
      <c r="O288">
        <f>IFERROR(IF(INDEX(Winter!$1:$1048576,MATCH(All!$A288,Winter!$A:$A,FALSE),MATCH(All!O$1,Winter!$1:$1,FALSE))="","",INDEX(Winter!$1:$1048576,MATCH(All!$A288,Winter!$A:$A,FALSE),MATCH(All!O$1,Winter!$1:$1,FALSE))),"")</f>
        <v>1340</v>
      </c>
      <c r="P288" t="str">
        <f>IFERROR(IF(INDEX(Winter!$1:$1048576,MATCH(All!$A288,Winter!$A:$A,FALSE),MATCH(All!P$1,Winter!$1:$1,FALSE))="","",INDEX(Winter!$1:$1048576,MATCH(All!$A288,Winter!$A:$A,FALSE),MATCH(All!P$1,Winter!$1:$1,FALSE))),"")</f>
        <v>3A</v>
      </c>
      <c r="Q288" t="str">
        <f>IFERROR(IF(INDEX(Winter!$1:$1048576,MATCH(All!$A288,Winter!$A:$A,FALSE),MATCH(All!Q$1,Winter!$1:$1,FALSE))="","",INDEX(Winter!$1:$1048576,MATCH(All!$A288,Winter!$A:$A,FALSE),MATCH(All!Q$1,Winter!$1:$1,FALSE))),"")</f>
        <v>3A</v>
      </c>
      <c r="R288" t="str">
        <f>IFERROR(IF(INDEX(Winter!$1:$1048576,MATCH(All!$A288,Winter!$A:$A,FALSE),MATCH(All!R$1,Winter!$1:$1,FALSE))="","",INDEX(Winter!$1:$1048576,MATCH(All!$A288,Winter!$A:$A,FALSE),MATCH(All!R$1,Winter!$1:$1,FALSE))),"")</f>
        <v>2A</v>
      </c>
      <c r="S288" t="str">
        <f>IFERROR(IF(INDEX(Winter!$1:$1048576,MATCH(All!$A288,Winter!$A:$A,FALSE),MATCH(All!S$1,Winter!$1:$1,FALSE))="","",INDEX(Winter!$1:$1048576,MATCH(All!$A288,Winter!$A:$A,FALSE),MATCH(All!S$1,Winter!$1:$1,FALSE))),"")</f>
        <v>2A</v>
      </c>
      <c r="T288" t="str">
        <f>IFERROR(IF(INDEX(Winter!$1:$1048576,MATCH(All!$A288,Winter!$A:$A,FALSE),MATCH(All!T$1,Winter!$1:$1,FALSE))="","",INDEX(Winter!$1:$1048576,MATCH(All!$A288,Winter!$A:$A,FALSE),MATCH(All!T$1,Winter!$1:$1,FALSE))),"")</f>
        <v>2A</v>
      </c>
      <c r="U288" t="str">
        <f>IFERROR(IF(INDEX(Winter!$1:$1048576,MATCH(All!$A288,Winter!$A:$A,FALSE),MATCH(All!U$1,Winter!$1:$1,FALSE))="","",INDEX(Winter!$1:$1048576,MATCH(All!$A288,Winter!$A:$A,FALSE),MATCH(All!U$1,Winter!$1:$1,FALSE))),"")</f>
        <v>2A</v>
      </c>
      <c r="W288">
        <f>IFERROR(IF(INDEX(Spring!$1:$1048576,MATCH(All!$A288,Spring!$A:$A,FALSE),MATCH(All!W$1,Spring!$1:$1,FALSE))="","",INDEX(Spring!$1:$1048576,MATCH(All!$A288,Spring!$A:$A,FALSE),MATCH(All!W$1,Spring!$1:$1,FALSE))),"")</f>
        <v>1340</v>
      </c>
      <c r="X288" t="str">
        <f>IFERROR(IF(INDEX(Spring!$1:$1048576,MATCH(All!$A288,Spring!$A:$A,FALSE),MATCH(All!X$1,Spring!$1:$1,FALSE))="","",INDEX(Spring!$1:$1048576,MATCH(All!$A288,Spring!$A:$A,FALSE),MATCH(All!X$1,Spring!$1:$1,FALSE))),"")</f>
        <v>3A</v>
      </c>
      <c r="Y288" t="str">
        <f>IFERROR(IF(INDEX(Spring!$1:$1048576,MATCH(All!$A288,Spring!$A:$A,FALSE),MATCH(All!Y$1,Spring!$1:$1,FALSE))="","",INDEX(Spring!$1:$1048576,MATCH(All!$A288,Spring!$A:$A,FALSE),MATCH(All!Y$1,Spring!$1:$1,FALSE))),"")</f>
        <v>3A</v>
      </c>
      <c r="Z288" t="str">
        <f>IFERROR(IF(INDEX(Spring!$1:$1048576,MATCH(All!$A288,Spring!$A:$A,FALSE),MATCH(All!Z$1,Spring!$1:$1,FALSE))="","",INDEX(Spring!$1:$1048576,MATCH(All!$A288,Spring!$A:$A,FALSE),MATCH(All!Z$1,Spring!$1:$1,FALSE))),"")</f>
        <v>2A</v>
      </c>
      <c r="AA288" t="str">
        <f>IFERROR(IF(INDEX(Spring!$1:$1048576,MATCH(All!$A288,Spring!$A:$A,FALSE),MATCH(All!AA$1,Spring!$1:$1,FALSE))="","",INDEX(Spring!$1:$1048576,MATCH(All!$A288,Spring!$A:$A,FALSE),MATCH(All!AA$1,Spring!$1:$1,FALSE))),"")</f>
        <v>1A</v>
      </c>
      <c r="AB288" t="str">
        <f>IFERROR(IF(INDEX(Spring!$1:$1048576,MATCH(All!$A288,Spring!$A:$A,FALSE),MATCH(All!AB$1,Spring!$1:$1,FALSE))="","",INDEX(Spring!$1:$1048576,MATCH(All!$A288,Spring!$A:$A,FALSE),MATCH(All!AB$1,Spring!$1:$1,FALSE))),"")</f>
        <v>3A</v>
      </c>
      <c r="AC288" t="str">
        <f>IFERROR(IF(INDEX(Spring!$1:$1048576,MATCH(All!$A288,Spring!$A:$A,FALSE),MATCH(All!AC$1,Spring!$1:$1,FALSE))="","",INDEX(Spring!$1:$1048576,MATCH(All!$A288,Spring!$A:$A,FALSE),MATCH(All!AC$1,Spring!$1:$1,FALSE))),"")</f>
        <v>3A</v>
      </c>
      <c r="AD288" t="str">
        <f>IFERROR(VLOOKUP(A288,'Flag Football'!A:A,1,FALSE),"")</f>
        <v>Darien (Hinsdale South)</v>
      </c>
      <c r="AE288" t="str">
        <f t="shared" si="4"/>
        <v>1A</v>
      </c>
    </row>
    <row r="289" spans="1:31" ht="15.75" thickBot="1" x14ac:dyDescent="0.3">
      <c r="A289" s="18" t="s">
        <v>366</v>
      </c>
      <c r="B289" s="38">
        <f>IFERROR(VLOOKUP(A289,'Public v Private'!A:G,3,FALSE),"")</f>
        <v>0</v>
      </c>
      <c r="C289" s="38">
        <f>IFERROR(VLOOKUP(A289,'Public v Private'!A:G,4,FALSE),"")</f>
        <v>0</v>
      </c>
      <c r="D289" s="38">
        <f>IFERROR(VLOOKUP(A289,'Public v Private'!A:G,5,FALSE),"")</f>
        <v>0</v>
      </c>
      <c r="E289" s="38"/>
      <c r="F289" s="40">
        <f>IFERROR(INDEX(Fall!$1:$1048576,MATCH(All!$A289,Fall!$A:$A,FALSE),MATCH(All!F$1,Fall!$1:$1,FALSE)),"N/A")</f>
        <v>860</v>
      </c>
      <c r="G289" t="str">
        <f>IFERROR(IF(INDEX(Fall!$1:$1048576,MATCH(All!$A289,Fall!$A:$A,FALSE),MATCH(All!G$1,Fall!$1:$1,FALSE))="","",INDEX(Fall!$1:$1048576,MATCH(All!$A289,Fall!$A:$A,FALSE),MATCH(All!G$1,Fall!$1:$1,FALSE))),"")</f>
        <v>3A</v>
      </c>
      <c r="H289" t="str">
        <f>IFERROR(IF(INDEX(Fall!$1:$1048576,MATCH(All!$A289,Fall!$A:$A,FALSE),MATCH(All!H$1,Fall!$1:$1,FALSE))="","",INDEX(Fall!$1:$1048576,MATCH(All!$A289,Fall!$A:$A,FALSE),MATCH(All!H$1,Fall!$1:$1,FALSE))),"")</f>
        <v>3A</v>
      </c>
      <c r="I289" t="str">
        <f>IFERROR(IF(INDEX(Fall!$1:$1048576,MATCH(All!$A289,Fall!$A:$A,FALSE),MATCH(All!I$1,Fall!$1:$1,FALSE))="","",INDEX(Fall!$1:$1048576,MATCH(All!$A289,Fall!$A:$A,FALSE),MATCH(All!I$1,Fall!$1:$1,FALSE))),"")</f>
        <v/>
      </c>
      <c r="J289" t="str">
        <f>IFERROR(IF(INDEX(Fall!$1:$1048576,MATCH(All!$A289,Fall!$A:$A,FALSE),MATCH(All!J$1,Fall!$1:$1,FALSE))="","",INDEX(Fall!$1:$1048576,MATCH(All!$A289,Fall!$A:$A,FALSE),MATCH(All!J$1,Fall!$1:$1,FALSE))),"")</f>
        <v/>
      </c>
      <c r="K289" t="str">
        <f>IFERROR(IF(INDEX(Fall!$1:$1048576,MATCH(All!$A289,Fall!$A:$A,FALSE),MATCH(All!K$1,Fall!$1:$1,FALSE))="","",INDEX(Fall!$1:$1048576,MATCH(All!$A289,Fall!$A:$A,FALSE),MATCH(All!K$1,Fall!$1:$1,FALSE))),"")</f>
        <v>2A</v>
      </c>
      <c r="L289" t="str">
        <f>IFERROR(IF(INDEX(Fall!$1:$1048576,MATCH(All!$A289,Fall!$A:$A,FALSE),MATCH(All!L$1,Fall!$1:$1,FALSE))="","",INDEX(Fall!$1:$1048576,MATCH(All!$A289,Fall!$A:$A,FALSE),MATCH(All!L$1,Fall!$1:$1,FALSE))),"")</f>
        <v/>
      </c>
      <c r="M289" t="str">
        <f>IFERROR(IF(INDEX(Fall!$1:$1048576,MATCH(All!$A289,Fall!$A:$A,FALSE),MATCH(All!M$1,Fall!$1:$1,FALSE))="","",INDEX(Fall!$1:$1048576,MATCH(All!$A289,Fall!$A:$A,FALSE),MATCH(All!M$1,Fall!$1:$1,FALSE))),"")</f>
        <v>3A</v>
      </c>
      <c r="O289">
        <f>IFERROR(IF(INDEX(Winter!$1:$1048576,MATCH(All!$A289,Winter!$A:$A,FALSE),MATCH(All!O$1,Winter!$1:$1,FALSE))="","",INDEX(Winter!$1:$1048576,MATCH(All!$A289,Winter!$A:$A,FALSE),MATCH(All!O$1,Winter!$1:$1,FALSE))),"")</f>
        <v>860</v>
      </c>
      <c r="P289" t="str">
        <f>IFERROR(IF(INDEX(Winter!$1:$1048576,MATCH(All!$A289,Winter!$A:$A,FALSE),MATCH(All!P$1,Winter!$1:$1,FALSE))="","",INDEX(Winter!$1:$1048576,MATCH(All!$A289,Winter!$A:$A,FALSE),MATCH(All!P$1,Winter!$1:$1,FALSE))),"")</f>
        <v>3A</v>
      </c>
      <c r="Q289" t="str">
        <f>IFERROR(IF(INDEX(Winter!$1:$1048576,MATCH(All!$A289,Winter!$A:$A,FALSE),MATCH(All!Q$1,Winter!$1:$1,FALSE))="","",INDEX(Winter!$1:$1048576,MATCH(All!$A289,Winter!$A:$A,FALSE),MATCH(All!Q$1,Winter!$1:$1,FALSE))),"")</f>
        <v>3A</v>
      </c>
      <c r="R289" t="str">
        <f>IFERROR(IF(INDEX(Winter!$1:$1048576,MATCH(All!$A289,Winter!$A:$A,FALSE),MATCH(All!R$1,Winter!$1:$1,FALSE))="","",INDEX(Winter!$1:$1048576,MATCH(All!$A289,Winter!$A:$A,FALSE),MATCH(All!R$1,Winter!$1:$1,FALSE))),"")</f>
        <v/>
      </c>
      <c r="S289" t="str">
        <f>IFERROR(IF(INDEX(Winter!$1:$1048576,MATCH(All!$A289,Winter!$A:$A,FALSE),MATCH(All!S$1,Winter!$1:$1,FALSE))="","",INDEX(Winter!$1:$1048576,MATCH(All!$A289,Winter!$A:$A,FALSE),MATCH(All!S$1,Winter!$1:$1,FALSE))),"")</f>
        <v/>
      </c>
      <c r="T289" t="str">
        <f>IFERROR(IF(INDEX(Winter!$1:$1048576,MATCH(All!$A289,Winter!$A:$A,FALSE),MATCH(All!T$1,Winter!$1:$1,FALSE))="","",INDEX(Winter!$1:$1048576,MATCH(All!$A289,Winter!$A:$A,FALSE),MATCH(All!T$1,Winter!$1:$1,FALSE))),"")</f>
        <v>2A</v>
      </c>
      <c r="U289" t="str">
        <f>IFERROR(IF(INDEX(Winter!$1:$1048576,MATCH(All!$A289,Winter!$A:$A,FALSE),MATCH(All!U$1,Winter!$1:$1,FALSE))="","",INDEX(Winter!$1:$1048576,MATCH(All!$A289,Winter!$A:$A,FALSE),MATCH(All!U$1,Winter!$1:$1,FALSE))),"")</f>
        <v>2A</v>
      </c>
      <c r="W289">
        <f>IFERROR(IF(INDEX(Spring!$1:$1048576,MATCH(All!$A289,Spring!$A:$A,FALSE),MATCH(All!W$1,Spring!$1:$1,FALSE))="","",INDEX(Spring!$1:$1048576,MATCH(All!$A289,Spring!$A:$A,FALSE),MATCH(All!W$1,Spring!$1:$1,FALSE))),"")</f>
        <v>860</v>
      </c>
      <c r="X289" t="str">
        <f>IFERROR(IF(INDEX(Spring!$1:$1048576,MATCH(All!$A289,Spring!$A:$A,FALSE),MATCH(All!X$1,Spring!$1:$1,FALSE))="","",INDEX(Spring!$1:$1048576,MATCH(All!$A289,Spring!$A:$A,FALSE),MATCH(All!X$1,Spring!$1:$1,FALSE))),"")</f>
        <v/>
      </c>
      <c r="Y289" t="str">
        <f>IFERROR(IF(INDEX(Spring!$1:$1048576,MATCH(All!$A289,Spring!$A:$A,FALSE),MATCH(All!Y$1,Spring!$1:$1,FALSE))="","",INDEX(Spring!$1:$1048576,MATCH(All!$A289,Spring!$A:$A,FALSE),MATCH(All!Y$1,Spring!$1:$1,FALSE))),"")</f>
        <v>3A</v>
      </c>
      <c r="Z289" t="str">
        <f>IFERROR(IF(INDEX(Spring!$1:$1048576,MATCH(All!$A289,Spring!$A:$A,FALSE),MATCH(All!Z$1,Spring!$1:$1,FALSE))="","",INDEX(Spring!$1:$1048576,MATCH(All!$A289,Spring!$A:$A,FALSE),MATCH(All!Z$1,Spring!$1:$1,FALSE))),"")</f>
        <v>2A</v>
      </c>
      <c r="AA289" t="str">
        <f>IFERROR(IF(INDEX(Spring!$1:$1048576,MATCH(All!$A289,Spring!$A:$A,FALSE),MATCH(All!AA$1,Spring!$1:$1,FALSE))="","",INDEX(Spring!$1:$1048576,MATCH(All!$A289,Spring!$A:$A,FALSE),MATCH(All!AA$1,Spring!$1:$1,FALSE))),"")</f>
        <v/>
      </c>
      <c r="AB289" t="str">
        <f>IFERROR(IF(INDEX(Spring!$1:$1048576,MATCH(All!$A289,Spring!$A:$A,FALSE),MATCH(All!AB$1,Spring!$1:$1,FALSE))="","",INDEX(Spring!$1:$1048576,MATCH(All!$A289,Spring!$A:$A,FALSE),MATCH(All!AB$1,Spring!$1:$1,FALSE))),"")</f>
        <v>2A</v>
      </c>
      <c r="AC289" t="str">
        <f>IFERROR(IF(INDEX(Spring!$1:$1048576,MATCH(All!$A289,Spring!$A:$A,FALSE),MATCH(All!AC$1,Spring!$1:$1,FALSE))="","",INDEX(Spring!$1:$1048576,MATCH(All!$A289,Spring!$A:$A,FALSE),MATCH(All!AC$1,Spring!$1:$1,FALSE))),"")</f>
        <v>2A</v>
      </c>
      <c r="AD289" t="str">
        <f>IFERROR(VLOOKUP(A289,'Flag Football'!A:A,1,FALSE),"")</f>
        <v/>
      </c>
      <c r="AE289" t="str">
        <f t="shared" si="4"/>
        <v/>
      </c>
    </row>
    <row r="290" spans="1:31" ht="15.75" thickBot="1" x14ac:dyDescent="0.3">
      <c r="A290" s="20" t="s">
        <v>367</v>
      </c>
      <c r="B290" s="38">
        <f>IFERROR(VLOOKUP(A290,'Public v Private'!A:G,3,FALSE),"")</f>
        <v>0</v>
      </c>
      <c r="C290" s="38">
        <f>IFERROR(VLOOKUP(A290,'Public v Private'!A:G,4,FALSE),"")</f>
        <v>0</v>
      </c>
      <c r="D290" s="38">
        <f>IFERROR(VLOOKUP(A290,'Public v Private'!A:G,5,FALSE),"")</f>
        <v>0</v>
      </c>
      <c r="E290" s="38"/>
      <c r="F290" s="40">
        <f>IFERROR(INDEX(Fall!$1:$1048576,MATCH(All!$A290,Fall!$A:$A,FALSE),MATCH(All!F$1,Fall!$1:$1,FALSE)),"N/A")</f>
        <v>1009</v>
      </c>
      <c r="G290" t="str">
        <f>IFERROR(IF(INDEX(Fall!$1:$1048576,MATCH(All!$A290,Fall!$A:$A,FALSE),MATCH(All!G$1,Fall!$1:$1,FALSE))="","",INDEX(Fall!$1:$1048576,MATCH(All!$A290,Fall!$A:$A,FALSE),MATCH(All!G$1,Fall!$1:$1,FALSE))),"")</f>
        <v>2A</v>
      </c>
      <c r="H290" t="str">
        <f>IFERROR(IF(INDEX(Fall!$1:$1048576,MATCH(All!$A290,Fall!$A:$A,FALSE),MATCH(All!H$1,Fall!$1:$1,FALSE))="","",INDEX(Fall!$1:$1048576,MATCH(All!$A290,Fall!$A:$A,FALSE),MATCH(All!H$1,Fall!$1:$1,FALSE))),"")</f>
        <v>2A</v>
      </c>
      <c r="I290" t="str">
        <f>IFERROR(IF(INDEX(Fall!$1:$1048576,MATCH(All!$A290,Fall!$A:$A,FALSE),MATCH(All!I$1,Fall!$1:$1,FALSE))="","",INDEX(Fall!$1:$1048576,MATCH(All!$A290,Fall!$A:$A,FALSE),MATCH(All!I$1,Fall!$1:$1,FALSE))),"")</f>
        <v/>
      </c>
      <c r="J290" t="str">
        <f>IFERROR(IF(INDEX(Fall!$1:$1048576,MATCH(All!$A290,Fall!$A:$A,FALSE),MATCH(All!J$1,Fall!$1:$1,FALSE))="","",INDEX(Fall!$1:$1048576,MATCH(All!$A290,Fall!$A:$A,FALSE),MATCH(All!J$1,Fall!$1:$1,FALSE))),"")</f>
        <v/>
      </c>
      <c r="K290" t="str">
        <f>IFERROR(IF(INDEX(Fall!$1:$1048576,MATCH(All!$A290,Fall!$A:$A,FALSE),MATCH(All!K$1,Fall!$1:$1,FALSE))="","",INDEX(Fall!$1:$1048576,MATCH(All!$A290,Fall!$A:$A,FALSE),MATCH(All!K$1,Fall!$1:$1,FALSE))),"")</f>
        <v>3A</v>
      </c>
      <c r="L290" t="str">
        <f>IFERROR(IF(INDEX(Fall!$1:$1048576,MATCH(All!$A290,Fall!$A:$A,FALSE),MATCH(All!L$1,Fall!$1:$1,FALSE))="","",INDEX(Fall!$1:$1048576,MATCH(All!$A290,Fall!$A:$A,FALSE),MATCH(All!L$1,Fall!$1:$1,FALSE))),"")</f>
        <v/>
      </c>
      <c r="M290" t="str">
        <f>IFERROR(IF(INDEX(Fall!$1:$1048576,MATCH(All!$A290,Fall!$A:$A,FALSE),MATCH(All!M$1,Fall!$1:$1,FALSE))="","",INDEX(Fall!$1:$1048576,MATCH(All!$A290,Fall!$A:$A,FALSE),MATCH(All!M$1,Fall!$1:$1,FALSE))),"")</f>
        <v>3A</v>
      </c>
      <c r="O290">
        <f>IFERROR(IF(INDEX(Winter!$1:$1048576,MATCH(All!$A290,Winter!$A:$A,FALSE),MATCH(All!O$1,Winter!$1:$1,FALSE))="","",INDEX(Winter!$1:$1048576,MATCH(All!$A290,Winter!$A:$A,FALSE),MATCH(All!O$1,Winter!$1:$1,FALSE))),"")</f>
        <v>1009</v>
      </c>
      <c r="P290" t="str">
        <f>IFERROR(IF(INDEX(Winter!$1:$1048576,MATCH(All!$A290,Winter!$A:$A,FALSE),MATCH(All!P$1,Winter!$1:$1,FALSE))="","",INDEX(Winter!$1:$1048576,MATCH(All!$A290,Winter!$A:$A,FALSE),MATCH(All!P$1,Winter!$1:$1,FALSE))),"")</f>
        <v>3A</v>
      </c>
      <c r="Q290" t="str">
        <f>IFERROR(IF(INDEX(Winter!$1:$1048576,MATCH(All!$A290,Winter!$A:$A,FALSE),MATCH(All!Q$1,Winter!$1:$1,FALSE))="","",INDEX(Winter!$1:$1048576,MATCH(All!$A290,Winter!$A:$A,FALSE),MATCH(All!Q$1,Winter!$1:$1,FALSE))),"")</f>
        <v>3A</v>
      </c>
      <c r="R290" t="str">
        <f>IFERROR(IF(INDEX(Winter!$1:$1048576,MATCH(All!$A290,Winter!$A:$A,FALSE),MATCH(All!R$1,Winter!$1:$1,FALSE))="","",INDEX(Winter!$1:$1048576,MATCH(All!$A290,Winter!$A:$A,FALSE),MATCH(All!R$1,Winter!$1:$1,FALSE))),"")</f>
        <v/>
      </c>
      <c r="S290" t="str">
        <f>IFERROR(IF(INDEX(Winter!$1:$1048576,MATCH(All!$A290,Winter!$A:$A,FALSE),MATCH(All!S$1,Winter!$1:$1,FALSE))="","",INDEX(Winter!$1:$1048576,MATCH(All!$A290,Winter!$A:$A,FALSE),MATCH(All!S$1,Winter!$1:$1,FALSE))),"")</f>
        <v/>
      </c>
      <c r="T290" t="str">
        <f>IFERROR(IF(INDEX(Winter!$1:$1048576,MATCH(All!$A290,Winter!$A:$A,FALSE),MATCH(All!T$1,Winter!$1:$1,FALSE))="","",INDEX(Winter!$1:$1048576,MATCH(All!$A290,Winter!$A:$A,FALSE),MATCH(All!T$1,Winter!$1:$1,FALSE))),"")</f>
        <v>2A</v>
      </c>
      <c r="U290" t="str">
        <f>IFERROR(IF(INDEX(Winter!$1:$1048576,MATCH(All!$A290,Winter!$A:$A,FALSE),MATCH(All!U$1,Winter!$1:$1,FALSE))="","",INDEX(Winter!$1:$1048576,MATCH(All!$A290,Winter!$A:$A,FALSE),MATCH(All!U$1,Winter!$1:$1,FALSE))),"")</f>
        <v>2A</v>
      </c>
      <c r="W290">
        <f>IFERROR(IF(INDEX(Spring!$1:$1048576,MATCH(All!$A290,Spring!$A:$A,FALSE),MATCH(All!W$1,Spring!$1:$1,FALSE))="","",INDEX(Spring!$1:$1048576,MATCH(All!$A290,Spring!$A:$A,FALSE),MATCH(All!W$1,Spring!$1:$1,FALSE))),"")</f>
        <v>1009</v>
      </c>
      <c r="X290" t="str">
        <f>IFERROR(IF(INDEX(Spring!$1:$1048576,MATCH(All!$A290,Spring!$A:$A,FALSE),MATCH(All!X$1,Spring!$1:$1,FALSE))="","",INDEX(Spring!$1:$1048576,MATCH(All!$A290,Spring!$A:$A,FALSE),MATCH(All!X$1,Spring!$1:$1,FALSE))),"")</f>
        <v>4A</v>
      </c>
      <c r="Y290" t="str">
        <f>IFERROR(IF(INDEX(Spring!$1:$1048576,MATCH(All!$A290,Spring!$A:$A,FALSE),MATCH(All!Y$1,Spring!$1:$1,FALSE))="","",INDEX(Spring!$1:$1048576,MATCH(All!$A290,Spring!$A:$A,FALSE),MATCH(All!Y$1,Spring!$1:$1,FALSE))),"")</f>
        <v>3A</v>
      </c>
      <c r="Z290" t="str">
        <f>IFERROR(IF(INDEX(Spring!$1:$1048576,MATCH(All!$A290,Spring!$A:$A,FALSE),MATCH(All!Z$1,Spring!$1:$1,FALSE))="","",INDEX(Spring!$1:$1048576,MATCH(All!$A290,Spring!$A:$A,FALSE),MATCH(All!Z$1,Spring!$1:$1,FALSE))),"")</f>
        <v/>
      </c>
      <c r="AA290" t="str">
        <f>IFERROR(IF(INDEX(Spring!$1:$1048576,MATCH(All!$A290,Spring!$A:$A,FALSE),MATCH(All!AA$1,Spring!$1:$1,FALSE))="","",INDEX(Spring!$1:$1048576,MATCH(All!$A290,Spring!$A:$A,FALSE),MATCH(All!AA$1,Spring!$1:$1,FALSE))),"")</f>
        <v/>
      </c>
      <c r="AB290" t="str">
        <f>IFERROR(IF(INDEX(Spring!$1:$1048576,MATCH(All!$A290,Spring!$A:$A,FALSE),MATCH(All!AB$1,Spring!$1:$1,FALSE))="","",INDEX(Spring!$1:$1048576,MATCH(All!$A290,Spring!$A:$A,FALSE),MATCH(All!AB$1,Spring!$1:$1,FALSE))),"")</f>
        <v>2A</v>
      </c>
      <c r="AC290" t="str">
        <f>IFERROR(IF(INDEX(Spring!$1:$1048576,MATCH(All!$A290,Spring!$A:$A,FALSE),MATCH(All!AC$1,Spring!$1:$1,FALSE))="","",INDEX(Spring!$1:$1048576,MATCH(All!$A290,Spring!$A:$A,FALSE),MATCH(All!AC$1,Spring!$1:$1,FALSE))),"")</f>
        <v>2A</v>
      </c>
      <c r="AD290" t="str">
        <f>IFERROR(VLOOKUP(A290,'Flag Football'!A:A,1,FALSE),"")</f>
        <v/>
      </c>
      <c r="AE290" t="str">
        <f t="shared" si="4"/>
        <v/>
      </c>
    </row>
    <row r="291" spans="1:31" ht="15.75" thickBot="1" x14ac:dyDescent="0.3">
      <c r="A291" s="18" t="s">
        <v>368</v>
      </c>
      <c r="B291" s="38" t="str">
        <f>IFERROR(VLOOKUP(A291,'Public v Private'!A:G,3,FALSE),"")</f>
        <v>private</v>
      </c>
      <c r="C291" s="38">
        <f>IFERROR(VLOOKUP(A291,'Public v Private'!A:G,4,FALSE),"")</f>
        <v>5</v>
      </c>
      <c r="D291" s="38">
        <f>IFERROR(VLOOKUP(A291,'Public v Private'!A:G,5,FALSE),"")</f>
        <v>15</v>
      </c>
      <c r="E291" s="38"/>
      <c r="F291" s="40" t="str">
        <f>IFERROR(INDEX(Fall!$1:$1048576,MATCH(All!$A291,Fall!$A:$A,FALSE),MATCH(All!F$1,Fall!$1:$1,FALSE)),"N/A")</f>
        <v>211.00 (348.15)</v>
      </c>
      <c r="G291" t="str">
        <f>IFERROR(IF(INDEX(Fall!$1:$1048576,MATCH(All!$A291,Fall!$A:$A,FALSE),MATCH(All!G$1,Fall!$1:$1,FALSE))="","",INDEX(Fall!$1:$1048576,MATCH(All!$A291,Fall!$A:$A,FALSE),MATCH(All!G$1,Fall!$1:$1,FALSE))),"")</f>
        <v>1A</v>
      </c>
      <c r="H291" t="str">
        <f>IFERROR(IF(INDEX(Fall!$1:$1048576,MATCH(All!$A291,Fall!$A:$A,FALSE),MATCH(All!H$1,Fall!$1:$1,FALSE))="","",INDEX(Fall!$1:$1048576,MATCH(All!$A291,Fall!$A:$A,FALSE),MATCH(All!H$1,Fall!$1:$1,FALSE))),"")</f>
        <v>1A</v>
      </c>
      <c r="I291" t="str">
        <f>IFERROR(IF(INDEX(Fall!$1:$1048576,MATCH(All!$A291,Fall!$A:$A,FALSE),MATCH(All!I$1,Fall!$1:$1,FALSE))="","",INDEX(Fall!$1:$1048576,MATCH(All!$A291,Fall!$A:$A,FALSE),MATCH(All!I$1,Fall!$1:$1,FALSE))),"")</f>
        <v>1A</v>
      </c>
      <c r="J291" t="str">
        <f>IFERROR(IF(INDEX(Fall!$1:$1048576,MATCH(All!$A291,Fall!$A:$A,FALSE),MATCH(All!J$1,Fall!$1:$1,FALSE))="","",INDEX(Fall!$1:$1048576,MATCH(All!$A291,Fall!$A:$A,FALSE),MATCH(All!J$1,Fall!$1:$1,FALSE))),"")</f>
        <v/>
      </c>
      <c r="K291" t="str">
        <f>IFERROR(IF(INDEX(Fall!$1:$1048576,MATCH(All!$A291,Fall!$A:$A,FALSE),MATCH(All!K$1,Fall!$1:$1,FALSE))="","",INDEX(Fall!$1:$1048576,MATCH(All!$A291,Fall!$A:$A,FALSE),MATCH(All!K$1,Fall!$1:$1,FALSE))),"")</f>
        <v>1A</v>
      </c>
      <c r="L291" t="str">
        <f>IFERROR(IF(INDEX(Fall!$1:$1048576,MATCH(All!$A291,Fall!$A:$A,FALSE),MATCH(All!L$1,Fall!$1:$1,FALSE))="","",INDEX(Fall!$1:$1048576,MATCH(All!$A291,Fall!$A:$A,FALSE),MATCH(All!L$1,Fall!$1:$1,FALSE))),"")</f>
        <v>1A</v>
      </c>
      <c r="M291" t="str">
        <f>IFERROR(IF(INDEX(Fall!$1:$1048576,MATCH(All!$A291,Fall!$A:$A,FALSE),MATCH(All!M$1,Fall!$1:$1,FALSE))="","",INDEX(Fall!$1:$1048576,MATCH(All!$A291,Fall!$A:$A,FALSE),MATCH(All!M$1,Fall!$1:$1,FALSE))),"")</f>
        <v>1A</v>
      </c>
      <c r="O291" t="str">
        <f>IFERROR(IF(INDEX(Winter!$1:$1048576,MATCH(All!$A291,Winter!$A:$A,FALSE),MATCH(All!O$1,Winter!$1:$1,FALSE))="","",INDEX(Winter!$1:$1048576,MATCH(All!$A291,Winter!$A:$A,FALSE),MATCH(All!O$1,Winter!$1:$1,FALSE))),"")</f>
        <v>211.00 (348.15)</v>
      </c>
      <c r="P291" t="str">
        <f>IFERROR(IF(INDEX(Winter!$1:$1048576,MATCH(All!$A291,Winter!$A:$A,FALSE),MATCH(All!P$1,Winter!$1:$1,FALSE))="","",INDEX(Winter!$1:$1048576,MATCH(All!$A291,Winter!$A:$A,FALSE),MATCH(All!P$1,Winter!$1:$1,FALSE))),"")</f>
        <v>1A</v>
      </c>
      <c r="Q291" t="str">
        <f>IFERROR(IF(INDEX(Winter!$1:$1048576,MATCH(All!$A291,Winter!$A:$A,FALSE),MATCH(All!Q$1,Winter!$1:$1,FALSE))="","",INDEX(Winter!$1:$1048576,MATCH(All!$A291,Winter!$A:$A,FALSE),MATCH(All!Q$1,Winter!$1:$1,FALSE))),"")</f>
        <v>2A</v>
      </c>
      <c r="R291" t="str">
        <f>IFERROR(IF(INDEX(Winter!$1:$1048576,MATCH(All!$A291,Winter!$A:$A,FALSE),MATCH(All!R$1,Winter!$1:$1,FALSE))="","",INDEX(Winter!$1:$1048576,MATCH(All!$A291,Winter!$A:$A,FALSE),MATCH(All!R$1,Winter!$1:$1,FALSE))),"")</f>
        <v/>
      </c>
      <c r="S291" t="str">
        <f>IFERROR(IF(INDEX(Winter!$1:$1048576,MATCH(All!$A291,Winter!$A:$A,FALSE),MATCH(All!S$1,Winter!$1:$1,FALSE))="","",INDEX(Winter!$1:$1048576,MATCH(All!$A291,Winter!$A:$A,FALSE),MATCH(All!S$1,Winter!$1:$1,FALSE))),"")</f>
        <v/>
      </c>
      <c r="T291" t="str">
        <f>IFERROR(IF(INDEX(Winter!$1:$1048576,MATCH(All!$A291,Winter!$A:$A,FALSE),MATCH(All!T$1,Winter!$1:$1,FALSE))="","",INDEX(Winter!$1:$1048576,MATCH(All!$A291,Winter!$A:$A,FALSE),MATCH(All!T$1,Winter!$1:$1,FALSE))),"")</f>
        <v>1A</v>
      </c>
      <c r="U291" t="str">
        <f>IFERROR(IF(INDEX(Winter!$1:$1048576,MATCH(All!$A291,Winter!$A:$A,FALSE),MATCH(All!U$1,Winter!$1:$1,FALSE))="","",INDEX(Winter!$1:$1048576,MATCH(All!$A291,Winter!$A:$A,FALSE),MATCH(All!U$1,Winter!$1:$1,FALSE))),"")</f>
        <v>1A</v>
      </c>
      <c r="W291" t="str">
        <f>IFERROR(IF(INDEX(Spring!$1:$1048576,MATCH(All!$A291,Spring!$A:$A,FALSE),MATCH(All!W$1,Spring!$1:$1,FALSE))="","",INDEX(Spring!$1:$1048576,MATCH(All!$A291,Spring!$A:$A,FALSE),MATCH(All!W$1,Spring!$1:$1,FALSE))),"")</f>
        <v>211.00 (348.15)</v>
      </c>
      <c r="X291" t="str">
        <f>IFERROR(IF(INDEX(Spring!$1:$1048576,MATCH(All!$A291,Spring!$A:$A,FALSE),MATCH(All!X$1,Spring!$1:$1,FALSE))="","",INDEX(Spring!$1:$1048576,MATCH(All!$A291,Spring!$A:$A,FALSE),MATCH(All!X$1,Spring!$1:$1,FALSE))),"")</f>
        <v>1A</v>
      </c>
      <c r="Y291" t="str">
        <f>IFERROR(IF(INDEX(Spring!$1:$1048576,MATCH(All!$A291,Spring!$A:$A,FALSE),MATCH(All!Y$1,Spring!$1:$1,FALSE))="","",INDEX(Spring!$1:$1048576,MATCH(All!$A291,Spring!$A:$A,FALSE),MATCH(All!Y$1,Spring!$1:$1,FALSE))),"")</f>
        <v>1A</v>
      </c>
      <c r="Z291" t="str">
        <f>IFERROR(IF(INDEX(Spring!$1:$1048576,MATCH(All!$A291,Spring!$A:$A,FALSE),MATCH(All!Z$1,Spring!$1:$1,FALSE))="","",INDEX(Spring!$1:$1048576,MATCH(All!$A291,Spring!$A:$A,FALSE),MATCH(All!Z$1,Spring!$1:$1,FALSE))),"")</f>
        <v>1A</v>
      </c>
      <c r="AA291" t="str">
        <f>IFERROR(IF(INDEX(Spring!$1:$1048576,MATCH(All!$A291,Spring!$A:$A,FALSE),MATCH(All!AA$1,Spring!$1:$1,FALSE))="","",INDEX(Spring!$1:$1048576,MATCH(All!$A291,Spring!$A:$A,FALSE),MATCH(All!AA$1,Spring!$1:$1,FALSE))),"")</f>
        <v>1A</v>
      </c>
      <c r="AB291" t="str">
        <f>IFERROR(IF(INDEX(Spring!$1:$1048576,MATCH(All!$A291,Spring!$A:$A,FALSE),MATCH(All!AB$1,Spring!$1:$1,FALSE))="","",INDEX(Spring!$1:$1048576,MATCH(All!$A291,Spring!$A:$A,FALSE),MATCH(All!AB$1,Spring!$1:$1,FALSE))),"")</f>
        <v>1A</v>
      </c>
      <c r="AC291" t="str">
        <f>IFERROR(IF(INDEX(Spring!$1:$1048576,MATCH(All!$A291,Spring!$A:$A,FALSE),MATCH(All!AC$1,Spring!$1:$1,FALSE))="","",INDEX(Spring!$1:$1048576,MATCH(All!$A291,Spring!$A:$A,FALSE),MATCH(All!AC$1,Spring!$1:$1,FALSE))),"")</f>
        <v>1A</v>
      </c>
      <c r="AD291" t="str">
        <f>IFERROR(VLOOKUP(A291,'Flag Football'!A:A,1,FALSE),"")</f>
        <v/>
      </c>
      <c r="AE291" t="str">
        <f t="shared" si="4"/>
        <v/>
      </c>
    </row>
    <row r="292" spans="1:31" ht="15.75" thickBot="1" x14ac:dyDescent="0.3">
      <c r="A292" s="20" t="s">
        <v>370</v>
      </c>
      <c r="B292" s="38" t="str">
        <f>IFERROR(VLOOKUP(A292,'Public v Private'!A:G,3,FALSE),"")</f>
        <v>private</v>
      </c>
      <c r="C292" s="38">
        <f>IFERROR(VLOOKUP(A292,'Public v Private'!A:G,4,FALSE),"")</f>
        <v>5</v>
      </c>
      <c r="D292" s="38">
        <f>IFERROR(VLOOKUP(A292,'Public v Private'!A:G,5,FALSE),"")</f>
        <v>15</v>
      </c>
      <c r="E292" s="38"/>
      <c r="F292" s="40" t="str">
        <f>IFERROR(INDEX(Fall!$1:$1048576,MATCH(All!$A292,Fall!$A:$A,FALSE),MATCH(All!F$1,Fall!$1:$1,FALSE)),"N/A")</f>
        <v>128.00 (211.20)</v>
      </c>
      <c r="G292" t="str">
        <f>IFERROR(IF(INDEX(Fall!$1:$1048576,MATCH(All!$A292,Fall!$A:$A,FALSE),MATCH(All!G$1,Fall!$1:$1,FALSE))="","",INDEX(Fall!$1:$1048576,MATCH(All!$A292,Fall!$A:$A,FALSE),MATCH(All!G$1,Fall!$1:$1,FALSE))),"")</f>
        <v/>
      </c>
      <c r="H292" t="str">
        <f>IFERROR(IF(INDEX(Fall!$1:$1048576,MATCH(All!$A292,Fall!$A:$A,FALSE),MATCH(All!H$1,Fall!$1:$1,FALSE))="","",INDEX(Fall!$1:$1048576,MATCH(All!$A292,Fall!$A:$A,FALSE),MATCH(All!H$1,Fall!$1:$1,FALSE))),"")</f>
        <v/>
      </c>
      <c r="I292" t="str">
        <f>IFERROR(IF(INDEX(Fall!$1:$1048576,MATCH(All!$A292,Fall!$A:$A,FALSE),MATCH(All!I$1,Fall!$1:$1,FALSE))="","",INDEX(Fall!$1:$1048576,MATCH(All!$A292,Fall!$A:$A,FALSE),MATCH(All!I$1,Fall!$1:$1,FALSE))),"")</f>
        <v/>
      </c>
      <c r="J292" t="str">
        <f>IFERROR(IF(INDEX(Fall!$1:$1048576,MATCH(All!$A292,Fall!$A:$A,FALSE),MATCH(All!J$1,Fall!$1:$1,FALSE))="","",INDEX(Fall!$1:$1048576,MATCH(All!$A292,Fall!$A:$A,FALSE),MATCH(All!J$1,Fall!$1:$1,FALSE))),"")</f>
        <v/>
      </c>
      <c r="K292" t="str">
        <f>IFERROR(IF(INDEX(Fall!$1:$1048576,MATCH(All!$A292,Fall!$A:$A,FALSE),MATCH(All!K$1,Fall!$1:$1,FALSE))="","",INDEX(Fall!$1:$1048576,MATCH(All!$A292,Fall!$A:$A,FALSE),MATCH(All!K$1,Fall!$1:$1,FALSE))),"")</f>
        <v/>
      </c>
      <c r="L292" t="str">
        <f>IFERROR(IF(INDEX(Fall!$1:$1048576,MATCH(All!$A292,Fall!$A:$A,FALSE),MATCH(All!L$1,Fall!$1:$1,FALSE))="","",INDEX(Fall!$1:$1048576,MATCH(All!$A292,Fall!$A:$A,FALSE),MATCH(All!L$1,Fall!$1:$1,FALSE))),"")</f>
        <v/>
      </c>
      <c r="M292" t="str">
        <f>IFERROR(IF(INDEX(Fall!$1:$1048576,MATCH(All!$A292,Fall!$A:$A,FALSE),MATCH(All!M$1,Fall!$1:$1,FALSE))="","",INDEX(Fall!$1:$1048576,MATCH(All!$A292,Fall!$A:$A,FALSE),MATCH(All!M$1,Fall!$1:$1,FALSE))),"")</f>
        <v>1A</v>
      </c>
      <c r="O292" t="str">
        <f>IFERROR(IF(INDEX(Winter!$1:$1048576,MATCH(All!$A292,Winter!$A:$A,FALSE),MATCH(All!O$1,Winter!$1:$1,FALSE))="","",INDEX(Winter!$1:$1048576,MATCH(All!$A292,Winter!$A:$A,FALSE),MATCH(All!O$1,Winter!$1:$1,FALSE))),"")</f>
        <v>128.00 (211.20)</v>
      </c>
      <c r="P292" t="str">
        <f>IFERROR(IF(INDEX(Winter!$1:$1048576,MATCH(All!$A292,Winter!$A:$A,FALSE),MATCH(All!P$1,Winter!$1:$1,FALSE))="","",INDEX(Winter!$1:$1048576,MATCH(All!$A292,Winter!$A:$A,FALSE),MATCH(All!P$1,Winter!$1:$1,FALSE))),"")</f>
        <v>1A</v>
      </c>
      <c r="Q292" t="str">
        <f>IFERROR(IF(INDEX(Winter!$1:$1048576,MATCH(All!$A292,Winter!$A:$A,FALSE),MATCH(All!Q$1,Winter!$1:$1,FALSE))="","",INDEX(Winter!$1:$1048576,MATCH(All!$A292,Winter!$A:$A,FALSE),MATCH(All!Q$1,Winter!$1:$1,FALSE))),"")</f>
        <v>1A</v>
      </c>
      <c r="R292" t="str">
        <f>IFERROR(IF(INDEX(Winter!$1:$1048576,MATCH(All!$A292,Winter!$A:$A,FALSE),MATCH(All!R$1,Winter!$1:$1,FALSE))="","",INDEX(Winter!$1:$1048576,MATCH(All!$A292,Winter!$A:$A,FALSE),MATCH(All!R$1,Winter!$1:$1,FALSE))),"")</f>
        <v/>
      </c>
      <c r="S292" t="str">
        <f>IFERROR(IF(INDEX(Winter!$1:$1048576,MATCH(All!$A292,Winter!$A:$A,FALSE),MATCH(All!S$1,Winter!$1:$1,FALSE))="","",INDEX(Winter!$1:$1048576,MATCH(All!$A292,Winter!$A:$A,FALSE),MATCH(All!S$1,Winter!$1:$1,FALSE))),"")</f>
        <v/>
      </c>
      <c r="T292" t="str">
        <f>IFERROR(IF(INDEX(Winter!$1:$1048576,MATCH(All!$A292,Winter!$A:$A,FALSE),MATCH(All!T$1,Winter!$1:$1,FALSE))="","",INDEX(Winter!$1:$1048576,MATCH(All!$A292,Winter!$A:$A,FALSE),MATCH(All!T$1,Winter!$1:$1,FALSE))),"")</f>
        <v/>
      </c>
      <c r="U292" t="str">
        <f>IFERROR(IF(INDEX(Winter!$1:$1048576,MATCH(All!$A292,Winter!$A:$A,FALSE),MATCH(All!U$1,Winter!$1:$1,FALSE))="","",INDEX(Winter!$1:$1048576,MATCH(All!$A292,Winter!$A:$A,FALSE),MATCH(All!U$1,Winter!$1:$1,FALSE))),"")</f>
        <v>1A</v>
      </c>
      <c r="W292" t="str">
        <f>IFERROR(IF(INDEX(Spring!$1:$1048576,MATCH(All!$A292,Spring!$A:$A,FALSE),MATCH(All!W$1,Spring!$1:$1,FALSE))="","",INDEX(Spring!$1:$1048576,MATCH(All!$A292,Spring!$A:$A,FALSE),MATCH(All!W$1,Spring!$1:$1,FALSE))),"")</f>
        <v>128.00 (211.20)</v>
      </c>
      <c r="X292" t="str">
        <f>IFERROR(IF(INDEX(Spring!$1:$1048576,MATCH(All!$A292,Spring!$A:$A,FALSE),MATCH(All!X$1,Spring!$1:$1,FALSE))="","",INDEX(Spring!$1:$1048576,MATCH(All!$A292,Spring!$A:$A,FALSE),MATCH(All!X$1,Spring!$1:$1,FALSE))),"")</f>
        <v>1A</v>
      </c>
      <c r="Y292" t="str">
        <f>IFERROR(IF(INDEX(Spring!$1:$1048576,MATCH(All!$A292,Spring!$A:$A,FALSE),MATCH(All!Y$1,Spring!$1:$1,FALSE))="","",INDEX(Spring!$1:$1048576,MATCH(All!$A292,Spring!$A:$A,FALSE),MATCH(All!Y$1,Spring!$1:$1,FALSE))),"")</f>
        <v/>
      </c>
      <c r="Z292" t="str">
        <f>IFERROR(IF(INDEX(Spring!$1:$1048576,MATCH(All!$A292,Spring!$A:$A,FALSE),MATCH(All!Z$1,Spring!$1:$1,FALSE))="","",INDEX(Spring!$1:$1048576,MATCH(All!$A292,Spring!$A:$A,FALSE),MATCH(All!Z$1,Spring!$1:$1,FALSE))),"")</f>
        <v>1A</v>
      </c>
      <c r="AA292" t="str">
        <f>IFERROR(IF(INDEX(Spring!$1:$1048576,MATCH(All!$A292,Spring!$A:$A,FALSE),MATCH(All!AA$1,Spring!$1:$1,FALSE))="","",INDEX(Spring!$1:$1048576,MATCH(All!$A292,Spring!$A:$A,FALSE),MATCH(All!AA$1,Spring!$1:$1,FALSE))),"")</f>
        <v/>
      </c>
      <c r="AB292" t="str">
        <f>IFERROR(IF(INDEX(Spring!$1:$1048576,MATCH(All!$A292,Spring!$A:$A,FALSE),MATCH(All!AB$1,Spring!$1:$1,FALSE))="","",INDEX(Spring!$1:$1048576,MATCH(All!$A292,Spring!$A:$A,FALSE),MATCH(All!AB$1,Spring!$1:$1,FALSE))),"")</f>
        <v/>
      </c>
      <c r="AC292" t="str">
        <f>IFERROR(IF(INDEX(Spring!$1:$1048576,MATCH(All!$A292,Spring!$A:$A,FALSE),MATCH(All!AC$1,Spring!$1:$1,FALSE))="","",INDEX(Spring!$1:$1048576,MATCH(All!$A292,Spring!$A:$A,FALSE),MATCH(All!AC$1,Spring!$1:$1,FALSE))),"")</f>
        <v/>
      </c>
      <c r="AD292" t="str">
        <f>IFERROR(VLOOKUP(A292,'Flag Football'!A:A,1,FALSE),"")</f>
        <v/>
      </c>
      <c r="AE292" t="str">
        <f t="shared" si="4"/>
        <v/>
      </c>
    </row>
    <row r="293" spans="1:31" ht="15.75" thickBot="1" x14ac:dyDescent="0.3">
      <c r="A293" s="18" t="s">
        <v>372</v>
      </c>
      <c r="B293" s="38">
        <f>IFERROR(VLOOKUP(A293,'Public v Private'!A:G,3,FALSE),"")</f>
        <v>0</v>
      </c>
      <c r="C293" s="38">
        <f>IFERROR(VLOOKUP(A293,'Public v Private'!A:G,4,FALSE),"")</f>
        <v>0</v>
      </c>
      <c r="D293" s="38">
        <f>IFERROR(VLOOKUP(A293,'Public v Private'!A:G,5,FALSE),"")</f>
        <v>0</v>
      </c>
      <c r="E293" s="38"/>
      <c r="F293" s="40">
        <f>IFERROR(INDEX(Fall!$1:$1048576,MATCH(All!$A293,Fall!$A:$A,FALSE),MATCH(All!F$1,Fall!$1:$1,FALSE)),"N/A")</f>
        <v>1397</v>
      </c>
      <c r="G293" t="str">
        <f>IFERROR(IF(INDEX(Fall!$1:$1048576,MATCH(All!$A293,Fall!$A:$A,FALSE),MATCH(All!G$1,Fall!$1:$1,FALSE))="","",INDEX(Fall!$1:$1048576,MATCH(All!$A293,Fall!$A:$A,FALSE),MATCH(All!G$1,Fall!$1:$1,FALSE))),"")</f>
        <v>2A</v>
      </c>
      <c r="H293" t="str">
        <f>IFERROR(IF(INDEX(Fall!$1:$1048576,MATCH(All!$A293,Fall!$A:$A,FALSE),MATCH(All!H$1,Fall!$1:$1,FALSE))="","",INDEX(Fall!$1:$1048576,MATCH(All!$A293,Fall!$A:$A,FALSE),MATCH(All!H$1,Fall!$1:$1,FALSE))),"")</f>
        <v>2A</v>
      </c>
      <c r="I293" t="str">
        <f>IFERROR(IF(INDEX(Fall!$1:$1048576,MATCH(All!$A293,Fall!$A:$A,FALSE),MATCH(All!I$1,Fall!$1:$1,FALSE))="","",INDEX(Fall!$1:$1048576,MATCH(All!$A293,Fall!$A:$A,FALSE),MATCH(All!I$1,Fall!$1:$1,FALSE))),"")</f>
        <v>2A</v>
      </c>
      <c r="J293" t="str">
        <f>IFERROR(IF(INDEX(Fall!$1:$1048576,MATCH(All!$A293,Fall!$A:$A,FALSE),MATCH(All!J$1,Fall!$1:$1,FALSE))="","",INDEX(Fall!$1:$1048576,MATCH(All!$A293,Fall!$A:$A,FALSE),MATCH(All!J$1,Fall!$1:$1,FALSE))),"")</f>
        <v>2A</v>
      </c>
      <c r="K293" t="str">
        <f>IFERROR(IF(INDEX(Fall!$1:$1048576,MATCH(All!$A293,Fall!$A:$A,FALSE),MATCH(All!K$1,Fall!$1:$1,FALSE))="","",INDEX(Fall!$1:$1048576,MATCH(All!$A293,Fall!$A:$A,FALSE),MATCH(All!K$1,Fall!$1:$1,FALSE))),"")</f>
        <v>2A</v>
      </c>
      <c r="L293" t="str">
        <f>IFERROR(IF(INDEX(Fall!$1:$1048576,MATCH(All!$A293,Fall!$A:$A,FALSE),MATCH(All!L$1,Fall!$1:$1,FALSE))="","",INDEX(Fall!$1:$1048576,MATCH(All!$A293,Fall!$A:$A,FALSE),MATCH(All!L$1,Fall!$1:$1,FALSE))),"")</f>
        <v>1A</v>
      </c>
      <c r="M293" t="str">
        <f>IFERROR(IF(INDEX(Fall!$1:$1048576,MATCH(All!$A293,Fall!$A:$A,FALSE),MATCH(All!M$1,Fall!$1:$1,FALSE))="","",INDEX(Fall!$1:$1048576,MATCH(All!$A293,Fall!$A:$A,FALSE),MATCH(All!M$1,Fall!$1:$1,FALSE))),"")</f>
        <v>3A</v>
      </c>
      <c r="O293">
        <f>IFERROR(IF(INDEX(Winter!$1:$1048576,MATCH(All!$A293,Winter!$A:$A,FALSE),MATCH(All!O$1,Winter!$1:$1,FALSE))="","",INDEX(Winter!$1:$1048576,MATCH(All!$A293,Winter!$A:$A,FALSE),MATCH(All!O$1,Winter!$1:$1,FALSE))),"")</f>
        <v>1397</v>
      </c>
      <c r="P293" t="str">
        <f>IFERROR(IF(INDEX(Winter!$1:$1048576,MATCH(All!$A293,Winter!$A:$A,FALSE),MATCH(All!P$1,Winter!$1:$1,FALSE))="","",INDEX(Winter!$1:$1048576,MATCH(All!$A293,Winter!$A:$A,FALSE),MATCH(All!P$1,Winter!$1:$1,FALSE))),"")</f>
        <v>3A</v>
      </c>
      <c r="Q293" t="str">
        <f>IFERROR(IF(INDEX(Winter!$1:$1048576,MATCH(All!$A293,Winter!$A:$A,FALSE),MATCH(All!Q$1,Winter!$1:$1,FALSE))="","",INDEX(Winter!$1:$1048576,MATCH(All!$A293,Winter!$A:$A,FALSE),MATCH(All!Q$1,Winter!$1:$1,FALSE))),"")</f>
        <v>3A</v>
      </c>
      <c r="R293" t="str">
        <f>IFERROR(IF(INDEX(Winter!$1:$1048576,MATCH(All!$A293,Winter!$A:$A,FALSE),MATCH(All!R$1,Winter!$1:$1,FALSE))="","",INDEX(Winter!$1:$1048576,MATCH(All!$A293,Winter!$A:$A,FALSE),MATCH(All!R$1,Winter!$1:$1,FALSE))),"")</f>
        <v/>
      </c>
      <c r="S293" t="str">
        <f>IFERROR(IF(INDEX(Winter!$1:$1048576,MATCH(All!$A293,Winter!$A:$A,FALSE),MATCH(All!S$1,Winter!$1:$1,FALSE))="","",INDEX(Winter!$1:$1048576,MATCH(All!$A293,Winter!$A:$A,FALSE),MATCH(All!S$1,Winter!$1:$1,FALSE))),"")</f>
        <v>2A</v>
      </c>
      <c r="T293" t="str">
        <f>IFERROR(IF(INDEX(Winter!$1:$1048576,MATCH(All!$A293,Winter!$A:$A,FALSE),MATCH(All!T$1,Winter!$1:$1,FALSE))="","",INDEX(Winter!$1:$1048576,MATCH(All!$A293,Winter!$A:$A,FALSE),MATCH(All!T$1,Winter!$1:$1,FALSE))),"")</f>
        <v>2A</v>
      </c>
      <c r="U293" t="str">
        <f>IFERROR(IF(INDEX(Winter!$1:$1048576,MATCH(All!$A293,Winter!$A:$A,FALSE),MATCH(All!U$1,Winter!$1:$1,FALSE))="","",INDEX(Winter!$1:$1048576,MATCH(All!$A293,Winter!$A:$A,FALSE),MATCH(All!U$1,Winter!$1:$1,FALSE))),"")</f>
        <v>2A</v>
      </c>
      <c r="W293">
        <f>IFERROR(IF(INDEX(Spring!$1:$1048576,MATCH(All!$A293,Spring!$A:$A,FALSE),MATCH(All!W$1,Spring!$1:$1,FALSE))="","",INDEX(Spring!$1:$1048576,MATCH(All!$A293,Spring!$A:$A,FALSE),MATCH(All!W$1,Spring!$1:$1,FALSE))),"")</f>
        <v>1397</v>
      </c>
      <c r="X293" t="str">
        <f>IFERROR(IF(INDEX(Spring!$1:$1048576,MATCH(All!$A293,Spring!$A:$A,FALSE),MATCH(All!X$1,Spring!$1:$1,FALSE))="","",INDEX(Spring!$1:$1048576,MATCH(All!$A293,Spring!$A:$A,FALSE),MATCH(All!X$1,Spring!$1:$1,FALSE))),"")</f>
        <v>3A</v>
      </c>
      <c r="Y293" t="str">
        <f>IFERROR(IF(INDEX(Spring!$1:$1048576,MATCH(All!$A293,Spring!$A:$A,FALSE),MATCH(All!Y$1,Spring!$1:$1,FALSE))="","",INDEX(Spring!$1:$1048576,MATCH(All!$A293,Spring!$A:$A,FALSE),MATCH(All!Y$1,Spring!$1:$1,FALSE))),"")</f>
        <v/>
      </c>
      <c r="Z293" t="str">
        <f>IFERROR(IF(INDEX(Spring!$1:$1048576,MATCH(All!$A293,Spring!$A:$A,FALSE),MATCH(All!Z$1,Spring!$1:$1,FALSE))="","",INDEX(Spring!$1:$1048576,MATCH(All!$A293,Spring!$A:$A,FALSE),MATCH(All!Z$1,Spring!$1:$1,FALSE))),"")</f>
        <v>2A</v>
      </c>
      <c r="AA293" t="str">
        <f>IFERROR(IF(INDEX(Spring!$1:$1048576,MATCH(All!$A293,Spring!$A:$A,FALSE),MATCH(All!AA$1,Spring!$1:$1,FALSE))="","",INDEX(Spring!$1:$1048576,MATCH(All!$A293,Spring!$A:$A,FALSE),MATCH(All!AA$1,Spring!$1:$1,FALSE))),"")</f>
        <v>1A</v>
      </c>
      <c r="AB293" t="str">
        <f>IFERROR(IF(INDEX(Spring!$1:$1048576,MATCH(All!$A293,Spring!$A:$A,FALSE),MATCH(All!AB$1,Spring!$1:$1,FALSE))="","",INDEX(Spring!$1:$1048576,MATCH(All!$A293,Spring!$A:$A,FALSE),MATCH(All!AB$1,Spring!$1:$1,FALSE))),"")</f>
        <v>3A</v>
      </c>
      <c r="AC293" t="str">
        <f>IFERROR(IF(INDEX(Spring!$1:$1048576,MATCH(All!$A293,Spring!$A:$A,FALSE),MATCH(All!AC$1,Spring!$1:$1,FALSE))="","",INDEX(Spring!$1:$1048576,MATCH(All!$A293,Spring!$A:$A,FALSE),MATCH(All!AC$1,Spring!$1:$1,FALSE))),"")</f>
        <v>3A</v>
      </c>
      <c r="AD293" t="str">
        <f>IFERROR(VLOOKUP(A293,'Flag Football'!A:A,1,FALSE),"")</f>
        <v>Deerfield (H.S.)</v>
      </c>
      <c r="AE293" t="str">
        <f t="shared" si="4"/>
        <v>1A</v>
      </c>
    </row>
    <row r="294" spans="1:31" ht="15.75" thickBot="1" x14ac:dyDescent="0.3">
      <c r="A294" s="20" t="s">
        <v>373</v>
      </c>
      <c r="B294" s="38" t="str">
        <f>IFERROR(VLOOKUP(A294,'Public v Private'!A:G,3,FALSE),"")</f>
        <v>private</v>
      </c>
      <c r="C294" s="38">
        <f>IFERROR(VLOOKUP(A294,'Public v Private'!A:G,4,FALSE),"")</f>
        <v>2</v>
      </c>
      <c r="D294" s="38">
        <f>IFERROR(VLOOKUP(A294,'Public v Private'!A:G,5,FALSE),"")</f>
        <v>4</v>
      </c>
      <c r="E294" s="38"/>
      <c r="F294" s="40" t="str">
        <f>IFERROR(INDEX(Fall!$1:$1048576,MATCH(All!$A294,Fall!$A:$A,FALSE),MATCH(All!F$1,Fall!$1:$1,FALSE)),"N/A")</f>
        <v>140.00 (231.00)</v>
      </c>
      <c r="G294" t="str">
        <f>IFERROR(IF(INDEX(Fall!$1:$1048576,MATCH(All!$A294,Fall!$A:$A,FALSE),MATCH(All!G$1,Fall!$1:$1,FALSE))="","",INDEX(Fall!$1:$1048576,MATCH(All!$A294,Fall!$A:$A,FALSE),MATCH(All!G$1,Fall!$1:$1,FALSE))),"")</f>
        <v>1A</v>
      </c>
      <c r="H294" t="str">
        <f>IFERROR(IF(INDEX(Fall!$1:$1048576,MATCH(All!$A294,Fall!$A:$A,FALSE),MATCH(All!H$1,Fall!$1:$1,FALSE))="","",INDEX(Fall!$1:$1048576,MATCH(All!$A294,Fall!$A:$A,FALSE),MATCH(All!H$1,Fall!$1:$1,FALSE))),"")</f>
        <v/>
      </c>
      <c r="I294" t="str">
        <f>IFERROR(IF(INDEX(Fall!$1:$1048576,MATCH(All!$A294,Fall!$A:$A,FALSE),MATCH(All!I$1,Fall!$1:$1,FALSE))="","",INDEX(Fall!$1:$1048576,MATCH(All!$A294,Fall!$A:$A,FALSE),MATCH(All!I$1,Fall!$1:$1,FALSE))),"")</f>
        <v/>
      </c>
      <c r="J294" t="str">
        <f>IFERROR(IF(INDEX(Fall!$1:$1048576,MATCH(All!$A294,Fall!$A:$A,FALSE),MATCH(All!J$1,Fall!$1:$1,FALSE))="","",INDEX(Fall!$1:$1048576,MATCH(All!$A294,Fall!$A:$A,FALSE),MATCH(All!J$1,Fall!$1:$1,FALSE))),"")</f>
        <v/>
      </c>
      <c r="K294" t="str">
        <f>IFERROR(IF(INDEX(Fall!$1:$1048576,MATCH(All!$A294,Fall!$A:$A,FALSE),MATCH(All!K$1,Fall!$1:$1,FALSE))="","",INDEX(Fall!$1:$1048576,MATCH(All!$A294,Fall!$A:$A,FALSE),MATCH(All!K$1,Fall!$1:$1,FALSE))),"")</f>
        <v>1A</v>
      </c>
      <c r="L294" t="str">
        <f>IFERROR(IF(INDEX(Fall!$1:$1048576,MATCH(All!$A294,Fall!$A:$A,FALSE),MATCH(All!L$1,Fall!$1:$1,FALSE))="","",INDEX(Fall!$1:$1048576,MATCH(All!$A294,Fall!$A:$A,FALSE),MATCH(All!L$1,Fall!$1:$1,FALSE))),"")</f>
        <v/>
      </c>
      <c r="M294" t="str">
        <f>IFERROR(IF(INDEX(Fall!$1:$1048576,MATCH(All!$A294,Fall!$A:$A,FALSE),MATCH(All!M$1,Fall!$1:$1,FALSE))="","",INDEX(Fall!$1:$1048576,MATCH(All!$A294,Fall!$A:$A,FALSE),MATCH(All!M$1,Fall!$1:$1,FALSE))),"")</f>
        <v>1A</v>
      </c>
      <c r="O294" t="str">
        <f>IFERROR(IF(INDEX(Winter!$1:$1048576,MATCH(All!$A294,Winter!$A:$A,FALSE),MATCH(All!O$1,Winter!$1:$1,FALSE))="","",INDEX(Winter!$1:$1048576,MATCH(All!$A294,Winter!$A:$A,FALSE),MATCH(All!O$1,Winter!$1:$1,FALSE))),"")</f>
        <v>140.00 (231.00)</v>
      </c>
      <c r="P294" t="str">
        <f>IFERROR(IF(INDEX(Winter!$1:$1048576,MATCH(All!$A294,Winter!$A:$A,FALSE),MATCH(All!P$1,Winter!$1:$1,FALSE))="","",INDEX(Winter!$1:$1048576,MATCH(All!$A294,Winter!$A:$A,FALSE),MATCH(All!P$1,Winter!$1:$1,FALSE))),"")</f>
        <v>1A</v>
      </c>
      <c r="Q294" t="str">
        <f>IFERROR(IF(INDEX(Winter!$1:$1048576,MATCH(All!$A294,Winter!$A:$A,FALSE),MATCH(All!Q$1,Winter!$1:$1,FALSE))="","",INDEX(Winter!$1:$1048576,MATCH(All!$A294,Winter!$A:$A,FALSE),MATCH(All!Q$1,Winter!$1:$1,FALSE))),"")</f>
        <v>1A</v>
      </c>
      <c r="R294" t="str">
        <f>IFERROR(IF(INDEX(Winter!$1:$1048576,MATCH(All!$A294,Winter!$A:$A,FALSE),MATCH(All!R$1,Winter!$1:$1,FALSE))="","",INDEX(Winter!$1:$1048576,MATCH(All!$A294,Winter!$A:$A,FALSE),MATCH(All!R$1,Winter!$1:$1,FALSE))),"")</f>
        <v/>
      </c>
      <c r="S294" t="str">
        <f>IFERROR(IF(INDEX(Winter!$1:$1048576,MATCH(All!$A294,Winter!$A:$A,FALSE),MATCH(All!S$1,Winter!$1:$1,FALSE))="","",INDEX(Winter!$1:$1048576,MATCH(All!$A294,Winter!$A:$A,FALSE),MATCH(All!S$1,Winter!$1:$1,FALSE))),"")</f>
        <v/>
      </c>
      <c r="T294" t="str">
        <f>IFERROR(IF(INDEX(Winter!$1:$1048576,MATCH(All!$A294,Winter!$A:$A,FALSE),MATCH(All!T$1,Winter!$1:$1,FALSE))="","",INDEX(Winter!$1:$1048576,MATCH(All!$A294,Winter!$A:$A,FALSE),MATCH(All!T$1,Winter!$1:$1,FALSE))),"")</f>
        <v/>
      </c>
      <c r="U294" t="str">
        <f>IFERROR(IF(INDEX(Winter!$1:$1048576,MATCH(All!$A294,Winter!$A:$A,FALSE),MATCH(All!U$1,Winter!$1:$1,FALSE))="","",INDEX(Winter!$1:$1048576,MATCH(All!$A294,Winter!$A:$A,FALSE),MATCH(All!U$1,Winter!$1:$1,FALSE))),"")</f>
        <v/>
      </c>
      <c r="W294" t="str">
        <f>IFERROR(IF(INDEX(Spring!$1:$1048576,MATCH(All!$A294,Spring!$A:$A,FALSE),MATCH(All!W$1,Spring!$1:$1,FALSE))="","",INDEX(Spring!$1:$1048576,MATCH(All!$A294,Spring!$A:$A,FALSE),MATCH(All!W$1,Spring!$1:$1,FALSE))),"")</f>
        <v>140.00 (231.00)</v>
      </c>
      <c r="X294" t="str">
        <f>IFERROR(IF(INDEX(Spring!$1:$1048576,MATCH(All!$A294,Spring!$A:$A,FALSE),MATCH(All!X$1,Spring!$1:$1,FALSE))="","",INDEX(Spring!$1:$1048576,MATCH(All!$A294,Spring!$A:$A,FALSE),MATCH(All!X$1,Spring!$1:$1,FALSE))),"")</f>
        <v>1A</v>
      </c>
      <c r="Y294" t="str">
        <f>IFERROR(IF(INDEX(Spring!$1:$1048576,MATCH(All!$A294,Spring!$A:$A,FALSE),MATCH(All!Y$1,Spring!$1:$1,FALSE))="","",INDEX(Spring!$1:$1048576,MATCH(All!$A294,Spring!$A:$A,FALSE),MATCH(All!Y$1,Spring!$1:$1,FALSE))),"")</f>
        <v/>
      </c>
      <c r="Z294" t="str">
        <f>IFERROR(IF(INDEX(Spring!$1:$1048576,MATCH(All!$A294,Spring!$A:$A,FALSE),MATCH(All!Z$1,Spring!$1:$1,FALSE))="","",INDEX(Spring!$1:$1048576,MATCH(All!$A294,Spring!$A:$A,FALSE),MATCH(All!Z$1,Spring!$1:$1,FALSE))),"")</f>
        <v>1A</v>
      </c>
      <c r="AA294" t="str">
        <f>IFERROR(IF(INDEX(Spring!$1:$1048576,MATCH(All!$A294,Spring!$A:$A,FALSE),MATCH(All!AA$1,Spring!$1:$1,FALSE))="","",INDEX(Spring!$1:$1048576,MATCH(All!$A294,Spring!$A:$A,FALSE),MATCH(All!AA$1,Spring!$1:$1,FALSE))),"")</f>
        <v/>
      </c>
      <c r="AB294" t="str">
        <f>IFERROR(IF(INDEX(Spring!$1:$1048576,MATCH(All!$A294,Spring!$A:$A,FALSE),MATCH(All!AB$1,Spring!$1:$1,FALSE))="","",INDEX(Spring!$1:$1048576,MATCH(All!$A294,Spring!$A:$A,FALSE),MATCH(All!AB$1,Spring!$1:$1,FALSE))),"")</f>
        <v>1A</v>
      </c>
      <c r="AC294" t="str">
        <f>IFERROR(IF(INDEX(Spring!$1:$1048576,MATCH(All!$A294,Spring!$A:$A,FALSE),MATCH(All!AC$1,Spring!$1:$1,FALSE))="","",INDEX(Spring!$1:$1048576,MATCH(All!$A294,Spring!$A:$A,FALSE),MATCH(All!AC$1,Spring!$1:$1,FALSE))),"")</f>
        <v/>
      </c>
      <c r="AD294" t="str">
        <f>IFERROR(VLOOKUP(A294,'Flag Football'!A:A,1,FALSE),"")</f>
        <v/>
      </c>
      <c r="AE294" t="str">
        <f t="shared" si="4"/>
        <v/>
      </c>
    </row>
    <row r="295" spans="1:31" ht="15.75" thickBot="1" x14ac:dyDescent="0.3">
      <c r="A295" s="18" t="s">
        <v>375</v>
      </c>
      <c r="B295" s="38">
        <f>IFERROR(VLOOKUP(A295,'Public v Private'!A:G,3,FALSE),"")</f>
        <v>0</v>
      </c>
      <c r="C295" s="38">
        <f>IFERROR(VLOOKUP(A295,'Public v Private'!A:G,4,FALSE),"")</f>
        <v>0</v>
      </c>
      <c r="D295" s="38">
        <f>IFERROR(VLOOKUP(A295,'Public v Private'!A:G,5,FALSE),"")</f>
        <v>0</v>
      </c>
      <c r="E295" s="38"/>
      <c r="F295" s="40">
        <f>IFERROR(INDEX(Fall!$1:$1048576,MATCH(All!$A295,Fall!$A:$A,FALSE),MATCH(All!F$1,Fall!$1:$1,FALSE)),"N/A")</f>
        <v>1992</v>
      </c>
      <c r="G295" t="str">
        <f>IFERROR(IF(INDEX(Fall!$1:$1048576,MATCH(All!$A295,Fall!$A:$A,FALSE),MATCH(All!G$1,Fall!$1:$1,FALSE))="","",INDEX(Fall!$1:$1048576,MATCH(All!$A295,Fall!$A:$A,FALSE),MATCH(All!G$1,Fall!$1:$1,FALSE))),"")</f>
        <v>3A</v>
      </c>
      <c r="H295" t="str">
        <f>IFERROR(IF(INDEX(Fall!$1:$1048576,MATCH(All!$A295,Fall!$A:$A,FALSE),MATCH(All!H$1,Fall!$1:$1,FALSE))="","",INDEX(Fall!$1:$1048576,MATCH(All!$A295,Fall!$A:$A,FALSE),MATCH(All!H$1,Fall!$1:$1,FALSE))),"")</f>
        <v>3A</v>
      </c>
      <c r="I295" t="str">
        <f>IFERROR(IF(INDEX(Fall!$1:$1048576,MATCH(All!$A295,Fall!$A:$A,FALSE),MATCH(All!I$1,Fall!$1:$1,FALSE))="","",INDEX(Fall!$1:$1048576,MATCH(All!$A295,Fall!$A:$A,FALSE),MATCH(All!I$1,Fall!$1:$1,FALSE))),"")</f>
        <v>3A</v>
      </c>
      <c r="J295" t="str">
        <f>IFERROR(IF(INDEX(Fall!$1:$1048576,MATCH(All!$A295,Fall!$A:$A,FALSE),MATCH(All!J$1,Fall!$1:$1,FALSE))="","",INDEX(Fall!$1:$1048576,MATCH(All!$A295,Fall!$A:$A,FALSE),MATCH(All!J$1,Fall!$1:$1,FALSE))),"")</f>
        <v/>
      </c>
      <c r="K295" t="str">
        <f>IFERROR(IF(INDEX(Fall!$1:$1048576,MATCH(All!$A295,Fall!$A:$A,FALSE),MATCH(All!K$1,Fall!$1:$1,FALSE))="","",INDEX(Fall!$1:$1048576,MATCH(All!$A295,Fall!$A:$A,FALSE),MATCH(All!K$1,Fall!$1:$1,FALSE))),"")</f>
        <v>3A</v>
      </c>
      <c r="L295" t="str">
        <f>IFERROR(IF(INDEX(Fall!$1:$1048576,MATCH(All!$A295,Fall!$A:$A,FALSE),MATCH(All!L$1,Fall!$1:$1,FALSE))="","",INDEX(Fall!$1:$1048576,MATCH(All!$A295,Fall!$A:$A,FALSE),MATCH(All!L$1,Fall!$1:$1,FALSE))),"")</f>
        <v>2A</v>
      </c>
      <c r="M295" t="str">
        <f>IFERROR(IF(INDEX(Fall!$1:$1048576,MATCH(All!$A295,Fall!$A:$A,FALSE),MATCH(All!M$1,Fall!$1:$1,FALSE))="","",INDEX(Fall!$1:$1048576,MATCH(All!$A295,Fall!$A:$A,FALSE),MATCH(All!M$1,Fall!$1:$1,FALSE))),"")</f>
        <v>4A</v>
      </c>
      <c r="O295">
        <f>IFERROR(IF(INDEX(Winter!$1:$1048576,MATCH(All!$A295,Winter!$A:$A,FALSE),MATCH(All!O$1,Winter!$1:$1,FALSE))="","",INDEX(Winter!$1:$1048576,MATCH(All!$A295,Winter!$A:$A,FALSE),MATCH(All!O$1,Winter!$1:$1,FALSE))),"")</f>
        <v>1992</v>
      </c>
      <c r="P295" t="str">
        <f>IFERROR(IF(INDEX(Winter!$1:$1048576,MATCH(All!$A295,Winter!$A:$A,FALSE),MATCH(All!P$1,Winter!$1:$1,FALSE))="","",INDEX(Winter!$1:$1048576,MATCH(All!$A295,Winter!$A:$A,FALSE),MATCH(All!P$1,Winter!$1:$1,FALSE))),"")</f>
        <v>4A</v>
      </c>
      <c r="Q295" t="str">
        <f>IFERROR(IF(INDEX(Winter!$1:$1048576,MATCH(All!$A295,Winter!$A:$A,FALSE),MATCH(All!Q$1,Winter!$1:$1,FALSE))="","",INDEX(Winter!$1:$1048576,MATCH(All!$A295,Winter!$A:$A,FALSE),MATCH(All!Q$1,Winter!$1:$1,FALSE))),"")</f>
        <v>4A</v>
      </c>
      <c r="R295" t="str">
        <f>IFERROR(IF(INDEX(Winter!$1:$1048576,MATCH(All!$A295,Winter!$A:$A,FALSE),MATCH(All!R$1,Winter!$1:$1,FALSE))="","",INDEX(Winter!$1:$1048576,MATCH(All!$A295,Winter!$A:$A,FALSE),MATCH(All!R$1,Winter!$1:$1,FALSE))),"")</f>
        <v>3A</v>
      </c>
      <c r="S295" t="str">
        <f>IFERROR(IF(INDEX(Winter!$1:$1048576,MATCH(All!$A295,Winter!$A:$A,FALSE),MATCH(All!S$1,Winter!$1:$1,FALSE))="","",INDEX(Winter!$1:$1048576,MATCH(All!$A295,Winter!$A:$A,FALSE),MATCH(All!S$1,Winter!$1:$1,FALSE))),"")</f>
        <v>3A</v>
      </c>
      <c r="T295" t="str">
        <f>IFERROR(IF(INDEX(Winter!$1:$1048576,MATCH(All!$A295,Winter!$A:$A,FALSE),MATCH(All!T$1,Winter!$1:$1,FALSE))="","",INDEX(Winter!$1:$1048576,MATCH(All!$A295,Winter!$A:$A,FALSE),MATCH(All!T$1,Winter!$1:$1,FALSE))),"")</f>
        <v>2A</v>
      </c>
      <c r="U295" t="str">
        <f>IFERROR(IF(INDEX(Winter!$1:$1048576,MATCH(All!$A295,Winter!$A:$A,FALSE),MATCH(All!U$1,Winter!$1:$1,FALSE))="","",INDEX(Winter!$1:$1048576,MATCH(All!$A295,Winter!$A:$A,FALSE),MATCH(All!U$1,Winter!$1:$1,FALSE))),"")</f>
        <v>3A</v>
      </c>
      <c r="W295">
        <f>IFERROR(IF(INDEX(Spring!$1:$1048576,MATCH(All!$A295,Spring!$A:$A,FALSE),MATCH(All!W$1,Spring!$1:$1,FALSE))="","",INDEX(Spring!$1:$1048576,MATCH(All!$A295,Spring!$A:$A,FALSE),MATCH(All!W$1,Spring!$1:$1,FALSE))),"")</f>
        <v>1992</v>
      </c>
      <c r="X295" t="str">
        <f>IFERROR(IF(INDEX(Spring!$1:$1048576,MATCH(All!$A295,Spring!$A:$A,FALSE),MATCH(All!X$1,Spring!$1:$1,FALSE))="","",INDEX(Spring!$1:$1048576,MATCH(All!$A295,Spring!$A:$A,FALSE),MATCH(All!X$1,Spring!$1:$1,FALSE))),"")</f>
        <v>4A</v>
      </c>
      <c r="Y295" t="str">
        <f>IFERROR(IF(INDEX(Spring!$1:$1048576,MATCH(All!$A295,Spring!$A:$A,FALSE),MATCH(All!Y$1,Spring!$1:$1,FALSE))="","",INDEX(Spring!$1:$1048576,MATCH(All!$A295,Spring!$A:$A,FALSE),MATCH(All!Y$1,Spring!$1:$1,FALSE))),"")</f>
        <v>4A</v>
      </c>
      <c r="Z295" t="str">
        <f>IFERROR(IF(INDEX(Spring!$1:$1048576,MATCH(All!$A295,Spring!$A:$A,FALSE),MATCH(All!Z$1,Spring!$1:$1,FALSE))="","",INDEX(Spring!$1:$1048576,MATCH(All!$A295,Spring!$A:$A,FALSE),MATCH(All!Z$1,Spring!$1:$1,FALSE))),"")</f>
        <v>3A</v>
      </c>
      <c r="AA295" t="str">
        <f>IFERROR(IF(INDEX(Spring!$1:$1048576,MATCH(All!$A295,Spring!$A:$A,FALSE),MATCH(All!AA$1,Spring!$1:$1,FALSE))="","",INDEX(Spring!$1:$1048576,MATCH(All!$A295,Spring!$A:$A,FALSE),MATCH(All!AA$1,Spring!$1:$1,FALSE))),"")</f>
        <v>2A</v>
      </c>
      <c r="AB295" t="str">
        <f>IFERROR(IF(INDEX(Spring!$1:$1048576,MATCH(All!$A295,Spring!$A:$A,FALSE),MATCH(All!AB$1,Spring!$1:$1,FALSE))="","",INDEX(Spring!$1:$1048576,MATCH(All!$A295,Spring!$A:$A,FALSE),MATCH(All!AB$1,Spring!$1:$1,FALSE))),"")</f>
        <v>3A</v>
      </c>
      <c r="AC295" t="str">
        <f>IFERROR(IF(INDEX(Spring!$1:$1048576,MATCH(All!$A295,Spring!$A:$A,FALSE),MATCH(All!AC$1,Spring!$1:$1,FALSE))="","",INDEX(Spring!$1:$1048576,MATCH(All!$A295,Spring!$A:$A,FALSE),MATCH(All!AC$1,Spring!$1:$1,FALSE))),"")</f>
        <v>3A</v>
      </c>
      <c r="AD295" t="str">
        <f>IFERROR(VLOOKUP(A295,'Flag Football'!A:A,1,FALSE),"")</f>
        <v>DeKalb</v>
      </c>
      <c r="AE295" t="str">
        <f t="shared" si="4"/>
        <v>1A</v>
      </c>
    </row>
    <row r="296" spans="1:31" ht="15.75" thickBot="1" x14ac:dyDescent="0.3">
      <c r="A296" s="20" t="s">
        <v>376</v>
      </c>
      <c r="B296" s="38">
        <f>IFERROR(VLOOKUP(A296,'Public v Private'!A:G,3,FALSE),"")</f>
        <v>0</v>
      </c>
      <c r="C296" s="38">
        <f>IFERROR(VLOOKUP(A296,'Public v Private'!A:G,4,FALSE),"")</f>
        <v>0</v>
      </c>
      <c r="D296" s="38">
        <f>IFERROR(VLOOKUP(A296,'Public v Private'!A:G,5,FALSE),"")</f>
        <v>0</v>
      </c>
      <c r="E296" s="38"/>
      <c r="F296" s="40">
        <f>IFERROR(INDEX(Fall!$1:$1048576,MATCH(All!$A296,Fall!$A:$A,FALSE),MATCH(All!F$1,Fall!$1:$1,FALSE)),"N/A")</f>
        <v>45</v>
      </c>
      <c r="G296" t="str">
        <f>IFERROR(IF(INDEX(Fall!$1:$1048576,MATCH(All!$A296,Fall!$A:$A,FALSE),MATCH(All!G$1,Fall!$1:$1,FALSE))="","",INDEX(Fall!$1:$1048576,MATCH(All!$A296,Fall!$A:$A,FALSE),MATCH(All!G$1,Fall!$1:$1,FALSE))),"")</f>
        <v/>
      </c>
      <c r="H296" t="str">
        <f>IFERROR(IF(INDEX(Fall!$1:$1048576,MATCH(All!$A296,Fall!$A:$A,FALSE),MATCH(All!H$1,Fall!$1:$1,FALSE))="","",INDEX(Fall!$1:$1048576,MATCH(All!$A296,Fall!$A:$A,FALSE),MATCH(All!H$1,Fall!$1:$1,FALSE))),"")</f>
        <v/>
      </c>
      <c r="I296" t="str">
        <f>IFERROR(IF(INDEX(Fall!$1:$1048576,MATCH(All!$A296,Fall!$A:$A,FALSE),MATCH(All!I$1,Fall!$1:$1,FALSE))="","",INDEX(Fall!$1:$1048576,MATCH(All!$A296,Fall!$A:$A,FALSE),MATCH(All!I$1,Fall!$1:$1,FALSE))),"")</f>
        <v/>
      </c>
      <c r="J296" t="str">
        <f>IFERROR(IF(INDEX(Fall!$1:$1048576,MATCH(All!$A296,Fall!$A:$A,FALSE),MATCH(All!J$1,Fall!$1:$1,FALSE))="","",INDEX(Fall!$1:$1048576,MATCH(All!$A296,Fall!$A:$A,FALSE),MATCH(All!J$1,Fall!$1:$1,FALSE))),"")</f>
        <v/>
      </c>
      <c r="K296" t="str">
        <f>IFERROR(IF(INDEX(Fall!$1:$1048576,MATCH(All!$A296,Fall!$A:$A,FALSE),MATCH(All!K$1,Fall!$1:$1,FALSE))="","",INDEX(Fall!$1:$1048576,MATCH(All!$A296,Fall!$A:$A,FALSE),MATCH(All!K$1,Fall!$1:$1,FALSE))),"")</f>
        <v/>
      </c>
      <c r="L296" t="str">
        <f>IFERROR(IF(INDEX(Fall!$1:$1048576,MATCH(All!$A296,Fall!$A:$A,FALSE),MATCH(All!L$1,Fall!$1:$1,FALSE))="","",INDEX(Fall!$1:$1048576,MATCH(All!$A296,Fall!$A:$A,FALSE),MATCH(All!L$1,Fall!$1:$1,FALSE))),"")</f>
        <v/>
      </c>
      <c r="M296" t="str">
        <f>IFERROR(IF(INDEX(Fall!$1:$1048576,MATCH(All!$A296,Fall!$A:$A,FALSE),MATCH(All!M$1,Fall!$1:$1,FALSE))="","",INDEX(Fall!$1:$1048576,MATCH(All!$A296,Fall!$A:$A,FALSE),MATCH(All!M$1,Fall!$1:$1,FALSE))),"")</f>
        <v>1A</v>
      </c>
      <c r="O296">
        <f>IFERROR(IF(INDEX(Winter!$1:$1048576,MATCH(All!$A296,Winter!$A:$A,FALSE),MATCH(All!O$1,Winter!$1:$1,FALSE))="","",INDEX(Winter!$1:$1048576,MATCH(All!$A296,Winter!$A:$A,FALSE),MATCH(All!O$1,Winter!$1:$1,FALSE))),"")</f>
        <v>45</v>
      </c>
      <c r="P296" t="str">
        <f>IFERROR(IF(INDEX(Winter!$1:$1048576,MATCH(All!$A296,Winter!$A:$A,FALSE),MATCH(All!P$1,Winter!$1:$1,FALSE))="","",INDEX(Winter!$1:$1048576,MATCH(All!$A296,Winter!$A:$A,FALSE),MATCH(All!P$1,Winter!$1:$1,FALSE))),"")</f>
        <v>1A</v>
      </c>
      <c r="Q296" t="str">
        <f>IFERROR(IF(INDEX(Winter!$1:$1048576,MATCH(All!$A296,Winter!$A:$A,FALSE),MATCH(All!Q$1,Winter!$1:$1,FALSE))="","",INDEX(Winter!$1:$1048576,MATCH(All!$A296,Winter!$A:$A,FALSE),MATCH(All!Q$1,Winter!$1:$1,FALSE))),"")</f>
        <v/>
      </c>
      <c r="R296" t="str">
        <f>IFERROR(IF(INDEX(Winter!$1:$1048576,MATCH(All!$A296,Winter!$A:$A,FALSE),MATCH(All!R$1,Winter!$1:$1,FALSE))="","",INDEX(Winter!$1:$1048576,MATCH(All!$A296,Winter!$A:$A,FALSE),MATCH(All!R$1,Winter!$1:$1,FALSE))),"")</f>
        <v/>
      </c>
      <c r="S296" t="str">
        <f>IFERROR(IF(INDEX(Winter!$1:$1048576,MATCH(All!$A296,Winter!$A:$A,FALSE),MATCH(All!S$1,Winter!$1:$1,FALSE))="","",INDEX(Winter!$1:$1048576,MATCH(All!$A296,Winter!$A:$A,FALSE),MATCH(All!S$1,Winter!$1:$1,FALSE))),"")</f>
        <v/>
      </c>
      <c r="T296" t="str">
        <f>IFERROR(IF(INDEX(Winter!$1:$1048576,MATCH(All!$A296,Winter!$A:$A,FALSE),MATCH(All!T$1,Winter!$1:$1,FALSE))="","",INDEX(Winter!$1:$1048576,MATCH(All!$A296,Winter!$A:$A,FALSE),MATCH(All!T$1,Winter!$1:$1,FALSE))),"")</f>
        <v/>
      </c>
      <c r="U296" t="str">
        <f>IFERROR(IF(INDEX(Winter!$1:$1048576,MATCH(All!$A296,Winter!$A:$A,FALSE),MATCH(All!U$1,Winter!$1:$1,FALSE))="","",INDEX(Winter!$1:$1048576,MATCH(All!$A296,Winter!$A:$A,FALSE),MATCH(All!U$1,Winter!$1:$1,FALSE))),"")</f>
        <v>1A</v>
      </c>
      <c r="W296">
        <f>IFERROR(IF(INDEX(Spring!$1:$1048576,MATCH(All!$A296,Spring!$A:$A,FALSE),MATCH(All!W$1,Spring!$1:$1,FALSE))="","",INDEX(Spring!$1:$1048576,MATCH(All!$A296,Spring!$A:$A,FALSE),MATCH(All!W$1,Spring!$1:$1,FALSE))),"")</f>
        <v>45</v>
      </c>
      <c r="X296" t="str">
        <f>IFERROR(IF(INDEX(Spring!$1:$1048576,MATCH(All!$A296,Spring!$A:$A,FALSE),MATCH(All!X$1,Spring!$1:$1,FALSE))="","",INDEX(Spring!$1:$1048576,MATCH(All!$A296,Spring!$A:$A,FALSE),MATCH(All!X$1,Spring!$1:$1,FALSE))),"")</f>
        <v/>
      </c>
      <c r="Y296" t="str">
        <f>IFERROR(IF(INDEX(Spring!$1:$1048576,MATCH(All!$A296,Spring!$A:$A,FALSE),MATCH(All!Y$1,Spring!$1:$1,FALSE))="","",INDEX(Spring!$1:$1048576,MATCH(All!$A296,Spring!$A:$A,FALSE),MATCH(All!Y$1,Spring!$1:$1,FALSE))),"")</f>
        <v/>
      </c>
      <c r="Z296" t="str">
        <f>IFERROR(IF(INDEX(Spring!$1:$1048576,MATCH(All!$A296,Spring!$A:$A,FALSE),MATCH(All!Z$1,Spring!$1:$1,FALSE))="","",INDEX(Spring!$1:$1048576,MATCH(All!$A296,Spring!$A:$A,FALSE),MATCH(All!Z$1,Spring!$1:$1,FALSE))),"")</f>
        <v/>
      </c>
      <c r="AA296" t="str">
        <f>IFERROR(IF(INDEX(Spring!$1:$1048576,MATCH(All!$A296,Spring!$A:$A,FALSE),MATCH(All!AA$1,Spring!$1:$1,FALSE))="","",INDEX(Spring!$1:$1048576,MATCH(All!$A296,Spring!$A:$A,FALSE),MATCH(All!AA$1,Spring!$1:$1,FALSE))),"")</f>
        <v/>
      </c>
      <c r="AB296" t="str">
        <f>IFERROR(IF(INDEX(Spring!$1:$1048576,MATCH(All!$A296,Spring!$A:$A,FALSE),MATCH(All!AB$1,Spring!$1:$1,FALSE))="","",INDEX(Spring!$1:$1048576,MATCH(All!$A296,Spring!$A:$A,FALSE),MATCH(All!AB$1,Spring!$1:$1,FALSE))),"")</f>
        <v>1A</v>
      </c>
      <c r="AC296" t="str">
        <f>IFERROR(IF(INDEX(Spring!$1:$1048576,MATCH(All!$A296,Spring!$A:$A,FALSE),MATCH(All!AC$1,Spring!$1:$1,FALSE))="","",INDEX(Spring!$1:$1048576,MATCH(All!$A296,Spring!$A:$A,FALSE),MATCH(All!AC$1,Spring!$1:$1,FALSE))),"")</f>
        <v>1A</v>
      </c>
      <c r="AD296" t="str">
        <f>IFERROR(VLOOKUP(A296,'Flag Football'!A:A,1,FALSE),"")</f>
        <v/>
      </c>
      <c r="AE296" t="str">
        <f t="shared" si="4"/>
        <v/>
      </c>
    </row>
    <row r="297" spans="1:31" ht="15.75" thickBot="1" x14ac:dyDescent="0.3">
      <c r="A297" s="18" t="s">
        <v>377</v>
      </c>
      <c r="B297" s="38">
        <f>IFERROR(VLOOKUP(A297,'Public v Private'!A:G,3,FALSE),"")</f>
        <v>0</v>
      </c>
      <c r="C297" s="38">
        <f>IFERROR(VLOOKUP(A297,'Public v Private'!A:G,4,FALSE),"")</f>
        <v>0</v>
      </c>
      <c r="D297" s="38">
        <f>IFERROR(VLOOKUP(A297,'Public v Private'!A:G,5,FALSE),"")</f>
        <v>0</v>
      </c>
      <c r="E297" s="38"/>
      <c r="F297" s="40">
        <f>IFERROR(INDEX(Fall!$1:$1048576,MATCH(All!$A297,Fall!$A:$A,FALSE),MATCH(All!F$1,Fall!$1:$1,FALSE)),"N/A")</f>
        <v>129</v>
      </c>
      <c r="G297" t="str">
        <f>IFERROR(IF(INDEX(Fall!$1:$1048576,MATCH(All!$A297,Fall!$A:$A,FALSE),MATCH(All!G$1,Fall!$1:$1,FALSE))="","",INDEX(Fall!$1:$1048576,MATCH(All!$A297,Fall!$A:$A,FALSE),MATCH(All!G$1,Fall!$1:$1,FALSE))),"")</f>
        <v>1A</v>
      </c>
      <c r="H297" t="str">
        <f>IFERROR(IF(INDEX(Fall!$1:$1048576,MATCH(All!$A297,Fall!$A:$A,FALSE),MATCH(All!H$1,Fall!$1:$1,FALSE))="","",INDEX(Fall!$1:$1048576,MATCH(All!$A297,Fall!$A:$A,FALSE),MATCH(All!H$1,Fall!$1:$1,FALSE))),"")</f>
        <v>1A</v>
      </c>
      <c r="I297" t="str">
        <f>IFERROR(IF(INDEX(Fall!$1:$1048576,MATCH(All!$A297,Fall!$A:$A,FALSE),MATCH(All!I$1,Fall!$1:$1,FALSE))="","",INDEX(Fall!$1:$1048576,MATCH(All!$A297,Fall!$A:$A,FALSE),MATCH(All!I$1,Fall!$1:$1,FALSE))),"")</f>
        <v>1A</v>
      </c>
      <c r="J297" t="str">
        <f>IFERROR(IF(INDEX(Fall!$1:$1048576,MATCH(All!$A297,Fall!$A:$A,FALSE),MATCH(All!J$1,Fall!$1:$1,FALSE))="","",INDEX(Fall!$1:$1048576,MATCH(All!$A297,Fall!$A:$A,FALSE),MATCH(All!J$1,Fall!$1:$1,FALSE))),"")</f>
        <v/>
      </c>
      <c r="K297" t="str">
        <f>IFERROR(IF(INDEX(Fall!$1:$1048576,MATCH(All!$A297,Fall!$A:$A,FALSE),MATCH(All!K$1,Fall!$1:$1,FALSE))="","",INDEX(Fall!$1:$1048576,MATCH(All!$A297,Fall!$A:$A,FALSE),MATCH(All!K$1,Fall!$1:$1,FALSE))),"")</f>
        <v/>
      </c>
      <c r="L297" t="str">
        <f>IFERROR(IF(INDEX(Fall!$1:$1048576,MATCH(All!$A297,Fall!$A:$A,FALSE),MATCH(All!L$1,Fall!$1:$1,FALSE))="","",INDEX(Fall!$1:$1048576,MATCH(All!$A297,Fall!$A:$A,FALSE),MATCH(All!L$1,Fall!$1:$1,FALSE))),"")</f>
        <v/>
      </c>
      <c r="M297" t="str">
        <f>IFERROR(IF(INDEX(Fall!$1:$1048576,MATCH(All!$A297,Fall!$A:$A,FALSE),MATCH(All!M$1,Fall!$1:$1,FALSE))="","",INDEX(Fall!$1:$1048576,MATCH(All!$A297,Fall!$A:$A,FALSE),MATCH(All!M$1,Fall!$1:$1,FALSE))),"")</f>
        <v>1A</v>
      </c>
      <c r="O297">
        <f>IFERROR(IF(INDEX(Winter!$1:$1048576,MATCH(All!$A297,Winter!$A:$A,FALSE),MATCH(All!O$1,Winter!$1:$1,FALSE))="","",INDEX(Winter!$1:$1048576,MATCH(All!$A297,Winter!$A:$A,FALSE),MATCH(All!O$1,Winter!$1:$1,FALSE))),"")</f>
        <v>129</v>
      </c>
      <c r="P297" t="str">
        <f>IFERROR(IF(INDEX(Winter!$1:$1048576,MATCH(All!$A297,Winter!$A:$A,FALSE),MATCH(All!P$1,Winter!$1:$1,FALSE))="","",INDEX(Winter!$1:$1048576,MATCH(All!$A297,Winter!$A:$A,FALSE),MATCH(All!P$1,Winter!$1:$1,FALSE))),"")</f>
        <v>1A</v>
      </c>
      <c r="Q297" t="str">
        <f>IFERROR(IF(INDEX(Winter!$1:$1048576,MATCH(All!$A297,Winter!$A:$A,FALSE),MATCH(All!Q$1,Winter!$1:$1,FALSE))="","",INDEX(Winter!$1:$1048576,MATCH(All!$A297,Winter!$A:$A,FALSE),MATCH(All!Q$1,Winter!$1:$1,FALSE))),"")</f>
        <v/>
      </c>
      <c r="R297" t="str">
        <f>IFERROR(IF(INDEX(Winter!$1:$1048576,MATCH(All!$A297,Winter!$A:$A,FALSE),MATCH(All!R$1,Winter!$1:$1,FALSE))="","",INDEX(Winter!$1:$1048576,MATCH(All!$A297,Winter!$A:$A,FALSE),MATCH(All!R$1,Winter!$1:$1,FALSE))),"")</f>
        <v/>
      </c>
      <c r="S297" t="str">
        <f>IFERROR(IF(INDEX(Winter!$1:$1048576,MATCH(All!$A297,Winter!$A:$A,FALSE),MATCH(All!S$1,Winter!$1:$1,FALSE))="","",INDEX(Winter!$1:$1048576,MATCH(All!$A297,Winter!$A:$A,FALSE),MATCH(All!S$1,Winter!$1:$1,FALSE))),"")</f>
        <v/>
      </c>
      <c r="T297" t="str">
        <f>IFERROR(IF(INDEX(Winter!$1:$1048576,MATCH(All!$A297,Winter!$A:$A,FALSE),MATCH(All!T$1,Winter!$1:$1,FALSE))="","",INDEX(Winter!$1:$1048576,MATCH(All!$A297,Winter!$A:$A,FALSE),MATCH(All!T$1,Winter!$1:$1,FALSE))),"")</f>
        <v>1A</v>
      </c>
      <c r="U297" t="str">
        <f>IFERROR(IF(INDEX(Winter!$1:$1048576,MATCH(All!$A297,Winter!$A:$A,FALSE),MATCH(All!U$1,Winter!$1:$1,FALSE))="","",INDEX(Winter!$1:$1048576,MATCH(All!$A297,Winter!$A:$A,FALSE),MATCH(All!U$1,Winter!$1:$1,FALSE))),"")</f>
        <v/>
      </c>
      <c r="W297">
        <f>IFERROR(IF(INDEX(Spring!$1:$1048576,MATCH(All!$A297,Spring!$A:$A,FALSE),MATCH(All!W$1,Spring!$1:$1,FALSE))="","",INDEX(Spring!$1:$1048576,MATCH(All!$A297,Spring!$A:$A,FALSE),MATCH(All!W$1,Spring!$1:$1,FALSE))),"")</f>
        <v>129</v>
      </c>
      <c r="X297" t="str">
        <f>IFERROR(IF(INDEX(Spring!$1:$1048576,MATCH(All!$A297,Spring!$A:$A,FALSE),MATCH(All!X$1,Spring!$1:$1,FALSE))="","",INDEX(Spring!$1:$1048576,MATCH(All!$A297,Spring!$A:$A,FALSE),MATCH(All!X$1,Spring!$1:$1,FALSE))),"")</f>
        <v>1A</v>
      </c>
      <c r="Y297" t="str">
        <f>IFERROR(IF(INDEX(Spring!$1:$1048576,MATCH(All!$A297,Spring!$A:$A,FALSE),MATCH(All!Y$1,Spring!$1:$1,FALSE))="","",INDEX(Spring!$1:$1048576,MATCH(All!$A297,Spring!$A:$A,FALSE),MATCH(All!Y$1,Spring!$1:$1,FALSE))),"")</f>
        <v>1A</v>
      </c>
      <c r="Z297" t="str">
        <f>IFERROR(IF(INDEX(Spring!$1:$1048576,MATCH(All!$A297,Spring!$A:$A,FALSE),MATCH(All!Z$1,Spring!$1:$1,FALSE))="","",INDEX(Spring!$1:$1048576,MATCH(All!$A297,Spring!$A:$A,FALSE),MATCH(All!Z$1,Spring!$1:$1,FALSE))),"")</f>
        <v/>
      </c>
      <c r="AA297" t="str">
        <f>IFERROR(IF(INDEX(Spring!$1:$1048576,MATCH(All!$A297,Spring!$A:$A,FALSE),MATCH(All!AA$1,Spring!$1:$1,FALSE))="","",INDEX(Spring!$1:$1048576,MATCH(All!$A297,Spring!$A:$A,FALSE),MATCH(All!AA$1,Spring!$1:$1,FALSE))),"")</f>
        <v/>
      </c>
      <c r="AB297" t="str">
        <f>IFERROR(IF(INDEX(Spring!$1:$1048576,MATCH(All!$A297,Spring!$A:$A,FALSE),MATCH(All!AB$1,Spring!$1:$1,FALSE))="","",INDEX(Spring!$1:$1048576,MATCH(All!$A297,Spring!$A:$A,FALSE),MATCH(All!AB$1,Spring!$1:$1,FALSE))),"")</f>
        <v>1A</v>
      </c>
      <c r="AC297" t="str">
        <f>IFERROR(IF(INDEX(Spring!$1:$1048576,MATCH(All!$A297,Spring!$A:$A,FALSE),MATCH(All!AC$1,Spring!$1:$1,FALSE))="","",INDEX(Spring!$1:$1048576,MATCH(All!$A297,Spring!$A:$A,FALSE),MATCH(All!AC$1,Spring!$1:$1,FALSE))),"")</f>
        <v>1A</v>
      </c>
      <c r="AD297" t="str">
        <f>IFERROR(VLOOKUP(A297,'Flag Football'!A:A,1,FALSE),"")</f>
        <v/>
      </c>
      <c r="AE297" t="str">
        <f t="shared" si="4"/>
        <v/>
      </c>
    </row>
    <row r="298" spans="1:31" ht="15.75" thickBot="1" x14ac:dyDescent="0.3">
      <c r="A298" s="20" t="s">
        <v>378</v>
      </c>
      <c r="B298" s="38">
        <f>IFERROR(VLOOKUP(A298,'Public v Private'!A:G,3,FALSE),"")</f>
        <v>0</v>
      </c>
      <c r="C298" s="38">
        <f>IFERROR(VLOOKUP(A298,'Public v Private'!A:G,4,FALSE),"")</f>
        <v>0</v>
      </c>
      <c r="D298" s="38">
        <f>IFERROR(VLOOKUP(A298,'Public v Private'!A:G,5,FALSE),"")</f>
        <v>0</v>
      </c>
      <c r="E298" s="38"/>
      <c r="F298" s="40">
        <f>IFERROR(INDEX(Fall!$1:$1048576,MATCH(All!$A298,Fall!$A:$A,FALSE),MATCH(All!F$1,Fall!$1:$1,FALSE)),"N/A")</f>
        <v>83</v>
      </c>
      <c r="G298" t="str">
        <f>IFERROR(IF(INDEX(Fall!$1:$1048576,MATCH(All!$A298,Fall!$A:$A,FALSE),MATCH(All!G$1,Fall!$1:$1,FALSE))="","",INDEX(Fall!$1:$1048576,MATCH(All!$A298,Fall!$A:$A,FALSE),MATCH(All!G$1,Fall!$1:$1,FALSE))),"")</f>
        <v/>
      </c>
      <c r="H298" t="str">
        <f>IFERROR(IF(INDEX(Fall!$1:$1048576,MATCH(All!$A298,Fall!$A:$A,FALSE),MATCH(All!H$1,Fall!$1:$1,FALSE))="","",INDEX(Fall!$1:$1048576,MATCH(All!$A298,Fall!$A:$A,FALSE),MATCH(All!H$1,Fall!$1:$1,FALSE))),"")</f>
        <v/>
      </c>
      <c r="I298" t="str">
        <f>IFERROR(IF(INDEX(Fall!$1:$1048576,MATCH(All!$A298,Fall!$A:$A,FALSE),MATCH(All!I$1,Fall!$1:$1,FALSE))="","",INDEX(Fall!$1:$1048576,MATCH(All!$A298,Fall!$A:$A,FALSE),MATCH(All!I$1,Fall!$1:$1,FALSE))),"")</f>
        <v/>
      </c>
      <c r="J298" t="str">
        <f>IFERROR(IF(INDEX(Fall!$1:$1048576,MATCH(All!$A298,Fall!$A:$A,FALSE),MATCH(All!J$1,Fall!$1:$1,FALSE))="","",INDEX(Fall!$1:$1048576,MATCH(All!$A298,Fall!$A:$A,FALSE),MATCH(All!J$1,Fall!$1:$1,FALSE))),"")</f>
        <v/>
      </c>
      <c r="K298" t="str">
        <f>IFERROR(IF(INDEX(Fall!$1:$1048576,MATCH(All!$A298,Fall!$A:$A,FALSE),MATCH(All!K$1,Fall!$1:$1,FALSE))="","",INDEX(Fall!$1:$1048576,MATCH(All!$A298,Fall!$A:$A,FALSE),MATCH(All!K$1,Fall!$1:$1,FALSE))),"")</f>
        <v>1A</v>
      </c>
      <c r="L298" t="str">
        <f>IFERROR(IF(INDEX(Fall!$1:$1048576,MATCH(All!$A298,Fall!$A:$A,FALSE),MATCH(All!L$1,Fall!$1:$1,FALSE))="","",INDEX(Fall!$1:$1048576,MATCH(All!$A298,Fall!$A:$A,FALSE),MATCH(All!L$1,Fall!$1:$1,FALSE))),"")</f>
        <v/>
      </c>
      <c r="M298" t="str">
        <f>IFERROR(IF(INDEX(Fall!$1:$1048576,MATCH(All!$A298,Fall!$A:$A,FALSE),MATCH(All!M$1,Fall!$1:$1,FALSE))="","",INDEX(Fall!$1:$1048576,MATCH(All!$A298,Fall!$A:$A,FALSE),MATCH(All!M$1,Fall!$1:$1,FALSE))),"")</f>
        <v>1A</v>
      </c>
      <c r="O298">
        <f>IFERROR(IF(INDEX(Winter!$1:$1048576,MATCH(All!$A298,Winter!$A:$A,FALSE),MATCH(All!O$1,Winter!$1:$1,FALSE))="","",INDEX(Winter!$1:$1048576,MATCH(All!$A298,Winter!$A:$A,FALSE),MATCH(All!O$1,Winter!$1:$1,FALSE))),"")</f>
        <v>83</v>
      </c>
      <c r="P298" t="str">
        <f>IFERROR(IF(INDEX(Winter!$1:$1048576,MATCH(All!$A298,Winter!$A:$A,FALSE),MATCH(All!P$1,Winter!$1:$1,FALSE))="","",INDEX(Winter!$1:$1048576,MATCH(All!$A298,Winter!$A:$A,FALSE),MATCH(All!P$1,Winter!$1:$1,FALSE))),"")</f>
        <v>1A</v>
      </c>
      <c r="Q298" t="str">
        <f>IFERROR(IF(INDEX(Winter!$1:$1048576,MATCH(All!$A298,Winter!$A:$A,FALSE),MATCH(All!Q$1,Winter!$1:$1,FALSE))="","",INDEX(Winter!$1:$1048576,MATCH(All!$A298,Winter!$A:$A,FALSE),MATCH(All!Q$1,Winter!$1:$1,FALSE))),"")</f>
        <v/>
      </c>
      <c r="R298" t="str">
        <f>IFERROR(IF(INDEX(Winter!$1:$1048576,MATCH(All!$A298,Winter!$A:$A,FALSE),MATCH(All!R$1,Winter!$1:$1,FALSE))="","",INDEX(Winter!$1:$1048576,MATCH(All!$A298,Winter!$A:$A,FALSE),MATCH(All!R$1,Winter!$1:$1,FALSE))),"")</f>
        <v/>
      </c>
      <c r="S298" t="str">
        <f>IFERROR(IF(INDEX(Winter!$1:$1048576,MATCH(All!$A298,Winter!$A:$A,FALSE),MATCH(All!S$1,Winter!$1:$1,FALSE))="","",INDEX(Winter!$1:$1048576,MATCH(All!$A298,Winter!$A:$A,FALSE),MATCH(All!S$1,Winter!$1:$1,FALSE))),"")</f>
        <v/>
      </c>
      <c r="T298" t="str">
        <f>IFERROR(IF(INDEX(Winter!$1:$1048576,MATCH(All!$A298,Winter!$A:$A,FALSE),MATCH(All!T$1,Winter!$1:$1,FALSE))="","",INDEX(Winter!$1:$1048576,MATCH(All!$A298,Winter!$A:$A,FALSE),MATCH(All!T$1,Winter!$1:$1,FALSE))),"")</f>
        <v/>
      </c>
      <c r="U298" t="str">
        <f>IFERROR(IF(INDEX(Winter!$1:$1048576,MATCH(All!$A298,Winter!$A:$A,FALSE),MATCH(All!U$1,Winter!$1:$1,FALSE))="","",INDEX(Winter!$1:$1048576,MATCH(All!$A298,Winter!$A:$A,FALSE),MATCH(All!U$1,Winter!$1:$1,FALSE))),"")</f>
        <v/>
      </c>
      <c r="W298">
        <f>IFERROR(IF(INDEX(Spring!$1:$1048576,MATCH(All!$A298,Spring!$A:$A,FALSE),MATCH(All!W$1,Spring!$1:$1,FALSE))="","",INDEX(Spring!$1:$1048576,MATCH(All!$A298,Spring!$A:$A,FALSE),MATCH(All!W$1,Spring!$1:$1,FALSE))),"")</f>
        <v>83</v>
      </c>
      <c r="X298" t="str">
        <f>IFERROR(IF(INDEX(Spring!$1:$1048576,MATCH(All!$A298,Spring!$A:$A,FALSE),MATCH(All!X$1,Spring!$1:$1,FALSE))="","",INDEX(Spring!$1:$1048576,MATCH(All!$A298,Spring!$A:$A,FALSE),MATCH(All!X$1,Spring!$1:$1,FALSE))),"")</f>
        <v/>
      </c>
      <c r="Y298" t="str">
        <f>IFERROR(IF(INDEX(Spring!$1:$1048576,MATCH(All!$A298,Spring!$A:$A,FALSE),MATCH(All!Y$1,Spring!$1:$1,FALSE))="","",INDEX(Spring!$1:$1048576,MATCH(All!$A298,Spring!$A:$A,FALSE),MATCH(All!Y$1,Spring!$1:$1,FALSE))),"")</f>
        <v/>
      </c>
      <c r="Z298" t="str">
        <f>IFERROR(IF(INDEX(Spring!$1:$1048576,MATCH(All!$A298,Spring!$A:$A,FALSE),MATCH(All!Z$1,Spring!$1:$1,FALSE))="","",INDEX(Spring!$1:$1048576,MATCH(All!$A298,Spring!$A:$A,FALSE),MATCH(All!Z$1,Spring!$1:$1,FALSE))),"")</f>
        <v>1A</v>
      </c>
      <c r="AA298" t="str">
        <f>IFERROR(IF(INDEX(Spring!$1:$1048576,MATCH(All!$A298,Spring!$A:$A,FALSE),MATCH(All!AA$1,Spring!$1:$1,FALSE))="","",INDEX(Spring!$1:$1048576,MATCH(All!$A298,Spring!$A:$A,FALSE),MATCH(All!AA$1,Spring!$1:$1,FALSE))),"")</f>
        <v/>
      </c>
      <c r="AB298" t="str">
        <f>IFERROR(IF(INDEX(Spring!$1:$1048576,MATCH(All!$A298,Spring!$A:$A,FALSE),MATCH(All!AB$1,Spring!$1:$1,FALSE))="","",INDEX(Spring!$1:$1048576,MATCH(All!$A298,Spring!$A:$A,FALSE),MATCH(All!AB$1,Spring!$1:$1,FALSE))),"")</f>
        <v>1A</v>
      </c>
      <c r="AC298" t="str">
        <f>IFERROR(IF(INDEX(Spring!$1:$1048576,MATCH(All!$A298,Spring!$A:$A,FALSE),MATCH(All!AC$1,Spring!$1:$1,FALSE))="","",INDEX(Spring!$1:$1048576,MATCH(All!$A298,Spring!$A:$A,FALSE),MATCH(All!AC$1,Spring!$1:$1,FALSE))),"")</f>
        <v>1A</v>
      </c>
      <c r="AD298" t="str">
        <f>IFERROR(VLOOKUP(A298,'Flag Football'!A:A,1,FALSE),"")</f>
        <v/>
      </c>
      <c r="AE298" t="str">
        <f t="shared" si="4"/>
        <v/>
      </c>
    </row>
    <row r="299" spans="1:31" ht="15.75" thickBot="1" x14ac:dyDescent="0.3">
      <c r="A299" s="18" t="s">
        <v>379</v>
      </c>
      <c r="B299" s="38">
        <f>IFERROR(VLOOKUP(A299,'Public v Private'!A:G,3,FALSE),"")</f>
        <v>0</v>
      </c>
      <c r="C299" s="38">
        <f>IFERROR(VLOOKUP(A299,'Public v Private'!A:G,4,FALSE),"")</f>
        <v>0</v>
      </c>
      <c r="D299" s="38">
        <f>IFERROR(VLOOKUP(A299,'Public v Private'!A:G,5,FALSE),"")</f>
        <v>0</v>
      </c>
      <c r="E299" s="38"/>
      <c r="F299" s="40">
        <f>IFERROR(INDEX(Fall!$1:$1048576,MATCH(All!$A299,Fall!$A:$A,FALSE),MATCH(All!F$1,Fall!$1:$1,FALSE)),"N/A")</f>
        <v>1817</v>
      </c>
      <c r="G299" t="str">
        <f>IFERROR(IF(INDEX(Fall!$1:$1048576,MATCH(All!$A299,Fall!$A:$A,FALSE),MATCH(All!G$1,Fall!$1:$1,FALSE))="","",INDEX(Fall!$1:$1048576,MATCH(All!$A299,Fall!$A:$A,FALSE),MATCH(All!G$1,Fall!$1:$1,FALSE))),"")</f>
        <v>3A</v>
      </c>
      <c r="H299" t="str">
        <f>IFERROR(IF(INDEX(Fall!$1:$1048576,MATCH(All!$A299,Fall!$A:$A,FALSE),MATCH(All!H$1,Fall!$1:$1,FALSE))="","",INDEX(Fall!$1:$1048576,MATCH(All!$A299,Fall!$A:$A,FALSE),MATCH(All!H$1,Fall!$1:$1,FALSE))),"")</f>
        <v>3A</v>
      </c>
      <c r="I299" t="str">
        <f>IFERROR(IF(INDEX(Fall!$1:$1048576,MATCH(All!$A299,Fall!$A:$A,FALSE),MATCH(All!I$1,Fall!$1:$1,FALSE))="","",INDEX(Fall!$1:$1048576,MATCH(All!$A299,Fall!$A:$A,FALSE),MATCH(All!I$1,Fall!$1:$1,FALSE))),"")</f>
        <v>3A</v>
      </c>
      <c r="J299" t="str">
        <f>IFERROR(IF(INDEX(Fall!$1:$1048576,MATCH(All!$A299,Fall!$A:$A,FALSE),MATCH(All!J$1,Fall!$1:$1,FALSE))="","",INDEX(Fall!$1:$1048576,MATCH(All!$A299,Fall!$A:$A,FALSE),MATCH(All!J$1,Fall!$1:$1,FALSE))),"")</f>
        <v>2A</v>
      </c>
      <c r="K299" t="str">
        <f>IFERROR(IF(INDEX(Fall!$1:$1048576,MATCH(All!$A299,Fall!$A:$A,FALSE),MATCH(All!K$1,Fall!$1:$1,FALSE))="","",INDEX(Fall!$1:$1048576,MATCH(All!$A299,Fall!$A:$A,FALSE),MATCH(All!K$1,Fall!$1:$1,FALSE))),"")</f>
        <v>3A</v>
      </c>
      <c r="L299" t="str">
        <f>IFERROR(IF(INDEX(Fall!$1:$1048576,MATCH(All!$A299,Fall!$A:$A,FALSE),MATCH(All!L$1,Fall!$1:$1,FALSE))="","",INDEX(Fall!$1:$1048576,MATCH(All!$A299,Fall!$A:$A,FALSE),MATCH(All!L$1,Fall!$1:$1,FALSE))),"")</f>
        <v>2A</v>
      </c>
      <c r="M299" t="str">
        <f>IFERROR(IF(INDEX(Fall!$1:$1048576,MATCH(All!$A299,Fall!$A:$A,FALSE),MATCH(All!M$1,Fall!$1:$1,FALSE))="","",INDEX(Fall!$1:$1048576,MATCH(All!$A299,Fall!$A:$A,FALSE),MATCH(All!M$1,Fall!$1:$1,FALSE))),"")</f>
        <v>4A</v>
      </c>
      <c r="O299">
        <f>IFERROR(IF(INDEX(Winter!$1:$1048576,MATCH(All!$A299,Winter!$A:$A,FALSE),MATCH(All!O$1,Winter!$1:$1,FALSE))="","",INDEX(Winter!$1:$1048576,MATCH(All!$A299,Winter!$A:$A,FALSE),MATCH(All!O$1,Winter!$1:$1,FALSE))),"")</f>
        <v>1817</v>
      </c>
      <c r="P299" t="str">
        <f>IFERROR(IF(INDEX(Winter!$1:$1048576,MATCH(All!$A299,Winter!$A:$A,FALSE),MATCH(All!P$1,Winter!$1:$1,FALSE))="","",INDEX(Winter!$1:$1048576,MATCH(All!$A299,Winter!$A:$A,FALSE),MATCH(All!P$1,Winter!$1:$1,FALSE))),"")</f>
        <v>4A</v>
      </c>
      <c r="Q299" t="str">
        <f>IFERROR(IF(INDEX(Winter!$1:$1048576,MATCH(All!$A299,Winter!$A:$A,FALSE),MATCH(All!Q$1,Winter!$1:$1,FALSE))="","",INDEX(Winter!$1:$1048576,MATCH(All!$A299,Winter!$A:$A,FALSE),MATCH(All!Q$1,Winter!$1:$1,FALSE))),"")</f>
        <v>4A</v>
      </c>
      <c r="R299" t="str">
        <f>IFERROR(IF(INDEX(Winter!$1:$1048576,MATCH(All!$A299,Winter!$A:$A,FALSE),MATCH(All!R$1,Winter!$1:$1,FALSE))="","",INDEX(Winter!$1:$1048576,MATCH(All!$A299,Winter!$A:$A,FALSE),MATCH(All!R$1,Winter!$1:$1,FALSE))),"")</f>
        <v>C</v>
      </c>
      <c r="S299" t="str">
        <f>IFERROR(IF(INDEX(Winter!$1:$1048576,MATCH(All!$A299,Winter!$A:$A,FALSE),MATCH(All!S$1,Winter!$1:$1,FALSE))="","",INDEX(Winter!$1:$1048576,MATCH(All!$A299,Winter!$A:$A,FALSE),MATCH(All!S$1,Winter!$1:$1,FALSE))),"")</f>
        <v>2A</v>
      </c>
      <c r="T299" t="str">
        <f>IFERROR(IF(INDEX(Winter!$1:$1048576,MATCH(All!$A299,Winter!$A:$A,FALSE),MATCH(All!T$1,Winter!$1:$1,FALSE))="","",INDEX(Winter!$1:$1048576,MATCH(All!$A299,Winter!$A:$A,FALSE),MATCH(All!T$1,Winter!$1:$1,FALSE))),"")</f>
        <v>2A</v>
      </c>
      <c r="U299" t="str">
        <f>IFERROR(IF(INDEX(Winter!$1:$1048576,MATCH(All!$A299,Winter!$A:$A,FALSE),MATCH(All!U$1,Winter!$1:$1,FALSE))="","",INDEX(Winter!$1:$1048576,MATCH(All!$A299,Winter!$A:$A,FALSE),MATCH(All!U$1,Winter!$1:$1,FALSE))),"")</f>
        <v>3A</v>
      </c>
      <c r="W299">
        <f>IFERROR(IF(INDEX(Spring!$1:$1048576,MATCH(All!$A299,Spring!$A:$A,FALSE),MATCH(All!W$1,Spring!$1:$1,FALSE))="","",INDEX(Spring!$1:$1048576,MATCH(All!$A299,Spring!$A:$A,FALSE),MATCH(All!W$1,Spring!$1:$1,FALSE))),"")</f>
        <v>1817</v>
      </c>
      <c r="X299" t="str">
        <f>IFERROR(IF(INDEX(Spring!$1:$1048576,MATCH(All!$A299,Spring!$A:$A,FALSE),MATCH(All!X$1,Spring!$1:$1,FALSE))="","",INDEX(Spring!$1:$1048576,MATCH(All!$A299,Spring!$A:$A,FALSE),MATCH(All!X$1,Spring!$1:$1,FALSE))),"")</f>
        <v>4A</v>
      </c>
      <c r="Y299" t="str">
        <f>IFERROR(IF(INDEX(Spring!$1:$1048576,MATCH(All!$A299,Spring!$A:$A,FALSE),MATCH(All!Y$1,Spring!$1:$1,FALSE))="","",INDEX(Spring!$1:$1048576,MATCH(All!$A299,Spring!$A:$A,FALSE),MATCH(All!Y$1,Spring!$1:$1,FALSE))),"")</f>
        <v>4A</v>
      </c>
      <c r="Z299" t="str">
        <f>IFERROR(IF(INDEX(Spring!$1:$1048576,MATCH(All!$A299,Spring!$A:$A,FALSE),MATCH(All!Z$1,Spring!$1:$1,FALSE))="","",INDEX(Spring!$1:$1048576,MATCH(All!$A299,Spring!$A:$A,FALSE),MATCH(All!Z$1,Spring!$1:$1,FALSE))),"")</f>
        <v>3A</v>
      </c>
      <c r="AA299" t="str">
        <f>IFERROR(IF(INDEX(Spring!$1:$1048576,MATCH(All!$A299,Spring!$A:$A,FALSE),MATCH(All!AA$1,Spring!$1:$1,FALSE))="","",INDEX(Spring!$1:$1048576,MATCH(All!$A299,Spring!$A:$A,FALSE),MATCH(All!AA$1,Spring!$1:$1,FALSE))),"")</f>
        <v>2A</v>
      </c>
      <c r="AB299" t="str">
        <f>IFERROR(IF(INDEX(Spring!$1:$1048576,MATCH(All!$A299,Spring!$A:$A,FALSE),MATCH(All!AB$1,Spring!$1:$1,FALSE))="","",INDEX(Spring!$1:$1048576,MATCH(All!$A299,Spring!$A:$A,FALSE),MATCH(All!AB$1,Spring!$1:$1,FALSE))),"")</f>
        <v>3A</v>
      </c>
      <c r="AC299" t="str">
        <f>IFERROR(IF(INDEX(Spring!$1:$1048576,MATCH(All!$A299,Spring!$A:$A,FALSE),MATCH(All!AC$1,Spring!$1:$1,FALSE))="","",INDEX(Spring!$1:$1048576,MATCH(All!$A299,Spring!$A:$A,FALSE),MATCH(All!AC$1,Spring!$1:$1,FALSE))),"")</f>
        <v>3A</v>
      </c>
      <c r="AD299" t="str">
        <f>IFERROR(VLOOKUP(A299,'Flag Football'!A:A,1,FALSE),"")</f>
        <v>Des Plaines (Maine West)</v>
      </c>
      <c r="AE299" t="str">
        <f t="shared" si="4"/>
        <v>1A</v>
      </c>
    </row>
    <row r="300" spans="1:31" ht="15.75" thickBot="1" x14ac:dyDescent="0.3">
      <c r="A300" s="20" t="s">
        <v>380</v>
      </c>
      <c r="B300" s="38" t="str">
        <f>IFERROR(VLOOKUP(A300,'Public v Private'!A:G,3,FALSE),"")</f>
        <v>private</v>
      </c>
      <c r="C300" s="38">
        <f>IFERROR(VLOOKUP(A300,'Public v Private'!A:G,4,FALSE),"")</f>
        <v>2</v>
      </c>
      <c r="D300" s="38">
        <f>IFERROR(VLOOKUP(A300,'Public v Private'!A:G,5,FALSE),"")</f>
        <v>4</v>
      </c>
      <c r="E300" s="38"/>
      <c r="F300" s="40" t="str">
        <f>IFERROR(INDEX(Fall!$1:$1048576,MATCH(All!$A300,Fall!$A:$A,FALSE),MATCH(All!F$1,Fall!$1:$1,FALSE)),"N/A")</f>
        <v>254.00 (419.10)</v>
      </c>
      <c r="G300" t="str">
        <f>IFERROR(IF(INDEX(Fall!$1:$1048576,MATCH(All!$A300,Fall!$A:$A,FALSE),MATCH(All!G$1,Fall!$1:$1,FALSE))="","",INDEX(Fall!$1:$1048576,MATCH(All!$A300,Fall!$A:$A,FALSE),MATCH(All!G$1,Fall!$1:$1,FALSE))),"")</f>
        <v/>
      </c>
      <c r="H300" t="str">
        <f>IFERROR(IF(INDEX(Fall!$1:$1048576,MATCH(All!$A300,Fall!$A:$A,FALSE),MATCH(All!H$1,Fall!$1:$1,FALSE))="","",INDEX(Fall!$1:$1048576,MATCH(All!$A300,Fall!$A:$A,FALSE),MATCH(All!H$1,Fall!$1:$1,FALSE))),"")</f>
        <v>1A</v>
      </c>
      <c r="I300" t="str">
        <f>IFERROR(IF(INDEX(Fall!$1:$1048576,MATCH(All!$A300,Fall!$A:$A,FALSE),MATCH(All!I$1,Fall!$1:$1,FALSE))="","",INDEX(Fall!$1:$1048576,MATCH(All!$A300,Fall!$A:$A,FALSE),MATCH(All!I$1,Fall!$1:$1,FALSE))),"")</f>
        <v/>
      </c>
      <c r="J300" t="str">
        <f>IFERROR(IF(INDEX(Fall!$1:$1048576,MATCH(All!$A300,Fall!$A:$A,FALSE),MATCH(All!J$1,Fall!$1:$1,FALSE))="","",INDEX(Fall!$1:$1048576,MATCH(All!$A300,Fall!$A:$A,FALSE),MATCH(All!J$1,Fall!$1:$1,FALSE))),"")</f>
        <v/>
      </c>
      <c r="K300" t="str">
        <f>IFERROR(IF(INDEX(Fall!$1:$1048576,MATCH(All!$A300,Fall!$A:$A,FALSE),MATCH(All!K$1,Fall!$1:$1,FALSE))="","",INDEX(Fall!$1:$1048576,MATCH(All!$A300,Fall!$A:$A,FALSE),MATCH(All!K$1,Fall!$1:$1,FALSE))),"")</f>
        <v/>
      </c>
      <c r="L300" t="str">
        <f>IFERROR(IF(INDEX(Fall!$1:$1048576,MATCH(All!$A300,Fall!$A:$A,FALSE),MATCH(All!L$1,Fall!$1:$1,FALSE))="","",INDEX(Fall!$1:$1048576,MATCH(All!$A300,Fall!$A:$A,FALSE),MATCH(All!L$1,Fall!$1:$1,FALSE))),"")</f>
        <v>1A</v>
      </c>
      <c r="M300" t="str">
        <f>IFERROR(IF(INDEX(Fall!$1:$1048576,MATCH(All!$A300,Fall!$A:$A,FALSE),MATCH(All!M$1,Fall!$1:$1,FALSE))="","",INDEX(Fall!$1:$1048576,MATCH(All!$A300,Fall!$A:$A,FALSE),MATCH(All!M$1,Fall!$1:$1,FALSE))),"")</f>
        <v>1A</v>
      </c>
      <c r="O300" t="str">
        <f>IFERROR(IF(INDEX(Winter!$1:$1048576,MATCH(All!$A300,Winter!$A:$A,FALSE),MATCH(All!O$1,Winter!$1:$1,FALSE))="","",INDEX(Winter!$1:$1048576,MATCH(All!$A300,Winter!$A:$A,FALSE),MATCH(All!O$1,Winter!$1:$1,FALSE))),"")</f>
        <v>254.00 (419.10)</v>
      </c>
      <c r="P300" t="str">
        <f>IFERROR(IF(INDEX(Winter!$1:$1048576,MATCH(All!$A300,Winter!$A:$A,FALSE),MATCH(All!P$1,Winter!$1:$1,FALSE))="","",INDEX(Winter!$1:$1048576,MATCH(All!$A300,Winter!$A:$A,FALSE),MATCH(All!P$1,Winter!$1:$1,FALSE))),"")</f>
        <v/>
      </c>
      <c r="Q300" t="str">
        <f>IFERROR(IF(INDEX(Winter!$1:$1048576,MATCH(All!$A300,Winter!$A:$A,FALSE),MATCH(All!Q$1,Winter!$1:$1,FALSE))="","",INDEX(Winter!$1:$1048576,MATCH(All!$A300,Winter!$A:$A,FALSE),MATCH(All!Q$1,Winter!$1:$1,FALSE))),"")</f>
        <v>2A</v>
      </c>
      <c r="R300" t="str">
        <f>IFERROR(IF(INDEX(Winter!$1:$1048576,MATCH(All!$A300,Winter!$A:$A,FALSE),MATCH(All!R$1,Winter!$1:$1,FALSE))="","",INDEX(Winter!$1:$1048576,MATCH(All!$A300,Winter!$A:$A,FALSE),MATCH(All!R$1,Winter!$1:$1,FALSE))),"")</f>
        <v/>
      </c>
      <c r="S300" t="str">
        <f>IFERROR(IF(INDEX(Winter!$1:$1048576,MATCH(All!$A300,Winter!$A:$A,FALSE),MATCH(All!S$1,Winter!$1:$1,FALSE))="","",INDEX(Winter!$1:$1048576,MATCH(All!$A300,Winter!$A:$A,FALSE),MATCH(All!S$1,Winter!$1:$1,FALSE))),"")</f>
        <v>1A</v>
      </c>
      <c r="T300" t="str">
        <f>IFERROR(IF(INDEX(Winter!$1:$1048576,MATCH(All!$A300,Winter!$A:$A,FALSE),MATCH(All!T$1,Winter!$1:$1,FALSE))="","",INDEX(Winter!$1:$1048576,MATCH(All!$A300,Winter!$A:$A,FALSE),MATCH(All!T$1,Winter!$1:$1,FALSE))),"")</f>
        <v/>
      </c>
      <c r="U300" t="str">
        <f>IFERROR(IF(INDEX(Winter!$1:$1048576,MATCH(All!$A300,Winter!$A:$A,FALSE),MATCH(All!U$1,Winter!$1:$1,FALSE))="","",INDEX(Winter!$1:$1048576,MATCH(All!$A300,Winter!$A:$A,FALSE),MATCH(All!U$1,Winter!$1:$1,FALSE))),"")</f>
        <v/>
      </c>
      <c r="W300" t="str">
        <f>IFERROR(IF(INDEX(Spring!$1:$1048576,MATCH(All!$A300,Spring!$A:$A,FALSE),MATCH(All!W$1,Spring!$1:$1,FALSE))="","",INDEX(Spring!$1:$1048576,MATCH(All!$A300,Spring!$A:$A,FALSE),MATCH(All!W$1,Spring!$1:$1,FALSE))),"")</f>
        <v>254.00 (419.10)</v>
      </c>
      <c r="X300" t="str">
        <f>IFERROR(IF(INDEX(Spring!$1:$1048576,MATCH(All!$A300,Spring!$A:$A,FALSE),MATCH(All!X$1,Spring!$1:$1,FALSE))="","",INDEX(Spring!$1:$1048576,MATCH(All!$A300,Spring!$A:$A,FALSE),MATCH(All!X$1,Spring!$1:$1,FALSE))),"")</f>
        <v/>
      </c>
      <c r="Y300" t="str">
        <f>IFERROR(IF(INDEX(Spring!$1:$1048576,MATCH(All!$A300,Spring!$A:$A,FALSE),MATCH(All!Y$1,Spring!$1:$1,FALSE))="","",INDEX(Spring!$1:$1048576,MATCH(All!$A300,Spring!$A:$A,FALSE),MATCH(All!Y$1,Spring!$1:$1,FALSE))),"")</f>
        <v/>
      </c>
      <c r="Z300" t="str">
        <f>IFERROR(IF(INDEX(Spring!$1:$1048576,MATCH(All!$A300,Spring!$A:$A,FALSE),MATCH(All!Z$1,Spring!$1:$1,FALSE))="","",INDEX(Spring!$1:$1048576,MATCH(All!$A300,Spring!$A:$A,FALSE),MATCH(All!Z$1,Spring!$1:$1,FALSE))),"")</f>
        <v>1A</v>
      </c>
      <c r="AA300" t="str">
        <f>IFERROR(IF(INDEX(Spring!$1:$1048576,MATCH(All!$A300,Spring!$A:$A,FALSE),MATCH(All!AA$1,Spring!$1:$1,FALSE))="","",INDEX(Spring!$1:$1048576,MATCH(All!$A300,Spring!$A:$A,FALSE),MATCH(All!AA$1,Spring!$1:$1,FALSE))),"")</f>
        <v/>
      </c>
      <c r="AB300" t="str">
        <f>IFERROR(IF(INDEX(Spring!$1:$1048576,MATCH(All!$A300,Spring!$A:$A,FALSE),MATCH(All!AB$1,Spring!$1:$1,FALSE))="","",INDEX(Spring!$1:$1048576,MATCH(All!$A300,Spring!$A:$A,FALSE),MATCH(All!AB$1,Spring!$1:$1,FALSE))),"")</f>
        <v/>
      </c>
      <c r="AC300" t="str">
        <f>IFERROR(IF(INDEX(Spring!$1:$1048576,MATCH(All!$A300,Spring!$A:$A,FALSE),MATCH(All!AC$1,Spring!$1:$1,FALSE))="","",INDEX(Spring!$1:$1048576,MATCH(All!$A300,Spring!$A:$A,FALSE),MATCH(All!AC$1,Spring!$1:$1,FALSE))),"")</f>
        <v>1A</v>
      </c>
      <c r="AD300" t="str">
        <f>IFERROR(VLOOKUP(A300,'Flag Football'!A:A,1,FALSE),"")</f>
        <v/>
      </c>
      <c r="AE300" t="str">
        <f t="shared" si="4"/>
        <v/>
      </c>
    </row>
    <row r="301" spans="1:31" ht="15.75" thickBot="1" x14ac:dyDescent="0.3">
      <c r="A301" s="18" t="s">
        <v>382</v>
      </c>
      <c r="B301" s="38">
        <f>IFERROR(VLOOKUP(A301,'Public v Private'!A:G,3,FALSE),"")</f>
        <v>0</v>
      </c>
      <c r="C301" s="38">
        <f>IFERROR(VLOOKUP(A301,'Public v Private'!A:G,4,FALSE),"")</f>
        <v>0</v>
      </c>
      <c r="D301" s="38">
        <f>IFERROR(VLOOKUP(A301,'Public v Private'!A:G,5,FALSE),"")</f>
        <v>0</v>
      </c>
      <c r="E301" s="38"/>
      <c r="F301" s="40">
        <f>IFERROR(INDEX(Fall!$1:$1048576,MATCH(All!$A301,Fall!$A:$A,FALSE),MATCH(All!F$1,Fall!$1:$1,FALSE)),"N/A")</f>
        <v>189</v>
      </c>
      <c r="G301" t="str">
        <f>IFERROR(IF(INDEX(Fall!$1:$1048576,MATCH(All!$A301,Fall!$A:$A,FALSE),MATCH(All!G$1,Fall!$1:$1,FALSE))="","",INDEX(Fall!$1:$1048576,MATCH(All!$A301,Fall!$A:$A,FALSE),MATCH(All!G$1,Fall!$1:$1,FALSE))),"")</f>
        <v>1A</v>
      </c>
      <c r="H301" t="str">
        <f>IFERROR(IF(INDEX(Fall!$1:$1048576,MATCH(All!$A301,Fall!$A:$A,FALSE),MATCH(All!H$1,Fall!$1:$1,FALSE))="","",INDEX(Fall!$1:$1048576,MATCH(All!$A301,Fall!$A:$A,FALSE),MATCH(All!H$1,Fall!$1:$1,FALSE))),"")</f>
        <v>1A</v>
      </c>
      <c r="I301" t="str">
        <f>IFERROR(IF(INDEX(Fall!$1:$1048576,MATCH(All!$A301,Fall!$A:$A,FALSE),MATCH(All!I$1,Fall!$1:$1,FALSE))="","",INDEX(Fall!$1:$1048576,MATCH(All!$A301,Fall!$A:$A,FALSE),MATCH(All!I$1,Fall!$1:$1,FALSE))),"")</f>
        <v>1A</v>
      </c>
      <c r="J301" t="str">
        <f>IFERROR(IF(INDEX(Fall!$1:$1048576,MATCH(All!$A301,Fall!$A:$A,FALSE),MATCH(All!J$1,Fall!$1:$1,FALSE))="","",INDEX(Fall!$1:$1048576,MATCH(All!$A301,Fall!$A:$A,FALSE),MATCH(All!J$1,Fall!$1:$1,FALSE))),"")</f>
        <v/>
      </c>
      <c r="K301" t="str">
        <f>IFERROR(IF(INDEX(Fall!$1:$1048576,MATCH(All!$A301,Fall!$A:$A,FALSE),MATCH(All!K$1,Fall!$1:$1,FALSE))="","",INDEX(Fall!$1:$1048576,MATCH(All!$A301,Fall!$A:$A,FALSE),MATCH(All!K$1,Fall!$1:$1,FALSE))),"")</f>
        <v/>
      </c>
      <c r="L301" t="str">
        <f>IFERROR(IF(INDEX(Fall!$1:$1048576,MATCH(All!$A301,Fall!$A:$A,FALSE),MATCH(All!L$1,Fall!$1:$1,FALSE))="","",INDEX(Fall!$1:$1048576,MATCH(All!$A301,Fall!$A:$A,FALSE),MATCH(All!L$1,Fall!$1:$1,FALSE))),"")</f>
        <v/>
      </c>
      <c r="M301" t="str">
        <f>IFERROR(IF(INDEX(Fall!$1:$1048576,MATCH(All!$A301,Fall!$A:$A,FALSE),MATCH(All!M$1,Fall!$1:$1,FALSE))="","",INDEX(Fall!$1:$1048576,MATCH(All!$A301,Fall!$A:$A,FALSE),MATCH(All!M$1,Fall!$1:$1,FALSE))),"")</f>
        <v>1A</v>
      </c>
      <c r="O301">
        <f>IFERROR(IF(INDEX(Winter!$1:$1048576,MATCH(All!$A301,Winter!$A:$A,FALSE),MATCH(All!O$1,Winter!$1:$1,FALSE))="","",INDEX(Winter!$1:$1048576,MATCH(All!$A301,Winter!$A:$A,FALSE),MATCH(All!O$1,Winter!$1:$1,FALSE))),"")</f>
        <v>189</v>
      </c>
      <c r="P301" t="str">
        <f>IFERROR(IF(INDEX(Winter!$1:$1048576,MATCH(All!$A301,Winter!$A:$A,FALSE),MATCH(All!P$1,Winter!$1:$1,FALSE))="","",INDEX(Winter!$1:$1048576,MATCH(All!$A301,Winter!$A:$A,FALSE),MATCH(All!P$1,Winter!$1:$1,FALSE))),"")</f>
        <v>1A</v>
      </c>
      <c r="Q301" t="str">
        <f>IFERROR(IF(INDEX(Winter!$1:$1048576,MATCH(All!$A301,Winter!$A:$A,FALSE),MATCH(All!Q$1,Winter!$1:$1,FALSE))="","",INDEX(Winter!$1:$1048576,MATCH(All!$A301,Winter!$A:$A,FALSE),MATCH(All!Q$1,Winter!$1:$1,FALSE))),"")</f>
        <v>1A</v>
      </c>
      <c r="R301" t="str">
        <f>IFERROR(IF(INDEX(Winter!$1:$1048576,MATCH(All!$A301,Winter!$A:$A,FALSE),MATCH(All!R$1,Winter!$1:$1,FALSE))="","",INDEX(Winter!$1:$1048576,MATCH(All!$A301,Winter!$A:$A,FALSE),MATCH(All!R$1,Winter!$1:$1,FALSE))),"")</f>
        <v/>
      </c>
      <c r="S301" t="str">
        <f>IFERROR(IF(INDEX(Winter!$1:$1048576,MATCH(All!$A301,Winter!$A:$A,FALSE),MATCH(All!S$1,Winter!$1:$1,FALSE))="","",INDEX(Winter!$1:$1048576,MATCH(All!$A301,Winter!$A:$A,FALSE),MATCH(All!S$1,Winter!$1:$1,FALSE))),"")</f>
        <v/>
      </c>
      <c r="T301" t="str">
        <f>IFERROR(IF(INDEX(Winter!$1:$1048576,MATCH(All!$A301,Winter!$A:$A,FALSE),MATCH(All!T$1,Winter!$1:$1,FALSE))="","",INDEX(Winter!$1:$1048576,MATCH(All!$A301,Winter!$A:$A,FALSE),MATCH(All!T$1,Winter!$1:$1,FALSE))),"")</f>
        <v>1A</v>
      </c>
      <c r="U301" t="str">
        <f>IFERROR(IF(INDEX(Winter!$1:$1048576,MATCH(All!$A301,Winter!$A:$A,FALSE),MATCH(All!U$1,Winter!$1:$1,FALSE))="","",INDEX(Winter!$1:$1048576,MATCH(All!$A301,Winter!$A:$A,FALSE),MATCH(All!U$1,Winter!$1:$1,FALSE))),"")</f>
        <v/>
      </c>
      <c r="W301">
        <f>IFERROR(IF(INDEX(Spring!$1:$1048576,MATCH(All!$A301,Spring!$A:$A,FALSE),MATCH(All!W$1,Spring!$1:$1,FALSE))="","",INDEX(Spring!$1:$1048576,MATCH(All!$A301,Spring!$A:$A,FALSE),MATCH(All!W$1,Spring!$1:$1,FALSE))),"")</f>
        <v>189</v>
      </c>
      <c r="X301" t="str">
        <f>IFERROR(IF(INDEX(Spring!$1:$1048576,MATCH(All!$A301,Spring!$A:$A,FALSE),MATCH(All!X$1,Spring!$1:$1,FALSE))="","",INDEX(Spring!$1:$1048576,MATCH(All!$A301,Spring!$A:$A,FALSE),MATCH(All!X$1,Spring!$1:$1,FALSE))),"")</f>
        <v>1A</v>
      </c>
      <c r="Y301" t="str">
        <f>IFERROR(IF(INDEX(Spring!$1:$1048576,MATCH(All!$A301,Spring!$A:$A,FALSE),MATCH(All!Y$1,Spring!$1:$1,FALSE))="","",INDEX(Spring!$1:$1048576,MATCH(All!$A301,Spring!$A:$A,FALSE),MATCH(All!Y$1,Spring!$1:$1,FALSE))),"")</f>
        <v>1A</v>
      </c>
      <c r="Z301" t="str">
        <f>IFERROR(IF(INDEX(Spring!$1:$1048576,MATCH(All!$A301,Spring!$A:$A,FALSE),MATCH(All!Z$1,Spring!$1:$1,FALSE))="","",INDEX(Spring!$1:$1048576,MATCH(All!$A301,Spring!$A:$A,FALSE),MATCH(All!Z$1,Spring!$1:$1,FALSE))),"")</f>
        <v/>
      </c>
      <c r="AA301" t="str">
        <f>IFERROR(IF(INDEX(Spring!$1:$1048576,MATCH(All!$A301,Spring!$A:$A,FALSE),MATCH(All!AA$1,Spring!$1:$1,FALSE))="","",INDEX(Spring!$1:$1048576,MATCH(All!$A301,Spring!$A:$A,FALSE),MATCH(All!AA$1,Spring!$1:$1,FALSE))),"")</f>
        <v/>
      </c>
      <c r="AB301" t="str">
        <f>IFERROR(IF(INDEX(Spring!$1:$1048576,MATCH(All!$A301,Spring!$A:$A,FALSE),MATCH(All!AB$1,Spring!$1:$1,FALSE))="","",INDEX(Spring!$1:$1048576,MATCH(All!$A301,Spring!$A:$A,FALSE),MATCH(All!AB$1,Spring!$1:$1,FALSE))),"")</f>
        <v/>
      </c>
      <c r="AC301" t="str">
        <f>IFERROR(IF(INDEX(Spring!$1:$1048576,MATCH(All!$A301,Spring!$A:$A,FALSE),MATCH(All!AC$1,Spring!$1:$1,FALSE))="","",INDEX(Spring!$1:$1048576,MATCH(All!$A301,Spring!$A:$A,FALSE),MATCH(All!AC$1,Spring!$1:$1,FALSE))),"")</f>
        <v/>
      </c>
      <c r="AD301" t="str">
        <f>IFERROR(VLOOKUP(A301,'Flag Football'!A:A,1,FALSE),"")</f>
        <v/>
      </c>
      <c r="AE301" t="str">
        <f t="shared" si="4"/>
        <v/>
      </c>
    </row>
    <row r="302" spans="1:31" ht="15.75" thickBot="1" x14ac:dyDescent="0.3">
      <c r="A302" s="20" t="s">
        <v>383</v>
      </c>
      <c r="B302" s="38">
        <f>IFERROR(VLOOKUP(A302,'Public v Private'!A:G,3,FALSE),"")</f>
        <v>0</v>
      </c>
      <c r="C302" s="38">
        <f>IFERROR(VLOOKUP(A302,'Public v Private'!A:G,4,FALSE),"")</f>
        <v>0</v>
      </c>
      <c r="D302" s="38">
        <f>IFERROR(VLOOKUP(A302,'Public v Private'!A:G,5,FALSE),"")</f>
        <v>0</v>
      </c>
      <c r="E302" s="38"/>
      <c r="F302" s="40">
        <f>IFERROR(INDEX(Fall!$1:$1048576,MATCH(All!$A302,Fall!$A:$A,FALSE),MATCH(All!F$1,Fall!$1:$1,FALSE)),"N/A")</f>
        <v>712</v>
      </c>
      <c r="G302" t="str">
        <f>IFERROR(IF(INDEX(Fall!$1:$1048576,MATCH(All!$A302,Fall!$A:$A,FALSE),MATCH(All!G$1,Fall!$1:$1,FALSE))="","",INDEX(Fall!$1:$1048576,MATCH(All!$A302,Fall!$A:$A,FALSE),MATCH(All!G$1,Fall!$1:$1,FALSE))),"")</f>
        <v>2A</v>
      </c>
      <c r="H302" t="str">
        <f>IFERROR(IF(INDEX(Fall!$1:$1048576,MATCH(All!$A302,Fall!$A:$A,FALSE),MATCH(All!H$1,Fall!$1:$1,FALSE))="","",INDEX(Fall!$1:$1048576,MATCH(All!$A302,Fall!$A:$A,FALSE),MATCH(All!H$1,Fall!$1:$1,FALSE))),"")</f>
        <v>2A</v>
      </c>
      <c r="I302" t="str">
        <f>IFERROR(IF(INDEX(Fall!$1:$1048576,MATCH(All!$A302,Fall!$A:$A,FALSE),MATCH(All!I$1,Fall!$1:$1,FALSE))="","",INDEX(Fall!$1:$1048576,MATCH(All!$A302,Fall!$A:$A,FALSE),MATCH(All!I$1,Fall!$1:$1,FALSE))),"")</f>
        <v>2A</v>
      </c>
      <c r="J302" t="str">
        <f>IFERROR(IF(INDEX(Fall!$1:$1048576,MATCH(All!$A302,Fall!$A:$A,FALSE),MATCH(All!J$1,Fall!$1:$1,FALSE))="","",INDEX(Fall!$1:$1048576,MATCH(All!$A302,Fall!$A:$A,FALSE),MATCH(All!J$1,Fall!$1:$1,FALSE))),"")</f>
        <v>1A</v>
      </c>
      <c r="K302" t="str">
        <f>IFERROR(IF(INDEX(Fall!$1:$1048576,MATCH(All!$A302,Fall!$A:$A,FALSE),MATCH(All!K$1,Fall!$1:$1,FALSE))="","",INDEX(Fall!$1:$1048576,MATCH(All!$A302,Fall!$A:$A,FALSE),MATCH(All!K$1,Fall!$1:$1,FALSE))),"")</f>
        <v>2A</v>
      </c>
      <c r="L302" t="str">
        <f>IFERROR(IF(INDEX(Fall!$1:$1048576,MATCH(All!$A302,Fall!$A:$A,FALSE),MATCH(All!L$1,Fall!$1:$1,FALSE))="","",INDEX(Fall!$1:$1048576,MATCH(All!$A302,Fall!$A:$A,FALSE),MATCH(All!L$1,Fall!$1:$1,FALSE))),"")</f>
        <v>1A</v>
      </c>
      <c r="M302" t="str">
        <f>IFERROR(IF(INDEX(Fall!$1:$1048576,MATCH(All!$A302,Fall!$A:$A,FALSE),MATCH(All!M$1,Fall!$1:$1,FALSE))="","",INDEX(Fall!$1:$1048576,MATCH(All!$A302,Fall!$A:$A,FALSE),MATCH(All!M$1,Fall!$1:$1,FALSE))),"")</f>
        <v>3A</v>
      </c>
      <c r="O302">
        <f>IFERROR(IF(INDEX(Winter!$1:$1048576,MATCH(All!$A302,Winter!$A:$A,FALSE),MATCH(All!O$1,Winter!$1:$1,FALSE))="","",INDEX(Winter!$1:$1048576,MATCH(All!$A302,Winter!$A:$A,FALSE),MATCH(All!O$1,Winter!$1:$1,FALSE))),"")</f>
        <v>712</v>
      </c>
      <c r="P302" t="str">
        <f>IFERROR(IF(INDEX(Winter!$1:$1048576,MATCH(All!$A302,Winter!$A:$A,FALSE),MATCH(All!P$1,Winter!$1:$1,FALSE))="","",INDEX(Winter!$1:$1048576,MATCH(All!$A302,Winter!$A:$A,FALSE),MATCH(All!P$1,Winter!$1:$1,FALSE))),"")</f>
        <v>3A</v>
      </c>
      <c r="Q302" t="str">
        <f>IFERROR(IF(INDEX(Winter!$1:$1048576,MATCH(All!$A302,Winter!$A:$A,FALSE),MATCH(All!Q$1,Winter!$1:$1,FALSE))="","",INDEX(Winter!$1:$1048576,MATCH(All!$A302,Winter!$A:$A,FALSE),MATCH(All!Q$1,Winter!$1:$1,FALSE))),"")</f>
        <v>3A</v>
      </c>
      <c r="R302" t="str">
        <f>IFERROR(IF(INDEX(Winter!$1:$1048576,MATCH(All!$A302,Winter!$A:$A,FALSE),MATCH(All!R$1,Winter!$1:$1,FALSE))="","",INDEX(Winter!$1:$1048576,MATCH(All!$A302,Winter!$A:$A,FALSE),MATCH(All!R$1,Winter!$1:$1,FALSE))),"")</f>
        <v/>
      </c>
      <c r="S302" t="str">
        <f>IFERROR(IF(INDEX(Winter!$1:$1048576,MATCH(All!$A302,Winter!$A:$A,FALSE),MATCH(All!S$1,Winter!$1:$1,FALSE))="","",INDEX(Winter!$1:$1048576,MATCH(All!$A302,Winter!$A:$A,FALSE),MATCH(All!S$1,Winter!$1:$1,FALSE))),"")</f>
        <v/>
      </c>
      <c r="T302" t="str">
        <f>IFERROR(IF(INDEX(Winter!$1:$1048576,MATCH(All!$A302,Winter!$A:$A,FALSE),MATCH(All!T$1,Winter!$1:$1,FALSE))="","",INDEX(Winter!$1:$1048576,MATCH(All!$A302,Winter!$A:$A,FALSE),MATCH(All!T$1,Winter!$1:$1,FALSE))),"")</f>
        <v>2A</v>
      </c>
      <c r="U302" t="str">
        <f>IFERROR(IF(INDEX(Winter!$1:$1048576,MATCH(All!$A302,Winter!$A:$A,FALSE),MATCH(All!U$1,Winter!$1:$1,FALSE))="","",INDEX(Winter!$1:$1048576,MATCH(All!$A302,Winter!$A:$A,FALSE),MATCH(All!U$1,Winter!$1:$1,FALSE))),"")</f>
        <v>1A</v>
      </c>
      <c r="W302">
        <f>IFERROR(IF(INDEX(Spring!$1:$1048576,MATCH(All!$A302,Spring!$A:$A,FALSE),MATCH(All!W$1,Spring!$1:$1,FALSE))="","",INDEX(Spring!$1:$1048576,MATCH(All!$A302,Spring!$A:$A,FALSE),MATCH(All!W$1,Spring!$1:$1,FALSE))),"")</f>
        <v>712</v>
      </c>
      <c r="X302" t="str">
        <f>IFERROR(IF(INDEX(Spring!$1:$1048576,MATCH(All!$A302,Spring!$A:$A,FALSE),MATCH(All!X$1,Spring!$1:$1,FALSE))="","",INDEX(Spring!$1:$1048576,MATCH(All!$A302,Spring!$A:$A,FALSE),MATCH(All!X$1,Spring!$1:$1,FALSE))),"")</f>
        <v>3A</v>
      </c>
      <c r="Y302" t="str">
        <f>IFERROR(IF(INDEX(Spring!$1:$1048576,MATCH(All!$A302,Spring!$A:$A,FALSE),MATCH(All!Y$1,Spring!$1:$1,FALSE))="","",INDEX(Spring!$1:$1048576,MATCH(All!$A302,Spring!$A:$A,FALSE),MATCH(All!Y$1,Spring!$1:$1,FALSE))),"")</f>
        <v>3A</v>
      </c>
      <c r="Z302" t="str">
        <f>IFERROR(IF(INDEX(Spring!$1:$1048576,MATCH(All!$A302,Spring!$A:$A,FALSE),MATCH(All!Z$1,Spring!$1:$1,FALSE))="","",INDEX(Spring!$1:$1048576,MATCH(All!$A302,Spring!$A:$A,FALSE),MATCH(All!Z$1,Spring!$1:$1,FALSE))),"")</f>
        <v>1A</v>
      </c>
      <c r="AA302" t="str">
        <f>IFERROR(IF(INDEX(Spring!$1:$1048576,MATCH(All!$A302,Spring!$A:$A,FALSE),MATCH(All!AA$1,Spring!$1:$1,FALSE))="","",INDEX(Spring!$1:$1048576,MATCH(All!$A302,Spring!$A:$A,FALSE),MATCH(All!AA$1,Spring!$1:$1,FALSE))),"")</f>
        <v>1A</v>
      </c>
      <c r="AB302" t="str">
        <f>IFERROR(IF(INDEX(Spring!$1:$1048576,MATCH(All!$A302,Spring!$A:$A,FALSE),MATCH(All!AB$1,Spring!$1:$1,FALSE))="","",INDEX(Spring!$1:$1048576,MATCH(All!$A302,Spring!$A:$A,FALSE),MATCH(All!AB$1,Spring!$1:$1,FALSE))),"")</f>
        <v>2A</v>
      </c>
      <c r="AC302" t="str">
        <f>IFERROR(IF(INDEX(Spring!$1:$1048576,MATCH(All!$A302,Spring!$A:$A,FALSE),MATCH(All!AC$1,Spring!$1:$1,FALSE))="","",INDEX(Spring!$1:$1048576,MATCH(All!$A302,Spring!$A:$A,FALSE),MATCH(All!AC$1,Spring!$1:$1,FALSE))),"")</f>
        <v>2A</v>
      </c>
      <c r="AD302" t="str">
        <f>IFERROR(VLOOKUP(A302,'Flag Football'!A:A,1,FALSE),"")</f>
        <v/>
      </c>
      <c r="AE302" t="str">
        <f t="shared" si="4"/>
        <v/>
      </c>
    </row>
    <row r="303" spans="1:31" ht="15.75" thickBot="1" x14ac:dyDescent="0.3">
      <c r="A303" s="18" t="s">
        <v>384</v>
      </c>
      <c r="B303" s="38">
        <f>IFERROR(VLOOKUP(A303,'Public v Private'!A:G,3,FALSE),"")</f>
        <v>0</v>
      </c>
      <c r="C303" s="38">
        <f>IFERROR(VLOOKUP(A303,'Public v Private'!A:G,4,FALSE),"")</f>
        <v>0</v>
      </c>
      <c r="D303" s="38">
        <f>IFERROR(VLOOKUP(A303,'Public v Private'!A:G,5,FALSE),"")</f>
        <v>0</v>
      </c>
      <c r="E303" s="38"/>
      <c r="F303" s="40">
        <f>IFERROR(INDEX(Fall!$1:$1048576,MATCH(All!$A303,Fall!$A:$A,FALSE),MATCH(All!F$1,Fall!$1:$1,FALSE)),"N/A")</f>
        <v>797</v>
      </c>
      <c r="G303" t="str">
        <f>IFERROR(IF(INDEX(Fall!$1:$1048576,MATCH(All!$A303,Fall!$A:$A,FALSE),MATCH(All!G$1,Fall!$1:$1,FALSE))="","",INDEX(Fall!$1:$1048576,MATCH(All!$A303,Fall!$A:$A,FALSE),MATCH(All!G$1,Fall!$1:$1,FALSE))),"")</f>
        <v>2A</v>
      </c>
      <c r="H303" t="str">
        <f>IFERROR(IF(INDEX(Fall!$1:$1048576,MATCH(All!$A303,Fall!$A:$A,FALSE),MATCH(All!H$1,Fall!$1:$1,FALSE))="","",INDEX(Fall!$1:$1048576,MATCH(All!$A303,Fall!$A:$A,FALSE),MATCH(All!H$1,Fall!$1:$1,FALSE))),"")</f>
        <v>2A</v>
      </c>
      <c r="I303" t="str">
        <f>IFERROR(IF(INDEX(Fall!$1:$1048576,MATCH(All!$A303,Fall!$A:$A,FALSE),MATCH(All!I$1,Fall!$1:$1,FALSE))="","",INDEX(Fall!$1:$1048576,MATCH(All!$A303,Fall!$A:$A,FALSE),MATCH(All!I$1,Fall!$1:$1,FALSE))),"")</f>
        <v/>
      </c>
      <c r="J303" t="str">
        <f>IFERROR(IF(INDEX(Fall!$1:$1048576,MATCH(All!$A303,Fall!$A:$A,FALSE),MATCH(All!J$1,Fall!$1:$1,FALSE))="","",INDEX(Fall!$1:$1048576,MATCH(All!$A303,Fall!$A:$A,FALSE),MATCH(All!J$1,Fall!$1:$1,FALSE))),"")</f>
        <v/>
      </c>
      <c r="K303" t="str">
        <f>IFERROR(IF(INDEX(Fall!$1:$1048576,MATCH(All!$A303,Fall!$A:$A,FALSE),MATCH(All!K$1,Fall!$1:$1,FALSE))="","",INDEX(Fall!$1:$1048576,MATCH(All!$A303,Fall!$A:$A,FALSE),MATCH(All!K$1,Fall!$1:$1,FALSE))),"")</f>
        <v/>
      </c>
      <c r="L303" t="str">
        <f>IFERROR(IF(INDEX(Fall!$1:$1048576,MATCH(All!$A303,Fall!$A:$A,FALSE),MATCH(All!L$1,Fall!$1:$1,FALSE))="","",INDEX(Fall!$1:$1048576,MATCH(All!$A303,Fall!$A:$A,FALSE),MATCH(All!L$1,Fall!$1:$1,FALSE))),"")</f>
        <v/>
      </c>
      <c r="M303" t="str">
        <f>IFERROR(IF(INDEX(Fall!$1:$1048576,MATCH(All!$A303,Fall!$A:$A,FALSE),MATCH(All!M$1,Fall!$1:$1,FALSE))="","",INDEX(Fall!$1:$1048576,MATCH(All!$A303,Fall!$A:$A,FALSE),MATCH(All!M$1,Fall!$1:$1,FALSE))),"")</f>
        <v>3A</v>
      </c>
      <c r="O303">
        <f>IFERROR(IF(INDEX(Winter!$1:$1048576,MATCH(All!$A303,Winter!$A:$A,FALSE),MATCH(All!O$1,Winter!$1:$1,FALSE))="","",INDEX(Winter!$1:$1048576,MATCH(All!$A303,Winter!$A:$A,FALSE),MATCH(All!O$1,Winter!$1:$1,FALSE))),"")</f>
        <v>797</v>
      </c>
      <c r="P303" t="str">
        <f>IFERROR(IF(INDEX(Winter!$1:$1048576,MATCH(All!$A303,Winter!$A:$A,FALSE),MATCH(All!P$1,Winter!$1:$1,FALSE))="","",INDEX(Winter!$1:$1048576,MATCH(All!$A303,Winter!$A:$A,FALSE),MATCH(All!P$1,Winter!$1:$1,FALSE))),"")</f>
        <v>3A</v>
      </c>
      <c r="Q303" t="str">
        <f>IFERROR(IF(INDEX(Winter!$1:$1048576,MATCH(All!$A303,Winter!$A:$A,FALSE),MATCH(All!Q$1,Winter!$1:$1,FALSE))="","",INDEX(Winter!$1:$1048576,MATCH(All!$A303,Winter!$A:$A,FALSE),MATCH(All!Q$1,Winter!$1:$1,FALSE))),"")</f>
        <v>3A</v>
      </c>
      <c r="R303" t="str">
        <f>IFERROR(IF(INDEX(Winter!$1:$1048576,MATCH(All!$A303,Winter!$A:$A,FALSE),MATCH(All!R$1,Winter!$1:$1,FALSE))="","",INDEX(Winter!$1:$1048576,MATCH(All!$A303,Winter!$A:$A,FALSE),MATCH(All!R$1,Winter!$1:$1,FALSE))),"")</f>
        <v>2A</v>
      </c>
      <c r="S303" t="str">
        <f>IFERROR(IF(INDEX(Winter!$1:$1048576,MATCH(All!$A303,Winter!$A:$A,FALSE),MATCH(All!S$1,Winter!$1:$1,FALSE))="","",INDEX(Winter!$1:$1048576,MATCH(All!$A303,Winter!$A:$A,FALSE),MATCH(All!S$1,Winter!$1:$1,FALSE))),"")</f>
        <v>1A</v>
      </c>
      <c r="T303" t="str">
        <f>IFERROR(IF(INDEX(Winter!$1:$1048576,MATCH(All!$A303,Winter!$A:$A,FALSE),MATCH(All!T$1,Winter!$1:$1,FALSE))="","",INDEX(Winter!$1:$1048576,MATCH(All!$A303,Winter!$A:$A,FALSE),MATCH(All!T$1,Winter!$1:$1,FALSE))),"")</f>
        <v>2A</v>
      </c>
      <c r="U303" t="str">
        <f>IFERROR(IF(INDEX(Winter!$1:$1048576,MATCH(All!$A303,Winter!$A:$A,FALSE),MATCH(All!U$1,Winter!$1:$1,FALSE))="","",INDEX(Winter!$1:$1048576,MATCH(All!$A303,Winter!$A:$A,FALSE),MATCH(All!U$1,Winter!$1:$1,FALSE))),"")</f>
        <v/>
      </c>
      <c r="W303">
        <f>IFERROR(IF(INDEX(Spring!$1:$1048576,MATCH(All!$A303,Spring!$A:$A,FALSE),MATCH(All!W$1,Spring!$1:$1,FALSE))="","",INDEX(Spring!$1:$1048576,MATCH(All!$A303,Spring!$A:$A,FALSE),MATCH(All!W$1,Spring!$1:$1,FALSE))),"")</f>
        <v>797</v>
      </c>
      <c r="X303" t="str">
        <f>IFERROR(IF(INDEX(Spring!$1:$1048576,MATCH(All!$A303,Spring!$A:$A,FALSE),MATCH(All!X$1,Spring!$1:$1,FALSE))="","",INDEX(Spring!$1:$1048576,MATCH(All!$A303,Spring!$A:$A,FALSE),MATCH(All!X$1,Spring!$1:$1,FALSE))),"")</f>
        <v>3A</v>
      </c>
      <c r="Y303" t="str">
        <f>IFERROR(IF(INDEX(Spring!$1:$1048576,MATCH(All!$A303,Spring!$A:$A,FALSE),MATCH(All!Y$1,Spring!$1:$1,FALSE))="","",INDEX(Spring!$1:$1048576,MATCH(All!$A303,Spring!$A:$A,FALSE),MATCH(All!Y$1,Spring!$1:$1,FALSE))),"")</f>
        <v>3A</v>
      </c>
      <c r="Z303" t="str">
        <f>IFERROR(IF(INDEX(Spring!$1:$1048576,MATCH(All!$A303,Spring!$A:$A,FALSE),MATCH(All!Z$1,Spring!$1:$1,FALSE))="","",INDEX(Spring!$1:$1048576,MATCH(All!$A303,Spring!$A:$A,FALSE),MATCH(All!Z$1,Spring!$1:$1,FALSE))),"")</f>
        <v/>
      </c>
      <c r="AA303" t="str">
        <f>IFERROR(IF(INDEX(Spring!$1:$1048576,MATCH(All!$A303,Spring!$A:$A,FALSE),MATCH(All!AA$1,Spring!$1:$1,FALSE))="","",INDEX(Spring!$1:$1048576,MATCH(All!$A303,Spring!$A:$A,FALSE),MATCH(All!AA$1,Spring!$1:$1,FALSE))),"")</f>
        <v/>
      </c>
      <c r="AB303" t="str">
        <f>IFERROR(IF(INDEX(Spring!$1:$1048576,MATCH(All!$A303,Spring!$A:$A,FALSE),MATCH(All!AB$1,Spring!$1:$1,FALSE))="","",INDEX(Spring!$1:$1048576,MATCH(All!$A303,Spring!$A:$A,FALSE),MATCH(All!AB$1,Spring!$1:$1,FALSE))),"")</f>
        <v>2A</v>
      </c>
      <c r="AC303" t="str">
        <f>IFERROR(IF(INDEX(Spring!$1:$1048576,MATCH(All!$A303,Spring!$A:$A,FALSE),MATCH(All!AC$1,Spring!$1:$1,FALSE))="","",INDEX(Spring!$1:$1048576,MATCH(All!$A303,Spring!$A:$A,FALSE),MATCH(All!AC$1,Spring!$1:$1,FALSE))),"")</f>
        <v>2A</v>
      </c>
      <c r="AD303" t="str">
        <f>IFERROR(VLOOKUP(A303,'Flag Football'!A:A,1,FALSE),"")</f>
        <v/>
      </c>
      <c r="AE303" t="str">
        <f t="shared" si="4"/>
        <v/>
      </c>
    </row>
    <row r="304" spans="1:31" ht="15.75" thickBot="1" x14ac:dyDescent="0.3">
      <c r="A304" s="20" t="s">
        <v>944</v>
      </c>
      <c r="B304" s="38">
        <f>IFERROR(VLOOKUP(A304,'Public v Private'!A:G,3,FALSE),"")</f>
        <v>0</v>
      </c>
      <c r="C304" s="38">
        <f>IFERROR(VLOOKUP(A304,'Public v Private'!A:G,4,FALSE),"")</f>
        <v>0</v>
      </c>
      <c r="D304" s="38">
        <f>IFERROR(VLOOKUP(A304,'Public v Private'!A:G,5,FALSE),"")</f>
        <v>0</v>
      </c>
      <c r="E304" s="38"/>
      <c r="F304" s="40">
        <f>IFERROR(INDEX(Fall!$1:$1048576,MATCH(All!$A304,Fall!$A:$A,FALSE),MATCH(All!F$1,Fall!$1:$1,FALSE)),"N/A")</f>
        <v>20</v>
      </c>
      <c r="G304" t="str">
        <f>IFERROR(IF(INDEX(Fall!$1:$1048576,MATCH(All!$A304,Fall!$A:$A,FALSE),MATCH(All!G$1,Fall!$1:$1,FALSE))="","",INDEX(Fall!$1:$1048576,MATCH(All!$A304,Fall!$A:$A,FALSE),MATCH(All!G$1,Fall!$1:$1,FALSE))),"")</f>
        <v>1A</v>
      </c>
      <c r="H304" t="str">
        <f>IFERROR(IF(INDEX(Fall!$1:$1048576,MATCH(All!$A304,Fall!$A:$A,FALSE),MATCH(All!H$1,Fall!$1:$1,FALSE))="","",INDEX(Fall!$1:$1048576,MATCH(All!$A304,Fall!$A:$A,FALSE),MATCH(All!H$1,Fall!$1:$1,FALSE))),"")</f>
        <v/>
      </c>
      <c r="I304" t="str">
        <f>IFERROR(IF(INDEX(Fall!$1:$1048576,MATCH(All!$A304,Fall!$A:$A,FALSE),MATCH(All!I$1,Fall!$1:$1,FALSE))="","",INDEX(Fall!$1:$1048576,MATCH(All!$A304,Fall!$A:$A,FALSE),MATCH(All!I$1,Fall!$1:$1,FALSE))),"")</f>
        <v/>
      </c>
      <c r="J304" t="str">
        <f>IFERROR(IF(INDEX(Fall!$1:$1048576,MATCH(All!$A304,Fall!$A:$A,FALSE),MATCH(All!J$1,Fall!$1:$1,FALSE))="","",INDEX(Fall!$1:$1048576,MATCH(All!$A304,Fall!$A:$A,FALSE),MATCH(All!J$1,Fall!$1:$1,FALSE))),"")</f>
        <v/>
      </c>
      <c r="K304" t="str">
        <f>IFERROR(IF(INDEX(Fall!$1:$1048576,MATCH(All!$A304,Fall!$A:$A,FALSE),MATCH(All!K$1,Fall!$1:$1,FALSE))="","",INDEX(Fall!$1:$1048576,MATCH(All!$A304,Fall!$A:$A,FALSE),MATCH(All!K$1,Fall!$1:$1,FALSE))),"")</f>
        <v/>
      </c>
      <c r="L304" t="str">
        <f>IFERROR(IF(INDEX(Fall!$1:$1048576,MATCH(All!$A304,Fall!$A:$A,FALSE),MATCH(All!L$1,Fall!$1:$1,FALSE))="","",INDEX(Fall!$1:$1048576,MATCH(All!$A304,Fall!$A:$A,FALSE),MATCH(All!L$1,Fall!$1:$1,FALSE))),"")</f>
        <v/>
      </c>
      <c r="M304" t="str">
        <f>IFERROR(IF(INDEX(Fall!$1:$1048576,MATCH(All!$A304,Fall!$A:$A,FALSE),MATCH(All!M$1,Fall!$1:$1,FALSE))="","",INDEX(Fall!$1:$1048576,MATCH(All!$A304,Fall!$A:$A,FALSE),MATCH(All!M$1,Fall!$1:$1,FALSE))),"")</f>
        <v>1A</v>
      </c>
      <c r="O304">
        <f>IFERROR(IF(INDEX(Winter!$1:$1048576,MATCH(All!$A304,Winter!$A:$A,FALSE),MATCH(All!O$1,Winter!$1:$1,FALSE))="","",INDEX(Winter!$1:$1048576,MATCH(All!$A304,Winter!$A:$A,FALSE),MATCH(All!O$1,Winter!$1:$1,FALSE))),"")</f>
        <v>20</v>
      </c>
      <c r="P304" t="str">
        <f>IFERROR(IF(INDEX(Winter!$1:$1048576,MATCH(All!$A304,Winter!$A:$A,FALSE),MATCH(All!P$1,Winter!$1:$1,FALSE))="","",INDEX(Winter!$1:$1048576,MATCH(All!$A304,Winter!$A:$A,FALSE),MATCH(All!P$1,Winter!$1:$1,FALSE))),"")</f>
        <v>1A</v>
      </c>
      <c r="Q304" t="str">
        <f>IFERROR(IF(INDEX(Winter!$1:$1048576,MATCH(All!$A304,Winter!$A:$A,FALSE),MATCH(All!Q$1,Winter!$1:$1,FALSE))="","",INDEX(Winter!$1:$1048576,MATCH(All!$A304,Winter!$A:$A,FALSE),MATCH(All!Q$1,Winter!$1:$1,FALSE))),"")</f>
        <v/>
      </c>
      <c r="R304" t="str">
        <f>IFERROR(IF(INDEX(Winter!$1:$1048576,MATCH(All!$A304,Winter!$A:$A,FALSE),MATCH(All!R$1,Winter!$1:$1,FALSE))="","",INDEX(Winter!$1:$1048576,MATCH(All!$A304,Winter!$A:$A,FALSE),MATCH(All!R$1,Winter!$1:$1,FALSE))),"")</f>
        <v/>
      </c>
      <c r="S304" t="str">
        <f>IFERROR(IF(INDEX(Winter!$1:$1048576,MATCH(All!$A304,Winter!$A:$A,FALSE),MATCH(All!S$1,Winter!$1:$1,FALSE))="","",INDEX(Winter!$1:$1048576,MATCH(All!$A304,Winter!$A:$A,FALSE),MATCH(All!S$1,Winter!$1:$1,FALSE))),"")</f>
        <v/>
      </c>
      <c r="T304" t="str">
        <f>IFERROR(IF(INDEX(Winter!$1:$1048576,MATCH(All!$A304,Winter!$A:$A,FALSE),MATCH(All!T$1,Winter!$1:$1,FALSE))="","",INDEX(Winter!$1:$1048576,MATCH(All!$A304,Winter!$A:$A,FALSE),MATCH(All!T$1,Winter!$1:$1,FALSE))),"")</f>
        <v/>
      </c>
      <c r="U304" t="str">
        <f>IFERROR(IF(INDEX(Winter!$1:$1048576,MATCH(All!$A304,Winter!$A:$A,FALSE),MATCH(All!U$1,Winter!$1:$1,FALSE))="","",INDEX(Winter!$1:$1048576,MATCH(All!$A304,Winter!$A:$A,FALSE),MATCH(All!U$1,Winter!$1:$1,FALSE))),"")</f>
        <v/>
      </c>
      <c r="W304" t="str">
        <f>IFERROR(IF(INDEX(Spring!$1:$1048576,MATCH(All!$A304,Spring!$A:$A,FALSE),MATCH(All!W$1,Spring!$1:$1,FALSE))="","",INDEX(Spring!$1:$1048576,MATCH(All!$A304,Spring!$A:$A,FALSE),MATCH(All!W$1,Spring!$1:$1,FALSE))),"")</f>
        <v/>
      </c>
      <c r="X304" t="str">
        <f>IFERROR(IF(INDEX(Spring!$1:$1048576,MATCH(All!$A304,Spring!$A:$A,FALSE),MATCH(All!X$1,Spring!$1:$1,FALSE))="","",INDEX(Spring!$1:$1048576,MATCH(All!$A304,Spring!$A:$A,FALSE),MATCH(All!X$1,Spring!$1:$1,FALSE))),"")</f>
        <v/>
      </c>
      <c r="Y304" t="str">
        <f>IFERROR(IF(INDEX(Spring!$1:$1048576,MATCH(All!$A304,Spring!$A:$A,FALSE),MATCH(All!Y$1,Spring!$1:$1,FALSE))="","",INDEX(Spring!$1:$1048576,MATCH(All!$A304,Spring!$A:$A,FALSE),MATCH(All!Y$1,Spring!$1:$1,FALSE))),"")</f>
        <v/>
      </c>
      <c r="Z304" t="str">
        <f>IFERROR(IF(INDEX(Spring!$1:$1048576,MATCH(All!$A304,Spring!$A:$A,FALSE),MATCH(All!Z$1,Spring!$1:$1,FALSE))="","",INDEX(Spring!$1:$1048576,MATCH(All!$A304,Spring!$A:$A,FALSE),MATCH(All!Z$1,Spring!$1:$1,FALSE))),"")</f>
        <v/>
      </c>
      <c r="AA304" t="str">
        <f>IFERROR(IF(INDEX(Spring!$1:$1048576,MATCH(All!$A304,Spring!$A:$A,FALSE),MATCH(All!AA$1,Spring!$1:$1,FALSE))="","",INDEX(Spring!$1:$1048576,MATCH(All!$A304,Spring!$A:$A,FALSE),MATCH(All!AA$1,Spring!$1:$1,FALSE))),"")</f>
        <v/>
      </c>
      <c r="AB304" t="str">
        <f>IFERROR(IF(INDEX(Spring!$1:$1048576,MATCH(All!$A304,Spring!$A:$A,FALSE),MATCH(All!AB$1,Spring!$1:$1,FALSE))="","",INDEX(Spring!$1:$1048576,MATCH(All!$A304,Spring!$A:$A,FALSE),MATCH(All!AB$1,Spring!$1:$1,FALSE))),"")</f>
        <v/>
      </c>
      <c r="AC304" t="str">
        <f>IFERROR(IF(INDEX(Spring!$1:$1048576,MATCH(All!$A304,Spring!$A:$A,FALSE),MATCH(All!AC$1,Spring!$1:$1,FALSE))="","",INDEX(Spring!$1:$1048576,MATCH(All!$A304,Spring!$A:$A,FALSE),MATCH(All!AC$1,Spring!$1:$1,FALSE))),"")</f>
        <v/>
      </c>
      <c r="AD304" t="str">
        <f>IFERROR(VLOOKUP(A304,'Flag Football'!A:A,1,FALSE),"")</f>
        <v/>
      </c>
      <c r="AE304" t="str">
        <f t="shared" si="4"/>
        <v/>
      </c>
    </row>
    <row r="305" spans="1:31" ht="15.75" thickBot="1" x14ac:dyDescent="0.3">
      <c r="A305" s="18" t="s">
        <v>385</v>
      </c>
      <c r="B305" s="38">
        <f>IFERROR(VLOOKUP(A305,'Public v Private'!A:G,3,FALSE),"")</f>
        <v>0</v>
      </c>
      <c r="C305" s="38">
        <f>IFERROR(VLOOKUP(A305,'Public v Private'!A:G,4,FALSE),"")</f>
        <v>0</v>
      </c>
      <c r="D305" s="38">
        <f>IFERROR(VLOOKUP(A305,'Public v Private'!A:G,5,FALSE),"")</f>
        <v>0</v>
      </c>
      <c r="E305" s="38"/>
      <c r="F305" s="40">
        <f>IFERROR(INDEX(Fall!$1:$1048576,MATCH(All!$A305,Fall!$A:$A,FALSE),MATCH(All!F$1,Fall!$1:$1,FALSE)),"N/A")</f>
        <v>70</v>
      </c>
      <c r="G305" t="str">
        <f>IFERROR(IF(INDEX(Fall!$1:$1048576,MATCH(All!$A305,Fall!$A:$A,FALSE),MATCH(All!G$1,Fall!$1:$1,FALSE))="","",INDEX(Fall!$1:$1048576,MATCH(All!$A305,Fall!$A:$A,FALSE),MATCH(All!G$1,Fall!$1:$1,FALSE))),"")</f>
        <v/>
      </c>
      <c r="H305" t="str">
        <f>IFERROR(IF(INDEX(Fall!$1:$1048576,MATCH(All!$A305,Fall!$A:$A,FALSE),MATCH(All!H$1,Fall!$1:$1,FALSE))="","",INDEX(Fall!$1:$1048576,MATCH(All!$A305,Fall!$A:$A,FALSE),MATCH(All!H$1,Fall!$1:$1,FALSE))),"")</f>
        <v/>
      </c>
      <c r="I305" t="str">
        <f>IFERROR(IF(INDEX(Fall!$1:$1048576,MATCH(All!$A305,Fall!$A:$A,FALSE),MATCH(All!I$1,Fall!$1:$1,FALSE))="","",INDEX(Fall!$1:$1048576,MATCH(All!$A305,Fall!$A:$A,FALSE),MATCH(All!I$1,Fall!$1:$1,FALSE))),"")</f>
        <v>1A</v>
      </c>
      <c r="J305" t="str">
        <f>IFERROR(IF(INDEX(Fall!$1:$1048576,MATCH(All!$A305,Fall!$A:$A,FALSE),MATCH(All!J$1,Fall!$1:$1,FALSE))="","",INDEX(Fall!$1:$1048576,MATCH(All!$A305,Fall!$A:$A,FALSE),MATCH(All!J$1,Fall!$1:$1,FALSE))),"")</f>
        <v/>
      </c>
      <c r="K305" t="str">
        <f>IFERROR(IF(INDEX(Fall!$1:$1048576,MATCH(All!$A305,Fall!$A:$A,FALSE),MATCH(All!K$1,Fall!$1:$1,FALSE))="","",INDEX(Fall!$1:$1048576,MATCH(All!$A305,Fall!$A:$A,FALSE),MATCH(All!K$1,Fall!$1:$1,FALSE))),"")</f>
        <v/>
      </c>
      <c r="L305" t="str">
        <f>IFERROR(IF(INDEX(Fall!$1:$1048576,MATCH(All!$A305,Fall!$A:$A,FALSE),MATCH(All!L$1,Fall!$1:$1,FALSE))="","",INDEX(Fall!$1:$1048576,MATCH(All!$A305,Fall!$A:$A,FALSE),MATCH(All!L$1,Fall!$1:$1,FALSE))),"")</f>
        <v/>
      </c>
      <c r="M305" t="str">
        <f>IFERROR(IF(INDEX(Fall!$1:$1048576,MATCH(All!$A305,Fall!$A:$A,FALSE),MATCH(All!M$1,Fall!$1:$1,FALSE))="","",INDEX(Fall!$1:$1048576,MATCH(All!$A305,Fall!$A:$A,FALSE),MATCH(All!M$1,Fall!$1:$1,FALSE))),"")</f>
        <v>1A</v>
      </c>
      <c r="O305">
        <f>IFERROR(IF(INDEX(Winter!$1:$1048576,MATCH(All!$A305,Winter!$A:$A,FALSE),MATCH(All!O$1,Winter!$1:$1,FALSE))="","",INDEX(Winter!$1:$1048576,MATCH(All!$A305,Winter!$A:$A,FALSE),MATCH(All!O$1,Winter!$1:$1,FALSE))),"")</f>
        <v>70</v>
      </c>
      <c r="P305" t="str">
        <f>IFERROR(IF(INDEX(Winter!$1:$1048576,MATCH(All!$A305,Winter!$A:$A,FALSE),MATCH(All!P$1,Winter!$1:$1,FALSE))="","",INDEX(Winter!$1:$1048576,MATCH(All!$A305,Winter!$A:$A,FALSE),MATCH(All!P$1,Winter!$1:$1,FALSE))),"")</f>
        <v>1A</v>
      </c>
      <c r="Q305" t="str">
        <f>IFERROR(IF(INDEX(Winter!$1:$1048576,MATCH(All!$A305,Winter!$A:$A,FALSE),MATCH(All!Q$1,Winter!$1:$1,FALSE))="","",INDEX(Winter!$1:$1048576,MATCH(All!$A305,Winter!$A:$A,FALSE),MATCH(All!Q$1,Winter!$1:$1,FALSE))),"")</f>
        <v>1A</v>
      </c>
      <c r="R305" t="str">
        <f>IFERROR(IF(INDEX(Winter!$1:$1048576,MATCH(All!$A305,Winter!$A:$A,FALSE),MATCH(All!R$1,Winter!$1:$1,FALSE))="","",INDEX(Winter!$1:$1048576,MATCH(All!$A305,Winter!$A:$A,FALSE),MATCH(All!R$1,Winter!$1:$1,FALSE))),"")</f>
        <v/>
      </c>
      <c r="S305" t="str">
        <f>IFERROR(IF(INDEX(Winter!$1:$1048576,MATCH(All!$A305,Winter!$A:$A,FALSE),MATCH(All!S$1,Winter!$1:$1,FALSE))="","",INDEX(Winter!$1:$1048576,MATCH(All!$A305,Winter!$A:$A,FALSE),MATCH(All!S$1,Winter!$1:$1,FALSE))),"")</f>
        <v/>
      </c>
      <c r="T305" t="str">
        <f>IFERROR(IF(INDEX(Winter!$1:$1048576,MATCH(All!$A305,Winter!$A:$A,FALSE),MATCH(All!T$1,Winter!$1:$1,FALSE))="","",INDEX(Winter!$1:$1048576,MATCH(All!$A305,Winter!$A:$A,FALSE),MATCH(All!T$1,Winter!$1:$1,FALSE))),"")</f>
        <v>1A</v>
      </c>
      <c r="U305" t="str">
        <f>IFERROR(IF(INDEX(Winter!$1:$1048576,MATCH(All!$A305,Winter!$A:$A,FALSE),MATCH(All!U$1,Winter!$1:$1,FALSE))="","",INDEX(Winter!$1:$1048576,MATCH(All!$A305,Winter!$A:$A,FALSE),MATCH(All!U$1,Winter!$1:$1,FALSE))),"")</f>
        <v/>
      </c>
      <c r="W305">
        <f>IFERROR(IF(INDEX(Spring!$1:$1048576,MATCH(All!$A305,Spring!$A:$A,FALSE),MATCH(All!W$1,Spring!$1:$1,FALSE))="","",INDEX(Spring!$1:$1048576,MATCH(All!$A305,Spring!$A:$A,FALSE),MATCH(All!W$1,Spring!$1:$1,FALSE))),"")</f>
        <v>70</v>
      </c>
      <c r="X305" t="str">
        <f>IFERROR(IF(INDEX(Spring!$1:$1048576,MATCH(All!$A305,Spring!$A:$A,FALSE),MATCH(All!X$1,Spring!$1:$1,FALSE))="","",INDEX(Spring!$1:$1048576,MATCH(All!$A305,Spring!$A:$A,FALSE),MATCH(All!X$1,Spring!$1:$1,FALSE))),"")</f>
        <v/>
      </c>
      <c r="Y305" t="str">
        <f>IFERROR(IF(INDEX(Spring!$1:$1048576,MATCH(All!$A305,Spring!$A:$A,FALSE),MATCH(All!Y$1,Spring!$1:$1,FALSE))="","",INDEX(Spring!$1:$1048576,MATCH(All!$A305,Spring!$A:$A,FALSE),MATCH(All!Y$1,Spring!$1:$1,FALSE))),"")</f>
        <v>1A</v>
      </c>
      <c r="Z305" t="str">
        <f>IFERROR(IF(INDEX(Spring!$1:$1048576,MATCH(All!$A305,Spring!$A:$A,FALSE),MATCH(All!Z$1,Spring!$1:$1,FALSE))="","",INDEX(Spring!$1:$1048576,MATCH(All!$A305,Spring!$A:$A,FALSE),MATCH(All!Z$1,Spring!$1:$1,FALSE))),"")</f>
        <v/>
      </c>
      <c r="AA305" t="str">
        <f>IFERROR(IF(INDEX(Spring!$1:$1048576,MATCH(All!$A305,Spring!$A:$A,FALSE),MATCH(All!AA$1,Spring!$1:$1,FALSE))="","",INDEX(Spring!$1:$1048576,MATCH(All!$A305,Spring!$A:$A,FALSE),MATCH(All!AA$1,Spring!$1:$1,FALSE))),"")</f>
        <v/>
      </c>
      <c r="AB305" t="str">
        <f>IFERROR(IF(INDEX(Spring!$1:$1048576,MATCH(All!$A305,Spring!$A:$A,FALSE),MATCH(All!AB$1,Spring!$1:$1,FALSE))="","",INDEX(Spring!$1:$1048576,MATCH(All!$A305,Spring!$A:$A,FALSE),MATCH(All!AB$1,Spring!$1:$1,FALSE))),"")</f>
        <v/>
      </c>
      <c r="AC305" t="str">
        <f>IFERROR(IF(INDEX(Spring!$1:$1048576,MATCH(All!$A305,Spring!$A:$A,FALSE),MATCH(All!AC$1,Spring!$1:$1,FALSE))="","",INDEX(Spring!$1:$1048576,MATCH(All!$A305,Spring!$A:$A,FALSE),MATCH(All!AC$1,Spring!$1:$1,FALSE))),"")</f>
        <v/>
      </c>
      <c r="AD305" t="str">
        <f>IFERROR(VLOOKUP(A305,'Flag Football'!A:A,1,FALSE),"")</f>
        <v/>
      </c>
      <c r="AE305" t="str">
        <f t="shared" si="4"/>
        <v/>
      </c>
    </row>
    <row r="306" spans="1:31" ht="15.75" thickBot="1" x14ac:dyDescent="0.3">
      <c r="A306" s="20" t="s">
        <v>386</v>
      </c>
      <c r="B306" s="38">
        <f>IFERROR(VLOOKUP(A306,'Public v Private'!A:G,3,FALSE),"")</f>
        <v>0</v>
      </c>
      <c r="C306" s="38">
        <f>IFERROR(VLOOKUP(A306,'Public v Private'!A:G,4,FALSE),"")</f>
        <v>0</v>
      </c>
      <c r="D306" s="38">
        <f>IFERROR(VLOOKUP(A306,'Public v Private'!A:G,5,FALSE),"")</f>
        <v>0</v>
      </c>
      <c r="E306" s="38"/>
      <c r="F306" s="40">
        <f>IFERROR(INDEX(Fall!$1:$1048576,MATCH(All!$A306,Fall!$A:$A,FALSE),MATCH(All!F$1,Fall!$1:$1,FALSE)),"N/A")</f>
        <v>2046</v>
      </c>
      <c r="G306" t="str">
        <f>IFERROR(IF(INDEX(Fall!$1:$1048576,MATCH(All!$A306,Fall!$A:$A,FALSE),MATCH(All!G$1,Fall!$1:$1,FALSE))="","",INDEX(Fall!$1:$1048576,MATCH(All!$A306,Fall!$A:$A,FALSE),MATCH(All!G$1,Fall!$1:$1,FALSE))),"")</f>
        <v>3A</v>
      </c>
      <c r="H306" t="str">
        <f>IFERROR(IF(INDEX(Fall!$1:$1048576,MATCH(All!$A306,Fall!$A:$A,FALSE),MATCH(All!H$1,Fall!$1:$1,FALSE))="","",INDEX(Fall!$1:$1048576,MATCH(All!$A306,Fall!$A:$A,FALSE),MATCH(All!H$1,Fall!$1:$1,FALSE))),"")</f>
        <v>3A</v>
      </c>
      <c r="I306" t="str">
        <f>IFERROR(IF(INDEX(Fall!$1:$1048576,MATCH(All!$A306,Fall!$A:$A,FALSE),MATCH(All!I$1,Fall!$1:$1,FALSE))="","",INDEX(Fall!$1:$1048576,MATCH(All!$A306,Fall!$A:$A,FALSE),MATCH(All!I$1,Fall!$1:$1,FALSE))),"")</f>
        <v>3A</v>
      </c>
      <c r="J306" t="str">
        <f>IFERROR(IF(INDEX(Fall!$1:$1048576,MATCH(All!$A306,Fall!$A:$A,FALSE),MATCH(All!J$1,Fall!$1:$1,FALSE))="","",INDEX(Fall!$1:$1048576,MATCH(All!$A306,Fall!$A:$A,FALSE),MATCH(All!J$1,Fall!$1:$1,FALSE))),"")</f>
        <v>2A</v>
      </c>
      <c r="K306" t="str">
        <f>IFERROR(IF(INDEX(Fall!$1:$1048576,MATCH(All!$A306,Fall!$A:$A,FALSE),MATCH(All!K$1,Fall!$1:$1,FALSE))="","",INDEX(Fall!$1:$1048576,MATCH(All!$A306,Fall!$A:$A,FALSE),MATCH(All!K$1,Fall!$1:$1,FALSE))),"")</f>
        <v>3A</v>
      </c>
      <c r="L306" t="str">
        <f>IFERROR(IF(INDEX(Fall!$1:$1048576,MATCH(All!$A306,Fall!$A:$A,FALSE),MATCH(All!L$1,Fall!$1:$1,FALSE))="","",INDEX(Fall!$1:$1048576,MATCH(All!$A306,Fall!$A:$A,FALSE),MATCH(All!L$1,Fall!$1:$1,FALSE))),"")</f>
        <v>2A</v>
      </c>
      <c r="M306" t="str">
        <f>IFERROR(IF(INDEX(Fall!$1:$1048576,MATCH(All!$A306,Fall!$A:$A,FALSE),MATCH(All!M$1,Fall!$1:$1,FALSE))="","",INDEX(Fall!$1:$1048576,MATCH(All!$A306,Fall!$A:$A,FALSE),MATCH(All!M$1,Fall!$1:$1,FALSE))),"")</f>
        <v>4A</v>
      </c>
      <c r="O306">
        <f>IFERROR(IF(INDEX(Winter!$1:$1048576,MATCH(All!$A306,Winter!$A:$A,FALSE),MATCH(All!O$1,Winter!$1:$1,FALSE))="","",INDEX(Winter!$1:$1048576,MATCH(All!$A306,Winter!$A:$A,FALSE),MATCH(All!O$1,Winter!$1:$1,FALSE))),"")</f>
        <v>2046</v>
      </c>
      <c r="P306" t="str">
        <f>IFERROR(IF(INDEX(Winter!$1:$1048576,MATCH(All!$A306,Winter!$A:$A,FALSE),MATCH(All!P$1,Winter!$1:$1,FALSE))="","",INDEX(Winter!$1:$1048576,MATCH(All!$A306,Winter!$A:$A,FALSE),MATCH(All!P$1,Winter!$1:$1,FALSE))),"")</f>
        <v>4A</v>
      </c>
      <c r="Q306" t="str">
        <f>IFERROR(IF(INDEX(Winter!$1:$1048576,MATCH(All!$A306,Winter!$A:$A,FALSE),MATCH(All!Q$1,Winter!$1:$1,FALSE))="","",INDEX(Winter!$1:$1048576,MATCH(All!$A306,Winter!$A:$A,FALSE),MATCH(All!Q$1,Winter!$1:$1,FALSE))),"")</f>
        <v>4A</v>
      </c>
      <c r="R306" t="str">
        <f>IFERROR(IF(INDEX(Winter!$1:$1048576,MATCH(All!$A306,Winter!$A:$A,FALSE),MATCH(All!R$1,Winter!$1:$1,FALSE))="","",INDEX(Winter!$1:$1048576,MATCH(All!$A306,Winter!$A:$A,FALSE),MATCH(All!R$1,Winter!$1:$1,FALSE))),"")</f>
        <v>3A</v>
      </c>
      <c r="S306" t="str">
        <f>IFERROR(IF(INDEX(Winter!$1:$1048576,MATCH(All!$A306,Winter!$A:$A,FALSE),MATCH(All!S$1,Winter!$1:$1,FALSE))="","",INDEX(Winter!$1:$1048576,MATCH(All!$A306,Winter!$A:$A,FALSE),MATCH(All!S$1,Winter!$1:$1,FALSE))),"")</f>
        <v>3A</v>
      </c>
      <c r="T306" t="str">
        <f>IFERROR(IF(INDEX(Winter!$1:$1048576,MATCH(All!$A306,Winter!$A:$A,FALSE),MATCH(All!T$1,Winter!$1:$1,FALSE))="","",INDEX(Winter!$1:$1048576,MATCH(All!$A306,Winter!$A:$A,FALSE),MATCH(All!T$1,Winter!$1:$1,FALSE))),"")</f>
        <v>2A</v>
      </c>
      <c r="U306" t="str">
        <f>IFERROR(IF(INDEX(Winter!$1:$1048576,MATCH(All!$A306,Winter!$A:$A,FALSE),MATCH(All!U$1,Winter!$1:$1,FALSE))="","",INDEX(Winter!$1:$1048576,MATCH(All!$A306,Winter!$A:$A,FALSE),MATCH(All!U$1,Winter!$1:$1,FALSE))),"")</f>
        <v>3A</v>
      </c>
      <c r="W306">
        <f>IFERROR(IF(INDEX(Spring!$1:$1048576,MATCH(All!$A306,Spring!$A:$A,FALSE),MATCH(All!W$1,Spring!$1:$1,FALSE))="","",INDEX(Spring!$1:$1048576,MATCH(All!$A306,Spring!$A:$A,FALSE),MATCH(All!W$1,Spring!$1:$1,FALSE))),"")</f>
        <v>2046</v>
      </c>
      <c r="X306" t="str">
        <f>IFERROR(IF(INDEX(Spring!$1:$1048576,MATCH(All!$A306,Spring!$A:$A,FALSE),MATCH(All!X$1,Spring!$1:$1,FALSE))="","",INDEX(Spring!$1:$1048576,MATCH(All!$A306,Spring!$A:$A,FALSE),MATCH(All!X$1,Spring!$1:$1,FALSE))),"")</f>
        <v>4A</v>
      </c>
      <c r="Y306" t="str">
        <f>IFERROR(IF(INDEX(Spring!$1:$1048576,MATCH(All!$A306,Spring!$A:$A,FALSE),MATCH(All!Y$1,Spring!$1:$1,FALSE))="","",INDEX(Spring!$1:$1048576,MATCH(All!$A306,Spring!$A:$A,FALSE),MATCH(All!Y$1,Spring!$1:$1,FALSE))),"")</f>
        <v>4A</v>
      </c>
      <c r="Z306" t="str">
        <f>IFERROR(IF(INDEX(Spring!$1:$1048576,MATCH(All!$A306,Spring!$A:$A,FALSE),MATCH(All!Z$1,Spring!$1:$1,FALSE))="","",INDEX(Spring!$1:$1048576,MATCH(All!$A306,Spring!$A:$A,FALSE),MATCH(All!Z$1,Spring!$1:$1,FALSE))),"")</f>
        <v>3A</v>
      </c>
      <c r="AA306" t="str">
        <f>IFERROR(IF(INDEX(Spring!$1:$1048576,MATCH(All!$A306,Spring!$A:$A,FALSE),MATCH(All!AA$1,Spring!$1:$1,FALSE))="","",INDEX(Spring!$1:$1048576,MATCH(All!$A306,Spring!$A:$A,FALSE),MATCH(All!AA$1,Spring!$1:$1,FALSE))),"")</f>
        <v>2A</v>
      </c>
      <c r="AB306" t="str">
        <f>IFERROR(IF(INDEX(Spring!$1:$1048576,MATCH(All!$A306,Spring!$A:$A,FALSE),MATCH(All!AB$1,Spring!$1:$1,FALSE))="","",INDEX(Spring!$1:$1048576,MATCH(All!$A306,Spring!$A:$A,FALSE),MATCH(All!AB$1,Spring!$1:$1,FALSE))),"")</f>
        <v>3A</v>
      </c>
      <c r="AC306" t="str">
        <f>IFERROR(IF(INDEX(Spring!$1:$1048576,MATCH(All!$A306,Spring!$A:$A,FALSE),MATCH(All!AC$1,Spring!$1:$1,FALSE))="","",INDEX(Spring!$1:$1048576,MATCH(All!$A306,Spring!$A:$A,FALSE),MATCH(All!AC$1,Spring!$1:$1,FALSE))),"")</f>
        <v>3A</v>
      </c>
      <c r="AD306" t="str">
        <f>IFERROR(VLOOKUP(A306,'Flag Football'!A:A,1,FALSE),"")</f>
        <v>Downers Grove (North)</v>
      </c>
      <c r="AE306" t="str">
        <f t="shared" si="4"/>
        <v>1A</v>
      </c>
    </row>
    <row r="307" spans="1:31" ht="15.75" thickBot="1" x14ac:dyDescent="0.3">
      <c r="A307" s="18" t="s">
        <v>387</v>
      </c>
      <c r="B307" s="38">
        <f>IFERROR(VLOOKUP(A307,'Public v Private'!A:G,3,FALSE),"")</f>
        <v>0</v>
      </c>
      <c r="C307" s="38">
        <f>IFERROR(VLOOKUP(A307,'Public v Private'!A:G,4,FALSE),"")</f>
        <v>0</v>
      </c>
      <c r="D307" s="38">
        <f>IFERROR(VLOOKUP(A307,'Public v Private'!A:G,5,FALSE),"")</f>
        <v>0</v>
      </c>
      <c r="E307" s="38"/>
      <c r="F307" s="40">
        <f>IFERROR(INDEX(Fall!$1:$1048576,MATCH(All!$A307,Fall!$A:$A,FALSE),MATCH(All!F$1,Fall!$1:$1,FALSE)),"N/A")</f>
        <v>2551</v>
      </c>
      <c r="G307" t="str">
        <f>IFERROR(IF(INDEX(Fall!$1:$1048576,MATCH(All!$A307,Fall!$A:$A,FALSE),MATCH(All!G$1,Fall!$1:$1,FALSE))="","",INDEX(Fall!$1:$1048576,MATCH(All!$A307,Fall!$A:$A,FALSE),MATCH(All!G$1,Fall!$1:$1,FALSE))),"")</f>
        <v>3A</v>
      </c>
      <c r="H307" t="str">
        <f>IFERROR(IF(INDEX(Fall!$1:$1048576,MATCH(All!$A307,Fall!$A:$A,FALSE),MATCH(All!H$1,Fall!$1:$1,FALSE))="","",INDEX(Fall!$1:$1048576,MATCH(All!$A307,Fall!$A:$A,FALSE),MATCH(All!H$1,Fall!$1:$1,FALSE))),"")</f>
        <v>3A</v>
      </c>
      <c r="I307" t="str">
        <f>IFERROR(IF(INDEX(Fall!$1:$1048576,MATCH(All!$A307,Fall!$A:$A,FALSE),MATCH(All!I$1,Fall!$1:$1,FALSE))="","",INDEX(Fall!$1:$1048576,MATCH(All!$A307,Fall!$A:$A,FALSE),MATCH(All!I$1,Fall!$1:$1,FALSE))),"")</f>
        <v>3A</v>
      </c>
      <c r="J307" t="str">
        <f>IFERROR(IF(INDEX(Fall!$1:$1048576,MATCH(All!$A307,Fall!$A:$A,FALSE),MATCH(All!J$1,Fall!$1:$1,FALSE))="","",INDEX(Fall!$1:$1048576,MATCH(All!$A307,Fall!$A:$A,FALSE),MATCH(All!J$1,Fall!$1:$1,FALSE))),"")</f>
        <v>2A</v>
      </c>
      <c r="K307" t="str">
        <f>IFERROR(IF(INDEX(Fall!$1:$1048576,MATCH(All!$A307,Fall!$A:$A,FALSE),MATCH(All!K$1,Fall!$1:$1,FALSE))="","",INDEX(Fall!$1:$1048576,MATCH(All!$A307,Fall!$A:$A,FALSE),MATCH(All!K$1,Fall!$1:$1,FALSE))),"")</f>
        <v>3A</v>
      </c>
      <c r="L307" t="str">
        <f>IFERROR(IF(INDEX(Fall!$1:$1048576,MATCH(All!$A307,Fall!$A:$A,FALSE),MATCH(All!L$1,Fall!$1:$1,FALSE))="","",INDEX(Fall!$1:$1048576,MATCH(All!$A307,Fall!$A:$A,FALSE),MATCH(All!L$1,Fall!$1:$1,FALSE))),"")</f>
        <v>2A</v>
      </c>
      <c r="M307" t="str">
        <f>IFERROR(IF(INDEX(Fall!$1:$1048576,MATCH(All!$A307,Fall!$A:$A,FALSE),MATCH(All!M$1,Fall!$1:$1,FALSE))="","",INDEX(Fall!$1:$1048576,MATCH(All!$A307,Fall!$A:$A,FALSE),MATCH(All!M$1,Fall!$1:$1,FALSE))),"")</f>
        <v>4A</v>
      </c>
      <c r="O307">
        <f>IFERROR(IF(INDEX(Winter!$1:$1048576,MATCH(All!$A307,Winter!$A:$A,FALSE),MATCH(All!O$1,Winter!$1:$1,FALSE))="","",INDEX(Winter!$1:$1048576,MATCH(All!$A307,Winter!$A:$A,FALSE),MATCH(All!O$1,Winter!$1:$1,FALSE))),"")</f>
        <v>2551</v>
      </c>
      <c r="P307" t="str">
        <f>IFERROR(IF(INDEX(Winter!$1:$1048576,MATCH(All!$A307,Winter!$A:$A,FALSE),MATCH(All!P$1,Winter!$1:$1,FALSE))="","",INDEX(Winter!$1:$1048576,MATCH(All!$A307,Winter!$A:$A,FALSE),MATCH(All!P$1,Winter!$1:$1,FALSE))),"")</f>
        <v>4A</v>
      </c>
      <c r="Q307" t="str">
        <f>IFERROR(IF(INDEX(Winter!$1:$1048576,MATCH(All!$A307,Winter!$A:$A,FALSE),MATCH(All!Q$1,Winter!$1:$1,FALSE))="","",INDEX(Winter!$1:$1048576,MATCH(All!$A307,Winter!$A:$A,FALSE),MATCH(All!Q$1,Winter!$1:$1,FALSE))),"")</f>
        <v>4A</v>
      </c>
      <c r="R307" t="str">
        <f>IFERROR(IF(INDEX(Winter!$1:$1048576,MATCH(All!$A307,Winter!$A:$A,FALSE),MATCH(All!R$1,Winter!$1:$1,FALSE))="","",INDEX(Winter!$1:$1048576,MATCH(All!$A307,Winter!$A:$A,FALSE),MATCH(All!R$1,Winter!$1:$1,FALSE))),"")</f>
        <v>3A</v>
      </c>
      <c r="S307" t="str">
        <f>IFERROR(IF(INDEX(Winter!$1:$1048576,MATCH(All!$A307,Winter!$A:$A,FALSE),MATCH(All!S$1,Winter!$1:$1,FALSE))="","",INDEX(Winter!$1:$1048576,MATCH(All!$A307,Winter!$A:$A,FALSE),MATCH(All!S$1,Winter!$1:$1,FALSE))),"")</f>
        <v>3A</v>
      </c>
      <c r="T307" t="str">
        <f>IFERROR(IF(INDEX(Winter!$1:$1048576,MATCH(All!$A307,Winter!$A:$A,FALSE),MATCH(All!T$1,Winter!$1:$1,FALSE))="","",INDEX(Winter!$1:$1048576,MATCH(All!$A307,Winter!$A:$A,FALSE),MATCH(All!T$1,Winter!$1:$1,FALSE))),"")</f>
        <v>2A</v>
      </c>
      <c r="U307" t="str">
        <f>IFERROR(IF(INDEX(Winter!$1:$1048576,MATCH(All!$A307,Winter!$A:$A,FALSE),MATCH(All!U$1,Winter!$1:$1,FALSE))="","",INDEX(Winter!$1:$1048576,MATCH(All!$A307,Winter!$A:$A,FALSE),MATCH(All!U$1,Winter!$1:$1,FALSE))),"")</f>
        <v>3A</v>
      </c>
      <c r="W307">
        <f>IFERROR(IF(INDEX(Spring!$1:$1048576,MATCH(All!$A307,Spring!$A:$A,FALSE),MATCH(All!W$1,Spring!$1:$1,FALSE))="","",INDEX(Spring!$1:$1048576,MATCH(All!$A307,Spring!$A:$A,FALSE),MATCH(All!W$1,Spring!$1:$1,FALSE))),"")</f>
        <v>2551</v>
      </c>
      <c r="X307" t="str">
        <f>IFERROR(IF(INDEX(Spring!$1:$1048576,MATCH(All!$A307,Spring!$A:$A,FALSE),MATCH(All!X$1,Spring!$1:$1,FALSE))="","",INDEX(Spring!$1:$1048576,MATCH(All!$A307,Spring!$A:$A,FALSE),MATCH(All!X$1,Spring!$1:$1,FALSE))),"")</f>
        <v>4A</v>
      </c>
      <c r="Y307" t="str">
        <f>IFERROR(IF(INDEX(Spring!$1:$1048576,MATCH(All!$A307,Spring!$A:$A,FALSE),MATCH(All!Y$1,Spring!$1:$1,FALSE))="","",INDEX(Spring!$1:$1048576,MATCH(All!$A307,Spring!$A:$A,FALSE),MATCH(All!Y$1,Spring!$1:$1,FALSE))),"")</f>
        <v>4A</v>
      </c>
      <c r="Z307" t="str">
        <f>IFERROR(IF(INDEX(Spring!$1:$1048576,MATCH(All!$A307,Spring!$A:$A,FALSE),MATCH(All!Z$1,Spring!$1:$1,FALSE))="","",INDEX(Spring!$1:$1048576,MATCH(All!$A307,Spring!$A:$A,FALSE),MATCH(All!Z$1,Spring!$1:$1,FALSE))),"")</f>
        <v>3A</v>
      </c>
      <c r="AA307" t="str">
        <f>IFERROR(IF(INDEX(Spring!$1:$1048576,MATCH(All!$A307,Spring!$A:$A,FALSE),MATCH(All!AA$1,Spring!$1:$1,FALSE))="","",INDEX(Spring!$1:$1048576,MATCH(All!$A307,Spring!$A:$A,FALSE),MATCH(All!AA$1,Spring!$1:$1,FALSE))),"")</f>
        <v>2A</v>
      </c>
      <c r="AB307" t="str">
        <f>IFERROR(IF(INDEX(Spring!$1:$1048576,MATCH(All!$A307,Spring!$A:$A,FALSE),MATCH(All!AB$1,Spring!$1:$1,FALSE))="","",INDEX(Spring!$1:$1048576,MATCH(All!$A307,Spring!$A:$A,FALSE),MATCH(All!AB$1,Spring!$1:$1,FALSE))),"")</f>
        <v>3A</v>
      </c>
      <c r="AC307" t="str">
        <f>IFERROR(IF(INDEX(Spring!$1:$1048576,MATCH(All!$A307,Spring!$A:$A,FALSE),MATCH(All!AC$1,Spring!$1:$1,FALSE))="","",INDEX(Spring!$1:$1048576,MATCH(All!$A307,Spring!$A:$A,FALSE),MATCH(All!AC$1,Spring!$1:$1,FALSE))),"")</f>
        <v>3A</v>
      </c>
      <c r="AD307" t="str">
        <f>IFERROR(VLOOKUP(A307,'Flag Football'!A:A,1,FALSE),"")</f>
        <v>Downers Grove (South)</v>
      </c>
      <c r="AE307" t="str">
        <f t="shared" si="4"/>
        <v>1A</v>
      </c>
    </row>
    <row r="308" spans="1:31" ht="15.75" thickBot="1" x14ac:dyDescent="0.3">
      <c r="A308" s="20" t="s">
        <v>388</v>
      </c>
      <c r="B308" s="38">
        <f>IFERROR(VLOOKUP(A308,'Public v Private'!A:G,3,FALSE),"")</f>
        <v>0</v>
      </c>
      <c r="C308" s="38">
        <f>IFERROR(VLOOKUP(A308,'Public v Private'!A:G,4,FALSE),"")</f>
        <v>0</v>
      </c>
      <c r="D308" s="38">
        <f>IFERROR(VLOOKUP(A308,'Public v Private'!A:G,5,FALSE),"")</f>
        <v>0</v>
      </c>
      <c r="E308" s="38"/>
      <c r="F308" s="40">
        <f>IFERROR(INDEX(Fall!$1:$1048576,MATCH(All!$A308,Fall!$A:$A,FALSE),MATCH(All!F$1,Fall!$1:$1,FALSE)),"N/A")</f>
        <v>323</v>
      </c>
      <c r="G308" t="str">
        <f>IFERROR(IF(INDEX(Fall!$1:$1048576,MATCH(All!$A308,Fall!$A:$A,FALSE),MATCH(All!G$1,Fall!$1:$1,FALSE))="","",INDEX(Fall!$1:$1048576,MATCH(All!$A308,Fall!$A:$A,FALSE),MATCH(All!G$1,Fall!$1:$1,FALSE))),"")</f>
        <v>1A</v>
      </c>
      <c r="H308" t="str">
        <f>IFERROR(IF(INDEX(Fall!$1:$1048576,MATCH(All!$A308,Fall!$A:$A,FALSE),MATCH(All!H$1,Fall!$1:$1,FALSE))="","",INDEX(Fall!$1:$1048576,MATCH(All!$A308,Fall!$A:$A,FALSE),MATCH(All!H$1,Fall!$1:$1,FALSE))),"")</f>
        <v>1A</v>
      </c>
      <c r="I308" t="str">
        <f>IFERROR(IF(INDEX(Fall!$1:$1048576,MATCH(All!$A308,Fall!$A:$A,FALSE),MATCH(All!I$1,Fall!$1:$1,FALSE))="","",INDEX(Fall!$1:$1048576,MATCH(All!$A308,Fall!$A:$A,FALSE),MATCH(All!I$1,Fall!$1:$1,FALSE))),"")</f>
        <v>1A</v>
      </c>
      <c r="J308" t="str">
        <f>IFERROR(IF(INDEX(Fall!$1:$1048576,MATCH(All!$A308,Fall!$A:$A,FALSE),MATCH(All!J$1,Fall!$1:$1,FALSE))="","",INDEX(Fall!$1:$1048576,MATCH(All!$A308,Fall!$A:$A,FALSE),MATCH(All!J$1,Fall!$1:$1,FALSE))),"")</f>
        <v>1A</v>
      </c>
      <c r="K308" t="str">
        <f>IFERROR(IF(INDEX(Fall!$1:$1048576,MATCH(All!$A308,Fall!$A:$A,FALSE),MATCH(All!K$1,Fall!$1:$1,FALSE))="","",INDEX(Fall!$1:$1048576,MATCH(All!$A308,Fall!$A:$A,FALSE),MATCH(All!K$1,Fall!$1:$1,FALSE))),"")</f>
        <v/>
      </c>
      <c r="L308" t="str">
        <f>IFERROR(IF(INDEX(Fall!$1:$1048576,MATCH(All!$A308,Fall!$A:$A,FALSE),MATCH(All!L$1,Fall!$1:$1,FALSE))="","",INDEX(Fall!$1:$1048576,MATCH(All!$A308,Fall!$A:$A,FALSE),MATCH(All!L$1,Fall!$1:$1,FALSE))),"")</f>
        <v/>
      </c>
      <c r="M308" t="str">
        <f>IFERROR(IF(INDEX(Fall!$1:$1048576,MATCH(All!$A308,Fall!$A:$A,FALSE),MATCH(All!M$1,Fall!$1:$1,FALSE))="","",INDEX(Fall!$1:$1048576,MATCH(All!$A308,Fall!$A:$A,FALSE),MATCH(All!M$1,Fall!$1:$1,FALSE))),"")</f>
        <v>2A</v>
      </c>
      <c r="O308">
        <f>IFERROR(IF(INDEX(Winter!$1:$1048576,MATCH(All!$A308,Winter!$A:$A,FALSE),MATCH(All!O$1,Winter!$1:$1,FALSE))="","",INDEX(Winter!$1:$1048576,MATCH(All!$A308,Winter!$A:$A,FALSE),MATCH(All!O$1,Winter!$1:$1,FALSE))),"")</f>
        <v>323</v>
      </c>
      <c r="P308" t="str">
        <f>IFERROR(IF(INDEX(Winter!$1:$1048576,MATCH(All!$A308,Winter!$A:$A,FALSE),MATCH(All!P$1,Winter!$1:$1,FALSE))="","",INDEX(Winter!$1:$1048576,MATCH(All!$A308,Winter!$A:$A,FALSE),MATCH(All!P$1,Winter!$1:$1,FALSE))),"")</f>
        <v>2A</v>
      </c>
      <c r="Q308" t="str">
        <f>IFERROR(IF(INDEX(Winter!$1:$1048576,MATCH(All!$A308,Winter!$A:$A,FALSE),MATCH(All!Q$1,Winter!$1:$1,FALSE))="","",INDEX(Winter!$1:$1048576,MATCH(All!$A308,Winter!$A:$A,FALSE),MATCH(All!Q$1,Winter!$1:$1,FALSE))),"")</f>
        <v>2A</v>
      </c>
      <c r="R308" t="str">
        <f>IFERROR(IF(INDEX(Winter!$1:$1048576,MATCH(All!$A308,Winter!$A:$A,FALSE),MATCH(All!R$1,Winter!$1:$1,FALSE))="","",INDEX(Winter!$1:$1048576,MATCH(All!$A308,Winter!$A:$A,FALSE),MATCH(All!R$1,Winter!$1:$1,FALSE))),"")</f>
        <v/>
      </c>
      <c r="S308" t="str">
        <f>IFERROR(IF(INDEX(Winter!$1:$1048576,MATCH(All!$A308,Winter!$A:$A,FALSE),MATCH(All!S$1,Winter!$1:$1,FALSE))="","",INDEX(Winter!$1:$1048576,MATCH(All!$A308,Winter!$A:$A,FALSE),MATCH(All!S$1,Winter!$1:$1,FALSE))),"")</f>
        <v/>
      </c>
      <c r="T308" t="str">
        <f>IFERROR(IF(INDEX(Winter!$1:$1048576,MATCH(All!$A308,Winter!$A:$A,FALSE),MATCH(All!T$1,Winter!$1:$1,FALSE))="","",INDEX(Winter!$1:$1048576,MATCH(All!$A308,Winter!$A:$A,FALSE),MATCH(All!T$1,Winter!$1:$1,FALSE))),"")</f>
        <v>1A</v>
      </c>
      <c r="U308" t="str">
        <f>IFERROR(IF(INDEX(Winter!$1:$1048576,MATCH(All!$A308,Winter!$A:$A,FALSE),MATCH(All!U$1,Winter!$1:$1,FALSE))="","",INDEX(Winter!$1:$1048576,MATCH(All!$A308,Winter!$A:$A,FALSE),MATCH(All!U$1,Winter!$1:$1,FALSE))),"")</f>
        <v/>
      </c>
      <c r="W308">
        <f>IFERROR(IF(INDEX(Spring!$1:$1048576,MATCH(All!$A308,Spring!$A:$A,FALSE),MATCH(All!W$1,Spring!$1:$1,FALSE))="","",INDEX(Spring!$1:$1048576,MATCH(All!$A308,Spring!$A:$A,FALSE),MATCH(All!W$1,Spring!$1:$1,FALSE))),"")</f>
        <v>323</v>
      </c>
      <c r="X308" t="str">
        <f>IFERROR(IF(INDEX(Spring!$1:$1048576,MATCH(All!$A308,Spring!$A:$A,FALSE),MATCH(All!X$1,Spring!$1:$1,FALSE))="","",INDEX(Spring!$1:$1048576,MATCH(All!$A308,Spring!$A:$A,FALSE),MATCH(All!X$1,Spring!$1:$1,FALSE))),"")</f>
        <v>2A</v>
      </c>
      <c r="Y308" t="str">
        <f>IFERROR(IF(INDEX(Spring!$1:$1048576,MATCH(All!$A308,Spring!$A:$A,FALSE),MATCH(All!Y$1,Spring!$1:$1,FALSE))="","",INDEX(Spring!$1:$1048576,MATCH(All!$A308,Spring!$A:$A,FALSE),MATCH(All!Y$1,Spring!$1:$1,FALSE))),"")</f>
        <v>2A</v>
      </c>
      <c r="Z308" t="str">
        <f>IFERROR(IF(INDEX(Spring!$1:$1048576,MATCH(All!$A308,Spring!$A:$A,FALSE),MATCH(All!Z$1,Spring!$1:$1,FALSE))="","",INDEX(Spring!$1:$1048576,MATCH(All!$A308,Spring!$A:$A,FALSE),MATCH(All!Z$1,Spring!$1:$1,FALSE))),"")</f>
        <v/>
      </c>
      <c r="AA308" t="str">
        <f>IFERROR(IF(INDEX(Spring!$1:$1048576,MATCH(All!$A308,Spring!$A:$A,FALSE),MATCH(All!AA$1,Spring!$1:$1,FALSE))="","",INDEX(Spring!$1:$1048576,MATCH(All!$A308,Spring!$A:$A,FALSE),MATCH(All!AA$1,Spring!$1:$1,FALSE))),"")</f>
        <v/>
      </c>
      <c r="AB308" t="str">
        <f>IFERROR(IF(INDEX(Spring!$1:$1048576,MATCH(All!$A308,Spring!$A:$A,FALSE),MATCH(All!AB$1,Spring!$1:$1,FALSE))="","",INDEX(Spring!$1:$1048576,MATCH(All!$A308,Spring!$A:$A,FALSE),MATCH(All!AB$1,Spring!$1:$1,FALSE))),"")</f>
        <v>1A</v>
      </c>
      <c r="AC308" t="str">
        <f>IFERROR(IF(INDEX(Spring!$1:$1048576,MATCH(All!$A308,Spring!$A:$A,FALSE),MATCH(All!AC$1,Spring!$1:$1,FALSE))="","",INDEX(Spring!$1:$1048576,MATCH(All!$A308,Spring!$A:$A,FALSE),MATCH(All!AC$1,Spring!$1:$1,FALSE))),"")</f>
        <v>1A</v>
      </c>
      <c r="AD308" t="str">
        <f>IFERROR(VLOOKUP(A308,'Flag Football'!A:A,1,FALSE),"")</f>
        <v/>
      </c>
      <c r="AE308" t="str">
        <f t="shared" si="4"/>
        <v/>
      </c>
    </row>
    <row r="309" spans="1:31" ht="15.75" thickBot="1" x14ac:dyDescent="0.3">
      <c r="A309" s="18" t="s">
        <v>389</v>
      </c>
      <c r="B309" s="38">
        <f>IFERROR(VLOOKUP(A309,'Public v Private'!A:G,3,FALSE),"")</f>
        <v>0</v>
      </c>
      <c r="C309" s="38">
        <f>IFERROR(VLOOKUP(A309,'Public v Private'!A:G,4,FALSE),"")</f>
        <v>0</v>
      </c>
      <c r="D309" s="38">
        <f>IFERROR(VLOOKUP(A309,'Public v Private'!A:G,5,FALSE),"")</f>
        <v>0</v>
      </c>
      <c r="E309" s="38"/>
      <c r="F309" s="40">
        <f>IFERROR(INDEX(Fall!$1:$1048576,MATCH(All!$A309,Fall!$A:$A,FALSE),MATCH(All!F$1,Fall!$1:$1,FALSE)),"N/A")</f>
        <v>1416</v>
      </c>
      <c r="G309" t="str">
        <f>IFERROR(IF(INDEX(Fall!$1:$1048576,MATCH(All!$A309,Fall!$A:$A,FALSE),MATCH(All!G$1,Fall!$1:$1,FALSE))="","",INDEX(Fall!$1:$1048576,MATCH(All!$A309,Fall!$A:$A,FALSE),MATCH(All!G$1,Fall!$1:$1,FALSE))),"")</f>
        <v>2A</v>
      </c>
      <c r="H309" t="str">
        <f>IFERROR(IF(INDEX(Fall!$1:$1048576,MATCH(All!$A309,Fall!$A:$A,FALSE),MATCH(All!H$1,Fall!$1:$1,FALSE))="","",INDEX(Fall!$1:$1048576,MATCH(All!$A309,Fall!$A:$A,FALSE),MATCH(All!H$1,Fall!$1:$1,FALSE))),"")</f>
        <v>2A</v>
      </c>
      <c r="I309" t="str">
        <f>IFERROR(IF(INDEX(Fall!$1:$1048576,MATCH(All!$A309,Fall!$A:$A,FALSE),MATCH(All!I$1,Fall!$1:$1,FALSE))="","",INDEX(Fall!$1:$1048576,MATCH(All!$A309,Fall!$A:$A,FALSE),MATCH(All!I$1,Fall!$1:$1,FALSE))),"")</f>
        <v>2A</v>
      </c>
      <c r="J309" t="str">
        <f>IFERROR(IF(INDEX(Fall!$1:$1048576,MATCH(All!$A309,Fall!$A:$A,FALSE),MATCH(All!J$1,Fall!$1:$1,FALSE))="","",INDEX(Fall!$1:$1048576,MATCH(All!$A309,Fall!$A:$A,FALSE),MATCH(All!J$1,Fall!$1:$1,FALSE))),"")</f>
        <v>2A</v>
      </c>
      <c r="K309" t="str">
        <f>IFERROR(IF(INDEX(Fall!$1:$1048576,MATCH(All!$A309,Fall!$A:$A,FALSE),MATCH(All!K$1,Fall!$1:$1,FALSE))="","",INDEX(Fall!$1:$1048576,MATCH(All!$A309,Fall!$A:$A,FALSE),MATCH(All!K$1,Fall!$1:$1,FALSE))),"")</f>
        <v>2A</v>
      </c>
      <c r="L309" t="str">
        <f>IFERROR(IF(INDEX(Fall!$1:$1048576,MATCH(All!$A309,Fall!$A:$A,FALSE),MATCH(All!L$1,Fall!$1:$1,FALSE))="","",INDEX(Fall!$1:$1048576,MATCH(All!$A309,Fall!$A:$A,FALSE),MATCH(All!L$1,Fall!$1:$1,FALSE))),"")</f>
        <v>1A</v>
      </c>
      <c r="M309" t="str">
        <f>IFERROR(IF(INDEX(Fall!$1:$1048576,MATCH(All!$A309,Fall!$A:$A,FALSE),MATCH(All!M$1,Fall!$1:$1,FALSE))="","",INDEX(Fall!$1:$1048576,MATCH(All!$A309,Fall!$A:$A,FALSE),MATCH(All!M$1,Fall!$1:$1,FALSE))),"")</f>
        <v>3A</v>
      </c>
      <c r="O309">
        <f>IFERROR(IF(INDEX(Winter!$1:$1048576,MATCH(All!$A309,Winter!$A:$A,FALSE),MATCH(All!O$1,Winter!$1:$1,FALSE))="","",INDEX(Winter!$1:$1048576,MATCH(All!$A309,Winter!$A:$A,FALSE),MATCH(All!O$1,Winter!$1:$1,FALSE))),"")</f>
        <v>1416</v>
      </c>
      <c r="P309" t="str">
        <f>IFERROR(IF(INDEX(Winter!$1:$1048576,MATCH(All!$A309,Winter!$A:$A,FALSE),MATCH(All!P$1,Winter!$1:$1,FALSE))="","",INDEX(Winter!$1:$1048576,MATCH(All!$A309,Winter!$A:$A,FALSE),MATCH(All!P$1,Winter!$1:$1,FALSE))),"")</f>
        <v>3A</v>
      </c>
      <c r="Q309" t="str">
        <f>IFERROR(IF(INDEX(Winter!$1:$1048576,MATCH(All!$A309,Winter!$A:$A,FALSE),MATCH(All!Q$1,Winter!$1:$1,FALSE))="","",INDEX(Winter!$1:$1048576,MATCH(All!$A309,Winter!$A:$A,FALSE),MATCH(All!Q$1,Winter!$1:$1,FALSE))),"")</f>
        <v>3A</v>
      </c>
      <c r="R309" t="str">
        <f>IFERROR(IF(INDEX(Winter!$1:$1048576,MATCH(All!$A309,Winter!$A:$A,FALSE),MATCH(All!R$1,Winter!$1:$1,FALSE))="","",INDEX(Winter!$1:$1048576,MATCH(All!$A309,Winter!$A:$A,FALSE),MATCH(All!R$1,Winter!$1:$1,FALSE))),"")</f>
        <v/>
      </c>
      <c r="S309" t="str">
        <f>IFERROR(IF(INDEX(Winter!$1:$1048576,MATCH(All!$A309,Winter!$A:$A,FALSE),MATCH(All!S$1,Winter!$1:$1,FALSE))="","",INDEX(Winter!$1:$1048576,MATCH(All!$A309,Winter!$A:$A,FALSE),MATCH(All!S$1,Winter!$1:$1,FALSE))),"")</f>
        <v>2A</v>
      </c>
      <c r="T309" t="str">
        <f>IFERROR(IF(INDEX(Winter!$1:$1048576,MATCH(All!$A309,Winter!$A:$A,FALSE),MATCH(All!T$1,Winter!$1:$1,FALSE))="","",INDEX(Winter!$1:$1048576,MATCH(All!$A309,Winter!$A:$A,FALSE),MATCH(All!T$1,Winter!$1:$1,FALSE))),"")</f>
        <v>2A</v>
      </c>
      <c r="U309" t="str">
        <f>IFERROR(IF(INDEX(Winter!$1:$1048576,MATCH(All!$A309,Winter!$A:$A,FALSE),MATCH(All!U$1,Winter!$1:$1,FALSE))="","",INDEX(Winter!$1:$1048576,MATCH(All!$A309,Winter!$A:$A,FALSE),MATCH(All!U$1,Winter!$1:$1,FALSE))),"")</f>
        <v>2A</v>
      </c>
      <c r="W309">
        <f>IFERROR(IF(INDEX(Spring!$1:$1048576,MATCH(All!$A309,Spring!$A:$A,FALSE),MATCH(All!W$1,Spring!$1:$1,FALSE))="","",INDEX(Spring!$1:$1048576,MATCH(All!$A309,Spring!$A:$A,FALSE),MATCH(All!W$1,Spring!$1:$1,FALSE))),"")</f>
        <v>1416</v>
      </c>
      <c r="X309" t="str">
        <f>IFERROR(IF(INDEX(Spring!$1:$1048576,MATCH(All!$A309,Spring!$A:$A,FALSE),MATCH(All!X$1,Spring!$1:$1,FALSE))="","",INDEX(Spring!$1:$1048576,MATCH(All!$A309,Spring!$A:$A,FALSE),MATCH(All!X$1,Spring!$1:$1,FALSE))),"")</f>
        <v>3A</v>
      </c>
      <c r="Y309" t="str">
        <f>IFERROR(IF(INDEX(Spring!$1:$1048576,MATCH(All!$A309,Spring!$A:$A,FALSE),MATCH(All!Y$1,Spring!$1:$1,FALSE))="","",INDEX(Spring!$1:$1048576,MATCH(All!$A309,Spring!$A:$A,FALSE),MATCH(All!Y$1,Spring!$1:$1,FALSE))),"")</f>
        <v>3A</v>
      </c>
      <c r="Z309" t="str">
        <f>IFERROR(IF(INDEX(Spring!$1:$1048576,MATCH(All!$A309,Spring!$A:$A,FALSE),MATCH(All!Z$1,Spring!$1:$1,FALSE))="","",INDEX(Spring!$1:$1048576,MATCH(All!$A309,Spring!$A:$A,FALSE),MATCH(All!Z$1,Spring!$1:$1,FALSE))),"")</f>
        <v>2A</v>
      </c>
      <c r="AA309" t="str">
        <f>IFERROR(IF(INDEX(Spring!$1:$1048576,MATCH(All!$A309,Spring!$A:$A,FALSE),MATCH(All!AA$1,Spring!$1:$1,FALSE))="","",INDEX(Spring!$1:$1048576,MATCH(All!$A309,Spring!$A:$A,FALSE),MATCH(All!AA$1,Spring!$1:$1,FALSE))),"")</f>
        <v>1A</v>
      </c>
      <c r="AB309" t="str">
        <f>IFERROR(IF(INDEX(Spring!$1:$1048576,MATCH(All!$A309,Spring!$A:$A,FALSE),MATCH(All!AB$1,Spring!$1:$1,FALSE))="","",INDEX(Spring!$1:$1048576,MATCH(All!$A309,Spring!$A:$A,FALSE),MATCH(All!AB$1,Spring!$1:$1,FALSE))),"")</f>
        <v>3A</v>
      </c>
      <c r="AC309" t="str">
        <f>IFERROR(IF(INDEX(Spring!$1:$1048576,MATCH(All!$A309,Spring!$A:$A,FALSE),MATCH(All!AC$1,Spring!$1:$1,FALSE))="","",INDEX(Spring!$1:$1048576,MATCH(All!$A309,Spring!$A:$A,FALSE),MATCH(All!AC$1,Spring!$1:$1,FALSE))),"")</f>
        <v>3A</v>
      </c>
      <c r="AD309" t="str">
        <f>IFERROR(VLOOKUP(A309,'Flag Football'!A:A,1,FALSE),"")</f>
        <v/>
      </c>
      <c r="AE309" t="str">
        <f t="shared" si="4"/>
        <v/>
      </c>
    </row>
    <row r="310" spans="1:31" ht="15.75" thickBot="1" x14ac:dyDescent="0.3">
      <c r="A310" s="20" t="s">
        <v>390</v>
      </c>
      <c r="B310" s="38">
        <f>IFERROR(VLOOKUP(A310,'Public v Private'!A:G,3,FALSE),"")</f>
        <v>0</v>
      </c>
      <c r="C310" s="38">
        <f>IFERROR(VLOOKUP(A310,'Public v Private'!A:G,4,FALSE),"")</f>
        <v>0</v>
      </c>
      <c r="D310" s="38">
        <f>IFERROR(VLOOKUP(A310,'Public v Private'!A:G,5,FALSE),"")</f>
        <v>0</v>
      </c>
      <c r="E310" s="38"/>
      <c r="F310" s="40">
        <f>IFERROR(INDEX(Fall!$1:$1048576,MATCH(All!$A310,Fall!$A:$A,FALSE),MATCH(All!F$1,Fall!$1:$1,FALSE)),"N/A")</f>
        <v>244</v>
      </c>
      <c r="G310" t="str">
        <f>IFERROR(IF(INDEX(Fall!$1:$1048576,MATCH(All!$A310,Fall!$A:$A,FALSE),MATCH(All!G$1,Fall!$1:$1,FALSE))="","",INDEX(Fall!$1:$1048576,MATCH(All!$A310,Fall!$A:$A,FALSE),MATCH(All!G$1,Fall!$1:$1,FALSE))),"")</f>
        <v>1A</v>
      </c>
      <c r="H310" t="str">
        <f>IFERROR(IF(INDEX(Fall!$1:$1048576,MATCH(All!$A310,Fall!$A:$A,FALSE),MATCH(All!H$1,Fall!$1:$1,FALSE))="","",INDEX(Fall!$1:$1048576,MATCH(All!$A310,Fall!$A:$A,FALSE),MATCH(All!H$1,Fall!$1:$1,FALSE))),"")</f>
        <v>1A</v>
      </c>
      <c r="I310" t="str">
        <f>IFERROR(IF(INDEX(Fall!$1:$1048576,MATCH(All!$A310,Fall!$A:$A,FALSE),MATCH(All!I$1,Fall!$1:$1,FALSE))="","",INDEX(Fall!$1:$1048576,MATCH(All!$A310,Fall!$A:$A,FALSE),MATCH(All!I$1,Fall!$1:$1,FALSE))),"")</f>
        <v>1A</v>
      </c>
      <c r="J310" t="str">
        <f>IFERROR(IF(INDEX(Fall!$1:$1048576,MATCH(All!$A310,Fall!$A:$A,FALSE),MATCH(All!J$1,Fall!$1:$1,FALSE))="","",INDEX(Fall!$1:$1048576,MATCH(All!$A310,Fall!$A:$A,FALSE),MATCH(All!J$1,Fall!$1:$1,FALSE))),"")</f>
        <v>1A</v>
      </c>
      <c r="K310" t="str">
        <f>IFERROR(IF(INDEX(Fall!$1:$1048576,MATCH(All!$A310,Fall!$A:$A,FALSE),MATCH(All!K$1,Fall!$1:$1,FALSE))="","",INDEX(Fall!$1:$1048576,MATCH(All!$A310,Fall!$A:$A,FALSE),MATCH(All!K$1,Fall!$1:$1,FALSE))),"")</f>
        <v/>
      </c>
      <c r="L310" t="str">
        <f>IFERROR(IF(INDEX(Fall!$1:$1048576,MATCH(All!$A310,Fall!$A:$A,FALSE),MATCH(All!L$1,Fall!$1:$1,FALSE))="","",INDEX(Fall!$1:$1048576,MATCH(All!$A310,Fall!$A:$A,FALSE),MATCH(All!L$1,Fall!$1:$1,FALSE))),"")</f>
        <v/>
      </c>
      <c r="M310" t="str">
        <f>IFERROR(IF(INDEX(Fall!$1:$1048576,MATCH(All!$A310,Fall!$A:$A,FALSE),MATCH(All!M$1,Fall!$1:$1,FALSE))="","",INDEX(Fall!$1:$1048576,MATCH(All!$A310,Fall!$A:$A,FALSE),MATCH(All!M$1,Fall!$1:$1,FALSE))),"")</f>
        <v>1A</v>
      </c>
      <c r="O310">
        <f>IFERROR(IF(INDEX(Winter!$1:$1048576,MATCH(All!$A310,Winter!$A:$A,FALSE),MATCH(All!O$1,Winter!$1:$1,FALSE))="","",INDEX(Winter!$1:$1048576,MATCH(All!$A310,Winter!$A:$A,FALSE),MATCH(All!O$1,Winter!$1:$1,FALSE))),"")</f>
        <v>244</v>
      </c>
      <c r="P310" t="str">
        <f>IFERROR(IF(INDEX(Winter!$1:$1048576,MATCH(All!$A310,Winter!$A:$A,FALSE),MATCH(All!P$1,Winter!$1:$1,FALSE))="","",INDEX(Winter!$1:$1048576,MATCH(All!$A310,Winter!$A:$A,FALSE),MATCH(All!P$1,Winter!$1:$1,FALSE))),"")</f>
        <v>1A</v>
      </c>
      <c r="Q310" t="str">
        <f>IFERROR(IF(INDEX(Winter!$1:$1048576,MATCH(All!$A310,Winter!$A:$A,FALSE),MATCH(All!Q$1,Winter!$1:$1,FALSE))="","",INDEX(Winter!$1:$1048576,MATCH(All!$A310,Winter!$A:$A,FALSE),MATCH(All!Q$1,Winter!$1:$1,FALSE))),"")</f>
        <v>1A</v>
      </c>
      <c r="R310" t="str">
        <f>IFERROR(IF(INDEX(Winter!$1:$1048576,MATCH(All!$A310,Winter!$A:$A,FALSE),MATCH(All!R$1,Winter!$1:$1,FALSE))="","",INDEX(Winter!$1:$1048576,MATCH(All!$A310,Winter!$A:$A,FALSE),MATCH(All!R$1,Winter!$1:$1,FALSE))),"")</f>
        <v/>
      </c>
      <c r="S310" t="str">
        <f>IFERROR(IF(INDEX(Winter!$1:$1048576,MATCH(All!$A310,Winter!$A:$A,FALSE),MATCH(All!S$1,Winter!$1:$1,FALSE))="","",INDEX(Winter!$1:$1048576,MATCH(All!$A310,Winter!$A:$A,FALSE),MATCH(All!S$1,Winter!$1:$1,FALSE))),"")</f>
        <v>1A</v>
      </c>
      <c r="T310" t="str">
        <f>IFERROR(IF(INDEX(Winter!$1:$1048576,MATCH(All!$A310,Winter!$A:$A,FALSE),MATCH(All!T$1,Winter!$1:$1,FALSE))="","",INDEX(Winter!$1:$1048576,MATCH(All!$A310,Winter!$A:$A,FALSE),MATCH(All!T$1,Winter!$1:$1,FALSE))),"")</f>
        <v>1A</v>
      </c>
      <c r="U310" t="str">
        <f>IFERROR(IF(INDEX(Winter!$1:$1048576,MATCH(All!$A310,Winter!$A:$A,FALSE),MATCH(All!U$1,Winter!$1:$1,FALSE))="","",INDEX(Winter!$1:$1048576,MATCH(All!$A310,Winter!$A:$A,FALSE),MATCH(All!U$1,Winter!$1:$1,FALSE))),"")</f>
        <v>1A</v>
      </c>
      <c r="W310">
        <f>IFERROR(IF(INDEX(Spring!$1:$1048576,MATCH(All!$A310,Spring!$A:$A,FALSE),MATCH(All!W$1,Spring!$1:$1,FALSE))="","",INDEX(Spring!$1:$1048576,MATCH(All!$A310,Spring!$A:$A,FALSE),MATCH(All!W$1,Spring!$1:$1,FALSE))),"")</f>
        <v>244</v>
      </c>
      <c r="X310" t="str">
        <f>IFERROR(IF(INDEX(Spring!$1:$1048576,MATCH(All!$A310,Spring!$A:$A,FALSE),MATCH(All!X$1,Spring!$1:$1,FALSE))="","",INDEX(Spring!$1:$1048576,MATCH(All!$A310,Spring!$A:$A,FALSE),MATCH(All!X$1,Spring!$1:$1,FALSE))),"")</f>
        <v>1A</v>
      </c>
      <c r="Y310" t="str">
        <f>IFERROR(IF(INDEX(Spring!$1:$1048576,MATCH(All!$A310,Spring!$A:$A,FALSE),MATCH(All!Y$1,Spring!$1:$1,FALSE))="","",INDEX(Spring!$1:$1048576,MATCH(All!$A310,Spring!$A:$A,FALSE),MATCH(All!Y$1,Spring!$1:$1,FALSE))),"")</f>
        <v>1A</v>
      </c>
      <c r="Z310" t="str">
        <f>IFERROR(IF(INDEX(Spring!$1:$1048576,MATCH(All!$A310,Spring!$A:$A,FALSE),MATCH(All!Z$1,Spring!$1:$1,FALSE))="","",INDEX(Spring!$1:$1048576,MATCH(All!$A310,Spring!$A:$A,FALSE),MATCH(All!Z$1,Spring!$1:$1,FALSE))),"")</f>
        <v/>
      </c>
      <c r="AA310" t="str">
        <f>IFERROR(IF(INDEX(Spring!$1:$1048576,MATCH(All!$A310,Spring!$A:$A,FALSE),MATCH(All!AA$1,Spring!$1:$1,FALSE))="","",INDEX(Spring!$1:$1048576,MATCH(All!$A310,Spring!$A:$A,FALSE),MATCH(All!AA$1,Spring!$1:$1,FALSE))),"")</f>
        <v/>
      </c>
      <c r="AB310" t="str">
        <f>IFERROR(IF(INDEX(Spring!$1:$1048576,MATCH(All!$A310,Spring!$A:$A,FALSE),MATCH(All!AB$1,Spring!$1:$1,FALSE))="","",INDEX(Spring!$1:$1048576,MATCH(All!$A310,Spring!$A:$A,FALSE),MATCH(All!AB$1,Spring!$1:$1,FALSE))),"")</f>
        <v>1A</v>
      </c>
      <c r="AC310" t="str">
        <f>IFERROR(IF(INDEX(Spring!$1:$1048576,MATCH(All!$A310,Spring!$A:$A,FALSE),MATCH(All!AC$1,Spring!$1:$1,FALSE))="","",INDEX(Spring!$1:$1048576,MATCH(All!$A310,Spring!$A:$A,FALSE),MATCH(All!AC$1,Spring!$1:$1,FALSE))),"")</f>
        <v>1A</v>
      </c>
      <c r="AD310" t="str">
        <f>IFERROR(VLOOKUP(A310,'Flag Football'!A:A,1,FALSE),"")</f>
        <v/>
      </c>
      <c r="AE310" t="str">
        <f t="shared" si="4"/>
        <v/>
      </c>
    </row>
    <row r="311" spans="1:31" ht="15.75" thickBot="1" x14ac:dyDescent="0.3">
      <c r="A311" s="18" t="s">
        <v>391</v>
      </c>
      <c r="B311" s="38">
        <f>IFERROR(VLOOKUP(A311,'Public v Private'!A:G,3,FALSE),"")</f>
        <v>0</v>
      </c>
      <c r="C311" s="38">
        <f>IFERROR(VLOOKUP(A311,'Public v Private'!A:G,4,FALSE),"")</f>
        <v>0</v>
      </c>
      <c r="D311" s="38">
        <f>IFERROR(VLOOKUP(A311,'Public v Private'!A:G,5,FALSE),"")</f>
        <v>0</v>
      </c>
      <c r="E311" s="38"/>
      <c r="F311" s="40">
        <f>IFERROR(INDEX(Fall!$1:$1048576,MATCH(All!$A311,Fall!$A:$A,FALSE),MATCH(All!F$1,Fall!$1:$1,FALSE)),"N/A")</f>
        <v>384</v>
      </c>
      <c r="G311" t="str">
        <f>IFERROR(IF(INDEX(Fall!$1:$1048576,MATCH(All!$A311,Fall!$A:$A,FALSE),MATCH(All!G$1,Fall!$1:$1,FALSE))="","",INDEX(Fall!$1:$1048576,MATCH(All!$A311,Fall!$A:$A,FALSE),MATCH(All!G$1,Fall!$1:$1,FALSE))),"")</f>
        <v>1A</v>
      </c>
      <c r="H311" t="str">
        <f>IFERROR(IF(INDEX(Fall!$1:$1048576,MATCH(All!$A311,Fall!$A:$A,FALSE),MATCH(All!H$1,Fall!$1:$1,FALSE))="","",INDEX(Fall!$1:$1048576,MATCH(All!$A311,Fall!$A:$A,FALSE),MATCH(All!H$1,Fall!$1:$1,FALSE))),"")</f>
        <v>1A</v>
      </c>
      <c r="I311" t="str">
        <f>IFERROR(IF(INDEX(Fall!$1:$1048576,MATCH(All!$A311,Fall!$A:$A,FALSE),MATCH(All!I$1,Fall!$1:$1,FALSE))="","",INDEX(Fall!$1:$1048576,MATCH(All!$A311,Fall!$A:$A,FALSE),MATCH(All!I$1,Fall!$1:$1,FALSE))),"")</f>
        <v>1A</v>
      </c>
      <c r="J311" t="str">
        <f>IFERROR(IF(INDEX(Fall!$1:$1048576,MATCH(All!$A311,Fall!$A:$A,FALSE),MATCH(All!J$1,Fall!$1:$1,FALSE))="","",INDEX(Fall!$1:$1048576,MATCH(All!$A311,Fall!$A:$A,FALSE),MATCH(All!J$1,Fall!$1:$1,FALSE))),"")</f>
        <v>1A</v>
      </c>
      <c r="K311" t="str">
        <f>IFERROR(IF(INDEX(Fall!$1:$1048576,MATCH(All!$A311,Fall!$A:$A,FALSE),MATCH(All!K$1,Fall!$1:$1,FALSE))="","",INDEX(Fall!$1:$1048576,MATCH(All!$A311,Fall!$A:$A,FALSE),MATCH(All!K$1,Fall!$1:$1,FALSE))),"")</f>
        <v/>
      </c>
      <c r="L311" t="str">
        <f>IFERROR(IF(INDEX(Fall!$1:$1048576,MATCH(All!$A311,Fall!$A:$A,FALSE),MATCH(All!L$1,Fall!$1:$1,FALSE))="","",INDEX(Fall!$1:$1048576,MATCH(All!$A311,Fall!$A:$A,FALSE),MATCH(All!L$1,Fall!$1:$1,FALSE))),"")</f>
        <v/>
      </c>
      <c r="M311" t="str">
        <f>IFERROR(IF(INDEX(Fall!$1:$1048576,MATCH(All!$A311,Fall!$A:$A,FALSE),MATCH(All!M$1,Fall!$1:$1,FALSE))="","",INDEX(Fall!$1:$1048576,MATCH(All!$A311,Fall!$A:$A,FALSE),MATCH(All!M$1,Fall!$1:$1,FALSE))),"")</f>
        <v>2A</v>
      </c>
      <c r="O311">
        <f>IFERROR(IF(INDEX(Winter!$1:$1048576,MATCH(All!$A311,Winter!$A:$A,FALSE),MATCH(All!O$1,Winter!$1:$1,FALSE))="","",INDEX(Winter!$1:$1048576,MATCH(All!$A311,Winter!$A:$A,FALSE),MATCH(All!O$1,Winter!$1:$1,FALSE))),"")</f>
        <v>384</v>
      </c>
      <c r="P311" t="str">
        <f>IFERROR(IF(INDEX(Winter!$1:$1048576,MATCH(All!$A311,Winter!$A:$A,FALSE),MATCH(All!P$1,Winter!$1:$1,FALSE))="","",INDEX(Winter!$1:$1048576,MATCH(All!$A311,Winter!$A:$A,FALSE),MATCH(All!P$1,Winter!$1:$1,FALSE))),"")</f>
        <v>2A</v>
      </c>
      <c r="Q311" t="str">
        <f>IFERROR(IF(INDEX(Winter!$1:$1048576,MATCH(All!$A311,Winter!$A:$A,FALSE),MATCH(All!Q$1,Winter!$1:$1,FALSE))="","",INDEX(Winter!$1:$1048576,MATCH(All!$A311,Winter!$A:$A,FALSE),MATCH(All!Q$1,Winter!$1:$1,FALSE))),"")</f>
        <v>2A</v>
      </c>
      <c r="R311" t="str">
        <f>IFERROR(IF(INDEX(Winter!$1:$1048576,MATCH(All!$A311,Winter!$A:$A,FALSE),MATCH(All!R$1,Winter!$1:$1,FALSE))="","",INDEX(Winter!$1:$1048576,MATCH(All!$A311,Winter!$A:$A,FALSE),MATCH(All!R$1,Winter!$1:$1,FALSE))),"")</f>
        <v>1A</v>
      </c>
      <c r="S311" t="str">
        <f>IFERROR(IF(INDEX(Winter!$1:$1048576,MATCH(All!$A311,Winter!$A:$A,FALSE),MATCH(All!S$1,Winter!$1:$1,FALSE))="","",INDEX(Winter!$1:$1048576,MATCH(All!$A311,Winter!$A:$A,FALSE),MATCH(All!S$1,Winter!$1:$1,FALSE))),"")</f>
        <v>1A</v>
      </c>
      <c r="T311" t="str">
        <f>IFERROR(IF(INDEX(Winter!$1:$1048576,MATCH(All!$A311,Winter!$A:$A,FALSE),MATCH(All!T$1,Winter!$1:$1,FALSE))="","",INDEX(Winter!$1:$1048576,MATCH(All!$A311,Winter!$A:$A,FALSE),MATCH(All!T$1,Winter!$1:$1,FALSE))),"")</f>
        <v>1A</v>
      </c>
      <c r="U311" t="str">
        <f>IFERROR(IF(INDEX(Winter!$1:$1048576,MATCH(All!$A311,Winter!$A:$A,FALSE),MATCH(All!U$1,Winter!$1:$1,FALSE))="","",INDEX(Winter!$1:$1048576,MATCH(All!$A311,Winter!$A:$A,FALSE),MATCH(All!U$1,Winter!$1:$1,FALSE))),"")</f>
        <v/>
      </c>
      <c r="W311">
        <f>IFERROR(IF(INDEX(Spring!$1:$1048576,MATCH(All!$A311,Spring!$A:$A,FALSE),MATCH(All!W$1,Spring!$1:$1,FALSE))="","",INDEX(Spring!$1:$1048576,MATCH(All!$A311,Spring!$A:$A,FALSE),MATCH(All!W$1,Spring!$1:$1,FALSE))),"")</f>
        <v>384</v>
      </c>
      <c r="X311" t="str">
        <f>IFERROR(IF(INDEX(Spring!$1:$1048576,MATCH(All!$A311,Spring!$A:$A,FALSE),MATCH(All!X$1,Spring!$1:$1,FALSE))="","",INDEX(Spring!$1:$1048576,MATCH(All!$A311,Spring!$A:$A,FALSE),MATCH(All!X$1,Spring!$1:$1,FALSE))),"")</f>
        <v>2A</v>
      </c>
      <c r="Y311" t="str">
        <f>IFERROR(IF(INDEX(Spring!$1:$1048576,MATCH(All!$A311,Spring!$A:$A,FALSE),MATCH(All!Y$1,Spring!$1:$1,FALSE))="","",INDEX(Spring!$1:$1048576,MATCH(All!$A311,Spring!$A:$A,FALSE),MATCH(All!Y$1,Spring!$1:$1,FALSE))),"")</f>
        <v>2A</v>
      </c>
      <c r="Z311" t="str">
        <f>IFERROR(IF(INDEX(Spring!$1:$1048576,MATCH(All!$A311,Spring!$A:$A,FALSE),MATCH(All!Z$1,Spring!$1:$1,FALSE))="","",INDEX(Spring!$1:$1048576,MATCH(All!$A311,Spring!$A:$A,FALSE),MATCH(All!Z$1,Spring!$1:$1,FALSE))),"")</f>
        <v>1A</v>
      </c>
      <c r="AA311" t="str">
        <f>IFERROR(IF(INDEX(Spring!$1:$1048576,MATCH(All!$A311,Spring!$A:$A,FALSE),MATCH(All!AA$1,Spring!$1:$1,FALSE))="","",INDEX(Spring!$1:$1048576,MATCH(All!$A311,Spring!$A:$A,FALSE),MATCH(All!AA$1,Spring!$1:$1,FALSE))),"")</f>
        <v/>
      </c>
      <c r="AB311" t="str">
        <f>IFERROR(IF(INDEX(Spring!$1:$1048576,MATCH(All!$A311,Spring!$A:$A,FALSE),MATCH(All!AB$1,Spring!$1:$1,FALSE))="","",INDEX(Spring!$1:$1048576,MATCH(All!$A311,Spring!$A:$A,FALSE),MATCH(All!AB$1,Spring!$1:$1,FALSE))),"")</f>
        <v>1A</v>
      </c>
      <c r="AC311" t="str">
        <f>IFERROR(IF(INDEX(Spring!$1:$1048576,MATCH(All!$A311,Spring!$A:$A,FALSE),MATCH(All!AC$1,Spring!$1:$1,FALSE))="","",INDEX(Spring!$1:$1048576,MATCH(All!$A311,Spring!$A:$A,FALSE),MATCH(All!AC$1,Spring!$1:$1,FALSE))),"")</f>
        <v>1A</v>
      </c>
      <c r="AD311" t="str">
        <f>IFERROR(VLOOKUP(A311,'Flag Football'!A:A,1,FALSE),"")</f>
        <v/>
      </c>
      <c r="AE311" t="str">
        <f t="shared" si="4"/>
        <v/>
      </c>
    </row>
    <row r="312" spans="1:31" ht="15.75" thickBot="1" x14ac:dyDescent="0.3">
      <c r="A312" s="20" t="s">
        <v>392</v>
      </c>
      <c r="B312" s="38">
        <f>IFERROR(VLOOKUP(A312,'Public v Private'!A:G,3,FALSE),"")</f>
        <v>0</v>
      </c>
      <c r="C312" s="38">
        <f>IFERROR(VLOOKUP(A312,'Public v Private'!A:G,4,FALSE),"")</f>
        <v>0</v>
      </c>
      <c r="D312" s="38">
        <f>IFERROR(VLOOKUP(A312,'Public v Private'!A:G,5,FALSE),"")</f>
        <v>0</v>
      </c>
      <c r="E312" s="38"/>
      <c r="F312" s="40">
        <f>IFERROR(INDEX(Fall!$1:$1048576,MATCH(All!$A312,Fall!$A:$A,FALSE),MATCH(All!F$1,Fall!$1:$1,FALSE)),"N/A")</f>
        <v>160</v>
      </c>
      <c r="G312" t="str">
        <f>IFERROR(IF(INDEX(Fall!$1:$1048576,MATCH(All!$A312,Fall!$A:$A,FALSE),MATCH(All!G$1,Fall!$1:$1,FALSE))="","",INDEX(Fall!$1:$1048576,MATCH(All!$A312,Fall!$A:$A,FALSE),MATCH(All!G$1,Fall!$1:$1,FALSE))),"")</f>
        <v>1A</v>
      </c>
      <c r="H312" t="str">
        <f>IFERROR(IF(INDEX(Fall!$1:$1048576,MATCH(All!$A312,Fall!$A:$A,FALSE),MATCH(All!H$1,Fall!$1:$1,FALSE))="","",INDEX(Fall!$1:$1048576,MATCH(All!$A312,Fall!$A:$A,FALSE),MATCH(All!H$1,Fall!$1:$1,FALSE))),"")</f>
        <v>1A</v>
      </c>
      <c r="I312" t="str">
        <f>IFERROR(IF(INDEX(Fall!$1:$1048576,MATCH(All!$A312,Fall!$A:$A,FALSE),MATCH(All!I$1,Fall!$1:$1,FALSE))="","",INDEX(Fall!$1:$1048576,MATCH(All!$A312,Fall!$A:$A,FALSE),MATCH(All!I$1,Fall!$1:$1,FALSE))),"")</f>
        <v/>
      </c>
      <c r="J312" t="str">
        <f>IFERROR(IF(INDEX(Fall!$1:$1048576,MATCH(All!$A312,Fall!$A:$A,FALSE),MATCH(All!J$1,Fall!$1:$1,FALSE))="","",INDEX(Fall!$1:$1048576,MATCH(All!$A312,Fall!$A:$A,FALSE),MATCH(All!J$1,Fall!$1:$1,FALSE))),"")</f>
        <v/>
      </c>
      <c r="K312" t="str">
        <f>IFERROR(IF(INDEX(Fall!$1:$1048576,MATCH(All!$A312,Fall!$A:$A,FALSE),MATCH(All!K$1,Fall!$1:$1,FALSE))="","",INDEX(Fall!$1:$1048576,MATCH(All!$A312,Fall!$A:$A,FALSE),MATCH(All!K$1,Fall!$1:$1,FALSE))),"")</f>
        <v/>
      </c>
      <c r="L312" t="str">
        <f>IFERROR(IF(INDEX(Fall!$1:$1048576,MATCH(All!$A312,Fall!$A:$A,FALSE),MATCH(All!L$1,Fall!$1:$1,FALSE))="","",INDEX(Fall!$1:$1048576,MATCH(All!$A312,Fall!$A:$A,FALSE),MATCH(All!L$1,Fall!$1:$1,FALSE))),"")</f>
        <v/>
      </c>
      <c r="M312" t="str">
        <f>IFERROR(IF(INDEX(Fall!$1:$1048576,MATCH(All!$A312,Fall!$A:$A,FALSE),MATCH(All!M$1,Fall!$1:$1,FALSE))="","",INDEX(Fall!$1:$1048576,MATCH(All!$A312,Fall!$A:$A,FALSE),MATCH(All!M$1,Fall!$1:$1,FALSE))),"")</f>
        <v>1A</v>
      </c>
      <c r="O312">
        <f>IFERROR(IF(INDEX(Winter!$1:$1048576,MATCH(All!$A312,Winter!$A:$A,FALSE),MATCH(All!O$1,Winter!$1:$1,FALSE))="","",INDEX(Winter!$1:$1048576,MATCH(All!$A312,Winter!$A:$A,FALSE),MATCH(All!O$1,Winter!$1:$1,FALSE))),"")</f>
        <v>160</v>
      </c>
      <c r="P312" t="str">
        <f>IFERROR(IF(INDEX(Winter!$1:$1048576,MATCH(All!$A312,Winter!$A:$A,FALSE),MATCH(All!P$1,Winter!$1:$1,FALSE))="","",INDEX(Winter!$1:$1048576,MATCH(All!$A312,Winter!$A:$A,FALSE),MATCH(All!P$1,Winter!$1:$1,FALSE))),"")</f>
        <v>1A</v>
      </c>
      <c r="Q312" t="str">
        <f>IFERROR(IF(INDEX(Winter!$1:$1048576,MATCH(All!$A312,Winter!$A:$A,FALSE),MATCH(All!Q$1,Winter!$1:$1,FALSE))="","",INDEX(Winter!$1:$1048576,MATCH(All!$A312,Winter!$A:$A,FALSE),MATCH(All!Q$1,Winter!$1:$1,FALSE))),"")</f>
        <v>1A</v>
      </c>
      <c r="R312" t="str">
        <f>IFERROR(IF(INDEX(Winter!$1:$1048576,MATCH(All!$A312,Winter!$A:$A,FALSE),MATCH(All!R$1,Winter!$1:$1,FALSE))="","",INDEX(Winter!$1:$1048576,MATCH(All!$A312,Winter!$A:$A,FALSE),MATCH(All!R$1,Winter!$1:$1,FALSE))),"")</f>
        <v/>
      </c>
      <c r="S312" t="str">
        <f>IFERROR(IF(INDEX(Winter!$1:$1048576,MATCH(All!$A312,Winter!$A:$A,FALSE),MATCH(All!S$1,Winter!$1:$1,FALSE))="","",INDEX(Winter!$1:$1048576,MATCH(All!$A312,Winter!$A:$A,FALSE),MATCH(All!S$1,Winter!$1:$1,FALSE))),"")</f>
        <v/>
      </c>
      <c r="T312" t="str">
        <f>IFERROR(IF(INDEX(Winter!$1:$1048576,MATCH(All!$A312,Winter!$A:$A,FALSE),MATCH(All!T$1,Winter!$1:$1,FALSE))="","",INDEX(Winter!$1:$1048576,MATCH(All!$A312,Winter!$A:$A,FALSE),MATCH(All!T$1,Winter!$1:$1,FALSE))),"")</f>
        <v/>
      </c>
      <c r="U312" t="str">
        <f>IFERROR(IF(INDEX(Winter!$1:$1048576,MATCH(All!$A312,Winter!$A:$A,FALSE),MATCH(All!U$1,Winter!$1:$1,FALSE))="","",INDEX(Winter!$1:$1048576,MATCH(All!$A312,Winter!$A:$A,FALSE),MATCH(All!U$1,Winter!$1:$1,FALSE))),"")</f>
        <v>1A</v>
      </c>
      <c r="W312">
        <f>IFERROR(IF(INDEX(Spring!$1:$1048576,MATCH(All!$A312,Spring!$A:$A,FALSE),MATCH(All!W$1,Spring!$1:$1,FALSE))="","",INDEX(Spring!$1:$1048576,MATCH(All!$A312,Spring!$A:$A,FALSE),MATCH(All!W$1,Spring!$1:$1,FALSE))),"")</f>
        <v>160</v>
      </c>
      <c r="X312" t="str">
        <f>IFERROR(IF(INDEX(Spring!$1:$1048576,MATCH(All!$A312,Spring!$A:$A,FALSE),MATCH(All!X$1,Spring!$1:$1,FALSE))="","",INDEX(Spring!$1:$1048576,MATCH(All!$A312,Spring!$A:$A,FALSE),MATCH(All!X$1,Spring!$1:$1,FALSE))),"")</f>
        <v/>
      </c>
      <c r="Y312" t="str">
        <f>IFERROR(IF(INDEX(Spring!$1:$1048576,MATCH(All!$A312,Spring!$A:$A,FALSE),MATCH(All!Y$1,Spring!$1:$1,FALSE))="","",INDEX(Spring!$1:$1048576,MATCH(All!$A312,Spring!$A:$A,FALSE),MATCH(All!Y$1,Spring!$1:$1,FALSE))),"")</f>
        <v>1A</v>
      </c>
      <c r="Z312" t="str">
        <f>IFERROR(IF(INDEX(Spring!$1:$1048576,MATCH(All!$A312,Spring!$A:$A,FALSE),MATCH(All!Z$1,Spring!$1:$1,FALSE))="","",INDEX(Spring!$1:$1048576,MATCH(All!$A312,Spring!$A:$A,FALSE),MATCH(All!Z$1,Spring!$1:$1,FALSE))),"")</f>
        <v/>
      </c>
      <c r="AA312" t="str">
        <f>IFERROR(IF(INDEX(Spring!$1:$1048576,MATCH(All!$A312,Spring!$A:$A,FALSE),MATCH(All!AA$1,Spring!$1:$1,FALSE))="","",INDEX(Spring!$1:$1048576,MATCH(All!$A312,Spring!$A:$A,FALSE),MATCH(All!AA$1,Spring!$1:$1,FALSE))),"")</f>
        <v/>
      </c>
      <c r="AB312" t="str">
        <f>IFERROR(IF(INDEX(Spring!$1:$1048576,MATCH(All!$A312,Spring!$A:$A,FALSE),MATCH(All!AB$1,Spring!$1:$1,FALSE))="","",INDEX(Spring!$1:$1048576,MATCH(All!$A312,Spring!$A:$A,FALSE),MATCH(All!AB$1,Spring!$1:$1,FALSE))),"")</f>
        <v/>
      </c>
      <c r="AC312" t="str">
        <f>IFERROR(IF(INDEX(Spring!$1:$1048576,MATCH(All!$A312,Spring!$A:$A,FALSE),MATCH(All!AC$1,Spring!$1:$1,FALSE))="","",INDEX(Spring!$1:$1048576,MATCH(All!$A312,Spring!$A:$A,FALSE),MATCH(All!AC$1,Spring!$1:$1,FALSE))),"")</f>
        <v/>
      </c>
      <c r="AD312" t="str">
        <f>IFERROR(VLOOKUP(A312,'Flag Football'!A:A,1,FALSE),"")</f>
        <v/>
      </c>
      <c r="AE312" t="str">
        <f t="shared" si="4"/>
        <v/>
      </c>
    </row>
    <row r="313" spans="1:31" ht="15.75" thickBot="1" x14ac:dyDescent="0.3">
      <c r="A313" s="18" t="s">
        <v>393</v>
      </c>
      <c r="B313" s="38">
        <f>IFERROR(VLOOKUP(A313,'Public v Private'!A:G,3,FALSE),"")</f>
        <v>0</v>
      </c>
      <c r="C313" s="38">
        <f>IFERROR(VLOOKUP(A313,'Public v Private'!A:G,4,FALSE),"")</f>
        <v>0</v>
      </c>
      <c r="D313" s="38">
        <f>IFERROR(VLOOKUP(A313,'Public v Private'!A:G,5,FALSE),"")</f>
        <v>0</v>
      </c>
      <c r="E313" s="38"/>
      <c r="F313" s="40">
        <f>IFERROR(INDEX(Fall!$1:$1048576,MATCH(All!$A313,Fall!$A:$A,FALSE),MATCH(All!F$1,Fall!$1:$1,FALSE)),"N/A")</f>
        <v>210</v>
      </c>
      <c r="G313" t="str">
        <f>IFERROR(IF(INDEX(Fall!$1:$1048576,MATCH(All!$A313,Fall!$A:$A,FALSE),MATCH(All!G$1,Fall!$1:$1,FALSE))="","",INDEX(Fall!$1:$1048576,MATCH(All!$A313,Fall!$A:$A,FALSE),MATCH(All!G$1,Fall!$1:$1,FALSE))),"")</f>
        <v>1A</v>
      </c>
      <c r="H313" t="str">
        <f>IFERROR(IF(INDEX(Fall!$1:$1048576,MATCH(All!$A313,Fall!$A:$A,FALSE),MATCH(All!H$1,Fall!$1:$1,FALSE))="","",INDEX(Fall!$1:$1048576,MATCH(All!$A313,Fall!$A:$A,FALSE),MATCH(All!H$1,Fall!$1:$1,FALSE))),"")</f>
        <v>1A</v>
      </c>
      <c r="I313" t="str">
        <f>IFERROR(IF(INDEX(Fall!$1:$1048576,MATCH(All!$A313,Fall!$A:$A,FALSE),MATCH(All!I$1,Fall!$1:$1,FALSE))="","",INDEX(Fall!$1:$1048576,MATCH(All!$A313,Fall!$A:$A,FALSE),MATCH(All!I$1,Fall!$1:$1,FALSE))),"")</f>
        <v>1A</v>
      </c>
      <c r="J313" t="str">
        <f>IFERROR(IF(INDEX(Fall!$1:$1048576,MATCH(All!$A313,Fall!$A:$A,FALSE),MATCH(All!J$1,Fall!$1:$1,FALSE))="","",INDEX(Fall!$1:$1048576,MATCH(All!$A313,Fall!$A:$A,FALSE),MATCH(All!J$1,Fall!$1:$1,FALSE))),"")</f>
        <v>1A</v>
      </c>
      <c r="K313" t="str">
        <f>IFERROR(IF(INDEX(Fall!$1:$1048576,MATCH(All!$A313,Fall!$A:$A,FALSE),MATCH(All!K$1,Fall!$1:$1,FALSE))="","",INDEX(Fall!$1:$1048576,MATCH(All!$A313,Fall!$A:$A,FALSE),MATCH(All!K$1,Fall!$1:$1,FALSE))),"")</f>
        <v/>
      </c>
      <c r="L313" t="str">
        <f>IFERROR(IF(INDEX(Fall!$1:$1048576,MATCH(All!$A313,Fall!$A:$A,FALSE),MATCH(All!L$1,Fall!$1:$1,FALSE))="","",INDEX(Fall!$1:$1048576,MATCH(All!$A313,Fall!$A:$A,FALSE),MATCH(All!L$1,Fall!$1:$1,FALSE))),"")</f>
        <v/>
      </c>
      <c r="M313" t="str">
        <f>IFERROR(IF(INDEX(Fall!$1:$1048576,MATCH(All!$A313,Fall!$A:$A,FALSE),MATCH(All!M$1,Fall!$1:$1,FALSE))="","",INDEX(Fall!$1:$1048576,MATCH(All!$A313,Fall!$A:$A,FALSE),MATCH(All!M$1,Fall!$1:$1,FALSE))),"")</f>
        <v>1A</v>
      </c>
      <c r="O313">
        <f>IFERROR(IF(INDEX(Winter!$1:$1048576,MATCH(All!$A313,Winter!$A:$A,FALSE),MATCH(All!O$1,Winter!$1:$1,FALSE))="","",INDEX(Winter!$1:$1048576,MATCH(All!$A313,Winter!$A:$A,FALSE),MATCH(All!O$1,Winter!$1:$1,FALSE))),"")</f>
        <v>210</v>
      </c>
      <c r="P313" t="str">
        <f>IFERROR(IF(INDEX(Winter!$1:$1048576,MATCH(All!$A313,Winter!$A:$A,FALSE),MATCH(All!P$1,Winter!$1:$1,FALSE))="","",INDEX(Winter!$1:$1048576,MATCH(All!$A313,Winter!$A:$A,FALSE),MATCH(All!P$1,Winter!$1:$1,FALSE))),"")</f>
        <v>1A</v>
      </c>
      <c r="Q313" t="str">
        <f>IFERROR(IF(INDEX(Winter!$1:$1048576,MATCH(All!$A313,Winter!$A:$A,FALSE),MATCH(All!Q$1,Winter!$1:$1,FALSE))="","",INDEX(Winter!$1:$1048576,MATCH(All!$A313,Winter!$A:$A,FALSE),MATCH(All!Q$1,Winter!$1:$1,FALSE))),"")</f>
        <v>1A</v>
      </c>
      <c r="R313" t="str">
        <f>IFERROR(IF(INDEX(Winter!$1:$1048576,MATCH(All!$A313,Winter!$A:$A,FALSE),MATCH(All!R$1,Winter!$1:$1,FALSE))="","",INDEX(Winter!$1:$1048576,MATCH(All!$A313,Winter!$A:$A,FALSE),MATCH(All!R$1,Winter!$1:$1,FALSE))),"")</f>
        <v/>
      </c>
      <c r="S313" t="str">
        <f>IFERROR(IF(INDEX(Winter!$1:$1048576,MATCH(All!$A313,Winter!$A:$A,FALSE),MATCH(All!S$1,Winter!$1:$1,FALSE))="","",INDEX(Winter!$1:$1048576,MATCH(All!$A313,Winter!$A:$A,FALSE),MATCH(All!S$1,Winter!$1:$1,FALSE))),"")</f>
        <v/>
      </c>
      <c r="T313" t="str">
        <f>IFERROR(IF(INDEX(Winter!$1:$1048576,MATCH(All!$A313,Winter!$A:$A,FALSE),MATCH(All!T$1,Winter!$1:$1,FALSE))="","",INDEX(Winter!$1:$1048576,MATCH(All!$A313,Winter!$A:$A,FALSE),MATCH(All!T$1,Winter!$1:$1,FALSE))),"")</f>
        <v>1A</v>
      </c>
      <c r="U313" t="str">
        <f>IFERROR(IF(INDEX(Winter!$1:$1048576,MATCH(All!$A313,Winter!$A:$A,FALSE),MATCH(All!U$1,Winter!$1:$1,FALSE))="","",INDEX(Winter!$1:$1048576,MATCH(All!$A313,Winter!$A:$A,FALSE),MATCH(All!U$1,Winter!$1:$1,FALSE))),"")</f>
        <v>1A</v>
      </c>
      <c r="W313">
        <f>IFERROR(IF(INDEX(Spring!$1:$1048576,MATCH(All!$A313,Spring!$A:$A,FALSE),MATCH(All!W$1,Spring!$1:$1,FALSE))="","",INDEX(Spring!$1:$1048576,MATCH(All!$A313,Spring!$A:$A,FALSE),MATCH(All!W$1,Spring!$1:$1,FALSE))),"")</f>
        <v>210</v>
      </c>
      <c r="X313" t="str">
        <f>IFERROR(IF(INDEX(Spring!$1:$1048576,MATCH(All!$A313,Spring!$A:$A,FALSE),MATCH(All!X$1,Spring!$1:$1,FALSE))="","",INDEX(Spring!$1:$1048576,MATCH(All!$A313,Spring!$A:$A,FALSE),MATCH(All!X$1,Spring!$1:$1,FALSE))),"")</f>
        <v>1A</v>
      </c>
      <c r="Y313" t="str">
        <f>IFERROR(IF(INDEX(Spring!$1:$1048576,MATCH(All!$A313,Spring!$A:$A,FALSE),MATCH(All!Y$1,Spring!$1:$1,FALSE))="","",INDEX(Spring!$1:$1048576,MATCH(All!$A313,Spring!$A:$A,FALSE),MATCH(All!Y$1,Spring!$1:$1,FALSE))),"")</f>
        <v>1A</v>
      </c>
      <c r="Z313" t="str">
        <f>IFERROR(IF(INDEX(Spring!$1:$1048576,MATCH(All!$A313,Spring!$A:$A,FALSE),MATCH(All!Z$1,Spring!$1:$1,FALSE))="","",INDEX(Spring!$1:$1048576,MATCH(All!$A313,Spring!$A:$A,FALSE),MATCH(All!Z$1,Spring!$1:$1,FALSE))),"")</f>
        <v/>
      </c>
      <c r="AA313" t="str">
        <f>IFERROR(IF(INDEX(Spring!$1:$1048576,MATCH(All!$A313,Spring!$A:$A,FALSE),MATCH(All!AA$1,Spring!$1:$1,FALSE))="","",INDEX(Spring!$1:$1048576,MATCH(All!$A313,Spring!$A:$A,FALSE),MATCH(All!AA$1,Spring!$1:$1,FALSE))),"")</f>
        <v/>
      </c>
      <c r="AB313" t="str">
        <f>IFERROR(IF(INDEX(Spring!$1:$1048576,MATCH(All!$A313,Spring!$A:$A,FALSE),MATCH(All!AB$1,Spring!$1:$1,FALSE))="","",INDEX(Spring!$1:$1048576,MATCH(All!$A313,Spring!$A:$A,FALSE),MATCH(All!AB$1,Spring!$1:$1,FALSE))),"")</f>
        <v>1A</v>
      </c>
      <c r="AC313" t="str">
        <f>IFERROR(IF(INDEX(Spring!$1:$1048576,MATCH(All!$A313,Spring!$A:$A,FALSE),MATCH(All!AC$1,Spring!$1:$1,FALSE))="","",INDEX(Spring!$1:$1048576,MATCH(All!$A313,Spring!$A:$A,FALSE),MATCH(All!AC$1,Spring!$1:$1,FALSE))),"")</f>
        <v>1A</v>
      </c>
      <c r="AD313" t="str">
        <f>IFERROR(VLOOKUP(A313,'Flag Football'!A:A,1,FALSE),"")</f>
        <v/>
      </c>
      <c r="AE313" t="str">
        <f t="shared" si="4"/>
        <v/>
      </c>
    </row>
    <row r="314" spans="1:31" ht="15.75" thickBot="1" x14ac:dyDescent="0.3">
      <c r="A314" s="20" t="s">
        <v>394</v>
      </c>
      <c r="B314" s="38">
        <f>IFERROR(VLOOKUP(A314,'Public v Private'!A:G,3,FALSE),"")</f>
        <v>0</v>
      </c>
      <c r="C314" s="38">
        <f>IFERROR(VLOOKUP(A314,'Public v Private'!A:G,4,FALSE),"")</f>
        <v>0</v>
      </c>
      <c r="D314" s="38">
        <f>IFERROR(VLOOKUP(A314,'Public v Private'!A:G,5,FALSE),"")</f>
        <v>0</v>
      </c>
      <c r="E314" s="38"/>
      <c r="F314" s="40">
        <f>IFERROR(INDEX(Fall!$1:$1048576,MATCH(All!$A314,Fall!$A:$A,FALSE),MATCH(All!F$1,Fall!$1:$1,FALSE)),"N/A")</f>
        <v>98</v>
      </c>
      <c r="G314" t="str">
        <f>IFERROR(IF(INDEX(Fall!$1:$1048576,MATCH(All!$A314,Fall!$A:$A,FALSE),MATCH(All!G$1,Fall!$1:$1,FALSE))="","",INDEX(Fall!$1:$1048576,MATCH(All!$A314,Fall!$A:$A,FALSE),MATCH(All!G$1,Fall!$1:$1,FALSE))),"")</f>
        <v/>
      </c>
      <c r="H314" t="str">
        <f>IFERROR(IF(INDEX(Fall!$1:$1048576,MATCH(All!$A314,Fall!$A:$A,FALSE),MATCH(All!H$1,Fall!$1:$1,FALSE))="","",INDEX(Fall!$1:$1048576,MATCH(All!$A314,Fall!$A:$A,FALSE),MATCH(All!H$1,Fall!$1:$1,FALSE))),"")</f>
        <v/>
      </c>
      <c r="I314" t="str">
        <f>IFERROR(IF(INDEX(Fall!$1:$1048576,MATCH(All!$A314,Fall!$A:$A,FALSE),MATCH(All!I$1,Fall!$1:$1,FALSE))="","",INDEX(Fall!$1:$1048576,MATCH(All!$A314,Fall!$A:$A,FALSE),MATCH(All!I$1,Fall!$1:$1,FALSE))),"")</f>
        <v>1A</v>
      </c>
      <c r="J314" t="str">
        <f>IFERROR(IF(INDEX(Fall!$1:$1048576,MATCH(All!$A314,Fall!$A:$A,FALSE),MATCH(All!J$1,Fall!$1:$1,FALSE))="","",INDEX(Fall!$1:$1048576,MATCH(All!$A314,Fall!$A:$A,FALSE),MATCH(All!J$1,Fall!$1:$1,FALSE))),"")</f>
        <v/>
      </c>
      <c r="K314" t="str">
        <f>IFERROR(IF(INDEX(Fall!$1:$1048576,MATCH(All!$A314,Fall!$A:$A,FALSE),MATCH(All!K$1,Fall!$1:$1,FALSE))="","",INDEX(Fall!$1:$1048576,MATCH(All!$A314,Fall!$A:$A,FALSE),MATCH(All!K$1,Fall!$1:$1,FALSE))),"")</f>
        <v>1A</v>
      </c>
      <c r="L314" t="str">
        <f>IFERROR(IF(INDEX(Fall!$1:$1048576,MATCH(All!$A314,Fall!$A:$A,FALSE),MATCH(All!L$1,Fall!$1:$1,FALSE))="","",INDEX(Fall!$1:$1048576,MATCH(All!$A314,Fall!$A:$A,FALSE),MATCH(All!L$1,Fall!$1:$1,FALSE))),"")</f>
        <v/>
      </c>
      <c r="M314" t="str">
        <f>IFERROR(IF(INDEX(Fall!$1:$1048576,MATCH(All!$A314,Fall!$A:$A,FALSE),MATCH(All!M$1,Fall!$1:$1,FALSE))="","",INDEX(Fall!$1:$1048576,MATCH(All!$A314,Fall!$A:$A,FALSE),MATCH(All!M$1,Fall!$1:$1,FALSE))),"")</f>
        <v>1A</v>
      </c>
      <c r="O314">
        <f>IFERROR(IF(INDEX(Winter!$1:$1048576,MATCH(All!$A314,Winter!$A:$A,FALSE),MATCH(All!O$1,Winter!$1:$1,FALSE))="","",INDEX(Winter!$1:$1048576,MATCH(All!$A314,Winter!$A:$A,FALSE),MATCH(All!O$1,Winter!$1:$1,FALSE))),"")</f>
        <v>98</v>
      </c>
      <c r="P314" t="str">
        <f>IFERROR(IF(INDEX(Winter!$1:$1048576,MATCH(All!$A314,Winter!$A:$A,FALSE),MATCH(All!P$1,Winter!$1:$1,FALSE))="","",INDEX(Winter!$1:$1048576,MATCH(All!$A314,Winter!$A:$A,FALSE),MATCH(All!P$1,Winter!$1:$1,FALSE))),"")</f>
        <v>1A</v>
      </c>
      <c r="Q314" t="str">
        <f>IFERROR(IF(INDEX(Winter!$1:$1048576,MATCH(All!$A314,Winter!$A:$A,FALSE),MATCH(All!Q$1,Winter!$1:$1,FALSE))="","",INDEX(Winter!$1:$1048576,MATCH(All!$A314,Winter!$A:$A,FALSE),MATCH(All!Q$1,Winter!$1:$1,FALSE))),"")</f>
        <v>1A</v>
      </c>
      <c r="R314" t="str">
        <f>IFERROR(IF(INDEX(Winter!$1:$1048576,MATCH(All!$A314,Winter!$A:$A,FALSE),MATCH(All!R$1,Winter!$1:$1,FALSE))="","",INDEX(Winter!$1:$1048576,MATCH(All!$A314,Winter!$A:$A,FALSE),MATCH(All!R$1,Winter!$1:$1,FALSE))),"")</f>
        <v/>
      </c>
      <c r="S314" t="str">
        <f>IFERROR(IF(INDEX(Winter!$1:$1048576,MATCH(All!$A314,Winter!$A:$A,FALSE),MATCH(All!S$1,Winter!$1:$1,FALSE))="","",INDEX(Winter!$1:$1048576,MATCH(All!$A314,Winter!$A:$A,FALSE),MATCH(All!S$1,Winter!$1:$1,FALSE))),"")</f>
        <v/>
      </c>
      <c r="T314" t="str">
        <f>IFERROR(IF(INDEX(Winter!$1:$1048576,MATCH(All!$A314,Winter!$A:$A,FALSE),MATCH(All!T$1,Winter!$1:$1,FALSE))="","",INDEX(Winter!$1:$1048576,MATCH(All!$A314,Winter!$A:$A,FALSE),MATCH(All!T$1,Winter!$1:$1,FALSE))),"")</f>
        <v/>
      </c>
      <c r="U314" t="str">
        <f>IFERROR(IF(INDEX(Winter!$1:$1048576,MATCH(All!$A314,Winter!$A:$A,FALSE),MATCH(All!U$1,Winter!$1:$1,FALSE))="","",INDEX(Winter!$1:$1048576,MATCH(All!$A314,Winter!$A:$A,FALSE),MATCH(All!U$1,Winter!$1:$1,FALSE))),"")</f>
        <v/>
      </c>
      <c r="W314">
        <f>IFERROR(IF(INDEX(Spring!$1:$1048576,MATCH(All!$A314,Spring!$A:$A,FALSE),MATCH(All!W$1,Spring!$1:$1,FALSE))="","",INDEX(Spring!$1:$1048576,MATCH(All!$A314,Spring!$A:$A,FALSE),MATCH(All!W$1,Spring!$1:$1,FALSE))),"")</f>
        <v>98</v>
      </c>
      <c r="X314" t="str">
        <f>IFERROR(IF(INDEX(Spring!$1:$1048576,MATCH(All!$A314,Spring!$A:$A,FALSE),MATCH(All!X$1,Spring!$1:$1,FALSE))="","",INDEX(Spring!$1:$1048576,MATCH(All!$A314,Spring!$A:$A,FALSE),MATCH(All!X$1,Spring!$1:$1,FALSE))),"")</f>
        <v>1A</v>
      </c>
      <c r="Y314" t="str">
        <f>IFERROR(IF(INDEX(Spring!$1:$1048576,MATCH(All!$A314,Spring!$A:$A,FALSE),MATCH(All!Y$1,Spring!$1:$1,FALSE))="","",INDEX(Spring!$1:$1048576,MATCH(All!$A314,Spring!$A:$A,FALSE),MATCH(All!Y$1,Spring!$1:$1,FALSE))),"")</f>
        <v>1A</v>
      </c>
      <c r="Z314" t="str">
        <f>IFERROR(IF(INDEX(Spring!$1:$1048576,MATCH(All!$A314,Spring!$A:$A,FALSE),MATCH(All!Z$1,Spring!$1:$1,FALSE))="","",INDEX(Spring!$1:$1048576,MATCH(All!$A314,Spring!$A:$A,FALSE),MATCH(All!Z$1,Spring!$1:$1,FALSE))),"")</f>
        <v/>
      </c>
      <c r="AA314" t="str">
        <f>IFERROR(IF(INDEX(Spring!$1:$1048576,MATCH(All!$A314,Spring!$A:$A,FALSE),MATCH(All!AA$1,Spring!$1:$1,FALSE))="","",INDEX(Spring!$1:$1048576,MATCH(All!$A314,Spring!$A:$A,FALSE),MATCH(All!AA$1,Spring!$1:$1,FALSE))),"")</f>
        <v/>
      </c>
      <c r="AB314" t="str">
        <f>IFERROR(IF(INDEX(Spring!$1:$1048576,MATCH(All!$A314,Spring!$A:$A,FALSE),MATCH(All!AB$1,Spring!$1:$1,FALSE))="","",INDEX(Spring!$1:$1048576,MATCH(All!$A314,Spring!$A:$A,FALSE),MATCH(All!AB$1,Spring!$1:$1,FALSE))),"")</f>
        <v/>
      </c>
      <c r="AC314" t="str">
        <f>IFERROR(IF(INDEX(Spring!$1:$1048576,MATCH(All!$A314,Spring!$A:$A,FALSE),MATCH(All!AC$1,Spring!$1:$1,FALSE))="","",INDEX(Spring!$1:$1048576,MATCH(All!$A314,Spring!$A:$A,FALSE),MATCH(All!AC$1,Spring!$1:$1,FALSE))),"")</f>
        <v/>
      </c>
      <c r="AD314" t="str">
        <f>IFERROR(VLOOKUP(A314,'Flag Football'!A:A,1,FALSE),"")</f>
        <v/>
      </c>
      <c r="AE314" t="str">
        <f t="shared" si="4"/>
        <v/>
      </c>
    </row>
    <row r="315" spans="1:31" ht="15.75" thickBot="1" x14ac:dyDescent="0.3">
      <c r="A315" s="18" t="s">
        <v>395</v>
      </c>
      <c r="B315" s="38">
        <f>IFERROR(VLOOKUP(A315,'Public v Private'!A:G,3,FALSE),"")</f>
        <v>0</v>
      </c>
      <c r="C315" s="38">
        <f>IFERROR(VLOOKUP(A315,'Public v Private'!A:G,4,FALSE),"")</f>
        <v>0</v>
      </c>
      <c r="D315" s="38">
        <f>IFERROR(VLOOKUP(A315,'Public v Private'!A:G,5,FALSE),"")</f>
        <v>0</v>
      </c>
      <c r="E315" s="38"/>
      <c r="F315" s="40">
        <f>IFERROR(INDEX(Fall!$1:$1048576,MATCH(All!$A315,Fall!$A:$A,FALSE),MATCH(All!F$1,Fall!$1:$1,FALSE)),"N/A")</f>
        <v>179</v>
      </c>
      <c r="G315" t="str">
        <f>IFERROR(IF(INDEX(Fall!$1:$1048576,MATCH(All!$A315,Fall!$A:$A,FALSE),MATCH(All!G$1,Fall!$1:$1,FALSE))="","",INDEX(Fall!$1:$1048576,MATCH(All!$A315,Fall!$A:$A,FALSE),MATCH(All!G$1,Fall!$1:$1,FALSE))),"")</f>
        <v>1A</v>
      </c>
      <c r="H315" t="str">
        <f>IFERROR(IF(INDEX(Fall!$1:$1048576,MATCH(All!$A315,Fall!$A:$A,FALSE),MATCH(All!H$1,Fall!$1:$1,FALSE))="","",INDEX(Fall!$1:$1048576,MATCH(All!$A315,Fall!$A:$A,FALSE),MATCH(All!H$1,Fall!$1:$1,FALSE))),"")</f>
        <v>1A</v>
      </c>
      <c r="I315" t="str">
        <f>IFERROR(IF(INDEX(Fall!$1:$1048576,MATCH(All!$A315,Fall!$A:$A,FALSE),MATCH(All!I$1,Fall!$1:$1,FALSE))="","",INDEX(Fall!$1:$1048576,MATCH(All!$A315,Fall!$A:$A,FALSE),MATCH(All!I$1,Fall!$1:$1,FALSE))),"")</f>
        <v>1A</v>
      </c>
      <c r="J315" t="str">
        <f>IFERROR(IF(INDEX(Fall!$1:$1048576,MATCH(All!$A315,Fall!$A:$A,FALSE),MATCH(All!J$1,Fall!$1:$1,FALSE))="","",INDEX(Fall!$1:$1048576,MATCH(All!$A315,Fall!$A:$A,FALSE),MATCH(All!J$1,Fall!$1:$1,FALSE))),"")</f>
        <v/>
      </c>
      <c r="K315" t="str">
        <f>IFERROR(IF(INDEX(Fall!$1:$1048576,MATCH(All!$A315,Fall!$A:$A,FALSE),MATCH(All!K$1,Fall!$1:$1,FALSE))="","",INDEX(Fall!$1:$1048576,MATCH(All!$A315,Fall!$A:$A,FALSE),MATCH(All!K$1,Fall!$1:$1,FALSE))),"")</f>
        <v/>
      </c>
      <c r="L315" t="str">
        <f>IFERROR(IF(INDEX(Fall!$1:$1048576,MATCH(All!$A315,Fall!$A:$A,FALSE),MATCH(All!L$1,Fall!$1:$1,FALSE))="","",INDEX(Fall!$1:$1048576,MATCH(All!$A315,Fall!$A:$A,FALSE),MATCH(All!L$1,Fall!$1:$1,FALSE))),"")</f>
        <v/>
      </c>
      <c r="M315" t="str">
        <f>IFERROR(IF(INDEX(Fall!$1:$1048576,MATCH(All!$A315,Fall!$A:$A,FALSE),MATCH(All!M$1,Fall!$1:$1,FALSE))="","",INDEX(Fall!$1:$1048576,MATCH(All!$A315,Fall!$A:$A,FALSE),MATCH(All!M$1,Fall!$1:$1,FALSE))),"")</f>
        <v>1A</v>
      </c>
      <c r="O315">
        <f>IFERROR(IF(INDEX(Winter!$1:$1048576,MATCH(All!$A315,Winter!$A:$A,FALSE),MATCH(All!O$1,Winter!$1:$1,FALSE))="","",INDEX(Winter!$1:$1048576,MATCH(All!$A315,Winter!$A:$A,FALSE),MATCH(All!O$1,Winter!$1:$1,FALSE))),"")</f>
        <v>179</v>
      </c>
      <c r="P315" t="str">
        <f>IFERROR(IF(INDEX(Winter!$1:$1048576,MATCH(All!$A315,Winter!$A:$A,FALSE),MATCH(All!P$1,Winter!$1:$1,FALSE))="","",INDEX(Winter!$1:$1048576,MATCH(All!$A315,Winter!$A:$A,FALSE),MATCH(All!P$1,Winter!$1:$1,FALSE))),"")</f>
        <v>1A</v>
      </c>
      <c r="Q315" t="str">
        <f>IFERROR(IF(INDEX(Winter!$1:$1048576,MATCH(All!$A315,Winter!$A:$A,FALSE),MATCH(All!Q$1,Winter!$1:$1,FALSE))="","",INDEX(Winter!$1:$1048576,MATCH(All!$A315,Winter!$A:$A,FALSE),MATCH(All!Q$1,Winter!$1:$1,FALSE))),"")</f>
        <v>1A</v>
      </c>
      <c r="R315" t="str">
        <f>IFERROR(IF(INDEX(Winter!$1:$1048576,MATCH(All!$A315,Winter!$A:$A,FALSE),MATCH(All!R$1,Winter!$1:$1,FALSE))="","",INDEX(Winter!$1:$1048576,MATCH(All!$A315,Winter!$A:$A,FALSE),MATCH(All!R$1,Winter!$1:$1,FALSE))),"")</f>
        <v/>
      </c>
      <c r="S315" t="str">
        <f>IFERROR(IF(INDEX(Winter!$1:$1048576,MATCH(All!$A315,Winter!$A:$A,FALSE),MATCH(All!S$1,Winter!$1:$1,FALSE))="","",INDEX(Winter!$1:$1048576,MATCH(All!$A315,Winter!$A:$A,FALSE),MATCH(All!S$1,Winter!$1:$1,FALSE))),"")</f>
        <v/>
      </c>
      <c r="T315" t="str">
        <f>IFERROR(IF(INDEX(Winter!$1:$1048576,MATCH(All!$A315,Winter!$A:$A,FALSE),MATCH(All!T$1,Winter!$1:$1,FALSE))="","",INDEX(Winter!$1:$1048576,MATCH(All!$A315,Winter!$A:$A,FALSE),MATCH(All!T$1,Winter!$1:$1,FALSE))),"")</f>
        <v>1A</v>
      </c>
      <c r="U315" t="str">
        <f>IFERROR(IF(INDEX(Winter!$1:$1048576,MATCH(All!$A315,Winter!$A:$A,FALSE),MATCH(All!U$1,Winter!$1:$1,FALSE))="","",INDEX(Winter!$1:$1048576,MATCH(All!$A315,Winter!$A:$A,FALSE),MATCH(All!U$1,Winter!$1:$1,FALSE))),"")</f>
        <v/>
      </c>
      <c r="W315">
        <f>IFERROR(IF(INDEX(Spring!$1:$1048576,MATCH(All!$A315,Spring!$A:$A,FALSE),MATCH(All!W$1,Spring!$1:$1,FALSE))="","",INDEX(Spring!$1:$1048576,MATCH(All!$A315,Spring!$A:$A,FALSE),MATCH(All!W$1,Spring!$1:$1,FALSE))),"")</f>
        <v>179</v>
      </c>
      <c r="X315" t="str">
        <f>IFERROR(IF(INDEX(Spring!$1:$1048576,MATCH(All!$A315,Spring!$A:$A,FALSE),MATCH(All!X$1,Spring!$1:$1,FALSE))="","",INDEX(Spring!$1:$1048576,MATCH(All!$A315,Spring!$A:$A,FALSE),MATCH(All!X$1,Spring!$1:$1,FALSE))),"")</f>
        <v>1A</v>
      </c>
      <c r="Y315" t="str">
        <f>IFERROR(IF(INDEX(Spring!$1:$1048576,MATCH(All!$A315,Spring!$A:$A,FALSE),MATCH(All!Y$1,Spring!$1:$1,FALSE))="","",INDEX(Spring!$1:$1048576,MATCH(All!$A315,Spring!$A:$A,FALSE),MATCH(All!Y$1,Spring!$1:$1,FALSE))),"")</f>
        <v>1A</v>
      </c>
      <c r="Z315" t="str">
        <f>IFERROR(IF(INDEX(Spring!$1:$1048576,MATCH(All!$A315,Spring!$A:$A,FALSE),MATCH(All!Z$1,Spring!$1:$1,FALSE))="","",INDEX(Spring!$1:$1048576,MATCH(All!$A315,Spring!$A:$A,FALSE),MATCH(All!Z$1,Spring!$1:$1,FALSE))),"")</f>
        <v/>
      </c>
      <c r="AA315" t="str">
        <f>IFERROR(IF(INDEX(Spring!$1:$1048576,MATCH(All!$A315,Spring!$A:$A,FALSE),MATCH(All!AA$1,Spring!$1:$1,FALSE))="","",INDEX(Spring!$1:$1048576,MATCH(All!$A315,Spring!$A:$A,FALSE),MATCH(All!AA$1,Spring!$1:$1,FALSE))),"")</f>
        <v/>
      </c>
      <c r="AB315" t="str">
        <f>IFERROR(IF(INDEX(Spring!$1:$1048576,MATCH(All!$A315,Spring!$A:$A,FALSE),MATCH(All!AB$1,Spring!$1:$1,FALSE))="","",INDEX(Spring!$1:$1048576,MATCH(All!$A315,Spring!$A:$A,FALSE),MATCH(All!AB$1,Spring!$1:$1,FALSE))),"")</f>
        <v/>
      </c>
      <c r="AC315" t="str">
        <f>IFERROR(IF(INDEX(Spring!$1:$1048576,MATCH(All!$A315,Spring!$A:$A,FALSE),MATCH(All!AC$1,Spring!$1:$1,FALSE))="","",INDEX(Spring!$1:$1048576,MATCH(All!$A315,Spring!$A:$A,FALSE),MATCH(All!AC$1,Spring!$1:$1,FALSE))),"")</f>
        <v/>
      </c>
      <c r="AD315" t="str">
        <f>IFERROR(VLOOKUP(A315,'Flag Football'!A:A,1,FALSE),"")</f>
        <v/>
      </c>
      <c r="AE315" t="str">
        <f t="shared" si="4"/>
        <v/>
      </c>
    </row>
    <row r="316" spans="1:31" ht="15.75" thickBot="1" x14ac:dyDescent="0.3">
      <c r="A316" s="20" t="s">
        <v>396</v>
      </c>
      <c r="B316" s="38">
        <f>IFERROR(VLOOKUP(A316,'Public v Private'!A:G,3,FALSE),"")</f>
        <v>0</v>
      </c>
      <c r="C316" s="38">
        <f>IFERROR(VLOOKUP(A316,'Public v Private'!A:G,4,FALSE),"")</f>
        <v>0</v>
      </c>
      <c r="D316" s="38">
        <f>IFERROR(VLOOKUP(A316,'Public v Private'!A:G,5,FALSE),"")</f>
        <v>0</v>
      </c>
      <c r="E316" s="38"/>
      <c r="F316" s="40">
        <f>IFERROR(INDEX(Fall!$1:$1048576,MATCH(All!$A316,Fall!$A:$A,FALSE),MATCH(All!F$1,Fall!$1:$1,FALSE)),"N/A")</f>
        <v>1839</v>
      </c>
      <c r="G316" t="str">
        <f>IFERROR(IF(INDEX(Fall!$1:$1048576,MATCH(All!$A316,Fall!$A:$A,FALSE),MATCH(All!G$1,Fall!$1:$1,FALSE))="","",INDEX(Fall!$1:$1048576,MATCH(All!$A316,Fall!$A:$A,FALSE),MATCH(All!G$1,Fall!$1:$1,FALSE))),"")</f>
        <v>3A</v>
      </c>
      <c r="H316" t="str">
        <f>IFERROR(IF(INDEX(Fall!$1:$1048576,MATCH(All!$A316,Fall!$A:$A,FALSE),MATCH(All!H$1,Fall!$1:$1,FALSE))="","",INDEX(Fall!$1:$1048576,MATCH(All!$A316,Fall!$A:$A,FALSE),MATCH(All!H$1,Fall!$1:$1,FALSE))),"")</f>
        <v>3A</v>
      </c>
      <c r="I316" t="str">
        <f>IFERROR(IF(INDEX(Fall!$1:$1048576,MATCH(All!$A316,Fall!$A:$A,FALSE),MATCH(All!I$1,Fall!$1:$1,FALSE))="","",INDEX(Fall!$1:$1048576,MATCH(All!$A316,Fall!$A:$A,FALSE),MATCH(All!I$1,Fall!$1:$1,FALSE))),"")</f>
        <v>3A</v>
      </c>
      <c r="J316" t="str">
        <f>IFERROR(IF(INDEX(Fall!$1:$1048576,MATCH(All!$A316,Fall!$A:$A,FALSE),MATCH(All!J$1,Fall!$1:$1,FALSE))="","",INDEX(Fall!$1:$1048576,MATCH(All!$A316,Fall!$A:$A,FALSE),MATCH(All!J$1,Fall!$1:$1,FALSE))),"")</f>
        <v/>
      </c>
      <c r="K316" t="str">
        <f>IFERROR(IF(INDEX(Fall!$1:$1048576,MATCH(All!$A316,Fall!$A:$A,FALSE),MATCH(All!K$1,Fall!$1:$1,FALSE))="","",INDEX(Fall!$1:$1048576,MATCH(All!$A316,Fall!$A:$A,FALSE),MATCH(All!K$1,Fall!$1:$1,FALSE))),"")</f>
        <v>3A</v>
      </c>
      <c r="L316" t="str">
        <f>IFERROR(IF(INDEX(Fall!$1:$1048576,MATCH(All!$A316,Fall!$A:$A,FALSE),MATCH(All!L$1,Fall!$1:$1,FALSE))="","",INDEX(Fall!$1:$1048576,MATCH(All!$A316,Fall!$A:$A,FALSE),MATCH(All!L$1,Fall!$1:$1,FALSE))),"")</f>
        <v>2A</v>
      </c>
      <c r="M316" t="str">
        <f>IFERROR(IF(INDEX(Fall!$1:$1048576,MATCH(All!$A316,Fall!$A:$A,FALSE),MATCH(All!M$1,Fall!$1:$1,FALSE))="","",INDEX(Fall!$1:$1048576,MATCH(All!$A316,Fall!$A:$A,FALSE),MATCH(All!M$1,Fall!$1:$1,FALSE))),"")</f>
        <v>4A</v>
      </c>
      <c r="O316">
        <f>IFERROR(IF(INDEX(Winter!$1:$1048576,MATCH(All!$A316,Winter!$A:$A,FALSE),MATCH(All!O$1,Winter!$1:$1,FALSE))="","",INDEX(Winter!$1:$1048576,MATCH(All!$A316,Winter!$A:$A,FALSE),MATCH(All!O$1,Winter!$1:$1,FALSE))),"")</f>
        <v>1839</v>
      </c>
      <c r="P316" t="str">
        <f>IFERROR(IF(INDEX(Winter!$1:$1048576,MATCH(All!$A316,Winter!$A:$A,FALSE),MATCH(All!P$1,Winter!$1:$1,FALSE))="","",INDEX(Winter!$1:$1048576,MATCH(All!$A316,Winter!$A:$A,FALSE),MATCH(All!P$1,Winter!$1:$1,FALSE))),"")</f>
        <v>4A</v>
      </c>
      <c r="Q316" t="str">
        <f>IFERROR(IF(INDEX(Winter!$1:$1048576,MATCH(All!$A316,Winter!$A:$A,FALSE),MATCH(All!Q$1,Winter!$1:$1,FALSE))="","",INDEX(Winter!$1:$1048576,MATCH(All!$A316,Winter!$A:$A,FALSE),MATCH(All!Q$1,Winter!$1:$1,FALSE))),"")</f>
        <v>4A</v>
      </c>
      <c r="R316" t="str">
        <f>IFERROR(IF(INDEX(Winter!$1:$1048576,MATCH(All!$A316,Winter!$A:$A,FALSE),MATCH(All!R$1,Winter!$1:$1,FALSE))="","",INDEX(Winter!$1:$1048576,MATCH(All!$A316,Winter!$A:$A,FALSE),MATCH(All!R$1,Winter!$1:$1,FALSE))),"")</f>
        <v/>
      </c>
      <c r="S316" t="str">
        <f>IFERROR(IF(INDEX(Winter!$1:$1048576,MATCH(All!$A316,Winter!$A:$A,FALSE),MATCH(All!S$1,Winter!$1:$1,FALSE))="","",INDEX(Winter!$1:$1048576,MATCH(All!$A316,Winter!$A:$A,FALSE),MATCH(All!S$1,Winter!$1:$1,FALSE))),"")</f>
        <v/>
      </c>
      <c r="T316" t="str">
        <f>IFERROR(IF(INDEX(Winter!$1:$1048576,MATCH(All!$A316,Winter!$A:$A,FALSE),MATCH(All!T$1,Winter!$1:$1,FALSE))="","",INDEX(Winter!$1:$1048576,MATCH(All!$A316,Winter!$A:$A,FALSE),MATCH(All!T$1,Winter!$1:$1,FALSE))),"")</f>
        <v>2A</v>
      </c>
      <c r="U316" t="str">
        <f>IFERROR(IF(INDEX(Winter!$1:$1048576,MATCH(All!$A316,Winter!$A:$A,FALSE),MATCH(All!U$1,Winter!$1:$1,FALSE))="","",INDEX(Winter!$1:$1048576,MATCH(All!$A316,Winter!$A:$A,FALSE),MATCH(All!U$1,Winter!$1:$1,FALSE))),"")</f>
        <v>3A</v>
      </c>
      <c r="W316">
        <f>IFERROR(IF(INDEX(Spring!$1:$1048576,MATCH(All!$A316,Spring!$A:$A,FALSE),MATCH(All!W$1,Spring!$1:$1,FALSE))="","",INDEX(Spring!$1:$1048576,MATCH(All!$A316,Spring!$A:$A,FALSE),MATCH(All!W$1,Spring!$1:$1,FALSE))),"")</f>
        <v>1839</v>
      </c>
      <c r="X316" t="str">
        <f>IFERROR(IF(INDEX(Spring!$1:$1048576,MATCH(All!$A316,Spring!$A:$A,FALSE),MATCH(All!X$1,Spring!$1:$1,FALSE))="","",INDEX(Spring!$1:$1048576,MATCH(All!$A316,Spring!$A:$A,FALSE),MATCH(All!X$1,Spring!$1:$1,FALSE))),"")</f>
        <v>4A</v>
      </c>
      <c r="Y316" t="str">
        <f>IFERROR(IF(INDEX(Spring!$1:$1048576,MATCH(All!$A316,Spring!$A:$A,FALSE),MATCH(All!Y$1,Spring!$1:$1,FALSE))="","",INDEX(Spring!$1:$1048576,MATCH(All!$A316,Spring!$A:$A,FALSE),MATCH(All!Y$1,Spring!$1:$1,FALSE))),"")</f>
        <v>4A</v>
      </c>
      <c r="Z316" t="str">
        <f>IFERROR(IF(INDEX(Spring!$1:$1048576,MATCH(All!$A316,Spring!$A:$A,FALSE),MATCH(All!Z$1,Spring!$1:$1,FALSE))="","",INDEX(Spring!$1:$1048576,MATCH(All!$A316,Spring!$A:$A,FALSE),MATCH(All!Z$1,Spring!$1:$1,FALSE))),"")</f>
        <v>3A</v>
      </c>
      <c r="AA316" t="str">
        <f>IFERROR(IF(INDEX(Spring!$1:$1048576,MATCH(All!$A316,Spring!$A:$A,FALSE),MATCH(All!AA$1,Spring!$1:$1,FALSE))="","",INDEX(Spring!$1:$1048576,MATCH(All!$A316,Spring!$A:$A,FALSE),MATCH(All!AA$1,Spring!$1:$1,FALSE))),"")</f>
        <v>2A</v>
      </c>
      <c r="AB316" t="str">
        <f>IFERROR(IF(INDEX(Spring!$1:$1048576,MATCH(All!$A316,Spring!$A:$A,FALSE),MATCH(All!AB$1,Spring!$1:$1,FALSE))="","",INDEX(Spring!$1:$1048576,MATCH(All!$A316,Spring!$A:$A,FALSE),MATCH(All!AB$1,Spring!$1:$1,FALSE))),"")</f>
        <v>3A</v>
      </c>
      <c r="AC316" t="str">
        <f>IFERROR(IF(INDEX(Spring!$1:$1048576,MATCH(All!$A316,Spring!$A:$A,FALSE),MATCH(All!AC$1,Spring!$1:$1,FALSE))="","",INDEX(Spring!$1:$1048576,MATCH(All!$A316,Spring!$A:$A,FALSE),MATCH(All!AC$1,Spring!$1:$1,FALSE))),"")</f>
        <v>3A</v>
      </c>
      <c r="AD316" t="str">
        <f>IFERROR(VLOOKUP(A316,'Flag Football'!A:A,1,FALSE),"")</f>
        <v/>
      </c>
      <c r="AE316" t="str">
        <f t="shared" si="4"/>
        <v/>
      </c>
    </row>
    <row r="317" spans="1:31" ht="15.75" thickBot="1" x14ac:dyDescent="0.3">
      <c r="A317" s="18" t="s">
        <v>397</v>
      </c>
      <c r="B317" s="38">
        <f>IFERROR(VLOOKUP(A317,'Public v Private'!A:G,3,FALSE),"")</f>
        <v>0</v>
      </c>
      <c r="C317" s="38">
        <f>IFERROR(VLOOKUP(A317,'Public v Private'!A:G,4,FALSE),"")</f>
        <v>0</v>
      </c>
      <c r="D317" s="38">
        <f>IFERROR(VLOOKUP(A317,'Public v Private'!A:G,5,FALSE),"")</f>
        <v>0</v>
      </c>
      <c r="E317" s="38"/>
      <c r="F317" s="40">
        <f>IFERROR(INDEX(Fall!$1:$1048576,MATCH(All!$A317,Fall!$A:$A,FALSE),MATCH(All!F$1,Fall!$1:$1,FALSE)),"N/A")</f>
        <v>802</v>
      </c>
      <c r="G317" t="str">
        <f>IFERROR(IF(INDEX(Fall!$1:$1048576,MATCH(All!$A317,Fall!$A:$A,FALSE),MATCH(All!G$1,Fall!$1:$1,FALSE))="","",INDEX(Fall!$1:$1048576,MATCH(All!$A317,Fall!$A:$A,FALSE),MATCH(All!G$1,Fall!$1:$1,FALSE))),"")</f>
        <v>2A</v>
      </c>
      <c r="H317" t="str">
        <f>IFERROR(IF(INDEX(Fall!$1:$1048576,MATCH(All!$A317,Fall!$A:$A,FALSE),MATCH(All!H$1,Fall!$1:$1,FALSE))="","",INDEX(Fall!$1:$1048576,MATCH(All!$A317,Fall!$A:$A,FALSE),MATCH(All!H$1,Fall!$1:$1,FALSE))),"")</f>
        <v>2A</v>
      </c>
      <c r="I317" t="str">
        <f>IFERROR(IF(INDEX(Fall!$1:$1048576,MATCH(All!$A317,Fall!$A:$A,FALSE),MATCH(All!I$1,Fall!$1:$1,FALSE))="","",INDEX(Fall!$1:$1048576,MATCH(All!$A317,Fall!$A:$A,FALSE),MATCH(All!I$1,Fall!$1:$1,FALSE))),"")</f>
        <v>2A</v>
      </c>
      <c r="J317" t="str">
        <f>IFERROR(IF(INDEX(Fall!$1:$1048576,MATCH(All!$A317,Fall!$A:$A,FALSE),MATCH(All!J$1,Fall!$1:$1,FALSE))="","",INDEX(Fall!$1:$1048576,MATCH(All!$A317,Fall!$A:$A,FALSE),MATCH(All!J$1,Fall!$1:$1,FALSE))),"")</f>
        <v>1A</v>
      </c>
      <c r="K317" t="str">
        <f>IFERROR(IF(INDEX(Fall!$1:$1048576,MATCH(All!$A317,Fall!$A:$A,FALSE),MATCH(All!K$1,Fall!$1:$1,FALSE))="","",INDEX(Fall!$1:$1048576,MATCH(All!$A317,Fall!$A:$A,FALSE),MATCH(All!K$1,Fall!$1:$1,FALSE))),"")</f>
        <v>2A</v>
      </c>
      <c r="L317" t="str">
        <f>IFERROR(IF(INDEX(Fall!$1:$1048576,MATCH(All!$A317,Fall!$A:$A,FALSE),MATCH(All!L$1,Fall!$1:$1,FALSE))="","",INDEX(Fall!$1:$1048576,MATCH(All!$A317,Fall!$A:$A,FALSE),MATCH(All!L$1,Fall!$1:$1,FALSE))),"")</f>
        <v>1A</v>
      </c>
      <c r="M317" t="str">
        <f>IFERROR(IF(INDEX(Fall!$1:$1048576,MATCH(All!$A317,Fall!$A:$A,FALSE),MATCH(All!M$1,Fall!$1:$1,FALSE))="","",INDEX(Fall!$1:$1048576,MATCH(All!$A317,Fall!$A:$A,FALSE),MATCH(All!M$1,Fall!$1:$1,FALSE))),"")</f>
        <v>3A</v>
      </c>
      <c r="O317">
        <f>IFERROR(IF(INDEX(Winter!$1:$1048576,MATCH(All!$A317,Winter!$A:$A,FALSE),MATCH(All!O$1,Winter!$1:$1,FALSE))="","",INDEX(Winter!$1:$1048576,MATCH(All!$A317,Winter!$A:$A,FALSE),MATCH(All!O$1,Winter!$1:$1,FALSE))),"")</f>
        <v>802</v>
      </c>
      <c r="P317" t="str">
        <f>IFERROR(IF(INDEX(Winter!$1:$1048576,MATCH(All!$A317,Winter!$A:$A,FALSE),MATCH(All!P$1,Winter!$1:$1,FALSE))="","",INDEX(Winter!$1:$1048576,MATCH(All!$A317,Winter!$A:$A,FALSE),MATCH(All!P$1,Winter!$1:$1,FALSE))),"")</f>
        <v>3A</v>
      </c>
      <c r="Q317" t="str">
        <f>IFERROR(IF(INDEX(Winter!$1:$1048576,MATCH(All!$A317,Winter!$A:$A,FALSE),MATCH(All!Q$1,Winter!$1:$1,FALSE))="","",INDEX(Winter!$1:$1048576,MATCH(All!$A317,Winter!$A:$A,FALSE),MATCH(All!Q$1,Winter!$1:$1,FALSE))),"")</f>
        <v>3A</v>
      </c>
      <c r="R317" t="str">
        <f>IFERROR(IF(INDEX(Winter!$1:$1048576,MATCH(All!$A317,Winter!$A:$A,FALSE),MATCH(All!R$1,Winter!$1:$1,FALSE))="","",INDEX(Winter!$1:$1048576,MATCH(All!$A317,Winter!$A:$A,FALSE),MATCH(All!R$1,Winter!$1:$1,FALSE))),"")</f>
        <v/>
      </c>
      <c r="S317" t="str">
        <f>IFERROR(IF(INDEX(Winter!$1:$1048576,MATCH(All!$A317,Winter!$A:$A,FALSE),MATCH(All!S$1,Winter!$1:$1,FALSE))="","",INDEX(Winter!$1:$1048576,MATCH(All!$A317,Winter!$A:$A,FALSE),MATCH(All!S$1,Winter!$1:$1,FALSE))),"")</f>
        <v/>
      </c>
      <c r="T317" t="str">
        <f>IFERROR(IF(INDEX(Winter!$1:$1048576,MATCH(All!$A317,Winter!$A:$A,FALSE),MATCH(All!T$1,Winter!$1:$1,FALSE))="","",INDEX(Winter!$1:$1048576,MATCH(All!$A317,Winter!$A:$A,FALSE),MATCH(All!T$1,Winter!$1:$1,FALSE))),"")</f>
        <v>2A</v>
      </c>
      <c r="U317" t="str">
        <f>IFERROR(IF(INDEX(Winter!$1:$1048576,MATCH(All!$A317,Winter!$A:$A,FALSE),MATCH(All!U$1,Winter!$1:$1,FALSE))="","",INDEX(Winter!$1:$1048576,MATCH(All!$A317,Winter!$A:$A,FALSE),MATCH(All!U$1,Winter!$1:$1,FALSE))),"")</f>
        <v>2A</v>
      </c>
      <c r="W317">
        <f>IFERROR(IF(INDEX(Spring!$1:$1048576,MATCH(All!$A317,Spring!$A:$A,FALSE),MATCH(All!W$1,Spring!$1:$1,FALSE))="","",INDEX(Spring!$1:$1048576,MATCH(All!$A317,Spring!$A:$A,FALSE),MATCH(All!W$1,Spring!$1:$1,FALSE))),"")</f>
        <v>802</v>
      </c>
      <c r="X317" t="str">
        <f>IFERROR(IF(INDEX(Spring!$1:$1048576,MATCH(All!$A317,Spring!$A:$A,FALSE),MATCH(All!X$1,Spring!$1:$1,FALSE))="","",INDEX(Spring!$1:$1048576,MATCH(All!$A317,Spring!$A:$A,FALSE),MATCH(All!X$1,Spring!$1:$1,FALSE))),"")</f>
        <v>3A</v>
      </c>
      <c r="Y317" t="str">
        <f>IFERROR(IF(INDEX(Spring!$1:$1048576,MATCH(All!$A317,Spring!$A:$A,FALSE),MATCH(All!Y$1,Spring!$1:$1,FALSE))="","",INDEX(Spring!$1:$1048576,MATCH(All!$A317,Spring!$A:$A,FALSE),MATCH(All!Y$1,Spring!$1:$1,FALSE))),"")</f>
        <v>3A</v>
      </c>
      <c r="Z317" t="str">
        <f>IFERROR(IF(INDEX(Spring!$1:$1048576,MATCH(All!$A317,Spring!$A:$A,FALSE),MATCH(All!Z$1,Spring!$1:$1,FALSE))="","",INDEX(Spring!$1:$1048576,MATCH(All!$A317,Spring!$A:$A,FALSE),MATCH(All!Z$1,Spring!$1:$1,FALSE))),"")</f>
        <v>2A</v>
      </c>
      <c r="AA317" t="str">
        <f>IFERROR(IF(INDEX(Spring!$1:$1048576,MATCH(All!$A317,Spring!$A:$A,FALSE),MATCH(All!AA$1,Spring!$1:$1,FALSE))="","",INDEX(Spring!$1:$1048576,MATCH(All!$A317,Spring!$A:$A,FALSE),MATCH(All!AA$1,Spring!$1:$1,FALSE))),"")</f>
        <v>1A</v>
      </c>
      <c r="AB317" t="str">
        <f>IFERROR(IF(INDEX(Spring!$1:$1048576,MATCH(All!$A317,Spring!$A:$A,FALSE),MATCH(All!AB$1,Spring!$1:$1,FALSE))="","",INDEX(Spring!$1:$1048576,MATCH(All!$A317,Spring!$A:$A,FALSE),MATCH(All!AB$1,Spring!$1:$1,FALSE))),"")</f>
        <v>2A</v>
      </c>
      <c r="AC317" t="str">
        <f>IFERROR(IF(INDEX(Spring!$1:$1048576,MATCH(All!$A317,Spring!$A:$A,FALSE),MATCH(All!AC$1,Spring!$1:$1,FALSE))="","",INDEX(Spring!$1:$1048576,MATCH(All!$A317,Spring!$A:$A,FALSE),MATCH(All!AC$1,Spring!$1:$1,FALSE))),"")</f>
        <v>2A</v>
      </c>
      <c r="AD317" t="str">
        <f>IFERROR(VLOOKUP(A317,'Flag Football'!A:A,1,FALSE),"")</f>
        <v/>
      </c>
      <c r="AE317" t="str">
        <f t="shared" si="4"/>
        <v/>
      </c>
    </row>
    <row r="318" spans="1:31" ht="15.75" thickBot="1" x14ac:dyDescent="0.3">
      <c r="A318" s="18" t="s">
        <v>398</v>
      </c>
      <c r="B318" s="38" t="str">
        <f>IFERROR(VLOOKUP(A318,'Public v Private'!A:G,3,FALSE),"")</f>
        <v>?</v>
      </c>
      <c r="C318" s="38">
        <f>IFERROR(VLOOKUP(A318,'Public v Private'!A:G,4,FALSE),"")</f>
        <v>0</v>
      </c>
      <c r="D318" s="38">
        <f>IFERROR(VLOOKUP(A318,'Public v Private'!A:G,5,FALSE),"")</f>
        <v>0</v>
      </c>
      <c r="E318" s="38"/>
      <c r="F318" s="40" t="str">
        <f>IFERROR(INDEX(Fall!$1:$1048576,MATCH(All!$A318,Fall!$A:$A,FALSE),MATCH(All!F$1,Fall!$1:$1,FALSE)),"N/A")</f>
        <v>N/A</v>
      </c>
      <c r="G318" t="str">
        <f>IFERROR(IF(INDEX(Fall!$1:$1048576,MATCH(All!$A318,Fall!$A:$A,FALSE),MATCH(All!G$1,Fall!$1:$1,FALSE))="","",INDEX(Fall!$1:$1048576,MATCH(All!$A318,Fall!$A:$A,FALSE),MATCH(All!G$1,Fall!$1:$1,FALSE))),"")</f>
        <v/>
      </c>
      <c r="H318" t="str">
        <f>IFERROR(IF(INDEX(Fall!$1:$1048576,MATCH(All!$A318,Fall!$A:$A,FALSE),MATCH(All!H$1,Fall!$1:$1,FALSE))="","",INDEX(Fall!$1:$1048576,MATCH(All!$A318,Fall!$A:$A,FALSE),MATCH(All!H$1,Fall!$1:$1,FALSE))),"")</f>
        <v/>
      </c>
      <c r="I318" t="str">
        <f>IFERROR(IF(INDEX(Fall!$1:$1048576,MATCH(All!$A318,Fall!$A:$A,FALSE),MATCH(All!I$1,Fall!$1:$1,FALSE))="","",INDEX(Fall!$1:$1048576,MATCH(All!$A318,Fall!$A:$A,FALSE),MATCH(All!I$1,Fall!$1:$1,FALSE))),"")</f>
        <v/>
      </c>
      <c r="J318" t="str">
        <f>IFERROR(IF(INDEX(Fall!$1:$1048576,MATCH(All!$A318,Fall!$A:$A,FALSE),MATCH(All!J$1,Fall!$1:$1,FALSE))="","",INDEX(Fall!$1:$1048576,MATCH(All!$A318,Fall!$A:$A,FALSE),MATCH(All!J$1,Fall!$1:$1,FALSE))),"")</f>
        <v/>
      </c>
      <c r="K318" t="str">
        <f>IFERROR(IF(INDEX(Fall!$1:$1048576,MATCH(All!$A318,Fall!$A:$A,FALSE),MATCH(All!K$1,Fall!$1:$1,FALSE))="","",INDEX(Fall!$1:$1048576,MATCH(All!$A318,Fall!$A:$A,FALSE),MATCH(All!K$1,Fall!$1:$1,FALSE))),"")</f>
        <v/>
      </c>
      <c r="L318" t="str">
        <f>IFERROR(IF(INDEX(Fall!$1:$1048576,MATCH(All!$A318,Fall!$A:$A,FALSE),MATCH(All!L$1,Fall!$1:$1,FALSE))="","",INDEX(Fall!$1:$1048576,MATCH(All!$A318,Fall!$A:$A,FALSE),MATCH(All!L$1,Fall!$1:$1,FALSE))),"")</f>
        <v/>
      </c>
      <c r="M318" t="str">
        <f>IFERROR(IF(INDEX(Fall!$1:$1048576,MATCH(All!$A318,Fall!$A:$A,FALSE),MATCH(All!M$1,Fall!$1:$1,FALSE))="","",INDEX(Fall!$1:$1048576,MATCH(All!$A318,Fall!$A:$A,FALSE),MATCH(All!M$1,Fall!$1:$1,FALSE))),"")</f>
        <v/>
      </c>
      <c r="O318" t="str">
        <f>IFERROR(IF(INDEX(Winter!$1:$1048576,MATCH(All!$A318,Winter!$A:$A,FALSE),MATCH(All!O$1,Winter!$1:$1,FALSE))="","",INDEX(Winter!$1:$1048576,MATCH(All!$A318,Winter!$A:$A,FALSE),MATCH(All!O$1,Winter!$1:$1,FALSE))),"")</f>
        <v>99.00 (163.35)</v>
      </c>
      <c r="P318" t="str">
        <f>IFERROR(IF(INDEX(Winter!$1:$1048576,MATCH(All!$A318,Winter!$A:$A,FALSE),MATCH(All!P$1,Winter!$1:$1,FALSE))="","",INDEX(Winter!$1:$1048576,MATCH(All!$A318,Winter!$A:$A,FALSE),MATCH(All!P$1,Winter!$1:$1,FALSE))),"")</f>
        <v>1A</v>
      </c>
      <c r="Q318" t="str">
        <f>IFERROR(IF(INDEX(Winter!$1:$1048576,MATCH(All!$A318,Winter!$A:$A,FALSE),MATCH(All!Q$1,Winter!$1:$1,FALSE))="","",INDEX(Winter!$1:$1048576,MATCH(All!$A318,Winter!$A:$A,FALSE),MATCH(All!Q$1,Winter!$1:$1,FALSE))),"")</f>
        <v/>
      </c>
      <c r="R318" t="str">
        <f>IFERROR(IF(INDEX(Winter!$1:$1048576,MATCH(All!$A318,Winter!$A:$A,FALSE),MATCH(All!R$1,Winter!$1:$1,FALSE))="","",INDEX(Winter!$1:$1048576,MATCH(All!$A318,Winter!$A:$A,FALSE),MATCH(All!R$1,Winter!$1:$1,FALSE))),"")</f>
        <v/>
      </c>
      <c r="S318" t="str">
        <f>IFERROR(IF(INDEX(Winter!$1:$1048576,MATCH(All!$A318,Winter!$A:$A,FALSE),MATCH(All!S$1,Winter!$1:$1,FALSE))="","",INDEX(Winter!$1:$1048576,MATCH(All!$A318,Winter!$A:$A,FALSE),MATCH(All!S$1,Winter!$1:$1,FALSE))),"")</f>
        <v/>
      </c>
      <c r="T318" t="str">
        <f>IFERROR(IF(INDEX(Winter!$1:$1048576,MATCH(All!$A318,Winter!$A:$A,FALSE),MATCH(All!T$1,Winter!$1:$1,FALSE))="","",INDEX(Winter!$1:$1048576,MATCH(All!$A318,Winter!$A:$A,FALSE),MATCH(All!T$1,Winter!$1:$1,FALSE))),"")</f>
        <v/>
      </c>
      <c r="U318" t="str">
        <f>IFERROR(IF(INDEX(Winter!$1:$1048576,MATCH(All!$A318,Winter!$A:$A,FALSE),MATCH(All!U$1,Winter!$1:$1,FALSE))="","",INDEX(Winter!$1:$1048576,MATCH(All!$A318,Winter!$A:$A,FALSE),MATCH(All!U$1,Winter!$1:$1,FALSE))),"")</f>
        <v/>
      </c>
      <c r="W318" t="str">
        <f>IFERROR(IF(INDEX(Spring!$1:$1048576,MATCH(All!$A318,Spring!$A:$A,FALSE),MATCH(All!W$1,Spring!$1:$1,FALSE))="","",INDEX(Spring!$1:$1048576,MATCH(All!$A318,Spring!$A:$A,FALSE),MATCH(All!W$1,Spring!$1:$1,FALSE))),"")</f>
        <v>99.00 (163.35)</v>
      </c>
      <c r="X318" t="str">
        <f>IFERROR(IF(INDEX(Spring!$1:$1048576,MATCH(All!$A318,Spring!$A:$A,FALSE),MATCH(All!X$1,Spring!$1:$1,FALSE))="","",INDEX(Spring!$1:$1048576,MATCH(All!$A318,Spring!$A:$A,FALSE),MATCH(All!X$1,Spring!$1:$1,FALSE))),"")</f>
        <v/>
      </c>
      <c r="Y318" t="str">
        <f>IFERROR(IF(INDEX(Spring!$1:$1048576,MATCH(All!$A318,Spring!$A:$A,FALSE),MATCH(All!Y$1,Spring!$1:$1,FALSE))="","",INDEX(Spring!$1:$1048576,MATCH(All!$A318,Spring!$A:$A,FALSE),MATCH(All!Y$1,Spring!$1:$1,FALSE))),"")</f>
        <v/>
      </c>
      <c r="Z318" t="str">
        <f>IFERROR(IF(INDEX(Spring!$1:$1048576,MATCH(All!$A318,Spring!$A:$A,FALSE),MATCH(All!Z$1,Spring!$1:$1,FALSE))="","",INDEX(Spring!$1:$1048576,MATCH(All!$A318,Spring!$A:$A,FALSE),MATCH(All!Z$1,Spring!$1:$1,FALSE))),"")</f>
        <v/>
      </c>
      <c r="AA318" t="str">
        <f>IFERROR(IF(INDEX(Spring!$1:$1048576,MATCH(All!$A318,Spring!$A:$A,FALSE),MATCH(All!AA$1,Spring!$1:$1,FALSE))="","",INDEX(Spring!$1:$1048576,MATCH(All!$A318,Spring!$A:$A,FALSE),MATCH(All!AA$1,Spring!$1:$1,FALSE))),"")</f>
        <v/>
      </c>
      <c r="AB318" t="str">
        <f>IFERROR(IF(INDEX(Spring!$1:$1048576,MATCH(All!$A318,Spring!$A:$A,FALSE),MATCH(All!AB$1,Spring!$1:$1,FALSE))="","",INDEX(Spring!$1:$1048576,MATCH(All!$A318,Spring!$A:$A,FALSE),MATCH(All!AB$1,Spring!$1:$1,FALSE))),"")</f>
        <v>1A</v>
      </c>
      <c r="AC318" t="str">
        <f>IFERROR(IF(INDEX(Spring!$1:$1048576,MATCH(All!$A318,Spring!$A:$A,FALSE),MATCH(All!AC$1,Spring!$1:$1,FALSE))="","",INDEX(Spring!$1:$1048576,MATCH(All!$A318,Spring!$A:$A,FALSE),MATCH(All!AC$1,Spring!$1:$1,FALSE))),"")</f>
        <v>1A</v>
      </c>
      <c r="AD318" t="str">
        <f>IFERROR(VLOOKUP(A318,'Flag Football'!A:A,1,FALSE),"")</f>
        <v/>
      </c>
      <c r="AE318" t="str">
        <f t="shared" si="4"/>
        <v/>
      </c>
    </row>
    <row r="319" spans="1:31" ht="15.75" thickBot="1" x14ac:dyDescent="0.3">
      <c r="A319" s="20" t="s">
        <v>400</v>
      </c>
      <c r="B319" s="38">
        <f>IFERROR(VLOOKUP(A319,'Public v Private'!A:G,3,FALSE),"")</f>
        <v>0</v>
      </c>
      <c r="C319" s="38">
        <f>IFERROR(VLOOKUP(A319,'Public v Private'!A:G,4,FALSE),"")</f>
        <v>0</v>
      </c>
      <c r="D319" s="38">
        <f>IFERROR(VLOOKUP(A319,'Public v Private'!A:G,5,FALSE),"")</f>
        <v>0</v>
      </c>
      <c r="E319" s="38"/>
      <c r="F319" s="40">
        <f>IFERROR(INDEX(Fall!$1:$1048576,MATCH(All!$A319,Fall!$A:$A,FALSE),MATCH(All!F$1,Fall!$1:$1,FALSE)),"N/A")</f>
        <v>1146</v>
      </c>
      <c r="G319" t="str">
        <f>IFERROR(IF(INDEX(Fall!$1:$1048576,MATCH(All!$A319,Fall!$A:$A,FALSE),MATCH(All!G$1,Fall!$1:$1,FALSE))="","",INDEX(Fall!$1:$1048576,MATCH(All!$A319,Fall!$A:$A,FALSE),MATCH(All!G$1,Fall!$1:$1,FALSE))),"")</f>
        <v>2A</v>
      </c>
      <c r="H319" t="str">
        <f>IFERROR(IF(INDEX(Fall!$1:$1048576,MATCH(All!$A319,Fall!$A:$A,FALSE),MATCH(All!H$1,Fall!$1:$1,FALSE))="","",INDEX(Fall!$1:$1048576,MATCH(All!$A319,Fall!$A:$A,FALSE),MATCH(All!H$1,Fall!$1:$1,FALSE))),"")</f>
        <v>2A</v>
      </c>
      <c r="I319" t="str">
        <f>IFERROR(IF(INDEX(Fall!$1:$1048576,MATCH(All!$A319,Fall!$A:$A,FALSE),MATCH(All!I$1,Fall!$1:$1,FALSE))="","",INDEX(Fall!$1:$1048576,MATCH(All!$A319,Fall!$A:$A,FALSE),MATCH(All!I$1,Fall!$1:$1,FALSE))),"")</f>
        <v/>
      </c>
      <c r="J319" t="str">
        <f>IFERROR(IF(INDEX(Fall!$1:$1048576,MATCH(All!$A319,Fall!$A:$A,FALSE),MATCH(All!J$1,Fall!$1:$1,FALSE))="","",INDEX(Fall!$1:$1048576,MATCH(All!$A319,Fall!$A:$A,FALSE),MATCH(All!J$1,Fall!$1:$1,FALSE))),"")</f>
        <v/>
      </c>
      <c r="K319" t="str">
        <f>IFERROR(IF(INDEX(Fall!$1:$1048576,MATCH(All!$A319,Fall!$A:$A,FALSE),MATCH(All!K$1,Fall!$1:$1,FALSE))="","",INDEX(Fall!$1:$1048576,MATCH(All!$A319,Fall!$A:$A,FALSE),MATCH(All!K$1,Fall!$1:$1,FALSE))),"")</f>
        <v/>
      </c>
      <c r="L319" t="str">
        <f>IFERROR(IF(INDEX(Fall!$1:$1048576,MATCH(All!$A319,Fall!$A:$A,FALSE),MATCH(All!L$1,Fall!$1:$1,FALSE))="","",INDEX(Fall!$1:$1048576,MATCH(All!$A319,Fall!$A:$A,FALSE),MATCH(All!L$1,Fall!$1:$1,FALSE))),"")</f>
        <v/>
      </c>
      <c r="M319" t="str">
        <f>IFERROR(IF(INDEX(Fall!$1:$1048576,MATCH(All!$A319,Fall!$A:$A,FALSE),MATCH(All!M$1,Fall!$1:$1,FALSE))="","",INDEX(Fall!$1:$1048576,MATCH(All!$A319,Fall!$A:$A,FALSE),MATCH(All!M$1,Fall!$1:$1,FALSE))),"")</f>
        <v>3A</v>
      </c>
      <c r="O319">
        <f>IFERROR(IF(INDEX(Winter!$1:$1048576,MATCH(All!$A319,Winter!$A:$A,FALSE),MATCH(All!O$1,Winter!$1:$1,FALSE))="","",INDEX(Winter!$1:$1048576,MATCH(All!$A319,Winter!$A:$A,FALSE),MATCH(All!O$1,Winter!$1:$1,FALSE))),"")</f>
        <v>1146</v>
      </c>
      <c r="P319" t="str">
        <f>IFERROR(IF(INDEX(Winter!$1:$1048576,MATCH(All!$A319,Winter!$A:$A,FALSE),MATCH(All!P$1,Winter!$1:$1,FALSE))="","",INDEX(Winter!$1:$1048576,MATCH(All!$A319,Winter!$A:$A,FALSE),MATCH(All!P$1,Winter!$1:$1,FALSE))),"")</f>
        <v>3A</v>
      </c>
      <c r="Q319" t="str">
        <f>IFERROR(IF(INDEX(Winter!$1:$1048576,MATCH(All!$A319,Winter!$A:$A,FALSE),MATCH(All!Q$1,Winter!$1:$1,FALSE))="","",INDEX(Winter!$1:$1048576,MATCH(All!$A319,Winter!$A:$A,FALSE),MATCH(All!Q$1,Winter!$1:$1,FALSE))),"")</f>
        <v>3A</v>
      </c>
      <c r="R319" t="str">
        <f>IFERROR(IF(INDEX(Winter!$1:$1048576,MATCH(All!$A319,Winter!$A:$A,FALSE),MATCH(All!R$1,Winter!$1:$1,FALSE))="","",INDEX(Winter!$1:$1048576,MATCH(All!$A319,Winter!$A:$A,FALSE),MATCH(All!R$1,Winter!$1:$1,FALSE))),"")</f>
        <v/>
      </c>
      <c r="S319" t="str">
        <f>IFERROR(IF(INDEX(Winter!$1:$1048576,MATCH(All!$A319,Winter!$A:$A,FALSE),MATCH(All!S$1,Winter!$1:$1,FALSE))="","",INDEX(Winter!$1:$1048576,MATCH(All!$A319,Winter!$A:$A,FALSE),MATCH(All!S$1,Winter!$1:$1,FALSE))),"")</f>
        <v/>
      </c>
      <c r="T319" t="str">
        <f>IFERROR(IF(INDEX(Winter!$1:$1048576,MATCH(All!$A319,Winter!$A:$A,FALSE),MATCH(All!T$1,Winter!$1:$1,FALSE))="","",INDEX(Winter!$1:$1048576,MATCH(All!$A319,Winter!$A:$A,FALSE),MATCH(All!T$1,Winter!$1:$1,FALSE))),"")</f>
        <v/>
      </c>
      <c r="U319" t="str">
        <f>IFERROR(IF(INDEX(Winter!$1:$1048576,MATCH(All!$A319,Winter!$A:$A,FALSE),MATCH(All!U$1,Winter!$1:$1,FALSE))="","",INDEX(Winter!$1:$1048576,MATCH(All!$A319,Winter!$A:$A,FALSE),MATCH(All!U$1,Winter!$1:$1,FALSE))),"")</f>
        <v>2A</v>
      </c>
      <c r="W319">
        <f>IFERROR(IF(INDEX(Spring!$1:$1048576,MATCH(All!$A319,Spring!$A:$A,FALSE),MATCH(All!W$1,Spring!$1:$1,FALSE))="","",INDEX(Spring!$1:$1048576,MATCH(All!$A319,Spring!$A:$A,FALSE),MATCH(All!W$1,Spring!$1:$1,FALSE))),"")</f>
        <v>1146</v>
      </c>
      <c r="X319" t="str">
        <f>IFERROR(IF(INDEX(Spring!$1:$1048576,MATCH(All!$A319,Spring!$A:$A,FALSE),MATCH(All!X$1,Spring!$1:$1,FALSE))="","",INDEX(Spring!$1:$1048576,MATCH(All!$A319,Spring!$A:$A,FALSE),MATCH(All!X$1,Spring!$1:$1,FALSE))),"")</f>
        <v>3A</v>
      </c>
      <c r="Y319" t="str">
        <f>IFERROR(IF(INDEX(Spring!$1:$1048576,MATCH(All!$A319,Spring!$A:$A,FALSE),MATCH(All!Y$1,Spring!$1:$1,FALSE))="","",INDEX(Spring!$1:$1048576,MATCH(All!$A319,Spring!$A:$A,FALSE),MATCH(All!Y$1,Spring!$1:$1,FALSE))),"")</f>
        <v>3A</v>
      </c>
      <c r="Z319" t="str">
        <f>IFERROR(IF(INDEX(Spring!$1:$1048576,MATCH(All!$A319,Spring!$A:$A,FALSE),MATCH(All!Z$1,Spring!$1:$1,FALSE))="","",INDEX(Spring!$1:$1048576,MATCH(All!$A319,Spring!$A:$A,FALSE),MATCH(All!Z$1,Spring!$1:$1,FALSE))),"")</f>
        <v/>
      </c>
      <c r="AA319" t="str">
        <f>IFERROR(IF(INDEX(Spring!$1:$1048576,MATCH(All!$A319,Spring!$A:$A,FALSE),MATCH(All!AA$1,Spring!$1:$1,FALSE))="","",INDEX(Spring!$1:$1048576,MATCH(All!$A319,Spring!$A:$A,FALSE),MATCH(All!AA$1,Spring!$1:$1,FALSE))),"")</f>
        <v/>
      </c>
      <c r="AB319" t="str">
        <f>IFERROR(IF(INDEX(Spring!$1:$1048576,MATCH(All!$A319,Spring!$A:$A,FALSE),MATCH(All!AB$1,Spring!$1:$1,FALSE))="","",INDEX(Spring!$1:$1048576,MATCH(All!$A319,Spring!$A:$A,FALSE),MATCH(All!AB$1,Spring!$1:$1,FALSE))),"")</f>
        <v>2A</v>
      </c>
      <c r="AC319" t="str">
        <f>IFERROR(IF(INDEX(Spring!$1:$1048576,MATCH(All!$A319,Spring!$A:$A,FALSE),MATCH(All!AC$1,Spring!$1:$1,FALSE))="","",INDEX(Spring!$1:$1048576,MATCH(All!$A319,Spring!$A:$A,FALSE),MATCH(All!AC$1,Spring!$1:$1,FALSE))),"")</f>
        <v>2A</v>
      </c>
      <c r="AD319" t="str">
        <f>IFERROR(VLOOKUP(A319,'Flag Football'!A:A,1,FALSE),"")</f>
        <v>East St. Louis (Sr.)</v>
      </c>
      <c r="AE319" t="str">
        <f t="shared" si="4"/>
        <v>1A</v>
      </c>
    </row>
    <row r="320" spans="1:31" ht="15.75" thickBot="1" x14ac:dyDescent="0.3">
      <c r="A320" s="18" t="s">
        <v>401</v>
      </c>
      <c r="B320" s="38">
        <f>IFERROR(VLOOKUP(A320,'Public v Private'!A:G,3,FALSE),"")</f>
        <v>0</v>
      </c>
      <c r="C320" s="38">
        <f>IFERROR(VLOOKUP(A320,'Public v Private'!A:G,4,FALSE),"")</f>
        <v>0</v>
      </c>
      <c r="D320" s="38">
        <f>IFERROR(VLOOKUP(A320,'Public v Private'!A:G,5,FALSE),"")</f>
        <v>0</v>
      </c>
      <c r="E320" s="38"/>
      <c r="F320" s="40">
        <f>IFERROR(INDEX(Fall!$1:$1048576,MATCH(All!$A320,Fall!$A:$A,FALSE),MATCH(All!F$1,Fall!$1:$1,FALSE)),"N/A")</f>
        <v>72</v>
      </c>
      <c r="G320" t="str">
        <f>IFERROR(IF(INDEX(Fall!$1:$1048576,MATCH(All!$A320,Fall!$A:$A,FALSE),MATCH(All!G$1,Fall!$1:$1,FALSE))="","",INDEX(Fall!$1:$1048576,MATCH(All!$A320,Fall!$A:$A,FALSE),MATCH(All!G$1,Fall!$1:$1,FALSE))),"")</f>
        <v/>
      </c>
      <c r="H320" t="str">
        <f>IFERROR(IF(INDEX(Fall!$1:$1048576,MATCH(All!$A320,Fall!$A:$A,FALSE),MATCH(All!H$1,Fall!$1:$1,FALSE))="","",INDEX(Fall!$1:$1048576,MATCH(All!$A320,Fall!$A:$A,FALSE),MATCH(All!H$1,Fall!$1:$1,FALSE))),"")</f>
        <v/>
      </c>
      <c r="I320" t="str">
        <f>IFERROR(IF(INDEX(Fall!$1:$1048576,MATCH(All!$A320,Fall!$A:$A,FALSE),MATCH(All!I$1,Fall!$1:$1,FALSE))="","",INDEX(Fall!$1:$1048576,MATCH(All!$A320,Fall!$A:$A,FALSE),MATCH(All!I$1,Fall!$1:$1,FALSE))),"")</f>
        <v/>
      </c>
      <c r="J320" t="str">
        <f>IFERROR(IF(INDEX(Fall!$1:$1048576,MATCH(All!$A320,Fall!$A:$A,FALSE),MATCH(All!J$1,Fall!$1:$1,FALSE))="","",INDEX(Fall!$1:$1048576,MATCH(All!$A320,Fall!$A:$A,FALSE),MATCH(All!J$1,Fall!$1:$1,FALSE))),"")</f>
        <v/>
      </c>
      <c r="K320" t="str">
        <f>IFERROR(IF(INDEX(Fall!$1:$1048576,MATCH(All!$A320,Fall!$A:$A,FALSE),MATCH(All!K$1,Fall!$1:$1,FALSE))="","",INDEX(Fall!$1:$1048576,MATCH(All!$A320,Fall!$A:$A,FALSE),MATCH(All!K$1,Fall!$1:$1,FALSE))),"")</f>
        <v/>
      </c>
      <c r="L320" t="str">
        <f>IFERROR(IF(INDEX(Fall!$1:$1048576,MATCH(All!$A320,Fall!$A:$A,FALSE),MATCH(All!L$1,Fall!$1:$1,FALSE))="","",INDEX(Fall!$1:$1048576,MATCH(All!$A320,Fall!$A:$A,FALSE),MATCH(All!L$1,Fall!$1:$1,FALSE))),"")</f>
        <v/>
      </c>
      <c r="M320" t="str">
        <f>IFERROR(IF(INDEX(Fall!$1:$1048576,MATCH(All!$A320,Fall!$A:$A,FALSE),MATCH(All!M$1,Fall!$1:$1,FALSE))="","",INDEX(Fall!$1:$1048576,MATCH(All!$A320,Fall!$A:$A,FALSE),MATCH(All!M$1,Fall!$1:$1,FALSE))),"")</f>
        <v>1A</v>
      </c>
      <c r="O320">
        <f>IFERROR(IF(INDEX(Winter!$1:$1048576,MATCH(All!$A320,Winter!$A:$A,FALSE),MATCH(All!O$1,Winter!$1:$1,FALSE))="","",INDEX(Winter!$1:$1048576,MATCH(All!$A320,Winter!$A:$A,FALSE),MATCH(All!O$1,Winter!$1:$1,FALSE))),"")</f>
        <v>72</v>
      </c>
      <c r="P320" t="str">
        <f>IFERROR(IF(INDEX(Winter!$1:$1048576,MATCH(All!$A320,Winter!$A:$A,FALSE),MATCH(All!P$1,Winter!$1:$1,FALSE))="","",INDEX(Winter!$1:$1048576,MATCH(All!$A320,Winter!$A:$A,FALSE),MATCH(All!P$1,Winter!$1:$1,FALSE))),"")</f>
        <v>1A</v>
      </c>
      <c r="Q320" t="str">
        <f>IFERROR(IF(INDEX(Winter!$1:$1048576,MATCH(All!$A320,Winter!$A:$A,FALSE),MATCH(All!Q$1,Winter!$1:$1,FALSE))="","",INDEX(Winter!$1:$1048576,MATCH(All!$A320,Winter!$A:$A,FALSE),MATCH(All!Q$1,Winter!$1:$1,FALSE))),"")</f>
        <v/>
      </c>
      <c r="R320" t="str">
        <f>IFERROR(IF(INDEX(Winter!$1:$1048576,MATCH(All!$A320,Winter!$A:$A,FALSE),MATCH(All!R$1,Winter!$1:$1,FALSE))="","",INDEX(Winter!$1:$1048576,MATCH(All!$A320,Winter!$A:$A,FALSE),MATCH(All!R$1,Winter!$1:$1,FALSE))),"")</f>
        <v/>
      </c>
      <c r="S320" t="str">
        <f>IFERROR(IF(INDEX(Winter!$1:$1048576,MATCH(All!$A320,Winter!$A:$A,FALSE),MATCH(All!S$1,Winter!$1:$1,FALSE))="","",INDEX(Winter!$1:$1048576,MATCH(All!$A320,Winter!$A:$A,FALSE),MATCH(All!S$1,Winter!$1:$1,FALSE))),"")</f>
        <v/>
      </c>
      <c r="T320" t="str">
        <f>IFERROR(IF(INDEX(Winter!$1:$1048576,MATCH(All!$A320,Winter!$A:$A,FALSE),MATCH(All!T$1,Winter!$1:$1,FALSE))="","",INDEX(Winter!$1:$1048576,MATCH(All!$A320,Winter!$A:$A,FALSE),MATCH(All!T$1,Winter!$1:$1,FALSE))),"")</f>
        <v>1A</v>
      </c>
      <c r="U320" t="str">
        <f>IFERROR(IF(INDEX(Winter!$1:$1048576,MATCH(All!$A320,Winter!$A:$A,FALSE),MATCH(All!U$1,Winter!$1:$1,FALSE))="","",INDEX(Winter!$1:$1048576,MATCH(All!$A320,Winter!$A:$A,FALSE),MATCH(All!U$1,Winter!$1:$1,FALSE))),"")</f>
        <v/>
      </c>
      <c r="W320">
        <f>IFERROR(IF(INDEX(Spring!$1:$1048576,MATCH(All!$A320,Spring!$A:$A,FALSE),MATCH(All!W$1,Spring!$1:$1,FALSE))="","",INDEX(Spring!$1:$1048576,MATCH(All!$A320,Spring!$A:$A,FALSE),MATCH(All!W$1,Spring!$1:$1,FALSE))),"")</f>
        <v>72</v>
      </c>
      <c r="X320" t="str">
        <f>IFERROR(IF(INDEX(Spring!$1:$1048576,MATCH(All!$A320,Spring!$A:$A,FALSE),MATCH(All!X$1,Spring!$1:$1,FALSE))="","",INDEX(Spring!$1:$1048576,MATCH(All!$A320,Spring!$A:$A,FALSE),MATCH(All!X$1,Spring!$1:$1,FALSE))),"")</f>
        <v>1A</v>
      </c>
      <c r="Y320" t="str">
        <f>IFERROR(IF(INDEX(Spring!$1:$1048576,MATCH(All!$A320,Spring!$A:$A,FALSE),MATCH(All!Y$1,Spring!$1:$1,FALSE))="","",INDEX(Spring!$1:$1048576,MATCH(All!$A320,Spring!$A:$A,FALSE),MATCH(All!Y$1,Spring!$1:$1,FALSE))),"")</f>
        <v/>
      </c>
      <c r="Z320" t="str">
        <f>IFERROR(IF(INDEX(Spring!$1:$1048576,MATCH(All!$A320,Spring!$A:$A,FALSE),MATCH(All!Z$1,Spring!$1:$1,FALSE))="","",INDEX(Spring!$1:$1048576,MATCH(All!$A320,Spring!$A:$A,FALSE),MATCH(All!Z$1,Spring!$1:$1,FALSE))),"")</f>
        <v/>
      </c>
      <c r="AA320" t="str">
        <f>IFERROR(IF(INDEX(Spring!$1:$1048576,MATCH(All!$A320,Spring!$A:$A,FALSE),MATCH(All!AA$1,Spring!$1:$1,FALSE))="","",INDEX(Spring!$1:$1048576,MATCH(All!$A320,Spring!$A:$A,FALSE),MATCH(All!AA$1,Spring!$1:$1,FALSE))),"")</f>
        <v/>
      </c>
      <c r="AB320" t="str">
        <f>IFERROR(IF(INDEX(Spring!$1:$1048576,MATCH(All!$A320,Spring!$A:$A,FALSE),MATCH(All!AB$1,Spring!$1:$1,FALSE))="","",INDEX(Spring!$1:$1048576,MATCH(All!$A320,Spring!$A:$A,FALSE),MATCH(All!AB$1,Spring!$1:$1,FALSE))),"")</f>
        <v>1A</v>
      </c>
      <c r="AC320" t="str">
        <f>IFERROR(IF(INDEX(Spring!$1:$1048576,MATCH(All!$A320,Spring!$A:$A,FALSE),MATCH(All!AC$1,Spring!$1:$1,FALSE))="","",INDEX(Spring!$1:$1048576,MATCH(All!$A320,Spring!$A:$A,FALSE),MATCH(All!AC$1,Spring!$1:$1,FALSE))),"")</f>
        <v>1A</v>
      </c>
      <c r="AD320" t="str">
        <f>IFERROR(VLOOKUP(A320,'Flag Football'!A:A,1,FALSE),"")</f>
        <v/>
      </c>
      <c r="AE320" t="str">
        <f t="shared" si="4"/>
        <v/>
      </c>
    </row>
    <row r="321" spans="1:31" ht="15.75" thickBot="1" x14ac:dyDescent="0.3">
      <c r="A321" s="20" t="s">
        <v>402</v>
      </c>
      <c r="B321" s="38">
        <f>IFERROR(VLOOKUP(A321,'Public v Private'!A:G,3,FALSE),"")</f>
        <v>0</v>
      </c>
      <c r="C321" s="38">
        <f>IFERROR(VLOOKUP(A321,'Public v Private'!A:G,4,FALSE),"")</f>
        <v>0</v>
      </c>
      <c r="D321" s="38">
        <f>IFERROR(VLOOKUP(A321,'Public v Private'!A:G,5,FALSE),"")</f>
        <v>0</v>
      </c>
      <c r="E321" s="38"/>
      <c r="F321" s="40">
        <f>IFERROR(INDEX(Fall!$1:$1048576,MATCH(All!$A321,Fall!$A:$A,FALSE),MATCH(All!F$1,Fall!$1:$1,FALSE)),"N/A")</f>
        <v>2331</v>
      </c>
      <c r="G321" t="str">
        <f>IFERROR(IF(INDEX(Fall!$1:$1048576,MATCH(All!$A321,Fall!$A:$A,FALSE),MATCH(All!G$1,Fall!$1:$1,FALSE))="","",INDEX(Fall!$1:$1048576,MATCH(All!$A321,Fall!$A:$A,FALSE),MATCH(All!G$1,Fall!$1:$1,FALSE))),"")</f>
        <v>3A</v>
      </c>
      <c r="H321" t="str">
        <f>IFERROR(IF(INDEX(Fall!$1:$1048576,MATCH(All!$A321,Fall!$A:$A,FALSE),MATCH(All!H$1,Fall!$1:$1,FALSE))="","",INDEX(Fall!$1:$1048576,MATCH(All!$A321,Fall!$A:$A,FALSE),MATCH(All!H$1,Fall!$1:$1,FALSE))),"")</f>
        <v>3A</v>
      </c>
      <c r="I321" t="str">
        <f>IFERROR(IF(INDEX(Fall!$1:$1048576,MATCH(All!$A321,Fall!$A:$A,FALSE),MATCH(All!I$1,Fall!$1:$1,FALSE))="","",INDEX(Fall!$1:$1048576,MATCH(All!$A321,Fall!$A:$A,FALSE),MATCH(All!I$1,Fall!$1:$1,FALSE))),"")</f>
        <v>3A</v>
      </c>
      <c r="J321" t="str">
        <f>IFERROR(IF(INDEX(Fall!$1:$1048576,MATCH(All!$A321,Fall!$A:$A,FALSE),MATCH(All!J$1,Fall!$1:$1,FALSE))="","",INDEX(Fall!$1:$1048576,MATCH(All!$A321,Fall!$A:$A,FALSE),MATCH(All!J$1,Fall!$1:$1,FALSE))),"")</f>
        <v>2A</v>
      </c>
      <c r="K321" t="str">
        <f>IFERROR(IF(INDEX(Fall!$1:$1048576,MATCH(All!$A321,Fall!$A:$A,FALSE),MATCH(All!K$1,Fall!$1:$1,FALSE))="","",INDEX(Fall!$1:$1048576,MATCH(All!$A321,Fall!$A:$A,FALSE),MATCH(All!K$1,Fall!$1:$1,FALSE))),"")</f>
        <v>3A</v>
      </c>
      <c r="L321" t="str">
        <f>IFERROR(IF(INDEX(Fall!$1:$1048576,MATCH(All!$A321,Fall!$A:$A,FALSE),MATCH(All!L$1,Fall!$1:$1,FALSE))="","",INDEX(Fall!$1:$1048576,MATCH(All!$A321,Fall!$A:$A,FALSE),MATCH(All!L$1,Fall!$1:$1,FALSE))),"")</f>
        <v>2A</v>
      </c>
      <c r="M321" t="str">
        <f>IFERROR(IF(INDEX(Fall!$1:$1048576,MATCH(All!$A321,Fall!$A:$A,FALSE),MATCH(All!M$1,Fall!$1:$1,FALSE))="","",INDEX(Fall!$1:$1048576,MATCH(All!$A321,Fall!$A:$A,FALSE),MATCH(All!M$1,Fall!$1:$1,FALSE))),"")</f>
        <v>4A</v>
      </c>
      <c r="O321">
        <f>IFERROR(IF(INDEX(Winter!$1:$1048576,MATCH(All!$A321,Winter!$A:$A,FALSE),MATCH(All!O$1,Winter!$1:$1,FALSE))="","",INDEX(Winter!$1:$1048576,MATCH(All!$A321,Winter!$A:$A,FALSE),MATCH(All!O$1,Winter!$1:$1,FALSE))),"")</f>
        <v>2331</v>
      </c>
      <c r="P321" t="str">
        <f>IFERROR(IF(INDEX(Winter!$1:$1048576,MATCH(All!$A321,Winter!$A:$A,FALSE),MATCH(All!P$1,Winter!$1:$1,FALSE))="","",INDEX(Winter!$1:$1048576,MATCH(All!$A321,Winter!$A:$A,FALSE),MATCH(All!P$1,Winter!$1:$1,FALSE))),"")</f>
        <v>4A</v>
      </c>
      <c r="Q321" t="str">
        <f>IFERROR(IF(INDEX(Winter!$1:$1048576,MATCH(All!$A321,Winter!$A:$A,FALSE),MATCH(All!Q$1,Winter!$1:$1,FALSE))="","",INDEX(Winter!$1:$1048576,MATCH(All!$A321,Winter!$A:$A,FALSE),MATCH(All!Q$1,Winter!$1:$1,FALSE))),"")</f>
        <v>4A</v>
      </c>
      <c r="R321" t="str">
        <f>IFERROR(IF(INDEX(Winter!$1:$1048576,MATCH(All!$A321,Winter!$A:$A,FALSE),MATCH(All!R$1,Winter!$1:$1,FALSE))="","",INDEX(Winter!$1:$1048576,MATCH(All!$A321,Winter!$A:$A,FALSE),MATCH(All!R$1,Winter!$1:$1,FALSE))),"")</f>
        <v>3A</v>
      </c>
      <c r="S321" t="str">
        <f>IFERROR(IF(INDEX(Winter!$1:$1048576,MATCH(All!$A321,Winter!$A:$A,FALSE),MATCH(All!S$1,Winter!$1:$1,FALSE))="","",INDEX(Winter!$1:$1048576,MATCH(All!$A321,Winter!$A:$A,FALSE),MATCH(All!S$1,Winter!$1:$1,FALSE))),"")</f>
        <v>3A</v>
      </c>
      <c r="T321" t="str">
        <f>IFERROR(IF(INDEX(Winter!$1:$1048576,MATCH(All!$A321,Winter!$A:$A,FALSE),MATCH(All!T$1,Winter!$1:$1,FALSE))="","",INDEX(Winter!$1:$1048576,MATCH(All!$A321,Winter!$A:$A,FALSE),MATCH(All!T$1,Winter!$1:$1,FALSE))),"")</f>
        <v/>
      </c>
      <c r="U321" t="str">
        <f>IFERROR(IF(INDEX(Winter!$1:$1048576,MATCH(All!$A321,Winter!$A:$A,FALSE),MATCH(All!U$1,Winter!$1:$1,FALSE))="","",INDEX(Winter!$1:$1048576,MATCH(All!$A321,Winter!$A:$A,FALSE),MATCH(All!U$1,Winter!$1:$1,FALSE))),"")</f>
        <v>3A</v>
      </c>
      <c r="W321">
        <f>IFERROR(IF(INDEX(Spring!$1:$1048576,MATCH(All!$A321,Spring!$A:$A,FALSE),MATCH(All!W$1,Spring!$1:$1,FALSE))="","",INDEX(Spring!$1:$1048576,MATCH(All!$A321,Spring!$A:$A,FALSE),MATCH(All!W$1,Spring!$1:$1,FALSE))),"")</f>
        <v>2331</v>
      </c>
      <c r="X321" t="str">
        <f>IFERROR(IF(INDEX(Spring!$1:$1048576,MATCH(All!$A321,Spring!$A:$A,FALSE),MATCH(All!X$1,Spring!$1:$1,FALSE))="","",INDEX(Spring!$1:$1048576,MATCH(All!$A321,Spring!$A:$A,FALSE),MATCH(All!X$1,Spring!$1:$1,FALSE))),"")</f>
        <v>4A</v>
      </c>
      <c r="Y321" t="str">
        <f>IFERROR(IF(INDEX(Spring!$1:$1048576,MATCH(All!$A321,Spring!$A:$A,FALSE),MATCH(All!Y$1,Spring!$1:$1,FALSE))="","",INDEX(Spring!$1:$1048576,MATCH(All!$A321,Spring!$A:$A,FALSE),MATCH(All!Y$1,Spring!$1:$1,FALSE))),"")</f>
        <v>4A</v>
      </c>
      <c r="Z321" t="str">
        <f>IFERROR(IF(INDEX(Spring!$1:$1048576,MATCH(All!$A321,Spring!$A:$A,FALSE),MATCH(All!Z$1,Spring!$1:$1,FALSE))="","",INDEX(Spring!$1:$1048576,MATCH(All!$A321,Spring!$A:$A,FALSE),MATCH(All!Z$1,Spring!$1:$1,FALSE))),"")</f>
        <v>3A</v>
      </c>
      <c r="AA321" t="str">
        <f>IFERROR(IF(INDEX(Spring!$1:$1048576,MATCH(All!$A321,Spring!$A:$A,FALSE),MATCH(All!AA$1,Spring!$1:$1,FALSE))="","",INDEX(Spring!$1:$1048576,MATCH(All!$A321,Spring!$A:$A,FALSE),MATCH(All!AA$1,Spring!$1:$1,FALSE))),"")</f>
        <v>2A</v>
      </c>
      <c r="AB321" t="str">
        <f>IFERROR(IF(INDEX(Spring!$1:$1048576,MATCH(All!$A321,Spring!$A:$A,FALSE),MATCH(All!AB$1,Spring!$1:$1,FALSE))="","",INDEX(Spring!$1:$1048576,MATCH(All!$A321,Spring!$A:$A,FALSE),MATCH(All!AB$1,Spring!$1:$1,FALSE))),"")</f>
        <v>3A</v>
      </c>
      <c r="AC321" t="str">
        <f>IFERROR(IF(INDEX(Spring!$1:$1048576,MATCH(All!$A321,Spring!$A:$A,FALSE),MATCH(All!AC$1,Spring!$1:$1,FALSE))="","",INDEX(Spring!$1:$1048576,MATCH(All!$A321,Spring!$A:$A,FALSE),MATCH(All!AC$1,Spring!$1:$1,FALSE))),"")</f>
        <v>3A</v>
      </c>
      <c r="AD321" t="str">
        <f>IFERROR(VLOOKUP(A321,'Flag Football'!A:A,1,FALSE),"")</f>
        <v>Edwardsville (H.S.)</v>
      </c>
      <c r="AE321" t="str">
        <f t="shared" si="4"/>
        <v>1A</v>
      </c>
    </row>
    <row r="322" spans="1:31" ht="15.75" thickBot="1" x14ac:dyDescent="0.3">
      <c r="A322" s="18" t="s">
        <v>403</v>
      </c>
      <c r="B322" s="38" t="str">
        <f>IFERROR(VLOOKUP(A322,'Public v Private'!A:G,3,FALSE),"")</f>
        <v>private</v>
      </c>
      <c r="C322" s="38">
        <f>IFERROR(VLOOKUP(A322,'Public v Private'!A:G,4,FALSE),"")</f>
        <v>7</v>
      </c>
      <c r="D322" s="38">
        <f>IFERROR(VLOOKUP(A322,'Public v Private'!A:G,5,FALSE),"")</f>
        <v>19</v>
      </c>
      <c r="E322" s="38"/>
      <c r="F322" s="40" t="str">
        <f>IFERROR(INDEX(Fall!$1:$1048576,MATCH(All!$A322,Fall!$A:$A,FALSE),MATCH(All!F$1,Fall!$1:$1,FALSE)),"N/A")</f>
        <v>219.00 (361.35)</v>
      </c>
      <c r="G322" t="str">
        <f>IFERROR(IF(INDEX(Fall!$1:$1048576,MATCH(All!$A322,Fall!$A:$A,FALSE),MATCH(All!G$1,Fall!$1:$1,FALSE))="","",INDEX(Fall!$1:$1048576,MATCH(All!$A322,Fall!$A:$A,FALSE),MATCH(All!G$1,Fall!$1:$1,FALSE))),"")</f>
        <v>1A</v>
      </c>
      <c r="H322" t="str">
        <f>IFERROR(IF(INDEX(Fall!$1:$1048576,MATCH(All!$A322,Fall!$A:$A,FALSE),MATCH(All!H$1,Fall!$1:$1,FALSE))="","",INDEX(Fall!$1:$1048576,MATCH(All!$A322,Fall!$A:$A,FALSE),MATCH(All!H$1,Fall!$1:$1,FALSE))),"")</f>
        <v>1A</v>
      </c>
      <c r="I322" t="str">
        <f>IFERROR(IF(INDEX(Fall!$1:$1048576,MATCH(All!$A322,Fall!$A:$A,FALSE),MATCH(All!I$1,Fall!$1:$1,FALSE))="","",INDEX(Fall!$1:$1048576,MATCH(All!$A322,Fall!$A:$A,FALSE),MATCH(All!I$1,Fall!$1:$1,FALSE))),"")</f>
        <v>1A</v>
      </c>
      <c r="J322" t="str">
        <f>IFERROR(IF(INDEX(Fall!$1:$1048576,MATCH(All!$A322,Fall!$A:$A,FALSE),MATCH(All!J$1,Fall!$1:$1,FALSE))="","",INDEX(Fall!$1:$1048576,MATCH(All!$A322,Fall!$A:$A,FALSE),MATCH(All!J$1,Fall!$1:$1,FALSE))),"")</f>
        <v/>
      </c>
      <c r="K322" t="str">
        <f>IFERROR(IF(INDEX(Fall!$1:$1048576,MATCH(All!$A322,Fall!$A:$A,FALSE),MATCH(All!K$1,Fall!$1:$1,FALSE))="","",INDEX(Fall!$1:$1048576,MATCH(All!$A322,Fall!$A:$A,FALSE),MATCH(All!K$1,Fall!$1:$1,FALSE))),"")</f>
        <v>1A</v>
      </c>
      <c r="L322" t="str">
        <f>IFERROR(IF(INDEX(Fall!$1:$1048576,MATCH(All!$A322,Fall!$A:$A,FALSE),MATCH(All!L$1,Fall!$1:$1,FALSE))="","",INDEX(Fall!$1:$1048576,MATCH(All!$A322,Fall!$A:$A,FALSE),MATCH(All!L$1,Fall!$1:$1,FALSE))),"")</f>
        <v>1A</v>
      </c>
      <c r="M322" t="str">
        <f>IFERROR(IF(INDEX(Fall!$1:$1048576,MATCH(All!$A322,Fall!$A:$A,FALSE),MATCH(All!M$1,Fall!$1:$1,FALSE))="","",INDEX(Fall!$1:$1048576,MATCH(All!$A322,Fall!$A:$A,FALSE),MATCH(All!M$1,Fall!$1:$1,FALSE))),"")</f>
        <v>2A</v>
      </c>
      <c r="O322" t="str">
        <f>IFERROR(IF(INDEX(Winter!$1:$1048576,MATCH(All!$A322,Winter!$A:$A,FALSE),MATCH(All!O$1,Winter!$1:$1,FALSE))="","",INDEX(Winter!$1:$1048576,MATCH(All!$A322,Winter!$A:$A,FALSE),MATCH(All!O$1,Winter!$1:$1,FALSE))),"")</f>
        <v>219.00 (361.35)</v>
      </c>
      <c r="P322" t="str">
        <f>IFERROR(IF(INDEX(Winter!$1:$1048576,MATCH(All!$A322,Winter!$A:$A,FALSE),MATCH(All!P$1,Winter!$1:$1,FALSE))="","",INDEX(Winter!$1:$1048576,MATCH(All!$A322,Winter!$A:$A,FALSE),MATCH(All!P$1,Winter!$1:$1,FALSE))),"")</f>
        <v>2A</v>
      </c>
      <c r="Q322" t="str">
        <f>IFERROR(IF(INDEX(Winter!$1:$1048576,MATCH(All!$A322,Winter!$A:$A,FALSE),MATCH(All!Q$1,Winter!$1:$1,FALSE))="","",INDEX(Winter!$1:$1048576,MATCH(All!$A322,Winter!$A:$A,FALSE),MATCH(All!Q$1,Winter!$1:$1,FALSE))),"")</f>
        <v>2A</v>
      </c>
      <c r="R322" t="str">
        <f>IFERROR(IF(INDEX(Winter!$1:$1048576,MATCH(All!$A322,Winter!$A:$A,FALSE),MATCH(All!R$1,Winter!$1:$1,FALSE))="","",INDEX(Winter!$1:$1048576,MATCH(All!$A322,Winter!$A:$A,FALSE),MATCH(All!R$1,Winter!$1:$1,FALSE))),"")</f>
        <v/>
      </c>
      <c r="S322" t="str">
        <f>IFERROR(IF(INDEX(Winter!$1:$1048576,MATCH(All!$A322,Winter!$A:$A,FALSE),MATCH(All!S$1,Winter!$1:$1,FALSE))="","",INDEX(Winter!$1:$1048576,MATCH(All!$A322,Winter!$A:$A,FALSE),MATCH(All!S$1,Winter!$1:$1,FALSE))),"")</f>
        <v/>
      </c>
      <c r="T322" t="str">
        <f>IFERROR(IF(INDEX(Winter!$1:$1048576,MATCH(All!$A322,Winter!$A:$A,FALSE),MATCH(All!T$1,Winter!$1:$1,FALSE))="","",INDEX(Winter!$1:$1048576,MATCH(All!$A322,Winter!$A:$A,FALSE),MATCH(All!T$1,Winter!$1:$1,FALSE))),"")</f>
        <v>2A</v>
      </c>
      <c r="U322" t="str">
        <f>IFERROR(IF(INDEX(Winter!$1:$1048576,MATCH(All!$A322,Winter!$A:$A,FALSE),MATCH(All!U$1,Winter!$1:$1,FALSE))="","",INDEX(Winter!$1:$1048576,MATCH(All!$A322,Winter!$A:$A,FALSE),MATCH(All!U$1,Winter!$1:$1,FALSE))),"")</f>
        <v>1A</v>
      </c>
      <c r="W322" t="str">
        <f>IFERROR(IF(INDEX(Spring!$1:$1048576,MATCH(All!$A322,Spring!$A:$A,FALSE),MATCH(All!W$1,Spring!$1:$1,FALSE))="","",INDEX(Spring!$1:$1048576,MATCH(All!$A322,Spring!$A:$A,FALSE),MATCH(All!W$1,Spring!$1:$1,FALSE))),"")</f>
        <v>219.00 (361.35)</v>
      </c>
      <c r="X322" t="str">
        <f>IFERROR(IF(INDEX(Spring!$1:$1048576,MATCH(All!$A322,Spring!$A:$A,FALSE),MATCH(All!X$1,Spring!$1:$1,FALSE))="","",INDEX(Spring!$1:$1048576,MATCH(All!$A322,Spring!$A:$A,FALSE),MATCH(All!X$1,Spring!$1:$1,FALSE))),"")</f>
        <v>2A</v>
      </c>
      <c r="Y322" t="str">
        <f>IFERROR(IF(INDEX(Spring!$1:$1048576,MATCH(All!$A322,Spring!$A:$A,FALSE),MATCH(All!Y$1,Spring!$1:$1,FALSE))="","",INDEX(Spring!$1:$1048576,MATCH(All!$A322,Spring!$A:$A,FALSE),MATCH(All!Y$1,Spring!$1:$1,FALSE))),"")</f>
        <v/>
      </c>
      <c r="Z322" t="str">
        <f>IFERROR(IF(INDEX(Spring!$1:$1048576,MATCH(All!$A322,Spring!$A:$A,FALSE),MATCH(All!Z$1,Spring!$1:$1,FALSE))="","",INDEX(Spring!$1:$1048576,MATCH(All!$A322,Spring!$A:$A,FALSE),MATCH(All!Z$1,Spring!$1:$1,FALSE))),"")</f>
        <v>1A</v>
      </c>
      <c r="AA322" t="str">
        <f>IFERROR(IF(INDEX(Spring!$1:$1048576,MATCH(All!$A322,Spring!$A:$A,FALSE),MATCH(All!AA$1,Spring!$1:$1,FALSE))="","",INDEX(Spring!$1:$1048576,MATCH(All!$A322,Spring!$A:$A,FALSE),MATCH(All!AA$1,Spring!$1:$1,FALSE))),"")</f>
        <v>1A</v>
      </c>
      <c r="AB322" t="str">
        <f>IFERROR(IF(INDEX(Spring!$1:$1048576,MATCH(All!$A322,Spring!$A:$A,FALSE),MATCH(All!AB$1,Spring!$1:$1,FALSE))="","",INDEX(Spring!$1:$1048576,MATCH(All!$A322,Spring!$A:$A,FALSE),MATCH(All!AB$1,Spring!$1:$1,FALSE))),"")</f>
        <v>1A</v>
      </c>
      <c r="AC322" t="str">
        <f>IFERROR(IF(INDEX(Spring!$1:$1048576,MATCH(All!$A322,Spring!$A:$A,FALSE),MATCH(All!AC$1,Spring!$1:$1,FALSE))="","",INDEX(Spring!$1:$1048576,MATCH(All!$A322,Spring!$A:$A,FALSE),MATCH(All!AC$1,Spring!$1:$1,FALSE))),"")</f>
        <v>1A</v>
      </c>
      <c r="AD322" t="str">
        <f>IFERROR(VLOOKUP(A322,'Flag Football'!A:A,1,FALSE),"")</f>
        <v/>
      </c>
      <c r="AE322" t="str">
        <f t="shared" si="4"/>
        <v/>
      </c>
    </row>
    <row r="323" spans="1:31" ht="15.75" thickBot="1" x14ac:dyDescent="0.3">
      <c r="A323" s="20" t="s">
        <v>405</v>
      </c>
      <c r="B323" s="38">
        <f>IFERROR(VLOOKUP(A323,'Public v Private'!A:G,3,FALSE),"")</f>
        <v>0</v>
      </c>
      <c r="C323" s="38">
        <f>IFERROR(VLOOKUP(A323,'Public v Private'!A:G,4,FALSE),"")</f>
        <v>0</v>
      </c>
      <c r="D323" s="38">
        <f>IFERROR(VLOOKUP(A323,'Public v Private'!A:G,5,FALSE),"")</f>
        <v>0</v>
      </c>
      <c r="E323" s="38"/>
      <c r="F323" s="40">
        <f>IFERROR(INDEX(Fall!$1:$1048576,MATCH(All!$A323,Fall!$A:$A,FALSE),MATCH(All!F$1,Fall!$1:$1,FALSE)),"N/A")</f>
        <v>676</v>
      </c>
      <c r="G323" t="str">
        <f>IFERROR(IF(INDEX(Fall!$1:$1048576,MATCH(All!$A323,Fall!$A:$A,FALSE),MATCH(All!G$1,Fall!$1:$1,FALSE))="","",INDEX(Fall!$1:$1048576,MATCH(All!$A323,Fall!$A:$A,FALSE),MATCH(All!G$1,Fall!$1:$1,FALSE))),"")</f>
        <v>2A</v>
      </c>
      <c r="H323" t="str">
        <f>IFERROR(IF(INDEX(Fall!$1:$1048576,MATCH(All!$A323,Fall!$A:$A,FALSE),MATCH(All!H$1,Fall!$1:$1,FALSE))="","",INDEX(Fall!$1:$1048576,MATCH(All!$A323,Fall!$A:$A,FALSE),MATCH(All!H$1,Fall!$1:$1,FALSE))),"")</f>
        <v>2A</v>
      </c>
      <c r="I323" t="str">
        <f>IFERROR(IF(INDEX(Fall!$1:$1048576,MATCH(All!$A323,Fall!$A:$A,FALSE),MATCH(All!I$1,Fall!$1:$1,FALSE))="","",INDEX(Fall!$1:$1048576,MATCH(All!$A323,Fall!$A:$A,FALSE),MATCH(All!I$1,Fall!$1:$1,FALSE))),"")</f>
        <v>2A</v>
      </c>
      <c r="J323" t="str">
        <f>IFERROR(IF(INDEX(Fall!$1:$1048576,MATCH(All!$A323,Fall!$A:$A,FALSE),MATCH(All!J$1,Fall!$1:$1,FALSE))="","",INDEX(Fall!$1:$1048576,MATCH(All!$A323,Fall!$A:$A,FALSE),MATCH(All!J$1,Fall!$1:$1,FALSE))),"")</f>
        <v>1A</v>
      </c>
      <c r="K323" t="str">
        <f>IFERROR(IF(INDEX(Fall!$1:$1048576,MATCH(All!$A323,Fall!$A:$A,FALSE),MATCH(All!K$1,Fall!$1:$1,FALSE))="","",INDEX(Fall!$1:$1048576,MATCH(All!$A323,Fall!$A:$A,FALSE),MATCH(All!K$1,Fall!$1:$1,FALSE))),"")</f>
        <v>1A</v>
      </c>
      <c r="L323" t="str">
        <f>IFERROR(IF(INDEX(Fall!$1:$1048576,MATCH(All!$A323,Fall!$A:$A,FALSE),MATCH(All!L$1,Fall!$1:$1,FALSE))="","",INDEX(Fall!$1:$1048576,MATCH(All!$A323,Fall!$A:$A,FALSE),MATCH(All!L$1,Fall!$1:$1,FALSE))),"")</f>
        <v>1A</v>
      </c>
      <c r="M323" t="str">
        <f>IFERROR(IF(INDEX(Fall!$1:$1048576,MATCH(All!$A323,Fall!$A:$A,FALSE),MATCH(All!M$1,Fall!$1:$1,FALSE))="","",INDEX(Fall!$1:$1048576,MATCH(All!$A323,Fall!$A:$A,FALSE),MATCH(All!M$1,Fall!$1:$1,FALSE))),"")</f>
        <v>2A</v>
      </c>
      <c r="O323">
        <f>IFERROR(IF(INDEX(Winter!$1:$1048576,MATCH(All!$A323,Winter!$A:$A,FALSE),MATCH(All!O$1,Winter!$1:$1,FALSE))="","",INDEX(Winter!$1:$1048576,MATCH(All!$A323,Winter!$A:$A,FALSE),MATCH(All!O$1,Winter!$1:$1,FALSE))),"")</f>
        <v>676</v>
      </c>
      <c r="P323" t="str">
        <f>IFERROR(IF(INDEX(Winter!$1:$1048576,MATCH(All!$A323,Winter!$A:$A,FALSE),MATCH(All!P$1,Winter!$1:$1,FALSE))="","",INDEX(Winter!$1:$1048576,MATCH(All!$A323,Winter!$A:$A,FALSE),MATCH(All!P$1,Winter!$1:$1,FALSE))),"")</f>
        <v>2A</v>
      </c>
      <c r="Q323" t="str">
        <f>IFERROR(IF(INDEX(Winter!$1:$1048576,MATCH(All!$A323,Winter!$A:$A,FALSE),MATCH(All!Q$1,Winter!$1:$1,FALSE))="","",INDEX(Winter!$1:$1048576,MATCH(All!$A323,Winter!$A:$A,FALSE),MATCH(All!Q$1,Winter!$1:$1,FALSE))),"")</f>
        <v>2A</v>
      </c>
      <c r="R323" t="str">
        <f>IFERROR(IF(INDEX(Winter!$1:$1048576,MATCH(All!$A323,Winter!$A:$A,FALSE),MATCH(All!R$1,Winter!$1:$1,FALSE))="","",INDEX(Winter!$1:$1048576,MATCH(All!$A323,Winter!$A:$A,FALSE),MATCH(All!R$1,Winter!$1:$1,FALSE))),"")</f>
        <v>1A</v>
      </c>
      <c r="S323" t="str">
        <f>IFERROR(IF(INDEX(Winter!$1:$1048576,MATCH(All!$A323,Winter!$A:$A,FALSE),MATCH(All!S$1,Winter!$1:$1,FALSE))="","",INDEX(Winter!$1:$1048576,MATCH(All!$A323,Winter!$A:$A,FALSE),MATCH(All!S$1,Winter!$1:$1,FALSE))),"")</f>
        <v/>
      </c>
      <c r="T323" t="str">
        <f>IFERROR(IF(INDEX(Winter!$1:$1048576,MATCH(All!$A323,Winter!$A:$A,FALSE),MATCH(All!T$1,Winter!$1:$1,FALSE))="","",INDEX(Winter!$1:$1048576,MATCH(All!$A323,Winter!$A:$A,FALSE),MATCH(All!T$1,Winter!$1:$1,FALSE))),"")</f>
        <v>2A</v>
      </c>
      <c r="U323" t="str">
        <f>IFERROR(IF(INDEX(Winter!$1:$1048576,MATCH(All!$A323,Winter!$A:$A,FALSE),MATCH(All!U$1,Winter!$1:$1,FALSE))="","",INDEX(Winter!$1:$1048576,MATCH(All!$A323,Winter!$A:$A,FALSE),MATCH(All!U$1,Winter!$1:$1,FALSE))),"")</f>
        <v>1A</v>
      </c>
      <c r="W323">
        <f>IFERROR(IF(INDEX(Spring!$1:$1048576,MATCH(All!$A323,Spring!$A:$A,FALSE),MATCH(All!W$1,Spring!$1:$1,FALSE))="","",INDEX(Spring!$1:$1048576,MATCH(All!$A323,Spring!$A:$A,FALSE),MATCH(All!W$1,Spring!$1:$1,FALSE))),"")</f>
        <v>676</v>
      </c>
      <c r="X323" t="str">
        <f>IFERROR(IF(INDEX(Spring!$1:$1048576,MATCH(All!$A323,Spring!$A:$A,FALSE),MATCH(All!X$1,Spring!$1:$1,FALSE))="","",INDEX(Spring!$1:$1048576,MATCH(All!$A323,Spring!$A:$A,FALSE),MATCH(All!X$1,Spring!$1:$1,FALSE))),"")</f>
        <v>2A</v>
      </c>
      <c r="Y323" t="str">
        <f>IFERROR(IF(INDEX(Spring!$1:$1048576,MATCH(All!$A323,Spring!$A:$A,FALSE),MATCH(All!Y$1,Spring!$1:$1,FALSE))="","",INDEX(Spring!$1:$1048576,MATCH(All!$A323,Spring!$A:$A,FALSE),MATCH(All!Y$1,Spring!$1:$1,FALSE))),"")</f>
        <v>2A</v>
      </c>
      <c r="Z323" t="str">
        <f>IFERROR(IF(INDEX(Spring!$1:$1048576,MATCH(All!$A323,Spring!$A:$A,FALSE),MATCH(All!Z$1,Spring!$1:$1,FALSE))="","",INDEX(Spring!$1:$1048576,MATCH(All!$A323,Spring!$A:$A,FALSE),MATCH(All!Z$1,Spring!$1:$1,FALSE))),"")</f>
        <v/>
      </c>
      <c r="AA323" t="str">
        <f>IFERROR(IF(INDEX(Spring!$1:$1048576,MATCH(All!$A323,Spring!$A:$A,FALSE),MATCH(All!AA$1,Spring!$1:$1,FALSE))="","",INDEX(Spring!$1:$1048576,MATCH(All!$A323,Spring!$A:$A,FALSE),MATCH(All!AA$1,Spring!$1:$1,FALSE))),"")</f>
        <v>1A</v>
      </c>
      <c r="AB323" t="str">
        <f>IFERROR(IF(INDEX(Spring!$1:$1048576,MATCH(All!$A323,Spring!$A:$A,FALSE),MATCH(All!AB$1,Spring!$1:$1,FALSE))="","",INDEX(Spring!$1:$1048576,MATCH(All!$A323,Spring!$A:$A,FALSE),MATCH(All!AB$1,Spring!$1:$1,FALSE))),"")</f>
        <v>2A</v>
      </c>
      <c r="AC323" t="str">
        <f>IFERROR(IF(INDEX(Spring!$1:$1048576,MATCH(All!$A323,Spring!$A:$A,FALSE),MATCH(All!AC$1,Spring!$1:$1,FALSE))="","",INDEX(Spring!$1:$1048576,MATCH(All!$A323,Spring!$A:$A,FALSE),MATCH(All!AC$1,Spring!$1:$1,FALSE))),"")</f>
        <v>2A</v>
      </c>
      <c r="AD323" t="str">
        <f>IFERROR(VLOOKUP(A323,'Flag Football'!A:A,1,FALSE),"")</f>
        <v/>
      </c>
      <c r="AE323" t="str">
        <f t="shared" ref="AE323:AE386" si="5">IF(AD323="","","1A")</f>
        <v/>
      </c>
    </row>
    <row r="324" spans="1:31" ht="15.75" thickBot="1" x14ac:dyDescent="0.3">
      <c r="A324" s="18" t="s">
        <v>406</v>
      </c>
      <c r="B324" s="38" t="str">
        <f>IFERROR(VLOOKUP(A324,'Public v Private'!A:G,3,FALSE),"")</f>
        <v>private</v>
      </c>
      <c r="C324" s="38">
        <f>IFERROR(VLOOKUP(A324,'Public v Private'!A:G,4,FALSE),"")</f>
        <v>5</v>
      </c>
      <c r="D324" s="38">
        <f>IFERROR(VLOOKUP(A324,'Public v Private'!A:G,5,FALSE),"")</f>
        <v>14</v>
      </c>
      <c r="E324" s="38"/>
      <c r="F324" s="40" t="str">
        <f>IFERROR(INDEX(Fall!$1:$1048576,MATCH(All!$A324,Fall!$A:$A,FALSE),MATCH(All!F$1,Fall!$1:$1,FALSE)),"N/A")</f>
        <v>218.00 (359.70)</v>
      </c>
      <c r="G324" t="str">
        <f>IFERROR(IF(INDEX(Fall!$1:$1048576,MATCH(All!$A324,Fall!$A:$A,FALSE),MATCH(All!G$1,Fall!$1:$1,FALSE))="","",INDEX(Fall!$1:$1048576,MATCH(All!$A324,Fall!$A:$A,FALSE),MATCH(All!G$1,Fall!$1:$1,FALSE))),"")</f>
        <v>1A</v>
      </c>
      <c r="H324" t="str">
        <f>IFERROR(IF(INDEX(Fall!$1:$1048576,MATCH(All!$A324,Fall!$A:$A,FALSE),MATCH(All!H$1,Fall!$1:$1,FALSE))="","",INDEX(Fall!$1:$1048576,MATCH(All!$A324,Fall!$A:$A,FALSE),MATCH(All!H$1,Fall!$1:$1,FALSE))),"")</f>
        <v>1A</v>
      </c>
      <c r="I324" t="str">
        <f>IFERROR(IF(INDEX(Fall!$1:$1048576,MATCH(All!$A324,Fall!$A:$A,FALSE),MATCH(All!I$1,Fall!$1:$1,FALSE))="","",INDEX(Fall!$1:$1048576,MATCH(All!$A324,Fall!$A:$A,FALSE),MATCH(All!I$1,Fall!$1:$1,FALSE))),"")</f>
        <v>2A</v>
      </c>
      <c r="J324" t="str">
        <f>IFERROR(IF(INDEX(Fall!$1:$1048576,MATCH(All!$A324,Fall!$A:$A,FALSE),MATCH(All!J$1,Fall!$1:$1,FALSE))="","",INDEX(Fall!$1:$1048576,MATCH(All!$A324,Fall!$A:$A,FALSE),MATCH(All!J$1,Fall!$1:$1,FALSE))),"")</f>
        <v>1A</v>
      </c>
      <c r="K324" t="str">
        <f>IFERROR(IF(INDEX(Fall!$1:$1048576,MATCH(All!$A324,Fall!$A:$A,FALSE),MATCH(All!K$1,Fall!$1:$1,FALSE))="","",INDEX(Fall!$1:$1048576,MATCH(All!$A324,Fall!$A:$A,FALSE),MATCH(All!K$1,Fall!$1:$1,FALSE))),"")</f>
        <v>1A</v>
      </c>
      <c r="L324" t="str">
        <f>IFERROR(IF(INDEX(Fall!$1:$1048576,MATCH(All!$A324,Fall!$A:$A,FALSE),MATCH(All!L$1,Fall!$1:$1,FALSE))="","",INDEX(Fall!$1:$1048576,MATCH(All!$A324,Fall!$A:$A,FALSE),MATCH(All!L$1,Fall!$1:$1,FALSE))),"")</f>
        <v>1A</v>
      </c>
      <c r="M324" t="str">
        <f>IFERROR(IF(INDEX(Fall!$1:$1048576,MATCH(All!$A324,Fall!$A:$A,FALSE),MATCH(All!M$1,Fall!$1:$1,FALSE))="","",INDEX(Fall!$1:$1048576,MATCH(All!$A324,Fall!$A:$A,FALSE),MATCH(All!M$1,Fall!$1:$1,FALSE))),"")</f>
        <v>2A</v>
      </c>
      <c r="O324" t="str">
        <f>IFERROR(IF(INDEX(Winter!$1:$1048576,MATCH(All!$A324,Winter!$A:$A,FALSE),MATCH(All!O$1,Winter!$1:$1,FALSE))="","",INDEX(Winter!$1:$1048576,MATCH(All!$A324,Winter!$A:$A,FALSE),MATCH(All!O$1,Winter!$1:$1,FALSE))),"")</f>
        <v>218.00 (359.70)</v>
      </c>
      <c r="P324" t="str">
        <f>IFERROR(IF(INDEX(Winter!$1:$1048576,MATCH(All!$A324,Winter!$A:$A,FALSE),MATCH(All!P$1,Winter!$1:$1,FALSE))="","",INDEX(Winter!$1:$1048576,MATCH(All!$A324,Winter!$A:$A,FALSE),MATCH(All!P$1,Winter!$1:$1,FALSE))),"")</f>
        <v>2A</v>
      </c>
      <c r="Q324" t="str">
        <f>IFERROR(IF(INDEX(Winter!$1:$1048576,MATCH(All!$A324,Winter!$A:$A,FALSE),MATCH(All!Q$1,Winter!$1:$1,FALSE))="","",INDEX(Winter!$1:$1048576,MATCH(All!$A324,Winter!$A:$A,FALSE),MATCH(All!Q$1,Winter!$1:$1,FALSE))),"")</f>
        <v>2A</v>
      </c>
      <c r="R324" t="str">
        <f>IFERROR(IF(INDEX(Winter!$1:$1048576,MATCH(All!$A324,Winter!$A:$A,FALSE),MATCH(All!R$1,Winter!$1:$1,FALSE))="","",INDEX(Winter!$1:$1048576,MATCH(All!$A324,Winter!$A:$A,FALSE),MATCH(All!R$1,Winter!$1:$1,FALSE))),"")</f>
        <v/>
      </c>
      <c r="S324" t="str">
        <f>IFERROR(IF(INDEX(Winter!$1:$1048576,MATCH(All!$A324,Winter!$A:$A,FALSE),MATCH(All!S$1,Winter!$1:$1,FALSE))="","",INDEX(Winter!$1:$1048576,MATCH(All!$A324,Winter!$A:$A,FALSE),MATCH(All!S$1,Winter!$1:$1,FALSE))),"")</f>
        <v>1A</v>
      </c>
      <c r="T324" t="str">
        <f>IFERROR(IF(INDEX(Winter!$1:$1048576,MATCH(All!$A324,Winter!$A:$A,FALSE),MATCH(All!T$1,Winter!$1:$1,FALSE))="","",INDEX(Winter!$1:$1048576,MATCH(All!$A324,Winter!$A:$A,FALSE),MATCH(All!T$1,Winter!$1:$1,FALSE))),"")</f>
        <v>1A</v>
      </c>
      <c r="U324" t="str">
        <f>IFERROR(IF(INDEX(Winter!$1:$1048576,MATCH(All!$A324,Winter!$A:$A,FALSE),MATCH(All!U$1,Winter!$1:$1,FALSE))="","",INDEX(Winter!$1:$1048576,MATCH(All!$A324,Winter!$A:$A,FALSE),MATCH(All!U$1,Winter!$1:$1,FALSE))),"")</f>
        <v/>
      </c>
      <c r="W324" t="str">
        <f>IFERROR(IF(INDEX(Spring!$1:$1048576,MATCH(All!$A324,Spring!$A:$A,FALSE),MATCH(All!W$1,Spring!$1:$1,FALSE))="","",INDEX(Spring!$1:$1048576,MATCH(All!$A324,Spring!$A:$A,FALSE),MATCH(All!W$1,Spring!$1:$1,FALSE))),"")</f>
        <v>218.00 (359.70)</v>
      </c>
      <c r="X324" t="str">
        <f>IFERROR(IF(INDEX(Spring!$1:$1048576,MATCH(All!$A324,Spring!$A:$A,FALSE),MATCH(All!X$1,Spring!$1:$1,FALSE))="","",INDEX(Spring!$1:$1048576,MATCH(All!$A324,Spring!$A:$A,FALSE),MATCH(All!X$1,Spring!$1:$1,FALSE))),"")</f>
        <v>2A</v>
      </c>
      <c r="Y324" t="str">
        <f>IFERROR(IF(INDEX(Spring!$1:$1048576,MATCH(All!$A324,Spring!$A:$A,FALSE),MATCH(All!Y$1,Spring!$1:$1,FALSE))="","",INDEX(Spring!$1:$1048576,MATCH(All!$A324,Spring!$A:$A,FALSE),MATCH(All!Y$1,Spring!$1:$1,FALSE))),"")</f>
        <v>2A</v>
      </c>
      <c r="Z324" t="str">
        <f>IFERROR(IF(INDEX(Spring!$1:$1048576,MATCH(All!$A324,Spring!$A:$A,FALSE),MATCH(All!Z$1,Spring!$1:$1,FALSE))="","",INDEX(Spring!$1:$1048576,MATCH(All!$A324,Spring!$A:$A,FALSE),MATCH(All!Z$1,Spring!$1:$1,FALSE))),"")</f>
        <v/>
      </c>
      <c r="AA324" t="str">
        <f>IFERROR(IF(INDEX(Spring!$1:$1048576,MATCH(All!$A324,Spring!$A:$A,FALSE),MATCH(All!AA$1,Spring!$1:$1,FALSE))="","",INDEX(Spring!$1:$1048576,MATCH(All!$A324,Spring!$A:$A,FALSE),MATCH(All!AA$1,Spring!$1:$1,FALSE))),"")</f>
        <v>1A</v>
      </c>
      <c r="AB324" t="str">
        <f>IFERROR(IF(INDEX(Spring!$1:$1048576,MATCH(All!$A324,Spring!$A:$A,FALSE),MATCH(All!AB$1,Spring!$1:$1,FALSE))="","",INDEX(Spring!$1:$1048576,MATCH(All!$A324,Spring!$A:$A,FALSE),MATCH(All!AB$1,Spring!$1:$1,FALSE))),"")</f>
        <v>1A</v>
      </c>
      <c r="AC324" t="str">
        <f>IFERROR(IF(INDEX(Spring!$1:$1048576,MATCH(All!$A324,Spring!$A:$A,FALSE),MATCH(All!AC$1,Spring!$1:$1,FALSE))="","",INDEX(Spring!$1:$1048576,MATCH(All!$A324,Spring!$A:$A,FALSE),MATCH(All!AC$1,Spring!$1:$1,FALSE))),"")</f>
        <v>1A</v>
      </c>
      <c r="AD324" t="str">
        <f>IFERROR(VLOOKUP(A324,'Flag Football'!A:A,1,FALSE),"")</f>
        <v/>
      </c>
      <c r="AE324" t="str">
        <f t="shared" si="5"/>
        <v/>
      </c>
    </row>
    <row r="325" spans="1:31" ht="15.75" thickBot="1" x14ac:dyDescent="0.3">
      <c r="A325" s="20" t="s">
        <v>408</v>
      </c>
      <c r="B325" s="38">
        <f>IFERROR(VLOOKUP(A325,'Public v Private'!A:G,3,FALSE),"")</f>
        <v>0</v>
      </c>
      <c r="C325" s="38">
        <f>IFERROR(VLOOKUP(A325,'Public v Private'!A:G,4,FALSE),"")</f>
        <v>0</v>
      </c>
      <c r="D325" s="38">
        <f>IFERROR(VLOOKUP(A325,'Public v Private'!A:G,5,FALSE),"")</f>
        <v>0</v>
      </c>
      <c r="E325" s="38"/>
      <c r="F325" s="40">
        <f>IFERROR(INDEX(Fall!$1:$1048576,MATCH(All!$A325,Fall!$A:$A,FALSE),MATCH(All!F$1,Fall!$1:$1,FALSE)),"N/A")</f>
        <v>355</v>
      </c>
      <c r="G325" t="str">
        <f>IFERROR(IF(INDEX(Fall!$1:$1048576,MATCH(All!$A325,Fall!$A:$A,FALSE),MATCH(All!G$1,Fall!$1:$1,FALSE))="","",INDEX(Fall!$1:$1048576,MATCH(All!$A325,Fall!$A:$A,FALSE),MATCH(All!G$1,Fall!$1:$1,FALSE))),"")</f>
        <v>1A</v>
      </c>
      <c r="H325" t="str">
        <f>IFERROR(IF(INDEX(Fall!$1:$1048576,MATCH(All!$A325,Fall!$A:$A,FALSE),MATCH(All!H$1,Fall!$1:$1,FALSE))="","",INDEX(Fall!$1:$1048576,MATCH(All!$A325,Fall!$A:$A,FALSE),MATCH(All!H$1,Fall!$1:$1,FALSE))),"")</f>
        <v>1A</v>
      </c>
      <c r="I325" t="str">
        <f>IFERROR(IF(INDEX(Fall!$1:$1048576,MATCH(All!$A325,Fall!$A:$A,FALSE),MATCH(All!I$1,Fall!$1:$1,FALSE))="","",INDEX(Fall!$1:$1048576,MATCH(All!$A325,Fall!$A:$A,FALSE),MATCH(All!I$1,Fall!$1:$1,FALSE))),"")</f>
        <v>1A</v>
      </c>
      <c r="J325" t="str">
        <f>IFERROR(IF(INDEX(Fall!$1:$1048576,MATCH(All!$A325,Fall!$A:$A,FALSE),MATCH(All!J$1,Fall!$1:$1,FALSE))="","",INDEX(Fall!$1:$1048576,MATCH(All!$A325,Fall!$A:$A,FALSE),MATCH(All!J$1,Fall!$1:$1,FALSE))),"")</f>
        <v>1A</v>
      </c>
      <c r="K325" t="str">
        <f>IFERROR(IF(INDEX(Fall!$1:$1048576,MATCH(All!$A325,Fall!$A:$A,FALSE),MATCH(All!K$1,Fall!$1:$1,FALSE))="","",INDEX(Fall!$1:$1048576,MATCH(All!$A325,Fall!$A:$A,FALSE),MATCH(All!K$1,Fall!$1:$1,FALSE))),"")</f>
        <v/>
      </c>
      <c r="L325" t="str">
        <f>IFERROR(IF(INDEX(Fall!$1:$1048576,MATCH(All!$A325,Fall!$A:$A,FALSE),MATCH(All!L$1,Fall!$1:$1,FALSE))="","",INDEX(Fall!$1:$1048576,MATCH(All!$A325,Fall!$A:$A,FALSE),MATCH(All!L$1,Fall!$1:$1,FALSE))),"")</f>
        <v/>
      </c>
      <c r="M325" t="str">
        <f>IFERROR(IF(INDEX(Fall!$1:$1048576,MATCH(All!$A325,Fall!$A:$A,FALSE),MATCH(All!M$1,Fall!$1:$1,FALSE))="","",INDEX(Fall!$1:$1048576,MATCH(All!$A325,Fall!$A:$A,FALSE),MATCH(All!M$1,Fall!$1:$1,FALSE))),"")</f>
        <v>2A</v>
      </c>
      <c r="O325">
        <f>IFERROR(IF(INDEX(Winter!$1:$1048576,MATCH(All!$A325,Winter!$A:$A,FALSE),MATCH(All!O$1,Winter!$1:$1,FALSE))="","",INDEX(Winter!$1:$1048576,MATCH(All!$A325,Winter!$A:$A,FALSE),MATCH(All!O$1,Winter!$1:$1,FALSE))),"")</f>
        <v>355</v>
      </c>
      <c r="P325" t="str">
        <f>IFERROR(IF(INDEX(Winter!$1:$1048576,MATCH(All!$A325,Winter!$A:$A,FALSE),MATCH(All!P$1,Winter!$1:$1,FALSE))="","",INDEX(Winter!$1:$1048576,MATCH(All!$A325,Winter!$A:$A,FALSE),MATCH(All!P$1,Winter!$1:$1,FALSE))),"")</f>
        <v>2A</v>
      </c>
      <c r="Q325" t="str">
        <f>IFERROR(IF(INDEX(Winter!$1:$1048576,MATCH(All!$A325,Winter!$A:$A,FALSE),MATCH(All!Q$1,Winter!$1:$1,FALSE))="","",INDEX(Winter!$1:$1048576,MATCH(All!$A325,Winter!$A:$A,FALSE),MATCH(All!Q$1,Winter!$1:$1,FALSE))),"")</f>
        <v>2A</v>
      </c>
      <c r="R325" t="str">
        <f>IFERROR(IF(INDEX(Winter!$1:$1048576,MATCH(All!$A325,Winter!$A:$A,FALSE),MATCH(All!R$1,Winter!$1:$1,FALSE))="","",INDEX(Winter!$1:$1048576,MATCH(All!$A325,Winter!$A:$A,FALSE),MATCH(All!R$1,Winter!$1:$1,FALSE))),"")</f>
        <v/>
      </c>
      <c r="S325" t="str">
        <f>IFERROR(IF(INDEX(Winter!$1:$1048576,MATCH(All!$A325,Winter!$A:$A,FALSE),MATCH(All!S$1,Winter!$1:$1,FALSE))="","",INDEX(Winter!$1:$1048576,MATCH(All!$A325,Winter!$A:$A,FALSE),MATCH(All!S$1,Winter!$1:$1,FALSE))),"")</f>
        <v/>
      </c>
      <c r="T325" t="str">
        <f>IFERROR(IF(INDEX(Winter!$1:$1048576,MATCH(All!$A325,Winter!$A:$A,FALSE),MATCH(All!T$1,Winter!$1:$1,FALSE))="","",INDEX(Winter!$1:$1048576,MATCH(All!$A325,Winter!$A:$A,FALSE),MATCH(All!T$1,Winter!$1:$1,FALSE))),"")</f>
        <v>1A</v>
      </c>
      <c r="U325" t="str">
        <f>IFERROR(IF(INDEX(Winter!$1:$1048576,MATCH(All!$A325,Winter!$A:$A,FALSE),MATCH(All!U$1,Winter!$1:$1,FALSE))="","",INDEX(Winter!$1:$1048576,MATCH(All!$A325,Winter!$A:$A,FALSE),MATCH(All!U$1,Winter!$1:$1,FALSE))),"")</f>
        <v>1A</v>
      </c>
      <c r="W325">
        <f>IFERROR(IF(INDEX(Spring!$1:$1048576,MATCH(All!$A325,Spring!$A:$A,FALSE),MATCH(All!W$1,Spring!$1:$1,FALSE))="","",INDEX(Spring!$1:$1048576,MATCH(All!$A325,Spring!$A:$A,FALSE),MATCH(All!W$1,Spring!$1:$1,FALSE))),"")</f>
        <v>355</v>
      </c>
      <c r="X325" t="str">
        <f>IFERROR(IF(INDEX(Spring!$1:$1048576,MATCH(All!$A325,Spring!$A:$A,FALSE),MATCH(All!X$1,Spring!$1:$1,FALSE))="","",INDEX(Spring!$1:$1048576,MATCH(All!$A325,Spring!$A:$A,FALSE),MATCH(All!X$1,Spring!$1:$1,FALSE))),"")</f>
        <v>2A</v>
      </c>
      <c r="Y325" t="str">
        <f>IFERROR(IF(INDEX(Spring!$1:$1048576,MATCH(All!$A325,Spring!$A:$A,FALSE),MATCH(All!Y$1,Spring!$1:$1,FALSE))="","",INDEX(Spring!$1:$1048576,MATCH(All!$A325,Spring!$A:$A,FALSE),MATCH(All!Y$1,Spring!$1:$1,FALSE))),"")</f>
        <v>2A</v>
      </c>
      <c r="Z325" t="str">
        <f>IFERROR(IF(INDEX(Spring!$1:$1048576,MATCH(All!$A325,Spring!$A:$A,FALSE),MATCH(All!Z$1,Spring!$1:$1,FALSE))="","",INDEX(Spring!$1:$1048576,MATCH(All!$A325,Spring!$A:$A,FALSE),MATCH(All!Z$1,Spring!$1:$1,FALSE))),"")</f>
        <v/>
      </c>
      <c r="AA325" t="str">
        <f>IFERROR(IF(INDEX(Spring!$1:$1048576,MATCH(All!$A325,Spring!$A:$A,FALSE),MATCH(All!AA$1,Spring!$1:$1,FALSE))="","",INDEX(Spring!$1:$1048576,MATCH(All!$A325,Spring!$A:$A,FALSE),MATCH(All!AA$1,Spring!$1:$1,FALSE))),"")</f>
        <v/>
      </c>
      <c r="AB325" t="str">
        <f>IFERROR(IF(INDEX(Spring!$1:$1048576,MATCH(All!$A325,Spring!$A:$A,FALSE),MATCH(All!AB$1,Spring!$1:$1,FALSE))="","",INDEX(Spring!$1:$1048576,MATCH(All!$A325,Spring!$A:$A,FALSE),MATCH(All!AB$1,Spring!$1:$1,FALSE))),"")</f>
        <v>1A</v>
      </c>
      <c r="AC325" t="str">
        <f>IFERROR(IF(INDEX(Spring!$1:$1048576,MATCH(All!$A325,Spring!$A:$A,FALSE),MATCH(All!AC$1,Spring!$1:$1,FALSE))="","",INDEX(Spring!$1:$1048576,MATCH(All!$A325,Spring!$A:$A,FALSE),MATCH(All!AC$1,Spring!$1:$1,FALSE))),"")</f>
        <v>1A</v>
      </c>
      <c r="AD325" t="str">
        <f>IFERROR(VLOOKUP(A325,'Flag Football'!A:A,1,FALSE),"")</f>
        <v/>
      </c>
      <c r="AE325" t="str">
        <f t="shared" si="5"/>
        <v/>
      </c>
    </row>
    <row r="326" spans="1:31" ht="15.75" thickBot="1" x14ac:dyDescent="0.3">
      <c r="A326" s="18" t="s">
        <v>409</v>
      </c>
      <c r="B326" s="38">
        <f>IFERROR(VLOOKUP(A326,'Public v Private'!A:G,3,FALSE),"")</f>
        <v>0</v>
      </c>
      <c r="C326" s="38">
        <f>IFERROR(VLOOKUP(A326,'Public v Private'!A:G,4,FALSE),"")</f>
        <v>0</v>
      </c>
      <c r="D326" s="38">
        <f>IFERROR(VLOOKUP(A326,'Public v Private'!A:G,5,FALSE),"")</f>
        <v>0</v>
      </c>
      <c r="E326" s="38"/>
      <c r="F326" s="40">
        <f>IFERROR(INDEX(Fall!$1:$1048576,MATCH(All!$A326,Fall!$A:$A,FALSE),MATCH(All!F$1,Fall!$1:$1,FALSE)),"N/A")</f>
        <v>307</v>
      </c>
      <c r="G326" t="str">
        <f>IFERROR(IF(INDEX(Fall!$1:$1048576,MATCH(All!$A326,Fall!$A:$A,FALSE),MATCH(All!G$1,Fall!$1:$1,FALSE))="","",INDEX(Fall!$1:$1048576,MATCH(All!$A326,Fall!$A:$A,FALSE),MATCH(All!G$1,Fall!$1:$1,FALSE))),"")</f>
        <v>1A</v>
      </c>
      <c r="H326" t="str">
        <f>IFERROR(IF(INDEX(Fall!$1:$1048576,MATCH(All!$A326,Fall!$A:$A,FALSE),MATCH(All!H$1,Fall!$1:$1,FALSE))="","",INDEX(Fall!$1:$1048576,MATCH(All!$A326,Fall!$A:$A,FALSE),MATCH(All!H$1,Fall!$1:$1,FALSE))),"")</f>
        <v>1A</v>
      </c>
      <c r="I326" t="str">
        <f>IFERROR(IF(INDEX(Fall!$1:$1048576,MATCH(All!$A326,Fall!$A:$A,FALSE),MATCH(All!I$1,Fall!$1:$1,FALSE))="","",INDEX(Fall!$1:$1048576,MATCH(All!$A326,Fall!$A:$A,FALSE),MATCH(All!I$1,Fall!$1:$1,FALSE))),"")</f>
        <v>1A</v>
      </c>
      <c r="J326" t="str">
        <f>IFERROR(IF(INDEX(Fall!$1:$1048576,MATCH(All!$A326,Fall!$A:$A,FALSE),MATCH(All!J$1,Fall!$1:$1,FALSE))="","",INDEX(Fall!$1:$1048576,MATCH(All!$A326,Fall!$A:$A,FALSE),MATCH(All!J$1,Fall!$1:$1,FALSE))),"")</f>
        <v>1A</v>
      </c>
      <c r="K326" t="str">
        <f>IFERROR(IF(INDEX(Fall!$1:$1048576,MATCH(All!$A326,Fall!$A:$A,FALSE),MATCH(All!K$1,Fall!$1:$1,FALSE))="","",INDEX(Fall!$1:$1048576,MATCH(All!$A326,Fall!$A:$A,FALSE),MATCH(All!K$1,Fall!$1:$1,FALSE))),"")</f>
        <v/>
      </c>
      <c r="L326" t="str">
        <f>IFERROR(IF(INDEX(Fall!$1:$1048576,MATCH(All!$A326,Fall!$A:$A,FALSE),MATCH(All!L$1,Fall!$1:$1,FALSE))="","",INDEX(Fall!$1:$1048576,MATCH(All!$A326,Fall!$A:$A,FALSE),MATCH(All!L$1,Fall!$1:$1,FALSE))),"")</f>
        <v/>
      </c>
      <c r="M326" t="str">
        <f>IFERROR(IF(INDEX(Fall!$1:$1048576,MATCH(All!$A326,Fall!$A:$A,FALSE),MATCH(All!M$1,Fall!$1:$1,FALSE))="","",INDEX(Fall!$1:$1048576,MATCH(All!$A326,Fall!$A:$A,FALSE),MATCH(All!M$1,Fall!$1:$1,FALSE))),"")</f>
        <v>2A</v>
      </c>
      <c r="O326">
        <f>IFERROR(IF(INDEX(Winter!$1:$1048576,MATCH(All!$A326,Winter!$A:$A,FALSE),MATCH(All!O$1,Winter!$1:$1,FALSE))="","",INDEX(Winter!$1:$1048576,MATCH(All!$A326,Winter!$A:$A,FALSE),MATCH(All!O$1,Winter!$1:$1,FALSE))),"")</f>
        <v>307</v>
      </c>
      <c r="P326" t="str">
        <f>IFERROR(IF(INDEX(Winter!$1:$1048576,MATCH(All!$A326,Winter!$A:$A,FALSE),MATCH(All!P$1,Winter!$1:$1,FALSE))="","",INDEX(Winter!$1:$1048576,MATCH(All!$A326,Winter!$A:$A,FALSE),MATCH(All!P$1,Winter!$1:$1,FALSE))),"")</f>
        <v>2A</v>
      </c>
      <c r="Q326" t="str">
        <f>IFERROR(IF(INDEX(Winter!$1:$1048576,MATCH(All!$A326,Winter!$A:$A,FALSE),MATCH(All!Q$1,Winter!$1:$1,FALSE))="","",INDEX(Winter!$1:$1048576,MATCH(All!$A326,Winter!$A:$A,FALSE),MATCH(All!Q$1,Winter!$1:$1,FALSE))),"")</f>
        <v>2A</v>
      </c>
      <c r="R326" t="str">
        <f>IFERROR(IF(INDEX(Winter!$1:$1048576,MATCH(All!$A326,Winter!$A:$A,FALSE),MATCH(All!R$1,Winter!$1:$1,FALSE))="","",INDEX(Winter!$1:$1048576,MATCH(All!$A326,Winter!$A:$A,FALSE),MATCH(All!R$1,Winter!$1:$1,FALSE))),"")</f>
        <v/>
      </c>
      <c r="S326" t="str">
        <f>IFERROR(IF(INDEX(Winter!$1:$1048576,MATCH(All!$A326,Winter!$A:$A,FALSE),MATCH(All!S$1,Winter!$1:$1,FALSE))="","",INDEX(Winter!$1:$1048576,MATCH(All!$A326,Winter!$A:$A,FALSE),MATCH(All!S$1,Winter!$1:$1,FALSE))),"")</f>
        <v/>
      </c>
      <c r="T326" t="str">
        <f>IFERROR(IF(INDEX(Winter!$1:$1048576,MATCH(All!$A326,Winter!$A:$A,FALSE),MATCH(All!T$1,Winter!$1:$1,FALSE))="","",INDEX(Winter!$1:$1048576,MATCH(All!$A326,Winter!$A:$A,FALSE),MATCH(All!T$1,Winter!$1:$1,FALSE))),"")</f>
        <v>1A</v>
      </c>
      <c r="U326" t="str">
        <f>IFERROR(IF(INDEX(Winter!$1:$1048576,MATCH(All!$A326,Winter!$A:$A,FALSE),MATCH(All!U$1,Winter!$1:$1,FALSE))="","",INDEX(Winter!$1:$1048576,MATCH(All!$A326,Winter!$A:$A,FALSE),MATCH(All!U$1,Winter!$1:$1,FALSE))),"")</f>
        <v/>
      </c>
      <c r="W326">
        <f>IFERROR(IF(INDEX(Spring!$1:$1048576,MATCH(All!$A326,Spring!$A:$A,FALSE),MATCH(All!W$1,Spring!$1:$1,FALSE))="","",INDEX(Spring!$1:$1048576,MATCH(All!$A326,Spring!$A:$A,FALSE),MATCH(All!W$1,Spring!$1:$1,FALSE))),"")</f>
        <v>307</v>
      </c>
      <c r="X326" t="str">
        <f>IFERROR(IF(INDEX(Spring!$1:$1048576,MATCH(All!$A326,Spring!$A:$A,FALSE),MATCH(All!X$1,Spring!$1:$1,FALSE))="","",INDEX(Spring!$1:$1048576,MATCH(All!$A326,Spring!$A:$A,FALSE),MATCH(All!X$1,Spring!$1:$1,FALSE))),"")</f>
        <v>2A</v>
      </c>
      <c r="Y326" t="str">
        <f>IFERROR(IF(INDEX(Spring!$1:$1048576,MATCH(All!$A326,Spring!$A:$A,FALSE),MATCH(All!Y$1,Spring!$1:$1,FALSE))="","",INDEX(Spring!$1:$1048576,MATCH(All!$A326,Spring!$A:$A,FALSE),MATCH(All!Y$1,Spring!$1:$1,FALSE))),"")</f>
        <v>2A</v>
      </c>
      <c r="Z326" t="str">
        <f>IFERROR(IF(INDEX(Spring!$1:$1048576,MATCH(All!$A326,Spring!$A:$A,FALSE),MATCH(All!Z$1,Spring!$1:$1,FALSE))="","",INDEX(Spring!$1:$1048576,MATCH(All!$A326,Spring!$A:$A,FALSE),MATCH(All!Z$1,Spring!$1:$1,FALSE))),"")</f>
        <v/>
      </c>
      <c r="AA326" t="str">
        <f>IFERROR(IF(INDEX(Spring!$1:$1048576,MATCH(All!$A326,Spring!$A:$A,FALSE),MATCH(All!AA$1,Spring!$1:$1,FALSE))="","",INDEX(Spring!$1:$1048576,MATCH(All!$A326,Spring!$A:$A,FALSE),MATCH(All!AA$1,Spring!$1:$1,FALSE))),"")</f>
        <v/>
      </c>
      <c r="AB326" t="str">
        <f>IFERROR(IF(INDEX(Spring!$1:$1048576,MATCH(All!$A326,Spring!$A:$A,FALSE),MATCH(All!AB$1,Spring!$1:$1,FALSE))="","",INDEX(Spring!$1:$1048576,MATCH(All!$A326,Spring!$A:$A,FALSE),MATCH(All!AB$1,Spring!$1:$1,FALSE))),"")</f>
        <v>1A</v>
      </c>
      <c r="AC326" t="str">
        <f>IFERROR(IF(INDEX(Spring!$1:$1048576,MATCH(All!$A326,Spring!$A:$A,FALSE),MATCH(All!AC$1,Spring!$1:$1,FALSE))="","",INDEX(Spring!$1:$1048576,MATCH(All!$A326,Spring!$A:$A,FALSE),MATCH(All!AC$1,Spring!$1:$1,FALSE))),"")</f>
        <v>1A</v>
      </c>
      <c r="AD326" t="str">
        <f>IFERROR(VLOOKUP(A326,'Flag Football'!A:A,1,FALSE),"")</f>
        <v/>
      </c>
      <c r="AE326" t="str">
        <f t="shared" si="5"/>
        <v/>
      </c>
    </row>
    <row r="327" spans="1:31" ht="15.75" thickBot="1" x14ac:dyDescent="0.3">
      <c r="A327" s="20" t="s">
        <v>410</v>
      </c>
      <c r="B327" s="38">
        <f>IFERROR(VLOOKUP(A327,'Public v Private'!A:G,3,FALSE),"")</f>
        <v>0</v>
      </c>
      <c r="C327" s="38">
        <f>IFERROR(VLOOKUP(A327,'Public v Private'!A:G,4,FALSE),"")</f>
        <v>0</v>
      </c>
      <c r="D327" s="38">
        <f>IFERROR(VLOOKUP(A327,'Public v Private'!A:G,5,FALSE),"")</f>
        <v>0</v>
      </c>
      <c r="E327" s="38"/>
      <c r="F327" s="40">
        <f>IFERROR(INDEX(Fall!$1:$1048576,MATCH(All!$A327,Fall!$A:$A,FALSE),MATCH(All!F$1,Fall!$1:$1,FALSE)),"N/A")</f>
        <v>2383</v>
      </c>
      <c r="G327" t="str">
        <f>IFERROR(IF(INDEX(Fall!$1:$1048576,MATCH(All!$A327,Fall!$A:$A,FALSE),MATCH(All!G$1,Fall!$1:$1,FALSE))="","",INDEX(Fall!$1:$1048576,MATCH(All!$A327,Fall!$A:$A,FALSE),MATCH(All!G$1,Fall!$1:$1,FALSE))),"")</f>
        <v>3A</v>
      </c>
      <c r="H327" t="str">
        <f>IFERROR(IF(INDEX(Fall!$1:$1048576,MATCH(All!$A327,Fall!$A:$A,FALSE),MATCH(All!H$1,Fall!$1:$1,FALSE))="","",INDEX(Fall!$1:$1048576,MATCH(All!$A327,Fall!$A:$A,FALSE),MATCH(All!H$1,Fall!$1:$1,FALSE))),"")</f>
        <v>3A</v>
      </c>
      <c r="I327" t="str">
        <f>IFERROR(IF(INDEX(Fall!$1:$1048576,MATCH(All!$A327,Fall!$A:$A,FALSE),MATCH(All!I$1,Fall!$1:$1,FALSE))="","",INDEX(Fall!$1:$1048576,MATCH(All!$A327,Fall!$A:$A,FALSE),MATCH(All!I$1,Fall!$1:$1,FALSE))),"")</f>
        <v>3A</v>
      </c>
      <c r="J327" t="str">
        <f>IFERROR(IF(INDEX(Fall!$1:$1048576,MATCH(All!$A327,Fall!$A:$A,FALSE),MATCH(All!J$1,Fall!$1:$1,FALSE))="","",INDEX(Fall!$1:$1048576,MATCH(All!$A327,Fall!$A:$A,FALSE),MATCH(All!J$1,Fall!$1:$1,FALSE))),"")</f>
        <v/>
      </c>
      <c r="K327" t="str">
        <f>IFERROR(IF(INDEX(Fall!$1:$1048576,MATCH(All!$A327,Fall!$A:$A,FALSE),MATCH(All!K$1,Fall!$1:$1,FALSE))="","",INDEX(Fall!$1:$1048576,MATCH(All!$A327,Fall!$A:$A,FALSE),MATCH(All!K$1,Fall!$1:$1,FALSE))),"")</f>
        <v>3A</v>
      </c>
      <c r="L327" t="str">
        <f>IFERROR(IF(INDEX(Fall!$1:$1048576,MATCH(All!$A327,Fall!$A:$A,FALSE),MATCH(All!L$1,Fall!$1:$1,FALSE))="","",INDEX(Fall!$1:$1048576,MATCH(All!$A327,Fall!$A:$A,FALSE),MATCH(All!L$1,Fall!$1:$1,FALSE))),"")</f>
        <v>2A</v>
      </c>
      <c r="M327" t="str">
        <f>IFERROR(IF(INDEX(Fall!$1:$1048576,MATCH(All!$A327,Fall!$A:$A,FALSE),MATCH(All!M$1,Fall!$1:$1,FALSE))="","",INDEX(Fall!$1:$1048576,MATCH(All!$A327,Fall!$A:$A,FALSE),MATCH(All!M$1,Fall!$1:$1,FALSE))),"")</f>
        <v>4A</v>
      </c>
      <c r="O327">
        <f>IFERROR(IF(INDEX(Winter!$1:$1048576,MATCH(All!$A327,Winter!$A:$A,FALSE),MATCH(All!O$1,Winter!$1:$1,FALSE))="","",INDEX(Winter!$1:$1048576,MATCH(All!$A327,Winter!$A:$A,FALSE),MATCH(All!O$1,Winter!$1:$1,FALSE))),"")</f>
        <v>2383</v>
      </c>
      <c r="P327" t="str">
        <f>IFERROR(IF(INDEX(Winter!$1:$1048576,MATCH(All!$A327,Winter!$A:$A,FALSE),MATCH(All!P$1,Winter!$1:$1,FALSE))="","",INDEX(Winter!$1:$1048576,MATCH(All!$A327,Winter!$A:$A,FALSE),MATCH(All!P$1,Winter!$1:$1,FALSE))),"")</f>
        <v>4A</v>
      </c>
      <c r="Q327" t="str">
        <f>IFERROR(IF(INDEX(Winter!$1:$1048576,MATCH(All!$A327,Winter!$A:$A,FALSE),MATCH(All!Q$1,Winter!$1:$1,FALSE))="","",INDEX(Winter!$1:$1048576,MATCH(All!$A327,Winter!$A:$A,FALSE),MATCH(All!Q$1,Winter!$1:$1,FALSE))),"")</f>
        <v>4A</v>
      </c>
      <c r="R327" t="str">
        <f>IFERROR(IF(INDEX(Winter!$1:$1048576,MATCH(All!$A327,Winter!$A:$A,FALSE),MATCH(All!R$1,Winter!$1:$1,FALSE))="","",INDEX(Winter!$1:$1048576,MATCH(All!$A327,Winter!$A:$A,FALSE),MATCH(All!R$1,Winter!$1:$1,FALSE))),"")</f>
        <v>C</v>
      </c>
      <c r="S327" t="str">
        <f>IFERROR(IF(INDEX(Winter!$1:$1048576,MATCH(All!$A327,Winter!$A:$A,FALSE),MATCH(All!S$1,Winter!$1:$1,FALSE))="","",INDEX(Winter!$1:$1048576,MATCH(All!$A327,Winter!$A:$A,FALSE),MATCH(All!S$1,Winter!$1:$1,FALSE))),"")</f>
        <v>3A</v>
      </c>
      <c r="T327" t="str">
        <f>IFERROR(IF(INDEX(Winter!$1:$1048576,MATCH(All!$A327,Winter!$A:$A,FALSE),MATCH(All!T$1,Winter!$1:$1,FALSE))="","",INDEX(Winter!$1:$1048576,MATCH(All!$A327,Winter!$A:$A,FALSE),MATCH(All!T$1,Winter!$1:$1,FALSE))),"")</f>
        <v>2A</v>
      </c>
      <c r="U327" t="str">
        <f>IFERROR(IF(INDEX(Winter!$1:$1048576,MATCH(All!$A327,Winter!$A:$A,FALSE),MATCH(All!U$1,Winter!$1:$1,FALSE))="","",INDEX(Winter!$1:$1048576,MATCH(All!$A327,Winter!$A:$A,FALSE),MATCH(All!U$1,Winter!$1:$1,FALSE))),"")</f>
        <v>3A</v>
      </c>
      <c r="W327">
        <f>IFERROR(IF(INDEX(Spring!$1:$1048576,MATCH(All!$A327,Spring!$A:$A,FALSE),MATCH(All!W$1,Spring!$1:$1,FALSE))="","",INDEX(Spring!$1:$1048576,MATCH(All!$A327,Spring!$A:$A,FALSE),MATCH(All!W$1,Spring!$1:$1,FALSE))),"")</f>
        <v>2383</v>
      </c>
      <c r="X327" t="str">
        <f>IFERROR(IF(INDEX(Spring!$1:$1048576,MATCH(All!$A327,Spring!$A:$A,FALSE),MATCH(All!X$1,Spring!$1:$1,FALSE))="","",INDEX(Spring!$1:$1048576,MATCH(All!$A327,Spring!$A:$A,FALSE),MATCH(All!X$1,Spring!$1:$1,FALSE))),"")</f>
        <v>4A</v>
      </c>
      <c r="Y327" t="str">
        <f>IFERROR(IF(INDEX(Spring!$1:$1048576,MATCH(All!$A327,Spring!$A:$A,FALSE),MATCH(All!Y$1,Spring!$1:$1,FALSE))="","",INDEX(Spring!$1:$1048576,MATCH(All!$A327,Spring!$A:$A,FALSE),MATCH(All!Y$1,Spring!$1:$1,FALSE))),"")</f>
        <v>4A</v>
      </c>
      <c r="Z327" t="str">
        <f>IFERROR(IF(INDEX(Spring!$1:$1048576,MATCH(All!$A327,Spring!$A:$A,FALSE),MATCH(All!Z$1,Spring!$1:$1,FALSE))="","",INDEX(Spring!$1:$1048576,MATCH(All!$A327,Spring!$A:$A,FALSE),MATCH(All!Z$1,Spring!$1:$1,FALSE))),"")</f>
        <v>3A</v>
      </c>
      <c r="AA327" t="str">
        <f>IFERROR(IF(INDEX(Spring!$1:$1048576,MATCH(All!$A327,Spring!$A:$A,FALSE),MATCH(All!AA$1,Spring!$1:$1,FALSE))="","",INDEX(Spring!$1:$1048576,MATCH(All!$A327,Spring!$A:$A,FALSE),MATCH(All!AA$1,Spring!$1:$1,FALSE))),"")</f>
        <v>2A</v>
      </c>
      <c r="AB327" t="str">
        <f>IFERROR(IF(INDEX(Spring!$1:$1048576,MATCH(All!$A327,Spring!$A:$A,FALSE),MATCH(All!AB$1,Spring!$1:$1,FALSE))="","",INDEX(Spring!$1:$1048576,MATCH(All!$A327,Spring!$A:$A,FALSE),MATCH(All!AB$1,Spring!$1:$1,FALSE))),"")</f>
        <v>3A</v>
      </c>
      <c r="AC327" t="str">
        <f>IFERROR(IF(INDEX(Spring!$1:$1048576,MATCH(All!$A327,Spring!$A:$A,FALSE),MATCH(All!AC$1,Spring!$1:$1,FALSE))="","",INDEX(Spring!$1:$1048576,MATCH(All!$A327,Spring!$A:$A,FALSE),MATCH(All!AC$1,Spring!$1:$1,FALSE))),"")</f>
        <v>3A</v>
      </c>
      <c r="AD327" t="str">
        <f>IFERROR(VLOOKUP(A327,'Flag Football'!A:A,1,FALSE),"")</f>
        <v>Elgin (H.S.)</v>
      </c>
      <c r="AE327" t="str">
        <f t="shared" si="5"/>
        <v>1A</v>
      </c>
    </row>
    <row r="328" spans="1:31" ht="15.75" thickBot="1" x14ac:dyDescent="0.3">
      <c r="A328" s="18" t="s">
        <v>411</v>
      </c>
      <c r="B328" s="38">
        <f>IFERROR(VLOOKUP(A328,'Public v Private'!A:G,3,FALSE),"")</f>
        <v>0</v>
      </c>
      <c r="C328" s="38">
        <f>IFERROR(VLOOKUP(A328,'Public v Private'!A:G,4,FALSE),"")</f>
        <v>0</v>
      </c>
      <c r="D328" s="38">
        <f>IFERROR(VLOOKUP(A328,'Public v Private'!A:G,5,FALSE),"")</f>
        <v>0</v>
      </c>
      <c r="E328" s="38"/>
      <c r="F328" s="40">
        <f>IFERROR(INDEX(Fall!$1:$1048576,MATCH(All!$A328,Fall!$A:$A,FALSE),MATCH(All!F$1,Fall!$1:$1,FALSE)),"N/A")</f>
        <v>2021</v>
      </c>
      <c r="G328" t="str">
        <f>IFERROR(IF(INDEX(Fall!$1:$1048576,MATCH(All!$A328,Fall!$A:$A,FALSE),MATCH(All!G$1,Fall!$1:$1,FALSE))="","",INDEX(Fall!$1:$1048576,MATCH(All!$A328,Fall!$A:$A,FALSE),MATCH(All!G$1,Fall!$1:$1,FALSE))),"")</f>
        <v>3A</v>
      </c>
      <c r="H328" t="str">
        <f>IFERROR(IF(INDEX(Fall!$1:$1048576,MATCH(All!$A328,Fall!$A:$A,FALSE),MATCH(All!H$1,Fall!$1:$1,FALSE))="","",INDEX(Fall!$1:$1048576,MATCH(All!$A328,Fall!$A:$A,FALSE),MATCH(All!H$1,Fall!$1:$1,FALSE))),"")</f>
        <v>3A</v>
      </c>
      <c r="I328" t="str">
        <f>IFERROR(IF(INDEX(Fall!$1:$1048576,MATCH(All!$A328,Fall!$A:$A,FALSE),MATCH(All!I$1,Fall!$1:$1,FALSE))="","",INDEX(Fall!$1:$1048576,MATCH(All!$A328,Fall!$A:$A,FALSE),MATCH(All!I$1,Fall!$1:$1,FALSE))),"")</f>
        <v/>
      </c>
      <c r="J328" t="str">
        <f>IFERROR(IF(INDEX(Fall!$1:$1048576,MATCH(All!$A328,Fall!$A:$A,FALSE),MATCH(All!J$1,Fall!$1:$1,FALSE))="","",INDEX(Fall!$1:$1048576,MATCH(All!$A328,Fall!$A:$A,FALSE),MATCH(All!J$1,Fall!$1:$1,FALSE))),"")</f>
        <v/>
      </c>
      <c r="K328" t="str">
        <f>IFERROR(IF(INDEX(Fall!$1:$1048576,MATCH(All!$A328,Fall!$A:$A,FALSE),MATCH(All!K$1,Fall!$1:$1,FALSE))="","",INDEX(Fall!$1:$1048576,MATCH(All!$A328,Fall!$A:$A,FALSE),MATCH(All!K$1,Fall!$1:$1,FALSE))),"")</f>
        <v>3A</v>
      </c>
      <c r="L328" t="str">
        <f>IFERROR(IF(INDEX(Fall!$1:$1048576,MATCH(All!$A328,Fall!$A:$A,FALSE),MATCH(All!L$1,Fall!$1:$1,FALSE))="","",INDEX(Fall!$1:$1048576,MATCH(All!$A328,Fall!$A:$A,FALSE),MATCH(All!L$1,Fall!$1:$1,FALSE))),"")</f>
        <v>2A</v>
      </c>
      <c r="M328" t="str">
        <f>IFERROR(IF(INDEX(Fall!$1:$1048576,MATCH(All!$A328,Fall!$A:$A,FALSE),MATCH(All!M$1,Fall!$1:$1,FALSE))="","",INDEX(Fall!$1:$1048576,MATCH(All!$A328,Fall!$A:$A,FALSE),MATCH(All!M$1,Fall!$1:$1,FALSE))),"")</f>
        <v>4A</v>
      </c>
      <c r="O328">
        <f>IFERROR(IF(INDEX(Winter!$1:$1048576,MATCH(All!$A328,Winter!$A:$A,FALSE),MATCH(All!O$1,Winter!$1:$1,FALSE))="","",INDEX(Winter!$1:$1048576,MATCH(All!$A328,Winter!$A:$A,FALSE),MATCH(All!O$1,Winter!$1:$1,FALSE))),"")</f>
        <v>2021</v>
      </c>
      <c r="P328" t="str">
        <f>IFERROR(IF(INDEX(Winter!$1:$1048576,MATCH(All!$A328,Winter!$A:$A,FALSE),MATCH(All!P$1,Winter!$1:$1,FALSE))="","",INDEX(Winter!$1:$1048576,MATCH(All!$A328,Winter!$A:$A,FALSE),MATCH(All!P$1,Winter!$1:$1,FALSE))),"")</f>
        <v>4A</v>
      </c>
      <c r="Q328" t="str">
        <f>IFERROR(IF(INDEX(Winter!$1:$1048576,MATCH(All!$A328,Winter!$A:$A,FALSE),MATCH(All!Q$1,Winter!$1:$1,FALSE))="","",INDEX(Winter!$1:$1048576,MATCH(All!$A328,Winter!$A:$A,FALSE),MATCH(All!Q$1,Winter!$1:$1,FALSE))),"")</f>
        <v>4A</v>
      </c>
      <c r="R328" t="str">
        <f>IFERROR(IF(INDEX(Winter!$1:$1048576,MATCH(All!$A328,Winter!$A:$A,FALSE),MATCH(All!R$1,Winter!$1:$1,FALSE))="","",INDEX(Winter!$1:$1048576,MATCH(All!$A328,Winter!$A:$A,FALSE),MATCH(All!R$1,Winter!$1:$1,FALSE))),"")</f>
        <v>3A</v>
      </c>
      <c r="S328" t="str">
        <f>IFERROR(IF(INDEX(Winter!$1:$1048576,MATCH(All!$A328,Winter!$A:$A,FALSE),MATCH(All!S$1,Winter!$1:$1,FALSE))="","",INDEX(Winter!$1:$1048576,MATCH(All!$A328,Winter!$A:$A,FALSE),MATCH(All!S$1,Winter!$1:$1,FALSE))),"")</f>
        <v>3A</v>
      </c>
      <c r="T328" t="str">
        <f>IFERROR(IF(INDEX(Winter!$1:$1048576,MATCH(All!$A328,Winter!$A:$A,FALSE),MATCH(All!T$1,Winter!$1:$1,FALSE))="","",INDEX(Winter!$1:$1048576,MATCH(All!$A328,Winter!$A:$A,FALSE),MATCH(All!T$1,Winter!$1:$1,FALSE))),"")</f>
        <v/>
      </c>
      <c r="U328" t="str">
        <f>IFERROR(IF(INDEX(Winter!$1:$1048576,MATCH(All!$A328,Winter!$A:$A,FALSE),MATCH(All!U$1,Winter!$1:$1,FALSE))="","",INDEX(Winter!$1:$1048576,MATCH(All!$A328,Winter!$A:$A,FALSE),MATCH(All!U$1,Winter!$1:$1,FALSE))),"")</f>
        <v>3A</v>
      </c>
      <c r="W328">
        <f>IFERROR(IF(INDEX(Spring!$1:$1048576,MATCH(All!$A328,Spring!$A:$A,FALSE),MATCH(All!W$1,Spring!$1:$1,FALSE))="","",INDEX(Spring!$1:$1048576,MATCH(All!$A328,Spring!$A:$A,FALSE),MATCH(All!W$1,Spring!$1:$1,FALSE))),"")</f>
        <v>2021</v>
      </c>
      <c r="X328" t="str">
        <f>IFERROR(IF(INDEX(Spring!$1:$1048576,MATCH(All!$A328,Spring!$A:$A,FALSE),MATCH(All!X$1,Spring!$1:$1,FALSE))="","",INDEX(Spring!$1:$1048576,MATCH(All!$A328,Spring!$A:$A,FALSE),MATCH(All!X$1,Spring!$1:$1,FALSE))),"")</f>
        <v>4A</v>
      </c>
      <c r="Y328" t="str">
        <f>IFERROR(IF(INDEX(Spring!$1:$1048576,MATCH(All!$A328,Spring!$A:$A,FALSE),MATCH(All!Y$1,Spring!$1:$1,FALSE))="","",INDEX(Spring!$1:$1048576,MATCH(All!$A328,Spring!$A:$A,FALSE),MATCH(All!Y$1,Spring!$1:$1,FALSE))),"")</f>
        <v>4A</v>
      </c>
      <c r="Z328" t="str">
        <f>IFERROR(IF(INDEX(Spring!$1:$1048576,MATCH(All!$A328,Spring!$A:$A,FALSE),MATCH(All!Z$1,Spring!$1:$1,FALSE))="","",INDEX(Spring!$1:$1048576,MATCH(All!$A328,Spring!$A:$A,FALSE),MATCH(All!Z$1,Spring!$1:$1,FALSE))),"")</f>
        <v>3A</v>
      </c>
      <c r="AA328" t="str">
        <f>IFERROR(IF(INDEX(Spring!$1:$1048576,MATCH(All!$A328,Spring!$A:$A,FALSE),MATCH(All!AA$1,Spring!$1:$1,FALSE))="","",INDEX(Spring!$1:$1048576,MATCH(All!$A328,Spring!$A:$A,FALSE),MATCH(All!AA$1,Spring!$1:$1,FALSE))),"")</f>
        <v>2A</v>
      </c>
      <c r="AB328" t="str">
        <f>IFERROR(IF(INDEX(Spring!$1:$1048576,MATCH(All!$A328,Spring!$A:$A,FALSE),MATCH(All!AB$1,Spring!$1:$1,FALSE))="","",INDEX(Spring!$1:$1048576,MATCH(All!$A328,Spring!$A:$A,FALSE),MATCH(All!AB$1,Spring!$1:$1,FALSE))),"")</f>
        <v>3A</v>
      </c>
      <c r="AC328" t="str">
        <f>IFERROR(IF(INDEX(Spring!$1:$1048576,MATCH(All!$A328,Spring!$A:$A,FALSE),MATCH(All!AC$1,Spring!$1:$1,FALSE))="","",INDEX(Spring!$1:$1048576,MATCH(All!$A328,Spring!$A:$A,FALSE),MATCH(All!AC$1,Spring!$1:$1,FALSE))),"")</f>
        <v>3A</v>
      </c>
      <c r="AD328" t="str">
        <f>IFERROR(VLOOKUP(A328,'Flag Football'!A:A,1,FALSE),"")</f>
        <v>Elgin (Larkin)</v>
      </c>
      <c r="AE328" t="str">
        <f t="shared" si="5"/>
        <v>1A</v>
      </c>
    </row>
    <row r="329" spans="1:31" ht="15.75" thickBot="1" x14ac:dyDescent="0.3">
      <c r="A329" s="20" t="s">
        <v>412</v>
      </c>
      <c r="B329" s="38" t="str">
        <f>IFERROR(VLOOKUP(A329,'Public v Private'!A:G,3,FALSE),"")</f>
        <v/>
      </c>
      <c r="C329" s="38" t="str">
        <f>IFERROR(VLOOKUP(A329,'Public v Private'!A:G,4,FALSE),"")</f>
        <v/>
      </c>
      <c r="D329" s="38" t="str">
        <f>IFERROR(VLOOKUP(A329,'Public v Private'!A:G,5,FALSE),"")</f>
        <v/>
      </c>
      <c r="E329" s="38"/>
      <c r="F329" s="40" t="str">
        <f>IFERROR(INDEX(Fall!$1:$1048576,MATCH(All!$A329,Fall!$A:$A,FALSE),MATCH(All!F$1,Fall!$1:$1,FALSE)),"N/A")</f>
        <v>238.00 (392.70)</v>
      </c>
      <c r="G329" t="str">
        <f>IFERROR(IF(INDEX(Fall!$1:$1048576,MATCH(All!$A329,Fall!$A:$A,FALSE),MATCH(All!G$1,Fall!$1:$1,FALSE))="","",INDEX(Fall!$1:$1048576,MATCH(All!$A329,Fall!$A:$A,FALSE),MATCH(All!G$1,Fall!$1:$1,FALSE))),"")</f>
        <v>1A</v>
      </c>
      <c r="H329" t="str">
        <f>IFERROR(IF(INDEX(Fall!$1:$1048576,MATCH(All!$A329,Fall!$A:$A,FALSE),MATCH(All!H$1,Fall!$1:$1,FALSE))="","",INDEX(Fall!$1:$1048576,MATCH(All!$A329,Fall!$A:$A,FALSE),MATCH(All!H$1,Fall!$1:$1,FALSE))),"")</f>
        <v>1A</v>
      </c>
      <c r="I329" t="str">
        <f>IFERROR(IF(INDEX(Fall!$1:$1048576,MATCH(All!$A329,Fall!$A:$A,FALSE),MATCH(All!I$1,Fall!$1:$1,FALSE))="","",INDEX(Fall!$1:$1048576,MATCH(All!$A329,Fall!$A:$A,FALSE),MATCH(All!I$1,Fall!$1:$1,FALSE))),"")</f>
        <v>1A</v>
      </c>
      <c r="J329" t="str">
        <f>IFERROR(IF(INDEX(Fall!$1:$1048576,MATCH(All!$A329,Fall!$A:$A,FALSE),MATCH(All!J$1,Fall!$1:$1,FALSE))="","",INDEX(Fall!$1:$1048576,MATCH(All!$A329,Fall!$A:$A,FALSE),MATCH(All!J$1,Fall!$1:$1,FALSE))),"")</f>
        <v/>
      </c>
      <c r="K329" t="str">
        <f>IFERROR(IF(INDEX(Fall!$1:$1048576,MATCH(All!$A329,Fall!$A:$A,FALSE),MATCH(All!K$1,Fall!$1:$1,FALSE))="","",INDEX(Fall!$1:$1048576,MATCH(All!$A329,Fall!$A:$A,FALSE),MATCH(All!K$1,Fall!$1:$1,FALSE))),"")</f>
        <v>1A</v>
      </c>
      <c r="L329" t="str">
        <f>IFERROR(IF(INDEX(Fall!$1:$1048576,MATCH(All!$A329,Fall!$A:$A,FALSE),MATCH(All!L$1,Fall!$1:$1,FALSE))="","",INDEX(Fall!$1:$1048576,MATCH(All!$A329,Fall!$A:$A,FALSE),MATCH(All!L$1,Fall!$1:$1,FALSE))),"")</f>
        <v/>
      </c>
      <c r="M329" t="str">
        <f>IFERROR(IF(INDEX(Fall!$1:$1048576,MATCH(All!$A329,Fall!$A:$A,FALSE),MATCH(All!M$1,Fall!$1:$1,FALSE))="","",INDEX(Fall!$1:$1048576,MATCH(All!$A329,Fall!$A:$A,FALSE),MATCH(All!M$1,Fall!$1:$1,FALSE))),"")</f>
        <v>2A</v>
      </c>
      <c r="O329" t="str">
        <f>IFERROR(IF(INDEX(Winter!$1:$1048576,MATCH(All!$A329,Winter!$A:$A,FALSE),MATCH(All!O$1,Winter!$1:$1,FALSE))="","",INDEX(Winter!$1:$1048576,MATCH(All!$A329,Winter!$A:$A,FALSE),MATCH(All!O$1,Winter!$1:$1,FALSE))),"")</f>
        <v>238.00 (392.70)</v>
      </c>
      <c r="P329" t="str">
        <f>IFERROR(IF(INDEX(Winter!$1:$1048576,MATCH(All!$A329,Winter!$A:$A,FALSE),MATCH(All!P$1,Winter!$1:$1,FALSE))="","",INDEX(Winter!$1:$1048576,MATCH(All!$A329,Winter!$A:$A,FALSE),MATCH(All!P$1,Winter!$1:$1,FALSE))),"")</f>
        <v>2A</v>
      </c>
      <c r="Q329" t="str">
        <f>IFERROR(IF(INDEX(Winter!$1:$1048576,MATCH(All!$A329,Winter!$A:$A,FALSE),MATCH(All!Q$1,Winter!$1:$1,FALSE))="","",INDEX(Winter!$1:$1048576,MATCH(All!$A329,Winter!$A:$A,FALSE),MATCH(All!Q$1,Winter!$1:$1,FALSE))),"")</f>
        <v>2A</v>
      </c>
      <c r="R329" t="str">
        <f>IFERROR(IF(INDEX(Winter!$1:$1048576,MATCH(All!$A329,Winter!$A:$A,FALSE),MATCH(All!R$1,Winter!$1:$1,FALSE))="","",INDEX(Winter!$1:$1048576,MATCH(All!$A329,Winter!$A:$A,FALSE),MATCH(All!R$1,Winter!$1:$1,FALSE))),"")</f>
        <v/>
      </c>
      <c r="S329" t="str">
        <f>IFERROR(IF(INDEX(Winter!$1:$1048576,MATCH(All!$A329,Winter!$A:$A,FALSE),MATCH(All!S$1,Winter!$1:$1,FALSE))="","",INDEX(Winter!$1:$1048576,MATCH(All!$A329,Winter!$A:$A,FALSE),MATCH(All!S$1,Winter!$1:$1,FALSE))),"")</f>
        <v/>
      </c>
      <c r="T329" t="str">
        <f>IFERROR(IF(INDEX(Winter!$1:$1048576,MATCH(All!$A329,Winter!$A:$A,FALSE),MATCH(All!T$1,Winter!$1:$1,FALSE))="","",INDEX(Winter!$1:$1048576,MATCH(All!$A329,Winter!$A:$A,FALSE),MATCH(All!T$1,Winter!$1:$1,FALSE))),"")</f>
        <v/>
      </c>
      <c r="U329" t="str">
        <f>IFERROR(IF(INDEX(Winter!$1:$1048576,MATCH(All!$A329,Winter!$A:$A,FALSE),MATCH(All!U$1,Winter!$1:$1,FALSE))="","",INDEX(Winter!$1:$1048576,MATCH(All!$A329,Winter!$A:$A,FALSE),MATCH(All!U$1,Winter!$1:$1,FALSE))),"")</f>
        <v>1A</v>
      </c>
      <c r="W329" t="str">
        <f>IFERROR(IF(INDEX(Spring!$1:$1048576,MATCH(All!$A329,Spring!$A:$A,FALSE),MATCH(All!W$1,Spring!$1:$1,FALSE))="","",INDEX(Spring!$1:$1048576,MATCH(All!$A329,Spring!$A:$A,FALSE),MATCH(All!W$1,Spring!$1:$1,FALSE))),"")</f>
        <v>238.00 (392.70)</v>
      </c>
      <c r="X329" t="str">
        <f>IFERROR(IF(INDEX(Spring!$1:$1048576,MATCH(All!$A329,Spring!$A:$A,FALSE),MATCH(All!X$1,Spring!$1:$1,FALSE))="","",INDEX(Spring!$1:$1048576,MATCH(All!$A329,Spring!$A:$A,FALSE),MATCH(All!X$1,Spring!$1:$1,FALSE))),"")</f>
        <v>2A</v>
      </c>
      <c r="Y329" t="str">
        <f>IFERROR(IF(INDEX(Spring!$1:$1048576,MATCH(All!$A329,Spring!$A:$A,FALSE),MATCH(All!Y$1,Spring!$1:$1,FALSE))="","",INDEX(Spring!$1:$1048576,MATCH(All!$A329,Spring!$A:$A,FALSE),MATCH(All!Y$1,Spring!$1:$1,FALSE))),"")</f>
        <v>1A</v>
      </c>
      <c r="Z329" t="str">
        <f>IFERROR(IF(INDEX(Spring!$1:$1048576,MATCH(All!$A329,Spring!$A:$A,FALSE),MATCH(All!Z$1,Spring!$1:$1,FALSE))="","",INDEX(Spring!$1:$1048576,MATCH(All!$A329,Spring!$A:$A,FALSE),MATCH(All!Z$1,Spring!$1:$1,FALSE))),"")</f>
        <v>1A</v>
      </c>
      <c r="AA329" t="str">
        <f>IFERROR(IF(INDEX(Spring!$1:$1048576,MATCH(All!$A329,Spring!$A:$A,FALSE),MATCH(All!AA$1,Spring!$1:$1,FALSE))="","",INDEX(Spring!$1:$1048576,MATCH(All!$A329,Spring!$A:$A,FALSE),MATCH(All!AA$1,Spring!$1:$1,FALSE))),"")</f>
        <v/>
      </c>
      <c r="AB329" t="str">
        <f>IFERROR(IF(INDEX(Spring!$1:$1048576,MATCH(All!$A329,Spring!$A:$A,FALSE),MATCH(All!AB$1,Spring!$1:$1,FALSE))="","",INDEX(Spring!$1:$1048576,MATCH(All!$A329,Spring!$A:$A,FALSE),MATCH(All!AB$1,Spring!$1:$1,FALSE))),"")</f>
        <v>1A</v>
      </c>
      <c r="AC329" t="str">
        <f>IFERROR(IF(INDEX(Spring!$1:$1048576,MATCH(All!$A329,Spring!$A:$A,FALSE),MATCH(All!AC$1,Spring!$1:$1,FALSE))="","",INDEX(Spring!$1:$1048576,MATCH(All!$A329,Spring!$A:$A,FALSE),MATCH(All!AC$1,Spring!$1:$1,FALSE))),"")</f>
        <v>1A</v>
      </c>
      <c r="AD329" t="str">
        <f>IFERROR(VLOOKUP(A329,'Flag Football'!A:A,1,FALSE),"")</f>
        <v/>
      </c>
      <c r="AE329" t="str">
        <f t="shared" si="5"/>
        <v/>
      </c>
    </row>
    <row r="330" spans="1:31" ht="15.75" thickBot="1" x14ac:dyDescent="0.3">
      <c r="A330" s="18" t="s">
        <v>414</v>
      </c>
      <c r="B330" s="38" t="str">
        <f>IFERROR(VLOOKUP(A330,'Public v Private'!A:G,3,FALSE),"")</f>
        <v>private</v>
      </c>
      <c r="C330" s="38">
        <f>IFERROR(VLOOKUP(A330,'Public v Private'!A:G,4,FALSE),"")</f>
        <v>2</v>
      </c>
      <c r="D330" s="38">
        <f>IFERROR(VLOOKUP(A330,'Public v Private'!A:G,5,FALSE),"")</f>
        <v>5</v>
      </c>
      <c r="E330" s="38"/>
      <c r="F330" s="40" t="str">
        <f>IFERROR(INDEX(Fall!$1:$1048576,MATCH(All!$A330,Fall!$A:$A,FALSE),MATCH(All!F$1,Fall!$1:$1,FALSE)),"N/A")</f>
        <v>204.00 (336.60)</v>
      </c>
      <c r="G330" t="str">
        <f>IFERROR(IF(INDEX(Fall!$1:$1048576,MATCH(All!$A330,Fall!$A:$A,FALSE),MATCH(All!G$1,Fall!$1:$1,FALSE))="","",INDEX(Fall!$1:$1048576,MATCH(All!$A330,Fall!$A:$A,FALSE),MATCH(All!G$1,Fall!$1:$1,FALSE))),"")</f>
        <v>1A</v>
      </c>
      <c r="H330" t="str">
        <f>IFERROR(IF(INDEX(Fall!$1:$1048576,MATCH(All!$A330,Fall!$A:$A,FALSE),MATCH(All!H$1,Fall!$1:$1,FALSE))="","",INDEX(Fall!$1:$1048576,MATCH(All!$A330,Fall!$A:$A,FALSE),MATCH(All!H$1,Fall!$1:$1,FALSE))),"")</f>
        <v>1A</v>
      </c>
      <c r="I330" t="str">
        <f>IFERROR(IF(INDEX(Fall!$1:$1048576,MATCH(All!$A330,Fall!$A:$A,FALSE),MATCH(All!I$1,Fall!$1:$1,FALSE))="","",INDEX(Fall!$1:$1048576,MATCH(All!$A330,Fall!$A:$A,FALSE),MATCH(All!I$1,Fall!$1:$1,FALSE))),"")</f>
        <v>1A</v>
      </c>
      <c r="J330" t="str">
        <f>IFERROR(IF(INDEX(Fall!$1:$1048576,MATCH(All!$A330,Fall!$A:$A,FALSE),MATCH(All!J$1,Fall!$1:$1,FALSE))="","",INDEX(Fall!$1:$1048576,MATCH(All!$A330,Fall!$A:$A,FALSE),MATCH(All!J$1,Fall!$1:$1,FALSE))),"")</f>
        <v>1A</v>
      </c>
      <c r="K330" t="str">
        <f>IFERROR(IF(INDEX(Fall!$1:$1048576,MATCH(All!$A330,Fall!$A:$A,FALSE),MATCH(All!K$1,Fall!$1:$1,FALSE))="","",INDEX(Fall!$1:$1048576,MATCH(All!$A330,Fall!$A:$A,FALSE),MATCH(All!K$1,Fall!$1:$1,FALSE))),"")</f>
        <v>1A</v>
      </c>
      <c r="L330" t="str">
        <f>IFERROR(IF(INDEX(Fall!$1:$1048576,MATCH(All!$A330,Fall!$A:$A,FALSE),MATCH(All!L$1,Fall!$1:$1,FALSE))="","",INDEX(Fall!$1:$1048576,MATCH(All!$A330,Fall!$A:$A,FALSE),MATCH(All!L$1,Fall!$1:$1,FALSE))),"")</f>
        <v/>
      </c>
      <c r="M330" t="str">
        <f>IFERROR(IF(INDEX(Fall!$1:$1048576,MATCH(All!$A330,Fall!$A:$A,FALSE),MATCH(All!M$1,Fall!$1:$1,FALSE))="","",INDEX(Fall!$1:$1048576,MATCH(All!$A330,Fall!$A:$A,FALSE),MATCH(All!M$1,Fall!$1:$1,FALSE))),"")</f>
        <v>2A</v>
      </c>
      <c r="O330" t="str">
        <f>IFERROR(IF(INDEX(Winter!$1:$1048576,MATCH(All!$A330,Winter!$A:$A,FALSE),MATCH(All!O$1,Winter!$1:$1,FALSE))="","",INDEX(Winter!$1:$1048576,MATCH(All!$A330,Winter!$A:$A,FALSE),MATCH(All!O$1,Winter!$1:$1,FALSE))),"")</f>
        <v>204.00 (336.60)</v>
      </c>
      <c r="P330" t="str">
        <f>IFERROR(IF(INDEX(Winter!$1:$1048576,MATCH(All!$A330,Winter!$A:$A,FALSE),MATCH(All!P$1,Winter!$1:$1,FALSE))="","",INDEX(Winter!$1:$1048576,MATCH(All!$A330,Winter!$A:$A,FALSE),MATCH(All!P$1,Winter!$1:$1,FALSE))),"")</f>
        <v>1A</v>
      </c>
      <c r="Q330" t="str">
        <f>IFERROR(IF(INDEX(Winter!$1:$1048576,MATCH(All!$A330,Winter!$A:$A,FALSE),MATCH(All!Q$1,Winter!$1:$1,FALSE))="","",INDEX(Winter!$1:$1048576,MATCH(All!$A330,Winter!$A:$A,FALSE),MATCH(All!Q$1,Winter!$1:$1,FALSE))),"")</f>
        <v>2A</v>
      </c>
      <c r="R330" t="str">
        <f>IFERROR(IF(INDEX(Winter!$1:$1048576,MATCH(All!$A330,Winter!$A:$A,FALSE),MATCH(All!R$1,Winter!$1:$1,FALSE))="","",INDEX(Winter!$1:$1048576,MATCH(All!$A330,Winter!$A:$A,FALSE),MATCH(All!R$1,Winter!$1:$1,FALSE))),"")</f>
        <v>1A</v>
      </c>
      <c r="S330" t="str">
        <f>IFERROR(IF(INDEX(Winter!$1:$1048576,MATCH(All!$A330,Winter!$A:$A,FALSE),MATCH(All!S$1,Winter!$1:$1,FALSE))="","",INDEX(Winter!$1:$1048576,MATCH(All!$A330,Winter!$A:$A,FALSE),MATCH(All!S$1,Winter!$1:$1,FALSE))),"")</f>
        <v/>
      </c>
      <c r="T330" t="str">
        <f>IFERROR(IF(INDEX(Winter!$1:$1048576,MATCH(All!$A330,Winter!$A:$A,FALSE),MATCH(All!T$1,Winter!$1:$1,FALSE))="","",INDEX(Winter!$1:$1048576,MATCH(All!$A330,Winter!$A:$A,FALSE),MATCH(All!T$1,Winter!$1:$1,FALSE))),"")</f>
        <v/>
      </c>
      <c r="U330" t="str">
        <f>IFERROR(IF(INDEX(Winter!$1:$1048576,MATCH(All!$A330,Winter!$A:$A,FALSE),MATCH(All!U$1,Winter!$1:$1,FALSE))="","",INDEX(Winter!$1:$1048576,MATCH(All!$A330,Winter!$A:$A,FALSE),MATCH(All!U$1,Winter!$1:$1,FALSE))),"")</f>
        <v>1A</v>
      </c>
      <c r="W330" t="str">
        <f>IFERROR(IF(INDEX(Spring!$1:$1048576,MATCH(All!$A330,Spring!$A:$A,FALSE),MATCH(All!W$1,Spring!$1:$1,FALSE))="","",INDEX(Spring!$1:$1048576,MATCH(All!$A330,Spring!$A:$A,FALSE),MATCH(All!W$1,Spring!$1:$1,FALSE))),"")</f>
        <v>204.00 (336.60)</v>
      </c>
      <c r="X330" t="str">
        <f>IFERROR(IF(INDEX(Spring!$1:$1048576,MATCH(All!$A330,Spring!$A:$A,FALSE),MATCH(All!X$1,Spring!$1:$1,FALSE))="","",INDEX(Spring!$1:$1048576,MATCH(All!$A330,Spring!$A:$A,FALSE),MATCH(All!X$1,Spring!$1:$1,FALSE))),"")</f>
        <v>1A</v>
      </c>
      <c r="Y330" t="str">
        <f>IFERROR(IF(INDEX(Spring!$1:$1048576,MATCH(All!$A330,Spring!$A:$A,FALSE),MATCH(All!Y$1,Spring!$1:$1,FALSE))="","",INDEX(Spring!$1:$1048576,MATCH(All!$A330,Spring!$A:$A,FALSE),MATCH(All!Y$1,Spring!$1:$1,FALSE))),"")</f>
        <v>1A</v>
      </c>
      <c r="Z330" t="str">
        <f>IFERROR(IF(INDEX(Spring!$1:$1048576,MATCH(All!$A330,Spring!$A:$A,FALSE),MATCH(All!Z$1,Spring!$1:$1,FALSE))="","",INDEX(Spring!$1:$1048576,MATCH(All!$A330,Spring!$A:$A,FALSE),MATCH(All!Z$1,Spring!$1:$1,FALSE))),"")</f>
        <v>1A</v>
      </c>
      <c r="AA330" t="str">
        <f>IFERROR(IF(INDEX(Spring!$1:$1048576,MATCH(All!$A330,Spring!$A:$A,FALSE),MATCH(All!AA$1,Spring!$1:$1,FALSE))="","",INDEX(Spring!$1:$1048576,MATCH(All!$A330,Spring!$A:$A,FALSE),MATCH(All!AA$1,Spring!$1:$1,FALSE))),"")</f>
        <v/>
      </c>
      <c r="AB330" t="str">
        <f>IFERROR(IF(INDEX(Spring!$1:$1048576,MATCH(All!$A330,Spring!$A:$A,FALSE),MATCH(All!AB$1,Spring!$1:$1,FALSE))="","",INDEX(Spring!$1:$1048576,MATCH(All!$A330,Spring!$A:$A,FALSE),MATCH(All!AB$1,Spring!$1:$1,FALSE))),"")</f>
        <v>1A</v>
      </c>
      <c r="AC330" t="str">
        <f>IFERROR(IF(INDEX(Spring!$1:$1048576,MATCH(All!$A330,Spring!$A:$A,FALSE),MATCH(All!AC$1,Spring!$1:$1,FALSE))="","",INDEX(Spring!$1:$1048576,MATCH(All!$A330,Spring!$A:$A,FALSE),MATCH(All!AC$1,Spring!$1:$1,FALSE))),"")</f>
        <v>1A</v>
      </c>
      <c r="AD330" t="str">
        <f>IFERROR(VLOOKUP(A330,'Flag Football'!A:A,1,FALSE),"")</f>
        <v>Elgin (St. Edward)</v>
      </c>
      <c r="AE330" t="str">
        <f t="shared" si="5"/>
        <v>1A</v>
      </c>
    </row>
    <row r="331" spans="1:31" ht="15.75" thickBot="1" x14ac:dyDescent="0.3">
      <c r="A331" s="20" t="s">
        <v>416</v>
      </c>
      <c r="B331" s="38">
        <f>IFERROR(VLOOKUP(A331,'Public v Private'!A:G,3,FALSE),"")</f>
        <v>0</v>
      </c>
      <c r="C331" s="38">
        <f>IFERROR(VLOOKUP(A331,'Public v Private'!A:G,4,FALSE),"")</f>
        <v>0</v>
      </c>
      <c r="D331" s="38">
        <f>IFERROR(VLOOKUP(A331,'Public v Private'!A:G,5,FALSE),"")</f>
        <v>0</v>
      </c>
      <c r="E331" s="38"/>
      <c r="F331" s="40">
        <f>IFERROR(INDEX(Fall!$1:$1048576,MATCH(All!$A331,Fall!$A:$A,FALSE),MATCH(All!F$1,Fall!$1:$1,FALSE)),"N/A")</f>
        <v>173</v>
      </c>
      <c r="G331" t="str">
        <f>IFERROR(IF(INDEX(Fall!$1:$1048576,MATCH(All!$A331,Fall!$A:$A,FALSE),MATCH(All!G$1,Fall!$1:$1,FALSE))="","",INDEX(Fall!$1:$1048576,MATCH(All!$A331,Fall!$A:$A,FALSE),MATCH(All!G$1,Fall!$1:$1,FALSE))),"")</f>
        <v/>
      </c>
      <c r="H331" t="str">
        <f>IFERROR(IF(INDEX(Fall!$1:$1048576,MATCH(All!$A331,Fall!$A:$A,FALSE),MATCH(All!H$1,Fall!$1:$1,FALSE))="","",INDEX(Fall!$1:$1048576,MATCH(All!$A331,Fall!$A:$A,FALSE),MATCH(All!H$1,Fall!$1:$1,FALSE))),"")</f>
        <v/>
      </c>
      <c r="I331" t="str">
        <f>IFERROR(IF(INDEX(Fall!$1:$1048576,MATCH(All!$A331,Fall!$A:$A,FALSE),MATCH(All!I$1,Fall!$1:$1,FALSE))="","",INDEX(Fall!$1:$1048576,MATCH(All!$A331,Fall!$A:$A,FALSE),MATCH(All!I$1,Fall!$1:$1,FALSE))),"")</f>
        <v>1A</v>
      </c>
      <c r="J331" t="str">
        <f>IFERROR(IF(INDEX(Fall!$1:$1048576,MATCH(All!$A331,Fall!$A:$A,FALSE),MATCH(All!J$1,Fall!$1:$1,FALSE))="","",INDEX(Fall!$1:$1048576,MATCH(All!$A331,Fall!$A:$A,FALSE),MATCH(All!J$1,Fall!$1:$1,FALSE))),"")</f>
        <v/>
      </c>
      <c r="K331" t="str">
        <f>IFERROR(IF(INDEX(Fall!$1:$1048576,MATCH(All!$A331,Fall!$A:$A,FALSE),MATCH(All!K$1,Fall!$1:$1,FALSE))="","",INDEX(Fall!$1:$1048576,MATCH(All!$A331,Fall!$A:$A,FALSE),MATCH(All!K$1,Fall!$1:$1,FALSE))),"")</f>
        <v/>
      </c>
      <c r="L331" t="str">
        <f>IFERROR(IF(INDEX(Fall!$1:$1048576,MATCH(All!$A331,Fall!$A:$A,FALSE),MATCH(All!L$1,Fall!$1:$1,FALSE))="","",INDEX(Fall!$1:$1048576,MATCH(All!$A331,Fall!$A:$A,FALSE),MATCH(All!L$1,Fall!$1:$1,FALSE))),"")</f>
        <v/>
      </c>
      <c r="M331" t="str">
        <f>IFERROR(IF(INDEX(Fall!$1:$1048576,MATCH(All!$A331,Fall!$A:$A,FALSE),MATCH(All!M$1,Fall!$1:$1,FALSE))="","",INDEX(Fall!$1:$1048576,MATCH(All!$A331,Fall!$A:$A,FALSE),MATCH(All!M$1,Fall!$1:$1,FALSE))),"")</f>
        <v>1A</v>
      </c>
      <c r="O331">
        <f>IFERROR(IF(INDEX(Winter!$1:$1048576,MATCH(All!$A331,Winter!$A:$A,FALSE),MATCH(All!O$1,Winter!$1:$1,FALSE))="","",INDEX(Winter!$1:$1048576,MATCH(All!$A331,Winter!$A:$A,FALSE),MATCH(All!O$1,Winter!$1:$1,FALSE))),"")</f>
        <v>173</v>
      </c>
      <c r="P331" t="str">
        <f>IFERROR(IF(INDEX(Winter!$1:$1048576,MATCH(All!$A331,Winter!$A:$A,FALSE),MATCH(All!P$1,Winter!$1:$1,FALSE))="","",INDEX(Winter!$1:$1048576,MATCH(All!$A331,Winter!$A:$A,FALSE),MATCH(All!P$1,Winter!$1:$1,FALSE))),"")</f>
        <v>1A</v>
      </c>
      <c r="Q331" t="str">
        <f>IFERROR(IF(INDEX(Winter!$1:$1048576,MATCH(All!$A331,Winter!$A:$A,FALSE),MATCH(All!Q$1,Winter!$1:$1,FALSE))="","",INDEX(Winter!$1:$1048576,MATCH(All!$A331,Winter!$A:$A,FALSE),MATCH(All!Q$1,Winter!$1:$1,FALSE))),"")</f>
        <v>1A</v>
      </c>
      <c r="R331" t="str">
        <f>IFERROR(IF(INDEX(Winter!$1:$1048576,MATCH(All!$A331,Winter!$A:$A,FALSE),MATCH(All!R$1,Winter!$1:$1,FALSE))="","",INDEX(Winter!$1:$1048576,MATCH(All!$A331,Winter!$A:$A,FALSE),MATCH(All!R$1,Winter!$1:$1,FALSE))),"")</f>
        <v/>
      </c>
      <c r="S331" t="str">
        <f>IFERROR(IF(INDEX(Winter!$1:$1048576,MATCH(All!$A331,Winter!$A:$A,FALSE),MATCH(All!S$1,Winter!$1:$1,FALSE))="","",INDEX(Winter!$1:$1048576,MATCH(All!$A331,Winter!$A:$A,FALSE),MATCH(All!S$1,Winter!$1:$1,FALSE))),"")</f>
        <v/>
      </c>
      <c r="T331" t="str">
        <f>IFERROR(IF(INDEX(Winter!$1:$1048576,MATCH(All!$A331,Winter!$A:$A,FALSE),MATCH(All!T$1,Winter!$1:$1,FALSE))="","",INDEX(Winter!$1:$1048576,MATCH(All!$A331,Winter!$A:$A,FALSE),MATCH(All!T$1,Winter!$1:$1,FALSE))),"")</f>
        <v>1A</v>
      </c>
      <c r="U331" t="str">
        <f>IFERROR(IF(INDEX(Winter!$1:$1048576,MATCH(All!$A331,Winter!$A:$A,FALSE),MATCH(All!U$1,Winter!$1:$1,FALSE))="","",INDEX(Winter!$1:$1048576,MATCH(All!$A331,Winter!$A:$A,FALSE),MATCH(All!U$1,Winter!$1:$1,FALSE))),"")</f>
        <v/>
      </c>
      <c r="W331">
        <f>IFERROR(IF(INDEX(Spring!$1:$1048576,MATCH(All!$A331,Spring!$A:$A,FALSE),MATCH(All!W$1,Spring!$1:$1,FALSE))="","",INDEX(Spring!$1:$1048576,MATCH(All!$A331,Spring!$A:$A,FALSE),MATCH(All!W$1,Spring!$1:$1,FALSE))),"")</f>
        <v>173</v>
      </c>
      <c r="X331" t="str">
        <f>IFERROR(IF(INDEX(Spring!$1:$1048576,MATCH(All!$A331,Spring!$A:$A,FALSE),MATCH(All!X$1,Spring!$1:$1,FALSE))="","",INDEX(Spring!$1:$1048576,MATCH(All!$A331,Spring!$A:$A,FALSE),MATCH(All!X$1,Spring!$1:$1,FALSE))),"")</f>
        <v>1A</v>
      </c>
      <c r="Y331" t="str">
        <f>IFERROR(IF(INDEX(Spring!$1:$1048576,MATCH(All!$A331,Spring!$A:$A,FALSE),MATCH(All!Y$1,Spring!$1:$1,FALSE))="","",INDEX(Spring!$1:$1048576,MATCH(All!$A331,Spring!$A:$A,FALSE),MATCH(All!Y$1,Spring!$1:$1,FALSE))),"")</f>
        <v>1A</v>
      </c>
      <c r="Z331" t="str">
        <f>IFERROR(IF(INDEX(Spring!$1:$1048576,MATCH(All!$A331,Spring!$A:$A,FALSE),MATCH(All!Z$1,Spring!$1:$1,FALSE))="","",INDEX(Spring!$1:$1048576,MATCH(All!$A331,Spring!$A:$A,FALSE),MATCH(All!Z$1,Spring!$1:$1,FALSE))),"")</f>
        <v/>
      </c>
      <c r="AA331" t="str">
        <f>IFERROR(IF(INDEX(Spring!$1:$1048576,MATCH(All!$A331,Spring!$A:$A,FALSE),MATCH(All!AA$1,Spring!$1:$1,FALSE))="","",INDEX(Spring!$1:$1048576,MATCH(All!$A331,Spring!$A:$A,FALSE),MATCH(All!AA$1,Spring!$1:$1,FALSE))),"")</f>
        <v/>
      </c>
      <c r="AB331" t="str">
        <f>IFERROR(IF(INDEX(Spring!$1:$1048576,MATCH(All!$A331,Spring!$A:$A,FALSE),MATCH(All!AB$1,Spring!$1:$1,FALSE))="","",INDEX(Spring!$1:$1048576,MATCH(All!$A331,Spring!$A:$A,FALSE),MATCH(All!AB$1,Spring!$1:$1,FALSE))),"")</f>
        <v/>
      </c>
      <c r="AC331" t="str">
        <f>IFERROR(IF(INDEX(Spring!$1:$1048576,MATCH(All!$A331,Spring!$A:$A,FALSE),MATCH(All!AC$1,Spring!$1:$1,FALSE))="","",INDEX(Spring!$1:$1048576,MATCH(All!$A331,Spring!$A:$A,FALSE),MATCH(All!AC$1,Spring!$1:$1,FALSE))),"")</f>
        <v/>
      </c>
      <c r="AD331" t="str">
        <f>IFERROR(VLOOKUP(A331,'Flag Football'!A:A,1,FALSE),"")</f>
        <v/>
      </c>
      <c r="AE331" t="str">
        <f t="shared" si="5"/>
        <v/>
      </c>
    </row>
    <row r="332" spans="1:31" ht="15.75" thickBot="1" x14ac:dyDescent="0.3">
      <c r="A332" s="18" t="s">
        <v>417</v>
      </c>
      <c r="B332" s="38">
        <f>IFERROR(VLOOKUP(A332,'Public v Private'!A:G,3,FALSE),"")</f>
        <v>0</v>
      </c>
      <c r="C332" s="38">
        <f>IFERROR(VLOOKUP(A332,'Public v Private'!A:G,4,FALSE),"")</f>
        <v>0</v>
      </c>
      <c r="D332" s="38">
        <f>IFERROR(VLOOKUP(A332,'Public v Private'!A:G,5,FALSE),"")</f>
        <v>0</v>
      </c>
      <c r="E332" s="38"/>
      <c r="F332" s="40">
        <f>IFERROR(INDEX(Fall!$1:$1048576,MATCH(All!$A332,Fall!$A:$A,FALSE),MATCH(All!F$1,Fall!$1:$1,FALSE)),"N/A")</f>
        <v>1784</v>
      </c>
      <c r="G332" t="str">
        <f>IFERROR(IF(INDEX(Fall!$1:$1048576,MATCH(All!$A332,Fall!$A:$A,FALSE),MATCH(All!G$1,Fall!$1:$1,FALSE))="","",INDEX(Fall!$1:$1048576,MATCH(All!$A332,Fall!$A:$A,FALSE),MATCH(All!G$1,Fall!$1:$1,FALSE))),"")</f>
        <v>3A</v>
      </c>
      <c r="H332" t="str">
        <f>IFERROR(IF(INDEX(Fall!$1:$1048576,MATCH(All!$A332,Fall!$A:$A,FALSE),MATCH(All!H$1,Fall!$1:$1,FALSE))="","",INDEX(Fall!$1:$1048576,MATCH(All!$A332,Fall!$A:$A,FALSE),MATCH(All!H$1,Fall!$1:$1,FALSE))),"")</f>
        <v>3A</v>
      </c>
      <c r="I332" t="str">
        <f>IFERROR(IF(INDEX(Fall!$1:$1048576,MATCH(All!$A332,Fall!$A:$A,FALSE),MATCH(All!I$1,Fall!$1:$1,FALSE))="","",INDEX(Fall!$1:$1048576,MATCH(All!$A332,Fall!$A:$A,FALSE),MATCH(All!I$1,Fall!$1:$1,FALSE))),"")</f>
        <v>3A</v>
      </c>
      <c r="J332" t="str">
        <f>IFERROR(IF(INDEX(Fall!$1:$1048576,MATCH(All!$A332,Fall!$A:$A,FALSE),MATCH(All!J$1,Fall!$1:$1,FALSE))="","",INDEX(Fall!$1:$1048576,MATCH(All!$A332,Fall!$A:$A,FALSE),MATCH(All!J$1,Fall!$1:$1,FALSE))),"")</f>
        <v>2A</v>
      </c>
      <c r="K332" t="str">
        <f>IFERROR(IF(INDEX(Fall!$1:$1048576,MATCH(All!$A332,Fall!$A:$A,FALSE),MATCH(All!K$1,Fall!$1:$1,FALSE))="","",INDEX(Fall!$1:$1048576,MATCH(All!$A332,Fall!$A:$A,FALSE),MATCH(All!K$1,Fall!$1:$1,FALSE))),"")</f>
        <v>3A</v>
      </c>
      <c r="L332" t="str">
        <f>IFERROR(IF(INDEX(Fall!$1:$1048576,MATCH(All!$A332,Fall!$A:$A,FALSE),MATCH(All!L$1,Fall!$1:$1,FALSE))="","",INDEX(Fall!$1:$1048576,MATCH(All!$A332,Fall!$A:$A,FALSE),MATCH(All!L$1,Fall!$1:$1,FALSE))),"")</f>
        <v>2A</v>
      </c>
      <c r="M332" t="str">
        <f>IFERROR(IF(INDEX(Fall!$1:$1048576,MATCH(All!$A332,Fall!$A:$A,FALSE),MATCH(All!M$1,Fall!$1:$1,FALSE))="","",INDEX(Fall!$1:$1048576,MATCH(All!$A332,Fall!$A:$A,FALSE),MATCH(All!M$1,Fall!$1:$1,FALSE))),"")</f>
        <v>4A</v>
      </c>
      <c r="O332">
        <f>IFERROR(IF(INDEX(Winter!$1:$1048576,MATCH(All!$A332,Winter!$A:$A,FALSE),MATCH(All!O$1,Winter!$1:$1,FALSE))="","",INDEX(Winter!$1:$1048576,MATCH(All!$A332,Winter!$A:$A,FALSE),MATCH(All!O$1,Winter!$1:$1,FALSE))),"")</f>
        <v>1784</v>
      </c>
      <c r="P332" t="str">
        <f>IFERROR(IF(INDEX(Winter!$1:$1048576,MATCH(All!$A332,Winter!$A:$A,FALSE),MATCH(All!P$1,Winter!$1:$1,FALSE))="","",INDEX(Winter!$1:$1048576,MATCH(All!$A332,Winter!$A:$A,FALSE),MATCH(All!P$1,Winter!$1:$1,FALSE))),"")</f>
        <v>4A</v>
      </c>
      <c r="Q332" t="str">
        <f>IFERROR(IF(INDEX(Winter!$1:$1048576,MATCH(All!$A332,Winter!$A:$A,FALSE),MATCH(All!Q$1,Winter!$1:$1,FALSE))="","",INDEX(Winter!$1:$1048576,MATCH(All!$A332,Winter!$A:$A,FALSE),MATCH(All!Q$1,Winter!$1:$1,FALSE))),"")</f>
        <v>4A</v>
      </c>
      <c r="R332" t="str">
        <f>IFERROR(IF(INDEX(Winter!$1:$1048576,MATCH(All!$A332,Winter!$A:$A,FALSE),MATCH(All!R$1,Winter!$1:$1,FALSE))="","",INDEX(Winter!$1:$1048576,MATCH(All!$A332,Winter!$A:$A,FALSE),MATCH(All!R$1,Winter!$1:$1,FALSE))),"")</f>
        <v>C</v>
      </c>
      <c r="S332" t="str">
        <f>IFERROR(IF(INDEX(Winter!$1:$1048576,MATCH(All!$A332,Winter!$A:$A,FALSE),MATCH(All!S$1,Winter!$1:$1,FALSE))="","",INDEX(Winter!$1:$1048576,MATCH(All!$A332,Winter!$A:$A,FALSE),MATCH(All!S$1,Winter!$1:$1,FALSE))),"")</f>
        <v>2A</v>
      </c>
      <c r="T332" t="str">
        <f>IFERROR(IF(INDEX(Winter!$1:$1048576,MATCH(All!$A332,Winter!$A:$A,FALSE),MATCH(All!T$1,Winter!$1:$1,FALSE))="","",INDEX(Winter!$1:$1048576,MATCH(All!$A332,Winter!$A:$A,FALSE),MATCH(All!T$1,Winter!$1:$1,FALSE))),"")</f>
        <v>2A</v>
      </c>
      <c r="U332" t="str">
        <f>IFERROR(IF(INDEX(Winter!$1:$1048576,MATCH(All!$A332,Winter!$A:$A,FALSE),MATCH(All!U$1,Winter!$1:$1,FALSE))="","",INDEX(Winter!$1:$1048576,MATCH(All!$A332,Winter!$A:$A,FALSE),MATCH(All!U$1,Winter!$1:$1,FALSE))),"")</f>
        <v>3A</v>
      </c>
      <c r="W332">
        <f>IFERROR(IF(INDEX(Spring!$1:$1048576,MATCH(All!$A332,Spring!$A:$A,FALSE),MATCH(All!W$1,Spring!$1:$1,FALSE))="","",INDEX(Spring!$1:$1048576,MATCH(All!$A332,Spring!$A:$A,FALSE),MATCH(All!W$1,Spring!$1:$1,FALSE))),"")</f>
        <v>1784</v>
      </c>
      <c r="X332" t="str">
        <f>IFERROR(IF(INDEX(Spring!$1:$1048576,MATCH(All!$A332,Spring!$A:$A,FALSE),MATCH(All!X$1,Spring!$1:$1,FALSE))="","",INDEX(Spring!$1:$1048576,MATCH(All!$A332,Spring!$A:$A,FALSE),MATCH(All!X$1,Spring!$1:$1,FALSE))),"")</f>
        <v>4A</v>
      </c>
      <c r="Y332" t="str">
        <f>IFERROR(IF(INDEX(Spring!$1:$1048576,MATCH(All!$A332,Spring!$A:$A,FALSE),MATCH(All!Y$1,Spring!$1:$1,FALSE))="","",INDEX(Spring!$1:$1048576,MATCH(All!$A332,Spring!$A:$A,FALSE),MATCH(All!Y$1,Spring!$1:$1,FALSE))),"")</f>
        <v>4A</v>
      </c>
      <c r="Z332" t="str">
        <f>IFERROR(IF(INDEX(Spring!$1:$1048576,MATCH(All!$A332,Spring!$A:$A,FALSE),MATCH(All!Z$1,Spring!$1:$1,FALSE))="","",INDEX(Spring!$1:$1048576,MATCH(All!$A332,Spring!$A:$A,FALSE),MATCH(All!Z$1,Spring!$1:$1,FALSE))),"")</f>
        <v>2A</v>
      </c>
      <c r="AA332" t="str">
        <f>IFERROR(IF(INDEX(Spring!$1:$1048576,MATCH(All!$A332,Spring!$A:$A,FALSE),MATCH(All!AA$1,Spring!$1:$1,FALSE))="","",INDEX(Spring!$1:$1048576,MATCH(All!$A332,Spring!$A:$A,FALSE),MATCH(All!AA$1,Spring!$1:$1,FALSE))),"")</f>
        <v>2A</v>
      </c>
      <c r="AB332" t="str">
        <f>IFERROR(IF(INDEX(Spring!$1:$1048576,MATCH(All!$A332,Spring!$A:$A,FALSE),MATCH(All!AB$1,Spring!$1:$1,FALSE))="","",INDEX(Spring!$1:$1048576,MATCH(All!$A332,Spring!$A:$A,FALSE),MATCH(All!AB$1,Spring!$1:$1,FALSE))),"")</f>
        <v>3A</v>
      </c>
      <c r="AC332" t="str">
        <f>IFERROR(IF(INDEX(Spring!$1:$1048576,MATCH(All!$A332,Spring!$A:$A,FALSE),MATCH(All!AC$1,Spring!$1:$1,FALSE))="","",INDEX(Spring!$1:$1048576,MATCH(All!$A332,Spring!$A:$A,FALSE),MATCH(All!AC$1,Spring!$1:$1,FALSE))),"")</f>
        <v>3A</v>
      </c>
      <c r="AD332" t="str">
        <f>IFERROR(VLOOKUP(A332,'Flag Football'!A:A,1,FALSE),"")</f>
        <v>Elk Grove Village (E.G.)</v>
      </c>
      <c r="AE332" t="str">
        <f t="shared" si="5"/>
        <v>1A</v>
      </c>
    </row>
    <row r="333" spans="1:31" ht="15.75" thickBot="1" x14ac:dyDescent="0.3">
      <c r="A333" s="20" t="s">
        <v>418</v>
      </c>
      <c r="B333" s="38">
        <f>IFERROR(VLOOKUP(A333,'Public v Private'!A:G,3,FALSE),"")</f>
        <v>0</v>
      </c>
      <c r="C333" s="38">
        <f>IFERROR(VLOOKUP(A333,'Public v Private'!A:G,4,FALSE),"")</f>
        <v>0</v>
      </c>
      <c r="D333" s="38">
        <f>IFERROR(VLOOKUP(A333,'Public v Private'!A:G,5,FALSE),"")</f>
        <v>0</v>
      </c>
      <c r="E333" s="38"/>
      <c r="F333" s="40">
        <f>IFERROR(INDEX(Fall!$1:$1048576,MATCH(All!$A333,Fall!$A:$A,FALSE),MATCH(All!F$1,Fall!$1:$1,FALSE)),"N/A")</f>
        <v>98</v>
      </c>
      <c r="G333" t="str">
        <f>IFERROR(IF(INDEX(Fall!$1:$1048576,MATCH(All!$A333,Fall!$A:$A,FALSE),MATCH(All!G$1,Fall!$1:$1,FALSE))="","",INDEX(Fall!$1:$1048576,MATCH(All!$A333,Fall!$A:$A,FALSE),MATCH(All!G$1,Fall!$1:$1,FALSE))),"")</f>
        <v/>
      </c>
      <c r="H333" t="str">
        <f>IFERROR(IF(INDEX(Fall!$1:$1048576,MATCH(All!$A333,Fall!$A:$A,FALSE),MATCH(All!H$1,Fall!$1:$1,FALSE))="","",INDEX(Fall!$1:$1048576,MATCH(All!$A333,Fall!$A:$A,FALSE),MATCH(All!H$1,Fall!$1:$1,FALSE))),"")</f>
        <v/>
      </c>
      <c r="I333" t="str">
        <f>IFERROR(IF(INDEX(Fall!$1:$1048576,MATCH(All!$A333,Fall!$A:$A,FALSE),MATCH(All!I$1,Fall!$1:$1,FALSE))="","",INDEX(Fall!$1:$1048576,MATCH(All!$A333,Fall!$A:$A,FALSE),MATCH(All!I$1,Fall!$1:$1,FALSE))),"")</f>
        <v/>
      </c>
      <c r="J333" t="str">
        <f>IFERROR(IF(INDEX(Fall!$1:$1048576,MATCH(All!$A333,Fall!$A:$A,FALSE),MATCH(All!J$1,Fall!$1:$1,FALSE))="","",INDEX(Fall!$1:$1048576,MATCH(All!$A333,Fall!$A:$A,FALSE),MATCH(All!J$1,Fall!$1:$1,FALSE))),"")</f>
        <v/>
      </c>
      <c r="K333" t="str">
        <f>IFERROR(IF(INDEX(Fall!$1:$1048576,MATCH(All!$A333,Fall!$A:$A,FALSE),MATCH(All!K$1,Fall!$1:$1,FALSE))="","",INDEX(Fall!$1:$1048576,MATCH(All!$A333,Fall!$A:$A,FALSE),MATCH(All!K$1,Fall!$1:$1,FALSE))),"")</f>
        <v/>
      </c>
      <c r="L333" t="str">
        <f>IFERROR(IF(INDEX(Fall!$1:$1048576,MATCH(All!$A333,Fall!$A:$A,FALSE),MATCH(All!L$1,Fall!$1:$1,FALSE))="","",INDEX(Fall!$1:$1048576,MATCH(All!$A333,Fall!$A:$A,FALSE),MATCH(All!L$1,Fall!$1:$1,FALSE))),"")</f>
        <v/>
      </c>
      <c r="M333" t="str">
        <f>IFERROR(IF(INDEX(Fall!$1:$1048576,MATCH(All!$A333,Fall!$A:$A,FALSE),MATCH(All!M$1,Fall!$1:$1,FALSE))="","",INDEX(Fall!$1:$1048576,MATCH(All!$A333,Fall!$A:$A,FALSE),MATCH(All!M$1,Fall!$1:$1,FALSE))),"")</f>
        <v>1A</v>
      </c>
      <c r="O333">
        <f>IFERROR(IF(INDEX(Winter!$1:$1048576,MATCH(All!$A333,Winter!$A:$A,FALSE),MATCH(All!O$1,Winter!$1:$1,FALSE))="","",INDEX(Winter!$1:$1048576,MATCH(All!$A333,Winter!$A:$A,FALSE),MATCH(All!O$1,Winter!$1:$1,FALSE))),"")</f>
        <v>98</v>
      </c>
      <c r="P333" t="str">
        <f>IFERROR(IF(INDEX(Winter!$1:$1048576,MATCH(All!$A333,Winter!$A:$A,FALSE),MATCH(All!P$1,Winter!$1:$1,FALSE))="","",INDEX(Winter!$1:$1048576,MATCH(All!$A333,Winter!$A:$A,FALSE),MATCH(All!P$1,Winter!$1:$1,FALSE))),"")</f>
        <v>1A</v>
      </c>
      <c r="Q333" t="str">
        <f>IFERROR(IF(INDEX(Winter!$1:$1048576,MATCH(All!$A333,Winter!$A:$A,FALSE),MATCH(All!Q$1,Winter!$1:$1,FALSE))="","",INDEX(Winter!$1:$1048576,MATCH(All!$A333,Winter!$A:$A,FALSE),MATCH(All!Q$1,Winter!$1:$1,FALSE))),"")</f>
        <v>1A</v>
      </c>
      <c r="R333" t="str">
        <f>IFERROR(IF(INDEX(Winter!$1:$1048576,MATCH(All!$A333,Winter!$A:$A,FALSE),MATCH(All!R$1,Winter!$1:$1,FALSE))="","",INDEX(Winter!$1:$1048576,MATCH(All!$A333,Winter!$A:$A,FALSE),MATCH(All!R$1,Winter!$1:$1,FALSE))),"")</f>
        <v/>
      </c>
      <c r="S333" t="str">
        <f>IFERROR(IF(INDEX(Winter!$1:$1048576,MATCH(All!$A333,Winter!$A:$A,FALSE),MATCH(All!S$1,Winter!$1:$1,FALSE))="","",INDEX(Winter!$1:$1048576,MATCH(All!$A333,Winter!$A:$A,FALSE),MATCH(All!S$1,Winter!$1:$1,FALSE))),"")</f>
        <v/>
      </c>
      <c r="T333" t="str">
        <f>IFERROR(IF(INDEX(Winter!$1:$1048576,MATCH(All!$A333,Winter!$A:$A,FALSE),MATCH(All!T$1,Winter!$1:$1,FALSE))="","",INDEX(Winter!$1:$1048576,MATCH(All!$A333,Winter!$A:$A,FALSE),MATCH(All!T$1,Winter!$1:$1,FALSE))),"")</f>
        <v/>
      </c>
      <c r="U333" t="str">
        <f>IFERROR(IF(INDEX(Winter!$1:$1048576,MATCH(All!$A333,Winter!$A:$A,FALSE),MATCH(All!U$1,Winter!$1:$1,FALSE))="","",INDEX(Winter!$1:$1048576,MATCH(All!$A333,Winter!$A:$A,FALSE),MATCH(All!U$1,Winter!$1:$1,FALSE))),"")</f>
        <v/>
      </c>
      <c r="W333">
        <f>IFERROR(IF(INDEX(Spring!$1:$1048576,MATCH(All!$A333,Spring!$A:$A,FALSE),MATCH(All!W$1,Spring!$1:$1,FALSE))="","",INDEX(Spring!$1:$1048576,MATCH(All!$A333,Spring!$A:$A,FALSE),MATCH(All!W$1,Spring!$1:$1,FALSE))),"")</f>
        <v>98</v>
      </c>
      <c r="X333" t="str">
        <f>IFERROR(IF(INDEX(Spring!$1:$1048576,MATCH(All!$A333,Spring!$A:$A,FALSE),MATCH(All!X$1,Spring!$1:$1,FALSE))="","",INDEX(Spring!$1:$1048576,MATCH(All!$A333,Spring!$A:$A,FALSE),MATCH(All!X$1,Spring!$1:$1,FALSE))),"")</f>
        <v>1A</v>
      </c>
      <c r="Y333" t="str">
        <f>IFERROR(IF(INDEX(Spring!$1:$1048576,MATCH(All!$A333,Spring!$A:$A,FALSE),MATCH(All!Y$1,Spring!$1:$1,FALSE))="","",INDEX(Spring!$1:$1048576,MATCH(All!$A333,Spring!$A:$A,FALSE),MATCH(All!Y$1,Spring!$1:$1,FALSE))),"")</f>
        <v>1A</v>
      </c>
      <c r="Z333" t="str">
        <f>IFERROR(IF(INDEX(Spring!$1:$1048576,MATCH(All!$A333,Spring!$A:$A,FALSE),MATCH(All!Z$1,Spring!$1:$1,FALSE))="","",INDEX(Spring!$1:$1048576,MATCH(All!$A333,Spring!$A:$A,FALSE),MATCH(All!Z$1,Spring!$1:$1,FALSE))),"")</f>
        <v/>
      </c>
      <c r="AA333" t="str">
        <f>IFERROR(IF(INDEX(Spring!$1:$1048576,MATCH(All!$A333,Spring!$A:$A,FALSE),MATCH(All!AA$1,Spring!$1:$1,FALSE))="","",INDEX(Spring!$1:$1048576,MATCH(All!$A333,Spring!$A:$A,FALSE),MATCH(All!AA$1,Spring!$1:$1,FALSE))),"")</f>
        <v/>
      </c>
      <c r="AB333" t="str">
        <f>IFERROR(IF(INDEX(Spring!$1:$1048576,MATCH(All!$A333,Spring!$A:$A,FALSE),MATCH(All!AB$1,Spring!$1:$1,FALSE))="","",INDEX(Spring!$1:$1048576,MATCH(All!$A333,Spring!$A:$A,FALSE),MATCH(All!AB$1,Spring!$1:$1,FALSE))),"")</f>
        <v/>
      </c>
      <c r="AC333" t="str">
        <f>IFERROR(IF(INDEX(Spring!$1:$1048576,MATCH(All!$A333,Spring!$A:$A,FALSE),MATCH(All!AC$1,Spring!$1:$1,FALSE))="","",INDEX(Spring!$1:$1048576,MATCH(All!$A333,Spring!$A:$A,FALSE),MATCH(All!AC$1,Spring!$1:$1,FALSE))),"")</f>
        <v/>
      </c>
      <c r="AD333" t="str">
        <f>IFERROR(VLOOKUP(A333,'Flag Football'!A:A,1,FALSE),"")</f>
        <v/>
      </c>
      <c r="AE333" t="str">
        <f t="shared" si="5"/>
        <v/>
      </c>
    </row>
    <row r="334" spans="1:31" ht="15.75" thickBot="1" x14ac:dyDescent="0.3">
      <c r="A334" s="18" t="s">
        <v>419</v>
      </c>
      <c r="B334" s="38" t="str">
        <f>IFERROR(VLOOKUP(A334,'Public v Private'!A:G,3,FALSE),"")</f>
        <v>private</v>
      </c>
      <c r="C334" s="38">
        <f>IFERROR(VLOOKUP(A334,'Public v Private'!A:G,4,FALSE),"")</f>
        <v>3</v>
      </c>
      <c r="D334" s="38">
        <f>IFERROR(VLOOKUP(A334,'Public v Private'!A:G,5,FALSE),"")</f>
        <v>7</v>
      </c>
      <c r="E334" s="38"/>
      <c r="F334" s="40" t="str">
        <f>IFERROR(INDEX(Fall!$1:$1048576,MATCH(All!$A334,Fall!$A:$A,FALSE),MATCH(All!F$1,Fall!$1:$1,FALSE)),"N/A")</f>
        <v>322.00 (531.30)</v>
      </c>
      <c r="G334" t="str">
        <f>IFERROR(IF(INDEX(Fall!$1:$1048576,MATCH(All!$A334,Fall!$A:$A,FALSE),MATCH(All!G$1,Fall!$1:$1,FALSE))="","",INDEX(Fall!$1:$1048576,MATCH(All!$A334,Fall!$A:$A,FALSE),MATCH(All!G$1,Fall!$1:$1,FALSE))),"")</f>
        <v>1A</v>
      </c>
      <c r="H334" t="str">
        <f>IFERROR(IF(INDEX(Fall!$1:$1048576,MATCH(All!$A334,Fall!$A:$A,FALSE),MATCH(All!H$1,Fall!$1:$1,FALSE))="","",INDEX(Fall!$1:$1048576,MATCH(All!$A334,Fall!$A:$A,FALSE),MATCH(All!H$1,Fall!$1:$1,FALSE))),"")</f>
        <v>1A</v>
      </c>
      <c r="I334" t="str">
        <f>IFERROR(IF(INDEX(Fall!$1:$1048576,MATCH(All!$A334,Fall!$A:$A,FALSE),MATCH(All!I$1,Fall!$1:$1,FALSE))="","",INDEX(Fall!$1:$1048576,MATCH(All!$A334,Fall!$A:$A,FALSE),MATCH(All!I$1,Fall!$1:$1,FALSE))),"")</f>
        <v>2A</v>
      </c>
      <c r="J334" t="str">
        <f>IFERROR(IF(INDEX(Fall!$1:$1048576,MATCH(All!$A334,Fall!$A:$A,FALSE),MATCH(All!J$1,Fall!$1:$1,FALSE))="","",INDEX(Fall!$1:$1048576,MATCH(All!$A334,Fall!$A:$A,FALSE),MATCH(All!J$1,Fall!$1:$1,FALSE))),"")</f>
        <v>1A</v>
      </c>
      <c r="K334" t="str">
        <f>IFERROR(IF(INDEX(Fall!$1:$1048576,MATCH(All!$A334,Fall!$A:$A,FALSE),MATCH(All!K$1,Fall!$1:$1,FALSE))="","",INDEX(Fall!$1:$1048576,MATCH(All!$A334,Fall!$A:$A,FALSE),MATCH(All!K$1,Fall!$1:$1,FALSE))),"")</f>
        <v>1A</v>
      </c>
      <c r="L334" t="str">
        <f>IFERROR(IF(INDEX(Fall!$1:$1048576,MATCH(All!$A334,Fall!$A:$A,FALSE),MATCH(All!L$1,Fall!$1:$1,FALSE))="","",INDEX(Fall!$1:$1048576,MATCH(All!$A334,Fall!$A:$A,FALSE),MATCH(All!L$1,Fall!$1:$1,FALSE))),"")</f>
        <v>1A</v>
      </c>
      <c r="M334" t="str">
        <f>IFERROR(IF(INDEX(Fall!$1:$1048576,MATCH(All!$A334,Fall!$A:$A,FALSE),MATCH(All!M$1,Fall!$1:$1,FALSE))="","",INDEX(Fall!$1:$1048576,MATCH(All!$A334,Fall!$A:$A,FALSE),MATCH(All!M$1,Fall!$1:$1,FALSE))),"")</f>
        <v>3A</v>
      </c>
      <c r="O334" t="str">
        <f>IFERROR(IF(INDEX(Winter!$1:$1048576,MATCH(All!$A334,Winter!$A:$A,FALSE),MATCH(All!O$1,Winter!$1:$1,FALSE))="","",INDEX(Winter!$1:$1048576,MATCH(All!$A334,Winter!$A:$A,FALSE),MATCH(All!O$1,Winter!$1:$1,FALSE))),"")</f>
        <v>322.00 (531.30)</v>
      </c>
      <c r="P334" t="str">
        <f>IFERROR(IF(INDEX(Winter!$1:$1048576,MATCH(All!$A334,Winter!$A:$A,FALSE),MATCH(All!P$1,Winter!$1:$1,FALSE))="","",INDEX(Winter!$1:$1048576,MATCH(All!$A334,Winter!$A:$A,FALSE),MATCH(All!P$1,Winter!$1:$1,FALSE))),"")</f>
        <v>2A</v>
      </c>
      <c r="Q334" t="str">
        <f>IFERROR(IF(INDEX(Winter!$1:$1048576,MATCH(All!$A334,Winter!$A:$A,FALSE),MATCH(All!Q$1,Winter!$1:$1,FALSE))="","",INDEX(Winter!$1:$1048576,MATCH(All!$A334,Winter!$A:$A,FALSE),MATCH(All!Q$1,Winter!$1:$1,FALSE))),"")</f>
        <v>2A</v>
      </c>
      <c r="R334" t="str">
        <f>IFERROR(IF(INDEX(Winter!$1:$1048576,MATCH(All!$A334,Winter!$A:$A,FALSE),MATCH(All!R$1,Winter!$1:$1,FALSE))="","",INDEX(Winter!$1:$1048576,MATCH(All!$A334,Winter!$A:$A,FALSE),MATCH(All!R$1,Winter!$1:$1,FALSE))),"")</f>
        <v/>
      </c>
      <c r="S334" t="str">
        <f>IFERROR(IF(INDEX(Winter!$1:$1048576,MATCH(All!$A334,Winter!$A:$A,FALSE),MATCH(All!S$1,Winter!$1:$1,FALSE))="","",INDEX(Winter!$1:$1048576,MATCH(All!$A334,Winter!$A:$A,FALSE),MATCH(All!S$1,Winter!$1:$1,FALSE))),"")</f>
        <v>1A</v>
      </c>
      <c r="T334" t="str">
        <f>IFERROR(IF(INDEX(Winter!$1:$1048576,MATCH(All!$A334,Winter!$A:$A,FALSE),MATCH(All!T$1,Winter!$1:$1,FALSE))="","",INDEX(Winter!$1:$1048576,MATCH(All!$A334,Winter!$A:$A,FALSE),MATCH(All!T$1,Winter!$1:$1,FALSE))),"")</f>
        <v/>
      </c>
      <c r="U334" t="str">
        <f>IFERROR(IF(INDEX(Winter!$1:$1048576,MATCH(All!$A334,Winter!$A:$A,FALSE),MATCH(All!U$1,Winter!$1:$1,FALSE))="","",INDEX(Winter!$1:$1048576,MATCH(All!$A334,Winter!$A:$A,FALSE),MATCH(All!U$1,Winter!$1:$1,FALSE))),"")</f>
        <v>2A</v>
      </c>
      <c r="W334" t="str">
        <f>IFERROR(IF(INDEX(Spring!$1:$1048576,MATCH(All!$A334,Spring!$A:$A,FALSE),MATCH(All!W$1,Spring!$1:$1,FALSE))="","",INDEX(Spring!$1:$1048576,MATCH(All!$A334,Spring!$A:$A,FALSE),MATCH(All!W$1,Spring!$1:$1,FALSE))),"")</f>
        <v>322.00 (531.30)</v>
      </c>
      <c r="X334" t="str">
        <f>IFERROR(IF(INDEX(Spring!$1:$1048576,MATCH(All!$A334,Spring!$A:$A,FALSE),MATCH(All!X$1,Spring!$1:$1,FALSE))="","",INDEX(Spring!$1:$1048576,MATCH(All!$A334,Spring!$A:$A,FALSE),MATCH(All!X$1,Spring!$1:$1,FALSE))),"")</f>
        <v>2A</v>
      </c>
      <c r="Y334" t="str">
        <f>IFERROR(IF(INDEX(Spring!$1:$1048576,MATCH(All!$A334,Spring!$A:$A,FALSE),MATCH(All!Y$1,Spring!$1:$1,FALSE))="","",INDEX(Spring!$1:$1048576,MATCH(All!$A334,Spring!$A:$A,FALSE),MATCH(All!Y$1,Spring!$1:$1,FALSE))),"")</f>
        <v>2A</v>
      </c>
      <c r="Z334" t="str">
        <f>IFERROR(IF(INDEX(Spring!$1:$1048576,MATCH(All!$A334,Spring!$A:$A,FALSE),MATCH(All!Z$1,Spring!$1:$1,FALSE))="","",INDEX(Spring!$1:$1048576,MATCH(All!$A334,Spring!$A:$A,FALSE),MATCH(All!Z$1,Spring!$1:$1,FALSE))),"")</f>
        <v>1A</v>
      </c>
      <c r="AA334" t="str">
        <f>IFERROR(IF(INDEX(Spring!$1:$1048576,MATCH(All!$A334,Spring!$A:$A,FALSE),MATCH(All!AA$1,Spring!$1:$1,FALSE))="","",INDEX(Spring!$1:$1048576,MATCH(All!$A334,Spring!$A:$A,FALSE),MATCH(All!AA$1,Spring!$1:$1,FALSE))),"")</f>
        <v/>
      </c>
      <c r="AB334" t="str">
        <f>IFERROR(IF(INDEX(Spring!$1:$1048576,MATCH(All!$A334,Spring!$A:$A,FALSE),MATCH(All!AB$1,Spring!$1:$1,FALSE))="","",INDEX(Spring!$1:$1048576,MATCH(All!$A334,Spring!$A:$A,FALSE),MATCH(All!AB$1,Spring!$1:$1,FALSE))),"")</f>
        <v>1A</v>
      </c>
      <c r="AC334" t="str">
        <f>IFERROR(IF(INDEX(Spring!$1:$1048576,MATCH(All!$A334,Spring!$A:$A,FALSE),MATCH(All!AC$1,Spring!$1:$1,FALSE))="","",INDEX(Spring!$1:$1048576,MATCH(All!$A334,Spring!$A:$A,FALSE),MATCH(All!AC$1,Spring!$1:$1,FALSE))),"")</f>
        <v>1A</v>
      </c>
      <c r="AD334" t="str">
        <f>IFERROR(VLOOKUP(A334,'Flag Football'!A:A,1,FALSE),"")</f>
        <v/>
      </c>
      <c r="AE334" t="str">
        <f t="shared" si="5"/>
        <v/>
      </c>
    </row>
    <row r="335" spans="1:31" ht="15.75" thickBot="1" x14ac:dyDescent="0.3">
      <c r="A335" s="20" t="s">
        <v>421</v>
      </c>
      <c r="B335" s="38" t="str">
        <f>IFERROR(VLOOKUP(A335,'Public v Private'!A:G,3,FALSE),"")</f>
        <v>private</v>
      </c>
      <c r="C335" s="38">
        <f>IFERROR(VLOOKUP(A335,'Public v Private'!A:G,4,FALSE),"")</f>
        <v>3</v>
      </c>
      <c r="D335" s="38">
        <f>IFERROR(VLOOKUP(A335,'Public v Private'!A:G,5,FALSE),"")</f>
        <v>7</v>
      </c>
      <c r="E335" s="38"/>
      <c r="F335" s="40" t="str">
        <f>IFERROR(INDEX(Fall!$1:$1048576,MATCH(All!$A335,Fall!$A:$A,FALSE),MATCH(All!F$1,Fall!$1:$1,FALSE)),"N/A")</f>
        <v>449.00 (740.85)</v>
      </c>
      <c r="G335" t="str">
        <f>IFERROR(IF(INDEX(Fall!$1:$1048576,MATCH(All!$A335,Fall!$A:$A,FALSE),MATCH(All!G$1,Fall!$1:$1,FALSE))="","",INDEX(Fall!$1:$1048576,MATCH(All!$A335,Fall!$A:$A,FALSE),MATCH(All!G$1,Fall!$1:$1,FALSE))),"")</f>
        <v>2A</v>
      </c>
      <c r="H335" t="str">
        <f>IFERROR(IF(INDEX(Fall!$1:$1048576,MATCH(All!$A335,Fall!$A:$A,FALSE),MATCH(All!H$1,Fall!$1:$1,FALSE))="","",INDEX(Fall!$1:$1048576,MATCH(All!$A335,Fall!$A:$A,FALSE),MATCH(All!H$1,Fall!$1:$1,FALSE))),"")</f>
        <v>1A</v>
      </c>
      <c r="I335" t="str">
        <f>IFERROR(IF(INDEX(Fall!$1:$1048576,MATCH(All!$A335,Fall!$A:$A,FALSE),MATCH(All!I$1,Fall!$1:$1,FALSE))="","",INDEX(Fall!$1:$1048576,MATCH(All!$A335,Fall!$A:$A,FALSE),MATCH(All!I$1,Fall!$1:$1,FALSE))),"")</f>
        <v>1A</v>
      </c>
      <c r="J335" t="str">
        <f>IFERROR(IF(INDEX(Fall!$1:$1048576,MATCH(All!$A335,Fall!$A:$A,FALSE),MATCH(All!J$1,Fall!$1:$1,FALSE))="","",INDEX(Fall!$1:$1048576,MATCH(All!$A335,Fall!$A:$A,FALSE),MATCH(All!J$1,Fall!$1:$1,FALSE))),"")</f>
        <v>1A</v>
      </c>
      <c r="K335" t="str">
        <f>IFERROR(IF(INDEX(Fall!$1:$1048576,MATCH(All!$A335,Fall!$A:$A,FALSE),MATCH(All!K$1,Fall!$1:$1,FALSE))="","",INDEX(Fall!$1:$1048576,MATCH(All!$A335,Fall!$A:$A,FALSE),MATCH(All!K$1,Fall!$1:$1,FALSE))),"")</f>
        <v>2A</v>
      </c>
      <c r="L335" t="str">
        <f>IFERROR(IF(INDEX(Fall!$1:$1048576,MATCH(All!$A335,Fall!$A:$A,FALSE),MATCH(All!L$1,Fall!$1:$1,FALSE))="","",INDEX(Fall!$1:$1048576,MATCH(All!$A335,Fall!$A:$A,FALSE),MATCH(All!L$1,Fall!$1:$1,FALSE))),"")</f>
        <v>1A</v>
      </c>
      <c r="M335" t="str">
        <f>IFERROR(IF(INDEX(Fall!$1:$1048576,MATCH(All!$A335,Fall!$A:$A,FALSE),MATCH(All!M$1,Fall!$1:$1,FALSE))="","",INDEX(Fall!$1:$1048576,MATCH(All!$A335,Fall!$A:$A,FALSE),MATCH(All!M$1,Fall!$1:$1,FALSE))),"")</f>
        <v>3A</v>
      </c>
      <c r="O335" t="str">
        <f>IFERROR(IF(INDEX(Winter!$1:$1048576,MATCH(All!$A335,Winter!$A:$A,FALSE),MATCH(All!O$1,Winter!$1:$1,FALSE))="","",INDEX(Winter!$1:$1048576,MATCH(All!$A335,Winter!$A:$A,FALSE),MATCH(All!O$1,Winter!$1:$1,FALSE))),"")</f>
        <v>449.00 (740.85)</v>
      </c>
      <c r="P335" t="str">
        <f>IFERROR(IF(INDEX(Winter!$1:$1048576,MATCH(All!$A335,Winter!$A:$A,FALSE),MATCH(All!P$1,Winter!$1:$1,FALSE))="","",INDEX(Winter!$1:$1048576,MATCH(All!$A335,Winter!$A:$A,FALSE),MATCH(All!P$1,Winter!$1:$1,FALSE))),"")</f>
        <v>2A</v>
      </c>
      <c r="Q335" t="str">
        <f>IFERROR(IF(INDEX(Winter!$1:$1048576,MATCH(All!$A335,Winter!$A:$A,FALSE),MATCH(All!Q$1,Winter!$1:$1,FALSE))="","",INDEX(Winter!$1:$1048576,MATCH(All!$A335,Winter!$A:$A,FALSE),MATCH(All!Q$1,Winter!$1:$1,FALSE))),"")</f>
        <v>2A</v>
      </c>
      <c r="R335" t="str">
        <f>IFERROR(IF(INDEX(Winter!$1:$1048576,MATCH(All!$A335,Winter!$A:$A,FALSE),MATCH(All!R$1,Winter!$1:$1,FALSE))="","",INDEX(Winter!$1:$1048576,MATCH(All!$A335,Winter!$A:$A,FALSE),MATCH(All!R$1,Winter!$1:$1,FALSE))),"")</f>
        <v>2A</v>
      </c>
      <c r="S335" t="str">
        <f>IFERROR(IF(INDEX(Winter!$1:$1048576,MATCH(All!$A335,Winter!$A:$A,FALSE),MATCH(All!S$1,Winter!$1:$1,FALSE))="","",INDEX(Winter!$1:$1048576,MATCH(All!$A335,Winter!$A:$A,FALSE),MATCH(All!S$1,Winter!$1:$1,FALSE))),"")</f>
        <v/>
      </c>
      <c r="T335" t="str">
        <f>IFERROR(IF(INDEX(Winter!$1:$1048576,MATCH(All!$A335,Winter!$A:$A,FALSE),MATCH(All!T$1,Winter!$1:$1,FALSE))="","",INDEX(Winter!$1:$1048576,MATCH(All!$A335,Winter!$A:$A,FALSE),MATCH(All!T$1,Winter!$1:$1,FALSE))),"")</f>
        <v>2A</v>
      </c>
      <c r="U335" t="str">
        <f>IFERROR(IF(INDEX(Winter!$1:$1048576,MATCH(All!$A335,Winter!$A:$A,FALSE),MATCH(All!U$1,Winter!$1:$1,FALSE))="","",INDEX(Winter!$1:$1048576,MATCH(All!$A335,Winter!$A:$A,FALSE),MATCH(All!U$1,Winter!$1:$1,FALSE))),"")</f>
        <v/>
      </c>
      <c r="W335" t="str">
        <f>IFERROR(IF(INDEX(Spring!$1:$1048576,MATCH(All!$A335,Spring!$A:$A,FALSE),MATCH(All!W$1,Spring!$1:$1,FALSE))="","",INDEX(Spring!$1:$1048576,MATCH(All!$A335,Spring!$A:$A,FALSE),MATCH(All!W$1,Spring!$1:$1,FALSE))),"")</f>
        <v>449.00 (740.85)</v>
      </c>
      <c r="X335" t="str">
        <f>IFERROR(IF(INDEX(Spring!$1:$1048576,MATCH(All!$A335,Spring!$A:$A,FALSE),MATCH(All!X$1,Spring!$1:$1,FALSE))="","",INDEX(Spring!$1:$1048576,MATCH(All!$A335,Spring!$A:$A,FALSE),MATCH(All!X$1,Spring!$1:$1,FALSE))),"")</f>
        <v>3A</v>
      </c>
      <c r="Y335" t="str">
        <f>IFERROR(IF(INDEX(Spring!$1:$1048576,MATCH(All!$A335,Spring!$A:$A,FALSE),MATCH(All!Y$1,Spring!$1:$1,FALSE))="","",INDEX(Spring!$1:$1048576,MATCH(All!$A335,Spring!$A:$A,FALSE),MATCH(All!Y$1,Spring!$1:$1,FALSE))),"")</f>
        <v>3A</v>
      </c>
      <c r="Z335" t="str">
        <f>IFERROR(IF(INDEX(Spring!$1:$1048576,MATCH(All!$A335,Spring!$A:$A,FALSE),MATCH(All!Z$1,Spring!$1:$1,FALSE))="","",INDEX(Spring!$1:$1048576,MATCH(All!$A335,Spring!$A:$A,FALSE),MATCH(All!Z$1,Spring!$1:$1,FALSE))),"")</f>
        <v>1A</v>
      </c>
      <c r="AA335" t="str">
        <f>IFERROR(IF(INDEX(Spring!$1:$1048576,MATCH(All!$A335,Spring!$A:$A,FALSE),MATCH(All!AA$1,Spring!$1:$1,FALSE))="","",INDEX(Spring!$1:$1048576,MATCH(All!$A335,Spring!$A:$A,FALSE),MATCH(All!AA$1,Spring!$1:$1,FALSE))),"")</f>
        <v>1A</v>
      </c>
      <c r="AB335" t="str">
        <f>IFERROR(IF(INDEX(Spring!$1:$1048576,MATCH(All!$A335,Spring!$A:$A,FALSE),MATCH(All!AB$1,Spring!$1:$1,FALSE))="","",INDEX(Spring!$1:$1048576,MATCH(All!$A335,Spring!$A:$A,FALSE),MATCH(All!AB$1,Spring!$1:$1,FALSE))),"")</f>
        <v>1A</v>
      </c>
      <c r="AC335" t="str">
        <f>IFERROR(IF(INDEX(Spring!$1:$1048576,MATCH(All!$A335,Spring!$A:$A,FALSE),MATCH(All!AC$1,Spring!$1:$1,FALSE))="","",INDEX(Spring!$1:$1048576,MATCH(All!$A335,Spring!$A:$A,FALSE),MATCH(All!AC$1,Spring!$1:$1,FALSE))),"")</f>
        <v>2A</v>
      </c>
      <c r="AD335" t="str">
        <f>IFERROR(VLOOKUP(A335,'Flag Football'!A:A,1,FALSE),"")</f>
        <v>Elmhurst (Timothy Christian)</v>
      </c>
      <c r="AE335" t="str">
        <f t="shared" si="5"/>
        <v>1A</v>
      </c>
    </row>
    <row r="336" spans="1:31" ht="15.75" thickBot="1" x14ac:dyDescent="0.3">
      <c r="A336" s="18" t="s">
        <v>423</v>
      </c>
      <c r="B336" s="38">
        <f>IFERROR(VLOOKUP(A336,'Public v Private'!A:G,3,FALSE),"")</f>
        <v>0</v>
      </c>
      <c r="C336" s="38">
        <f>IFERROR(VLOOKUP(A336,'Public v Private'!A:G,4,FALSE),"")</f>
        <v>0</v>
      </c>
      <c r="D336" s="38">
        <f>IFERROR(VLOOKUP(A336,'Public v Private'!A:G,5,FALSE),"")</f>
        <v>0</v>
      </c>
      <c r="E336" s="38"/>
      <c r="F336" s="40">
        <f>IFERROR(INDEX(Fall!$1:$1048576,MATCH(All!$A336,Fall!$A:$A,FALSE),MATCH(All!F$1,Fall!$1:$1,FALSE)),"N/A")</f>
        <v>2571</v>
      </c>
      <c r="G336" t="str">
        <f>IFERROR(IF(INDEX(Fall!$1:$1048576,MATCH(All!$A336,Fall!$A:$A,FALSE),MATCH(All!G$1,Fall!$1:$1,FALSE))="","",INDEX(Fall!$1:$1048576,MATCH(All!$A336,Fall!$A:$A,FALSE),MATCH(All!G$1,Fall!$1:$1,FALSE))),"")</f>
        <v>3A</v>
      </c>
      <c r="H336" t="str">
        <f>IFERROR(IF(INDEX(Fall!$1:$1048576,MATCH(All!$A336,Fall!$A:$A,FALSE),MATCH(All!H$1,Fall!$1:$1,FALSE))="","",INDEX(Fall!$1:$1048576,MATCH(All!$A336,Fall!$A:$A,FALSE),MATCH(All!H$1,Fall!$1:$1,FALSE))),"")</f>
        <v>3A</v>
      </c>
      <c r="I336" t="str">
        <f>IFERROR(IF(INDEX(Fall!$1:$1048576,MATCH(All!$A336,Fall!$A:$A,FALSE),MATCH(All!I$1,Fall!$1:$1,FALSE))="","",INDEX(Fall!$1:$1048576,MATCH(All!$A336,Fall!$A:$A,FALSE),MATCH(All!I$1,Fall!$1:$1,FALSE))),"")</f>
        <v>3A</v>
      </c>
      <c r="J336" t="str">
        <f>IFERROR(IF(INDEX(Fall!$1:$1048576,MATCH(All!$A336,Fall!$A:$A,FALSE),MATCH(All!J$1,Fall!$1:$1,FALSE))="","",INDEX(Fall!$1:$1048576,MATCH(All!$A336,Fall!$A:$A,FALSE),MATCH(All!J$1,Fall!$1:$1,FALSE))),"")</f>
        <v>2A</v>
      </c>
      <c r="K336" t="str">
        <f>IFERROR(IF(INDEX(Fall!$1:$1048576,MATCH(All!$A336,Fall!$A:$A,FALSE),MATCH(All!K$1,Fall!$1:$1,FALSE))="","",INDEX(Fall!$1:$1048576,MATCH(All!$A336,Fall!$A:$A,FALSE),MATCH(All!K$1,Fall!$1:$1,FALSE))),"")</f>
        <v>3A</v>
      </c>
      <c r="L336" t="str">
        <f>IFERROR(IF(INDEX(Fall!$1:$1048576,MATCH(All!$A336,Fall!$A:$A,FALSE),MATCH(All!L$1,Fall!$1:$1,FALSE))="","",INDEX(Fall!$1:$1048576,MATCH(All!$A336,Fall!$A:$A,FALSE),MATCH(All!L$1,Fall!$1:$1,FALSE))),"")</f>
        <v>2A</v>
      </c>
      <c r="M336" t="str">
        <f>IFERROR(IF(INDEX(Fall!$1:$1048576,MATCH(All!$A336,Fall!$A:$A,FALSE),MATCH(All!M$1,Fall!$1:$1,FALSE))="","",INDEX(Fall!$1:$1048576,MATCH(All!$A336,Fall!$A:$A,FALSE),MATCH(All!M$1,Fall!$1:$1,FALSE))),"")</f>
        <v>4A</v>
      </c>
      <c r="O336">
        <f>IFERROR(IF(INDEX(Winter!$1:$1048576,MATCH(All!$A336,Winter!$A:$A,FALSE),MATCH(All!O$1,Winter!$1:$1,FALSE))="","",INDEX(Winter!$1:$1048576,MATCH(All!$A336,Winter!$A:$A,FALSE),MATCH(All!O$1,Winter!$1:$1,FALSE))),"")</f>
        <v>2571</v>
      </c>
      <c r="P336" t="str">
        <f>IFERROR(IF(INDEX(Winter!$1:$1048576,MATCH(All!$A336,Winter!$A:$A,FALSE),MATCH(All!P$1,Winter!$1:$1,FALSE))="","",INDEX(Winter!$1:$1048576,MATCH(All!$A336,Winter!$A:$A,FALSE),MATCH(All!P$1,Winter!$1:$1,FALSE))),"")</f>
        <v>4A</v>
      </c>
      <c r="Q336" t="str">
        <f>IFERROR(IF(INDEX(Winter!$1:$1048576,MATCH(All!$A336,Winter!$A:$A,FALSE),MATCH(All!Q$1,Winter!$1:$1,FALSE))="","",INDEX(Winter!$1:$1048576,MATCH(All!$A336,Winter!$A:$A,FALSE),MATCH(All!Q$1,Winter!$1:$1,FALSE))),"")</f>
        <v>4A</v>
      </c>
      <c r="R336" t="str">
        <f>IFERROR(IF(INDEX(Winter!$1:$1048576,MATCH(All!$A336,Winter!$A:$A,FALSE),MATCH(All!R$1,Winter!$1:$1,FALSE))="","",INDEX(Winter!$1:$1048576,MATCH(All!$A336,Winter!$A:$A,FALSE),MATCH(All!R$1,Winter!$1:$1,FALSE))),"")</f>
        <v>3A</v>
      </c>
      <c r="S336" t="str">
        <f>IFERROR(IF(INDEX(Winter!$1:$1048576,MATCH(All!$A336,Winter!$A:$A,FALSE),MATCH(All!S$1,Winter!$1:$1,FALSE))="","",INDEX(Winter!$1:$1048576,MATCH(All!$A336,Winter!$A:$A,FALSE),MATCH(All!S$1,Winter!$1:$1,FALSE))),"")</f>
        <v>3A</v>
      </c>
      <c r="T336" t="str">
        <f>IFERROR(IF(INDEX(Winter!$1:$1048576,MATCH(All!$A336,Winter!$A:$A,FALSE),MATCH(All!T$1,Winter!$1:$1,FALSE))="","",INDEX(Winter!$1:$1048576,MATCH(All!$A336,Winter!$A:$A,FALSE),MATCH(All!T$1,Winter!$1:$1,FALSE))),"")</f>
        <v>2A</v>
      </c>
      <c r="U336" t="str">
        <f>IFERROR(IF(INDEX(Winter!$1:$1048576,MATCH(All!$A336,Winter!$A:$A,FALSE),MATCH(All!U$1,Winter!$1:$1,FALSE))="","",INDEX(Winter!$1:$1048576,MATCH(All!$A336,Winter!$A:$A,FALSE),MATCH(All!U$1,Winter!$1:$1,FALSE))),"")</f>
        <v>3A</v>
      </c>
      <c r="W336">
        <f>IFERROR(IF(INDEX(Spring!$1:$1048576,MATCH(All!$A336,Spring!$A:$A,FALSE),MATCH(All!W$1,Spring!$1:$1,FALSE))="","",INDEX(Spring!$1:$1048576,MATCH(All!$A336,Spring!$A:$A,FALSE),MATCH(All!W$1,Spring!$1:$1,FALSE))),"")</f>
        <v>2571</v>
      </c>
      <c r="X336" t="str">
        <f>IFERROR(IF(INDEX(Spring!$1:$1048576,MATCH(All!$A336,Spring!$A:$A,FALSE),MATCH(All!X$1,Spring!$1:$1,FALSE))="","",INDEX(Spring!$1:$1048576,MATCH(All!$A336,Spring!$A:$A,FALSE),MATCH(All!X$1,Spring!$1:$1,FALSE))),"")</f>
        <v>4A</v>
      </c>
      <c r="Y336" t="str">
        <f>IFERROR(IF(INDEX(Spring!$1:$1048576,MATCH(All!$A336,Spring!$A:$A,FALSE),MATCH(All!Y$1,Spring!$1:$1,FALSE))="","",INDEX(Spring!$1:$1048576,MATCH(All!$A336,Spring!$A:$A,FALSE),MATCH(All!Y$1,Spring!$1:$1,FALSE))),"")</f>
        <v>4A</v>
      </c>
      <c r="Z336" t="str">
        <f>IFERROR(IF(INDEX(Spring!$1:$1048576,MATCH(All!$A336,Spring!$A:$A,FALSE),MATCH(All!Z$1,Spring!$1:$1,FALSE))="","",INDEX(Spring!$1:$1048576,MATCH(All!$A336,Spring!$A:$A,FALSE),MATCH(All!Z$1,Spring!$1:$1,FALSE))),"")</f>
        <v>3A</v>
      </c>
      <c r="AA336" t="str">
        <f>IFERROR(IF(INDEX(Spring!$1:$1048576,MATCH(All!$A336,Spring!$A:$A,FALSE),MATCH(All!AA$1,Spring!$1:$1,FALSE))="","",INDEX(Spring!$1:$1048576,MATCH(All!$A336,Spring!$A:$A,FALSE),MATCH(All!AA$1,Spring!$1:$1,FALSE))),"")</f>
        <v>2A</v>
      </c>
      <c r="AB336" t="str">
        <f>IFERROR(IF(INDEX(Spring!$1:$1048576,MATCH(All!$A336,Spring!$A:$A,FALSE),MATCH(All!AB$1,Spring!$1:$1,FALSE))="","",INDEX(Spring!$1:$1048576,MATCH(All!$A336,Spring!$A:$A,FALSE),MATCH(All!AB$1,Spring!$1:$1,FALSE))),"")</f>
        <v>3A</v>
      </c>
      <c r="AC336" t="str">
        <f>IFERROR(IF(INDEX(Spring!$1:$1048576,MATCH(All!$A336,Spring!$A:$A,FALSE),MATCH(All!AC$1,Spring!$1:$1,FALSE))="","",INDEX(Spring!$1:$1048576,MATCH(All!$A336,Spring!$A:$A,FALSE),MATCH(All!AC$1,Spring!$1:$1,FALSE))),"")</f>
        <v>3A</v>
      </c>
      <c r="AD336" t="str">
        <f>IFERROR(VLOOKUP(A336,'Flag Football'!A:A,1,FALSE),"")</f>
        <v>Elmhurst (York)</v>
      </c>
      <c r="AE336" t="str">
        <f t="shared" si="5"/>
        <v>1A</v>
      </c>
    </row>
    <row r="337" spans="1:31" ht="15.75" thickBot="1" x14ac:dyDescent="0.3">
      <c r="A337" s="20" t="s">
        <v>424</v>
      </c>
      <c r="B337" s="38">
        <f>IFERROR(VLOOKUP(A337,'Public v Private'!A:G,3,FALSE),"")</f>
        <v>0</v>
      </c>
      <c r="C337" s="38">
        <f>IFERROR(VLOOKUP(A337,'Public v Private'!A:G,4,FALSE),"")</f>
        <v>0</v>
      </c>
      <c r="D337" s="38">
        <f>IFERROR(VLOOKUP(A337,'Public v Private'!A:G,5,FALSE),"")</f>
        <v>0</v>
      </c>
      <c r="E337" s="38"/>
      <c r="F337" s="40">
        <f>IFERROR(INDEX(Fall!$1:$1048576,MATCH(All!$A337,Fall!$A:$A,FALSE),MATCH(All!F$1,Fall!$1:$1,FALSE)),"N/A")</f>
        <v>201</v>
      </c>
      <c r="G337" t="str">
        <f>IFERROR(IF(INDEX(Fall!$1:$1048576,MATCH(All!$A337,Fall!$A:$A,FALSE),MATCH(All!G$1,Fall!$1:$1,FALSE))="","",INDEX(Fall!$1:$1048576,MATCH(All!$A337,Fall!$A:$A,FALSE),MATCH(All!G$1,Fall!$1:$1,FALSE))),"")</f>
        <v>1A</v>
      </c>
      <c r="H337" t="str">
        <f>IFERROR(IF(INDEX(Fall!$1:$1048576,MATCH(All!$A337,Fall!$A:$A,FALSE),MATCH(All!H$1,Fall!$1:$1,FALSE))="","",INDEX(Fall!$1:$1048576,MATCH(All!$A337,Fall!$A:$A,FALSE),MATCH(All!H$1,Fall!$1:$1,FALSE))),"")</f>
        <v>1A</v>
      </c>
      <c r="I337" t="str">
        <f>IFERROR(IF(INDEX(Fall!$1:$1048576,MATCH(All!$A337,Fall!$A:$A,FALSE),MATCH(All!I$1,Fall!$1:$1,FALSE))="","",INDEX(Fall!$1:$1048576,MATCH(All!$A337,Fall!$A:$A,FALSE),MATCH(All!I$1,Fall!$1:$1,FALSE))),"")</f>
        <v>1A</v>
      </c>
      <c r="J337" t="str">
        <f>IFERROR(IF(INDEX(Fall!$1:$1048576,MATCH(All!$A337,Fall!$A:$A,FALSE),MATCH(All!J$1,Fall!$1:$1,FALSE))="","",INDEX(Fall!$1:$1048576,MATCH(All!$A337,Fall!$A:$A,FALSE),MATCH(All!J$1,Fall!$1:$1,FALSE))),"")</f>
        <v>1A</v>
      </c>
      <c r="K337" t="str">
        <f>IFERROR(IF(INDEX(Fall!$1:$1048576,MATCH(All!$A337,Fall!$A:$A,FALSE),MATCH(All!K$1,Fall!$1:$1,FALSE))="","",INDEX(Fall!$1:$1048576,MATCH(All!$A337,Fall!$A:$A,FALSE),MATCH(All!K$1,Fall!$1:$1,FALSE))),"")</f>
        <v/>
      </c>
      <c r="L337" t="str">
        <f>IFERROR(IF(INDEX(Fall!$1:$1048576,MATCH(All!$A337,Fall!$A:$A,FALSE),MATCH(All!L$1,Fall!$1:$1,FALSE))="","",INDEX(Fall!$1:$1048576,MATCH(All!$A337,Fall!$A:$A,FALSE),MATCH(All!L$1,Fall!$1:$1,FALSE))),"")</f>
        <v/>
      </c>
      <c r="M337" t="str">
        <f>IFERROR(IF(INDEX(Fall!$1:$1048576,MATCH(All!$A337,Fall!$A:$A,FALSE),MATCH(All!M$1,Fall!$1:$1,FALSE))="","",INDEX(Fall!$1:$1048576,MATCH(All!$A337,Fall!$A:$A,FALSE),MATCH(All!M$1,Fall!$1:$1,FALSE))),"")</f>
        <v>1A</v>
      </c>
      <c r="O337">
        <f>IFERROR(IF(INDEX(Winter!$1:$1048576,MATCH(All!$A337,Winter!$A:$A,FALSE),MATCH(All!O$1,Winter!$1:$1,FALSE))="","",INDEX(Winter!$1:$1048576,MATCH(All!$A337,Winter!$A:$A,FALSE),MATCH(All!O$1,Winter!$1:$1,FALSE))),"")</f>
        <v>201</v>
      </c>
      <c r="P337" t="str">
        <f>IFERROR(IF(INDEX(Winter!$1:$1048576,MATCH(All!$A337,Winter!$A:$A,FALSE),MATCH(All!P$1,Winter!$1:$1,FALSE))="","",INDEX(Winter!$1:$1048576,MATCH(All!$A337,Winter!$A:$A,FALSE),MATCH(All!P$1,Winter!$1:$1,FALSE))),"")</f>
        <v>1A</v>
      </c>
      <c r="Q337" t="str">
        <f>IFERROR(IF(INDEX(Winter!$1:$1048576,MATCH(All!$A337,Winter!$A:$A,FALSE),MATCH(All!Q$1,Winter!$1:$1,FALSE))="","",INDEX(Winter!$1:$1048576,MATCH(All!$A337,Winter!$A:$A,FALSE),MATCH(All!Q$1,Winter!$1:$1,FALSE))),"")</f>
        <v>1A</v>
      </c>
      <c r="R337" t="str">
        <f>IFERROR(IF(INDEX(Winter!$1:$1048576,MATCH(All!$A337,Winter!$A:$A,FALSE),MATCH(All!R$1,Winter!$1:$1,FALSE))="","",INDEX(Winter!$1:$1048576,MATCH(All!$A337,Winter!$A:$A,FALSE),MATCH(All!R$1,Winter!$1:$1,FALSE))),"")</f>
        <v/>
      </c>
      <c r="S337" t="str">
        <f>IFERROR(IF(INDEX(Winter!$1:$1048576,MATCH(All!$A337,Winter!$A:$A,FALSE),MATCH(All!S$1,Winter!$1:$1,FALSE))="","",INDEX(Winter!$1:$1048576,MATCH(All!$A337,Winter!$A:$A,FALSE),MATCH(All!S$1,Winter!$1:$1,FALSE))),"")</f>
        <v>1A</v>
      </c>
      <c r="T337" t="str">
        <f>IFERROR(IF(INDEX(Winter!$1:$1048576,MATCH(All!$A337,Winter!$A:$A,FALSE),MATCH(All!T$1,Winter!$1:$1,FALSE))="","",INDEX(Winter!$1:$1048576,MATCH(All!$A337,Winter!$A:$A,FALSE),MATCH(All!T$1,Winter!$1:$1,FALSE))),"")</f>
        <v>1A</v>
      </c>
      <c r="U337" t="str">
        <f>IFERROR(IF(INDEX(Winter!$1:$1048576,MATCH(All!$A337,Winter!$A:$A,FALSE),MATCH(All!U$1,Winter!$1:$1,FALSE))="","",INDEX(Winter!$1:$1048576,MATCH(All!$A337,Winter!$A:$A,FALSE),MATCH(All!U$1,Winter!$1:$1,FALSE))),"")</f>
        <v/>
      </c>
      <c r="W337">
        <f>IFERROR(IF(INDEX(Spring!$1:$1048576,MATCH(All!$A337,Spring!$A:$A,FALSE),MATCH(All!W$1,Spring!$1:$1,FALSE))="","",INDEX(Spring!$1:$1048576,MATCH(All!$A337,Spring!$A:$A,FALSE),MATCH(All!W$1,Spring!$1:$1,FALSE))),"")</f>
        <v>201</v>
      </c>
      <c r="X337" t="str">
        <f>IFERROR(IF(INDEX(Spring!$1:$1048576,MATCH(All!$A337,Spring!$A:$A,FALSE),MATCH(All!X$1,Spring!$1:$1,FALSE))="","",INDEX(Spring!$1:$1048576,MATCH(All!$A337,Spring!$A:$A,FALSE),MATCH(All!X$1,Spring!$1:$1,FALSE))),"")</f>
        <v/>
      </c>
      <c r="Y337" t="str">
        <f>IFERROR(IF(INDEX(Spring!$1:$1048576,MATCH(All!$A337,Spring!$A:$A,FALSE),MATCH(All!Y$1,Spring!$1:$1,FALSE))="","",INDEX(Spring!$1:$1048576,MATCH(All!$A337,Spring!$A:$A,FALSE),MATCH(All!Y$1,Spring!$1:$1,FALSE))),"")</f>
        <v/>
      </c>
      <c r="Z337" t="str">
        <f>IFERROR(IF(INDEX(Spring!$1:$1048576,MATCH(All!$A337,Spring!$A:$A,FALSE),MATCH(All!Z$1,Spring!$1:$1,FALSE))="","",INDEX(Spring!$1:$1048576,MATCH(All!$A337,Spring!$A:$A,FALSE),MATCH(All!Z$1,Spring!$1:$1,FALSE))),"")</f>
        <v/>
      </c>
      <c r="AA337" t="str">
        <f>IFERROR(IF(INDEX(Spring!$1:$1048576,MATCH(All!$A337,Spring!$A:$A,FALSE),MATCH(All!AA$1,Spring!$1:$1,FALSE))="","",INDEX(Spring!$1:$1048576,MATCH(All!$A337,Spring!$A:$A,FALSE),MATCH(All!AA$1,Spring!$1:$1,FALSE))),"")</f>
        <v/>
      </c>
      <c r="AB337" t="str">
        <f>IFERROR(IF(INDEX(Spring!$1:$1048576,MATCH(All!$A337,Spring!$A:$A,FALSE),MATCH(All!AB$1,Spring!$1:$1,FALSE))="","",INDEX(Spring!$1:$1048576,MATCH(All!$A337,Spring!$A:$A,FALSE),MATCH(All!AB$1,Spring!$1:$1,FALSE))),"")</f>
        <v>1A</v>
      </c>
      <c r="AC337" t="str">
        <f>IFERROR(IF(INDEX(Spring!$1:$1048576,MATCH(All!$A337,Spring!$A:$A,FALSE),MATCH(All!AC$1,Spring!$1:$1,FALSE))="","",INDEX(Spring!$1:$1048576,MATCH(All!$A337,Spring!$A:$A,FALSE),MATCH(All!AC$1,Spring!$1:$1,FALSE))),"")</f>
        <v>1A</v>
      </c>
      <c r="AD337" t="str">
        <f>IFERROR(VLOOKUP(A337,'Flag Football'!A:A,1,FALSE),"")</f>
        <v/>
      </c>
      <c r="AE337" t="str">
        <f t="shared" si="5"/>
        <v/>
      </c>
    </row>
    <row r="338" spans="1:31" ht="15.75" thickBot="1" x14ac:dyDescent="0.3">
      <c r="A338" s="18" t="s">
        <v>425</v>
      </c>
      <c r="B338" s="38">
        <f>IFERROR(VLOOKUP(A338,'Public v Private'!A:G,3,FALSE),"")</f>
        <v>0</v>
      </c>
      <c r="C338" s="38">
        <f>IFERROR(VLOOKUP(A338,'Public v Private'!A:G,4,FALSE),"")</f>
        <v>0</v>
      </c>
      <c r="D338" s="38">
        <f>IFERROR(VLOOKUP(A338,'Public v Private'!A:G,5,FALSE),"")</f>
        <v>0</v>
      </c>
      <c r="E338" s="38"/>
      <c r="F338" s="40">
        <f>IFERROR(INDEX(Fall!$1:$1048576,MATCH(All!$A338,Fall!$A:$A,FALSE),MATCH(All!F$1,Fall!$1:$1,FALSE)),"N/A")</f>
        <v>998</v>
      </c>
      <c r="G338" t="str">
        <f>IFERROR(IF(INDEX(Fall!$1:$1048576,MATCH(All!$A338,Fall!$A:$A,FALSE),MATCH(All!G$1,Fall!$1:$1,FALSE))="","",INDEX(Fall!$1:$1048576,MATCH(All!$A338,Fall!$A:$A,FALSE),MATCH(All!G$1,Fall!$1:$1,FALSE))),"")</f>
        <v>2A</v>
      </c>
      <c r="H338" t="str">
        <f>IFERROR(IF(INDEX(Fall!$1:$1048576,MATCH(All!$A338,Fall!$A:$A,FALSE),MATCH(All!H$1,Fall!$1:$1,FALSE))="","",INDEX(Fall!$1:$1048576,MATCH(All!$A338,Fall!$A:$A,FALSE),MATCH(All!H$1,Fall!$1:$1,FALSE))),"")</f>
        <v>2A</v>
      </c>
      <c r="I338" t="str">
        <f>IFERROR(IF(INDEX(Fall!$1:$1048576,MATCH(All!$A338,Fall!$A:$A,FALSE),MATCH(All!I$1,Fall!$1:$1,FALSE))="","",INDEX(Fall!$1:$1048576,MATCH(All!$A338,Fall!$A:$A,FALSE),MATCH(All!I$1,Fall!$1:$1,FALSE))),"")</f>
        <v>2A</v>
      </c>
      <c r="J338" t="str">
        <f>IFERROR(IF(INDEX(Fall!$1:$1048576,MATCH(All!$A338,Fall!$A:$A,FALSE),MATCH(All!J$1,Fall!$1:$1,FALSE))="","",INDEX(Fall!$1:$1048576,MATCH(All!$A338,Fall!$A:$A,FALSE),MATCH(All!J$1,Fall!$1:$1,FALSE))),"")</f>
        <v/>
      </c>
      <c r="K338" t="str">
        <f>IFERROR(IF(INDEX(Fall!$1:$1048576,MATCH(All!$A338,Fall!$A:$A,FALSE),MATCH(All!K$1,Fall!$1:$1,FALSE))="","",INDEX(Fall!$1:$1048576,MATCH(All!$A338,Fall!$A:$A,FALSE),MATCH(All!K$1,Fall!$1:$1,FALSE))),"")</f>
        <v>2A</v>
      </c>
      <c r="L338" t="str">
        <f>IFERROR(IF(INDEX(Fall!$1:$1048576,MATCH(All!$A338,Fall!$A:$A,FALSE),MATCH(All!L$1,Fall!$1:$1,FALSE))="","",INDEX(Fall!$1:$1048576,MATCH(All!$A338,Fall!$A:$A,FALSE),MATCH(All!L$1,Fall!$1:$1,FALSE))),"")</f>
        <v>1A</v>
      </c>
      <c r="M338" t="str">
        <f>IFERROR(IF(INDEX(Fall!$1:$1048576,MATCH(All!$A338,Fall!$A:$A,FALSE),MATCH(All!M$1,Fall!$1:$1,FALSE))="","",INDEX(Fall!$1:$1048576,MATCH(All!$A338,Fall!$A:$A,FALSE),MATCH(All!M$1,Fall!$1:$1,FALSE))),"")</f>
        <v>3A</v>
      </c>
      <c r="O338">
        <f>IFERROR(IF(INDEX(Winter!$1:$1048576,MATCH(All!$A338,Winter!$A:$A,FALSE),MATCH(All!O$1,Winter!$1:$1,FALSE))="","",INDEX(Winter!$1:$1048576,MATCH(All!$A338,Winter!$A:$A,FALSE),MATCH(All!O$1,Winter!$1:$1,FALSE))),"")</f>
        <v>998</v>
      </c>
      <c r="P338" t="str">
        <f>IFERROR(IF(INDEX(Winter!$1:$1048576,MATCH(All!$A338,Winter!$A:$A,FALSE),MATCH(All!P$1,Winter!$1:$1,FALSE))="","",INDEX(Winter!$1:$1048576,MATCH(All!$A338,Winter!$A:$A,FALSE),MATCH(All!P$1,Winter!$1:$1,FALSE))),"")</f>
        <v>3A</v>
      </c>
      <c r="Q338" t="str">
        <f>IFERROR(IF(INDEX(Winter!$1:$1048576,MATCH(All!$A338,Winter!$A:$A,FALSE),MATCH(All!Q$1,Winter!$1:$1,FALSE))="","",INDEX(Winter!$1:$1048576,MATCH(All!$A338,Winter!$A:$A,FALSE),MATCH(All!Q$1,Winter!$1:$1,FALSE))),"")</f>
        <v>3A</v>
      </c>
      <c r="R338" t="str">
        <f>IFERROR(IF(INDEX(Winter!$1:$1048576,MATCH(All!$A338,Winter!$A:$A,FALSE),MATCH(All!R$1,Winter!$1:$1,FALSE))="","",INDEX(Winter!$1:$1048576,MATCH(All!$A338,Winter!$A:$A,FALSE),MATCH(All!R$1,Winter!$1:$1,FALSE))),"")</f>
        <v>2A</v>
      </c>
      <c r="S338" t="str">
        <f>IFERROR(IF(INDEX(Winter!$1:$1048576,MATCH(All!$A338,Winter!$A:$A,FALSE),MATCH(All!S$1,Winter!$1:$1,FALSE))="","",INDEX(Winter!$1:$1048576,MATCH(All!$A338,Winter!$A:$A,FALSE),MATCH(All!S$1,Winter!$1:$1,FALSE))),"")</f>
        <v>1A</v>
      </c>
      <c r="T338" t="str">
        <f>IFERROR(IF(INDEX(Winter!$1:$1048576,MATCH(All!$A338,Winter!$A:$A,FALSE),MATCH(All!T$1,Winter!$1:$1,FALSE))="","",INDEX(Winter!$1:$1048576,MATCH(All!$A338,Winter!$A:$A,FALSE),MATCH(All!T$1,Winter!$1:$1,FALSE))),"")</f>
        <v>2A</v>
      </c>
      <c r="U338" t="str">
        <f>IFERROR(IF(INDEX(Winter!$1:$1048576,MATCH(All!$A338,Winter!$A:$A,FALSE),MATCH(All!U$1,Winter!$1:$1,FALSE))="","",INDEX(Winter!$1:$1048576,MATCH(All!$A338,Winter!$A:$A,FALSE),MATCH(All!U$1,Winter!$1:$1,FALSE))),"")</f>
        <v>2A</v>
      </c>
      <c r="W338">
        <f>IFERROR(IF(INDEX(Spring!$1:$1048576,MATCH(All!$A338,Spring!$A:$A,FALSE),MATCH(All!W$1,Spring!$1:$1,FALSE))="","",INDEX(Spring!$1:$1048576,MATCH(All!$A338,Spring!$A:$A,FALSE),MATCH(All!W$1,Spring!$1:$1,FALSE))),"")</f>
        <v>998</v>
      </c>
      <c r="X338" t="str">
        <f>IFERROR(IF(INDEX(Spring!$1:$1048576,MATCH(All!$A338,Spring!$A:$A,FALSE),MATCH(All!X$1,Spring!$1:$1,FALSE))="","",INDEX(Spring!$1:$1048576,MATCH(All!$A338,Spring!$A:$A,FALSE),MATCH(All!X$1,Spring!$1:$1,FALSE))),"")</f>
        <v>3A</v>
      </c>
      <c r="Y338" t="str">
        <f>IFERROR(IF(INDEX(Spring!$1:$1048576,MATCH(All!$A338,Spring!$A:$A,FALSE),MATCH(All!Y$1,Spring!$1:$1,FALSE))="","",INDEX(Spring!$1:$1048576,MATCH(All!$A338,Spring!$A:$A,FALSE),MATCH(All!Y$1,Spring!$1:$1,FALSE))),"")</f>
        <v>3A</v>
      </c>
      <c r="Z338" t="str">
        <f>IFERROR(IF(INDEX(Spring!$1:$1048576,MATCH(All!$A338,Spring!$A:$A,FALSE),MATCH(All!Z$1,Spring!$1:$1,FALSE))="","",INDEX(Spring!$1:$1048576,MATCH(All!$A338,Spring!$A:$A,FALSE),MATCH(All!Z$1,Spring!$1:$1,FALSE))),"")</f>
        <v>2A</v>
      </c>
      <c r="AA338" t="str">
        <f>IFERROR(IF(INDEX(Spring!$1:$1048576,MATCH(All!$A338,Spring!$A:$A,FALSE),MATCH(All!AA$1,Spring!$1:$1,FALSE))="","",INDEX(Spring!$1:$1048576,MATCH(All!$A338,Spring!$A:$A,FALSE),MATCH(All!AA$1,Spring!$1:$1,FALSE))),"")</f>
        <v/>
      </c>
      <c r="AB338" t="str">
        <f>IFERROR(IF(INDEX(Spring!$1:$1048576,MATCH(All!$A338,Spring!$A:$A,FALSE),MATCH(All!AB$1,Spring!$1:$1,FALSE))="","",INDEX(Spring!$1:$1048576,MATCH(All!$A338,Spring!$A:$A,FALSE),MATCH(All!AB$1,Spring!$1:$1,FALSE))),"")</f>
        <v>2A</v>
      </c>
      <c r="AC338" t="str">
        <f>IFERROR(IF(INDEX(Spring!$1:$1048576,MATCH(All!$A338,Spring!$A:$A,FALSE),MATCH(All!AC$1,Spring!$1:$1,FALSE))="","",INDEX(Spring!$1:$1048576,MATCH(All!$A338,Spring!$A:$A,FALSE),MATCH(All!AC$1,Spring!$1:$1,FALSE))),"")</f>
        <v>2A</v>
      </c>
      <c r="AD338" t="str">
        <f>IFERROR(VLOOKUP(A338,'Flag Football'!A:A,1,FALSE),"")</f>
        <v/>
      </c>
      <c r="AE338" t="str">
        <f t="shared" si="5"/>
        <v/>
      </c>
    </row>
    <row r="339" spans="1:31" ht="15.75" thickBot="1" x14ac:dyDescent="0.3">
      <c r="A339" s="20" t="s">
        <v>426</v>
      </c>
      <c r="B339" s="38">
        <f>IFERROR(VLOOKUP(A339,'Public v Private'!A:G,3,FALSE),"")</f>
        <v>0</v>
      </c>
      <c r="C339" s="38">
        <f>IFERROR(VLOOKUP(A339,'Public v Private'!A:G,4,FALSE),"")</f>
        <v>0</v>
      </c>
      <c r="D339" s="38">
        <f>IFERROR(VLOOKUP(A339,'Public v Private'!A:G,5,FALSE),"")</f>
        <v>0</v>
      </c>
      <c r="E339" s="38"/>
      <c r="F339" s="40">
        <f>IFERROR(INDEX(Fall!$1:$1048576,MATCH(All!$A339,Fall!$A:$A,FALSE),MATCH(All!F$1,Fall!$1:$1,FALSE)),"N/A")</f>
        <v>186</v>
      </c>
      <c r="G339" t="str">
        <f>IFERROR(IF(INDEX(Fall!$1:$1048576,MATCH(All!$A339,Fall!$A:$A,FALSE),MATCH(All!G$1,Fall!$1:$1,FALSE))="","",INDEX(Fall!$1:$1048576,MATCH(All!$A339,Fall!$A:$A,FALSE),MATCH(All!G$1,Fall!$1:$1,FALSE))),"")</f>
        <v/>
      </c>
      <c r="H339" t="str">
        <f>IFERROR(IF(INDEX(Fall!$1:$1048576,MATCH(All!$A339,Fall!$A:$A,FALSE),MATCH(All!H$1,Fall!$1:$1,FALSE))="","",INDEX(Fall!$1:$1048576,MATCH(All!$A339,Fall!$A:$A,FALSE),MATCH(All!H$1,Fall!$1:$1,FALSE))),"")</f>
        <v/>
      </c>
      <c r="I339" t="str">
        <f>IFERROR(IF(INDEX(Fall!$1:$1048576,MATCH(All!$A339,Fall!$A:$A,FALSE),MATCH(All!I$1,Fall!$1:$1,FALSE))="","",INDEX(Fall!$1:$1048576,MATCH(All!$A339,Fall!$A:$A,FALSE),MATCH(All!I$1,Fall!$1:$1,FALSE))),"")</f>
        <v>1A</v>
      </c>
      <c r="J339" t="str">
        <f>IFERROR(IF(INDEX(Fall!$1:$1048576,MATCH(All!$A339,Fall!$A:$A,FALSE),MATCH(All!J$1,Fall!$1:$1,FALSE))="","",INDEX(Fall!$1:$1048576,MATCH(All!$A339,Fall!$A:$A,FALSE),MATCH(All!J$1,Fall!$1:$1,FALSE))),"")</f>
        <v>1A</v>
      </c>
      <c r="K339" t="str">
        <f>IFERROR(IF(INDEX(Fall!$1:$1048576,MATCH(All!$A339,Fall!$A:$A,FALSE),MATCH(All!K$1,Fall!$1:$1,FALSE))="","",INDEX(Fall!$1:$1048576,MATCH(All!$A339,Fall!$A:$A,FALSE),MATCH(All!K$1,Fall!$1:$1,FALSE))),"")</f>
        <v/>
      </c>
      <c r="L339" t="str">
        <f>IFERROR(IF(INDEX(Fall!$1:$1048576,MATCH(All!$A339,Fall!$A:$A,FALSE),MATCH(All!L$1,Fall!$1:$1,FALSE))="","",INDEX(Fall!$1:$1048576,MATCH(All!$A339,Fall!$A:$A,FALSE),MATCH(All!L$1,Fall!$1:$1,FALSE))),"")</f>
        <v/>
      </c>
      <c r="M339" t="str">
        <f>IFERROR(IF(INDEX(Fall!$1:$1048576,MATCH(All!$A339,Fall!$A:$A,FALSE),MATCH(All!M$1,Fall!$1:$1,FALSE))="","",INDEX(Fall!$1:$1048576,MATCH(All!$A339,Fall!$A:$A,FALSE),MATCH(All!M$1,Fall!$1:$1,FALSE))),"")</f>
        <v/>
      </c>
      <c r="O339">
        <f>IFERROR(IF(INDEX(Winter!$1:$1048576,MATCH(All!$A339,Winter!$A:$A,FALSE),MATCH(All!O$1,Winter!$1:$1,FALSE))="","",INDEX(Winter!$1:$1048576,MATCH(All!$A339,Winter!$A:$A,FALSE),MATCH(All!O$1,Winter!$1:$1,FALSE))),"")</f>
        <v>186</v>
      </c>
      <c r="P339" t="str">
        <f>IFERROR(IF(INDEX(Winter!$1:$1048576,MATCH(All!$A339,Winter!$A:$A,FALSE),MATCH(All!P$1,Winter!$1:$1,FALSE))="","",INDEX(Winter!$1:$1048576,MATCH(All!$A339,Winter!$A:$A,FALSE),MATCH(All!P$1,Winter!$1:$1,FALSE))),"")</f>
        <v/>
      </c>
      <c r="Q339" t="str">
        <f>IFERROR(IF(INDEX(Winter!$1:$1048576,MATCH(All!$A339,Winter!$A:$A,FALSE),MATCH(All!Q$1,Winter!$1:$1,FALSE))="","",INDEX(Winter!$1:$1048576,MATCH(All!$A339,Winter!$A:$A,FALSE),MATCH(All!Q$1,Winter!$1:$1,FALSE))),"")</f>
        <v>2A</v>
      </c>
      <c r="R339" t="str">
        <f>IFERROR(IF(INDEX(Winter!$1:$1048576,MATCH(All!$A339,Winter!$A:$A,FALSE),MATCH(All!R$1,Winter!$1:$1,FALSE))="","",INDEX(Winter!$1:$1048576,MATCH(All!$A339,Winter!$A:$A,FALSE),MATCH(All!R$1,Winter!$1:$1,FALSE))),"")</f>
        <v/>
      </c>
      <c r="S339" t="str">
        <f>IFERROR(IF(INDEX(Winter!$1:$1048576,MATCH(All!$A339,Winter!$A:$A,FALSE),MATCH(All!S$1,Winter!$1:$1,FALSE))="","",INDEX(Winter!$1:$1048576,MATCH(All!$A339,Winter!$A:$A,FALSE),MATCH(All!S$1,Winter!$1:$1,FALSE))),"")</f>
        <v/>
      </c>
      <c r="T339" t="str">
        <f>IFERROR(IF(INDEX(Winter!$1:$1048576,MATCH(All!$A339,Winter!$A:$A,FALSE),MATCH(All!T$1,Winter!$1:$1,FALSE))="","",INDEX(Winter!$1:$1048576,MATCH(All!$A339,Winter!$A:$A,FALSE),MATCH(All!T$1,Winter!$1:$1,FALSE))),"")</f>
        <v>1A</v>
      </c>
      <c r="U339" t="str">
        <f>IFERROR(IF(INDEX(Winter!$1:$1048576,MATCH(All!$A339,Winter!$A:$A,FALSE),MATCH(All!U$1,Winter!$1:$1,FALSE))="","",INDEX(Winter!$1:$1048576,MATCH(All!$A339,Winter!$A:$A,FALSE),MATCH(All!U$1,Winter!$1:$1,FALSE))),"")</f>
        <v>1A</v>
      </c>
      <c r="W339">
        <f>IFERROR(IF(INDEX(Spring!$1:$1048576,MATCH(All!$A339,Spring!$A:$A,FALSE),MATCH(All!W$1,Spring!$1:$1,FALSE))="","",INDEX(Spring!$1:$1048576,MATCH(All!$A339,Spring!$A:$A,FALSE),MATCH(All!W$1,Spring!$1:$1,FALSE))),"")</f>
        <v>186</v>
      </c>
      <c r="X339" t="str">
        <f>IFERROR(IF(INDEX(Spring!$1:$1048576,MATCH(All!$A339,Spring!$A:$A,FALSE),MATCH(All!X$1,Spring!$1:$1,FALSE))="","",INDEX(Spring!$1:$1048576,MATCH(All!$A339,Spring!$A:$A,FALSE),MATCH(All!X$1,Spring!$1:$1,FALSE))),"")</f>
        <v/>
      </c>
      <c r="Y339" t="str">
        <f>IFERROR(IF(INDEX(Spring!$1:$1048576,MATCH(All!$A339,Spring!$A:$A,FALSE),MATCH(All!Y$1,Spring!$1:$1,FALSE))="","",INDEX(Spring!$1:$1048576,MATCH(All!$A339,Spring!$A:$A,FALSE),MATCH(All!Y$1,Spring!$1:$1,FALSE))),"")</f>
        <v/>
      </c>
      <c r="Z339" t="str">
        <f>IFERROR(IF(INDEX(Spring!$1:$1048576,MATCH(All!$A339,Spring!$A:$A,FALSE),MATCH(All!Z$1,Spring!$1:$1,FALSE))="","",INDEX(Spring!$1:$1048576,MATCH(All!$A339,Spring!$A:$A,FALSE),MATCH(All!Z$1,Spring!$1:$1,FALSE))),"")</f>
        <v/>
      </c>
      <c r="AA339" t="str">
        <f>IFERROR(IF(INDEX(Spring!$1:$1048576,MATCH(All!$A339,Spring!$A:$A,FALSE),MATCH(All!AA$1,Spring!$1:$1,FALSE))="","",INDEX(Spring!$1:$1048576,MATCH(All!$A339,Spring!$A:$A,FALSE),MATCH(All!AA$1,Spring!$1:$1,FALSE))),"")</f>
        <v/>
      </c>
      <c r="AB339" t="str">
        <f>IFERROR(IF(INDEX(Spring!$1:$1048576,MATCH(All!$A339,Spring!$A:$A,FALSE),MATCH(All!AB$1,Spring!$1:$1,FALSE))="","",INDEX(Spring!$1:$1048576,MATCH(All!$A339,Spring!$A:$A,FALSE),MATCH(All!AB$1,Spring!$1:$1,FALSE))),"")</f>
        <v>1A</v>
      </c>
      <c r="AC339" t="str">
        <f>IFERROR(IF(INDEX(Spring!$1:$1048576,MATCH(All!$A339,Spring!$A:$A,FALSE),MATCH(All!AC$1,Spring!$1:$1,FALSE))="","",INDEX(Spring!$1:$1048576,MATCH(All!$A339,Spring!$A:$A,FALSE),MATCH(All!AC$1,Spring!$1:$1,FALSE))),"")</f>
        <v>1A</v>
      </c>
      <c r="AD339" t="str">
        <f>IFERROR(VLOOKUP(A339,'Flag Football'!A:A,1,FALSE),"")</f>
        <v/>
      </c>
      <c r="AE339" t="str">
        <f t="shared" si="5"/>
        <v/>
      </c>
    </row>
    <row r="340" spans="1:31" ht="15.75" thickBot="1" x14ac:dyDescent="0.3">
      <c r="A340" s="18" t="s">
        <v>427</v>
      </c>
      <c r="B340" s="38">
        <f>IFERROR(VLOOKUP(A340,'Public v Private'!A:G,3,FALSE),"")</f>
        <v>0</v>
      </c>
      <c r="C340" s="38">
        <f>IFERROR(VLOOKUP(A340,'Public v Private'!A:G,4,FALSE),"")</f>
        <v>0</v>
      </c>
      <c r="D340" s="38">
        <f>IFERROR(VLOOKUP(A340,'Public v Private'!A:G,5,FALSE),"")</f>
        <v>0</v>
      </c>
      <c r="E340" s="38"/>
      <c r="F340" s="40">
        <f>IFERROR(INDEX(Fall!$1:$1048576,MATCH(All!$A340,Fall!$A:$A,FALSE),MATCH(All!F$1,Fall!$1:$1,FALSE)),"N/A")</f>
        <v>506</v>
      </c>
      <c r="G340" t="str">
        <f>IFERROR(IF(INDEX(Fall!$1:$1048576,MATCH(All!$A340,Fall!$A:$A,FALSE),MATCH(All!G$1,Fall!$1:$1,FALSE))="","",INDEX(Fall!$1:$1048576,MATCH(All!$A340,Fall!$A:$A,FALSE),MATCH(All!G$1,Fall!$1:$1,FALSE))),"")</f>
        <v>1A</v>
      </c>
      <c r="H340" t="str">
        <f>IFERROR(IF(INDEX(Fall!$1:$1048576,MATCH(All!$A340,Fall!$A:$A,FALSE),MATCH(All!H$1,Fall!$1:$1,FALSE))="","",INDEX(Fall!$1:$1048576,MATCH(All!$A340,Fall!$A:$A,FALSE),MATCH(All!H$1,Fall!$1:$1,FALSE))),"")</f>
        <v>1A</v>
      </c>
      <c r="I340" t="str">
        <f>IFERROR(IF(INDEX(Fall!$1:$1048576,MATCH(All!$A340,Fall!$A:$A,FALSE),MATCH(All!I$1,Fall!$1:$1,FALSE))="","",INDEX(Fall!$1:$1048576,MATCH(All!$A340,Fall!$A:$A,FALSE),MATCH(All!I$1,Fall!$1:$1,FALSE))),"")</f>
        <v>2A</v>
      </c>
      <c r="J340" t="str">
        <f>IFERROR(IF(INDEX(Fall!$1:$1048576,MATCH(All!$A340,Fall!$A:$A,FALSE),MATCH(All!J$1,Fall!$1:$1,FALSE))="","",INDEX(Fall!$1:$1048576,MATCH(All!$A340,Fall!$A:$A,FALSE),MATCH(All!J$1,Fall!$1:$1,FALSE))),"")</f>
        <v>1A</v>
      </c>
      <c r="K340" t="str">
        <f>IFERROR(IF(INDEX(Fall!$1:$1048576,MATCH(All!$A340,Fall!$A:$A,FALSE),MATCH(All!K$1,Fall!$1:$1,FALSE))="","",INDEX(Fall!$1:$1048576,MATCH(All!$A340,Fall!$A:$A,FALSE),MATCH(All!K$1,Fall!$1:$1,FALSE))),"")</f>
        <v/>
      </c>
      <c r="L340" t="str">
        <f>IFERROR(IF(INDEX(Fall!$1:$1048576,MATCH(All!$A340,Fall!$A:$A,FALSE),MATCH(All!L$1,Fall!$1:$1,FALSE))="","",INDEX(Fall!$1:$1048576,MATCH(All!$A340,Fall!$A:$A,FALSE),MATCH(All!L$1,Fall!$1:$1,FALSE))),"")</f>
        <v/>
      </c>
      <c r="M340" t="str">
        <f>IFERROR(IF(INDEX(Fall!$1:$1048576,MATCH(All!$A340,Fall!$A:$A,FALSE),MATCH(All!M$1,Fall!$1:$1,FALSE))="","",INDEX(Fall!$1:$1048576,MATCH(All!$A340,Fall!$A:$A,FALSE),MATCH(All!M$1,Fall!$1:$1,FALSE))),"")</f>
        <v>2A</v>
      </c>
      <c r="O340">
        <f>IFERROR(IF(INDEX(Winter!$1:$1048576,MATCH(All!$A340,Winter!$A:$A,FALSE),MATCH(All!O$1,Winter!$1:$1,FALSE))="","",INDEX(Winter!$1:$1048576,MATCH(All!$A340,Winter!$A:$A,FALSE),MATCH(All!O$1,Winter!$1:$1,FALSE))),"")</f>
        <v>506</v>
      </c>
      <c r="P340" t="str">
        <f>IFERROR(IF(INDEX(Winter!$1:$1048576,MATCH(All!$A340,Winter!$A:$A,FALSE),MATCH(All!P$1,Winter!$1:$1,FALSE))="","",INDEX(Winter!$1:$1048576,MATCH(All!$A340,Winter!$A:$A,FALSE),MATCH(All!P$1,Winter!$1:$1,FALSE))),"")</f>
        <v>2A</v>
      </c>
      <c r="Q340" t="str">
        <f>IFERROR(IF(INDEX(Winter!$1:$1048576,MATCH(All!$A340,Winter!$A:$A,FALSE),MATCH(All!Q$1,Winter!$1:$1,FALSE))="","",INDEX(Winter!$1:$1048576,MATCH(All!$A340,Winter!$A:$A,FALSE),MATCH(All!Q$1,Winter!$1:$1,FALSE))),"")</f>
        <v>2A</v>
      </c>
      <c r="R340" t="str">
        <f>IFERROR(IF(INDEX(Winter!$1:$1048576,MATCH(All!$A340,Winter!$A:$A,FALSE),MATCH(All!R$1,Winter!$1:$1,FALSE))="","",INDEX(Winter!$1:$1048576,MATCH(All!$A340,Winter!$A:$A,FALSE),MATCH(All!R$1,Winter!$1:$1,FALSE))),"")</f>
        <v>1A</v>
      </c>
      <c r="S340" t="str">
        <f>IFERROR(IF(INDEX(Winter!$1:$1048576,MATCH(All!$A340,Winter!$A:$A,FALSE),MATCH(All!S$1,Winter!$1:$1,FALSE))="","",INDEX(Winter!$1:$1048576,MATCH(All!$A340,Winter!$A:$A,FALSE),MATCH(All!S$1,Winter!$1:$1,FALSE))),"")</f>
        <v>1A</v>
      </c>
      <c r="T340" t="str">
        <f>IFERROR(IF(INDEX(Winter!$1:$1048576,MATCH(All!$A340,Winter!$A:$A,FALSE),MATCH(All!T$1,Winter!$1:$1,FALSE))="","",INDEX(Winter!$1:$1048576,MATCH(All!$A340,Winter!$A:$A,FALSE),MATCH(All!T$1,Winter!$1:$1,FALSE))),"")</f>
        <v>2A</v>
      </c>
      <c r="U340" t="str">
        <f>IFERROR(IF(INDEX(Winter!$1:$1048576,MATCH(All!$A340,Winter!$A:$A,FALSE),MATCH(All!U$1,Winter!$1:$1,FALSE))="","",INDEX(Winter!$1:$1048576,MATCH(All!$A340,Winter!$A:$A,FALSE),MATCH(All!U$1,Winter!$1:$1,FALSE))),"")</f>
        <v>1A</v>
      </c>
      <c r="W340">
        <f>IFERROR(IF(INDEX(Spring!$1:$1048576,MATCH(All!$A340,Spring!$A:$A,FALSE),MATCH(All!W$1,Spring!$1:$1,FALSE))="","",INDEX(Spring!$1:$1048576,MATCH(All!$A340,Spring!$A:$A,FALSE),MATCH(All!W$1,Spring!$1:$1,FALSE))),"")</f>
        <v>506</v>
      </c>
      <c r="X340" t="str">
        <f>IFERROR(IF(INDEX(Spring!$1:$1048576,MATCH(All!$A340,Spring!$A:$A,FALSE),MATCH(All!X$1,Spring!$1:$1,FALSE))="","",INDEX(Spring!$1:$1048576,MATCH(All!$A340,Spring!$A:$A,FALSE),MATCH(All!X$1,Spring!$1:$1,FALSE))),"")</f>
        <v>2A</v>
      </c>
      <c r="Y340" t="str">
        <f>IFERROR(IF(INDEX(Spring!$1:$1048576,MATCH(All!$A340,Spring!$A:$A,FALSE),MATCH(All!Y$1,Spring!$1:$1,FALSE))="","",INDEX(Spring!$1:$1048576,MATCH(All!$A340,Spring!$A:$A,FALSE),MATCH(All!Y$1,Spring!$1:$1,FALSE))),"")</f>
        <v>2A</v>
      </c>
      <c r="Z340" t="str">
        <f>IFERROR(IF(INDEX(Spring!$1:$1048576,MATCH(All!$A340,Spring!$A:$A,FALSE),MATCH(All!Z$1,Spring!$1:$1,FALSE))="","",INDEX(Spring!$1:$1048576,MATCH(All!$A340,Spring!$A:$A,FALSE),MATCH(All!Z$1,Spring!$1:$1,FALSE))),"")</f>
        <v/>
      </c>
      <c r="AA340" t="str">
        <f>IFERROR(IF(INDEX(Spring!$1:$1048576,MATCH(All!$A340,Spring!$A:$A,FALSE),MATCH(All!AA$1,Spring!$1:$1,FALSE))="","",INDEX(Spring!$1:$1048576,MATCH(All!$A340,Spring!$A:$A,FALSE),MATCH(All!AA$1,Spring!$1:$1,FALSE))),"")</f>
        <v/>
      </c>
      <c r="AB340" t="str">
        <f>IFERROR(IF(INDEX(Spring!$1:$1048576,MATCH(All!$A340,Spring!$A:$A,FALSE),MATCH(All!AB$1,Spring!$1:$1,FALSE))="","",INDEX(Spring!$1:$1048576,MATCH(All!$A340,Spring!$A:$A,FALSE),MATCH(All!AB$1,Spring!$1:$1,FALSE))),"")</f>
        <v>2A</v>
      </c>
      <c r="AC340" t="str">
        <f>IFERROR(IF(INDEX(Spring!$1:$1048576,MATCH(All!$A340,Spring!$A:$A,FALSE),MATCH(All!AC$1,Spring!$1:$1,FALSE))="","",INDEX(Spring!$1:$1048576,MATCH(All!$A340,Spring!$A:$A,FALSE),MATCH(All!AC$1,Spring!$1:$1,FALSE))),"")</f>
        <v>2A</v>
      </c>
      <c r="AD340" t="str">
        <f>IFERROR(VLOOKUP(A340,'Flag Football'!A:A,1,FALSE),"")</f>
        <v/>
      </c>
      <c r="AE340" t="str">
        <f t="shared" si="5"/>
        <v/>
      </c>
    </row>
    <row r="341" spans="1:31" ht="15.75" thickBot="1" x14ac:dyDescent="0.3">
      <c r="A341" s="20" t="s">
        <v>428</v>
      </c>
      <c r="B341" s="38" t="str">
        <f>IFERROR(VLOOKUP(A341,'Public v Private'!A:G,3,FALSE),"")</f>
        <v>private</v>
      </c>
      <c r="C341" s="38">
        <f>IFERROR(VLOOKUP(A341,'Public v Private'!A:G,4,FALSE),"")</f>
        <v>2</v>
      </c>
      <c r="D341" s="38">
        <f>IFERROR(VLOOKUP(A341,'Public v Private'!A:G,5,FALSE),"")</f>
        <v>4</v>
      </c>
      <c r="E341" s="38"/>
      <c r="F341" s="40" t="str">
        <f>IFERROR(INDEX(Fall!$1:$1048576,MATCH(All!$A341,Fall!$A:$A,FALSE),MATCH(All!F$1,Fall!$1:$1,FALSE)),"N/A")</f>
        <v>152.00 (250.80)</v>
      </c>
      <c r="G341" t="str">
        <f>IFERROR(IF(INDEX(Fall!$1:$1048576,MATCH(All!$A341,Fall!$A:$A,FALSE),MATCH(All!G$1,Fall!$1:$1,FALSE))="","",INDEX(Fall!$1:$1048576,MATCH(All!$A341,Fall!$A:$A,FALSE),MATCH(All!G$1,Fall!$1:$1,FALSE))),"")</f>
        <v>1A</v>
      </c>
      <c r="H341" t="str">
        <f>IFERROR(IF(INDEX(Fall!$1:$1048576,MATCH(All!$A341,Fall!$A:$A,FALSE),MATCH(All!H$1,Fall!$1:$1,FALSE))="","",INDEX(Fall!$1:$1048576,MATCH(All!$A341,Fall!$A:$A,FALSE),MATCH(All!H$1,Fall!$1:$1,FALSE))),"")</f>
        <v>1A</v>
      </c>
      <c r="I341" t="str">
        <f>IFERROR(IF(INDEX(Fall!$1:$1048576,MATCH(All!$A341,Fall!$A:$A,FALSE),MATCH(All!I$1,Fall!$1:$1,FALSE))="","",INDEX(Fall!$1:$1048576,MATCH(All!$A341,Fall!$A:$A,FALSE),MATCH(All!I$1,Fall!$1:$1,FALSE))),"")</f>
        <v/>
      </c>
      <c r="J341" t="str">
        <f>IFERROR(IF(INDEX(Fall!$1:$1048576,MATCH(All!$A341,Fall!$A:$A,FALSE),MATCH(All!J$1,Fall!$1:$1,FALSE))="","",INDEX(Fall!$1:$1048576,MATCH(All!$A341,Fall!$A:$A,FALSE),MATCH(All!J$1,Fall!$1:$1,FALSE))),"")</f>
        <v/>
      </c>
      <c r="K341" t="str">
        <f>IFERROR(IF(INDEX(Fall!$1:$1048576,MATCH(All!$A341,Fall!$A:$A,FALSE),MATCH(All!K$1,Fall!$1:$1,FALSE))="","",INDEX(Fall!$1:$1048576,MATCH(All!$A341,Fall!$A:$A,FALSE),MATCH(All!K$1,Fall!$1:$1,FALSE))),"")</f>
        <v>1A</v>
      </c>
      <c r="L341" t="str">
        <f>IFERROR(IF(INDEX(Fall!$1:$1048576,MATCH(All!$A341,Fall!$A:$A,FALSE),MATCH(All!L$1,Fall!$1:$1,FALSE))="","",INDEX(Fall!$1:$1048576,MATCH(All!$A341,Fall!$A:$A,FALSE),MATCH(All!L$1,Fall!$1:$1,FALSE))),"")</f>
        <v/>
      </c>
      <c r="M341" t="str">
        <f>IFERROR(IF(INDEX(Fall!$1:$1048576,MATCH(All!$A341,Fall!$A:$A,FALSE),MATCH(All!M$1,Fall!$1:$1,FALSE))="","",INDEX(Fall!$1:$1048576,MATCH(All!$A341,Fall!$A:$A,FALSE),MATCH(All!M$1,Fall!$1:$1,FALSE))),"")</f>
        <v>1A</v>
      </c>
      <c r="O341" t="str">
        <f>IFERROR(IF(INDEX(Winter!$1:$1048576,MATCH(All!$A341,Winter!$A:$A,FALSE),MATCH(All!O$1,Winter!$1:$1,FALSE))="","",INDEX(Winter!$1:$1048576,MATCH(All!$A341,Winter!$A:$A,FALSE),MATCH(All!O$1,Winter!$1:$1,FALSE))),"")</f>
        <v>152.00 (250.80)</v>
      </c>
      <c r="P341" t="str">
        <f>IFERROR(IF(INDEX(Winter!$1:$1048576,MATCH(All!$A341,Winter!$A:$A,FALSE),MATCH(All!P$1,Winter!$1:$1,FALSE))="","",INDEX(Winter!$1:$1048576,MATCH(All!$A341,Winter!$A:$A,FALSE),MATCH(All!P$1,Winter!$1:$1,FALSE))),"")</f>
        <v>1A</v>
      </c>
      <c r="Q341" t="str">
        <f>IFERROR(IF(INDEX(Winter!$1:$1048576,MATCH(All!$A341,Winter!$A:$A,FALSE),MATCH(All!Q$1,Winter!$1:$1,FALSE))="","",INDEX(Winter!$1:$1048576,MATCH(All!$A341,Winter!$A:$A,FALSE),MATCH(All!Q$1,Winter!$1:$1,FALSE))),"")</f>
        <v>1A</v>
      </c>
      <c r="R341" t="str">
        <f>IFERROR(IF(INDEX(Winter!$1:$1048576,MATCH(All!$A341,Winter!$A:$A,FALSE),MATCH(All!R$1,Winter!$1:$1,FALSE))="","",INDEX(Winter!$1:$1048576,MATCH(All!$A341,Winter!$A:$A,FALSE),MATCH(All!R$1,Winter!$1:$1,FALSE))),"")</f>
        <v/>
      </c>
      <c r="S341" t="str">
        <f>IFERROR(IF(INDEX(Winter!$1:$1048576,MATCH(All!$A341,Winter!$A:$A,FALSE),MATCH(All!S$1,Winter!$1:$1,FALSE))="","",INDEX(Winter!$1:$1048576,MATCH(All!$A341,Winter!$A:$A,FALSE),MATCH(All!S$1,Winter!$1:$1,FALSE))),"")</f>
        <v/>
      </c>
      <c r="T341" t="str">
        <f>IFERROR(IF(INDEX(Winter!$1:$1048576,MATCH(All!$A341,Winter!$A:$A,FALSE),MATCH(All!T$1,Winter!$1:$1,FALSE))="","",INDEX(Winter!$1:$1048576,MATCH(All!$A341,Winter!$A:$A,FALSE),MATCH(All!T$1,Winter!$1:$1,FALSE))),"")</f>
        <v/>
      </c>
      <c r="U341" t="str">
        <f>IFERROR(IF(INDEX(Winter!$1:$1048576,MATCH(All!$A341,Winter!$A:$A,FALSE),MATCH(All!U$1,Winter!$1:$1,FALSE))="","",INDEX(Winter!$1:$1048576,MATCH(All!$A341,Winter!$A:$A,FALSE),MATCH(All!U$1,Winter!$1:$1,FALSE))),"")</f>
        <v/>
      </c>
      <c r="W341" t="str">
        <f>IFERROR(IF(INDEX(Spring!$1:$1048576,MATCH(All!$A341,Spring!$A:$A,FALSE),MATCH(All!W$1,Spring!$1:$1,FALSE))="","",INDEX(Spring!$1:$1048576,MATCH(All!$A341,Spring!$A:$A,FALSE),MATCH(All!W$1,Spring!$1:$1,FALSE))),"")</f>
        <v>152.00 (250.80)</v>
      </c>
      <c r="X341" t="str">
        <f>IFERROR(IF(INDEX(Spring!$1:$1048576,MATCH(All!$A341,Spring!$A:$A,FALSE),MATCH(All!X$1,Spring!$1:$1,FALSE))="","",INDEX(Spring!$1:$1048576,MATCH(All!$A341,Spring!$A:$A,FALSE),MATCH(All!X$1,Spring!$1:$1,FALSE))),"")</f>
        <v/>
      </c>
      <c r="Y341" t="str">
        <f>IFERROR(IF(INDEX(Spring!$1:$1048576,MATCH(All!$A341,Spring!$A:$A,FALSE),MATCH(All!Y$1,Spring!$1:$1,FALSE))="","",INDEX(Spring!$1:$1048576,MATCH(All!$A341,Spring!$A:$A,FALSE),MATCH(All!Y$1,Spring!$1:$1,FALSE))),"")</f>
        <v/>
      </c>
      <c r="Z341" t="str">
        <f>IFERROR(IF(INDEX(Spring!$1:$1048576,MATCH(All!$A341,Spring!$A:$A,FALSE),MATCH(All!Z$1,Spring!$1:$1,FALSE))="","",INDEX(Spring!$1:$1048576,MATCH(All!$A341,Spring!$A:$A,FALSE),MATCH(All!Z$1,Spring!$1:$1,FALSE))),"")</f>
        <v>1A</v>
      </c>
      <c r="AA341" t="str">
        <f>IFERROR(IF(INDEX(Spring!$1:$1048576,MATCH(All!$A341,Spring!$A:$A,FALSE),MATCH(All!AA$1,Spring!$1:$1,FALSE))="","",INDEX(Spring!$1:$1048576,MATCH(All!$A341,Spring!$A:$A,FALSE),MATCH(All!AA$1,Spring!$1:$1,FALSE))),"")</f>
        <v/>
      </c>
      <c r="AB341" t="str">
        <f>IFERROR(IF(INDEX(Spring!$1:$1048576,MATCH(All!$A341,Spring!$A:$A,FALSE),MATCH(All!AB$1,Spring!$1:$1,FALSE))="","",INDEX(Spring!$1:$1048576,MATCH(All!$A341,Spring!$A:$A,FALSE),MATCH(All!AB$1,Spring!$1:$1,FALSE))),"")</f>
        <v>1A</v>
      </c>
      <c r="AC341" t="str">
        <f>IFERROR(IF(INDEX(Spring!$1:$1048576,MATCH(All!$A341,Spring!$A:$A,FALSE),MATCH(All!AC$1,Spring!$1:$1,FALSE))="","",INDEX(Spring!$1:$1048576,MATCH(All!$A341,Spring!$A:$A,FALSE),MATCH(All!AC$1,Spring!$1:$1,FALSE))),"")</f>
        <v/>
      </c>
      <c r="AD341" t="str">
        <f>IFERROR(VLOOKUP(A341,'Flag Football'!A:A,1,FALSE),"")</f>
        <v/>
      </c>
      <c r="AE341" t="str">
        <f t="shared" si="5"/>
        <v/>
      </c>
    </row>
    <row r="342" spans="1:31" ht="15.75" thickBot="1" x14ac:dyDescent="0.3">
      <c r="A342" s="18" t="s">
        <v>430</v>
      </c>
      <c r="B342" s="38" t="str">
        <f>IFERROR(VLOOKUP(A342,'Public v Private'!A:G,3,FALSE),"")</f>
        <v>private</v>
      </c>
      <c r="C342" s="38">
        <f>IFERROR(VLOOKUP(A342,'Public v Private'!A:G,4,FALSE),"")</f>
        <v>2</v>
      </c>
      <c r="D342" s="38">
        <f>IFERROR(VLOOKUP(A342,'Public v Private'!A:G,5,FALSE),"")</f>
        <v>4</v>
      </c>
      <c r="E342" s="38"/>
      <c r="F342" s="40" t="str">
        <f>IFERROR(INDEX(Fall!$1:$1048576,MATCH(All!$A342,Fall!$A:$A,FALSE),MATCH(All!F$1,Fall!$1:$1,FALSE)),"N/A")</f>
        <v>63.00 (103.95)</v>
      </c>
      <c r="G342" t="str">
        <f>IFERROR(IF(INDEX(Fall!$1:$1048576,MATCH(All!$A342,Fall!$A:$A,FALSE),MATCH(All!G$1,Fall!$1:$1,FALSE))="","",INDEX(Fall!$1:$1048576,MATCH(All!$A342,Fall!$A:$A,FALSE),MATCH(All!G$1,Fall!$1:$1,FALSE))),"")</f>
        <v/>
      </c>
      <c r="H342" t="str">
        <f>IFERROR(IF(INDEX(Fall!$1:$1048576,MATCH(All!$A342,Fall!$A:$A,FALSE),MATCH(All!H$1,Fall!$1:$1,FALSE))="","",INDEX(Fall!$1:$1048576,MATCH(All!$A342,Fall!$A:$A,FALSE),MATCH(All!H$1,Fall!$1:$1,FALSE))),"")</f>
        <v/>
      </c>
      <c r="I342" t="str">
        <f>IFERROR(IF(INDEX(Fall!$1:$1048576,MATCH(All!$A342,Fall!$A:$A,FALSE),MATCH(All!I$1,Fall!$1:$1,FALSE))="","",INDEX(Fall!$1:$1048576,MATCH(All!$A342,Fall!$A:$A,FALSE),MATCH(All!I$1,Fall!$1:$1,FALSE))),"")</f>
        <v/>
      </c>
      <c r="J342" t="str">
        <f>IFERROR(IF(INDEX(Fall!$1:$1048576,MATCH(All!$A342,Fall!$A:$A,FALSE),MATCH(All!J$1,Fall!$1:$1,FALSE))="","",INDEX(Fall!$1:$1048576,MATCH(All!$A342,Fall!$A:$A,FALSE),MATCH(All!J$1,Fall!$1:$1,FALSE))),"")</f>
        <v/>
      </c>
      <c r="K342" t="str">
        <f>IFERROR(IF(INDEX(Fall!$1:$1048576,MATCH(All!$A342,Fall!$A:$A,FALSE),MATCH(All!K$1,Fall!$1:$1,FALSE))="","",INDEX(Fall!$1:$1048576,MATCH(All!$A342,Fall!$A:$A,FALSE),MATCH(All!K$1,Fall!$1:$1,FALSE))),"")</f>
        <v/>
      </c>
      <c r="L342" t="str">
        <f>IFERROR(IF(INDEX(Fall!$1:$1048576,MATCH(All!$A342,Fall!$A:$A,FALSE),MATCH(All!L$1,Fall!$1:$1,FALSE))="","",INDEX(Fall!$1:$1048576,MATCH(All!$A342,Fall!$A:$A,FALSE),MATCH(All!L$1,Fall!$1:$1,FALSE))),"")</f>
        <v/>
      </c>
      <c r="M342" t="str">
        <f>IFERROR(IF(INDEX(Fall!$1:$1048576,MATCH(All!$A342,Fall!$A:$A,FALSE),MATCH(All!M$1,Fall!$1:$1,FALSE))="","",INDEX(Fall!$1:$1048576,MATCH(All!$A342,Fall!$A:$A,FALSE),MATCH(All!M$1,Fall!$1:$1,FALSE))),"")</f>
        <v>1A</v>
      </c>
      <c r="O342" t="str">
        <f>IFERROR(IF(INDEX(Winter!$1:$1048576,MATCH(All!$A342,Winter!$A:$A,FALSE),MATCH(All!O$1,Winter!$1:$1,FALSE))="","",INDEX(Winter!$1:$1048576,MATCH(All!$A342,Winter!$A:$A,FALSE),MATCH(All!O$1,Winter!$1:$1,FALSE))),"")</f>
        <v>63.00 (103.95)</v>
      </c>
      <c r="P342" t="str">
        <f>IFERROR(IF(INDEX(Winter!$1:$1048576,MATCH(All!$A342,Winter!$A:$A,FALSE),MATCH(All!P$1,Winter!$1:$1,FALSE))="","",INDEX(Winter!$1:$1048576,MATCH(All!$A342,Winter!$A:$A,FALSE),MATCH(All!P$1,Winter!$1:$1,FALSE))),"")</f>
        <v/>
      </c>
      <c r="Q342" t="str">
        <f>IFERROR(IF(INDEX(Winter!$1:$1048576,MATCH(All!$A342,Winter!$A:$A,FALSE),MATCH(All!Q$1,Winter!$1:$1,FALSE))="","",INDEX(Winter!$1:$1048576,MATCH(All!$A342,Winter!$A:$A,FALSE),MATCH(All!Q$1,Winter!$1:$1,FALSE))),"")</f>
        <v/>
      </c>
      <c r="R342" t="str">
        <f>IFERROR(IF(INDEX(Winter!$1:$1048576,MATCH(All!$A342,Winter!$A:$A,FALSE),MATCH(All!R$1,Winter!$1:$1,FALSE))="","",INDEX(Winter!$1:$1048576,MATCH(All!$A342,Winter!$A:$A,FALSE),MATCH(All!R$1,Winter!$1:$1,FALSE))),"")</f>
        <v/>
      </c>
      <c r="S342" t="str">
        <f>IFERROR(IF(INDEX(Winter!$1:$1048576,MATCH(All!$A342,Winter!$A:$A,FALSE),MATCH(All!S$1,Winter!$1:$1,FALSE))="","",INDEX(Winter!$1:$1048576,MATCH(All!$A342,Winter!$A:$A,FALSE),MATCH(All!S$1,Winter!$1:$1,FALSE))),"")</f>
        <v/>
      </c>
      <c r="T342" t="str">
        <f>IFERROR(IF(INDEX(Winter!$1:$1048576,MATCH(All!$A342,Winter!$A:$A,FALSE),MATCH(All!T$1,Winter!$1:$1,FALSE))="","",INDEX(Winter!$1:$1048576,MATCH(All!$A342,Winter!$A:$A,FALSE),MATCH(All!T$1,Winter!$1:$1,FALSE))),"")</f>
        <v>1A</v>
      </c>
      <c r="U342" t="str">
        <f>IFERROR(IF(INDEX(Winter!$1:$1048576,MATCH(All!$A342,Winter!$A:$A,FALSE),MATCH(All!U$1,Winter!$1:$1,FALSE))="","",INDEX(Winter!$1:$1048576,MATCH(All!$A342,Winter!$A:$A,FALSE),MATCH(All!U$1,Winter!$1:$1,FALSE))),"")</f>
        <v/>
      </c>
      <c r="W342" t="str">
        <f>IFERROR(IF(INDEX(Spring!$1:$1048576,MATCH(All!$A342,Spring!$A:$A,FALSE),MATCH(All!W$1,Spring!$1:$1,FALSE))="","",INDEX(Spring!$1:$1048576,MATCH(All!$A342,Spring!$A:$A,FALSE),MATCH(All!W$1,Spring!$1:$1,FALSE))),"")</f>
        <v>63.00 (103.95)</v>
      </c>
      <c r="X342" t="str">
        <f>IFERROR(IF(INDEX(Spring!$1:$1048576,MATCH(All!$A342,Spring!$A:$A,FALSE),MATCH(All!X$1,Spring!$1:$1,FALSE))="","",INDEX(Spring!$1:$1048576,MATCH(All!$A342,Spring!$A:$A,FALSE),MATCH(All!X$1,Spring!$1:$1,FALSE))),"")</f>
        <v/>
      </c>
      <c r="Y342" t="str">
        <f>IFERROR(IF(INDEX(Spring!$1:$1048576,MATCH(All!$A342,Spring!$A:$A,FALSE),MATCH(All!Y$1,Spring!$1:$1,FALSE))="","",INDEX(Spring!$1:$1048576,MATCH(All!$A342,Spring!$A:$A,FALSE),MATCH(All!Y$1,Spring!$1:$1,FALSE))),"")</f>
        <v/>
      </c>
      <c r="Z342" t="str">
        <f>IFERROR(IF(INDEX(Spring!$1:$1048576,MATCH(All!$A342,Spring!$A:$A,FALSE),MATCH(All!Z$1,Spring!$1:$1,FALSE))="","",INDEX(Spring!$1:$1048576,MATCH(All!$A342,Spring!$A:$A,FALSE),MATCH(All!Z$1,Spring!$1:$1,FALSE))),"")</f>
        <v/>
      </c>
      <c r="AA342" t="str">
        <f>IFERROR(IF(INDEX(Spring!$1:$1048576,MATCH(All!$A342,Spring!$A:$A,FALSE),MATCH(All!AA$1,Spring!$1:$1,FALSE))="","",INDEX(Spring!$1:$1048576,MATCH(All!$A342,Spring!$A:$A,FALSE),MATCH(All!AA$1,Spring!$1:$1,FALSE))),"")</f>
        <v/>
      </c>
      <c r="AB342" t="str">
        <f>IFERROR(IF(INDEX(Spring!$1:$1048576,MATCH(All!$A342,Spring!$A:$A,FALSE),MATCH(All!AB$1,Spring!$1:$1,FALSE))="","",INDEX(Spring!$1:$1048576,MATCH(All!$A342,Spring!$A:$A,FALSE),MATCH(All!AB$1,Spring!$1:$1,FALSE))),"")</f>
        <v/>
      </c>
      <c r="AC342" t="str">
        <f>IFERROR(IF(INDEX(Spring!$1:$1048576,MATCH(All!$A342,Spring!$A:$A,FALSE),MATCH(All!AC$1,Spring!$1:$1,FALSE))="","",INDEX(Spring!$1:$1048576,MATCH(All!$A342,Spring!$A:$A,FALSE),MATCH(All!AC$1,Spring!$1:$1,FALSE))),"")</f>
        <v>1A</v>
      </c>
      <c r="AD342" t="str">
        <f>IFERROR(VLOOKUP(A342,'Flag Football'!A:A,1,FALSE),"")</f>
        <v/>
      </c>
      <c r="AE342" t="str">
        <f t="shared" si="5"/>
        <v/>
      </c>
    </row>
    <row r="343" spans="1:31" ht="15.75" thickBot="1" x14ac:dyDescent="0.3">
      <c r="A343" s="20" t="s">
        <v>432</v>
      </c>
      <c r="B343" s="38">
        <f>IFERROR(VLOOKUP(A343,'Public v Private'!A:G,3,FALSE),"")</f>
        <v>0</v>
      </c>
      <c r="C343" s="38">
        <f>IFERROR(VLOOKUP(A343,'Public v Private'!A:G,4,FALSE),"")</f>
        <v>0</v>
      </c>
      <c r="D343" s="38">
        <f>IFERROR(VLOOKUP(A343,'Public v Private'!A:G,5,FALSE),"")</f>
        <v>0</v>
      </c>
      <c r="E343" s="38"/>
      <c r="F343" s="40">
        <f>IFERROR(INDEX(Fall!$1:$1048576,MATCH(All!$A343,Fall!$A:$A,FALSE),MATCH(All!F$1,Fall!$1:$1,FALSE)),"N/A")</f>
        <v>3465</v>
      </c>
      <c r="G343" t="str">
        <f>IFERROR(IF(INDEX(Fall!$1:$1048576,MATCH(All!$A343,Fall!$A:$A,FALSE),MATCH(All!G$1,Fall!$1:$1,FALSE))="","",INDEX(Fall!$1:$1048576,MATCH(All!$A343,Fall!$A:$A,FALSE),MATCH(All!G$1,Fall!$1:$1,FALSE))),"")</f>
        <v>3A</v>
      </c>
      <c r="H343" t="str">
        <f>IFERROR(IF(INDEX(Fall!$1:$1048576,MATCH(All!$A343,Fall!$A:$A,FALSE),MATCH(All!H$1,Fall!$1:$1,FALSE))="","",INDEX(Fall!$1:$1048576,MATCH(All!$A343,Fall!$A:$A,FALSE),MATCH(All!H$1,Fall!$1:$1,FALSE))),"")</f>
        <v>3A</v>
      </c>
      <c r="I343" t="str">
        <f>IFERROR(IF(INDEX(Fall!$1:$1048576,MATCH(All!$A343,Fall!$A:$A,FALSE),MATCH(All!I$1,Fall!$1:$1,FALSE))="","",INDEX(Fall!$1:$1048576,MATCH(All!$A343,Fall!$A:$A,FALSE),MATCH(All!I$1,Fall!$1:$1,FALSE))),"")</f>
        <v>3A</v>
      </c>
      <c r="J343" t="str">
        <f>IFERROR(IF(INDEX(Fall!$1:$1048576,MATCH(All!$A343,Fall!$A:$A,FALSE),MATCH(All!J$1,Fall!$1:$1,FALSE))="","",INDEX(Fall!$1:$1048576,MATCH(All!$A343,Fall!$A:$A,FALSE),MATCH(All!J$1,Fall!$1:$1,FALSE))),"")</f>
        <v>2A</v>
      </c>
      <c r="K343" t="str">
        <f>IFERROR(IF(INDEX(Fall!$1:$1048576,MATCH(All!$A343,Fall!$A:$A,FALSE),MATCH(All!K$1,Fall!$1:$1,FALSE))="","",INDEX(Fall!$1:$1048576,MATCH(All!$A343,Fall!$A:$A,FALSE),MATCH(All!K$1,Fall!$1:$1,FALSE))),"")</f>
        <v>3A</v>
      </c>
      <c r="L343" t="str">
        <f>IFERROR(IF(INDEX(Fall!$1:$1048576,MATCH(All!$A343,Fall!$A:$A,FALSE),MATCH(All!L$1,Fall!$1:$1,FALSE))="","",INDEX(Fall!$1:$1048576,MATCH(All!$A343,Fall!$A:$A,FALSE),MATCH(All!L$1,Fall!$1:$1,FALSE))),"")</f>
        <v>2A</v>
      </c>
      <c r="M343" t="str">
        <f>IFERROR(IF(INDEX(Fall!$1:$1048576,MATCH(All!$A343,Fall!$A:$A,FALSE),MATCH(All!M$1,Fall!$1:$1,FALSE))="","",INDEX(Fall!$1:$1048576,MATCH(All!$A343,Fall!$A:$A,FALSE),MATCH(All!M$1,Fall!$1:$1,FALSE))),"")</f>
        <v>4A</v>
      </c>
      <c r="O343">
        <f>IFERROR(IF(INDEX(Winter!$1:$1048576,MATCH(All!$A343,Winter!$A:$A,FALSE),MATCH(All!O$1,Winter!$1:$1,FALSE))="","",INDEX(Winter!$1:$1048576,MATCH(All!$A343,Winter!$A:$A,FALSE),MATCH(All!O$1,Winter!$1:$1,FALSE))),"")</f>
        <v>3465</v>
      </c>
      <c r="P343" t="str">
        <f>IFERROR(IF(INDEX(Winter!$1:$1048576,MATCH(All!$A343,Winter!$A:$A,FALSE),MATCH(All!P$1,Winter!$1:$1,FALSE))="","",INDEX(Winter!$1:$1048576,MATCH(All!$A343,Winter!$A:$A,FALSE),MATCH(All!P$1,Winter!$1:$1,FALSE))),"")</f>
        <v>4A</v>
      </c>
      <c r="Q343" t="str">
        <f>IFERROR(IF(INDEX(Winter!$1:$1048576,MATCH(All!$A343,Winter!$A:$A,FALSE),MATCH(All!Q$1,Winter!$1:$1,FALSE))="","",INDEX(Winter!$1:$1048576,MATCH(All!$A343,Winter!$A:$A,FALSE),MATCH(All!Q$1,Winter!$1:$1,FALSE))),"")</f>
        <v>4A</v>
      </c>
      <c r="R343" t="str">
        <f>IFERROR(IF(INDEX(Winter!$1:$1048576,MATCH(All!$A343,Winter!$A:$A,FALSE),MATCH(All!R$1,Winter!$1:$1,FALSE))="","",INDEX(Winter!$1:$1048576,MATCH(All!$A343,Winter!$A:$A,FALSE),MATCH(All!R$1,Winter!$1:$1,FALSE))),"")</f>
        <v>3A</v>
      </c>
      <c r="S343" t="str">
        <f>IFERROR(IF(INDEX(Winter!$1:$1048576,MATCH(All!$A343,Winter!$A:$A,FALSE),MATCH(All!S$1,Winter!$1:$1,FALSE))="","",INDEX(Winter!$1:$1048576,MATCH(All!$A343,Winter!$A:$A,FALSE),MATCH(All!S$1,Winter!$1:$1,FALSE))),"")</f>
        <v>3A</v>
      </c>
      <c r="T343" t="str">
        <f>IFERROR(IF(INDEX(Winter!$1:$1048576,MATCH(All!$A343,Winter!$A:$A,FALSE),MATCH(All!T$1,Winter!$1:$1,FALSE))="","",INDEX(Winter!$1:$1048576,MATCH(All!$A343,Winter!$A:$A,FALSE),MATCH(All!T$1,Winter!$1:$1,FALSE))),"")</f>
        <v>2A</v>
      </c>
      <c r="U343" t="str">
        <f>IFERROR(IF(INDEX(Winter!$1:$1048576,MATCH(All!$A343,Winter!$A:$A,FALSE),MATCH(All!U$1,Winter!$1:$1,FALSE))="","",INDEX(Winter!$1:$1048576,MATCH(All!$A343,Winter!$A:$A,FALSE),MATCH(All!U$1,Winter!$1:$1,FALSE))),"")</f>
        <v>3A</v>
      </c>
      <c r="W343">
        <f>IFERROR(IF(INDEX(Spring!$1:$1048576,MATCH(All!$A343,Spring!$A:$A,FALSE),MATCH(All!W$1,Spring!$1:$1,FALSE))="","",INDEX(Spring!$1:$1048576,MATCH(All!$A343,Spring!$A:$A,FALSE),MATCH(All!W$1,Spring!$1:$1,FALSE))),"")</f>
        <v>3465</v>
      </c>
      <c r="X343" t="str">
        <f>IFERROR(IF(INDEX(Spring!$1:$1048576,MATCH(All!$A343,Spring!$A:$A,FALSE),MATCH(All!X$1,Spring!$1:$1,FALSE))="","",INDEX(Spring!$1:$1048576,MATCH(All!$A343,Spring!$A:$A,FALSE),MATCH(All!X$1,Spring!$1:$1,FALSE))),"")</f>
        <v>4A</v>
      </c>
      <c r="Y343" t="str">
        <f>IFERROR(IF(INDEX(Spring!$1:$1048576,MATCH(All!$A343,Spring!$A:$A,FALSE),MATCH(All!Y$1,Spring!$1:$1,FALSE))="","",INDEX(Spring!$1:$1048576,MATCH(All!$A343,Spring!$A:$A,FALSE),MATCH(All!Y$1,Spring!$1:$1,FALSE))),"")</f>
        <v>4A</v>
      </c>
      <c r="Z343" t="str">
        <f>IFERROR(IF(INDEX(Spring!$1:$1048576,MATCH(All!$A343,Spring!$A:$A,FALSE),MATCH(All!Z$1,Spring!$1:$1,FALSE))="","",INDEX(Spring!$1:$1048576,MATCH(All!$A343,Spring!$A:$A,FALSE),MATCH(All!Z$1,Spring!$1:$1,FALSE))),"")</f>
        <v>3A</v>
      </c>
      <c r="AA343" t="str">
        <f>IFERROR(IF(INDEX(Spring!$1:$1048576,MATCH(All!$A343,Spring!$A:$A,FALSE),MATCH(All!AA$1,Spring!$1:$1,FALSE))="","",INDEX(Spring!$1:$1048576,MATCH(All!$A343,Spring!$A:$A,FALSE),MATCH(All!AA$1,Spring!$1:$1,FALSE))),"")</f>
        <v>2A</v>
      </c>
      <c r="AB343" t="str">
        <f>IFERROR(IF(INDEX(Spring!$1:$1048576,MATCH(All!$A343,Spring!$A:$A,FALSE),MATCH(All!AB$1,Spring!$1:$1,FALSE))="","",INDEX(Spring!$1:$1048576,MATCH(All!$A343,Spring!$A:$A,FALSE),MATCH(All!AB$1,Spring!$1:$1,FALSE))),"")</f>
        <v>3A</v>
      </c>
      <c r="AC343" t="str">
        <f>IFERROR(IF(INDEX(Spring!$1:$1048576,MATCH(All!$A343,Spring!$A:$A,FALSE),MATCH(All!AC$1,Spring!$1:$1,FALSE))="","",INDEX(Spring!$1:$1048576,MATCH(All!$A343,Spring!$A:$A,FALSE),MATCH(All!AC$1,Spring!$1:$1,FALSE))),"")</f>
        <v>3A</v>
      </c>
      <c r="AD343" t="str">
        <f>IFERROR(VLOOKUP(A343,'Flag Football'!A:A,1,FALSE),"")</f>
        <v>Evanston (Twp.)</v>
      </c>
      <c r="AE343" t="str">
        <f t="shared" si="5"/>
        <v>1A</v>
      </c>
    </row>
    <row r="344" spans="1:31" ht="15.75" thickBot="1" x14ac:dyDescent="0.3">
      <c r="A344" s="18" t="s">
        <v>433</v>
      </c>
      <c r="B344" s="38">
        <f>IFERROR(VLOOKUP(A344,'Public v Private'!A:G,3,FALSE),"")</f>
        <v>0</v>
      </c>
      <c r="C344" s="38">
        <f>IFERROR(VLOOKUP(A344,'Public v Private'!A:G,4,FALSE),"")</f>
        <v>0</v>
      </c>
      <c r="D344" s="38">
        <f>IFERROR(VLOOKUP(A344,'Public v Private'!A:G,5,FALSE),"")</f>
        <v>0</v>
      </c>
      <c r="E344" s="38"/>
      <c r="F344" s="40">
        <f>IFERROR(INDEX(Fall!$1:$1048576,MATCH(All!$A344,Fall!$A:$A,FALSE),MATCH(All!F$1,Fall!$1:$1,FALSE)),"N/A")</f>
        <v>917</v>
      </c>
      <c r="G344" t="str">
        <f>IFERROR(IF(INDEX(Fall!$1:$1048576,MATCH(All!$A344,Fall!$A:$A,FALSE),MATCH(All!G$1,Fall!$1:$1,FALSE))="","",INDEX(Fall!$1:$1048576,MATCH(All!$A344,Fall!$A:$A,FALSE),MATCH(All!G$1,Fall!$1:$1,FALSE))),"")</f>
        <v>2A</v>
      </c>
      <c r="H344" t="str">
        <f>IFERROR(IF(INDEX(Fall!$1:$1048576,MATCH(All!$A344,Fall!$A:$A,FALSE),MATCH(All!H$1,Fall!$1:$1,FALSE))="","",INDEX(Fall!$1:$1048576,MATCH(All!$A344,Fall!$A:$A,FALSE),MATCH(All!H$1,Fall!$1:$1,FALSE))),"")</f>
        <v>2A</v>
      </c>
      <c r="I344" t="str">
        <f>IFERROR(IF(INDEX(Fall!$1:$1048576,MATCH(All!$A344,Fall!$A:$A,FALSE),MATCH(All!I$1,Fall!$1:$1,FALSE))="","",INDEX(Fall!$1:$1048576,MATCH(All!$A344,Fall!$A:$A,FALSE),MATCH(All!I$1,Fall!$1:$1,FALSE))),"")</f>
        <v>2A</v>
      </c>
      <c r="J344" t="str">
        <f>IFERROR(IF(INDEX(Fall!$1:$1048576,MATCH(All!$A344,Fall!$A:$A,FALSE),MATCH(All!J$1,Fall!$1:$1,FALSE))="","",INDEX(Fall!$1:$1048576,MATCH(All!$A344,Fall!$A:$A,FALSE),MATCH(All!J$1,Fall!$1:$1,FALSE))),"")</f>
        <v>2A</v>
      </c>
      <c r="K344" t="str">
        <f>IFERROR(IF(INDEX(Fall!$1:$1048576,MATCH(All!$A344,Fall!$A:$A,FALSE),MATCH(All!K$1,Fall!$1:$1,FALSE))="","",INDEX(Fall!$1:$1048576,MATCH(All!$A344,Fall!$A:$A,FALSE),MATCH(All!K$1,Fall!$1:$1,FALSE))),"")</f>
        <v>2A</v>
      </c>
      <c r="L344" t="str">
        <f>IFERROR(IF(INDEX(Fall!$1:$1048576,MATCH(All!$A344,Fall!$A:$A,FALSE),MATCH(All!L$1,Fall!$1:$1,FALSE))="","",INDEX(Fall!$1:$1048576,MATCH(All!$A344,Fall!$A:$A,FALSE),MATCH(All!L$1,Fall!$1:$1,FALSE))),"")</f>
        <v/>
      </c>
      <c r="M344" t="str">
        <f>IFERROR(IF(INDEX(Fall!$1:$1048576,MATCH(All!$A344,Fall!$A:$A,FALSE),MATCH(All!M$1,Fall!$1:$1,FALSE))="","",INDEX(Fall!$1:$1048576,MATCH(All!$A344,Fall!$A:$A,FALSE),MATCH(All!M$1,Fall!$1:$1,FALSE))),"")</f>
        <v>3A</v>
      </c>
      <c r="O344">
        <f>IFERROR(IF(INDEX(Winter!$1:$1048576,MATCH(All!$A344,Winter!$A:$A,FALSE),MATCH(All!O$1,Winter!$1:$1,FALSE))="","",INDEX(Winter!$1:$1048576,MATCH(All!$A344,Winter!$A:$A,FALSE),MATCH(All!O$1,Winter!$1:$1,FALSE))),"")</f>
        <v>917</v>
      </c>
      <c r="P344" t="str">
        <f>IFERROR(IF(INDEX(Winter!$1:$1048576,MATCH(All!$A344,Winter!$A:$A,FALSE),MATCH(All!P$1,Winter!$1:$1,FALSE))="","",INDEX(Winter!$1:$1048576,MATCH(All!$A344,Winter!$A:$A,FALSE),MATCH(All!P$1,Winter!$1:$1,FALSE))),"")</f>
        <v>3A</v>
      </c>
      <c r="Q344" t="str">
        <f>IFERROR(IF(INDEX(Winter!$1:$1048576,MATCH(All!$A344,Winter!$A:$A,FALSE),MATCH(All!Q$1,Winter!$1:$1,FALSE))="","",INDEX(Winter!$1:$1048576,MATCH(All!$A344,Winter!$A:$A,FALSE),MATCH(All!Q$1,Winter!$1:$1,FALSE))),"")</f>
        <v>3A</v>
      </c>
      <c r="R344" t="str">
        <f>IFERROR(IF(INDEX(Winter!$1:$1048576,MATCH(All!$A344,Winter!$A:$A,FALSE),MATCH(All!R$1,Winter!$1:$1,FALSE))="","",INDEX(Winter!$1:$1048576,MATCH(All!$A344,Winter!$A:$A,FALSE),MATCH(All!R$1,Winter!$1:$1,FALSE))),"")</f>
        <v>2A</v>
      </c>
      <c r="S344" t="str">
        <f>IFERROR(IF(INDEX(Winter!$1:$1048576,MATCH(All!$A344,Winter!$A:$A,FALSE),MATCH(All!S$1,Winter!$1:$1,FALSE))="","",INDEX(Winter!$1:$1048576,MATCH(All!$A344,Winter!$A:$A,FALSE),MATCH(All!S$1,Winter!$1:$1,FALSE))),"")</f>
        <v>1A</v>
      </c>
      <c r="T344" t="str">
        <f>IFERROR(IF(INDEX(Winter!$1:$1048576,MATCH(All!$A344,Winter!$A:$A,FALSE),MATCH(All!T$1,Winter!$1:$1,FALSE))="","",INDEX(Winter!$1:$1048576,MATCH(All!$A344,Winter!$A:$A,FALSE),MATCH(All!T$1,Winter!$1:$1,FALSE))),"")</f>
        <v>2A</v>
      </c>
      <c r="U344" t="str">
        <f>IFERROR(IF(INDEX(Winter!$1:$1048576,MATCH(All!$A344,Winter!$A:$A,FALSE),MATCH(All!U$1,Winter!$1:$1,FALSE))="","",INDEX(Winter!$1:$1048576,MATCH(All!$A344,Winter!$A:$A,FALSE),MATCH(All!U$1,Winter!$1:$1,FALSE))),"")</f>
        <v>2A</v>
      </c>
      <c r="W344">
        <f>IFERROR(IF(INDEX(Spring!$1:$1048576,MATCH(All!$A344,Spring!$A:$A,FALSE),MATCH(All!W$1,Spring!$1:$1,FALSE))="","",INDEX(Spring!$1:$1048576,MATCH(All!$A344,Spring!$A:$A,FALSE),MATCH(All!W$1,Spring!$1:$1,FALSE))),"")</f>
        <v>917</v>
      </c>
      <c r="X344" t="str">
        <f>IFERROR(IF(INDEX(Spring!$1:$1048576,MATCH(All!$A344,Spring!$A:$A,FALSE),MATCH(All!X$1,Spring!$1:$1,FALSE))="","",INDEX(Spring!$1:$1048576,MATCH(All!$A344,Spring!$A:$A,FALSE),MATCH(All!X$1,Spring!$1:$1,FALSE))),"")</f>
        <v>3A</v>
      </c>
      <c r="Y344" t="str">
        <f>IFERROR(IF(INDEX(Spring!$1:$1048576,MATCH(All!$A344,Spring!$A:$A,FALSE),MATCH(All!Y$1,Spring!$1:$1,FALSE))="","",INDEX(Spring!$1:$1048576,MATCH(All!$A344,Spring!$A:$A,FALSE),MATCH(All!Y$1,Spring!$1:$1,FALSE))),"")</f>
        <v>3A</v>
      </c>
      <c r="Z344" t="str">
        <f>IFERROR(IF(INDEX(Spring!$1:$1048576,MATCH(All!$A344,Spring!$A:$A,FALSE),MATCH(All!Z$1,Spring!$1:$1,FALSE))="","",INDEX(Spring!$1:$1048576,MATCH(All!$A344,Spring!$A:$A,FALSE),MATCH(All!Z$1,Spring!$1:$1,FALSE))),"")</f>
        <v>2A</v>
      </c>
      <c r="AA344" t="str">
        <f>IFERROR(IF(INDEX(Spring!$1:$1048576,MATCH(All!$A344,Spring!$A:$A,FALSE),MATCH(All!AA$1,Spring!$1:$1,FALSE))="","",INDEX(Spring!$1:$1048576,MATCH(All!$A344,Spring!$A:$A,FALSE),MATCH(All!AA$1,Spring!$1:$1,FALSE))),"")</f>
        <v/>
      </c>
      <c r="AB344" t="str">
        <f>IFERROR(IF(INDEX(Spring!$1:$1048576,MATCH(All!$A344,Spring!$A:$A,FALSE),MATCH(All!AB$1,Spring!$1:$1,FALSE))="","",INDEX(Spring!$1:$1048576,MATCH(All!$A344,Spring!$A:$A,FALSE),MATCH(All!AB$1,Spring!$1:$1,FALSE))),"")</f>
        <v>2A</v>
      </c>
      <c r="AC344" t="str">
        <f>IFERROR(IF(INDEX(Spring!$1:$1048576,MATCH(All!$A344,Spring!$A:$A,FALSE),MATCH(All!AC$1,Spring!$1:$1,FALSE))="","",INDEX(Spring!$1:$1048576,MATCH(All!$A344,Spring!$A:$A,FALSE),MATCH(All!AC$1,Spring!$1:$1,FALSE))),"")</f>
        <v>2A</v>
      </c>
      <c r="AD344" t="str">
        <f>IFERROR(VLOOKUP(A344,'Flag Football'!A:A,1,FALSE),"")</f>
        <v/>
      </c>
      <c r="AE344" t="str">
        <f t="shared" si="5"/>
        <v/>
      </c>
    </row>
    <row r="345" spans="1:31" ht="15.75" thickBot="1" x14ac:dyDescent="0.3">
      <c r="A345" s="20" t="s">
        <v>434</v>
      </c>
      <c r="B345" s="38">
        <f>IFERROR(VLOOKUP(A345,'Public v Private'!A:G,3,FALSE),"")</f>
        <v>0</v>
      </c>
      <c r="C345" s="38">
        <f>IFERROR(VLOOKUP(A345,'Public v Private'!A:G,4,FALSE),"")</f>
        <v>0</v>
      </c>
      <c r="D345" s="38">
        <f>IFERROR(VLOOKUP(A345,'Public v Private'!A:G,5,FALSE),"")</f>
        <v>0</v>
      </c>
      <c r="E345" s="38"/>
      <c r="F345" s="40">
        <f>IFERROR(INDEX(Fall!$1:$1048576,MATCH(All!$A345,Fall!$A:$A,FALSE),MATCH(All!F$1,Fall!$1:$1,FALSE)),"N/A")</f>
        <v>475</v>
      </c>
      <c r="G345" t="str">
        <f>IFERROR(IF(INDEX(Fall!$1:$1048576,MATCH(All!$A345,Fall!$A:$A,FALSE),MATCH(All!G$1,Fall!$1:$1,FALSE))="","",INDEX(Fall!$1:$1048576,MATCH(All!$A345,Fall!$A:$A,FALSE),MATCH(All!G$1,Fall!$1:$1,FALSE))),"")</f>
        <v>1A</v>
      </c>
      <c r="H345" t="str">
        <f>IFERROR(IF(INDEX(Fall!$1:$1048576,MATCH(All!$A345,Fall!$A:$A,FALSE),MATCH(All!H$1,Fall!$1:$1,FALSE))="","",INDEX(Fall!$1:$1048576,MATCH(All!$A345,Fall!$A:$A,FALSE),MATCH(All!H$1,Fall!$1:$1,FALSE))),"")</f>
        <v>1A</v>
      </c>
      <c r="I345" t="str">
        <f>IFERROR(IF(INDEX(Fall!$1:$1048576,MATCH(All!$A345,Fall!$A:$A,FALSE),MATCH(All!I$1,Fall!$1:$1,FALSE))="","",INDEX(Fall!$1:$1048576,MATCH(All!$A345,Fall!$A:$A,FALSE),MATCH(All!I$1,Fall!$1:$1,FALSE))),"")</f>
        <v>1A</v>
      </c>
      <c r="J345" t="str">
        <f>IFERROR(IF(INDEX(Fall!$1:$1048576,MATCH(All!$A345,Fall!$A:$A,FALSE),MATCH(All!J$1,Fall!$1:$1,FALSE))="","",INDEX(Fall!$1:$1048576,MATCH(All!$A345,Fall!$A:$A,FALSE),MATCH(All!J$1,Fall!$1:$1,FALSE))),"")</f>
        <v>1A</v>
      </c>
      <c r="K345" t="str">
        <f>IFERROR(IF(INDEX(Fall!$1:$1048576,MATCH(All!$A345,Fall!$A:$A,FALSE),MATCH(All!K$1,Fall!$1:$1,FALSE))="","",INDEX(Fall!$1:$1048576,MATCH(All!$A345,Fall!$A:$A,FALSE),MATCH(All!K$1,Fall!$1:$1,FALSE))),"")</f>
        <v/>
      </c>
      <c r="L345" t="str">
        <f>IFERROR(IF(INDEX(Fall!$1:$1048576,MATCH(All!$A345,Fall!$A:$A,FALSE),MATCH(All!L$1,Fall!$1:$1,FALSE))="","",INDEX(Fall!$1:$1048576,MATCH(All!$A345,Fall!$A:$A,FALSE),MATCH(All!L$1,Fall!$1:$1,FALSE))),"")</f>
        <v/>
      </c>
      <c r="M345" t="str">
        <f>IFERROR(IF(INDEX(Fall!$1:$1048576,MATCH(All!$A345,Fall!$A:$A,FALSE),MATCH(All!M$1,Fall!$1:$1,FALSE))="","",INDEX(Fall!$1:$1048576,MATCH(All!$A345,Fall!$A:$A,FALSE),MATCH(All!M$1,Fall!$1:$1,FALSE))),"")</f>
        <v>2A</v>
      </c>
      <c r="O345">
        <f>IFERROR(IF(INDEX(Winter!$1:$1048576,MATCH(All!$A345,Winter!$A:$A,FALSE),MATCH(All!O$1,Winter!$1:$1,FALSE))="","",INDEX(Winter!$1:$1048576,MATCH(All!$A345,Winter!$A:$A,FALSE),MATCH(All!O$1,Winter!$1:$1,FALSE))),"")</f>
        <v>475</v>
      </c>
      <c r="P345" t="str">
        <f>IFERROR(IF(INDEX(Winter!$1:$1048576,MATCH(All!$A345,Winter!$A:$A,FALSE),MATCH(All!P$1,Winter!$1:$1,FALSE))="","",INDEX(Winter!$1:$1048576,MATCH(All!$A345,Winter!$A:$A,FALSE),MATCH(All!P$1,Winter!$1:$1,FALSE))),"")</f>
        <v>2A</v>
      </c>
      <c r="Q345" t="str">
        <f>IFERROR(IF(INDEX(Winter!$1:$1048576,MATCH(All!$A345,Winter!$A:$A,FALSE),MATCH(All!Q$1,Winter!$1:$1,FALSE))="","",INDEX(Winter!$1:$1048576,MATCH(All!$A345,Winter!$A:$A,FALSE),MATCH(All!Q$1,Winter!$1:$1,FALSE))),"")</f>
        <v>2A</v>
      </c>
      <c r="R345" t="str">
        <f>IFERROR(IF(INDEX(Winter!$1:$1048576,MATCH(All!$A345,Winter!$A:$A,FALSE),MATCH(All!R$1,Winter!$1:$1,FALSE))="","",INDEX(Winter!$1:$1048576,MATCH(All!$A345,Winter!$A:$A,FALSE),MATCH(All!R$1,Winter!$1:$1,FALSE))),"")</f>
        <v>1A</v>
      </c>
      <c r="S345" t="str">
        <f>IFERROR(IF(INDEX(Winter!$1:$1048576,MATCH(All!$A345,Winter!$A:$A,FALSE),MATCH(All!S$1,Winter!$1:$1,FALSE))="","",INDEX(Winter!$1:$1048576,MATCH(All!$A345,Winter!$A:$A,FALSE),MATCH(All!S$1,Winter!$1:$1,FALSE))),"")</f>
        <v/>
      </c>
      <c r="T345" t="str">
        <f>IFERROR(IF(INDEX(Winter!$1:$1048576,MATCH(All!$A345,Winter!$A:$A,FALSE),MATCH(All!T$1,Winter!$1:$1,FALSE))="","",INDEX(Winter!$1:$1048576,MATCH(All!$A345,Winter!$A:$A,FALSE),MATCH(All!T$1,Winter!$1:$1,FALSE))),"")</f>
        <v>2A</v>
      </c>
      <c r="U345" t="str">
        <f>IFERROR(IF(INDEX(Winter!$1:$1048576,MATCH(All!$A345,Winter!$A:$A,FALSE),MATCH(All!U$1,Winter!$1:$1,FALSE))="","",INDEX(Winter!$1:$1048576,MATCH(All!$A345,Winter!$A:$A,FALSE),MATCH(All!U$1,Winter!$1:$1,FALSE))),"")</f>
        <v>1A</v>
      </c>
      <c r="W345">
        <f>IFERROR(IF(INDEX(Spring!$1:$1048576,MATCH(All!$A345,Spring!$A:$A,FALSE),MATCH(All!W$1,Spring!$1:$1,FALSE))="","",INDEX(Spring!$1:$1048576,MATCH(All!$A345,Spring!$A:$A,FALSE),MATCH(All!W$1,Spring!$1:$1,FALSE))),"")</f>
        <v>475</v>
      </c>
      <c r="X345" t="str">
        <f>IFERROR(IF(INDEX(Spring!$1:$1048576,MATCH(All!$A345,Spring!$A:$A,FALSE),MATCH(All!X$1,Spring!$1:$1,FALSE))="","",INDEX(Spring!$1:$1048576,MATCH(All!$A345,Spring!$A:$A,FALSE),MATCH(All!X$1,Spring!$1:$1,FALSE))),"")</f>
        <v>2A</v>
      </c>
      <c r="Y345" t="str">
        <f>IFERROR(IF(INDEX(Spring!$1:$1048576,MATCH(All!$A345,Spring!$A:$A,FALSE),MATCH(All!Y$1,Spring!$1:$1,FALSE))="","",INDEX(Spring!$1:$1048576,MATCH(All!$A345,Spring!$A:$A,FALSE),MATCH(All!Y$1,Spring!$1:$1,FALSE))),"")</f>
        <v>2A</v>
      </c>
      <c r="Z345" t="str">
        <f>IFERROR(IF(INDEX(Spring!$1:$1048576,MATCH(All!$A345,Spring!$A:$A,FALSE),MATCH(All!Z$1,Spring!$1:$1,FALSE))="","",INDEX(Spring!$1:$1048576,MATCH(All!$A345,Spring!$A:$A,FALSE),MATCH(All!Z$1,Spring!$1:$1,FALSE))),"")</f>
        <v/>
      </c>
      <c r="AA345" t="str">
        <f>IFERROR(IF(INDEX(Spring!$1:$1048576,MATCH(All!$A345,Spring!$A:$A,FALSE),MATCH(All!AA$1,Spring!$1:$1,FALSE))="","",INDEX(Spring!$1:$1048576,MATCH(All!$A345,Spring!$A:$A,FALSE),MATCH(All!AA$1,Spring!$1:$1,FALSE))),"")</f>
        <v/>
      </c>
      <c r="AB345" t="str">
        <f>IFERROR(IF(INDEX(Spring!$1:$1048576,MATCH(All!$A345,Spring!$A:$A,FALSE),MATCH(All!AB$1,Spring!$1:$1,FALSE))="","",INDEX(Spring!$1:$1048576,MATCH(All!$A345,Spring!$A:$A,FALSE),MATCH(All!AB$1,Spring!$1:$1,FALSE))),"")</f>
        <v>2A</v>
      </c>
      <c r="AC345" t="str">
        <f>IFERROR(IF(INDEX(Spring!$1:$1048576,MATCH(All!$A345,Spring!$A:$A,FALSE),MATCH(All!AC$1,Spring!$1:$1,FALSE))="","",INDEX(Spring!$1:$1048576,MATCH(All!$A345,Spring!$A:$A,FALSE),MATCH(All!AC$1,Spring!$1:$1,FALSE))),"")</f>
        <v>2A</v>
      </c>
      <c r="AD345" t="str">
        <f>IFERROR(VLOOKUP(A345,'Flag Football'!A:A,1,FALSE),"")</f>
        <v/>
      </c>
      <c r="AE345" t="str">
        <f t="shared" si="5"/>
        <v/>
      </c>
    </row>
    <row r="346" spans="1:31" ht="15.75" thickBot="1" x14ac:dyDescent="0.3">
      <c r="A346" s="18" t="s">
        <v>435</v>
      </c>
      <c r="B346" s="38">
        <f>IFERROR(VLOOKUP(A346,'Public v Private'!A:G,3,FALSE),"")</f>
        <v>0</v>
      </c>
      <c r="C346" s="38">
        <f>IFERROR(VLOOKUP(A346,'Public v Private'!A:G,4,FALSE),"")</f>
        <v>0</v>
      </c>
      <c r="D346" s="38">
        <f>IFERROR(VLOOKUP(A346,'Public v Private'!A:G,5,FALSE),"")</f>
        <v>0</v>
      </c>
      <c r="E346" s="38"/>
      <c r="F346" s="40">
        <f>IFERROR(INDEX(Fall!$1:$1048576,MATCH(All!$A346,Fall!$A:$A,FALSE),MATCH(All!F$1,Fall!$1:$1,FALSE)),"N/A")</f>
        <v>435</v>
      </c>
      <c r="G346" t="str">
        <f>IFERROR(IF(INDEX(Fall!$1:$1048576,MATCH(All!$A346,Fall!$A:$A,FALSE),MATCH(All!G$1,Fall!$1:$1,FALSE))="","",INDEX(Fall!$1:$1048576,MATCH(All!$A346,Fall!$A:$A,FALSE),MATCH(All!G$1,Fall!$1:$1,FALSE))),"")</f>
        <v>1A</v>
      </c>
      <c r="H346" t="str">
        <f>IFERROR(IF(INDEX(Fall!$1:$1048576,MATCH(All!$A346,Fall!$A:$A,FALSE),MATCH(All!H$1,Fall!$1:$1,FALSE))="","",INDEX(Fall!$1:$1048576,MATCH(All!$A346,Fall!$A:$A,FALSE),MATCH(All!H$1,Fall!$1:$1,FALSE))),"")</f>
        <v>1A</v>
      </c>
      <c r="I346" t="str">
        <f>IFERROR(IF(INDEX(Fall!$1:$1048576,MATCH(All!$A346,Fall!$A:$A,FALSE),MATCH(All!I$1,Fall!$1:$1,FALSE))="","",INDEX(Fall!$1:$1048576,MATCH(All!$A346,Fall!$A:$A,FALSE),MATCH(All!I$1,Fall!$1:$1,FALSE))),"")</f>
        <v>1A</v>
      </c>
      <c r="J346" t="str">
        <f>IFERROR(IF(INDEX(Fall!$1:$1048576,MATCH(All!$A346,Fall!$A:$A,FALSE),MATCH(All!J$1,Fall!$1:$1,FALSE))="","",INDEX(Fall!$1:$1048576,MATCH(All!$A346,Fall!$A:$A,FALSE),MATCH(All!J$1,Fall!$1:$1,FALSE))),"")</f>
        <v>1A</v>
      </c>
      <c r="K346" t="str">
        <f>IFERROR(IF(INDEX(Fall!$1:$1048576,MATCH(All!$A346,Fall!$A:$A,FALSE),MATCH(All!K$1,Fall!$1:$1,FALSE))="","",INDEX(Fall!$1:$1048576,MATCH(All!$A346,Fall!$A:$A,FALSE),MATCH(All!K$1,Fall!$1:$1,FALSE))),"")</f>
        <v/>
      </c>
      <c r="L346" t="str">
        <f>IFERROR(IF(INDEX(Fall!$1:$1048576,MATCH(All!$A346,Fall!$A:$A,FALSE),MATCH(All!L$1,Fall!$1:$1,FALSE))="","",INDEX(Fall!$1:$1048576,MATCH(All!$A346,Fall!$A:$A,FALSE),MATCH(All!L$1,Fall!$1:$1,FALSE))),"")</f>
        <v>1A</v>
      </c>
      <c r="M346" t="str">
        <f>IFERROR(IF(INDEX(Fall!$1:$1048576,MATCH(All!$A346,Fall!$A:$A,FALSE),MATCH(All!M$1,Fall!$1:$1,FALSE))="","",INDEX(Fall!$1:$1048576,MATCH(All!$A346,Fall!$A:$A,FALSE),MATCH(All!M$1,Fall!$1:$1,FALSE))),"")</f>
        <v>2A</v>
      </c>
      <c r="O346">
        <f>IFERROR(IF(INDEX(Winter!$1:$1048576,MATCH(All!$A346,Winter!$A:$A,FALSE),MATCH(All!O$1,Winter!$1:$1,FALSE))="","",INDEX(Winter!$1:$1048576,MATCH(All!$A346,Winter!$A:$A,FALSE),MATCH(All!O$1,Winter!$1:$1,FALSE))),"")</f>
        <v>435</v>
      </c>
      <c r="P346" t="str">
        <f>IFERROR(IF(INDEX(Winter!$1:$1048576,MATCH(All!$A346,Winter!$A:$A,FALSE),MATCH(All!P$1,Winter!$1:$1,FALSE))="","",INDEX(Winter!$1:$1048576,MATCH(All!$A346,Winter!$A:$A,FALSE),MATCH(All!P$1,Winter!$1:$1,FALSE))),"")</f>
        <v>2A</v>
      </c>
      <c r="Q346" t="str">
        <f>IFERROR(IF(INDEX(Winter!$1:$1048576,MATCH(All!$A346,Winter!$A:$A,FALSE),MATCH(All!Q$1,Winter!$1:$1,FALSE))="","",INDEX(Winter!$1:$1048576,MATCH(All!$A346,Winter!$A:$A,FALSE),MATCH(All!Q$1,Winter!$1:$1,FALSE))),"")</f>
        <v>2A</v>
      </c>
      <c r="R346" t="str">
        <f>IFERROR(IF(INDEX(Winter!$1:$1048576,MATCH(All!$A346,Winter!$A:$A,FALSE),MATCH(All!R$1,Winter!$1:$1,FALSE))="","",INDEX(Winter!$1:$1048576,MATCH(All!$A346,Winter!$A:$A,FALSE),MATCH(All!R$1,Winter!$1:$1,FALSE))),"")</f>
        <v>1A</v>
      </c>
      <c r="S346" t="str">
        <f>IFERROR(IF(INDEX(Winter!$1:$1048576,MATCH(All!$A346,Winter!$A:$A,FALSE),MATCH(All!S$1,Winter!$1:$1,FALSE))="","",INDEX(Winter!$1:$1048576,MATCH(All!$A346,Winter!$A:$A,FALSE),MATCH(All!S$1,Winter!$1:$1,FALSE))),"")</f>
        <v/>
      </c>
      <c r="T346" t="str">
        <f>IFERROR(IF(INDEX(Winter!$1:$1048576,MATCH(All!$A346,Winter!$A:$A,FALSE),MATCH(All!T$1,Winter!$1:$1,FALSE))="","",INDEX(Winter!$1:$1048576,MATCH(All!$A346,Winter!$A:$A,FALSE),MATCH(All!T$1,Winter!$1:$1,FALSE))),"")</f>
        <v>1A</v>
      </c>
      <c r="U346" t="str">
        <f>IFERROR(IF(INDEX(Winter!$1:$1048576,MATCH(All!$A346,Winter!$A:$A,FALSE),MATCH(All!U$1,Winter!$1:$1,FALSE))="","",INDEX(Winter!$1:$1048576,MATCH(All!$A346,Winter!$A:$A,FALSE),MATCH(All!U$1,Winter!$1:$1,FALSE))),"")</f>
        <v>1A</v>
      </c>
      <c r="W346">
        <f>IFERROR(IF(INDEX(Spring!$1:$1048576,MATCH(All!$A346,Spring!$A:$A,FALSE),MATCH(All!W$1,Spring!$1:$1,FALSE))="","",INDEX(Spring!$1:$1048576,MATCH(All!$A346,Spring!$A:$A,FALSE),MATCH(All!W$1,Spring!$1:$1,FALSE))),"")</f>
        <v>435</v>
      </c>
      <c r="X346" t="str">
        <f>IFERROR(IF(INDEX(Spring!$1:$1048576,MATCH(All!$A346,Spring!$A:$A,FALSE),MATCH(All!X$1,Spring!$1:$1,FALSE))="","",INDEX(Spring!$1:$1048576,MATCH(All!$A346,Spring!$A:$A,FALSE),MATCH(All!X$1,Spring!$1:$1,FALSE))),"")</f>
        <v>2A</v>
      </c>
      <c r="Y346" t="str">
        <f>IFERROR(IF(INDEX(Spring!$1:$1048576,MATCH(All!$A346,Spring!$A:$A,FALSE),MATCH(All!Y$1,Spring!$1:$1,FALSE))="","",INDEX(Spring!$1:$1048576,MATCH(All!$A346,Spring!$A:$A,FALSE),MATCH(All!Y$1,Spring!$1:$1,FALSE))),"")</f>
        <v>2A</v>
      </c>
      <c r="Z346" t="str">
        <f>IFERROR(IF(INDEX(Spring!$1:$1048576,MATCH(All!$A346,Spring!$A:$A,FALSE),MATCH(All!Z$1,Spring!$1:$1,FALSE))="","",INDEX(Spring!$1:$1048576,MATCH(All!$A346,Spring!$A:$A,FALSE),MATCH(All!Z$1,Spring!$1:$1,FALSE))),"")</f>
        <v/>
      </c>
      <c r="AA346" t="str">
        <f>IFERROR(IF(INDEX(Spring!$1:$1048576,MATCH(All!$A346,Spring!$A:$A,FALSE),MATCH(All!AA$1,Spring!$1:$1,FALSE))="","",INDEX(Spring!$1:$1048576,MATCH(All!$A346,Spring!$A:$A,FALSE),MATCH(All!AA$1,Spring!$1:$1,FALSE))),"")</f>
        <v>1A</v>
      </c>
      <c r="AB346" t="str">
        <f>IFERROR(IF(INDEX(Spring!$1:$1048576,MATCH(All!$A346,Spring!$A:$A,FALSE),MATCH(All!AB$1,Spring!$1:$1,FALSE))="","",INDEX(Spring!$1:$1048576,MATCH(All!$A346,Spring!$A:$A,FALSE),MATCH(All!AB$1,Spring!$1:$1,FALSE))),"")</f>
        <v>1A</v>
      </c>
      <c r="AC346" t="str">
        <f>IFERROR(IF(INDEX(Spring!$1:$1048576,MATCH(All!$A346,Spring!$A:$A,FALSE),MATCH(All!AC$1,Spring!$1:$1,FALSE))="","",INDEX(Spring!$1:$1048576,MATCH(All!$A346,Spring!$A:$A,FALSE),MATCH(All!AC$1,Spring!$1:$1,FALSE))),"")</f>
        <v>1A</v>
      </c>
      <c r="AD346" t="str">
        <f>IFERROR(VLOOKUP(A346,'Flag Football'!A:A,1,FALSE),"")</f>
        <v/>
      </c>
      <c r="AE346" t="str">
        <f t="shared" si="5"/>
        <v/>
      </c>
    </row>
    <row r="347" spans="1:31" ht="15.75" thickBot="1" x14ac:dyDescent="0.3">
      <c r="A347" s="20" t="s">
        <v>436</v>
      </c>
      <c r="B347" s="38">
        <f>IFERROR(VLOOKUP(A347,'Public v Private'!A:G,3,FALSE),"")</f>
        <v>0</v>
      </c>
      <c r="C347" s="38">
        <f>IFERROR(VLOOKUP(A347,'Public v Private'!A:G,4,FALSE),"")</f>
        <v>0</v>
      </c>
      <c r="D347" s="38">
        <f>IFERROR(VLOOKUP(A347,'Public v Private'!A:G,5,FALSE),"")</f>
        <v>0</v>
      </c>
      <c r="E347" s="38"/>
      <c r="F347" s="40">
        <f>IFERROR(INDEX(Fall!$1:$1048576,MATCH(All!$A347,Fall!$A:$A,FALSE),MATCH(All!F$1,Fall!$1:$1,FALSE)),"N/A")</f>
        <v>180</v>
      </c>
      <c r="G347" t="str">
        <f>IFERROR(IF(INDEX(Fall!$1:$1048576,MATCH(All!$A347,Fall!$A:$A,FALSE),MATCH(All!G$1,Fall!$1:$1,FALSE))="","",INDEX(Fall!$1:$1048576,MATCH(All!$A347,Fall!$A:$A,FALSE),MATCH(All!G$1,Fall!$1:$1,FALSE))),"")</f>
        <v/>
      </c>
      <c r="H347" t="str">
        <f>IFERROR(IF(INDEX(Fall!$1:$1048576,MATCH(All!$A347,Fall!$A:$A,FALSE),MATCH(All!H$1,Fall!$1:$1,FALSE))="","",INDEX(Fall!$1:$1048576,MATCH(All!$A347,Fall!$A:$A,FALSE),MATCH(All!H$1,Fall!$1:$1,FALSE))),"")</f>
        <v/>
      </c>
      <c r="I347" t="str">
        <f>IFERROR(IF(INDEX(Fall!$1:$1048576,MATCH(All!$A347,Fall!$A:$A,FALSE),MATCH(All!I$1,Fall!$1:$1,FALSE))="","",INDEX(Fall!$1:$1048576,MATCH(All!$A347,Fall!$A:$A,FALSE),MATCH(All!I$1,Fall!$1:$1,FALSE))),"")</f>
        <v/>
      </c>
      <c r="J347" t="str">
        <f>IFERROR(IF(INDEX(Fall!$1:$1048576,MATCH(All!$A347,Fall!$A:$A,FALSE),MATCH(All!J$1,Fall!$1:$1,FALSE))="","",INDEX(Fall!$1:$1048576,MATCH(All!$A347,Fall!$A:$A,FALSE),MATCH(All!J$1,Fall!$1:$1,FALSE))),"")</f>
        <v/>
      </c>
      <c r="K347" t="str">
        <f>IFERROR(IF(INDEX(Fall!$1:$1048576,MATCH(All!$A347,Fall!$A:$A,FALSE),MATCH(All!K$1,Fall!$1:$1,FALSE))="","",INDEX(Fall!$1:$1048576,MATCH(All!$A347,Fall!$A:$A,FALSE),MATCH(All!K$1,Fall!$1:$1,FALSE))),"")</f>
        <v/>
      </c>
      <c r="L347" t="str">
        <f>IFERROR(IF(INDEX(Fall!$1:$1048576,MATCH(All!$A347,Fall!$A:$A,FALSE),MATCH(All!L$1,Fall!$1:$1,FALSE))="","",INDEX(Fall!$1:$1048576,MATCH(All!$A347,Fall!$A:$A,FALSE),MATCH(All!L$1,Fall!$1:$1,FALSE))),"")</f>
        <v/>
      </c>
      <c r="M347" t="str">
        <f>IFERROR(IF(INDEX(Fall!$1:$1048576,MATCH(All!$A347,Fall!$A:$A,FALSE),MATCH(All!M$1,Fall!$1:$1,FALSE))="","",INDEX(Fall!$1:$1048576,MATCH(All!$A347,Fall!$A:$A,FALSE),MATCH(All!M$1,Fall!$1:$1,FALSE))),"")</f>
        <v>1A</v>
      </c>
      <c r="O347">
        <f>IFERROR(IF(INDEX(Winter!$1:$1048576,MATCH(All!$A347,Winter!$A:$A,FALSE),MATCH(All!O$1,Winter!$1:$1,FALSE))="","",INDEX(Winter!$1:$1048576,MATCH(All!$A347,Winter!$A:$A,FALSE),MATCH(All!O$1,Winter!$1:$1,FALSE))),"")</f>
        <v>180</v>
      </c>
      <c r="P347" t="str">
        <f>IFERROR(IF(INDEX(Winter!$1:$1048576,MATCH(All!$A347,Winter!$A:$A,FALSE),MATCH(All!P$1,Winter!$1:$1,FALSE))="","",INDEX(Winter!$1:$1048576,MATCH(All!$A347,Winter!$A:$A,FALSE),MATCH(All!P$1,Winter!$1:$1,FALSE))),"")</f>
        <v>1A</v>
      </c>
      <c r="Q347" t="str">
        <f>IFERROR(IF(INDEX(Winter!$1:$1048576,MATCH(All!$A347,Winter!$A:$A,FALSE),MATCH(All!Q$1,Winter!$1:$1,FALSE))="","",INDEX(Winter!$1:$1048576,MATCH(All!$A347,Winter!$A:$A,FALSE),MATCH(All!Q$1,Winter!$1:$1,FALSE))),"")</f>
        <v>1A</v>
      </c>
      <c r="R347" t="str">
        <f>IFERROR(IF(INDEX(Winter!$1:$1048576,MATCH(All!$A347,Winter!$A:$A,FALSE),MATCH(All!R$1,Winter!$1:$1,FALSE))="","",INDEX(Winter!$1:$1048576,MATCH(All!$A347,Winter!$A:$A,FALSE),MATCH(All!R$1,Winter!$1:$1,FALSE))),"")</f>
        <v/>
      </c>
      <c r="S347" t="str">
        <f>IFERROR(IF(INDEX(Winter!$1:$1048576,MATCH(All!$A347,Winter!$A:$A,FALSE),MATCH(All!S$1,Winter!$1:$1,FALSE))="","",INDEX(Winter!$1:$1048576,MATCH(All!$A347,Winter!$A:$A,FALSE),MATCH(All!S$1,Winter!$1:$1,FALSE))),"")</f>
        <v/>
      </c>
      <c r="T347" t="str">
        <f>IFERROR(IF(INDEX(Winter!$1:$1048576,MATCH(All!$A347,Winter!$A:$A,FALSE),MATCH(All!T$1,Winter!$1:$1,FALSE))="","",INDEX(Winter!$1:$1048576,MATCH(All!$A347,Winter!$A:$A,FALSE),MATCH(All!T$1,Winter!$1:$1,FALSE))),"")</f>
        <v>1A</v>
      </c>
      <c r="U347" t="str">
        <f>IFERROR(IF(INDEX(Winter!$1:$1048576,MATCH(All!$A347,Winter!$A:$A,FALSE),MATCH(All!U$1,Winter!$1:$1,FALSE))="","",INDEX(Winter!$1:$1048576,MATCH(All!$A347,Winter!$A:$A,FALSE),MATCH(All!U$1,Winter!$1:$1,FALSE))),"")</f>
        <v/>
      </c>
      <c r="W347">
        <f>IFERROR(IF(INDEX(Spring!$1:$1048576,MATCH(All!$A347,Spring!$A:$A,FALSE),MATCH(All!W$1,Spring!$1:$1,FALSE))="","",INDEX(Spring!$1:$1048576,MATCH(All!$A347,Spring!$A:$A,FALSE),MATCH(All!W$1,Spring!$1:$1,FALSE))),"")</f>
        <v>180</v>
      </c>
      <c r="X347" t="str">
        <f>IFERROR(IF(INDEX(Spring!$1:$1048576,MATCH(All!$A347,Spring!$A:$A,FALSE),MATCH(All!X$1,Spring!$1:$1,FALSE))="","",INDEX(Spring!$1:$1048576,MATCH(All!$A347,Spring!$A:$A,FALSE),MATCH(All!X$1,Spring!$1:$1,FALSE))),"")</f>
        <v>1A</v>
      </c>
      <c r="Y347" t="str">
        <f>IFERROR(IF(INDEX(Spring!$1:$1048576,MATCH(All!$A347,Spring!$A:$A,FALSE),MATCH(All!Y$1,Spring!$1:$1,FALSE))="","",INDEX(Spring!$1:$1048576,MATCH(All!$A347,Spring!$A:$A,FALSE),MATCH(All!Y$1,Spring!$1:$1,FALSE))),"")</f>
        <v>1A</v>
      </c>
      <c r="Z347" t="str">
        <f>IFERROR(IF(INDEX(Spring!$1:$1048576,MATCH(All!$A347,Spring!$A:$A,FALSE),MATCH(All!Z$1,Spring!$1:$1,FALSE))="","",INDEX(Spring!$1:$1048576,MATCH(All!$A347,Spring!$A:$A,FALSE),MATCH(All!Z$1,Spring!$1:$1,FALSE))),"")</f>
        <v/>
      </c>
      <c r="AA347" t="str">
        <f>IFERROR(IF(INDEX(Spring!$1:$1048576,MATCH(All!$A347,Spring!$A:$A,FALSE),MATCH(All!AA$1,Spring!$1:$1,FALSE))="","",INDEX(Spring!$1:$1048576,MATCH(All!$A347,Spring!$A:$A,FALSE),MATCH(All!AA$1,Spring!$1:$1,FALSE))),"")</f>
        <v/>
      </c>
      <c r="AB347" t="str">
        <f>IFERROR(IF(INDEX(Spring!$1:$1048576,MATCH(All!$A347,Spring!$A:$A,FALSE),MATCH(All!AB$1,Spring!$1:$1,FALSE))="","",INDEX(Spring!$1:$1048576,MATCH(All!$A347,Spring!$A:$A,FALSE),MATCH(All!AB$1,Spring!$1:$1,FALSE))),"")</f>
        <v/>
      </c>
      <c r="AC347" t="str">
        <f>IFERROR(IF(INDEX(Spring!$1:$1048576,MATCH(All!$A347,Spring!$A:$A,FALSE),MATCH(All!AC$1,Spring!$1:$1,FALSE))="","",INDEX(Spring!$1:$1048576,MATCH(All!$A347,Spring!$A:$A,FALSE),MATCH(All!AC$1,Spring!$1:$1,FALSE))),"")</f>
        <v/>
      </c>
      <c r="AD347" t="str">
        <f>IFERROR(VLOOKUP(A347,'Flag Football'!A:A,1,FALSE),"")</f>
        <v/>
      </c>
      <c r="AE347" t="str">
        <f t="shared" si="5"/>
        <v/>
      </c>
    </row>
    <row r="348" spans="1:31" ht="15.75" thickBot="1" x14ac:dyDescent="0.3">
      <c r="A348" s="18" t="s">
        <v>437</v>
      </c>
      <c r="B348" s="38">
        <f>IFERROR(VLOOKUP(A348,'Public v Private'!A:G,3,FALSE),"")</f>
        <v>0</v>
      </c>
      <c r="C348" s="38">
        <f>IFERROR(VLOOKUP(A348,'Public v Private'!A:G,4,FALSE),"")</f>
        <v>0</v>
      </c>
      <c r="D348" s="38">
        <f>IFERROR(VLOOKUP(A348,'Public v Private'!A:G,5,FALSE),"")</f>
        <v>0</v>
      </c>
      <c r="E348" s="38"/>
      <c r="F348" s="40">
        <f>IFERROR(INDEX(Fall!$1:$1048576,MATCH(All!$A348,Fall!$A:$A,FALSE),MATCH(All!F$1,Fall!$1:$1,FALSE)),"N/A")</f>
        <v>154</v>
      </c>
      <c r="G348" t="str">
        <f>IFERROR(IF(INDEX(Fall!$1:$1048576,MATCH(All!$A348,Fall!$A:$A,FALSE),MATCH(All!G$1,Fall!$1:$1,FALSE))="","",INDEX(Fall!$1:$1048576,MATCH(All!$A348,Fall!$A:$A,FALSE),MATCH(All!G$1,Fall!$1:$1,FALSE))),"")</f>
        <v/>
      </c>
      <c r="H348" t="str">
        <f>IFERROR(IF(INDEX(Fall!$1:$1048576,MATCH(All!$A348,Fall!$A:$A,FALSE),MATCH(All!H$1,Fall!$1:$1,FALSE))="","",INDEX(Fall!$1:$1048576,MATCH(All!$A348,Fall!$A:$A,FALSE),MATCH(All!H$1,Fall!$1:$1,FALSE))),"")</f>
        <v/>
      </c>
      <c r="I348" t="str">
        <f>IFERROR(IF(INDEX(Fall!$1:$1048576,MATCH(All!$A348,Fall!$A:$A,FALSE),MATCH(All!I$1,Fall!$1:$1,FALSE))="","",INDEX(Fall!$1:$1048576,MATCH(All!$A348,Fall!$A:$A,FALSE),MATCH(All!I$1,Fall!$1:$1,FALSE))),"")</f>
        <v>1A</v>
      </c>
      <c r="J348" t="str">
        <f>IFERROR(IF(INDEX(Fall!$1:$1048576,MATCH(All!$A348,Fall!$A:$A,FALSE),MATCH(All!J$1,Fall!$1:$1,FALSE))="","",INDEX(Fall!$1:$1048576,MATCH(All!$A348,Fall!$A:$A,FALSE),MATCH(All!J$1,Fall!$1:$1,FALSE))),"")</f>
        <v>1A</v>
      </c>
      <c r="K348" t="str">
        <f>IFERROR(IF(INDEX(Fall!$1:$1048576,MATCH(All!$A348,Fall!$A:$A,FALSE),MATCH(All!K$1,Fall!$1:$1,FALSE))="","",INDEX(Fall!$1:$1048576,MATCH(All!$A348,Fall!$A:$A,FALSE),MATCH(All!K$1,Fall!$1:$1,FALSE))),"")</f>
        <v>1A</v>
      </c>
      <c r="L348" t="str">
        <f>IFERROR(IF(INDEX(Fall!$1:$1048576,MATCH(All!$A348,Fall!$A:$A,FALSE),MATCH(All!L$1,Fall!$1:$1,FALSE))="","",INDEX(Fall!$1:$1048576,MATCH(All!$A348,Fall!$A:$A,FALSE),MATCH(All!L$1,Fall!$1:$1,FALSE))),"")</f>
        <v/>
      </c>
      <c r="M348" t="str">
        <f>IFERROR(IF(INDEX(Fall!$1:$1048576,MATCH(All!$A348,Fall!$A:$A,FALSE),MATCH(All!M$1,Fall!$1:$1,FALSE))="","",INDEX(Fall!$1:$1048576,MATCH(All!$A348,Fall!$A:$A,FALSE),MATCH(All!M$1,Fall!$1:$1,FALSE))),"")</f>
        <v>1A</v>
      </c>
      <c r="O348">
        <f>IFERROR(IF(INDEX(Winter!$1:$1048576,MATCH(All!$A348,Winter!$A:$A,FALSE),MATCH(All!O$1,Winter!$1:$1,FALSE))="","",INDEX(Winter!$1:$1048576,MATCH(All!$A348,Winter!$A:$A,FALSE),MATCH(All!O$1,Winter!$1:$1,FALSE))),"")</f>
        <v>154</v>
      </c>
      <c r="P348" t="str">
        <f>IFERROR(IF(INDEX(Winter!$1:$1048576,MATCH(All!$A348,Winter!$A:$A,FALSE),MATCH(All!P$1,Winter!$1:$1,FALSE))="","",INDEX(Winter!$1:$1048576,MATCH(All!$A348,Winter!$A:$A,FALSE),MATCH(All!P$1,Winter!$1:$1,FALSE))),"")</f>
        <v>1A</v>
      </c>
      <c r="Q348" t="str">
        <f>IFERROR(IF(INDEX(Winter!$1:$1048576,MATCH(All!$A348,Winter!$A:$A,FALSE),MATCH(All!Q$1,Winter!$1:$1,FALSE))="","",INDEX(Winter!$1:$1048576,MATCH(All!$A348,Winter!$A:$A,FALSE),MATCH(All!Q$1,Winter!$1:$1,FALSE))),"")</f>
        <v>1A</v>
      </c>
      <c r="R348" t="str">
        <f>IFERROR(IF(INDEX(Winter!$1:$1048576,MATCH(All!$A348,Winter!$A:$A,FALSE),MATCH(All!R$1,Winter!$1:$1,FALSE))="","",INDEX(Winter!$1:$1048576,MATCH(All!$A348,Winter!$A:$A,FALSE),MATCH(All!R$1,Winter!$1:$1,FALSE))),"")</f>
        <v/>
      </c>
      <c r="S348" t="str">
        <f>IFERROR(IF(INDEX(Winter!$1:$1048576,MATCH(All!$A348,Winter!$A:$A,FALSE),MATCH(All!S$1,Winter!$1:$1,FALSE))="","",INDEX(Winter!$1:$1048576,MATCH(All!$A348,Winter!$A:$A,FALSE),MATCH(All!S$1,Winter!$1:$1,FALSE))),"")</f>
        <v/>
      </c>
      <c r="T348" t="str">
        <f>IFERROR(IF(INDEX(Winter!$1:$1048576,MATCH(All!$A348,Winter!$A:$A,FALSE),MATCH(All!T$1,Winter!$1:$1,FALSE))="","",INDEX(Winter!$1:$1048576,MATCH(All!$A348,Winter!$A:$A,FALSE),MATCH(All!T$1,Winter!$1:$1,FALSE))),"")</f>
        <v>1A</v>
      </c>
      <c r="U348" t="str">
        <f>IFERROR(IF(INDEX(Winter!$1:$1048576,MATCH(All!$A348,Winter!$A:$A,FALSE),MATCH(All!U$1,Winter!$1:$1,FALSE))="","",INDEX(Winter!$1:$1048576,MATCH(All!$A348,Winter!$A:$A,FALSE),MATCH(All!U$1,Winter!$1:$1,FALSE))),"")</f>
        <v/>
      </c>
      <c r="W348">
        <f>IFERROR(IF(INDEX(Spring!$1:$1048576,MATCH(All!$A348,Spring!$A:$A,FALSE),MATCH(All!W$1,Spring!$1:$1,FALSE))="","",INDEX(Spring!$1:$1048576,MATCH(All!$A348,Spring!$A:$A,FALSE),MATCH(All!W$1,Spring!$1:$1,FALSE))),"")</f>
        <v>154</v>
      </c>
      <c r="X348" t="str">
        <f>IFERROR(IF(INDEX(Spring!$1:$1048576,MATCH(All!$A348,Spring!$A:$A,FALSE),MATCH(All!X$1,Spring!$1:$1,FALSE))="","",INDEX(Spring!$1:$1048576,MATCH(All!$A348,Spring!$A:$A,FALSE),MATCH(All!X$1,Spring!$1:$1,FALSE))),"")</f>
        <v>1A</v>
      </c>
      <c r="Y348" t="str">
        <f>IFERROR(IF(INDEX(Spring!$1:$1048576,MATCH(All!$A348,Spring!$A:$A,FALSE),MATCH(All!Y$1,Spring!$1:$1,FALSE))="","",INDEX(Spring!$1:$1048576,MATCH(All!$A348,Spring!$A:$A,FALSE),MATCH(All!Y$1,Spring!$1:$1,FALSE))),"")</f>
        <v>1A</v>
      </c>
      <c r="Z348" t="str">
        <f>IFERROR(IF(INDEX(Spring!$1:$1048576,MATCH(All!$A348,Spring!$A:$A,FALSE),MATCH(All!Z$1,Spring!$1:$1,FALSE))="","",INDEX(Spring!$1:$1048576,MATCH(All!$A348,Spring!$A:$A,FALSE),MATCH(All!Z$1,Spring!$1:$1,FALSE))),"")</f>
        <v/>
      </c>
      <c r="AA348" t="str">
        <f>IFERROR(IF(INDEX(Spring!$1:$1048576,MATCH(All!$A348,Spring!$A:$A,FALSE),MATCH(All!AA$1,Spring!$1:$1,FALSE))="","",INDEX(Spring!$1:$1048576,MATCH(All!$A348,Spring!$A:$A,FALSE),MATCH(All!AA$1,Spring!$1:$1,FALSE))),"")</f>
        <v/>
      </c>
      <c r="AB348" t="str">
        <f>IFERROR(IF(INDEX(Spring!$1:$1048576,MATCH(All!$A348,Spring!$A:$A,FALSE),MATCH(All!AB$1,Spring!$1:$1,FALSE))="","",INDEX(Spring!$1:$1048576,MATCH(All!$A348,Spring!$A:$A,FALSE),MATCH(All!AB$1,Spring!$1:$1,FALSE))),"")</f>
        <v>1A</v>
      </c>
      <c r="AC348" t="str">
        <f>IFERROR(IF(INDEX(Spring!$1:$1048576,MATCH(All!$A348,Spring!$A:$A,FALSE),MATCH(All!AC$1,Spring!$1:$1,FALSE))="","",INDEX(Spring!$1:$1048576,MATCH(All!$A348,Spring!$A:$A,FALSE),MATCH(All!AC$1,Spring!$1:$1,FALSE))),"")</f>
        <v>1A</v>
      </c>
      <c r="AD348" t="str">
        <f>IFERROR(VLOOKUP(A348,'Flag Football'!A:A,1,FALSE),"")</f>
        <v/>
      </c>
      <c r="AE348" t="str">
        <f t="shared" si="5"/>
        <v/>
      </c>
    </row>
    <row r="349" spans="1:31" ht="15.75" thickBot="1" x14ac:dyDescent="0.3">
      <c r="A349" s="20" t="s">
        <v>438</v>
      </c>
      <c r="B349" s="38">
        <f>IFERROR(VLOOKUP(A349,'Public v Private'!A:G,3,FALSE),"")</f>
        <v>0</v>
      </c>
      <c r="C349" s="38">
        <f>IFERROR(VLOOKUP(A349,'Public v Private'!A:G,4,FALSE),"")</f>
        <v>0</v>
      </c>
      <c r="D349" s="38">
        <f>IFERROR(VLOOKUP(A349,'Public v Private'!A:G,5,FALSE),"")</f>
        <v>0</v>
      </c>
      <c r="E349" s="38"/>
      <c r="F349" s="40">
        <f>IFERROR(INDEX(Fall!$1:$1048576,MATCH(All!$A349,Fall!$A:$A,FALSE),MATCH(All!F$1,Fall!$1:$1,FALSE)),"N/A")</f>
        <v>364</v>
      </c>
      <c r="G349" t="str">
        <f>IFERROR(IF(INDEX(Fall!$1:$1048576,MATCH(All!$A349,Fall!$A:$A,FALSE),MATCH(All!G$1,Fall!$1:$1,FALSE))="","",INDEX(Fall!$1:$1048576,MATCH(All!$A349,Fall!$A:$A,FALSE),MATCH(All!G$1,Fall!$1:$1,FALSE))),"")</f>
        <v>1A</v>
      </c>
      <c r="H349" t="str">
        <f>IFERROR(IF(INDEX(Fall!$1:$1048576,MATCH(All!$A349,Fall!$A:$A,FALSE),MATCH(All!H$1,Fall!$1:$1,FALSE))="","",INDEX(Fall!$1:$1048576,MATCH(All!$A349,Fall!$A:$A,FALSE),MATCH(All!H$1,Fall!$1:$1,FALSE))),"")</f>
        <v>1A</v>
      </c>
      <c r="I349" t="str">
        <f>IFERROR(IF(INDEX(Fall!$1:$1048576,MATCH(All!$A349,Fall!$A:$A,FALSE),MATCH(All!I$1,Fall!$1:$1,FALSE))="","",INDEX(Fall!$1:$1048576,MATCH(All!$A349,Fall!$A:$A,FALSE),MATCH(All!I$1,Fall!$1:$1,FALSE))),"")</f>
        <v>1A</v>
      </c>
      <c r="J349" t="str">
        <f>IFERROR(IF(INDEX(Fall!$1:$1048576,MATCH(All!$A349,Fall!$A:$A,FALSE),MATCH(All!J$1,Fall!$1:$1,FALSE))="","",INDEX(Fall!$1:$1048576,MATCH(All!$A349,Fall!$A:$A,FALSE),MATCH(All!J$1,Fall!$1:$1,FALSE))),"")</f>
        <v>1A</v>
      </c>
      <c r="K349" t="str">
        <f>IFERROR(IF(INDEX(Fall!$1:$1048576,MATCH(All!$A349,Fall!$A:$A,FALSE),MATCH(All!K$1,Fall!$1:$1,FALSE))="","",INDEX(Fall!$1:$1048576,MATCH(All!$A349,Fall!$A:$A,FALSE),MATCH(All!K$1,Fall!$1:$1,FALSE))),"")</f>
        <v/>
      </c>
      <c r="L349" t="str">
        <f>IFERROR(IF(INDEX(Fall!$1:$1048576,MATCH(All!$A349,Fall!$A:$A,FALSE),MATCH(All!L$1,Fall!$1:$1,FALSE))="","",INDEX(Fall!$1:$1048576,MATCH(All!$A349,Fall!$A:$A,FALSE),MATCH(All!L$1,Fall!$1:$1,FALSE))),"")</f>
        <v/>
      </c>
      <c r="M349" t="str">
        <f>IFERROR(IF(INDEX(Fall!$1:$1048576,MATCH(All!$A349,Fall!$A:$A,FALSE),MATCH(All!M$1,Fall!$1:$1,FALSE))="","",INDEX(Fall!$1:$1048576,MATCH(All!$A349,Fall!$A:$A,FALSE),MATCH(All!M$1,Fall!$1:$1,FALSE))),"")</f>
        <v>2A</v>
      </c>
      <c r="O349">
        <f>IFERROR(IF(INDEX(Winter!$1:$1048576,MATCH(All!$A349,Winter!$A:$A,FALSE),MATCH(All!O$1,Winter!$1:$1,FALSE))="","",INDEX(Winter!$1:$1048576,MATCH(All!$A349,Winter!$A:$A,FALSE),MATCH(All!O$1,Winter!$1:$1,FALSE))),"")</f>
        <v>364</v>
      </c>
      <c r="P349" t="str">
        <f>IFERROR(IF(INDEX(Winter!$1:$1048576,MATCH(All!$A349,Winter!$A:$A,FALSE),MATCH(All!P$1,Winter!$1:$1,FALSE))="","",INDEX(Winter!$1:$1048576,MATCH(All!$A349,Winter!$A:$A,FALSE),MATCH(All!P$1,Winter!$1:$1,FALSE))),"")</f>
        <v>2A</v>
      </c>
      <c r="Q349" t="str">
        <f>IFERROR(IF(INDEX(Winter!$1:$1048576,MATCH(All!$A349,Winter!$A:$A,FALSE),MATCH(All!Q$1,Winter!$1:$1,FALSE))="","",INDEX(Winter!$1:$1048576,MATCH(All!$A349,Winter!$A:$A,FALSE),MATCH(All!Q$1,Winter!$1:$1,FALSE))),"")</f>
        <v>2A</v>
      </c>
      <c r="R349" t="str">
        <f>IFERROR(IF(INDEX(Winter!$1:$1048576,MATCH(All!$A349,Winter!$A:$A,FALSE),MATCH(All!R$1,Winter!$1:$1,FALSE))="","",INDEX(Winter!$1:$1048576,MATCH(All!$A349,Winter!$A:$A,FALSE),MATCH(All!R$1,Winter!$1:$1,FALSE))),"")</f>
        <v>1A</v>
      </c>
      <c r="S349" t="str">
        <f>IFERROR(IF(INDEX(Winter!$1:$1048576,MATCH(All!$A349,Winter!$A:$A,FALSE),MATCH(All!S$1,Winter!$1:$1,FALSE))="","",INDEX(Winter!$1:$1048576,MATCH(All!$A349,Winter!$A:$A,FALSE),MATCH(All!S$1,Winter!$1:$1,FALSE))),"")</f>
        <v/>
      </c>
      <c r="T349" t="str">
        <f>IFERROR(IF(INDEX(Winter!$1:$1048576,MATCH(All!$A349,Winter!$A:$A,FALSE),MATCH(All!T$1,Winter!$1:$1,FALSE))="","",INDEX(Winter!$1:$1048576,MATCH(All!$A349,Winter!$A:$A,FALSE),MATCH(All!T$1,Winter!$1:$1,FALSE))),"")</f>
        <v>1A</v>
      </c>
      <c r="U349" t="str">
        <f>IFERROR(IF(INDEX(Winter!$1:$1048576,MATCH(All!$A349,Winter!$A:$A,FALSE),MATCH(All!U$1,Winter!$1:$1,FALSE))="","",INDEX(Winter!$1:$1048576,MATCH(All!$A349,Winter!$A:$A,FALSE),MATCH(All!U$1,Winter!$1:$1,FALSE))),"")</f>
        <v>1A</v>
      </c>
      <c r="W349">
        <f>IFERROR(IF(INDEX(Spring!$1:$1048576,MATCH(All!$A349,Spring!$A:$A,FALSE),MATCH(All!W$1,Spring!$1:$1,FALSE))="","",INDEX(Spring!$1:$1048576,MATCH(All!$A349,Spring!$A:$A,FALSE),MATCH(All!W$1,Spring!$1:$1,FALSE))),"")</f>
        <v>364</v>
      </c>
      <c r="X349" t="str">
        <f>IFERROR(IF(INDEX(Spring!$1:$1048576,MATCH(All!$A349,Spring!$A:$A,FALSE),MATCH(All!X$1,Spring!$1:$1,FALSE))="","",INDEX(Spring!$1:$1048576,MATCH(All!$A349,Spring!$A:$A,FALSE),MATCH(All!X$1,Spring!$1:$1,FALSE))),"")</f>
        <v>2A</v>
      </c>
      <c r="Y349" t="str">
        <f>IFERROR(IF(INDEX(Spring!$1:$1048576,MATCH(All!$A349,Spring!$A:$A,FALSE),MATCH(All!Y$1,Spring!$1:$1,FALSE))="","",INDEX(Spring!$1:$1048576,MATCH(All!$A349,Spring!$A:$A,FALSE),MATCH(All!Y$1,Spring!$1:$1,FALSE))),"")</f>
        <v>2A</v>
      </c>
      <c r="Z349" t="str">
        <f>IFERROR(IF(INDEX(Spring!$1:$1048576,MATCH(All!$A349,Spring!$A:$A,FALSE),MATCH(All!Z$1,Spring!$1:$1,FALSE))="","",INDEX(Spring!$1:$1048576,MATCH(All!$A349,Spring!$A:$A,FALSE),MATCH(All!Z$1,Spring!$1:$1,FALSE))),"")</f>
        <v/>
      </c>
      <c r="AA349" t="str">
        <f>IFERROR(IF(INDEX(Spring!$1:$1048576,MATCH(All!$A349,Spring!$A:$A,FALSE),MATCH(All!AA$1,Spring!$1:$1,FALSE))="","",INDEX(Spring!$1:$1048576,MATCH(All!$A349,Spring!$A:$A,FALSE),MATCH(All!AA$1,Spring!$1:$1,FALSE))),"")</f>
        <v/>
      </c>
      <c r="AB349" t="str">
        <f>IFERROR(IF(INDEX(Spring!$1:$1048576,MATCH(All!$A349,Spring!$A:$A,FALSE),MATCH(All!AB$1,Spring!$1:$1,FALSE))="","",INDEX(Spring!$1:$1048576,MATCH(All!$A349,Spring!$A:$A,FALSE),MATCH(All!AB$1,Spring!$1:$1,FALSE))),"")</f>
        <v>1A</v>
      </c>
      <c r="AC349" t="str">
        <f>IFERROR(IF(INDEX(Spring!$1:$1048576,MATCH(All!$A349,Spring!$A:$A,FALSE),MATCH(All!AC$1,Spring!$1:$1,FALSE))="","",INDEX(Spring!$1:$1048576,MATCH(All!$A349,Spring!$A:$A,FALSE),MATCH(All!AC$1,Spring!$1:$1,FALSE))),"")</f>
        <v>1A</v>
      </c>
      <c r="AD349" t="str">
        <f>IFERROR(VLOOKUP(A349,'Flag Football'!A:A,1,FALSE),"")</f>
        <v/>
      </c>
      <c r="AE349" t="str">
        <f t="shared" si="5"/>
        <v/>
      </c>
    </row>
    <row r="350" spans="1:31" ht="15.75" thickBot="1" x14ac:dyDescent="0.3">
      <c r="A350" s="18" t="s">
        <v>439</v>
      </c>
      <c r="B350" s="38">
        <f>IFERROR(VLOOKUP(A350,'Public v Private'!A:G,3,FALSE),"")</f>
        <v>0</v>
      </c>
      <c r="C350" s="38">
        <f>IFERROR(VLOOKUP(A350,'Public v Private'!A:G,4,FALSE),"")</f>
        <v>0</v>
      </c>
      <c r="D350" s="38">
        <f>IFERROR(VLOOKUP(A350,'Public v Private'!A:G,5,FALSE),"")</f>
        <v>0</v>
      </c>
      <c r="E350" s="38"/>
      <c r="F350" s="40">
        <f>IFERROR(INDEX(Fall!$1:$1048576,MATCH(All!$A350,Fall!$A:$A,FALSE),MATCH(All!F$1,Fall!$1:$1,FALSE)),"N/A")</f>
        <v>195</v>
      </c>
      <c r="G350" t="str">
        <f>IFERROR(IF(INDEX(Fall!$1:$1048576,MATCH(All!$A350,Fall!$A:$A,FALSE),MATCH(All!G$1,Fall!$1:$1,FALSE))="","",INDEX(Fall!$1:$1048576,MATCH(All!$A350,Fall!$A:$A,FALSE),MATCH(All!G$1,Fall!$1:$1,FALSE))),"")</f>
        <v/>
      </c>
      <c r="H350" t="str">
        <f>IFERROR(IF(INDEX(Fall!$1:$1048576,MATCH(All!$A350,Fall!$A:$A,FALSE),MATCH(All!H$1,Fall!$1:$1,FALSE))="","",INDEX(Fall!$1:$1048576,MATCH(All!$A350,Fall!$A:$A,FALSE),MATCH(All!H$1,Fall!$1:$1,FALSE))),"")</f>
        <v/>
      </c>
      <c r="I350" t="str">
        <f>IFERROR(IF(INDEX(Fall!$1:$1048576,MATCH(All!$A350,Fall!$A:$A,FALSE),MATCH(All!I$1,Fall!$1:$1,FALSE))="","",INDEX(Fall!$1:$1048576,MATCH(All!$A350,Fall!$A:$A,FALSE),MATCH(All!I$1,Fall!$1:$1,FALSE))),"")</f>
        <v>1A</v>
      </c>
      <c r="J350" t="str">
        <f>IFERROR(IF(INDEX(Fall!$1:$1048576,MATCH(All!$A350,Fall!$A:$A,FALSE),MATCH(All!J$1,Fall!$1:$1,FALSE))="","",INDEX(Fall!$1:$1048576,MATCH(All!$A350,Fall!$A:$A,FALSE),MATCH(All!J$1,Fall!$1:$1,FALSE))),"")</f>
        <v/>
      </c>
      <c r="K350" t="str">
        <f>IFERROR(IF(INDEX(Fall!$1:$1048576,MATCH(All!$A350,Fall!$A:$A,FALSE),MATCH(All!K$1,Fall!$1:$1,FALSE))="","",INDEX(Fall!$1:$1048576,MATCH(All!$A350,Fall!$A:$A,FALSE),MATCH(All!K$1,Fall!$1:$1,FALSE))),"")</f>
        <v>1A</v>
      </c>
      <c r="L350" t="str">
        <f>IFERROR(IF(INDEX(Fall!$1:$1048576,MATCH(All!$A350,Fall!$A:$A,FALSE),MATCH(All!L$1,Fall!$1:$1,FALSE))="","",INDEX(Fall!$1:$1048576,MATCH(All!$A350,Fall!$A:$A,FALSE),MATCH(All!L$1,Fall!$1:$1,FALSE))),"")</f>
        <v/>
      </c>
      <c r="M350" t="str">
        <f>IFERROR(IF(INDEX(Fall!$1:$1048576,MATCH(All!$A350,Fall!$A:$A,FALSE),MATCH(All!M$1,Fall!$1:$1,FALSE))="","",INDEX(Fall!$1:$1048576,MATCH(All!$A350,Fall!$A:$A,FALSE),MATCH(All!M$1,Fall!$1:$1,FALSE))),"")</f>
        <v>1A</v>
      </c>
      <c r="O350">
        <f>IFERROR(IF(INDEX(Winter!$1:$1048576,MATCH(All!$A350,Winter!$A:$A,FALSE),MATCH(All!O$1,Winter!$1:$1,FALSE))="","",INDEX(Winter!$1:$1048576,MATCH(All!$A350,Winter!$A:$A,FALSE),MATCH(All!O$1,Winter!$1:$1,FALSE))),"")</f>
        <v>195</v>
      </c>
      <c r="P350" t="str">
        <f>IFERROR(IF(INDEX(Winter!$1:$1048576,MATCH(All!$A350,Winter!$A:$A,FALSE),MATCH(All!P$1,Winter!$1:$1,FALSE))="","",INDEX(Winter!$1:$1048576,MATCH(All!$A350,Winter!$A:$A,FALSE),MATCH(All!P$1,Winter!$1:$1,FALSE))),"")</f>
        <v>1A</v>
      </c>
      <c r="Q350" t="str">
        <f>IFERROR(IF(INDEX(Winter!$1:$1048576,MATCH(All!$A350,Winter!$A:$A,FALSE),MATCH(All!Q$1,Winter!$1:$1,FALSE))="","",INDEX(Winter!$1:$1048576,MATCH(All!$A350,Winter!$A:$A,FALSE),MATCH(All!Q$1,Winter!$1:$1,FALSE))),"")</f>
        <v>1A</v>
      </c>
      <c r="R350" t="str">
        <f>IFERROR(IF(INDEX(Winter!$1:$1048576,MATCH(All!$A350,Winter!$A:$A,FALSE),MATCH(All!R$1,Winter!$1:$1,FALSE))="","",INDEX(Winter!$1:$1048576,MATCH(All!$A350,Winter!$A:$A,FALSE),MATCH(All!R$1,Winter!$1:$1,FALSE))),"")</f>
        <v>1A</v>
      </c>
      <c r="S350" t="str">
        <f>IFERROR(IF(INDEX(Winter!$1:$1048576,MATCH(All!$A350,Winter!$A:$A,FALSE),MATCH(All!S$1,Winter!$1:$1,FALSE))="","",INDEX(Winter!$1:$1048576,MATCH(All!$A350,Winter!$A:$A,FALSE),MATCH(All!S$1,Winter!$1:$1,FALSE))),"")</f>
        <v/>
      </c>
      <c r="T350" t="str">
        <f>IFERROR(IF(INDEX(Winter!$1:$1048576,MATCH(All!$A350,Winter!$A:$A,FALSE),MATCH(All!T$1,Winter!$1:$1,FALSE))="","",INDEX(Winter!$1:$1048576,MATCH(All!$A350,Winter!$A:$A,FALSE),MATCH(All!T$1,Winter!$1:$1,FALSE))),"")</f>
        <v>1A</v>
      </c>
      <c r="U350" t="str">
        <f>IFERROR(IF(INDEX(Winter!$1:$1048576,MATCH(All!$A350,Winter!$A:$A,FALSE),MATCH(All!U$1,Winter!$1:$1,FALSE))="","",INDEX(Winter!$1:$1048576,MATCH(All!$A350,Winter!$A:$A,FALSE),MATCH(All!U$1,Winter!$1:$1,FALSE))),"")</f>
        <v/>
      </c>
      <c r="W350">
        <f>IFERROR(IF(INDEX(Spring!$1:$1048576,MATCH(All!$A350,Spring!$A:$A,FALSE),MATCH(All!W$1,Spring!$1:$1,FALSE))="","",INDEX(Spring!$1:$1048576,MATCH(All!$A350,Spring!$A:$A,FALSE),MATCH(All!W$1,Spring!$1:$1,FALSE))),"")</f>
        <v>195</v>
      </c>
      <c r="X350" t="str">
        <f>IFERROR(IF(INDEX(Spring!$1:$1048576,MATCH(All!$A350,Spring!$A:$A,FALSE),MATCH(All!X$1,Spring!$1:$1,FALSE))="","",INDEX(Spring!$1:$1048576,MATCH(All!$A350,Spring!$A:$A,FALSE),MATCH(All!X$1,Spring!$1:$1,FALSE))),"")</f>
        <v>1A</v>
      </c>
      <c r="Y350" t="str">
        <f>IFERROR(IF(INDEX(Spring!$1:$1048576,MATCH(All!$A350,Spring!$A:$A,FALSE),MATCH(All!Y$1,Spring!$1:$1,FALSE))="","",INDEX(Spring!$1:$1048576,MATCH(All!$A350,Spring!$A:$A,FALSE),MATCH(All!Y$1,Spring!$1:$1,FALSE))),"")</f>
        <v>1A</v>
      </c>
      <c r="Z350" t="str">
        <f>IFERROR(IF(INDEX(Spring!$1:$1048576,MATCH(All!$A350,Spring!$A:$A,FALSE),MATCH(All!Z$1,Spring!$1:$1,FALSE))="","",INDEX(Spring!$1:$1048576,MATCH(All!$A350,Spring!$A:$A,FALSE),MATCH(All!Z$1,Spring!$1:$1,FALSE))),"")</f>
        <v/>
      </c>
      <c r="AA350" t="str">
        <f>IFERROR(IF(INDEX(Spring!$1:$1048576,MATCH(All!$A350,Spring!$A:$A,FALSE),MATCH(All!AA$1,Spring!$1:$1,FALSE))="","",INDEX(Spring!$1:$1048576,MATCH(All!$A350,Spring!$A:$A,FALSE),MATCH(All!AA$1,Spring!$1:$1,FALSE))),"")</f>
        <v/>
      </c>
      <c r="AB350" t="str">
        <f>IFERROR(IF(INDEX(Spring!$1:$1048576,MATCH(All!$A350,Spring!$A:$A,FALSE),MATCH(All!AB$1,Spring!$1:$1,FALSE))="","",INDEX(Spring!$1:$1048576,MATCH(All!$A350,Spring!$A:$A,FALSE),MATCH(All!AB$1,Spring!$1:$1,FALSE))),"")</f>
        <v>1A</v>
      </c>
      <c r="AC350" t="str">
        <f>IFERROR(IF(INDEX(Spring!$1:$1048576,MATCH(All!$A350,Spring!$A:$A,FALSE),MATCH(All!AC$1,Spring!$1:$1,FALSE))="","",INDEX(Spring!$1:$1048576,MATCH(All!$A350,Spring!$A:$A,FALSE),MATCH(All!AC$1,Spring!$1:$1,FALSE))),"")</f>
        <v>1A</v>
      </c>
      <c r="AD350" t="str">
        <f>IFERROR(VLOOKUP(A350,'Flag Football'!A:A,1,FALSE),"")</f>
        <v/>
      </c>
      <c r="AE350" t="str">
        <f t="shared" si="5"/>
        <v/>
      </c>
    </row>
    <row r="351" spans="1:31" ht="15.75" thickBot="1" x14ac:dyDescent="0.3">
      <c r="A351" s="20" t="s">
        <v>440</v>
      </c>
      <c r="B351" s="38">
        <f>IFERROR(VLOOKUP(A351,'Public v Private'!A:G,3,FALSE),"")</f>
        <v>0</v>
      </c>
      <c r="C351" s="38">
        <f>IFERROR(VLOOKUP(A351,'Public v Private'!A:G,4,FALSE),"")</f>
        <v>0</v>
      </c>
      <c r="D351" s="38">
        <f>IFERROR(VLOOKUP(A351,'Public v Private'!A:G,5,FALSE),"")</f>
        <v>0</v>
      </c>
      <c r="E351" s="38"/>
      <c r="F351" s="40">
        <f>IFERROR(INDEX(Fall!$1:$1048576,MATCH(All!$A351,Fall!$A:$A,FALSE),MATCH(All!F$1,Fall!$1:$1,FALSE)),"N/A")</f>
        <v>249</v>
      </c>
      <c r="G351" t="str">
        <f>IFERROR(IF(INDEX(Fall!$1:$1048576,MATCH(All!$A351,Fall!$A:$A,FALSE),MATCH(All!G$1,Fall!$1:$1,FALSE))="","",INDEX(Fall!$1:$1048576,MATCH(All!$A351,Fall!$A:$A,FALSE),MATCH(All!G$1,Fall!$1:$1,FALSE))),"")</f>
        <v>1A</v>
      </c>
      <c r="H351" t="str">
        <f>IFERROR(IF(INDEX(Fall!$1:$1048576,MATCH(All!$A351,Fall!$A:$A,FALSE),MATCH(All!H$1,Fall!$1:$1,FALSE))="","",INDEX(Fall!$1:$1048576,MATCH(All!$A351,Fall!$A:$A,FALSE),MATCH(All!H$1,Fall!$1:$1,FALSE))),"")</f>
        <v>1A</v>
      </c>
      <c r="I351" t="str">
        <f>IFERROR(IF(INDEX(Fall!$1:$1048576,MATCH(All!$A351,Fall!$A:$A,FALSE),MATCH(All!I$1,Fall!$1:$1,FALSE))="","",INDEX(Fall!$1:$1048576,MATCH(All!$A351,Fall!$A:$A,FALSE),MATCH(All!I$1,Fall!$1:$1,FALSE))),"")</f>
        <v>1A</v>
      </c>
      <c r="J351" t="str">
        <f>IFERROR(IF(INDEX(Fall!$1:$1048576,MATCH(All!$A351,Fall!$A:$A,FALSE),MATCH(All!J$1,Fall!$1:$1,FALSE))="","",INDEX(Fall!$1:$1048576,MATCH(All!$A351,Fall!$A:$A,FALSE),MATCH(All!J$1,Fall!$1:$1,FALSE))),"")</f>
        <v>1A</v>
      </c>
      <c r="K351" t="str">
        <f>IFERROR(IF(INDEX(Fall!$1:$1048576,MATCH(All!$A351,Fall!$A:$A,FALSE),MATCH(All!K$1,Fall!$1:$1,FALSE))="","",INDEX(Fall!$1:$1048576,MATCH(All!$A351,Fall!$A:$A,FALSE),MATCH(All!K$1,Fall!$1:$1,FALSE))),"")</f>
        <v>1A</v>
      </c>
      <c r="L351" t="str">
        <f>IFERROR(IF(INDEX(Fall!$1:$1048576,MATCH(All!$A351,Fall!$A:$A,FALSE),MATCH(All!L$1,Fall!$1:$1,FALSE))="","",INDEX(Fall!$1:$1048576,MATCH(All!$A351,Fall!$A:$A,FALSE),MATCH(All!L$1,Fall!$1:$1,FALSE))),"")</f>
        <v/>
      </c>
      <c r="M351" t="str">
        <f>IFERROR(IF(INDEX(Fall!$1:$1048576,MATCH(All!$A351,Fall!$A:$A,FALSE),MATCH(All!M$1,Fall!$1:$1,FALSE))="","",INDEX(Fall!$1:$1048576,MATCH(All!$A351,Fall!$A:$A,FALSE),MATCH(All!M$1,Fall!$1:$1,FALSE))),"")</f>
        <v>1A</v>
      </c>
      <c r="O351">
        <f>IFERROR(IF(INDEX(Winter!$1:$1048576,MATCH(All!$A351,Winter!$A:$A,FALSE),MATCH(All!O$1,Winter!$1:$1,FALSE))="","",INDEX(Winter!$1:$1048576,MATCH(All!$A351,Winter!$A:$A,FALSE),MATCH(All!O$1,Winter!$1:$1,FALSE))),"")</f>
        <v>249</v>
      </c>
      <c r="P351" t="str">
        <f>IFERROR(IF(INDEX(Winter!$1:$1048576,MATCH(All!$A351,Winter!$A:$A,FALSE),MATCH(All!P$1,Winter!$1:$1,FALSE))="","",INDEX(Winter!$1:$1048576,MATCH(All!$A351,Winter!$A:$A,FALSE),MATCH(All!P$1,Winter!$1:$1,FALSE))),"")</f>
        <v>1A</v>
      </c>
      <c r="Q351" t="str">
        <f>IFERROR(IF(INDEX(Winter!$1:$1048576,MATCH(All!$A351,Winter!$A:$A,FALSE),MATCH(All!Q$1,Winter!$1:$1,FALSE))="","",INDEX(Winter!$1:$1048576,MATCH(All!$A351,Winter!$A:$A,FALSE),MATCH(All!Q$1,Winter!$1:$1,FALSE))),"")</f>
        <v>1A</v>
      </c>
      <c r="R351" t="str">
        <f>IFERROR(IF(INDEX(Winter!$1:$1048576,MATCH(All!$A351,Winter!$A:$A,FALSE),MATCH(All!R$1,Winter!$1:$1,FALSE))="","",INDEX(Winter!$1:$1048576,MATCH(All!$A351,Winter!$A:$A,FALSE),MATCH(All!R$1,Winter!$1:$1,FALSE))),"")</f>
        <v>1A</v>
      </c>
      <c r="S351" t="str">
        <f>IFERROR(IF(INDEX(Winter!$1:$1048576,MATCH(All!$A351,Winter!$A:$A,FALSE),MATCH(All!S$1,Winter!$1:$1,FALSE))="","",INDEX(Winter!$1:$1048576,MATCH(All!$A351,Winter!$A:$A,FALSE),MATCH(All!S$1,Winter!$1:$1,FALSE))),"")</f>
        <v>1A</v>
      </c>
      <c r="T351" t="str">
        <f>IFERROR(IF(INDEX(Winter!$1:$1048576,MATCH(All!$A351,Winter!$A:$A,FALSE),MATCH(All!T$1,Winter!$1:$1,FALSE))="","",INDEX(Winter!$1:$1048576,MATCH(All!$A351,Winter!$A:$A,FALSE),MATCH(All!T$1,Winter!$1:$1,FALSE))),"")</f>
        <v>1A</v>
      </c>
      <c r="U351" t="str">
        <f>IFERROR(IF(INDEX(Winter!$1:$1048576,MATCH(All!$A351,Winter!$A:$A,FALSE),MATCH(All!U$1,Winter!$1:$1,FALSE))="","",INDEX(Winter!$1:$1048576,MATCH(All!$A351,Winter!$A:$A,FALSE),MATCH(All!U$1,Winter!$1:$1,FALSE))),"")</f>
        <v>1A</v>
      </c>
      <c r="W351">
        <f>IFERROR(IF(INDEX(Spring!$1:$1048576,MATCH(All!$A351,Spring!$A:$A,FALSE),MATCH(All!W$1,Spring!$1:$1,FALSE))="","",INDEX(Spring!$1:$1048576,MATCH(All!$A351,Spring!$A:$A,FALSE),MATCH(All!W$1,Spring!$1:$1,FALSE))),"")</f>
        <v>249</v>
      </c>
      <c r="X351" t="str">
        <f>IFERROR(IF(INDEX(Spring!$1:$1048576,MATCH(All!$A351,Spring!$A:$A,FALSE),MATCH(All!X$1,Spring!$1:$1,FALSE))="","",INDEX(Spring!$1:$1048576,MATCH(All!$A351,Spring!$A:$A,FALSE),MATCH(All!X$1,Spring!$1:$1,FALSE))),"")</f>
        <v>1A</v>
      </c>
      <c r="Y351" t="str">
        <f>IFERROR(IF(INDEX(Spring!$1:$1048576,MATCH(All!$A351,Spring!$A:$A,FALSE),MATCH(All!Y$1,Spring!$1:$1,FALSE))="","",INDEX(Spring!$1:$1048576,MATCH(All!$A351,Spring!$A:$A,FALSE),MATCH(All!Y$1,Spring!$1:$1,FALSE))),"")</f>
        <v>2A</v>
      </c>
      <c r="Z351" t="str">
        <f>IFERROR(IF(INDEX(Spring!$1:$1048576,MATCH(All!$A351,Spring!$A:$A,FALSE),MATCH(All!Z$1,Spring!$1:$1,FALSE))="","",INDEX(Spring!$1:$1048576,MATCH(All!$A351,Spring!$A:$A,FALSE),MATCH(All!Z$1,Spring!$1:$1,FALSE))),"")</f>
        <v/>
      </c>
      <c r="AA351" t="str">
        <f>IFERROR(IF(INDEX(Spring!$1:$1048576,MATCH(All!$A351,Spring!$A:$A,FALSE),MATCH(All!AA$1,Spring!$1:$1,FALSE))="","",INDEX(Spring!$1:$1048576,MATCH(All!$A351,Spring!$A:$A,FALSE),MATCH(All!AA$1,Spring!$1:$1,FALSE))),"")</f>
        <v/>
      </c>
      <c r="AB351" t="str">
        <f>IFERROR(IF(INDEX(Spring!$1:$1048576,MATCH(All!$A351,Spring!$A:$A,FALSE),MATCH(All!AB$1,Spring!$1:$1,FALSE))="","",INDEX(Spring!$1:$1048576,MATCH(All!$A351,Spring!$A:$A,FALSE),MATCH(All!AB$1,Spring!$1:$1,FALSE))),"")</f>
        <v>1A</v>
      </c>
      <c r="AC351" t="str">
        <f>IFERROR(IF(INDEX(Spring!$1:$1048576,MATCH(All!$A351,Spring!$A:$A,FALSE),MATCH(All!AC$1,Spring!$1:$1,FALSE))="","",INDEX(Spring!$1:$1048576,MATCH(All!$A351,Spring!$A:$A,FALSE),MATCH(All!AC$1,Spring!$1:$1,FALSE))),"")</f>
        <v>1A</v>
      </c>
      <c r="AD351" t="str">
        <f>IFERROR(VLOOKUP(A351,'Flag Football'!A:A,1,FALSE),"")</f>
        <v/>
      </c>
      <c r="AE351" t="str">
        <f t="shared" si="5"/>
        <v/>
      </c>
    </row>
    <row r="352" spans="1:31" ht="15.75" thickBot="1" x14ac:dyDescent="0.3">
      <c r="A352" s="18" t="s">
        <v>441</v>
      </c>
      <c r="B352" s="38">
        <f>IFERROR(VLOOKUP(A352,'Public v Private'!A:G,3,FALSE),"")</f>
        <v>0</v>
      </c>
      <c r="C352" s="38">
        <f>IFERROR(VLOOKUP(A352,'Public v Private'!A:G,4,FALSE),"")</f>
        <v>0</v>
      </c>
      <c r="D352" s="38">
        <f>IFERROR(VLOOKUP(A352,'Public v Private'!A:G,5,FALSE),"")</f>
        <v>0</v>
      </c>
      <c r="E352" s="38"/>
      <c r="F352" s="40">
        <f>IFERROR(INDEX(Fall!$1:$1048576,MATCH(All!$A352,Fall!$A:$A,FALSE),MATCH(All!F$1,Fall!$1:$1,FALSE)),"N/A")</f>
        <v>104</v>
      </c>
      <c r="G352" t="str">
        <f>IFERROR(IF(INDEX(Fall!$1:$1048576,MATCH(All!$A352,Fall!$A:$A,FALSE),MATCH(All!G$1,Fall!$1:$1,FALSE))="","",INDEX(Fall!$1:$1048576,MATCH(All!$A352,Fall!$A:$A,FALSE),MATCH(All!G$1,Fall!$1:$1,FALSE))),"")</f>
        <v/>
      </c>
      <c r="H352" t="str">
        <f>IFERROR(IF(INDEX(Fall!$1:$1048576,MATCH(All!$A352,Fall!$A:$A,FALSE),MATCH(All!H$1,Fall!$1:$1,FALSE))="","",INDEX(Fall!$1:$1048576,MATCH(All!$A352,Fall!$A:$A,FALSE),MATCH(All!H$1,Fall!$1:$1,FALSE))),"")</f>
        <v/>
      </c>
      <c r="I352" t="str">
        <f>IFERROR(IF(INDEX(Fall!$1:$1048576,MATCH(All!$A352,Fall!$A:$A,FALSE),MATCH(All!I$1,Fall!$1:$1,FALSE))="","",INDEX(Fall!$1:$1048576,MATCH(All!$A352,Fall!$A:$A,FALSE),MATCH(All!I$1,Fall!$1:$1,FALSE))),"")</f>
        <v>1A</v>
      </c>
      <c r="J352" t="str">
        <f>IFERROR(IF(INDEX(Fall!$1:$1048576,MATCH(All!$A352,Fall!$A:$A,FALSE),MATCH(All!J$1,Fall!$1:$1,FALSE))="","",INDEX(Fall!$1:$1048576,MATCH(All!$A352,Fall!$A:$A,FALSE),MATCH(All!J$1,Fall!$1:$1,FALSE))),"")</f>
        <v/>
      </c>
      <c r="K352" t="str">
        <f>IFERROR(IF(INDEX(Fall!$1:$1048576,MATCH(All!$A352,Fall!$A:$A,FALSE),MATCH(All!K$1,Fall!$1:$1,FALSE))="","",INDEX(Fall!$1:$1048576,MATCH(All!$A352,Fall!$A:$A,FALSE),MATCH(All!K$1,Fall!$1:$1,FALSE))),"")</f>
        <v/>
      </c>
      <c r="L352" t="str">
        <f>IFERROR(IF(INDEX(Fall!$1:$1048576,MATCH(All!$A352,Fall!$A:$A,FALSE),MATCH(All!L$1,Fall!$1:$1,FALSE))="","",INDEX(Fall!$1:$1048576,MATCH(All!$A352,Fall!$A:$A,FALSE),MATCH(All!L$1,Fall!$1:$1,FALSE))),"")</f>
        <v/>
      </c>
      <c r="M352" t="str">
        <f>IFERROR(IF(INDEX(Fall!$1:$1048576,MATCH(All!$A352,Fall!$A:$A,FALSE),MATCH(All!M$1,Fall!$1:$1,FALSE))="","",INDEX(Fall!$1:$1048576,MATCH(All!$A352,Fall!$A:$A,FALSE),MATCH(All!M$1,Fall!$1:$1,FALSE))),"")</f>
        <v>1A</v>
      </c>
      <c r="O352">
        <f>IFERROR(IF(INDEX(Winter!$1:$1048576,MATCH(All!$A352,Winter!$A:$A,FALSE),MATCH(All!O$1,Winter!$1:$1,FALSE))="","",INDEX(Winter!$1:$1048576,MATCH(All!$A352,Winter!$A:$A,FALSE),MATCH(All!O$1,Winter!$1:$1,FALSE))),"")</f>
        <v>104</v>
      </c>
      <c r="P352" t="str">
        <f>IFERROR(IF(INDEX(Winter!$1:$1048576,MATCH(All!$A352,Winter!$A:$A,FALSE),MATCH(All!P$1,Winter!$1:$1,FALSE))="","",INDEX(Winter!$1:$1048576,MATCH(All!$A352,Winter!$A:$A,FALSE),MATCH(All!P$1,Winter!$1:$1,FALSE))),"")</f>
        <v>1A</v>
      </c>
      <c r="Q352" t="str">
        <f>IFERROR(IF(INDEX(Winter!$1:$1048576,MATCH(All!$A352,Winter!$A:$A,FALSE),MATCH(All!Q$1,Winter!$1:$1,FALSE))="","",INDEX(Winter!$1:$1048576,MATCH(All!$A352,Winter!$A:$A,FALSE),MATCH(All!Q$1,Winter!$1:$1,FALSE))),"")</f>
        <v>1A</v>
      </c>
      <c r="R352" t="str">
        <f>IFERROR(IF(INDEX(Winter!$1:$1048576,MATCH(All!$A352,Winter!$A:$A,FALSE),MATCH(All!R$1,Winter!$1:$1,FALSE))="","",INDEX(Winter!$1:$1048576,MATCH(All!$A352,Winter!$A:$A,FALSE),MATCH(All!R$1,Winter!$1:$1,FALSE))),"")</f>
        <v/>
      </c>
      <c r="S352" t="str">
        <f>IFERROR(IF(INDEX(Winter!$1:$1048576,MATCH(All!$A352,Winter!$A:$A,FALSE),MATCH(All!S$1,Winter!$1:$1,FALSE))="","",INDEX(Winter!$1:$1048576,MATCH(All!$A352,Winter!$A:$A,FALSE),MATCH(All!S$1,Winter!$1:$1,FALSE))),"")</f>
        <v/>
      </c>
      <c r="T352" t="str">
        <f>IFERROR(IF(INDEX(Winter!$1:$1048576,MATCH(All!$A352,Winter!$A:$A,FALSE),MATCH(All!T$1,Winter!$1:$1,FALSE))="","",INDEX(Winter!$1:$1048576,MATCH(All!$A352,Winter!$A:$A,FALSE),MATCH(All!T$1,Winter!$1:$1,FALSE))),"")</f>
        <v>1A</v>
      </c>
      <c r="U352" t="str">
        <f>IFERROR(IF(INDEX(Winter!$1:$1048576,MATCH(All!$A352,Winter!$A:$A,FALSE),MATCH(All!U$1,Winter!$1:$1,FALSE))="","",INDEX(Winter!$1:$1048576,MATCH(All!$A352,Winter!$A:$A,FALSE),MATCH(All!U$1,Winter!$1:$1,FALSE))),"")</f>
        <v/>
      </c>
      <c r="W352">
        <f>IFERROR(IF(INDEX(Spring!$1:$1048576,MATCH(All!$A352,Spring!$A:$A,FALSE),MATCH(All!W$1,Spring!$1:$1,FALSE))="","",INDEX(Spring!$1:$1048576,MATCH(All!$A352,Spring!$A:$A,FALSE),MATCH(All!W$1,Spring!$1:$1,FALSE))),"")</f>
        <v>104</v>
      </c>
      <c r="X352" t="str">
        <f>IFERROR(IF(INDEX(Spring!$1:$1048576,MATCH(All!$A352,Spring!$A:$A,FALSE),MATCH(All!X$1,Spring!$1:$1,FALSE))="","",INDEX(Spring!$1:$1048576,MATCH(All!$A352,Spring!$A:$A,FALSE),MATCH(All!X$1,Spring!$1:$1,FALSE))),"")</f>
        <v/>
      </c>
      <c r="Y352" t="str">
        <f>IFERROR(IF(INDEX(Spring!$1:$1048576,MATCH(All!$A352,Spring!$A:$A,FALSE),MATCH(All!Y$1,Spring!$1:$1,FALSE))="","",INDEX(Spring!$1:$1048576,MATCH(All!$A352,Spring!$A:$A,FALSE),MATCH(All!Y$1,Spring!$1:$1,FALSE))),"")</f>
        <v/>
      </c>
      <c r="Z352" t="str">
        <f>IFERROR(IF(INDEX(Spring!$1:$1048576,MATCH(All!$A352,Spring!$A:$A,FALSE),MATCH(All!Z$1,Spring!$1:$1,FALSE))="","",INDEX(Spring!$1:$1048576,MATCH(All!$A352,Spring!$A:$A,FALSE),MATCH(All!Z$1,Spring!$1:$1,FALSE))),"")</f>
        <v/>
      </c>
      <c r="AA352" t="str">
        <f>IFERROR(IF(INDEX(Spring!$1:$1048576,MATCH(All!$A352,Spring!$A:$A,FALSE),MATCH(All!AA$1,Spring!$1:$1,FALSE))="","",INDEX(Spring!$1:$1048576,MATCH(All!$A352,Spring!$A:$A,FALSE),MATCH(All!AA$1,Spring!$1:$1,FALSE))),"")</f>
        <v/>
      </c>
      <c r="AB352" t="str">
        <f>IFERROR(IF(INDEX(Spring!$1:$1048576,MATCH(All!$A352,Spring!$A:$A,FALSE),MATCH(All!AB$1,Spring!$1:$1,FALSE))="","",INDEX(Spring!$1:$1048576,MATCH(All!$A352,Spring!$A:$A,FALSE),MATCH(All!AB$1,Spring!$1:$1,FALSE))),"")</f>
        <v>1A</v>
      </c>
      <c r="AC352" t="str">
        <f>IFERROR(IF(INDEX(Spring!$1:$1048576,MATCH(All!$A352,Spring!$A:$A,FALSE),MATCH(All!AC$1,Spring!$1:$1,FALSE))="","",INDEX(Spring!$1:$1048576,MATCH(All!$A352,Spring!$A:$A,FALSE),MATCH(All!AC$1,Spring!$1:$1,FALSE))),"")</f>
        <v>1A</v>
      </c>
      <c r="AD352" t="str">
        <f>IFERROR(VLOOKUP(A352,'Flag Football'!A:A,1,FALSE),"")</f>
        <v/>
      </c>
      <c r="AE352" t="str">
        <f t="shared" si="5"/>
        <v/>
      </c>
    </row>
    <row r="353" spans="1:31" ht="15.75" thickBot="1" x14ac:dyDescent="0.3">
      <c r="A353" s="20" t="s">
        <v>442</v>
      </c>
      <c r="B353" s="38">
        <f>IFERROR(VLOOKUP(A353,'Public v Private'!A:G,3,FALSE),"")</f>
        <v>0</v>
      </c>
      <c r="C353" s="38">
        <f>IFERROR(VLOOKUP(A353,'Public v Private'!A:G,4,FALSE),"")</f>
        <v>0</v>
      </c>
      <c r="D353" s="38">
        <f>IFERROR(VLOOKUP(A353,'Public v Private'!A:G,5,FALSE),"")</f>
        <v>0</v>
      </c>
      <c r="E353" s="38"/>
      <c r="F353" s="40">
        <f>IFERROR(INDEX(Fall!$1:$1048576,MATCH(All!$A353,Fall!$A:$A,FALSE),MATCH(All!F$1,Fall!$1:$1,FALSE)),"N/A")</f>
        <v>350</v>
      </c>
      <c r="G353" t="str">
        <f>IFERROR(IF(INDEX(Fall!$1:$1048576,MATCH(All!$A353,Fall!$A:$A,FALSE),MATCH(All!G$1,Fall!$1:$1,FALSE))="","",INDEX(Fall!$1:$1048576,MATCH(All!$A353,Fall!$A:$A,FALSE),MATCH(All!G$1,Fall!$1:$1,FALSE))),"")</f>
        <v/>
      </c>
      <c r="H353" t="str">
        <f>IFERROR(IF(INDEX(Fall!$1:$1048576,MATCH(All!$A353,Fall!$A:$A,FALSE),MATCH(All!H$1,Fall!$1:$1,FALSE))="","",INDEX(Fall!$1:$1048576,MATCH(All!$A353,Fall!$A:$A,FALSE),MATCH(All!H$1,Fall!$1:$1,FALSE))),"")</f>
        <v/>
      </c>
      <c r="I353" t="str">
        <f>IFERROR(IF(INDEX(Fall!$1:$1048576,MATCH(All!$A353,Fall!$A:$A,FALSE),MATCH(All!I$1,Fall!$1:$1,FALSE))="","",INDEX(Fall!$1:$1048576,MATCH(All!$A353,Fall!$A:$A,FALSE),MATCH(All!I$1,Fall!$1:$1,FALSE))),"")</f>
        <v>1A</v>
      </c>
      <c r="J353" t="str">
        <f>IFERROR(IF(INDEX(Fall!$1:$1048576,MATCH(All!$A353,Fall!$A:$A,FALSE),MATCH(All!J$1,Fall!$1:$1,FALSE))="","",INDEX(Fall!$1:$1048576,MATCH(All!$A353,Fall!$A:$A,FALSE),MATCH(All!J$1,Fall!$1:$1,FALSE))),"")</f>
        <v>1A</v>
      </c>
      <c r="K353" t="str">
        <f>IFERROR(IF(INDEX(Fall!$1:$1048576,MATCH(All!$A353,Fall!$A:$A,FALSE),MATCH(All!K$1,Fall!$1:$1,FALSE))="","",INDEX(Fall!$1:$1048576,MATCH(All!$A353,Fall!$A:$A,FALSE),MATCH(All!K$1,Fall!$1:$1,FALSE))),"")</f>
        <v/>
      </c>
      <c r="L353" t="str">
        <f>IFERROR(IF(INDEX(Fall!$1:$1048576,MATCH(All!$A353,Fall!$A:$A,FALSE),MATCH(All!L$1,Fall!$1:$1,FALSE))="","",INDEX(Fall!$1:$1048576,MATCH(All!$A353,Fall!$A:$A,FALSE),MATCH(All!L$1,Fall!$1:$1,FALSE))),"")</f>
        <v>1A</v>
      </c>
      <c r="M353" t="str">
        <f>IFERROR(IF(INDEX(Fall!$1:$1048576,MATCH(All!$A353,Fall!$A:$A,FALSE),MATCH(All!M$1,Fall!$1:$1,FALSE))="","",INDEX(Fall!$1:$1048576,MATCH(All!$A353,Fall!$A:$A,FALSE),MATCH(All!M$1,Fall!$1:$1,FALSE))),"")</f>
        <v>2A</v>
      </c>
      <c r="O353">
        <f>IFERROR(IF(INDEX(Winter!$1:$1048576,MATCH(All!$A353,Winter!$A:$A,FALSE),MATCH(All!O$1,Winter!$1:$1,FALSE))="","",INDEX(Winter!$1:$1048576,MATCH(All!$A353,Winter!$A:$A,FALSE),MATCH(All!O$1,Winter!$1:$1,FALSE))),"")</f>
        <v>350</v>
      </c>
      <c r="P353" t="str">
        <f>IFERROR(IF(INDEX(Winter!$1:$1048576,MATCH(All!$A353,Winter!$A:$A,FALSE),MATCH(All!P$1,Winter!$1:$1,FALSE))="","",INDEX(Winter!$1:$1048576,MATCH(All!$A353,Winter!$A:$A,FALSE),MATCH(All!P$1,Winter!$1:$1,FALSE))),"")</f>
        <v>2A</v>
      </c>
      <c r="Q353" t="str">
        <f>IFERROR(IF(INDEX(Winter!$1:$1048576,MATCH(All!$A353,Winter!$A:$A,FALSE),MATCH(All!Q$1,Winter!$1:$1,FALSE))="","",INDEX(Winter!$1:$1048576,MATCH(All!$A353,Winter!$A:$A,FALSE),MATCH(All!Q$1,Winter!$1:$1,FALSE))),"")</f>
        <v>2A</v>
      </c>
      <c r="R353" t="str">
        <f>IFERROR(IF(INDEX(Winter!$1:$1048576,MATCH(All!$A353,Winter!$A:$A,FALSE),MATCH(All!R$1,Winter!$1:$1,FALSE))="","",INDEX(Winter!$1:$1048576,MATCH(All!$A353,Winter!$A:$A,FALSE),MATCH(All!R$1,Winter!$1:$1,FALSE))),"")</f>
        <v>1A</v>
      </c>
      <c r="S353" t="str">
        <f>IFERROR(IF(INDEX(Winter!$1:$1048576,MATCH(All!$A353,Winter!$A:$A,FALSE),MATCH(All!S$1,Winter!$1:$1,FALSE))="","",INDEX(Winter!$1:$1048576,MATCH(All!$A353,Winter!$A:$A,FALSE),MATCH(All!S$1,Winter!$1:$1,FALSE))),"")</f>
        <v/>
      </c>
      <c r="T353" t="str">
        <f>IFERROR(IF(INDEX(Winter!$1:$1048576,MATCH(All!$A353,Winter!$A:$A,FALSE),MATCH(All!T$1,Winter!$1:$1,FALSE))="","",INDEX(Winter!$1:$1048576,MATCH(All!$A353,Winter!$A:$A,FALSE),MATCH(All!T$1,Winter!$1:$1,FALSE))),"")</f>
        <v>1A</v>
      </c>
      <c r="U353" t="str">
        <f>IFERROR(IF(INDEX(Winter!$1:$1048576,MATCH(All!$A353,Winter!$A:$A,FALSE),MATCH(All!U$1,Winter!$1:$1,FALSE))="","",INDEX(Winter!$1:$1048576,MATCH(All!$A353,Winter!$A:$A,FALSE),MATCH(All!U$1,Winter!$1:$1,FALSE))),"")</f>
        <v/>
      </c>
      <c r="W353">
        <f>IFERROR(IF(INDEX(Spring!$1:$1048576,MATCH(All!$A353,Spring!$A:$A,FALSE),MATCH(All!W$1,Spring!$1:$1,FALSE))="","",INDEX(Spring!$1:$1048576,MATCH(All!$A353,Spring!$A:$A,FALSE),MATCH(All!W$1,Spring!$1:$1,FALSE))),"")</f>
        <v>350</v>
      </c>
      <c r="X353" t="str">
        <f>IFERROR(IF(INDEX(Spring!$1:$1048576,MATCH(All!$A353,Spring!$A:$A,FALSE),MATCH(All!X$1,Spring!$1:$1,FALSE))="","",INDEX(Spring!$1:$1048576,MATCH(All!$A353,Spring!$A:$A,FALSE),MATCH(All!X$1,Spring!$1:$1,FALSE))),"")</f>
        <v>2A</v>
      </c>
      <c r="Y353" t="str">
        <f>IFERROR(IF(INDEX(Spring!$1:$1048576,MATCH(All!$A353,Spring!$A:$A,FALSE),MATCH(All!Y$1,Spring!$1:$1,FALSE))="","",INDEX(Spring!$1:$1048576,MATCH(All!$A353,Spring!$A:$A,FALSE),MATCH(All!Y$1,Spring!$1:$1,FALSE))),"")</f>
        <v>2A</v>
      </c>
      <c r="Z353" t="str">
        <f>IFERROR(IF(INDEX(Spring!$1:$1048576,MATCH(All!$A353,Spring!$A:$A,FALSE),MATCH(All!Z$1,Spring!$1:$1,FALSE))="","",INDEX(Spring!$1:$1048576,MATCH(All!$A353,Spring!$A:$A,FALSE),MATCH(All!Z$1,Spring!$1:$1,FALSE))),"")</f>
        <v/>
      </c>
      <c r="AA353" t="str">
        <f>IFERROR(IF(INDEX(Spring!$1:$1048576,MATCH(All!$A353,Spring!$A:$A,FALSE),MATCH(All!AA$1,Spring!$1:$1,FALSE))="","",INDEX(Spring!$1:$1048576,MATCH(All!$A353,Spring!$A:$A,FALSE),MATCH(All!AA$1,Spring!$1:$1,FALSE))),"")</f>
        <v>1A</v>
      </c>
      <c r="AB353" t="str">
        <f>IFERROR(IF(INDEX(Spring!$1:$1048576,MATCH(All!$A353,Spring!$A:$A,FALSE),MATCH(All!AB$1,Spring!$1:$1,FALSE))="","",INDEX(Spring!$1:$1048576,MATCH(All!$A353,Spring!$A:$A,FALSE),MATCH(All!AB$1,Spring!$1:$1,FALSE))),"")</f>
        <v>1A</v>
      </c>
      <c r="AC353" t="str">
        <f>IFERROR(IF(INDEX(Spring!$1:$1048576,MATCH(All!$A353,Spring!$A:$A,FALSE),MATCH(All!AC$1,Spring!$1:$1,FALSE))="","",INDEX(Spring!$1:$1048576,MATCH(All!$A353,Spring!$A:$A,FALSE),MATCH(All!AC$1,Spring!$1:$1,FALSE))),"")</f>
        <v>1A</v>
      </c>
      <c r="AD353" t="str">
        <f>IFERROR(VLOOKUP(A353,'Flag Football'!A:A,1,FALSE),"")</f>
        <v/>
      </c>
      <c r="AE353" t="str">
        <f t="shared" si="5"/>
        <v/>
      </c>
    </row>
    <row r="354" spans="1:31" ht="15.75" thickBot="1" x14ac:dyDescent="0.3">
      <c r="A354" s="18" t="s">
        <v>443</v>
      </c>
      <c r="B354" s="38">
        <f>IFERROR(VLOOKUP(A354,'Public v Private'!A:G,3,FALSE),"")</f>
        <v>0</v>
      </c>
      <c r="C354" s="38">
        <f>IFERROR(VLOOKUP(A354,'Public v Private'!A:G,4,FALSE),"")</f>
        <v>0</v>
      </c>
      <c r="D354" s="38">
        <f>IFERROR(VLOOKUP(A354,'Public v Private'!A:G,5,FALSE),"")</f>
        <v>0</v>
      </c>
      <c r="E354" s="38"/>
      <c r="F354" s="40">
        <f>IFERROR(INDEX(Fall!$1:$1048576,MATCH(All!$A354,Fall!$A:$A,FALSE),MATCH(All!F$1,Fall!$1:$1,FALSE)),"N/A")</f>
        <v>2657</v>
      </c>
      <c r="G354" t="str">
        <f>IFERROR(IF(INDEX(Fall!$1:$1048576,MATCH(All!$A354,Fall!$A:$A,FALSE),MATCH(All!G$1,Fall!$1:$1,FALSE))="","",INDEX(Fall!$1:$1048576,MATCH(All!$A354,Fall!$A:$A,FALSE),MATCH(All!G$1,Fall!$1:$1,FALSE))),"")</f>
        <v>3A</v>
      </c>
      <c r="H354" t="str">
        <f>IFERROR(IF(INDEX(Fall!$1:$1048576,MATCH(All!$A354,Fall!$A:$A,FALSE),MATCH(All!H$1,Fall!$1:$1,FALSE))="","",INDEX(Fall!$1:$1048576,MATCH(All!$A354,Fall!$A:$A,FALSE),MATCH(All!H$1,Fall!$1:$1,FALSE))),"")</f>
        <v>3A</v>
      </c>
      <c r="I354" t="str">
        <f>IFERROR(IF(INDEX(Fall!$1:$1048576,MATCH(All!$A354,Fall!$A:$A,FALSE),MATCH(All!I$1,Fall!$1:$1,FALSE))="","",INDEX(Fall!$1:$1048576,MATCH(All!$A354,Fall!$A:$A,FALSE),MATCH(All!I$1,Fall!$1:$1,FALSE))),"")</f>
        <v>3A</v>
      </c>
      <c r="J354" t="str">
        <f>IFERROR(IF(INDEX(Fall!$1:$1048576,MATCH(All!$A354,Fall!$A:$A,FALSE),MATCH(All!J$1,Fall!$1:$1,FALSE))="","",INDEX(Fall!$1:$1048576,MATCH(All!$A354,Fall!$A:$A,FALSE),MATCH(All!J$1,Fall!$1:$1,FALSE))),"")</f>
        <v>2A</v>
      </c>
      <c r="K354" t="str">
        <f>IFERROR(IF(INDEX(Fall!$1:$1048576,MATCH(All!$A354,Fall!$A:$A,FALSE),MATCH(All!K$1,Fall!$1:$1,FALSE))="","",INDEX(Fall!$1:$1048576,MATCH(All!$A354,Fall!$A:$A,FALSE),MATCH(All!K$1,Fall!$1:$1,FALSE))),"")</f>
        <v>3A</v>
      </c>
      <c r="L354" t="str">
        <f>IFERROR(IF(INDEX(Fall!$1:$1048576,MATCH(All!$A354,Fall!$A:$A,FALSE),MATCH(All!L$1,Fall!$1:$1,FALSE))="","",INDEX(Fall!$1:$1048576,MATCH(All!$A354,Fall!$A:$A,FALSE),MATCH(All!L$1,Fall!$1:$1,FALSE))),"")</f>
        <v>2A</v>
      </c>
      <c r="M354" t="str">
        <f>IFERROR(IF(INDEX(Fall!$1:$1048576,MATCH(All!$A354,Fall!$A:$A,FALSE),MATCH(All!M$1,Fall!$1:$1,FALSE))="","",INDEX(Fall!$1:$1048576,MATCH(All!$A354,Fall!$A:$A,FALSE),MATCH(All!M$1,Fall!$1:$1,FALSE))),"")</f>
        <v>4A</v>
      </c>
      <c r="O354">
        <f>IFERROR(IF(INDEX(Winter!$1:$1048576,MATCH(All!$A354,Winter!$A:$A,FALSE),MATCH(All!O$1,Winter!$1:$1,FALSE))="","",INDEX(Winter!$1:$1048576,MATCH(All!$A354,Winter!$A:$A,FALSE),MATCH(All!O$1,Winter!$1:$1,FALSE))),"")</f>
        <v>2657</v>
      </c>
      <c r="P354" t="str">
        <f>IFERROR(IF(INDEX(Winter!$1:$1048576,MATCH(All!$A354,Winter!$A:$A,FALSE),MATCH(All!P$1,Winter!$1:$1,FALSE))="","",INDEX(Winter!$1:$1048576,MATCH(All!$A354,Winter!$A:$A,FALSE),MATCH(All!P$1,Winter!$1:$1,FALSE))),"")</f>
        <v>4A</v>
      </c>
      <c r="Q354" t="str">
        <f>IFERROR(IF(INDEX(Winter!$1:$1048576,MATCH(All!$A354,Winter!$A:$A,FALSE),MATCH(All!Q$1,Winter!$1:$1,FALSE))="","",INDEX(Winter!$1:$1048576,MATCH(All!$A354,Winter!$A:$A,FALSE),MATCH(All!Q$1,Winter!$1:$1,FALSE))),"")</f>
        <v>4A</v>
      </c>
      <c r="R354" t="str">
        <f>IFERROR(IF(INDEX(Winter!$1:$1048576,MATCH(All!$A354,Winter!$A:$A,FALSE),MATCH(All!R$1,Winter!$1:$1,FALSE))="","",INDEX(Winter!$1:$1048576,MATCH(All!$A354,Winter!$A:$A,FALSE),MATCH(All!R$1,Winter!$1:$1,FALSE))),"")</f>
        <v>C</v>
      </c>
      <c r="S354" t="str">
        <f>IFERROR(IF(INDEX(Winter!$1:$1048576,MATCH(All!$A354,Winter!$A:$A,FALSE),MATCH(All!S$1,Winter!$1:$1,FALSE))="","",INDEX(Winter!$1:$1048576,MATCH(All!$A354,Winter!$A:$A,FALSE),MATCH(All!S$1,Winter!$1:$1,FALSE))),"")</f>
        <v>3A</v>
      </c>
      <c r="T354" t="str">
        <f>IFERROR(IF(INDEX(Winter!$1:$1048576,MATCH(All!$A354,Winter!$A:$A,FALSE),MATCH(All!T$1,Winter!$1:$1,FALSE))="","",INDEX(Winter!$1:$1048576,MATCH(All!$A354,Winter!$A:$A,FALSE),MATCH(All!T$1,Winter!$1:$1,FALSE))),"")</f>
        <v>2A</v>
      </c>
      <c r="U354" t="str">
        <f>IFERROR(IF(INDEX(Winter!$1:$1048576,MATCH(All!$A354,Winter!$A:$A,FALSE),MATCH(All!U$1,Winter!$1:$1,FALSE))="","",INDEX(Winter!$1:$1048576,MATCH(All!$A354,Winter!$A:$A,FALSE),MATCH(All!U$1,Winter!$1:$1,FALSE))),"")</f>
        <v>3A</v>
      </c>
      <c r="W354">
        <f>IFERROR(IF(INDEX(Spring!$1:$1048576,MATCH(All!$A354,Spring!$A:$A,FALSE),MATCH(All!W$1,Spring!$1:$1,FALSE))="","",INDEX(Spring!$1:$1048576,MATCH(All!$A354,Spring!$A:$A,FALSE),MATCH(All!W$1,Spring!$1:$1,FALSE))),"")</f>
        <v>2657</v>
      </c>
      <c r="X354" t="str">
        <f>IFERROR(IF(INDEX(Spring!$1:$1048576,MATCH(All!$A354,Spring!$A:$A,FALSE),MATCH(All!X$1,Spring!$1:$1,FALSE))="","",INDEX(Spring!$1:$1048576,MATCH(All!$A354,Spring!$A:$A,FALSE),MATCH(All!X$1,Spring!$1:$1,FALSE))),"")</f>
        <v>4A</v>
      </c>
      <c r="Y354" t="str">
        <f>IFERROR(IF(INDEX(Spring!$1:$1048576,MATCH(All!$A354,Spring!$A:$A,FALSE),MATCH(All!Y$1,Spring!$1:$1,FALSE))="","",INDEX(Spring!$1:$1048576,MATCH(All!$A354,Spring!$A:$A,FALSE),MATCH(All!Y$1,Spring!$1:$1,FALSE))),"")</f>
        <v>4A</v>
      </c>
      <c r="Z354" t="str">
        <f>IFERROR(IF(INDEX(Spring!$1:$1048576,MATCH(All!$A354,Spring!$A:$A,FALSE),MATCH(All!Z$1,Spring!$1:$1,FALSE))="","",INDEX(Spring!$1:$1048576,MATCH(All!$A354,Spring!$A:$A,FALSE),MATCH(All!Z$1,Spring!$1:$1,FALSE))),"")</f>
        <v>3A</v>
      </c>
      <c r="AA354" t="str">
        <f>IFERROR(IF(INDEX(Spring!$1:$1048576,MATCH(All!$A354,Spring!$A:$A,FALSE),MATCH(All!AA$1,Spring!$1:$1,FALSE))="","",INDEX(Spring!$1:$1048576,MATCH(All!$A354,Spring!$A:$A,FALSE),MATCH(All!AA$1,Spring!$1:$1,FALSE))),"")</f>
        <v>2A</v>
      </c>
      <c r="AB354" t="str">
        <f>IFERROR(IF(INDEX(Spring!$1:$1048576,MATCH(All!$A354,Spring!$A:$A,FALSE),MATCH(All!AB$1,Spring!$1:$1,FALSE))="","",INDEX(Spring!$1:$1048576,MATCH(All!$A354,Spring!$A:$A,FALSE),MATCH(All!AB$1,Spring!$1:$1,FALSE))),"")</f>
        <v>3A</v>
      </c>
      <c r="AC354" t="str">
        <f>IFERROR(IF(INDEX(Spring!$1:$1048576,MATCH(All!$A354,Spring!$A:$A,FALSE),MATCH(All!AC$1,Spring!$1:$1,FALSE))="","",INDEX(Spring!$1:$1048576,MATCH(All!$A354,Spring!$A:$A,FALSE),MATCH(All!AC$1,Spring!$1:$1,FALSE))),"")</f>
        <v>3A</v>
      </c>
      <c r="AD354" t="str">
        <f>IFERROR(VLOOKUP(A354,'Flag Football'!A:A,1,FALSE),"")</f>
        <v>Flossmoor (Homewood-F.)</v>
      </c>
      <c r="AE354" t="str">
        <f t="shared" si="5"/>
        <v>1A</v>
      </c>
    </row>
    <row r="355" spans="1:31" ht="15.75" thickBot="1" x14ac:dyDescent="0.3">
      <c r="A355" s="20" t="s">
        <v>444</v>
      </c>
      <c r="B355" s="38">
        <f>IFERROR(VLOOKUP(A355,'Public v Private'!A:G,3,FALSE),"")</f>
        <v>0</v>
      </c>
      <c r="C355" s="38">
        <f>IFERROR(VLOOKUP(A355,'Public v Private'!A:G,4,FALSE),"")</f>
        <v>0</v>
      </c>
      <c r="D355" s="38">
        <f>IFERROR(VLOOKUP(A355,'Public v Private'!A:G,5,FALSE),"")</f>
        <v>0</v>
      </c>
      <c r="E355" s="38"/>
      <c r="F355" s="40">
        <f>IFERROR(INDEX(Fall!$1:$1048576,MATCH(All!$A355,Fall!$A:$A,FALSE),MATCH(All!F$1,Fall!$1:$1,FALSE)),"N/A")</f>
        <v>234</v>
      </c>
      <c r="G355" t="str">
        <f>IFERROR(IF(INDEX(Fall!$1:$1048576,MATCH(All!$A355,Fall!$A:$A,FALSE),MATCH(All!G$1,Fall!$1:$1,FALSE))="","",INDEX(Fall!$1:$1048576,MATCH(All!$A355,Fall!$A:$A,FALSE),MATCH(All!G$1,Fall!$1:$1,FALSE))),"")</f>
        <v>1A</v>
      </c>
      <c r="H355" t="str">
        <f>IFERROR(IF(INDEX(Fall!$1:$1048576,MATCH(All!$A355,Fall!$A:$A,FALSE),MATCH(All!H$1,Fall!$1:$1,FALSE))="","",INDEX(Fall!$1:$1048576,MATCH(All!$A355,Fall!$A:$A,FALSE),MATCH(All!H$1,Fall!$1:$1,FALSE))),"")</f>
        <v>1A</v>
      </c>
      <c r="I355" t="str">
        <f>IFERROR(IF(INDEX(Fall!$1:$1048576,MATCH(All!$A355,Fall!$A:$A,FALSE),MATCH(All!I$1,Fall!$1:$1,FALSE))="","",INDEX(Fall!$1:$1048576,MATCH(All!$A355,Fall!$A:$A,FALSE),MATCH(All!I$1,Fall!$1:$1,FALSE))),"")</f>
        <v>1A</v>
      </c>
      <c r="J355" t="str">
        <f>IFERROR(IF(INDEX(Fall!$1:$1048576,MATCH(All!$A355,Fall!$A:$A,FALSE),MATCH(All!J$1,Fall!$1:$1,FALSE))="","",INDEX(Fall!$1:$1048576,MATCH(All!$A355,Fall!$A:$A,FALSE),MATCH(All!J$1,Fall!$1:$1,FALSE))),"")</f>
        <v/>
      </c>
      <c r="K355" t="str">
        <f>IFERROR(IF(INDEX(Fall!$1:$1048576,MATCH(All!$A355,Fall!$A:$A,FALSE),MATCH(All!K$1,Fall!$1:$1,FALSE))="","",INDEX(Fall!$1:$1048576,MATCH(All!$A355,Fall!$A:$A,FALSE),MATCH(All!K$1,Fall!$1:$1,FALSE))),"")</f>
        <v/>
      </c>
      <c r="L355" t="str">
        <f>IFERROR(IF(INDEX(Fall!$1:$1048576,MATCH(All!$A355,Fall!$A:$A,FALSE),MATCH(All!L$1,Fall!$1:$1,FALSE))="","",INDEX(Fall!$1:$1048576,MATCH(All!$A355,Fall!$A:$A,FALSE),MATCH(All!L$1,Fall!$1:$1,FALSE))),"")</f>
        <v/>
      </c>
      <c r="M355" t="str">
        <f>IFERROR(IF(INDEX(Fall!$1:$1048576,MATCH(All!$A355,Fall!$A:$A,FALSE),MATCH(All!M$1,Fall!$1:$1,FALSE))="","",INDEX(Fall!$1:$1048576,MATCH(All!$A355,Fall!$A:$A,FALSE),MATCH(All!M$1,Fall!$1:$1,FALSE))),"")</f>
        <v>1A</v>
      </c>
      <c r="O355">
        <f>IFERROR(IF(INDEX(Winter!$1:$1048576,MATCH(All!$A355,Winter!$A:$A,FALSE),MATCH(All!O$1,Winter!$1:$1,FALSE))="","",INDEX(Winter!$1:$1048576,MATCH(All!$A355,Winter!$A:$A,FALSE),MATCH(All!O$1,Winter!$1:$1,FALSE))),"")</f>
        <v>234</v>
      </c>
      <c r="P355" t="str">
        <f>IFERROR(IF(INDEX(Winter!$1:$1048576,MATCH(All!$A355,Winter!$A:$A,FALSE),MATCH(All!P$1,Winter!$1:$1,FALSE))="","",INDEX(Winter!$1:$1048576,MATCH(All!$A355,Winter!$A:$A,FALSE),MATCH(All!P$1,Winter!$1:$1,FALSE))),"")</f>
        <v>1A</v>
      </c>
      <c r="Q355" t="str">
        <f>IFERROR(IF(INDEX(Winter!$1:$1048576,MATCH(All!$A355,Winter!$A:$A,FALSE),MATCH(All!Q$1,Winter!$1:$1,FALSE))="","",INDEX(Winter!$1:$1048576,MATCH(All!$A355,Winter!$A:$A,FALSE),MATCH(All!Q$1,Winter!$1:$1,FALSE))),"")</f>
        <v>1A</v>
      </c>
      <c r="R355" t="str">
        <f>IFERROR(IF(INDEX(Winter!$1:$1048576,MATCH(All!$A355,Winter!$A:$A,FALSE),MATCH(All!R$1,Winter!$1:$1,FALSE))="","",INDEX(Winter!$1:$1048576,MATCH(All!$A355,Winter!$A:$A,FALSE),MATCH(All!R$1,Winter!$1:$1,FALSE))),"")</f>
        <v/>
      </c>
      <c r="S355" t="str">
        <f>IFERROR(IF(INDEX(Winter!$1:$1048576,MATCH(All!$A355,Winter!$A:$A,FALSE),MATCH(All!S$1,Winter!$1:$1,FALSE))="","",INDEX(Winter!$1:$1048576,MATCH(All!$A355,Winter!$A:$A,FALSE),MATCH(All!S$1,Winter!$1:$1,FALSE))),"")</f>
        <v/>
      </c>
      <c r="T355" t="str">
        <f>IFERROR(IF(INDEX(Winter!$1:$1048576,MATCH(All!$A355,Winter!$A:$A,FALSE),MATCH(All!T$1,Winter!$1:$1,FALSE))="","",INDEX(Winter!$1:$1048576,MATCH(All!$A355,Winter!$A:$A,FALSE),MATCH(All!T$1,Winter!$1:$1,FALSE))),"")</f>
        <v>1A</v>
      </c>
      <c r="U355" t="str">
        <f>IFERROR(IF(INDEX(Winter!$1:$1048576,MATCH(All!$A355,Winter!$A:$A,FALSE),MATCH(All!U$1,Winter!$1:$1,FALSE))="","",INDEX(Winter!$1:$1048576,MATCH(All!$A355,Winter!$A:$A,FALSE),MATCH(All!U$1,Winter!$1:$1,FALSE))),"")</f>
        <v/>
      </c>
      <c r="W355">
        <f>IFERROR(IF(INDEX(Spring!$1:$1048576,MATCH(All!$A355,Spring!$A:$A,FALSE),MATCH(All!W$1,Spring!$1:$1,FALSE))="","",INDEX(Spring!$1:$1048576,MATCH(All!$A355,Spring!$A:$A,FALSE),MATCH(All!W$1,Spring!$1:$1,FALSE))),"")</f>
        <v>234</v>
      </c>
      <c r="X355" t="str">
        <f>IFERROR(IF(INDEX(Spring!$1:$1048576,MATCH(All!$A355,Spring!$A:$A,FALSE),MATCH(All!X$1,Spring!$1:$1,FALSE))="","",INDEX(Spring!$1:$1048576,MATCH(All!$A355,Spring!$A:$A,FALSE),MATCH(All!X$1,Spring!$1:$1,FALSE))),"")</f>
        <v>1A</v>
      </c>
      <c r="Y355" t="str">
        <f>IFERROR(IF(INDEX(Spring!$1:$1048576,MATCH(All!$A355,Spring!$A:$A,FALSE),MATCH(All!Y$1,Spring!$1:$1,FALSE))="","",INDEX(Spring!$1:$1048576,MATCH(All!$A355,Spring!$A:$A,FALSE),MATCH(All!Y$1,Spring!$1:$1,FALSE))),"")</f>
        <v>1A</v>
      </c>
      <c r="Z355" t="str">
        <f>IFERROR(IF(INDEX(Spring!$1:$1048576,MATCH(All!$A355,Spring!$A:$A,FALSE),MATCH(All!Z$1,Spring!$1:$1,FALSE))="","",INDEX(Spring!$1:$1048576,MATCH(All!$A355,Spring!$A:$A,FALSE),MATCH(All!Z$1,Spring!$1:$1,FALSE))),"")</f>
        <v/>
      </c>
      <c r="AA355" t="str">
        <f>IFERROR(IF(INDEX(Spring!$1:$1048576,MATCH(All!$A355,Spring!$A:$A,FALSE),MATCH(All!AA$1,Spring!$1:$1,FALSE))="","",INDEX(Spring!$1:$1048576,MATCH(All!$A355,Spring!$A:$A,FALSE),MATCH(All!AA$1,Spring!$1:$1,FALSE))),"")</f>
        <v/>
      </c>
      <c r="AB355" t="str">
        <f>IFERROR(IF(INDEX(Spring!$1:$1048576,MATCH(All!$A355,Spring!$A:$A,FALSE),MATCH(All!AB$1,Spring!$1:$1,FALSE))="","",INDEX(Spring!$1:$1048576,MATCH(All!$A355,Spring!$A:$A,FALSE),MATCH(All!AB$1,Spring!$1:$1,FALSE))),"")</f>
        <v>1A</v>
      </c>
      <c r="AC355" t="str">
        <f>IFERROR(IF(INDEX(Spring!$1:$1048576,MATCH(All!$A355,Spring!$A:$A,FALSE),MATCH(All!AC$1,Spring!$1:$1,FALSE))="","",INDEX(Spring!$1:$1048576,MATCH(All!$A355,Spring!$A:$A,FALSE),MATCH(All!AC$1,Spring!$1:$1,FALSE))),"")</f>
        <v>1A</v>
      </c>
      <c r="AD355" t="str">
        <f>IFERROR(VLOOKUP(A355,'Flag Football'!A:A,1,FALSE),"")</f>
        <v/>
      </c>
      <c r="AE355" t="str">
        <f t="shared" si="5"/>
        <v/>
      </c>
    </row>
    <row r="356" spans="1:31" ht="15.75" thickBot="1" x14ac:dyDescent="0.3">
      <c r="A356" s="18" t="s">
        <v>445</v>
      </c>
      <c r="B356" s="38">
        <f>IFERROR(VLOOKUP(A356,'Public v Private'!A:G,3,FALSE),"")</f>
        <v>0</v>
      </c>
      <c r="C356" s="38">
        <f>IFERROR(VLOOKUP(A356,'Public v Private'!A:G,4,FALSE),"")</f>
        <v>0</v>
      </c>
      <c r="D356" s="38">
        <f>IFERROR(VLOOKUP(A356,'Public v Private'!A:G,5,FALSE),"")</f>
        <v>0</v>
      </c>
      <c r="E356" s="38"/>
      <c r="F356" s="40">
        <f>IFERROR(INDEX(Fall!$1:$1048576,MATCH(All!$A356,Fall!$A:$A,FALSE),MATCH(All!F$1,Fall!$1:$1,FALSE)),"N/A")</f>
        <v>1723</v>
      </c>
      <c r="G356" t="str">
        <f>IFERROR(IF(INDEX(Fall!$1:$1048576,MATCH(All!$A356,Fall!$A:$A,FALSE),MATCH(All!G$1,Fall!$1:$1,FALSE))="","",INDEX(Fall!$1:$1048576,MATCH(All!$A356,Fall!$A:$A,FALSE),MATCH(All!G$1,Fall!$1:$1,FALSE))),"")</f>
        <v>3A</v>
      </c>
      <c r="H356" t="str">
        <f>IFERROR(IF(INDEX(Fall!$1:$1048576,MATCH(All!$A356,Fall!$A:$A,FALSE),MATCH(All!H$1,Fall!$1:$1,FALSE))="","",INDEX(Fall!$1:$1048576,MATCH(All!$A356,Fall!$A:$A,FALSE),MATCH(All!H$1,Fall!$1:$1,FALSE))),"")</f>
        <v>3A</v>
      </c>
      <c r="I356" t="str">
        <f>IFERROR(IF(INDEX(Fall!$1:$1048576,MATCH(All!$A356,Fall!$A:$A,FALSE),MATCH(All!I$1,Fall!$1:$1,FALSE))="","",INDEX(Fall!$1:$1048576,MATCH(All!$A356,Fall!$A:$A,FALSE),MATCH(All!I$1,Fall!$1:$1,FALSE))),"")</f>
        <v>3A</v>
      </c>
      <c r="J356" t="str">
        <f>IFERROR(IF(INDEX(Fall!$1:$1048576,MATCH(All!$A356,Fall!$A:$A,FALSE),MATCH(All!J$1,Fall!$1:$1,FALSE))="","",INDEX(Fall!$1:$1048576,MATCH(All!$A356,Fall!$A:$A,FALSE),MATCH(All!J$1,Fall!$1:$1,FALSE))),"")</f>
        <v>2A</v>
      </c>
      <c r="K356" t="str">
        <f>IFERROR(IF(INDEX(Fall!$1:$1048576,MATCH(All!$A356,Fall!$A:$A,FALSE),MATCH(All!K$1,Fall!$1:$1,FALSE))="","",INDEX(Fall!$1:$1048576,MATCH(All!$A356,Fall!$A:$A,FALSE),MATCH(All!K$1,Fall!$1:$1,FALSE))),"")</f>
        <v>3A</v>
      </c>
      <c r="L356" t="str">
        <f>IFERROR(IF(INDEX(Fall!$1:$1048576,MATCH(All!$A356,Fall!$A:$A,FALSE),MATCH(All!L$1,Fall!$1:$1,FALSE))="","",INDEX(Fall!$1:$1048576,MATCH(All!$A356,Fall!$A:$A,FALSE),MATCH(All!L$1,Fall!$1:$1,FALSE))),"")</f>
        <v>2A</v>
      </c>
      <c r="M356" t="str">
        <f>IFERROR(IF(INDEX(Fall!$1:$1048576,MATCH(All!$A356,Fall!$A:$A,FALSE),MATCH(All!M$1,Fall!$1:$1,FALSE))="","",INDEX(Fall!$1:$1048576,MATCH(All!$A356,Fall!$A:$A,FALSE),MATCH(All!M$1,Fall!$1:$1,FALSE))),"")</f>
        <v>4A</v>
      </c>
      <c r="O356">
        <f>IFERROR(IF(INDEX(Winter!$1:$1048576,MATCH(All!$A356,Winter!$A:$A,FALSE),MATCH(All!O$1,Winter!$1:$1,FALSE))="","",INDEX(Winter!$1:$1048576,MATCH(All!$A356,Winter!$A:$A,FALSE),MATCH(All!O$1,Winter!$1:$1,FALSE))),"")</f>
        <v>1723</v>
      </c>
      <c r="P356" t="str">
        <f>IFERROR(IF(INDEX(Winter!$1:$1048576,MATCH(All!$A356,Winter!$A:$A,FALSE),MATCH(All!P$1,Winter!$1:$1,FALSE))="","",INDEX(Winter!$1:$1048576,MATCH(All!$A356,Winter!$A:$A,FALSE),MATCH(All!P$1,Winter!$1:$1,FALSE))),"")</f>
        <v>4A</v>
      </c>
      <c r="Q356" t="str">
        <f>IFERROR(IF(INDEX(Winter!$1:$1048576,MATCH(All!$A356,Winter!$A:$A,FALSE),MATCH(All!Q$1,Winter!$1:$1,FALSE))="","",INDEX(Winter!$1:$1048576,MATCH(All!$A356,Winter!$A:$A,FALSE),MATCH(All!Q$1,Winter!$1:$1,FALSE))),"")</f>
        <v>4A</v>
      </c>
      <c r="R356" t="str">
        <f>IFERROR(IF(INDEX(Winter!$1:$1048576,MATCH(All!$A356,Winter!$A:$A,FALSE),MATCH(All!R$1,Winter!$1:$1,FALSE))="","",INDEX(Winter!$1:$1048576,MATCH(All!$A356,Winter!$A:$A,FALSE),MATCH(All!R$1,Winter!$1:$1,FALSE))),"")</f>
        <v>3A</v>
      </c>
      <c r="S356" t="str">
        <f>IFERROR(IF(INDEX(Winter!$1:$1048576,MATCH(All!$A356,Winter!$A:$A,FALSE),MATCH(All!S$1,Winter!$1:$1,FALSE))="","",INDEX(Winter!$1:$1048576,MATCH(All!$A356,Winter!$A:$A,FALSE),MATCH(All!S$1,Winter!$1:$1,FALSE))),"")</f>
        <v>2A</v>
      </c>
      <c r="T356" t="str">
        <f>IFERROR(IF(INDEX(Winter!$1:$1048576,MATCH(All!$A356,Winter!$A:$A,FALSE),MATCH(All!T$1,Winter!$1:$1,FALSE))="","",INDEX(Winter!$1:$1048576,MATCH(All!$A356,Winter!$A:$A,FALSE),MATCH(All!T$1,Winter!$1:$1,FALSE))),"")</f>
        <v>2A</v>
      </c>
      <c r="U356" t="str">
        <f>IFERROR(IF(INDEX(Winter!$1:$1048576,MATCH(All!$A356,Winter!$A:$A,FALSE),MATCH(All!U$1,Winter!$1:$1,FALSE))="","",INDEX(Winter!$1:$1048576,MATCH(All!$A356,Winter!$A:$A,FALSE),MATCH(All!U$1,Winter!$1:$1,FALSE))),"")</f>
        <v>3A</v>
      </c>
      <c r="W356">
        <f>IFERROR(IF(INDEX(Spring!$1:$1048576,MATCH(All!$A356,Spring!$A:$A,FALSE),MATCH(All!W$1,Spring!$1:$1,FALSE))="","",INDEX(Spring!$1:$1048576,MATCH(All!$A356,Spring!$A:$A,FALSE),MATCH(All!W$1,Spring!$1:$1,FALSE))),"")</f>
        <v>1723</v>
      </c>
      <c r="X356" t="str">
        <f>IFERROR(IF(INDEX(Spring!$1:$1048576,MATCH(All!$A356,Spring!$A:$A,FALSE),MATCH(All!X$1,Spring!$1:$1,FALSE))="","",INDEX(Spring!$1:$1048576,MATCH(All!$A356,Spring!$A:$A,FALSE),MATCH(All!X$1,Spring!$1:$1,FALSE))),"")</f>
        <v>4A</v>
      </c>
      <c r="Y356" t="str">
        <f>IFERROR(IF(INDEX(Spring!$1:$1048576,MATCH(All!$A356,Spring!$A:$A,FALSE),MATCH(All!Y$1,Spring!$1:$1,FALSE))="","",INDEX(Spring!$1:$1048576,MATCH(All!$A356,Spring!$A:$A,FALSE),MATCH(All!Y$1,Spring!$1:$1,FALSE))),"")</f>
        <v>4A</v>
      </c>
      <c r="Z356" t="str">
        <f>IFERROR(IF(INDEX(Spring!$1:$1048576,MATCH(All!$A356,Spring!$A:$A,FALSE),MATCH(All!Z$1,Spring!$1:$1,FALSE))="","",INDEX(Spring!$1:$1048576,MATCH(All!$A356,Spring!$A:$A,FALSE),MATCH(All!Z$1,Spring!$1:$1,FALSE))),"")</f>
        <v>2A</v>
      </c>
      <c r="AA356" t="str">
        <f>IFERROR(IF(INDEX(Spring!$1:$1048576,MATCH(All!$A356,Spring!$A:$A,FALSE),MATCH(All!AA$1,Spring!$1:$1,FALSE))="","",INDEX(Spring!$1:$1048576,MATCH(All!$A356,Spring!$A:$A,FALSE),MATCH(All!AA$1,Spring!$1:$1,FALSE))),"")</f>
        <v>2A</v>
      </c>
      <c r="AB356" t="str">
        <f>IFERROR(IF(INDEX(Spring!$1:$1048576,MATCH(All!$A356,Spring!$A:$A,FALSE),MATCH(All!AB$1,Spring!$1:$1,FALSE))="","",INDEX(Spring!$1:$1048576,MATCH(All!$A356,Spring!$A:$A,FALSE),MATCH(All!AB$1,Spring!$1:$1,FALSE))),"")</f>
        <v>3A</v>
      </c>
      <c r="AC356" t="str">
        <f>IFERROR(IF(INDEX(Spring!$1:$1048576,MATCH(All!$A356,Spring!$A:$A,FALSE),MATCH(All!AC$1,Spring!$1:$1,FALSE))="","",INDEX(Spring!$1:$1048576,MATCH(All!$A356,Spring!$A:$A,FALSE),MATCH(All!AC$1,Spring!$1:$1,FALSE))),"")</f>
        <v>3A</v>
      </c>
      <c r="AD356" t="str">
        <f>IFERROR(VLOOKUP(A356,'Flag Football'!A:A,1,FALSE),"")</f>
        <v>Fox Lake (Grant)</v>
      </c>
      <c r="AE356" t="str">
        <f t="shared" si="5"/>
        <v>1A</v>
      </c>
    </row>
    <row r="357" spans="1:31" ht="15.75" thickBot="1" x14ac:dyDescent="0.3">
      <c r="A357" s="20" t="s">
        <v>446</v>
      </c>
      <c r="B357" s="38">
        <f>IFERROR(VLOOKUP(A357,'Public v Private'!A:G,3,FALSE),"")</f>
        <v>0</v>
      </c>
      <c r="C357" s="38">
        <f>IFERROR(VLOOKUP(A357,'Public v Private'!A:G,4,FALSE),"")</f>
        <v>0</v>
      </c>
      <c r="D357" s="38">
        <f>IFERROR(VLOOKUP(A357,'Public v Private'!A:G,5,FALSE),"")</f>
        <v>0</v>
      </c>
      <c r="E357" s="38"/>
      <c r="F357" s="40">
        <f>IFERROR(INDEX(Fall!$1:$1048576,MATCH(All!$A357,Fall!$A:$A,FALSE),MATCH(All!F$1,Fall!$1:$1,FALSE)),"N/A")</f>
        <v>2676</v>
      </c>
      <c r="G357" t="str">
        <f>IFERROR(IF(INDEX(Fall!$1:$1048576,MATCH(All!$A357,Fall!$A:$A,FALSE),MATCH(All!G$1,Fall!$1:$1,FALSE))="","",INDEX(Fall!$1:$1048576,MATCH(All!$A357,Fall!$A:$A,FALSE),MATCH(All!G$1,Fall!$1:$1,FALSE))),"")</f>
        <v>3A</v>
      </c>
      <c r="H357" t="str">
        <f>IFERROR(IF(INDEX(Fall!$1:$1048576,MATCH(All!$A357,Fall!$A:$A,FALSE),MATCH(All!H$1,Fall!$1:$1,FALSE))="","",INDEX(Fall!$1:$1048576,MATCH(All!$A357,Fall!$A:$A,FALSE),MATCH(All!H$1,Fall!$1:$1,FALSE))),"")</f>
        <v>3A</v>
      </c>
      <c r="I357" t="str">
        <f>IFERROR(IF(INDEX(Fall!$1:$1048576,MATCH(All!$A357,Fall!$A:$A,FALSE),MATCH(All!I$1,Fall!$1:$1,FALSE))="","",INDEX(Fall!$1:$1048576,MATCH(All!$A357,Fall!$A:$A,FALSE),MATCH(All!I$1,Fall!$1:$1,FALSE))),"")</f>
        <v>3A</v>
      </c>
      <c r="J357" t="str">
        <f>IFERROR(IF(INDEX(Fall!$1:$1048576,MATCH(All!$A357,Fall!$A:$A,FALSE),MATCH(All!J$1,Fall!$1:$1,FALSE))="","",INDEX(Fall!$1:$1048576,MATCH(All!$A357,Fall!$A:$A,FALSE),MATCH(All!J$1,Fall!$1:$1,FALSE))),"")</f>
        <v>2A</v>
      </c>
      <c r="K357" t="str">
        <f>IFERROR(IF(INDEX(Fall!$1:$1048576,MATCH(All!$A357,Fall!$A:$A,FALSE),MATCH(All!K$1,Fall!$1:$1,FALSE))="","",INDEX(Fall!$1:$1048576,MATCH(All!$A357,Fall!$A:$A,FALSE),MATCH(All!K$1,Fall!$1:$1,FALSE))),"")</f>
        <v>3A</v>
      </c>
      <c r="L357" t="str">
        <f>IFERROR(IF(INDEX(Fall!$1:$1048576,MATCH(All!$A357,Fall!$A:$A,FALSE),MATCH(All!L$1,Fall!$1:$1,FALSE))="","",INDEX(Fall!$1:$1048576,MATCH(All!$A357,Fall!$A:$A,FALSE),MATCH(All!L$1,Fall!$1:$1,FALSE))),"")</f>
        <v>2A</v>
      </c>
      <c r="M357" t="str">
        <f>IFERROR(IF(INDEX(Fall!$1:$1048576,MATCH(All!$A357,Fall!$A:$A,FALSE),MATCH(All!M$1,Fall!$1:$1,FALSE))="","",INDEX(Fall!$1:$1048576,MATCH(All!$A357,Fall!$A:$A,FALSE),MATCH(All!M$1,Fall!$1:$1,FALSE))),"")</f>
        <v>4A</v>
      </c>
      <c r="O357">
        <f>IFERROR(IF(INDEX(Winter!$1:$1048576,MATCH(All!$A357,Winter!$A:$A,FALSE),MATCH(All!O$1,Winter!$1:$1,FALSE))="","",INDEX(Winter!$1:$1048576,MATCH(All!$A357,Winter!$A:$A,FALSE),MATCH(All!O$1,Winter!$1:$1,FALSE))),"")</f>
        <v>2676</v>
      </c>
      <c r="P357" t="str">
        <f>IFERROR(IF(INDEX(Winter!$1:$1048576,MATCH(All!$A357,Winter!$A:$A,FALSE),MATCH(All!P$1,Winter!$1:$1,FALSE))="","",INDEX(Winter!$1:$1048576,MATCH(All!$A357,Winter!$A:$A,FALSE),MATCH(All!P$1,Winter!$1:$1,FALSE))),"")</f>
        <v>4A</v>
      </c>
      <c r="Q357" t="str">
        <f>IFERROR(IF(INDEX(Winter!$1:$1048576,MATCH(All!$A357,Winter!$A:$A,FALSE),MATCH(All!Q$1,Winter!$1:$1,FALSE))="","",INDEX(Winter!$1:$1048576,MATCH(All!$A357,Winter!$A:$A,FALSE),MATCH(All!Q$1,Winter!$1:$1,FALSE))),"")</f>
        <v>4A</v>
      </c>
      <c r="R357" t="str">
        <f>IFERROR(IF(INDEX(Winter!$1:$1048576,MATCH(All!$A357,Winter!$A:$A,FALSE),MATCH(All!R$1,Winter!$1:$1,FALSE))="","",INDEX(Winter!$1:$1048576,MATCH(All!$A357,Winter!$A:$A,FALSE),MATCH(All!R$1,Winter!$1:$1,FALSE))),"")</f>
        <v>3A</v>
      </c>
      <c r="S357" t="str">
        <f>IFERROR(IF(INDEX(Winter!$1:$1048576,MATCH(All!$A357,Winter!$A:$A,FALSE),MATCH(All!S$1,Winter!$1:$1,FALSE))="","",INDEX(Winter!$1:$1048576,MATCH(All!$A357,Winter!$A:$A,FALSE),MATCH(All!S$1,Winter!$1:$1,FALSE))),"")</f>
        <v>3A</v>
      </c>
      <c r="T357" t="str">
        <f>IFERROR(IF(INDEX(Winter!$1:$1048576,MATCH(All!$A357,Winter!$A:$A,FALSE),MATCH(All!T$1,Winter!$1:$1,FALSE))="","",INDEX(Winter!$1:$1048576,MATCH(All!$A357,Winter!$A:$A,FALSE),MATCH(All!T$1,Winter!$1:$1,FALSE))),"")</f>
        <v>2A</v>
      </c>
      <c r="U357" t="str">
        <f>IFERROR(IF(INDEX(Winter!$1:$1048576,MATCH(All!$A357,Winter!$A:$A,FALSE),MATCH(All!U$1,Winter!$1:$1,FALSE))="","",INDEX(Winter!$1:$1048576,MATCH(All!$A357,Winter!$A:$A,FALSE),MATCH(All!U$1,Winter!$1:$1,FALSE))),"")</f>
        <v>3A</v>
      </c>
      <c r="W357">
        <f>IFERROR(IF(INDEX(Spring!$1:$1048576,MATCH(All!$A357,Spring!$A:$A,FALSE),MATCH(All!W$1,Spring!$1:$1,FALSE))="","",INDEX(Spring!$1:$1048576,MATCH(All!$A357,Spring!$A:$A,FALSE),MATCH(All!W$1,Spring!$1:$1,FALSE))),"")</f>
        <v>2676</v>
      </c>
      <c r="X357" t="str">
        <f>IFERROR(IF(INDEX(Spring!$1:$1048576,MATCH(All!$A357,Spring!$A:$A,FALSE),MATCH(All!X$1,Spring!$1:$1,FALSE))="","",INDEX(Spring!$1:$1048576,MATCH(All!$A357,Spring!$A:$A,FALSE),MATCH(All!X$1,Spring!$1:$1,FALSE))),"")</f>
        <v>4A</v>
      </c>
      <c r="Y357" t="str">
        <f>IFERROR(IF(INDEX(Spring!$1:$1048576,MATCH(All!$A357,Spring!$A:$A,FALSE),MATCH(All!Y$1,Spring!$1:$1,FALSE))="","",INDEX(Spring!$1:$1048576,MATCH(All!$A357,Spring!$A:$A,FALSE),MATCH(All!Y$1,Spring!$1:$1,FALSE))),"")</f>
        <v>4A</v>
      </c>
      <c r="Z357" t="str">
        <f>IFERROR(IF(INDEX(Spring!$1:$1048576,MATCH(All!$A357,Spring!$A:$A,FALSE),MATCH(All!Z$1,Spring!$1:$1,FALSE))="","",INDEX(Spring!$1:$1048576,MATCH(All!$A357,Spring!$A:$A,FALSE),MATCH(All!Z$1,Spring!$1:$1,FALSE))),"")</f>
        <v>3A</v>
      </c>
      <c r="AA357" t="str">
        <f>IFERROR(IF(INDEX(Spring!$1:$1048576,MATCH(All!$A357,Spring!$A:$A,FALSE),MATCH(All!AA$1,Spring!$1:$1,FALSE))="","",INDEX(Spring!$1:$1048576,MATCH(All!$A357,Spring!$A:$A,FALSE),MATCH(All!AA$1,Spring!$1:$1,FALSE))),"")</f>
        <v>2A</v>
      </c>
      <c r="AB357" t="str">
        <f>IFERROR(IF(INDEX(Spring!$1:$1048576,MATCH(All!$A357,Spring!$A:$A,FALSE),MATCH(All!AB$1,Spring!$1:$1,FALSE))="","",INDEX(Spring!$1:$1048576,MATCH(All!$A357,Spring!$A:$A,FALSE),MATCH(All!AB$1,Spring!$1:$1,FALSE))),"")</f>
        <v>3A</v>
      </c>
      <c r="AC357" t="str">
        <f>IFERROR(IF(INDEX(Spring!$1:$1048576,MATCH(All!$A357,Spring!$A:$A,FALSE),MATCH(All!AC$1,Spring!$1:$1,FALSE))="","",INDEX(Spring!$1:$1048576,MATCH(All!$A357,Spring!$A:$A,FALSE),MATCH(All!AC$1,Spring!$1:$1,FALSE))),"")</f>
        <v>3A</v>
      </c>
      <c r="AD357" t="str">
        <f>IFERROR(VLOOKUP(A357,'Flag Football'!A:A,1,FALSE),"")</f>
        <v/>
      </c>
      <c r="AE357" t="str">
        <f t="shared" si="5"/>
        <v/>
      </c>
    </row>
    <row r="358" spans="1:31" ht="15.75" thickBot="1" x14ac:dyDescent="0.3">
      <c r="A358" s="18" t="s">
        <v>945</v>
      </c>
      <c r="B358" s="38">
        <f>IFERROR(VLOOKUP(A358,'Public v Private'!A:G,3,FALSE),"")</f>
        <v>0</v>
      </c>
      <c r="C358" s="38">
        <f>IFERROR(VLOOKUP(A358,'Public v Private'!A:G,4,FALSE),"")</f>
        <v>0</v>
      </c>
      <c r="D358" s="38">
        <f>IFERROR(VLOOKUP(A358,'Public v Private'!A:G,5,FALSE),"")</f>
        <v>0</v>
      </c>
      <c r="E358" s="38"/>
      <c r="F358" s="40">
        <f>IFERROR(INDEX(Fall!$1:$1048576,MATCH(All!$A358,Fall!$A:$A,FALSE),MATCH(All!F$1,Fall!$1:$1,FALSE)),"N/A")</f>
        <v>124</v>
      </c>
      <c r="G358" t="str">
        <f>IFERROR(IF(INDEX(Fall!$1:$1048576,MATCH(All!$A358,Fall!$A:$A,FALSE),MATCH(All!G$1,Fall!$1:$1,FALSE))="","",INDEX(Fall!$1:$1048576,MATCH(All!$A358,Fall!$A:$A,FALSE),MATCH(All!G$1,Fall!$1:$1,FALSE))),"")</f>
        <v>1A</v>
      </c>
      <c r="H358" t="str">
        <f>IFERROR(IF(INDEX(Fall!$1:$1048576,MATCH(All!$A358,Fall!$A:$A,FALSE),MATCH(All!H$1,Fall!$1:$1,FALSE))="","",INDEX(Fall!$1:$1048576,MATCH(All!$A358,Fall!$A:$A,FALSE),MATCH(All!H$1,Fall!$1:$1,FALSE))),"")</f>
        <v>1A</v>
      </c>
      <c r="I358" t="str">
        <f>IFERROR(IF(INDEX(Fall!$1:$1048576,MATCH(All!$A358,Fall!$A:$A,FALSE),MATCH(All!I$1,Fall!$1:$1,FALSE))="","",INDEX(Fall!$1:$1048576,MATCH(All!$A358,Fall!$A:$A,FALSE),MATCH(All!I$1,Fall!$1:$1,FALSE))),"")</f>
        <v/>
      </c>
      <c r="J358" t="str">
        <f>IFERROR(IF(INDEX(Fall!$1:$1048576,MATCH(All!$A358,Fall!$A:$A,FALSE),MATCH(All!J$1,Fall!$1:$1,FALSE))="","",INDEX(Fall!$1:$1048576,MATCH(All!$A358,Fall!$A:$A,FALSE),MATCH(All!J$1,Fall!$1:$1,FALSE))),"")</f>
        <v/>
      </c>
      <c r="K358" t="str">
        <f>IFERROR(IF(INDEX(Fall!$1:$1048576,MATCH(All!$A358,Fall!$A:$A,FALSE),MATCH(All!K$1,Fall!$1:$1,FALSE))="","",INDEX(Fall!$1:$1048576,MATCH(All!$A358,Fall!$A:$A,FALSE),MATCH(All!K$1,Fall!$1:$1,FALSE))),"")</f>
        <v/>
      </c>
      <c r="L358" t="str">
        <f>IFERROR(IF(INDEX(Fall!$1:$1048576,MATCH(All!$A358,Fall!$A:$A,FALSE),MATCH(All!L$1,Fall!$1:$1,FALSE))="","",INDEX(Fall!$1:$1048576,MATCH(All!$A358,Fall!$A:$A,FALSE),MATCH(All!L$1,Fall!$1:$1,FALSE))),"")</f>
        <v/>
      </c>
      <c r="M358" t="str">
        <f>IFERROR(IF(INDEX(Fall!$1:$1048576,MATCH(All!$A358,Fall!$A:$A,FALSE),MATCH(All!M$1,Fall!$1:$1,FALSE))="","",INDEX(Fall!$1:$1048576,MATCH(All!$A358,Fall!$A:$A,FALSE),MATCH(All!M$1,Fall!$1:$1,FALSE))),"")</f>
        <v>1A</v>
      </c>
      <c r="O358">
        <f>IFERROR(IF(INDEX(Winter!$1:$1048576,MATCH(All!$A358,Winter!$A:$A,FALSE),MATCH(All!O$1,Winter!$1:$1,FALSE))="","",INDEX(Winter!$1:$1048576,MATCH(All!$A358,Winter!$A:$A,FALSE),MATCH(All!O$1,Winter!$1:$1,FALSE))),"")</f>
        <v>124</v>
      </c>
      <c r="P358" t="str">
        <f>IFERROR(IF(INDEX(Winter!$1:$1048576,MATCH(All!$A358,Winter!$A:$A,FALSE),MATCH(All!P$1,Winter!$1:$1,FALSE))="","",INDEX(Winter!$1:$1048576,MATCH(All!$A358,Winter!$A:$A,FALSE),MATCH(All!P$1,Winter!$1:$1,FALSE))),"")</f>
        <v>1A</v>
      </c>
      <c r="Q358" t="str">
        <f>IFERROR(IF(INDEX(Winter!$1:$1048576,MATCH(All!$A358,Winter!$A:$A,FALSE),MATCH(All!Q$1,Winter!$1:$1,FALSE))="","",INDEX(Winter!$1:$1048576,MATCH(All!$A358,Winter!$A:$A,FALSE),MATCH(All!Q$1,Winter!$1:$1,FALSE))),"")</f>
        <v/>
      </c>
      <c r="R358" t="str">
        <f>IFERROR(IF(INDEX(Winter!$1:$1048576,MATCH(All!$A358,Winter!$A:$A,FALSE),MATCH(All!R$1,Winter!$1:$1,FALSE))="","",INDEX(Winter!$1:$1048576,MATCH(All!$A358,Winter!$A:$A,FALSE),MATCH(All!R$1,Winter!$1:$1,FALSE))),"")</f>
        <v/>
      </c>
      <c r="S358" t="str">
        <f>IFERROR(IF(INDEX(Winter!$1:$1048576,MATCH(All!$A358,Winter!$A:$A,FALSE),MATCH(All!S$1,Winter!$1:$1,FALSE))="","",INDEX(Winter!$1:$1048576,MATCH(All!$A358,Winter!$A:$A,FALSE),MATCH(All!S$1,Winter!$1:$1,FALSE))),"")</f>
        <v/>
      </c>
      <c r="T358" t="str">
        <f>IFERROR(IF(INDEX(Winter!$1:$1048576,MATCH(All!$A358,Winter!$A:$A,FALSE),MATCH(All!T$1,Winter!$1:$1,FALSE))="","",INDEX(Winter!$1:$1048576,MATCH(All!$A358,Winter!$A:$A,FALSE),MATCH(All!T$1,Winter!$1:$1,FALSE))),"")</f>
        <v/>
      </c>
      <c r="U358" t="str">
        <f>IFERROR(IF(INDEX(Winter!$1:$1048576,MATCH(All!$A358,Winter!$A:$A,FALSE),MATCH(All!U$1,Winter!$1:$1,FALSE))="","",INDEX(Winter!$1:$1048576,MATCH(All!$A358,Winter!$A:$A,FALSE),MATCH(All!U$1,Winter!$1:$1,FALSE))),"")</f>
        <v/>
      </c>
      <c r="W358" t="str">
        <f>IFERROR(IF(INDEX(Spring!$1:$1048576,MATCH(All!$A358,Spring!$A:$A,FALSE),MATCH(All!W$1,Spring!$1:$1,FALSE))="","",INDEX(Spring!$1:$1048576,MATCH(All!$A358,Spring!$A:$A,FALSE),MATCH(All!W$1,Spring!$1:$1,FALSE))),"")</f>
        <v/>
      </c>
      <c r="X358" t="str">
        <f>IFERROR(IF(INDEX(Spring!$1:$1048576,MATCH(All!$A358,Spring!$A:$A,FALSE),MATCH(All!X$1,Spring!$1:$1,FALSE))="","",INDEX(Spring!$1:$1048576,MATCH(All!$A358,Spring!$A:$A,FALSE),MATCH(All!X$1,Spring!$1:$1,FALSE))),"")</f>
        <v/>
      </c>
      <c r="Y358" t="str">
        <f>IFERROR(IF(INDEX(Spring!$1:$1048576,MATCH(All!$A358,Spring!$A:$A,FALSE),MATCH(All!Y$1,Spring!$1:$1,FALSE))="","",INDEX(Spring!$1:$1048576,MATCH(All!$A358,Spring!$A:$A,FALSE),MATCH(All!Y$1,Spring!$1:$1,FALSE))),"")</f>
        <v/>
      </c>
      <c r="Z358" t="str">
        <f>IFERROR(IF(INDEX(Spring!$1:$1048576,MATCH(All!$A358,Spring!$A:$A,FALSE),MATCH(All!Z$1,Spring!$1:$1,FALSE))="","",INDEX(Spring!$1:$1048576,MATCH(All!$A358,Spring!$A:$A,FALSE),MATCH(All!Z$1,Spring!$1:$1,FALSE))),"")</f>
        <v/>
      </c>
      <c r="AA358" t="str">
        <f>IFERROR(IF(INDEX(Spring!$1:$1048576,MATCH(All!$A358,Spring!$A:$A,FALSE),MATCH(All!AA$1,Spring!$1:$1,FALSE))="","",INDEX(Spring!$1:$1048576,MATCH(All!$A358,Spring!$A:$A,FALSE),MATCH(All!AA$1,Spring!$1:$1,FALSE))),"")</f>
        <v/>
      </c>
      <c r="AB358" t="str">
        <f>IFERROR(IF(INDEX(Spring!$1:$1048576,MATCH(All!$A358,Spring!$A:$A,FALSE),MATCH(All!AB$1,Spring!$1:$1,FALSE))="","",INDEX(Spring!$1:$1048576,MATCH(All!$A358,Spring!$A:$A,FALSE),MATCH(All!AB$1,Spring!$1:$1,FALSE))),"")</f>
        <v/>
      </c>
      <c r="AC358" t="str">
        <f>IFERROR(IF(INDEX(Spring!$1:$1048576,MATCH(All!$A358,Spring!$A:$A,FALSE),MATCH(All!AC$1,Spring!$1:$1,FALSE))="","",INDEX(Spring!$1:$1048576,MATCH(All!$A358,Spring!$A:$A,FALSE),MATCH(All!AC$1,Spring!$1:$1,FALSE))),"")</f>
        <v/>
      </c>
      <c r="AD358" t="str">
        <f>IFERROR(VLOOKUP(A358,'Flag Football'!A:A,1,FALSE),"")</f>
        <v/>
      </c>
      <c r="AE358" t="str">
        <f t="shared" si="5"/>
        <v/>
      </c>
    </row>
    <row r="359" spans="1:31" ht="15.75" thickBot="1" x14ac:dyDescent="0.3">
      <c r="A359" s="20" t="s">
        <v>447</v>
      </c>
      <c r="B359" s="38">
        <f>IFERROR(VLOOKUP(A359,'Public v Private'!A:G,3,FALSE),"")</f>
        <v>0</v>
      </c>
      <c r="C359" s="38">
        <f>IFERROR(VLOOKUP(A359,'Public v Private'!A:G,4,FALSE),"")</f>
        <v>0</v>
      </c>
      <c r="D359" s="38">
        <f>IFERROR(VLOOKUP(A359,'Public v Private'!A:G,5,FALSE),"")</f>
        <v>0</v>
      </c>
      <c r="E359" s="38"/>
      <c r="F359" s="40">
        <f>IFERROR(INDEX(Fall!$1:$1048576,MATCH(All!$A359,Fall!$A:$A,FALSE),MATCH(All!F$1,Fall!$1:$1,FALSE)),"N/A")</f>
        <v>3396</v>
      </c>
      <c r="G359" t="str">
        <f>IFERROR(IF(INDEX(Fall!$1:$1048576,MATCH(All!$A359,Fall!$A:$A,FALSE),MATCH(All!G$1,Fall!$1:$1,FALSE))="","",INDEX(Fall!$1:$1048576,MATCH(All!$A359,Fall!$A:$A,FALSE),MATCH(All!G$1,Fall!$1:$1,FALSE))),"")</f>
        <v>3A</v>
      </c>
      <c r="H359" t="str">
        <f>IFERROR(IF(INDEX(Fall!$1:$1048576,MATCH(All!$A359,Fall!$A:$A,FALSE),MATCH(All!H$1,Fall!$1:$1,FALSE))="","",INDEX(Fall!$1:$1048576,MATCH(All!$A359,Fall!$A:$A,FALSE),MATCH(All!H$1,Fall!$1:$1,FALSE))),"")</f>
        <v>3A</v>
      </c>
      <c r="I359" t="str">
        <f>IFERROR(IF(INDEX(Fall!$1:$1048576,MATCH(All!$A359,Fall!$A:$A,FALSE),MATCH(All!I$1,Fall!$1:$1,FALSE))="","",INDEX(Fall!$1:$1048576,MATCH(All!$A359,Fall!$A:$A,FALSE),MATCH(All!I$1,Fall!$1:$1,FALSE))),"")</f>
        <v>3A</v>
      </c>
      <c r="J359" t="str">
        <f>IFERROR(IF(INDEX(Fall!$1:$1048576,MATCH(All!$A359,Fall!$A:$A,FALSE),MATCH(All!J$1,Fall!$1:$1,FALSE))="","",INDEX(Fall!$1:$1048576,MATCH(All!$A359,Fall!$A:$A,FALSE),MATCH(All!J$1,Fall!$1:$1,FALSE))),"")</f>
        <v/>
      </c>
      <c r="K359" t="str">
        <f>IFERROR(IF(INDEX(Fall!$1:$1048576,MATCH(All!$A359,Fall!$A:$A,FALSE),MATCH(All!K$1,Fall!$1:$1,FALSE))="","",INDEX(Fall!$1:$1048576,MATCH(All!$A359,Fall!$A:$A,FALSE),MATCH(All!K$1,Fall!$1:$1,FALSE))),"")</f>
        <v>3A</v>
      </c>
      <c r="L359" t="str">
        <f>IFERROR(IF(INDEX(Fall!$1:$1048576,MATCH(All!$A359,Fall!$A:$A,FALSE),MATCH(All!L$1,Fall!$1:$1,FALSE))="","",INDEX(Fall!$1:$1048576,MATCH(All!$A359,Fall!$A:$A,FALSE),MATCH(All!L$1,Fall!$1:$1,FALSE))),"")</f>
        <v>2A</v>
      </c>
      <c r="M359" t="str">
        <f>IFERROR(IF(INDEX(Fall!$1:$1048576,MATCH(All!$A359,Fall!$A:$A,FALSE),MATCH(All!M$1,Fall!$1:$1,FALSE))="","",INDEX(Fall!$1:$1048576,MATCH(All!$A359,Fall!$A:$A,FALSE),MATCH(All!M$1,Fall!$1:$1,FALSE))),"")</f>
        <v>4A</v>
      </c>
      <c r="O359">
        <f>IFERROR(IF(INDEX(Winter!$1:$1048576,MATCH(All!$A359,Winter!$A:$A,FALSE),MATCH(All!O$1,Winter!$1:$1,FALSE))="","",INDEX(Winter!$1:$1048576,MATCH(All!$A359,Winter!$A:$A,FALSE),MATCH(All!O$1,Winter!$1:$1,FALSE))),"")</f>
        <v>3396</v>
      </c>
      <c r="P359" t="str">
        <f>IFERROR(IF(INDEX(Winter!$1:$1048576,MATCH(All!$A359,Winter!$A:$A,FALSE),MATCH(All!P$1,Winter!$1:$1,FALSE))="","",INDEX(Winter!$1:$1048576,MATCH(All!$A359,Winter!$A:$A,FALSE),MATCH(All!P$1,Winter!$1:$1,FALSE))),"")</f>
        <v>4A</v>
      </c>
      <c r="Q359" t="str">
        <f>IFERROR(IF(INDEX(Winter!$1:$1048576,MATCH(All!$A359,Winter!$A:$A,FALSE),MATCH(All!Q$1,Winter!$1:$1,FALSE))="","",INDEX(Winter!$1:$1048576,MATCH(All!$A359,Winter!$A:$A,FALSE),MATCH(All!Q$1,Winter!$1:$1,FALSE))),"")</f>
        <v>4A</v>
      </c>
      <c r="R359" t="str">
        <f>IFERROR(IF(INDEX(Winter!$1:$1048576,MATCH(All!$A359,Winter!$A:$A,FALSE),MATCH(All!R$1,Winter!$1:$1,FALSE))="","",INDEX(Winter!$1:$1048576,MATCH(All!$A359,Winter!$A:$A,FALSE),MATCH(All!R$1,Winter!$1:$1,FALSE))),"")</f>
        <v>3A</v>
      </c>
      <c r="S359" t="str">
        <f>IFERROR(IF(INDEX(Winter!$1:$1048576,MATCH(All!$A359,Winter!$A:$A,FALSE),MATCH(All!S$1,Winter!$1:$1,FALSE))="","",INDEX(Winter!$1:$1048576,MATCH(All!$A359,Winter!$A:$A,FALSE),MATCH(All!S$1,Winter!$1:$1,FALSE))),"")</f>
        <v>3A</v>
      </c>
      <c r="T359" t="str">
        <f>IFERROR(IF(INDEX(Winter!$1:$1048576,MATCH(All!$A359,Winter!$A:$A,FALSE),MATCH(All!T$1,Winter!$1:$1,FALSE))="","",INDEX(Winter!$1:$1048576,MATCH(All!$A359,Winter!$A:$A,FALSE),MATCH(All!T$1,Winter!$1:$1,FALSE))),"")</f>
        <v>2A</v>
      </c>
      <c r="U359" t="str">
        <f>IFERROR(IF(INDEX(Winter!$1:$1048576,MATCH(All!$A359,Winter!$A:$A,FALSE),MATCH(All!U$1,Winter!$1:$1,FALSE))="","",INDEX(Winter!$1:$1048576,MATCH(All!$A359,Winter!$A:$A,FALSE),MATCH(All!U$1,Winter!$1:$1,FALSE))),"")</f>
        <v>3A</v>
      </c>
      <c r="W359">
        <f>IFERROR(IF(INDEX(Spring!$1:$1048576,MATCH(All!$A359,Spring!$A:$A,FALSE),MATCH(All!W$1,Spring!$1:$1,FALSE))="","",INDEX(Spring!$1:$1048576,MATCH(All!$A359,Spring!$A:$A,FALSE),MATCH(All!W$1,Spring!$1:$1,FALSE))),"")</f>
        <v>3396</v>
      </c>
      <c r="X359" t="str">
        <f>IFERROR(IF(INDEX(Spring!$1:$1048576,MATCH(All!$A359,Spring!$A:$A,FALSE),MATCH(All!X$1,Spring!$1:$1,FALSE))="","",INDEX(Spring!$1:$1048576,MATCH(All!$A359,Spring!$A:$A,FALSE),MATCH(All!X$1,Spring!$1:$1,FALSE))),"")</f>
        <v>4A</v>
      </c>
      <c r="Y359" t="str">
        <f>IFERROR(IF(INDEX(Spring!$1:$1048576,MATCH(All!$A359,Spring!$A:$A,FALSE),MATCH(All!Y$1,Spring!$1:$1,FALSE))="","",INDEX(Spring!$1:$1048576,MATCH(All!$A359,Spring!$A:$A,FALSE),MATCH(All!Y$1,Spring!$1:$1,FALSE))),"")</f>
        <v>4A</v>
      </c>
      <c r="Z359" t="str">
        <f>IFERROR(IF(INDEX(Spring!$1:$1048576,MATCH(All!$A359,Spring!$A:$A,FALSE),MATCH(All!Z$1,Spring!$1:$1,FALSE))="","",INDEX(Spring!$1:$1048576,MATCH(All!$A359,Spring!$A:$A,FALSE),MATCH(All!Z$1,Spring!$1:$1,FALSE))),"")</f>
        <v>3A</v>
      </c>
      <c r="AA359" t="str">
        <f>IFERROR(IF(INDEX(Spring!$1:$1048576,MATCH(All!$A359,Spring!$A:$A,FALSE),MATCH(All!AA$1,Spring!$1:$1,FALSE))="","",INDEX(Spring!$1:$1048576,MATCH(All!$A359,Spring!$A:$A,FALSE),MATCH(All!AA$1,Spring!$1:$1,FALSE))),"")</f>
        <v>2A</v>
      </c>
      <c r="AB359" t="str">
        <f>IFERROR(IF(INDEX(Spring!$1:$1048576,MATCH(All!$A359,Spring!$A:$A,FALSE),MATCH(All!AB$1,Spring!$1:$1,FALSE))="","",INDEX(Spring!$1:$1048576,MATCH(All!$A359,Spring!$A:$A,FALSE),MATCH(All!AB$1,Spring!$1:$1,FALSE))),"")</f>
        <v>3A</v>
      </c>
      <c r="AC359" t="str">
        <f>IFERROR(IF(INDEX(Spring!$1:$1048576,MATCH(All!$A359,Spring!$A:$A,FALSE),MATCH(All!AC$1,Spring!$1:$1,FALSE))="","",INDEX(Spring!$1:$1048576,MATCH(All!$A359,Spring!$A:$A,FALSE),MATCH(All!AC$1,Spring!$1:$1,FALSE))),"")</f>
        <v>3A</v>
      </c>
      <c r="AD359" t="str">
        <f>IFERROR(VLOOKUP(A359,'Flag Football'!A:A,1,FALSE),"")</f>
        <v>Franklin Park-Northlake (Leyden)</v>
      </c>
      <c r="AE359" t="str">
        <f t="shared" si="5"/>
        <v>1A</v>
      </c>
    </row>
    <row r="360" spans="1:31" ht="15.75" thickBot="1" x14ac:dyDescent="0.3">
      <c r="A360" s="18" t="s">
        <v>448</v>
      </c>
      <c r="B360" s="38">
        <f>IFERROR(VLOOKUP(A360,'Public v Private'!A:G,3,FALSE),"")</f>
        <v>0</v>
      </c>
      <c r="C360" s="38">
        <f>IFERROR(VLOOKUP(A360,'Public v Private'!A:G,4,FALSE),"")</f>
        <v>0</v>
      </c>
      <c r="D360" s="38">
        <f>IFERROR(VLOOKUP(A360,'Public v Private'!A:G,5,FALSE),"")</f>
        <v>0</v>
      </c>
      <c r="E360" s="38"/>
      <c r="F360" s="40">
        <f>IFERROR(INDEX(Fall!$1:$1048576,MATCH(All!$A360,Fall!$A:$A,FALSE),MATCH(All!F$1,Fall!$1:$1,FALSE)),"N/A")</f>
        <v>664</v>
      </c>
      <c r="G360" t="str">
        <f>IFERROR(IF(INDEX(Fall!$1:$1048576,MATCH(All!$A360,Fall!$A:$A,FALSE),MATCH(All!G$1,Fall!$1:$1,FALSE))="","",INDEX(Fall!$1:$1048576,MATCH(All!$A360,Fall!$A:$A,FALSE),MATCH(All!G$1,Fall!$1:$1,FALSE))),"")</f>
        <v>2A</v>
      </c>
      <c r="H360" t="str">
        <f>IFERROR(IF(INDEX(Fall!$1:$1048576,MATCH(All!$A360,Fall!$A:$A,FALSE),MATCH(All!H$1,Fall!$1:$1,FALSE))="","",INDEX(Fall!$1:$1048576,MATCH(All!$A360,Fall!$A:$A,FALSE),MATCH(All!H$1,Fall!$1:$1,FALSE))),"")</f>
        <v>2A</v>
      </c>
      <c r="I360" t="str">
        <f>IFERROR(IF(INDEX(Fall!$1:$1048576,MATCH(All!$A360,Fall!$A:$A,FALSE),MATCH(All!I$1,Fall!$1:$1,FALSE))="","",INDEX(Fall!$1:$1048576,MATCH(All!$A360,Fall!$A:$A,FALSE),MATCH(All!I$1,Fall!$1:$1,FALSE))),"")</f>
        <v>2A</v>
      </c>
      <c r="J360" t="str">
        <f>IFERROR(IF(INDEX(Fall!$1:$1048576,MATCH(All!$A360,Fall!$A:$A,FALSE),MATCH(All!J$1,Fall!$1:$1,FALSE))="","",INDEX(Fall!$1:$1048576,MATCH(All!$A360,Fall!$A:$A,FALSE),MATCH(All!J$1,Fall!$1:$1,FALSE))),"")</f>
        <v>1A</v>
      </c>
      <c r="K360" t="str">
        <f>IFERROR(IF(INDEX(Fall!$1:$1048576,MATCH(All!$A360,Fall!$A:$A,FALSE),MATCH(All!K$1,Fall!$1:$1,FALSE))="","",INDEX(Fall!$1:$1048576,MATCH(All!$A360,Fall!$A:$A,FALSE),MATCH(All!K$1,Fall!$1:$1,FALSE))),"")</f>
        <v>1A</v>
      </c>
      <c r="L360" t="str">
        <f>IFERROR(IF(INDEX(Fall!$1:$1048576,MATCH(All!$A360,Fall!$A:$A,FALSE),MATCH(All!L$1,Fall!$1:$1,FALSE))="","",INDEX(Fall!$1:$1048576,MATCH(All!$A360,Fall!$A:$A,FALSE),MATCH(All!L$1,Fall!$1:$1,FALSE))),"")</f>
        <v/>
      </c>
      <c r="M360" t="str">
        <f>IFERROR(IF(INDEX(Fall!$1:$1048576,MATCH(All!$A360,Fall!$A:$A,FALSE),MATCH(All!M$1,Fall!$1:$1,FALSE))="","",INDEX(Fall!$1:$1048576,MATCH(All!$A360,Fall!$A:$A,FALSE),MATCH(All!M$1,Fall!$1:$1,FALSE))),"")</f>
        <v>2A</v>
      </c>
      <c r="O360">
        <f>IFERROR(IF(INDEX(Winter!$1:$1048576,MATCH(All!$A360,Winter!$A:$A,FALSE),MATCH(All!O$1,Winter!$1:$1,FALSE))="","",INDEX(Winter!$1:$1048576,MATCH(All!$A360,Winter!$A:$A,FALSE),MATCH(All!O$1,Winter!$1:$1,FALSE))),"")</f>
        <v>664</v>
      </c>
      <c r="P360" t="str">
        <f>IFERROR(IF(INDEX(Winter!$1:$1048576,MATCH(All!$A360,Winter!$A:$A,FALSE),MATCH(All!P$1,Winter!$1:$1,FALSE))="","",INDEX(Winter!$1:$1048576,MATCH(All!$A360,Winter!$A:$A,FALSE),MATCH(All!P$1,Winter!$1:$1,FALSE))),"")</f>
        <v>2A</v>
      </c>
      <c r="Q360" t="str">
        <f>IFERROR(IF(INDEX(Winter!$1:$1048576,MATCH(All!$A360,Winter!$A:$A,FALSE),MATCH(All!Q$1,Winter!$1:$1,FALSE))="","",INDEX(Winter!$1:$1048576,MATCH(All!$A360,Winter!$A:$A,FALSE),MATCH(All!Q$1,Winter!$1:$1,FALSE))),"")</f>
        <v>2A</v>
      </c>
      <c r="R360" t="str">
        <f>IFERROR(IF(INDEX(Winter!$1:$1048576,MATCH(All!$A360,Winter!$A:$A,FALSE),MATCH(All!R$1,Winter!$1:$1,FALSE))="","",INDEX(Winter!$1:$1048576,MATCH(All!$A360,Winter!$A:$A,FALSE),MATCH(All!R$1,Winter!$1:$1,FALSE))),"")</f>
        <v/>
      </c>
      <c r="S360" t="str">
        <f>IFERROR(IF(INDEX(Winter!$1:$1048576,MATCH(All!$A360,Winter!$A:$A,FALSE),MATCH(All!S$1,Winter!$1:$1,FALSE))="","",INDEX(Winter!$1:$1048576,MATCH(All!$A360,Winter!$A:$A,FALSE),MATCH(All!S$1,Winter!$1:$1,FALSE))),"")</f>
        <v>1A</v>
      </c>
      <c r="T360" t="str">
        <f>IFERROR(IF(INDEX(Winter!$1:$1048576,MATCH(All!$A360,Winter!$A:$A,FALSE),MATCH(All!T$1,Winter!$1:$1,FALSE))="","",INDEX(Winter!$1:$1048576,MATCH(All!$A360,Winter!$A:$A,FALSE),MATCH(All!T$1,Winter!$1:$1,FALSE))),"")</f>
        <v>2A</v>
      </c>
      <c r="U360" t="str">
        <f>IFERROR(IF(INDEX(Winter!$1:$1048576,MATCH(All!$A360,Winter!$A:$A,FALSE),MATCH(All!U$1,Winter!$1:$1,FALSE))="","",INDEX(Winter!$1:$1048576,MATCH(All!$A360,Winter!$A:$A,FALSE),MATCH(All!U$1,Winter!$1:$1,FALSE))),"")</f>
        <v>1A</v>
      </c>
      <c r="W360">
        <f>IFERROR(IF(INDEX(Spring!$1:$1048576,MATCH(All!$A360,Spring!$A:$A,FALSE),MATCH(All!W$1,Spring!$1:$1,FALSE))="","",INDEX(Spring!$1:$1048576,MATCH(All!$A360,Spring!$A:$A,FALSE),MATCH(All!W$1,Spring!$1:$1,FALSE))),"")</f>
        <v>664</v>
      </c>
      <c r="X360" t="str">
        <f>IFERROR(IF(INDEX(Spring!$1:$1048576,MATCH(All!$A360,Spring!$A:$A,FALSE),MATCH(All!X$1,Spring!$1:$1,FALSE))="","",INDEX(Spring!$1:$1048576,MATCH(All!$A360,Spring!$A:$A,FALSE),MATCH(All!X$1,Spring!$1:$1,FALSE))),"")</f>
        <v>2A</v>
      </c>
      <c r="Y360" t="str">
        <f>IFERROR(IF(INDEX(Spring!$1:$1048576,MATCH(All!$A360,Spring!$A:$A,FALSE),MATCH(All!Y$1,Spring!$1:$1,FALSE))="","",INDEX(Spring!$1:$1048576,MATCH(All!$A360,Spring!$A:$A,FALSE),MATCH(All!Y$1,Spring!$1:$1,FALSE))),"")</f>
        <v>2A</v>
      </c>
      <c r="Z360" t="str">
        <f>IFERROR(IF(INDEX(Spring!$1:$1048576,MATCH(All!$A360,Spring!$A:$A,FALSE),MATCH(All!Z$1,Spring!$1:$1,FALSE))="","",INDEX(Spring!$1:$1048576,MATCH(All!$A360,Spring!$A:$A,FALSE),MATCH(All!Z$1,Spring!$1:$1,FALSE))),"")</f>
        <v>1A</v>
      </c>
      <c r="AA360" t="str">
        <f>IFERROR(IF(INDEX(Spring!$1:$1048576,MATCH(All!$A360,Spring!$A:$A,FALSE),MATCH(All!AA$1,Spring!$1:$1,FALSE))="","",INDEX(Spring!$1:$1048576,MATCH(All!$A360,Spring!$A:$A,FALSE),MATCH(All!AA$1,Spring!$1:$1,FALSE))),"")</f>
        <v/>
      </c>
      <c r="AB360" t="str">
        <f>IFERROR(IF(INDEX(Spring!$1:$1048576,MATCH(All!$A360,Spring!$A:$A,FALSE),MATCH(All!AB$1,Spring!$1:$1,FALSE))="","",INDEX(Spring!$1:$1048576,MATCH(All!$A360,Spring!$A:$A,FALSE),MATCH(All!AB$1,Spring!$1:$1,FALSE))),"")</f>
        <v>2A</v>
      </c>
      <c r="AC360" t="str">
        <f>IFERROR(IF(INDEX(Spring!$1:$1048576,MATCH(All!$A360,Spring!$A:$A,FALSE),MATCH(All!AC$1,Spring!$1:$1,FALSE))="","",INDEX(Spring!$1:$1048576,MATCH(All!$A360,Spring!$A:$A,FALSE),MATCH(All!AC$1,Spring!$1:$1,FALSE))),"")</f>
        <v>2A</v>
      </c>
      <c r="AD360" t="str">
        <f>IFERROR(VLOOKUP(A360,'Flag Football'!A:A,1,FALSE),"")</f>
        <v/>
      </c>
      <c r="AE360" t="str">
        <f t="shared" si="5"/>
        <v/>
      </c>
    </row>
    <row r="361" spans="1:31" ht="15.75" thickBot="1" x14ac:dyDescent="0.3">
      <c r="A361" s="20" t="s">
        <v>449</v>
      </c>
      <c r="B361" s="38">
        <f>IFERROR(VLOOKUP(A361,'Public v Private'!A:G,3,FALSE),"")</f>
        <v>0</v>
      </c>
      <c r="C361" s="38">
        <f>IFERROR(VLOOKUP(A361,'Public v Private'!A:G,4,FALSE),"")</f>
        <v>0</v>
      </c>
      <c r="D361" s="38">
        <f>IFERROR(VLOOKUP(A361,'Public v Private'!A:G,5,FALSE),"")</f>
        <v>0</v>
      </c>
      <c r="E361" s="38"/>
      <c r="F361" s="40">
        <f>IFERROR(INDEX(Fall!$1:$1048576,MATCH(All!$A361,Fall!$A:$A,FALSE),MATCH(All!F$1,Fall!$1:$1,FALSE)),"N/A")</f>
        <v>1100</v>
      </c>
      <c r="G361" t="str">
        <f>IFERROR(IF(INDEX(Fall!$1:$1048576,MATCH(All!$A361,Fall!$A:$A,FALSE),MATCH(All!G$1,Fall!$1:$1,FALSE))="","",INDEX(Fall!$1:$1048576,MATCH(All!$A361,Fall!$A:$A,FALSE),MATCH(All!G$1,Fall!$1:$1,FALSE))),"")</f>
        <v>2A</v>
      </c>
      <c r="H361" t="str">
        <f>IFERROR(IF(INDEX(Fall!$1:$1048576,MATCH(All!$A361,Fall!$A:$A,FALSE),MATCH(All!H$1,Fall!$1:$1,FALSE))="","",INDEX(Fall!$1:$1048576,MATCH(All!$A361,Fall!$A:$A,FALSE),MATCH(All!H$1,Fall!$1:$1,FALSE))),"")</f>
        <v>2A</v>
      </c>
      <c r="I361" t="str">
        <f>IFERROR(IF(INDEX(Fall!$1:$1048576,MATCH(All!$A361,Fall!$A:$A,FALSE),MATCH(All!I$1,Fall!$1:$1,FALSE))="","",INDEX(Fall!$1:$1048576,MATCH(All!$A361,Fall!$A:$A,FALSE),MATCH(All!I$1,Fall!$1:$1,FALSE))),"")</f>
        <v>2A</v>
      </c>
      <c r="J361" t="str">
        <f>IFERROR(IF(INDEX(Fall!$1:$1048576,MATCH(All!$A361,Fall!$A:$A,FALSE),MATCH(All!J$1,Fall!$1:$1,FALSE))="","",INDEX(Fall!$1:$1048576,MATCH(All!$A361,Fall!$A:$A,FALSE),MATCH(All!J$1,Fall!$1:$1,FALSE))),"")</f>
        <v/>
      </c>
      <c r="K361" t="str">
        <f>IFERROR(IF(INDEX(Fall!$1:$1048576,MATCH(All!$A361,Fall!$A:$A,FALSE),MATCH(All!K$1,Fall!$1:$1,FALSE))="","",INDEX(Fall!$1:$1048576,MATCH(All!$A361,Fall!$A:$A,FALSE),MATCH(All!K$1,Fall!$1:$1,FALSE))),"")</f>
        <v>2A</v>
      </c>
      <c r="L361" t="str">
        <f>IFERROR(IF(INDEX(Fall!$1:$1048576,MATCH(All!$A361,Fall!$A:$A,FALSE),MATCH(All!L$1,Fall!$1:$1,FALSE))="","",INDEX(Fall!$1:$1048576,MATCH(All!$A361,Fall!$A:$A,FALSE),MATCH(All!L$1,Fall!$1:$1,FALSE))),"")</f>
        <v>1A</v>
      </c>
      <c r="M361" t="str">
        <f>IFERROR(IF(INDEX(Fall!$1:$1048576,MATCH(All!$A361,Fall!$A:$A,FALSE),MATCH(All!M$1,Fall!$1:$1,FALSE))="","",INDEX(Fall!$1:$1048576,MATCH(All!$A361,Fall!$A:$A,FALSE),MATCH(All!M$1,Fall!$1:$1,FALSE))),"")</f>
        <v>3A</v>
      </c>
      <c r="O361">
        <f>IFERROR(IF(INDEX(Winter!$1:$1048576,MATCH(All!$A361,Winter!$A:$A,FALSE),MATCH(All!O$1,Winter!$1:$1,FALSE))="","",INDEX(Winter!$1:$1048576,MATCH(All!$A361,Winter!$A:$A,FALSE),MATCH(All!O$1,Winter!$1:$1,FALSE))),"")</f>
        <v>1100</v>
      </c>
      <c r="P361" t="str">
        <f>IFERROR(IF(INDEX(Winter!$1:$1048576,MATCH(All!$A361,Winter!$A:$A,FALSE),MATCH(All!P$1,Winter!$1:$1,FALSE))="","",INDEX(Winter!$1:$1048576,MATCH(All!$A361,Winter!$A:$A,FALSE),MATCH(All!P$1,Winter!$1:$1,FALSE))),"")</f>
        <v>3A</v>
      </c>
      <c r="Q361" t="str">
        <f>IFERROR(IF(INDEX(Winter!$1:$1048576,MATCH(All!$A361,Winter!$A:$A,FALSE),MATCH(All!Q$1,Winter!$1:$1,FALSE))="","",INDEX(Winter!$1:$1048576,MATCH(All!$A361,Winter!$A:$A,FALSE),MATCH(All!Q$1,Winter!$1:$1,FALSE))),"")</f>
        <v>3A</v>
      </c>
      <c r="R361" t="str">
        <f>IFERROR(IF(INDEX(Winter!$1:$1048576,MATCH(All!$A361,Winter!$A:$A,FALSE),MATCH(All!R$1,Winter!$1:$1,FALSE))="","",INDEX(Winter!$1:$1048576,MATCH(All!$A361,Winter!$A:$A,FALSE),MATCH(All!R$1,Winter!$1:$1,FALSE))),"")</f>
        <v>2A</v>
      </c>
      <c r="S361" t="str">
        <f>IFERROR(IF(INDEX(Winter!$1:$1048576,MATCH(All!$A361,Winter!$A:$A,FALSE),MATCH(All!S$1,Winter!$1:$1,FALSE))="","",INDEX(Winter!$1:$1048576,MATCH(All!$A361,Winter!$A:$A,FALSE),MATCH(All!S$1,Winter!$1:$1,FALSE))),"")</f>
        <v>2A</v>
      </c>
      <c r="T361" t="str">
        <f>IFERROR(IF(INDEX(Winter!$1:$1048576,MATCH(All!$A361,Winter!$A:$A,FALSE),MATCH(All!T$1,Winter!$1:$1,FALSE))="","",INDEX(Winter!$1:$1048576,MATCH(All!$A361,Winter!$A:$A,FALSE),MATCH(All!T$1,Winter!$1:$1,FALSE))),"")</f>
        <v/>
      </c>
      <c r="U361" t="str">
        <f>IFERROR(IF(INDEX(Winter!$1:$1048576,MATCH(All!$A361,Winter!$A:$A,FALSE),MATCH(All!U$1,Winter!$1:$1,FALSE))="","",INDEX(Winter!$1:$1048576,MATCH(All!$A361,Winter!$A:$A,FALSE),MATCH(All!U$1,Winter!$1:$1,FALSE))),"")</f>
        <v>2A</v>
      </c>
      <c r="W361">
        <f>IFERROR(IF(INDEX(Spring!$1:$1048576,MATCH(All!$A361,Spring!$A:$A,FALSE),MATCH(All!W$1,Spring!$1:$1,FALSE))="","",INDEX(Spring!$1:$1048576,MATCH(All!$A361,Spring!$A:$A,FALSE),MATCH(All!W$1,Spring!$1:$1,FALSE))),"")</f>
        <v>1100</v>
      </c>
      <c r="X361" t="str">
        <f>IFERROR(IF(INDEX(Spring!$1:$1048576,MATCH(All!$A361,Spring!$A:$A,FALSE),MATCH(All!X$1,Spring!$1:$1,FALSE))="","",INDEX(Spring!$1:$1048576,MATCH(All!$A361,Spring!$A:$A,FALSE),MATCH(All!X$1,Spring!$1:$1,FALSE))),"")</f>
        <v>3A</v>
      </c>
      <c r="Y361" t="str">
        <f>IFERROR(IF(INDEX(Spring!$1:$1048576,MATCH(All!$A361,Spring!$A:$A,FALSE),MATCH(All!Y$1,Spring!$1:$1,FALSE))="","",INDEX(Spring!$1:$1048576,MATCH(All!$A361,Spring!$A:$A,FALSE),MATCH(All!Y$1,Spring!$1:$1,FALSE))),"")</f>
        <v>3A</v>
      </c>
      <c r="Z361" t="str">
        <f>IFERROR(IF(INDEX(Spring!$1:$1048576,MATCH(All!$A361,Spring!$A:$A,FALSE),MATCH(All!Z$1,Spring!$1:$1,FALSE))="","",INDEX(Spring!$1:$1048576,MATCH(All!$A361,Spring!$A:$A,FALSE),MATCH(All!Z$1,Spring!$1:$1,FALSE))),"")</f>
        <v>2A</v>
      </c>
      <c r="AA361" t="str">
        <f>IFERROR(IF(INDEX(Spring!$1:$1048576,MATCH(All!$A361,Spring!$A:$A,FALSE),MATCH(All!AA$1,Spring!$1:$1,FALSE))="","",INDEX(Spring!$1:$1048576,MATCH(All!$A361,Spring!$A:$A,FALSE),MATCH(All!AA$1,Spring!$1:$1,FALSE))),"")</f>
        <v>1A</v>
      </c>
      <c r="AB361" t="str">
        <f>IFERROR(IF(INDEX(Spring!$1:$1048576,MATCH(All!$A361,Spring!$A:$A,FALSE),MATCH(All!AB$1,Spring!$1:$1,FALSE))="","",INDEX(Spring!$1:$1048576,MATCH(All!$A361,Spring!$A:$A,FALSE),MATCH(All!AB$1,Spring!$1:$1,FALSE))),"")</f>
        <v>2A</v>
      </c>
      <c r="AC361" t="str">
        <f>IFERROR(IF(INDEX(Spring!$1:$1048576,MATCH(All!$A361,Spring!$A:$A,FALSE),MATCH(All!AC$1,Spring!$1:$1,FALSE))="","",INDEX(Spring!$1:$1048576,MATCH(All!$A361,Spring!$A:$A,FALSE),MATCH(All!AC$1,Spring!$1:$1,FALSE))),"")</f>
        <v>2A</v>
      </c>
      <c r="AD361" t="str">
        <f>IFERROR(VLOOKUP(A361,'Flag Football'!A:A,1,FALSE),"")</f>
        <v>Freeport (H.S.)</v>
      </c>
      <c r="AE361" t="str">
        <f t="shared" si="5"/>
        <v>1A</v>
      </c>
    </row>
    <row r="362" spans="1:31" ht="15.75" thickBot="1" x14ac:dyDescent="0.3">
      <c r="A362" s="18" t="s">
        <v>450</v>
      </c>
      <c r="B362" s="38">
        <f>IFERROR(VLOOKUP(A362,'Public v Private'!A:G,3,FALSE),"")</f>
        <v>0</v>
      </c>
      <c r="C362" s="38">
        <f>IFERROR(VLOOKUP(A362,'Public v Private'!A:G,4,FALSE),"")</f>
        <v>0</v>
      </c>
      <c r="D362" s="38">
        <f>IFERROR(VLOOKUP(A362,'Public v Private'!A:G,5,FALSE),"")</f>
        <v>0</v>
      </c>
      <c r="E362" s="38"/>
      <c r="F362" s="40">
        <f>IFERROR(INDEX(Fall!$1:$1048576,MATCH(All!$A362,Fall!$A:$A,FALSE),MATCH(All!F$1,Fall!$1:$1,FALSE)),"N/A")</f>
        <v>278</v>
      </c>
      <c r="G362" t="str">
        <f>IFERROR(IF(INDEX(Fall!$1:$1048576,MATCH(All!$A362,Fall!$A:$A,FALSE),MATCH(All!G$1,Fall!$1:$1,FALSE))="","",INDEX(Fall!$1:$1048576,MATCH(All!$A362,Fall!$A:$A,FALSE),MATCH(All!G$1,Fall!$1:$1,FALSE))),"")</f>
        <v/>
      </c>
      <c r="H362" t="str">
        <f>IFERROR(IF(INDEX(Fall!$1:$1048576,MATCH(All!$A362,Fall!$A:$A,FALSE),MATCH(All!H$1,Fall!$1:$1,FALSE))="","",INDEX(Fall!$1:$1048576,MATCH(All!$A362,Fall!$A:$A,FALSE),MATCH(All!H$1,Fall!$1:$1,FALSE))),"")</f>
        <v/>
      </c>
      <c r="I362" t="str">
        <f>IFERROR(IF(INDEX(Fall!$1:$1048576,MATCH(All!$A362,Fall!$A:$A,FALSE),MATCH(All!I$1,Fall!$1:$1,FALSE))="","",INDEX(Fall!$1:$1048576,MATCH(All!$A362,Fall!$A:$A,FALSE),MATCH(All!I$1,Fall!$1:$1,FALSE))),"")</f>
        <v>1A</v>
      </c>
      <c r="J362" t="str">
        <f>IFERROR(IF(INDEX(Fall!$1:$1048576,MATCH(All!$A362,Fall!$A:$A,FALSE),MATCH(All!J$1,Fall!$1:$1,FALSE))="","",INDEX(Fall!$1:$1048576,MATCH(All!$A362,Fall!$A:$A,FALSE),MATCH(All!J$1,Fall!$1:$1,FALSE))),"")</f>
        <v/>
      </c>
      <c r="K362" t="str">
        <f>IFERROR(IF(INDEX(Fall!$1:$1048576,MATCH(All!$A362,Fall!$A:$A,FALSE),MATCH(All!K$1,Fall!$1:$1,FALSE))="","",INDEX(Fall!$1:$1048576,MATCH(All!$A362,Fall!$A:$A,FALSE),MATCH(All!K$1,Fall!$1:$1,FALSE))),"")</f>
        <v/>
      </c>
      <c r="L362" t="str">
        <f>IFERROR(IF(INDEX(Fall!$1:$1048576,MATCH(All!$A362,Fall!$A:$A,FALSE),MATCH(All!L$1,Fall!$1:$1,FALSE))="","",INDEX(Fall!$1:$1048576,MATCH(All!$A362,Fall!$A:$A,FALSE),MATCH(All!L$1,Fall!$1:$1,FALSE))),"")</f>
        <v/>
      </c>
      <c r="M362" t="str">
        <f>IFERROR(IF(INDEX(Fall!$1:$1048576,MATCH(All!$A362,Fall!$A:$A,FALSE),MATCH(All!M$1,Fall!$1:$1,FALSE))="","",INDEX(Fall!$1:$1048576,MATCH(All!$A362,Fall!$A:$A,FALSE),MATCH(All!M$1,Fall!$1:$1,FALSE))),"")</f>
        <v>1A</v>
      </c>
      <c r="O362">
        <f>IFERROR(IF(INDEX(Winter!$1:$1048576,MATCH(All!$A362,Winter!$A:$A,FALSE),MATCH(All!O$1,Winter!$1:$1,FALSE))="","",INDEX(Winter!$1:$1048576,MATCH(All!$A362,Winter!$A:$A,FALSE),MATCH(All!O$1,Winter!$1:$1,FALSE))),"")</f>
        <v>278</v>
      </c>
      <c r="P362" t="str">
        <f>IFERROR(IF(INDEX(Winter!$1:$1048576,MATCH(All!$A362,Winter!$A:$A,FALSE),MATCH(All!P$1,Winter!$1:$1,FALSE))="","",INDEX(Winter!$1:$1048576,MATCH(All!$A362,Winter!$A:$A,FALSE),MATCH(All!P$1,Winter!$1:$1,FALSE))),"")</f>
        <v>1A</v>
      </c>
      <c r="Q362" t="str">
        <f>IFERROR(IF(INDEX(Winter!$1:$1048576,MATCH(All!$A362,Winter!$A:$A,FALSE),MATCH(All!Q$1,Winter!$1:$1,FALSE))="","",INDEX(Winter!$1:$1048576,MATCH(All!$A362,Winter!$A:$A,FALSE),MATCH(All!Q$1,Winter!$1:$1,FALSE))),"")</f>
        <v>1A</v>
      </c>
      <c r="R362" t="str">
        <f>IFERROR(IF(INDEX(Winter!$1:$1048576,MATCH(All!$A362,Winter!$A:$A,FALSE),MATCH(All!R$1,Winter!$1:$1,FALSE))="","",INDEX(Winter!$1:$1048576,MATCH(All!$A362,Winter!$A:$A,FALSE),MATCH(All!R$1,Winter!$1:$1,FALSE))),"")</f>
        <v>1A</v>
      </c>
      <c r="S362" t="str">
        <f>IFERROR(IF(INDEX(Winter!$1:$1048576,MATCH(All!$A362,Winter!$A:$A,FALSE),MATCH(All!S$1,Winter!$1:$1,FALSE))="","",INDEX(Winter!$1:$1048576,MATCH(All!$A362,Winter!$A:$A,FALSE),MATCH(All!S$1,Winter!$1:$1,FALSE))),"")</f>
        <v/>
      </c>
      <c r="T362" t="str">
        <f>IFERROR(IF(INDEX(Winter!$1:$1048576,MATCH(All!$A362,Winter!$A:$A,FALSE),MATCH(All!T$1,Winter!$1:$1,FALSE))="","",INDEX(Winter!$1:$1048576,MATCH(All!$A362,Winter!$A:$A,FALSE),MATCH(All!T$1,Winter!$1:$1,FALSE))),"")</f>
        <v>1A</v>
      </c>
      <c r="U362" t="str">
        <f>IFERROR(IF(INDEX(Winter!$1:$1048576,MATCH(All!$A362,Winter!$A:$A,FALSE),MATCH(All!U$1,Winter!$1:$1,FALSE))="","",INDEX(Winter!$1:$1048576,MATCH(All!$A362,Winter!$A:$A,FALSE),MATCH(All!U$1,Winter!$1:$1,FALSE))),"")</f>
        <v>1A</v>
      </c>
      <c r="W362">
        <f>IFERROR(IF(INDEX(Spring!$1:$1048576,MATCH(All!$A362,Spring!$A:$A,FALSE),MATCH(All!W$1,Spring!$1:$1,FALSE))="","",INDEX(Spring!$1:$1048576,MATCH(All!$A362,Spring!$A:$A,FALSE),MATCH(All!W$1,Spring!$1:$1,FALSE))),"")</f>
        <v>278</v>
      </c>
      <c r="X362" t="str">
        <f>IFERROR(IF(INDEX(Spring!$1:$1048576,MATCH(All!$A362,Spring!$A:$A,FALSE),MATCH(All!X$1,Spring!$1:$1,FALSE))="","",INDEX(Spring!$1:$1048576,MATCH(All!$A362,Spring!$A:$A,FALSE),MATCH(All!X$1,Spring!$1:$1,FALSE))),"")</f>
        <v>1A</v>
      </c>
      <c r="Y362" t="str">
        <f>IFERROR(IF(INDEX(Spring!$1:$1048576,MATCH(All!$A362,Spring!$A:$A,FALSE),MATCH(All!Y$1,Spring!$1:$1,FALSE))="","",INDEX(Spring!$1:$1048576,MATCH(All!$A362,Spring!$A:$A,FALSE),MATCH(All!Y$1,Spring!$1:$1,FALSE))),"")</f>
        <v>1A</v>
      </c>
      <c r="Z362" t="str">
        <f>IFERROR(IF(INDEX(Spring!$1:$1048576,MATCH(All!$A362,Spring!$A:$A,FALSE),MATCH(All!Z$1,Spring!$1:$1,FALSE))="","",INDEX(Spring!$1:$1048576,MATCH(All!$A362,Spring!$A:$A,FALSE),MATCH(All!Z$1,Spring!$1:$1,FALSE))),"")</f>
        <v/>
      </c>
      <c r="AA362" t="str">
        <f>IFERROR(IF(INDEX(Spring!$1:$1048576,MATCH(All!$A362,Spring!$A:$A,FALSE),MATCH(All!AA$1,Spring!$1:$1,FALSE))="","",INDEX(Spring!$1:$1048576,MATCH(All!$A362,Spring!$A:$A,FALSE),MATCH(All!AA$1,Spring!$1:$1,FALSE))),"")</f>
        <v/>
      </c>
      <c r="AB362" t="str">
        <f>IFERROR(IF(INDEX(Spring!$1:$1048576,MATCH(All!$A362,Spring!$A:$A,FALSE),MATCH(All!AB$1,Spring!$1:$1,FALSE))="","",INDEX(Spring!$1:$1048576,MATCH(All!$A362,Spring!$A:$A,FALSE),MATCH(All!AB$1,Spring!$1:$1,FALSE))),"")</f>
        <v>1A</v>
      </c>
      <c r="AC362" t="str">
        <f>IFERROR(IF(INDEX(Spring!$1:$1048576,MATCH(All!$A362,Spring!$A:$A,FALSE),MATCH(All!AC$1,Spring!$1:$1,FALSE))="","",INDEX(Spring!$1:$1048576,MATCH(All!$A362,Spring!$A:$A,FALSE),MATCH(All!AC$1,Spring!$1:$1,FALSE))),"")</f>
        <v>1A</v>
      </c>
      <c r="AD362" t="str">
        <f>IFERROR(VLOOKUP(A362,'Flag Football'!A:A,1,FALSE),"")</f>
        <v/>
      </c>
      <c r="AE362" t="str">
        <f t="shared" si="5"/>
        <v/>
      </c>
    </row>
    <row r="363" spans="1:31" ht="15.75" thickBot="1" x14ac:dyDescent="0.3">
      <c r="A363" s="20" t="s">
        <v>451</v>
      </c>
      <c r="B363" s="38">
        <f>IFERROR(VLOOKUP(A363,'Public v Private'!A:G,3,FALSE),"")</f>
        <v>0</v>
      </c>
      <c r="C363" s="38">
        <f>IFERROR(VLOOKUP(A363,'Public v Private'!A:G,4,FALSE),"")</f>
        <v>0</v>
      </c>
      <c r="D363" s="38">
        <f>IFERROR(VLOOKUP(A363,'Public v Private'!A:G,5,FALSE),"")</f>
        <v>0</v>
      </c>
      <c r="E363" s="38"/>
      <c r="F363" s="40">
        <f>IFERROR(INDEX(Fall!$1:$1048576,MATCH(All!$A363,Fall!$A:$A,FALSE),MATCH(All!F$1,Fall!$1:$1,FALSE)),"N/A")</f>
        <v>115</v>
      </c>
      <c r="G363" t="str">
        <f>IFERROR(IF(INDEX(Fall!$1:$1048576,MATCH(All!$A363,Fall!$A:$A,FALSE),MATCH(All!G$1,Fall!$1:$1,FALSE))="","",INDEX(Fall!$1:$1048576,MATCH(All!$A363,Fall!$A:$A,FALSE),MATCH(All!G$1,Fall!$1:$1,FALSE))),"")</f>
        <v>1A</v>
      </c>
      <c r="H363" t="str">
        <f>IFERROR(IF(INDEX(Fall!$1:$1048576,MATCH(All!$A363,Fall!$A:$A,FALSE),MATCH(All!H$1,Fall!$1:$1,FALSE))="","",INDEX(Fall!$1:$1048576,MATCH(All!$A363,Fall!$A:$A,FALSE),MATCH(All!H$1,Fall!$1:$1,FALSE))),"")</f>
        <v/>
      </c>
      <c r="I363" t="str">
        <f>IFERROR(IF(INDEX(Fall!$1:$1048576,MATCH(All!$A363,Fall!$A:$A,FALSE),MATCH(All!I$1,Fall!$1:$1,FALSE))="","",INDEX(Fall!$1:$1048576,MATCH(All!$A363,Fall!$A:$A,FALSE),MATCH(All!I$1,Fall!$1:$1,FALSE))),"")</f>
        <v/>
      </c>
      <c r="J363" t="str">
        <f>IFERROR(IF(INDEX(Fall!$1:$1048576,MATCH(All!$A363,Fall!$A:$A,FALSE),MATCH(All!J$1,Fall!$1:$1,FALSE))="","",INDEX(Fall!$1:$1048576,MATCH(All!$A363,Fall!$A:$A,FALSE),MATCH(All!J$1,Fall!$1:$1,FALSE))),"")</f>
        <v/>
      </c>
      <c r="K363" t="str">
        <f>IFERROR(IF(INDEX(Fall!$1:$1048576,MATCH(All!$A363,Fall!$A:$A,FALSE),MATCH(All!K$1,Fall!$1:$1,FALSE))="","",INDEX(Fall!$1:$1048576,MATCH(All!$A363,Fall!$A:$A,FALSE),MATCH(All!K$1,Fall!$1:$1,FALSE))),"")</f>
        <v/>
      </c>
      <c r="L363" t="str">
        <f>IFERROR(IF(INDEX(Fall!$1:$1048576,MATCH(All!$A363,Fall!$A:$A,FALSE),MATCH(All!L$1,Fall!$1:$1,FALSE))="","",INDEX(Fall!$1:$1048576,MATCH(All!$A363,Fall!$A:$A,FALSE),MATCH(All!L$1,Fall!$1:$1,FALSE))),"")</f>
        <v/>
      </c>
      <c r="M363" t="str">
        <f>IFERROR(IF(INDEX(Fall!$1:$1048576,MATCH(All!$A363,Fall!$A:$A,FALSE),MATCH(All!M$1,Fall!$1:$1,FALSE))="","",INDEX(Fall!$1:$1048576,MATCH(All!$A363,Fall!$A:$A,FALSE),MATCH(All!M$1,Fall!$1:$1,FALSE))),"")</f>
        <v>1A</v>
      </c>
      <c r="O363">
        <f>IFERROR(IF(INDEX(Winter!$1:$1048576,MATCH(All!$A363,Winter!$A:$A,FALSE),MATCH(All!O$1,Winter!$1:$1,FALSE))="","",INDEX(Winter!$1:$1048576,MATCH(All!$A363,Winter!$A:$A,FALSE),MATCH(All!O$1,Winter!$1:$1,FALSE))),"")</f>
        <v>115</v>
      </c>
      <c r="P363" t="str">
        <f>IFERROR(IF(INDEX(Winter!$1:$1048576,MATCH(All!$A363,Winter!$A:$A,FALSE),MATCH(All!P$1,Winter!$1:$1,FALSE))="","",INDEX(Winter!$1:$1048576,MATCH(All!$A363,Winter!$A:$A,FALSE),MATCH(All!P$1,Winter!$1:$1,FALSE))),"")</f>
        <v>1A</v>
      </c>
      <c r="Q363" t="str">
        <f>IFERROR(IF(INDEX(Winter!$1:$1048576,MATCH(All!$A363,Winter!$A:$A,FALSE),MATCH(All!Q$1,Winter!$1:$1,FALSE))="","",INDEX(Winter!$1:$1048576,MATCH(All!$A363,Winter!$A:$A,FALSE),MATCH(All!Q$1,Winter!$1:$1,FALSE))),"")</f>
        <v/>
      </c>
      <c r="R363" t="str">
        <f>IFERROR(IF(INDEX(Winter!$1:$1048576,MATCH(All!$A363,Winter!$A:$A,FALSE),MATCH(All!R$1,Winter!$1:$1,FALSE))="","",INDEX(Winter!$1:$1048576,MATCH(All!$A363,Winter!$A:$A,FALSE),MATCH(All!R$1,Winter!$1:$1,FALSE))),"")</f>
        <v/>
      </c>
      <c r="S363" t="str">
        <f>IFERROR(IF(INDEX(Winter!$1:$1048576,MATCH(All!$A363,Winter!$A:$A,FALSE),MATCH(All!S$1,Winter!$1:$1,FALSE))="","",INDEX(Winter!$1:$1048576,MATCH(All!$A363,Winter!$A:$A,FALSE),MATCH(All!S$1,Winter!$1:$1,FALSE))),"")</f>
        <v/>
      </c>
      <c r="T363" t="str">
        <f>IFERROR(IF(INDEX(Winter!$1:$1048576,MATCH(All!$A363,Winter!$A:$A,FALSE),MATCH(All!T$1,Winter!$1:$1,FALSE))="","",INDEX(Winter!$1:$1048576,MATCH(All!$A363,Winter!$A:$A,FALSE),MATCH(All!T$1,Winter!$1:$1,FALSE))),"")</f>
        <v>1A</v>
      </c>
      <c r="U363" t="str">
        <f>IFERROR(IF(INDEX(Winter!$1:$1048576,MATCH(All!$A363,Winter!$A:$A,FALSE),MATCH(All!U$1,Winter!$1:$1,FALSE))="","",INDEX(Winter!$1:$1048576,MATCH(All!$A363,Winter!$A:$A,FALSE),MATCH(All!U$1,Winter!$1:$1,FALSE))),"")</f>
        <v/>
      </c>
      <c r="W363">
        <f>IFERROR(IF(INDEX(Spring!$1:$1048576,MATCH(All!$A363,Spring!$A:$A,FALSE),MATCH(All!W$1,Spring!$1:$1,FALSE))="","",INDEX(Spring!$1:$1048576,MATCH(All!$A363,Spring!$A:$A,FALSE),MATCH(All!W$1,Spring!$1:$1,FALSE))),"")</f>
        <v>115</v>
      </c>
      <c r="X363" t="str">
        <f>IFERROR(IF(INDEX(Spring!$1:$1048576,MATCH(All!$A363,Spring!$A:$A,FALSE),MATCH(All!X$1,Spring!$1:$1,FALSE))="","",INDEX(Spring!$1:$1048576,MATCH(All!$A363,Spring!$A:$A,FALSE),MATCH(All!X$1,Spring!$1:$1,FALSE))),"")</f>
        <v>1A</v>
      </c>
      <c r="Y363" t="str">
        <f>IFERROR(IF(INDEX(Spring!$1:$1048576,MATCH(All!$A363,Spring!$A:$A,FALSE),MATCH(All!Y$1,Spring!$1:$1,FALSE))="","",INDEX(Spring!$1:$1048576,MATCH(All!$A363,Spring!$A:$A,FALSE),MATCH(All!Y$1,Spring!$1:$1,FALSE))),"")</f>
        <v>1A</v>
      </c>
      <c r="Z363" t="str">
        <f>IFERROR(IF(INDEX(Spring!$1:$1048576,MATCH(All!$A363,Spring!$A:$A,FALSE),MATCH(All!Z$1,Spring!$1:$1,FALSE))="","",INDEX(Spring!$1:$1048576,MATCH(All!$A363,Spring!$A:$A,FALSE),MATCH(All!Z$1,Spring!$1:$1,FALSE))),"")</f>
        <v/>
      </c>
      <c r="AA363" t="str">
        <f>IFERROR(IF(INDEX(Spring!$1:$1048576,MATCH(All!$A363,Spring!$A:$A,FALSE),MATCH(All!AA$1,Spring!$1:$1,FALSE))="","",INDEX(Spring!$1:$1048576,MATCH(All!$A363,Spring!$A:$A,FALSE),MATCH(All!AA$1,Spring!$1:$1,FALSE))),"")</f>
        <v/>
      </c>
      <c r="AB363" t="str">
        <f>IFERROR(IF(INDEX(Spring!$1:$1048576,MATCH(All!$A363,Spring!$A:$A,FALSE),MATCH(All!AB$1,Spring!$1:$1,FALSE))="","",INDEX(Spring!$1:$1048576,MATCH(All!$A363,Spring!$A:$A,FALSE),MATCH(All!AB$1,Spring!$1:$1,FALSE))),"")</f>
        <v/>
      </c>
      <c r="AC363" t="str">
        <f>IFERROR(IF(INDEX(Spring!$1:$1048576,MATCH(All!$A363,Spring!$A:$A,FALSE),MATCH(All!AC$1,Spring!$1:$1,FALSE))="","",INDEX(Spring!$1:$1048576,MATCH(All!$A363,Spring!$A:$A,FALSE),MATCH(All!AC$1,Spring!$1:$1,FALSE))),"")</f>
        <v/>
      </c>
      <c r="AD363" t="str">
        <f>IFERROR(VLOOKUP(A363,'Flag Football'!A:A,1,FALSE),"")</f>
        <v/>
      </c>
      <c r="AE363" t="str">
        <f t="shared" si="5"/>
        <v/>
      </c>
    </row>
    <row r="364" spans="1:31" ht="15.75" thickBot="1" x14ac:dyDescent="0.3">
      <c r="A364" s="18" t="s">
        <v>452</v>
      </c>
      <c r="B364" s="38">
        <f>IFERROR(VLOOKUP(A364,'Public v Private'!A:G,3,FALSE),"")</f>
        <v>0</v>
      </c>
      <c r="C364" s="38">
        <f>IFERROR(VLOOKUP(A364,'Public v Private'!A:G,4,FALSE),"")</f>
        <v>0</v>
      </c>
      <c r="D364" s="38">
        <f>IFERROR(VLOOKUP(A364,'Public v Private'!A:G,5,FALSE),"")</f>
        <v>0</v>
      </c>
      <c r="E364" s="38"/>
      <c r="F364" s="40">
        <f>IFERROR(INDEX(Fall!$1:$1048576,MATCH(All!$A364,Fall!$A:$A,FALSE),MATCH(All!F$1,Fall!$1:$1,FALSE)),"N/A")</f>
        <v>258</v>
      </c>
      <c r="G364" t="str">
        <f>IFERROR(IF(INDEX(Fall!$1:$1048576,MATCH(All!$A364,Fall!$A:$A,FALSE),MATCH(All!G$1,Fall!$1:$1,FALSE))="","",INDEX(Fall!$1:$1048576,MATCH(All!$A364,Fall!$A:$A,FALSE),MATCH(All!G$1,Fall!$1:$1,FALSE))),"")</f>
        <v/>
      </c>
      <c r="H364" t="str">
        <f>IFERROR(IF(INDEX(Fall!$1:$1048576,MATCH(All!$A364,Fall!$A:$A,FALSE),MATCH(All!H$1,Fall!$1:$1,FALSE))="","",INDEX(Fall!$1:$1048576,MATCH(All!$A364,Fall!$A:$A,FALSE),MATCH(All!H$1,Fall!$1:$1,FALSE))),"")</f>
        <v/>
      </c>
      <c r="I364" t="str">
        <f>IFERROR(IF(INDEX(Fall!$1:$1048576,MATCH(All!$A364,Fall!$A:$A,FALSE),MATCH(All!I$1,Fall!$1:$1,FALSE))="","",INDEX(Fall!$1:$1048576,MATCH(All!$A364,Fall!$A:$A,FALSE),MATCH(All!I$1,Fall!$1:$1,FALSE))),"")</f>
        <v>1A</v>
      </c>
      <c r="J364" t="str">
        <f>IFERROR(IF(INDEX(Fall!$1:$1048576,MATCH(All!$A364,Fall!$A:$A,FALSE),MATCH(All!J$1,Fall!$1:$1,FALSE))="","",INDEX(Fall!$1:$1048576,MATCH(All!$A364,Fall!$A:$A,FALSE),MATCH(All!J$1,Fall!$1:$1,FALSE))),"")</f>
        <v>1A</v>
      </c>
      <c r="K364" t="str">
        <f>IFERROR(IF(INDEX(Fall!$1:$1048576,MATCH(All!$A364,Fall!$A:$A,FALSE),MATCH(All!K$1,Fall!$1:$1,FALSE))="","",INDEX(Fall!$1:$1048576,MATCH(All!$A364,Fall!$A:$A,FALSE),MATCH(All!K$1,Fall!$1:$1,FALSE))),"")</f>
        <v/>
      </c>
      <c r="L364" t="str">
        <f>IFERROR(IF(INDEX(Fall!$1:$1048576,MATCH(All!$A364,Fall!$A:$A,FALSE),MATCH(All!L$1,Fall!$1:$1,FALSE))="","",INDEX(Fall!$1:$1048576,MATCH(All!$A364,Fall!$A:$A,FALSE),MATCH(All!L$1,Fall!$1:$1,FALSE))),"")</f>
        <v/>
      </c>
      <c r="M364" t="str">
        <f>IFERROR(IF(INDEX(Fall!$1:$1048576,MATCH(All!$A364,Fall!$A:$A,FALSE),MATCH(All!M$1,Fall!$1:$1,FALSE))="","",INDEX(Fall!$1:$1048576,MATCH(All!$A364,Fall!$A:$A,FALSE),MATCH(All!M$1,Fall!$1:$1,FALSE))),"")</f>
        <v>1A</v>
      </c>
      <c r="O364">
        <f>IFERROR(IF(INDEX(Winter!$1:$1048576,MATCH(All!$A364,Winter!$A:$A,FALSE),MATCH(All!O$1,Winter!$1:$1,FALSE))="","",INDEX(Winter!$1:$1048576,MATCH(All!$A364,Winter!$A:$A,FALSE),MATCH(All!O$1,Winter!$1:$1,FALSE))),"")</f>
        <v>258</v>
      </c>
      <c r="P364" t="str">
        <f>IFERROR(IF(INDEX(Winter!$1:$1048576,MATCH(All!$A364,Winter!$A:$A,FALSE),MATCH(All!P$1,Winter!$1:$1,FALSE))="","",INDEX(Winter!$1:$1048576,MATCH(All!$A364,Winter!$A:$A,FALSE),MATCH(All!P$1,Winter!$1:$1,FALSE))),"")</f>
        <v>1A</v>
      </c>
      <c r="Q364" t="str">
        <f>IFERROR(IF(INDEX(Winter!$1:$1048576,MATCH(All!$A364,Winter!$A:$A,FALSE),MATCH(All!Q$1,Winter!$1:$1,FALSE))="","",INDEX(Winter!$1:$1048576,MATCH(All!$A364,Winter!$A:$A,FALSE),MATCH(All!Q$1,Winter!$1:$1,FALSE))),"")</f>
        <v>1A</v>
      </c>
      <c r="R364" t="str">
        <f>IFERROR(IF(INDEX(Winter!$1:$1048576,MATCH(All!$A364,Winter!$A:$A,FALSE),MATCH(All!R$1,Winter!$1:$1,FALSE))="","",INDEX(Winter!$1:$1048576,MATCH(All!$A364,Winter!$A:$A,FALSE),MATCH(All!R$1,Winter!$1:$1,FALSE))),"")</f>
        <v/>
      </c>
      <c r="S364" t="str">
        <f>IFERROR(IF(INDEX(Winter!$1:$1048576,MATCH(All!$A364,Winter!$A:$A,FALSE),MATCH(All!S$1,Winter!$1:$1,FALSE))="","",INDEX(Winter!$1:$1048576,MATCH(All!$A364,Winter!$A:$A,FALSE),MATCH(All!S$1,Winter!$1:$1,FALSE))),"")</f>
        <v/>
      </c>
      <c r="T364" t="str">
        <f>IFERROR(IF(INDEX(Winter!$1:$1048576,MATCH(All!$A364,Winter!$A:$A,FALSE),MATCH(All!T$1,Winter!$1:$1,FALSE))="","",INDEX(Winter!$1:$1048576,MATCH(All!$A364,Winter!$A:$A,FALSE),MATCH(All!T$1,Winter!$1:$1,FALSE))),"")</f>
        <v>1A</v>
      </c>
      <c r="U364" t="str">
        <f>IFERROR(IF(INDEX(Winter!$1:$1048576,MATCH(All!$A364,Winter!$A:$A,FALSE),MATCH(All!U$1,Winter!$1:$1,FALSE))="","",INDEX(Winter!$1:$1048576,MATCH(All!$A364,Winter!$A:$A,FALSE),MATCH(All!U$1,Winter!$1:$1,FALSE))),"")</f>
        <v>1A</v>
      </c>
      <c r="W364">
        <f>IFERROR(IF(INDEX(Spring!$1:$1048576,MATCH(All!$A364,Spring!$A:$A,FALSE),MATCH(All!W$1,Spring!$1:$1,FALSE))="","",INDEX(Spring!$1:$1048576,MATCH(All!$A364,Spring!$A:$A,FALSE),MATCH(All!W$1,Spring!$1:$1,FALSE))),"")</f>
        <v>258</v>
      </c>
      <c r="X364" t="str">
        <f>IFERROR(IF(INDEX(Spring!$1:$1048576,MATCH(All!$A364,Spring!$A:$A,FALSE),MATCH(All!X$1,Spring!$1:$1,FALSE))="","",INDEX(Spring!$1:$1048576,MATCH(All!$A364,Spring!$A:$A,FALSE),MATCH(All!X$1,Spring!$1:$1,FALSE))),"")</f>
        <v>1A</v>
      </c>
      <c r="Y364" t="str">
        <f>IFERROR(IF(INDEX(Spring!$1:$1048576,MATCH(All!$A364,Spring!$A:$A,FALSE),MATCH(All!Y$1,Spring!$1:$1,FALSE))="","",INDEX(Spring!$1:$1048576,MATCH(All!$A364,Spring!$A:$A,FALSE),MATCH(All!Y$1,Spring!$1:$1,FALSE))),"")</f>
        <v>1A</v>
      </c>
      <c r="Z364" t="str">
        <f>IFERROR(IF(INDEX(Spring!$1:$1048576,MATCH(All!$A364,Spring!$A:$A,FALSE),MATCH(All!Z$1,Spring!$1:$1,FALSE))="","",INDEX(Spring!$1:$1048576,MATCH(All!$A364,Spring!$A:$A,FALSE),MATCH(All!Z$1,Spring!$1:$1,FALSE))),"")</f>
        <v>1A</v>
      </c>
      <c r="AA364" t="str">
        <f>IFERROR(IF(INDEX(Spring!$1:$1048576,MATCH(All!$A364,Spring!$A:$A,FALSE),MATCH(All!AA$1,Spring!$1:$1,FALSE))="","",INDEX(Spring!$1:$1048576,MATCH(All!$A364,Spring!$A:$A,FALSE),MATCH(All!AA$1,Spring!$1:$1,FALSE))),"")</f>
        <v/>
      </c>
      <c r="AB364" t="str">
        <f>IFERROR(IF(INDEX(Spring!$1:$1048576,MATCH(All!$A364,Spring!$A:$A,FALSE),MATCH(All!AB$1,Spring!$1:$1,FALSE))="","",INDEX(Spring!$1:$1048576,MATCH(All!$A364,Spring!$A:$A,FALSE),MATCH(All!AB$1,Spring!$1:$1,FALSE))),"")</f>
        <v>2A</v>
      </c>
      <c r="AC364" t="str">
        <f>IFERROR(IF(INDEX(Spring!$1:$1048576,MATCH(All!$A364,Spring!$A:$A,FALSE),MATCH(All!AC$1,Spring!$1:$1,FALSE))="","",INDEX(Spring!$1:$1048576,MATCH(All!$A364,Spring!$A:$A,FALSE),MATCH(All!AC$1,Spring!$1:$1,FALSE))),"")</f>
        <v>2A</v>
      </c>
      <c r="AD364" t="str">
        <f>IFERROR(VLOOKUP(A364,'Flag Football'!A:A,1,FALSE),"")</f>
        <v/>
      </c>
      <c r="AE364" t="str">
        <f t="shared" si="5"/>
        <v/>
      </c>
    </row>
    <row r="365" spans="1:31" ht="15.75" thickBot="1" x14ac:dyDescent="0.3">
      <c r="A365" s="20" t="s">
        <v>453</v>
      </c>
      <c r="B365" s="38">
        <f>IFERROR(VLOOKUP(A365,'Public v Private'!A:G,3,FALSE),"")</f>
        <v>0</v>
      </c>
      <c r="C365" s="38">
        <f>IFERROR(VLOOKUP(A365,'Public v Private'!A:G,4,FALSE),"")</f>
        <v>0</v>
      </c>
      <c r="D365" s="38">
        <f>IFERROR(VLOOKUP(A365,'Public v Private'!A:G,5,FALSE),"")</f>
        <v>0</v>
      </c>
      <c r="E365" s="38"/>
      <c r="F365" s="40">
        <f>IFERROR(INDEX(Fall!$1:$1048576,MATCH(All!$A365,Fall!$A:$A,FALSE),MATCH(All!F$1,Fall!$1:$1,FALSE)),"N/A")</f>
        <v>1127</v>
      </c>
      <c r="G365" t="str">
        <f>IFERROR(IF(INDEX(Fall!$1:$1048576,MATCH(All!$A365,Fall!$A:$A,FALSE),MATCH(All!G$1,Fall!$1:$1,FALSE))="","",INDEX(Fall!$1:$1048576,MATCH(All!$A365,Fall!$A:$A,FALSE),MATCH(All!G$1,Fall!$1:$1,FALSE))),"")</f>
        <v>2A</v>
      </c>
      <c r="H365" t="str">
        <f>IFERROR(IF(INDEX(Fall!$1:$1048576,MATCH(All!$A365,Fall!$A:$A,FALSE),MATCH(All!H$1,Fall!$1:$1,FALSE))="","",INDEX(Fall!$1:$1048576,MATCH(All!$A365,Fall!$A:$A,FALSE),MATCH(All!H$1,Fall!$1:$1,FALSE))),"")</f>
        <v>2A</v>
      </c>
      <c r="I365" t="str">
        <f>IFERROR(IF(INDEX(Fall!$1:$1048576,MATCH(All!$A365,Fall!$A:$A,FALSE),MATCH(All!I$1,Fall!$1:$1,FALSE))="","",INDEX(Fall!$1:$1048576,MATCH(All!$A365,Fall!$A:$A,FALSE),MATCH(All!I$1,Fall!$1:$1,FALSE))),"")</f>
        <v>2A</v>
      </c>
      <c r="J365" t="str">
        <f>IFERROR(IF(INDEX(Fall!$1:$1048576,MATCH(All!$A365,Fall!$A:$A,FALSE),MATCH(All!J$1,Fall!$1:$1,FALSE))="","",INDEX(Fall!$1:$1048576,MATCH(All!$A365,Fall!$A:$A,FALSE),MATCH(All!J$1,Fall!$1:$1,FALSE))),"")</f>
        <v>2A</v>
      </c>
      <c r="K365" t="str">
        <f>IFERROR(IF(INDEX(Fall!$1:$1048576,MATCH(All!$A365,Fall!$A:$A,FALSE),MATCH(All!K$1,Fall!$1:$1,FALSE))="","",INDEX(Fall!$1:$1048576,MATCH(All!$A365,Fall!$A:$A,FALSE),MATCH(All!K$1,Fall!$1:$1,FALSE))),"")</f>
        <v>2A</v>
      </c>
      <c r="L365" t="str">
        <f>IFERROR(IF(INDEX(Fall!$1:$1048576,MATCH(All!$A365,Fall!$A:$A,FALSE),MATCH(All!L$1,Fall!$1:$1,FALSE))="","",INDEX(Fall!$1:$1048576,MATCH(All!$A365,Fall!$A:$A,FALSE),MATCH(All!L$1,Fall!$1:$1,FALSE))),"")</f>
        <v>1A</v>
      </c>
      <c r="M365" t="str">
        <f>IFERROR(IF(INDEX(Fall!$1:$1048576,MATCH(All!$A365,Fall!$A:$A,FALSE),MATCH(All!M$1,Fall!$1:$1,FALSE))="","",INDEX(Fall!$1:$1048576,MATCH(All!$A365,Fall!$A:$A,FALSE),MATCH(All!M$1,Fall!$1:$1,FALSE))),"")</f>
        <v>3A</v>
      </c>
      <c r="O365">
        <f>IFERROR(IF(INDEX(Winter!$1:$1048576,MATCH(All!$A365,Winter!$A:$A,FALSE),MATCH(All!O$1,Winter!$1:$1,FALSE))="","",INDEX(Winter!$1:$1048576,MATCH(All!$A365,Winter!$A:$A,FALSE),MATCH(All!O$1,Winter!$1:$1,FALSE))),"")</f>
        <v>1127</v>
      </c>
      <c r="P365" t="str">
        <f>IFERROR(IF(INDEX(Winter!$1:$1048576,MATCH(All!$A365,Winter!$A:$A,FALSE),MATCH(All!P$1,Winter!$1:$1,FALSE))="","",INDEX(Winter!$1:$1048576,MATCH(All!$A365,Winter!$A:$A,FALSE),MATCH(All!P$1,Winter!$1:$1,FALSE))),"")</f>
        <v>3A</v>
      </c>
      <c r="Q365" t="str">
        <f>IFERROR(IF(INDEX(Winter!$1:$1048576,MATCH(All!$A365,Winter!$A:$A,FALSE),MATCH(All!Q$1,Winter!$1:$1,FALSE))="","",INDEX(Winter!$1:$1048576,MATCH(All!$A365,Winter!$A:$A,FALSE),MATCH(All!Q$1,Winter!$1:$1,FALSE))),"")</f>
        <v>3A</v>
      </c>
      <c r="R365" t="str">
        <f>IFERROR(IF(INDEX(Winter!$1:$1048576,MATCH(All!$A365,Winter!$A:$A,FALSE),MATCH(All!R$1,Winter!$1:$1,FALSE))="","",INDEX(Winter!$1:$1048576,MATCH(All!$A365,Winter!$A:$A,FALSE),MATCH(All!R$1,Winter!$1:$1,FALSE))),"")</f>
        <v>2A</v>
      </c>
      <c r="S365" t="str">
        <f>IFERROR(IF(INDEX(Winter!$1:$1048576,MATCH(All!$A365,Winter!$A:$A,FALSE),MATCH(All!S$1,Winter!$1:$1,FALSE))="","",INDEX(Winter!$1:$1048576,MATCH(All!$A365,Winter!$A:$A,FALSE),MATCH(All!S$1,Winter!$1:$1,FALSE))),"")</f>
        <v/>
      </c>
      <c r="T365" t="str">
        <f>IFERROR(IF(INDEX(Winter!$1:$1048576,MATCH(All!$A365,Winter!$A:$A,FALSE),MATCH(All!T$1,Winter!$1:$1,FALSE))="","",INDEX(Winter!$1:$1048576,MATCH(All!$A365,Winter!$A:$A,FALSE),MATCH(All!T$1,Winter!$1:$1,FALSE))),"")</f>
        <v>2A</v>
      </c>
      <c r="U365" t="str">
        <f>IFERROR(IF(INDEX(Winter!$1:$1048576,MATCH(All!$A365,Winter!$A:$A,FALSE),MATCH(All!U$1,Winter!$1:$1,FALSE))="","",INDEX(Winter!$1:$1048576,MATCH(All!$A365,Winter!$A:$A,FALSE),MATCH(All!U$1,Winter!$1:$1,FALSE))),"")</f>
        <v>2A</v>
      </c>
      <c r="W365">
        <f>IFERROR(IF(INDEX(Spring!$1:$1048576,MATCH(All!$A365,Spring!$A:$A,FALSE),MATCH(All!W$1,Spring!$1:$1,FALSE))="","",INDEX(Spring!$1:$1048576,MATCH(All!$A365,Spring!$A:$A,FALSE),MATCH(All!W$1,Spring!$1:$1,FALSE))),"")</f>
        <v>1127</v>
      </c>
      <c r="X365" t="str">
        <f>IFERROR(IF(INDEX(Spring!$1:$1048576,MATCH(All!$A365,Spring!$A:$A,FALSE),MATCH(All!X$1,Spring!$1:$1,FALSE))="","",INDEX(Spring!$1:$1048576,MATCH(All!$A365,Spring!$A:$A,FALSE),MATCH(All!X$1,Spring!$1:$1,FALSE))),"")</f>
        <v>3A</v>
      </c>
      <c r="Y365" t="str">
        <f>IFERROR(IF(INDEX(Spring!$1:$1048576,MATCH(All!$A365,Spring!$A:$A,FALSE),MATCH(All!Y$1,Spring!$1:$1,FALSE))="","",INDEX(Spring!$1:$1048576,MATCH(All!$A365,Spring!$A:$A,FALSE),MATCH(All!Y$1,Spring!$1:$1,FALSE))),"")</f>
        <v>3A</v>
      </c>
      <c r="Z365" t="str">
        <f>IFERROR(IF(INDEX(Spring!$1:$1048576,MATCH(All!$A365,Spring!$A:$A,FALSE),MATCH(All!Z$1,Spring!$1:$1,FALSE))="","",INDEX(Spring!$1:$1048576,MATCH(All!$A365,Spring!$A:$A,FALSE),MATCH(All!Z$1,Spring!$1:$1,FALSE))),"")</f>
        <v>2A</v>
      </c>
      <c r="AA365" t="str">
        <f>IFERROR(IF(INDEX(Spring!$1:$1048576,MATCH(All!$A365,Spring!$A:$A,FALSE),MATCH(All!AA$1,Spring!$1:$1,FALSE))="","",INDEX(Spring!$1:$1048576,MATCH(All!$A365,Spring!$A:$A,FALSE),MATCH(All!AA$1,Spring!$1:$1,FALSE))),"")</f>
        <v>1A</v>
      </c>
      <c r="AB365" t="str">
        <f>IFERROR(IF(INDEX(Spring!$1:$1048576,MATCH(All!$A365,Spring!$A:$A,FALSE),MATCH(All!AB$1,Spring!$1:$1,FALSE))="","",INDEX(Spring!$1:$1048576,MATCH(All!$A365,Spring!$A:$A,FALSE),MATCH(All!AB$1,Spring!$1:$1,FALSE))),"")</f>
        <v>2A</v>
      </c>
      <c r="AC365" t="str">
        <f>IFERROR(IF(INDEX(Spring!$1:$1048576,MATCH(All!$A365,Spring!$A:$A,FALSE),MATCH(All!AC$1,Spring!$1:$1,FALSE))="","",INDEX(Spring!$1:$1048576,MATCH(All!$A365,Spring!$A:$A,FALSE),MATCH(All!AC$1,Spring!$1:$1,FALSE))),"")</f>
        <v>2A</v>
      </c>
      <c r="AD365" t="str">
        <f>IFERROR(VLOOKUP(A365,'Flag Football'!A:A,1,FALSE),"")</f>
        <v/>
      </c>
      <c r="AE365" t="str">
        <f t="shared" si="5"/>
        <v/>
      </c>
    </row>
    <row r="366" spans="1:31" ht="15.75" thickBot="1" x14ac:dyDescent="0.3">
      <c r="A366" s="18" t="s">
        <v>454</v>
      </c>
      <c r="B366" s="38">
        <f>IFERROR(VLOOKUP(A366,'Public v Private'!A:G,3,FALSE),"")</f>
        <v>0</v>
      </c>
      <c r="C366" s="38">
        <f>IFERROR(VLOOKUP(A366,'Public v Private'!A:G,4,FALSE),"")</f>
        <v>0</v>
      </c>
      <c r="D366" s="38">
        <f>IFERROR(VLOOKUP(A366,'Public v Private'!A:G,5,FALSE),"")</f>
        <v>0</v>
      </c>
      <c r="E366" s="38"/>
      <c r="F366" s="40">
        <f>IFERROR(INDEX(Fall!$1:$1048576,MATCH(All!$A366,Fall!$A:$A,FALSE),MATCH(All!F$1,Fall!$1:$1,FALSE)),"N/A")</f>
        <v>133</v>
      </c>
      <c r="G366" t="str">
        <f>IFERROR(IF(INDEX(Fall!$1:$1048576,MATCH(All!$A366,Fall!$A:$A,FALSE),MATCH(All!G$1,Fall!$1:$1,FALSE))="","",INDEX(Fall!$1:$1048576,MATCH(All!$A366,Fall!$A:$A,FALSE),MATCH(All!G$1,Fall!$1:$1,FALSE))),"")</f>
        <v>1A</v>
      </c>
      <c r="H366" t="str">
        <f>IFERROR(IF(INDEX(Fall!$1:$1048576,MATCH(All!$A366,Fall!$A:$A,FALSE),MATCH(All!H$1,Fall!$1:$1,FALSE))="","",INDEX(Fall!$1:$1048576,MATCH(All!$A366,Fall!$A:$A,FALSE),MATCH(All!H$1,Fall!$1:$1,FALSE))),"")</f>
        <v>1A</v>
      </c>
      <c r="I366" t="str">
        <f>IFERROR(IF(INDEX(Fall!$1:$1048576,MATCH(All!$A366,Fall!$A:$A,FALSE),MATCH(All!I$1,Fall!$1:$1,FALSE))="","",INDEX(Fall!$1:$1048576,MATCH(All!$A366,Fall!$A:$A,FALSE),MATCH(All!I$1,Fall!$1:$1,FALSE))),"")</f>
        <v>1A</v>
      </c>
      <c r="J366" t="str">
        <f>IFERROR(IF(INDEX(Fall!$1:$1048576,MATCH(All!$A366,Fall!$A:$A,FALSE),MATCH(All!J$1,Fall!$1:$1,FALSE))="","",INDEX(Fall!$1:$1048576,MATCH(All!$A366,Fall!$A:$A,FALSE),MATCH(All!J$1,Fall!$1:$1,FALSE))),"")</f>
        <v/>
      </c>
      <c r="K366" t="str">
        <f>IFERROR(IF(INDEX(Fall!$1:$1048576,MATCH(All!$A366,Fall!$A:$A,FALSE),MATCH(All!K$1,Fall!$1:$1,FALSE))="","",INDEX(Fall!$1:$1048576,MATCH(All!$A366,Fall!$A:$A,FALSE),MATCH(All!K$1,Fall!$1:$1,FALSE))),"")</f>
        <v/>
      </c>
      <c r="L366" t="str">
        <f>IFERROR(IF(INDEX(Fall!$1:$1048576,MATCH(All!$A366,Fall!$A:$A,FALSE),MATCH(All!L$1,Fall!$1:$1,FALSE))="","",INDEX(Fall!$1:$1048576,MATCH(All!$A366,Fall!$A:$A,FALSE),MATCH(All!L$1,Fall!$1:$1,FALSE))),"")</f>
        <v/>
      </c>
      <c r="M366" t="str">
        <f>IFERROR(IF(INDEX(Fall!$1:$1048576,MATCH(All!$A366,Fall!$A:$A,FALSE),MATCH(All!M$1,Fall!$1:$1,FALSE))="","",INDEX(Fall!$1:$1048576,MATCH(All!$A366,Fall!$A:$A,FALSE),MATCH(All!M$1,Fall!$1:$1,FALSE))),"")</f>
        <v>1A</v>
      </c>
      <c r="O366">
        <f>IFERROR(IF(INDEX(Winter!$1:$1048576,MATCH(All!$A366,Winter!$A:$A,FALSE),MATCH(All!O$1,Winter!$1:$1,FALSE))="","",INDEX(Winter!$1:$1048576,MATCH(All!$A366,Winter!$A:$A,FALSE),MATCH(All!O$1,Winter!$1:$1,FALSE))),"")</f>
        <v>133</v>
      </c>
      <c r="P366" t="str">
        <f>IFERROR(IF(INDEX(Winter!$1:$1048576,MATCH(All!$A366,Winter!$A:$A,FALSE),MATCH(All!P$1,Winter!$1:$1,FALSE))="","",INDEX(Winter!$1:$1048576,MATCH(All!$A366,Winter!$A:$A,FALSE),MATCH(All!P$1,Winter!$1:$1,FALSE))),"")</f>
        <v>1A</v>
      </c>
      <c r="Q366" t="str">
        <f>IFERROR(IF(INDEX(Winter!$1:$1048576,MATCH(All!$A366,Winter!$A:$A,FALSE),MATCH(All!Q$1,Winter!$1:$1,FALSE))="","",INDEX(Winter!$1:$1048576,MATCH(All!$A366,Winter!$A:$A,FALSE),MATCH(All!Q$1,Winter!$1:$1,FALSE))),"")</f>
        <v>1A</v>
      </c>
      <c r="R366" t="str">
        <f>IFERROR(IF(INDEX(Winter!$1:$1048576,MATCH(All!$A366,Winter!$A:$A,FALSE),MATCH(All!R$1,Winter!$1:$1,FALSE))="","",INDEX(Winter!$1:$1048576,MATCH(All!$A366,Winter!$A:$A,FALSE),MATCH(All!R$1,Winter!$1:$1,FALSE))),"")</f>
        <v/>
      </c>
      <c r="S366" t="str">
        <f>IFERROR(IF(INDEX(Winter!$1:$1048576,MATCH(All!$A366,Winter!$A:$A,FALSE),MATCH(All!S$1,Winter!$1:$1,FALSE))="","",INDEX(Winter!$1:$1048576,MATCH(All!$A366,Winter!$A:$A,FALSE),MATCH(All!S$1,Winter!$1:$1,FALSE))),"")</f>
        <v>1A</v>
      </c>
      <c r="T366" t="str">
        <f>IFERROR(IF(INDEX(Winter!$1:$1048576,MATCH(All!$A366,Winter!$A:$A,FALSE),MATCH(All!T$1,Winter!$1:$1,FALSE))="","",INDEX(Winter!$1:$1048576,MATCH(All!$A366,Winter!$A:$A,FALSE),MATCH(All!T$1,Winter!$1:$1,FALSE))),"")</f>
        <v>1A</v>
      </c>
      <c r="U366" t="str">
        <f>IFERROR(IF(INDEX(Winter!$1:$1048576,MATCH(All!$A366,Winter!$A:$A,FALSE),MATCH(All!U$1,Winter!$1:$1,FALSE))="","",INDEX(Winter!$1:$1048576,MATCH(All!$A366,Winter!$A:$A,FALSE),MATCH(All!U$1,Winter!$1:$1,FALSE))),"")</f>
        <v/>
      </c>
      <c r="W366">
        <f>IFERROR(IF(INDEX(Spring!$1:$1048576,MATCH(All!$A366,Spring!$A:$A,FALSE),MATCH(All!W$1,Spring!$1:$1,FALSE))="","",INDEX(Spring!$1:$1048576,MATCH(All!$A366,Spring!$A:$A,FALSE),MATCH(All!W$1,Spring!$1:$1,FALSE))),"")</f>
        <v>133</v>
      </c>
      <c r="X366" t="str">
        <f>IFERROR(IF(INDEX(Spring!$1:$1048576,MATCH(All!$A366,Spring!$A:$A,FALSE),MATCH(All!X$1,Spring!$1:$1,FALSE))="","",INDEX(Spring!$1:$1048576,MATCH(All!$A366,Spring!$A:$A,FALSE),MATCH(All!X$1,Spring!$1:$1,FALSE))),"")</f>
        <v>1A</v>
      </c>
      <c r="Y366" t="str">
        <f>IFERROR(IF(INDEX(Spring!$1:$1048576,MATCH(All!$A366,Spring!$A:$A,FALSE),MATCH(All!Y$1,Spring!$1:$1,FALSE))="","",INDEX(Spring!$1:$1048576,MATCH(All!$A366,Spring!$A:$A,FALSE),MATCH(All!Y$1,Spring!$1:$1,FALSE))),"")</f>
        <v>1A</v>
      </c>
      <c r="Z366" t="str">
        <f>IFERROR(IF(INDEX(Spring!$1:$1048576,MATCH(All!$A366,Spring!$A:$A,FALSE),MATCH(All!Z$1,Spring!$1:$1,FALSE))="","",INDEX(Spring!$1:$1048576,MATCH(All!$A366,Spring!$A:$A,FALSE),MATCH(All!Z$1,Spring!$1:$1,FALSE))),"")</f>
        <v/>
      </c>
      <c r="AA366" t="str">
        <f>IFERROR(IF(INDEX(Spring!$1:$1048576,MATCH(All!$A366,Spring!$A:$A,FALSE),MATCH(All!AA$1,Spring!$1:$1,FALSE))="","",INDEX(Spring!$1:$1048576,MATCH(All!$A366,Spring!$A:$A,FALSE),MATCH(All!AA$1,Spring!$1:$1,FALSE))),"")</f>
        <v/>
      </c>
      <c r="AB366" t="str">
        <f>IFERROR(IF(INDEX(Spring!$1:$1048576,MATCH(All!$A366,Spring!$A:$A,FALSE),MATCH(All!AB$1,Spring!$1:$1,FALSE))="","",INDEX(Spring!$1:$1048576,MATCH(All!$A366,Spring!$A:$A,FALSE),MATCH(All!AB$1,Spring!$1:$1,FALSE))),"")</f>
        <v>1A</v>
      </c>
      <c r="AC366" t="str">
        <f>IFERROR(IF(INDEX(Spring!$1:$1048576,MATCH(All!$A366,Spring!$A:$A,FALSE),MATCH(All!AC$1,Spring!$1:$1,FALSE))="","",INDEX(Spring!$1:$1048576,MATCH(All!$A366,Spring!$A:$A,FALSE),MATCH(All!AC$1,Spring!$1:$1,FALSE))),"")</f>
        <v>1A</v>
      </c>
      <c r="AD366" t="str">
        <f>IFERROR(VLOOKUP(A366,'Flag Football'!A:A,1,FALSE),"")</f>
        <v/>
      </c>
      <c r="AE366" t="str">
        <f t="shared" si="5"/>
        <v/>
      </c>
    </row>
    <row r="367" spans="1:31" ht="15.75" thickBot="1" x14ac:dyDescent="0.3">
      <c r="A367" s="20" t="s">
        <v>455</v>
      </c>
      <c r="B367" s="38">
        <f>IFERROR(VLOOKUP(A367,'Public v Private'!A:G,3,FALSE),"")</f>
        <v>0</v>
      </c>
      <c r="C367" s="38">
        <f>IFERROR(VLOOKUP(A367,'Public v Private'!A:G,4,FALSE),"")</f>
        <v>0</v>
      </c>
      <c r="D367" s="38">
        <f>IFERROR(VLOOKUP(A367,'Public v Private'!A:G,5,FALSE),"")</f>
        <v>0</v>
      </c>
      <c r="E367" s="38"/>
      <c r="F367" s="40">
        <f>IFERROR(INDEX(Fall!$1:$1048576,MATCH(All!$A367,Fall!$A:$A,FALSE),MATCH(All!F$1,Fall!$1:$1,FALSE)),"N/A")</f>
        <v>155</v>
      </c>
      <c r="G367" t="str">
        <f>IFERROR(IF(INDEX(Fall!$1:$1048576,MATCH(All!$A367,Fall!$A:$A,FALSE),MATCH(All!G$1,Fall!$1:$1,FALSE))="","",INDEX(Fall!$1:$1048576,MATCH(All!$A367,Fall!$A:$A,FALSE),MATCH(All!G$1,Fall!$1:$1,FALSE))),"")</f>
        <v/>
      </c>
      <c r="H367" t="str">
        <f>IFERROR(IF(INDEX(Fall!$1:$1048576,MATCH(All!$A367,Fall!$A:$A,FALSE),MATCH(All!H$1,Fall!$1:$1,FALSE))="","",INDEX(Fall!$1:$1048576,MATCH(All!$A367,Fall!$A:$A,FALSE),MATCH(All!H$1,Fall!$1:$1,FALSE))),"")</f>
        <v/>
      </c>
      <c r="I367" t="str">
        <f>IFERROR(IF(INDEX(Fall!$1:$1048576,MATCH(All!$A367,Fall!$A:$A,FALSE),MATCH(All!I$1,Fall!$1:$1,FALSE))="","",INDEX(Fall!$1:$1048576,MATCH(All!$A367,Fall!$A:$A,FALSE),MATCH(All!I$1,Fall!$1:$1,FALSE))),"")</f>
        <v/>
      </c>
      <c r="J367" t="str">
        <f>IFERROR(IF(INDEX(Fall!$1:$1048576,MATCH(All!$A367,Fall!$A:$A,FALSE),MATCH(All!J$1,Fall!$1:$1,FALSE))="","",INDEX(Fall!$1:$1048576,MATCH(All!$A367,Fall!$A:$A,FALSE),MATCH(All!J$1,Fall!$1:$1,FALSE))),"")</f>
        <v/>
      </c>
      <c r="K367" t="str">
        <f>IFERROR(IF(INDEX(Fall!$1:$1048576,MATCH(All!$A367,Fall!$A:$A,FALSE),MATCH(All!K$1,Fall!$1:$1,FALSE))="","",INDEX(Fall!$1:$1048576,MATCH(All!$A367,Fall!$A:$A,FALSE),MATCH(All!K$1,Fall!$1:$1,FALSE))),"")</f>
        <v/>
      </c>
      <c r="L367" t="str">
        <f>IFERROR(IF(INDEX(Fall!$1:$1048576,MATCH(All!$A367,Fall!$A:$A,FALSE),MATCH(All!L$1,Fall!$1:$1,FALSE))="","",INDEX(Fall!$1:$1048576,MATCH(All!$A367,Fall!$A:$A,FALSE),MATCH(All!L$1,Fall!$1:$1,FALSE))),"")</f>
        <v/>
      </c>
      <c r="M367" t="str">
        <f>IFERROR(IF(INDEX(Fall!$1:$1048576,MATCH(All!$A367,Fall!$A:$A,FALSE),MATCH(All!M$1,Fall!$1:$1,FALSE))="","",INDEX(Fall!$1:$1048576,MATCH(All!$A367,Fall!$A:$A,FALSE),MATCH(All!M$1,Fall!$1:$1,FALSE))),"")</f>
        <v>1A</v>
      </c>
      <c r="O367">
        <f>IFERROR(IF(INDEX(Winter!$1:$1048576,MATCH(All!$A367,Winter!$A:$A,FALSE),MATCH(All!O$1,Winter!$1:$1,FALSE))="","",INDEX(Winter!$1:$1048576,MATCH(All!$A367,Winter!$A:$A,FALSE),MATCH(All!O$1,Winter!$1:$1,FALSE))),"")</f>
        <v>155</v>
      </c>
      <c r="P367" t="str">
        <f>IFERROR(IF(INDEX(Winter!$1:$1048576,MATCH(All!$A367,Winter!$A:$A,FALSE),MATCH(All!P$1,Winter!$1:$1,FALSE))="","",INDEX(Winter!$1:$1048576,MATCH(All!$A367,Winter!$A:$A,FALSE),MATCH(All!P$1,Winter!$1:$1,FALSE))),"")</f>
        <v>1A</v>
      </c>
      <c r="Q367" t="str">
        <f>IFERROR(IF(INDEX(Winter!$1:$1048576,MATCH(All!$A367,Winter!$A:$A,FALSE),MATCH(All!Q$1,Winter!$1:$1,FALSE))="","",INDEX(Winter!$1:$1048576,MATCH(All!$A367,Winter!$A:$A,FALSE),MATCH(All!Q$1,Winter!$1:$1,FALSE))),"")</f>
        <v>1A</v>
      </c>
      <c r="R367" t="str">
        <f>IFERROR(IF(INDEX(Winter!$1:$1048576,MATCH(All!$A367,Winter!$A:$A,FALSE),MATCH(All!R$1,Winter!$1:$1,FALSE))="","",INDEX(Winter!$1:$1048576,MATCH(All!$A367,Winter!$A:$A,FALSE),MATCH(All!R$1,Winter!$1:$1,FALSE))),"")</f>
        <v/>
      </c>
      <c r="S367" t="str">
        <f>IFERROR(IF(INDEX(Winter!$1:$1048576,MATCH(All!$A367,Winter!$A:$A,FALSE),MATCH(All!S$1,Winter!$1:$1,FALSE))="","",INDEX(Winter!$1:$1048576,MATCH(All!$A367,Winter!$A:$A,FALSE),MATCH(All!S$1,Winter!$1:$1,FALSE))),"")</f>
        <v>1A</v>
      </c>
      <c r="T367" t="str">
        <f>IFERROR(IF(INDEX(Winter!$1:$1048576,MATCH(All!$A367,Winter!$A:$A,FALSE),MATCH(All!T$1,Winter!$1:$1,FALSE))="","",INDEX(Winter!$1:$1048576,MATCH(All!$A367,Winter!$A:$A,FALSE),MATCH(All!T$1,Winter!$1:$1,FALSE))),"")</f>
        <v>1A</v>
      </c>
      <c r="U367" t="str">
        <f>IFERROR(IF(INDEX(Winter!$1:$1048576,MATCH(All!$A367,Winter!$A:$A,FALSE),MATCH(All!U$1,Winter!$1:$1,FALSE))="","",INDEX(Winter!$1:$1048576,MATCH(All!$A367,Winter!$A:$A,FALSE),MATCH(All!U$1,Winter!$1:$1,FALSE))),"")</f>
        <v/>
      </c>
      <c r="W367">
        <f>IFERROR(IF(INDEX(Spring!$1:$1048576,MATCH(All!$A367,Spring!$A:$A,FALSE),MATCH(All!W$1,Spring!$1:$1,FALSE))="","",INDEX(Spring!$1:$1048576,MATCH(All!$A367,Spring!$A:$A,FALSE),MATCH(All!W$1,Spring!$1:$1,FALSE))),"")</f>
        <v>155</v>
      </c>
      <c r="X367" t="str">
        <f>IFERROR(IF(INDEX(Spring!$1:$1048576,MATCH(All!$A367,Spring!$A:$A,FALSE),MATCH(All!X$1,Spring!$1:$1,FALSE))="","",INDEX(Spring!$1:$1048576,MATCH(All!$A367,Spring!$A:$A,FALSE),MATCH(All!X$1,Spring!$1:$1,FALSE))),"")</f>
        <v>1A</v>
      </c>
      <c r="Y367" t="str">
        <f>IFERROR(IF(INDEX(Spring!$1:$1048576,MATCH(All!$A367,Spring!$A:$A,FALSE),MATCH(All!Y$1,Spring!$1:$1,FALSE))="","",INDEX(Spring!$1:$1048576,MATCH(All!$A367,Spring!$A:$A,FALSE),MATCH(All!Y$1,Spring!$1:$1,FALSE))),"")</f>
        <v>1A</v>
      </c>
      <c r="Z367" t="str">
        <f>IFERROR(IF(INDEX(Spring!$1:$1048576,MATCH(All!$A367,Spring!$A:$A,FALSE),MATCH(All!Z$1,Spring!$1:$1,FALSE))="","",INDEX(Spring!$1:$1048576,MATCH(All!$A367,Spring!$A:$A,FALSE),MATCH(All!Z$1,Spring!$1:$1,FALSE))),"")</f>
        <v/>
      </c>
      <c r="AA367" t="str">
        <f>IFERROR(IF(INDEX(Spring!$1:$1048576,MATCH(All!$A367,Spring!$A:$A,FALSE),MATCH(All!AA$1,Spring!$1:$1,FALSE))="","",INDEX(Spring!$1:$1048576,MATCH(All!$A367,Spring!$A:$A,FALSE),MATCH(All!AA$1,Spring!$1:$1,FALSE))),"")</f>
        <v/>
      </c>
      <c r="AB367" t="str">
        <f>IFERROR(IF(INDEX(Spring!$1:$1048576,MATCH(All!$A367,Spring!$A:$A,FALSE),MATCH(All!AB$1,Spring!$1:$1,FALSE))="","",INDEX(Spring!$1:$1048576,MATCH(All!$A367,Spring!$A:$A,FALSE),MATCH(All!AB$1,Spring!$1:$1,FALSE))),"")</f>
        <v/>
      </c>
      <c r="AC367" t="str">
        <f>IFERROR(IF(INDEX(Spring!$1:$1048576,MATCH(All!$A367,Spring!$A:$A,FALSE),MATCH(All!AC$1,Spring!$1:$1,FALSE))="","",INDEX(Spring!$1:$1048576,MATCH(All!$A367,Spring!$A:$A,FALSE),MATCH(All!AC$1,Spring!$1:$1,FALSE))),"")</f>
        <v/>
      </c>
      <c r="AD367" t="str">
        <f>IFERROR(VLOOKUP(A367,'Flag Football'!A:A,1,FALSE),"")</f>
        <v/>
      </c>
      <c r="AE367" t="str">
        <f t="shared" si="5"/>
        <v/>
      </c>
    </row>
    <row r="368" spans="1:31" ht="15.75" thickBot="1" x14ac:dyDescent="0.3">
      <c r="A368" s="18" t="s">
        <v>456</v>
      </c>
      <c r="B368" s="38">
        <f>IFERROR(VLOOKUP(A368,'Public v Private'!A:G,3,FALSE),"")</f>
        <v>0</v>
      </c>
      <c r="C368" s="38">
        <f>IFERROR(VLOOKUP(A368,'Public v Private'!A:G,4,FALSE),"")</f>
        <v>0</v>
      </c>
      <c r="D368" s="38">
        <f>IFERROR(VLOOKUP(A368,'Public v Private'!A:G,5,FALSE),"")</f>
        <v>0</v>
      </c>
      <c r="E368" s="38"/>
      <c r="F368" s="40">
        <f>IFERROR(INDEX(Fall!$1:$1048576,MATCH(All!$A368,Fall!$A:$A,FALSE),MATCH(All!F$1,Fall!$1:$1,FALSE)),"N/A")</f>
        <v>792</v>
      </c>
      <c r="G368" t="str">
        <f>IFERROR(IF(INDEX(Fall!$1:$1048576,MATCH(All!$A368,Fall!$A:$A,FALSE),MATCH(All!G$1,Fall!$1:$1,FALSE))="","",INDEX(Fall!$1:$1048576,MATCH(All!$A368,Fall!$A:$A,FALSE),MATCH(All!G$1,Fall!$1:$1,FALSE))),"")</f>
        <v>2A</v>
      </c>
      <c r="H368" t="str">
        <f>IFERROR(IF(INDEX(Fall!$1:$1048576,MATCH(All!$A368,Fall!$A:$A,FALSE),MATCH(All!H$1,Fall!$1:$1,FALSE))="","",INDEX(Fall!$1:$1048576,MATCH(All!$A368,Fall!$A:$A,FALSE),MATCH(All!H$1,Fall!$1:$1,FALSE))),"")</f>
        <v>2A</v>
      </c>
      <c r="I368" t="str">
        <f>IFERROR(IF(INDEX(Fall!$1:$1048576,MATCH(All!$A368,Fall!$A:$A,FALSE),MATCH(All!I$1,Fall!$1:$1,FALSE))="","",INDEX(Fall!$1:$1048576,MATCH(All!$A368,Fall!$A:$A,FALSE),MATCH(All!I$1,Fall!$1:$1,FALSE))),"")</f>
        <v>2A</v>
      </c>
      <c r="J368" t="str">
        <f>IFERROR(IF(INDEX(Fall!$1:$1048576,MATCH(All!$A368,Fall!$A:$A,FALSE),MATCH(All!J$1,Fall!$1:$1,FALSE))="","",INDEX(Fall!$1:$1048576,MATCH(All!$A368,Fall!$A:$A,FALSE),MATCH(All!J$1,Fall!$1:$1,FALSE))),"")</f>
        <v>1A</v>
      </c>
      <c r="K368" t="str">
        <f>IFERROR(IF(INDEX(Fall!$1:$1048576,MATCH(All!$A368,Fall!$A:$A,FALSE),MATCH(All!K$1,Fall!$1:$1,FALSE))="","",INDEX(Fall!$1:$1048576,MATCH(All!$A368,Fall!$A:$A,FALSE),MATCH(All!K$1,Fall!$1:$1,FALSE))),"")</f>
        <v>2A</v>
      </c>
      <c r="L368" t="str">
        <f>IFERROR(IF(INDEX(Fall!$1:$1048576,MATCH(All!$A368,Fall!$A:$A,FALSE),MATCH(All!L$1,Fall!$1:$1,FALSE))="","",INDEX(Fall!$1:$1048576,MATCH(All!$A368,Fall!$A:$A,FALSE),MATCH(All!L$1,Fall!$1:$1,FALSE))),"")</f>
        <v>1A</v>
      </c>
      <c r="M368" t="str">
        <f>IFERROR(IF(INDEX(Fall!$1:$1048576,MATCH(All!$A368,Fall!$A:$A,FALSE),MATCH(All!M$1,Fall!$1:$1,FALSE))="","",INDEX(Fall!$1:$1048576,MATCH(All!$A368,Fall!$A:$A,FALSE),MATCH(All!M$1,Fall!$1:$1,FALSE))),"")</f>
        <v>3A</v>
      </c>
      <c r="O368">
        <f>IFERROR(IF(INDEX(Winter!$1:$1048576,MATCH(All!$A368,Winter!$A:$A,FALSE),MATCH(All!O$1,Winter!$1:$1,FALSE))="","",INDEX(Winter!$1:$1048576,MATCH(All!$A368,Winter!$A:$A,FALSE),MATCH(All!O$1,Winter!$1:$1,FALSE))),"")</f>
        <v>792</v>
      </c>
      <c r="P368" t="str">
        <f>IFERROR(IF(INDEX(Winter!$1:$1048576,MATCH(All!$A368,Winter!$A:$A,FALSE),MATCH(All!P$1,Winter!$1:$1,FALSE))="","",INDEX(Winter!$1:$1048576,MATCH(All!$A368,Winter!$A:$A,FALSE),MATCH(All!P$1,Winter!$1:$1,FALSE))),"")</f>
        <v>3A</v>
      </c>
      <c r="Q368" t="str">
        <f>IFERROR(IF(INDEX(Winter!$1:$1048576,MATCH(All!$A368,Winter!$A:$A,FALSE),MATCH(All!Q$1,Winter!$1:$1,FALSE))="","",INDEX(Winter!$1:$1048576,MATCH(All!$A368,Winter!$A:$A,FALSE),MATCH(All!Q$1,Winter!$1:$1,FALSE))),"")</f>
        <v>3A</v>
      </c>
      <c r="R368" t="str">
        <f>IFERROR(IF(INDEX(Winter!$1:$1048576,MATCH(All!$A368,Winter!$A:$A,FALSE),MATCH(All!R$1,Winter!$1:$1,FALSE))="","",INDEX(Winter!$1:$1048576,MATCH(All!$A368,Winter!$A:$A,FALSE),MATCH(All!R$1,Winter!$1:$1,FALSE))),"")</f>
        <v/>
      </c>
      <c r="S368" t="str">
        <f>IFERROR(IF(INDEX(Winter!$1:$1048576,MATCH(All!$A368,Winter!$A:$A,FALSE),MATCH(All!S$1,Winter!$1:$1,FALSE))="","",INDEX(Winter!$1:$1048576,MATCH(All!$A368,Winter!$A:$A,FALSE),MATCH(All!S$1,Winter!$1:$1,FALSE))),"")</f>
        <v/>
      </c>
      <c r="T368" t="str">
        <f>IFERROR(IF(INDEX(Winter!$1:$1048576,MATCH(All!$A368,Winter!$A:$A,FALSE),MATCH(All!T$1,Winter!$1:$1,FALSE))="","",INDEX(Winter!$1:$1048576,MATCH(All!$A368,Winter!$A:$A,FALSE),MATCH(All!T$1,Winter!$1:$1,FALSE))),"")</f>
        <v>2A</v>
      </c>
      <c r="U368" t="str">
        <f>IFERROR(IF(INDEX(Winter!$1:$1048576,MATCH(All!$A368,Winter!$A:$A,FALSE),MATCH(All!U$1,Winter!$1:$1,FALSE))="","",INDEX(Winter!$1:$1048576,MATCH(All!$A368,Winter!$A:$A,FALSE),MATCH(All!U$1,Winter!$1:$1,FALSE))),"")</f>
        <v>2A</v>
      </c>
      <c r="W368">
        <f>IFERROR(IF(INDEX(Spring!$1:$1048576,MATCH(All!$A368,Spring!$A:$A,FALSE),MATCH(All!W$1,Spring!$1:$1,FALSE))="","",INDEX(Spring!$1:$1048576,MATCH(All!$A368,Spring!$A:$A,FALSE),MATCH(All!W$1,Spring!$1:$1,FALSE))),"")</f>
        <v>792</v>
      </c>
      <c r="X368" t="str">
        <f>IFERROR(IF(INDEX(Spring!$1:$1048576,MATCH(All!$A368,Spring!$A:$A,FALSE),MATCH(All!X$1,Spring!$1:$1,FALSE))="","",INDEX(Spring!$1:$1048576,MATCH(All!$A368,Spring!$A:$A,FALSE),MATCH(All!X$1,Spring!$1:$1,FALSE))),"")</f>
        <v>3A</v>
      </c>
      <c r="Y368" t="str">
        <f>IFERROR(IF(INDEX(Spring!$1:$1048576,MATCH(All!$A368,Spring!$A:$A,FALSE),MATCH(All!Y$1,Spring!$1:$1,FALSE))="","",INDEX(Spring!$1:$1048576,MATCH(All!$A368,Spring!$A:$A,FALSE),MATCH(All!Y$1,Spring!$1:$1,FALSE))),"")</f>
        <v>3A</v>
      </c>
      <c r="Z368" t="str">
        <f>IFERROR(IF(INDEX(Spring!$1:$1048576,MATCH(All!$A368,Spring!$A:$A,FALSE),MATCH(All!Z$1,Spring!$1:$1,FALSE))="","",INDEX(Spring!$1:$1048576,MATCH(All!$A368,Spring!$A:$A,FALSE),MATCH(All!Z$1,Spring!$1:$1,FALSE))),"")</f>
        <v>1A</v>
      </c>
      <c r="AA368" t="str">
        <f>IFERROR(IF(INDEX(Spring!$1:$1048576,MATCH(All!$A368,Spring!$A:$A,FALSE),MATCH(All!AA$1,Spring!$1:$1,FALSE))="","",INDEX(Spring!$1:$1048576,MATCH(All!$A368,Spring!$A:$A,FALSE),MATCH(All!AA$1,Spring!$1:$1,FALSE))),"")</f>
        <v>1A</v>
      </c>
      <c r="AB368" t="str">
        <f>IFERROR(IF(INDEX(Spring!$1:$1048576,MATCH(All!$A368,Spring!$A:$A,FALSE),MATCH(All!AB$1,Spring!$1:$1,FALSE))="","",INDEX(Spring!$1:$1048576,MATCH(All!$A368,Spring!$A:$A,FALSE),MATCH(All!AB$1,Spring!$1:$1,FALSE))),"")</f>
        <v>2A</v>
      </c>
      <c r="AC368" t="str">
        <f>IFERROR(IF(INDEX(Spring!$1:$1048576,MATCH(All!$A368,Spring!$A:$A,FALSE),MATCH(All!AC$1,Spring!$1:$1,FALSE))="","",INDEX(Spring!$1:$1048576,MATCH(All!$A368,Spring!$A:$A,FALSE),MATCH(All!AC$1,Spring!$1:$1,FALSE))),"")</f>
        <v>2A</v>
      </c>
      <c r="AD368" t="str">
        <f>IFERROR(VLOOKUP(A368,'Flag Football'!A:A,1,FALSE),"")</f>
        <v/>
      </c>
      <c r="AE368" t="str">
        <f t="shared" si="5"/>
        <v/>
      </c>
    </row>
    <row r="369" spans="1:31" ht="15.75" thickBot="1" x14ac:dyDescent="0.3">
      <c r="A369" s="20" t="s">
        <v>457</v>
      </c>
      <c r="B369" s="38">
        <f>IFERROR(VLOOKUP(A369,'Public v Private'!A:G,3,FALSE),"")</f>
        <v>0</v>
      </c>
      <c r="C369" s="38">
        <f>IFERROR(VLOOKUP(A369,'Public v Private'!A:G,4,FALSE),"")</f>
        <v>0</v>
      </c>
      <c r="D369" s="38">
        <f>IFERROR(VLOOKUP(A369,'Public v Private'!A:G,5,FALSE),"")</f>
        <v>0</v>
      </c>
      <c r="E369" s="38"/>
      <c r="F369" s="40">
        <f>IFERROR(INDEX(Fall!$1:$1048576,MATCH(All!$A369,Fall!$A:$A,FALSE),MATCH(All!F$1,Fall!$1:$1,FALSE)),"N/A")</f>
        <v>1594</v>
      </c>
      <c r="G369" t="str">
        <f>IFERROR(IF(INDEX(Fall!$1:$1048576,MATCH(All!$A369,Fall!$A:$A,FALSE),MATCH(All!G$1,Fall!$1:$1,FALSE))="","",INDEX(Fall!$1:$1048576,MATCH(All!$A369,Fall!$A:$A,FALSE),MATCH(All!G$1,Fall!$1:$1,FALSE))),"")</f>
        <v>3A</v>
      </c>
      <c r="H369" t="str">
        <f>IFERROR(IF(INDEX(Fall!$1:$1048576,MATCH(All!$A369,Fall!$A:$A,FALSE),MATCH(All!H$1,Fall!$1:$1,FALSE))="","",INDEX(Fall!$1:$1048576,MATCH(All!$A369,Fall!$A:$A,FALSE),MATCH(All!H$1,Fall!$1:$1,FALSE))),"")</f>
        <v>3A</v>
      </c>
      <c r="I369" t="str">
        <f>IFERROR(IF(INDEX(Fall!$1:$1048576,MATCH(All!$A369,Fall!$A:$A,FALSE),MATCH(All!I$1,Fall!$1:$1,FALSE))="","",INDEX(Fall!$1:$1048576,MATCH(All!$A369,Fall!$A:$A,FALSE),MATCH(All!I$1,Fall!$1:$1,FALSE))),"")</f>
        <v>3A</v>
      </c>
      <c r="J369" t="str">
        <f>IFERROR(IF(INDEX(Fall!$1:$1048576,MATCH(All!$A369,Fall!$A:$A,FALSE),MATCH(All!J$1,Fall!$1:$1,FALSE))="","",INDEX(Fall!$1:$1048576,MATCH(All!$A369,Fall!$A:$A,FALSE),MATCH(All!J$1,Fall!$1:$1,FALSE))),"")</f>
        <v>2A</v>
      </c>
      <c r="K369" t="str">
        <f>IFERROR(IF(INDEX(Fall!$1:$1048576,MATCH(All!$A369,Fall!$A:$A,FALSE),MATCH(All!K$1,Fall!$1:$1,FALSE))="","",INDEX(Fall!$1:$1048576,MATCH(All!$A369,Fall!$A:$A,FALSE),MATCH(All!K$1,Fall!$1:$1,FALSE))),"")</f>
        <v>2A</v>
      </c>
      <c r="L369" t="str">
        <f>IFERROR(IF(INDEX(Fall!$1:$1048576,MATCH(All!$A369,Fall!$A:$A,FALSE),MATCH(All!L$1,Fall!$1:$1,FALSE))="","",INDEX(Fall!$1:$1048576,MATCH(All!$A369,Fall!$A:$A,FALSE),MATCH(All!L$1,Fall!$1:$1,FALSE))),"")</f>
        <v>2A</v>
      </c>
      <c r="M369" t="str">
        <f>IFERROR(IF(INDEX(Fall!$1:$1048576,MATCH(All!$A369,Fall!$A:$A,FALSE),MATCH(All!M$1,Fall!$1:$1,FALSE))="","",INDEX(Fall!$1:$1048576,MATCH(All!$A369,Fall!$A:$A,FALSE),MATCH(All!M$1,Fall!$1:$1,FALSE))),"")</f>
        <v>3A</v>
      </c>
      <c r="O369">
        <f>IFERROR(IF(INDEX(Winter!$1:$1048576,MATCH(All!$A369,Winter!$A:$A,FALSE),MATCH(All!O$1,Winter!$1:$1,FALSE))="","",INDEX(Winter!$1:$1048576,MATCH(All!$A369,Winter!$A:$A,FALSE),MATCH(All!O$1,Winter!$1:$1,FALSE))),"")</f>
        <v>1594</v>
      </c>
      <c r="P369" t="str">
        <f>IFERROR(IF(INDEX(Winter!$1:$1048576,MATCH(All!$A369,Winter!$A:$A,FALSE),MATCH(All!P$1,Winter!$1:$1,FALSE))="","",INDEX(Winter!$1:$1048576,MATCH(All!$A369,Winter!$A:$A,FALSE),MATCH(All!P$1,Winter!$1:$1,FALSE))),"")</f>
        <v>3A</v>
      </c>
      <c r="Q369" t="str">
        <f>IFERROR(IF(INDEX(Winter!$1:$1048576,MATCH(All!$A369,Winter!$A:$A,FALSE),MATCH(All!Q$1,Winter!$1:$1,FALSE))="","",INDEX(Winter!$1:$1048576,MATCH(All!$A369,Winter!$A:$A,FALSE),MATCH(All!Q$1,Winter!$1:$1,FALSE))),"")</f>
        <v>3A</v>
      </c>
      <c r="R369" t="str">
        <f>IFERROR(IF(INDEX(Winter!$1:$1048576,MATCH(All!$A369,Winter!$A:$A,FALSE),MATCH(All!R$1,Winter!$1:$1,FALSE))="","",INDEX(Winter!$1:$1048576,MATCH(All!$A369,Winter!$A:$A,FALSE),MATCH(All!R$1,Winter!$1:$1,FALSE))),"")</f>
        <v>2A</v>
      </c>
      <c r="S369" t="str">
        <f>IFERROR(IF(INDEX(Winter!$1:$1048576,MATCH(All!$A369,Winter!$A:$A,FALSE),MATCH(All!S$1,Winter!$1:$1,FALSE))="","",INDEX(Winter!$1:$1048576,MATCH(All!$A369,Winter!$A:$A,FALSE),MATCH(All!S$1,Winter!$1:$1,FALSE))),"")</f>
        <v>2A</v>
      </c>
      <c r="T369" t="str">
        <f>IFERROR(IF(INDEX(Winter!$1:$1048576,MATCH(All!$A369,Winter!$A:$A,FALSE),MATCH(All!T$1,Winter!$1:$1,FALSE))="","",INDEX(Winter!$1:$1048576,MATCH(All!$A369,Winter!$A:$A,FALSE),MATCH(All!T$1,Winter!$1:$1,FALSE))),"")</f>
        <v>2A</v>
      </c>
      <c r="U369" t="str">
        <f>IFERROR(IF(INDEX(Winter!$1:$1048576,MATCH(All!$A369,Winter!$A:$A,FALSE),MATCH(All!U$1,Winter!$1:$1,FALSE))="","",INDEX(Winter!$1:$1048576,MATCH(All!$A369,Winter!$A:$A,FALSE),MATCH(All!U$1,Winter!$1:$1,FALSE))),"")</f>
        <v>2A</v>
      </c>
      <c r="W369">
        <f>IFERROR(IF(INDEX(Spring!$1:$1048576,MATCH(All!$A369,Spring!$A:$A,FALSE),MATCH(All!W$1,Spring!$1:$1,FALSE))="","",INDEX(Spring!$1:$1048576,MATCH(All!$A369,Spring!$A:$A,FALSE),MATCH(All!W$1,Spring!$1:$1,FALSE))),"")</f>
        <v>1594</v>
      </c>
      <c r="X369" t="str">
        <f>IFERROR(IF(INDEX(Spring!$1:$1048576,MATCH(All!$A369,Spring!$A:$A,FALSE),MATCH(All!X$1,Spring!$1:$1,FALSE))="","",INDEX(Spring!$1:$1048576,MATCH(All!$A369,Spring!$A:$A,FALSE),MATCH(All!X$1,Spring!$1:$1,FALSE))),"")</f>
        <v>3A</v>
      </c>
      <c r="Y369" t="str">
        <f>IFERROR(IF(INDEX(Spring!$1:$1048576,MATCH(All!$A369,Spring!$A:$A,FALSE),MATCH(All!Y$1,Spring!$1:$1,FALSE))="","",INDEX(Spring!$1:$1048576,MATCH(All!$A369,Spring!$A:$A,FALSE),MATCH(All!Y$1,Spring!$1:$1,FALSE))),"")</f>
        <v>3A</v>
      </c>
      <c r="Z369" t="str">
        <f>IFERROR(IF(INDEX(Spring!$1:$1048576,MATCH(All!$A369,Spring!$A:$A,FALSE),MATCH(All!Z$1,Spring!$1:$1,FALSE))="","",INDEX(Spring!$1:$1048576,MATCH(All!$A369,Spring!$A:$A,FALSE),MATCH(All!Z$1,Spring!$1:$1,FALSE))),"")</f>
        <v>2A</v>
      </c>
      <c r="AA369" t="str">
        <f>IFERROR(IF(INDEX(Spring!$1:$1048576,MATCH(All!$A369,Spring!$A:$A,FALSE),MATCH(All!AA$1,Spring!$1:$1,FALSE))="","",INDEX(Spring!$1:$1048576,MATCH(All!$A369,Spring!$A:$A,FALSE),MATCH(All!AA$1,Spring!$1:$1,FALSE))),"")</f>
        <v>2A</v>
      </c>
      <c r="AB369" t="str">
        <f>IFERROR(IF(INDEX(Spring!$1:$1048576,MATCH(All!$A369,Spring!$A:$A,FALSE),MATCH(All!AB$1,Spring!$1:$1,FALSE))="","",INDEX(Spring!$1:$1048576,MATCH(All!$A369,Spring!$A:$A,FALSE),MATCH(All!AB$1,Spring!$1:$1,FALSE))),"")</f>
        <v>3A</v>
      </c>
      <c r="AC369" t="str">
        <f>IFERROR(IF(INDEX(Spring!$1:$1048576,MATCH(All!$A369,Spring!$A:$A,FALSE),MATCH(All!AC$1,Spring!$1:$1,FALSE))="","",INDEX(Spring!$1:$1048576,MATCH(All!$A369,Spring!$A:$A,FALSE),MATCH(All!AC$1,Spring!$1:$1,FALSE))),"")</f>
        <v>3A</v>
      </c>
      <c r="AD369" t="str">
        <f>IFERROR(VLOOKUP(A369,'Flag Football'!A:A,1,FALSE),"")</f>
        <v>Geneva</v>
      </c>
      <c r="AE369" t="str">
        <f t="shared" si="5"/>
        <v>1A</v>
      </c>
    </row>
    <row r="370" spans="1:31" ht="15.75" thickBot="1" x14ac:dyDescent="0.3">
      <c r="A370" s="18" t="s">
        <v>458</v>
      </c>
      <c r="B370" s="38">
        <f>IFERROR(VLOOKUP(A370,'Public v Private'!A:G,3,FALSE),"")</f>
        <v>0</v>
      </c>
      <c r="C370" s="38">
        <f>IFERROR(VLOOKUP(A370,'Public v Private'!A:G,4,FALSE),"")</f>
        <v>0</v>
      </c>
      <c r="D370" s="38">
        <f>IFERROR(VLOOKUP(A370,'Public v Private'!A:G,5,FALSE),"")</f>
        <v>0</v>
      </c>
      <c r="E370" s="38"/>
      <c r="F370" s="40">
        <f>IFERROR(INDEX(Fall!$1:$1048576,MATCH(All!$A370,Fall!$A:$A,FALSE),MATCH(All!F$1,Fall!$1:$1,FALSE)),"N/A")</f>
        <v>477</v>
      </c>
      <c r="G370" t="str">
        <f>IFERROR(IF(INDEX(Fall!$1:$1048576,MATCH(All!$A370,Fall!$A:$A,FALSE),MATCH(All!G$1,Fall!$1:$1,FALSE))="","",INDEX(Fall!$1:$1048576,MATCH(All!$A370,Fall!$A:$A,FALSE),MATCH(All!G$1,Fall!$1:$1,FALSE))),"")</f>
        <v>1A</v>
      </c>
      <c r="H370" t="str">
        <f>IFERROR(IF(INDEX(Fall!$1:$1048576,MATCH(All!$A370,Fall!$A:$A,FALSE),MATCH(All!H$1,Fall!$1:$1,FALSE))="","",INDEX(Fall!$1:$1048576,MATCH(All!$A370,Fall!$A:$A,FALSE),MATCH(All!H$1,Fall!$1:$1,FALSE))),"")</f>
        <v>1A</v>
      </c>
      <c r="I370" t="str">
        <f>IFERROR(IF(INDEX(Fall!$1:$1048576,MATCH(All!$A370,Fall!$A:$A,FALSE),MATCH(All!I$1,Fall!$1:$1,FALSE))="","",INDEX(Fall!$1:$1048576,MATCH(All!$A370,Fall!$A:$A,FALSE),MATCH(All!I$1,Fall!$1:$1,FALSE))),"")</f>
        <v>1A</v>
      </c>
      <c r="J370" t="str">
        <f>IFERROR(IF(INDEX(Fall!$1:$1048576,MATCH(All!$A370,Fall!$A:$A,FALSE),MATCH(All!J$1,Fall!$1:$1,FALSE))="","",INDEX(Fall!$1:$1048576,MATCH(All!$A370,Fall!$A:$A,FALSE),MATCH(All!J$1,Fall!$1:$1,FALSE))),"")</f>
        <v>1A</v>
      </c>
      <c r="K370" t="str">
        <f>IFERROR(IF(INDEX(Fall!$1:$1048576,MATCH(All!$A370,Fall!$A:$A,FALSE),MATCH(All!K$1,Fall!$1:$1,FALSE))="","",INDEX(Fall!$1:$1048576,MATCH(All!$A370,Fall!$A:$A,FALSE),MATCH(All!K$1,Fall!$1:$1,FALSE))),"")</f>
        <v>1A</v>
      </c>
      <c r="L370" t="str">
        <f>IFERROR(IF(INDEX(Fall!$1:$1048576,MATCH(All!$A370,Fall!$A:$A,FALSE),MATCH(All!L$1,Fall!$1:$1,FALSE))="","",INDEX(Fall!$1:$1048576,MATCH(All!$A370,Fall!$A:$A,FALSE),MATCH(All!L$1,Fall!$1:$1,FALSE))),"")</f>
        <v/>
      </c>
      <c r="M370" t="str">
        <f>IFERROR(IF(INDEX(Fall!$1:$1048576,MATCH(All!$A370,Fall!$A:$A,FALSE),MATCH(All!M$1,Fall!$1:$1,FALSE))="","",INDEX(Fall!$1:$1048576,MATCH(All!$A370,Fall!$A:$A,FALSE),MATCH(All!M$1,Fall!$1:$1,FALSE))),"")</f>
        <v>2A</v>
      </c>
      <c r="O370">
        <f>IFERROR(IF(INDEX(Winter!$1:$1048576,MATCH(All!$A370,Winter!$A:$A,FALSE),MATCH(All!O$1,Winter!$1:$1,FALSE))="","",INDEX(Winter!$1:$1048576,MATCH(All!$A370,Winter!$A:$A,FALSE),MATCH(All!O$1,Winter!$1:$1,FALSE))),"")</f>
        <v>477</v>
      </c>
      <c r="P370" t="str">
        <f>IFERROR(IF(INDEX(Winter!$1:$1048576,MATCH(All!$A370,Winter!$A:$A,FALSE),MATCH(All!P$1,Winter!$1:$1,FALSE))="","",INDEX(Winter!$1:$1048576,MATCH(All!$A370,Winter!$A:$A,FALSE),MATCH(All!P$1,Winter!$1:$1,FALSE))),"")</f>
        <v>2A</v>
      </c>
      <c r="Q370" t="str">
        <f>IFERROR(IF(INDEX(Winter!$1:$1048576,MATCH(All!$A370,Winter!$A:$A,FALSE),MATCH(All!Q$1,Winter!$1:$1,FALSE))="","",INDEX(Winter!$1:$1048576,MATCH(All!$A370,Winter!$A:$A,FALSE),MATCH(All!Q$1,Winter!$1:$1,FALSE))),"")</f>
        <v>2A</v>
      </c>
      <c r="R370" t="str">
        <f>IFERROR(IF(INDEX(Winter!$1:$1048576,MATCH(All!$A370,Winter!$A:$A,FALSE),MATCH(All!R$1,Winter!$1:$1,FALSE))="","",INDEX(Winter!$1:$1048576,MATCH(All!$A370,Winter!$A:$A,FALSE),MATCH(All!R$1,Winter!$1:$1,FALSE))),"")</f>
        <v>1A</v>
      </c>
      <c r="S370" t="str">
        <f>IFERROR(IF(INDEX(Winter!$1:$1048576,MATCH(All!$A370,Winter!$A:$A,FALSE),MATCH(All!S$1,Winter!$1:$1,FALSE))="","",INDEX(Winter!$1:$1048576,MATCH(All!$A370,Winter!$A:$A,FALSE),MATCH(All!S$1,Winter!$1:$1,FALSE))),"")</f>
        <v/>
      </c>
      <c r="T370" t="str">
        <f>IFERROR(IF(INDEX(Winter!$1:$1048576,MATCH(All!$A370,Winter!$A:$A,FALSE),MATCH(All!T$1,Winter!$1:$1,FALSE))="","",INDEX(Winter!$1:$1048576,MATCH(All!$A370,Winter!$A:$A,FALSE),MATCH(All!T$1,Winter!$1:$1,FALSE))),"")</f>
        <v/>
      </c>
      <c r="U370" t="str">
        <f>IFERROR(IF(INDEX(Winter!$1:$1048576,MATCH(All!$A370,Winter!$A:$A,FALSE),MATCH(All!U$1,Winter!$1:$1,FALSE))="","",INDEX(Winter!$1:$1048576,MATCH(All!$A370,Winter!$A:$A,FALSE),MATCH(All!U$1,Winter!$1:$1,FALSE))),"")</f>
        <v>1A</v>
      </c>
      <c r="W370">
        <f>IFERROR(IF(INDEX(Spring!$1:$1048576,MATCH(All!$A370,Spring!$A:$A,FALSE),MATCH(All!W$1,Spring!$1:$1,FALSE))="","",INDEX(Spring!$1:$1048576,MATCH(All!$A370,Spring!$A:$A,FALSE),MATCH(All!W$1,Spring!$1:$1,FALSE))),"")</f>
        <v>477</v>
      </c>
      <c r="X370" t="str">
        <f>IFERROR(IF(INDEX(Spring!$1:$1048576,MATCH(All!$A370,Spring!$A:$A,FALSE),MATCH(All!X$1,Spring!$1:$1,FALSE))="","",INDEX(Spring!$1:$1048576,MATCH(All!$A370,Spring!$A:$A,FALSE),MATCH(All!X$1,Spring!$1:$1,FALSE))),"")</f>
        <v>2A</v>
      </c>
      <c r="Y370" t="str">
        <f>IFERROR(IF(INDEX(Spring!$1:$1048576,MATCH(All!$A370,Spring!$A:$A,FALSE),MATCH(All!Y$1,Spring!$1:$1,FALSE))="","",INDEX(Spring!$1:$1048576,MATCH(All!$A370,Spring!$A:$A,FALSE),MATCH(All!Y$1,Spring!$1:$1,FALSE))),"")</f>
        <v>2A</v>
      </c>
      <c r="Z370" t="str">
        <f>IFERROR(IF(INDEX(Spring!$1:$1048576,MATCH(All!$A370,Spring!$A:$A,FALSE),MATCH(All!Z$1,Spring!$1:$1,FALSE))="","",INDEX(Spring!$1:$1048576,MATCH(All!$A370,Spring!$A:$A,FALSE),MATCH(All!Z$1,Spring!$1:$1,FALSE))),"")</f>
        <v>1A</v>
      </c>
      <c r="AA370" t="str">
        <f>IFERROR(IF(INDEX(Spring!$1:$1048576,MATCH(All!$A370,Spring!$A:$A,FALSE),MATCH(All!AA$1,Spring!$1:$1,FALSE))="","",INDEX(Spring!$1:$1048576,MATCH(All!$A370,Spring!$A:$A,FALSE),MATCH(All!AA$1,Spring!$1:$1,FALSE))),"")</f>
        <v/>
      </c>
      <c r="AB370" t="str">
        <f>IFERROR(IF(INDEX(Spring!$1:$1048576,MATCH(All!$A370,Spring!$A:$A,FALSE),MATCH(All!AB$1,Spring!$1:$1,FALSE))="","",INDEX(Spring!$1:$1048576,MATCH(All!$A370,Spring!$A:$A,FALSE),MATCH(All!AB$1,Spring!$1:$1,FALSE))),"")</f>
        <v>2A</v>
      </c>
      <c r="AC370" t="str">
        <f>IFERROR(IF(INDEX(Spring!$1:$1048576,MATCH(All!$A370,Spring!$A:$A,FALSE),MATCH(All!AC$1,Spring!$1:$1,FALSE))="","",INDEX(Spring!$1:$1048576,MATCH(All!$A370,Spring!$A:$A,FALSE),MATCH(All!AC$1,Spring!$1:$1,FALSE))),"")</f>
        <v>2A</v>
      </c>
      <c r="AD370" t="str">
        <f>IFERROR(VLOOKUP(A370,'Flag Football'!A:A,1,FALSE),"")</f>
        <v/>
      </c>
      <c r="AE370" t="str">
        <f t="shared" si="5"/>
        <v/>
      </c>
    </row>
    <row r="371" spans="1:31" ht="15.75" thickBot="1" x14ac:dyDescent="0.3">
      <c r="A371" s="20" t="s">
        <v>459</v>
      </c>
      <c r="B371" s="38">
        <f>IFERROR(VLOOKUP(A371,'Public v Private'!A:G,3,FALSE),"")</f>
        <v>0</v>
      </c>
      <c r="C371" s="38">
        <f>IFERROR(VLOOKUP(A371,'Public v Private'!A:G,4,FALSE),"")</f>
        <v>0</v>
      </c>
      <c r="D371" s="38">
        <f>IFERROR(VLOOKUP(A371,'Public v Private'!A:G,5,FALSE),"")</f>
        <v>0</v>
      </c>
      <c r="E371" s="38"/>
      <c r="F371" s="40">
        <f>IFERROR(INDEX(Fall!$1:$1048576,MATCH(All!$A371,Fall!$A:$A,FALSE),MATCH(All!F$1,Fall!$1:$1,FALSE)),"N/A")</f>
        <v>230</v>
      </c>
      <c r="G371" t="str">
        <f>IFERROR(IF(INDEX(Fall!$1:$1048576,MATCH(All!$A371,Fall!$A:$A,FALSE),MATCH(All!G$1,Fall!$1:$1,FALSE))="","",INDEX(Fall!$1:$1048576,MATCH(All!$A371,Fall!$A:$A,FALSE),MATCH(All!G$1,Fall!$1:$1,FALSE))),"")</f>
        <v/>
      </c>
      <c r="H371" t="str">
        <f>IFERROR(IF(INDEX(Fall!$1:$1048576,MATCH(All!$A371,Fall!$A:$A,FALSE),MATCH(All!H$1,Fall!$1:$1,FALSE))="","",INDEX(Fall!$1:$1048576,MATCH(All!$A371,Fall!$A:$A,FALSE),MATCH(All!H$1,Fall!$1:$1,FALSE))),"")</f>
        <v/>
      </c>
      <c r="I371" t="str">
        <f>IFERROR(IF(INDEX(Fall!$1:$1048576,MATCH(All!$A371,Fall!$A:$A,FALSE),MATCH(All!I$1,Fall!$1:$1,FALSE))="","",INDEX(Fall!$1:$1048576,MATCH(All!$A371,Fall!$A:$A,FALSE),MATCH(All!I$1,Fall!$1:$1,FALSE))),"")</f>
        <v/>
      </c>
      <c r="J371" t="str">
        <f>IFERROR(IF(INDEX(Fall!$1:$1048576,MATCH(All!$A371,Fall!$A:$A,FALSE),MATCH(All!J$1,Fall!$1:$1,FALSE))="","",INDEX(Fall!$1:$1048576,MATCH(All!$A371,Fall!$A:$A,FALSE),MATCH(All!J$1,Fall!$1:$1,FALSE))),"")</f>
        <v/>
      </c>
      <c r="K371" t="str">
        <f>IFERROR(IF(INDEX(Fall!$1:$1048576,MATCH(All!$A371,Fall!$A:$A,FALSE),MATCH(All!K$1,Fall!$1:$1,FALSE))="","",INDEX(Fall!$1:$1048576,MATCH(All!$A371,Fall!$A:$A,FALSE),MATCH(All!K$1,Fall!$1:$1,FALSE))),"")</f>
        <v>1A</v>
      </c>
      <c r="L371" t="str">
        <f>IFERROR(IF(INDEX(Fall!$1:$1048576,MATCH(All!$A371,Fall!$A:$A,FALSE),MATCH(All!L$1,Fall!$1:$1,FALSE))="","",INDEX(Fall!$1:$1048576,MATCH(All!$A371,Fall!$A:$A,FALSE),MATCH(All!L$1,Fall!$1:$1,FALSE))),"")</f>
        <v/>
      </c>
      <c r="M371" t="str">
        <f>IFERROR(IF(INDEX(Fall!$1:$1048576,MATCH(All!$A371,Fall!$A:$A,FALSE),MATCH(All!M$1,Fall!$1:$1,FALSE))="","",INDEX(Fall!$1:$1048576,MATCH(All!$A371,Fall!$A:$A,FALSE),MATCH(All!M$1,Fall!$1:$1,FALSE))),"")</f>
        <v>1A</v>
      </c>
      <c r="O371">
        <f>IFERROR(IF(INDEX(Winter!$1:$1048576,MATCH(All!$A371,Winter!$A:$A,FALSE),MATCH(All!O$1,Winter!$1:$1,FALSE))="","",INDEX(Winter!$1:$1048576,MATCH(All!$A371,Winter!$A:$A,FALSE),MATCH(All!O$1,Winter!$1:$1,FALSE))),"")</f>
        <v>230</v>
      </c>
      <c r="P371" t="str">
        <f>IFERROR(IF(INDEX(Winter!$1:$1048576,MATCH(All!$A371,Winter!$A:$A,FALSE),MATCH(All!P$1,Winter!$1:$1,FALSE))="","",INDEX(Winter!$1:$1048576,MATCH(All!$A371,Winter!$A:$A,FALSE),MATCH(All!P$1,Winter!$1:$1,FALSE))),"")</f>
        <v>1A</v>
      </c>
      <c r="Q371" t="str">
        <f>IFERROR(IF(INDEX(Winter!$1:$1048576,MATCH(All!$A371,Winter!$A:$A,FALSE),MATCH(All!Q$1,Winter!$1:$1,FALSE))="","",INDEX(Winter!$1:$1048576,MATCH(All!$A371,Winter!$A:$A,FALSE),MATCH(All!Q$1,Winter!$1:$1,FALSE))),"")</f>
        <v>1A</v>
      </c>
      <c r="R371" t="str">
        <f>IFERROR(IF(INDEX(Winter!$1:$1048576,MATCH(All!$A371,Winter!$A:$A,FALSE),MATCH(All!R$1,Winter!$1:$1,FALSE))="","",INDEX(Winter!$1:$1048576,MATCH(All!$A371,Winter!$A:$A,FALSE),MATCH(All!R$1,Winter!$1:$1,FALSE))),"")</f>
        <v/>
      </c>
      <c r="S371" t="str">
        <f>IFERROR(IF(INDEX(Winter!$1:$1048576,MATCH(All!$A371,Winter!$A:$A,FALSE),MATCH(All!S$1,Winter!$1:$1,FALSE))="","",INDEX(Winter!$1:$1048576,MATCH(All!$A371,Winter!$A:$A,FALSE),MATCH(All!S$1,Winter!$1:$1,FALSE))),"")</f>
        <v/>
      </c>
      <c r="T371" t="str">
        <f>IFERROR(IF(INDEX(Winter!$1:$1048576,MATCH(All!$A371,Winter!$A:$A,FALSE),MATCH(All!T$1,Winter!$1:$1,FALSE))="","",INDEX(Winter!$1:$1048576,MATCH(All!$A371,Winter!$A:$A,FALSE),MATCH(All!T$1,Winter!$1:$1,FALSE))),"")</f>
        <v>1A</v>
      </c>
      <c r="U371" t="str">
        <f>IFERROR(IF(INDEX(Winter!$1:$1048576,MATCH(All!$A371,Winter!$A:$A,FALSE),MATCH(All!U$1,Winter!$1:$1,FALSE))="","",INDEX(Winter!$1:$1048576,MATCH(All!$A371,Winter!$A:$A,FALSE),MATCH(All!U$1,Winter!$1:$1,FALSE))),"")</f>
        <v/>
      </c>
      <c r="W371">
        <f>IFERROR(IF(INDEX(Spring!$1:$1048576,MATCH(All!$A371,Spring!$A:$A,FALSE),MATCH(All!W$1,Spring!$1:$1,FALSE))="","",INDEX(Spring!$1:$1048576,MATCH(All!$A371,Spring!$A:$A,FALSE),MATCH(All!W$1,Spring!$1:$1,FALSE))),"")</f>
        <v>230</v>
      </c>
      <c r="X371" t="str">
        <f>IFERROR(IF(INDEX(Spring!$1:$1048576,MATCH(All!$A371,Spring!$A:$A,FALSE),MATCH(All!X$1,Spring!$1:$1,FALSE))="","",INDEX(Spring!$1:$1048576,MATCH(All!$A371,Spring!$A:$A,FALSE),MATCH(All!X$1,Spring!$1:$1,FALSE))),"")</f>
        <v>2A</v>
      </c>
      <c r="Y371" t="str">
        <f>IFERROR(IF(INDEX(Spring!$1:$1048576,MATCH(All!$A371,Spring!$A:$A,FALSE),MATCH(All!Y$1,Spring!$1:$1,FALSE))="","",INDEX(Spring!$1:$1048576,MATCH(All!$A371,Spring!$A:$A,FALSE),MATCH(All!Y$1,Spring!$1:$1,FALSE))),"")</f>
        <v>1A</v>
      </c>
      <c r="Z371" t="str">
        <f>IFERROR(IF(INDEX(Spring!$1:$1048576,MATCH(All!$A371,Spring!$A:$A,FALSE),MATCH(All!Z$1,Spring!$1:$1,FALSE))="","",INDEX(Spring!$1:$1048576,MATCH(All!$A371,Spring!$A:$A,FALSE),MATCH(All!Z$1,Spring!$1:$1,FALSE))),"")</f>
        <v/>
      </c>
      <c r="AA371" t="str">
        <f>IFERROR(IF(INDEX(Spring!$1:$1048576,MATCH(All!$A371,Spring!$A:$A,FALSE),MATCH(All!AA$1,Spring!$1:$1,FALSE))="","",INDEX(Spring!$1:$1048576,MATCH(All!$A371,Spring!$A:$A,FALSE),MATCH(All!AA$1,Spring!$1:$1,FALSE))),"")</f>
        <v/>
      </c>
      <c r="AB371" t="str">
        <f>IFERROR(IF(INDEX(Spring!$1:$1048576,MATCH(All!$A371,Spring!$A:$A,FALSE),MATCH(All!AB$1,Spring!$1:$1,FALSE))="","",INDEX(Spring!$1:$1048576,MATCH(All!$A371,Spring!$A:$A,FALSE),MATCH(All!AB$1,Spring!$1:$1,FALSE))),"")</f>
        <v>1A</v>
      </c>
      <c r="AC371" t="str">
        <f>IFERROR(IF(INDEX(Spring!$1:$1048576,MATCH(All!$A371,Spring!$A:$A,FALSE),MATCH(All!AC$1,Spring!$1:$1,FALSE))="","",INDEX(Spring!$1:$1048576,MATCH(All!$A371,Spring!$A:$A,FALSE),MATCH(All!AC$1,Spring!$1:$1,FALSE))),"")</f>
        <v>1A</v>
      </c>
      <c r="AD371" t="str">
        <f>IFERROR(VLOOKUP(A371,'Flag Football'!A:A,1,FALSE),"")</f>
        <v/>
      </c>
      <c r="AE371" t="str">
        <f t="shared" si="5"/>
        <v/>
      </c>
    </row>
    <row r="372" spans="1:31" ht="15.75" thickBot="1" x14ac:dyDescent="0.3">
      <c r="A372" s="18" t="s">
        <v>946</v>
      </c>
      <c r="B372" s="38" t="str">
        <f>IFERROR(VLOOKUP(A372,'Public v Private'!A:G,3,FALSE),"")</f>
        <v>private</v>
      </c>
      <c r="C372" s="38">
        <f>IFERROR(VLOOKUP(A372,'Public v Private'!A:G,4,FALSE),"")</f>
        <v>5</v>
      </c>
      <c r="D372" s="38">
        <f>IFERROR(VLOOKUP(A372,'Public v Private'!A:G,5,FALSE),"")</f>
        <v>13</v>
      </c>
      <c r="E372" s="38"/>
      <c r="F372" s="40" t="str">
        <f>IFERROR(INDEX(Fall!$1:$1048576,MATCH(All!$A372,Fall!$A:$A,FALSE),MATCH(All!F$1,Fall!$1:$1,FALSE)),"N/A")</f>
        <v>196.00 (323.40)</v>
      </c>
      <c r="G372" t="str">
        <f>IFERROR(IF(INDEX(Fall!$1:$1048576,MATCH(All!$A372,Fall!$A:$A,FALSE),MATCH(All!G$1,Fall!$1:$1,FALSE))="","",INDEX(Fall!$1:$1048576,MATCH(All!$A372,Fall!$A:$A,FALSE),MATCH(All!G$1,Fall!$1:$1,FALSE))),"")</f>
        <v>1A</v>
      </c>
      <c r="H372" t="str">
        <f>IFERROR(IF(INDEX(Fall!$1:$1048576,MATCH(All!$A372,Fall!$A:$A,FALSE),MATCH(All!H$1,Fall!$1:$1,FALSE))="","",INDEX(Fall!$1:$1048576,MATCH(All!$A372,Fall!$A:$A,FALSE),MATCH(All!H$1,Fall!$1:$1,FALSE))),"")</f>
        <v/>
      </c>
      <c r="I372" t="str">
        <f>IFERROR(IF(INDEX(Fall!$1:$1048576,MATCH(All!$A372,Fall!$A:$A,FALSE),MATCH(All!I$1,Fall!$1:$1,FALSE))="","",INDEX(Fall!$1:$1048576,MATCH(All!$A372,Fall!$A:$A,FALSE),MATCH(All!I$1,Fall!$1:$1,FALSE))),"")</f>
        <v/>
      </c>
      <c r="J372" t="str">
        <f>IFERROR(IF(INDEX(Fall!$1:$1048576,MATCH(All!$A372,Fall!$A:$A,FALSE),MATCH(All!J$1,Fall!$1:$1,FALSE))="","",INDEX(Fall!$1:$1048576,MATCH(All!$A372,Fall!$A:$A,FALSE),MATCH(All!J$1,Fall!$1:$1,FALSE))),"")</f>
        <v/>
      </c>
      <c r="K372" t="str">
        <f>IFERROR(IF(INDEX(Fall!$1:$1048576,MATCH(All!$A372,Fall!$A:$A,FALSE),MATCH(All!K$1,Fall!$1:$1,FALSE))="","",INDEX(Fall!$1:$1048576,MATCH(All!$A372,Fall!$A:$A,FALSE),MATCH(All!K$1,Fall!$1:$1,FALSE))),"")</f>
        <v/>
      </c>
      <c r="L372" t="str">
        <f>IFERROR(IF(INDEX(Fall!$1:$1048576,MATCH(All!$A372,Fall!$A:$A,FALSE),MATCH(All!L$1,Fall!$1:$1,FALSE))="","",INDEX(Fall!$1:$1048576,MATCH(All!$A372,Fall!$A:$A,FALSE),MATCH(All!L$1,Fall!$1:$1,FALSE))),"")</f>
        <v/>
      </c>
      <c r="M372" t="str">
        <f>IFERROR(IF(INDEX(Fall!$1:$1048576,MATCH(All!$A372,Fall!$A:$A,FALSE),MATCH(All!M$1,Fall!$1:$1,FALSE))="","",INDEX(Fall!$1:$1048576,MATCH(All!$A372,Fall!$A:$A,FALSE),MATCH(All!M$1,Fall!$1:$1,FALSE))),"")</f>
        <v/>
      </c>
      <c r="O372" t="str">
        <f>IFERROR(IF(INDEX(Winter!$1:$1048576,MATCH(All!$A372,Winter!$A:$A,FALSE),MATCH(All!O$1,Winter!$1:$1,FALSE))="","",INDEX(Winter!$1:$1048576,MATCH(All!$A372,Winter!$A:$A,FALSE),MATCH(All!O$1,Winter!$1:$1,FALSE))),"")</f>
        <v>196.00 (323.40)</v>
      </c>
      <c r="P372" t="str">
        <f>IFERROR(IF(INDEX(Winter!$1:$1048576,MATCH(All!$A372,Winter!$A:$A,FALSE),MATCH(All!P$1,Winter!$1:$1,FALSE))="","",INDEX(Winter!$1:$1048576,MATCH(All!$A372,Winter!$A:$A,FALSE),MATCH(All!P$1,Winter!$1:$1,FALSE))),"")</f>
        <v>1A</v>
      </c>
      <c r="Q372" t="str">
        <f>IFERROR(IF(INDEX(Winter!$1:$1048576,MATCH(All!$A372,Winter!$A:$A,FALSE),MATCH(All!Q$1,Winter!$1:$1,FALSE))="","",INDEX(Winter!$1:$1048576,MATCH(All!$A372,Winter!$A:$A,FALSE),MATCH(All!Q$1,Winter!$1:$1,FALSE))),"")</f>
        <v/>
      </c>
      <c r="R372" t="str">
        <f>IFERROR(IF(INDEX(Winter!$1:$1048576,MATCH(All!$A372,Winter!$A:$A,FALSE),MATCH(All!R$1,Winter!$1:$1,FALSE))="","",INDEX(Winter!$1:$1048576,MATCH(All!$A372,Winter!$A:$A,FALSE),MATCH(All!R$1,Winter!$1:$1,FALSE))),"")</f>
        <v/>
      </c>
      <c r="S372" t="str">
        <f>IFERROR(IF(INDEX(Winter!$1:$1048576,MATCH(All!$A372,Winter!$A:$A,FALSE),MATCH(All!S$1,Winter!$1:$1,FALSE))="","",INDEX(Winter!$1:$1048576,MATCH(All!$A372,Winter!$A:$A,FALSE),MATCH(All!S$1,Winter!$1:$1,FALSE))),"")</f>
        <v/>
      </c>
      <c r="T372" t="str">
        <f>IFERROR(IF(INDEX(Winter!$1:$1048576,MATCH(All!$A372,Winter!$A:$A,FALSE),MATCH(All!T$1,Winter!$1:$1,FALSE))="","",INDEX(Winter!$1:$1048576,MATCH(All!$A372,Winter!$A:$A,FALSE),MATCH(All!T$1,Winter!$1:$1,FALSE))),"")</f>
        <v/>
      </c>
      <c r="U372" t="str">
        <f>IFERROR(IF(INDEX(Winter!$1:$1048576,MATCH(All!$A372,Winter!$A:$A,FALSE),MATCH(All!U$1,Winter!$1:$1,FALSE))="","",INDEX(Winter!$1:$1048576,MATCH(All!$A372,Winter!$A:$A,FALSE),MATCH(All!U$1,Winter!$1:$1,FALSE))),"")</f>
        <v/>
      </c>
      <c r="W372" t="str">
        <f>IFERROR(IF(INDEX(Spring!$1:$1048576,MATCH(All!$A372,Spring!$A:$A,FALSE),MATCH(All!W$1,Spring!$1:$1,FALSE))="","",INDEX(Spring!$1:$1048576,MATCH(All!$A372,Spring!$A:$A,FALSE),MATCH(All!W$1,Spring!$1:$1,FALSE))),"")</f>
        <v/>
      </c>
      <c r="X372" t="str">
        <f>IFERROR(IF(INDEX(Spring!$1:$1048576,MATCH(All!$A372,Spring!$A:$A,FALSE),MATCH(All!X$1,Spring!$1:$1,FALSE))="","",INDEX(Spring!$1:$1048576,MATCH(All!$A372,Spring!$A:$A,FALSE),MATCH(All!X$1,Spring!$1:$1,FALSE))),"")</f>
        <v/>
      </c>
      <c r="Y372" t="str">
        <f>IFERROR(IF(INDEX(Spring!$1:$1048576,MATCH(All!$A372,Spring!$A:$A,FALSE),MATCH(All!Y$1,Spring!$1:$1,FALSE))="","",INDEX(Spring!$1:$1048576,MATCH(All!$A372,Spring!$A:$A,FALSE),MATCH(All!Y$1,Spring!$1:$1,FALSE))),"")</f>
        <v/>
      </c>
      <c r="Z372" t="str">
        <f>IFERROR(IF(INDEX(Spring!$1:$1048576,MATCH(All!$A372,Spring!$A:$A,FALSE),MATCH(All!Z$1,Spring!$1:$1,FALSE))="","",INDEX(Spring!$1:$1048576,MATCH(All!$A372,Spring!$A:$A,FALSE),MATCH(All!Z$1,Spring!$1:$1,FALSE))),"")</f>
        <v/>
      </c>
      <c r="AA372" t="str">
        <f>IFERROR(IF(INDEX(Spring!$1:$1048576,MATCH(All!$A372,Spring!$A:$A,FALSE),MATCH(All!AA$1,Spring!$1:$1,FALSE))="","",INDEX(Spring!$1:$1048576,MATCH(All!$A372,Spring!$A:$A,FALSE),MATCH(All!AA$1,Spring!$1:$1,FALSE))),"")</f>
        <v/>
      </c>
      <c r="AB372" t="str">
        <f>IFERROR(IF(INDEX(Spring!$1:$1048576,MATCH(All!$A372,Spring!$A:$A,FALSE),MATCH(All!AB$1,Spring!$1:$1,FALSE))="","",INDEX(Spring!$1:$1048576,MATCH(All!$A372,Spring!$A:$A,FALSE),MATCH(All!AB$1,Spring!$1:$1,FALSE))),"")</f>
        <v/>
      </c>
      <c r="AC372" t="str">
        <f>IFERROR(IF(INDEX(Spring!$1:$1048576,MATCH(All!$A372,Spring!$A:$A,FALSE),MATCH(All!AC$1,Spring!$1:$1,FALSE))="","",INDEX(Spring!$1:$1048576,MATCH(All!$A372,Spring!$A:$A,FALSE),MATCH(All!AC$1,Spring!$1:$1,FALSE))),"")</f>
        <v/>
      </c>
      <c r="AD372" t="str">
        <f>IFERROR(VLOOKUP(A372,'Flag Football'!A:A,1,FALSE),"")</f>
        <v/>
      </c>
      <c r="AE372" t="str">
        <f t="shared" si="5"/>
        <v/>
      </c>
    </row>
    <row r="373" spans="1:31" ht="15.75" thickBot="1" x14ac:dyDescent="0.3">
      <c r="A373" s="20" t="s">
        <v>460</v>
      </c>
      <c r="B373" s="38">
        <f>IFERROR(VLOOKUP(A373,'Public v Private'!A:G,3,FALSE),"")</f>
        <v>0</v>
      </c>
      <c r="C373" s="38">
        <f>IFERROR(VLOOKUP(A373,'Public v Private'!A:G,4,FALSE),"")</f>
        <v>0</v>
      </c>
      <c r="D373" s="38">
        <f>IFERROR(VLOOKUP(A373,'Public v Private'!A:G,5,FALSE),"")</f>
        <v>0</v>
      </c>
      <c r="E373" s="38"/>
      <c r="F373" s="40">
        <f>IFERROR(INDEX(Fall!$1:$1048576,MATCH(All!$A373,Fall!$A:$A,FALSE),MATCH(All!F$1,Fall!$1:$1,FALSE)),"N/A")</f>
        <v>269</v>
      </c>
      <c r="G373" t="str">
        <f>IFERROR(IF(INDEX(Fall!$1:$1048576,MATCH(All!$A373,Fall!$A:$A,FALSE),MATCH(All!G$1,Fall!$1:$1,FALSE))="","",INDEX(Fall!$1:$1048576,MATCH(All!$A373,Fall!$A:$A,FALSE),MATCH(All!G$1,Fall!$1:$1,FALSE))),"")</f>
        <v/>
      </c>
      <c r="H373" t="str">
        <f>IFERROR(IF(INDEX(Fall!$1:$1048576,MATCH(All!$A373,Fall!$A:$A,FALSE),MATCH(All!H$1,Fall!$1:$1,FALSE))="","",INDEX(Fall!$1:$1048576,MATCH(All!$A373,Fall!$A:$A,FALSE),MATCH(All!H$1,Fall!$1:$1,FALSE))),"")</f>
        <v/>
      </c>
      <c r="I373" t="str">
        <f>IFERROR(IF(INDEX(Fall!$1:$1048576,MATCH(All!$A373,Fall!$A:$A,FALSE),MATCH(All!I$1,Fall!$1:$1,FALSE))="","",INDEX(Fall!$1:$1048576,MATCH(All!$A373,Fall!$A:$A,FALSE),MATCH(All!I$1,Fall!$1:$1,FALSE))),"")</f>
        <v>1A</v>
      </c>
      <c r="J373" t="str">
        <f>IFERROR(IF(INDEX(Fall!$1:$1048576,MATCH(All!$A373,Fall!$A:$A,FALSE),MATCH(All!J$1,Fall!$1:$1,FALSE))="","",INDEX(Fall!$1:$1048576,MATCH(All!$A373,Fall!$A:$A,FALSE),MATCH(All!J$1,Fall!$1:$1,FALSE))),"")</f>
        <v>1A</v>
      </c>
      <c r="K373" t="str">
        <f>IFERROR(IF(INDEX(Fall!$1:$1048576,MATCH(All!$A373,Fall!$A:$A,FALSE),MATCH(All!K$1,Fall!$1:$1,FALSE))="","",INDEX(Fall!$1:$1048576,MATCH(All!$A373,Fall!$A:$A,FALSE),MATCH(All!K$1,Fall!$1:$1,FALSE))),"")</f>
        <v/>
      </c>
      <c r="L373" t="str">
        <f>IFERROR(IF(INDEX(Fall!$1:$1048576,MATCH(All!$A373,Fall!$A:$A,FALSE),MATCH(All!L$1,Fall!$1:$1,FALSE))="","",INDEX(Fall!$1:$1048576,MATCH(All!$A373,Fall!$A:$A,FALSE),MATCH(All!L$1,Fall!$1:$1,FALSE))),"")</f>
        <v>1A</v>
      </c>
      <c r="M373" t="str">
        <f>IFERROR(IF(INDEX(Fall!$1:$1048576,MATCH(All!$A373,Fall!$A:$A,FALSE),MATCH(All!M$1,Fall!$1:$1,FALSE))="","",INDEX(Fall!$1:$1048576,MATCH(All!$A373,Fall!$A:$A,FALSE),MATCH(All!M$1,Fall!$1:$1,FALSE))),"")</f>
        <v>1A</v>
      </c>
      <c r="O373">
        <f>IFERROR(IF(INDEX(Winter!$1:$1048576,MATCH(All!$A373,Winter!$A:$A,FALSE),MATCH(All!O$1,Winter!$1:$1,FALSE))="","",INDEX(Winter!$1:$1048576,MATCH(All!$A373,Winter!$A:$A,FALSE),MATCH(All!O$1,Winter!$1:$1,FALSE))),"")</f>
        <v>269</v>
      </c>
      <c r="P373" t="str">
        <f>IFERROR(IF(INDEX(Winter!$1:$1048576,MATCH(All!$A373,Winter!$A:$A,FALSE),MATCH(All!P$1,Winter!$1:$1,FALSE))="","",INDEX(Winter!$1:$1048576,MATCH(All!$A373,Winter!$A:$A,FALSE),MATCH(All!P$1,Winter!$1:$1,FALSE))),"")</f>
        <v>1A</v>
      </c>
      <c r="Q373" t="str">
        <f>IFERROR(IF(INDEX(Winter!$1:$1048576,MATCH(All!$A373,Winter!$A:$A,FALSE),MATCH(All!Q$1,Winter!$1:$1,FALSE))="","",INDEX(Winter!$1:$1048576,MATCH(All!$A373,Winter!$A:$A,FALSE),MATCH(All!Q$1,Winter!$1:$1,FALSE))),"")</f>
        <v>1A</v>
      </c>
      <c r="R373" t="str">
        <f>IFERROR(IF(INDEX(Winter!$1:$1048576,MATCH(All!$A373,Winter!$A:$A,FALSE),MATCH(All!R$1,Winter!$1:$1,FALSE))="","",INDEX(Winter!$1:$1048576,MATCH(All!$A373,Winter!$A:$A,FALSE),MATCH(All!R$1,Winter!$1:$1,FALSE))),"")</f>
        <v/>
      </c>
      <c r="S373" t="str">
        <f>IFERROR(IF(INDEX(Winter!$1:$1048576,MATCH(All!$A373,Winter!$A:$A,FALSE),MATCH(All!S$1,Winter!$1:$1,FALSE))="","",INDEX(Winter!$1:$1048576,MATCH(All!$A373,Winter!$A:$A,FALSE),MATCH(All!S$1,Winter!$1:$1,FALSE))),"")</f>
        <v/>
      </c>
      <c r="T373" t="str">
        <f>IFERROR(IF(INDEX(Winter!$1:$1048576,MATCH(All!$A373,Winter!$A:$A,FALSE),MATCH(All!T$1,Winter!$1:$1,FALSE))="","",INDEX(Winter!$1:$1048576,MATCH(All!$A373,Winter!$A:$A,FALSE),MATCH(All!T$1,Winter!$1:$1,FALSE))),"")</f>
        <v>1A</v>
      </c>
      <c r="U373" t="str">
        <f>IFERROR(IF(INDEX(Winter!$1:$1048576,MATCH(All!$A373,Winter!$A:$A,FALSE),MATCH(All!U$1,Winter!$1:$1,FALSE))="","",INDEX(Winter!$1:$1048576,MATCH(All!$A373,Winter!$A:$A,FALSE),MATCH(All!U$1,Winter!$1:$1,FALSE))),"")</f>
        <v>1A</v>
      </c>
      <c r="W373">
        <f>IFERROR(IF(INDEX(Spring!$1:$1048576,MATCH(All!$A373,Spring!$A:$A,FALSE),MATCH(All!W$1,Spring!$1:$1,FALSE))="","",INDEX(Spring!$1:$1048576,MATCH(All!$A373,Spring!$A:$A,FALSE),MATCH(All!W$1,Spring!$1:$1,FALSE))),"")</f>
        <v>269</v>
      </c>
      <c r="X373" t="str">
        <f>IFERROR(IF(INDEX(Spring!$1:$1048576,MATCH(All!$A373,Spring!$A:$A,FALSE),MATCH(All!X$1,Spring!$1:$1,FALSE))="","",INDEX(Spring!$1:$1048576,MATCH(All!$A373,Spring!$A:$A,FALSE),MATCH(All!X$1,Spring!$1:$1,FALSE))),"")</f>
        <v>1A</v>
      </c>
      <c r="Y373" t="str">
        <f>IFERROR(IF(INDEX(Spring!$1:$1048576,MATCH(All!$A373,Spring!$A:$A,FALSE),MATCH(All!Y$1,Spring!$1:$1,FALSE))="","",INDEX(Spring!$1:$1048576,MATCH(All!$A373,Spring!$A:$A,FALSE),MATCH(All!Y$1,Spring!$1:$1,FALSE))),"")</f>
        <v>1A</v>
      </c>
      <c r="Z373" t="str">
        <f>IFERROR(IF(INDEX(Spring!$1:$1048576,MATCH(All!$A373,Spring!$A:$A,FALSE),MATCH(All!Z$1,Spring!$1:$1,FALSE))="","",INDEX(Spring!$1:$1048576,MATCH(All!$A373,Spring!$A:$A,FALSE),MATCH(All!Z$1,Spring!$1:$1,FALSE))),"")</f>
        <v/>
      </c>
      <c r="AA373" t="str">
        <f>IFERROR(IF(INDEX(Spring!$1:$1048576,MATCH(All!$A373,Spring!$A:$A,FALSE),MATCH(All!AA$1,Spring!$1:$1,FALSE))="","",INDEX(Spring!$1:$1048576,MATCH(All!$A373,Spring!$A:$A,FALSE),MATCH(All!AA$1,Spring!$1:$1,FALSE))),"")</f>
        <v/>
      </c>
      <c r="AB373" t="str">
        <f>IFERROR(IF(INDEX(Spring!$1:$1048576,MATCH(All!$A373,Spring!$A:$A,FALSE),MATCH(All!AB$1,Spring!$1:$1,FALSE))="","",INDEX(Spring!$1:$1048576,MATCH(All!$A373,Spring!$A:$A,FALSE),MATCH(All!AB$1,Spring!$1:$1,FALSE))),"")</f>
        <v>1A</v>
      </c>
      <c r="AC373" t="str">
        <f>IFERROR(IF(INDEX(Spring!$1:$1048576,MATCH(All!$A373,Spring!$A:$A,FALSE),MATCH(All!AC$1,Spring!$1:$1,FALSE))="","",INDEX(Spring!$1:$1048576,MATCH(All!$A373,Spring!$A:$A,FALSE),MATCH(All!AC$1,Spring!$1:$1,FALSE))),"")</f>
        <v>1A</v>
      </c>
      <c r="AD373" t="str">
        <f>IFERROR(VLOOKUP(A373,'Flag Football'!A:A,1,FALSE),"")</f>
        <v/>
      </c>
      <c r="AE373" t="str">
        <f t="shared" si="5"/>
        <v/>
      </c>
    </row>
    <row r="374" spans="1:31" ht="15.75" thickBot="1" x14ac:dyDescent="0.3">
      <c r="A374" s="18" t="s">
        <v>461</v>
      </c>
      <c r="B374" s="38">
        <f>IFERROR(VLOOKUP(A374,'Public v Private'!A:G,3,FALSE),"")</f>
        <v>0</v>
      </c>
      <c r="C374" s="38">
        <f>IFERROR(VLOOKUP(A374,'Public v Private'!A:G,4,FALSE),"")</f>
        <v>0</v>
      </c>
      <c r="D374" s="38">
        <f>IFERROR(VLOOKUP(A374,'Public v Private'!A:G,5,FALSE),"")</f>
        <v>0</v>
      </c>
      <c r="E374" s="38"/>
      <c r="F374" s="40">
        <f>IFERROR(INDEX(Fall!$1:$1048576,MATCH(All!$A374,Fall!$A:$A,FALSE),MATCH(All!F$1,Fall!$1:$1,FALSE)),"N/A")</f>
        <v>327</v>
      </c>
      <c r="G374" t="str">
        <f>IFERROR(IF(INDEX(Fall!$1:$1048576,MATCH(All!$A374,Fall!$A:$A,FALSE),MATCH(All!G$1,Fall!$1:$1,FALSE))="","",INDEX(Fall!$1:$1048576,MATCH(All!$A374,Fall!$A:$A,FALSE),MATCH(All!G$1,Fall!$1:$1,FALSE))),"")</f>
        <v>1A</v>
      </c>
      <c r="H374" t="str">
        <f>IFERROR(IF(INDEX(Fall!$1:$1048576,MATCH(All!$A374,Fall!$A:$A,FALSE),MATCH(All!H$1,Fall!$1:$1,FALSE))="","",INDEX(Fall!$1:$1048576,MATCH(All!$A374,Fall!$A:$A,FALSE),MATCH(All!H$1,Fall!$1:$1,FALSE))),"")</f>
        <v>1A</v>
      </c>
      <c r="I374" t="str">
        <f>IFERROR(IF(INDEX(Fall!$1:$1048576,MATCH(All!$A374,Fall!$A:$A,FALSE),MATCH(All!I$1,Fall!$1:$1,FALSE))="","",INDEX(Fall!$1:$1048576,MATCH(All!$A374,Fall!$A:$A,FALSE),MATCH(All!I$1,Fall!$1:$1,FALSE))),"")</f>
        <v>1A</v>
      </c>
      <c r="J374" t="str">
        <f>IFERROR(IF(INDEX(Fall!$1:$1048576,MATCH(All!$A374,Fall!$A:$A,FALSE),MATCH(All!J$1,Fall!$1:$1,FALSE))="","",INDEX(Fall!$1:$1048576,MATCH(All!$A374,Fall!$A:$A,FALSE),MATCH(All!J$1,Fall!$1:$1,FALSE))),"")</f>
        <v/>
      </c>
      <c r="K374" t="str">
        <f>IFERROR(IF(INDEX(Fall!$1:$1048576,MATCH(All!$A374,Fall!$A:$A,FALSE),MATCH(All!K$1,Fall!$1:$1,FALSE))="","",INDEX(Fall!$1:$1048576,MATCH(All!$A374,Fall!$A:$A,FALSE),MATCH(All!K$1,Fall!$1:$1,FALSE))),"")</f>
        <v/>
      </c>
      <c r="L374" t="str">
        <f>IFERROR(IF(INDEX(Fall!$1:$1048576,MATCH(All!$A374,Fall!$A:$A,FALSE),MATCH(All!L$1,Fall!$1:$1,FALSE))="","",INDEX(Fall!$1:$1048576,MATCH(All!$A374,Fall!$A:$A,FALSE),MATCH(All!L$1,Fall!$1:$1,FALSE))),"")</f>
        <v/>
      </c>
      <c r="M374" t="str">
        <f>IFERROR(IF(INDEX(Fall!$1:$1048576,MATCH(All!$A374,Fall!$A:$A,FALSE),MATCH(All!M$1,Fall!$1:$1,FALSE))="","",INDEX(Fall!$1:$1048576,MATCH(All!$A374,Fall!$A:$A,FALSE),MATCH(All!M$1,Fall!$1:$1,FALSE))),"")</f>
        <v>2A</v>
      </c>
      <c r="O374">
        <f>IFERROR(IF(INDEX(Winter!$1:$1048576,MATCH(All!$A374,Winter!$A:$A,FALSE),MATCH(All!O$1,Winter!$1:$1,FALSE))="","",INDEX(Winter!$1:$1048576,MATCH(All!$A374,Winter!$A:$A,FALSE),MATCH(All!O$1,Winter!$1:$1,FALSE))),"")</f>
        <v>327</v>
      </c>
      <c r="P374" t="str">
        <f>IFERROR(IF(INDEX(Winter!$1:$1048576,MATCH(All!$A374,Winter!$A:$A,FALSE),MATCH(All!P$1,Winter!$1:$1,FALSE))="","",INDEX(Winter!$1:$1048576,MATCH(All!$A374,Winter!$A:$A,FALSE),MATCH(All!P$1,Winter!$1:$1,FALSE))),"")</f>
        <v>2A</v>
      </c>
      <c r="Q374" t="str">
        <f>IFERROR(IF(INDEX(Winter!$1:$1048576,MATCH(All!$A374,Winter!$A:$A,FALSE),MATCH(All!Q$1,Winter!$1:$1,FALSE))="","",INDEX(Winter!$1:$1048576,MATCH(All!$A374,Winter!$A:$A,FALSE),MATCH(All!Q$1,Winter!$1:$1,FALSE))),"")</f>
        <v>2A</v>
      </c>
      <c r="R374" t="str">
        <f>IFERROR(IF(INDEX(Winter!$1:$1048576,MATCH(All!$A374,Winter!$A:$A,FALSE),MATCH(All!R$1,Winter!$1:$1,FALSE))="","",INDEX(Winter!$1:$1048576,MATCH(All!$A374,Winter!$A:$A,FALSE),MATCH(All!R$1,Winter!$1:$1,FALSE))),"")</f>
        <v/>
      </c>
      <c r="S374" t="str">
        <f>IFERROR(IF(INDEX(Winter!$1:$1048576,MATCH(All!$A374,Winter!$A:$A,FALSE),MATCH(All!S$1,Winter!$1:$1,FALSE))="","",INDEX(Winter!$1:$1048576,MATCH(All!$A374,Winter!$A:$A,FALSE),MATCH(All!S$1,Winter!$1:$1,FALSE))),"")</f>
        <v/>
      </c>
      <c r="T374" t="str">
        <f>IFERROR(IF(INDEX(Winter!$1:$1048576,MATCH(All!$A374,Winter!$A:$A,FALSE),MATCH(All!T$1,Winter!$1:$1,FALSE))="","",INDEX(Winter!$1:$1048576,MATCH(All!$A374,Winter!$A:$A,FALSE),MATCH(All!T$1,Winter!$1:$1,FALSE))),"")</f>
        <v>1A</v>
      </c>
      <c r="U374" t="str">
        <f>IFERROR(IF(INDEX(Winter!$1:$1048576,MATCH(All!$A374,Winter!$A:$A,FALSE),MATCH(All!U$1,Winter!$1:$1,FALSE))="","",INDEX(Winter!$1:$1048576,MATCH(All!$A374,Winter!$A:$A,FALSE),MATCH(All!U$1,Winter!$1:$1,FALSE))),"")</f>
        <v/>
      </c>
      <c r="W374">
        <f>IFERROR(IF(INDEX(Spring!$1:$1048576,MATCH(All!$A374,Spring!$A:$A,FALSE),MATCH(All!W$1,Spring!$1:$1,FALSE))="","",INDEX(Spring!$1:$1048576,MATCH(All!$A374,Spring!$A:$A,FALSE),MATCH(All!W$1,Spring!$1:$1,FALSE))),"")</f>
        <v>327</v>
      </c>
      <c r="X374" t="str">
        <f>IFERROR(IF(INDEX(Spring!$1:$1048576,MATCH(All!$A374,Spring!$A:$A,FALSE),MATCH(All!X$1,Spring!$1:$1,FALSE))="","",INDEX(Spring!$1:$1048576,MATCH(All!$A374,Spring!$A:$A,FALSE),MATCH(All!X$1,Spring!$1:$1,FALSE))),"")</f>
        <v>2A</v>
      </c>
      <c r="Y374" t="str">
        <f>IFERROR(IF(INDEX(Spring!$1:$1048576,MATCH(All!$A374,Spring!$A:$A,FALSE),MATCH(All!Y$1,Spring!$1:$1,FALSE))="","",INDEX(Spring!$1:$1048576,MATCH(All!$A374,Spring!$A:$A,FALSE),MATCH(All!Y$1,Spring!$1:$1,FALSE))),"")</f>
        <v>2A</v>
      </c>
      <c r="Z374" t="str">
        <f>IFERROR(IF(INDEX(Spring!$1:$1048576,MATCH(All!$A374,Spring!$A:$A,FALSE),MATCH(All!Z$1,Spring!$1:$1,FALSE))="","",INDEX(Spring!$1:$1048576,MATCH(All!$A374,Spring!$A:$A,FALSE),MATCH(All!Z$1,Spring!$1:$1,FALSE))),"")</f>
        <v>1A</v>
      </c>
      <c r="AA374" t="str">
        <f>IFERROR(IF(INDEX(Spring!$1:$1048576,MATCH(All!$A374,Spring!$A:$A,FALSE),MATCH(All!AA$1,Spring!$1:$1,FALSE))="","",INDEX(Spring!$1:$1048576,MATCH(All!$A374,Spring!$A:$A,FALSE),MATCH(All!AA$1,Spring!$1:$1,FALSE))),"")</f>
        <v/>
      </c>
      <c r="AB374" t="str">
        <f>IFERROR(IF(INDEX(Spring!$1:$1048576,MATCH(All!$A374,Spring!$A:$A,FALSE),MATCH(All!AB$1,Spring!$1:$1,FALSE))="","",INDEX(Spring!$1:$1048576,MATCH(All!$A374,Spring!$A:$A,FALSE),MATCH(All!AB$1,Spring!$1:$1,FALSE))),"")</f>
        <v>1A</v>
      </c>
      <c r="AC374" t="str">
        <f>IFERROR(IF(INDEX(Spring!$1:$1048576,MATCH(All!$A374,Spring!$A:$A,FALSE),MATCH(All!AC$1,Spring!$1:$1,FALSE))="","",INDEX(Spring!$1:$1048576,MATCH(All!$A374,Spring!$A:$A,FALSE),MATCH(All!AC$1,Spring!$1:$1,FALSE))),"")</f>
        <v>1A</v>
      </c>
      <c r="AD374" t="str">
        <f>IFERROR(VLOOKUP(A374,'Flag Football'!A:A,1,FALSE),"")</f>
        <v/>
      </c>
      <c r="AE374" t="str">
        <f t="shared" si="5"/>
        <v/>
      </c>
    </row>
    <row r="375" spans="1:31" ht="15.75" thickBot="1" x14ac:dyDescent="0.3">
      <c r="A375" s="20" t="s">
        <v>462</v>
      </c>
      <c r="B375" s="38">
        <f>IFERROR(VLOOKUP(A375,'Public v Private'!A:G,3,FALSE),"")</f>
        <v>0</v>
      </c>
      <c r="C375" s="38">
        <f>IFERROR(VLOOKUP(A375,'Public v Private'!A:G,4,FALSE),"")</f>
        <v>0</v>
      </c>
      <c r="D375" s="38">
        <f>IFERROR(VLOOKUP(A375,'Public v Private'!A:G,5,FALSE),"")</f>
        <v>0</v>
      </c>
      <c r="E375" s="38"/>
      <c r="F375" s="40">
        <f>IFERROR(INDEX(Fall!$1:$1048576,MATCH(All!$A375,Fall!$A:$A,FALSE),MATCH(All!F$1,Fall!$1:$1,FALSE)),"N/A")</f>
        <v>243</v>
      </c>
      <c r="G375" t="str">
        <f>IFERROR(IF(INDEX(Fall!$1:$1048576,MATCH(All!$A375,Fall!$A:$A,FALSE),MATCH(All!G$1,Fall!$1:$1,FALSE))="","",INDEX(Fall!$1:$1048576,MATCH(All!$A375,Fall!$A:$A,FALSE),MATCH(All!G$1,Fall!$1:$1,FALSE))),"")</f>
        <v>1A</v>
      </c>
      <c r="H375" t="str">
        <f>IFERROR(IF(INDEX(Fall!$1:$1048576,MATCH(All!$A375,Fall!$A:$A,FALSE),MATCH(All!H$1,Fall!$1:$1,FALSE))="","",INDEX(Fall!$1:$1048576,MATCH(All!$A375,Fall!$A:$A,FALSE),MATCH(All!H$1,Fall!$1:$1,FALSE))),"")</f>
        <v/>
      </c>
      <c r="I375" t="str">
        <f>IFERROR(IF(INDEX(Fall!$1:$1048576,MATCH(All!$A375,Fall!$A:$A,FALSE),MATCH(All!I$1,Fall!$1:$1,FALSE))="","",INDEX(Fall!$1:$1048576,MATCH(All!$A375,Fall!$A:$A,FALSE),MATCH(All!I$1,Fall!$1:$1,FALSE))),"")</f>
        <v>1A</v>
      </c>
      <c r="J375" t="str">
        <f>IFERROR(IF(INDEX(Fall!$1:$1048576,MATCH(All!$A375,Fall!$A:$A,FALSE),MATCH(All!J$1,Fall!$1:$1,FALSE))="","",INDEX(Fall!$1:$1048576,MATCH(All!$A375,Fall!$A:$A,FALSE),MATCH(All!J$1,Fall!$1:$1,FALSE))),"")</f>
        <v>1A</v>
      </c>
      <c r="K375" t="str">
        <f>IFERROR(IF(INDEX(Fall!$1:$1048576,MATCH(All!$A375,Fall!$A:$A,FALSE),MATCH(All!K$1,Fall!$1:$1,FALSE))="","",INDEX(Fall!$1:$1048576,MATCH(All!$A375,Fall!$A:$A,FALSE),MATCH(All!K$1,Fall!$1:$1,FALSE))),"")</f>
        <v>1A</v>
      </c>
      <c r="L375" t="str">
        <f>IFERROR(IF(INDEX(Fall!$1:$1048576,MATCH(All!$A375,Fall!$A:$A,FALSE),MATCH(All!L$1,Fall!$1:$1,FALSE))="","",INDEX(Fall!$1:$1048576,MATCH(All!$A375,Fall!$A:$A,FALSE),MATCH(All!L$1,Fall!$1:$1,FALSE))),"")</f>
        <v/>
      </c>
      <c r="M375" t="str">
        <f>IFERROR(IF(INDEX(Fall!$1:$1048576,MATCH(All!$A375,Fall!$A:$A,FALSE),MATCH(All!M$1,Fall!$1:$1,FALSE))="","",INDEX(Fall!$1:$1048576,MATCH(All!$A375,Fall!$A:$A,FALSE),MATCH(All!M$1,Fall!$1:$1,FALSE))),"")</f>
        <v>1A</v>
      </c>
      <c r="O375">
        <f>IFERROR(IF(INDEX(Winter!$1:$1048576,MATCH(All!$A375,Winter!$A:$A,FALSE),MATCH(All!O$1,Winter!$1:$1,FALSE))="","",INDEX(Winter!$1:$1048576,MATCH(All!$A375,Winter!$A:$A,FALSE),MATCH(All!O$1,Winter!$1:$1,FALSE))),"")</f>
        <v>243</v>
      </c>
      <c r="P375" t="str">
        <f>IFERROR(IF(INDEX(Winter!$1:$1048576,MATCH(All!$A375,Winter!$A:$A,FALSE),MATCH(All!P$1,Winter!$1:$1,FALSE))="","",INDEX(Winter!$1:$1048576,MATCH(All!$A375,Winter!$A:$A,FALSE),MATCH(All!P$1,Winter!$1:$1,FALSE))),"")</f>
        <v>1A</v>
      </c>
      <c r="Q375" t="str">
        <f>IFERROR(IF(INDEX(Winter!$1:$1048576,MATCH(All!$A375,Winter!$A:$A,FALSE),MATCH(All!Q$1,Winter!$1:$1,FALSE))="","",INDEX(Winter!$1:$1048576,MATCH(All!$A375,Winter!$A:$A,FALSE),MATCH(All!Q$1,Winter!$1:$1,FALSE))),"")</f>
        <v>1A</v>
      </c>
      <c r="R375" t="str">
        <f>IFERROR(IF(INDEX(Winter!$1:$1048576,MATCH(All!$A375,Winter!$A:$A,FALSE),MATCH(All!R$1,Winter!$1:$1,FALSE))="","",INDEX(Winter!$1:$1048576,MATCH(All!$A375,Winter!$A:$A,FALSE),MATCH(All!R$1,Winter!$1:$1,FALSE))),"")</f>
        <v/>
      </c>
      <c r="S375" t="str">
        <f>IFERROR(IF(INDEX(Winter!$1:$1048576,MATCH(All!$A375,Winter!$A:$A,FALSE),MATCH(All!S$1,Winter!$1:$1,FALSE))="","",INDEX(Winter!$1:$1048576,MATCH(All!$A375,Winter!$A:$A,FALSE),MATCH(All!S$1,Winter!$1:$1,FALSE))),"")</f>
        <v/>
      </c>
      <c r="T375" t="str">
        <f>IFERROR(IF(INDEX(Winter!$1:$1048576,MATCH(All!$A375,Winter!$A:$A,FALSE),MATCH(All!T$1,Winter!$1:$1,FALSE))="","",INDEX(Winter!$1:$1048576,MATCH(All!$A375,Winter!$A:$A,FALSE),MATCH(All!T$1,Winter!$1:$1,FALSE))),"")</f>
        <v>1A</v>
      </c>
      <c r="U375" t="str">
        <f>IFERROR(IF(INDEX(Winter!$1:$1048576,MATCH(All!$A375,Winter!$A:$A,FALSE),MATCH(All!U$1,Winter!$1:$1,FALSE))="","",INDEX(Winter!$1:$1048576,MATCH(All!$A375,Winter!$A:$A,FALSE),MATCH(All!U$1,Winter!$1:$1,FALSE))),"")</f>
        <v/>
      </c>
      <c r="W375">
        <f>IFERROR(IF(INDEX(Spring!$1:$1048576,MATCH(All!$A375,Spring!$A:$A,FALSE),MATCH(All!W$1,Spring!$1:$1,FALSE))="","",INDEX(Spring!$1:$1048576,MATCH(All!$A375,Spring!$A:$A,FALSE),MATCH(All!W$1,Spring!$1:$1,FALSE))),"")</f>
        <v>243</v>
      </c>
      <c r="X375" t="str">
        <f>IFERROR(IF(INDEX(Spring!$1:$1048576,MATCH(All!$A375,Spring!$A:$A,FALSE),MATCH(All!X$1,Spring!$1:$1,FALSE))="","",INDEX(Spring!$1:$1048576,MATCH(All!$A375,Spring!$A:$A,FALSE),MATCH(All!X$1,Spring!$1:$1,FALSE))),"")</f>
        <v>1A</v>
      </c>
      <c r="Y375" t="str">
        <f>IFERROR(IF(INDEX(Spring!$1:$1048576,MATCH(All!$A375,Spring!$A:$A,FALSE),MATCH(All!Y$1,Spring!$1:$1,FALSE))="","",INDEX(Spring!$1:$1048576,MATCH(All!$A375,Spring!$A:$A,FALSE),MATCH(All!Y$1,Spring!$1:$1,FALSE))),"")</f>
        <v>1A</v>
      </c>
      <c r="Z375" t="str">
        <f>IFERROR(IF(INDEX(Spring!$1:$1048576,MATCH(All!$A375,Spring!$A:$A,FALSE),MATCH(All!Z$1,Spring!$1:$1,FALSE))="","",INDEX(Spring!$1:$1048576,MATCH(All!$A375,Spring!$A:$A,FALSE),MATCH(All!Z$1,Spring!$1:$1,FALSE))),"")</f>
        <v/>
      </c>
      <c r="AA375" t="str">
        <f>IFERROR(IF(INDEX(Spring!$1:$1048576,MATCH(All!$A375,Spring!$A:$A,FALSE),MATCH(All!AA$1,Spring!$1:$1,FALSE))="","",INDEX(Spring!$1:$1048576,MATCH(All!$A375,Spring!$A:$A,FALSE),MATCH(All!AA$1,Spring!$1:$1,FALSE))),"")</f>
        <v/>
      </c>
      <c r="AB375" t="str">
        <f>IFERROR(IF(INDEX(Spring!$1:$1048576,MATCH(All!$A375,Spring!$A:$A,FALSE),MATCH(All!AB$1,Spring!$1:$1,FALSE))="","",INDEX(Spring!$1:$1048576,MATCH(All!$A375,Spring!$A:$A,FALSE),MATCH(All!AB$1,Spring!$1:$1,FALSE))),"")</f>
        <v>1A</v>
      </c>
      <c r="AC375" t="str">
        <f>IFERROR(IF(INDEX(Spring!$1:$1048576,MATCH(All!$A375,Spring!$A:$A,FALSE),MATCH(All!AC$1,Spring!$1:$1,FALSE))="","",INDEX(Spring!$1:$1048576,MATCH(All!$A375,Spring!$A:$A,FALSE),MATCH(All!AC$1,Spring!$1:$1,FALSE))),"")</f>
        <v>1A</v>
      </c>
      <c r="AD375" t="str">
        <f>IFERROR(VLOOKUP(A375,'Flag Football'!A:A,1,FALSE),"")</f>
        <v/>
      </c>
      <c r="AE375" t="str">
        <f t="shared" si="5"/>
        <v/>
      </c>
    </row>
    <row r="376" spans="1:31" ht="15.75" thickBot="1" x14ac:dyDescent="0.3">
      <c r="A376" s="18" t="s">
        <v>463</v>
      </c>
      <c r="B376" s="38">
        <f>IFERROR(VLOOKUP(A376,'Public v Private'!A:G,3,FALSE),"")</f>
        <v>0</v>
      </c>
      <c r="C376" s="38">
        <f>IFERROR(VLOOKUP(A376,'Public v Private'!A:G,4,FALSE),"")</f>
        <v>0</v>
      </c>
      <c r="D376" s="38">
        <f>IFERROR(VLOOKUP(A376,'Public v Private'!A:G,5,FALSE),"")</f>
        <v>0</v>
      </c>
      <c r="E376" s="38"/>
      <c r="F376" s="40">
        <f>IFERROR(INDEX(Fall!$1:$1048576,MATCH(All!$A376,Fall!$A:$A,FALSE),MATCH(All!F$1,Fall!$1:$1,FALSE)),"N/A")</f>
        <v>237</v>
      </c>
      <c r="G376" t="str">
        <f>IFERROR(IF(INDEX(Fall!$1:$1048576,MATCH(All!$A376,Fall!$A:$A,FALSE),MATCH(All!G$1,Fall!$1:$1,FALSE))="","",INDEX(Fall!$1:$1048576,MATCH(All!$A376,Fall!$A:$A,FALSE),MATCH(All!G$1,Fall!$1:$1,FALSE))),"")</f>
        <v>1A</v>
      </c>
      <c r="H376" t="str">
        <f>IFERROR(IF(INDEX(Fall!$1:$1048576,MATCH(All!$A376,Fall!$A:$A,FALSE),MATCH(All!H$1,Fall!$1:$1,FALSE))="","",INDEX(Fall!$1:$1048576,MATCH(All!$A376,Fall!$A:$A,FALSE),MATCH(All!H$1,Fall!$1:$1,FALSE))),"")</f>
        <v>1A</v>
      </c>
      <c r="I376" t="str">
        <f>IFERROR(IF(INDEX(Fall!$1:$1048576,MATCH(All!$A376,Fall!$A:$A,FALSE),MATCH(All!I$1,Fall!$1:$1,FALSE))="","",INDEX(Fall!$1:$1048576,MATCH(All!$A376,Fall!$A:$A,FALSE),MATCH(All!I$1,Fall!$1:$1,FALSE))),"")</f>
        <v>1A</v>
      </c>
      <c r="J376" t="str">
        <f>IFERROR(IF(INDEX(Fall!$1:$1048576,MATCH(All!$A376,Fall!$A:$A,FALSE),MATCH(All!J$1,Fall!$1:$1,FALSE))="","",INDEX(Fall!$1:$1048576,MATCH(All!$A376,Fall!$A:$A,FALSE),MATCH(All!J$1,Fall!$1:$1,FALSE))),"")</f>
        <v>1A</v>
      </c>
      <c r="K376" t="str">
        <f>IFERROR(IF(INDEX(Fall!$1:$1048576,MATCH(All!$A376,Fall!$A:$A,FALSE),MATCH(All!K$1,Fall!$1:$1,FALSE))="","",INDEX(Fall!$1:$1048576,MATCH(All!$A376,Fall!$A:$A,FALSE),MATCH(All!K$1,Fall!$1:$1,FALSE))),"")</f>
        <v>1A</v>
      </c>
      <c r="L376" t="str">
        <f>IFERROR(IF(INDEX(Fall!$1:$1048576,MATCH(All!$A376,Fall!$A:$A,FALSE),MATCH(All!L$1,Fall!$1:$1,FALSE))="","",INDEX(Fall!$1:$1048576,MATCH(All!$A376,Fall!$A:$A,FALSE),MATCH(All!L$1,Fall!$1:$1,FALSE))),"")</f>
        <v/>
      </c>
      <c r="M376" t="str">
        <f>IFERROR(IF(INDEX(Fall!$1:$1048576,MATCH(All!$A376,Fall!$A:$A,FALSE),MATCH(All!M$1,Fall!$1:$1,FALSE))="","",INDEX(Fall!$1:$1048576,MATCH(All!$A376,Fall!$A:$A,FALSE),MATCH(All!M$1,Fall!$1:$1,FALSE))),"")</f>
        <v>1A</v>
      </c>
      <c r="O376">
        <f>IFERROR(IF(INDEX(Winter!$1:$1048576,MATCH(All!$A376,Winter!$A:$A,FALSE),MATCH(All!O$1,Winter!$1:$1,FALSE))="","",INDEX(Winter!$1:$1048576,MATCH(All!$A376,Winter!$A:$A,FALSE),MATCH(All!O$1,Winter!$1:$1,FALSE))),"")</f>
        <v>237</v>
      </c>
      <c r="P376" t="str">
        <f>IFERROR(IF(INDEX(Winter!$1:$1048576,MATCH(All!$A376,Winter!$A:$A,FALSE),MATCH(All!P$1,Winter!$1:$1,FALSE))="","",INDEX(Winter!$1:$1048576,MATCH(All!$A376,Winter!$A:$A,FALSE),MATCH(All!P$1,Winter!$1:$1,FALSE))),"")</f>
        <v>1A</v>
      </c>
      <c r="Q376" t="str">
        <f>IFERROR(IF(INDEX(Winter!$1:$1048576,MATCH(All!$A376,Winter!$A:$A,FALSE),MATCH(All!Q$1,Winter!$1:$1,FALSE))="","",INDEX(Winter!$1:$1048576,MATCH(All!$A376,Winter!$A:$A,FALSE),MATCH(All!Q$1,Winter!$1:$1,FALSE))),"")</f>
        <v>1A</v>
      </c>
      <c r="R376" t="str">
        <f>IFERROR(IF(INDEX(Winter!$1:$1048576,MATCH(All!$A376,Winter!$A:$A,FALSE),MATCH(All!R$1,Winter!$1:$1,FALSE))="","",INDEX(Winter!$1:$1048576,MATCH(All!$A376,Winter!$A:$A,FALSE),MATCH(All!R$1,Winter!$1:$1,FALSE))),"")</f>
        <v>1A</v>
      </c>
      <c r="S376" t="str">
        <f>IFERROR(IF(INDEX(Winter!$1:$1048576,MATCH(All!$A376,Winter!$A:$A,FALSE),MATCH(All!S$1,Winter!$1:$1,FALSE))="","",INDEX(Winter!$1:$1048576,MATCH(All!$A376,Winter!$A:$A,FALSE),MATCH(All!S$1,Winter!$1:$1,FALSE))),"")</f>
        <v/>
      </c>
      <c r="T376" t="str">
        <f>IFERROR(IF(INDEX(Winter!$1:$1048576,MATCH(All!$A376,Winter!$A:$A,FALSE),MATCH(All!T$1,Winter!$1:$1,FALSE))="","",INDEX(Winter!$1:$1048576,MATCH(All!$A376,Winter!$A:$A,FALSE),MATCH(All!T$1,Winter!$1:$1,FALSE))),"")</f>
        <v>1A</v>
      </c>
      <c r="U376" t="str">
        <f>IFERROR(IF(INDEX(Winter!$1:$1048576,MATCH(All!$A376,Winter!$A:$A,FALSE),MATCH(All!U$1,Winter!$1:$1,FALSE))="","",INDEX(Winter!$1:$1048576,MATCH(All!$A376,Winter!$A:$A,FALSE),MATCH(All!U$1,Winter!$1:$1,FALSE))),"")</f>
        <v>1A</v>
      </c>
      <c r="W376">
        <f>IFERROR(IF(INDEX(Spring!$1:$1048576,MATCH(All!$A376,Spring!$A:$A,FALSE),MATCH(All!W$1,Spring!$1:$1,FALSE))="","",INDEX(Spring!$1:$1048576,MATCH(All!$A376,Spring!$A:$A,FALSE),MATCH(All!W$1,Spring!$1:$1,FALSE))),"")</f>
        <v>237</v>
      </c>
      <c r="X376" t="str">
        <f>IFERROR(IF(INDEX(Spring!$1:$1048576,MATCH(All!$A376,Spring!$A:$A,FALSE),MATCH(All!X$1,Spring!$1:$1,FALSE))="","",INDEX(Spring!$1:$1048576,MATCH(All!$A376,Spring!$A:$A,FALSE),MATCH(All!X$1,Spring!$1:$1,FALSE))),"")</f>
        <v>1A</v>
      </c>
      <c r="Y376" t="str">
        <f>IFERROR(IF(INDEX(Spring!$1:$1048576,MATCH(All!$A376,Spring!$A:$A,FALSE),MATCH(All!Y$1,Spring!$1:$1,FALSE))="","",INDEX(Spring!$1:$1048576,MATCH(All!$A376,Spring!$A:$A,FALSE),MATCH(All!Y$1,Spring!$1:$1,FALSE))),"")</f>
        <v>1A</v>
      </c>
      <c r="Z376" t="str">
        <f>IFERROR(IF(INDEX(Spring!$1:$1048576,MATCH(All!$A376,Spring!$A:$A,FALSE),MATCH(All!Z$1,Spring!$1:$1,FALSE))="","",INDEX(Spring!$1:$1048576,MATCH(All!$A376,Spring!$A:$A,FALSE),MATCH(All!Z$1,Spring!$1:$1,FALSE))),"")</f>
        <v/>
      </c>
      <c r="AA376" t="str">
        <f>IFERROR(IF(INDEX(Spring!$1:$1048576,MATCH(All!$A376,Spring!$A:$A,FALSE),MATCH(All!AA$1,Spring!$1:$1,FALSE))="","",INDEX(Spring!$1:$1048576,MATCH(All!$A376,Spring!$A:$A,FALSE),MATCH(All!AA$1,Spring!$1:$1,FALSE))),"")</f>
        <v/>
      </c>
      <c r="AB376" t="str">
        <f>IFERROR(IF(INDEX(Spring!$1:$1048576,MATCH(All!$A376,Spring!$A:$A,FALSE),MATCH(All!AB$1,Spring!$1:$1,FALSE))="","",INDEX(Spring!$1:$1048576,MATCH(All!$A376,Spring!$A:$A,FALSE),MATCH(All!AB$1,Spring!$1:$1,FALSE))),"")</f>
        <v>1A</v>
      </c>
      <c r="AC376" t="str">
        <f>IFERROR(IF(INDEX(Spring!$1:$1048576,MATCH(All!$A376,Spring!$A:$A,FALSE),MATCH(All!AC$1,Spring!$1:$1,FALSE))="","",INDEX(Spring!$1:$1048576,MATCH(All!$A376,Spring!$A:$A,FALSE),MATCH(All!AC$1,Spring!$1:$1,FALSE))),"")</f>
        <v>1A</v>
      </c>
      <c r="AD376" t="str">
        <f>IFERROR(VLOOKUP(A376,'Flag Football'!A:A,1,FALSE),"")</f>
        <v/>
      </c>
      <c r="AE376" t="str">
        <f t="shared" si="5"/>
        <v/>
      </c>
    </row>
    <row r="377" spans="1:31" ht="15.75" thickBot="1" x14ac:dyDescent="0.3">
      <c r="A377" s="20" t="s">
        <v>464</v>
      </c>
      <c r="B377" s="38" t="str">
        <f>IFERROR(VLOOKUP(A377,'Public v Private'!A:G,3,FALSE),"")</f>
        <v>private</v>
      </c>
      <c r="C377" s="38">
        <f>IFERROR(VLOOKUP(A377,'Public v Private'!A:G,4,FALSE),"")</f>
        <v>7</v>
      </c>
      <c r="D377" s="38">
        <f>IFERROR(VLOOKUP(A377,'Public v Private'!A:G,5,FALSE),"")</f>
        <v>19</v>
      </c>
      <c r="E377" s="38"/>
      <c r="F377" s="40" t="str">
        <f>IFERROR(INDEX(Fall!$1:$1048576,MATCH(All!$A377,Fall!$A:$A,FALSE),MATCH(All!F$1,Fall!$1:$1,FALSE)),"N/A")</f>
        <v>329.00 (542.85)</v>
      </c>
      <c r="G377" t="str">
        <f>IFERROR(IF(INDEX(Fall!$1:$1048576,MATCH(All!$A377,Fall!$A:$A,FALSE),MATCH(All!G$1,Fall!$1:$1,FALSE))="","",INDEX(Fall!$1:$1048576,MATCH(All!$A377,Fall!$A:$A,FALSE),MATCH(All!G$1,Fall!$1:$1,FALSE))),"")</f>
        <v>1A</v>
      </c>
      <c r="H377" t="str">
        <f>IFERROR(IF(INDEX(Fall!$1:$1048576,MATCH(All!$A377,Fall!$A:$A,FALSE),MATCH(All!H$1,Fall!$1:$1,FALSE))="","",INDEX(Fall!$1:$1048576,MATCH(All!$A377,Fall!$A:$A,FALSE),MATCH(All!H$1,Fall!$1:$1,FALSE))),"")</f>
        <v>1A</v>
      </c>
      <c r="I377" t="str">
        <f>IFERROR(IF(INDEX(Fall!$1:$1048576,MATCH(All!$A377,Fall!$A:$A,FALSE),MATCH(All!I$1,Fall!$1:$1,FALSE))="","",INDEX(Fall!$1:$1048576,MATCH(All!$A377,Fall!$A:$A,FALSE),MATCH(All!I$1,Fall!$1:$1,FALSE))),"")</f>
        <v>1A</v>
      </c>
      <c r="J377" t="str">
        <f>IFERROR(IF(INDEX(Fall!$1:$1048576,MATCH(All!$A377,Fall!$A:$A,FALSE),MATCH(All!J$1,Fall!$1:$1,FALSE))="","",INDEX(Fall!$1:$1048576,MATCH(All!$A377,Fall!$A:$A,FALSE),MATCH(All!J$1,Fall!$1:$1,FALSE))),"")</f>
        <v>1A</v>
      </c>
      <c r="K377" t="str">
        <f>IFERROR(IF(INDEX(Fall!$1:$1048576,MATCH(All!$A377,Fall!$A:$A,FALSE),MATCH(All!K$1,Fall!$1:$1,FALSE))="","",INDEX(Fall!$1:$1048576,MATCH(All!$A377,Fall!$A:$A,FALSE),MATCH(All!K$1,Fall!$1:$1,FALSE))),"")</f>
        <v>1A</v>
      </c>
      <c r="L377" t="str">
        <f>IFERROR(IF(INDEX(Fall!$1:$1048576,MATCH(All!$A377,Fall!$A:$A,FALSE),MATCH(All!L$1,Fall!$1:$1,FALSE))="","",INDEX(Fall!$1:$1048576,MATCH(All!$A377,Fall!$A:$A,FALSE),MATCH(All!L$1,Fall!$1:$1,FALSE))),"")</f>
        <v>1A</v>
      </c>
      <c r="M377" t="str">
        <f>IFERROR(IF(INDEX(Fall!$1:$1048576,MATCH(All!$A377,Fall!$A:$A,FALSE),MATCH(All!M$1,Fall!$1:$1,FALSE))="","",INDEX(Fall!$1:$1048576,MATCH(All!$A377,Fall!$A:$A,FALSE),MATCH(All!M$1,Fall!$1:$1,FALSE))),"")</f>
        <v>2A</v>
      </c>
      <c r="O377" t="str">
        <f>IFERROR(IF(INDEX(Winter!$1:$1048576,MATCH(All!$A377,Winter!$A:$A,FALSE),MATCH(All!O$1,Winter!$1:$1,FALSE))="","",INDEX(Winter!$1:$1048576,MATCH(All!$A377,Winter!$A:$A,FALSE),MATCH(All!O$1,Winter!$1:$1,FALSE))),"")</f>
        <v>329.00 (542.85)</v>
      </c>
      <c r="P377" t="str">
        <f>IFERROR(IF(INDEX(Winter!$1:$1048576,MATCH(All!$A377,Winter!$A:$A,FALSE),MATCH(All!P$1,Winter!$1:$1,FALSE))="","",INDEX(Winter!$1:$1048576,MATCH(All!$A377,Winter!$A:$A,FALSE),MATCH(All!P$1,Winter!$1:$1,FALSE))),"")</f>
        <v>2A</v>
      </c>
      <c r="Q377" t="str">
        <f>IFERROR(IF(INDEX(Winter!$1:$1048576,MATCH(All!$A377,Winter!$A:$A,FALSE),MATCH(All!Q$1,Winter!$1:$1,FALSE))="","",INDEX(Winter!$1:$1048576,MATCH(All!$A377,Winter!$A:$A,FALSE),MATCH(All!Q$1,Winter!$1:$1,FALSE))),"")</f>
        <v>2A</v>
      </c>
      <c r="R377" t="str">
        <f>IFERROR(IF(INDEX(Winter!$1:$1048576,MATCH(All!$A377,Winter!$A:$A,FALSE),MATCH(All!R$1,Winter!$1:$1,FALSE))="","",INDEX(Winter!$1:$1048576,MATCH(All!$A377,Winter!$A:$A,FALSE),MATCH(All!R$1,Winter!$1:$1,FALSE))),"")</f>
        <v/>
      </c>
      <c r="S377" t="str">
        <f>IFERROR(IF(INDEX(Winter!$1:$1048576,MATCH(All!$A377,Winter!$A:$A,FALSE),MATCH(All!S$1,Winter!$1:$1,FALSE))="","",INDEX(Winter!$1:$1048576,MATCH(All!$A377,Winter!$A:$A,FALSE),MATCH(All!S$1,Winter!$1:$1,FALSE))),"")</f>
        <v/>
      </c>
      <c r="T377" t="str">
        <f>IFERROR(IF(INDEX(Winter!$1:$1048576,MATCH(All!$A377,Winter!$A:$A,FALSE),MATCH(All!T$1,Winter!$1:$1,FALSE))="","",INDEX(Winter!$1:$1048576,MATCH(All!$A377,Winter!$A:$A,FALSE),MATCH(All!T$1,Winter!$1:$1,FALSE))),"")</f>
        <v>1A</v>
      </c>
      <c r="U377" t="str">
        <f>IFERROR(IF(INDEX(Winter!$1:$1048576,MATCH(All!$A377,Winter!$A:$A,FALSE),MATCH(All!U$1,Winter!$1:$1,FALSE))="","",INDEX(Winter!$1:$1048576,MATCH(All!$A377,Winter!$A:$A,FALSE),MATCH(All!U$1,Winter!$1:$1,FALSE))),"")</f>
        <v/>
      </c>
      <c r="W377" t="str">
        <f>IFERROR(IF(INDEX(Spring!$1:$1048576,MATCH(All!$A377,Spring!$A:$A,FALSE),MATCH(All!W$1,Spring!$1:$1,FALSE))="","",INDEX(Spring!$1:$1048576,MATCH(All!$A377,Spring!$A:$A,FALSE),MATCH(All!W$1,Spring!$1:$1,FALSE))),"")</f>
        <v>329.00 (542.85)</v>
      </c>
      <c r="X377" t="str">
        <f>IFERROR(IF(INDEX(Spring!$1:$1048576,MATCH(All!$A377,Spring!$A:$A,FALSE),MATCH(All!X$1,Spring!$1:$1,FALSE))="","",INDEX(Spring!$1:$1048576,MATCH(All!$A377,Spring!$A:$A,FALSE),MATCH(All!X$1,Spring!$1:$1,FALSE))),"")</f>
        <v>2A</v>
      </c>
      <c r="Y377" t="str">
        <f>IFERROR(IF(INDEX(Spring!$1:$1048576,MATCH(All!$A377,Spring!$A:$A,FALSE),MATCH(All!Y$1,Spring!$1:$1,FALSE))="","",INDEX(Spring!$1:$1048576,MATCH(All!$A377,Spring!$A:$A,FALSE),MATCH(All!Y$1,Spring!$1:$1,FALSE))),"")</f>
        <v>2A</v>
      </c>
      <c r="Z377" t="str">
        <f>IFERROR(IF(INDEX(Spring!$1:$1048576,MATCH(All!$A377,Spring!$A:$A,FALSE),MATCH(All!Z$1,Spring!$1:$1,FALSE))="","",INDEX(Spring!$1:$1048576,MATCH(All!$A377,Spring!$A:$A,FALSE),MATCH(All!Z$1,Spring!$1:$1,FALSE))),"")</f>
        <v>1A</v>
      </c>
      <c r="AA377" t="str">
        <f>IFERROR(IF(INDEX(Spring!$1:$1048576,MATCH(All!$A377,Spring!$A:$A,FALSE),MATCH(All!AA$1,Spring!$1:$1,FALSE))="","",INDEX(Spring!$1:$1048576,MATCH(All!$A377,Spring!$A:$A,FALSE),MATCH(All!AA$1,Spring!$1:$1,FALSE))),"")</f>
        <v/>
      </c>
      <c r="AB377" t="str">
        <f>IFERROR(IF(INDEX(Spring!$1:$1048576,MATCH(All!$A377,Spring!$A:$A,FALSE),MATCH(All!AB$1,Spring!$1:$1,FALSE))="","",INDEX(Spring!$1:$1048576,MATCH(All!$A377,Spring!$A:$A,FALSE),MATCH(All!AB$1,Spring!$1:$1,FALSE))),"")</f>
        <v>1A</v>
      </c>
      <c r="AC377" t="str">
        <f>IFERROR(IF(INDEX(Spring!$1:$1048576,MATCH(All!$A377,Spring!$A:$A,FALSE),MATCH(All!AC$1,Spring!$1:$1,FALSE))="","",INDEX(Spring!$1:$1048576,MATCH(All!$A377,Spring!$A:$A,FALSE),MATCH(All!AC$1,Spring!$1:$1,FALSE))),"")</f>
        <v>2A</v>
      </c>
      <c r="AD377" t="str">
        <f>IFERROR(VLOOKUP(A377,'Flag Football'!A:A,1,FALSE),"")</f>
        <v/>
      </c>
      <c r="AE377" t="str">
        <f t="shared" si="5"/>
        <v/>
      </c>
    </row>
    <row r="378" spans="1:31" ht="15.75" thickBot="1" x14ac:dyDescent="0.3">
      <c r="A378" s="18" t="s">
        <v>466</v>
      </c>
      <c r="B378" s="38">
        <f>IFERROR(VLOOKUP(A378,'Public v Private'!A:G,3,FALSE),"")</f>
        <v>0</v>
      </c>
      <c r="C378" s="38">
        <f>IFERROR(VLOOKUP(A378,'Public v Private'!A:G,4,FALSE),"")</f>
        <v>0</v>
      </c>
      <c r="D378" s="38">
        <f>IFERROR(VLOOKUP(A378,'Public v Private'!A:G,5,FALSE),"")</f>
        <v>0</v>
      </c>
      <c r="E378" s="38"/>
      <c r="F378" s="40">
        <f>IFERROR(INDEX(Fall!$1:$1048576,MATCH(All!$A378,Fall!$A:$A,FALSE),MATCH(All!F$1,Fall!$1:$1,FALSE)),"N/A")</f>
        <v>1091</v>
      </c>
      <c r="G378" t="str">
        <f>IFERROR(IF(INDEX(Fall!$1:$1048576,MATCH(All!$A378,Fall!$A:$A,FALSE),MATCH(All!G$1,Fall!$1:$1,FALSE))="","",INDEX(Fall!$1:$1048576,MATCH(All!$A378,Fall!$A:$A,FALSE),MATCH(All!G$1,Fall!$1:$1,FALSE))),"")</f>
        <v>2A</v>
      </c>
      <c r="H378" t="str">
        <f>IFERROR(IF(INDEX(Fall!$1:$1048576,MATCH(All!$A378,Fall!$A:$A,FALSE),MATCH(All!H$1,Fall!$1:$1,FALSE))="","",INDEX(Fall!$1:$1048576,MATCH(All!$A378,Fall!$A:$A,FALSE),MATCH(All!H$1,Fall!$1:$1,FALSE))),"")</f>
        <v>2A</v>
      </c>
      <c r="I378" t="str">
        <f>IFERROR(IF(INDEX(Fall!$1:$1048576,MATCH(All!$A378,Fall!$A:$A,FALSE),MATCH(All!I$1,Fall!$1:$1,FALSE))="","",INDEX(Fall!$1:$1048576,MATCH(All!$A378,Fall!$A:$A,FALSE),MATCH(All!I$1,Fall!$1:$1,FALSE))),"")</f>
        <v>2A</v>
      </c>
      <c r="J378" t="str">
        <f>IFERROR(IF(INDEX(Fall!$1:$1048576,MATCH(All!$A378,Fall!$A:$A,FALSE),MATCH(All!J$1,Fall!$1:$1,FALSE))="","",INDEX(Fall!$1:$1048576,MATCH(All!$A378,Fall!$A:$A,FALSE),MATCH(All!J$1,Fall!$1:$1,FALSE))),"")</f>
        <v>2A</v>
      </c>
      <c r="K378" t="str">
        <f>IFERROR(IF(INDEX(Fall!$1:$1048576,MATCH(All!$A378,Fall!$A:$A,FALSE),MATCH(All!K$1,Fall!$1:$1,FALSE))="","",INDEX(Fall!$1:$1048576,MATCH(All!$A378,Fall!$A:$A,FALSE),MATCH(All!K$1,Fall!$1:$1,FALSE))),"")</f>
        <v>2A</v>
      </c>
      <c r="L378" t="str">
        <f>IFERROR(IF(INDEX(Fall!$1:$1048576,MATCH(All!$A378,Fall!$A:$A,FALSE),MATCH(All!L$1,Fall!$1:$1,FALSE))="","",INDEX(Fall!$1:$1048576,MATCH(All!$A378,Fall!$A:$A,FALSE),MATCH(All!L$1,Fall!$1:$1,FALSE))),"")</f>
        <v>1A</v>
      </c>
      <c r="M378" t="str">
        <f>IFERROR(IF(INDEX(Fall!$1:$1048576,MATCH(All!$A378,Fall!$A:$A,FALSE),MATCH(All!M$1,Fall!$1:$1,FALSE))="","",INDEX(Fall!$1:$1048576,MATCH(All!$A378,Fall!$A:$A,FALSE),MATCH(All!M$1,Fall!$1:$1,FALSE))),"")</f>
        <v>3A</v>
      </c>
      <c r="O378">
        <f>IFERROR(IF(INDEX(Winter!$1:$1048576,MATCH(All!$A378,Winter!$A:$A,FALSE),MATCH(All!O$1,Winter!$1:$1,FALSE))="","",INDEX(Winter!$1:$1048576,MATCH(All!$A378,Winter!$A:$A,FALSE),MATCH(All!O$1,Winter!$1:$1,FALSE))),"")</f>
        <v>1091</v>
      </c>
      <c r="P378" t="str">
        <f>IFERROR(IF(INDEX(Winter!$1:$1048576,MATCH(All!$A378,Winter!$A:$A,FALSE),MATCH(All!P$1,Winter!$1:$1,FALSE))="","",INDEX(Winter!$1:$1048576,MATCH(All!$A378,Winter!$A:$A,FALSE),MATCH(All!P$1,Winter!$1:$1,FALSE))),"")</f>
        <v>3A</v>
      </c>
      <c r="Q378" t="str">
        <f>IFERROR(IF(INDEX(Winter!$1:$1048576,MATCH(All!$A378,Winter!$A:$A,FALSE),MATCH(All!Q$1,Winter!$1:$1,FALSE))="","",INDEX(Winter!$1:$1048576,MATCH(All!$A378,Winter!$A:$A,FALSE),MATCH(All!Q$1,Winter!$1:$1,FALSE))),"")</f>
        <v>3A</v>
      </c>
      <c r="R378" t="str">
        <f>IFERROR(IF(INDEX(Winter!$1:$1048576,MATCH(All!$A378,Winter!$A:$A,FALSE),MATCH(All!R$1,Winter!$1:$1,FALSE))="","",INDEX(Winter!$1:$1048576,MATCH(All!$A378,Winter!$A:$A,FALSE),MATCH(All!R$1,Winter!$1:$1,FALSE))),"")</f>
        <v>C</v>
      </c>
      <c r="S378" t="str">
        <f>IFERROR(IF(INDEX(Winter!$1:$1048576,MATCH(All!$A378,Winter!$A:$A,FALSE),MATCH(All!S$1,Winter!$1:$1,FALSE))="","",INDEX(Winter!$1:$1048576,MATCH(All!$A378,Winter!$A:$A,FALSE),MATCH(All!S$1,Winter!$1:$1,FALSE))),"")</f>
        <v>2A</v>
      </c>
      <c r="T378" t="str">
        <f>IFERROR(IF(INDEX(Winter!$1:$1048576,MATCH(All!$A378,Winter!$A:$A,FALSE),MATCH(All!T$1,Winter!$1:$1,FALSE))="","",INDEX(Winter!$1:$1048576,MATCH(All!$A378,Winter!$A:$A,FALSE),MATCH(All!T$1,Winter!$1:$1,FALSE))),"")</f>
        <v>2A</v>
      </c>
      <c r="U378" t="str">
        <f>IFERROR(IF(INDEX(Winter!$1:$1048576,MATCH(All!$A378,Winter!$A:$A,FALSE),MATCH(All!U$1,Winter!$1:$1,FALSE))="","",INDEX(Winter!$1:$1048576,MATCH(All!$A378,Winter!$A:$A,FALSE),MATCH(All!U$1,Winter!$1:$1,FALSE))),"")</f>
        <v>2A</v>
      </c>
      <c r="W378">
        <f>IFERROR(IF(INDEX(Spring!$1:$1048576,MATCH(All!$A378,Spring!$A:$A,FALSE),MATCH(All!W$1,Spring!$1:$1,FALSE))="","",INDEX(Spring!$1:$1048576,MATCH(All!$A378,Spring!$A:$A,FALSE),MATCH(All!W$1,Spring!$1:$1,FALSE))),"")</f>
        <v>1091</v>
      </c>
      <c r="X378" t="str">
        <f>IFERROR(IF(INDEX(Spring!$1:$1048576,MATCH(All!$A378,Spring!$A:$A,FALSE),MATCH(All!X$1,Spring!$1:$1,FALSE))="","",INDEX(Spring!$1:$1048576,MATCH(All!$A378,Spring!$A:$A,FALSE),MATCH(All!X$1,Spring!$1:$1,FALSE))),"")</f>
        <v>3A</v>
      </c>
      <c r="Y378" t="str">
        <f>IFERROR(IF(INDEX(Spring!$1:$1048576,MATCH(All!$A378,Spring!$A:$A,FALSE),MATCH(All!Y$1,Spring!$1:$1,FALSE))="","",INDEX(Spring!$1:$1048576,MATCH(All!$A378,Spring!$A:$A,FALSE),MATCH(All!Y$1,Spring!$1:$1,FALSE))),"")</f>
        <v>3A</v>
      </c>
      <c r="Z378" t="str">
        <f>IFERROR(IF(INDEX(Spring!$1:$1048576,MATCH(All!$A378,Spring!$A:$A,FALSE),MATCH(All!Z$1,Spring!$1:$1,FALSE))="","",INDEX(Spring!$1:$1048576,MATCH(All!$A378,Spring!$A:$A,FALSE),MATCH(All!Z$1,Spring!$1:$1,FALSE))),"")</f>
        <v>2A</v>
      </c>
      <c r="AA378" t="str">
        <f>IFERROR(IF(INDEX(Spring!$1:$1048576,MATCH(All!$A378,Spring!$A:$A,FALSE),MATCH(All!AA$1,Spring!$1:$1,FALSE))="","",INDEX(Spring!$1:$1048576,MATCH(All!$A378,Spring!$A:$A,FALSE),MATCH(All!AA$1,Spring!$1:$1,FALSE))),"")</f>
        <v>1A</v>
      </c>
      <c r="AB378" t="str">
        <f>IFERROR(IF(INDEX(Spring!$1:$1048576,MATCH(All!$A378,Spring!$A:$A,FALSE),MATCH(All!AB$1,Spring!$1:$1,FALSE))="","",INDEX(Spring!$1:$1048576,MATCH(All!$A378,Spring!$A:$A,FALSE),MATCH(All!AB$1,Spring!$1:$1,FALSE))),"")</f>
        <v>2A</v>
      </c>
      <c r="AC378" t="str">
        <f>IFERROR(IF(INDEX(Spring!$1:$1048576,MATCH(All!$A378,Spring!$A:$A,FALSE),MATCH(All!AC$1,Spring!$1:$1,FALSE))="","",INDEX(Spring!$1:$1048576,MATCH(All!$A378,Spring!$A:$A,FALSE),MATCH(All!AC$1,Spring!$1:$1,FALSE))),"")</f>
        <v>2A</v>
      </c>
      <c r="AD378" t="str">
        <f>IFERROR(VLOOKUP(A378,'Flag Football'!A:A,1,FALSE),"")</f>
        <v>Glen Ellyn (Glenbard South)</v>
      </c>
      <c r="AE378" t="str">
        <f t="shared" si="5"/>
        <v>1A</v>
      </c>
    </row>
    <row r="379" spans="1:31" ht="15.75" thickBot="1" x14ac:dyDescent="0.3">
      <c r="A379" s="20" t="s">
        <v>467</v>
      </c>
      <c r="B379" s="38">
        <f>IFERROR(VLOOKUP(A379,'Public v Private'!A:G,3,FALSE),"")</f>
        <v>0</v>
      </c>
      <c r="C379" s="38">
        <f>IFERROR(VLOOKUP(A379,'Public v Private'!A:G,4,FALSE),"")</f>
        <v>0</v>
      </c>
      <c r="D379" s="38">
        <f>IFERROR(VLOOKUP(A379,'Public v Private'!A:G,5,FALSE),"")</f>
        <v>0</v>
      </c>
      <c r="E379" s="38"/>
      <c r="F379" s="40">
        <f>IFERROR(INDEX(Fall!$1:$1048576,MATCH(All!$A379,Fall!$A:$A,FALSE),MATCH(All!F$1,Fall!$1:$1,FALSE)),"N/A")</f>
        <v>2299</v>
      </c>
      <c r="G379" t="str">
        <f>IFERROR(IF(INDEX(Fall!$1:$1048576,MATCH(All!$A379,Fall!$A:$A,FALSE),MATCH(All!G$1,Fall!$1:$1,FALSE))="","",INDEX(Fall!$1:$1048576,MATCH(All!$A379,Fall!$A:$A,FALSE),MATCH(All!G$1,Fall!$1:$1,FALSE))),"")</f>
        <v>3A</v>
      </c>
      <c r="H379" t="str">
        <f>IFERROR(IF(INDEX(Fall!$1:$1048576,MATCH(All!$A379,Fall!$A:$A,FALSE),MATCH(All!H$1,Fall!$1:$1,FALSE))="","",INDEX(Fall!$1:$1048576,MATCH(All!$A379,Fall!$A:$A,FALSE),MATCH(All!H$1,Fall!$1:$1,FALSE))),"")</f>
        <v>3A</v>
      </c>
      <c r="I379" t="str">
        <f>IFERROR(IF(INDEX(Fall!$1:$1048576,MATCH(All!$A379,Fall!$A:$A,FALSE),MATCH(All!I$1,Fall!$1:$1,FALSE))="","",INDEX(Fall!$1:$1048576,MATCH(All!$A379,Fall!$A:$A,FALSE),MATCH(All!I$1,Fall!$1:$1,FALSE))),"")</f>
        <v>3A</v>
      </c>
      <c r="J379" t="str">
        <f>IFERROR(IF(INDEX(Fall!$1:$1048576,MATCH(All!$A379,Fall!$A:$A,FALSE),MATCH(All!J$1,Fall!$1:$1,FALSE))="","",INDEX(Fall!$1:$1048576,MATCH(All!$A379,Fall!$A:$A,FALSE),MATCH(All!J$1,Fall!$1:$1,FALSE))),"")</f>
        <v>2A</v>
      </c>
      <c r="K379" t="str">
        <f>IFERROR(IF(INDEX(Fall!$1:$1048576,MATCH(All!$A379,Fall!$A:$A,FALSE),MATCH(All!K$1,Fall!$1:$1,FALSE))="","",INDEX(Fall!$1:$1048576,MATCH(All!$A379,Fall!$A:$A,FALSE),MATCH(All!K$1,Fall!$1:$1,FALSE))),"")</f>
        <v>3A</v>
      </c>
      <c r="L379" t="str">
        <f>IFERROR(IF(INDEX(Fall!$1:$1048576,MATCH(All!$A379,Fall!$A:$A,FALSE),MATCH(All!L$1,Fall!$1:$1,FALSE))="","",INDEX(Fall!$1:$1048576,MATCH(All!$A379,Fall!$A:$A,FALSE),MATCH(All!L$1,Fall!$1:$1,FALSE))),"")</f>
        <v>2A</v>
      </c>
      <c r="M379" t="str">
        <f>IFERROR(IF(INDEX(Fall!$1:$1048576,MATCH(All!$A379,Fall!$A:$A,FALSE),MATCH(All!M$1,Fall!$1:$1,FALSE))="","",INDEX(Fall!$1:$1048576,MATCH(All!$A379,Fall!$A:$A,FALSE),MATCH(All!M$1,Fall!$1:$1,FALSE))),"")</f>
        <v>4A</v>
      </c>
      <c r="O379">
        <f>IFERROR(IF(INDEX(Winter!$1:$1048576,MATCH(All!$A379,Winter!$A:$A,FALSE),MATCH(All!O$1,Winter!$1:$1,FALSE))="","",INDEX(Winter!$1:$1048576,MATCH(All!$A379,Winter!$A:$A,FALSE),MATCH(All!O$1,Winter!$1:$1,FALSE))),"")</f>
        <v>2299</v>
      </c>
      <c r="P379" t="str">
        <f>IFERROR(IF(INDEX(Winter!$1:$1048576,MATCH(All!$A379,Winter!$A:$A,FALSE),MATCH(All!P$1,Winter!$1:$1,FALSE))="","",INDEX(Winter!$1:$1048576,MATCH(All!$A379,Winter!$A:$A,FALSE),MATCH(All!P$1,Winter!$1:$1,FALSE))),"")</f>
        <v>4A</v>
      </c>
      <c r="Q379" t="str">
        <f>IFERROR(IF(INDEX(Winter!$1:$1048576,MATCH(All!$A379,Winter!$A:$A,FALSE),MATCH(All!Q$1,Winter!$1:$1,FALSE))="","",INDEX(Winter!$1:$1048576,MATCH(All!$A379,Winter!$A:$A,FALSE),MATCH(All!Q$1,Winter!$1:$1,FALSE))),"")</f>
        <v>4A</v>
      </c>
      <c r="R379" t="str">
        <f>IFERROR(IF(INDEX(Winter!$1:$1048576,MATCH(All!$A379,Winter!$A:$A,FALSE),MATCH(All!R$1,Winter!$1:$1,FALSE))="","",INDEX(Winter!$1:$1048576,MATCH(All!$A379,Winter!$A:$A,FALSE),MATCH(All!R$1,Winter!$1:$1,FALSE))),"")</f>
        <v>C</v>
      </c>
      <c r="S379" t="str">
        <f>IFERROR(IF(INDEX(Winter!$1:$1048576,MATCH(All!$A379,Winter!$A:$A,FALSE),MATCH(All!S$1,Winter!$1:$1,FALSE))="","",INDEX(Winter!$1:$1048576,MATCH(All!$A379,Winter!$A:$A,FALSE),MATCH(All!S$1,Winter!$1:$1,FALSE))),"")</f>
        <v>3A</v>
      </c>
      <c r="T379" t="str">
        <f>IFERROR(IF(INDEX(Winter!$1:$1048576,MATCH(All!$A379,Winter!$A:$A,FALSE),MATCH(All!T$1,Winter!$1:$1,FALSE))="","",INDEX(Winter!$1:$1048576,MATCH(All!$A379,Winter!$A:$A,FALSE),MATCH(All!T$1,Winter!$1:$1,FALSE))),"")</f>
        <v>2A</v>
      </c>
      <c r="U379" t="str">
        <f>IFERROR(IF(INDEX(Winter!$1:$1048576,MATCH(All!$A379,Winter!$A:$A,FALSE),MATCH(All!U$1,Winter!$1:$1,FALSE))="","",INDEX(Winter!$1:$1048576,MATCH(All!$A379,Winter!$A:$A,FALSE),MATCH(All!U$1,Winter!$1:$1,FALSE))),"")</f>
        <v>3A</v>
      </c>
      <c r="W379">
        <f>IFERROR(IF(INDEX(Spring!$1:$1048576,MATCH(All!$A379,Spring!$A:$A,FALSE),MATCH(All!W$1,Spring!$1:$1,FALSE))="","",INDEX(Spring!$1:$1048576,MATCH(All!$A379,Spring!$A:$A,FALSE),MATCH(All!W$1,Spring!$1:$1,FALSE))),"")</f>
        <v>2299</v>
      </c>
      <c r="X379" t="str">
        <f>IFERROR(IF(INDEX(Spring!$1:$1048576,MATCH(All!$A379,Spring!$A:$A,FALSE),MATCH(All!X$1,Spring!$1:$1,FALSE))="","",INDEX(Spring!$1:$1048576,MATCH(All!$A379,Spring!$A:$A,FALSE),MATCH(All!X$1,Spring!$1:$1,FALSE))),"")</f>
        <v>4A</v>
      </c>
      <c r="Y379" t="str">
        <f>IFERROR(IF(INDEX(Spring!$1:$1048576,MATCH(All!$A379,Spring!$A:$A,FALSE),MATCH(All!Y$1,Spring!$1:$1,FALSE))="","",INDEX(Spring!$1:$1048576,MATCH(All!$A379,Spring!$A:$A,FALSE),MATCH(All!Y$1,Spring!$1:$1,FALSE))),"")</f>
        <v>4A</v>
      </c>
      <c r="Z379" t="str">
        <f>IFERROR(IF(INDEX(Spring!$1:$1048576,MATCH(All!$A379,Spring!$A:$A,FALSE),MATCH(All!Z$1,Spring!$1:$1,FALSE))="","",INDEX(Spring!$1:$1048576,MATCH(All!$A379,Spring!$A:$A,FALSE),MATCH(All!Z$1,Spring!$1:$1,FALSE))),"")</f>
        <v>3A</v>
      </c>
      <c r="AA379" t="str">
        <f>IFERROR(IF(INDEX(Spring!$1:$1048576,MATCH(All!$A379,Spring!$A:$A,FALSE),MATCH(All!AA$1,Spring!$1:$1,FALSE))="","",INDEX(Spring!$1:$1048576,MATCH(All!$A379,Spring!$A:$A,FALSE),MATCH(All!AA$1,Spring!$1:$1,FALSE))),"")</f>
        <v>2A</v>
      </c>
      <c r="AB379" t="str">
        <f>IFERROR(IF(INDEX(Spring!$1:$1048576,MATCH(All!$A379,Spring!$A:$A,FALSE),MATCH(All!AB$1,Spring!$1:$1,FALSE))="","",INDEX(Spring!$1:$1048576,MATCH(All!$A379,Spring!$A:$A,FALSE),MATCH(All!AB$1,Spring!$1:$1,FALSE))),"")</f>
        <v>3A</v>
      </c>
      <c r="AC379" t="str">
        <f>IFERROR(IF(INDEX(Spring!$1:$1048576,MATCH(All!$A379,Spring!$A:$A,FALSE),MATCH(All!AC$1,Spring!$1:$1,FALSE))="","",INDEX(Spring!$1:$1048576,MATCH(All!$A379,Spring!$A:$A,FALSE),MATCH(All!AC$1,Spring!$1:$1,FALSE))),"")</f>
        <v>3A</v>
      </c>
      <c r="AD379" t="str">
        <f>IFERROR(VLOOKUP(A379,'Flag Football'!A:A,1,FALSE),"")</f>
        <v>Glen Ellyn (Glenbard West)</v>
      </c>
      <c r="AE379" t="str">
        <f t="shared" si="5"/>
        <v>1A</v>
      </c>
    </row>
    <row r="380" spans="1:31" ht="15.75" thickBot="1" x14ac:dyDescent="0.3">
      <c r="A380" s="18" t="s">
        <v>468</v>
      </c>
      <c r="B380" s="38">
        <f>IFERROR(VLOOKUP(A380,'Public v Private'!A:G,3,FALSE),"")</f>
        <v>0</v>
      </c>
      <c r="C380" s="38">
        <f>IFERROR(VLOOKUP(A380,'Public v Private'!A:G,4,FALSE),"")</f>
        <v>0</v>
      </c>
      <c r="D380" s="38">
        <f>IFERROR(VLOOKUP(A380,'Public v Private'!A:G,5,FALSE),"")</f>
        <v>0</v>
      </c>
      <c r="E380" s="38"/>
      <c r="F380" s="40">
        <f>IFERROR(INDEX(Fall!$1:$1048576,MATCH(All!$A380,Fall!$A:$A,FALSE),MATCH(All!F$1,Fall!$1:$1,FALSE)),"N/A")</f>
        <v>2921</v>
      </c>
      <c r="G380" t="str">
        <f>IFERROR(IF(INDEX(Fall!$1:$1048576,MATCH(All!$A380,Fall!$A:$A,FALSE),MATCH(All!G$1,Fall!$1:$1,FALSE))="","",INDEX(Fall!$1:$1048576,MATCH(All!$A380,Fall!$A:$A,FALSE),MATCH(All!G$1,Fall!$1:$1,FALSE))),"")</f>
        <v>3A</v>
      </c>
      <c r="H380" t="str">
        <f>IFERROR(IF(INDEX(Fall!$1:$1048576,MATCH(All!$A380,Fall!$A:$A,FALSE),MATCH(All!H$1,Fall!$1:$1,FALSE))="","",INDEX(Fall!$1:$1048576,MATCH(All!$A380,Fall!$A:$A,FALSE),MATCH(All!H$1,Fall!$1:$1,FALSE))),"")</f>
        <v>3A</v>
      </c>
      <c r="I380" t="str">
        <f>IFERROR(IF(INDEX(Fall!$1:$1048576,MATCH(All!$A380,Fall!$A:$A,FALSE),MATCH(All!I$1,Fall!$1:$1,FALSE))="","",INDEX(Fall!$1:$1048576,MATCH(All!$A380,Fall!$A:$A,FALSE),MATCH(All!I$1,Fall!$1:$1,FALSE))),"")</f>
        <v>3A</v>
      </c>
      <c r="J380" t="str">
        <f>IFERROR(IF(INDEX(Fall!$1:$1048576,MATCH(All!$A380,Fall!$A:$A,FALSE),MATCH(All!J$1,Fall!$1:$1,FALSE))="","",INDEX(Fall!$1:$1048576,MATCH(All!$A380,Fall!$A:$A,FALSE),MATCH(All!J$1,Fall!$1:$1,FALSE))),"")</f>
        <v>2A</v>
      </c>
      <c r="K380" t="str">
        <f>IFERROR(IF(INDEX(Fall!$1:$1048576,MATCH(All!$A380,Fall!$A:$A,FALSE),MATCH(All!K$1,Fall!$1:$1,FALSE))="","",INDEX(Fall!$1:$1048576,MATCH(All!$A380,Fall!$A:$A,FALSE),MATCH(All!K$1,Fall!$1:$1,FALSE))),"")</f>
        <v>3A</v>
      </c>
      <c r="L380" t="str">
        <f>IFERROR(IF(INDEX(Fall!$1:$1048576,MATCH(All!$A380,Fall!$A:$A,FALSE),MATCH(All!L$1,Fall!$1:$1,FALSE))="","",INDEX(Fall!$1:$1048576,MATCH(All!$A380,Fall!$A:$A,FALSE),MATCH(All!L$1,Fall!$1:$1,FALSE))),"")</f>
        <v>2A</v>
      </c>
      <c r="M380" t="str">
        <f>IFERROR(IF(INDEX(Fall!$1:$1048576,MATCH(All!$A380,Fall!$A:$A,FALSE),MATCH(All!M$1,Fall!$1:$1,FALSE))="","",INDEX(Fall!$1:$1048576,MATCH(All!$A380,Fall!$A:$A,FALSE),MATCH(All!M$1,Fall!$1:$1,FALSE))),"")</f>
        <v>4A</v>
      </c>
      <c r="O380">
        <f>IFERROR(IF(INDEX(Winter!$1:$1048576,MATCH(All!$A380,Winter!$A:$A,FALSE),MATCH(All!O$1,Winter!$1:$1,FALSE))="","",INDEX(Winter!$1:$1048576,MATCH(All!$A380,Winter!$A:$A,FALSE),MATCH(All!O$1,Winter!$1:$1,FALSE))),"")</f>
        <v>2921</v>
      </c>
      <c r="P380" t="str">
        <f>IFERROR(IF(INDEX(Winter!$1:$1048576,MATCH(All!$A380,Winter!$A:$A,FALSE),MATCH(All!P$1,Winter!$1:$1,FALSE))="","",INDEX(Winter!$1:$1048576,MATCH(All!$A380,Winter!$A:$A,FALSE),MATCH(All!P$1,Winter!$1:$1,FALSE))),"")</f>
        <v>4A</v>
      </c>
      <c r="Q380" t="str">
        <f>IFERROR(IF(INDEX(Winter!$1:$1048576,MATCH(All!$A380,Winter!$A:$A,FALSE),MATCH(All!Q$1,Winter!$1:$1,FALSE))="","",INDEX(Winter!$1:$1048576,MATCH(All!$A380,Winter!$A:$A,FALSE),MATCH(All!Q$1,Winter!$1:$1,FALSE))),"")</f>
        <v>4A</v>
      </c>
      <c r="R380" t="str">
        <f>IFERROR(IF(INDEX(Winter!$1:$1048576,MATCH(All!$A380,Winter!$A:$A,FALSE),MATCH(All!R$1,Winter!$1:$1,FALSE))="","",INDEX(Winter!$1:$1048576,MATCH(All!$A380,Winter!$A:$A,FALSE),MATCH(All!R$1,Winter!$1:$1,FALSE))),"")</f>
        <v>3A</v>
      </c>
      <c r="S380" t="str">
        <f>IFERROR(IF(INDEX(Winter!$1:$1048576,MATCH(All!$A380,Winter!$A:$A,FALSE),MATCH(All!S$1,Winter!$1:$1,FALSE))="","",INDEX(Winter!$1:$1048576,MATCH(All!$A380,Winter!$A:$A,FALSE),MATCH(All!S$1,Winter!$1:$1,FALSE))),"")</f>
        <v>3A</v>
      </c>
      <c r="T380" t="str">
        <f>IFERROR(IF(INDEX(Winter!$1:$1048576,MATCH(All!$A380,Winter!$A:$A,FALSE),MATCH(All!T$1,Winter!$1:$1,FALSE))="","",INDEX(Winter!$1:$1048576,MATCH(All!$A380,Winter!$A:$A,FALSE),MATCH(All!T$1,Winter!$1:$1,FALSE))),"")</f>
        <v>2A</v>
      </c>
      <c r="U380" t="str">
        <f>IFERROR(IF(INDEX(Winter!$1:$1048576,MATCH(All!$A380,Winter!$A:$A,FALSE),MATCH(All!U$1,Winter!$1:$1,FALSE))="","",INDEX(Winter!$1:$1048576,MATCH(All!$A380,Winter!$A:$A,FALSE),MATCH(All!U$1,Winter!$1:$1,FALSE))),"")</f>
        <v>3A</v>
      </c>
      <c r="W380">
        <f>IFERROR(IF(INDEX(Spring!$1:$1048576,MATCH(All!$A380,Spring!$A:$A,FALSE),MATCH(All!W$1,Spring!$1:$1,FALSE))="","",INDEX(Spring!$1:$1048576,MATCH(All!$A380,Spring!$A:$A,FALSE),MATCH(All!W$1,Spring!$1:$1,FALSE))),"")</f>
        <v>2921</v>
      </c>
      <c r="X380" t="str">
        <f>IFERROR(IF(INDEX(Spring!$1:$1048576,MATCH(All!$A380,Spring!$A:$A,FALSE),MATCH(All!X$1,Spring!$1:$1,FALSE))="","",INDEX(Spring!$1:$1048576,MATCH(All!$A380,Spring!$A:$A,FALSE),MATCH(All!X$1,Spring!$1:$1,FALSE))),"")</f>
        <v>4A</v>
      </c>
      <c r="Y380" t="str">
        <f>IFERROR(IF(INDEX(Spring!$1:$1048576,MATCH(All!$A380,Spring!$A:$A,FALSE),MATCH(All!Y$1,Spring!$1:$1,FALSE))="","",INDEX(Spring!$1:$1048576,MATCH(All!$A380,Spring!$A:$A,FALSE),MATCH(All!Y$1,Spring!$1:$1,FALSE))),"")</f>
        <v>4A</v>
      </c>
      <c r="Z380" t="str">
        <f>IFERROR(IF(INDEX(Spring!$1:$1048576,MATCH(All!$A380,Spring!$A:$A,FALSE),MATCH(All!Z$1,Spring!$1:$1,FALSE))="","",INDEX(Spring!$1:$1048576,MATCH(All!$A380,Spring!$A:$A,FALSE),MATCH(All!Z$1,Spring!$1:$1,FALSE))),"")</f>
        <v>3A</v>
      </c>
      <c r="AA380" t="str">
        <f>IFERROR(IF(INDEX(Spring!$1:$1048576,MATCH(All!$A380,Spring!$A:$A,FALSE),MATCH(All!AA$1,Spring!$1:$1,FALSE))="","",INDEX(Spring!$1:$1048576,MATCH(All!$A380,Spring!$A:$A,FALSE),MATCH(All!AA$1,Spring!$1:$1,FALSE))),"")</f>
        <v>2A</v>
      </c>
      <c r="AB380" t="str">
        <f>IFERROR(IF(INDEX(Spring!$1:$1048576,MATCH(All!$A380,Spring!$A:$A,FALSE),MATCH(All!AB$1,Spring!$1:$1,FALSE))="","",INDEX(Spring!$1:$1048576,MATCH(All!$A380,Spring!$A:$A,FALSE),MATCH(All!AB$1,Spring!$1:$1,FALSE))),"")</f>
        <v>3A</v>
      </c>
      <c r="AC380" t="str">
        <f>IFERROR(IF(INDEX(Spring!$1:$1048576,MATCH(All!$A380,Spring!$A:$A,FALSE),MATCH(All!AC$1,Spring!$1:$1,FALSE))="","",INDEX(Spring!$1:$1048576,MATCH(All!$A380,Spring!$A:$A,FALSE),MATCH(All!AC$1,Spring!$1:$1,FALSE))),"")</f>
        <v>3A</v>
      </c>
      <c r="AD380" t="str">
        <f>IFERROR(VLOOKUP(A380,'Flag Football'!A:A,1,FALSE),"")</f>
        <v>Glenview (Glenbrook South)</v>
      </c>
      <c r="AE380" t="str">
        <f t="shared" si="5"/>
        <v>1A</v>
      </c>
    </row>
    <row r="381" spans="1:31" ht="15.75" thickBot="1" x14ac:dyDescent="0.3">
      <c r="A381" s="20" t="s">
        <v>469</v>
      </c>
      <c r="B381" s="38">
        <f>IFERROR(VLOOKUP(A381,'Public v Private'!A:G,3,FALSE),"")</f>
        <v>0</v>
      </c>
      <c r="C381" s="38">
        <f>IFERROR(VLOOKUP(A381,'Public v Private'!A:G,4,FALSE),"")</f>
        <v>0</v>
      </c>
      <c r="D381" s="38">
        <f>IFERROR(VLOOKUP(A381,'Public v Private'!A:G,5,FALSE),"")</f>
        <v>0</v>
      </c>
      <c r="E381" s="38"/>
      <c r="F381" s="40">
        <f>IFERROR(INDEX(Fall!$1:$1048576,MATCH(All!$A381,Fall!$A:$A,FALSE),MATCH(All!F$1,Fall!$1:$1,FALSE)),"N/A")</f>
        <v>140</v>
      </c>
      <c r="G381" t="str">
        <f>IFERROR(IF(INDEX(Fall!$1:$1048576,MATCH(All!$A381,Fall!$A:$A,FALSE),MATCH(All!G$1,Fall!$1:$1,FALSE))="","",INDEX(Fall!$1:$1048576,MATCH(All!$A381,Fall!$A:$A,FALSE),MATCH(All!G$1,Fall!$1:$1,FALSE))),"")</f>
        <v>1A</v>
      </c>
      <c r="H381" t="str">
        <f>IFERROR(IF(INDEX(Fall!$1:$1048576,MATCH(All!$A381,Fall!$A:$A,FALSE),MATCH(All!H$1,Fall!$1:$1,FALSE))="","",INDEX(Fall!$1:$1048576,MATCH(All!$A381,Fall!$A:$A,FALSE),MATCH(All!H$1,Fall!$1:$1,FALSE))),"")</f>
        <v>1A</v>
      </c>
      <c r="I381" t="str">
        <f>IFERROR(IF(INDEX(Fall!$1:$1048576,MATCH(All!$A381,Fall!$A:$A,FALSE),MATCH(All!I$1,Fall!$1:$1,FALSE))="","",INDEX(Fall!$1:$1048576,MATCH(All!$A381,Fall!$A:$A,FALSE),MATCH(All!I$1,Fall!$1:$1,FALSE))),"")</f>
        <v/>
      </c>
      <c r="J381" t="str">
        <f>IFERROR(IF(INDEX(Fall!$1:$1048576,MATCH(All!$A381,Fall!$A:$A,FALSE),MATCH(All!J$1,Fall!$1:$1,FALSE))="","",INDEX(Fall!$1:$1048576,MATCH(All!$A381,Fall!$A:$A,FALSE),MATCH(All!J$1,Fall!$1:$1,FALSE))),"")</f>
        <v/>
      </c>
      <c r="K381" t="str">
        <f>IFERROR(IF(INDEX(Fall!$1:$1048576,MATCH(All!$A381,Fall!$A:$A,FALSE),MATCH(All!K$1,Fall!$1:$1,FALSE))="","",INDEX(Fall!$1:$1048576,MATCH(All!$A381,Fall!$A:$A,FALSE),MATCH(All!K$1,Fall!$1:$1,FALSE))),"")</f>
        <v/>
      </c>
      <c r="L381" t="str">
        <f>IFERROR(IF(INDEX(Fall!$1:$1048576,MATCH(All!$A381,Fall!$A:$A,FALSE),MATCH(All!L$1,Fall!$1:$1,FALSE))="","",INDEX(Fall!$1:$1048576,MATCH(All!$A381,Fall!$A:$A,FALSE),MATCH(All!L$1,Fall!$1:$1,FALSE))),"")</f>
        <v/>
      </c>
      <c r="M381" t="str">
        <f>IFERROR(IF(INDEX(Fall!$1:$1048576,MATCH(All!$A381,Fall!$A:$A,FALSE),MATCH(All!M$1,Fall!$1:$1,FALSE))="","",INDEX(Fall!$1:$1048576,MATCH(All!$A381,Fall!$A:$A,FALSE),MATCH(All!M$1,Fall!$1:$1,FALSE))),"")</f>
        <v>1A</v>
      </c>
      <c r="O381">
        <f>IFERROR(IF(INDEX(Winter!$1:$1048576,MATCH(All!$A381,Winter!$A:$A,FALSE),MATCH(All!O$1,Winter!$1:$1,FALSE))="","",INDEX(Winter!$1:$1048576,MATCH(All!$A381,Winter!$A:$A,FALSE),MATCH(All!O$1,Winter!$1:$1,FALSE))),"")</f>
        <v>140</v>
      </c>
      <c r="P381" t="str">
        <f>IFERROR(IF(INDEX(Winter!$1:$1048576,MATCH(All!$A381,Winter!$A:$A,FALSE),MATCH(All!P$1,Winter!$1:$1,FALSE))="","",INDEX(Winter!$1:$1048576,MATCH(All!$A381,Winter!$A:$A,FALSE),MATCH(All!P$1,Winter!$1:$1,FALSE))),"")</f>
        <v>1A</v>
      </c>
      <c r="Q381" t="str">
        <f>IFERROR(IF(INDEX(Winter!$1:$1048576,MATCH(All!$A381,Winter!$A:$A,FALSE),MATCH(All!Q$1,Winter!$1:$1,FALSE))="","",INDEX(Winter!$1:$1048576,MATCH(All!$A381,Winter!$A:$A,FALSE),MATCH(All!Q$1,Winter!$1:$1,FALSE))),"")</f>
        <v>1A</v>
      </c>
      <c r="R381" t="str">
        <f>IFERROR(IF(INDEX(Winter!$1:$1048576,MATCH(All!$A381,Winter!$A:$A,FALSE),MATCH(All!R$1,Winter!$1:$1,FALSE))="","",INDEX(Winter!$1:$1048576,MATCH(All!$A381,Winter!$A:$A,FALSE),MATCH(All!R$1,Winter!$1:$1,FALSE))),"")</f>
        <v/>
      </c>
      <c r="S381" t="str">
        <f>IFERROR(IF(INDEX(Winter!$1:$1048576,MATCH(All!$A381,Winter!$A:$A,FALSE),MATCH(All!S$1,Winter!$1:$1,FALSE))="","",INDEX(Winter!$1:$1048576,MATCH(All!$A381,Winter!$A:$A,FALSE),MATCH(All!S$1,Winter!$1:$1,FALSE))),"")</f>
        <v/>
      </c>
      <c r="T381" t="str">
        <f>IFERROR(IF(INDEX(Winter!$1:$1048576,MATCH(All!$A381,Winter!$A:$A,FALSE),MATCH(All!T$1,Winter!$1:$1,FALSE))="","",INDEX(Winter!$1:$1048576,MATCH(All!$A381,Winter!$A:$A,FALSE),MATCH(All!T$1,Winter!$1:$1,FALSE))),"")</f>
        <v/>
      </c>
      <c r="U381" t="str">
        <f>IFERROR(IF(INDEX(Winter!$1:$1048576,MATCH(All!$A381,Winter!$A:$A,FALSE),MATCH(All!U$1,Winter!$1:$1,FALSE))="","",INDEX(Winter!$1:$1048576,MATCH(All!$A381,Winter!$A:$A,FALSE),MATCH(All!U$1,Winter!$1:$1,FALSE))),"")</f>
        <v/>
      </c>
      <c r="W381">
        <f>IFERROR(IF(INDEX(Spring!$1:$1048576,MATCH(All!$A381,Spring!$A:$A,FALSE),MATCH(All!W$1,Spring!$1:$1,FALSE))="","",INDEX(Spring!$1:$1048576,MATCH(All!$A381,Spring!$A:$A,FALSE),MATCH(All!W$1,Spring!$1:$1,FALSE))),"")</f>
        <v>140</v>
      </c>
      <c r="X381" t="str">
        <f>IFERROR(IF(INDEX(Spring!$1:$1048576,MATCH(All!$A381,Spring!$A:$A,FALSE),MATCH(All!X$1,Spring!$1:$1,FALSE))="","",INDEX(Spring!$1:$1048576,MATCH(All!$A381,Spring!$A:$A,FALSE),MATCH(All!X$1,Spring!$1:$1,FALSE))),"")</f>
        <v>1A</v>
      </c>
      <c r="Y381" t="str">
        <f>IFERROR(IF(INDEX(Spring!$1:$1048576,MATCH(All!$A381,Spring!$A:$A,FALSE),MATCH(All!Y$1,Spring!$1:$1,FALSE))="","",INDEX(Spring!$1:$1048576,MATCH(All!$A381,Spring!$A:$A,FALSE),MATCH(All!Y$1,Spring!$1:$1,FALSE))),"")</f>
        <v>1A</v>
      </c>
      <c r="Z381" t="str">
        <f>IFERROR(IF(INDEX(Spring!$1:$1048576,MATCH(All!$A381,Spring!$A:$A,FALSE),MATCH(All!Z$1,Spring!$1:$1,FALSE))="","",INDEX(Spring!$1:$1048576,MATCH(All!$A381,Spring!$A:$A,FALSE),MATCH(All!Z$1,Spring!$1:$1,FALSE))),"")</f>
        <v/>
      </c>
      <c r="AA381" t="str">
        <f>IFERROR(IF(INDEX(Spring!$1:$1048576,MATCH(All!$A381,Spring!$A:$A,FALSE),MATCH(All!AA$1,Spring!$1:$1,FALSE))="","",INDEX(Spring!$1:$1048576,MATCH(All!$A381,Spring!$A:$A,FALSE),MATCH(All!AA$1,Spring!$1:$1,FALSE))),"")</f>
        <v/>
      </c>
      <c r="AB381" t="str">
        <f>IFERROR(IF(INDEX(Spring!$1:$1048576,MATCH(All!$A381,Spring!$A:$A,FALSE),MATCH(All!AB$1,Spring!$1:$1,FALSE))="","",INDEX(Spring!$1:$1048576,MATCH(All!$A381,Spring!$A:$A,FALSE),MATCH(All!AB$1,Spring!$1:$1,FALSE))),"")</f>
        <v>1A</v>
      </c>
      <c r="AC381" t="str">
        <f>IFERROR(IF(INDEX(Spring!$1:$1048576,MATCH(All!$A381,Spring!$A:$A,FALSE),MATCH(All!AC$1,Spring!$1:$1,FALSE))="","",INDEX(Spring!$1:$1048576,MATCH(All!$A381,Spring!$A:$A,FALSE),MATCH(All!AC$1,Spring!$1:$1,FALSE))),"")</f>
        <v>1A</v>
      </c>
      <c r="AD381" t="str">
        <f>IFERROR(VLOOKUP(A381,'Flag Football'!A:A,1,FALSE),"")</f>
        <v/>
      </c>
      <c r="AE381" t="str">
        <f t="shared" si="5"/>
        <v/>
      </c>
    </row>
    <row r="382" spans="1:31" ht="15.75" thickBot="1" x14ac:dyDescent="0.3">
      <c r="A382" s="18" t="s">
        <v>470</v>
      </c>
      <c r="B382" s="38">
        <f>IFERROR(VLOOKUP(A382,'Public v Private'!A:G,3,FALSE),"")</f>
        <v>0</v>
      </c>
      <c r="C382" s="38">
        <f>IFERROR(VLOOKUP(A382,'Public v Private'!A:G,4,FALSE),"")</f>
        <v>0</v>
      </c>
      <c r="D382" s="38">
        <f>IFERROR(VLOOKUP(A382,'Public v Private'!A:G,5,FALSE),"")</f>
        <v>0</v>
      </c>
      <c r="E382" s="38"/>
      <c r="F382" s="40">
        <f>IFERROR(INDEX(Fall!$1:$1048576,MATCH(All!$A382,Fall!$A:$A,FALSE),MATCH(All!F$1,Fall!$1:$1,FALSE)),"N/A")</f>
        <v>165</v>
      </c>
      <c r="G382" t="str">
        <f>IFERROR(IF(INDEX(Fall!$1:$1048576,MATCH(All!$A382,Fall!$A:$A,FALSE),MATCH(All!G$1,Fall!$1:$1,FALSE))="","",INDEX(Fall!$1:$1048576,MATCH(All!$A382,Fall!$A:$A,FALSE),MATCH(All!G$1,Fall!$1:$1,FALSE))),"")</f>
        <v/>
      </c>
      <c r="H382" t="str">
        <f>IFERROR(IF(INDEX(Fall!$1:$1048576,MATCH(All!$A382,Fall!$A:$A,FALSE),MATCH(All!H$1,Fall!$1:$1,FALSE))="","",INDEX(Fall!$1:$1048576,MATCH(All!$A382,Fall!$A:$A,FALSE),MATCH(All!H$1,Fall!$1:$1,FALSE))),"")</f>
        <v/>
      </c>
      <c r="I382" t="str">
        <f>IFERROR(IF(INDEX(Fall!$1:$1048576,MATCH(All!$A382,Fall!$A:$A,FALSE),MATCH(All!I$1,Fall!$1:$1,FALSE))="","",INDEX(Fall!$1:$1048576,MATCH(All!$A382,Fall!$A:$A,FALSE),MATCH(All!I$1,Fall!$1:$1,FALSE))),"")</f>
        <v>1A</v>
      </c>
      <c r="J382" t="str">
        <f>IFERROR(IF(INDEX(Fall!$1:$1048576,MATCH(All!$A382,Fall!$A:$A,FALSE),MATCH(All!J$1,Fall!$1:$1,FALSE))="","",INDEX(Fall!$1:$1048576,MATCH(All!$A382,Fall!$A:$A,FALSE),MATCH(All!J$1,Fall!$1:$1,FALSE))),"")</f>
        <v>1A</v>
      </c>
      <c r="K382" t="str">
        <f>IFERROR(IF(INDEX(Fall!$1:$1048576,MATCH(All!$A382,Fall!$A:$A,FALSE),MATCH(All!K$1,Fall!$1:$1,FALSE))="","",INDEX(Fall!$1:$1048576,MATCH(All!$A382,Fall!$A:$A,FALSE),MATCH(All!K$1,Fall!$1:$1,FALSE))),"")</f>
        <v/>
      </c>
      <c r="L382" t="str">
        <f>IFERROR(IF(INDEX(Fall!$1:$1048576,MATCH(All!$A382,Fall!$A:$A,FALSE),MATCH(All!L$1,Fall!$1:$1,FALSE))="","",INDEX(Fall!$1:$1048576,MATCH(All!$A382,Fall!$A:$A,FALSE),MATCH(All!L$1,Fall!$1:$1,FALSE))),"")</f>
        <v/>
      </c>
      <c r="M382" t="str">
        <f>IFERROR(IF(INDEX(Fall!$1:$1048576,MATCH(All!$A382,Fall!$A:$A,FALSE),MATCH(All!M$1,Fall!$1:$1,FALSE))="","",INDEX(Fall!$1:$1048576,MATCH(All!$A382,Fall!$A:$A,FALSE),MATCH(All!M$1,Fall!$1:$1,FALSE))),"")</f>
        <v>1A</v>
      </c>
      <c r="O382">
        <f>IFERROR(IF(INDEX(Winter!$1:$1048576,MATCH(All!$A382,Winter!$A:$A,FALSE),MATCH(All!O$1,Winter!$1:$1,FALSE))="","",INDEX(Winter!$1:$1048576,MATCH(All!$A382,Winter!$A:$A,FALSE),MATCH(All!O$1,Winter!$1:$1,FALSE))),"")</f>
        <v>165</v>
      </c>
      <c r="P382" t="str">
        <f>IFERROR(IF(INDEX(Winter!$1:$1048576,MATCH(All!$A382,Winter!$A:$A,FALSE),MATCH(All!P$1,Winter!$1:$1,FALSE))="","",INDEX(Winter!$1:$1048576,MATCH(All!$A382,Winter!$A:$A,FALSE),MATCH(All!P$1,Winter!$1:$1,FALSE))),"")</f>
        <v>1A</v>
      </c>
      <c r="Q382" t="str">
        <f>IFERROR(IF(INDEX(Winter!$1:$1048576,MATCH(All!$A382,Winter!$A:$A,FALSE),MATCH(All!Q$1,Winter!$1:$1,FALSE))="","",INDEX(Winter!$1:$1048576,MATCH(All!$A382,Winter!$A:$A,FALSE),MATCH(All!Q$1,Winter!$1:$1,FALSE))),"")</f>
        <v>1A</v>
      </c>
      <c r="R382" t="str">
        <f>IFERROR(IF(INDEX(Winter!$1:$1048576,MATCH(All!$A382,Winter!$A:$A,FALSE),MATCH(All!R$1,Winter!$1:$1,FALSE))="","",INDEX(Winter!$1:$1048576,MATCH(All!$A382,Winter!$A:$A,FALSE),MATCH(All!R$1,Winter!$1:$1,FALSE))),"")</f>
        <v/>
      </c>
      <c r="S382" t="str">
        <f>IFERROR(IF(INDEX(Winter!$1:$1048576,MATCH(All!$A382,Winter!$A:$A,FALSE),MATCH(All!S$1,Winter!$1:$1,FALSE))="","",INDEX(Winter!$1:$1048576,MATCH(All!$A382,Winter!$A:$A,FALSE),MATCH(All!S$1,Winter!$1:$1,FALSE))),"")</f>
        <v/>
      </c>
      <c r="T382" t="str">
        <f>IFERROR(IF(INDEX(Winter!$1:$1048576,MATCH(All!$A382,Winter!$A:$A,FALSE),MATCH(All!T$1,Winter!$1:$1,FALSE))="","",INDEX(Winter!$1:$1048576,MATCH(All!$A382,Winter!$A:$A,FALSE),MATCH(All!T$1,Winter!$1:$1,FALSE))),"")</f>
        <v>1A</v>
      </c>
      <c r="U382" t="str">
        <f>IFERROR(IF(INDEX(Winter!$1:$1048576,MATCH(All!$A382,Winter!$A:$A,FALSE),MATCH(All!U$1,Winter!$1:$1,FALSE))="","",INDEX(Winter!$1:$1048576,MATCH(All!$A382,Winter!$A:$A,FALSE),MATCH(All!U$1,Winter!$1:$1,FALSE))),"")</f>
        <v>1A</v>
      </c>
      <c r="W382">
        <f>IFERROR(IF(INDEX(Spring!$1:$1048576,MATCH(All!$A382,Spring!$A:$A,FALSE),MATCH(All!W$1,Spring!$1:$1,FALSE))="","",INDEX(Spring!$1:$1048576,MATCH(All!$A382,Spring!$A:$A,FALSE),MATCH(All!W$1,Spring!$1:$1,FALSE))),"")</f>
        <v>165</v>
      </c>
      <c r="X382" t="str">
        <f>IFERROR(IF(INDEX(Spring!$1:$1048576,MATCH(All!$A382,Spring!$A:$A,FALSE),MATCH(All!X$1,Spring!$1:$1,FALSE))="","",INDEX(Spring!$1:$1048576,MATCH(All!$A382,Spring!$A:$A,FALSE),MATCH(All!X$1,Spring!$1:$1,FALSE))),"")</f>
        <v>1A</v>
      </c>
      <c r="Y382" t="str">
        <f>IFERROR(IF(INDEX(Spring!$1:$1048576,MATCH(All!$A382,Spring!$A:$A,FALSE),MATCH(All!Y$1,Spring!$1:$1,FALSE))="","",INDEX(Spring!$1:$1048576,MATCH(All!$A382,Spring!$A:$A,FALSE),MATCH(All!Y$1,Spring!$1:$1,FALSE))),"")</f>
        <v>1A</v>
      </c>
      <c r="Z382" t="str">
        <f>IFERROR(IF(INDEX(Spring!$1:$1048576,MATCH(All!$A382,Spring!$A:$A,FALSE),MATCH(All!Z$1,Spring!$1:$1,FALSE))="","",INDEX(Spring!$1:$1048576,MATCH(All!$A382,Spring!$A:$A,FALSE),MATCH(All!Z$1,Spring!$1:$1,FALSE))),"")</f>
        <v/>
      </c>
      <c r="AA382" t="str">
        <f>IFERROR(IF(INDEX(Spring!$1:$1048576,MATCH(All!$A382,Spring!$A:$A,FALSE),MATCH(All!AA$1,Spring!$1:$1,FALSE))="","",INDEX(Spring!$1:$1048576,MATCH(All!$A382,Spring!$A:$A,FALSE),MATCH(All!AA$1,Spring!$1:$1,FALSE))),"")</f>
        <v/>
      </c>
      <c r="AB382" t="str">
        <f>IFERROR(IF(INDEX(Spring!$1:$1048576,MATCH(All!$A382,Spring!$A:$A,FALSE),MATCH(All!AB$1,Spring!$1:$1,FALSE))="","",INDEX(Spring!$1:$1048576,MATCH(All!$A382,Spring!$A:$A,FALSE),MATCH(All!AB$1,Spring!$1:$1,FALSE))),"")</f>
        <v>1A</v>
      </c>
      <c r="AC382" t="str">
        <f>IFERROR(IF(INDEX(Spring!$1:$1048576,MATCH(All!$A382,Spring!$A:$A,FALSE),MATCH(All!AC$1,Spring!$1:$1,FALSE))="","",INDEX(Spring!$1:$1048576,MATCH(All!$A382,Spring!$A:$A,FALSE),MATCH(All!AC$1,Spring!$1:$1,FALSE))),"")</f>
        <v>1A</v>
      </c>
      <c r="AD382" t="str">
        <f>IFERROR(VLOOKUP(A382,'Flag Football'!A:A,1,FALSE),"")</f>
        <v/>
      </c>
      <c r="AE382" t="str">
        <f t="shared" si="5"/>
        <v/>
      </c>
    </row>
    <row r="383" spans="1:31" ht="15.75" thickBot="1" x14ac:dyDescent="0.3">
      <c r="A383" s="20" t="s">
        <v>471</v>
      </c>
      <c r="B383" s="38">
        <f>IFERROR(VLOOKUP(A383,'Public v Private'!A:G,3,FALSE),"")</f>
        <v>0</v>
      </c>
      <c r="C383" s="38">
        <f>IFERROR(VLOOKUP(A383,'Public v Private'!A:G,4,FALSE),"")</f>
        <v>0</v>
      </c>
      <c r="D383" s="38">
        <f>IFERROR(VLOOKUP(A383,'Public v Private'!A:G,5,FALSE),"")</f>
        <v>0</v>
      </c>
      <c r="E383" s="38"/>
      <c r="F383" s="40">
        <f>IFERROR(INDEX(Fall!$1:$1048576,MATCH(All!$A383,Fall!$A:$A,FALSE),MATCH(All!F$1,Fall!$1:$1,FALSE)),"N/A")</f>
        <v>1652</v>
      </c>
      <c r="G383" t="str">
        <f>IFERROR(IF(INDEX(Fall!$1:$1048576,MATCH(All!$A383,Fall!$A:$A,FALSE),MATCH(All!G$1,Fall!$1:$1,FALSE))="","",INDEX(Fall!$1:$1048576,MATCH(All!$A383,Fall!$A:$A,FALSE),MATCH(All!G$1,Fall!$1:$1,FALSE))),"")</f>
        <v>3A</v>
      </c>
      <c r="H383" t="str">
        <f>IFERROR(IF(INDEX(Fall!$1:$1048576,MATCH(All!$A383,Fall!$A:$A,FALSE),MATCH(All!H$1,Fall!$1:$1,FALSE))="","",INDEX(Fall!$1:$1048576,MATCH(All!$A383,Fall!$A:$A,FALSE),MATCH(All!H$1,Fall!$1:$1,FALSE))),"")</f>
        <v>3A</v>
      </c>
      <c r="I383" t="str">
        <f>IFERROR(IF(INDEX(Fall!$1:$1048576,MATCH(All!$A383,Fall!$A:$A,FALSE),MATCH(All!I$1,Fall!$1:$1,FALSE))="","",INDEX(Fall!$1:$1048576,MATCH(All!$A383,Fall!$A:$A,FALSE),MATCH(All!I$1,Fall!$1:$1,FALSE))),"")</f>
        <v>3A</v>
      </c>
      <c r="J383" t="str">
        <f>IFERROR(IF(INDEX(Fall!$1:$1048576,MATCH(All!$A383,Fall!$A:$A,FALSE),MATCH(All!J$1,Fall!$1:$1,FALSE))="","",INDEX(Fall!$1:$1048576,MATCH(All!$A383,Fall!$A:$A,FALSE),MATCH(All!J$1,Fall!$1:$1,FALSE))),"")</f>
        <v>2A</v>
      </c>
      <c r="K383" t="str">
        <f>IFERROR(IF(INDEX(Fall!$1:$1048576,MATCH(All!$A383,Fall!$A:$A,FALSE),MATCH(All!K$1,Fall!$1:$1,FALSE))="","",INDEX(Fall!$1:$1048576,MATCH(All!$A383,Fall!$A:$A,FALSE),MATCH(All!K$1,Fall!$1:$1,FALSE))),"")</f>
        <v>2A</v>
      </c>
      <c r="L383" t="str">
        <f>IFERROR(IF(INDEX(Fall!$1:$1048576,MATCH(All!$A383,Fall!$A:$A,FALSE),MATCH(All!L$1,Fall!$1:$1,FALSE))="","",INDEX(Fall!$1:$1048576,MATCH(All!$A383,Fall!$A:$A,FALSE),MATCH(All!L$1,Fall!$1:$1,FALSE))),"")</f>
        <v>2A</v>
      </c>
      <c r="M383" t="str">
        <f>IFERROR(IF(INDEX(Fall!$1:$1048576,MATCH(All!$A383,Fall!$A:$A,FALSE),MATCH(All!M$1,Fall!$1:$1,FALSE))="","",INDEX(Fall!$1:$1048576,MATCH(All!$A383,Fall!$A:$A,FALSE),MATCH(All!M$1,Fall!$1:$1,FALSE))),"")</f>
        <v>4A</v>
      </c>
      <c r="O383">
        <f>IFERROR(IF(INDEX(Winter!$1:$1048576,MATCH(All!$A383,Winter!$A:$A,FALSE),MATCH(All!O$1,Winter!$1:$1,FALSE))="","",INDEX(Winter!$1:$1048576,MATCH(All!$A383,Winter!$A:$A,FALSE),MATCH(All!O$1,Winter!$1:$1,FALSE))),"")</f>
        <v>1652</v>
      </c>
      <c r="P383" t="str">
        <f>IFERROR(IF(INDEX(Winter!$1:$1048576,MATCH(All!$A383,Winter!$A:$A,FALSE),MATCH(All!P$1,Winter!$1:$1,FALSE))="","",INDEX(Winter!$1:$1048576,MATCH(All!$A383,Winter!$A:$A,FALSE),MATCH(All!P$1,Winter!$1:$1,FALSE))),"")</f>
        <v>4A</v>
      </c>
      <c r="Q383" t="str">
        <f>IFERROR(IF(INDEX(Winter!$1:$1048576,MATCH(All!$A383,Winter!$A:$A,FALSE),MATCH(All!Q$1,Winter!$1:$1,FALSE))="","",INDEX(Winter!$1:$1048576,MATCH(All!$A383,Winter!$A:$A,FALSE),MATCH(All!Q$1,Winter!$1:$1,FALSE))),"")</f>
        <v>4A</v>
      </c>
      <c r="R383" t="str">
        <f>IFERROR(IF(INDEX(Winter!$1:$1048576,MATCH(All!$A383,Winter!$A:$A,FALSE),MATCH(All!R$1,Winter!$1:$1,FALSE))="","",INDEX(Winter!$1:$1048576,MATCH(All!$A383,Winter!$A:$A,FALSE),MATCH(All!R$1,Winter!$1:$1,FALSE))),"")</f>
        <v>C</v>
      </c>
      <c r="S383" t="str">
        <f>IFERROR(IF(INDEX(Winter!$1:$1048576,MATCH(All!$A383,Winter!$A:$A,FALSE),MATCH(All!S$1,Winter!$1:$1,FALSE))="","",INDEX(Winter!$1:$1048576,MATCH(All!$A383,Winter!$A:$A,FALSE),MATCH(All!S$1,Winter!$1:$1,FALSE))),"")</f>
        <v/>
      </c>
      <c r="T383" t="str">
        <f>IFERROR(IF(INDEX(Winter!$1:$1048576,MATCH(All!$A383,Winter!$A:$A,FALSE),MATCH(All!T$1,Winter!$1:$1,FALSE))="","",INDEX(Winter!$1:$1048576,MATCH(All!$A383,Winter!$A:$A,FALSE),MATCH(All!T$1,Winter!$1:$1,FALSE))),"")</f>
        <v>2A</v>
      </c>
      <c r="U383" t="str">
        <f>IFERROR(IF(INDEX(Winter!$1:$1048576,MATCH(All!$A383,Winter!$A:$A,FALSE),MATCH(All!U$1,Winter!$1:$1,FALSE))="","",INDEX(Winter!$1:$1048576,MATCH(All!$A383,Winter!$A:$A,FALSE),MATCH(All!U$1,Winter!$1:$1,FALSE))),"")</f>
        <v>2A</v>
      </c>
      <c r="W383">
        <f>IFERROR(IF(INDEX(Spring!$1:$1048576,MATCH(All!$A383,Spring!$A:$A,FALSE),MATCH(All!W$1,Spring!$1:$1,FALSE))="","",INDEX(Spring!$1:$1048576,MATCH(All!$A383,Spring!$A:$A,FALSE),MATCH(All!W$1,Spring!$1:$1,FALSE))),"")</f>
        <v>1652</v>
      </c>
      <c r="X383" t="str">
        <f>IFERROR(IF(INDEX(Spring!$1:$1048576,MATCH(All!$A383,Spring!$A:$A,FALSE),MATCH(All!X$1,Spring!$1:$1,FALSE))="","",INDEX(Spring!$1:$1048576,MATCH(All!$A383,Spring!$A:$A,FALSE),MATCH(All!X$1,Spring!$1:$1,FALSE))),"")</f>
        <v>4A</v>
      </c>
      <c r="Y383" t="str">
        <f>IFERROR(IF(INDEX(Spring!$1:$1048576,MATCH(All!$A383,Spring!$A:$A,FALSE),MATCH(All!Y$1,Spring!$1:$1,FALSE))="","",INDEX(Spring!$1:$1048576,MATCH(All!$A383,Spring!$A:$A,FALSE),MATCH(All!Y$1,Spring!$1:$1,FALSE))),"")</f>
        <v>4A</v>
      </c>
      <c r="Z383" t="str">
        <f>IFERROR(IF(INDEX(Spring!$1:$1048576,MATCH(All!$A383,Spring!$A:$A,FALSE),MATCH(All!Z$1,Spring!$1:$1,FALSE))="","",INDEX(Spring!$1:$1048576,MATCH(All!$A383,Spring!$A:$A,FALSE),MATCH(All!Z$1,Spring!$1:$1,FALSE))),"")</f>
        <v>2A</v>
      </c>
      <c r="AA383" t="str">
        <f>IFERROR(IF(INDEX(Spring!$1:$1048576,MATCH(All!$A383,Spring!$A:$A,FALSE),MATCH(All!AA$1,Spring!$1:$1,FALSE))="","",INDEX(Spring!$1:$1048576,MATCH(All!$A383,Spring!$A:$A,FALSE),MATCH(All!AA$1,Spring!$1:$1,FALSE))),"")</f>
        <v>2A</v>
      </c>
      <c r="AB383" t="str">
        <f>IFERROR(IF(INDEX(Spring!$1:$1048576,MATCH(All!$A383,Spring!$A:$A,FALSE),MATCH(All!AB$1,Spring!$1:$1,FALSE))="","",INDEX(Spring!$1:$1048576,MATCH(All!$A383,Spring!$A:$A,FALSE),MATCH(All!AB$1,Spring!$1:$1,FALSE))),"")</f>
        <v>3A</v>
      </c>
      <c r="AC383" t="str">
        <f>IFERROR(IF(INDEX(Spring!$1:$1048576,MATCH(All!$A383,Spring!$A:$A,FALSE),MATCH(All!AC$1,Spring!$1:$1,FALSE))="","",INDEX(Spring!$1:$1048576,MATCH(All!$A383,Spring!$A:$A,FALSE),MATCH(All!AC$1,Spring!$1:$1,FALSE))),"")</f>
        <v>3A</v>
      </c>
      <c r="AD383" t="str">
        <f>IFERROR(VLOOKUP(A383,'Flag Football'!A:A,1,FALSE),"")</f>
        <v/>
      </c>
      <c r="AE383" t="str">
        <f t="shared" si="5"/>
        <v/>
      </c>
    </row>
    <row r="384" spans="1:31" ht="15.75" thickBot="1" x14ac:dyDescent="0.3">
      <c r="A384" s="18" t="s">
        <v>472</v>
      </c>
      <c r="B384" s="38">
        <f>IFERROR(VLOOKUP(A384,'Public v Private'!A:G,3,FALSE),"")</f>
        <v>0</v>
      </c>
      <c r="C384" s="38">
        <f>IFERROR(VLOOKUP(A384,'Public v Private'!A:G,4,FALSE),"")</f>
        <v>0</v>
      </c>
      <c r="D384" s="38">
        <f>IFERROR(VLOOKUP(A384,'Public v Private'!A:G,5,FALSE),"")</f>
        <v>0</v>
      </c>
      <c r="E384" s="38"/>
      <c r="F384" s="40">
        <f>IFERROR(INDEX(Fall!$1:$1048576,MATCH(All!$A384,Fall!$A:$A,FALSE),MATCH(All!F$1,Fall!$1:$1,FALSE)),"N/A")</f>
        <v>125</v>
      </c>
      <c r="G384" t="str">
        <f>IFERROR(IF(INDEX(Fall!$1:$1048576,MATCH(All!$A384,Fall!$A:$A,FALSE),MATCH(All!G$1,Fall!$1:$1,FALSE))="","",INDEX(Fall!$1:$1048576,MATCH(All!$A384,Fall!$A:$A,FALSE),MATCH(All!G$1,Fall!$1:$1,FALSE))),"")</f>
        <v/>
      </c>
      <c r="H384" t="str">
        <f>IFERROR(IF(INDEX(Fall!$1:$1048576,MATCH(All!$A384,Fall!$A:$A,FALSE),MATCH(All!H$1,Fall!$1:$1,FALSE))="","",INDEX(Fall!$1:$1048576,MATCH(All!$A384,Fall!$A:$A,FALSE),MATCH(All!H$1,Fall!$1:$1,FALSE))),"")</f>
        <v/>
      </c>
      <c r="I384" t="str">
        <f>IFERROR(IF(INDEX(Fall!$1:$1048576,MATCH(All!$A384,Fall!$A:$A,FALSE),MATCH(All!I$1,Fall!$1:$1,FALSE))="","",INDEX(Fall!$1:$1048576,MATCH(All!$A384,Fall!$A:$A,FALSE),MATCH(All!I$1,Fall!$1:$1,FALSE))),"")</f>
        <v>1A</v>
      </c>
      <c r="J384" t="str">
        <f>IFERROR(IF(INDEX(Fall!$1:$1048576,MATCH(All!$A384,Fall!$A:$A,FALSE),MATCH(All!J$1,Fall!$1:$1,FALSE))="","",INDEX(Fall!$1:$1048576,MATCH(All!$A384,Fall!$A:$A,FALSE),MATCH(All!J$1,Fall!$1:$1,FALSE))),"")</f>
        <v>1A</v>
      </c>
      <c r="K384" t="str">
        <f>IFERROR(IF(INDEX(Fall!$1:$1048576,MATCH(All!$A384,Fall!$A:$A,FALSE),MATCH(All!K$1,Fall!$1:$1,FALSE))="","",INDEX(Fall!$1:$1048576,MATCH(All!$A384,Fall!$A:$A,FALSE),MATCH(All!K$1,Fall!$1:$1,FALSE))),"")</f>
        <v>1A</v>
      </c>
      <c r="L384" t="str">
        <f>IFERROR(IF(INDEX(Fall!$1:$1048576,MATCH(All!$A384,Fall!$A:$A,FALSE),MATCH(All!L$1,Fall!$1:$1,FALSE))="","",INDEX(Fall!$1:$1048576,MATCH(All!$A384,Fall!$A:$A,FALSE),MATCH(All!L$1,Fall!$1:$1,FALSE))),"")</f>
        <v/>
      </c>
      <c r="M384" t="str">
        <f>IFERROR(IF(INDEX(Fall!$1:$1048576,MATCH(All!$A384,Fall!$A:$A,FALSE),MATCH(All!M$1,Fall!$1:$1,FALSE))="","",INDEX(Fall!$1:$1048576,MATCH(All!$A384,Fall!$A:$A,FALSE),MATCH(All!M$1,Fall!$1:$1,FALSE))),"")</f>
        <v>1A</v>
      </c>
      <c r="O384">
        <f>IFERROR(IF(INDEX(Winter!$1:$1048576,MATCH(All!$A384,Winter!$A:$A,FALSE),MATCH(All!O$1,Winter!$1:$1,FALSE))="","",INDEX(Winter!$1:$1048576,MATCH(All!$A384,Winter!$A:$A,FALSE),MATCH(All!O$1,Winter!$1:$1,FALSE))),"")</f>
        <v>125</v>
      </c>
      <c r="P384" t="str">
        <f>IFERROR(IF(INDEX(Winter!$1:$1048576,MATCH(All!$A384,Winter!$A:$A,FALSE),MATCH(All!P$1,Winter!$1:$1,FALSE))="","",INDEX(Winter!$1:$1048576,MATCH(All!$A384,Winter!$A:$A,FALSE),MATCH(All!P$1,Winter!$1:$1,FALSE))),"")</f>
        <v>1A</v>
      </c>
      <c r="Q384" t="str">
        <f>IFERROR(IF(INDEX(Winter!$1:$1048576,MATCH(All!$A384,Winter!$A:$A,FALSE),MATCH(All!Q$1,Winter!$1:$1,FALSE))="","",INDEX(Winter!$1:$1048576,MATCH(All!$A384,Winter!$A:$A,FALSE),MATCH(All!Q$1,Winter!$1:$1,FALSE))),"")</f>
        <v>1A</v>
      </c>
      <c r="R384" t="str">
        <f>IFERROR(IF(INDEX(Winter!$1:$1048576,MATCH(All!$A384,Winter!$A:$A,FALSE),MATCH(All!R$1,Winter!$1:$1,FALSE))="","",INDEX(Winter!$1:$1048576,MATCH(All!$A384,Winter!$A:$A,FALSE),MATCH(All!R$1,Winter!$1:$1,FALSE))),"")</f>
        <v/>
      </c>
      <c r="S384" t="str">
        <f>IFERROR(IF(INDEX(Winter!$1:$1048576,MATCH(All!$A384,Winter!$A:$A,FALSE),MATCH(All!S$1,Winter!$1:$1,FALSE))="","",INDEX(Winter!$1:$1048576,MATCH(All!$A384,Winter!$A:$A,FALSE),MATCH(All!S$1,Winter!$1:$1,FALSE))),"")</f>
        <v/>
      </c>
      <c r="T384" t="str">
        <f>IFERROR(IF(INDEX(Winter!$1:$1048576,MATCH(All!$A384,Winter!$A:$A,FALSE),MATCH(All!T$1,Winter!$1:$1,FALSE))="","",INDEX(Winter!$1:$1048576,MATCH(All!$A384,Winter!$A:$A,FALSE),MATCH(All!T$1,Winter!$1:$1,FALSE))),"")</f>
        <v>1A</v>
      </c>
      <c r="U384" t="str">
        <f>IFERROR(IF(INDEX(Winter!$1:$1048576,MATCH(All!$A384,Winter!$A:$A,FALSE),MATCH(All!U$1,Winter!$1:$1,FALSE))="","",INDEX(Winter!$1:$1048576,MATCH(All!$A384,Winter!$A:$A,FALSE),MATCH(All!U$1,Winter!$1:$1,FALSE))),"")</f>
        <v/>
      </c>
      <c r="W384">
        <f>IFERROR(IF(INDEX(Spring!$1:$1048576,MATCH(All!$A384,Spring!$A:$A,FALSE),MATCH(All!W$1,Spring!$1:$1,FALSE))="","",INDEX(Spring!$1:$1048576,MATCH(All!$A384,Spring!$A:$A,FALSE),MATCH(All!W$1,Spring!$1:$1,FALSE))),"")</f>
        <v>125</v>
      </c>
      <c r="X384" t="str">
        <f>IFERROR(IF(INDEX(Spring!$1:$1048576,MATCH(All!$A384,Spring!$A:$A,FALSE),MATCH(All!X$1,Spring!$1:$1,FALSE))="","",INDEX(Spring!$1:$1048576,MATCH(All!$A384,Spring!$A:$A,FALSE),MATCH(All!X$1,Spring!$1:$1,FALSE))),"")</f>
        <v>1A</v>
      </c>
      <c r="Y384" t="str">
        <f>IFERROR(IF(INDEX(Spring!$1:$1048576,MATCH(All!$A384,Spring!$A:$A,FALSE),MATCH(All!Y$1,Spring!$1:$1,FALSE))="","",INDEX(Spring!$1:$1048576,MATCH(All!$A384,Spring!$A:$A,FALSE),MATCH(All!Y$1,Spring!$1:$1,FALSE))),"")</f>
        <v>1A</v>
      </c>
      <c r="Z384" t="str">
        <f>IFERROR(IF(INDEX(Spring!$1:$1048576,MATCH(All!$A384,Spring!$A:$A,FALSE),MATCH(All!Z$1,Spring!$1:$1,FALSE))="","",INDEX(Spring!$1:$1048576,MATCH(All!$A384,Spring!$A:$A,FALSE),MATCH(All!Z$1,Spring!$1:$1,FALSE))),"")</f>
        <v/>
      </c>
      <c r="AA384" t="str">
        <f>IFERROR(IF(INDEX(Spring!$1:$1048576,MATCH(All!$A384,Spring!$A:$A,FALSE),MATCH(All!AA$1,Spring!$1:$1,FALSE))="","",INDEX(Spring!$1:$1048576,MATCH(All!$A384,Spring!$A:$A,FALSE),MATCH(All!AA$1,Spring!$1:$1,FALSE))),"")</f>
        <v/>
      </c>
      <c r="AB384" t="str">
        <f>IFERROR(IF(INDEX(Spring!$1:$1048576,MATCH(All!$A384,Spring!$A:$A,FALSE),MATCH(All!AB$1,Spring!$1:$1,FALSE))="","",INDEX(Spring!$1:$1048576,MATCH(All!$A384,Spring!$A:$A,FALSE),MATCH(All!AB$1,Spring!$1:$1,FALSE))),"")</f>
        <v/>
      </c>
      <c r="AC384" t="str">
        <f>IFERROR(IF(INDEX(Spring!$1:$1048576,MATCH(All!$A384,Spring!$A:$A,FALSE),MATCH(All!AC$1,Spring!$1:$1,FALSE))="","",INDEX(Spring!$1:$1048576,MATCH(All!$A384,Spring!$A:$A,FALSE),MATCH(All!AC$1,Spring!$1:$1,FALSE))),"")</f>
        <v/>
      </c>
      <c r="AD384" t="str">
        <f>IFERROR(VLOOKUP(A384,'Flag Football'!A:A,1,FALSE),"")</f>
        <v/>
      </c>
      <c r="AE384" t="str">
        <f t="shared" si="5"/>
        <v/>
      </c>
    </row>
    <row r="385" spans="1:31" ht="15.75" thickBot="1" x14ac:dyDescent="0.3">
      <c r="A385" s="20" t="s">
        <v>473</v>
      </c>
      <c r="B385" s="38">
        <f>IFERROR(VLOOKUP(A385,'Public v Private'!A:G,3,FALSE),"")</f>
        <v>0</v>
      </c>
      <c r="C385" s="38">
        <f>IFERROR(VLOOKUP(A385,'Public v Private'!A:G,4,FALSE),"")</f>
        <v>0</v>
      </c>
      <c r="D385" s="38">
        <f>IFERROR(VLOOKUP(A385,'Public v Private'!A:G,5,FALSE),"")</f>
        <v>0</v>
      </c>
      <c r="E385" s="38"/>
      <c r="F385" s="40">
        <f>IFERROR(INDEX(Fall!$1:$1048576,MATCH(All!$A385,Fall!$A:$A,FALSE),MATCH(All!F$1,Fall!$1:$1,FALSE)),"N/A")</f>
        <v>236</v>
      </c>
      <c r="G385" t="str">
        <f>IFERROR(IF(INDEX(Fall!$1:$1048576,MATCH(All!$A385,Fall!$A:$A,FALSE),MATCH(All!G$1,Fall!$1:$1,FALSE))="","",INDEX(Fall!$1:$1048576,MATCH(All!$A385,Fall!$A:$A,FALSE),MATCH(All!G$1,Fall!$1:$1,FALSE))),"")</f>
        <v/>
      </c>
      <c r="H385" t="str">
        <f>IFERROR(IF(INDEX(Fall!$1:$1048576,MATCH(All!$A385,Fall!$A:$A,FALSE),MATCH(All!H$1,Fall!$1:$1,FALSE))="","",INDEX(Fall!$1:$1048576,MATCH(All!$A385,Fall!$A:$A,FALSE),MATCH(All!H$1,Fall!$1:$1,FALSE))),"")</f>
        <v/>
      </c>
      <c r="I385" t="str">
        <f>IFERROR(IF(INDEX(Fall!$1:$1048576,MATCH(All!$A385,Fall!$A:$A,FALSE),MATCH(All!I$1,Fall!$1:$1,FALSE))="","",INDEX(Fall!$1:$1048576,MATCH(All!$A385,Fall!$A:$A,FALSE),MATCH(All!I$1,Fall!$1:$1,FALSE))),"")</f>
        <v>1A</v>
      </c>
      <c r="J385" t="str">
        <f>IFERROR(IF(INDEX(Fall!$1:$1048576,MATCH(All!$A385,Fall!$A:$A,FALSE),MATCH(All!J$1,Fall!$1:$1,FALSE))="","",INDEX(Fall!$1:$1048576,MATCH(All!$A385,Fall!$A:$A,FALSE),MATCH(All!J$1,Fall!$1:$1,FALSE))),"")</f>
        <v/>
      </c>
      <c r="K385" t="str">
        <f>IFERROR(IF(INDEX(Fall!$1:$1048576,MATCH(All!$A385,Fall!$A:$A,FALSE),MATCH(All!K$1,Fall!$1:$1,FALSE))="","",INDEX(Fall!$1:$1048576,MATCH(All!$A385,Fall!$A:$A,FALSE),MATCH(All!K$1,Fall!$1:$1,FALSE))),"")</f>
        <v/>
      </c>
      <c r="L385" t="str">
        <f>IFERROR(IF(INDEX(Fall!$1:$1048576,MATCH(All!$A385,Fall!$A:$A,FALSE),MATCH(All!L$1,Fall!$1:$1,FALSE))="","",INDEX(Fall!$1:$1048576,MATCH(All!$A385,Fall!$A:$A,FALSE),MATCH(All!L$1,Fall!$1:$1,FALSE))),"")</f>
        <v/>
      </c>
      <c r="M385" t="str">
        <f>IFERROR(IF(INDEX(Fall!$1:$1048576,MATCH(All!$A385,Fall!$A:$A,FALSE),MATCH(All!M$1,Fall!$1:$1,FALSE))="","",INDEX(Fall!$1:$1048576,MATCH(All!$A385,Fall!$A:$A,FALSE),MATCH(All!M$1,Fall!$1:$1,FALSE))),"")</f>
        <v>1A</v>
      </c>
      <c r="O385">
        <f>IFERROR(IF(INDEX(Winter!$1:$1048576,MATCH(All!$A385,Winter!$A:$A,FALSE),MATCH(All!O$1,Winter!$1:$1,FALSE))="","",INDEX(Winter!$1:$1048576,MATCH(All!$A385,Winter!$A:$A,FALSE),MATCH(All!O$1,Winter!$1:$1,FALSE))),"")</f>
        <v>236</v>
      </c>
      <c r="P385" t="str">
        <f>IFERROR(IF(INDEX(Winter!$1:$1048576,MATCH(All!$A385,Winter!$A:$A,FALSE),MATCH(All!P$1,Winter!$1:$1,FALSE))="","",INDEX(Winter!$1:$1048576,MATCH(All!$A385,Winter!$A:$A,FALSE),MATCH(All!P$1,Winter!$1:$1,FALSE))),"")</f>
        <v>1A</v>
      </c>
      <c r="Q385" t="str">
        <f>IFERROR(IF(INDEX(Winter!$1:$1048576,MATCH(All!$A385,Winter!$A:$A,FALSE),MATCH(All!Q$1,Winter!$1:$1,FALSE))="","",INDEX(Winter!$1:$1048576,MATCH(All!$A385,Winter!$A:$A,FALSE),MATCH(All!Q$1,Winter!$1:$1,FALSE))),"")</f>
        <v>1A</v>
      </c>
      <c r="R385" t="str">
        <f>IFERROR(IF(INDEX(Winter!$1:$1048576,MATCH(All!$A385,Winter!$A:$A,FALSE),MATCH(All!R$1,Winter!$1:$1,FALSE))="","",INDEX(Winter!$1:$1048576,MATCH(All!$A385,Winter!$A:$A,FALSE),MATCH(All!R$1,Winter!$1:$1,FALSE))),"")</f>
        <v/>
      </c>
      <c r="S385" t="str">
        <f>IFERROR(IF(INDEX(Winter!$1:$1048576,MATCH(All!$A385,Winter!$A:$A,FALSE),MATCH(All!S$1,Winter!$1:$1,FALSE))="","",INDEX(Winter!$1:$1048576,MATCH(All!$A385,Winter!$A:$A,FALSE),MATCH(All!S$1,Winter!$1:$1,FALSE))),"")</f>
        <v>1A</v>
      </c>
      <c r="T385" t="str">
        <f>IFERROR(IF(INDEX(Winter!$1:$1048576,MATCH(All!$A385,Winter!$A:$A,FALSE),MATCH(All!T$1,Winter!$1:$1,FALSE))="","",INDEX(Winter!$1:$1048576,MATCH(All!$A385,Winter!$A:$A,FALSE),MATCH(All!T$1,Winter!$1:$1,FALSE))),"")</f>
        <v>1A</v>
      </c>
      <c r="U385" t="str">
        <f>IFERROR(IF(INDEX(Winter!$1:$1048576,MATCH(All!$A385,Winter!$A:$A,FALSE),MATCH(All!U$1,Winter!$1:$1,FALSE))="","",INDEX(Winter!$1:$1048576,MATCH(All!$A385,Winter!$A:$A,FALSE),MATCH(All!U$1,Winter!$1:$1,FALSE))),"")</f>
        <v>1A</v>
      </c>
      <c r="W385">
        <f>IFERROR(IF(INDEX(Spring!$1:$1048576,MATCH(All!$A385,Spring!$A:$A,FALSE),MATCH(All!W$1,Spring!$1:$1,FALSE))="","",INDEX(Spring!$1:$1048576,MATCH(All!$A385,Spring!$A:$A,FALSE),MATCH(All!W$1,Spring!$1:$1,FALSE))),"")</f>
        <v>236</v>
      </c>
      <c r="X385" t="str">
        <f>IFERROR(IF(INDEX(Spring!$1:$1048576,MATCH(All!$A385,Spring!$A:$A,FALSE),MATCH(All!X$1,Spring!$1:$1,FALSE))="","",INDEX(Spring!$1:$1048576,MATCH(All!$A385,Spring!$A:$A,FALSE),MATCH(All!X$1,Spring!$1:$1,FALSE))),"")</f>
        <v>1A</v>
      </c>
      <c r="Y385" t="str">
        <f>IFERROR(IF(INDEX(Spring!$1:$1048576,MATCH(All!$A385,Spring!$A:$A,FALSE),MATCH(All!Y$1,Spring!$1:$1,FALSE))="","",INDEX(Spring!$1:$1048576,MATCH(All!$A385,Spring!$A:$A,FALSE),MATCH(All!Y$1,Spring!$1:$1,FALSE))),"")</f>
        <v>1A</v>
      </c>
      <c r="Z385" t="str">
        <f>IFERROR(IF(INDEX(Spring!$1:$1048576,MATCH(All!$A385,Spring!$A:$A,FALSE),MATCH(All!Z$1,Spring!$1:$1,FALSE))="","",INDEX(Spring!$1:$1048576,MATCH(All!$A385,Spring!$A:$A,FALSE),MATCH(All!Z$1,Spring!$1:$1,FALSE))),"")</f>
        <v/>
      </c>
      <c r="AA385" t="str">
        <f>IFERROR(IF(INDEX(Spring!$1:$1048576,MATCH(All!$A385,Spring!$A:$A,FALSE),MATCH(All!AA$1,Spring!$1:$1,FALSE))="","",INDEX(Spring!$1:$1048576,MATCH(All!$A385,Spring!$A:$A,FALSE),MATCH(All!AA$1,Spring!$1:$1,FALSE))),"")</f>
        <v/>
      </c>
      <c r="AB385" t="str">
        <f>IFERROR(IF(INDEX(Spring!$1:$1048576,MATCH(All!$A385,Spring!$A:$A,FALSE),MATCH(All!AB$1,Spring!$1:$1,FALSE))="","",INDEX(Spring!$1:$1048576,MATCH(All!$A385,Spring!$A:$A,FALSE),MATCH(All!AB$1,Spring!$1:$1,FALSE))),"")</f>
        <v>1A</v>
      </c>
      <c r="AC385" t="str">
        <f>IFERROR(IF(INDEX(Spring!$1:$1048576,MATCH(All!$A385,Spring!$A:$A,FALSE),MATCH(All!AC$1,Spring!$1:$1,FALSE))="","",INDEX(Spring!$1:$1048576,MATCH(All!$A385,Spring!$A:$A,FALSE),MATCH(All!AC$1,Spring!$1:$1,FALSE))),"")</f>
        <v>1A</v>
      </c>
      <c r="AD385" t="str">
        <f>IFERROR(VLOOKUP(A385,'Flag Football'!A:A,1,FALSE),"")</f>
        <v/>
      </c>
      <c r="AE385" t="str">
        <f t="shared" si="5"/>
        <v/>
      </c>
    </row>
    <row r="386" spans="1:31" ht="15.75" thickBot="1" x14ac:dyDescent="0.3">
      <c r="A386" s="18" t="s">
        <v>474</v>
      </c>
      <c r="B386" s="38">
        <f>IFERROR(VLOOKUP(A386,'Public v Private'!A:G,3,FALSE),"")</f>
        <v>0</v>
      </c>
      <c r="C386" s="38">
        <f>IFERROR(VLOOKUP(A386,'Public v Private'!A:G,4,FALSE),"")</f>
        <v>0</v>
      </c>
      <c r="D386" s="38">
        <f>IFERROR(VLOOKUP(A386,'Public v Private'!A:G,5,FALSE),"")</f>
        <v>0</v>
      </c>
      <c r="E386" s="38"/>
      <c r="F386" s="40">
        <f>IFERROR(INDEX(Fall!$1:$1048576,MATCH(All!$A386,Fall!$A:$A,FALSE),MATCH(All!F$1,Fall!$1:$1,FALSE)),"N/A")</f>
        <v>1325</v>
      </c>
      <c r="G386" t="str">
        <f>IFERROR(IF(INDEX(Fall!$1:$1048576,MATCH(All!$A386,Fall!$A:$A,FALSE),MATCH(All!G$1,Fall!$1:$1,FALSE))="","",INDEX(Fall!$1:$1048576,MATCH(All!$A386,Fall!$A:$A,FALSE),MATCH(All!G$1,Fall!$1:$1,FALSE))),"")</f>
        <v>2A</v>
      </c>
      <c r="H386" t="str">
        <f>IFERROR(IF(INDEX(Fall!$1:$1048576,MATCH(All!$A386,Fall!$A:$A,FALSE),MATCH(All!H$1,Fall!$1:$1,FALSE))="","",INDEX(Fall!$1:$1048576,MATCH(All!$A386,Fall!$A:$A,FALSE),MATCH(All!H$1,Fall!$1:$1,FALSE))),"")</f>
        <v>2A</v>
      </c>
      <c r="I386" t="str">
        <f>IFERROR(IF(INDEX(Fall!$1:$1048576,MATCH(All!$A386,Fall!$A:$A,FALSE),MATCH(All!I$1,Fall!$1:$1,FALSE))="","",INDEX(Fall!$1:$1048576,MATCH(All!$A386,Fall!$A:$A,FALSE),MATCH(All!I$1,Fall!$1:$1,FALSE))),"")</f>
        <v>2A</v>
      </c>
      <c r="J386" t="str">
        <f>IFERROR(IF(INDEX(Fall!$1:$1048576,MATCH(All!$A386,Fall!$A:$A,FALSE),MATCH(All!J$1,Fall!$1:$1,FALSE))="","",INDEX(Fall!$1:$1048576,MATCH(All!$A386,Fall!$A:$A,FALSE),MATCH(All!J$1,Fall!$1:$1,FALSE))),"")</f>
        <v>2A</v>
      </c>
      <c r="K386" t="str">
        <f>IFERROR(IF(INDEX(Fall!$1:$1048576,MATCH(All!$A386,Fall!$A:$A,FALSE),MATCH(All!K$1,Fall!$1:$1,FALSE))="","",INDEX(Fall!$1:$1048576,MATCH(All!$A386,Fall!$A:$A,FALSE),MATCH(All!K$1,Fall!$1:$1,FALSE))),"")</f>
        <v>2A</v>
      </c>
      <c r="L386" t="str">
        <f>IFERROR(IF(INDEX(Fall!$1:$1048576,MATCH(All!$A386,Fall!$A:$A,FALSE),MATCH(All!L$1,Fall!$1:$1,FALSE))="","",INDEX(Fall!$1:$1048576,MATCH(All!$A386,Fall!$A:$A,FALSE),MATCH(All!L$1,Fall!$1:$1,FALSE))),"")</f>
        <v>1A</v>
      </c>
      <c r="M386" t="str">
        <f>IFERROR(IF(INDEX(Fall!$1:$1048576,MATCH(All!$A386,Fall!$A:$A,FALSE),MATCH(All!M$1,Fall!$1:$1,FALSE))="","",INDEX(Fall!$1:$1048576,MATCH(All!$A386,Fall!$A:$A,FALSE),MATCH(All!M$1,Fall!$1:$1,FALSE))),"")</f>
        <v>3A</v>
      </c>
      <c r="O386">
        <f>IFERROR(IF(INDEX(Winter!$1:$1048576,MATCH(All!$A386,Winter!$A:$A,FALSE),MATCH(All!O$1,Winter!$1:$1,FALSE))="","",INDEX(Winter!$1:$1048576,MATCH(All!$A386,Winter!$A:$A,FALSE),MATCH(All!O$1,Winter!$1:$1,FALSE))),"")</f>
        <v>1325</v>
      </c>
      <c r="P386" t="str">
        <f>IFERROR(IF(INDEX(Winter!$1:$1048576,MATCH(All!$A386,Winter!$A:$A,FALSE),MATCH(All!P$1,Winter!$1:$1,FALSE))="","",INDEX(Winter!$1:$1048576,MATCH(All!$A386,Winter!$A:$A,FALSE),MATCH(All!P$1,Winter!$1:$1,FALSE))),"")</f>
        <v>3A</v>
      </c>
      <c r="Q386" t="str">
        <f>IFERROR(IF(INDEX(Winter!$1:$1048576,MATCH(All!$A386,Winter!$A:$A,FALSE),MATCH(All!Q$1,Winter!$1:$1,FALSE))="","",INDEX(Winter!$1:$1048576,MATCH(All!$A386,Winter!$A:$A,FALSE),MATCH(All!Q$1,Winter!$1:$1,FALSE))),"")</f>
        <v>3A</v>
      </c>
      <c r="R386" t="str">
        <f>IFERROR(IF(INDEX(Winter!$1:$1048576,MATCH(All!$A386,Winter!$A:$A,FALSE),MATCH(All!R$1,Winter!$1:$1,FALSE))="","",INDEX(Winter!$1:$1048576,MATCH(All!$A386,Winter!$A:$A,FALSE),MATCH(All!R$1,Winter!$1:$1,FALSE))),"")</f>
        <v>2A</v>
      </c>
      <c r="S386" t="str">
        <f>IFERROR(IF(INDEX(Winter!$1:$1048576,MATCH(All!$A386,Winter!$A:$A,FALSE),MATCH(All!S$1,Winter!$1:$1,FALSE))="","",INDEX(Winter!$1:$1048576,MATCH(All!$A386,Winter!$A:$A,FALSE),MATCH(All!S$1,Winter!$1:$1,FALSE))),"")</f>
        <v>2A</v>
      </c>
      <c r="T386" t="str">
        <f>IFERROR(IF(INDEX(Winter!$1:$1048576,MATCH(All!$A386,Winter!$A:$A,FALSE),MATCH(All!T$1,Winter!$1:$1,FALSE))="","",INDEX(Winter!$1:$1048576,MATCH(All!$A386,Winter!$A:$A,FALSE),MATCH(All!T$1,Winter!$1:$1,FALSE))),"")</f>
        <v>2A</v>
      </c>
      <c r="U386" t="str">
        <f>IFERROR(IF(INDEX(Winter!$1:$1048576,MATCH(All!$A386,Winter!$A:$A,FALSE),MATCH(All!U$1,Winter!$1:$1,FALSE))="","",INDEX(Winter!$1:$1048576,MATCH(All!$A386,Winter!$A:$A,FALSE),MATCH(All!U$1,Winter!$1:$1,FALSE))),"")</f>
        <v>2A</v>
      </c>
      <c r="W386">
        <f>IFERROR(IF(INDEX(Spring!$1:$1048576,MATCH(All!$A386,Spring!$A:$A,FALSE),MATCH(All!W$1,Spring!$1:$1,FALSE))="","",INDEX(Spring!$1:$1048576,MATCH(All!$A386,Spring!$A:$A,FALSE),MATCH(All!W$1,Spring!$1:$1,FALSE))),"")</f>
        <v>1325</v>
      </c>
      <c r="X386" t="str">
        <f>IFERROR(IF(INDEX(Spring!$1:$1048576,MATCH(All!$A386,Spring!$A:$A,FALSE),MATCH(All!X$1,Spring!$1:$1,FALSE))="","",INDEX(Spring!$1:$1048576,MATCH(All!$A386,Spring!$A:$A,FALSE),MATCH(All!X$1,Spring!$1:$1,FALSE))),"")</f>
        <v>3A</v>
      </c>
      <c r="Y386" t="str">
        <f>IFERROR(IF(INDEX(Spring!$1:$1048576,MATCH(All!$A386,Spring!$A:$A,FALSE),MATCH(All!Y$1,Spring!$1:$1,FALSE))="","",INDEX(Spring!$1:$1048576,MATCH(All!$A386,Spring!$A:$A,FALSE),MATCH(All!Y$1,Spring!$1:$1,FALSE))),"")</f>
        <v>3A</v>
      </c>
      <c r="Z386" t="str">
        <f>IFERROR(IF(INDEX(Spring!$1:$1048576,MATCH(All!$A386,Spring!$A:$A,FALSE),MATCH(All!Z$1,Spring!$1:$1,FALSE))="","",INDEX(Spring!$1:$1048576,MATCH(All!$A386,Spring!$A:$A,FALSE),MATCH(All!Z$1,Spring!$1:$1,FALSE))),"")</f>
        <v>2A</v>
      </c>
      <c r="AA386" t="str">
        <f>IFERROR(IF(INDEX(Spring!$1:$1048576,MATCH(All!$A386,Spring!$A:$A,FALSE),MATCH(All!AA$1,Spring!$1:$1,FALSE))="","",INDEX(Spring!$1:$1048576,MATCH(All!$A386,Spring!$A:$A,FALSE),MATCH(All!AA$1,Spring!$1:$1,FALSE))),"")</f>
        <v>1A</v>
      </c>
      <c r="AB386" t="str">
        <f>IFERROR(IF(INDEX(Spring!$1:$1048576,MATCH(All!$A386,Spring!$A:$A,FALSE),MATCH(All!AB$1,Spring!$1:$1,FALSE))="","",INDEX(Spring!$1:$1048576,MATCH(All!$A386,Spring!$A:$A,FALSE),MATCH(All!AB$1,Spring!$1:$1,FALSE))),"")</f>
        <v>3A</v>
      </c>
      <c r="AC386" t="str">
        <f>IFERROR(IF(INDEX(Spring!$1:$1048576,MATCH(All!$A386,Spring!$A:$A,FALSE),MATCH(All!AC$1,Spring!$1:$1,FALSE))="","",INDEX(Spring!$1:$1048576,MATCH(All!$A386,Spring!$A:$A,FALSE),MATCH(All!AC$1,Spring!$1:$1,FALSE))),"")</f>
        <v>3A</v>
      </c>
      <c r="AD386" t="str">
        <f>IFERROR(VLOOKUP(A386,'Flag Football'!A:A,1,FALSE),"")</f>
        <v>Grayslake (Central)</v>
      </c>
      <c r="AE386" t="str">
        <f t="shared" si="5"/>
        <v>1A</v>
      </c>
    </row>
    <row r="387" spans="1:31" ht="15.75" thickBot="1" x14ac:dyDescent="0.3">
      <c r="A387" s="20" t="s">
        <v>475</v>
      </c>
      <c r="B387" s="38">
        <f>IFERROR(VLOOKUP(A387,'Public v Private'!A:G,3,FALSE),"")</f>
        <v>0</v>
      </c>
      <c r="C387" s="38">
        <f>IFERROR(VLOOKUP(A387,'Public v Private'!A:G,4,FALSE),"")</f>
        <v>0</v>
      </c>
      <c r="D387" s="38">
        <f>IFERROR(VLOOKUP(A387,'Public v Private'!A:G,5,FALSE),"")</f>
        <v>0</v>
      </c>
      <c r="E387" s="38"/>
      <c r="F387" s="40">
        <f>IFERROR(INDEX(Fall!$1:$1048576,MATCH(All!$A387,Fall!$A:$A,FALSE),MATCH(All!F$1,Fall!$1:$1,FALSE)),"N/A")</f>
        <v>1164</v>
      </c>
      <c r="G387" t="str">
        <f>IFERROR(IF(INDEX(Fall!$1:$1048576,MATCH(All!$A387,Fall!$A:$A,FALSE),MATCH(All!G$1,Fall!$1:$1,FALSE))="","",INDEX(Fall!$1:$1048576,MATCH(All!$A387,Fall!$A:$A,FALSE),MATCH(All!G$1,Fall!$1:$1,FALSE))),"")</f>
        <v>2A</v>
      </c>
      <c r="H387" t="str">
        <f>IFERROR(IF(INDEX(Fall!$1:$1048576,MATCH(All!$A387,Fall!$A:$A,FALSE),MATCH(All!H$1,Fall!$1:$1,FALSE))="","",INDEX(Fall!$1:$1048576,MATCH(All!$A387,Fall!$A:$A,FALSE),MATCH(All!H$1,Fall!$1:$1,FALSE))),"")</f>
        <v>2A</v>
      </c>
      <c r="I387" t="str">
        <f>IFERROR(IF(INDEX(Fall!$1:$1048576,MATCH(All!$A387,Fall!$A:$A,FALSE),MATCH(All!I$1,Fall!$1:$1,FALSE))="","",INDEX(Fall!$1:$1048576,MATCH(All!$A387,Fall!$A:$A,FALSE),MATCH(All!I$1,Fall!$1:$1,FALSE))),"")</f>
        <v>2A</v>
      </c>
      <c r="J387" t="str">
        <f>IFERROR(IF(INDEX(Fall!$1:$1048576,MATCH(All!$A387,Fall!$A:$A,FALSE),MATCH(All!J$1,Fall!$1:$1,FALSE))="","",INDEX(Fall!$1:$1048576,MATCH(All!$A387,Fall!$A:$A,FALSE),MATCH(All!J$1,Fall!$1:$1,FALSE))),"")</f>
        <v>2A</v>
      </c>
      <c r="K387" t="str">
        <f>IFERROR(IF(INDEX(Fall!$1:$1048576,MATCH(All!$A387,Fall!$A:$A,FALSE),MATCH(All!K$1,Fall!$1:$1,FALSE))="","",INDEX(Fall!$1:$1048576,MATCH(All!$A387,Fall!$A:$A,FALSE),MATCH(All!K$1,Fall!$1:$1,FALSE))),"")</f>
        <v>2A</v>
      </c>
      <c r="L387" t="str">
        <f>IFERROR(IF(INDEX(Fall!$1:$1048576,MATCH(All!$A387,Fall!$A:$A,FALSE),MATCH(All!L$1,Fall!$1:$1,FALSE))="","",INDEX(Fall!$1:$1048576,MATCH(All!$A387,Fall!$A:$A,FALSE),MATCH(All!L$1,Fall!$1:$1,FALSE))),"")</f>
        <v>1A</v>
      </c>
      <c r="M387" t="str">
        <f>IFERROR(IF(INDEX(Fall!$1:$1048576,MATCH(All!$A387,Fall!$A:$A,FALSE),MATCH(All!M$1,Fall!$1:$1,FALSE))="","",INDEX(Fall!$1:$1048576,MATCH(All!$A387,Fall!$A:$A,FALSE),MATCH(All!M$1,Fall!$1:$1,FALSE))),"")</f>
        <v>3A</v>
      </c>
      <c r="O387">
        <f>IFERROR(IF(INDEX(Winter!$1:$1048576,MATCH(All!$A387,Winter!$A:$A,FALSE),MATCH(All!O$1,Winter!$1:$1,FALSE))="","",INDEX(Winter!$1:$1048576,MATCH(All!$A387,Winter!$A:$A,FALSE),MATCH(All!O$1,Winter!$1:$1,FALSE))),"")</f>
        <v>1164</v>
      </c>
      <c r="P387" t="str">
        <f>IFERROR(IF(INDEX(Winter!$1:$1048576,MATCH(All!$A387,Winter!$A:$A,FALSE),MATCH(All!P$1,Winter!$1:$1,FALSE))="","",INDEX(Winter!$1:$1048576,MATCH(All!$A387,Winter!$A:$A,FALSE),MATCH(All!P$1,Winter!$1:$1,FALSE))),"")</f>
        <v>3A</v>
      </c>
      <c r="Q387" t="str">
        <f>IFERROR(IF(INDEX(Winter!$1:$1048576,MATCH(All!$A387,Winter!$A:$A,FALSE),MATCH(All!Q$1,Winter!$1:$1,FALSE))="","",INDEX(Winter!$1:$1048576,MATCH(All!$A387,Winter!$A:$A,FALSE),MATCH(All!Q$1,Winter!$1:$1,FALSE))),"")</f>
        <v>3A</v>
      </c>
      <c r="R387" t="str">
        <f>IFERROR(IF(INDEX(Winter!$1:$1048576,MATCH(All!$A387,Winter!$A:$A,FALSE),MATCH(All!R$1,Winter!$1:$1,FALSE))="","",INDEX(Winter!$1:$1048576,MATCH(All!$A387,Winter!$A:$A,FALSE),MATCH(All!R$1,Winter!$1:$1,FALSE))),"")</f>
        <v>2A</v>
      </c>
      <c r="S387" t="str">
        <f>IFERROR(IF(INDEX(Winter!$1:$1048576,MATCH(All!$A387,Winter!$A:$A,FALSE),MATCH(All!S$1,Winter!$1:$1,FALSE))="","",INDEX(Winter!$1:$1048576,MATCH(All!$A387,Winter!$A:$A,FALSE),MATCH(All!S$1,Winter!$1:$1,FALSE))),"")</f>
        <v>2A</v>
      </c>
      <c r="T387" t="str">
        <f>IFERROR(IF(INDEX(Winter!$1:$1048576,MATCH(All!$A387,Winter!$A:$A,FALSE),MATCH(All!T$1,Winter!$1:$1,FALSE))="","",INDEX(Winter!$1:$1048576,MATCH(All!$A387,Winter!$A:$A,FALSE),MATCH(All!T$1,Winter!$1:$1,FALSE))),"")</f>
        <v>2A</v>
      </c>
      <c r="U387" t="str">
        <f>IFERROR(IF(INDEX(Winter!$1:$1048576,MATCH(All!$A387,Winter!$A:$A,FALSE),MATCH(All!U$1,Winter!$1:$1,FALSE))="","",INDEX(Winter!$1:$1048576,MATCH(All!$A387,Winter!$A:$A,FALSE),MATCH(All!U$1,Winter!$1:$1,FALSE))),"")</f>
        <v>2A</v>
      </c>
      <c r="W387">
        <f>IFERROR(IF(INDEX(Spring!$1:$1048576,MATCH(All!$A387,Spring!$A:$A,FALSE),MATCH(All!W$1,Spring!$1:$1,FALSE))="","",INDEX(Spring!$1:$1048576,MATCH(All!$A387,Spring!$A:$A,FALSE),MATCH(All!W$1,Spring!$1:$1,FALSE))),"")</f>
        <v>1164</v>
      </c>
      <c r="X387" t="str">
        <f>IFERROR(IF(INDEX(Spring!$1:$1048576,MATCH(All!$A387,Spring!$A:$A,FALSE),MATCH(All!X$1,Spring!$1:$1,FALSE))="","",INDEX(Spring!$1:$1048576,MATCH(All!$A387,Spring!$A:$A,FALSE),MATCH(All!X$1,Spring!$1:$1,FALSE))),"")</f>
        <v>3A</v>
      </c>
      <c r="Y387" t="str">
        <f>IFERROR(IF(INDEX(Spring!$1:$1048576,MATCH(All!$A387,Spring!$A:$A,FALSE),MATCH(All!Y$1,Spring!$1:$1,FALSE))="","",INDEX(Spring!$1:$1048576,MATCH(All!$A387,Spring!$A:$A,FALSE),MATCH(All!Y$1,Spring!$1:$1,FALSE))),"")</f>
        <v>3A</v>
      </c>
      <c r="Z387" t="str">
        <f>IFERROR(IF(INDEX(Spring!$1:$1048576,MATCH(All!$A387,Spring!$A:$A,FALSE),MATCH(All!Z$1,Spring!$1:$1,FALSE))="","",INDEX(Spring!$1:$1048576,MATCH(All!$A387,Spring!$A:$A,FALSE),MATCH(All!Z$1,Spring!$1:$1,FALSE))),"")</f>
        <v>2A</v>
      </c>
      <c r="AA387" t="str">
        <f>IFERROR(IF(INDEX(Spring!$1:$1048576,MATCH(All!$A387,Spring!$A:$A,FALSE),MATCH(All!AA$1,Spring!$1:$1,FALSE))="","",INDEX(Spring!$1:$1048576,MATCH(All!$A387,Spring!$A:$A,FALSE),MATCH(All!AA$1,Spring!$1:$1,FALSE))),"")</f>
        <v>1A</v>
      </c>
      <c r="AB387" t="str">
        <f>IFERROR(IF(INDEX(Spring!$1:$1048576,MATCH(All!$A387,Spring!$A:$A,FALSE),MATCH(All!AB$1,Spring!$1:$1,FALSE))="","",INDEX(Spring!$1:$1048576,MATCH(All!$A387,Spring!$A:$A,FALSE),MATCH(All!AB$1,Spring!$1:$1,FALSE))),"")</f>
        <v>2A</v>
      </c>
      <c r="AC387" t="str">
        <f>IFERROR(IF(INDEX(Spring!$1:$1048576,MATCH(All!$A387,Spring!$A:$A,FALSE),MATCH(All!AC$1,Spring!$1:$1,FALSE))="","",INDEX(Spring!$1:$1048576,MATCH(All!$A387,Spring!$A:$A,FALSE),MATCH(All!AC$1,Spring!$1:$1,FALSE))),"")</f>
        <v>2A</v>
      </c>
      <c r="AD387" t="str">
        <f>IFERROR(VLOOKUP(A387,'Flag Football'!A:A,1,FALSE),"")</f>
        <v>Grayslake (North)</v>
      </c>
      <c r="AE387" t="str">
        <f t="shared" ref="AE387:AE450" si="6">IF(AD387="","","1A")</f>
        <v>1A</v>
      </c>
    </row>
    <row r="388" spans="1:31" ht="15.75" thickBot="1" x14ac:dyDescent="0.3">
      <c r="A388" s="18" t="s">
        <v>476</v>
      </c>
      <c r="B388" s="38">
        <f>IFERROR(VLOOKUP(A388,'Public v Private'!A:G,3,FALSE),"")</f>
        <v>0</v>
      </c>
      <c r="C388" s="38">
        <f>IFERROR(VLOOKUP(A388,'Public v Private'!A:G,4,FALSE),"")</f>
        <v>0</v>
      </c>
      <c r="D388" s="38">
        <f>IFERROR(VLOOKUP(A388,'Public v Private'!A:G,5,FALSE),"")</f>
        <v>0</v>
      </c>
      <c r="E388" s="38"/>
      <c r="F388" s="40">
        <f>IFERROR(INDEX(Fall!$1:$1048576,MATCH(All!$A388,Fall!$A:$A,FALSE),MATCH(All!F$1,Fall!$1:$1,FALSE)),"N/A")</f>
        <v>84</v>
      </c>
      <c r="G388" t="str">
        <f>IFERROR(IF(INDEX(Fall!$1:$1048576,MATCH(All!$A388,Fall!$A:$A,FALSE),MATCH(All!G$1,Fall!$1:$1,FALSE))="","",INDEX(Fall!$1:$1048576,MATCH(All!$A388,Fall!$A:$A,FALSE),MATCH(All!G$1,Fall!$1:$1,FALSE))),"")</f>
        <v>1A</v>
      </c>
      <c r="H388" t="str">
        <f>IFERROR(IF(INDEX(Fall!$1:$1048576,MATCH(All!$A388,Fall!$A:$A,FALSE),MATCH(All!H$1,Fall!$1:$1,FALSE))="","",INDEX(Fall!$1:$1048576,MATCH(All!$A388,Fall!$A:$A,FALSE),MATCH(All!H$1,Fall!$1:$1,FALSE))),"")</f>
        <v/>
      </c>
      <c r="I388" t="str">
        <f>IFERROR(IF(INDEX(Fall!$1:$1048576,MATCH(All!$A388,Fall!$A:$A,FALSE),MATCH(All!I$1,Fall!$1:$1,FALSE))="","",INDEX(Fall!$1:$1048576,MATCH(All!$A388,Fall!$A:$A,FALSE),MATCH(All!I$1,Fall!$1:$1,FALSE))),"")</f>
        <v/>
      </c>
      <c r="J388" t="str">
        <f>IFERROR(IF(INDEX(Fall!$1:$1048576,MATCH(All!$A388,Fall!$A:$A,FALSE),MATCH(All!J$1,Fall!$1:$1,FALSE))="","",INDEX(Fall!$1:$1048576,MATCH(All!$A388,Fall!$A:$A,FALSE),MATCH(All!J$1,Fall!$1:$1,FALSE))),"")</f>
        <v/>
      </c>
      <c r="K388" t="str">
        <f>IFERROR(IF(INDEX(Fall!$1:$1048576,MATCH(All!$A388,Fall!$A:$A,FALSE),MATCH(All!K$1,Fall!$1:$1,FALSE))="","",INDEX(Fall!$1:$1048576,MATCH(All!$A388,Fall!$A:$A,FALSE),MATCH(All!K$1,Fall!$1:$1,FALSE))),"")</f>
        <v/>
      </c>
      <c r="L388" t="str">
        <f>IFERROR(IF(INDEX(Fall!$1:$1048576,MATCH(All!$A388,Fall!$A:$A,FALSE),MATCH(All!L$1,Fall!$1:$1,FALSE))="","",INDEX(Fall!$1:$1048576,MATCH(All!$A388,Fall!$A:$A,FALSE),MATCH(All!L$1,Fall!$1:$1,FALSE))),"")</f>
        <v/>
      </c>
      <c r="M388" t="str">
        <f>IFERROR(IF(INDEX(Fall!$1:$1048576,MATCH(All!$A388,Fall!$A:$A,FALSE),MATCH(All!M$1,Fall!$1:$1,FALSE))="","",INDEX(Fall!$1:$1048576,MATCH(All!$A388,Fall!$A:$A,FALSE),MATCH(All!M$1,Fall!$1:$1,FALSE))),"")</f>
        <v>1A</v>
      </c>
      <c r="O388">
        <f>IFERROR(IF(INDEX(Winter!$1:$1048576,MATCH(All!$A388,Winter!$A:$A,FALSE),MATCH(All!O$1,Winter!$1:$1,FALSE))="","",INDEX(Winter!$1:$1048576,MATCH(All!$A388,Winter!$A:$A,FALSE),MATCH(All!O$1,Winter!$1:$1,FALSE))),"")</f>
        <v>84</v>
      </c>
      <c r="P388" t="str">
        <f>IFERROR(IF(INDEX(Winter!$1:$1048576,MATCH(All!$A388,Winter!$A:$A,FALSE),MATCH(All!P$1,Winter!$1:$1,FALSE))="","",INDEX(Winter!$1:$1048576,MATCH(All!$A388,Winter!$A:$A,FALSE),MATCH(All!P$1,Winter!$1:$1,FALSE))),"")</f>
        <v>1A</v>
      </c>
      <c r="Q388" t="str">
        <f>IFERROR(IF(INDEX(Winter!$1:$1048576,MATCH(All!$A388,Winter!$A:$A,FALSE),MATCH(All!Q$1,Winter!$1:$1,FALSE))="","",INDEX(Winter!$1:$1048576,MATCH(All!$A388,Winter!$A:$A,FALSE),MATCH(All!Q$1,Winter!$1:$1,FALSE))),"")</f>
        <v/>
      </c>
      <c r="R388" t="str">
        <f>IFERROR(IF(INDEX(Winter!$1:$1048576,MATCH(All!$A388,Winter!$A:$A,FALSE),MATCH(All!R$1,Winter!$1:$1,FALSE))="","",INDEX(Winter!$1:$1048576,MATCH(All!$A388,Winter!$A:$A,FALSE),MATCH(All!R$1,Winter!$1:$1,FALSE))),"")</f>
        <v/>
      </c>
      <c r="S388" t="str">
        <f>IFERROR(IF(INDEX(Winter!$1:$1048576,MATCH(All!$A388,Winter!$A:$A,FALSE),MATCH(All!S$1,Winter!$1:$1,FALSE))="","",INDEX(Winter!$1:$1048576,MATCH(All!$A388,Winter!$A:$A,FALSE),MATCH(All!S$1,Winter!$1:$1,FALSE))),"")</f>
        <v/>
      </c>
      <c r="T388" t="str">
        <f>IFERROR(IF(INDEX(Winter!$1:$1048576,MATCH(All!$A388,Winter!$A:$A,FALSE),MATCH(All!T$1,Winter!$1:$1,FALSE))="","",INDEX(Winter!$1:$1048576,MATCH(All!$A388,Winter!$A:$A,FALSE),MATCH(All!T$1,Winter!$1:$1,FALSE))),"")</f>
        <v>1A</v>
      </c>
      <c r="U388" t="str">
        <f>IFERROR(IF(INDEX(Winter!$1:$1048576,MATCH(All!$A388,Winter!$A:$A,FALSE),MATCH(All!U$1,Winter!$1:$1,FALSE))="","",INDEX(Winter!$1:$1048576,MATCH(All!$A388,Winter!$A:$A,FALSE),MATCH(All!U$1,Winter!$1:$1,FALSE))),"")</f>
        <v/>
      </c>
      <c r="W388">
        <f>IFERROR(IF(INDEX(Spring!$1:$1048576,MATCH(All!$A388,Spring!$A:$A,FALSE),MATCH(All!W$1,Spring!$1:$1,FALSE))="","",INDEX(Spring!$1:$1048576,MATCH(All!$A388,Spring!$A:$A,FALSE),MATCH(All!W$1,Spring!$1:$1,FALSE))),"")</f>
        <v>84</v>
      </c>
      <c r="X388" t="str">
        <f>IFERROR(IF(INDEX(Spring!$1:$1048576,MATCH(All!$A388,Spring!$A:$A,FALSE),MATCH(All!X$1,Spring!$1:$1,FALSE))="","",INDEX(Spring!$1:$1048576,MATCH(All!$A388,Spring!$A:$A,FALSE),MATCH(All!X$1,Spring!$1:$1,FALSE))),"")</f>
        <v/>
      </c>
      <c r="Y388" t="str">
        <f>IFERROR(IF(INDEX(Spring!$1:$1048576,MATCH(All!$A388,Spring!$A:$A,FALSE),MATCH(All!Y$1,Spring!$1:$1,FALSE))="","",INDEX(Spring!$1:$1048576,MATCH(All!$A388,Spring!$A:$A,FALSE),MATCH(All!Y$1,Spring!$1:$1,FALSE))),"")</f>
        <v>1A</v>
      </c>
      <c r="Z388" t="str">
        <f>IFERROR(IF(INDEX(Spring!$1:$1048576,MATCH(All!$A388,Spring!$A:$A,FALSE),MATCH(All!Z$1,Spring!$1:$1,FALSE))="","",INDEX(Spring!$1:$1048576,MATCH(All!$A388,Spring!$A:$A,FALSE),MATCH(All!Z$1,Spring!$1:$1,FALSE))),"")</f>
        <v/>
      </c>
      <c r="AA388" t="str">
        <f>IFERROR(IF(INDEX(Spring!$1:$1048576,MATCH(All!$A388,Spring!$A:$A,FALSE),MATCH(All!AA$1,Spring!$1:$1,FALSE))="","",INDEX(Spring!$1:$1048576,MATCH(All!$A388,Spring!$A:$A,FALSE),MATCH(All!AA$1,Spring!$1:$1,FALSE))),"")</f>
        <v/>
      </c>
      <c r="AB388" t="str">
        <f>IFERROR(IF(INDEX(Spring!$1:$1048576,MATCH(All!$A388,Spring!$A:$A,FALSE),MATCH(All!AB$1,Spring!$1:$1,FALSE))="","",INDEX(Spring!$1:$1048576,MATCH(All!$A388,Spring!$A:$A,FALSE),MATCH(All!AB$1,Spring!$1:$1,FALSE))),"")</f>
        <v>1A</v>
      </c>
      <c r="AC388" t="str">
        <f>IFERROR(IF(INDEX(Spring!$1:$1048576,MATCH(All!$A388,Spring!$A:$A,FALSE),MATCH(All!AC$1,Spring!$1:$1,FALSE))="","",INDEX(Spring!$1:$1048576,MATCH(All!$A388,Spring!$A:$A,FALSE),MATCH(All!AC$1,Spring!$1:$1,FALSE))),"")</f>
        <v>1A</v>
      </c>
      <c r="AD388" t="str">
        <f>IFERROR(VLOOKUP(A388,'Flag Football'!A:A,1,FALSE),"")</f>
        <v/>
      </c>
      <c r="AE388" t="str">
        <f t="shared" si="6"/>
        <v/>
      </c>
    </row>
    <row r="389" spans="1:31" ht="15.75" thickBot="1" x14ac:dyDescent="0.3">
      <c r="A389" s="20" t="s">
        <v>477</v>
      </c>
      <c r="B389" s="38">
        <f>IFERROR(VLOOKUP(A389,'Public v Private'!A:G,3,FALSE),"")</f>
        <v>0</v>
      </c>
      <c r="C389" s="38">
        <f>IFERROR(VLOOKUP(A389,'Public v Private'!A:G,4,FALSE),"")</f>
        <v>0</v>
      </c>
      <c r="D389" s="38">
        <f>IFERROR(VLOOKUP(A389,'Public v Private'!A:G,5,FALSE),"")</f>
        <v>0</v>
      </c>
      <c r="E389" s="38"/>
      <c r="F389" s="40">
        <f>IFERROR(INDEX(Fall!$1:$1048576,MATCH(All!$A389,Fall!$A:$A,FALSE),MATCH(All!F$1,Fall!$1:$1,FALSE)),"N/A")</f>
        <v>105</v>
      </c>
      <c r="G389" t="str">
        <f>IFERROR(IF(INDEX(Fall!$1:$1048576,MATCH(All!$A389,Fall!$A:$A,FALSE),MATCH(All!G$1,Fall!$1:$1,FALSE))="","",INDEX(Fall!$1:$1048576,MATCH(All!$A389,Fall!$A:$A,FALSE),MATCH(All!G$1,Fall!$1:$1,FALSE))),"")</f>
        <v/>
      </c>
      <c r="H389" t="str">
        <f>IFERROR(IF(INDEX(Fall!$1:$1048576,MATCH(All!$A389,Fall!$A:$A,FALSE),MATCH(All!H$1,Fall!$1:$1,FALSE))="","",INDEX(Fall!$1:$1048576,MATCH(All!$A389,Fall!$A:$A,FALSE),MATCH(All!H$1,Fall!$1:$1,FALSE))),"")</f>
        <v/>
      </c>
      <c r="I389" t="str">
        <f>IFERROR(IF(INDEX(Fall!$1:$1048576,MATCH(All!$A389,Fall!$A:$A,FALSE),MATCH(All!I$1,Fall!$1:$1,FALSE))="","",INDEX(Fall!$1:$1048576,MATCH(All!$A389,Fall!$A:$A,FALSE),MATCH(All!I$1,Fall!$1:$1,FALSE))),"")</f>
        <v/>
      </c>
      <c r="J389" t="str">
        <f>IFERROR(IF(INDEX(Fall!$1:$1048576,MATCH(All!$A389,Fall!$A:$A,FALSE),MATCH(All!J$1,Fall!$1:$1,FALSE))="","",INDEX(Fall!$1:$1048576,MATCH(All!$A389,Fall!$A:$A,FALSE),MATCH(All!J$1,Fall!$1:$1,FALSE))),"")</f>
        <v/>
      </c>
      <c r="K389" t="str">
        <f>IFERROR(IF(INDEX(Fall!$1:$1048576,MATCH(All!$A389,Fall!$A:$A,FALSE),MATCH(All!K$1,Fall!$1:$1,FALSE))="","",INDEX(Fall!$1:$1048576,MATCH(All!$A389,Fall!$A:$A,FALSE),MATCH(All!K$1,Fall!$1:$1,FALSE))),"")</f>
        <v/>
      </c>
      <c r="L389" t="str">
        <f>IFERROR(IF(INDEX(Fall!$1:$1048576,MATCH(All!$A389,Fall!$A:$A,FALSE),MATCH(All!L$1,Fall!$1:$1,FALSE))="","",INDEX(Fall!$1:$1048576,MATCH(All!$A389,Fall!$A:$A,FALSE),MATCH(All!L$1,Fall!$1:$1,FALSE))),"")</f>
        <v/>
      </c>
      <c r="M389" t="str">
        <f>IFERROR(IF(INDEX(Fall!$1:$1048576,MATCH(All!$A389,Fall!$A:$A,FALSE),MATCH(All!M$1,Fall!$1:$1,FALSE))="","",INDEX(Fall!$1:$1048576,MATCH(All!$A389,Fall!$A:$A,FALSE),MATCH(All!M$1,Fall!$1:$1,FALSE))),"")</f>
        <v>1A</v>
      </c>
      <c r="O389">
        <f>IFERROR(IF(INDEX(Winter!$1:$1048576,MATCH(All!$A389,Winter!$A:$A,FALSE),MATCH(All!O$1,Winter!$1:$1,FALSE))="","",INDEX(Winter!$1:$1048576,MATCH(All!$A389,Winter!$A:$A,FALSE),MATCH(All!O$1,Winter!$1:$1,FALSE))),"")</f>
        <v>105</v>
      </c>
      <c r="P389" t="str">
        <f>IFERROR(IF(INDEX(Winter!$1:$1048576,MATCH(All!$A389,Winter!$A:$A,FALSE),MATCH(All!P$1,Winter!$1:$1,FALSE))="","",INDEX(Winter!$1:$1048576,MATCH(All!$A389,Winter!$A:$A,FALSE),MATCH(All!P$1,Winter!$1:$1,FALSE))),"")</f>
        <v>1A</v>
      </c>
      <c r="Q389" t="str">
        <f>IFERROR(IF(INDEX(Winter!$1:$1048576,MATCH(All!$A389,Winter!$A:$A,FALSE),MATCH(All!Q$1,Winter!$1:$1,FALSE))="","",INDEX(Winter!$1:$1048576,MATCH(All!$A389,Winter!$A:$A,FALSE),MATCH(All!Q$1,Winter!$1:$1,FALSE))),"")</f>
        <v>1A</v>
      </c>
      <c r="R389" t="str">
        <f>IFERROR(IF(INDEX(Winter!$1:$1048576,MATCH(All!$A389,Winter!$A:$A,FALSE),MATCH(All!R$1,Winter!$1:$1,FALSE))="","",INDEX(Winter!$1:$1048576,MATCH(All!$A389,Winter!$A:$A,FALSE),MATCH(All!R$1,Winter!$1:$1,FALSE))),"")</f>
        <v/>
      </c>
      <c r="S389" t="str">
        <f>IFERROR(IF(INDEX(Winter!$1:$1048576,MATCH(All!$A389,Winter!$A:$A,FALSE),MATCH(All!S$1,Winter!$1:$1,FALSE))="","",INDEX(Winter!$1:$1048576,MATCH(All!$A389,Winter!$A:$A,FALSE),MATCH(All!S$1,Winter!$1:$1,FALSE))),"")</f>
        <v/>
      </c>
      <c r="T389" t="str">
        <f>IFERROR(IF(INDEX(Winter!$1:$1048576,MATCH(All!$A389,Winter!$A:$A,FALSE),MATCH(All!T$1,Winter!$1:$1,FALSE))="","",INDEX(Winter!$1:$1048576,MATCH(All!$A389,Winter!$A:$A,FALSE),MATCH(All!T$1,Winter!$1:$1,FALSE))),"")</f>
        <v>1A</v>
      </c>
      <c r="U389" t="str">
        <f>IFERROR(IF(INDEX(Winter!$1:$1048576,MATCH(All!$A389,Winter!$A:$A,FALSE),MATCH(All!U$1,Winter!$1:$1,FALSE))="","",INDEX(Winter!$1:$1048576,MATCH(All!$A389,Winter!$A:$A,FALSE),MATCH(All!U$1,Winter!$1:$1,FALSE))),"")</f>
        <v/>
      </c>
      <c r="W389">
        <f>IFERROR(IF(INDEX(Spring!$1:$1048576,MATCH(All!$A389,Spring!$A:$A,FALSE),MATCH(All!W$1,Spring!$1:$1,FALSE))="","",INDEX(Spring!$1:$1048576,MATCH(All!$A389,Spring!$A:$A,FALSE),MATCH(All!W$1,Spring!$1:$1,FALSE))),"")</f>
        <v>105</v>
      </c>
      <c r="X389" t="str">
        <f>IFERROR(IF(INDEX(Spring!$1:$1048576,MATCH(All!$A389,Spring!$A:$A,FALSE),MATCH(All!X$1,Spring!$1:$1,FALSE))="","",INDEX(Spring!$1:$1048576,MATCH(All!$A389,Spring!$A:$A,FALSE),MATCH(All!X$1,Spring!$1:$1,FALSE))),"")</f>
        <v>1A</v>
      </c>
      <c r="Y389" t="str">
        <f>IFERROR(IF(INDEX(Spring!$1:$1048576,MATCH(All!$A389,Spring!$A:$A,FALSE),MATCH(All!Y$1,Spring!$1:$1,FALSE))="","",INDEX(Spring!$1:$1048576,MATCH(All!$A389,Spring!$A:$A,FALSE),MATCH(All!Y$1,Spring!$1:$1,FALSE))),"")</f>
        <v>1A</v>
      </c>
      <c r="Z389" t="str">
        <f>IFERROR(IF(INDEX(Spring!$1:$1048576,MATCH(All!$A389,Spring!$A:$A,FALSE),MATCH(All!Z$1,Spring!$1:$1,FALSE))="","",INDEX(Spring!$1:$1048576,MATCH(All!$A389,Spring!$A:$A,FALSE),MATCH(All!Z$1,Spring!$1:$1,FALSE))),"")</f>
        <v/>
      </c>
      <c r="AA389" t="str">
        <f>IFERROR(IF(INDEX(Spring!$1:$1048576,MATCH(All!$A389,Spring!$A:$A,FALSE),MATCH(All!AA$1,Spring!$1:$1,FALSE))="","",INDEX(Spring!$1:$1048576,MATCH(All!$A389,Spring!$A:$A,FALSE),MATCH(All!AA$1,Spring!$1:$1,FALSE))),"")</f>
        <v/>
      </c>
      <c r="AB389" t="str">
        <f>IFERROR(IF(INDEX(Spring!$1:$1048576,MATCH(All!$A389,Spring!$A:$A,FALSE),MATCH(All!AB$1,Spring!$1:$1,FALSE))="","",INDEX(Spring!$1:$1048576,MATCH(All!$A389,Spring!$A:$A,FALSE),MATCH(All!AB$1,Spring!$1:$1,FALSE))),"")</f>
        <v>1A</v>
      </c>
      <c r="AC389" t="str">
        <f>IFERROR(IF(INDEX(Spring!$1:$1048576,MATCH(All!$A389,Spring!$A:$A,FALSE),MATCH(All!AC$1,Spring!$1:$1,FALSE))="","",INDEX(Spring!$1:$1048576,MATCH(All!$A389,Spring!$A:$A,FALSE),MATCH(All!AC$1,Spring!$1:$1,FALSE))),"")</f>
        <v>1A</v>
      </c>
      <c r="AD389" t="str">
        <f>IFERROR(VLOOKUP(A389,'Flag Football'!A:A,1,FALSE),"")</f>
        <v/>
      </c>
      <c r="AE389" t="str">
        <f t="shared" si="6"/>
        <v/>
      </c>
    </row>
    <row r="390" spans="1:31" ht="15.75" thickBot="1" x14ac:dyDescent="0.3">
      <c r="A390" s="18" t="s">
        <v>478</v>
      </c>
      <c r="B390" s="38">
        <f>IFERROR(VLOOKUP(A390,'Public v Private'!A:G,3,FALSE),"")</f>
        <v>0</v>
      </c>
      <c r="C390" s="38">
        <f>IFERROR(VLOOKUP(A390,'Public v Private'!A:G,4,FALSE),"")</f>
        <v>0</v>
      </c>
      <c r="D390" s="38">
        <f>IFERROR(VLOOKUP(A390,'Public v Private'!A:G,5,FALSE),"")</f>
        <v>0</v>
      </c>
      <c r="E390" s="38"/>
      <c r="F390" s="40">
        <f>IFERROR(INDEX(Fall!$1:$1048576,MATCH(All!$A390,Fall!$A:$A,FALSE),MATCH(All!F$1,Fall!$1:$1,FALSE)),"N/A")</f>
        <v>69</v>
      </c>
      <c r="G390" t="str">
        <f>IFERROR(IF(INDEX(Fall!$1:$1048576,MATCH(All!$A390,Fall!$A:$A,FALSE),MATCH(All!G$1,Fall!$1:$1,FALSE))="","",INDEX(Fall!$1:$1048576,MATCH(All!$A390,Fall!$A:$A,FALSE),MATCH(All!G$1,Fall!$1:$1,FALSE))),"")</f>
        <v/>
      </c>
      <c r="H390" t="str">
        <f>IFERROR(IF(INDEX(Fall!$1:$1048576,MATCH(All!$A390,Fall!$A:$A,FALSE),MATCH(All!H$1,Fall!$1:$1,FALSE))="","",INDEX(Fall!$1:$1048576,MATCH(All!$A390,Fall!$A:$A,FALSE),MATCH(All!H$1,Fall!$1:$1,FALSE))),"")</f>
        <v>1A</v>
      </c>
      <c r="I390" t="str">
        <f>IFERROR(IF(INDEX(Fall!$1:$1048576,MATCH(All!$A390,Fall!$A:$A,FALSE),MATCH(All!I$1,Fall!$1:$1,FALSE))="","",INDEX(Fall!$1:$1048576,MATCH(All!$A390,Fall!$A:$A,FALSE),MATCH(All!I$1,Fall!$1:$1,FALSE))),"")</f>
        <v>1A</v>
      </c>
      <c r="J390" t="str">
        <f>IFERROR(IF(INDEX(Fall!$1:$1048576,MATCH(All!$A390,Fall!$A:$A,FALSE),MATCH(All!J$1,Fall!$1:$1,FALSE))="","",INDEX(Fall!$1:$1048576,MATCH(All!$A390,Fall!$A:$A,FALSE),MATCH(All!J$1,Fall!$1:$1,FALSE))),"")</f>
        <v>1A</v>
      </c>
      <c r="K390" t="str">
        <f>IFERROR(IF(INDEX(Fall!$1:$1048576,MATCH(All!$A390,Fall!$A:$A,FALSE),MATCH(All!K$1,Fall!$1:$1,FALSE))="","",INDEX(Fall!$1:$1048576,MATCH(All!$A390,Fall!$A:$A,FALSE),MATCH(All!K$1,Fall!$1:$1,FALSE))),"")</f>
        <v/>
      </c>
      <c r="L390" t="str">
        <f>IFERROR(IF(INDEX(Fall!$1:$1048576,MATCH(All!$A390,Fall!$A:$A,FALSE),MATCH(All!L$1,Fall!$1:$1,FALSE))="","",INDEX(Fall!$1:$1048576,MATCH(All!$A390,Fall!$A:$A,FALSE),MATCH(All!L$1,Fall!$1:$1,FALSE))),"")</f>
        <v/>
      </c>
      <c r="M390" t="str">
        <f>IFERROR(IF(INDEX(Fall!$1:$1048576,MATCH(All!$A390,Fall!$A:$A,FALSE),MATCH(All!M$1,Fall!$1:$1,FALSE))="","",INDEX(Fall!$1:$1048576,MATCH(All!$A390,Fall!$A:$A,FALSE),MATCH(All!M$1,Fall!$1:$1,FALSE))),"")</f>
        <v>1A</v>
      </c>
      <c r="O390">
        <f>IFERROR(IF(INDEX(Winter!$1:$1048576,MATCH(All!$A390,Winter!$A:$A,FALSE),MATCH(All!O$1,Winter!$1:$1,FALSE))="","",INDEX(Winter!$1:$1048576,MATCH(All!$A390,Winter!$A:$A,FALSE),MATCH(All!O$1,Winter!$1:$1,FALSE))),"")</f>
        <v>69</v>
      </c>
      <c r="P390" t="str">
        <f>IFERROR(IF(INDEX(Winter!$1:$1048576,MATCH(All!$A390,Winter!$A:$A,FALSE),MATCH(All!P$1,Winter!$1:$1,FALSE))="","",INDEX(Winter!$1:$1048576,MATCH(All!$A390,Winter!$A:$A,FALSE),MATCH(All!P$1,Winter!$1:$1,FALSE))),"")</f>
        <v>1A</v>
      </c>
      <c r="Q390" t="str">
        <f>IFERROR(IF(INDEX(Winter!$1:$1048576,MATCH(All!$A390,Winter!$A:$A,FALSE),MATCH(All!Q$1,Winter!$1:$1,FALSE))="","",INDEX(Winter!$1:$1048576,MATCH(All!$A390,Winter!$A:$A,FALSE),MATCH(All!Q$1,Winter!$1:$1,FALSE))),"")</f>
        <v/>
      </c>
      <c r="R390" t="str">
        <f>IFERROR(IF(INDEX(Winter!$1:$1048576,MATCH(All!$A390,Winter!$A:$A,FALSE),MATCH(All!R$1,Winter!$1:$1,FALSE))="","",INDEX(Winter!$1:$1048576,MATCH(All!$A390,Winter!$A:$A,FALSE),MATCH(All!R$1,Winter!$1:$1,FALSE))),"")</f>
        <v/>
      </c>
      <c r="S390" t="str">
        <f>IFERROR(IF(INDEX(Winter!$1:$1048576,MATCH(All!$A390,Winter!$A:$A,FALSE),MATCH(All!S$1,Winter!$1:$1,FALSE))="","",INDEX(Winter!$1:$1048576,MATCH(All!$A390,Winter!$A:$A,FALSE),MATCH(All!S$1,Winter!$1:$1,FALSE))),"")</f>
        <v/>
      </c>
      <c r="T390" t="str">
        <f>IFERROR(IF(INDEX(Winter!$1:$1048576,MATCH(All!$A390,Winter!$A:$A,FALSE),MATCH(All!T$1,Winter!$1:$1,FALSE))="","",INDEX(Winter!$1:$1048576,MATCH(All!$A390,Winter!$A:$A,FALSE),MATCH(All!T$1,Winter!$1:$1,FALSE))),"")</f>
        <v>1A</v>
      </c>
      <c r="U390" t="str">
        <f>IFERROR(IF(INDEX(Winter!$1:$1048576,MATCH(All!$A390,Winter!$A:$A,FALSE),MATCH(All!U$1,Winter!$1:$1,FALSE))="","",INDEX(Winter!$1:$1048576,MATCH(All!$A390,Winter!$A:$A,FALSE),MATCH(All!U$1,Winter!$1:$1,FALSE))),"")</f>
        <v/>
      </c>
      <c r="W390">
        <f>IFERROR(IF(INDEX(Spring!$1:$1048576,MATCH(All!$A390,Spring!$A:$A,FALSE),MATCH(All!W$1,Spring!$1:$1,FALSE))="","",INDEX(Spring!$1:$1048576,MATCH(All!$A390,Spring!$A:$A,FALSE),MATCH(All!W$1,Spring!$1:$1,FALSE))),"")</f>
        <v>69</v>
      </c>
      <c r="X390" t="str">
        <f>IFERROR(IF(INDEX(Spring!$1:$1048576,MATCH(All!$A390,Spring!$A:$A,FALSE),MATCH(All!X$1,Spring!$1:$1,FALSE))="","",INDEX(Spring!$1:$1048576,MATCH(All!$A390,Spring!$A:$A,FALSE),MATCH(All!X$1,Spring!$1:$1,FALSE))),"")</f>
        <v/>
      </c>
      <c r="Y390" t="str">
        <f>IFERROR(IF(INDEX(Spring!$1:$1048576,MATCH(All!$A390,Spring!$A:$A,FALSE),MATCH(All!Y$1,Spring!$1:$1,FALSE))="","",INDEX(Spring!$1:$1048576,MATCH(All!$A390,Spring!$A:$A,FALSE),MATCH(All!Y$1,Spring!$1:$1,FALSE))),"")</f>
        <v/>
      </c>
      <c r="Z390" t="str">
        <f>IFERROR(IF(INDEX(Spring!$1:$1048576,MATCH(All!$A390,Spring!$A:$A,FALSE),MATCH(All!Z$1,Spring!$1:$1,FALSE))="","",INDEX(Spring!$1:$1048576,MATCH(All!$A390,Spring!$A:$A,FALSE),MATCH(All!Z$1,Spring!$1:$1,FALSE))),"")</f>
        <v/>
      </c>
      <c r="AA390" t="str">
        <f>IFERROR(IF(INDEX(Spring!$1:$1048576,MATCH(All!$A390,Spring!$A:$A,FALSE),MATCH(All!AA$1,Spring!$1:$1,FALSE))="","",INDEX(Spring!$1:$1048576,MATCH(All!$A390,Spring!$A:$A,FALSE),MATCH(All!AA$1,Spring!$1:$1,FALSE))),"")</f>
        <v/>
      </c>
      <c r="AB390" t="str">
        <f>IFERROR(IF(INDEX(Spring!$1:$1048576,MATCH(All!$A390,Spring!$A:$A,FALSE),MATCH(All!AB$1,Spring!$1:$1,FALSE))="","",INDEX(Spring!$1:$1048576,MATCH(All!$A390,Spring!$A:$A,FALSE),MATCH(All!AB$1,Spring!$1:$1,FALSE))),"")</f>
        <v>1A</v>
      </c>
      <c r="AC390" t="str">
        <f>IFERROR(IF(INDEX(Spring!$1:$1048576,MATCH(All!$A390,Spring!$A:$A,FALSE),MATCH(All!AC$1,Spring!$1:$1,FALSE))="","",INDEX(Spring!$1:$1048576,MATCH(All!$A390,Spring!$A:$A,FALSE),MATCH(All!AC$1,Spring!$1:$1,FALSE))),"")</f>
        <v>1A</v>
      </c>
      <c r="AD390" t="str">
        <f>IFERROR(VLOOKUP(A390,'Flag Football'!A:A,1,FALSE),"")</f>
        <v/>
      </c>
      <c r="AE390" t="str">
        <f t="shared" si="6"/>
        <v/>
      </c>
    </row>
    <row r="391" spans="1:31" ht="15.75" thickBot="1" x14ac:dyDescent="0.3">
      <c r="A391" s="20" t="s">
        <v>479</v>
      </c>
      <c r="B391" s="38">
        <f>IFERROR(VLOOKUP(A391,'Public v Private'!A:G,3,FALSE),"")</f>
        <v>0</v>
      </c>
      <c r="C391" s="38">
        <f>IFERROR(VLOOKUP(A391,'Public v Private'!A:G,4,FALSE),"")</f>
        <v>0</v>
      </c>
      <c r="D391" s="38">
        <f>IFERROR(VLOOKUP(A391,'Public v Private'!A:G,5,FALSE),"")</f>
        <v>0</v>
      </c>
      <c r="E391" s="38"/>
      <c r="F391" s="40">
        <f>IFERROR(INDEX(Fall!$1:$1048576,MATCH(All!$A391,Fall!$A:$A,FALSE),MATCH(All!F$1,Fall!$1:$1,FALSE)),"N/A")</f>
        <v>471</v>
      </c>
      <c r="G391" t="str">
        <f>IFERROR(IF(INDEX(Fall!$1:$1048576,MATCH(All!$A391,Fall!$A:$A,FALSE),MATCH(All!G$1,Fall!$1:$1,FALSE))="","",INDEX(Fall!$1:$1048576,MATCH(All!$A391,Fall!$A:$A,FALSE),MATCH(All!G$1,Fall!$1:$1,FALSE))),"")</f>
        <v>1A</v>
      </c>
      <c r="H391" t="str">
        <f>IFERROR(IF(INDEX(Fall!$1:$1048576,MATCH(All!$A391,Fall!$A:$A,FALSE),MATCH(All!H$1,Fall!$1:$1,FALSE))="","",INDEX(Fall!$1:$1048576,MATCH(All!$A391,Fall!$A:$A,FALSE),MATCH(All!H$1,Fall!$1:$1,FALSE))),"")</f>
        <v>1A</v>
      </c>
      <c r="I391" t="str">
        <f>IFERROR(IF(INDEX(Fall!$1:$1048576,MATCH(All!$A391,Fall!$A:$A,FALSE),MATCH(All!I$1,Fall!$1:$1,FALSE))="","",INDEX(Fall!$1:$1048576,MATCH(All!$A391,Fall!$A:$A,FALSE),MATCH(All!I$1,Fall!$1:$1,FALSE))),"")</f>
        <v>1A</v>
      </c>
      <c r="J391" t="str">
        <f>IFERROR(IF(INDEX(Fall!$1:$1048576,MATCH(All!$A391,Fall!$A:$A,FALSE),MATCH(All!J$1,Fall!$1:$1,FALSE))="","",INDEX(Fall!$1:$1048576,MATCH(All!$A391,Fall!$A:$A,FALSE),MATCH(All!J$1,Fall!$1:$1,FALSE))),"")</f>
        <v>1A</v>
      </c>
      <c r="K391" t="str">
        <f>IFERROR(IF(INDEX(Fall!$1:$1048576,MATCH(All!$A391,Fall!$A:$A,FALSE),MATCH(All!K$1,Fall!$1:$1,FALSE))="","",INDEX(Fall!$1:$1048576,MATCH(All!$A391,Fall!$A:$A,FALSE),MATCH(All!K$1,Fall!$1:$1,FALSE))),"")</f>
        <v>1A</v>
      </c>
      <c r="L391" t="str">
        <f>IFERROR(IF(INDEX(Fall!$1:$1048576,MATCH(All!$A391,Fall!$A:$A,FALSE),MATCH(All!L$1,Fall!$1:$1,FALSE))="","",INDEX(Fall!$1:$1048576,MATCH(All!$A391,Fall!$A:$A,FALSE),MATCH(All!L$1,Fall!$1:$1,FALSE))),"")</f>
        <v>1A</v>
      </c>
      <c r="M391" t="str">
        <f>IFERROR(IF(INDEX(Fall!$1:$1048576,MATCH(All!$A391,Fall!$A:$A,FALSE),MATCH(All!M$1,Fall!$1:$1,FALSE))="","",INDEX(Fall!$1:$1048576,MATCH(All!$A391,Fall!$A:$A,FALSE),MATCH(All!M$1,Fall!$1:$1,FALSE))),"")</f>
        <v>2A</v>
      </c>
      <c r="O391">
        <f>IFERROR(IF(INDEX(Winter!$1:$1048576,MATCH(All!$A391,Winter!$A:$A,FALSE),MATCH(All!O$1,Winter!$1:$1,FALSE))="","",INDEX(Winter!$1:$1048576,MATCH(All!$A391,Winter!$A:$A,FALSE),MATCH(All!O$1,Winter!$1:$1,FALSE))),"")</f>
        <v>471</v>
      </c>
      <c r="P391" t="str">
        <f>IFERROR(IF(INDEX(Winter!$1:$1048576,MATCH(All!$A391,Winter!$A:$A,FALSE),MATCH(All!P$1,Winter!$1:$1,FALSE))="","",INDEX(Winter!$1:$1048576,MATCH(All!$A391,Winter!$A:$A,FALSE),MATCH(All!P$1,Winter!$1:$1,FALSE))),"")</f>
        <v>2A</v>
      </c>
      <c r="Q391" t="str">
        <f>IFERROR(IF(INDEX(Winter!$1:$1048576,MATCH(All!$A391,Winter!$A:$A,FALSE),MATCH(All!Q$1,Winter!$1:$1,FALSE))="","",INDEX(Winter!$1:$1048576,MATCH(All!$A391,Winter!$A:$A,FALSE),MATCH(All!Q$1,Winter!$1:$1,FALSE))),"")</f>
        <v>2A</v>
      </c>
      <c r="R391" t="str">
        <f>IFERROR(IF(INDEX(Winter!$1:$1048576,MATCH(All!$A391,Winter!$A:$A,FALSE),MATCH(All!R$1,Winter!$1:$1,FALSE))="","",INDEX(Winter!$1:$1048576,MATCH(All!$A391,Winter!$A:$A,FALSE),MATCH(All!R$1,Winter!$1:$1,FALSE))),"")</f>
        <v>1A</v>
      </c>
      <c r="S391" t="str">
        <f>IFERROR(IF(INDEX(Winter!$1:$1048576,MATCH(All!$A391,Winter!$A:$A,FALSE),MATCH(All!S$1,Winter!$1:$1,FALSE))="","",INDEX(Winter!$1:$1048576,MATCH(All!$A391,Winter!$A:$A,FALSE),MATCH(All!S$1,Winter!$1:$1,FALSE))),"")</f>
        <v/>
      </c>
      <c r="T391" t="str">
        <f>IFERROR(IF(INDEX(Winter!$1:$1048576,MATCH(All!$A391,Winter!$A:$A,FALSE),MATCH(All!T$1,Winter!$1:$1,FALSE))="","",INDEX(Winter!$1:$1048576,MATCH(All!$A391,Winter!$A:$A,FALSE),MATCH(All!T$1,Winter!$1:$1,FALSE))),"")</f>
        <v>2A</v>
      </c>
      <c r="U391" t="str">
        <f>IFERROR(IF(INDEX(Winter!$1:$1048576,MATCH(All!$A391,Winter!$A:$A,FALSE),MATCH(All!U$1,Winter!$1:$1,FALSE))="","",INDEX(Winter!$1:$1048576,MATCH(All!$A391,Winter!$A:$A,FALSE),MATCH(All!U$1,Winter!$1:$1,FALSE))),"")</f>
        <v/>
      </c>
      <c r="W391">
        <f>IFERROR(IF(INDEX(Spring!$1:$1048576,MATCH(All!$A391,Spring!$A:$A,FALSE),MATCH(All!W$1,Spring!$1:$1,FALSE))="","",INDEX(Spring!$1:$1048576,MATCH(All!$A391,Spring!$A:$A,FALSE),MATCH(All!W$1,Spring!$1:$1,FALSE))),"")</f>
        <v>471</v>
      </c>
      <c r="X391" t="str">
        <f>IFERROR(IF(INDEX(Spring!$1:$1048576,MATCH(All!$A391,Spring!$A:$A,FALSE),MATCH(All!X$1,Spring!$1:$1,FALSE))="","",INDEX(Spring!$1:$1048576,MATCH(All!$A391,Spring!$A:$A,FALSE),MATCH(All!X$1,Spring!$1:$1,FALSE))),"")</f>
        <v>2A</v>
      </c>
      <c r="Y391" t="str">
        <f>IFERROR(IF(INDEX(Spring!$1:$1048576,MATCH(All!$A391,Spring!$A:$A,FALSE),MATCH(All!Y$1,Spring!$1:$1,FALSE))="","",INDEX(Spring!$1:$1048576,MATCH(All!$A391,Spring!$A:$A,FALSE),MATCH(All!Y$1,Spring!$1:$1,FALSE))),"")</f>
        <v>2A</v>
      </c>
      <c r="Z391" t="str">
        <f>IFERROR(IF(INDEX(Spring!$1:$1048576,MATCH(All!$A391,Spring!$A:$A,FALSE),MATCH(All!Z$1,Spring!$1:$1,FALSE))="","",INDEX(Spring!$1:$1048576,MATCH(All!$A391,Spring!$A:$A,FALSE),MATCH(All!Z$1,Spring!$1:$1,FALSE))),"")</f>
        <v>1A</v>
      </c>
      <c r="AA391" t="str">
        <f>IFERROR(IF(INDEX(Spring!$1:$1048576,MATCH(All!$A391,Spring!$A:$A,FALSE),MATCH(All!AA$1,Spring!$1:$1,FALSE))="","",INDEX(Spring!$1:$1048576,MATCH(All!$A391,Spring!$A:$A,FALSE),MATCH(All!AA$1,Spring!$1:$1,FALSE))),"")</f>
        <v>1A</v>
      </c>
      <c r="AB391" t="str">
        <f>IFERROR(IF(INDEX(Spring!$1:$1048576,MATCH(All!$A391,Spring!$A:$A,FALSE),MATCH(All!AB$1,Spring!$1:$1,FALSE))="","",INDEX(Spring!$1:$1048576,MATCH(All!$A391,Spring!$A:$A,FALSE),MATCH(All!AB$1,Spring!$1:$1,FALSE))),"")</f>
        <v>2A</v>
      </c>
      <c r="AC391" t="str">
        <f>IFERROR(IF(INDEX(Spring!$1:$1048576,MATCH(All!$A391,Spring!$A:$A,FALSE),MATCH(All!AC$1,Spring!$1:$1,FALSE))="","",INDEX(Spring!$1:$1048576,MATCH(All!$A391,Spring!$A:$A,FALSE),MATCH(All!AC$1,Spring!$1:$1,FALSE))),"")</f>
        <v>2A</v>
      </c>
      <c r="AD391" t="str">
        <f>IFERROR(VLOOKUP(A391,'Flag Football'!A:A,1,FALSE),"")</f>
        <v/>
      </c>
      <c r="AE391" t="str">
        <f t="shared" si="6"/>
        <v/>
      </c>
    </row>
    <row r="392" spans="1:31" ht="15.75" thickBot="1" x14ac:dyDescent="0.3">
      <c r="A392" s="18" t="s">
        <v>480</v>
      </c>
      <c r="B392" s="38">
        <f>IFERROR(VLOOKUP(A392,'Public v Private'!A:G,3,FALSE),"")</f>
        <v>0</v>
      </c>
      <c r="C392" s="38">
        <f>IFERROR(VLOOKUP(A392,'Public v Private'!A:G,4,FALSE),"")</f>
        <v>0</v>
      </c>
      <c r="D392" s="38">
        <f>IFERROR(VLOOKUP(A392,'Public v Private'!A:G,5,FALSE),"")</f>
        <v>0</v>
      </c>
      <c r="E392" s="38"/>
      <c r="F392" s="40">
        <f>IFERROR(INDEX(Fall!$1:$1048576,MATCH(All!$A392,Fall!$A:$A,FALSE),MATCH(All!F$1,Fall!$1:$1,FALSE)),"N/A")</f>
        <v>87</v>
      </c>
      <c r="G392" t="str">
        <f>IFERROR(IF(INDEX(Fall!$1:$1048576,MATCH(All!$A392,Fall!$A:$A,FALSE),MATCH(All!G$1,Fall!$1:$1,FALSE))="","",INDEX(Fall!$1:$1048576,MATCH(All!$A392,Fall!$A:$A,FALSE),MATCH(All!G$1,Fall!$1:$1,FALSE))),"")</f>
        <v/>
      </c>
      <c r="H392" t="str">
        <f>IFERROR(IF(INDEX(Fall!$1:$1048576,MATCH(All!$A392,Fall!$A:$A,FALSE),MATCH(All!H$1,Fall!$1:$1,FALSE))="","",INDEX(Fall!$1:$1048576,MATCH(All!$A392,Fall!$A:$A,FALSE),MATCH(All!H$1,Fall!$1:$1,FALSE))),"")</f>
        <v/>
      </c>
      <c r="I392" t="str">
        <f>IFERROR(IF(INDEX(Fall!$1:$1048576,MATCH(All!$A392,Fall!$A:$A,FALSE),MATCH(All!I$1,Fall!$1:$1,FALSE))="","",INDEX(Fall!$1:$1048576,MATCH(All!$A392,Fall!$A:$A,FALSE),MATCH(All!I$1,Fall!$1:$1,FALSE))),"")</f>
        <v>1A</v>
      </c>
      <c r="J392" t="str">
        <f>IFERROR(IF(INDEX(Fall!$1:$1048576,MATCH(All!$A392,Fall!$A:$A,FALSE),MATCH(All!J$1,Fall!$1:$1,FALSE))="","",INDEX(Fall!$1:$1048576,MATCH(All!$A392,Fall!$A:$A,FALSE),MATCH(All!J$1,Fall!$1:$1,FALSE))),"")</f>
        <v/>
      </c>
      <c r="K392" t="str">
        <f>IFERROR(IF(INDEX(Fall!$1:$1048576,MATCH(All!$A392,Fall!$A:$A,FALSE),MATCH(All!K$1,Fall!$1:$1,FALSE))="","",INDEX(Fall!$1:$1048576,MATCH(All!$A392,Fall!$A:$A,FALSE),MATCH(All!K$1,Fall!$1:$1,FALSE))),"")</f>
        <v/>
      </c>
      <c r="L392" t="str">
        <f>IFERROR(IF(INDEX(Fall!$1:$1048576,MATCH(All!$A392,Fall!$A:$A,FALSE),MATCH(All!L$1,Fall!$1:$1,FALSE))="","",INDEX(Fall!$1:$1048576,MATCH(All!$A392,Fall!$A:$A,FALSE),MATCH(All!L$1,Fall!$1:$1,FALSE))),"")</f>
        <v/>
      </c>
      <c r="M392" t="str">
        <f>IFERROR(IF(INDEX(Fall!$1:$1048576,MATCH(All!$A392,Fall!$A:$A,FALSE),MATCH(All!M$1,Fall!$1:$1,FALSE))="","",INDEX(Fall!$1:$1048576,MATCH(All!$A392,Fall!$A:$A,FALSE),MATCH(All!M$1,Fall!$1:$1,FALSE))),"")</f>
        <v>1A</v>
      </c>
      <c r="O392">
        <f>IFERROR(IF(INDEX(Winter!$1:$1048576,MATCH(All!$A392,Winter!$A:$A,FALSE),MATCH(All!O$1,Winter!$1:$1,FALSE))="","",INDEX(Winter!$1:$1048576,MATCH(All!$A392,Winter!$A:$A,FALSE),MATCH(All!O$1,Winter!$1:$1,FALSE))),"")</f>
        <v>87</v>
      </c>
      <c r="P392" t="str">
        <f>IFERROR(IF(INDEX(Winter!$1:$1048576,MATCH(All!$A392,Winter!$A:$A,FALSE),MATCH(All!P$1,Winter!$1:$1,FALSE))="","",INDEX(Winter!$1:$1048576,MATCH(All!$A392,Winter!$A:$A,FALSE),MATCH(All!P$1,Winter!$1:$1,FALSE))),"")</f>
        <v>1A</v>
      </c>
      <c r="Q392" t="str">
        <f>IFERROR(IF(INDEX(Winter!$1:$1048576,MATCH(All!$A392,Winter!$A:$A,FALSE),MATCH(All!Q$1,Winter!$1:$1,FALSE))="","",INDEX(Winter!$1:$1048576,MATCH(All!$A392,Winter!$A:$A,FALSE),MATCH(All!Q$1,Winter!$1:$1,FALSE))),"")</f>
        <v/>
      </c>
      <c r="R392" t="str">
        <f>IFERROR(IF(INDEX(Winter!$1:$1048576,MATCH(All!$A392,Winter!$A:$A,FALSE),MATCH(All!R$1,Winter!$1:$1,FALSE))="","",INDEX(Winter!$1:$1048576,MATCH(All!$A392,Winter!$A:$A,FALSE),MATCH(All!R$1,Winter!$1:$1,FALSE))),"")</f>
        <v/>
      </c>
      <c r="S392" t="str">
        <f>IFERROR(IF(INDEX(Winter!$1:$1048576,MATCH(All!$A392,Winter!$A:$A,FALSE),MATCH(All!S$1,Winter!$1:$1,FALSE))="","",INDEX(Winter!$1:$1048576,MATCH(All!$A392,Winter!$A:$A,FALSE),MATCH(All!S$1,Winter!$1:$1,FALSE))),"")</f>
        <v/>
      </c>
      <c r="T392" t="str">
        <f>IFERROR(IF(INDEX(Winter!$1:$1048576,MATCH(All!$A392,Winter!$A:$A,FALSE),MATCH(All!T$1,Winter!$1:$1,FALSE))="","",INDEX(Winter!$1:$1048576,MATCH(All!$A392,Winter!$A:$A,FALSE),MATCH(All!T$1,Winter!$1:$1,FALSE))),"")</f>
        <v/>
      </c>
      <c r="U392" t="str">
        <f>IFERROR(IF(INDEX(Winter!$1:$1048576,MATCH(All!$A392,Winter!$A:$A,FALSE),MATCH(All!U$1,Winter!$1:$1,FALSE))="","",INDEX(Winter!$1:$1048576,MATCH(All!$A392,Winter!$A:$A,FALSE),MATCH(All!U$1,Winter!$1:$1,FALSE))),"")</f>
        <v/>
      </c>
      <c r="W392">
        <f>IFERROR(IF(INDEX(Spring!$1:$1048576,MATCH(All!$A392,Spring!$A:$A,FALSE),MATCH(All!W$1,Spring!$1:$1,FALSE))="","",INDEX(Spring!$1:$1048576,MATCH(All!$A392,Spring!$A:$A,FALSE),MATCH(All!W$1,Spring!$1:$1,FALSE))),"")</f>
        <v>87</v>
      </c>
      <c r="X392" t="str">
        <f>IFERROR(IF(INDEX(Spring!$1:$1048576,MATCH(All!$A392,Spring!$A:$A,FALSE),MATCH(All!X$1,Spring!$1:$1,FALSE))="","",INDEX(Spring!$1:$1048576,MATCH(All!$A392,Spring!$A:$A,FALSE),MATCH(All!X$1,Spring!$1:$1,FALSE))),"")</f>
        <v/>
      </c>
      <c r="Y392" t="str">
        <f>IFERROR(IF(INDEX(Spring!$1:$1048576,MATCH(All!$A392,Spring!$A:$A,FALSE),MATCH(All!Y$1,Spring!$1:$1,FALSE))="","",INDEX(Spring!$1:$1048576,MATCH(All!$A392,Spring!$A:$A,FALSE),MATCH(All!Y$1,Spring!$1:$1,FALSE))),"")</f>
        <v>1A</v>
      </c>
      <c r="Z392" t="str">
        <f>IFERROR(IF(INDEX(Spring!$1:$1048576,MATCH(All!$A392,Spring!$A:$A,FALSE),MATCH(All!Z$1,Spring!$1:$1,FALSE))="","",INDEX(Spring!$1:$1048576,MATCH(All!$A392,Spring!$A:$A,FALSE),MATCH(All!Z$1,Spring!$1:$1,FALSE))),"")</f>
        <v/>
      </c>
      <c r="AA392" t="str">
        <f>IFERROR(IF(INDEX(Spring!$1:$1048576,MATCH(All!$A392,Spring!$A:$A,FALSE),MATCH(All!AA$1,Spring!$1:$1,FALSE))="","",INDEX(Spring!$1:$1048576,MATCH(All!$A392,Spring!$A:$A,FALSE),MATCH(All!AA$1,Spring!$1:$1,FALSE))),"")</f>
        <v/>
      </c>
      <c r="AB392" t="str">
        <f>IFERROR(IF(INDEX(Spring!$1:$1048576,MATCH(All!$A392,Spring!$A:$A,FALSE),MATCH(All!AB$1,Spring!$1:$1,FALSE))="","",INDEX(Spring!$1:$1048576,MATCH(All!$A392,Spring!$A:$A,FALSE),MATCH(All!AB$1,Spring!$1:$1,FALSE))),"")</f>
        <v/>
      </c>
      <c r="AC392" t="str">
        <f>IFERROR(IF(INDEX(Spring!$1:$1048576,MATCH(All!$A392,Spring!$A:$A,FALSE),MATCH(All!AC$1,Spring!$1:$1,FALSE))="","",INDEX(Spring!$1:$1048576,MATCH(All!$A392,Spring!$A:$A,FALSE),MATCH(All!AC$1,Spring!$1:$1,FALSE))),"")</f>
        <v/>
      </c>
      <c r="AD392" t="str">
        <f>IFERROR(VLOOKUP(A392,'Flag Football'!A:A,1,FALSE),"")</f>
        <v/>
      </c>
      <c r="AE392" t="str">
        <f t="shared" si="6"/>
        <v/>
      </c>
    </row>
    <row r="393" spans="1:31" ht="15.75" thickBot="1" x14ac:dyDescent="0.3">
      <c r="A393" s="20" t="s">
        <v>481</v>
      </c>
      <c r="B393" s="38">
        <f>IFERROR(VLOOKUP(A393,'Public v Private'!A:G,3,FALSE),"")</f>
        <v>0</v>
      </c>
      <c r="C393" s="38">
        <f>IFERROR(VLOOKUP(A393,'Public v Private'!A:G,4,FALSE),"")</f>
        <v>0</v>
      </c>
      <c r="D393" s="38">
        <f>IFERROR(VLOOKUP(A393,'Public v Private'!A:G,5,FALSE),"")</f>
        <v>0</v>
      </c>
      <c r="E393" s="38"/>
      <c r="F393" s="40">
        <f>IFERROR(INDEX(Fall!$1:$1048576,MATCH(All!$A393,Fall!$A:$A,FALSE),MATCH(All!F$1,Fall!$1:$1,FALSE)),"N/A")</f>
        <v>3398</v>
      </c>
      <c r="G393" t="str">
        <f>IFERROR(IF(INDEX(Fall!$1:$1048576,MATCH(All!$A393,Fall!$A:$A,FALSE),MATCH(All!G$1,Fall!$1:$1,FALSE))="","",INDEX(Fall!$1:$1048576,MATCH(All!$A393,Fall!$A:$A,FALSE),MATCH(All!G$1,Fall!$1:$1,FALSE))),"")</f>
        <v>3A</v>
      </c>
      <c r="H393" t="str">
        <f>IFERROR(IF(INDEX(Fall!$1:$1048576,MATCH(All!$A393,Fall!$A:$A,FALSE),MATCH(All!H$1,Fall!$1:$1,FALSE))="","",INDEX(Fall!$1:$1048576,MATCH(All!$A393,Fall!$A:$A,FALSE),MATCH(All!H$1,Fall!$1:$1,FALSE))),"")</f>
        <v>3A</v>
      </c>
      <c r="I393" t="str">
        <f>IFERROR(IF(INDEX(Fall!$1:$1048576,MATCH(All!$A393,Fall!$A:$A,FALSE),MATCH(All!I$1,Fall!$1:$1,FALSE))="","",INDEX(Fall!$1:$1048576,MATCH(All!$A393,Fall!$A:$A,FALSE),MATCH(All!I$1,Fall!$1:$1,FALSE))),"")</f>
        <v>3A</v>
      </c>
      <c r="J393" t="str">
        <f>IFERROR(IF(INDEX(Fall!$1:$1048576,MATCH(All!$A393,Fall!$A:$A,FALSE),MATCH(All!J$1,Fall!$1:$1,FALSE))="","",INDEX(Fall!$1:$1048576,MATCH(All!$A393,Fall!$A:$A,FALSE),MATCH(All!J$1,Fall!$1:$1,FALSE))),"")</f>
        <v>2A</v>
      </c>
      <c r="K393" t="str">
        <f>IFERROR(IF(INDEX(Fall!$1:$1048576,MATCH(All!$A393,Fall!$A:$A,FALSE),MATCH(All!K$1,Fall!$1:$1,FALSE))="","",INDEX(Fall!$1:$1048576,MATCH(All!$A393,Fall!$A:$A,FALSE),MATCH(All!K$1,Fall!$1:$1,FALSE))),"")</f>
        <v>3A</v>
      </c>
      <c r="L393" t="str">
        <f>IFERROR(IF(INDEX(Fall!$1:$1048576,MATCH(All!$A393,Fall!$A:$A,FALSE),MATCH(All!L$1,Fall!$1:$1,FALSE))="","",INDEX(Fall!$1:$1048576,MATCH(All!$A393,Fall!$A:$A,FALSE),MATCH(All!L$1,Fall!$1:$1,FALSE))),"")</f>
        <v>2A</v>
      </c>
      <c r="M393" t="str">
        <f>IFERROR(IF(INDEX(Fall!$1:$1048576,MATCH(All!$A393,Fall!$A:$A,FALSE),MATCH(All!M$1,Fall!$1:$1,FALSE))="","",INDEX(Fall!$1:$1048576,MATCH(All!$A393,Fall!$A:$A,FALSE),MATCH(All!M$1,Fall!$1:$1,FALSE))),"")</f>
        <v>4A</v>
      </c>
      <c r="O393">
        <f>IFERROR(IF(INDEX(Winter!$1:$1048576,MATCH(All!$A393,Winter!$A:$A,FALSE),MATCH(All!O$1,Winter!$1:$1,FALSE))="","",INDEX(Winter!$1:$1048576,MATCH(All!$A393,Winter!$A:$A,FALSE),MATCH(All!O$1,Winter!$1:$1,FALSE))),"")</f>
        <v>3398</v>
      </c>
      <c r="P393" t="str">
        <f>IFERROR(IF(INDEX(Winter!$1:$1048576,MATCH(All!$A393,Winter!$A:$A,FALSE),MATCH(All!P$1,Winter!$1:$1,FALSE))="","",INDEX(Winter!$1:$1048576,MATCH(All!$A393,Winter!$A:$A,FALSE),MATCH(All!P$1,Winter!$1:$1,FALSE))),"")</f>
        <v>4A</v>
      </c>
      <c r="Q393" t="str">
        <f>IFERROR(IF(INDEX(Winter!$1:$1048576,MATCH(All!$A393,Winter!$A:$A,FALSE),MATCH(All!Q$1,Winter!$1:$1,FALSE))="","",INDEX(Winter!$1:$1048576,MATCH(All!$A393,Winter!$A:$A,FALSE),MATCH(All!Q$1,Winter!$1:$1,FALSE))),"")</f>
        <v>4A</v>
      </c>
      <c r="R393" t="str">
        <f>IFERROR(IF(INDEX(Winter!$1:$1048576,MATCH(All!$A393,Winter!$A:$A,FALSE),MATCH(All!R$1,Winter!$1:$1,FALSE))="","",INDEX(Winter!$1:$1048576,MATCH(All!$A393,Winter!$A:$A,FALSE),MATCH(All!R$1,Winter!$1:$1,FALSE))),"")</f>
        <v>C</v>
      </c>
      <c r="S393" t="str">
        <f>IFERROR(IF(INDEX(Winter!$1:$1048576,MATCH(All!$A393,Winter!$A:$A,FALSE),MATCH(All!S$1,Winter!$1:$1,FALSE))="","",INDEX(Winter!$1:$1048576,MATCH(All!$A393,Winter!$A:$A,FALSE),MATCH(All!S$1,Winter!$1:$1,FALSE))),"")</f>
        <v>3A</v>
      </c>
      <c r="T393" t="str">
        <f>IFERROR(IF(INDEX(Winter!$1:$1048576,MATCH(All!$A393,Winter!$A:$A,FALSE),MATCH(All!T$1,Winter!$1:$1,FALSE))="","",INDEX(Winter!$1:$1048576,MATCH(All!$A393,Winter!$A:$A,FALSE),MATCH(All!T$1,Winter!$1:$1,FALSE))),"")</f>
        <v>2A</v>
      </c>
      <c r="U393" t="str">
        <f>IFERROR(IF(INDEX(Winter!$1:$1048576,MATCH(All!$A393,Winter!$A:$A,FALSE),MATCH(All!U$1,Winter!$1:$1,FALSE))="","",INDEX(Winter!$1:$1048576,MATCH(All!$A393,Winter!$A:$A,FALSE),MATCH(All!U$1,Winter!$1:$1,FALSE))),"")</f>
        <v>3A</v>
      </c>
      <c r="W393">
        <f>IFERROR(IF(INDEX(Spring!$1:$1048576,MATCH(All!$A393,Spring!$A:$A,FALSE),MATCH(All!W$1,Spring!$1:$1,FALSE))="","",INDEX(Spring!$1:$1048576,MATCH(All!$A393,Spring!$A:$A,FALSE),MATCH(All!W$1,Spring!$1:$1,FALSE))),"")</f>
        <v>3398</v>
      </c>
      <c r="X393" t="str">
        <f>IFERROR(IF(INDEX(Spring!$1:$1048576,MATCH(All!$A393,Spring!$A:$A,FALSE),MATCH(All!X$1,Spring!$1:$1,FALSE))="","",INDEX(Spring!$1:$1048576,MATCH(All!$A393,Spring!$A:$A,FALSE),MATCH(All!X$1,Spring!$1:$1,FALSE))),"")</f>
        <v>4A</v>
      </c>
      <c r="Y393" t="str">
        <f>IFERROR(IF(INDEX(Spring!$1:$1048576,MATCH(All!$A393,Spring!$A:$A,FALSE),MATCH(All!Y$1,Spring!$1:$1,FALSE))="","",INDEX(Spring!$1:$1048576,MATCH(All!$A393,Spring!$A:$A,FALSE),MATCH(All!Y$1,Spring!$1:$1,FALSE))),"")</f>
        <v>4A</v>
      </c>
      <c r="Z393" t="str">
        <f>IFERROR(IF(INDEX(Spring!$1:$1048576,MATCH(All!$A393,Spring!$A:$A,FALSE),MATCH(All!Z$1,Spring!$1:$1,FALSE))="","",INDEX(Spring!$1:$1048576,MATCH(All!$A393,Spring!$A:$A,FALSE),MATCH(All!Z$1,Spring!$1:$1,FALSE))),"")</f>
        <v>3A</v>
      </c>
      <c r="AA393" t="str">
        <f>IFERROR(IF(INDEX(Spring!$1:$1048576,MATCH(All!$A393,Spring!$A:$A,FALSE),MATCH(All!AA$1,Spring!$1:$1,FALSE))="","",INDEX(Spring!$1:$1048576,MATCH(All!$A393,Spring!$A:$A,FALSE),MATCH(All!AA$1,Spring!$1:$1,FALSE))),"")</f>
        <v>2A</v>
      </c>
      <c r="AB393" t="str">
        <f>IFERROR(IF(INDEX(Spring!$1:$1048576,MATCH(All!$A393,Spring!$A:$A,FALSE),MATCH(All!AB$1,Spring!$1:$1,FALSE))="","",INDEX(Spring!$1:$1048576,MATCH(All!$A393,Spring!$A:$A,FALSE),MATCH(All!AB$1,Spring!$1:$1,FALSE))),"")</f>
        <v>3A</v>
      </c>
      <c r="AC393" t="str">
        <f>IFERROR(IF(INDEX(Spring!$1:$1048576,MATCH(All!$A393,Spring!$A:$A,FALSE),MATCH(All!AC$1,Spring!$1:$1,FALSE))="","",INDEX(Spring!$1:$1048576,MATCH(All!$A393,Spring!$A:$A,FALSE),MATCH(All!AC$1,Spring!$1:$1,FALSE))),"")</f>
        <v>3A</v>
      </c>
      <c r="AD393" t="str">
        <f>IFERROR(VLOOKUP(A393,'Flag Football'!A:A,1,FALSE),"")</f>
        <v>Gurnee (Warren)</v>
      </c>
      <c r="AE393" t="str">
        <f t="shared" si="6"/>
        <v>1A</v>
      </c>
    </row>
    <row r="394" spans="1:31" ht="15.75" thickBot="1" x14ac:dyDescent="0.3">
      <c r="A394" s="18" t="s">
        <v>482</v>
      </c>
      <c r="B394" s="38">
        <f>IFERROR(VLOOKUP(A394,'Public v Private'!A:G,3,FALSE),"")</f>
        <v>0</v>
      </c>
      <c r="C394" s="38">
        <f>IFERROR(VLOOKUP(A394,'Public v Private'!A:G,4,FALSE),"")</f>
        <v>0</v>
      </c>
      <c r="D394" s="38">
        <f>IFERROR(VLOOKUP(A394,'Public v Private'!A:G,5,FALSE),"")</f>
        <v>0</v>
      </c>
      <c r="E394" s="38"/>
      <c r="F394" s="40">
        <f>IFERROR(INDEX(Fall!$1:$1048576,MATCH(All!$A394,Fall!$A:$A,FALSE),MATCH(All!F$1,Fall!$1:$1,FALSE)),"N/A")</f>
        <v>189</v>
      </c>
      <c r="G394" t="str">
        <f>IFERROR(IF(INDEX(Fall!$1:$1048576,MATCH(All!$A394,Fall!$A:$A,FALSE),MATCH(All!G$1,Fall!$1:$1,FALSE))="","",INDEX(Fall!$1:$1048576,MATCH(All!$A394,Fall!$A:$A,FALSE),MATCH(All!G$1,Fall!$1:$1,FALSE))),"")</f>
        <v>1A</v>
      </c>
      <c r="H394" t="str">
        <f>IFERROR(IF(INDEX(Fall!$1:$1048576,MATCH(All!$A394,Fall!$A:$A,FALSE),MATCH(All!H$1,Fall!$1:$1,FALSE))="","",INDEX(Fall!$1:$1048576,MATCH(All!$A394,Fall!$A:$A,FALSE),MATCH(All!H$1,Fall!$1:$1,FALSE))),"")</f>
        <v>1A</v>
      </c>
      <c r="I394" t="str">
        <f>IFERROR(IF(INDEX(Fall!$1:$1048576,MATCH(All!$A394,Fall!$A:$A,FALSE),MATCH(All!I$1,Fall!$1:$1,FALSE))="","",INDEX(Fall!$1:$1048576,MATCH(All!$A394,Fall!$A:$A,FALSE),MATCH(All!I$1,Fall!$1:$1,FALSE))),"")</f>
        <v>1A</v>
      </c>
      <c r="J394" t="str">
        <f>IFERROR(IF(INDEX(Fall!$1:$1048576,MATCH(All!$A394,Fall!$A:$A,FALSE),MATCH(All!J$1,Fall!$1:$1,FALSE))="","",INDEX(Fall!$1:$1048576,MATCH(All!$A394,Fall!$A:$A,FALSE),MATCH(All!J$1,Fall!$1:$1,FALSE))),"")</f>
        <v>1A</v>
      </c>
      <c r="K394" t="str">
        <f>IFERROR(IF(INDEX(Fall!$1:$1048576,MATCH(All!$A394,Fall!$A:$A,FALSE),MATCH(All!K$1,Fall!$1:$1,FALSE))="","",INDEX(Fall!$1:$1048576,MATCH(All!$A394,Fall!$A:$A,FALSE),MATCH(All!K$1,Fall!$1:$1,FALSE))),"")</f>
        <v/>
      </c>
      <c r="L394" t="str">
        <f>IFERROR(IF(INDEX(Fall!$1:$1048576,MATCH(All!$A394,Fall!$A:$A,FALSE),MATCH(All!L$1,Fall!$1:$1,FALSE))="","",INDEX(Fall!$1:$1048576,MATCH(All!$A394,Fall!$A:$A,FALSE),MATCH(All!L$1,Fall!$1:$1,FALSE))),"")</f>
        <v/>
      </c>
      <c r="M394" t="str">
        <f>IFERROR(IF(INDEX(Fall!$1:$1048576,MATCH(All!$A394,Fall!$A:$A,FALSE),MATCH(All!M$1,Fall!$1:$1,FALSE))="","",INDEX(Fall!$1:$1048576,MATCH(All!$A394,Fall!$A:$A,FALSE),MATCH(All!M$1,Fall!$1:$1,FALSE))),"")</f>
        <v/>
      </c>
      <c r="O394">
        <f>IFERROR(IF(INDEX(Winter!$1:$1048576,MATCH(All!$A394,Winter!$A:$A,FALSE),MATCH(All!O$1,Winter!$1:$1,FALSE))="","",INDEX(Winter!$1:$1048576,MATCH(All!$A394,Winter!$A:$A,FALSE),MATCH(All!O$1,Winter!$1:$1,FALSE))),"")</f>
        <v>189</v>
      </c>
      <c r="P394" t="str">
        <f>IFERROR(IF(INDEX(Winter!$1:$1048576,MATCH(All!$A394,Winter!$A:$A,FALSE),MATCH(All!P$1,Winter!$1:$1,FALSE))="","",INDEX(Winter!$1:$1048576,MATCH(All!$A394,Winter!$A:$A,FALSE),MATCH(All!P$1,Winter!$1:$1,FALSE))),"")</f>
        <v/>
      </c>
      <c r="Q394" t="str">
        <f>IFERROR(IF(INDEX(Winter!$1:$1048576,MATCH(All!$A394,Winter!$A:$A,FALSE),MATCH(All!Q$1,Winter!$1:$1,FALSE))="","",INDEX(Winter!$1:$1048576,MATCH(All!$A394,Winter!$A:$A,FALSE),MATCH(All!Q$1,Winter!$1:$1,FALSE))),"")</f>
        <v>2A</v>
      </c>
      <c r="R394" t="str">
        <f>IFERROR(IF(INDEX(Winter!$1:$1048576,MATCH(All!$A394,Winter!$A:$A,FALSE),MATCH(All!R$1,Winter!$1:$1,FALSE))="","",INDEX(Winter!$1:$1048576,MATCH(All!$A394,Winter!$A:$A,FALSE),MATCH(All!R$1,Winter!$1:$1,FALSE))),"")</f>
        <v/>
      </c>
      <c r="S394" t="str">
        <f>IFERROR(IF(INDEX(Winter!$1:$1048576,MATCH(All!$A394,Winter!$A:$A,FALSE),MATCH(All!S$1,Winter!$1:$1,FALSE))="","",INDEX(Winter!$1:$1048576,MATCH(All!$A394,Winter!$A:$A,FALSE),MATCH(All!S$1,Winter!$1:$1,FALSE))),"")</f>
        <v/>
      </c>
      <c r="T394" t="str">
        <f>IFERROR(IF(INDEX(Winter!$1:$1048576,MATCH(All!$A394,Winter!$A:$A,FALSE),MATCH(All!T$1,Winter!$1:$1,FALSE))="","",INDEX(Winter!$1:$1048576,MATCH(All!$A394,Winter!$A:$A,FALSE),MATCH(All!T$1,Winter!$1:$1,FALSE))),"")</f>
        <v>1A</v>
      </c>
      <c r="U394" t="str">
        <f>IFERROR(IF(INDEX(Winter!$1:$1048576,MATCH(All!$A394,Winter!$A:$A,FALSE),MATCH(All!U$1,Winter!$1:$1,FALSE))="","",INDEX(Winter!$1:$1048576,MATCH(All!$A394,Winter!$A:$A,FALSE),MATCH(All!U$1,Winter!$1:$1,FALSE))),"")</f>
        <v/>
      </c>
      <c r="W394">
        <f>IFERROR(IF(INDEX(Spring!$1:$1048576,MATCH(All!$A394,Spring!$A:$A,FALSE),MATCH(All!W$1,Spring!$1:$1,FALSE))="","",INDEX(Spring!$1:$1048576,MATCH(All!$A394,Spring!$A:$A,FALSE),MATCH(All!W$1,Spring!$1:$1,FALSE))),"")</f>
        <v>189</v>
      </c>
      <c r="X394" t="str">
        <f>IFERROR(IF(INDEX(Spring!$1:$1048576,MATCH(All!$A394,Spring!$A:$A,FALSE),MATCH(All!X$1,Spring!$1:$1,FALSE))="","",INDEX(Spring!$1:$1048576,MATCH(All!$A394,Spring!$A:$A,FALSE),MATCH(All!X$1,Spring!$1:$1,FALSE))),"")</f>
        <v>2A</v>
      </c>
      <c r="Y394" t="str">
        <f>IFERROR(IF(INDEX(Spring!$1:$1048576,MATCH(All!$A394,Spring!$A:$A,FALSE),MATCH(All!Y$1,Spring!$1:$1,FALSE))="","",INDEX(Spring!$1:$1048576,MATCH(All!$A394,Spring!$A:$A,FALSE),MATCH(All!Y$1,Spring!$1:$1,FALSE))),"")</f>
        <v/>
      </c>
      <c r="Z394" t="str">
        <f>IFERROR(IF(INDEX(Spring!$1:$1048576,MATCH(All!$A394,Spring!$A:$A,FALSE),MATCH(All!Z$1,Spring!$1:$1,FALSE))="","",INDEX(Spring!$1:$1048576,MATCH(All!$A394,Spring!$A:$A,FALSE),MATCH(All!Z$1,Spring!$1:$1,FALSE))),"")</f>
        <v/>
      </c>
      <c r="AA394" t="str">
        <f>IFERROR(IF(INDEX(Spring!$1:$1048576,MATCH(All!$A394,Spring!$A:$A,FALSE),MATCH(All!AA$1,Spring!$1:$1,FALSE))="","",INDEX(Spring!$1:$1048576,MATCH(All!$A394,Spring!$A:$A,FALSE),MATCH(All!AA$1,Spring!$1:$1,FALSE))),"")</f>
        <v/>
      </c>
      <c r="AB394" t="str">
        <f>IFERROR(IF(INDEX(Spring!$1:$1048576,MATCH(All!$A394,Spring!$A:$A,FALSE),MATCH(All!AB$1,Spring!$1:$1,FALSE))="","",INDEX(Spring!$1:$1048576,MATCH(All!$A394,Spring!$A:$A,FALSE),MATCH(All!AB$1,Spring!$1:$1,FALSE))),"")</f>
        <v/>
      </c>
      <c r="AC394" t="str">
        <f>IFERROR(IF(INDEX(Spring!$1:$1048576,MATCH(All!$A394,Spring!$A:$A,FALSE),MATCH(All!AC$1,Spring!$1:$1,FALSE))="","",INDEX(Spring!$1:$1048576,MATCH(All!$A394,Spring!$A:$A,FALSE),MATCH(All!AC$1,Spring!$1:$1,FALSE))),"")</f>
        <v/>
      </c>
      <c r="AD394" t="str">
        <f>IFERROR(VLOOKUP(A394,'Flag Football'!A:A,1,FALSE),"")</f>
        <v/>
      </c>
      <c r="AE394" t="str">
        <f t="shared" si="6"/>
        <v/>
      </c>
    </row>
    <row r="395" spans="1:31" ht="15.75" thickBot="1" x14ac:dyDescent="0.3">
      <c r="A395" s="20" t="s">
        <v>483</v>
      </c>
      <c r="B395" s="38">
        <f>IFERROR(VLOOKUP(A395,'Public v Private'!A:G,3,FALSE),"")</f>
        <v>0</v>
      </c>
      <c r="C395" s="38">
        <f>IFERROR(VLOOKUP(A395,'Public v Private'!A:G,4,FALSE),"")</f>
        <v>0</v>
      </c>
      <c r="D395" s="38">
        <f>IFERROR(VLOOKUP(A395,'Public v Private'!A:G,5,FALSE),"")</f>
        <v>0</v>
      </c>
      <c r="E395" s="38"/>
      <c r="F395" s="40">
        <f>IFERROR(INDEX(Fall!$1:$1048576,MATCH(All!$A395,Fall!$A:$A,FALSE),MATCH(All!F$1,Fall!$1:$1,FALSE)),"N/A")</f>
        <v>1994</v>
      </c>
      <c r="G395" t="str">
        <f>IFERROR(IF(INDEX(Fall!$1:$1048576,MATCH(All!$A395,Fall!$A:$A,FALSE),MATCH(All!G$1,Fall!$1:$1,FALSE))="","",INDEX(Fall!$1:$1048576,MATCH(All!$A395,Fall!$A:$A,FALSE),MATCH(All!G$1,Fall!$1:$1,FALSE))),"")</f>
        <v>3A</v>
      </c>
      <c r="H395" t="str">
        <f>IFERROR(IF(INDEX(Fall!$1:$1048576,MATCH(All!$A395,Fall!$A:$A,FALSE),MATCH(All!H$1,Fall!$1:$1,FALSE))="","",INDEX(Fall!$1:$1048576,MATCH(All!$A395,Fall!$A:$A,FALSE),MATCH(All!H$1,Fall!$1:$1,FALSE))),"")</f>
        <v>3A</v>
      </c>
      <c r="I395" t="str">
        <f>IFERROR(IF(INDEX(Fall!$1:$1048576,MATCH(All!$A395,Fall!$A:$A,FALSE),MATCH(All!I$1,Fall!$1:$1,FALSE))="","",INDEX(Fall!$1:$1048576,MATCH(All!$A395,Fall!$A:$A,FALSE),MATCH(All!I$1,Fall!$1:$1,FALSE))),"")</f>
        <v>3A</v>
      </c>
      <c r="J395" t="str">
        <f>IFERROR(IF(INDEX(Fall!$1:$1048576,MATCH(All!$A395,Fall!$A:$A,FALSE),MATCH(All!J$1,Fall!$1:$1,FALSE))="","",INDEX(Fall!$1:$1048576,MATCH(All!$A395,Fall!$A:$A,FALSE),MATCH(All!J$1,Fall!$1:$1,FALSE))),"")</f>
        <v>2A</v>
      </c>
      <c r="K395" t="str">
        <f>IFERROR(IF(INDEX(Fall!$1:$1048576,MATCH(All!$A395,Fall!$A:$A,FALSE),MATCH(All!K$1,Fall!$1:$1,FALSE))="","",INDEX(Fall!$1:$1048576,MATCH(All!$A395,Fall!$A:$A,FALSE),MATCH(All!K$1,Fall!$1:$1,FALSE))),"")</f>
        <v>3A</v>
      </c>
      <c r="L395" t="str">
        <f>IFERROR(IF(INDEX(Fall!$1:$1048576,MATCH(All!$A395,Fall!$A:$A,FALSE),MATCH(All!L$1,Fall!$1:$1,FALSE))="","",INDEX(Fall!$1:$1048576,MATCH(All!$A395,Fall!$A:$A,FALSE),MATCH(All!L$1,Fall!$1:$1,FALSE))),"")</f>
        <v>2A</v>
      </c>
      <c r="M395" t="str">
        <f>IFERROR(IF(INDEX(Fall!$1:$1048576,MATCH(All!$A395,Fall!$A:$A,FALSE),MATCH(All!M$1,Fall!$1:$1,FALSE))="","",INDEX(Fall!$1:$1048576,MATCH(All!$A395,Fall!$A:$A,FALSE),MATCH(All!M$1,Fall!$1:$1,FALSE))),"")</f>
        <v>4A</v>
      </c>
      <c r="O395">
        <f>IFERROR(IF(INDEX(Winter!$1:$1048576,MATCH(All!$A395,Winter!$A:$A,FALSE),MATCH(All!O$1,Winter!$1:$1,FALSE))="","",INDEX(Winter!$1:$1048576,MATCH(All!$A395,Winter!$A:$A,FALSE),MATCH(All!O$1,Winter!$1:$1,FALSE))),"")</f>
        <v>1994</v>
      </c>
      <c r="P395" t="str">
        <f>IFERROR(IF(INDEX(Winter!$1:$1048576,MATCH(All!$A395,Winter!$A:$A,FALSE),MATCH(All!P$1,Winter!$1:$1,FALSE))="","",INDEX(Winter!$1:$1048576,MATCH(All!$A395,Winter!$A:$A,FALSE),MATCH(All!P$1,Winter!$1:$1,FALSE))),"")</f>
        <v>4A</v>
      </c>
      <c r="Q395" t="str">
        <f>IFERROR(IF(INDEX(Winter!$1:$1048576,MATCH(All!$A395,Winter!$A:$A,FALSE),MATCH(All!Q$1,Winter!$1:$1,FALSE))="","",INDEX(Winter!$1:$1048576,MATCH(All!$A395,Winter!$A:$A,FALSE),MATCH(All!Q$1,Winter!$1:$1,FALSE))),"")</f>
        <v>4A</v>
      </c>
      <c r="R395" t="str">
        <f>IFERROR(IF(INDEX(Winter!$1:$1048576,MATCH(All!$A395,Winter!$A:$A,FALSE),MATCH(All!R$1,Winter!$1:$1,FALSE))="","",INDEX(Winter!$1:$1048576,MATCH(All!$A395,Winter!$A:$A,FALSE),MATCH(All!R$1,Winter!$1:$1,FALSE))),"")</f>
        <v>3A</v>
      </c>
      <c r="S395" t="str">
        <f>IFERROR(IF(INDEX(Winter!$1:$1048576,MATCH(All!$A395,Winter!$A:$A,FALSE),MATCH(All!S$1,Winter!$1:$1,FALSE))="","",INDEX(Winter!$1:$1048576,MATCH(All!$A395,Winter!$A:$A,FALSE),MATCH(All!S$1,Winter!$1:$1,FALSE))),"")</f>
        <v>3A</v>
      </c>
      <c r="T395" t="str">
        <f>IFERROR(IF(INDEX(Winter!$1:$1048576,MATCH(All!$A395,Winter!$A:$A,FALSE),MATCH(All!T$1,Winter!$1:$1,FALSE))="","",INDEX(Winter!$1:$1048576,MATCH(All!$A395,Winter!$A:$A,FALSE),MATCH(All!T$1,Winter!$1:$1,FALSE))),"")</f>
        <v>2A</v>
      </c>
      <c r="U395" t="str">
        <f>IFERROR(IF(INDEX(Winter!$1:$1048576,MATCH(All!$A395,Winter!$A:$A,FALSE),MATCH(All!U$1,Winter!$1:$1,FALSE))="","",INDEX(Winter!$1:$1048576,MATCH(All!$A395,Winter!$A:$A,FALSE),MATCH(All!U$1,Winter!$1:$1,FALSE))),"")</f>
        <v>3A</v>
      </c>
      <c r="W395">
        <f>IFERROR(IF(INDEX(Spring!$1:$1048576,MATCH(All!$A395,Spring!$A:$A,FALSE),MATCH(All!W$1,Spring!$1:$1,FALSE))="","",INDEX(Spring!$1:$1048576,MATCH(All!$A395,Spring!$A:$A,FALSE),MATCH(All!W$1,Spring!$1:$1,FALSE))),"")</f>
        <v>1994</v>
      </c>
      <c r="X395" t="str">
        <f>IFERROR(IF(INDEX(Spring!$1:$1048576,MATCH(All!$A395,Spring!$A:$A,FALSE),MATCH(All!X$1,Spring!$1:$1,FALSE))="","",INDEX(Spring!$1:$1048576,MATCH(All!$A395,Spring!$A:$A,FALSE),MATCH(All!X$1,Spring!$1:$1,FALSE))),"")</f>
        <v>4A</v>
      </c>
      <c r="Y395" t="str">
        <f>IFERROR(IF(INDEX(Spring!$1:$1048576,MATCH(All!$A395,Spring!$A:$A,FALSE),MATCH(All!Y$1,Spring!$1:$1,FALSE))="","",INDEX(Spring!$1:$1048576,MATCH(All!$A395,Spring!$A:$A,FALSE),MATCH(All!Y$1,Spring!$1:$1,FALSE))),"")</f>
        <v>4A</v>
      </c>
      <c r="Z395" t="str">
        <f>IFERROR(IF(INDEX(Spring!$1:$1048576,MATCH(All!$A395,Spring!$A:$A,FALSE),MATCH(All!Z$1,Spring!$1:$1,FALSE))="","",INDEX(Spring!$1:$1048576,MATCH(All!$A395,Spring!$A:$A,FALSE),MATCH(All!Z$1,Spring!$1:$1,FALSE))),"")</f>
        <v>3A</v>
      </c>
      <c r="AA395" t="str">
        <f>IFERROR(IF(INDEX(Spring!$1:$1048576,MATCH(All!$A395,Spring!$A:$A,FALSE),MATCH(All!AA$1,Spring!$1:$1,FALSE))="","",INDEX(Spring!$1:$1048576,MATCH(All!$A395,Spring!$A:$A,FALSE),MATCH(All!AA$1,Spring!$1:$1,FALSE))),"")</f>
        <v>2A</v>
      </c>
      <c r="AB395" t="str">
        <f>IFERROR(IF(INDEX(Spring!$1:$1048576,MATCH(All!$A395,Spring!$A:$A,FALSE),MATCH(All!AB$1,Spring!$1:$1,FALSE))="","",INDEX(Spring!$1:$1048576,MATCH(All!$A395,Spring!$A:$A,FALSE),MATCH(All!AB$1,Spring!$1:$1,FALSE))),"")</f>
        <v>3A</v>
      </c>
      <c r="AC395" t="str">
        <f>IFERROR(IF(INDEX(Spring!$1:$1048576,MATCH(All!$A395,Spring!$A:$A,FALSE),MATCH(All!AC$1,Spring!$1:$1,FALSE))="","",INDEX(Spring!$1:$1048576,MATCH(All!$A395,Spring!$A:$A,FALSE),MATCH(All!AC$1,Spring!$1:$1,FALSE))),"")</f>
        <v>3A</v>
      </c>
      <c r="AD395" t="str">
        <f>IFERROR(VLOOKUP(A395,'Flag Football'!A:A,1,FALSE),"")</f>
        <v>Hampshire</v>
      </c>
      <c r="AE395" t="str">
        <f t="shared" si="6"/>
        <v>1A</v>
      </c>
    </row>
    <row r="396" spans="1:31" ht="15.75" thickBot="1" x14ac:dyDescent="0.3">
      <c r="A396" s="18" t="s">
        <v>484</v>
      </c>
      <c r="B396" s="38">
        <f>IFERROR(VLOOKUP(A396,'Public v Private'!A:G,3,FALSE),"")</f>
        <v>0</v>
      </c>
      <c r="C396" s="38">
        <f>IFERROR(VLOOKUP(A396,'Public v Private'!A:G,4,FALSE),"")</f>
        <v>0</v>
      </c>
      <c r="D396" s="38">
        <f>IFERROR(VLOOKUP(A396,'Public v Private'!A:G,5,FALSE),"")</f>
        <v>0</v>
      </c>
      <c r="E396" s="38"/>
      <c r="F396" s="40">
        <f>IFERROR(INDEX(Fall!$1:$1048576,MATCH(All!$A396,Fall!$A:$A,FALSE),MATCH(All!F$1,Fall!$1:$1,FALSE)),"N/A")</f>
        <v>126</v>
      </c>
      <c r="G396" t="str">
        <f>IFERROR(IF(INDEX(Fall!$1:$1048576,MATCH(All!$A396,Fall!$A:$A,FALSE),MATCH(All!G$1,Fall!$1:$1,FALSE))="","",INDEX(Fall!$1:$1048576,MATCH(All!$A396,Fall!$A:$A,FALSE),MATCH(All!G$1,Fall!$1:$1,FALSE))),"")</f>
        <v/>
      </c>
      <c r="H396" t="str">
        <f>IFERROR(IF(INDEX(Fall!$1:$1048576,MATCH(All!$A396,Fall!$A:$A,FALSE),MATCH(All!H$1,Fall!$1:$1,FALSE))="","",INDEX(Fall!$1:$1048576,MATCH(All!$A396,Fall!$A:$A,FALSE),MATCH(All!H$1,Fall!$1:$1,FALSE))),"")</f>
        <v/>
      </c>
      <c r="I396" t="str">
        <f>IFERROR(IF(INDEX(Fall!$1:$1048576,MATCH(All!$A396,Fall!$A:$A,FALSE),MATCH(All!I$1,Fall!$1:$1,FALSE))="","",INDEX(Fall!$1:$1048576,MATCH(All!$A396,Fall!$A:$A,FALSE),MATCH(All!I$1,Fall!$1:$1,FALSE))),"")</f>
        <v>1A</v>
      </c>
      <c r="J396" t="str">
        <f>IFERROR(IF(INDEX(Fall!$1:$1048576,MATCH(All!$A396,Fall!$A:$A,FALSE),MATCH(All!J$1,Fall!$1:$1,FALSE))="","",INDEX(Fall!$1:$1048576,MATCH(All!$A396,Fall!$A:$A,FALSE),MATCH(All!J$1,Fall!$1:$1,FALSE))),"")</f>
        <v>1A</v>
      </c>
      <c r="K396" t="str">
        <f>IFERROR(IF(INDEX(Fall!$1:$1048576,MATCH(All!$A396,Fall!$A:$A,FALSE),MATCH(All!K$1,Fall!$1:$1,FALSE))="","",INDEX(Fall!$1:$1048576,MATCH(All!$A396,Fall!$A:$A,FALSE),MATCH(All!K$1,Fall!$1:$1,FALSE))),"")</f>
        <v/>
      </c>
      <c r="L396" t="str">
        <f>IFERROR(IF(INDEX(Fall!$1:$1048576,MATCH(All!$A396,Fall!$A:$A,FALSE),MATCH(All!L$1,Fall!$1:$1,FALSE))="","",INDEX(Fall!$1:$1048576,MATCH(All!$A396,Fall!$A:$A,FALSE),MATCH(All!L$1,Fall!$1:$1,FALSE))),"")</f>
        <v/>
      </c>
      <c r="M396" t="str">
        <f>IFERROR(IF(INDEX(Fall!$1:$1048576,MATCH(All!$A396,Fall!$A:$A,FALSE),MATCH(All!M$1,Fall!$1:$1,FALSE))="","",INDEX(Fall!$1:$1048576,MATCH(All!$A396,Fall!$A:$A,FALSE),MATCH(All!M$1,Fall!$1:$1,FALSE))),"")</f>
        <v>1A</v>
      </c>
      <c r="O396">
        <f>IFERROR(IF(INDEX(Winter!$1:$1048576,MATCH(All!$A396,Winter!$A:$A,FALSE),MATCH(All!O$1,Winter!$1:$1,FALSE))="","",INDEX(Winter!$1:$1048576,MATCH(All!$A396,Winter!$A:$A,FALSE),MATCH(All!O$1,Winter!$1:$1,FALSE))),"")</f>
        <v>126</v>
      </c>
      <c r="P396" t="str">
        <f>IFERROR(IF(INDEX(Winter!$1:$1048576,MATCH(All!$A396,Winter!$A:$A,FALSE),MATCH(All!P$1,Winter!$1:$1,FALSE))="","",INDEX(Winter!$1:$1048576,MATCH(All!$A396,Winter!$A:$A,FALSE),MATCH(All!P$1,Winter!$1:$1,FALSE))),"")</f>
        <v>1A</v>
      </c>
      <c r="Q396" t="str">
        <f>IFERROR(IF(INDEX(Winter!$1:$1048576,MATCH(All!$A396,Winter!$A:$A,FALSE),MATCH(All!Q$1,Winter!$1:$1,FALSE))="","",INDEX(Winter!$1:$1048576,MATCH(All!$A396,Winter!$A:$A,FALSE),MATCH(All!Q$1,Winter!$1:$1,FALSE))),"")</f>
        <v>1A</v>
      </c>
      <c r="R396" t="str">
        <f>IFERROR(IF(INDEX(Winter!$1:$1048576,MATCH(All!$A396,Winter!$A:$A,FALSE),MATCH(All!R$1,Winter!$1:$1,FALSE))="","",INDEX(Winter!$1:$1048576,MATCH(All!$A396,Winter!$A:$A,FALSE),MATCH(All!R$1,Winter!$1:$1,FALSE))),"")</f>
        <v/>
      </c>
      <c r="S396" t="str">
        <f>IFERROR(IF(INDEX(Winter!$1:$1048576,MATCH(All!$A396,Winter!$A:$A,FALSE),MATCH(All!S$1,Winter!$1:$1,FALSE))="","",INDEX(Winter!$1:$1048576,MATCH(All!$A396,Winter!$A:$A,FALSE),MATCH(All!S$1,Winter!$1:$1,FALSE))),"")</f>
        <v/>
      </c>
      <c r="T396" t="str">
        <f>IFERROR(IF(INDEX(Winter!$1:$1048576,MATCH(All!$A396,Winter!$A:$A,FALSE),MATCH(All!T$1,Winter!$1:$1,FALSE))="","",INDEX(Winter!$1:$1048576,MATCH(All!$A396,Winter!$A:$A,FALSE),MATCH(All!T$1,Winter!$1:$1,FALSE))),"")</f>
        <v>1A</v>
      </c>
      <c r="U396" t="str">
        <f>IFERROR(IF(INDEX(Winter!$1:$1048576,MATCH(All!$A396,Winter!$A:$A,FALSE),MATCH(All!U$1,Winter!$1:$1,FALSE))="","",INDEX(Winter!$1:$1048576,MATCH(All!$A396,Winter!$A:$A,FALSE),MATCH(All!U$1,Winter!$1:$1,FALSE))),"")</f>
        <v/>
      </c>
      <c r="W396">
        <f>IFERROR(IF(INDEX(Spring!$1:$1048576,MATCH(All!$A396,Spring!$A:$A,FALSE),MATCH(All!W$1,Spring!$1:$1,FALSE))="","",INDEX(Spring!$1:$1048576,MATCH(All!$A396,Spring!$A:$A,FALSE),MATCH(All!W$1,Spring!$1:$1,FALSE))),"")</f>
        <v>126</v>
      </c>
      <c r="X396" t="str">
        <f>IFERROR(IF(INDEX(Spring!$1:$1048576,MATCH(All!$A396,Spring!$A:$A,FALSE),MATCH(All!X$1,Spring!$1:$1,FALSE))="","",INDEX(Spring!$1:$1048576,MATCH(All!$A396,Spring!$A:$A,FALSE),MATCH(All!X$1,Spring!$1:$1,FALSE))),"")</f>
        <v>1A</v>
      </c>
      <c r="Y396" t="str">
        <f>IFERROR(IF(INDEX(Spring!$1:$1048576,MATCH(All!$A396,Spring!$A:$A,FALSE),MATCH(All!Y$1,Spring!$1:$1,FALSE))="","",INDEX(Spring!$1:$1048576,MATCH(All!$A396,Spring!$A:$A,FALSE),MATCH(All!Y$1,Spring!$1:$1,FALSE))),"")</f>
        <v/>
      </c>
      <c r="Z396" t="str">
        <f>IFERROR(IF(INDEX(Spring!$1:$1048576,MATCH(All!$A396,Spring!$A:$A,FALSE),MATCH(All!Z$1,Spring!$1:$1,FALSE))="","",INDEX(Spring!$1:$1048576,MATCH(All!$A396,Spring!$A:$A,FALSE),MATCH(All!Z$1,Spring!$1:$1,FALSE))),"")</f>
        <v/>
      </c>
      <c r="AA396" t="str">
        <f>IFERROR(IF(INDEX(Spring!$1:$1048576,MATCH(All!$A396,Spring!$A:$A,FALSE),MATCH(All!AA$1,Spring!$1:$1,FALSE))="","",INDEX(Spring!$1:$1048576,MATCH(All!$A396,Spring!$A:$A,FALSE),MATCH(All!AA$1,Spring!$1:$1,FALSE))),"")</f>
        <v/>
      </c>
      <c r="AB396" t="str">
        <f>IFERROR(IF(INDEX(Spring!$1:$1048576,MATCH(All!$A396,Spring!$A:$A,FALSE),MATCH(All!AB$1,Spring!$1:$1,FALSE))="","",INDEX(Spring!$1:$1048576,MATCH(All!$A396,Spring!$A:$A,FALSE),MATCH(All!AB$1,Spring!$1:$1,FALSE))),"")</f>
        <v/>
      </c>
      <c r="AC396" t="str">
        <f>IFERROR(IF(INDEX(Spring!$1:$1048576,MATCH(All!$A396,Spring!$A:$A,FALSE),MATCH(All!AC$1,Spring!$1:$1,FALSE))="","",INDEX(Spring!$1:$1048576,MATCH(All!$A396,Spring!$A:$A,FALSE),MATCH(All!AC$1,Spring!$1:$1,FALSE))),"")</f>
        <v/>
      </c>
      <c r="AD396" t="str">
        <f>IFERROR(VLOOKUP(A396,'Flag Football'!A:A,1,FALSE),"")</f>
        <v/>
      </c>
      <c r="AE396" t="str">
        <f t="shared" si="6"/>
        <v/>
      </c>
    </row>
    <row r="397" spans="1:31" ht="15.75" thickBot="1" x14ac:dyDescent="0.3">
      <c r="A397" s="20" t="s">
        <v>485</v>
      </c>
      <c r="B397" s="38">
        <f>IFERROR(VLOOKUP(A397,'Public v Private'!A:G,3,FALSE),"")</f>
        <v>0</v>
      </c>
      <c r="C397" s="38">
        <f>IFERROR(VLOOKUP(A397,'Public v Private'!A:G,4,FALSE),"")</f>
        <v>0</v>
      </c>
      <c r="D397" s="38">
        <f>IFERROR(VLOOKUP(A397,'Public v Private'!A:G,5,FALSE),"")</f>
        <v>0</v>
      </c>
      <c r="E397" s="38"/>
      <c r="F397" s="40">
        <f>IFERROR(INDEX(Fall!$1:$1048576,MATCH(All!$A397,Fall!$A:$A,FALSE),MATCH(All!F$1,Fall!$1:$1,FALSE)),"N/A")</f>
        <v>170</v>
      </c>
      <c r="G397" t="str">
        <f>IFERROR(IF(INDEX(Fall!$1:$1048576,MATCH(All!$A397,Fall!$A:$A,FALSE),MATCH(All!G$1,Fall!$1:$1,FALSE))="","",INDEX(Fall!$1:$1048576,MATCH(All!$A397,Fall!$A:$A,FALSE),MATCH(All!G$1,Fall!$1:$1,FALSE))),"")</f>
        <v/>
      </c>
      <c r="H397" t="str">
        <f>IFERROR(IF(INDEX(Fall!$1:$1048576,MATCH(All!$A397,Fall!$A:$A,FALSE),MATCH(All!H$1,Fall!$1:$1,FALSE))="","",INDEX(Fall!$1:$1048576,MATCH(All!$A397,Fall!$A:$A,FALSE),MATCH(All!H$1,Fall!$1:$1,FALSE))),"")</f>
        <v/>
      </c>
      <c r="I397" t="str">
        <f>IFERROR(IF(INDEX(Fall!$1:$1048576,MATCH(All!$A397,Fall!$A:$A,FALSE),MATCH(All!I$1,Fall!$1:$1,FALSE))="","",INDEX(Fall!$1:$1048576,MATCH(All!$A397,Fall!$A:$A,FALSE),MATCH(All!I$1,Fall!$1:$1,FALSE))),"")</f>
        <v/>
      </c>
      <c r="J397" t="str">
        <f>IFERROR(IF(INDEX(Fall!$1:$1048576,MATCH(All!$A397,Fall!$A:$A,FALSE),MATCH(All!J$1,Fall!$1:$1,FALSE))="","",INDEX(Fall!$1:$1048576,MATCH(All!$A397,Fall!$A:$A,FALSE),MATCH(All!J$1,Fall!$1:$1,FALSE))),"")</f>
        <v/>
      </c>
      <c r="K397" t="str">
        <f>IFERROR(IF(INDEX(Fall!$1:$1048576,MATCH(All!$A397,Fall!$A:$A,FALSE),MATCH(All!K$1,Fall!$1:$1,FALSE))="","",INDEX(Fall!$1:$1048576,MATCH(All!$A397,Fall!$A:$A,FALSE),MATCH(All!K$1,Fall!$1:$1,FALSE))),"")</f>
        <v/>
      </c>
      <c r="L397" t="str">
        <f>IFERROR(IF(INDEX(Fall!$1:$1048576,MATCH(All!$A397,Fall!$A:$A,FALSE),MATCH(All!L$1,Fall!$1:$1,FALSE))="","",INDEX(Fall!$1:$1048576,MATCH(All!$A397,Fall!$A:$A,FALSE),MATCH(All!L$1,Fall!$1:$1,FALSE))),"")</f>
        <v/>
      </c>
      <c r="M397" t="str">
        <f>IFERROR(IF(INDEX(Fall!$1:$1048576,MATCH(All!$A397,Fall!$A:$A,FALSE),MATCH(All!M$1,Fall!$1:$1,FALSE))="","",INDEX(Fall!$1:$1048576,MATCH(All!$A397,Fall!$A:$A,FALSE),MATCH(All!M$1,Fall!$1:$1,FALSE))),"")</f>
        <v>1A</v>
      </c>
      <c r="O397">
        <f>IFERROR(IF(INDEX(Winter!$1:$1048576,MATCH(All!$A397,Winter!$A:$A,FALSE),MATCH(All!O$1,Winter!$1:$1,FALSE))="","",INDEX(Winter!$1:$1048576,MATCH(All!$A397,Winter!$A:$A,FALSE),MATCH(All!O$1,Winter!$1:$1,FALSE))),"")</f>
        <v>170</v>
      </c>
      <c r="P397" t="str">
        <f>IFERROR(IF(INDEX(Winter!$1:$1048576,MATCH(All!$A397,Winter!$A:$A,FALSE),MATCH(All!P$1,Winter!$1:$1,FALSE))="","",INDEX(Winter!$1:$1048576,MATCH(All!$A397,Winter!$A:$A,FALSE),MATCH(All!P$1,Winter!$1:$1,FALSE))),"")</f>
        <v>1A</v>
      </c>
      <c r="Q397" t="str">
        <f>IFERROR(IF(INDEX(Winter!$1:$1048576,MATCH(All!$A397,Winter!$A:$A,FALSE),MATCH(All!Q$1,Winter!$1:$1,FALSE))="","",INDEX(Winter!$1:$1048576,MATCH(All!$A397,Winter!$A:$A,FALSE),MATCH(All!Q$1,Winter!$1:$1,FALSE))),"")</f>
        <v>1A</v>
      </c>
      <c r="R397" t="str">
        <f>IFERROR(IF(INDEX(Winter!$1:$1048576,MATCH(All!$A397,Winter!$A:$A,FALSE),MATCH(All!R$1,Winter!$1:$1,FALSE))="","",INDEX(Winter!$1:$1048576,MATCH(All!$A397,Winter!$A:$A,FALSE),MATCH(All!R$1,Winter!$1:$1,FALSE))),"")</f>
        <v/>
      </c>
      <c r="S397" t="str">
        <f>IFERROR(IF(INDEX(Winter!$1:$1048576,MATCH(All!$A397,Winter!$A:$A,FALSE),MATCH(All!S$1,Winter!$1:$1,FALSE))="","",INDEX(Winter!$1:$1048576,MATCH(All!$A397,Winter!$A:$A,FALSE),MATCH(All!S$1,Winter!$1:$1,FALSE))),"")</f>
        <v/>
      </c>
      <c r="T397" t="str">
        <f>IFERROR(IF(INDEX(Winter!$1:$1048576,MATCH(All!$A397,Winter!$A:$A,FALSE),MATCH(All!T$1,Winter!$1:$1,FALSE))="","",INDEX(Winter!$1:$1048576,MATCH(All!$A397,Winter!$A:$A,FALSE),MATCH(All!T$1,Winter!$1:$1,FALSE))),"")</f>
        <v>1A</v>
      </c>
      <c r="U397" t="str">
        <f>IFERROR(IF(INDEX(Winter!$1:$1048576,MATCH(All!$A397,Winter!$A:$A,FALSE),MATCH(All!U$1,Winter!$1:$1,FALSE))="","",INDEX(Winter!$1:$1048576,MATCH(All!$A397,Winter!$A:$A,FALSE),MATCH(All!U$1,Winter!$1:$1,FALSE))),"")</f>
        <v/>
      </c>
      <c r="W397">
        <f>IFERROR(IF(INDEX(Spring!$1:$1048576,MATCH(All!$A397,Spring!$A:$A,FALSE),MATCH(All!W$1,Spring!$1:$1,FALSE))="","",INDEX(Spring!$1:$1048576,MATCH(All!$A397,Spring!$A:$A,FALSE),MATCH(All!W$1,Spring!$1:$1,FALSE))),"")</f>
        <v>170</v>
      </c>
      <c r="X397" t="str">
        <f>IFERROR(IF(INDEX(Spring!$1:$1048576,MATCH(All!$A397,Spring!$A:$A,FALSE),MATCH(All!X$1,Spring!$1:$1,FALSE))="","",INDEX(Spring!$1:$1048576,MATCH(All!$A397,Spring!$A:$A,FALSE),MATCH(All!X$1,Spring!$1:$1,FALSE))),"")</f>
        <v>1A</v>
      </c>
      <c r="Y397" t="str">
        <f>IFERROR(IF(INDEX(Spring!$1:$1048576,MATCH(All!$A397,Spring!$A:$A,FALSE),MATCH(All!Y$1,Spring!$1:$1,FALSE))="","",INDEX(Spring!$1:$1048576,MATCH(All!$A397,Spring!$A:$A,FALSE),MATCH(All!Y$1,Spring!$1:$1,FALSE))),"")</f>
        <v>1A</v>
      </c>
      <c r="Z397" t="str">
        <f>IFERROR(IF(INDEX(Spring!$1:$1048576,MATCH(All!$A397,Spring!$A:$A,FALSE),MATCH(All!Z$1,Spring!$1:$1,FALSE))="","",INDEX(Spring!$1:$1048576,MATCH(All!$A397,Spring!$A:$A,FALSE),MATCH(All!Z$1,Spring!$1:$1,FALSE))),"")</f>
        <v/>
      </c>
      <c r="AA397" t="str">
        <f>IFERROR(IF(INDEX(Spring!$1:$1048576,MATCH(All!$A397,Spring!$A:$A,FALSE),MATCH(All!AA$1,Spring!$1:$1,FALSE))="","",INDEX(Spring!$1:$1048576,MATCH(All!$A397,Spring!$A:$A,FALSE),MATCH(All!AA$1,Spring!$1:$1,FALSE))),"")</f>
        <v/>
      </c>
      <c r="AB397" t="str">
        <f>IFERROR(IF(INDEX(Spring!$1:$1048576,MATCH(All!$A397,Spring!$A:$A,FALSE),MATCH(All!AB$1,Spring!$1:$1,FALSE))="","",INDEX(Spring!$1:$1048576,MATCH(All!$A397,Spring!$A:$A,FALSE),MATCH(All!AB$1,Spring!$1:$1,FALSE))),"")</f>
        <v/>
      </c>
      <c r="AC397" t="str">
        <f>IFERROR(IF(INDEX(Spring!$1:$1048576,MATCH(All!$A397,Spring!$A:$A,FALSE),MATCH(All!AC$1,Spring!$1:$1,FALSE))="","",INDEX(Spring!$1:$1048576,MATCH(All!$A397,Spring!$A:$A,FALSE),MATCH(All!AC$1,Spring!$1:$1,FALSE))),"")</f>
        <v/>
      </c>
      <c r="AD397" t="str">
        <f>IFERROR(VLOOKUP(A397,'Flag Football'!A:A,1,FALSE),"")</f>
        <v/>
      </c>
      <c r="AE397" t="str">
        <f t="shared" si="6"/>
        <v/>
      </c>
    </row>
    <row r="398" spans="1:31" ht="15.75" thickBot="1" x14ac:dyDescent="0.3">
      <c r="A398" s="18" t="s">
        <v>486</v>
      </c>
      <c r="B398" s="38">
        <f>IFERROR(VLOOKUP(A398,'Public v Private'!A:G,3,FALSE),"")</f>
        <v>0</v>
      </c>
      <c r="C398" s="38">
        <f>IFERROR(VLOOKUP(A398,'Public v Private'!A:G,4,FALSE),"")</f>
        <v>0</v>
      </c>
      <c r="D398" s="38">
        <f>IFERROR(VLOOKUP(A398,'Public v Private'!A:G,5,FALSE),"")</f>
        <v>0</v>
      </c>
      <c r="E398" s="38"/>
      <c r="F398" s="40">
        <f>IFERROR(INDEX(Fall!$1:$1048576,MATCH(All!$A398,Fall!$A:$A,FALSE),MATCH(All!F$1,Fall!$1:$1,FALSE)),"N/A")</f>
        <v>482</v>
      </c>
      <c r="G398" t="str">
        <f>IFERROR(IF(INDEX(Fall!$1:$1048576,MATCH(All!$A398,Fall!$A:$A,FALSE),MATCH(All!G$1,Fall!$1:$1,FALSE))="","",INDEX(Fall!$1:$1048576,MATCH(All!$A398,Fall!$A:$A,FALSE),MATCH(All!G$1,Fall!$1:$1,FALSE))),"")</f>
        <v>1A</v>
      </c>
      <c r="H398" t="str">
        <f>IFERROR(IF(INDEX(Fall!$1:$1048576,MATCH(All!$A398,Fall!$A:$A,FALSE),MATCH(All!H$1,Fall!$1:$1,FALSE))="","",INDEX(Fall!$1:$1048576,MATCH(All!$A398,Fall!$A:$A,FALSE),MATCH(All!H$1,Fall!$1:$1,FALSE))),"")</f>
        <v>1A</v>
      </c>
      <c r="I398" t="str">
        <f>IFERROR(IF(INDEX(Fall!$1:$1048576,MATCH(All!$A398,Fall!$A:$A,FALSE),MATCH(All!I$1,Fall!$1:$1,FALSE))="","",INDEX(Fall!$1:$1048576,MATCH(All!$A398,Fall!$A:$A,FALSE),MATCH(All!I$1,Fall!$1:$1,FALSE))),"")</f>
        <v>1A</v>
      </c>
      <c r="J398" t="str">
        <f>IFERROR(IF(INDEX(Fall!$1:$1048576,MATCH(All!$A398,Fall!$A:$A,FALSE),MATCH(All!J$1,Fall!$1:$1,FALSE))="","",INDEX(Fall!$1:$1048576,MATCH(All!$A398,Fall!$A:$A,FALSE),MATCH(All!J$1,Fall!$1:$1,FALSE))),"")</f>
        <v>1A</v>
      </c>
      <c r="K398" t="str">
        <f>IFERROR(IF(INDEX(Fall!$1:$1048576,MATCH(All!$A398,Fall!$A:$A,FALSE),MATCH(All!K$1,Fall!$1:$1,FALSE))="","",INDEX(Fall!$1:$1048576,MATCH(All!$A398,Fall!$A:$A,FALSE),MATCH(All!K$1,Fall!$1:$1,FALSE))),"")</f>
        <v>1A</v>
      </c>
      <c r="L398" t="str">
        <f>IFERROR(IF(INDEX(Fall!$1:$1048576,MATCH(All!$A398,Fall!$A:$A,FALSE),MATCH(All!L$1,Fall!$1:$1,FALSE))="","",INDEX(Fall!$1:$1048576,MATCH(All!$A398,Fall!$A:$A,FALSE),MATCH(All!L$1,Fall!$1:$1,FALSE))),"")</f>
        <v/>
      </c>
      <c r="M398" t="str">
        <f>IFERROR(IF(INDEX(Fall!$1:$1048576,MATCH(All!$A398,Fall!$A:$A,FALSE),MATCH(All!M$1,Fall!$1:$1,FALSE))="","",INDEX(Fall!$1:$1048576,MATCH(All!$A398,Fall!$A:$A,FALSE),MATCH(All!M$1,Fall!$1:$1,FALSE))),"")</f>
        <v>2A</v>
      </c>
      <c r="O398">
        <f>IFERROR(IF(INDEX(Winter!$1:$1048576,MATCH(All!$A398,Winter!$A:$A,FALSE),MATCH(All!O$1,Winter!$1:$1,FALSE))="","",INDEX(Winter!$1:$1048576,MATCH(All!$A398,Winter!$A:$A,FALSE),MATCH(All!O$1,Winter!$1:$1,FALSE))),"")</f>
        <v>482</v>
      </c>
      <c r="P398" t="str">
        <f>IFERROR(IF(INDEX(Winter!$1:$1048576,MATCH(All!$A398,Winter!$A:$A,FALSE),MATCH(All!P$1,Winter!$1:$1,FALSE))="","",INDEX(Winter!$1:$1048576,MATCH(All!$A398,Winter!$A:$A,FALSE),MATCH(All!P$1,Winter!$1:$1,FALSE))),"")</f>
        <v>2A</v>
      </c>
      <c r="Q398" t="str">
        <f>IFERROR(IF(INDEX(Winter!$1:$1048576,MATCH(All!$A398,Winter!$A:$A,FALSE),MATCH(All!Q$1,Winter!$1:$1,FALSE))="","",INDEX(Winter!$1:$1048576,MATCH(All!$A398,Winter!$A:$A,FALSE),MATCH(All!Q$1,Winter!$1:$1,FALSE))),"")</f>
        <v>2A</v>
      </c>
      <c r="R398" t="str">
        <f>IFERROR(IF(INDEX(Winter!$1:$1048576,MATCH(All!$A398,Winter!$A:$A,FALSE),MATCH(All!R$1,Winter!$1:$1,FALSE))="","",INDEX(Winter!$1:$1048576,MATCH(All!$A398,Winter!$A:$A,FALSE),MATCH(All!R$1,Winter!$1:$1,FALSE))),"")</f>
        <v>1A</v>
      </c>
      <c r="S398" t="str">
        <f>IFERROR(IF(INDEX(Winter!$1:$1048576,MATCH(All!$A398,Winter!$A:$A,FALSE),MATCH(All!S$1,Winter!$1:$1,FALSE))="","",INDEX(Winter!$1:$1048576,MATCH(All!$A398,Winter!$A:$A,FALSE),MATCH(All!S$1,Winter!$1:$1,FALSE))),"")</f>
        <v/>
      </c>
      <c r="T398" t="str">
        <f>IFERROR(IF(INDEX(Winter!$1:$1048576,MATCH(All!$A398,Winter!$A:$A,FALSE),MATCH(All!T$1,Winter!$1:$1,FALSE))="","",INDEX(Winter!$1:$1048576,MATCH(All!$A398,Winter!$A:$A,FALSE),MATCH(All!T$1,Winter!$1:$1,FALSE))),"")</f>
        <v>2A</v>
      </c>
      <c r="U398" t="str">
        <f>IFERROR(IF(INDEX(Winter!$1:$1048576,MATCH(All!$A398,Winter!$A:$A,FALSE),MATCH(All!U$1,Winter!$1:$1,FALSE))="","",INDEX(Winter!$1:$1048576,MATCH(All!$A398,Winter!$A:$A,FALSE),MATCH(All!U$1,Winter!$1:$1,FALSE))),"")</f>
        <v>1A</v>
      </c>
      <c r="W398">
        <f>IFERROR(IF(INDEX(Spring!$1:$1048576,MATCH(All!$A398,Spring!$A:$A,FALSE),MATCH(All!W$1,Spring!$1:$1,FALSE))="","",INDEX(Spring!$1:$1048576,MATCH(All!$A398,Spring!$A:$A,FALSE),MATCH(All!W$1,Spring!$1:$1,FALSE))),"")</f>
        <v>482</v>
      </c>
      <c r="X398" t="str">
        <f>IFERROR(IF(INDEX(Spring!$1:$1048576,MATCH(All!$A398,Spring!$A:$A,FALSE),MATCH(All!X$1,Spring!$1:$1,FALSE))="","",INDEX(Spring!$1:$1048576,MATCH(All!$A398,Spring!$A:$A,FALSE),MATCH(All!X$1,Spring!$1:$1,FALSE))),"")</f>
        <v>2A</v>
      </c>
      <c r="Y398" t="str">
        <f>IFERROR(IF(INDEX(Spring!$1:$1048576,MATCH(All!$A398,Spring!$A:$A,FALSE),MATCH(All!Y$1,Spring!$1:$1,FALSE))="","",INDEX(Spring!$1:$1048576,MATCH(All!$A398,Spring!$A:$A,FALSE),MATCH(All!Y$1,Spring!$1:$1,FALSE))),"")</f>
        <v>2A</v>
      </c>
      <c r="Z398" t="str">
        <f>IFERROR(IF(INDEX(Spring!$1:$1048576,MATCH(All!$A398,Spring!$A:$A,FALSE),MATCH(All!Z$1,Spring!$1:$1,FALSE))="","",INDEX(Spring!$1:$1048576,MATCH(All!$A398,Spring!$A:$A,FALSE),MATCH(All!Z$1,Spring!$1:$1,FALSE))),"")</f>
        <v>2A</v>
      </c>
      <c r="AA398" t="str">
        <f>IFERROR(IF(INDEX(Spring!$1:$1048576,MATCH(All!$A398,Spring!$A:$A,FALSE),MATCH(All!AA$1,Spring!$1:$1,FALSE))="","",INDEX(Spring!$1:$1048576,MATCH(All!$A398,Spring!$A:$A,FALSE),MATCH(All!AA$1,Spring!$1:$1,FALSE))),"")</f>
        <v/>
      </c>
      <c r="AB398" t="str">
        <f>IFERROR(IF(INDEX(Spring!$1:$1048576,MATCH(All!$A398,Spring!$A:$A,FALSE),MATCH(All!AB$1,Spring!$1:$1,FALSE))="","",INDEX(Spring!$1:$1048576,MATCH(All!$A398,Spring!$A:$A,FALSE),MATCH(All!AB$1,Spring!$1:$1,FALSE))),"")</f>
        <v>2A</v>
      </c>
      <c r="AC398" t="str">
        <f>IFERROR(IF(INDEX(Spring!$1:$1048576,MATCH(All!$A398,Spring!$A:$A,FALSE),MATCH(All!AC$1,Spring!$1:$1,FALSE))="","",INDEX(Spring!$1:$1048576,MATCH(All!$A398,Spring!$A:$A,FALSE),MATCH(All!AC$1,Spring!$1:$1,FALSE))),"")</f>
        <v>2A</v>
      </c>
      <c r="AD398" t="str">
        <f>IFERROR(VLOOKUP(A398,'Flag Football'!A:A,1,FALSE),"")</f>
        <v/>
      </c>
      <c r="AE398" t="str">
        <f t="shared" si="6"/>
        <v/>
      </c>
    </row>
    <row r="399" spans="1:31" ht="15.75" thickBot="1" x14ac:dyDescent="0.3">
      <c r="A399" s="20" t="s">
        <v>487</v>
      </c>
      <c r="B399" s="38">
        <f>IFERROR(VLOOKUP(A399,'Public v Private'!A:G,3,FALSE),"")</f>
        <v>0</v>
      </c>
      <c r="C399" s="38">
        <f>IFERROR(VLOOKUP(A399,'Public v Private'!A:G,4,FALSE),"")</f>
        <v>0</v>
      </c>
      <c r="D399" s="38">
        <f>IFERROR(VLOOKUP(A399,'Public v Private'!A:G,5,FALSE),"")</f>
        <v>0</v>
      </c>
      <c r="E399" s="38"/>
      <c r="F399" s="40">
        <f>IFERROR(INDEX(Fall!$1:$1048576,MATCH(All!$A399,Fall!$A:$A,FALSE),MATCH(All!F$1,Fall!$1:$1,FALSE)),"N/A")</f>
        <v>51</v>
      </c>
      <c r="G399" t="str">
        <f>IFERROR(IF(INDEX(Fall!$1:$1048576,MATCH(All!$A399,Fall!$A:$A,FALSE),MATCH(All!G$1,Fall!$1:$1,FALSE))="","",INDEX(Fall!$1:$1048576,MATCH(All!$A399,Fall!$A:$A,FALSE),MATCH(All!G$1,Fall!$1:$1,FALSE))),"")</f>
        <v/>
      </c>
      <c r="H399" t="str">
        <f>IFERROR(IF(INDEX(Fall!$1:$1048576,MATCH(All!$A399,Fall!$A:$A,FALSE),MATCH(All!H$1,Fall!$1:$1,FALSE))="","",INDEX(Fall!$1:$1048576,MATCH(All!$A399,Fall!$A:$A,FALSE),MATCH(All!H$1,Fall!$1:$1,FALSE))),"")</f>
        <v/>
      </c>
      <c r="I399" t="str">
        <f>IFERROR(IF(INDEX(Fall!$1:$1048576,MATCH(All!$A399,Fall!$A:$A,FALSE),MATCH(All!I$1,Fall!$1:$1,FALSE))="","",INDEX(Fall!$1:$1048576,MATCH(All!$A399,Fall!$A:$A,FALSE),MATCH(All!I$1,Fall!$1:$1,FALSE))),"")</f>
        <v/>
      </c>
      <c r="J399" t="str">
        <f>IFERROR(IF(INDEX(Fall!$1:$1048576,MATCH(All!$A399,Fall!$A:$A,FALSE),MATCH(All!J$1,Fall!$1:$1,FALSE))="","",INDEX(Fall!$1:$1048576,MATCH(All!$A399,Fall!$A:$A,FALSE),MATCH(All!J$1,Fall!$1:$1,FALSE))),"")</f>
        <v/>
      </c>
      <c r="K399" t="str">
        <f>IFERROR(IF(INDEX(Fall!$1:$1048576,MATCH(All!$A399,Fall!$A:$A,FALSE),MATCH(All!K$1,Fall!$1:$1,FALSE))="","",INDEX(Fall!$1:$1048576,MATCH(All!$A399,Fall!$A:$A,FALSE),MATCH(All!K$1,Fall!$1:$1,FALSE))),"")</f>
        <v/>
      </c>
      <c r="L399" t="str">
        <f>IFERROR(IF(INDEX(Fall!$1:$1048576,MATCH(All!$A399,Fall!$A:$A,FALSE),MATCH(All!L$1,Fall!$1:$1,FALSE))="","",INDEX(Fall!$1:$1048576,MATCH(All!$A399,Fall!$A:$A,FALSE),MATCH(All!L$1,Fall!$1:$1,FALSE))),"")</f>
        <v/>
      </c>
      <c r="M399" t="str">
        <f>IFERROR(IF(INDEX(Fall!$1:$1048576,MATCH(All!$A399,Fall!$A:$A,FALSE),MATCH(All!M$1,Fall!$1:$1,FALSE))="","",INDEX(Fall!$1:$1048576,MATCH(All!$A399,Fall!$A:$A,FALSE),MATCH(All!M$1,Fall!$1:$1,FALSE))),"")</f>
        <v>1A</v>
      </c>
      <c r="O399">
        <f>IFERROR(IF(INDEX(Winter!$1:$1048576,MATCH(All!$A399,Winter!$A:$A,FALSE),MATCH(All!O$1,Winter!$1:$1,FALSE))="","",INDEX(Winter!$1:$1048576,MATCH(All!$A399,Winter!$A:$A,FALSE),MATCH(All!O$1,Winter!$1:$1,FALSE))),"")</f>
        <v>51</v>
      </c>
      <c r="P399" t="str">
        <f>IFERROR(IF(INDEX(Winter!$1:$1048576,MATCH(All!$A399,Winter!$A:$A,FALSE),MATCH(All!P$1,Winter!$1:$1,FALSE))="","",INDEX(Winter!$1:$1048576,MATCH(All!$A399,Winter!$A:$A,FALSE),MATCH(All!P$1,Winter!$1:$1,FALSE))),"")</f>
        <v>1A</v>
      </c>
      <c r="Q399" t="str">
        <f>IFERROR(IF(INDEX(Winter!$1:$1048576,MATCH(All!$A399,Winter!$A:$A,FALSE),MATCH(All!Q$1,Winter!$1:$1,FALSE))="","",INDEX(Winter!$1:$1048576,MATCH(All!$A399,Winter!$A:$A,FALSE),MATCH(All!Q$1,Winter!$1:$1,FALSE))),"")</f>
        <v/>
      </c>
      <c r="R399" t="str">
        <f>IFERROR(IF(INDEX(Winter!$1:$1048576,MATCH(All!$A399,Winter!$A:$A,FALSE),MATCH(All!R$1,Winter!$1:$1,FALSE))="","",INDEX(Winter!$1:$1048576,MATCH(All!$A399,Winter!$A:$A,FALSE),MATCH(All!R$1,Winter!$1:$1,FALSE))),"")</f>
        <v/>
      </c>
      <c r="S399" t="str">
        <f>IFERROR(IF(INDEX(Winter!$1:$1048576,MATCH(All!$A399,Winter!$A:$A,FALSE),MATCH(All!S$1,Winter!$1:$1,FALSE))="","",INDEX(Winter!$1:$1048576,MATCH(All!$A399,Winter!$A:$A,FALSE),MATCH(All!S$1,Winter!$1:$1,FALSE))),"")</f>
        <v/>
      </c>
      <c r="T399" t="str">
        <f>IFERROR(IF(INDEX(Winter!$1:$1048576,MATCH(All!$A399,Winter!$A:$A,FALSE),MATCH(All!T$1,Winter!$1:$1,FALSE))="","",INDEX(Winter!$1:$1048576,MATCH(All!$A399,Winter!$A:$A,FALSE),MATCH(All!T$1,Winter!$1:$1,FALSE))),"")</f>
        <v/>
      </c>
      <c r="U399" t="str">
        <f>IFERROR(IF(INDEX(Winter!$1:$1048576,MATCH(All!$A399,Winter!$A:$A,FALSE),MATCH(All!U$1,Winter!$1:$1,FALSE))="","",INDEX(Winter!$1:$1048576,MATCH(All!$A399,Winter!$A:$A,FALSE),MATCH(All!U$1,Winter!$1:$1,FALSE))),"")</f>
        <v/>
      </c>
      <c r="W399">
        <f>IFERROR(IF(INDEX(Spring!$1:$1048576,MATCH(All!$A399,Spring!$A:$A,FALSE),MATCH(All!W$1,Spring!$1:$1,FALSE))="","",INDEX(Spring!$1:$1048576,MATCH(All!$A399,Spring!$A:$A,FALSE),MATCH(All!W$1,Spring!$1:$1,FALSE))),"")</f>
        <v>51</v>
      </c>
      <c r="X399" t="str">
        <f>IFERROR(IF(INDEX(Spring!$1:$1048576,MATCH(All!$A399,Spring!$A:$A,FALSE),MATCH(All!X$1,Spring!$1:$1,FALSE))="","",INDEX(Spring!$1:$1048576,MATCH(All!$A399,Spring!$A:$A,FALSE),MATCH(All!X$1,Spring!$1:$1,FALSE))),"")</f>
        <v/>
      </c>
      <c r="Y399" t="str">
        <f>IFERROR(IF(INDEX(Spring!$1:$1048576,MATCH(All!$A399,Spring!$A:$A,FALSE),MATCH(All!Y$1,Spring!$1:$1,FALSE))="","",INDEX(Spring!$1:$1048576,MATCH(All!$A399,Spring!$A:$A,FALSE),MATCH(All!Y$1,Spring!$1:$1,FALSE))),"")</f>
        <v>1A</v>
      </c>
      <c r="Z399" t="str">
        <f>IFERROR(IF(INDEX(Spring!$1:$1048576,MATCH(All!$A399,Spring!$A:$A,FALSE),MATCH(All!Z$1,Spring!$1:$1,FALSE))="","",INDEX(Spring!$1:$1048576,MATCH(All!$A399,Spring!$A:$A,FALSE),MATCH(All!Z$1,Spring!$1:$1,FALSE))),"")</f>
        <v/>
      </c>
      <c r="AA399" t="str">
        <f>IFERROR(IF(INDEX(Spring!$1:$1048576,MATCH(All!$A399,Spring!$A:$A,FALSE),MATCH(All!AA$1,Spring!$1:$1,FALSE))="","",INDEX(Spring!$1:$1048576,MATCH(All!$A399,Spring!$A:$A,FALSE),MATCH(All!AA$1,Spring!$1:$1,FALSE))),"")</f>
        <v/>
      </c>
      <c r="AB399" t="str">
        <f>IFERROR(IF(INDEX(Spring!$1:$1048576,MATCH(All!$A399,Spring!$A:$A,FALSE),MATCH(All!AB$1,Spring!$1:$1,FALSE))="","",INDEX(Spring!$1:$1048576,MATCH(All!$A399,Spring!$A:$A,FALSE),MATCH(All!AB$1,Spring!$1:$1,FALSE))),"")</f>
        <v/>
      </c>
      <c r="AC399" t="str">
        <f>IFERROR(IF(INDEX(Spring!$1:$1048576,MATCH(All!$A399,Spring!$A:$A,FALSE),MATCH(All!AC$1,Spring!$1:$1,FALSE))="","",INDEX(Spring!$1:$1048576,MATCH(All!$A399,Spring!$A:$A,FALSE),MATCH(All!AC$1,Spring!$1:$1,FALSE))),"")</f>
        <v/>
      </c>
      <c r="AD399" t="str">
        <f>IFERROR(VLOOKUP(A399,'Flag Football'!A:A,1,FALSE),"")</f>
        <v/>
      </c>
      <c r="AE399" t="str">
        <f t="shared" si="6"/>
        <v/>
      </c>
    </row>
    <row r="400" spans="1:31" ht="15.75" thickBot="1" x14ac:dyDescent="0.3">
      <c r="A400" s="18" t="s">
        <v>488</v>
      </c>
      <c r="B400" s="38">
        <f>IFERROR(VLOOKUP(A400,'Public v Private'!A:G,3,FALSE),"")</f>
        <v>0</v>
      </c>
      <c r="C400" s="38">
        <f>IFERROR(VLOOKUP(A400,'Public v Private'!A:G,4,FALSE),"")</f>
        <v>0</v>
      </c>
      <c r="D400" s="38">
        <f>IFERROR(VLOOKUP(A400,'Public v Private'!A:G,5,FALSE),"")</f>
        <v>0</v>
      </c>
      <c r="E400" s="38"/>
      <c r="F400" s="40">
        <f>IFERROR(INDEX(Fall!$1:$1048576,MATCH(All!$A400,Fall!$A:$A,FALSE),MATCH(All!F$1,Fall!$1:$1,FALSE)),"N/A")</f>
        <v>803</v>
      </c>
      <c r="G400" t="str">
        <f>IFERROR(IF(INDEX(Fall!$1:$1048576,MATCH(All!$A400,Fall!$A:$A,FALSE),MATCH(All!G$1,Fall!$1:$1,FALSE))="","",INDEX(Fall!$1:$1048576,MATCH(All!$A400,Fall!$A:$A,FALSE),MATCH(All!G$1,Fall!$1:$1,FALSE))),"")</f>
        <v>2A</v>
      </c>
      <c r="H400" t="str">
        <f>IFERROR(IF(INDEX(Fall!$1:$1048576,MATCH(All!$A400,Fall!$A:$A,FALSE),MATCH(All!H$1,Fall!$1:$1,FALSE))="","",INDEX(Fall!$1:$1048576,MATCH(All!$A400,Fall!$A:$A,FALSE),MATCH(All!H$1,Fall!$1:$1,FALSE))),"")</f>
        <v>2A</v>
      </c>
      <c r="I400" t="str">
        <f>IFERROR(IF(INDEX(Fall!$1:$1048576,MATCH(All!$A400,Fall!$A:$A,FALSE),MATCH(All!I$1,Fall!$1:$1,FALSE))="","",INDEX(Fall!$1:$1048576,MATCH(All!$A400,Fall!$A:$A,FALSE),MATCH(All!I$1,Fall!$1:$1,FALSE))),"")</f>
        <v>2A</v>
      </c>
      <c r="J400" t="str">
        <f>IFERROR(IF(INDEX(Fall!$1:$1048576,MATCH(All!$A400,Fall!$A:$A,FALSE),MATCH(All!J$1,Fall!$1:$1,FALSE))="","",INDEX(Fall!$1:$1048576,MATCH(All!$A400,Fall!$A:$A,FALSE),MATCH(All!J$1,Fall!$1:$1,FALSE))),"")</f>
        <v/>
      </c>
      <c r="K400" t="str">
        <f>IFERROR(IF(INDEX(Fall!$1:$1048576,MATCH(All!$A400,Fall!$A:$A,FALSE),MATCH(All!K$1,Fall!$1:$1,FALSE))="","",INDEX(Fall!$1:$1048576,MATCH(All!$A400,Fall!$A:$A,FALSE),MATCH(All!K$1,Fall!$1:$1,FALSE))),"")</f>
        <v>2A</v>
      </c>
      <c r="L400" t="str">
        <f>IFERROR(IF(INDEX(Fall!$1:$1048576,MATCH(All!$A400,Fall!$A:$A,FALSE),MATCH(All!L$1,Fall!$1:$1,FALSE))="","",INDEX(Fall!$1:$1048576,MATCH(All!$A400,Fall!$A:$A,FALSE),MATCH(All!L$1,Fall!$1:$1,FALSE))),"")</f>
        <v/>
      </c>
      <c r="M400" t="str">
        <f>IFERROR(IF(INDEX(Fall!$1:$1048576,MATCH(All!$A400,Fall!$A:$A,FALSE),MATCH(All!M$1,Fall!$1:$1,FALSE))="","",INDEX(Fall!$1:$1048576,MATCH(All!$A400,Fall!$A:$A,FALSE),MATCH(All!M$1,Fall!$1:$1,FALSE))),"")</f>
        <v>3A</v>
      </c>
      <c r="O400">
        <f>IFERROR(IF(INDEX(Winter!$1:$1048576,MATCH(All!$A400,Winter!$A:$A,FALSE),MATCH(All!O$1,Winter!$1:$1,FALSE))="","",INDEX(Winter!$1:$1048576,MATCH(All!$A400,Winter!$A:$A,FALSE),MATCH(All!O$1,Winter!$1:$1,FALSE))),"")</f>
        <v>803</v>
      </c>
      <c r="P400" t="str">
        <f>IFERROR(IF(INDEX(Winter!$1:$1048576,MATCH(All!$A400,Winter!$A:$A,FALSE),MATCH(All!P$1,Winter!$1:$1,FALSE))="","",INDEX(Winter!$1:$1048576,MATCH(All!$A400,Winter!$A:$A,FALSE),MATCH(All!P$1,Winter!$1:$1,FALSE))),"")</f>
        <v>3A</v>
      </c>
      <c r="Q400" t="str">
        <f>IFERROR(IF(INDEX(Winter!$1:$1048576,MATCH(All!$A400,Winter!$A:$A,FALSE),MATCH(All!Q$1,Winter!$1:$1,FALSE))="","",INDEX(Winter!$1:$1048576,MATCH(All!$A400,Winter!$A:$A,FALSE),MATCH(All!Q$1,Winter!$1:$1,FALSE))),"")</f>
        <v>3A</v>
      </c>
      <c r="R400" t="str">
        <f>IFERROR(IF(INDEX(Winter!$1:$1048576,MATCH(All!$A400,Winter!$A:$A,FALSE),MATCH(All!R$1,Winter!$1:$1,FALSE))="","",INDEX(Winter!$1:$1048576,MATCH(All!$A400,Winter!$A:$A,FALSE),MATCH(All!R$1,Winter!$1:$1,FALSE))),"")</f>
        <v>2A</v>
      </c>
      <c r="S400" t="str">
        <f>IFERROR(IF(INDEX(Winter!$1:$1048576,MATCH(All!$A400,Winter!$A:$A,FALSE),MATCH(All!S$1,Winter!$1:$1,FALSE))="","",INDEX(Winter!$1:$1048576,MATCH(All!$A400,Winter!$A:$A,FALSE),MATCH(All!S$1,Winter!$1:$1,FALSE))),"")</f>
        <v/>
      </c>
      <c r="T400" t="str">
        <f>IFERROR(IF(INDEX(Winter!$1:$1048576,MATCH(All!$A400,Winter!$A:$A,FALSE),MATCH(All!T$1,Winter!$1:$1,FALSE))="","",INDEX(Winter!$1:$1048576,MATCH(All!$A400,Winter!$A:$A,FALSE),MATCH(All!T$1,Winter!$1:$1,FALSE))),"")</f>
        <v>2A</v>
      </c>
      <c r="U400" t="str">
        <f>IFERROR(IF(INDEX(Winter!$1:$1048576,MATCH(All!$A400,Winter!$A:$A,FALSE),MATCH(All!U$1,Winter!$1:$1,FALSE))="","",INDEX(Winter!$1:$1048576,MATCH(All!$A400,Winter!$A:$A,FALSE),MATCH(All!U$1,Winter!$1:$1,FALSE))),"")</f>
        <v>2A</v>
      </c>
      <c r="W400">
        <f>IFERROR(IF(INDEX(Spring!$1:$1048576,MATCH(All!$A400,Spring!$A:$A,FALSE),MATCH(All!W$1,Spring!$1:$1,FALSE))="","",INDEX(Spring!$1:$1048576,MATCH(All!$A400,Spring!$A:$A,FALSE),MATCH(All!W$1,Spring!$1:$1,FALSE))),"")</f>
        <v>803</v>
      </c>
      <c r="X400" t="str">
        <f>IFERROR(IF(INDEX(Spring!$1:$1048576,MATCH(All!$A400,Spring!$A:$A,FALSE),MATCH(All!X$1,Spring!$1:$1,FALSE))="","",INDEX(Spring!$1:$1048576,MATCH(All!$A400,Spring!$A:$A,FALSE),MATCH(All!X$1,Spring!$1:$1,FALSE))),"")</f>
        <v>3A</v>
      </c>
      <c r="Y400" t="str">
        <f>IFERROR(IF(INDEX(Spring!$1:$1048576,MATCH(All!$A400,Spring!$A:$A,FALSE),MATCH(All!Y$1,Spring!$1:$1,FALSE))="","",INDEX(Spring!$1:$1048576,MATCH(All!$A400,Spring!$A:$A,FALSE),MATCH(All!Y$1,Spring!$1:$1,FALSE))),"")</f>
        <v>3A</v>
      </c>
      <c r="Z400" t="str">
        <f>IFERROR(IF(INDEX(Spring!$1:$1048576,MATCH(All!$A400,Spring!$A:$A,FALSE),MATCH(All!Z$1,Spring!$1:$1,FALSE))="","",INDEX(Spring!$1:$1048576,MATCH(All!$A400,Spring!$A:$A,FALSE),MATCH(All!Z$1,Spring!$1:$1,FALSE))),"")</f>
        <v>2A</v>
      </c>
      <c r="AA400" t="str">
        <f>IFERROR(IF(INDEX(Spring!$1:$1048576,MATCH(All!$A400,Spring!$A:$A,FALSE),MATCH(All!AA$1,Spring!$1:$1,FALSE))="","",INDEX(Spring!$1:$1048576,MATCH(All!$A400,Spring!$A:$A,FALSE),MATCH(All!AA$1,Spring!$1:$1,FALSE))),"")</f>
        <v/>
      </c>
      <c r="AB400" t="str">
        <f>IFERROR(IF(INDEX(Spring!$1:$1048576,MATCH(All!$A400,Spring!$A:$A,FALSE),MATCH(All!AB$1,Spring!$1:$1,FALSE))="","",INDEX(Spring!$1:$1048576,MATCH(All!$A400,Spring!$A:$A,FALSE),MATCH(All!AB$1,Spring!$1:$1,FALSE))),"")</f>
        <v>2A</v>
      </c>
      <c r="AC400" t="str">
        <f>IFERROR(IF(INDEX(Spring!$1:$1048576,MATCH(All!$A400,Spring!$A:$A,FALSE),MATCH(All!AC$1,Spring!$1:$1,FALSE))="","",INDEX(Spring!$1:$1048576,MATCH(All!$A400,Spring!$A:$A,FALSE),MATCH(All!AC$1,Spring!$1:$1,FALSE))),"")</f>
        <v>2A</v>
      </c>
      <c r="AD400" t="str">
        <f>IFERROR(VLOOKUP(A400,'Flag Football'!A:A,1,FALSE),"")</f>
        <v>Harvard</v>
      </c>
      <c r="AE400" t="str">
        <f t="shared" si="6"/>
        <v>1A</v>
      </c>
    </row>
    <row r="401" spans="1:31" ht="15.75" thickBot="1" x14ac:dyDescent="0.3">
      <c r="A401" s="20" t="s">
        <v>489</v>
      </c>
      <c r="B401" s="38">
        <f>IFERROR(VLOOKUP(A401,'Public v Private'!A:G,3,FALSE),"")</f>
        <v>0</v>
      </c>
      <c r="C401" s="38">
        <f>IFERROR(VLOOKUP(A401,'Public v Private'!A:G,4,FALSE),"")</f>
        <v>0</v>
      </c>
      <c r="D401" s="38">
        <f>IFERROR(VLOOKUP(A401,'Public v Private'!A:G,5,FALSE),"")</f>
        <v>0</v>
      </c>
      <c r="E401" s="38"/>
      <c r="F401" s="40">
        <f>IFERROR(INDEX(Fall!$1:$1048576,MATCH(All!$A401,Fall!$A:$A,FALSE),MATCH(All!F$1,Fall!$1:$1,FALSE)),"N/A")</f>
        <v>1530</v>
      </c>
      <c r="G401" t="str">
        <f>IFERROR(IF(INDEX(Fall!$1:$1048576,MATCH(All!$A401,Fall!$A:$A,FALSE),MATCH(All!G$1,Fall!$1:$1,FALSE))="","",INDEX(Fall!$1:$1048576,MATCH(All!$A401,Fall!$A:$A,FALSE),MATCH(All!G$1,Fall!$1:$1,FALSE))),"")</f>
        <v>2A</v>
      </c>
      <c r="H401" t="str">
        <f>IFERROR(IF(INDEX(Fall!$1:$1048576,MATCH(All!$A401,Fall!$A:$A,FALSE),MATCH(All!H$1,Fall!$1:$1,FALSE))="","",INDEX(Fall!$1:$1048576,MATCH(All!$A401,Fall!$A:$A,FALSE),MATCH(All!H$1,Fall!$1:$1,FALSE))),"")</f>
        <v>2A</v>
      </c>
      <c r="I401" t="str">
        <f>IFERROR(IF(INDEX(Fall!$1:$1048576,MATCH(All!$A401,Fall!$A:$A,FALSE),MATCH(All!I$1,Fall!$1:$1,FALSE))="","",INDEX(Fall!$1:$1048576,MATCH(All!$A401,Fall!$A:$A,FALSE),MATCH(All!I$1,Fall!$1:$1,FALSE))),"")</f>
        <v/>
      </c>
      <c r="J401" t="str">
        <f>IFERROR(IF(INDEX(Fall!$1:$1048576,MATCH(All!$A401,Fall!$A:$A,FALSE),MATCH(All!J$1,Fall!$1:$1,FALSE))="","",INDEX(Fall!$1:$1048576,MATCH(All!$A401,Fall!$A:$A,FALSE),MATCH(All!J$1,Fall!$1:$1,FALSE))),"")</f>
        <v/>
      </c>
      <c r="K401" t="str">
        <f>IFERROR(IF(INDEX(Fall!$1:$1048576,MATCH(All!$A401,Fall!$A:$A,FALSE),MATCH(All!K$1,Fall!$1:$1,FALSE))="","",INDEX(Fall!$1:$1048576,MATCH(All!$A401,Fall!$A:$A,FALSE),MATCH(All!K$1,Fall!$1:$1,FALSE))),"")</f>
        <v>3A</v>
      </c>
      <c r="L401" t="str">
        <f>IFERROR(IF(INDEX(Fall!$1:$1048576,MATCH(All!$A401,Fall!$A:$A,FALSE),MATCH(All!L$1,Fall!$1:$1,FALSE))="","",INDEX(Fall!$1:$1048576,MATCH(All!$A401,Fall!$A:$A,FALSE),MATCH(All!L$1,Fall!$1:$1,FALSE))),"")</f>
        <v/>
      </c>
      <c r="M401" t="str">
        <f>IFERROR(IF(INDEX(Fall!$1:$1048576,MATCH(All!$A401,Fall!$A:$A,FALSE),MATCH(All!M$1,Fall!$1:$1,FALSE))="","",INDEX(Fall!$1:$1048576,MATCH(All!$A401,Fall!$A:$A,FALSE),MATCH(All!M$1,Fall!$1:$1,FALSE))),"")</f>
        <v>3A</v>
      </c>
      <c r="O401">
        <f>IFERROR(IF(INDEX(Winter!$1:$1048576,MATCH(All!$A401,Winter!$A:$A,FALSE),MATCH(All!O$1,Winter!$1:$1,FALSE))="","",INDEX(Winter!$1:$1048576,MATCH(All!$A401,Winter!$A:$A,FALSE),MATCH(All!O$1,Winter!$1:$1,FALSE))),"")</f>
        <v>1530</v>
      </c>
      <c r="P401" t="str">
        <f>IFERROR(IF(INDEX(Winter!$1:$1048576,MATCH(All!$A401,Winter!$A:$A,FALSE),MATCH(All!P$1,Winter!$1:$1,FALSE))="","",INDEX(Winter!$1:$1048576,MATCH(All!$A401,Winter!$A:$A,FALSE),MATCH(All!P$1,Winter!$1:$1,FALSE))),"")</f>
        <v>3A</v>
      </c>
      <c r="Q401" t="str">
        <f>IFERROR(IF(INDEX(Winter!$1:$1048576,MATCH(All!$A401,Winter!$A:$A,FALSE),MATCH(All!Q$1,Winter!$1:$1,FALSE))="","",INDEX(Winter!$1:$1048576,MATCH(All!$A401,Winter!$A:$A,FALSE),MATCH(All!Q$1,Winter!$1:$1,FALSE))),"")</f>
        <v>3A</v>
      </c>
      <c r="R401" t="str">
        <f>IFERROR(IF(INDEX(Winter!$1:$1048576,MATCH(All!$A401,Winter!$A:$A,FALSE),MATCH(All!R$1,Winter!$1:$1,FALSE))="","",INDEX(Winter!$1:$1048576,MATCH(All!$A401,Winter!$A:$A,FALSE),MATCH(All!R$1,Winter!$1:$1,FALSE))),"")</f>
        <v>C</v>
      </c>
      <c r="S401" t="str">
        <f>IFERROR(IF(INDEX(Winter!$1:$1048576,MATCH(All!$A401,Winter!$A:$A,FALSE),MATCH(All!S$1,Winter!$1:$1,FALSE))="","",INDEX(Winter!$1:$1048576,MATCH(All!$A401,Winter!$A:$A,FALSE),MATCH(All!S$1,Winter!$1:$1,FALSE))),"")</f>
        <v/>
      </c>
      <c r="T401" t="str">
        <f>IFERROR(IF(INDEX(Winter!$1:$1048576,MATCH(All!$A401,Winter!$A:$A,FALSE),MATCH(All!T$1,Winter!$1:$1,FALSE))="","",INDEX(Winter!$1:$1048576,MATCH(All!$A401,Winter!$A:$A,FALSE),MATCH(All!T$1,Winter!$1:$1,FALSE))),"")</f>
        <v>2A</v>
      </c>
      <c r="U401" t="str">
        <f>IFERROR(IF(INDEX(Winter!$1:$1048576,MATCH(All!$A401,Winter!$A:$A,FALSE),MATCH(All!U$1,Winter!$1:$1,FALSE))="","",INDEX(Winter!$1:$1048576,MATCH(All!$A401,Winter!$A:$A,FALSE),MATCH(All!U$1,Winter!$1:$1,FALSE))),"")</f>
        <v>3A</v>
      </c>
      <c r="W401">
        <f>IFERROR(IF(INDEX(Spring!$1:$1048576,MATCH(All!$A401,Spring!$A:$A,FALSE),MATCH(All!W$1,Spring!$1:$1,FALSE))="","",INDEX(Spring!$1:$1048576,MATCH(All!$A401,Spring!$A:$A,FALSE),MATCH(All!W$1,Spring!$1:$1,FALSE))),"")</f>
        <v>1530</v>
      </c>
      <c r="X401" t="str">
        <f>IFERROR(IF(INDEX(Spring!$1:$1048576,MATCH(All!$A401,Spring!$A:$A,FALSE),MATCH(All!X$1,Spring!$1:$1,FALSE))="","",INDEX(Spring!$1:$1048576,MATCH(All!$A401,Spring!$A:$A,FALSE),MATCH(All!X$1,Spring!$1:$1,FALSE))),"")</f>
        <v>3A</v>
      </c>
      <c r="Y401" t="str">
        <f>IFERROR(IF(INDEX(Spring!$1:$1048576,MATCH(All!$A401,Spring!$A:$A,FALSE),MATCH(All!Y$1,Spring!$1:$1,FALSE))="","",INDEX(Spring!$1:$1048576,MATCH(All!$A401,Spring!$A:$A,FALSE),MATCH(All!Y$1,Spring!$1:$1,FALSE))),"")</f>
        <v>3A</v>
      </c>
      <c r="Z401" t="str">
        <f>IFERROR(IF(INDEX(Spring!$1:$1048576,MATCH(All!$A401,Spring!$A:$A,FALSE),MATCH(All!Z$1,Spring!$1:$1,FALSE))="","",INDEX(Spring!$1:$1048576,MATCH(All!$A401,Spring!$A:$A,FALSE),MATCH(All!Z$1,Spring!$1:$1,FALSE))),"")</f>
        <v/>
      </c>
      <c r="AA401" t="str">
        <f>IFERROR(IF(INDEX(Spring!$1:$1048576,MATCH(All!$A401,Spring!$A:$A,FALSE),MATCH(All!AA$1,Spring!$1:$1,FALSE))="","",INDEX(Spring!$1:$1048576,MATCH(All!$A401,Spring!$A:$A,FALSE),MATCH(All!AA$1,Spring!$1:$1,FALSE))),"")</f>
        <v/>
      </c>
      <c r="AB401" t="str">
        <f>IFERROR(IF(INDEX(Spring!$1:$1048576,MATCH(All!$A401,Spring!$A:$A,FALSE),MATCH(All!AB$1,Spring!$1:$1,FALSE))="","",INDEX(Spring!$1:$1048576,MATCH(All!$A401,Spring!$A:$A,FALSE),MATCH(All!AB$1,Spring!$1:$1,FALSE))),"")</f>
        <v>3A</v>
      </c>
      <c r="AC401" t="str">
        <f>IFERROR(IF(INDEX(Spring!$1:$1048576,MATCH(All!$A401,Spring!$A:$A,FALSE),MATCH(All!AC$1,Spring!$1:$1,FALSE))="","",INDEX(Spring!$1:$1048576,MATCH(All!$A401,Spring!$A:$A,FALSE),MATCH(All!AC$1,Spring!$1:$1,FALSE))),"")</f>
        <v>3A</v>
      </c>
      <c r="AD401" t="str">
        <f>IFERROR(VLOOKUP(A401,'Flag Football'!A:A,1,FALSE),"")</f>
        <v/>
      </c>
      <c r="AE401" t="str">
        <f t="shared" si="6"/>
        <v/>
      </c>
    </row>
    <row r="402" spans="1:31" ht="15.75" thickBot="1" x14ac:dyDescent="0.3">
      <c r="A402" s="18" t="s">
        <v>490</v>
      </c>
      <c r="B402" s="38">
        <f>IFERROR(VLOOKUP(A402,'Public v Private'!A:G,3,FALSE),"")</f>
        <v>0</v>
      </c>
      <c r="C402" s="38">
        <f>IFERROR(VLOOKUP(A402,'Public v Private'!A:G,4,FALSE),"")</f>
        <v>0</v>
      </c>
      <c r="D402" s="38">
        <f>IFERROR(VLOOKUP(A402,'Public v Private'!A:G,5,FALSE),"")</f>
        <v>0</v>
      </c>
      <c r="E402" s="38"/>
      <c r="F402" s="40">
        <f>IFERROR(INDEX(Fall!$1:$1048576,MATCH(All!$A402,Fall!$A:$A,FALSE),MATCH(All!F$1,Fall!$1:$1,FALSE)),"N/A")</f>
        <v>242</v>
      </c>
      <c r="G402" t="str">
        <f>IFERROR(IF(INDEX(Fall!$1:$1048576,MATCH(All!$A402,Fall!$A:$A,FALSE),MATCH(All!G$1,Fall!$1:$1,FALSE))="","",INDEX(Fall!$1:$1048576,MATCH(All!$A402,Fall!$A:$A,FALSE),MATCH(All!G$1,Fall!$1:$1,FALSE))),"")</f>
        <v>1A</v>
      </c>
      <c r="H402" t="str">
        <f>IFERROR(IF(INDEX(Fall!$1:$1048576,MATCH(All!$A402,Fall!$A:$A,FALSE),MATCH(All!H$1,Fall!$1:$1,FALSE))="","",INDEX(Fall!$1:$1048576,MATCH(All!$A402,Fall!$A:$A,FALSE),MATCH(All!H$1,Fall!$1:$1,FALSE))),"")</f>
        <v>1A</v>
      </c>
      <c r="I402" t="str">
        <f>IFERROR(IF(INDEX(Fall!$1:$1048576,MATCH(All!$A402,Fall!$A:$A,FALSE),MATCH(All!I$1,Fall!$1:$1,FALSE))="","",INDEX(Fall!$1:$1048576,MATCH(All!$A402,Fall!$A:$A,FALSE),MATCH(All!I$1,Fall!$1:$1,FALSE))),"")</f>
        <v>1A</v>
      </c>
      <c r="J402" t="str">
        <f>IFERROR(IF(INDEX(Fall!$1:$1048576,MATCH(All!$A402,Fall!$A:$A,FALSE),MATCH(All!J$1,Fall!$1:$1,FALSE))="","",INDEX(Fall!$1:$1048576,MATCH(All!$A402,Fall!$A:$A,FALSE),MATCH(All!J$1,Fall!$1:$1,FALSE))),"")</f>
        <v>1A</v>
      </c>
      <c r="K402" t="str">
        <f>IFERROR(IF(INDEX(Fall!$1:$1048576,MATCH(All!$A402,Fall!$A:$A,FALSE),MATCH(All!K$1,Fall!$1:$1,FALSE))="","",INDEX(Fall!$1:$1048576,MATCH(All!$A402,Fall!$A:$A,FALSE),MATCH(All!K$1,Fall!$1:$1,FALSE))),"")</f>
        <v/>
      </c>
      <c r="L402" t="str">
        <f>IFERROR(IF(INDEX(Fall!$1:$1048576,MATCH(All!$A402,Fall!$A:$A,FALSE),MATCH(All!L$1,Fall!$1:$1,FALSE))="","",INDEX(Fall!$1:$1048576,MATCH(All!$A402,Fall!$A:$A,FALSE),MATCH(All!L$1,Fall!$1:$1,FALSE))),"")</f>
        <v/>
      </c>
      <c r="M402" t="str">
        <f>IFERROR(IF(INDEX(Fall!$1:$1048576,MATCH(All!$A402,Fall!$A:$A,FALSE),MATCH(All!M$1,Fall!$1:$1,FALSE))="","",INDEX(Fall!$1:$1048576,MATCH(All!$A402,Fall!$A:$A,FALSE),MATCH(All!M$1,Fall!$1:$1,FALSE))),"")</f>
        <v>1A</v>
      </c>
      <c r="O402">
        <f>IFERROR(IF(INDEX(Winter!$1:$1048576,MATCH(All!$A402,Winter!$A:$A,FALSE),MATCH(All!O$1,Winter!$1:$1,FALSE))="","",INDEX(Winter!$1:$1048576,MATCH(All!$A402,Winter!$A:$A,FALSE),MATCH(All!O$1,Winter!$1:$1,FALSE))),"")</f>
        <v>242</v>
      </c>
      <c r="P402" t="str">
        <f>IFERROR(IF(INDEX(Winter!$1:$1048576,MATCH(All!$A402,Winter!$A:$A,FALSE),MATCH(All!P$1,Winter!$1:$1,FALSE))="","",INDEX(Winter!$1:$1048576,MATCH(All!$A402,Winter!$A:$A,FALSE),MATCH(All!P$1,Winter!$1:$1,FALSE))),"")</f>
        <v>1A</v>
      </c>
      <c r="Q402" t="str">
        <f>IFERROR(IF(INDEX(Winter!$1:$1048576,MATCH(All!$A402,Winter!$A:$A,FALSE),MATCH(All!Q$1,Winter!$1:$1,FALSE))="","",INDEX(Winter!$1:$1048576,MATCH(All!$A402,Winter!$A:$A,FALSE),MATCH(All!Q$1,Winter!$1:$1,FALSE))),"")</f>
        <v>1A</v>
      </c>
      <c r="R402" t="str">
        <f>IFERROR(IF(INDEX(Winter!$1:$1048576,MATCH(All!$A402,Winter!$A:$A,FALSE),MATCH(All!R$1,Winter!$1:$1,FALSE))="","",INDEX(Winter!$1:$1048576,MATCH(All!$A402,Winter!$A:$A,FALSE),MATCH(All!R$1,Winter!$1:$1,FALSE))),"")</f>
        <v/>
      </c>
      <c r="S402" t="str">
        <f>IFERROR(IF(INDEX(Winter!$1:$1048576,MATCH(All!$A402,Winter!$A:$A,FALSE),MATCH(All!S$1,Winter!$1:$1,FALSE))="","",INDEX(Winter!$1:$1048576,MATCH(All!$A402,Winter!$A:$A,FALSE),MATCH(All!S$1,Winter!$1:$1,FALSE))),"")</f>
        <v/>
      </c>
      <c r="T402" t="str">
        <f>IFERROR(IF(INDEX(Winter!$1:$1048576,MATCH(All!$A402,Winter!$A:$A,FALSE),MATCH(All!T$1,Winter!$1:$1,FALSE))="","",INDEX(Winter!$1:$1048576,MATCH(All!$A402,Winter!$A:$A,FALSE),MATCH(All!T$1,Winter!$1:$1,FALSE))),"")</f>
        <v>1A</v>
      </c>
      <c r="U402" t="str">
        <f>IFERROR(IF(INDEX(Winter!$1:$1048576,MATCH(All!$A402,Winter!$A:$A,FALSE),MATCH(All!U$1,Winter!$1:$1,FALSE))="","",INDEX(Winter!$1:$1048576,MATCH(All!$A402,Winter!$A:$A,FALSE),MATCH(All!U$1,Winter!$1:$1,FALSE))),"")</f>
        <v/>
      </c>
      <c r="W402">
        <f>IFERROR(IF(INDEX(Spring!$1:$1048576,MATCH(All!$A402,Spring!$A:$A,FALSE),MATCH(All!W$1,Spring!$1:$1,FALSE))="","",INDEX(Spring!$1:$1048576,MATCH(All!$A402,Spring!$A:$A,FALSE),MATCH(All!W$1,Spring!$1:$1,FALSE))),"")</f>
        <v>242</v>
      </c>
      <c r="X402" t="str">
        <f>IFERROR(IF(INDEX(Spring!$1:$1048576,MATCH(All!$A402,Spring!$A:$A,FALSE),MATCH(All!X$1,Spring!$1:$1,FALSE))="","",INDEX(Spring!$1:$1048576,MATCH(All!$A402,Spring!$A:$A,FALSE),MATCH(All!X$1,Spring!$1:$1,FALSE))),"")</f>
        <v>1A</v>
      </c>
      <c r="Y402" t="str">
        <f>IFERROR(IF(INDEX(Spring!$1:$1048576,MATCH(All!$A402,Spring!$A:$A,FALSE),MATCH(All!Y$1,Spring!$1:$1,FALSE))="","",INDEX(Spring!$1:$1048576,MATCH(All!$A402,Spring!$A:$A,FALSE),MATCH(All!Y$1,Spring!$1:$1,FALSE))),"")</f>
        <v>1A</v>
      </c>
      <c r="Z402" t="str">
        <f>IFERROR(IF(INDEX(Spring!$1:$1048576,MATCH(All!$A402,Spring!$A:$A,FALSE),MATCH(All!Z$1,Spring!$1:$1,FALSE))="","",INDEX(Spring!$1:$1048576,MATCH(All!$A402,Spring!$A:$A,FALSE),MATCH(All!Z$1,Spring!$1:$1,FALSE))),"")</f>
        <v/>
      </c>
      <c r="AA402" t="str">
        <f>IFERROR(IF(INDEX(Spring!$1:$1048576,MATCH(All!$A402,Spring!$A:$A,FALSE),MATCH(All!AA$1,Spring!$1:$1,FALSE))="","",INDEX(Spring!$1:$1048576,MATCH(All!$A402,Spring!$A:$A,FALSE),MATCH(All!AA$1,Spring!$1:$1,FALSE))),"")</f>
        <v/>
      </c>
      <c r="AB402" t="str">
        <f>IFERROR(IF(INDEX(Spring!$1:$1048576,MATCH(All!$A402,Spring!$A:$A,FALSE),MATCH(All!AB$1,Spring!$1:$1,FALSE))="","",INDEX(Spring!$1:$1048576,MATCH(All!$A402,Spring!$A:$A,FALSE),MATCH(All!AB$1,Spring!$1:$1,FALSE))),"")</f>
        <v>1A</v>
      </c>
      <c r="AC402" t="str">
        <f>IFERROR(IF(INDEX(Spring!$1:$1048576,MATCH(All!$A402,Spring!$A:$A,FALSE),MATCH(All!AC$1,Spring!$1:$1,FALSE))="","",INDEX(Spring!$1:$1048576,MATCH(All!$A402,Spring!$A:$A,FALSE),MATCH(All!AC$1,Spring!$1:$1,FALSE))),"")</f>
        <v>1A</v>
      </c>
      <c r="AD402" t="str">
        <f>IFERROR(VLOOKUP(A402,'Flag Football'!A:A,1,FALSE),"")</f>
        <v/>
      </c>
      <c r="AE402" t="str">
        <f t="shared" si="6"/>
        <v/>
      </c>
    </row>
    <row r="403" spans="1:31" ht="15.75" thickBot="1" x14ac:dyDescent="0.3">
      <c r="A403" s="20" t="s">
        <v>491</v>
      </c>
      <c r="B403" s="38">
        <f>IFERROR(VLOOKUP(A403,'Public v Private'!A:G,3,FALSE),"")</f>
        <v>0</v>
      </c>
      <c r="C403" s="38">
        <f>IFERROR(VLOOKUP(A403,'Public v Private'!A:G,4,FALSE),"")</f>
        <v>0</v>
      </c>
      <c r="D403" s="38">
        <f>IFERROR(VLOOKUP(A403,'Public v Private'!A:G,5,FALSE),"")</f>
        <v>0</v>
      </c>
      <c r="E403" s="38"/>
      <c r="F403" s="40">
        <f>IFERROR(INDEX(Fall!$1:$1048576,MATCH(All!$A403,Fall!$A:$A,FALSE),MATCH(All!F$1,Fall!$1:$1,FALSE)),"N/A")</f>
        <v>109</v>
      </c>
      <c r="G403" t="str">
        <f>IFERROR(IF(INDEX(Fall!$1:$1048576,MATCH(All!$A403,Fall!$A:$A,FALSE),MATCH(All!G$1,Fall!$1:$1,FALSE))="","",INDEX(Fall!$1:$1048576,MATCH(All!$A403,Fall!$A:$A,FALSE),MATCH(All!G$1,Fall!$1:$1,FALSE))),"")</f>
        <v/>
      </c>
      <c r="H403" t="str">
        <f>IFERROR(IF(INDEX(Fall!$1:$1048576,MATCH(All!$A403,Fall!$A:$A,FALSE),MATCH(All!H$1,Fall!$1:$1,FALSE))="","",INDEX(Fall!$1:$1048576,MATCH(All!$A403,Fall!$A:$A,FALSE),MATCH(All!H$1,Fall!$1:$1,FALSE))),"")</f>
        <v/>
      </c>
      <c r="I403" t="str">
        <f>IFERROR(IF(INDEX(Fall!$1:$1048576,MATCH(All!$A403,Fall!$A:$A,FALSE),MATCH(All!I$1,Fall!$1:$1,FALSE))="","",INDEX(Fall!$1:$1048576,MATCH(All!$A403,Fall!$A:$A,FALSE),MATCH(All!I$1,Fall!$1:$1,FALSE))),"")</f>
        <v/>
      </c>
      <c r="J403" t="str">
        <f>IFERROR(IF(INDEX(Fall!$1:$1048576,MATCH(All!$A403,Fall!$A:$A,FALSE),MATCH(All!J$1,Fall!$1:$1,FALSE))="","",INDEX(Fall!$1:$1048576,MATCH(All!$A403,Fall!$A:$A,FALSE),MATCH(All!J$1,Fall!$1:$1,FALSE))),"")</f>
        <v/>
      </c>
      <c r="K403" t="str">
        <f>IFERROR(IF(INDEX(Fall!$1:$1048576,MATCH(All!$A403,Fall!$A:$A,FALSE),MATCH(All!K$1,Fall!$1:$1,FALSE))="","",INDEX(Fall!$1:$1048576,MATCH(All!$A403,Fall!$A:$A,FALSE),MATCH(All!K$1,Fall!$1:$1,FALSE))),"")</f>
        <v/>
      </c>
      <c r="L403" t="str">
        <f>IFERROR(IF(INDEX(Fall!$1:$1048576,MATCH(All!$A403,Fall!$A:$A,FALSE),MATCH(All!L$1,Fall!$1:$1,FALSE))="","",INDEX(Fall!$1:$1048576,MATCH(All!$A403,Fall!$A:$A,FALSE),MATCH(All!L$1,Fall!$1:$1,FALSE))),"")</f>
        <v/>
      </c>
      <c r="M403" t="str">
        <f>IFERROR(IF(INDEX(Fall!$1:$1048576,MATCH(All!$A403,Fall!$A:$A,FALSE),MATCH(All!M$1,Fall!$1:$1,FALSE))="","",INDEX(Fall!$1:$1048576,MATCH(All!$A403,Fall!$A:$A,FALSE),MATCH(All!M$1,Fall!$1:$1,FALSE))),"")</f>
        <v>1A</v>
      </c>
      <c r="O403">
        <f>IFERROR(IF(INDEX(Winter!$1:$1048576,MATCH(All!$A403,Winter!$A:$A,FALSE),MATCH(All!O$1,Winter!$1:$1,FALSE))="","",INDEX(Winter!$1:$1048576,MATCH(All!$A403,Winter!$A:$A,FALSE),MATCH(All!O$1,Winter!$1:$1,FALSE))),"")</f>
        <v>109</v>
      </c>
      <c r="P403" t="str">
        <f>IFERROR(IF(INDEX(Winter!$1:$1048576,MATCH(All!$A403,Winter!$A:$A,FALSE),MATCH(All!P$1,Winter!$1:$1,FALSE))="","",INDEX(Winter!$1:$1048576,MATCH(All!$A403,Winter!$A:$A,FALSE),MATCH(All!P$1,Winter!$1:$1,FALSE))),"")</f>
        <v>1A</v>
      </c>
      <c r="Q403" t="str">
        <f>IFERROR(IF(INDEX(Winter!$1:$1048576,MATCH(All!$A403,Winter!$A:$A,FALSE),MATCH(All!Q$1,Winter!$1:$1,FALSE))="","",INDEX(Winter!$1:$1048576,MATCH(All!$A403,Winter!$A:$A,FALSE),MATCH(All!Q$1,Winter!$1:$1,FALSE))),"")</f>
        <v>1A</v>
      </c>
      <c r="R403" t="str">
        <f>IFERROR(IF(INDEX(Winter!$1:$1048576,MATCH(All!$A403,Winter!$A:$A,FALSE),MATCH(All!R$1,Winter!$1:$1,FALSE))="","",INDEX(Winter!$1:$1048576,MATCH(All!$A403,Winter!$A:$A,FALSE),MATCH(All!R$1,Winter!$1:$1,FALSE))),"")</f>
        <v/>
      </c>
      <c r="S403" t="str">
        <f>IFERROR(IF(INDEX(Winter!$1:$1048576,MATCH(All!$A403,Winter!$A:$A,FALSE),MATCH(All!S$1,Winter!$1:$1,FALSE))="","",INDEX(Winter!$1:$1048576,MATCH(All!$A403,Winter!$A:$A,FALSE),MATCH(All!S$1,Winter!$1:$1,FALSE))),"")</f>
        <v/>
      </c>
      <c r="T403" t="str">
        <f>IFERROR(IF(INDEX(Winter!$1:$1048576,MATCH(All!$A403,Winter!$A:$A,FALSE),MATCH(All!T$1,Winter!$1:$1,FALSE))="","",INDEX(Winter!$1:$1048576,MATCH(All!$A403,Winter!$A:$A,FALSE),MATCH(All!T$1,Winter!$1:$1,FALSE))),"")</f>
        <v/>
      </c>
      <c r="U403" t="str">
        <f>IFERROR(IF(INDEX(Winter!$1:$1048576,MATCH(All!$A403,Winter!$A:$A,FALSE),MATCH(All!U$1,Winter!$1:$1,FALSE))="","",INDEX(Winter!$1:$1048576,MATCH(All!$A403,Winter!$A:$A,FALSE),MATCH(All!U$1,Winter!$1:$1,FALSE))),"")</f>
        <v>1A</v>
      </c>
      <c r="W403">
        <f>IFERROR(IF(INDEX(Spring!$1:$1048576,MATCH(All!$A403,Spring!$A:$A,FALSE),MATCH(All!W$1,Spring!$1:$1,FALSE))="","",INDEX(Spring!$1:$1048576,MATCH(All!$A403,Spring!$A:$A,FALSE),MATCH(All!W$1,Spring!$1:$1,FALSE))),"")</f>
        <v>109</v>
      </c>
      <c r="X403" t="str">
        <f>IFERROR(IF(INDEX(Spring!$1:$1048576,MATCH(All!$A403,Spring!$A:$A,FALSE),MATCH(All!X$1,Spring!$1:$1,FALSE))="","",INDEX(Spring!$1:$1048576,MATCH(All!$A403,Spring!$A:$A,FALSE),MATCH(All!X$1,Spring!$1:$1,FALSE))),"")</f>
        <v>1A</v>
      </c>
      <c r="Y403" t="str">
        <f>IFERROR(IF(INDEX(Spring!$1:$1048576,MATCH(All!$A403,Spring!$A:$A,FALSE),MATCH(All!Y$1,Spring!$1:$1,FALSE))="","",INDEX(Spring!$1:$1048576,MATCH(All!$A403,Spring!$A:$A,FALSE),MATCH(All!Y$1,Spring!$1:$1,FALSE))),"")</f>
        <v>1A</v>
      </c>
      <c r="Z403" t="str">
        <f>IFERROR(IF(INDEX(Spring!$1:$1048576,MATCH(All!$A403,Spring!$A:$A,FALSE),MATCH(All!Z$1,Spring!$1:$1,FALSE))="","",INDEX(Spring!$1:$1048576,MATCH(All!$A403,Spring!$A:$A,FALSE),MATCH(All!Z$1,Spring!$1:$1,FALSE))),"")</f>
        <v/>
      </c>
      <c r="AA403" t="str">
        <f>IFERROR(IF(INDEX(Spring!$1:$1048576,MATCH(All!$A403,Spring!$A:$A,FALSE),MATCH(All!AA$1,Spring!$1:$1,FALSE))="","",INDEX(Spring!$1:$1048576,MATCH(All!$A403,Spring!$A:$A,FALSE),MATCH(All!AA$1,Spring!$1:$1,FALSE))),"")</f>
        <v/>
      </c>
      <c r="AB403" t="str">
        <f>IFERROR(IF(INDEX(Spring!$1:$1048576,MATCH(All!$A403,Spring!$A:$A,FALSE),MATCH(All!AB$1,Spring!$1:$1,FALSE))="","",INDEX(Spring!$1:$1048576,MATCH(All!$A403,Spring!$A:$A,FALSE),MATCH(All!AB$1,Spring!$1:$1,FALSE))),"")</f>
        <v>1A</v>
      </c>
      <c r="AC403" t="str">
        <f>IFERROR(IF(INDEX(Spring!$1:$1048576,MATCH(All!$A403,Spring!$A:$A,FALSE),MATCH(All!AC$1,Spring!$1:$1,FALSE))="","",INDEX(Spring!$1:$1048576,MATCH(All!$A403,Spring!$A:$A,FALSE),MATCH(All!AC$1,Spring!$1:$1,FALSE))),"")</f>
        <v>1A</v>
      </c>
      <c r="AD403" t="str">
        <f>IFERROR(VLOOKUP(A403,'Flag Football'!A:A,1,FALSE),"")</f>
        <v/>
      </c>
      <c r="AE403" t="str">
        <f t="shared" si="6"/>
        <v/>
      </c>
    </row>
    <row r="404" spans="1:31" ht="15.75" thickBot="1" x14ac:dyDescent="0.3">
      <c r="A404" s="18" t="s">
        <v>492</v>
      </c>
      <c r="B404" s="38">
        <f>IFERROR(VLOOKUP(A404,'Public v Private'!A:G,3,FALSE),"")</f>
        <v>0</v>
      </c>
      <c r="C404" s="38">
        <f>IFERROR(VLOOKUP(A404,'Public v Private'!A:G,4,FALSE),"")</f>
        <v>0</v>
      </c>
      <c r="D404" s="38">
        <f>IFERROR(VLOOKUP(A404,'Public v Private'!A:G,5,FALSE),"")</f>
        <v>0</v>
      </c>
      <c r="E404" s="38"/>
      <c r="F404" s="40">
        <f>IFERROR(INDEX(Fall!$1:$1048576,MATCH(All!$A404,Fall!$A:$A,FALSE),MATCH(All!F$1,Fall!$1:$1,FALSE)),"N/A")</f>
        <v>141</v>
      </c>
      <c r="G404" t="str">
        <f>IFERROR(IF(INDEX(Fall!$1:$1048576,MATCH(All!$A404,Fall!$A:$A,FALSE),MATCH(All!G$1,Fall!$1:$1,FALSE))="","",INDEX(Fall!$1:$1048576,MATCH(All!$A404,Fall!$A:$A,FALSE),MATCH(All!G$1,Fall!$1:$1,FALSE))),"")</f>
        <v>1A</v>
      </c>
      <c r="H404" t="str">
        <f>IFERROR(IF(INDEX(Fall!$1:$1048576,MATCH(All!$A404,Fall!$A:$A,FALSE),MATCH(All!H$1,Fall!$1:$1,FALSE))="","",INDEX(Fall!$1:$1048576,MATCH(All!$A404,Fall!$A:$A,FALSE),MATCH(All!H$1,Fall!$1:$1,FALSE))),"")</f>
        <v>1A</v>
      </c>
      <c r="I404" t="str">
        <f>IFERROR(IF(INDEX(Fall!$1:$1048576,MATCH(All!$A404,Fall!$A:$A,FALSE),MATCH(All!I$1,Fall!$1:$1,FALSE))="","",INDEX(Fall!$1:$1048576,MATCH(All!$A404,Fall!$A:$A,FALSE),MATCH(All!I$1,Fall!$1:$1,FALSE))),"")</f>
        <v>1A</v>
      </c>
      <c r="J404" t="str">
        <f>IFERROR(IF(INDEX(Fall!$1:$1048576,MATCH(All!$A404,Fall!$A:$A,FALSE),MATCH(All!J$1,Fall!$1:$1,FALSE))="","",INDEX(Fall!$1:$1048576,MATCH(All!$A404,Fall!$A:$A,FALSE),MATCH(All!J$1,Fall!$1:$1,FALSE))),"")</f>
        <v>1A</v>
      </c>
      <c r="K404" t="str">
        <f>IFERROR(IF(INDEX(Fall!$1:$1048576,MATCH(All!$A404,Fall!$A:$A,FALSE),MATCH(All!K$1,Fall!$1:$1,FALSE))="","",INDEX(Fall!$1:$1048576,MATCH(All!$A404,Fall!$A:$A,FALSE),MATCH(All!K$1,Fall!$1:$1,FALSE))),"")</f>
        <v/>
      </c>
      <c r="L404" t="str">
        <f>IFERROR(IF(INDEX(Fall!$1:$1048576,MATCH(All!$A404,Fall!$A:$A,FALSE),MATCH(All!L$1,Fall!$1:$1,FALSE))="","",INDEX(Fall!$1:$1048576,MATCH(All!$A404,Fall!$A:$A,FALSE),MATCH(All!L$1,Fall!$1:$1,FALSE))),"")</f>
        <v/>
      </c>
      <c r="M404" t="str">
        <f>IFERROR(IF(INDEX(Fall!$1:$1048576,MATCH(All!$A404,Fall!$A:$A,FALSE),MATCH(All!M$1,Fall!$1:$1,FALSE))="","",INDEX(Fall!$1:$1048576,MATCH(All!$A404,Fall!$A:$A,FALSE),MATCH(All!M$1,Fall!$1:$1,FALSE))),"")</f>
        <v>1A</v>
      </c>
      <c r="O404">
        <f>IFERROR(IF(INDEX(Winter!$1:$1048576,MATCH(All!$A404,Winter!$A:$A,FALSE),MATCH(All!O$1,Winter!$1:$1,FALSE))="","",INDEX(Winter!$1:$1048576,MATCH(All!$A404,Winter!$A:$A,FALSE),MATCH(All!O$1,Winter!$1:$1,FALSE))),"")</f>
        <v>141</v>
      </c>
      <c r="P404" t="str">
        <f>IFERROR(IF(INDEX(Winter!$1:$1048576,MATCH(All!$A404,Winter!$A:$A,FALSE),MATCH(All!P$1,Winter!$1:$1,FALSE))="","",INDEX(Winter!$1:$1048576,MATCH(All!$A404,Winter!$A:$A,FALSE),MATCH(All!P$1,Winter!$1:$1,FALSE))),"")</f>
        <v>1A</v>
      </c>
      <c r="Q404" t="str">
        <f>IFERROR(IF(INDEX(Winter!$1:$1048576,MATCH(All!$A404,Winter!$A:$A,FALSE),MATCH(All!Q$1,Winter!$1:$1,FALSE))="","",INDEX(Winter!$1:$1048576,MATCH(All!$A404,Winter!$A:$A,FALSE),MATCH(All!Q$1,Winter!$1:$1,FALSE))),"")</f>
        <v>1A</v>
      </c>
      <c r="R404" t="str">
        <f>IFERROR(IF(INDEX(Winter!$1:$1048576,MATCH(All!$A404,Winter!$A:$A,FALSE),MATCH(All!R$1,Winter!$1:$1,FALSE))="","",INDEX(Winter!$1:$1048576,MATCH(All!$A404,Winter!$A:$A,FALSE),MATCH(All!R$1,Winter!$1:$1,FALSE))),"")</f>
        <v/>
      </c>
      <c r="S404" t="str">
        <f>IFERROR(IF(INDEX(Winter!$1:$1048576,MATCH(All!$A404,Winter!$A:$A,FALSE),MATCH(All!S$1,Winter!$1:$1,FALSE))="","",INDEX(Winter!$1:$1048576,MATCH(All!$A404,Winter!$A:$A,FALSE),MATCH(All!S$1,Winter!$1:$1,FALSE))),"")</f>
        <v/>
      </c>
      <c r="T404" t="str">
        <f>IFERROR(IF(INDEX(Winter!$1:$1048576,MATCH(All!$A404,Winter!$A:$A,FALSE),MATCH(All!T$1,Winter!$1:$1,FALSE))="","",INDEX(Winter!$1:$1048576,MATCH(All!$A404,Winter!$A:$A,FALSE),MATCH(All!T$1,Winter!$1:$1,FALSE))),"")</f>
        <v>1A</v>
      </c>
      <c r="U404" t="str">
        <f>IFERROR(IF(INDEX(Winter!$1:$1048576,MATCH(All!$A404,Winter!$A:$A,FALSE),MATCH(All!U$1,Winter!$1:$1,FALSE))="","",INDEX(Winter!$1:$1048576,MATCH(All!$A404,Winter!$A:$A,FALSE),MATCH(All!U$1,Winter!$1:$1,FALSE))),"")</f>
        <v/>
      </c>
      <c r="W404">
        <f>IFERROR(IF(INDEX(Spring!$1:$1048576,MATCH(All!$A404,Spring!$A:$A,FALSE),MATCH(All!W$1,Spring!$1:$1,FALSE))="","",INDEX(Spring!$1:$1048576,MATCH(All!$A404,Spring!$A:$A,FALSE),MATCH(All!W$1,Spring!$1:$1,FALSE))),"")</f>
        <v>141</v>
      </c>
      <c r="X404" t="str">
        <f>IFERROR(IF(INDEX(Spring!$1:$1048576,MATCH(All!$A404,Spring!$A:$A,FALSE),MATCH(All!X$1,Spring!$1:$1,FALSE))="","",INDEX(Spring!$1:$1048576,MATCH(All!$A404,Spring!$A:$A,FALSE),MATCH(All!X$1,Spring!$1:$1,FALSE))),"")</f>
        <v>1A</v>
      </c>
      <c r="Y404" t="str">
        <f>IFERROR(IF(INDEX(Spring!$1:$1048576,MATCH(All!$A404,Spring!$A:$A,FALSE),MATCH(All!Y$1,Spring!$1:$1,FALSE))="","",INDEX(Spring!$1:$1048576,MATCH(All!$A404,Spring!$A:$A,FALSE),MATCH(All!Y$1,Spring!$1:$1,FALSE))),"")</f>
        <v>1A</v>
      </c>
      <c r="Z404" t="str">
        <f>IFERROR(IF(INDEX(Spring!$1:$1048576,MATCH(All!$A404,Spring!$A:$A,FALSE),MATCH(All!Z$1,Spring!$1:$1,FALSE))="","",INDEX(Spring!$1:$1048576,MATCH(All!$A404,Spring!$A:$A,FALSE),MATCH(All!Z$1,Spring!$1:$1,FALSE))),"")</f>
        <v/>
      </c>
      <c r="AA404" t="str">
        <f>IFERROR(IF(INDEX(Spring!$1:$1048576,MATCH(All!$A404,Spring!$A:$A,FALSE),MATCH(All!AA$1,Spring!$1:$1,FALSE))="","",INDEX(Spring!$1:$1048576,MATCH(All!$A404,Spring!$A:$A,FALSE),MATCH(All!AA$1,Spring!$1:$1,FALSE))),"")</f>
        <v/>
      </c>
      <c r="AB404" t="str">
        <f>IFERROR(IF(INDEX(Spring!$1:$1048576,MATCH(All!$A404,Spring!$A:$A,FALSE),MATCH(All!AB$1,Spring!$1:$1,FALSE))="","",INDEX(Spring!$1:$1048576,MATCH(All!$A404,Spring!$A:$A,FALSE),MATCH(All!AB$1,Spring!$1:$1,FALSE))),"")</f>
        <v>1A</v>
      </c>
      <c r="AC404" t="str">
        <f>IFERROR(IF(INDEX(Spring!$1:$1048576,MATCH(All!$A404,Spring!$A:$A,FALSE),MATCH(All!AC$1,Spring!$1:$1,FALSE))="","",INDEX(Spring!$1:$1048576,MATCH(All!$A404,Spring!$A:$A,FALSE),MATCH(All!AC$1,Spring!$1:$1,FALSE))),"")</f>
        <v>1A</v>
      </c>
      <c r="AD404" t="str">
        <f>IFERROR(VLOOKUP(A404,'Flag Football'!A:A,1,FALSE),"")</f>
        <v/>
      </c>
      <c r="AE404" t="str">
        <f t="shared" si="6"/>
        <v/>
      </c>
    </row>
    <row r="405" spans="1:31" ht="15.75" thickBot="1" x14ac:dyDescent="0.3">
      <c r="A405" s="20" t="s">
        <v>493</v>
      </c>
      <c r="B405" s="38">
        <f>IFERROR(VLOOKUP(A405,'Public v Private'!A:G,3,FALSE),"")</f>
        <v>0</v>
      </c>
      <c r="C405" s="38">
        <f>IFERROR(VLOOKUP(A405,'Public v Private'!A:G,4,FALSE),"")</f>
        <v>0</v>
      </c>
      <c r="D405" s="38">
        <f>IFERROR(VLOOKUP(A405,'Public v Private'!A:G,5,FALSE),"")</f>
        <v>0</v>
      </c>
      <c r="E405" s="38"/>
      <c r="F405" s="40">
        <f>IFERROR(INDEX(Fall!$1:$1048576,MATCH(All!$A405,Fall!$A:$A,FALSE),MATCH(All!F$1,Fall!$1:$1,FALSE)),"N/A")</f>
        <v>635</v>
      </c>
      <c r="G405" t="str">
        <f>IFERROR(IF(INDEX(Fall!$1:$1048576,MATCH(All!$A405,Fall!$A:$A,FALSE),MATCH(All!G$1,Fall!$1:$1,FALSE))="","",INDEX(Fall!$1:$1048576,MATCH(All!$A405,Fall!$A:$A,FALSE),MATCH(All!G$1,Fall!$1:$1,FALSE))),"")</f>
        <v>2A</v>
      </c>
      <c r="H405" t="str">
        <f>IFERROR(IF(INDEX(Fall!$1:$1048576,MATCH(All!$A405,Fall!$A:$A,FALSE),MATCH(All!H$1,Fall!$1:$1,FALSE))="","",INDEX(Fall!$1:$1048576,MATCH(All!$A405,Fall!$A:$A,FALSE),MATCH(All!H$1,Fall!$1:$1,FALSE))),"")</f>
        <v>2A</v>
      </c>
      <c r="I405" t="str">
        <f>IFERROR(IF(INDEX(Fall!$1:$1048576,MATCH(All!$A405,Fall!$A:$A,FALSE),MATCH(All!I$1,Fall!$1:$1,FALSE))="","",INDEX(Fall!$1:$1048576,MATCH(All!$A405,Fall!$A:$A,FALSE),MATCH(All!I$1,Fall!$1:$1,FALSE))),"")</f>
        <v>2A</v>
      </c>
      <c r="J405" t="str">
        <f>IFERROR(IF(INDEX(Fall!$1:$1048576,MATCH(All!$A405,Fall!$A:$A,FALSE),MATCH(All!J$1,Fall!$1:$1,FALSE))="","",INDEX(Fall!$1:$1048576,MATCH(All!$A405,Fall!$A:$A,FALSE),MATCH(All!J$1,Fall!$1:$1,FALSE))),"")</f>
        <v>1A</v>
      </c>
      <c r="K405" t="str">
        <f>IFERROR(IF(INDEX(Fall!$1:$1048576,MATCH(All!$A405,Fall!$A:$A,FALSE),MATCH(All!K$1,Fall!$1:$1,FALSE))="","",INDEX(Fall!$1:$1048576,MATCH(All!$A405,Fall!$A:$A,FALSE),MATCH(All!K$1,Fall!$1:$1,FALSE))),"")</f>
        <v/>
      </c>
      <c r="L405" t="str">
        <f>IFERROR(IF(INDEX(Fall!$1:$1048576,MATCH(All!$A405,Fall!$A:$A,FALSE),MATCH(All!L$1,Fall!$1:$1,FALSE))="","",INDEX(Fall!$1:$1048576,MATCH(All!$A405,Fall!$A:$A,FALSE),MATCH(All!L$1,Fall!$1:$1,FALSE))),"")</f>
        <v>1A</v>
      </c>
      <c r="M405" t="str">
        <f>IFERROR(IF(INDEX(Fall!$1:$1048576,MATCH(All!$A405,Fall!$A:$A,FALSE),MATCH(All!M$1,Fall!$1:$1,FALSE))="","",INDEX(Fall!$1:$1048576,MATCH(All!$A405,Fall!$A:$A,FALSE),MATCH(All!M$1,Fall!$1:$1,FALSE))),"")</f>
        <v>2A</v>
      </c>
      <c r="O405">
        <f>IFERROR(IF(INDEX(Winter!$1:$1048576,MATCH(All!$A405,Winter!$A:$A,FALSE),MATCH(All!O$1,Winter!$1:$1,FALSE))="","",INDEX(Winter!$1:$1048576,MATCH(All!$A405,Winter!$A:$A,FALSE),MATCH(All!O$1,Winter!$1:$1,FALSE))),"")</f>
        <v>635</v>
      </c>
      <c r="P405" t="str">
        <f>IFERROR(IF(INDEX(Winter!$1:$1048576,MATCH(All!$A405,Winter!$A:$A,FALSE),MATCH(All!P$1,Winter!$1:$1,FALSE))="","",INDEX(Winter!$1:$1048576,MATCH(All!$A405,Winter!$A:$A,FALSE),MATCH(All!P$1,Winter!$1:$1,FALSE))),"")</f>
        <v>2A</v>
      </c>
      <c r="Q405" t="str">
        <f>IFERROR(IF(INDEX(Winter!$1:$1048576,MATCH(All!$A405,Winter!$A:$A,FALSE),MATCH(All!Q$1,Winter!$1:$1,FALSE))="","",INDEX(Winter!$1:$1048576,MATCH(All!$A405,Winter!$A:$A,FALSE),MATCH(All!Q$1,Winter!$1:$1,FALSE))),"")</f>
        <v>2A</v>
      </c>
      <c r="R405" t="str">
        <f>IFERROR(IF(INDEX(Winter!$1:$1048576,MATCH(All!$A405,Winter!$A:$A,FALSE),MATCH(All!R$1,Winter!$1:$1,FALSE))="","",INDEX(Winter!$1:$1048576,MATCH(All!$A405,Winter!$A:$A,FALSE),MATCH(All!R$1,Winter!$1:$1,FALSE))),"")</f>
        <v>1A</v>
      </c>
      <c r="S405" t="str">
        <f>IFERROR(IF(INDEX(Winter!$1:$1048576,MATCH(All!$A405,Winter!$A:$A,FALSE),MATCH(All!S$1,Winter!$1:$1,FALSE))="","",INDEX(Winter!$1:$1048576,MATCH(All!$A405,Winter!$A:$A,FALSE),MATCH(All!S$1,Winter!$1:$1,FALSE))),"")</f>
        <v>1A</v>
      </c>
      <c r="T405" t="str">
        <f>IFERROR(IF(INDEX(Winter!$1:$1048576,MATCH(All!$A405,Winter!$A:$A,FALSE),MATCH(All!T$1,Winter!$1:$1,FALSE))="","",INDEX(Winter!$1:$1048576,MATCH(All!$A405,Winter!$A:$A,FALSE),MATCH(All!T$1,Winter!$1:$1,FALSE))),"")</f>
        <v>2A</v>
      </c>
      <c r="U405" t="str">
        <f>IFERROR(IF(INDEX(Winter!$1:$1048576,MATCH(All!$A405,Winter!$A:$A,FALSE),MATCH(All!U$1,Winter!$1:$1,FALSE))="","",INDEX(Winter!$1:$1048576,MATCH(All!$A405,Winter!$A:$A,FALSE),MATCH(All!U$1,Winter!$1:$1,FALSE))),"")</f>
        <v>1A</v>
      </c>
      <c r="W405">
        <f>IFERROR(IF(INDEX(Spring!$1:$1048576,MATCH(All!$A405,Spring!$A:$A,FALSE),MATCH(All!W$1,Spring!$1:$1,FALSE))="","",INDEX(Spring!$1:$1048576,MATCH(All!$A405,Spring!$A:$A,FALSE),MATCH(All!W$1,Spring!$1:$1,FALSE))),"")</f>
        <v>635</v>
      </c>
      <c r="X405" t="str">
        <f>IFERROR(IF(INDEX(Spring!$1:$1048576,MATCH(All!$A405,Spring!$A:$A,FALSE),MATCH(All!X$1,Spring!$1:$1,FALSE))="","",INDEX(Spring!$1:$1048576,MATCH(All!$A405,Spring!$A:$A,FALSE),MATCH(All!X$1,Spring!$1:$1,FALSE))),"")</f>
        <v>2A</v>
      </c>
      <c r="Y405" t="str">
        <f>IFERROR(IF(INDEX(Spring!$1:$1048576,MATCH(All!$A405,Spring!$A:$A,FALSE),MATCH(All!Y$1,Spring!$1:$1,FALSE))="","",INDEX(Spring!$1:$1048576,MATCH(All!$A405,Spring!$A:$A,FALSE),MATCH(All!Y$1,Spring!$1:$1,FALSE))),"")</f>
        <v>2A</v>
      </c>
      <c r="Z405" t="str">
        <f>IFERROR(IF(INDEX(Spring!$1:$1048576,MATCH(All!$A405,Spring!$A:$A,FALSE),MATCH(All!Z$1,Spring!$1:$1,FALSE))="","",INDEX(Spring!$1:$1048576,MATCH(All!$A405,Spring!$A:$A,FALSE),MATCH(All!Z$1,Spring!$1:$1,FALSE))),"")</f>
        <v/>
      </c>
      <c r="AA405" t="str">
        <f>IFERROR(IF(INDEX(Spring!$1:$1048576,MATCH(All!$A405,Spring!$A:$A,FALSE),MATCH(All!AA$1,Spring!$1:$1,FALSE))="","",INDEX(Spring!$1:$1048576,MATCH(All!$A405,Spring!$A:$A,FALSE),MATCH(All!AA$1,Spring!$1:$1,FALSE))),"")</f>
        <v>1A</v>
      </c>
      <c r="AB405" t="str">
        <f>IFERROR(IF(INDEX(Spring!$1:$1048576,MATCH(All!$A405,Spring!$A:$A,FALSE),MATCH(All!AB$1,Spring!$1:$1,FALSE))="","",INDEX(Spring!$1:$1048576,MATCH(All!$A405,Spring!$A:$A,FALSE),MATCH(All!AB$1,Spring!$1:$1,FALSE))),"")</f>
        <v>2A</v>
      </c>
      <c r="AC405" t="str">
        <f>IFERROR(IF(INDEX(Spring!$1:$1048576,MATCH(All!$A405,Spring!$A:$A,FALSE),MATCH(All!AC$1,Spring!$1:$1,FALSE))="","",INDEX(Spring!$1:$1048576,MATCH(All!$A405,Spring!$A:$A,FALSE),MATCH(All!AC$1,Spring!$1:$1,FALSE))),"")</f>
        <v>2A</v>
      </c>
      <c r="AD405" t="str">
        <f>IFERROR(VLOOKUP(A405,'Flag Football'!A:A,1,FALSE),"")</f>
        <v/>
      </c>
      <c r="AE405" t="str">
        <f t="shared" si="6"/>
        <v/>
      </c>
    </row>
    <row r="406" spans="1:31" ht="15.75" thickBot="1" x14ac:dyDescent="0.3">
      <c r="A406" s="18" t="s">
        <v>494</v>
      </c>
      <c r="B406" s="38">
        <f>IFERROR(VLOOKUP(A406,'Public v Private'!A:G,3,FALSE),"")</f>
        <v>0</v>
      </c>
      <c r="C406" s="38">
        <f>IFERROR(VLOOKUP(A406,'Public v Private'!A:G,4,FALSE),"")</f>
        <v>0</v>
      </c>
      <c r="D406" s="38">
        <f>IFERROR(VLOOKUP(A406,'Public v Private'!A:G,5,FALSE),"")</f>
        <v>0</v>
      </c>
      <c r="E406" s="38"/>
      <c r="F406" s="40">
        <f>IFERROR(INDEX(Fall!$1:$1048576,MATCH(All!$A406,Fall!$A:$A,FALSE),MATCH(All!F$1,Fall!$1:$1,FALSE)),"N/A")</f>
        <v>516</v>
      </c>
      <c r="G406" t="str">
        <f>IFERROR(IF(INDEX(Fall!$1:$1048576,MATCH(All!$A406,Fall!$A:$A,FALSE),MATCH(All!G$1,Fall!$1:$1,FALSE))="","",INDEX(Fall!$1:$1048576,MATCH(All!$A406,Fall!$A:$A,FALSE),MATCH(All!G$1,Fall!$1:$1,FALSE))),"")</f>
        <v>1A</v>
      </c>
      <c r="H406" t="str">
        <f>IFERROR(IF(INDEX(Fall!$1:$1048576,MATCH(All!$A406,Fall!$A:$A,FALSE),MATCH(All!H$1,Fall!$1:$1,FALSE))="","",INDEX(Fall!$1:$1048576,MATCH(All!$A406,Fall!$A:$A,FALSE),MATCH(All!H$1,Fall!$1:$1,FALSE))),"")</f>
        <v>1A</v>
      </c>
      <c r="I406" t="str">
        <f>IFERROR(IF(INDEX(Fall!$1:$1048576,MATCH(All!$A406,Fall!$A:$A,FALSE),MATCH(All!I$1,Fall!$1:$1,FALSE))="","",INDEX(Fall!$1:$1048576,MATCH(All!$A406,Fall!$A:$A,FALSE),MATCH(All!I$1,Fall!$1:$1,FALSE))),"")</f>
        <v>2A</v>
      </c>
      <c r="J406" t="str">
        <f>IFERROR(IF(INDEX(Fall!$1:$1048576,MATCH(All!$A406,Fall!$A:$A,FALSE),MATCH(All!J$1,Fall!$1:$1,FALSE))="","",INDEX(Fall!$1:$1048576,MATCH(All!$A406,Fall!$A:$A,FALSE),MATCH(All!J$1,Fall!$1:$1,FALSE))),"")</f>
        <v/>
      </c>
      <c r="K406" t="str">
        <f>IFERROR(IF(INDEX(Fall!$1:$1048576,MATCH(All!$A406,Fall!$A:$A,FALSE),MATCH(All!K$1,Fall!$1:$1,FALSE))="","",INDEX(Fall!$1:$1048576,MATCH(All!$A406,Fall!$A:$A,FALSE),MATCH(All!K$1,Fall!$1:$1,FALSE))),"")</f>
        <v>1A</v>
      </c>
      <c r="L406" t="str">
        <f>IFERROR(IF(INDEX(Fall!$1:$1048576,MATCH(All!$A406,Fall!$A:$A,FALSE),MATCH(All!L$1,Fall!$1:$1,FALSE))="","",INDEX(Fall!$1:$1048576,MATCH(All!$A406,Fall!$A:$A,FALSE),MATCH(All!L$1,Fall!$1:$1,FALSE))),"")</f>
        <v/>
      </c>
      <c r="M406" t="str">
        <f>IFERROR(IF(INDEX(Fall!$1:$1048576,MATCH(All!$A406,Fall!$A:$A,FALSE),MATCH(All!M$1,Fall!$1:$1,FALSE))="","",INDEX(Fall!$1:$1048576,MATCH(All!$A406,Fall!$A:$A,FALSE),MATCH(All!M$1,Fall!$1:$1,FALSE))),"")</f>
        <v>2A</v>
      </c>
      <c r="O406">
        <f>IFERROR(IF(INDEX(Winter!$1:$1048576,MATCH(All!$A406,Winter!$A:$A,FALSE),MATCH(All!O$1,Winter!$1:$1,FALSE))="","",INDEX(Winter!$1:$1048576,MATCH(All!$A406,Winter!$A:$A,FALSE),MATCH(All!O$1,Winter!$1:$1,FALSE))),"")</f>
        <v>516</v>
      </c>
      <c r="P406" t="str">
        <f>IFERROR(IF(INDEX(Winter!$1:$1048576,MATCH(All!$A406,Winter!$A:$A,FALSE),MATCH(All!P$1,Winter!$1:$1,FALSE))="","",INDEX(Winter!$1:$1048576,MATCH(All!$A406,Winter!$A:$A,FALSE),MATCH(All!P$1,Winter!$1:$1,FALSE))),"")</f>
        <v>2A</v>
      </c>
      <c r="Q406" t="str">
        <f>IFERROR(IF(INDEX(Winter!$1:$1048576,MATCH(All!$A406,Winter!$A:$A,FALSE),MATCH(All!Q$1,Winter!$1:$1,FALSE))="","",INDEX(Winter!$1:$1048576,MATCH(All!$A406,Winter!$A:$A,FALSE),MATCH(All!Q$1,Winter!$1:$1,FALSE))),"")</f>
        <v>2A</v>
      </c>
      <c r="R406" t="str">
        <f>IFERROR(IF(INDEX(Winter!$1:$1048576,MATCH(All!$A406,Winter!$A:$A,FALSE),MATCH(All!R$1,Winter!$1:$1,FALSE))="","",INDEX(Winter!$1:$1048576,MATCH(All!$A406,Winter!$A:$A,FALSE),MATCH(All!R$1,Winter!$1:$1,FALSE))),"")</f>
        <v>1A</v>
      </c>
      <c r="S406" t="str">
        <f>IFERROR(IF(INDEX(Winter!$1:$1048576,MATCH(All!$A406,Winter!$A:$A,FALSE),MATCH(All!S$1,Winter!$1:$1,FALSE))="","",INDEX(Winter!$1:$1048576,MATCH(All!$A406,Winter!$A:$A,FALSE),MATCH(All!S$1,Winter!$1:$1,FALSE))),"")</f>
        <v/>
      </c>
      <c r="T406" t="str">
        <f>IFERROR(IF(INDEX(Winter!$1:$1048576,MATCH(All!$A406,Winter!$A:$A,FALSE),MATCH(All!T$1,Winter!$1:$1,FALSE))="","",INDEX(Winter!$1:$1048576,MATCH(All!$A406,Winter!$A:$A,FALSE),MATCH(All!T$1,Winter!$1:$1,FALSE))),"")</f>
        <v>2A</v>
      </c>
      <c r="U406" t="str">
        <f>IFERROR(IF(INDEX(Winter!$1:$1048576,MATCH(All!$A406,Winter!$A:$A,FALSE),MATCH(All!U$1,Winter!$1:$1,FALSE))="","",INDEX(Winter!$1:$1048576,MATCH(All!$A406,Winter!$A:$A,FALSE),MATCH(All!U$1,Winter!$1:$1,FALSE))),"")</f>
        <v>1A</v>
      </c>
      <c r="W406">
        <f>IFERROR(IF(INDEX(Spring!$1:$1048576,MATCH(All!$A406,Spring!$A:$A,FALSE),MATCH(All!W$1,Spring!$1:$1,FALSE))="","",INDEX(Spring!$1:$1048576,MATCH(All!$A406,Spring!$A:$A,FALSE),MATCH(All!W$1,Spring!$1:$1,FALSE))),"")</f>
        <v>516</v>
      </c>
      <c r="X406" t="str">
        <f>IFERROR(IF(INDEX(Spring!$1:$1048576,MATCH(All!$A406,Spring!$A:$A,FALSE),MATCH(All!X$1,Spring!$1:$1,FALSE))="","",INDEX(Spring!$1:$1048576,MATCH(All!$A406,Spring!$A:$A,FALSE),MATCH(All!X$1,Spring!$1:$1,FALSE))),"")</f>
        <v>2A</v>
      </c>
      <c r="Y406" t="str">
        <f>IFERROR(IF(INDEX(Spring!$1:$1048576,MATCH(All!$A406,Spring!$A:$A,FALSE),MATCH(All!Y$1,Spring!$1:$1,FALSE))="","",INDEX(Spring!$1:$1048576,MATCH(All!$A406,Spring!$A:$A,FALSE),MATCH(All!Y$1,Spring!$1:$1,FALSE))),"")</f>
        <v>2A</v>
      </c>
      <c r="Z406" t="str">
        <f>IFERROR(IF(INDEX(Spring!$1:$1048576,MATCH(All!$A406,Spring!$A:$A,FALSE),MATCH(All!Z$1,Spring!$1:$1,FALSE))="","",INDEX(Spring!$1:$1048576,MATCH(All!$A406,Spring!$A:$A,FALSE),MATCH(All!Z$1,Spring!$1:$1,FALSE))),"")</f>
        <v>1A</v>
      </c>
      <c r="AA406" t="str">
        <f>IFERROR(IF(INDEX(Spring!$1:$1048576,MATCH(All!$A406,Spring!$A:$A,FALSE),MATCH(All!AA$1,Spring!$1:$1,FALSE))="","",INDEX(Spring!$1:$1048576,MATCH(All!$A406,Spring!$A:$A,FALSE),MATCH(All!AA$1,Spring!$1:$1,FALSE))),"")</f>
        <v/>
      </c>
      <c r="AB406" t="str">
        <f>IFERROR(IF(INDEX(Spring!$1:$1048576,MATCH(All!$A406,Spring!$A:$A,FALSE),MATCH(All!AB$1,Spring!$1:$1,FALSE))="","",INDEX(Spring!$1:$1048576,MATCH(All!$A406,Spring!$A:$A,FALSE),MATCH(All!AB$1,Spring!$1:$1,FALSE))),"")</f>
        <v>2A</v>
      </c>
      <c r="AC406" t="str">
        <f>IFERROR(IF(INDEX(Spring!$1:$1048576,MATCH(All!$A406,Spring!$A:$A,FALSE),MATCH(All!AC$1,Spring!$1:$1,FALSE))="","",INDEX(Spring!$1:$1048576,MATCH(All!$A406,Spring!$A:$A,FALSE),MATCH(All!AC$1,Spring!$1:$1,FALSE))),"")</f>
        <v>2A</v>
      </c>
      <c r="AD406" t="str">
        <f>IFERROR(VLOOKUP(A406,'Flag Football'!A:A,1,FALSE),"")</f>
        <v/>
      </c>
      <c r="AE406" t="str">
        <f t="shared" si="6"/>
        <v/>
      </c>
    </row>
    <row r="407" spans="1:31" ht="15.75" thickBot="1" x14ac:dyDescent="0.3">
      <c r="A407" s="20" t="s">
        <v>495</v>
      </c>
      <c r="B407" s="38">
        <f>IFERROR(VLOOKUP(A407,'Public v Private'!A:G,3,FALSE),"")</f>
        <v>0</v>
      </c>
      <c r="C407" s="38">
        <f>IFERROR(VLOOKUP(A407,'Public v Private'!A:G,4,FALSE),"")</f>
        <v>0</v>
      </c>
      <c r="D407" s="38">
        <f>IFERROR(VLOOKUP(A407,'Public v Private'!A:G,5,FALSE),"")</f>
        <v>0</v>
      </c>
      <c r="E407" s="38"/>
      <c r="F407" s="40">
        <f>IFERROR(INDEX(Fall!$1:$1048576,MATCH(All!$A407,Fall!$A:$A,FALSE),MATCH(All!F$1,Fall!$1:$1,FALSE)),"N/A")</f>
        <v>260</v>
      </c>
      <c r="G407" t="str">
        <f>IFERROR(IF(INDEX(Fall!$1:$1048576,MATCH(All!$A407,Fall!$A:$A,FALSE),MATCH(All!G$1,Fall!$1:$1,FALSE))="","",INDEX(Fall!$1:$1048576,MATCH(All!$A407,Fall!$A:$A,FALSE),MATCH(All!G$1,Fall!$1:$1,FALSE))),"")</f>
        <v>1A</v>
      </c>
      <c r="H407" t="str">
        <f>IFERROR(IF(INDEX(Fall!$1:$1048576,MATCH(All!$A407,Fall!$A:$A,FALSE),MATCH(All!H$1,Fall!$1:$1,FALSE))="","",INDEX(Fall!$1:$1048576,MATCH(All!$A407,Fall!$A:$A,FALSE),MATCH(All!H$1,Fall!$1:$1,FALSE))),"")</f>
        <v>1A</v>
      </c>
      <c r="I407" t="str">
        <f>IFERROR(IF(INDEX(Fall!$1:$1048576,MATCH(All!$A407,Fall!$A:$A,FALSE),MATCH(All!I$1,Fall!$1:$1,FALSE))="","",INDEX(Fall!$1:$1048576,MATCH(All!$A407,Fall!$A:$A,FALSE),MATCH(All!I$1,Fall!$1:$1,FALSE))),"")</f>
        <v>1A</v>
      </c>
      <c r="J407" t="str">
        <f>IFERROR(IF(INDEX(Fall!$1:$1048576,MATCH(All!$A407,Fall!$A:$A,FALSE),MATCH(All!J$1,Fall!$1:$1,FALSE))="","",INDEX(Fall!$1:$1048576,MATCH(All!$A407,Fall!$A:$A,FALSE),MATCH(All!J$1,Fall!$1:$1,FALSE))),"")</f>
        <v>1A</v>
      </c>
      <c r="K407" t="str">
        <f>IFERROR(IF(INDEX(Fall!$1:$1048576,MATCH(All!$A407,Fall!$A:$A,FALSE),MATCH(All!K$1,Fall!$1:$1,FALSE))="","",INDEX(Fall!$1:$1048576,MATCH(All!$A407,Fall!$A:$A,FALSE),MATCH(All!K$1,Fall!$1:$1,FALSE))),"")</f>
        <v/>
      </c>
      <c r="L407" t="str">
        <f>IFERROR(IF(INDEX(Fall!$1:$1048576,MATCH(All!$A407,Fall!$A:$A,FALSE),MATCH(All!L$1,Fall!$1:$1,FALSE))="","",INDEX(Fall!$1:$1048576,MATCH(All!$A407,Fall!$A:$A,FALSE),MATCH(All!L$1,Fall!$1:$1,FALSE))),"")</f>
        <v/>
      </c>
      <c r="M407" t="str">
        <f>IFERROR(IF(INDEX(Fall!$1:$1048576,MATCH(All!$A407,Fall!$A:$A,FALSE),MATCH(All!M$1,Fall!$1:$1,FALSE))="","",INDEX(Fall!$1:$1048576,MATCH(All!$A407,Fall!$A:$A,FALSE),MATCH(All!M$1,Fall!$1:$1,FALSE))),"")</f>
        <v>1A</v>
      </c>
      <c r="O407">
        <f>IFERROR(IF(INDEX(Winter!$1:$1048576,MATCH(All!$A407,Winter!$A:$A,FALSE),MATCH(All!O$1,Winter!$1:$1,FALSE))="","",INDEX(Winter!$1:$1048576,MATCH(All!$A407,Winter!$A:$A,FALSE),MATCH(All!O$1,Winter!$1:$1,FALSE))),"")</f>
        <v>260</v>
      </c>
      <c r="P407" t="str">
        <f>IFERROR(IF(INDEX(Winter!$1:$1048576,MATCH(All!$A407,Winter!$A:$A,FALSE),MATCH(All!P$1,Winter!$1:$1,FALSE))="","",INDEX(Winter!$1:$1048576,MATCH(All!$A407,Winter!$A:$A,FALSE),MATCH(All!P$1,Winter!$1:$1,FALSE))),"")</f>
        <v>1A</v>
      </c>
      <c r="Q407" t="str">
        <f>IFERROR(IF(INDEX(Winter!$1:$1048576,MATCH(All!$A407,Winter!$A:$A,FALSE),MATCH(All!Q$1,Winter!$1:$1,FALSE))="","",INDEX(Winter!$1:$1048576,MATCH(All!$A407,Winter!$A:$A,FALSE),MATCH(All!Q$1,Winter!$1:$1,FALSE))),"")</f>
        <v>1A</v>
      </c>
      <c r="R407" t="str">
        <f>IFERROR(IF(INDEX(Winter!$1:$1048576,MATCH(All!$A407,Winter!$A:$A,FALSE),MATCH(All!R$1,Winter!$1:$1,FALSE))="","",INDEX(Winter!$1:$1048576,MATCH(All!$A407,Winter!$A:$A,FALSE),MATCH(All!R$1,Winter!$1:$1,FALSE))),"")</f>
        <v>1A</v>
      </c>
      <c r="S407" t="str">
        <f>IFERROR(IF(INDEX(Winter!$1:$1048576,MATCH(All!$A407,Winter!$A:$A,FALSE),MATCH(All!S$1,Winter!$1:$1,FALSE))="","",INDEX(Winter!$1:$1048576,MATCH(All!$A407,Winter!$A:$A,FALSE),MATCH(All!S$1,Winter!$1:$1,FALSE))),"")</f>
        <v/>
      </c>
      <c r="T407" t="str">
        <f>IFERROR(IF(INDEX(Winter!$1:$1048576,MATCH(All!$A407,Winter!$A:$A,FALSE),MATCH(All!T$1,Winter!$1:$1,FALSE))="","",INDEX(Winter!$1:$1048576,MATCH(All!$A407,Winter!$A:$A,FALSE),MATCH(All!T$1,Winter!$1:$1,FALSE))),"")</f>
        <v>1A</v>
      </c>
      <c r="U407" t="str">
        <f>IFERROR(IF(INDEX(Winter!$1:$1048576,MATCH(All!$A407,Winter!$A:$A,FALSE),MATCH(All!U$1,Winter!$1:$1,FALSE))="","",INDEX(Winter!$1:$1048576,MATCH(All!$A407,Winter!$A:$A,FALSE),MATCH(All!U$1,Winter!$1:$1,FALSE))),"")</f>
        <v>1A</v>
      </c>
      <c r="W407">
        <f>IFERROR(IF(INDEX(Spring!$1:$1048576,MATCH(All!$A407,Spring!$A:$A,FALSE),MATCH(All!W$1,Spring!$1:$1,FALSE))="","",INDEX(Spring!$1:$1048576,MATCH(All!$A407,Spring!$A:$A,FALSE),MATCH(All!W$1,Spring!$1:$1,FALSE))),"")</f>
        <v>260</v>
      </c>
      <c r="X407" t="str">
        <f>IFERROR(IF(INDEX(Spring!$1:$1048576,MATCH(All!$A407,Spring!$A:$A,FALSE),MATCH(All!X$1,Spring!$1:$1,FALSE))="","",INDEX(Spring!$1:$1048576,MATCH(All!$A407,Spring!$A:$A,FALSE),MATCH(All!X$1,Spring!$1:$1,FALSE))),"")</f>
        <v>1A</v>
      </c>
      <c r="Y407" t="str">
        <f>IFERROR(IF(INDEX(Spring!$1:$1048576,MATCH(All!$A407,Spring!$A:$A,FALSE),MATCH(All!Y$1,Spring!$1:$1,FALSE))="","",INDEX(Spring!$1:$1048576,MATCH(All!$A407,Spring!$A:$A,FALSE),MATCH(All!Y$1,Spring!$1:$1,FALSE))),"")</f>
        <v>1A</v>
      </c>
      <c r="Z407" t="str">
        <f>IFERROR(IF(INDEX(Spring!$1:$1048576,MATCH(All!$A407,Spring!$A:$A,FALSE),MATCH(All!Z$1,Spring!$1:$1,FALSE))="","",INDEX(Spring!$1:$1048576,MATCH(All!$A407,Spring!$A:$A,FALSE),MATCH(All!Z$1,Spring!$1:$1,FALSE))),"")</f>
        <v/>
      </c>
      <c r="AA407" t="str">
        <f>IFERROR(IF(INDEX(Spring!$1:$1048576,MATCH(All!$A407,Spring!$A:$A,FALSE),MATCH(All!AA$1,Spring!$1:$1,FALSE))="","",INDEX(Spring!$1:$1048576,MATCH(All!$A407,Spring!$A:$A,FALSE),MATCH(All!AA$1,Spring!$1:$1,FALSE))),"")</f>
        <v/>
      </c>
      <c r="AB407" t="str">
        <f>IFERROR(IF(INDEX(Spring!$1:$1048576,MATCH(All!$A407,Spring!$A:$A,FALSE),MATCH(All!AB$1,Spring!$1:$1,FALSE))="","",INDEX(Spring!$1:$1048576,MATCH(All!$A407,Spring!$A:$A,FALSE),MATCH(All!AB$1,Spring!$1:$1,FALSE))),"")</f>
        <v>1A</v>
      </c>
      <c r="AC407" t="str">
        <f>IFERROR(IF(INDEX(Spring!$1:$1048576,MATCH(All!$A407,Spring!$A:$A,FALSE),MATCH(All!AC$1,Spring!$1:$1,FALSE))="","",INDEX(Spring!$1:$1048576,MATCH(All!$A407,Spring!$A:$A,FALSE),MATCH(All!AC$1,Spring!$1:$1,FALSE))),"")</f>
        <v>1A</v>
      </c>
      <c r="AD407" t="str">
        <f>IFERROR(VLOOKUP(A407,'Flag Football'!A:A,1,FALSE),"")</f>
        <v/>
      </c>
      <c r="AE407" t="str">
        <f t="shared" si="6"/>
        <v/>
      </c>
    </row>
    <row r="408" spans="1:31" ht="15.75" thickBot="1" x14ac:dyDescent="0.3">
      <c r="A408" s="18" t="s">
        <v>496</v>
      </c>
      <c r="B408" s="38">
        <f>IFERROR(VLOOKUP(A408,'Public v Private'!A:G,3,FALSE),"")</f>
        <v>0</v>
      </c>
      <c r="C408" s="38">
        <f>IFERROR(VLOOKUP(A408,'Public v Private'!A:G,4,FALSE),"")</f>
        <v>0</v>
      </c>
      <c r="D408" s="38">
        <f>IFERROR(VLOOKUP(A408,'Public v Private'!A:G,5,FALSE),"")</f>
        <v>0</v>
      </c>
      <c r="E408" s="38"/>
      <c r="F408" s="40">
        <f>IFERROR(INDEX(Fall!$1:$1048576,MATCH(All!$A408,Fall!$A:$A,FALSE),MATCH(All!F$1,Fall!$1:$1,FALSE)),"N/A")</f>
        <v>838</v>
      </c>
      <c r="G408" t="str">
        <f>IFERROR(IF(INDEX(Fall!$1:$1048576,MATCH(All!$A408,Fall!$A:$A,FALSE),MATCH(All!G$1,Fall!$1:$1,FALSE))="","",INDEX(Fall!$1:$1048576,MATCH(All!$A408,Fall!$A:$A,FALSE),MATCH(All!G$1,Fall!$1:$1,FALSE))),"")</f>
        <v>2A</v>
      </c>
      <c r="H408" t="str">
        <f>IFERROR(IF(INDEX(Fall!$1:$1048576,MATCH(All!$A408,Fall!$A:$A,FALSE),MATCH(All!H$1,Fall!$1:$1,FALSE))="","",INDEX(Fall!$1:$1048576,MATCH(All!$A408,Fall!$A:$A,FALSE),MATCH(All!H$1,Fall!$1:$1,FALSE))),"")</f>
        <v>2A</v>
      </c>
      <c r="I408" t="str">
        <f>IFERROR(IF(INDEX(Fall!$1:$1048576,MATCH(All!$A408,Fall!$A:$A,FALSE),MATCH(All!I$1,Fall!$1:$1,FALSE))="","",INDEX(Fall!$1:$1048576,MATCH(All!$A408,Fall!$A:$A,FALSE),MATCH(All!I$1,Fall!$1:$1,FALSE))),"")</f>
        <v>2A</v>
      </c>
      <c r="J408" t="str">
        <f>IFERROR(IF(INDEX(Fall!$1:$1048576,MATCH(All!$A408,Fall!$A:$A,FALSE),MATCH(All!J$1,Fall!$1:$1,FALSE))="","",INDEX(Fall!$1:$1048576,MATCH(All!$A408,Fall!$A:$A,FALSE),MATCH(All!J$1,Fall!$1:$1,FALSE))),"")</f>
        <v>1A</v>
      </c>
      <c r="K408" t="str">
        <f>IFERROR(IF(INDEX(Fall!$1:$1048576,MATCH(All!$A408,Fall!$A:$A,FALSE),MATCH(All!K$1,Fall!$1:$1,FALSE))="","",INDEX(Fall!$1:$1048576,MATCH(All!$A408,Fall!$A:$A,FALSE),MATCH(All!K$1,Fall!$1:$1,FALSE))),"")</f>
        <v>2A</v>
      </c>
      <c r="L408" t="str">
        <f>IFERROR(IF(INDEX(Fall!$1:$1048576,MATCH(All!$A408,Fall!$A:$A,FALSE),MATCH(All!L$1,Fall!$1:$1,FALSE))="","",INDEX(Fall!$1:$1048576,MATCH(All!$A408,Fall!$A:$A,FALSE),MATCH(All!L$1,Fall!$1:$1,FALSE))),"")</f>
        <v>1A</v>
      </c>
      <c r="M408" t="str">
        <f>IFERROR(IF(INDEX(Fall!$1:$1048576,MATCH(All!$A408,Fall!$A:$A,FALSE),MATCH(All!M$1,Fall!$1:$1,FALSE))="","",INDEX(Fall!$1:$1048576,MATCH(All!$A408,Fall!$A:$A,FALSE),MATCH(All!M$1,Fall!$1:$1,FALSE))),"")</f>
        <v>3A</v>
      </c>
      <c r="O408">
        <f>IFERROR(IF(INDEX(Winter!$1:$1048576,MATCH(All!$A408,Winter!$A:$A,FALSE),MATCH(All!O$1,Winter!$1:$1,FALSE))="","",INDEX(Winter!$1:$1048576,MATCH(All!$A408,Winter!$A:$A,FALSE),MATCH(All!O$1,Winter!$1:$1,FALSE))),"")</f>
        <v>838</v>
      </c>
      <c r="P408" t="str">
        <f>IFERROR(IF(INDEX(Winter!$1:$1048576,MATCH(All!$A408,Winter!$A:$A,FALSE),MATCH(All!P$1,Winter!$1:$1,FALSE))="","",INDEX(Winter!$1:$1048576,MATCH(All!$A408,Winter!$A:$A,FALSE),MATCH(All!P$1,Winter!$1:$1,FALSE))),"")</f>
        <v>3A</v>
      </c>
      <c r="Q408" t="str">
        <f>IFERROR(IF(INDEX(Winter!$1:$1048576,MATCH(All!$A408,Winter!$A:$A,FALSE),MATCH(All!Q$1,Winter!$1:$1,FALSE))="","",INDEX(Winter!$1:$1048576,MATCH(All!$A408,Winter!$A:$A,FALSE),MATCH(All!Q$1,Winter!$1:$1,FALSE))),"")</f>
        <v>3A</v>
      </c>
      <c r="R408" t="str">
        <f>IFERROR(IF(INDEX(Winter!$1:$1048576,MATCH(All!$A408,Winter!$A:$A,FALSE),MATCH(All!R$1,Winter!$1:$1,FALSE))="","",INDEX(Winter!$1:$1048576,MATCH(All!$A408,Winter!$A:$A,FALSE),MATCH(All!R$1,Winter!$1:$1,FALSE))),"")</f>
        <v>2A</v>
      </c>
      <c r="S408" t="str">
        <f>IFERROR(IF(INDEX(Winter!$1:$1048576,MATCH(All!$A408,Winter!$A:$A,FALSE),MATCH(All!S$1,Winter!$1:$1,FALSE))="","",INDEX(Winter!$1:$1048576,MATCH(All!$A408,Winter!$A:$A,FALSE),MATCH(All!S$1,Winter!$1:$1,FALSE))),"")</f>
        <v>1A</v>
      </c>
      <c r="T408" t="str">
        <f>IFERROR(IF(INDEX(Winter!$1:$1048576,MATCH(All!$A408,Winter!$A:$A,FALSE),MATCH(All!T$1,Winter!$1:$1,FALSE))="","",INDEX(Winter!$1:$1048576,MATCH(All!$A408,Winter!$A:$A,FALSE),MATCH(All!T$1,Winter!$1:$1,FALSE))),"")</f>
        <v>2A</v>
      </c>
      <c r="U408" t="str">
        <f>IFERROR(IF(INDEX(Winter!$1:$1048576,MATCH(All!$A408,Winter!$A:$A,FALSE),MATCH(All!U$1,Winter!$1:$1,FALSE))="","",INDEX(Winter!$1:$1048576,MATCH(All!$A408,Winter!$A:$A,FALSE),MATCH(All!U$1,Winter!$1:$1,FALSE))),"")</f>
        <v>2A</v>
      </c>
      <c r="W408">
        <f>IFERROR(IF(INDEX(Spring!$1:$1048576,MATCH(All!$A408,Spring!$A:$A,FALSE),MATCH(All!W$1,Spring!$1:$1,FALSE))="","",INDEX(Spring!$1:$1048576,MATCH(All!$A408,Spring!$A:$A,FALSE),MATCH(All!W$1,Spring!$1:$1,FALSE))),"")</f>
        <v>838</v>
      </c>
      <c r="X408" t="str">
        <f>IFERROR(IF(INDEX(Spring!$1:$1048576,MATCH(All!$A408,Spring!$A:$A,FALSE),MATCH(All!X$1,Spring!$1:$1,FALSE))="","",INDEX(Spring!$1:$1048576,MATCH(All!$A408,Spring!$A:$A,FALSE),MATCH(All!X$1,Spring!$1:$1,FALSE))),"")</f>
        <v>3A</v>
      </c>
      <c r="Y408" t="str">
        <f>IFERROR(IF(INDEX(Spring!$1:$1048576,MATCH(All!$A408,Spring!$A:$A,FALSE),MATCH(All!Y$1,Spring!$1:$1,FALSE))="","",INDEX(Spring!$1:$1048576,MATCH(All!$A408,Spring!$A:$A,FALSE),MATCH(All!Y$1,Spring!$1:$1,FALSE))),"")</f>
        <v>3A</v>
      </c>
      <c r="Z408" t="str">
        <f>IFERROR(IF(INDEX(Spring!$1:$1048576,MATCH(All!$A408,Spring!$A:$A,FALSE),MATCH(All!Z$1,Spring!$1:$1,FALSE))="","",INDEX(Spring!$1:$1048576,MATCH(All!$A408,Spring!$A:$A,FALSE),MATCH(All!Z$1,Spring!$1:$1,FALSE))),"")</f>
        <v>2A</v>
      </c>
      <c r="AA408" t="str">
        <f>IFERROR(IF(INDEX(Spring!$1:$1048576,MATCH(All!$A408,Spring!$A:$A,FALSE),MATCH(All!AA$1,Spring!$1:$1,FALSE))="","",INDEX(Spring!$1:$1048576,MATCH(All!$A408,Spring!$A:$A,FALSE),MATCH(All!AA$1,Spring!$1:$1,FALSE))),"")</f>
        <v>1A</v>
      </c>
      <c r="AB408" t="str">
        <f>IFERROR(IF(INDEX(Spring!$1:$1048576,MATCH(All!$A408,Spring!$A:$A,FALSE),MATCH(All!AB$1,Spring!$1:$1,FALSE))="","",INDEX(Spring!$1:$1048576,MATCH(All!$A408,Spring!$A:$A,FALSE),MATCH(All!AB$1,Spring!$1:$1,FALSE))),"")</f>
        <v>2A</v>
      </c>
      <c r="AC408" t="str">
        <f>IFERROR(IF(INDEX(Spring!$1:$1048576,MATCH(All!$A408,Spring!$A:$A,FALSE),MATCH(All!AC$1,Spring!$1:$1,FALSE))="","",INDEX(Spring!$1:$1048576,MATCH(All!$A408,Spring!$A:$A,FALSE),MATCH(All!AC$1,Spring!$1:$1,FALSE))),"")</f>
        <v>2A</v>
      </c>
      <c r="AD408" t="str">
        <f>IFERROR(VLOOKUP(A408,'Flag Football'!A:A,1,FALSE),"")</f>
        <v/>
      </c>
      <c r="AE408" t="str">
        <f t="shared" si="6"/>
        <v/>
      </c>
    </row>
    <row r="409" spans="1:31" ht="15.75" thickBot="1" x14ac:dyDescent="0.3">
      <c r="A409" s="20" t="s">
        <v>497</v>
      </c>
      <c r="B409" s="38">
        <f>IFERROR(VLOOKUP(A409,'Public v Private'!A:G,3,FALSE),"")</f>
        <v>0</v>
      </c>
      <c r="C409" s="38">
        <f>IFERROR(VLOOKUP(A409,'Public v Private'!A:G,4,FALSE),"")</f>
        <v>0</v>
      </c>
      <c r="D409" s="38">
        <f>IFERROR(VLOOKUP(A409,'Public v Private'!A:G,5,FALSE),"")</f>
        <v>0</v>
      </c>
      <c r="E409" s="38"/>
      <c r="F409" s="40">
        <f>IFERROR(INDEX(Fall!$1:$1048576,MATCH(All!$A409,Fall!$A:$A,FALSE),MATCH(All!F$1,Fall!$1:$1,FALSE)),"N/A")</f>
        <v>1609</v>
      </c>
      <c r="G409" t="str">
        <f>IFERROR(IF(INDEX(Fall!$1:$1048576,MATCH(All!$A409,Fall!$A:$A,FALSE),MATCH(All!G$1,Fall!$1:$1,FALSE))="","",INDEX(Fall!$1:$1048576,MATCH(All!$A409,Fall!$A:$A,FALSE),MATCH(All!G$1,Fall!$1:$1,FALSE))),"")</f>
        <v>3A</v>
      </c>
      <c r="H409" t="str">
        <f>IFERROR(IF(INDEX(Fall!$1:$1048576,MATCH(All!$A409,Fall!$A:$A,FALSE),MATCH(All!H$1,Fall!$1:$1,FALSE))="","",INDEX(Fall!$1:$1048576,MATCH(All!$A409,Fall!$A:$A,FALSE),MATCH(All!H$1,Fall!$1:$1,FALSE))),"")</f>
        <v>3A</v>
      </c>
      <c r="I409" t="str">
        <f>IFERROR(IF(INDEX(Fall!$1:$1048576,MATCH(All!$A409,Fall!$A:$A,FALSE),MATCH(All!I$1,Fall!$1:$1,FALSE))="","",INDEX(Fall!$1:$1048576,MATCH(All!$A409,Fall!$A:$A,FALSE),MATCH(All!I$1,Fall!$1:$1,FALSE))),"")</f>
        <v>3A</v>
      </c>
      <c r="J409" t="str">
        <f>IFERROR(IF(INDEX(Fall!$1:$1048576,MATCH(All!$A409,Fall!$A:$A,FALSE),MATCH(All!J$1,Fall!$1:$1,FALSE))="","",INDEX(Fall!$1:$1048576,MATCH(All!$A409,Fall!$A:$A,FALSE),MATCH(All!J$1,Fall!$1:$1,FALSE))),"")</f>
        <v>2A</v>
      </c>
      <c r="K409" t="str">
        <f>IFERROR(IF(INDEX(Fall!$1:$1048576,MATCH(All!$A409,Fall!$A:$A,FALSE),MATCH(All!K$1,Fall!$1:$1,FALSE))="","",INDEX(Fall!$1:$1048576,MATCH(All!$A409,Fall!$A:$A,FALSE),MATCH(All!K$1,Fall!$1:$1,FALSE))),"")</f>
        <v>2A</v>
      </c>
      <c r="L409" t="str">
        <f>IFERROR(IF(INDEX(Fall!$1:$1048576,MATCH(All!$A409,Fall!$A:$A,FALSE),MATCH(All!L$1,Fall!$1:$1,FALSE))="","",INDEX(Fall!$1:$1048576,MATCH(All!$A409,Fall!$A:$A,FALSE),MATCH(All!L$1,Fall!$1:$1,FALSE))),"")</f>
        <v>2A</v>
      </c>
      <c r="M409" t="str">
        <f>IFERROR(IF(INDEX(Fall!$1:$1048576,MATCH(All!$A409,Fall!$A:$A,FALSE),MATCH(All!M$1,Fall!$1:$1,FALSE))="","",INDEX(Fall!$1:$1048576,MATCH(All!$A409,Fall!$A:$A,FALSE),MATCH(All!M$1,Fall!$1:$1,FALSE))),"")</f>
        <v>4A</v>
      </c>
      <c r="O409">
        <f>IFERROR(IF(INDEX(Winter!$1:$1048576,MATCH(All!$A409,Winter!$A:$A,FALSE),MATCH(All!O$1,Winter!$1:$1,FALSE))="","",INDEX(Winter!$1:$1048576,MATCH(All!$A409,Winter!$A:$A,FALSE),MATCH(All!O$1,Winter!$1:$1,FALSE))),"")</f>
        <v>1609</v>
      </c>
      <c r="P409" t="str">
        <f>IFERROR(IF(INDEX(Winter!$1:$1048576,MATCH(All!$A409,Winter!$A:$A,FALSE),MATCH(All!P$1,Winter!$1:$1,FALSE))="","",INDEX(Winter!$1:$1048576,MATCH(All!$A409,Winter!$A:$A,FALSE),MATCH(All!P$1,Winter!$1:$1,FALSE))),"")</f>
        <v>4A</v>
      </c>
      <c r="Q409" t="str">
        <f>IFERROR(IF(INDEX(Winter!$1:$1048576,MATCH(All!$A409,Winter!$A:$A,FALSE),MATCH(All!Q$1,Winter!$1:$1,FALSE))="","",INDEX(Winter!$1:$1048576,MATCH(All!$A409,Winter!$A:$A,FALSE),MATCH(All!Q$1,Winter!$1:$1,FALSE))),"")</f>
        <v>4A</v>
      </c>
      <c r="R409" t="str">
        <f>IFERROR(IF(INDEX(Winter!$1:$1048576,MATCH(All!$A409,Winter!$A:$A,FALSE),MATCH(All!R$1,Winter!$1:$1,FALSE))="","",INDEX(Winter!$1:$1048576,MATCH(All!$A409,Winter!$A:$A,FALSE),MATCH(All!R$1,Winter!$1:$1,FALSE))),"")</f>
        <v/>
      </c>
      <c r="S409" t="str">
        <f>IFERROR(IF(INDEX(Winter!$1:$1048576,MATCH(All!$A409,Winter!$A:$A,FALSE),MATCH(All!S$1,Winter!$1:$1,FALSE))="","",INDEX(Winter!$1:$1048576,MATCH(All!$A409,Winter!$A:$A,FALSE),MATCH(All!S$1,Winter!$1:$1,FALSE))),"")</f>
        <v/>
      </c>
      <c r="T409" t="str">
        <f>IFERROR(IF(INDEX(Winter!$1:$1048576,MATCH(All!$A409,Winter!$A:$A,FALSE),MATCH(All!T$1,Winter!$1:$1,FALSE))="","",INDEX(Winter!$1:$1048576,MATCH(All!$A409,Winter!$A:$A,FALSE),MATCH(All!T$1,Winter!$1:$1,FALSE))),"")</f>
        <v>2A</v>
      </c>
      <c r="U409" t="str">
        <f>IFERROR(IF(INDEX(Winter!$1:$1048576,MATCH(All!$A409,Winter!$A:$A,FALSE),MATCH(All!U$1,Winter!$1:$1,FALSE))="","",INDEX(Winter!$1:$1048576,MATCH(All!$A409,Winter!$A:$A,FALSE),MATCH(All!U$1,Winter!$1:$1,FALSE))),"")</f>
        <v>2A</v>
      </c>
      <c r="W409">
        <f>IFERROR(IF(INDEX(Spring!$1:$1048576,MATCH(All!$A409,Spring!$A:$A,FALSE),MATCH(All!W$1,Spring!$1:$1,FALSE))="","",INDEX(Spring!$1:$1048576,MATCH(All!$A409,Spring!$A:$A,FALSE),MATCH(All!W$1,Spring!$1:$1,FALSE))),"")</f>
        <v>1609</v>
      </c>
      <c r="X409" t="str">
        <f>IFERROR(IF(INDEX(Spring!$1:$1048576,MATCH(All!$A409,Spring!$A:$A,FALSE),MATCH(All!X$1,Spring!$1:$1,FALSE))="","",INDEX(Spring!$1:$1048576,MATCH(All!$A409,Spring!$A:$A,FALSE),MATCH(All!X$1,Spring!$1:$1,FALSE))),"")</f>
        <v>4A</v>
      </c>
      <c r="Y409" t="str">
        <f>IFERROR(IF(INDEX(Spring!$1:$1048576,MATCH(All!$A409,Spring!$A:$A,FALSE),MATCH(All!Y$1,Spring!$1:$1,FALSE))="","",INDEX(Spring!$1:$1048576,MATCH(All!$A409,Spring!$A:$A,FALSE),MATCH(All!Y$1,Spring!$1:$1,FALSE))),"")</f>
        <v>4A</v>
      </c>
      <c r="Z409" t="str">
        <f>IFERROR(IF(INDEX(Spring!$1:$1048576,MATCH(All!$A409,Spring!$A:$A,FALSE),MATCH(All!Z$1,Spring!$1:$1,FALSE))="","",INDEX(Spring!$1:$1048576,MATCH(All!$A409,Spring!$A:$A,FALSE),MATCH(All!Z$1,Spring!$1:$1,FALSE))),"")</f>
        <v>2A</v>
      </c>
      <c r="AA409" t="str">
        <f>IFERROR(IF(INDEX(Spring!$1:$1048576,MATCH(All!$A409,Spring!$A:$A,FALSE),MATCH(All!AA$1,Spring!$1:$1,FALSE))="","",INDEX(Spring!$1:$1048576,MATCH(All!$A409,Spring!$A:$A,FALSE),MATCH(All!AA$1,Spring!$1:$1,FALSE))),"")</f>
        <v>2A</v>
      </c>
      <c r="AB409" t="str">
        <f>IFERROR(IF(INDEX(Spring!$1:$1048576,MATCH(All!$A409,Spring!$A:$A,FALSE),MATCH(All!AB$1,Spring!$1:$1,FALSE))="","",INDEX(Spring!$1:$1048576,MATCH(All!$A409,Spring!$A:$A,FALSE),MATCH(All!AB$1,Spring!$1:$1,FALSE))),"")</f>
        <v>3A</v>
      </c>
      <c r="AC409" t="str">
        <f>IFERROR(IF(INDEX(Spring!$1:$1048576,MATCH(All!$A409,Spring!$A:$A,FALSE),MATCH(All!AC$1,Spring!$1:$1,FALSE))="","",INDEX(Spring!$1:$1048576,MATCH(All!$A409,Spring!$A:$A,FALSE),MATCH(All!AC$1,Spring!$1:$1,FALSE))),"")</f>
        <v>3A</v>
      </c>
      <c r="AD409" t="str">
        <f>IFERROR(VLOOKUP(A409,'Flag Football'!A:A,1,FALSE),"")</f>
        <v>Highland Park</v>
      </c>
      <c r="AE409" t="str">
        <f t="shared" si="6"/>
        <v>1A</v>
      </c>
    </row>
    <row r="410" spans="1:31" ht="15.75" thickBot="1" x14ac:dyDescent="0.3">
      <c r="A410" s="18" t="s">
        <v>498</v>
      </c>
      <c r="B410" s="38">
        <f>IFERROR(VLOOKUP(A410,'Public v Private'!A:G,3,FALSE),"")</f>
        <v>0</v>
      </c>
      <c r="C410" s="38">
        <f>IFERROR(VLOOKUP(A410,'Public v Private'!A:G,4,FALSE),"")</f>
        <v>0</v>
      </c>
      <c r="D410" s="38">
        <f>IFERROR(VLOOKUP(A410,'Public v Private'!A:G,5,FALSE),"")</f>
        <v>0</v>
      </c>
      <c r="E410" s="38"/>
      <c r="F410" s="40">
        <f>IFERROR(INDEX(Fall!$1:$1048576,MATCH(All!$A410,Fall!$A:$A,FALSE),MATCH(All!F$1,Fall!$1:$1,FALSE)),"N/A")</f>
        <v>427</v>
      </c>
      <c r="G410" t="str">
        <f>IFERROR(IF(INDEX(Fall!$1:$1048576,MATCH(All!$A410,Fall!$A:$A,FALSE),MATCH(All!G$1,Fall!$1:$1,FALSE))="","",INDEX(Fall!$1:$1048576,MATCH(All!$A410,Fall!$A:$A,FALSE),MATCH(All!G$1,Fall!$1:$1,FALSE))),"")</f>
        <v/>
      </c>
      <c r="H410" t="str">
        <f>IFERROR(IF(INDEX(Fall!$1:$1048576,MATCH(All!$A410,Fall!$A:$A,FALSE),MATCH(All!H$1,Fall!$1:$1,FALSE))="","",INDEX(Fall!$1:$1048576,MATCH(All!$A410,Fall!$A:$A,FALSE),MATCH(All!H$1,Fall!$1:$1,FALSE))),"")</f>
        <v/>
      </c>
      <c r="I410" t="str">
        <f>IFERROR(IF(INDEX(Fall!$1:$1048576,MATCH(All!$A410,Fall!$A:$A,FALSE),MATCH(All!I$1,Fall!$1:$1,FALSE))="","",INDEX(Fall!$1:$1048576,MATCH(All!$A410,Fall!$A:$A,FALSE),MATCH(All!I$1,Fall!$1:$1,FALSE))),"")</f>
        <v>1A</v>
      </c>
      <c r="J410" t="str">
        <f>IFERROR(IF(INDEX(Fall!$1:$1048576,MATCH(All!$A410,Fall!$A:$A,FALSE),MATCH(All!J$1,Fall!$1:$1,FALSE))="","",INDEX(Fall!$1:$1048576,MATCH(All!$A410,Fall!$A:$A,FALSE),MATCH(All!J$1,Fall!$1:$1,FALSE))),"")</f>
        <v>1A</v>
      </c>
      <c r="K410" t="str">
        <f>IFERROR(IF(INDEX(Fall!$1:$1048576,MATCH(All!$A410,Fall!$A:$A,FALSE),MATCH(All!K$1,Fall!$1:$1,FALSE))="","",INDEX(Fall!$1:$1048576,MATCH(All!$A410,Fall!$A:$A,FALSE),MATCH(All!K$1,Fall!$1:$1,FALSE))),"")</f>
        <v>1A</v>
      </c>
      <c r="L410" t="str">
        <f>IFERROR(IF(INDEX(Fall!$1:$1048576,MATCH(All!$A410,Fall!$A:$A,FALSE),MATCH(All!L$1,Fall!$1:$1,FALSE))="","",INDEX(Fall!$1:$1048576,MATCH(All!$A410,Fall!$A:$A,FALSE),MATCH(All!L$1,Fall!$1:$1,FALSE))),"")</f>
        <v>1A</v>
      </c>
      <c r="M410" t="str">
        <f>IFERROR(IF(INDEX(Fall!$1:$1048576,MATCH(All!$A410,Fall!$A:$A,FALSE),MATCH(All!M$1,Fall!$1:$1,FALSE))="","",INDEX(Fall!$1:$1048576,MATCH(All!$A410,Fall!$A:$A,FALSE),MATCH(All!M$1,Fall!$1:$1,FALSE))),"")</f>
        <v>2A</v>
      </c>
      <c r="O410">
        <f>IFERROR(IF(INDEX(Winter!$1:$1048576,MATCH(All!$A410,Winter!$A:$A,FALSE),MATCH(All!O$1,Winter!$1:$1,FALSE))="","",INDEX(Winter!$1:$1048576,MATCH(All!$A410,Winter!$A:$A,FALSE),MATCH(All!O$1,Winter!$1:$1,FALSE))),"")</f>
        <v>427</v>
      </c>
      <c r="P410" t="str">
        <f>IFERROR(IF(INDEX(Winter!$1:$1048576,MATCH(All!$A410,Winter!$A:$A,FALSE),MATCH(All!P$1,Winter!$1:$1,FALSE))="","",INDEX(Winter!$1:$1048576,MATCH(All!$A410,Winter!$A:$A,FALSE),MATCH(All!P$1,Winter!$1:$1,FALSE))),"")</f>
        <v>2A</v>
      </c>
      <c r="Q410" t="str">
        <f>IFERROR(IF(INDEX(Winter!$1:$1048576,MATCH(All!$A410,Winter!$A:$A,FALSE),MATCH(All!Q$1,Winter!$1:$1,FALSE))="","",INDEX(Winter!$1:$1048576,MATCH(All!$A410,Winter!$A:$A,FALSE),MATCH(All!Q$1,Winter!$1:$1,FALSE))),"")</f>
        <v>2A</v>
      </c>
      <c r="R410" t="str">
        <f>IFERROR(IF(INDEX(Winter!$1:$1048576,MATCH(All!$A410,Winter!$A:$A,FALSE),MATCH(All!R$1,Winter!$1:$1,FALSE))="","",INDEX(Winter!$1:$1048576,MATCH(All!$A410,Winter!$A:$A,FALSE),MATCH(All!R$1,Winter!$1:$1,FALSE))),"")</f>
        <v>1A</v>
      </c>
      <c r="S410" t="str">
        <f>IFERROR(IF(INDEX(Winter!$1:$1048576,MATCH(All!$A410,Winter!$A:$A,FALSE),MATCH(All!S$1,Winter!$1:$1,FALSE))="","",INDEX(Winter!$1:$1048576,MATCH(All!$A410,Winter!$A:$A,FALSE),MATCH(All!S$1,Winter!$1:$1,FALSE))),"")</f>
        <v/>
      </c>
      <c r="T410" t="str">
        <f>IFERROR(IF(INDEX(Winter!$1:$1048576,MATCH(All!$A410,Winter!$A:$A,FALSE),MATCH(All!T$1,Winter!$1:$1,FALSE))="","",INDEX(Winter!$1:$1048576,MATCH(All!$A410,Winter!$A:$A,FALSE),MATCH(All!T$1,Winter!$1:$1,FALSE))),"")</f>
        <v>1A</v>
      </c>
      <c r="U410" t="str">
        <f>IFERROR(IF(INDEX(Winter!$1:$1048576,MATCH(All!$A410,Winter!$A:$A,FALSE),MATCH(All!U$1,Winter!$1:$1,FALSE))="","",INDEX(Winter!$1:$1048576,MATCH(All!$A410,Winter!$A:$A,FALSE),MATCH(All!U$1,Winter!$1:$1,FALSE))),"")</f>
        <v>1A</v>
      </c>
      <c r="W410">
        <f>IFERROR(IF(INDEX(Spring!$1:$1048576,MATCH(All!$A410,Spring!$A:$A,FALSE),MATCH(All!W$1,Spring!$1:$1,FALSE))="","",INDEX(Spring!$1:$1048576,MATCH(All!$A410,Spring!$A:$A,FALSE),MATCH(All!W$1,Spring!$1:$1,FALSE))),"")</f>
        <v>427</v>
      </c>
      <c r="X410" t="str">
        <f>IFERROR(IF(INDEX(Spring!$1:$1048576,MATCH(All!$A410,Spring!$A:$A,FALSE),MATCH(All!X$1,Spring!$1:$1,FALSE))="","",INDEX(Spring!$1:$1048576,MATCH(All!$A410,Spring!$A:$A,FALSE),MATCH(All!X$1,Spring!$1:$1,FALSE))),"")</f>
        <v>2A</v>
      </c>
      <c r="Y410" t="str">
        <f>IFERROR(IF(INDEX(Spring!$1:$1048576,MATCH(All!$A410,Spring!$A:$A,FALSE),MATCH(All!Y$1,Spring!$1:$1,FALSE))="","",INDEX(Spring!$1:$1048576,MATCH(All!$A410,Spring!$A:$A,FALSE),MATCH(All!Y$1,Spring!$1:$1,FALSE))),"")</f>
        <v>2A</v>
      </c>
      <c r="Z410" t="str">
        <f>IFERROR(IF(INDEX(Spring!$1:$1048576,MATCH(All!$A410,Spring!$A:$A,FALSE),MATCH(All!Z$1,Spring!$1:$1,FALSE))="","",INDEX(Spring!$1:$1048576,MATCH(All!$A410,Spring!$A:$A,FALSE),MATCH(All!Z$1,Spring!$1:$1,FALSE))),"")</f>
        <v>1A</v>
      </c>
      <c r="AA410" t="str">
        <f>IFERROR(IF(INDEX(Spring!$1:$1048576,MATCH(All!$A410,Spring!$A:$A,FALSE),MATCH(All!AA$1,Spring!$1:$1,FALSE))="","",INDEX(Spring!$1:$1048576,MATCH(All!$A410,Spring!$A:$A,FALSE),MATCH(All!AA$1,Spring!$1:$1,FALSE))),"")</f>
        <v>1A</v>
      </c>
      <c r="AB410" t="str">
        <f>IFERROR(IF(INDEX(Spring!$1:$1048576,MATCH(All!$A410,Spring!$A:$A,FALSE),MATCH(All!AB$1,Spring!$1:$1,FALSE))="","",INDEX(Spring!$1:$1048576,MATCH(All!$A410,Spring!$A:$A,FALSE),MATCH(All!AB$1,Spring!$1:$1,FALSE))),"")</f>
        <v>1A</v>
      </c>
      <c r="AC410" t="str">
        <f>IFERROR(IF(INDEX(Spring!$1:$1048576,MATCH(All!$A410,Spring!$A:$A,FALSE),MATCH(All!AC$1,Spring!$1:$1,FALSE))="","",INDEX(Spring!$1:$1048576,MATCH(All!$A410,Spring!$A:$A,FALSE),MATCH(All!AC$1,Spring!$1:$1,FALSE))),"")</f>
        <v>1A</v>
      </c>
      <c r="AD410" t="str">
        <f>IFERROR(VLOOKUP(A410,'Flag Football'!A:A,1,FALSE),"")</f>
        <v/>
      </c>
      <c r="AE410" t="str">
        <f t="shared" si="6"/>
        <v/>
      </c>
    </row>
    <row r="411" spans="1:31" ht="15.75" thickBot="1" x14ac:dyDescent="0.3">
      <c r="A411" s="20" t="s">
        <v>499</v>
      </c>
      <c r="B411" s="38">
        <f>IFERROR(VLOOKUP(A411,'Public v Private'!A:G,3,FALSE),"")</f>
        <v>0</v>
      </c>
      <c r="C411" s="38">
        <f>IFERROR(VLOOKUP(A411,'Public v Private'!A:G,4,FALSE),"")</f>
        <v>0</v>
      </c>
      <c r="D411" s="38">
        <f>IFERROR(VLOOKUP(A411,'Public v Private'!A:G,5,FALSE),"")</f>
        <v>0</v>
      </c>
      <c r="E411" s="38"/>
      <c r="F411" s="40">
        <f>IFERROR(INDEX(Fall!$1:$1048576,MATCH(All!$A411,Fall!$A:$A,FALSE),MATCH(All!F$1,Fall!$1:$1,FALSE)),"N/A")</f>
        <v>2166</v>
      </c>
      <c r="G411" t="str">
        <f>IFERROR(IF(INDEX(Fall!$1:$1048576,MATCH(All!$A411,Fall!$A:$A,FALSE),MATCH(All!G$1,Fall!$1:$1,FALSE))="","",INDEX(Fall!$1:$1048576,MATCH(All!$A411,Fall!$A:$A,FALSE),MATCH(All!G$1,Fall!$1:$1,FALSE))),"")</f>
        <v>3A</v>
      </c>
      <c r="H411" t="str">
        <f>IFERROR(IF(INDEX(Fall!$1:$1048576,MATCH(All!$A411,Fall!$A:$A,FALSE),MATCH(All!H$1,Fall!$1:$1,FALSE))="","",INDEX(Fall!$1:$1048576,MATCH(All!$A411,Fall!$A:$A,FALSE),MATCH(All!H$1,Fall!$1:$1,FALSE))),"")</f>
        <v>3A</v>
      </c>
      <c r="I411" t="str">
        <f>IFERROR(IF(INDEX(Fall!$1:$1048576,MATCH(All!$A411,Fall!$A:$A,FALSE),MATCH(All!I$1,Fall!$1:$1,FALSE))="","",INDEX(Fall!$1:$1048576,MATCH(All!$A411,Fall!$A:$A,FALSE),MATCH(All!I$1,Fall!$1:$1,FALSE))),"")</f>
        <v>3A</v>
      </c>
      <c r="J411" t="str">
        <f>IFERROR(IF(INDEX(Fall!$1:$1048576,MATCH(All!$A411,Fall!$A:$A,FALSE),MATCH(All!J$1,Fall!$1:$1,FALSE))="","",INDEX(Fall!$1:$1048576,MATCH(All!$A411,Fall!$A:$A,FALSE),MATCH(All!J$1,Fall!$1:$1,FALSE))),"")</f>
        <v/>
      </c>
      <c r="K411" t="str">
        <f>IFERROR(IF(INDEX(Fall!$1:$1048576,MATCH(All!$A411,Fall!$A:$A,FALSE),MATCH(All!K$1,Fall!$1:$1,FALSE))="","",INDEX(Fall!$1:$1048576,MATCH(All!$A411,Fall!$A:$A,FALSE),MATCH(All!K$1,Fall!$1:$1,FALSE))),"")</f>
        <v>3A</v>
      </c>
      <c r="L411" t="str">
        <f>IFERROR(IF(INDEX(Fall!$1:$1048576,MATCH(All!$A411,Fall!$A:$A,FALSE),MATCH(All!L$1,Fall!$1:$1,FALSE))="","",INDEX(Fall!$1:$1048576,MATCH(All!$A411,Fall!$A:$A,FALSE),MATCH(All!L$1,Fall!$1:$1,FALSE))),"")</f>
        <v>2A</v>
      </c>
      <c r="M411" t="str">
        <f>IFERROR(IF(INDEX(Fall!$1:$1048576,MATCH(All!$A411,Fall!$A:$A,FALSE),MATCH(All!M$1,Fall!$1:$1,FALSE))="","",INDEX(Fall!$1:$1048576,MATCH(All!$A411,Fall!$A:$A,FALSE),MATCH(All!M$1,Fall!$1:$1,FALSE))),"")</f>
        <v>4A</v>
      </c>
      <c r="O411">
        <f>IFERROR(IF(INDEX(Winter!$1:$1048576,MATCH(All!$A411,Winter!$A:$A,FALSE),MATCH(All!O$1,Winter!$1:$1,FALSE))="","",INDEX(Winter!$1:$1048576,MATCH(All!$A411,Winter!$A:$A,FALSE),MATCH(All!O$1,Winter!$1:$1,FALSE))),"")</f>
        <v>2166</v>
      </c>
      <c r="P411" t="str">
        <f>IFERROR(IF(INDEX(Winter!$1:$1048576,MATCH(All!$A411,Winter!$A:$A,FALSE),MATCH(All!P$1,Winter!$1:$1,FALSE))="","",INDEX(Winter!$1:$1048576,MATCH(All!$A411,Winter!$A:$A,FALSE),MATCH(All!P$1,Winter!$1:$1,FALSE))),"")</f>
        <v>4A</v>
      </c>
      <c r="Q411" t="str">
        <f>IFERROR(IF(INDEX(Winter!$1:$1048576,MATCH(All!$A411,Winter!$A:$A,FALSE),MATCH(All!Q$1,Winter!$1:$1,FALSE))="","",INDEX(Winter!$1:$1048576,MATCH(All!$A411,Winter!$A:$A,FALSE),MATCH(All!Q$1,Winter!$1:$1,FALSE))),"")</f>
        <v>4A</v>
      </c>
      <c r="R411" t="str">
        <f>IFERROR(IF(INDEX(Winter!$1:$1048576,MATCH(All!$A411,Winter!$A:$A,FALSE),MATCH(All!R$1,Winter!$1:$1,FALSE))="","",INDEX(Winter!$1:$1048576,MATCH(All!$A411,Winter!$A:$A,FALSE),MATCH(All!R$1,Winter!$1:$1,FALSE))),"")</f>
        <v/>
      </c>
      <c r="S411" t="str">
        <f>IFERROR(IF(INDEX(Winter!$1:$1048576,MATCH(All!$A411,Winter!$A:$A,FALSE),MATCH(All!S$1,Winter!$1:$1,FALSE))="","",INDEX(Winter!$1:$1048576,MATCH(All!$A411,Winter!$A:$A,FALSE),MATCH(All!S$1,Winter!$1:$1,FALSE))),"")</f>
        <v/>
      </c>
      <c r="T411" t="str">
        <f>IFERROR(IF(INDEX(Winter!$1:$1048576,MATCH(All!$A411,Winter!$A:$A,FALSE),MATCH(All!T$1,Winter!$1:$1,FALSE))="","",INDEX(Winter!$1:$1048576,MATCH(All!$A411,Winter!$A:$A,FALSE),MATCH(All!T$1,Winter!$1:$1,FALSE))),"")</f>
        <v>2A</v>
      </c>
      <c r="U411" t="str">
        <f>IFERROR(IF(INDEX(Winter!$1:$1048576,MATCH(All!$A411,Winter!$A:$A,FALSE),MATCH(All!U$1,Winter!$1:$1,FALSE))="","",INDEX(Winter!$1:$1048576,MATCH(All!$A411,Winter!$A:$A,FALSE),MATCH(All!U$1,Winter!$1:$1,FALSE))),"")</f>
        <v>3A</v>
      </c>
      <c r="W411">
        <f>IFERROR(IF(INDEX(Spring!$1:$1048576,MATCH(All!$A411,Spring!$A:$A,FALSE),MATCH(All!W$1,Spring!$1:$1,FALSE))="","",INDEX(Spring!$1:$1048576,MATCH(All!$A411,Spring!$A:$A,FALSE),MATCH(All!W$1,Spring!$1:$1,FALSE))),"")</f>
        <v>2166</v>
      </c>
      <c r="X411" t="str">
        <f>IFERROR(IF(INDEX(Spring!$1:$1048576,MATCH(All!$A411,Spring!$A:$A,FALSE),MATCH(All!X$1,Spring!$1:$1,FALSE))="","",INDEX(Spring!$1:$1048576,MATCH(All!$A411,Spring!$A:$A,FALSE),MATCH(All!X$1,Spring!$1:$1,FALSE))),"")</f>
        <v>4A</v>
      </c>
      <c r="Y411" t="str">
        <f>IFERROR(IF(INDEX(Spring!$1:$1048576,MATCH(All!$A411,Spring!$A:$A,FALSE),MATCH(All!Y$1,Spring!$1:$1,FALSE))="","",INDEX(Spring!$1:$1048576,MATCH(All!$A411,Spring!$A:$A,FALSE),MATCH(All!Y$1,Spring!$1:$1,FALSE))),"")</f>
        <v/>
      </c>
      <c r="Z411" t="str">
        <f>IFERROR(IF(INDEX(Spring!$1:$1048576,MATCH(All!$A411,Spring!$A:$A,FALSE),MATCH(All!Z$1,Spring!$1:$1,FALSE))="","",INDEX(Spring!$1:$1048576,MATCH(All!$A411,Spring!$A:$A,FALSE),MATCH(All!Z$1,Spring!$1:$1,FALSE))),"")</f>
        <v>3A</v>
      </c>
      <c r="AA411" t="str">
        <f>IFERROR(IF(INDEX(Spring!$1:$1048576,MATCH(All!$A411,Spring!$A:$A,FALSE),MATCH(All!AA$1,Spring!$1:$1,FALSE))="","",INDEX(Spring!$1:$1048576,MATCH(All!$A411,Spring!$A:$A,FALSE),MATCH(All!AA$1,Spring!$1:$1,FALSE))),"")</f>
        <v>2A</v>
      </c>
      <c r="AB411" t="str">
        <f>IFERROR(IF(INDEX(Spring!$1:$1048576,MATCH(All!$A411,Spring!$A:$A,FALSE),MATCH(All!AB$1,Spring!$1:$1,FALSE))="","",INDEX(Spring!$1:$1048576,MATCH(All!$A411,Spring!$A:$A,FALSE),MATCH(All!AB$1,Spring!$1:$1,FALSE))),"")</f>
        <v>3A</v>
      </c>
      <c r="AC411" t="str">
        <f>IFERROR(IF(INDEX(Spring!$1:$1048576,MATCH(All!$A411,Spring!$A:$A,FALSE),MATCH(All!AC$1,Spring!$1:$1,FALSE))="","",INDEX(Spring!$1:$1048576,MATCH(All!$A411,Spring!$A:$A,FALSE),MATCH(All!AC$1,Spring!$1:$1,FALSE))),"")</f>
        <v>3A</v>
      </c>
      <c r="AD411" t="str">
        <f>IFERROR(VLOOKUP(A411,'Flag Football'!A:A,1,FALSE),"")</f>
        <v>Hillside (Proviso West)</v>
      </c>
      <c r="AE411" t="str">
        <f t="shared" si="6"/>
        <v>1A</v>
      </c>
    </row>
    <row r="412" spans="1:31" ht="15.75" thickBot="1" x14ac:dyDescent="0.3">
      <c r="A412" s="18" t="s">
        <v>500</v>
      </c>
      <c r="B412" s="38">
        <f>IFERROR(VLOOKUP(A412,'Public v Private'!A:G,3,FALSE),"")</f>
        <v>0</v>
      </c>
      <c r="C412" s="38">
        <f>IFERROR(VLOOKUP(A412,'Public v Private'!A:G,4,FALSE),"")</f>
        <v>0</v>
      </c>
      <c r="D412" s="38">
        <f>IFERROR(VLOOKUP(A412,'Public v Private'!A:G,5,FALSE),"")</f>
        <v>0</v>
      </c>
      <c r="E412" s="38"/>
      <c r="F412" s="40">
        <f>IFERROR(INDEX(Fall!$1:$1048576,MATCH(All!$A412,Fall!$A:$A,FALSE),MATCH(All!F$1,Fall!$1:$1,FALSE)),"N/A")</f>
        <v>209</v>
      </c>
      <c r="G412" t="str">
        <f>IFERROR(IF(INDEX(Fall!$1:$1048576,MATCH(All!$A412,Fall!$A:$A,FALSE),MATCH(All!G$1,Fall!$1:$1,FALSE))="","",INDEX(Fall!$1:$1048576,MATCH(All!$A412,Fall!$A:$A,FALSE),MATCH(All!G$1,Fall!$1:$1,FALSE))),"")</f>
        <v>1A</v>
      </c>
      <c r="H412" t="str">
        <f>IFERROR(IF(INDEX(Fall!$1:$1048576,MATCH(All!$A412,Fall!$A:$A,FALSE),MATCH(All!H$1,Fall!$1:$1,FALSE))="","",INDEX(Fall!$1:$1048576,MATCH(All!$A412,Fall!$A:$A,FALSE),MATCH(All!H$1,Fall!$1:$1,FALSE))),"")</f>
        <v>1A</v>
      </c>
      <c r="I412" t="str">
        <f>IFERROR(IF(INDEX(Fall!$1:$1048576,MATCH(All!$A412,Fall!$A:$A,FALSE),MATCH(All!I$1,Fall!$1:$1,FALSE))="","",INDEX(Fall!$1:$1048576,MATCH(All!$A412,Fall!$A:$A,FALSE),MATCH(All!I$1,Fall!$1:$1,FALSE))),"")</f>
        <v>1A</v>
      </c>
      <c r="J412" t="str">
        <f>IFERROR(IF(INDEX(Fall!$1:$1048576,MATCH(All!$A412,Fall!$A:$A,FALSE),MATCH(All!J$1,Fall!$1:$1,FALSE))="","",INDEX(Fall!$1:$1048576,MATCH(All!$A412,Fall!$A:$A,FALSE),MATCH(All!J$1,Fall!$1:$1,FALSE))),"")</f>
        <v>1A</v>
      </c>
      <c r="K412" t="str">
        <f>IFERROR(IF(INDEX(Fall!$1:$1048576,MATCH(All!$A412,Fall!$A:$A,FALSE),MATCH(All!K$1,Fall!$1:$1,FALSE))="","",INDEX(Fall!$1:$1048576,MATCH(All!$A412,Fall!$A:$A,FALSE),MATCH(All!K$1,Fall!$1:$1,FALSE))),"")</f>
        <v>1A</v>
      </c>
      <c r="L412" t="str">
        <f>IFERROR(IF(INDEX(Fall!$1:$1048576,MATCH(All!$A412,Fall!$A:$A,FALSE),MATCH(All!L$1,Fall!$1:$1,FALSE))="","",INDEX(Fall!$1:$1048576,MATCH(All!$A412,Fall!$A:$A,FALSE),MATCH(All!L$1,Fall!$1:$1,FALSE))),"")</f>
        <v/>
      </c>
      <c r="M412" t="str">
        <f>IFERROR(IF(INDEX(Fall!$1:$1048576,MATCH(All!$A412,Fall!$A:$A,FALSE),MATCH(All!M$1,Fall!$1:$1,FALSE))="","",INDEX(Fall!$1:$1048576,MATCH(All!$A412,Fall!$A:$A,FALSE),MATCH(All!M$1,Fall!$1:$1,FALSE))),"")</f>
        <v>1A</v>
      </c>
      <c r="O412">
        <f>IFERROR(IF(INDEX(Winter!$1:$1048576,MATCH(All!$A412,Winter!$A:$A,FALSE),MATCH(All!O$1,Winter!$1:$1,FALSE))="","",INDEX(Winter!$1:$1048576,MATCH(All!$A412,Winter!$A:$A,FALSE),MATCH(All!O$1,Winter!$1:$1,FALSE))),"")</f>
        <v>209</v>
      </c>
      <c r="P412" t="str">
        <f>IFERROR(IF(INDEX(Winter!$1:$1048576,MATCH(All!$A412,Winter!$A:$A,FALSE),MATCH(All!P$1,Winter!$1:$1,FALSE))="","",INDEX(Winter!$1:$1048576,MATCH(All!$A412,Winter!$A:$A,FALSE),MATCH(All!P$1,Winter!$1:$1,FALSE))),"")</f>
        <v>1A</v>
      </c>
      <c r="Q412" t="str">
        <f>IFERROR(IF(INDEX(Winter!$1:$1048576,MATCH(All!$A412,Winter!$A:$A,FALSE),MATCH(All!Q$1,Winter!$1:$1,FALSE))="","",INDEX(Winter!$1:$1048576,MATCH(All!$A412,Winter!$A:$A,FALSE),MATCH(All!Q$1,Winter!$1:$1,FALSE))),"")</f>
        <v>1A</v>
      </c>
      <c r="R412" t="str">
        <f>IFERROR(IF(INDEX(Winter!$1:$1048576,MATCH(All!$A412,Winter!$A:$A,FALSE),MATCH(All!R$1,Winter!$1:$1,FALSE))="","",INDEX(Winter!$1:$1048576,MATCH(All!$A412,Winter!$A:$A,FALSE),MATCH(All!R$1,Winter!$1:$1,FALSE))),"")</f>
        <v/>
      </c>
      <c r="S412" t="str">
        <f>IFERROR(IF(INDEX(Winter!$1:$1048576,MATCH(All!$A412,Winter!$A:$A,FALSE),MATCH(All!S$1,Winter!$1:$1,FALSE))="","",INDEX(Winter!$1:$1048576,MATCH(All!$A412,Winter!$A:$A,FALSE),MATCH(All!S$1,Winter!$1:$1,FALSE))),"")</f>
        <v/>
      </c>
      <c r="T412" t="str">
        <f>IFERROR(IF(INDEX(Winter!$1:$1048576,MATCH(All!$A412,Winter!$A:$A,FALSE),MATCH(All!T$1,Winter!$1:$1,FALSE))="","",INDEX(Winter!$1:$1048576,MATCH(All!$A412,Winter!$A:$A,FALSE),MATCH(All!T$1,Winter!$1:$1,FALSE))),"")</f>
        <v/>
      </c>
      <c r="U412" t="str">
        <f>IFERROR(IF(INDEX(Winter!$1:$1048576,MATCH(All!$A412,Winter!$A:$A,FALSE),MATCH(All!U$1,Winter!$1:$1,FALSE))="","",INDEX(Winter!$1:$1048576,MATCH(All!$A412,Winter!$A:$A,FALSE),MATCH(All!U$1,Winter!$1:$1,FALSE))),"")</f>
        <v/>
      </c>
      <c r="W412">
        <f>IFERROR(IF(INDEX(Spring!$1:$1048576,MATCH(All!$A412,Spring!$A:$A,FALSE),MATCH(All!W$1,Spring!$1:$1,FALSE))="","",INDEX(Spring!$1:$1048576,MATCH(All!$A412,Spring!$A:$A,FALSE),MATCH(All!W$1,Spring!$1:$1,FALSE))),"")</f>
        <v>209</v>
      </c>
      <c r="X412" t="str">
        <f>IFERROR(IF(INDEX(Spring!$1:$1048576,MATCH(All!$A412,Spring!$A:$A,FALSE),MATCH(All!X$1,Spring!$1:$1,FALSE))="","",INDEX(Spring!$1:$1048576,MATCH(All!$A412,Spring!$A:$A,FALSE),MATCH(All!X$1,Spring!$1:$1,FALSE))),"")</f>
        <v>1A</v>
      </c>
      <c r="Y412" t="str">
        <f>IFERROR(IF(INDEX(Spring!$1:$1048576,MATCH(All!$A412,Spring!$A:$A,FALSE),MATCH(All!Y$1,Spring!$1:$1,FALSE))="","",INDEX(Spring!$1:$1048576,MATCH(All!$A412,Spring!$A:$A,FALSE),MATCH(All!Y$1,Spring!$1:$1,FALSE))),"")</f>
        <v>1A</v>
      </c>
      <c r="Z412" t="str">
        <f>IFERROR(IF(INDEX(Spring!$1:$1048576,MATCH(All!$A412,Spring!$A:$A,FALSE),MATCH(All!Z$1,Spring!$1:$1,FALSE))="","",INDEX(Spring!$1:$1048576,MATCH(All!$A412,Spring!$A:$A,FALSE),MATCH(All!Z$1,Spring!$1:$1,FALSE))),"")</f>
        <v>1A</v>
      </c>
      <c r="AA412" t="str">
        <f>IFERROR(IF(INDEX(Spring!$1:$1048576,MATCH(All!$A412,Spring!$A:$A,FALSE),MATCH(All!AA$1,Spring!$1:$1,FALSE))="","",INDEX(Spring!$1:$1048576,MATCH(All!$A412,Spring!$A:$A,FALSE),MATCH(All!AA$1,Spring!$1:$1,FALSE))),"")</f>
        <v/>
      </c>
      <c r="AB412" t="str">
        <f>IFERROR(IF(INDEX(Spring!$1:$1048576,MATCH(All!$A412,Spring!$A:$A,FALSE),MATCH(All!AB$1,Spring!$1:$1,FALSE))="","",INDEX(Spring!$1:$1048576,MATCH(All!$A412,Spring!$A:$A,FALSE),MATCH(All!AB$1,Spring!$1:$1,FALSE))),"")</f>
        <v>1A</v>
      </c>
      <c r="AC412" t="str">
        <f>IFERROR(IF(INDEX(Spring!$1:$1048576,MATCH(All!$A412,Spring!$A:$A,FALSE),MATCH(All!AC$1,Spring!$1:$1,FALSE))="","",INDEX(Spring!$1:$1048576,MATCH(All!$A412,Spring!$A:$A,FALSE),MATCH(All!AC$1,Spring!$1:$1,FALSE))),"")</f>
        <v>1A</v>
      </c>
      <c r="AD412" t="str">
        <f>IFERROR(VLOOKUP(A412,'Flag Football'!A:A,1,FALSE),"")</f>
        <v/>
      </c>
      <c r="AE412" t="str">
        <f t="shared" si="6"/>
        <v/>
      </c>
    </row>
    <row r="413" spans="1:31" ht="15.75" thickBot="1" x14ac:dyDescent="0.3">
      <c r="A413" s="20" t="s">
        <v>501</v>
      </c>
      <c r="B413" s="38">
        <f>IFERROR(VLOOKUP(A413,'Public v Private'!A:G,3,FALSE),"")</f>
        <v>0</v>
      </c>
      <c r="C413" s="38">
        <f>IFERROR(VLOOKUP(A413,'Public v Private'!A:G,4,FALSE),"")</f>
        <v>0</v>
      </c>
      <c r="D413" s="38">
        <f>IFERROR(VLOOKUP(A413,'Public v Private'!A:G,5,FALSE),"")</f>
        <v>0</v>
      </c>
      <c r="E413" s="38"/>
      <c r="F413" s="40">
        <f>IFERROR(INDEX(Fall!$1:$1048576,MATCH(All!$A413,Fall!$A:$A,FALSE),MATCH(All!F$1,Fall!$1:$1,FALSE)),"N/A")</f>
        <v>2401</v>
      </c>
      <c r="G413" t="str">
        <f>IFERROR(IF(INDEX(Fall!$1:$1048576,MATCH(All!$A413,Fall!$A:$A,FALSE),MATCH(All!G$1,Fall!$1:$1,FALSE))="","",INDEX(Fall!$1:$1048576,MATCH(All!$A413,Fall!$A:$A,FALSE),MATCH(All!G$1,Fall!$1:$1,FALSE))),"")</f>
        <v>3A</v>
      </c>
      <c r="H413" t="str">
        <f>IFERROR(IF(INDEX(Fall!$1:$1048576,MATCH(All!$A413,Fall!$A:$A,FALSE),MATCH(All!H$1,Fall!$1:$1,FALSE))="","",INDEX(Fall!$1:$1048576,MATCH(All!$A413,Fall!$A:$A,FALSE),MATCH(All!H$1,Fall!$1:$1,FALSE))),"")</f>
        <v>3A</v>
      </c>
      <c r="I413" t="str">
        <f>IFERROR(IF(INDEX(Fall!$1:$1048576,MATCH(All!$A413,Fall!$A:$A,FALSE),MATCH(All!I$1,Fall!$1:$1,FALSE))="","",INDEX(Fall!$1:$1048576,MATCH(All!$A413,Fall!$A:$A,FALSE),MATCH(All!I$1,Fall!$1:$1,FALSE))),"")</f>
        <v>3A</v>
      </c>
      <c r="J413" t="str">
        <f>IFERROR(IF(INDEX(Fall!$1:$1048576,MATCH(All!$A413,Fall!$A:$A,FALSE),MATCH(All!J$1,Fall!$1:$1,FALSE))="","",INDEX(Fall!$1:$1048576,MATCH(All!$A413,Fall!$A:$A,FALSE),MATCH(All!J$1,Fall!$1:$1,FALSE))),"")</f>
        <v>2A</v>
      </c>
      <c r="K413" t="str">
        <f>IFERROR(IF(INDEX(Fall!$1:$1048576,MATCH(All!$A413,Fall!$A:$A,FALSE),MATCH(All!K$1,Fall!$1:$1,FALSE))="","",INDEX(Fall!$1:$1048576,MATCH(All!$A413,Fall!$A:$A,FALSE),MATCH(All!K$1,Fall!$1:$1,FALSE))),"")</f>
        <v>3A</v>
      </c>
      <c r="L413" t="str">
        <f>IFERROR(IF(INDEX(Fall!$1:$1048576,MATCH(All!$A413,Fall!$A:$A,FALSE),MATCH(All!L$1,Fall!$1:$1,FALSE))="","",INDEX(Fall!$1:$1048576,MATCH(All!$A413,Fall!$A:$A,FALSE),MATCH(All!L$1,Fall!$1:$1,FALSE))),"")</f>
        <v>2A</v>
      </c>
      <c r="M413" t="str">
        <f>IFERROR(IF(INDEX(Fall!$1:$1048576,MATCH(All!$A413,Fall!$A:$A,FALSE),MATCH(All!M$1,Fall!$1:$1,FALSE))="","",INDEX(Fall!$1:$1048576,MATCH(All!$A413,Fall!$A:$A,FALSE),MATCH(All!M$1,Fall!$1:$1,FALSE))),"")</f>
        <v>4A</v>
      </c>
      <c r="O413">
        <f>IFERROR(IF(INDEX(Winter!$1:$1048576,MATCH(All!$A413,Winter!$A:$A,FALSE),MATCH(All!O$1,Winter!$1:$1,FALSE))="","",INDEX(Winter!$1:$1048576,MATCH(All!$A413,Winter!$A:$A,FALSE),MATCH(All!O$1,Winter!$1:$1,FALSE))),"")</f>
        <v>2401</v>
      </c>
      <c r="P413" t="str">
        <f>IFERROR(IF(INDEX(Winter!$1:$1048576,MATCH(All!$A413,Winter!$A:$A,FALSE),MATCH(All!P$1,Winter!$1:$1,FALSE))="","",INDEX(Winter!$1:$1048576,MATCH(All!$A413,Winter!$A:$A,FALSE),MATCH(All!P$1,Winter!$1:$1,FALSE))),"")</f>
        <v>4A</v>
      </c>
      <c r="Q413" t="str">
        <f>IFERROR(IF(INDEX(Winter!$1:$1048576,MATCH(All!$A413,Winter!$A:$A,FALSE),MATCH(All!Q$1,Winter!$1:$1,FALSE))="","",INDEX(Winter!$1:$1048576,MATCH(All!$A413,Winter!$A:$A,FALSE),MATCH(All!Q$1,Winter!$1:$1,FALSE))),"")</f>
        <v>4A</v>
      </c>
      <c r="R413" t="str">
        <f>IFERROR(IF(INDEX(Winter!$1:$1048576,MATCH(All!$A413,Winter!$A:$A,FALSE),MATCH(All!R$1,Winter!$1:$1,FALSE))="","",INDEX(Winter!$1:$1048576,MATCH(All!$A413,Winter!$A:$A,FALSE),MATCH(All!R$1,Winter!$1:$1,FALSE))),"")</f>
        <v>3A</v>
      </c>
      <c r="S413" t="str">
        <f>IFERROR(IF(INDEX(Winter!$1:$1048576,MATCH(All!$A413,Winter!$A:$A,FALSE),MATCH(All!S$1,Winter!$1:$1,FALSE))="","",INDEX(Winter!$1:$1048576,MATCH(All!$A413,Winter!$A:$A,FALSE),MATCH(All!S$1,Winter!$1:$1,FALSE))),"")</f>
        <v/>
      </c>
      <c r="T413" t="str">
        <f>IFERROR(IF(INDEX(Winter!$1:$1048576,MATCH(All!$A413,Winter!$A:$A,FALSE),MATCH(All!T$1,Winter!$1:$1,FALSE))="","",INDEX(Winter!$1:$1048576,MATCH(All!$A413,Winter!$A:$A,FALSE),MATCH(All!T$1,Winter!$1:$1,FALSE))),"")</f>
        <v>2A</v>
      </c>
      <c r="U413" t="str">
        <f>IFERROR(IF(INDEX(Winter!$1:$1048576,MATCH(All!$A413,Winter!$A:$A,FALSE),MATCH(All!U$1,Winter!$1:$1,FALSE))="","",INDEX(Winter!$1:$1048576,MATCH(All!$A413,Winter!$A:$A,FALSE),MATCH(All!U$1,Winter!$1:$1,FALSE))),"")</f>
        <v>3A</v>
      </c>
      <c r="W413">
        <f>IFERROR(IF(INDEX(Spring!$1:$1048576,MATCH(All!$A413,Spring!$A:$A,FALSE),MATCH(All!W$1,Spring!$1:$1,FALSE))="","",INDEX(Spring!$1:$1048576,MATCH(All!$A413,Spring!$A:$A,FALSE),MATCH(All!W$1,Spring!$1:$1,FALSE))),"")</f>
        <v>2401</v>
      </c>
      <c r="X413" t="str">
        <f>IFERROR(IF(INDEX(Spring!$1:$1048576,MATCH(All!$A413,Spring!$A:$A,FALSE),MATCH(All!X$1,Spring!$1:$1,FALSE))="","",INDEX(Spring!$1:$1048576,MATCH(All!$A413,Spring!$A:$A,FALSE),MATCH(All!X$1,Spring!$1:$1,FALSE))),"")</f>
        <v>4A</v>
      </c>
      <c r="Y413" t="str">
        <f>IFERROR(IF(INDEX(Spring!$1:$1048576,MATCH(All!$A413,Spring!$A:$A,FALSE),MATCH(All!Y$1,Spring!$1:$1,FALSE))="","",INDEX(Spring!$1:$1048576,MATCH(All!$A413,Spring!$A:$A,FALSE),MATCH(All!Y$1,Spring!$1:$1,FALSE))),"")</f>
        <v>4A</v>
      </c>
      <c r="Z413" t="str">
        <f>IFERROR(IF(INDEX(Spring!$1:$1048576,MATCH(All!$A413,Spring!$A:$A,FALSE),MATCH(All!Z$1,Spring!$1:$1,FALSE))="","",INDEX(Spring!$1:$1048576,MATCH(All!$A413,Spring!$A:$A,FALSE),MATCH(All!Z$1,Spring!$1:$1,FALSE))),"")</f>
        <v>3A</v>
      </c>
      <c r="AA413" t="str">
        <f>IFERROR(IF(INDEX(Spring!$1:$1048576,MATCH(All!$A413,Spring!$A:$A,FALSE),MATCH(All!AA$1,Spring!$1:$1,FALSE))="","",INDEX(Spring!$1:$1048576,MATCH(All!$A413,Spring!$A:$A,FALSE),MATCH(All!AA$1,Spring!$1:$1,FALSE))),"")</f>
        <v>2A</v>
      </c>
      <c r="AB413" t="str">
        <f>IFERROR(IF(INDEX(Spring!$1:$1048576,MATCH(All!$A413,Spring!$A:$A,FALSE),MATCH(All!AB$1,Spring!$1:$1,FALSE))="","",INDEX(Spring!$1:$1048576,MATCH(All!$A413,Spring!$A:$A,FALSE),MATCH(All!AB$1,Spring!$1:$1,FALSE))),"")</f>
        <v>3A</v>
      </c>
      <c r="AC413" t="str">
        <f>IFERROR(IF(INDEX(Spring!$1:$1048576,MATCH(All!$A413,Spring!$A:$A,FALSE),MATCH(All!AC$1,Spring!$1:$1,FALSE))="","",INDEX(Spring!$1:$1048576,MATCH(All!$A413,Spring!$A:$A,FALSE),MATCH(All!AC$1,Spring!$1:$1,FALSE))),"")</f>
        <v>3A</v>
      </c>
      <c r="AD413" t="str">
        <f>IFERROR(VLOOKUP(A413,'Flag Football'!A:A,1,FALSE),"")</f>
        <v>Hinsdale (Central)</v>
      </c>
      <c r="AE413" t="str">
        <f t="shared" si="6"/>
        <v>1A</v>
      </c>
    </row>
    <row r="414" spans="1:31" ht="15.75" thickBot="1" x14ac:dyDescent="0.3">
      <c r="A414" s="18" t="s">
        <v>502</v>
      </c>
      <c r="B414" s="38">
        <f>IFERROR(VLOOKUP(A414,'Public v Private'!A:G,3,FALSE),"")</f>
        <v>0</v>
      </c>
      <c r="C414" s="38">
        <f>IFERROR(VLOOKUP(A414,'Public v Private'!A:G,4,FALSE),"")</f>
        <v>0</v>
      </c>
      <c r="D414" s="38">
        <f>IFERROR(VLOOKUP(A414,'Public v Private'!A:G,5,FALSE),"")</f>
        <v>0</v>
      </c>
      <c r="E414" s="38"/>
      <c r="F414" s="40">
        <f>IFERROR(INDEX(Fall!$1:$1048576,MATCH(All!$A414,Fall!$A:$A,FALSE),MATCH(All!F$1,Fall!$1:$1,FALSE)),"N/A")</f>
        <v>2610</v>
      </c>
      <c r="G414" t="str">
        <f>IFERROR(IF(INDEX(Fall!$1:$1048576,MATCH(All!$A414,Fall!$A:$A,FALSE),MATCH(All!G$1,Fall!$1:$1,FALSE))="","",INDEX(Fall!$1:$1048576,MATCH(All!$A414,Fall!$A:$A,FALSE),MATCH(All!G$1,Fall!$1:$1,FALSE))),"")</f>
        <v>3A</v>
      </c>
      <c r="H414" t="str">
        <f>IFERROR(IF(INDEX(Fall!$1:$1048576,MATCH(All!$A414,Fall!$A:$A,FALSE),MATCH(All!H$1,Fall!$1:$1,FALSE))="","",INDEX(Fall!$1:$1048576,MATCH(All!$A414,Fall!$A:$A,FALSE),MATCH(All!H$1,Fall!$1:$1,FALSE))),"")</f>
        <v>3A</v>
      </c>
      <c r="I414" t="str">
        <f>IFERROR(IF(INDEX(Fall!$1:$1048576,MATCH(All!$A414,Fall!$A:$A,FALSE),MATCH(All!I$1,Fall!$1:$1,FALSE))="","",INDEX(Fall!$1:$1048576,MATCH(All!$A414,Fall!$A:$A,FALSE),MATCH(All!I$1,Fall!$1:$1,FALSE))),"")</f>
        <v>3A</v>
      </c>
      <c r="J414" t="str">
        <f>IFERROR(IF(INDEX(Fall!$1:$1048576,MATCH(All!$A414,Fall!$A:$A,FALSE),MATCH(All!J$1,Fall!$1:$1,FALSE))="","",INDEX(Fall!$1:$1048576,MATCH(All!$A414,Fall!$A:$A,FALSE),MATCH(All!J$1,Fall!$1:$1,FALSE))),"")</f>
        <v>2A</v>
      </c>
      <c r="K414" t="str">
        <f>IFERROR(IF(INDEX(Fall!$1:$1048576,MATCH(All!$A414,Fall!$A:$A,FALSE),MATCH(All!K$1,Fall!$1:$1,FALSE))="","",INDEX(Fall!$1:$1048576,MATCH(All!$A414,Fall!$A:$A,FALSE),MATCH(All!K$1,Fall!$1:$1,FALSE))),"")</f>
        <v>3A</v>
      </c>
      <c r="L414" t="str">
        <f>IFERROR(IF(INDEX(Fall!$1:$1048576,MATCH(All!$A414,Fall!$A:$A,FALSE),MATCH(All!L$1,Fall!$1:$1,FALSE))="","",INDEX(Fall!$1:$1048576,MATCH(All!$A414,Fall!$A:$A,FALSE),MATCH(All!L$1,Fall!$1:$1,FALSE))),"")</f>
        <v>2A</v>
      </c>
      <c r="M414" t="str">
        <f>IFERROR(IF(INDEX(Fall!$1:$1048576,MATCH(All!$A414,Fall!$A:$A,FALSE),MATCH(All!M$1,Fall!$1:$1,FALSE))="","",INDEX(Fall!$1:$1048576,MATCH(All!$A414,Fall!$A:$A,FALSE),MATCH(All!M$1,Fall!$1:$1,FALSE))),"")</f>
        <v>4A</v>
      </c>
      <c r="O414">
        <f>IFERROR(IF(INDEX(Winter!$1:$1048576,MATCH(All!$A414,Winter!$A:$A,FALSE),MATCH(All!O$1,Winter!$1:$1,FALSE))="","",INDEX(Winter!$1:$1048576,MATCH(All!$A414,Winter!$A:$A,FALSE),MATCH(All!O$1,Winter!$1:$1,FALSE))),"")</f>
        <v>2610</v>
      </c>
      <c r="P414" t="str">
        <f>IFERROR(IF(INDEX(Winter!$1:$1048576,MATCH(All!$A414,Winter!$A:$A,FALSE),MATCH(All!P$1,Winter!$1:$1,FALSE))="","",INDEX(Winter!$1:$1048576,MATCH(All!$A414,Winter!$A:$A,FALSE),MATCH(All!P$1,Winter!$1:$1,FALSE))),"")</f>
        <v>4A</v>
      </c>
      <c r="Q414" t="str">
        <f>IFERROR(IF(INDEX(Winter!$1:$1048576,MATCH(All!$A414,Winter!$A:$A,FALSE),MATCH(All!Q$1,Winter!$1:$1,FALSE))="","",INDEX(Winter!$1:$1048576,MATCH(All!$A414,Winter!$A:$A,FALSE),MATCH(All!Q$1,Winter!$1:$1,FALSE))),"")</f>
        <v>4A</v>
      </c>
      <c r="R414" t="str">
        <f>IFERROR(IF(INDEX(Winter!$1:$1048576,MATCH(All!$A414,Winter!$A:$A,FALSE),MATCH(All!R$1,Winter!$1:$1,FALSE))="","",INDEX(Winter!$1:$1048576,MATCH(All!$A414,Winter!$A:$A,FALSE),MATCH(All!R$1,Winter!$1:$1,FALSE))),"")</f>
        <v>C</v>
      </c>
      <c r="S414" t="str">
        <f>IFERROR(IF(INDEX(Winter!$1:$1048576,MATCH(All!$A414,Winter!$A:$A,FALSE),MATCH(All!S$1,Winter!$1:$1,FALSE))="","",INDEX(Winter!$1:$1048576,MATCH(All!$A414,Winter!$A:$A,FALSE),MATCH(All!S$1,Winter!$1:$1,FALSE))),"")</f>
        <v>3A</v>
      </c>
      <c r="T414" t="str">
        <f>IFERROR(IF(INDEX(Winter!$1:$1048576,MATCH(All!$A414,Winter!$A:$A,FALSE),MATCH(All!T$1,Winter!$1:$1,FALSE))="","",INDEX(Winter!$1:$1048576,MATCH(All!$A414,Winter!$A:$A,FALSE),MATCH(All!T$1,Winter!$1:$1,FALSE))),"")</f>
        <v>2A</v>
      </c>
      <c r="U414" t="str">
        <f>IFERROR(IF(INDEX(Winter!$1:$1048576,MATCH(All!$A414,Winter!$A:$A,FALSE),MATCH(All!U$1,Winter!$1:$1,FALSE))="","",INDEX(Winter!$1:$1048576,MATCH(All!$A414,Winter!$A:$A,FALSE),MATCH(All!U$1,Winter!$1:$1,FALSE))),"")</f>
        <v>3A</v>
      </c>
      <c r="W414">
        <f>IFERROR(IF(INDEX(Spring!$1:$1048576,MATCH(All!$A414,Spring!$A:$A,FALSE),MATCH(All!W$1,Spring!$1:$1,FALSE))="","",INDEX(Spring!$1:$1048576,MATCH(All!$A414,Spring!$A:$A,FALSE),MATCH(All!W$1,Spring!$1:$1,FALSE))),"")</f>
        <v>2610</v>
      </c>
      <c r="X414" t="str">
        <f>IFERROR(IF(INDEX(Spring!$1:$1048576,MATCH(All!$A414,Spring!$A:$A,FALSE),MATCH(All!X$1,Spring!$1:$1,FALSE))="","",INDEX(Spring!$1:$1048576,MATCH(All!$A414,Spring!$A:$A,FALSE),MATCH(All!X$1,Spring!$1:$1,FALSE))),"")</f>
        <v>4A</v>
      </c>
      <c r="Y414" t="str">
        <f>IFERROR(IF(INDEX(Spring!$1:$1048576,MATCH(All!$A414,Spring!$A:$A,FALSE),MATCH(All!Y$1,Spring!$1:$1,FALSE))="","",INDEX(Spring!$1:$1048576,MATCH(All!$A414,Spring!$A:$A,FALSE),MATCH(All!Y$1,Spring!$1:$1,FALSE))),"")</f>
        <v>4A</v>
      </c>
      <c r="Z414" t="str">
        <f>IFERROR(IF(INDEX(Spring!$1:$1048576,MATCH(All!$A414,Spring!$A:$A,FALSE),MATCH(All!Z$1,Spring!$1:$1,FALSE))="","",INDEX(Spring!$1:$1048576,MATCH(All!$A414,Spring!$A:$A,FALSE),MATCH(All!Z$1,Spring!$1:$1,FALSE))),"")</f>
        <v>3A</v>
      </c>
      <c r="AA414" t="str">
        <f>IFERROR(IF(INDEX(Spring!$1:$1048576,MATCH(All!$A414,Spring!$A:$A,FALSE),MATCH(All!AA$1,Spring!$1:$1,FALSE))="","",INDEX(Spring!$1:$1048576,MATCH(All!$A414,Spring!$A:$A,FALSE),MATCH(All!AA$1,Spring!$1:$1,FALSE))),"")</f>
        <v>2A</v>
      </c>
      <c r="AB414" t="str">
        <f>IFERROR(IF(INDEX(Spring!$1:$1048576,MATCH(All!$A414,Spring!$A:$A,FALSE),MATCH(All!AB$1,Spring!$1:$1,FALSE))="","",INDEX(Spring!$1:$1048576,MATCH(All!$A414,Spring!$A:$A,FALSE),MATCH(All!AB$1,Spring!$1:$1,FALSE))),"")</f>
        <v>3A</v>
      </c>
      <c r="AC414" t="str">
        <f>IFERROR(IF(INDEX(Spring!$1:$1048576,MATCH(All!$A414,Spring!$A:$A,FALSE),MATCH(All!AC$1,Spring!$1:$1,FALSE))="","",INDEX(Spring!$1:$1048576,MATCH(All!$A414,Spring!$A:$A,FALSE),MATCH(All!AC$1,Spring!$1:$1,FALSE))),"")</f>
        <v>3A</v>
      </c>
      <c r="AD414" t="str">
        <f>IFERROR(VLOOKUP(A414,'Flag Football'!A:A,1,FALSE),"")</f>
        <v>Hoffman Estates (Conant)</v>
      </c>
      <c r="AE414" t="str">
        <f t="shared" si="6"/>
        <v>1A</v>
      </c>
    </row>
    <row r="415" spans="1:31" ht="15.75" thickBot="1" x14ac:dyDescent="0.3">
      <c r="A415" s="20" t="s">
        <v>503</v>
      </c>
      <c r="B415" s="38">
        <f>IFERROR(VLOOKUP(A415,'Public v Private'!A:G,3,FALSE),"")</f>
        <v>0</v>
      </c>
      <c r="C415" s="38">
        <f>IFERROR(VLOOKUP(A415,'Public v Private'!A:G,4,FALSE),"")</f>
        <v>0</v>
      </c>
      <c r="D415" s="38">
        <f>IFERROR(VLOOKUP(A415,'Public v Private'!A:G,5,FALSE),"")</f>
        <v>0</v>
      </c>
      <c r="E415" s="38"/>
      <c r="F415" s="40">
        <f>IFERROR(INDEX(Fall!$1:$1048576,MATCH(All!$A415,Fall!$A:$A,FALSE),MATCH(All!F$1,Fall!$1:$1,FALSE)),"N/A")</f>
        <v>2168</v>
      </c>
      <c r="G415" t="str">
        <f>IFERROR(IF(INDEX(Fall!$1:$1048576,MATCH(All!$A415,Fall!$A:$A,FALSE),MATCH(All!G$1,Fall!$1:$1,FALSE))="","",INDEX(Fall!$1:$1048576,MATCH(All!$A415,Fall!$A:$A,FALSE),MATCH(All!G$1,Fall!$1:$1,FALSE))),"")</f>
        <v>3A</v>
      </c>
      <c r="H415" t="str">
        <f>IFERROR(IF(INDEX(Fall!$1:$1048576,MATCH(All!$A415,Fall!$A:$A,FALSE),MATCH(All!H$1,Fall!$1:$1,FALSE))="","",INDEX(Fall!$1:$1048576,MATCH(All!$A415,Fall!$A:$A,FALSE),MATCH(All!H$1,Fall!$1:$1,FALSE))),"")</f>
        <v>3A</v>
      </c>
      <c r="I415" t="str">
        <f>IFERROR(IF(INDEX(Fall!$1:$1048576,MATCH(All!$A415,Fall!$A:$A,FALSE),MATCH(All!I$1,Fall!$1:$1,FALSE))="","",INDEX(Fall!$1:$1048576,MATCH(All!$A415,Fall!$A:$A,FALSE),MATCH(All!I$1,Fall!$1:$1,FALSE))),"")</f>
        <v>3A</v>
      </c>
      <c r="J415" t="str">
        <f>IFERROR(IF(INDEX(Fall!$1:$1048576,MATCH(All!$A415,Fall!$A:$A,FALSE),MATCH(All!J$1,Fall!$1:$1,FALSE))="","",INDEX(Fall!$1:$1048576,MATCH(All!$A415,Fall!$A:$A,FALSE),MATCH(All!J$1,Fall!$1:$1,FALSE))),"")</f>
        <v>2A</v>
      </c>
      <c r="K415" t="str">
        <f>IFERROR(IF(INDEX(Fall!$1:$1048576,MATCH(All!$A415,Fall!$A:$A,FALSE),MATCH(All!K$1,Fall!$1:$1,FALSE))="","",INDEX(Fall!$1:$1048576,MATCH(All!$A415,Fall!$A:$A,FALSE),MATCH(All!K$1,Fall!$1:$1,FALSE))),"")</f>
        <v>3A</v>
      </c>
      <c r="L415" t="str">
        <f>IFERROR(IF(INDEX(Fall!$1:$1048576,MATCH(All!$A415,Fall!$A:$A,FALSE),MATCH(All!L$1,Fall!$1:$1,FALSE))="","",INDEX(Fall!$1:$1048576,MATCH(All!$A415,Fall!$A:$A,FALSE),MATCH(All!L$1,Fall!$1:$1,FALSE))),"")</f>
        <v>2A</v>
      </c>
      <c r="M415" t="str">
        <f>IFERROR(IF(INDEX(Fall!$1:$1048576,MATCH(All!$A415,Fall!$A:$A,FALSE),MATCH(All!M$1,Fall!$1:$1,FALSE))="","",INDEX(Fall!$1:$1048576,MATCH(All!$A415,Fall!$A:$A,FALSE),MATCH(All!M$1,Fall!$1:$1,FALSE))),"")</f>
        <v>4A</v>
      </c>
      <c r="O415">
        <f>IFERROR(IF(INDEX(Winter!$1:$1048576,MATCH(All!$A415,Winter!$A:$A,FALSE),MATCH(All!O$1,Winter!$1:$1,FALSE))="","",INDEX(Winter!$1:$1048576,MATCH(All!$A415,Winter!$A:$A,FALSE),MATCH(All!O$1,Winter!$1:$1,FALSE))),"")</f>
        <v>2168</v>
      </c>
      <c r="P415" t="str">
        <f>IFERROR(IF(INDEX(Winter!$1:$1048576,MATCH(All!$A415,Winter!$A:$A,FALSE),MATCH(All!P$1,Winter!$1:$1,FALSE))="","",INDEX(Winter!$1:$1048576,MATCH(All!$A415,Winter!$A:$A,FALSE),MATCH(All!P$1,Winter!$1:$1,FALSE))),"")</f>
        <v>4A</v>
      </c>
      <c r="Q415" t="str">
        <f>IFERROR(IF(INDEX(Winter!$1:$1048576,MATCH(All!$A415,Winter!$A:$A,FALSE),MATCH(All!Q$1,Winter!$1:$1,FALSE))="","",INDEX(Winter!$1:$1048576,MATCH(All!$A415,Winter!$A:$A,FALSE),MATCH(All!Q$1,Winter!$1:$1,FALSE))),"")</f>
        <v>4A</v>
      </c>
      <c r="R415" t="str">
        <f>IFERROR(IF(INDEX(Winter!$1:$1048576,MATCH(All!$A415,Winter!$A:$A,FALSE),MATCH(All!R$1,Winter!$1:$1,FALSE))="","",INDEX(Winter!$1:$1048576,MATCH(All!$A415,Winter!$A:$A,FALSE),MATCH(All!R$1,Winter!$1:$1,FALSE))),"")</f>
        <v>3A</v>
      </c>
      <c r="S415" t="str">
        <f>IFERROR(IF(INDEX(Winter!$1:$1048576,MATCH(All!$A415,Winter!$A:$A,FALSE),MATCH(All!S$1,Winter!$1:$1,FALSE))="","",INDEX(Winter!$1:$1048576,MATCH(All!$A415,Winter!$A:$A,FALSE),MATCH(All!S$1,Winter!$1:$1,FALSE))),"")</f>
        <v>3A</v>
      </c>
      <c r="T415" t="str">
        <f>IFERROR(IF(INDEX(Winter!$1:$1048576,MATCH(All!$A415,Winter!$A:$A,FALSE),MATCH(All!T$1,Winter!$1:$1,FALSE))="","",INDEX(Winter!$1:$1048576,MATCH(All!$A415,Winter!$A:$A,FALSE),MATCH(All!T$1,Winter!$1:$1,FALSE))),"")</f>
        <v>2A</v>
      </c>
      <c r="U415" t="str">
        <f>IFERROR(IF(INDEX(Winter!$1:$1048576,MATCH(All!$A415,Winter!$A:$A,FALSE),MATCH(All!U$1,Winter!$1:$1,FALSE))="","",INDEX(Winter!$1:$1048576,MATCH(All!$A415,Winter!$A:$A,FALSE),MATCH(All!U$1,Winter!$1:$1,FALSE))),"")</f>
        <v>3A</v>
      </c>
      <c r="W415">
        <f>IFERROR(IF(INDEX(Spring!$1:$1048576,MATCH(All!$A415,Spring!$A:$A,FALSE),MATCH(All!W$1,Spring!$1:$1,FALSE))="","",INDEX(Spring!$1:$1048576,MATCH(All!$A415,Spring!$A:$A,FALSE),MATCH(All!W$1,Spring!$1:$1,FALSE))),"")</f>
        <v>2168</v>
      </c>
      <c r="X415" t="str">
        <f>IFERROR(IF(INDEX(Spring!$1:$1048576,MATCH(All!$A415,Spring!$A:$A,FALSE),MATCH(All!X$1,Spring!$1:$1,FALSE))="","",INDEX(Spring!$1:$1048576,MATCH(All!$A415,Spring!$A:$A,FALSE),MATCH(All!X$1,Spring!$1:$1,FALSE))),"")</f>
        <v>4A</v>
      </c>
      <c r="Y415" t="str">
        <f>IFERROR(IF(INDEX(Spring!$1:$1048576,MATCH(All!$A415,Spring!$A:$A,FALSE),MATCH(All!Y$1,Spring!$1:$1,FALSE))="","",INDEX(Spring!$1:$1048576,MATCH(All!$A415,Spring!$A:$A,FALSE),MATCH(All!Y$1,Spring!$1:$1,FALSE))),"")</f>
        <v>4A</v>
      </c>
      <c r="Z415" t="str">
        <f>IFERROR(IF(INDEX(Spring!$1:$1048576,MATCH(All!$A415,Spring!$A:$A,FALSE),MATCH(All!Z$1,Spring!$1:$1,FALSE))="","",INDEX(Spring!$1:$1048576,MATCH(All!$A415,Spring!$A:$A,FALSE),MATCH(All!Z$1,Spring!$1:$1,FALSE))),"")</f>
        <v>3A</v>
      </c>
      <c r="AA415" t="str">
        <f>IFERROR(IF(INDEX(Spring!$1:$1048576,MATCH(All!$A415,Spring!$A:$A,FALSE),MATCH(All!AA$1,Spring!$1:$1,FALSE))="","",INDEX(Spring!$1:$1048576,MATCH(All!$A415,Spring!$A:$A,FALSE),MATCH(All!AA$1,Spring!$1:$1,FALSE))),"")</f>
        <v>2A</v>
      </c>
      <c r="AB415" t="str">
        <f>IFERROR(IF(INDEX(Spring!$1:$1048576,MATCH(All!$A415,Spring!$A:$A,FALSE),MATCH(All!AB$1,Spring!$1:$1,FALSE))="","",INDEX(Spring!$1:$1048576,MATCH(All!$A415,Spring!$A:$A,FALSE),MATCH(All!AB$1,Spring!$1:$1,FALSE))),"")</f>
        <v>3A</v>
      </c>
      <c r="AC415" t="str">
        <f>IFERROR(IF(INDEX(Spring!$1:$1048576,MATCH(All!$A415,Spring!$A:$A,FALSE),MATCH(All!AC$1,Spring!$1:$1,FALSE))="","",INDEX(Spring!$1:$1048576,MATCH(All!$A415,Spring!$A:$A,FALSE),MATCH(All!AC$1,Spring!$1:$1,FALSE))),"")</f>
        <v>3A</v>
      </c>
      <c r="AD415" t="str">
        <f>IFERROR(VLOOKUP(A415,'Flag Football'!A:A,1,FALSE),"")</f>
        <v>Hoffman Estates (H.S.)</v>
      </c>
      <c r="AE415" t="str">
        <f t="shared" si="6"/>
        <v>1A</v>
      </c>
    </row>
    <row r="416" spans="1:31" ht="15.75" thickBot="1" x14ac:dyDescent="0.3">
      <c r="A416" s="18" t="s">
        <v>504</v>
      </c>
      <c r="B416" s="38">
        <f>IFERROR(VLOOKUP(A416,'Public v Private'!A:G,3,FALSE),"")</f>
        <v>0</v>
      </c>
      <c r="C416" s="38">
        <f>IFERROR(VLOOKUP(A416,'Public v Private'!A:G,4,FALSE),"")</f>
        <v>0</v>
      </c>
      <c r="D416" s="38">
        <f>IFERROR(VLOOKUP(A416,'Public v Private'!A:G,5,FALSE),"")</f>
        <v>0</v>
      </c>
      <c r="E416" s="38"/>
      <c r="F416" s="40">
        <f>IFERROR(INDEX(Fall!$1:$1048576,MATCH(All!$A416,Fall!$A:$A,FALSE),MATCH(All!F$1,Fall!$1:$1,FALSE)),"N/A")</f>
        <v>299</v>
      </c>
      <c r="G416" t="str">
        <f>IFERROR(IF(INDEX(Fall!$1:$1048576,MATCH(All!$A416,Fall!$A:$A,FALSE),MATCH(All!G$1,Fall!$1:$1,FALSE))="","",INDEX(Fall!$1:$1048576,MATCH(All!$A416,Fall!$A:$A,FALSE),MATCH(All!G$1,Fall!$1:$1,FALSE))),"")</f>
        <v>1A</v>
      </c>
      <c r="H416" t="str">
        <f>IFERROR(IF(INDEX(Fall!$1:$1048576,MATCH(All!$A416,Fall!$A:$A,FALSE),MATCH(All!H$1,Fall!$1:$1,FALSE))="","",INDEX(Fall!$1:$1048576,MATCH(All!$A416,Fall!$A:$A,FALSE),MATCH(All!H$1,Fall!$1:$1,FALSE))),"")</f>
        <v>1A</v>
      </c>
      <c r="I416" t="str">
        <f>IFERROR(IF(INDEX(Fall!$1:$1048576,MATCH(All!$A416,Fall!$A:$A,FALSE),MATCH(All!I$1,Fall!$1:$1,FALSE))="","",INDEX(Fall!$1:$1048576,MATCH(All!$A416,Fall!$A:$A,FALSE),MATCH(All!I$1,Fall!$1:$1,FALSE))),"")</f>
        <v>1A</v>
      </c>
      <c r="J416" t="str">
        <f>IFERROR(IF(INDEX(Fall!$1:$1048576,MATCH(All!$A416,Fall!$A:$A,FALSE),MATCH(All!J$1,Fall!$1:$1,FALSE))="","",INDEX(Fall!$1:$1048576,MATCH(All!$A416,Fall!$A:$A,FALSE),MATCH(All!J$1,Fall!$1:$1,FALSE))),"")</f>
        <v>1A</v>
      </c>
      <c r="K416" t="str">
        <f>IFERROR(IF(INDEX(Fall!$1:$1048576,MATCH(All!$A416,Fall!$A:$A,FALSE),MATCH(All!K$1,Fall!$1:$1,FALSE))="","",INDEX(Fall!$1:$1048576,MATCH(All!$A416,Fall!$A:$A,FALSE),MATCH(All!K$1,Fall!$1:$1,FALSE))),"")</f>
        <v>1A</v>
      </c>
      <c r="L416" t="str">
        <f>IFERROR(IF(INDEX(Fall!$1:$1048576,MATCH(All!$A416,Fall!$A:$A,FALSE),MATCH(All!L$1,Fall!$1:$1,FALSE))="","",INDEX(Fall!$1:$1048576,MATCH(All!$A416,Fall!$A:$A,FALSE),MATCH(All!L$1,Fall!$1:$1,FALSE))),"")</f>
        <v/>
      </c>
      <c r="M416" t="str">
        <f>IFERROR(IF(INDEX(Fall!$1:$1048576,MATCH(All!$A416,Fall!$A:$A,FALSE),MATCH(All!M$1,Fall!$1:$1,FALSE))="","",INDEX(Fall!$1:$1048576,MATCH(All!$A416,Fall!$A:$A,FALSE),MATCH(All!M$1,Fall!$1:$1,FALSE))),"")</f>
        <v>1A</v>
      </c>
      <c r="O416">
        <f>IFERROR(IF(INDEX(Winter!$1:$1048576,MATCH(All!$A416,Winter!$A:$A,FALSE),MATCH(All!O$1,Winter!$1:$1,FALSE))="","",INDEX(Winter!$1:$1048576,MATCH(All!$A416,Winter!$A:$A,FALSE),MATCH(All!O$1,Winter!$1:$1,FALSE))),"")</f>
        <v>299</v>
      </c>
      <c r="P416" t="str">
        <f>IFERROR(IF(INDEX(Winter!$1:$1048576,MATCH(All!$A416,Winter!$A:$A,FALSE),MATCH(All!P$1,Winter!$1:$1,FALSE))="","",INDEX(Winter!$1:$1048576,MATCH(All!$A416,Winter!$A:$A,FALSE),MATCH(All!P$1,Winter!$1:$1,FALSE))),"")</f>
        <v>1A</v>
      </c>
      <c r="Q416" t="str">
        <f>IFERROR(IF(INDEX(Winter!$1:$1048576,MATCH(All!$A416,Winter!$A:$A,FALSE),MATCH(All!Q$1,Winter!$1:$1,FALSE))="","",INDEX(Winter!$1:$1048576,MATCH(All!$A416,Winter!$A:$A,FALSE),MATCH(All!Q$1,Winter!$1:$1,FALSE))),"")</f>
        <v>1A</v>
      </c>
      <c r="R416" t="str">
        <f>IFERROR(IF(INDEX(Winter!$1:$1048576,MATCH(All!$A416,Winter!$A:$A,FALSE),MATCH(All!R$1,Winter!$1:$1,FALSE))="","",INDEX(Winter!$1:$1048576,MATCH(All!$A416,Winter!$A:$A,FALSE),MATCH(All!R$1,Winter!$1:$1,FALSE))),"")</f>
        <v/>
      </c>
      <c r="S416" t="str">
        <f>IFERROR(IF(INDEX(Winter!$1:$1048576,MATCH(All!$A416,Winter!$A:$A,FALSE),MATCH(All!S$1,Winter!$1:$1,FALSE))="","",INDEX(Winter!$1:$1048576,MATCH(All!$A416,Winter!$A:$A,FALSE),MATCH(All!S$1,Winter!$1:$1,FALSE))),"")</f>
        <v/>
      </c>
      <c r="T416" t="str">
        <f>IFERROR(IF(INDEX(Winter!$1:$1048576,MATCH(All!$A416,Winter!$A:$A,FALSE),MATCH(All!T$1,Winter!$1:$1,FALSE))="","",INDEX(Winter!$1:$1048576,MATCH(All!$A416,Winter!$A:$A,FALSE),MATCH(All!T$1,Winter!$1:$1,FALSE))),"")</f>
        <v>1A</v>
      </c>
      <c r="U416" t="str">
        <f>IFERROR(IF(INDEX(Winter!$1:$1048576,MATCH(All!$A416,Winter!$A:$A,FALSE),MATCH(All!U$1,Winter!$1:$1,FALSE))="","",INDEX(Winter!$1:$1048576,MATCH(All!$A416,Winter!$A:$A,FALSE),MATCH(All!U$1,Winter!$1:$1,FALSE))),"")</f>
        <v>1A</v>
      </c>
      <c r="W416">
        <f>IFERROR(IF(INDEX(Spring!$1:$1048576,MATCH(All!$A416,Spring!$A:$A,FALSE),MATCH(All!W$1,Spring!$1:$1,FALSE))="","",INDEX(Spring!$1:$1048576,MATCH(All!$A416,Spring!$A:$A,FALSE),MATCH(All!W$1,Spring!$1:$1,FALSE))),"")</f>
        <v>299</v>
      </c>
      <c r="X416" t="str">
        <f>IFERROR(IF(INDEX(Spring!$1:$1048576,MATCH(All!$A416,Spring!$A:$A,FALSE),MATCH(All!X$1,Spring!$1:$1,FALSE))="","",INDEX(Spring!$1:$1048576,MATCH(All!$A416,Spring!$A:$A,FALSE),MATCH(All!X$1,Spring!$1:$1,FALSE))),"")</f>
        <v>1A</v>
      </c>
      <c r="Y416" t="str">
        <f>IFERROR(IF(INDEX(Spring!$1:$1048576,MATCH(All!$A416,Spring!$A:$A,FALSE),MATCH(All!Y$1,Spring!$1:$1,FALSE))="","",INDEX(Spring!$1:$1048576,MATCH(All!$A416,Spring!$A:$A,FALSE),MATCH(All!Y$1,Spring!$1:$1,FALSE))),"")</f>
        <v>1A</v>
      </c>
      <c r="Z416" t="str">
        <f>IFERROR(IF(INDEX(Spring!$1:$1048576,MATCH(All!$A416,Spring!$A:$A,FALSE),MATCH(All!Z$1,Spring!$1:$1,FALSE))="","",INDEX(Spring!$1:$1048576,MATCH(All!$A416,Spring!$A:$A,FALSE),MATCH(All!Z$1,Spring!$1:$1,FALSE))),"")</f>
        <v/>
      </c>
      <c r="AA416" t="str">
        <f>IFERROR(IF(INDEX(Spring!$1:$1048576,MATCH(All!$A416,Spring!$A:$A,FALSE),MATCH(All!AA$1,Spring!$1:$1,FALSE))="","",INDEX(Spring!$1:$1048576,MATCH(All!$A416,Spring!$A:$A,FALSE),MATCH(All!AA$1,Spring!$1:$1,FALSE))),"")</f>
        <v/>
      </c>
      <c r="AB416" t="str">
        <f>IFERROR(IF(INDEX(Spring!$1:$1048576,MATCH(All!$A416,Spring!$A:$A,FALSE),MATCH(All!AB$1,Spring!$1:$1,FALSE))="","",INDEX(Spring!$1:$1048576,MATCH(All!$A416,Spring!$A:$A,FALSE),MATCH(All!AB$1,Spring!$1:$1,FALSE))),"")</f>
        <v>1A</v>
      </c>
      <c r="AC416" t="str">
        <f>IFERROR(IF(INDEX(Spring!$1:$1048576,MATCH(All!$A416,Spring!$A:$A,FALSE),MATCH(All!AC$1,Spring!$1:$1,FALSE))="","",INDEX(Spring!$1:$1048576,MATCH(All!$A416,Spring!$A:$A,FALSE),MATCH(All!AC$1,Spring!$1:$1,FALSE))),"")</f>
        <v>1A</v>
      </c>
      <c r="AD416" t="str">
        <f>IFERROR(VLOOKUP(A416,'Flag Football'!A:A,1,FALSE),"")</f>
        <v/>
      </c>
      <c r="AE416" t="str">
        <f t="shared" si="6"/>
        <v/>
      </c>
    </row>
    <row r="417" spans="1:31" ht="15.75" thickBot="1" x14ac:dyDescent="0.3">
      <c r="A417" s="20" t="s">
        <v>505</v>
      </c>
      <c r="B417" s="38">
        <f>IFERROR(VLOOKUP(A417,'Public v Private'!A:G,3,FALSE),"")</f>
        <v>0</v>
      </c>
      <c r="C417" s="38">
        <f>IFERROR(VLOOKUP(A417,'Public v Private'!A:G,4,FALSE),"")</f>
        <v>0</v>
      </c>
      <c r="D417" s="38">
        <f>IFERROR(VLOOKUP(A417,'Public v Private'!A:G,5,FALSE),"")</f>
        <v>0</v>
      </c>
      <c r="E417" s="38"/>
      <c r="F417" s="40" t="str">
        <f>IFERROR(INDEX(Fall!$1:$1048576,MATCH(All!$A417,Fall!$A:$A,FALSE),MATCH(All!F$1,Fall!$1:$1,FALSE)),"N/A")</f>
        <v>N/A</v>
      </c>
      <c r="G417" t="str">
        <f>IFERROR(IF(INDEX(Fall!$1:$1048576,MATCH(All!$A417,Fall!$A:$A,FALSE),MATCH(All!G$1,Fall!$1:$1,FALSE))="","",INDEX(Fall!$1:$1048576,MATCH(All!$A417,Fall!$A:$A,FALSE),MATCH(All!G$1,Fall!$1:$1,FALSE))),"")</f>
        <v/>
      </c>
      <c r="H417" t="str">
        <f>IFERROR(IF(INDEX(Fall!$1:$1048576,MATCH(All!$A417,Fall!$A:$A,FALSE),MATCH(All!H$1,Fall!$1:$1,FALSE))="","",INDEX(Fall!$1:$1048576,MATCH(All!$A417,Fall!$A:$A,FALSE),MATCH(All!H$1,Fall!$1:$1,FALSE))),"")</f>
        <v/>
      </c>
      <c r="I417" t="str">
        <f>IFERROR(IF(INDEX(Fall!$1:$1048576,MATCH(All!$A417,Fall!$A:$A,FALSE),MATCH(All!I$1,Fall!$1:$1,FALSE))="","",INDEX(Fall!$1:$1048576,MATCH(All!$A417,Fall!$A:$A,FALSE),MATCH(All!I$1,Fall!$1:$1,FALSE))),"")</f>
        <v/>
      </c>
      <c r="J417" t="str">
        <f>IFERROR(IF(INDEX(Fall!$1:$1048576,MATCH(All!$A417,Fall!$A:$A,FALSE),MATCH(All!J$1,Fall!$1:$1,FALSE))="","",INDEX(Fall!$1:$1048576,MATCH(All!$A417,Fall!$A:$A,FALSE),MATCH(All!J$1,Fall!$1:$1,FALSE))),"")</f>
        <v/>
      </c>
      <c r="K417" t="str">
        <f>IFERROR(IF(INDEX(Fall!$1:$1048576,MATCH(All!$A417,Fall!$A:$A,FALSE),MATCH(All!K$1,Fall!$1:$1,FALSE))="","",INDEX(Fall!$1:$1048576,MATCH(All!$A417,Fall!$A:$A,FALSE),MATCH(All!K$1,Fall!$1:$1,FALSE))),"")</f>
        <v/>
      </c>
      <c r="L417" t="str">
        <f>IFERROR(IF(INDEX(Fall!$1:$1048576,MATCH(All!$A417,Fall!$A:$A,FALSE),MATCH(All!L$1,Fall!$1:$1,FALSE))="","",INDEX(Fall!$1:$1048576,MATCH(All!$A417,Fall!$A:$A,FALSE),MATCH(All!L$1,Fall!$1:$1,FALSE))),"")</f>
        <v/>
      </c>
      <c r="M417" t="str">
        <f>IFERROR(IF(INDEX(Fall!$1:$1048576,MATCH(All!$A417,Fall!$A:$A,FALSE),MATCH(All!M$1,Fall!$1:$1,FALSE))="","",INDEX(Fall!$1:$1048576,MATCH(All!$A417,Fall!$A:$A,FALSE),MATCH(All!M$1,Fall!$1:$1,FALSE))),"")</f>
        <v/>
      </c>
      <c r="O417">
        <f>IFERROR(IF(INDEX(Winter!$1:$1048576,MATCH(All!$A417,Winter!$A:$A,FALSE),MATCH(All!O$1,Winter!$1:$1,FALSE))="","",INDEX(Winter!$1:$1048576,MATCH(All!$A417,Winter!$A:$A,FALSE),MATCH(All!O$1,Winter!$1:$1,FALSE))),"")</f>
        <v>109</v>
      </c>
      <c r="P417" t="str">
        <f>IFERROR(IF(INDEX(Winter!$1:$1048576,MATCH(All!$A417,Winter!$A:$A,FALSE),MATCH(All!P$1,Winter!$1:$1,FALSE))="","",INDEX(Winter!$1:$1048576,MATCH(All!$A417,Winter!$A:$A,FALSE),MATCH(All!P$1,Winter!$1:$1,FALSE))),"")</f>
        <v>1A</v>
      </c>
      <c r="Q417" t="str">
        <f>IFERROR(IF(INDEX(Winter!$1:$1048576,MATCH(All!$A417,Winter!$A:$A,FALSE),MATCH(All!Q$1,Winter!$1:$1,FALSE))="","",INDEX(Winter!$1:$1048576,MATCH(All!$A417,Winter!$A:$A,FALSE),MATCH(All!Q$1,Winter!$1:$1,FALSE))),"")</f>
        <v>1A</v>
      </c>
      <c r="R417" t="str">
        <f>IFERROR(IF(INDEX(Winter!$1:$1048576,MATCH(All!$A417,Winter!$A:$A,FALSE),MATCH(All!R$1,Winter!$1:$1,FALSE))="","",INDEX(Winter!$1:$1048576,MATCH(All!$A417,Winter!$A:$A,FALSE),MATCH(All!R$1,Winter!$1:$1,FALSE))),"")</f>
        <v/>
      </c>
      <c r="S417" t="str">
        <f>IFERROR(IF(INDEX(Winter!$1:$1048576,MATCH(All!$A417,Winter!$A:$A,FALSE),MATCH(All!S$1,Winter!$1:$1,FALSE))="","",INDEX(Winter!$1:$1048576,MATCH(All!$A417,Winter!$A:$A,FALSE),MATCH(All!S$1,Winter!$1:$1,FALSE))),"")</f>
        <v/>
      </c>
      <c r="T417" t="str">
        <f>IFERROR(IF(INDEX(Winter!$1:$1048576,MATCH(All!$A417,Winter!$A:$A,FALSE),MATCH(All!T$1,Winter!$1:$1,FALSE))="","",INDEX(Winter!$1:$1048576,MATCH(All!$A417,Winter!$A:$A,FALSE),MATCH(All!T$1,Winter!$1:$1,FALSE))),"")</f>
        <v/>
      </c>
      <c r="U417" t="str">
        <f>IFERROR(IF(INDEX(Winter!$1:$1048576,MATCH(All!$A417,Winter!$A:$A,FALSE),MATCH(All!U$1,Winter!$1:$1,FALSE))="","",INDEX(Winter!$1:$1048576,MATCH(All!$A417,Winter!$A:$A,FALSE),MATCH(All!U$1,Winter!$1:$1,FALSE))),"")</f>
        <v/>
      </c>
      <c r="W417">
        <f>IFERROR(IF(INDEX(Spring!$1:$1048576,MATCH(All!$A417,Spring!$A:$A,FALSE),MATCH(All!W$1,Spring!$1:$1,FALSE))="","",INDEX(Spring!$1:$1048576,MATCH(All!$A417,Spring!$A:$A,FALSE),MATCH(All!W$1,Spring!$1:$1,FALSE))),"")</f>
        <v>109</v>
      </c>
      <c r="X417" t="str">
        <f>IFERROR(IF(INDEX(Spring!$1:$1048576,MATCH(All!$A417,Spring!$A:$A,FALSE),MATCH(All!X$1,Spring!$1:$1,FALSE))="","",INDEX(Spring!$1:$1048576,MATCH(All!$A417,Spring!$A:$A,FALSE),MATCH(All!X$1,Spring!$1:$1,FALSE))),"")</f>
        <v/>
      </c>
      <c r="Y417" t="str">
        <f>IFERROR(IF(INDEX(Spring!$1:$1048576,MATCH(All!$A417,Spring!$A:$A,FALSE),MATCH(All!Y$1,Spring!$1:$1,FALSE))="","",INDEX(Spring!$1:$1048576,MATCH(All!$A417,Spring!$A:$A,FALSE),MATCH(All!Y$1,Spring!$1:$1,FALSE))),"")</f>
        <v>1A</v>
      </c>
      <c r="Z417" t="str">
        <f>IFERROR(IF(INDEX(Spring!$1:$1048576,MATCH(All!$A417,Spring!$A:$A,FALSE),MATCH(All!Z$1,Spring!$1:$1,FALSE))="","",INDEX(Spring!$1:$1048576,MATCH(All!$A417,Spring!$A:$A,FALSE),MATCH(All!Z$1,Spring!$1:$1,FALSE))),"")</f>
        <v/>
      </c>
      <c r="AA417" t="str">
        <f>IFERROR(IF(INDEX(Spring!$1:$1048576,MATCH(All!$A417,Spring!$A:$A,FALSE),MATCH(All!AA$1,Spring!$1:$1,FALSE))="","",INDEX(Spring!$1:$1048576,MATCH(All!$A417,Spring!$A:$A,FALSE),MATCH(All!AA$1,Spring!$1:$1,FALSE))),"")</f>
        <v/>
      </c>
      <c r="AB417" t="str">
        <f>IFERROR(IF(INDEX(Spring!$1:$1048576,MATCH(All!$A417,Spring!$A:$A,FALSE),MATCH(All!AB$1,Spring!$1:$1,FALSE))="","",INDEX(Spring!$1:$1048576,MATCH(All!$A417,Spring!$A:$A,FALSE),MATCH(All!AB$1,Spring!$1:$1,FALSE))),"")</f>
        <v>1A</v>
      </c>
      <c r="AC417" t="str">
        <f>IFERROR(IF(INDEX(Spring!$1:$1048576,MATCH(All!$A417,Spring!$A:$A,FALSE),MATCH(All!AC$1,Spring!$1:$1,FALSE))="","",INDEX(Spring!$1:$1048576,MATCH(All!$A417,Spring!$A:$A,FALSE),MATCH(All!AC$1,Spring!$1:$1,FALSE))),"")</f>
        <v>1A</v>
      </c>
      <c r="AD417" t="str">
        <f>IFERROR(VLOOKUP(A417,'Flag Football'!A:A,1,FALSE),"")</f>
        <v/>
      </c>
      <c r="AE417" t="str">
        <f t="shared" si="6"/>
        <v/>
      </c>
    </row>
    <row r="418" spans="1:31" ht="15.75" thickBot="1" x14ac:dyDescent="0.3">
      <c r="A418" s="20" t="s">
        <v>506</v>
      </c>
      <c r="B418" s="38">
        <f>IFERROR(VLOOKUP(A418,'Public v Private'!A:G,3,FALSE),"")</f>
        <v>0</v>
      </c>
      <c r="C418" s="38">
        <f>IFERROR(VLOOKUP(A418,'Public v Private'!A:G,4,FALSE),"")</f>
        <v>0</v>
      </c>
      <c r="D418" s="38">
        <f>IFERROR(VLOOKUP(A418,'Public v Private'!A:G,5,FALSE),"")</f>
        <v>0</v>
      </c>
      <c r="E418" s="38"/>
      <c r="F418" s="40">
        <f>IFERROR(INDEX(Fall!$1:$1048576,MATCH(All!$A418,Fall!$A:$A,FALSE),MATCH(All!F$1,Fall!$1:$1,FALSE)),"N/A")</f>
        <v>2746</v>
      </c>
      <c r="G418" t="str">
        <f>IFERROR(IF(INDEX(Fall!$1:$1048576,MATCH(All!$A418,Fall!$A:$A,FALSE),MATCH(All!G$1,Fall!$1:$1,FALSE))="","",INDEX(Fall!$1:$1048576,MATCH(All!$A418,Fall!$A:$A,FALSE),MATCH(All!G$1,Fall!$1:$1,FALSE))),"")</f>
        <v>3A</v>
      </c>
      <c r="H418" t="str">
        <f>IFERROR(IF(INDEX(Fall!$1:$1048576,MATCH(All!$A418,Fall!$A:$A,FALSE),MATCH(All!H$1,Fall!$1:$1,FALSE))="","",INDEX(Fall!$1:$1048576,MATCH(All!$A418,Fall!$A:$A,FALSE),MATCH(All!H$1,Fall!$1:$1,FALSE))),"")</f>
        <v>3A</v>
      </c>
      <c r="I418" t="str">
        <f>IFERROR(IF(INDEX(Fall!$1:$1048576,MATCH(All!$A418,Fall!$A:$A,FALSE),MATCH(All!I$1,Fall!$1:$1,FALSE))="","",INDEX(Fall!$1:$1048576,MATCH(All!$A418,Fall!$A:$A,FALSE),MATCH(All!I$1,Fall!$1:$1,FALSE))),"")</f>
        <v>3A</v>
      </c>
      <c r="J418" t="str">
        <f>IFERROR(IF(INDEX(Fall!$1:$1048576,MATCH(All!$A418,Fall!$A:$A,FALSE),MATCH(All!J$1,Fall!$1:$1,FALSE))="","",INDEX(Fall!$1:$1048576,MATCH(All!$A418,Fall!$A:$A,FALSE),MATCH(All!J$1,Fall!$1:$1,FALSE))),"")</f>
        <v>2A</v>
      </c>
      <c r="K418" t="str">
        <f>IFERROR(IF(INDEX(Fall!$1:$1048576,MATCH(All!$A418,Fall!$A:$A,FALSE),MATCH(All!K$1,Fall!$1:$1,FALSE))="","",INDEX(Fall!$1:$1048576,MATCH(All!$A418,Fall!$A:$A,FALSE),MATCH(All!K$1,Fall!$1:$1,FALSE))),"")</f>
        <v>3A</v>
      </c>
      <c r="L418" t="str">
        <f>IFERROR(IF(INDEX(Fall!$1:$1048576,MATCH(All!$A418,Fall!$A:$A,FALSE),MATCH(All!L$1,Fall!$1:$1,FALSE))="","",INDEX(Fall!$1:$1048576,MATCH(All!$A418,Fall!$A:$A,FALSE),MATCH(All!L$1,Fall!$1:$1,FALSE))),"")</f>
        <v>2A</v>
      </c>
      <c r="M418" t="str">
        <f>IFERROR(IF(INDEX(Fall!$1:$1048576,MATCH(All!$A418,Fall!$A:$A,FALSE),MATCH(All!M$1,Fall!$1:$1,FALSE))="","",INDEX(Fall!$1:$1048576,MATCH(All!$A418,Fall!$A:$A,FALSE),MATCH(All!M$1,Fall!$1:$1,FALSE))),"")</f>
        <v>4A</v>
      </c>
      <c r="O418">
        <f>IFERROR(IF(INDEX(Winter!$1:$1048576,MATCH(All!$A418,Winter!$A:$A,FALSE),MATCH(All!O$1,Winter!$1:$1,FALSE))="","",INDEX(Winter!$1:$1048576,MATCH(All!$A418,Winter!$A:$A,FALSE),MATCH(All!O$1,Winter!$1:$1,FALSE))),"")</f>
        <v>2746</v>
      </c>
      <c r="P418" t="str">
        <f>IFERROR(IF(INDEX(Winter!$1:$1048576,MATCH(All!$A418,Winter!$A:$A,FALSE),MATCH(All!P$1,Winter!$1:$1,FALSE))="","",INDEX(Winter!$1:$1048576,MATCH(All!$A418,Winter!$A:$A,FALSE),MATCH(All!P$1,Winter!$1:$1,FALSE))),"")</f>
        <v>4A</v>
      </c>
      <c r="Q418" t="str">
        <f>IFERROR(IF(INDEX(Winter!$1:$1048576,MATCH(All!$A418,Winter!$A:$A,FALSE),MATCH(All!Q$1,Winter!$1:$1,FALSE))="","",INDEX(Winter!$1:$1048576,MATCH(All!$A418,Winter!$A:$A,FALSE),MATCH(All!Q$1,Winter!$1:$1,FALSE))),"")</f>
        <v>4A</v>
      </c>
      <c r="R418" t="str">
        <f>IFERROR(IF(INDEX(Winter!$1:$1048576,MATCH(All!$A418,Winter!$A:$A,FALSE),MATCH(All!R$1,Winter!$1:$1,FALSE))="","",INDEX(Winter!$1:$1048576,MATCH(All!$A418,Winter!$A:$A,FALSE),MATCH(All!R$1,Winter!$1:$1,FALSE))),"")</f>
        <v>3A</v>
      </c>
      <c r="S418" t="str">
        <f>IFERROR(IF(INDEX(Winter!$1:$1048576,MATCH(All!$A418,Winter!$A:$A,FALSE),MATCH(All!S$1,Winter!$1:$1,FALSE))="","",INDEX(Winter!$1:$1048576,MATCH(All!$A418,Winter!$A:$A,FALSE),MATCH(All!S$1,Winter!$1:$1,FALSE))),"")</f>
        <v>3A</v>
      </c>
      <c r="T418" t="str">
        <f>IFERROR(IF(INDEX(Winter!$1:$1048576,MATCH(All!$A418,Winter!$A:$A,FALSE),MATCH(All!T$1,Winter!$1:$1,FALSE))="","",INDEX(Winter!$1:$1048576,MATCH(All!$A418,Winter!$A:$A,FALSE),MATCH(All!T$1,Winter!$1:$1,FALSE))),"")</f>
        <v>2A</v>
      </c>
      <c r="U418" t="str">
        <f>IFERROR(IF(INDEX(Winter!$1:$1048576,MATCH(All!$A418,Winter!$A:$A,FALSE),MATCH(All!U$1,Winter!$1:$1,FALSE))="","",INDEX(Winter!$1:$1048576,MATCH(All!$A418,Winter!$A:$A,FALSE),MATCH(All!U$1,Winter!$1:$1,FALSE))),"")</f>
        <v>3A</v>
      </c>
      <c r="W418">
        <f>IFERROR(IF(INDEX(Spring!$1:$1048576,MATCH(All!$A418,Spring!$A:$A,FALSE),MATCH(All!W$1,Spring!$1:$1,FALSE))="","",INDEX(Spring!$1:$1048576,MATCH(All!$A418,Spring!$A:$A,FALSE),MATCH(All!W$1,Spring!$1:$1,FALSE))),"")</f>
        <v>2746</v>
      </c>
      <c r="X418" t="str">
        <f>IFERROR(IF(INDEX(Spring!$1:$1048576,MATCH(All!$A418,Spring!$A:$A,FALSE),MATCH(All!X$1,Spring!$1:$1,FALSE))="","",INDEX(Spring!$1:$1048576,MATCH(All!$A418,Spring!$A:$A,FALSE),MATCH(All!X$1,Spring!$1:$1,FALSE))),"")</f>
        <v>4A</v>
      </c>
      <c r="Y418" t="str">
        <f>IFERROR(IF(INDEX(Spring!$1:$1048576,MATCH(All!$A418,Spring!$A:$A,FALSE),MATCH(All!Y$1,Spring!$1:$1,FALSE))="","",INDEX(Spring!$1:$1048576,MATCH(All!$A418,Spring!$A:$A,FALSE),MATCH(All!Y$1,Spring!$1:$1,FALSE))),"")</f>
        <v>4A</v>
      </c>
      <c r="Z418" t="str">
        <f>IFERROR(IF(INDEX(Spring!$1:$1048576,MATCH(All!$A418,Spring!$A:$A,FALSE),MATCH(All!Z$1,Spring!$1:$1,FALSE))="","",INDEX(Spring!$1:$1048576,MATCH(All!$A418,Spring!$A:$A,FALSE),MATCH(All!Z$1,Spring!$1:$1,FALSE))),"")</f>
        <v>3A</v>
      </c>
      <c r="AA418" t="str">
        <f>IFERROR(IF(INDEX(Spring!$1:$1048576,MATCH(All!$A418,Spring!$A:$A,FALSE),MATCH(All!AA$1,Spring!$1:$1,FALSE))="","",INDEX(Spring!$1:$1048576,MATCH(All!$A418,Spring!$A:$A,FALSE),MATCH(All!AA$1,Spring!$1:$1,FALSE))),"")</f>
        <v>2A</v>
      </c>
      <c r="AB418" t="str">
        <f>IFERROR(IF(INDEX(Spring!$1:$1048576,MATCH(All!$A418,Spring!$A:$A,FALSE),MATCH(All!AB$1,Spring!$1:$1,FALSE))="","",INDEX(Spring!$1:$1048576,MATCH(All!$A418,Spring!$A:$A,FALSE),MATCH(All!AB$1,Spring!$1:$1,FALSE))),"")</f>
        <v>3A</v>
      </c>
      <c r="AC418" t="str">
        <f>IFERROR(IF(INDEX(Spring!$1:$1048576,MATCH(All!$A418,Spring!$A:$A,FALSE),MATCH(All!AC$1,Spring!$1:$1,FALSE))="","",INDEX(Spring!$1:$1048576,MATCH(All!$A418,Spring!$A:$A,FALSE),MATCH(All!AC$1,Spring!$1:$1,FALSE))),"")</f>
        <v>3A</v>
      </c>
      <c r="AD418" t="str">
        <f>IFERROR(VLOOKUP(A418,'Flag Football'!A:A,1,FALSE),"")</f>
        <v>Huntley</v>
      </c>
      <c r="AE418" t="str">
        <f t="shared" si="6"/>
        <v>1A</v>
      </c>
    </row>
    <row r="419" spans="1:31" ht="15.75" thickBot="1" x14ac:dyDescent="0.3">
      <c r="A419" s="18" t="s">
        <v>507</v>
      </c>
      <c r="B419" s="38">
        <f>IFERROR(VLOOKUP(A419,'Public v Private'!A:G,3,FALSE),"")</f>
        <v>0</v>
      </c>
      <c r="C419" s="38">
        <f>IFERROR(VLOOKUP(A419,'Public v Private'!A:G,4,FALSE),"")</f>
        <v>0</v>
      </c>
      <c r="D419" s="38">
        <f>IFERROR(VLOOKUP(A419,'Public v Private'!A:G,5,FALSE),"")</f>
        <v>0</v>
      </c>
      <c r="E419" s="38"/>
      <c r="F419" s="40">
        <f>IFERROR(INDEX(Fall!$1:$1048576,MATCH(All!$A419,Fall!$A:$A,FALSE),MATCH(All!F$1,Fall!$1:$1,FALSE)),"N/A")</f>
        <v>77</v>
      </c>
      <c r="G419" t="str">
        <f>IFERROR(IF(INDEX(Fall!$1:$1048576,MATCH(All!$A419,Fall!$A:$A,FALSE),MATCH(All!G$1,Fall!$1:$1,FALSE))="","",INDEX(Fall!$1:$1048576,MATCH(All!$A419,Fall!$A:$A,FALSE),MATCH(All!G$1,Fall!$1:$1,FALSE))),"")</f>
        <v/>
      </c>
      <c r="H419" t="str">
        <f>IFERROR(IF(INDEX(Fall!$1:$1048576,MATCH(All!$A419,Fall!$A:$A,FALSE),MATCH(All!H$1,Fall!$1:$1,FALSE))="","",INDEX(Fall!$1:$1048576,MATCH(All!$A419,Fall!$A:$A,FALSE),MATCH(All!H$1,Fall!$1:$1,FALSE))),"")</f>
        <v/>
      </c>
      <c r="I419" t="str">
        <f>IFERROR(IF(INDEX(Fall!$1:$1048576,MATCH(All!$A419,Fall!$A:$A,FALSE),MATCH(All!I$1,Fall!$1:$1,FALSE))="","",INDEX(Fall!$1:$1048576,MATCH(All!$A419,Fall!$A:$A,FALSE),MATCH(All!I$1,Fall!$1:$1,FALSE))),"")</f>
        <v/>
      </c>
      <c r="J419" t="str">
        <f>IFERROR(IF(INDEX(Fall!$1:$1048576,MATCH(All!$A419,Fall!$A:$A,FALSE),MATCH(All!J$1,Fall!$1:$1,FALSE))="","",INDEX(Fall!$1:$1048576,MATCH(All!$A419,Fall!$A:$A,FALSE),MATCH(All!J$1,Fall!$1:$1,FALSE))),"")</f>
        <v/>
      </c>
      <c r="K419" t="str">
        <f>IFERROR(IF(INDEX(Fall!$1:$1048576,MATCH(All!$A419,Fall!$A:$A,FALSE),MATCH(All!K$1,Fall!$1:$1,FALSE))="","",INDEX(Fall!$1:$1048576,MATCH(All!$A419,Fall!$A:$A,FALSE),MATCH(All!K$1,Fall!$1:$1,FALSE))),"")</f>
        <v/>
      </c>
      <c r="L419" t="str">
        <f>IFERROR(IF(INDEX(Fall!$1:$1048576,MATCH(All!$A419,Fall!$A:$A,FALSE),MATCH(All!L$1,Fall!$1:$1,FALSE))="","",INDEX(Fall!$1:$1048576,MATCH(All!$A419,Fall!$A:$A,FALSE),MATCH(All!L$1,Fall!$1:$1,FALSE))),"")</f>
        <v/>
      </c>
      <c r="M419" t="str">
        <f>IFERROR(IF(INDEX(Fall!$1:$1048576,MATCH(All!$A419,Fall!$A:$A,FALSE),MATCH(All!M$1,Fall!$1:$1,FALSE))="","",INDEX(Fall!$1:$1048576,MATCH(All!$A419,Fall!$A:$A,FALSE),MATCH(All!M$1,Fall!$1:$1,FALSE))),"")</f>
        <v>1A</v>
      </c>
      <c r="O419">
        <f>IFERROR(IF(INDEX(Winter!$1:$1048576,MATCH(All!$A419,Winter!$A:$A,FALSE),MATCH(All!O$1,Winter!$1:$1,FALSE))="","",INDEX(Winter!$1:$1048576,MATCH(All!$A419,Winter!$A:$A,FALSE),MATCH(All!O$1,Winter!$1:$1,FALSE))),"")</f>
        <v>77</v>
      </c>
      <c r="P419" t="str">
        <f>IFERROR(IF(INDEX(Winter!$1:$1048576,MATCH(All!$A419,Winter!$A:$A,FALSE),MATCH(All!P$1,Winter!$1:$1,FALSE))="","",INDEX(Winter!$1:$1048576,MATCH(All!$A419,Winter!$A:$A,FALSE),MATCH(All!P$1,Winter!$1:$1,FALSE))),"")</f>
        <v>2A</v>
      </c>
      <c r="Q419" t="str">
        <f>IFERROR(IF(INDEX(Winter!$1:$1048576,MATCH(All!$A419,Winter!$A:$A,FALSE),MATCH(All!Q$1,Winter!$1:$1,FALSE))="","",INDEX(Winter!$1:$1048576,MATCH(All!$A419,Winter!$A:$A,FALSE),MATCH(All!Q$1,Winter!$1:$1,FALSE))),"")</f>
        <v/>
      </c>
      <c r="R419" t="str">
        <f>IFERROR(IF(INDEX(Winter!$1:$1048576,MATCH(All!$A419,Winter!$A:$A,FALSE),MATCH(All!R$1,Winter!$1:$1,FALSE))="","",INDEX(Winter!$1:$1048576,MATCH(All!$A419,Winter!$A:$A,FALSE),MATCH(All!R$1,Winter!$1:$1,FALSE))),"")</f>
        <v/>
      </c>
      <c r="S419" t="str">
        <f>IFERROR(IF(INDEX(Winter!$1:$1048576,MATCH(All!$A419,Winter!$A:$A,FALSE),MATCH(All!S$1,Winter!$1:$1,FALSE))="","",INDEX(Winter!$1:$1048576,MATCH(All!$A419,Winter!$A:$A,FALSE),MATCH(All!S$1,Winter!$1:$1,FALSE))),"")</f>
        <v/>
      </c>
      <c r="T419" t="str">
        <f>IFERROR(IF(INDEX(Winter!$1:$1048576,MATCH(All!$A419,Winter!$A:$A,FALSE),MATCH(All!T$1,Winter!$1:$1,FALSE))="","",INDEX(Winter!$1:$1048576,MATCH(All!$A419,Winter!$A:$A,FALSE),MATCH(All!T$1,Winter!$1:$1,FALSE))),"")</f>
        <v/>
      </c>
      <c r="U419" t="str">
        <f>IFERROR(IF(INDEX(Winter!$1:$1048576,MATCH(All!$A419,Winter!$A:$A,FALSE),MATCH(All!U$1,Winter!$1:$1,FALSE))="","",INDEX(Winter!$1:$1048576,MATCH(All!$A419,Winter!$A:$A,FALSE),MATCH(All!U$1,Winter!$1:$1,FALSE))),"")</f>
        <v/>
      </c>
      <c r="W419">
        <f>IFERROR(IF(INDEX(Spring!$1:$1048576,MATCH(All!$A419,Spring!$A:$A,FALSE),MATCH(All!W$1,Spring!$1:$1,FALSE))="","",INDEX(Spring!$1:$1048576,MATCH(All!$A419,Spring!$A:$A,FALSE),MATCH(All!W$1,Spring!$1:$1,FALSE))),"")</f>
        <v>77</v>
      </c>
      <c r="X419" t="str">
        <f>IFERROR(IF(INDEX(Spring!$1:$1048576,MATCH(All!$A419,Spring!$A:$A,FALSE),MATCH(All!X$1,Spring!$1:$1,FALSE))="","",INDEX(Spring!$1:$1048576,MATCH(All!$A419,Spring!$A:$A,FALSE),MATCH(All!X$1,Spring!$1:$1,FALSE))),"")</f>
        <v/>
      </c>
      <c r="Y419" t="str">
        <f>IFERROR(IF(INDEX(Spring!$1:$1048576,MATCH(All!$A419,Spring!$A:$A,FALSE),MATCH(All!Y$1,Spring!$1:$1,FALSE))="","",INDEX(Spring!$1:$1048576,MATCH(All!$A419,Spring!$A:$A,FALSE),MATCH(All!Y$1,Spring!$1:$1,FALSE))),"")</f>
        <v>1A</v>
      </c>
      <c r="Z419" t="str">
        <f>IFERROR(IF(INDEX(Spring!$1:$1048576,MATCH(All!$A419,Spring!$A:$A,FALSE),MATCH(All!Z$1,Spring!$1:$1,FALSE))="","",INDEX(Spring!$1:$1048576,MATCH(All!$A419,Spring!$A:$A,FALSE),MATCH(All!Z$1,Spring!$1:$1,FALSE))),"")</f>
        <v/>
      </c>
      <c r="AA419" t="str">
        <f>IFERROR(IF(INDEX(Spring!$1:$1048576,MATCH(All!$A419,Spring!$A:$A,FALSE),MATCH(All!AA$1,Spring!$1:$1,FALSE))="","",INDEX(Spring!$1:$1048576,MATCH(All!$A419,Spring!$A:$A,FALSE),MATCH(All!AA$1,Spring!$1:$1,FALSE))),"")</f>
        <v/>
      </c>
      <c r="AB419" t="str">
        <f>IFERROR(IF(INDEX(Spring!$1:$1048576,MATCH(All!$A419,Spring!$A:$A,FALSE),MATCH(All!AB$1,Spring!$1:$1,FALSE))="","",INDEX(Spring!$1:$1048576,MATCH(All!$A419,Spring!$A:$A,FALSE),MATCH(All!AB$1,Spring!$1:$1,FALSE))),"")</f>
        <v/>
      </c>
      <c r="AC419" t="str">
        <f>IFERROR(IF(INDEX(Spring!$1:$1048576,MATCH(All!$A419,Spring!$A:$A,FALSE),MATCH(All!AC$1,Spring!$1:$1,FALSE))="","",INDEX(Spring!$1:$1048576,MATCH(All!$A419,Spring!$A:$A,FALSE),MATCH(All!AC$1,Spring!$1:$1,FALSE))),"")</f>
        <v/>
      </c>
      <c r="AD419" t="str">
        <f>IFERROR(VLOOKUP(A419,'Flag Football'!A:A,1,FALSE),"")</f>
        <v/>
      </c>
      <c r="AE419" t="str">
        <f t="shared" si="6"/>
        <v/>
      </c>
    </row>
    <row r="420" spans="1:31" ht="15.75" thickBot="1" x14ac:dyDescent="0.3">
      <c r="A420" s="20" t="s">
        <v>508</v>
      </c>
      <c r="B420" s="38">
        <f>IFERROR(VLOOKUP(A420,'Public v Private'!A:G,3,FALSE),"")</f>
        <v>0</v>
      </c>
      <c r="C420" s="38">
        <f>IFERROR(VLOOKUP(A420,'Public v Private'!A:G,4,FALSE),"")</f>
        <v>0</v>
      </c>
      <c r="D420" s="38">
        <f>IFERROR(VLOOKUP(A420,'Public v Private'!A:G,5,FALSE),"")</f>
        <v>0</v>
      </c>
      <c r="E420" s="38"/>
      <c r="F420" s="40">
        <f>IFERROR(INDEX(Fall!$1:$1048576,MATCH(All!$A420,Fall!$A:$A,FALSE),MATCH(All!F$1,Fall!$1:$1,FALSE)),"N/A")</f>
        <v>840</v>
      </c>
      <c r="G420" t="str">
        <f>IFERROR(IF(INDEX(Fall!$1:$1048576,MATCH(All!$A420,Fall!$A:$A,FALSE),MATCH(All!G$1,Fall!$1:$1,FALSE))="","",INDEX(Fall!$1:$1048576,MATCH(All!$A420,Fall!$A:$A,FALSE),MATCH(All!G$1,Fall!$1:$1,FALSE))),"")</f>
        <v>2A</v>
      </c>
      <c r="H420" t="str">
        <f>IFERROR(IF(INDEX(Fall!$1:$1048576,MATCH(All!$A420,Fall!$A:$A,FALSE),MATCH(All!H$1,Fall!$1:$1,FALSE))="","",INDEX(Fall!$1:$1048576,MATCH(All!$A420,Fall!$A:$A,FALSE),MATCH(All!H$1,Fall!$1:$1,FALSE))),"")</f>
        <v>2A</v>
      </c>
      <c r="I420" t="str">
        <f>IFERROR(IF(INDEX(Fall!$1:$1048576,MATCH(All!$A420,Fall!$A:$A,FALSE),MATCH(All!I$1,Fall!$1:$1,FALSE))="","",INDEX(Fall!$1:$1048576,MATCH(All!$A420,Fall!$A:$A,FALSE),MATCH(All!I$1,Fall!$1:$1,FALSE))),"")</f>
        <v>2A</v>
      </c>
      <c r="J420" t="str">
        <f>IFERROR(IF(INDEX(Fall!$1:$1048576,MATCH(All!$A420,Fall!$A:$A,FALSE),MATCH(All!J$1,Fall!$1:$1,FALSE))="","",INDEX(Fall!$1:$1048576,MATCH(All!$A420,Fall!$A:$A,FALSE),MATCH(All!J$1,Fall!$1:$1,FALSE))),"")</f>
        <v>1A</v>
      </c>
      <c r="K420" t="str">
        <f>IFERROR(IF(INDEX(Fall!$1:$1048576,MATCH(All!$A420,Fall!$A:$A,FALSE),MATCH(All!K$1,Fall!$1:$1,FALSE))="","",INDEX(Fall!$1:$1048576,MATCH(All!$A420,Fall!$A:$A,FALSE),MATCH(All!K$1,Fall!$1:$1,FALSE))),"")</f>
        <v>2A</v>
      </c>
      <c r="L420" t="str">
        <f>IFERROR(IF(INDEX(Fall!$1:$1048576,MATCH(All!$A420,Fall!$A:$A,FALSE),MATCH(All!L$1,Fall!$1:$1,FALSE))="","",INDEX(Fall!$1:$1048576,MATCH(All!$A420,Fall!$A:$A,FALSE),MATCH(All!L$1,Fall!$1:$1,FALSE))),"")</f>
        <v>1A</v>
      </c>
      <c r="M420" t="str">
        <f>IFERROR(IF(INDEX(Fall!$1:$1048576,MATCH(All!$A420,Fall!$A:$A,FALSE),MATCH(All!M$1,Fall!$1:$1,FALSE))="","",INDEX(Fall!$1:$1048576,MATCH(All!$A420,Fall!$A:$A,FALSE),MATCH(All!M$1,Fall!$1:$1,FALSE))),"")</f>
        <v>3A</v>
      </c>
      <c r="O420">
        <f>IFERROR(IF(INDEX(Winter!$1:$1048576,MATCH(All!$A420,Winter!$A:$A,FALSE),MATCH(All!O$1,Winter!$1:$1,FALSE))="","",INDEX(Winter!$1:$1048576,MATCH(All!$A420,Winter!$A:$A,FALSE),MATCH(All!O$1,Winter!$1:$1,FALSE))),"")</f>
        <v>840</v>
      </c>
      <c r="P420" t="str">
        <f>IFERROR(IF(INDEX(Winter!$1:$1048576,MATCH(All!$A420,Winter!$A:$A,FALSE),MATCH(All!P$1,Winter!$1:$1,FALSE))="","",INDEX(Winter!$1:$1048576,MATCH(All!$A420,Winter!$A:$A,FALSE),MATCH(All!P$1,Winter!$1:$1,FALSE))),"")</f>
        <v>3A</v>
      </c>
      <c r="Q420" t="str">
        <f>IFERROR(IF(INDEX(Winter!$1:$1048576,MATCH(All!$A420,Winter!$A:$A,FALSE),MATCH(All!Q$1,Winter!$1:$1,FALSE))="","",INDEX(Winter!$1:$1048576,MATCH(All!$A420,Winter!$A:$A,FALSE),MATCH(All!Q$1,Winter!$1:$1,FALSE))),"")</f>
        <v>3A</v>
      </c>
      <c r="R420" t="str">
        <f>IFERROR(IF(INDEX(Winter!$1:$1048576,MATCH(All!$A420,Winter!$A:$A,FALSE),MATCH(All!R$1,Winter!$1:$1,FALSE))="","",INDEX(Winter!$1:$1048576,MATCH(All!$A420,Winter!$A:$A,FALSE),MATCH(All!R$1,Winter!$1:$1,FALSE))),"")</f>
        <v>2A</v>
      </c>
      <c r="S420" t="str">
        <f>IFERROR(IF(INDEX(Winter!$1:$1048576,MATCH(All!$A420,Winter!$A:$A,FALSE),MATCH(All!S$1,Winter!$1:$1,FALSE))="","",INDEX(Winter!$1:$1048576,MATCH(All!$A420,Winter!$A:$A,FALSE),MATCH(All!S$1,Winter!$1:$1,FALSE))),"")</f>
        <v>1A</v>
      </c>
      <c r="T420" t="str">
        <f>IFERROR(IF(INDEX(Winter!$1:$1048576,MATCH(All!$A420,Winter!$A:$A,FALSE),MATCH(All!T$1,Winter!$1:$1,FALSE))="","",INDEX(Winter!$1:$1048576,MATCH(All!$A420,Winter!$A:$A,FALSE),MATCH(All!T$1,Winter!$1:$1,FALSE))),"")</f>
        <v>2A</v>
      </c>
      <c r="U420" t="str">
        <f>IFERROR(IF(INDEX(Winter!$1:$1048576,MATCH(All!$A420,Winter!$A:$A,FALSE),MATCH(All!U$1,Winter!$1:$1,FALSE))="","",INDEX(Winter!$1:$1048576,MATCH(All!$A420,Winter!$A:$A,FALSE),MATCH(All!U$1,Winter!$1:$1,FALSE))),"")</f>
        <v>2A</v>
      </c>
      <c r="W420">
        <f>IFERROR(IF(INDEX(Spring!$1:$1048576,MATCH(All!$A420,Spring!$A:$A,FALSE),MATCH(All!W$1,Spring!$1:$1,FALSE))="","",INDEX(Spring!$1:$1048576,MATCH(All!$A420,Spring!$A:$A,FALSE),MATCH(All!W$1,Spring!$1:$1,FALSE))),"")</f>
        <v>840</v>
      </c>
      <c r="X420" t="str">
        <f>IFERROR(IF(INDEX(Spring!$1:$1048576,MATCH(All!$A420,Spring!$A:$A,FALSE),MATCH(All!X$1,Spring!$1:$1,FALSE))="","",INDEX(Spring!$1:$1048576,MATCH(All!$A420,Spring!$A:$A,FALSE),MATCH(All!X$1,Spring!$1:$1,FALSE))),"")</f>
        <v>3A</v>
      </c>
      <c r="Y420" t="str">
        <f>IFERROR(IF(INDEX(Spring!$1:$1048576,MATCH(All!$A420,Spring!$A:$A,FALSE),MATCH(All!Y$1,Spring!$1:$1,FALSE))="","",INDEX(Spring!$1:$1048576,MATCH(All!$A420,Spring!$A:$A,FALSE),MATCH(All!Y$1,Spring!$1:$1,FALSE))),"")</f>
        <v>3A</v>
      </c>
      <c r="Z420" t="str">
        <f>IFERROR(IF(INDEX(Spring!$1:$1048576,MATCH(All!$A420,Spring!$A:$A,FALSE),MATCH(All!Z$1,Spring!$1:$1,FALSE))="","",INDEX(Spring!$1:$1048576,MATCH(All!$A420,Spring!$A:$A,FALSE),MATCH(All!Z$1,Spring!$1:$1,FALSE))),"")</f>
        <v>2A</v>
      </c>
      <c r="AA420" t="str">
        <f>IFERROR(IF(INDEX(Spring!$1:$1048576,MATCH(All!$A420,Spring!$A:$A,FALSE),MATCH(All!AA$1,Spring!$1:$1,FALSE))="","",INDEX(Spring!$1:$1048576,MATCH(All!$A420,Spring!$A:$A,FALSE),MATCH(All!AA$1,Spring!$1:$1,FALSE))),"")</f>
        <v>1A</v>
      </c>
      <c r="AB420" t="str">
        <f>IFERROR(IF(INDEX(Spring!$1:$1048576,MATCH(All!$A420,Spring!$A:$A,FALSE),MATCH(All!AB$1,Spring!$1:$1,FALSE))="","",INDEX(Spring!$1:$1048576,MATCH(All!$A420,Spring!$A:$A,FALSE),MATCH(All!AB$1,Spring!$1:$1,FALSE))),"")</f>
        <v>2A</v>
      </c>
      <c r="AC420" t="str">
        <f>IFERROR(IF(INDEX(Spring!$1:$1048576,MATCH(All!$A420,Spring!$A:$A,FALSE),MATCH(All!AC$1,Spring!$1:$1,FALSE))="","",INDEX(Spring!$1:$1048576,MATCH(All!$A420,Spring!$A:$A,FALSE),MATCH(All!AC$1,Spring!$1:$1,FALSE))),"")</f>
        <v>2A</v>
      </c>
      <c r="AD420" t="str">
        <f>IFERROR(VLOOKUP(A420,'Flag Football'!A:A,1,FALSE),"")</f>
        <v/>
      </c>
      <c r="AE420" t="str">
        <f t="shared" si="6"/>
        <v/>
      </c>
    </row>
    <row r="421" spans="1:31" ht="15.75" thickBot="1" x14ac:dyDescent="0.3">
      <c r="A421" s="20" t="s">
        <v>509</v>
      </c>
      <c r="B421" s="38" t="str">
        <f>IFERROR(VLOOKUP(A421,'Public v Private'!A:G,3,FALSE),"")</f>
        <v>?</v>
      </c>
      <c r="C421" s="38">
        <f>IFERROR(VLOOKUP(A421,'Public v Private'!A:G,4,FALSE),"")</f>
        <v>0</v>
      </c>
      <c r="D421" s="38">
        <f>IFERROR(VLOOKUP(A421,'Public v Private'!A:G,5,FALSE),"")</f>
        <v>0</v>
      </c>
      <c r="E421" s="38"/>
      <c r="F421" s="40" t="str">
        <f>IFERROR(INDEX(Fall!$1:$1048576,MATCH(All!$A421,Fall!$A:$A,FALSE),MATCH(All!F$1,Fall!$1:$1,FALSE)),"N/A")</f>
        <v>N/A</v>
      </c>
      <c r="G421" t="str">
        <f>IFERROR(IF(INDEX(Fall!$1:$1048576,MATCH(All!$A421,Fall!$A:$A,FALSE),MATCH(All!G$1,Fall!$1:$1,FALSE))="","",INDEX(Fall!$1:$1048576,MATCH(All!$A421,Fall!$A:$A,FALSE),MATCH(All!G$1,Fall!$1:$1,FALSE))),"")</f>
        <v/>
      </c>
      <c r="H421" t="str">
        <f>IFERROR(IF(INDEX(Fall!$1:$1048576,MATCH(All!$A421,Fall!$A:$A,FALSE),MATCH(All!H$1,Fall!$1:$1,FALSE))="","",INDEX(Fall!$1:$1048576,MATCH(All!$A421,Fall!$A:$A,FALSE),MATCH(All!H$1,Fall!$1:$1,FALSE))),"")</f>
        <v/>
      </c>
      <c r="I421" t="str">
        <f>IFERROR(IF(INDEX(Fall!$1:$1048576,MATCH(All!$A421,Fall!$A:$A,FALSE),MATCH(All!I$1,Fall!$1:$1,FALSE))="","",INDEX(Fall!$1:$1048576,MATCH(All!$A421,Fall!$A:$A,FALSE),MATCH(All!I$1,Fall!$1:$1,FALSE))),"")</f>
        <v/>
      </c>
      <c r="J421" t="str">
        <f>IFERROR(IF(INDEX(Fall!$1:$1048576,MATCH(All!$A421,Fall!$A:$A,FALSE),MATCH(All!J$1,Fall!$1:$1,FALSE))="","",INDEX(Fall!$1:$1048576,MATCH(All!$A421,Fall!$A:$A,FALSE),MATCH(All!J$1,Fall!$1:$1,FALSE))),"")</f>
        <v/>
      </c>
      <c r="K421" t="str">
        <f>IFERROR(IF(INDEX(Fall!$1:$1048576,MATCH(All!$A421,Fall!$A:$A,FALSE),MATCH(All!K$1,Fall!$1:$1,FALSE))="","",INDEX(Fall!$1:$1048576,MATCH(All!$A421,Fall!$A:$A,FALSE),MATCH(All!K$1,Fall!$1:$1,FALSE))),"")</f>
        <v/>
      </c>
      <c r="L421" t="str">
        <f>IFERROR(IF(INDEX(Fall!$1:$1048576,MATCH(All!$A421,Fall!$A:$A,FALSE),MATCH(All!L$1,Fall!$1:$1,FALSE))="","",INDEX(Fall!$1:$1048576,MATCH(All!$A421,Fall!$A:$A,FALSE),MATCH(All!L$1,Fall!$1:$1,FALSE))),"")</f>
        <v/>
      </c>
      <c r="M421" t="str">
        <f>IFERROR(IF(INDEX(Fall!$1:$1048576,MATCH(All!$A421,Fall!$A:$A,FALSE),MATCH(All!M$1,Fall!$1:$1,FALSE))="","",INDEX(Fall!$1:$1048576,MATCH(All!$A421,Fall!$A:$A,FALSE),MATCH(All!M$1,Fall!$1:$1,FALSE))),"")</f>
        <v/>
      </c>
      <c r="O421" t="str">
        <f>IFERROR(IF(INDEX(Winter!$1:$1048576,MATCH(All!$A421,Winter!$A:$A,FALSE),MATCH(All!O$1,Winter!$1:$1,FALSE))="","",INDEX(Winter!$1:$1048576,MATCH(All!$A421,Winter!$A:$A,FALSE),MATCH(All!O$1,Winter!$1:$1,FALSE))),"")</f>
        <v>54.00 (89.10)</v>
      </c>
      <c r="P421" t="str">
        <f>IFERROR(IF(INDEX(Winter!$1:$1048576,MATCH(All!$A421,Winter!$A:$A,FALSE),MATCH(All!P$1,Winter!$1:$1,FALSE))="","",INDEX(Winter!$1:$1048576,MATCH(All!$A421,Winter!$A:$A,FALSE),MATCH(All!P$1,Winter!$1:$1,FALSE))),"")</f>
        <v>1A</v>
      </c>
      <c r="Q421" t="str">
        <f>IFERROR(IF(INDEX(Winter!$1:$1048576,MATCH(All!$A421,Winter!$A:$A,FALSE),MATCH(All!Q$1,Winter!$1:$1,FALSE))="","",INDEX(Winter!$1:$1048576,MATCH(All!$A421,Winter!$A:$A,FALSE),MATCH(All!Q$1,Winter!$1:$1,FALSE))),"")</f>
        <v/>
      </c>
      <c r="R421" t="str">
        <f>IFERROR(IF(INDEX(Winter!$1:$1048576,MATCH(All!$A421,Winter!$A:$A,FALSE),MATCH(All!R$1,Winter!$1:$1,FALSE))="","",INDEX(Winter!$1:$1048576,MATCH(All!$A421,Winter!$A:$A,FALSE),MATCH(All!R$1,Winter!$1:$1,FALSE))),"")</f>
        <v/>
      </c>
      <c r="S421" t="str">
        <f>IFERROR(IF(INDEX(Winter!$1:$1048576,MATCH(All!$A421,Winter!$A:$A,FALSE),MATCH(All!S$1,Winter!$1:$1,FALSE))="","",INDEX(Winter!$1:$1048576,MATCH(All!$A421,Winter!$A:$A,FALSE),MATCH(All!S$1,Winter!$1:$1,FALSE))),"")</f>
        <v/>
      </c>
      <c r="T421" t="str">
        <f>IFERROR(IF(INDEX(Winter!$1:$1048576,MATCH(All!$A421,Winter!$A:$A,FALSE),MATCH(All!T$1,Winter!$1:$1,FALSE))="","",INDEX(Winter!$1:$1048576,MATCH(All!$A421,Winter!$A:$A,FALSE),MATCH(All!T$1,Winter!$1:$1,FALSE))),"")</f>
        <v/>
      </c>
      <c r="U421" t="str">
        <f>IFERROR(IF(INDEX(Winter!$1:$1048576,MATCH(All!$A421,Winter!$A:$A,FALSE),MATCH(All!U$1,Winter!$1:$1,FALSE))="","",INDEX(Winter!$1:$1048576,MATCH(All!$A421,Winter!$A:$A,FALSE),MATCH(All!U$1,Winter!$1:$1,FALSE))),"")</f>
        <v/>
      </c>
      <c r="W421" t="str">
        <f>IFERROR(IF(INDEX(Spring!$1:$1048576,MATCH(All!$A421,Spring!$A:$A,FALSE),MATCH(All!W$1,Spring!$1:$1,FALSE))="","",INDEX(Spring!$1:$1048576,MATCH(All!$A421,Spring!$A:$A,FALSE),MATCH(All!W$1,Spring!$1:$1,FALSE))),"")</f>
        <v>54.00 (89.10)</v>
      </c>
      <c r="X421" t="str">
        <f>IFERROR(IF(INDEX(Spring!$1:$1048576,MATCH(All!$A421,Spring!$A:$A,FALSE),MATCH(All!X$1,Spring!$1:$1,FALSE))="","",INDEX(Spring!$1:$1048576,MATCH(All!$A421,Spring!$A:$A,FALSE),MATCH(All!X$1,Spring!$1:$1,FALSE))),"")</f>
        <v/>
      </c>
      <c r="Y421" t="str">
        <f>IFERROR(IF(INDEX(Spring!$1:$1048576,MATCH(All!$A421,Spring!$A:$A,FALSE),MATCH(All!Y$1,Spring!$1:$1,FALSE))="","",INDEX(Spring!$1:$1048576,MATCH(All!$A421,Spring!$A:$A,FALSE),MATCH(All!Y$1,Spring!$1:$1,FALSE))),"")</f>
        <v/>
      </c>
      <c r="Z421" t="str">
        <f>IFERROR(IF(INDEX(Spring!$1:$1048576,MATCH(All!$A421,Spring!$A:$A,FALSE),MATCH(All!Z$1,Spring!$1:$1,FALSE))="","",INDEX(Spring!$1:$1048576,MATCH(All!$A421,Spring!$A:$A,FALSE),MATCH(All!Z$1,Spring!$1:$1,FALSE))),"")</f>
        <v/>
      </c>
      <c r="AA421" t="str">
        <f>IFERROR(IF(INDEX(Spring!$1:$1048576,MATCH(All!$A421,Spring!$A:$A,FALSE),MATCH(All!AA$1,Spring!$1:$1,FALSE))="","",INDEX(Spring!$1:$1048576,MATCH(All!$A421,Spring!$A:$A,FALSE),MATCH(All!AA$1,Spring!$1:$1,FALSE))),"")</f>
        <v/>
      </c>
      <c r="AB421" t="str">
        <f>IFERROR(IF(INDEX(Spring!$1:$1048576,MATCH(All!$A421,Spring!$A:$A,FALSE),MATCH(All!AB$1,Spring!$1:$1,FALSE))="","",INDEX(Spring!$1:$1048576,MATCH(All!$A421,Spring!$A:$A,FALSE),MATCH(All!AB$1,Spring!$1:$1,FALSE))),"")</f>
        <v>1A</v>
      </c>
      <c r="AC421" t="str">
        <f>IFERROR(IF(INDEX(Spring!$1:$1048576,MATCH(All!$A421,Spring!$A:$A,FALSE),MATCH(All!AC$1,Spring!$1:$1,FALSE))="","",INDEX(Spring!$1:$1048576,MATCH(All!$A421,Spring!$A:$A,FALSE),MATCH(All!AC$1,Spring!$1:$1,FALSE))),"")</f>
        <v>1A</v>
      </c>
      <c r="AD421" t="str">
        <f>IFERROR(VLOOKUP(A421,'Flag Football'!A:A,1,FALSE),"")</f>
        <v/>
      </c>
      <c r="AE421" t="str">
        <f t="shared" si="6"/>
        <v/>
      </c>
    </row>
    <row r="422" spans="1:31" ht="15.75" thickBot="1" x14ac:dyDescent="0.3">
      <c r="A422" s="18" t="s">
        <v>947</v>
      </c>
      <c r="B422" s="38" t="str">
        <f>IFERROR(VLOOKUP(A422,'Public v Private'!A:G,3,FALSE),"")</f>
        <v>?</v>
      </c>
      <c r="C422" s="38">
        <f>IFERROR(VLOOKUP(A422,'Public v Private'!A:G,4,FALSE),"")</f>
        <v>0</v>
      </c>
      <c r="D422" s="38">
        <f>IFERROR(VLOOKUP(A422,'Public v Private'!A:G,5,FALSE),"")</f>
        <v>0</v>
      </c>
      <c r="E422" s="38"/>
      <c r="F422" s="40" t="str">
        <f>IFERROR(INDEX(Fall!$1:$1048576,MATCH(All!$A422,Fall!$A:$A,FALSE),MATCH(All!F$1,Fall!$1:$1,FALSE)),"N/A")</f>
        <v>N/A</v>
      </c>
      <c r="G422" t="str">
        <f>IFERROR(IF(INDEX(Fall!$1:$1048576,MATCH(All!$A422,Fall!$A:$A,FALSE),MATCH(All!G$1,Fall!$1:$1,FALSE))="","",INDEX(Fall!$1:$1048576,MATCH(All!$A422,Fall!$A:$A,FALSE),MATCH(All!G$1,Fall!$1:$1,FALSE))),"")</f>
        <v/>
      </c>
      <c r="H422" t="str">
        <f>IFERROR(IF(INDEX(Fall!$1:$1048576,MATCH(All!$A422,Fall!$A:$A,FALSE),MATCH(All!H$1,Fall!$1:$1,FALSE))="","",INDEX(Fall!$1:$1048576,MATCH(All!$A422,Fall!$A:$A,FALSE),MATCH(All!H$1,Fall!$1:$1,FALSE))),"")</f>
        <v/>
      </c>
      <c r="I422" t="str">
        <f>IFERROR(IF(INDEX(Fall!$1:$1048576,MATCH(All!$A422,Fall!$A:$A,FALSE),MATCH(All!I$1,Fall!$1:$1,FALSE))="","",INDEX(Fall!$1:$1048576,MATCH(All!$A422,Fall!$A:$A,FALSE),MATCH(All!I$1,Fall!$1:$1,FALSE))),"")</f>
        <v/>
      </c>
      <c r="J422" t="str">
        <f>IFERROR(IF(INDEX(Fall!$1:$1048576,MATCH(All!$A422,Fall!$A:$A,FALSE),MATCH(All!J$1,Fall!$1:$1,FALSE))="","",INDEX(Fall!$1:$1048576,MATCH(All!$A422,Fall!$A:$A,FALSE),MATCH(All!J$1,Fall!$1:$1,FALSE))),"")</f>
        <v/>
      </c>
      <c r="K422" t="str">
        <f>IFERROR(IF(INDEX(Fall!$1:$1048576,MATCH(All!$A422,Fall!$A:$A,FALSE),MATCH(All!K$1,Fall!$1:$1,FALSE))="","",INDEX(Fall!$1:$1048576,MATCH(All!$A422,Fall!$A:$A,FALSE),MATCH(All!K$1,Fall!$1:$1,FALSE))),"")</f>
        <v/>
      </c>
      <c r="L422" t="str">
        <f>IFERROR(IF(INDEX(Fall!$1:$1048576,MATCH(All!$A422,Fall!$A:$A,FALSE),MATCH(All!L$1,Fall!$1:$1,FALSE))="","",INDEX(Fall!$1:$1048576,MATCH(All!$A422,Fall!$A:$A,FALSE),MATCH(All!L$1,Fall!$1:$1,FALSE))),"")</f>
        <v/>
      </c>
      <c r="M422" t="str">
        <f>IFERROR(IF(INDEX(Fall!$1:$1048576,MATCH(All!$A422,Fall!$A:$A,FALSE),MATCH(All!M$1,Fall!$1:$1,FALSE))="","",INDEX(Fall!$1:$1048576,MATCH(All!$A422,Fall!$A:$A,FALSE),MATCH(All!M$1,Fall!$1:$1,FALSE))),"")</f>
        <v/>
      </c>
      <c r="O422" t="str">
        <f>IFERROR(IF(INDEX(Winter!$1:$1048576,MATCH(All!$A422,Winter!$A:$A,FALSE),MATCH(All!O$1,Winter!$1:$1,FALSE))="","",INDEX(Winter!$1:$1048576,MATCH(All!$A422,Winter!$A:$A,FALSE),MATCH(All!O$1,Winter!$1:$1,FALSE))),"")</f>
        <v>20.00 (33.00)</v>
      </c>
      <c r="P422" t="str">
        <f>IFERROR(IF(INDEX(Winter!$1:$1048576,MATCH(All!$A422,Winter!$A:$A,FALSE),MATCH(All!P$1,Winter!$1:$1,FALSE))="","",INDEX(Winter!$1:$1048576,MATCH(All!$A422,Winter!$A:$A,FALSE),MATCH(All!P$1,Winter!$1:$1,FALSE))),"")</f>
        <v/>
      </c>
      <c r="Q422" t="str">
        <f>IFERROR(IF(INDEX(Winter!$1:$1048576,MATCH(All!$A422,Winter!$A:$A,FALSE),MATCH(All!Q$1,Winter!$1:$1,FALSE))="","",INDEX(Winter!$1:$1048576,MATCH(All!$A422,Winter!$A:$A,FALSE),MATCH(All!Q$1,Winter!$1:$1,FALSE))),"")</f>
        <v/>
      </c>
      <c r="R422" t="str">
        <f>IFERROR(IF(INDEX(Winter!$1:$1048576,MATCH(All!$A422,Winter!$A:$A,FALSE),MATCH(All!R$1,Winter!$1:$1,FALSE))="","",INDEX(Winter!$1:$1048576,MATCH(All!$A422,Winter!$A:$A,FALSE),MATCH(All!R$1,Winter!$1:$1,FALSE))),"")</f>
        <v/>
      </c>
      <c r="S422" t="str">
        <f>IFERROR(IF(INDEX(Winter!$1:$1048576,MATCH(All!$A422,Winter!$A:$A,FALSE),MATCH(All!S$1,Winter!$1:$1,FALSE))="","",INDEX(Winter!$1:$1048576,MATCH(All!$A422,Winter!$A:$A,FALSE),MATCH(All!S$1,Winter!$1:$1,FALSE))),"")</f>
        <v/>
      </c>
      <c r="T422" t="str">
        <f>IFERROR(IF(INDEX(Winter!$1:$1048576,MATCH(All!$A422,Winter!$A:$A,FALSE),MATCH(All!T$1,Winter!$1:$1,FALSE))="","",INDEX(Winter!$1:$1048576,MATCH(All!$A422,Winter!$A:$A,FALSE),MATCH(All!T$1,Winter!$1:$1,FALSE))),"")</f>
        <v/>
      </c>
      <c r="U422" t="str">
        <f>IFERROR(IF(INDEX(Winter!$1:$1048576,MATCH(All!$A422,Winter!$A:$A,FALSE),MATCH(All!U$1,Winter!$1:$1,FALSE))="","",INDEX(Winter!$1:$1048576,MATCH(All!$A422,Winter!$A:$A,FALSE),MATCH(All!U$1,Winter!$1:$1,FALSE))),"")</f>
        <v>1A</v>
      </c>
      <c r="W422" t="str">
        <f>IFERROR(IF(INDEX(Spring!$1:$1048576,MATCH(All!$A422,Spring!$A:$A,FALSE),MATCH(All!W$1,Spring!$1:$1,FALSE))="","",INDEX(Spring!$1:$1048576,MATCH(All!$A422,Spring!$A:$A,FALSE),MATCH(All!W$1,Spring!$1:$1,FALSE))),"")</f>
        <v/>
      </c>
      <c r="X422" t="str">
        <f>IFERROR(IF(INDEX(Spring!$1:$1048576,MATCH(All!$A422,Spring!$A:$A,FALSE),MATCH(All!X$1,Spring!$1:$1,FALSE))="","",INDEX(Spring!$1:$1048576,MATCH(All!$A422,Spring!$A:$A,FALSE),MATCH(All!X$1,Spring!$1:$1,FALSE))),"")</f>
        <v/>
      </c>
      <c r="Y422" t="str">
        <f>IFERROR(IF(INDEX(Spring!$1:$1048576,MATCH(All!$A422,Spring!$A:$A,FALSE),MATCH(All!Y$1,Spring!$1:$1,FALSE))="","",INDEX(Spring!$1:$1048576,MATCH(All!$A422,Spring!$A:$A,FALSE),MATCH(All!Y$1,Spring!$1:$1,FALSE))),"")</f>
        <v/>
      </c>
      <c r="Z422" t="str">
        <f>IFERROR(IF(INDEX(Spring!$1:$1048576,MATCH(All!$A422,Spring!$A:$A,FALSE),MATCH(All!Z$1,Spring!$1:$1,FALSE))="","",INDEX(Spring!$1:$1048576,MATCH(All!$A422,Spring!$A:$A,FALSE),MATCH(All!Z$1,Spring!$1:$1,FALSE))),"")</f>
        <v/>
      </c>
      <c r="AA422" t="str">
        <f>IFERROR(IF(INDEX(Spring!$1:$1048576,MATCH(All!$A422,Spring!$A:$A,FALSE),MATCH(All!AA$1,Spring!$1:$1,FALSE))="","",INDEX(Spring!$1:$1048576,MATCH(All!$A422,Spring!$A:$A,FALSE),MATCH(All!AA$1,Spring!$1:$1,FALSE))),"")</f>
        <v/>
      </c>
      <c r="AB422" t="str">
        <f>IFERROR(IF(INDEX(Spring!$1:$1048576,MATCH(All!$A422,Spring!$A:$A,FALSE),MATCH(All!AB$1,Spring!$1:$1,FALSE))="","",INDEX(Spring!$1:$1048576,MATCH(All!$A422,Spring!$A:$A,FALSE),MATCH(All!AB$1,Spring!$1:$1,FALSE))),"")</f>
        <v/>
      </c>
      <c r="AC422" t="str">
        <f>IFERROR(IF(INDEX(Spring!$1:$1048576,MATCH(All!$A422,Spring!$A:$A,FALSE),MATCH(All!AC$1,Spring!$1:$1,FALSE))="","",INDEX(Spring!$1:$1048576,MATCH(All!$A422,Spring!$A:$A,FALSE),MATCH(All!AC$1,Spring!$1:$1,FALSE))),"")</f>
        <v/>
      </c>
      <c r="AD422" t="str">
        <f>IFERROR(VLOOKUP(A422,'Flag Football'!A:A,1,FALSE),"")</f>
        <v/>
      </c>
      <c r="AE422" t="str">
        <f t="shared" si="6"/>
        <v/>
      </c>
    </row>
    <row r="423" spans="1:31" ht="15.75" thickBot="1" x14ac:dyDescent="0.3">
      <c r="A423" s="18" t="s">
        <v>511</v>
      </c>
      <c r="B423" s="38" t="str">
        <f>IFERROR(VLOOKUP(A423,'Public v Private'!A:G,3,FALSE),"")</f>
        <v>private</v>
      </c>
      <c r="C423" s="38">
        <f>IFERROR(VLOOKUP(A423,'Public v Private'!A:G,4,FALSE),"")</f>
        <v>6</v>
      </c>
      <c r="D423" s="38">
        <f>IFERROR(VLOOKUP(A423,'Public v Private'!A:G,5,FALSE),"")</f>
        <v>17</v>
      </c>
      <c r="E423" s="38"/>
      <c r="F423" s="40" t="str">
        <f>IFERROR(INDEX(Fall!$1:$1048576,MATCH(All!$A423,Fall!$A:$A,FALSE),MATCH(All!F$1,Fall!$1:$1,FALSE)),"N/A")</f>
        <v>116.00 (191.40)</v>
      </c>
      <c r="G423" t="str">
        <f>IFERROR(IF(INDEX(Fall!$1:$1048576,MATCH(All!$A423,Fall!$A:$A,FALSE),MATCH(All!G$1,Fall!$1:$1,FALSE))="","",INDEX(Fall!$1:$1048576,MATCH(All!$A423,Fall!$A:$A,FALSE),MATCH(All!G$1,Fall!$1:$1,FALSE))),"")</f>
        <v/>
      </c>
      <c r="H423" t="str">
        <f>IFERROR(IF(INDEX(Fall!$1:$1048576,MATCH(All!$A423,Fall!$A:$A,FALSE),MATCH(All!H$1,Fall!$1:$1,FALSE))="","",INDEX(Fall!$1:$1048576,MATCH(All!$A423,Fall!$A:$A,FALSE),MATCH(All!H$1,Fall!$1:$1,FALSE))),"")</f>
        <v/>
      </c>
      <c r="I423" t="str">
        <f>IFERROR(IF(INDEX(Fall!$1:$1048576,MATCH(All!$A423,Fall!$A:$A,FALSE),MATCH(All!I$1,Fall!$1:$1,FALSE))="","",INDEX(Fall!$1:$1048576,MATCH(All!$A423,Fall!$A:$A,FALSE),MATCH(All!I$1,Fall!$1:$1,FALSE))),"")</f>
        <v>1A</v>
      </c>
      <c r="J423" t="str">
        <f>IFERROR(IF(INDEX(Fall!$1:$1048576,MATCH(All!$A423,Fall!$A:$A,FALSE),MATCH(All!J$1,Fall!$1:$1,FALSE))="","",INDEX(Fall!$1:$1048576,MATCH(All!$A423,Fall!$A:$A,FALSE),MATCH(All!J$1,Fall!$1:$1,FALSE))),"")</f>
        <v/>
      </c>
      <c r="K423" t="str">
        <f>IFERROR(IF(INDEX(Fall!$1:$1048576,MATCH(All!$A423,Fall!$A:$A,FALSE),MATCH(All!K$1,Fall!$1:$1,FALSE))="","",INDEX(Fall!$1:$1048576,MATCH(All!$A423,Fall!$A:$A,FALSE),MATCH(All!K$1,Fall!$1:$1,FALSE))),"")</f>
        <v/>
      </c>
      <c r="L423" t="str">
        <f>IFERROR(IF(INDEX(Fall!$1:$1048576,MATCH(All!$A423,Fall!$A:$A,FALSE),MATCH(All!L$1,Fall!$1:$1,FALSE))="","",INDEX(Fall!$1:$1048576,MATCH(All!$A423,Fall!$A:$A,FALSE),MATCH(All!L$1,Fall!$1:$1,FALSE))),"")</f>
        <v/>
      </c>
      <c r="M423" t="str">
        <f>IFERROR(IF(INDEX(Fall!$1:$1048576,MATCH(All!$A423,Fall!$A:$A,FALSE),MATCH(All!M$1,Fall!$1:$1,FALSE))="","",INDEX(Fall!$1:$1048576,MATCH(All!$A423,Fall!$A:$A,FALSE),MATCH(All!M$1,Fall!$1:$1,FALSE))),"")</f>
        <v>1A</v>
      </c>
      <c r="O423" t="str">
        <f>IFERROR(IF(INDEX(Winter!$1:$1048576,MATCH(All!$A423,Winter!$A:$A,FALSE),MATCH(All!O$1,Winter!$1:$1,FALSE))="","",INDEX(Winter!$1:$1048576,MATCH(All!$A423,Winter!$A:$A,FALSE),MATCH(All!O$1,Winter!$1:$1,FALSE))),"")</f>
        <v>116.00 (191.40)</v>
      </c>
      <c r="P423" t="str">
        <f>IFERROR(IF(INDEX(Winter!$1:$1048576,MATCH(All!$A423,Winter!$A:$A,FALSE),MATCH(All!P$1,Winter!$1:$1,FALSE))="","",INDEX(Winter!$1:$1048576,MATCH(All!$A423,Winter!$A:$A,FALSE),MATCH(All!P$1,Winter!$1:$1,FALSE))),"")</f>
        <v>1A</v>
      </c>
      <c r="Q423" t="str">
        <f>IFERROR(IF(INDEX(Winter!$1:$1048576,MATCH(All!$A423,Winter!$A:$A,FALSE),MATCH(All!Q$1,Winter!$1:$1,FALSE))="","",INDEX(Winter!$1:$1048576,MATCH(All!$A423,Winter!$A:$A,FALSE),MATCH(All!Q$1,Winter!$1:$1,FALSE))),"")</f>
        <v/>
      </c>
      <c r="R423" t="str">
        <f>IFERROR(IF(INDEX(Winter!$1:$1048576,MATCH(All!$A423,Winter!$A:$A,FALSE),MATCH(All!R$1,Winter!$1:$1,FALSE))="","",INDEX(Winter!$1:$1048576,MATCH(All!$A423,Winter!$A:$A,FALSE),MATCH(All!R$1,Winter!$1:$1,FALSE))),"")</f>
        <v/>
      </c>
      <c r="S423" t="str">
        <f>IFERROR(IF(INDEX(Winter!$1:$1048576,MATCH(All!$A423,Winter!$A:$A,FALSE),MATCH(All!S$1,Winter!$1:$1,FALSE))="","",INDEX(Winter!$1:$1048576,MATCH(All!$A423,Winter!$A:$A,FALSE),MATCH(All!S$1,Winter!$1:$1,FALSE))),"")</f>
        <v/>
      </c>
      <c r="T423" t="str">
        <f>IFERROR(IF(INDEX(Winter!$1:$1048576,MATCH(All!$A423,Winter!$A:$A,FALSE),MATCH(All!T$1,Winter!$1:$1,FALSE))="","",INDEX(Winter!$1:$1048576,MATCH(All!$A423,Winter!$A:$A,FALSE),MATCH(All!T$1,Winter!$1:$1,FALSE))),"")</f>
        <v>1A</v>
      </c>
      <c r="U423" t="str">
        <f>IFERROR(IF(INDEX(Winter!$1:$1048576,MATCH(All!$A423,Winter!$A:$A,FALSE),MATCH(All!U$1,Winter!$1:$1,FALSE))="","",INDEX(Winter!$1:$1048576,MATCH(All!$A423,Winter!$A:$A,FALSE),MATCH(All!U$1,Winter!$1:$1,FALSE))),"")</f>
        <v/>
      </c>
      <c r="W423" t="str">
        <f>IFERROR(IF(INDEX(Spring!$1:$1048576,MATCH(All!$A423,Spring!$A:$A,FALSE),MATCH(All!W$1,Spring!$1:$1,FALSE))="","",INDEX(Spring!$1:$1048576,MATCH(All!$A423,Spring!$A:$A,FALSE),MATCH(All!W$1,Spring!$1:$1,FALSE))),"")</f>
        <v>116.00 (191.40)</v>
      </c>
      <c r="X423" t="str">
        <f>IFERROR(IF(INDEX(Spring!$1:$1048576,MATCH(All!$A423,Spring!$A:$A,FALSE),MATCH(All!X$1,Spring!$1:$1,FALSE))="","",INDEX(Spring!$1:$1048576,MATCH(All!$A423,Spring!$A:$A,FALSE),MATCH(All!X$1,Spring!$1:$1,FALSE))),"")</f>
        <v>1A</v>
      </c>
      <c r="Y423" t="str">
        <f>IFERROR(IF(INDEX(Spring!$1:$1048576,MATCH(All!$A423,Spring!$A:$A,FALSE),MATCH(All!Y$1,Spring!$1:$1,FALSE))="","",INDEX(Spring!$1:$1048576,MATCH(All!$A423,Spring!$A:$A,FALSE),MATCH(All!Y$1,Spring!$1:$1,FALSE))),"")</f>
        <v>1A</v>
      </c>
      <c r="Z423" t="str">
        <f>IFERROR(IF(INDEX(Spring!$1:$1048576,MATCH(All!$A423,Spring!$A:$A,FALSE),MATCH(All!Z$1,Spring!$1:$1,FALSE))="","",INDEX(Spring!$1:$1048576,MATCH(All!$A423,Spring!$A:$A,FALSE),MATCH(All!Z$1,Spring!$1:$1,FALSE))),"")</f>
        <v/>
      </c>
      <c r="AA423" t="str">
        <f>IFERROR(IF(INDEX(Spring!$1:$1048576,MATCH(All!$A423,Spring!$A:$A,FALSE),MATCH(All!AA$1,Spring!$1:$1,FALSE))="","",INDEX(Spring!$1:$1048576,MATCH(All!$A423,Spring!$A:$A,FALSE),MATCH(All!AA$1,Spring!$1:$1,FALSE))),"")</f>
        <v/>
      </c>
      <c r="AB423" t="str">
        <f>IFERROR(IF(INDEX(Spring!$1:$1048576,MATCH(All!$A423,Spring!$A:$A,FALSE),MATCH(All!AB$1,Spring!$1:$1,FALSE))="","",INDEX(Spring!$1:$1048576,MATCH(All!$A423,Spring!$A:$A,FALSE),MATCH(All!AB$1,Spring!$1:$1,FALSE))),"")</f>
        <v>1A</v>
      </c>
      <c r="AC423" t="str">
        <f>IFERROR(IF(INDEX(Spring!$1:$1048576,MATCH(All!$A423,Spring!$A:$A,FALSE),MATCH(All!AC$1,Spring!$1:$1,FALSE))="","",INDEX(Spring!$1:$1048576,MATCH(All!$A423,Spring!$A:$A,FALSE),MATCH(All!AC$1,Spring!$1:$1,FALSE))),"")</f>
        <v>1A</v>
      </c>
      <c r="AD423" t="str">
        <f>IFERROR(VLOOKUP(A423,'Flag Football'!A:A,1,FALSE),"")</f>
        <v/>
      </c>
      <c r="AE423" t="str">
        <f t="shared" si="6"/>
        <v/>
      </c>
    </row>
    <row r="424" spans="1:31" ht="15.75" thickBot="1" x14ac:dyDescent="0.3">
      <c r="A424" s="20" t="s">
        <v>513</v>
      </c>
      <c r="B424" s="38">
        <f>IFERROR(VLOOKUP(A424,'Public v Private'!A:G,3,FALSE),"")</f>
        <v>0</v>
      </c>
      <c r="C424" s="38">
        <f>IFERROR(VLOOKUP(A424,'Public v Private'!A:G,4,FALSE),"")</f>
        <v>0</v>
      </c>
      <c r="D424" s="38">
        <f>IFERROR(VLOOKUP(A424,'Public v Private'!A:G,5,FALSE),"")</f>
        <v>0</v>
      </c>
      <c r="E424" s="38"/>
      <c r="F424" s="40">
        <f>IFERROR(INDEX(Fall!$1:$1048576,MATCH(All!$A424,Fall!$A:$A,FALSE),MATCH(All!F$1,Fall!$1:$1,FALSE)),"N/A")</f>
        <v>780</v>
      </c>
      <c r="G424" t="str">
        <f>IFERROR(IF(INDEX(Fall!$1:$1048576,MATCH(All!$A424,Fall!$A:$A,FALSE),MATCH(All!G$1,Fall!$1:$1,FALSE))="","",INDEX(Fall!$1:$1048576,MATCH(All!$A424,Fall!$A:$A,FALSE),MATCH(All!G$1,Fall!$1:$1,FALSE))),"")</f>
        <v>2A</v>
      </c>
      <c r="H424" t="str">
        <f>IFERROR(IF(INDEX(Fall!$1:$1048576,MATCH(All!$A424,Fall!$A:$A,FALSE),MATCH(All!H$1,Fall!$1:$1,FALSE))="","",INDEX(Fall!$1:$1048576,MATCH(All!$A424,Fall!$A:$A,FALSE),MATCH(All!H$1,Fall!$1:$1,FALSE))),"")</f>
        <v>2A</v>
      </c>
      <c r="I424" t="str">
        <f>IFERROR(IF(INDEX(Fall!$1:$1048576,MATCH(All!$A424,Fall!$A:$A,FALSE),MATCH(All!I$1,Fall!$1:$1,FALSE))="","",INDEX(Fall!$1:$1048576,MATCH(All!$A424,Fall!$A:$A,FALSE),MATCH(All!I$1,Fall!$1:$1,FALSE))),"")</f>
        <v>2A</v>
      </c>
      <c r="J424" t="str">
        <f>IFERROR(IF(INDEX(Fall!$1:$1048576,MATCH(All!$A424,Fall!$A:$A,FALSE),MATCH(All!J$1,Fall!$1:$1,FALSE))="","",INDEX(Fall!$1:$1048576,MATCH(All!$A424,Fall!$A:$A,FALSE),MATCH(All!J$1,Fall!$1:$1,FALSE))),"")</f>
        <v/>
      </c>
      <c r="K424" t="str">
        <f>IFERROR(IF(INDEX(Fall!$1:$1048576,MATCH(All!$A424,Fall!$A:$A,FALSE),MATCH(All!K$1,Fall!$1:$1,FALSE))="","",INDEX(Fall!$1:$1048576,MATCH(All!$A424,Fall!$A:$A,FALSE),MATCH(All!K$1,Fall!$1:$1,FALSE))),"")</f>
        <v>2A</v>
      </c>
      <c r="L424" t="str">
        <f>IFERROR(IF(INDEX(Fall!$1:$1048576,MATCH(All!$A424,Fall!$A:$A,FALSE),MATCH(All!L$1,Fall!$1:$1,FALSE))="","",INDEX(Fall!$1:$1048576,MATCH(All!$A424,Fall!$A:$A,FALSE),MATCH(All!L$1,Fall!$1:$1,FALSE))),"")</f>
        <v>1A</v>
      </c>
      <c r="M424" t="str">
        <f>IFERROR(IF(INDEX(Fall!$1:$1048576,MATCH(All!$A424,Fall!$A:$A,FALSE),MATCH(All!M$1,Fall!$1:$1,FALSE))="","",INDEX(Fall!$1:$1048576,MATCH(All!$A424,Fall!$A:$A,FALSE),MATCH(All!M$1,Fall!$1:$1,FALSE))),"")</f>
        <v>3A</v>
      </c>
      <c r="O424">
        <f>IFERROR(IF(INDEX(Winter!$1:$1048576,MATCH(All!$A424,Winter!$A:$A,FALSE),MATCH(All!O$1,Winter!$1:$1,FALSE))="","",INDEX(Winter!$1:$1048576,MATCH(All!$A424,Winter!$A:$A,FALSE),MATCH(All!O$1,Winter!$1:$1,FALSE))),"")</f>
        <v>780</v>
      </c>
      <c r="P424" t="str">
        <f>IFERROR(IF(INDEX(Winter!$1:$1048576,MATCH(All!$A424,Winter!$A:$A,FALSE),MATCH(All!P$1,Winter!$1:$1,FALSE))="","",INDEX(Winter!$1:$1048576,MATCH(All!$A424,Winter!$A:$A,FALSE),MATCH(All!P$1,Winter!$1:$1,FALSE))),"")</f>
        <v>3A</v>
      </c>
      <c r="Q424" t="str">
        <f>IFERROR(IF(INDEX(Winter!$1:$1048576,MATCH(All!$A424,Winter!$A:$A,FALSE),MATCH(All!Q$1,Winter!$1:$1,FALSE))="","",INDEX(Winter!$1:$1048576,MATCH(All!$A424,Winter!$A:$A,FALSE),MATCH(All!Q$1,Winter!$1:$1,FALSE))),"")</f>
        <v>3A</v>
      </c>
      <c r="R424" t="str">
        <f>IFERROR(IF(INDEX(Winter!$1:$1048576,MATCH(All!$A424,Winter!$A:$A,FALSE),MATCH(All!R$1,Winter!$1:$1,FALSE))="","",INDEX(Winter!$1:$1048576,MATCH(All!$A424,Winter!$A:$A,FALSE),MATCH(All!R$1,Winter!$1:$1,FALSE))),"")</f>
        <v>2A</v>
      </c>
      <c r="S424" t="str">
        <f>IFERROR(IF(INDEX(Winter!$1:$1048576,MATCH(All!$A424,Winter!$A:$A,FALSE),MATCH(All!S$1,Winter!$1:$1,FALSE))="","",INDEX(Winter!$1:$1048576,MATCH(All!$A424,Winter!$A:$A,FALSE),MATCH(All!S$1,Winter!$1:$1,FALSE))),"")</f>
        <v>1A</v>
      </c>
      <c r="T424" t="str">
        <f>IFERROR(IF(INDEX(Winter!$1:$1048576,MATCH(All!$A424,Winter!$A:$A,FALSE),MATCH(All!T$1,Winter!$1:$1,FALSE))="","",INDEX(Winter!$1:$1048576,MATCH(All!$A424,Winter!$A:$A,FALSE),MATCH(All!T$1,Winter!$1:$1,FALSE))),"")</f>
        <v>2A</v>
      </c>
      <c r="U424" t="str">
        <f>IFERROR(IF(INDEX(Winter!$1:$1048576,MATCH(All!$A424,Winter!$A:$A,FALSE),MATCH(All!U$1,Winter!$1:$1,FALSE))="","",INDEX(Winter!$1:$1048576,MATCH(All!$A424,Winter!$A:$A,FALSE),MATCH(All!U$1,Winter!$1:$1,FALSE))),"")</f>
        <v>2A</v>
      </c>
      <c r="W424">
        <f>IFERROR(IF(INDEX(Spring!$1:$1048576,MATCH(All!$A424,Spring!$A:$A,FALSE),MATCH(All!W$1,Spring!$1:$1,FALSE))="","",INDEX(Spring!$1:$1048576,MATCH(All!$A424,Spring!$A:$A,FALSE),MATCH(All!W$1,Spring!$1:$1,FALSE))),"")</f>
        <v>780</v>
      </c>
      <c r="X424" t="str">
        <f>IFERROR(IF(INDEX(Spring!$1:$1048576,MATCH(All!$A424,Spring!$A:$A,FALSE),MATCH(All!X$1,Spring!$1:$1,FALSE))="","",INDEX(Spring!$1:$1048576,MATCH(All!$A424,Spring!$A:$A,FALSE),MATCH(All!X$1,Spring!$1:$1,FALSE))),"")</f>
        <v>3A</v>
      </c>
      <c r="Y424" t="str">
        <f>IFERROR(IF(INDEX(Spring!$1:$1048576,MATCH(All!$A424,Spring!$A:$A,FALSE),MATCH(All!Y$1,Spring!$1:$1,FALSE))="","",INDEX(Spring!$1:$1048576,MATCH(All!$A424,Spring!$A:$A,FALSE),MATCH(All!Y$1,Spring!$1:$1,FALSE))),"")</f>
        <v>3A</v>
      </c>
      <c r="Z424" t="str">
        <f>IFERROR(IF(INDEX(Spring!$1:$1048576,MATCH(All!$A424,Spring!$A:$A,FALSE),MATCH(All!Z$1,Spring!$1:$1,FALSE))="","",INDEX(Spring!$1:$1048576,MATCH(All!$A424,Spring!$A:$A,FALSE),MATCH(All!Z$1,Spring!$1:$1,FALSE))),"")</f>
        <v>1A</v>
      </c>
      <c r="AA424" t="str">
        <f>IFERROR(IF(INDEX(Spring!$1:$1048576,MATCH(All!$A424,Spring!$A:$A,FALSE),MATCH(All!AA$1,Spring!$1:$1,FALSE))="","",INDEX(Spring!$1:$1048576,MATCH(All!$A424,Spring!$A:$A,FALSE),MATCH(All!AA$1,Spring!$1:$1,FALSE))),"")</f>
        <v>1A</v>
      </c>
      <c r="AB424" t="str">
        <f>IFERROR(IF(INDEX(Spring!$1:$1048576,MATCH(All!$A424,Spring!$A:$A,FALSE),MATCH(All!AB$1,Spring!$1:$1,FALSE))="","",INDEX(Spring!$1:$1048576,MATCH(All!$A424,Spring!$A:$A,FALSE),MATCH(All!AB$1,Spring!$1:$1,FALSE))),"")</f>
        <v>2A</v>
      </c>
      <c r="AC424" t="str">
        <f>IFERROR(IF(INDEX(Spring!$1:$1048576,MATCH(All!$A424,Spring!$A:$A,FALSE),MATCH(All!AC$1,Spring!$1:$1,FALSE))="","",INDEX(Spring!$1:$1048576,MATCH(All!$A424,Spring!$A:$A,FALSE),MATCH(All!AC$1,Spring!$1:$1,FALSE))),"")</f>
        <v>2A</v>
      </c>
      <c r="AD424" t="str">
        <f>IFERROR(VLOOKUP(A424,'Flag Football'!A:A,1,FALSE),"")</f>
        <v/>
      </c>
      <c r="AE424" t="str">
        <f t="shared" si="6"/>
        <v/>
      </c>
    </row>
    <row r="425" spans="1:31" ht="15.75" thickBot="1" x14ac:dyDescent="0.3">
      <c r="A425" s="18" t="s">
        <v>514</v>
      </c>
      <c r="B425" s="38">
        <f>IFERROR(VLOOKUP(A425,'Public v Private'!A:G,3,FALSE),"")</f>
        <v>0</v>
      </c>
      <c r="C425" s="38">
        <f>IFERROR(VLOOKUP(A425,'Public v Private'!A:G,4,FALSE),"")</f>
        <v>0</v>
      </c>
      <c r="D425" s="38">
        <f>IFERROR(VLOOKUP(A425,'Public v Private'!A:G,5,FALSE),"")</f>
        <v>0</v>
      </c>
      <c r="E425" s="38"/>
      <c r="F425" s="40">
        <f>IFERROR(INDEX(Fall!$1:$1048576,MATCH(All!$A425,Fall!$A:$A,FALSE),MATCH(All!F$1,Fall!$1:$1,FALSE)),"N/A")</f>
        <v>488</v>
      </c>
      <c r="G425" t="str">
        <f>IFERROR(IF(INDEX(Fall!$1:$1048576,MATCH(All!$A425,Fall!$A:$A,FALSE),MATCH(All!G$1,Fall!$1:$1,FALSE))="","",INDEX(Fall!$1:$1048576,MATCH(All!$A425,Fall!$A:$A,FALSE),MATCH(All!G$1,Fall!$1:$1,FALSE))),"")</f>
        <v>1A</v>
      </c>
      <c r="H425" t="str">
        <f>IFERROR(IF(INDEX(Fall!$1:$1048576,MATCH(All!$A425,Fall!$A:$A,FALSE),MATCH(All!H$1,Fall!$1:$1,FALSE))="","",INDEX(Fall!$1:$1048576,MATCH(All!$A425,Fall!$A:$A,FALSE),MATCH(All!H$1,Fall!$1:$1,FALSE))),"")</f>
        <v>1A</v>
      </c>
      <c r="I425" t="str">
        <f>IFERROR(IF(INDEX(Fall!$1:$1048576,MATCH(All!$A425,Fall!$A:$A,FALSE),MATCH(All!I$1,Fall!$1:$1,FALSE))="","",INDEX(Fall!$1:$1048576,MATCH(All!$A425,Fall!$A:$A,FALSE),MATCH(All!I$1,Fall!$1:$1,FALSE))),"")</f>
        <v>1A</v>
      </c>
      <c r="J425" t="str">
        <f>IFERROR(IF(INDEX(Fall!$1:$1048576,MATCH(All!$A425,Fall!$A:$A,FALSE),MATCH(All!J$1,Fall!$1:$1,FALSE))="","",INDEX(Fall!$1:$1048576,MATCH(All!$A425,Fall!$A:$A,FALSE),MATCH(All!J$1,Fall!$1:$1,FALSE))),"")</f>
        <v>1A</v>
      </c>
      <c r="K425" t="str">
        <f>IFERROR(IF(INDEX(Fall!$1:$1048576,MATCH(All!$A425,Fall!$A:$A,FALSE),MATCH(All!K$1,Fall!$1:$1,FALSE))="","",INDEX(Fall!$1:$1048576,MATCH(All!$A425,Fall!$A:$A,FALSE),MATCH(All!K$1,Fall!$1:$1,FALSE))),"")</f>
        <v>1A</v>
      </c>
      <c r="L425" t="str">
        <f>IFERROR(IF(INDEX(Fall!$1:$1048576,MATCH(All!$A425,Fall!$A:$A,FALSE),MATCH(All!L$1,Fall!$1:$1,FALSE))="","",INDEX(Fall!$1:$1048576,MATCH(All!$A425,Fall!$A:$A,FALSE),MATCH(All!L$1,Fall!$1:$1,FALSE))),"")</f>
        <v>1A</v>
      </c>
      <c r="M425" t="str">
        <f>IFERROR(IF(INDEX(Fall!$1:$1048576,MATCH(All!$A425,Fall!$A:$A,FALSE),MATCH(All!M$1,Fall!$1:$1,FALSE))="","",INDEX(Fall!$1:$1048576,MATCH(All!$A425,Fall!$A:$A,FALSE),MATCH(All!M$1,Fall!$1:$1,FALSE))),"")</f>
        <v>2A</v>
      </c>
      <c r="O425">
        <f>IFERROR(IF(INDEX(Winter!$1:$1048576,MATCH(All!$A425,Winter!$A:$A,FALSE),MATCH(All!O$1,Winter!$1:$1,FALSE))="","",INDEX(Winter!$1:$1048576,MATCH(All!$A425,Winter!$A:$A,FALSE),MATCH(All!O$1,Winter!$1:$1,FALSE))),"")</f>
        <v>488</v>
      </c>
      <c r="P425" t="str">
        <f>IFERROR(IF(INDEX(Winter!$1:$1048576,MATCH(All!$A425,Winter!$A:$A,FALSE),MATCH(All!P$1,Winter!$1:$1,FALSE))="","",INDEX(Winter!$1:$1048576,MATCH(All!$A425,Winter!$A:$A,FALSE),MATCH(All!P$1,Winter!$1:$1,FALSE))),"")</f>
        <v>2A</v>
      </c>
      <c r="Q425" t="str">
        <f>IFERROR(IF(INDEX(Winter!$1:$1048576,MATCH(All!$A425,Winter!$A:$A,FALSE),MATCH(All!Q$1,Winter!$1:$1,FALSE))="","",INDEX(Winter!$1:$1048576,MATCH(All!$A425,Winter!$A:$A,FALSE),MATCH(All!Q$1,Winter!$1:$1,FALSE))),"")</f>
        <v>2A</v>
      </c>
      <c r="R425" t="str">
        <f>IFERROR(IF(INDEX(Winter!$1:$1048576,MATCH(All!$A425,Winter!$A:$A,FALSE),MATCH(All!R$1,Winter!$1:$1,FALSE))="","",INDEX(Winter!$1:$1048576,MATCH(All!$A425,Winter!$A:$A,FALSE),MATCH(All!R$1,Winter!$1:$1,FALSE))),"")</f>
        <v>1A</v>
      </c>
      <c r="S425" t="str">
        <f>IFERROR(IF(INDEX(Winter!$1:$1048576,MATCH(All!$A425,Winter!$A:$A,FALSE),MATCH(All!S$1,Winter!$1:$1,FALSE))="","",INDEX(Winter!$1:$1048576,MATCH(All!$A425,Winter!$A:$A,FALSE),MATCH(All!S$1,Winter!$1:$1,FALSE))),"")</f>
        <v>1A</v>
      </c>
      <c r="T425" t="str">
        <f>IFERROR(IF(INDEX(Winter!$1:$1048576,MATCH(All!$A425,Winter!$A:$A,FALSE),MATCH(All!T$1,Winter!$1:$1,FALSE))="","",INDEX(Winter!$1:$1048576,MATCH(All!$A425,Winter!$A:$A,FALSE),MATCH(All!T$1,Winter!$1:$1,FALSE))),"")</f>
        <v>2A</v>
      </c>
      <c r="U425" t="str">
        <f>IFERROR(IF(INDEX(Winter!$1:$1048576,MATCH(All!$A425,Winter!$A:$A,FALSE),MATCH(All!U$1,Winter!$1:$1,FALSE))="","",INDEX(Winter!$1:$1048576,MATCH(All!$A425,Winter!$A:$A,FALSE),MATCH(All!U$1,Winter!$1:$1,FALSE))),"")</f>
        <v>1A</v>
      </c>
      <c r="W425">
        <f>IFERROR(IF(INDEX(Spring!$1:$1048576,MATCH(All!$A425,Spring!$A:$A,FALSE),MATCH(All!W$1,Spring!$1:$1,FALSE))="","",INDEX(Spring!$1:$1048576,MATCH(All!$A425,Spring!$A:$A,FALSE),MATCH(All!W$1,Spring!$1:$1,FALSE))),"")</f>
        <v>488</v>
      </c>
      <c r="X425" t="str">
        <f>IFERROR(IF(INDEX(Spring!$1:$1048576,MATCH(All!$A425,Spring!$A:$A,FALSE),MATCH(All!X$1,Spring!$1:$1,FALSE))="","",INDEX(Spring!$1:$1048576,MATCH(All!$A425,Spring!$A:$A,FALSE),MATCH(All!X$1,Spring!$1:$1,FALSE))),"")</f>
        <v>2A</v>
      </c>
      <c r="Y425" t="str">
        <f>IFERROR(IF(INDEX(Spring!$1:$1048576,MATCH(All!$A425,Spring!$A:$A,FALSE),MATCH(All!Y$1,Spring!$1:$1,FALSE))="","",INDEX(Spring!$1:$1048576,MATCH(All!$A425,Spring!$A:$A,FALSE),MATCH(All!Y$1,Spring!$1:$1,FALSE))),"")</f>
        <v>2A</v>
      </c>
      <c r="Z425" t="str">
        <f>IFERROR(IF(INDEX(Spring!$1:$1048576,MATCH(All!$A425,Spring!$A:$A,FALSE),MATCH(All!Z$1,Spring!$1:$1,FALSE))="","",INDEX(Spring!$1:$1048576,MATCH(All!$A425,Spring!$A:$A,FALSE),MATCH(All!Z$1,Spring!$1:$1,FALSE))),"")</f>
        <v>1A</v>
      </c>
      <c r="AA425" t="str">
        <f>IFERROR(IF(INDEX(Spring!$1:$1048576,MATCH(All!$A425,Spring!$A:$A,FALSE),MATCH(All!AA$1,Spring!$1:$1,FALSE))="","",INDEX(Spring!$1:$1048576,MATCH(All!$A425,Spring!$A:$A,FALSE),MATCH(All!AA$1,Spring!$1:$1,FALSE))),"")</f>
        <v>1A</v>
      </c>
      <c r="AB425" t="str">
        <f>IFERROR(IF(INDEX(Spring!$1:$1048576,MATCH(All!$A425,Spring!$A:$A,FALSE),MATCH(All!AB$1,Spring!$1:$1,FALSE))="","",INDEX(Spring!$1:$1048576,MATCH(All!$A425,Spring!$A:$A,FALSE),MATCH(All!AB$1,Spring!$1:$1,FALSE))),"")</f>
        <v>2A</v>
      </c>
      <c r="AC425" t="str">
        <f>IFERROR(IF(INDEX(Spring!$1:$1048576,MATCH(All!$A425,Spring!$A:$A,FALSE),MATCH(All!AC$1,Spring!$1:$1,FALSE))="","",INDEX(Spring!$1:$1048576,MATCH(All!$A425,Spring!$A:$A,FALSE),MATCH(All!AC$1,Spring!$1:$1,FALSE))),"")</f>
        <v>2A</v>
      </c>
      <c r="AD425" t="str">
        <f>IFERROR(VLOOKUP(A425,'Flag Football'!A:A,1,FALSE),"")</f>
        <v/>
      </c>
      <c r="AE425" t="str">
        <f t="shared" si="6"/>
        <v/>
      </c>
    </row>
    <row r="426" spans="1:31" ht="15.75" thickBot="1" x14ac:dyDescent="0.3">
      <c r="A426" s="20" t="s">
        <v>515</v>
      </c>
      <c r="B426" s="38">
        <f>IFERROR(VLOOKUP(A426,'Public v Private'!A:G,3,FALSE),"")</f>
        <v>0</v>
      </c>
      <c r="C426" s="38">
        <f>IFERROR(VLOOKUP(A426,'Public v Private'!A:G,4,FALSE),"")</f>
        <v>0</v>
      </c>
      <c r="D426" s="38">
        <f>IFERROR(VLOOKUP(A426,'Public v Private'!A:G,5,FALSE),"")</f>
        <v>0</v>
      </c>
      <c r="E426" s="38"/>
      <c r="F426" s="40">
        <f>IFERROR(INDEX(Fall!$1:$1048576,MATCH(All!$A426,Fall!$A:$A,FALSE),MATCH(All!F$1,Fall!$1:$1,FALSE)),"N/A")</f>
        <v>326</v>
      </c>
      <c r="G426" t="str">
        <f>IFERROR(IF(INDEX(Fall!$1:$1048576,MATCH(All!$A426,Fall!$A:$A,FALSE),MATCH(All!G$1,Fall!$1:$1,FALSE))="","",INDEX(Fall!$1:$1048576,MATCH(All!$A426,Fall!$A:$A,FALSE),MATCH(All!G$1,Fall!$1:$1,FALSE))),"")</f>
        <v/>
      </c>
      <c r="H426" t="str">
        <f>IFERROR(IF(INDEX(Fall!$1:$1048576,MATCH(All!$A426,Fall!$A:$A,FALSE),MATCH(All!H$1,Fall!$1:$1,FALSE))="","",INDEX(Fall!$1:$1048576,MATCH(All!$A426,Fall!$A:$A,FALSE),MATCH(All!H$1,Fall!$1:$1,FALSE))),"")</f>
        <v/>
      </c>
      <c r="I426" t="str">
        <f>IFERROR(IF(INDEX(Fall!$1:$1048576,MATCH(All!$A426,Fall!$A:$A,FALSE),MATCH(All!I$1,Fall!$1:$1,FALSE))="","",INDEX(Fall!$1:$1048576,MATCH(All!$A426,Fall!$A:$A,FALSE),MATCH(All!I$1,Fall!$1:$1,FALSE))),"")</f>
        <v>1A</v>
      </c>
      <c r="J426" t="str">
        <f>IFERROR(IF(INDEX(Fall!$1:$1048576,MATCH(All!$A426,Fall!$A:$A,FALSE),MATCH(All!J$1,Fall!$1:$1,FALSE))="","",INDEX(Fall!$1:$1048576,MATCH(All!$A426,Fall!$A:$A,FALSE),MATCH(All!J$1,Fall!$1:$1,FALSE))),"")</f>
        <v>1A</v>
      </c>
      <c r="K426" t="str">
        <f>IFERROR(IF(INDEX(Fall!$1:$1048576,MATCH(All!$A426,Fall!$A:$A,FALSE),MATCH(All!K$1,Fall!$1:$1,FALSE))="","",INDEX(Fall!$1:$1048576,MATCH(All!$A426,Fall!$A:$A,FALSE),MATCH(All!K$1,Fall!$1:$1,FALSE))),"")</f>
        <v/>
      </c>
      <c r="L426" t="str">
        <f>IFERROR(IF(INDEX(Fall!$1:$1048576,MATCH(All!$A426,Fall!$A:$A,FALSE),MATCH(All!L$1,Fall!$1:$1,FALSE))="","",INDEX(Fall!$1:$1048576,MATCH(All!$A426,Fall!$A:$A,FALSE),MATCH(All!L$1,Fall!$1:$1,FALSE))),"")</f>
        <v/>
      </c>
      <c r="M426" t="str">
        <f>IFERROR(IF(INDEX(Fall!$1:$1048576,MATCH(All!$A426,Fall!$A:$A,FALSE),MATCH(All!M$1,Fall!$1:$1,FALSE))="","",INDEX(Fall!$1:$1048576,MATCH(All!$A426,Fall!$A:$A,FALSE),MATCH(All!M$1,Fall!$1:$1,FALSE))),"")</f>
        <v>2A</v>
      </c>
      <c r="O426">
        <f>IFERROR(IF(INDEX(Winter!$1:$1048576,MATCH(All!$A426,Winter!$A:$A,FALSE),MATCH(All!O$1,Winter!$1:$1,FALSE))="","",INDEX(Winter!$1:$1048576,MATCH(All!$A426,Winter!$A:$A,FALSE),MATCH(All!O$1,Winter!$1:$1,FALSE))),"")</f>
        <v>326</v>
      </c>
      <c r="P426" t="str">
        <f>IFERROR(IF(INDEX(Winter!$1:$1048576,MATCH(All!$A426,Winter!$A:$A,FALSE),MATCH(All!P$1,Winter!$1:$1,FALSE))="","",INDEX(Winter!$1:$1048576,MATCH(All!$A426,Winter!$A:$A,FALSE),MATCH(All!P$1,Winter!$1:$1,FALSE))),"")</f>
        <v>2A</v>
      </c>
      <c r="Q426" t="str">
        <f>IFERROR(IF(INDEX(Winter!$1:$1048576,MATCH(All!$A426,Winter!$A:$A,FALSE),MATCH(All!Q$1,Winter!$1:$1,FALSE))="","",INDEX(Winter!$1:$1048576,MATCH(All!$A426,Winter!$A:$A,FALSE),MATCH(All!Q$1,Winter!$1:$1,FALSE))),"")</f>
        <v>2A</v>
      </c>
      <c r="R426" t="str">
        <f>IFERROR(IF(INDEX(Winter!$1:$1048576,MATCH(All!$A426,Winter!$A:$A,FALSE),MATCH(All!R$1,Winter!$1:$1,FALSE))="","",INDEX(Winter!$1:$1048576,MATCH(All!$A426,Winter!$A:$A,FALSE),MATCH(All!R$1,Winter!$1:$1,FALSE))),"")</f>
        <v/>
      </c>
      <c r="S426" t="str">
        <f>IFERROR(IF(INDEX(Winter!$1:$1048576,MATCH(All!$A426,Winter!$A:$A,FALSE),MATCH(All!S$1,Winter!$1:$1,FALSE))="","",INDEX(Winter!$1:$1048576,MATCH(All!$A426,Winter!$A:$A,FALSE),MATCH(All!S$1,Winter!$1:$1,FALSE))),"")</f>
        <v/>
      </c>
      <c r="T426" t="str">
        <f>IFERROR(IF(INDEX(Winter!$1:$1048576,MATCH(All!$A426,Winter!$A:$A,FALSE),MATCH(All!T$1,Winter!$1:$1,FALSE))="","",INDEX(Winter!$1:$1048576,MATCH(All!$A426,Winter!$A:$A,FALSE),MATCH(All!T$1,Winter!$1:$1,FALSE))),"")</f>
        <v>1A</v>
      </c>
      <c r="U426" t="str">
        <f>IFERROR(IF(INDEX(Winter!$1:$1048576,MATCH(All!$A426,Winter!$A:$A,FALSE),MATCH(All!U$1,Winter!$1:$1,FALSE))="","",INDEX(Winter!$1:$1048576,MATCH(All!$A426,Winter!$A:$A,FALSE),MATCH(All!U$1,Winter!$1:$1,FALSE))),"")</f>
        <v>1A</v>
      </c>
      <c r="W426">
        <f>IFERROR(IF(INDEX(Spring!$1:$1048576,MATCH(All!$A426,Spring!$A:$A,FALSE),MATCH(All!W$1,Spring!$1:$1,FALSE))="","",INDEX(Spring!$1:$1048576,MATCH(All!$A426,Spring!$A:$A,FALSE),MATCH(All!W$1,Spring!$1:$1,FALSE))),"")</f>
        <v>326</v>
      </c>
      <c r="X426" t="str">
        <f>IFERROR(IF(INDEX(Spring!$1:$1048576,MATCH(All!$A426,Spring!$A:$A,FALSE),MATCH(All!X$1,Spring!$1:$1,FALSE))="","",INDEX(Spring!$1:$1048576,MATCH(All!$A426,Spring!$A:$A,FALSE),MATCH(All!X$1,Spring!$1:$1,FALSE))),"")</f>
        <v>2A</v>
      </c>
      <c r="Y426" t="str">
        <f>IFERROR(IF(INDEX(Spring!$1:$1048576,MATCH(All!$A426,Spring!$A:$A,FALSE),MATCH(All!Y$1,Spring!$1:$1,FALSE))="","",INDEX(Spring!$1:$1048576,MATCH(All!$A426,Spring!$A:$A,FALSE),MATCH(All!Y$1,Spring!$1:$1,FALSE))),"")</f>
        <v>2A</v>
      </c>
      <c r="Z426" t="str">
        <f>IFERROR(IF(INDEX(Spring!$1:$1048576,MATCH(All!$A426,Spring!$A:$A,FALSE),MATCH(All!Z$1,Spring!$1:$1,FALSE))="","",INDEX(Spring!$1:$1048576,MATCH(All!$A426,Spring!$A:$A,FALSE),MATCH(All!Z$1,Spring!$1:$1,FALSE))),"")</f>
        <v/>
      </c>
      <c r="AA426" t="str">
        <f>IFERROR(IF(INDEX(Spring!$1:$1048576,MATCH(All!$A426,Spring!$A:$A,FALSE),MATCH(All!AA$1,Spring!$1:$1,FALSE))="","",INDEX(Spring!$1:$1048576,MATCH(All!$A426,Spring!$A:$A,FALSE),MATCH(All!AA$1,Spring!$1:$1,FALSE))),"")</f>
        <v/>
      </c>
      <c r="AB426" t="str">
        <f>IFERROR(IF(INDEX(Spring!$1:$1048576,MATCH(All!$A426,Spring!$A:$A,FALSE),MATCH(All!AB$1,Spring!$1:$1,FALSE))="","",INDEX(Spring!$1:$1048576,MATCH(All!$A426,Spring!$A:$A,FALSE),MATCH(All!AB$1,Spring!$1:$1,FALSE))),"")</f>
        <v>1A</v>
      </c>
      <c r="AC426" t="str">
        <f>IFERROR(IF(INDEX(Spring!$1:$1048576,MATCH(All!$A426,Spring!$A:$A,FALSE),MATCH(All!AC$1,Spring!$1:$1,FALSE))="","",INDEX(Spring!$1:$1048576,MATCH(All!$A426,Spring!$A:$A,FALSE),MATCH(All!AC$1,Spring!$1:$1,FALSE))),"")</f>
        <v>1A</v>
      </c>
      <c r="AD426" t="str">
        <f>IFERROR(VLOOKUP(A426,'Flag Football'!A:A,1,FALSE),"")</f>
        <v/>
      </c>
      <c r="AE426" t="str">
        <f t="shared" si="6"/>
        <v/>
      </c>
    </row>
    <row r="427" spans="1:31" ht="15.75" thickBot="1" x14ac:dyDescent="0.3">
      <c r="A427" s="18" t="s">
        <v>516</v>
      </c>
      <c r="B427" s="38" t="str">
        <f>IFERROR(VLOOKUP(A427,'Public v Private'!A:G,3,FALSE),"")</f>
        <v>private</v>
      </c>
      <c r="C427" s="38">
        <f>IFERROR(VLOOKUP(A427,'Public v Private'!A:G,4,FALSE),"")</f>
        <v>3</v>
      </c>
      <c r="D427" s="38">
        <f>IFERROR(VLOOKUP(A427,'Public v Private'!A:G,5,FALSE),"")</f>
        <v>9</v>
      </c>
      <c r="E427" s="38"/>
      <c r="F427" s="40" t="str">
        <f>IFERROR(INDEX(Fall!$1:$1048576,MATCH(All!$A427,Fall!$A:$A,FALSE),MATCH(All!F$1,Fall!$1:$1,FALSE)),"N/A")</f>
        <v>587.00 (968.55)</v>
      </c>
      <c r="G427" t="str">
        <f>IFERROR(IF(INDEX(Fall!$1:$1048576,MATCH(All!$A427,Fall!$A:$A,FALSE),MATCH(All!G$1,Fall!$1:$1,FALSE))="","",INDEX(Fall!$1:$1048576,MATCH(All!$A427,Fall!$A:$A,FALSE),MATCH(All!G$1,Fall!$1:$1,FALSE))),"")</f>
        <v>2A</v>
      </c>
      <c r="H427" t="str">
        <f>IFERROR(IF(INDEX(Fall!$1:$1048576,MATCH(All!$A427,Fall!$A:$A,FALSE),MATCH(All!H$1,Fall!$1:$1,FALSE))="","",INDEX(Fall!$1:$1048576,MATCH(All!$A427,Fall!$A:$A,FALSE),MATCH(All!H$1,Fall!$1:$1,FALSE))),"")</f>
        <v>2A</v>
      </c>
      <c r="I427" t="str">
        <f>IFERROR(IF(INDEX(Fall!$1:$1048576,MATCH(All!$A427,Fall!$A:$A,FALSE),MATCH(All!I$1,Fall!$1:$1,FALSE))="","",INDEX(Fall!$1:$1048576,MATCH(All!$A427,Fall!$A:$A,FALSE),MATCH(All!I$1,Fall!$1:$1,FALSE))),"")</f>
        <v>2A</v>
      </c>
      <c r="J427" t="str">
        <f>IFERROR(IF(INDEX(Fall!$1:$1048576,MATCH(All!$A427,Fall!$A:$A,FALSE),MATCH(All!J$1,Fall!$1:$1,FALSE))="","",INDEX(Fall!$1:$1048576,MATCH(All!$A427,Fall!$A:$A,FALSE),MATCH(All!J$1,Fall!$1:$1,FALSE))),"")</f>
        <v>1A</v>
      </c>
      <c r="K427" t="str">
        <f>IFERROR(IF(INDEX(Fall!$1:$1048576,MATCH(All!$A427,Fall!$A:$A,FALSE),MATCH(All!K$1,Fall!$1:$1,FALSE))="","",INDEX(Fall!$1:$1048576,MATCH(All!$A427,Fall!$A:$A,FALSE),MATCH(All!K$1,Fall!$1:$1,FALSE))),"")</f>
        <v>1A</v>
      </c>
      <c r="L427" t="str">
        <f>IFERROR(IF(INDEX(Fall!$1:$1048576,MATCH(All!$A427,Fall!$A:$A,FALSE),MATCH(All!L$1,Fall!$1:$1,FALSE))="","",INDEX(Fall!$1:$1048576,MATCH(All!$A427,Fall!$A:$A,FALSE),MATCH(All!L$1,Fall!$1:$1,FALSE))),"")</f>
        <v>1A</v>
      </c>
      <c r="M427" t="str">
        <f>IFERROR(IF(INDEX(Fall!$1:$1048576,MATCH(All!$A427,Fall!$A:$A,FALSE),MATCH(All!M$1,Fall!$1:$1,FALSE))="","",INDEX(Fall!$1:$1048576,MATCH(All!$A427,Fall!$A:$A,FALSE),MATCH(All!M$1,Fall!$1:$1,FALSE))),"")</f>
        <v>3A</v>
      </c>
      <c r="O427" t="str">
        <f>IFERROR(IF(INDEX(Winter!$1:$1048576,MATCH(All!$A427,Winter!$A:$A,FALSE),MATCH(All!O$1,Winter!$1:$1,FALSE))="","",INDEX(Winter!$1:$1048576,MATCH(All!$A427,Winter!$A:$A,FALSE),MATCH(All!O$1,Winter!$1:$1,FALSE))),"")</f>
        <v>587.00 (968.55)</v>
      </c>
      <c r="P427" t="str">
        <f>IFERROR(IF(INDEX(Winter!$1:$1048576,MATCH(All!$A427,Winter!$A:$A,FALSE),MATCH(All!P$1,Winter!$1:$1,FALSE))="","",INDEX(Winter!$1:$1048576,MATCH(All!$A427,Winter!$A:$A,FALSE),MATCH(All!P$1,Winter!$1:$1,FALSE))),"")</f>
        <v>3A</v>
      </c>
      <c r="Q427" t="str">
        <f>IFERROR(IF(INDEX(Winter!$1:$1048576,MATCH(All!$A427,Winter!$A:$A,FALSE),MATCH(All!Q$1,Winter!$1:$1,FALSE))="","",INDEX(Winter!$1:$1048576,MATCH(All!$A427,Winter!$A:$A,FALSE),MATCH(All!Q$1,Winter!$1:$1,FALSE))),"")</f>
        <v>2A</v>
      </c>
      <c r="R427" t="str">
        <f>IFERROR(IF(INDEX(Winter!$1:$1048576,MATCH(All!$A427,Winter!$A:$A,FALSE),MATCH(All!R$1,Winter!$1:$1,FALSE))="","",INDEX(Winter!$1:$1048576,MATCH(All!$A427,Winter!$A:$A,FALSE),MATCH(All!R$1,Winter!$1:$1,FALSE))),"")</f>
        <v>2A</v>
      </c>
      <c r="S427" t="str">
        <f>IFERROR(IF(INDEX(Winter!$1:$1048576,MATCH(All!$A427,Winter!$A:$A,FALSE),MATCH(All!S$1,Winter!$1:$1,FALSE))="","",INDEX(Winter!$1:$1048576,MATCH(All!$A427,Winter!$A:$A,FALSE),MATCH(All!S$1,Winter!$1:$1,FALSE))),"")</f>
        <v>1A</v>
      </c>
      <c r="T427" t="str">
        <f>IFERROR(IF(INDEX(Winter!$1:$1048576,MATCH(All!$A427,Winter!$A:$A,FALSE),MATCH(All!T$1,Winter!$1:$1,FALSE))="","",INDEX(Winter!$1:$1048576,MATCH(All!$A427,Winter!$A:$A,FALSE),MATCH(All!T$1,Winter!$1:$1,FALSE))),"")</f>
        <v>2A</v>
      </c>
      <c r="U427" t="str">
        <f>IFERROR(IF(INDEX(Winter!$1:$1048576,MATCH(All!$A427,Winter!$A:$A,FALSE),MATCH(All!U$1,Winter!$1:$1,FALSE))="","",INDEX(Winter!$1:$1048576,MATCH(All!$A427,Winter!$A:$A,FALSE),MATCH(All!U$1,Winter!$1:$1,FALSE))),"")</f>
        <v>3A</v>
      </c>
      <c r="W427" t="str">
        <f>IFERROR(IF(INDEX(Spring!$1:$1048576,MATCH(All!$A427,Spring!$A:$A,FALSE),MATCH(All!W$1,Spring!$1:$1,FALSE))="","",INDEX(Spring!$1:$1048576,MATCH(All!$A427,Spring!$A:$A,FALSE),MATCH(All!W$1,Spring!$1:$1,FALSE))),"")</f>
        <v>587.00 (968.55)</v>
      </c>
      <c r="X427" t="str">
        <f>IFERROR(IF(INDEX(Spring!$1:$1048576,MATCH(All!$A427,Spring!$A:$A,FALSE),MATCH(All!X$1,Spring!$1:$1,FALSE))="","",INDEX(Spring!$1:$1048576,MATCH(All!$A427,Spring!$A:$A,FALSE),MATCH(All!X$1,Spring!$1:$1,FALSE))),"")</f>
        <v>3A</v>
      </c>
      <c r="Y427" t="str">
        <f>IFERROR(IF(INDEX(Spring!$1:$1048576,MATCH(All!$A427,Spring!$A:$A,FALSE),MATCH(All!Y$1,Spring!$1:$1,FALSE))="","",INDEX(Spring!$1:$1048576,MATCH(All!$A427,Spring!$A:$A,FALSE),MATCH(All!Y$1,Spring!$1:$1,FALSE))),"")</f>
        <v>3A</v>
      </c>
      <c r="Z427" t="str">
        <f>IFERROR(IF(INDEX(Spring!$1:$1048576,MATCH(All!$A427,Spring!$A:$A,FALSE),MATCH(All!Z$1,Spring!$1:$1,FALSE))="","",INDEX(Spring!$1:$1048576,MATCH(All!$A427,Spring!$A:$A,FALSE),MATCH(All!Z$1,Spring!$1:$1,FALSE))),"")</f>
        <v>2A</v>
      </c>
      <c r="AA427" t="str">
        <f>IFERROR(IF(INDEX(Spring!$1:$1048576,MATCH(All!$A427,Spring!$A:$A,FALSE),MATCH(All!AA$1,Spring!$1:$1,FALSE))="","",INDEX(Spring!$1:$1048576,MATCH(All!$A427,Spring!$A:$A,FALSE),MATCH(All!AA$1,Spring!$1:$1,FALSE))),"")</f>
        <v>1A</v>
      </c>
      <c r="AB427" t="str">
        <f>IFERROR(IF(INDEX(Spring!$1:$1048576,MATCH(All!$A427,Spring!$A:$A,FALSE),MATCH(All!AB$1,Spring!$1:$1,FALSE))="","",INDEX(Spring!$1:$1048576,MATCH(All!$A427,Spring!$A:$A,FALSE),MATCH(All!AB$1,Spring!$1:$1,FALSE))),"")</f>
        <v>2A</v>
      </c>
      <c r="AC427" t="str">
        <f>IFERROR(IF(INDEX(Spring!$1:$1048576,MATCH(All!$A427,Spring!$A:$A,FALSE),MATCH(All!AC$1,Spring!$1:$1,FALSE))="","",INDEX(Spring!$1:$1048576,MATCH(All!$A427,Spring!$A:$A,FALSE),MATCH(All!AC$1,Spring!$1:$1,FALSE))),"")</f>
        <v>2A</v>
      </c>
      <c r="AD427" t="str">
        <f>IFERROR(VLOOKUP(A427,'Flag Football'!A:A,1,FALSE),"")</f>
        <v/>
      </c>
      <c r="AE427" t="str">
        <f t="shared" si="6"/>
        <v/>
      </c>
    </row>
    <row r="428" spans="1:31" ht="15.75" thickBot="1" x14ac:dyDescent="0.3">
      <c r="A428" s="20" t="s">
        <v>518</v>
      </c>
      <c r="B428" s="38">
        <f>IFERROR(VLOOKUP(A428,'Public v Private'!A:G,3,FALSE),"")</f>
        <v>0</v>
      </c>
      <c r="C428" s="38">
        <f>IFERROR(VLOOKUP(A428,'Public v Private'!A:G,4,FALSE),"")</f>
        <v>0</v>
      </c>
      <c r="D428" s="38">
        <f>IFERROR(VLOOKUP(A428,'Public v Private'!A:G,5,FALSE),"")</f>
        <v>0</v>
      </c>
      <c r="E428" s="38"/>
      <c r="F428" s="40">
        <f>IFERROR(INDEX(Fall!$1:$1048576,MATCH(All!$A428,Fall!$A:$A,FALSE),MATCH(All!F$1,Fall!$1:$1,FALSE)),"N/A")</f>
        <v>3259</v>
      </c>
      <c r="G428" t="str">
        <f>IFERROR(IF(INDEX(Fall!$1:$1048576,MATCH(All!$A428,Fall!$A:$A,FALSE),MATCH(All!G$1,Fall!$1:$1,FALSE))="","",INDEX(Fall!$1:$1048576,MATCH(All!$A428,Fall!$A:$A,FALSE),MATCH(All!G$1,Fall!$1:$1,FALSE))),"")</f>
        <v>3A</v>
      </c>
      <c r="H428" t="str">
        <f>IFERROR(IF(INDEX(Fall!$1:$1048576,MATCH(All!$A428,Fall!$A:$A,FALSE),MATCH(All!H$1,Fall!$1:$1,FALSE))="","",INDEX(Fall!$1:$1048576,MATCH(All!$A428,Fall!$A:$A,FALSE),MATCH(All!H$1,Fall!$1:$1,FALSE))),"")</f>
        <v>3A</v>
      </c>
      <c r="I428" t="str">
        <f>IFERROR(IF(INDEX(Fall!$1:$1048576,MATCH(All!$A428,Fall!$A:$A,FALSE),MATCH(All!I$1,Fall!$1:$1,FALSE))="","",INDEX(Fall!$1:$1048576,MATCH(All!$A428,Fall!$A:$A,FALSE),MATCH(All!I$1,Fall!$1:$1,FALSE))),"")</f>
        <v>3A</v>
      </c>
      <c r="J428" t="str">
        <f>IFERROR(IF(INDEX(Fall!$1:$1048576,MATCH(All!$A428,Fall!$A:$A,FALSE),MATCH(All!J$1,Fall!$1:$1,FALSE))="","",INDEX(Fall!$1:$1048576,MATCH(All!$A428,Fall!$A:$A,FALSE),MATCH(All!J$1,Fall!$1:$1,FALSE))),"")</f>
        <v>2A</v>
      </c>
      <c r="K428" t="str">
        <f>IFERROR(IF(INDEX(Fall!$1:$1048576,MATCH(All!$A428,Fall!$A:$A,FALSE),MATCH(All!K$1,Fall!$1:$1,FALSE))="","",INDEX(Fall!$1:$1048576,MATCH(All!$A428,Fall!$A:$A,FALSE),MATCH(All!K$1,Fall!$1:$1,FALSE))),"")</f>
        <v>3A</v>
      </c>
      <c r="L428" t="str">
        <f>IFERROR(IF(INDEX(Fall!$1:$1048576,MATCH(All!$A428,Fall!$A:$A,FALSE),MATCH(All!L$1,Fall!$1:$1,FALSE))="","",INDEX(Fall!$1:$1048576,MATCH(All!$A428,Fall!$A:$A,FALSE),MATCH(All!L$1,Fall!$1:$1,FALSE))),"")</f>
        <v/>
      </c>
      <c r="M428" t="str">
        <f>IFERROR(IF(INDEX(Fall!$1:$1048576,MATCH(All!$A428,Fall!$A:$A,FALSE),MATCH(All!M$1,Fall!$1:$1,FALSE))="","",INDEX(Fall!$1:$1048576,MATCH(All!$A428,Fall!$A:$A,FALSE),MATCH(All!M$1,Fall!$1:$1,FALSE))),"")</f>
        <v>4A</v>
      </c>
      <c r="O428">
        <f>IFERROR(IF(INDEX(Winter!$1:$1048576,MATCH(All!$A428,Winter!$A:$A,FALSE),MATCH(All!O$1,Winter!$1:$1,FALSE))="","",INDEX(Winter!$1:$1048576,MATCH(All!$A428,Winter!$A:$A,FALSE),MATCH(All!O$1,Winter!$1:$1,FALSE))),"")</f>
        <v>3259</v>
      </c>
      <c r="P428" t="str">
        <f>IFERROR(IF(INDEX(Winter!$1:$1048576,MATCH(All!$A428,Winter!$A:$A,FALSE),MATCH(All!P$1,Winter!$1:$1,FALSE))="","",INDEX(Winter!$1:$1048576,MATCH(All!$A428,Winter!$A:$A,FALSE),MATCH(All!P$1,Winter!$1:$1,FALSE))),"")</f>
        <v>4A</v>
      </c>
      <c r="Q428" t="str">
        <f>IFERROR(IF(INDEX(Winter!$1:$1048576,MATCH(All!$A428,Winter!$A:$A,FALSE),MATCH(All!Q$1,Winter!$1:$1,FALSE))="","",INDEX(Winter!$1:$1048576,MATCH(All!$A428,Winter!$A:$A,FALSE),MATCH(All!Q$1,Winter!$1:$1,FALSE))),"")</f>
        <v>4A</v>
      </c>
      <c r="R428" t="str">
        <f>IFERROR(IF(INDEX(Winter!$1:$1048576,MATCH(All!$A428,Winter!$A:$A,FALSE),MATCH(All!R$1,Winter!$1:$1,FALSE))="","",INDEX(Winter!$1:$1048576,MATCH(All!$A428,Winter!$A:$A,FALSE),MATCH(All!R$1,Winter!$1:$1,FALSE))),"")</f>
        <v>C</v>
      </c>
      <c r="S428" t="str">
        <f>IFERROR(IF(INDEX(Winter!$1:$1048576,MATCH(All!$A428,Winter!$A:$A,FALSE),MATCH(All!S$1,Winter!$1:$1,FALSE))="","",INDEX(Winter!$1:$1048576,MATCH(All!$A428,Winter!$A:$A,FALSE),MATCH(All!S$1,Winter!$1:$1,FALSE))),"")</f>
        <v>3A</v>
      </c>
      <c r="T428" t="str">
        <f>IFERROR(IF(INDEX(Winter!$1:$1048576,MATCH(All!$A428,Winter!$A:$A,FALSE),MATCH(All!T$1,Winter!$1:$1,FALSE))="","",INDEX(Winter!$1:$1048576,MATCH(All!$A428,Winter!$A:$A,FALSE),MATCH(All!T$1,Winter!$1:$1,FALSE))),"")</f>
        <v>2A</v>
      </c>
      <c r="U428" t="str">
        <f>IFERROR(IF(INDEX(Winter!$1:$1048576,MATCH(All!$A428,Winter!$A:$A,FALSE),MATCH(All!U$1,Winter!$1:$1,FALSE))="","",INDEX(Winter!$1:$1048576,MATCH(All!$A428,Winter!$A:$A,FALSE),MATCH(All!U$1,Winter!$1:$1,FALSE))),"")</f>
        <v>3A</v>
      </c>
      <c r="W428">
        <f>IFERROR(IF(INDEX(Spring!$1:$1048576,MATCH(All!$A428,Spring!$A:$A,FALSE),MATCH(All!W$1,Spring!$1:$1,FALSE))="","",INDEX(Spring!$1:$1048576,MATCH(All!$A428,Spring!$A:$A,FALSE),MATCH(All!W$1,Spring!$1:$1,FALSE))),"")</f>
        <v>3259</v>
      </c>
      <c r="X428" t="str">
        <f>IFERROR(IF(INDEX(Spring!$1:$1048576,MATCH(All!$A428,Spring!$A:$A,FALSE),MATCH(All!X$1,Spring!$1:$1,FALSE))="","",INDEX(Spring!$1:$1048576,MATCH(All!$A428,Spring!$A:$A,FALSE),MATCH(All!X$1,Spring!$1:$1,FALSE))),"")</f>
        <v>4A</v>
      </c>
      <c r="Y428" t="str">
        <f>IFERROR(IF(INDEX(Spring!$1:$1048576,MATCH(All!$A428,Spring!$A:$A,FALSE),MATCH(All!Y$1,Spring!$1:$1,FALSE))="","",INDEX(Spring!$1:$1048576,MATCH(All!$A428,Spring!$A:$A,FALSE),MATCH(All!Y$1,Spring!$1:$1,FALSE))),"")</f>
        <v>4A</v>
      </c>
      <c r="Z428" t="str">
        <f>IFERROR(IF(INDEX(Spring!$1:$1048576,MATCH(All!$A428,Spring!$A:$A,FALSE),MATCH(All!Z$1,Spring!$1:$1,FALSE))="","",INDEX(Spring!$1:$1048576,MATCH(All!$A428,Spring!$A:$A,FALSE),MATCH(All!Z$1,Spring!$1:$1,FALSE))),"")</f>
        <v>3A</v>
      </c>
      <c r="AA428" t="str">
        <f>IFERROR(IF(INDEX(Spring!$1:$1048576,MATCH(All!$A428,Spring!$A:$A,FALSE),MATCH(All!AA$1,Spring!$1:$1,FALSE))="","",INDEX(Spring!$1:$1048576,MATCH(All!$A428,Spring!$A:$A,FALSE),MATCH(All!AA$1,Spring!$1:$1,FALSE))),"")</f>
        <v/>
      </c>
      <c r="AB428" t="str">
        <f>IFERROR(IF(INDEX(Spring!$1:$1048576,MATCH(All!$A428,Spring!$A:$A,FALSE),MATCH(All!AB$1,Spring!$1:$1,FALSE))="","",INDEX(Spring!$1:$1048576,MATCH(All!$A428,Spring!$A:$A,FALSE),MATCH(All!AB$1,Spring!$1:$1,FALSE))),"")</f>
        <v>3A</v>
      </c>
      <c r="AC428" t="str">
        <f>IFERROR(IF(INDEX(Spring!$1:$1048576,MATCH(All!$A428,Spring!$A:$A,FALSE),MATCH(All!AC$1,Spring!$1:$1,FALSE))="","",INDEX(Spring!$1:$1048576,MATCH(All!$A428,Spring!$A:$A,FALSE),MATCH(All!AC$1,Spring!$1:$1,FALSE))),"")</f>
        <v>3A</v>
      </c>
      <c r="AD428" t="str">
        <f>IFERROR(VLOOKUP(A428,'Flag Football'!A:A,1,FALSE),"")</f>
        <v>Joliet (Central)</v>
      </c>
      <c r="AE428" t="str">
        <f t="shared" si="6"/>
        <v>1A</v>
      </c>
    </row>
    <row r="429" spans="1:31" ht="15.75" thickBot="1" x14ac:dyDescent="0.3">
      <c r="A429" s="18" t="s">
        <v>519</v>
      </c>
      <c r="B429" s="38">
        <f>IFERROR(VLOOKUP(A429,'Public v Private'!A:G,3,FALSE),"")</f>
        <v>0</v>
      </c>
      <c r="C429" s="38">
        <f>IFERROR(VLOOKUP(A429,'Public v Private'!A:G,4,FALSE),"")</f>
        <v>0</v>
      </c>
      <c r="D429" s="38">
        <f>IFERROR(VLOOKUP(A429,'Public v Private'!A:G,5,FALSE),"")</f>
        <v>0</v>
      </c>
      <c r="E429" s="38"/>
      <c r="F429" s="40">
        <f>IFERROR(INDEX(Fall!$1:$1048576,MATCH(All!$A429,Fall!$A:$A,FALSE),MATCH(All!F$1,Fall!$1:$1,FALSE)),"N/A")</f>
        <v>3293</v>
      </c>
      <c r="G429" t="str">
        <f>IFERROR(IF(INDEX(Fall!$1:$1048576,MATCH(All!$A429,Fall!$A:$A,FALSE),MATCH(All!G$1,Fall!$1:$1,FALSE))="","",INDEX(Fall!$1:$1048576,MATCH(All!$A429,Fall!$A:$A,FALSE),MATCH(All!G$1,Fall!$1:$1,FALSE))),"")</f>
        <v>3A</v>
      </c>
      <c r="H429" t="str">
        <f>IFERROR(IF(INDEX(Fall!$1:$1048576,MATCH(All!$A429,Fall!$A:$A,FALSE),MATCH(All!H$1,Fall!$1:$1,FALSE))="","",INDEX(Fall!$1:$1048576,MATCH(All!$A429,Fall!$A:$A,FALSE),MATCH(All!H$1,Fall!$1:$1,FALSE))),"")</f>
        <v>3A</v>
      </c>
      <c r="I429" t="str">
        <f>IFERROR(IF(INDEX(Fall!$1:$1048576,MATCH(All!$A429,Fall!$A:$A,FALSE),MATCH(All!I$1,Fall!$1:$1,FALSE))="","",INDEX(Fall!$1:$1048576,MATCH(All!$A429,Fall!$A:$A,FALSE),MATCH(All!I$1,Fall!$1:$1,FALSE))),"")</f>
        <v/>
      </c>
      <c r="J429" t="str">
        <f>IFERROR(IF(INDEX(Fall!$1:$1048576,MATCH(All!$A429,Fall!$A:$A,FALSE),MATCH(All!J$1,Fall!$1:$1,FALSE))="","",INDEX(Fall!$1:$1048576,MATCH(All!$A429,Fall!$A:$A,FALSE),MATCH(All!J$1,Fall!$1:$1,FALSE))),"")</f>
        <v/>
      </c>
      <c r="K429" t="str">
        <f>IFERROR(IF(INDEX(Fall!$1:$1048576,MATCH(All!$A429,Fall!$A:$A,FALSE),MATCH(All!K$1,Fall!$1:$1,FALSE))="","",INDEX(Fall!$1:$1048576,MATCH(All!$A429,Fall!$A:$A,FALSE),MATCH(All!K$1,Fall!$1:$1,FALSE))),"")</f>
        <v>3A</v>
      </c>
      <c r="L429" t="str">
        <f>IFERROR(IF(INDEX(Fall!$1:$1048576,MATCH(All!$A429,Fall!$A:$A,FALSE),MATCH(All!L$1,Fall!$1:$1,FALSE))="","",INDEX(Fall!$1:$1048576,MATCH(All!$A429,Fall!$A:$A,FALSE),MATCH(All!L$1,Fall!$1:$1,FALSE))),"")</f>
        <v>2A</v>
      </c>
      <c r="M429" t="str">
        <f>IFERROR(IF(INDEX(Fall!$1:$1048576,MATCH(All!$A429,Fall!$A:$A,FALSE),MATCH(All!M$1,Fall!$1:$1,FALSE))="","",INDEX(Fall!$1:$1048576,MATCH(All!$A429,Fall!$A:$A,FALSE),MATCH(All!M$1,Fall!$1:$1,FALSE))),"")</f>
        <v>4A</v>
      </c>
      <c r="O429">
        <f>IFERROR(IF(INDEX(Winter!$1:$1048576,MATCH(All!$A429,Winter!$A:$A,FALSE),MATCH(All!O$1,Winter!$1:$1,FALSE))="","",INDEX(Winter!$1:$1048576,MATCH(All!$A429,Winter!$A:$A,FALSE),MATCH(All!O$1,Winter!$1:$1,FALSE))),"")</f>
        <v>3293</v>
      </c>
      <c r="P429" t="str">
        <f>IFERROR(IF(INDEX(Winter!$1:$1048576,MATCH(All!$A429,Winter!$A:$A,FALSE),MATCH(All!P$1,Winter!$1:$1,FALSE))="","",INDEX(Winter!$1:$1048576,MATCH(All!$A429,Winter!$A:$A,FALSE),MATCH(All!P$1,Winter!$1:$1,FALSE))),"")</f>
        <v>4A</v>
      </c>
      <c r="Q429" t="str">
        <f>IFERROR(IF(INDEX(Winter!$1:$1048576,MATCH(All!$A429,Winter!$A:$A,FALSE),MATCH(All!Q$1,Winter!$1:$1,FALSE))="","",INDEX(Winter!$1:$1048576,MATCH(All!$A429,Winter!$A:$A,FALSE),MATCH(All!Q$1,Winter!$1:$1,FALSE))),"")</f>
        <v>4A</v>
      </c>
      <c r="R429" t="str">
        <f>IFERROR(IF(INDEX(Winter!$1:$1048576,MATCH(All!$A429,Winter!$A:$A,FALSE),MATCH(All!R$1,Winter!$1:$1,FALSE))="","",INDEX(Winter!$1:$1048576,MATCH(All!$A429,Winter!$A:$A,FALSE),MATCH(All!R$1,Winter!$1:$1,FALSE))),"")</f>
        <v>3A</v>
      </c>
      <c r="S429" t="str">
        <f>IFERROR(IF(INDEX(Winter!$1:$1048576,MATCH(All!$A429,Winter!$A:$A,FALSE),MATCH(All!S$1,Winter!$1:$1,FALSE))="","",INDEX(Winter!$1:$1048576,MATCH(All!$A429,Winter!$A:$A,FALSE),MATCH(All!S$1,Winter!$1:$1,FALSE))),"")</f>
        <v>3A</v>
      </c>
      <c r="T429" t="str">
        <f>IFERROR(IF(INDEX(Winter!$1:$1048576,MATCH(All!$A429,Winter!$A:$A,FALSE),MATCH(All!T$1,Winter!$1:$1,FALSE))="","",INDEX(Winter!$1:$1048576,MATCH(All!$A429,Winter!$A:$A,FALSE),MATCH(All!T$1,Winter!$1:$1,FALSE))),"")</f>
        <v>2A</v>
      </c>
      <c r="U429" t="str">
        <f>IFERROR(IF(INDEX(Winter!$1:$1048576,MATCH(All!$A429,Winter!$A:$A,FALSE),MATCH(All!U$1,Winter!$1:$1,FALSE))="","",INDEX(Winter!$1:$1048576,MATCH(All!$A429,Winter!$A:$A,FALSE),MATCH(All!U$1,Winter!$1:$1,FALSE))),"")</f>
        <v>3A</v>
      </c>
      <c r="W429">
        <f>IFERROR(IF(INDEX(Spring!$1:$1048576,MATCH(All!$A429,Spring!$A:$A,FALSE),MATCH(All!W$1,Spring!$1:$1,FALSE))="","",INDEX(Spring!$1:$1048576,MATCH(All!$A429,Spring!$A:$A,FALSE),MATCH(All!W$1,Spring!$1:$1,FALSE))),"")</f>
        <v>3293</v>
      </c>
      <c r="X429" t="str">
        <f>IFERROR(IF(INDEX(Spring!$1:$1048576,MATCH(All!$A429,Spring!$A:$A,FALSE),MATCH(All!X$1,Spring!$1:$1,FALSE))="","",INDEX(Spring!$1:$1048576,MATCH(All!$A429,Spring!$A:$A,FALSE),MATCH(All!X$1,Spring!$1:$1,FALSE))),"")</f>
        <v>4A</v>
      </c>
      <c r="Y429" t="str">
        <f>IFERROR(IF(INDEX(Spring!$1:$1048576,MATCH(All!$A429,Spring!$A:$A,FALSE),MATCH(All!Y$1,Spring!$1:$1,FALSE))="","",INDEX(Spring!$1:$1048576,MATCH(All!$A429,Spring!$A:$A,FALSE),MATCH(All!Y$1,Spring!$1:$1,FALSE))),"")</f>
        <v>4A</v>
      </c>
      <c r="Z429" t="str">
        <f>IFERROR(IF(INDEX(Spring!$1:$1048576,MATCH(All!$A429,Spring!$A:$A,FALSE),MATCH(All!Z$1,Spring!$1:$1,FALSE))="","",INDEX(Spring!$1:$1048576,MATCH(All!$A429,Spring!$A:$A,FALSE),MATCH(All!Z$1,Spring!$1:$1,FALSE))),"")</f>
        <v>3A</v>
      </c>
      <c r="AA429" t="str">
        <f>IFERROR(IF(INDEX(Spring!$1:$1048576,MATCH(All!$A429,Spring!$A:$A,FALSE),MATCH(All!AA$1,Spring!$1:$1,FALSE))="","",INDEX(Spring!$1:$1048576,MATCH(All!$A429,Spring!$A:$A,FALSE),MATCH(All!AA$1,Spring!$1:$1,FALSE))),"")</f>
        <v>2A</v>
      </c>
      <c r="AB429" t="str">
        <f>IFERROR(IF(INDEX(Spring!$1:$1048576,MATCH(All!$A429,Spring!$A:$A,FALSE),MATCH(All!AB$1,Spring!$1:$1,FALSE))="","",INDEX(Spring!$1:$1048576,MATCH(All!$A429,Spring!$A:$A,FALSE),MATCH(All!AB$1,Spring!$1:$1,FALSE))),"")</f>
        <v>3A</v>
      </c>
      <c r="AC429" t="str">
        <f>IFERROR(IF(INDEX(Spring!$1:$1048576,MATCH(All!$A429,Spring!$A:$A,FALSE),MATCH(All!AC$1,Spring!$1:$1,FALSE))="","",INDEX(Spring!$1:$1048576,MATCH(All!$A429,Spring!$A:$A,FALSE),MATCH(All!AC$1,Spring!$1:$1,FALSE))),"")</f>
        <v>3A</v>
      </c>
      <c r="AD429" t="str">
        <f>IFERROR(VLOOKUP(A429,'Flag Football'!A:A,1,FALSE),"")</f>
        <v>Joliet (West)</v>
      </c>
      <c r="AE429" t="str">
        <f t="shared" si="6"/>
        <v>1A</v>
      </c>
    </row>
    <row r="430" spans="1:31" ht="15.75" thickBot="1" x14ac:dyDescent="0.3">
      <c r="A430" s="20" t="s">
        <v>520</v>
      </c>
      <c r="B430" s="38">
        <f>IFERROR(VLOOKUP(A430,'Public v Private'!A:G,3,FALSE),"")</f>
        <v>0</v>
      </c>
      <c r="C430" s="38">
        <f>IFERROR(VLOOKUP(A430,'Public v Private'!A:G,4,FALSE),"")</f>
        <v>0</v>
      </c>
      <c r="D430" s="38">
        <f>IFERROR(VLOOKUP(A430,'Public v Private'!A:G,5,FALSE),"")</f>
        <v>0</v>
      </c>
      <c r="E430" s="38"/>
      <c r="F430" s="40">
        <f>IFERROR(INDEX(Fall!$1:$1048576,MATCH(All!$A430,Fall!$A:$A,FALSE),MATCH(All!F$1,Fall!$1:$1,FALSE)),"N/A")</f>
        <v>46</v>
      </c>
      <c r="G430" t="str">
        <f>IFERROR(IF(INDEX(Fall!$1:$1048576,MATCH(All!$A430,Fall!$A:$A,FALSE),MATCH(All!G$1,Fall!$1:$1,FALSE))="","",INDEX(Fall!$1:$1048576,MATCH(All!$A430,Fall!$A:$A,FALSE),MATCH(All!G$1,Fall!$1:$1,FALSE))),"")</f>
        <v/>
      </c>
      <c r="H430" t="str">
        <f>IFERROR(IF(INDEX(Fall!$1:$1048576,MATCH(All!$A430,Fall!$A:$A,FALSE),MATCH(All!H$1,Fall!$1:$1,FALSE))="","",INDEX(Fall!$1:$1048576,MATCH(All!$A430,Fall!$A:$A,FALSE),MATCH(All!H$1,Fall!$1:$1,FALSE))),"")</f>
        <v/>
      </c>
      <c r="I430" t="str">
        <f>IFERROR(IF(INDEX(Fall!$1:$1048576,MATCH(All!$A430,Fall!$A:$A,FALSE),MATCH(All!I$1,Fall!$1:$1,FALSE))="","",INDEX(Fall!$1:$1048576,MATCH(All!$A430,Fall!$A:$A,FALSE),MATCH(All!I$1,Fall!$1:$1,FALSE))),"")</f>
        <v/>
      </c>
      <c r="J430" t="str">
        <f>IFERROR(IF(INDEX(Fall!$1:$1048576,MATCH(All!$A430,Fall!$A:$A,FALSE),MATCH(All!J$1,Fall!$1:$1,FALSE))="","",INDEX(Fall!$1:$1048576,MATCH(All!$A430,Fall!$A:$A,FALSE),MATCH(All!J$1,Fall!$1:$1,FALSE))),"")</f>
        <v/>
      </c>
      <c r="K430" t="str">
        <f>IFERROR(IF(INDEX(Fall!$1:$1048576,MATCH(All!$A430,Fall!$A:$A,FALSE),MATCH(All!K$1,Fall!$1:$1,FALSE))="","",INDEX(Fall!$1:$1048576,MATCH(All!$A430,Fall!$A:$A,FALSE),MATCH(All!K$1,Fall!$1:$1,FALSE))),"")</f>
        <v/>
      </c>
      <c r="L430" t="str">
        <f>IFERROR(IF(INDEX(Fall!$1:$1048576,MATCH(All!$A430,Fall!$A:$A,FALSE),MATCH(All!L$1,Fall!$1:$1,FALSE))="","",INDEX(Fall!$1:$1048576,MATCH(All!$A430,Fall!$A:$A,FALSE),MATCH(All!L$1,Fall!$1:$1,FALSE))),"")</f>
        <v/>
      </c>
      <c r="M430" t="str">
        <f>IFERROR(IF(INDEX(Fall!$1:$1048576,MATCH(All!$A430,Fall!$A:$A,FALSE),MATCH(All!M$1,Fall!$1:$1,FALSE))="","",INDEX(Fall!$1:$1048576,MATCH(All!$A430,Fall!$A:$A,FALSE),MATCH(All!M$1,Fall!$1:$1,FALSE))),"")</f>
        <v>1A</v>
      </c>
      <c r="O430">
        <f>IFERROR(IF(INDEX(Winter!$1:$1048576,MATCH(All!$A430,Winter!$A:$A,FALSE),MATCH(All!O$1,Winter!$1:$1,FALSE))="","",INDEX(Winter!$1:$1048576,MATCH(All!$A430,Winter!$A:$A,FALSE),MATCH(All!O$1,Winter!$1:$1,FALSE))),"")</f>
        <v>46</v>
      </c>
      <c r="P430" t="str">
        <f>IFERROR(IF(INDEX(Winter!$1:$1048576,MATCH(All!$A430,Winter!$A:$A,FALSE),MATCH(All!P$1,Winter!$1:$1,FALSE))="","",INDEX(Winter!$1:$1048576,MATCH(All!$A430,Winter!$A:$A,FALSE),MATCH(All!P$1,Winter!$1:$1,FALSE))),"")</f>
        <v>1A</v>
      </c>
      <c r="Q430" t="str">
        <f>IFERROR(IF(INDEX(Winter!$1:$1048576,MATCH(All!$A430,Winter!$A:$A,FALSE),MATCH(All!Q$1,Winter!$1:$1,FALSE))="","",INDEX(Winter!$1:$1048576,MATCH(All!$A430,Winter!$A:$A,FALSE),MATCH(All!Q$1,Winter!$1:$1,FALSE))),"")</f>
        <v>1A</v>
      </c>
      <c r="R430" t="str">
        <f>IFERROR(IF(INDEX(Winter!$1:$1048576,MATCH(All!$A430,Winter!$A:$A,FALSE),MATCH(All!R$1,Winter!$1:$1,FALSE))="","",INDEX(Winter!$1:$1048576,MATCH(All!$A430,Winter!$A:$A,FALSE),MATCH(All!R$1,Winter!$1:$1,FALSE))),"")</f>
        <v/>
      </c>
      <c r="S430" t="str">
        <f>IFERROR(IF(INDEX(Winter!$1:$1048576,MATCH(All!$A430,Winter!$A:$A,FALSE),MATCH(All!S$1,Winter!$1:$1,FALSE))="","",INDEX(Winter!$1:$1048576,MATCH(All!$A430,Winter!$A:$A,FALSE),MATCH(All!S$1,Winter!$1:$1,FALSE))),"")</f>
        <v/>
      </c>
      <c r="T430" t="str">
        <f>IFERROR(IF(INDEX(Winter!$1:$1048576,MATCH(All!$A430,Winter!$A:$A,FALSE),MATCH(All!T$1,Winter!$1:$1,FALSE))="","",INDEX(Winter!$1:$1048576,MATCH(All!$A430,Winter!$A:$A,FALSE),MATCH(All!T$1,Winter!$1:$1,FALSE))),"")</f>
        <v>1A</v>
      </c>
      <c r="U430" t="str">
        <f>IFERROR(IF(INDEX(Winter!$1:$1048576,MATCH(All!$A430,Winter!$A:$A,FALSE),MATCH(All!U$1,Winter!$1:$1,FALSE))="","",INDEX(Winter!$1:$1048576,MATCH(All!$A430,Winter!$A:$A,FALSE),MATCH(All!U$1,Winter!$1:$1,FALSE))),"")</f>
        <v/>
      </c>
      <c r="W430">
        <f>IFERROR(IF(INDEX(Spring!$1:$1048576,MATCH(All!$A430,Spring!$A:$A,FALSE),MATCH(All!W$1,Spring!$1:$1,FALSE))="","",INDEX(Spring!$1:$1048576,MATCH(All!$A430,Spring!$A:$A,FALSE),MATCH(All!W$1,Spring!$1:$1,FALSE))),"")</f>
        <v>46</v>
      </c>
      <c r="X430" t="str">
        <f>IFERROR(IF(INDEX(Spring!$1:$1048576,MATCH(All!$A430,Spring!$A:$A,FALSE),MATCH(All!X$1,Spring!$1:$1,FALSE))="","",INDEX(Spring!$1:$1048576,MATCH(All!$A430,Spring!$A:$A,FALSE),MATCH(All!X$1,Spring!$1:$1,FALSE))),"")</f>
        <v/>
      </c>
      <c r="Y430" t="str">
        <f>IFERROR(IF(INDEX(Spring!$1:$1048576,MATCH(All!$A430,Spring!$A:$A,FALSE),MATCH(All!Y$1,Spring!$1:$1,FALSE))="","",INDEX(Spring!$1:$1048576,MATCH(All!$A430,Spring!$A:$A,FALSE),MATCH(All!Y$1,Spring!$1:$1,FALSE))),"")</f>
        <v>1A</v>
      </c>
      <c r="Z430" t="str">
        <f>IFERROR(IF(INDEX(Spring!$1:$1048576,MATCH(All!$A430,Spring!$A:$A,FALSE),MATCH(All!Z$1,Spring!$1:$1,FALSE))="","",INDEX(Spring!$1:$1048576,MATCH(All!$A430,Spring!$A:$A,FALSE),MATCH(All!Z$1,Spring!$1:$1,FALSE))),"")</f>
        <v/>
      </c>
      <c r="AA430" t="str">
        <f>IFERROR(IF(INDEX(Spring!$1:$1048576,MATCH(All!$A430,Spring!$A:$A,FALSE),MATCH(All!AA$1,Spring!$1:$1,FALSE))="","",INDEX(Spring!$1:$1048576,MATCH(All!$A430,Spring!$A:$A,FALSE),MATCH(All!AA$1,Spring!$1:$1,FALSE))),"")</f>
        <v/>
      </c>
      <c r="AB430" t="str">
        <f>IFERROR(IF(INDEX(Spring!$1:$1048576,MATCH(All!$A430,Spring!$A:$A,FALSE),MATCH(All!AB$1,Spring!$1:$1,FALSE))="","",INDEX(Spring!$1:$1048576,MATCH(All!$A430,Spring!$A:$A,FALSE),MATCH(All!AB$1,Spring!$1:$1,FALSE))),"")</f>
        <v/>
      </c>
      <c r="AC430" t="str">
        <f>IFERROR(IF(INDEX(Spring!$1:$1048576,MATCH(All!$A430,Spring!$A:$A,FALSE),MATCH(All!AC$1,Spring!$1:$1,FALSE))="","",INDEX(Spring!$1:$1048576,MATCH(All!$A430,Spring!$A:$A,FALSE),MATCH(All!AC$1,Spring!$1:$1,FALSE))),"")</f>
        <v/>
      </c>
      <c r="AD430" t="str">
        <f>IFERROR(VLOOKUP(A430,'Flag Football'!A:A,1,FALSE),"")</f>
        <v/>
      </c>
      <c r="AE430" t="str">
        <f t="shared" si="6"/>
        <v/>
      </c>
    </row>
    <row r="431" spans="1:31" ht="15.75" thickBot="1" x14ac:dyDescent="0.3">
      <c r="A431" s="18" t="s">
        <v>521</v>
      </c>
      <c r="B431" s="38">
        <f>IFERROR(VLOOKUP(A431,'Public v Private'!A:G,3,FALSE),"")</f>
        <v>0</v>
      </c>
      <c r="C431" s="38">
        <f>IFERROR(VLOOKUP(A431,'Public v Private'!A:G,4,FALSE),"")</f>
        <v>0</v>
      </c>
      <c r="D431" s="38">
        <f>IFERROR(VLOOKUP(A431,'Public v Private'!A:G,5,FALSE),"")</f>
        <v>0</v>
      </c>
      <c r="E431" s="38"/>
      <c r="F431" s="40">
        <f>IFERROR(INDEX(Fall!$1:$1048576,MATCH(All!$A431,Fall!$A:$A,FALSE),MATCH(All!F$1,Fall!$1:$1,FALSE)),"N/A")</f>
        <v>199</v>
      </c>
      <c r="G431" t="str">
        <f>IFERROR(IF(INDEX(Fall!$1:$1048576,MATCH(All!$A431,Fall!$A:$A,FALSE),MATCH(All!G$1,Fall!$1:$1,FALSE))="","",INDEX(Fall!$1:$1048576,MATCH(All!$A431,Fall!$A:$A,FALSE),MATCH(All!G$1,Fall!$1:$1,FALSE))),"")</f>
        <v/>
      </c>
      <c r="H431" t="str">
        <f>IFERROR(IF(INDEX(Fall!$1:$1048576,MATCH(All!$A431,Fall!$A:$A,FALSE),MATCH(All!H$1,Fall!$1:$1,FALSE))="","",INDEX(Fall!$1:$1048576,MATCH(All!$A431,Fall!$A:$A,FALSE),MATCH(All!H$1,Fall!$1:$1,FALSE))),"")</f>
        <v/>
      </c>
      <c r="I431" t="str">
        <f>IFERROR(IF(INDEX(Fall!$1:$1048576,MATCH(All!$A431,Fall!$A:$A,FALSE),MATCH(All!I$1,Fall!$1:$1,FALSE))="","",INDEX(Fall!$1:$1048576,MATCH(All!$A431,Fall!$A:$A,FALSE),MATCH(All!I$1,Fall!$1:$1,FALSE))),"")</f>
        <v>1A</v>
      </c>
      <c r="J431" t="str">
        <f>IFERROR(IF(INDEX(Fall!$1:$1048576,MATCH(All!$A431,Fall!$A:$A,FALSE),MATCH(All!J$1,Fall!$1:$1,FALSE))="","",INDEX(Fall!$1:$1048576,MATCH(All!$A431,Fall!$A:$A,FALSE),MATCH(All!J$1,Fall!$1:$1,FALSE))),"")</f>
        <v/>
      </c>
      <c r="K431" t="str">
        <f>IFERROR(IF(INDEX(Fall!$1:$1048576,MATCH(All!$A431,Fall!$A:$A,FALSE),MATCH(All!K$1,Fall!$1:$1,FALSE))="","",INDEX(Fall!$1:$1048576,MATCH(All!$A431,Fall!$A:$A,FALSE),MATCH(All!K$1,Fall!$1:$1,FALSE))),"")</f>
        <v/>
      </c>
      <c r="L431" t="str">
        <f>IFERROR(IF(INDEX(Fall!$1:$1048576,MATCH(All!$A431,Fall!$A:$A,FALSE),MATCH(All!L$1,Fall!$1:$1,FALSE))="","",INDEX(Fall!$1:$1048576,MATCH(All!$A431,Fall!$A:$A,FALSE),MATCH(All!L$1,Fall!$1:$1,FALSE))),"")</f>
        <v/>
      </c>
      <c r="M431" t="str">
        <f>IFERROR(IF(INDEX(Fall!$1:$1048576,MATCH(All!$A431,Fall!$A:$A,FALSE),MATCH(All!M$1,Fall!$1:$1,FALSE))="","",INDEX(Fall!$1:$1048576,MATCH(All!$A431,Fall!$A:$A,FALSE),MATCH(All!M$1,Fall!$1:$1,FALSE))),"")</f>
        <v>1A</v>
      </c>
      <c r="O431">
        <f>IFERROR(IF(INDEX(Winter!$1:$1048576,MATCH(All!$A431,Winter!$A:$A,FALSE),MATCH(All!O$1,Winter!$1:$1,FALSE))="","",INDEX(Winter!$1:$1048576,MATCH(All!$A431,Winter!$A:$A,FALSE),MATCH(All!O$1,Winter!$1:$1,FALSE))),"")</f>
        <v>199</v>
      </c>
      <c r="P431" t="str">
        <f>IFERROR(IF(INDEX(Winter!$1:$1048576,MATCH(All!$A431,Winter!$A:$A,FALSE),MATCH(All!P$1,Winter!$1:$1,FALSE))="","",INDEX(Winter!$1:$1048576,MATCH(All!$A431,Winter!$A:$A,FALSE),MATCH(All!P$1,Winter!$1:$1,FALSE))),"")</f>
        <v>1A</v>
      </c>
      <c r="Q431" t="str">
        <f>IFERROR(IF(INDEX(Winter!$1:$1048576,MATCH(All!$A431,Winter!$A:$A,FALSE),MATCH(All!Q$1,Winter!$1:$1,FALSE))="","",INDEX(Winter!$1:$1048576,MATCH(All!$A431,Winter!$A:$A,FALSE),MATCH(All!Q$1,Winter!$1:$1,FALSE))),"")</f>
        <v>1A</v>
      </c>
      <c r="R431" t="str">
        <f>IFERROR(IF(INDEX(Winter!$1:$1048576,MATCH(All!$A431,Winter!$A:$A,FALSE),MATCH(All!R$1,Winter!$1:$1,FALSE))="","",INDEX(Winter!$1:$1048576,MATCH(All!$A431,Winter!$A:$A,FALSE),MATCH(All!R$1,Winter!$1:$1,FALSE))),"")</f>
        <v/>
      </c>
      <c r="S431" t="str">
        <f>IFERROR(IF(INDEX(Winter!$1:$1048576,MATCH(All!$A431,Winter!$A:$A,FALSE),MATCH(All!S$1,Winter!$1:$1,FALSE))="","",INDEX(Winter!$1:$1048576,MATCH(All!$A431,Winter!$A:$A,FALSE),MATCH(All!S$1,Winter!$1:$1,FALSE))),"")</f>
        <v/>
      </c>
      <c r="T431" t="str">
        <f>IFERROR(IF(INDEX(Winter!$1:$1048576,MATCH(All!$A431,Winter!$A:$A,FALSE),MATCH(All!T$1,Winter!$1:$1,FALSE))="","",INDEX(Winter!$1:$1048576,MATCH(All!$A431,Winter!$A:$A,FALSE),MATCH(All!T$1,Winter!$1:$1,FALSE))),"")</f>
        <v>1A</v>
      </c>
      <c r="U431" t="str">
        <f>IFERROR(IF(INDEX(Winter!$1:$1048576,MATCH(All!$A431,Winter!$A:$A,FALSE),MATCH(All!U$1,Winter!$1:$1,FALSE))="","",INDEX(Winter!$1:$1048576,MATCH(All!$A431,Winter!$A:$A,FALSE),MATCH(All!U$1,Winter!$1:$1,FALSE))),"")</f>
        <v/>
      </c>
      <c r="W431">
        <f>IFERROR(IF(INDEX(Spring!$1:$1048576,MATCH(All!$A431,Spring!$A:$A,FALSE),MATCH(All!W$1,Spring!$1:$1,FALSE))="","",INDEX(Spring!$1:$1048576,MATCH(All!$A431,Spring!$A:$A,FALSE),MATCH(All!W$1,Spring!$1:$1,FALSE))),"")</f>
        <v>199</v>
      </c>
      <c r="X431" t="str">
        <f>IFERROR(IF(INDEX(Spring!$1:$1048576,MATCH(All!$A431,Spring!$A:$A,FALSE),MATCH(All!X$1,Spring!$1:$1,FALSE))="","",INDEX(Spring!$1:$1048576,MATCH(All!$A431,Spring!$A:$A,FALSE),MATCH(All!X$1,Spring!$1:$1,FALSE))),"")</f>
        <v>1A</v>
      </c>
      <c r="Y431" t="str">
        <f>IFERROR(IF(INDEX(Spring!$1:$1048576,MATCH(All!$A431,Spring!$A:$A,FALSE),MATCH(All!Y$1,Spring!$1:$1,FALSE))="","",INDEX(Spring!$1:$1048576,MATCH(All!$A431,Spring!$A:$A,FALSE),MATCH(All!Y$1,Spring!$1:$1,FALSE))),"")</f>
        <v>1A</v>
      </c>
      <c r="Z431" t="str">
        <f>IFERROR(IF(INDEX(Spring!$1:$1048576,MATCH(All!$A431,Spring!$A:$A,FALSE),MATCH(All!Z$1,Spring!$1:$1,FALSE))="","",INDEX(Spring!$1:$1048576,MATCH(All!$A431,Spring!$A:$A,FALSE),MATCH(All!Z$1,Spring!$1:$1,FALSE))),"")</f>
        <v/>
      </c>
      <c r="AA431" t="str">
        <f>IFERROR(IF(INDEX(Spring!$1:$1048576,MATCH(All!$A431,Spring!$A:$A,FALSE),MATCH(All!AA$1,Spring!$1:$1,FALSE))="","",INDEX(Spring!$1:$1048576,MATCH(All!$A431,Spring!$A:$A,FALSE),MATCH(All!AA$1,Spring!$1:$1,FALSE))),"")</f>
        <v/>
      </c>
      <c r="AB431" t="str">
        <f>IFERROR(IF(INDEX(Spring!$1:$1048576,MATCH(All!$A431,Spring!$A:$A,FALSE),MATCH(All!AB$1,Spring!$1:$1,FALSE))="","",INDEX(Spring!$1:$1048576,MATCH(All!$A431,Spring!$A:$A,FALSE),MATCH(All!AB$1,Spring!$1:$1,FALSE))),"")</f>
        <v/>
      </c>
      <c r="AC431" t="str">
        <f>IFERROR(IF(INDEX(Spring!$1:$1048576,MATCH(All!$A431,Spring!$A:$A,FALSE),MATCH(All!AC$1,Spring!$1:$1,FALSE))="","",INDEX(Spring!$1:$1048576,MATCH(All!$A431,Spring!$A:$A,FALSE),MATCH(All!AC$1,Spring!$1:$1,FALSE))),"")</f>
        <v/>
      </c>
      <c r="AD431" t="str">
        <f>IFERROR(VLOOKUP(A431,'Flag Football'!A:A,1,FALSE),"")</f>
        <v/>
      </c>
      <c r="AE431" t="str">
        <f t="shared" si="6"/>
        <v/>
      </c>
    </row>
    <row r="432" spans="1:31" ht="15.75" thickBot="1" x14ac:dyDescent="0.3">
      <c r="A432" s="20" t="s">
        <v>949</v>
      </c>
      <c r="B432" s="38" t="str">
        <f>IFERROR(VLOOKUP(A432,'Public v Private'!A:G,3,FALSE),"")</f>
        <v>private</v>
      </c>
      <c r="C432" s="38">
        <f>IFERROR(VLOOKUP(A432,'Public v Private'!A:G,4,FALSE),"")</f>
        <v>3</v>
      </c>
      <c r="D432" s="38">
        <f>IFERROR(VLOOKUP(A432,'Public v Private'!A:G,5,FALSE),"")</f>
        <v>9</v>
      </c>
      <c r="E432" s="38"/>
      <c r="F432" s="40" t="str">
        <f>IFERROR(INDEX(Fall!$1:$1048576,MATCH(All!$A432,Fall!$A:$A,FALSE),MATCH(All!F$1,Fall!$1:$1,FALSE)),"N/A")</f>
        <v>71.00 (71.00)</v>
      </c>
      <c r="G432" t="str">
        <f>IFERROR(IF(INDEX(Fall!$1:$1048576,MATCH(All!$A432,Fall!$A:$A,FALSE),MATCH(All!G$1,Fall!$1:$1,FALSE))="","",INDEX(Fall!$1:$1048576,MATCH(All!$A432,Fall!$A:$A,FALSE),MATCH(All!G$1,Fall!$1:$1,FALSE))),"")</f>
        <v/>
      </c>
      <c r="H432" t="str">
        <f>IFERROR(IF(INDEX(Fall!$1:$1048576,MATCH(All!$A432,Fall!$A:$A,FALSE),MATCH(All!H$1,Fall!$1:$1,FALSE))="","",INDEX(Fall!$1:$1048576,MATCH(All!$A432,Fall!$A:$A,FALSE),MATCH(All!H$1,Fall!$1:$1,FALSE))),"")</f>
        <v/>
      </c>
      <c r="I432" t="str">
        <f>IFERROR(IF(INDEX(Fall!$1:$1048576,MATCH(All!$A432,Fall!$A:$A,FALSE),MATCH(All!I$1,Fall!$1:$1,FALSE))="","",INDEX(Fall!$1:$1048576,MATCH(All!$A432,Fall!$A:$A,FALSE),MATCH(All!I$1,Fall!$1:$1,FALSE))),"")</f>
        <v/>
      </c>
      <c r="J432" t="str">
        <f>IFERROR(IF(INDEX(Fall!$1:$1048576,MATCH(All!$A432,Fall!$A:$A,FALSE),MATCH(All!J$1,Fall!$1:$1,FALSE))="","",INDEX(Fall!$1:$1048576,MATCH(All!$A432,Fall!$A:$A,FALSE),MATCH(All!J$1,Fall!$1:$1,FALSE))),"")</f>
        <v/>
      </c>
      <c r="K432" t="str">
        <f>IFERROR(IF(INDEX(Fall!$1:$1048576,MATCH(All!$A432,Fall!$A:$A,FALSE),MATCH(All!K$1,Fall!$1:$1,FALSE))="","",INDEX(Fall!$1:$1048576,MATCH(All!$A432,Fall!$A:$A,FALSE),MATCH(All!K$1,Fall!$1:$1,FALSE))),"")</f>
        <v/>
      </c>
      <c r="L432" t="str">
        <f>IFERROR(IF(INDEX(Fall!$1:$1048576,MATCH(All!$A432,Fall!$A:$A,FALSE),MATCH(All!L$1,Fall!$1:$1,FALSE))="","",INDEX(Fall!$1:$1048576,MATCH(All!$A432,Fall!$A:$A,FALSE),MATCH(All!L$1,Fall!$1:$1,FALSE))),"")</f>
        <v/>
      </c>
      <c r="M432" t="str">
        <f>IFERROR(IF(INDEX(Fall!$1:$1048576,MATCH(All!$A432,Fall!$A:$A,FALSE),MATCH(All!M$1,Fall!$1:$1,FALSE))="","",INDEX(Fall!$1:$1048576,MATCH(All!$A432,Fall!$A:$A,FALSE),MATCH(All!M$1,Fall!$1:$1,FALSE))),"")</f>
        <v>1A</v>
      </c>
      <c r="O432" t="str">
        <f>IFERROR(IF(INDEX(Winter!$1:$1048576,MATCH(All!$A432,Winter!$A:$A,FALSE),MATCH(All!O$1,Winter!$1:$1,FALSE))="","",INDEX(Winter!$1:$1048576,MATCH(All!$A432,Winter!$A:$A,FALSE),MATCH(All!O$1,Winter!$1:$1,FALSE))),"")</f>
        <v>71.00 (71.00)</v>
      </c>
      <c r="P432" t="str">
        <f>IFERROR(IF(INDEX(Winter!$1:$1048576,MATCH(All!$A432,Winter!$A:$A,FALSE),MATCH(All!P$1,Winter!$1:$1,FALSE))="","",INDEX(Winter!$1:$1048576,MATCH(All!$A432,Winter!$A:$A,FALSE),MATCH(All!P$1,Winter!$1:$1,FALSE))),"")</f>
        <v>1A</v>
      </c>
      <c r="Q432" t="str">
        <f>IFERROR(IF(INDEX(Winter!$1:$1048576,MATCH(All!$A432,Winter!$A:$A,FALSE),MATCH(All!Q$1,Winter!$1:$1,FALSE))="","",INDEX(Winter!$1:$1048576,MATCH(All!$A432,Winter!$A:$A,FALSE),MATCH(All!Q$1,Winter!$1:$1,FALSE))),"")</f>
        <v>1A</v>
      </c>
      <c r="R432" t="str">
        <f>IFERROR(IF(INDEX(Winter!$1:$1048576,MATCH(All!$A432,Winter!$A:$A,FALSE),MATCH(All!R$1,Winter!$1:$1,FALSE))="","",INDEX(Winter!$1:$1048576,MATCH(All!$A432,Winter!$A:$A,FALSE),MATCH(All!R$1,Winter!$1:$1,FALSE))),"")</f>
        <v/>
      </c>
      <c r="S432" t="str">
        <f>IFERROR(IF(INDEX(Winter!$1:$1048576,MATCH(All!$A432,Winter!$A:$A,FALSE),MATCH(All!S$1,Winter!$1:$1,FALSE))="","",INDEX(Winter!$1:$1048576,MATCH(All!$A432,Winter!$A:$A,FALSE),MATCH(All!S$1,Winter!$1:$1,FALSE))),"")</f>
        <v/>
      </c>
      <c r="T432" t="str">
        <f>IFERROR(IF(INDEX(Winter!$1:$1048576,MATCH(All!$A432,Winter!$A:$A,FALSE),MATCH(All!T$1,Winter!$1:$1,FALSE))="","",INDEX(Winter!$1:$1048576,MATCH(All!$A432,Winter!$A:$A,FALSE),MATCH(All!T$1,Winter!$1:$1,FALSE))),"")</f>
        <v/>
      </c>
      <c r="U432" t="str">
        <f>IFERROR(IF(INDEX(Winter!$1:$1048576,MATCH(All!$A432,Winter!$A:$A,FALSE),MATCH(All!U$1,Winter!$1:$1,FALSE))="","",INDEX(Winter!$1:$1048576,MATCH(All!$A432,Winter!$A:$A,FALSE),MATCH(All!U$1,Winter!$1:$1,FALSE))),"")</f>
        <v/>
      </c>
      <c r="W432" t="str">
        <f>IFERROR(IF(INDEX(Spring!$1:$1048576,MATCH(All!$A432,Spring!$A:$A,FALSE),MATCH(All!W$1,Spring!$1:$1,FALSE))="","",INDEX(Spring!$1:$1048576,MATCH(All!$A432,Spring!$A:$A,FALSE),MATCH(All!W$1,Spring!$1:$1,FALSE))),"")</f>
        <v/>
      </c>
      <c r="X432" t="str">
        <f>IFERROR(IF(INDEX(Spring!$1:$1048576,MATCH(All!$A432,Spring!$A:$A,FALSE),MATCH(All!X$1,Spring!$1:$1,FALSE))="","",INDEX(Spring!$1:$1048576,MATCH(All!$A432,Spring!$A:$A,FALSE),MATCH(All!X$1,Spring!$1:$1,FALSE))),"")</f>
        <v/>
      </c>
      <c r="Y432" t="str">
        <f>IFERROR(IF(INDEX(Spring!$1:$1048576,MATCH(All!$A432,Spring!$A:$A,FALSE),MATCH(All!Y$1,Spring!$1:$1,FALSE))="","",INDEX(Spring!$1:$1048576,MATCH(All!$A432,Spring!$A:$A,FALSE),MATCH(All!Y$1,Spring!$1:$1,FALSE))),"")</f>
        <v/>
      </c>
      <c r="Z432" t="str">
        <f>IFERROR(IF(INDEX(Spring!$1:$1048576,MATCH(All!$A432,Spring!$A:$A,FALSE),MATCH(All!Z$1,Spring!$1:$1,FALSE))="","",INDEX(Spring!$1:$1048576,MATCH(All!$A432,Spring!$A:$A,FALSE),MATCH(All!Z$1,Spring!$1:$1,FALSE))),"")</f>
        <v/>
      </c>
      <c r="AA432" t="str">
        <f>IFERROR(IF(INDEX(Spring!$1:$1048576,MATCH(All!$A432,Spring!$A:$A,FALSE),MATCH(All!AA$1,Spring!$1:$1,FALSE))="","",INDEX(Spring!$1:$1048576,MATCH(All!$A432,Spring!$A:$A,FALSE),MATCH(All!AA$1,Spring!$1:$1,FALSE))),"")</f>
        <v/>
      </c>
      <c r="AB432" t="str">
        <f>IFERROR(IF(INDEX(Spring!$1:$1048576,MATCH(All!$A432,Spring!$A:$A,FALSE),MATCH(All!AB$1,Spring!$1:$1,FALSE))="","",INDEX(Spring!$1:$1048576,MATCH(All!$A432,Spring!$A:$A,FALSE),MATCH(All!AB$1,Spring!$1:$1,FALSE))),"")</f>
        <v/>
      </c>
      <c r="AC432" t="str">
        <f>IFERROR(IF(INDEX(Spring!$1:$1048576,MATCH(All!$A432,Spring!$A:$A,FALSE),MATCH(All!AC$1,Spring!$1:$1,FALSE))="","",INDEX(Spring!$1:$1048576,MATCH(All!$A432,Spring!$A:$A,FALSE),MATCH(All!AC$1,Spring!$1:$1,FALSE))),"")</f>
        <v/>
      </c>
      <c r="AD432" t="str">
        <f>IFERROR(VLOOKUP(A432,'Flag Football'!A:A,1,FALSE),"")</f>
        <v/>
      </c>
      <c r="AE432" t="str">
        <f t="shared" si="6"/>
        <v/>
      </c>
    </row>
    <row r="433" spans="1:31" ht="15.75" thickBot="1" x14ac:dyDescent="0.3">
      <c r="A433" s="18" t="s">
        <v>522</v>
      </c>
      <c r="B433" s="38" t="str">
        <f>IFERROR(VLOOKUP(A433,'Public v Private'!A:G,3,FALSE),"")</f>
        <v>private</v>
      </c>
      <c r="C433" s="38">
        <f>IFERROR(VLOOKUP(A433,'Public v Private'!A:G,4,FALSE),"")</f>
        <v>3</v>
      </c>
      <c r="D433" s="38">
        <f>IFERROR(VLOOKUP(A433,'Public v Private'!A:G,5,FALSE),"")</f>
        <v>9</v>
      </c>
      <c r="E433" s="38"/>
      <c r="F433" s="40" t="str">
        <f>IFERROR(INDEX(Fall!$1:$1048576,MATCH(All!$A433,Fall!$A:$A,FALSE),MATCH(All!F$1,Fall!$1:$1,FALSE)),"N/A")</f>
        <v>336.00 (554.40)</v>
      </c>
      <c r="G433" t="str">
        <f>IFERROR(IF(INDEX(Fall!$1:$1048576,MATCH(All!$A433,Fall!$A:$A,FALSE),MATCH(All!G$1,Fall!$1:$1,FALSE))="","",INDEX(Fall!$1:$1048576,MATCH(All!$A433,Fall!$A:$A,FALSE),MATCH(All!G$1,Fall!$1:$1,FALSE))),"")</f>
        <v>1A</v>
      </c>
      <c r="H433" t="str">
        <f>IFERROR(IF(INDEX(Fall!$1:$1048576,MATCH(All!$A433,Fall!$A:$A,FALSE),MATCH(All!H$1,Fall!$1:$1,FALSE))="","",INDEX(Fall!$1:$1048576,MATCH(All!$A433,Fall!$A:$A,FALSE),MATCH(All!H$1,Fall!$1:$1,FALSE))),"")</f>
        <v>1A</v>
      </c>
      <c r="I433" t="str">
        <f>IFERROR(IF(INDEX(Fall!$1:$1048576,MATCH(All!$A433,Fall!$A:$A,FALSE),MATCH(All!I$1,Fall!$1:$1,FALSE))="","",INDEX(Fall!$1:$1048576,MATCH(All!$A433,Fall!$A:$A,FALSE),MATCH(All!I$1,Fall!$1:$1,FALSE))),"")</f>
        <v>1A</v>
      </c>
      <c r="J433" t="str">
        <f>IFERROR(IF(INDEX(Fall!$1:$1048576,MATCH(All!$A433,Fall!$A:$A,FALSE),MATCH(All!J$1,Fall!$1:$1,FALSE))="","",INDEX(Fall!$1:$1048576,MATCH(All!$A433,Fall!$A:$A,FALSE),MATCH(All!J$1,Fall!$1:$1,FALSE))),"")</f>
        <v>1A</v>
      </c>
      <c r="K433" t="str">
        <f>IFERROR(IF(INDEX(Fall!$1:$1048576,MATCH(All!$A433,Fall!$A:$A,FALSE),MATCH(All!K$1,Fall!$1:$1,FALSE))="","",INDEX(Fall!$1:$1048576,MATCH(All!$A433,Fall!$A:$A,FALSE),MATCH(All!K$1,Fall!$1:$1,FALSE))),"")</f>
        <v>1A</v>
      </c>
      <c r="L433" t="str">
        <f>IFERROR(IF(INDEX(Fall!$1:$1048576,MATCH(All!$A433,Fall!$A:$A,FALSE),MATCH(All!L$1,Fall!$1:$1,FALSE))="","",INDEX(Fall!$1:$1048576,MATCH(All!$A433,Fall!$A:$A,FALSE),MATCH(All!L$1,Fall!$1:$1,FALSE))),"")</f>
        <v>1A</v>
      </c>
      <c r="M433" t="str">
        <f>IFERROR(IF(INDEX(Fall!$1:$1048576,MATCH(All!$A433,Fall!$A:$A,FALSE),MATCH(All!M$1,Fall!$1:$1,FALSE))="","",INDEX(Fall!$1:$1048576,MATCH(All!$A433,Fall!$A:$A,FALSE),MATCH(All!M$1,Fall!$1:$1,FALSE))),"")</f>
        <v>2A</v>
      </c>
      <c r="O433" t="str">
        <f>IFERROR(IF(INDEX(Winter!$1:$1048576,MATCH(All!$A433,Winter!$A:$A,FALSE),MATCH(All!O$1,Winter!$1:$1,FALSE))="","",INDEX(Winter!$1:$1048576,MATCH(All!$A433,Winter!$A:$A,FALSE),MATCH(All!O$1,Winter!$1:$1,FALSE))),"")</f>
        <v>336.00 (554.40)</v>
      </c>
      <c r="P433" t="str">
        <f>IFERROR(IF(INDEX(Winter!$1:$1048576,MATCH(All!$A433,Winter!$A:$A,FALSE),MATCH(All!P$1,Winter!$1:$1,FALSE))="","",INDEX(Winter!$1:$1048576,MATCH(All!$A433,Winter!$A:$A,FALSE),MATCH(All!P$1,Winter!$1:$1,FALSE))),"")</f>
        <v>2A</v>
      </c>
      <c r="Q433" t="str">
        <f>IFERROR(IF(INDEX(Winter!$1:$1048576,MATCH(All!$A433,Winter!$A:$A,FALSE),MATCH(All!Q$1,Winter!$1:$1,FALSE))="","",INDEX(Winter!$1:$1048576,MATCH(All!$A433,Winter!$A:$A,FALSE),MATCH(All!Q$1,Winter!$1:$1,FALSE))),"")</f>
        <v>2A</v>
      </c>
      <c r="R433" t="str">
        <f>IFERROR(IF(INDEX(Winter!$1:$1048576,MATCH(All!$A433,Winter!$A:$A,FALSE),MATCH(All!R$1,Winter!$1:$1,FALSE))="","",INDEX(Winter!$1:$1048576,MATCH(All!$A433,Winter!$A:$A,FALSE),MATCH(All!R$1,Winter!$1:$1,FALSE))),"")</f>
        <v>1A</v>
      </c>
      <c r="S433" t="str">
        <f>IFERROR(IF(INDEX(Winter!$1:$1048576,MATCH(All!$A433,Winter!$A:$A,FALSE),MATCH(All!S$1,Winter!$1:$1,FALSE))="","",INDEX(Winter!$1:$1048576,MATCH(All!$A433,Winter!$A:$A,FALSE),MATCH(All!S$1,Winter!$1:$1,FALSE))),"")</f>
        <v>1A</v>
      </c>
      <c r="T433" t="str">
        <f>IFERROR(IF(INDEX(Winter!$1:$1048576,MATCH(All!$A433,Winter!$A:$A,FALSE),MATCH(All!T$1,Winter!$1:$1,FALSE))="","",INDEX(Winter!$1:$1048576,MATCH(All!$A433,Winter!$A:$A,FALSE),MATCH(All!T$1,Winter!$1:$1,FALSE))),"")</f>
        <v/>
      </c>
      <c r="U433" t="str">
        <f>IFERROR(IF(INDEX(Winter!$1:$1048576,MATCH(All!$A433,Winter!$A:$A,FALSE),MATCH(All!U$1,Winter!$1:$1,FALSE))="","",INDEX(Winter!$1:$1048576,MATCH(All!$A433,Winter!$A:$A,FALSE),MATCH(All!U$1,Winter!$1:$1,FALSE))),"")</f>
        <v>1A</v>
      </c>
      <c r="W433" t="str">
        <f>IFERROR(IF(INDEX(Spring!$1:$1048576,MATCH(All!$A433,Spring!$A:$A,FALSE),MATCH(All!W$1,Spring!$1:$1,FALSE))="","",INDEX(Spring!$1:$1048576,MATCH(All!$A433,Spring!$A:$A,FALSE),MATCH(All!W$1,Spring!$1:$1,FALSE))),"")</f>
        <v>336.00 (554.40)</v>
      </c>
      <c r="X433" t="str">
        <f>IFERROR(IF(INDEX(Spring!$1:$1048576,MATCH(All!$A433,Spring!$A:$A,FALSE),MATCH(All!X$1,Spring!$1:$1,FALSE))="","",INDEX(Spring!$1:$1048576,MATCH(All!$A433,Spring!$A:$A,FALSE),MATCH(All!X$1,Spring!$1:$1,FALSE))),"")</f>
        <v>2A</v>
      </c>
      <c r="Y433" t="str">
        <f>IFERROR(IF(INDEX(Spring!$1:$1048576,MATCH(All!$A433,Spring!$A:$A,FALSE),MATCH(All!Y$1,Spring!$1:$1,FALSE))="","",INDEX(Spring!$1:$1048576,MATCH(All!$A433,Spring!$A:$A,FALSE),MATCH(All!Y$1,Spring!$1:$1,FALSE))),"")</f>
        <v>2A</v>
      </c>
      <c r="Z433" t="str">
        <f>IFERROR(IF(INDEX(Spring!$1:$1048576,MATCH(All!$A433,Spring!$A:$A,FALSE),MATCH(All!Z$1,Spring!$1:$1,FALSE))="","",INDEX(Spring!$1:$1048576,MATCH(All!$A433,Spring!$A:$A,FALSE),MATCH(All!Z$1,Spring!$1:$1,FALSE))),"")</f>
        <v>1A</v>
      </c>
      <c r="AA433" t="str">
        <f>IFERROR(IF(INDEX(Spring!$1:$1048576,MATCH(All!$A433,Spring!$A:$A,FALSE),MATCH(All!AA$1,Spring!$1:$1,FALSE))="","",INDEX(Spring!$1:$1048576,MATCH(All!$A433,Spring!$A:$A,FALSE),MATCH(All!AA$1,Spring!$1:$1,FALSE))),"")</f>
        <v/>
      </c>
      <c r="AB433" t="str">
        <f>IFERROR(IF(INDEX(Spring!$1:$1048576,MATCH(All!$A433,Spring!$A:$A,FALSE),MATCH(All!AB$1,Spring!$1:$1,FALSE))="","",INDEX(Spring!$1:$1048576,MATCH(All!$A433,Spring!$A:$A,FALSE),MATCH(All!AB$1,Spring!$1:$1,FALSE))),"")</f>
        <v>1A</v>
      </c>
      <c r="AC433" t="str">
        <f>IFERROR(IF(INDEX(Spring!$1:$1048576,MATCH(All!$A433,Spring!$A:$A,FALSE),MATCH(All!AC$1,Spring!$1:$1,FALSE))="","",INDEX(Spring!$1:$1048576,MATCH(All!$A433,Spring!$A:$A,FALSE),MATCH(All!AC$1,Spring!$1:$1,FALSE))),"")</f>
        <v>1A</v>
      </c>
      <c r="AD433" t="str">
        <f>IFERROR(VLOOKUP(A433,'Flag Football'!A:A,1,FALSE),"")</f>
        <v/>
      </c>
      <c r="AE433" t="str">
        <f t="shared" si="6"/>
        <v/>
      </c>
    </row>
    <row r="434" spans="1:31" ht="15.75" thickBot="1" x14ac:dyDescent="0.3">
      <c r="A434" s="20" t="s">
        <v>524</v>
      </c>
      <c r="B434" s="38">
        <f>IFERROR(VLOOKUP(A434,'Public v Private'!A:G,3,FALSE),"")</f>
        <v>0</v>
      </c>
      <c r="C434" s="38">
        <f>IFERROR(VLOOKUP(A434,'Public v Private'!A:G,4,FALSE),"")</f>
        <v>0</v>
      </c>
      <c r="D434" s="38">
        <f>IFERROR(VLOOKUP(A434,'Public v Private'!A:G,5,FALSE),"")</f>
        <v>0</v>
      </c>
      <c r="E434" s="38"/>
      <c r="F434" s="40">
        <f>IFERROR(INDEX(Fall!$1:$1048576,MATCH(All!$A434,Fall!$A:$A,FALSE),MATCH(All!F$1,Fall!$1:$1,FALSE)),"N/A")</f>
        <v>1297</v>
      </c>
      <c r="G434" t="str">
        <f>IFERROR(IF(INDEX(Fall!$1:$1048576,MATCH(All!$A434,Fall!$A:$A,FALSE),MATCH(All!G$1,Fall!$1:$1,FALSE))="","",INDEX(Fall!$1:$1048576,MATCH(All!$A434,Fall!$A:$A,FALSE),MATCH(All!G$1,Fall!$1:$1,FALSE))),"")</f>
        <v>2A</v>
      </c>
      <c r="H434" t="str">
        <f>IFERROR(IF(INDEX(Fall!$1:$1048576,MATCH(All!$A434,Fall!$A:$A,FALSE),MATCH(All!H$1,Fall!$1:$1,FALSE))="","",INDEX(Fall!$1:$1048576,MATCH(All!$A434,Fall!$A:$A,FALSE),MATCH(All!H$1,Fall!$1:$1,FALSE))),"")</f>
        <v>2A</v>
      </c>
      <c r="I434" t="str">
        <f>IFERROR(IF(INDEX(Fall!$1:$1048576,MATCH(All!$A434,Fall!$A:$A,FALSE),MATCH(All!I$1,Fall!$1:$1,FALSE))="","",INDEX(Fall!$1:$1048576,MATCH(All!$A434,Fall!$A:$A,FALSE),MATCH(All!I$1,Fall!$1:$1,FALSE))),"")</f>
        <v>2A</v>
      </c>
      <c r="J434" t="str">
        <f>IFERROR(IF(INDEX(Fall!$1:$1048576,MATCH(All!$A434,Fall!$A:$A,FALSE),MATCH(All!J$1,Fall!$1:$1,FALSE))="","",INDEX(Fall!$1:$1048576,MATCH(All!$A434,Fall!$A:$A,FALSE),MATCH(All!J$1,Fall!$1:$1,FALSE))),"")</f>
        <v/>
      </c>
      <c r="K434" t="str">
        <f>IFERROR(IF(INDEX(Fall!$1:$1048576,MATCH(All!$A434,Fall!$A:$A,FALSE),MATCH(All!K$1,Fall!$1:$1,FALSE))="","",INDEX(Fall!$1:$1048576,MATCH(All!$A434,Fall!$A:$A,FALSE),MATCH(All!K$1,Fall!$1:$1,FALSE))),"")</f>
        <v>2A</v>
      </c>
      <c r="L434" t="str">
        <f>IFERROR(IF(INDEX(Fall!$1:$1048576,MATCH(All!$A434,Fall!$A:$A,FALSE),MATCH(All!L$1,Fall!$1:$1,FALSE))="","",INDEX(Fall!$1:$1048576,MATCH(All!$A434,Fall!$A:$A,FALSE),MATCH(All!L$1,Fall!$1:$1,FALSE))),"")</f>
        <v>2A</v>
      </c>
      <c r="M434" t="str">
        <f>IFERROR(IF(INDEX(Fall!$1:$1048576,MATCH(All!$A434,Fall!$A:$A,FALSE),MATCH(All!M$1,Fall!$1:$1,FALSE))="","",INDEX(Fall!$1:$1048576,MATCH(All!$A434,Fall!$A:$A,FALSE),MATCH(All!M$1,Fall!$1:$1,FALSE))),"")</f>
        <v>3A</v>
      </c>
      <c r="O434">
        <f>IFERROR(IF(INDEX(Winter!$1:$1048576,MATCH(All!$A434,Winter!$A:$A,FALSE),MATCH(All!O$1,Winter!$1:$1,FALSE))="","",INDEX(Winter!$1:$1048576,MATCH(All!$A434,Winter!$A:$A,FALSE),MATCH(All!O$1,Winter!$1:$1,FALSE))),"")</f>
        <v>1297</v>
      </c>
      <c r="P434" t="str">
        <f>IFERROR(IF(INDEX(Winter!$1:$1048576,MATCH(All!$A434,Winter!$A:$A,FALSE),MATCH(All!P$1,Winter!$1:$1,FALSE))="","",INDEX(Winter!$1:$1048576,MATCH(All!$A434,Winter!$A:$A,FALSE),MATCH(All!P$1,Winter!$1:$1,FALSE))),"")</f>
        <v>3A</v>
      </c>
      <c r="Q434" t="str">
        <f>IFERROR(IF(INDEX(Winter!$1:$1048576,MATCH(All!$A434,Winter!$A:$A,FALSE),MATCH(All!Q$1,Winter!$1:$1,FALSE))="","",INDEX(Winter!$1:$1048576,MATCH(All!$A434,Winter!$A:$A,FALSE),MATCH(All!Q$1,Winter!$1:$1,FALSE))),"")</f>
        <v>3A</v>
      </c>
      <c r="R434" t="str">
        <f>IFERROR(IF(INDEX(Winter!$1:$1048576,MATCH(All!$A434,Winter!$A:$A,FALSE),MATCH(All!R$1,Winter!$1:$1,FALSE))="","",INDEX(Winter!$1:$1048576,MATCH(All!$A434,Winter!$A:$A,FALSE),MATCH(All!R$1,Winter!$1:$1,FALSE))),"")</f>
        <v>2A</v>
      </c>
      <c r="S434" t="str">
        <f>IFERROR(IF(INDEX(Winter!$1:$1048576,MATCH(All!$A434,Winter!$A:$A,FALSE),MATCH(All!S$1,Winter!$1:$1,FALSE))="","",INDEX(Winter!$1:$1048576,MATCH(All!$A434,Winter!$A:$A,FALSE),MATCH(All!S$1,Winter!$1:$1,FALSE))),"")</f>
        <v>2A</v>
      </c>
      <c r="T434" t="str">
        <f>IFERROR(IF(INDEX(Winter!$1:$1048576,MATCH(All!$A434,Winter!$A:$A,FALSE),MATCH(All!T$1,Winter!$1:$1,FALSE))="","",INDEX(Winter!$1:$1048576,MATCH(All!$A434,Winter!$A:$A,FALSE),MATCH(All!T$1,Winter!$1:$1,FALSE))),"")</f>
        <v>2A</v>
      </c>
      <c r="U434" t="str">
        <f>IFERROR(IF(INDEX(Winter!$1:$1048576,MATCH(All!$A434,Winter!$A:$A,FALSE),MATCH(All!U$1,Winter!$1:$1,FALSE))="","",INDEX(Winter!$1:$1048576,MATCH(All!$A434,Winter!$A:$A,FALSE),MATCH(All!U$1,Winter!$1:$1,FALSE))),"")</f>
        <v>2A</v>
      </c>
      <c r="W434">
        <f>IFERROR(IF(INDEX(Spring!$1:$1048576,MATCH(All!$A434,Spring!$A:$A,FALSE),MATCH(All!W$1,Spring!$1:$1,FALSE))="","",INDEX(Spring!$1:$1048576,MATCH(All!$A434,Spring!$A:$A,FALSE),MATCH(All!W$1,Spring!$1:$1,FALSE))),"")</f>
        <v>1297</v>
      </c>
      <c r="X434" t="str">
        <f>IFERROR(IF(INDEX(Spring!$1:$1048576,MATCH(All!$A434,Spring!$A:$A,FALSE),MATCH(All!X$1,Spring!$1:$1,FALSE))="","",INDEX(Spring!$1:$1048576,MATCH(All!$A434,Spring!$A:$A,FALSE),MATCH(All!X$1,Spring!$1:$1,FALSE))),"")</f>
        <v>3A</v>
      </c>
      <c r="Y434" t="str">
        <f>IFERROR(IF(INDEX(Spring!$1:$1048576,MATCH(All!$A434,Spring!$A:$A,FALSE),MATCH(All!Y$1,Spring!$1:$1,FALSE))="","",INDEX(Spring!$1:$1048576,MATCH(All!$A434,Spring!$A:$A,FALSE),MATCH(All!Y$1,Spring!$1:$1,FALSE))),"")</f>
        <v>3A</v>
      </c>
      <c r="Z434" t="str">
        <f>IFERROR(IF(INDEX(Spring!$1:$1048576,MATCH(All!$A434,Spring!$A:$A,FALSE),MATCH(All!Z$1,Spring!$1:$1,FALSE))="","",INDEX(Spring!$1:$1048576,MATCH(All!$A434,Spring!$A:$A,FALSE),MATCH(All!Z$1,Spring!$1:$1,FALSE))),"")</f>
        <v>2A</v>
      </c>
      <c r="AA434" t="str">
        <f>IFERROR(IF(INDEX(Spring!$1:$1048576,MATCH(All!$A434,Spring!$A:$A,FALSE),MATCH(All!AA$1,Spring!$1:$1,FALSE))="","",INDEX(Spring!$1:$1048576,MATCH(All!$A434,Spring!$A:$A,FALSE),MATCH(All!AA$1,Spring!$1:$1,FALSE))),"")</f>
        <v>2A</v>
      </c>
      <c r="AB434" t="str">
        <f>IFERROR(IF(INDEX(Spring!$1:$1048576,MATCH(All!$A434,Spring!$A:$A,FALSE),MATCH(All!AB$1,Spring!$1:$1,FALSE))="","",INDEX(Spring!$1:$1048576,MATCH(All!$A434,Spring!$A:$A,FALSE),MATCH(All!AB$1,Spring!$1:$1,FALSE))),"")</f>
        <v>3A</v>
      </c>
      <c r="AC434" t="str">
        <f>IFERROR(IF(INDEX(Spring!$1:$1048576,MATCH(All!$A434,Spring!$A:$A,FALSE),MATCH(All!AC$1,Spring!$1:$1,FALSE))="","",INDEX(Spring!$1:$1048576,MATCH(All!$A434,Spring!$A:$A,FALSE),MATCH(All!AC$1,Spring!$1:$1,FALSE))),"")</f>
        <v>3A</v>
      </c>
      <c r="AD434" t="str">
        <f>IFERROR(VLOOKUP(A434,'Flag Football'!A:A,1,FALSE),"")</f>
        <v>Kankakee (Sr.)</v>
      </c>
      <c r="AE434" t="str">
        <f t="shared" si="6"/>
        <v>1A</v>
      </c>
    </row>
    <row r="435" spans="1:31" ht="15.75" thickBot="1" x14ac:dyDescent="0.3">
      <c r="A435" s="18" t="s">
        <v>525</v>
      </c>
      <c r="B435" s="38">
        <f>IFERROR(VLOOKUP(A435,'Public v Private'!A:G,3,FALSE),"")</f>
        <v>0</v>
      </c>
      <c r="C435" s="38">
        <f>IFERROR(VLOOKUP(A435,'Public v Private'!A:G,4,FALSE),"")</f>
        <v>0</v>
      </c>
      <c r="D435" s="38">
        <f>IFERROR(VLOOKUP(A435,'Public v Private'!A:G,5,FALSE),"")</f>
        <v>0</v>
      </c>
      <c r="E435" s="38"/>
      <c r="F435" s="40">
        <f>IFERROR(INDEX(Fall!$1:$1048576,MATCH(All!$A435,Fall!$A:$A,FALSE),MATCH(All!F$1,Fall!$1:$1,FALSE)),"N/A")</f>
        <v>51</v>
      </c>
      <c r="G435" t="str">
        <f>IFERROR(IF(INDEX(Fall!$1:$1048576,MATCH(All!$A435,Fall!$A:$A,FALSE),MATCH(All!G$1,Fall!$1:$1,FALSE))="","",INDEX(Fall!$1:$1048576,MATCH(All!$A435,Fall!$A:$A,FALSE),MATCH(All!G$1,Fall!$1:$1,FALSE))),"")</f>
        <v/>
      </c>
      <c r="H435" t="str">
        <f>IFERROR(IF(INDEX(Fall!$1:$1048576,MATCH(All!$A435,Fall!$A:$A,FALSE),MATCH(All!H$1,Fall!$1:$1,FALSE))="","",INDEX(Fall!$1:$1048576,MATCH(All!$A435,Fall!$A:$A,FALSE),MATCH(All!H$1,Fall!$1:$1,FALSE))),"")</f>
        <v/>
      </c>
      <c r="I435" t="str">
        <f>IFERROR(IF(INDEX(Fall!$1:$1048576,MATCH(All!$A435,Fall!$A:$A,FALSE),MATCH(All!I$1,Fall!$1:$1,FALSE))="","",INDEX(Fall!$1:$1048576,MATCH(All!$A435,Fall!$A:$A,FALSE),MATCH(All!I$1,Fall!$1:$1,FALSE))),"")</f>
        <v/>
      </c>
      <c r="J435" t="str">
        <f>IFERROR(IF(INDEX(Fall!$1:$1048576,MATCH(All!$A435,Fall!$A:$A,FALSE),MATCH(All!J$1,Fall!$1:$1,FALSE))="","",INDEX(Fall!$1:$1048576,MATCH(All!$A435,Fall!$A:$A,FALSE),MATCH(All!J$1,Fall!$1:$1,FALSE))),"")</f>
        <v/>
      </c>
      <c r="K435" t="str">
        <f>IFERROR(IF(INDEX(Fall!$1:$1048576,MATCH(All!$A435,Fall!$A:$A,FALSE),MATCH(All!K$1,Fall!$1:$1,FALSE))="","",INDEX(Fall!$1:$1048576,MATCH(All!$A435,Fall!$A:$A,FALSE),MATCH(All!K$1,Fall!$1:$1,FALSE))),"")</f>
        <v/>
      </c>
      <c r="L435" t="str">
        <f>IFERROR(IF(INDEX(Fall!$1:$1048576,MATCH(All!$A435,Fall!$A:$A,FALSE),MATCH(All!L$1,Fall!$1:$1,FALSE))="","",INDEX(Fall!$1:$1048576,MATCH(All!$A435,Fall!$A:$A,FALSE),MATCH(All!L$1,Fall!$1:$1,FALSE))),"")</f>
        <v/>
      </c>
      <c r="M435" t="str">
        <f>IFERROR(IF(INDEX(Fall!$1:$1048576,MATCH(All!$A435,Fall!$A:$A,FALSE),MATCH(All!M$1,Fall!$1:$1,FALSE))="","",INDEX(Fall!$1:$1048576,MATCH(All!$A435,Fall!$A:$A,FALSE),MATCH(All!M$1,Fall!$1:$1,FALSE))),"")</f>
        <v>1A</v>
      </c>
      <c r="O435">
        <f>IFERROR(IF(INDEX(Winter!$1:$1048576,MATCH(All!$A435,Winter!$A:$A,FALSE),MATCH(All!O$1,Winter!$1:$1,FALSE))="","",INDEX(Winter!$1:$1048576,MATCH(All!$A435,Winter!$A:$A,FALSE),MATCH(All!O$1,Winter!$1:$1,FALSE))),"")</f>
        <v>51</v>
      </c>
      <c r="P435" t="str">
        <f>IFERROR(IF(INDEX(Winter!$1:$1048576,MATCH(All!$A435,Winter!$A:$A,FALSE),MATCH(All!P$1,Winter!$1:$1,FALSE))="","",INDEX(Winter!$1:$1048576,MATCH(All!$A435,Winter!$A:$A,FALSE),MATCH(All!P$1,Winter!$1:$1,FALSE))),"")</f>
        <v/>
      </c>
      <c r="Q435" t="str">
        <f>IFERROR(IF(INDEX(Winter!$1:$1048576,MATCH(All!$A435,Winter!$A:$A,FALSE),MATCH(All!Q$1,Winter!$1:$1,FALSE))="","",INDEX(Winter!$1:$1048576,MATCH(All!$A435,Winter!$A:$A,FALSE),MATCH(All!Q$1,Winter!$1:$1,FALSE))),"")</f>
        <v/>
      </c>
      <c r="R435" t="str">
        <f>IFERROR(IF(INDEX(Winter!$1:$1048576,MATCH(All!$A435,Winter!$A:$A,FALSE),MATCH(All!R$1,Winter!$1:$1,FALSE))="","",INDEX(Winter!$1:$1048576,MATCH(All!$A435,Winter!$A:$A,FALSE),MATCH(All!R$1,Winter!$1:$1,FALSE))),"")</f>
        <v/>
      </c>
      <c r="S435" t="str">
        <f>IFERROR(IF(INDEX(Winter!$1:$1048576,MATCH(All!$A435,Winter!$A:$A,FALSE),MATCH(All!S$1,Winter!$1:$1,FALSE))="","",INDEX(Winter!$1:$1048576,MATCH(All!$A435,Winter!$A:$A,FALSE),MATCH(All!S$1,Winter!$1:$1,FALSE))),"")</f>
        <v/>
      </c>
      <c r="T435" t="str">
        <f>IFERROR(IF(INDEX(Winter!$1:$1048576,MATCH(All!$A435,Winter!$A:$A,FALSE),MATCH(All!T$1,Winter!$1:$1,FALSE))="","",INDEX(Winter!$1:$1048576,MATCH(All!$A435,Winter!$A:$A,FALSE),MATCH(All!T$1,Winter!$1:$1,FALSE))),"")</f>
        <v>1A</v>
      </c>
      <c r="U435" t="str">
        <f>IFERROR(IF(INDEX(Winter!$1:$1048576,MATCH(All!$A435,Winter!$A:$A,FALSE),MATCH(All!U$1,Winter!$1:$1,FALSE))="","",INDEX(Winter!$1:$1048576,MATCH(All!$A435,Winter!$A:$A,FALSE),MATCH(All!U$1,Winter!$1:$1,FALSE))),"")</f>
        <v/>
      </c>
      <c r="W435">
        <f>IFERROR(IF(INDEX(Spring!$1:$1048576,MATCH(All!$A435,Spring!$A:$A,FALSE),MATCH(All!W$1,Spring!$1:$1,FALSE))="","",INDEX(Spring!$1:$1048576,MATCH(All!$A435,Spring!$A:$A,FALSE),MATCH(All!W$1,Spring!$1:$1,FALSE))),"")</f>
        <v>51</v>
      </c>
      <c r="X435" t="str">
        <f>IFERROR(IF(INDEX(Spring!$1:$1048576,MATCH(All!$A435,Spring!$A:$A,FALSE),MATCH(All!X$1,Spring!$1:$1,FALSE))="","",INDEX(Spring!$1:$1048576,MATCH(All!$A435,Spring!$A:$A,FALSE),MATCH(All!X$1,Spring!$1:$1,FALSE))),"")</f>
        <v>1A</v>
      </c>
      <c r="Y435" t="str">
        <f>IFERROR(IF(INDEX(Spring!$1:$1048576,MATCH(All!$A435,Spring!$A:$A,FALSE),MATCH(All!Y$1,Spring!$1:$1,FALSE))="","",INDEX(Spring!$1:$1048576,MATCH(All!$A435,Spring!$A:$A,FALSE),MATCH(All!Y$1,Spring!$1:$1,FALSE))),"")</f>
        <v/>
      </c>
      <c r="Z435" t="str">
        <f>IFERROR(IF(INDEX(Spring!$1:$1048576,MATCH(All!$A435,Spring!$A:$A,FALSE),MATCH(All!Z$1,Spring!$1:$1,FALSE))="","",INDEX(Spring!$1:$1048576,MATCH(All!$A435,Spring!$A:$A,FALSE),MATCH(All!Z$1,Spring!$1:$1,FALSE))),"")</f>
        <v/>
      </c>
      <c r="AA435" t="str">
        <f>IFERROR(IF(INDEX(Spring!$1:$1048576,MATCH(All!$A435,Spring!$A:$A,FALSE),MATCH(All!AA$1,Spring!$1:$1,FALSE))="","",INDEX(Spring!$1:$1048576,MATCH(All!$A435,Spring!$A:$A,FALSE),MATCH(All!AA$1,Spring!$1:$1,FALSE))),"")</f>
        <v/>
      </c>
      <c r="AB435" t="str">
        <f>IFERROR(IF(INDEX(Spring!$1:$1048576,MATCH(All!$A435,Spring!$A:$A,FALSE),MATCH(All!AB$1,Spring!$1:$1,FALSE))="","",INDEX(Spring!$1:$1048576,MATCH(All!$A435,Spring!$A:$A,FALSE),MATCH(All!AB$1,Spring!$1:$1,FALSE))),"")</f>
        <v/>
      </c>
      <c r="AC435" t="str">
        <f>IFERROR(IF(INDEX(Spring!$1:$1048576,MATCH(All!$A435,Spring!$A:$A,FALSE),MATCH(All!AC$1,Spring!$1:$1,FALSE))="","",INDEX(Spring!$1:$1048576,MATCH(All!$A435,Spring!$A:$A,FALSE),MATCH(All!AC$1,Spring!$1:$1,FALSE))),"")</f>
        <v/>
      </c>
      <c r="AD435" t="str">
        <f>IFERROR(VLOOKUP(A435,'Flag Football'!A:A,1,FALSE),"")</f>
        <v/>
      </c>
      <c r="AE435" t="str">
        <f t="shared" si="6"/>
        <v/>
      </c>
    </row>
    <row r="436" spans="1:31" ht="15.75" thickBot="1" x14ac:dyDescent="0.3">
      <c r="A436" s="20" t="s">
        <v>526</v>
      </c>
      <c r="B436" s="38">
        <f>IFERROR(VLOOKUP(A436,'Public v Private'!A:G,3,FALSE),"")</f>
        <v>0</v>
      </c>
      <c r="C436" s="38">
        <f>IFERROR(VLOOKUP(A436,'Public v Private'!A:G,4,FALSE),"")</f>
        <v>0</v>
      </c>
      <c r="D436" s="38">
        <f>IFERROR(VLOOKUP(A436,'Public v Private'!A:G,5,FALSE),"")</f>
        <v>0</v>
      </c>
      <c r="E436" s="38"/>
      <c r="F436" s="40">
        <f>IFERROR(INDEX(Fall!$1:$1048576,MATCH(All!$A436,Fall!$A:$A,FALSE),MATCH(All!F$1,Fall!$1:$1,FALSE)),"N/A")</f>
        <v>579</v>
      </c>
      <c r="G436" t="str">
        <f>IFERROR(IF(INDEX(Fall!$1:$1048576,MATCH(All!$A436,Fall!$A:$A,FALSE),MATCH(All!G$1,Fall!$1:$1,FALSE))="","",INDEX(Fall!$1:$1048576,MATCH(All!$A436,Fall!$A:$A,FALSE),MATCH(All!G$1,Fall!$1:$1,FALSE))),"")</f>
        <v>1A</v>
      </c>
      <c r="H436" t="str">
        <f>IFERROR(IF(INDEX(Fall!$1:$1048576,MATCH(All!$A436,Fall!$A:$A,FALSE),MATCH(All!H$1,Fall!$1:$1,FALSE))="","",INDEX(Fall!$1:$1048576,MATCH(All!$A436,Fall!$A:$A,FALSE),MATCH(All!H$1,Fall!$1:$1,FALSE))),"")</f>
        <v/>
      </c>
      <c r="I436" t="str">
        <f>IFERROR(IF(INDEX(Fall!$1:$1048576,MATCH(All!$A436,Fall!$A:$A,FALSE),MATCH(All!I$1,Fall!$1:$1,FALSE))="","",INDEX(Fall!$1:$1048576,MATCH(All!$A436,Fall!$A:$A,FALSE),MATCH(All!I$1,Fall!$1:$1,FALSE))),"")</f>
        <v>2A</v>
      </c>
      <c r="J436" t="str">
        <f>IFERROR(IF(INDEX(Fall!$1:$1048576,MATCH(All!$A436,Fall!$A:$A,FALSE),MATCH(All!J$1,Fall!$1:$1,FALSE))="","",INDEX(Fall!$1:$1048576,MATCH(All!$A436,Fall!$A:$A,FALSE),MATCH(All!J$1,Fall!$1:$1,FALSE))),"")</f>
        <v/>
      </c>
      <c r="K436" t="str">
        <f>IFERROR(IF(INDEX(Fall!$1:$1048576,MATCH(All!$A436,Fall!$A:$A,FALSE),MATCH(All!K$1,Fall!$1:$1,FALSE))="","",INDEX(Fall!$1:$1048576,MATCH(All!$A436,Fall!$A:$A,FALSE),MATCH(All!K$1,Fall!$1:$1,FALSE))),"")</f>
        <v>1A</v>
      </c>
      <c r="L436" t="str">
        <f>IFERROR(IF(INDEX(Fall!$1:$1048576,MATCH(All!$A436,Fall!$A:$A,FALSE),MATCH(All!L$1,Fall!$1:$1,FALSE))="","",INDEX(Fall!$1:$1048576,MATCH(All!$A436,Fall!$A:$A,FALSE),MATCH(All!L$1,Fall!$1:$1,FALSE))),"")</f>
        <v>1A</v>
      </c>
      <c r="M436" t="str">
        <f>IFERROR(IF(INDEX(Fall!$1:$1048576,MATCH(All!$A436,Fall!$A:$A,FALSE),MATCH(All!M$1,Fall!$1:$1,FALSE))="","",INDEX(Fall!$1:$1048576,MATCH(All!$A436,Fall!$A:$A,FALSE),MATCH(All!M$1,Fall!$1:$1,FALSE))),"")</f>
        <v>2A</v>
      </c>
      <c r="O436">
        <f>IFERROR(IF(INDEX(Winter!$1:$1048576,MATCH(All!$A436,Winter!$A:$A,FALSE),MATCH(All!O$1,Winter!$1:$1,FALSE))="","",INDEX(Winter!$1:$1048576,MATCH(All!$A436,Winter!$A:$A,FALSE),MATCH(All!O$1,Winter!$1:$1,FALSE))),"")</f>
        <v>579</v>
      </c>
      <c r="P436" t="str">
        <f>IFERROR(IF(INDEX(Winter!$1:$1048576,MATCH(All!$A436,Winter!$A:$A,FALSE),MATCH(All!P$1,Winter!$1:$1,FALSE))="","",INDEX(Winter!$1:$1048576,MATCH(All!$A436,Winter!$A:$A,FALSE),MATCH(All!P$1,Winter!$1:$1,FALSE))),"")</f>
        <v>2A</v>
      </c>
      <c r="Q436" t="str">
        <f>IFERROR(IF(INDEX(Winter!$1:$1048576,MATCH(All!$A436,Winter!$A:$A,FALSE),MATCH(All!Q$1,Winter!$1:$1,FALSE))="","",INDEX(Winter!$1:$1048576,MATCH(All!$A436,Winter!$A:$A,FALSE),MATCH(All!Q$1,Winter!$1:$1,FALSE))),"")</f>
        <v>2A</v>
      </c>
      <c r="R436" t="str">
        <f>IFERROR(IF(INDEX(Winter!$1:$1048576,MATCH(All!$A436,Winter!$A:$A,FALSE),MATCH(All!R$1,Winter!$1:$1,FALSE))="","",INDEX(Winter!$1:$1048576,MATCH(All!$A436,Winter!$A:$A,FALSE),MATCH(All!R$1,Winter!$1:$1,FALSE))),"")</f>
        <v/>
      </c>
      <c r="S436" t="str">
        <f>IFERROR(IF(INDEX(Winter!$1:$1048576,MATCH(All!$A436,Winter!$A:$A,FALSE),MATCH(All!S$1,Winter!$1:$1,FALSE))="","",INDEX(Winter!$1:$1048576,MATCH(All!$A436,Winter!$A:$A,FALSE),MATCH(All!S$1,Winter!$1:$1,FALSE))),"")</f>
        <v>1A</v>
      </c>
      <c r="T436" t="str">
        <f>IFERROR(IF(INDEX(Winter!$1:$1048576,MATCH(All!$A436,Winter!$A:$A,FALSE),MATCH(All!T$1,Winter!$1:$1,FALSE))="","",INDEX(Winter!$1:$1048576,MATCH(All!$A436,Winter!$A:$A,FALSE),MATCH(All!T$1,Winter!$1:$1,FALSE))),"")</f>
        <v>2A</v>
      </c>
      <c r="U436" t="str">
        <f>IFERROR(IF(INDEX(Winter!$1:$1048576,MATCH(All!$A436,Winter!$A:$A,FALSE),MATCH(All!U$1,Winter!$1:$1,FALSE))="","",INDEX(Winter!$1:$1048576,MATCH(All!$A436,Winter!$A:$A,FALSE),MATCH(All!U$1,Winter!$1:$1,FALSE))),"")</f>
        <v>1A</v>
      </c>
      <c r="W436">
        <f>IFERROR(IF(INDEX(Spring!$1:$1048576,MATCH(All!$A436,Spring!$A:$A,FALSE),MATCH(All!W$1,Spring!$1:$1,FALSE))="","",INDEX(Spring!$1:$1048576,MATCH(All!$A436,Spring!$A:$A,FALSE),MATCH(All!W$1,Spring!$1:$1,FALSE))),"")</f>
        <v>579</v>
      </c>
      <c r="X436" t="str">
        <f>IFERROR(IF(INDEX(Spring!$1:$1048576,MATCH(All!$A436,Spring!$A:$A,FALSE),MATCH(All!X$1,Spring!$1:$1,FALSE))="","",INDEX(Spring!$1:$1048576,MATCH(All!$A436,Spring!$A:$A,FALSE),MATCH(All!X$1,Spring!$1:$1,FALSE))),"")</f>
        <v>2A</v>
      </c>
      <c r="Y436" t="str">
        <f>IFERROR(IF(INDEX(Spring!$1:$1048576,MATCH(All!$A436,Spring!$A:$A,FALSE),MATCH(All!Y$1,Spring!$1:$1,FALSE))="","",INDEX(Spring!$1:$1048576,MATCH(All!$A436,Spring!$A:$A,FALSE),MATCH(All!Y$1,Spring!$1:$1,FALSE))),"")</f>
        <v>2A</v>
      </c>
      <c r="Z436" t="str">
        <f>IFERROR(IF(INDEX(Spring!$1:$1048576,MATCH(All!$A436,Spring!$A:$A,FALSE),MATCH(All!Z$1,Spring!$1:$1,FALSE))="","",INDEX(Spring!$1:$1048576,MATCH(All!$A436,Spring!$A:$A,FALSE),MATCH(All!Z$1,Spring!$1:$1,FALSE))),"")</f>
        <v/>
      </c>
      <c r="AA436" t="str">
        <f>IFERROR(IF(INDEX(Spring!$1:$1048576,MATCH(All!$A436,Spring!$A:$A,FALSE),MATCH(All!AA$1,Spring!$1:$1,FALSE))="","",INDEX(Spring!$1:$1048576,MATCH(All!$A436,Spring!$A:$A,FALSE),MATCH(All!AA$1,Spring!$1:$1,FALSE))),"")</f>
        <v/>
      </c>
      <c r="AB436" t="str">
        <f>IFERROR(IF(INDEX(Spring!$1:$1048576,MATCH(All!$A436,Spring!$A:$A,FALSE),MATCH(All!AB$1,Spring!$1:$1,FALSE))="","",INDEX(Spring!$1:$1048576,MATCH(All!$A436,Spring!$A:$A,FALSE),MATCH(All!AB$1,Spring!$1:$1,FALSE))),"")</f>
        <v>2A</v>
      </c>
      <c r="AC436" t="str">
        <f>IFERROR(IF(INDEX(Spring!$1:$1048576,MATCH(All!$A436,Spring!$A:$A,FALSE),MATCH(All!AC$1,Spring!$1:$1,FALSE))="","",INDEX(Spring!$1:$1048576,MATCH(All!$A436,Spring!$A:$A,FALSE),MATCH(All!AC$1,Spring!$1:$1,FALSE))),"")</f>
        <v>2A</v>
      </c>
      <c r="AD436" t="str">
        <f>IFERROR(VLOOKUP(A436,'Flag Football'!A:A,1,FALSE),"")</f>
        <v/>
      </c>
      <c r="AE436" t="str">
        <f t="shared" si="6"/>
        <v/>
      </c>
    </row>
    <row r="437" spans="1:31" ht="15.75" thickBot="1" x14ac:dyDescent="0.3">
      <c r="A437" s="18" t="s">
        <v>527</v>
      </c>
      <c r="B437" s="38">
        <f>IFERROR(VLOOKUP(A437,'Public v Private'!A:G,3,FALSE),"")</f>
        <v>0</v>
      </c>
      <c r="C437" s="38">
        <f>IFERROR(VLOOKUP(A437,'Public v Private'!A:G,4,FALSE),"")</f>
        <v>0</v>
      </c>
      <c r="D437" s="38">
        <f>IFERROR(VLOOKUP(A437,'Public v Private'!A:G,5,FALSE),"")</f>
        <v>0</v>
      </c>
      <c r="E437" s="38"/>
      <c r="F437" s="40">
        <f>IFERROR(INDEX(Fall!$1:$1048576,MATCH(All!$A437,Fall!$A:$A,FALSE),MATCH(All!F$1,Fall!$1:$1,FALSE)),"N/A")</f>
        <v>138</v>
      </c>
      <c r="G437" t="str">
        <f>IFERROR(IF(INDEX(Fall!$1:$1048576,MATCH(All!$A437,Fall!$A:$A,FALSE),MATCH(All!G$1,Fall!$1:$1,FALSE))="","",INDEX(Fall!$1:$1048576,MATCH(All!$A437,Fall!$A:$A,FALSE),MATCH(All!G$1,Fall!$1:$1,FALSE))),"")</f>
        <v>1A</v>
      </c>
      <c r="H437" t="str">
        <f>IFERROR(IF(INDEX(Fall!$1:$1048576,MATCH(All!$A437,Fall!$A:$A,FALSE),MATCH(All!H$1,Fall!$1:$1,FALSE))="","",INDEX(Fall!$1:$1048576,MATCH(All!$A437,Fall!$A:$A,FALSE),MATCH(All!H$1,Fall!$1:$1,FALSE))),"")</f>
        <v>1A</v>
      </c>
      <c r="I437" t="str">
        <f>IFERROR(IF(INDEX(Fall!$1:$1048576,MATCH(All!$A437,Fall!$A:$A,FALSE),MATCH(All!I$1,Fall!$1:$1,FALSE))="","",INDEX(Fall!$1:$1048576,MATCH(All!$A437,Fall!$A:$A,FALSE),MATCH(All!I$1,Fall!$1:$1,FALSE))),"")</f>
        <v>1A</v>
      </c>
      <c r="J437" t="str">
        <f>IFERROR(IF(INDEX(Fall!$1:$1048576,MATCH(All!$A437,Fall!$A:$A,FALSE),MATCH(All!J$1,Fall!$1:$1,FALSE))="","",INDEX(Fall!$1:$1048576,MATCH(All!$A437,Fall!$A:$A,FALSE),MATCH(All!J$1,Fall!$1:$1,FALSE))),"")</f>
        <v>1A</v>
      </c>
      <c r="K437" t="str">
        <f>IFERROR(IF(INDEX(Fall!$1:$1048576,MATCH(All!$A437,Fall!$A:$A,FALSE),MATCH(All!K$1,Fall!$1:$1,FALSE))="","",INDEX(Fall!$1:$1048576,MATCH(All!$A437,Fall!$A:$A,FALSE),MATCH(All!K$1,Fall!$1:$1,FALSE))),"")</f>
        <v/>
      </c>
      <c r="L437" t="str">
        <f>IFERROR(IF(INDEX(Fall!$1:$1048576,MATCH(All!$A437,Fall!$A:$A,FALSE),MATCH(All!L$1,Fall!$1:$1,FALSE))="","",INDEX(Fall!$1:$1048576,MATCH(All!$A437,Fall!$A:$A,FALSE),MATCH(All!L$1,Fall!$1:$1,FALSE))),"")</f>
        <v/>
      </c>
      <c r="M437" t="str">
        <f>IFERROR(IF(INDEX(Fall!$1:$1048576,MATCH(All!$A437,Fall!$A:$A,FALSE),MATCH(All!M$1,Fall!$1:$1,FALSE))="","",INDEX(Fall!$1:$1048576,MATCH(All!$A437,Fall!$A:$A,FALSE),MATCH(All!M$1,Fall!$1:$1,FALSE))),"")</f>
        <v>1A</v>
      </c>
      <c r="O437">
        <f>IFERROR(IF(INDEX(Winter!$1:$1048576,MATCH(All!$A437,Winter!$A:$A,FALSE),MATCH(All!O$1,Winter!$1:$1,FALSE))="","",INDEX(Winter!$1:$1048576,MATCH(All!$A437,Winter!$A:$A,FALSE),MATCH(All!O$1,Winter!$1:$1,FALSE))),"")</f>
        <v>138</v>
      </c>
      <c r="P437" t="str">
        <f>IFERROR(IF(INDEX(Winter!$1:$1048576,MATCH(All!$A437,Winter!$A:$A,FALSE),MATCH(All!P$1,Winter!$1:$1,FALSE))="","",INDEX(Winter!$1:$1048576,MATCH(All!$A437,Winter!$A:$A,FALSE),MATCH(All!P$1,Winter!$1:$1,FALSE))),"")</f>
        <v>1A</v>
      </c>
      <c r="Q437" t="str">
        <f>IFERROR(IF(INDEX(Winter!$1:$1048576,MATCH(All!$A437,Winter!$A:$A,FALSE),MATCH(All!Q$1,Winter!$1:$1,FALSE))="","",INDEX(Winter!$1:$1048576,MATCH(All!$A437,Winter!$A:$A,FALSE),MATCH(All!Q$1,Winter!$1:$1,FALSE))),"")</f>
        <v>1A</v>
      </c>
      <c r="R437" t="str">
        <f>IFERROR(IF(INDEX(Winter!$1:$1048576,MATCH(All!$A437,Winter!$A:$A,FALSE),MATCH(All!R$1,Winter!$1:$1,FALSE))="","",INDEX(Winter!$1:$1048576,MATCH(All!$A437,Winter!$A:$A,FALSE),MATCH(All!R$1,Winter!$1:$1,FALSE))),"")</f>
        <v/>
      </c>
      <c r="S437" t="str">
        <f>IFERROR(IF(INDEX(Winter!$1:$1048576,MATCH(All!$A437,Winter!$A:$A,FALSE),MATCH(All!S$1,Winter!$1:$1,FALSE))="","",INDEX(Winter!$1:$1048576,MATCH(All!$A437,Winter!$A:$A,FALSE),MATCH(All!S$1,Winter!$1:$1,FALSE))),"")</f>
        <v/>
      </c>
      <c r="T437" t="str">
        <f>IFERROR(IF(INDEX(Winter!$1:$1048576,MATCH(All!$A437,Winter!$A:$A,FALSE),MATCH(All!T$1,Winter!$1:$1,FALSE))="","",INDEX(Winter!$1:$1048576,MATCH(All!$A437,Winter!$A:$A,FALSE),MATCH(All!T$1,Winter!$1:$1,FALSE))),"")</f>
        <v>1A</v>
      </c>
      <c r="U437" t="str">
        <f>IFERROR(IF(INDEX(Winter!$1:$1048576,MATCH(All!$A437,Winter!$A:$A,FALSE),MATCH(All!U$1,Winter!$1:$1,FALSE))="","",INDEX(Winter!$1:$1048576,MATCH(All!$A437,Winter!$A:$A,FALSE),MATCH(All!U$1,Winter!$1:$1,FALSE))),"")</f>
        <v/>
      </c>
      <c r="W437">
        <f>IFERROR(IF(INDEX(Spring!$1:$1048576,MATCH(All!$A437,Spring!$A:$A,FALSE),MATCH(All!W$1,Spring!$1:$1,FALSE))="","",INDEX(Spring!$1:$1048576,MATCH(All!$A437,Spring!$A:$A,FALSE),MATCH(All!W$1,Spring!$1:$1,FALSE))),"")</f>
        <v>138</v>
      </c>
      <c r="X437" t="str">
        <f>IFERROR(IF(INDEX(Spring!$1:$1048576,MATCH(All!$A437,Spring!$A:$A,FALSE),MATCH(All!X$1,Spring!$1:$1,FALSE))="","",INDEX(Spring!$1:$1048576,MATCH(All!$A437,Spring!$A:$A,FALSE),MATCH(All!X$1,Spring!$1:$1,FALSE))),"")</f>
        <v>1A</v>
      </c>
      <c r="Y437" t="str">
        <f>IFERROR(IF(INDEX(Spring!$1:$1048576,MATCH(All!$A437,Spring!$A:$A,FALSE),MATCH(All!Y$1,Spring!$1:$1,FALSE))="","",INDEX(Spring!$1:$1048576,MATCH(All!$A437,Spring!$A:$A,FALSE),MATCH(All!Y$1,Spring!$1:$1,FALSE))),"")</f>
        <v>1A</v>
      </c>
      <c r="Z437" t="str">
        <f>IFERROR(IF(INDEX(Spring!$1:$1048576,MATCH(All!$A437,Spring!$A:$A,FALSE),MATCH(All!Z$1,Spring!$1:$1,FALSE))="","",INDEX(Spring!$1:$1048576,MATCH(All!$A437,Spring!$A:$A,FALSE),MATCH(All!Z$1,Spring!$1:$1,FALSE))),"")</f>
        <v/>
      </c>
      <c r="AA437" t="str">
        <f>IFERROR(IF(INDEX(Spring!$1:$1048576,MATCH(All!$A437,Spring!$A:$A,FALSE),MATCH(All!AA$1,Spring!$1:$1,FALSE))="","",INDEX(Spring!$1:$1048576,MATCH(All!$A437,Spring!$A:$A,FALSE),MATCH(All!AA$1,Spring!$1:$1,FALSE))),"")</f>
        <v/>
      </c>
      <c r="AB437" t="str">
        <f>IFERROR(IF(INDEX(Spring!$1:$1048576,MATCH(All!$A437,Spring!$A:$A,FALSE),MATCH(All!AB$1,Spring!$1:$1,FALSE))="","",INDEX(Spring!$1:$1048576,MATCH(All!$A437,Spring!$A:$A,FALSE),MATCH(All!AB$1,Spring!$1:$1,FALSE))),"")</f>
        <v>1A</v>
      </c>
      <c r="AC437" t="str">
        <f>IFERROR(IF(INDEX(Spring!$1:$1048576,MATCH(All!$A437,Spring!$A:$A,FALSE),MATCH(All!AC$1,Spring!$1:$1,FALSE))="","",INDEX(Spring!$1:$1048576,MATCH(All!$A437,Spring!$A:$A,FALSE),MATCH(All!AC$1,Spring!$1:$1,FALSE))),"")</f>
        <v>1A</v>
      </c>
      <c r="AD437" t="str">
        <f>IFERROR(VLOOKUP(A437,'Flag Football'!A:A,1,FALSE),"")</f>
        <v/>
      </c>
      <c r="AE437" t="str">
        <f t="shared" si="6"/>
        <v/>
      </c>
    </row>
    <row r="438" spans="1:31" ht="15.75" thickBot="1" x14ac:dyDescent="0.3">
      <c r="A438" s="18" t="s">
        <v>951</v>
      </c>
      <c r="B438" s="38">
        <f>IFERROR(VLOOKUP(A438,'Public v Private'!A:G,3,FALSE),"")</f>
        <v>0</v>
      </c>
      <c r="C438" s="38">
        <f>IFERROR(VLOOKUP(A438,'Public v Private'!A:G,4,FALSE),"")</f>
        <v>0</v>
      </c>
      <c r="D438" s="38">
        <f>IFERROR(VLOOKUP(A438,'Public v Private'!A:G,5,FALSE),"")</f>
        <v>0</v>
      </c>
      <c r="E438" s="38"/>
      <c r="F438" s="40" t="str">
        <f>IFERROR(INDEX(Fall!$1:$1048576,MATCH(All!$A438,Fall!$A:$A,FALSE),MATCH(All!F$1,Fall!$1:$1,FALSE)),"N/A")</f>
        <v>N/A</v>
      </c>
      <c r="G438" t="str">
        <f>IFERROR(IF(INDEX(Fall!$1:$1048576,MATCH(All!$A438,Fall!$A:$A,FALSE),MATCH(All!G$1,Fall!$1:$1,FALSE))="","",INDEX(Fall!$1:$1048576,MATCH(All!$A438,Fall!$A:$A,FALSE),MATCH(All!G$1,Fall!$1:$1,FALSE))),"")</f>
        <v/>
      </c>
      <c r="H438" t="str">
        <f>IFERROR(IF(INDEX(Fall!$1:$1048576,MATCH(All!$A438,Fall!$A:$A,FALSE),MATCH(All!H$1,Fall!$1:$1,FALSE))="","",INDEX(Fall!$1:$1048576,MATCH(All!$A438,Fall!$A:$A,FALSE),MATCH(All!H$1,Fall!$1:$1,FALSE))),"")</f>
        <v/>
      </c>
      <c r="I438" t="str">
        <f>IFERROR(IF(INDEX(Fall!$1:$1048576,MATCH(All!$A438,Fall!$A:$A,FALSE),MATCH(All!I$1,Fall!$1:$1,FALSE))="","",INDEX(Fall!$1:$1048576,MATCH(All!$A438,Fall!$A:$A,FALSE),MATCH(All!I$1,Fall!$1:$1,FALSE))),"")</f>
        <v/>
      </c>
      <c r="J438" t="str">
        <f>IFERROR(IF(INDEX(Fall!$1:$1048576,MATCH(All!$A438,Fall!$A:$A,FALSE),MATCH(All!J$1,Fall!$1:$1,FALSE))="","",INDEX(Fall!$1:$1048576,MATCH(All!$A438,Fall!$A:$A,FALSE),MATCH(All!J$1,Fall!$1:$1,FALSE))),"")</f>
        <v/>
      </c>
      <c r="K438" t="str">
        <f>IFERROR(IF(INDEX(Fall!$1:$1048576,MATCH(All!$A438,Fall!$A:$A,FALSE),MATCH(All!K$1,Fall!$1:$1,FALSE))="","",INDEX(Fall!$1:$1048576,MATCH(All!$A438,Fall!$A:$A,FALSE),MATCH(All!K$1,Fall!$1:$1,FALSE))),"")</f>
        <v/>
      </c>
      <c r="L438" t="str">
        <f>IFERROR(IF(INDEX(Fall!$1:$1048576,MATCH(All!$A438,Fall!$A:$A,FALSE),MATCH(All!L$1,Fall!$1:$1,FALSE))="","",INDEX(Fall!$1:$1048576,MATCH(All!$A438,Fall!$A:$A,FALSE),MATCH(All!L$1,Fall!$1:$1,FALSE))),"")</f>
        <v/>
      </c>
      <c r="M438" t="str">
        <f>IFERROR(IF(INDEX(Fall!$1:$1048576,MATCH(All!$A438,Fall!$A:$A,FALSE),MATCH(All!M$1,Fall!$1:$1,FALSE))="","",INDEX(Fall!$1:$1048576,MATCH(All!$A438,Fall!$A:$A,FALSE),MATCH(All!M$1,Fall!$1:$1,FALSE))),"")</f>
        <v/>
      </c>
      <c r="O438">
        <f>IFERROR(IF(INDEX(Winter!$1:$1048576,MATCH(All!$A438,Winter!$A:$A,FALSE),MATCH(All!O$1,Winter!$1:$1,FALSE))="","",INDEX(Winter!$1:$1048576,MATCH(All!$A438,Winter!$A:$A,FALSE),MATCH(All!O$1,Winter!$1:$1,FALSE))),"")</f>
        <v>73</v>
      </c>
      <c r="P438" t="str">
        <f>IFERROR(IF(INDEX(Winter!$1:$1048576,MATCH(All!$A438,Winter!$A:$A,FALSE),MATCH(All!P$1,Winter!$1:$1,FALSE))="","",INDEX(Winter!$1:$1048576,MATCH(All!$A438,Winter!$A:$A,FALSE),MATCH(All!P$1,Winter!$1:$1,FALSE))),"")</f>
        <v/>
      </c>
      <c r="Q438" t="str">
        <f>IFERROR(IF(INDEX(Winter!$1:$1048576,MATCH(All!$A438,Winter!$A:$A,FALSE),MATCH(All!Q$1,Winter!$1:$1,FALSE))="","",INDEX(Winter!$1:$1048576,MATCH(All!$A438,Winter!$A:$A,FALSE),MATCH(All!Q$1,Winter!$1:$1,FALSE))),"")</f>
        <v>1A</v>
      </c>
      <c r="R438" t="str">
        <f>IFERROR(IF(INDEX(Winter!$1:$1048576,MATCH(All!$A438,Winter!$A:$A,FALSE),MATCH(All!R$1,Winter!$1:$1,FALSE))="","",INDEX(Winter!$1:$1048576,MATCH(All!$A438,Winter!$A:$A,FALSE),MATCH(All!R$1,Winter!$1:$1,FALSE))),"")</f>
        <v>1A</v>
      </c>
      <c r="S438" t="str">
        <f>IFERROR(IF(INDEX(Winter!$1:$1048576,MATCH(All!$A438,Winter!$A:$A,FALSE),MATCH(All!S$1,Winter!$1:$1,FALSE))="","",INDEX(Winter!$1:$1048576,MATCH(All!$A438,Winter!$A:$A,FALSE),MATCH(All!S$1,Winter!$1:$1,FALSE))),"")</f>
        <v/>
      </c>
      <c r="T438" t="str">
        <f>IFERROR(IF(INDEX(Winter!$1:$1048576,MATCH(All!$A438,Winter!$A:$A,FALSE),MATCH(All!T$1,Winter!$1:$1,FALSE))="","",INDEX(Winter!$1:$1048576,MATCH(All!$A438,Winter!$A:$A,FALSE),MATCH(All!T$1,Winter!$1:$1,FALSE))),"")</f>
        <v/>
      </c>
      <c r="U438" t="str">
        <f>IFERROR(IF(INDEX(Winter!$1:$1048576,MATCH(All!$A438,Winter!$A:$A,FALSE),MATCH(All!U$1,Winter!$1:$1,FALSE))="","",INDEX(Winter!$1:$1048576,MATCH(All!$A438,Winter!$A:$A,FALSE),MATCH(All!U$1,Winter!$1:$1,FALSE))),"")</f>
        <v/>
      </c>
      <c r="W438" t="str">
        <f>IFERROR(IF(INDEX(Spring!$1:$1048576,MATCH(All!$A438,Spring!$A:$A,FALSE),MATCH(All!W$1,Spring!$1:$1,FALSE))="","",INDEX(Spring!$1:$1048576,MATCH(All!$A438,Spring!$A:$A,FALSE),MATCH(All!W$1,Spring!$1:$1,FALSE))),"")</f>
        <v/>
      </c>
      <c r="X438" t="str">
        <f>IFERROR(IF(INDEX(Spring!$1:$1048576,MATCH(All!$A438,Spring!$A:$A,FALSE),MATCH(All!X$1,Spring!$1:$1,FALSE))="","",INDEX(Spring!$1:$1048576,MATCH(All!$A438,Spring!$A:$A,FALSE),MATCH(All!X$1,Spring!$1:$1,FALSE))),"")</f>
        <v/>
      </c>
      <c r="Y438" t="str">
        <f>IFERROR(IF(INDEX(Spring!$1:$1048576,MATCH(All!$A438,Spring!$A:$A,FALSE),MATCH(All!Y$1,Spring!$1:$1,FALSE))="","",INDEX(Spring!$1:$1048576,MATCH(All!$A438,Spring!$A:$A,FALSE),MATCH(All!Y$1,Spring!$1:$1,FALSE))),"")</f>
        <v/>
      </c>
      <c r="Z438" t="str">
        <f>IFERROR(IF(INDEX(Spring!$1:$1048576,MATCH(All!$A438,Spring!$A:$A,FALSE),MATCH(All!Z$1,Spring!$1:$1,FALSE))="","",INDEX(Spring!$1:$1048576,MATCH(All!$A438,Spring!$A:$A,FALSE),MATCH(All!Z$1,Spring!$1:$1,FALSE))),"")</f>
        <v/>
      </c>
      <c r="AA438" t="str">
        <f>IFERROR(IF(INDEX(Spring!$1:$1048576,MATCH(All!$A438,Spring!$A:$A,FALSE),MATCH(All!AA$1,Spring!$1:$1,FALSE))="","",INDEX(Spring!$1:$1048576,MATCH(All!$A438,Spring!$A:$A,FALSE),MATCH(All!AA$1,Spring!$1:$1,FALSE))),"")</f>
        <v/>
      </c>
      <c r="AB438" t="str">
        <f>IFERROR(IF(INDEX(Spring!$1:$1048576,MATCH(All!$A438,Spring!$A:$A,FALSE),MATCH(All!AB$1,Spring!$1:$1,FALSE))="","",INDEX(Spring!$1:$1048576,MATCH(All!$A438,Spring!$A:$A,FALSE),MATCH(All!AB$1,Spring!$1:$1,FALSE))),"")</f>
        <v/>
      </c>
      <c r="AC438" t="str">
        <f>IFERROR(IF(INDEX(Spring!$1:$1048576,MATCH(All!$A438,Spring!$A:$A,FALSE),MATCH(All!AC$1,Spring!$1:$1,FALSE))="","",INDEX(Spring!$1:$1048576,MATCH(All!$A438,Spring!$A:$A,FALSE),MATCH(All!AC$1,Spring!$1:$1,FALSE))),"")</f>
        <v/>
      </c>
      <c r="AD438" t="str">
        <f>IFERROR(VLOOKUP(A438,'Flag Football'!A:A,1,FALSE),"")</f>
        <v/>
      </c>
      <c r="AE438" t="str">
        <f t="shared" si="6"/>
        <v/>
      </c>
    </row>
    <row r="439" spans="1:31" ht="15.75" thickBot="1" x14ac:dyDescent="0.3">
      <c r="A439" s="20" t="s">
        <v>528</v>
      </c>
      <c r="B439" s="38">
        <f>IFERROR(VLOOKUP(A439,'Public v Private'!A:G,3,FALSE),"")</f>
        <v>0</v>
      </c>
      <c r="C439" s="38">
        <f>IFERROR(VLOOKUP(A439,'Public v Private'!A:G,4,FALSE),"")</f>
        <v>0</v>
      </c>
      <c r="D439" s="38">
        <f>IFERROR(VLOOKUP(A439,'Public v Private'!A:G,5,FALSE),"")</f>
        <v>0</v>
      </c>
      <c r="E439" s="38"/>
      <c r="F439" s="40">
        <f>IFERROR(INDEX(Fall!$1:$1048576,MATCH(All!$A439,Fall!$A:$A,FALSE),MATCH(All!F$1,Fall!$1:$1,FALSE)),"N/A")</f>
        <v>119</v>
      </c>
      <c r="G439" t="str">
        <f>IFERROR(IF(INDEX(Fall!$1:$1048576,MATCH(All!$A439,Fall!$A:$A,FALSE),MATCH(All!G$1,Fall!$1:$1,FALSE))="","",INDEX(Fall!$1:$1048576,MATCH(All!$A439,Fall!$A:$A,FALSE),MATCH(All!G$1,Fall!$1:$1,FALSE))),"")</f>
        <v/>
      </c>
      <c r="H439" t="str">
        <f>IFERROR(IF(INDEX(Fall!$1:$1048576,MATCH(All!$A439,Fall!$A:$A,FALSE),MATCH(All!H$1,Fall!$1:$1,FALSE))="","",INDEX(Fall!$1:$1048576,MATCH(All!$A439,Fall!$A:$A,FALSE),MATCH(All!H$1,Fall!$1:$1,FALSE))),"")</f>
        <v/>
      </c>
      <c r="I439" t="str">
        <f>IFERROR(IF(INDEX(Fall!$1:$1048576,MATCH(All!$A439,Fall!$A:$A,FALSE),MATCH(All!I$1,Fall!$1:$1,FALSE))="","",INDEX(Fall!$1:$1048576,MATCH(All!$A439,Fall!$A:$A,FALSE),MATCH(All!I$1,Fall!$1:$1,FALSE))),"")</f>
        <v/>
      </c>
      <c r="J439" t="str">
        <f>IFERROR(IF(INDEX(Fall!$1:$1048576,MATCH(All!$A439,Fall!$A:$A,FALSE),MATCH(All!J$1,Fall!$1:$1,FALSE))="","",INDEX(Fall!$1:$1048576,MATCH(All!$A439,Fall!$A:$A,FALSE),MATCH(All!J$1,Fall!$1:$1,FALSE))),"")</f>
        <v/>
      </c>
      <c r="K439" t="str">
        <f>IFERROR(IF(INDEX(Fall!$1:$1048576,MATCH(All!$A439,Fall!$A:$A,FALSE),MATCH(All!K$1,Fall!$1:$1,FALSE))="","",INDEX(Fall!$1:$1048576,MATCH(All!$A439,Fall!$A:$A,FALSE),MATCH(All!K$1,Fall!$1:$1,FALSE))),"")</f>
        <v/>
      </c>
      <c r="L439" t="str">
        <f>IFERROR(IF(INDEX(Fall!$1:$1048576,MATCH(All!$A439,Fall!$A:$A,FALSE),MATCH(All!L$1,Fall!$1:$1,FALSE))="","",INDEX(Fall!$1:$1048576,MATCH(All!$A439,Fall!$A:$A,FALSE),MATCH(All!L$1,Fall!$1:$1,FALSE))),"")</f>
        <v/>
      </c>
      <c r="M439" t="str">
        <f>IFERROR(IF(INDEX(Fall!$1:$1048576,MATCH(All!$A439,Fall!$A:$A,FALSE),MATCH(All!M$1,Fall!$1:$1,FALSE))="","",INDEX(Fall!$1:$1048576,MATCH(All!$A439,Fall!$A:$A,FALSE),MATCH(All!M$1,Fall!$1:$1,FALSE))),"")</f>
        <v>1A</v>
      </c>
      <c r="O439">
        <f>IFERROR(IF(INDEX(Winter!$1:$1048576,MATCH(All!$A439,Winter!$A:$A,FALSE),MATCH(All!O$1,Winter!$1:$1,FALSE))="","",INDEX(Winter!$1:$1048576,MATCH(All!$A439,Winter!$A:$A,FALSE),MATCH(All!O$1,Winter!$1:$1,FALSE))),"")</f>
        <v>119</v>
      </c>
      <c r="P439" t="str">
        <f>IFERROR(IF(INDEX(Winter!$1:$1048576,MATCH(All!$A439,Winter!$A:$A,FALSE),MATCH(All!P$1,Winter!$1:$1,FALSE))="","",INDEX(Winter!$1:$1048576,MATCH(All!$A439,Winter!$A:$A,FALSE),MATCH(All!P$1,Winter!$1:$1,FALSE))),"")</f>
        <v>1A</v>
      </c>
      <c r="Q439" t="str">
        <f>IFERROR(IF(INDEX(Winter!$1:$1048576,MATCH(All!$A439,Winter!$A:$A,FALSE),MATCH(All!Q$1,Winter!$1:$1,FALSE))="","",INDEX(Winter!$1:$1048576,MATCH(All!$A439,Winter!$A:$A,FALSE),MATCH(All!Q$1,Winter!$1:$1,FALSE))),"")</f>
        <v>1A</v>
      </c>
      <c r="R439" t="str">
        <f>IFERROR(IF(INDEX(Winter!$1:$1048576,MATCH(All!$A439,Winter!$A:$A,FALSE),MATCH(All!R$1,Winter!$1:$1,FALSE))="","",INDEX(Winter!$1:$1048576,MATCH(All!$A439,Winter!$A:$A,FALSE),MATCH(All!R$1,Winter!$1:$1,FALSE))),"")</f>
        <v/>
      </c>
      <c r="S439" t="str">
        <f>IFERROR(IF(INDEX(Winter!$1:$1048576,MATCH(All!$A439,Winter!$A:$A,FALSE),MATCH(All!S$1,Winter!$1:$1,FALSE))="","",INDEX(Winter!$1:$1048576,MATCH(All!$A439,Winter!$A:$A,FALSE),MATCH(All!S$1,Winter!$1:$1,FALSE))),"")</f>
        <v/>
      </c>
      <c r="T439" t="str">
        <f>IFERROR(IF(INDEX(Winter!$1:$1048576,MATCH(All!$A439,Winter!$A:$A,FALSE),MATCH(All!T$1,Winter!$1:$1,FALSE))="","",INDEX(Winter!$1:$1048576,MATCH(All!$A439,Winter!$A:$A,FALSE),MATCH(All!T$1,Winter!$1:$1,FALSE))),"")</f>
        <v>1A</v>
      </c>
      <c r="U439" t="str">
        <f>IFERROR(IF(INDEX(Winter!$1:$1048576,MATCH(All!$A439,Winter!$A:$A,FALSE),MATCH(All!U$1,Winter!$1:$1,FALSE))="","",INDEX(Winter!$1:$1048576,MATCH(All!$A439,Winter!$A:$A,FALSE),MATCH(All!U$1,Winter!$1:$1,FALSE))),"")</f>
        <v/>
      </c>
      <c r="W439">
        <f>IFERROR(IF(INDEX(Spring!$1:$1048576,MATCH(All!$A439,Spring!$A:$A,FALSE),MATCH(All!W$1,Spring!$1:$1,FALSE))="","",INDEX(Spring!$1:$1048576,MATCH(All!$A439,Spring!$A:$A,FALSE),MATCH(All!W$1,Spring!$1:$1,FALSE))),"")</f>
        <v>119</v>
      </c>
      <c r="X439" t="str">
        <f>IFERROR(IF(INDEX(Spring!$1:$1048576,MATCH(All!$A439,Spring!$A:$A,FALSE),MATCH(All!X$1,Spring!$1:$1,FALSE))="","",INDEX(Spring!$1:$1048576,MATCH(All!$A439,Spring!$A:$A,FALSE),MATCH(All!X$1,Spring!$1:$1,FALSE))),"")</f>
        <v>1A</v>
      </c>
      <c r="Y439" t="str">
        <f>IFERROR(IF(INDEX(Spring!$1:$1048576,MATCH(All!$A439,Spring!$A:$A,FALSE),MATCH(All!Y$1,Spring!$1:$1,FALSE))="","",INDEX(Spring!$1:$1048576,MATCH(All!$A439,Spring!$A:$A,FALSE),MATCH(All!Y$1,Spring!$1:$1,FALSE))),"")</f>
        <v>1A</v>
      </c>
      <c r="Z439" t="str">
        <f>IFERROR(IF(INDEX(Spring!$1:$1048576,MATCH(All!$A439,Spring!$A:$A,FALSE),MATCH(All!Z$1,Spring!$1:$1,FALSE))="","",INDEX(Spring!$1:$1048576,MATCH(All!$A439,Spring!$A:$A,FALSE),MATCH(All!Z$1,Spring!$1:$1,FALSE))),"")</f>
        <v/>
      </c>
      <c r="AA439" t="str">
        <f>IFERROR(IF(INDEX(Spring!$1:$1048576,MATCH(All!$A439,Spring!$A:$A,FALSE),MATCH(All!AA$1,Spring!$1:$1,FALSE))="","",INDEX(Spring!$1:$1048576,MATCH(All!$A439,Spring!$A:$A,FALSE),MATCH(All!AA$1,Spring!$1:$1,FALSE))),"")</f>
        <v/>
      </c>
      <c r="AB439" t="str">
        <f>IFERROR(IF(INDEX(Spring!$1:$1048576,MATCH(All!$A439,Spring!$A:$A,FALSE),MATCH(All!AB$1,Spring!$1:$1,FALSE))="","",INDEX(Spring!$1:$1048576,MATCH(All!$A439,Spring!$A:$A,FALSE),MATCH(All!AB$1,Spring!$1:$1,FALSE))),"")</f>
        <v/>
      </c>
      <c r="AC439" t="str">
        <f>IFERROR(IF(INDEX(Spring!$1:$1048576,MATCH(All!$A439,Spring!$A:$A,FALSE),MATCH(All!AC$1,Spring!$1:$1,FALSE))="","",INDEX(Spring!$1:$1048576,MATCH(All!$A439,Spring!$A:$A,FALSE),MATCH(All!AC$1,Spring!$1:$1,FALSE))),"")</f>
        <v/>
      </c>
      <c r="AD439" t="str">
        <f>IFERROR(VLOOKUP(A439,'Flag Football'!A:A,1,FALSE),"")</f>
        <v/>
      </c>
      <c r="AE439" t="str">
        <f t="shared" si="6"/>
        <v/>
      </c>
    </row>
    <row r="440" spans="1:31" ht="15.75" thickBot="1" x14ac:dyDescent="0.3">
      <c r="A440" s="18" t="s">
        <v>529</v>
      </c>
      <c r="B440" s="38">
        <f>IFERROR(VLOOKUP(A440,'Public v Private'!A:G,3,FALSE),"")</f>
        <v>0</v>
      </c>
      <c r="C440" s="38">
        <f>IFERROR(VLOOKUP(A440,'Public v Private'!A:G,4,FALSE),"")</f>
        <v>0</v>
      </c>
      <c r="D440" s="38">
        <f>IFERROR(VLOOKUP(A440,'Public v Private'!A:G,5,FALSE),"")</f>
        <v>0</v>
      </c>
      <c r="E440" s="38"/>
      <c r="F440" s="40">
        <f>IFERROR(INDEX(Fall!$1:$1048576,MATCH(All!$A440,Fall!$A:$A,FALSE),MATCH(All!F$1,Fall!$1:$1,FALSE)),"N/A")</f>
        <v>275</v>
      </c>
      <c r="G440" t="str">
        <f>IFERROR(IF(INDEX(Fall!$1:$1048576,MATCH(All!$A440,Fall!$A:$A,FALSE),MATCH(All!G$1,Fall!$1:$1,FALSE))="","",INDEX(Fall!$1:$1048576,MATCH(All!$A440,Fall!$A:$A,FALSE),MATCH(All!G$1,Fall!$1:$1,FALSE))),"")</f>
        <v>1A</v>
      </c>
      <c r="H440" t="str">
        <f>IFERROR(IF(INDEX(Fall!$1:$1048576,MATCH(All!$A440,Fall!$A:$A,FALSE),MATCH(All!H$1,Fall!$1:$1,FALSE))="","",INDEX(Fall!$1:$1048576,MATCH(All!$A440,Fall!$A:$A,FALSE),MATCH(All!H$1,Fall!$1:$1,FALSE))),"")</f>
        <v>1A</v>
      </c>
      <c r="I440" t="str">
        <f>IFERROR(IF(INDEX(Fall!$1:$1048576,MATCH(All!$A440,Fall!$A:$A,FALSE),MATCH(All!I$1,Fall!$1:$1,FALSE))="","",INDEX(Fall!$1:$1048576,MATCH(All!$A440,Fall!$A:$A,FALSE),MATCH(All!I$1,Fall!$1:$1,FALSE))),"")</f>
        <v>1A</v>
      </c>
      <c r="J440" t="str">
        <f>IFERROR(IF(INDEX(Fall!$1:$1048576,MATCH(All!$A440,Fall!$A:$A,FALSE),MATCH(All!J$1,Fall!$1:$1,FALSE))="","",INDEX(Fall!$1:$1048576,MATCH(All!$A440,Fall!$A:$A,FALSE),MATCH(All!J$1,Fall!$1:$1,FALSE))),"")</f>
        <v/>
      </c>
      <c r="K440" t="str">
        <f>IFERROR(IF(INDEX(Fall!$1:$1048576,MATCH(All!$A440,Fall!$A:$A,FALSE),MATCH(All!K$1,Fall!$1:$1,FALSE))="","",INDEX(Fall!$1:$1048576,MATCH(All!$A440,Fall!$A:$A,FALSE),MATCH(All!K$1,Fall!$1:$1,FALSE))),"")</f>
        <v/>
      </c>
      <c r="L440" t="str">
        <f>IFERROR(IF(INDEX(Fall!$1:$1048576,MATCH(All!$A440,Fall!$A:$A,FALSE),MATCH(All!L$1,Fall!$1:$1,FALSE))="","",INDEX(Fall!$1:$1048576,MATCH(All!$A440,Fall!$A:$A,FALSE),MATCH(All!L$1,Fall!$1:$1,FALSE))),"")</f>
        <v/>
      </c>
      <c r="M440" t="str">
        <f>IFERROR(IF(INDEX(Fall!$1:$1048576,MATCH(All!$A440,Fall!$A:$A,FALSE),MATCH(All!M$1,Fall!$1:$1,FALSE))="","",INDEX(Fall!$1:$1048576,MATCH(All!$A440,Fall!$A:$A,FALSE),MATCH(All!M$1,Fall!$1:$1,FALSE))),"")</f>
        <v>1A</v>
      </c>
      <c r="O440">
        <f>IFERROR(IF(INDEX(Winter!$1:$1048576,MATCH(All!$A440,Winter!$A:$A,FALSE),MATCH(All!O$1,Winter!$1:$1,FALSE))="","",INDEX(Winter!$1:$1048576,MATCH(All!$A440,Winter!$A:$A,FALSE),MATCH(All!O$1,Winter!$1:$1,FALSE))),"")</f>
        <v>275</v>
      </c>
      <c r="P440" t="str">
        <f>IFERROR(IF(INDEX(Winter!$1:$1048576,MATCH(All!$A440,Winter!$A:$A,FALSE),MATCH(All!P$1,Winter!$1:$1,FALSE))="","",INDEX(Winter!$1:$1048576,MATCH(All!$A440,Winter!$A:$A,FALSE),MATCH(All!P$1,Winter!$1:$1,FALSE))),"")</f>
        <v>1A</v>
      </c>
      <c r="Q440" t="str">
        <f>IFERROR(IF(INDEX(Winter!$1:$1048576,MATCH(All!$A440,Winter!$A:$A,FALSE),MATCH(All!Q$1,Winter!$1:$1,FALSE))="","",INDEX(Winter!$1:$1048576,MATCH(All!$A440,Winter!$A:$A,FALSE),MATCH(All!Q$1,Winter!$1:$1,FALSE))),"")</f>
        <v>1A</v>
      </c>
      <c r="R440" t="str">
        <f>IFERROR(IF(INDEX(Winter!$1:$1048576,MATCH(All!$A440,Winter!$A:$A,FALSE),MATCH(All!R$1,Winter!$1:$1,FALSE))="","",INDEX(Winter!$1:$1048576,MATCH(All!$A440,Winter!$A:$A,FALSE),MATCH(All!R$1,Winter!$1:$1,FALSE))),"")</f>
        <v>1A</v>
      </c>
      <c r="S440" t="str">
        <f>IFERROR(IF(INDEX(Winter!$1:$1048576,MATCH(All!$A440,Winter!$A:$A,FALSE),MATCH(All!S$1,Winter!$1:$1,FALSE))="","",INDEX(Winter!$1:$1048576,MATCH(All!$A440,Winter!$A:$A,FALSE),MATCH(All!S$1,Winter!$1:$1,FALSE))),"")</f>
        <v>1A</v>
      </c>
      <c r="T440" t="str">
        <f>IFERROR(IF(INDEX(Winter!$1:$1048576,MATCH(All!$A440,Winter!$A:$A,FALSE),MATCH(All!T$1,Winter!$1:$1,FALSE))="","",INDEX(Winter!$1:$1048576,MATCH(All!$A440,Winter!$A:$A,FALSE),MATCH(All!T$1,Winter!$1:$1,FALSE))),"")</f>
        <v>1A</v>
      </c>
      <c r="U440" t="str">
        <f>IFERROR(IF(INDEX(Winter!$1:$1048576,MATCH(All!$A440,Winter!$A:$A,FALSE),MATCH(All!U$1,Winter!$1:$1,FALSE))="","",INDEX(Winter!$1:$1048576,MATCH(All!$A440,Winter!$A:$A,FALSE),MATCH(All!U$1,Winter!$1:$1,FALSE))),"")</f>
        <v>1A</v>
      </c>
      <c r="W440">
        <f>IFERROR(IF(INDEX(Spring!$1:$1048576,MATCH(All!$A440,Spring!$A:$A,FALSE),MATCH(All!W$1,Spring!$1:$1,FALSE))="","",INDEX(Spring!$1:$1048576,MATCH(All!$A440,Spring!$A:$A,FALSE),MATCH(All!W$1,Spring!$1:$1,FALSE))),"")</f>
        <v>275</v>
      </c>
      <c r="X440" t="str">
        <f>IFERROR(IF(INDEX(Spring!$1:$1048576,MATCH(All!$A440,Spring!$A:$A,FALSE),MATCH(All!X$1,Spring!$1:$1,FALSE))="","",INDEX(Spring!$1:$1048576,MATCH(All!$A440,Spring!$A:$A,FALSE),MATCH(All!X$1,Spring!$1:$1,FALSE))),"")</f>
        <v>1A</v>
      </c>
      <c r="Y440" t="str">
        <f>IFERROR(IF(INDEX(Spring!$1:$1048576,MATCH(All!$A440,Spring!$A:$A,FALSE),MATCH(All!Y$1,Spring!$1:$1,FALSE))="","",INDEX(Spring!$1:$1048576,MATCH(All!$A440,Spring!$A:$A,FALSE),MATCH(All!Y$1,Spring!$1:$1,FALSE))),"")</f>
        <v>1A</v>
      </c>
      <c r="Z440" t="str">
        <f>IFERROR(IF(INDEX(Spring!$1:$1048576,MATCH(All!$A440,Spring!$A:$A,FALSE),MATCH(All!Z$1,Spring!$1:$1,FALSE))="","",INDEX(Spring!$1:$1048576,MATCH(All!$A440,Spring!$A:$A,FALSE),MATCH(All!Z$1,Spring!$1:$1,FALSE))),"")</f>
        <v/>
      </c>
      <c r="AA440" t="str">
        <f>IFERROR(IF(INDEX(Spring!$1:$1048576,MATCH(All!$A440,Spring!$A:$A,FALSE),MATCH(All!AA$1,Spring!$1:$1,FALSE))="","",INDEX(Spring!$1:$1048576,MATCH(All!$A440,Spring!$A:$A,FALSE),MATCH(All!AA$1,Spring!$1:$1,FALSE))),"")</f>
        <v/>
      </c>
      <c r="AB440" t="str">
        <f>IFERROR(IF(INDEX(Spring!$1:$1048576,MATCH(All!$A440,Spring!$A:$A,FALSE),MATCH(All!AB$1,Spring!$1:$1,FALSE))="","",INDEX(Spring!$1:$1048576,MATCH(All!$A440,Spring!$A:$A,FALSE),MATCH(All!AB$1,Spring!$1:$1,FALSE))),"")</f>
        <v>1A</v>
      </c>
      <c r="AC440" t="str">
        <f>IFERROR(IF(INDEX(Spring!$1:$1048576,MATCH(All!$A440,Spring!$A:$A,FALSE),MATCH(All!AC$1,Spring!$1:$1,FALSE))="","",INDEX(Spring!$1:$1048576,MATCH(All!$A440,Spring!$A:$A,FALSE),MATCH(All!AC$1,Spring!$1:$1,FALSE))),"")</f>
        <v>1A</v>
      </c>
      <c r="AD440" t="str">
        <f>IFERROR(VLOOKUP(A440,'Flag Football'!A:A,1,FALSE),"")</f>
        <v/>
      </c>
      <c r="AE440" t="str">
        <f t="shared" si="6"/>
        <v/>
      </c>
    </row>
    <row r="441" spans="1:31" ht="15.75" thickBot="1" x14ac:dyDescent="0.3">
      <c r="A441" s="20" t="s">
        <v>530</v>
      </c>
      <c r="B441" s="38">
        <f>IFERROR(VLOOKUP(A441,'Public v Private'!A:G,3,FALSE),"")</f>
        <v>0</v>
      </c>
      <c r="C441" s="38">
        <f>IFERROR(VLOOKUP(A441,'Public v Private'!A:G,4,FALSE),"")</f>
        <v>0</v>
      </c>
      <c r="D441" s="38">
        <f>IFERROR(VLOOKUP(A441,'Public v Private'!A:G,5,FALSE),"")</f>
        <v>0</v>
      </c>
      <c r="E441" s="38"/>
      <c r="F441" s="40">
        <f>IFERROR(INDEX(Fall!$1:$1048576,MATCH(All!$A441,Fall!$A:$A,FALSE),MATCH(All!F$1,Fall!$1:$1,FALSE)),"N/A")</f>
        <v>3653</v>
      </c>
      <c r="G441" t="str">
        <f>IFERROR(IF(INDEX(Fall!$1:$1048576,MATCH(All!$A441,Fall!$A:$A,FALSE),MATCH(All!G$1,Fall!$1:$1,FALSE))="","",INDEX(Fall!$1:$1048576,MATCH(All!$A441,Fall!$A:$A,FALSE),MATCH(All!G$1,Fall!$1:$1,FALSE))),"")</f>
        <v>3A</v>
      </c>
      <c r="H441" t="str">
        <f>IFERROR(IF(INDEX(Fall!$1:$1048576,MATCH(All!$A441,Fall!$A:$A,FALSE),MATCH(All!H$1,Fall!$1:$1,FALSE))="","",INDEX(Fall!$1:$1048576,MATCH(All!$A441,Fall!$A:$A,FALSE),MATCH(All!H$1,Fall!$1:$1,FALSE))),"")</f>
        <v>3A</v>
      </c>
      <c r="I441" t="str">
        <f>IFERROR(IF(INDEX(Fall!$1:$1048576,MATCH(All!$A441,Fall!$A:$A,FALSE),MATCH(All!I$1,Fall!$1:$1,FALSE))="","",INDEX(Fall!$1:$1048576,MATCH(All!$A441,Fall!$A:$A,FALSE),MATCH(All!I$1,Fall!$1:$1,FALSE))),"")</f>
        <v>3A</v>
      </c>
      <c r="J441" t="str">
        <f>IFERROR(IF(INDEX(Fall!$1:$1048576,MATCH(All!$A441,Fall!$A:$A,FALSE),MATCH(All!J$1,Fall!$1:$1,FALSE))="","",INDEX(Fall!$1:$1048576,MATCH(All!$A441,Fall!$A:$A,FALSE),MATCH(All!J$1,Fall!$1:$1,FALSE))),"")</f>
        <v>2A</v>
      </c>
      <c r="K441" t="str">
        <f>IFERROR(IF(INDEX(Fall!$1:$1048576,MATCH(All!$A441,Fall!$A:$A,FALSE),MATCH(All!K$1,Fall!$1:$1,FALSE))="","",INDEX(Fall!$1:$1048576,MATCH(All!$A441,Fall!$A:$A,FALSE),MATCH(All!K$1,Fall!$1:$1,FALSE))),"")</f>
        <v>3A</v>
      </c>
      <c r="L441" t="str">
        <f>IFERROR(IF(INDEX(Fall!$1:$1048576,MATCH(All!$A441,Fall!$A:$A,FALSE),MATCH(All!L$1,Fall!$1:$1,FALSE))="","",INDEX(Fall!$1:$1048576,MATCH(All!$A441,Fall!$A:$A,FALSE),MATCH(All!L$1,Fall!$1:$1,FALSE))),"")</f>
        <v>2A</v>
      </c>
      <c r="M441" t="str">
        <f>IFERROR(IF(INDEX(Fall!$1:$1048576,MATCH(All!$A441,Fall!$A:$A,FALSE),MATCH(All!M$1,Fall!$1:$1,FALSE))="","",INDEX(Fall!$1:$1048576,MATCH(All!$A441,Fall!$A:$A,FALSE),MATCH(All!M$1,Fall!$1:$1,FALSE))),"")</f>
        <v>4A</v>
      </c>
      <c r="O441">
        <f>IFERROR(IF(INDEX(Winter!$1:$1048576,MATCH(All!$A441,Winter!$A:$A,FALSE),MATCH(All!O$1,Winter!$1:$1,FALSE))="","",INDEX(Winter!$1:$1048576,MATCH(All!$A441,Winter!$A:$A,FALSE),MATCH(All!O$1,Winter!$1:$1,FALSE))),"")</f>
        <v>3653</v>
      </c>
      <c r="P441" t="str">
        <f>IFERROR(IF(INDEX(Winter!$1:$1048576,MATCH(All!$A441,Winter!$A:$A,FALSE),MATCH(All!P$1,Winter!$1:$1,FALSE))="","",INDEX(Winter!$1:$1048576,MATCH(All!$A441,Winter!$A:$A,FALSE),MATCH(All!P$1,Winter!$1:$1,FALSE))),"")</f>
        <v>4A</v>
      </c>
      <c r="Q441" t="str">
        <f>IFERROR(IF(INDEX(Winter!$1:$1048576,MATCH(All!$A441,Winter!$A:$A,FALSE),MATCH(All!Q$1,Winter!$1:$1,FALSE))="","",INDEX(Winter!$1:$1048576,MATCH(All!$A441,Winter!$A:$A,FALSE),MATCH(All!Q$1,Winter!$1:$1,FALSE))),"")</f>
        <v>4A</v>
      </c>
      <c r="R441" t="str">
        <f>IFERROR(IF(INDEX(Winter!$1:$1048576,MATCH(All!$A441,Winter!$A:$A,FALSE),MATCH(All!R$1,Winter!$1:$1,FALSE))="","",INDEX(Winter!$1:$1048576,MATCH(All!$A441,Winter!$A:$A,FALSE),MATCH(All!R$1,Winter!$1:$1,FALSE))),"")</f>
        <v>C</v>
      </c>
      <c r="S441" t="str">
        <f>IFERROR(IF(INDEX(Winter!$1:$1048576,MATCH(All!$A441,Winter!$A:$A,FALSE),MATCH(All!S$1,Winter!$1:$1,FALSE))="","",INDEX(Winter!$1:$1048576,MATCH(All!$A441,Winter!$A:$A,FALSE),MATCH(All!S$1,Winter!$1:$1,FALSE))),"")</f>
        <v>3A</v>
      </c>
      <c r="T441" t="str">
        <f>IFERROR(IF(INDEX(Winter!$1:$1048576,MATCH(All!$A441,Winter!$A:$A,FALSE),MATCH(All!T$1,Winter!$1:$1,FALSE))="","",INDEX(Winter!$1:$1048576,MATCH(All!$A441,Winter!$A:$A,FALSE),MATCH(All!T$1,Winter!$1:$1,FALSE))),"")</f>
        <v>2A</v>
      </c>
      <c r="U441" t="str">
        <f>IFERROR(IF(INDEX(Winter!$1:$1048576,MATCH(All!$A441,Winter!$A:$A,FALSE),MATCH(All!U$1,Winter!$1:$1,FALSE))="","",INDEX(Winter!$1:$1048576,MATCH(All!$A441,Winter!$A:$A,FALSE),MATCH(All!U$1,Winter!$1:$1,FALSE))),"")</f>
        <v>3A</v>
      </c>
      <c r="W441">
        <f>IFERROR(IF(INDEX(Spring!$1:$1048576,MATCH(All!$A441,Spring!$A:$A,FALSE),MATCH(All!W$1,Spring!$1:$1,FALSE))="","",INDEX(Spring!$1:$1048576,MATCH(All!$A441,Spring!$A:$A,FALSE),MATCH(All!W$1,Spring!$1:$1,FALSE))),"")</f>
        <v>3653</v>
      </c>
      <c r="X441" t="str">
        <f>IFERROR(IF(INDEX(Spring!$1:$1048576,MATCH(All!$A441,Spring!$A:$A,FALSE),MATCH(All!X$1,Spring!$1:$1,FALSE))="","",INDEX(Spring!$1:$1048576,MATCH(All!$A441,Spring!$A:$A,FALSE),MATCH(All!X$1,Spring!$1:$1,FALSE))),"")</f>
        <v>4A</v>
      </c>
      <c r="Y441" t="str">
        <f>IFERROR(IF(INDEX(Spring!$1:$1048576,MATCH(All!$A441,Spring!$A:$A,FALSE),MATCH(All!Y$1,Spring!$1:$1,FALSE))="","",INDEX(Spring!$1:$1048576,MATCH(All!$A441,Spring!$A:$A,FALSE),MATCH(All!Y$1,Spring!$1:$1,FALSE))),"")</f>
        <v>4A</v>
      </c>
      <c r="Z441" t="str">
        <f>IFERROR(IF(INDEX(Spring!$1:$1048576,MATCH(All!$A441,Spring!$A:$A,FALSE),MATCH(All!Z$1,Spring!$1:$1,FALSE))="","",INDEX(Spring!$1:$1048576,MATCH(All!$A441,Spring!$A:$A,FALSE),MATCH(All!Z$1,Spring!$1:$1,FALSE))),"")</f>
        <v>3A</v>
      </c>
      <c r="AA441" t="str">
        <f>IFERROR(IF(INDEX(Spring!$1:$1048576,MATCH(All!$A441,Spring!$A:$A,FALSE),MATCH(All!AA$1,Spring!$1:$1,FALSE))="","",INDEX(Spring!$1:$1048576,MATCH(All!$A441,Spring!$A:$A,FALSE),MATCH(All!AA$1,Spring!$1:$1,FALSE))),"")</f>
        <v>2A</v>
      </c>
      <c r="AB441" t="str">
        <f>IFERROR(IF(INDEX(Spring!$1:$1048576,MATCH(All!$A441,Spring!$A:$A,FALSE),MATCH(All!AB$1,Spring!$1:$1,FALSE))="","",INDEX(Spring!$1:$1048576,MATCH(All!$A441,Spring!$A:$A,FALSE),MATCH(All!AB$1,Spring!$1:$1,FALSE))),"")</f>
        <v>3A</v>
      </c>
      <c r="AC441" t="str">
        <f>IFERROR(IF(INDEX(Spring!$1:$1048576,MATCH(All!$A441,Spring!$A:$A,FALSE),MATCH(All!AC$1,Spring!$1:$1,FALSE))="","",INDEX(Spring!$1:$1048576,MATCH(All!$A441,Spring!$A:$A,FALSE),MATCH(All!AC$1,Spring!$1:$1,FALSE))),"")</f>
        <v>3A</v>
      </c>
      <c r="AD441" t="str">
        <f>IFERROR(VLOOKUP(A441,'Flag Football'!A:A,1,FALSE),"")</f>
        <v>LaGrange (Lyons)</v>
      </c>
      <c r="AE441" t="str">
        <f t="shared" si="6"/>
        <v>1A</v>
      </c>
    </row>
    <row r="442" spans="1:31" ht="15.75" thickBot="1" x14ac:dyDescent="0.3">
      <c r="A442" s="18" t="s">
        <v>531</v>
      </c>
      <c r="B442" s="38" t="str">
        <f>IFERROR(VLOOKUP(A442,'Public v Private'!A:G,3,FALSE),"")</f>
        <v>private</v>
      </c>
      <c r="C442" s="38">
        <f>IFERROR(VLOOKUP(A442,'Public v Private'!A:G,4,FALSE),"")</f>
        <v>3</v>
      </c>
      <c r="D442" s="38">
        <f>IFERROR(VLOOKUP(A442,'Public v Private'!A:G,5,FALSE),"")</f>
        <v>8</v>
      </c>
      <c r="E442" s="38"/>
      <c r="F442" s="40" t="str">
        <f>IFERROR(INDEX(Fall!$1:$1048576,MATCH(All!$A442,Fall!$A:$A,FALSE),MATCH(All!F$1,Fall!$1:$1,FALSE)),"N/A")</f>
        <v>790.00 (1,303.50)</v>
      </c>
      <c r="G442" t="str">
        <f>IFERROR(IF(INDEX(Fall!$1:$1048576,MATCH(All!$A442,Fall!$A:$A,FALSE),MATCH(All!G$1,Fall!$1:$1,FALSE))="","",INDEX(Fall!$1:$1048576,MATCH(All!$A442,Fall!$A:$A,FALSE),MATCH(All!G$1,Fall!$1:$1,FALSE))),"")</f>
        <v>2A</v>
      </c>
      <c r="H442" t="str">
        <f>IFERROR(IF(INDEX(Fall!$1:$1048576,MATCH(All!$A442,Fall!$A:$A,FALSE),MATCH(All!H$1,Fall!$1:$1,FALSE))="","",INDEX(Fall!$1:$1048576,MATCH(All!$A442,Fall!$A:$A,FALSE),MATCH(All!H$1,Fall!$1:$1,FALSE))),"")</f>
        <v>2A</v>
      </c>
      <c r="I442" t="str">
        <f>IFERROR(IF(INDEX(Fall!$1:$1048576,MATCH(All!$A442,Fall!$A:$A,FALSE),MATCH(All!I$1,Fall!$1:$1,FALSE))="","",INDEX(Fall!$1:$1048576,MATCH(All!$A442,Fall!$A:$A,FALSE),MATCH(All!I$1,Fall!$1:$1,FALSE))),"")</f>
        <v>2A</v>
      </c>
      <c r="J442" t="str">
        <f>IFERROR(IF(INDEX(Fall!$1:$1048576,MATCH(All!$A442,Fall!$A:$A,FALSE),MATCH(All!J$1,Fall!$1:$1,FALSE))="","",INDEX(Fall!$1:$1048576,MATCH(All!$A442,Fall!$A:$A,FALSE),MATCH(All!J$1,Fall!$1:$1,FALSE))),"")</f>
        <v>2A</v>
      </c>
      <c r="K442" t="str">
        <f>IFERROR(IF(INDEX(Fall!$1:$1048576,MATCH(All!$A442,Fall!$A:$A,FALSE),MATCH(All!K$1,Fall!$1:$1,FALSE))="","",INDEX(Fall!$1:$1048576,MATCH(All!$A442,Fall!$A:$A,FALSE),MATCH(All!K$1,Fall!$1:$1,FALSE))),"")</f>
        <v>2A</v>
      </c>
      <c r="L442" t="str">
        <f>IFERROR(IF(INDEX(Fall!$1:$1048576,MATCH(All!$A442,Fall!$A:$A,FALSE),MATCH(All!L$1,Fall!$1:$1,FALSE))="","",INDEX(Fall!$1:$1048576,MATCH(All!$A442,Fall!$A:$A,FALSE),MATCH(All!L$1,Fall!$1:$1,FALSE))),"")</f>
        <v>1A</v>
      </c>
      <c r="M442" t="str">
        <f>IFERROR(IF(INDEX(Fall!$1:$1048576,MATCH(All!$A442,Fall!$A:$A,FALSE),MATCH(All!M$1,Fall!$1:$1,FALSE))="","",INDEX(Fall!$1:$1048576,MATCH(All!$A442,Fall!$A:$A,FALSE),MATCH(All!M$1,Fall!$1:$1,FALSE))),"")</f>
        <v>3A</v>
      </c>
      <c r="O442" t="str">
        <f>IFERROR(IF(INDEX(Winter!$1:$1048576,MATCH(All!$A442,Winter!$A:$A,FALSE),MATCH(All!O$1,Winter!$1:$1,FALSE))="","",INDEX(Winter!$1:$1048576,MATCH(All!$A442,Winter!$A:$A,FALSE),MATCH(All!O$1,Winter!$1:$1,FALSE))),"")</f>
        <v>790.00 (1,303.50)</v>
      </c>
      <c r="P442" t="str">
        <f>IFERROR(IF(INDEX(Winter!$1:$1048576,MATCH(All!$A442,Winter!$A:$A,FALSE),MATCH(All!P$1,Winter!$1:$1,FALSE))="","",INDEX(Winter!$1:$1048576,MATCH(All!$A442,Winter!$A:$A,FALSE),MATCH(All!P$1,Winter!$1:$1,FALSE))),"")</f>
        <v>3A</v>
      </c>
      <c r="Q442" t="str">
        <f>IFERROR(IF(INDEX(Winter!$1:$1048576,MATCH(All!$A442,Winter!$A:$A,FALSE),MATCH(All!Q$1,Winter!$1:$1,FALSE))="","",INDEX(Winter!$1:$1048576,MATCH(All!$A442,Winter!$A:$A,FALSE),MATCH(All!Q$1,Winter!$1:$1,FALSE))),"")</f>
        <v>4A</v>
      </c>
      <c r="R442" t="str">
        <f>IFERROR(IF(INDEX(Winter!$1:$1048576,MATCH(All!$A442,Winter!$A:$A,FALSE),MATCH(All!R$1,Winter!$1:$1,FALSE))="","",INDEX(Winter!$1:$1048576,MATCH(All!$A442,Winter!$A:$A,FALSE),MATCH(All!R$1,Winter!$1:$1,FALSE))),"")</f>
        <v>2A</v>
      </c>
      <c r="S442" t="str">
        <f>IFERROR(IF(INDEX(Winter!$1:$1048576,MATCH(All!$A442,Winter!$A:$A,FALSE),MATCH(All!S$1,Winter!$1:$1,FALSE))="","",INDEX(Winter!$1:$1048576,MATCH(All!$A442,Winter!$A:$A,FALSE),MATCH(All!S$1,Winter!$1:$1,FALSE))),"")</f>
        <v>2A</v>
      </c>
      <c r="T442" t="str">
        <f>IFERROR(IF(INDEX(Winter!$1:$1048576,MATCH(All!$A442,Winter!$A:$A,FALSE),MATCH(All!T$1,Winter!$1:$1,FALSE))="","",INDEX(Winter!$1:$1048576,MATCH(All!$A442,Winter!$A:$A,FALSE),MATCH(All!T$1,Winter!$1:$1,FALSE))),"")</f>
        <v/>
      </c>
      <c r="U442" t="str">
        <f>IFERROR(IF(INDEX(Winter!$1:$1048576,MATCH(All!$A442,Winter!$A:$A,FALSE),MATCH(All!U$1,Winter!$1:$1,FALSE))="","",INDEX(Winter!$1:$1048576,MATCH(All!$A442,Winter!$A:$A,FALSE),MATCH(All!U$1,Winter!$1:$1,FALSE))),"")</f>
        <v>2A</v>
      </c>
      <c r="W442" t="str">
        <f>IFERROR(IF(INDEX(Spring!$1:$1048576,MATCH(All!$A442,Spring!$A:$A,FALSE),MATCH(All!W$1,Spring!$1:$1,FALSE))="","",INDEX(Spring!$1:$1048576,MATCH(All!$A442,Spring!$A:$A,FALSE),MATCH(All!W$1,Spring!$1:$1,FALSE))),"")</f>
        <v>790.00 (1,303.50)</v>
      </c>
      <c r="X442" t="str">
        <f>IFERROR(IF(INDEX(Spring!$1:$1048576,MATCH(All!$A442,Spring!$A:$A,FALSE),MATCH(All!X$1,Spring!$1:$1,FALSE))="","",INDEX(Spring!$1:$1048576,MATCH(All!$A442,Spring!$A:$A,FALSE),MATCH(All!X$1,Spring!$1:$1,FALSE))),"")</f>
        <v>3A</v>
      </c>
      <c r="Y442" t="str">
        <f>IFERROR(IF(INDEX(Spring!$1:$1048576,MATCH(All!$A442,Spring!$A:$A,FALSE),MATCH(All!Y$1,Spring!$1:$1,FALSE))="","",INDEX(Spring!$1:$1048576,MATCH(All!$A442,Spring!$A:$A,FALSE),MATCH(All!Y$1,Spring!$1:$1,FALSE))),"")</f>
        <v>3A</v>
      </c>
      <c r="Z442" t="str">
        <f>IFERROR(IF(INDEX(Spring!$1:$1048576,MATCH(All!$A442,Spring!$A:$A,FALSE),MATCH(All!Z$1,Spring!$1:$1,FALSE))="","",INDEX(Spring!$1:$1048576,MATCH(All!$A442,Spring!$A:$A,FALSE),MATCH(All!Z$1,Spring!$1:$1,FALSE))),"")</f>
        <v>2A</v>
      </c>
      <c r="AA442" t="str">
        <f>IFERROR(IF(INDEX(Spring!$1:$1048576,MATCH(All!$A442,Spring!$A:$A,FALSE),MATCH(All!AA$1,Spring!$1:$1,FALSE))="","",INDEX(Spring!$1:$1048576,MATCH(All!$A442,Spring!$A:$A,FALSE),MATCH(All!AA$1,Spring!$1:$1,FALSE))),"")</f>
        <v>1A</v>
      </c>
      <c r="AB442" t="str">
        <f>IFERROR(IF(INDEX(Spring!$1:$1048576,MATCH(All!$A442,Spring!$A:$A,FALSE),MATCH(All!AB$1,Spring!$1:$1,FALSE))="","",INDEX(Spring!$1:$1048576,MATCH(All!$A442,Spring!$A:$A,FALSE),MATCH(All!AB$1,Spring!$1:$1,FALSE))),"")</f>
        <v>3A</v>
      </c>
      <c r="AC442" t="str">
        <f>IFERROR(IF(INDEX(Spring!$1:$1048576,MATCH(All!$A442,Spring!$A:$A,FALSE),MATCH(All!AC$1,Spring!$1:$1,FALSE))="","",INDEX(Spring!$1:$1048576,MATCH(All!$A442,Spring!$A:$A,FALSE),MATCH(All!AC$1,Spring!$1:$1,FALSE))),"")</f>
        <v>3A</v>
      </c>
      <c r="AD442" t="str">
        <f>IFERROR(VLOOKUP(A442,'Flag Football'!A:A,1,FALSE),"")</f>
        <v/>
      </c>
      <c r="AE442" t="str">
        <f t="shared" si="6"/>
        <v/>
      </c>
    </row>
    <row r="443" spans="1:31" ht="15.75" thickBot="1" x14ac:dyDescent="0.3">
      <c r="A443" s="20" t="s">
        <v>533</v>
      </c>
      <c r="B443" s="38">
        <f>IFERROR(VLOOKUP(A443,'Public v Private'!A:G,3,FALSE),"")</f>
        <v>0</v>
      </c>
      <c r="C443" s="38">
        <f>IFERROR(VLOOKUP(A443,'Public v Private'!A:G,4,FALSE),"")</f>
        <v>0</v>
      </c>
      <c r="D443" s="38">
        <f>IFERROR(VLOOKUP(A443,'Public v Private'!A:G,5,FALSE),"")</f>
        <v>0</v>
      </c>
      <c r="E443" s="38"/>
      <c r="F443" s="40">
        <f>IFERROR(INDEX(Fall!$1:$1048576,MATCH(All!$A443,Fall!$A:$A,FALSE),MATCH(All!F$1,Fall!$1:$1,FALSE)),"N/A")</f>
        <v>1349</v>
      </c>
      <c r="G443" t="str">
        <f>IFERROR(IF(INDEX(Fall!$1:$1048576,MATCH(All!$A443,Fall!$A:$A,FALSE),MATCH(All!G$1,Fall!$1:$1,FALSE))="","",INDEX(Fall!$1:$1048576,MATCH(All!$A443,Fall!$A:$A,FALSE),MATCH(All!G$1,Fall!$1:$1,FALSE))),"")</f>
        <v>2A</v>
      </c>
      <c r="H443" t="str">
        <f>IFERROR(IF(INDEX(Fall!$1:$1048576,MATCH(All!$A443,Fall!$A:$A,FALSE),MATCH(All!H$1,Fall!$1:$1,FALSE))="","",INDEX(Fall!$1:$1048576,MATCH(All!$A443,Fall!$A:$A,FALSE),MATCH(All!H$1,Fall!$1:$1,FALSE))),"")</f>
        <v>2A</v>
      </c>
      <c r="I443" t="str">
        <f>IFERROR(IF(INDEX(Fall!$1:$1048576,MATCH(All!$A443,Fall!$A:$A,FALSE),MATCH(All!I$1,Fall!$1:$1,FALSE))="","",INDEX(Fall!$1:$1048576,MATCH(All!$A443,Fall!$A:$A,FALSE),MATCH(All!I$1,Fall!$1:$1,FALSE))),"")</f>
        <v>2A</v>
      </c>
      <c r="J443" t="str">
        <f>IFERROR(IF(INDEX(Fall!$1:$1048576,MATCH(All!$A443,Fall!$A:$A,FALSE),MATCH(All!J$1,Fall!$1:$1,FALSE))="","",INDEX(Fall!$1:$1048576,MATCH(All!$A443,Fall!$A:$A,FALSE),MATCH(All!J$1,Fall!$1:$1,FALSE))),"")</f>
        <v>2A</v>
      </c>
      <c r="K443" t="str">
        <f>IFERROR(IF(INDEX(Fall!$1:$1048576,MATCH(All!$A443,Fall!$A:$A,FALSE),MATCH(All!K$1,Fall!$1:$1,FALSE))="","",INDEX(Fall!$1:$1048576,MATCH(All!$A443,Fall!$A:$A,FALSE),MATCH(All!K$1,Fall!$1:$1,FALSE))),"")</f>
        <v>2A</v>
      </c>
      <c r="L443" t="str">
        <f>IFERROR(IF(INDEX(Fall!$1:$1048576,MATCH(All!$A443,Fall!$A:$A,FALSE),MATCH(All!L$1,Fall!$1:$1,FALSE))="","",INDEX(Fall!$1:$1048576,MATCH(All!$A443,Fall!$A:$A,FALSE),MATCH(All!L$1,Fall!$1:$1,FALSE))),"")</f>
        <v>1A</v>
      </c>
      <c r="M443" t="str">
        <f>IFERROR(IF(INDEX(Fall!$1:$1048576,MATCH(All!$A443,Fall!$A:$A,FALSE),MATCH(All!M$1,Fall!$1:$1,FALSE))="","",INDEX(Fall!$1:$1048576,MATCH(All!$A443,Fall!$A:$A,FALSE),MATCH(All!M$1,Fall!$1:$1,FALSE))),"")</f>
        <v>3A</v>
      </c>
      <c r="O443">
        <f>IFERROR(IF(INDEX(Winter!$1:$1048576,MATCH(All!$A443,Winter!$A:$A,FALSE),MATCH(All!O$1,Winter!$1:$1,FALSE))="","",INDEX(Winter!$1:$1048576,MATCH(All!$A443,Winter!$A:$A,FALSE),MATCH(All!O$1,Winter!$1:$1,FALSE))),"")</f>
        <v>1349</v>
      </c>
      <c r="P443" t="str">
        <f>IFERROR(IF(INDEX(Winter!$1:$1048576,MATCH(All!$A443,Winter!$A:$A,FALSE),MATCH(All!P$1,Winter!$1:$1,FALSE))="","",INDEX(Winter!$1:$1048576,MATCH(All!$A443,Winter!$A:$A,FALSE),MATCH(All!P$1,Winter!$1:$1,FALSE))),"")</f>
        <v>3A</v>
      </c>
      <c r="Q443" t="str">
        <f>IFERROR(IF(INDEX(Winter!$1:$1048576,MATCH(All!$A443,Winter!$A:$A,FALSE),MATCH(All!Q$1,Winter!$1:$1,FALSE))="","",INDEX(Winter!$1:$1048576,MATCH(All!$A443,Winter!$A:$A,FALSE),MATCH(All!Q$1,Winter!$1:$1,FALSE))),"")</f>
        <v>3A</v>
      </c>
      <c r="R443" t="str">
        <f>IFERROR(IF(INDEX(Winter!$1:$1048576,MATCH(All!$A443,Winter!$A:$A,FALSE),MATCH(All!R$1,Winter!$1:$1,FALSE))="","",INDEX(Winter!$1:$1048576,MATCH(All!$A443,Winter!$A:$A,FALSE),MATCH(All!R$1,Winter!$1:$1,FALSE))),"")</f>
        <v>2A</v>
      </c>
      <c r="S443" t="str">
        <f>IFERROR(IF(INDEX(Winter!$1:$1048576,MATCH(All!$A443,Winter!$A:$A,FALSE),MATCH(All!S$1,Winter!$1:$1,FALSE))="","",INDEX(Winter!$1:$1048576,MATCH(All!$A443,Winter!$A:$A,FALSE),MATCH(All!S$1,Winter!$1:$1,FALSE))),"")</f>
        <v>2A</v>
      </c>
      <c r="T443" t="str">
        <f>IFERROR(IF(INDEX(Winter!$1:$1048576,MATCH(All!$A443,Winter!$A:$A,FALSE),MATCH(All!T$1,Winter!$1:$1,FALSE))="","",INDEX(Winter!$1:$1048576,MATCH(All!$A443,Winter!$A:$A,FALSE),MATCH(All!T$1,Winter!$1:$1,FALSE))),"")</f>
        <v>2A</v>
      </c>
      <c r="U443" t="str">
        <f>IFERROR(IF(INDEX(Winter!$1:$1048576,MATCH(All!$A443,Winter!$A:$A,FALSE),MATCH(All!U$1,Winter!$1:$1,FALSE))="","",INDEX(Winter!$1:$1048576,MATCH(All!$A443,Winter!$A:$A,FALSE),MATCH(All!U$1,Winter!$1:$1,FALSE))),"")</f>
        <v>2A</v>
      </c>
      <c r="W443">
        <f>IFERROR(IF(INDEX(Spring!$1:$1048576,MATCH(All!$A443,Spring!$A:$A,FALSE),MATCH(All!W$1,Spring!$1:$1,FALSE))="","",INDEX(Spring!$1:$1048576,MATCH(All!$A443,Spring!$A:$A,FALSE),MATCH(All!W$1,Spring!$1:$1,FALSE))),"")</f>
        <v>1349</v>
      </c>
      <c r="X443" t="str">
        <f>IFERROR(IF(INDEX(Spring!$1:$1048576,MATCH(All!$A443,Spring!$A:$A,FALSE),MATCH(All!X$1,Spring!$1:$1,FALSE))="","",INDEX(Spring!$1:$1048576,MATCH(All!$A443,Spring!$A:$A,FALSE),MATCH(All!X$1,Spring!$1:$1,FALSE))),"")</f>
        <v>3A</v>
      </c>
      <c r="Y443" t="str">
        <f>IFERROR(IF(INDEX(Spring!$1:$1048576,MATCH(All!$A443,Spring!$A:$A,FALSE),MATCH(All!Y$1,Spring!$1:$1,FALSE))="","",INDEX(Spring!$1:$1048576,MATCH(All!$A443,Spring!$A:$A,FALSE),MATCH(All!Y$1,Spring!$1:$1,FALSE))),"")</f>
        <v>3A</v>
      </c>
      <c r="Z443" t="str">
        <f>IFERROR(IF(INDEX(Spring!$1:$1048576,MATCH(All!$A443,Spring!$A:$A,FALSE),MATCH(All!Z$1,Spring!$1:$1,FALSE))="","",INDEX(Spring!$1:$1048576,MATCH(All!$A443,Spring!$A:$A,FALSE),MATCH(All!Z$1,Spring!$1:$1,FALSE))),"")</f>
        <v>2A</v>
      </c>
      <c r="AA443" t="str">
        <f>IFERROR(IF(INDEX(Spring!$1:$1048576,MATCH(All!$A443,Spring!$A:$A,FALSE),MATCH(All!AA$1,Spring!$1:$1,FALSE))="","",INDEX(Spring!$1:$1048576,MATCH(All!$A443,Spring!$A:$A,FALSE),MATCH(All!AA$1,Spring!$1:$1,FALSE))),"")</f>
        <v>1A</v>
      </c>
      <c r="AB443" t="str">
        <f>IFERROR(IF(INDEX(Spring!$1:$1048576,MATCH(All!$A443,Spring!$A:$A,FALSE),MATCH(All!AB$1,Spring!$1:$1,FALSE))="","",INDEX(Spring!$1:$1048576,MATCH(All!$A443,Spring!$A:$A,FALSE),MATCH(All!AB$1,Spring!$1:$1,FALSE))),"")</f>
        <v>3A</v>
      </c>
      <c r="AC443" t="str">
        <f>IFERROR(IF(INDEX(Spring!$1:$1048576,MATCH(All!$A443,Spring!$A:$A,FALSE),MATCH(All!AC$1,Spring!$1:$1,FALSE))="","",INDEX(Spring!$1:$1048576,MATCH(All!$A443,Spring!$A:$A,FALSE),MATCH(All!AC$1,Spring!$1:$1,FALSE))),"")</f>
        <v>3A</v>
      </c>
      <c r="AD443" t="str">
        <f>IFERROR(VLOOKUP(A443,'Flag Football'!A:A,1,FALSE),"")</f>
        <v/>
      </c>
      <c r="AE443" t="str">
        <f t="shared" si="6"/>
        <v/>
      </c>
    </row>
    <row r="444" spans="1:31" ht="15.75" thickBot="1" x14ac:dyDescent="0.3">
      <c r="A444" s="18" t="s">
        <v>534</v>
      </c>
      <c r="B444" s="38" t="str">
        <f>IFERROR(VLOOKUP(A444,'Public v Private'!A:G,3,FALSE),"")</f>
        <v>private</v>
      </c>
      <c r="C444" s="38">
        <f>IFERROR(VLOOKUP(A444,'Public v Private'!A:G,4,FALSE),"")</f>
        <v>2</v>
      </c>
      <c r="D444" s="38">
        <f>IFERROR(VLOOKUP(A444,'Public v Private'!A:G,5,FALSE),"")</f>
        <v>6</v>
      </c>
      <c r="E444" s="38"/>
      <c r="F444" s="40" t="str">
        <f>IFERROR(INDEX(Fall!$1:$1048576,MATCH(All!$A444,Fall!$A:$A,FALSE),MATCH(All!F$1,Fall!$1:$1,FALSE)),"N/A")</f>
        <v>104.00 (171.60)</v>
      </c>
      <c r="G444" t="str">
        <f>IFERROR(IF(INDEX(Fall!$1:$1048576,MATCH(All!$A444,Fall!$A:$A,FALSE),MATCH(All!G$1,Fall!$1:$1,FALSE))="","",INDEX(Fall!$1:$1048576,MATCH(All!$A444,Fall!$A:$A,FALSE),MATCH(All!G$1,Fall!$1:$1,FALSE))),"")</f>
        <v/>
      </c>
      <c r="H444" t="str">
        <f>IFERROR(IF(INDEX(Fall!$1:$1048576,MATCH(All!$A444,Fall!$A:$A,FALSE),MATCH(All!H$1,Fall!$1:$1,FALSE))="","",INDEX(Fall!$1:$1048576,MATCH(All!$A444,Fall!$A:$A,FALSE),MATCH(All!H$1,Fall!$1:$1,FALSE))),"")</f>
        <v/>
      </c>
      <c r="I444" t="str">
        <f>IFERROR(IF(INDEX(Fall!$1:$1048576,MATCH(All!$A444,Fall!$A:$A,FALSE),MATCH(All!I$1,Fall!$1:$1,FALSE))="","",INDEX(Fall!$1:$1048576,MATCH(All!$A444,Fall!$A:$A,FALSE),MATCH(All!I$1,Fall!$1:$1,FALSE))),"")</f>
        <v/>
      </c>
      <c r="J444" t="str">
        <f>IFERROR(IF(INDEX(Fall!$1:$1048576,MATCH(All!$A444,Fall!$A:$A,FALSE),MATCH(All!J$1,Fall!$1:$1,FALSE))="","",INDEX(Fall!$1:$1048576,MATCH(All!$A444,Fall!$A:$A,FALSE),MATCH(All!J$1,Fall!$1:$1,FALSE))),"")</f>
        <v/>
      </c>
      <c r="K444" t="str">
        <f>IFERROR(IF(INDEX(Fall!$1:$1048576,MATCH(All!$A444,Fall!$A:$A,FALSE),MATCH(All!K$1,Fall!$1:$1,FALSE))="","",INDEX(Fall!$1:$1048576,MATCH(All!$A444,Fall!$A:$A,FALSE),MATCH(All!K$1,Fall!$1:$1,FALSE))),"")</f>
        <v/>
      </c>
      <c r="L444" t="str">
        <f>IFERROR(IF(INDEX(Fall!$1:$1048576,MATCH(All!$A444,Fall!$A:$A,FALSE),MATCH(All!L$1,Fall!$1:$1,FALSE))="","",INDEX(Fall!$1:$1048576,MATCH(All!$A444,Fall!$A:$A,FALSE),MATCH(All!L$1,Fall!$1:$1,FALSE))),"")</f>
        <v>1A</v>
      </c>
      <c r="M444" t="str">
        <f>IFERROR(IF(INDEX(Fall!$1:$1048576,MATCH(All!$A444,Fall!$A:$A,FALSE),MATCH(All!M$1,Fall!$1:$1,FALSE))="","",INDEX(Fall!$1:$1048576,MATCH(All!$A444,Fall!$A:$A,FALSE),MATCH(All!M$1,Fall!$1:$1,FALSE))),"")</f>
        <v>1A</v>
      </c>
      <c r="O444" t="str">
        <f>IFERROR(IF(INDEX(Winter!$1:$1048576,MATCH(All!$A444,Winter!$A:$A,FALSE),MATCH(All!O$1,Winter!$1:$1,FALSE))="","",INDEX(Winter!$1:$1048576,MATCH(All!$A444,Winter!$A:$A,FALSE),MATCH(All!O$1,Winter!$1:$1,FALSE))),"")</f>
        <v>104.00 (171.60)</v>
      </c>
      <c r="P444" t="str">
        <f>IFERROR(IF(INDEX(Winter!$1:$1048576,MATCH(All!$A444,Winter!$A:$A,FALSE),MATCH(All!P$1,Winter!$1:$1,FALSE))="","",INDEX(Winter!$1:$1048576,MATCH(All!$A444,Winter!$A:$A,FALSE),MATCH(All!P$1,Winter!$1:$1,FALSE))),"")</f>
        <v/>
      </c>
      <c r="Q444" t="str">
        <f>IFERROR(IF(INDEX(Winter!$1:$1048576,MATCH(All!$A444,Winter!$A:$A,FALSE),MATCH(All!Q$1,Winter!$1:$1,FALSE))="","",INDEX(Winter!$1:$1048576,MATCH(All!$A444,Winter!$A:$A,FALSE),MATCH(All!Q$1,Winter!$1:$1,FALSE))),"")</f>
        <v>1A</v>
      </c>
      <c r="R444" t="str">
        <f>IFERROR(IF(INDEX(Winter!$1:$1048576,MATCH(All!$A444,Winter!$A:$A,FALSE),MATCH(All!R$1,Winter!$1:$1,FALSE))="","",INDEX(Winter!$1:$1048576,MATCH(All!$A444,Winter!$A:$A,FALSE),MATCH(All!R$1,Winter!$1:$1,FALSE))),"")</f>
        <v/>
      </c>
      <c r="S444" t="str">
        <f>IFERROR(IF(INDEX(Winter!$1:$1048576,MATCH(All!$A444,Winter!$A:$A,FALSE),MATCH(All!S$1,Winter!$1:$1,FALSE))="","",INDEX(Winter!$1:$1048576,MATCH(All!$A444,Winter!$A:$A,FALSE),MATCH(All!S$1,Winter!$1:$1,FALSE))),"")</f>
        <v/>
      </c>
      <c r="T444" t="str">
        <f>IFERROR(IF(INDEX(Winter!$1:$1048576,MATCH(All!$A444,Winter!$A:$A,FALSE),MATCH(All!T$1,Winter!$1:$1,FALSE))="","",INDEX(Winter!$1:$1048576,MATCH(All!$A444,Winter!$A:$A,FALSE),MATCH(All!T$1,Winter!$1:$1,FALSE))),"")</f>
        <v>1A</v>
      </c>
      <c r="U444" t="str">
        <f>IFERROR(IF(INDEX(Winter!$1:$1048576,MATCH(All!$A444,Winter!$A:$A,FALSE),MATCH(All!U$1,Winter!$1:$1,FALSE))="","",INDEX(Winter!$1:$1048576,MATCH(All!$A444,Winter!$A:$A,FALSE),MATCH(All!U$1,Winter!$1:$1,FALSE))),"")</f>
        <v/>
      </c>
      <c r="W444" t="str">
        <f>IFERROR(IF(INDEX(Spring!$1:$1048576,MATCH(All!$A444,Spring!$A:$A,FALSE),MATCH(All!W$1,Spring!$1:$1,FALSE))="","",INDEX(Spring!$1:$1048576,MATCH(All!$A444,Spring!$A:$A,FALSE),MATCH(All!W$1,Spring!$1:$1,FALSE))),"")</f>
        <v>104.00 (171.60)</v>
      </c>
      <c r="X444" t="str">
        <f>IFERROR(IF(INDEX(Spring!$1:$1048576,MATCH(All!$A444,Spring!$A:$A,FALSE),MATCH(All!X$1,Spring!$1:$1,FALSE))="","",INDEX(Spring!$1:$1048576,MATCH(All!$A444,Spring!$A:$A,FALSE),MATCH(All!X$1,Spring!$1:$1,FALSE))),"")</f>
        <v/>
      </c>
      <c r="Y444" t="str">
        <f>IFERROR(IF(INDEX(Spring!$1:$1048576,MATCH(All!$A444,Spring!$A:$A,FALSE),MATCH(All!Y$1,Spring!$1:$1,FALSE))="","",INDEX(Spring!$1:$1048576,MATCH(All!$A444,Spring!$A:$A,FALSE),MATCH(All!Y$1,Spring!$1:$1,FALSE))),"")</f>
        <v>1A</v>
      </c>
      <c r="Z444" t="str">
        <f>IFERROR(IF(INDEX(Spring!$1:$1048576,MATCH(All!$A444,Spring!$A:$A,FALSE),MATCH(All!Z$1,Spring!$1:$1,FALSE))="","",INDEX(Spring!$1:$1048576,MATCH(All!$A444,Spring!$A:$A,FALSE),MATCH(All!Z$1,Spring!$1:$1,FALSE))),"")</f>
        <v>1A</v>
      </c>
      <c r="AA444" t="str">
        <f>IFERROR(IF(INDEX(Spring!$1:$1048576,MATCH(All!$A444,Spring!$A:$A,FALSE),MATCH(All!AA$1,Spring!$1:$1,FALSE))="","",INDEX(Spring!$1:$1048576,MATCH(All!$A444,Spring!$A:$A,FALSE),MATCH(All!AA$1,Spring!$1:$1,FALSE))),"")</f>
        <v/>
      </c>
      <c r="AB444" t="str">
        <f>IFERROR(IF(INDEX(Spring!$1:$1048576,MATCH(All!$A444,Spring!$A:$A,FALSE),MATCH(All!AB$1,Spring!$1:$1,FALSE))="","",INDEX(Spring!$1:$1048576,MATCH(All!$A444,Spring!$A:$A,FALSE),MATCH(All!AB$1,Spring!$1:$1,FALSE))),"")</f>
        <v/>
      </c>
      <c r="AC444" t="str">
        <f>IFERROR(IF(INDEX(Spring!$1:$1048576,MATCH(All!$A444,Spring!$A:$A,FALSE),MATCH(All!AC$1,Spring!$1:$1,FALSE))="","",INDEX(Spring!$1:$1048576,MATCH(All!$A444,Spring!$A:$A,FALSE),MATCH(All!AC$1,Spring!$1:$1,FALSE))),"")</f>
        <v/>
      </c>
      <c r="AD444" t="str">
        <f>IFERROR(VLOOKUP(A444,'Flag Football'!A:A,1,FALSE),"")</f>
        <v/>
      </c>
      <c r="AE444" t="str">
        <f t="shared" si="6"/>
        <v/>
      </c>
    </row>
    <row r="445" spans="1:31" ht="15.75" thickBot="1" x14ac:dyDescent="0.3">
      <c r="A445" s="20" t="s">
        <v>536</v>
      </c>
      <c r="B445" s="38">
        <f>IFERROR(VLOOKUP(A445,'Public v Private'!A:G,3,FALSE),"")</f>
        <v>0</v>
      </c>
      <c r="C445" s="38">
        <f>IFERROR(VLOOKUP(A445,'Public v Private'!A:G,4,FALSE),"")</f>
        <v>0</v>
      </c>
      <c r="D445" s="38">
        <f>IFERROR(VLOOKUP(A445,'Public v Private'!A:G,5,FALSE),"")</f>
        <v>0</v>
      </c>
      <c r="E445" s="38"/>
      <c r="F445" s="40">
        <f>IFERROR(INDEX(Fall!$1:$1048576,MATCH(All!$A445,Fall!$A:$A,FALSE),MATCH(All!F$1,Fall!$1:$1,FALSE)),"N/A")</f>
        <v>1270</v>
      </c>
      <c r="G445" t="str">
        <f>IFERROR(IF(INDEX(Fall!$1:$1048576,MATCH(All!$A445,Fall!$A:$A,FALSE),MATCH(All!G$1,Fall!$1:$1,FALSE))="","",INDEX(Fall!$1:$1048576,MATCH(All!$A445,Fall!$A:$A,FALSE),MATCH(All!G$1,Fall!$1:$1,FALSE))),"")</f>
        <v>2A</v>
      </c>
      <c r="H445" t="str">
        <f>IFERROR(IF(INDEX(Fall!$1:$1048576,MATCH(All!$A445,Fall!$A:$A,FALSE),MATCH(All!H$1,Fall!$1:$1,FALSE))="","",INDEX(Fall!$1:$1048576,MATCH(All!$A445,Fall!$A:$A,FALSE),MATCH(All!H$1,Fall!$1:$1,FALSE))),"")</f>
        <v>2A</v>
      </c>
      <c r="I445" t="str">
        <f>IFERROR(IF(INDEX(Fall!$1:$1048576,MATCH(All!$A445,Fall!$A:$A,FALSE),MATCH(All!I$1,Fall!$1:$1,FALSE))="","",INDEX(Fall!$1:$1048576,MATCH(All!$A445,Fall!$A:$A,FALSE),MATCH(All!I$1,Fall!$1:$1,FALSE))),"")</f>
        <v>2A</v>
      </c>
      <c r="J445" t="str">
        <f>IFERROR(IF(INDEX(Fall!$1:$1048576,MATCH(All!$A445,Fall!$A:$A,FALSE),MATCH(All!J$1,Fall!$1:$1,FALSE))="","",INDEX(Fall!$1:$1048576,MATCH(All!$A445,Fall!$A:$A,FALSE),MATCH(All!J$1,Fall!$1:$1,FALSE))),"")</f>
        <v>2A</v>
      </c>
      <c r="K445" t="str">
        <f>IFERROR(IF(INDEX(Fall!$1:$1048576,MATCH(All!$A445,Fall!$A:$A,FALSE),MATCH(All!K$1,Fall!$1:$1,FALSE))="","",INDEX(Fall!$1:$1048576,MATCH(All!$A445,Fall!$A:$A,FALSE),MATCH(All!K$1,Fall!$1:$1,FALSE))),"")</f>
        <v>2A</v>
      </c>
      <c r="L445" t="str">
        <f>IFERROR(IF(INDEX(Fall!$1:$1048576,MATCH(All!$A445,Fall!$A:$A,FALSE),MATCH(All!L$1,Fall!$1:$1,FALSE))="","",INDEX(Fall!$1:$1048576,MATCH(All!$A445,Fall!$A:$A,FALSE),MATCH(All!L$1,Fall!$1:$1,FALSE))),"")</f>
        <v>1A</v>
      </c>
      <c r="M445" t="str">
        <f>IFERROR(IF(INDEX(Fall!$1:$1048576,MATCH(All!$A445,Fall!$A:$A,FALSE),MATCH(All!M$1,Fall!$1:$1,FALSE))="","",INDEX(Fall!$1:$1048576,MATCH(All!$A445,Fall!$A:$A,FALSE),MATCH(All!M$1,Fall!$1:$1,FALSE))),"")</f>
        <v>3A</v>
      </c>
      <c r="O445">
        <f>IFERROR(IF(INDEX(Winter!$1:$1048576,MATCH(All!$A445,Winter!$A:$A,FALSE),MATCH(All!O$1,Winter!$1:$1,FALSE))="","",INDEX(Winter!$1:$1048576,MATCH(All!$A445,Winter!$A:$A,FALSE),MATCH(All!O$1,Winter!$1:$1,FALSE))),"")</f>
        <v>1270</v>
      </c>
      <c r="P445" t="str">
        <f>IFERROR(IF(INDEX(Winter!$1:$1048576,MATCH(All!$A445,Winter!$A:$A,FALSE),MATCH(All!P$1,Winter!$1:$1,FALSE))="","",INDEX(Winter!$1:$1048576,MATCH(All!$A445,Winter!$A:$A,FALSE),MATCH(All!P$1,Winter!$1:$1,FALSE))),"")</f>
        <v>3A</v>
      </c>
      <c r="Q445" t="str">
        <f>IFERROR(IF(INDEX(Winter!$1:$1048576,MATCH(All!$A445,Winter!$A:$A,FALSE),MATCH(All!Q$1,Winter!$1:$1,FALSE))="","",INDEX(Winter!$1:$1048576,MATCH(All!$A445,Winter!$A:$A,FALSE),MATCH(All!Q$1,Winter!$1:$1,FALSE))),"")</f>
        <v>3A</v>
      </c>
      <c r="R445" t="str">
        <f>IFERROR(IF(INDEX(Winter!$1:$1048576,MATCH(All!$A445,Winter!$A:$A,FALSE),MATCH(All!R$1,Winter!$1:$1,FALSE))="","",INDEX(Winter!$1:$1048576,MATCH(All!$A445,Winter!$A:$A,FALSE),MATCH(All!R$1,Winter!$1:$1,FALSE))),"")</f>
        <v>2A</v>
      </c>
      <c r="S445" t="str">
        <f>IFERROR(IF(INDEX(Winter!$1:$1048576,MATCH(All!$A445,Winter!$A:$A,FALSE),MATCH(All!S$1,Winter!$1:$1,FALSE))="","",INDEX(Winter!$1:$1048576,MATCH(All!$A445,Winter!$A:$A,FALSE),MATCH(All!S$1,Winter!$1:$1,FALSE))),"")</f>
        <v>2A</v>
      </c>
      <c r="T445" t="str">
        <f>IFERROR(IF(INDEX(Winter!$1:$1048576,MATCH(All!$A445,Winter!$A:$A,FALSE),MATCH(All!T$1,Winter!$1:$1,FALSE))="","",INDEX(Winter!$1:$1048576,MATCH(All!$A445,Winter!$A:$A,FALSE),MATCH(All!T$1,Winter!$1:$1,FALSE))),"")</f>
        <v>2A</v>
      </c>
      <c r="U445" t="str">
        <f>IFERROR(IF(INDEX(Winter!$1:$1048576,MATCH(All!$A445,Winter!$A:$A,FALSE),MATCH(All!U$1,Winter!$1:$1,FALSE))="","",INDEX(Winter!$1:$1048576,MATCH(All!$A445,Winter!$A:$A,FALSE),MATCH(All!U$1,Winter!$1:$1,FALSE))),"")</f>
        <v>2A</v>
      </c>
      <c r="W445">
        <f>IFERROR(IF(INDEX(Spring!$1:$1048576,MATCH(All!$A445,Spring!$A:$A,FALSE),MATCH(All!W$1,Spring!$1:$1,FALSE))="","",INDEX(Spring!$1:$1048576,MATCH(All!$A445,Spring!$A:$A,FALSE),MATCH(All!W$1,Spring!$1:$1,FALSE))),"")</f>
        <v>1270</v>
      </c>
      <c r="X445" t="str">
        <f>IFERROR(IF(INDEX(Spring!$1:$1048576,MATCH(All!$A445,Spring!$A:$A,FALSE),MATCH(All!X$1,Spring!$1:$1,FALSE))="","",INDEX(Spring!$1:$1048576,MATCH(All!$A445,Spring!$A:$A,FALSE),MATCH(All!X$1,Spring!$1:$1,FALSE))),"")</f>
        <v>3A</v>
      </c>
      <c r="Y445" t="str">
        <f>IFERROR(IF(INDEX(Spring!$1:$1048576,MATCH(All!$A445,Spring!$A:$A,FALSE),MATCH(All!Y$1,Spring!$1:$1,FALSE))="","",INDEX(Spring!$1:$1048576,MATCH(All!$A445,Spring!$A:$A,FALSE),MATCH(All!Y$1,Spring!$1:$1,FALSE))),"")</f>
        <v>3A</v>
      </c>
      <c r="Z445" t="str">
        <f>IFERROR(IF(INDEX(Spring!$1:$1048576,MATCH(All!$A445,Spring!$A:$A,FALSE),MATCH(All!Z$1,Spring!$1:$1,FALSE))="","",INDEX(Spring!$1:$1048576,MATCH(All!$A445,Spring!$A:$A,FALSE),MATCH(All!Z$1,Spring!$1:$1,FALSE))),"")</f>
        <v>2A</v>
      </c>
      <c r="AA445" t="str">
        <f>IFERROR(IF(INDEX(Spring!$1:$1048576,MATCH(All!$A445,Spring!$A:$A,FALSE),MATCH(All!AA$1,Spring!$1:$1,FALSE))="","",INDEX(Spring!$1:$1048576,MATCH(All!$A445,Spring!$A:$A,FALSE),MATCH(All!AA$1,Spring!$1:$1,FALSE))),"")</f>
        <v>1A</v>
      </c>
      <c r="AB445" t="str">
        <f>IFERROR(IF(INDEX(Spring!$1:$1048576,MATCH(All!$A445,Spring!$A:$A,FALSE),MATCH(All!AB$1,Spring!$1:$1,FALSE))="","",INDEX(Spring!$1:$1048576,MATCH(All!$A445,Spring!$A:$A,FALSE),MATCH(All!AB$1,Spring!$1:$1,FALSE))),"")</f>
        <v>3A</v>
      </c>
      <c r="AC445" t="str">
        <f>IFERROR(IF(INDEX(Spring!$1:$1048576,MATCH(All!$A445,Spring!$A:$A,FALSE),MATCH(All!AC$1,Spring!$1:$1,FALSE))="","",INDEX(Spring!$1:$1048576,MATCH(All!$A445,Spring!$A:$A,FALSE),MATCH(All!AC$1,Spring!$1:$1,FALSE))),"")</f>
        <v>3A</v>
      </c>
      <c r="AD445" t="str">
        <f>IFERROR(VLOOKUP(A445,'Flag Football'!A:A,1,FALSE),"")</f>
        <v>Lake Villa (Lakes)</v>
      </c>
      <c r="AE445" t="str">
        <f t="shared" si="6"/>
        <v>1A</v>
      </c>
    </row>
    <row r="446" spans="1:31" ht="15.75" thickBot="1" x14ac:dyDescent="0.3">
      <c r="A446" s="18" t="s">
        <v>537</v>
      </c>
      <c r="B446" s="38">
        <f>IFERROR(VLOOKUP(A446,'Public v Private'!A:G,3,FALSE),"")</f>
        <v>0</v>
      </c>
      <c r="C446" s="38">
        <f>IFERROR(VLOOKUP(A446,'Public v Private'!A:G,4,FALSE),"")</f>
        <v>0</v>
      </c>
      <c r="D446" s="38">
        <f>IFERROR(VLOOKUP(A446,'Public v Private'!A:G,5,FALSE),"")</f>
        <v>0</v>
      </c>
      <c r="E446" s="38"/>
      <c r="F446" s="40">
        <f>IFERROR(INDEX(Fall!$1:$1048576,MATCH(All!$A446,Fall!$A:$A,FALSE),MATCH(All!F$1,Fall!$1:$1,FALSE)),"N/A")</f>
        <v>1794</v>
      </c>
      <c r="G446" t="str">
        <f>IFERROR(IF(INDEX(Fall!$1:$1048576,MATCH(All!$A446,Fall!$A:$A,FALSE),MATCH(All!G$1,Fall!$1:$1,FALSE))="","",INDEX(Fall!$1:$1048576,MATCH(All!$A446,Fall!$A:$A,FALSE),MATCH(All!G$1,Fall!$1:$1,FALSE))),"")</f>
        <v>3A</v>
      </c>
      <c r="H446" t="str">
        <f>IFERROR(IF(INDEX(Fall!$1:$1048576,MATCH(All!$A446,Fall!$A:$A,FALSE),MATCH(All!H$1,Fall!$1:$1,FALSE))="","",INDEX(Fall!$1:$1048576,MATCH(All!$A446,Fall!$A:$A,FALSE),MATCH(All!H$1,Fall!$1:$1,FALSE))),"")</f>
        <v>3A</v>
      </c>
      <c r="I446" t="str">
        <f>IFERROR(IF(INDEX(Fall!$1:$1048576,MATCH(All!$A446,Fall!$A:$A,FALSE),MATCH(All!I$1,Fall!$1:$1,FALSE))="","",INDEX(Fall!$1:$1048576,MATCH(All!$A446,Fall!$A:$A,FALSE),MATCH(All!I$1,Fall!$1:$1,FALSE))),"")</f>
        <v>3A</v>
      </c>
      <c r="J446" t="str">
        <f>IFERROR(IF(INDEX(Fall!$1:$1048576,MATCH(All!$A446,Fall!$A:$A,FALSE),MATCH(All!J$1,Fall!$1:$1,FALSE))="","",INDEX(Fall!$1:$1048576,MATCH(All!$A446,Fall!$A:$A,FALSE),MATCH(All!J$1,Fall!$1:$1,FALSE))),"")</f>
        <v>2A</v>
      </c>
      <c r="K446" t="str">
        <f>IFERROR(IF(INDEX(Fall!$1:$1048576,MATCH(All!$A446,Fall!$A:$A,FALSE),MATCH(All!K$1,Fall!$1:$1,FALSE))="","",INDEX(Fall!$1:$1048576,MATCH(All!$A446,Fall!$A:$A,FALSE),MATCH(All!K$1,Fall!$1:$1,FALSE))),"")</f>
        <v>3A</v>
      </c>
      <c r="L446" t="str">
        <f>IFERROR(IF(INDEX(Fall!$1:$1048576,MATCH(All!$A446,Fall!$A:$A,FALSE),MATCH(All!L$1,Fall!$1:$1,FALSE))="","",INDEX(Fall!$1:$1048576,MATCH(All!$A446,Fall!$A:$A,FALSE),MATCH(All!L$1,Fall!$1:$1,FALSE))),"")</f>
        <v>2A</v>
      </c>
      <c r="M446" t="str">
        <f>IFERROR(IF(INDEX(Fall!$1:$1048576,MATCH(All!$A446,Fall!$A:$A,FALSE),MATCH(All!M$1,Fall!$1:$1,FALSE))="","",INDEX(Fall!$1:$1048576,MATCH(All!$A446,Fall!$A:$A,FALSE),MATCH(All!M$1,Fall!$1:$1,FALSE))),"")</f>
        <v>4A</v>
      </c>
      <c r="O446">
        <f>IFERROR(IF(INDEX(Winter!$1:$1048576,MATCH(All!$A446,Winter!$A:$A,FALSE),MATCH(All!O$1,Winter!$1:$1,FALSE))="","",INDEX(Winter!$1:$1048576,MATCH(All!$A446,Winter!$A:$A,FALSE),MATCH(All!O$1,Winter!$1:$1,FALSE))),"")</f>
        <v>1794</v>
      </c>
      <c r="P446" t="str">
        <f>IFERROR(IF(INDEX(Winter!$1:$1048576,MATCH(All!$A446,Winter!$A:$A,FALSE),MATCH(All!P$1,Winter!$1:$1,FALSE))="","",INDEX(Winter!$1:$1048576,MATCH(All!$A446,Winter!$A:$A,FALSE),MATCH(All!P$1,Winter!$1:$1,FALSE))),"")</f>
        <v>4A</v>
      </c>
      <c r="Q446" t="str">
        <f>IFERROR(IF(INDEX(Winter!$1:$1048576,MATCH(All!$A446,Winter!$A:$A,FALSE),MATCH(All!Q$1,Winter!$1:$1,FALSE))="","",INDEX(Winter!$1:$1048576,MATCH(All!$A446,Winter!$A:$A,FALSE),MATCH(All!Q$1,Winter!$1:$1,FALSE))),"")</f>
        <v>4A</v>
      </c>
      <c r="R446" t="str">
        <f>IFERROR(IF(INDEX(Winter!$1:$1048576,MATCH(All!$A446,Winter!$A:$A,FALSE),MATCH(All!R$1,Winter!$1:$1,FALSE))="","",INDEX(Winter!$1:$1048576,MATCH(All!$A446,Winter!$A:$A,FALSE),MATCH(All!R$1,Winter!$1:$1,FALSE))),"")</f>
        <v>3A</v>
      </c>
      <c r="S446" t="str">
        <f>IFERROR(IF(INDEX(Winter!$1:$1048576,MATCH(All!$A446,Winter!$A:$A,FALSE),MATCH(All!S$1,Winter!$1:$1,FALSE))="","",INDEX(Winter!$1:$1048576,MATCH(All!$A446,Winter!$A:$A,FALSE),MATCH(All!S$1,Winter!$1:$1,FALSE))),"")</f>
        <v>2A</v>
      </c>
      <c r="T446" t="str">
        <f>IFERROR(IF(INDEX(Winter!$1:$1048576,MATCH(All!$A446,Winter!$A:$A,FALSE),MATCH(All!T$1,Winter!$1:$1,FALSE))="","",INDEX(Winter!$1:$1048576,MATCH(All!$A446,Winter!$A:$A,FALSE),MATCH(All!T$1,Winter!$1:$1,FALSE))),"")</f>
        <v>2A</v>
      </c>
      <c r="U446" t="str">
        <f>IFERROR(IF(INDEX(Winter!$1:$1048576,MATCH(All!$A446,Winter!$A:$A,FALSE),MATCH(All!U$1,Winter!$1:$1,FALSE))="","",INDEX(Winter!$1:$1048576,MATCH(All!$A446,Winter!$A:$A,FALSE),MATCH(All!U$1,Winter!$1:$1,FALSE))),"")</f>
        <v>3A</v>
      </c>
      <c r="W446">
        <f>IFERROR(IF(INDEX(Spring!$1:$1048576,MATCH(All!$A446,Spring!$A:$A,FALSE),MATCH(All!W$1,Spring!$1:$1,FALSE))="","",INDEX(Spring!$1:$1048576,MATCH(All!$A446,Spring!$A:$A,FALSE),MATCH(All!W$1,Spring!$1:$1,FALSE))),"")</f>
        <v>1794</v>
      </c>
      <c r="X446" t="str">
        <f>IFERROR(IF(INDEX(Spring!$1:$1048576,MATCH(All!$A446,Spring!$A:$A,FALSE),MATCH(All!X$1,Spring!$1:$1,FALSE))="","",INDEX(Spring!$1:$1048576,MATCH(All!$A446,Spring!$A:$A,FALSE),MATCH(All!X$1,Spring!$1:$1,FALSE))),"")</f>
        <v>4A</v>
      </c>
      <c r="Y446" t="str">
        <f>IFERROR(IF(INDEX(Spring!$1:$1048576,MATCH(All!$A446,Spring!$A:$A,FALSE),MATCH(All!Y$1,Spring!$1:$1,FALSE))="","",INDEX(Spring!$1:$1048576,MATCH(All!$A446,Spring!$A:$A,FALSE),MATCH(All!Y$1,Spring!$1:$1,FALSE))),"")</f>
        <v>4A</v>
      </c>
      <c r="Z446" t="str">
        <f>IFERROR(IF(INDEX(Spring!$1:$1048576,MATCH(All!$A446,Spring!$A:$A,FALSE),MATCH(All!Z$1,Spring!$1:$1,FALSE))="","",INDEX(Spring!$1:$1048576,MATCH(All!$A446,Spring!$A:$A,FALSE),MATCH(All!Z$1,Spring!$1:$1,FALSE))),"")</f>
        <v>2A</v>
      </c>
      <c r="AA446" t="str">
        <f>IFERROR(IF(INDEX(Spring!$1:$1048576,MATCH(All!$A446,Spring!$A:$A,FALSE),MATCH(All!AA$1,Spring!$1:$1,FALSE))="","",INDEX(Spring!$1:$1048576,MATCH(All!$A446,Spring!$A:$A,FALSE),MATCH(All!AA$1,Spring!$1:$1,FALSE))),"")</f>
        <v>2A</v>
      </c>
      <c r="AB446" t="str">
        <f>IFERROR(IF(INDEX(Spring!$1:$1048576,MATCH(All!$A446,Spring!$A:$A,FALSE),MATCH(All!AB$1,Spring!$1:$1,FALSE))="","",INDEX(Spring!$1:$1048576,MATCH(All!$A446,Spring!$A:$A,FALSE),MATCH(All!AB$1,Spring!$1:$1,FALSE))),"")</f>
        <v>3A</v>
      </c>
      <c r="AC446" t="str">
        <f>IFERROR(IF(INDEX(Spring!$1:$1048576,MATCH(All!$A446,Spring!$A:$A,FALSE),MATCH(All!AC$1,Spring!$1:$1,FALSE))="","",INDEX(Spring!$1:$1048576,MATCH(All!$A446,Spring!$A:$A,FALSE),MATCH(All!AC$1,Spring!$1:$1,FALSE))),"")</f>
        <v>3A</v>
      </c>
      <c r="AD446" t="str">
        <f>IFERROR(VLOOKUP(A446,'Flag Football'!A:A,1,FALSE),"")</f>
        <v>Lake Zurich</v>
      </c>
      <c r="AE446" t="str">
        <f t="shared" si="6"/>
        <v>1A</v>
      </c>
    </row>
    <row r="447" spans="1:31" ht="15.75" thickBot="1" x14ac:dyDescent="0.3">
      <c r="A447" s="20" t="s">
        <v>952</v>
      </c>
      <c r="B447" s="38">
        <f>IFERROR(VLOOKUP(A447,'Public v Private'!A:G,3,FALSE),"")</f>
        <v>0</v>
      </c>
      <c r="C447" s="38">
        <f>IFERROR(VLOOKUP(A447,'Public v Private'!A:G,4,FALSE),"")</f>
        <v>0</v>
      </c>
      <c r="D447" s="38">
        <f>IFERROR(VLOOKUP(A447,'Public v Private'!A:G,5,FALSE),"")</f>
        <v>0</v>
      </c>
      <c r="E447" s="38"/>
      <c r="F447" s="40">
        <f>IFERROR(INDEX(Fall!$1:$1048576,MATCH(All!$A447,Fall!$A:$A,FALSE),MATCH(All!F$1,Fall!$1:$1,FALSE)),"N/A")</f>
        <v>60</v>
      </c>
      <c r="G447" t="str">
        <f>IFERROR(IF(INDEX(Fall!$1:$1048576,MATCH(All!$A447,Fall!$A:$A,FALSE),MATCH(All!G$1,Fall!$1:$1,FALSE))="","",INDEX(Fall!$1:$1048576,MATCH(All!$A447,Fall!$A:$A,FALSE),MATCH(All!G$1,Fall!$1:$1,FALSE))),"")</f>
        <v/>
      </c>
      <c r="H447" t="str">
        <f>IFERROR(IF(INDEX(Fall!$1:$1048576,MATCH(All!$A447,Fall!$A:$A,FALSE),MATCH(All!H$1,Fall!$1:$1,FALSE))="","",INDEX(Fall!$1:$1048576,MATCH(All!$A447,Fall!$A:$A,FALSE),MATCH(All!H$1,Fall!$1:$1,FALSE))),"")</f>
        <v/>
      </c>
      <c r="I447" t="str">
        <f>IFERROR(IF(INDEX(Fall!$1:$1048576,MATCH(All!$A447,Fall!$A:$A,FALSE),MATCH(All!I$1,Fall!$1:$1,FALSE))="","",INDEX(Fall!$1:$1048576,MATCH(All!$A447,Fall!$A:$A,FALSE),MATCH(All!I$1,Fall!$1:$1,FALSE))),"")</f>
        <v/>
      </c>
      <c r="J447" t="str">
        <f>IFERROR(IF(INDEX(Fall!$1:$1048576,MATCH(All!$A447,Fall!$A:$A,FALSE),MATCH(All!J$1,Fall!$1:$1,FALSE))="","",INDEX(Fall!$1:$1048576,MATCH(All!$A447,Fall!$A:$A,FALSE),MATCH(All!J$1,Fall!$1:$1,FALSE))),"")</f>
        <v/>
      </c>
      <c r="K447" t="str">
        <f>IFERROR(IF(INDEX(Fall!$1:$1048576,MATCH(All!$A447,Fall!$A:$A,FALSE),MATCH(All!K$1,Fall!$1:$1,FALSE))="","",INDEX(Fall!$1:$1048576,MATCH(All!$A447,Fall!$A:$A,FALSE),MATCH(All!K$1,Fall!$1:$1,FALSE))),"")</f>
        <v/>
      </c>
      <c r="L447" t="str">
        <f>IFERROR(IF(INDEX(Fall!$1:$1048576,MATCH(All!$A447,Fall!$A:$A,FALSE),MATCH(All!L$1,Fall!$1:$1,FALSE))="","",INDEX(Fall!$1:$1048576,MATCH(All!$A447,Fall!$A:$A,FALSE),MATCH(All!L$1,Fall!$1:$1,FALSE))),"")</f>
        <v/>
      </c>
      <c r="M447" t="str">
        <f>IFERROR(IF(INDEX(Fall!$1:$1048576,MATCH(All!$A447,Fall!$A:$A,FALSE),MATCH(All!M$1,Fall!$1:$1,FALSE))="","",INDEX(Fall!$1:$1048576,MATCH(All!$A447,Fall!$A:$A,FALSE),MATCH(All!M$1,Fall!$1:$1,FALSE))),"")</f>
        <v>1A</v>
      </c>
      <c r="O447">
        <f>IFERROR(IF(INDEX(Winter!$1:$1048576,MATCH(All!$A447,Winter!$A:$A,FALSE),MATCH(All!O$1,Winter!$1:$1,FALSE))="","",INDEX(Winter!$1:$1048576,MATCH(All!$A447,Winter!$A:$A,FALSE),MATCH(All!O$1,Winter!$1:$1,FALSE))),"")</f>
        <v>60</v>
      </c>
      <c r="P447" t="str">
        <f>IFERROR(IF(INDEX(Winter!$1:$1048576,MATCH(All!$A447,Winter!$A:$A,FALSE),MATCH(All!P$1,Winter!$1:$1,FALSE))="","",INDEX(Winter!$1:$1048576,MATCH(All!$A447,Winter!$A:$A,FALSE),MATCH(All!P$1,Winter!$1:$1,FALSE))),"")</f>
        <v>1A</v>
      </c>
      <c r="Q447" t="str">
        <f>IFERROR(IF(INDEX(Winter!$1:$1048576,MATCH(All!$A447,Winter!$A:$A,FALSE),MATCH(All!Q$1,Winter!$1:$1,FALSE))="","",INDEX(Winter!$1:$1048576,MATCH(All!$A447,Winter!$A:$A,FALSE),MATCH(All!Q$1,Winter!$1:$1,FALSE))),"")</f>
        <v/>
      </c>
      <c r="R447" t="str">
        <f>IFERROR(IF(INDEX(Winter!$1:$1048576,MATCH(All!$A447,Winter!$A:$A,FALSE),MATCH(All!R$1,Winter!$1:$1,FALSE))="","",INDEX(Winter!$1:$1048576,MATCH(All!$A447,Winter!$A:$A,FALSE),MATCH(All!R$1,Winter!$1:$1,FALSE))),"")</f>
        <v/>
      </c>
      <c r="S447" t="str">
        <f>IFERROR(IF(INDEX(Winter!$1:$1048576,MATCH(All!$A447,Winter!$A:$A,FALSE),MATCH(All!S$1,Winter!$1:$1,FALSE))="","",INDEX(Winter!$1:$1048576,MATCH(All!$A447,Winter!$A:$A,FALSE),MATCH(All!S$1,Winter!$1:$1,FALSE))),"")</f>
        <v/>
      </c>
      <c r="T447" t="str">
        <f>IFERROR(IF(INDEX(Winter!$1:$1048576,MATCH(All!$A447,Winter!$A:$A,FALSE),MATCH(All!T$1,Winter!$1:$1,FALSE))="","",INDEX(Winter!$1:$1048576,MATCH(All!$A447,Winter!$A:$A,FALSE),MATCH(All!T$1,Winter!$1:$1,FALSE))),"")</f>
        <v/>
      </c>
      <c r="U447" t="str">
        <f>IFERROR(IF(INDEX(Winter!$1:$1048576,MATCH(All!$A447,Winter!$A:$A,FALSE),MATCH(All!U$1,Winter!$1:$1,FALSE))="","",INDEX(Winter!$1:$1048576,MATCH(All!$A447,Winter!$A:$A,FALSE),MATCH(All!U$1,Winter!$1:$1,FALSE))),"")</f>
        <v/>
      </c>
      <c r="W447" t="str">
        <f>IFERROR(IF(INDEX(Spring!$1:$1048576,MATCH(All!$A447,Spring!$A:$A,FALSE),MATCH(All!W$1,Spring!$1:$1,FALSE))="","",INDEX(Spring!$1:$1048576,MATCH(All!$A447,Spring!$A:$A,FALSE),MATCH(All!W$1,Spring!$1:$1,FALSE))),"")</f>
        <v/>
      </c>
      <c r="X447" t="str">
        <f>IFERROR(IF(INDEX(Spring!$1:$1048576,MATCH(All!$A447,Spring!$A:$A,FALSE),MATCH(All!X$1,Spring!$1:$1,FALSE))="","",INDEX(Spring!$1:$1048576,MATCH(All!$A447,Spring!$A:$A,FALSE),MATCH(All!X$1,Spring!$1:$1,FALSE))),"")</f>
        <v/>
      </c>
      <c r="Y447" t="str">
        <f>IFERROR(IF(INDEX(Spring!$1:$1048576,MATCH(All!$A447,Spring!$A:$A,FALSE),MATCH(All!Y$1,Spring!$1:$1,FALSE))="","",INDEX(Spring!$1:$1048576,MATCH(All!$A447,Spring!$A:$A,FALSE),MATCH(All!Y$1,Spring!$1:$1,FALSE))),"")</f>
        <v/>
      </c>
      <c r="Z447" t="str">
        <f>IFERROR(IF(INDEX(Spring!$1:$1048576,MATCH(All!$A447,Spring!$A:$A,FALSE),MATCH(All!Z$1,Spring!$1:$1,FALSE))="","",INDEX(Spring!$1:$1048576,MATCH(All!$A447,Spring!$A:$A,FALSE),MATCH(All!Z$1,Spring!$1:$1,FALSE))),"")</f>
        <v/>
      </c>
      <c r="AA447" t="str">
        <f>IFERROR(IF(INDEX(Spring!$1:$1048576,MATCH(All!$A447,Spring!$A:$A,FALSE),MATCH(All!AA$1,Spring!$1:$1,FALSE))="","",INDEX(Spring!$1:$1048576,MATCH(All!$A447,Spring!$A:$A,FALSE),MATCH(All!AA$1,Spring!$1:$1,FALSE))),"")</f>
        <v/>
      </c>
      <c r="AB447" t="str">
        <f>IFERROR(IF(INDEX(Spring!$1:$1048576,MATCH(All!$A447,Spring!$A:$A,FALSE),MATCH(All!AB$1,Spring!$1:$1,FALSE))="","",INDEX(Spring!$1:$1048576,MATCH(All!$A447,Spring!$A:$A,FALSE),MATCH(All!AB$1,Spring!$1:$1,FALSE))),"")</f>
        <v/>
      </c>
      <c r="AC447" t="str">
        <f>IFERROR(IF(INDEX(Spring!$1:$1048576,MATCH(All!$A447,Spring!$A:$A,FALSE),MATCH(All!AC$1,Spring!$1:$1,FALSE))="","",INDEX(Spring!$1:$1048576,MATCH(All!$A447,Spring!$A:$A,FALSE),MATCH(All!AC$1,Spring!$1:$1,FALSE))),"")</f>
        <v/>
      </c>
      <c r="AD447" t="str">
        <f>IFERROR(VLOOKUP(A447,'Flag Football'!A:A,1,FALSE),"")</f>
        <v/>
      </c>
      <c r="AE447" t="str">
        <f t="shared" si="6"/>
        <v/>
      </c>
    </row>
    <row r="448" spans="1:31" ht="15.75" thickBot="1" x14ac:dyDescent="0.3">
      <c r="A448" s="18" t="s">
        <v>538</v>
      </c>
      <c r="B448" s="38">
        <f>IFERROR(VLOOKUP(A448,'Public v Private'!A:G,3,FALSE),"")</f>
        <v>0</v>
      </c>
      <c r="C448" s="38">
        <f>IFERROR(VLOOKUP(A448,'Public v Private'!A:G,4,FALSE),"")</f>
        <v>0</v>
      </c>
      <c r="D448" s="38">
        <f>IFERROR(VLOOKUP(A448,'Public v Private'!A:G,5,FALSE),"")</f>
        <v>0</v>
      </c>
      <c r="E448" s="38"/>
      <c r="F448" s="40">
        <f>IFERROR(INDEX(Fall!$1:$1048576,MATCH(All!$A448,Fall!$A:$A,FALSE),MATCH(All!F$1,Fall!$1:$1,FALSE)),"N/A")</f>
        <v>187</v>
      </c>
      <c r="G448" t="str">
        <f>IFERROR(IF(INDEX(Fall!$1:$1048576,MATCH(All!$A448,Fall!$A:$A,FALSE),MATCH(All!G$1,Fall!$1:$1,FALSE))="","",INDEX(Fall!$1:$1048576,MATCH(All!$A448,Fall!$A:$A,FALSE),MATCH(All!G$1,Fall!$1:$1,FALSE))),"")</f>
        <v/>
      </c>
      <c r="H448" t="str">
        <f>IFERROR(IF(INDEX(Fall!$1:$1048576,MATCH(All!$A448,Fall!$A:$A,FALSE),MATCH(All!H$1,Fall!$1:$1,FALSE))="","",INDEX(Fall!$1:$1048576,MATCH(All!$A448,Fall!$A:$A,FALSE),MATCH(All!H$1,Fall!$1:$1,FALSE))),"")</f>
        <v>1A</v>
      </c>
      <c r="I448" t="str">
        <f>IFERROR(IF(INDEX(Fall!$1:$1048576,MATCH(All!$A448,Fall!$A:$A,FALSE),MATCH(All!I$1,Fall!$1:$1,FALSE))="","",INDEX(Fall!$1:$1048576,MATCH(All!$A448,Fall!$A:$A,FALSE),MATCH(All!I$1,Fall!$1:$1,FALSE))),"")</f>
        <v>1A</v>
      </c>
      <c r="J448" t="str">
        <f>IFERROR(IF(INDEX(Fall!$1:$1048576,MATCH(All!$A448,Fall!$A:$A,FALSE),MATCH(All!J$1,Fall!$1:$1,FALSE))="","",INDEX(Fall!$1:$1048576,MATCH(All!$A448,Fall!$A:$A,FALSE),MATCH(All!J$1,Fall!$1:$1,FALSE))),"")</f>
        <v>1A</v>
      </c>
      <c r="K448" t="str">
        <f>IFERROR(IF(INDEX(Fall!$1:$1048576,MATCH(All!$A448,Fall!$A:$A,FALSE),MATCH(All!K$1,Fall!$1:$1,FALSE))="","",INDEX(Fall!$1:$1048576,MATCH(All!$A448,Fall!$A:$A,FALSE),MATCH(All!K$1,Fall!$1:$1,FALSE))),"")</f>
        <v/>
      </c>
      <c r="L448" t="str">
        <f>IFERROR(IF(INDEX(Fall!$1:$1048576,MATCH(All!$A448,Fall!$A:$A,FALSE),MATCH(All!L$1,Fall!$1:$1,FALSE))="","",INDEX(Fall!$1:$1048576,MATCH(All!$A448,Fall!$A:$A,FALSE),MATCH(All!L$1,Fall!$1:$1,FALSE))),"")</f>
        <v/>
      </c>
      <c r="M448" t="str">
        <f>IFERROR(IF(INDEX(Fall!$1:$1048576,MATCH(All!$A448,Fall!$A:$A,FALSE),MATCH(All!M$1,Fall!$1:$1,FALSE))="","",INDEX(Fall!$1:$1048576,MATCH(All!$A448,Fall!$A:$A,FALSE),MATCH(All!M$1,Fall!$1:$1,FALSE))),"")</f>
        <v>1A</v>
      </c>
      <c r="O448">
        <f>IFERROR(IF(INDEX(Winter!$1:$1048576,MATCH(All!$A448,Winter!$A:$A,FALSE),MATCH(All!O$1,Winter!$1:$1,FALSE))="","",INDEX(Winter!$1:$1048576,MATCH(All!$A448,Winter!$A:$A,FALSE),MATCH(All!O$1,Winter!$1:$1,FALSE))),"")</f>
        <v>187</v>
      </c>
      <c r="P448" t="str">
        <f>IFERROR(IF(INDEX(Winter!$1:$1048576,MATCH(All!$A448,Winter!$A:$A,FALSE),MATCH(All!P$1,Winter!$1:$1,FALSE))="","",INDEX(Winter!$1:$1048576,MATCH(All!$A448,Winter!$A:$A,FALSE),MATCH(All!P$1,Winter!$1:$1,FALSE))),"")</f>
        <v>1A</v>
      </c>
      <c r="Q448" t="str">
        <f>IFERROR(IF(INDEX(Winter!$1:$1048576,MATCH(All!$A448,Winter!$A:$A,FALSE),MATCH(All!Q$1,Winter!$1:$1,FALSE))="","",INDEX(Winter!$1:$1048576,MATCH(All!$A448,Winter!$A:$A,FALSE),MATCH(All!Q$1,Winter!$1:$1,FALSE))),"")</f>
        <v>1A</v>
      </c>
      <c r="R448" t="str">
        <f>IFERROR(IF(INDEX(Winter!$1:$1048576,MATCH(All!$A448,Winter!$A:$A,FALSE),MATCH(All!R$1,Winter!$1:$1,FALSE))="","",INDEX(Winter!$1:$1048576,MATCH(All!$A448,Winter!$A:$A,FALSE),MATCH(All!R$1,Winter!$1:$1,FALSE))),"")</f>
        <v/>
      </c>
      <c r="S448" t="str">
        <f>IFERROR(IF(INDEX(Winter!$1:$1048576,MATCH(All!$A448,Winter!$A:$A,FALSE),MATCH(All!S$1,Winter!$1:$1,FALSE))="","",INDEX(Winter!$1:$1048576,MATCH(All!$A448,Winter!$A:$A,FALSE),MATCH(All!S$1,Winter!$1:$1,FALSE))),"")</f>
        <v/>
      </c>
      <c r="T448" t="str">
        <f>IFERROR(IF(INDEX(Winter!$1:$1048576,MATCH(All!$A448,Winter!$A:$A,FALSE),MATCH(All!T$1,Winter!$1:$1,FALSE))="","",INDEX(Winter!$1:$1048576,MATCH(All!$A448,Winter!$A:$A,FALSE),MATCH(All!T$1,Winter!$1:$1,FALSE))),"")</f>
        <v>1A</v>
      </c>
      <c r="U448" t="str">
        <f>IFERROR(IF(INDEX(Winter!$1:$1048576,MATCH(All!$A448,Winter!$A:$A,FALSE),MATCH(All!U$1,Winter!$1:$1,FALSE))="","",INDEX(Winter!$1:$1048576,MATCH(All!$A448,Winter!$A:$A,FALSE),MATCH(All!U$1,Winter!$1:$1,FALSE))),"")</f>
        <v/>
      </c>
      <c r="W448">
        <f>IFERROR(IF(INDEX(Spring!$1:$1048576,MATCH(All!$A448,Spring!$A:$A,FALSE),MATCH(All!W$1,Spring!$1:$1,FALSE))="","",INDEX(Spring!$1:$1048576,MATCH(All!$A448,Spring!$A:$A,FALSE),MATCH(All!W$1,Spring!$1:$1,FALSE))),"")</f>
        <v>187</v>
      </c>
      <c r="X448" t="str">
        <f>IFERROR(IF(INDEX(Spring!$1:$1048576,MATCH(All!$A448,Spring!$A:$A,FALSE),MATCH(All!X$1,Spring!$1:$1,FALSE))="","",INDEX(Spring!$1:$1048576,MATCH(All!$A448,Spring!$A:$A,FALSE),MATCH(All!X$1,Spring!$1:$1,FALSE))),"")</f>
        <v>1A</v>
      </c>
      <c r="Y448" t="str">
        <f>IFERROR(IF(INDEX(Spring!$1:$1048576,MATCH(All!$A448,Spring!$A:$A,FALSE),MATCH(All!Y$1,Spring!$1:$1,FALSE))="","",INDEX(Spring!$1:$1048576,MATCH(All!$A448,Spring!$A:$A,FALSE),MATCH(All!Y$1,Spring!$1:$1,FALSE))),"")</f>
        <v>1A</v>
      </c>
      <c r="Z448" t="str">
        <f>IFERROR(IF(INDEX(Spring!$1:$1048576,MATCH(All!$A448,Spring!$A:$A,FALSE),MATCH(All!Z$1,Spring!$1:$1,FALSE))="","",INDEX(Spring!$1:$1048576,MATCH(All!$A448,Spring!$A:$A,FALSE),MATCH(All!Z$1,Spring!$1:$1,FALSE))),"")</f>
        <v/>
      </c>
      <c r="AA448" t="str">
        <f>IFERROR(IF(INDEX(Spring!$1:$1048576,MATCH(All!$A448,Spring!$A:$A,FALSE),MATCH(All!AA$1,Spring!$1:$1,FALSE))="","",INDEX(Spring!$1:$1048576,MATCH(All!$A448,Spring!$A:$A,FALSE),MATCH(All!AA$1,Spring!$1:$1,FALSE))),"")</f>
        <v/>
      </c>
      <c r="AB448" t="str">
        <f>IFERROR(IF(INDEX(Spring!$1:$1048576,MATCH(All!$A448,Spring!$A:$A,FALSE),MATCH(All!AB$1,Spring!$1:$1,FALSE))="","",INDEX(Spring!$1:$1048576,MATCH(All!$A448,Spring!$A:$A,FALSE),MATCH(All!AB$1,Spring!$1:$1,FALSE))),"")</f>
        <v/>
      </c>
      <c r="AC448" t="str">
        <f>IFERROR(IF(INDEX(Spring!$1:$1048576,MATCH(All!$A448,Spring!$A:$A,FALSE),MATCH(All!AC$1,Spring!$1:$1,FALSE))="","",INDEX(Spring!$1:$1048576,MATCH(All!$A448,Spring!$A:$A,FALSE),MATCH(All!AC$1,Spring!$1:$1,FALSE))),"")</f>
        <v/>
      </c>
      <c r="AD448" t="str">
        <f>IFERROR(VLOOKUP(A448,'Flag Football'!A:A,1,FALSE),"")</f>
        <v/>
      </c>
      <c r="AE448" t="str">
        <f t="shared" si="6"/>
        <v/>
      </c>
    </row>
    <row r="449" spans="1:31" ht="15.75" thickBot="1" x14ac:dyDescent="0.3">
      <c r="A449" s="20" t="s">
        <v>539</v>
      </c>
      <c r="B449" s="38">
        <f>IFERROR(VLOOKUP(A449,'Public v Private'!A:G,3,FALSE),"")</f>
        <v>0</v>
      </c>
      <c r="C449" s="38">
        <f>IFERROR(VLOOKUP(A449,'Public v Private'!A:G,4,FALSE),"")</f>
        <v>0</v>
      </c>
      <c r="D449" s="38">
        <f>IFERROR(VLOOKUP(A449,'Public v Private'!A:G,5,FALSE),"")</f>
        <v>0</v>
      </c>
      <c r="E449" s="38"/>
      <c r="F449" s="40">
        <f>IFERROR(INDEX(Fall!$1:$1048576,MATCH(All!$A449,Fall!$A:$A,FALSE),MATCH(All!F$1,Fall!$1:$1,FALSE)),"N/A")</f>
        <v>1645</v>
      </c>
      <c r="G449" t="str">
        <f>IFERROR(IF(INDEX(Fall!$1:$1048576,MATCH(All!$A449,Fall!$A:$A,FALSE),MATCH(All!G$1,Fall!$1:$1,FALSE))="","",INDEX(Fall!$1:$1048576,MATCH(All!$A449,Fall!$A:$A,FALSE),MATCH(All!G$1,Fall!$1:$1,FALSE))),"")</f>
        <v>3A</v>
      </c>
      <c r="H449" t="str">
        <f>IFERROR(IF(INDEX(Fall!$1:$1048576,MATCH(All!$A449,Fall!$A:$A,FALSE),MATCH(All!H$1,Fall!$1:$1,FALSE))="","",INDEX(Fall!$1:$1048576,MATCH(All!$A449,Fall!$A:$A,FALSE),MATCH(All!H$1,Fall!$1:$1,FALSE))),"")</f>
        <v>3A</v>
      </c>
      <c r="I449" t="str">
        <f>IFERROR(IF(INDEX(Fall!$1:$1048576,MATCH(All!$A449,Fall!$A:$A,FALSE),MATCH(All!I$1,Fall!$1:$1,FALSE))="","",INDEX(Fall!$1:$1048576,MATCH(All!$A449,Fall!$A:$A,FALSE),MATCH(All!I$1,Fall!$1:$1,FALSE))),"")</f>
        <v>3A</v>
      </c>
      <c r="J449" t="str">
        <f>IFERROR(IF(INDEX(Fall!$1:$1048576,MATCH(All!$A449,Fall!$A:$A,FALSE),MATCH(All!J$1,Fall!$1:$1,FALSE))="","",INDEX(Fall!$1:$1048576,MATCH(All!$A449,Fall!$A:$A,FALSE),MATCH(All!J$1,Fall!$1:$1,FALSE))),"")</f>
        <v/>
      </c>
      <c r="K449" t="str">
        <f>IFERROR(IF(INDEX(Fall!$1:$1048576,MATCH(All!$A449,Fall!$A:$A,FALSE),MATCH(All!K$1,Fall!$1:$1,FALSE))="","",INDEX(Fall!$1:$1048576,MATCH(All!$A449,Fall!$A:$A,FALSE),MATCH(All!K$1,Fall!$1:$1,FALSE))),"")</f>
        <v/>
      </c>
      <c r="L449" t="str">
        <f>IFERROR(IF(INDEX(Fall!$1:$1048576,MATCH(All!$A449,Fall!$A:$A,FALSE),MATCH(All!L$1,Fall!$1:$1,FALSE))="","",INDEX(Fall!$1:$1048576,MATCH(All!$A449,Fall!$A:$A,FALSE),MATCH(All!L$1,Fall!$1:$1,FALSE))),"")</f>
        <v>2A</v>
      </c>
      <c r="M449" t="str">
        <f>IFERROR(IF(INDEX(Fall!$1:$1048576,MATCH(All!$A449,Fall!$A:$A,FALSE),MATCH(All!M$1,Fall!$1:$1,FALSE))="","",INDEX(Fall!$1:$1048576,MATCH(All!$A449,Fall!$A:$A,FALSE),MATCH(All!M$1,Fall!$1:$1,FALSE))),"")</f>
        <v>4A</v>
      </c>
      <c r="O449">
        <f>IFERROR(IF(INDEX(Winter!$1:$1048576,MATCH(All!$A449,Winter!$A:$A,FALSE),MATCH(All!O$1,Winter!$1:$1,FALSE))="","",INDEX(Winter!$1:$1048576,MATCH(All!$A449,Winter!$A:$A,FALSE),MATCH(All!O$1,Winter!$1:$1,FALSE))),"")</f>
        <v>1645</v>
      </c>
      <c r="P449" t="str">
        <f>IFERROR(IF(INDEX(Winter!$1:$1048576,MATCH(All!$A449,Winter!$A:$A,FALSE),MATCH(All!P$1,Winter!$1:$1,FALSE))="","",INDEX(Winter!$1:$1048576,MATCH(All!$A449,Winter!$A:$A,FALSE),MATCH(All!P$1,Winter!$1:$1,FALSE))),"")</f>
        <v>4A</v>
      </c>
      <c r="Q449" t="str">
        <f>IFERROR(IF(INDEX(Winter!$1:$1048576,MATCH(All!$A449,Winter!$A:$A,FALSE),MATCH(All!Q$1,Winter!$1:$1,FALSE))="","",INDEX(Winter!$1:$1048576,MATCH(All!$A449,Winter!$A:$A,FALSE),MATCH(All!Q$1,Winter!$1:$1,FALSE))),"")</f>
        <v>4A</v>
      </c>
      <c r="R449" t="str">
        <f>IFERROR(IF(INDEX(Winter!$1:$1048576,MATCH(All!$A449,Winter!$A:$A,FALSE),MATCH(All!R$1,Winter!$1:$1,FALSE))="","",INDEX(Winter!$1:$1048576,MATCH(All!$A449,Winter!$A:$A,FALSE),MATCH(All!R$1,Winter!$1:$1,FALSE))),"")</f>
        <v>3A</v>
      </c>
      <c r="S449" t="str">
        <f>IFERROR(IF(INDEX(Winter!$1:$1048576,MATCH(All!$A449,Winter!$A:$A,FALSE),MATCH(All!S$1,Winter!$1:$1,FALSE))="","",INDEX(Winter!$1:$1048576,MATCH(All!$A449,Winter!$A:$A,FALSE),MATCH(All!S$1,Winter!$1:$1,FALSE))),"")</f>
        <v>2A</v>
      </c>
      <c r="T449" t="str">
        <f>IFERROR(IF(INDEX(Winter!$1:$1048576,MATCH(All!$A449,Winter!$A:$A,FALSE),MATCH(All!T$1,Winter!$1:$1,FALSE))="","",INDEX(Winter!$1:$1048576,MATCH(All!$A449,Winter!$A:$A,FALSE),MATCH(All!T$1,Winter!$1:$1,FALSE))),"")</f>
        <v>2A</v>
      </c>
      <c r="U449" t="str">
        <f>IFERROR(IF(INDEX(Winter!$1:$1048576,MATCH(All!$A449,Winter!$A:$A,FALSE),MATCH(All!U$1,Winter!$1:$1,FALSE))="","",INDEX(Winter!$1:$1048576,MATCH(All!$A449,Winter!$A:$A,FALSE),MATCH(All!U$1,Winter!$1:$1,FALSE))),"")</f>
        <v>2A</v>
      </c>
      <c r="W449">
        <f>IFERROR(IF(INDEX(Spring!$1:$1048576,MATCH(All!$A449,Spring!$A:$A,FALSE),MATCH(All!W$1,Spring!$1:$1,FALSE))="","",INDEX(Spring!$1:$1048576,MATCH(All!$A449,Spring!$A:$A,FALSE),MATCH(All!W$1,Spring!$1:$1,FALSE))),"")</f>
        <v>1645</v>
      </c>
      <c r="X449" t="str">
        <f>IFERROR(IF(INDEX(Spring!$1:$1048576,MATCH(All!$A449,Spring!$A:$A,FALSE),MATCH(All!X$1,Spring!$1:$1,FALSE))="","",INDEX(Spring!$1:$1048576,MATCH(All!$A449,Spring!$A:$A,FALSE),MATCH(All!X$1,Spring!$1:$1,FALSE))),"")</f>
        <v>4A</v>
      </c>
      <c r="Y449" t="str">
        <f>IFERROR(IF(INDEX(Spring!$1:$1048576,MATCH(All!$A449,Spring!$A:$A,FALSE),MATCH(All!Y$1,Spring!$1:$1,FALSE))="","",INDEX(Spring!$1:$1048576,MATCH(All!$A449,Spring!$A:$A,FALSE),MATCH(All!Y$1,Spring!$1:$1,FALSE))),"")</f>
        <v>4A</v>
      </c>
      <c r="Z449" t="str">
        <f>IFERROR(IF(INDEX(Spring!$1:$1048576,MATCH(All!$A449,Spring!$A:$A,FALSE),MATCH(All!Z$1,Spring!$1:$1,FALSE))="","",INDEX(Spring!$1:$1048576,MATCH(All!$A449,Spring!$A:$A,FALSE),MATCH(All!Z$1,Spring!$1:$1,FALSE))),"")</f>
        <v/>
      </c>
      <c r="AA449" t="str">
        <f>IFERROR(IF(INDEX(Spring!$1:$1048576,MATCH(All!$A449,Spring!$A:$A,FALSE),MATCH(All!AA$1,Spring!$1:$1,FALSE))="","",INDEX(Spring!$1:$1048576,MATCH(All!$A449,Spring!$A:$A,FALSE),MATCH(All!AA$1,Spring!$1:$1,FALSE))),"")</f>
        <v>2A</v>
      </c>
      <c r="AB449" t="str">
        <f>IFERROR(IF(INDEX(Spring!$1:$1048576,MATCH(All!$A449,Spring!$A:$A,FALSE),MATCH(All!AB$1,Spring!$1:$1,FALSE))="","",INDEX(Spring!$1:$1048576,MATCH(All!$A449,Spring!$A:$A,FALSE),MATCH(All!AB$1,Spring!$1:$1,FALSE))),"")</f>
        <v>3A</v>
      </c>
      <c r="AC449" t="str">
        <f>IFERROR(IF(INDEX(Spring!$1:$1048576,MATCH(All!$A449,Spring!$A:$A,FALSE),MATCH(All!AC$1,Spring!$1:$1,FALSE))="","",INDEX(Spring!$1:$1048576,MATCH(All!$A449,Spring!$A:$A,FALSE),MATCH(All!AC$1,Spring!$1:$1,FALSE))),"")</f>
        <v>3A</v>
      </c>
      <c r="AD449" t="str">
        <f>IFERROR(VLOOKUP(A449,'Flag Football'!A:A,1,FALSE),"")</f>
        <v/>
      </c>
      <c r="AE449" t="str">
        <f t="shared" si="6"/>
        <v/>
      </c>
    </row>
    <row r="450" spans="1:31" ht="15.75" thickBot="1" x14ac:dyDescent="0.3">
      <c r="A450" s="18" t="s">
        <v>540</v>
      </c>
      <c r="B450" s="38">
        <f>IFERROR(VLOOKUP(A450,'Public v Private'!A:G,3,FALSE),"")</f>
        <v>0</v>
      </c>
      <c r="C450" s="38">
        <f>IFERROR(VLOOKUP(A450,'Public v Private'!A:G,4,FALSE),"")</f>
        <v>0</v>
      </c>
      <c r="D450" s="38">
        <f>IFERROR(VLOOKUP(A450,'Public v Private'!A:G,5,FALSE),"")</f>
        <v>0</v>
      </c>
      <c r="E450" s="38"/>
      <c r="F450" s="40">
        <f>IFERROR(INDEX(Fall!$1:$1048576,MATCH(All!$A450,Fall!$A:$A,FALSE),MATCH(All!F$1,Fall!$1:$1,FALSE)),"N/A")</f>
        <v>1137</v>
      </c>
      <c r="G450" t="str">
        <f>IFERROR(IF(INDEX(Fall!$1:$1048576,MATCH(All!$A450,Fall!$A:$A,FALSE),MATCH(All!G$1,Fall!$1:$1,FALSE))="","",INDEX(Fall!$1:$1048576,MATCH(All!$A450,Fall!$A:$A,FALSE),MATCH(All!G$1,Fall!$1:$1,FALSE))),"")</f>
        <v>2A</v>
      </c>
      <c r="H450" t="str">
        <f>IFERROR(IF(INDEX(Fall!$1:$1048576,MATCH(All!$A450,Fall!$A:$A,FALSE),MATCH(All!H$1,Fall!$1:$1,FALSE))="","",INDEX(Fall!$1:$1048576,MATCH(All!$A450,Fall!$A:$A,FALSE),MATCH(All!H$1,Fall!$1:$1,FALSE))),"")</f>
        <v>2A</v>
      </c>
      <c r="I450" t="str">
        <f>IFERROR(IF(INDEX(Fall!$1:$1048576,MATCH(All!$A450,Fall!$A:$A,FALSE),MATCH(All!I$1,Fall!$1:$1,FALSE))="","",INDEX(Fall!$1:$1048576,MATCH(All!$A450,Fall!$A:$A,FALSE),MATCH(All!I$1,Fall!$1:$1,FALSE))),"")</f>
        <v>2A</v>
      </c>
      <c r="J450" t="str">
        <f>IFERROR(IF(INDEX(Fall!$1:$1048576,MATCH(All!$A450,Fall!$A:$A,FALSE),MATCH(All!J$1,Fall!$1:$1,FALSE))="","",INDEX(Fall!$1:$1048576,MATCH(All!$A450,Fall!$A:$A,FALSE),MATCH(All!J$1,Fall!$1:$1,FALSE))),"")</f>
        <v>2A</v>
      </c>
      <c r="K450" t="str">
        <f>IFERROR(IF(INDEX(Fall!$1:$1048576,MATCH(All!$A450,Fall!$A:$A,FALSE),MATCH(All!K$1,Fall!$1:$1,FALSE))="","",INDEX(Fall!$1:$1048576,MATCH(All!$A450,Fall!$A:$A,FALSE),MATCH(All!K$1,Fall!$1:$1,FALSE))),"")</f>
        <v>2A</v>
      </c>
      <c r="L450" t="str">
        <f>IFERROR(IF(INDEX(Fall!$1:$1048576,MATCH(All!$A450,Fall!$A:$A,FALSE),MATCH(All!L$1,Fall!$1:$1,FALSE))="","",INDEX(Fall!$1:$1048576,MATCH(All!$A450,Fall!$A:$A,FALSE),MATCH(All!L$1,Fall!$1:$1,FALSE))),"")</f>
        <v>1A</v>
      </c>
      <c r="M450" t="str">
        <f>IFERROR(IF(INDEX(Fall!$1:$1048576,MATCH(All!$A450,Fall!$A:$A,FALSE),MATCH(All!M$1,Fall!$1:$1,FALSE))="","",INDEX(Fall!$1:$1048576,MATCH(All!$A450,Fall!$A:$A,FALSE),MATCH(All!M$1,Fall!$1:$1,FALSE))),"")</f>
        <v>3A</v>
      </c>
      <c r="O450">
        <f>IFERROR(IF(INDEX(Winter!$1:$1048576,MATCH(All!$A450,Winter!$A:$A,FALSE),MATCH(All!O$1,Winter!$1:$1,FALSE))="","",INDEX(Winter!$1:$1048576,MATCH(All!$A450,Winter!$A:$A,FALSE),MATCH(All!O$1,Winter!$1:$1,FALSE))),"")</f>
        <v>1137</v>
      </c>
      <c r="P450" t="str">
        <f>IFERROR(IF(INDEX(Winter!$1:$1048576,MATCH(All!$A450,Winter!$A:$A,FALSE),MATCH(All!P$1,Winter!$1:$1,FALSE))="","",INDEX(Winter!$1:$1048576,MATCH(All!$A450,Winter!$A:$A,FALSE),MATCH(All!P$1,Winter!$1:$1,FALSE))),"")</f>
        <v>3A</v>
      </c>
      <c r="Q450" t="str">
        <f>IFERROR(IF(INDEX(Winter!$1:$1048576,MATCH(All!$A450,Winter!$A:$A,FALSE),MATCH(All!Q$1,Winter!$1:$1,FALSE))="","",INDEX(Winter!$1:$1048576,MATCH(All!$A450,Winter!$A:$A,FALSE),MATCH(All!Q$1,Winter!$1:$1,FALSE))),"")</f>
        <v>3A</v>
      </c>
      <c r="R450" t="str">
        <f>IFERROR(IF(INDEX(Winter!$1:$1048576,MATCH(All!$A450,Winter!$A:$A,FALSE),MATCH(All!R$1,Winter!$1:$1,FALSE))="","",INDEX(Winter!$1:$1048576,MATCH(All!$A450,Winter!$A:$A,FALSE),MATCH(All!R$1,Winter!$1:$1,FALSE))),"")</f>
        <v>2A</v>
      </c>
      <c r="S450" t="str">
        <f>IFERROR(IF(INDEX(Winter!$1:$1048576,MATCH(All!$A450,Winter!$A:$A,FALSE),MATCH(All!S$1,Winter!$1:$1,FALSE))="","",INDEX(Winter!$1:$1048576,MATCH(All!$A450,Winter!$A:$A,FALSE),MATCH(All!S$1,Winter!$1:$1,FALSE))),"")</f>
        <v>2A</v>
      </c>
      <c r="T450" t="str">
        <f>IFERROR(IF(INDEX(Winter!$1:$1048576,MATCH(All!$A450,Winter!$A:$A,FALSE),MATCH(All!T$1,Winter!$1:$1,FALSE))="","",INDEX(Winter!$1:$1048576,MATCH(All!$A450,Winter!$A:$A,FALSE),MATCH(All!T$1,Winter!$1:$1,FALSE))),"")</f>
        <v>2A</v>
      </c>
      <c r="U450" t="str">
        <f>IFERROR(IF(INDEX(Winter!$1:$1048576,MATCH(All!$A450,Winter!$A:$A,FALSE),MATCH(All!U$1,Winter!$1:$1,FALSE))="","",INDEX(Winter!$1:$1048576,MATCH(All!$A450,Winter!$A:$A,FALSE),MATCH(All!U$1,Winter!$1:$1,FALSE))),"")</f>
        <v>2A</v>
      </c>
      <c r="W450">
        <f>IFERROR(IF(INDEX(Spring!$1:$1048576,MATCH(All!$A450,Spring!$A:$A,FALSE),MATCH(All!W$1,Spring!$1:$1,FALSE))="","",INDEX(Spring!$1:$1048576,MATCH(All!$A450,Spring!$A:$A,FALSE),MATCH(All!W$1,Spring!$1:$1,FALSE))),"")</f>
        <v>1137</v>
      </c>
      <c r="X450" t="str">
        <f>IFERROR(IF(INDEX(Spring!$1:$1048576,MATCH(All!$A450,Spring!$A:$A,FALSE),MATCH(All!X$1,Spring!$1:$1,FALSE))="","",INDEX(Spring!$1:$1048576,MATCH(All!$A450,Spring!$A:$A,FALSE),MATCH(All!X$1,Spring!$1:$1,FALSE))),"")</f>
        <v>3A</v>
      </c>
      <c r="Y450" t="str">
        <f>IFERROR(IF(INDEX(Spring!$1:$1048576,MATCH(All!$A450,Spring!$A:$A,FALSE),MATCH(All!Y$1,Spring!$1:$1,FALSE))="","",INDEX(Spring!$1:$1048576,MATCH(All!$A450,Spring!$A:$A,FALSE),MATCH(All!Y$1,Spring!$1:$1,FALSE))),"")</f>
        <v>3A</v>
      </c>
      <c r="Z450" t="str">
        <f>IFERROR(IF(INDEX(Spring!$1:$1048576,MATCH(All!$A450,Spring!$A:$A,FALSE),MATCH(All!Z$1,Spring!$1:$1,FALSE))="","",INDEX(Spring!$1:$1048576,MATCH(All!$A450,Spring!$A:$A,FALSE),MATCH(All!Z$1,Spring!$1:$1,FALSE))),"")</f>
        <v>2A</v>
      </c>
      <c r="AA450" t="str">
        <f>IFERROR(IF(INDEX(Spring!$1:$1048576,MATCH(All!$A450,Spring!$A:$A,FALSE),MATCH(All!AA$1,Spring!$1:$1,FALSE))="","",INDEX(Spring!$1:$1048576,MATCH(All!$A450,Spring!$A:$A,FALSE),MATCH(All!AA$1,Spring!$1:$1,FALSE))),"")</f>
        <v>1A</v>
      </c>
      <c r="AB450" t="str">
        <f>IFERROR(IF(INDEX(Spring!$1:$1048576,MATCH(All!$A450,Spring!$A:$A,FALSE),MATCH(All!AB$1,Spring!$1:$1,FALSE))="","",INDEX(Spring!$1:$1048576,MATCH(All!$A450,Spring!$A:$A,FALSE),MATCH(All!AB$1,Spring!$1:$1,FALSE))),"")</f>
        <v>2A</v>
      </c>
      <c r="AC450" t="str">
        <f>IFERROR(IF(INDEX(Spring!$1:$1048576,MATCH(All!$A450,Spring!$A:$A,FALSE),MATCH(All!AC$1,Spring!$1:$1,FALSE))="","",INDEX(Spring!$1:$1048576,MATCH(All!$A450,Spring!$A:$A,FALSE),MATCH(All!AC$1,Spring!$1:$1,FALSE))),"")</f>
        <v>2A</v>
      </c>
      <c r="AD450" t="str">
        <f>IFERROR(VLOOKUP(A450,'Flag Football'!A:A,1,FALSE),"")</f>
        <v/>
      </c>
      <c r="AE450" t="str">
        <f t="shared" si="6"/>
        <v/>
      </c>
    </row>
    <row r="451" spans="1:31" ht="15.75" thickBot="1" x14ac:dyDescent="0.3">
      <c r="A451" s="20" t="s">
        <v>541</v>
      </c>
      <c r="B451" s="38">
        <f>IFERROR(VLOOKUP(A451,'Public v Private'!A:G,3,FALSE),"")</f>
        <v>0</v>
      </c>
      <c r="C451" s="38">
        <f>IFERROR(VLOOKUP(A451,'Public v Private'!A:G,4,FALSE),"")</f>
        <v>0</v>
      </c>
      <c r="D451" s="38">
        <f>IFERROR(VLOOKUP(A451,'Public v Private'!A:G,5,FALSE),"")</f>
        <v>0</v>
      </c>
      <c r="E451" s="38"/>
      <c r="F451" s="40">
        <f>IFERROR(INDEX(Fall!$1:$1048576,MATCH(All!$A451,Fall!$A:$A,FALSE),MATCH(All!F$1,Fall!$1:$1,FALSE)),"N/A")</f>
        <v>291</v>
      </c>
      <c r="G451" t="str">
        <f>IFERROR(IF(INDEX(Fall!$1:$1048576,MATCH(All!$A451,Fall!$A:$A,FALSE),MATCH(All!G$1,Fall!$1:$1,FALSE))="","",INDEX(Fall!$1:$1048576,MATCH(All!$A451,Fall!$A:$A,FALSE),MATCH(All!G$1,Fall!$1:$1,FALSE))),"")</f>
        <v>1A</v>
      </c>
      <c r="H451" t="str">
        <f>IFERROR(IF(INDEX(Fall!$1:$1048576,MATCH(All!$A451,Fall!$A:$A,FALSE),MATCH(All!H$1,Fall!$1:$1,FALSE))="","",INDEX(Fall!$1:$1048576,MATCH(All!$A451,Fall!$A:$A,FALSE),MATCH(All!H$1,Fall!$1:$1,FALSE))),"")</f>
        <v>1A</v>
      </c>
      <c r="I451" t="str">
        <f>IFERROR(IF(INDEX(Fall!$1:$1048576,MATCH(All!$A451,Fall!$A:$A,FALSE),MATCH(All!I$1,Fall!$1:$1,FALSE))="","",INDEX(Fall!$1:$1048576,MATCH(All!$A451,Fall!$A:$A,FALSE),MATCH(All!I$1,Fall!$1:$1,FALSE))),"")</f>
        <v>1A</v>
      </c>
      <c r="J451" t="str">
        <f>IFERROR(IF(INDEX(Fall!$1:$1048576,MATCH(All!$A451,Fall!$A:$A,FALSE),MATCH(All!J$1,Fall!$1:$1,FALSE))="","",INDEX(Fall!$1:$1048576,MATCH(All!$A451,Fall!$A:$A,FALSE),MATCH(All!J$1,Fall!$1:$1,FALSE))),"")</f>
        <v/>
      </c>
      <c r="K451" t="str">
        <f>IFERROR(IF(INDEX(Fall!$1:$1048576,MATCH(All!$A451,Fall!$A:$A,FALSE),MATCH(All!K$1,Fall!$1:$1,FALSE))="","",INDEX(Fall!$1:$1048576,MATCH(All!$A451,Fall!$A:$A,FALSE),MATCH(All!K$1,Fall!$1:$1,FALSE))),"")</f>
        <v/>
      </c>
      <c r="L451" t="str">
        <f>IFERROR(IF(INDEX(Fall!$1:$1048576,MATCH(All!$A451,Fall!$A:$A,FALSE),MATCH(All!L$1,Fall!$1:$1,FALSE))="","",INDEX(Fall!$1:$1048576,MATCH(All!$A451,Fall!$A:$A,FALSE),MATCH(All!L$1,Fall!$1:$1,FALSE))),"")</f>
        <v/>
      </c>
      <c r="M451" t="str">
        <f>IFERROR(IF(INDEX(Fall!$1:$1048576,MATCH(All!$A451,Fall!$A:$A,FALSE),MATCH(All!M$1,Fall!$1:$1,FALSE))="","",INDEX(Fall!$1:$1048576,MATCH(All!$A451,Fall!$A:$A,FALSE),MATCH(All!M$1,Fall!$1:$1,FALSE))),"")</f>
        <v>1A</v>
      </c>
      <c r="O451">
        <f>IFERROR(IF(INDEX(Winter!$1:$1048576,MATCH(All!$A451,Winter!$A:$A,FALSE),MATCH(All!O$1,Winter!$1:$1,FALSE))="","",INDEX(Winter!$1:$1048576,MATCH(All!$A451,Winter!$A:$A,FALSE),MATCH(All!O$1,Winter!$1:$1,FALSE))),"")</f>
        <v>291</v>
      </c>
      <c r="P451" t="str">
        <f>IFERROR(IF(INDEX(Winter!$1:$1048576,MATCH(All!$A451,Winter!$A:$A,FALSE),MATCH(All!P$1,Winter!$1:$1,FALSE))="","",INDEX(Winter!$1:$1048576,MATCH(All!$A451,Winter!$A:$A,FALSE),MATCH(All!P$1,Winter!$1:$1,FALSE))),"")</f>
        <v>1A</v>
      </c>
      <c r="Q451" t="str">
        <f>IFERROR(IF(INDEX(Winter!$1:$1048576,MATCH(All!$A451,Winter!$A:$A,FALSE),MATCH(All!Q$1,Winter!$1:$1,FALSE))="","",INDEX(Winter!$1:$1048576,MATCH(All!$A451,Winter!$A:$A,FALSE),MATCH(All!Q$1,Winter!$1:$1,FALSE))),"")</f>
        <v>1A</v>
      </c>
      <c r="R451" t="str">
        <f>IFERROR(IF(INDEX(Winter!$1:$1048576,MATCH(All!$A451,Winter!$A:$A,FALSE),MATCH(All!R$1,Winter!$1:$1,FALSE))="","",INDEX(Winter!$1:$1048576,MATCH(All!$A451,Winter!$A:$A,FALSE),MATCH(All!R$1,Winter!$1:$1,FALSE))),"")</f>
        <v>1A</v>
      </c>
      <c r="S451" t="str">
        <f>IFERROR(IF(INDEX(Winter!$1:$1048576,MATCH(All!$A451,Winter!$A:$A,FALSE),MATCH(All!S$1,Winter!$1:$1,FALSE))="","",INDEX(Winter!$1:$1048576,MATCH(All!$A451,Winter!$A:$A,FALSE),MATCH(All!S$1,Winter!$1:$1,FALSE))),"")</f>
        <v/>
      </c>
      <c r="T451" t="str">
        <f>IFERROR(IF(INDEX(Winter!$1:$1048576,MATCH(All!$A451,Winter!$A:$A,FALSE),MATCH(All!T$1,Winter!$1:$1,FALSE))="","",INDEX(Winter!$1:$1048576,MATCH(All!$A451,Winter!$A:$A,FALSE),MATCH(All!T$1,Winter!$1:$1,FALSE))),"")</f>
        <v>1A</v>
      </c>
      <c r="U451" t="str">
        <f>IFERROR(IF(INDEX(Winter!$1:$1048576,MATCH(All!$A451,Winter!$A:$A,FALSE),MATCH(All!U$1,Winter!$1:$1,FALSE))="","",INDEX(Winter!$1:$1048576,MATCH(All!$A451,Winter!$A:$A,FALSE),MATCH(All!U$1,Winter!$1:$1,FALSE))),"")</f>
        <v>1A</v>
      </c>
      <c r="W451">
        <f>IFERROR(IF(INDEX(Spring!$1:$1048576,MATCH(All!$A451,Spring!$A:$A,FALSE),MATCH(All!W$1,Spring!$1:$1,FALSE))="","",INDEX(Spring!$1:$1048576,MATCH(All!$A451,Spring!$A:$A,FALSE),MATCH(All!W$1,Spring!$1:$1,FALSE))),"")</f>
        <v>291</v>
      </c>
      <c r="X451" t="str">
        <f>IFERROR(IF(INDEX(Spring!$1:$1048576,MATCH(All!$A451,Spring!$A:$A,FALSE),MATCH(All!X$1,Spring!$1:$1,FALSE))="","",INDEX(Spring!$1:$1048576,MATCH(All!$A451,Spring!$A:$A,FALSE),MATCH(All!X$1,Spring!$1:$1,FALSE))),"")</f>
        <v>1A</v>
      </c>
      <c r="Y451" t="str">
        <f>IFERROR(IF(INDEX(Spring!$1:$1048576,MATCH(All!$A451,Spring!$A:$A,FALSE),MATCH(All!Y$1,Spring!$1:$1,FALSE))="","",INDEX(Spring!$1:$1048576,MATCH(All!$A451,Spring!$A:$A,FALSE),MATCH(All!Y$1,Spring!$1:$1,FALSE))),"")</f>
        <v>1A</v>
      </c>
      <c r="Z451" t="str">
        <f>IFERROR(IF(INDEX(Spring!$1:$1048576,MATCH(All!$A451,Spring!$A:$A,FALSE),MATCH(All!Z$1,Spring!$1:$1,FALSE))="","",INDEX(Spring!$1:$1048576,MATCH(All!$A451,Spring!$A:$A,FALSE),MATCH(All!Z$1,Spring!$1:$1,FALSE))),"")</f>
        <v/>
      </c>
      <c r="AA451" t="str">
        <f>IFERROR(IF(INDEX(Spring!$1:$1048576,MATCH(All!$A451,Spring!$A:$A,FALSE),MATCH(All!AA$1,Spring!$1:$1,FALSE))="","",INDEX(Spring!$1:$1048576,MATCH(All!$A451,Spring!$A:$A,FALSE),MATCH(All!AA$1,Spring!$1:$1,FALSE))),"")</f>
        <v/>
      </c>
      <c r="AB451" t="str">
        <f>IFERROR(IF(INDEX(Spring!$1:$1048576,MATCH(All!$A451,Spring!$A:$A,FALSE),MATCH(All!AB$1,Spring!$1:$1,FALSE))="","",INDEX(Spring!$1:$1048576,MATCH(All!$A451,Spring!$A:$A,FALSE),MATCH(All!AB$1,Spring!$1:$1,FALSE))),"")</f>
        <v>1A</v>
      </c>
      <c r="AC451" t="str">
        <f>IFERROR(IF(INDEX(Spring!$1:$1048576,MATCH(All!$A451,Spring!$A:$A,FALSE),MATCH(All!AC$1,Spring!$1:$1,FALSE))="","",INDEX(Spring!$1:$1048576,MATCH(All!$A451,Spring!$A:$A,FALSE),MATCH(All!AC$1,Spring!$1:$1,FALSE))),"")</f>
        <v>1A</v>
      </c>
      <c r="AD451" t="str">
        <f>IFERROR(VLOOKUP(A451,'Flag Football'!A:A,1,FALSE),"")</f>
        <v/>
      </c>
      <c r="AE451" t="str">
        <f t="shared" ref="AE451:AE514" si="7">IF(AD451="","","1A")</f>
        <v/>
      </c>
    </row>
    <row r="452" spans="1:31" ht="15.75" thickBot="1" x14ac:dyDescent="0.3">
      <c r="A452" s="18" t="s">
        <v>542</v>
      </c>
      <c r="B452" s="38">
        <f>IFERROR(VLOOKUP(A452,'Public v Private'!A:G,3,FALSE),"")</f>
        <v>0</v>
      </c>
      <c r="C452" s="38">
        <f>IFERROR(VLOOKUP(A452,'Public v Private'!A:G,4,FALSE),"")</f>
        <v>0</v>
      </c>
      <c r="D452" s="38">
        <f>IFERROR(VLOOKUP(A452,'Public v Private'!A:G,5,FALSE),"")</f>
        <v>0</v>
      </c>
      <c r="E452" s="38"/>
      <c r="F452" s="40">
        <f>IFERROR(INDEX(Fall!$1:$1048576,MATCH(All!$A452,Fall!$A:$A,FALSE),MATCH(All!F$1,Fall!$1:$1,FALSE)),"N/A")</f>
        <v>123</v>
      </c>
      <c r="G452" t="str">
        <f>IFERROR(IF(INDEX(Fall!$1:$1048576,MATCH(All!$A452,Fall!$A:$A,FALSE),MATCH(All!G$1,Fall!$1:$1,FALSE))="","",INDEX(Fall!$1:$1048576,MATCH(All!$A452,Fall!$A:$A,FALSE),MATCH(All!G$1,Fall!$1:$1,FALSE))),"")</f>
        <v>1A</v>
      </c>
      <c r="H452" t="str">
        <f>IFERROR(IF(INDEX(Fall!$1:$1048576,MATCH(All!$A452,Fall!$A:$A,FALSE),MATCH(All!H$1,Fall!$1:$1,FALSE))="","",INDEX(Fall!$1:$1048576,MATCH(All!$A452,Fall!$A:$A,FALSE),MATCH(All!H$1,Fall!$1:$1,FALSE))),"")</f>
        <v>1A</v>
      </c>
      <c r="I452" t="str">
        <f>IFERROR(IF(INDEX(Fall!$1:$1048576,MATCH(All!$A452,Fall!$A:$A,FALSE),MATCH(All!I$1,Fall!$1:$1,FALSE))="","",INDEX(Fall!$1:$1048576,MATCH(All!$A452,Fall!$A:$A,FALSE),MATCH(All!I$1,Fall!$1:$1,FALSE))),"")</f>
        <v/>
      </c>
      <c r="J452" t="str">
        <f>IFERROR(IF(INDEX(Fall!$1:$1048576,MATCH(All!$A452,Fall!$A:$A,FALSE),MATCH(All!J$1,Fall!$1:$1,FALSE))="","",INDEX(Fall!$1:$1048576,MATCH(All!$A452,Fall!$A:$A,FALSE),MATCH(All!J$1,Fall!$1:$1,FALSE))),"")</f>
        <v/>
      </c>
      <c r="K452" t="str">
        <f>IFERROR(IF(INDEX(Fall!$1:$1048576,MATCH(All!$A452,Fall!$A:$A,FALSE),MATCH(All!K$1,Fall!$1:$1,FALSE))="","",INDEX(Fall!$1:$1048576,MATCH(All!$A452,Fall!$A:$A,FALSE),MATCH(All!K$1,Fall!$1:$1,FALSE))),"")</f>
        <v>1A</v>
      </c>
      <c r="L452" t="str">
        <f>IFERROR(IF(INDEX(Fall!$1:$1048576,MATCH(All!$A452,Fall!$A:$A,FALSE),MATCH(All!L$1,Fall!$1:$1,FALSE))="","",INDEX(Fall!$1:$1048576,MATCH(All!$A452,Fall!$A:$A,FALSE),MATCH(All!L$1,Fall!$1:$1,FALSE))),"")</f>
        <v/>
      </c>
      <c r="M452" t="str">
        <f>IFERROR(IF(INDEX(Fall!$1:$1048576,MATCH(All!$A452,Fall!$A:$A,FALSE),MATCH(All!M$1,Fall!$1:$1,FALSE))="","",INDEX(Fall!$1:$1048576,MATCH(All!$A452,Fall!$A:$A,FALSE),MATCH(All!M$1,Fall!$1:$1,FALSE))),"")</f>
        <v>1A</v>
      </c>
      <c r="O452">
        <f>IFERROR(IF(INDEX(Winter!$1:$1048576,MATCH(All!$A452,Winter!$A:$A,FALSE),MATCH(All!O$1,Winter!$1:$1,FALSE))="","",INDEX(Winter!$1:$1048576,MATCH(All!$A452,Winter!$A:$A,FALSE),MATCH(All!O$1,Winter!$1:$1,FALSE))),"")</f>
        <v>123</v>
      </c>
      <c r="P452" t="str">
        <f>IFERROR(IF(INDEX(Winter!$1:$1048576,MATCH(All!$A452,Winter!$A:$A,FALSE),MATCH(All!P$1,Winter!$1:$1,FALSE))="","",INDEX(Winter!$1:$1048576,MATCH(All!$A452,Winter!$A:$A,FALSE),MATCH(All!P$1,Winter!$1:$1,FALSE))),"")</f>
        <v>1A</v>
      </c>
      <c r="Q452" t="str">
        <f>IFERROR(IF(INDEX(Winter!$1:$1048576,MATCH(All!$A452,Winter!$A:$A,FALSE),MATCH(All!Q$1,Winter!$1:$1,FALSE))="","",INDEX(Winter!$1:$1048576,MATCH(All!$A452,Winter!$A:$A,FALSE),MATCH(All!Q$1,Winter!$1:$1,FALSE))),"")</f>
        <v/>
      </c>
      <c r="R452" t="str">
        <f>IFERROR(IF(INDEX(Winter!$1:$1048576,MATCH(All!$A452,Winter!$A:$A,FALSE),MATCH(All!R$1,Winter!$1:$1,FALSE))="","",INDEX(Winter!$1:$1048576,MATCH(All!$A452,Winter!$A:$A,FALSE),MATCH(All!R$1,Winter!$1:$1,FALSE))),"")</f>
        <v/>
      </c>
      <c r="S452" t="str">
        <f>IFERROR(IF(INDEX(Winter!$1:$1048576,MATCH(All!$A452,Winter!$A:$A,FALSE),MATCH(All!S$1,Winter!$1:$1,FALSE))="","",INDEX(Winter!$1:$1048576,MATCH(All!$A452,Winter!$A:$A,FALSE),MATCH(All!S$1,Winter!$1:$1,FALSE))),"")</f>
        <v/>
      </c>
      <c r="T452" t="str">
        <f>IFERROR(IF(INDEX(Winter!$1:$1048576,MATCH(All!$A452,Winter!$A:$A,FALSE),MATCH(All!T$1,Winter!$1:$1,FALSE))="","",INDEX(Winter!$1:$1048576,MATCH(All!$A452,Winter!$A:$A,FALSE),MATCH(All!T$1,Winter!$1:$1,FALSE))),"")</f>
        <v/>
      </c>
      <c r="U452" t="str">
        <f>IFERROR(IF(INDEX(Winter!$1:$1048576,MATCH(All!$A452,Winter!$A:$A,FALSE),MATCH(All!U$1,Winter!$1:$1,FALSE))="","",INDEX(Winter!$1:$1048576,MATCH(All!$A452,Winter!$A:$A,FALSE),MATCH(All!U$1,Winter!$1:$1,FALSE))),"")</f>
        <v/>
      </c>
      <c r="W452">
        <f>IFERROR(IF(INDEX(Spring!$1:$1048576,MATCH(All!$A452,Spring!$A:$A,FALSE),MATCH(All!W$1,Spring!$1:$1,FALSE))="","",INDEX(Spring!$1:$1048576,MATCH(All!$A452,Spring!$A:$A,FALSE),MATCH(All!W$1,Spring!$1:$1,FALSE))),"")</f>
        <v>123</v>
      </c>
      <c r="X452" t="str">
        <f>IFERROR(IF(INDEX(Spring!$1:$1048576,MATCH(All!$A452,Spring!$A:$A,FALSE),MATCH(All!X$1,Spring!$1:$1,FALSE))="","",INDEX(Spring!$1:$1048576,MATCH(All!$A452,Spring!$A:$A,FALSE),MATCH(All!X$1,Spring!$1:$1,FALSE))),"")</f>
        <v>1A</v>
      </c>
      <c r="Y452" t="str">
        <f>IFERROR(IF(INDEX(Spring!$1:$1048576,MATCH(All!$A452,Spring!$A:$A,FALSE),MATCH(All!Y$1,Spring!$1:$1,FALSE))="","",INDEX(Spring!$1:$1048576,MATCH(All!$A452,Spring!$A:$A,FALSE),MATCH(All!Y$1,Spring!$1:$1,FALSE))),"")</f>
        <v/>
      </c>
      <c r="Z452" t="str">
        <f>IFERROR(IF(INDEX(Spring!$1:$1048576,MATCH(All!$A452,Spring!$A:$A,FALSE),MATCH(All!Z$1,Spring!$1:$1,FALSE))="","",INDEX(Spring!$1:$1048576,MATCH(All!$A452,Spring!$A:$A,FALSE),MATCH(All!Z$1,Spring!$1:$1,FALSE))),"")</f>
        <v/>
      </c>
      <c r="AA452" t="str">
        <f>IFERROR(IF(INDEX(Spring!$1:$1048576,MATCH(All!$A452,Spring!$A:$A,FALSE),MATCH(All!AA$1,Spring!$1:$1,FALSE))="","",INDEX(Spring!$1:$1048576,MATCH(All!$A452,Spring!$A:$A,FALSE),MATCH(All!AA$1,Spring!$1:$1,FALSE))),"")</f>
        <v/>
      </c>
      <c r="AB452" t="str">
        <f>IFERROR(IF(INDEX(Spring!$1:$1048576,MATCH(All!$A452,Spring!$A:$A,FALSE),MATCH(All!AB$1,Spring!$1:$1,FALSE))="","",INDEX(Spring!$1:$1048576,MATCH(All!$A452,Spring!$A:$A,FALSE),MATCH(All!AB$1,Spring!$1:$1,FALSE))),"")</f>
        <v>1A</v>
      </c>
      <c r="AC452" t="str">
        <f>IFERROR(IF(INDEX(Spring!$1:$1048576,MATCH(All!$A452,Spring!$A:$A,FALSE),MATCH(All!AC$1,Spring!$1:$1,FALSE))="","",INDEX(Spring!$1:$1048576,MATCH(All!$A452,Spring!$A:$A,FALSE),MATCH(All!AC$1,Spring!$1:$1,FALSE))),"")</f>
        <v>1A</v>
      </c>
      <c r="AD452" t="str">
        <f>IFERROR(VLOOKUP(A452,'Flag Football'!A:A,1,FALSE),"")</f>
        <v/>
      </c>
      <c r="AE452" t="str">
        <f t="shared" si="7"/>
        <v/>
      </c>
    </row>
    <row r="453" spans="1:31" ht="15.75" thickBot="1" x14ac:dyDescent="0.3">
      <c r="A453" s="20" t="s">
        <v>953</v>
      </c>
      <c r="B453" s="38">
        <f>IFERROR(VLOOKUP(A453,'Public v Private'!A:G,3,FALSE),"")</f>
        <v>0</v>
      </c>
      <c r="C453" s="38">
        <f>IFERROR(VLOOKUP(A453,'Public v Private'!A:G,4,FALSE),"")</f>
        <v>0</v>
      </c>
      <c r="D453" s="38">
        <f>IFERROR(VLOOKUP(A453,'Public v Private'!A:G,5,FALSE),"")</f>
        <v>0</v>
      </c>
      <c r="E453" s="38"/>
      <c r="F453" s="40">
        <f>IFERROR(INDEX(Fall!$1:$1048576,MATCH(All!$A453,Fall!$A:$A,FALSE),MATCH(All!F$1,Fall!$1:$1,FALSE)),"N/A")</f>
        <v>84</v>
      </c>
      <c r="G453" t="str">
        <f>IFERROR(IF(INDEX(Fall!$1:$1048576,MATCH(All!$A453,Fall!$A:$A,FALSE),MATCH(All!G$1,Fall!$1:$1,FALSE))="","",INDEX(Fall!$1:$1048576,MATCH(All!$A453,Fall!$A:$A,FALSE),MATCH(All!G$1,Fall!$1:$1,FALSE))),"")</f>
        <v/>
      </c>
      <c r="H453" t="str">
        <f>IFERROR(IF(INDEX(Fall!$1:$1048576,MATCH(All!$A453,Fall!$A:$A,FALSE),MATCH(All!H$1,Fall!$1:$1,FALSE))="","",INDEX(Fall!$1:$1048576,MATCH(All!$A453,Fall!$A:$A,FALSE),MATCH(All!H$1,Fall!$1:$1,FALSE))),"")</f>
        <v/>
      </c>
      <c r="I453" t="str">
        <f>IFERROR(IF(INDEX(Fall!$1:$1048576,MATCH(All!$A453,Fall!$A:$A,FALSE),MATCH(All!I$1,Fall!$1:$1,FALSE))="","",INDEX(Fall!$1:$1048576,MATCH(All!$A453,Fall!$A:$A,FALSE),MATCH(All!I$1,Fall!$1:$1,FALSE))),"")</f>
        <v/>
      </c>
      <c r="J453" t="str">
        <f>IFERROR(IF(INDEX(Fall!$1:$1048576,MATCH(All!$A453,Fall!$A:$A,FALSE),MATCH(All!J$1,Fall!$1:$1,FALSE))="","",INDEX(Fall!$1:$1048576,MATCH(All!$A453,Fall!$A:$A,FALSE),MATCH(All!J$1,Fall!$1:$1,FALSE))),"")</f>
        <v/>
      </c>
      <c r="K453" t="str">
        <f>IFERROR(IF(INDEX(Fall!$1:$1048576,MATCH(All!$A453,Fall!$A:$A,FALSE),MATCH(All!K$1,Fall!$1:$1,FALSE))="","",INDEX(Fall!$1:$1048576,MATCH(All!$A453,Fall!$A:$A,FALSE),MATCH(All!K$1,Fall!$1:$1,FALSE))),"")</f>
        <v/>
      </c>
      <c r="L453" t="str">
        <f>IFERROR(IF(INDEX(Fall!$1:$1048576,MATCH(All!$A453,Fall!$A:$A,FALSE),MATCH(All!L$1,Fall!$1:$1,FALSE))="","",INDEX(Fall!$1:$1048576,MATCH(All!$A453,Fall!$A:$A,FALSE),MATCH(All!L$1,Fall!$1:$1,FALSE))),"")</f>
        <v/>
      </c>
      <c r="M453" t="str">
        <f>IFERROR(IF(INDEX(Fall!$1:$1048576,MATCH(All!$A453,Fall!$A:$A,FALSE),MATCH(All!M$1,Fall!$1:$1,FALSE))="","",INDEX(Fall!$1:$1048576,MATCH(All!$A453,Fall!$A:$A,FALSE),MATCH(All!M$1,Fall!$1:$1,FALSE))),"")</f>
        <v>1A</v>
      </c>
      <c r="O453">
        <f>IFERROR(IF(INDEX(Winter!$1:$1048576,MATCH(All!$A453,Winter!$A:$A,FALSE),MATCH(All!O$1,Winter!$1:$1,FALSE))="","",INDEX(Winter!$1:$1048576,MATCH(All!$A453,Winter!$A:$A,FALSE),MATCH(All!O$1,Winter!$1:$1,FALSE))),"")</f>
        <v>84</v>
      </c>
      <c r="P453" t="str">
        <f>IFERROR(IF(INDEX(Winter!$1:$1048576,MATCH(All!$A453,Winter!$A:$A,FALSE),MATCH(All!P$1,Winter!$1:$1,FALSE))="","",INDEX(Winter!$1:$1048576,MATCH(All!$A453,Winter!$A:$A,FALSE),MATCH(All!P$1,Winter!$1:$1,FALSE))),"")</f>
        <v>1A</v>
      </c>
      <c r="Q453" t="str">
        <f>IFERROR(IF(INDEX(Winter!$1:$1048576,MATCH(All!$A453,Winter!$A:$A,FALSE),MATCH(All!Q$1,Winter!$1:$1,FALSE))="","",INDEX(Winter!$1:$1048576,MATCH(All!$A453,Winter!$A:$A,FALSE),MATCH(All!Q$1,Winter!$1:$1,FALSE))),"")</f>
        <v/>
      </c>
      <c r="R453" t="str">
        <f>IFERROR(IF(INDEX(Winter!$1:$1048576,MATCH(All!$A453,Winter!$A:$A,FALSE),MATCH(All!R$1,Winter!$1:$1,FALSE))="","",INDEX(Winter!$1:$1048576,MATCH(All!$A453,Winter!$A:$A,FALSE),MATCH(All!R$1,Winter!$1:$1,FALSE))),"")</f>
        <v/>
      </c>
      <c r="S453" t="str">
        <f>IFERROR(IF(INDEX(Winter!$1:$1048576,MATCH(All!$A453,Winter!$A:$A,FALSE),MATCH(All!S$1,Winter!$1:$1,FALSE))="","",INDEX(Winter!$1:$1048576,MATCH(All!$A453,Winter!$A:$A,FALSE),MATCH(All!S$1,Winter!$1:$1,FALSE))),"")</f>
        <v/>
      </c>
      <c r="T453" t="str">
        <f>IFERROR(IF(INDEX(Winter!$1:$1048576,MATCH(All!$A453,Winter!$A:$A,FALSE),MATCH(All!T$1,Winter!$1:$1,FALSE))="","",INDEX(Winter!$1:$1048576,MATCH(All!$A453,Winter!$A:$A,FALSE),MATCH(All!T$1,Winter!$1:$1,FALSE))),"")</f>
        <v/>
      </c>
      <c r="U453" t="str">
        <f>IFERROR(IF(INDEX(Winter!$1:$1048576,MATCH(All!$A453,Winter!$A:$A,FALSE),MATCH(All!U$1,Winter!$1:$1,FALSE))="","",INDEX(Winter!$1:$1048576,MATCH(All!$A453,Winter!$A:$A,FALSE),MATCH(All!U$1,Winter!$1:$1,FALSE))),"")</f>
        <v/>
      </c>
      <c r="W453" t="str">
        <f>IFERROR(IF(INDEX(Spring!$1:$1048576,MATCH(All!$A453,Spring!$A:$A,FALSE),MATCH(All!W$1,Spring!$1:$1,FALSE))="","",INDEX(Spring!$1:$1048576,MATCH(All!$A453,Spring!$A:$A,FALSE),MATCH(All!W$1,Spring!$1:$1,FALSE))),"")</f>
        <v/>
      </c>
      <c r="X453" t="str">
        <f>IFERROR(IF(INDEX(Spring!$1:$1048576,MATCH(All!$A453,Spring!$A:$A,FALSE),MATCH(All!X$1,Spring!$1:$1,FALSE))="","",INDEX(Spring!$1:$1048576,MATCH(All!$A453,Spring!$A:$A,FALSE),MATCH(All!X$1,Spring!$1:$1,FALSE))),"")</f>
        <v/>
      </c>
      <c r="Y453" t="str">
        <f>IFERROR(IF(INDEX(Spring!$1:$1048576,MATCH(All!$A453,Spring!$A:$A,FALSE),MATCH(All!Y$1,Spring!$1:$1,FALSE))="","",INDEX(Spring!$1:$1048576,MATCH(All!$A453,Spring!$A:$A,FALSE),MATCH(All!Y$1,Spring!$1:$1,FALSE))),"")</f>
        <v/>
      </c>
      <c r="Z453" t="str">
        <f>IFERROR(IF(INDEX(Spring!$1:$1048576,MATCH(All!$A453,Spring!$A:$A,FALSE),MATCH(All!Z$1,Spring!$1:$1,FALSE))="","",INDEX(Spring!$1:$1048576,MATCH(All!$A453,Spring!$A:$A,FALSE),MATCH(All!Z$1,Spring!$1:$1,FALSE))),"")</f>
        <v/>
      </c>
      <c r="AA453" t="str">
        <f>IFERROR(IF(INDEX(Spring!$1:$1048576,MATCH(All!$A453,Spring!$A:$A,FALSE),MATCH(All!AA$1,Spring!$1:$1,FALSE))="","",INDEX(Spring!$1:$1048576,MATCH(All!$A453,Spring!$A:$A,FALSE),MATCH(All!AA$1,Spring!$1:$1,FALSE))),"")</f>
        <v/>
      </c>
      <c r="AB453" t="str">
        <f>IFERROR(IF(INDEX(Spring!$1:$1048576,MATCH(All!$A453,Spring!$A:$A,FALSE),MATCH(All!AB$1,Spring!$1:$1,FALSE))="","",INDEX(Spring!$1:$1048576,MATCH(All!$A453,Spring!$A:$A,FALSE),MATCH(All!AB$1,Spring!$1:$1,FALSE))),"")</f>
        <v/>
      </c>
      <c r="AC453" t="str">
        <f>IFERROR(IF(INDEX(Spring!$1:$1048576,MATCH(All!$A453,Spring!$A:$A,FALSE),MATCH(All!AC$1,Spring!$1:$1,FALSE))="","",INDEX(Spring!$1:$1048576,MATCH(All!$A453,Spring!$A:$A,FALSE),MATCH(All!AC$1,Spring!$1:$1,FALSE))),"")</f>
        <v/>
      </c>
      <c r="AD453" t="str">
        <f>IFERROR(VLOOKUP(A453,'Flag Football'!A:A,1,FALSE),"")</f>
        <v/>
      </c>
      <c r="AE453" t="str">
        <f t="shared" si="7"/>
        <v/>
      </c>
    </row>
    <row r="454" spans="1:31" ht="15.75" thickBot="1" x14ac:dyDescent="0.3">
      <c r="A454" s="18" t="s">
        <v>543</v>
      </c>
      <c r="B454" s="38">
        <f>IFERROR(VLOOKUP(A454,'Public v Private'!A:G,3,FALSE),"")</f>
        <v>0</v>
      </c>
      <c r="C454" s="38">
        <f>IFERROR(VLOOKUP(A454,'Public v Private'!A:G,4,FALSE),"")</f>
        <v>0</v>
      </c>
      <c r="D454" s="38">
        <f>IFERROR(VLOOKUP(A454,'Public v Private'!A:G,5,FALSE),"")</f>
        <v>0</v>
      </c>
      <c r="E454" s="38"/>
      <c r="F454" s="40">
        <f>IFERROR(INDEX(Fall!$1:$1048576,MATCH(All!$A454,Fall!$A:$A,FALSE),MATCH(All!F$1,Fall!$1:$1,FALSE)),"N/A")</f>
        <v>1279</v>
      </c>
      <c r="G454" t="str">
        <f>IFERROR(IF(INDEX(Fall!$1:$1048576,MATCH(All!$A454,Fall!$A:$A,FALSE),MATCH(All!G$1,Fall!$1:$1,FALSE))="","",INDEX(Fall!$1:$1048576,MATCH(All!$A454,Fall!$A:$A,FALSE),MATCH(All!G$1,Fall!$1:$1,FALSE))),"")</f>
        <v>2A</v>
      </c>
      <c r="H454" t="str">
        <f>IFERROR(IF(INDEX(Fall!$1:$1048576,MATCH(All!$A454,Fall!$A:$A,FALSE),MATCH(All!H$1,Fall!$1:$1,FALSE))="","",INDEX(Fall!$1:$1048576,MATCH(All!$A454,Fall!$A:$A,FALSE),MATCH(All!H$1,Fall!$1:$1,FALSE))),"")</f>
        <v>2A</v>
      </c>
      <c r="I454" t="str">
        <f>IFERROR(IF(INDEX(Fall!$1:$1048576,MATCH(All!$A454,Fall!$A:$A,FALSE),MATCH(All!I$1,Fall!$1:$1,FALSE))="","",INDEX(Fall!$1:$1048576,MATCH(All!$A454,Fall!$A:$A,FALSE),MATCH(All!I$1,Fall!$1:$1,FALSE))),"")</f>
        <v>2A</v>
      </c>
      <c r="J454" t="str">
        <f>IFERROR(IF(INDEX(Fall!$1:$1048576,MATCH(All!$A454,Fall!$A:$A,FALSE),MATCH(All!J$1,Fall!$1:$1,FALSE))="","",INDEX(Fall!$1:$1048576,MATCH(All!$A454,Fall!$A:$A,FALSE),MATCH(All!J$1,Fall!$1:$1,FALSE))),"")</f>
        <v>2A</v>
      </c>
      <c r="K454" t="str">
        <f>IFERROR(IF(INDEX(Fall!$1:$1048576,MATCH(All!$A454,Fall!$A:$A,FALSE),MATCH(All!K$1,Fall!$1:$1,FALSE))="","",INDEX(Fall!$1:$1048576,MATCH(All!$A454,Fall!$A:$A,FALSE),MATCH(All!K$1,Fall!$1:$1,FALSE))),"")</f>
        <v>2A</v>
      </c>
      <c r="L454" t="str">
        <f>IFERROR(IF(INDEX(Fall!$1:$1048576,MATCH(All!$A454,Fall!$A:$A,FALSE),MATCH(All!L$1,Fall!$1:$1,FALSE))="","",INDEX(Fall!$1:$1048576,MATCH(All!$A454,Fall!$A:$A,FALSE),MATCH(All!L$1,Fall!$1:$1,FALSE))),"")</f>
        <v>1A</v>
      </c>
      <c r="M454" t="str">
        <f>IFERROR(IF(INDEX(Fall!$1:$1048576,MATCH(All!$A454,Fall!$A:$A,FALSE),MATCH(All!M$1,Fall!$1:$1,FALSE))="","",INDEX(Fall!$1:$1048576,MATCH(All!$A454,Fall!$A:$A,FALSE),MATCH(All!M$1,Fall!$1:$1,FALSE))),"")</f>
        <v>3A</v>
      </c>
      <c r="O454">
        <f>IFERROR(IF(INDEX(Winter!$1:$1048576,MATCH(All!$A454,Winter!$A:$A,FALSE),MATCH(All!O$1,Winter!$1:$1,FALSE))="","",INDEX(Winter!$1:$1048576,MATCH(All!$A454,Winter!$A:$A,FALSE),MATCH(All!O$1,Winter!$1:$1,FALSE))),"")</f>
        <v>1279</v>
      </c>
      <c r="P454" t="str">
        <f>IFERROR(IF(INDEX(Winter!$1:$1048576,MATCH(All!$A454,Winter!$A:$A,FALSE),MATCH(All!P$1,Winter!$1:$1,FALSE))="","",INDEX(Winter!$1:$1048576,MATCH(All!$A454,Winter!$A:$A,FALSE),MATCH(All!P$1,Winter!$1:$1,FALSE))),"")</f>
        <v>3A</v>
      </c>
      <c r="Q454" t="str">
        <f>IFERROR(IF(INDEX(Winter!$1:$1048576,MATCH(All!$A454,Winter!$A:$A,FALSE),MATCH(All!Q$1,Winter!$1:$1,FALSE))="","",INDEX(Winter!$1:$1048576,MATCH(All!$A454,Winter!$A:$A,FALSE),MATCH(All!Q$1,Winter!$1:$1,FALSE))),"")</f>
        <v>3A</v>
      </c>
      <c r="R454" t="str">
        <f>IFERROR(IF(INDEX(Winter!$1:$1048576,MATCH(All!$A454,Winter!$A:$A,FALSE),MATCH(All!R$1,Winter!$1:$1,FALSE))="","",INDEX(Winter!$1:$1048576,MATCH(All!$A454,Winter!$A:$A,FALSE),MATCH(All!R$1,Winter!$1:$1,FALSE))),"")</f>
        <v>2A</v>
      </c>
      <c r="S454" t="str">
        <f>IFERROR(IF(INDEX(Winter!$1:$1048576,MATCH(All!$A454,Winter!$A:$A,FALSE),MATCH(All!S$1,Winter!$1:$1,FALSE))="","",INDEX(Winter!$1:$1048576,MATCH(All!$A454,Winter!$A:$A,FALSE),MATCH(All!S$1,Winter!$1:$1,FALSE))),"")</f>
        <v>2A</v>
      </c>
      <c r="T454" t="str">
        <f>IFERROR(IF(INDEX(Winter!$1:$1048576,MATCH(All!$A454,Winter!$A:$A,FALSE),MATCH(All!T$1,Winter!$1:$1,FALSE))="","",INDEX(Winter!$1:$1048576,MATCH(All!$A454,Winter!$A:$A,FALSE),MATCH(All!T$1,Winter!$1:$1,FALSE))),"")</f>
        <v>2A</v>
      </c>
      <c r="U454" t="str">
        <f>IFERROR(IF(INDEX(Winter!$1:$1048576,MATCH(All!$A454,Winter!$A:$A,FALSE),MATCH(All!U$1,Winter!$1:$1,FALSE))="","",INDEX(Winter!$1:$1048576,MATCH(All!$A454,Winter!$A:$A,FALSE),MATCH(All!U$1,Winter!$1:$1,FALSE))),"")</f>
        <v>2A</v>
      </c>
      <c r="W454">
        <f>IFERROR(IF(INDEX(Spring!$1:$1048576,MATCH(All!$A454,Spring!$A:$A,FALSE),MATCH(All!W$1,Spring!$1:$1,FALSE))="","",INDEX(Spring!$1:$1048576,MATCH(All!$A454,Spring!$A:$A,FALSE),MATCH(All!W$1,Spring!$1:$1,FALSE))),"")</f>
        <v>1279</v>
      </c>
      <c r="X454" t="str">
        <f>IFERROR(IF(INDEX(Spring!$1:$1048576,MATCH(All!$A454,Spring!$A:$A,FALSE),MATCH(All!X$1,Spring!$1:$1,FALSE))="","",INDEX(Spring!$1:$1048576,MATCH(All!$A454,Spring!$A:$A,FALSE),MATCH(All!X$1,Spring!$1:$1,FALSE))),"")</f>
        <v>3A</v>
      </c>
      <c r="Y454" t="str">
        <f>IFERROR(IF(INDEX(Spring!$1:$1048576,MATCH(All!$A454,Spring!$A:$A,FALSE),MATCH(All!Y$1,Spring!$1:$1,FALSE))="","",INDEX(Spring!$1:$1048576,MATCH(All!$A454,Spring!$A:$A,FALSE),MATCH(All!Y$1,Spring!$1:$1,FALSE))),"")</f>
        <v>3A</v>
      </c>
      <c r="Z454" t="str">
        <f>IFERROR(IF(INDEX(Spring!$1:$1048576,MATCH(All!$A454,Spring!$A:$A,FALSE),MATCH(All!Z$1,Spring!$1:$1,FALSE))="","",INDEX(Spring!$1:$1048576,MATCH(All!$A454,Spring!$A:$A,FALSE),MATCH(All!Z$1,Spring!$1:$1,FALSE))),"")</f>
        <v>2A</v>
      </c>
      <c r="AA454" t="str">
        <f>IFERROR(IF(INDEX(Spring!$1:$1048576,MATCH(All!$A454,Spring!$A:$A,FALSE),MATCH(All!AA$1,Spring!$1:$1,FALSE))="","",INDEX(Spring!$1:$1048576,MATCH(All!$A454,Spring!$A:$A,FALSE),MATCH(All!AA$1,Spring!$1:$1,FALSE))),"")</f>
        <v>1A</v>
      </c>
      <c r="AB454" t="str">
        <f>IFERROR(IF(INDEX(Spring!$1:$1048576,MATCH(All!$A454,Spring!$A:$A,FALSE),MATCH(All!AB$1,Spring!$1:$1,FALSE))="","",INDEX(Spring!$1:$1048576,MATCH(All!$A454,Spring!$A:$A,FALSE),MATCH(All!AB$1,Spring!$1:$1,FALSE))),"")</f>
        <v>3A</v>
      </c>
      <c r="AC454" t="str">
        <f>IFERROR(IF(INDEX(Spring!$1:$1048576,MATCH(All!$A454,Spring!$A:$A,FALSE),MATCH(All!AC$1,Spring!$1:$1,FALSE))="","",INDEX(Spring!$1:$1048576,MATCH(All!$A454,Spring!$A:$A,FALSE),MATCH(All!AC$1,Spring!$1:$1,FALSE))),"")</f>
        <v>3A</v>
      </c>
      <c r="AD454" t="str">
        <f>IFERROR(VLOOKUP(A454,'Flag Football'!A:A,1,FALSE),"")</f>
        <v/>
      </c>
      <c r="AE454" t="str">
        <f t="shared" si="7"/>
        <v/>
      </c>
    </row>
    <row r="455" spans="1:31" ht="15.75" thickBot="1" x14ac:dyDescent="0.3">
      <c r="A455" s="20" t="s">
        <v>544</v>
      </c>
      <c r="B455" s="38">
        <f>IFERROR(VLOOKUP(A455,'Public v Private'!A:G,3,FALSE),"")</f>
        <v>0</v>
      </c>
      <c r="C455" s="38">
        <f>IFERROR(VLOOKUP(A455,'Public v Private'!A:G,4,FALSE),"")</f>
        <v>0</v>
      </c>
      <c r="D455" s="38">
        <f>IFERROR(VLOOKUP(A455,'Public v Private'!A:G,5,FALSE),"")</f>
        <v>0</v>
      </c>
      <c r="E455" s="38"/>
      <c r="F455" s="40">
        <f>IFERROR(INDEX(Fall!$1:$1048576,MATCH(All!$A455,Fall!$A:$A,FALSE),MATCH(All!F$1,Fall!$1:$1,FALSE)),"N/A")</f>
        <v>230</v>
      </c>
      <c r="G455" t="str">
        <f>IFERROR(IF(INDEX(Fall!$1:$1048576,MATCH(All!$A455,Fall!$A:$A,FALSE),MATCH(All!G$1,Fall!$1:$1,FALSE))="","",INDEX(Fall!$1:$1048576,MATCH(All!$A455,Fall!$A:$A,FALSE),MATCH(All!G$1,Fall!$1:$1,FALSE))),"")</f>
        <v/>
      </c>
      <c r="H455" t="str">
        <f>IFERROR(IF(INDEX(Fall!$1:$1048576,MATCH(All!$A455,Fall!$A:$A,FALSE),MATCH(All!H$1,Fall!$1:$1,FALSE))="","",INDEX(Fall!$1:$1048576,MATCH(All!$A455,Fall!$A:$A,FALSE),MATCH(All!H$1,Fall!$1:$1,FALSE))),"")</f>
        <v/>
      </c>
      <c r="I455" t="str">
        <f>IFERROR(IF(INDEX(Fall!$1:$1048576,MATCH(All!$A455,Fall!$A:$A,FALSE),MATCH(All!I$1,Fall!$1:$1,FALSE))="","",INDEX(Fall!$1:$1048576,MATCH(All!$A455,Fall!$A:$A,FALSE),MATCH(All!I$1,Fall!$1:$1,FALSE))),"")</f>
        <v/>
      </c>
      <c r="J455" t="str">
        <f>IFERROR(IF(INDEX(Fall!$1:$1048576,MATCH(All!$A455,Fall!$A:$A,FALSE),MATCH(All!J$1,Fall!$1:$1,FALSE))="","",INDEX(Fall!$1:$1048576,MATCH(All!$A455,Fall!$A:$A,FALSE),MATCH(All!J$1,Fall!$1:$1,FALSE))),"")</f>
        <v/>
      </c>
      <c r="K455" t="str">
        <f>IFERROR(IF(INDEX(Fall!$1:$1048576,MATCH(All!$A455,Fall!$A:$A,FALSE),MATCH(All!K$1,Fall!$1:$1,FALSE))="","",INDEX(Fall!$1:$1048576,MATCH(All!$A455,Fall!$A:$A,FALSE),MATCH(All!K$1,Fall!$1:$1,FALSE))),"")</f>
        <v/>
      </c>
      <c r="L455" t="str">
        <f>IFERROR(IF(INDEX(Fall!$1:$1048576,MATCH(All!$A455,Fall!$A:$A,FALSE),MATCH(All!L$1,Fall!$1:$1,FALSE))="","",INDEX(Fall!$1:$1048576,MATCH(All!$A455,Fall!$A:$A,FALSE),MATCH(All!L$1,Fall!$1:$1,FALSE))),"")</f>
        <v/>
      </c>
      <c r="M455" t="str">
        <f>IFERROR(IF(INDEX(Fall!$1:$1048576,MATCH(All!$A455,Fall!$A:$A,FALSE),MATCH(All!M$1,Fall!$1:$1,FALSE))="","",INDEX(Fall!$1:$1048576,MATCH(All!$A455,Fall!$A:$A,FALSE),MATCH(All!M$1,Fall!$1:$1,FALSE))),"")</f>
        <v>1A</v>
      </c>
      <c r="O455">
        <f>IFERROR(IF(INDEX(Winter!$1:$1048576,MATCH(All!$A455,Winter!$A:$A,FALSE),MATCH(All!O$1,Winter!$1:$1,FALSE))="","",INDEX(Winter!$1:$1048576,MATCH(All!$A455,Winter!$A:$A,FALSE),MATCH(All!O$1,Winter!$1:$1,FALSE))),"")</f>
        <v>230</v>
      </c>
      <c r="P455" t="str">
        <f>IFERROR(IF(INDEX(Winter!$1:$1048576,MATCH(All!$A455,Winter!$A:$A,FALSE),MATCH(All!P$1,Winter!$1:$1,FALSE))="","",INDEX(Winter!$1:$1048576,MATCH(All!$A455,Winter!$A:$A,FALSE),MATCH(All!P$1,Winter!$1:$1,FALSE))),"")</f>
        <v>1A</v>
      </c>
      <c r="Q455" t="str">
        <f>IFERROR(IF(INDEX(Winter!$1:$1048576,MATCH(All!$A455,Winter!$A:$A,FALSE),MATCH(All!Q$1,Winter!$1:$1,FALSE))="","",INDEX(Winter!$1:$1048576,MATCH(All!$A455,Winter!$A:$A,FALSE),MATCH(All!Q$1,Winter!$1:$1,FALSE))),"")</f>
        <v>1A</v>
      </c>
      <c r="R455" t="str">
        <f>IFERROR(IF(INDEX(Winter!$1:$1048576,MATCH(All!$A455,Winter!$A:$A,FALSE),MATCH(All!R$1,Winter!$1:$1,FALSE))="","",INDEX(Winter!$1:$1048576,MATCH(All!$A455,Winter!$A:$A,FALSE),MATCH(All!R$1,Winter!$1:$1,FALSE))),"")</f>
        <v/>
      </c>
      <c r="S455" t="str">
        <f>IFERROR(IF(INDEX(Winter!$1:$1048576,MATCH(All!$A455,Winter!$A:$A,FALSE),MATCH(All!S$1,Winter!$1:$1,FALSE))="","",INDEX(Winter!$1:$1048576,MATCH(All!$A455,Winter!$A:$A,FALSE),MATCH(All!S$1,Winter!$1:$1,FALSE))),"")</f>
        <v/>
      </c>
      <c r="T455" t="str">
        <f>IFERROR(IF(INDEX(Winter!$1:$1048576,MATCH(All!$A455,Winter!$A:$A,FALSE),MATCH(All!T$1,Winter!$1:$1,FALSE))="","",INDEX(Winter!$1:$1048576,MATCH(All!$A455,Winter!$A:$A,FALSE),MATCH(All!T$1,Winter!$1:$1,FALSE))),"")</f>
        <v>1A</v>
      </c>
      <c r="U455" t="str">
        <f>IFERROR(IF(INDEX(Winter!$1:$1048576,MATCH(All!$A455,Winter!$A:$A,FALSE),MATCH(All!U$1,Winter!$1:$1,FALSE))="","",INDEX(Winter!$1:$1048576,MATCH(All!$A455,Winter!$A:$A,FALSE),MATCH(All!U$1,Winter!$1:$1,FALSE))),"")</f>
        <v>1A</v>
      </c>
      <c r="W455">
        <f>IFERROR(IF(INDEX(Spring!$1:$1048576,MATCH(All!$A455,Spring!$A:$A,FALSE),MATCH(All!W$1,Spring!$1:$1,FALSE))="","",INDEX(Spring!$1:$1048576,MATCH(All!$A455,Spring!$A:$A,FALSE),MATCH(All!W$1,Spring!$1:$1,FALSE))),"")</f>
        <v>230</v>
      </c>
      <c r="X455" t="str">
        <f>IFERROR(IF(INDEX(Spring!$1:$1048576,MATCH(All!$A455,Spring!$A:$A,FALSE),MATCH(All!X$1,Spring!$1:$1,FALSE))="","",INDEX(Spring!$1:$1048576,MATCH(All!$A455,Spring!$A:$A,FALSE),MATCH(All!X$1,Spring!$1:$1,FALSE))),"")</f>
        <v>1A</v>
      </c>
      <c r="Y455" t="str">
        <f>IFERROR(IF(INDEX(Spring!$1:$1048576,MATCH(All!$A455,Spring!$A:$A,FALSE),MATCH(All!Y$1,Spring!$1:$1,FALSE))="","",INDEX(Spring!$1:$1048576,MATCH(All!$A455,Spring!$A:$A,FALSE),MATCH(All!Y$1,Spring!$1:$1,FALSE))),"")</f>
        <v>1A</v>
      </c>
      <c r="Z455" t="str">
        <f>IFERROR(IF(INDEX(Spring!$1:$1048576,MATCH(All!$A455,Spring!$A:$A,FALSE),MATCH(All!Z$1,Spring!$1:$1,FALSE))="","",INDEX(Spring!$1:$1048576,MATCH(All!$A455,Spring!$A:$A,FALSE),MATCH(All!Z$1,Spring!$1:$1,FALSE))),"")</f>
        <v/>
      </c>
      <c r="AA455" t="str">
        <f>IFERROR(IF(INDEX(Spring!$1:$1048576,MATCH(All!$A455,Spring!$A:$A,FALSE),MATCH(All!AA$1,Spring!$1:$1,FALSE))="","",INDEX(Spring!$1:$1048576,MATCH(All!$A455,Spring!$A:$A,FALSE),MATCH(All!AA$1,Spring!$1:$1,FALSE))),"")</f>
        <v/>
      </c>
      <c r="AB455" t="str">
        <f>IFERROR(IF(INDEX(Spring!$1:$1048576,MATCH(All!$A455,Spring!$A:$A,FALSE),MATCH(All!AB$1,Spring!$1:$1,FALSE))="","",INDEX(Spring!$1:$1048576,MATCH(All!$A455,Spring!$A:$A,FALSE),MATCH(All!AB$1,Spring!$1:$1,FALSE))),"")</f>
        <v>1A</v>
      </c>
      <c r="AC455" t="str">
        <f>IFERROR(IF(INDEX(Spring!$1:$1048576,MATCH(All!$A455,Spring!$A:$A,FALSE),MATCH(All!AC$1,Spring!$1:$1,FALSE))="","",INDEX(Spring!$1:$1048576,MATCH(All!$A455,Spring!$A:$A,FALSE),MATCH(All!AC$1,Spring!$1:$1,FALSE))),"")</f>
        <v>1A</v>
      </c>
      <c r="AD455" t="str">
        <f>IFERROR(VLOOKUP(A455,'Flag Football'!A:A,1,FALSE),"")</f>
        <v/>
      </c>
      <c r="AE455" t="str">
        <f t="shared" si="7"/>
        <v/>
      </c>
    </row>
    <row r="456" spans="1:31" ht="15.75" thickBot="1" x14ac:dyDescent="0.3">
      <c r="A456" s="18" t="s">
        <v>545</v>
      </c>
      <c r="B456" s="38">
        <f>IFERROR(VLOOKUP(A456,'Public v Private'!A:G,3,FALSE),"")</f>
        <v>0</v>
      </c>
      <c r="C456" s="38">
        <f>IFERROR(VLOOKUP(A456,'Public v Private'!A:G,4,FALSE),"")</f>
        <v>0</v>
      </c>
      <c r="D456" s="38">
        <f>IFERROR(VLOOKUP(A456,'Public v Private'!A:G,5,FALSE),"")</f>
        <v>0</v>
      </c>
      <c r="E456" s="38"/>
      <c r="F456" s="40">
        <f>IFERROR(INDEX(Fall!$1:$1048576,MATCH(All!$A456,Fall!$A:$A,FALSE),MATCH(All!F$1,Fall!$1:$1,FALSE)),"N/A")</f>
        <v>233</v>
      </c>
      <c r="G456" t="str">
        <f>IFERROR(IF(INDEX(Fall!$1:$1048576,MATCH(All!$A456,Fall!$A:$A,FALSE),MATCH(All!G$1,Fall!$1:$1,FALSE))="","",INDEX(Fall!$1:$1048576,MATCH(All!$A456,Fall!$A:$A,FALSE),MATCH(All!G$1,Fall!$1:$1,FALSE))),"")</f>
        <v/>
      </c>
      <c r="H456" t="str">
        <f>IFERROR(IF(INDEX(Fall!$1:$1048576,MATCH(All!$A456,Fall!$A:$A,FALSE),MATCH(All!H$1,Fall!$1:$1,FALSE))="","",INDEX(Fall!$1:$1048576,MATCH(All!$A456,Fall!$A:$A,FALSE),MATCH(All!H$1,Fall!$1:$1,FALSE))),"")</f>
        <v/>
      </c>
      <c r="I456" t="str">
        <f>IFERROR(IF(INDEX(Fall!$1:$1048576,MATCH(All!$A456,Fall!$A:$A,FALSE),MATCH(All!I$1,Fall!$1:$1,FALSE))="","",INDEX(Fall!$1:$1048576,MATCH(All!$A456,Fall!$A:$A,FALSE),MATCH(All!I$1,Fall!$1:$1,FALSE))),"")</f>
        <v>1A</v>
      </c>
      <c r="J456" t="str">
        <f>IFERROR(IF(INDEX(Fall!$1:$1048576,MATCH(All!$A456,Fall!$A:$A,FALSE),MATCH(All!J$1,Fall!$1:$1,FALSE))="","",INDEX(Fall!$1:$1048576,MATCH(All!$A456,Fall!$A:$A,FALSE),MATCH(All!J$1,Fall!$1:$1,FALSE))),"")</f>
        <v>1A</v>
      </c>
      <c r="K456" t="str">
        <f>IFERROR(IF(INDEX(Fall!$1:$1048576,MATCH(All!$A456,Fall!$A:$A,FALSE),MATCH(All!K$1,Fall!$1:$1,FALSE))="","",INDEX(Fall!$1:$1048576,MATCH(All!$A456,Fall!$A:$A,FALSE),MATCH(All!K$1,Fall!$1:$1,FALSE))),"")</f>
        <v/>
      </c>
      <c r="L456" t="str">
        <f>IFERROR(IF(INDEX(Fall!$1:$1048576,MATCH(All!$A456,Fall!$A:$A,FALSE),MATCH(All!L$1,Fall!$1:$1,FALSE))="","",INDEX(Fall!$1:$1048576,MATCH(All!$A456,Fall!$A:$A,FALSE),MATCH(All!L$1,Fall!$1:$1,FALSE))),"")</f>
        <v/>
      </c>
      <c r="M456" t="str">
        <f>IFERROR(IF(INDEX(Fall!$1:$1048576,MATCH(All!$A456,Fall!$A:$A,FALSE),MATCH(All!M$1,Fall!$1:$1,FALSE))="","",INDEX(Fall!$1:$1048576,MATCH(All!$A456,Fall!$A:$A,FALSE),MATCH(All!M$1,Fall!$1:$1,FALSE))),"")</f>
        <v>1A</v>
      </c>
      <c r="O456">
        <f>IFERROR(IF(INDEX(Winter!$1:$1048576,MATCH(All!$A456,Winter!$A:$A,FALSE),MATCH(All!O$1,Winter!$1:$1,FALSE))="","",INDEX(Winter!$1:$1048576,MATCH(All!$A456,Winter!$A:$A,FALSE),MATCH(All!O$1,Winter!$1:$1,FALSE))),"")</f>
        <v>233</v>
      </c>
      <c r="P456" t="str">
        <f>IFERROR(IF(INDEX(Winter!$1:$1048576,MATCH(All!$A456,Winter!$A:$A,FALSE),MATCH(All!P$1,Winter!$1:$1,FALSE))="","",INDEX(Winter!$1:$1048576,MATCH(All!$A456,Winter!$A:$A,FALSE),MATCH(All!P$1,Winter!$1:$1,FALSE))),"")</f>
        <v>1A</v>
      </c>
      <c r="Q456" t="str">
        <f>IFERROR(IF(INDEX(Winter!$1:$1048576,MATCH(All!$A456,Winter!$A:$A,FALSE),MATCH(All!Q$1,Winter!$1:$1,FALSE))="","",INDEX(Winter!$1:$1048576,MATCH(All!$A456,Winter!$A:$A,FALSE),MATCH(All!Q$1,Winter!$1:$1,FALSE))),"")</f>
        <v>1A</v>
      </c>
      <c r="R456" t="str">
        <f>IFERROR(IF(INDEX(Winter!$1:$1048576,MATCH(All!$A456,Winter!$A:$A,FALSE),MATCH(All!R$1,Winter!$1:$1,FALSE))="","",INDEX(Winter!$1:$1048576,MATCH(All!$A456,Winter!$A:$A,FALSE),MATCH(All!R$1,Winter!$1:$1,FALSE))),"")</f>
        <v/>
      </c>
      <c r="S456" t="str">
        <f>IFERROR(IF(INDEX(Winter!$1:$1048576,MATCH(All!$A456,Winter!$A:$A,FALSE),MATCH(All!S$1,Winter!$1:$1,FALSE))="","",INDEX(Winter!$1:$1048576,MATCH(All!$A456,Winter!$A:$A,FALSE),MATCH(All!S$1,Winter!$1:$1,FALSE))),"")</f>
        <v/>
      </c>
      <c r="T456" t="str">
        <f>IFERROR(IF(INDEX(Winter!$1:$1048576,MATCH(All!$A456,Winter!$A:$A,FALSE),MATCH(All!T$1,Winter!$1:$1,FALSE))="","",INDEX(Winter!$1:$1048576,MATCH(All!$A456,Winter!$A:$A,FALSE),MATCH(All!T$1,Winter!$1:$1,FALSE))),"")</f>
        <v>1A</v>
      </c>
      <c r="U456" t="str">
        <f>IFERROR(IF(INDEX(Winter!$1:$1048576,MATCH(All!$A456,Winter!$A:$A,FALSE),MATCH(All!U$1,Winter!$1:$1,FALSE))="","",INDEX(Winter!$1:$1048576,MATCH(All!$A456,Winter!$A:$A,FALSE),MATCH(All!U$1,Winter!$1:$1,FALSE))),"")</f>
        <v>1A</v>
      </c>
      <c r="W456">
        <f>IFERROR(IF(INDEX(Spring!$1:$1048576,MATCH(All!$A456,Spring!$A:$A,FALSE),MATCH(All!W$1,Spring!$1:$1,FALSE))="","",INDEX(Spring!$1:$1048576,MATCH(All!$A456,Spring!$A:$A,FALSE),MATCH(All!W$1,Spring!$1:$1,FALSE))),"")</f>
        <v>233</v>
      </c>
      <c r="X456" t="str">
        <f>IFERROR(IF(INDEX(Spring!$1:$1048576,MATCH(All!$A456,Spring!$A:$A,FALSE),MATCH(All!X$1,Spring!$1:$1,FALSE))="","",INDEX(Spring!$1:$1048576,MATCH(All!$A456,Spring!$A:$A,FALSE),MATCH(All!X$1,Spring!$1:$1,FALSE))),"")</f>
        <v>1A</v>
      </c>
      <c r="Y456" t="str">
        <f>IFERROR(IF(INDEX(Spring!$1:$1048576,MATCH(All!$A456,Spring!$A:$A,FALSE),MATCH(All!Y$1,Spring!$1:$1,FALSE))="","",INDEX(Spring!$1:$1048576,MATCH(All!$A456,Spring!$A:$A,FALSE),MATCH(All!Y$1,Spring!$1:$1,FALSE))),"")</f>
        <v>1A</v>
      </c>
      <c r="Z456" t="str">
        <f>IFERROR(IF(INDEX(Spring!$1:$1048576,MATCH(All!$A456,Spring!$A:$A,FALSE),MATCH(All!Z$1,Spring!$1:$1,FALSE))="","",INDEX(Spring!$1:$1048576,MATCH(All!$A456,Spring!$A:$A,FALSE),MATCH(All!Z$1,Spring!$1:$1,FALSE))),"")</f>
        <v/>
      </c>
      <c r="AA456" t="str">
        <f>IFERROR(IF(INDEX(Spring!$1:$1048576,MATCH(All!$A456,Spring!$A:$A,FALSE),MATCH(All!AA$1,Spring!$1:$1,FALSE))="","",INDEX(Spring!$1:$1048576,MATCH(All!$A456,Spring!$A:$A,FALSE),MATCH(All!AA$1,Spring!$1:$1,FALSE))),"")</f>
        <v/>
      </c>
      <c r="AB456" t="str">
        <f>IFERROR(IF(INDEX(Spring!$1:$1048576,MATCH(All!$A456,Spring!$A:$A,FALSE),MATCH(All!AB$1,Spring!$1:$1,FALSE))="","",INDEX(Spring!$1:$1048576,MATCH(All!$A456,Spring!$A:$A,FALSE),MATCH(All!AB$1,Spring!$1:$1,FALSE))),"")</f>
        <v>1A</v>
      </c>
      <c r="AC456" t="str">
        <f>IFERROR(IF(INDEX(Spring!$1:$1048576,MATCH(All!$A456,Spring!$A:$A,FALSE),MATCH(All!AC$1,Spring!$1:$1,FALSE))="","",INDEX(Spring!$1:$1048576,MATCH(All!$A456,Spring!$A:$A,FALSE),MATCH(All!AC$1,Spring!$1:$1,FALSE))),"")</f>
        <v>1A</v>
      </c>
      <c r="AD456" t="str">
        <f>IFERROR(VLOOKUP(A456,'Flag Football'!A:A,1,FALSE),"")</f>
        <v/>
      </c>
      <c r="AE456" t="str">
        <f t="shared" si="7"/>
        <v/>
      </c>
    </row>
    <row r="457" spans="1:31" ht="15.75" thickBot="1" x14ac:dyDescent="0.3">
      <c r="A457" s="20" t="s">
        <v>546</v>
      </c>
      <c r="B457" s="38">
        <f>IFERROR(VLOOKUP(A457,'Public v Private'!A:G,3,FALSE),"")</f>
        <v>0</v>
      </c>
      <c r="C457" s="38">
        <f>IFERROR(VLOOKUP(A457,'Public v Private'!A:G,4,FALSE),"")</f>
        <v>0</v>
      </c>
      <c r="D457" s="38">
        <f>IFERROR(VLOOKUP(A457,'Public v Private'!A:G,5,FALSE),"")</f>
        <v>0</v>
      </c>
      <c r="E457" s="38"/>
      <c r="F457" s="40">
        <f>IFERROR(INDEX(Fall!$1:$1048576,MATCH(All!$A457,Fall!$A:$A,FALSE),MATCH(All!F$1,Fall!$1:$1,FALSE)),"N/A")</f>
        <v>160</v>
      </c>
      <c r="G457" t="str">
        <f>IFERROR(IF(INDEX(Fall!$1:$1048576,MATCH(All!$A457,Fall!$A:$A,FALSE),MATCH(All!G$1,Fall!$1:$1,FALSE))="","",INDEX(Fall!$1:$1048576,MATCH(All!$A457,Fall!$A:$A,FALSE),MATCH(All!G$1,Fall!$1:$1,FALSE))),"")</f>
        <v>1A</v>
      </c>
      <c r="H457" t="str">
        <f>IFERROR(IF(INDEX(Fall!$1:$1048576,MATCH(All!$A457,Fall!$A:$A,FALSE),MATCH(All!H$1,Fall!$1:$1,FALSE))="","",INDEX(Fall!$1:$1048576,MATCH(All!$A457,Fall!$A:$A,FALSE),MATCH(All!H$1,Fall!$1:$1,FALSE))),"")</f>
        <v>1A</v>
      </c>
      <c r="I457" t="str">
        <f>IFERROR(IF(INDEX(Fall!$1:$1048576,MATCH(All!$A457,Fall!$A:$A,FALSE),MATCH(All!I$1,Fall!$1:$1,FALSE))="","",INDEX(Fall!$1:$1048576,MATCH(All!$A457,Fall!$A:$A,FALSE),MATCH(All!I$1,Fall!$1:$1,FALSE))),"")</f>
        <v/>
      </c>
      <c r="J457" t="str">
        <f>IFERROR(IF(INDEX(Fall!$1:$1048576,MATCH(All!$A457,Fall!$A:$A,FALSE),MATCH(All!J$1,Fall!$1:$1,FALSE))="","",INDEX(Fall!$1:$1048576,MATCH(All!$A457,Fall!$A:$A,FALSE),MATCH(All!J$1,Fall!$1:$1,FALSE))),"")</f>
        <v/>
      </c>
      <c r="K457" t="str">
        <f>IFERROR(IF(INDEX(Fall!$1:$1048576,MATCH(All!$A457,Fall!$A:$A,FALSE),MATCH(All!K$1,Fall!$1:$1,FALSE))="","",INDEX(Fall!$1:$1048576,MATCH(All!$A457,Fall!$A:$A,FALSE),MATCH(All!K$1,Fall!$1:$1,FALSE))),"")</f>
        <v/>
      </c>
      <c r="L457" t="str">
        <f>IFERROR(IF(INDEX(Fall!$1:$1048576,MATCH(All!$A457,Fall!$A:$A,FALSE),MATCH(All!L$1,Fall!$1:$1,FALSE))="","",INDEX(Fall!$1:$1048576,MATCH(All!$A457,Fall!$A:$A,FALSE),MATCH(All!L$1,Fall!$1:$1,FALSE))),"")</f>
        <v/>
      </c>
      <c r="M457" t="str">
        <f>IFERROR(IF(INDEX(Fall!$1:$1048576,MATCH(All!$A457,Fall!$A:$A,FALSE),MATCH(All!M$1,Fall!$1:$1,FALSE))="","",INDEX(Fall!$1:$1048576,MATCH(All!$A457,Fall!$A:$A,FALSE),MATCH(All!M$1,Fall!$1:$1,FALSE))),"")</f>
        <v>1A</v>
      </c>
      <c r="O457">
        <f>IFERROR(IF(INDEX(Winter!$1:$1048576,MATCH(All!$A457,Winter!$A:$A,FALSE),MATCH(All!O$1,Winter!$1:$1,FALSE))="","",INDEX(Winter!$1:$1048576,MATCH(All!$A457,Winter!$A:$A,FALSE),MATCH(All!O$1,Winter!$1:$1,FALSE))),"")</f>
        <v>160</v>
      </c>
      <c r="P457" t="str">
        <f>IFERROR(IF(INDEX(Winter!$1:$1048576,MATCH(All!$A457,Winter!$A:$A,FALSE),MATCH(All!P$1,Winter!$1:$1,FALSE))="","",INDEX(Winter!$1:$1048576,MATCH(All!$A457,Winter!$A:$A,FALSE),MATCH(All!P$1,Winter!$1:$1,FALSE))),"")</f>
        <v>1A</v>
      </c>
      <c r="Q457" t="str">
        <f>IFERROR(IF(INDEX(Winter!$1:$1048576,MATCH(All!$A457,Winter!$A:$A,FALSE),MATCH(All!Q$1,Winter!$1:$1,FALSE))="","",INDEX(Winter!$1:$1048576,MATCH(All!$A457,Winter!$A:$A,FALSE),MATCH(All!Q$1,Winter!$1:$1,FALSE))),"")</f>
        <v>1A</v>
      </c>
      <c r="R457" t="str">
        <f>IFERROR(IF(INDEX(Winter!$1:$1048576,MATCH(All!$A457,Winter!$A:$A,FALSE),MATCH(All!R$1,Winter!$1:$1,FALSE))="","",INDEX(Winter!$1:$1048576,MATCH(All!$A457,Winter!$A:$A,FALSE),MATCH(All!R$1,Winter!$1:$1,FALSE))),"")</f>
        <v/>
      </c>
      <c r="S457" t="str">
        <f>IFERROR(IF(INDEX(Winter!$1:$1048576,MATCH(All!$A457,Winter!$A:$A,FALSE),MATCH(All!S$1,Winter!$1:$1,FALSE))="","",INDEX(Winter!$1:$1048576,MATCH(All!$A457,Winter!$A:$A,FALSE),MATCH(All!S$1,Winter!$1:$1,FALSE))),"")</f>
        <v/>
      </c>
      <c r="T457" t="str">
        <f>IFERROR(IF(INDEX(Winter!$1:$1048576,MATCH(All!$A457,Winter!$A:$A,FALSE),MATCH(All!T$1,Winter!$1:$1,FALSE))="","",INDEX(Winter!$1:$1048576,MATCH(All!$A457,Winter!$A:$A,FALSE),MATCH(All!T$1,Winter!$1:$1,FALSE))),"")</f>
        <v>1A</v>
      </c>
      <c r="U457" t="str">
        <f>IFERROR(IF(INDEX(Winter!$1:$1048576,MATCH(All!$A457,Winter!$A:$A,FALSE),MATCH(All!U$1,Winter!$1:$1,FALSE))="","",INDEX(Winter!$1:$1048576,MATCH(All!$A457,Winter!$A:$A,FALSE),MATCH(All!U$1,Winter!$1:$1,FALSE))),"")</f>
        <v/>
      </c>
      <c r="W457">
        <f>IFERROR(IF(INDEX(Spring!$1:$1048576,MATCH(All!$A457,Spring!$A:$A,FALSE),MATCH(All!W$1,Spring!$1:$1,FALSE))="","",INDEX(Spring!$1:$1048576,MATCH(All!$A457,Spring!$A:$A,FALSE),MATCH(All!W$1,Spring!$1:$1,FALSE))),"")</f>
        <v>160</v>
      </c>
      <c r="X457" t="str">
        <f>IFERROR(IF(INDEX(Spring!$1:$1048576,MATCH(All!$A457,Spring!$A:$A,FALSE),MATCH(All!X$1,Spring!$1:$1,FALSE))="","",INDEX(Spring!$1:$1048576,MATCH(All!$A457,Spring!$A:$A,FALSE),MATCH(All!X$1,Spring!$1:$1,FALSE))),"")</f>
        <v/>
      </c>
      <c r="Y457" t="str">
        <f>IFERROR(IF(INDEX(Spring!$1:$1048576,MATCH(All!$A457,Spring!$A:$A,FALSE),MATCH(All!Y$1,Spring!$1:$1,FALSE))="","",INDEX(Spring!$1:$1048576,MATCH(All!$A457,Spring!$A:$A,FALSE),MATCH(All!Y$1,Spring!$1:$1,FALSE))),"")</f>
        <v/>
      </c>
      <c r="Z457" t="str">
        <f>IFERROR(IF(INDEX(Spring!$1:$1048576,MATCH(All!$A457,Spring!$A:$A,FALSE),MATCH(All!Z$1,Spring!$1:$1,FALSE))="","",INDEX(Spring!$1:$1048576,MATCH(All!$A457,Spring!$A:$A,FALSE),MATCH(All!Z$1,Spring!$1:$1,FALSE))),"")</f>
        <v/>
      </c>
      <c r="AA457" t="str">
        <f>IFERROR(IF(INDEX(Spring!$1:$1048576,MATCH(All!$A457,Spring!$A:$A,FALSE),MATCH(All!AA$1,Spring!$1:$1,FALSE))="","",INDEX(Spring!$1:$1048576,MATCH(All!$A457,Spring!$A:$A,FALSE),MATCH(All!AA$1,Spring!$1:$1,FALSE))),"")</f>
        <v/>
      </c>
      <c r="AB457" t="str">
        <f>IFERROR(IF(INDEX(Spring!$1:$1048576,MATCH(All!$A457,Spring!$A:$A,FALSE),MATCH(All!AB$1,Spring!$1:$1,FALSE))="","",INDEX(Spring!$1:$1048576,MATCH(All!$A457,Spring!$A:$A,FALSE),MATCH(All!AB$1,Spring!$1:$1,FALSE))),"")</f>
        <v>1A</v>
      </c>
      <c r="AC457" t="str">
        <f>IFERROR(IF(INDEX(Spring!$1:$1048576,MATCH(All!$A457,Spring!$A:$A,FALSE),MATCH(All!AC$1,Spring!$1:$1,FALSE))="","",INDEX(Spring!$1:$1048576,MATCH(All!$A457,Spring!$A:$A,FALSE),MATCH(All!AC$1,Spring!$1:$1,FALSE))),"")</f>
        <v>1A</v>
      </c>
      <c r="AD457" t="str">
        <f>IFERROR(VLOOKUP(A457,'Flag Football'!A:A,1,FALSE),"")</f>
        <v/>
      </c>
      <c r="AE457" t="str">
        <f t="shared" si="7"/>
        <v/>
      </c>
    </row>
    <row r="458" spans="1:31" ht="15.75" thickBot="1" x14ac:dyDescent="0.3">
      <c r="A458" s="18" t="s">
        <v>547</v>
      </c>
      <c r="B458" s="38">
        <f>IFERROR(VLOOKUP(A458,'Public v Private'!A:G,3,FALSE),"")</f>
        <v>0</v>
      </c>
      <c r="C458" s="38">
        <f>IFERROR(VLOOKUP(A458,'Public v Private'!A:G,4,FALSE),"")</f>
        <v>0</v>
      </c>
      <c r="D458" s="38">
        <f>IFERROR(VLOOKUP(A458,'Public v Private'!A:G,5,FALSE),"")</f>
        <v>0</v>
      </c>
      <c r="E458" s="38"/>
      <c r="F458" s="40">
        <f>IFERROR(INDEX(Fall!$1:$1048576,MATCH(All!$A458,Fall!$A:$A,FALSE),MATCH(All!F$1,Fall!$1:$1,FALSE)),"N/A")</f>
        <v>161</v>
      </c>
      <c r="G458" t="str">
        <f>IFERROR(IF(INDEX(Fall!$1:$1048576,MATCH(All!$A458,Fall!$A:$A,FALSE),MATCH(All!G$1,Fall!$1:$1,FALSE))="","",INDEX(Fall!$1:$1048576,MATCH(All!$A458,Fall!$A:$A,FALSE),MATCH(All!G$1,Fall!$1:$1,FALSE))),"")</f>
        <v/>
      </c>
      <c r="H458" t="str">
        <f>IFERROR(IF(INDEX(Fall!$1:$1048576,MATCH(All!$A458,Fall!$A:$A,FALSE),MATCH(All!H$1,Fall!$1:$1,FALSE))="","",INDEX(Fall!$1:$1048576,MATCH(All!$A458,Fall!$A:$A,FALSE),MATCH(All!H$1,Fall!$1:$1,FALSE))),"")</f>
        <v/>
      </c>
      <c r="I458" t="str">
        <f>IFERROR(IF(INDEX(Fall!$1:$1048576,MATCH(All!$A458,Fall!$A:$A,FALSE),MATCH(All!I$1,Fall!$1:$1,FALSE))="","",INDEX(Fall!$1:$1048576,MATCH(All!$A458,Fall!$A:$A,FALSE),MATCH(All!I$1,Fall!$1:$1,FALSE))),"")</f>
        <v>1A</v>
      </c>
      <c r="J458" t="str">
        <f>IFERROR(IF(INDEX(Fall!$1:$1048576,MATCH(All!$A458,Fall!$A:$A,FALSE),MATCH(All!J$1,Fall!$1:$1,FALSE))="","",INDEX(Fall!$1:$1048576,MATCH(All!$A458,Fall!$A:$A,FALSE),MATCH(All!J$1,Fall!$1:$1,FALSE))),"")</f>
        <v/>
      </c>
      <c r="K458" t="str">
        <f>IFERROR(IF(INDEX(Fall!$1:$1048576,MATCH(All!$A458,Fall!$A:$A,FALSE),MATCH(All!K$1,Fall!$1:$1,FALSE))="","",INDEX(Fall!$1:$1048576,MATCH(All!$A458,Fall!$A:$A,FALSE),MATCH(All!K$1,Fall!$1:$1,FALSE))),"")</f>
        <v/>
      </c>
      <c r="L458" t="str">
        <f>IFERROR(IF(INDEX(Fall!$1:$1048576,MATCH(All!$A458,Fall!$A:$A,FALSE),MATCH(All!L$1,Fall!$1:$1,FALSE))="","",INDEX(Fall!$1:$1048576,MATCH(All!$A458,Fall!$A:$A,FALSE),MATCH(All!L$1,Fall!$1:$1,FALSE))),"")</f>
        <v/>
      </c>
      <c r="M458" t="str">
        <f>IFERROR(IF(INDEX(Fall!$1:$1048576,MATCH(All!$A458,Fall!$A:$A,FALSE),MATCH(All!M$1,Fall!$1:$1,FALSE))="","",INDEX(Fall!$1:$1048576,MATCH(All!$A458,Fall!$A:$A,FALSE),MATCH(All!M$1,Fall!$1:$1,FALSE))),"")</f>
        <v>1A</v>
      </c>
      <c r="O458">
        <f>IFERROR(IF(INDEX(Winter!$1:$1048576,MATCH(All!$A458,Winter!$A:$A,FALSE),MATCH(All!O$1,Winter!$1:$1,FALSE))="","",INDEX(Winter!$1:$1048576,MATCH(All!$A458,Winter!$A:$A,FALSE),MATCH(All!O$1,Winter!$1:$1,FALSE))),"")</f>
        <v>161</v>
      </c>
      <c r="P458" t="str">
        <f>IFERROR(IF(INDEX(Winter!$1:$1048576,MATCH(All!$A458,Winter!$A:$A,FALSE),MATCH(All!P$1,Winter!$1:$1,FALSE))="","",INDEX(Winter!$1:$1048576,MATCH(All!$A458,Winter!$A:$A,FALSE),MATCH(All!P$1,Winter!$1:$1,FALSE))),"")</f>
        <v>1A</v>
      </c>
      <c r="Q458" t="str">
        <f>IFERROR(IF(INDEX(Winter!$1:$1048576,MATCH(All!$A458,Winter!$A:$A,FALSE),MATCH(All!Q$1,Winter!$1:$1,FALSE))="","",INDEX(Winter!$1:$1048576,MATCH(All!$A458,Winter!$A:$A,FALSE),MATCH(All!Q$1,Winter!$1:$1,FALSE))),"")</f>
        <v>1A</v>
      </c>
      <c r="R458" t="str">
        <f>IFERROR(IF(INDEX(Winter!$1:$1048576,MATCH(All!$A458,Winter!$A:$A,FALSE),MATCH(All!R$1,Winter!$1:$1,FALSE))="","",INDEX(Winter!$1:$1048576,MATCH(All!$A458,Winter!$A:$A,FALSE),MATCH(All!R$1,Winter!$1:$1,FALSE))),"")</f>
        <v>1A</v>
      </c>
      <c r="S458" t="str">
        <f>IFERROR(IF(INDEX(Winter!$1:$1048576,MATCH(All!$A458,Winter!$A:$A,FALSE),MATCH(All!S$1,Winter!$1:$1,FALSE))="","",INDEX(Winter!$1:$1048576,MATCH(All!$A458,Winter!$A:$A,FALSE),MATCH(All!S$1,Winter!$1:$1,FALSE))),"")</f>
        <v/>
      </c>
      <c r="T458" t="str">
        <f>IFERROR(IF(INDEX(Winter!$1:$1048576,MATCH(All!$A458,Winter!$A:$A,FALSE),MATCH(All!T$1,Winter!$1:$1,FALSE))="","",INDEX(Winter!$1:$1048576,MATCH(All!$A458,Winter!$A:$A,FALSE),MATCH(All!T$1,Winter!$1:$1,FALSE))),"")</f>
        <v>1A</v>
      </c>
      <c r="U458" t="str">
        <f>IFERROR(IF(INDEX(Winter!$1:$1048576,MATCH(All!$A458,Winter!$A:$A,FALSE),MATCH(All!U$1,Winter!$1:$1,FALSE))="","",INDEX(Winter!$1:$1048576,MATCH(All!$A458,Winter!$A:$A,FALSE),MATCH(All!U$1,Winter!$1:$1,FALSE))),"")</f>
        <v/>
      </c>
      <c r="W458">
        <f>IFERROR(IF(INDEX(Spring!$1:$1048576,MATCH(All!$A458,Spring!$A:$A,FALSE),MATCH(All!W$1,Spring!$1:$1,FALSE))="","",INDEX(Spring!$1:$1048576,MATCH(All!$A458,Spring!$A:$A,FALSE),MATCH(All!W$1,Spring!$1:$1,FALSE))),"")</f>
        <v>161</v>
      </c>
      <c r="X458" t="str">
        <f>IFERROR(IF(INDEX(Spring!$1:$1048576,MATCH(All!$A458,Spring!$A:$A,FALSE),MATCH(All!X$1,Spring!$1:$1,FALSE))="","",INDEX(Spring!$1:$1048576,MATCH(All!$A458,Spring!$A:$A,FALSE),MATCH(All!X$1,Spring!$1:$1,FALSE))),"")</f>
        <v>1A</v>
      </c>
      <c r="Y458" t="str">
        <f>IFERROR(IF(INDEX(Spring!$1:$1048576,MATCH(All!$A458,Spring!$A:$A,FALSE),MATCH(All!Y$1,Spring!$1:$1,FALSE))="","",INDEX(Spring!$1:$1048576,MATCH(All!$A458,Spring!$A:$A,FALSE),MATCH(All!Y$1,Spring!$1:$1,FALSE))),"")</f>
        <v>2A</v>
      </c>
      <c r="Z458" t="str">
        <f>IFERROR(IF(INDEX(Spring!$1:$1048576,MATCH(All!$A458,Spring!$A:$A,FALSE),MATCH(All!Z$1,Spring!$1:$1,FALSE))="","",INDEX(Spring!$1:$1048576,MATCH(All!$A458,Spring!$A:$A,FALSE),MATCH(All!Z$1,Spring!$1:$1,FALSE))),"")</f>
        <v/>
      </c>
      <c r="AA458" t="str">
        <f>IFERROR(IF(INDEX(Spring!$1:$1048576,MATCH(All!$A458,Spring!$A:$A,FALSE),MATCH(All!AA$1,Spring!$1:$1,FALSE))="","",INDEX(Spring!$1:$1048576,MATCH(All!$A458,Spring!$A:$A,FALSE),MATCH(All!AA$1,Spring!$1:$1,FALSE))),"")</f>
        <v/>
      </c>
      <c r="AB458" t="str">
        <f>IFERROR(IF(INDEX(Spring!$1:$1048576,MATCH(All!$A458,Spring!$A:$A,FALSE),MATCH(All!AB$1,Spring!$1:$1,FALSE))="","",INDEX(Spring!$1:$1048576,MATCH(All!$A458,Spring!$A:$A,FALSE),MATCH(All!AB$1,Spring!$1:$1,FALSE))),"")</f>
        <v/>
      </c>
      <c r="AC458" t="str">
        <f>IFERROR(IF(INDEX(Spring!$1:$1048576,MATCH(All!$A458,Spring!$A:$A,FALSE),MATCH(All!AC$1,Spring!$1:$1,FALSE))="","",INDEX(Spring!$1:$1048576,MATCH(All!$A458,Spring!$A:$A,FALSE),MATCH(All!AC$1,Spring!$1:$1,FALSE))),"")</f>
        <v/>
      </c>
      <c r="AD458" t="str">
        <f>IFERROR(VLOOKUP(A458,'Flag Football'!A:A,1,FALSE),"")</f>
        <v/>
      </c>
      <c r="AE458" t="str">
        <f t="shared" si="7"/>
        <v/>
      </c>
    </row>
    <row r="459" spans="1:31" ht="15.75" thickBot="1" x14ac:dyDescent="0.3">
      <c r="A459" s="20" t="s">
        <v>548</v>
      </c>
      <c r="B459" s="38">
        <f>IFERROR(VLOOKUP(A459,'Public v Private'!A:G,3,FALSE),"")</f>
        <v>0</v>
      </c>
      <c r="C459" s="38">
        <f>IFERROR(VLOOKUP(A459,'Public v Private'!A:G,4,FALSE),"")</f>
        <v>0</v>
      </c>
      <c r="D459" s="38">
        <f>IFERROR(VLOOKUP(A459,'Public v Private'!A:G,5,FALSE),"")</f>
        <v>0</v>
      </c>
      <c r="E459" s="38"/>
      <c r="F459" s="40">
        <f>IFERROR(INDEX(Fall!$1:$1048576,MATCH(All!$A459,Fall!$A:$A,FALSE),MATCH(All!F$1,Fall!$1:$1,FALSE)),"N/A")</f>
        <v>168</v>
      </c>
      <c r="G459" t="str">
        <f>IFERROR(IF(INDEX(Fall!$1:$1048576,MATCH(All!$A459,Fall!$A:$A,FALSE),MATCH(All!G$1,Fall!$1:$1,FALSE))="","",INDEX(Fall!$1:$1048576,MATCH(All!$A459,Fall!$A:$A,FALSE),MATCH(All!G$1,Fall!$1:$1,FALSE))),"")</f>
        <v>1A</v>
      </c>
      <c r="H459" t="str">
        <f>IFERROR(IF(INDEX(Fall!$1:$1048576,MATCH(All!$A459,Fall!$A:$A,FALSE),MATCH(All!H$1,Fall!$1:$1,FALSE))="","",INDEX(Fall!$1:$1048576,MATCH(All!$A459,Fall!$A:$A,FALSE),MATCH(All!H$1,Fall!$1:$1,FALSE))),"")</f>
        <v>1A</v>
      </c>
      <c r="I459" t="str">
        <f>IFERROR(IF(INDEX(Fall!$1:$1048576,MATCH(All!$A459,Fall!$A:$A,FALSE),MATCH(All!I$1,Fall!$1:$1,FALSE))="","",INDEX(Fall!$1:$1048576,MATCH(All!$A459,Fall!$A:$A,FALSE),MATCH(All!I$1,Fall!$1:$1,FALSE))),"")</f>
        <v>1A</v>
      </c>
      <c r="J459" t="str">
        <f>IFERROR(IF(INDEX(Fall!$1:$1048576,MATCH(All!$A459,Fall!$A:$A,FALSE),MATCH(All!J$1,Fall!$1:$1,FALSE))="","",INDEX(Fall!$1:$1048576,MATCH(All!$A459,Fall!$A:$A,FALSE),MATCH(All!J$1,Fall!$1:$1,FALSE))),"")</f>
        <v>1A</v>
      </c>
      <c r="K459" t="str">
        <f>IFERROR(IF(INDEX(Fall!$1:$1048576,MATCH(All!$A459,Fall!$A:$A,FALSE),MATCH(All!K$1,Fall!$1:$1,FALSE))="","",INDEX(Fall!$1:$1048576,MATCH(All!$A459,Fall!$A:$A,FALSE),MATCH(All!K$1,Fall!$1:$1,FALSE))),"")</f>
        <v/>
      </c>
      <c r="L459" t="str">
        <f>IFERROR(IF(INDEX(Fall!$1:$1048576,MATCH(All!$A459,Fall!$A:$A,FALSE),MATCH(All!L$1,Fall!$1:$1,FALSE))="","",INDEX(Fall!$1:$1048576,MATCH(All!$A459,Fall!$A:$A,FALSE),MATCH(All!L$1,Fall!$1:$1,FALSE))),"")</f>
        <v/>
      </c>
      <c r="M459" t="str">
        <f>IFERROR(IF(INDEX(Fall!$1:$1048576,MATCH(All!$A459,Fall!$A:$A,FALSE),MATCH(All!M$1,Fall!$1:$1,FALSE))="","",INDEX(Fall!$1:$1048576,MATCH(All!$A459,Fall!$A:$A,FALSE),MATCH(All!M$1,Fall!$1:$1,FALSE))),"")</f>
        <v>1A</v>
      </c>
      <c r="O459">
        <f>IFERROR(IF(INDEX(Winter!$1:$1048576,MATCH(All!$A459,Winter!$A:$A,FALSE),MATCH(All!O$1,Winter!$1:$1,FALSE))="","",INDEX(Winter!$1:$1048576,MATCH(All!$A459,Winter!$A:$A,FALSE),MATCH(All!O$1,Winter!$1:$1,FALSE))),"")</f>
        <v>168</v>
      </c>
      <c r="P459" t="str">
        <f>IFERROR(IF(INDEX(Winter!$1:$1048576,MATCH(All!$A459,Winter!$A:$A,FALSE),MATCH(All!P$1,Winter!$1:$1,FALSE))="","",INDEX(Winter!$1:$1048576,MATCH(All!$A459,Winter!$A:$A,FALSE),MATCH(All!P$1,Winter!$1:$1,FALSE))),"")</f>
        <v>1A</v>
      </c>
      <c r="Q459" t="str">
        <f>IFERROR(IF(INDEX(Winter!$1:$1048576,MATCH(All!$A459,Winter!$A:$A,FALSE),MATCH(All!Q$1,Winter!$1:$1,FALSE))="","",INDEX(Winter!$1:$1048576,MATCH(All!$A459,Winter!$A:$A,FALSE),MATCH(All!Q$1,Winter!$1:$1,FALSE))),"")</f>
        <v>1A</v>
      </c>
      <c r="R459" t="str">
        <f>IFERROR(IF(INDEX(Winter!$1:$1048576,MATCH(All!$A459,Winter!$A:$A,FALSE),MATCH(All!R$1,Winter!$1:$1,FALSE))="","",INDEX(Winter!$1:$1048576,MATCH(All!$A459,Winter!$A:$A,FALSE),MATCH(All!R$1,Winter!$1:$1,FALSE))),"")</f>
        <v/>
      </c>
      <c r="S459" t="str">
        <f>IFERROR(IF(INDEX(Winter!$1:$1048576,MATCH(All!$A459,Winter!$A:$A,FALSE),MATCH(All!S$1,Winter!$1:$1,FALSE))="","",INDEX(Winter!$1:$1048576,MATCH(All!$A459,Winter!$A:$A,FALSE),MATCH(All!S$1,Winter!$1:$1,FALSE))),"")</f>
        <v/>
      </c>
      <c r="T459" t="str">
        <f>IFERROR(IF(INDEX(Winter!$1:$1048576,MATCH(All!$A459,Winter!$A:$A,FALSE),MATCH(All!T$1,Winter!$1:$1,FALSE))="","",INDEX(Winter!$1:$1048576,MATCH(All!$A459,Winter!$A:$A,FALSE),MATCH(All!T$1,Winter!$1:$1,FALSE))),"")</f>
        <v>1A</v>
      </c>
      <c r="U459" t="str">
        <f>IFERROR(IF(INDEX(Winter!$1:$1048576,MATCH(All!$A459,Winter!$A:$A,FALSE),MATCH(All!U$1,Winter!$1:$1,FALSE))="","",INDEX(Winter!$1:$1048576,MATCH(All!$A459,Winter!$A:$A,FALSE),MATCH(All!U$1,Winter!$1:$1,FALSE))),"")</f>
        <v/>
      </c>
      <c r="W459">
        <f>IFERROR(IF(INDEX(Spring!$1:$1048576,MATCH(All!$A459,Spring!$A:$A,FALSE),MATCH(All!W$1,Spring!$1:$1,FALSE))="","",INDEX(Spring!$1:$1048576,MATCH(All!$A459,Spring!$A:$A,FALSE),MATCH(All!W$1,Spring!$1:$1,FALSE))),"")</f>
        <v>168</v>
      </c>
      <c r="X459" t="str">
        <f>IFERROR(IF(INDEX(Spring!$1:$1048576,MATCH(All!$A459,Spring!$A:$A,FALSE),MATCH(All!X$1,Spring!$1:$1,FALSE))="","",INDEX(Spring!$1:$1048576,MATCH(All!$A459,Spring!$A:$A,FALSE),MATCH(All!X$1,Spring!$1:$1,FALSE))),"")</f>
        <v>1A</v>
      </c>
      <c r="Y459" t="str">
        <f>IFERROR(IF(INDEX(Spring!$1:$1048576,MATCH(All!$A459,Spring!$A:$A,FALSE),MATCH(All!Y$1,Spring!$1:$1,FALSE))="","",INDEX(Spring!$1:$1048576,MATCH(All!$A459,Spring!$A:$A,FALSE),MATCH(All!Y$1,Spring!$1:$1,FALSE))),"")</f>
        <v>1A</v>
      </c>
      <c r="Z459" t="str">
        <f>IFERROR(IF(INDEX(Spring!$1:$1048576,MATCH(All!$A459,Spring!$A:$A,FALSE),MATCH(All!Z$1,Spring!$1:$1,FALSE))="","",INDEX(Spring!$1:$1048576,MATCH(All!$A459,Spring!$A:$A,FALSE),MATCH(All!Z$1,Spring!$1:$1,FALSE))),"")</f>
        <v/>
      </c>
      <c r="AA459" t="str">
        <f>IFERROR(IF(INDEX(Spring!$1:$1048576,MATCH(All!$A459,Spring!$A:$A,FALSE),MATCH(All!AA$1,Spring!$1:$1,FALSE))="","",INDEX(Spring!$1:$1048576,MATCH(All!$A459,Spring!$A:$A,FALSE),MATCH(All!AA$1,Spring!$1:$1,FALSE))),"")</f>
        <v/>
      </c>
      <c r="AB459" t="str">
        <f>IFERROR(IF(INDEX(Spring!$1:$1048576,MATCH(All!$A459,Spring!$A:$A,FALSE),MATCH(All!AB$1,Spring!$1:$1,FALSE))="","",INDEX(Spring!$1:$1048576,MATCH(All!$A459,Spring!$A:$A,FALSE),MATCH(All!AB$1,Spring!$1:$1,FALSE))),"")</f>
        <v>1A</v>
      </c>
      <c r="AC459" t="str">
        <f>IFERROR(IF(INDEX(Spring!$1:$1048576,MATCH(All!$A459,Spring!$A:$A,FALSE),MATCH(All!AC$1,Spring!$1:$1,FALSE))="","",INDEX(Spring!$1:$1048576,MATCH(All!$A459,Spring!$A:$A,FALSE),MATCH(All!AC$1,Spring!$1:$1,FALSE))),"")</f>
        <v>1A</v>
      </c>
      <c r="AD459" t="str">
        <f>IFERROR(VLOOKUP(A459,'Flag Football'!A:A,1,FALSE),"")</f>
        <v/>
      </c>
      <c r="AE459" t="str">
        <f t="shared" si="7"/>
        <v/>
      </c>
    </row>
    <row r="460" spans="1:31" ht="15.75" thickBot="1" x14ac:dyDescent="0.3">
      <c r="A460" s="18" t="s">
        <v>549</v>
      </c>
      <c r="B460" s="38">
        <f>IFERROR(VLOOKUP(A460,'Public v Private'!A:G,3,FALSE),"")</f>
        <v>0</v>
      </c>
      <c r="C460" s="38">
        <f>IFERROR(VLOOKUP(A460,'Public v Private'!A:G,4,FALSE),"")</f>
        <v>0</v>
      </c>
      <c r="D460" s="38">
        <f>IFERROR(VLOOKUP(A460,'Public v Private'!A:G,5,FALSE),"")</f>
        <v>0</v>
      </c>
      <c r="E460" s="38"/>
      <c r="F460" s="40">
        <f>IFERROR(INDEX(Fall!$1:$1048576,MATCH(All!$A460,Fall!$A:$A,FALSE),MATCH(All!F$1,Fall!$1:$1,FALSE)),"N/A")</f>
        <v>1736</v>
      </c>
      <c r="G460" t="str">
        <f>IFERROR(IF(INDEX(Fall!$1:$1048576,MATCH(All!$A460,Fall!$A:$A,FALSE),MATCH(All!G$1,Fall!$1:$1,FALSE))="","",INDEX(Fall!$1:$1048576,MATCH(All!$A460,Fall!$A:$A,FALSE),MATCH(All!G$1,Fall!$1:$1,FALSE))),"")</f>
        <v>3A</v>
      </c>
      <c r="H460" t="str">
        <f>IFERROR(IF(INDEX(Fall!$1:$1048576,MATCH(All!$A460,Fall!$A:$A,FALSE),MATCH(All!H$1,Fall!$1:$1,FALSE))="","",INDEX(Fall!$1:$1048576,MATCH(All!$A460,Fall!$A:$A,FALSE),MATCH(All!H$1,Fall!$1:$1,FALSE))),"")</f>
        <v>3A</v>
      </c>
      <c r="I460" t="str">
        <f>IFERROR(IF(INDEX(Fall!$1:$1048576,MATCH(All!$A460,Fall!$A:$A,FALSE),MATCH(All!I$1,Fall!$1:$1,FALSE))="","",INDEX(Fall!$1:$1048576,MATCH(All!$A460,Fall!$A:$A,FALSE),MATCH(All!I$1,Fall!$1:$1,FALSE))),"")</f>
        <v>3A</v>
      </c>
      <c r="J460" t="str">
        <f>IFERROR(IF(INDEX(Fall!$1:$1048576,MATCH(All!$A460,Fall!$A:$A,FALSE),MATCH(All!J$1,Fall!$1:$1,FALSE))="","",INDEX(Fall!$1:$1048576,MATCH(All!$A460,Fall!$A:$A,FALSE),MATCH(All!J$1,Fall!$1:$1,FALSE))),"")</f>
        <v>2A</v>
      </c>
      <c r="K460" t="str">
        <f>IFERROR(IF(INDEX(Fall!$1:$1048576,MATCH(All!$A460,Fall!$A:$A,FALSE),MATCH(All!K$1,Fall!$1:$1,FALSE))="","",INDEX(Fall!$1:$1048576,MATCH(All!$A460,Fall!$A:$A,FALSE),MATCH(All!K$1,Fall!$1:$1,FALSE))),"")</f>
        <v>3A</v>
      </c>
      <c r="L460" t="str">
        <f>IFERROR(IF(INDEX(Fall!$1:$1048576,MATCH(All!$A460,Fall!$A:$A,FALSE),MATCH(All!L$1,Fall!$1:$1,FALSE))="","",INDEX(Fall!$1:$1048576,MATCH(All!$A460,Fall!$A:$A,FALSE),MATCH(All!L$1,Fall!$1:$1,FALSE))),"")</f>
        <v>2A</v>
      </c>
      <c r="M460" t="str">
        <f>IFERROR(IF(INDEX(Fall!$1:$1048576,MATCH(All!$A460,Fall!$A:$A,FALSE),MATCH(All!M$1,Fall!$1:$1,FALSE))="","",INDEX(Fall!$1:$1048576,MATCH(All!$A460,Fall!$A:$A,FALSE),MATCH(All!M$1,Fall!$1:$1,FALSE))),"")</f>
        <v>4A</v>
      </c>
      <c r="O460">
        <f>IFERROR(IF(INDEX(Winter!$1:$1048576,MATCH(All!$A460,Winter!$A:$A,FALSE),MATCH(All!O$1,Winter!$1:$1,FALSE))="","",INDEX(Winter!$1:$1048576,MATCH(All!$A460,Winter!$A:$A,FALSE),MATCH(All!O$1,Winter!$1:$1,FALSE))),"")</f>
        <v>1736</v>
      </c>
      <c r="P460" t="str">
        <f>IFERROR(IF(INDEX(Winter!$1:$1048576,MATCH(All!$A460,Winter!$A:$A,FALSE),MATCH(All!P$1,Winter!$1:$1,FALSE))="","",INDEX(Winter!$1:$1048576,MATCH(All!$A460,Winter!$A:$A,FALSE),MATCH(All!P$1,Winter!$1:$1,FALSE))),"")</f>
        <v>4A</v>
      </c>
      <c r="Q460" t="str">
        <f>IFERROR(IF(INDEX(Winter!$1:$1048576,MATCH(All!$A460,Winter!$A:$A,FALSE),MATCH(All!Q$1,Winter!$1:$1,FALSE))="","",INDEX(Winter!$1:$1048576,MATCH(All!$A460,Winter!$A:$A,FALSE),MATCH(All!Q$1,Winter!$1:$1,FALSE))),"")</f>
        <v>4A</v>
      </c>
      <c r="R460" t="str">
        <f>IFERROR(IF(INDEX(Winter!$1:$1048576,MATCH(All!$A460,Winter!$A:$A,FALSE),MATCH(All!R$1,Winter!$1:$1,FALSE))="","",INDEX(Winter!$1:$1048576,MATCH(All!$A460,Winter!$A:$A,FALSE),MATCH(All!R$1,Winter!$1:$1,FALSE))),"")</f>
        <v>C</v>
      </c>
      <c r="S460" t="str">
        <f>IFERROR(IF(INDEX(Winter!$1:$1048576,MATCH(All!$A460,Winter!$A:$A,FALSE),MATCH(All!S$1,Winter!$1:$1,FALSE))="","",INDEX(Winter!$1:$1048576,MATCH(All!$A460,Winter!$A:$A,FALSE),MATCH(All!S$1,Winter!$1:$1,FALSE))),"")</f>
        <v>2A</v>
      </c>
      <c r="T460" t="str">
        <f>IFERROR(IF(INDEX(Winter!$1:$1048576,MATCH(All!$A460,Winter!$A:$A,FALSE),MATCH(All!T$1,Winter!$1:$1,FALSE))="","",INDEX(Winter!$1:$1048576,MATCH(All!$A460,Winter!$A:$A,FALSE),MATCH(All!T$1,Winter!$1:$1,FALSE))),"")</f>
        <v>2A</v>
      </c>
      <c r="U460" t="str">
        <f>IFERROR(IF(INDEX(Winter!$1:$1048576,MATCH(All!$A460,Winter!$A:$A,FALSE),MATCH(All!U$1,Winter!$1:$1,FALSE))="","",INDEX(Winter!$1:$1048576,MATCH(All!$A460,Winter!$A:$A,FALSE),MATCH(All!U$1,Winter!$1:$1,FALSE))),"")</f>
        <v>3A</v>
      </c>
      <c r="W460">
        <f>IFERROR(IF(INDEX(Spring!$1:$1048576,MATCH(All!$A460,Spring!$A:$A,FALSE),MATCH(All!W$1,Spring!$1:$1,FALSE))="","",INDEX(Spring!$1:$1048576,MATCH(All!$A460,Spring!$A:$A,FALSE),MATCH(All!W$1,Spring!$1:$1,FALSE))),"")</f>
        <v>1736</v>
      </c>
      <c r="X460" t="str">
        <f>IFERROR(IF(INDEX(Spring!$1:$1048576,MATCH(All!$A460,Spring!$A:$A,FALSE),MATCH(All!X$1,Spring!$1:$1,FALSE))="","",INDEX(Spring!$1:$1048576,MATCH(All!$A460,Spring!$A:$A,FALSE),MATCH(All!X$1,Spring!$1:$1,FALSE))),"")</f>
        <v>4A</v>
      </c>
      <c r="Y460" t="str">
        <f>IFERROR(IF(INDEX(Spring!$1:$1048576,MATCH(All!$A460,Spring!$A:$A,FALSE),MATCH(All!Y$1,Spring!$1:$1,FALSE))="","",INDEX(Spring!$1:$1048576,MATCH(All!$A460,Spring!$A:$A,FALSE),MATCH(All!Y$1,Spring!$1:$1,FALSE))),"")</f>
        <v>4A</v>
      </c>
      <c r="Z460" t="str">
        <f>IFERROR(IF(INDEX(Spring!$1:$1048576,MATCH(All!$A460,Spring!$A:$A,FALSE),MATCH(All!Z$1,Spring!$1:$1,FALSE))="","",INDEX(Spring!$1:$1048576,MATCH(All!$A460,Spring!$A:$A,FALSE),MATCH(All!Z$1,Spring!$1:$1,FALSE))),"")</f>
        <v>2A</v>
      </c>
      <c r="AA460" t="str">
        <f>IFERROR(IF(INDEX(Spring!$1:$1048576,MATCH(All!$A460,Spring!$A:$A,FALSE),MATCH(All!AA$1,Spring!$1:$1,FALSE))="","",INDEX(Spring!$1:$1048576,MATCH(All!$A460,Spring!$A:$A,FALSE),MATCH(All!AA$1,Spring!$1:$1,FALSE))),"")</f>
        <v>2A</v>
      </c>
      <c r="AB460" t="str">
        <f>IFERROR(IF(INDEX(Spring!$1:$1048576,MATCH(All!$A460,Spring!$A:$A,FALSE),MATCH(All!AB$1,Spring!$1:$1,FALSE))="","",INDEX(Spring!$1:$1048576,MATCH(All!$A460,Spring!$A:$A,FALSE),MATCH(All!AB$1,Spring!$1:$1,FALSE))),"")</f>
        <v>3A</v>
      </c>
      <c r="AC460" t="str">
        <f>IFERROR(IF(INDEX(Spring!$1:$1048576,MATCH(All!$A460,Spring!$A:$A,FALSE),MATCH(All!AC$1,Spring!$1:$1,FALSE))="","",INDEX(Spring!$1:$1048576,MATCH(All!$A460,Spring!$A:$A,FALSE),MATCH(All!AC$1,Spring!$1:$1,FALSE))),"")</f>
        <v>3A</v>
      </c>
      <c r="AD460" t="str">
        <f>IFERROR(VLOOKUP(A460,'Flag Football'!A:A,1,FALSE),"")</f>
        <v>Libertyville</v>
      </c>
      <c r="AE460" t="str">
        <f t="shared" si="7"/>
        <v>1A</v>
      </c>
    </row>
    <row r="461" spans="1:31" ht="15.75" thickBot="1" x14ac:dyDescent="0.3">
      <c r="A461" s="20" t="s">
        <v>550</v>
      </c>
      <c r="B461" s="38">
        <f>IFERROR(VLOOKUP(A461,'Public v Private'!A:G,3,FALSE),"")</f>
        <v>0</v>
      </c>
      <c r="C461" s="38">
        <f>IFERROR(VLOOKUP(A461,'Public v Private'!A:G,4,FALSE),"")</f>
        <v>0</v>
      </c>
      <c r="D461" s="38">
        <f>IFERROR(VLOOKUP(A461,'Public v Private'!A:G,5,FALSE),"")</f>
        <v>0</v>
      </c>
      <c r="E461" s="38"/>
      <c r="F461" s="40">
        <f>IFERROR(INDEX(Fall!$1:$1048576,MATCH(All!$A461,Fall!$A:$A,FALSE),MATCH(All!F$1,Fall!$1:$1,FALSE)),"N/A")</f>
        <v>751</v>
      </c>
      <c r="G461" t="str">
        <f>IFERROR(IF(INDEX(Fall!$1:$1048576,MATCH(All!$A461,Fall!$A:$A,FALSE),MATCH(All!G$1,Fall!$1:$1,FALSE))="","",INDEX(Fall!$1:$1048576,MATCH(All!$A461,Fall!$A:$A,FALSE),MATCH(All!G$1,Fall!$1:$1,FALSE))),"")</f>
        <v>2A</v>
      </c>
      <c r="H461" t="str">
        <f>IFERROR(IF(INDEX(Fall!$1:$1048576,MATCH(All!$A461,Fall!$A:$A,FALSE),MATCH(All!H$1,Fall!$1:$1,FALSE))="","",INDEX(Fall!$1:$1048576,MATCH(All!$A461,Fall!$A:$A,FALSE),MATCH(All!H$1,Fall!$1:$1,FALSE))),"")</f>
        <v>2A</v>
      </c>
      <c r="I461" t="str">
        <f>IFERROR(IF(INDEX(Fall!$1:$1048576,MATCH(All!$A461,Fall!$A:$A,FALSE),MATCH(All!I$1,Fall!$1:$1,FALSE))="","",INDEX(Fall!$1:$1048576,MATCH(All!$A461,Fall!$A:$A,FALSE),MATCH(All!I$1,Fall!$1:$1,FALSE))),"")</f>
        <v>2A</v>
      </c>
      <c r="J461" t="str">
        <f>IFERROR(IF(INDEX(Fall!$1:$1048576,MATCH(All!$A461,Fall!$A:$A,FALSE),MATCH(All!J$1,Fall!$1:$1,FALSE))="","",INDEX(Fall!$1:$1048576,MATCH(All!$A461,Fall!$A:$A,FALSE),MATCH(All!J$1,Fall!$1:$1,FALSE))),"")</f>
        <v>1A</v>
      </c>
      <c r="K461" t="str">
        <f>IFERROR(IF(INDEX(Fall!$1:$1048576,MATCH(All!$A461,Fall!$A:$A,FALSE),MATCH(All!K$1,Fall!$1:$1,FALSE))="","",INDEX(Fall!$1:$1048576,MATCH(All!$A461,Fall!$A:$A,FALSE),MATCH(All!K$1,Fall!$1:$1,FALSE))),"")</f>
        <v>2A</v>
      </c>
      <c r="L461" t="str">
        <f>IFERROR(IF(INDEX(Fall!$1:$1048576,MATCH(All!$A461,Fall!$A:$A,FALSE),MATCH(All!L$1,Fall!$1:$1,FALSE))="","",INDEX(Fall!$1:$1048576,MATCH(All!$A461,Fall!$A:$A,FALSE),MATCH(All!L$1,Fall!$1:$1,FALSE))),"")</f>
        <v>1A</v>
      </c>
      <c r="M461" t="str">
        <f>IFERROR(IF(INDEX(Fall!$1:$1048576,MATCH(All!$A461,Fall!$A:$A,FALSE),MATCH(All!M$1,Fall!$1:$1,FALSE))="","",INDEX(Fall!$1:$1048576,MATCH(All!$A461,Fall!$A:$A,FALSE),MATCH(All!M$1,Fall!$1:$1,FALSE))),"")</f>
        <v>3A</v>
      </c>
      <c r="O461">
        <f>IFERROR(IF(INDEX(Winter!$1:$1048576,MATCH(All!$A461,Winter!$A:$A,FALSE),MATCH(All!O$1,Winter!$1:$1,FALSE))="","",INDEX(Winter!$1:$1048576,MATCH(All!$A461,Winter!$A:$A,FALSE),MATCH(All!O$1,Winter!$1:$1,FALSE))),"")</f>
        <v>751</v>
      </c>
      <c r="P461" t="str">
        <f>IFERROR(IF(INDEX(Winter!$1:$1048576,MATCH(All!$A461,Winter!$A:$A,FALSE),MATCH(All!P$1,Winter!$1:$1,FALSE))="","",INDEX(Winter!$1:$1048576,MATCH(All!$A461,Winter!$A:$A,FALSE),MATCH(All!P$1,Winter!$1:$1,FALSE))),"")</f>
        <v>3A</v>
      </c>
      <c r="Q461" t="str">
        <f>IFERROR(IF(INDEX(Winter!$1:$1048576,MATCH(All!$A461,Winter!$A:$A,FALSE),MATCH(All!Q$1,Winter!$1:$1,FALSE))="","",INDEX(Winter!$1:$1048576,MATCH(All!$A461,Winter!$A:$A,FALSE),MATCH(All!Q$1,Winter!$1:$1,FALSE))),"")</f>
        <v>3A</v>
      </c>
      <c r="R461" t="str">
        <f>IFERROR(IF(INDEX(Winter!$1:$1048576,MATCH(All!$A461,Winter!$A:$A,FALSE),MATCH(All!R$1,Winter!$1:$1,FALSE))="","",INDEX(Winter!$1:$1048576,MATCH(All!$A461,Winter!$A:$A,FALSE),MATCH(All!R$1,Winter!$1:$1,FALSE))),"")</f>
        <v>2A</v>
      </c>
      <c r="S461" t="str">
        <f>IFERROR(IF(INDEX(Winter!$1:$1048576,MATCH(All!$A461,Winter!$A:$A,FALSE),MATCH(All!S$1,Winter!$1:$1,FALSE))="","",INDEX(Winter!$1:$1048576,MATCH(All!$A461,Winter!$A:$A,FALSE),MATCH(All!S$1,Winter!$1:$1,FALSE))),"")</f>
        <v>1A</v>
      </c>
      <c r="T461" t="str">
        <f>IFERROR(IF(INDEX(Winter!$1:$1048576,MATCH(All!$A461,Winter!$A:$A,FALSE),MATCH(All!T$1,Winter!$1:$1,FALSE))="","",INDEX(Winter!$1:$1048576,MATCH(All!$A461,Winter!$A:$A,FALSE),MATCH(All!T$1,Winter!$1:$1,FALSE))),"")</f>
        <v>2A</v>
      </c>
      <c r="U461" t="str">
        <f>IFERROR(IF(INDEX(Winter!$1:$1048576,MATCH(All!$A461,Winter!$A:$A,FALSE),MATCH(All!U$1,Winter!$1:$1,FALSE))="","",INDEX(Winter!$1:$1048576,MATCH(All!$A461,Winter!$A:$A,FALSE),MATCH(All!U$1,Winter!$1:$1,FALSE))),"")</f>
        <v>2A</v>
      </c>
      <c r="W461">
        <f>IFERROR(IF(INDEX(Spring!$1:$1048576,MATCH(All!$A461,Spring!$A:$A,FALSE),MATCH(All!W$1,Spring!$1:$1,FALSE))="","",INDEX(Spring!$1:$1048576,MATCH(All!$A461,Spring!$A:$A,FALSE),MATCH(All!W$1,Spring!$1:$1,FALSE))),"")</f>
        <v>751</v>
      </c>
      <c r="X461" t="str">
        <f>IFERROR(IF(INDEX(Spring!$1:$1048576,MATCH(All!$A461,Spring!$A:$A,FALSE),MATCH(All!X$1,Spring!$1:$1,FALSE))="","",INDEX(Spring!$1:$1048576,MATCH(All!$A461,Spring!$A:$A,FALSE),MATCH(All!X$1,Spring!$1:$1,FALSE))),"")</f>
        <v>3A</v>
      </c>
      <c r="Y461" t="str">
        <f>IFERROR(IF(INDEX(Spring!$1:$1048576,MATCH(All!$A461,Spring!$A:$A,FALSE),MATCH(All!Y$1,Spring!$1:$1,FALSE))="","",INDEX(Spring!$1:$1048576,MATCH(All!$A461,Spring!$A:$A,FALSE),MATCH(All!Y$1,Spring!$1:$1,FALSE))),"")</f>
        <v>3A</v>
      </c>
      <c r="Z461" t="str">
        <f>IFERROR(IF(INDEX(Spring!$1:$1048576,MATCH(All!$A461,Spring!$A:$A,FALSE),MATCH(All!Z$1,Spring!$1:$1,FALSE))="","",INDEX(Spring!$1:$1048576,MATCH(All!$A461,Spring!$A:$A,FALSE),MATCH(All!Z$1,Spring!$1:$1,FALSE))),"")</f>
        <v>1A</v>
      </c>
      <c r="AA461" t="str">
        <f>IFERROR(IF(INDEX(Spring!$1:$1048576,MATCH(All!$A461,Spring!$A:$A,FALSE),MATCH(All!AA$1,Spring!$1:$1,FALSE))="","",INDEX(Spring!$1:$1048576,MATCH(All!$A461,Spring!$A:$A,FALSE),MATCH(All!AA$1,Spring!$1:$1,FALSE))),"")</f>
        <v>1A</v>
      </c>
      <c r="AB461" t="str">
        <f>IFERROR(IF(INDEX(Spring!$1:$1048576,MATCH(All!$A461,Spring!$A:$A,FALSE),MATCH(All!AB$1,Spring!$1:$1,FALSE))="","",INDEX(Spring!$1:$1048576,MATCH(All!$A461,Spring!$A:$A,FALSE),MATCH(All!AB$1,Spring!$1:$1,FALSE))),"")</f>
        <v>2A</v>
      </c>
      <c r="AC461" t="str">
        <f>IFERROR(IF(INDEX(Spring!$1:$1048576,MATCH(All!$A461,Spring!$A:$A,FALSE),MATCH(All!AC$1,Spring!$1:$1,FALSE))="","",INDEX(Spring!$1:$1048576,MATCH(All!$A461,Spring!$A:$A,FALSE),MATCH(All!AC$1,Spring!$1:$1,FALSE))),"")</f>
        <v>2A</v>
      </c>
      <c r="AD461" t="str">
        <f>IFERROR(VLOOKUP(A461,'Flag Football'!A:A,1,FALSE),"")</f>
        <v/>
      </c>
      <c r="AE461" t="str">
        <f t="shared" si="7"/>
        <v/>
      </c>
    </row>
    <row r="462" spans="1:31" ht="15.75" thickBot="1" x14ac:dyDescent="0.3">
      <c r="A462" s="18" t="s">
        <v>551</v>
      </c>
      <c r="B462" s="38">
        <f>IFERROR(VLOOKUP(A462,'Public v Private'!A:G,3,FALSE),"")</f>
        <v>0</v>
      </c>
      <c r="C462" s="38">
        <f>IFERROR(VLOOKUP(A462,'Public v Private'!A:G,4,FALSE),"")</f>
        <v>0</v>
      </c>
      <c r="D462" s="38">
        <f>IFERROR(VLOOKUP(A462,'Public v Private'!A:G,5,FALSE),"")</f>
        <v>0</v>
      </c>
      <c r="E462" s="38"/>
      <c r="F462" s="40">
        <f>IFERROR(INDEX(Fall!$1:$1048576,MATCH(All!$A462,Fall!$A:$A,FALSE),MATCH(All!F$1,Fall!$1:$1,FALSE)),"N/A")</f>
        <v>4720</v>
      </c>
      <c r="G462" t="str">
        <f>IFERROR(IF(INDEX(Fall!$1:$1048576,MATCH(All!$A462,Fall!$A:$A,FALSE),MATCH(All!G$1,Fall!$1:$1,FALSE))="","",INDEX(Fall!$1:$1048576,MATCH(All!$A462,Fall!$A:$A,FALSE),MATCH(All!G$1,Fall!$1:$1,FALSE))),"")</f>
        <v>3A</v>
      </c>
      <c r="H462" t="str">
        <f>IFERROR(IF(INDEX(Fall!$1:$1048576,MATCH(All!$A462,Fall!$A:$A,FALSE),MATCH(All!H$1,Fall!$1:$1,FALSE))="","",INDEX(Fall!$1:$1048576,MATCH(All!$A462,Fall!$A:$A,FALSE),MATCH(All!H$1,Fall!$1:$1,FALSE))),"")</f>
        <v>3A</v>
      </c>
      <c r="I462" t="str">
        <f>IFERROR(IF(INDEX(Fall!$1:$1048576,MATCH(All!$A462,Fall!$A:$A,FALSE),MATCH(All!I$1,Fall!$1:$1,FALSE))="","",INDEX(Fall!$1:$1048576,MATCH(All!$A462,Fall!$A:$A,FALSE),MATCH(All!I$1,Fall!$1:$1,FALSE))),"")</f>
        <v>3A</v>
      </c>
      <c r="J462" t="str">
        <f>IFERROR(IF(INDEX(Fall!$1:$1048576,MATCH(All!$A462,Fall!$A:$A,FALSE),MATCH(All!J$1,Fall!$1:$1,FALSE))="","",INDEX(Fall!$1:$1048576,MATCH(All!$A462,Fall!$A:$A,FALSE),MATCH(All!J$1,Fall!$1:$1,FALSE))),"")</f>
        <v>2A</v>
      </c>
      <c r="K462" t="str">
        <f>IFERROR(IF(INDEX(Fall!$1:$1048576,MATCH(All!$A462,Fall!$A:$A,FALSE),MATCH(All!K$1,Fall!$1:$1,FALSE))="","",INDEX(Fall!$1:$1048576,MATCH(All!$A462,Fall!$A:$A,FALSE),MATCH(All!K$1,Fall!$1:$1,FALSE))),"")</f>
        <v>3A</v>
      </c>
      <c r="L462" t="str">
        <f>IFERROR(IF(INDEX(Fall!$1:$1048576,MATCH(All!$A462,Fall!$A:$A,FALSE),MATCH(All!L$1,Fall!$1:$1,FALSE))="","",INDEX(Fall!$1:$1048576,MATCH(All!$A462,Fall!$A:$A,FALSE),MATCH(All!L$1,Fall!$1:$1,FALSE))),"")</f>
        <v>2A</v>
      </c>
      <c r="M462" t="str">
        <f>IFERROR(IF(INDEX(Fall!$1:$1048576,MATCH(All!$A462,Fall!$A:$A,FALSE),MATCH(All!M$1,Fall!$1:$1,FALSE))="","",INDEX(Fall!$1:$1048576,MATCH(All!$A462,Fall!$A:$A,FALSE),MATCH(All!M$1,Fall!$1:$1,FALSE))),"")</f>
        <v>4A</v>
      </c>
      <c r="O462">
        <f>IFERROR(IF(INDEX(Winter!$1:$1048576,MATCH(All!$A462,Winter!$A:$A,FALSE),MATCH(All!O$1,Winter!$1:$1,FALSE))="","",INDEX(Winter!$1:$1048576,MATCH(All!$A462,Winter!$A:$A,FALSE),MATCH(All!O$1,Winter!$1:$1,FALSE))),"")</f>
        <v>4720</v>
      </c>
      <c r="P462" t="str">
        <f>IFERROR(IF(INDEX(Winter!$1:$1048576,MATCH(All!$A462,Winter!$A:$A,FALSE),MATCH(All!P$1,Winter!$1:$1,FALSE))="","",INDEX(Winter!$1:$1048576,MATCH(All!$A462,Winter!$A:$A,FALSE),MATCH(All!P$1,Winter!$1:$1,FALSE))),"")</f>
        <v>4A</v>
      </c>
      <c r="Q462" t="str">
        <f>IFERROR(IF(INDEX(Winter!$1:$1048576,MATCH(All!$A462,Winter!$A:$A,FALSE),MATCH(All!Q$1,Winter!$1:$1,FALSE))="","",INDEX(Winter!$1:$1048576,MATCH(All!$A462,Winter!$A:$A,FALSE),MATCH(All!Q$1,Winter!$1:$1,FALSE))),"")</f>
        <v>4A</v>
      </c>
      <c r="R462" t="str">
        <f>IFERROR(IF(INDEX(Winter!$1:$1048576,MATCH(All!$A462,Winter!$A:$A,FALSE),MATCH(All!R$1,Winter!$1:$1,FALSE))="","",INDEX(Winter!$1:$1048576,MATCH(All!$A462,Winter!$A:$A,FALSE),MATCH(All!R$1,Winter!$1:$1,FALSE))),"")</f>
        <v>C</v>
      </c>
      <c r="S462" t="str">
        <f>IFERROR(IF(INDEX(Winter!$1:$1048576,MATCH(All!$A462,Winter!$A:$A,FALSE),MATCH(All!S$1,Winter!$1:$1,FALSE))="","",INDEX(Winter!$1:$1048576,MATCH(All!$A462,Winter!$A:$A,FALSE),MATCH(All!S$1,Winter!$1:$1,FALSE))),"")</f>
        <v>3A</v>
      </c>
      <c r="T462" t="str">
        <f>IFERROR(IF(INDEX(Winter!$1:$1048576,MATCH(All!$A462,Winter!$A:$A,FALSE),MATCH(All!T$1,Winter!$1:$1,FALSE))="","",INDEX(Winter!$1:$1048576,MATCH(All!$A462,Winter!$A:$A,FALSE),MATCH(All!T$1,Winter!$1:$1,FALSE))),"")</f>
        <v>2A</v>
      </c>
      <c r="U462" t="str">
        <f>IFERROR(IF(INDEX(Winter!$1:$1048576,MATCH(All!$A462,Winter!$A:$A,FALSE),MATCH(All!U$1,Winter!$1:$1,FALSE))="","",INDEX(Winter!$1:$1048576,MATCH(All!$A462,Winter!$A:$A,FALSE),MATCH(All!U$1,Winter!$1:$1,FALSE))),"")</f>
        <v>3A</v>
      </c>
      <c r="W462">
        <f>IFERROR(IF(INDEX(Spring!$1:$1048576,MATCH(All!$A462,Spring!$A:$A,FALSE),MATCH(All!W$1,Spring!$1:$1,FALSE))="","",INDEX(Spring!$1:$1048576,MATCH(All!$A462,Spring!$A:$A,FALSE),MATCH(All!W$1,Spring!$1:$1,FALSE))),"")</f>
        <v>4720</v>
      </c>
      <c r="X462" t="str">
        <f>IFERROR(IF(INDEX(Spring!$1:$1048576,MATCH(All!$A462,Spring!$A:$A,FALSE),MATCH(All!X$1,Spring!$1:$1,FALSE))="","",INDEX(Spring!$1:$1048576,MATCH(All!$A462,Spring!$A:$A,FALSE),MATCH(All!X$1,Spring!$1:$1,FALSE))),"")</f>
        <v>4A</v>
      </c>
      <c r="Y462" t="str">
        <f>IFERROR(IF(INDEX(Spring!$1:$1048576,MATCH(All!$A462,Spring!$A:$A,FALSE),MATCH(All!Y$1,Spring!$1:$1,FALSE))="","",INDEX(Spring!$1:$1048576,MATCH(All!$A462,Spring!$A:$A,FALSE),MATCH(All!Y$1,Spring!$1:$1,FALSE))),"")</f>
        <v>4A</v>
      </c>
      <c r="Z462" t="str">
        <f>IFERROR(IF(INDEX(Spring!$1:$1048576,MATCH(All!$A462,Spring!$A:$A,FALSE),MATCH(All!Z$1,Spring!$1:$1,FALSE))="","",INDEX(Spring!$1:$1048576,MATCH(All!$A462,Spring!$A:$A,FALSE),MATCH(All!Z$1,Spring!$1:$1,FALSE))),"")</f>
        <v>3A</v>
      </c>
      <c r="AA462" t="str">
        <f>IFERROR(IF(INDEX(Spring!$1:$1048576,MATCH(All!$A462,Spring!$A:$A,FALSE),MATCH(All!AA$1,Spring!$1:$1,FALSE))="","",INDEX(Spring!$1:$1048576,MATCH(All!$A462,Spring!$A:$A,FALSE),MATCH(All!AA$1,Spring!$1:$1,FALSE))),"")</f>
        <v>2A</v>
      </c>
      <c r="AB462" t="str">
        <f>IFERROR(IF(INDEX(Spring!$1:$1048576,MATCH(All!$A462,Spring!$A:$A,FALSE),MATCH(All!AB$1,Spring!$1:$1,FALSE))="","",INDEX(Spring!$1:$1048576,MATCH(All!$A462,Spring!$A:$A,FALSE),MATCH(All!AB$1,Spring!$1:$1,FALSE))),"")</f>
        <v>3A</v>
      </c>
      <c r="AC462" t="str">
        <f>IFERROR(IF(INDEX(Spring!$1:$1048576,MATCH(All!$A462,Spring!$A:$A,FALSE),MATCH(All!AC$1,Spring!$1:$1,FALSE))="","",INDEX(Spring!$1:$1048576,MATCH(All!$A462,Spring!$A:$A,FALSE),MATCH(All!AC$1,Spring!$1:$1,FALSE))),"")</f>
        <v>3A</v>
      </c>
      <c r="AD462" t="str">
        <f>IFERROR(VLOOKUP(A462,'Flag Football'!A:A,1,FALSE),"")</f>
        <v>Lincolnshire (Stevenson)</v>
      </c>
      <c r="AE462" t="str">
        <f t="shared" si="7"/>
        <v>1A</v>
      </c>
    </row>
    <row r="463" spans="1:31" ht="15.75" thickBot="1" x14ac:dyDescent="0.3">
      <c r="A463" s="20" t="s">
        <v>552</v>
      </c>
      <c r="B463" s="38" t="str">
        <f>IFERROR(VLOOKUP(A463,'Public v Private'!A:G,3,FALSE),"")</f>
        <v>private</v>
      </c>
      <c r="C463" s="38">
        <f>IFERROR(VLOOKUP(A463,'Public v Private'!A:G,4,FALSE),"")</f>
        <v>3</v>
      </c>
      <c r="D463" s="38">
        <f>IFERROR(VLOOKUP(A463,'Public v Private'!A:G,5,FALSE),"")</f>
        <v>7</v>
      </c>
      <c r="E463" s="38"/>
      <c r="F463" s="40" t="str">
        <f>IFERROR(INDEX(Fall!$1:$1048576,MATCH(All!$A463,Fall!$A:$A,FALSE),MATCH(All!F$1,Fall!$1:$1,FALSE)),"N/A")</f>
        <v>1,211.00 (1,998.15)</v>
      </c>
      <c r="G463" t="str">
        <f>IFERROR(IF(INDEX(Fall!$1:$1048576,MATCH(All!$A463,Fall!$A:$A,FALSE),MATCH(All!G$1,Fall!$1:$1,FALSE))="","",INDEX(Fall!$1:$1048576,MATCH(All!$A463,Fall!$A:$A,FALSE),MATCH(All!G$1,Fall!$1:$1,FALSE))),"")</f>
        <v>3A</v>
      </c>
      <c r="H463" t="str">
        <f>IFERROR(IF(INDEX(Fall!$1:$1048576,MATCH(All!$A463,Fall!$A:$A,FALSE),MATCH(All!H$1,Fall!$1:$1,FALSE))="","",INDEX(Fall!$1:$1048576,MATCH(All!$A463,Fall!$A:$A,FALSE),MATCH(All!H$1,Fall!$1:$1,FALSE))),"")</f>
        <v>3A</v>
      </c>
      <c r="I463" t="str">
        <f>IFERROR(IF(INDEX(Fall!$1:$1048576,MATCH(All!$A463,Fall!$A:$A,FALSE),MATCH(All!I$1,Fall!$1:$1,FALSE))="","",INDEX(Fall!$1:$1048576,MATCH(All!$A463,Fall!$A:$A,FALSE),MATCH(All!I$1,Fall!$1:$1,FALSE))),"")</f>
        <v>3A</v>
      </c>
      <c r="J463" t="str">
        <f>IFERROR(IF(INDEX(Fall!$1:$1048576,MATCH(All!$A463,Fall!$A:$A,FALSE),MATCH(All!J$1,Fall!$1:$1,FALSE))="","",INDEX(Fall!$1:$1048576,MATCH(All!$A463,Fall!$A:$A,FALSE),MATCH(All!J$1,Fall!$1:$1,FALSE))),"")</f>
        <v>2A</v>
      </c>
      <c r="K463" t="str">
        <f>IFERROR(IF(INDEX(Fall!$1:$1048576,MATCH(All!$A463,Fall!$A:$A,FALSE),MATCH(All!K$1,Fall!$1:$1,FALSE))="","",INDEX(Fall!$1:$1048576,MATCH(All!$A463,Fall!$A:$A,FALSE),MATCH(All!K$1,Fall!$1:$1,FALSE))),"")</f>
        <v>3A</v>
      </c>
      <c r="L463" t="str">
        <f>IFERROR(IF(INDEX(Fall!$1:$1048576,MATCH(All!$A463,Fall!$A:$A,FALSE),MATCH(All!L$1,Fall!$1:$1,FALSE))="","",INDEX(Fall!$1:$1048576,MATCH(All!$A463,Fall!$A:$A,FALSE),MATCH(All!L$1,Fall!$1:$1,FALSE))),"")</f>
        <v>2A</v>
      </c>
      <c r="M463" t="str">
        <f>IFERROR(IF(INDEX(Fall!$1:$1048576,MATCH(All!$A463,Fall!$A:$A,FALSE),MATCH(All!M$1,Fall!$1:$1,FALSE))="","",INDEX(Fall!$1:$1048576,MATCH(All!$A463,Fall!$A:$A,FALSE),MATCH(All!M$1,Fall!$1:$1,FALSE))),"")</f>
        <v>4A</v>
      </c>
      <c r="O463" t="str">
        <f>IFERROR(IF(INDEX(Winter!$1:$1048576,MATCH(All!$A463,Winter!$A:$A,FALSE),MATCH(All!O$1,Winter!$1:$1,FALSE))="","",INDEX(Winter!$1:$1048576,MATCH(All!$A463,Winter!$A:$A,FALSE),MATCH(All!O$1,Winter!$1:$1,FALSE))),"")</f>
        <v>1,211.00 (1,998.15)</v>
      </c>
      <c r="P463" t="str">
        <f>IFERROR(IF(INDEX(Winter!$1:$1048576,MATCH(All!$A463,Winter!$A:$A,FALSE),MATCH(All!P$1,Winter!$1:$1,FALSE))="","",INDEX(Winter!$1:$1048576,MATCH(All!$A463,Winter!$A:$A,FALSE),MATCH(All!P$1,Winter!$1:$1,FALSE))),"")</f>
        <v>4A</v>
      </c>
      <c r="Q463" t="str">
        <f>IFERROR(IF(INDEX(Winter!$1:$1048576,MATCH(All!$A463,Winter!$A:$A,FALSE),MATCH(All!Q$1,Winter!$1:$1,FALSE))="","",INDEX(Winter!$1:$1048576,MATCH(All!$A463,Winter!$A:$A,FALSE),MATCH(All!Q$1,Winter!$1:$1,FALSE))),"")</f>
        <v>4A</v>
      </c>
      <c r="R463" t="str">
        <f>IFERROR(IF(INDEX(Winter!$1:$1048576,MATCH(All!$A463,Winter!$A:$A,FALSE),MATCH(All!R$1,Winter!$1:$1,FALSE))="","",INDEX(Winter!$1:$1048576,MATCH(All!$A463,Winter!$A:$A,FALSE),MATCH(All!R$1,Winter!$1:$1,FALSE))),"")</f>
        <v>3A</v>
      </c>
      <c r="S463" t="str">
        <f>IFERROR(IF(INDEX(Winter!$1:$1048576,MATCH(All!$A463,Winter!$A:$A,FALSE),MATCH(All!S$1,Winter!$1:$1,FALSE))="","",INDEX(Winter!$1:$1048576,MATCH(All!$A463,Winter!$A:$A,FALSE),MATCH(All!S$1,Winter!$1:$1,FALSE))),"")</f>
        <v>3A</v>
      </c>
      <c r="T463" t="str">
        <f>IFERROR(IF(INDEX(Winter!$1:$1048576,MATCH(All!$A463,Winter!$A:$A,FALSE),MATCH(All!T$1,Winter!$1:$1,FALSE))="","",INDEX(Winter!$1:$1048576,MATCH(All!$A463,Winter!$A:$A,FALSE),MATCH(All!T$1,Winter!$1:$1,FALSE))),"")</f>
        <v>2A</v>
      </c>
      <c r="U463" t="str">
        <f>IFERROR(IF(INDEX(Winter!$1:$1048576,MATCH(All!$A463,Winter!$A:$A,FALSE),MATCH(All!U$1,Winter!$1:$1,FALSE))="","",INDEX(Winter!$1:$1048576,MATCH(All!$A463,Winter!$A:$A,FALSE),MATCH(All!U$1,Winter!$1:$1,FALSE))),"")</f>
        <v/>
      </c>
      <c r="W463" t="str">
        <f>IFERROR(IF(INDEX(Spring!$1:$1048576,MATCH(All!$A463,Spring!$A:$A,FALSE),MATCH(All!W$1,Spring!$1:$1,FALSE))="","",INDEX(Spring!$1:$1048576,MATCH(All!$A463,Spring!$A:$A,FALSE),MATCH(All!W$1,Spring!$1:$1,FALSE))),"")</f>
        <v>1,211.00 (1,998.15)</v>
      </c>
      <c r="X463" t="str">
        <f>IFERROR(IF(INDEX(Spring!$1:$1048576,MATCH(All!$A463,Spring!$A:$A,FALSE),MATCH(All!X$1,Spring!$1:$1,FALSE))="","",INDEX(Spring!$1:$1048576,MATCH(All!$A463,Spring!$A:$A,FALSE),MATCH(All!X$1,Spring!$1:$1,FALSE))),"")</f>
        <v>4A</v>
      </c>
      <c r="Y463" t="str">
        <f>IFERROR(IF(INDEX(Spring!$1:$1048576,MATCH(All!$A463,Spring!$A:$A,FALSE),MATCH(All!Y$1,Spring!$1:$1,FALSE))="","",INDEX(Spring!$1:$1048576,MATCH(All!$A463,Spring!$A:$A,FALSE),MATCH(All!Y$1,Spring!$1:$1,FALSE))),"")</f>
        <v>4A</v>
      </c>
      <c r="Z463" t="str">
        <f>IFERROR(IF(INDEX(Spring!$1:$1048576,MATCH(All!$A463,Spring!$A:$A,FALSE),MATCH(All!Z$1,Spring!$1:$1,FALSE))="","",INDEX(Spring!$1:$1048576,MATCH(All!$A463,Spring!$A:$A,FALSE),MATCH(All!Z$1,Spring!$1:$1,FALSE))),"")</f>
        <v>3A</v>
      </c>
      <c r="AA463" t="str">
        <f>IFERROR(IF(INDEX(Spring!$1:$1048576,MATCH(All!$A463,Spring!$A:$A,FALSE),MATCH(All!AA$1,Spring!$1:$1,FALSE))="","",INDEX(Spring!$1:$1048576,MATCH(All!$A463,Spring!$A:$A,FALSE),MATCH(All!AA$1,Spring!$1:$1,FALSE))),"")</f>
        <v>2A</v>
      </c>
      <c r="AB463" t="str">
        <f>IFERROR(IF(INDEX(Spring!$1:$1048576,MATCH(All!$A463,Spring!$A:$A,FALSE),MATCH(All!AB$1,Spring!$1:$1,FALSE))="","",INDEX(Spring!$1:$1048576,MATCH(All!$A463,Spring!$A:$A,FALSE),MATCH(All!AB$1,Spring!$1:$1,FALSE))),"")</f>
        <v>3A</v>
      </c>
      <c r="AC463" t="str">
        <f>IFERROR(IF(INDEX(Spring!$1:$1048576,MATCH(All!$A463,Spring!$A:$A,FALSE),MATCH(All!AC$1,Spring!$1:$1,FALSE))="","",INDEX(Spring!$1:$1048576,MATCH(All!$A463,Spring!$A:$A,FALSE),MATCH(All!AC$1,Spring!$1:$1,FALSE))),"")</f>
        <v>3A</v>
      </c>
      <c r="AD463" t="str">
        <f>IFERROR(VLOOKUP(A463,'Flag Football'!A:A,1,FALSE),"")</f>
        <v>Lisle (Benet Academy)</v>
      </c>
      <c r="AE463" t="str">
        <f t="shared" si="7"/>
        <v>1A</v>
      </c>
    </row>
    <row r="464" spans="1:31" ht="15.75" thickBot="1" x14ac:dyDescent="0.3">
      <c r="A464" s="18" t="s">
        <v>554</v>
      </c>
      <c r="B464" s="38">
        <f>IFERROR(VLOOKUP(A464,'Public v Private'!A:G,3,FALSE),"")</f>
        <v>0</v>
      </c>
      <c r="C464" s="38">
        <f>IFERROR(VLOOKUP(A464,'Public v Private'!A:G,4,FALSE),"")</f>
        <v>0</v>
      </c>
      <c r="D464" s="38">
        <f>IFERROR(VLOOKUP(A464,'Public v Private'!A:G,5,FALSE),"")</f>
        <v>0</v>
      </c>
      <c r="E464" s="38"/>
      <c r="F464" s="40">
        <f>IFERROR(INDEX(Fall!$1:$1048576,MATCH(All!$A464,Fall!$A:$A,FALSE),MATCH(All!F$1,Fall!$1:$1,FALSE)),"N/A")</f>
        <v>421</v>
      </c>
      <c r="G464" t="str">
        <f>IFERROR(IF(INDEX(Fall!$1:$1048576,MATCH(All!$A464,Fall!$A:$A,FALSE),MATCH(All!G$1,Fall!$1:$1,FALSE))="","",INDEX(Fall!$1:$1048576,MATCH(All!$A464,Fall!$A:$A,FALSE),MATCH(All!G$1,Fall!$1:$1,FALSE))),"")</f>
        <v>1A</v>
      </c>
      <c r="H464" t="str">
        <f>IFERROR(IF(INDEX(Fall!$1:$1048576,MATCH(All!$A464,Fall!$A:$A,FALSE),MATCH(All!H$1,Fall!$1:$1,FALSE))="","",INDEX(Fall!$1:$1048576,MATCH(All!$A464,Fall!$A:$A,FALSE),MATCH(All!H$1,Fall!$1:$1,FALSE))),"")</f>
        <v>1A</v>
      </c>
      <c r="I464" t="str">
        <f>IFERROR(IF(INDEX(Fall!$1:$1048576,MATCH(All!$A464,Fall!$A:$A,FALSE),MATCH(All!I$1,Fall!$1:$1,FALSE))="","",INDEX(Fall!$1:$1048576,MATCH(All!$A464,Fall!$A:$A,FALSE),MATCH(All!I$1,Fall!$1:$1,FALSE))),"")</f>
        <v>1A</v>
      </c>
      <c r="J464" t="str">
        <f>IFERROR(IF(INDEX(Fall!$1:$1048576,MATCH(All!$A464,Fall!$A:$A,FALSE),MATCH(All!J$1,Fall!$1:$1,FALSE))="","",INDEX(Fall!$1:$1048576,MATCH(All!$A464,Fall!$A:$A,FALSE),MATCH(All!J$1,Fall!$1:$1,FALSE))),"")</f>
        <v>1A</v>
      </c>
      <c r="K464" t="str">
        <f>IFERROR(IF(INDEX(Fall!$1:$1048576,MATCH(All!$A464,Fall!$A:$A,FALSE),MATCH(All!K$1,Fall!$1:$1,FALSE))="","",INDEX(Fall!$1:$1048576,MATCH(All!$A464,Fall!$A:$A,FALSE),MATCH(All!K$1,Fall!$1:$1,FALSE))),"")</f>
        <v>1A</v>
      </c>
      <c r="L464" t="str">
        <f>IFERROR(IF(INDEX(Fall!$1:$1048576,MATCH(All!$A464,Fall!$A:$A,FALSE),MATCH(All!L$1,Fall!$1:$1,FALSE))="","",INDEX(Fall!$1:$1048576,MATCH(All!$A464,Fall!$A:$A,FALSE),MATCH(All!L$1,Fall!$1:$1,FALSE))),"")</f>
        <v>1A</v>
      </c>
      <c r="M464" t="str">
        <f>IFERROR(IF(INDEX(Fall!$1:$1048576,MATCH(All!$A464,Fall!$A:$A,FALSE),MATCH(All!M$1,Fall!$1:$1,FALSE))="","",INDEX(Fall!$1:$1048576,MATCH(All!$A464,Fall!$A:$A,FALSE),MATCH(All!M$1,Fall!$1:$1,FALSE))),"")</f>
        <v>2A</v>
      </c>
      <c r="O464">
        <f>IFERROR(IF(INDEX(Winter!$1:$1048576,MATCH(All!$A464,Winter!$A:$A,FALSE),MATCH(All!O$1,Winter!$1:$1,FALSE))="","",INDEX(Winter!$1:$1048576,MATCH(All!$A464,Winter!$A:$A,FALSE),MATCH(All!O$1,Winter!$1:$1,FALSE))),"")</f>
        <v>421</v>
      </c>
      <c r="P464" t="str">
        <f>IFERROR(IF(INDEX(Winter!$1:$1048576,MATCH(All!$A464,Winter!$A:$A,FALSE),MATCH(All!P$1,Winter!$1:$1,FALSE))="","",INDEX(Winter!$1:$1048576,MATCH(All!$A464,Winter!$A:$A,FALSE),MATCH(All!P$1,Winter!$1:$1,FALSE))),"")</f>
        <v>2A</v>
      </c>
      <c r="Q464" t="str">
        <f>IFERROR(IF(INDEX(Winter!$1:$1048576,MATCH(All!$A464,Winter!$A:$A,FALSE),MATCH(All!Q$1,Winter!$1:$1,FALSE))="","",INDEX(Winter!$1:$1048576,MATCH(All!$A464,Winter!$A:$A,FALSE),MATCH(All!Q$1,Winter!$1:$1,FALSE))),"")</f>
        <v>2A</v>
      </c>
      <c r="R464" t="str">
        <f>IFERROR(IF(INDEX(Winter!$1:$1048576,MATCH(All!$A464,Winter!$A:$A,FALSE),MATCH(All!R$1,Winter!$1:$1,FALSE))="","",INDEX(Winter!$1:$1048576,MATCH(All!$A464,Winter!$A:$A,FALSE),MATCH(All!R$1,Winter!$1:$1,FALSE))),"")</f>
        <v>1A</v>
      </c>
      <c r="S464" t="str">
        <f>IFERROR(IF(INDEX(Winter!$1:$1048576,MATCH(All!$A464,Winter!$A:$A,FALSE),MATCH(All!S$1,Winter!$1:$1,FALSE))="","",INDEX(Winter!$1:$1048576,MATCH(All!$A464,Winter!$A:$A,FALSE),MATCH(All!S$1,Winter!$1:$1,FALSE))),"")</f>
        <v>1A</v>
      </c>
      <c r="T464" t="str">
        <f>IFERROR(IF(INDEX(Winter!$1:$1048576,MATCH(All!$A464,Winter!$A:$A,FALSE),MATCH(All!T$1,Winter!$1:$1,FALSE))="","",INDEX(Winter!$1:$1048576,MATCH(All!$A464,Winter!$A:$A,FALSE),MATCH(All!T$1,Winter!$1:$1,FALSE))),"")</f>
        <v>1A</v>
      </c>
      <c r="U464" t="str">
        <f>IFERROR(IF(INDEX(Winter!$1:$1048576,MATCH(All!$A464,Winter!$A:$A,FALSE),MATCH(All!U$1,Winter!$1:$1,FALSE))="","",INDEX(Winter!$1:$1048576,MATCH(All!$A464,Winter!$A:$A,FALSE),MATCH(All!U$1,Winter!$1:$1,FALSE))),"")</f>
        <v>1A</v>
      </c>
      <c r="W464">
        <f>IFERROR(IF(INDEX(Spring!$1:$1048576,MATCH(All!$A464,Spring!$A:$A,FALSE),MATCH(All!W$1,Spring!$1:$1,FALSE))="","",INDEX(Spring!$1:$1048576,MATCH(All!$A464,Spring!$A:$A,FALSE),MATCH(All!W$1,Spring!$1:$1,FALSE))),"")</f>
        <v>421</v>
      </c>
      <c r="X464" t="str">
        <f>IFERROR(IF(INDEX(Spring!$1:$1048576,MATCH(All!$A464,Spring!$A:$A,FALSE),MATCH(All!X$1,Spring!$1:$1,FALSE))="","",INDEX(Spring!$1:$1048576,MATCH(All!$A464,Spring!$A:$A,FALSE),MATCH(All!X$1,Spring!$1:$1,FALSE))),"")</f>
        <v>2A</v>
      </c>
      <c r="Y464" t="str">
        <f>IFERROR(IF(INDEX(Spring!$1:$1048576,MATCH(All!$A464,Spring!$A:$A,FALSE),MATCH(All!Y$1,Spring!$1:$1,FALSE))="","",INDEX(Spring!$1:$1048576,MATCH(All!$A464,Spring!$A:$A,FALSE),MATCH(All!Y$1,Spring!$1:$1,FALSE))),"")</f>
        <v>2A</v>
      </c>
      <c r="Z464" t="str">
        <f>IFERROR(IF(INDEX(Spring!$1:$1048576,MATCH(All!$A464,Spring!$A:$A,FALSE),MATCH(All!Z$1,Spring!$1:$1,FALSE))="","",INDEX(Spring!$1:$1048576,MATCH(All!$A464,Spring!$A:$A,FALSE),MATCH(All!Z$1,Spring!$1:$1,FALSE))),"")</f>
        <v>1A</v>
      </c>
      <c r="AA464" t="str">
        <f>IFERROR(IF(INDEX(Spring!$1:$1048576,MATCH(All!$A464,Spring!$A:$A,FALSE),MATCH(All!AA$1,Spring!$1:$1,FALSE))="","",INDEX(Spring!$1:$1048576,MATCH(All!$A464,Spring!$A:$A,FALSE),MATCH(All!AA$1,Spring!$1:$1,FALSE))),"")</f>
        <v>1A</v>
      </c>
      <c r="AB464" t="str">
        <f>IFERROR(IF(INDEX(Spring!$1:$1048576,MATCH(All!$A464,Spring!$A:$A,FALSE),MATCH(All!AB$1,Spring!$1:$1,FALSE))="","",INDEX(Spring!$1:$1048576,MATCH(All!$A464,Spring!$A:$A,FALSE),MATCH(All!AB$1,Spring!$1:$1,FALSE))),"")</f>
        <v>1A</v>
      </c>
      <c r="AC464" t="str">
        <f>IFERROR(IF(INDEX(Spring!$1:$1048576,MATCH(All!$A464,Spring!$A:$A,FALSE),MATCH(All!AC$1,Spring!$1:$1,FALSE))="","",INDEX(Spring!$1:$1048576,MATCH(All!$A464,Spring!$A:$A,FALSE),MATCH(All!AC$1,Spring!$1:$1,FALSE))),"")</f>
        <v>1A</v>
      </c>
      <c r="AD464" t="str">
        <f>IFERROR(VLOOKUP(A464,'Flag Football'!A:A,1,FALSE),"")</f>
        <v/>
      </c>
      <c r="AE464" t="str">
        <f t="shared" si="7"/>
        <v/>
      </c>
    </row>
    <row r="465" spans="1:31" ht="15.75" thickBot="1" x14ac:dyDescent="0.3">
      <c r="A465" s="20" t="s">
        <v>555</v>
      </c>
      <c r="B465" s="38">
        <f>IFERROR(VLOOKUP(A465,'Public v Private'!A:G,3,FALSE),"")</f>
        <v>0</v>
      </c>
      <c r="C465" s="38">
        <f>IFERROR(VLOOKUP(A465,'Public v Private'!A:G,4,FALSE),"")</f>
        <v>0</v>
      </c>
      <c r="D465" s="38">
        <f>IFERROR(VLOOKUP(A465,'Public v Private'!A:G,5,FALSE),"")</f>
        <v>0</v>
      </c>
      <c r="E465" s="38"/>
      <c r="F465" s="40">
        <f>IFERROR(INDEX(Fall!$1:$1048576,MATCH(All!$A465,Fall!$A:$A,FALSE),MATCH(All!F$1,Fall!$1:$1,FALSE)),"N/A")</f>
        <v>373</v>
      </c>
      <c r="G465" t="str">
        <f>IFERROR(IF(INDEX(Fall!$1:$1048576,MATCH(All!$A465,Fall!$A:$A,FALSE),MATCH(All!G$1,Fall!$1:$1,FALSE))="","",INDEX(Fall!$1:$1048576,MATCH(All!$A465,Fall!$A:$A,FALSE),MATCH(All!G$1,Fall!$1:$1,FALSE))),"")</f>
        <v>1A</v>
      </c>
      <c r="H465" t="str">
        <f>IFERROR(IF(INDEX(Fall!$1:$1048576,MATCH(All!$A465,Fall!$A:$A,FALSE),MATCH(All!H$1,Fall!$1:$1,FALSE))="","",INDEX(Fall!$1:$1048576,MATCH(All!$A465,Fall!$A:$A,FALSE),MATCH(All!H$1,Fall!$1:$1,FALSE))),"")</f>
        <v>1A</v>
      </c>
      <c r="I465" t="str">
        <f>IFERROR(IF(INDEX(Fall!$1:$1048576,MATCH(All!$A465,Fall!$A:$A,FALSE),MATCH(All!I$1,Fall!$1:$1,FALSE))="","",INDEX(Fall!$1:$1048576,MATCH(All!$A465,Fall!$A:$A,FALSE),MATCH(All!I$1,Fall!$1:$1,FALSE))),"")</f>
        <v>1A</v>
      </c>
      <c r="J465" t="str">
        <f>IFERROR(IF(INDEX(Fall!$1:$1048576,MATCH(All!$A465,Fall!$A:$A,FALSE),MATCH(All!J$1,Fall!$1:$1,FALSE))="","",INDEX(Fall!$1:$1048576,MATCH(All!$A465,Fall!$A:$A,FALSE),MATCH(All!J$1,Fall!$1:$1,FALSE))),"")</f>
        <v>1A</v>
      </c>
      <c r="K465" t="str">
        <f>IFERROR(IF(INDEX(Fall!$1:$1048576,MATCH(All!$A465,Fall!$A:$A,FALSE),MATCH(All!K$1,Fall!$1:$1,FALSE))="","",INDEX(Fall!$1:$1048576,MATCH(All!$A465,Fall!$A:$A,FALSE),MATCH(All!K$1,Fall!$1:$1,FALSE))),"")</f>
        <v>1A</v>
      </c>
      <c r="L465" t="str">
        <f>IFERROR(IF(INDEX(Fall!$1:$1048576,MATCH(All!$A465,Fall!$A:$A,FALSE),MATCH(All!L$1,Fall!$1:$1,FALSE))="","",INDEX(Fall!$1:$1048576,MATCH(All!$A465,Fall!$A:$A,FALSE),MATCH(All!L$1,Fall!$1:$1,FALSE))),"")</f>
        <v/>
      </c>
      <c r="M465" t="str">
        <f>IFERROR(IF(INDEX(Fall!$1:$1048576,MATCH(All!$A465,Fall!$A:$A,FALSE),MATCH(All!M$1,Fall!$1:$1,FALSE))="","",INDEX(Fall!$1:$1048576,MATCH(All!$A465,Fall!$A:$A,FALSE),MATCH(All!M$1,Fall!$1:$1,FALSE))),"")</f>
        <v>2A</v>
      </c>
      <c r="O465">
        <f>IFERROR(IF(INDEX(Winter!$1:$1048576,MATCH(All!$A465,Winter!$A:$A,FALSE),MATCH(All!O$1,Winter!$1:$1,FALSE))="","",INDEX(Winter!$1:$1048576,MATCH(All!$A465,Winter!$A:$A,FALSE),MATCH(All!O$1,Winter!$1:$1,FALSE))),"")</f>
        <v>373</v>
      </c>
      <c r="P465" t="str">
        <f>IFERROR(IF(INDEX(Winter!$1:$1048576,MATCH(All!$A465,Winter!$A:$A,FALSE),MATCH(All!P$1,Winter!$1:$1,FALSE))="","",INDEX(Winter!$1:$1048576,MATCH(All!$A465,Winter!$A:$A,FALSE),MATCH(All!P$1,Winter!$1:$1,FALSE))),"")</f>
        <v>2A</v>
      </c>
      <c r="Q465" t="str">
        <f>IFERROR(IF(INDEX(Winter!$1:$1048576,MATCH(All!$A465,Winter!$A:$A,FALSE),MATCH(All!Q$1,Winter!$1:$1,FALSE))="","",INDEX(Winter!$1:$1048576,MATCH(All!$A465,Winter!$A:$A,FALSE),MATCH(All!Q$1,Winter!$1:$1,FALSE))),"")</f>
        <v>2A</v>
      </c>
      <c r="R465" t="str">
        <f>IFERROR(IF(INDEX(Winter!$1:$1048576,MATCH(All!$A465,Winter!$A:$A,FALSE),MATCH(All!R$1,Winter!$1:$1,FALSE))="","",INDEX(Winter!$1:$1048576,MATCH(All!$A465,Winter!$A:$A,FALSE),MATCH(All!R$1,Winter!$1:$1,FALSE))),"")</f>
        <v>1A</v>
      </c>
      <c r="S465" t="str">
        <f>IFERROR(IF(INDEX(Winter!$1:$1048576,MATCH(All!$A465,Winter!$A:$A,FALSE),MATCH(All!S$1,Winter!$1:$1,FALSE))="","",INDEX(Winter!$1:$1048576,MATCH(All!$A465,Winter!$A:$A,FALSE),MATCH(All!S$1,Winter!$1:$1,FALSE))),"")</f>
        <v/>
      </c>
      <c r="T465" t="str">
        <f>IFERROR(IF(INDEX(Winter!$1:$1048576,MATCH(All!$A465,Winter!$A:$A,FALSE),MATCH(All!T$1,Winter!$1:$1,FALSE))="","",INDEX(Winter!$1:$1048576,MATCH(All!$A465,Winter!$A:$A,FALSE),MATCH(All!T$1,Winter!$1:$1,FALSE))),"")</f>
        <v>1A</v>
      </c>
      <c r="U465" t="str">
        <f>IFERROR(IF(INDEX(Winter!$1:$1048576,MATCH(All!$A465,Winter!$A:$A,FALSE),MATCH(All!U$1,Winter!$1:$1,FALSE))="","",INDEX(Winter!$1:$1048576,MATCH(All!$A465,Winter!$A:$A,FALSE),MATCH(All!U$1,Winter!$1:$1,FALSE))),"")</f>
        <v>1A</v>
      </c>
      <c r="W465">
        <f>IFERROR(IF(INDEX(Spring!$1:$1048576,MATCH(All!$A465,Spring!$A:$A,FALSE),MATCH(All!W$1,Spring!$1:$1,FALSE))="","",INDEX(Spring!$1:$1048576,MATCH(All!$A465,Spring!$A:$A,FALSE),MATCH(All!W$1,Spring!$1:$1,FALSE))),"")</f>
        <v>373</v>
      </c>
      <c r="X465" t="str">
        <f>IFERROR(IF(INDEX(Spring!$1:$1048576,MATCH(All!$A465,Spring!$A:$A,FALSE),MATCH(All!X$1,Spring!$1:$1,FALSE))="","",INDEX(Spring!$1:$1048576,MATCH(All!$A465,Spring!$A:$A,FALSE),MATCH(All!X$1,Spring!$1:$1,FALSE))),"")</f>
        <v>2A</v>
      </c>
      <c r="Y465" t="str">
        <f>IFERROR(IF(INDEX(Spring!$1:$1048576,MATCH(All!$A465,Spring!$A:$A,FALSE),MATCH(All!Y$1,Spring!$1:$1,FALSE))="","",INDEX(Spring!$1:$1048576,MATCH(All!$A465,Spring!$A:$A,FALSE),MATCH(All!Y$1,Spring!$1:$1,FALSE))),"")</f>
        <v>2A</v>
      </c>
      <c r="Z465" t="str">
        <f>IFERROR(IF(INDEX(Spring!$1:$1048576,MATCH(All!$A465,Spring!$A:$A,FALSE),MATCH(All!Z$1,Spring!$1:$1,FALSE))="","",INDEX(Spring!$1:$1048576,MATCH(All!$A465,Spring!$A:$A,FALSE),MATCH(All!Z$1,Spring!$1:$1,FALSE))),"")</f>
        <v>1A</v>
      </c>
      <c r="AA465" t="str">
        <f>IFERROR(IF(INDEX(Spring!$1:$1048576,MATCH(All!$A465,Spring!$A:$A,FALSE),MATCH(All!AA$1,Spring!$1:$1,FALSE))="","",INDEX(Spring!$1:$1048576,MATCH(All!$A465,Spring!$A:$A,FALSE),MATCH(All!AA$1,Spring!$1:$1,FALSE))),"")</f>
        <v/>
      </c>
      <c r="AB465" t="str">
        <f>IFERROR(IF(INDEX(Spring!$1:$1048576,MATCH(All!$A465,Spring!$A:$A,FALSE),MATCH(All!AB$1,Spring!$1:$1,FALSE))="","",INDEX(Spring!$1:$1048576,MATCH(All!$A465,Spring!$A:$A,FALSE),MATCH(All!AB$1,Spring!$1:$1,FALSE))),"")</f>
        <v>1A</v>
      </c>
      <c r="AC465" t="str">
        <f>IFERROR(IF(INDEX(Spring!$1:$1048576,MATCH(All!$A465,Spring!$A:$A,FALSE),MATCH(All!AC$1,Spring!$1:$1,FALSE))="","",INDEX(Spring!$1:$1048576,MATCH(All!$A465,Spring!$A:$A,FALSE),MATCH(All!AC$1,Spring!$1:$1,FALSE))),"")</f>
        <v>1A</v>
      </c>
      <c r="AD465" t="str">
        <f>IFERROR(VLOOKUP(A465,'Flag Football'!A:A,1,FALSE),"")</f>
        <v/>
      </c>
      <c r="AE465" t="str">
        <f t="shared" si="7"/>
        <v/>
      </c>
    </row>
    <row r="466" spans="1:31" ht="15.75" thickBot="1" x14ac:dyDescent="0.3">
      <c r="A466" s="18" t="s">
        <v>556</v>
      </c>
      <c r="B466" s="38">
        <f>IFERROR(VLOOKUP(A466,'Public v Private'!A:G,3,FALSE),"")</f>
        <v>0</v>
      </c>
      <c r="C466" s="38">
        <f>IFERROR(VLOOKUP(A466,'Public v Private'!A:G,4,FALSE),"")</f>
        <v>0</v>
      </c>
      <c r="D466" s="38">
        <f>IFERROR(VLOOKUP(A466,'Public v Private'!A:G,5,FALSE),"")</f>
        <v>0</v>
      </c>
      <c r="E466" s="38"/>
      <c r="F466" s="40">
        <f>IFERROR(INDEX(Fall!$1:$1048576,MATCH(All!$A466,Fall!$A:$A,FALSE),MATCH(All!F$1,Fall!$1:$1,FALSE)),"N/A")</f>
        <v>3637</v>
      </c>
      <c r="G466" t="str">
        <f>IFERROR(IF(INDEX(Fall!$1:$1048576,MATCH(All!$A466,Fall!$A:$A,FALSE),MATCH(All!G$1,Fall!$1:$1,FALSE))="","",INDEX(Fall!$1:$1048576,MATCH(All!$A466,Fall!$A:$A,FALSE),MATCH(All!G$1,Fall!$1:$1,FALSE))),"")</f>
        <v>3A</v>
      </c>
      <c r="H466" t="str">
        <f>IFERROR(IF(INDEX(Fall!$1:$1048576,MATCH(All!$A466,Fall!$A:$A,FALSE),MATCH(All!H$1,Fall!$1:$1,FALSE))="","",INDEX(Fall!$1:$1048576,MATCH(All!$A466,Fall!$A:$A,FALSE),MATCH(All!H$1,Fall!$1:$1,FALSE))),"")</f>
        <v>3A</v>
      </c>
      <c r="I466" t="str">
        <f>IFERROR(IF(INDEX(Fall!$1:$1048576,MATCH(All!$A466,Fall!$A:$A,FALSE),MATCH(All!I$1,Fall!$1:$1,FALSE))="","",INDEX(Fall!$1:$1048576,MATCH(All!$A466,Fall!$A:$A,FALSE),MATCH(All!I$1,Fall!$1:$1,FALSE))),"")</f>
        <v>3A</v>
      </c>
      <c r="J466" t="str">
        <f>IFERROR(IF(INDEX(Fall!$1:$1048576,MATCH(All!$A466,Fall!$A:$A,FALSE),MATCH(All!J$1,Fall!$1:$1,FALSE))="","",INDEX(Fall!$1:$1048576,MATCH(All!$A466,Fall!$A:$A,FALSE),MATCH(All!J$1,Fall!$1:$1,FALSE))),"")</f>
        <v>2A</v>
      </c>
      <c r="K466" t="str">
        <f>IFERROR(IF(INDEX(Fall!$1:$1048576,MATCH(All!$A466,Fall!$A:$A,FALSE),MATCH(All!K$1,Fall!$1:$1,FALSE))="","",INDEX(Fall!$1:$1048576,MATCH(All!$A466,Fall!$A:$A,FALSE),MATCH(All!K$1,Fall!$1:$1,FALSE))),"")</f>
        <v>3A</v>
      </c>
      <c r="L466" t="str">
        <f>IFERROR(IF(INDEX(Fall!$1:$1048576,MATCH(All!$A466,Fall!$A:$A,FALSE),MATCH(All!L$1,Fall!$1:$1,FALSE))="","",INDEX(Fall!$1:$1048576,MATCH(All!$A466,Fall!$A:$A,FALSE),MATCH(All!L$1,Fall!$1:$1,FALSE))),"")</f>
        <v>2A</v>
      </c>
      <c r="M466" t="str">
        <f>IFERROR(IF(INDEX(Fall!$1:$1048576,MATCH(All!$A466,Fall!$A:$A,FALSE),MATCH(All!M$1,Fall!$1:$1,FALSE))="","",INDEX(Fall!$1:$1048576,MATCH(All!$A466,Fall!$A:$A,FALSE),MATCH(All!M$1,Fall!$1:$1,FALSE))),"")</f>
        <v>4A</v>
      </c>
      <c r="O466">
        <f>IFERROR(IF(INDEX(Winter!$1:$1048576,MATCH(All!$A466,Winter!$A:$A,FALSE),MATCH(All!O$1,Winter!$1:$1,FALSE))="","",INDEX(Winter!$1:$1048576,MATCH(All!$A466,Winter!$A:$A,FALSE),MATCH(All!O$1,Winter!$1:$1,FALSE))),"")</f>
        <v>3637</v>
      </c>
      <c r="P466" t="str">
        <f>IFERROR(IF(INDEX(Winter!$1:$1048576,MATCH(All!$A466,Winter!$A:$A,FALSE),MATCH(All!P$1,Winter!$1:$1,FALSE))="","",INDEX(Winter!$1:$1048576,MATCH(All!$A466,Winter!$A:$A,FALSE),MATCH(All!P$1,Winter!$1:$1,FALSE))),"")</f>
        <v>4A</v>
      </c>
      <c r="Q466" t="str">
        <f>IFERROR(IF(INDEX(Winter!$1:$1048576,MATCH(All!$A466,Winter!$A:$A,FALSE),MATCH(All!Q$1,Winter!$1:$1,FALSE))="","",INDEX(Winter!$1:$1048576,MATCH(All!$A466,Winter!$A:$A,FALSE),MATCH(All!Q$1,Winter!$1:$1,FALSE))),"")</f>
        <v>4A</v>
      </c>
      <c r="R466" t="str">
        <f>IFERROR(IF(INDEX(Winter!$1:$1048576,MATCH(All!$A466,Winter!$A:$A,FALSE),MATCH(All!R$1,Winter!$1:$1,FALSE))="","",INDEX(Winter!$1:$1048576,MATCH(All!$A466,Winter!$A:$A,FALSE),MATCH(All!R$1,Winter!$1:$1,FALSE))),"")</f>
        <v>3A</v>
      </c>
      <c r="S466" t="str">
        <f>IFERROR(IF(INDEX(Winter!$1:$1048576,MATCH(All!$A466,Winter!$A:$A,FALSE),MATCH(All!S$1,Winter!$1:$1,FALSE))="","",INDEX(Winter!$1:$1048576,MATCH(All!$A466,Winter!$A:$A,FALSE),MATCH(All!S$1,Winter!$1:$1,FALSE))),"")</f>
        <v>3A</v>
      </c>
      <c r="T466" t="str">
        <f>IFERROR(IF(INDEX(Winter!$1:$1048576,MATCH(All!$A466,Winter!$A:$A,FALSE),MATCH(All!T$1,Winter!$1:$1,FALSE))="","",INDEX(Winter!$1:$1048576,MATCH(All!$A466,Winter!$A:$A,FALSE),MATCH(All!T$1,Winter!$1:$1,FALSE))),"")</f>
        <v>2A</v>
      </c>
      <c r="U466" t="str">
        <f>IFERROR(IF(INDEX(Winter!$1:$1048576,MATCH(All!$A466,Winter!$A:$A,FALSE),MATCH(All!U$1,Winter!$1:$1,FALSE))="","",INDEX(Winter!$1:$1048576,MATCH(All!$A466,Winter!$A:$A,FALSE),MATCH(All!U$1,Winter!$1:$1,FALSE))),"")</f>
        <v>3A</v>
      </c>
      <c r="W466">
        <f>IFERROR(IF(INDEX(Spring!$1:$1048576,MATCH(All!$A466,Spring!$A:$A,FALSE),MATCH(All!W$1,Spring!$1:$1,FALSE))="","",INDEX(Spring!$1:$1048576,MATCH(All!$A466,Spring!$A:$A,FALSE),MATCH(All!W$1,Spring!$1:$1,FALSE))),"")</f>
        <v>3637</v>
      </c>
      <c r="X466" t="str">
        <f>IFERROR(IF(INDEX(Spring!$1:$1048576,MATCH(All!$A466,Spring!$A:$A,FALSE),MATCH(All!X$1,Spring!$1:$1,FALSE))="","",INDEX(Spring!$1:$1048576,MATCH(All!$A466,Spring!$A:$A,FALSE),MATCH(All!X$1,Spring!$1:$1,FALSE))),"")</f>
        <v>4A</v>
      </c>
      <c r="Y466" t="str">
        <f>IFERROR(IF(INDEX(Spring!$1:$1048576,MATCH(All!$A466,Spring!$A:$A,FALSE),MATCH(All!Y$1,Spring!$1:$1,FALSE))="","",INDEX(Spring!$1:$1048576,MATCH(All!$A466,Spring!$A:$A,FALSE),MATCH(All!Y$1,Spring!$1:$1,FALSE))),"")</f>
        <v>4A</v>
      </c>
      <c r="Z466" t="str">
        <f>IFERROR(IF(INDEX(Spring!$1:$1048576,MATCH(All!$A466,Spring!$A:$A,FALSE),MATCH(All!Z$1,Spring!$1:$1,FALSE))="","",INDEX(Spring!$1:$1048576,MATCH(All!$A466,Spring!$A:$A,FALSE),MATCH(All!Z$1,Spring!$1:$1,FALSE))),"")</f>
        <v>3A</v>
      </c>
      <c r="AA466" t="str">
        <f>IFERROR(IF(INDEX(Spring!$1:$1048576,MATCH(All!$A466,Spring!$A:$A,FALSE),MATCH(All!AA$1,Spring!$1:$1,FALSE))="","",INDEX(Spring!$1:$1048576,MATCH(All!$A466,Spring!$A:$A,FALSE),MATCH(All!AA$1,Spring!$1:$1,FALSE))),"")</f>
        <v>2A</v>
      </c>
      <c r="AB466" t="str">
        <f>IFERROR(IF(INDEX(Spring!$1:$1048576,MATCH(All!$A466,Spring!$A:$A,FALSE),MATCH(All!AB$1,Spring!$1:$1,FALSE))="","",INDEX(Spring!$1:$1048576,MATCH(All!$A466,Spring!$A:$A,FALSE),MATCH(All!AB$1,Spring!$1:$1,FALSE))),"")</f>
        <v>3A</v>
      </c>
      <c r="AC466" t="str">
        <f>IFERROR(IF(INDEX(Spring!$1:$1048576,MATCH(All!$A466,Spring!$A:$A,FALSE),MATCH(All!AC$1,Spring!$1:$1,FALSE))="","",INDEX(Spring!$1:$1048576,MATCH(All!$A466,Spring!$A:$A,FALSE),MATCH(All!AC$1,Spring!$1:$1,FALSE))),"")</f>
        <v>3A</v>
      </c>
      <c r="AD466" t="str">
        <f>IFERROR(VLOOKUP(A466,'Flag Football'!A:A,1,FALSE),"")</f>
        <v/>
      </c>
      <c r="AE466" t="str">
        <f t="shared" si="7"/>
        <v/>
      </c>
    </row>
    <row r="467" spans="1:31" ht="15.75" thickBot="1" x14ac:dyDescent="0.3">
      <c r="A467" s="20" t="s">
        <v>954</v>
      </c>
      <c r="B467" s="38" t="str">
        <f>IFERROR(VLOOKUP(A467,'Public v Private'!A:G,3,FALSE),"")</f>
        <v>private</v>
      </c>
      <c r="C467" s="38">
        <f>IFERROR(VLOOKUP(A467,'Public v Private'!A:G,4,FALSE),"")</f>
        <v>3</v>
      </c>
      <c r="D467" s="38">
        <f>IFERROR(VLOOKUP(A467,'Public v Private'!A:G,5,FALSE),"")</f>
        <v>7</v>
      </c>
      <c r="E467" s="38"/>
      <c r="F467" s="40" t="str">
        <f>IFERROR(INDEX(Fall!$1:$1048576,MATCH(All!$A467,Fall!$A:$A,FALSE),MATCH(All!F$1,Fall!$1:$1,FALSE)),"N/A")</f>
        <v>173.00 (285.45)</v>
      </c>
      <c r="G467" t="str">
        <f>IFERROR(IF(INDEX(Fall!$1:$1048576,MATCH(All!$A467,Fall!$A:$A,FALSE),MATCH(All!G$1,Fall!$1:$1,FALSE))="","",INDEX(Fall!$1:$1048576,MATCH(All!$A467,Fall!$A:$A,FALSE),MATCH(All!G$1,Fall!$1:$1,FALSE))),"")</f>
        <v/>
      </c>
      <c r="H467" t="str">
        <f>IFERROR(IF(INDEX(Fall!$1:$1048576,MATCH(All!$A467,Fall!$A:$A,FALSE),MATCH(All!H$1,Fall!$1:$1,FALSE))="","",INDEX(Fall!$1:$1048576,MATCH(All!$A467,Fall!$A:$A,FALSE),MATCH(All!H$1,Fall!$1:$1,FALSE))),"")</f>
        <v/>
      </c>
      <c r="I467" t="str">
        <f>IFERROR(IF(INDEX(Fall!$1:$1048576,MATCH(All!$A467,Fall!$A:$A,FALSE),MATCH(All!I$1,Fall!$1:$1,FALSE))="","",INDEX(Fall!$1:$1048576,MATCH(All!$A467,Fall!$A:$A,FALSE),MATCH(All!I$1,Fall!$1:$1,FALSE))),"")</f>
        <v/>
      </c>
      <c r="J467" t="str">
        <f>IFERROR(IF(INDEX(Fall!$1:$1048576,MATCH(All!$A467,Fall!$A:$A,FALSE),MATCH(All!J$1,Fall!$1:$1,FALSE))="","",INDEX(Fall!$1:$1048576,MATCH(All!$A467,Fall!$A:$A,FALSE),MATCH(All!J$1,Fall!$1:$1,FALSE))),"")</f>
        <v/>
      </c>
      <c r="K467" t="str">
        <f>IFERROR(IF(INDEX(Fall!$1:$1048576,MATCH(All!$A467,Fall!$A:$A,FALSE),MATCH(All!K$1,Fall!$1:$1,FALSE))="","",INDEX(Fall!$1:$1048576,MATCH(All!$A467,Fall!$A:$A,FALSE),MATCH(All!K$1,Fall!$1:$1,FALSE))),"")</f>
        <v>1A</v>
      </c>
      <c r="L467" t="str">
        <f>IFERROR(IF(INDEX(Fall!$1:$1048576,MATCH(All!$A467,Fall!$A:$A,FALSE),MATCH(All!L$1,Fall!$1:$1,FALSE))="","",INDEX(Fall!$1:$1048576,MATCH(All!$A467,Fall!$A:$A,FALSE),MATCH(All!L$1,Fall!$1:$1,FALSE))),"")</f>
        <v/>
      </c>
      <c r="M467" t="str">
        <f>IFERROR(IF(INDEX(Fall!$1:$1048576,MATCH(All!$A467,Fall!$A:$A,FALSE),MATCH(All!M$1,Fall!$1:$1,FALSE))="","",INDEX(Fall!$1:$1048576,MATCH(All!$A467,Fall!$A:$A,FALSE),MATCH(All!M$1,Fall!$1:$1,FALSE))),"")</f>
        <v>1A</v>
      </c>
      <c r="O467" t="str">
        <f>IFERROR(IF(INDEX(Winter!$1:$1048576,MATCH(All!$A467,Winter!$A:$A,FALSE),MATCH(All!O$1,Winter!$1:$1,FALSE))="","",INDEX(Winter!$1:$1048576,MATCH(All!$A467,Winter!$A:$A,FALSE),MATCH(All!O$1,Winter!$1:$1,FALSE))),"")</f>
        <v>173.00 (285.45)</v>
      </c>
      <c r="P467" t="str">
        <f>IFERROR(IF(INDEX(Winter!$1:$1048576,MATCH(All!$A467,Winter!$A:$A,FALSE),MATCH(All!P$1,Winter!$1:$1,FALSE))="","",INDEX(Winter!$1:$1048576,MATCH(All!$A467,Winter!$A:$A,FALSE),MATCH(All!P$1,Winter!$1:$1,FALSE))),"")</f>
        <v>1A</v>
      </c>
      <c r="Q467" t="str">
        <f>IFERROR(IF(INDEX(Winter!$1:$1048576,MATCH(All!$A467,Winter!$A:$A,FALSE),MATCH(All!Q$1,Winter!$1:$1,FALSE))="","",INDEX(Winter!$1:$1048576,MATCH(All!$A467,Winter!$A:$A,FALSE),MATCH(All!Q$1,Winter!$1:$1,FALSE))),"")</f>
        <v>1A</v>
      </c>
      <c r="R467" t="str">
        <f>IFERROR(IF(INDEX(Winter!$1:$1048576,MATCH(All!$A467,Winter!$A:$A,FALSE),MATCH(All!R$1,Winter!$1:$1,FALSE))="","",INDEX(Winter!$1:$1048576,MATCH(All!$A467,Winter!$A:$A,FALSE),MATCH(All!R$1,Winter!$1:$1,FALSE))),"")</f>
        <v/>
      </c>
      <c r="S467" t="str">
        <f>IFERROR(IF(INDEX(Winter!$1:$1048576,MATCH(All!$A467,Winter!$A:$A,FALSE),MATCH(All!S$1,Winter!$1:$1,FALSE))="","",INDEX(Winter!$1:$1048576,MATCH(All!$A467,Winter!$A:$A,FALSE),MATCH(All!S$1,Winter!$1:$1,FALSE))),"")</f>
        <v/>
      </c>
      <c r="T467" t="str">
        <f>IFERROR(IF(INDEX(Winter!$1:$1048576,MATCH(All!$A467,Winter!$A:$A,FALSE),MATCH(All!T$1,Winter!$1:$1,FALSE))="","",INDEX(Winter!$1:$1048576,MATCH(All!$A467,Winter!$A:$A,FALSE),MATCH(All!T$1,Winter!$1:$1,FALSE))),"")</f>
        <v/>
      </c>
      <c r="U467" t="str">
        <f>IFERROR(IF(INDEX(Winter!$1:$1048576,MATCH(All!$A467,Winter!$A:$A,FALSE),MATCH(All!U$1,Winter!$1:$1,FALSE))="","",INDEX(Winter!$1:$1048576,MATCH(All!$A467,Winter!$A:$A,FALSE),MATCH(All!U$1,Winter!$1:$1,FALSE))),"")</f>
        <v/>
      </c>
      <c r="W467" t="str">
        <f>IFERROR(IF(INDEX(Spring!$1:$1048576,MATCH(All!$A467,Spring!$A:$A,FALSE),MATCH(All!W$1,Spring!$1:$1,FALSE))="","",INDEX(Spring!$1:$1048576,MATCH(All!$A467,Spring!$A:$A,FALSE),MATCH(All!W$1,Spring!$1:$1,FALSE))),"")</f>
        <v/>
      </c>
      <c r="X467" t="str">
        <f>IFERROR(IF(INDEX(Spring!$1:$1048576,MATCH(All!$A467,Spring!$A:$A,FALSE),MATCH(All!X$1,Spring!$1:$1,FALSE))="","",INDEX(Spring!$1:$1048576,MATCH(All!$A467,Spring!$A:$A,FALSE),MATCH(All!X$1,Spring!$1:$1,FALSE))),"")</f>
        <v/>
      </c>
      <c r="Y467" t="str">
        <f>IFERROR(IF(INDEX(Spring!$1:$1048576,MATCH(All!$A467,Spring!$A:$A,FALSE),MATCH(All!Y$1,Spring!$1:$1,FALSE))="","",INDEX(Spring!$1:$1048576,MATCH(All!$A467,Spring!$A:$A,FALSE),MATCH(All!Y$1,Spring!$1:$1,FALSE))),"")</f>
        <v/>
      </c>
      <c r="Z467" t="str">
        <f>IFERROR(IF(INDEX(Spring!$1:$1048576,MATCH(All!$A467,Spring!$A:$A,FALSE),MATCH(All!Z$1,Spring!$1:$1,FALSE))="","",INDEX(Spring!$1:$1048576,MATCH(All!$A467,Spring!$A:$A,FALSE),MATCH(All!Z$1,Spring!$1:$1,FALSE))),"")</f>
        <v/>
      </c>
      <c r="AA467" t="str">
        <f>IFERROR(IF(INDEX(Spring!$1:$1048576,MATCH(All!$A467,Spring!$A:$A,FALSE),MATCH(All!AA$1,Spring!$1:$1,FALSE))="","",INDEX(Spring!$1:$1048576,MATCH(All!$A467,Spring!$A:$A,FALSE),MATCH(All!AA$1,Spring!$1:$1,FALSE))),"")</f>
        <v/>
      </c>
      <c r="AB467" t="str">
        <f>IFERROR(IF(INDEX(Spring!$1:$1048576,MATCH(All!$A467,Spring!$A:$A,FALSE),MATCH(All!AB$1,Spring!$1:$1,FALSE))="","",INDEX(Spring!$1:$1048576,MATCH(All!$A467,Spring!$A:$A,FALSE),MATCH(All!AB$1,Spring!$1:$1,FALSE))),"")</f>
        <v/>
      </c>
      <c r="AC467" t="str">
        <f>IFERROR(IF(INDEX(Spring!$1:$1048576,MATCH(All!$A467,Spring!$A:$A,FALSE),MATCH(All!AC$1,Spring!$1:$1,FALSE))="","",INDEX(Spring!$1:$1048576,MATCH(All!$A467,Spring!$A:$A,FALSE),MATCH(All!AC$1,Spring!$1:$1,FALSE))),"")</f>
        <v/>
      </c>
      <c r="AD467" t="str">
        <f>IFERROR(VLOOKUP(A467,'Flag Football'!A:A,1,FALSE),"")</f>
        <v/>
      </c>
      <c r="AE467" t="str">
        <f t="shared" si="7"/>
        <v/>
      </c>
    </row>
    <row r="468" spans="1:31" ht="15.75" thickBot="1" x14ac:dyDescent="0.3">
      <c r="A468" s="18" t="s">
        <v>557</v>
      </c>
      <c r="B468" s="38">
        <f>IFERROR(VLOOKUP(A468,'Public v Private'!A:G,3,FALSE),"")</f>
        <v>0</v>
      </c>
      <c r="C468" s="38">
        <f>IFERROR(VLOOKUP(A468,'Public v Private'!A:G,4,FALSE),"")</f>
        <v>0</v>
      </c>
      <c r="D468" s="38">
        <f>IFERROR(VLOOKUP(A468,'Public v Private'!A:G,5,FALSE),"")</f>
        <v>0</v>
      </c>
      <c r="E468" s="38"/>
      <c r="F468" s="40">
        <f>IFERROR(INDEX(Fall!$1:$1048576,MATCH(All!$A468,Fall!$A:$A,FALSE),MATCH(All!F$1,Fall!$1:$1,FALSE)),"N/A")</f>
        <v>2215</v>
      </c>
      <c r="G468" t="str">
        <f>IFERROR(IF(INDEX(Fall!$1:$1048576,MATCH(All!$A468,Fall!$A:$A,FALSE),MATCH(All!G$1,Fall!$1:$1,FALSE))="","",INDEX(Fall!$1:$1048576,MATCH(All!$A468,Fall!$A:$A,FALSE),MATCH(All!G$1,Fall!$1:$1,FALSE))),"")</f>
        <v>3A</v>
      </c>
      <c r="H468" t="str">
        <f>IFERROR(IF(INDEX(Fall!$1:$1048576,MATCH(All!$A468,Fall!$A:$A,FALSE),MATCH(All!H$1,Fall!$1:$1,FALSE))="","",INDEX(Fall!$1:$1048576,MATCH(All!$A468,Fall!$A:$A,FALSE),MATCH(All!H$1,Fall!$1:$1,FALSE))),"")</f>
        <v>3A</v>
      </c>
      <c r="I468" t="str">
        <f>IFERROR(IF(INDEX(Fall!$1:$1048576,MATCH(All!$A468,Fall!$A:$A,FALSE),MATCH(All!I$1,Fall!$1:$1,FALSE))="","",INDEX(Fall!$1:$1048576,MATCH(All!$A468,Fall!$A:$A,FALSE),MATCH(All!I$1,Fall!$1:$1,FALSE))),"")</f>
        <v>3A</v>
      </c>
      <c r="J468" t="str">
        <f>IFERROR(IF(INDEX(Fall!$1:$1048576,MATCH(All!$A468,Fall!$A:$A,FALSE),MATCH(All!J$1,Fall!$1:$1,FALSE))="","",INDEX(Fall!$1:$1048576,MATCH(All!$A468,Fall!$A:$A,FALSE),MATCH(All!J$1,Fall!$1:$1,FALSE))),"")</f>
        <v>2A</v>
      </c>
      <c r="K468" t="str">
        <f>IFERROR(IF(INDEX(Fall!$1:$1048576,MATCH(All!$A468,Fall!$A:$A,FALSE),MATCH(All!K$1,Fall!$1:$1,FALSE))="","",INDEX(Fall!$1:$1048576,MATCH(All!$A468,Fall!$A:$A,FALSE),MATCH(All!K$1,Fall!$1:$1,FALSE))),"")</f>
        <v>3A</v>
      </c>
      <c r="L468" t="str">
        <f>IFERROR(IF(INDEX(Fall!$1:$1048576,MATCH(All!$A468,Fall!$A:$A,FALSE),MATCH(All!L$1,Fall!$1:$1,FALSE))="","",INDEX(Fall!$1:$1048576,MATCH(All!$A468,Fall!$A:$A,FALSE),MATCH(All!L$1,Fall!$1:$1,FALSE))),"")</f>
        <v>2A</v>
      </c>
      <c r="M468" t="str">
        <f>IFERROR(IF(INDEX(Fall!$1:$1048576,MATCH(All!$A468,Fall!$A:$A,FALSE),MATCH(All!M$1,Fall!$1:$1,FALSE))="","",INDEX(Fall!$1:$1048576,MATCH(All!$A468,Fall!$A:$A,FALSE),MATCH(All!M$1,Fall!$1:$1,FALSE))),"")</f>
        <v>4A</v>
      </c>
      <c r="O468">
        <f>IFERROR(IF(INDEX(Winter!$1:$1048576,MATCH(All!$A468,Winter!$A:$A,FALSE),MATCH(All!O$1,Winter!$1:$1,FALSE))="","",INDEX(Winter!$1:$1048576,MATCH(All!$A468,Winter!$A:$A,FALSE),MATCH(All!O$1,Winter!$1:$1,FALSE))),"")</f>
        <v>2215</v>
      </c>
      <c r="P468" t="str">
        <f>IFERROR(IF(INDEX(Winter!$1:$1048576,MATCH(All!$A468,Winter!$A:$A,FALSE),MATCH(All!P$1,Winter!$1:$1,FALSE))="","",INDEX(Winter!$1:$1048576,MATCH(All!$A468,Winter!$A:$A,FALSE),MATCH(All!P$1,Winter!$1:$1,FALSE))),"")</f>
        <v>4A</v>
      </c>
      <c r="Q468" t="str">
        <f>IFERROR(IF(INDEX(Winter!$1:$1048576,MATCH(All!$A468,Winter!$A:$A,FALSE),MATCH(All!Q$1,Winter!$1:$1,FALSE))="","",INDEX(Winter!$1:$1048576,MATCH(All!$A468,Winter!$A:$A,FALSE),MATCH(All!Q$1,Winter!$1:$1,FALSE))),"")</f>
        <v>4A</v>
      </c>
      <c r="R468" t="str">
        <f>IFERROR(IF(INDEX(Winter!$1:$1048576,MATCH(All!$A468,Winter!$A:$A,FALSE),MATCH(All!R$1,Winter!$1:$1,FALSE))="","",INDEX(Winter!$1:$1048576,MATCH(All!$A468,Winter!$A:$A,FALSE),MATCH(All!R$1,Winter!$1:$1,FALSE))),"")</f>
        <v>C</v>
      </c>
      <c r="S468" t="str">
        <f>IFERROR(IF(INDEX(Winter!$1:$1048576,MATCH(All!$A468,Winter!$A:$A,FALSE),MATCH(All!S$1,Winter!$1:$1,FALSE))="","",INDEX(Winter!$1:$1048576,MATCH(All!$A468,Winter!$A:$A,FALSE),MATCH(All!S$1,Winter!$1:$1,FALSE))),"")</f>
        <v>3A</v>
      </c>
      <c r="T468" t="str">
        <f>IFERROR(IF(INDEX(Winter!$1:$1048576,MATCH(All!$A468,Winter!$A:$A,FALSE),MATCH(All!T$1,Winter!$1:$1,FALSE))="","",INDEX(Winter!$1:$1048576,MATCH(All!$A468,Winter!$A:$A,FALSE),MATCH(All!T$1,Winter!$1:$1,FALSE))),"")</f>
        <v>2A</v>
      </c>
      <c r="U468" t="str">
        <f>IFERROR(IF(INDEX(Winter!$1:$1048576,MATCH(All!$A468,Winter!$A:$A,FALSE),MATCH(All!U$1,Winter!$1:$1,FALSE))="","",INDEX(Winter!$1:$1048576,MATCH(All!$A468,Winter!$A:$A,FALSE),MATCH(All!U$1,Winter!$1:$1,FALSE))),"")</f>
        <v>3A</v>
      </c>
      <c r="W468">
        <f>IFERROR(IF(INDEX(Spring!$1:$1048576,MATCH(All!$A468,Spring!$A:$A,FALSE),MATCH(All!W$1,Spring!$1:$1,FALSE))="","",INDEX(Spring!$1:$1048576,MATCH(All!$A468,Spring!$A:$A,FALSE),MATCH(All!W$1,Spring!$1:$1,FALSE))),"")</f>
        <v>2215</v>
      </c>
      <c r="X468" t="str">
        <f>IFERROR(IF(INDEX(Spring!$1:$1048576,MATCH(All!$A468,Spring!$A:$A,FALSE),MATCH(All!X$1,Spring!$1:$1,FALSE))="","",INDEX(Spring!$1:$1048576,MATCH(All!$A468,Spring!$A:$A,FALSE),MATCH(All!X$1,Spring!$1:$1,FALSE))),"")</f>
        <v>4A</v>
      </c>
      <c r="Y468" t="str">
        <f>IFERROR(IF(INDEX(Spring!$1:$1048576,MATCH(All!$A468,Spring!$A:$A,FALSE),MATCH(All!Y$1,Spring!$1:$1,FALSE))="","",INDEX(Spring!$1:$1048576,MATCH(All!$A468,Spring!$A:$A,FALSE),MATCH(All!Y$1,Spring!$1:$1,FALSE))),"")</f>
        <v>4A</v>
      </c>
      <c r="Z468" t="str">
        <f>IFERROR(IF(INDEX(Spring!$1:$1048576,MATCH(All!$A468,Spring!$A:$A,FALSE),MATCH(All!Z$1,Spring!$1:$1,FALSE))="","",INDEX(Spring!$1:$1048576,MATCH(All!$A468,Spring!$A:$A,FALSE),MATCH(All!Z$1,Spring!$1:$1,FALSE))),"")</f>
        <v>3A</v>
      </c>
      <c r="AA468" t="str">
        <f>IFERROR(IF(INDEX(Spring!$1:$1048576,MATCH(All!$A468,Spring!$A:$A,FALSE),MATCH(All!AA$1,Spring!$1:$1,FALSE))="","",INDEX(Spring!$1:$1048576,MATCH(All!$A468,Spring!$A:$A,FALSE),MATCH(All!AA$1,Spring!$1:$1,FALSE))),"")</f>
        <v>2A</v>
      </c>
      <c r="AB468" t="str">
        <f>IFERROR(IF(INDEX(Spring!$1:$1048576,MATCH(All!$A468,Spring!$A:$A,FALSE),MATCH(All!AB$1,Spring!$1:$1,FALSE))="","",INDEX(Spring!$1:$1048576,MATCH(All!$A468,Spring!$A:$A,FALSE),MATCH(All!AB$1,Spring!$1:$1,FALSE))),"")</f>
        <v>3A</v>
      </c>
      <c r="AC468" t="str">
        <f>IFERROR(IF(INDEX(Spring!$1:$1048576,MATCH(All!$A468,Spring!$A:$A,FALSE),MATCH(All!AC$1,Spring!$1:$1,FALSE))="","",INDEX(Spring!$1:$1048576,MATCH(All!$A468,Spring!$A:$A,FALSE),MATCH(All!AC$1,Spring!$1:$1,FALSE))),"")</f>
        <v>3A</v>
      </c>
      <c r="AD468" t="str">
        <f>IFERROR(VLOOKUP(A468,'Flag Football'!A:A,1,FALSE),"")</f>
        <v>Lombard (Glenbard East)</v>
      </c>
      <c r="AE468" t="str">
        <f t="shared" si="7"/>
        <v>1A</v>
      </c>
    </row>
    <row r="469" spans="1:31" ht="15.75" thickBot="1" x14ac:dyDescent="0.3">
      <c r="A469" s="20" t="s">
        <v>558</v>
      </c>
      <c r="B469" s="38" t="str">
        <f>IFERROR(VLOOKUP(A469,'Public v Private'!A:G,3,FALSE),"")</f>
        <v>private</v>
      </c>
      <c r="C469" s="38">
        <f>IFERROR(VLOOKUP(A469,'Public v Private'!A:G,4,FALSE),"")</f>
        <v>3</v>
      </c>
      <c r="D469" s="38">
        <f>IFERROR(VLOOKUP(A469,'Public v Private'!A:G,5,FALSE),"")</f>
        <v>7</v>
      </c>
      <c r="E469" s="38"/>
      <c r="F469" s="40" t="str">
        <f>IFERROR(INDEX(Fall!$1:$1048576,MATCH(All!$A469,Fall!$A:$A,FALSE),MATCH(All!F$1,Fall!$1:$1,FALSE)),"N/A")</f>
        <v>553.00 (912.45)</v>
      </c>
      <c r="G469" t="str">
        <f>IFERROR(IF(INDEX(Fall!$1:$1048576,MATCH(All!$A469,Fall!$A:$A,FALSE),MATCH(All!G$1,Fall!$1:$1,FALSE))="","",INDEX(Fall!$1:$1048576,MATCH(All!$A469,Fall!$A:$A,FALSE),MATCH(All!G$1,Fall!$1:$1,FALSE))),"")</f>
        <v>2A</v>
      </c>
      <c r="H469" t="str">
        <f>IFERROR(IF(INDEX(Fall!$1:$1048576,MATCH(All!$A469,Fall!$A:$A,FALSE),MATCH(All!H$1,Fall!$1:$1,FALSE))="","",INDEX(Fall!$1:$1048576,MATCH(All!$A469,Fall!$A:$A,FALSE),MATCH(All!H$1,Fall!$1:$1,FALSE))),"")</f>
        <v>2A</v>
      </c>
      <c r="I469" t="str">
        <f>IFERROR(IF(INDEX(Fall!$1:$1048576,MATCH(All!$A469,Fall!$A:$A,FALSE),MATCH(All!I$1,Fall!$1:$1,FALSE))="","",INDEX(Fall!$1:$1048576,MATCH(All!$A469,Fall!$A:$A,FALSE),MATCH(All!I$1,Fall!$1:$1,FALSE))),"")</f>
        <v>2A</v>
      </c>
      <c r="J469" t="str">
        <f>IFERROR(IF(INDEX(Fall!$1:$1048576,MATCH(All!$A469,Fall!$A:$A,FALSE),MATCH(All!J$1,Fall!$1:$1,FALSE))="","",INDEX(Fall!$1:$1048576,MATCH(All!$A469,Fall!$A:$A,FALSE),MATCH(All!J$1,Fall!$1:$1,FALSE))),"")</f>
        <v>1A</v>
      </c>
      <c r="K469" t="str">
        <f>IFERROR(IF(INDEX(Fall!$1:$1048576,MATCH(All!$A469,Fall!$A:$A,FALSE),MATCH(All!K$1,Fall!$1:$1,FALSE))="","",INDEX(Fall!$1:$1048576,MATCH(All!$A469,Fall!$A:$A,FALSE),MATCH(All!K$1,Fall!$1:$1,FALSE))),"")</f>
        <v>1A</v>
      </c>
      <c r="L469" t="str">
        <f>IFERROR(IF(INDEX(Fall!$1:$1048576,MATCH(All!$A469,Fall!$A:$A,FALSE),MATCH(All!L$1,Fall!$1:$1,FALSE))="","",INDEX(Fall!$1:$1048576,MATCH(All!$A469,Fall!$A:$A,FALSE),MATCH(All!L$1,Fall!$1:$1,FALSE))),"")</f>
        <v>1A</v>
      </c>
      <c r="M469" t="str">
        <f>IFERROR(IF(INDEX(Fall!$1:$1048576,MATCH(All!$A469,Fall!$A:$A,FALSE),MATCH(All!M$1,Fall!$1:$1,FALSE))="","",INDEX(Fall!$1:$1048576,MATCH(All!$A469,Fall!$A:$A,FALSE),MATCH(All!M$1,Fall!$1:$1,FALSE))),"")</f>
        <v>2A</v>
      </c>
      <c r="O469" t="str">
        <f>IFERROR(IF(INDEX(Winter!$1:$1048576,MATCH(All!$A469,Winter!$A:$A,FALSE),MATCH(All!O$1,Winter!$1:$1,FALSE))="","",INDEX(Winter!$1:$1048576,MATCH(All!$A469,Winter!$A:$A,FALSE),MATCH(All!O$1,Winter!$1:$1,FALSE))),"")</f>
        <v>553.00 (912.45)</v>
      </c>
      <c r="P469" t="str">
        <f>IFERROR(IF(INDEX(Winter!$1:$1048576,MATCH(All!$A469,Winter!$A:$A,FALSE),MATCH(All!P$1,Winter!$1:$1,FALSE))="","",INDEX(Winter!$1:$1048576,MATCH(All!$A469,Winter!$A:$A,FALSE),MATCH(All!P$1,Winter!$1:$1,FALSE))),"")</f>
        <v>3A</v>
      </c>
      <c r="Q469" t="str">
        <f>IFERROR(IF(INDEX(Winter!$1:$1048576,MATCH(All!$A469,Winter!$A:$A,FALSE),MATCH(All!Q$1,Winter!$1:$1,FALSE))="","",INDEX(Winter!$1:$1048576,MATCH(All!$A469,Winter!$A:$A,FALSE),MATCH(All!Q$1,Winter!$1:$1,FALSE))),"")</f>
        <v>4A</v>
      </c>
      <c r="R469" t="str">
        <f>IFERROR(IF(INDEX(Winter!$1:$1048576,MATCH(All!$A469,Winter!$A:$A,FALSE),MATCH(All!R$1,Winter!$1:$1,FALSE))="","",INDEX(Winter!$1:$1048576,MATCH(All!$A469,Winter!$A:$A,FALSE),MATCH(All!R$1,Winter!$1:$1,FALSE))),"")</f>
        <v>1A</v>
      </c>
      <c r="S469" t="str">
        <f>IFERROR(IF(INDEX(Winter!$1:$1048576,MATCH(All!$A469,Winter!$A:$A,FALSE),MATCH(All!S$1,Winter!$1:$1,FALSE))="","",INDEX(Winter!$1:$1048576,MATCH(All!$A469,Winter!$A:$A,FALSE),MATCH(All!S$1,Winter!$1:$1,FALSE))),"")</f>
        <v>1A</v>
      </c>
      <c r="T469" t="str">
        <f>IFERROR(IF(INDEX(Winter!$1:$1048576,MATCH(All!$A469,Winter!$A:$A,FALSE),MATCH(All!T$1,Winter!$1:$1,FALSE))="","",INDEX(Winter!$1:$1048576,MATCH(All!$A469,Winter!$A:$A,FALSE),MATCH(All!T$1,Winter!$1:$1,FALSE))),"")</f>
        <v/>
      </c>
      <c r="U469" t="str">
        <f>IFERROR(IF(INDEX(Winter!$1:$1048576,MATCH(All!$A469,Winter!$A:$A,FALSE),MATCH(All!U$1,Winter!$1:$1,FALSE))="","",INDEX(Winter!$1:$1048576,MATCH(All!$A469,Winter!$A:$A,FALSE),MATCH(All!U$1,Winter!$1:$1,FALSE))),"")</f>
        <v>3A</v>
      </c>
      <c r="W469" t="str">
        <f>IFERROR(IF(INDEX(Spring!$1:$1048576,MATCH(All!$A469,Spring!$A:$A,FALSE),MATCH(All!W$1,Spring!$1:$1,FALSE))="","",INDEX(Spring!$1:$1048576,MATCH(All!$A469,Spring!$A:$A,FALSE),MATCH(All!W$1,Spring!$1:$1,FALSE))),"")</f>
        <v>553.00 (912.45)</v>
      </c>
      <c r="X469" t="str">
        <f>IFERROR(IF(INDEX(Spring!$1:$1048576,MATCH(All!$A469,Spring!$A:$A,FALSE),MATCH(All!X$1,Spring!$1:$1,FALSE))="","",INDEX(Spring!$1:$1048576,MATCH(All!$A469,Spring!$A:$A,FALSE),MATCH(All!X$1,Spring!$1:$1,FALSE))),"")</f>
        <v>3A</v>
      </c>
      <c r="Y469" t="str">
        <f>IFERROR(IF(INDEX(Spring!$1:$1048576,MATCH(All!$A469,Spring!$A:$A,FALSE),MATCH(All!Y$1,Spring!$1:$1,FALSE))="","",INDEX(Spring!$1:$1048576,MATCH(All!$A469,Spring!$A:$A,FALSE),MATCH(All!Y$1,Spring!$1:$1,FALSE))),"")</f>
        <v>3A</v>
      </c>
      <c r="Z469" t="str">
        <f>IFERROR(IF(INDEX(Spring!$1:$1048576,MATCH(All!$A469,Spring!$A:$A,FALSE),MATCH(All!Z$1,Spring!$1:$1,FALSE))="","",INDEX(Spring!$1:$1048576,MATCH(All!$A469,Spring!$A:$A,FALSE),MATCH(All!Z$1,Spring!$1:$1,FALSE))),"")</f>
        <v>2A</v>
      </c>
      <c r="AA469" t="str">
        <f>IFERROR(IF(INDEX(Spring!$1:$1048576,MATCH(All!$A469,Spring!$A:$A,FALSE),MATCH(All!AA$1,Spring!$1:$1,FALSE))="","",INDEX(Spring!$1:$1048576,MATCH(All!$A469,Spring!$A:$A,FALSE),MATCH(All!AA$1,Spring!$1:$1,FALSE))),"")</f>
        <v/>
      </c>
      <c r="AB469" t="str">
        <f>IFERROR(IF(INDEX(Spring!$1:$1048576,MATCH(All!$A469,Spring!$A:$A,FALSE),MATCH(All!AB$1,Spring!$1:$1,FALSE))="","",INDEX(Spring!$1:$1048576,MATCH(All!$A469,Spring!$A:$A,FALSE),MATCH(All!AB$1,Spring!$1:$1,FALSE))),"")</f>
        <v>2A</v>
      </c>
      <c r="AC469" t="str">
        <f>IFERROR(IF(INDEX(Spring!$1:$1048576,MATCH(All!$A469,Spring!$A:$A,FALSE),MATCH(All!AC$1,Spring!$1:$1,FALSE))="","",INDEX(Spring!$1:$1048576,MATCH(All!$A469,Spring!$A:$A,FALSE),MATCH(All!AC$1,Spring!$1:$1,FALSE))),"")</f>
        <v>2A</v>
      </c>
      <c r="AD469" t="str">
        <f>IFERROR(VLOOKUP(A469,'Flag Football'!A:A,1,FALSE),"")</f>
        <v/>
      </c>
      <c r="AE469" t="str">
        <f t="shared" si="7"/>
        <v/>
      </c>
    </row>
    <row r="470" spans="1:31" ht="15.75" thickBot="1" x14ac:dyDescent="0.3">
      <c r="A470" s="18" t="s">
        <v>560</v>
      </c>
      <c r="B470" s="38">
        <f>IFERROR(VLOOKUP(A470,'Public v Private'!A:G,3,FALSE),"")</f>
        <v>0</v>
      </c>
      <c r="C470" s="38">
        <f>IFERROR(VLOOKUP(A470,'Public v Private'!A:G,4,FALSE),"")</f>
        <v>0</v>
      </c>
      <c r="D470" s="38">
        <f>IFERROR(VLOOKUP(A470,'Public v Private'!A:G,5,FALSE),"")</f>
        <v>0</v>
      </c>
      <c r="E470" s="38"/>
      <c r="F470" s="40">
        <f>IFERROR(INDEX(Fall!$1:$1048576,MATCH(All!$A470,Fall!$A:$A,FALSE),MATCH(All!F$1,Fall!$1:$1,FALSE)),"N/A")</f>
        <v>60</v>
      </c>
      <c r="G470" t="str">
        <f>IFERROR(IF(INDEX(Fall!$1:$1048576,MATCH(All!$A470,Fall!$A:$A,FALSE),MATCH(All!G$1,Fall!$1:$1,FALSE))="","",INDEX(Fall!$1:$1048576,MATCH(All!$A470,Fall!$A:$A,FALSE),MATCH(All!G$1,Fall!$1:$1,FALSE))),"")</f>
        <v/>
      </c>
      <c r="H470" t="str">
        <f>IFERROR(IF(INDEX(Fall!$1:$1048576,MATCH(All!$A470,Fall!$A:$A,FALSE),MATCH(All!H$1,Fall!$1:$1,FALSE))="","",INDEX(Fall!$1:$1048576,MATCH(All!$A470,Fall!$A:$A,FALSE),MATCH(All!H$1,Fall!$1:$1,FALSE))),"")</f>
        <v/>
      </c>
      <c r="I470" t="str">
        <f>IFERROR(IF(INDEX(Fall!$1:$1048576,MATCH(All!$A470,Fall!$A:$A,FALSE),MATCH(All!I$1,Fall!$1:$1,FALSE))="","",INDEX(Fall!$1:$1048576,MATCH(All!$A470,Fall!$A:$A,FALSE),MATCH(All!I$1,Fall!$1:$1,FALSE))),"")</f>
        <v/>
      </c>
      <c r="J470" t="str">
        <f>IFERROR(IF(INDEX(Fall!$1:$1048576,MATCH(All!$A470,Fall!$A:$A,FALSE),MATCH(All!J$1,Fall!$1:$1,FALSE))="","",INDEX(Fall!$1:$1048576,MATCH(All!$A470,Fall!$A:$A,FALSE),MATCH(All!J$1,Fall!$1:$1,FALSE))),"")</f>
        <v/>
      </c>
      <c r="K470" t="str">
        <f>IFERROR(IF(INDEX(Fall!$1:$1048576,MATCH(All!$A470,Fall!$A:$A,FALSE),MATCH(All!K$1,Fall!$1:$1,FALSE))="","",INDEX(Fall!$1:$1048576,MATCH(All!$A470,Fall!$A:$A,FALSE),MATCH(All!K$1,Fall!$1:$1,FALSE))),"")</f>
        <v/>
      </c>
      <c r="L470" t="str">
        <f>IFERROR(IF(INDEX(Fall!$1:$1048576,MATCH(All!$A470,Fall!$A:$A,FALSE),MATCH(All!L$1,Fall!$1:$1,FALSE))="","",INDEX(Fall!$1:$1048576,MATCH(All!$A470,Fall!$A:$A,FALSE),MATCH(All!L$1,Fall!$1:$1,FALSE))),"")</f>
        <v/>
      </c>
      <c r="M470" t="str">
        <f>IFERROR(IF(INDEX(Fall!$1:$1048576,MATCH(All!$A470,Fall!$A:$A,FALSE),MATCH(All!M$1,Fall!$1:$1,FALSE))="","",INDEX(Fall!$1:$1048576,MATCH(All!$A470,Fall!$A:$A,FALSE),MATCH(All!M$1,Fall!$1:$1,FALSE))),"")</f>
        <v>1A</v>
      </c>
      <c r="O470">
        <f>IFERROR(IF(INDEX(Winter!$1:$1048576,MATCH(All!$A470,Winter!$A:$A,FALSE),MATCH(All!O$1,Winter!$1:$1,FALSE))="","",INDEX(Winter!$1:$1048576,MATCH(All!$A470,Winter!$A:$A,FALSE),MATCH(All!O$1,Winter!$1:$1,FALSE))),"")</f>
        <v>60</v>
      </c>
      <c r="P470" t="str">
        <f>IFERROR(IF(INDEX(Winter!$1:$1048576,MATCH(All!$A470,Winter!$A:$A,FALSE),MATCH(All!P$1,Winter!$1:$1,FALSE))="","",INDEX(Winter!$1:$1048576,MATCH(All!$A470,Winter!$A:$A,FALSE),MATCH(All!P$1,Winter!$1:$1,FALSE))),"")</f>
        <v/>
      </c>
      <c r="Q470" t="str">
        <f>IFERROR(IF(INDEX(Winter!$1:$1048576,MATCH(All!$A470,Winter!$A:$A,FALSE),MATCH(All!Q$1,Winter!$1:$1,FALSE))="","",INDEX(Winter!$1:$1048576,MATCH(All!$A470,Winter!$A:$A,FALSE),MATCH(All!Q$1,Winter!$1:$1,FALSE))),"")</f>
        <v>1A</v>
      </c>
      <c r="R470" t="str">
        <f>IFERROR(IF(INDEX(Winter!$1:$1048576,MATCH(All!$A470,Winter!$A:$A,FALSE),MATCH(All!R$1,Winter!$1:$1,FALSE))="","",INDEX(Winter!$1:$1048576,MATCH(All!$A470,Winter!$A:$A,FALSE),MATCH(All!R$1,Winter!$1:$1,FALSE))),"")</f>
        <v/>
      </c>
      <c r="S470" t="str">
        <f>IFERROR(IF(INDEX(Winter!$1:$1048576,MATCH(All!$A470,Winter!$A:$A,FALSE),MATCH(All!S$1,Winter!$1:$1,FALSE))="","",INDEX(Winter!$1:$1048576,MATCH(All!$A470,Winter!$A:$A,FALSE),MATCH(All!S$1,Winter!$1:$1,FALSE))),"")</f>
        <v/>
      </c>
      <c r="T470" t="str">
        <f>IFERROR(IF(INDEX(Winter!$1:$1048576,MATCH(All!$A470,Winter!$A:$A,FALSE),MATCH(All!T$1,Winter!$1:$1,FALSE))="","",INDEX(Winter!$1:$1048576,MATCH(All!$A470,Winter!$A:$A,FALSE),MATCH(All!T$1,Winter!$1:$1,FALSE))),"")</f>
        <v>1A</v>
      </c>
      <c r="U470" t="str">
        <f>IFERROR(IF(INDEX(Winter!$1:$1048576,MATCH(All!$A470,Winter!$A:$A,FALSE),MATCH(All!U$1,Winter!$1:$1,FALSE))="","",INDEX(Winter!$1:$1048576,MATCH(All!$A470,Winter!$A:$A,FALSE),MATCH(All!U$1,Winter!$1:$1,FALSE))),"")</f>
        <v/>
      </c>
      <c r="W470">
        <f>IFERROR(IF(INDEX(Spring!$1:$1048576,MATCH(All!$A470,Spring!$A:$A,FALSE),MATCH(All!W$1,Spring!$1:$1,FALSE))="","",INDEX(Spring!$1:$1048576,MATCH(All!$A470,Spring!$A:$A,FALSE),MATCH(All!W$1,Spring!$1:$1,FALSE))),"")</f>
        <v>60</v>
      </c>
      <c r="X470" t="str">
        <f>IFERROR(IF(INDEX(Spring!$1:$1048576,MATCH(All!$A470,Spring!$A:$A,FALSE),MATCH(All!X$1,Spring!$1:$1,FALSE))="","",INDEX(Spring!$1:$1048576,MATCH(All!$A470,Spring!$A:$A,FALSE),MATCH(All!X$1,Spring!$1:$1,FALSE))),"")</f>
        <v/>
      </c>
      <c r="Y470" t="str">
        <f>IFERROR(IF(INDEX(Spring!$1:$1048576,MATCH(All!$A470,Spring!$A:$A,FALSE),MATCH(All!Y$1,Spring!$1:$1,FALSE))="","",INDEX(Spring!$1:$1048576,MATCH(All!$A470,Spring!$A:$A,FALSE),MATCH(All!Y$1,Spring!$1:$1,FALSE))),"")</f>
        <v>2A</v>
      </c>
      <c r="Z470" t="str">
        <f>IFERROR(IF(INDEX(Spring!$1:$1048576,MATCH(All!$A470,Spring!$A:$A,FALSE),MATCH(All!Z$1,Spring!$1:$1,FALSE))="","",INDEX(Spring!$1:$1048576,MATCH(All!$A470,Spring!$A:$A,FALSE),MATCH(All!Z$1,Spring!$1:$1,FALSE))),"")</f>
        <v/>
      </c>
      <c r="AA470" t="str">
        <f>IFERROR(IF(INDEX(Spring!$1:$1048576,MATCH(All!$A470,Spring!$A:$A,FALSE),MATCH(All!AA$1,Spring!$1:$1,FALSE))="","",INDEX(Spring!$1:$1048576,MATCH(All!$A470,Spring!$A:$A,FALSE),MATCH(All!AA$1,Spring!$1:$1,FALSE))),"")</f>
        <v/>
      </c>
      <c r="AB470" t="str">
        <f>IFERROR(IF(INDEX(Spring!$1:$1048576,MATCH(All!$A470,Spring!$A:$A,FALSE),MATCH(All!AB$1,Spring!$1:$1,FALSE))="","",INDEX(Spring!$1:$1048576,MATCH(All!$A470,Spring!$A:$A,FALSE),MATCH(All!AB$1,Spring!$1:$1,FALSE))),"")</f>
        <v/>
      </c>
      <c r="AC470" t="str">
        <f>IFERROR(IF(INDEX(Spring!$1:$1048576,MATCH(All!$A470,Spring!$A:$A,FALSE),MATCH(All!AC$1,Spring!$1:$1,FALSE))="","",INDEX(Spring!$1:$1048576,MATCH(All!$A470,Spring!$A:$A,FALSE),MATCH(All!AC$1,Spring!$1:$1,FALSE))),"")</f>
        <v/>
      </c>
      <c r="AD470" t="str">
        <f>IFERROR(VLOOKUP(A470,'Flag Football'!A:A,1,FALSE),"")</f>
        <v/>
      </c>
      <c r="AE470" t="str">
        <f t="shared" si="7"/>
        <v/>
      </c>
    </row>
    <row r="471" spans="1:31" ht="15.75" thickBot="1" x14ac:dyDescent="0.3">
      <c r="A471" s="20" t="s">
        <v>561</v>
      </c>
      <c r="B471" s="38">
        <f>IFERROR(VLOOKUP(A471,'Public v Private'!A:G,3,FALSE),"")</f>
        <v>0</v>
      </c>
      <c r="C471" s="38">
        <f>IFERROR(VLOOKUP(A471,'Public v Private'!A:G,4,FALSE),"")</f>
        <v>0</v>
      </c>
      <c r="D471" s="38">
        <f>IFERROR(VLOOKUP(A471,'Public v Private'!A:G,5,FALSE),"")</f>
        <v>0</v>
      </c>
      <c r="E471" s="38"/>
      <c r="F471" s="40">
        <f>IFERROR(INDEX(Fall!$1:$1048576,MATCH(All!$A471,Fall!$A:$A,FALSE),MATCH(All!F$1,Fall!$1:$1,FALSE)),"N/A")</f>
        <v>174</v>
      </c>
      <c r="G471" t="str">
        <f>IFERROR(IF(INDEX(Fall!$1:$1048576,MATCH(All!$A471,Fall!$A:$A,FALSE),MATCH(All!G$1,Fall!$1:$1,FALSE))="","",INDEX(Fall!$1:$1048576,MATCH(All!$A471,Fall!$A:$A,FALSE),MATCH(All!G$1,Fall!$1:$1,FALSE))),"")</f>
        <v>1A</v>
      </c>
      <c r="H471" t="str">
        <f>IFERROR(IF(INDEX(Fall!$1:$1048576,MATCH(All!$A471,Fall!$A:$A,FALSE),MATCH(All!H$1,Fall!$1:$1,FALSE))="","",INDEX(Fall!$1:$1048576,MATCH(All!$A471,Fall!$A:$A,FALSE),MATCH(All!H$1,Fall!$1:$1,FALSE))),"")</f>
        <v>1A</v>
      </c>
      <c r="I471" t="str">
        <f>IFERROR(IF(INDEX(Fall!$1:$1048576,MATCH(All!$A471,Fall!$A:$A,FALSE),MATCH(All!I$1,Fall!$1:$1,FALSE))="","",INDEX(Fall!$1:$1048576,MATCH(All!$A471,Fall!$A:$A,FALSE),MATCH(All!I$1,Fall!$1:$1,FALSE))),"")</f>
        <v>1A</v>
      </c>
      <c r="J471" t="str">
        <f>IFERROR(IF(INDEX(Fall!$1:$1048576,MATCH(All!$A471,Fall!$A:$A,FALSE),MATCH(All!J$1,Fall!$1:$1,FALSE))="","",INDEX(Fall!$1:$1048576,MATCH(All!$A471,Fall!$A:$A,FALSE),MATCH(All!J$1,Fall!$1:$1,FALSE))),"")</f>
        <v/>
      </c>
      <c r="K471" t="str">
        <f>IFERROR(IF(INDEX(Fall!$1:$1048576,MATCH(All!$A471,Fall!$A:$A,FALSE),MATCH(All!K$1,Fall!$1:$1,FALSE))="","",INDEX(Fall!$1:$1048576,MATCH(All!$A471,Fall!$A:$A,FALSE),MATCH(All!K$1,Fall!$1:$1,FALSE))),"")</f>
        <v/>
      </c>
      <c r="L471" t="str">
        <f>IFERROR(IF(INDEX(Fall!$1:$1048576,MATCH(All!$A471,Fall!$A:$A,FALSE),MATCH(All!L$1,Fall!$1:$1,FALSE))="","",INDEX(Fall!$1:$1048576,MATCH(All!$A471,Fall!$A:$A,FALSE),MATCH(All!L$1,Fall!$1:$1,FALSE))),"")</f>
        <v/>
      </c>
      <c r="M471" t="str">
        <f>IFERROR(IF(INDEX(Fall!$1:$1048576,MATCH(All!$A471,Fall!$A:$A,FALSE),MATCH(All!M$1,Fall!$1:$1,FALSE))="","",INDEX(Fall!$1:$1048576,MATCH(All!$A471,Fall!$A:$A,FALSE),MATCH(All!M$1,Fall!$1:$1,FALSE))),"")</f>
        <v>1A</v>
      </c>
      <c r="O471">
        <f>IFERROR(IF(INDEX(Winter!$1:$1048576,MATCH(All!$A471,Winter!$A:$A,FALSE),MATCH(All!O$1,Winter!$1:$1,FALSE))="","",INDEX(Winter!$1:$1048576,MATCH(All!$A471,Winter!$A:$A,FALSE),MATCH(All!O$1,Winter!$1:$1,FALSE))),"")</f>
        <v>174</v>
      </c>
      <c r="P471" t="str">
        <f>IFERROR(IF(INDEX(Winter!$1:$1048576,MATCH(All!$A471,Winter!$A:$A,FALSE),MATCH(All!P$1,Winter!$1:$1,FALSE))="","",INDEX(Winter!$1:$1048576,MATCH(All!$A471,Winter!$A:$A,FALSE),MATCH(All!P$1,Winter!$1:$1,FALSE))),"")</f>
        <v>1A</v>
      </c>
      <c r="Q471" t="str">
        <f>IFERROR(IF(INDEX(Winter!$1:$1048576,MATCH(All!$A471,Winter!$A:$A,FALSE),MATCH(All!Q$1,Winter!$1:$1,FALSE))="","",INDEX(Winter!$1:$1048576,MATCH(All!$A471,Winter!$A:$A,FALSE),MATCH(All!Q$1,Winter!$1:$1,FALSE))),"")</f>
        <v>1A</v>
      </c>
      <c r="R471" t="str">
        <f>IFERROR(IF(INDEX(Winter!$1:$1048576,MATCH(All!$A471,Winter!$A:$A,FALSE),MATCH(All!R$1,Winter!$1:$1,FALSE))="","",INDEX(Winter!$1:$1048576,MATCH(All!$A471,Winter!$A:$A,FALSE),MATCH(All!R$1,Winter!$1:$1,FALSE))),"")</f>
        <v/>
      </c>
      <c r="S471" t="str">
        <f>IFERROR(IF(INDEX(Winter!$1:$1048576,MATCH(All!$A471,Winter!$A:$A,FALSE),MATCH(All!S$1,Winter!$1:$1,FALSE))="","",INDEX(Winter!$1:$1048576,MATCH(All!$A471,Winter!$A:$A,FALSE),MATCH(All!S$1,Winter!$1:$1,FALSE))),"")</f>
        <v/>
      </c>
      <c r="T471" t="str">
        <f>IFERROR(IF(INDEX(Winter!$1:$1048576,MATCH(All!$A471,Winter!$A:$A,FALSE),MATCH(All!T$1,Winter!$1:$1,FALSE))="","",INDEX(Winter!$1:$1048576,MATCH(All!$A471,Winter!$A:$A,FALSE),MATCH(All!T$1,Winter!$1:$1,FALSE))),"")</f>
        <v>1A</v>
      </c>
      <c r="U471" t="str">
        <f>IFERROR(IF(INDEX(Winter!$1:$1048576,MATCH(All!$A471,Winter!$A:$A,FALSE),MATCH(All!U$1,Winter!$1:$1,FALSE))="","",INDEX(Winter!$1:$1048576,MATCH(All!$A471,Winter!$A:$A,FALSE),MATCH(All!U$1,Winter!$1:$1,FALSE))),"")</f>
        <v/>
      </c>
      <c r="W471">
        <f>IFERROR(IF(INDEX(Spring!$1:$1048576,MATCH(All!$A471,Spring!$A:$A,FALSE),MATCH(All!W$1,Spring!$1:$1,FALSE))="","",INDEX(Spring!$1:$1048576,MATCH(All!$A471,Spring!$A:$A,FALSE),MATCH(All!W$1,Spring!$1:$1,FALSE))),"")</f>
        <v>174</v>
      </c>
      <c r="X471" t="str">
        <f>IFERROR(IF(INDEX(Spring!$1:$1048576,MATCH(All!$A471,Spring!$A:$A,FALSE),MATCH(All!X$1,Spring!$1:$1,FALSE))="","",INDEX(Spring!$1:$1048576,MATCH(All!$A471,Spring!$A:$A,FALSE),MATCH(All!X$1,Spring!$1:$1,FALSE))),"")</f>
        <v>1A</v>
      </c>
      <c r="Y471" t="str">
        <f>IFERROR(IF(INDEX(Spring!$1:$1048576,MATCH(All!$A471,Spring!$A:$A,FALSE),MATCH(All!Y$1,Spring!$1:$1,FALSE))="","",INDEX(Spring!$1:$1048576,MATCH(All!$A471,Spring!$A:$A,FALSE),MATCH(All!Y$1,Spring!$1:$1,FALSE))),"")</f>
        <v>1A</v>
      </c>
      <c r="Z471" t="str">
        <f>IFERROR(IF(INDEX(Spring!$1:$1048576,MATCH(All!$A471,Spring!$A:$A,FALSE),MATCH(All!Z$1,Spring!$1:$1,FALSE))="","",INDEX(Spring!$1:$1048576,MATCH(All!$A471,Spring!$A:$A,FALSE),MATCH(All!Z$1,Spring!$1:$1,FALSE))),"")</f>
        <v/>
      </c>
      <c r="AA471" t="str">
        <f>IFERROR(IF(INDEX(Spring!$1:$1048576,MATCH(All!$A471,Spring!$A:$A,FALSE),MATCH(All!AA$1,Spring!$1:$1,FALSE))="","",INDEX(Spring!$1:$1048576,MATCH(All!$A471,Spring!$A:$A,FALSE),MATCH(All!AA$1,Spring!$1:$1,FALSE))),"")</f>
        <v/>
      </c>
      <c r="AB471" t="str">
        <f>IFERROR(IF(INDEX(Spring!$1:$1048576,MATCH(All!$A471,Spring!$A:$A,FALSE),MATCH(All!AB$1,Spring!$1:$1,FALSE))="","",INDEX(Spring!$1:$1048576,MATCH(All!$A471,Spring!$A:$A,FALSE),MATCH(All!AB$1,Spring!$1:$1,FALSE))),"")</f>
        <v>1A</v>
      </c>
      <c r="AC471" t="str">
        <f>IFERROR(IF(INDEX(Spring!$1:$1048576,MATCH(All!$A471,Spring!$A:$A,FALSE),MATCH(All!AC$1,Spring!$1:$1,FALSE))="","",INDEX(Spring!$1:$1048576,MATCH(All!$A471,Spring!$A:$A,FALSE),MATCH(All!AC$1,Spring!$1:$1,FALSE))),"")</f>
        <v>1A</v>
      </c>
      <c r="AD471" t="str">
        <f>IFERROR(VLOOKUP(A471,'Flag Football'!A:A,1,FALSE),"")</f>
        <v/>
      </c>
      <c r="AE471" t="str">
        <f t="shared" si="7"/>
        <v/>
      </c>
    </row>
    <row r="472" spans="1:31" ht="15.75" thickBot="1" x14ac:dyDescent="0.3">
      <c r="A472" s="18" t="s">
        <v>562</v>
      </c>
      <c r="B472" s="38">
        <f>IFERROR(VLOOKUP(A472,'Public v Private'!A:G,3,FALSE),"")</f>
        <v>0</v>
      </c>
      <c r="C472" s="38">
        <f>IFERROR(VLOOKUP(A472,'Public v Private'!A:G,4,FALSE),"")</f>
        <v>0</v>
      </c>
      <c r="D472" s="38">
        <f>IFERROR(VLOOKUP(A472,'Public v Private'!A:G,5,FALSE),"")</f>
        <v>0</v>
      </c>
      <c r="E472" s="38"/>
      <c r="F472" s="40">
        <f>IFERROR(INDEX(Fall!$1:$1048576,MATCH(All!$A472,Fall!$A:$A,FALSE),MATCH(All!F$1,Fall!$1:$1,FALSE)),"N/A")</f>
        <v>1836</v>
      </c>
      <c r="G472" t="str">
        <f>IFERROR(IF(INDEX(Fall!$1:$1048576,MATCH(All!$A472,Fall!$A:$A,FALSE),MATCH(All!G$1,Fall!$1:$1,FALSE))="","",INDEX(Fall!$1:$1048576,MATCH(All!$A472,Fall!$A:$A,FALSE),MATCH(All!G$1,Fall!$1:$1,FALSE))),"")</f>
        <v>3A</v>
      </c>
      <c r="H472" t="str">
        <f>IFERROR(IF(INDEX(Fall!$1:$1048576,MATCH(All!$A472,Fall!$A:$A,FALSE),MATCH(All!H$1,Fall!$1:$1,FALSE))="","",INDEX(Fall!$1:$1048576,MATCH(All!$A472,Fall!$A:$A,FALSE),MATCH(All!H$1,Fall!$1:$1,FALSE))),"")</f>
        <v>3A</v>
      </c>
      <c r="I472" t="str">
        <f>IFERROR(IF(INDEX(Fall!$1:$1048576,MATCH(All!$A472,Fall!$A:$A,FALSE),MATCH(All!I$1,Fall!$1:$1,FALSE))="","",INDEX(Fall!$1:$1048576,MATCH(All!$A472,Fall!$A:$A,FALSE),MATCH(All!I$1,Fall!$1:$1,FALSE))),"")</f>
        <v>3A</v>
      </c>
      <c r="J472" t="str">
        <f>IFERROR(IF(INDEX(Fall!$1:$1048576,MATCH(All!$A472,Fall!$A:$A,FALSE),MATCH(All!J$1,Fall!$1:$1,FALSE))="","",INDEX(Fall!$1:$1048576,MATCH(All!$A472,Fall!$A:$A,FALSE),MATCH(All!J$1,Fall!$1:$1,FALSE))),"")</f>
        <v>2A</v>
      </c>
      <c r="K472" t="str">
        <f>IFERROR(IF(INDEX(Fall!$1:$1048576,MATCH(All!$A472,Fall!$A:$A,FALSE),MATCH(All!K$1,Fall!$1:$1,FALSE))="","",INDEX(Fall!$1:$1048576,MATCH(All!$A472,Fall!$A:$A,FALSE),MATCH(All!K$1,Fall!$1:$1,FALSE))),"")</f>
        <v>3A</v>
      </c>
      <c r="L472" t="str">
        <f>IFERROR(IF(INDEX(Fall!$1:$1048576,MATCH(All!$A472,Fall!$A:$A,FALSE),MATCH(All!L$1,Fall!$1:$1,FALSE))="","",INDEX(Fall!$1:$1048576,MATCH(All!$A472,Fall!$A:$A,FALSE),MATCH(All!L$1,Fall!$1:$1,FALSE))),"")</f>
        <v>2A</v>
      </c>
      <c r="M472" t="str">
        <f>IFERROR(IF(INDEX(Fall!$1:$1048576,MATCH(All!$A472,Fall!$A:$A,FALSE),MATCH(All!M$1,Fall!$1:$1,FALSE))="","",INDEX(Fall!$1:$1048576,MATCH(All!$A472,Fall!$A:$A,FALSE),MATCH(All!M$1,Fall!$1:$1,FALSE))),"")</f>
        <v>4A</v>
      </c>
      <c r="O472">
        <f>IFERROR(IF(INDEX(Winter!$1:$1048576,MATCH(All!$A472,Winter!$A:$A,FALSE),MATCH(All!O$1,Winter!$1:$1,FALSE))="","",INDEX(Winter!$1:$1048576,MATCH(All!$A472,Winter!$A:$A,FALSE),MATCH(All!O$1,Winter!$1:$1,FALSE))),"")</f>
        <v>1836</v>
      </c>
      <c r="P472" t="str">
        <f>IFERROR(IF(INDEX(Winter!$1:$1048576,MATCH(All!$A472,Winter!$A:$A,FALSE),MATCH(All!P$1,Winter!$1:$1,FALSE))="","",INDEX(Winter!$1:$1048576,MATCH(All!$A472,Winter!$A:$A,FALSE),MATCH(All!P$1,Winter!$1:$1,FALSE))),"")</f>
        <v>4A</v>
      </c>
      <c r="Q472" t="str">
        <f>IFERROR(IF(INDEX(Winter!$1:$1048576,MATCH(All!$A472,Winter!$A:$A,FALSE),MATCH(All!Q$1,Winter!$1:$1,FALSE))="","",INDEX(Winter!$1:$1048576,MATCH(All!$A472,Winter!$A:$A,FALSE),MATCH(All!Q$1,Winter!$1:$1,FALSE))),"")</f>
        <v>4A</v>
      </c>
      <c r="R472" t="str">
        <f>IFERROR(IF(INDEX(Winter!$1:$1048576,MATCH(All!$A472,Winter!$A:$A,FALSE),MATCH(All!R$1,Winter!$1:$1,FALSE))="","",INDEX(Winter!$1:$1048576,MATCH(All!$A472,Winter!$A:$A,FALSE),MATCH(All!R$1,Winter!$1:$1,FALSE))),"")</f>
        <v>3A</v>
      </c>
      <c r="S472" t="str">
        <f>IFERROR(IF(INDEX(Winter!$1:$1048576,MATCH(All!$A472,Winter!$A:$A,FALSE),MATCH(All!S$1,Winter!$1:$1,FALSE))="","",INDEX(Winter!$1:$1048576,MATCH(All!$A472,Winter!$A:$A,FALSE),MATCH(All!S$1,Winter!$1:$1,FALSE))),"")</f>
        <v>2A</v>
      </c>
      <c r="T472" t="str">
        <f>IFERROR(IF(INDEX(Winter!$1:$1048576,MATCH(All!$A472,Winter!$A:$A,FALSE),MATCH(All!T$1,Winter!$1:$1,FALSE))="","",INDEX(Winter!$1:$1048576,MATCH(All!$A472,Winter!$A:$A,FALSE),MATCH(All!T$1,Winter!$1:$1,FALSE))),"")</f>
        <v>2A</v>
      </c>
      <c r="U472" t="str">
        <f>IFERROR(IF(INDEX(Winter!$1:$1048576,MATCH(All!$A472,Winter!$A:$A,FALSE),MATCH(All!U$1,Winter!$1:$1,FALSE))="","",INDEX(Winter!$1:$1048576,MATCH(All!$A472,Winter!$A:$A,FALSE),MATCH(All!U$1,Winter!$1:$1,FALSE))),"")</f>
        <v>3A</v>
      </c>
      <c r="W472">
        <f>IFERROR(IF(INDEX(Spring!$1:$1048576,MATCH(All!$A472,Spring!$A:$A,FALSE),MATCH(All!W$1,Spring!$1:$1,FALSE))="","",INDEX(Spring!$1:$1048576,MATCH(All!$A472,Spring!$A:$A,FALSE),MATCH(All!W$1,Spring!$1:$1,FALSE))),"")</f>
        <v>1836</v>
      </c>
      <c r="X472" t="str">
        <f>IFERROR(IF(INDEX(Spring!$1:$1048576,MATCH(All!$A472,Spring!$A:$A,FALSE),MATCH(All!X$1,Spring!$1:$1,FALSE))="","",INDEX(Spring!$1:$1048576,MATCH(All!$A472,Spring!$A:$A,FALSE),MATCH(All!X$1,Spring!$1:$1,FALSE))),"")</f>
        <v>4A</v>
      </c>
      <c r="Y472" t="str">
        <f>IFERROR(IF(INDEX(Spring!$1:$1048576,MATCH(All!$A472,Spring!$A:$A,FALSE),MATCH(All!Y$1,Spring!$1:$1,FALSE))="","",INDEX(Spring!$1:$1048576,MATCH(All!$A472,Spring!$A:$A,FALSE),MATCH(All!Y$1,Spring!$1:$1,FALSE))),"")</f>
        <v>4A</v>
      </c>
      <c r="Z472" t="str">
        <f>IFERROR(IF(INDEX(Spring!$1:$1048576,MATCH(All!$A472,Spring!$A:$A,FALSE),MATCH(All!Z$1,Spring!$1:$1,FALSE))="","",INDEX(Spring!$1:$1048576,MATCH(All!$A472,Spring!$A:$A,FALSE),MATCH(All!Z$1,Spring!$1:$1,FALSE))),"")</f>
        <v>3A</v>
      </c>
      <c r="AA472" t="str">
        <f>IFERROR(IF(INDEX(Spring!$1:$1048576,MATCH(All!$A472,Spring!$A:$A,FALSE),MATCH(All!AA$1,Spring!$1:$1,FALSE))="","",INDEX(Spring!$1:$1048576,MATCH(All!$A472,Spring!$A:$A,FALSE),MATCH(All!AA$1,Spring!$1:$1,FALSE))),"")</f>
        <v>2A</v>
      </c>
      <c r="AB472" t="str">
        <f>IFERROR(IF(INDEX(Spring!$1:$1048576,MATCH(All!$A472,Spring!$A:$A,FALSE),MATCH(All!AB$1,Spring!$1:$1,FALSE))="","",INDEX(Spring!$1:$1048576,MATCH(All!$A472,Spring!$A:$A,FALSE),MATCH(All!AB$1,Spring!$1:$1,FALSE))),"")</f>
        <v>3A</v>
      </c>
      <c r="AC472" t="str">
        <f>IFERROR(IF(INDEX(Spring!$1:$1048576,MATCH(All!$A472,Spring!$A:$A,FALSE),MATCH(All!AC$1,Spring!$1:$1,FALSE))="","",INDEX(Spring!$1:$1048576,MATCH(All!$A472,Spring!$A:$A,FALSE),MATCH(All!AC$1,Spring!$1:$1,FALSE))),"")</f>
        <v>3A</v>
      </c>
      <c r="AD472" t="str">
        <f>IFERROR(VLOOKUP(A472,'Flag Football'!A:A,1,FALSE),"")</f>
        <v>Machesney Park (Harlem)</v>
      </c>
      <c r="AE472" t="str">
        <f t="shared" si="7"/>
        <v>1A</v>
      </c>
    </row>
    <row r="473" spans="1:31" ht="15.75" thickBot="1" x14ac:dyDescent="0.3">
      <c r="A473" s="20" t="s">
        <v>563</v>
      </c>
      <c r="B473" s="38">
        <f>IFERROR(VLOOKUP(A473,'Public v Private'!A:G,3,FALSE),"")</f>
        <v>0</v>
      </c>
      <c r="C473" s="38">
        <f>IFERROR(VLOOKUP(A473,'Public v Private'!A:G,4,FALSE),"")</f>
        <v>0</v>
      </c>
      <c r="D473" s="38">
        <f>IFERROR(VLOOKUP(A473,'Public v Private'!A:G,5,FALSE),"")</f>
        <v>0</v>
      </c>
      <c r="E473" s="38"/>
      <c r="F473" s="40">
        <f>IFERROR(INDEX(Fall!$1:$1048576,MATCH(All!$A473,Fall!$A:$A,FALSE),MATCH(All!F$1,Fall!$1:$1,FALSE)),"N/A")</f>
        <v>291</v>
      </c>
      <c r="G473" t="str">
        <f>IFERROR(IF(INDEX(Fall!$1:$1048576,MATCH(All!$A473,Fall!$A:$A,FALSE),MATCH(All!G$1,Fall!$1:$1,FALSE))="","",INDEX(Fall!$1:$1048576,MATCH(All!$A473,Fall!$A:$A,FALSE),MATCH(All!G$1,Fall!$1:$1,FALSE))),"")</f>
        <v>1A</v>
      </c>
      <c r="H473" t="str">
        <f>IFERROR(IF(INDEX(Fall!$1:$1048576,MATCH(All!$A473,Fall!$A:$A,FALSE),MATCH(All!H$1,Fall!$1:$1,FALSE))="","",INDEX(Fall!$1:$1048576,MATCH(All!$A473,Fall!$A:$A,FALSE),MATCH(All!H$1,Fall!$1:$1,FALSE))),"")</f>
        <v>1A</v>
      </c>
      <c r="I473" t="str">
        <f>IFERROR(IF(INDEX(Fall!$1:$1048576,MATCH(All!$A473,Fall!$A:$A,FALSE),MATCH(All!I$1,Fall!$1:$1,FALSE))="","",INDEX(Fall!$1:$1048576,MATCH(All!$A473,Fall!$A:$A,FALSE),MATCH(All!I$1,Fall!$1:$1,FALSE))),"")</f>
        <v>1A</v>
      </c>
      <c r="J473" t="str">
        <f>IFERROR(IF(INDEX(Fall!$1:$1048576,MATCH(All!$A473,Fall!$A:$A,FALSE),MATCH(All!J$1,Fall!$1:$1,FALSE))="","",INDEX(Fall!$1:$1048576,MATCH(All!$A473,Fall!$A:$A,FALSE),MATCH(All!J$1,Fall!$1:$1,FALSE))),"")</f>
        <v>1A</v>
      </c>
      <c r="K473" t="str">
        <f>IFERROR(IF(INDEX(Fall!$1:$1048576,MATCH(All!$A473,Fall!$A:$A,FALSE),MATCH(All!K$1,Fall!$1:$1,FALSE))="","",INDEX(Fall!$1:$1048576,MATCH(All!$A473,Fall!$A:$A,FALSE),MATCH(All!K$1,Fall!$1:$1,FALSE))),"")</f>
        <v/>
      </c>
      <c r="L473" t="str">
        <f>IFERROR(IF(INDEX(Fall!$1:$1048576,MATCH(All!$A473,Fall!$A:$A,FALSE),MATCH(All!L$1,Fall!$1:$1,FALSE))="","",INDEX(Fall!$1:$1048576,MATCH(All!$A473,Fall!$A:$A,FALSE),MATCH(All!L$1,Fall!$1:$1,FALSE))),"")</f>
        <v/>
      </c>
      <c r="M473" t="str">
        <f>IFERROR(IF(INDEX(Fall!$1:$1048576,MATCH(All!$A473,Fall!$A:$A,FALSE),MATCH(All!M$1,Fall!$1:$1,FALSE))="","",INDEX(Fall!$1:$1048576,MATCH(All!$A473,Fall!$A:$A,FALSE),MATCH(All!M$1,Fall!$1:$1,FALSE))),"")</f>
        <v>1A</v>
      </c>
      <c r="O473">
        <f>IFERROR(IF(INDEX(Winter!$1:$1048576,MATCH(All!$A473,Winter!$A:$A,FALSE),MATCH(All!O$1,Winter!$1:$1,FALSE))="","",INDEX(Winter!$1:$1048576,MATCH(All!$A473,Winter!$A:$A,FALSE),MATCH(All!O$1,Winter!$1:$1,FALSE))),"")</f>
        <v>291</v>
      </c>
      <c r="P473" t="str">
        <f>IFERROR(IF(INDEX(Winter!$1:$1048576,MATCH(All!$A473,Winter!$A:$A,FALSE),MATCH(All!P$1,Winter!$1:$1,FALSE))="","",INDEX(Winter!$1:$1048576,MATCH(All!$A473,Winter!$A:$A,FALSE),MATCH(All!P$1,Winter!$1:$1,FALSE))),"")</f>
        <v>1A</v>
      </c>
      <c r="Q473" t="str">
        <f>IFERROR(IF(INDEX(Winter!$1:$1048576,MATCH(All!$A473,Winter!$A:$A,FALSE),MATCH(All!Q$1,Winter!$1:$1,FALSE))="","",INDEX(Winter!$1:$1048576,MATCH(All!$A473,Winter!$A:$A,FALSE),MATCH(All!Q$1,Winter!$1:$1,FALSE))),"")</f>
        <v>1A</v>
      </c>
      <c r="R473" t="str">
        <f>IFERROR(IF(INDEX(Winter!$1:$1048576,MATCH(All!$A473,Winter!$A:$A,FALSE),MATCH(All!R$1,Winter!$1:$1,FALSE))="","",INDEX(Winter!$1:$1048576,MATCH(All!$A473,Winter!$A:$A,FALSE),MATCH(All!R$1,Winter!$1:$1,FALSE))),"")</f>
        <v/>
      </c>
      <c r="S473" t="str">
        <f>IFERROR(IF(INDEX(Winter!$1:$1048576,MATCH(All!$A473,Winter!$A:$A,FALSE),MATCH(All!S$1,Winter!$1:$1,FALSE))="","",INDEX(Winter!$1:$1048576,MATCH(All!$A473,Winter!$A:$A,FALSE),MATCH(All!S$1,Winter!$1:$1,FALSE))),"")</f>
        <v/>
      </c>
      <c r="T473" t="str">
        <f>IFERROR(IF(INDEX(Winter!$1:$1048576,MATCH(All!$A473,Winter!$A:$A,FALSE),MATCH(All!T$1,Winter!$1:$1,FALSE))="","",INDEX(Winter!$1:$1048576,MATCH(All!$A473,Winter!$A:$A,FALSE),MATCH(All!T$1,Winter!$1:$1,FALSE))),"")</f>
        <v>1A</v>
      </c>
      <c r="U473" t="str">
        <f>IFERROR(IF(INDEX(Winter!$1:$1048576,MATCH(All!$A473,Winter!$A:$A,FALSE),MATCH(All!U$1,Winter!$1:$1,FALSE))="","",INDEX(Winter!$1:$1048576,MATCH(All!$A473,Winter!$A:$A,FALSE),MATCH(All!U$1,Winter!$1:$1,FALSE))),"")</f>
        <v>1A</v>
      </c>
      <c r="W473">
        <f>IFERROR(IF(INDEX(Spring!$1:$1048576,MATCH(All!$A473,Spring!$A:$A,FALSE),MATCH(All!W$1,Spring!$1:$1,FALSE))="","",INDEX(Spring!$1:$1048576,MATCH(All!$A473,Spring!$A:$A,FALSE),MATCH(All!W$1,Spring!$1:$1,FALSE))),"")</f>
        <v>291</v>
      </c>
      <c r="X473" t="str">
        <f>IFERROR(IF(INDEX(Spring!$1:$1048576,MATCH(All!$A473,Spring!$A:$A,FALSE),MATCH(All!X$1,Spring!$1:$1,FALSE))="","",INDEX(Spring!$1:$1048576,MATCH(All!$A473,Spring!$A:$A,FALSE),MATCH(All!X$1,Spring!$1:$1,FALSE))),"")</f>
        <v>1A</v>
      </c>
      <c r="Y473" t="str">
        <f>IFERROR(IF(INDEX(Spring!$1:$1048576,MATCH(All!$A473,Spring!$A:$A,FALSE),MATCH(All!Y$1,Spring!$1:$1,FALSE))="","",INDEX(Spring!$1:$1048576,MATCH(All!$A473,Spring!$A:$A,FALSE),MATCH(All!Y$1,Spring!$1:$1,FALSE))),"")</f>
        <v>1A</v>
      </c>
      <c r="Z473" t="str">
        <f>IFERROR(IF(INDEX(Spring!$1:$1048576,MATCH(All!$A473,Spring!$A:$A,FALSE),MATCH(All!Z$1,Spring!$1:$1,FALSE))="","",INDEX(Spring!$1:$1048576,MATCH(All!$A473,Spring!$A:$A,FALSE),MATCH(All!Z$1,Spring!$1:$1,FALSE))),"")</f>
        <v/>
      </c>
      <c r="AA473" t="str">
        <f>IFERROR(IF(INDEX(Spring!$1:$1048576,MATCH(All!$A473,Spring!$A:$A,FALSE),MATCH(All!AA$1,Spring!$1:$1,FALSE))="","",INDEX(Spring!$1:$1048576,MATCH(All!$A473,Spring!$A:$A,FALSE),MATCH(All!AA$1,Spring!$1:$1,FALSE))),"")</f>
        <v/>
      </c>
      <c r="AB473" t="str">
        <f>IFERROR(IF(INDEX(Spring!$1:$1048576,MATCH(All!$A473,Spring!$A:$A,FALSE),MATCH(All!AB$1,Spring!$1:$1,FALSE))="","",INDEX(Spring!$1:$1048576,MATCH(All!$A473,Spring!$A:$A,FALSE),MATCH(All!AB$1,Spring!$1:$1,FALSE))),"")</f>
        <v>1A</v>
      </c>
      <c r="AC473" t="str">
        <f>IFERROR(IF(INDEX(Spring!$1:$1048576,MATCH(All!$A473,Spring!$A:$A,FALSE),MATCH(All!AC$1,Spring!$1:$1,FALSE))="","",INDEX(Spring!$1:$1048576,MATCH(All!$A473,Spring!$A:$A,FALSE),MATCH(All!AC$1,Spring!$1:$1,FALSE))),"")</f>
        <v>1A</v>
      </c>
      <c r="AD473" t="str">
        <f>IFERROR(VLOOKUP(A473,'Flag Football'!A:A,1,FALSE),"")</f>
        <v/>
      </c>
      <c r="AE473" t="str">
        <f t="shared" si="7"/>
        <v/>
      </c>
    </row>
    <row r="474" spans="1:31" ht="15.75" thickBot="1" x14ac:dyDescent="0.3">
      <c r="A474" s="18" t="s">
        <v>564</v>
      </c>
      <c r="B474" s="38">
        <f>IFERROR(VLOOKUP(A474,'Public v Private'!A:G,3,FALSE),"")</f>
        <v>0</v>
      </c>
      <c r="C474" s="38">
        <f>IFERROR(VLOOKUP(A474,'Public v Private'!A:G,4,FALSE),"")</f>
        <v>0</v>
      </c>
      <c r="D474" s="38">
        <f>IFERROR(VLOOKUP(A474,'Public v Private'!A:G,5,FALSE),"")</f>
        <v>0</v>
      </c>
      <c r="E474" s="38"/>
      <c r="F474" s="40">
        <f>IFERROR(INDEX(Fall!$1:$1048576,MATCH(All!$A474,Fall!$A:$A,FALSE),MATCH(All!F$1,Fall!$1:$1,FALSE)),"N/A")</f>
        <v>610</v>
      </c>
      <c r="G474" t="str">
        <f>IFERROR(IF(INDEX(Fall!$1:$1048576,MATCH(All!$A474,Fall!$A:$A,FALSE),MATCH(All!G$1,Fall!$1:$1,FALSE))="","",INDEX(Fall!$1:$1048576,MATCH(All!$A474,Fall!$A:$A,FALSE),MATCH(All!G$1,Fall!$1:$1,FALSE))),"")</f>
        <v>2A</v>
      </c>
      <c r="H474" t="str">
        <f>IFERROR(IF(INDEX(Fall!$1:$1048576,MATCH(All!$A474,Fall!$A:$A,FALSE),MATCH(All!H$1,Fall!$1:$1,FALSE))="","",INDEX(Fall!$1:$1048576,MATCH(All!$A474,Fall!$A:$A,FALSE),MATCH(All!H$1,Fall!$1:$1,FALSE))),"")</f>
        <v>2A</v>
      </c>
      <c r="I474" t="str">
        <f>IFERROR(IF(INDEX(Fall!$1:$1048576,MATCH(All!$A474,Fall!$A:$A,FALSE),MATCH(All!I$1,Fall!$1:$1,FALSE))="","",INDEX(Fall!$1:$1048576,MATCH(All!$A474,Fall!$A:$A,FALSE),MATCH(All!I$1,Fall!$1:$1,FALSE))),"")</f>
        <v>2A</v>
      </c>
      <c r="J474" t="str">
        <f>IFERROR(IF(INDEX(Fall!$1:$1048576,MATCH(All!$A474,Fall!$A:$A,FALSE),MATCH(All!J$1,Fall!$1:$1,FALSE))="","",INDEX(Fall!$1:$1048576,MATCH(All!$A474,Fall!$A:$A,FALSE),MATCH(All!J$1,Fall!$1:$1,FALSE))),"")</f>
        <v>1A</v>
      </c>
      <c r="K474" t="str">
        <f>IFERROR(IF(INDEX(Fall!$1:$1048576,MATCH(All!$A474,Fall!$A:$A,FALSE),MATCH(All!K$1,Fall!$1:$1,FALSE))="","",INDEX(Fall!$1:$1048576,MATCH(All!$A474,Fall!$A:$A,FALSE),MATCH(All!K$1,Fall!$1:$1,FALSE))),"")</f>
        <v>1A</v>
      </c>
      <c r="L474" t="str">
        <f>IFERROR(IF(INDEX(Fall!$1:$1048576,MATCH(All!$A474,Fall!$A:$A,FALSE),MATCH(All!L$1,Fall!$1:$1,FALSE))="","",INDEX(Fall!$1:$1048576,MATCH(All!$A474,Fall!$A:$A,FALSE),MATCH(All!L$1,Fall!$1:$1,FALSE))),"")</f>
        <v>1A</v>
      </c>
      <c r="M474" t="str">
        <f>IFERROR(IF(INDEX(Fall!$1:$1048576,MATCH(All!$A474,Fall!$A:$A,FALSE),MATCH(All!M$1,Fall!$1:$1,FALSE))="","",INDEX(Fall!$1:$1048576,MATCH(All!$A474,Fall!$A:$A,FALSE),MATCH(All!M$1,Fall!$1:$1,FALSE))),"")</f>
        <v>2A</v>
      </c>
      <c r="O474">
        <f>IFERROR(IF(INDEX(Winter!$1:$1048576,MATCH(All!$A474,Winter!$A:$A,FALSE),MATCH(All!O$1,Winter!$1:$1,FALSE))="","",INDEX(Winter!$1:$1048576,MATCH(All!$A474,Winter!$A:$A,FALSE),MATCH(All!O$1,Winter!$1:$1,FALSE))),"")</f>
        <v>610</v>
      </c>
      <c r="P474" t="str">
        <f>IFERROR(IF(INDEX(Winter!$1:$1048576,MATCH(All!$A474,Winter!$A:$A,FALSE),MATCH(All!P$1,Winter!$1:$1,FALSE))="","",INDEX(Winter!$1:$1048576,MATCH(All!$A474,Winter!$A:$A,FALSE),MATCH(All!P$1,Winter!$1:$1,FALSE))),"")</f>
        <v>2A</v>
      </c>
      <c r="Q474" t="str">
        <f>IFERROR(IF(INDEX(Winter!$1:$1048576,MATCH(All!$A474,Winter!$A:$A,FALSE),MATCH(All!Q$1,Winter!$1:$1,FALSE))="","",INDEX(Winter!$1:$1048576,MATCH(All!$A474,Winter!$A:$A,FALSE),MATCH(All!Q$1,Winter!$1:$1,FALSE))),"")</f>
        <v>2A</v>
      </c>
      <c r="R474" t="str">
        <f>IFERROR(IF(INDEX(Winter!$1:$1048576,MATCH(All!$A474,Winter!$A:$A,FALSE),MATCH(All!R$1,Winter!$1:$1,FALSE))="","",INDEX(Winter!$1:$1048576,MATCH(All!$A474,Winter!$A:$A,FALSE),MATCH(All!R$1,Winter!$1:$1,FALSE))),"")</f>
        <v>1A</v>
      </c>
      <c r="S474" t="str">
        <f>IFERROR(IF(INDEX(Winter!$1:$1048576,MATCH(All!$A474,Winter!$A:$A,FALSE),MATCH(All!S$1,Winter!$1:$1,FALSE))="","",INDEX(Winter!$1:$1048576,MATCH(All!$A474,Winter!$A:$A,FALSE),MATCH(All!S$1,Winter!$1:$1,FALSE))),"")</f>
        <v>1A</v>
      </c>
      <c r="T474" t="str">
        <f>IFERROR(IF(INDEX(Winter!$1:$1048576,MATCH(All!$A474,Winter!$A:$A,FALSE),MATCH(All!T$1,Winter!$1:$1,FALSE))="","",INDEX(Winter!$1:$1048576,MATCH(All!$A474,Winter!$A:$A,FALSE),MATCH(All!T$1,Winter!$1:$1,FALSE))),"")</f>
        <v>2A</v>
      </c>
      <c r="U474" t="str">
        <f>IFERROR(IF(INDEX(Winter!$1:$1048576,MATCH(All!$A474,Winter!$A:$A,FALSE),MATCH(All!U$1,Winter!$1:$1,FALSE))="","",INDEX(Winter!$1:$1048576,MATCH(All!$A474,Winter!$A:$A,FALSE),MATCH(All!U$1,Winter!$1:$1,FALSE))),"")</f>
        <v>1A</v>
      </c>
      <c r="W474">
        <f>IFERROR(IF(INDEX(Spring!$1:$1048576,MATCH(All!$A474,Spring!$A:$A,FALSE),MATCH(All!W$1,Spring!$1:$1,FALSE))="","",INDEX(Spring!$1:$1048576,MATCH(All!$A474,Spring!$A:$A,FALSE),MATCH(All!W$1,Spring!$1:$1,FALSE))),"")</f>
        <v>610</v>
      </c>
      <c r="X474" t="str">
        <f>IFERROR(IF(INDEX(Spring!$1:$1048576,MATCH(All!$A474,Spring!$A:$A,FALSE),MATCH(All!X$1,Spring!$1:$1,FALSE))="","",INDEX(Spring!$1:$1048576,MATCH(All!$A474,Spring!$A:$A,FALSE),MATCH(All!X$1,Spring!$1:$1,FALSE))),"")</f>
        <v>2A</v>
      </c>
      <c r="Y474" t="str">
        <f>IFERROR(IF(INDEX(Spring!$1:$1048576,MATCH(All!$A474,Spring!$A:$A,FALSE),MATCH(All!Y$1,Spring!$1:$1,FALSE))="","",INDEX(Spring!$1:$1048576,MATCH(All!$A474,Spring!$A:$A,FALSE),MATCH(All!Y$1,Spring!$1:$1,FALSE))),"")</f>
        <v>2A</v>
      </c>
      <c r="Z474" t="str">
        <f>IFERROR(IF(INDEX(Spring!$1:$1048576,MATCH(All!$A474,Spring!$A:$A,FALSE),MATCH(All!Z$1,Spring!$1:$1,FALSE))="","",INDEX(Spring!$1:$1048576,MATCH(All!$A474,Spring!$A:$A,FALSE),MATCH(All!Z$1,Spring!$1:$1,FALSE))),"")</f>
        <v>1A</v>
      </c>
      <c r="AA474" t="str">
        <f>IFERROR(IF(INDEX(Spring!$1:$1048576,MATCH(All!$A474,Spring!$A:$A,FALSE),MATCH(All!AA$1,Spring!$1:$1,FALSE))="","",INDEX(Spring!$1:$1048576,MATCH(All!$A474,Spring!$A:$A,FALSE),MATCH(All!AA$1,Spring!$1:$1,FALSE))),"")</f>
        <v>1A</v>
      </c>
      <c r="AB474" t="str">
        <f>IFERROR(IF(INDEX(Spring!$1:$1048576,MATCH(All!$A474,Spring!$A:$A,FALSE),MATCH(All!AB$1,Spring!$1:$1,FALSE))="","",INDEX(Spring!$1:$1048576,MATCH(All!$A474,Spring!$A:$A,FALSE),MATCH(All!AB$1,Spring!$1:$1,FALSE))),"")</f>
        <v>2A</v>
      </c>
      <c r="AC474" t="str">
        <f>IFERROR(IF(INDEX(Spring!$1:$1048576,MATCH(All!$A474,Spring!$A:$A,FALSE),MATCH(All!AC$1,Spring!$1:$1,FALSE))="","",INDEX(Spring!$1:$1048576,MATCH(All!$A474,Spring!$A:$A,FALSE),MATCH(All!AC$1,Spring!$1:$1,FALSE))),"")</f>
        <v>2A</v>
      </c>
      <c r="AD474" t="str">
        <f>IFERROR(VLOOKUP(A474,'Flag Football'!A:A,1,FALSE),"")</f>
        <v/>
      </c>
      <c r="AE474" t="str">
        <f t="shared" si="7"/>
        <v/>
      </c>
    </row>
    <row r="475" spans="1:31" ht="15.75" thickBot="1" x14ac:dyDescent="0.3">
      <c r="A475" s="20" t="s">
        <v>565</v>
      </c>
      <c r="B475" s="38">
        <f>IFERROR(VLOOKUP(A475,'Public v Private'!A:G,3,FALSE),"")</f>
        <v>0</v>
      </c>
      <c r="C475" s="38">
        <f>IFERROR(VLOOKUP(A475,'Public v Private'!A:G,4,FALSE),"")</f>
        <v>0</v>
      </c>
      <c r="D475" s="38">
        <f>IFERROR(VLOOKUP(A475,'Public v Private'!A:G,5,FALSE),"")</f>
        <v>0</v>
      </c>
      <c r="E475" s="38"/>
      <c r="F475" s="40">
        <f>IFERROR(INDEX(Fall!$1:$1048576,MATCH(All!$A475,Fall!$A:$A,FALSE),MATCH(All!F$1,Fall!$1:$1,FALSE)),"N/A")</f>
        <v>268</v>
      </c>
      <c r="G475" t="str">
        <f>IFERROR(IF(INDEX(Fall!$1:$1048576,MATCH(All!$A475,Fall!$A:$A,FALSE),MATCH(All!G$1,Fall!$1:$1,FALSE))="","",INDEX(Fall!$1:$1048576,MATCH(All!$A475,Fall!$A:$A,FALSE),MATCH(All!G$1,Fall!$1:$1,FALSE))),"")</f>
        <v/>
      </c>
      <c r="H475" t="str">
        <f>IFERROR(IF(INDEX(Fall!$1:$1048576,MATCH(All!$A475,Fall!$A:$A,FALSE),MATCH(All!H$1,Fall!$1:$1,FALSE))="","",INDEX(Fall!$1:$1048576,MATCH(All!$A475,Fall!$A:$A,FALSE),MATCH(All!H$1,Fall!$1:$1,FALSE))),"")</f>
        <v/>
      </c>
      <c r="I475" t="str">
        <f>IFERROR(IF(INDEX(Fall!$1:$1048576,MATCH(All!$A475,Fall!$A:$A,FALSE),MATCH(All!I$1,Fall!$1:$1,FALSE))="","",INDEX(Fall!$1:$1048576,MATCH(All!$A475,Fall!$A:$A,FALSE),MATCH(All!I$1,Fall!$1:$1,FALSE))),"")</f>
        <v>1A</v>
      </c>
      <c r="J475" t="str">
        <f>IFERROR(IF(INDEX(Fall!$1:$1048576,MATCH(All!$A475,Fall!$A:$A,FALSE),MATCH(All!J$1,Fall!$1:$1,FALSE))="","",INDEX(Fall!$1:$1048576,MATCH(All!$A475,Fall!$A:$A,FALSE),MATCH(All!J$1,Fall!$1:$1,FALSE))),"")</f>
        <v>1A</v>
      </c>
      <c r="K475" t="str">
        <f>IFERROR(IF(INDEX(Fall!$1:$1048576,MATCH(All!$A475,Fall!$A:$A,FALSE),MATCH(All!K$1,Fall!$1:$1,FALSE))="","",INDEX(Fall!$1:$1048576,MATCH(All!$A475,Fall!$A:$A,FALSE),MATCH(All!K$1,Fall!$1:$1,FALSE))),"")</f>
        <v>1A</v>
      </c>
      <c r="L475" t="str">
        <f>IFERROR(IF(INDEX(Fall!$1:$1048576,MATCH(All!$A475,Fall!$A:$A,FALSE),MATCH(All!L$1,Fall!$1:$1,FALSE))="","",INDEX(Fall!$1:$1048576,MATCH(All!$A475,Fall!$A:$A,FALSE),MATCH(All!L$1,Fall!$1:$1,FALSE))),"")</f>
        <v/>
      </c>
      <c r="M475" t="str">
        <f>IFERROR(IF(INDEX(Fall!$1:$1048576,MATCH(All!$A475,Fall!$A:$A,FALSE),MATCH(All!M$1,Fall!$1:$1,FALSE))="","",INDEX(Fall!$1:$1048576,MATCH(All!$A475,Fall!$A:$A,FALSE),MATCH(All!M$1,Fall!$1:$1,FALSE))),"")</f>
        <v>1A</v>
      </c>
      <c r="O475">
        <f>IFERROR(IF(INDEX(Winter!$1:$1048576,MATCH(All!$A475,Winter!$A:$A,FALSE),MATCH(All!O$1,Winter!$1:$1,FALSE))="","",INDEX(Winter!$1:$1048576,MATCH(All!$A475,Winter!$A:$A,FALSE),MATCH(All!O$1,Winter!$1:$1,FALSE))),"")</f>
        <v>268</v>
      </c>
      <c r="P475" t="str">
        <f>IFERROR(IF(INDEX(Winter!$1:$1048576,MATCH(All!$A475,Winter!$A:$A,FALSE),MATCH(All!P$1,Winter!$1:$1,FALSE))="","",INDEX(Winter!$1:$1048576,MATCH(All!$A475,Winter!$A:$A,FALSE),MATCH(All!P$1,Winter!$1:$1,FALSE))),"")</f>
        <v>1A</v>
      </c>
      <c r="Q475" t="str">
        <f>IFERROR(IF(INDEX(Winter!$1:$1048576,MATCH(All!$A475,Winter!$A:$A,FALSE),MATCH(All!Q$1,Winter!$1:$1,FALSE))="","",INDEX(Winter!$1:$1048576,MATCH(All!$A475,Winter!$A:$A,FALSE),MATCH(All!Q$1,Winter!$1:$1,FALSE))),"")</f>
        <v>1A</v>
      </c>
      <c r="R475" t="str">
        <f>IFERROR(IF(INDEX(Winter!$1:$1048576,MATCH(All!$A475,Winter!$A:$A,FALSE),MATCH(All!R$1,Winter!$1:$1,FALSE))="","",INDEX(Winter!$1:$1048576,MATCH(All!$A475,Winter!$A:$A,FALSE),MATCH(All!R$1,Winter!$1:$1,FALSE))),"")</f>
        <v/>
      </c>
      <c r="S475" t="str">
        <f>IFERROR(IF(INDEX(Winter!$1:$1048576,MATCH(All!$A475,Winter!$A:$A,FALSE),MATCH(All!S$1,Winter!$1:$1,FALSE))="","",INDEX(Winter!$1:$1048576,MATCH(All!$A475,Winter!$A:$A,FALSE),MATCH(All!S$1,Winter!$1:$1,FALSE))),"")</f>
        <v/>
      </c>
      <c r="T475" t="str">
        <f>IFERROR(IF(INDEX(Winter!$1:$1048576,MATCH(All!$A475,Winter!$A:$A,FALSE),MATCH(All!T$1,Winter!$1:$1,FALSE))="","",INDEX(Winter!$1:$1048576,MATCH(All!$A475,Winter!$A:$A,FALSE),MATCH(All!T$1,Winter!$1:$1,FALSE))),"")</f>
        <v>1A</v>
      </c>
      <c r="U475" t="str">
        <f>IFERROR(IF(INDEX(Winter!$1:$1048576,MATCH(All!$A475,Winter!$A:$A,FALSE),MATCH(All!U$1,Winter!$1:$1,FALSE))="","",INDEX(Winter!$1:$1048576,MATCH(All!$A475,Winter!$A:$A,FALSE),MATCH(All!U$1,Winter!$1:$1,FALSE))),"")</f>
        <v>1A</v>
      </c>
      <c r="W475">
        <f>IFERROR(IF(INDEX(Spring!$1:$1048576,MATCH(All!$A475,Spring!$A:$A,FALSE),MATCH(All!W$1,Spring!$1:$1,FALSE))="","",INDEX(Spring!$1:$1048576,MATCH(All!$A475,Spring!$A:$A,FALSE),MATCH(All!W$1,Spring!$1:$1,FALSE))),"")</f>
        <v>268</v>
      </c>
      <c r="X475" t="str">
        <f>IFERROR(IF(INDEX(Spring!$1:$1048576,MATCH(All!$A475,Spring!$A:$A,FALSE),MATCH(All!X$1,Spring!$1:$1,FALSE))="","",INDEX(Spring!$1:$1048576,MATCH(All!$A475,Spring!$A:$A,FALSE),MATCH(All!X$1,Spring!$1:$1,FALSE))),"")</f>
        <v>1A</v>
      </c>
      <c r="Y475" t="str">
        <f>IFERROR(IF(INDEX(Spring!$1:$1048576,MATCH(All!$A475,Spring!$A:$A,FALSE),MATCH(All!Y$1,Spring!$1:$1,FALSE))="","",INDEX(Spring!$1:$1048576,MATCH(All!$A475,Spring!$A:$A,FALSE),MATCH(All!Y$1,Spring!$1:$1,FALSE))),"")</f>
        <v>1A</v>
      </c>
      <c r="Z475" t="str">
        <f>IFERROR(IF(INDEX(Spring!$1:$1048576,MATCH(All!$A475,Spring!$A:$A,FALSE),MATCH(All!Z$1,Spring!$1:$1,FALSE))="","",INDEX(Spring!$1:$1048576,MATCH(All!$A475,Spring!$A:$A,FALSE),MATCH(All!Z$1,Spring!$1:$1,FALSE))),"")</f>
        <v>1A</v>
      </c>
      <c r="AA475" t="str">
        <f>IFERROR(IF(INDEX(Spring!$1:$1048576,MATCH(All!$A475,Spring!$A:$A,FALSE),MATCH(All!AA$1,Spring!$1:$1,FALSE))="","",INDEX(Spring!$1:$1048576,MATCH(All!$A475,Spring!$A:$A,FALSE),MATCH(All!AA$1,Spring!$1:$1,FALSE))),"")</f>
        <v/>
      </c>
      <c r="AB475" t="str">
        <f>IFERROR(IF(INDEX(Spring!$1:$1048576,MATCH(All!$A475,Spring!$A:$A,FALSE),MATCH(All!AB$1,Spring!$1:$1,FALSE))="","",INDEX(Spring!$1:$1048576,MATCH(All!$A475,Spring!$A:$A,FALSE),MATCH(All!AB$1,Spring!$1:$1,FALSE))),"")</f>
        <v>1A</v>
      </c>
      <c r="AC475" t="str">
        <f>IFERROR(IF(INDEX(Spring!$1:$1048576,MATCH(All!$A475,Spring!$A:$A,FALSE),MATCH(All!AC$1,Spring!$1:$1,FALSE))="","",INDEX(Spring!$1:$1048576,MATCH(All!$A475,Spring!$A:$A,FALSE),MATCH(All!AC$1,Spring!$1:$1,FALSE))),"")</f>
        <v>1A</v>
      </c>
      <c r="AD475" t="str">
        <f>IFERROR(VLOOKUP(A475,'Flag Football'!A:A,1,FALSE),"")</f>
        <v/>
      </c>
      <c r="AE475" t="str">
        <f t="shared" si="7"/>
        <v/>
      </c>
    </row>
    <row r="476" spans="1:31" ht="15.75" thickBot="1" x14ac:dyDescent="0.3">
      <c r="A476" s="18" t="s">
        <v>566</v>
      </c>
      <c r="B476" s="38">
        <f>IFERROR(VLOOKUP(A476,'Public v Private'!A:G,3,FALSE),"")</f>
        <v>0</v>
      </c>
      <c r="C476" s="38">
        <f>IFERROR(VLOOKUP(A476,'Public v Private'!A:G,4,FALSE),"")</f>
        <v>0</v>
      </c>
      <c r="D476" s="38">
        <f>IFERROR(VLOOKUP(A476,'Public v Private'!A:G,5,FALSE),"")</f>
        <v>0</v>
      </c>
      <c r="E476" s="38"/>
      <c r="F476" s="40">
        <f>IFERROR(INDEX(Fall!$1:$1048576,MATCH(All!$A476,Fall!$A:$A,FALSE),MATCH(All!F$1,Fall!$1:$1,FALSE)),"N/A")</f>
        <v>135</v>
      </c>
      <c r="G476" t="str">
        <f>IFERROR(IF(INDEX(Fall!$1:$1048576,MATCH(All!$A476,Fall!$A:$A,FALSE),MATCH(All!G$1,Fall!$1:$1,FALSE))="","",INDEX(Fall!$1:$1048576,MATCH(All!$A476,Fall!$A:$A,FALSE),MATCH(All!G$1,Fall!$1:$1,FALSE))),"")</f>
        <v>1A</v>
      </c>
      <c r="H476" t="str">
        <f>IFERROR(IF(INDEX(Fall!$1:$1048576,MATCH(All!$A476,Fall!$A:$A,FALSE),MATCH(All!H$1,Fall!$1:$1,FALSE))="","",INDEX(Fall!$1:$1048576,MATCH(All!$A476,Fall!$A:$A,FALSE),MATCH(All!H$1,Fall!$1:$1,FALSE))),"")</f>
        <v/>
      </c>
      <c r="I476" t="str">
        <f>IFERROR(IF(INDEX(Fall!$1:$1048576,MATCH(All!$A476,Fall!$A:$A,FALSE),MATCH(All!I$1,Fall!$1:$1,FALSE))="","",INDEX(Fall!$1:$1048576,MATCH(All!$A476,Fall!$A:$A,FALSE),MATCH(All!I$1,Fall!$1:$1,FALSE))),"")</f>
        <v/>
      </c>
      <c r="J476" t="str">
        <f>IFERROR(IF(INDEX(Fall!$1:$1048576,MATCH(All!$A476,Fall!$A:$A,FALSE),MATCH(All!J$1,Fall!$1:$1,FALSE))="","",INDEX(Fall!$1:$1048576,MATCH(All!$A476,Fall!$A:$A,FALSE),MATCH(All!J$1,Fall!$1:$1,FALSE))),"")</f>
        <v/>
      </c>
      <c r="K476" t="str">
        <f>IFERROR(IF(INDEX(Fall!$1:$1048576,MATCH(All!$A476,Fall!$A:$A,FALSE),MATCH(All!K$1,Fall!$1:$1,FALSE))="","",INDEX(Fall!$1:$1048576,MATCH(All!$A476,Fall!$A:$A,FALSE),MATCH(All!K$1,Fall!$1:$1,FALSE))),"")</f>
        <v/>
      </c>
      <c r="L476" t="str">
        <f>IFERROR(IF(INDEX(Fall!$1:$1048576,MATCH(All!$A476,Fall!$A:$A,FALSE),MATCH(All!L$1,Fall!$1:$1,FALSE))="","",INDEX(Fall!$1:$1048576,MATCH(All!$A476,Fall!$A:$A,FALSE),MATCH(All!L$1,Fall!$1:$1,FALSE))),"")</f>
        <v/>
      </c>
      <c r="M476" t="str">
        <f>IFERROR(IF(INDEX(Fall!$1:$1048576,MATCH(All!$A476,Fall!$A:$A,FALSE),MATCH(All!M$1,Fall!$1:$1,FALSE))="","",INDEX(Fall!$1:$1048576,MATCH(All!$A476,Fall!$A:$A,FALSE),MATCH(All!M$1,Fall!$1:$1,FALSE))),"")</f>
        <v>1A</v>
      </c>
      <c r="O476">
        <f>IFERROR(IF(INDEX(Winter!$1:$1048576,MATCH(All!$A476,Winter!$A:$A,FALSE),MATCH(All!O$1,Winter!$1:$1,FALSE))="","",INDEX(Winter!$1:$1048576,MATCH(All!$A476,Winter!$A:$A,FALSE),MATCH(All!O$1,Winter!$1:$1,FALSE))),"")</f>
        <v>135</v>
      </c>
      <c r="P476" t="str">
        <f>IFERROR(IF(INDEX(Winter!$1:$1048576,MATCH(All!$A476,Winter!$A:$A,FALSE),MATCH(All!P$1,Winter!$1:$1,FALSE))="","",INDEX(Winter!$1:$1048576,MATCH(All!$A476,Winter!$A:$A,FALSE),MATCH(All!P$1,Winter!$1:$1,FALSE))),"")</f>
        <v>1A</v>
      </c>
      <c r="Q476" t="str">
        <f>IFERROR(IF(INDEX(Winter!$1:$1048576,MATCH(All!$A476,Winter!$A:$A,FALSE),MATCH(All!Q$1,Winter!$1:$1,FALSE))="","",INDEX(Winter!$1:$1048576,MATCH(All!$A476,Winter!$A:$A,FALSE),MATCH(All!Q$1,Winter!$1:$1,FALSE))),"")</f>
        <v>1A</v>
      </c>
      <c r="R476" t="str">
        <f>IFERROR(IF(INDEX(Winter!$1:$1048576,MATCH(All!$A476,Winter!$A:$A,FALSE),MATCH(All!R$1,Winter!$1:$1,FALSE))="","",INDEX(Winter!$1:$1048576,MATCH(All!$A476,Winter!$A:$A,FALSE),MATCH(All!R$1,Winter!$1:$1,FALSE))),"")</f>
        <v/>
      </c>
      <c r="S476" t="str">
        <f>IFERROR(IF(INDEX(Winter!$1:$1048576,MATCH(All!$A476,Winter!$A:$A,FALSE),MATCH(All!S$1,Winter!$1:$1,FALSE))="","",INDEX(Winter!$1:$1048576,MATCH(All!$A476,Winter!$A:$A,FALSE),MATCH(All!S$1,Winter!$1:$1,FALSE))),"")</f>
        <v/>
      </c>
      <c r="T476" t="str">
        <f>IFERROR(IF(INDEX(Winter!$1:$1048576,MATCH(All!$A476,Winter!$A:$A,FALSE),MATCH(All!T$1,Winter!$1:$1,FALSE))="","",INDEX(Winter!$1:$1048576,MATCH(All!$A476,Winter!$A:$A,FALSE),MATCH(All!T$1,Winter!$1:$1,FALSE))),"")</f>
        <v>1A</v>
      </c>
      <c r="U476" t="str">
        <f>IFERROR(IF(INDEX(Winter!$1:$1048576,MATCH(All!$A476,Winter!$A:$A,FALSE),MATCH(All!U$1,Winter!$1:$1,FALSE))="","",INDEX(Winter!$1:$1048576,MATCH(All!$A476,Winter!$A:$A,FALSE),MATCH(All!U$1,Winter!$1:$1,FALSE))),"")</f>
        <v/>
      </c>
      <c r="W476">
        <f>IFERROR(IF(INDEX(Spring!$1:$1048576,MATCH(All!$A476,Spring!$A:$A,FALSE),MATCH(All!W$1,Spring!$1:$1,FALSE))="","",INDEX(Spring!$1:$1048576,MATCH(All!$A476,Spring!$A:$A,FALSE),MATCH(All!W$1,Spring!$1:$1,FALSE))),"")</f>
        <v>135</v>
      </c>
      <c r="X476" t="str">
        <f>IFERROR(IF(INDEX(Spring!$1:$1048576,MATCH(All!$A476,Spring!$A:$A,FALSE),MATCH(All!X$1,Spring!$1:$1,FALSE))="","",INDEX(Spring!$1:$1048576,MATCH(All!$A476,Spring!$A:$A,FALSE),MATCH(All!X$1,Spring!$1:$1,FALSE))),"")</f>
        <v/>
      </c>
      <c r="Y476" t="str">
        <f>IFERROR(IF(INDEX(Spring!$1:$1048576,MATCH(All!$A476,Spring!$A:$A,FALSE),MATCH(All!Y$1,Spring!$1:$1,FALSE))="","",INDEX(Spring!$1:$1048576,MATCH(All!$A476,Spring!$A:$A,FALSE),MATCH(All!Y$1,Spring!$1:$1,FALSE))),"")</f>
        <v/>
      </c>
      <c r="Z476" t="str">
        <f>IFERROR(IF(INDEX(Spring!$1:$1048576,MATCH(All!$A476,Spring!$A:$A,FALSE),MATCH(All!Z$1,Spring!$1:$1,FALSE))="","",INDEX(Spring!$1:$1048576,MATCH(All!$A476,Spring!$A:$A,FALSE),MATCH(All!Z$1,Spring!$1:$1,FALSE))),"")</f>
        <v/>
      </c>
      <c r="AA476" t="str">
        <f>IFERROR(IF(INDEX(Spring!$1:$1048576,MATCH(All!$A476,Spring!$A:$A,FALSE),MATCH(All!AA$1,Spring!$1:$1,FALSE))="","",INDEX(Spring!$1:$1048576,MATCH(All!$A476,Spring!$A:$A,FALSE),MATCH(All!AA$1,Spring!$1:$1,FALSE))),"")</f>
        <v/>
      </c>
      <c r="AB476" t="str">
        <f>IFERROR(IF(INDEX(Spring!$1:$1048576,MATCH(All!$A476,Spring!$A:$A,FALSE),MATCH(All!AB$1,Spring!$1:$1,FALSE))="","",INDEX(Spring!$1:$1048576,MATCH(All!$A476,Spring!$A:$A,FALSE),MATCH(All!AB$1,Spring!$1:$1,FALSE))),"")</f>
        <v>1A</v>
      </c>
      <c r="AC476" t="str">
        <f>IFERROR(IF(INDEX(Spring!$1:$1048576,MATCH(All!$A476,Spring!$A:$A,FALSE),MATCH(All!AC$1,Spring!$1:$1,FALSE))="","",INDEX(Spring!$1:$1048576,MATCH(All!$A476,Spring!$A:$A,FALSE),MATCH(All!AC$1,Spring!$1:$1,FALSE))),"")</f>
        <v>1A</v>
      </c>
      <c r="AD476" t="str">
        <f>IFERROR(VLOOKUP(A476,'Flag Football'!A:A,1,FALSE),"")</f>
        <v/>
      </c>
      <c r="AE476" t="str">
        <f t="shared" si="7"/>
        <v/>
      </c>
    </row>
    <row r="477" spans="1:31" ht="15.75" thickBot="1" x14ac:dyDescent="0.3">
      <c r="A477" s="20" t="s">
        <v>567</v>
      </c>
      <c r="B477" s="38">
        <f>IFERROR(VLOOKUP(A477,'Public v Private'!A:G,3,FALSE),"")</f>
        <v>0</v>
      </c>
      <c r="C477" s="38">
        <f>IFERROR(VLOOKUP(A477,'Public v Private'!A:G,4,FALSE),"")</f>
        <v>0</v>
      </c>
      <c r="D477" s="38">
        <f>IFERROR(VLOOKUP(A477,'Public v Private'!A:G,5,FALSE),"")</f>
        <v>0</v>
      </c>
      <c r="E477" s="38"/>
      <c r="F477" s="40">
        <f>IFERROR(INDEX(Fall!$1:$1048576,MATCH(All!$A477,Fall!$A:$A,FALSE),MATCH(All!F$1,Fall!$1:$1,FALSE)),"N/A")</f>
        <v>1043</v>
      </c>
      <c r="G477" t="str">
        <f>IFERROR(IF(INDEX(Fall!$1:$1048576,MATCH(All!$A477,Fall!$A:$A,FALSE),MATCH(All!G$1,Fall!$1:$1,FALSE))="","",INDEX(Fall!$1:$1048576,MATCH(All!$A477,Fall!$A:$A,FALSE),MATCH(All!G$1,Fall!$1:$1,FALSE))),"")</f>
        <v>2A</v>
      </c>
      <c r="H477" t="str">
        <f>IFERROR(IF(INDEX(Fall!$1:$1048576,MATCH(All!$A477,Fall!$A:$A,FALSE),MATCH(All!H$1,Fall!$1:$1,FALSE))="","",INDEX(Fall!$1:$1048576,MATCH(All!$A477,Fall!$A:$A,FALSE),MATCH(All!H$1,Fall!$1:$1,FALSE))),"")</f>
        <v>2A</v>
      </c>
      <c r="I477" t="str">
        <f>IFERROR(IF(INDEX(Fall!$1:$1048576,MATCH(All!$A477,Fall!$A:$A,FALSE),MATCH(All!I$1,Fall!$1:$1,FALSE))="","",INDEX(Fall!$1:$1048576,MATCH(All!$A477,Fall!$A:$A,FALSE),MATCH(All!I$1,Fall!$1:$1,FALSE))),"")</f>
        <v>2A</v>
      </c>
      <c r="J477" t="str">
        <f>IFERROR(IF(INDEX(Fall!$1:$1048576,MATCH(All!$A477,Fall!$A:$A,FALSE),MATCH(All!J$1,Fall!$1:$1,FALSE))="","",INDEX(Fall!$1:$1048576,MATCH(All!$A477,Fall!$A:$A,FALSE),MATCH(All!J$1,Fall!$1:$1,FALSE))),"")</f>
        <v>2A</v>
      </c>
      <c r="K477" t="str">
        <f>IFERROR(IF(INDEX(Fall!$1:$1048576,MATCH(All!$A477,Fall!$A:$A,FALSE),MATCH(All!K$1,Fall!$1:$1,FALSE))="","",INDEX(Fall!$1:$1048576,MATCH(All!$A477,Fall!$A:$A,FALSE),MATCH(All!K$1,Fall!$1:$1,FALSE))),"")</f>
        <v>2A</v>
      </c>
      <c r="L477" t="str">
        <f>IFERROR(IF(INDEX(Fall!$1:$1048576,MATCH(All!$A477,Fall!$A:$A,FALSE),MATCH(All!L$1,Fall!$1:$1,FALSE))="","",INDEX(Fall!$1:$1048576,MATCH(All!$A477,Fall!$A:$A,FALSE),MATCH(All!L$1,Fall!$1:$1,FALSE))),"")</f>
        <v>1A</v>
      </c>
      <c r="M477" t="str">
        <f>IFERROR(IF(INDEX(Fall!$1:$1048576,MATCH(All!$A477,Fall!$A:$A,FALSE),MATCH(All!M$1,Fall!$1:$1,FALSE))="","",INDEX(Fall!$1:$1048576,MATCH(All!$A477,Fall!$A:$A,FALSE),MATCH(All!M$1,Fall!$1:$1,FALSE))),"")</f>
        <v>3A</v>
      </c>
      <c r="O477">
        <f>IFERROR(IF(INDEX(Winter!$1:$1048576,MATCH(All!$A477,Winter!$A:$A,FALSE),MATCH(All!O$1,Winter!$1:$1,FALSE))="","",INDEX(Winter!$1:$1048576,MATCH(All!$A477,Winter!$A:$A,FALSE),MATCH(All!O$1,Winter!$1:$1,FALSE))),"")</f>
        <v>1043</v>
      </c>
      <c r="P477" t="str">
        <f>IFERROR(IF(INDEX(Winter!$1:$1048576,MATCH(All!$A477,Winter!$A:$A,FALSE),MATCH(All!P$1,Winter!$1:$1,FALSE))="","",INDEX(Winter!$1:$1048576,MATCH(All!$A477,Winter!$A:$A,FALSE),MATCH(All!P$1,Winter!$1:$1,FALSE))),"")</f>
        <v>3A</v>
      </c>
      <c r="Q477" t="str">
        <f>IFERROR(IF(INDEX(Winter!$1:$1048576,MATCH(All!$A477,Winter!$A:$A,FALSE),MATCH(All!Q$1,Winter!$1:$1,FALSE))="","",INDEX(Winter!$1:$1048576,MATCH(All!$A477,Winter!$A:$A,FALSE),MATCH(All!Q$1,Winter!$1:$1,FALSE))),"")</f>
        <v>3A</v>
      </c>
      <c r="R477" t="str">
        <f>IFERROR(IF(INDEX(Winter!$1:$1048576,MATCH(All!$A477,Winter!$A:$A,FALSE),MATCH(All!R$1,Winter!$1:$1,FALSE))="","",INDEX(Winter!$1:$1048576,MATCH(All!$A477,Winter!$A:$A,FALSE),MATCH(All!R$1,Winter!$1:$1,FALSE))),"")</f>
        <v/>
      </c>
      <c r="S477" t="str">
        <f>IFERROR(IF(INDEX(Winter!$1:$1048576,MATCH(All!$A477,Winter!$A:$A,FALSE),MATCH(All!S$1,Winter!$1:$1,FALSE))="","",INDEX(Winter!$1:$1048576,MATCH(All!$A477,Winter!$A:$A,FALSE),MATCH(All!S$1,Winter!$1:$1,FALSE))),"")</f>
        <v>1A</v>
      </c>
      <c r="T477" t="str">
        <f>IFERROR(IF(INDEX(Winter!$1:$1048576,MATCH(All!$A477,Winter!$A:$A,FALSE),MATCH(All!T$1,Winter!$1:$1,FALSE))="","",INDEX(Winter!$1:$1048576,MATCH(All!$A477,Winter!$A:$A,FALSE),MATCH(All!T$1,Winter!$1:$1,FALSE))),"")</f>
        <v>2A</v>
      </c>
      <c r="U477" t="str">
        <f>IFERROR(IF(INDEX(Winter!$1:$1048576,MATCH(All!$A477,Winter!$A:$A,FALSE),MATCH(All!U$1,Winter!$1:$1,FALSE))="","",INDEX(Winter!$1:$1048576,MATCH(All!$A477,Winter!$A:$A,FALSE),MATCH(All!U$1,Winter!$1:$1,FALSE))),"")</f>
        <v>2A</v>
      </c>
      <c r="W477">
        <f>IFERROR(IF(INDEX(Spring!$1:$1048576,MATCH(All!$A477,Spring!$A:$A,FALSE),MATCH(All!W$1,Spring!$1:$1,FALSE))="","",INDEX(Spring!$1:$1048576,MATCH(All!$A477,Spring!$A:$A,FALSE),MATCH(All!W$1,Spring!$1:$1,FALSE))),"")</f>
        <v>1043</v>
      </c>
      <c r="X477" t="str">
        <f>IFERROR(IF(INDEX(Spring!$1:$1048576,MATCH(All!$A477,Spring!$A:$A,FALSE),MATCH(All!X$1,Spring!$1:$1,FALSE))="","",INDEX(Spring!$1:$1048576,MATCH(All!$A477,Spring!$A:$A,FALSE),MATCH(All!X$1,Spring!$1:$1,FALSE))),"")</f>
        <v>3A</v>
      </c>
      <c r="Y477" t="str">
        <f>IFERROR(IF(INDEX(Spring!$1:$1048576,MATCH(All!$A477,Spring!$A:$A,FALSE),MATCH(All!Y$1,Spring!$1:$1,FALSE))="","",INDEX(Spring!$1:$1048576,MATCH(All!$A477,Spring!$A:$A,FALSE),MATCH(All!Y$1,Spring!$1:$1,FALSE))),"")</f>
        <v>3A</v>
      </c>
      <c r="Z477" t="str">
        <f>IFERROR(IF(INDEX(Spring!$1:$1048576,MATCH(All!$A477,Spring!$A:$A,FALSE),MATCH(All!Z$1,Spring!$1:$1,FALSE))="","",INDEX(Spring!$1:$1048576,MATCH(All!$A477,Spring!$A:$A,FALSE),MATCH(All!Z$1,Spring!$1:$1,FALSE))),"")</f>
        <v>2A</v>
      </c>
      <c r="AA477" t="str">
        <f>IFERROR(IF(INDEX(Spring!$1:$1048576,MATCH(All!$A477,Spring!$A:$A,FALSE),MATCH(All!AA$1,Spring!$1:$1,FALSE))="","",INDEX(Spring!$1:$1048576,MATCH(All!$A477,Spring!$A:$A,FALSE),MATCH(All!AA$1,Spring!$1:$1,FALSE))),"")</f>
        <v>1A</v>
      </c>
      <c r="AB477" t="str">
        <f>IFERROR(IF(INDEX(Spring!$1:$1048576,MATCH(All!$A477,Spring!$A:$A,FALSE),MATCH(All!AB$1,Spring!$1:$1,FALSE))="","",INDEX(Spring!$1:$1048576,MATCH(All!$A477,Spring!$A:$A,FALSE),MATCH(All!AB$1,Spring!$1:$1,FALSE))),"")</f>
        <v>2A</v>
      </c>
      <c r="AC477" t="str">
        <f>IFERROR(IF(INDEX(Spring!$1:$1048576,MATCH(All!$A477,Spring!$A:$A,FALSE),MATCH(All!AC$1,Spring!$1:$1,FALSE))="","",INDEX(Spring!$1:$1048576,MATCH(All!$A477,Spring!$A:$A,FALSE),MATCH(All!AC$1,Spring!$1:$1,FALSE))),"")</f>
        <v>2A</v>
      </c>
      <c r="AD477" t="str">
        <f>IFERROR(VLOOKUP(A477,'Flag Football'!A:A,1,FALSE),"")</f>
        <v>Mahomet (M.-Seymour)</v>
      </c>
      <c r="AE477" t="str">
        <f t="shared" si="7"/>
        <v>1A</v>
      </c>
    </row>
    <row r="478" spans="1:31" ht="15.75" thickBot="1" x14ac:dyDescent="0.3">
      <c r="A478" s="18" t="s">
        <v>568</v>
      </c>
      <c r="B478" s="38">
        <f>IFERROR(VLOOKUP(A478,'Public v Private'!A:G,3,FALSE),"")</f>
        <v>0</v>
      </c>
      <c r="C478" s="38">
        <f>IFERROR(VLOOKUP(A478,'Public v Private'!A:G,4,FALSE),"")</f>
        <v>0</v>
      </c>
      <c r="D478" s="38">
        <f>IFERROR(VLOOKUP(A478,'Public v Private'!A:G,5,FALSE),"")</f>
        <v>0</v>
      </c>
      <c r="E478" s="38"/>
      <c r="F478" s="40">
        <f>IFERROR(INDEX(Fall!$1:$1048576,MATCH(All!$A478,Fall!$A:$A,FALSE),MATCH(All!F$1,Fall!$1:$1,FALSE)),"N/A")</f>
        <v>232</v>
      </c>
      <c r="G478" t="str">
        <f>IFERROR(IF(INDEX(Fall!$1:$1048576,MATCH(All!$A478,Fall!$A:$A,FALSE),MATCH(All!G$1,Fall!$1:$1,FALSE))="","",INDEX(Fall!$1:$1048576,MATCH(All!$A478,Fall!$A:$A,FALSE),MATCH(All!G$1,Fall!$1:$1,FALSE))),"")</f>
        <v>1A</v>
      </c>
      <c r="H478" t="str">
        <f>IFERROR(IF(INDEX(Fall!$1:$1048576,MATCH(All!$A478,Fall!$A:$A,FALSE),MATCH(All!H$1,Fall!$1:$1,FALSE))="","",INDEX(Fall!$1:$1048576,MATCH(All!$A478,Fall!$A:$A,FALSE),MATCH(All!H$1,Fall!$1:$1,FALSE))),"")</f>
        <v>1A</v>
      </c>
      <c r="I478" t="str">
        <f>IFERROR(IF(INDEX(Fall!$1:$1048576,MATCH(All!$A478,Fall!$A:$A,FALSE),MATCH(All!I$1,Fall!$1:$1,FALSE))="","",INDEX(Fall!$1:$1048576,MATCH(All!$A478,Fall!$A:$A,FALSE),MATCH(All!I$1,Fall!$1:$1,FALSE))),"")</f>
        <v>1A</v>
      </c>
      <c r="J478" t="str">
        <f>IFERROR(IF(INDEX(Fall!$1:$1048576,MATCH(All!$A478,Fall!$A:$A,FALSE),MATCH(All!J$1,Fall!$1:$1,FALSE))="","",INDEX(Fall!$1:$1048576,MATCH(All!$A478,Fall!$A:$A,FALSE),MATCH(All!J$1,Fall!$1:$1,FALSE))),"")</f>
        <v/>
      </c>
      <c r="K478" t="str">
        <f>IFERROR(IF(INDEX(Fall!$1:$1048576,MATCH(All!$A478,Fall!$A:$A,FALSE),MATCH(All!K$1,Fall!$1:$1,FALSE))="","",INDEX(Fall!$1:$1048576,MATCH(All!$A478,Fall!$A:$A,FALSE),MATCH(All!K$1,Fall!$1:$1,FALSE))),"")</f>
        <v/>
      </c>
      <c r="L478" t="str">
        <f>IFERROR(IF(INDEX(Fall!$1:$1048576,MATCH(All!$A478,Fall!$A:$A,FALSE),MATCH(All!L$1,Fall!$1:$1,FALSE))="","",INDEX(Fall!$1:$1048576,MATCH(All!$A478,Fall!$A:$A,FALSE),MATCH(All!L$1,Fall!$1:$1,FALSE))),"")</f>
        <v/>
      </c>
      <c r="M478" t="str">
        <f>IFERROR(IF(INDEX(Fall!$1:$1048576,MATCH(All!$A478,Fall!$A:$A,FALSE),MATCH(All!M$1,Fall!$1:$1,FALSE))="","",INDEX(Fall!$1:$1048576,MATCH(All!$A478,Fall!$A:$A,FALSE),MATCH(All!M$1,Fall!$1:$1,FALSE))),"")</f>
        <v>1A</v>
      </c>
      <c r="O478">
        <f>IFERROR(IF(INDEX(Winter!$1:$1048576,MATCH(All!$A478,Winter!$A:$A,FALSE),MATCH(All!O$1,Winter!$1:$1,FALSE))="","",INDEX(Winter!$1:$1048576,MATCH(All!$A478,Winter!$A:$A,FALSE),MATCH(All!O$1,Winter!$1:$1,FALSE))),"")</f>
        <v>232</v>
      </c>
      <c r="P478" t="str">
        <f>IFERROR(IF(INDEX(Winter!$1:$1048576,MATCH(All!$A478,Winter!$A:$A,FALSE),MATCH(All!P$1,Winter!$1:$1,FALSE))="","",INDEX(Winter!$1:$1048576,MATCH(All!$A478,Winter!$A:$A,FALSE),MATCH(All!P$1,Winter!$1:$1,FALSE))),"")</f>
        <v>1A</v>
      </c>
      <c r="Q478" t="str">
        <f>IFERROR(IF(INDEX(Winter!$1:$1048576,MATCH(All!$A478,Winter!$A:$A,FALSE),MATCH(All!Q$1,Winter!$1:$1,FALSE))="","",INDEX(Winter!$1:$1048576,MATCH(All!$A478,Winter!$A:$A,FALSE),MATCH(All!Q$1,Winter!$1:$1,FALSE))),"")</f>
        <v>1A</v>
      </c>
      <c r="R478" t="str">
        <f>IFERROR(IF(INDEX(Winter!$1:$1048576,MATCH(All!$A478,Winter!$A:$A,FALSE),MATCH(All!R$1,Winter!$1:$1,FALSE))="","",INDEX(Winter!$1:$1048576,MATCH(All!$A478,Winter!$A:$A,FALSE),MATCH(All!R$1,Winter!$1:$1,FALSE))),"")</f>
        <v/>
      </c>
      <c r="S478" t="str">
        <f>IFERROR(IF(INDEX(Winter!$1:$1048576,MATCH(All!$A478,Winter!$A:$A,FALSE),MATCH(All!S$1,Winter!$1:$1,FALSE))="","",INDEX(Winter!$1:$1048576,MATCH(All!$A478,Winter!$A:$A,FALSE),MATCH(All!S$1,Winter!$1:$1,FALSE))),"")</f>
        <v/>
      </c>
      <c r="T478" t="str">
        <f>IFERROR(IF(INDEX(Winter!$1:$1048576,MATCH(All!$A478,Winter!$A:$A,FALSE),MATCH(All!T$1,Winter!$1:$1,FALSE))="","",INDEX(Winter!$1:$1048576,MATCH(All!$A478,Winter!$A:$A,FALSE),MATCH(All!T$1,Winter!$1:$1,FALSE))),"")</f>
        <v>1A</v>
      </c>
      <c r="U478" t="str">
        <f>IFERROR(IF(INDEX(Winter!$1:$1048576,MATCH(All!$A478,Winter!$A:$A,FALSE),MATCH(All!U$1,Winter!$1:$1,FALSE))="","",INDEX(Winter!$1:$1048576,MATCH(All!$A478,Winter!$A:$A,FALSE),MATCH(All!U$1,Winter!$1:$1,FALSE))),"")</f>
        <v>1A</v>
      </c>
      <c r="W478">
        <f>IFERROR(IF(INDEX(Spring!$1:$1048576,MATCH(All!$A478,Spring!$A:$A,FALSE),MATCH(All!W$1,Spring!$1:$1,FALSE))="","",INDEX(Spring!$1:$1048576,MATCH(All!$A478,Spring!$A:$A,FALSE),MATCH(All!W$1,Spring!$1:$1,FALSE))),"")</f>
        <v>232</v>
      </c>
      <c r="X478" t="str">
        <f>IFERROR(IF(INDEX(Spring!$1:$1048576,MATCH(All!$A478,Spring!$A:$A,FALSE),MATCH(All!X$1,Spring!$1:$1,FALSE))="","",INDEX(Spring!$1:$1048576,MATCH(All!$A478,Spring!$A:$A,FALSE),MATCH(All!X$1,Spring!$1:$1,FALSE))),"")</f>
        <v>1A</v>
      </c>
      <c r="Y478" t="str">
        <f>IFERROR(IF(INDEX(Spring!$1:$1048576,MATCH(All!$A478,Spring!$A:$A,FALSE),MATCH(All!Y$1,Spring!$1:$1,FALSE))="","",INDEX(Spring!$1:$1048576,MATCH(All!$A478,Spring!$A:$A,FALSE),MATCH(All!Y$1,Spring!$1:$1,FALSE))),"")</f>
        <v>1A</v>
      </c>
      <c r="Z478" t="str">
        <f>IFERROR(IF(INDEX(Spring!$1:$1048576,MATCH(All!$A478,Spring!$A:$A,FALSE),MATCH(All!Z$1,Spring!$1:$1,FALSE))="","",INDEX(Spring!$1:$1048576,MATCH(All!$A478,Spring!$A:$A,FALSE),MATCH(All!Z$1,Spring!$1:$1,FALSE))),"")</f>
        <v/>
      </c>
      <c r="AA478" t="str">
        <f>IFERROR(IF(INDEX(Spring!$1:$1048576,MATCH(All!$A478,Spring!$A:$A,FALSE),MATCH(All!AA$1,Spring!$1:$1,FALSE))="","",INDEX(Spring!$1:$1048576,MATCH(All!$A478,Spring!$A:$A,FALSE),MATCH(All!AA$1,Spring!$1:$1,FALSE))),"")</f>
        <v/>
      </c>
      <c r="AB478" t="str">
        <f>IFERROR(IF(INDEX(Spring!$1:$1048576,MATCH(All!$A478,Spring!$A:$A,FALSE),MATCH(All!AB$1,Spring!$1:$1,FALSE))="","",INDEX(Spring!$1:$1048576,MATCH(All!$A478,Spring!$A:$A,FALSE),MATCH(All!AB$1,Spring!$1:$1,FALSE))),"")</f>
        <v>1A</v>
      </c>
      <c r="AC478" t="str">
        <f>IFERROR(IF(INDEX(Spring!$1:$1048576,MATCH(All!$A478,Spring!$A:$A,FALSE),MATCH(All!AC$1,Spring!$1:$1,FALSE))="","",INDEX(Spring!$1:$1048576,MATCH(All!$A478,Spring!$A:$A,FALSE),MATCH(All!AC$1,Spring!$1:$1,FALSE))),"")</f>
        <v>1A</v>
      </c>
      <c r="AD478" t="str">
        <f>IFERROR(VLOOKUP(A478,'Flag Football'!A:A,1,FALSE),"")</f>
        <v/>
      </c>
      <c r="AE478" t="str">
        <f t="shared" si="7"/>
        <v/>
      </c>
    </row>
    <row r="479" spans="1:31" ht="15.75" thickBot="1" x14ac:dyDescent="0.3">
      <c r="A479" s="20" t="s">
        <v>569</v>
      </c>
      <c r="B479" s="38">
        <f>IFERROR(VLOOKUP(A479,'Public v Private'!A:G,3,FALSE),"")</f>
        <v>0</v>
      </c>
      <c r="C479" s="38">
        <f>IFERROR(VLOOKUP(A479,'Public v Private'!A:G,4,FALSE),"")</f>
        <v>0</v>
      </c>
      <c r="D479" s="38">
        <f>IFERROR(VLOOKUP(A479,'Public v Private'!A:G,5,FALSE),"")</f>
        <v>0</v>
      </c>
      <c r="E479" s="38"/>
      <c r="F479" s="40">
        <f>IFERROR(INDEX(Fall!$1:$1048576,MATCH(All!$A479,Fall!$A:$A,FALSE),MATCH(All!F$1,Fall!$1:$1,FALSE)),"N/A")</f>
        <v>281</v>
      </c>
      <c r="G479" t="str">
        <f>IFERROR(IF(INDEX(Fall!$1:$1048576,MATCH(All!$A479,Fall!$A:$A,FALSE),MATCH(All!G$1,Fall!$1:$1,FALSE))="","",INDEX(Fall!$1:$1048576,MATCH(All!$A479,Fall!$A:$A,FALSE),MATCH(All!G$1,Fall!$1:$1,FALSE))),"")</f>
        <v>1A</v>
      </c>
      <c r="H479" t="str">
        <f>IFERROR(IF(INDEX(Fall!$1:$1048576,MATCH(All!$A479,Fall!$A:$A,FALSE),MATCH(All!H$1,Fall!$1:$1,FALSE))="","",INDEX(Fall!$1:$1048576,MATCH(All!$A479,Fall!$A:$A,FALSE),MATCH(All!H$1,Fall!$1:$1,FALSE))),"")</f>
        <v>1A</v>
      </c>
      <c r="I479" t="str">
        <f>IFERROR(IF(INDEX(Fall!$1:$1048576,MATCH(All!$A479,Fall!$A:$A,FALSE),MATCH(All!I$1,Fall!$1:$1,FALSE))="","",INDEX(Fall!$1:$1048576,MATCH(All!$A479,Fall!$A:$A,FALSE),MATCH(All!I$1,Fall!$1:$1,FALSE))),"")</f>
        <v>1A</v>
      </c>
      <c r="J479" t="str">
        <f>IFERROR(IF(INDEX(Fall!$1:$1048576,MATCH(All!$A479,Fall!$A:$A,FALSE),MATCH(All!J$1,Fall!$1:$1,FALSE))="","",INDEX(Fall!$1:$1048576,MATCH(All!$A479,Fall!$A:$A,FALSE),MATCH(All!J$1,Fall!$1:$1,FALSE))),"")</f>
        <v>1A</v>
      </c>
      <c r="K479" t="str">
        <f>IFERROR(IF(INDEX(Fall!$1:$1048576,MATCH(All!$A479,Fall!$A:$A,FALSE),MATCH(All!K$1,Fall!$1:$1,FALSE))="","",INDEX(Fall!$1:$1048576,MATCH(All!$A479,Fall!$A:$A,FALSE),MATCH(All!K$1,Fall!$1:$1,FALSE))),"")</f>
        <v/>
      </c>
      <c r="L479" t="str">
        <f>IFERROR(IF(INDEX(Fall!$1:$1048576,MATCH(All!$A479,Fall!$A:$A,FALSE),MATCH(All!L$1,Fall!$1:$1,FALSE))="","",INDEX(Fall!$1:$1048576,MATCH(All!$A479,Fall!$A:$A,FALSE),MATCH(All!L$1,Fall!$1:$1,FALSE))),"")</f>
        <v/>
      </c>
      <c r="M479" t="str">
        <f>IFERROR(IF(INDEX(Fall!$1:$1048576,MATCH(All!$A479,Fall!$A:$A,FALSE),MATCH(All!M$1,Fall!$1:$1,FALSE))="","",INDEX(Fall!$1:$1048576,MATCH(All!$A479,Fall!$A:$A,FALSE),MATCH(All!M$1,Fall!$1:$1,FALSE))),"")</f>
        <v>1A</v>
      </c>
      <c r="O479">
        <f>IFERROR(IF(INDEX(Winter!$1:$1048576,MATCH(All!$A479,Winter!$A:$A,FALSE),MATCH(All!O$1,Winter!$1:$1,FALSE))="","",INDEX(Winter!$1:$1048576,MATCH(All!$A479,Winter!$A:$A,FALSE),MATCH(All!O$1,Winter!$1:$1,FALSE))),"")</f>
        <v>281</v>
      </c>
      <c r="P479" t="str">
        <f>IFERROR(IF(INDEX(Winter!$1:$1048576,MATCH(All!$A479,Winter!$A:$A,FALSE),MATCH(All!P$1,Winter!$1:$1,FALSE))="","",INDEX(Winter!$1:$1048576,MATCH(All!$A479,Winter!$A:$A,FALSE),MATCH(All!P$1,Winter!$1:$1,FALSE))),"")</f>
        <v>1A</v>
      </c>
      <c r="Q479" t="str">
        <f>IFERROR(IF(INDEX(Winter!$1:$1048576,MATCH(All!$A479,Winter!$A:$A,FALSE),MATCH(All!Q$1,Winter!$1:$1,FALSE))="","",INDEX(Winter!$1:$1048576,MATCH(All!$A479,Winter!$A:$A,FALSE),MATCH(All!Q$1,Winter!$1:$1,FALSE))),"")</f>
        <v>1A</v>
      </c>
      <c r="R479" t="str">
        <f>IFERROR(IF(INDEX(Winter!$1:$1048576,MATCH(All!$A479,Winter!$A:$A,FALSE),MATCH(All!R$1,Winter!$1:$1,FALSE))="","",INDEX(Winter!$1:$1048576,MATCH(All!$A479,Winter!$A:$A,FALSE),MATCH(All!R$1,Winter!$1:$1,FALSE))),"")</f>
        <v/>
      </c>
      <c r="S479" t="str">
        <f>IFERROR(IF(INDEX(Winter!$1:$1048576,MATCH(All!$A479,Winter!$A:$A,FALSE),MATCH(All!S$1,Winter!$1:$1,FALSE))="","",INDEX(Winter!$1:$1048576,MATCH(All!$A479,Winter!$A:$A,FALSE),MATCH(All!S$1,Winter!$1:$1,FALSE))),"")</f>
        <v/>
      </c>
      <c r="T479" t="str">
        <f>IFERROR(IF(INDEX(Winter!$1:$1048576,MATCH(All!$A479,Winter!$A:$A,FALSE),MATCH(All!T$1,Winter!$1:$1,FALSE))="","",INDEX(Winter!$1:$1048576,MATCH(All!$A479,Winter!$A:$A,FALSE),MATCH(All!T$1,Winter!$1:$1,FALSE))),"")</f>
        <v>1A</v>
      </c>
      <c r="U479" t="str">
        <f>IFERROR(IF(INDEX(Winter!$1:$1048576,MATCH(All!$A479,Winter!$A:$A,FALSE),MATCH(All!U$1,Winter!$1:$1,FALSE))="","",INDEX(Winter!$1:$1048576,MATCH(All!$A479,Winter!$A:$A,FALSE),MATCH(All!U$1,Winter!$1:$1,FALSE))),"")</f>
        <v/>
      </c>
      <c r="W479">
        <f>IFERROR(IF(INDEX(Spring!$1:$1048576,MATCH(All!$A479,Spring!$A:$A,FALSE),MATCH(All!W$1,Spring!$1:$1,FALSE))="","",INDEX(Spring!$1:$1048576,MATCH(All!$A479,Spring!$A:$A,FALSE),MATCH(All!W$1,Spring!$1:$1,FALSE))),"")</f>
        <v>281</v>
      </c>
      <c r="X479" t="str">
        <f>IFERROR(IF(INDEX(Spring!$1:$1048576,MATCH(All!$A479,Spring!$A:$A,FALSE),MATCH(All!X$1,Spring!$1:$1,FALSE))="","",INDEX(Spring!$1:$1048576,MATCH(All!$A479,Spring!$A:$A,FALSE),MATCH(All!X$1,Spring!$1:$1,FALSE))),"")</f>
        <v>1A</v>
      </c>
      <c r="Y479" t="str">
        <f>IFERROR(IF(INDEX(Spring!$1:$1048576,MATCH(All!$A479,Spring!$A:$A,FALSE),MATCH(All!Y$1,Spring!$1:$1,FALSE))="","",INDEX(Spring!$1:$1048576,MATCH(All!$A479,Spring!$A:$A,FALSE),MATCH(All!Y$1,Spring!$1:$1,FALSE))),"")</f>
        <v>1A</v>
      </c>
      <c r="Z479" t="str">
        <f>IFERROR(IF(INDEX(Spring!$1:$1048576,MATCH(All!$A479,Spring!$A:$A,FALSE),MATCH(All!Z$1,Spring!$1:$1,FALSE))="","",INDEX(Spring!$1:$1048576,MATCH(All!$A479,Spring!$A:$A,FALSE),MATCH(All!Z$1,Spring!$1:$1,FALSE))),"")</f>
        <v/>
      </c>
      <c r="AA479" t="str">
        <f>IFERROR(IF(INDEX(Spring!$1:$1048576,MATCH(All!$A479,Spring!$A:$A,FALSE),MATCH(All!AA$1,Spring!$1:$1,FALSE))="","",INDEX(Spring!$1:$1048576,MATCH(All!$A479,Spring!$A:$A,FALSE),MATCH(All!AA$1,Spring!$1:$1,FALSE))),"")</f>
        <v/>
      </c>
      <c r="AB479" t="str">
        <f>IFERROR(IF(INDEX(Spring!$1:$1048576,MATCH(All!$A479,Spring!$A:$A,FALSE),MATCH(All!AB$1,Spring!$1:$1,FALSE))="","",INDEX(Spring!$1:$1048576,MATCH(All!$A479,Spring!$A:$A,FALSE),MATCH(All!AB$1,Spring!$1:$1,FALSE))),"")</f>
        <v>1A</v>
      </c>
      <c r="AC479" t="str">
        <f>IFERROR(IF(INDEX(Spring!$1:$1048576,MATCH(All!$A479,Spring!$A:$A,FALSE),MATCH(All!AC$1,Spring!$1:$1,FALSE))="","",INDEX(Spring!$1:$1048576,MATCH(All!$A479,Spring!$A:$A,FALSE),MATCH(All!AC$1,Spring!$1:$1,FALSE))),"")</f>
        <v>1A</v>
      </c>
      <c r="AD479" t="str">
        <f>IFERROR(VLOOKUP(A479,'Flag Football'!A:A,1,FALSE),"")</f>
        <v/>
      </c>
      <c r="AE479" t="str">
        <f t="shared" si="7"/>
        <v/>
      </c>
    </row>
    <row r="480" spans="1:31" ht="15.75" thickBot="1" x14ac:dyDescent="0.3">
      <c r="A480" s="18" t="s">
        <v>570</v>
      </c>
      <c r="B480" s="38">
        <f>IFERROR(VLOOKUP(A480,'Public v Private'!A:G,3,FALSE),"")</f>
        <v>0</v>
      </c>
      <c r="C480" s="38">
        <f>IFERROR(VLOOKUP(A480,'Public v Private'!A:G,4,FALSE),"")</f>
        <v>0</v>
      </c>
      <c r="D480" s="38">
        <f>IFERROR(VLOOKUP(A480,'Public v Private'!A:G,5,FALSE),"")</f>
        <v>0</v>
      </c>
      <c r="E480" s="38"/>
      <c r="F480" s="40">
        <f>IFERROR(INDEX(Fall!$1:$1048576,MATCH(All!$A480,Fall!$A:$A,FALSE),MATCH(All!F$1,Fall!$1:$1,FALSE)),"N/A")</f>
        <v>538</v>
      </c>
      <c r="G480" t="str">
        <f>IFERROR(IF(INDEX(Fall!$1:$1048576,MATCH(All!$A480,Fall!$A:$A,FALSE),MATCH(All!G$1,Fall!$1:$1,FALSE))="","",INDEX(Fall!$1:$1048576,MATCH(All!$A480,Fall!$A:$A,FALSE),MATCH(All!G$1,Fall!$1:$1,FALSE))),"")</f>
        <v>1A</v>
      </c>
      <c r="H480" t="str">
        <f>IFERROR(IF(INDEX(Fall!$1:$1048576,MATCH(All!$A480,Fall!$A:$A,FALSE),MATCH(All!H$1,Fall!$1:$1,FALSE))="","",INDEX(Fall!$1:$1048576,MATCH(All!$A480,Fall!$A:$A,FALSE),MATCH(All!H$1,Fall!$1:$1,FALSE))),"")</f>
        <v>1A</v>
      </c>
      <c r="I480" t="str">
        <f>IFERROR(IF(INDEX(Fall!$1:$1048576,MATCH(All!$A480,Fall!$A:$A,FALSE),MATCH(All!I$1,Fall!$1:$1,FALSE))="","",INDEX(Fall!$1:$1048576,MATCH(All!$A480,Fall!$A:$A,FALSE),MATCH(All!I$1,Fall!$1:$1,FALSE))),"")</f>
        <v>2A</v>
      </c>
      <c r="J480" t="str">
        <f>IFERROR(IF(INDEX(Fall!$1:$1048576,MATCH(All!$A480,Fall!$A:$A,FALSE),MATCH(All!J$1,Fall!$1:$1,FALSE))="","",INDEX(Fall!$1:$1048576,MATCH(All!$A480,Fall!$A:$A,FALSE),MATCH(All!J$1,Fall!$1:$1,FALSE))),"")</f>
        <v>1A</v>
      </c>
      <c r="K480" t="str">
        <f>IFERROR(IF(INDEX(Fall!$1:$1048576,MATCH(All!$A480,Fall!$A:$A,FALSE),MATCH(All!K$1,Fall!$1:$1,FALSE))="","",INDEX(Fall!$1:$1048576,MATCH(All!$A480,Fall!$A:$A,FALSE),MATCH(All!K$1,Fall!$1:$1,FALSE))),"")</f>
        <v>1A</v>
      </c>
      <c r="L480" t="str">
        <f>IFERROR(IF(INDEX(Fall!$1:$1048576,MATCH(All!$A480,Fall!$A:$A,FALSE),MATCH(All!L$1,Fall!$1:$1,FALSE))="","",INDEX(Fall!$1:$1048576,MATCH(All!$A480,Fall!$A:$A,FALSE),MATCH(All!L$1,Fall!$1:$1,FALSE))),"")</f>
        <v/>
      </c>
      <c r="M480" t="str">
        <f>IFERROR(IF(INDEX(Fall!$1:$1048576,MATCH(All!$A480,Fall!$A:$A,FALSE),MATCH(All!M$1,Fall!$1:$1,FALSE))="","",INDEX(Fall!$1:$1048576,MATCH(All!$A480,Fall!$A:$A,FALSE),MATCH(All!M$1,Fall!$1:$1,FALSE))),"")</f>
        <v>2A</v>
      </c>
      <c r="O480">
        <f>IFERROR(IF(INDEX(Winter!$1:$1048576,MATCH(All!$A480,Winter!$A:$A,FALSE),MATCH(All!O$1,Winter!$1:$1,FALSE))="","",INDEX(Winter!$1:$1048576,MATCH(All!$A480,Winter!$A:$A,FALSE),MATCH(All!O$1,Winter!$1:$1,FALSE))),"")</f>
        <v>538</v>
      </c>
      <c r="P480" t="str">
        <f>IFERROR(IF(INDEX(Winter!$1:$1048576,MATCH(All!$A480,Winter!$A:$A,FALSE),MATCH(All!P$1,Winter!$1:$1,FALSE))="","",INDEX(Winter!$1:$1048576,MATCH(All!$A480,Winter!$A:$A,FALSE),MATCH(All!P$1,Winter!$1:$1,FALSE))),"")</f>
        <v>2A</v>
      </c>
      <c r="Q480" t="str">
        <f>IFERROR(IF(INDEX(Winter!$1:$1048576,MATCH(All!$A480,Winter!$A:$A,FALSE),MATCH(All!Q$1,Winter!$1:$1,FALSE))="","",INDEX(Winter!$1:$1048576,MATCH(All!$A480,Winter!$A:$A,FALSE),MATCH(All!Q$1,Winter!$1:$1,FALSE))),"")</f>
        <v>2A</v>
      </c>
      <c r="R480" t="str">
        <f>IFERROR(IF(INDEX(Winter!$1:$1048576,MATCH(All!$A480,Winter!$A:$A,FALSE),MATCH(All!R$1,Winter!$1:$1,FALSE))="","",INDEX(Winter!$1:$1048576,MATCH(All!$A480,Winter!$A:$A,FALSE),MATCH(All!R$1,Winter!$1:$1,FALSE))),"")</f>
        <v>1A</v>
      </c>
      <c r="S480" t="str">
        <f>IFERROR(IF(INDEX(Winter!$1:$1048576,MATCH(All!$A480,Winter!$A:$A,FALSE),MATCH(All!S$1,Winter!$1:$1,FALSE))="","",INDEX(Winter!$1:$1048576,MATCH(All!$A480,Winter!$A:$A,FALSE),MATCH(All!S$1,Winter!$1:$1,FALSE))),"")</f>
        <v/>
      </c>
      <c r="T480" t="str">
        <f>IFERROR(IF(INDEX(Winter!$1:$1048576,MATCH(All!$A480,Winter!$A:$A,FALSE),MATCH(All!T$1,Winter!$1:$1,FALSE))="","",INDEX(Winter!$1:$1048576,MATCH(All!$A480,Winter!$A:$A,FALSE),MATCH(All!T$1,Winter!$1:$1,FALSE))),"")</f>
        <v>2A</v>
      </c>
      <c r="U480" t="str">
        <f>IFERROR(IF(INDEX(Winter!$1:$1048576,MATCH(All!$A480,Winter!$A:$A,FALSE),MATCH(All!U$1,Winter!$1:$1,FALSE))="","",INDEX(Winter!$1:$1048576,MATCH(All!$A480,Winter!$A:$A,FALSE),MATCH(All!U$1,Winter!$1:$1,FALSE))),"")</f>
        <v>1A</v>
      </c>
      <c r="W480">
        <f>IFERROR(IF(INDEX(Spring!$1:$1048576,MATCH(All!$A480,Spring!$A:$A,FALSE),MATCH(All!W$1,Spring!$1:$1,FALSE))="","",INDEX(Spring!$1:$1048576,MATCH(All!$A480,Spring!$A:$A,FALSE),MATCH(All!W$1,Spring!$1:$1,FALSE))),"")</f>
        <v>538</v>
      </c>
      <c r="X480" t="str">
        <f>IFERROR(IF(INDEX(Spring!$1:$1048576,MATCH(All!$A480,Spring!$A:$A,FALSE),MATCH(All!X$1,Spring!$1:$1,FALSE))="","",INDEX(Spring!$1:$1048576,MATCH(All!$A480,Spring!$A:$A,FALSE),MATCH(All!X$1,Spring!$1:$1,FALSE))),"")</f>
        <v>2A</v>
      </c>
      <c r="Y480" t="str">
        <f>IFERROR(IF(INDEX(Spring!$1:$1048576,MATCH(All!$A480,Spring!$A:$A,FALSE),MATCH(All!Y$1,Spring!$1:$1,FALSE))="","",INDEX(Spring!$1:$1048576,MATCH(All!$A480,Spring!$A:$A,FALSE),MATCH(All!Y$1,Spring!$1:$1,FALSE))),"")</f>
        <v>2A</v>
      </c>
      <c r="Z480" t="str">
        <f>IFERROR(IF(INDEX(Spring!$1:$1048576,MATCH(All!$A480,Spring!$A:$A,FALSE),MATCH(All!Z$1,Spring!$1:$1,FALSE))="","",INDEX(Spring!$1:$1048576,MATCH(All!$A480,Spring!$A:$A,FALSE),MATCH(All!Z$1,Spring!$1:$1,FALSE))),"")</f>
        <v>1A</v>
      </c>
      <c r="AA480" t="str">
        <f>IFERROR(IF(INDEX(Spring!$1:$1048576,MATCH(All!$A480,Spring!$A:$A,FALSE),MATCH(All!AA$1,Spring!$1:$1,FALSE))="","",INDEX(Spring!$1:$1048576,MATCH(All!$A480,Spring!$A:$A,FALSE),MATCH(All!AA$1,Spring!$1:$1,FALSE))),"")</f>
        <v/>
      </c>
      <c r="AB480" t="str">
        <f>IFERROR(IF(INDEX(Spring!$1:$1048576,MATCH(All!$A480,Spring!$A:$A,FALSE),MATCH(All!AB$1,Spring!$1:$1,FALSE))="","",INDEX(Spring!$1:$1048576,MATCH(All!$A480,Spring!$A:$A,FALSE),MATCH(All!AB$1,Spring!$1:$1,FALSE))),"")</f>
        <v>2A</v>
      </c>
      <c r="AC480" t="str">
        <f>IFERROR(IF(INDEX(Spring!$1:$1048576,MATCH(All!$A480,Spring!$A:$A,FALSE),MATCH(All!AC$1,Spring!$1:$1,FALSE))="","",INDEX(Spring!$1:$1048576,MATCH(All!$A480,Spring!$A:$A,FALSE),MATCH(All!AC$1,Spring!$1:$1,FALSE))),"")</f>
        <v>2A</v>
      </c>
      <c r="AD480" t="str">
        <f>IFERROR(VLOOKUP(A480,'Flag Football'!A:A,1,FALSE),"")</f>
        <v/>
      </c>
      <c r="AE480" t="str">
        <f t="shared" si="7"/>
        <v/>
      </c>
    </row>
    <row r="481" spans="1:31" ht="15.75" thickBot="1" x14ac:dyDescent="0.3">
      <c r="A481" s="20" t="s">
        <v>571</v>
      </c>
      <c r="B481" s="38">
        <f>IFERROR(VLOOKUP(A481,'Public v Private'!A:G,3,FALSE),"")</f>
        <v>0</v>
      </c>
      <c r="C481" s="38">
        <f>IFERROR(VLOOKUP(A481,'Public v Private'!A:G,4,FALSE),"")</f>
        <v>0</v>
      </c>
      <c r="D481" s="38">
        <f>IFERROR(VLOOKUP(A481,'Public v Private'!A:G,5,FALSE),"")</f>
        <v>0</v>
      </c>
      <c r="E481" s="38"/>
      <c r="F481" s="40">
        <f>IFERROR(INDEX(Fall!$1:$1048576,MATCH(All!$A481,Fall!$A:$A,FALSE),MATCH(All!F$1,Fall!$1:$1,FALSE)),"N/A")</f>
        <v>1170</v>
      </c>
      <c r="G481" t="str">
        <f>IFERROR(IF(INDEX(Fall!$1:$1048576,MATCH(All!$A481,Fall!$A:$A,FALSE),MATCH(All!G$1,Fall!$1:$1,FALSE))="","",INDEX(Fall!$1:$1048576,MATCH(All!$A481,Fall!$A:$A,FALSE),MATCH(All!G$1,Fall!$1:$1,FALSE))),"")</f>
        <v>2A</v>
      </c>
      <c r="H481" t="str">
        <f>IFERROR(IF(INDEX(Fall!$1:$1048576,MATCH(All!$A481,Fall!$A:$A,FALSE),MATCH(All!H$1,Fall!$1:$1,FALSE))="","",INDEX(Fall!$1:$1048576,MATCH(All!$A481,Fall!$A:$A,FALSE),MATCH(All!H$1,Fall!$1:$1,FALSE))),"")</f>
        <v>2A</v>
      </c>
      <c r="I481" t="str">
        <f>IFERROR(IF(INDEX(Fall!$1:$1048576,MATCH(All!$A481,Fall!$A:$A,FALSE),MATCH(All!I$1,Fall!$1:$1,FALSE))="","",INDEX(Fall!$1:$1048576,MATCH(All!$A481,Fall!$A:$A,FALSE),MATCH(All!I$1,Fall!$1:$1,FALSE))),"")</f>
        <v>2A</v>
      </c>
      <c r="J481" t="str">
        <f>IFERROR(IF(INDEX(Fall!$1:$1048576,MATCH(All!$A481,Fall!$A:$A,FALSE),MATCH(All!J$1,Fall!$1:$1,FALSE))="","",INDEX(Fall!$1:$1048576,MATCH(All!$A481,Fall!$A:$A,FALSE),MATCH(All!J$1,Fall!$1:$1,FALSE))),"")</f>
        <v>2A</v>
      </c>
      <c r="K481" t="str">
        <f>IFERROR(IF(INDEX(Fall!$1:$1048576,MATCH(All!$A481,Fall!$A:$A,FALSE),MATCH(All!K$1,Fall!$1:$1,FALSE))="","",INDEX(Fall!$1:$1048576,MATCH(All!$A481,Fall!$A:$A,FALSE),MATCH(All!K$1,Fall!$1:$1,FALSE))),"")</f>
        <v>2A</v>
      </c>
      <c r="L481" t="str">
        <f>IFERROR(IF(INDEX(Fall!$1:$1048576,MATCH(All!$A481,Fall!$A:$A,FALSE),MATCH(All!L$1,Fall!$1:$1,FALSE))="","",INDEX(Fall!$1:$1048576,MATCH(All!$A481,Fall!$A:$A,FALSE),MATCH(All!L$1,Fall!$1:$1,FALSE))),"")</f>
        <v>1A</v>
      </c>
      <c r="M481" t="str">
        <f>IFERROR(IF(INDEX(Fall!$1:$1048576,MATCH(All!$A481,Fall!$A:$A,FALSE),MATCH(All!M$1,Fall!$1:$1,FALSE))="","",INDEX(Fall!$1:$1048576,MATCH(All!$A481,Fall!$A:$A,FALSE),MATCH(All!M$1,Fall!$1:$1,FALSE))),"")</f>
        <v>3A</v>
      </c>
      <c r="O481">
        <f>IFERROR(IF(INDEX(Winter!$1:$1048576,MATCH(All!$A481,Winter!$A:$A,FALSE),MATCH(All!O$1,Winter!$1:$1,FALSE))="","",INDEX(Winter!$1:$1048576,MATCH(All!$A481,Winter!$A:$A,FALSE),MATCH(All!O$1,Winter!$1:$1,FALSE))),"")</f>
        <v>1170</v>
      </c>
      <c r="P481" t="str">
        <f>IFERROR(IF(INDEX(Winter!$1:$1048576,MATCH(All!$A481,Winter!$A:$A,FALSE),MATCH(All!P$1,Winter!$1:$1,FALSE))="","",INDEX(Winter!$1:$1048576,MATCH(All!$A481,Winter!$A:$A,FALSE),MATCH(All!P$1,Winter!$1:$1,FALSE))),"")</f>
        <v>3A</v>
      </c>
      <c r="Q481" t="str">
        <f>IFERROR(IF(INDEX(Winter!$1:$1048576,MATCH(All!$A481,Winter!$A:$A,FALSE),MATCH(All!Q$1,Winter!$1:$1,FALSE))="","",INDEX(Winter!$1:$1048576,MATCH(All!$A481,Winter!$A:$A,FALSE),MATCH(All!Q$1,Winter!$1:$1,FALSE))),"")</f>
        <v>3A</v>
      </c>
      <c r="R481" t="str">
        <f>IFERROR(IF(INDEX(Winter!$1:$1048576,MATCH(All!$A481,Winter!$A:$A,FALSE),MATCH(All!R$1,Winter!$1:$1,FALSE))="","",INDEX(Winter!$1:$1048576,MATCH(All!$A481,Winter!$A:$A,FALSE),MATCH(All!R$1,Winter!$1:$1,FALSE))),"")</f>
        <v>2A</v>
      </c>
      <c r="S481" t="str">
        <f>IFERROR(IF(INDEX(Winter!$1:$1048576,MATCH(All!$A481,Winter!$A:$A,FALSE),MATCH(All!S$1,Winter!$1:$1,FALSE))="","",INDEX(Winter!$1:$1048576,MATCH(All!$A481,Winter!$A:$A,FALSE),MATCH(All!S$1,Winter!$1:$1,FALSE))),"")</f>
        <v/>
      </c>
      <c r="T481" t="str">
        <f>IFERROR(IF(INDEX(Winter!$1:$1048576,MATCH(All!$A481,Winter!$A:$A,FALSE),MATCH(All!T$1,Winter!$1:$1,FALSE))="","",INDEX(Winter!$1:$1048576,MATCH(All!$A481,Winter!$A:$A,FALSE),MATCH(All!T$1,Winter!$1:$1,FALSE))),"")</f>
        <v>2A</v>
      </c>
      <c r="U481" t="str">
        <f>IFERROR(IF(INDEX(Winter!$1:$1048576,MATCH(All!$A481,Winter!$A:$A,FALSE),MATCH(All!U$1,Winter!$1:$1,FALSE))="","",INDEX(Winter!$1:$1048576,MATCH(All!$A481,Winter!$A:$A,FALSE),MATCH(All!U$1,Winter!$1:$1,FALSE))),"")</f>
        <v>2A</v>
      </c>
      <c r="W481">
        <f>IFERROR(IF(INDEX(Spring!$1:$1048576,MATCH(All!$A481,Spring!$A:$A,FALSE),MATCH(All!W$1,Spring!$1:$1,FALSE))="","",INDEX(Spring!$1:$1048576,MATCH(All!$A481,Spring!$A:$A,FALSE),MATCH(All!W$1,Spring!$1:$1,FALSE))),"")</f>
        <v>1170</v>
      </c>
      <c r="X481" t="str">
        <f>IFERROR(IF(INDEX(Spring!$1:$1048576,MATCH(All!$A481,Spring!$A:$A,FALSE),MATCH(All!X$1,Spring!$1:$1,FALSE))="","",INDEX(Spring!$1:$1048576,MATCH(All!$A481,Spring!$A:$A,FALSE),MATCH(All!X$1,Spring!$1:$1,FALSE))),"")</f>
        <v>3A</v>
      </c>
      <c r="Y481" t="str">
        <f>IFERROR(IF(INDEX(Spring!$1:$1048576,MATCH(All!$A481,Spring!$A:$A,FALSE),MATCH(All!Y$1,Spring!$1:$1,FALSE))="","",INDEX(Spring!$1:$1048576,MATCH(All!$A481,Spring!$A:$A,FALSE),MATCH(All!Y$1,Spring!$1:$1,FALSE))),"")</f>
        <v>3A</v>
      </c>
      <c r="Z481" t="str">
        <f>IFERROR(IF(INDEX(Spring!$1:$1048576,MATCH(All!$A481,Spring!$A:$A,FALSE),MATCH(All!Z$1,Spring!$1:$1,FALSE))="","",INDEX(Spring!$1:$1048576,MATCH(All!$A481,Spring!$A:$A,FALSE),MATCH(All!Z$1,Spring!$1:$1,FALSE))),"")</f>
        <v>2A</v>
      </c>
      <c r="AA481" t="str">
        <f>IFERROR(IF(INDEX(Spring!$1:$1048576,MATCH(All!$A481,Spring!$A:$A,FALSE),MATCH(All!AA$1,Spring!$1:$1,FALSE))="","",INDEX(Spring!$1:$1048576,MATCH(All!$A481,Spring!$A:$A,FALSE),MATCH(All!AA$1,Spring!$1:$1,FALSE))),"")</f>
        <v>1A</v>
      </c>
      <c r="AB481" t="str">
        <f>IFERROR(IF(INDEX(Spring!$1:$1048576,MATCH(All!$A481,Spring!$A:$A,FALSE),MATCH(All!AB$1,Spring!$1:$1,FALSE))="","",INDEX(Spring!$1:$1048576,MATCH(All!$A481,Spring!$A:$A,FALSE),MATCH(All!AB$1,Spring!$1:$1,FALSE))),"")</f>
        <v>2A</v>
      </c>
      <c r="AC481" t="str">
        <f>IFERROR(IF(INDEX(Spring!$1:$1048576,MATCH(All!$A481,Spring!$A:$A,FALSE),MATCH(All!AC$1,Spring!$1:$1,FALSE))="","",INDEX(Spring!$1:$1048576,MATCH(All!$A481,Spring!$A:$A,FALSE),MATCH(All!AC$1,Spring!$1:$1,FALSE))),"")</f>
        <v>2A</v>
      </c>
      <c r="AD481" t="str">
        <f>IFERROR(VLOOKUP(A481,'Flag Football'!A:A,1,FALSE),"")</f>
        <v/>
      </c>
      <c r="AE481" t="str">
        <f t="shared" si="7"/>
        <v/>
      </c>
    </row>
    <row r="482" spans="1:31" ht="15.75" thickBot="1" x14ac:dyDescent="0.3">
      <c r="A482" s="18" t="s">
        <v>572</v>
      </c>
      <c r="B482" s="38">
        <f>IFERROR(VLOOKUP(A482,'Public v Private'!A:G,3,FALSE),"")</f>
        <v>0</v>
      </c>
      <c r="C482" s="38">
        <f>IFERROR(VLOOKUP(A482,'Public v Private'!A:G,4,FALSE),"")</f>
        <v>0</v>
      </c>
      <c r="D482" s="38">
        <f>IFERROR(VLOOKUP(A482,'Public v Private'!A:G,5,FALSE),"")</f>
        <v>0</v>
      </c>
      <c r="E482" s="38"/>
      <c r="F482" s="40">
        <f>IFERROR(INDEX(Fall!$1:$1048576,MATCH(All!$A482,Fall!$A:$A,FALSE),MATCH(All!F$1,Fall!$1:$1,FALSE)),"N/A")</f>
        <v>662</v>
      </c>
      <c r="G482" t="str">
        <f>IFERROR(IF(INDEX(Fall!$1:$1048576,MATCH(All!$A482,Fall!$A:$A,FALSE),MATCH(All!G$1,Fall!$1:$1,FALSE))="","",INDEX(Fall!$1:$1048576,MATCH(All!$A482,Fall!$A:$A,FALSE),MATCH(All!G$1,Fall!$1:$1,FALSE))),"")</f>
        <v>2A</v>
      </c>
      <c r="H482" t="str">
        <f>IFERROR(IF(INDEX(Fall!$1:$1048576,MATCH(All!$A482,Fall!$A:$A,FALSE),MATCH(All!H$1,Fall!$1:$1,FALSE))="","",INDEX(Fall!$1:$1048576,MATCH(All!$A482,Fall!$A:$A,FALSE),MATCH(All!H$1,Fall!$1:$1,FALSE))),"")</f>
        <v>2A</v>
      </c>
      <c r="I482" t="str">
        <f>IFERROR(IF(INDEX(Fall!$1:$1048576,MATCH(All!$A482,Fall!$A:$A,FALSE),MATCH(All!I$1,Fall!$1:$1,FALSE))="","",INDEX(Fall!$1:$1048576,MATCH(All!$A482,Fall!$A:$A,FALSE),MATCH(All!I$1,Fall!$1:$1,FALSE))),"")</f>
        <v>2A</v>
      </c>
      <c r="J482" t="str">
        <f>IFERROR(IF(INDEX(Fall!$1:$1048576,MATCH(All!$A482,Fall!$A:$A,FALSE),MATCH(All!J$1,Fall!$1:$1,FALSE))="","",INDEX(Fall!$1:$1048576,MATCH(All!$A482,Fall!$A:$A,FALSE),MATCH(All!J$1,Fall!$1:$1,FALSE))),"")</f>
        <v>1A</v>
      </c>
      <c r="K482" t="str">
        <f>IFERROR(IF(INDEX(Fall!$1:$1048576,MATCH(All!$A482,Fall!$A:$A,FALSE),MATCH(All!K$1,Fall!$1:$1,FALSE))="","",INDEX(Fall!$1:$1048576,MATCH(All!$A482,Fall!$A:$A,FALSE),MATCH(All!K$1,Fall!$1:$1,FALSE))),"")</f>
        <v>1A</v>
      </c>
      <c r="L482" t="str">
        <f>IFERROR(IF(INDEX(Fall!$1:$1048576,MATCH(All!$A482,Fall!$A:$A,FALSE),MATCH(All!L$1,Fall!$1:$1,FALSE))="","",INDEX(Fall!$1:$1048576,MATCH(All!$A482,Fall!$A:$A,FALSE),MATCH(All!L$1,Fall!$1:$1,FALSE))),"")</f>
        <v>1A</v>
      </c>
      <c r="M482" t="str">
        <f>IFERROR(IF(INDEX(Fall!$1:$1048576,MATCH(All!$A482,Fall!$A:$A,FALSE),MATCH(All!M$1,Fall!$1:$1,FALSE))="","",INDEX(Fall!$1:$1048576,MATCH(All!$A482,Fall!$A:$A,FALSE),MATCH(All!M$1,Fall!$1:$1,FALSE))),"")</f>
        <v>2A</v>
      </c>
      <c r="O482">
        <f>IFERROR(IF(INDEX(Winter!$1:$1048576,MATCH(All!$A482,Winter!$A:$A,FALSE),MATCH(All!O$1,Winter!$1:$1,FALSE))="","",INDEX(Winter!$1:$1048576,MATCH(All!$A482,Winter!$A:$A,FALSE),MATCH(All!O$1,Winter!$1:$1,FALSE))),"")</f>
        <v>662</v>
      </c>
      <c r="P482" t="str">
        <f>IFERROR(IF(INDEX(Winter!$1:$1048576,MATCH(All!$A482,Winter!$A:$A,FALSE),MATCH(All!P$1,Winter!$1:$1,FALSE))="","",INDEX(Winter!$1:$1048576,MATCH(All!$A482,Winter!$A:$A,FALSE),MATCH(All!P$1,Winter!$1:$1,FALSE))),"")</f>
        <v>2A</v>
      </c>
      <c r="Q482" t="str">
        <f>IFERROR(IF(INDEX(Winter!$1:$1048576,MATCH(All!$A482,Winter!$A:$A,FALSE),MATCH(All!Q$1,Winter!$1:$1,FALSE))="","",INDEX(Winter!$1:$1048576,MATCH(All!$A482,Winter!$A:$A,FALSE),MATCH(All!Q$1,Winter!$1:$1,FALSE))),"")</f>
        <v>2A</v>
      </c>
      <c r="R482" t="str">
        <f>IFERROR(IF(INDEX(Winter!$1:$1048576,MATCH(All!$A482,Winter!$A:$A,FALSE),MATCH(All!R$1,Winter!$1:$1,FALSE))="","",INDEX(Winter!$1:$1048576,MATCH(All!$A482,Winter!$A:$A,FALSE),MATCH(All!R$1,Winter!$1:$1,FALSE))),"")</f>
        <v>1A</v>
      </c>
      <c r="S482" t="str">
        <f>IFERROR(IF(INDEX(Winter!$1:$1048576,MATCH(All!$A482,Winter!$A:$A,FALSE),MATCH(All!S$1,Winter!$1:$1,FALSE))="","",INDEX(Winter!$1:$1048576,MATCH(All!$A482,Winter!$A:$A,FALSE),MATCH(All!S$1,Winter!$1:$1,FALSE))),"")</f>
        <v/>
      </c>
      <c r="T482" t="str">
        <f>IFERROR(IF(INDEX(Winter!$1:$1048576,MATCH(All!$A482,Winter!$A:$A,FALSE),MATCH(All!T$1,Winter!$1:$1,FALSE))="","",INDEX(Winter!$1:$1048576,MATCH(All!$A482,Winter!$A:$A,FALSE),MATCH(All!T$1,Winter!$1:$1,FALSE))),"")</f>
        <v>2A</v>
      </c>
      <c r="U482" t="str">
        <f>IFERROR(IF(INDEX(Winter!$1:$1048576,MATCH(All!$A482,Winter!$A:$A,FALSE),MATCH(All!U$1,Winter!$1:$1,FALSE))="","",INDEX(Winter!$1:$1048576,MATCH(All!$A482,Winter!$A:$A,FALSE),MATCH(All!U$1,Winter!$1:$1,FALSE))),"")</f>
        <v>1A</v>
      </c>
      <c r="W482">
        <f>IFERROR(IF(INDEX(Spring!$1:$1048576,MATCH(All!$A482,Spring!$A:$A,FALSE),MATCH(All!W$1,Spring!$1:$1,FALSE))="","",INDEX(Spring!$1:$1048576,MATCH(All!$A482,Spring!$A:$A,FALSE),MATCH(All!W$1,Spring!$1:$1,FALSE))),"")</f>
        <v>662</v>
      </c>
      <c r="X482" t="str">
        <f>IFERROR(IF(INDEX(Spring!$1:$1048576,MATCH(All!$A482,Spring!$A:$A,FALSE),MATCH(All!X$1,Spring!$1:$1,FALSE))="","",INDEX(Spring!$1:$1048576,MATCH(All!$A482,Spring!$A:$A,FALSE),MATCH(All!X$1,Spring!$1:$1,FALSE))),"")</f>
        <v>2A</v>
      </c>
      <c r="Y482" t="str">
        <f>IFERROR(IF(INDEX(Spring!$1:$1048576,MATCH(All!$A482,Spring!$A:$A,FALSE),MATCH(All!Y$1,Spring!$1:$1,FALSE))="","",INDEX(Spring!$1:$1048576,MATCH(All!$A482,Spring!$A:$A,FALSE),MATCH(All!Y$1,Spring!$1:$1,FALSE))),"")</f>
        <v>2A</v>
      </c>
      <c r="Z482" t="str">
        <f>IFERROR(IF(INDEX(Spring!$1:$1048576,MATCH(All!$A482,Spring!$A:$A,FALSE),MATCH(All!Z$1,Spring!$1:$1,FALSE))="","",INDEX(Spring!$1:$1048576,MATCH(All!$A482,Spring!$A:$A,FALSE),MATCH(All!Z$1,Spring!$1:$1,FALSE))),"")</f>
        <v>1A</v>
      </c>
      <c r="AA482" t="str">
        <f>IFERROR(IF(INDEX(Spring!$1:$1048576,MATCH(All!$A482,Spring!$A:$A,FALSE),MATCH(All!AA$1,Spring!$1:$1,FALSE))="","",INDEX(Spring!$1:$1048576,MATCH(All!$A482,Spring!$A:$A,FALSE),MATCH(All!AA$1,Spring!$1:$1,FALSE))),"")</f>
        <v>1A</v>
      </c>
      <c r="AB482" t="str">
        <f>IFERROR(IF(INDEX(Spring!$1:$1048576,MATCH(All!$A482,Spring!$A:$A,FALSE),MATCH(All!AB$1,Spring!$1:$1,FALSE))="","",INDEX(Spring!$1:$1048576,MATCH(All!$A482,Spring!$A:$A,FALSE),MATCH(All!AB$1,Spring!$1:$1,FALSE))),"")</f>
        <v>2A</v>
      </c>
      <c r="AC482" t="str">
        <f>IFERROR(IF(INDEX(Spring!$1:$1048576,MATCH(All!$A482,Spring!$A:$A,FALSE),MATCH(All!AC$1,Spring!$1:$1,FALSE))="","",INDEX(Spring!$1:$1048576,MATCH(All!$A482,Spring!$A:$A,FALSE),MATCH(All!AC$1,Spring!$1:$1,FALSE))),"")</f>
        <v>2A</v>
      </c>
      <c r="AD482" t="str">
        <f>IFERROR(VLOOKUP(A482,'Flag Football'!A:A,1,FALSE),"")</f>
        <v/>
      </c>
      <c r="AE482" t="str">
        <f t="shared" si="7"/>
        <v/>
      </c>
    </row>
    <row r="483" spans="1:31" ht="15.75" thickBot="1" x14ac:dyDescent="0.3">
      <c r="A483" s="20" t="s">
        <v>573</v>
      </c>
      <c r="B483" s="38">
        <f>IFERROR(VLOOKUP(A483,'Public v Private'!A:G,3,FALSE),"")</f>
        <v>0</v>
      </c>
      <c r="C483" s="38">
        <f>IFERROR(VLOOKUP(A483,'Public v Private'!A:G,4,FALSE),"")</f>
        <v>0</v>
      </c>
      <c r="D483" s="38">
        <f>IFERROR(VLOOKUP(A483,'Public v Private'!A:G,5,FALSE),"")</f>
        <v>0</v>
      </c>
      <c r="E483" s="38"/>
      <c r="F483" s="40">
        <f>IFERROR(INDEX(Fall!$1:$1048576,MATCH(All!$A483,Fall!$A:$A,FALSE),MATCH(All!F$1,Fall!$1:$1,FALSE)),"N/A")</f>
        <v>152</v>
      </c>
      <c r="G483" t="str">
        <f>IFERROR(IF(INDEX(Fall!$1:$1048576,MATCH(All!$A483,Fall!$A:$A,FALSE),MATCH(All!G$1,Fall!$1:$1,FALSE))="","",INDEX(Fall!$1:$1048576,MATCH(All!$A483,Fall!$A:$A,FALSE),MATCH(All!G$1,Fall!$1:$1,FALSE))),"")</f>
        <v>1A</v>
      </c>
      <c r="H483" t="str">
        <f>IFERROR(IF(INDEX(Fall!$1:$1048576,MATCH(All!$A483,Fall!$A:$A,FALSE),MATCH(All!H$1,Fall!$1:$1,FALSE))="","",INDEX(Fall!$1:$1048576,MATCH(All!$A483,Fall!$A:$A,FALSE),MATCH(All!H$1,Fall!$1:$1,FALSE))),"")</f>
        <v>1A</v>
      </c>
      <c r="I483" t="str">
        <f>IFERROR(IF(INDEX(Fall!$1:$1048576,MATCH(All!$A483,Fall!$A:$A,FALSE),MATCH(All!I$1,Fall!$1:$1,FALSE))="","",INDEX(Fall!$1:$1048576,MATCH(All!$A483,Fall!$A:$A,FALSE),MATCH(All!I$1,Fall!$1:$1,FALSE))),"")</f>
        <v/>
      </c>
      <c r="J483" t="str">
        <f>IFERROR(IF(INDEX(Fall!$1:$1048576,MATCH(All!$A483,Fall!$A:$A,FALSE),MATCH(All!J$1,Fall!$1:$1,FALSE))="","",INDEX(Fall!$1:$1048576,MATCH(All!$A483,Fall!$A:$A,FALSE),MATCH(All!J$1,Fall!$1:$1,FALSE))),"")</f>
        <v/>
      </c>
      <c r="K483" t="str">
        <f>IFERROR(IF(INDEX(Fall!$1:$1048576,MATCH(All!$A483,Fall!$A:$A,FALSE),MATCH(All!K$1,Fall!$1:$1,FALSE))="","",INDEX(Fall!$1:$1048576,MATCH(All!$A483,Fall!$A:$A,FALSE),MATCH(All!K$1,Fall!$1:$1,FALSE))),"")</f>
        <v/>
      </c>
      <c r="L483" t="str">
        <f>IFERROR(IF(INDEX(Fall!$1:$1048576,MATCH(All!$A483,Fall!$A:$A,FALSE),MATCH(All!L$1,Fall!$1:$1,FALSE))="","",INDEX(Fall!$1:$1048576,MATCH(All!$A483,Fall!$A:$A,FALSE),MATCH(All!L$1,Fall!$1:$1,FALSE))),"")</f>
        <v/>
      </c>
      <c r="M483" t="str">
        <f>IFERROR(IF(INDEX(Fall!$1:$1048576,MATCH(All!$A483,Fall!$A:$A,FALSE),MATCH(All!M$1,Fall!$1:$1,FALSE))="","",INDEX(Fall!$1:$1048576,MATCH(All!$A483,Fall!$A:$A,FALSE),MATCH(All!M$1,Fall!$1:$1,FALSE))),"")</f>
        <v>1A</v>
      </c>
      <c r="O483">
        <f>IFERROR(IF(INDEX(Winter!$1:$1048576,MATCH(All!$A483,Winter!$A:$A,FALSE),MATCH(All!O$1,Winter!$1:$1,FALSE))="","",INDEX(Winter!$1:$1048576,MATCH(All!$A483,Winter!$A:$A,FALSE),MATCH(All!O$1,Winter!$1:$1,FALSE))),"")</f>
        <v>152</v>
      </c>
      <c r="P483" t="str">
        <f>IFERROR(IF(INDEX(Winter!$1:$1048576,MATCH(All!$A483,Winter!$A:$A,FALSE),MATCH(All!P$1,Winter!$1:$1,FALSE))="","",INDEX(Winter!$1:$1048576,MATCH(All!$A483,Winter!$A:$A,FALSE),MATCH(All!P$1,Winter!$1:$1,FALSE))),"")</f>
        <v>1A</v>
      </c>
      <c r="Q483" t="str">
        <f>IFERROR(IF(INDEX(Winter!$1:$1048576,MATCH(All!$A483,Winter!$A:$A,FALSE),MATCH(All!Q$1,Winter!$1:$1,FALSE))="","",INDEX(Winter!$1:$1048576,MATCH(All!$A483,Winter!$A:$A,FALSE),MATCH(All!Q$1,Winter!$1:$1,FALSE))),"")</f>
        <v/>
      </c>
      <c r="R483" t="str">
        <f>IFERROR(IF(INDEX(Winter!$1:$1048576,MATCH(All!$A483,Winter!$A:$A,FALSE),MATCH(All!R$1,Winter!$1:$1,FALSE))="","",INDEX(Winter!$1:$1048576,MATCH(All!$A483,Winter!$A:$A,FALSE),MATCH(All!R$1,Winter!$1:$1,FALSE))),"")</f>
        <v/>
      </c>
      <c r="S483" t="str">
        <f>IFERROR(IF(INDEX(Winter!$1:$1048576,MATCH(All!$A483,Winter!$A:$A,FALSE),MATCH(All!S$1,Winter!$1:$1,FALSE))="","",INDEX(Winter!$1:$1048576,MATCH(All!$A483,Winter!$A:$A,FALSE),MATCH(All!S$1,Winter!$1:$1,FALSE))),"")</f>
        <v/>
      </c>
      <c r="T483" t="str">
        <f>IFERROR(IF(INDEX(Winter!$1:$1048576,MATCH(All!$A483,Winter!$A:$A,FALSE),MATCH(All!T$1,Winter!$1:$1,FALSE))="","",INDEX(Winter!$1:$1048576,MATCH(All!$A483,Winter!$A:$A,FALSE),MATCH(All!T$1,Winter!$1:$1,FALSE))),"")</f>
        <v>1A</v>
      </c>
      <c r="U483" t="str">
        <f>IFERROR(IF(INDEX(Winter!$1:$1048576,MATCH(All!$A483,Winter!$A:$A,FALSE),MATCH(All!U$1,Winter!$1:$1,FALSE))="","",INDEX(Winter!$1:$1048576,MATCH(All!$A483,Winter!$A:$A,FALSE),MATCH(All!U$1,Winter!$1:$1,FALSE))),"")</f>
        <v/>
      </c>
      <c r="W483">
        <f>IFERROR(IF(INDEX(Spring!$1:$1048576,MATCH(All!$A483,Spring!$A:$A,FALSE),MATCH(All!W$1,Spring!$1:$1,FALSE))="","",INDEX(Spring!$1:$1048576,MATCH(All!$A483,Spring!$A:$A,FALSE),MATCH(All!W$1,Spring!$1:$1,FALSE))),"")</f>
        <v>152</v>
      </c>
      <c r="X483" t="str">
        <f>IFERROR(IF(INDEX(Spring!$1:$1048576,MATCH(All!$A483,Spring!$A:$A,FALSE),MATCH(All!X$1,Spring!$1:$1,FALSE))="","",INDEX(Spring!$1:$1048576,MATCH(All!$A483,Spring!$A:$A,FALSE),MATCH(All!X$1,Spring!$1:$1,FALSE))),"")</f>
        <v>1A</v>
      </c>
      <c r="Y483" t="str">
        <f>IFERROR(IF(INDEX(Spring!$1:$1048576,MATCH(All!$A483,Spring!$A:$A,FALSE),MATCH(All!Y$1,Spring!$1:$1,FALSE))="","",INDEX(Spring!$1:$1048576,MATCH(All!$A483,Spring!$A:$A,FALSE),MATCH(All!Y$1,Spring!$1:$1,FALSE))),"")</f>
        <v>1A</v>
      </c>
      <c r="Z483" t="str">
        <f>IFERROR(IF(INDEX(Spring!$1:$1048576,MATCH(All!$A483,Spring!$A:$A,FALSE),MATCH(All!Z$1,Spring!$1:$1,FALSE))="","",INDEX(Spring!$1:$1048576,MATCH(All!$A483,Spring!$A:$A,FALSE),MATCH(All!Z$1,Spring!$1:$1,FALSE))),"")</f>
        <v/>
      </c>
      <c r="AA483" t="str">
        <f>IFERROR(IF(INDEX(Spring!$1:$1048576,MATCH(All!$A483,Spring!$A:$A,FALSE),MATCH(All!AA$1,Spring!$1:$1,FALSE))="","",INDEX(Spring!$1:$1048576,MATCH(All!$A483,Spring!$A:$A,FALSE),MATCH(All!AA$1,Spring!$1:$1,FALSE))),"")</f>
        <v/>
      </c>
      <c r="AB483" t="str">
        <f>IFERROR(IF(INDEX(Spring!$1:$1048576,MATCH(All!$A483,Spring!$A:$A,FALSE),MATCH(All!AB$1,Spring!$1:$1,FALSE))="","",INDEX(Spring!$1:$1048576,MATCH(All!$A483,Spring!$A:$A,FALSE),MATCH(All!AB$1,Spring!$1:$1,FALSE))),"")</f>
        <v/>
      </c>
      <c r="AC483" t="str">
        <f>IFERROR(IF(INDEX(Spring!$1:$1048576,MATCH(All!$A483,Spring!$A:$A,FALSE),MATCH(All!AC$1,Spring!$1:$1,FALSE))="","",INDEX(Spring!$1:$1048576,MATCH(All!$A483,Spring!$A:$A,FALSE),MATCH(All!AC$1,Spring!$1:$1,FALSE))),"")</f>
        <v/>
      </c>
      <c r="AD483" t="str">
        <f>IFERROR(VLOOKUP(A483,'Flag Football'!A:A,1,FALSE),"")</f>
        <v/>
      </c>
      <c r="AE483" t="str">
        <f t="shared" si="7"/>
        <v/>
      </c>
    </row>
    <row r="484" spans="1:31" ht="15.75" thickBot="1" x14ac:dyDescent="0.3">
      <c r="A484" s="18" t="s">
        <v>574</v>
      </c>
      <c r="B484" s="38">
        <f>IFERROR(VLOOKUP(A484,'Public v Private'!A:G,3,FALSE),"")</f>
        <v>0</v>
      </c>
      <c r="C484" s="38">
        <f>IFERROR(VLOOKUP(A484,'Public v Private'!A:G,4,FALSE),"")</f>
        <v>0</v>
      </c>
      <c r="D484" s="38">
        <f>IFERROR(VLOOKUP(A484,'Public v Private'!A:G,5,FALSE),"")</f>
        <v>0</v>
      </c>
      <c r="E484" s="38"/>
      <c r="F484" s="40">
        <f>IFERROR(INDEX(Fall!$1:$1048576,MATCH(All!$A484,Fall!$A:$A,FALSE),MATCH(All!F$1,Fall!$1:$1,FALSE)),"N/A")</f>
        <v>1050</v>
      </c>
      <c r="G484" t="str">
        <f>IFERROR(IF(INDEX(Fall!$1:$1048576,MATCH(All!$A484,Fall!$A:$A,FALSE),MATCH(All!G$1,Fall!$1:$1,FALSE))="","",INDEX(Fall!$1:$1048576,MATCH(All!$A484,Fall!$A:$A,FALSE),MATCH(All!G$1,Fall!$1:$1,FALSE))),"")</f>
        <v>2A</v>
      </c>
      <c r="H484" t="str">
        <f>IFERROR(IF(INDEX(Fall!$1:$1048576,MATCH(All!$A484,Fall!$A:$A,FALSE),MATCH(All!H$1,Fall!$1:$1,FALSE))="","",INDEX(Fall!$1:$1048576,MATCH(All!$A484,Fall!$A:$A,FALSE),MATCH(All!H$1,Fall!$1:$1,FALSE))),"")</f>
        <v>2A</v>
      </c>
      <c r="I484" t="str">
        <f>IFERROR(IF(INDEX(Fall!$1:$1048576,MATCH(All!$A484,Fall!$A:$A,FALSE),MATCH(All!I$1,Fall!$1:$1,FALSE))="","",INDEX(Fall!$1:$1048576,MATCH(All!$A484,Fall!$A:$A,FALSE),MATCH(All!I$1,Fall!$1:$1,FALSE))),"")</f>
        <v>2A</v>
      </c>
      <c r="J484" t="str">
        <f>IFERROR(IF(INDEX(Fall!$1:$1048576,MATCH(All!$A484,Fall!$A:$A,FALSE),MATCH(All!J$1,Fall!$1:$1,FALSE))="","",INDEX(Fall!$1:$1048576,MATCH(All!$A484,Fall!$A:$A,FALSE),MATCH(All!J$1,Fall!$1:$1,FALSE))),"")</f>
        <v>2A</v>
      </c>
      <c r="K484" t="str">
        <f>IFERROR(IF(INDEX(Fall!$1:$1048576,MATCH(All!$A484,Fall!$A:$A,FALSE),MATCH(All!K$1,Fall!$1:$1,FALSE))="","",INDEX(Fall!$1:$1048576,MATCH(All!$A484,Fall!$A:$A,FALSE),MATCH(All!K$1,Fall!$1:$1,FALSE))),"")</f>
        <v>2A</v>
      </c>
      <c r="L484" t="str">
        <f>IFERROR(IF(INDEX(Fall!$1:$1048576,MATCH(All!$A484,Fall!$A:$A,FALSE),MATCH(All!L$1,Fall!$1:$1,FALSE))="","",INDEX(Fall!$1:$1048576,MATCH(All!$A484,Fall!$A:$A,FALSE),MATCH(All!L$1,Fall!$1:$1,FALSE))),"")</f>
        <v>1A</v>
      </c>
      <c r="M484" t="str">
        <f>IFERROR(IF(INDEX(Fall!$1:$1048576,MATCH(All!$A484,Fall!$A:$A,FALSE),MATCH(All!M$1,Fall!$1:$1,FALSE))="","",INDEX(Fall!$1:$1048576,MATCH(All!$A484,Fall!$A:$A,FALSE),MATCH(All!M$1,Fall!$1:$1,FALSE))),"")</f>
        <v>3A</v>
      </c>
      <c r="O484">
        <f>IFERROR(IF(INDEX(Winter!$1:$1048576,MATCH(All!$A484,Winter!$A:$A,FALSE),MATCH(All!O$1,Winter!$1:$1,FALSE))="","",INDEX(Winter!$1:$1048576,MATCH(All!$A484,Winter!$A:$A,FALSE),MATCH(All!O$1,Winter!$1:$1,FALSE))),"")</f>
        <v>1050</v>
      </c>
      <c r="P484" t="str">
        <f>IFERROR(IF(INDEX(Winter!$1:$1048576,MATCH(All!$A484,Winter!$A:$A,FALSE),MATCH(All!P$1,Winter!$1:$1,FALSE))="","",INDEX(Winter!$1:$1048576,MATCH(All!$A484,Winter!$A:$A,FALSE),MATCH(All!P$1,Winter!$1:$1,FALSE))),"")</f>
        <v>3A</v>
      </c>
      <c r="Q484" t="str">
        <f>IFERROR(IF(INDEX(Winter!$1:$1048576,MATCH(All!$A484,Winter!$A:$A,FALSE),MATCH(All!Q$1,Winter!$1:$1,FALSE))="","",INDEX(Winter!$1:$1048576,MATCH(All!$A484,Winter!$A:$A,FALSE),MATCH(All!Q$1,Winter!$1:$1,FALSE))),"")</f>
        <v>3A</v>
      </c>
      <c r="R484" t="str">
        <f>IFERROR(IF(INDEX(Winter!$1:$1048576,MATCH(All!$A484,Winter!$A:$A,FALSE),MATCH(All!R$1,Winter!$1:$1,FALSE))="","",INDEX(Winter!$1:$1048576,MATCH(All!$A484,Winter!$A:$A,FALSE),MATCH(All!R$1,Winter!$1:$1,FALSE))),"")</f>
        <v>2A</v>
      </c>
      <c r="S484" t="str">
        <f>IFERROR(IF(INDEX(Winter!$1:$1048576,MATCH(All!$A484,Winter!$A:$A,FALSE),MATCH(All!S$1,Winter!$1:$1,FALSE))="","",INDEX(Winter!$1:$1048576,MATCH(All!$A484,Winter!$A:$A,FALSE),MATCH(All!S$1,Winter!$1:$1,FALSE))),"")</f>
        <v>1A</v>
      </c>
      <c r="T484" t="str">
        <f>IFERROR(IF(INDEX(Winter!$1:$1048576,MATCH(All!$A484,Winter!$A:$A,FALSE),MATCH(All!T$1,Winter!$1:$1,FALSE))="","",INDEX(Winter!$1:$1048576,MATCH(All!$A484,Winter!$A:$A,FALSE),MATCH(All!T$1,Winter!$1:$1,FALSE))),"")</f>
        <v>2A</v>
      </c>
      <c r="U484" t="str">
        <f>IFERROR(IF(INDEX(Winter!$1:$1048576,MATCH(All!$A484,Winter!$A:$A,FALSE),MATCH(All!U$1,Winter!$1:$1,FALSE))="","",INDEX(Winter!$1:$1048576,MATCH(All!$A484,Winter!$A:$A,FALSE),MATCH(All!U$1,Winter!$1:$1,FALSE))),"")</f>
        <v>2A</v>
      </c>
      <c r="W484">
        <f>IFERROR(IF(INDEX(Spring!$1:$1048576,MATCH(All!$A484,Spring!$A:$A,FALSE),MATCH(All!W$1,Spring!$1:$1,FALSE))="","",INDEX(Spring!$1:$1048576,MATCH(All!$A484,Spring!$A:$A,FALSE),MATCH(All!W$1,Spring!$1:$1,FALSE))),"")</f>
        <v>1050</v>
      </c>
      <c r="X484" t="str">
        <f>IFERROR(IF(INDEX(Spring!$1:$1048576,MATCH(All!$A484,Spring!$A:$A,FALSE),MATCH(All!X$1,Spring!$1:$1,FALSE))="","",INDEX(Spring!$1:$1048576,MATCH(All!$A484,Spring!$A:$A,FALSE),MATCH(All!X$1,Spring!$1:$1,FALSE))),"")</f>
        <v>3A</v>
      </c>
      <c r="Y484" t="str">
        <f>IFERROR(IF(INDEX(Spring!$1:$1048576,MATCH(All!$A484,Spring!$A:$A,FALSE),MATCH(All!Y$1,Spring!$1:$1,FALSE))="","",INDEX(Spring!$1:$1048576,MATCH(All!$A484,Spring!$A:$A,FALSE),MATCH(All!Y$1,Spring!$1:$1,FALSE))),"")</f>
        <v>3A</v>
      </c>
      <c r="Z484" t="str">
        <f>IFERROR(IF(INDEX(Spring!$1:$1048576,MATCH(All!$A484,Spring!$A:$A,FALSE),MATCH(All!Z$1,Spring!$1:$1,FALSE))="","",INDEX(Spring!$1:$1048576,MATCH(All!$A484,Spring!$A:$A,FALSE),MATCH(All!Z$1,Spring!$1:$1,FALSE))),"")</f>
        <v>2A</v>
      </c>
      <c r="AA484" t="str">
        <f>IFERROR(IF(INDEX(Spring!$1:$1048576,MATCH(All!$A484,Spring!$A:$A,FALSE),MATCH(All!AA$1,Spring!$1:$1,FALSE))="","",INDEX(Spring!$1:$1048576,MATCH(All!$A484,Spring!$A:$A,FALSE),MATCH(All!AA$1,Spring!$1:$1,FALSE))),"")</f>
        <v>1A</v>
      </c>
      <c r="AB484" t="str">
        <f>IFERROR(IF(INDEX(Spring!$1:$1048576,MATCH(All!$A484,Spring!$A:$A,FALSE),MATCH(All!AB$1,Spring!$1:$1,FALSE))="","",INDEX(Spring!$1:$1048576,MATCH(All!$A484,Spring!$A:$A,FALSE),MATCH(All!AB$1,Spring!$1:$1,FALSE))),"")</f>
        <v>2A</v>
      </c>
      <c r="AC484" t="str">
        <f>IFERROR(IF(INDEX(Spring!$1:$1048576,MATCH(All!$A484,Spring!$A:$A,FALSE),MATCH(All!AC$1,Spring!$1:$1,FALSE))="","",INDEX(Spring!$1:$1048576,MATCH(All!$A484,Spring!$A:$A,FALSE),MATCH(All!AC$1,Spring!$1:$1,FALSE))),"")</f>
        <v>2A</v>
      </c>
      <c r="AD484" t="str">
        <f>IFERROR(VLOOKUP(A484,'Flag Football'!A:A,1,FALSE),"")</f>
        <v/>
      </c>
      <c r="AE484" t="str">
        <f t="shared" si="7"/>
        <v/>
      </c>
    </row>
    <row r="485" spans="1:31" ht="15.75" thickBot="1" x14ac:dyDescent="0.3">
      <c r="A485" s="20" t="s">
        <v>575</v>
      </c>
      <c r="B485" s="38">
        <f>IFERROR(VLOOKUP(A485,'Public v Private'!A:G,3,FALSE),"")</f>
        <v>0</v>
      </c>
      <c r="C485" s="38">
        <f>IFERROR(VLOOKUP(A485,'Public v Private'!A:G,4,FALSE),"")</f>
        <v>0</v>
      </c>
      <c r="D485" s="38">
        <f>IFERROR(VLOOKUP(A485,'Public v Private'!A:G,5,FALSE),"")</f>
        <v>0</v>
      </c>
      <c r="E485" s="38"/>
      <c r="F485" s="40">
        <f>IFERROR(INDEX(Fall!$1:$1048576,MATCH(All!$A485,Fall!$A:$A,FALSE),MATCH(All!F$1,Fall!$1:$1,FALSE)),"N/A")</f>
        <v>160</v>
      </c>
      <c r="G485" t="str">
        <f>IFERROR(IF(INDEX(Fall!$1:$1048576,MATCH(All!$A485,Fall!$A:$A,FALSE),MATCH(All!G$1,Fall!$1:$1,FALSE))="","",INDEX(Fall!$1:$1048576,MATCH(All!$A485,Fall!$A:$A,FALSE),MATCH(All!G$1,Fall!$1:$1,FALSE))),"")</f>
        <v>1A</v>
      </c>
      <c r="H485" t="str">
        <f>IFERROR(IF(INDEX(Fall!$1:$1048576,MATCH(All!$A485,Fall!$A:$A,FALSE),MATCH(All!H$1,Fall!$1:$1,FALSE))="","",INDEX(Fall!$1:$1048576,MATCH(All!$A485,Fall!$A:$A,FALSE),MATCH(All!H$1,Fall!$1:$1,FALSE))),"")</f>
        <v>1A</v>
      </c>
      <c r="I485" t="str">
        <f>IFERROR(IF(INDEX(Fall!$1:$1048576,MATCH(All!$A485,Fall!$A:$A,FALSE),MATCH(All!I$1,Fall!$1:$1,FALSE))="","",INDEX(Fall!$1:$1048576,MATCH(All!$A485,Fall!$A:$A,FALSE),MATCH(All!I$1,Fall!$1:$1,FALSE))),"")</f>
        <v>1A</v>
      </c>
      <c r="J485" t="str">
        <f>IFERROR(IF(INDEX(Fall!$1:$1048576,MATCH(All!$A485,Fall!$A:$A,FALSE),MATCH(All!J$1,Fall!$1:$1,FALSE))="","",INDEX(Fall!$1:$1048576,MATCH(All!$A485,Fall!$A:$A,FALSE),MATCH(All!J$1,Fall!$1:$1,FALSE))),"")</f>
        <v>1A</v>
      </c>
      <c r="K485" t="str">
        <f>IFERROR(IF(INDEX(Fall!$1:$1048576,MATCH(All!$A485,Fall!$A:$A,FALSE),MATCH(All!K$1,Fall!$1:$1,FALSE))="","",INDEX(Fall!$1:$1048576,MATCH(All!$A485,Fall!$A:$A,FALSE),MATCH(All!K$1,Fall!$1:$1,FALSE))),"")</f>
        <v/>
      </c>
      <c r="L485" t="str">
        <f>IFERROR(IF(INDEX(Fall!$1:$1048576,MATCH(All!$A485,Fall!$A:$A,FALSE),MATCH(All!L$1,Fall!$1:$1,FALSE))="","",INDEX(Fall!$1:$1048576,MATCH(All!$A485,Fall!$A:$A,FALSE),MATCH(All!L$1,Fall!$1:$1,FALSE))),"")</f>
        <v/>
      </c>
      <c r="M485" t="str">
        <f>IFERROR(IF(INDEX(Fall!$1:$1048576,MATCH(All!$A485,Fall!$A:$A,FALSE),MATCH(All!M$1,Fall!$1:$1,FALSE))="","",INDEX(Fall!$1:$1048576,MATCH(All!$A485,Fall!$A:$A,FALSE),MATCH(All!M$1,Fall!$1:$1,FALSE))),"")</f>
        <v>1A</v>
      </c>
      <c r="O485">
        <f>IFERROR(IF(INDEX(Winter!$1:$1048576,MATCH(All!$A485,Winter!$A:$A,FALSE),MATCH(All!O$1,Winter!$1:$1,FALSE))="","",INDEX(Winter!$1:$1048576,MATCH(All!$A485,Winter!$A:$A,FALSE),MATCH(All!O$1,Winter!$1:$1,FALSE))),"")</f>
        <v>160</v>
      </c>
      <c r="P485" t="str">
        <f>IFERROR(IF(INDEX(Winter!$1:$1048576,MATCH(All!$A485,Winter!$A:$A,FALSE),MATCH(All!P$1,Winter!$1:$1,FALSE))="","",INDEX(Winter!$1:$1048576,MATCH(All!$A485,Winter!$A:$A,FALSE),MATCH(All!P$1,Winter!$1:$1,FALSE))),"")</f>
        <v>1A</v>
      </c>
      <c r="Q485" t="str">
        <f>IFERROR(IF(INDEX(Winter!$1:$1048576,MATCH(All!$A485,Winter!$A:$A,FALSE),MATCH(All!Q$1,Winter!$1:$1,FALSE))="","",INDEX(Winter!$1:$1048576,MATCH(All!$A485,Winter!$A:$A,FALSE),MATCH(All!Q$1,Winter!$1:$1,FALSE))),"")</f>
        <v>1A</v>
      </c>
      <c r="R485" t="str">
        <f>IFERROR(IF(INDEX(Winter!$1:$1048576,MATCH(All!$A485,Winter!$A:$A,FALSE),MATCH(All!R$1,Winter!$1:$1,FALSE))="","",INDEX(Winter!$1:$1048576,MATCH(All!$A485,Winter!$A:$A,FALSE),MATCH(All!R$1,Winter!$1:$1,FALSE))),"")</f>
        <v/>
      </c>
      <c r="S485" t="str">
        <f>IFERROR(IF(INDEX(Winter!$1:$1048576,MATCH(All!$A485,Winter!$A:$A,FALSE),MATCH(All!S$1,Winter!$1:$1,FALSE))="","",INDEX(Winter!$1:$1048576,MATCH(All!$A485,Winter!$A:$A,FALSE),MATCH(All!S$1,Winter!$1:$1,FALSE))),"")</f>
        <v/>
      </c>
      <c r="T485" t="str">
        <f>IFERROR(IF(INDEX(Winter!$1:$1048576,MATCH(All!$A485,Winter!$A:$A,FALSE),MATCH(All!T$1,Winter!$1:$1,FALSE))="","",INDEX(Winter!$1:$1048576,MATCH(All!$A485,Winter!$A:$A,FALSE),MATCH(All!T$1,Winter!$1:$1,FALSE))),"")</f>
        <v>1A</v>
      </c>
      <c r="U485" t="str">
        <f>IFERROR(IF(INDEX(Winter!$1:$1048576,MATCH(All!$A485,Winter!$A:$A,FALSE),MATCH(All!U$1,Winter!$1:$1,FALSE))="","",INDEX(Winter!$1:$1048576,MATCH(All!$A485,Winter!$A:$A,FALSE),MATCH(All!U$1,Winter!$1:$1,FALSE))),"")</f>
        <v/>
      </c>
      <c r="W485">
        <f>IFERROR(IF(INDEX(Spring!$1:$1048576,MATCH(All!$A485,Spring!$A:$A,FALSE),MATCH(All!W$1,Spring!$1:$1,FALSE))="","",INDEX(Spring!$1:$1048576,MATCH(All!$A485,Spring!$A:$A,FALSE),MATCH(All!W$1,Spring!$1:$1,FALSE))),"")</f>
        <v>160</v>
      </c>
      <c r="X485" t="str">
        <f>IFERROR(IF(INDEX(Spring!$1:$1048576,MATCH(All!$A485,Spring!$A:$A,FALSE),MATCH(All!X$1,Spring!$1:$1,FALSE))="","",INDEX(Spring!$1:$1048576,MATCH(All!$A485,Spring!$A:$A,FALSE),MATCH(All!X$1,Spring!$1:$1,FALSE))),"")</f>
        <v>1A</v>
      </c>
      <c r="Y485" t="str">
        <f>IFERROR(IF(INDEX(Spring!$1:$1048576,MATCH(All!$A485,Spring!$A:$A,FALSE),MATCH(All!Y$1,Spring!$1:$1,FALSE))="","",INDEX(Spring!$1:$1048576,MATCH(All!$A485,Spring!$A:$A,FALSE),MATCH(All!Y$1,Spring!$1:$1,FALSE))),"")</f>
        <v>1A</v>
      </c>
      <c r="Z485" t="str">
        <f>IFERROR(IF(INDEX(Spring!$1:$1048576,MATCH(All!$A485,Spring!$A:$A,FALSE),MATCH(All!Z$1,Spring!$1:$1,FALSE))="","",INDEX(Spring!$1:$1048576,MATCH(All!$A485,Spring!$A:$A,FALSE),MATCH(All!Z$1,Spring!$1:$1,FALSE))),"")</f>
        <v/>
      </c>
      <c r="AA485" t="str">
        <f>IFERROR(IF(INDEX(Spring!$1:$1048576,MATCH(All!$A485,Spring!$A:$A,FALSE),MATCH(All!AA$1,Spring!$1:$1,FALSE))="","",INDEX(Spring!$1:$1048576,MATCH(All!$A485,Spring!$A:$A,FALSE),MATCH(All!AA$1,Spring!$1:$1,FALSE))),"")</f>
        <v/>
      </c>
      <c r="AB485" t="str">
        <f>IFERROR(IF(INDEX(Spring!$1:$1048576,MATCH(All!$A485,Spring!$A:$A,FALSE),MATCH(All!AB$1,Spring!$1:$1,FALSE))="","",INDEX(Spring!$1:$1048576,MATCH(All!$A485,Spring!$A:$A,FALSE),MATCH(All!AB$1,Spring!$1:$1,FALSE))),"")</f>
        <v>1A</v>
      </c>
      <c r="AC485" t="str">
        <f>IFERROR(IF(INDEX(Spring!$1:$1048576,MATCH(All!$A485,Spring!$A:$A,FALSE),MATCH(All!AC$1,Spring!$1:$1,FALSE))="","",INDEX(Spring!$1:$1048576,MATCH(All!$A485,Spring!$A:$A,FALSE),MATCH(All!AC$1,Spring!$1:$1,FALSE))),"")</f>
        <v>1A</v>
      </c>
      <c r="AD485" t="str">
        <f>IFERROR(VLOOKUP(A485,'Flag Football'!A:A,1,FALSE),"")</f>
        <v/>
      </c>
      <c r="AE485" t="str">
        <f t="shared" si="7"/>
        <v/>
      </c>
    </row>
    <row r="486" spans="1:31" ht="15.75" thickBot="1" x14ac:dyDescent="0.3">
      <c r="A486" s="18" t="s">
        <v>576</v>
      </c>
      <c r="B486" s="38">
        <f>IFERROR(VLOOKUP(A486,'Public v Private'!A:G,3,FALSE),"")</f>
        <v>0</v>
      </c>
      <c r="C486" s="38">
        <f>IFERROR(VLOOKUP(A486,'Public v Private'!A:G,4,FALSE),"")</f>
        <v>0</v>
      </c>
      <c r="D486" s="38">
        <f>IFERROR(VLOOKUP(A486,'Public v Private'!A:G,5,FALSE),"")</f>
        <v>0</v>
      </c>
      <c r="E486" s="38"/>
      <c r="F486" s="40">
        <f>IFERROR(INDEX(Fall!$1:$1048576,MATCH(All!$A486,Fall!$A:$A,FALSE),MATCH(All!F$1,Fall!$1:$1,FALSE)),"N/A")</f>
        <v>333</v>
      </c>
      <c r="G486" t="str">
        <f>IFERROR(IF(INDEX(Fall!$1:$1048576,MATCH(All!$A486,Fall!$A:$A,FALSE),MATCH(All!G$1,Fall!$1:$1,FALSE))="","",INDEX(Fall!$1:$1048576,MATCH(All!$A486,Fall!$A:$A,FALSE),MATCH(All!G$1,Fall!$1:$1,FALSE))),"")</f>
        <v>1A</v>
      </c>
      <c r="H486" t="str">
        <f>IFERROR(IF(INDEX(Fall!$1:$1048576,MATCH(All!$A486,Fall!$A:$A,FALSE),MATCH(All!H$1,Fall!$1:$1,FALSE))="","",INDEX(Fall!$1:$1048576,MATCH(All!$A486,Fall!$A:$A,FALSE),MATCH(All!H$1,Fall!$1:$1,FALSE))),"")</f>
        <v>1A</v>
      </c>
      <c r="I486" t="str">
        <f>IFERROR(IF(INDEX(Fall!$1:$1048576,MATCH(All!$A486,Fall!$A:$A,FALSE),MATCH(All!I$1,Fall!$1:$1,FALSE))="","",INDEX(Fall!$1:$1048576,MATCH(All!$A486,Fall!$A:$A,FALSE),MATCH(All!I$1,Fall!$1:$1,FALSE))),"")</f>
        <v>2A</v>
      </c>
      <c r="J486" t="str">
        <f>IFERROR(IF(INDEX(Fall!$1:$1048576,MATCH(All!$A486,Fall!$A:$A,FALSE),MATCH(All!J$1,Fall!$1:$1,FALSE))="","",INDEX(Fall!$1:$1048576,MATCH(All!$A486,Fall!$A:$A,FALSE),MATCH(All!J$1,Fall!$1:$1,FALSE))),"")</f>
        <v/>
      </c>
      <c r="K486" t="str">
        <f>IFERROR(IF(INDEX(Fall!$1:$1048576,MATCH(All!$A486,Fall!$A:$A,FALSE),MATCH(All!K$1,Fall!$1:$1,FALSE))="","",INDEX(Fall!$1:$1048576,MATCH(All!$A486,Fall!$A:$A,FALSE),MATCH(All!K$1,Fall!$1:$1,FALSE))),"")</f>
        <v/>
      </c>
      <c r="L486" t="str">
        <f>IFERROR(IF(INDEX(Fall!$1:$1048576,MATCH(All!$A486,Fall!$A:$A,FALSE),MATCH(All!L$1,Fall!$1:$1,FALSE))="","",INDEX(Fall!$1:$1048576,MATCH(All!$A486,Fall!$A:$A,FALSE),MATCH(All!L$1,Fall!$1:$1,FALSE))),"")</f>
        <v>1A</v>
      </c>
      <c r="M486" t="str">
        <f>IFERROR(IF(INDEX(Fall!$1:$1048576,MATCH(All!$A486,Fall!$A:$A,FALSE),MATCH(All!M$1,Fall!$1:$1,FALSE))="","",INDEX(Fall!$1:$1048576,MATCH(All!$A486,Fall!$A:$A,FALSE),MATCH(All!M$1,Fall!$1:$1,FALSE))),"")</f>
        <v>2A</v>
      </c>
      <c r="O486">
        <f>IFERROR(IF(INDEX(Winter!$1:$1048576,MATCH(All!$A486,Winter!$A:$A,FALSE),MATCH(All!O$1,Winter!$1:$1,FALSE))="","",INDEX(Winter!$1:$1048576,MATCH(All!$A486,Winter!$A:$A,FALSE),MATCH(All!O$1,Winter!$1:$1,FALSE))),"")</f>
        <v>333</v>
      </c>
      <c r="P486" t="str">
        <f>IFERROR(IF(INDEX(Winter!$1:$1048576,MATCH(All!$A486,Winter!$A:$A,FALSE),MATCH(All!P$1,Winter!$1:$1,FALSE))="","",INDEX(Winter!$1:$1048576,MATCH(All!$A486,Winter!$A:$A,FALSE),MATCH(All!P$1,Winter!$1:$1,FALSE))),"")</f>
        <v>2A</v>
      </c>
      <c r="Q486" t="str">
        <f>IFERROR(IF(INDEX(Winter!$1:$1048576,MATCH(All!$A486,Winter!$A:$A,FALSE),MATCH(All!Q$1,Winter!$1:$1,FALSE))="","",INDEX(Winter!$1:$1048576,MATCH(All!$A486,Winter!$A:$A,FALSE),MATCH(All!Q$1,Winter!$1:$1,FALSE))),"")</f>
        <v>2A</v>
      </c>
      <c r="R486" t="str">
        <f>IFERROR(IF(INDEX(Winter!$1:$1048576,MATCH(All!$A486,Winter!$A:$A,FALSE),MATCH(All!R$1,Winter!$1:$1,FALSE))="","",INDEX(Winter!$1:$1048576,MATCH(All!$A486,Winter!$A:$A,FALSE),MATCH(All!R$1,Winter!$1:$1,FALSE))),"")</f>
        <v>1A</v>
      </c>
      <c r="S486" t="str">
        <f>IFERROR(IF(INDEX(Winter!$1:$1048576,MATCH(All!$A486,Winter!$A:$A,FALSE),MATCH(All!S$1,Winter!$1:$1,FALSE))="","",INDEX(Winter!$1:$1048576,MATCH(All!$A486,Winter!$A:$A,FALSE),MATCH(All!S$1,Winter!$1:$1,FALSE))),"")</f>
        <v>1A</v>
      </c>
      <c r="T486" t="str">
        <f>IFERROR(IF(INDEX(Winter!$1:$1048576,MATCH(All!$A486,Winter!$A:$A,FALSE),MATCH(All!T$1,Winter!$1:$1,FALSE))="","",INDEX(Winter!$1:$1048576,MATCH(All!$A486,Winter!$A:$A,FALSE),MATCH(All!T$1,Winter!$1:$1,FALSE))),"")</f>
        <v>1A</v>
      </c>
      <c r="U486" t="str">
        <f>IFERROR(IF(INDEX(Winter!$1:$1048576,MATCH(All!$A486,Winter!$A:$A,FALSE),MATCH(All!U$1,Winter!$1:$1,FALSE))="","",INDEX(Winter!$1:$1048576,MATCH(All!$A486,Winter!$A:$A,FALSE),MATCH(All!U$1,Winter!$1:$1,FALSE))),"")</f>
        <v/>
      </c>
      <c r="W486">
        <f>IFERROR(IF(INDEX(Spring!$1:$1048576,MATCH(All!$A486,Spring!$A:$A,FALSE),MATCH(All!W$1,Spring!$1:$1,FALSE))="","",INDEX(Spring!$1:$1048576,MATCH(All!$A486,Spring!$A:$A,FALSE),MATCH(All!W$1,Spring!$1:$1,FALSE))),"")</f>
        <v>333</v>
      </c>
      <c r="X486" t="str">
        <f>IFERROR(IF(INDEX(Spring!$1:$1048576,MATCH(All!$A486,Spring!$A:$A,FALSE),MATCH(All!X$1,Spring!$1:$1,FALSE))="","",INDEX(Spring!$1:$1048576,MATCH(All!$A486,Spring!$A:$A,FALSE),MATCH(All!X$1,Spring!$1:$1,FALSE))),"")</f>
        <v>2A</v>
      </c>
      <c r="Y486" t="str">
        <f>IFERROR(IF(INDEX(Spring!$1:$1048576,MATCH(All!$A486,Spring!$A:$A,FALSE),MATCH(All!Y$1,Spring!$1:$1,FALSE))="","",INDEX(Spring!$1:$1048576,MATCH(All!$A486,Spring!$A:$A,FALSE),MATCH(All!Y$1,Spring!$1:$1,FALSE))),"")</f>
        <v>2A</v>
      </c>
      <c r="Z486" t="str">
        <f>IFERROR(IF(INDEX(Spring!$1:$1048576,MATCH(All!$A486,Spring!$A:$A,FALSE),MATCH(All!Z$1,Spring!$1:$1,FALSE))="","",INDEX(Spring!$1:$1048576,MATCH(All!$A486,Spring!$A:$A,FALSE),MATCH(All!Z$1,Spring!$1:$1,FALSE))),"")</f>
        <v/>
      </c>
      <c r="AA486" t="str">
        <f>IFERROR(IF(INDEX(Spring!$1:$1048576,MATCH(All!$A486,Spring!$A:$A,FALSE),MATCH(All!AA$1,Spring!$1:$1,FALSE))="","",INDEX(Spring!$1:$1048576,MATCH(All!$A486,Spring!$A:$A,FALSE),MATCH(All!AA$1,Spring!$1:$1,FALSE))),"")</f>
        <v>1A</v>
      </c>
      <c r="AB486" t="str">
        <f>IFERROR(IF(INDEX(Spring!$1:$1048576,MATCH(All!$A486,Spring!$A:$A,FALSE),MATCH(All!AB$1,Spring!$1:$1,FALSE))="","",INDEX(Spring!$1:$1048576,MATCH(All!$A486,Spring!$A:$A,FALSE),MATCH(All!AB$1,Spring!$1:$1,FALSE))),"")</f>
        <v>1A</v>
      </c>
      <c r="AC486" t="str">
        <f>IFERROR(IF(INDEX(Spring!$1:$1048576,MATCH(All!$A486,Spring!$A:$A,FALSE),MATCH(All!AC$1,Spring!$1:$1,FALSE))="","",INDEX(Spring!$1:$1048576,MATCH(All!$A486,Spring!$A:$A,FALSE),MATCH(All!AC$1,Spring!$1:$1,FALSE))),"")</f>
        <v>1A</v>
      </c>
      <c r="AD486" t="str">
        <f>IFERROR(VLOOKUP(A486,'Flag Football'!A:A,1,FALSE),"")</f>
        <v/>
      </c>
      <c r="AE486" t="str">
        <f t="shared" si="7"/>
        <v/>
      </c>
    </row>
    <row r="487" spans="1:31" ht="15.75" thickBot="1" x14ac:dyDescent="0.3">
      <c r="A487" s="20" t="s">
        <v>577</v>
      </c>
      <c r="B487" s="38">
        <f>IFERROR(VLOOKUP(A487,'Public v Private'!A:G,3,FALSE),"")</f>
        <v>0</v>
      </c>
      <c r="C487" s="38">
        <f>IFERROR(VLOOKUP(A487,'Public v Private'!A:G,4,FALSE),"")</f>
        <v>0</v>
      </c>
      <c r="D487" s="38">
        <f>IFERROR(VLOOKUP(A487,'Public v Private'!A:G,5,FALSE),"")</f>
        <v>0</v>
      </c>
      <c r="E487" s="38"/>
      <c r="F487" s="40">
        <f>IFERROR(INDEX(Fall!$1:$1048576,MATCH(All!$A487,Fall!$A:$A,FALSE),MATCH(All!F$1,Fall!$1:$1,FALSE)),"N/A")</f>
        <v>346</v>
      </c>
      <c r="G487" t="str">
        <f>IFERROR(IF(INDEX(Fall!$1:$1048576,MATCH(All!$A487,Fall!$A:$A,FALSE),MATCH(All!G$1,Fall!$1:$1,FALSE))="","",INDEX(Fall!$1:$1048576,MATCH(All!$A487,Fall!$A:$A,FALSE),MATCH(All!G$1,Fall!$1:$1,FALSE))),"")</f>
        <v>1A</v>
      </c>
      <c r="H487" t="str">
        <f>IFERROR(IF(INDEX(Fall!$1:$1048576,MATCH(All!$A487,Fall!$A:$A,FALSE),MATCH(All!H$1,Fall!$1:$1,FALSE))="","",INDEX(Fall!$1:$1048576,MATCH(All!$A487,Fall!$A:$A,FALSE),MATCH(All!H$1,Fall!$1:$1,FALSE))),"")</f>
        <v>1A</v>
      </c>
      <c r="I487" t="str">
        <f>IFERROR(IF(INDEX(Fall!$1:$1048576,MATCH(All!$A487,Fall!$A:$A,FALSE),MATCH(All!I$1,Fall!$1:$1,FALSE))="","",INDEX(Fall!$1:$1048576,MATCH(All!$A487,Fall!$A:$A,FALSE),MATCH(All!I$1,Fall!$1:$1,FALSE))),"")</f>
        <v>1A</v>
      </c>
      <c r="J487" t="str">
        <f>IFERROR(IF(INDEX(Fall!$1:$1048576,MATCH(All!$A487,Fall!$A:$A,FALSE),MATCH(All!J$1,Fall!$1:$1,FALSE))="","",INDEX(Fall!$1:$1048576,MATCH(All!$A487,Fall!$A:$A,FALSE),MATCH(All!J$1,Fall!$1:$1,FALSE))),"")</f>
        <v>1A</v>
      </c>
      <c r="K487" t="str">
        <f>IFERROR(IF(INDEX(Fall!$1:$1048576,MATCH(All!$A487,Fall!$A:$A,FALSE),MATCH(All!K$1,Fall!$1:$1,FALSE))="","",INDEX(Fall!$1:$1048576,MATCH(All!$A487,Fall!$A:$A,FALSE),MATCH(All!K$1,Fall!$1:$1,FALSE))),"")</f>
        <v/>
      </c>
      <c r="L487" t="str">
        <f>IFERROR(IF(INDEX(Fall!$1:$1048576,MATCH(All!$A487,Fall!$A:$A,FALSE),MATCH(All!L$1,Fall!$1:$1,FALSE))="","",INDEX(Fall!$1:$1048576,MATCH(All!$A487,Fall!$A:$A,FALSE),MATCH(All!L$1,Fall!$1:$1,FALSE))),"")</f>
        <v/>
      </c>
      <c r="M487" t="str">
        <f>IFERROR(IF(INDEX(Fall!$1:$1048576,MATCH(All!$A487,Fall!$A:$A,FALSE),MATCH(All!M$1,Fall!$1:$1,FALSE))="","",INDEX(Fall!$1:$1048576,MATCH(All!$A487,Fall!$A:$A,FALSE),MATCH(All!M$1,Fall!$1:$1,FALSE))),"")</f>
        <v>2A</v>
      </c>
      <c r="O487">
        <f>IFERROR(IF(INDEX(Winter!$1:$1048576,MATCH(All!$A487,Winter!$A:$A,FALSE),MATCH(All!O$1,Winter!$1:$1,FALSE))="","",INDEX(Winter!$1:$1048576,MATCH(All!$A487,Winter!$A:$A,FALSE),MATCH(All!O$1,Winter!$1:$1,FALSE))),"")</f>
        <v>346</v>
      </c>
      <c r="P487" t="str">
        <f>IFERROR(IF(INDEX(Winter!$1:$1048576,MATCH(All!$A487,Winter!$A:$A,FALSE),MATCH(All!P$1,Winter!$1:$1,FALSE))="","",INDEX(Winter!$1:$1048576,MATCH(All!$A487,Winter!$A:$A,FALSE),MATCH(All!P$1,Winter!$1:$1,FALSE))),"")</f>
        <v>2A</v>
      </c>
      <c r="Q487" t="str">
        <f>IFERROR(IF(INDEX(Winter!$1:$1048576,MATCH(All!$A487,Winter!$A:$A,FALSE),MATCH(All!Q$1,Winter!$1:$1,FALSE))="","",INDEX(Winter!$1:$1048576,MATCH(All!$A487,Winter!$A:$A,FALSE),MATCH(All!Q$1,Winter!$1:$1,FALSE))),"")</f>
        <v>2A</v>
      </c>
      <c r="R487" t="str">
        <f>IFERROR(IF(INDEX(Winter!$1:$1048576,MATCH(All!$A487,Winter!$A:$A,FALSE),MATCH(All!R$1,Winter!$1:$1,FALSE))="","",INDEX(Winter!$1:$1048576,MATCH(All!$A487,Winter!$A:$A,FALSE),MATCH(All!R$1,Winter!$1:$1,FALSE))),"")</f>
        <v/>
      </c>
      <c r="S487" t="str">
        <f>IFERROR(IF(INDEX(Winter!$1:$1048576,MATCH(All!$A487,Winter!$A:$A,FALSE),MATCH(All!S$1,Winter!$1:$1,FALSE))="","",INDEX(Winter!$1:$1048576,MATCH(All!$A487,Winter!$A:$A,FALSE),MATCH(All!S$1,Winter!$1:$1,FALSE))),"")</f>
        <v/>
      </c>
      <c r="T487" t="str">
        <f>IFERROR(IF(INDEX(Winter!$1:$1048576,MATCH(All!$A487,Winter!$A:$A,FALSE),MATCH(All!T$1,Winter!$1:$1,FALSE))="","",INDEX(Winter!$1:$1048576,MATCH(All!$A487,Winter!$A:$A,FALSE),MATCH(All!T$1,Winter!$1:$1,FALSE))),"")</f>
        <v>1A</v>
      </c>
      <c r="U487" t="str">
        <f>IFERROR(IF(INDEX(Winter!$1:$1048576,MATCH(All!$A487,Winter!$A:$A,FALSE),MATCH(All!U$1,Winter!$1:$1,FALSE))="","",INDEX(Winter!$1:$1048576,MATCH(All!$A487,Winter!$A:$A,FALSE),MATCH(All!U$1,Winter!$1:$1,FALSE))),"")</f>
        <v>1A</v>
      </c>
      <c r="W487">
        <f>IFERROR(IF(INDEX(Spring!$1:$1048576,MATCH(All!$A487,Spring!$A:$A,FALSE),MATCH(All!W$1,Spring!$1:$1,FALSE))="","",INDEX(Spring!$1:$1048576,MATCH(All!$A487,Spring!$A:$A,FALSE),MATCH(All!W$1,Spring!$1:$1,FALSE))),"")</f>
        <v>346</v>
      </c>
      <c r="X487" t="str">
        <f>IFERROR(IF(INDEX(Spring!$1:$1048576,MATCH(All!$A487,Spring!$A:$A,FALSE),MATCH(All!X$1,Spring!$1:$1,FALSE))="","",INDEX(Spring!$1:$1048576,MATCH(All!$A487,Spring!$A:$A,FALSE),MATCH(All!X$1,Spring!$1:$1,FALSE))),"")</f>
        <v>2A</v>
      </c>
      <c r="Y487" t="str">
        <f>IFERROR(IF(INDEX(Spring!$1:$1048576,MATCH(All!$A487,Spring!$A:$A,FALSE),MATCH(All!Y$1,Spring!$1:$1,FALSE))="","",INDEX(Spring!$1:$1048576,MATCH(All!$A487,Spring!$A:$A,FALSE),MATCH(All!Y$1,Spring!$1:$1,FALSE))),"")</f>
        <v>2A</v>
      </c>
      <c r="Z487" t="str">
        <f>IFERROR(IF(INDEX(Spring!$1:$1048576,MATCH(All!$A487,Spring!$A:$A,FALSE),MATCH(All!Z$1,Spring!$1:$1,FALSE))="","",INDEX(Spring!$1:$1048576,MATCH(All!$A487,Spring!$A:$A,FALSE),MATCH(All!Z$1,Spring!$1:$1,FALSE))),"")</f>
        <v/>
      </c>
      <c r="AA487" t="str">
        <f>IFERROR(IF(INDEX(Spring!$1:$1048576,MATCH(All!$A487,Spring!$A:$A,FALSE),MATCH(All!AA$1,Spring!$1:$1,FALSE))="","",INDEX(Spring!$1:$1048576,MATCH(All!$A487,Spring!$A:$A,FALSE),MATCH(All!AA$1,Spring!$1:$1,FALSE))),"")</f>
        <v/>
      </c>
      <c r="AB487" t="str">
        <f>IFERROR(IF(INDEX(Spring!$1:$1048576,MATCH(All!$A487,Spring!$A:$A,FALSE),MATCH(All!AB$1,Spring!$1:$1,FALSE))="","",INDEX(Spring!$1:$1048576,MATCH(All!$A487,Spring!$A:$A,FALSE),MATCH(All!AB$1,Spring!$1:$1,FALSE))),"")</f>
        <v>1A</v>
      </c>
      <c r="AC487" t="str">
        <f>IFERROR(IF(INDEX(Spring!$1:$1048576,MATCH(All!$A487,Spring!$A:$A,FALSE),MATCH(All!AC$1,Spring!$1:$1,FALSE))="","",INDEX(Spring!$1:$1048576,MATCH(All!$A487,Spring!$A:$A,FALSE),MATCH(All!AC$1,Spring!$1:$1,FALSE))),"")</f>
        <v>1A</v>
      </c>
      <c r="AD487" t="str">
        <f>IFERROR(VLOOKUP(A487,'Flag Football'!A:A,1,FALSE),"")</f>
        <v/>
      </c>
      <c r="AE487" t="str">
        <f t="shared" si="7"/>
        <v/>
      </c>
    </row>
    <row r="488" spans="1:31" ht="15.75" thickBot="1" x14ac:dyDescent="0.3">
      <c r="A488" s="18" t="s">
        <v>578</v>
      </c>
      <c r="B488" s="38">
        <f>IFERROR(VLOOKUP(A488,'Public v Private'!A:G,3,FALSE),"")</f>
        <v>0</v>
      </c>
      <c r="C488" s="38">
        <f>IFERROR(VLOOKUP(A488,'Public v Private'!A:G,4,FALSE),"")</f>
        <v>0</v>
      </c>
      <c r="D488" s="38">
        <f>IFERROR(VLOOKUP(A488,'Public v Private'!A:G,5,FALSE),"")</f>
        <v>0</v>
      </c>
      <c r="E488" s="38"/>
      <c r="F488" s="40">
        <f>IFERROR(INDEX(Fall!$1:$1048576,MATCH(All!$A488,Fall!$A:$A,FALSE),MATCH(All!F$1,Fall!$1:$1,FALSE)),"N/A")</f>
        <v>83</v>
      </c>
      <c r="G488" t="str">
        <f>IFERROR(IF(INDEX(Fall!$1:$1048576,MATCH(All!$A488,Fall!$A:$A,FALSE),MATCH(All!G$1,Fall!$1:$1,FALSE))="","",INDEX(Fall!$1:$1048576,MATCH(All!$A488,Fall!$A:$A,FALSE),MATCH(All!G$1,Fall!$1:$1,FALSE))),"")</f>
        <v/>
      </c>
      <c r="H488" t="str">
        <f>IFERROR(IF(INDEX(Fall!$1:$1048576,MATCH(All!$A488,Fall!$A:$A,FALSE),MATCH(All!H$1,Fall!$1:$1,FALSE))="","",INDEX(Fall!$1:$1048576,MATCH(All!$A488,Fall!$A:$A,FALSE),MATCH(All!H$1,Fall!$1:$1,FALSE))),"")</f>
        <v/>
      </c>
      <c r="I488" t="str">
        <f>IFERROR(IF(INDEX(Fall!$1:$1048576,MATCH(All!$A488,Fall!$A:$A,FALSE),MATCH(All!I$1,Fall!$1:$1,FALSE))="","",INDEX(Fall!$1:$1048576,MATCH(All!$A488,Fall!$A:$A,FALSE),MATCH(All!I$1,Fall!$1:$1,FALSE))),"")</f>
        <v/>
      </c>
      <c r="J488" t="str">
        <f>IFERROR(IF(INDEX(Fall!$1:$1048576,MATCH(All!$A488,Fall!$A:$A,FALSE),MATCH(All!J$1,Fall!$1:$1,FALSE))="","",INDEX(Fall!$1:$1048576,MATCH(All!$A488,Fall!$A:$A,FALSE),MATCH(All!J$1,Fall!$1:$1,FALSE))),"")</f>
        <v/>
      </c>
      <c r="K488" t="str">
        <f>IFERROR(IF(INDEX(Fall!$1:$1048576,MATCH(All!$A488,Fall!$A:$A,FALSE),MATCH(All!K$1,Fall!$1:$1,FALSE))="","",INDEX(Fall!$1:$1048576,MATCH(All!$A488,Fall!$A:$A,FALSE),MATCH(All!K$1,Fall!$1:$1,FALSE))),"")</f>
        <v/>
      </c>
      <c r="L488" t="str">
        <f>IFERROR(IF(INDEX(Fall!$1:$1048576,MATCH(All!$A488,Fall!$A:$A,FALSE),MATCH(All!L$1,Fall!$1:$1,FALSE))="","",INDEX(Fall!$1:$1048576,MATCH(All!$A488,Fall!$A:$A,FALSE),MATCH(All!L$1,Fall!$1:$1,FALSE))),"")</f>
        <v/>
      </c>
      <c r="M488" t="str">
        <f>IFERROR(IF(INDEX(Fall!$1:$1048576,MATCH(All!$A488,Fall!$A:$A,FALSE),MATCH(All!M$1,Fall!$1:$1,FALSE))="","",INDEX(Fall!$1:$1048576,MATCH(All!$A488,Fall!$A:$A,FALSE),MATCH(All!M$1,Fall!$1:$1,FALSE))),"")</f>
        <v>1A</v>
      </c>
      <c r="O488">
        <f>IFERROR(IF(INDEX(Winter!$1:$1048576,MATCH(All!$A488,Winter!$A:$A,FALSE),MATCH(All!O$1,Winter!$1:$1,FALSE))="","",INDEX(Winter!$1:$1048576,MATCH(All!$A488,Winter!$A:$A,FALSE),MATCH(All!O$1,Winter!$1:$1,FALSE))),"")</f>
        <v>83</v>
      </c>
      <c r="P488" t="str">
        <f>IFERROR(IF(INDEX(Winter!$1:$1048576,MATCH(All!$A488,Winter!$A:$A,FALSE),MATCH(All!P$1,Winter!$1:$1,FALSE))="","",INDEX(Winter!$1:$1048576,MATCH(All!$A488,Winter!$A:$A,FALSE),MATCH(All!P$1,Winter!$1:$1,FALSE))),"")</f>
        <v>1A</v>
      </c>
      <c r="Q488" t="str">
        <f>IFERROR(IF(INDEX(Winter!$1:$1048576,MATCH(All!$A488,Winter!$A:$A,FALSE),MATCH(All!Q$1,Winter!$1:$1,FALSE))="","",INDEX(Winter!$1:$1048576,MATCH(All!$A488,Winter!$A:$A,FALSE),MATCH(All!Q$1,Winter!$1:$1,FALSE))),"")</f>
        <v>1A</v>
      </c>
      <c r="R488" t="str">
        <f>IFERROR(IF(INDEX(Winter!$1:$1048576,MATCH(All!$A488,Winter!$A:$A,FALSE),MATCH(All!R$1,Winter!$1:$1,FALSE))="","",INDEX(Winter!$1:$1048576,MATCH(All!$A488,Winter!$A:$A,FALSE),MATCH(All!R$1,Winter!$1:$1,FALSE))),"")</f>
        <v/>
      </c>
      <c r="S488" t="str">
        <f>IFERROR(IF(INDEX(Winter!$1:$1048576,MATCH(All!$A488,Winter!$A:$A,FALSE),MATCH(All!S$1,Winter!$1:$1,FALSE))="","",INDEX(Winter!$1:$1048576,MATCH(All!$A488,Winter!$A:$A,FALSE),MATCH(All!S$1,Winter!$1:$1,FALSE))),"")</f>
        <v/>
      </c>
      <c r="T488" t="str">
        <f>IFERROR(IF(INDEX(Winter!$1:$1048576,MATCH(All!$A488,Winter!$A:$A,FALSE),MATCH(All!T$1,Winter!$1:$1,FALSE))="","",INDEX(Winter!$1:$1048576,MATCH(All!$A488,Winter!$A:$A,FALSE),MATCH(All!T$1,Winter!$1:$1,FALSE))),"")</f>
        <v/>
      </c>
      <c r="U488" t="str">
        <f>IFERROR(IF(INDEX(Winter!$1:$1048576,MATCH(All!$A488,Winter!$A:$A,FALSE),MATCH(All!U$1,Winter!$1:$1,FALSE))="","",INDEX(Winter!$1:$1048576,MATCH(All!$A488,Winter!$A:$A,FALSE),MATCH(All!U$1,Winter!$1:$1,FALSE))),"")</f>
        <v/>
      </c>
      <c r="W488">
        <f>IFERROR(IF(INDEX(Spring!$1:$1048576,MATCH(All!$A488,Spring!$A:$A,FALSE),MATCH(All!W$1,Spring!$1:$1,FALSE))="","",INDEX(Spring!$1:$1048576,MATCH(All!$A488,Spring!$A:$A,FALSE),MATCH(All!W$1,Spring!$1:$1,FALSE))),"")</f>
        <v>83</v>
      </c>
      <c r="X488" t="str">
        <f>IFERROR(IF(INDEX(Spring!$1:$1048576,MATCH(All!$A488,Spring!$A:$A,FALSE),MATCH(All!X$1,Spring!$1:$1,FALSE))="","",INDEX(Spring!$1:$1048576,MATCH(All!$A488,Spring!$A:$A,FALSE),MATCH(All!X$1,Spring!$1:$1,FALSE))),"")</f>
        <v>1A</v>
      </c>
      <c r="Y488" t="str">
        <f>IFERROR(IF(INDEX(Spring!$1:$1048576,MATCH(All!$A488,Spring!$A:$A,FALSE),MATCH(All!Y$1,Spring!$1:$1,FALSE))="","",INDEX(Spring!$1:$1048576,MATCH(All!$A488,Spring!$A:$A,FALSE),MATCH(All!Y$1,Spring!$1:$1,FALSE))),"")</f>
        <v>1A</v>
      </c>
      <c r="Z488" t="str">
        <f>IFERROR(IF(INDEX(Spring!$1:$1048576,MATCH(All!$A488,Spring!$A:$A,FALSE),MATCH(All!Z$1,Spring!$1:$1,FALSE))="","",INDEX(Spring!$1:$1048576,MATCH(All!$A488,Spring!$A:$A,FALSE),MATCH(All!Z$1,Spring!$1:$1,FALSE))),"")</f>
        <v/>
      </c>
      <c r="AA488" t="str">
        <f>IFERROR(IF(INDEX(Spring!$1:$1048576,MATCH(All!$A488,Spring!$A:$A,FALSE),MATCH(All!AA$1,Spring!$1:$1,FALSE))="","",INDEX(Spring!$1:$1048576,MATCH(All!$A488,Spring!$A:$A,FALSE),MATCH(All!AA$1,Spring!$1:$1,FALSE))),"")</f>
        <v/>
      </c>
      <c r="AB488" t="str">
        <f>IFERROR(IF(INDEX(Spring!$1:$1048576,MATCH(All!$A488,Spring!$A:$A,FALSE),MATCH(All!AB$1,Spring!$1:$1,FALSE))="","",INDEX(Spring!$1:$1048576,MATCH(All!$A488,Spring!$A:$A,FALSE),MATCH(All!AB$1,Spring!$1:$1,FALSE))),"")</f>
        <v/>
      </c>
      <c r="AC488" t="str">
        <f>IFERROR(IF(INDEX(Spring!$1:$1048576,MATCH(All!$A488,Spring!$A:$A,FALSE),MATCH(All!AC$1,Spring!$1:$1,FALSE))="","",INDEX(Spring!$1:$1048576,MATCH(All!$A488,Spring!$A:$A,FALSE),MATCH(All!AC$1,Spring!$1:$1,FALSE))),"")</f>
        <v/>
      </c>
      <c r="AD488" t="str">
        <f>IFERROR(VLOOKUP(A488,'Flag Football'!A:A,1,FALSE),"")</f>
        <v/>
      </c>
      <c r="AE488" t="str">
        <f t="shared" si="7"/>
        <v/>
      </c>
    </row>
    <row r="489" spans="1:31" ht="15.75" thickBot="1" x14ac:dyDescent="0.3">
      <c r="A489" s="20" t="s">
        <v>579</v>
      </c>
      <c r="B489" s="38" t="str">
        <f>IFERROR(VLOOKUP(A489,'Public v Private'!A:G,3,FALSE),"")</f>
        <v>private</v>
      </c>
      <c r="C489" s="38">
        <f>IFERROR(VLOOKUP(A489,'Public v Private'!A:G,4,FALSE),"")</f>
        <v>7</v>
      </c>
      <c r="D489" s="38">
        <f>IFERROR(VLOOKUP(A489,'Public v Private'!A:G,5,FALSE),"")</f>
        <v>19</v>
      </c>
      <c r="E489" s="38"/>
      <c r="F489" s="40" t="str">
        <f>IFERROR(INDEX(Fall!$1:$1048576,MATCH(All!$A489,Fall!$A:$A,FALSE),MATCH(All!F$1,Fall!$1:$1,FALSE)),"N/A")</f>
        <v>164.00 (270.60)</v>
      </c>
      <c r="G489" t="str">
        <f>IFERROR(IF(INDEX(Fall!$1:$1048576,MATCH(All!$A489,Fall!$A:$A,FALSE),MATCH(All!G$1,Fall!$1:$1,FALSE))="","",INDEX(Fall!$1:$1048576,MATCH(All!$A489,Fall!$A:$A,FALSE),MATCH(All!G$1,Fall!$1:$1,FALSE))),"")</f>
        <v/>
      </c>
      <c r="H489" t="str">
        <f>IFERROR(IF(INDEX(Fall!$1:$1048576,MATCH(All!$A489,Fall!$A:$A,FALSE),MATCH(All!H$1,Fall!$1:$1,FALSE))="","",INDEX(Fall!$1:$1048576,MATCH(All!$A489,Fall!$A:$A,FALSE),MATCH(All!H$1,Fall!$1:$1,FALSE))),"")</f>
        <v/>
      </c>
      <c r="I489" t="str">
        <f>IFERROR(IF(INDEX(Fall!$1:$1048576,MATCH(All!$A489,Fall!$A:$A,FALSE),MATCH(All!I$1,Fall!$1:$1,FALSE))="","",INDEX(Fall!$1:$1048576,MATCH(All!$A489,Fall!$A:$A,FALSE),MATCH(All!I$1,Fall!$1:$1,FALSE))),"")</f>
        <v>1A</v>
      </c>
      <c r="J489" t="str">
        <f>IFERROR(IF(INDEX(Fall!$1:$1048576,MATCH(All!$A489,Fall!$A:$A,FALSE),MATCH(All!J$1,Fall!$1:$1,FALSE))="","",INDEX(Fall!$1:$1048576,MATCH(All!$A489,Fall!$A:$A,FALSE),MATCH(All!J$1,Fall!$1:$1,FALSE))),"")</f>
        <v/>
      </c>
      <c r="K489" t="str">
        <f>IFERROR(IF(INDEX(Fall!$1:$1048576,MATCH(All!$A489,Fall!$A:$A,FALSE),MATCH(All!K$1,Fall!$1:$1,FALSE))="","",INDEX(Fall!$1:$1048576,MATCH(All!$A489,Fall!$A:$A,FALSE),MATCH(All!K$1,Fall!$1:$1,FALSE))),"")</f>
        <v>1A</v>
      </c>
      <c r="L489" t="str">
        <f>IFERROR(IF(INDEX(Fall!$1:$1048576,MATCH(All!$A489,Fall!$A:$A,FALSE),MATCH(All!L$1,Fall!$1:$1,FALSE))="","",INDEX(Fall!$1:$1048576,MATCH(All!$A489,Fall!$A:$A,FALSE),MATCH(All!L$1,Fall!$1:$1,FALSE))),"")</f>
        <v/>
      </c>
      <c r="M489" t="str">
        <f>IFERROR(IF(INDEX(Fall!$1:$1048576,MATCH(All!$A489,Fall!$A:$A,FALSE),MATCH(All!M$1,Fall!$1:$1,FALSE))="","",INDEX(Fall!$1:$1048576,MATCH(All!$A489,Fall!$A:$A,FALSE),MATCH(All!M$1,Fall!$1:$1,FALSE))),"")</f>
        <v>1A</v>
      </c>
      <c r="O489" t="str">
        <f>IFERROR(IF(INDEX(Winter!$1:$1048576,MATCH(All!$A489,Winter!$A:$A,FALSE),MATCH(All!O$1,Winter!$1:$1,FALSE))="","",INDEX(Winter!$1:$1048576,MATCH(All!$A489,Winter!$A:$A,FALSE),MATCH(All!O$1,Winter!$1:$1,FALSE))),"")</f>
        <v>164.00 (270.60)</v>
      </c>
      <c r="P489" t="str">
        <f>IFERROR(IF(INDEX(Winter!$1:$1048576,MATCH(All!$A489,Winter!$A:$A,FALSE),MATCH(All!P$1,Winter!$1:$1,FALSE))="","",INDEX(Winter!$1:$1048576,MATCH(All!$A489,Winter!$A:$A,FALSE),MATCH(All!P$1,Winter!$1:$1,FALSE))),"")</f>
        <v>1A</v>
      </c>
      <c r="Q489" t="str">
        <f>IFERROR(IF(INDEX(Winter!$1:$1048576,MATCH(All!$A489,Winter!$A:$A,FALSE),MATCH(All!Q$1,Winter!$1:$1,FALSE))="","",INDEX(Winter!$1:$1048576,MATCH(All!$A489,Winter!$A:$A,FALSE),MATCH(All!Q$1,Winter!$1:$1,FALSE))),"")</f>
        <v>1A</v>
      </c>
      <c r="R489" t="str">
        <f>IFERROR(IF(INDEX(Winter!$1:$1048576,MATCH(All!$A489,Winter!$A:$A,FALSE),MATCH(All!R$1,Winter!$1:$1,FALSE))="","",INDEX(Winter!$1:$1048576,MATCH(All!$A489,Winter!$A:$A,FALSE),MATCH(All!R$1,Winter!$1:$1,FALSE))),"")</f>
        <v/>
      </c>
      <c r="S489" t="str">
        <f>IFERROR(IF(INDEX(Winter!$1:$1048576,MATCH(All!$A489,Winter!$A:$A,FALSE),MATCH(All!S$1,Winter!$1:$1,FALSE))="","",INDEX(Winter!$1:$1048576,MATCH(All!$A489,Winter!$A:$A,FALSE),MATCH(All!S$1,Winter!$1:$1,FALSE))),"")</f>
        <v/>
      </c>
      <c r="T489" t="str">
        <f>IFERROR(IF(INDEX(Winter!$1:$1048576,MATCH(All!$A489,Winter!$A:$A,FALSE),MATCH(All!T$1,Winter!$1:$1,FALSE))="","",INDEX(Winter!$1:$1048576,MATCH(All!$A489,Winter!$A:$A,FALSE),MATCH(All!T$1,Winter!$1:$1,FALSE))),"")</f>
        <v/>
      </c>
      <c r="U489" t="str">
        <f>IFERROR(IF(INDEX(Winter!$1:$1048576,MATCH(All!$A489,Winter!$A:$A,FALSE),MATCH(All!U$1,Winter!$1:$1,FALSE))="","",INDEX(Winter!$1:$1048576,MATCH(All!$A489,Winter!$A:$A,FALSE),MATCH(All!U$1,Winter!$1:$1,FALSE))),"")</f>
        <v/>
      </c>
      <c r="W489" t="str">
        <f>IFERROR(IF(INDEX(Spring!$1:$1048576,MATCH(All!$A489,Spring!$A:$A,FALSE),MATCH(All!W$1,Spring!$1:$1,FALSE))="","",INDEX(Spring!$1:$1048576,MATCH(All!$A489,Spring!$A:$A,FALSE),MATCH(All!W$1,Spring!$1:$1,FALSE))),"")</f>
        <v>164.00 (270.60)</v>
      </c>
      <c r="X489" t="str">
        <f>IFERROR(IF(INDEX(Spring!$1:$1048576,MATCH(All!$A489,Spring!$A:$A,FALSE),MATCH(All!X$1,Spring!$1:$1,FALSE))="","",INDEX(Spring!$1:$1048576,MATCH(All!$A489,Spring!$A:$A,FALSE),MATCH(All!X$1,Spring!$1:$1,FALSE))),"")</f>
        <v>1A</v>
      </c>
      <c r="Y489" t="str">
        <f>IFERROR(IF(INDEX(Spring!$1:$1048576,MATCH(All!$A489,Spring!$A:$A,FALSE),MATCH(All!Y$1,Spring!$1:$1,FALSE))="","",INDEX(Spring!$1:$1048576,MATCH(All!$A489,Spring!$A:$A,FALSE),MATCH(All!Y$1,Spring!$1:$1,FALSE))),"")</f>
        <v>1A</v>
      </c>
      <c r="Z489" t="str">
        <f>IFERROR(IF(INDEX(Spring!$1:$1048576,MATCH(All!$A489,Spring!$A:$A,FALSE),MATCH(All!Z$1,Spring!$1:$1,FALSE))="","",INDEX(Spring!$1:$1048576,MATCH(All!$A489,Spring!$A:$A,FALSE),MATCH(All!Z$1,Spring!$1:$1,FALSE))),"")</f>
        <v>1A</v>
      </c>
      <c r="AA489" t="str">
        <f>IFERROR(IF(INDEX(Spring!$1:$1048576,MATCH(All!$A489,Spring!$A:$A,FALSE),MATCH(All!AA$1,Spring!$1:$1,FALSE))="","",INDEX(Spring!$1:$1048576,MATCH(All!$A489,Spring!$A:$A,FALSE),MATCH(All!AA$1,Spring!$1:$1,FALSE))),"")</f>
        <v/>
      </c>
      <c r="AB489" t="str">
        <f>IFERROR(IF(INDEX(Spring!$1:$1048576,MATCH(All!$A489,Spring!$A:$A,FALSE),MATCH(All!AB$1,Spring!$1:$1,FALSE))="","",INDEX(Spring!$1:$1048576,MATCH(All!$A489,Spring!$A:$A,FALSE),MATCH(All!AB$1,Spring!$1:$1,FALSE))),"")</f>
        <v>1A</v>
      </c>
      <c r="AC489" t="str">
        <f>IFERROR(IF(INDEX(Spring!$1:$1048576,MATCH(All!$A489,Spring!$A:$A,FALSE),MATCH(All!AC$1,Spring!$1:$1,FALSE))="","",INDEX(Spring!$1:$1048576,MATCH(All!$A489,Spring!$A:$A,FALSE),MATCH(All!AC$1,Spring!$1:$1,FALSE))),"")</f>
        <v/>
      </c>
      <c r="AD489" t="str">
        <f>IFERROR(VLOOKUP(A489,'Flag Football'!A:A,1,FALSE),"")</f>
        <v/>
      </c>
      <c r="AE489" t="str">
        <f t="shared" si="7"/>
        <v/>
      </c>
    </row>
    <row r="490" spans="1:31" ht="15.75" thickBot="1" x14ac:dyDescent="0.3">
      <c r="A490" s="18" t="s">
        <v>581</v>
      </c>
      <c r="B490" s="38">
        <f>IFERROR(VLOOKUP(A490,'Public v Private'!A:G,3,FALSE),"")</f>
        <v>0</v>
      </c>
      <c r="C490" s="38">
        <f>IFERROR(VLOOKUP(A490,'Public v Private'!A:G,4,FALSE),"")</f>
        <v>0</v>
      </c>
      <c r="D490" s="38">
        <f>IFERROR(VLOOKUP(A490,'Public v Private'!A:G,5,FALSE),"")</f>
        <v>0</v>
      </c>
      <c r="E490" s="38"/>
      <c r="F490" s="40">
        <f>IFERROR(INDEX(Fall!$1:$1048576,MATCH(All!$A490,Fall!$A:$A,FALSE),MATCH(All!F$1,Fall!$1:$1,FALSE)),"N/A")</f>
        <v>1231</v>
      </c>
      <c r="G490" t="str">
        <f>IFERROR(IF(INDEX(Fall!$1:$1048576,MATCH(All!$A490,Fall!$A:$A,FALSE),MATCH(All!G$1,Fall!$1:$1,FALSE))="","",INDEX(Fall!$1:$1048576,MATCH(All!$A490,Fall!$A:$A,FALSE),MATCH(All!G$1,Fall!$1:$1,FALSE))),"")</f>
        <v>2A</v>
      </c>
      <c r="H490" t="str">
        <f>IFERROR(IF(INDEX(Fall!$1:$1048576,MATCH(All!$A490,Fall!$A:$A,FALSE),MATCH(All!H$1,Fall!$1:$1,FALSE))="","",INDEX(Fall!$1:$1048576,MATCH(All!$A490,Fall!$A:$A,FALSE),MATCH(All!H$1,Fall!$1:$1,FALSE))),"")</f>
        <v>2A</v>
      </c>
      <c r="I490" t="str">
        <f>IFERROR(IF(INDEX(Fall!$1:$1048576,MATCH(All!$A490,Fall!$A:$A,FALSE),MATCH(All!I$1,Fall!$1:$1,FALSE))="","",INDEX(Fall!$1:$1048576,MATCH(All!$A490,Fall!$A:$A,FALSE),MATCH(All!I$1,Fall!$1:$1,FALSE))),"")</f>
        <v>2A</v>
      </c>
      <c r="J490" t="str">
        <f>IFERROR(IF(INDEX(Fall!$1:$1048576,MATCH(All!$A490,Fall!$A:$A,FALSE),MATCH(All!J$1,Fall!$1:$1,FALSE))="","",INDEX(Fall!$1:$1048576,MATCH(All!$A490,Fall!$A:$A,FALSE),MATCH(All!J$1,Fall!$1:$1,FALSE))),"")</f>
        <v>2A</v>
      </c>
      <c r="K490" t="str">
        <f>IFERROR(IF(INDEX(Fall!$1:$1048576,MATCH(All!$A490,Fall!$A:$A,FALSE),MATCH(All!K$1,Fall!$1:$1,FALSE))="","",INDEX(Fall!$1:$1048576,MATCH(All!$A490,Fall!$A:$A,FALSE),MATCH(All!K$1,Fall!$1:$1,FALSE))),"")</f>
        <v>2A</v>
      </c>
      <c r="L490" t="str">
        <f>IFERROR(IF(INDEX(Fall!$1:$1048576,MATCH(All!$A490,Fall!$A:$A,FALSE),MATCH(All!L$1,Fall!$1:$1,FALSE))="","",INDEX(Fall!$1:$1048576,MATCH(All!$A490,Fall!$A:$A,FALSE),MATCH(All!L$1,Fall!$1:$1,FALSE))),"")</f>
        <v>1A</v>
      </c>
      <c r="M490" t="str">
        <f>IFERROR(IF(INDEX(Fall!$1:$1048576,MATCH(All!$A490,Fall!$A:$A,FALSE),MATCH(All!M$1,Fall!$1:$1,FALSE))="","",INDEX(Fall!$1:$1048576,MATCH(All!$A490,Fall!$A:$A,FALSE),MATCH(All!M$1,Fall!$1:$1,FALSE))),"")</f>
        <v>3A</v>
      </c>
      <c r="O490">
        <f>IFERROR(IF(INDEX(Winter!$1:$1048576,MATCH(All!$A490,Winter!$A:$A,FALSE),MATCH(All!O$1,Winter!$1:$1,FALSE))="","",INDEX(Winter!$1:$1048576,MATCH(All!$A490,Winter!$A:$A,FALSE),MATCH(All!O$1,Winter!$1:$1,FALSE))),"")</f>
        <v>1231</v>
      </c>
      <c r="P490" t="str">
        <f>IFERROR(IF(INDEX(Winter!$1:$1048576,MATCH(All!$A490,Winter!$A:$A,FALSE),MATCH(All!P$1,Winter!$1:$1,FALSE))="","",INDEX(Winter!$1:$1048576,MATCH(All!$A490,Winter!$A:$A,FALSE),MATCH(All!P$1,Winter!$1:$1,FALSE))),"")</f>
        <v>3A</v>
      </c>
      <c r="Q490" t="str">
        <f>IFERROR(IF(INDEX(Winter!$1:$1048576,MATCH(All!$A490,Winter!$A:$A,FALSE),MATCH(All!Q$1,Winter!$1:$1,FALSE))="","",INDEX(Winter!$1:$1048576,MATCH(All!$A490,Winter!$A:$A,FALSE),MATCH(All!Q$1,Winter!$1:$1,FALSE))),"")</f>
        <v>3A</v>
      </c>
      <c r="R490" t="str">
        <f>IFERROR(IF(INDEX(Winter!$1:$1048576,MATCH(All!$A490,Winter!$A:$A,FALSE),MATCH(All!R$1,Winter!$1:$1,FALSE))="","",INDEX(Winter!$1:$1048576,MATCH(All!$A490,Winter!$A:$A,FALSE),MATCH(All!R$1,Winter!$1:$1,FALSE))),"")</f>
        <v>2A</v>
      </c>
      <c r="S490" t="str">
        <f>IFERROR(IF(INDEX(Winter!$1:$1048576,MATCH(All!$A490,Winter!$A:$A,FALSE),MATCH(All!S$1,Winter!$1:$1,FALSE))="","",INDEX(Winter!$1:$1048576,MATCH(All!$A490,Winter!$A:$A,FALSE),MATCH(All!S$1,Winter!$1:$1,FALSE))),"")</f>
        <v>2A</v>
      </c>
      <c r="T490" t="str">
        <f>IFERROR(IF(INDEX(Winter!$1:$1048576,MATCH(All!$A490,Winter!$A:$A,FALSE),MATCH(All!T$1,Winter!$1:$1,FALSE))="","",INDEX(Winter!$1:$1048576,MATCH(All!$A490,Winter!$A:$A,FALSE),MATCH(All!T$1,Winter!$1:$1,FALSE))),"")</f>
        <v>2A</v>
      </c>
      <c r="U490" t="str">
        <f>IFERROR(IF(INDEX(Winter!$1:$1048576,MATCH(All!$A490,Winter!$A:$A,FALSE),MATCH(All!U$1,Winter!$1:$1,FALSE))="","",INDEX(Winter!$1:$1048576,MATCH(All!$A490,Winter!$A:$A,FALSE),MATCH(All!U$1,Winter!$1:$1,FALSE))),"")</f>
        <v>2A</v>
      </c>
      <c r="W490">
        <f>IFERROR(IF(INDEX(Spring!$1:$1048576,MATCH(All!$A490,Spring!$A:$A,FALSE),MATCH(All!W$1,Spring!$1:$1,FALSE))="","",INDEX(Spring!$1:$1048576,MATCH(All!$A490,Spring!$A:$A,FALSE),MATCH(All!W$1,Spring!$1:$1,FALSE))),"")</f>
        <v>1231</v>
      </c>
      <c r="X490" t="str">
        <f>IFERROR(IF(INDEX(Spring!$1:$1048576,MATCH(All!$A490,Spring!$A:$A,FALSE),MATCH(All!X$1,Spring!$1:$1,FALSE))="","",INDEX(Spring!$1:$1048576,MATCH(All!$A490,Spring!$A:$A,FALSE),MATCH(All!X$1,Spring!$1:$1,FALSE))),"")</f>
        <v>3A</v>
      </c>
      <c r="Y490" t="str">
        <f>IFERROR(IF(INDEX(Spring!$1:$1048576,MATCH(All!$A490,Spring!$A:$A,FALSE),MATCH(All!Y$1,Spring!$1:$1,FALSE))="","",INDEX(Spring!$1:$1048576,MATCH(All!$A490,Spring!$A:$A,FALSE),MATCH(All!Y$1,Spring!$1:$1,FALSE))),"")</f>
        <v>3A</v>
      </c>
      <c r="Z490" t="str">
        <f>IFERROR(IF(INDEX(Spring!$1:$1048576,MATCH(All!$A490,Spring!$A:$A,FALSE),MATCH(All!Z$1,Spring!$1:$1,FALSE))="","",INDEX(Spring!$1:$1048576,MATCH(All!$A490,Spring!$A:$A,FALSE),MATCH(All!Z$1,Spring!$1:$1,FALSE))),"")</f>
        <v>2A</v>
      </c>
      <c r="AA490" t="str">
        <f>IFERROR(IF(INDEX(Spring!$1:$1048576,MATCH(All!$A490,Spring!$A:$A,FALSE),MATCH(All!AA$1,Spring!$1:$1,FALSE))="","",INDEX(Spring!$1:$1048576,MATCH(All!$A490,Spring!$A:$A,FALSE),MATCH(All!AA$1,Spring!$1:$1,FALSE))),"")</f>
        <v>1A</v>
      </c>
      <c r="AB490" t="str">
        <f>IFERROR(IF(INDEX(Spring!$1:$1048576,MATCH(All!$A490,Spring!$A:$A,FALSE),MATCH(All!AB$1,Spring!$1:$1,FALSE))="","",INDEX(Spring!$1:$1048576,MATCH(All!$A490,Spring!$A:$A,FALSE),MATCH(All!AB$1,Spring!$1:$1,FALSE))),"")</f>
        <v>2A</v>
      </c>
      <c r="AC490" t="str">
        <f>IFERROR(IF(INDEX(Spring!$1:$1048576,MATCH(All!$A490,Spring!$A:$A,FALSE),MATCH(All!AC$1,Spring!$1:$1,FALSE))="","",INDEX(Spring!$1:$1048576,MATCH(All!$A490,Spring!$A:$A,FALSE),MATCH(All!AC$1,Spring!$1:$1,FALSE))),"")</f>
        <v>2A</v>
      </c>
      <c r="AD490" t="str">
        <f>IFERROR(VLOOKUP(A490,'Flag Football'!A:A,1,FALSE),"")</f>
        <v>Mascoutah</v>
      </c>
      <c r="AE490" t="str">
        <f t="shared" si="7"/>
        <v>1A</v>
      </c>
    </row>
    <row r="491" spans="1:31" ht="15.75" thickBot="1" x14ac:dyDescent="0.3">
      <c r="A491" s="20" t="s">
        <v>582</v>
      </c>
      <c r="B491" s="38">
        <f>IFERROR(VLOOKUP(A491,'Public v Private'!A:G,3,FALSE),"")</f>
        <v>0</v>
      </c>
      <c r="C491" s="38">
        <f>IFERROR(VLOOKUP(A491,'Public v Private'!A:G,4,FALSE),"")</f>
        <v>0</v>
      </c>
      <c r="D491" s="38">
        <f>IFERROR(VLOOKUP(A491,'Public v Private'!A:G,5,FALSE),"")</f>
        <v>0</v>
      </c>
      <c r="E491" s="38"/>
      <c r="F491" s="40">
        <f>IFERROR(INDEX(Fall!$1:$1048576,MATCH(All!$A491,Fall!$A:$A,FALSE),MATCH(All!F$1,Fall!$1:$1,FALSE)),"N/A")</f>
        <v>171</v>
      </c>
      <c r="G491" t="str">
        <f>IFERROR(IF(INDEX(Fall!$1:$1048576,MATCH(All!$A491,Fall!$A:$A,FALSE),MATCH(All!G$1,Fall!$1:$1,FALSE))="","",INDEX(Fall!$1:$1048576,MATCH(All!$A491,Fall!$A:$A,FALSE),MATCH(All!G$1,Fall!$1:$1,FALSE))),"")</f>
        <v/>
      </c>
      <c r="H491" t="str">
        <f>IFERROR(IF(INDEX(Fall!$1:$1048576,MATCH(All!$A491,Fall!$A:$A,FALSE),MATCH(All!H$1,Fall!$1:$1,FALSE))="","",INDEX(Fall!$1:$1048576,MATCH(All!$A491,Fall!$A:$A,FALSE),MATCH(All!H$1,Fall!$1:$1,FALSE))),"")</f>
        <v/>
      </c>
      <c r="I491" t="str">
        <f>IFERROR(IF(INDEX(Fall!$1:$1048576,MATCH(All!$A491,Fall!$A:$A,FALSE),MATCH(All!I$1,Fall!$1:$1,FALSE))="","",INDEX(Fall!$1:$1048576,MATCH(All!$A491,Fall!$A:$A,FALSE),MATCH(All!I$1,Fall!$1:$1,FALSE))),"")</f>
        <v>1A</v>
      </c>
      <c r="J491" t="str">
        <f>IFERROR(IF(INDEX(Fall!$1:$1048576,MATCH(All!$A491,Fall!$A:$A,FALSE),MATCH(All!J$1,Fall!$1:$1,FALSE))="","",INDEX(Fall!$1:$1048576,MATCH(All!$A491,Fall!$A:$A,FALSE),MATCH(All!J$1,Fall!$1:$1,FALSE))),"")</f>
        <v/>
      </c>
      <c r="K491" t="str">
        <f>IFERROR(IF(INDEX(Fall!$1:$1048576,MATCH(All!$A491,Fall!$A:$A,FALSE),MATCH(All!K$1,Fall!$1:$1,FALSE))="","",INDEX(Fall!$1:$1048576,MATCH(All!$A491,Fall!$A:$A,FALSE),MATCH(All!K$1,Fall!$1:$1,FALSE))),"")</f>
        <v/>
      </c>
      <c r="L491" t="str">
        <f>IFERROR(IF(INDEX(Fall!$1:$1048576,MATCH(All!$A491,Fall!$A:$A,FALSE),MATCH(All!L$1,Fall!$1:$1,FALSE))="","",INDEX(Fall!$1:$1048576,MATCH(All!$A491,Fall!$A:$A,FALSE),MATCH(All!L$1,Fall!$1:$1,FALSE))),"")</f>
        <v/>
      </c>
      <c r="M491" t="str">
        <f>IFERROR(IF(INDEX(Fall!$1:$1048576,MATCH(All!$A491,Fall!$A:$A,FALSE),MATCH(All!M$1,Fall!$1:$1,FALSE))="","",INDEX(Fall!$1:$1048576,MATCH(All!$A491,Fall!$A:$A,FALSE),MATCH(All!M$1,Fall!$1:$1,FALSE))),"")</f>
        <v>1A</v>
      </c>
      <c r="O491">
        <f>IFERROR(IF(INDEX(Winter!$1:$1048576,MATCH(All!$A491,Winter!$A:$A,FALSE),MATCH(All!O$1,Winter!$1:$1,FALSE))="","",INDEX(Winter!$1:$1048576,MATCH(All!$A491,Winter!$A:$A,FALSE),MATCH(All!O$1,Winter!$1:$1,FALSE))),"")</f>
        <v>171</v>
      </c>
      <c r="P491" t="str">
        <f>IFERROR(IF(INDEX(Winter!$1:$1048576,MATCH(All!$A491,Winter!$A:$A,FALSE),MATCH(All!P$1,Winter!$1:$1,FALSE))="","",INDEX(Winter!$1:$1048576,MATCH(All!$A491,Winter!$A:$A,FALSE),MATCH(All!P$1,Winter!$1:$1,FALSE))),"")</f>
        <v>1A</v>
      </c>
      <c r="Q491" t="str">
        <f>IFERROR(IF(INDEX(Winter!$1:$1048576,MATCH(All!$A491,Winter!$A:$A,FALSE),MATCH(All!Q$1,Winter!$1:$1,FALSE))="","",INDEX(Winter!$1:$1048576,MATCH(All!$A491,Winter!$A:$A,FALSE),MATCH(All!Q$1,Winter!$1:$1,FALSE))),"")</f>
        <v>1A</v>
      </c>
      <c r="R491" t="str">
        <f>IFERROR(IF(INDEX(Winter!$1:$1048576,MATCH(All!$A491,Winter!$A:$A,FALSE),MATCH(All!R$1,Winter!$1:$1,FALSE))="","",INDEX(Winter!$1:$1048576,MATCH(All!$A491,Winter!$A:$A,FALSE),MATCH(All!R$1,Winter!$1:$1,FALSE))),"")</f>
        <v/>
      </c>
      <c r="S491" t="str">
        <f>IFERROR(IF(INDEX(Winter!$1:$1048576,MATCH(All!$A491,Winter!$A:$A,FALSE),MATCH(All!S$1,Winter!$1:$1,FALSE))="","",INDEX(Winter!$1:$1048576,MATCH(All!$A491,Winter!$A:$A,FALSE),MATCH(All!S$1,Winter!$1:$1,FALSE))),"")</f>
        <v/>
      </c>
      <c r="T491" t="str">
        <f>IFERROR(IF(INDEX(Winter!$1:$1048576,MATCH(All!$A491,Winter!$A:$A,FALSE),MATCH(All!T$1,Winter!$1:$1,FALSE))="","",INDEX(Winter!$1:$1048576,MATCH(All!$A491,Winter!$A:$A,FALSE),MATCH(All!T$1,Winter!$1:$1,FALSE))),"")</f>
        <v>1A</v>
      </c>
      <c r="U491" t="str">
        <f>IFERROR(IF(INDEX(Winter!$1:$1048576,MATCH(All!$A491,Winter!$A:$A,FALSE),MATCH(All!U$1,Winter!$1:$1,FALSE))="","",INDEX(Winter!$1:$1048576,MATCH(All!$A491,Winter!$A:$A,FALSE),MATCH(All!U$1,Winter!$1:$1,FALSE))),"")</f>
        <v/>
      </c>
      <c r="W491">
        <f>IFERROR(IF(INDEX(Spring!$1:$1048576,MATCH(All!$A491,Spring!$A:$A,FALSE),MATCH(All!W$1,Spring!$1:$1,FALSE))="","",INDEX(Spring!$1:$1048576,MATCH(All!$A491,Spring!$A:$A,FALSE),MATCH(All!W$1,Spring!$1:$1,FALSE))),"")</f>
        <v>171</v>
      </c>
      <c r="X491" t="str">
        <f>IFERROR(IF(INDEX(Spring!$1:$1048576,MATCH(All!$A491,Spring!$A:$A,FALSE),MATCH(All!X$1,Spring!$1:$1,FALSE))="","",INDEX(Spring!$1:$1048576,MATCH(All!$A491,Spring!$A:$A,FALSE),MATCH(All!X$1,Spring!$1:$1,FALSE))),"")</f>
        <v>1A</v>
      </c>
      <c r="Y491" t="str">
        <f>IFERROR(IF(INDEX(Spring!$1:$1048576,MATCH(All!$A491,Spring!$A:$A,FALSE),MATCH(All!Y$1,Spring!$1:$1,FALSE))="","",INDEX(Spring!$1:$1048576,MATCH(All!$A491,Spring!$A:$A,FALSE),MATCH(All!Y$1,Spring!$1:$1,FALSE))),"")</f>
        <v/>
      </c>
      <c r="Z491" t="str">
        <f>IFERROR(IF(INDEX(Spring!$1:$1048576,MATCH(All!$A491,Spring!$A:$A,FALSE),MATCH(All!Z$1,Spring!$1:$1,FALSE))="","",INDEX(Spring!$1:$1048576,MATCH(All!$A491,Spring!$A:$A,FALSE),MATCH(All!Z$1,Spring!$1:$1,FALSE))),"")</f>
        <v/>
      </c>
      <c r="AA491" t="str">
        <f>IFERROR(IF(INDEX(Spring!$1:$1048576,MATCH(All!$A491,Spring!$A:$A,FALSE),MATCH(All!AA$1,Spring!$1:$1,FALSE))="","",INDEX(Spring!$1:$1048576,MATCH(All!$A491,Spring!$A:$A,FALSE),MATCH(All!AA$1,Spring!$1:$1,FALSE))),"")</f>
        <v/>
      </c>
      <c r="AB491" t="str">
        <f>IFERROR(IF(INDEX(Spring!$1:$1048576,MATCH(All!$A491,Spring!$A:$A,FALSE),MATCH(All!AB$1,Spring!$1:$1,FALSE))="","",INDEX(Spring!$1:$1048576,MATCH(All!$A491,Spring!$A:$A,FALSE),MATCH(All!AB$1,Spring!$1:$1,FALSE))),"")</f>
        <v>1A</v>
      </c>
      <c r="AC491" t="str">
        <f>IFERROR(IF(INDEX(Spring!$1:$1048576,MATCH(All!$A491,Spring!$A:$A,FALSE),MATCH(All!AC$1,Spring!$1:$1,FALSE))="","",INDEX(Spring!$1:$1048576,MATCH(All!$A491,Spring!$A:$A,FALSE),MATCH(All!AC$1,Spring!$1:$1,FALSE))),"")</f>
        <v>1A</v>
      </c>
      <c r="AD491" t="str">
        <f>IFERROR(VLOOKUP(A491,'Flag Football'!A:A,1,FALSE),"")</f>
        <v/>
      </c>
      <c r="AE491" t="str">
        <f t="shared" si="7"/>
        <v/>
      </c>
    </row>
    <row r="492" spans="1:31" ht="15.75" thickBot="1" x14ac:dyDescent="0.3">
      <c r="A492" s="18" t="s">
        <v>583</v>
      </c>
      <c r="B492" s="38">
        <f>IFERROR(VLOOKUP(A492,'Public v Private'!A:G,3,FALSE),"")</f>
        <v>0</v>
      </c>
      <c r="C492" s="38">
        <f>IFERROR(VLOOKUP(A492,'Public v Private'!A:G,4,FALSE),"")</f>
        <v>0</v>
      </c>
      <c r="D492" s="38">
        <f>IFERROR(VLOOKUP(A492,'Public v Private'!A:G,5,FALSE),"")</f>
        <v>0</v>
      </c>
      <c r="E492" s="38"/>
      <c r="F492" s="40">
        <f>IFERROR(INDEX(Fall!$1:$1048576,MATCH(All!$A492,Fall!$A:$A,FALSE),MATCH(All!F$1,Fall!$1:$1,FALSE)),"N/A")</f>
        <v>858</v>
      </c>
      <c r="G492" t="str">
        <f>IFERROR(IF(INDEX(Fall!$1:$1048576,MATCH(All!$A492,Fall!$A:$A,FALSE),MATCH(All!G$1,Fall!$1:$1,FALSE))="","",INDEX(Fall!$1:$1048576,MATCH(All!$A492,Fall!$A:$A,FALSE),MATCH(All!G$1,Fall!$1:$1,FALSE))),"")</f>
        <v>2A</v>
      </c>
      <c r="H492" t="str">
        <f>IFERROR(IF(INDEX(Fall!$1:$1048576,MATCH(All!$A492,Fall!$A:$A,FALSE),MATCH(All!H$1,Fall!$1:$1,FALSE))="","",INDEX(Fall!$1:$1048576,MATCH(All!$A492,Fall!$A:$A,FALSE),MATCH(All!H$1,Fall!$1:$1,FALSE))),"")</f>
        <v>2A</v>
      </c>
      <c r="I492" t="str">
        <f>IFERROR(IF(INDEX(Fall!$1:$1048576,MATCH(All!$A492,Fall!$A:$A,FALSE),MATCH(All!I$1,Fall!$1:$1,FALSE))="","",INDEX(Fall!$1:$1048576,MATCH(All!$A492,Fall!$A:$A,FALSE),MATCH(All!I$1,Fall!$1:$1,FALSE))),"")</f>
        <v>2A</v>
      </c>
      <c r="J492" t="str">
        <f>IFERROR(IF(INDEX(Fall!$1:$1048576,MATCH(All!$A492,Fall!$A:$A,FALSE),MATCH(All!J$1,Fall!$1:$1,FALSE))="","",INDEX(Fall!$1:$1048576,MATCH(All!$A492,Fall!$A:$A,FALSE),MATCH(All!J$1,Fall!$1:$1,FALSE))),"")</f>
        <v>1A</v>
      </c>
      <c r="K492" t="str">
        <f>IFERROR(IF(INDEX(Fall!$1:$1048576,MATCH(All!$A492,Fall!$A:$A,FALSE),MATCH(All!K$1,Fall!$1:$1,FALSE))="","",INDEX(Fall!$1:$1048576,MATCH(All!$A492,Fall!$A:$A,FALSE),MATCH(All!K$1,Fall!$1:$1,FALSE))),"")</f>
        <v>2A</v>
      </c>
      <c r="L492" t="str">
        <f>IFERROR(IF(INDEX(Fall!$1:$1048576,MATCH(All!$A492,Fall!$A:$A,FALSE),MATCH(All!L$1,Fall!$1:$1,FALSE))="","",INDEX(Fall!$1:$1048576,MATCH(All!$A492,Fall!$A:$A,FALSE),MATCH(All!L$1,Fall!$1:$1,FALSE))),"")</f>
        <v>1A</v>
      </c>
      <c r="M492" t="str">
        <f>IFERROR(IF(INDEX(Fall!$1:$1048576,MATCH(All!$A492,Fall!$A:$A,FALSE),MATCH(All!M$1,Fall!$1:$1,FALSE))="","",INDEX(Fall!$1:$1048576,MATCH(All!$A492,Fall!$A:$A,FALSE),MATCH(All!M$1,Fall!$1:$1,FALSE))),"")</f>
        <v>3A</v>
      </c>
      <c r="O492">
        <f>IFERROR(IF(INDEX(Winter!$1:$1048576,MATCH(All!$A492,Winter!$A:$A,FALSE),MATCH(All!O$1,Winter!$1:$1,FALSE))="","",INDEX(Winter!$1:$1048576,MATCH(All!$A492,Winter!$A:$A,FALSE),MATCH(All!O$1,Winter!$1:$1,FALSE))),"")</f>
        <v>858</v>
      </c>
      <c r="P492" t="str">
        <f>IFERROR(IF(INDEX(Winter!$1:$1048576,MATCH(All!$A492,Winter!$A:$A,FALSE),MATCH(All!P$1,Winter!$1:$1,FALSE))="","",INDEX(Winter!$1:$1048576,MATCH(All!$A492,Winter!$A:$A,FALSE),MATCH(All!P$1,Winter!$1:$1,FALSE))),"")</f>
        <v>3A</v>
      </c>
      <c r="Q492" t="str">
        <f>IFERROR(IF(INDEX(Winter!$1:$1048576,MATCH(All!$A492,Winter!$A:$A,FALSE),MATCH(All!Q$1,Winter!$1:$1,FALSE))="","",INDEX(Winter!$1:$1048576,MATCH(All!$A492,Winter!$A:$A,FALSE),MATCH(All!Q$1,Winter!$1:$1,FALSE))),"")</f>
        <v>3A</v>
      </c>
      <c r="R492" t="str">
        <f>IFERROR(IF(INDEX(Winter!$1:$1048576,MATCH(All!$A492,Winter!$A:$A,FALSE),MATCH(All!R$1,Winter!$1:$1,FALSE))="","",INDEX(Winter!$1:$1048576,MATCH(All!$A492,Winter!$A:$A,FALSE),MATCH(All!R$1,Winter!$1:$1,FALSE))),"")</f>
        <v/>
      </c>
      <c r="S492" t="str">
        <f>IFERROR(IF(INDEX(Winter!$1:$1048576,MATCH(All!$A492,Winter!$A:$A,FALSE),MATCH(All!S$1,Winter!$1:$1,FALSE))="","",INDEX(Winter!$1:$1048576,MATCH(All!$A492,Winter!$A:$A,FALSE),MATCH(All!S$1,Winter!$1:$1,FALSE))),"")</f>
        <v>1A</v>
      </c>
      <c r="T492" t="str">
        <f>IFERROR(IF(INDEX(Winter!$1:$1048576,MATCH(All!$A492,Winter!$A:$A,FALSE),MATCH(All!T$1,Winter!$1:$1,FALSE))="","",INDEX(Winter!$1:$1048576,MATCH(All!$A492,Winter!$A:$A,FALSE),MATCH(All!T$1,Winter!$1:$1,FALSE))),"")</f>
        <v>2A</v>
      </c>
      <c r="U492" t="str">
        <f>IFERROR(IF(INDEX(Winter!$1:$1048576,MATCH(All!$A492,Winter!$A:$A,FALSE),MATCH(All!U$1,Winter!$1:$1,FALSE))="","",INDEX(Winter!$1:$1048576,MATCH(All!$A492,Winter!$A:$A,FALSE),MATCH(All!U$1,Winter!$1:$1,FALSE))),"")</f>
        <v>2A</v>
      </c>
      <c r="W492">
        <f>IFERROR(IF(INDEX(Spring!$1:$1048576,MATCH(All!$A492,Spring!$A:$A,FALSE),MATCH(All!W$1,Spring!$1:$1,FALSE))="","",INDEX(Spring!$1:$1048576,MATCH(All!$A492,Spring!$A:$A,FALSE),MATCH(All!W$1,Spring!$1:$1,FALSE))),"")</f>
        <v>858</v>
      </c>
      <c r="X492" t="str">
        <f>IFERROR(IF(INDEX(Spring!$1:$1048576,MATCH(All!$A492,Spring!$A:$A,FALSE),MATCH(All!X$1,Spring!$1:$1,FALSE))="","",INDEX(Spring!$1:$1048576,MATCH(All!$A492,Spring!$A:$A,FALSE),MATCH(All!X$1,Spring!$1:$1,FALSE))),"")</f>
        <v>3A</v>
      </c>
      <c r="Y492" t="str">
        <f>IFERROR(IF(INDEX(Spring!$1:$1048576,MATCH(All!$A492,Spring!$A:$A,FALSE),MATCH(All!Y$1,Spring!$1:$1,FALSE))="","",INDEX(Spring!$1:$1048576,MATCH(All!$A492,Spring!$A:$A,FALSE),MATCH(All!Y$1,Spring!$1:$1,FALSE))),"")</f>
        <v>3A</v>
      </c>
      <c r="Z492" t="str">
        <f>IFERROR(IF(INDEX(Spring!$1:$1048576,MATCH(All!$A492,Spring!$A:$A,FALSE),MATCH(All!Z$1,Spring!$1:$1,FALSE))="","",INDEX(Spring!$1:$1048576,MATCH(All!$A492,Spring!$A:$A,FALSE),MATCH(All!Z$1,Spring!$1:$1,FALSE))),"")</f>
        <v>2A</v>
      </c>
      <c r="AA492" t="str">
        <f>IFERROR(IF(INDEX(Spring!$1:$1048576,MATCH(All!$A492,Spring!$A:$A,FALSE),MATCH(All!AA$1,Spring!$1:$1,FALSE))="","",INDEX(Spring!$1:$1048576,MATCH(All!$A492,Spring!$A:$A,FALSE),MATCH(All!AA$1,Spring!$1:$1,FALSE))),"")</f>
        <v>1A</v>
      </c>
      <c r="AB492" t="str">
        <f>IFERROR(IF(INDEX(Spring!$1:$1048576,MATCH(All!$A492,Spring!$A:$A,FALSE),MATCH(All!AB$1,Spring!$1:$1,FALSE))="","",INDEX(Spring!$1:$1048576,MATCH(All!$A492,Spring!$A:$A,FALSE),MATCH(All!AB$1,Spring!$1:$1,FALSE))),"")</f>
        <v>2A</v>
      </c>
      <c r="AC492" t="str">
        <f>IFERROR(IF(INDEX(Spring!$1:$1048576,MATCH(All!$A492,Spring!$A:$A,FALSE),MATCH(All!AC$1,Spring!$1:$1,FALSE))="","",INDEX(Spring!$1:$1048576,MATCH(All!$A492,Spring!$A:$A,FALSE),MATCH(All!AC$1,Spring!$1:$1,FALSE))),"")</f>
        <v>2A</v>
      </c>
      <c r="AD492" t="str">
        <f>IFERROR(VLOOKUP(A492,'Flag Football'!A:A,1,FALSE),"")</f>
        <v/>
      </c>
      <c r="AE492" t="str">
        <f t="shared" si="7"/>
        <v/>
      </c>
    </row>
    <row r="493" spans="1:31" ht="15.75" thickBot="1" x14ac:dyDescent="0.3">
      <c r="A493" s="20" t="s">
        <v>584</v>
      </c>
      <c r="B493" s="38">
        <f>IFERROR(VLOOKUP(A493,'Public v Private'!A:G,3,FALSE),"")</f>
        <v>0</v>
      </c>
      <c r="C493" s="38">
        <f>IFERROR(VLOOKUP(A493,'Public v Private'!A:G,4,FALSE),"")</f>
        <v>0</v>
      </c>
      <c r="D493" s="38">
        <f>IFERROR(VLOOKUP(A493,'Public v Private'!A:G,5,FALSE),"")</f>
        <v>0</v>
      </c>
      <c r="E493" s="38"/>
      <c r="F493" s="40">
        <f>IFERROR(INDEX(Fall!$1:$1048576,MATCH(All!$A493,Fall!$A:$A,FALSE),MATCH(All!F$1,Fall!$1:$1,FALSE)),"N/A")</f>
        <v>2006</v>
      </c>
      <c r="G493" t="str">
        <f>IFERROR(IF(INDEX(Fall!$1:$1048576,MATCH(All!$A493,Fall!$A:$A,FALSE),MATCH(All!G$1,Fall!$1:$1,FALSE))="","",INDEX(Fall!$1:$1048576,MATCH(All!$A493,Fall!$A:$A,FALSE),MATCH(All!G$1,Fall!$1:$1,FALSE))),"")</f>
        <v>3A</v>
      </c>
      <c r="H493" t="str">
        <f>IFERROR(IF(INDEX(Fall!$1:$1048576,MATCH(All!$A493,Fall!$A:$A,FALSE),MATCH(All!H$1,Fall!$1:$1,FALSE))="","",INDEX(Fall!$1:$1048576,MATCH(All!$A493,Fall!$A:$A,FALSE),MATCH(All!H$1,Fall!$1:$1,FALSE))),"")</f>
        <v>3A</v>
      </c>
      <c r="I493" t="str">
        <f>IFERROR(IF(INDEX(Fall!$1:$1048576,MATCH(All!$A493,Fall!$A:$A,FALSE),MATCH(All!I$1,Fall!$1:$1,FALSE))="","",INDEX(Fall!$1:$1048576,MATCH(All!$A493,Fall!$A:$A,FALSE),MATCH(All!I$1,Fall!$1:$1,FALSE))),"")</f>
        <v>3A</v>
      </c>
      <c r="J493" t="str">
        <f>IFERROR(IF(INDEX(Fall!$1:$1048576,MATCH(All!$A493,Fall!$A:$A,FALSE),MATCH(All!J$1,Fall!$1:$1,FALSE))="","",INDEX(Fall!$1:$1048576,MATCH(All!$A493,Fall!$A:$A,FALSE),MATCH(All!J$1,Fall!$1:$1,FALSE))),"")</f>
        <v/>
      </c>
      <c r="K493" t="str">
        <f>IFERROR(IF(INDEX(Fall!$1:$1048576,MATCH(All!$A493,Fall!$A:$A,FALSE),MATCH(All!K$1,Fall!$1:$1,FALSE))="","",INDEX(Fall!$1:$1048576,MATCH(All!$A493,Fall!$A:$A,FALSE),MATCH(All!K$1,Fall!$1:$1,FALSE))),"")</f>
        <v>3A</v>
      </c>
      <c r="L493" t="str">
        <f>IFERROR(IF(INDEX(Fall!$1:$1048576,MATCH(All!$A493,Fall!$A:$A,FALSE),MATCH(All!L$1,Fall!$1:$1,FALSE))="","",INDEX(Fall!$1:$1048576,MATCH(All!$A493,Fall!$A:$A,FALSE),MATCH(All!L$1,Fall!$1:$1,FALSE))),"")</f>
        <v>2A</v>
      </c>
      <c r="M493" t="str">
        <f>IFERROR(IF(INDEX(Fall!$1:$1048576,MATCH(All!$A493,Fall!$A:$A,FALSE),MATCH(All!M$1,Fall!$1:$1,FALSE))="","",INDEX(Fall!$1:$1048576,MATCH(All!$A493,Fall!$A:$A,FALSE),MATCH(All!M$1,Fall!$1:$1,FALSE))),"")</f>
        <v>4A</v>
      </c>
      <c r="O493">
        <f>IFERROR(IF(INDEX(Winter!$1:$1048576,MATCH(All!$A493,Winter!$A:$A,FALSE),MATCH(All!O$1,Winter!$1:$1,FALSE))="","",INDEX(Winter!$1:$1048576,MATCH(All!$A493,Winter!$A:$A,FALSE),MATCH(All!O$1,Winter!$1:$1,FALSE))),"")</f>
        <v>2006</v>
      </c>
      <c r="P493" t="str">
        <f>IFERROR(IF(INDEX(Winter!$1:$1048576,MATCH(All!$A493,Winter!$A:$A,FALSE),MATCH(All!P$1,Winter!$1:$1,FALSE))="","",INDEX(Winter!$1:$1048576,MATCH(All!$A493,Winter!$A:$A,FALSE),MATCH(All!P$1,Winter!$1:$1,FALSE))),"")</f>
        <v>4A</v>
      </c>
      <c r="Q493" t="str">
        <f>IFERROR(IF(INDEX(Winter!$1:$1048576,MATCH(All!$A493,Winter!$A:$A,FALSE),MATCH(All!Q$1,Winter!$1:$1,FALSE))="","",INDEX(Winter!$1:$1048576,MATCH(All!$A493,Winter!$A:$A,FALSE),MATCH(All!Q$1,Winter!$1:$1,FALSE))),"")</f>
        <v>4A</v>
      </c>
      <c r="R493" t="str">
        <f>IFERROR(IF(INDEX(Winter!$1:$1048576,MATCH(All!$A493,Winter!$A:$A,FALSE),MATCH(All!R$1,Winter!$1:$1,FALSE))="","",INDEX(Winter!$1:$1048576,MATCH(All!$A493,Winter!$A:$A,FALSE),MATCH(All!R$1,Winter!$1:$1,FALSE))),"")</f>
        <v>3A</v>
      </c>
      <c r="S493" t="str">
        <f>IFERROR(IF(INDEX(Winter!$1:$1048576,MATCH(All!$A493,Winter!$A:$A,FALSE),MATCH(All!S$1,Winter!$1:$1,FALSE))="","",INDEX(Winter!$1:$1048576,MATCH(All!$A493,Winter!$A:$A,FALSE),MATCH(All!S$1,Winter!$1:$1,FALSE))),"")</f>
        <v>3A</v>
      </c>
      <c r="T493" t="str">
        <f>IFERROR(IF(INDEX(Winter!$1:$1048576,MATCH(All!$A493,Winter!$A:$A,FALSE),MATCH(All!T$1,Winter!$1:$1,FALSE))="","",INDEX(Winter!$1:$1048576,MATCH(All!$A493,Winter!$A:$A,FALSE),MATCH(All!T$1,Winter!$1:$1,FALSE))),"")</f>
        <v/>
      </c>
      <c r="U493" t="str">
        <f>IFERROR(IF(INDEX(Winter!$1:$1048576,MATCH(All!$A493,Winter!$A:$A,FALSE),MATCH(All!U$1,Winter!$1:$1,FALSE))="","",INDEX(Winter!$1:$1048576,MATCH(All!$A493,Winter!$A:$A,FALSE),MATCH(All!U$1,Winter!$1:$1,FALSE))),"")</f>
        <v>3A</v>
      </c>
      <c r="W493">
        <f>IFERROR(IF(INDEX(Spring!$1:$1048576,MATCH(All!$A493,Spring!$A:$A,FALSE),MATCH(All!W$1,Spring!$1:$1,FALSE))="","",INDEX(Spring!$1:$1048576,MATCH(All!$A493,Spring!$A:$A,FALSE),MATCH(All!W$1,Spring!$1:$1,FALSE))),"")</f>
        <v>2006</v>
      </c>
      <c r="X493" t="str">
        <f>IFERROR(IF(INDEX(Spring!$1:$1048576,MATCH(All!$A493,Spring!$A:$A,FALSE),MATCH(All!X$1,Spring!$1:$1,FALSE))="","",INDEX(Spring!$1:$1048576,MATCH(All!$A493,Spring!$A:$A,FALSE),MATCH(All!X$1,Spring!$1:$1,FALSE))),"")</f>
        <v>4A</v>
      </c>
      <c r="Y493" t="str">
        <f>IFERROR(IF(INDEX(Spring!$1:$1048576,MATCH(All!$A493,Spring!$A:$A,FALSE),MATCH(All!Y$1,Spring!$1:$1,FALSE))="","",INDEX(Spring!$1:$1048576,MATCH(All!$A493,Spring!$A:$A,FALSE),MATCH(All!Y$1,Spring!$1:$1,FALSE))),"")</f>
        <v>4A</v>
      </c>
      <c r="Z493" t="str">
        <f>IFERROR(IF(INDEX(Spring!$1:$1048576,MATCH(All!$A493,Spring!$A:$A,FALSE),MATCH(All!Z$1,Spring!$1:$1,FALSE))="","",INDEX(Spring!$1:$1048576,MATCH(All!$A493,Spring!$A:$A,FALSE),MATCH(All!Z$1,Spring!$1:$1,FALSE))),"")</f>
        <v>3A</v>
      </c>
      <c r="AA493" t="str">
        <f>IFERROR(IF(INDEX(Spring!$1:$1048576,MATCH(All!$A493,Spring!$A:$A,FALSE),MATCH(All!AA$1,Spring!$1:$1,FALSE))="","",INDEX(Spring!$1:$1048576,MATCH(All!$A493,Spring!$A:$A,FALSE),MATCH(All!AA$1,Spring!$1:$1,FALSE))),"")</f>
        <v>2A</v>
      </c>
      <c r="AB493" t="str">
        <f>IFERROR(IF(INDEX(Spring!$1:$1048576,MATCH(All!$A493,Spring!$A:$A,FALSE),MATCH(All!AB$1,Spring!$1:$1,FALSE))="","",INDEX(Spring!$1:$1048576,MATCH(All!$A493,Spring!$A:$A,FALSE),MATCH(All!AB$1,Spring!$1:$1,FALSE))),"")</f>
        <v>3A</v>
      </c>
      <c r="AC493" t="str">
        <f>IFERROR(IF(INDEX(Spring!$1:$1048576,MATCH(All!$A493,Spring!$A:$A,FALSE),MATCH(All!AC$1,Spring!$1:$1,FALSE))="","",INDEX(Spring!$1:$1048576,MATCH(All!$A493,Spring!$A:$A,FALSE),MATCH(All!AC$1,Spring!$1:$1,FALSE))),"")</f>
        <v>3A</v>
      </c>
      <c r="AD493" t="str">
        <f>IFERROR(VLOOKUP(A493,'Flag Football'!A:A,1,FALSE),"")</f>
        <v>Maywood (Proviso East)</v>
      </c>
      <c r="AE493" t="str">
        <f t="shared" si="7"/>
        <v>1A</v>
      </c>
    </row>
    <row r="494" spans="1:31" ht="15.75" thickBot="1" x14ac:dyDescent="0.3">
      <c r="A494" s="18" t="s">
        <v>585</v>
      </c>
      <c r="B494" s="38">
        <f>IFERROR(VLOOKUP(A494,'Public v Private'!A:G,3,FALSE),"")</f>
        <v>0</v>
      </c>
      <c r="C494" s="38">
        <f>IFERROR(VLOOKUP(A494,'Public v Private'!A:G,4,FALSE),"")</f>
        <v>0</v>
      </c>
      <c r="D494" s="38">
        <f>IFERROR(VLOOKUP(A494,'Public v Private'!A:G,5,FALSE),"")</f>
        <v>0</v>
      </c>
      <c r="E494" s="38"/>
      <c r="F494" s="40">
        <f>IFERROR(INDEX(Fall!$1:$1048576,MATCH(All!$A494,Fall!$A:$A,FALSE),MATCH(All!F$1,Fall!$1:$1,FALSE)),"N/A")</f>
        <v>2187</v>
      </c>
      <c r="G494" t="str">
        <f>IFERROR(IF(INDEX(Fall!$1:$1048576,MATCH(All!$A494,Fall!$A:$A,FALSE),MATCH(All!G$1,Fall!$1:$1,FALSE))="","",INDEX(Fall!$1:$1048576,MATCH(All!$A494,Fall!$A:$A,FALSE),MATCH(All!G$1,Fall!$1:$1,FALSE))),"")</f>
        <v>3A</v>
      </c>
      <c r="H494" t="str">
        <f>IFERROR(IF(INDEX(Fall!$1:$1048576,MATCH(All!$A494,Fall!$A:$A,FALSE),MATCH(All!H$1,Fall!$1:$1,FALSE))="","",INDEX(Fall!$1:$1048576,MATCH(All!$A494,Fall!$A:$A,FALSE),MATCH(All!H$1,Fall!$1:$1,FALSE))),"")</f>
        <v>3A</v>
      </c>
      <c r="I494" t="str">
        <f>IFERROR(IF(INDEX(Fall!$1:$1048576,MATCH(All!$A494,Fall!$A:$A,FALSE),MATCH(All!I$1,Fall!$1:$1,FALSE))="","",INDEX(Fall!$1:$1048576,MATCH(All!$A494,Fall!$A:$A,FALSE),MATCH(All!I$1,Fall!$1:$1,FALSE))),"")</f>
        <v>3A</v>
      </c>
      <c r="J494" t="str">
        <f>IFERROR(IF(INDEX(Fall!$1:$1048576,MATCH(All!$A494,Fall!$A:$A,FALSE),MATCH(All!J$1,Fall!$1:$1,FALSE))="","",INDEX(Fall!$1:$1048576,MATCH(All!$A494,Fall!$A:$A,FALSE),MATCH(All!J$1,Fall!$1:$1,FALSE))),"")</f>
        <v>2A</v>
      </c>
      <c r="K494" t="str">
        <f>IFERROR(IF(INDEX(Fall!$1:$1048576,MATCH(All!$A494,Fall!$A:$A,FALSE),MATCH(All!K$1,Fall!$1:$1,FALSE))="","",INDEX(Fall!$1:$1048576,MATCH(All!$A494,Fall!$A:$A,FALSE),MATCH(All!K$1,Fall!$1:$1,FALSE))),"")</f>
        <v>3A</v>
      </c>
      <c r="L494" t="str">
        <f>IFERROR(IF(INDEX(Fall!$1:$1048576,MATCH(All!$A494,Fall!$A:$A,FALSE),MATCH(All!L$1,Fall!$1:$1,FALSE))="","",INDEX(Fall!$1:$1048576,MATCH(All!$A494,Fall!$A:$A,FALSE),MATCH(All!L$1,Fall!$1:$1,FALSE))),"")</f>
        <v>2A</v>
      </c>
      <c r="M494" t="str">
        <f>IFERROR(IF(INDEX(Fall!$1:$1048576,MATCH(All!$A494,Fall!$A:$A,FALSE),MATCH(All!M$1,Fall!$1:$1,FALSE))="","",INDEX(Fall!$1:$1048576,MATCH(All!$A494,Fall!$A:$A,FALSE),MATCH(All!M$1,Fall!$1:$1,FALSE))),"")</f>
        <v>4A</v>
      </c>
      <c r="O494">
        <f>IFERROR(IF(INDEX(Winter!$1:$1048576,MATCH(All!$A494,Winter!$A:$A,FALSE),MATCH(All!O$1,Winter!$1:$1,FALSE))="","",INDEX(Winter!$1:$1048576,MATCH(All!$A494,Winter!$A:$A,FALSE),MATCH(All!O$1,Winter!$1:$1,FALSE))),"")</f>
        <v>2187</v>
      </c>
      <c r="P494" t="str">
        <f>IFERROR(IF(INDEX(Winter!$1:$1048576,MATCH(All!$A494,Winter!$A:$A,FALSE),MATCH(All!P$1,Winter!$1:$1,FALSE))="","",INDEX(Winter!$1:$1048576,MATCH(All!$A494,Winter!$A:$A,FALSE),MATCH(All!P$1,Winter!$1:$1,FALSE))),"")</f>
        <v>4A</v>
      </c>
      <c r="Q494" t="str">
        <f>IFERROR(IF(INDEX(Winter!$1:$1048576,MATCH(All!$A494,Winter!$A:$A,FALSE),MATCH(All!Q$1,Winter!$1:$1,FALSE))="","",INDEX(Winter!$1:$1048576,MATCH(All!$A494,Winter!$A:$A,FALSE),MATCH(All!Q$1,Winter!$1:$1,FALSE))),"")</f>
        <v>4A</v>
      </c>
      <c r="R494" t="str">
        <f>IFERROR(IF(INDEX(Winter!$1:$1048576,MATCH(All!$A494,Winter!$A:$A,FALSE),MATCH(All!R$1,Winter!$1:$1,FALSE))="","",INDEX(Winter!$1:$1048576,MATCH(All!$A494,Winter!$A:$A,FALSE),MATCH(All!R$1,Winter!$1:$1,FALSE))),"")</f>
        <v>C</v>
      </c>
      <c r="S494" t="str">
        <f>IFERROR(IF(INDEX(Winter!$1:$1048576,MATCH(All!$A494,Winter!$A:$A,FALSE),MATCH(All!S$1,Winter!$1:$1,FALSE))="","",INDEX(Winter!$1:$1048576,MATCH(All!$A494,Winter!$A:$A,FALSE),MATCH(All!S$1,Winter!$1:$1,FALSE))),"")</f>
        <v>3A</v>
      </c>
      <c r="T494" t="str">
        <f>IFERROR(IF(INDEX(Winter!$1:$1048576,MATCH(All!$A494,Winter!$A:$A,FALSE),MATCH(All!T$1,Winter!$1:$1,FALSE))="","",INDEX(Winter!$1:$1048576,MATCH(All!$A494,Winter!$A:$A,FALSE),MATCH(All!T$1,Winter!$1:$1,FALSE))),"")</f>
        <v>2A</v>
      </c>
      <c r="U494" t="str">
        <f>IFERROR(IF(INDEX(Winter!$1:$1048576,MATCH(All!$A494,Winter!$A:$A,FALSE),MATCH(All!U$1,Winter!$1:$1,FALSE))="","",INDEX(Winter!$1:$1048576,MATCH(All!$A494,Winter!$A:$A,FALSE),MATCH(All!U$1,Winter!$1:$1,FALSE))),"")</f>
        <v>3A</v>
      </c>
      <c r="W494">
        <f>IFERROR(IF(INDEX(Spring!$1:$1048576,MATCH(All!$A494,Spring!$A:$A,FALSE),MATCH(All!W$1,Spring!$1:$1,FALSE))="","",INDEX(Spring!$1:$1048576,MATCH(All!$A494,Spring!$A:$A,FALSE),MATCH(All!W$1,Spring!$1:$1,FALSE))),"")</f>
        <v>2187</v>
      </c>
      <c r="X494" t="str">
        <f>IFERROR(IF(INDEX(Spring!$1:$1048576,MATCH(All!$A494,Spring!$A:$A,FALSE),MATCH(All!X$1,Spring!$1:$1,FALSE))="","",INDEX(Spring!$1:$1048576,MATCH(All!$A494,Spring!$A:$A,FALSE),MATCH(All!X$1,Spring!$1:$1,FALSE))),"")</f>
        <v>4A</v>
      </c>
      <c r="Y494" t="str">
        <f>IFERROR(IF(INDEX(Spring!$1:$1048576,MATCH(All!$A494,Spring!$A:$A,FALSE),MATCH(All!Y$1,Spring!$1:$1,FALSE))="","",INDEX(Spring!$1:$1048576,MATCH(All!$A494,Spring!$A:$A,FALSE),MATCH(All!Y$1,Spring!$1:$1,FALSE))),"")</f>
        <v>4A</v>
      </c>
      <c r="Z494" t="str">
        <f>IFERROR(IF(INDEX(Spring!$1:$1048576,MATCH(All!$A494,Spring!$A:$A,FALSE),MATCH(All!Z$1,Spring!$1:$1,FALSE))="","",INDEX(Spring!$1:$1048576,MATCH(All!$A494,Spring!$A:$A,FALSE),MATCH(All!Z$1,Spring!$1:$1,FALSE))),"")</f>
        <v>3A</v>
      </c>
      <c r="AA494" t="str">
        <f>IFERROR(IF(INDEX(Spring!$1:$1048576,MATCH(All!$A494,Spring!$A:$A,FALSE),MATCH(All!AA$1,Spring!$1:$1,FALSE))="","",INDEX(Spring!$1:$1048576,MATCH(All!$A494,Spring!$A:$A,FALSE),MATCH(All!AA$1,Spring!$1:$1,FALSE))),"")</f>
        <v>2A</v>
      </c>
      <c r="AB494" t="str">
        <f>IFERROR(IF(INDEX(Spring!$1:$1048576,MATCH(All!$A494,Spring!$A:$A,FALSE),MATCH(All!AB$1,Spring!$1:$1,FALSE))="","",INDEX(Spring!$1:$1048576,MATCH(All!$A494,Spring!$A:$A,FALSE),MATCH(All!AB$1,Spring!$1:$1,FALSE))),"")</f>
        <v>3A</v>
      </c>
      <c r="AC494" t="str">
        <f>IFERROR(IF(INDEX(Spring!$1:$1048576,MATCH(All!$A494,Spring!$A:$A,FALSE),MATCH(All!AC$1,Spring!$1:$1,FALSE))="","",INDEX(Spring!$1:$1048576,MATCH(All!$A494,Spring!$A:$A,FALSE),MATCH(All!AC$1,Spring!$1:$1,FALSE))),"")</f>
        <v>3A</v>
      </c>
      <c r="AD494" t="str">
        <f>IFERROR(VLOOKUP(A494,'Flag Football'!A:A,1,FALSE),"")</f>
        <v>McHenry</v>
      </c>
      <c r="AE494" t="str">
        <f t="shared" si="7"/>
        <v>1A</v>
      </c>
    </row>
    <row r="495" spans="1:31" ht="15.75" thickBot="1" x14ac:dyDescent="0.3">
      <c r="A495" s="20" t="s">
        <v>586</v>
      </c>
      <c r="B495" s="38">
        <f>IFERROR(VLOOKUP(A495,'Public v Private'!A:G,3,FALSE),"")</f>
        <v>0</v>
      </c>
      <c r="C495" s="38">
        <f>IFERROR(VLOOKUP(A495,'Public v Private'!A:G,4,FALSE),"")</f>
        <v>0</v>
      </c>
      <c r="D495" s="38">
        <f>IFERROR(VLOOKUP(A495,'Public v Private'!A:G,5,FALSE),"")</f>
        <v>0</v>
      </c>
      <c r="E495" s="38"/>
      <c r="F495" s="40">
        <f>IFERROR(INDEX(Fall!$1:$1048576,MATCH(All!$A495,Fall!$A:$A,FALSE),MATCH(All!F$1,Fall!$1:$1,FALSE)),"N/A")</f>
        <v>307</v>
      </c>
      <c r="G495" t="str">
        <f>IFERROR(IF(INDEX(Fall!$1:$1048576,MATCH(All!$A495,Fall!$A:$A,FALSE),MATCH(All!G$1,Fall!$1:$1,FALSE))="","",INDEX(Fall!$1:$1048576,MATCH(All!$A495,Fall!$A:$A,FALSE),MATCH(All!G$1,Fall!$1:$1,FALSE))),"")</f>
        <v>1A</v>
      </c>
      <c r="H495" t="str">
        <f>IFERROR(IF(INDEX(Fall!$1:$1048576,MATCH(All!$A495,Fall!$A:$A,FALSE),MATCH(All!H$1,Fall!$1:$1,FALSE))="","",INDEX(Fall!$1:$1048576,MATCH(All!$A495,Fall!$A:$A,FALSE),MATCH(All!H$1,Fall!$1:$1,FALSE))),"")</f>
        <v>1A</v>
      </c>
      <c r="I495" t="str">
        <f>IFERROR(IF(INDEX(Fall!$1:$1048576,MATCH(All!$A495,Fall!$A:$A,FALSE),MATCH(All!I$1,Fall!$1:$1,FALSE))="","",INDEX(Fall!$1:$1048576,MATCH(All!$A495,Fall!$A:$A,FALSE),MATCH(All!I$1,Fall!$1:$1,FALSE))),"")</f>
        <v>1A</v>
      </c>
      <c r="J495" t="str">
        <f>IFERROR(IF(INDEX(Fall!$1:$1048576,MATCH(All!$A495,Fall!$A:$A,FALSE),MATCH(All!J$1,Fall!$1:$1,FALSE))="","",INDEX(Fall!$1:$1048576,MATCH(All!$A495,Fall!$A:$A,FALSE),MATCH(All!J$1,Fall!$1:$1,FALSE))),"")</f>
        <v>1A</v>
      </c>
      <c r="K495" t="str">
        <f>IFERROR(IF(INDEX(Fall!$1:$1048576,MATCH(All!$A495,Fall!$A:$A,FALSE),MATCH(All!K$1,Fall!$1:$1,FALSE))="","",INDEX(Fall!$1:$1048576,MATCH(All!$A495,Fall!$A:$A,FALSE),MATCH(All!K$1,Fall!$1:$1,FALSE))),"")</f>
        <v/>
      </c>
      <c r="L495" t="str">
        <f>IFERROR(IF(INDEX(Fall!$1:$1048576,MATCH(All!$A495,Fall!$A:$A,FALSE),MATCH(All!L$1,Fall!$1:$1,FALSE))="","",INDEX(Fall!$1:$1048576,MATCH(All!$A495,Fall!$A:$A,FALSE),MATCH(All!L$1,Fall!$1:$1,FALSE))),"")</f>
        <v/>
      </c>
      <c r="M495" t="str">
        <f>IFERROR(IF(INDEX(Fall!$1:$1048576,MATCH(All!$A495,Fall!$A:$A,FALSE),MATCH(All!M$1,Fall!$1:$1,FALSE))="","",INDEX(Fall!$1:$1048576,MATCH(All!$A495,Fall!$A:$A,FALSE),MATCH(All!M$1,Fall!$1:$1,FALSE))),"")</f>
        <v>2A</v>
      </c>
      <c r="O495">
        <f>IFERROR(IF(INDEX(Winter!$1:$1048576,MATCH(All!$A495,Winter!$A:$A,FALSE),MATCH(All!O$1,Winter!$1:$1,FALSE))="","",INDEX(Winter!$1:$1048576,MATCH(All!$A495,Winter!$A:$A,FALSE),MATCH(All!O$1,Winter!$1:$1,FALSE))),"")</f>
        <v>307</v>
      </c>
      <c r="P495" t="str">
        <f>IFERROR(IF(INDEX(Winter!$1:$1048576,MATCH(All!$A495,Winter!$A:$A,FALSE),MATCH(All!P$1,Winter!$1:$1,FALSE))="","",INDEX(Winter!$1:$1048576,MATCH(All!$A495,Winter!$A:$A,FALSE),MATCH(All!P$1,Winter!$1:$1,FALSE))),"")</f>
        <v>2A</v>
      </c>
      <c r="Q495" t="str">
        <f>IFERROR(IF(INDEX(Winter!$1:$1048576,MATCH(All!$A495,Winter!$A:$A,FALSE),MATCH(All!Q$1,Winter!$1:$1,FALSE))="","",INDEX(Winter!$1:$1048576,MATCH(All!$A495,Winter!$A:$A,FALSE),MATCH(All!Q$1,Winter!$1:$1,FALSE))),"")</f>
        <v>2A</v>
      </c>
      <c r="R495" t="str">
        <f>IFERROR(IF(INDEX(Winter!$1:$1048576,MATCH(All!$A495,Winter!$A:$A,FALSE),MATCH(All!R$1,Winter!$1:$1,FALSE))="","",INDEX(Winter!$1:$1048576,MATCH(All!$A495,Winter!$A:$A,FALSE),MATCH(All!R$1,Winter!$1:$1,FALSE))),"")</f>
        <v/>
      </c>
      <c r="S495" t="str">
        <f>IFERROR(IF(INDEX(Winter!$1:$1048576,MATCH(All!$A495,Winter!$A:$A,FALSE),MATCH(All!S$1,Winter!$1:$1,FALSE))="","",INDEX(Winter!$1:$1048576,MATCH(All!$A495,Winter!$A:$A,FALSE),MATCH(All!S$1,Winter!$1:$1,FALSE))),"")</f>
        <v/>
      </c>
      <c r="T495" t="str">
        <f>IFERROR(IF(INDEX(Winter!$1:$1048576,MATCH(All!$A495,Winter!$A:$A,FALSE),MATCH(All!T$1,Winter!$1:$1,FALSE))="","",INDEX(Winter!$1:$1048576,MATCH(All!$A495,Winter!$A:$A,FALSE),MATCH(All!T$1,Winter!$1:$1,FALSE))),"")</f>
        <v>1A</v>
      </c>
      <c r="U495" t="str">
        <f>IFERROR(IF(INDEX(Winter!$1:$1048576,MATCH(All!$A495,Winter!$A:$A,FALSE),MATCH(All!U$1,Winter!$1:$1,FALSE))="","",INDEX(Winter!$1:$1048576,MATCH(All!$A495,Winter!$A:$A,FALSE),MATCH(All!U$1,Winter!$1:$1,FALSE))),"")</f>
        <v/>
      </c>
      <c r="W495">
        <f>IFERROR(IF(INDEX(Spring!$1:$1048576,MATCH(All!$A495,Spring!$A:$A,FALSE),MATCH(All!W$1,Spring!$1:$1,FALSE))="","",INDEX(Spring!$1:$1048576,MATCH(All!$A495,Spring!$A:$A,FALSE),MATCH(All!W$1,Spring!$1:$1,FALSE))),"")</f>
        <v>307</v>
      </c>
      <c r="X495" t="str">
        <f>IFERROR(IF(INDEX(Spring!$1:$1048576,MATCH(All!$A495,Spring!$A:$A,FALSE),MATCH(All!X$1,Spring!$1:$1,FALSE))="","",INDEX(Spring!$1:$1048576,MATCH(All!$A495,Spring!$A:$A,FALSE),MATCH(All!X$1,Spring!$1:$1,FALSE))),"")</f>
        <v>2A</v>
      </c>
      <c r="Y495" t="str">
        <f>IFERROR(IF(INDEX(Spring!$1:$1048576,MATCH(All!$A495,Spring!$A:$A,FALSE),MATCH(All!Y$1,Spring!$1:$1,FALSE))="","",INDEX(Spring!$1:$1048576,MATCH(All!$A495,Spring!$A:$A,FALSE),MATCH(All!Y$1,Spring!$1:$1,FALSE))),"")</f>
        <v>2A</v>
      </c>
      <c r="Z495" t="str">
        <f>IFERROR(IF(INDEX(Spring!$1:$1048576,MATCH(All!$A495,Spring!$A:$A,FALSE),MATCH(All!Z$1,Spring!$1:$1,FALSE))="","",INDEX(Spring!$1:$1048576,MATCH(All!$A495,Spring!$A:$A,FALSE),MATCH(All!Z$1,Spring!$1:$1,FALSE))),"")</f>
        <v/>
      </c>
      <c r="AA495" t="str">
        <f>IFERROR(IF(INDEX(Spring!$1:$1048576,MATCH(All!$A495,Spring!$A:$A,FALSE),MATCH(All!AA$1,Spring!$1:$1,FALSE))="","",INDEX(Spring!$1:$1048576,MATCH(All!$A495,Spring!$A:$A,FALSE),MATCH(All!AA$1,Spring!$1:$1,FALSE))),"")</f>
        <v/>
      </c>
      <c r="AB495" t="str">
        <f>IFERROR(IF(INDEX(Spring!$1:$1048576,MATCH(All!$A495,Spring!$A:$A,FALSE),MATCH(All!AB$1,Spring!$1:$1,FALSE))="","",INDEX(Spring!$1:$1048576,MATCH(All!$A495,Spring!$A:$A,FALSE),MATCH(All!AB$1,Spring!$1:$1,FALSE))),"")</f>
        <v>1A</v>
      </c>
      <c r="AC495" t="str">
        <f>IFERROR(IF(INDEX(Spring!$1:$1048576,MATCH(All!$A495,Spring!$A:$A,FALSE),MATCH(All!AC$1,Spring!$1:$1,FALSE))="","",INDEX(Spring!$1:$1048576,MATCH(All!$A495,Spring!$A:$A,FALSE),MATCH(All!AC$1,Spring!$1:$1,FALSE))),"")</f>
        <v>1A</v>
      </c>
      <c r="AD495" t="str">
        <f>IFERROR(VLOOKUP(A495,'Flag Football'!A:A,1,FALSE),"")</f>
        <v/>
      </c>
      <c r="AE495" t="str">
        <f t="shared" si="7"/>
        <v/>
      </c>
    </row>
    <row r="496" spans="1:31" ht="15.75" thickBot="1" x14ac:dyDescent="0.3">
      <c r="A496" s="18" t="s">
        <v>587</v>
      </c>
      <c r="B496" s="38" t="str">
        <f>IFERROR(VLOOKUP(A496,'Public v Private'!A:G,3,FALSE),"")</f>
        <v>private</v>
      </c>
      <c r="C496" s="38">
        <f>IFERROR(VLOOKUP(A496,'Public v Private'!A:G,4,FALSE),"")</f>
        <v>3</v>
      </c>
      <c r="D496" s="38">
        <f>IFERROR(VLOOKUP(A496,'Public v Private'!A:G,5,FALSE),"")</f>
        <v>7</v>
      </c>
      <c r="E496" s="38"/>
      <c r="F496" s="40" t="str">
        <f>IFERROR(INDEX(Fall!$1:$1048576,MATCH(All!$A496,Fall!$A:$A,FALSE),MATCH(All!F$1,Fall!$1:$1,FALSE)),"N/A")</f>
        <v>260.00 (429.00)</v>
      </c>
      <c r="G496" t="str">
        <f>IFERROR(IF(INDEX(Fall!$1:$1048576,MATCH(All!$A496,Fall!$A:$A,FALSE),MATCH(All!G$1,Fall!$1:$1,FALSE))="","",INDEX(Fall!$1:$1048576,MATCH(All!$A496,Fall!$A:$A,FALSE),MATCH(All!G$1,Fall!$1:$1,FALSE))),"")</f>
        <v>1A</v>
      </c>
      <c r="H496" t="str">
        <f>IFERROR(IF(INDEX(Fall!$1:$1048576,MATCH(All!$A496,Fall!$A:$A,FALSE),MATCH(All!H$1,Fall!$1:$1,FALSE))="","",INDEX(Fall!$1:$1048576,MATCH(All!$A496,Fall!$A:$A,FALSE),MATCH(All!H$1,Fall!$1:$1,FALSE))),"")</f>
        <v>1A</v>
      </c>
      <c r="I496" t="str">
        <f>IFERROR(IF(INDEX(Fall!$1:$1048576,MATCH(All!$A496,Fall!$A:$A,FALSE),MATCH(All!I$1,Fall!$1:$1,FALSE))="","",INDEX(Fall!$1:$1048576,MATCH(All!$A496,Fall!$A:$A,FALSE),MATCH(All!I$1,Fall!$1:$1,FALSE))),"")</f>
        <v/>
      </c>
      <c r="J496" t="str">
        <f>IFERROR(IF(INDEX(Fall!$1:$1048576,MATCH(All!$A496,Fall!$A:$A,FALSE),MATCH(All!J$1,Fall!$1:$1,FALSE))="","",INDEX(Fall!$1:$1048576,MATCH(All!$A496,Fall!$A:$A,FALSE),MATCH(All!J$1,Fall!$1:$1,FALSE))),"")</f>
        <v/>
      </c>
      <c r="K496" t="str">
        <f>IFERROR(IF(INDEX(Fall!$1:$1048576,MATCH(All!$A496,Fall!$A:$A,FALSE),MATCH(All!K$1,Fall!$1:$1,FALSE))="","",INDEX(Fall!$1:$1048576,MATCH(All!$A496,Fall!$A:$A,FALSE),MATCH(All!K$1,Fall!$1:$1,FALSE))),"")</f>
        <v/>
      </c>
      <c r="L496" t="str">
        <f>IFERROR(IF(INDEX(Fall!$1:$1048576,MATCH(All!$A496,Fall!$A:$A,FALSE),MATCH(All!L$1,Fall!$1:$1,FALSE))="","",INDEX(Fall!$1:$1048576,MATCH(All!$A496,Fall!$A:$A,FALSE),MATCH(All!L$1,Fall!$1:$1,FALSE))),"")</f>
        <v/>
      </c>
      <c r="M496" t="str">
        <f>IFERROR(IF(INDEX(Fall!$1:$1048576,MATCH(All!$A496,Fall!$A:$A,FALSE),MATCH(All!M$1,Fall!$1:$1,FALSE))="","",INDEX(Fall!$1:$1048576,MATCH(All!$A496,Fall!$A:$A,FALSE),MATCH(All!M$1,Fall!$1:$1,FALSE))),"")</f>
        <v>1A</v>
      </c>
      <c r="O496" t="str">
        <f>IFERROR(IF(INDEX(Winter!$1:$1048576,MATCH(All!$A496,Winter!$A:$A,FALSE),MATCH(All!O$1,Winter!$1:$1,FALSE))="","",INDEX(Winter!$1:$1048576,MATCH(All!$A496,Winter!$A:$A,FALSE),MATCH(All!O$1,Winter!$1:$1,FALSE))),"")</f>
        <v>260.00 (429.00)</v>
      </c>
      <c r="P496" t="str">
        <f>IFERROR(IF(INDEX(Winter!$1:$1048576,MATCH(All!$A496,Winter!$A:$A,FALSE),MATCH(All!P$1,Winter!$1:$1,FALSE))="","",INDEX(Winter!$1:$1048576,MATCH(All!$A496,Winter!$A:$A,FALSE),MATCH(All!P$1,Winter!$1:$1,FALSE))),"")</f>
        <v>1A</v>
      </c>
      <c r="Q496" t="str">
        <f>IFERROR(IF(INDEX(Winter!$1:$1048576,MATCH(All!$A496,Winter!$A:$A,FALSE),MATCH(All!Q$1,Winter!$1:$1,FALSE))="","",INDEX(Winter!$1:$1048576,MATCH(All!$A496,Winter!$A:$A,FALSE),MATCH(All!Q$1,Winter!$1:$1,FALSE))),"")</f>
        <v>1A</v>
      </c>
      <c r="R496" t="str">
        <f>IFERROR(IF(INDEX(Winter!$1:$1048576,MATCH(All!$A496,Winter!$A:$A,FALSE),MATCH(All!R$1,Winter!$1:$1,FALSE))="","",INDEX(Winter!$1:$1048576,MATCH(All!$A496,Winter!$A:$A,FALSE),MATCH(All!R$1,Winter!$1:$1,FALSE))),"")</f>
        <v/>
      </c>
      <c r="S496" t="str">
        <f>IFERROR(IF(INDEX(Winter!$1:$1048576,MATCH(All!$A496,Winter!$A:$A,FALSE),MATCH(All!S$1,Winter!$1:$1,FALSE))="","",INDEX(Winter!$1:$1048576,MATCH(All!$A496,Winter!$A:$A,FALSE),MATCH(All!S$1,Winter!$1:$1,FALSE))),"")</f>
        <v/>
      </c>
      <c r="T496" t="str">
        <f>IFERROR(IF(INDEX(Winter!$1:$1048576,MATCH(All!$A496,Winter!$A:$A,FALSE),MATCH(All!T$1,Winter!$1:$1,FALSE))="","",INDEX(Winter!$1:$1048576,MATCH(All!$A496,Winter!$A:$A,FALSE),MATCH(All!T$1,Winter!$1:$1,FALSE))),"")</f>
        <v/>
      </c>
      <c r="U496" t="str">
        <f>IFERROR(IF(INDEX(Winter!$1:$1048576,MATCH(All!$A496,Winter!$A:$A,FALSE),MATCH(All!U$1,Winter!$1:$1,FALSE))="","",INDEX(Winter!$1:$1048576,MATCH(All!$A496,Winter!$A:$A,FALSE),MATCH(All!U$1,Winter!$1:$1,FALSE))),"")</f>
        <v>1A</v>
      </c>
      <c r="W496" t="str">
        <f>IFERROR(IF(INDEX(Spring!$1:$1048576,MATCH(All!$A496,Spring!$A:$A,FALSE),MATCH(All!W$1,Spring!$1:$1,FALSE))="","",INDEX(Spring!$1:$1048576,MATCH(All!$A496,Spring!$A:$A,FALSE),MATCH(All!W$1,Spring!$1:$1,FALSE))),"")</f>
        <v>260.00 (429.00)</v>
      </c>
      <c r="X496" t="str">
        <f>IFERROR(IF(INDEX(Spring!$1:$1048576,MATCH(All!$A496,Spring!$A:$A,FALSE),MATCH(All!X$1,Spring!$1:$1,FALSE))="","",INDEX(Spring!$1:$1048576,MATCH(All!$A496,Spring!$A:$A,FALSE),MATCH(All!X$1,Spring!$1:$1,FALSE))),"")</f>
        <v>1A</v>
      </c>
      <c r="Y496" t="str">
        <f>IFERROR(IF(INDEX(Spring!$1:$1048576,MATCH(All!$A496,Spring!$A:$A,FALSE),MATCH(All!Y$1,Spring!$1:$1,FALSE))="","",INDEX(Spring!$1:$1048576,MATCH(All!$A496,Spring!$A:$A,FALSE),MATCH(All!Y$1,Spring!$1:$1,FALSE))),"")</f>
        <v>1A</v>
      </c>
      <c r="Z496" t="str">
        <f>IFERROR(IF(INDEX(Spring!$1:$1048576,MATCH(All!$A496,Spring!$A:$A,FALSE),MATCH(All!Z$1,Spring!$1:$1,FALSE))="","",INDEX(Spring!$1:$1048576,MATCH(All!$A496,Spring!$A:$A,FALSE),MATCH(All!Z$1,Spring!$1:$1,FALSE))),"")</f>
        <v>1A</v>
      </c>
      <c r="AA496" t="str">
        <f>IFERROR(IF(INDEX(Spring!$1:$1048576,MATCH(All!$A496,Spring!$A:$A,FALSE),MATCH(All!AA$1,Spring!$1:$1,FALSE))="","",INDEX(Spring!$1:$1048576,MATCH(All!$A496,Spring!$A:$A,FALSE),MATCH(All!AA$1,Spring!$1:$1,FALSE))),"")</f>
        <v/>
      </c>
      <c r="AB496" t="str">
        <f>IFERROR(IF(INDEX(Spring!$1:$1048576,MATCH(All!$A496,Spring!$A:$A,FALSE),MATCH(All!AB$1,Spring!$1:$1,FALSE))="","",INDEX(Spring!$1:$1048576,MATCH(All!$A496,Spring!$A:$A,FALSE),MATCH(All!AB$1,Spring!$1:$1,FALSE))),"")</f>
        <v>1A</v>
      </c>
      <c r="AC496" t="str">
        <f>IFERROR(IF(INDEX(Spring!$1:$1048576,MATCH(All!$A496,Spring!$A:$A,FALSE),MATCH(All!AC$1,Spring!$1:$1,FALSE))="","",INDEX(Spring!$1:$1048576,MATCH(All!$A496,Spring!$A:$A,FALSE),MATCH(All!AC$1,Spring!$1:$1,FALSE))),"")</f>
        <v>1A</v>
      </c>
      <c r="AD496" t="str">
        <f>IFERROR(VLOOKUP(A496,'Flag Football'!A:A,1,FALSE),"")</f>
        <v>Melrose Park (Walther Christian)</v>
      </c>
      <c r="AE496" t="str">
        <f t="shared" si="7"/>
        <v>1A</v>
      </c>
    </row>
    <row r="497" spans="1:31" ht="15.75" thickBot="1" x14ac:dyDescent="0.3">
      <c r="A497" s="20" t="s">
        <v>589</v>
      </c>
      <c r="B497" s="38">
        <f>IFERROR(VLOOKUP(A497,'Public v Private'!A:G,3,FALSE),"")</f>
        <v>0</v>
      </c>
      <c r="C497" s="38">
        <f>IFERROR(VLOOKUP(A497,'Public v Private'!A:G,4,FALSE),"")</f>
        <v>0</v>
      </c>
      <c r="D497" s="38">
        <f>IFERROR(VLOOKUP(A497,'Public v Private'!A:G,5,FALSE),"")</f>
        <v>0</v>
      </c>
      <c r="E497" s="38"/>
      <c r="F497" s="40">
        <f>IFERROR(INDEX(Fall!$1:$1048576,MATCH(All!$A497,Fall!$A:$A,FALSE),MATCH(All!F$1,Fall!$1:$1,FALSE)),"N/A")</f>
        <v>175</v>
      </c>
      <c r="G497" t="str">
        <f>IFERROR(IF(INDEX(Fall!$1:$1048576,MATCH(All!$A497,Fall!$A:$A,FALSE),MATCH(All!G$1,Fall!$1:$1,FALSE))="","",INDEX(Fall!$1:$1048576,MATCH(All!$A497,Fall!$A:$A,FALSE),MATCH(All!G$1,Fall!$1:$1,FALSE))),"")</f>
        <v/>
      </c>
      <c r="H497" t="str">
        <f>IFERROR(IF(INDEX(Fall!$1:$1048576,MATCH(All!$A497,Fall!$A:$A,FALSE),MATCH(All!H$1,Fall!$1:$1,FALSE))="","",INDEX(Fall!$1:$1048576,MATCH(All!$A497,Fall!$A:$A,FALSE),MATCH(All!H$1,Fall!$1:$1,FALSE))),"")</f>
        <v/>
      </c>
      <c r="I497" t="str">
        <f>IFERROR(IF(INDEX(Fall!$1:$1048576,MATCH(All!$A497,Fall!$A:$A,FALSE),MATCH(All!I$1,Fall!$1:$1,FALSE))="","",INDEX(Fall!$1:$1048576,MATCH(All!$A497,Fall!$A:$A,FALSE),MATCH(All!I$1,Fall!$1:$1,FALSE))),"")</f>
        <v>1A</v>
      </c>
      <c r="J497" t="str">
        <f>IFERROR(IF(INDEX(Fall!$1:$1048576,MATCH(All!$A497,Fall!$A:$A,FALSE),MATCH(All!J$1,Fall!$1:$1,FALSE))="","",INDEX(Fall!$1:$1048576,MATCH(All!$A497,Fall!$A:$A,FALSE),MATCH(All!J$1,Fall!$1:$1,FALSE))),"")</f>
        <v/>
      </c>
      <c r="K497" t="str">
        <f>IFERROR(IF(INDEX(Fall!$1:$1048576,MATCH(All!$A497,Fall!$A:$A,FALSE),MATCH(All!K$1,Fall!$1:$1,FALSE))="","",INDEX(Fall!$1:$1048576,MATCH(All!$A497,Fall!$A:$A,FALSE),MATCH(All!K$1,Fall!$1:$1,FALSE))),"")</f>
        <v/>
      </c>
      <c r="L497" t="str">
        <f>IFERROR(IF(INDEX(Fall!$1:$1048576,MATCH(All!$A497,Fall!$A:$A,FALSE),MATCH(All!L$1,Fall!$1:$1,FALSE))="","",INDEX(Fall!$1:$1048576,MATCH(All!$A497,Fall!$A:$A,FALSE),MATCH(All!L$1,Fall!$1:$1,FALSE))),"")</f>
        <v/>
      </c>
      <c r="M497" t="str">
        <f>IFERROR(IF(INDEX(Fall!$1:$1048576,MATCH(All!$A497,Fall!$A:$A,FALSE),MATCH(All!M$1,Fall!$1:$1,FALSE))="","",INDEX(Fall!$1:$1048576,MATCH(All!$A497,Fall!$A:$A,FALSE),MATCH(All!M$1,Fall!$1:$1,FALSE))),"")</f>
        <v>1A</v>
      </c>
      <c r="O497">
        <f>IFERROR(IF(INDEX(Winter!$1:$1048576,MATCH(All!$A497,Winter!$A:$A,FALSE),MATCH(All!O$1,Winter!$1:$1,FALSE))="","",INDEX(Winter!$1:$1048576,MATCH(All!$A497,Winter!$A:$A,FALSE),MATCH(All!O$1,Winter!$1:$1,FALSE))),"")</f>
        <v>175</v>
      </c>
      <c r="P497" t="str">
        <f>IFERROR(IF(INDEX(Winter!$1:$1048576,MATCH(All!$A497,Winter!$A:$A,FALSE),MATCH(All!P$1,Winter!$1:$1,FALSE))="","",INDEX(Winter!$1:$1048576,MATCH(All!$A497,Winter!$A:$A,FALSE),MATCH(All!P$1,Winter!$1:$1,FALSE))),"")</f>
        <v>1A</v>
      </c>
      <c r="Q497" t="str">
        <f>IFERROR(IF(INDEX(Winter!$1:$1048576,MATCH(All!$A497,Winter!$A:$A,FALSE),MATCH(All!Q$1,Winter!$1:$1,FALSE))="","",INDEX(Winter!$1:$1048576,MATCH(All!$A497,Winter!$A:$A,FALSE),MATCH(All!Q$1,Winter!$1:$1,FALSE))),"")</f>
        <v>1A</v>
      </c>
      <c r="R497" t="str">
        <f>IFERROR(IF(INDEX(Winter!$1:$1048576,MATCH(All!$A497,Winter!$A:$A,FALSE),MATCH(All!R$1,Winter!$1:$1,FALSE))="","",INDEX(Winter!$1:$1048576,MATCH(All!$A497,Winter!$A:$A,FALSE),MATCH(All!R$1,Winter!$1:$1,FALSE))),"")</f>
        <v/>
      </c>
      <c r="S497" t="str">
        <f>IFERROR(IF(INDEX(Winter!$1:$1048576,MATCH(All!$A497,Winter!$A:$A,FALSE),MATCH(All!S$1,Winter!$1:$1,FALSE))="","",INDEX(Winter!$1:$1048576,MATCH(All!$A497,Winter!$A:$A,FALSE),MATCH(All!S$1,Winter!$1:$1,FALSE))),"")</f>
        <v/>
      </c>
      <c r="T497" t="str">
        <f>IFERROR(IF(INDEX(Winter!$1:$1048576,MATCH(All!$A497,Winter!$A:$A,FALSE),MATCH(All!T$1,Winter!$1:$1,FALSE))="","",INDEX(Winter!$1:$1048576,MATCH(All!$A497,Winter!$A:$A,FALSE),MATCH(All!T$1,Winter!$1:$1,FALSE))),"")</f>
        <v>1A</v>
      </c>
      <c r="U497" t="str">
        <f>IFERROR(IF(INDEX(Winter!$1:$1048576,MATCH(All!$A497,Winter!$A:$A,FALSE),MATCH(All!U$1,Winter!$1:$1,FALSE))="","",INDEX(Winter!$1:$1048576,MATCH(All!$A497,Winter!$A:$A,FALSE),MATCH(All!U$1,Winter!$1:$1,FALSE))),"")</f>
        <v/>
      </c>
      <c r="W497">
        <f>IFERROR(IF(INDEX(Spring!$1:$1048576,MATCH(All!$A497,Spring!$A:$A,FALSE),MATCH(All!W$1,Spring!$1:$1,FALSE))="","",INDEX(Spring!$1:$1048576,MATCH(All!$A497,Spring!$A:$A,FALSE),MATCH(All!W$1,Spring!$1:$1,FALSE))),"")</f>
        <v>175</v>
      </c>
      <c r="X497" t="str">
        <f>IFERROR(IF(INDEX(Spring!$1:$1048576,MATCH(All!$A497,Spring!$A:$A,FALSE),MATCH(All!X$1,Spring!$1:$1,FALSE))="","",INDEX(Spring!$1:$1048576,MATCH(All!$A497,Spring!$A:$A,FALSE),MATCH(All!X$1,Spring!$1:$1,FALSE))),"")</f>
        <v>1A</v>
      </c>
      <c r="Y497" t="str">
        <f>IFERROR(IF(INDEX(Spring!$1:$1048576,MATCH(All!$A497,Spring!$A:$A,FALSE),MATCH(All!Y$1,Spring!$1:$1,FALSE))="","",INDEX(Spring!$1:$1048576,MATCH(All!$A497,Spring!$A:$A,FALSE),MATCH(All!Y$1,Spring!$1:$1,FALSE))),"")</f>
        <v>1A</v>
      </c>
      <c r="Z497" t="str">
        <f>IFERROR(IF(INDEX(Spring!$1:$1048576,MATCH(All!$A497,Spring!$A:$A,FALSE),MATCH(All!Z$1,Spring!$1:$1,FALSE))="","",INDEX(Spring!$1:$1048576,MATCH(All!$A497,Spring!$A:$A,FALSE),MATCH(All!Z$1,Spring!$1:$1,FALSE))),"")</f>
        <v/>
      </c>
      <c r="AA497" t="str">
        <f>IFERROR(IF(INDEX(Spring!$1:$1048576,MATCH(All!$A497,Spring!$A:$A,FALSE),MATCH(All!AA$1,Spring!$1:$1,FALSE))="","",INDEX(Spring!$1:$1048576,MATCH(All!$A497,Spring!$A:$A,FALSE),MATCH(All!AA$1,Spring!$1:$1,FALSE))),"")</f>
        <v/>
      </c>
      <c r="AB497" t="str">
        <f>IFERROR(IF(INDEX(Spring!$1:$1048576,MATCH(All!$A497,Spring!$A:$A,FALSE),MATCH(All!AB$1,Spring!$1:$1,FALSE))="","",INDEX(Spring!$1:$1048576,MATCH(All!$A497,Spring!$A:$A,FALSE),MATCH(All!AB$1,Spring!$1:$1,FALSE))),"")</f>
        <v>1A</v>
      </c>
      <c r="AC497" t="str">
        <f>IFERROR(IF(INDEX(Spring!$1:$1048576,MATCH(All!$A497,Spring!$A:$A,FALSE),MATCH(All!AC$1,Spring!$1:$1,FALSE))="","",INDEX(Spring!$1:$1048576,MATCH(All!$A497,Spring!$A:$A,FALSE),MATCH(All!AC$1,Spring!$1:$1,FALSE))),"")</f>
        <v>1A</v>
      </c>
      <c r="AD497" t="str">
        <f>IFERROR(VLOOKUP(A497,'Flag Football'!A:A,1,FALSE),"")</f>
        <v/>
      </c>
      <c r="AE497" t="str">
        <f t="shared" si="7"/>
        <v/>
      </c>
    </row>
    <row r="498" spans="1:31" ht="15.75" thickBot="1" x14ac:dyDescent="0.3">
      <c r="A498" s="18" t="s">
        <v>590</v>
      </c>
      <c r="B498" s="38">
        <f>IFERROR(VLOOKUP(A498,'Public v Private'!A:G,3,FALSE),"")</f>
        <v>0</v>
      </c>
      <c r="C498" s="38">
        <f>IFERROR(VLOOKUP(A498,'Public v Private'!A:G,4,FALSE),"")</f>
        <v>0</v>
      </c>
      <c r="D498" s="38">
        <f>IFERROR(VLOOKUP(A498,'Public v Private'!A:G,5,FALSE),"")</f>
        <v>0</v>
      </c>
      <c r="E498" s="38"/>
      <c r="F498" s="40">
        <f>IFERROR(INDEX(Fall!$1:$1048576,MATCH(All!$A498,Fall!$A:$A,FALSE),MATCH(All!F$1,Fall!$1:$1,FALSE)),"N/A")</f>
        <v>485</v>
      </c>
      <c r="G498" t="str">
        <f>IFERROR(IF(INDEX(Fall!$1:$1048576,MATCH(All!$A498,Fall!$A:$A,FALSE),MATCH(All!G$1,Fall!$1:$1,FALSE))="","",INDEX(Fall!$1:$1048576,MATCH(All!$A498,Fall!$A:$A,FALSE),MATCH(All!G$1,Fall!$1:$1,FALSE))),"")</f>
        <v>1A</v>
      </c>
      <c r="H498" t="str">
        <f>IFERROR(IF(INDEX(Fall!$1:$1048576,MATCH(All!$A498,Fall!$A:$A,FALSE),MATCH(All!H$1,Fall!$1:$1,FALSE))="","",INDEX(Fall!$1:$1048576,MATCH(All!$A498,Fall!$A:$A,FALSE),MATCH(All!H$1,Fall!$1:$1,FALSE))),"")</f>
        <v>1A</v>
      </c>
      <c r="I498" t="str">
        <f>IFERROR(IF(INDEX(Fall!$1:$1048576,MATCH(All!$A498,Fall!$A:$A,FALSE),MATCH(All!I$1,Fall!$1:$1,FALSE))="","",INDEX(Fall!$1:$1048576,MATCH(All!$A498,Fall!$A:$A,FALSE),MATCH(All!I$1,Fall!$1:$1,FALSE))),"")</f>
        <v>1A</v>
      </c>
      <c r="J498" t="str">
        <f>IFERROR(IF(INDEX(Fall!$1:$1048576,MATCH(All!$A498,Fall!$A:$A,FALSE),MATCH(All!J$1,Fall!$1:$1,FALSE))="","",INDEX(Fall!$1:$1048576,MATCH(All!$A498,Fall!$A:$A,FALSE),MATCH(All!J$1,Fall!$1:$1,FALSE))),"")</f>
        <v>1A</v>
      </c>
      <c r="K498" t="str">
        <f>IFERROR(IF(INDEX(Fall!$1:$1048576,MATCH(All!$A498,Fall!$A:$A,FALSE),MATCH(All!K$1,Fall!$1:$1,FALSE))="","",INDEX(Fall!$1:$1048576,MATCH(All!$A498,Fall!$A:$A,FALSE),MATCH(All!K$1,Fall!$1:$1,FALSE))),"")</f>
        <v>1A</v>
      </c>
      <c r="L498" t="str">
        <f>IFERROR(IF(INDEX(Fall!$1:$1048576,MATCH(All!$A498,Fall!$A:$A,FALSE),MATCH(All!L$1,Fall!$1:$1,FALSE))="","",INDEX(Fall!$1:$1048576,MATCH(All!$A498,Fall!$A:$A,FALSE),MATCH(All!L$1,Fall!$1:$1,FALSE))),"")</f>
        <v>1A</v>
      </c>
      <c r="M498" t="str">
        <f>IFERROR(IF(INDEX(Fall!$1:$1048576,MATCH(All!$A498,Fall!$A:$A,FALSE),MATCH(All!M$1,Fall!$1:$1,FALSE))="","",INDEX(Fall!$1:$1048576,MATCH(All!$A498,Fall!$A:$A,FALSE),MATCH(All!M$1,Fall!$1:$1,FALSE))),"")</f>
        <v>2A</v>
      </c>
      <c r="O498">
        <f>IFERROR(IF(INDEX(Winter!$1:$1048576,MATCH(All!$A498,Winter!$A:$A,FALSE),MATCH(All!O$1,Winter!$1:$1,FALSE))="","",INDEX(Winter!$1:$1048576,MATCH(All!$A498,Winter!$A:$A,FALSE),MATCH(All!O$1,Winter!$1:$1,FALSE))),"")</f>
        <v>485</v>
      </c>
      <c r="P498" t="str">
        <f>IFERROR(IF(INDEX(Winter!$1:$1048576,MATCH(All!$A498,Winter!$A:$A,FALSE),MATCH(All!P$1,Winter!$1:$1,FALSE))="","",INDEX(Winter!$1:$1048576,MATCH(All!$A498,Winter!$A:$A,FALSE),MATCH(All!P$1,Winter!$1:$1,FALSE))),"")</f>
        <v>2A</v>
      </c>
      <c r="Q498" t="str">
        <f>IFERROR(IF(INDEX(Winter!$1:$1048576,MATCH(All!$A498,Winter!$A:$A,FALSE),MATCH(All!Q$1,Winter!$1:$1,FALSE))="","",INDEX(Winter!$1:$1048576,MATCH(All!$A498,Winter!$A:$A,FALSE),MATCH(All!Q$1,Winter!$1:$1,FALSE))),"")</f>
        <v>2A</v>
      </c>
      <c r="R498" t="str">
        <f>IFERROR(IF(INDEX(Winter!$1:$1048576,MATCH(All!$A498,Winter!$A:$A,FALSE),MATCH(All!R$1,Winter!$1:$1,FALSE))="","",INDEX(Winter!$1:$1048576,MATCH(All!$A498,Winter!$A:$A,FALSE),MATCH(All!R$1,Winter!$1:$1,FALSE))),"")</f>
        <v/>
      </c>
      <c r="S498" t="str">
        <f>IFERROR(IF(INDEX(Winter!$1:$1048576,MATCH(All!$A498,Winter!$A:$A,FALSE),MATCH(All!S$1,Winter!$1:$1,FALSE))="","",INDEX(Winter!$1:$1048576,MATCH(All!$A498,Winter!$A:$A,FALSE),MATCH(All!S$1,Winter!$1:$1,FALSE))),"")</f>
        <v/>
      </c>
      <c r="T498" t="str">
        <f>IFERROR(IF(INDEX(Winter!$1:$1048576,MATCH(All!$A498,Winter!$A:$A,FALSE),MATCH(All!T$1,Winter!$1:$1,FALSE))="","",INDEX(Winter!$1:$1048576,MATCH(All!$A498,Winter!$A:$A,FALSE),MATCH(All!T$1,Winter!$1:$1,FALSE))),"")</f>
        <v>2A</v>
      </c>
      <c r="U498" t="str">
        <f>IFERROR(IF(INDEX(Winter!$1:$1048576,MATCH(All!$A498,Winter!$A:$A,FALSE),MATCH(All!U$1,Winter!$1:$1,FALSE))="","",INDEX(Winter!$1:$1048576,MATCH(All!$A498,Winter!$A:$A,FALSE),MATCH(All!U$1,Winter!$1:$1,FALSE))),"")</f>
        <v>1A</v>
      </c>
      <c r="W498">
        <f>IFERROR(IF(INDEX(Spring!$1:$1048576,MATCH(All!$A498,Spring!$A:$A,FALSE),MATCH(All!W$1,Spring!$1:$1,FALSE))="","",INDEX(Spring!$1:$1048576,MATCH(All!$A498,Spring!$A:$A,FALSE),MATCH(All!W$1,Spring!$1:$1,FALSE))),"")</f>
        <v>485</v>
      </c>
      <c r="X498" t="str">
        <f>IFERROR(IF(INDEX(Spring!$1:$1048576,MATCH(All!$A498,Spring!$A:$A,FALSE),MATCH(All!X$1,Spring!$1:$1,FALSE))="","",INDEX(Spring!$1:$1048576,MATCH(All!$A498,Spring!$A:$A,FALSE),MATCH(All!X$1,Spring!$1:$1,FALSE))),"")</f>
        <v>2A</v>
      </c>
      <c r="Y498" t="str">
        <f>IFERROR(IF(INDEX(Spring!$1:$1048576,MATCH(All!$A498,Spring!$A:$A,FALSE),MATCH(All!Y$1,Spring!$1:$1,FALSE))="","",INDEX(Spring!$1:$1048576,MATCH(All!$A498,Spring!$A:$A,FALSE),MATCH(All!Y$1,Spring!$1:$1,FALSE))),"")</f>
        <v>2A</v>
      </c>
      <c r="Z498" t="str">
        <f>IFERROR(IF(INDEX(Spring!$1:$1048576,MATCH(All!$A498,Spring!$A:$A,FALSE),MATCH(All!Z$1,Spring!$1:$1,FALSE))="","",INDEX(Spring!$1:$1048576,MATCH(All!$A498,Spring!$A:$A,FALSE),MATCH(All!Z$1,Spring!$1:$1,FALSE))),"")</f>
        <v>1A</v>
      </c>
      <c r="AA498" t="str">
        <f>IFERROR(IF(INDEX(Spring!$1:$1048576,MATCH(All!$A498,Spring!$A:$A,FALSE),MATCH(All!AA$1,Spring!$1:$1,FALSE))="","",INDEX(Spring!$1:$1048576,MATCH(All!$A498,Spring!$A:$A,FALSE),MATCH(All!AA$1,Spring!$1:$1,FALSE))),"")</f>
        <v>1A</v>
      </c>
      <c r="AB498" t="str">
        <f>IFERROR(IF(INDEX(Spring!$1:$1048576,MATCH(All!$A498,Spring!$A:$A,FALSE),MATCH(All!AB$1,Spring!$1:$1,FALSE))="","",INDEX(Spring!$1:$1048576,MATCH(All!$A498,Spring!$A:$A,FALSE),MATCH(All!AB$1,Spring!$1:$1,FALSE))),"")</f>
        <v>2A</v>
      </c>
      <c r="AC498" t="str">
        <f>IFERROR(IF(INDEX(Spring!$1:$1048576,MATCH(All!$A498,Spring!$A:$A,FALSE),MATCH(All!AC$1,Spring!$1:$1,FALSE))="","",INDEX(Spring!$1:$1048576,MATCH(All!$A498,Spring!$A:$A,FALSE),MATCH(All!AC$1,Spring!$1:$1,FALSE))),"")</f>
        <v>2A</v>
      </c>
      <c r="AD498" t="str">
        <f>IFERROR(VLOOKUP(A498,'Flag Football'!A:A,1,FALSE),"")</f>
        <v/>
      </c>
      <c r="AE498" t="str">
        <f t="shared" si="7"/>
        <v/>
      </c>
    </row>
    <row r="499" spans="1:31" ht="15.75" thickBot="1" x14ac:dyDescent="0.3">
      <c r="A499" s="18" t="s">
        <v>591</v>
      </c>
      <c r="B499" s="38" t="str">
        <f>IFERROR(VLOOKUP(A499,'Public v Private'!A:G,3,FALSE),"")</f>
        <v/>
      </c>
      <c r="C499" s="38" t="str">
        <f>IFERROR(VLOOKUP(A499,'Public v Private'!A:G,4,FALSE),"")</f>
        <v/>
      </c>
      <c r="D499" s="38" t="str">
        <f>IFERROR(VLOOKUP(A499,'Public v Private'!A:G,5,FALSE),"")</f>
        <v/>
      </c>
      <c r="E499" s="38"/>
      <c r="F499" s="40" t="str">
        <f>IFERROR(INDEX(Fall!$1:$1048576,MATCH(All!$A499,Fall!$A:$A,FALSE),MATCH(All!F$1,Fall!$1:$1,FALSE)),"N/A")</f>
        <v>N/A</v>
      </c>
      <c r="G499" t="str">
        <f>IFERROR(IF(INDEX(Fall!$1:$1048576,MATCH(All!$A499,Fall!$A:$A,FALSE),MATCH(All!G$1,Fall!$1:$1,FALSE))="","",INDEX(Fall!$1:$1048576,MATCH(All!$A499,Fall!$A:$A,FALSE),MATCH(All!G$1,Fall!$1:$1,FALSE))),"")</f>
        <v/>
      </c>
      <c r="H499" t="str">
        <f>IFERROR(IF(INDEX(Fall!$1:$1048576,MATCH(All!$A499,Fall!$A:$A,FALSE),MATCH(All!H$1,Fall!$1:$1,FALSE))="","",INDEX(Fall!$1:$1048576,MATCH(All!$A499,Fall!$A:$A,FALSE),MATCH(All!H$1,Fall!$1:$1,FALSE))),"")</f>
        <v/>
      </c>
      <c r="I499" t="str">
        <f>IFERROR(IF(INDEX(Fall!$1:$1048576,MATCH(All!$A499,Fall!$A:$A,FALSE),MATCH(All!I$1,Fall!$1:$1,FALSE))="","",INDEX(Fall!$1:$1048576,MATCH(All!$A499,Fall!$A:$A,FALSE),MATCH(All!I$1,Fall!$1:$1,FALSE))),"")</f>
        <v/>
      </c>
      <c r="J499" t="str">
        <f>IFERROR(IF(INDEX(Fall!$1:$1048576,MATCH(All!$A499,Fall!$A:$A,FALSE),MATCH(All!J$1,Fall!$1:$1,FALSE))="","",INDEX(Fall!$1:$1048576,MATCH(All!$A499,Fall!$A:$A,FALSE),MATCH(All!J$1,Fall!$1:$1,FALSE))),"")</f>
        <v/>
      </c>
      <c r="K499" t="str">
        <f>IFERROR(IF(INDEX(Fall!$1:$1048576,MATCH(All!$A499,Fall!$A:$A,FALSE),MATCH(All!K$1,Fall!$1:$1,FALSE))="","",INDEX(Fall!$1:$1048576,MATCH(All!$A499,Fall!$A:$A,FALSE),MATCH(All!K$1,Fall!$1:$1,FALSE))),"")</f>
        <v/>
      </c>
      <c r="L499" t="str">
        <f>IFERROR(IF(INDEX(Fall!$1:$1048576,MATCH(All!$A499,Fall!$A:$A,FALSE),MATCH(All!L$1,Fall!$1:$1,FALSE))="","",INDEX(Fall!$1:$1048576,MATCH(All!$A499,Fall!$A:$A,FALSE),MATCH(All!L$1,Fall!$1:$1,FALSE))),"")</f>
        <v/>
      </c>
      <c r="M499" t="str">
        <f>IFERROR(IF(INDEX(Fall!$1:$1048576,MATCH(All!$A499,Fall!$A:$A,FALSE),MATCH(All!M$1,Fall!$1:$1,FALSE))="","",INDEX(Fall!$1:$1048576,MATCH(All!$A499,Fall!$A:$A,FALSE),MATCH(All!M$1,Fall!$1:$1,FALSE))),"")</f>
        <v/>
      </c>
      <c r="O499" t="str">
        <f>IFERROR(IF(INDEX(Winter!$1:$1048576,MATCH(All!$A499,Winter!$A:$A,FALSE),MATCH(All!O$1,Winter!$1:$1,FALSE))="","",INDEX(Winter!$1:$1048576,MATCH(All!$A499,Winter!$A:$A,FALSE),MATCH(All!O$1,Winter!$1:$1,FALSE))),"")</f>
        <v/>
      </c>
      <c r="P499" t="str">
        <f>IFERROR(IF(INDEX(Winter!$1:$1048576,MATCH(All!$A499,Winter!$A:$A,FALSE),MATCH(All!P$1,Winter!$1:$1,FALSE))="","",INDEX(Winter!$1:$1048576,MATCH(All!$A499,Winter!$A:$A,FALSE),MATCH(All!P$1,Winter!$1:$1,FALSE))),"")</f>
        <v/>
      </c>
      <c r="Q499" t="str">
        <f>IFERROR(IF(INDEX(Winter!$1:$1048576,MATCH(All!$A499,Winter!$A:$A,FALSE),MATCH(All!Q$1,Winter!$1:$1,FALSE))="","",INDEX(Winter!$1:$1048576,MATCH(All!$A499,Winter!$A:$A,FALSE),MATCH(All!Q$1,Winter!$1:$1,FALSE))),"")</f>
        <v/>
      </c>
      <c r="R499" t="str">
        <f>IFERROR(IF(INDEX(Winter!$1:$1048576,MATCH(All!$A499,Winter!$A:$A,FALSE),MATCH(All!R$1,Winter!$1:$1,FALSE))="","",INDEX(Winter!$1:$1048576,MATCH(All!$A499,Winter!$A:$A,FALSE),MATCH(All!R$1,Winter!$1:$1,FALSE))),"")</f>
        <v/>
      </c>
      <c r="S499" t="str">
        <f>IFERROR(IF(INDEX(Winter!$1:$1048576,MATCH(All!$A499,Winter!$A:$A,FALSE),MATCH(All!S$1,Winter!$1:$1,FALSE))="","",INDEX(Winter!$1:$1048576,MATCH(All!$A499,Winter!$A:$A,FALSE),MATCH(All!S$1,Winter!$1:$1,FALSE))),"")</f>
        <v/>
      </c>
      <c r="T499" t="str">
        <f>IFERROR(IF(INDEX(Winter!$1:$1048576,MATCH(All!$A499,Winter!$A:$A,FALSE),MATCH(All!T$1,Winter!$1:$1,FALSE))="","",INDEX(Winter!$1:$1048576,MATCH(All!$A499,Winter!$A:$A,FALSE),MATCH(All!T$1,Winter!$1:$1,FALSE))),"")</f>
        <v/>
      </c>
      <c r="U499" t="str">
        <f>IFERROR(IF(INDEX(Winter!$1:$1048576,MATCH(All!$A499,Winter!$A:$A,FALSE),MATCH(All!U$1,Winter!$1:$1,FALSE))="","",INDEX(Winter!$1:$1048576,MATCH(All!$A499,Winter!$A:$A,FALSE),MATCH(All!U$1,Winter!$1:$1,FALSE))),"")</f>
        <v/>
      </c>
      <c r="W499">
        <f>IFERROR(IF(INDEX(Spring!$1:$1048576,MATCH(All!$A499,Spring!$A:$A,FALSE),MATCH(All!W$1,Spring!$1:$1,FALSE))="","",INDEX(Spring!$1:$1048576,MATCH(All!$A499,Spring!$A:$A,FALSE),MATCH(All!W$1,Spring!$1:$1,FALSE))),"")</f>
        <v>48</v>
      </c>
      <c r="X499" t="str">
        <f>IFERROR(IF(INDEX(Spring!$1:$1048576,MATCH(All!$A499,Spring!$A:$A,FALSE),MATCH(All!X$1,Spring!$1:$1,FALSE))="","",INDEX(Spring!$1:$1048576,MATCH(All!$A499,Spring!$A:$A,FALSE),MATCH(All!X$1,Spring!$1:$1,FALSE))),"")</f>
        <v/>
      </c>
      <c r="Y499" t="str">
        <f>IFERROR(IF(INDEX(Spring!$1:$1048576,MATCH(All!$A499,Spring!$A:$A,FALSE),MATCH(All!Y$1,Spring!$1:$1,FALSE))="","",INDEX(Spring!$1:$1048576,MATCH(All!$A499,Spring!$A:$A,FALSE),MATCH(All!Y$1,Spring!$1:$1,FALSE))),"")</f>
        <v/>
      </c>
      <c r="Z499" t="str">
        <f>IFERROR(IF(INDEX(Spring!$1:$1048576,MATCH(All!$A499,Spring!$A:$A,FALSE),MATCH(All!Z$1,Spring!$1:$1,FALSE))="","",INDEX(Spring!$1:$1048576,MATCH(All!$A499,Spring!$A:$A,FALSE),MATCH(All!Z$1,Spring!$1:$1,FALSE))),"")</f>
        <v/>
      </c>
      <c r="AA499" t="str">
        <f>IFERROR(IF(INDEX(Spring!$1:$1048576,MATCH(All!$A499,Spring!$A:$A,FALSE),MATCH(All!AA$1,Spring!$1:$1,FALSE))="","",INDEX(Spring!$1:$1048576,MATCH(All!$A499,Spring!$A:$A,FALSE),MATCH(All!AA$1,Spring!$1:$1,FALSE))),"")</f>
        <v/>
      </c>
      <c r="AB499" t="str">
        <f>IFERROR(IF(INDEX(Spring!$1:$1048576,MATCH(All!$A499,Spring!$A:$A,FALSE),MATCH(All!AB$1,Spring!$1:$1,FALSE))="","",INDEX(Spring!$1:$1048576,MATCH(All!$A499,Spring!$A:$A,FALSE),MATCH(All!AB$1,Spring!$1:$1,FALSE))),"")</f>
        <v>1A</v>
      </c>
      <c r="AC499" t="str">
        <f>IFERROR(IF(INDEX(Spring!$1:$1048576,MATCH(All!$A499,Spring!$A:$A,FALSE),MATCH(All!AC$1,Spring!$1:$1,FALSE))="","",INDEX(Spring!$1:$1048576,MATCH(All!$A499,Spring!$A:$A,FALSE),MATCH(All!AC$1,Spring!$1:$1,FALSE))),"")</f>
        <v>1A</v>
      </c>
      <c r="AD499" t="str">
        <f>IFERROR(VLOOKUP(A499,'Flag Football'!A:A,1,FALSE),"")</f>
        <v/>
      </c>
      <c r="AE499" t="str">
        <f t="shared" si="7"/>
        <v/>
      </c>
    </row>
    <row r="500" spans="1:31" ht="15.75" thickBot="1" x14ac:dyDescent="0.3">
      <c r="A500" s="20" t="s">
        <v>592</v>
      </c>
      <c r="B500" s="38">
        <f>IFERROR(VLOOKUP(A500,'Public v Private'!A:G,3,FALSE),"")</f>
        <v>0</v>
      </c>
      <c r="C500" s="38">
        <f>IFERROR(VLOOKUP(A500,'Public v Private'!A:G,4,FALSE),"")</f>
        <v>0</v>
      </c>
      <c r="D500" s="38">
        <f>IFERROR(VLOOKUP(A500,'Public v Private'!A:G,5,FALSE),"")</f>
        <v>0</v>
      </c>
      <c r="E500" s="38"/>
      <c r="F500" s="40">
        <f>IFERROR(INDEX(Fall!$1:$1048576,MATCH(All!$A500,Fall!$A:$A,FALSE),MATCH(All!F$1,Fall!$1:$1,FALSE)),"N/A")</f>
        <v>876</v>
      </c>
      <c r="G500" t="str">
        <f>IFERROR(IF(INDEX(Fall!$1:$1048576,MATCH(All!$A500,Fall!$A:$A,FALSE),MATCH(All!G$1,Fall!$1:$1,FALSE))="","",INDEX(Fall!$1:$1048576,MATCH(All!$A500,Fall!$A:$A,FALSE),MATCH(All!G$1,Fall!$1:$1,FALSE))),"")</f>
        <v>2A</v>
      </c>
      <c r="H500" t="str">
        <f>IFERROR(IF(INDEX(Fall!$1:$1048576,MATCH(All!$A500,Fall!$A:$A,FALSE),MATCH(All!H$1,Fall!$1:$1,FALSE))="","",INDEX(Fall!$1:$1048576,MATCH(All!$A500,Fall!$A:$A,FALSE),MATCH(All!H$1,Fall!$1:$1,FALSE))),"")</f>
        <v>2A</v>
      </c>
      <c r="I500" t="str">
        <f>IFERROR(IF(INDEX(Fall!$1:$1048576,MATCH(All!$A500,Fall!$A:$A,FALSE),MATCH(All!I$1,Fall!$1:$1,FALSE))="","",INDEX(Fall!$1:$1048576,MATCH(All!$A500,Fall!$A:$A,FALSE),MATCH(All!I$1,Fall!$1:$1,FALSE))),"")</f>
        <v>2A</v>
      </c>
      <c r="J500" t="str">
        <f>IFERROR(IF(INDEX(Fall!$1:$1048576,MATCH(All!$A500,Fall!$A:$A,FALSE),MATCH(All!J$1,Fall!$1:$1,FALSE))="","",INDEX(Fall!$1:$1048576,MATCH(All!$A500,Fall!$A:$A,FALSE),MATCH(All!J$1,Fall!$1:$1,FALSE))),"")</f>
        <v>1A</v>
      </c>
      <c r="K500" t="str">
        <f>IFERROR(IF(INDEX(Fall!$1:$1048576,MATCH(All!$A500,Fall!$A:$A,FALSE),MATCH(All!K$1,Fall!$1:$1,FALSE))="","",INDEX(Fall!$1:$1048576,MATCH(All!$A500,Fall!$A:$A,FALSE),MATCH(All!K$1,Fall!$1:$1,FALSE))),"")</f>
        <v>2A</v>
      </c>
      <c r="L500" t="str">
        <f>IFERROR(IF(INDEX(Fall!$1:$1048576,MATCH(All!$A500,Fall!$A:$A,FALSE),MATCH(All!L$1,Fall!$1:$1,FALSE))="","",INDEX(Fall!$1:$1048576,MATCH(All!$A500,Fall!$A:$A,FALSE),MATCH(All!L$1,Fall!$1:$1,FALSE))),"")</f>
        <v>1A</v>
      </c>
      <c r="M500" t="str">
        <f>IFERROR(IF(INDEX(Fall!$1:$1048576,MATCH(All!$A500,Fall!$A:$A,FALSE),MATCH(All!M$1,Fall!$1:$1,FALSE))="","",INDEX(Fall!$1:$1048576,MATCH(All!$A500,Fall!$A:$A,FALSE),MATCH(All!M$1,Fall!$1:$1,FALSE))),"")</f>
        <v>3A</v>
      </c>
      <c r="O500">
        <f>IFERROR(IF(INDEX(Winter!$1:$1048576,MATCH(All!$A500,Winter!$A:$A,FALSE),MATCH(All!O$1,Winter!$1:$1,FALSE))="","",INDEX(Winter!$1:$1048576,MATCH(All!$A500,Winter!$A:$A,FALSE),MATCH(All!O$1,Winter!$1:$1,FALSE))),"")</f>
        <v>876</v>
      </c>
      <c r="P500" t="str">
        <f>IFERROR(IF(INDEX(Winter!$1:$1048576,MATCH(All!$A500,Winter!$A:$A,FALSE),MATCH(All!P$1,Winter!$1:$1,FALSE))="","",INDEX(Winter!$1:$1048576,MATCH(All!$A500,Winter!$A:$A,FALSE),MATCH(All!P$1,Winter!$1:$1,FALSE))),"")</f>
        <v>3A</v>
      </c>
      <c r="Q500" t="str">
        <f>IFERROR(IF(INDEX(Winter!$1:$1048576,MATCH(All!$A500,Winter!$A:$A,FALSE),MATCH(All!Q$1,Winter!$1:$1,FALSE))="","",INDEX(Winter!$1:$1048576,MATCH(All!$A500,Winter!$A:$A,FALSE),MATCH(All!Q$1,Winter!$1:$1,FALSE))),"")</f>
        <v>3A</v>
      </c>
      <c r="R500" t="str">
        <f>IFERROR(IF(INDEX(Winter!$1:$1048576,MATCH(All!$A500,Winter!$A:$A,FALSE),MATCH(All!R$1,Winter!$1:$1,FALSE))="","",INDEX(Winter!$1:$1048576,MATCH(All!$A500,Winter!$A:$A,FALSE),MATCH(All!R$1,Winter!$1:$1,FALSE))),"")</f>
        <v/>
      </c>
      <c r="S500" t="str">
        <f>IFERROR(IF(INDEX(Winter!$1:$1048576,MATCH(All!$A500,Winter!$A:$A,FALSE),MATCH(All!S$1,Winter!$1:$1,FALSE))="","",INDEX(Winter!$1:$1048576,MATCH(All!$A500,Winter!$A:$A,FALSE),MATCH(All!S$1,Winter!$1:$1,FALSE))),"")</f>
        <v/>
      </c>
      <c r="T500" t="str">
        <f>IFERROR(IF(INDEX(Winter!$1:$1048576,MATCH(All!$A500,Winter!$A:$A,FALSE),MATCH(All!T$1,Winter!$1:$1,FALSE))="","",INDEX(Winter!$1:$1048576,MATCH(All!$A500,Winter!$A:$A,FALSE),MATCH(All!T$1,Winter!$1:$1,FALSE))),"")</f>
        <v>2A</v>
      </c>
      <c r="U500" t="str">
        <f>IFERROR(IF(INDEX(Winter!$1:$1048576,MATCH(All!$A500,Winter!$A:$A,FALSE),MATCH(All!U$1,Winter!$1:$1,FALSE))="","",INDEX(Winter!$1:$1048576,MATCH(All!$A500,Winter!$A:$A,FALSE),MATCH(All!U$1,Winter!$1:$1,FALSE))),"")</f>
        <v>2A</v>
      </c>
      <c r="W500">
        <f>IFERROR(IF(INDEX(Spring!$1:$1048576,MATCH(All!$A500,Spring!$A:$A,FALSE),MATCH(All!W$1,Spring!$1:$1,FALSE))="","",INDEX(Spring!$1:$1048576,MATCH(All!$A500,Spring!$A:$A,FALSE),MATCH(All!W$1,Spring!$1:$1,FALSE))),"")</f>
        <v>876</v>
      </c>
      <c r="X500" t="str">
        <f>IFERROR(IF(INDEX(Spring!$1:$1048576,MATCH(All!$A500,Spring!$A:$A,FALSE),MATCH(All!X$1,Spring!$1:$1,FALSE))="","",INDEX(Spring!$1:$1048576,MATCH(All!$A500,Spring!$A:$A,FALSE),MATCH(All!X$1,Spring!$1:$1,FALSE))),"")</f>
        <v>3A</v>
      </c>
      <c r="Y500" t="str">
        <f>IFERROR(IF(INDEX(Spring!$1:$1048576,MATCH(All!$A500,Spring!$A:$A,FALSE),MATCH(All!Y$1,Spring!$1:$1,FALSE))="","",INDEX(Spring!$1:$1048576,MATCH(All!$A500,Spring!$A:$A,FALSE),MATCH(All!Y$1,Spring!$1:$1,FALSE))),"")</f>
        <v>3A</v>
      </c>
      <c r="Z500" t="str">
        <f>IFERROR(IF(INDEX(Spring!$1:$1048576,MATCH(All!$A500,Spring!$A:$A,FALSE),MATCH(All!Z$1,Spring!$1:$1,FALSE))="","",INDEX(Spring!$1:$1048576,MATCH(All!$A500,Spring!$A:$A,FALSE),MATCH(All!Z$1,Spring!$1:$1,FALSE))),"")</f>
        <v>2A</v>
      </c>
      <c r="AA500" t="str">
        <f>IFERROR(IF(INDEX(Spring!$1:$1048576,MATCH(All!$A500,Spring!$A:$A,FALSE),MATCH(All!AA$1,Spring!$1:$1,FALSE))="","",INDEX(Spring!$1:$1048576,MATCH(All!$A500,Spring!$A:$A,FALSE),MATCH(All!AA$1,Spring!$1:$1,FALSE))),"")</f>
        <v>1A</v>
      </c>
      <c r="AB500" t="str">
        <f>IFERROR(IF(INDEX(Spring!$1:$1048576,MATCH(All!$A500,Spring!$A:$A,FALSE),MATCH(All!AB$1,Spring!$1:$1,FALSE))="","",INDEX(Spring!$1:$1048576,MATCH(All!$A500,Spring!$A:$A,FALSE),MATCH(All!AB$1,Spring!$1:$1,FALSE))),"")</f>
        <v>2A</v>
      </c>
      <c r="AC500" t="str">
        <f>IFERROR(IF(INDEX(Spring!$1:$1048576,MATCH(All!$A500,Spring!$A:$A,FALSE),MATCH(All!AC$1,Spring!$1:$1,FALSE))="","",INDEX(Spring!$1:$1048576,MATCH(All!$A500,Spring!$A:$A,FALSE),MATCH(All!AC$1,Spring!$1:$1,FALSE))),"")</f>
        <v>2A</v>
      </c>
      <c r="AD500" t="str">
        <f>IFERROR(VLOOKUP(A500,'Flag Football'!A:A,1,FALSE),"")</f>
        <v/>
      </c>
      <c r="AE500" t="str">
        <f t="shared" si="7"/>
        <v/>
      </c>
    </row>
    <row r="501" spans="1:31" ht="15.75" thickBot="1" x14ac:dyDescent="0.3">
      <c r="A501" s="18" t="s">
        <v>593</v>
      </c>
      <c r="B501" s="38">
        <f>IFERROR(VLOOKUP(A501,'Public v Private'!A:G,3,FALSE),"")</f>
        <v>0</v>
      </c>
      <c r="C501" s="38">
        <f>IFERROR(VLOOKUP(A501,'Public v Private'!A:G,4,FALSE),"")</f>
        <v>0</v>
      </c>
      <c r="D501" s="38">
        <f>IFERROR(VLOOKUP(A501,'Public v Private'!A:G,5,FALSE),"")</f>
        <v>0</v>
      </c>
      <c r="E501" s="38"/>
      <c r="F501" s="40">
        <f>IFERROR(INDEX(Fall!$1:$1048576,MATCH(All!$A501,Fall!$A:$A,FALSE),MATCH(All!F$1,Fall!$1:$1,FALSE)),"N/A")</f>
        <v>498</v>
      </c>
      <c r="G501" t="str">
        <f>IFERROR(IF(INDEX(Fall!$1:$1048576,MATCH(All!$A501,Fall!$A:$A,FALSE),MATCH(All!G$1,Fall!$1:$1,FALSE))="","",INDEX(Fall!$1:$1048576,MATCH(All!$A501,Fall!$A:$A,FALSE),MATCH(All!G$1,Fall!$1:$1,FALSE))),"")</f>
        <v>1A</v>
      </c>
      <c r="H501" t="str">
        <f>IFERROR(IF(INDEX(Fall!$1:$1048576,MATCH(All!$A501,Fall!$A:$A,FALSE),MATCH(All!H$1,Fall!$1:$1,FALSE))="","",INDEX(Fall!$1:$1048576,MATCH(All!$A501,Fall!$A:$A,FALSE),MATCH(All!H$1,Fall!$1:$1,FALSE))),"")</f>
        <v>1A</v>
      </c>
      <c r="I501" t="str">
        <f>IFERROR(IF(INDEX(Fall!$1:$1048576,MATCH(All!$A501,Fall!$A:$A,FALSE),MATCH(All!I$1,Fall!$1:$1,FALSE))="","",INDEX(Fall!$1:$1048576,MATCH(All!$A501,Fall!$A:$A,FALSE),MATCH(All!I$1,Fall!$1:$1,FALSE))),"")</f>
        <v>1A</v>
      </c>
      <c r="J501" t="str">
        <f>IFERROR(IF(INDEX(Fall!$1:$1048576,MATCH(All!$A501,Fall!$A:$A,FALSE),MATCH(All!J$1,Fall!$1:$1,FALSE))="","",INDEX(Fall!$1:$1048576,MATCH(All!$A501,Fall!$A:$A,FALSE),MATCH(All!J$1,Fall!$1:$1,FALSE))),"")</f>
        <v>1A</v>
      </c>
      <c r="K501" t="str">
        <f>IFERROR(IF(INDEX(Fall!$1:$1048576,MATCH(All!$A501,Fall!$A:$A,FALSE),MATCH(All!K$1,Fall!$1:$1,FALSE))="","",INDEX(Fall!$1:$1048576,MATCH(All!$A501,Fall!$A:$A,FALSE),MATCH(All!K$1,Fall!$1:$1,FALSE))),"")</f>
        <v>1A</v>
      </c>
      <c r="L501" t="str">
        <f>IFERROR(IF(INDEX(Fall!$1:$1048576,MATCH(All!$A501,Fall!$A:$A,FALSE),MATCH(All!L$1,Fall!$1:$1,FALSE))="","",INDEX(Fall!$1:$1048576,MATCH(All!$A501,Fall!$A:$A,FALSE),MATCH(All!L$1,Fall!$1:$1,FALSE))),"")</f>
        <v/>
      </c>
      <c r="M501" t="str">
        <f>IFERROR(IF(INDEX(Fall!$1:$1048576,MATCH(All!$A501,Fall!$A:$A,FALSE),MATCH(All!M$1,Fall!$1:$1,FALSE))="","",INDEX(Fall!$1:$1048576,MATCH(All!$A501,Fall!$A:$A,FALSE),MATCH(All!M$1,Fall!$1:$1,FALSE))),"")</f>
        <v>2A</v>
      </c>
      <c r="O501">
        <f>IFERROR(IF(INDEX(Winter!$1:$1048576,MATCH(All!$A501,Winter!$A:$A,FALSE),MATCH(All!O$1,Winter!$1:$1,FALSE))="","",INDEX(Winter!$1:$1048576,MATCH(All!$A501,Winter!$A:$A,FALSE),MATCH(All!O$1,Winter!$1:$1,FALSE))),"")</f>
        <v>498</v>
      </c>
      <c r="P501" t="str">
        <f>IFERROR(IF(INDEX(Winter!$1:$1048576,MATCH(All!$A501,Winter!$A:$A,FALSE),MATCH(All!P$1,Winter!$1:$1,FALSE))="","",INDEX(Winter!$1:$1048576,MATCH(All!$A501,Winter!$A:$A,FALSE),MATCH(All!P$1,Winter!$1:$1,FALSE))),"")</f>
        <v>2A</v>
      </c>
      <c r="Q501" t="str">
        <f>IFERROR(IF(INDEX(Winter!$1:$1048576,MATCH(All!$A501,Winter!$A:$A,FALSE),MATCH(All!Q$1,Winter!$1:$1,FALSE))="","",INDEX(Winter!$1:$1048576,MATCH(All!$A501,Winter!$A:$A,FALSE),MATCH(All!Q$1,Winter!$1:$1,FALSE))),"")</f>
        <v>2A</v>
      </c>
      <c r="R501" t="str">
        <f>IFERROR(IF(INDEX(Winter!$1:$1048576,MATCH(All!$A501,Winter!$A:$A,FALSE),MATCH(All!R$1,Winter!$1:$1,FALSE))="","",INDEX(Winter!$1:$1048576,MATCH(All!$A501,Winter!$A:$A,FALSE),MATCH(All!R$1,Winter!$1:$1,FALSE))),"")</f>
        <v/>
      </c>
      <c r="S501" t="str">
        <f>IFERROR(IF(INDEX(Winter!$1:$1048576,MATCH(All!$A501,Winter!$A:$A,FALSE),MATCH(All!S$1,Winter!$1:$1,FALSE))="","",INDEX(Winter!$1:$1048576,MATCH(All!$A501,Winter!$A:$A,FALSE),MATCH(All!S$1,Winter!$1:$1,FALSE))),"")</f>
        <v/>
      </c>
      <c r="T501" t="str">
        <f>IFERROR(IF(INDEX(Winter!$1:$1048576,MATCH(All!$A501,Winter!$A:$A,FALSE),MATCH(All!T$1,Winter!$1:$1,FALSE))="","",INDEX(Winter!$1:$1048576,MATCH(All!$A501,Winter!$A:$A,FALSE),MATCH(All!T$1,Winter!$1:$1,FALSE))),"")</f>
        <v>2A</v>
      </c>
      <c r="U501" t="str">
        <f>IFERROR(IF(INDEX(Winter!$1:$1048576,MATCH(All!$A501,Winter!$A:$A,FALSE),MATCH(All!U$1,Winter!$1:$1,FALSE))="","",INDEX(Winter!$1:$1048576,MATCH(All!$A501,Winter!$A:$A,FALSE),MATCH(All!U$1,Winter!$1:$1,FALSE))),"")</f>
        <v/>
      </c>
      <c r="W501">
        <f>IFERROR(IF(INDEX(Spring!$1:$1048576,MATCH(All!$A501,Spring!$A:$A,FALSE),MATCH(All!W$1,Spring!$1:$1,FALSE))="","",INDEX(Spring!$1:$1048576,MATCH(All!$A501,Spring!$A:$A,FALSE),MATCH(All!W$1,Spring!$1:$1,FALSE))),"")</f>
        <v>498</v>
      </c>
      <c r="X501" t="str">
        <f>IFERROR(IF(INDEX(Spring!$1:$1048576,MATCH(All!$A501,Spring!$A:$A,FALSE),MATCH(All!X$1,Spring!$1:$1,FALSE))="","",INDEX(Spring!$1:$1048576,MATCH(All!$A501,Spring!$A:$A,FALSE),MATCH(All!X$1,Spring!$1:$1,FALSE))),"")</f>
        <v>2A</v>
      </c>
      <c r="Y501" t="str">
        <f>IFERROR(IF(INDEX(Spring!$1:$1048576,MATCH(All!$A501,Spring!$A:$A,FALSE),MATCH(All!Y$1,Spring!$1:$1,FALSE))="","",INDEX(Spring!$1:$1048576,MATCH(All!$A501,Spring!$A:$A,FALSE),MATCH(All!Y$1,Spring!$1:$1,FALSE))),"")</f>
        <v>2A</v>
      </c>
      <c r="Z501" t="str">
        <f>IFERROR(IF(INDEX(Spring!$1:$1048576,MATCH(All!$A501,Spring!$A:$A,FALSE),MATCH(All!Z$1,Spring!$1:$1,FALSE))="","",INDEX(Spring!$1:$1048576,MATCH(All!$A501,Spring!$A:$A,FALSE),MATCH(All!Z$1,Spring!$1:$1,FALSE))),"")</f>
        <v>1A</v>
      </c>
      <c r="AA501" t="str">
        <f>IFERROR(IF(INDEX(Spring!$1:$1048576,MATCH(All!$A501,Spring!$A:$A,FALSE),MATCH(All!AA$1,Spring!$1:$1,FALSE))="","",INDEX(Spring!$1:$1048576,MATCH(All!$A501,Spring!$A:$A,FALSE),MATCH(All!AA$1,Spring!$1:$1,FALSE))),"")</f>
        <v/>
      </c>
      <c r="AB501" t="str">
        <f>IFERROR(IF(INDEX(Spring!$1:$1048576,MATCH(All!$A501,Spring!$A:$A,FALSE),MATCH(All!AB$1,Spring!$1:$1,FALSE))="","",INDEX(Spring!$1:$1048576,MATCH(All!$A501,Spring!$A:$A,FALSE),MATCH(All!AB$1,Spring!$1:$1,FALSE))),"")</f>
        <v>2A</v>
      </c>
      <c r="AC501" t="str">
        <f>IFERROR(IF(INDEX(Spring!$1:$1048576,MATCH(All!$A501,Spring!$A:$A,FALSE),MATCH(All!AC$1,Spring!$1:$1,FALSE))="","",INDEX(Spring!$1:$1048576,MATCH(All!$A501,Spring!$A:$A,FALSE),MATCH(All!AC$1,Spring!$1:$1,FALSE))),"")</f>
        <v>2A</v>
      </c>
      <c r="AD501" t="str">
        <f>IFERROR(VLOOKUP(A501,'Flag Football'!A:A,1,FALSE),"")</f>
        <v/>
      </c>
      <c r="AE501" t="str">
        <f t="shared" si="7"/>
        <v/>
      </c>
    </row>
    <row r="502" spans="1:31" ht="15.75" thickBot="1" x14ac:dyDescent="0.3">
      <c r="A502" s="20" t="s">
        <v>594</v>
      </c>
      <c r="B502" s="38">
        <f>IFERROR(VLOOKUP(A502,'Public v Private'!A:G,3,FALSE),"")</f>
        <v>0</v>
      </c>
      <c r="C502" s="38">
        <f>IFERROR(VLOOKUP(A502,'Public v Private'!A:G,4,FALSE),"")</f>
        <v>0</v>
      </c>
      <c r="D502" s="38">
        <f>IFERROR(VLOOKUP(A502,'Public v Private'!A:G,5,FALSE),"")</f>
        <v>0</v>
      </c>
      <c r="E502" s="38"/>
      <c r="F502" s="40">
        <f>IFERROR(INDEX(Fall!$1:$1048576,MATCH(All!$A502,Fall!$A:$A,FALSE),MATCH(All!F$1,Fall!$1:$1,FALSE)),"N/A")</f>
        <v>1412</v>
      </c>
      <c r="G502" t="str">
        <f>IFERROR(IF(INDEX(Fall!$1:$1048576,MATCH(All!$A502,Fall!$A:$A,FALSE),MATCH(All!G$1,Fall!$1:$1,FALSE))="","",INDEX(Fall!$1:$1048576,MATCH(All!$A502,Fall!$A:$A,FALSE),MATCH(All!G$1,Fall!$1:$1,FALSE))),"")</f>
        <v>2A</v>
      </c>
      <c r="H502" t="str">
        <f>IFERROR(IF(INDEX(Fall!$1:$1048576,MATCH(All!$A502,Fall!$A:$A,FALSE),MATCH(All!H$1,Fall!$1:$1,FALSE))="","",INDEX(Fall!$1:$1048576,MATCH(All!$A502,Fall!$A:$A,FALSE),MATCH(All!H$1,Fall!$1:$1,FALSE))),"")</f>
        <v>2A</v>
      </c>
      <c r="I502" t="str">
        <f>IFERROR(IF(INDEX(Fall!$1:$1048576,MATCH(All!$A502,Fall!$A:$A,FALSE),MATCH(All!I$1,Fall!$1:$1,FALSE))="","",INDEX(Fall!$1:$1048576,MATCH(All!$A502,Fall!$A:$A,FALSE),MATCH(All!I$1,Fall!$1:$1,FALSE))),"")</f>
        <v>2A</v>
      </c>
      <c r="J502" t="str">
        <f>IFERROR(IF(INDEX(Fall!$1:$1048576,MATCH(All!$A502,Fall!$A:$A,FALSE),MATCH(All!J$1,Fall!$1:$1,FALSE))="","",INDEX(Fall!$1:$1048576,MATCH(All!$A502,Fall!$A:$A,FALSE),MATCH(All!J$1,Fall!$1:$1,FALSE))),"")</f>
        <v/>
      </c>
      <c r="K502" t="str">
        <f>IFERROR(IF(INDEX(Fall!$1:$1048576,MATCH(All!$A502,Fall!$A:$A,FALSE),MATCH(All!K$1,Fall!$1:$1,FALSE))="","",INDEX(Fall!$1:$1048576,MATCH(All!$A502,Fall!$A:$A,FALSE),MATCH(All!K$1,Fall!$1:$1,FALSE))),"")</f>
        <v>2A</v>
      </c>
      <c r="L502" t="str">
        <f>IFERROR(IF(INDEX(Fall!$1:$1048576,MATCH(All!$A502,Fall!$A:$A,FALSE),MATCH(All!L$1,Fall!$1:$1,FALSE))="","",INDEX(Fall!$1:$1048576,MATCH(All!$A502,Fall!$A:$A,FALSE),MATCH(All!L$1,Fall!$1:$1,FALSE))),"")</f>
        <v>1A</v>
      </c>
      <c r="M502" t="str">
        <f>IFERROR(IF(INDEX(Fall!$1:$1048576,MATCH(All!$A502,Fall!$A:$A,FALSE),MATCH(All!M$1,Fall!$1:$1,FALSE))="","",INDEX(Fall!$1:$1048576,MATCH(All!$A502,Fall!$A:$A,FALSE),MATCH(All!M$1,Fall!$1:$1,FALSE))),"")</f>
        <v>3A</v>
      </c>
      <c r="O502">
        <f>IFERROR(IF(INDEX(Winter!$1:$1048576,MATCH(All!$A502,Winter!$A:$A,FALSE),MATCH(All!O$1,Winter!$1:$1,FALSE))="","",INDEX(Winter!$1:$1048576,MATCH(All!$A502,Winter!$A:$A,FALSE),MATCH(All!O$1,Winter!$1:$1,FALSE))),"")</f>
        <v>1412</v>
      </c>
      <c r="P502" t="str">
        <f>IFERROR(IF(INDEX(Winter!$1:$1048576,MATCH(All!$A502,Winter!$A:$A,FALSE),MATCH(All!P$1,Winter!$1:$1,FALSE))="","",INDEX(Winter!$1:$1048576,MATCH(All!$A502,Winter!$A:$A,FALSE),MATCH(All!P$1,Winter!$1:$1,FALSE))),"")</f>
        <v>3A</v>
      </c>
      <c r="Q502" t="str">
        <f>IFERROR(IF(INDEX(Winter!$1:$1048576,MATCH(All!$A502,Winter!$A:$A,FALSE),MATCH(All!Q$1,Winter!$1:$1,FALSE))="","",INDEX(Winter!$1:$1048576,MATCH(All!$A502,Winter!$A:$A,FALSE),MATCH(All!Q$1,Winter!$1:$1,FALSE))),"")</f>
        <v>3A</v>
      </c>
      <c r="R502" t="str">
        <f>IFERROR(IF(INDEX(Winter!$1:$1048576,MATCH(All!$A502,Winter!$A:$A,FALSE),MATCH(All!R$1,Winter!$1:$1,FALSE))="","",INDEX(Winter!$1:$1048576,MATCH(All!$A502,Winter!$A:$A,FALSE),MATCH(All!R$1,Winter!$1:$1,FALSE))),"")</f>
        <v>2A</v>
      </c>
      <c r="S502" t="str">
        <f>IFERROR(IF(INDEX(Winter!$1:$1048576,MATCH(All!$A502,Winter!$A:$A,FALSE),MATCH(All!S$1,Winter!$1:$1,FALSE))="","",INDEX(Winter!$1:$1048576,MATCH(All!$A502,Winter!$A:$A,FALSE),MATCH(All!S$1,Winter!$1:$1,FALSE))),"")</f>
        <v>2A</v>
      </c>
      <c r="T502" t="str">
        <f>IFERROR(IF(INDEX(Winter!$1:$1048576,MATCH(All!$A502,Winter!$A:$A,FALSE),MATCH(All!T$1,Winter!$1:$1,FALSE))="","",INDEX(Winter!$1:$1048576,MATCH(All!$A502,Winter!$A:$A,FALSE),MATCH(All!T$1,Winter!$1:$1,FALSE))),"")</f>
        <v>2A</v>
      </c>
      <c r="U502" t="str">
        <f>IFERROR(IF(INDEX(Winter!$1:$1048576,MATCH(All!$A502,Winter!$A:$A,FALSE),MATCH(All!U$1,Winter!$1:$1,FALSE))="","",INDEX(Winter!$1:$1048576,MATCH(All!$A502,Winter!$A:$A,FALSE),MATCH(All!U$1,Winter!$1:$1,FALSE))),"")</f>
        <v>2A</v>
      </c>
      <c r="W502">
        <f>IFERROR(IF(INDEX(Spring!$1:$1048576,MATCH(All!$A502,Spring!$A:$A,FALSE),MATCH(All!W$1,Spring!$1:$1,FALSE))="","",INDEX(Spring!$1:$1048576,MATCH(All!$A502,Spring!$A:$A,FALSE),MATCH(All!W$1,Spring!$1:$1,FALSE))),"")</f>
        <v>1412</v>
      </c>
      <c r="X502" t="str">
        <f>IFERROR(IF(INDEX(Spring!$1:$1048576,MATCH(All!$A502,Spring!$A:$A,FALSE),MATCH(All!X$1,Spring!$1:$1,FALSE))="","",INDEX(Spring!$1:$1048576,MATCH(All!$A502,Spring!$A:$A,FALSE),MATCH(All!X$1,Spring!$1:$1,FALSE))),"")</f>
        <v>3A</v>
      </c>
      <c r="Y502" t="str">
        <f>IFERROR(IF(INDEX(Spring!$1:$1048576,MATCH(All!$A502,Spring!$A:$A,FALSE),MATCH(All!Y$1,Spring!$1:$1,FALSE))="","",INDEX(Spring!$1:$1048576,MATCH(All!$A502,Spring!$A:$A,FALSE),MATCH(All!Y$1,Spring!$1:$1,FALSE))),"")</f>
        <v>3A</v>
      </c>
      <c r="Z502" t="str">
        <f>IFERROR(IF(INDEX(Spring!$1:$1048576,MATCH(All!$A502,Spring!$A:$A,FALSE),MATCH(All!Z$1,Spring!$1:$1,FALSE))="","",INDEX(Spring!$1:$1048576,MATCH(All!$A502,Spring!$A:$A,FALSE),MATCH(All!Z$1,Spring!$1:$1,FALSE))),"")</f>
        <v>2A</v>
      </c>
      <c r="AA502" t="str">
        <f>IFERROR(IF(INDEX(Spring!$1:$1048576,MATCH(All!$A502,Spring!$A:$A,FALSE),MATCH(All!AA$1,Spring!$1:$1,FALSE))="","",INDEX(Spring!$1:$1048576,MATCH(All!$A502,Spring!$A:$A,FALSE),MATCH(All!AA$1,Spring!$1:$1,FALSE))),"")</f>
        <v>1A</v>
      </c>
      <c r="AB502" t="str">
        <f>IFERROR(IF(INDEX(Spring!$1:$1048576,MATCH(All!$A502,Spring!$A:$A,FALSE),MATCH(All!AB$1,Spring!$1:$1,FALSE))="","",INDEX(Spring!$1:$1048576,MATCH(All!$A502,Spring!$A:$A,FALSE),MATCH(All!AB$1,Spring!$1:$1,FALSE))),"")</f>
        <v>3A</v>
      </c>
      <c r="AC502" t="str">
        <f>IFERROR(IF(INDEX(Spring!$1:$1048576,MATCH(All!$A502,Spring!$A:$A,FALSE),MATCH(All!AC$1,Spring!$1:$1,FALSE))="","",INDEX(Spring!$1:$1048576,MATCH(All!$A502,Spring!$A:$A,FALSE),MATCH(All!AC$1,Spring!$1:$1,FALSE))),"")</f>
        <v>3A</v>
      </c>
      <c r="AD502" t="str">
        <f>IFERROR(VLOOKUP(A502,'Flag Football'!A:A,1,FALSE),"")</f>
        <v>Midlothian (Bremen)</v>
      </c>
      <c r="AE502" t="str">
        <f t="shared" si="7"/>
        <v>1A</v>
      </c>
    </row>
    <row r="503" spans="1:31" ht="15.75" thickBot="1" x14ac:dyDescent="0.3">
      <c r="A503" s="18" t="s">
        <v>595</v>
      </c>
      <c r="B503" s="38">
        <f>IFERROR(VLOOKUP(A503,'Public v Private'!A:G,3,FALSE),"")</f>
        <v>0</v>
      </c>
      <c r="C503" s="38">
        <f>IFERROR(VLOOKUP(A503,'Public v Private'!A:G,4,FALSE),"")</f>
        <v>0</v>
      </c>
      <c r="D503" s="38">
        <f>IFERROR(VLOOKUP(A503,'Public v Private'!A:G,5,FALSE),"")</f>
        <v>0</v>
      </c>
      <c r="E503" s="38"/>
      <c r="F503" s="40">
        <f>IFERROR(INDEX(Fall!$1:$1048576,MATCH(All!$A503,Fall!$A:$A,FALSE),MATCH(All!F$1,Fall!$1:$1,FALSE)),"N/A")</f>
        <v>138</v>
      </c>
      <c r="G503" t="str">
        <f>IFERROR(IF(INDEX(Fall!$1:$1048576,MATCH(All!$A503,Fall!$A:$A,FALSE),MATCH(All!G$1,Fall!$1:$1,FALSE))="","",INDEX(Fall!$1:$1048576,MATCH(All!$A503,Fall!$A:$A,FALSE),MATCH(All!G$1,Fall!$1:$1,FALSE))),"")</f>
        <v/>
      </c>
      <c r="H503" t="str">
        <f>IFERROR(IF(INDEX(Fall!$1:$1048576,MATCH(All!$A503,Fall!$A:$A,FALSE),MATCH(All!H$1,Fall!$1:$1,FALSE))="","",INDEX(Fall!$1:$1048576,MATCH(All!$A503,Fall!$A:$A,FALSE),MATCH(All!H$1,Fall!$1:$1,FALSE))),"")</f>
        <v/>
      </c>
      <c r="I503" t="str">
        <f>IFERROR(IF(INDEX(Fall!$1:$1048576,MATCH(All!$A503,Fall!$A:$A,FALSE),MATCH(All!I$1,Fall!$1:$1,FALSE))="","",INDEX(Fall!$1:$1048576,MATCH(All!$A503,Fall!$A:$A,FALSE),MATCH(All!I$1,Fall!$1:$1,FALSE))),"")</f>
        <v>1A</v>
      </c>
      <c r="J503" t="str">
        <f>IFERROR(IF(INDEX(Fall!$1:$1048576,MATCH(All!$A503,Fall!$A:$A,FALSE),MATCH(All!J$1,Fall!$1:$1,FALSE))="","",INDEX(Fall!$1:$1048576,MATCH(All!$A503,Fall!$A:$A,FALSE),MATCH(All!J$1,Fall!$1:$1,FALSE))),"")</f>
        <v/>
      </c>
      <c r="K503" t="str">
        <f>IFERROR(IF(INDEX(Fall!$1:$1048576,MATCH(All!$A503,Fall!$A:$A,FALSE),MATCH(All!K$1,Fall!$1:$1,FALSE))="","",INDEX(Fall!$1:$1048576,MATCH(All!$A503,Fall!$A:$A,FALSE),MATCH(All!K$1,Fall!$1:$1,FALSE))),"")</f>
        <v/>
      </c>
      <c r="L503" t="str">
        <f>IFERROR(IF(INDEX(Fall!$1:$1048576,MATCH(All!$A503,Fall!$A:$A,FALSE),MATCH(All!L$1,Fall!$1:$1,FALSE))="","",INDEX(Fall!$1:$1048576,MATCH(All!$A503,Fall!$A:$A,FALSE),MATCH(All!L$1,Fall!$1:$1,FALSE))),"")</f>
        <v/>
      </c>
      <c r="M503" t="str">
        <f>IFERROR(IF(INDEX(Fall!$1:$1048576,MATCH(All!$A503,Fall!$A:$A,FALSE),MATCH(All!M$1,Fall!$1:$1,FALSE))="","",INDEX(Fall!$1:$1048576,MATCH(All!$A503,Fall!$A:$A,FALSE),MATCH(All!M$1,Fall!$1:$1,FALSE))),"")</f>
        <v>1A</v>
      </c>
      <c r="O503">
        <f>IFERROR(IF(INDEX(Winter!$1:$1048576,MATCH(All!$A503,Winter!$A:$A,FALSE),MATCH(All!O$1,Winter!$1:$1,FALSE))="","",INDEX(Winter!$1:$1048576,MATCH(All!$A503,Winter!$A:$A,FALSE),MATCH(All!O$1,Winter!$1:$1,FALSE))),"")</f>
        <v>138</v>
      </c>
      <c r="P503" t="str">
        <f>IFERROR(IF(INDEX(Winter!$1:$1048576,MATCH(All!$A503,Winter!$A:$A,FALSE),MATCH(All!P$1,Winter!$1:$1,FALSE))="","",INDEX(Winter!$1:$1048576,MATCH(All!$A503,Winter!$A:$A,FALSE),MATCH(All!P$1,Winter!$1:$1,FALSE))),"")</f>
        <v>1A</v>
      </c>
      <c r="Q503" t="str">
        <f>IFERROR(IF(INDEX(Winter!$1:$1048576,MATCH(All!$A503,Winter!$A:$A,FALSE),MATCH(All!Q$1,Winter!$1:$1,FALSE))="","",INDEX(Winter!$1:$1048576,MATCH(All!$A503,Winter!$A:$A,FALSE),MATCH(All!Q$1,Winter!$1:$1,FALSE))),"")</f>
        <v/>
      </c>
      <c r="R503" t="str">
        <f>IFERROR(IF(INDEX(Winter!$1:$1048576,MATCH(All!$A503,Winter!$A:$A,FALSE),MATCH(All!R$1,Winter!$1:$1,FALSE))="","",INDEX(Winter!$1:$1048576,MATCH(All!$A503,Winter!$A:$A,FALSE),MATCH(All!R$1,Winter!$1:$1,FALSE))),"")</f>
        <v/>
      </c>
      <c r="S503" t="str">
        <f>IFERROR(IF(INDEX(Winter!$1:$1048576,MATCH(All!$A503,Winter!$A:$A,FALSE),MATCH(All!S$1,Winter!$1:$1,FALSE))="","",INDEX(Winter!$1:$1048576,MATCH(All!$A503,Winter!$A:$A,FALSE),MATCH(All!S$1,Winter!$1:$1,FALSE))),"")</f>
        <v/>
      </c>
      <c r="T503" t="str">
        <f>IFERROR(IF(INDEX(Winter!$1:$1048576,MATCH(All!$A503,Winter!$A:$A,FALSE),MATCH(All!T$1,Winter!$1:$1,FALSE))="","",INDEX(Winter!$1:$1048576,MATCH(All!$A503,Winter!$A:$A,FALSE),MATCH(All!T$1,Winter!$1:$1,FALSE))),"")</f>
        <v>1A</v>
      </c>
      <c r="U503" t="str">
        <f>IFERROR(IF(INDEX(Winter!$1:$1048576,MATCH(All!$A503,Winter!$A:$A,FALSE),MATCH(All!U$1,Winter!$1:$1,FALSE))="","",INDEX(Winter!$1:$1048576,MATCH(All!$A503,Winter!$A:$A,FALSE),MATCH(All!U$1,Winter!$1:$1,FALSE))),"")</f>
        <v/>
      </c>
      <c r="W503">
        <f>IFERROR(IF(INDEX(Spring!$1:$1048576,MATCH(All!$A503,Spring!$A:$A,FALSE),MATCH(All!W$1,Spring!$1:$1,FALSE))="","",INDEX(Spring!$1:$1048576,MATCH(All!$A503,Spring!$A:$A,FALSE),MATCH(All!W$1,Spring!$1:$1,FALSE))),"")</f>
        <v>138</v>
      </c>
      <c r="X503" t="str">
        <f>IFERROR(IF(INDEX(Spring!$1:$1048576,MATCH(All!$A503,Spring!$A:$A,FALSE),MATCH(All!X$1,Spring!$1:$1,FALSE))="","",INDEX(Spring!$1:$1048576,MATCH(All!$A503,Spring!$A:$A,FALSE),MATCH(All!X$1,Spring!$1:$1,FALSE))),"")</f>
        <v>1A</v>
      </c>
      <c r="Y503" t="str">
        <f>IFERROR(IF(INDEX(Spring!$1:$1048576,MATCH(All!$A503,Spring!$A:$A,FALSE),MATCH(All!Y$1,Spring!$1:$1,FALSE))="","",INDEX(Spring!$1:$1048576,MATCH(All!$A503,Spring!$A:$A,FALSE),MATCH(All!Y$1,Spring!$1:$1,FALSE))),"")</f>
        <v>1A</v>
      </c>
      <c r="Z503" t="str">
        <f>IFERROR(IF(INDEX(Spring!$1:$1048576,MATCH(All!$A503,Spring!$A:$A,FALSE),MATCH(All!Z$1,Spring!$1:$1,FALSE))="","",INDEX(Spring!$1:$1048576,MATCH(All!$A503,Spring!$A:$A,FALSE),MATCH(All!Z$1,Spring!$1:$1,FALSE))),"")</f>
        <v/>
      </c>
      <c r="AA503" t="str">
        <f>IFERROR(IF(INDEX(Spring!$1:$1048576,MATCH(All!$A503,Spring!$A:$A,FALSE),MATCH(All!AA$1,Spring!$1:$1,FALSE))="","",INDEX(Spring!$1:$1048576,MATCH(All!$A503,Spring!$A:$A,FALSE),MATCH(All!AA$1,Spring!$1:$1,FALSE))),"")</f>
        <v/>
      </c>
      <c r="AB503" t="str">
        <f>IFERROR(IF(INDEX(Spring!$1:$1048576,MATCH(All!$A503,Spring!$A:$A,FALSE),MATCH(All!AB$1,Spring!$1:$1,FALSE))="","",INDEX(Spring!$1:$1048576,MATCH(All!$A503,Spring!$A:$A,FALSE),MATCH(All!AB$1,Spring!$1:$1,FALSE))),"")</f>
        <v>1A</v>
      </c>
      <c r="AC503" t="str">
        <f>IFERROR(IF(INDEX(Spring!$1:$1048576,MATCH(All!$A503,Spring!$A:$A,FALSE),MATCH(All!AC$1,Spring!$1:$1,FALSE))="","",INDEX(Spring!$1:$1048576,MATCH(All!$A503,Spring!$A:$A,FALSE),MATCH(All!AC$1,Spring!$1:$1,FALSE))),"")</f>
        <v>1A</v>
      </c>
      <c r="AD503" t="str">
        <f>IFERROR(VLOOKUP(A503,'Flag Football'!A:A,1,FALSE),"")</f>
        <v/>
      </c>
      <c r="AE503" t="str">
        <f t="shared" si="7"/>
        <v/>
      </c>
    </row>
    <row r="504" spans="1:31" ht="15.75" thickBot="1" x14ac:dyDescent="0.3">
      <c r="A504" s="20" t="s">
        <v>596</v>
      </c>
      <c r="B504" s="38">
        <f>IFERROR(VLOOKUP(A504,'Public v Private'!A:G,3,FALSE),"")</f>
        <v>0</v>
      </c>
      <c r="C504" s="38">
        <f>IFERROR(VLOOKUP(A504,'Public v Private'!A:G,4,FALSE),"")</f>
        <v>0</v>
      </c>
      <c r="D504" s="38">
        <f>IFERROR(VLOOKUP(A504,'Public v Private'!A:G,5,FALSE),"")</f>
        <v>0</v>
      </c>
      <c r="E504" s="38"/>
      <c r="F504" s="40">
        <f>IFERROR(INDEX(Fall!$1:$1048576,MATCH(All!$A504,Fall!$A:$A,FALSE),MATCH(All!F$1,Fall!$1:$1,FALSE)),"N/A")</f>
        <v>95</v>
      </c>
      <c r="G504" t="str">
        <f>IFERROR(IF(INDEX(Fall!$1:$1048576,MATCH(All!$A504,Fall!$A:$A,FALSE),MATCH(All!G$1,Fall!$1:$1,FALSE))="","",INDEX(Fall!$1:$1048576,MATCH(All!$A504,Fall!$A:$A,FALSE),MATCH(All!G$1,Fall!$1:$1,FALSE))),"")</f>
        <v/>
      </c>
      <c r="H504" t="str">
        <f>IFERROR(IF(INDEX(Fall!$1:$1048576,MATCH(All!$A504,Fall!$A:$A,FALSE),MATCH(All!H$1,Fall!$1:$1,FALSE))="","",INDEX(Fall!$1:$1048576,MATCH(All!$A504,Fall!$A:$A,FALSE),MATCH(All!H$1,Fall!$1:$1,FALSE))),"")</f>
        <v/>
      </c>
      <c r="I504" t="str">
        <f>IFERROR(IF(INDEX(Fall!$1:$1048576,MATCH(All!$A504,Fall!$A:$A,FALSE),MATCH(All!I$1,Fall!$1:$1,FALSE))="","",INDEX(Fall!$1:$1048576,MATCH(All!$A504,Fall!$A:$A,FALSE),MATCH(All!I$1,Fall!$1:$1,FALSE))),"")</f>
        <v/>
      </c>
      <c r="J504" t="str">
        <f>IFERROR(IF(INDEX(Fall!$1:$1048576,MATCH(All!$A504,Fall!$A:$A,FALSE),MATCH(All!J$1,Fall!$1:$1,FALSE))="","",INDEX(Fall!$1:$1048576,MATCH(All!$A504,Fall!$A:$A,FALSE),MATCH(All!J$1,Fall!$1:$1,FALSE))),"")</f>
        <v/>
      </c>
      <c r="K504" t="str">
        <f>IFERROR(IF(INDEX(Fall!$1:$1048576,MATCH(All!$A504,Fall!$A:$A,FALSE),MATCH(All!K$1,Fall!$1:$1,FALSE))="","",INDEX(Fall!$1:$1048576,MATCH(All!$A504,Fall!$A:$A,FALSE),MATCH(All!K$1,Fall!$1:$1,FALSE))),"")</f>
        <v/>
      </c>
      <c r="L504" t="str">
        <f>IFERROR(IF(INDEX(Fall!$1:$1048576,MATCH(All!$A504,Fall!$A:$A,FALSE),MATCH(All!L$1,Fall!$1:$1,FALSE))="","",INDEX(Fall!$1:$1048576,MATCH(All!$A504,Fall!$A:$A,FALSE),MATCH(All!L$1,Fall!$1:$1,FALSE))),"")</f>
        <v/>
      </c>
      <c r="M504" t="str">
        <f>IFERROR(IF(INDEX(Fall!$1:$1048576,MATCH(All!$A504,Fall!$A:$A,FALSE),MATCH(All!M$1,Fall!$1:$1,FALSE))="","",INDEX(Fall!$1:$1048576,MATCH(All!$A504,Fall!$A:$A,FALSE),MATCH(All!M$1,Fall!$1:$1,FALSE))),"")</f>
        <v>1A</v>
      </c>
      <c r="O504">
        <f>IFERROR(IF(INDEX(Winter!$1:$1048576,MATCH(All!$A504,Winter!$A:$A,FALSE),MATCH(All!O$1,Winter!$1:$1,FALSE))="","",INDEX(Winter!$1:$1048576,MATCH(All!$A504,Winter!$A:$A,FALSE),MATCH(All!O$1,Winter!$1:$1,FALSE))),"")</f>
        <v>95</v>
      </c>
      <c r="P504" t="str">
        <f>IFERROR(IF(INDEX(Winter!$1:$1048576,MATCH(All!$A504,Winter!$A:$A,FALSE),MATCH(All!P$1,Winter!$1:$1,FALSE))="","",INDEX(Winter!$1:$1048576,MATCH(All!$A504,Winter!$A:$A,FALSE),MATCH(All!P$1,Winter!$1:$1,FALSE))),"")</f>
        <v>1A</v>
      </c>
      <c r="Q504" t="str">
        <f>IFERROR(IF(INDEX(Winter!$1:$1048576,MATCH(All!$A504,Winter!$A:$A,FALSE),MATCH(All!Q$1,Winter!$1:$1,FALSE))="","",INDEX(Winter!$1:$1048576,MATCH(All!$A504,Winter!$A:$A,FALSE),MATCH(All!Q$1,Winter!$1:$1,FALSE))),"")</f>
        <v>1A</v>
      </c>
      <c r="R504" t="str">
        <f>IFERROR(IF(INDEX(Winter!$1:$1048576,MATCH(All!$A504,Winter!$A:$A,FALSE),MATCH(All!R$1,Winter!$1:$1,FALSE))="","",INDEX(Winter!$1:$1048576,MATCH(All!$A504,Winter!$A:$A,FALSE),MATCH(All!R$1,Winter!$1:$1,FALSE))),"")</f>
        <v/>
      </c>
      <c r="S504" t="str">
        <f>IFERROR(IF(INDEX(Winter!$1:$1048576,MATCH(All!$A504,Winter!$A:$A,FALSE),MATCH(All!S$1,Winter!$1:$1,FALSE))="","",INDEX(Winter!$1:$1048576,MATCH(All!$A504,Winter!$A:$A,FALSE),MATCH(All!S$1,Winter!$1:$1,FALSE))),"")</f>
        <v/>
      </c>
      <c r="T504" t="str">
        <f>IFERROR(IF(INDEX(Winter!$1:$1048576,MATCH(All!$A504,Winter!$A:$A,FALSE),MATCH(All!T$1,Winter!$1:$1,FALSE))="","",INDEX(Winter!$1:$1048576,MATCH(All!$A504,Winter!$A:$A,FALSE),MATCH(All!T$1,Winter!$1:$1,FALSE))),"")</f>
        <v>1A</v>
      </c>
      <c r="U504" t="str">
        <f>IFERROR(IF(INDEX(Winter!$1:$1048576,MATCH(All!$A504,Winter!$A:$A,FALSE),MATCH(All!U$1,Winter!$1:$1,FALSE))="","",INDEX(Winter!$1:$1048576,MATCH(All!$A504,Winter!$A:$A,FALSE),MATCH(All!U$1,Winter!$1:$1,FALSE))),"")</f>
        <v/>
      </c>
      <c r="W504">
        <f>IFERROR(IF(INDEX(Spring!$1:$1048576,MATCH(All!$A504,Spring!$A:$A,FALSE),MATCH(All!W$1,Spring!$1:$1,FALSE))="","",INDEX(Spring!$1:$1048576,MATCH(All!$A504,Spring!$A:$A,FALSE),MATCH(All!W$1,Spring!$1:$1,FALSE))),"")</f>
        <v>95</v>
      </c>
      <c r="X504" t="str">
        <f>IFERROR(IF(INDEX(Spring!$1:$1048576,MATCH(All!$A504,Spring!$A:$A,FALSE),MATCH(All!X$1,Spring!$1:$1,FALSE))="","",INDEX(Spring!$1:$1048576,MATCH(All!$A504,Spring!$A:$A,FALSE),MATCH(All!X$1,Spring!$1:$1,FALSE))),"")</f>
        <v>1A</v>
      </c>
      <c r="Y504" t="str">
        <f>IFERROR(IF(INDEX(Spring!$1:$1048576,MATCH(All!$A504,Spring!$A:$A,FALSE),MATCH(All!Y$1,Spring!$1:$1,FALSE))="","",INDEX(Spring!$1:$1048576,MATCH(All!$A504,Spring!$A:$A,FALSE),MATCH(All!Y$1,Spring!$1:$1,FALSE))),"")</f>
        <v>1A</v>
      </c>
      <c r="Z504" t="str">
        <f>IFERROR(IF(INDEX(Spring!$1:$1048576,MATCH(All!$A504,Spring!$A:$A,FALSE),MATCH(All!Z$1,Spring!$1:$1,FALSE))="","",INDEX(Spring!$1:$1048576,MATCH(All!$A504,Spring!$A:$A,FALSE),MATCH(All!Z$1,Spring!$1:$1,FALSE))),"")</f>
        <v/>
      </c>
      <c r="AA504" t="str">
        <f>IFERROR(IF(INDEX(Spring!$1:$1048576,MATCH(All!$A504,Spring!$A:$A,FALSE),MATCH(All!AA$1,Spring!$1:$1,FALSE))="","",INDEX(Spring!$1:$1048576,MATCH(All!$A504,Spring!$A:$A,FALSE),MATCH(All!AA$1,Spring!$1:$1,FALSE))),"")</f>
        <v/>
      </c>
      <c r="AB504" t="str">
        <f>IFERROR(IF(INDEX(Spring!$1:$1048576,MATCH(All!$A504,Spring!$A:$A,FALSE),MATCH(All!AB$1,Spring!$1:$1,FALSE))="","",INDEX(Spring!$1:$1048576,MATCH(All!$A504,Spring!$A:$A,FALSE),MATCH(All!AB$1,Spring!$1:$1,FALSE))),"")</f>
        <v>1A</v>
      </c>
      <c r="AC504" t="str">
        <f>IFERROR(IF(INDEX(Spring!$1:$1048576,MATCH(All!$A504,Spring!$A:$A,FALSE),MATCH(All!AC$1,Spring!$1:$1,FALSE))="","",INDEX(Spring!$1:$1048576,MATCH(All!$A504,Spring!$A:$A,FALSE),MATCH(All!AC$1,Spring!$1:$1,FALSE))),"")</f>
        <v>1A</v>
      </c>
      <c r="AD504" t="str">
        <f>IFERROR(VLOOKUP(A504,'Flag Football'!A:A,1,FALSE),"")</f>
        <v/>
      </c>
      <c r="AE504" t="str">
        <f t="shared" si="7"/>
        <v/>
      </c>
    </row>
    <row r="505" spans="1:31" ht="15.75" thickBot="1" x14ac:dyDescent="0.3">
      <c r="A505" s="18" t="s">
        <v>597</v>
      </c>
      <c r="B505" s="38">
        <f>IFERROR(VLOOKUP(A505,'Public v Private'!A:G,3,FALSE),"")</f>
        <v>0</v>
      </c>
      <c r="C505" s="38">
        <f>IFERROR(VLOOKUP(A505,'Public v Private'!A:G,4,FALSE),"")</f>
        <v>0</v>
      </c>
      <c r="D505" s="38">
        <f>IFERROR(VLOOKUP(A505,'Public v Private'!A:G,5,FALSE),"")</f>
        <v>0</v>
      </c>
      <c r="E505" s="38"/>
      <c r="F505" s="40">
        <f>IFERROR(INDEX(Fall!$1:$1048576,MATCH(All!$A505,Fall!$A:$A,FALSE),MATCH(All!F$1,Fall!$1:$1,FALSE)),"N/A")</f>
        <v>244</v>
      </c>
      <c r="G505" t="str">
        <f>IFERROR(IF(INDEX(Fall!$1:$1048576,MATCH(All!$A505,Fall!$A:$A,FALSE),MATCH(All!G$1,Fall!$1:$1,FALSE))="","",INDEX(Fall!$1:$1048576,MATCH(All!$A505,Fall!$A:$A,FALSE),MATCH(All!G$1,Fall!$1:$1,FALSE))),"")</f>
        <v>1A</v>
      </c>
      <c r="H505" t="str">
        <f>IFERROR(IF(INDEX(Fall!$1:$1048576,MATCH(All!$A505,Fall!$A:$A,FALSE),MATCH(All!H$1,Fall!$1:$1,FALSE))="","",INDEX(Fall!$1:$1048576,MATCH(All!$A505,Fall!$A:$A,FALSE),MATCH(All!H$1,Fall!$1:$1,FALSE))),"")</f>
        <v>1A</v>
      </c>
      <c r="I505" t="str">
        <f>IFERROR(IF(INDEX(Fall!$1:$1048576,MATCH(All!$A505,Fall!$A:$A,FALSE),MATCH(All!I$1,Fall!$1:$1,FALSE))="","",INDEX(Fall!$1:$1048576,MATCH(All!$A505,Fall!$A:$A,FALSE),MATCH(All!I$1,Fall!$1:$1,FALSE))),"")</f>
        <v>1A</v>
      </c>
      <c r="J505" t="str">
        <f>IFERROR(IF(INDEX(Fall!$1:$1048576,MATCH(All!$A505,Fall!$A:$A,FALSE),MATCH(All!J$1,Fall!$1:$1,FALSE))="","",INDEX(Fall!$1:$1048576,MATCH(All!$A505,Fall!$A:$A,FALSE),MATCH(All!J$1,Fall!$1:$1,FALSE))),"")</f>
        <v>1A</v>
      </c>
      <c r="K505" t="str">
        <f>IFERROR(IF(INDEX(Fall!$1:$1048576,MATCH(All!$A505,Fall!$A:$A,FALSE),MATCH(All!K$1,Fall!$1:$1,FALSE))="","",INDEX(Fall!$1:$1048576,MATCH(All!$A505,Fall!$A:$A,FALSE),MATCH(All!K$1,Fall!$1:$1,FALSE))),"")</f>
        <v/>
      </c>
      <c r="L505" t="str">
        <f>IFERROR(IF(INDEX(Fall!$1:$1048576,MATCH(All!$A505,Fall!$A:$A,FALSE),MATCH(All!L$1,Fall!$1:$1,FALSE))="","",INDEX(Fall!$1:$1048576,MATCH(All!$A505,Fall!$A:$A,FALSE),MATCH(All!L$1,Fall!$1:$1,FALSE))),"")</f>
        <v/>
      </c>
      <c r="M505" t="str">
        <f>IFERROR(IF(INDEX(Fall!$1:$1048576,MATCH(All!$A505,Fall!$A:$A,FALSE),MATCH(All!M$1,Fall!$1:$1,FALSE))="","",INDEX(Fall!$1:$1048576,MATCH(All!$A505,Fall!$A:$A,FALSE),MATCH(All!M$1,Fall!$1:$1,FALSE))),"")</f>
        <v>1A</v>
      </c>
      <c r="O505">
        <f>IFERROR(IF(INDEX(Winter!$1:$1048576,MATCH(All!$A505,Winter!$A:$A,FALSE),MATCH(All!O$1,Winter!$1:$1,FALSE))="","",INDEX(Winter!$1:$1048576,MATCH(All!$A505,Winter!$A:$A,FALSE),MATCH(All!O$1,Winter!$1:$1,FALSE))),"")</f>
        <v>244</v>
      </c>
      <c r="P505" t="str">
        <f>IFERROR(IF(INDEX(Winter!$1:$1048576,MATCH(All!$A505,Winter!$A:$A,FALSE),MATCH(All!P$1,Winter!$1:$1,FALSE))="","",INDEX(Winter!$1:$1048576,MATCH(All!$A505,Winter!$A:$A,FALSE),MATCH(All!P$1,Winter!$1:$1,FALSE))),"")</f>
        <v>1A</v>
      </c>
      <c r="Q505" t="str">
        <f>IFERROR(IF(INDEX(Winter!$1:$1048576,MATCH(All!$A505,Winter!$A:$A,FALSE),MATCH(All!Q$1,Winter!$1:$1,FALSE))="","",INDEX(Winter!$1:$1048576,MATCH(All!$A505,Winter!$A:$A,FALSE),MATCH(All!Q$1,Winter!$1:$1,FALSE))),"")</f>
        <v>1A</v>
      </c>
      <c r="R505" t="str">
        <f>IFERROR(IF(INDEX(Winter!$1:$1048576,MATCH(All!$A505,Winter!$A:$A,FALSE),MATCH(All!R$1,Winter!$1:$1,FALSE))="","",INDEX(Winter!$1:$1048576,MATCH(All!$A505,Winter!$A:$A,FALSE),MATCH(All!R$1,Winter!$1:$1,FALSE))),"")</f>
        <v/>
      </c>
      <c r="S505" t="str">
        <f>IFERROR(IF(INDEX(Winter!$1:$1048576,MATCH(All!$A505,Winter!$A:$A,FALSE),MATCH(All!S$1,Winter!$1:$1,FALSE))="","",INDEX(Winter!$1:$1048576,MATCH(All!$A505,Winter!$A:$A,FALSE),MATCH(All!S$1,Winter!$1:$1,FALSE))),"")</f>
        <v>1A</v>
      </c>
      <c r="T505" t="str">
        <f>IFERROR(IF(INDEX(Winter!$1:$1048576,MATCH(All!$A505,Winter!$A:$A,FALSE),MATCH(All!T$1,Winter!$1:$1,FALSE))="","",INDEX(Winter!$1:$1048576,MATCH(All!$A505,Winter!$A:$A,FALSE),MATCH(All!T$1,Winter!$1:$1,FALSE))),"")</f>
        <v>1A</v>
      </c>
      <c r="U505" t="str">
        <f>IFERROR(IF(INDEX(Winter!$1:$1048576,MATCH(All!$A505,Winter!$A:$A,FALSE),MATCH(All!U$1,Winter!$1:$1,FALSE))="","",INDEX(Winter!$1:$1048576,MATCH(All!$A505,Winter!$A:$A,FALSE),MATCH(All!U$1,Winter!$1:$1,FALSE))),"")</f>
        <v/>
      </c>
      <c r="W505">
        <f>IFERROR(IF(INDEX(Spring!$1:$1048576,MATCH(All!$A505,Spring!$A:$A,FALSE),MATCH(All!W$1,Spring!$1:$1,FALSE))="","",INDEX(Spring!$1:$1048576,MATCH(All!$A505,Spring!$A:$A,FALSE),MATCH(All!W$1,Spring!$1:$1,FALSE))),"")</f>
        <v>244</v>
      </c>
      <c r="X505" t="str">
        <f>IFERROR(IF(INDEX(Spring!$1:$1048576,MATCH(All!$A505,Spring!$A:$A,FALSE),MATCH(All!X$1,Spring!$1:$1,FALSE))="","",INDEX(Spring!$1:$1048576,MATCH(All!$A505,Spring!$A:$A,FALSE),MATCH(All!X$1,Spring!$1:$1,FALSE))),"")</f>
        <v>1A</v>
      </c>
      <c r="Y505" t="str">
        <f>IFERROR(IF(INDEX(Spring!$1:$1048576,MATCH(All!$A505,Spring!$A:$A,FALSE),MATCH(All!Y$1,Spring!$1:$1,FALSE))="","",INDEX(Spring!$1:$1048576,MATCH(All!$A505,Spring!$A:$A,FALSE),MATCH(All!Y$1,Spring!$1:$1,FALSE))),"")</f>
        <v>1A</v>
      </c>
      <c r="Z505" t="str">
        <f>IFERROR(IF(INDEX(Spring!$1:$1048576,MATCH(All!$A505,Spring!$A:$A,FALSE),MATCH(All!Z$1,Spring!$1:$1,FALSE))="","",INDEX(Spring!$1:$1048576,MATCH(All!$A505,Spring!$A:$A,FALSE),MATCH(All!Z$1,Spring!$1:$1,FALSE))),"")</f>
        <v/>
      </c>
      <c r="AA505" t="str">
        <f>IFERROR(IF(INDEX(Spring!$1:$1048576,MATCH(All!$A505,Spring!$A:$A,FALSE),MATCH(All!AA$1,Spring!$1:$1,FALSE))="","",INDEX(Spring!$1:$1048576,MATCH(All!$A505,Spring!$A:$A,FALSE),MATCH(All!AA$1,Spring!$1:$1,FALSE))),"")</f>
        <v/>
      </c>
      <c r="AB505" t="str">
        <f>IFERROR(IF(INDEX(Spring!$1:$1048576,MATCH(All!$A505,Spring!$A:$A,FALSE),MATCH(All!AB$1,Spring!$1:$1,FALSE))="","",INDEX(Spring!$1:$1048576,MATCH(All!$A505,Spring!$A:$A,FALSE),MATCH(All!AB$1,Spring!$1:$1,FALSE))),"")</f>
        <v>1A</v>
      </c>
      <c r="AC505" t="str">
        <f>IFERROR(IF(INDEX(Spring!$1:$1048576,MATCH(All!$A505,Spring!$A:$A,FALSE),MATCH(All!AC$1,Spring!$1:$1,FALSE))="","",INDEX(Spring!$1:$1048576,MATCH(All!$A505,Spring!$A:$A,FALSE),MATCH(All!AC$1,Spring!$1:$1,FALSE))),"")</f>
        <v>1A</v>
      </c>
      <c r="AD505" t="str">
        <f>IFERROR(VLOOKUP(A505,'Flag Football'!A:A,1,FALSE),"")</f>
        <v/>
      </c>
      <c r="AE505" t="str">
        <f t="shared" si="7"/>
        <v/>
      </c>
    </row>
    <row r="506" spans="1:31" ht="15.75" thickBot="1" x14ac:dyDescent="0.3">
      <c r="A506" s="20" t="s">
        <v>598</v>
      </c>
      <c r="B506" s="38">
        <f>IFERROR(VLOOKUP(A506,'Public v Private'!A:G,3,FALSE),"")</f>
        <v>0</v>
      </c>
      <c r="C506" s="38">
        <f>IFERROR(VLOOKUP(A506,'Public v Private'!A:G,4,FALSE),"")</f>
        <v>0</v>
      </c>
      <c r="D506" s="38">
        <f>IFERROR(VLOOKUP(A506,'Public v Private'!A:G,5,FALSE),"")</f>
        <v>0</v>
      </c>
      <c r="E506" s="38"/>
      <c r="F506" s="40">
        <f>IFERROR(INDEX(Fall!$1:$1048576,MATCH(All!$A506,Fall!$A:$A,FALSE),MATCH(All!F$1,Fall!$1:$1,FALSE)),"N/A")</f>
        <v>2851</v>
      </c>
      <c r="G506" t="str">
        <f>IFERROR(IF(INDEX(Fall!$1:$1048576,MATCH(All!$A506,Fall!$A:$A,FALSE),MATCH(All!G$1,Fall!$1:$1,FALSE))="","",INDEX(Fall!$1:$1048576,MATCH(All!$A506,Fall!$A:$A,FALSE),MATCH(All!G$1,Fall!$1:$1,FALSE))),"")</f>
        <v>3A</v>
      </c>
      <c r="H506" t="str">
        <f>IFERROR(IF(INDEX(Fall!$1:$1048576,MATCH(All!$A506,Fall!$A:$A,FALSE),MATCH(All!H$1,Fall!$1:$1,FALSE))="","",INDEX(Fall!$1:$1048576,MATCH(All!$A506,Fall!$A:$A,FALSE),MATCH(All!H$1,Fall!$1:$1,FALSE))),"")</f>
        <v>3A</v>
      </c>
      <c r="I506" t="str">
        <f>IFERROR(IF(INDEX(Fall!$1:$1048576,MATCH(All!$A506,Fall!$A:$A,FALSE),MATCH(All!I$1,Fall!$1:$1,FALSE))="","",INDEX(Fall!$1:$1048576,MATCH(All!$A506,Fall!$A:$A,FALSE),MATCH(All!I$1,Fall!$1:$1,FALSE))),"")</f>
        <v>3A</v>
      </c>
      <c r="J506" t="str">
        <f>IFERROR(IF(INDEX(Fall!$1:$1048576,MATCH(All!$A506,Fall!$A:$A,FALSE),MATCH(All!J$1,Fall!$1:$1,FALSE))="","",INDEX(Fall!$1:$1048576,MATCH(All!$A506,Fall!$A:$A,FALSE),MATCH(All!J$1,Fall!$1:$1,FALSE))),"")</f>
        <v>2A</v>
      </c>
      <c r="K506" t="str">
        <f>IFERROR(IF(INDEX(Fall!$1:$1048576,MATCH(All!$A506,Fall!$A:$A,FALSE),MATCH(All!K$1,Fall!$1:$1,FALSE))="","",INDEX(Fall!$1:$1048576,MATCH(All!$A506,Fall!$A:$A,FALSE),MATCH(All!K$1,Fall!$1:$1,FALSE))),"")</f>
        <v>3A</v>
      </c>
      <c r="L506" t="str">
        <f>IFERROR(IF(INDEX(Fall!$1:$1048576,MATCH(All!$A506,Fall!$A:$A,FALSE),MATCH(All!L$1,Fall!$1:$1,FALSE))="","",INDEX(Fall!$1:$1048576,MATCH(All!$A506,Fall!$A:$A,FALSE),MATCH(All!L$1,Fall!$1:$1,FALSE))),"")</f>
        <v>2A</v>
      </c>
      <c r="M506" t="str">
        <f>IFERROR(IF(INDEX(Fall!$1:$1048576,MATCH(All!$A506,Fall!$A:$A,FALSE),MATCH(All!M$1,Fall!$1:$1,FALSE))="","",INDEX(Fall!$1:$1048576,MATCH(All!$A506,Fall!$A:$A,FALSE),MATCH(All!M$1,Fall!$1:$1,FALSE))),"")</f>
        <v>4A</v>
      </c>
      <c r="O506">
        <f>IFERROR(IF(INDEX(Winter!$1:$1048576,MATCH(All!$A506,Winter!$A:$A,FALSE),MATCH(All!O$1,Winter!$1:$1,FALSE))="","",INDEX(Winter!$1:$1048576,MATCH(All!$A506,Winter!$A:$A,FALSE),MATCH(All!O$1,Winter!$1:$1,FALSE))),"")</f>
        <v>2851</v>
      </c>
      <c r="P506" t="str">
        <f>IFERROR(IF(INDEX(Winter!$1:$1048576,MATCH(All!$A506,Winter!$A:$A,FALSE),MATCH(All!P$1,Winter!$1:$1,FALSE))="","",INDEX(Winter!$1:$1048576,MATCH(All!$A506,Winter!$A:$A,FALSE),MATCH(All!P$1,Winter!$1:$1,FALSE))),"")</f>
        <v>4A</v>
      </c>
      <c r="Q506" t="str">
        <f>IFERROR(IF(INDEX(Winter!$1:$1048576,MATCH(All!$A506,Winter!$A:$A,FALSE),MATCH(All!Q$1,Winter!$1:$1,FALSE))="","",INDEX(Winter!$1:$1048576,MATCH(All!$A506,Winter!$A:$A,FALSE),MATCH(All!Q$1,Winter!$1:$1,FALSE))),"")</f>
        <v>4A</v>
      </c>
      <c r="R506" t="str">
        <f>IFERROR(IF(INDEX(Winter!$1:$1048576,MATCH(All!$A506,Winter!$A:$A,FALSE),MATCH(All!R$1,Winter!$1:$1,FALSE))="","",INDEX(Winter!$1:$1048576,MATCH(All!$A506,Winter!$A:$A,FALSE),MATCH(All!R$1,Winter!$1:$1,FALSE))),"")</f>
        <v>3A</v>
      </c>
      <c r="S506" t="str">
        <f>IFERROR(IF(INDEX(Winter!$1:$1048576,MATCH(All!$A506,Winter!$A:$A,FALSE),MATCH(All!S$1,Winter!$1:$1,FALSE))="","",INDEX(Winter!$1:$1048576,MATCH(All!$A506,Winter!$A:$A,FALSE),MATCH(All!S$1,Winter!$1:$1,FALSE))),"")</f>
        <v>3A</v>
      </c>
      <c r="T506" t="str">
        <f>IFERROR(IF(INDEX(Winter!$1:$1048576,MATCH(All!$A506,Winter!$A:$A,FALSE),MATCH(All!T$1,Winter!$1:$1,FALSE))="","",INDEX(Winter!$1:$1048576,MATCH(All!$A506,Winter!$A:$A,FALSE),MATCH(All!T$1,Winter!$1:$1,FALSE))),"")</f>
        <v>2A</v>
      </c>
      <c r="U506" t="str">
        <f>IFERROR(IF(INDEX(Winter!$1:$1048576,MATCH(All!$A506,Winter!$A:$A,FALSE),MATCH(All!U$1,Winter!$1:$1,FALSE))="","",INDEX(Winter!$1:$1048576,MATCH(All!$A506,Winter!$A:$A,FALSE),MATCH(All!U$1,Winter!$1:$1,FALSE))),"")</f>
        <v>3A</v>
      </c>
      <c r="W506">
        <f>IFERROR(IF(INDEX(Spring!$1:$1048576,MATCH(All!$A506,Spring!$A:$A,FALSE),MATCH(All!W$1,Spring!$1:$1,FALSE))="","",INDEX(Spring!$1:$1048576,MATCH(All!$A506,Spring!$A:$A,FALSE),MATCH(All!W$1,Spring!$1:$1,FALSE))),"")</f>
        <v>2851</v>
      </c>
      <c r="X506" t="str">
        <f>IFERROR(IF(INDEX(Spring!$1:$1048576,MATCH(All!$A506,Spring!$A:$A,FALSE),MATCH(All!X$1,Spring!$1:$1,FALSE))="","",INDEX(Spring!$1:$1048576,MATCH(All!$A506,Spring!$A:$A,FALSE),MATCH(All!X$1,Spring!$1:$1,FALSE))),"")</f>
        <v>4A</v>
      </c>
      <c r="Y506" t="str">
        <f>IFERROR(IF(INDEX(Spring!$1:$1048576,MATCH(All!$A506,Spring!$A:$A,FALSE),MATCH(All!Y$1,Spring!$1:$1,FALSE))="","",INDEX(Spring!$1:$1048576,MATCH(All!$A506,Spring!$A:$A,FALSE),MATCH(All!Y$1,Spring!$1:$1,FALSE))),"")</f>
        <v>4A</v>
      </c>
      <c r="Z506" t="str">
        <f>IFERROR(IF(INDEX(Spring!$1:$1048576,MATCH(All!$A506,Spring!$A:$A,FALSE),MATCH(All!Z$1,Spring!$1:$1,FALSE))="","",INDEX(Spring!$1:$1048576,MATCH(All!$A506,Spring!$A:$A,FALSE),MATCH(All!Z$1,Spring!$1:$1,FALSE))),"")</f>
        <v>3A</v>
      </c>
      <c r="AA506" t="str">
        <f>IFERROR(IF(INDEX(Spring!$1:$1048576,MATCH(All!$A506,Spring!$A:$A,FALSE),MATCH(All!AA$1,Spring!$1:$1,FALSE))="","",INDEX(Spring!$1:$1048576,MATCH(All!$A506,Spring!$A:$A,FALSE),MATCH(All!AA$1,Spring!$1:$1,FALSE))),"")</f>
        <v>2A</v>
      </c>
      <c r="AB506" t="str">
        <f>IFERROR(IF(INDEX(Spring!$1:$1048576,MATCH(All!$A506,Spring!$A:$A,FALSE),MATCH(All!AB$1,Spring!$1:$1,FALSE))="","",INDEX(Spring!$1:$1048576,MATCH(All!$A506,Spring!$A:$A,FALSE),MATCH(All!AB$1,Spring!$1:$1,FALSE))),"")</f>
        <v>3A</v>
      </c>
      <c r="AC506" t="str">
        <f>IFERROR(IF(INDEX(Spring!$1:$1048576,MATCH(All!$A506,Spring!$A:$A,FALSE),MATCH(All!AC$1,Spring!$1:$1,FALSE))="","",INDEX(Spring!$1:$1048576,MATCH(All!$A506,Spring!$A:$A,FALSE),MATCH(All!AC$1,Spring!$1:$1,FALSE))),"")</f>
        <v>3A</v>
      </c>
      <c r="AD506" t="str">
        <f>IFERROR(VLOOKUP(A506,'Flag Football'!A:A,1,FALSE),"")</f>
        <v>Minooka</v>
      </c>
      <c r="AE506" t="str">
        <f t="shared" si="7"/>
        <v>1A</v>
      </c>
    </row>
    <row r="507" spans="1:31" ht="15.75" thickBot="1" x14ac:dyDescent="0.3">
      <c r="A507" s="18" t="s">
        <v>599</v>
      </c>
      <c r="B507" s="38">
        <f>IFERROR(VLOOKUP(A507,'Public v Private'!A:G,3,FALSE),"")</f>
        <v>0</v>
      </c>
      <c r="C507" s="38">
        <f>IFERROR(VLOOKUP(A507,'Public v Private'!A:G,4,FALSE),"")</f>
        <v>0</v>
      </c>
      <c r="D507" s="38">
        <f>IFERROR(VLOOKUP(A507,'Public v Private'!A:G,5,FALSE),"")</f>
        <v>0</v>
      </c>
      <c r="E507" s="38"/>
      <c r="F507" s="40">
        <f>IFERROR(INDEX(Fall!$1:$1048576,MATCH(All!$A507,Fall!$A:$A,FALSE),MATCH(All!F$1,Fall!$1:$1,FALSE)),"N/A")</f>
        <v>2190</v>
      </c>
      <c r="G507" t="str">
        <f>IFERROR(IF(INDEX(Fall!$1:$1048576,MATCH(All!$A507,Fall!$A:$A,FALSE),MATCH(All!G$1,Fall!$1:$1,FALSE))="","",INDEX(Fall!$1:$1048576,MATCH(All!$A507,Fall!$A:$A,FALSE),MATCH(All!G$1,Fall!$1:$1,FALSE))),"")</f>
        <v>3A</v>
      </c>
      <c r="H507" t="str">
        <f>IFERROR(IF(INDEX(Fall!$1:$1048576,MATCH(All!$A507,Fall!$A:$A,FALSE),MATCH(All!H$1,Fall!$1:$1,FALSE))="","",INDEX(Fall!$1:$1048576,MATCH(All!$A507,Fall!$A:$A,FALSE),MATCH(All!H$1,Fall!$1:$1,FALSE))),"")</f>
        <v>3A</v>
      </c>
      <c r="I507" t="str">
        <f>IFERROR(IF(INDEX(Fall!$1:$1048576,MATCH(All!$A507,Fall!$A:$A,FALSE),MATCH(All!I$1,Fall!$1:$1,FALSE))="","",INDEX(Fall!$1:$1048576,MATCH(All!$A507,Fall!$A:$A,FALSE),MATCH(All!I$1,Fall!$1:$1,FALSE))),"")</f>
        <v>3A</v>
      </c>
      <c r="J507" t="str">
        <f>IFERROR(IF(INDEX(Fall!$1:$1048576,MATCH(All!$A507,Fall!$A:$A,FALSE),MATCH(All!J$1,Fall!$1:$1,FALSE))="","",INDEX(Fall!$1:$1048576,MATCH(All!$A507,Fall!$A:$A,FALSE),MATCH(All!J$1,Fall!$1:$1,FALSE))),"")</f>
        <v>2A</v>
      </c>
      <c r="K507" t="str">
        <f>IFERROR(IF(INDEX(Fall!$1:$1048576,MATCH(All!$A507,Fall!$A:$A,FALSE),MATCH(All!K$1,Fall!$1:$1,FALSE))="","",INDEX(Fall!$1:$1048576,MATCH(All!$A507,Fall!$A:$A,FALSE),MATCH(All!K$1,Fall!$1:$1,FALSE))),"")</f>
        <v>3A</v>
      </c>
      <c r="L507" t="str">
        <f>IFERROR(IF(INDEX(Fall!$1:$1048576,MATCH(All!$A507,Fall!$A:$A,FALSE),MATCH(All!L$1,Fall!$1:$1,FALSE))="","",INDEX(Fall!$1:$1048576,MATCH(All!$A507,Fall!$A:$A,FALSE),MATCH(All!L$1,Fall!$1:$1,FALSE))),"")</f>
        <v>2A</v>
      </c>
      <c r="M507" t="str">
        <f>IFERROR(IF(INDEX(Fall!$1:$1048576,MATCH(All!$A507,Fall!$A:$A,FALSE),MATCH(All!M$1,Fall!$1:$1,FALSE))="","",INDEX(Fall!$1:$1048576,MATCH(All!$A507,Fall!$A:$A,FALSE),MATCH(All!M$1,Fall!$1:$1,FALSE))),"")</f>
        <v>4A</v>
      </c>
      <c r="O507">
        <f>IFERROR(IF(INDEX(Winter!$1:$1048576,MATCH(All!$A507,Winter!$A:$A,FALSE),MATCH(All!O$1,Winter!$1:$1,FALSE))="","",INDEX(Winter!$1:$1048576,MATCH(All!$A507,Winter!$A:$A,FALSE),MATCH(All!O$1,Winter!$1:$1,FALSE))),"")</f>
        <v>2190</v>
      </c>
      <c r="P507" t="str">
        <f>IFERROR(IF(INDEX(Winter!$1:$1048576,MATCH(All!$A507,Winter!$A:$A,FALSE),MATCH(All!P$1,Winter!$1:$1,FALSE))="","",INDEX(Winter!$1:$1048576,MATCH(All!$A507,Winter!$A:$A,FALSE),MATCH(All!P$1,Winter!$1:$1,FALSE))),"")</f>
        <v>4A</v>
      </c>
      <c r="Q507" t="str">
        <f>IFERROR(IF(INDEX(Winter!$1:$1048576,MATCH(All!$A507,Winter!$A:$A,FALSE),MATCH(All!Q$1,Winter!$1:$1,FALSE))="","",INDEX(Winter!$1:$1048576,MATCH(All!$A507,Winter!$A:$A,FALSE),MATCH(All!Q$1,Winter!$1:$1,FALSE))),"")</f>
        <v>4A</v>
      </c>
      <c r="R507" t="str">
        <f>IFERROR(IF(INDEX(Winter!$1:$1048576,MATCH(All!$A507,Winter!$A:$A,FALSE),MATCH(All!R$1,Winter!$1:$1,FALSE))="","",INDEX(Winter!$1:$1048576,MATCH(All!$A507,Winter!$A:$A,FALSE),MATCH(All!R$1,Winter!$1:$1,FALSE))),"")</f>
        <v>3A</v>
      </c>
      <c r="S507" t="str">
        <f>IFERROR(IF(INDEX(Winter!$1:$1048576,MATCH(All!$A507,Winter!$A:$A,FALSE),MATCH(All!S$1,Winter!$1:$1,FALSE))="","",INDEX(Winter!$1:$1048576,MATCH(All!$A507,Winter!$A:$A,FALSE),MATCH(All!S$1,Winter!$1:$1,FALSE))),"")</f>
        <v/>
      </c>
      <c r="T507" t="str">
        <f>IFERROR(IF(INDEX(Winter!$1:$1048576,MATCH(All!$A507,Winter!$A:$A,FALSE),MATCH(All!T$1,Winter!$1:$1,FALSE))="","",INDEX(Winter!$1:$1048576,MATCH(All!$A507,Winter!$A:$A,FALSE),MATCH(All!T$1,Winter!$1:$1,FALSE))),"")</f>
        <v>2A</v>
      </c>
      <c r="U507" t="str">
        <f>IFERROR(IF(INDEX(Winter!$1:$1048576,MATCH(All!$A507,Winter!$A:$A,FALSE),MATCH(All!U$1,Winter!$1:$1,FALSE))="","",INDEX(Winter!$1:$1048576,MATCH(All!$A507,Winter!$A:$A,FALSE),MATCH(All!U$1,Winter!$1:$1,FALSE))),"")</f>
        <v>3A</v>
      </c>
      <c r="W507">
        <f>IFERROR(IF(INDEX(Spring!$1:$1048576,MATCH(All!$A507,Spring!$A:$A,FALSE),MATCH(All!W$1,Spring!$1:$1,FALSE))="","",INDEX(Spring!$1:$1048576,MATCH(All!$A507,Spring!$A:$A,FALSE),MATCH(All!W$1,Spring!$1:$1,FALSE))),"")</f>
        <v>2190</v>
      </c>
      <c r="X507" t="str">
        <f>IFERROR(IF(INDEX(Spring!$1:$1048576,MATCH(All!$A507,Spring!$A:$A,FALSE),MATCH(All!X$1,Spring!$1:$1,FALSE))="","",INDEX(Spring!$1:$1048576,MATCH(All!$A507,Spring!$A:$A,FALSE),MATCH(All!X$1,Spring!$1:$1,FALSE))),"")</f>
        <v>4A</v>
      </c>
      <c r="Y507" t="str">
        <f>IFERROR(IF(INDEX(Spring!$1:$1048576,MATCH(All!$A507,Spring!$A:$A,FALSE),MATCH(All!Y$1,Spring!$1:$1,FALSE))="","",INDEX(Spring!$1:$1048576,MATCH(All!$A507,Spring!$A:$A,FALSE),MATCH(All!Y$1,Spring!$1:$1,FALSE))),"")</f>
        <v>4A</v>
      </c>
      <c r="Z507" t="str">
        <f>IFERROR(IF(INDEX(Spring!$1:$1048576,MATCH(All!$A507,Spring!$A:$A,FALSE),MATCH(All!Z$1,Spring!$1:$1,FALSE))="","",INDEX(Spring!$1:$1048576,MATCH(All!$A507,Spring!$A:$A,FALSE),MATCH(All!Z$1,Spring!$1:$1,FALSE))),"")</f>
        <v>3A</v>
      </c>
      <c r="AA507" t="str">
        <f>IFERROR(IF(INDEX(Spring!$1:$1048576,MATCH(All!$A507,Spring!$A:$A,FALSE),MATCH(All!AA$1,Spring!$1:$1,FALSE))="","",INDEX(Spring!$1:$1048576,MATCH(All!$A507,Spring!$A:$A,FALSE),MATCH(All!AA$1,Spring!$1:$1,FALSE))),"")</f>
        <v>2A</v>
      </c>
      <c r="AB507" t="str">
        <f>IFERROR(IF(INDEX(Spring!$1:$1048576,MATCH(All!$A507,Spring!$A:$A,FALSE),MATCH(All!AB$1,Spring!$1:$1,FALSE))="","",INDEX(Spring!$1:$1048576,MATCH(All!$A507,Spring!$A:$A,FALSE),MATCH(All!AB$1,Spring!$1:$1,FALSE))),"")</f>
        <v>3A</v>
      </c>
      <c r="AC507" t="str">
        <f>IFERROR(IF(INDEX(Spring!$1:$1048576,MATCH(All!$A507,Spring!$A:$A,FALSE),MATCH(All!AC$1,Spring!$1:$1,FALSE))="","",INDEX(Spring!$1:$1048576,MATCH(All!$A507,Spring!$A:$A,FALSE),MATCH(All!AC$1,Spring!$1:$1,FALSE))),"")</f>
        <v>3A</v>
      </c>
      <c r="AD507" t="str">
        <f>IFERROR(VLOOKUP(A507,'Flag Football'!A:A,1,FALSE),"")</f>
        <v/>
      </c>
      <c r="AE507" t="str">
        <f t="shared" si="7"/>
        <v/>
      </c>
    </row>
    <row r="508" spans="1:31" ht="15.75" thickBot="1" x14ac:dyDescent="0.3">
      <c r="A508" s="20" t="s">
        <v>956</v>
      </c>
      <c r="B508" s="38" t="str">
        <f>IFERROR(VLOOKUP(A508,'Public v Private'!A:G,3,FALSE),"")</f>
        <v/>
      </c>
      <c r="C508" s="38" t="str">
        <f>IFERROR(VLOOKUP(A508,'Public v Private'!A:G,4,FALSE),"")</f>
        <v/>
      </c>
      <c r="D508" s="38" t="str">
        <f>IFERROR(VLOOKUP(A508,'Public v Private'!A:G,5,FALSE),"")</f>
        <v/>
      </c>
      <c r="E508" s="38"/>
      <c r="F508" s="40" t="str">
        <f>IFERROR(INDEX(Fall!$1:$1048576,MATCH(All!$A508,Fall!$A:$A,FALSE),MATCH(All!F$1,Fall!$1:$1,FALSE)),"N/A")</f>
        <v>N/A</v>
      </c>
      <c r="G508" t="str">
        <f>IFERROR(IF(INDEX(Fall!$1:$1048576,MATCH(All!$A508,Fall!$A:$A,FALSE),MATCH(All!G$1,Fall!$1:$1,FALSE))="","",INDEX(Fall!$1:$1048576,MATCH(All!$A508,Fall!$A:$A,FALSE),MATCH(All!G$1,Fall!$1:$1,FALSE))),"")</f>
        <v/>
      </c>
      <c r="H508" t="str">
        <f>IFERROR(IF(INDEX(Fall!$1:$1048576,MATCH(All!$A508,Fall!$A:$A,FALSE),MATCH(All!H$1,Fall!$1:$1,FALSE))="","",INDEX(Fall!$1:$1048576,MATCH(All!$A508,Fall!$A:$A,FALSE),MATCH(All!H$1,Fall!$1:$1,FALSE))),"")</f>
        <v/>
      </c>
      <c r="I508" t="str">
        <f>IFERROR(IF(INDEX(Fall!$1:$1048576,MATCH(All!$A508,Fall!$A:$A,FALSE),MATCH(All!I$1,Fall!$1:$1,FALSE))="","",INDEX(Fall!$1:$1048576,MATCH(All!$A508,Fall!$A:$A,FALSE),MATCH(All!I$1,Fall!$1:$1,FALSE))),"")</f>
        <v/>
      </c>
      <c r="J508" t="str">
        <f>IFERROR(IF(INDEX(Fall!$1:$1048576,MATCH(All!$A508,Fall!$A:$A,FALSE),MATCH(All!J$1,Fall!$1:$1,FALSE))="","",INDEX(Fall!$1:$1048576,MATCH(All!$A508,Fall!$A:$A,FALSE),MATCH(All!J$1,Fall!$1:$1,FALSE))),"")</f>
        <v/>
      </c>
      <c r="K508" t="str">
        <f>IFERROR(IF(INDEX(Fall!$1:$1048576,MATCH(All!$A508,Fall!$A:$A,FALSE),MATCH(All!K$1,Fall!$1:$1,FALSE))="","",INDEX(Fall!$1:$1048576,MATCH(All!$A508,Fall!$A:$A,FALSE),MATCH(All!K$1,Fall!$1:$1,FALSE))),"")</f>
        <v/>
      </c>
      <c r="L508" t="str">
        <f>IFERROR(IF(INDEX(Fall!$1:$1048576,MATCH(All!$A508,Fall!$A:$A,FALSE),MATCH(All!L$1,Fall!$1:$1,FALSE))="","",INDEX(Fall!$1:$1048576,MATCH(All!$A508,Fall!$A:$A,FALSE),MATCH(All!L$1,Fall!$1:$1,FALSE))),"")</f>
        <v/>
      </c>
      <c r="M508" t="str">
        <f>IFERROR(IF(INDEX(Fall!$1:$1048576,MATCH(All!$A508,Fall!$A:$A,FALSE),MATCH(All!M$1,Fall!$1:$1,FALSE))="","",INDEX(Fall!$1:$1048576,MATCH(All!$A508,Fall!$A:$A,FALSE),MATCH(All!M$1,Fall!$1:$1,FALSE))),"")</f>
        <v/>
      </c>
      <c r="O508" t="str">
        <f>IFERROR(IF(INDEX(Winter!$1:$1048576,MATCH(All!$A508,Winter!$A:$A,FALSE),MATCH(All!O$1,Winter!$1:$1,FALSE))="","",INDEX(Winter!$1:$1048576,MATCH(All!$A508,Winter!$A:$A,FALSE),MATCH(All!O$1,Winter!$1:$1,FALSE))),"")</f>
        <v>86.00 (141.90)</v>
      </c>
      <c r="P508" t="str">
        <f>IFERROR(IF(INDEX(Winter!$1:$1048576,MATCH(All!$A508,Winter!$A:$A,FALSE),MATCH(All!P$1,Winter!$1:$1,FALSE))="","",INDEX(Winter!$1:$1048576,MATCH(All!$A508,Winter!$A:$A,FALSE),MATCH(All!P$1,Winter!$1:$1,FALSE))),"")</f>
        <v/>
      </c>
      <c r="Q508" t="str">
        <f>IFERROR(IF(INDEX(Winter!$1:$1048576,MATCH(All!$A508,Winter!$A:$A,FALSE),MATCH(All!Q$1,Winter!$1:$1,FALSE))="","",INDEX(Winter!$1:$1048576,MATCH(All!$A508,Winter!$A:$A,FALSE),MATCH(All!Q$1,Winter!$1:$1,FALSE))),"")</f>
        <v/>
      </c>
      <c r="R508" t="str">
        <f>IFERROR(IF(INDEX(Winter!$1:$1048576,MATCH(All!$A508,Winter!$A:$A,FALSE),MATCH(All!R$1,Winter!$1:$1,FALSE))="","",INDEX(Winter!$1:$1048576,MATCH(All!$A508,Winter!$A:$A,FALSE),MATCH(All!R$1,Winter!$1:$1,FALSE))),"")</f>
        <v/>
      </c>
      <c r="S508" t="str">
        <f>IFERROR(IF(INDEX(Winter!$1:$1048576,MATCH(All!$A508,Winter!$A:$A,FALSE),MATCH(All!S$1,Winter!$1:$1,FALSE))="","",INDEX(Winter!$1:$1048576,MATCH(All!$A508,Winter!$A:$A,FALSE),MATCH(All!S$1,Winter!$1:$1,FALSE))),"")</f>
        <v/>
      </c>
      <c r="T508" t="str">
        <f>IFERROR(IF(INDEX(Winter!$1:$1048576,MATCH(All!$A508,Winter!$A:$A,FALSE),MATCH(All!T$1,Winter!$1:$1,FALSE))="","",INDEX(Winter!$1:$1048576,MATCH(All!$A508,Winter!$A:$A,FALSE),MATCH(All!T$1,Winter!$1:$1,FALSE))),"")</f>
        <v/>
      </c>
      <c r="U508" t="str">
        <f>IFERROR(IF(INDEX(Winter!$1:$1048576,MATCH(All!$A508,Winter!$A:$A,FALSE),MATCH(All!U$1,Winter!$1:$1,FALSE))="","",INDEX(Winter!$1:$1048576,MATCH(All!$A508,Winter!$A:$A,FALSE),MATCH(All!U$1,Winter!$1:$1,FALSE))),"")</f>
        <v>1A</v>
      </c>
      <c r="W508" t="str">
        <f>IFERROR(IF(INDEX(Spring!$1:$1048576,MATCH(All!$A508,Spring!$A:$A,FALSE),MATCH(All!W$1,Spring!$1:$1,FALSE))="","",INDEX(Spring!$1:$1048576,MATCH(All!$A508,Spring!$A:$A,FALSE),MATCH(All!W$1,Spring!$1:$1,FALSE))),"")</f>
        <v/>
      </c>
      <c r="X508" t="str">
        <f>IFERROR(IF(INDEX(Spring!$1:$1048576,MATCH(All!$A508,Spring!$A:$A,FALSE),MATCH(All!X$1,Spring!$1:$1,FALSE))="","",INDEX(Spring!$1:$1048576,MATCH(All!$A508,Spring!$A:$A,FALSE),MATCH(All!X$1,Spring!$1:$1,FALSE))),"")</f>
        <v/>
      </c>
      <c r="Y508" t="str">
        <f>IFERROR(IF(INDEX(Spring!$1:$1048576,MATCH(All!$A508,Spring!$A:$A,FALSE),MATCH(All!Y$1,Spring!$1:$1,FALSE))="","",INDEX(Spring!$1:$1048576,MATCH(All!$A508,Spring!$A:$A,FALSE),MATCH(All!Y$1,Spring!$1:$1,FALSE))),"")</f>
        <v/>
      </c>
      <c r="Z508" t="str">
        <f>IFERROR(IF(INDEX(Spring!$1:$1048576,MATCH(All!$A508,Spring!$A:$A,FALSE),MATCH(All!Z$1,Spring!$1:$1,FALSE))="","",INDEX(Spring!$1:$1048576,MATCH(All!$A508,Spring!$A:$A,FALSE),MATCH(All!Z$1,Spring!$1:$1,FALSE))),"")</f>
        <v/>
      </c>
      <c r="AA508" t="str">
        <f>IFERROR(IF(INDEX(Spring!$1:$1048576,MATCH(All!$A508,Spring!$A:$A,FALSE),MATCH(All!AA$1,Spring!$1:$1,FALSE))="","",INDEX(Spring!$1:$1048576,MATCH(All!$A508,Spring!$A:$A,FALSE),MATCH(All!AA$1,Spring!$1:$1,FALSE))),"")</f>
        <v/>
      </c>
      <c r="AB508" t="str">
        <f>IFERROR(IF(INDEX(Spring!$1:$1048576,MATCH(All!$A508,Spring!$A:$A,FALSE),MATCH(All!AB$1,Spring!$1:$1,FALSE))="","",INDEX(Spring!$1:$1048576,MATCH(All!$A508,Spring!$A:$A,FALSE),MATCH(All!AB$1,Spring!$1:$1,FALSE))),"")</f>
        <v/>
      </c>
      <c r="AC508" t="str">
        <f>IFERROR(IF(INDEX(Spring!$1:$1048576,MATCH(All!$A508,Spring!$A:$A,FALSE),MATCH(All!AC$1,Spring!$1:$1,FALSE))="","",INDEX(Spring!$1:$1048576,MATCH(All!$A508,Spring!$A:$A,FALSE),MATCH(All!AC$1,Spring!$1:$1,FALSE))),"")</f>
        <v/>
      </c>
      <c r="AD508" t="str">
        <f>IFERROR(VLOOKUP(A508,'Flag Football'!A:A,1,FALSE),"")</f>
        <v/>
      </c>
      <c r="AE508" t="str">
        <f t="shared" si="7"/>
        <v/>
      </c>
    </row>
    <row r="509" spans="1:31" ht="15.75" thickBot="1" x14ac:dyDescent="0.3">
      <c r="A509" s="20" t="s">
        <v>600</v>
      </c>
      <c r="B509" s="38">
        <f>IFERROR(VLOOKUP(A509,'Public v Private'!A:G,3,FALSE),"")</f>
        <v>0</v>
      </c>
      <c r="C509" s="38">
        <f>IFERROR(VLOOKUP(A509,'Public v Private'!A:G,4,FALSE),"")</f>
        <v>0</v>
      </c>
      <c r="D509" s="38">
        <f>IFERROR(VLOOKUP(A509,'Public v Private'!A:G,5,FALSE),"")</f>
        <v>0</v>
      </c>
      <c r="E509" s="38"/>
      <c r="F509" s="40">
        <f>IFERROR(INDEX(Fall!$1:$1048576,MATCH(All!$A509,Fall!$A:$A,FALSE),MATCH(All!F$1,Fall!$1:$1,FALSE)),"N/A")</f>
        <v>298</v>
      </c>
      <c r="G509" t="str">
        <f>IFERROR(IF(INDEX(Fall!$1:$1048576,MATCH(All!$A509,Fall!$A:$A,FALSE),MATCH(All!G$1,Fall!$1:$1,FALSE))="","",INDEX(Fall!$1:$1048576,MATCH(All!$A509,Fall!$A:$A,FALSE),MATCH(All!G$1,Fall!$1:$1,FALSE))),"")</f>
        <v/>
      </c>
      <c r="H509" t="str">
        <f>IFERROR(IF(INDEX(Fall!$1:$1048576,MATCH(All!$A509,Fall!$A:$A,FALSE),MATCH(All!H$1,Fall!$1:$1,FALSE))="","",INDEX(Fall!$1:$1048576,MATCH(All!$A509,Fall!$A:$A,FALSE),MATCH(All!H$1,Fall!$1:$1,FALSE))),"")</f>
        <v/>
      </c>
      <c r="I509" t="str">
        <f>IFERROR(IF(INDEX(Fall!$1:$1048576,MATCH(All!$A509,Fall!$A:$A,FALSE),MATCH(All!I$1,Fall!$1:$1,FALSE))="","",INDEX(Fall!$1:$1048576,MATCH(All!$A509,Fall!$A:$A,FALSE),MATCH(All!I$1,Fall!$1:$1,FALSE))),"")</f>
        <v>1A</v>
      </c>
      <c r="J509" t="str">
        <f>IFERROR(IF(INDEX(Fall!$1:$1048576,MATCH(All!$A509,Fall!$A:$A,FALSE),MATCH(All!J$1,Fall!$1:$1,FALSE))="","",INDEX(Fall!$1:$1048576,MATCH(All!$A509,Fall!$A:$A,FALSE),MATCH(All!J$1,Fall!$1:$1,FALSE))),"")</f>
        <v/>
      </c>
      <c r="K509" t="str">
        <f>IFERROR(IF(INDEX(Fall!$1:$1048576,MATCH(All!$A509,Fall!$A:$A,FALSE),MATCH(All!K$1,Fall!$1:$1,FALSE))="","",INDEX(Fall!$1:$1048576,MATCH(All!$A509,Fall!$A:$A,FALSE),MATCH(All!K$1,Fall!$1:$1,FALSE))),"")</f>
        <v>1A</v>
      </c>
      <c r="L509" t="str">
        <f>IFERROR(IF(INDEX(Fall!$1:$1048576,MATCH(All!$A509,Fall!$A:$A,FALSE),MATCH(All!L$1,Fall!$1:$1,FALSE))="","",INDEX(Fall!$1:$1048576,MATCH(All!$A509,Fall!$A:$A,FALSE),MATCH(All!L$1,Fall!$1:$1,FALSE))),"")</f>
        <v/>
      </c>
      <c r="M509" t="str">
        <f>IFERROR(IF(INDEX(Fall!$1:$1048576,MATCH(All!$A509,Fall!$A:$A,FALSE),MATCH(All!M$1,Fall!$1:$1,FALSE))="","",INDEX(Fall!$1:$1048576,MATCH(All!$A509,Fall!$A:$A,FALSE),MATCH(All!M$1,Fall!$1:$1,FALSE))),"")</f>
        <v>1A</v>
      </c>
      <c r="O509">
        <f>IFERROR(IF(INDEX(Winter!$1:$1048576,MATCH(All!$A509,Winter!$A:$A,FALSE),MATCH(All!O$1,Winter!$1:$1,FALSE))="","",INDEX(Winter!$1:$1048576,MATCH(All!$A509,Winter!$A:$A,FALSE),MATCH(All!O$1,Winter!$1:$1,FALSE))),"")</f>
        <v>298</v>
      </c>
      <c r="P509" t="str">
        <f>IFERROR(IF(INDEX(Winter!$1:$1048576,MATCH(All!$A509,Winter!$A:$A,FALSE),MATCH(All!P$1,Winter!$1:$1,FALSE))="","",INDEX(Winter!$1:$1048576,MATCH(All!$A509,Winter!$A:$A,FALSE),MATCH(All!P$1,Winter!$1:$1,FALSE))),"")</f>
        <v>1A</v>
      </c>
      <c r="Q509" t="str">
        <f>IFERROR(IF(INDEX(Winter!$1:$1048576,MATCH(All!$A509,Winter!$A:$A,FALSE),MATCH(All!Q$1,Winter!$1:$1,FALSE))="","",INDEX(Winter!$1:$1048576,MATCH(All!$A509,Winter!$A:$A,FALSE),MATCH(All!Q$1,Winter!$1:$1,FALSE))),"")</f>
        <v>1A</v>
      </c>
      <c r="R509" t="str">
        <f>IFERROR(IF(INDEX(Winter!$1:$1048576,MATCH(All!$A509,Winter!$A:$A,FALSE),MATCH(All!R$1,Winter!$1:$1,FALSE))="","",INDEX(Winter!$1:$1048576,MATCH(All!$A509,Winter!$A:$A,FALSE),MATCH(All!R$1,Winter!$1:$1,FALSE))),"")</f>
        <v/>
      </c>
      <c r="S509" t="str">
        <f>IFERROR(IF(INDEX(Winter!$1:$1048576,MATCH(All!$A509,Winter!$A:$A,FALSE),MATCH(All!S$1,Winter!$1:$1,FALSE))="","",INDEX(Winter!$1:$1048576,MATCH(All!$A509,Winter!$A:$A,FALSE),MATCH(All!S$1,Winter!$1:$1,FALSE))),"")</f>
        <v/>
      </c>
      <c r="T509" t="str">
        <f>IFERROR(IF(INDEX(Winter!$1:$1048576,MATCH(All!$A509,Winter!$A:$A,FALSE),MATCH(All!T$1,Winter!$1:$1,FALSE))="","",INDEX(Winter!$1:$1048576,MATCH(All!$A509,Winter!$A:$A,FALSE),MATCH(All!T$1,Winter!$1:$1,FALSE))),"")</f>
        <v>1A</v>
      </c>
      <c r="U509" t="str">
        <f>IFERROR(IF(INDEX(Winter!$1:$1048576,MATCH(All!$A509,Winter!$A:$A,FALSE),MATCH(All!U$1,Winter!$1:$1,FALSE))="","",INDEX(Winter!$1:$1048576,MATCH(All!$A509,Winter!$A:$A,FALSE),MATCH(All!U$1,Winter!$1:$1,FALSE))),"")</f>
        <v/>
      </c>
      <c r="W509">
        <f>IFERROR(IF(INDEX(Spring!$1:$1048576,MATCH(All!$A509,Spring!$A:$A,FALSE),MATCH(All!W$1,Spring!$1:$1,FALSE))="","",INDEX(Spring!$1:$1048576,MATCH(All!$A509,Spring!$A:$A,FALSE),MATCH(All!W$1,Spring!$1:$1,FALSE))),"")</f>
        <v>298</v>
      </c>
      <c r="X509" t="str">
        <f>IFERROR(IF(INDEX(Spring!$1:$1048576,MATCH(All!$A509,Spring!$A:$A,FALSE),MATCH(All!X$1,Spring!$1:$1,FALSE))="","",INDEX(Spring!$1:$1048576,MATCH(All!$A509,Spring!$A:$A,FALSE),MATCH(All!X$1,Spring!$1:$1,FALSE))),"")</f>
        <v>1A</v>
      </c>
      <c r="Y509" t="str">
        <f>IFERROR(IF(INDEX(Spring!$1:$1048576,MATCH(All!$A509,Spring!$A:$A,FALSE),MATCH(All!Y$1,Spring!$1:$1,FALSE))="","",INDEX(Spring!$1:$1048576,MATCH(All!$A509,Spring!$A:$A,FALSE),MATCH(All!Y$1,Spring!$1:$1,FALSE))),"")</f>
        <v>1A</v>
      </c>
      <c r="Z509" t="str">
        <f>IFERROR(IF(INDEX(Spring!$1:$1048576,MATCH(All!$A509,Spring!$A:$A,FALSE),MATCH(All!Z$1,Spring!$1:$1,FALSE))="","",INDEX(Spring!$1:$1048576,MATCH(All!$A509,Spring!$A:$A,FALSE),MATCH(All!Z$1,Spring!$1:$1,FALSE))),"")</f>
        <v>1A</v>
      </c>
      <c r="AA509" t="str">
        <f>IFERROR(IF(INDEX(Spring!$1:$1048576,MATCH(All!$A509,Spring!$A:$A,FALSE),MATCH(All!AA$1,Spring!$1:$1,FALSE))="","",INDEX(Spring!$1:$1048576,MATCH(All!$A509,Spring!$A:$A,FALSE),MATCH(All!AA$1,Spring!$1:$1,FALSE))),"")</f>
        <v/>
      </c>
      <c r="AB509" t="str">
        <f>IFERROR(IF(INDEX(Spring!$1:$1048576,MATCH(All!$A509,Spring!$A:$A,FALSE),MATCH(All!AB$1,Spring!$1:$1,FALSE))="","",INDEX(Spring!$1:$1048576,MATCH(All!$A509,Spring!$A:$A,FALSE),MATCH(All!AB$1,Spring!$1:$1,FALSE))),"")</f>
        <v>1A</v>
      </c>
      <c r="AC509" t="str">
        <f>IFERROR(IF(INDEX(Spring!$1:$1048576,MATCH(All!$A509,Spring!$A:$A,FALSE),MATCH(All!AC$1,Spring!$1:$1,FALSE))="","",INDEX(Spring!$1:$1048576,MATCH(All!$A509,Spring!$A:$A,FALSE),MATCH(All!AC$1,Spring!$1:$1,FALSE))),"")</f>
        <v>1A</v>
      </c>
      <c r="AD509" t="str">
        <f>IFERROR(VLOOKUP(A509,'Flag Football'!A:A,1,FALSE),"")</f>
        <v/>
      </c>
      <c r="AE509" t="str">
        <f t="shared" si="7"/>
        <v/>
      </c>
    </row>
    <row r="510" spans="1:31" ht="15.75" thickBot="1" x14ac:dyDescent="0.3">
      <c r="A510" s="18" t="s">
        <v>601</v>
      </c>
      <c r="B510" s="38">
        <f>IFERROR(VLOOKUP(A510,'Public v Private'!A:G,3,FALSE),"")</f>
        <v>0</v>
      </c>
      <c r="C510" s="38">
        <f>IFERROR(VLOOKUP(A510,'Public v Private'!A:G,4,FALSE),"")</f>
        <v>0</v>
      </c>
      <c r="D510" s="38">
        <f>IFERROR(VLOOKUP(A510,'Public v Private'!A:G,5,FALSE),"")</f>
        <v>0</v>
      </c>
      <c r="E510" s="38"/>
      <c r="F510" s="40">
        <f>IFERROR(INDEX(Fall!$1:$1048576,MATCH(All!$A510,Fall!$A:$A,FALSE),MATCH(All!F$1,Fall!$1:$1,FALSE)),"N/A")</f>
        <v>482</v>
      </c>
      <c r="G510" t="str">
        <f>IFERROR(IF(INDEX(Fall!$1:$1048576,MATCH(All!$A510,Fall!$A:$A,FALSE),MATCH(All!G$1,Fall!$1:$1,FALSE))="","",INDEX(Fall!$1:$1048576,MATCH(All!$A510,Fall!$A:$A,FALSE),MATCH(All!G$1,Fall!$1:$1,FALSE))),"")</f>
        <v>1A</v>
      </c>
      <c r="H510" t="str">
        <f>IFERROR(IF(INDEX(Fall!$1:$1048576,MATCH(All!$A510,Fall!$A:$A,FALSE),MATCH(All!H$1,Fall!$1:$1,FALSE))="","",INDEX(Fall!$1:$1048576,MATCH(All!$A510,Fall!$A:$A,FALSE),MATCH(All!H$1,Fall!$1:$1,FALSE))),"")</f>
        <v>1A</v>
      </c>
      <c r="I510" t="str">
        <f>IFERROR(IF(INDEX(Fall!$1:$1048576,MATCH(All!$A510,Fall!$A:$A,FALSE),MATCH(All!I$1,Fall!$1:$1,FALSE))="","",INDEX(Fall!$1:$1048576,MATCH(All!$A510,Fall!$A:$A,FALSE),MATCH(All!I$1,Fall!$1:$1,FALSE))),"")</f>
        <v>1A</v>
      </c>
      <c r="J510" t="str">
        <f>IFERROR(IF(INDEX(Fall!$1:$1048576,MATCH(All!$A510,Fall!$A:$A,FALSE),MATCH(All!J$1,Fall!$1:$1,FALSE))="","",INDEX(Fall!$1:$1048576,MATCH(All!$A510,Fall!$A:$A,FALSE),MATCH(All!J$1,Fall!$1:$1,FALSE))),"")</f>
        <v/>
      </c>
      <c r="K510" t="str">
        <f>IFERROR(IF(INDEX(Fall!$1:$1048576,MATCH(All!$A510,Fall!$A:$A,FALSE),MATCH(All!K$1,Fall!$1:$1,FALSE))="","",INDEX(Fall!$1:$1048576,MATCH(All!$A510,Fall!$A:$A,FALSE),MATCH(All!K$1,Fall!$1:$1,FALSE))),"")</f>
        <v>1A</v>
      </c>
      <c r="L510" t="str">
        <f>IFERROR(IF(INDEX(Fall!$1:$1048576,MATCH(All!$A510,Fall!$A:$A,FALSE),MATCH(All!L$1,Fall!$1:$1,FALSE))="","",INDEX(Fall!$1:$1048576,MATCH(All!$A510,Fall!$A:$A,FALSE),MATCH(All!L$1,Fall!$1:$1,FALSE))),"")</f>
        <v/>
      </c>
      <c r="M510" t="str">
        <f>IFERROR(IF(INDEX(Fall!$1:$1048576,MATCH(All!$A510,Fall!$A:$A,FALSE),MATCH(All!M$1,Fall!$1:$1,FALSE))="","",INDEX(Fall!$1:$1048576,MATCH(All!$A510,Fall!$A:$A,FALSE),MATCH(All!M$1,Fall!$1:$1,FALSE))),"")</f>
        <v>2A</v>
      </c>
      <c r="O510">
        <f>IFERROR(IF(INDEX(Winter!$1:$1048576,MATCH(All!$A510,Winter!$A:$A,FALSE),MATCH(All!O$1,Winter!$1:$1,FALSE))="","",INDEX(Winter!$1:$1048576,MATCH(All!$A510,Winter!$A:$A,FALSE),MATCH(All!O$1,Winter!$1:$1,FALSE))),"")</f>
        <v>482</v>
      </c>
      <c r="P510" t="str">
        <f>IFERROR(IF(INDEX(Winter!$1:$1048576,MATCH(All!$A510,Winter!$A:$A,FALSE),MATCH(All!P$1,Winter!$1:$1,FALSE))="","",INDEX(Winter!$1:$1048576,MATCH(All!$A510,Winter!$A:$A,FALSE),MATCH(All!P$1,Winter!$1:$1,FALSE))),"")</f>
        <v>2A</v>
      </c>
      <c r="Q510" t="str">
        <f>IFERROR(IF(INDEX(Winter!$1:$1048576,MATCH(All!$A510,Winter!$A:$A,FALSE),MATCH(All!Q$1,Winter!$1:$1,FALSE))="","",INDEX(Winter!$1:$1048576,MATCH(All!$A510,Winter!$A:$A,FALSE),MATCH(All!Q$1,Winter!$1:$1,FALSE))),"")</f>
        <v>2A</v>
      </c>
      <c r="R510" t="str">
        <f>IFERROR(IF(INDEX(Winter!$1:$1048576,MATCH(All!$A510,Winter!$A:$A,FALSE),MATCH(All!R$1,Winter!$1:$1,FALSE))="","",INDEX(Winter!$1:$1048576,MATCH(All!$A510,Winter!$A:$A,FALSE),MATCH(All!R$1,Winter!$1:$1,FALSE))),"")</f>
        <v>1A</v>
      </c>
      <c r="S510" t="str">
        <f>IFERROR(IF(INDEX(Winter!$1:$1048576,MATCH(All!$A510,Winter!$A:$A,FALSE),MATCH(All!S$1,Winter!$1:$1,FALSE))="","",INDEX(Winter!$1:$1048576,MATCH(All!$A510,Winter!$A:$A,FALSE),MATCH(All!S$1,Winter!$1:$1,FALSE))),"")</f>
        <v/>
      </c>
      <c r="T510" t="str">
        <f>IFERROR(IF(INDEX(Winter!$1:$1048576,MATCH(All!$A510,Winter!$A:$A,FALSE),MATCH(All!T$1,Winter!$1:$1,FALSE))="","",INDEX(Winter!$1:$1048576,MATCH(All!$A510,Winter!$A:$A,FALSE),MATCH(All!T$1,Winter!$1:$1,FALSE))),"")</f>
        <v>2A</v>
      </c>
      <c r="U510" t="str">
        <f>IFERROR(IF(INDEX(Winter!$1:$1048576,MATCH(All!$A510,Winter!$A:$A,FALSE),MATCH(All!U$1,Winter!$1:$1,FALSE))="","",INDEX(Winter!$1:$1048576,MATCH(All!$A510,Winter!$A:$A,FALSE),MATCH(All!U$1,Winter!$1:$1,FALSE))),"")</f>
        <v>1A</v>
      </c>
      <c r="W510">
        <f>IFERROR(IF(INDEX(Spring!$1:$1048576,MATCH(All!$A510,Spring!$A:$A,FALSE),MATCH(All!W$1,Spring!$1:$1,FALSE))="","",INDEX(Spring!$1:$1048576,MATCH(All!$A510,Spring!$A:$A,FALSE),MATCH(All!W$1,Spring!$1:$1,FALSE))),"")</f>
        <v>482</v>
      </c>
      <c r="X510" t="str">
        <f>IFERROR(IF(INDEX(Spring!$1:$1048576,MATCH(All!$A510,Spring!$A:$A,FALSE),MATCH(All!X$1,Spring!$1:$1,FALSE))="","",INDEX(Spring!$1:$1048576,MATCH(All!$A510,Spring!$A:$A,FALSE),MATCH(All!X$1,Spring!$1:$1,FALSE))),"")</f>
        <v>2A</v>
      </c>
      <c r="Y510" t="str">
        <f>IFERROR(IF(INDEX(Spring!$1:$1048576,MATCH(All!$A510,Spring!$A:$A,FALSE),MATCH(All!Y$1,Spring!$1:$1,FALSE))="","",INDEX(Spring!$1:$1048576,MATCH(All!$A510,Spring!$A:$A,FALSE),MATCH(All!Y$1,Spring!$1:$1,FALSE))),"")</f>
        <v>2A</v>
      </c>
      <c r="Z510" t="str">
        <f>IFERROR(IF(INDEX(Spring!$1:$1048576,MATCH(All!$A510,Spring!$A:$A,FALSE),MATCH(All!Z$1,Spring!$1:$1,FALSE))="","",INDEX(Spring!$1:$1048576,MATCH(All!$A510,Spring!$A:$A,FALSE),MATCH(All!Z$1,Spring!$1:$1,FALSE))),"")</f>
        <v>1A</v>
      </c>
      <c r="AA510" t="str">
        <f>IFERROR(IF(INDEX(Spring!$1:$1048576,MATCH(All!$A510,Spring!$A:$A,FALSE),MATCH(All!AA$1,Spring!$1:$1,FALSE))="","",INDEX(Spring!$1:$1048576,MATCH(All!$A510,Spring!$A:$A,FALSE),MATCH(All!AA$1,Spring!$1:$1,FALSE))),"")</f>
        <v/>
      </c>
      <c r="AB510" t="str">
        <f>IFERROR(IF(INDEX(Spring!$1:$1048576,MATCH(All!$A510,Spring!$A:$A,FALSE),MATCH(All!AB$1,Spring!$1:$1,FALSE))="","",INDEX(Spring!$1:$1048576,MATCH(All!$A510,Spring!$A:$A,FALSE),MATCH(All!AB$1,Spring!$1:$1,FALSE))),"")</f>
        <v>2A</v>
      </c>
      <c r="AC510" t="str">
        <f>IFERROR(IF(INDEX(Spring!$1:$1048576,MATCH(All!$A510,Spring!$A:$A,FALSE),MATCH(All!AC$1,Spring!$1:$1,FALSE))="","",INDEX(Spring!$1:$1048576,MATCH(All!$A510,Spring!$A:$A,FALSE),MATCH(All!AC$1,Spring!$1:$1,FALSE))),"")</f>
        <v>2A</v>
      </c>
      <c r="AD510" t="str">
        <f>IFERROR(VLOOKUP(A510,'Flag Football'!A:A,1,FALSE),"")</f>
        <v/>
      </c>
      <c r="AE510" t="str">
        <f t="shared" si="7"/>
        <v/>
      </c>
    </row>
    <row r="511" spans="1:31" ht="15.75" thickBot="1" x14ac:dyDescent="0.3">
      <c r="A511" s="20" t="s">
        <v>602</v>
      </c>
      <c r="B511" s="38">
        <f>IFERROR(VLOOKUP(A511,'Public v Private'!A:G,3,FALSE),"")</f>
        <v>0</v>
      </c>
      <c r="C511" s="38">
        <f>IFERROR(VLOOKUP(A511,'Public v Private'!A:G,4,FALSE),"")</f>
        <v>0</v>
      </c>
      <c r="D511" s="38">
        <f>IFERROR(VLOOKUP(A511,'Public v Private'!A:G,5,FALSE),"")</f>
        <v>0</v>
      </c>
      <c r="E511" s="38"/>
      <c r="F511" s="40">
        <f>IFERROR(INDEX(Fall!$1:$1048576,MATCH(All!$A511,Fall!$A:$A,FALSE),MATCH(All!F$1,Fall!$1:$1,FALSE)),"N/A")</f>
        <v>291</v>
      </c>
      <c r="G511" t="str">
        <f>IFERROR(IF(INDEX(Fall!$1:$1048576,MATCH(All!$A511,Fall!$A:$A,FALSE),MATCH(All!G$1,Fall!$1:$1,FALSE))="","",INDEX(Fall!$1:$1048576,MATCH(All!$A511,Fall!$A:$A,FALSE),MATCH(All!G$1,Fall!$1:$1,FALSE))),"")</f>
        <v>1A</v>
      </c>
      <c r="H511" t="str">
        <f>IFERROR(IF(INDEX(Fall!$1:$1048576,MATCH(All!$A511,Fall!$A:$A,FALSE),MATCH(All!H$1,Fall!$1:$1,FALSE))="","",INDEX(Fall!$1:$1048576,MATCH(All!$A511,Fall!$A:$A,FALSE),MATCH(All!H$1,Fall!$1:$1,FALSE))),"")</f>
        <v/>
      </c>
      <c r="I511" t="str">
        <f>IFERROR(IF(INDEX(Fall!$1:$1048576,MATCH(All!$A511,Fall!$A:$A,FALSE),MATCH(All!I$1,Fall!$1:$1,FALSE))="","",INDEX(Fall!$1:$1048576,MATCH(All!$A511,Fall!$A:$A,FALSE),MATCH(All!I$1,Fall!$1:$1,FALSE))),"")</f>
        <v>1A</v>
      </c>
      <c r="J511" t="str">
        <f>IFERROR(IF(INDEX(Fall!$1:$1048576,MATCH(All!$A511,Fall!$A:$A,FALSE),MATCH(All!J$1,Fall!$1:$1,FALSE))="","",INDEX(Fall!$1:$1048576,MATCH(All!$A511,Fall!$A:$A,FALSE),MATCH(All!J$1,Fall!$1:$1,FALSE))),"")</f>
        <v>1A</v>
      </c>
      <c r="K511" t="str">
        <f>IFERROR(IF(INDEX(Fall!$1:$1048576,MATCH(All!$A511,Fall!$A:$A,FALSE),MATCH(All!K$1,Fall!$1:$1,FALSE))="","",INDEX(Fall!$1:$1048576,MATCH(All!$A511,Fall!$A:$A,FALSE),MATCH(All!K$1,Fall!$1:$1,FALSE))),"")</f>
        <v/>
      </c>
      <c r="L511" t="str">
        <f>IFERROR(IF(INDEX(Fall!$1:$1048576,MATCH(All!$A511,Fall!$A:$A,FALSE),MATCH(All!L$1,Fall!$1:$1,FALSE))="","",INDEX(Fall!$1:$1048576,MATCH(All!$A511,Fall!$A:$A,FALSE),MATCH(All!L$1,Fall!$1:$1,FALSE))),"")</f>
        <v/>
      </c>
      <c r="M511" t="str">
        <f>IFERROR(IF(INDEX(Fall!$1:$1048576,MATCH(All!$A511,Fall!$A:$A,FALSE),MATCH(All!M$1,Fall!$1:$1,FALSE))="","",INDEX(Fall!$1:$1048576,MATCH(All!$A511,Fall!$A:$A,FALSE),MATCH(All!M$1,Fall!$1:$1,FALSE))),"")</f>
        <v>1A</v>
      </c>
      <c r="O511">
        <f>IFERROR(IF(INDEX(Winter!$1:$1048576,MATCH(All!$A511,Winter!$A:$A,FALSE),MATCH(All!O$1,Winter!$1:$1,FALSE))="","",INDEX(Winter!$1:$1048576,MATCH(All!$A511,Winter!$A:$A,FALSE),MATCH(All!O$1,Winter!$1:$1,FALSE))),"")</f>
        <v>291</v>
      </c>
      <c r="P511" t="str">
        <f>IFERROR(IF(INDEX(Winter!$1:$1048576,MATCH(All!$A511,Winter!$A:$A,FALSE),MATCH(All!P$1,Winter!$1:$1,FALSE))="","",INDEX(Winter!$1:$1048576,MATCH(All!$A511,Winter!$A:$A,FALSE),MATCH(All!P$1,Winter!$1:$1,FALSE))),"")</f>
        <v>1A</v>
      </c>
      <c r="Q511" t="str">
        <f>IFERROR(IF(INDEX(Winter!$1:$1048576,MATCH(All!$A511,Winter!$A:$A,FALSE),MATCH(All!Q$1,Winter!$1:$1,FALSE))="","",INDEX(Winter!$1:$1048576,MATCH(All!$A511,Winter!$A:$A,FALSE),MATCH(All!Q$1,Winter!$1:$1,FALSE))),"")</f>
        <v>1A</v>
      </c>
      <c r="R511" t="str">
        <f>IFERROR(IF(INDEX(Winter!$1:$1048576,MATCH(All!$A511,Winter!$A:$A,FALSE),MATCH(All!R$1,Winter!$1:$1,FALSE))="","",INDEX(Winter!$1:$1048576,MATCH(All!$A511,Winter!$A:$A,FALSE),MATCH(All!R$1,Winter!$1:$1,FALSE))),"")</f>
        <v/>
      </c>
      <c r="S511" t="str">
        <f>IFERROR(IF(INDEX(Winter!$1:$1048576,MATCH(All!$A511,Winter!$A:$A,FALSE),MATCH(All!S$1,Winter!$1:$1,FALSE))="","",INDEX(Winter!$1:$1048576,MATCH(All!$A511,Winter!$A:$A,FALSE),MATCH(All!S$1,Winter!$1:$1,FALSE))),"")</f>
        <v/>
      </c>
      <c r="T511" t="str">
        <f>IFERROR(IF(INDEX(Winter!$1:$1048576,MATCH(All!$A511,Winter!$A:$A,FALSE),MATCH(All!T$1,Winter!$1:$1,FALSE))="","",INDEX(Winter!$1:$1048576,MATCH(All!$A511,Winter!$A:$A,FALSE),MATCH(All!T$1,Winter!$1:$1,FALSE))),"")</f>
        <v>1A</v>
      </c>
      <c r="U511" t="str">
        <f>IFERROR(IF(INDEX(Winter!$1:$1048576,MATCH(All!$A511,Winter!$A:$A,FALSE),MATCH(All!U$1,Winter!$1:$1,FALSE))="","",INDEX(Winter!$1:$1048576,MATCH(All!$A511,Winter!$A:$A,FALSE),MATCH(All!U$1,Winter!$1:$1,FALSE))),"")</f>
        <v>1A</v>
      </c>
      <c r="W511">
        <f>IFERROR(IF(INDEX(Spring!$1:$1048576,MATCH(All!$A511,Spring!$A:$A,FALSE),MATCH(All!W$1,Spring!$1:$1,FALSE))="","",INDEX(Spring!$1:$1048576,MATCH(All!$A511,Spring!$A:$A,FALSE),MATCH(All!W$1,Spring!$1:$1,FALSE))),"")</f>
        <v>291</v>
      </c>
      <c r="X511" t="str">
        <f>IFERROR(IF(INDEX(Spring!$1:$1048576,MATCH(All!$A511,Spring!$A:$A,FALSE),MATCH(All!X$1,Spring!$1:$1,FALSE))="","",INDEX(Spring!$1:$1048576,MATCH(All!$A511,Spring!$A:$A,FALSE),MATCH(All!X$1,Spring!$1:$1,FALSE))),"")</f>
        <v>1A</v>
      </c>
      <c r="Y511" t="str">
        <f>IFERROR(IF(INDEX(Spring!$1:$1048576,MATCH(All!$A511,Spring!$A:$A,FALSE),MATCH(All!Y$1,Spring!$1:$1,FALSE))="","",INDEX(Spring!$1:$1048576,MATCH(All!$A511,Spring!$A:$A,FALSE),MATCH(All!Y$1,Spring!$1:$1,FALSE))),"")</f>
        <v>1A</v>
      </c>
      <c r="Z511" t="str">
        <f>IFERROR(IF(INDEX(Spring!$1:$1048576,MATCH(All!$A511,Spring!$A:$A,FALSE),MATCH(All!Z$1,Spring!$1:$1,FALSE))="","",INDEX(Spring!$1:$1048576,MATCH(All!$A511,Spring!$A:$A,FALSE),MATCH(All!Z$1,Spring!$1:$1,FALSE))),"")</f>
        <v/>
      </c>
      <c r="AA511" t="str">
        <f>IFERROR(IF(INDEX(Spring!$1:$1048576,MATCH(All!$A511,Spring!$A:$A,FALSE),MATCH(All!AA$1,Spring!$1:$1,FALSE))="","",INDEX(Spring!$1:$1048576,MATCH(All!$A511,Spring!$A:$A,FALSE),MATCH(All!AA$1,Spring!$1:$1,FALSE))),"")</f>
        <v/>
      </c>
      <c r="AB511" t="str">
        <f>IFERROR(IF(INDEX(Spring!$1:$1048576,MATCH(All!$A511,Spring!$A:$A,FALSE),MATCH(All!AB$1,Spring!$1:$1,FALSE))="","",INDEX(Spring!$1:$1048576,MATCH(All!$A511,Spring!$A:$A,FALSE),MATCH(All!AB$1,Spring!$1:$1,FALSE))),"")</f>
        <v>1A</v>
      </c>
      <c r="AC511" t="str">
        <f>IFERROR(IF(INDEX(Spring!$1:$1048576,MATCH(All!$A511,Spring!$A:$A,FALSE),MATCH(All!AC$1,Spring!$1:$1,FALSE))="","",INDEX(Spring!$1:$1048576,MATCH(All!$A511,Spring!$A:$A,FALSE),MATCH(All!AC$1,Spring!$1:$1,FALSE))),"")</f>
        <v>1A</v>
      </c>
      <c r="AD511" t="str">
        <f>IFERROR(VLOOKUP(A511,'Flag Football'!A:A,1,FALSE),"")</f>
        <v/>
      </c>
      <c r="AE511" t="str">
        <f t="shared" si="7"/>
        <v/>
      </c>
    </row>
    <row r="512" spans="1:31" ht="15.75" thickBot="1" x14ac:dyDescent="0.3">
      <c r="A512" s="18" t="s">
        <v>603</v>
      </c>
      <c r="B512" s="38">
        <f>IFERROR(VLOOKUP(A512,'Public v Private'!A:G,3,FALSE),"")</f>
        <v>0</v>
      </c>
      <c r="C512" s="38">
        <f>IFERROR(VLOOKUP(A512,'Public v Private'!A:G,4,FALSE),"")</f>
        <v>0</v>
      </c>
      <c r="D512" s="38">
        <f>IFERROR(VLOOKUP(A512,'Public v Private'!A:G,5,FALSE),"")</f>
        <v>0</v>
      </c>
      <c r="E512" s="38"/>
      <c r="F512" s="40">
        <f>IFERROR(INDEX(Fall!$1:$1048576,MATCH(All!$A512,Fall!$A:$A,FALSE),MATCH(All!F$1,Fall!$1:$1,FALSE)),"N/A")</f>
        <v>484</v>
      </c>
      <c r="G512" t="str">
        <f>IFERROR(IF(INDEX(Fall!$1:$1048576,MATCH(All!$A512,Fall!$A:$A,FALSE),MATCH(All!G$1,Fall!$1:$1,FALSE))="","",INDEX(Fall!$1:$1048576,MATCH(All!$A512,Fall!$A:$A,FALSE),MATCH(All!G$1,Fall!$1:$1,FALSE))),"")</f>
        <v>1A</v>
      </c>
      <c r="H512" t="str">
        <f>IFERROR(IF(INDEX(Fall!$1:$1048576,MATCH(All!$A512,Fall!$A:$A,FALSE),MATCH(All!H$1,Fall!$1:$1,FALSE))="","",INDEX(Fall!$1:$1048576,MATCH(All!$A512,Fall!$A:$A,FALSE),MATCH(All!H$1,Fall!$1:$1,FALSE))),"")</f>
        <v>1A</v>
      </c>
      <c r="I512" t="str">
        <f>IFERROR(IF(INDEX(Fall!$1:$1048576,MATCH(All!$A512,Fall!$A:$A,FALSE),MATCH(All!I$1,Fall!$1:$1,FALSE))="","",INDEX(Fall!$1:$1048576,MATCH(All!$A512,Fall!$A:$A,FALSE),MATCH(All!I$1,Fall!$1:$1,FALSE))),"")</f>
        <v>1A</v>
      </c>
      <c r="J512" t="str">
        <f>IFERROR(IF(INDEX(Fall!$1:$1048576,MATCH(All!$A512,Fall!$A:$A,FALSE),MATCH(All!J$1,Fall!$1:$1,FALSE))="","",INDEX(Fall!$1:$1048576,MATCH(All!$A512,Fall!$A:$A,FALSE),MATCH(All!J$1,Fall!$1:$1,FALSE))),"")</f>
        <v>1A</v>
      </c>
      <c r="K512" t="str">
        <f>IFERROR(IF(INDEX(Fall!$1:$1048576,MATCH(All!$A512,Fall!$A:$A,FALSE),MATCH(All!K$1,Fall!$1:$1,FALSE))="","",INDEX(Fall!$1:$1048576,MATCH(All!$A512,Fall!$A:$A,FALSE),MATCH(All!K$1,Fall!$1:$1,FALSE))),"")</f>
        <v>1A</v>
      </c>
      <c r="L512" t="str">
        <f>IFERROR(IF(INDEX(Fall!$1:$1048576,MATCH(All!$A512,Fall!$A:$A,FALSE),MATCH(All!L$1,Fall!$1:$1,FALSE))="","",INDEX(Fall!$1:$1048576,MATCH(All!$A512,Fall!$A:$A,FALSE),MATCH(All!L$1,Fall!$1:$1,FALSE))),"")</f>
        <v/>
      </c>
      <c r="M512" t="str">
        <f>IFERROR(IF(INDEX(Fall!$1:$1048576,MATCH(All!$A512,Fall!$A:$A,FALSE),MATCH(All!M$1,Fall!$1:$1,FALSE))="","",INDEX(Fall!$1:$1048576,MATCH(All!$A512,Fall!$A:$A,FALSE),MATCH(All!M$1,Fall!$1:$1,FALSE))),"")</f>
        <v>2A</v>
      </c>
      <c r="O512">
        <f>IFERROR(IF(INDEX(Winter!$1:$1048576,MATCH(All!$A512,Winter!$A:$A,FALSE),MATCH(All!O$1,Winter!$1:$1,FALSE))="","",INDEX(Winter!$1:$1048576,MATCH(All!$A512,Winter!$A:$A,FALSE),MATCH(All!O$1,Winter!$1:$1,FALSE))),"")</f>
        <v>484</v>
      </c>
      <c r="P512" t="str">
        <f>IFERROR(IF(INDEX(Winter!$1:$1048576,MATCH(All!$A512,Winter!$A:$A,FALSE),MATCH(All!P$1,Winter!$1:$1,FALSE))="","",INDEX(Winter!$1:$1048576,MATCH(All!$A512,Winter!$A:$A,FALSE),MATCH(All!P$1,Winter!$1:$1,FALSE))),"")</f>
        <v>2A</v>
      </c>
      <c r="Q512" t="str">
        <f>IFERROR(IF(INDEX(Winter!$1:$1048576,MATCH(All!$A512,Winter!$A:$A,FALSE),MATCH(All!Q$1,Winter!$1:$1,FALSE))="","",INDEX(Winter!$1:$1048576,MATCH(All!$A512,Winter!$A:$A,FALSE),MATCH(All!Q$1,Winter!$1:$1,FALSE))),"")</f>
        <v>2A</v>
      </c>
      <c r="R512" t="str">
        <f>IFERROR(IF(INDEX(Winter!$1:$1048576,MATCH(All!$A512,Winter!$A:$A,FALSE),MATCH(All!R$1,Winter!$1:$1,FALSE))="","",INDEX(Winter!$1:$1048576,MATCH(All!$A512,Winter!$A:$A,FALSE),MATCH(All!R$1,Winter!$1:$1,FALSE))),"")</f>
        <v/>
      </c>
      <c r="S512" t="str">
        <f>IFERROR(IF(INDEX(Winter!$1:$1048576,MATCH(All!$A512,Winter!$A:$A,FALSE),MATCH(All!S$1,Winter!$1:$1,FALSE))="","",INDEX(Winter!$1:$1048576,MATCH(All!$A512,Winter!$A:$A,FALSE),MATCH(All!S$1,Winter!$1:$1,FALSE))),"")</f>
        <v/>
      </c>
      <c r="T512" t="str">
        <f>IFERROR(IF(INDEX(Winter!$1:$1048576,MATCH(All!$A512,Winter!$A:$A,FALSE),MATCH(All!T$1,Winter!$1:$1,FALSE))="","",INDEX(Winter!$1:$1048576,MATCH(All!$A512,Winter!$A:$A,FALSE),MATCH(All!T$1,Winter!$1:$1,FALSE))),"")</f>
        <v>2A</v>
      </c>
      <c r="U512" t="str">
        <f>IFERROR(IF(INDEX(Winter!$1:$1048576,MATCH(All!$A512,Winter!$A:$A,FALSE),MATCH(All!U$1,Winter!$1:$1,FALSE))="","",INDEX(Winter!$1:$1048576,MATCH(All!$A512,Winter!$A:$A,FALSE),MATCH(All!U$1,Winter!$1:$1,FALSE))),"")</f>
        <v>1A</v>
      </c>
      <c r="W512">
        <f>IFERROR(IF(INDEX(Spring!$1:$1048576,MATCH(All!$A512,Spring!$A:$A,FALSE),MATCH(All!W$1,Spring!$1:$1,FALSE))="","",INDEX(Spring!$1:$1048576,MATCH(All!$A512,Spring!$A:$A,FALSE),MATCH(All!W$1,Spring!$1:$1,FALSE))),"")</f>
        <v>484</v>
      </c>
      <c r="X512" t="str">
        <f>IFERROR(IF(INDEX(Spring!$1:$1048576,MATCH(All!$A512,Spring!$A:$A,FALSE),MATCH(All!X$1,Spring!$1:$1,FALSE))="","",INDEX(Spring!$1:$1048576,MATCH(All!$A512,Spring!$A:$A,FALSE),MATCH(All!X$1,Spring!$1:$1,FALSE))),"")</f>
        <v>2A</v>
      </c>
      <c r="Y512" t="str">
        <f>IFERROR(IF(INDEX(Spring!$1:$1048576,MATCH(All!$A512,Spring!$A:$A,FALSE),MATCH(All!Y$1,Spring!$1:$1,FALSE))="","",INDEX(Spring!$1:$1048576,MATCH(All!$A512,Spring!$A:$A,FALSE),MATCH(All!Y$1,Spring!$1:$1,FALSE))),"")</f>
        <v>2A</v>
      </c>
      <c r="Z512" t="str">
        <f>IFERROR(IF(INDEX(Spring!$1:$1048576,MATCH(All!$A512,Spring!$A:$A,FALSE),MATCH(All!Z$1,Spring!$1:$1,FALSE))="","",INDEX(Spring!$1:$1048576,MATCH(All!$A512,Spring!$A:$A,FALSE),MATCH(All!Z$1,Spring!$1:$1,FALSE))),"")</f>
        <v>1A</v>
      </c>
      <c r="AA512" t="str">
        <f>IFERROR(IF(INDEX(Spring!$1:$1048576,MATCH(All!$A512,Spring!$A:$A,FALSE),MATCH(All!AA$1,Spring!$1:$1,FALSE))="","",INDEX(Spring!$1:$1048576,MATCH(All!$A512,Spring!$A:$A,FALSE),MATCH(All!AA$1,Spring!$1:$1,FALSE))),"")</f>
        <v/>
      </c>
      <c r="AB512" t="str">
        <f>IFERROR(IF(INDEX(Spring!$1:$1048576,MATCH(All!$A512,Spring!$A:$A,FALSE),MATCH(All!AB$1,Spring!$1:$1,FALSE))="","",INDEX(Spring!$1:$1048576,MATCH(All!$A512,Spring!$A:$A,FALSE),MATCH(All!AB$1,Spring!$1:$1,FALSE))),"")</f>
        <v>2A</v>
      </c>
      <c r="AC512" t="str">
        <f>IFERROR(IF(INDEX(Spring!$1:$1048576,MATCH(All!$A512,Spring!$A:$A,FALSE),MATCH(All!AC$1,Spring!$1:$1,FALSE))="","",INDEX(Spring!$1:$1048576,MATCH(All!$A512,Spring!$A:$A,FALSE),MATCH(All!AC$1,Spring!$1:$1,FALSE))),"")</f>
        <v>2A</v>
      </c>
      <c r="AD512" t="str">
        <f>IFERROR(VLOOKUP(A512,'Flag Football'!A:A,1,FALSE),"")</f>
        <v/>
      </c>
      <c r="AE512" t="str">
        <f t="shared" si="7"/>
        <v/>
      </c>
    </row>
    <row r="513" spans="1:31" ht="15.75" thickBot="1" x14ac:dyDescent="0.3">
      <c r="A513" s="20" t="s">
        <v>604</v>
      </c>
      <c r="B513" s="38" t="str">
        <f>IFERROR(VLOOKUP(A513,'Public v Private'!A:G,3,FALSE),"")</f>
        <v>private</v>
      </c>
      <c r="C513" s="38">
        <f>IFERROR(VLOOKUP(A513,'Public v Private'!A:G,4,FALSE),"")</f>
        <v>2</v>
      </c>
      <c r="D513" s="38">
        <f>IFERROR(VLOOKUP(A513,'Public v Private'!A:G,5,FALSE),"")</f>
        <v>5</v>
      </c>
      <c r="E513" s="38"/>
      <c r="F513" s="40" t="str">
        <f>IFERROR(INDEX(Fall!$1:$1048576,MATCH(All!$A513,Fall!$A:$A,FALSE),MATCH(All!F$1,Fall!$1:$1,FALSE)),"N/A")</f>
        <v>37.00 (61.05)</v>
      </c>
      <c r="G513" t="str">
        <f>IFERROR(IF(INDEX(Fall!$1:$1048576,MATCH(All!$A513,Fall!$A:$A,FALSE),MATCH(All!G$1,Fall!$1:$1,FALSE))="","",INDEX(Fall!$1:$1048576,MATCH(All!$A513,Fall!$A:$A,FALSE),MATCH(All!G$1,Fall!$1:$1,FALSE))),"")</f>
        <v/>
      </c>
      <c r="H513" t="str">
        <f>IFERROR(IF(INDEX(Fall!$1:$1048576,MATCH(All!$A513,Fall!$A:$A,FALSE),MATCH(All!H$1,Fall!$1:$1,FALSE))="","",INDEX(Fall!$1:$1048576,MATCH(All!$A513,Fall!$A:$A,FALSE),MATCH(All!H$1,Fall!$1:$1,FALSE))),"")</f>
        <v/>
      </c>
      <c r="I513" t="str">
        <f>IFERROR(IF(INDEX(Fall!$1:$1048576,MATCH(All!$A513,Fall!$A:$A,FALSE),MATCH(All!I$1,Fall!$1:$1,FALSE))="","",INDEX(Fall!$1:$1048576,MATCH(All!$A513,Fall!$A:$A,FALSE),MATCH(All!I$1,Fall!$1:$1,FALSE))),"")</f>
        <v/>
      </c>
      <c r="J513" t="str">
        <f>IFERROR(IF(INDEX(Fall!$1:$1048576,MATCH(All!$A513,Fall!$A:$A,FALSE),MATCH(All!J$1,Fall!$1:$1,FALSE))="","",INDEX(Fall!$1:$1048576,MATCH(All!$A513,Fall!$A:$A,FALSE),MATCH(All!J$1,Fall!$1:$1,FALSE))),"")</f>
        <v/>
      </c>
      <c r="K513" t="str">
        <f>IFERROR(IF(INDEX(Fall!$1:$1048576,MATCH(All!$A513,Fall!$A:$A,FALSE),MATCH(All!K$1,Fall!$1:$1,FALSE))="","",INDEX(Fall!$1:$1048576,MATCH(All!$A513,Fall!$A:$A,FALSE),MATCH(All!K$1,Fall!$1:$1,FALSE))),"")</f>
        <v>1A</v>
      </c>
      <c r="L513" t="str">
        <f>IFERROR(IF(INDEX(Fall!$1:$1048576,MATCH(All!$A513,Fall!$A:$A,FALSE),MATCH(All!L$1,Fall!$1:$1,FALSE))="","",INDEX(Fall!$1:$1048576,MATCH(All!$A513,Fall!$A:$A,FALSE),MATCH(All!L$1,Fall!$1:$1,FALSE))),"")</f>
        <v/>
      </c>
      <c r="M513" t="str">
        <f>IFERROR(IF(INDEX(Fall!$1:$1048576,MATCH(All!$A513,Fall!$A:$A,FALSE),MATCH(All!M$1,Fall!$1:$1,FALSE))="","",INDEX(Fall!$1:$1048576,MATCH(All!$A513,Fall!$A:$A,FALSE),MATCH(All!M$1,Fall!$1:$1,FALSE))),"")</f>
        <v>1A</v>
      </c>
      <c r="O513" t="str">
        <f>IFERROR(IF(INDEX(Winter!$1:$1048576,MATCH(All!$A513,Winter!$A:$A,FALSE),MATCH(All!O$1,Winter!$1:$1,FALSE))="","",INDEX(Winter!$1:$1048576,MATCH(All!$A513,Winter!$A:$A,FALSE),MATCH(All!O$1,Winter!$1:$1,FALSE))),"")</f>
        <v>37.00 (61.05)</v>
      </c>
      <c r="P513" t="str">
        <f>IFERROR(IF(INDEX(Winter!$1:$1048576,MATCH(All!$A513,Winter!$A:$A,FALSE),MATCH(All!P$1,Winter!$1:$1,FALSE))="","",INDEX(Winter!$1:$1048576,MATCH(All!$A513,Winter!$A:$A,FALSE),MATCH(All!P$1,Winter!$1:$1,FALSE))),"")</f>
        <v>1A</v>
      </c>
      <c r="Q513" t="str">
        <f>IFERROR(IF(INDEX(Winter!$1:$1048576,MATCH(All!$A513,Winter!$A:$A,FALSE),MATCH(All!Q$1,Winter!$1:$1,FALSE))="","",INDEX(Winter!$1:$1048576,MATCH(All!$A513,Winter!$A:$A,FALSE),MATCH(All!Q$1,Winter!$1:$1,FALSE))),"")</f>
        <v>1A</v>
      </c>
      <c r="R513" t="str">
        <f>IFERROR(IF(INDEX(Winter!$1:$1048576,MATCH(All!$A513,Winter!$A:$A,FALSE),MATCH(All!R$1,Winter!$1:$1,FALSE))="","",INDEX(Winter!$1:$1048576,MATCH(All!$A513,Winter!$A:$A,FALSE),MATCH(All!R$1,Winter!$1:$1,FALSE))),"")</f>
        <v/>
      </c>
      <c r="S513" t="str">
        <f>IFERROR(IF(INDEX(Winter!$1:$1048576,MATCH(All!$A513,Winter!$A:$A,FALSE),MATCH(All!S$1,Winter!$1:$1,FALSE))="","",INDEX(Winter!$1:$1048576,MATCH(All!$A513,Winter!$A:$A,FALSE),MATCH(All!S$1,Winter!$1:$1,FALSE))),"")</f>
        <v/>
      </c>
      <c r="T513" t="str">
        <f>IFERROR(IF(INDEX(Winter!$1:$1048576,MATCH(All!$A513,Winter!$A:$A,FALSE),MATCH(All!T$1,Winter!$1:$1,FALSE))="","",INDEX(Winter!$1:$1048576,MATCH(All!$A513,Winter!$A:$A,FALSE),MATCH(All!T$1,Winter!$1:$1,FALSE))),"")</f>
        <v/>
      </c>
      <c r="U513" t="str">
        <f>IFERROR(IF(INDEX(Winter!$1:$1048576,MATCH(All!$A513,Winter!$A:$A,FALSE),MATCH(All!U$1,Winter!$1:$1,FALSE))="","",INDEX(Winter!$1:$1048576,MATCH(All!$A513,Winter!$A:$A,FALSE),MATCH(All!U$1,Winter!$1:$1,FALSE))),"")</f>
        <v/>
      </c>
      <c r="W513" t="str">
        <f>IFERROR(IF(INDEX(Spring!$1:$1048576,MATCH(All!$A513,Spring!$A:$A,FALSE),MATCH(All!W$1,Spring!$1:$1,FALSE))="","",INDEX(Spring!$1:$1048576,MATCH(All!$A513,Spring!$A:$A,FALSE),MATCH(All!W$1,Spring!$1:$1,FALSE))),"")</f>
        <v>37.00 (61.05)</v>
      </c>
      <c r="X513" t="str">
        <f>IFERROR(IF(INDEX(Spring!$1:$1048576,MATCH(All!$A513,Spring!$A:$A,FALSE),MATCH(All!X$1,Spring!$1:$1,FALSE))="","",INDEX(Spring!$1:$1048576,MATCH(All!$A513,Spring!$A:$A,FALSE),MATCH(All!X$1,Spring!$1:$1,FALSE))),"")</f>
        <v/>
      </c>
      <c r="Y513" t="str">
        <f>IFERROR(IF(INDEX(Spring!$1:$1048576,MATCH(All!$A513,Spring!$A:$A,FALSE),MATCH(All!Y$1,Spring!$1:$1,FALSE))="","",INDEX(Spring!$1:$1048576,MATCH(All!$A513,Spring!$A:$A,FALSE),MATCH(All!Y$1,Spring!$1:$1,FALSE))),"")</f>
        <v/>
      </c>
      <c r="Z513" t="str">
        <f>IFERROR(IF(INDEX(Spring!$1:$1048576,MATCH(All!$A513,Spring!$A:$A,FALSE),MATCH(All!Z$1,Spring!$1:$1,FALSE))="","",INDEX(Spring!$1:$1048576,MATCH(All!$A513,Spring!$A:$A,FALSE),MATCH(All!Z$1,Spring!$1:$1,FALSE))),"")</f>
        <v/>
      </c>
      <c r="AA513" t="str">
        <f>IFERROR(IF(INDEX(Spring!$1:$1048576,MATCH(All!$A513,Spring!$A:$A,FALSE),MATCH(All!AA$1,Spring!$1:$1,FALSE))="","",INDEX(Spring!$1:$1048576,MATCH(All!$A513,Spring!$A:$A,FALSE),MATCH(All!AA$1,Spring!$1:$1,FALSE))),"")</f>
        <v/>
      </c>
      <c r="AB513" t="str">
        <f>IFERROR(IF(INDEX(Spring!$1:$1048576,MATCH(All!$A513,Spring!$A:$A,FALSE),MATCH(All!AB$1,Spring!$1:$1,FALSE))="","",INDEX(Spring!$1:$1048576,MATCH(All!$A513,Spring!$A:$A,FALSE),MATCH(All!AB$1,Spring!$1:$1,FALSE))),"")</f>
        <v>1A</v>
      </c>
      <c r="AC513" t="str">
        <f>IFERROR(IF(INDEX(Spring!$1:$1048576,MATCH(All!$A513,Spring!$A:$A,FALSE),MATCH(All!AC$1,Spring!$1:$1,FALSE))="","",INDEX(Spring!$1:$1048576,MATCH(All!$A513,Spring!$A:$A,FALSE),MATCH(All!AC$1,Spring!$1:$1,FALSE))),"")</f>
        <v>1A</v>
      </c>
      <c r="AD513" t="str">
        <f>IFERROR(VLOOKUP(A513,'Flag Football'!A:A,1,FALSE),"")</f>
        <v/>
      </c>
      <c r="AE513" t="str">
        <f t="shared" si="7"/>
        <v/>
      </c>
    </row>
    <row r="514" spans="1:31" ht="15.75" thickBot="1" x14ac:dyDescent="0.3">
      <c r="A514" s="18" t="s">
        <v>606</v>
      </c>
      <c r="B514" s="38">
        <f>IFERROR(VLOOKUP(A514,'Public v Private'!A:G,3,FALSE),"")</f>
        <v>0</v>
      </c>
      <c r="C514" s="38">
        <f>IFERROR(VLOOKUP(A514,'Public v Private'!A:G,4,FALSE),"")</f>
        <v>0</v>
      </c>
      <c r="D514" s="38">
        <f>IFERROR(VLOOKUP(A514,'Public v Private'!A:G,5,FALSE),"")</f>
        <v>0</v>
      </c>
      <c r="E514" s="38"/>
      <c r="F514" s="40">
        <f>IFERROR(INDEX(Fall!$1:$1048576,MATCH(All!$A514,Fall!$A:$A,FALSE),MATCH(All!F$1,Fall!$1:$1,FALSE)),"N/A")</f>
        <v>853</v>
      </c>
      <c r="G514" t="str">
        <f>IFERROR(IF(INDEX(Fall!$1:$1048576,MATCH(All!$A514,Fall!$A:$A,FALSE),MATCH(All!G$1,Fall!$1:$1,FALSE))="","",INDEX(Fall!$1:$1048576,MATCH(All!$A514,Fall!$A:$A,FALSE),MATCH(All!G$1,Fall!$1:$1,FALSE))),"")</f>
        <v>2A</v>
      </c>
      <c r="H514" t="str">
        <f>IFERROR(IF(INDEX(Fall!$1:$1048576,MATCH(All!$A514,Fall!$A:$A,FALSE),MATCH(All!H$1,Fall!$1:$1,FALSE))="","",INDEX(Fall!$1:$1048576,MATCH(All!$A514,Fall!$A:$A,FALSE),MATCH(All!H$1,Fall!$1:$1,FALSE))),"")</f>
        <v>2A</v>
      </c>
      <c r="I514" t="str">
        <f>IFERROR(IF(INDEX(Fall!$1:$1048576,MATCH(All!$A514,Fall!$A:$A,FALSE),MATCH(All!I$1,Fall!$1:$1,FALSE))="","",INDEX(Fall!$1:$1048576,MATCH(All!$A514,Fall!$A:$A,FALSE),MATCH(All!I$1,Fall!$1:$1,FALSE))),"")</f>
        <v>2A</v>
      </c>
      <c r="J514" t="str">
        <f>IFERROR(IF(INDEX(Fall!$1:$1048576,MATCH(All!$A514,Fall!$A:$A,FALSE),MATCH(All!J$1,Fall!$1:$1,FALSE))="","",INDEX(Fall!$1:$1048576,MATCH(All!$A514,Fall!$A:$A,FALSE),MATCH(All!J$1,Fall!$1:$1,FALSE))),"")</f>
        <v/>
      </c>
      <c r="K514" t="str">
        <f>IFERROR(IF(INDEX(Fall!$1:$1048576,MATCH(All!$A514,Fall!$A:$A,FALSE),MATCH(All!K$1,Fall!$1:$1,FALSE))="","",INDEX(Fall!$1:$1048576,MATCH(All!$A514,Fall!$A:$A,FALSE),MATCH(All!K$1,Fall!$1:$1,FALSE))),"")</f>
        <v>2A</v>
      </c>
      <c r="L514" t="str">
        <f>IFERROR(IF(INDEX(Fall!$1:$1048576,MATCH(All!$A514,Fall!$A:$A,FALSE),MATCH(All!L$1,Fall!$1:$1,FALSE))="","",INDEX(Fall!$1:$1048576,MATCH(All!$A514,Fall!$A:$A,FALSE),MATCH(All!L$1,Fall!$1:$1,FALSE))),"")</f>
        <v>1A</v>
      </c>
      <c r="M514" t="str">
        <f>IFERROR(IF(INDEX(Fall!$1:$1048576,MATCH(All!$A514,Fall!$A:$A,FALSE),MATCH(All!M$1,Fall!$1:$1,FALSE))="","",INDEX(Fall!$1:$1048576,MATCH(All!$A514,Fall!$A:$A,FALSE),MATCH(All!M$1,Fall!$1:$1,FALSE))),"")</f>
        <v>3A</v>
      </c>
      <c r="O514">
        <f>IFERROR(IF(INDEX(Winter!$1:$1048576,MATCH(All!$A514,Winter!$A:$A,FALSE),MATCH(All!O$1,Winter!$1:$1,FALSE))="","",INDEX(Winter!$1:$1048576,MATCH(All!$A514,Winter!$A:$A,FALSE),MATCH(All!O$1,Winter!$1:$1,FALSE))),"")</f>
        <v>853</v>
      </c>
      <c r="P514" t="str">
        <f>IFERROR(IF(INDEX(Winter!$1:$1048576,MATCH(All!$A514,Winter!$A:$A,FALSE),MATCH(All!P$1,Winter!$1:$1,FALSE))="","",INDEX(Winter!$1:$1048576,MATCH(All!$A514,Winter!$A:$A,FALSE),MATCH(All!P$1,Winter!$1:$1,FALSE))),"")</f>
        <v>3A</v>
      </c>
      <c r="Q514" t="str">
        <f>IFERROR(IF(INDEX(Winter!$1:$1048576,MATCH(All!$A514,Winter!$A:$A,FALSE),MATCH(All!Q$1,Winter!$1:$1,FALSE))="","",INDEX(Winter!$1:$1048576,MATCH(All!$A514,Winter!$A:$A,FALSE),MATCH(All!Q$1,Winter!$1:$1,FALSE))),"")</f>
        <v>3A</v>
      </c>
      <c r="R514" t="str">
        <f>IFERROR(IF(INDEX(Winter!$1:$1048576,MATCH(All!$A514,Winter!$A:$A,FALSE),MATCH(All!R$1,Winter!$1:$1,FALSE))="","",INDEX(Winter!$1:$1048576,MATCH(All!$A514,Winter!$A:$A,FALSE),MATCH(All!R$1,Winter!$1:$1,FALSE))),"")</f>
        <v>2A</v>
      </c>
      <c r="S514" t="str">
        <f>IFERROR(IF(INDEX(Winter!$1:$1048576,MATCH(All!$A514,Winter!$A:$A,FALSE),MATCH(All!S$1,Winter!$1:$1,FALSE))="","",INDEX(Winter!$1:$1048576,MATCH(All!$A514,Winter!$A:$A,FALSE),MATCH(All!S$1,Winter!$1:$1,FALSE))),"")</f>
        <v>1A</v>
      </c>
      <c r="T514" t="str">
        <f>IFERROR(IF(INDEX(Winter!$1:$1048576,MATCH(All!$A514,Winter!$A:$A,FALSE),MATCH(All!T$1,Winter!$1:$1,FALSE))="","",INDEX(Winter!$1:$1048576,MATCH(All!$A514,Winter!$A:$A,FALSE),MATCH(All!T$1,Winter!$1:$1,FALSE))),"")</f>
        <v>2A</v>
      </c>
      <c r="U514" t="str">
        <f>IFERROR(IF(INDEX(Winter!$1:$1048576,MATCH(All!$A514,Winter!$A:$A,FALSE),MATCH(All!U$1,Winter!$1:$1,FALSE))="","",INDEX(Winter!$1:$1048576,MATCH(All!$A514,Winter!$A:$A,FALSE),MATCH(All!U$1,Winter!$1:$1,FALSE))),"")</f>
        <v>2A</v>
      </c>
      <c r="W514">
        <f>IFERROR(IF(INDEX(Spring!$1:$1048576,MATCH(All!$A514,Spring!$A:$A,FALSE),MATCH(All!W$1,Spring!$1:$1,FALSE))="","",INDEX(Spring!$1:$1048576,MATCH(All!$A514,Spring!$A:$A,FALSE),MATCH(All!W$1,Spring!$1:$1,FALSE))),"")</f>
        <v>853</v>
      </c>
      <c r="X514" t="str">
        <f>IFERROR(IF(INDEX(Spring!$1:$1048576,MATCH(All!$A514,Spring!$A:$A,FALSE),MATCH(All!X$1,Spring!$1:$1,FALSE))="","",INDEX(Spring!$1:$1048576,MATCH(All!$A514,Spring!$A:$A,FALSE),MATCH(All!X$1,Spring!$1:$1,FALSE))),"")</f>
        <v>3A</v>
      </c>
      <c r="Y514" t="str">
        <f>IFERROR(IF(INDEX(Spring!$1:$1048576,MATCH(All!$A514,Spring!$A:$A,FALSE),MATCH(All!Y$1,Spring!$1:$1,FALSE))="","",INDEX(Spring!$1:$1048576,MATCH(All!$A514,Spring!$A:$A,FALSE),MATCH(All!Y$1,Spring!$1:$1,FALSE))),"")</f>
        <v>3A</v>
      </c>
      <c r="Z514" t="str">
        <f>IFERROR(IF(INDEX(Spring!$1:$1048576,MATCH(All!$A514,Spring!$A:$A,FALSE),MATCH(All!Z$1,Spring!$1:$1,FALSE))="","",INDEX(Spring!$1:$1048576,MATCH(All!$A514,Spring!$A:$A,FALSE),MATCH(All!Z$1,Spring!$1:$1,FALSE))),"")</f>
        <v>2A</v>
      </c>
      <c r="AA514" t="str">
        <f>IFERROR(IF(INDEX(Spring!$1:$1048576,MATCH(All!$A514,Spring!$A:$A,FALSE),MATCH(All!AA$1,Spring!$1:$1,FALSE))="","",INDEX(Spring!$1:$1048576,MATCH(All!$A514,Spring!$A:$A,FALSE),MATCH(All!AA$1,Spring!$1:$1,FALSE))),"")</f>
        <v>1A</v>
      </c>
      <c r="AB514" t="str">
        <f>IFERROR(IF(INDEX(Spring!$1:$1048576,MATCH(All!$A514,Spring!$A:$A,FALSE),MATCH(All!AB$1,Spring!$1:$1,FALSE))="","",INDEX(Spring!$1:$1048576,MATCH(All!$A514,Spring!$A:$A,FALSE),MATCH(All!AB$1,Spring!$1:$1,FALSE))),"")</f>
        <v>2A</v>
      </c>
      <c r="AC514" t="str">
        <f>IFERROR(IF(INDEX(Spring!$1:$1048576,MATCH(All!$A514,Spring!$A:$A,FALSE),MATCH(All!AC$1,Spring!$1:$1,FALSE))="","",INDEX(Spring!$1:$1048576,MATCH(All!$A514,Spring!$A:$A,FALSE),MATCH(All!AC$1,Spring!$1:$1,FALSE))),"")</f>
        <v>2A</v>
      </c>
      <c r="AD514" t="str">
        <f>IFERROR(VLOOKUP(A514,'Flag Football'!A:A,1,FALSE),"")</f>
        <v/>
      </c>
      <c r="AE514" t="str">
        <f t="shared" si="7"/>
        <v/>
      </c>
    </row>
    <row r="515" spans="1:31" ht="15.75" thickBot="1" x14ac:dyDescent="0.3">
      <c r="A515" s="20" t="s">
        <v>607</v>
      </c>
      <c r="B515" s="38">
        <f>IFERROR(VLOOKUP(A515,'Public v Private'!A:G,3,FALSE),"")</f>
        <v>0</v>
      </c>
      <c r="C515" s="38">
        <f>IFERROR(VLOOKUP(A515,'Public v Private'!A:G,4,FALSE),"")</f>
        <v>0</v>
      </c>
      <c r="D515" s="38">
        <f>IFERROR(VLOOKUP(A515,'Public v Private'!A:G,5,FALSE),"")</f>
        <v>0</v>
      </c>
      <c r="E515" s="38"/>
      <c r="F515" s="40">
        <f>IFERROR(INDEX(Fall!$1:$1048576,MATCH(All!$A515,Fall!$A:$A,FALSE),MATCH(All!F$1,Fall!$1:$1,FALSE)),"N/A")</f>
        <v>276</v>
      </c>
      <c r="G515" t="str">
        <f>IFERROR(IF(INDEX(Fall!$1:$1048576,MATCH(All!$A515,Fall!$A:$A,FALSE),MATCH(All!G$1,Fall!$1:$1,FALSE))="","",INDEX(Fall!$1:$1048576,MATCH(All!$A515,Fall!$A:$A,FALSE),MATCH(All!G$1,Fall!$1:$1,FALSE))),"")</f>
        <v/>
      </c>
      <c r="H515" t="str">
        <f>IFERROR(IF(INDEX(Fall!$1:$1048576,MATCH(All!$A515,Fall!$A:$A,FALSE),MATCH(All!H$1,Fall!$1:$1,FALSE))="","",INDEX(Fall!$1:$1048576,MATCH(All!$A515,Fall!$A:$A,FALSE),MATCH(All!H$1,Fall!$1:$1,FALSE))),"")</f>
        <v/>
      </c>
      <c r="I515" t="str">
        <f>IFERROR(IF(INDEX(Fall!$1:$1048576,MATCH(All!$A515,Fall!$A:$A,FALSE),MATCH(All!I$1,Fall!$1:$1,FALSE))="","",INDEX(Fall!$1:$1048576,MATCH(All!$A515,Fall!$A:$A,FALSE),MATCH(All!I$1,Fall!$1:$1,FALSE))),"")</f>
        <v/>
      </c>
      <c r="J515" t="str">
        <f>IFERROR(IF(INDEX(Fall!$1:$1048576,MATCH(All!$A515,Fall!$A:$A,FALSE),MATCH(All!J$1,Fall!$1:$1,FALSE))="","",INDEX(Fall!$1:$1048576,MATCH(All!$A515,Fall!$A:$A,FALSE),MATCH(All!J$1,Fall!$1:$1,FALSE))),"")</f>
        <v/>
      </c>
      <c r="K515" t="str">
        <f>IFERROR(IF(INDEX(Fall!$1:$1048576,MATCH(All!$A515,Fall!$A:$A,FALSE),MATCH(All!K$1,Fall!$1:$1,FALSE))="","",INDEX(Fall!$1:$1048576,MATCH(All!$A515,Fall!$A:$A,FALSE),MATCH(All!K$1,Fall!$1:$1,FALSE))),"")</f>
        <v/>
      </c>
      <c r="L515" t="str">
        <f>IFERROR(IF(INDEX(Fall!$1:$1048576,MATCH(All!$A515,Fall!$A:$A,FALSE),MATCH(All!L$1,Fall!$1:$1,FALSE))="","",INDEX(Fall!$1:$1048576,MATCH(All!$A515,Fall!$A:$A,FALSE),MATCH(All!L$1,Fall!$1:$1,FALSE))),"")</f>
        <v/>
      </c>
      <c r="M515" t="str">
        <f>IFERROR(IF(INDEX(Fall!$1:$1048576,MATCH(All!$A515,Fall!$A:$A,FALSE),MATCH(All!M$1,Fall!$1:$1,FALSE))="","",INDEX(Fall!$1:$1048576,MATCH(All!$A515,Fall!$A:$A,FALSE),MATCH(All!M$1,Fall!$1:$1,FALSE))),"")</f>
        <v>1A</v>
      </c>
      <c r="O515">
        <f>IFERROR(IF(INDEX(Winter!$1:$1048576,MATCH(All!$A515,Winter!$A:$A,FALSE),MATCH(All!O$1,Winter!$1:$1,FALSE))="","",INDEX(Winter!$1:$1048576,MATCH(All!$A515,Winter!$A:$A,FALSE),MATCH(All!O$1,Winter!$1:$1,FALSE))),"")</f>
        <v>276</v>
      </c>
      <c r="P515" t="str">
        <f>IFERROR(IF(INDEX(Winter!$1:$1048576,MATCH(All!$A515,Winter!$A:$A,FALSE),MATCH(All!P$1,Winter!$1:$1,FALSE))="","",INDEX(Winter!$1:$1048576,MATCH(All!$A515,Winter!$A:$A,FALSE),MATCH(All!P$1,Winter!$1:$1,FALSE))),"")</f>
        <v>1A</v>
      </c>
      <c r="Q515" t="str">
        <f>IFERROR(IF(INDEX(Winter!$1:$1048576,MATCH(All!$A515,Winter!$A:$A,FALSE),MATCH(All!Q$1,Winter!$1:$1,FALSE))="","",INDEX(Winter!$1:$1048576,MATCH(All!$A515,Winter!$A:$A,FALSE),MATCH(All!Q$1,Winter!$1:$1,FALSE))),"")</f>
        <v>1A</v>
      </c>
      <c r="R515" t="str">
        <f>IFERROR(IF(INDEX(Winter!$1:$1048576,MATCH(All!$A515,Winter!$A:$A,FALSE),MATCH(All!R$1,Winter!$1:$1,FALSE))="","",INDEX(Winter!$1:$1048576,MATCH(All!$A515,Winter!$A:$A,FALSE),MATCH(All!R$1,Winter!$1:$1,FALSE))),"")</f>
        <v/>
      </c>
      <c r="S515" t="str">
        <f>IFERROR(IF(INDEX(Winter!$1:$1048576,MATCH(All!$A515,Winter!$A:$A,FALSE),MATCH(All!S$1,Winter!$1:$1,FALSE))="","",INDEX(Winter!$1:$1048576,MATCH(All!$A515,Winter!$A:$A,FALSE),MATCH(All!S$1,Winter!$1:$1,FALSE))),"")</f>
        <v/>
      </c>
      <c r="T515" t="str">
        <f>IFERROR(IF(INDEX(Winter!$1:$1048576,MATCH(All!$A515,Winter!$A:$A,FALSE),MATCH(All!T$1,Winter!$1:$1,FALSE))="","",INDEX(Winter!$1:$1048576,MATCH(All!$A515,Winter!$A:$A,FALSE),MATCH(All!T$1,Winter!$1:$1,FALSE))),"")</f>
        <v>1A</v>
      </c>
      <c r="U515" t="str">
        <f>IFERROR(IF(INDEX(Winter!$1:$1048576,MATCH(All!$A515,Winter!$A:$A,FALSE),MATCH(All!U$1,Winter!$1:$1,FALSE))="","",INDEX(Winter!$1:$1048576,MATCH(All!$A515,Winter!$A:$A,FALSE),MATCH(All!U$1,Winter!$1:$1,FALSE))),"")</f>
        <v>1A</v>
      </c>
      <c r="W515">
        <f>IFERROR(IF(INDEX(Spring!$1:$1048576,MATCH(All!$A515,Spring!$A:$A,FALSE),MATCH(All!W$1,Spring!$1:$1,FALSE))="","",INDEX(Spring!$1:$1048576,MATCH(All!$A515,Spring!$A:$A,FALSE),MATCH(All!W$1,Spring!$1:$1,FALSE))),"")</f>
        <v>276</v>
      </c>
      <c r="X515" t="str">
        <f>IFERROR(IF(INDEX(Spring!$1:$1048576,MATCH(All!$A515,Spring!$A:$A,FALSE),MATCH(All!X$1,Spring!$1:$1,FALSE))="","",INDEX(Spring!$1:$1048576,MATCH(All!$A515,Spring!$A:$A,FALSE),MATCH(All!X$1,Spring!$1:$1,FALSE))),"")</f>
        <v>1A</v>
      </c>
      <c r="Y515" t="str">
        <f>IFERROR(IF(INDEX(Spring!$1:$1048576,MATCH(All!$A515,Spring!$A:$A,FALSE),MATCH(All!Y$1,Spring!$1:$1,FALSE))="","",INDEX(Spring!$1:$1048576,MATCH(All!$A515,Spring!$A:$A,FALSE),MATCH(All!Y$1,Spring!$1:$1,FALSE))),"")</f>
        <v>1A</v>
      </c>
      <c r="Z515" t="str">
        <f>IFERROR(IF(INDEX(Spring!$1:$1048576,MATCH(All!$A515,Spring!$A:$A,FALSE),MATCH(All!Z$1,Spring!$1:$1,FALSE))="","",INDEX(Spring!$1:$1048576,MATCH(All!$A515,Spring!$A:$A,FALSE),MATCH(All!Z$1,Spring!$1:$1,FALSE))),"")</f>
        <v/>
      </c>
      <c r="AA515" t="str">
        <f>IFERROR(IF(INDEX(Spring!$1:$1048576,MATCH(All!$A515,Spring!$A:$A,FALSE),MATCH(All!AA$1,Spring!$1:$1,FALSE))="","",INDEX(Spring!$1:$1048576,MATCH(All!$A515,Spring!$A:$A,FALSE),MATCH(All!AA$1,Spring!$1:$1,FALSE))),"")</f>
        <v/>
      </c>
      <c r="AB515" t="str">
        <f>IFERROR(IF(INDEX(Spring!$1:$1048576,MATCH(All!$A515,Spring!$A:$A,FALSE),MATCH(All!AB$1,Spring!$1:$1,FALSE))="","",INDEX(Spring!$1:$1048576,MATCH(All!$A515,Spring!$A:$A,FALSE),MATCH(All!AB$1,Spring!$1:$1,FALSE))),"")</f>
        <v>1A</v>
      </c>
      <c r="AC515" t="str">
        <f>IFERROR(IF(INDEX(Spring!$1:$1048576,MATCH(All!$A515,Spring!$A:$A,FALSE),MATCH(All!AC$1,Spring!$1:$1,FALSE))="","",INDEX(Spring!$1:$1048576,MATCH(All!$A515,Spring!$A:$A,FALSE),MATCH(All!AC$1,Spring!$1:$1,FALSE))),"")</f>
        <v>1A</v>
      </c>
      <c r="AD515" t="str">
        <f>IFERROR(VLOOKUP(A515,'Flag Football'!A:A,1,FALSE),"")</f>
        <v/>
      </c>
      <c r="AE515" t="str">
        <f t="shared" ref="AE515:AE578" si="8">IF(AD515="","","1A")</f>
        <v/>
      </c>
    </row>
    <row r="516" spans="1:31" ht="15.75" thickBot="1" x14ac:dyDescent="0.3">
      <c r="A516" s="18" t="s">
        <v>608</v>
      </c>
      <c r="B516" s="38" t="str">
        <f>IFERROR(VLOOKUP(A516,'Public v Private'!A:G,3,FALSE),"")</f>
        <v/>
      </c>
      <c r="C516" s="38" t="str">
        <f>IFERROR(VLOOKUP(A516,'Public v Private'!A:G,4,FALSE),"")</f>
        <v/>
      </c>
      <c r="D516" s="38" t="str">
        <f>IFERROR(VLOOKUP(A516,'Public v Private'!A:G,5,FALSE),"")</f>
        <v/>
      </c>
      <c r="E516" s="38"/>
      <c r="F516" s="40" t="str">
        <f>IFERROR(INDEX(Fall!$1:$1048576,MATCH(All!$A516,Fall!$A:$A,FALSE),MATCH(All!F$1,Fall!$1:$1,FALSE)),"N/A")</f>
        <v>N/A</v>
      </c>
      <c r="G516" t="str">
        <f>IFERROR(IF(INDEX(Fall!$1:$1048576,MATCH(All!$A516,Fall!$A:$A,FALSE),MATCH(All!G$1,Fall!$1:$1,FALSE))="","",INDEX(Fall!$1:$1048576,MATCH(All!$A516,Fall!$A:$A,FALSE),MATCH(All!G$1,Fall!$1:$1,FALSE))),"")</f>
        <v/>
      </c>
      <c r="H516" t="str">
        <f>IFERROR(IF(INDEX(Fall!$1:$1048576,MATCH(All!$A516,Fall!$A:$A,FALSE),MATCH(All!H$1,Fall!$1:$1,FALSE))="","",INDEX(Fall!$1:$1048576,MATCH(All!$A516,Fall!$A:$A,FALSE),MATCH(All!H$1,Fall!$1:$1,FALSE))),"")</f>
        <v/>
      </c>
      <c r="I516" t="str">
        <f>IFERROR(IF(INDEX(Fall!$1:$1048576,MATCH(All!$A516,Fall!$A:$A,FALSE),MATCH(All!I$1,Fall!$1:$1,FALSE))="","",INDEX(Fall!$1:$1048576,MATCH(All!$A516,Fall!$A:$A,FALSE),MATCH(All!I$1,Fall!$1:$1,FALSE))),"")</f>
        <v/>
      </c>
      <c r="J516" t="str">
        <f>IFERROR(IF(INDEX(Fall!$1:$1048576,MATCH(All!$A516,Fall!$A:$A,FALSE),MATCH(All!J$1,Fall!$1:$1,FALSE))="","",INDEX(Fall!$1:$1048576,MATCH(All!$A516,Fall!$A:$A,FALSE),MATCH(All!J$1,Fall!$1:$1,FALSE))),"")</f>
        <v/>
      </c>
      <c r="K516" t="str">
        <f>IFERROR(IF(INDEX(Fall!$1:$1048576,MATCH(All!$A516,Fall!$A:$A,FALSE),MATCH(All!K$1,Fall!$1:$1,FALSE))="","",INDEX(Fall!$1:$1048576,MATCH(All!$A516,Fall!$A:$A,FALSE),MATCH(All!K$1,Fall!$1:$1,FALSE))),"")</f>
        <v/>
      </c>
      <c r="L516" t="str">
        <f>IFERROR(IF(INDEX(Fall!$1:$1048576,MATCH(All!$A516,Fall!$A:$A,FALSE),MATCH(All!L$1,Fall!$1:$1,FALSE))="","",INDEX(Fall!$1:$1048576,MATCH(All!$A516,Fall!$A:$A,FALSE),MATCH(All!L$1,Fall!$1:$1,FALSE))),"")</f>
        <v/>
      </c>
      <c r="M516" t="str">
        <f>IFERROR(IF(INDEX(Fall!$1:$1048576,MATCH(All!$A516,Fall!$A:$A,FALSE),MATCH(All!M$1,Fall!$1:$1,FALSE))="","",INDEX(Fall!$1:$1048576,MATCH(All!$A516,Fall!$A:$A,FALSE),MATCH(All!M$1,Fall!$1:$1,FALSE))),"")</f>
        <v/>
      </c>
      <c r="O516" t="str">
        <f>IFERROR(IF(INDEX(Winter!$1:$1048576,MATCH(All!$A516,Winter!$A:$A,FALSE),MATCH(All!O$1,Winter!$1:$1,FALSE))="","",INDEX(Winter!$1:$1048576,MATCH(All!$A516,Winter!$A:$A,FALSE),MATCH(All!O$1,Winter!$1:$1,FALSE))),"")</f>
        <v/>
      </c>
      <c r="P516" t="str">
        <f>IFERROR(IF(INDEX(Winter!$1:$1048576,MATCH(All!$A516,Winter!$A:$A,FALSE),MATCH(All!P$1,Winter!$1:$1,FALSE))="","",INDEX(Winter!$1:$1048576,MATCH(All!$A516,Winter!$A:$A,FALSE),MATCH(All!P$1,Winter!$1:$1,FALSE))),"")</f>
        <v/>
      </c>
      <c r="Q516" t="str">
        <f>IFERROR(IF(INDEX(Winter!$1:$1048576,MATCH(All!$A516,Winter!$A:$A,FALSE),MATCH(All!Q$1,Winter!$1:$1,FALSE))="","",INDEX(Winter!$1:$1048576,MATCH(All!$A516,Winter!$A:$A,FALSE),MATCH(All!Q$1,Winter!$1:$1,FALSE))),"")</f>
        <v/>
      </c>
      <c r="R516" t="str">
        <f>IFERROR(IF(INDEX(Winter!$1:$1048576,MATCH(All!$A516,Winter!$A:$A,FALSE),MATCH(All!R$1,Winter!$1:$1,FALSE))="","",INDEX(Winter!$1:$1048576,MATCH(All!$A516,Winter!$A:$A,FALSE),MATCH(All!R$1,Winter!$1:$1,FALSE))),"")</f>
        <v/>
      </c>
      <c r="S516" t="str">
        <f>IFERROR(IF(INDEX(Winter!$1:$1048576,MATCH(All!$A516,Winter!$A:$A,FALSE),MATCH(All!S$1,Winter!$1:$1,FALSE))="","",INDEX(Winter!$1:$1048576,MATCH(All!$A516,Winter!$A:$A,FALSE),MATCH(All!S$1,Winter!$1:$1,FALSE))),"")</f>
        <v/>
      </c>
      <c r="T516" t="str">
        <f>IFERROR(IF(INDEX(Winter!$1:$1048576,MATCH(All!$A516,Winter!$A:$A,FALSE),MATCH(All!T$1,Winter!$1:$1,FALSE))="","",INDEX(Winter!$1:$1048576,MATCH(All!$A516,Winter!$A:$A,FALSE),MATCH(All!T$1,Winter!$1:$1,FALSE))),"")</f>
        <v/>
      </c>
      <c r="U516" t="str">
        <f>IFERROR(IF(INDEX(Winter!$1:$1048576,MATCH(All!$A516,Winter!$A:$A,FALSE),MATCH(All!U$1,Winter!$1:$1,FALSE))="","",INDEX(Winter!$1:$1048576,MATCH(All!$A516,Winter!$A:$A,FALSE),MATCH(All!U$1,Winter!$1:$1,FALSE))),"")</f>
        <v/>
      </c>
      <c r="W516">
        <f>IFERROR(IF(INDEX(Spring!$1:$1048576,MATCH(All!$A516,Spring!$A:$A,FALSE),MATCH(All!W$1,Spring!$1:$1,FALSE))="","",INDEX(Spring!$1:$1048576,MATCH(All!$A516,Spring!$A:$A,FALSE),MATCH(All!W$1,Spring!$1:$1,FALSE))),"")</f>
        <v>84</v>
      </c>
      <c r="X516" t="str">
        <f>IFERROR(IF(INDEX(Spring!$1:$1048576,MATCH(All!$A516,Spring!$A:$A,FALSE),MATCH(All!X$1,Spring!$1:$1,FALSE))="","",INDEX(Spring!$1:$1048576,MATCH(All!$A516,Spring!$A:$A,FALSE),MATCH(All!X$1,Spring!$1:$1,FALSE))),"")</f>
        <v>1A</v>
      </c>
      <c r="Y516" t="str">
        <f>IFERROR(IF(INDEX(Spring!$1:$1048576,MATCH(All!$A516,Spring!$A:$A,FALSE),MATCH(All!Y$1,Spring!$1:$1,FALSE))="","",INDEX(Spring!$1:$1048576,MATCH(All!$A516,Spring!$A:$A,FALSE),MATCH(All!Y$1,Spring!$1:$1,FALSE))),"")</f>
        <v/>
      </c>
      <c r="Z516" t="str">
        <f>IFERROR(IF(INDEX(Spring!$1:$1048576,MATCH(All!$A516,Spring!$A:$A,FALSE),MATCH(All!Z$1,Spring!$1:$1,FALSE))="","",INDEX(Spring!$1:$1048576,MATCH(All!$A516,Spring!$A:$A,FALSE),MATCH(All!Z$1,Spring!$1:$1,FALSE))),"")</f>
        <v/>
      </c>
      <c r="AA516" t="str">
        <f>IFERROR(IF(INDEX(Spring!$1:$1048576,MATCH(All!$A516,Spring!$A:$A,FALSE),MATCH(All!AA$1,Spring!$1:$1,FALSE))="","",INDEX(Spring!$1:$1048576,MATCH(All!$A516,Spring!$A:$A,FALSE),MATCH(All!AA$1,Spring!$1:$1,FALSE))),"")</f>
        <v/>
      </c>
      <c r="AB516" t="str">
        <f>IFERROR(IF(INDEX(Spring!$1:$1048576,MATCH(All!$A516,Spring!$A:$A,FALSE),MATCH(All!AB$1,Spring!$1:$1,FALSE))="","",INDEX(Spring!$1:$1048576,MATCH(All!$A516,Spring!$A:$A,FALSE),MATCH(All!AB$1,Spring!$1:$1,FALSE))),"")</f>
        <v/>
      </c>
      <c r="AC516" t="str">
        <f>IFERROR(IF(INDEX(Spring!$1:$1048576,MATCH(All!$A516,Spring!$A:$A,FALSE),MATCH(All!AC$1,Spring!$1:$1,FALSE))="","",INDEX(Spring!$1:$1048576,MATCH(All!$A516,Spring!$A:$A,FALSE),MATCH(All!AC$1,Spring!$1:$1,FALSE))),"")</f>
        <v/>
      </c>
      <c r="AD516" t="str">
        <f>IFERROR(VLOOKUP(A516,'Flag Football'!A:A,1,FALSE),"")</f>
        <v/>
      </c>
      <c r="AE516" t="str">
        <f t="shared" si="8"/>
        <v/>
      </c>
    </row>
    <row r="517" spans="1:31" ht="15.75" thickBot="1" x14ac:dyDescent="0.3">
      <c r="A517" s="18" t="s">
        <v>609</v>
      </c>
      <c r="B517" s="38">
        <f>IFERROR(VLOOKUP(A517,'Public v Private'!A:G,3,FALSE),"")</f>
        <v>0</v>
      </c>
      <c r="C517" s="38">
        <f>IFERROR(VLOOKUP(A517,'Public v Private'!A:G,4,FALSE),"")</f>
        <v>0</v>
      </c>
      <c r="D517" s="38">
        <f>IFERROR(VLOOKUP(A517,'Public v Private'!A:G,5,FALSE),"")</f>
        <v>0</v>
      </c>
      <c r="E517" s="38"/>
      <c r="F517" s="40">
        <f>IFERROR(INDEX(Fall!$1:$1048576,MATCH(All!$A517,Fall!$A:$A,FALSE),MATCH(All!F$1,Fall!$1:$1,FALSE)),"N/A")</f>
        <v>1050</v>
      </c>
      <c r="G517" t="str">
        <f>IFERROR(IF(INDEX(Fall!$1:$1048576,MATCH(All!$A517,Fall!$A:$A,FALSE),MATCH(All!G$1,Fall!$1:$1,FALSE))="","",INDEX(Fall!$1:$1048576,MATCH(All!$A517,Fall!$A:$A,FALSE),MATCH(All!G$1,Fall!$1:$1,FALSE))),"")</f>
        <v>2A</v>
      </c>
      <c r="H517" t="str">
        <f>IFERROR(IF(INDEX(Fall!$1:$1048576,MATCH(All!$A517,Fall!$A:$A,FALSE),MATCH(All!H$1,Fall!$1:$1,FALSE))="","",INDEX(Fall!$1:$1048576,MATCH(All!$A517,Fall!$A:$A,FALSE),MATCH(All!H$1,Fall!$1:$1,FALSE))),"")</f>
        <v>2A</v>
      </c>
      <c r="I517" t="str">
        <f>IFERROR(IF(INDEX(Fall!$1:$1048576,MATCH(All!$A517,Fall!$A:$A,FALSE),MATCH(All!I$1,Fall!$1:$1,FALSE))="","",INDEX(Fall!$1:$1048576,MATCH(All!$A517,Fall!$A:$A,FALSE),MATCH(All!I$1,Fall!$1:$1,FALSE))),"")</f>
        <v>2A</v>
      </c>
      <c r="J517" t="str">
        <f>IFERROR(IF(INDEX(Fall!$1:$1048576,MATCH(All!$A517,Fall!$A:$A,FALSE),MATCH(All!J$1,Fall!$1:$1,FALSE))="","",INDEX(Fall!$1:$1048576,MATCH(All!$A517,Fall!$A:$A,FALSE),MATCH(All!J$1,Fall!$1:$1,FALSE))),"")</f>
        <v>2A</v>
      </c>
      <c r="K517" t="str">
        <f>IFERROR(IF(INDEX(Fall!$1:$1048576,MATCH(All!$A517,Fall!$A:$A,FALSE),MATCH(All!K$1,Fall!$1:$1,FALSE))="","",INDEX(Fall!$1:$1048576,MATCH(All!$A517,Fall!$A:$A,FALSE),MATCH(All!K$1,Fall!$1:$1,FALSE))),"")</f>
        <v>2A</v>
      </c>
      <c r="L517" t="str">
        <f>IFERROR(IF(INDEX(Fall!$1:$1048576,MATCH(All!$A517,Fall!$A:$A,FALSE),MATCH(All!L$1,Fall!$1:$1,FALSE))="","",INDEX(Fall!$1:$1048576,MATCH(All!$A517,Fall!$A:$A,FALSE),MATCH(All!L$1,Fall!$1:$1,FALSE))),"")</f>
        <v>1A</v>
      </c>
      <c r="M517" t="str">
        <f>IFERROR(IF(INDEX(Fall!$1:$1048576,MATCH(All!$A517,Fall!$A:$A,FALSE),MATCH(All!M$1,Fall!$1:$1,FALSE))="","",INDEX(Fall!$1:$1048576,MATCH(All!$A517,Fall!$A:$A,FALSE),MATCH(All!M$1,Fall!$1:$1,FALSE))),"")</f>
        <v>3A</v>
      </c>
      <c r="O517">
        <f>IFERROR(IF(INDEX(Winter!$1:$1048576,MATCH(All!$A517,Winter!$A:$A,FALSE),MATCH(All!O$1,Winter!$1:$1,FALSE))="","",INDEX(Winter!$1:$1048576,MATCH(All!$A517,Winter!$A:$A,FALSE),MATCH(All!O$1,Winter!$1:$1,FALSE))),"")</f>
        <v>1050</v>
      </c>
      <c r="P517" t="str">
        <f>IFERROR(IF(INDEX(Winter!$1:$1048576,MATCH(All!$A517,Winter!$A:$A,FALSE),MATCH(All!P$1,Winter!$1:$1,FALSE))="","",INDEX(Winter!$1:$1048576,MATCH(All!$A517,Winter!$A:$A,FALSE),MATCH(All!P$1,Winter!$1:$1,FALSE))),"")</f>
        <v>3A</v>
      </c>
      <c r="Q517" t="str">
        <f>IFERROR(IF(INDEX(Winter!$1:$1048576,MATCH(All!$A517,Winter!$A:$A,FALSE),MATCH(All!Q$1,Winter!$1:$1,FALSE))="","",INDEX(Winter!$1:$1048576,MATCH(All!$A517,Winter!$A:$A,FALSE),MATCH(All!Q$1,Winter!$1:$1,FALSE))),"")</f>
        <v>3A</v>
      </c>
      <c r="R517" t="str">
        <f>IFERROR(IF(INDEX(Winter!$1:$1048576,MATCH(All!$A517,Winter!$A:$A,FALSE),MATCH(All!R$1,Winter!$1:$1,FALSE))="","",INDEX(Winter!$1:$1048576,MATCH(All!$A517,Winter!$A:$A,FALSE),MATCH(All!R$1,Winter!$1:$1,FALSE))),"")</f>
        <v>2A</v>
      </c>
      <c r="S517" t="str">
        <f>IFERROR(IF(INDEX(Winter!$1:$1048576,MATCH(All!$A517,Winter!$A:$A,FALSE),MATCH(All!S$1,Winter!$1:$1,FALSE))="","",INDEX(Winter!$1:$1048576,MATCH(All!$A517,Winter!$A:$A,FALSE),MATCH(All!S$1,Winter!$1:$1,FALSE))),"")</f>
        <v>1A</v>
      </c>
      <c r="T517" t="str">
        <f>IFERROR(IF(INDEX(Winter!$1:$1048576,MATCH(All!$A517,Winter!$A:$A,FALSE),MATCH(All!T$1,Winter!$1:$1,FALSE))="","",INDEX(Winter!$1:$1048576,MATCH(All!$A517,Winter!$A:$A,FALSE),MATCH(All!T$1,Winter!$1:$1,FALSE))),"")</f>
        <v>2A</v>
      </c>
      <c r="U517" t="str">
        <f>IFERROR(IF(INDEX(Winter!$1:$1048576,MATCH(All!$A517,Winter!$A:$A,FALSE),MATCH(All!U$1,Winter!$1:$1,FALSE))="","",INDEX(Winter!$1:$1048576,MATCH(All!$A517,Winter!$A:$A,FALSE),MATCH(All!U$1,Winter!$1:$1,FALSE))),"")</f>
        <v>2A</v>
      </c>
      <c r="W517">
        <f>IFERROR(IF(INDEX(Spring!$1:$1048576,MATCH(All!$A517,Spring!$A:$A,FALSE),MATCH(All!W$1,Spring!$1:$1,FALSE))="","",INDEX(Spring!$1:$1048576,MATCH(All!$A517,Spring!$A:$A,FALSE),MATCH(All!W$1,Spring!$1:$1,FALSE))),"")</f>
        <v>1050</v>
      </c>
      <c r="X517" t="str">
        <f>IFERROR(IF(INDEX(Spring!$1:$1048576,MATCH(All!$A517,Spring!$A:$A,FALSE),MATCH(All!X$1,Spring!$1:$1,FALSE))="","",INDEX(Spring!$1:$1048576,MATCH(All!$A517,Spring!$A:$A,FALSE),MATCH(All!X$1,Spring!$1:$1,FALSE))),"")</f>
        <v>3A</v>
      </c>
      <c r="Y517" t="str">
        <f>IFERROR(IF(INDEX(Spring!$1:$1048576,MATCH(All!$A517,Spring!$A:$A,FALSE),MATCH(All!Y$1,Spring!$1:$1,FALSE))="","",INDEX(Spring!$1:$1048576,MATCH(All!$A517,Spring!$A:$A,FALSE),MATCH(All!Y$1,Spring!$1:$1,FALSE))),"")</f>
        <v>3A</v>
      </c>
      <c r="Z517" t="str">
        <f>IFERROR(IF(INDEX(Spring!$1:$1048576,MATCH(All!$A517,Spring!$A:$A,FALSE),MATCH(All!Z$1,Spring!$1:$1,FALSE))="","",INDEX(Spring!$1:$1048576,MATCH(All!$A517,Spring!$A:$A,FALSE),MATCH(All!Z$1,Spring!$1:$1,FALSE))),"")</f>
        <v>2A</v>
      </c>
      <c r="AA517" t="str">
        <f>IFERROR(IF(INDEX(Spring!$1:$1048576,MATCH(All!$A517,Spring!$A:$A,FALSE),MATCH(All!AA$1,Spring!$1:$1,FALSE))="","",INDEX(Spring!$1:$1048576,MATCH(All!$A517,Spring!$A:$A,FALSE),MATCH(All!AA$1,Spring!$1:$1,FALSE))),"")</f>
        <v>1A</v>
      </c>
      <c r="AB517" t="str">
        <f>IFERROR(IF(INDEX(Spring!$1:$1048576,MATCH(All!$A517,Spring!$A:$A,FALSE),MATCH(All!AB$1,Spring!$1:$1,FALSE))="","",INDEX(Spring!$1:$1048576,MATCH(All!$A517,Spring!$A:$A,FALSE),MATCH(All!AB$1,Spring!$1:$1,FALSE))),"")</f>
        <v>2A</v>
      </c>
      <c r="AC517" t="str">
        <f>IFERROR(IF(INDEX(Spring!$1:$1048576,MATCH(All!$A517,Spring!$A:$A,FALSE),MATCH(All!AC$1,Spring!$1:$1,FALSE))="","",INDEX(Spring!$1:$1048576,MATCH(All!$A517,Spring!$A:$A,FALSE),MATCH(All!AC$1,Spring!$1:$1,FALSE))),"")</f>
        <v>2A</v>
      </c>
      <c r="AD517" t="str">
        <f>IFERROR(VLOOKUP(A517,'Flag Football'!A:A,1,FALSE),"")</f>
        <v/>
      </c>
      <c r="AE517" t="str">
        <f t="shared" si="8"/>
        <v/>
      </c>
    </row>
    <row r="518" spans="1:31" ht="15.75" thickBot="1" x14ac:dyDescent="0.3">
      <c r="A518" s="20" t="s">
        <v>957</v>
      </c>
      <c r="B518" s="38" t="str">
        <f>IFERROR(VLOOKUP(A518,'Public v Private'!A:G,3,FALSE),"")</f>
        <v>private</v>
      </c>
      <c r="C518" s="38">
        <f>IFERROR(VLOOKUP(A518,'Public v Private'!A:G,4,FALSE),"")</f>
        <v>2</v>
      </c>
      <c r="D518" s="38">
        <f>IFERROR(VLOOKUP(A518,'Public v Private'!A:G,5,FALSE),"")</f>
        <v>4</v>
      </c>
      <c r="E518" s="38"/>
      <c r="F518" s="40" t="str">
        <f>IFERROR(INDEX(Fall!$1:$1048576,MATCH(All!$A518,Fall!$A:$A,FALSE),MATCH(All!F$1,Fall!$1:$1,FALSE)),"N/A")</f>
        <v>95.00 (156.75)</v>
      </c>
      <c r="G518" t="str">
        <f>IFERROR(IF(INDEX(Fall!$1:$1048576,MATCH(All!$A518,Fall!$A:$A,FALSE),MATCH(All!G$1,Fall!$1:$1,FALSE))="","",INDEX(Fall!$1:$1048576,MATCH(All!$A518,Fall!$A:$A,FALSE),MATCH(All!G$1,Fall!$1:$1,FALSE))),"")</f>
        <v/>
      </c>
      <c r="H518" t="str">
        <f>IFERROR(IF(INDEX(Fall!$1:$1048576,MATCH(All!$A518,Fall!$A:$A,FALSE),MATCH(All!H$1,Fall!$1:$1,FALSE))="","",INDEX(Fall!$1:$1048576,MATCH(All!$A518,Fall!$A:$A,FALSE),MATCH(All!H$1,Fall!$1:$1,FALSE))),"")</f>
        <v/>
      </c>
      <c r="I518" t="str">
        <f>IFERROR(IF(INDEX(Fall!$1:$1048576,MATCH(All!$A518,Fall!$A:$A,FALSE),MATCH(All!I$1,Fall!$1:$1,FALSE))="","",INDEX(Fall!$1:$1048576,MATCH(All!$A518,Fall!$A:$A,FALSE),MATCH(All!I$1,Fall!$1:$1,FALSE))),"")</f>
        <v/>
      </c>
      <c r="J518" t="str">
        <f>IFERROR(IF(INDEX(Fall!$1:$1048576,MATCH(All!$A518,Fall!$A:$A,FALSE),MATCH(All!J$1,Fall!$1:$1,FALSE))="","",INDEX(Fall!$1:$1048576,MATCH(All!$A518,Fall!$A:$A,FALSE),MATCH(All!J$1,Fall!$1:$1,FALSE))),"")</f>
        <v/>
      </c>
      <c r="K518" t="str">
        <f>IFERROR(IF(INDEX(Fall!$1:$1048576,MATCH(All!$A518,Fall!$A:$A,FALSE),MATCH(All!K$1,Fall!$1:$1,FALSE))="","",INDEX(Fall!$1:$1048576,MATCH(All!$A518,Fall!$A:$A,FALSE),MATCH(All!K$1,Fall!$1:$1,FALSE))),"")</f>
        <v>1A</v>
      </c>
      <c r="L518" t="str">
        <f>IFERROR(IF(INDEX(Fall!$1:$1048576,MATCH(All!$A518,Fall!$A:$A,FALSE),MATCH(All!L$1,Fall!$1:$1,FALSE))="","",INDEX(Fall!$1:$1048576,MATCH(All!$A518,Fall!$A:$A,FALSE),MATCH(All!L$1,Fall!$1:$1,FALSE))),"")</f>
        <v/>
      </c>
      <c r="M518" t="str">
        <f>IFERROR(IF(INDEX(Fall!$1:$1048576,MATCH(All!$A518,Fall!$A:$A,FALSE),MATCH(All!M$1,Fall!$1:$1,FALSE))="","",INDEX(Fall!$1:$1048576,MATCH(All!$A518,Fall!$A:$A,FALSE),MATCH(All!M$1,Fall!$1:$1,FALSE))),"")</f>
        <v>1A</v>
      </c>
      <c r="O518" t="str">
        <f>IFERROR(IF(INDEX(Winter!$1:$1048576,MATCH(All!$A518,Winter!$A:$A,FALSE),MATCH(All!O$1,Winter!$1:$1,FALSE))="","",INDEX(Winter!$1:$1048576,MATCH(All!$A518,Winter!$A:$A,FALSE),MATCH(All!O$1,Winter!$1:$1,FALSE))),"")</f>
        <v>95.00 (156.75)</v>
      </c>
      <c r="P518" t="str">
        <f>IFERROR(IF(INDEX(Winter!$1:$1048576,MATCH(All!$A518,Winter!$A:$A,FALSE),MATCH(All!P$1,Winter!$1:$1,FALSE))="","",INDEX(Winter!$1:$1048576,MATCH(All!$A518,Winter!$A:$A,FALSE),MATCH(All!P$1,Winter!$1:$1,FALSE))),"")</f>
        <v>1A</v>
      </c>
      <c r="Q518" t="str">
        <f>IFERROR(IF(INDEX(Winter!$1:$1048576,MATCH(All!$A518,Winter!$A:$A,FALSE),MATCH(All!Q$1,Winter!$1:$1,FALSE))="","",INDEX(Winter!$1:$1048576,MATCH(All!$A518,Winter!$A:$A,FALSE),MATCH(All!Q$1,Winter!$1:$1,FALSE))),"")</f>
        <v>1A</v>
      </c>
      <c r="R518" t="str">
        <f>IFERROR(IF(INDEX(Winter!$1:$1048576,MATCH(All!$A518,Winter!$A:$A,FALSE),MATCH(All!R$1,Winter!$1:$1,FALSE))="","",INDEX(Winter!$1:$1048576,MATCH(All!$A518,Winter!$A:$A,FALSE),MATCH(All!R$1,Winter!$1:$1,FALSE))),"")</f>
        <v/>
      </c>
      <c r="S518" t="str">
        <f>IFERROR(IF(INDEX(Winter!$1:$1048576,MATCH(All!$A518,Winter!$A:$A,FALSE),MATCH(All!S$1,Winter!$1:$1,FALSE))="","",INDEX(Winter!$1:$1048576,MATCH(All!$A518,Winter!$A:$A,FALSE),MATCH(All!S$1,Winter!$1:$1,FALSE))),"")</f>
        <v/>
      </c>
      <c r="T518" t="str">
        <f>IFERROR(IF(INDEX(Winter!$1:$1048576,MATCH(All!$A518,Winter!$A:$A,FALSE),MATCH(All!T$1,Winter!$1:$1,FALSE))="","",INDEX(Winter!$1:$1048576,MATCH(All!$A518,Winter!$A:$A,FALSE),MATCH(All!T$1,Winter!$1:$1,FALSE))),"")</f>
        <v/>
      </c>
      <c r="U518" t="str">
        <f>IFERROR(IF(INDEX(Winter!$1:$1048576,MATCH(All!$A518,Winter!$A:$A,FALSE),MATCH(All!U$1,Winter!$1:$1,FALSE))="","",INDEX(Winter!$1:$1048576,MATCH(All!$A518,Winter!$A:$A,FALSE),MATCH(All!U$1,Winter!$1:$1,FALSE))),"")</f>
        <v/>
      </c>
      <c r="W518" t="str">
        <f>IFERROR(IF(INDEX(Spring!$1:$1048576,MATCH(All!$A518,Spring!$A:$A,FALSE),MATCH(All!W$1,Spring!$1:$1,FALSE))="","",INDEX(Spring!$1:$1048576,MATCH(All!$A518,Spring!$A:$A,FALSE),MATCH(All!W$1,Spring!$1:$1,FALSE))),"")</f>
        <v/>
      </c>
      <c r="X518" t="str">
        <f>IFERROR(IF(INDEX(Spring!$1:$1048576,MATCH(All!$A518,Spring!$A:$A,FALSE),MATCH(All!X$1,Spring!$1:$1,FALSE))="","",INDEX(Spring!$1:$1048576,MATCH(All!$A518,Spring!$A:$A,FALSE),MATCH(All!X$1,Spring!$1:$1,FALSE))),"")</f>
        <v/>
      </c>
      <c r="Y518" t="str">
        <f>IFERROR(IF(INDEX(Spring!$1:$1048576,MATCH(All!$A518,Spring!$A:$A,FALSE),MATCH(All!Y$1,Spring!$1:$1,FALSE))="","",INDEX(Spring!$1:$1048576,MATCH(All!$A518,Spring!$A:$A,FALSE),MATCH(All!Y$1,Spring!$1:$1,FALSE))),"")</f>
        <v/>
      </c>
      <c r="Z518" t="str">
        <f>IFERROR(IF(INDEX(Spring!$1:$1048576,MATCH(All!$A518,Spring!$A:$A,FALSE),MATCH(All!Z$1,Spring!$1:$1,FALSE))="","",INDEX(Spring!$1:$1048576,MATCH(All!$A518,Spring!$A:$A,FALSE),MATCH(All!Z$1,Spring!$1:$1,FALSE))),"")</f>
        <v/>
      </c>
      <c r="AA518" t="str">
        <f>IFERROR(IF(INDEX(Spring!$1:$1048576,MATCH(All!$A518,Spring!$A:$A,FALSE),MATCH(All!AA$1,Spring!$1:$1,FALSE))="","",INDEX(Spring!$1:$1048576,MATCH(All!$A518,Spring!$A:$A,FALSE),MATCH(All!AA$1,Spring!$1:$1,FALSE))),"")</f>
        <v/>
      </c>
      <c r="AB518" t="str">
        <f>IFERROR(IF(INDEX(Spring!$1:$1048576,MATCH(All!$A518,Spring!$A:$A,FALSE),MATCH(All!AB$1,Spring!$1:$1,FALSE))="","",INDEX(Spring!$1:$1048576,MATCH(All!$A518,Spring!$A:$A,FALSE),MATCH(All!AB$1,Spring!$1:$1,FALSE))),"")</f>
        <v/>
      </c>
      <c r="AC518" t="str">
        <f>IFERROR(IF(INDEX(Spring!$1:$1048576,MATCH(All!$A518,Spring!$A:$A,FALSE),MATCH(All!AC$1,Spring!$1:$1,FALSE))="","",INDEX(Spring!$1:$1048576,MATCH(All!$A518,Spring!$A:$A,FALSE),MATCH(All!AC$1,Spring!$1:$1,FALSE))),"")</f>
        <v/>
      </c>
      <c r="AD518" t="str">
        <f>IFERROR(VLOOKUP(A518,'Flag Football'!A:A,1,FALSE),"")</f>
        <v/>
      </c>
      <c r="AE518" t="str">
        <f t="shared" si="8"/>
        <v/>
      </c>
    </row>
    <row r="519" spans="1:31" ht="15.75" thickBot="1" x14ac:dyDescent="0.3">
      <c r="A519" s="18" t="s">
        <v>610</v>
      </c>
      <c r="B519" s="38">
        <f>IFERROR(VLOOKUP(A519,'Public v Private'!A:G,3,FALSE),"")</f>
        <v>0</v>
      </c>
      <c r="C519" s="38">
        <f>IFERROR(VLOOKUP(A519,'Public v Private'!A:G,4,FALSE),"")</f>
        <v>0</v>
      </c>
      <c r="D519" s="38">
        <f>IFERROR(VLOOKUP(A519,'Public v Private'!A:G,5,FALSE),"")</f>
        <v>0</v>
      </c>
      <c r="E519" s="38"/>
      <c r="F519" s="40">
        <f>IFERROR(INDEX(Fall!$1:$1048576,MATCH(All!$A519,Fall!$A:$A,FALSE),MATCH(All!F$1,Fall!$1:$1,FALSE)),"N/A")</f>
        <v>121</v>
      </c>
      <c r="G519" t="str">
        <f>IFERROR(IF(INDEX(Fall!$1:$1048576,MATCH(All!$A519,Fall!$A:$A,FALSE),MATCH(All!G$1,Fall!$1:$1,FALSE))="","",INDEX(Fall!$1:$1048576,MATCH(All!$A519,Fall!$A:$A,FALSE),MATCH(All!G$1,Fall!$1:$1,FALSE))),"")</f>
        <v/>
      </c>
      <c r="H519" t="str">
        <f>IFERROR(IF(INDEX(Fall!$1:$1048576,MATCH(All!$A519,Fall!$A:$A,FALSE),MATCH(All!H$1,Fall!$1:$1,FALSE))="","",INDEX(Fall!$1:$1048576,MATCH(All!$A519,Fall!$A:$A,FALSE),MATCH(All!H$1,Fall!$1:$1,FALSE))),"")</f>
        <v/>
      </c>
      <c r="I519" t="str">
        <f>IFERROR(IF(INDEX(Fall!$1:$1048576,MATCH(All!$A519,Fall!$A:$A,FALSE),MATCH(All!I$1,Fall!$1:$1,FALSE))="","",INDEX(Fall!$1:$1048576,MATCH(All!$A519,Fall!$A:$A,FALSE),MATCH(All!I$1,Fall!$1:$1,FALSE))),"")</f>
        <v/>
      </c>
      <c r="J519" t="str">
        <f>IFERROR(IF(INDEX(Fall!$1:$1048576,MATCH(All!$A519,Fall!$A:$A,FALSE),MATCH(All!J$1,Fall!$1:$1,FALSE))="","",INDEX(Fall!$1:$1048576,MATCH(All!$A519,Fall!$A:$A,FALSE),MATCH(All!J$1,Fall!$1:$1,FALSE))),"")</f>
        <v/>
      </c>
      <c r="K519" t="str">
        <f>IFERROR(IF(INDEX(Fall!$1:$1048576,MATCH(All!$A519,Fall!$A:$A,FALSE),MATCH(All!K$1,Fall!$1:$1,FALSE))="","",INDEX(Fall!$1:$1048576,MATCH(All!$A519,Fall!$A:$A,FALSE),MATCH(All!K$1,Fall!$1:$1,FALSE))),"")</f>
        <v/>
      </c>
      <c r="L519" t="str">
        <f>IFERROR(IF(INDEX(Fall!$1:$1048576,MATCH(All!$A519,Fall!$A:$A,FALSE),MATCH(All!L$1,Fall!$1:$1,FALSE))="","",INDEX(Fall!$1:$1048576,MATCH(All!$A519,Fall!$A:$A,FALSE),MATCH(All!L$1,Fall!$1:$1,FALSE))),"")</f>
        <v/>
      </c>
      <c r="M519" t="str">
        <f>IFERROR(IF(INDEX(Fall!$1:$1048576,MATCH(All!$A519,Fall!$A:$A,FALSE),MATCH(All!M$1,Fall!$1:$1,FALSE))="","",INDEX(Fall!$1:$1048576,MATCH(All!$A519,Fall!$A:$A,FALSE),MATCH(All!M$1,Fall!$1:$1,FALSE))),"")</f>
        <v>1A</v>
      </c>
      <c r="O519">
        <f>IFERROR(IF(INDEX(Winter!$1:$1048576,MATCH(All!$A519,Winter!$A:$A,FALSE),MATCH(All!O$1,Winter!$1:$1,FALSE))="","",INDEX(Winter!$1:$1048576,MATCH(All!$A519,Winter!$A:$A,FALSE),MATCH(All!O$1,Winter!$1:$1,FALSE))),"")</f>
        <v>121</v>
      </c>
      <c r="P519" t="str">
        <f>IFERROR(IF(INDEX(Winter!$1:$1048576,MATCH(All!$A519,Winter!$A:$A,FALSE),MATCH(All!P$1,Winter!$1:$1,FALSE))="","",INDEX(Winter!$1:$1048576,MATCH(All!$A519,Winter!$A:$A,FALSE),MATCH(All!P$1,Winter!$1:$1,FALSE))),"")</f>
        <v>1A</v>
      </c>
      <c r="Q519" t="str">
        <f>IFERROR(IF(INDEX(Winter!$1:$1048576,MATCH(All!$A519,Winter!$A:$A,FALSE),MATCH(All!Q$1,Winter!$1:$1,FALSE))="","",INDEX(Winter!$1:$1048576,MATCH(All!$A519,Winter!$A:$A,FALSE),MATCH(All!Q$1,Winter!$1:$1,FALSE))),"")</f>
        <v>1A</v>
      </c>
      <c r="R519" t="str">
        <f>IFERROR(IF(INDEX(Winter!$1:$1048576,MATCH(All!$A519,Winter!$A:$A,FALSE),MATCH(All!R$1,Winter!$1:$1,FALSE))="","",INDEX(Winter!$1:$1048576,MATCH(All!$A519,Winter!$A:$A,FALSE),MATCH(All!R$1,Winter!$1:$1,FALSE))),"")</f>
        <v/>
      </c>
      <c r="S519" t="str">
        <f>IFERROR(IF(INDEX(Winter!$1:$1048576,MATCH(All!$A519,Winter!$A:$A,FALSE),MATCH(All!S$1,Winter!$1:$1,FALSE))="","",INDEX(Winter!$1:$1048576,MATCH(All!$A519,Winter!$A:$A,FALSE),MATCH(All!S$1,Winter!$1:$1,FALSE))),"")</f>
        <v/>
      </c>
      <c r="T519" t="str">
        <f>IFERROR(IF(INDEX(Winter!$1:$1048576,MATCH(All!$A519,Winter!$A:$A,FALSE),MATCH(All!T$1,Winter!$1:$1,FALSE))="","",INDEX(Winter!$1:$1048576,MATCH(All!$A519,Winter!$A:$A,FALSE),MATCH(All!T$1,Winter!$1:$1,FALSE))),"")</f>
        <v/>
      </c>
      <c r="U519" t="str">
        <f>IFERROR(IF(INDEX(Winter!$1:$1048576,MATCH(All!$A519,Winter!$A:$A,FALSE),MATCH(All!U$1,Winter!$1:$1,FALSE))="","",INDEX(Winter!$1:$1048576,MATCH(All!$A519,Winter!$A:$A,FALSE),MATCH(All!U$1,Winter!$1:$1,FALSE))),"")</f>
        <v/>
      </c>
      <c r="W519">
        <f>IFERROR(IF(INDEX(Spring!$1:$1048576,MATCH(All!$A519,Spring!$A:$A,FALSE),MATCH(All!W$1,Spring!$1:$1,FALSE))="","",INDEX(Spring!$1:$1048576,MATCH(All!$A519,Spring!$A:$A,FALSE),MATCH(All!W$1,Spring!$1:$1,FALSE))),"")</f>
        <v>121</v>
      </c>
      <c r="X519" t="str">
        <f>IFERROR(IF(INDEX(Spring!$1:$1048576,MATCH(All!$A519,Spring!$A:$A,FALSE),MATCH(All!X$1,Spring!$1:$1,FALSE))="","",INDEX(Spring!$1:$1048576,MATCH(All!$A519,Spring!$A:$A,FALSE),MATCH(All!X$1,Spring!$1:$1,FALSE))),"")</f>
        <v/>
      </c>
      <c r="Y519" t="str">
        <f>IFERROR(IF(INDEX(Spring!$1:$1048576,MATCH(All!$A519,Spring!$A:$A,FALSE),MATCH(All!Y$1,Spring!$1:$1,FALSE))="","",INDEX(Spring!$1:$1048576,MATCH(All!$A519,Spring!$A:$A,FALSE),MATCH(All!Y$1,Spring!$1:$1,FALSE))),"")</f>
        <v>1A</v>
      </c>
      <c r="Z519" t="str">
        <f>IFERROR(IF(INDEX(Spring!$1:$1048576,MATCH(All!$A519,Spring!$A:$A,FALSE),MATCH(All!Z$1,Spring!$1:$1,FALSE))="","",INDEX(Spring!$1:$1048576,MATCH(All!$A519,Spring!$A:$A,FALSE),MATCH(All!Z$1,Spring!$1:$1,FALSE))),"")</f>
        <v/>
      </c>
      <c r="AA519" t="str">
        <f>IFERROR(IF(INDEX(Spring!$1:$1048576,MATCH(All!$A519,Spring!$A:$A,FALSE),MATCH(All!AA$1,Spring!$1:$1,FALSE))="","",INDEX(Spring!$1:$1048576,MATCH(All!$A519,Spring!$A:$A,FALSE),MATCH(All!AA$1,Spring!$1:$1,FALSE))),"")</f>
        <v/>
      </c>
      <c r="AB519" t="str">
        <f>IFERROR(IF(INDEX(Spring!$1:$1048576,MATCH(All!$A519,Spring!$A:$A,FALSE),MATCH(All!AB$1,Spring!$1:$1,FALSE))="","",INDEX(Spring!$1:$1048576,MATCH(All!$A519,Spring!$A:$A,FALSE),MATCH(All!AB$1,Spring!$1:$1,FALSE))),"")</f>
        <v>1A</v>
      </c>
      <c r="AC519" t="str">
        <f>IFERROR(IF(INDEX(Spring!$1:$1048576,MATCH(All!$A519,Spring!$A:$A,FALSE),MATCH(All!AC$1,Spring!$1:$1,FALSE))="","",INDEX(Spring!$1:$1048576,MATCH(All!$A519,Spring!$A:$A,FALSE),MATCH(All!AC$1,Spring!$1:$1,FALSE))),"")</f>
        <v>1A</v>
      </c>
      <c r="AD519" t="str">
        <f>IFERROR(VLOOKUP(A519,'Flag Football'!A:A,1,FALSE),"")</f>
        <v/>
      </c>
      <c r="AE519" t="str">
        <f t="shared" si="8"/>
        <v/>
      </c>
    </row>
    <row r="520" spans="1:31" ht="15.75" thickBot="1" x14ac:dyDescent="0.3">
      <c r="A520" s="20" t="s">
        <v>611</v>
      </c>
      <c r="B520" s="38" t="str">
        <f>IFERROR(VLOOKUP(A520,'Public v Private'!A:G,3,FALSE),"")</f>
        <v/>
      </c>
      <c r="C520" s="38" t="str">
        <f>IFERROR(VLOOKUP(A520,'Public v Private'!A:G,4,FALSE),"")</f>
        <v/>
      </c>
      <c r="D520" s="38" t="str">
        <f>IFERROR(VLOOKUP(A520,'Public v Private'!A:G,5,FALSE),"")</f>
        <v/>
      </c>
      <c r="E520" s="38"/>
      <c r="F520" s="40">
        <f>IFERROR(INDEX(Fall!$1:$1048576,MATCH(All!$A520,Fall!$A:$A,FALSE),MATCH(All!F$1,Fall!$1:$1,FALSE)),"N/A")</f>
        <v>236</v>
      </c>
      <c r="G520" t="str">
        <f>IFERROR(IF(INDEX(Fall!$1:$1048576,MATCH(All!$A520,Fall!$A:$A,FALSE),MATCH(All!G$1,Fall!$1:$1,FALSE))="","",INDEX(Fall!$1:$1048576,MATCH(All!$A520,Fall!$A:$A,FALSE),MATCH(All!G$1,Fall!$1:$1,FALSE))),"")</f>
        <v>1A</v>
      </c>
      <c r="H520" t="str">
        <f>IFERROR(IF(INDEX(Fall!$1:$1048576,MATCH(All!$A520,Fall!$A:$A,FALSE),MATCH(All!H$1,Fall!$1:$1,FALSE))="","",INDEX(Fall!$1:$1048576,MATCH(All!$A520,Fall!$A:$A,FALSE),MATCH(All!H$1,Fall!$1:$1,FALSE))),"")</f>
        <v/>
      </c>
      <c r="I520" t="str">
        <f>IFERROR(IF(INDEX(Fall!$1:$1048576,MATCH(All!$A520,Fall!$A:$A,FALSE),MATCH(All!I$1,Fall!$1:$1,FALSE))="","",INDEX(Fall!$1:$1048576,MATCH(All!$A520,Fall!$A:$A,FALSE),MATCH(All!I$1,Fall!$1:$1,FALSE))),"")</f>
        <v>1A</v>
      </c>
      <c r="J520" t="str">
        <f>IFERROR(IF(INDEX(Fall!$1:$1048576,MATCH(All!$A520,Fall!$A:$A,FALSE),MATCH(All!J$1,Fall!$1:$1,FALSE))="","",INDEX(Fall!$1:$1048576,MATCH(All!$A520,Fall!$A:$A,FALSE),MATCH(All!J$1,Fall!$1:$1,FALSE))),"")</f>
        <v>1A</v>
      </c>
      <c r="K520" t="str">
        <f>IFERROR(IF(INDEX(Fall!$1:$1048576,MATCH(All!$A520,Fall!$A:$A,FALSE),MATCH(All!K$1,Fall!$1:$1,FALSE))="","",INDEX(Fall!$1:$1048576,MATCH(All!$A520,Fall!$A:$A,FALSE),MATCH(All!K$1,Fall!$1:$1,FALSE))),"")</f>
        <v/>
      </c>
      <c r="L520" t="str">
        <f>IFERROR(IF(INDEX(Fall!$1:$1048576,MATCH(All!$A520,Fall!$A:$A,FALSE),MATCH(All!L$1,Fall!$1:$1,FALSE))="","",INDEX(Fall!$1:$1048576,MATCH(All!$A520,Fall!$A:$A,FALSE),MATCH(All!L$1,Fall!$1:$1,FALSE))),"")</f>
        <v/>
      </c>
      <c r="M520" t="str">
        <f>IFERROR(IF(INDEX(Fall!$1:$1048576,MATCH(All!$A520,Fall!$A:$A,FALSE),MATCH(All!M$1,Fall!$1:$1,FALSE))="","",INDEX(Fall!$1:$1048576,MATCH(All!$A520,Fall!$A:$A,FALSE),MATCH(All!M$1,Fall!$1:$1,FALSE))),"")</f>
        <v>1A</v>
      </c>
      <c r="O520">
        <f>IFERROR(IF(INDEX(Winter!$1:$1048576,MATCH(All!$A520,Winter!$A:$A,FALSE),MATCH(All!O$1,Winter!$1:$1,FALSE))="","",INDEX(Winter!$1:$1048576,MATCH(All!$A520,Winter!$A:$A,FALSE),MATCH(All!O$1,Winter!$1:$1,FALSE))),"")</f>
        <v>236</v>
      </c>
      <c r="P520" t="str">
        <f>IFERROR(IF(INDEX(Winter!$1:$1048576,MATCH(All!$A520,Winter!$A:$A,FALSE),MATCH(All!P$1,Winter!$1:$1,FALSE))="","",INDEX(Winter!$1:$1048576,MATCH(All!$A520,Winter!$A:$A,FALSE),MATCH(All!P$1,Winter!$1:$1,FALSE))),"")</f>
        <v>1A</v>
      </c>
      <c r="Q520" t="str">
        <f>IFERROR(IF(INDEX(Winter!$1:$1048576,MATCH(All!$A520,Winter!$A:$A,FALSE),MATCH(All!Q$1,Winter!$1:$1,FALSE))="","",INDEX(Winter!$1:$1048576,MATCH(All!$A520,Winter!$A:$A,FALSE),MATCH(All!Q$1,Winter!$1:$1,FALSE))),"")</f>
        <v>1A</v>
      </c>
      <c r="R520" t="str">
        <f>IFERROR(IF(INDEX(Winter!$1:$1048576,MATCH(All!$A520,Winter!$A:$A,FALSE),MATCH(All!R$1,Winter!$1:$1,FALSE))="","",INDEX(Winter!$1:$1048576,MATCH(All!$A520,Winter!$A:$A,FALSE),MATCH(All!R$1,Winter!$1:$1,FALSE))),"")</f>
        <v/>
      </c>
      <c r="S520" t="str">
        <f>IFERROR(IF(INDEX(Winter!$1:$1048576,MATCH(All!$A520,Winter!$A:$A,FALSE),MATCH(All!S$1,Winter!$1:$1,FALSE))="","",INDEX(Winter!$1:$1048576,MATCH(All!$A520,Winter!$A:$A,FALSE),MATCH(All!S$1,Winter!$1:$1,FALSE))),"")</f>
        <v/>
      </c>
      <c r="T520" t="str">
        <f>IFERROR(IF(INDEX(Winter!$1:$1048576,MATCH(All!$A520,Winter!$A:$A,FALSE),MATCH(All!T$1,Winter!$1:$1,FALSE))="","",INDEX(Winter!$1:$1048576,MATCH(All!$A520,Winter!$A:$A,FALSE),MATCH(All!T$1,Winter!$1:$1,FALSE))),"")</f>
        <v>1A</v>
      </c>
      <c r="U520" t="str">
        <f>IFERROR(IF(INDEX(Winter!$1:$1048576,MATCH(All!$A520,Winter!$A:$A,FALSE),MATCH(All!U$1,Winter!$1:$1,FALSE))="","",INDEX(Winter!$1:$1048576,MATCH(All!$A520,Winter!$A:$A,FALSE),MATCH(All!U$1,Winter!$1:$1,FALSE))),"")</f>
        <v>1A</v>
      </c>
      <c r="W520">
        <f>IFERROR(IF(INDEX(Spring!$1:$1048576,MATCH(All!$A520,Spring!$A:$A,FALSE),MATCH(All!W$1,Spring!$1:$1,FALSE))="","",INDEX(Spring!$1:$1048576,MATCH(All!$A520,Spring!$A:$A,FALSE),MATCH(All!W$1,Spring!$1:$1,FALSE))),"")</f>
        <v>236</v>
      </c>
      <c r="X520" t="str">
        <f>IFERROR(IF(INDEX(Spring!$1:$1048576,MATCH(All!$A520,Spring!$A:$A,FALSE),MATCH(All!X$1,Spring!$1:$1,FALSE))="","",INDEX(Spring!$1:$1048576,MATCH(All!$A520,Spring!$A:$A,FALSE),MATCH(All!X$1,Spring!$1:$1,FALSE))),"")</f>
        <v>1A</v>
      </c>
      <c r="Y520" t="str">
        <f>IFERROR(IF(INDEX(Spring!$1:$1048576,MATCH(All!$A520,Spring!$A:$A,FALSE),MATCH(All!Y$1,Spring!$1:$1,FALSE))="","",INDEX(Spring!$1:$1048576,MATCH(All!$A520,Spring!$A:$A,FALSE),MATCH(All!Y$1,Spring!$1:$1,FALSE))),"")</f>
        <v>1A</v>
      </c>
      <c r="Z520" t="str">
        <f>IFERROR(IF(INDEX(Spring!$1:$1048576,MATCH(All!$A520,Spring!$A:$A,FALSE),MATCH(All!Z$1,Spring!$1:$1,FALSE))="","",INDEX(Spring!$1:$1048576,MATCH(All!$A520,Spring!$A:$A,FALSE),MATCH(All!Z$1,Spring!$1:$1,FALSE))),"")</f>
        <v/>
      </c>
      <c r="AA520" t="str">
        <f>IFERROR(IF(INDEX(Spring!$1:$1048576,MATCH(All!$A520,Spring!$A:$A,FALSE),MATCH(All!AA$1,Spring!$1:$1,FALSE))="","",INDEX(Spring!$1:$1048576,MATCH(All!$A520,Spring!$A:$A,FALSE),MATCH(All!AA$1,Spring!$1:$1,FALSE))),"")</f>
        <v/>
      </c>
      <c r="AB520" t="str">
        <f>IFERROR(IF(INDEX(Spring!$1:$1048576,MATCH(All!$A520,Spring!$A:$A,FALSE),MATCH(All!AB$1,Spring!$1:$1,FALSE))="","",INDEX(Spring!$1:$1048576,MATCH(All!$A520,Spring!$A:$A,FALSE),MATCH(All!AB$1,Spring!$1:$1,FALSE))),"")</f>
        <v>1A</v>
      </c>
      <c r="AC520" t="str">
        <f>IFERROR(IF(INDEX(Spring!$1:$1048576,MATCH(All!$A520,Spring!$A:$A,FALSE),MATCH(All!AC$1,Spring!$1:$1,FALSE))="","",INDEX(Spring!$1:$1048576,MATCH(All!$A520,Spring!$A:$A,FALSE),MATCH(All!AC$1,Spring!$1:$1,FALSE))),"")</f>
        <v>1A</v>
      </c>
      <c r="AD520" t="str">
        <f>IFERROR(VLOOKUP(A520,'Flag Football'!A:A,1,FALSE),"")</f>
        <v/>
      </c>
      <c r="AE520" t="str">
        <f t="shared" si="8"/>
        <v/>
      </c>
    </row>
    <row r="521" spans="1:31" ht="15.75" thickBot="1" x14ac:dyDescent="0.3">
      <c r="A521" s="18" t="s">
        <v>612</v>
      </c>
      <c r="B521" s="38">
        <f>IFERROR(VLOOKUP(A521,'Public v Private'!A:G,3,FALSE),"")</f>
        <v>0</v>
      </c>
      <c r="C521" s="38">
        <f>IFERROR(VLOOKUP(A521,'Public v Private'!A:G,4,FALSE),"")</f>
        <v>0</v>
      </c>
      <c r="D521" s="38">
        <f>IFERROR(VLOOKUP(A521,'Public v Private'!A:G,5,FALSE),"")</f>
        <v>0</v>
      </c>
      <c r="E521" s="38"/>
      <c r="F521" s="40">
        <f>IFERROR(INDEX(Fall!$1:$1048576,MATCH(All!$A521,Fall!$A:$A,FALSE),MATCH(All!F$1,Fall!$1:$1,FALSE)),"N/A")</f>
        <v>206</v>
      </c>
      <c r="G521" t="str">
        <f>IFERROR(IF(INDEX(Fall!$1:$1048576,MATCH(All!$A521,Fall!$A:$A,FALSE),MATCH(All!G$1,Fall!$1:$1,FALSE))="","",INDEX(Fall!$1:$1048576,MATCH(All!$A521,Fall!$A:$A,FALSE),MATCH(All!G$1,Fall!$1:$1,FALSE))),"")</f>
        <v>1A</v>
      </c>
      <c r="H521" t="str">
        <f>IFERROR(IF(INDEX(Fall!$1:$1048576,MATCH(All!$A521,Fall!$A:$A,FALSE),MATCH(All!H$1,Fall!$1:$1,FALSE))="","",INDEX(Fall!$1:$1048576,MATCH(All!$A521,Fall!$A:$A,FALSE),MATCH(All!H$1,Fall!$1:$1,FALSE))),"")</f>
        <v>1A</v>
      </c>
      <c r="I521" t="str">
        <f>IFERROR(IF(INDEX(Fall!$1:$1048576,MATCH(All!$A521,Fall!$A:$A,FALSE),MATCH(All!I$1,Fall!$1:$1,FALSE))="","",INDEX(Fall!$1:$1048576,MATCH(All!$A521,Fall!$A:$A,FALSE),MATCH(All!I$1,Fall!$1:$1,FALSE))),"")</f>
        <v>1A</v>
      </c>
      <c r="J521" t="str">
        <f>IFERROR(IF(INDEX(Fall!$1:$1048576,MATCH(All!$A521,Fall!$A:$A,FALSE),MATCH(All!J$1,Fall!$1:$1,FALSE))="","",INDEX(Fall!$1:$1048576,MATCH(All!$A521,Fall!$A:$A,FALSE),MATCH(All!J$1,Fall!$1:$1,FALSE))),"")</f>
        <v>1A</v>
      </c>
      <c r="K521" t="str">
        <f>IFERROR(IF(INDEX(Fall!$1:$1048576,MATCH(All!$A521,Fall!$A:$A,FALSE),MATCH(All!K$1,Fall!$1:$1,FALSE))="","",INDEX(Fall!$1:$1048576,MATCH(All!$A521,Fall!$A:$A,FALSE),MATCH(All!K$1,Fall!$1:$1,FALSE))),"")</f>
        <v/>
      </c>
      <c r="L521" t="str">
        <f>IFERROR(IF(INDEX(Fall!$1:$1048576,MATCH(All!$A521,Fall!$A:$A,FALSE),MATCH(All!L$1,Fall!$1:$1,FALSE))="","",INDEX(Fall!$1:$1048576,MATCH(All!$A521,Fall!$A:$A,FALSE),MATCH(All!L$1,Fall!$1:$1,FALSE))),"")</f>
        <v/>
      </c>
      <c r="M521" t="str">
        <f>IFERROR(IF(INDEX(Fall!$1:$1048576,MATCH(All!$A521,Fall!$A:$A,FALSE),MATCH(All!M$1,Fall!$1:$1,FALSE))="","",INDEX(Fall!$1:$1048576,MATCH(All!$A521,Fall!$A:$A,FALSE),MATCH(All!M$1,Fall!$1:$1,FALSE))),"")</f>
        <v>1A</v>
      </c>
      <c r="O521">
        <f>IFERROR(IF(INDEX(Winter!$1:$1048576,MATCH(All!$A521,Winter!$A:$A,FALSE),MATCH(All!O$1,Winter!$1:$1,FALSE))="","",INDEX(Winter!$1:$1048576,MATCH(All!$A521,Winter!$A:$A,FALSE),MATCH(All!O$1,Winter!$1:$1,FALSE))),"")</f>
        <v>206</v>
      </c>
      <c r="P521" t="str">
        <f>IFERROR(IF(INDEX(Winter!$1:$1048576,MATCH(All!$A521,Winter!$A:$A,FALSE),MATCH(All!P$1,Winter!$1:$1,FALSE))="","",INDEX(Winter!$1:$1048576,MATCH(All!$A521,Winter!$A:$A,FALSE),MATCH(All!P$1,Winter!$1:$1,FALSE))),"")</f>
        <v>1A</v>
      </c>
      <c r="Q521" t="str">
        <f>IFERROR(IF(INDEX(Winter!$1:$1048576,MATCH(All!$A521,Winter!$A:$A,FALSE),MATCH(All!Q$1,Winter!$1:$1,FALSE))="","",INDEX(Winter!$1:$1048576,MATCH(All!$A521,Winter!$A:$A,FALSE),MATCH(All!Q$1,Winter!$1:$1,FALSE))),"")</f>
        <v>1A</v>
      </c>
      <c r="R521" t="str">
        <f>IFERROR(IF(INDEX(Winter!$1:$1048576,MATCH(All!$A521,Winter!$A:$A,FALSE),MATCH(All!R$1,Winter!$1:$1,FALSE))="","",INDEX(Winter!$1:$1048576,MATCH(All!$A521,Winter!$A:$A,FALSE),MATCH(All!R$1,Winter!$1:$1,FALSE))),"")</f>
        <v/>
      </c>
      <c r="S521" t="str">
        <f>IFERROR(IF(INDEX(Winter!$1:$1048576,MATCH(All!$A521,Winter!$A:$A,FALSE),MATCH(All!S$1,Winter!$1:$1,FALSE))="","",INDEX(Winter!$1:$1048576,MATCH(All!$A521,Winter!$A:$A,FALSE),MATCH(All!S$1,Winter!$1:$1,FALSE))),"")</f>
        <v/>
      </c>
      <c r="T521" t="str">
        <f>IFERROR(IF(INDEX(Winter!$1:$1048576,MATCH(All!$A521,Winter!$A:$A,FALSE),MATCH(All!T$1,Winter!$1:$1,FALSE))="","",INDEX(Winter!$1:$1048576,MATCH(All!$A521,Winter!$A:$A,FALSE),MATCH(All!T$1,Winter!$1:$1,FALSE))),"")</f>
        <v>1A</v>
      </c>
      <c r="U521" t="str">
        <f>IFERROR(IF(INDEX(Winter!$1:$1048576,MATCH(All!$A521,Winter!$A:$A,FALSE),MATCH(All!U$1,Winter!$1:$1,FALSE))="","",INDEX(Winter!$1:$1048576,MATCH(All!$A521,Winter!$A:$A,FALSE),MATCH(All!U$1,Winter!$1:$1,FALSE))),"")</f>
        <v/>
      </c>
      <c r="W521">
        <f>IFERROR(IF(INDEX(Spring!$1:$1048576,MATCH(All!$A521,Spring!$A:$A,FALSE),MATCH(All!W$1,Spring!$1:$1,FALSE))="","",INDEX(Spring!$1:$1048576,MATCH(All!$A521,Spring!$A:$A,FALSE),MATCH(All!W$1,Spring!$1:$1,FALSE))),"")</f>
        <v>206</v>
      </c>
      <c r="X521" t="str">
        <f>IFERROR(IF(INDEX(Spring!$1:$1048576,MATCH(All!$A521,Spring!$A:$A,FALSE),MATCH(All!X$1,Spring!$1:$1,FALSE))="","",INDEX(Spring!$1:$1048576,MATCH(All!$A521,Spring!$A:$A,FALSE),MATCH(All!X$1,Spring!$1:$1,FALSE))),"")</f>
        <v>1A</v>
      </c>
      <c r="Y521" t="str">
        <f>IFERROR(IF(INDEX(Spring!$1:$1048576,MATCH(All!$A521,Spring!$A:$A,FALSE),MATCH(All!Y$1,Spring!$1:$1,FALSE))="","",INDEX(Spring!$1:$1048576,MATCH(All!$A521,Spring!$A:$A,FALSE),MATCH(All!Y$1,Spring!$1:$1,FALSE))),"")</f>
        <v>1A</v>
      </c>
      <c r="Z521" t="str">
        <f>IFERROR(IF(INDEX(Spring!$1:$1048576,MATCH(All!$A521,Spring!$A:$A,FALSE),MATCH(All!Z$1,Spring!$1:$1,FALSE))="","",INDEX(Spring!$1:$1048576,MATCH(All!$A521,Spring!$A:$A,FALSE),MATCH(All!Z$1,Spring!$1:$1,FALSE))),"")</f>
        <v/>
      </c>
      <c r="AA521" t="str">
        <f>IFERROR(IF(INDEX(Spring!$1:$1048576,MATCH(All!$A521,Spring!$A:$A,FALSE),MATCH(All!AA$1,Spring!$1:$1,FALSE))="","",INDEX(Spring!$1:$1048576,MATCH(All!$A521,Spring!$A:$A,FALSE),MATCH(All!AA$1,Spring!$1:$1,FALSE))),"")</f>
        <v/>
      </c>
      <c r="AB521" t="str">
        <f>IFERROR(IF(INDEX(Spring!$1:$1048576,MATCH(All!$A521,Spring!$A:$A,FALSE),MATCH(All!AB$1,Spring!$1:$1,FALSE))="","",INDEX(Spring!$1:$1048576,MATCH(All!$A521,Spring!$A:$A,FALSE),MATCH(All!AB$1,Spring!$1:$1,FALSE))),"")</f>
        <v>1A</v>
      </c>
      <c r="AC521" t="str">
        <f>IFERROR(IF(INDEX(Spring!$1:$1048576,MATCH(All!$A521,Spring!$A:$A,FALSE),MATCH(All!AC$1,Spring!$1:$1,FALSE))="","",INDEX(Spring!$1:$1048576,MATCH(All!$A521,Spring!$A:$A,FALSE),MATCH(All!AC$1,Spring!$1:$1,FALSE))),"")</f>
        <v>1A</v>
      </c>
      <c r="AD521" t="str">
        <f>IFERROR(VLOOKUP(A521,'Flag Football'!A:A,1,FALSE),"")</f>
        <v/>
      </c>
      <c r="AE521" t="str">
        <f t="shared" si="8"/>
        <v/>
      </c>
    </row>
    <row r="522" spans="1:31" ht="15.75" thickBot="1" x14ac:dyDescent="0.3">
      <c r="A522" s="20" t="s">
        <v>613</v>
      </c>
      <c r="B522" s="38">
        <f>IFERROR(VLOOKUP(A522,'Public v Private'!A:G,3,FALSE),"")</f>
        <v>0</v>
      </c>
      <c r="C522" s="38">
        <f>IFERROR(VLOOKUP(A522,'Public v Private'!A:G,4,FALSE),"")</f>
        <v>0</v>
      </c>
      <c r="D522" s="38">
        <f>IFERROR(VLOOKUP(A522,'Public v Private'!A:G,5,FALSE),"")</f>
        <v>0</v>
      </c>
      <c r="E522" s="38"/>
      <c r="F522" s="40">
        <f>IFERROR(INDEX(Fall!$1:$1048576,MATCH(All!$A522,Fall!$A:$A,FALSE),MATCH(All!F$1,Fall!$1:$1,FALSE)),"N/A")</f>
        <v>452</v>
      </c>
      <c r="G522" t="str">
        <f>IFERROR(IF(INDEX(Fall!$1:$1048576,MATCH(All!$A522,Fall!$A:$A,FALSE),MATCH(All!G$1,Fall!$1:$1,FALSE))="","",INDEX(Fall!$1:$1048576,MATCH(All!$A522,Fall!$A:$A,FALSE),MATCH(All!G$1,Fall!$1:$1,FALSE))),"")</f>
        <v>1A</v>
      </c>
      <c r="H522" t="str">
        <f>IFERROR(IF(INDEX(Fall!$1:$1048576,MATCH(All!$A522,Fall!$A:$A,FALSE),MATCH(All!H$1,Fall!$1:$1,FALSE))="","",INDEX(Fall!$1:$1048576,MATCH(All!$A522,Fall!$A:$A,FALSE),MATCH(All!H$1,Fall!$1:$1,FALSE))),"")</f>
        <v>1A</v>
      </c>
      <c r="I522" t="str">
        <f>IFERROR(IF(INDEX(Fall!$1:$1048576,MATCH(All!$A522,Fall!$A:$A,FALSE),MATCH(All!I$1,Fall!$1:$1,FALSE))="","",INDEX(Fall!$1:$1048576,MATCH(All!$A522,Fall!$A:$A,FALSE),MATCH(All!I$1,Fall!$1:$1,FALSE))),"")</f>
        <v>1A</v>
      </c>
      <c r="J522" t="str">
        <f>IFERROR(IF(INDEX(Fall!$1:$1048576,MATCH(All!$A522,Fall!$A:$A,FALSE),MATCH(All!J$1,Fall!$1:$1,FALSE))="","",INDEX(Fall!$1:$1048576,MATCH(All!$A522,Fall!$A:$A,FALSE),MATCH(All!J$1,Fall!$1:$1,FALSE))),"")</f>
        <v>1A</v>
      </c>
      <c r="K522" t="str">
        <f>IFERROR(IF(INDEX(Fall!$1:$1048576,MATCH(All!$A522,Fall!$A:$A,FALSE),MATCH(All!K$1,Fall!$1:$1,FALSE))="","",INDEX(Fall!$1:$1048576,MATCH(All!$A522,Fall!$A:$A,FALSE),MATCH(All!K$1,Fall!$1:$1,FALSE))),"")</f>
        <v>1A</v>
      </c>
      <c r="L522" t="str">
        <f>IFERROR(IF(INDEX(Fall!$1:$1048576,MATCH(All!$A522,Fall!$A:$A,FALSE),MATCH(All!L$1,Fall!$1:$1,FALSE))="","",INDEX(Fall!$1:$1048576,MATCH(All!$A522,Fall!$A:$A,FALSE),MATCH(All!L$1,Fall!$1:$1,FALSE))),"")</f>
        <v>1A</v>
      </c>
      <c r="M522" t="str">
        <f>IFERROR(IF(INDEX(Fall!$1:$1048576,MATCH(All!$A522,Fall!$A:$A,FALSE),MATCH(All!M$1,Fall!$1:$1,FALSE))="","",INDEX(Fall!$1:$1048576,MATCH(All!$A522,Fall!$A:$A,FALSE),MATCH(All!M$1,Fall!$1:$1,FALSE))),"")</f>
        <v>2A</v>
      </c>
      <c r="O522">
        <f>IFERROR(IF(INDEX(Winter!$1:$1048576,MATCH(All!$A522,Winter!$A:$A,FALSE),MATCH(All!O$1,Winter!$1:$1,FALSE))="","",INDEX(Winter!$1:$1048576,MATCH(All!$A522,Winter!$A:$A,FALSE),MATCH(All!O$1,Winter!$1:$1,FALSE))),"")</f>
        <v>452</v>
      </c>
      <c r="P522" t="str">
        <f>IFERROR(IF(INDEX(Winter!$1:$1048576,MATCH(All!$A522,Winter!$A:$A,FALSE),MATCH(All!P$1,Winter!$1:$1,FALSE))="","",INDEX(Winter!$1:$1048576,MATCH(All!$A522,Winter!$A:$A,FALSE),MATCH(All!P$1,Winter!$1:$1,FALSE))),"")</f>
        <v>2A</v>
      </c>
      <c r="Q522" t="str">
        <f>IFERROR(IF(INDEX(Winter!$1:$1048576,MATCH(All!$A522,Winter!$A:$A,FALSE),MATCH(All!Q$1,Winter!$1:$1,FALSE))="","",INDEX(Winter!$1:$1048576,MATCH(All!$A522,Winter!$A:$A,FALSE),MATCH(All!Q$1,Winter!$1:$1,FALSE))),"")</f>
        <v>2A</v>
      </c>
      <c r="R522" t="str">
        <f>IFERROR(IF(INDEX(Winter!$1:$1048576,MATCH(All!$A522,Winter!$A:$A,FALSE),MATCH(All!R$1,Winter!$1:$1,FALSE))="","",INDEX(Winter!$1:$1048576,MATCH(All!$A522,Winter!$A:$A,FALSE),MATCH(All!R$1,Winter!$1:$1,FALSE))),"")</f>
        <v/>
      </c>
      <c r="S522" t="str">
        <f>IFERROR(IF(INDEX(Winter!$1:$1048576,MATCH(All!$A522,Winter!$A:$A,FALSE),MATCH(All!S$1,Winter!$1:$1,FALSE))="","",INDEX(Winter!$1:$1048576,MATCH(All!$A522,Winter!$A:$A,FALSE),MATCH(All!S$1,Winter!$1:$1,FALSE))),"")</f>
        <v/>
      </c>
      <c r="T522" t="str">
        <f>IFERROR(IF(INDEX(Winter!$1:$1048576,MATCH(All!$A522,Winter!$A:$A,FALSE),MATCH(All!T$1,Winter!$1:$1,FALSE))="","",INDEX(Winter!$1:$1048576,MATCH(All!$A522,Winter!$A:$A,FALSE),MATCH(All!T$1,Winter!$1:$1,FALSE))),"")</f>
        <v/>
      </c>
      <c r="U522" t="str">
        <f>IFERROR(IF(INDEX(Winter!$1:$1048576,MATCH(All!$A522,Winter!$A:$A,FALSE),MATCH(All!U$1,Winter!$1:$1,FALSE))="","",INDEX(Winter!$1:$1048576,MATCH(All!$A522,Winter!$A:$A,FALSE),MATCH(All!U$1,Winter!$1:$1,FALSE))),"")</f>
        <v>1A</v>
      </c>
      <c r="W522">
        <f>IFERROR(IF(INDEX(Spring!$1:$1048576,MATCH(All!$A522,Spring!$A:$A,FALSE),MATCH(All!W$1,Spring!$1:$1,FALSE))="","",INDEX(Spring!$1:$1048576,MATCH(All!$A522,Spring!$A:$A,FALSE),MATCH(All!W$1,Spring!$1:$1,FALSE))),"")</f>
        <v>452</v>
      </c>
      <c r="X522" t="str">
        <f>IFERROR(IF(INDEX(Spring!$1:$1048576,MATCH(All!$A522,Spring!$A:$A,FALSE),MATCH(All!X$1,Spring!$1:$1,FALSE))="","",INDEX(Spring!$1:$1048576,MATCH(All!$A522,Spring!$A:$A,FALSE),MATCH(All!X$1,Spring!$1:$1,FALSE))),"")</f>
        <v>2A</v>
      </c>
      <c r="Y522" t="str">
        <f>IFERROR(IF(INDEX(Spring!$1:$1048576,MATCH(All!$A522,Spring!$A:$A,FALSE),MATCH(All!Y$1,Spring!$1:$1,FALSE))="","",INDEX(Spring!$1:$1048576,MATCH(All!$A522,Spring!$A:$A,FALSE),MATCH(All!Y$1,Spring!$1:$1,FALSE))),"")</f>
        <v>2A</v>
      </c>
      <c r="Z522" t="str">
        <f>IFERROR(IF(INDEX(Spring!$1:$1048576,MATCH(All!$A522,Spring!$A:$A,FALSE),MATCH(All!Z$1,Spring!$1:$1,FALSE))="","",INDEX(Spring!$1:$1048576,MATCH(All!$A522,Spring!$A:$A,FALSE),MATCH(All!Z$1,Spring!$1:$1,FALSE))),"")</f>
        <v>1A</v>
      </c>
      <c r="AA522" t="str">
        <f>IFERROR(IF(INDEX(Spring!$1:$1048576,MATCH(All!$A522,Spring!$A:$A,FALSE),MATCH(All!AA$1,Spring!$1:$1,FALSE))="","",INDEX(Spring!$1:$1048576,MATCH(All!$A522,Spring!$A:$A,FALSE),MATCH(All!AA$1,Spring!$1:$1,FALSE))),"")</f>
        <v>1A</v>
      </c>
      <c r="AB522" t="str">
        <f>IFERROR(IF(INDEX(Spring!$1:$1048576,MATCH(All!$A522,Spring!$A:$A,FALSE),MATCH(All!AB$1,Spring!$1:$1,FALSE))="","",INDEX(Spring!$1:$1048576,MATCH(All!$A522,Spring!$A:$A,FALSE),MATCH(All!AB$1,Spring!$1:$1,FALSE))),"")</f>
        <v>2A</v>
      </c>
      <c r="AC522" t="str">
        <f>IFERROR(IF(INDEX(Spring!$1:$1048576,MATCH(All!$A522,Spring!$A:$A,FALSE),MATCH(All!AC$1,Spring!$1:$1,FALSE))="","",INDEX(Spring!$1:$1048576,MATCH(All!$A522,Spring!$A:$A,FALSE),MATCH(All!AC$1,Spring!$1:$1,FALSE))),"")</f>
        <v>2A</v>
      </c>
      <c r="AD522" t="str">
        <f>IFERROR(VLOOKUP(A522,'Flag Football'!A:A,1,FALSE),"")</f>
        <v/>
      </c>
      <c r="AE522" t="str">
        <f t="shared" si="8"/>
        <v/>
      </c>
    </row>
    <row r="523" spans="1:31" ht="15.75" thickBot="1" x14ac:dyDescent="0.3">
      <c r="A523" s="18" t="s">
        <v>614</v>
      </c>
      <c r="B523" s="38">
        <f>IFERROR(VLOOKUP(A523,'Public v Private'!A:G,3,FALSE),"")</f>
        <v>0</v>
      </c>
      <c r="C523" s="38">
        <f>IFERROR(VLOOKUP(A523,'Public v Private'!A:G,4,FALSE),"")</f>
        <v>0</v>
      </c>
      <c r="D523" s="38">
        <f>IFERROR(VLOOKUP(A523,'Public v Private'!A:G,5,FALSE),"")</f>
        <v>0</v>
      </c>
      <c r="E523" s="38"/>
      <c r="F523" s="40">
        <f>IFERROR(INDEX(Fall!$1:$1048576,MATCH(All!$A523,Fall!$A:$A,FALSE),MATCH(All!F$1,Fall!$1:$1,FALSE)),"N/A")</f>
        <v>163</v>
      </c>
      <c r="G523" t="str">
        <f>IFERROR(IF(INDEX(Fall!$1:$1048576,MATCH(All!$A523,Fall!$A:$A,FALSE),MATCH(All!G$1,Fall!$1:$1,FALSE))="","",INDEX(Fall!$1:$1048576,MATCH(All!$A523,Fall!$A:$A,FALSE),MATCH(All!G$1,Fall!$1:$1,FALSE))),"")</f>
        <v/>
      </c>
      <c r="H523" t="str">
        <f>IFERROR(IF(INDEX(Fall!$1:$1048576,MATCH(All!$A523,Fall!$A:$A,FALSE),MATCH(All!H$1,Fall!$1:$1,FALSE))="","",INDEX(Fall!$1:$1048576,MATCH(All!$A523,Fall!$A:$A,FALSE),MATCH(All!H$1,Fall!$1:$1,FALSE))),"")</f>
        <v/>
      </c>
      <c r="I523" t="str">
        <f>IFERROR(IF(INDEX(Fall!$1:$1048576,MATCH(All!$A523,Fall!$A:$A,FALSE),MATCH(All!I$1,Fall!$1:$1,FALSE))="","",INDEX(Fall!$1:$1048576,MATCH(All!$A523,Fall!$A:$A,FALSE),MATCH(All!I$1,Fall!$1:$1,FALSE))),"")</f>
        <v>1A</v>
      </c>
      <c r="J523" t="str">
        <f>IFERROR(IF(INDEX(Fall!$1:$1048576,MATCH(All!$A523,Fall!$A:$A,FALSE),MATCH(All!J$1,Fall!$1:$1,FALSE))="","",INDEX(Fall!$1:$1048576,MATCH(All!$A523,Fall!$A:$A,FALSE),MATCH(All!J$1,Fall!$1:$1,FALSE))),"")</f>
        <v>1A</v>
      </c>
      <c r="K523" t="str">
        <f>IFERROR(IF(INDEX(Fall!$1:$1048576,MATCH(All!$A523,Fall!$A:$A,FALSE),MATCH(All!K$1,Fall!$1:$1,FALSE))="","",INDEX(Fall!$1:$1048576,MATCH(All!$A523,Fall!$A:$A,FALSE),MATCH(All!K$1,Fall!$1:$1,FALSE))),"")</f>
        <v/>
      </c>
      <c r="L523" t="str">
        <f>IFERROR(IF(INDEX(Fall!$1:$1048576,MATCH(All!$A523,Fall!$A:$A,FALSE),MATCH(All!L$1,Fall!$1:$1,FALSE))="","",INDEX(Fall!$1:$1048576,MATCH(All!$A523,Fall!$A:$A,FALSE),MATCH(All!L$1,Fall!$1:$1,FALSE))),"")</f>
        <v/>
      </c>
      <c r="M523" t="str">
        <f>IFERROR(IF(INDEX(Fall!$1:$1048576,MATCH(All!$A523,Fall!$A:$A,FALSE),MATCH(All!M$1,Fall!$1:$1,FALSE))="","",INDEX(Fall!$1:$1048576,MATCH(All!$A523,Fall!$A:$A,FALSE),MATCH(All!M$1,Fall!$1:$1,FALSE))),"")</f>
        <v>1A</v>
      </c>
      <c r="O523">
        <f>IFERROR(IF(INDEX(Winter!$1:$1048576,MATCH(All!$A523,Winter!$A:$A,FALSE),MATCH(All!O$1,Winter!$1:$1,FALSE))="","",INDEX(Winter!$1:$1048576,MATCH(All!$A523,Winter!$A:$A,FALSE),MATCH(All!O$1,Winter!$1:$1,FALSE))),"")</f>
        <v>163</v>
      </c>
      <c r="P523" t="str">
        <f>IFERROR(IF(INDEX(Winter!$1:$1048576,MATCH(All!$A523,Winter!$A:$A,FALSE),MATCH(All!P$1,Winter!$1:$1,FALSE))="","",INDEX(Winter!$1:$1048576,MATCH(All!$A523,Winter!$A:$A,FALSE),MATCH(All!P$1,Winter!$1:$1,FALSE))),"")</f>
        <v>1A</v>
      </c>
      <c r="Q523" t="str">
        <f>IFERROR(IF(INDEX(Winter!$1:$1048576,MATCH(All!$A523,Winter!$A:$A,FALSE),MATCH(All!Q$1,Winter!$1:$1,FALSE))="","",INDEX(Winter!$1:$1048576,MATCH(All!$A523,Winter!$A:$A,FALSE),MATCH(All!Q$1,Winter!$1:$1,FALSE))),"")</f>
        <v>1A</v>
      </c>
      <c r="R523" t="str">
        <f>IFERROR(IF(INDEX(Winter!$1:$1048576,MATCH(All!$A523,Winter!$A:$A,FALSE),MATCH(All!R$1,Winter!$1:$1,FALSE))="","",INDEX(Winter!$1:$1048576,MATCH(All!$A523,Winter!$A:$A,FALSE),MATCH(All!R$1,Winter!$1:$1,FALSE))),"")</f>
        <v/>
      </c>
      <c r="S523" t="str">
        <f>IFERROR(IF(INDEX(Winter!$1:$1048576,MATCH(All!$A523,Winter!$A:$A,FALSE),MATCH(All!S$1,Winter!$1:$1,FALSE))="","",INDEX(Winter!$1:$1048576,MATCH(All!$A523,Winter!$A:$A,FALSE),MATCH(All!S$1,Winter!$1:$1,FALSE))),"")</f>
        <v/>
      </c>
      <c r="T523" t="str">
        <f>IFERROR(IF(INDEX(Winter!$1:$1048576,MATCH(All!$A523,Winter!$A:$A,FALSE),MATCH(All!T$1,Winter!$1:$1,FALSE))="","",INDEX(Winter!$1:$1048576,MATCH(All!$A523,Winter!$A:$A,FALSE),MATCH(All!T$1,Winter!$1:$1,FALSE))),"")</f>
        <v>1A</v>
      </c>
      <c r="U523" t="str">
        <f>IFERROR(IF(INDEX(Winter!$1:$1048576,MATCH(All!$A523,Winter!$A:$A,FALSE),MATCH(All!U$1,Winter!$1:$1,FALSE))="","",INDEX(Winter!$1:$1048576,MATCH(All!$A523,Winter!$A:$A,FALSE),MATCH(All!U$1,Winter!$1:$1,FALSE))),"")</f>
        <v/>
      </c>
      <c r="W523">
        <f>IFERROR(IF(INDEX(Spring!$1:$1048576,MATCH(All!$A523,Spring!$A:$A,FALSE),MATCH(All!W$1,Spring!$1:$1,FALSE))="","",INDEX(Spring!$1:$1048576,MATCH(All!$A523,Spring!$A:$A,FALSE),MATCH(All!W$1,Spring!$1:$1,FALSE))),"")</f>
        <v>163</v>
      </c>
      <c r="X523" t="str">
        <f>IFERROR(IF(INDEX(Spring!$1:$1048576,MATCH(All!$A523,Spring!$A:$A,FALSE),MATCH(All!X$1,Spring!$1:$1,FALSE))="","",INDEX(Spring!$1:$1048576,MATCH(All!$A523,Spring!$A:$A,FALSE),MATCH(All!X$1,Spring!$1:$1,FALSE))),"")</f>
        <v/>
      </c>
      <c r="Y523" t="str">
        <f>IFERROR(IF(INDEX(Spring!$1:$1048576,MATCH(All!$A523,Spring!$A:$A,FALSE),MATCH(All!Y$1,Spring!$1:$1,FALSE))="","",INDEX(Spring!$1:$1048576,MATCH(All!$A523,Spring!$A:$A,FALSE),MATCH(All!Y$1,Spring!$1:$1,FALSE))),"")</f>
        <v/>
      </c>
      <c r="Z523" t="str">
        <f>IFERROR(IF(INDEX(Spring!$1:$1048576,MATCH(All!$A523,Spring!$A:$A,FALSE),MATCH(All!Z$1,Spring!$1:$1,FALSE))="","",INDEX(Spring!$1:$1048576,MATCH(All!$A523,Spring!$A:$A,FALSE),MATCH(All!Z$1,Spring!$1:$1,FALSE))),"")</f>
        <v/>
      </c>
      <c r="AA523" t="str">
        <f>IFERROR(IF(INDEX(Spring!$1:$1048576,MATCH(All!$A523,Spring!$A:$A,FALSE),MATCH(All!AA$1,Spring!$1:$1,FALSE))="","",INDEX(Spring!$1:$1048576,MATCH(All!$A523,Spring!$A:$A,FALSE),MATCH(All!AA$1,Spring!$1:$1,FALSE))),"")</f>
        <v/>
      </c>
      <c r="AB523" t="str">
        <f>IFERROR(IF(INDEX(Spring!$1:$1048576,MATCH(All!$A523,Spring!$A:$A,FALSE),MATCH(All!AB$1,Spring!$1:$1,FALSE))="","",INDEX(Spring!$1:$1048576,MATCH(All!$A523,Spring!$A:$A,FALSE),MATCH(All!AB$1,Spring!$1:$1,FALSE))),"")</f>
        <v>1A</v>
      </c>
      <c r="AC523" t="str">
        <f>IFERROR(IF(INDEX(Spring!$1:$1048576,MATCH(All!$A523,Spring!$A:$A,FALSE),MATCH(All!AC$1,Spring!$1:$1,FALSE))="","",INDEX(Spring!$1:$1048576,MATCH(All!$A523,Spring!$A:$A,FALSE),MATCH(All!AC$1,Spring!$1:$1,FALSE))),"")</f>
        <v>1A</v>
      </c>
      <c r="AD523" t="str">
        <f>IFERROR(VLOOKUP(A523,'Flag Football'!A:A,1,FALSE),"")</f>
        <v/>
      </c>
      <c r="AE523" t="str">
        <f t="shared" si="8"/>
        <v/>
      </c>
    </row>
    <row r="524" spans="1:31" ht="15.75" thickBot="1" x14ac:dyDescent="0.3">
      <c r="A524" s="20" t="s">
        <v>615</v>
      </c>
      <c r="B524" s="38">
        <f>IFERROR(VLOOKUP(A524,'Public v Private'!A:G,3,FALSE),"")</f>
        <v>0</v>
      </c>
      <c r="C524" s="38">
        <f>IFERROR(VLOOKUP(A524,'Public v Private'!A:G,4,FALSE),"")</f>
        <v>0</v>
      </c>
      <c r="D524" s="38">
        <f>IFERROR(VLOOKUP(A524,'Public v Private'!A:G,5,FALSE),"")</f>
        <v>0</v>
      </c>
      <c r="E524" s="38"/>
      <c r="F524" s="40">
        <f>IFERROR(INDEX(Fall!$1:$1048576,MATCH(All!$A524,Fall!$A:$A,FALSE),MATCH(All!F$1,Fall!$1:$1,FALSE)),"N/A")</f>
        <v>2152</v>
      </c>
      <c r="G524" t="str">
        <f>IFERROR(IF(INDEX(Fall!$1:$1048576,MATCH(All!$A524,Fall!$A:$A,FALSE),MATCH(All!G$1,Fall!$1:$1,FALSE))="","",INDEX(Fall!$1:$1048576,MATCH(All!$A524,Fall!$A:$A,FALSE),MATCH(All!G$1,Fall!$1:$1,FALSE))),"")</f>
        <v>3A</v>
      </c>
      <c r="H524" t="str">
        <f>IFERROR(IF(INDEX(Fall!$1:$1048576,MATCH(All!$A524,Fall!$A:$A,FALSE),MATCH(All!H$1,Fall!$1:$1,FALSE))="","",INDEX(Fall!$1:$1048576,MATCH(All!$A524,Fall!$A:$A,FALSE),MATCH(All!H$1,Fall!$1:$1,FALSE))),"")</f>
        <v>3A</v>
      </c>
      <c r="I524" t="str">
        <f>IFERROR(IF(INDEX(Fall!$1:$1048576,MATCH(All!$A524,Fall!$A:$A,FALSE),MATCH(All!I$1,Fall!$1:$1,FALSE))="","",INDEX(Fall!$1:$1048576,MATCH(All!$A524,Fall!$A:$A,FALSE),MATCH(All!I$1,Fall!$1:$1,FALSE))),"")</f>
        <v>3A</v>
      </c>
      <c r="J524" t="str">
        <f>IFERROR(IF(INDEX(Fall!$1:$1048576,MATCH(All!$A524,Fall!$A:$A,FALSE),MATCH(All!J$1,Fall!$1:$1,FALSE))="","",INDEX(Fall!$1:$1048576,MATCH(All!$A524,Fall!$A:$A,FALSE),MATCH(All!J$1,Fall!$1:$1,FALSE))),"")</f>
        <v>2A</v>
      </c>
      <c r="K524" t="str">
        <f>IFERROR(IF(INDEX(Fall!$1:$1048576,MATCH(All!$A524,Fall!$A:$A,FALSE),MATCH(All!K$1,Fall!$1:$1,FALSE))="","",INDEX(Fall!$1:$1048576,MATCH(All!$A524,Fall!$A:$A,FALSE),MATCH(All!K$1,Fall!$1:$1,FALSE))),"")</f>
        <v>3A</v>
      </c>
      <c r="L524" t="str">
        <f>IFERROR(IF(INDEX(Fall!$1:$1048576,MATCH(All!$A524,Fall!$A:$A,FALSE),MATCH(All!L$1,Fall!$1:$1,FALSE))="","",INDEX(Fall!$1:$1048576,MATCH(All!$A524,Fall!$A:$A,FALSE),MATCH(All!L$1,Fall!$1:$1,FALSE))),"")</f>
        <v>2A</v>
      </c>
      <c r="M524" t="str">
        <f>IFERROR(IF(INDEX(Fall!$1:$1048576,MATCH(All!$A524,Fall!$A:$A,FALSE),MATCH(All!M$1,Fall!$1:$1,FALSE))="","",INDEX(Fall!$1:$1048576,MATCH(All!$A524,Fall!$A:$A,FALSE),MATCH(All!M$1,Fall!$1:$1,FALSE))),"")</f>
        <v>4A</v>
      </c>
      <c r="O524">
        <f>IFERROR(IF(INDEX(Winter!$1:$1048576,MATCH(All!$A524,Winter!$A:$A,FALSE),MATCH(All!O$1,Winter!$1:$1,FALSE))="","",INDEX(Winter!$1:$1048576,MATCH(All!$A524,Winter!$A:$A,FALSE),MATCH(All!O$1,Winter!$1:$1,FALSE))),"")</f>
        <v>2152</v>
      </c>
      <c r="P524" t="str">
        <f>IFERROR(IF(INDEX(Winter!$1:$1048576,MATCH(All!$A524,Winter!$A:$A,FALSE),MATCH(All!P$1,Winter!$1:$1,FALSE))="","",INDEX(Winter!$1:$1048576,MATCH(All!$A524,Winter!$A:$A,FALSE),MATCH(All!P$1,Winter!$1:$1,FALSE))),"")</f>
        <v>4A</v>
      </c>
      <c r="Q524" t="str">
        <f>IFERROR(IF(INDEX(Winter!$1:$1048576,MATCH(All!$A524,Winter!$A:$A,FALSE),MATCH(All!Q$1,Winter!$1:$1,FALSE))="","",INDEX(Winter!$1:$1048576,MATCH(All!$A524,Winter!$A:$A,FALSE),MATCH(All!Q$1,Winter!$1:$1,FALSE))),"")</f>
        <v>4A</v>
      </c>
      <c r="R524" t="str">
        <f>IFERROR(IF(INDEX(Winter!$1:$1048576,MATCH(All!$A524,Winter!$A:$A,FALSE),MATCH(All!R$1,Winter!$1:$1,FALSE))="","",INDEX(Winter!$1:$1048576,MATCH(All!$A524,Winter!$A:$A,FALSE),MATCH(All!R$1,Winter!$1:$1,FALSE))),"")</f>
        <v>3A</v>
      </c>
      <c r="S524" t="str">
        <f>IFERROR(IF(INDEX(Winter!$1:$1048576,MATCH(All!$A524,Winter!$A:$A,FALSE),MATCH(All!S$1,Winter!$1:$1,FALSE))="","",INDEX(Winter!$1:$1048576,MATCH(All!$A524,Winter!$A:$A,FALSE),MATCH(All!S$1,Winter!$1:$1,FALSE))),"")</f>
        <v>3A</v>
      </c>
      <c r="T524" t="str">
        <f>IFERROR(IF(INDEX(Winter!$1:$1048576,MATCH(All!$A524,Winter!$A:$A,FALSE),MATCH(All!T$1,Winter!$1:$1,FALSE))="","",INDEX(Winter!$1:$1048576,MATCH(All!$A524,Winter!$A:$A,FALSE),MATCH(All!T$1,Winter!$1:$1,FALSE))),"")</f>
        <v>2A</v>
      </c>
      <c r="U524" t="str">
        <f>IFERROR(IF(INDEX(Winter!$1:$1048576,MATCH(All!$A524,Winter!$A:$A,FALSE),MATCH(All!U$1,Winter!$1:$1,FALSE))="","",INDEX(Winter!$1:$1048576,MATCH(All!$A524,Winter!$A:$A,FALSE),MATCH(All!U$1,Winter!$1:$1,FALSE))),"")</f>
        <v>3A</v>
      </c>
      <c r="W524">
        <f>IFERROR(IF(INDEX(Spring!$1:$1048576,MATCH(All!$A524,Spring!$A:$A,FALSE),MATCH(All!W$1,Spring!$1:$1,FALSE))="","",INDEX(Spring!$1:$1048576,MATCH(All!$A524,Spring!$A:$A,FALSE),MATCH(All!W$1,Spring!$1:$1,FALSE))),"")</f>
        <v>2152</v>
      </c>
      <c r="X524" t="str">
        <f>IFERROR(IF(INDEX(Spring!$1:$1048576,MATCH(All!$A524,Spring!$A:$A,FALSE),MATCH(All!X$1,Spring!$1:$1,FALSE))="","",INDEX(Spring!$1:$1048576,MATCH(All!$A524,Spring!$A:$A,FALSE),MATCH(All!X$1,Spring!$1:$1,FALSE))),"")</f>
        <v>4A</v>
      </c>
      <c r="Y524" t="str">
        <f>IFERROR(IF(INDEX(Spring!$1:$1048576,MATCH(All!$A524,Spring!$A:$A,FALSE),MATCH(All!Y$1,Spring!$1:$1,FALSE))="","",INDEX(Spring!$1:$1048576,MATCH(All!$A524,Spring!$A:$A,FALSE),MATCH(All!Y$1,Spring!$1:$1,FALSE))),"")</f>
        <v>4A</v>
      </c>
      <c r="Z524" t="str">
        <f>IFERROR(IF(INDEX(Spring!$1:$1048576,MATCH(All!$A524,Spring!$A:$A,FALSE),MATCH(All!Z$1,Spring!$1:$1,FALSE))="","",INDEX(Spring!$1:$1048576,MATCH(All!$A524,Spring!$A:$A,FALSE),MATCH(All!Z$1,Spring!$1:$1,FALSE))),"")</f>
        <v>3A</v>
      </c>
      <c r="AA524" t="str">
        <f>IFERROR(IF(INDEX(Spring!$1:$1048576,MATCH(All!$A524,Spring!$A:$A,FALSE),MATCH(All!AA$1,Spring!$1:$1,FALSE))="","",INDEX(Spring!$1:$1048576,MATCH(All!$A524,Spring!$A:$A,FALSE),MATCH(All!AA$1,Spring!$1:$1,FALSE))),"")</f>
        <v>2A</v>
      </c>
      <c r="AB524" t="str">
        <f>IFERROR(IF(INDEX(Spring!$1:$1048576,MATCH(All!$A524,Spring!$A:$A,FALSE),MATCH(All!AB$1,Spring!$1:$1,FALSE))="","",INDEX(Spring!$1:$1048576,MATCH(All!$A524,Spring!$A:$A,FALSE),MATCH(All!AB$1,Spring!$1:$1,FALSE))),"")</f>
        <v>3A</v>
      </c>
      <c r="AC524" t="str">
        <f>IFERROR(IF(INDEX(Spring!$1:$1048576,MATCH(All!$A524,Spring!$A:$A,FALSE),MATCH(All!AC$1,Spring!$1:$1,FALSE))="","",INDEX(Spring!$1:$1048576,MATCH(All!$A524,Spring!$A:$A,FALSE),MATCH(All!AC$1,Spring!$1:$1,FALSE))),"")</f>
        <v>3A</v>
      </c>
      <c r="AD524" t="str">
        <f>IFERROR(VLOOKUP(A524,'Flag Football'!A:A,1,FALSE),"")</f>
        <v>Mt. Prospect (Prospect)</v>
      </c>
      <c r="AE524" t="str">
        <f t="shared" si="8"/>
        <v>1A</v>
      </c>
    </row>
    <row r="525" spans="1:31" ht="15.75" thickBot="1" x14ac:dyDescent="0.3">
      <c r="A525" s="18" t="s">
        <v>616</v>
      </c>
      <c r="B525" s="38">
        <f>IFERROR(VLOOKUP(A525,'Public v Private'!A:G,3,FALSE),"")</f>
        <v>0</v>
      </c>
      <c r="C525" s="38">
        <f>IFERROR(VLOOKUP(A525,'Public v Private'!A:G,4,FALSE),"")</f>
        <v>0</v>
      </c>
      <c r="D525" s="38">
        <f>IFERROR(VLOOKUP(A525,'Public v Private'!A:G,5,FALSE),"")</f>
        <v>0</v>
      </c>
      <c r="E525" s="38"/>
      <c r="F525" s="40">
        <f>IFERROR(INDEX(Fall!$1:$1048576,MATCH(All!$A525,Fall!$A:$A,FALSE),MATCH(All!F$1,Fall!$1:$1,FALSE)),"N/A")</f>
        <v>174</v>
      </c>
      <c r="G525" t="str">
        <f>IFERROR(IF(INDEX(Fall!$1:$1048576,MATCH(All!$A525,Fall!$A:$A,FALSE),MATCH(All!G$1,Fall!$1:$1,FALSE))="","",INDEX(Fall!$1:$1048576,MATCH(All!$A525,Fall!$A:$A,FALSE),MATCH(All!G$1,Fall!$1:$1,FALSE))),"")</f>
        <v>1A</v>
      </c>
      <c r="H525" t="str">
        <f>IFERROR(IF(INDEX(Fall!$1:$1048576,MATCH(All!$A525,Fall!$A:$A,FALSE),MATCH(All!H$1,Fall!$1:$1,FALSE))="","",INDEX(Fall!$1:$1048576,MATCH(All!$A525,Fall!$A:$A,FALSE),MATCH(All!H$1,Fall!$1:$1,FALSE))),"")</f>
        <v>1A</v>
      </c>
      <c r="I525" t="str">
        <f>IFERROR(IF(INDEX(Fall!$1:$1048576,MATCH(All!$A525,Fall!$A:$A,FALSE),MATCH(All!I$1,Fall!$1:$1,FALSE))="","",INDEX(Fall!$1:$1048576,MATCH(All!$A525,Fall!$A:$A,FALSE),MATCH(All!I$1,Fall!$1:$1,FALSE))),"")</f>
        <v>1A</v>
      </c>
      <c r="J525" t="str">
        <f>IFERROR(IF(INDEX(Fall!$1:$1048576,MATCH(All!$A525,Fall!$A:$A,FALSE),MATCH(All!J$1,Fall!$1:$1,FALSE))="","",INDEX(Fall!$1:$1048576,MATCH(All!$A525,Fall!$A:$A,FALSE),MATCH(All!J$1,Fall!$1:$1,FALSE))),"")</f>
        <v/>
      </c>
      <c r="K525" t="str">
        <f>IFERROR(IF(INDEX(Fall!$1:$1048576,MATCH(All!$A525,Fall!$A:$A,FALSE),MATCH(All!K$1,Fall!$1:$1,FALSE))="","",INDEX(Fall!$1:$1048576,MATCH(All!$A525,Fall!$A:$A,FALSE),MATCH(All!K$1,Fall!$1:$1,FALSE))),"")</f>
        <v>1A</v>
      </c>
      <c r="L525" t="str">
        <f>IFERROR(IF(INDEX(Fall!$1:$1048576,MATCH(All!$A525,Fall!$A:$A,FALSE),MATCH(All!L$1,Fall!$1:$1,FALSE))="","",INDEX(Fall!$1:$1048576,MATCH(All!$A525,Fall!$A:$A,FALSE),MATCH(All!L$1,Fall!$1:$1,FALSE))),"")</f>
        <v/>
      </c>
      <c r="M525" t="str">
        <f>IFERROR(IF(INDEX(Fall!$1:$1048576,MATCH(All!$A525,Fall!$A:$A,FALSE),MATCH(All!M$1,Fall!$1:$1,FALSE))="","",INDEX(Fall!$1:$1048576,MATCH(All!$A525,Fall!$A:$A,FALSE),MATCH(All!M$1,Fall!$1:$1,FALSE))),"")</f>
        <v>1A</v>
      </c>
      <c r="O525">
        <f>IFERROR(IF(INDEX(Winter!$1:$1048576,MATCH(All!$A525,Winter!$A:$A,FALSE),MATCH(All!O$1,Winter!$1:$1,FALSE))="","",INDEX(Winter!$1:$1048576,MATCH(All!$A525,Winter!$A:$A,FALSE),MATCH(All!O$1,Winter!$1:$1,FALSE))),"")</f>
        <v>174</v>
      </c>
      <c r="P525" t="str">
        <f>IFERROR(IF(INDEX(Winter!$1:$1048576,MATCH(All!$A525,Winter!$A:$A,FALSE),MATCH(All!P$1,Winter!$1:$1,FALSE))="","",INDEX(Winter!$1:$1048576,MATCH(All!$A525,Winter!$A:$A,FALSE),MATCH(All!P$1,Winter!$1:$1,FALSE))),"")</f>
        <v>1A</v>
      </c>
      <c r="Q525" t="str">
        <f>IFERROR(IF(INDEX(Winter!$1:$1048576,MATCH(All!$A525,Winter!$A:$A,FALSE),MATCH(All!Q$1,Winter!$1:$1,FALSE))="","",INDEX(Winter!$1:$1048576,MATCH(All!$A525,Winter!$A:$A,FALSE),MATCH(All!Q$1,Winter!$1:$1,FALSE))),"")</f>
        <v>1A</v>
      </c>
      <c r="R525" t="str">
        <f>IFERROR(IF(INDEX(Winter!$1:$1048576,MATCH(All!$A525,Winter!$A:$A,FALSE),MATCH(All!R$1,Winter!$1:$1,FALSE))="","",INDEX(Winter!$1:$1048576,MATCH(All!$A525,Winter!$A:$A,FALSE),MATCH(All!R$1,Winter!$1:$1,FALSE))),"")</f>
        <v/>
      </c>
      <c r="S525" t="str">
        <f>IFERROR(IF(INDEX(Winter!$1:$1048576,MATCH(All!$A525,Winter!$A:$A,FALSE),MATCH(All!S$1,Winter!$1:$1,FALSE))="","",INDEX(Winter!$1:$1048576,MATCH(All!$A525,Winter!$A:$A,FALSE),MATCH(All!S$1,Winter!$1:$1,FALSE))),"")</f>
        <v/>
      </c>
      <c r="T525" t="str">
        <f>IFERROR(IF(INDEX(Winter!$1:$1048576,MATCH(All!$A525,Winter!$A:$A,FALSE),MATCH(All!T$1,Winter!$1:$1,FALSE))="","",INDEX(Winter!$1:$1048576,MATCH(All!$A525,Winter!$A:$A,FALSE),MATCH(All!T$1,Winter!$1:$1,FALSE))),"")</f>
        <v>1A</v>
      </c>
      <c r="U525" t="str">
        <f>IFERROR(IF(INDEX(Winter!$1:$1048576,MATCH(All!$A525,Winter!$A:$A,FALSE),MATCH(All!U$1,Winter!$1:$1,FALSE))="","",INDEX(Winter!$1:$1048576,MATCH(All!$A525,Winter!$A:$A,FALSE),MATCH(All!U$1,Winter!$1:$1,FALSE))),"")</f>
        <v/>
      </c>
      <c r="W525">
        <f>IFERROR(IF(INDEX(Spring!$1:$1048576,MATCH(All!$A525,Spring!$A:$A,FALSE),MATCH(All!W$1,Spring!$1:$1,FALSE))="","",INDEX(Spring!$1:$1048576,MATCH(All!$A525,Spring!$A:$A,FALSE),MATCH(All!W$1,Spring!$1:$1,FALSE))),"")</f>
        <v>174</v>
      </c>
      <c r="X525" t="str">
        <f>IFERROR(IF(INDEX(Spring!$1:$1048576,MATCH(All!$A525,Spring!$A:$A,FALSE),MATCH(All!X$1,Spring!$1:$1,FALSE))="","",INDEX(Spring!$1:$1048576,MATCH(All!$A525,Spring!$A:$A,FALSE),MATCH(All!X$1,Spring!$1:$1,FALSE))),"")</f>
        <v>1A</v>
      </c>
      <c r="Y525" t="str">
        <f>IFERROR(IF(INDEX(Spring!$1:$1048576,MATCH(All!$A525,Spring!$A:$A,FALSE),MATCH(All!Y$1,Spring!$1:$1,FALSE))="","",INDEX(Spring!$1:$1048576,MATCH(All!$A525,Spring!$A:$A,FALSE),MATCH(All!Y$1,Spring!$1:$1,FALSE))),"")</f>
        <v/>
      </c>
      <c r="Z525" t="str">
        <f>IFERROR(IF(INDEX(Spring!$1:$1048576,MATCH(All!$A525,Spring!$A:$A,FALSE),MATCH(All!Z$1,Spring!$1:$1,FALSE))="","",INDEX(Spring!$1:$1048576,MATCH(All!$A525,Spring!$A:$A,FALSE),MATCH(All!Z$1,Spring!$1:$1,FALSE))),"")</f>
        <v/>
      </c>
      <c r="AA525" t="str">
        <f>IFERROR(IF(INDEX(Spring!$1:$1048576,MATCH(All!$A525,Spring!$A:$A,FALSE),MATCH(All!AA$1,Spring!$1:$1,FALSE))="","",INDEX(Spring!$1:$1048576,MATCH(All!$A525,Spring!$A:$A,FALSE),MATCH(All!AA$1,Spring!$1:$1,FALSE))),"")</f>
        <v/>
      </c>
      <c r="AB525" t="str">
        <f>IFERROR(IF(INDEX(Spring!$1:$1048576,MATCH(All!$A525,Spring!$A:$A,FALSE),MATCH(All!AB$1,Spring!$1:$1,FALSE))="","",INDEX(Spring!$1:$1048576,MATCH(All!$A525,Spring!$A:$A,FALSE),MATCH(All!AB$1,Spring!$1:$1,FALSE))),"")</f>
        <v>1A</v>
      </c>
      <c r="AC525" t="str">
        <f>IFERROR(IF(INDEX(Spring!$1:$1048576,MATCH(All!$A525,Spring!$A:$A,FALSE),MATCH(All!AC$1,Spring!$1:$1,FALSE))="","",INDEX(Spring!$1:$1048576,MATCH(All!$A525,Spring!$A:$A,FALSE),MATCH(All!AC$1,Spring!$1:$1,FALSE))),"")</f>
        <v>1A</v>
      </c>
      <c r="AD525" t="str">
        <f>IFERROR(VLOOKUP(A525,'Flag Football'!A:A,1,FALSE),"")</f>
        <v/>
      </c>
      <c r="AE525" t="str">
        <f t="shared" si="8"/>
        <v/>
      </c>
    </row>
    <row r="526" spans="1:31" ht="15.75" thickBot="1" x14ac:dyDescent="0.3">
      <c r="A526" s="20" t="s">
        <v>617</v>
      </c>
      <c r="B526" s="38">
        <f>IFERROR(VLOOKUP(A526,'Public v Private'!A:G,3,FALSE),"")</f>
        <v>0</v>
      </c>
      <c r="C526" s="38">
        <f>IFERROR(VLOOKUP(A526,'Public v Private'!A:G,4,FALSE),"")</f>
        <v>0</v>
      </c>
      <c r="D526" s="38">
        <f>IFERROR(VLOOKUP(A526,'Public v Private'!A:G,5,FALSE),"")</f>
        <v>0</v>
      </c>
      <c r="E526" s="38"/>
      <c r="F526" s="40">
        <f>IFERROR(INDEX(Fall!$1:$1048576,MATCH(All!$A526,Fall!$A:$A,FALSE),MATCH(All!F$1,Fall!$1:$1,FALSE)),"N/A")</f>
        <v>222</v>
      </c>
      <c r="G526" t="str">
        <f>IFERROR(IF(INDEX(Fall!$1:$1048576,MATCH(All!$A526,Fall!$A:$A,FALSE),MATCH(All!G$1,Fall!$1:$1,FALSE))="","",INDEX(Fall!$1:$1048576,MATCH(All!$A526,Fall!$A:$A,FALSE),MATCH(All!G$1,Fall!$1:$1,FALSE))),"")</f>
        <v/>
      </c>
      <c r="H526" t="str">
        <f>IFERROR(IF(INDEX(Fall!$1:$1048576,MATCH(All!$A526,Fall!$A:$A,FALSE),MATCH(All!H$1,Fall!$1:$1,FALSE))="","",INDEX(Fall!$1:$1048576,MATCH(All!$A526,Fall!$A:$A,FALSE),MATCH(All!H$1,Fall!$1:$1,FALSE))),"")</f>
        <v/>
      </c>
      <c r="I526" t="str">
        <f>IFERROR(IF(INDEX(Fall!$1:$1048576,MATCH(All!$A526,Fall!$A:$A,FALSE),MATCH(All!I$1,Fall!$1:$1,FALSE))="","",INDEX(Fall!$1:$1048576,MATCH(All!$A526,Fall!$A:$A,FALSE),MATCH(All!I$1,Fall!$1:$1,FALSE))),"")</f>
        <v>1A</v>
      </c>
      <c r="J526" t="str">
        <f>IFERROR(IF(INDEX(Fall!$1:$1048576,MATCH(All!$A526,Fall!$A:$A,FALSE),MATCH(All!J$1,Fall!$1:$1,FALSE))="","",INDEX(Fall!$1:$1048576,MATCH(All!$A526,Fall!$A:$A,FALSE),MATCH(All!J$1,Fall!$1:$1,FALSE))),"")</f>
        <v>1A</v>
      </c>
      <c r="K526" t="str">
        <f>IFERROR(IF(INDEX(Fall!$1:$1048576,MATCH(All!$A526,Fall!$A:$A,FALSE),MATCH(All!K$1,Fall!$1:$1,FALSE))="","",INDEX(Fall!$1:$1048576,MATCH(All!$A526,Fall!$A:$A,FALSE),MATCH(All!K$1,Fall!$1:$1,FALSE))),"")</f>
        <v/>
      </c>
      <c r="L526" t="str">
        <f>IFERROR(IF(INDEX(Fall!$1:$1048576,MATCH(All!$A526,Fall!$A:$A,FALSE),MATCH(All!L$1,Fall!$1:$1,FALSE))="","",INDEX(Fall!$1:$1048576,MATCH(All!$A526,Fall!$A:$A,FALSE),MATCH(All!L$1,Fall!$1:$1,FALSE))),"")</f>
        <v/>
      </c>
      <c r="M526" t="str">
        <f>IFERROR(IF(INDEX(Fall!$1:$1048576,MATCH(All!$A526,Fall!$A:$A,FALSE),MATCH(All!M$1,Fall!$1:$1,FALSE))="","",INDEX(Fall!$1:$1048576,MATCH(All!$A526,Fall!$A:$A,FALSE),MATCH(All!M$1,Fall!$1:$1,FALSE))),"")</f>
        <v>1A</v>
      </c>
      <c r="O526">
        <f>IFERROR(IF(INDEX(Winter!$1:$1048576,MATCH(All!$A526,Winter!$A:$A,FALSE),MATCH(All!O$1,Winter!$1:$1,FALSE))="","",INDEX(Winter!$1:$1048576,MATCH(All!$A526,Winter!$A:$A,FALSE),MATCH(All!O$1,Winter!$1:$1,FALSE))),"")</f>
        <v>222</v>
      </c>
      <c r="P526" t="str">
        <f>IFERROR(IF(INDEX(Winter!$1:$1048576,MATCH(All!$A526,Winter!$A:$A,FALSE),MATCH(All!P$1,Winter!$1:$1,FALSE))="","",INDEX(Winter!$1:$1048576,MATCH(All!$A526,Winter!$A:$A,FALSE),MATCH(All!P$1,Winter!$1:$1,FALSE))),"")</f>
        <v>1A</v>
      </c>
      <c r="Q526" t="str">
        <f>IFERROR(IF(INDEX(Winter!$1:$1048576,MATCH(All!$A526,Winter!$A:$A,FALSE),MATCH(All!Q$1,Winter!$1:$1,FALSE))="","",INDEX(Winter!$1:$1048576,MATCH(All!$A526,Winter!$A:$A,FALSE),MATCH(All!Q$1,Winter!$1:$1,FALSE))),"")</f>
        <v>1A</v>
      </c>
      <c r="R526" t="str">
        <f>IFERROR(IF(INDEX(Winter!$1:$1048576,MATCH(All!$A526,Winter!$A:$A,FALSE),MATCH(All!R$1,Winter!$1:$1,FALSE))="","",INDEX(Winter!$1:$1048576,MATCH(All!$A526,Winter!$A:$A,FALSE),MATCH(All!R$1,Winter!$1:$1,FALSE))),"")</f>
        <v/>
      </c>
      <c r="S526" t="str">
        <f>IFERROR(IF(INDEX(Winter!$1:$1048576,MATCH(All!$A526,Winter!$A:$A,FALSE),MATCH(All!S$1,Winter!$1:$1,FALSE))="","",INDEX(Winter!$1:$1048576,MATCH(All!$A526,Winter!$A:$A,FALSE),MATCH(All!S$1,Winter!$1:$1,FALSE))),"")</f>
        <v/>
      </c>
      <c r="T526" t="str">
        <f>IFERROR(IF(INDEX(Winter!$1:$1048576,MATCH(All!$A526,Winter!$A:$A,FALSE),MATCH(All!T$1,Winter!$1:$1,FALSE))="","",INDEX(Winter!$1:$1048576,MATCH(All!$A526,Winter!$A:$A,FALSE),MATCH(All!T$1,Winter!$1:$1,FALSE))),"")</f>
        <v>1A</v>
      </c>
      <c r="U526" t="str">
        <f>IFERROR(IF(INDEX(Winter!$1:$1048576,MATCH(All!$A526,Winter!$A:$A,FALSE),MATCH(All!U$1,Winter!$1:$1,FALSE))="","",INDEX(Winter!$1:$1048576,MATCH(All!$A526,Winter!$A:$A,FALSE),MATCH(All!U$1,Winter!$1:$1,FALSE))),"")</f>
        <v/>
      </c>
      <c r="W526">
        <f>IFERROR(IF(INDEX(Spring!$1:$1048576,MATCH(All!$A526,Spring!$A:$A,FALSE),MATCH(All!W$1,Spring!$1:$1,FALSE))="","",INDEX(Spring!$1:$1048576,MATCH(All!$A526,Spring!$A:$A,FALSE),MATCH(All!W$1,Spring!$1:$1,FALSE))),"")</f>
        <v>222</v>
      </c>
      <c r="X526" t="str">
        <f>IFERROR(IF(INDEX(Spring!$1:$1048576,MATCH(All!$A526,Spring!$A:$A,FALSE),MATCH(All!X$1,Spring!$1:$1,FALSE))="","",INDEX(Spring!$1:$1048576,MATCH(All!$A526,Spring!$A:$A,FALSE),MATCH(All!X$1,Spring!$1:$1,FALSE))),"")</f>
        <v>1A</v>
      </c>
      <c r="Y526" t="str">
        <f>IFERROR(IF(INDEX(Spring!$1:$1048576,MATCH(All!$A526,Spring!$A:$A,FALSE),MATCH(All!Y$1,Spring!$1:$1,FALSE))="","",INDEX(Spring!$1:$1048576,MATCH(All!$A526,Spring!$A:$A,FALSE),MATCH(All!Y$1,Spring!$1:$1,FALSE))),"")</f>
        <v>1A</v>
      </c>
      <c r="Z526" t="str">
        <f>IFERROR(IF(INDEX(Spring!$1:$1048576,MATCH(All!$A526,Spring!$A:$A,FALSE),MATCH(All!Z$1,Spring!$1:$1,FALSE))="","",INDEX(Spring!$1:$1048576,MATCH(All!$A526,Spring!$A:$A,FALSE),MATCH(All!Z$1,Spring!$1:$1,FALSE))),"")</f>
        <v/>
      </c>
      <c r="AA526" t="str">
        <f>IFERROR(IF(INDEX(Spring!$1:$1048576,MATCH(All!$A526,Spring!$A:$A,FALSE),MATCH(All!AA$1,Spring!$1:$1,FALSE))="","",INDEX(Spring!$1:$1048576,MATCH(All!$A526,Spring!$A:$A,FALSE),MATCH(All!AA$1,Spring!$1:$1,FALSE))),"")</f>
        <v/>
      </c>
      <c r="AB526" t="str">
        <f>IFERROR(IF(INDEX(Spring!$1:$1048576,MATCH(All!$A526,Spring!$A:$A,FALSE),MATCH(All!AB$1,Spring!$1:$1,FALSE))="","",INDEX(Spring!$1:$1048576,MATCH(All!$A526,Spring!$A:$A,FALSE),MATCH(All!AB$1,Spring!$1:$1,FALSE))),"")</f>
        <v>1A</v>
      </c>
      <c r="AC526" t="str">
        <f>IFERROR(IF(INDEX(Spring!$1:$1048576,MATCH(All!$A526,Spring!$A:$A,FALSE),MATCH(All!AC$1,Spring!$1:$1,FALSE))="","",INDEX(Spring!$1:$1048576,MATCH(All!$A526,Spring!$A:$A,FALSE),MATCH(All!AC$1,Spring!$1:$1,FALSE))),"")</f>
        <v>1A</v>
      </c>
      <c r="AD526" t="str">
        <f>IFERROR(VLOOKUP(A526,'Flag Football'!A:A,1,FALSE),"")</f>
        <v/>
      </c>
      <c r="AE526" t="str">
        <f t="shared" si="8"/>
        <v/>
      </c>
    </row>
    <row r="527" spans="1:31" ht="15.75" thickBot="1" x14ac:dyDescent="0.3">
      <c r="A527" s="18" t="s">
        <v>618</v>
      </c>
      <c r="B527" s="38">
        <f>IFERROR(VLOOKUP(A527,'Public v Private'!A:G,3,FALSE),"")</f>
        <v>0</v>
      </c>
      <c r="C527" s="38">
        <f>IFERROR(VLOOKUP(A527,'Public v Private'!A:G,4,FALSE),"")</f>
        <v>0</v>
      </c>
      <c r="D527" s="38">
        <f>IFERROR(VLOOKUP(A527,'Public v Private'!A:G,5,FALSE),"")</f>
        <v>0</v>
      </c>
      <c r="E527" s="38"/>
      <c r="F527" s="40">
        <f>IFERROR(INDEX(Fall!$1:$1048576,MATCH(All!$A527,Fall!$A:$A,FALSE),MATCH(All!F$1,Fall!$1:$1,FALSE)),"N/A")</f>
        <v>1152</v>
      </c>
      <c r="G527" t="str">
        <f>IFERROR(IF(INDEX(Fall!$1:$1048576,MATCH(All!$A527,Fall!$A:$A,FALSE),MATCH(All!G$1,Fall!$1:$1,FALSE))="","",INDEX(Fall!$1:$1048576,MATCH(All!$A527,Fall!$A:$A,FALSE),MATCH(All!G$1,Fall!$1:$1,FALSE))),"")</f>
        <v>2A</v>
      </c>
      <c r="H527" t="str">
        <f>IFERROR(IF(INDEX(Fall!$1:$1048576,MATCH(All!$A527,Fall!$A:$A,FALSE),MATCH(All!H$1,Fall!$1:$1,FALSE))="","",INDEX(Fall!$1:$1048576,MATCH(All!$A527,Fall!$A:$A,FALSE),MATCH(All!H$1,Fall!$1:$1,FALSE))),"")</f>
        <v>2A</v>
      </c>
      <c r="I527" t="str">
        <f>IFERROR(IF(INDEX(Fall!$1:$1048576,MATCH(All!$A527,Fall!$A:$A,FALSE),MATCH(All!I$1,Fall!$1:$1,FALSE))="","",INDEX(Fall!$1:$1048576,MATCH(All!$A527,Fall!$A:$A,FALSE),MATCH(All!I$1,Fall!$1:$1,FALSE))),"")</f>
        <v>2A</v>
      </c>
      <c r="J527" t="str">
        <f>IFERROR(IF(INDEX(Fall!$1:$1048576,MATCH(All!$A527,Fall!$A:$A,FALSE),MATCH(All!J$1,Fall!$1:$1,FALSE))="","",INDEX(Fall!$1:$1048576,MATCH(All!$A527,Fall!$A:$A,FALSE),MATCH(All!J$1,Fall!$1:$1,FALSE))),"")</f>
        <v>2A</v>
      </c>
      <c r="K527" t="str">
        <f>IFERROR(IF(INDEX(Fall!$1:$1048576,MATCH(All!$A527,Fall!$A:$A,FALSE),MATCH(All!K$1,Fall!$1:$1,FALSE))="","",INDEX(Fall!$1:$1048576,MATCH(All!$A527,Fall!$A:$A,FALSE),MATCH(All!K$1,Fall!$1:$1,FALSE))),"")</f>
        <v>2A</v>
      </c>
      <c r="L527" t="str">
        <f>IFERROR(IF(INDEX(Fall!$1:$1048576,MATCH(All!$A527,Fall!$A:$A,FALSE),MATCH(All!L$1,Fall!$1:$1,FALSE))="","",INDEX(Fall!$1:$1048576,MATCH(All!$A527,Fall!$A:$A,FALSE),MATCH(All!L$1,Fall!$1:$1,FALSE))),"")</f>
        <v>1A</v>
      </c>
      <c r="M527" t="str">
        <f>IFERROR(IF(INDEX(Fall!$1:$1048576,MATCH(All!$A527,Fall!$A:$A,FALSE),MATCH(All!M$1,Fall!$1:$1,FALSE))="","",INDEX(Fall!$1:$1048576,MATCH(All!$A527,Fall!$A:$A,FALSE),MATCH(All!M$1,Fall!$1:$1,FALSE))),"")</f>
        <v>3A</v>
      </c>
      <c r="O527">
        <f>IFERROR(IF(INDEX(Winter!$1:$1048576,MATCH(All!$A527,Winter!$A:$A,FALSE),MATCH(All!O$1,Winter!$1:$1,FALSE))="","",INDEX(Winter!$1:$1048576,MATCH(All!$A527,Winter!$A:$A,FALSE),MATCH(All!O$1,Winter!$1:$1,FALSE))),"")</f>
        <v>1152</v>
      </c>
      <c r="P527" t="str">
        <f>IFERROR(IF(INDEX(Winter!$1:$1048576,MATCH(All!$A527,Winter!$A:$A,FALSE),MATCH(All!P$1,Winter!$1:$1,FALSE))="","",INDEX(Winter!$1:$1048576,MATCH(All!$A527,Winter!$A:$A,FALSE),MATCH(All!P$1,Winter!$1:$1,FALSE))),"")</f>
        <v>3A</v>
      </c>
      <c r="Q527" t="str">
        <f>IFERROR(IF(INDEX(Winter!$1:$1048576,MATCH(All!$A527,Winter!$A:$A,FALSE),MATCH(All!Q$1,Winter!$1:$1,FALSE))="","",INDEX(Winter!$1:$1048576,MATCH(All!$A527,Winter!$A:$A,FALSE),MATCH(All!Q$1,Winter!$1:$1,FALSE))),"")</f>
        <v>3A</v>
      </c>
      <c r="R527" t="str">
        <f>IFERROR(IF(INDEX(Winter!$1:$1048576,MATCH(All!$A527,Winter!$A:$A,FALSE),MATCH(All!R$1,Winter!$1:$1,FALSE))="","",INDEX(Winter!$1:$1048576,MATCH(All!$A527,Winter!$A:$A,FALSE),MATCH(All!R$1,Winter!$1:$1,FALSE))),"")</f>
        <v>2A</v>
      </c>
      <c r="S527" t="str">
        <f>IFERROR(IF(INDEX(Winter!$1:$1048576,MATCH(All!$A527,Winter!$A:$A,FALSE),MATCH(All!S$1,Winter!$1:$1,FALSE))="","",INDEX(Winter!$1:$1048576,MATCH(All!$A527,Winter!$A:$A,FALSE),MATCH(All!S$1,Winter!$1:$1,FALSE))),"")</f>
        <v/>
      </c>
      <c r="T527" t="str">
        <f>IFERROR(IF(INDEX(Winter!$1:$1048576,MATCH(All!$A527,Winter!$A:$A,FALSE),MATCH(All!T$1,Winter!$1:$1,FALSE))="","",INDEX(Winter!$1:$1048576,MATCH(All!$A527,Winter!$A:$A,FALSE),MATCH(All!T$1,Winter!$1:$1,FALSE))),"")</f>
        <v>2A</v>
      </c>
      <c r="U527" t="str">
        <f>IFERROR(IF(INDEX(Winter!$1:$1048576,MATCH(All!$A527,Winter!$A:$A,FALSE),MATCH(All!U$1,Winter!$1:$1,FALSE))="","",INDEX(Winter!$1:$1048576,MATCH(All!$A527,Winter!$A:$A,FALSE),MATCH(All!U$1,Winter!$1:$1,FALSE))),"")</f>
        <v>2A</v>
      </c>
      <c r="W527">
        <f>IFERROR(IF(INDEX(Spring!$1:$1048576,MATCH(All!$A527,Spring!$A:$A,FALSE),MATCH(All!W$1,Spring!$1:$1,FALSE))="","",INDEX(Spring!$1:$1048576,MATCH(All!$A527,Spring!$A:$A,FALSE),MATCH(All!W$1,Spring!$1:$1,FALSE))),"")</f>
        <v>1152</v>
      </c>
      <c r="X527" t="str">
        <f>IFERROR(IF(INDEX(Spring!$1:$1048576,MATCH(All!$A527,Spring!$A:$A,FALSE),MATCH(All!X$1,Spring!$1:$1,FALSE))="","",INDEX(Spring!$1:$1048576,MATCH(All!$A527,Spring!$A:$A,FALSE),MATCH(All!X$1,Spring!$1:$1,FALSE))),"")</f>
        <v>3A</v>
      </c>
      <c r="Y527" t="str">
        <f>IFERROR(IF(INDEX(Spring!$1:$1048576,MATCH(All!$A527,Spring!$A:$A,FALSE),MATCH(All!Y$1,Spring!$1:$1,FALSE))="","",INDEX(Spring!$1:$1048576,MATCH(All!$A527,Spring!$A:$A,FALSE),MATCH(All!Y$1,Spring!$1:$1,FALSE))),"")</f>
        <v>3A</v>
      </c>
      <c r="Z527" t="str">
        <f>IFERROR(IF(INDEX(Spring!$1:$1048576,MATCH(All!$A527,Spring!$A:$A,FALSE),MATCH(All!Z$1,Spring!$1:$1,FALSE))="","",INDEX(Spring!$1:$1048576,MATCH(All!$A527,Spring!$A:$A,FALSE),MATCH(All!Z$1,Spring!$1:$1,FALSE))),"")</f>
        <v>2A</v>
      </c>
      <c r="AA527" t="str">
        <f>IFERROR(IF(INDEX(Spring!$1:$1048576,MATCH(All!$A527,Spring!$A:$A,FALSE),MATCH(All!AA$1,Spring!$1:$1,FALSE))="","",INDEX(Spring!$1:$1048576,MATCH(All!$A527,Spring!$A:$A,FALSE),MATCH(All!AA$1,Spring!$1:$1,FALSE))),"")</f>
        <v>1A</v>
      </c>
      <c r="AB527" t="str">
        <f>IFERROR(IF(INDEX(Spring!$1:$1048576,MATCH(All!$A527,Spring!$A:$A,FALSE),MATCH(All!AB$1,Spring!$1:$1,FALSE))="","",INDEX(Spring!$1:$1048576,MATCH(All!$A527,Spring!$A:$A,FALSE),MATCH(All!AB$1,Spring!$1:$1,FALSE))),"")</f>
        <v>2A</v>
      </c>
      <c r="AC527" t="str">
        <f>IFERROR(IF(INDEX(Spring!$1:$1048576,MATCH(All!$A527,Spring!$A:$A,FALSE),MATCH(All!AC$1,Spring!$1:$1,FALSE))="","",INDEX(Spring!$1:$1048576,MATCH(All!$A527,Spring!$A:$A,FALSE),MATCH(All!AC$1,Spring!$1:$1,FALSE))),"")</f>
        <v>2A</v>
      </c>
      <c r="AD527" t="str">
        <f>IFERROR(VLOOKUP(A527,'Flag Football'!A:A,1,FALSE),"")</f>
        <v/>
      </c>
      <c r="AE527" t="str">
        <f t="shared" si="8"/>
        <v/>
      </c>
    </row>
    <row r="528" spans="1:31" ht="15.75" thickBot="1" x14ac:dyDescent="0.3">
      <c r="A528" s="20" t="s">
        <v>619</v>
      </c>
      <c r="B528" s="38">
        <f>IFERROR(VLOOKUP(A528,'Public v Private'!A:G,3,FALSE),"")</f>
        <v>0</v>
      </c>
      <c r="C528" s="38">
        <f>IFERROR(VLOOKUP(A528,'Public v Private'!A:G,4,FALSE),"")</f>
        <v>0</v>
      </c>
      <c r="D528" s="38">
        <f>IFERROR(VLOOKUP(A528,'Public v Private'!A:G,5,FALSE),"")</f>
        <v>0</v>
      </c>
      <c r="E528" s="38"/>
      <c r="F528" s="40">
        <f>IFERROR(INDEX(Fall!$1:$1048576,MATCH(All!$A528,Fall!$A:$A,FALSE),MATCH(All!F$1,Fall!$1:$1,FALSE)),"N/A")</f>
        <v>748</v>
      </c>
      <c r="G528" t="str">
        <f>IFERROR(IF(INDEX(Fall!$1:$1048576,MATCH(All!$A528,Fall!$A:$A,FALSE),MATCH(All!G$1,Fall!$1:$1,FALSE))="","",INDEX(Fall!$1:$1048576,MATCH(All!$A528,Fall!$A:$A,FALSE),MATCH(All!G$1,Fall!$1:$1,FALSE))),"")</f>
        <v>2A</v>
      </c>
      <c r="H528" t="str">
        <f>IFERROR(IF(INDEX(Fall!$1:$1048576,MATCH(All!$A528,Fall!$A:$A,FALSE),MATCH(All!H$1,Fall!$1:$1,FALSE))="","",INDEX(Fall!$1:$1048576,MATCH(All!$A528,Fall!$A:$A,FALSE),MATCH(All!H$1,Fall!$1:$1,FALSE))),"")</f>
        <v>2A</v>
      </c>
      <c r="I528" t="str">
        <f>IFERROR(IF(INDEX(Fall!$1:$1048576,MATCH(All!$A528,Fall!$A:$A,FALSE),MATCH(All!I$1,Fall!$1:$1,FALSE))="","",INDEX(Fall!$1:$1048576,MATCH(All!$A528,Fall!$A:$A,FALSE),MATCH(All!I$1,Fall!$1:$1,FALSE))),"")</f>
        <v>2A</v>
      </c>
      <c r="J528" t="str">
        <f>IFERROR(IF(INDEX(Fall!$1:$1048576,MATCH(All!$A528,Fall!$A:$A,FALSE),MATCH(All!J$1,Fall!$1:$1,FALSE))="","",INDEX(Fall!$1:$1048576,MATCH(All!$A528,Fall!$A:$A,FALSE),MATCH(All!J$1,Fall!$1:$1,FALSE))),"")</f>
        <v>1A</v>
      </c>
      <c r="K528" t="str">
        <f>IFERROR(IF(INDEX(Fall!$1:$1048576,MATCH(All!$A528,Fall!$A:$A,FALSE),MATCH(All!K$1,Fall!$1:$1,FALSE))="","",INDEX(Fall!$1:$1048576,MATCH(All!$A528,Fall!$A:$A,FALSE),MATCH(All!K$1,Fall!$1:$1,FALSE))),"")</f>
        <v>2A</v>
      </c>
      <c r="L528" t="str">
        <f>IFERROR(IF(INDEX(Fall!$1:$1048576,MATCH(All!$A528,Fall!$A:$A,FALSE),MATCH(All!L$1,Fall!$1:$1,FALSE))="","",INDEX(Fall!$1:$1048576,MATCH(All!$A528,Fall!$A:$A,FALSE),MATCH(All!L$1,Fall!$1:$1,FALSE))),"")</f>
        <v>1A</v>
      </c>
      <c r="M528" t="str">
        <f>IFERROR(IF(INDEX(Fall!$1:$1048576,MATCH(All!$A528,Fall!$A:$A,FALSE),MATCH(All!M$1,Fall!$1:$1,FALSE))="","",INDEX(Fall!$1:$1048576,MATCH(All!$A528,Fall!$A:$A,FALSE),MATCH(All!M$1,Fall!$1:$1,FALSE))),"")</f>
        <v>3A</v>
      </c>
      <c r="O528">
        <f>IFERROR(IF(INDEX(Winter!$1:$1048576,MATCH(All!$A528,Winter!$A:$A,FALSE),MATCH(All!O$1,Winter!$1:$1,FALSE))="","",INDEX(Winter!$1:$1048576,MATCH(All!$A528,Winter!$A:$A,FALSE),MATCH(All!O$1,Winter!$1:$1,FALSE))),"")</f>
        <v>748</v>
      </c>
      <c r="P528" t="str">
        <f>IFERROR(IF(INDEX(Winter!$1:$1048576,MATCH(All!$A528,Winter!$A:$A,FALSE),MATCH(All!P$1,Winter!$1:$1,FALSE))="","",INDEX(Winter!$1:$1048576,MATCH(All!$A528,Winter!$A:$A,FALSE),MATCH(All!P$1,Winter!$1:$1,FALSE))),"")</f>
        <v>3A</v>
      </c>
      <c r="Q528" t="str">
        <f>IFERROR(IF(INDEX(Winter!$1:$1048576,MATCH(All!$A528,Winter!$A:$A,FALSE),MATCH(All!Q$1,Winter!$1:$1,FALSE))="","",INDEX(Winter!$1:$1048576,MATCH(All!$A528,Winter!$A:$A,FALSE),MATCH(All!Q$1,Winter!$1:$1,FALSE))),"")</f>
        <v>3A</v>
      </c>
      <c r="R528" t="str">
        <f>IFERROR(IF(INDEX(Winter!$1:$1048576,MATCH(All!$A528,Winter!$A:$A,FALSE),MATCH(All!R$1,Winter!$1:$1,FALSE))="","",INDEX(Winter!$1:$1048576,MATCH(All!$A528,Winter!$A:$A,FALSE),MATCH(All!R$1,Winter!$1:$1,FALSE))),"")</f>
        <v/>
      </c>
      <c r="S528" t="str">
        <f>IFERROR(IF(INDEX(Winter!$1:$1048576,MATCH(All!$A528,Winter!$A:$A,FALSE),MATCH(All!S$1,Winter!$1:$1,FALSE))="","",INDEX(Winter!$1:$1048576,MATCH(All!$A528,Winter!$A:$A,FALSE),MATCH(All!S$1,Winter!$1:$1,FALSE))),"")</f>
        <v/>
      </c>
      <c r="T528" t="str">
        <f>IFERROR(IF(INDEX(Winter!$1:$1048576,MATCH(All!$A528,Winter!$A:$A,FALSE),MATCH(All!T$1,Winter!$1:$1,FALSE))="","",INDEX(Winter!$1:$1048576,MATCH(All!$A528,Winter!$A:$A,FALSE),MATCH(All!T$1,Winter!$1:$1,FALSE))),"")</f>
        <v>2A</v>
      </c>
      <c r="U528" t="str">
        <f>IFERROR(IF(INDEX(Winter!$1:$1048576,MATCH(All!$A528,Winter!$A:$A,FALSE),MATCH(All!U$1,Winter!$1:$1,FALSE))="","",INDEX(Winter!$1:$1048576,MATCH(All!$A528,Winter!$A:$A,FALSE),MATCH(All!U$1,Winter!$1:$1,FALSE))),"")</f>
        <v>1A</v>
      </c>
      <c r="W528">
        <f>IFERROR(IF(INDEX(Spring!$1:$1048576,MATCH(All!$A528,Spring!$A:$A,FALSE),MATCH(All!W$1,Spring!$1:$1,FALSE))="","",INDEX(Spring!$1:$1048576,MATCH(All!$A528,Spring!$A:$A,FALSE),MATCH(All!W$1,Spring!$1:$1,FALSE))),"")</f>
        <v>748</v>
      </c>
      <c r="X528" t="str">
        <f>IFERROR(IF(INDEX(Spring!$1:$1048576,MATCH(All!$A528,Spring!$A:$A,FALSE),MATCH(All!X$1,Spring!$1:$1,FALSE))="","",INDEX(Spring!$1:$1048576,MATCH(All!$A528,Spring!$A:$A,FALSE),MATCH(All!X$1,Spring!$1:$1,FALSE))),"")</f>
        <v>3A</v>
      </c>
      <c r="Y528" t="str">
        <f>IFERROR(IF(INDEX(Spring!$1:$1048576,MATCH(All!$A528,Spring!$A:$A,FALSE),MATCH(All!Y$1,Spring!$1:$1,FALSE))="","",INDEX(Spring!$1:$1048576,MATCH(All!$A528,Spring!$A:$A,FALSE),MATCH(All!Y$1,Spring!$1:$1,FALSE))),"")</f>
        <v>3A</v>
      </c>
      <c r="Z528" t="str">
        <f>IFERROR(IF(INDEX(Spring!$1:$1048576,MATCH(All!$A528,Spring!$A:$A,FALSE),MATCH(All!Z$1,Spring!$1:$1,FALSE))="","",INDEX(Spring!$1:$1048576,MATCH(All!$A528,Spring!$A:$A,FALSE),MATCH(All!Z$1,Spring!$1:$1,FALSE))),"")</f>
        <v>1A</v>
      </c>
      <c r="AA528" t="str">
        <f>IFERROR(IF(INDEX(Spring!$1:$1048576,MATCH(All!$A528,Spring!$A:$A,FALSE),MATCH(All!AA$1,Spring!$1:$1,FALSE))="","",INDEX(Spring!$1:$1048576,MATCH(All!$A528,Spring!$A:$A,FALSE),MATCH(All!AA$1,Spring!$1:$1,FALSE))),"")</f>
        <v>1A</v>
      </c>
      <c r="AB528" t="str">
        <f>IFERROR(IF(INDEX(Spring!$1:$1048576,MATCH(All!$A528,Spring!$A:$A,FALSE),MATCH(All!AB$1,Spring!$1:$1,FALSE))="","",INDEX(Spring!$1:$1048576,MATCH(All!$A528,Spring!$A:$A,FALSE),MATCH(All!AB$1,Spring!$1:$1,FALSE))),"")</f>
        <v>2A</v>
      </c>
      <c r="AC528" t="str">
        <f>IFERROR(IF(INDEX(Spring!$1:$1048576,MATCH(All!$A528,Spring!$A:$A,FALSE),MATCH(All!AC$1,Spring!$1:$1,FALSE))="","",INDEX(Spring!$1:$1048576,MATCH(All!$A528,Spring!$A:$A,FALSE),MATCH(All!AC$1,Spring!$1:$1,FALSE))),"")</f>
        <v>2A</v>
      </c>
      <c r="AD528" t="str">
        <f>IFERROR(VLOOKUP(A528,'Flag Football'!A:A,1,FALSE),"")</f>
        <v/>
      </c>
      <c r="AE528" t="str">
        <f t="shared" si="8"/>
        <v/>
      </c>
    </row>
    <row r="529" spans="1:31" ht="15.75" thickBot="1" x14ac:dyDescent="0.3">
      <c r="A529" s="18" t="s">
        <v>620</v>
      </c>
      <c r="B529" s="38">
        <f>IFERROR(VLOOKUP(A529,'Public v Private'!A:G,3,FALSE),"")</f>
        <v>0</v>
      </c>
      <c r="C529" s="38">
        <f>IFERROR(VLOOKUP(A529,'Public v Private'!A:G,4,FALSE),"")</f>
        <v>0</v>
      </c>
      <c r="D529" s="38">
        <f>IFERROR(VLOOKUP(A529,'Public v Private'!A:G,5,FALSE),"")</f>
        <v>0</v>
      </c>
      <c r="E529" s="38"/>
      <c r="F529" s="40">
        <f>IFERROR(INDEX(Fall!$1:$1048576,MATCH(All!$A529,Fall!$A:$A,FALSE),MATCH(All!F$1,Fall!$1:$1,FALSE)),"N/A")</f>
        <v>100</v>
      </c>
      <c r="G529" t="str">
        <f>IFERROR(IF(INDEX(Fall!$1:$1048576,MATCH(All!$A529,Fall!$A:$A,FALSE),MATCH(All!G$1,Fall!$1:$1,FALSE))="","",INDEX(Fall!$1:$1048576,MATCH(All!$A529,Fall!$A:$A,FALSE),MATCH(All!G$1,Fall!$1:$1,FALSE))),"")</f>
        <v/>
      </c>
      <c r="H529" t="str">
        <f>IFERROR(IF(INDEX(Fall!$1:$1048576,MATCH(All!$A529,Fall!$A:$A,FALSE),MATCH(All!H$1,Fall!$1:$1,FALSE))="","",INDEX(Fall!$1:$1048576,MATCH(All!$A529,Fall!$A:$A,FALSE),MATCH(All!H$1,Fall!$1:$1,FALSE))),"")</f>
        <v/>
      </c>
      <c r="I529" t="str">
        <f>IFERROR(IF(INDEX(Fall!$1:$1048576,MATCH(All!$A529,Fall!$A:$A,FALSE),MATCH(All!I$1,Fall!$1:$1,FALSE))="","",INDEX(Fall!$1:$1048576,MATCH(All!$A529,Fall!$A:$A,FALSE),MATCH(All!I$1,Fall!$1:$1,FALSE))),"")</f>
        <v/>
      </c>
      <c r="J529" t="str">
        <f>IFERROR(IF(INDEX(Fall!$1:$1048576,MATCH(All!$A529,Fall!$A:$A,FALSE),MATCH(All!J$1,Fall!$1:$1,FALSE))="","",INDEX(Fall!$1:$1048576,MATCH(All!$A529,Fall!$A:$A,FALSE),MATCH(All!J$1,Fall!$1:$1,FALSE))),"")</f>
        <v/>
      </c>
      <c r="K529" t="str">
        <f>IFERROR(IF(INDEX(Fall!$1:$1048576,MATCH(All!$A529,Fall!$A:$A,FALSE),MATCH(All!K$1,Fall!$1:$1,FALSE))="","",INDEX(Fall!$1:$1048576,MATCH(All!$A529,Fall!$A:$A,FALSE),MATCH(All!K$1,Fall!$1:$1,FALSE))),"")</f>
        <v/>
      </c>
      <c r="L529" t="str">
        <f>IFERROR(IF(INDEX(Fall!$1:$1048576,MATCH(All!$A529,Fall!$A:$A,FALSE),MATCH(All!L$1,Fall!$1:$1,FALSE))="","",INDEX(Fall!$1:$1048576,MATCH(All!$A529,Fall!$A:$A,FALSE),MATCH(All!L$1,Fall!$1:$1,FALSE))),"")</f>
        <v/>
      </c>
      <c r="M529" t="str">
        <f>IFERROR(IF(INDEX(Fall!$1:$1048576,MATCH(All!$A529,Fall!$A:$A,FALSE),MATCH(All!M$1,Fall!$1:$1,FALSE))="","",INDEX(Fall!$1:$1048576,MATCH(All!$A529,Fall!$A:$A,FALSE),MATCH(All!M$1,Fall!$1:$1,FALSE))),"")</f>
        <v>1A</v>
      </c>
      <c r="O529">
        <f>IFERROR(IF(INDEX(Winter!$1:$1048576,MATCH(All!$A529,Winter!$A:$A,FALSE),MATCH(All!O$1,Winter!$1:$1,FALSE))="","",INDEX(Winter!$1:$1048576,MATCH(All!$A529,Winter!$A:$A,FALSE),MATCH(All!O$1,Winter!$1:$1,FALSE))),"")</f>
        <v>100</v>
      </c>
      <c r="P529" t="str">
        <f>IFERROR(IF(INDEX(Winter!$1:$1048576,MATCH(All!$A529,Winter!$A:$A,FALSE),MATCH(All!P$1,Winter!$1:$1,FALSE))="","",INDEX(Winter!$1:$1048576,MATCH(All!$A529,Winter!$A:$A,FALSE),MATCH(All!P$1,Winter!$1:$1,FALSE))),"")</f>
        <v>1A</v>
      </c>
      <c r="Q529" t="str">
        <f>IFERROR(IF(INDEX(Winter!$1:$1048576,MATCH(All!$A529,Winter!$A:$A,FALSE),MATCH(All!Q$1,Winter!$1:$1,FALSE))="","",INDEX(Winter!$1:$1048576,MATCH(All!$A529,Winter!$A:$A,FALSE),MATCH(All!Q$1,Winter!$1:$1,FALSE))),"")</f>
        <v/>
      </c>
      <c r="R529" t="str">
        <f>IFERROR(IF(INDEX(Winter!$1:$1048576,MATCH(All!$A529,Winter!$A:$A,FALSE),MATCH(All!R$1,Winter!$1:$1,FALSE))="","",INDEX(Winter!$1:$1048576,MATCH(All!$A529,Winter!$A:$A,FALSE),MATCH(All!R$1,Winter!$1:$1,FALSE))),"")</f>
        <v/>
      </c>
      <c r="S529" t="str">
        <f>IFERROR(IF(INDEX(Winter!$1:$1048576,MATCH(All!$A529,Winter!$A:$A,FALSE),MATCH(All!S$1,Winter!$1:$1,FALSE))="","",INDEX(Winter!$1:$1048576,MATCH(All!$A529,Winter!$A:$A,FALSE),MATCH(All!S$1,Winter!$1:$1,FALSE))),"")</f>
        <v/>
      </c>
      <c r="T529" t="str">
        <f>IFERROR(IF(INDEX(Winter!$1:$1048576,MATCH(All!$A529,Winter!$A:$A,FALSE),MATCH(All!T$1,Winter!$1:$1,FALSE))="","",INDEX(Winter!$1:$1048576,MATCH(All!$A529,Winter!$A:$A,FALSE),MATCH(All!T$1,Winter!$1:$1,FALSE))),"")</f>
        <v>1A</v>
      </c>
      <c r="U529" t="str">
        <f>IFERROR(IF(INDEX(Winter!$1:$1048576,MATCH(All!$A529,Winter!$A:$A,FALSE),MATCH(All!U$1,Winter!$1:$1,FALSE))="","",INDEX(Winter!$1:$1048576,MATCH(All!$A529,Winter!$A:$A,FALSE),MATCH(All!U$1,Winter!$1:$1,FALSE))),"")</f>
        <v/>
      </c>
      <c r="W529">
        <f>IFERROR(IF(INDEX(Spring!$1:$1048576,MATCH(All!$A529,Spring!$A:$A,FALSE),MATCH(All!W$1,Spring!$1:$1,FALSE))="","",INDEX(Spring!$1:$1048576,MATCH(All!$A529,Spring!$A:$A,FALSE),MATCH(All!W$1,Spring!$1:$1,FALSE))),"")</f>
        <v>100</v>
      </c>
      <c r="X529" t="str">
        <f>IFERROR(IF(INDEX(Spring!$1:$1048576,MATCH(All!$A529,Spring!$A:$A,FALSE),MATCH(All!X$1,Spring!$1:$1,FALSE))="","",INDEX(Spring!$1:$1048576,MATCH(All!$A529,Spring!$A:$A,FALSE),MATCH(All!X$1,Spring!$1:$1,FALSE))),"")</f>
        <v>1A</v>
      </c>
      <c r="Y529" t="str">
        <f>IFERROR(IF(INDEX(Spring!$1:$1048576,MATCH(All!$A529,Spring!$A:$A,FALSE),MATCH(All!Y$1,Spring!$1:$1,FALSE))="","",INDEX(Spring!$1:$1048576,MATCH(All!$A529,Spring!$A:$A,FALSE),MATCH(All!Y$1,Spring!$1:$1,FALSE))),"")</f>
        <v>1A</v>
      </c>
      <c r="Z529" t="str">
        <f>IFERROR(IF(INDEX(Spring!$1:$1048576,MATCH(All!$A529,Spring!$A:$A,FALSE),MATCH(All!Z$1,Spring!$1:$1,FALSE))="","",INDEX(Spring!$1:$1048576,MATCH(All!$A529,Spring!$A:$A,FALSE),MATCH(All!Z$1,Spring!$1:$1,FALSE))),"")</f>
        <v/>
      </c>
      <c r="AA529" t="str">
        <f>IFERROR(IF(INDEX(Spring!$1:$1048576,MATCH(All!$A529,Spring!$A:$A,FALSE),MATCH(All!AA$1,Spring!$1:$1,FALSE))="","",INDEX(Spring!$1:$1048576,MATCH(All!$A529,Spring!$A:$A,FALSE),MATCH(All!AA$1,Spring!$1:$1,FALSE))),"")</f>
        <v/>
      </c>
      <c r="AB529" t="str">
        <f>IFERROR(IF(INDEX(Spring!$1:$1048576,MATCH(All!$A529,Spring!$A:$A,FALSE),MATCH(All!AB$1,Spring!$1:$1,FALSE))="","",INDEX(Spring!$1:$1048576,MATCH(All!$A529,Spring!$A:$A,FALSE),MATCH(All!AB$1,Spring!$1:$1,FALSE))),"")</f>
        <v/>
      </c>
      <c r="AC529" t="str">
        <f>IFERROR(IF(INDEX(Spring!$1:$1048576,MATCH(All!$A529,Spring!$A:$A,FALSE),MATCH(All!AC$1,Spring!$1:$1,FALSE))="","",INDEX(Spring!$1:$1048576,MATCH(All!$A529,Spring!$A:$A,FALSE),MATCH(All!AC$1,Spring!$1:$1,FALSE))),"")</f>
        <v/>
      </c>
      <c r="AD529" t="str">
        <f>IFERROR(VLOOKUP(A529,'Flag Football'!A:A,1,FALSE),"")</f>
        <v/>
      </c>
      <c r="AE529" t="str">
        <f t="shared" si="8"/>
        <v/>
      </c>
    </row>
    <row r="530" spans="1:31" ht="15.75" thickBot="1" x14ac:dyDescent="0.3">
      <c r="A530" s="20" t="s">
        <v>621</v>
      </c>
      <c r="B530" s="38" t="str">
        <f>IFERROR(VLOOKUP(A530,'Public v Private'!A:G,3,FALSE),"")</f>
        <v>private</v>
      </c>
      <c r="C530" s="38">
        <f>IFERROR(VLOOKUP(A530,'Public v Private'!A:G,4,FALSE),"")</f>
        <v>2</v>
      </c>
      <c r="D530" s="38">
        <f>IFERROR(VLOOKUP(A530,'Public v Private'!A:G,5,FALSE),"")</f>
        <v>6</v>
      </c>
      <c r="E530" s="38"/>
      <c r="F530" s="40" t="str">
        <f>IFERROR(INDEX(Fall!$1:$1048576,MATCH(All!$A530,Fall!$A:$A,FALSE),MATCH(All!F$1,Fall!$1:$1,FALSE)),"N/A")</f>
        <v>1,115.00 (1,839.75)</v>
      </c>
      <c r="G530" t="str">
        <f>IFERROR(IF(INDEX(Fall!$1:$1048576,MATCH(All!$A530,Fall!$A:$A,FALSE),MATCH(All!G$1,Fall!$1:$1,FALSE))="","",INDEX(Fall!$1:$1048576,MATCH(All!$A530,Fall!$A:$A,FALSE),MATCH(All!G$1,Fall!$1:$1,FALSE))),"")</f>
        <v>2A</v>
      </c>
      <c r="H530" t="str">
        <f>IFERROR(IF(INDEX(Fall!$1:$1048576,MATCH(All!$A530,Fall!$A:$A,FALSE),MATCH(All!H$1,Fall!$1:$1,FALSE))="","",INDEX(Fall!$1:$1048576,MATCH(All!$A530,Fall!$A:$A,FALSE),MATCH(All!H$1,Fall!$1:$1,FALSE))),"")</f>
        <v>3A</v>
      </c>
      <c r="I530" t="str">
        <f>IFERROR(IF(INDEX(Fall!$1:$1048576,MATCH(All!$A530,Fall!$A:$A,FALSE),MATCH(All!I$1,Fall!$1:$1,FALSE))="","",INDEX(Fall!$1:$1048576,MATCH(All!$A530,Fall!$A:$A,FALSE),MATCH(All!I$1,Fall!$1:$1,FALSE))),"")</f>
        <v>3A</v>
      </c>
      <c r="J530" t="str">
        <f>IFERROR(IF(INDEX(Fall!$1:$1048576,MATCH(All!$A530,Fall!$A:$A,FALSE),MATCH(All!J$1,Fall!$1:$1,FALSE))="","",INDEX(Fall!$1:$1048576,MATCH(All!$A530,Fall!$A:$A,FALSE),MATCH(All!J$1,Fall!$1:$1,FALSE))),"")</f>
        <v>2A</v>
      </c>
      <c r="K530" t="str">
        <f>IFERROR(IF(INDEX(Fall!$1:$1048576,MATCH(All!$A530,Fall!$A:$A,FALSE),MATCH(All!K$1,Fall!$1:$1,FALSE))="","",INDEX(Fall!$1:$1048576,MATCH(All!$A530,Fall!$A:$A,FALSE),MATCH(All!K$1,Fall!$1:$1,FALSE))),"")</f>
        <v>2A</v>
      </c>
      <c r="L530" t="str">
        <f>IFERROR(IF(INDEX(Fall!$1:$1048576,MATCH(All!$A530,Fall!$A:$A,FALSE),MATCH(All!L$1,Fall!$1:$1,FALSE))="","",INDEX(Fall!$1:$1048576,MATCH(All!$A530,Fall!$A:$A,FALSE),MATCH(All!L$1,Fall!$1:$1,FALSE))),"")</f>
        <v>1A</v>
      </c>
      <c r="M530" t="str">
        <f>IFERROR(IF(INDEX(Fall!$1:$1048576,MATCH(All!$A530,Fall!$A:$A,FALSE),MATCH(All!M$1,Fall!$1:$1,FALSE))="","",INDEX(Fall!$1:$1048576,MATCH(All!$A530,Fall!$A:$A,FALSE),MATCH(All!M$1,Fall!$1:$1,FALSE))),"")</f>
        <v>3A</v>
      </c>
      <c r="O530" t="str">
        <f>IFERROR(IF(INDEX(Winter!$1:$1048576,MATCH(All!$A530,Winter!$A:$A,FALSE),MATCH(All!O$1,Winter!$1:$1,FALSE))="","",INDEX(Winter!$1:$1048576,MATCH(All!$A530,Winter!$A:$A,FALSE),MATCH(All!O$1,Winter!$1:$1,FALSE))),"")</f>
        <v>1,115.00 (1,839.75)</v>
      </c>
      <c r="P530" t="str">
        <f>IFERROR(IF(INDEX(Winter!$1:$1048576,MATCH(All!$A530,Winter!$A:$A,FALSE),MATCH(All!P$1,Winter!$1:$1,FALSE))="","",INDEX(Winter!$1:$1048576,MATCH(All!$A530,Winter!$A:$A,FALSE),MATCH(All!P$1,Winter!$1:$1,FALSE))),"")</f>
        <v>3A</v>
      </c>
      <c r="Q530" t="str">
        <f>IFERROR(IF(INDEX(Winter!$1:$1048576,MATCH(All!$A530,Winter!$A:$A,FALSE),MATCH(All!Q$1,Winter!$1:$1,FALSE))="","",INDEX(Winter!$1:$1048576,MATCH(All!$A530,Winter!$A:$A,FALSE),MATCH(All!Q$1,Winter!$1:$1,FALSE))),"")</f>
        <v>4A</v>
      </c>
      <c r="R530" t="str">
        <f>IFERROR(IF(INDEX(Winter!$1:$1048576,MATCH(All!$A530,Winter!$A:$A,FALSE),MATCH(All!R$1,Winter!$1:$1,FALSE))="","",INDEX(Winter!$1:$1048576,MATCH(All!$A530,Winter!$A:$A,FALSE),MATCH(All!R$1,Winter!$1:$1,FALSE))),"")</f>
        <v>2A</v>
      </c>
      <c r="S530" t="str">
        <f>IFERROR(IF(INDEX(Winter!$1:$1048576,MATCH(All!$A530,Winter!$A:$A,FALSE),MATCH(All!S$1,Winter!$1:$1,FALSE))="","",INDEX(Winter!$1:$1048576,MATCH(All!$A530,Winter!$A:$A,FALSE),MATCH(All!S$1,Winter!$1:$1,FALSE))),"")</f>
        <v>2A</v>
      </c>
      <c r="T530" t="str">
        <f>IFERROR(IF(INDEX(Winter!$1:$1048576,MATCH(All!$A530,Winter!$A:$A,FALSE),MATCH(All!T$1,Winter!$1:$1,FALSE))="","",INDEX(Winter!$1:$1048576,MATCH(All!$A530,Winter!$A:$A,FALSE),MATCH(All!T$1,Winter!$1:$1,FALSE))),"")</f>
        <v/>
      </c>
      <c r="U530" t="str">
        <f>IFERROR(IF(INDEX(Winter!$1:$1048576,MATCH(All!$A530,Winter!$A:$A,FALSE),MATCH(All!U$1,Winter!$1:$1,FALSE))="","",INDEX(Winter!$1:$1048576,MATCH(All!$A530,Winter!$A:$A,FALSE),MATCH(All!U$1,Winter!$1:$1,FALSE))),"")</f>
        <v>2A</v>
      </c>
      <c r="W530" t="str">
        <f>IFERROR(IF(INDEX(Spring!$1:$1048576,MATCH(All!$A530,Spring!$A:$A,FALSE),MATCH(All!W$1,Spring!$1:$1,FALSE))="","",INDEX(Spring!$1:$1048576,MATCH(All!$A530,Spring!$A:$A,FALSE),MATCH(All!W$1,Spring!$1:$1,FALSE))),"")</f>
        <v>1,115.00 (1,839.75)</v>
      </c>
      <c r="X530" t="str">
        <f>IFERROR(IF(INDEX(Spring!$1:$1048576,MATCH(All!$A530,Spring!$A:$A,FALSE),MATCH(All!X$1,Spring!$1:$1,FALSE))="","",INDEX(Spring!$1:$1048576,MATCH(All!$A530,Spring!$A:$A,FALSE),MATCH(All!X$1,Spring!$1:$1,FALSE))),"")</f>
        <v>3A</v>
      </c>
      <c r="Y530" t="str">
        <f>IFERROR(IF(INDEX(Spring!$1:$1048576,MATCH(All!$A530,Spring!$A:$A,FALSE),MATCH(All!Y$1,Spring!$1:$1,FALSE))="","",INDEX(Spring!$1:$1048576,MATCH(All!$A530,Spring!$A:$A,FALSE),MATCH(All!Y$1,Spring!$1:$1,FALSE))),"")</f>
        <v>4A</v>
      </c>
      <c r="Z530" t="str">
        <f>IFERROR(IF(INDEX(Spring!$1:$1048576,MATCH(All!$A530,Spring!$A:$A,FALSE),MATCH(All!Z$1,Spring!$1:$1,FALSE))="","",INDEX(Spring!$1:$1048576,MATCH(All!$A530,Spring!$A:$A,FALSE),MATCH(All!Z$1,Spring!$1:$1,FALSE))),"")</f>
        <v>3A</v>
      </c>
      <c r="AA530" t="str">
        <f>IFERROR(IF(INDEX(Spring!$1:$1048576,MATCH(All!$A530,Spring!$A:$A,FALSE),MATCH(All!AA$1,Spring!$1:$1,FALSE))="","",INDEX(Spring!$1:$1048576,MATCH(All!$A530,Spring!$A:$A,FALSE),MATCH(All!AA$1,Spring!$1:$1,FALSE))),"")</f>
        <v>2A</v>
      </c>
      <c r="AB530" t="str">
        <f>IFERROR(IF(INDEX(Spring!$1:$1048576,MATCH(All!$A530,Spring!$A:$A,FALSE),MATCH(All!AB$1,Spring!$1:$1,FALSE))="","",INDEX(Spring!$1:$1048576,MATCH(All!$A530,Spring!$A:$A,FALSE),MATCH(All!AB$1,Spring!$1:$1,FALSE))),"")</f>
        <v>2A</v>
      </c>
      <c r="AC530" t="str">
        <f>IFERROR(IF(INDEX(Spring!$1:$1048576,MATCH(All!$A530,Spring!$A:$A,FALSE),MATCH(All!AC$1,Spring!$1:$1,FALSE))="","",INDEX(Spring!$1:$1048576,MATCH(All!$A530,Spring!$A:$A,FALSE),MATCH(All!AC$1,Spring!$1:$1,FALSE))),"")</f>
        <v>2A</v>
      </c>
      <c r="AD530" t="str">
        <f>IFERROR(VLOOKUP(A530,'Flag Football'!A:A,1,FALSE),"")</f>
        <v>Mundelein (Carmel)</v>
      </c>
      <c r="AE530" t="str">
        <f t="shared" si="8"/>
        <v>1A</v>
      </c>
    </row>
    <row r="531" spans="1:31" ht="15.75" thickBot="1" x14ac:dyDescent="0.3">
      <c r="A531" s="18" t="s">
        <v>623</v>
      </c>
      <c r="B531" s="38">
        <f>IFERROR(VLOOKUP(A531,'Public v Private'!A:G,3,FALSE),"")</f>
        <v>0</v>
      </c>
      <c r="C531" s="38">
        <f>IFERROR(VLOOKUP(A531,'Public v Private'!A:G,4,FALSE),"")</f>
        <v>0</v>
      </c>
      <c r="D531" s="38">
        <f>IFERROR(VLOOKUP(A531,'Public v Private'!A:G,5,FALSE),"")</f>
        <v>0</v>
      </c>
      <c r="E531" s="38"/>
      <c r="F531" s="40">
        <f>IFERROR(INDEX(Fall!$1:$1048576,MATCH(All!$A531,Fall!$A:$A,FALSE),MATCH(All!F$1,Fall!$1:$1,FALSE)),"N/A")</f>
        <v>2254</v>
      </c>
      <c r="G531" t="str">
        <f>IFERROR(IF(INDEX(Fall!$1:$1048576,MATCH(All!$A531,Fall!$A:$A,FALSE),MATCH(All!G$1,Fall!$1:$1,FALSE))="","",INDEX(Fall!$1:$1048576,MATCH(All!$A531,Fall!$A:$A,FALSE),MATCH(All!G$1,Fall!$1:$1,FALSE))),"")</f>
        <v>3A</v>
      </c>
      <c r="H531" t="str">
        <f>IFERROR(IF(INDEX(Fall!$1:$1048576,MATCH(All!$A531,Fall!$A:$A,FALSE),MATCH(All!H$1,Fall!$1:$1,FALSE))="","",INDEX(Fall!$1:$1048576,MATCH(All!$A531,Fall!$A:$A,FALSE),MATCH(All!H$1,Fall!$1:$1,FALSE))),"")</f>
        <v>3A</v>
      </c>
      <c r="I531" t="str">
        <f>IFERROR(IF(INDEX(Fall!$1:$1048576,MATCH(All!$A531,Fall!$A:$A,FALSE),MATCH(All!I$1,Fall!$1:$1,FALSE))="","",INDEX(Fall!$1:$1048576,MATCH(All!$A531,Fall!$A:$A,FALSE),MATCH(All!I$1,Fall!$1:$1,FALSE))),"")</f>
        <v>3A</v>
      </c>
      <c r="J531" t="str">
        <f>IFERROR(IF(INDEX(Fall!$1:$1048576,MATCH(All!$A531,Fall!$A:$A,FALSE),MATCH(All!J$1,Fall!$1:$1,FALSE))="","",INDEX(Fall!$1:$1048576,MATCH(All!$A531,Fall!$A:$A,FALSE),MATCH(All!J$1,Fall!$1:$1,FALSE))),"")</f>
        <v>2A</v>
      </c>
      <c r="K531" t="str">
        <f>IFERROR(IF(INDEX(Fall!$1:$1048576,MATCH(All!$A531,Fall!$A:$A,FALSE),MATCH(All!K$1,Fall!$1:$1,FALSE))="","",INDEX(Fall!$1:$1048576,MATCH(All!$A531,Fall!$A:$A,FALSE),MATCH(All!K$1,Fall!$1:$1,FALSE))),"")</f>
        <v>3A</v>
      </c>
      <c r="L531" t="str">
        <f>IFERROR(IF(INDEX(Fall!$1:$1048576,MATCH(All!$A531,Fall!$A:$A,FALSE),MATCH(All!L$1,Fall!$1:$1,FALSE))="","",INDEX(Fall!$1:$1048576,MATCH(All!$A531,Fall!$A:$A,FALSE),MATCH(All!L$1,Fall!$1:$1,FALSE))),"")</f>
        <v>2A</v>
      </c>
      <c r="M531" t="str">
        <f>IFERROR(IF(INDEX(Fall!$1:$1048576,MATCH(All!$A531,Fall!$A:$A,FALSE),MATCH(All!M$1,Fall!$1:$1,FALSE))="","",INDEX(Fall!$1:$1048576,MATCH(All!$A531,Fall!$A:$A,FALSE),MATCH(All!M$1,Fall!$1:$1,FALSE))),"")</f>
        <v>4A</v>
      </c>
      <c r="O531">
        <f>IFERROR(IF(INDEX(Winter!$1:$1048576,MATCH(All!$A531,Winter!$A:$A,FALSE),MATCH(All!O$1,Winter!$1:$1,FALSE))="","",INDEX(Winter!$1:$1048576,MATCH(All!$A531,Winter!$A:$A,FALSE),MATCH(All!O$1,Winter!$1:$1,FALSE))),"")</f>
        <v>2254</v>
      </c>
      <c r="P531" t="str">
        <f>IFERROR(IF(INDEX(Winter!$1:$1048576,MATCH(All!$A531,Winter!$A:$A,FALSE),MATCH(All!P$1,Winter!$1:$1,FALSE))="","",INDEX(Winter!$1:$1048576,MATCH(All!$A531,Winter!$A:$A,FALSE),MATCH(All!P$1,Winter!$1:$1,FALSE))),"")</f>
        <v>4A</v>
      </c>
      <c r="Q531" t="str">
        <f>IFERROR(IF(INDEX(Winter!$1:$1048576,MATCH(All!$A531,Winter!$A:$A,FALSE),MATCH(All!Q$1,Winter!$1:$1,FALSE))="","",INDEX(Winter!$1:$1048576,MATCH(All!$A531,Winter!$A:$A,FALSE),MATCH(All!Q$1,Winter!$1:$1,FALSE))),"")</f>
        <v>4A</v>
      </c>
      <c r="R531" t="str">
        <f>IFERROR(IF(INDEX(Winter!$1:$1048576,MATCH(All!$A531,Winter!$A:$A,FALSE),MATCH(All!R$1,Winter!$1:$1,FALSE))="","",INDEX(Winter!$1:$1048576,MATCH(All!$A531,Winter!$A:$A,FALSE),MATCH(All!R$1,Winter!$1:$1,FALSE))),"")</f>
        <v>3A</v>
      </c>
      <c r="S531" t="str">
        <f>IFERROR(IF(INDEX(Winter!$1:$1048576,MATCH(All!$A531,Winter!$A:$A,FALSE),MATCH(All!S$1,Winter!$1:$1,FALSE))="","",INDEX(Winter!$1:$1048576,MATCH(All!$A531,Winter!$A:$A,FALSE),MATCH(All!S$1,Winter!$1:$1,FALSE))),"")</f>
        <v>3A</v>
      </c>
      <c r="T531" t="str">
        <f>IFERROR(IF(INDEX(Winter!$1:$1048576,MATCH(All!$A531,Winter!$A:$A,FALSE),MATCH(All!T$1,Winter!$1:$1,FALSE))="","",INDEX(Winter!$1:$1048576,MATCH(All!$A531,Winter!$A:$A,FALSE),MATCH(All!T$1,Winter!$1:$1,FALSE))),"")</f>
        <v>2A</v>
      </c>
      <c r="U531" t="str">
        <f>IFERROR(IF(INDEX(Winter!$1:$1048576,MATCH(All!$A531,Winter!$A:$A,FALSE),MATCH(All!U$1,Winter!$1:$1,FALSE))="","",INDEX(Winter!$1:$1048576,MATCH(All!$A531,Winter!$A:$A,FALSE),MATCH(All!U$1,Winter!$1:$1,FALSE))),"")</f>
        <v>3A</v>
      </c>
      <c r="W531">
        <f>IFERROR(IF(INDEX(Spring!$1:$1048576,MATCH(All!$A531,Spring!$A:$A,FALSE),MATCH(All!W$1,Spring!$1:$1,FALSE))="","",INDEX(Spring!$1:$1048576,MATCH(All!$A531,Spring!$A:$A,FALSE),MATCH(All!W$1,Spring!$1:$1,FALSE))),"")</f>
        <v>2254</v>
      </c>
      <c r="X531" t="str">
        <f>IFERROR(IF(INDEX(Spring!$1:$1048576,MATCH(All!$A531,Spring!$A:$A,FALSE),MATCH(All!X$1,Spring!$1:$1,FALSE))="","",INDEX(Spring!$1:$1048576,MATCH(All!$A531,Spring!$A:$A,FALSE),MATCH(All!X$1,Spring!$1:$1,FALSE))),"")</f>
        <v>4A</v>
      </c>
      <c r="Y531" t="str">
        <f>IFERROR(IF(INDEX(Spring!$1:$1048576,MATCH(All!$A531,Spring!$A:$A,FALSE),MATCH(All!Y$1,Spring!$1:$1,FALSE))="","",INDEX(Spring!$1:$1048576,MATCH(All!$A531,Spring!$A:$A,FALSE),MATCH(All!Y$1,Spring!$1:$1,FALSE))),"")</f>
        <v>4A</v>
      </c>
      <c r="Z531" t="str">
        <f>IFERROR(IF(INDEX(Spring!$1:$1048576,MATCH(All!$A531,Spring!$A:$A,FALSE),MATCH(All!Z$1,Spring!$1:$1,FALSE))="","",INDEX(Spring!$1:$1048576,MATCH(All!$A531,Spring!$A:$A,FALSE),MATCH(All!Z$1,Spring!$1:$1,FALSE))),"")</f>
        <v>3A</v>
      </c>
      <c r="AA531" t="str">
        <f>IFERROR(IF(INDEX(Spring!$1:$1048576,MATCH(All!$A531,Spring!$A:$A,FALSE),MATCH(All!AA$1,Spring!$1:$1,FALSE))="","",INDEX(Spring!$1:$1048576,MATCH(All!$A531,Spring!$A:$A,FALSE),MATCH(All!AA$1,Spring!$1:$1,FALSE))),"")</f>
        <v>2A</v>
      </c>
      <c r="AB531" t="str">
        <f>IFERROR(IF(INDEX(Spring!$1:$1048576,MATCH(All!$A531,Spring!$A:$A,FALSE),MATCH(All!AB$1,Spring!$1:$1,FALSE))="","",INDEX(Spring!$1:$1048576,MATCH(All!$A531,Spring!$A:$A,FALSE),MATCH(All!AB$1,Spring!$1:$1,FALSE))),"")</f>
        <v>3A</v>
      </c>
      <c r="AC531" t="str">
        <f>IFERROR(IF(INDEX(Spring!$1:$1048576,MATCH(All!$A531,Spring!$A:$A,FALSE),MATCH(All!AC$1,Spring!$1:$1,FALSE))="","",INDEX(Spring!$1:$1048576,MATCH(All!$A531,Spring!$A:$A,FALSE),MATCH(All!AC$1,Spring!$1:$1,FALSE))),"")</f>
        <v>3A</v>
      </c>
      <c r="AD531" t="str">
        <f>IFERROR(VLOOKUP(A531,'Flag Football'!A:A,1,FALSE),"")</f>
        <v>Mundelein (H.S.)</v>
      </c>
      <c r="AE531" t="str">
        <f t="shared" si="8"/>
        <v>1A</v>
      </c>
    </row>
    <row r="532" spans="1:31" ht="15.75" thickBot="1" x14ac:dyDescent="0.3">
      <c r="A532" s="20" t="s">
        <v>624</v>
      </c>
      <c r="B532" s="38">
        <f>IFERROR(VLOOKUP(A532,'Public v Private'!A:G,3,FALSE),"")</f>
        <v>0</v>
      </c>
      <c r="C532" s="38">
        <f>IFERROR(VLOOKUP(A532,'Public v Private'!A:G,4,FALSE),"")</f>
        <v>0</v>
      </c>
      <c r="D532" s="38">
        <f>IFERROR(VLOOKUP(A532,'Public v Private'!A:G,5,FALSE),"")</f>
        <v>0</v>
      </c>
      <c r="E532" s="38"/>
      <c r="F532" s="40">
        <f>IFERROR(INDEX(Fall!$1:$1048576,MATCH(All!$A532,Fall!$A:$A,FALSE),MATCH(All!F$1,Fall!$1:$1,FALSE)),"N/A")</f>
        <v>546</v>
      </c>
      <c r="G532" t="str">
        <f>IFERROR(IF(INDEX(Fall!$1:$1048576,MATCH(All!$A532,Fall!$A:$A,FALSE),MATCH(All!G$1,Fall!$1:$1,FALSE))="","",INDEX(Fall!$1:$1048576,MATCH(All!$A532,Fall!$A:$A,FALSE),MATCH(All!G$1,Fall!$1:$1,FALSE))),"")</f>
        <v>1A</v>
      </c>
      <c r="H532" t="str">
        <f>IFERROR(IF(INDEX(Fall!$1:$1048576,MATCH(All!$A532,Fall!$A:$A,FALSE),MATCH(All!H$1,Fall!$1:$1,FALSE))="","",INDEX(Fall!$1:$1048576,MATCH(All!$A532,Fall!$A:$A,FALSE),MATCH(All!H$1,Fall!$1:$1,FALSE))),"")</f>
        <v>1A</v>
      </c>
      <c r="I532" t="str">
        <f>IFERROR(IF(INDEX(Fall!$1:$1048576,MATCH(All!$A532,Fall!$A:$A,FALSE),MATCH(All!I$1,Fall!$1:$1,FALSE))="","",INDEX(Fall!$1:$1048576,MATCH(All!$A532,Fall!$A:$A,FALSE),MATCH(All!I$1,Fall!$1:$1,FALSE))),"")</f>
        <v>2A</v>
      </c>
      <c r="J532" t="str">
        <f>IFERROR(IF(INDEX(Fall!$1:$1048576,MATCH(All!$A532,Fall!$A:$A,FALSE),MATCH(All!J$1,Fall!$1:$1,FALSE))="","",INDEX(Fall!$1:$1048576,MATCH(All!$A532,Fall!$A:$A,FALSE),MATCH(All!J$1,Fall!$1:$1,FALSE))),"")</f>
        <v>1A</v>
      </c>
      <c r="K532" t="str">
        <f>IFERROR(IF(INDEX(Fall!$1:$1048576,MATCH(All!$A532,Fall!$A:$A,FALSE),MATCH(All!K$1,Fall!$1:$1,FALSE))="","",INDEX(Fall!$1:$1048576,MATCH(All!$A532,Fall!$A:$A,FALSE),MATCH(All!K$1,Fall!$1:$1,FALSE))),"")</f>
        <v>1A</v>
      </c>
      <c r="L532" t="str">
        <f>IFERROR(IF(INDEX(Fall!$1:$1048576,MATCH(All!$A532,Fall!$A:$A,FALSE),MATCH(All!L$1,Fall!$1:$1,FALSE))="","",INDEX(Fall!$1:$1048576,MATCH(All!$A532,Fall!$A:$A,FALSE),MATCH(All!L$1,Fall!$1:$1,FALSE))),"")</f>
        <v/>
      </c>
      <c r="M532" t="str">
        <f>IFERROR(IF(INDEX(Fall!$1:$1048576,MATCH(All!$A532,Fall!$A:$A,FALSE),MATCH(All!M$1,Fall!$1:$1,FALSE))="","",INDEX(Fall!$1:$1048576,MATCH(All!$A532,Fall!$A:$A,FALSE),MATCH(All!M$1,Fall!$1:$1,FALSE))),"")</f>
        <v>2A</v>
      </c>
      <c r="O532">
        <f>IFERROR(IF(INDEX(Winter!$1:$1048576,MATCH(All!$A532,Winter!$A:$A,FALSE),MATCH(All!O$1,Winter!$1:$1,FALSE))="","",INDEX(Winter!$1:$1048576,MATCH(All!$A532,Winter!$A:$A,FALSE),MATCH(All!O$1,Winter!$1:$1,FALSE))),"")</f>
        <v>546</v>
      </c>
      <c r="P532" t="str">
        <f>IFERROR(IF(INDEX(Winter!$1:$1048576,MATCH(All!$A532,Winter!$A:$A,FALSE),MATCH(All!P$1,Winter!$1:$1,FALSE))="","",INDEX(Winter!$1:$1048576,MATCH(All!$A532,Winter!$A:$A,FALSE),MATCH(All!P$1,Winter!$1:$1,FALSE))),"")</f>
        <v>2A</v>
      </c>
      <c r="Q532" t="str">
        <f>IFERROR(IF(INDEX(Winter!$1:$1048576,MATCH(All!$A532,Winter!$A:$A,FALSE),MATCH(All!Q$1,Winter!$1:$1,FALSE))="","",INDEX(Winter!$1:$1048576,MATCH(All!$A532,Winter!$A:$A,FALSE),MATCH(All!Q$1,Winter!$1:$1,FALSE))),"")</f>
        <v>2A</v>
      </c>
      <c r="R532" t="str">
        <f>IFERROR(IF(INDEX(Winter!$1:$1048576,MATCH(All!$A532,Winter!$A:$A,FALSE),MATCH(All!R$1,Winter!$1:$1,FALSE))="","",INDEX(Winter!$1:$1048576,MATCH(All!$A532,Winter!$A:$A,FALSE),MATCH(All!R$1,Winter!$1:$1,FALSE))),"")</f>
        <v/>
      </c>
      <c r="S532" t="str">
        <f>IFERROR(IF(INDEX(Winter!$1:$1048576,MATCH(All!$A532,Winter!$A:$A,FALSE),MATCH(All!S$1,Winter!$1:$1,FALSE))="","",INDEX(Winter!$1:$1048576,MATCH(All!$A532,Winter!$A:$A,FALSE),MATCH(All!S$1,Winter!$1:$1,FALSE))),"")</f>
        <v>1A</v>
      </c>
      <c r="T532" t="str">
        <f>IFERROR(IF(INDEX(Winter!$1:$1048576,MATCH(All!$A532,Winter!$A:$A,FALSE),MATCH(All!T$1,Winter!$1:$1,FALSE))="","",INDEX(Winter!$1:$1048576,MATCH(All!$A532,Winter!$A:$A,FALSE),MATCH(All!T$1,Winter!$1:$1,FALSE))),"")</f>
        <v/>
      </c>
      <c r="U532" t="str">
        <f>IFERROR(IF(INDEX(Winter!$1:$1048576,MATCH(All!$A532,Winter!$A:$A,FALSE),MATCH(All!U$1,Winter!$1:$1,FALSE))="","",INDEX(Winter!$1:$1048576,MATCH(All!$A532,Winter!$A:$A,FALSE),MATCH(All!U$1,Winter!$1:$1,FALSE))),"")</f>
        <v>1A</v>
      </c>
      <c r="W532">
        <f>IFERROR(IF(INDEX(Spring!$1:$1048576,MATCH(All!$A532,Spring!$A:$A,FALSE),MATCH(All!W$1,Spring!$1:$1,FALSE))="","",INDEX(Spring!$1:$1048576,MATCH(All!$A532,Spring!$A:$A,FALSE),MATCH(All!W$1,Spring!$1:$1,FALSE))),"")</f>
        <v>546</v>
      </c>
      <c r="X532" t="str">
        <f>IFERROR(IF(INDEX(Spring!$1:$1048576,MATCH(All!$A532,Spring!$A:$A,FALSE),MATCH(All!X$1,Spring!$1:$1,FALSE))="","",INDEX(Spring!$1:$1048576,MATCH(All!$A532,Spring!$A:$A,FALSE),MATCH(All!X$1,Spring!$1:$1,FALSE))),"")</f>
        <v>2A</v>
      </c>
      <c r="Y532" t="str">
        <f>IFERROR(IF(INDEX(Spring!$1:$1048576,MATCH(All!$A532,Spring!$A:$A,FALSE),MATCH(All!Y$1,Spring!$1:$1,FALSE))="","",INDEX(Spring!$1:$1048576,MATCH(All!$A532,Spring!$A:$A,FALSE),MATCH(All!Y$1,Spring!$1:$1,FALSE))),"")</f>
        <v>2A</v>
      </c>
      <c r="Z532" t="str">
        <f>IFERROR(IF(INDEX(Spring!$1:$1048576,MATCH(All!$A532,Spring!$A:$A,FALSE),MATCH(All!Z$1,Spring!$1:$1,FALSE))="","",INDEX(Spring!$1:$1048576,MATCH(All!$A532,Spring!$A:$A,FALSE),MATCH(All!Z$1,Spring!$1:$1,FALSE))),"")</f>
        <v>1A</v>
      </c>
      <c r="AA532" t="str">
        <f>IFERROR(IF(INDEX(Spring!$1:$1048576,MATCH(All!$A532,Spring!$A:$A,FALSE),MATCH(All!AA$1,Spring!$1:$1,FALSE))="","",INDEX(Spring!$1:$1048576,MATCH(All!$A532,Spring!$A:$A,FALSE),MATCH(All!AA$1,Spring!$1:$1,FALSE))),"")</f>
        <v/>
      </c>
      <c r="AB532" t="str">
        <f>IFERROR(IF(INDEX(Spring!$1:$1048576,MATCH(All!$A532,Spring!$A:$A,FALSE),MATCH(All!AB$1,Spring!$1:$1,FALSE))="","",INDEX(Spring!$1:$1048576,MATCH(All!$A532,Spring!$A:$A,FALSE),MATCH(All!AB$1,Spring!$1:$1,FALSE))),"")</f>
        <v>2A</v>
      </c>
      <c r="AC532" t="str">
        <f>IFERROR(IF(INDEX(Spring!$1:$1048576,MATCH(All!$A532,Spring!$A:$A,FALSE),MATCH(All!AC$1,Spring!$1:$1,FALSE))="","",INDEX(Spring!$1:$1048576,MATCH(All!$A532,Spring!$A:$A,FALSE),MATCH(All!AC$1,Spring!$1:$1,FALSE))),"")</f>
        <v>2A</v>
      </c>
      <c r="AD532" t="str">
        <f>IFERROR(VLOOKUP(A532,'Flag Football'!A:A,1,FALSE),"")</f>
        <v/>
      </c>
      <c r="AE532" t="str">
        <f t="shared" si="8"/>
        <v/>
      </c>
    </row>
    <row r="533" spans="1:31" ht="15.75" thickBot="1" x14ac:dyDescent="0.3">
      <c r="A533" s="18" t="s">
        <v>625</v>
      </c>
      <c r="B533" s="38" t="str">
        <f>IFERROR(VLOOKUP(A533,'Public v Private'!A:G,3,FALSE),"")</f>
        <v/>
      </c>
      <c r="C533" s="38" t="str">
        <f>IFERROR(VLOOKUP(A533,'Public v Private'!A:G,4,FALSE),"")</f>
        <v/>
      </c>
      <c r="D533" s="38" t="str">
        <f>IFERROR(VLOOKUP(A533,'Public v Private'!A:G,5,FALSE),"")</f>
        <v/>
      </c>
      <c r="E533" s="38"/>
      <c r="F533" s="40" t="str">
        <f>IFERROR(INDEX(Fall!$1:$1048576,MATCH(All!$A533,Fall!$A:$A,FALSE),MATCH(All!F$1,Fall!$1:$1,FALSE)),"N/A")</f>
        <v>21.00 (34.65)</v>
      </c>
      <c r="G533" t="str">
        <f>IFERROR(IF(INDEX(Fall!$1:$1048576,MATCH(All!$A533,Fall!$A:$A,FALSE),MATCH(All!G$1,Fall!$1:$1,FALSE))="","",INDEX(Fall!$1:$1048576,MATCH(All!$A533,Fall!$A:$A,FALSE),MATCH(All!G$1,Fall!$1:$1,FALSE))),"")</f>
        <v/>
      </c>
      <c r="H533" t="str">
        <f>IFERROR(IF(INDEX(Fall!$1:$1048576,MATCH(All!$A533,Fall!$A:$A,FALSE),MATCH(All!H$1,Fall!$1:$1,FALSE))="","",INDEX(Fall!$1:$1048576,MATCH(All!$A533,Fall!$A:$A,FALSE),MATCH(All!H$1,Fall!$1:$1,FALSE))),"")</f>
        <v/>
      </c>
      <c r="I533" t="str">
        <f>IFERROR(IF(INDEX(Fall!$1:$1048576,MATCH(All!$A533,Fall!$A:$A,FALSE),MATCH(All!I$1,Fall!$1:$1,FALSE))="","",INDEX(Fall!$1:$1048576,MATCH(All!$A533,Fall!$A:$A,FALSE),MATCH(All!I$1,Fall!$1:$1,FALSE))),"")</f>
        <v/>
      </c>
      <c r="J533" t="str">
        <f>IFERROR(IF(INDEX(Fall!$1:$1048576,MATCH(All!$A533,Fall!$A:$A,FALSE),MATCH(All!J$1,Fall!$1:$1,FALSE))="","",INDEX(Fall!$1:$1048576,MATCH(All!$A533,Fall!$A:$A,FALSE),MATCH(All!J$1,Fall!$1:$1,FALSE))),"")</f>
        <v/>
      </c>
      <c r="K533" t="str">
        <f>IFERROR(IF(INDEX(Fall!$1:$1048576,MATCH(All!$A533,Fall!$A:$A,FALSE),MATCH(All!K$1,Fall!$1:$1,FALSE))="","",INDEX(Fall!$1:$1048576,MATCH(All!$A533,Fall!$A:$A,FALSE),MATCH(All!K$1,Fall!$1:$1,FALSE))),"")</f>
        <v/>
      </c>
      <c r="L533" t="str">
        <f>IFERROR(IF(INDEX(Fall!$1:$1048576,MATCH(All!$A533,Fall!$A:$A,FALSE),MATCH(All!L$1,Fall!$1:$1,FALSE))="","",INDEX(Fall!$1:$1048576,MATCH(All!$A533,Fall!$A:$A,FALSE),MATCH(All!L$1,Fall!$1:$1,FALSE))),"")</f>
        <v/>
      </c>
      <c r="M533" t="str">
        <f>IFERROR(IF(INDEX(Fall!$1:$1048576,MATCH(All!$A533,Fall!$A:$A,FALSE),MATCH(All!M$1,Fall!$1:$1,FALSE))="","",INDEX(Fall!$1:$1048576,MATCH(All!$A533,Fall!$A:$A,FALSE),MATCH(All!M$1,Fall!$1:$1,FALSE))),"")</f>
        <v>1A</v>
      </c>
      <c r="O533" t="str">
        <f>IFERROR(IF(INDEX(Winter!$1:$1048576,MATCH(All!$A533,Winter!$A:$A,FALSE),MATCH(All!O$1,Winter!$1:$1,FALSE))="","",INDEX(Winter!$1:$1048576,MATCH(All!$A533,Winter!$A:$A,FALSE),MATCH(All!O$1,Winter!$1:$1,FALSE))),"")</f>
        <v/>
      </c>
      <c r="P533" t="str">
        <f>IFERROR(IF(INDEX(Winter!$1:$1048576,MATCH(All!$A533,Winter!$A:$A,FALSE),MATCH(All!P$1,Winter!$1:$1,FALSE))="","",INDEX(Winter!$1:$1048576,MATCH(All!$A533,Winter!$A:$A,FALSE),MATCH(All!P$1,Winter!$1:$1,FALSE))),"")</f>
        <v/>
      </c>
      <c r="Q533" t="str">
        <f>IFERROR(IF(INDEX(Winter!$1:$1048576,MATCH(All!$A533,Winter!$A:$A,FALSE),MATCH(All!Q$1,Winter!$1:$1,FALSE))="","",INDEX(Winter!$1:$1048576,MATCH(All!$A533,Winter!$A:$A,FALSE),MATCH(All!Q$1,Winter!$1:$1,FALSE))),"")</f>
        <v/>
      </c>
      <c r="R533" t="str">
        <f>IFERROR(IF(INDEX(Winter!$1:$1048576,MATCH(All!$A533,Winter!$A:$A,FALSE),MATCH(All!R$1,Winter!$1:$1,FALSE))="","",INDEX(Winter!$1:$1048576,MATCH(All!$A533,Winter!$A:$A,FALSE),MATCH(All!R$1,Winter!$1:$1,FALSE))),"")</f>
        <v/>
      </c>
      <c r="S533" t="str">
        <f>IFERROR(IF(INDEX(Winter!$1:$1048576,MATCH(All!$A533,Winter!$A:$A,FALSE),MATCH(All!S$1,Winter!$1:$1,FALSE))="","",INDEX(Winter!$1:$1048576,MATCH(All!$A533,Winter!$A:$A,FALSE),MATCH(All!S$1,Winter!$1:$1,FALSE))),"")</f>
        <v/>
      </c>
      <c r="T533" t="str">
        <f>IFERROR(IF(INDEX(Winter!$1:$1048576,MATCH(All!$A533,Winter!$A:$A,FALSE),MATCH(All!T$1,Winter!$1:$1,FALSE))="","",INDEX(Winter!$1:$1048576,MATCH(All!$A533,Winter!$A:$A,FALSE),MATCH(All!T$1,Winter!$1:$1,FALSE))),"")</f>
        <v/>
      </c>
      <c r="U533" t="str">
        <f>IFERROR(IF(INDEX(Winter!$1:$1048576,MATCH(All!$A533,Winter!$A:$A,FALSE),MATCH(All!U$1,Winter!$1:$1,FALSE))="","",INDEX(Winter!$1:$1048576,MATCH(All!$A533,Winter!$A:$A,FALSE),MATCH(All!U$1,Winter!$1:$1,FALSE))),"")</f>
        <v/>
      </c>
      <c r="W533" t="str">
        <f>IFERROR(IF(INDEX(Spring!$1:$1048576,MATCH(All!$A533,Spring!$A:$A,FALSE),MATCH(All!W$1,Spring!$1:$1,FALSE))="","",INDEX(Spring!$1:$1048576,MATCH(All!$A533,Spring!$A:$A,FALSE),MATCH(All!W$1,Spring!$1:$1,FALSE))),"")</f>
        <v>21.00 (34.65)</v>
      </c>
      <c r="X533" t="str">
        <f>IFERROR(IF(INDEX(Spring!$1:$1048576,MATCH(All!$A533,Spring!$A:$A,FALSE),MATCH(All!X$1,Spring!$1:$1,FALSE))="","",INDEX(Spring!$1:$1048576,MATCH(All!$A533,Spring!$A:$A,FALSE),MATCH(All!X$1,Spring!$1:$1,FALSE))),"")</f>
        <v/>
      </c>
      <c r="Y533" t="str">
        <f>IFERROR(IF(INDEX(Spring!$1:$1048576,MATCH(All!$A533,Spring!$A:$A,FALSE),MATCH(All!Y$1,Spring!$1:$1,FALSE))="","",INDEX(Spring!$1:$1048576,MATCH(All!$A533,Spring!$A:$A,FALSE),MATCH(All!Y$1,Spring!$1:$1,FALSE))),"")</f>
        <v/>
      </c>
      <c r="Z533" t="str">
        <f>IFERROR(IF(INDEX(Spring!$1:$1048576,MATCH(All!$A533,Spring!$A:$A,FALSE),MATCH(All!Z$1,Spring!$1:$1,FALSE))="","",INDEX(Spring!$1:$1048576,MATCH(All!$A533,Spring!$A:$A,FALSE),MATCH(All!Z$1,Spring!$1:$1,FALSE))),"")</f>
        <v/>
      </c>
      <c r="AA533" t="str">
        <f>IFERROR(IF(INDEX(Spring!$1:$1048576,MATCH(All!$A533,Spring!$A:$A,FALSE),MATCH(All!AA$1,Spring!$1:$1,FALSE))="","",INDEX(Spring!$1:$1048576,MATCH(All!$A533,Spring!$A:$A,FALSE),MATCH(All!AA$1,Spring!$1:$1,FALSE))),"")</f>
        <v/>
      </c>
      <c r="AB533" t="str">
        <f>IFERROR(IF(INDEX(Spring!$1:$1048576,MATCH(All!$A533,Spring!$A:$A,FALSE),MATCH(All!AB$1,Spring!$1:$1,FALSE))="","",INDEX(Spring!$1:$1048576,MATCH(All!$A533,Spring!$A:$A,FALSE),MATCH(All!AB$1,Spring!$1:$1,FALSE))),"")</f>
        <v>1A</v>
      </c>
      <c r="AC533" t="str">
        <f>IFERROR(IF(INDEX(Spring!$1:$1048576,MATCH(All!$A533,Spring!$A:$A,FALSE),MATCH(All!AC$1,Spring!$1:$1,FALSE))="","",INDEX(Spring!$1:$1048576,MATCH(All!$A533,Spring!$A:$A,FALSE),MATCH(All!AC$1,Spring!$1:$1,FALSE))),"")</f>
        <v>1A</v>
      </c>
      <c r="AD533" t="str">
        <f>IFERROR(VLOOKUP(A533,'Flag Football'!A:A,1,FALSE),"")</f>
        <v/>
      </c>
      <c r="AE533" t="str">
        <f t="shared" si="8"/>
        <v/>
      </c>
    </row>
    <row r="534" spans="1:31" ht="15.75" thickBot="1" x14ac:dyDescent="0.3">
      <c r="A534" s="20" t="s">
        <v>627</v>
      </c>
      <c r="B534" s="38">
        <f>IFERROR(VLOOKUP(A534,'Public v Private'!A:G,3,FALSE),"")</f>
        <v>0</v>
      </c>
      <c r="C534" s="38">
        <f>IFERROR(VLOOKUP(A534,'Public v Private'!A:G,4,FALSE),"")</f>
        <v>0</v>
      </c>
      <c r="D534" s="38">
        <f>IFERROR(VLOOKUP(A534,'Public v Private'!A:G,5,FALSE),"")</f>
        <v>0</v>
      </c>
      <c r="E534" s="38"/>
      <c r="F534" s="40">
        <f>IFERROR(INDEX(Fall!$1:$1048576,MATCH(All!$A534,Fall!$A:$A,FALSE),MATCH(All!F$1,Fall!$1:$1,FALSE)),"N/A")</f>
        <v>2501</v>
      </c>
      <c r="G534" t="str">
        <f>IFERROR(IF(INDEX(Fall!$1:$1048576,MATCH(All!$A534,Fall!$A:$A,FALSE),MATCH(All!G$1,Fall!$1:$1,FALSE))="","",INDEX(Fall!$1:$1048576,MATCH(All!$A534,Fall!$A:$A,FALSE),MATCH(All!G$1,Fall!$1:$1,FALSE))),"")</f>
        <v>3A</v>
      </c>
      <c r="H534" t="str">
        <f>IFERROR(IF(INDEX(Fall!$1:$1048576,MATCH(All!$A534,Fall!$A:$A,FALSE),MATCH(All!H$1,Fall!$1:$1,FALSE))="","",INDEX(Fall!$1:$1048576,MATCH(All!$A534,Fall!$A:$A,FALSE),MATCH(All!H$1,Fall!$1:$1,FALSE))),"")</f>
        <v>3A</v>
      </c>
      <c r="I534" t="str">
        <f>IFERROR(IF(INDEX(Fall!$1:$1048576,MATCH(All!$A534,Fall!$A:$A,FALSE),MATCH(All!I$1,Fall!$1:$1,FALSE))="","",INDEX(Fall!$1:$1048576,MATCH(All!$A534,Fall!$A:$A,FALSE),MATCH(All!I$1,Fall!$1:$1,FALSE))),"")</f>
        <v>3A</v>
      </c>
      <c r="J534" t="str">
        <f>IFERROR(IF(INDEX(Fall!$1:$1048576,MATCH(All!$A534,Fall!$A:$A,FALSE),MATCH(All!J$1,Fall!$1:$1,FALSE))="","",INDEX(Fall!$1:$1048576,MATCH(All!$A534,Fall!$A:$A,FALSE),MATCH(All!J$1,Fall!$1:$1,FALSE))),"")</f>
        <v>2A</v>
      </c>
      <c r="K534" t="str">
        <f>IFERROR(IF(INDEX(Fall!$1:$1048576,MATCH(All!$A534,Fall!$A:$A,FALSE),MATCH(All!K$1,Fall!$1:$1,FALSE))="","",INDEX(Fall!$1:$1048576,MATCH(All!$A534,Fall!$A:$A,FALSE),MATCH(All!K$1,Fall!$1:$1,FALSE))),"")</f>
        <v>3A</v>
      </c>
      <c r="L534" t="str">
        <f>IFERROR(IF(INDEX(Fall!$1:$1048576,MATCH(All!$A534,Fall!$A:$A,FALSE),MATCH(All!L$1,Fall!$1:$1,FALSE))="","",INDEX(Fall!$1:$1048576,MATCH(All!$A534,Fall!$A:$A,FALSE),MATCH(All!L$1,Fall!$1:$1,FALSE))),"")</f>
        <v>2A</v>
      </c>
      <c r="M534" t="str">
        <f>IFERROR(IF(INDEX(Fall!$1:$1048576,MATCH(All!$A534,Fall!$A:$A,FALSE),MATCH(All!M$1,Fall!$1:$1,FALSE))="","",INDEX(Fall!$1:$1048576,MATCH(All!$A534,Fall!$A:$A,FALSE),MATCH(All!M$1,Fall!$1:$1,FALSE))),"")</f>
        <v>4A</v>
      </c>
      <c r="O534">
        <f>IFERROR(IF(INDEX(Winter!$1:$1048576,MATCH(All!$A534,Winter!$A:$A,FALSE),MATCH(All!O$1,Winter!$1:$1,FALSE))="","",INDEX(Winter!$1:$1048576,MATCH(All!$A534,Winter!$A:$A,FALSE),MATCH(All!O$1,Winter!$1:$1,FALSE))),"")</f>
        <v>2501</v>
      </c>
      <c r="P534" t="str">
        <f>IFERROR(IF(INDEX(Winter!$1:$1048576,MATCH(All!$A534,Winter!$A:$A,FALSE),MATCH(All!P$1,Winter!$1:$1,FALSE))="","",INDEX(Winter!$1:$1048576,MATCH(All!$A534,Winter!$A:$A,FALSE),MATCH(All!P$1,Winter!$1:$1,FALSE))),"")</f>
        <v>4A</v>
      </c>
      <c r="Q534" t="str">
        <f>IFERROR(IF(INDEX(Winter!$1:$1048576,MATCH(All!$A534,Winter!$A:$A,FALSE),MATCH(All!Q$1,Winter!$1:$1,FALSE))="","",INDEX(Winter!$1:$1048576,MATCH(All!$A534,Winter!$A:$A,FALSE),MATCH(All!Q$1,Winter!$1:$1,FALSE))),"")</f>
        <v>4A</v>
      </c>
      <c r="R534" t="str">
        <f>IFERROR(IF(INDEX(Winter!$1:$1048576,MATCH(All!$A534,Winter!$A:$A,FALSE),MATCH(All!R$1,Winter!$1:$1,FALSE))="","",INDEX(Winter!$1:$1048576,MATCH(All!$A534,Winter!$A:$A,FALSE),MATCH(All!R$1,Winter!$1:$1,FALSE))),"")</f>
        <v>3A</v>
      </c>
      <c r="S534" t="str">
        <f>IFERROR(IF(INDEX(Winter!$1:$1048576,MATCH(All!$A534,Winter!$A:$A,FALSE),MATCH(All!S$1,Winter!$1:$1,FALSE))="","",INDEX(Winter!$1:$1048576,MATCH(All!$A534,Winter!$A:$A,FALSE),MATCH(All!S$1,Winter!$1:$1,FALSE))),"")</f>
        <v>3A</v>
      </c>
      <c r="T534" t="str">
        <f>IFERROR(IF(INDEX(Winter!$1:$1048576,MATCH(All!$A534,Winter!$A:$A,FALSE),MATCH(All!T$1,Winter!$1:$1,FALSE))="","",INDEX(Winter!$1:$1048576,MATCH(All!$A534,Winter!$A:$A,FALSE),MATCH(All!T$1,Winter!$1:$1,FALSE))),"")</f>
        <v>2A</v>
      </c>
      <c r="U534" t="str">
        <f>IFERROR(IF(INDEX(Winter!$1:$1048576,MATCH(All!$A534,Winter!$A:$A,FALSE),MATCH(All!U$1,Winter!$1:$1,FALSE))="","",INDEX(Winter!$1:$1048576,MATCH(All!$A534,Winter!$A:$A,FALSE),MATCH(All!U$1,Winter!$1:$1,FALSE))),"")</f>
        <v>3A</v>
      </c>
      <c r="W534">
        <f>IFERROR(IF(INDEX(Spring!$1:$1048576,MATCH(All!$A534,Spring!$A:$A,FALSE),MATCH(All!W$1,Spring!$1:$1,FALSE))="","",INDEX(Spring!$1:$1048576,MATCH(All!$A534,Spring!$A:$A,FALSE),MATCH(All!W$1,Spring!$1:$1,FALSE))),"")</f>
        <v>2501</v>
      </c>
      <c r="X534" t="str">
        <f>IFERROR(IF(INDEX(Spring!$1:$1048576,MATCH(All!$A534,Spring!$A:$A,FALSE),MATCH(All!X$1,Spring!$1:$1,FALSE))="","",INDEX(Spring!$1:$1048576,MATCH(All!$A534,Spring!$A:$A,FALSE),MATCH(All!X$1,Spring!$1:$1,FALSE))),"")</f>
        <v>4A</v>
      </c>
      <c r="Y534" t="str">
        <f>IFERROR(IF(INDEX(Spring!$1:$1048576,MATCH(All!$A534,Spring!$A:$A,FALSE),MATCH(All!Y$1,Spring!$1:$1,FALSE))="","",INDEX(Spring!$1:$1048576,MATCH(All!$A534,Spring!$A:$A,FALSE),MATCH(All!Y$1,Spring!$1:$1,FALSE))),"")</f>
        <v>4A</v>
      </c>
      <c r="Z534" t="str">
        <f>IFERROR(IF(INDEX(Spring!$1:$1048576,MATCH(All!$A534,Spring!$A:$A,FALSE),MATCH(All!Z$1,Spring!$1:$1,FALSE))="","",INDEX(Spring!$1:$1048576,MATCH(All!$A534,Spring!$A:$A,FALSE),MATCH(All!Z$1,Spring!$1:$1,FALSE))),"")</f>
        <v>3A</v>
      </c>
      <c r="AA534" t="str">
        <f>IFERROR(IF(INDEX(Spring!$1:$1048576,MATCH(All!$A534,Spring!$A:$A,FALSE),MATCH(All!AA$1,Spring!$1:$1,FALSE))="","",INDEX(Spring!$1:$1048576,MATCH(All!$A534,Spring!$A:$A,FALSE),MATCH(All!AA$1,Spring!$1:$1,FALSE))),"")</f>
        <v>2A</v>
      </c>
      <c r="AB534" t="str">
        <f>IFERROR(IF(INDEX(Spring!$1:$1048576,MATCH(All!$A534,Spring!$A:$A,FALSE),MATCH(All!AB$1,Spring!$1:$1,FALSE))="","",INDEX(Spring!$1:$1048576,MATCH(All!$A534,Spring!$A:$A,FALSE),MATCH(All!AB$1,Spring!$1:$1,FALSE))),"")</f>
        <v>3A</v>
      </c>
      <c r="AC534" t="str">
        <f>IFERROR(IF(INDEX(Spring!$1:$1048576,MATCH(All!$A534,Spring!$A:$A,FALSE),MATCH(All!AC$1,Spring!$1:$1,FALSE))="","",INDEX(Spring!$1:$1048576,MATCH(All!$A534,Spring!$A:$A,FALSE),MATCH(All!AC$1,Spring!$1:$1,FALSE))),"")</f>
        <v>3A</v>
      </c>
      <c r="AD534" t="str">
        <f>IFERROR(VLOOKUP(A534,'Flag Football'!A:A,1,FALSE),"")</f>
        <v>Naperville (Central)</v>
      </c>
      <c r="AE534" t="str">
        <f t="shared" si="8"/>
        <v>1A</v>
      </c>
    </row>
    <row r="535" spans="1:31" ht="15.75" thickBot="1" x14ac:dyDescent="0.3">
      <c r="A535" s="18" t="s">
        <v>628</v>
      </c>
      <c r="B535" s="38">
        <f>IFERROR(VLOOKUP(A535,'Public v Private'!A:G,3,FALSE),"")</f>
        <v>0</v>
      </c>
      <c r="C535" s="38">
        <f>IFERROR(VLOOKUP(A535,'Public v Private'!A:G,4,FALSE),"")</f>
        <v>0</v>
      </c>
      <c r="D535" s="38">
        <f>IFERROR(VLOOKUP(A535,'Public v Private'!A:G,5,FALSE),"")</f>
        <v>0</v>
      </c>
      <c r="E535" s="38"/>
      <c r="F535" s="40">
        <f>IFERROR(INDEX(Fall!$1:$1048576,MATCH(All!$A535,Fall!$A:$A,FALSE),MATCH(All!F$1,Fall!$1:$1,FALSE)),"N/A")</f>
        <v>2977</v>
      </c>
      <c r="G535" t="str">
        <f>IFERROR(IF(INDEX(Fall!$1:$1048576,MATCH(All!$A535,Fall!$A:$A,FALSE),MATCH(All!G$1,Fall!$1:$1,FALSE))="","",INDEX(Fall!$1:$1048576,MATCH(All!$A535,Fall!$A:$A,FALSE),MATCH(All!G$1,Fall!$1:$1,FALSE))),"")</f>
        <v>3A</v>
      </c>
      <c r="H535" t="str">
        <f>IFERROR(IF(INDEX(Fall!$1:$1048576,MATCH(All!$A535,Fall!$A:$A,FALSE),MATCH(All!H$1,Fall!$1:$1,FALSE))="","",INDEX(Fall!$1:$1048576,MATCH(All!$A535,Fall!$A:$A,FALSE),MATCH(All!H$1,Fall!$1:$1,FALSE))),"")</f>
        <v>3A</v>
      </c>
      <c r="I535" t="str">
        <f>IFERROR(IF(INDEX(Fall!$1:$1048576,MATCH(All!$A535,Fall!$A:$A,FALSE),MATCH(All!I$1,Fall!$1:$1,FALSE))="","",INDEX(Fall!$1:$1048576,MATCH(All!$A535,Fall!$A:$A,FALSE),MATCH(All!I$1,Fall!$1:$1,FALSE))),"")</f>
        <v>3A</v>
      </c>
      <c r="J535" t="str">
        <f>IFERROR(IF(INDEX(Fall!$1:$1048576,MATCH(All!$A535,Fall!$A:$A,FALSE),MATCH(All!J$1,Fall!$1:$1,FALSE))="","",INDEX(Fall!$1:$1048576,MATCH(All!$A535,Fall!$A:$A,FALSE),MATCH(All!J$1,Fall!$1:$1,FALSE))),"")</f>
        <v>2A</v>
      </c>
      <c r="K535" t="str">
        <f>IFERROR(IF(INDEX(Fall!$1:$1048576,MATCH(All!$A535,Fall!$A:$A,FALSE),MATCH(All!K$1,Fall!$1:$1,FALSE))="","",INDEX(Fall!$1:$1048576,MATCH(All!$A535,Fall!$A:$A,FALSE),MATCH(All!K$1,Fall!$1:$1,FALSE))),"")</f>
        <v>3A</v>
      </c>
      <c r="L535" t="str">
        <f>IFERROR(IF(INDEX(Fall!$1:$1048576,MATCH(All!$A535,Fall!$A:$A,FALSE),MATCH(All!L$1,Fall!$1:$1,FALSE))="","",INDEX(Fall!$1:$1048576,MATCH(All!$A535,Fall!$A:$A,FALSE),MATCH(All!L$1,Fall!$1:$1,FALSE))),"")</f>
        <v>2A</v>
      </c>
      <c r="M535" t="str">
        <f>IFERROR(IF(INDEX(Fall!$1:$1048576,MATCH(All!$A535,Fall!$A:$A,FALSE),MATCH(All!M$1,Fall!$1:$1,FALSE))="","",INDEX(Fall!$1:$1048576,MATCH(All!$A535,Fall!$A:$A,FALSE),MATCH(All!M$1,Fall!$1:$1,FALSE))),"")</f>
        <v>4A</v>
      </c>
      <c r="O535">
        <f>IFERROR(IF(INDEX(Winter!$1:$1048576,MATCH(All!$A535,Winter!$A:$A,FALSE),MATCH(All!O$1,Winter!$1:$1,FALSE))="","",INDEX(Winter!$1:$1048576,MATCH(All!$A535,Winter!$A:$A,FALSE),MATCH(All!O$1,Winter!$1:$1,FALSE))),"")</f>
        <v>2977</v>
      </c>
      <c r="P535" t="str">
        <f>IFERROR(IF(INDEX(Winter!$1:$1048576,MATCH(All!$A535,Winter!$A:$A,FALSE),MATCH(All!P$1,Winter!$1:$1,FALSE))="","",INDEX(Winter!$1:$1048576,MATCH(All!$A535,Winter!$A:$A,FALSE),MATCH(All!P$1,Winter!$1:$1,FALSE))),"")</f>
        <v>4A</v>
      </c>
      <c r="Q535" t="str">
        <f>IFERROR(IF(INDEX(Winter!$1:$1048576,MATCH(All!$A535,Winter!$A:$A,FALSE),MATCH(All!Q$1,Winter!$1:$1,FALSE))="","",INDEX(Winter!$1:$1048576,MATCH(All!$A535,Winter!$A:$A,FALSE),MATCH(All!Q$1,Winter!$1:$1,FALSE))),"")</f>
        <v>4A</v>
      </c>
      <c r="R535" t="str">
        <f>IFERROR(IF(INDEX(Winter!$1:$1048576,MATCH(All!$A535,Winter!$A:$A,FALSE),MATCH(All!R$1,Winter!$1:$1,FALSE))="","",INDEX(Winter!$1:$1048576,MATCH(All!$A535,Winter!$A:$A,FALSE),MATCH(All!R$1,Winter!$1:$1,FALSE))),"")</f>
        <v>3A</v>
      </c>
      <c r="S535" t="str">
        <f>IFERROR(IF(INDEX(Winter!$1:$1048576,MATCH(All!$A535,Winter!$A:$A,FALSE),MATCH(All!S$1,Winter!$1:$1,FALSE))="","",INDEX(Winter!$1:$1048576,MATCH(All!$A535,Winter!$A:$A,FALSE),MATCH(All!S$1,Winter!$1:$1,FALSE))),"")</f>
        <v>3A</v>
      </c>
      <c r="T535" t="str">
        <f>IFERROR(IF(INDEX(Winter!$1:$1048576,MATCH(All!$A535,Winter!$A:$A,FALSE),MATCH(All!T$1,Winter!$1:$1,FALSE))="","",INDEX(Winter!$1:$1048576,MATCH(All!$A535,Winter!$A:$A,FALSE),MATCH(All!T$1,Winter!$1:$1,FALSE))),"")</f>
        <v>2A</v>
      </c>
      <c r="U535" t="str">
        <f>IFERROR(IF(INDEX(Winter!$1:$1048576,MATCH(All!$A535,Winter!$A:$A,FALSE),MATCH(All!U$1,Winter!$1:$1,FALSE))="","",INDEX(Winter!$1:$1048576,MATCH(All!$A535,Winter!$A:$A,FALSE),MATCH(All!U$1,Winter!$1:$1,FALSE))),"")</f>
        <v>3A</v>
      </c>
      <c r="W535">
        <f>IFERROR(IF(INDEX(Spring!$1:$1048576,MATCH(All!$A535,Spring!$A:$A,FALSE),MATCH(All!W$1,Spring!$1:$1,FALSE))="","",INDEX(Spring!$1:$1048576,MATCH(All!$A535,Spring!$A:$A,FALSE),MATCH(All!W$1,Spring!$1:$1,FALSE))),"")</f>
        <v>2977</v>
      </c>
      <c r="X535" t="str">
        <f>IFERROR(IF(INDEX(Spring!$1:$1048576,MATCH(All!$A535,Spring!$A:$A,FALSE),MATCH(All!X$1,Spring!$1:$1,FALSE))="","",INDEX(Spring!$1:$1048576,MATCH(All!$A535,Spring!$A:$A,FALSE),MATCH(All!X$1,Spring!$1:$1,FALSE))),"")</f>
        <v>4A</v>
      </c>
      <c r="Y535" t="str">
        <f>IFERROR(IF(INDEX(Spring!$1:$1048576,MATCH(All!$A535,Spring!$A:$A,FALSE),MATCH(All!Y$1,Spring!$1:$1,FALSE))="","",INDEX(Spring!$1:$1048576,MATCH(All!$A535,Spring!$A:$A,FALSE),MATCH(All!Y$1,Spring!$1:$1,FALSE))),"")</f>
        <v>4A</v>
      </c>
      <c r="Z535" t="str">
        <f>IFERROR(IF(INDEX(Spring!$1:$1048576,MATCH(All!$A535,Spring!$A:$A,FALSE),MATCH(All!Z$1,Spring!$1:$1,FALSE))="","",INDEX(Spring!$1:$1048576,MATCH(All!$A535,Spring!$A:$A,FALSE),MATCH(All!Z$1,Spring!$1:$1,FALSE))),"")</f>
        <v>3A</v>
      </c>
      <c r="AA535" t="str">
        <f>IFERROR(IF(INDEX(Spring!$1:$1048576,MATCH(All!$A535,Spring!$A:$A,FALSE),MATCH(All!AA$1,Spring!$1:$1,FALSE))="","",INDEX(Spring!$1:$1048576,MATCH(All!$A535,Spring!$A:$A,FALSE),MATCH(All!AA$1,Spring!$1:$1,FALSE))),"")</f>
        <v>2A</v>
      </c>
      <c r="AB535" t="str">
        <f>IFERROR(IF(INDEX(Spring!$1:$1048576,MATCH(All!$A535,Spring!$A:$A,FALSE),MATCH(All!AB$1,Spring!$1:$1,FALSE))="","",INDEX(Spring!$1:$1048576,MATCH(All!$A535,Spring!$A:$A,FALSE),MATCH(All!AB$1,Spring!$1:$1,FALSE))),"")</f>
        <v>3A</v>
      </c>
      <c r="AC535" t="str">
        <f>IFERROR(IF(INDEX(Spring!$1:$1048576,MATCH(All!$A535,Spring!$A:$A,FALSE),MATCH(All!AC$1,Spring!$1:$1,FALSE))="","",INDEX(Spring!$1:$1048576,MATCH(All!$A535,Spring!$A:$A,FALSE),MATCH(All!AC$1,Spring!$1:$1,FALSE))),"")</f>
        <v>3A</v>
      </c>
      <c r="AD535" t="str">
        <f>IFERROR(VLOOKUP(A535,'Flag Football'!A:A,1,FALSE),"")</f>
        <v/>
      </c>
      <c r="AE535" t="str">
        <f t="shared" si="8"/>
        <v/>
      </c>
    </row>
    <row r="536" spans="1:31" ht="15.75" thickBot="1" x14ac:dyDescent="0.3">
      <c r="A536" s="20" t="s">
        <v>629</v>
      </c>
      <c r="B536" s="38">
        <f>IFERROR(VLOOKUP(A536,'Public v Private'!A:G,3,FALSE),"")</f>
        <v>0</v>
      </c>
      <c r="C536" s="38">
        <f>IFERROR(VLOOKUP(A536,'Public v Private'!A:G,4,FALSE),"")</f>
        <v>0</v>
      </c>
      <c r="D536" s="38">
        <f>IFERROR(VLOOKUP(A536,'Public v Private'!A:G,5,FALSE),"")</f>
        <v>0</v>
      </c>
      <c r="E536" s="38"/>
      <c r="F536" s="40">
        <f>IFERROR(INDEX(Fall!$1:$1048576,MATCH(All!$A536,Fall!$A:$A,FALSE),MATCH(All!F$1,Fall!$1:$1,FALSE)),"N/A")</f>
        <v>2480</v>
      </c>
      <c r="G536" t="str">
        <f>IFERROR(IF(INDEX(Fall!$1:$1048576,MATCH(All!$A536,Fall!$A:$A,FALSE),MATCH(All!G$1,Fall!$1:$1,FALSE))="","",INDEX(Fall!$1:$1048576,MATCH(All!$A536,Fall!$A:$A,FALSE),MATCH(All!G$1,Fall!$1:$1,FALSE))),"")</f>
        <v>3A</v>
      </c>
      <c r="H536" t="str">
        <f>IFERROR(IF(INDEX(Fall!$1:$1048576,MATCH(All!$A536,Fall!$A:$A,FALSE),MATCH(All!H$1,Fall!$1:$1,FALSE))="","",INDEX(Fall!$1:$1048576,MATCH(All!$A536,Fall!$A:$A,FALSE),MATCH(All!H$1,Fall!$1:$1,FALSE))),"")</f>
        <v>3A</v>
      </c>
      <c r="I536" t="str">
        <f>IFERROR(IF(INDEX(Fall!$1:$1048576,MATCH(All!$A536,Fall!$A:$A,FALSE),MATCH(All!I$1,Fall!$1:$1,FALSE))="","",INDEX(Fall!$1:$1048576,MATCH(All!$A536,Fall!$A:$A,FALSE),MATCH(All!I$1,Fall!$1:$1,FALSE))),"")</f>
        <v>3A</v>
      </c>
      <c r="J536" t="str">
        <f>IFERROR(IF(INDEX(Fall!$1:$1048576,MATCH(All!$A536,Fall!$A:$A,FALSE),MATCH(All!J$1,Fall!$1:$1,FALSE))="","",INDEX(Fall!$1:$1048576,MATCH(All!$A536,Fall!$A:$A,FALSE),MATCH(All!J$1,Fall!$1:$1,FALSE))),"")</f>
        <v>2A</v>
      </c>
      <c r="K536" t="str">
        <f>IFERROR(IF(INDEX(Fall!$1:$1048576,MATCH(All!$A536,Fall!$A:$A,FALSE),MATCH(All!K$1,Fall!$1:$1,FALSE))="","",INDEX(Fall!$1:$1048576,MATCH(All!$A536,Fall!$A:$A,FALSE),MATCH(All!K$1,Fall!$1:$1,FALSE))),"")</f>
        <v>3A</v>
      </c>
      <c r="L536" t="str">
        <f>IFERROR(IF(INDEX(Fall!$1:$1048576,MATCH(All!$A536,Fall!$A:$A,FALSE),MATCH(All!L$1,Fall!$1:$1,FALSE))="","",INDEX(Fall!$1:$1048576,MATCH(All!$A536,Fall!$A:$A,FALSE),MATCH(All!L$1,Fall!$1:$1,FALSE))),"")</f>
        <v>2A</v>
      </c>
      <c r="M536" t="str">
        <f>IFERROR(IF(INDEX(Fall!$1:$1048576,MATCH(All!$A536,Fall!$A:$A,FALSE),MATCH(All!M$1,Fall!$1:$1,FALSE))="","",INDEX(Fall!$1:$1048576,MATCH(All!$A536,Fall!$A:$A,FALSE),MATCH(All!M$1,Fall!$1:$1,FALSE))),"")</f>
        <v>4A</v>
      </c>
      <c r="O536">
        <f>IFERROR(IF(INDEX(Winter!$1:$1048576,MATCH(All!$A536,Winter!$A:$A,FALSE),MATCH(All!O$1,Winter!$1:$1,FALSE))="","",INDEX(Winter!$1:$1048576,MATCH(All!$A536,Winter!$A:$A,FALSE),MATCH(All!O$1,Winter!$1:$1,FALSE))),"")</f>
        <v>2480</v>
      </c>
      <c r="P536" t="str">
        <f>IFERROR(IF(INDEX(Winter!$1:$1048576,MATCH(All!$A536,Winter!$A:$A,FALSE),MATCH(All!P$1,Winter!$1:$1,FALSE))="","",INDEX(Winter!$1:$1048576,MATCH(All!$A536,Winter!$A:$A,FALSE),MATCH(All!P$1,Winter!$1:$1,FALSE))),"")</f>
        <v>4A</v>
      </c>
      <c r="Q536" t="str">
        <f>IFERROR(IF(INDEX(Winter!$1:$1048576,MATCH(All!$A536,Winter!$A:$A,FALSE),MATCH(All!Q$1,Winter!$1:$1,FALSE))="","",INDEX(Winter!$1:$1048576,MATCH(All!$A536,Winter!$A:$A,FALSE),MATCH(All!Q$1,Winter!$1:$1,FALSE))),"")</f>
        <v>4A</v>
      </c>
      <c r="R536" t="str">
        <f>IFERROR(IF(INDEX(Winter!$1:$1048576,MATCH(All!$A536,Winter!$A:$A,FALSE),MATCH(All!R$1,Winter!$1:$1,FALSE))="","",INDEX(Winter!$1:$1048576,MATCH(All!$A536,Winter!$A:$A,FALSE),MATCH(All!R$1,Winter!$1:$1,FALSE))),"")</f>
        <v>3A</v>
      </c>
      <c r="S536" t="str">
        <f>IFERROR(IF(INDEX(Winter!$1:$1048576,MATCH(All!$A536,Winter!$A:$A,FALSE),MATCH(All!S$1,Winter!$1:$1,FALSE))="","",INDEX(Winter!$1:$1048576,MATCH(All!$A536,Winter!$A:$A,FALSE),MATCH(All!S$1,Winter!$1:$1,FALSE))),"")</f>
        <v>3A</v>
      </c>
      <c r="T536" t="str">
        <f>IFERROR(IF(INDEX(Winter!$1:$1048576,MATCH(All!$A536,Winter!$A:$A,FALSE),MATCH(All!T$1,Winter!$1:$1,FALSE))="","",INDEX(Winter!$1:$1048576,MATCH(All!$A536,Winter!$A:$A,FALSE),MATCH(All!T$1,Winter!$1:$1,FALSE))),"")</f>
        <v>2A</v>
      </c>
      <c r="U536" t="str">
        <f>IFERROR(IF(INDEX(Winter!$1:$1048576,MATCH(All!$A536,Winter!$A:$A,FALSE),MATCH(All!U$1,Winter!$1:$1,FALSE))="","",INDEX(Winter!$1:$1048576,MATCH(All!$A536,Winter!$A:$A,FALSE),MATCH(All!U$1,Winter!$1:$1,FALSE))),"")</f>
        <v>3A</v>
      </c>
      <c r="W536">
        <f>IFERROR(IF(INDEX(Spring!$1:$1048576,MATCH(All!$A536,Spring!$A:$A,FALSE),MATCH(All!W$1,Spring!$1:$1,FALSE))="","",INDEX(Spring!$1:$1048576,MATCH(All!$A536,Spring!$A:$A,FALSE),MATCH(All!W$1,Spring!$1:$1,FALSE))),"")</f>
        <v>2480</v>
      </c>
      <c r="X536" t="str">
        <f>IFERROR(IF(INDEX(Spring!$1:$1048576,MATCH(All!$A536,Spring!$A:$A,FALSE),MATCH(All!X$1,Spring!$1:$1,FALSE))="","",INDEX(Spring!$1:$1048576,MATCH(All!$A536,Spring!$A:$A,FALSE),MATCH(All!X$1,Spring!$1:$1,FALSE))),"")</f>
        <v>4A</v>
      </c>
      <c r="Y536" t="str">
        <f>IFERROR(IF(INDEX(Spring!$1:$1048576,MATCH(All!$A536,Spring!$A:$A,FALSE),MATCH(All!Y$1,Spring!$1:$1,FALSE))="","",INDEX(Spring!$1:$1048576,MATCH(All!$A536,Spring!$A:$A,FALSE),MATCH(All!Y$1,Spring!$1:$1,FALSE))),"")</f>
        <v>4A</v>
      </c>
      <c r="Z536" t="str">
        <f>IFERROR(IF(INDEX(Spring!$1:$1048576,MATCH(All!$A536,Spring!$A:$A,FALSE),MATCH(All!Z$1,Spring!$1:$1,FALSE))="","",INDEX(Spring!$1:$1048576,MATCH(All!$A536,Spring!$A:$A,FALSE),MATCH(All!Z$1,Spring!$1:$1,FALSE))),"")</f>
        <v>3A</v>
      </c>
      <c r="AA536" t="str">
        <f>IFERROR(IF(INDEX(Spring!$1:$1048576,MATCH(All!$A536,Spring!$A:$A,FALSE),MATCH(All!AA$1,Spring!$1:$1,FALSE))="","",INDEX(Spring!$1:$1048576,MATCH(All!$A536,Spring!$A:$A,FALSE),MATCH(All!AA$1,Spring!$1:$1,FALSE))),"")</f>
        <v>2A</v>
      </c>
      <c r="AB536" t="str">
        <f>IFERROR(IF(INDEX(Spring!$1:$1048576,MATCH(All!$A536,Spring!$A:$A,FALSE),MATCH(All!AB$1,Spring!$1:$1,FALSE))="","",INDEX(Spring!$1:$1048576,MATCH(All!$A536,Spring!$A:$A,FALSE),MATCH(All!AB$1,Spring!$1:$1,FALSE))),"")</f>
        <v>3A</v>
      </c>
      <c r="AC536" t="str">
        <f>IFERROR(IF(INDEX(Spring!$1:$1048576,MATCH(All!$A536,Spring!$A:$A,FALSE),MATCH(All!AC$1,Spring!$1:$1,FALSE))="","",INDEX(Spring!$1:$1048576,MATCH(All!$A536,Spring!$A:$A,FALSE),MATCH(All!AC$1,Spring!$1:$1,FALSE))),"")</f>
        <v>3A</v>
      </c>
      <c r="AD536" t="str">
        <f>IFERROR(VLOOKUP(A536,'Flag Football'!A:A,1,FALSE),"")</f>
        <v>Naperville (North)</v>
      </c>
      <c r="AE536" t="str">
        <f t="shared" si="8"/>
        <v>1A</v>
      </c>
    </row>
    <row r="537" spans="1:31" ht="15.75" thickBot="1" x14ac:dyDescent="0.3">
      <c r="A537" s="18" t="s">
        <v>630</v>
      </c>
      <c r="B537" s="38">
        <f>IFERROR(VLOOKUP(A537,'Public v Private'!A:G,3,FALSE),"")</f>
        <v>0</v>
      </c>
      <c r="C537" s="38">
        <f>IFERROR(VLOOKUP(A537,'Public v Private'!A:G,4,FALSE),"")</f>
        <v>0</v>
      </c>
      <c r="D537" s="38">
        <f>IFERROR(VLOOKUP(A537,'Public v Private'!A:G,5,FALSE),"")</f>
        <v>0</v>
      </c>
      <c r="E537" s="38"/>
      <c r="F537" s="40">
        <f>IFERROR(INDEX(Fall!$1:$1048576,MATCH(All!$A537,Fall!$A:$A,FALSE),MATCH(All!F$1,Fall!$1:$1,FALSE)),"N/A")</f>
        <v>332</v>
      </c>
      <c r="G537" t="str">
        <f>IFERROR(IF(INDEX(Fall!$1:$1048576,MATCH(All!$A537,Fall!$A:$A,FALSE),MATCH(All!G$1,Fall!$1:$1,FALSE))="","",INDEX(Fall!$1:$1048576,MATCH(All!$A537,Fall!$A:$A,FALSE),MATCH(All!G$1,Fall!$1:$1,FALSE))),"")</f>
        <v>1A</v>
      </c>
      <c r="H537" t="str">
        <f>IFERROR(IF(INDEX(Fall!$1:$1048576,MATCH(All!$A537,Fall!$A:$A,FALSE),MATCH(All!H$1,Fall!$1:$1,FALSE))="","",INDEX(Fall!$1:$1048576,MATCH(All!$A537,Fall!$A:$A,FALSE),MATCH(All!H$1,Fall!$1:$1,FALSE))),"")</f>
        <v>1A</v>
      </c>
      <c r="I537" t="str">
        <f>IFERROR(IF(INDEX(Fall!$1:$1048576,MATCH(All!$A537,Fall!$A:$A,FALSE),MATCH(All!I$1,Fall!$1:$1,FALSE))="","",INDEX(Fall!$1:$1048576,MATCH(All!$A537,Fall!$A:$A,FALSE),MATCH(All!I$1,Fall!$1:$1,FALSE))),"")</f>
        <v>1A</v>
      </c>
      <c r="J537" t="str">
        <f>IFERROR(IF(INDEX(Fall!$1:$1048576,MATCH(All!$A537,Fall!$A:$A,FALSE),MATCH(All!J$1,Fall!$1:$1,FALSE))="","",INDEX(Fall!$1:$1048576,MATCH(All!$A537,Fall!$A:$A,FALSE),MATCH(All!J$1,Fall!$1:$1,FALSE))),"")</f>
        <v>1A</v>
      </c>
      <c r="K537" t="str">
        <f>IFERROR(IF(INDEX(Fall!$1:$1048576,MATCH(All!$A537,Fall!$A:$A,FALSE),MATCH(All!K$1,Fall!$1:$1,FALSE))="","",INDEX(Fall!$1:$1048576,MATCH(All!$A537,Fall!$A:$A,FALSE),MATCH(All!K$1,Fall!$1:$1,FALSE))),"")</f>
        <v/>
      </c>
      <c r="L537" t="str">
        <f>IFERROR(IF(INDEX(Fall!$1:$1048576,MATCH(All!$A537,Fall!$A:$A,FALSE),MATCH(All!L$1,Fall!$1:$1,FALSE))="","",INDEX(Fall!$1:$1048576,MATCH(All!$A537,Fall!$A:$A,FALSE),MATCH(All!L$1,Fall!$1:$1,FALSE))),"")</f>
        <v/>
      </c>
      <c r="M537" t="str">
        <f>IFERROR(IF(INDEX(Fall!$1:$1048576,MATCH(All!$A537,Fall!$A:$A,FALSE),MATCH(All!M$1,Fall!$1:$1,FALSE))="","",INDEX(Fall!$1:$1048576,MATCH(All!$A537,Fall!$A:$A,FALSE),MATCH(All!M$1,Fall!$1:$1,FALSE))),"")</f>
        <v>2A</v>
      </c>
      <c r="O537">
        <f>IFERROR(IF(INDEX(Winter!$1:$1048576,MATCH(All!$A537,Winter!$A:$A,FALSE),MATCH(All!O$1,Winter!$1:$1,FALSE))="","",INDEX(Winter!$1:$1048576,MATCH(All!$A537,Winter!$A:$A,FALSE),MATCH(All!O$1,Winter!$1:$1,FALSE))),"")</f>
        <v>332</v>
      </c>
      <c r="P537" t="str">
        <f>IFERROR(IF(INDEX(Winter!$1:$1048576,MATCH(All!$A537,Winter!$A:$A,FALSE),MATCH(All!P$1,Winter!$1:$1,FALSE))="","",INDEX(Winter!$1:$1048576,MATCH(All!$A537,Winter!$A:$A,FALSE),MATCH(All!P$1,Winter!$1:$1,FALSE))),"")</f>
        <v>2A</v>
      </c>
      <c r="Q537" t="str">
        <f>IFERROR(IF(INDEX(Winter!$1:$1048576,MATCH(All!$A537,Winter!$A:$A,FALSE),MATCH(All!Q$1,Winter!$1:$1,FALSE))="","",INDEX(Winter!$1:$1048576,MATCH(All!$A537,Winter!$A:$A,FALSE),MATCH(All!Q$1,Winter!$1:$1,FALSE))),"")</f>
        <v>2A</v>
      </c>
      <c r="R537" t="str">
        <f>IFERROR(IF(INDEX(Winter!$1:$1048576,MATCH(All!$A537,Winter!$A:$A,FALSE),MATCH(All!R$1,Winter!$1:$1,FALSE))="","",INDEX(Winter!$1:$1048576,MATCH(All!$A537,Winter!$A:$A,FALSE),MATCH(All!R$1,Winter!$1:$1,FALSE))),"")</f>
        <v>1A</v>
      </c>
      <c r="S537" t="str">
        <f>IFERROR(IF(INDEX(Winter!$1:$1048576,MATCH(All!$A537,Winter!$A:$A,FALSE),MATCH(All!S$1,Winter!$1:$1,FALSE))="","",INDEX(Winter!$1:$1048576,MATCH(All!$A537,Winter!$A:$A,FALSE),MATCH(All!S$1,Winter!$1:$1,FALSE))),"")</f>
        <v>1A</v>
      </c>
      <c r="T537" t="str">
        <f>IFERROR(IF(INDEX(Winter!$1:$1048576,MATCH(All!$A537,Winter!$A:$A,FALSE),MATCH(All!T$1,Winter!$1:$1,FALSE))="","",INDEX(Winter!$1:$1048576,MATCH(All!$A537,Winter!$A:$A,FALSE),MATCH(All!T$1,Winter!$1:$1,FALSE))),"")</f>
        <v>1A</v>
      </c>
      <c r="U537" t="str">
        <f>IFERROR(IF(INDEX(Winter!$1:$1048576,MATCH(All!$A537,Winter!$A:$A,FALSE),MATCH(All!U$1,Winter!$1:$1,FALSE))="","",INDEX(Winter!$1:$1048576,MATCH(All!$A537,Winter!$A:$A,FALSE),MATCH(All!U$1,Winter!$1:$1,FALSE))),"")</f>
        <v/>
      </c>
      <c r="W537">
        <f>IFERROR(IF(INDEX(Spring!$1:$1048576,MATCH(All!$A537,Spring!$A:$A,FALSE),MATCH(All!W$1,Spring!$1:$1,FALSE))="","",INDEX(Spring!$1:$1048576,MATCH(All!$A537,Spring!$A:$A,FALSE),MATCH(All!W$1,Spring!$1:$1,FALSE))),"")</f>
        <v>332</v>
      </c>
      <c r="X537" t="str">
        <f>IFERROR(IF(INDEX(Spring!$1:$1048576,MATCH(All!$A537,Spring!$A:$A,FALSE),MATCH(All!X$1,Spring!$1:$1,FALSE))="","",INDEX(Spring!$1:$1048576,MATCH(All!$A537,Spring!$A:$A,FALSE),MATCH(All!X$1,Spring!$1:$1,FALSE))),"")</f>
        <v>2A</v>
      </c>
      <c r="Y537" t="str">
        <f>IFERROR(IF(INDEX(Spring!$1:$1048576,MATCH(All!$A537,Spring!$A:$A,FALSE),MATCH(All!Y$1,Spring!$1:$1,FALSE))="","",INDEX(Spring!$1:$1048576,MATCH(All!$A537,Spring!$A:$A,FALSE),MATCH(All!Y$1,Spring!$1:$1,FALSE))),"")</f>
        <v>2A</v>
      </c>
      <c r="Z537" t="str">
        <f>IFERROR(IF(INDEX(Spring!$1:$1048576,MATCH(All!$A537,Spring!$A:$A,FALSE),MATCH(All!Z$1,Spring!$1:$1,FALSE))="","",INDEX(Spring!$1:$1048576,MATCH(All!$A537,Spring!$A:$A,FALSE),MATCH(All!Z$1,Spring!$1:$1,FALSE))),"")</f>
        <v/>
      </c>
      <c r="AA537" t="str">
        <f>IFERROR(IF(INDEX(Spring!$1:$1048576,MATCH(All!$A537,Spring!$A:$A,FALSE),MATCH(All!AA$1,Spring!$1:$1,FALSE))="","",INDEX(Spring!$1:$1048576,MATCH(All!$A537,Spring!$A:$A,FALSE),MATCH(All!AA$1,Spring!$1:$1,FALSE))),"")</f>
        <v/>
      </c>
      <c r="AB537" t="str">
        <f>IFERROR(IF(INDEX(Spring!$1:$1048576,MATCH(All!$A537,Spring!$A:$A,FALSE),MATCH(All!AB$1,Spring!$1:$1,FALSE))="","",INDEX(Spring!$1:$1048576,MATCH(All!$A537,Spring!$A:$A,FALSE),MATCH(All!AB$1,Spring!$1:$1,FALSE))),"")</f>
        <v>1A</v>
      </c>
      <c r="AC537" t="str">
        <f>IFERROR(IF(INDEX(Spring!$1:$1048576,MATCH(All!$A537,Spring!$A:$A,FALSE),MATCH(All!AC$1,Spring!$1:$1,FALSE))="","",INDEX(Spring!$1:$1048576,MATCH(All!$A537,Spring!$A:$A,FALSE),MATCH(All!AC$1,Spring!$1:$1,FALSE))),"")</f>
        <v>1A</v>
      </c>
      <c r="AD537" t="str">
        <f>IFERROR(VLOOKUP(A537,'Flag Football'!A:A,1,FALSE),"")</f>
        <v/>
      </c>
      <c r="AE537" t="str">
        <f t="shared" si="8"/>
        <v/>
      </c>
    </row>
    <row r="538" spans="1:31" ht="15.75" thickBot="1" x14ac:dyDescent="0.3">
      <c r="A538" s="20" t="s">
        <v>631</v>
      </c>
      <c r="B538" s="38">
        <f>IFERROR(VLOOKUP(A538,'Public v Private'!A:G,3,FALSE),"")</f>
        <v>0</v>
      </c>
      <c r="C538" s="38">
        <f>IFERROR(VLOOKUP(A538,'Public v Private'!A:G,4,FALSE),"")</f>
        <v>0</v>
      </c>
      <c r="D538" s="38">
        <f>IFERROR(VLOOKUP(A538,'Public v Private'!A:G,5,FALSE),"")</f>
        <v>0</v>
      </c>
      <c r="E538" s="38"/>
      <c r="F538" s="40">
        <f>IFERROR(INDEX(Fall!$1:$1048576,MATCH(All!$A538,Fall!$A:$A,FALSE),MATCH(All!F$1,Fall!$1:$1,FALSE)),"N/A")</f>
        <v>169</v>
      </c>
      <c r="G538" t="str">
        <f>IFERROR(IF(INDEX(Fall!$1:$1048576,MATCH(All!$A538,Fall!$A:$A,FALSE),MATCH(All!G$1,Fall!$1:$1,FALSE))="","",INDEX(Fall!$1:$1048576,MATCH(All!$A538,Fall!$A:$A,FALSE),MATCH(All!G$1,Fall!$1:$1,FALSE))),"")</f>
        <v/>
      </c>
      <c r="H538" t="str">
        <f>IFERROR(IF(INDEX(Fall!$1:$1048576,MATCH(All!$A538,Fall!$A:$A,FALSE),MATCH(All!H$1,Fall!$1:$1,FALSE))="","",INDEX(Fall!$1:$1048576,MATCH(All!$A538,Fall!$A:$A,FALSE),MATCH(All!H$1,Fall!$1:$1,FALSE))),"")</f>
        <v>1A</v>
      </c>
      <c r="I538" t="str">
        <f>IFERROR(IF(INDEX(Fall!$1:$1048576,MATCH(All!$A538,Fall!$A:$A,FALSE),MATCH(All!I$1,Fall!$1:$1,FALSE))="","",INDEX(Fall!$1:$1048576,MATCH(All!$A538,Fall!$A:$A,FALSE),MATCH(All!I$1,Fall!$1:$1,FALSE))),"")</f>
        <v/>
      </c>
      <c r="J538" t="str">
        <f>IFERROR(IF(INDEX(Fall!$1:$1048576,MATCH(All!$A538,Fall!$A:$A,FALSE),MATCH(All!J$1,Fall!$1:$1,FALSE))="","",INDEX(Fall!$1:$1048576,MATCH(All!$A538,Fall!$A:$A,FALSE),MATCH(All!J$1,Fall!$1:$1,FALSE))),"")</f>
        <v/>
      </c>
      <c r="K538" t="str">
        <f>IFERROR(IF(INDEX(Fall!$1:$1048576,MATCH(All!$A538,Fall!$A:$A,FALSE),MATCH(All!K$1,Fall!$1:$1,FALSE))="","",INDEX(Fall!$1:$1048576,MATCH(All!$A538,Fall!$A:$A,FALSE),MATCH(All!K$1,Fall!$1:$1,FALSE))),"")</f>
        <v/>
      </c>
      <c r="L538" t="str">
        <f>IFERROR(IF(INDEX(Fall!$1:$1048576,MATCH(All!$A538,Fall!$A:$A,FALSE),MATCH(All!L$1,Fall!$1:$1,FALSE))="","",INDEX(Fall!$1:$1048576,MATCH(All!$A538,Fall!$A:$A,FALSE),MATCH(All!L$1,Fall!$1:$1,FALSE))),"")</f>
        <v/>
      </c>
      <c r="M538" t="str">
        <f>IFERROR(IF(INDEX(Fall!$1:$1048576,MATCH(All!$A538,Fall!$A:$A,FALSE),MATCH(All!M$1,Fall!$1:$1,FALSE))="","",INDEX(Fall!$1:$1048576,MATCH(All!$A538,Fall!$A:$A,FALSE),MATCH(All!M$1,Fall!$1:$1,FALSE))),"")</f>
        <v>1A</v>
      </c>
      <c r="O538">
        <f>IFERROR(IF(INDEX(Winter!$1:$1048576,MATCH(All!$A538,Winter!$A:$A,FALSE),MATCH(All!O$1,Winter!$1:$1,FALSE))="","",INDEX(Winter!$1:$1048576,MATCH(All!$A538,Winter!$A:$A,FALSE),MATCH(All!O$1,Winter!$1:$1,FALSE))),"")</f>
        <v>169</v>
      </c>
      <c r="P538" t="str">
        <f>IFERROR(IF(INDEX(Winter!$1:$1048576,MATCH(All!$A538,Winter!$A:$A,FALSE),MATCH(All!P$1,Winter!$1:$1,FALSE))="","",INDEX(Winter!$1:$1048576,MATCH(All!$A538,Winter!$A:$A,FALSE),MATCH(All!P$1,Winter!$1:$1,FALSE))),"")</f>
        <v>1A</v>
      </c>
      <c r="Q538" t="str">
        <f>IFERROR(IF(INDEX(Winter!$1:$1048576,MATCH(All!$A538,Winter!$A:$A,FALSE),MATCH(All!Q$1,Winter!$1:$1,FALSE))="","",INDEX(Winter!$1:$1048576,MATCH(All!$A538,Winter!$A:$A,FALSE),MATCH(All!Q$1,Winter!$1:$1,FALSE))),"")</f>
        <v>1A</v>
      </c>
      <c r="R538" t="str">
        <f>IFERROR(IF(INDEX(Winter!$1:$1048576,MATCH(All!$A538,Winter!$A:$A,FALSE),MATCH(All!R$1,Winter!$1:$1,FALSE))="","",INDEX(Winter!$1:$1048576,MATCH(All!$A538,Winter!$A:$A,FALSE),MATCH(All!R$1,Winter!$1:$1,FALSE))),"")</f>
        <v/>
      </c>
      <c r="S538" t="str">
        <f>IFERROR(IF(INDEX(Winter!$1:$1048576,MATCH(All!$A538,Winter!$A:$A,FALSE),MATCH(All!S$1,Winter!$1:$1,FALSE))="","",INDEX(Winter!$1:$1048576,MATCH(All!$A538,Winter!$A:$A,FALSE),MATCH(All!S$1,Winter!$1:$1,FALSE))),"")</f>
        <v/>
      </c>
      <c r="T538" t="str">
        <f>IFERROR(IF(INDEX(Winter!$1:$1048576,MATCH(All!$A538,Winter!$A:$A,FALSE),MATCH(All!T$1,Winter!$1:$1,FALSE))="","",INDEX(Winter!$1:$1048576,MATCH(All!$A538,Winter!$A:$A,FALSE),MATCH(All!T$1,Winter!$1:$1,FALSE))),"")</f>
        <v>1A</v>
      </c>
      <c r="U538" t="str">
        <f>IFERROR(IF(INDEX(Winter!$1:$1048576,MATCH(All!$A538,Winter!$A:$A,FALSE),MATCH(All!U$1,Winter!$1:$1,FALSE))="","",INDEX(Winter!$1:$1048576,MATCH(All!$A538,Winter!$A:$A,FALSE),MATCH(All!U$1,Winter!$1:$1,FALSE))),"")</f>
        <v/>
      </c>
      <c r="W538">
        <f>IFERROR(IF(INDEX(Spring!$1:$1048576,MATCH(All!$A538,Spring!$A:$A,FALSE),MATCH(All!W$1,Spring!$1:$1,FALSE))="","",INDEX(Spring!$1:$1048576,MATCH(All!$A538,Spring!$A:$A,FALSE),MATCH(All!W$1,Spring!$1:$1,FALSE))),"")</f>
        <v>169</v>
      </c>
      <c r="X538" t="str">
        <f>IFERROR(IF(INDEX(Spring!$1:$1048576,MATCH(All!$A538,Spring!$A:$A,FALSE),MATCH(All!X$1,Spring!$1:$1,FALSE))="","",INDEX(Spring!$1:$1048576,MATCH(All!$A538,Spring!$A:$A,FALSE),MATCH(All!X$1,Spring!$1:$1,FALSE))),"")</f>
        <v>1A</v>
      </c>
      <c r="Y538" t="str">
        <f>IFERROR(IF(INDEX(Spring!$1:$1048576,MATCH(All!$A538,Spring!$A:$A,FALSE),MATCH(All!Y$1,Spring!$1:$1,FALSE))="","",INDEX(Spring!$1:$1048576,MATCH(All!$A538,Spring!$A:$A,FALSE),MATCH(All!Y$1,Spring!$1:$1,FALSE))),"")</f>
        <v>1A</v>
      </c>
      <c r="Z538" t="str">
        <f>IFERROR(IF(INDEX(Spring!$1:$1048576,MATCH(All!$A538,Spring!$A:$A,FALSE),MATCH(All!Z$1,Spring!$1:$1,FALSE))="","",INDEX(Spring!$1:$1048576,MATCH(All!$A538,Spring!$A:$A,FALSE),MATCH(All!Z$1,Spring!$1:$1,FALSE))),"")</f>
        <v/>
      </c>
      <c r="AA538" t="str">
        <f>IFERROR(IF(INDEX(Spring!$1:$1048576,MATCH(All!$A538,Spring!$A:$A,FALSE),MATCH(All!AA$1,Spring!$1:$1,FALSE))="","",INDEX(Spring!$1:$1048576,MATCH(All!$A538,Spring!$A:$A,FALSE),MATCH(All!AA$1,Spring!$1:$1,FALSE))),"")</f>
        <v/>
      </c>
      <c r="AB538" t="str">
        <f>IFERROR(IF(INDEX(Spring!$1:$1048576,MATCH(All!$A538,Spring!$A:$A,FALSE),MATCH(All!AB$1,Spring!$1:$1,FALSE))="","",INDEX(Spring!$1:$1048576,MATCH(All!$A538,Spring!$A:$A,FALSE),MATCH(All!AB$1,Spring!$1:$1,FALSE))),"")</f>
        <v>1A</v>
      </c>
      <c r="AC538" t="str">
        <f>IFERROR(IF(INDEX(Spring!$1:$1048576,MATCH(All!$A538,Spring!$A:$A,FALSE),MATCH(All!AC$1,Spring!$1:$1,FALSE))="","",INDEX(Spring!$1:$1048576,MATCH(All!$A538,Spring!$A:$A,FALSE),MATCH(All!AC$1,Spring!$1:$1,FALSE))),"")</f>
        <v>1A</v>
      </c>
      <c r="AD538" t="str">
        <f>IFERROR(VLOOKUP(A538,'Flag Football'!A:A,1,FALSE),"")</f>
        <v/>
      </c>
      <c r="AE538" t="str">
        <f t="shared" si="8"/>
        <v/>
      </c>
    </row>
    <row r="539" spans="1:31" ht="15.75" thickBot="1" x14ac:dyDescent="0.3">
      <c r="A539" s="18" t="s">
        <v>632</v>
      </c>
      <c r="B539" s="38">
        <f>IFERROR(VLOOKUP(A539,'Public v Private'!A:G,3,FALSE),"")</f>
        <v>0</v>
      </c>
      <c r="C539" s="38">
        <f>IFERROR(VLOOKUP(A539,'Public v Private'!A:G,4,FALSE),"")</f>
        <v>0</v>
      </c>
      <c r="D539" s="38">
        <f>IFERROR(VLOOKUP(A539,'Public v Private'!A:G,5,FALSE),"")</f>
        <v>0</v>
      </c>
      <c r="E539" s="38"/>
      <c r="F539" s="40">
        <f>IFERROR(INDEX(Fall!$1:$1048576,MATCH(All!$A539,Fall!$A:$A,FALSE),MATCH(All!F$1,Fall!$1:$1,FALSE)),"N/A")</f>
        <v>156</v>
      </c>
      <c r="G539" t="str">
        <f>IFERROR(IF(INDEX(Fall!$1:$1048576,MATCH(All!$A539,Fall!$A:$A,FALSE),MATCH(All!G$1,Fall!$1:$1,FALSE))="","",INDEX(Fall!$1:$1048576,MATCH(All!$A539,Fall!$A:$A,FALSE),MATCH(All!G$1,Fall!$1:$1,FALSE))),"")</f>
        <v>1A</v>
      </c>
      <c r="H539" t="str">
        <f>IFERROR(IF(INDEX(Fall!$1:$1048576,MATCH(All!$A539,Fall!$A:$A,FALSE),MATCH(All!H$1,Fall!$1:$1,FALSE))="","",INDEX(Fall!$1:$1048576,MATCH(All!$A539,Fall!$A:$A,FALSE),MATCH(All!H$1,Fall!$1:$1,FALSE))),"")</f>
        <v/>
      </c>
      <c r="I539" t="str">
        <f>IFERROR(IF(INDEX(Fall!$1:$1048576,MATCH(All!$A539,Fall!$A:$A,FALSE),MATCH(All!I$1,Fall!$1:$1,FALSE))="","",INDEX(Fall!$1:$1048576,MATCH(All!$A539,Fall!$A:$A,FALSE),MATCH(All!I$1,Fall!$1:$1,FALSE))),"")</f>
        <v>1A</v>
      </c>
      <c r="J539" t="str">
        <f>IFERROR(IF(INDEX(Fall!$1:$1048576,MATCH(All!$A539,Fall!$A:$A,FALSE),MATCH(All!J$1,Fall!$1:$1,FALSE))="","",INDEX(Fall!$1:$1048576,MATCH(All!$A539,Fall!$A:$A,FALSE),MATCH(All!J$1,Fall!$1:$1,FALSE))),"")</f>
        <v/>
      </c>
      <c r="K539" t="str">
        <f>IFERROR(IF(INDEX(Fall!$1:$1048576,MATCH(All!$A539,Fall!$A:$A,FALSE),MATCH(All!K$1,Fall!$1:$1,FALSE))="","",INDEX(Fall!$1:$1048576,MATCH(All!$A539,Fall!$A:$A,FALSE),MATCH(All!K$1,Fall!$1:$1,FALSE))),"")</f>
        <v/>
      </c>
      <c r="L539" t="str">
        <f>IFERROR(IF(INDEX(Fall!$1:$1048576,MATCH(All!$A539,Fall!$A:$A,FALSE),MATCH(All!L$1,Fall!$1:$1,FALSE))="","",INDEX(Fall!$1:$1048576,MATCH(All!$A539,Fall!$A:$A,FALSE),MATCH(All!L$1,Fall!$1:$1,FALSE))),"")</f>
        <v/>
      </c>
      <c r="M539" t="str">
        <f>IFERROR(IF(INDEX(Fall!$1:$1048576,MATCH(All!$A539,Fall!$A:$A,FALSE),MATCH(All!M$1,Fall!$1:$1,FALSE))="","",INDEX(Fall!$1:$1048576,MATCH(All!$A539,Fall!$A:$A,FALSE),MATCH(All!M$1,Fall!$1:$1,FALSE))),"")</f>
        <v>1A</v>
      </c>
      <c r="O539">
        <f>IFERROR(IF(INDEX(Winter!$1:$1048576,MATCH(All!$A539,Winter!$A:$A,FALSE),MATCH(All!O$1,Winter!$1:$1,FALSE))="","",INDEX(Winter!$1:$1048576,MATCH(All!$A539,Winter!$A:$A,FALSE),MATCH(All!O$1,Winter!$1:$1,FALSE))),"")</f>
        <v>156</v>
      </c>
      <c r="P539" t="str">
        <f>IFERROR(IF(INDEX(Winter!$1:$1048576,MATCH(All!$A539,Winter!$A:$A,FALSE),MATCH(All!P$1,Winter!$1:$1,FALSE))="","",INDEX(Winter!$1:$1048576,MATCH(All!$A539,Winter!$A:$A,FALSE),MATCH(All!P$1,Winter!$1:$1,FALSE))),"")</f>
        <v>1A</v>
      </c>
      <c r="Q539" t="str">
        <f>IFERROR(IF(INDEX(Winter!$1:$1048576,MATCH(All!$A539,Winter!$A:$A,FALSE),MATCH(All!Q$1,Winter!$1:$1,FALSE))="","",INDEX(Winter!$1:$1048576,MATCH(All!$A539,Winter!$A:$A,FALSE),MATCH(All!Q$1,Winter!$1:$1,FALSE))),"")</f>
        <v>1A</v>
      </c>
      <c r="R539" t="str">
        <f>IFERROR(IF(INDEX(Winter!$1:$1048576,MATCH(All!$A539,Winter!$A:$A,FALSE),MATCH(All!R$1,Winter!$1:$1,FALSE))="","",INDEX(Winter!$1:$1048576,MATCH(All!$A539,Winter!$A:$A,FALSE),MATCH(All!R$1,Winter!$1:$1,FALSE))),"")</f>
        <v/>
      </c>
      <c r="S539" t="str">
        <f>IFERROR(IF(INDEX(Winter!$1:$1048576,MATCH(All!$A539,Winter!$A:$A,FALSE),MATCH(All!S$1,Winter!$1:$1,FALSE))="","",INDEX(Winter!$1:$1048576,MATCH(All!$A539,Winter!$A:$A,FALSE),MATCH(All!S$1,Winter!$1:$1,FALSE))),"")</f>
        <v/>
      </c>
      <c r="T539" t="str">
        <f>IFERROR(IF(INDEX(Winter!$1:$1048576,MATCH(All!$A539,Winter!$A:$A,FALSE),MATCH(All!T$1,Winter!$1:$1,FALSE))="","",INDEX(Winter!$1:$1048576,MATCH(All!$A539,Winter!$A:$A,FALSE),MATCH(All!T$1,Winter!$1:$1,FALSE))),"")</f>
        <v>1A</v>
      </c>
      <c r="U539" t="str">
        <f>IFERROR(IF(INDEX(Winter!$1:$1048576,MATCH(All!$A539,Winter!$A:$A,FALSE),MATCH(All!U$1,Winter!$1:$1,FALSE))="","",INDEX(Winter!$1:$1048576,MATCH(All!$A539,Winter!$A:$A,FALSE),MATCH(All!U$1,Winter!$1:$1,FALSE))),"")</f>
        <v/>
      </c>
      <c r="W539">
        <f>IFERROR(IF(INDEX(Spring!$1:$1048576,MATCH(All!$A539,Spring!$A:$A,FALSE),MATCH(All!W$1,Spring!$1:$1,FALSE))="","",INDEX(Spring!$1:$1048576,MATCH(All!$A539,Spring!$A:$A,FALSE),MATCH(All!W$1,Spring!$1:$1,FALSE))),"")</f>
        <v>156</v>
      </c>
      <c r="X539" t="str">
        <f>IFERROR(IF(INDEX(Spring!$1:$1048576,MATCH(All!$A539,Spring!$A:$A,FALSE),MATCH(All!X$1,Spring!$1:$1,FALSE))="","",INDEX(Spring!$1:$1048576,MATCH(All!$A539,Spring!$A:$A,FALSE),MATCH(All!X$1,Spring!$1:$1,FALSE))),"")</f>
        <v>1A</v>
      </c>
      <c r="Y539" t="str">
        <f>IFERROR(IF(INDEX(Spring!$1:$1048576,MATCH(All!$A539,Spring!$A:$A,FALSE),MATCH(All!Y$1,Spring!$1:$1,FALSE))="","",INDEX(Spring!$1:$1048576,MATCH(All!$A539,Spring!$A:$A,FALSE),MATCH(All!Y$1,Spring!$1:$1,FALSE))),"")</f>
        <v>1A</v>
      </c>
      <c r="Z539" t="str">
        <f>IFERROR(IF(INDEX(Spring!$1:$1048576,MATCH(All!$A539,Spring!$A:$A,FALSE),MATCH(All!Z$1,Spring!$1:$1,FALSE))="","",INDEX(Spring!$1:$1048576,MATCH(All!$A539,Spring!$A:$A,FALSE),MATCH(All!Z$1,Spring!$1:$1,FALSE))),"")</f>
        <v/>
      </c>
      <c r="AA539" t="str">
        <f>IFERROR(IF(INDEX(Spring!$1:$1048576,MATCH(All!$A539,Spring!$A:$A,FALSE),MATCH(All!AA$1,Spring!$1:$1,FALSE))="","",INDEX(Spring!$1:$1048576,MATCH(All!$A539,Spring!$A:$A,FALSE),MATCH(All!AA$1,Spring!$1:$1,FALSE))),"")</f>
        <v/>
      </c>
      <c r="AB539" t="str">
        <f>IFERROR(IF(INDEX(Spring!$1:$1048576,MATCH(All!$A539,Spring!$A:$A,FALSE),MATCH(All!AB$1,Spring!$1:$1,FALSE))="","",INDEX(Spring!$1:$1048576,MATCH(All!$A539,Spring!$A:$A,FALSE),MATCH(All!AB$1,Spring!$1:$1,FALSE))),"")</f>
        <v>1A</v>
      </c>
      <c r="AC539" t="str">
        <f>IFERROR(IF(INDEX(Spring!$1:$1048576,MATCH(All!$A539,Spring!$A:$A,FALSE),MATCH(All!AC$1,Spring!$1:$1,FALSE))="","",INDEX(Spring!$1:$1048576,MATCH(All!$A539,Spring!$A:$A,FALSE),MATCH(All!AC$1,Spring!$1:$1,FALSE))),"")</f>
        <v>1A</v>
      </c>
      <c r="AD539" t="str">
        <f>IFERROR(VLOOKUP(A539,'Flag Football'!A:A,1,FALSE),"")</f>
        <v/>
      </c>
      <c r="AE539" t="str">
        <f t="shared" si="8"/>
        <v/>
      </c>
    </row>
    <row r="540" spans="1:31" ht="15.75" thickBot="1" x14ac:dyDescent="0.3">
      <c r="A540" s="20" t="s">
        <v>633</v>
      </c>
      <c r="B540" s="38">
        <f>IFERROR(VLOOKUP(A540,'Public v Private'!A:G,3,FALSE),"")</f>
        <v>0</v>
      </c>
      <c r="C540" s="38">
        <f>IFERROR(VLOOKUP(A540,'Public v Private'!A:G,4,FALSE),"")</f>
        <v>0</v>
      </c>
      <c r="D540" s="38">
        <f>IFERROR(VLOOKUP(A540,'Public v Private'!A:G,5,FALSE),"")</f>
        <v>0</v>
      </c>
      <c r="E540" s="38"/>
      <c r="F540" s="40">
        <f>IFERROR(INDEX(Fall!$1:$1048576,MATCH(All!$A540,Fall!$A:$A,FALSE),MATCH(All!F$1,Fall!$1:$1,FALSE)),"N/A")</f>
        <v>246</v>
      </c>
      <c r="G540" t="str">
        <f>IFERROR(IF(INDEX(Fall!$1:$1048576,MATCH(All!$A540,Fall!$A:$A,FALSE),MATCH(All!G$1,Fall!$1:$1,FALSE))="","",INDEX(Fall!$1:$1048576,MATCH(All!$A540,Fall!$A:$A,FALSE),MATCH(All!G$1,Fall!$1:$1,FALSE))),"")</f>
        <v/>
      </c>
      <c r="H540" t="str">
        <f>IFERROR(IF(INDEX(Fall!$1:$1048576,MATCH(All!$A540,Fall!$A:$A,FALSE),MATCH(All!H$1,Fall!$1:$1,FALSE))="","",INDEX(Fall!$1:$1048576,MATCH(All!$A540,Fall!$A:$A,FALSE),MATCH(All!H$1,Fall!$1:$1,FALSE))),"")</f>
        <v/>
      </c>
      <c r="I540" t="str">
        <f>IFERROR(IF(INDEX(Fall!$1:$1048576,MATCH(All!$A540,Fall!$A:$A,FALSE),MATCH(All!I$1,Fall!$1:$1,FALSE))="","",INDEX(Fall!$1:$1048576,MATCH(All!$A540,Fall!$A:$A,FALSE),MATCH(All!I$1,Fall!$1:$1,FALSE))),"")</f>
        <v/>
      </c>
      <c r="J540" t="str">
        <f>IFERROR(IF(INDEX(Fall!$1:$1048576,MATCH(All!$A540,Fall!$A:$A,FALSE),MATCH(All!J$1,Fall!$1:$1,FALSE))="","",INDEX(Fall!$1:$1048576,MATCH(All!$A540,Fall!$A:$A,FALSE),MATCH(All!J$1,Fall!$1:$1,FALSE))),"")</f>
        <v/>
      </c>
      <c r="K540" t="str">
        <f>IFERROR(IF(INDEX(Fall!$1:$1048576,MATCH(All!$A540,Fall!$A:$A,FALSE),MATCH(All!K$1,Fall!$1:$1,FALSE))="","",INDEX(Fall!$1:$1048576,MATCH(All!$A540,Fall!$A:$A,FALSE),MATCH(All!K$1,Fall!$1:$1,FALSE))),"")</f>
        <v/>
      </c>
      <c r="L540" t="str">
        <f>IFERROR(IF(INDEX(Fall!$1:$1048576,MATCH(All!$A540,Fall!$A:$A,FALSE),MATCH(All!L$1,Fall!$1:$1,FALSE))="","",INDEX(Fall!$1:$1048576,MATCH(All!$A540,Fall!$A:$A,FALSE),MATCH(All!L$1,Fall!$1:$1,FALSE))),"")</f>
        <v/>
      </c>
      <c r="M540" t="str">
        <f>IFERROR(IF(INDEX(Fall!$1:$1048576,MATCH(All!$A540,Fall!$A:$A,FALSE),MATCH(All!M$1,Fall!$1:$1,FALSE))="","",INDEX(Fall!$1:$1048576,MATCH(All!$A540,Fall!$A:$A,FALSE),MATCH(All!M$1,Fall!$1:$1,FALSE))),"")</f>
        <v>1A</v>
      </c>
      <c r="O540">
        <f>IFERROR(IF(INDEX(Winter!$1:$1048576,MATCH(All!$A540,Winter!$A:$A,FALSE),MATCH(All!O$1,Winter!$1:$1,FALSE))="","",INDEX(Winter!$1:$1048576,MATCH(All!$A540,Winter!$A:$A,FALSE),MATCH(All!O$1,Winter!$1:$1,FALSE))),"")</f>
        <v>246</v>
      </c>
      <c r="P540" t="str">
        <f>IFERROR(IF(INDEX(Winter!$1:$1048576,MATCH(All!$A540,Winter!$A:$A,FALSE),MATCH(All!P$1,Winter!$1:$1,FALSE))="","",INDEX(Winter!$1:$1048576,MATCH(All!$A540,Winter!$A:$A,FALSE),MATCH(All!P$1,Winter!$1:$1,FALSE))),"")</f>
        <v>1A</v>
      </c>
      <c r="Q540" t="str">
        <f>IFERROR(IF(INDEX(Winter!$1:$1048576,MATCH(All!$A540,Winter!$A:$A,FALSE),MATCH(All!Q$1,Winter!$1:$1,FALSE))="","",INDEX(Winter!$1:$1048576,MATCH(All!$A540,Winter!$A:$A,FALSE),MATCH(All!Q$1,Winter!$1:$1,FALSE))),"")</f>
        <v/>
      </c>
      <c r="R540" t="str">
        <f>IFERROR(IF(INDEX(Winter!$1:$1048576,MATCH(All!$A540,Winter!$A:$A,FALSE),MATCH(All!R$1,Winter!$1:$1,FALSE))="","",INDEX(Winter!$1:$1048576,MATCH(All!$A540,Winter!$A:$A,FALSE),MATCH(All!R$1,Winter!$1:$1,FALSE))),"")</f>
        <v>1A</v>
      </c>
      <c r="S540" t="str">
        <f>IFERROR(IF(INDEX(Winter!$1:$1048576,MATCH(All!$A540,Winter!$A:$A,FALSE),MATCH(All!S$1,Winter!$1:$1,FALSE))="","",INDEX(Winter!$1:$1048576,MATCH(All!$A540,Winter!$A:$A,FALSE),MATCH(All!S$1,Winter!$1:$1,FALSE))),"")</f>
        <v/>
      </c>
      <c r="T540" t="str">
        <f>IFERROR(IF(INDEX(Winter!$1:$1048576,MATCH(All!$A540,Winter!$A:$A,FALSE),MATCH(All!T$1,Winter!$1:$1,FALSE))="","",INDEX(Winter!$1:$1048576,MATCH(All!$A540,Winter!$A:$A,FALSE),MATCH(All!T$1,Winter!$1:$1,FALSE))),"")</f>
        <v>1A</v>
      </c>
      <c r="U540" t="str">
        <f>IFERROR(IF(INDEX(Winter!$1:$1048576,MATCH(All!$A540,Winter!$A:$A,FALSE),MATCH(All!U$1,Winter!$1:$1,FALSE))="","",INDEX(Winter!$1:$1048576,MATCH(All!$A540,Winter!$A:$A,FALSE),MATCH(All!U$1,Winter!$1:$1,FALSE))),"")</f>
        <v/>
      </c>
      <c r="W540">
        <f>IFERROR(IF(INDEX(Spring!$1:$1048576,MATCH(All!$A540,Spring!$A:$A,FALSE),MATCH(All!W$1,Spring!$1:$1,FALSE))="","",INDEX(Spring!$1:$1048576,MATCH(All!$A540,Spring!$A:$A,FALSE),MATCH(All!W$1,Spring!$1:$1,FALSE))),"")</f>
        <v>246</v>
      </c>
      <c r="X540" t="str">
        <f>IFERROR(IF(INDEX(Spring!$1:$1048576,MATCH(All!$A540,Spring!$A:$A,FALSE),MATCH(All!X$1,Spring!$1:$1,FALSE))="","",INDEX(Spring!$1:$1048576,MATCH(All!$A540,Spring!$A:$A,FALSE),MATCH(All!X$1,Spring!$1:$1,FALSE))),"")</f>
        <v>2A</v>
      </c>
      <c r="Y540" t="str">
        <f>IFERROR(IF(INDEX(Spring!$1:$1048576,MATCH(All!$A540,Spring!$A:$A,FALSE),MATCH(All!Y$1,Spring!$1:$1,FALSE))="","",INDEX(Spring!$1:$1048576,MATCH(All!$A540,Spring!$A:$A,FALSE),MATCH(All!Y$1,Spring!$1:$1,FALSE))),"")</f>
        <v>2A</v>
      </c>
      <c r="Z540" t="str">
        <f>IFERROR(IF(INDEX(Spring!$1:$1048576,MATCH(All!$A540,Spring!$A:$A,FALSE),MATCH(All!Z$1,Spring!$1:$1,FALSE))="","",INDEX(Spring!$1:$1048576,MATCH(All!$A540,Spring!$A:$A,FALSE),MATCH(All!Z$1,Spring!$1:$1,FALSE))),"")</f>
        <v/>
      </c>
      <c r="AA540" t="str">
        <f>IFERROR(IF(INDEX(Spring!$1:$1048576,MATCH(All!$A540,Spring!$A:$A,FALSE),MATCH(All!AA$1,Spring!$1:$1,FALSE))="","",INDEX(Spring!$1:$1048576,MATCH(All!$A540,Spring!$A:$A,FALSE),MATCH(All!AA$1,Spring!$1:$1,FALSE))),"")</f>
        <v/>
      </c>
      <c r="AB540" t="str">
        <f>IFERROR(IF(INDEX(Spring!$1:$1048576,MATCH(All!$A540,Spring!$A:$A,FALSE),MATCH(All!AB$1,Spring!$1:$1,FALSE))="","",INDEX(Spring!$1:$1048576,MATCH(All!$A540,Spring!$A:$A,FALSE),MATCH(All!AB$1,Spring!$1:$1,FALSE))),"")</f>
        <v>1A</v>
      </c>
      <c r="AC540" t="str">
        <f>IFERROR(IF(INDEX(Spring!$1:$1048576,MATCH(All!$A540,Spring!$A:$A,FALSE),MATCH(All!AC$1,Spring!$1:$1,FALSE))="","",INDEX(Spring!$1:$1048576,MATCH(All!$A540,Spring!$A:$A,FALSE),MATCH(All!AC$1,Spring!$1:$1,FALSE))),"")</f>
        <v>1A</v>
      </c>
      <c r="AD540" t="str">
        <f>IFERROR(VLOOKUP(A540,'Flag Football'!A:A,1,FALSE),"")</f>
        <v/>
      </c>
      <c r="AE540" t="str">
        <f t="shared" si="8"/>
        <v/>
      </c>
    </row>
    <row r="541" spans="1:31" ht="15.75" thickBot="1" x14ac:dyDescent="0.3">
      <c r="A541" s="18" t="s">
        <v>634</v>
      </c>
      <c r="B541" s="38">
        <f>IFERROR(VLOOKUP(A541,'Public v Private'!A:G,3,FALSE),"")</f>
        <v>0</v>
      </c>
      <c r="C541" s="38">
        <f>IFERROR(VLOOKUP(A541,'Public v Private'!A:G,4,FALSE),"")</f>
        <v>0</v>
      </c>
      <c r="D541" s="38">
        <f>IFERROR(VLOOKUP(A541,'Public v Private'!A:G,5,FALSE),"")</f>
        <v>0</v>
      </c>
      <c r="E541" s="38"/>
      <c r="F541" s="40">
        <f>IFERROR(INDEX(Fall!$1:$1048576,MATCH(All!$A541,Fall!$A:$A,FALSE),MATCH(All!F$1,Fall!$1:$1,FALSE)),"N/A")</f>
        <v>1970</v>
      </c>
      <c r="G541" t="str">
        <f>IFERROR(IF(INDEX(Fall!$1:$1048576,MATCH(All!$A541,Fall!$A:$A,FALSE),MATCH(All!G$1,Fall!$1:$1,FALSE))="","",INDEX(Fall!$1:$1048576,MATCH(All!$A541,Fall!$A:$A,FALSE),MATCH(All!G$1,Fall!$1:$1,FALSE))),"")</f>
        <v>3A</v>
      </c>
      <c r="H541" t="str">
        <f>IFERROR(IF(INDEX(Fall!$1:$1048576,MATCH(All!$A541,Fall!$A:$A,FALSE),MATCH(All!H$1,Fall!$1:$1,FALSE))="","",INDEX(Fall!$1:$1048576,MATCH(All!$A541,Fall!$A:$A,FALSE),MATCH(All!H$1,Fall!$1:$1,FALSE))),"")</f>
        <v>3A</v>
      </c>
      <c r="I541" t="str">
        <f>IFERROR(IF(INDEX(Fall!$1:$1048576,MATCH(All!$A541,Fall!$A:$A,FALSE),MATCH(All!I$1,Fall!$1:$1,FALSE))="","",INDEX(Fall!$1:$1048576,MATCH(All!$A541,Fall!$A:$A,FALSE),MATCH(All!I$1,Fall!$1:$1,FALSE))),"")</f>
        <v>3A</v>
      </c>
      <c r="J541" t="str">
        <f>IFERROR(IF(INDEX(Fall!$1:$1048576,MATCH(All!$A541,Fall!$A:$A,FALSE),MATCH(All!J$1,Fall!$1:$1,FALSE))="","",INDEX(Fall!$1:$1048576,MATCH(All!$A541,Fall!$A:$A,FALSE),MATCH(All!J$1,Fall!$1:$1,FALSE))),"")</f>
        <v>2A</v>
      </c>
      <c r="K541" t="str">
        <f>IFERROR(IF(INDEX(Fall!$1:$1048576,MATCH(All!$A541,Fall!$A:$A,FALSE),MATCH(All!K$1,Fall!$1:$1,FALSE))="","",INDEX(Fall!$1:$1048576,MATCH(All!$A541,Fall!$A:$A,FALSE),MATCH(All!K$1,Fall!$1:$1,FALSE))),"")</f>
        <v>3A</v>
      </c>
      <c r="L541" t="str">
        <f>IFERROR(IF(INDEX(Fall!$1:$1048576,MATCH(All!$A541,Fall!$A:$A,FALSE),MATCH(All!L$1,Fall!$1:$1,FALSE))="","",INDEX(Fall!$1:$1048576,MATCH(All!$A541,Fall!$A:$A,FALSE),MATCH(All!L$1,Fall!$1:$1,FALSE))),"")</f>
        <v>2A</v>
      </c>
      <c r="M541" t="str">
        <f>IFERROR(IF(INDEX(Fall!$1:$1048576,MATCH(All!$A541,Fall!$A:$A,FALSE),MATCH(All!M$1,Fall!$1:$1,FALSE))="","",INDEX(Fall!$1:$1048576,MATCH(All!$A541,Fall!$A:$A,FALSE),MATCH(All!M$1,Fall!$1:$1,FALSE))),"")</f>
        <v>4A</v>
      </c>
      <c r="O541">
        <f>IFERROR(IF(INDEX(Winter!$1:$1048576,MATCH(All!$A541,Winter!$A:$A,FALSE),MATCH(All!O$1,Winter!$1:$1,FALSE))="","",INDEX(Winter!$1:$1048576,MATCH(All!$A541,Winter!$A:$A,FALSE),MATCH(All!O$1,Winter!$1:$1,FALSE))),"")</f>
        <v>1970</v>
      </c>
      <c r="P541" t="str">
        <f>IFERROR(IF(INDEX(Winter!$1:$1048576,MATCH(All!$A541,Winter!$A:$A,FALSE),MATCH(All!P$1,Winter!$1:$1,FALSE))="","",INDEX(Winter!$1:$1048576,MATCH(All!$A541,Winter!$A:$A,FALSE),MATCH(All!P$1,Winter!$1:$1,FALSE))),"")</f>
        <v>4A</v>
      </c>
      <c r="Q541" t="str">
        <f>IFERROR(IF(INDEX(Winter!$1:$1048576,MATCH(All!$A541,Winter!$A:$A,FALSE),MATCH(All!Q$1,Winter!$1:$1,FALSE))="","",INDEX(Winter!$1:$1048576,MATCH(All!$A541,Winter!$A:$A,FALSE),MATCH(All!Q$1,Winter!$1:$1,FALSE))),"")</f>
        <v>4A</v>
      </c>
      <c r="R541" t="str">
        <f>IFERROR(IF(INDEX(Winter!$1:$1048576,MATCH(All!$A541,Winter!$A:$A,FALSE),MATCH(All!R$1,Winter!$1:$1,FALSE))="","",INDEX(Winter!$1:$1048576,MATCH(All!$A541,Winter!$A:$A,FALSE),MATCH(All!R$1,Winter!$1:$1,FALSE))),"")</f>
        <v>3A</v>
      </c>
      <c r="S541" t="str">
        <f>IFERROR(IF(INDEX(Winter!$1:$1048576,MATCH(All!$A541,Winter!$A:$A,FALSE),MATCH(All!S$1,Winter!$1:$1,FALSE))="","",INDEX(Winter!$1:$1048576,MATCH(All!$A541,Winter!$A:$A,FALSE),MATCH(All!S$1,Winter!$1:$1,FALSE))),"")</f>
        <v>3A</v>
      </c>
      <c r="T541" t="str">
        <f>IFERROR(IF(INDEX(Winter!$1:$1048576,MATCH(All!$A541,Winter!$A:$A,FALSE),MATCH(All!T$1,Winter!$1:$1,FALSE))="","",INDEX(Winter!$1:$1048576,MATCH(All!$A541,Winter!$A:$A,FALSE),MATCH(All!T$1,Winter!$1:$1,FALSE))),"")</f>
        <v>2A</v>
      </c>
      <c r="U541" t="str">
        <f>IFERROR(IF(INDEX(Winter!$1:$1048576,MATCH(All!$A541,Winter!$A:$A,FALSE),MATCH(All!U$1,Winter!$1:$1,FALSE))="","",INDEX(Winter!$1:$1048576,MATCH(All!$A541,Winter!$A:$A,FALSE),MATCH(All!U$1,Winter!$1:$1,FALSE))),"")</f>
        <v>3A</v>
      </c>
      <c r="W541">
        <f>IFERROR(IF(INDEX(Spring!$1:$1048576,MATCH(All!$A541,Spring!$A:$A,FALSE),MATCH(All!W$1,Spring!$1:$1,FALSE))="","",INDEX(Spring!$1:$1048576,MATCH(All!$A541,Spring!$A:$A,FALSE),MATCH(All!W$1,Spring!$1:$1,FALSE))),"")</f>
        <v>1970</v>
      </c>
      <c r="X541" t="str">
        <f>IFERROR(IF(INDEX(Spring!$1:$1048576,MATCH(All!$A541,Spring!$A:$A,FALSE),MATCH(All!X$1,Spring!$1:$1,FALSE))="","",INDEX(Spring!$1:$1048576,MATCH(All!$A541,Spring!$A:$A,FALSE),MATCH(All!X$1,Spring!$1:$1,FALSE))),"")</f>
        <v>4A</v>
      </c>
      <c r="Y541" t="str">
        <f>IFERROR(IF(INDEX(Spring!$1:$1048576,MATCH(All!$A541,Spring!$A:$A,FALSE),MATCH(All!Y$1,Spring!$1:$1,FALSE))="","",INDEX(Spring!$1:$1048576,MATCH(All!$A541,Spring!$A:$A,FALSE),MATCH(All!Y$1,Spring!$1:$1,FALSE))),"")</f>
        <v>4A</v>
      </c>
      <c r="Z541" t="str">
        <f>IFERROR(IF(INDEX(Spring!$1:$1048576,MATCH(All!$A541,Spring!$A:$A,FALSE),MATCH(All!Z$1,Spring!$1:$1,FALSE))="","",INDEX(Spring!$1:$1048576,MATCH(All!$A541,Spring!$A:$A,FALSE),MATCH(All!Z$1,Spring!$1:$1,FALSE))),"")</f>
        <v>3A</v>
      </c>
      <c r="AA541" t="str">
        <f>IFERROR(IF(INDEX(Spring!$1:$1048576,MATCH(All!$A541,Spring!$A:$A,FALSE),MATCH(All!AA$1,Spring!$1:$1,FALSE))="","",INDEX(Spring!$1:$1048576,MATCH(All!$A541,Spring!$A:$A,FALSE),MATCH(All!AA$1,Spring!$1:$1,FALSE))),"")</f>
        <v>2A</v>
      </c>
      <c r="AB541" t="str">
        <f>IFERROR(IF(INDEX(Spring!$1:$1048576,MATCH(All!$A541,Spring!$A:$A,FALSE),MATCH(All!AB$1,Spring!$1:$1,FALSE))="","",INDEX(Spring!$1:$1048576,MATCH(All!$A541,Spring!$A:$A,FALSE),MATCH(All!AB$1,Spring!$1:$1,FALSE))),"")</f>
        <v>3A</v>
      </c>
      <c r="AC541" t="str">
        <f>IFERROR(IF(INDEX(Spring!$1:$1048576,MATCH(All!$A541,Spring!$A:$A,FALSE),MATCH(All!AC$1,Spring!$1:$1,FALSE))="","",INDEX(Spring!$1:$1048576,MATCH(All!$A541,Spring!$A:$A,FALSE),MATCH(All!AC$1,Spring!$1:$1,FALSE))),"")</f>
        <v>3A</v>
      </c>
      <c r="AD541" t="str">
        <f>IFERROR(VLOOKUP(A541,'Flag Football'!A:A,1,FALSE),"")</f>
        <v/>
      </c>
      <c r="AE541" t="str">
        <f t="shared" si="8"/>
        <v/>
      </c>
    </row>
    <row r="542" spans="1:31" ht="15.75" thickBot="1" x14ac:dyDescent="0.3">
      <c r="A542" s="20" t="s">
        <v>635</v>
      </c>
      <c r="B542" s="38">
        <f>IFERROR(VLOOKUP(A542,'Public v Private'!A:G,3,FALSE),"")</f>
        <v>0</v>
      </c>
      <c r="C542" s="38">
        <f>IFERROR(VLOOKUP(A542,'Public v Private'!A:G,4,FALSE),"")</f>
        <v>0</v>
      </c>
      <c r="D542" s="38">
        <f>IFERROR(VLOOKUP(A542,'Public v Private'!A:G,5,FALSE),"")</f>
        <v>0</v>
      </c>
      <c r="E542" s="38"/>
      <c r="F542" s="40">
        <f>IFERROR(INDEX(Fall!$1:$1048576,MATCH(All!$A542,Fall!$A:$A,FALSE),MATCH(All!F$1,Fall!$1:$1,FALSE)),"N/A")</f>
        <v>1994</v>
      </c>
      <c r="G542" t="str">
        <f>IFERROR(IF(INDEX(Fall!$1:$1048576,MATCH(All!$A542,Fall!$A:$A,FALSE),MATCH(All!G$1,Fall!$1:$1,FALSE))="","",INDEX(Fall!$1:$1048576,MATCH(All!$A542,Fall!$A:$A,FALSE),MATCH(All!G$1,Fall!$1:$1,FALSE))),"")</f>
        <v>3A</v>
      </c>
      <c r="H542" t="str">
        <f>IFERROR(IF(INDEX(Fall!$1:$1048576,MATCH(All!$A542,Fall!$A:$A,FALSE),MATCH(All!H$1,Fall!$1:$1,FALSE))="","",INDEX(Fall!$1:$1048576,MATCH(All!$A542,Fall!$A:$A,FALSE),MATCH(All!H$1,Fall!$1:$1,FALSE))),"")</f>
        <v>3A</v>
      </c>
      <c r="I542" t="str">
        <f>IFERROR(IF(INDEX(Fall!$1:$1048576,MATCH(All!$A542,Fall!$A:$A,FALSE),MATCH(All!I$1,Fall!$1:$1,FALSE))="","",INDEX(Fall!$1:$1048576,MATCH(All!$A542,Fall!$A:$A,FALSE),MATCH(All!I$1,Fall!$1:$1,FALSE))),"")</f>
        <v>3A</v>
      </c>
      <c r="J542" t="str">
        <f>IFERROR(IF(INDEX(Fall!$1:$1048576,MATCH(All!$A542,Fall!$A:$A,FALSE),MATCH(All!J$1,Fall!$1:$1,FALSE))="","",INDEX(Fall!$1:$1048576,MATCH(All!$A542,Fall!$A:$A,FALSE),MATCH(All!J$1,Fall!$1:$1,FALSE))),"")</f>
        <v>2A</v>
      </c>
      <c r="K542" t="str">
        <f>IFERROR(IF(INDEX(Fall!$1:$1048576,MATCH(All!$A542,Fall!$A:$A,FALSE),MATCH(All!K$1,Fall!$1:$1,FALSE))="","",INDEX(Fall!$1:$1048576,MATCH(All!$A542,Fall!$A:$A,FALSE),MATCH(All!K$1,Fall!$1:$1,FALSE))),"")</f>
        <v>3A</v>
      </c>
      <c r="L542" t="str">
        <f>IFERROR(IF(INDEX(Fall!$1:$1048576,MATCH(All!$A542,Fall!$A:$A,FALSE),MATCH(All!L$1,Fall!$1:$1,FALSE))="","",INDEX(Fall!$1:$1048576,MATCH(All!$A542,Fall!$A:$A,FALSE),MATCH(All!L$1,Fall!$1:$1,FALSE))),"")</f>
        <v>2A</v>
      </c>
      <c r="M542" t="str">
        <f>IFERROR(IF(INDEX(Fall!$1:$1048576,MATCH(All!$A542,Fall!$A:$A,FALSE),MATCH(All!M$1,Fall!$1:$1,FALSE))="","",INDEX(Fall!$1:$1048576,MATCH(All!$A542,Fall!$A:$A,FALSE),MATCH(All!M$1,Fall!$1:$1,FALSE))),"")</f>
        <v>4A</v>
      </c>
      <c r="O542">
        <f>IFERROR(IF(INDEX(Winter!$1:$1048576,MATCH(All!$A542,Winter!$A:$A,FALSE),MATCH(All!O$1,Winter!$1:$1,FALSE))="","",INDEX(Winter!$1:$1048576,MATCH(All!$A542,Winter!$A:$A,FALSE),MATCH(All!O$1,Winter!$1:$1,FALSE))),"")</f>
        <v>1994</v>
      </c>
      <c r="P542" t="str">
        <f>IFERROR(IF(INDEX(Winter!$1:$1048576,MATCH(All!$A542,Winter!$A:$A,FALSE),MATCH(All!P$1,Winter!$1:$1,FALSE))="","",INDEX(Winter!$1:$1048576,MATCH(All!$A542,Winter!$A:$A,FALSE),MATCH(All!P$1,Winter!$1:$1,FALSE))),"")</f>
        <v>4A</v>
      </c>
      <c r="Q542" t="str">
        <f>IFERROR(IF(INDEX(Winter!$1:$1048576,MATCH(All!$A542,Winter!$A:$A,FALSE),MATCH(All!Q$1,Winter!$1:$1,FALSE))="","",INDEX(Winter!$1:$1048576,MATCH(All!$A542,Winter!$A:$A,FALSE),MATCH(All!Q$1,Winter!$1:$1,FALSE))),"")</f>
        <v>4A</v>
      </c>
      <c r="R542" t="str">
        <f>IFERROR(IF(INDEX(Winter!$1:$1048576,MATCH(All!$A542,Winter!$A:$A,FALSE),MATCH(All!R$1,Winter!$1:$1,FALSE))="","",INDEX(Winter!$1:$1048576,MATCH(All!$A542,Winter!$A:$A,FALSE),MATCH(All!R$1,Winter!$1:$1,FALSE))),"")</f>
        <v>3A</v>
      </c>
      <c r="S542" t="str">
        <f>IFERROR(IF(INDEX(Winter!$1:$1048576,MATCH(All!$A542,Winter!$A:$A,FALSE),MATCH(All!S$1,Winter!$1:$1,FALSE))="","",INDEX(Winter!$1:$1048576,MATCH(All!$A542,Winter!$A:$A,FALSE),MATCH(All!S$1,Winter!$1:$1,FALSE))),"")</f>
        <v>3A</v>
      </c>
      <c r="T542" t="str">
        <f>IFERROR(IF(INDEX(Winter!$1:$1048576,MATCH(All!$A542,Winter!$A:$A,FALSE),MATCH(All!T$1,Winter!$1:$1,FALSE))="","",INDEX(Winter!$1:$1048576,MATCH(All!$A542,Winter!$A:$A,FALSE),MATCH(All!T$1,Winter!$1:$1,FALSE))),"")</f>
        <v>2A</v>
      </c>
      <c r="U542" t="str">
        <f>IFERROR(IF(INDEX(Winter!$1:$1048576,MATCH(All!$A542,Winter!$A:$A,FALSE),MATCH(All!U$1,Winter!$1:$1,FALSE))="","",INDEX(Winter!$1:$1048576,MATCH(All!$A542,Winter!$A:$A,FALSE),MATCH(All!U$1,Winter!$1:$1,FALSE))),"")</f>
        <v>3A</v>
      </c>
      <c r="W542">
        <f>IFERROR(IF(INDEX(Spring!$1:$1048576,MATCH(All!$A542,Spring!$A:$A,FALSE),MATCH(All!W$1,Spring!$1:$1,FALSE))="","",INDEX(Spring!$1:$1048576,MATCH(All!$A542,Spring!$A:$A,FALSE),MATCH(All!W$1,Spring!$1:$1,FALSE))),"")</f>
        <v>1994</v>
      </c>
      <c r="X542" t="str">
        <f>IFERROR(IF(INDEX(Spring!$1:$1048576,MATCH(All!$A542,Spring!$A:$A,FALSE),MATCH(All!X$1,Spring!$1:$1,FALSE))="","",INDEX(Spring!$1:$1048576,MATCH(All!$A542,Spring!$A:$A,FALSE),MATCH(All!X$1,Spring!$1:$1,FALSE))),"")</f>
        <v>4A</v>
      </c>
      <c r="Y542" t="str">
        <f>IFERROR(IF(INDEX(Spring!$1:$1048576,MATCH(All!$A542,Spring!$A:$A,FALSE),MATCH(All!Y$1,Spring!$1:$1,FALSE))="","",INDEX(Spring!$1:$1048576,MATCH(All!$A542,Spring!$A:$A,FALSE),MATCH(All!Y$1,Spring!$1:$1,FALSE))),"")</f>
        <v>4A</v>
      </c>
      <c r="Z542" t="str">
        <f>IFERROR(IF(INDEX(Spring!$1:$1048576,MATCH(All!$A542,Spring!$A:$A,FALSE),MATCH(All!Z$1,Spring!$1:$1,FALSE))="","",INDEX(Spring!$1:$1048576,MATCH(All!$A542,Spring!$A:$A,FALSE),MATCH(All!Z$1,Spring!$1:$1,FALSE))),"")</f>
        <v>3A</v>
      </c>
      <c r="AA542" t="str">
        <f>IFERROR(IF(INDEX(Spring!$1:$1048576,MATCH(All!$A542,Spring!$A:$A,FALSE),MATCH(All!AA$1,Spring!$1:$1,FALSE))="","",INDEX(Spring!$1:$1048576,MATCH(All!$A542,Spring!$A:$A,FALSE),MATCH(All!AA$1,Spring!$1:$1,FALSE))),"")</f>
        <v>2A</v>
      </c>
      <c r="AB542" t="str">
        <f>IFERROR(IF(INDEX(Spring!$1:$1048576,MATCH(All!$A542,Spring!$A:$A,FALSE),MATCH(All!AB$1,Spring!$1:$1,FALSE))="","",INDEX(Spring!$1:$1048576,MATCH(All!$A542,Spring!$A:$A,FALSE),MATCH(All!AB$1,Spring!$1:$1,FALSE))),"")</f>
        <v>3A</v>
      </c>
      <c r="AC542" t="str">
        <f>IFERROR(IF(INDEX(Spring!$1:$1048576,MATCH(All!$A542,Spring!$A:$A,FALSE),MATCH(All!AC$1,Spring!$1:$1,FALSE))="","",INDEX(Spring!$1:$1048576,MATCH(All!$A542,Spring!$A:$A,FALSE),MATCH(All!AC$1,Spring!$1:$1,FALSE))),"")</f>
        <v>3A</v>
      </c>
      <c r="AD542" t="str">
        <f>IFERROR(VLOOKUP(A542,'Flag Football'!A:A,1,FALSE),"")</f>
        <v/>
      </c>
      <c r="AE542" t="str">
        <f t="shared" si="8"/>
        <v/>
      </c>
    </row>
    <row r="543" spans="1:31" ht="15.75" thickBot="1" x14ac:dyDescent="0.3">
      <c r="A543" s="18" t="s">
        <v>636</v>
      </c>
      <c r="B543" s="38" t="str">
        <f>IFERROR(VLOOKUP(A543,'Public v Private'!A:G,3,FALSE),"")</f>
        <v>private</v>
      </c>
      <c r="C543" s="38">
        <f>IFERROR(VLOOKUP(A543,'Public v Private'!A:G,4,FALSE),"")</f>
        <v>3</v>
      </c>
      <c r="D543" s="38">
        <f>IFERROR(VLOOKUP(A543,'Public v Private'!A:G,5,FALSE),"")</f>
        <v>9</v>
      </c>
      <c r="E543" s="38"/>
      <c r="F543" s="40" t="str">
        <f>IFERROR(INDEX(Fall!$1:$1048576,MATCH(All!$A543,Fall!$A:$A,FALSE),MATCH(All!F$1,Fall!$1:$1,FALSE)),"N/A")</f>
        <v>753.00 (1,242.45)</v>
      </c>
      <c r="G543" t="str">
        <f>IFERROR(IF(INDEX(Fall!$1:$1048576,MATCH(All!$A543,Fall!$A:$A,FALSE),MATCH(All!G$1,Fall!$1:$1,FALSE))="","",INDEX(Fall!$1:$1048576,MATCH(All!$A543,Fall!$A:$A,FALSE),MATCH(All!G$1,Fall!$1:$1,FALSE))),"")</f>
        <v>2A</v>
      </c>
      <c r="H543" t="str">
        <f>IFERROR(IF(INDEX(Fall!$1:$1048576,MATCH(All!$A543,Fall!$A:$A,FALSE),MATCH(All!H$1,Fall!$1:$1,FALSE))="","",INDEX(Fall!$1:$1048576,MATCH(All!$A543,Fall!$A:$A,FALSE),MATCH(All!H$1,Fall!$1:$1,FALSE))),"")</f>
        <v>2A</v>
      </c>
      <c r="I543" t="str">
        <f>IFERROR(IF(INDEX(Fall!$1:$1048576,MATCH(All!$A543,Fall!$A:$A,FALSE),MATCH(All!I$1,Fall!$1:$1,FALSE))="","",INDEX(Fall!$1:$1048576,MATCH(All!$A543,Fall!$A:$A,FALSE),MATCH(All!I$1,Fall!$1:$1,FALSE))),"")</f>
        <v>2A</v>
      </c>
      <c r="J543" t="str">
        <f>IFERROR(IF(INDEX(Fall!$1:$1048576,MATCH(All!$A543,Fall!$A:$A,FALSE),MATCH(All!J$1,Fall!$1:$1,FALSE))="","",INDEX(Fall!$1:$1048576,MATCH(All!$A543,Fall!$A:$A,FALSE),MATCH(All!J$1,Fall!$1:$1,FALSE))),"")</f>
        <v>1A</v>
      </c>
      <c r="K543" t="str">
        <f>IFERROR(IF(INDEX(Fall!$1:$1048576,MATCH(All!$A543,Fall!$A:$A,FALSE),MATCH(All!K$1,Fall!$1:$1,FALSE))="","",INDEX(Fall!$1:$1048576,MATCH(All!$A543,Fall!$A:$A,FALSE),MATCH(All!K$1,Fall!$1:$1,FALSE))),"")</f>
        <v>2A</v>
      </c>
      <c r="L543" t="str">
        <f>IFERROR(IF(INDEX(Fall!$1:$1048576,MATCH(All!$A543,Fall!$A:$A,FALSE),MATCH(All!L$1,Fall!$1:$1,FALSE))="","",INDEX(Fall!$1:$1048576,MATCH(All!$A543,Fall!$A:$A,FALSE),MATCH(All!L$1,Fall!$1:$1,FALSE))),"")</f>
        <v>1A</v>
      </c>
      <c r="M543" t="str">
        <f>IFERROR(IF(INDEX(Fall!$1:$1048576,MATCH(All!$A543,Fall!$A:$A,FALSE),MATCH(All!M$1,Fall!$1:$1,FALSE))="","",INDEX(Fall!$1:$1048576,MATCH(All!$A543,Fall!$A:$A,FALSE),MATCH(All!M$1,Fall!$1:$1,FALSE))),"")</f>
        <v>3A</v>
      </c>
      <c r="O543" t="str">
        <f>IFERROR(IF(INDEX(Winter!$1:$1048576,MATCH(All!$A543,Winter!$A:$A,FALSE),MATCH(All!O$1,Winter!$1:$1,FALSE))="","",INDEX(Winter!$1:$1048576,MATCH(All!$A543,Winter!$A:$A,FALSE),MATCH(All!O$1,Winter!$1:$1,FALSE))),"")</f>
        <v>753.00 (1,242.45)</v>
      </c>
      <c r="P543" t="str">
        <f>IFERROR(IF(INDEX(Winter!$1:$1048576,MATCH(All!$A543,Winter!$A:$A,FALSE),MATCH(All!P$1,Winter!$1:$1,FALSE))="","",INDEX(Winter!$1:$1048576,MATCH(All!$A543,Winter!$A:$A,FALSE),MATCH(All!P$1,Winter!$1:$1,FALSE))),"")</f>
        <v>3A</v>
      </c>
      <c r="Q543" t="str">
        <f>IFERROR(IF(INDEX(Winter!$1:$1048576,MATCH(All!$A543,Winter!$A:$A,FALSE),MATCH(All!Q$1,Winter!$1:$1,FALSE))="","",INDEX(Winter!$1:$1048576,MATCH(All!$A543,Winter!$A:$A,FALSE),MATCH(All!Q$1,Winter!$1:$1,FALSE))),"")</f>
        <v>3A</v>
      </c>
      <c r="R543" t="str">
        <f>IFERROR(IF(INDEX(Winter!$1:$1048576,MATCH(All!$A543,Winter!$A:$A,FALSE),MATCH(All!R$1,Winter!$1:$1,FALSE))="","",INDEX(Winter!$1:$1048576,MATCH(All!$A543,Winter!$A:$A,FALSE),MATCH(All!R$1,Winter!$1:$1,FALSE))),"")</f>
        <v>2A</v>
      </c>
      <c r="S543" t="str">
        <f>IFERROR(IF(INDEX(Winter!$1:$1048576,MATCH(All!$A543,Winter!$A:$A,FALSE),MATCH(All!S$1,Winter!$1:$1,FALSE))="","",INDEX(Winter!$1:$1048576,MATCH(All!$A543,Winter!$A:$A,FALSE),MATCH(All!S$1,Winter!$1:$1,FALSE))),"")</f>
        <v>2A</v>
      </c>
      <c r="T543" t="str">
        <f>IFERROR(IF(INDEX(Winter!$1:$1048576,MATCH(All!$A543,Winter!$A:$A,FALSE),MATCH(All!T$1,Winter!$1:$1,FALSE))="","",INDEX(Winter!$1:$1048576,MATCH(All!$A543,Winter!$A:$A,FALSE),MATCH(All!T$1,Winter!$1:$1,FALSE))),"")</f>
        <v>2A</v>
      </c>
      <c r="U543" t="str">
        <f>IFERROR(IF(INDEX(Winter!$1:$1048576,MATCH(All!$A543,Winter!$A:$A,FALSE),MATCH(All!U$1,Winter!$1:$1,FALSE))="","",INDEX(Winter!$1:$1048576,MATCH(All!$A543,Winter!$A:$A,FALSE),MATCH(All!U$1,Winter!$1:$1,FALSE))),"")</f>
        <v>2A</v>
      </c>
      <c r="W543" t="str">
        <f>IFERROR(IF(INDEX(Spring!$1:$1048576,MATCH(All!$A543,Spring!$A:$A,FALSE),MATCH(All!W$1,Spring!$1:$1,FALSE))="","",INDEX(Spring!$1:$1048576,MATCH(All!$A543,Spring!$A:$A,FALSE),MATCH(All!W$1,Spring!$1:$1,FALSE))),"")</f>
        <v>753.00 (1,242.45)</v>
      </c>
      <c r="X543" t="str">
        <f>IFERROR(IF(INDEX(Spring!$1:$1048576,MATCH(All!$A543,Spring!$A:$A,FALSE),MATCH(All!X$1,Spring!$1:$1,FALSE))="","",INDEX(Spring!$1:$1048576,MATCH(All!$A543,Spring!$A:$A,FALSE),MATCH(All!X$1,Spring!$1:$1,FALSE))),"")</f>
        <v>4A</v>
      </c>
      <c r="Y543" t="str">
        <f>IFERROR(IF(INDEX(Spring!$1:$1048576,MATCH(All!$A543,Spring!$A:$A,FALSE),MATCH(All!Y$1,Spring!$1:$1,FALSE))="","",INDEX(Spring!$1:$1048576,MATCH(All!$A543,Spring!$A:$A,FALSE),MATCH(All!Y$1,Spring!$1:$1,FALSE))),"")</f>
        <v>3A</v>
      </c>
      <c r="Z543" t="str">
        <f>IFERROR(IF(INDEX(Spring!$1:$1048576,MATCH(All!$A543,Spring!$A:$A,FALSE),MATCH(All!Z$1,Spring!$1:$1,FALSE))="","",INDEX(Spring!$1:$1048576,MATCH(All!$A543,Spring!$A:$A,FALSE),MATCH(All!Z$1,Spring!$1:$1,FALSE))),"")</f>
        <v>2A</v>
      </c>
      <c r="AA543" t="str">
        <f>IFERROR(IF(INDEX(Spring!$1:$1048576,MATCH(All!$A543,Spring!$A:$A,FALSE),MATCH(All!AA$1,Spring!$1:$1,FALSE))="","",INDEX(Spring!$1:$1048576,MATCH(All!$A543,Spring!$A:$A,FALSE),MATCH(All!AA$1,Spring!$1:$1,FALSE))),"")</f>
        <v>1A</v>
      </c>
      <c r="AB543" t="str">
        <f>IFERROR(IF(INDEX(Spring!$1:$1048576,MATCH(All!$A543,Spring!$A:$A,FALSE),MATCH(All!AB$1,Spring!$1:$1,FALSE))="","",INDEX(Spring!$1:$1048576,MATCH(All!$A543,Spring!$A:$A,FALSE),MATCH(All!AB$1,Spring!$1:$1,FALSE))),"")</f>
        <v>2A</v>
      </c>
      <c r="AC543" t="str">
        <f>IFERROR(IF(INDEX(Spring!$1:$1048576,MATCH(All!$A543,Spring!$A:$A,FALSE),MATCH(All!AC$1,Spring!$1:$1,FALSE))="","",INDEX(Spring!$1:$1048576,MATCH(All!$A543,Spring!$A:$A,FALSE),MATCH(All!AC$1,Spring!$1:$1,FALSE))),"")</f>
        <v>2A</v>
      </c>
      <c r="AD543" t="str">
        <f>IFERROR(VLOOKUP(A543,'Flag Football'!A:A,1,FALSE),"")</f>
        <v/>
      </c>
      <c r="AE543" t="str">
        <f t="shared" si="8"/>
        <v/>
      </c>
    </row>
    <row r="544" spans="1:31" ht="15.75" thickBot="1" x14ac:dyDescent="0.3">
      <c r="A544" s="20" t="s">
        <v>638</v>
      </c>
      <c r="B544" s="38">
        <f>IFERROR(VLOOKUP(A544,'Public v Private'!A:G,3,FALSE),"")</f>
        <v>0</v>
      </c>
      <c r="C544" s="38">
        <f>IFERROR(VLOOKUP(A544,'Public v Private'!A:G,4,FALSE),"")</f>
        <v>0</v>
      </c>
      <c r="D544" s="38">
        <f>IFERROR(VLOOKUP(A544,'Public v Private'!A:G,5,FALSE),"")</f>
        <v>0</v>
      </c>
      <c r="E544" s="38"/>
      <c r="F544" s="40">
        <f>IFERROR(INDEX(Fall!$1:$1048576,MATCH(All!$A544,Fall!$A:$A,FALSE),MATCH(All!F$1,Fall!$1:$1,FALSE)),"N/A")</f>
        <v>173</v>
      </c>
      <c r="G544" t="str">
        <f>IFERROR(IF(INDEX(Fall!$1:$1048576,MATCH(All!$A544,Fall!$A:$A,FALSE),MATCH(All!G$1,Fall!$1:$1,FALSE))="","",INDEX(Fall!$1:$1048576,MATCH(All!$A544,Fall!$A:$A,FALSE),MATCH(All!G$1,Fall!$1:$1,FALSE))),"")</f>
        <v/>
      </c>
      <c r="H544" t="str">
        <f>IFERROR(IF(INDEX(Fall!$1:$1048576,MATCH(All!$A544,Fall!$A:$A,FALSE),MATCH(All!H$1,Fall!$1:$1,FALSE))="","",INDEX(Fall!$1:$1048576,MATCH(All!$A544,Fall!$A:$A,FALSE),MATCH(All!H$1,Fall!$1:$1,FALSE))),"")</f>
        <v/>
      </c>
      <c r="I544" t="str">
        <f>IFERROR(IF(INDEX(Fall!$1:$1048576,MATCH(All!$A544,Fall!$A:$A,FALSE),MATCH(All!I$1,Fall!$1:$1,FALSE))="","",INDEX(Fall!$1:$1048576,MATCH(All!$A544,Fall!$A:$A,FALSE),MATCH(All!I$1,Fall!$1:$1,FALSE))),"")</f>
        <v>1A</v>
      </c>
      <c r="J544" t="str">
        <f>IFERROR(IF(INDEX(Fall!$1:$1048576,MATCH(All!$A544,Fall!$A:$A,FALSE),MATCH(All!J$1,Fall!$1:$1,FALSE))="","",INDEX(Fall!$1:$1048576,MATCH(All!$A544,Fall!$A:$A,FALSE),MATCH(All!J$1,Fall!$1:$1,FALSE))),"")</f>
        <v/>
      </c>
      <c r="K544" t="str">
        <f>IFERROR(IF(INDEX(Fall!$1:$1048576,MATCH(All!$A544,Fall!$A:$A,FALSE),MATCH(All!K$1,Fall!$1:$1,FALSE))="","",INDEX(Fall!$1:$1048576,MATCH(All!$A544,Fall!$A:$A,FALSE),MATCH(All!K$1,Fall!$1:$1,FALSE))),"")</f>
        <v/>
      </c>
      <c r="L544" t="str">
        <f>IFERROR(IF(INDEX(Fall!$1:$1048576,MATCH(All!$A544,Fall!$A:$A,FALSE),MATCH(All!L$1,Fall!$1:$1,FALSE))="","",INDEX(Fall!$1:$1048576,MATCH(All!$A544,Fall!$A:$A,FALSE),MATCH(All!L$1,Fall!$1:$1,FALSE))),"")</f>
        <v/>
      </c>
      <c r="M544" t="str">
        <f>IFERROR(IF(INDEX(Fall!$1:$1048576,MATCH(All!$A544,Fall!$A:$A,FALSE),MATCH(All!M$1,Fall!$1:$1,FALSE))="","",INDEX(Fall!$1:$1048576,MATCH(All!$A544,Fall!$A:$A,FALSE),MATCH(All!M$1,Fall!$1:$1,FALSE))),"")</f>
        <v>1A</v>
      </c>
      <c r="O544">
        <f>IFERROR(IF(INDEX(Winter!$1:$1048576,MATCH(All!$A544,Winter!$A:$A,FALSE),MATCH(All!O$1,Winter!$1:$1,FALSE))="","",INDEX(Winter!$1:$1048576,MATCH(All!$A544,Winter!$A:$A,FALSE),MATCH(All!O$1,Winter!$1:$1,FALSE))),"")</f>
        <v>173</v>
      </c>
      <c r="P544" t="str">
        <f>IFERROR(IF(INDEX(Winter!$1:$1048576,MATCH(All!$A544,Winter!$A:$A,FALSE),MATCH(All!P$1,Winter!$1:$1,FALSE))="","",INDEX(Winter!$1:$1048576,MATCH(All!$A544,Winter!$A:$A,FALSE),MATCH(All!P$1,Winter!$1:$1,FALSE))),"")</f>
        <v>1A</v>
      </c>
      <c r="Q544" t="str">
        <f>IFERROR(IF(INDEX(Winter!$1:$1048576,MATCH(All!$A544,Winter!$A:$A,FALSE),MATCH(All!Q$1,Winter!$1:$1,FALSE))="","",INDEX(Winter!$1:$1048576,MATCH(All!$A544,Winter!$A:$A,FALSE),MATCH(All!Q$1,Winter!$1:$1,FALSE))),"")</f>
        <v>1A</v>
      </c>
      <c r="R544" t="str">
        <f>IFERROR(IF(INDEX(Winter!$1:$1048576,MATCH(All!$A544,Winter!$A:$A,FALSE),MATCH(All!R$1,Winter!$1:$1,FALSE))="","",INDEX(Winter!$1:$1048576,MATCH(All!$A544,Winter!$A:$A,FALSE),MATCH(All!R$1,Winter!$1:$1,FALSE))),"")</f>
        <v/>
      </c>
      <c r="S544" t="str">
        <f>IFERROR(IF(INDEX(Winter!$1:$1048576,MATCH(All!$A544,Winter!$A:$A,FALSE),MATCH(All!S$1,Winter!$1:$1,FALSE))="","",INDEX(Winter!$1:$1048576,MATCH(All!$A544,Winter!$A:$A,FALSE),MATCH(All!S$1,Winter!$1:$1,FALSE))),"")</f>
        <v/>
      </c>
      <c r="T544" t="str">
        <f>IFERROR(IF(INDEX(Winter!$1:$1048576,MATCH(All!$A544,Winter!$A:$A,FALSE),MATCH(All!T$1,Winter!$1:$1,FALSE))="","",INDEX(Winter!$1:$1048576,MATCH(All!$A544,Winter!$A:$A,FALSE),MATCH(All!T$1,Winter!$1:$1,FALSE))),"")</f>
        <v>1A</v>
      </c>
      <c r="U544" t="str">
        <f>IFERROR(IF(INDEX(Winter!$1:$1048576,MATCH(All!$A544,Winter!$A:$A,FALSE),MATCH(All!U$1,Winter!$1:$1,FALSE))="","",INDEX(Winter!$1:$1048576,MATCH(All!$A544,Winter!$A:$A,FALSE),MATCH(All!U$1,Winter!$1:$1,FALSE))),"")</f>
        <v/>
      </c>
      <c r="W544">
        <f>IFERROR(IF(INDEX(Spring!$1:$1048576,MATCH(All!$A544,Spring!$A:$A,FALSE),MATCH(All!W$1,Spring!$1:$1,FALSE))="","",INDEX(Spring!$1:$1048576,MATCH(All!$A544,Spring!$A:$A,FALSE),MATCH(All!W$1,Spring!$1:$1,FALSE))),"")</f>
        <v>173</v>
      </c>
      <c r="X544" t="str">
        <f>IFERROR(IF(INDEX(Spring!$1:$1048576,MATCH(All!$A544,Spring!$A:$A,FALSE),MATCH(All!X$1,Spring!$1:$1,FALSE))="","",INDEX(Spring!$1:$1048576,MATCH(All!$A544,Spring!$A:$A,FALSE),MATCH(All!X$1,Spring!$1:$1,FALSE))),"")</f>
        <v>1A</v>
      </c>
      <c r="Y544" t="str">
        <f>IFERROR(IF(INDEX(Spring!$1:$1048576,MATCH(All!$A544,Spring!$A:$A,FALSE),MATCH(All!Y$1,Spring!$1:$1,FALSE))="","",INDEX(Spring!$1:$1048576,MATCH(All!$A544,Spring!$A:$A,FALSE),MATCH(All!Y$1,Spring!$1:$1,FALSE))),"")</f>
        <v>1A</v>
      </c>
      <c r="Z544" t="str">
        <f>IFERROR(IF(INDEX(Spring!$1:$1048576,MATCH(All!$A544,Spring!$A:$A,FALSE),MATCH(All!Z$1,Spring!$1:$1,FALSE))="","",INDEX(Spring!$1:$1048576,MATCH(All!$A544,Spring!$A:$A,FALSE),MATCH(All!Z$1,Spring!$1:$1,FALSE))),"")</f>
        <v/>
      </c>
      <c r="AA544" t="str">
        <f>IFERROR(IF(INDEX(Spring!$1:$1048576,MATCH(All!$A544,Spring!$A:$A,FALSE),MATCH(All!AA$1,Spring!$1:$1,FALSE))="","",INDEX(Spring!$1:$1048576,MATCH(All!$A544,Spring!$A:$A,FALSE),MATCH(All!AA$1,Spring!$1:$1,FALSE))),"")</f>
        <v/>
      </c>
      <c r="AB544" t="str">
        <f>IFERROR(IF(INDEX(Spring!$1:$1048576,MATCH(All!$A544,Spring!$A:$A,FALSE),MATCH(All!AB$1,Spring!$1:$1,FALSE))="","",INDEX(Spring!$1:$1048576,MATCH(All!$A544,Spring!$A:$A,FALSE),MATCH(All!AB$1,Spring!$1:$1,FALSE))),"")</f>
        <v>1A</v>
      </c>
      <c r="AC544" t="str">
        <f>IFERROR(IF(INDEX(Spring!$1:$1048576,MATCH(All!$A544,Spring!$A:$A,FALSE),MATCH(All!AC$1,Spring!$1:$1,FALSE))="","",INDEX(Spring!$1:$1048576,MATCH(All!$A544,Spring!$A:$A,FALSE),MATCH(All!AC$1,Spring!$1:$1,FALSE))),"")</f>
        <v>1A</v>
      </c>
      <c r="AD544" t="str">
        <f>IFERROR(VLOOKUP(A544,'Flag Football'!A:A,1,FALSE),"")</f>
        <v/>
      </c>
      <c r="AE544" t="str">
        <f t="shared" si="8"/>
        <v/>
      </c>
    </row>
    <row r="545" spans="1:31" ht="15.75" thickBot="1" x14ac:dyDescent="0.3">
      <c r="A545" s="18" t="s">
        <v>639</v>
      </c>
      <c r="B545" s="38">
        <f>IFERROR(VLOOKUP(A545,'Public v Private'!A:G,3,FALSE),"")</f>
        <v>0</v>
      </c>
      <c r="C545" s="38">
        <f>IFERROR(VLOOKUP(A545,'Public v Private'!A:G,4,FALSE),"")</f>
        <v>0</v>
      </c>
      <c r="D545" s="38">
        <f>IFERROR(VLOOKUP(A545,'Public v Private'!A:G,5,FALSE),"")</f>
        <v>0</v>
      </c>
      <c r="E545" s="38"/>
      <c r="F545" s="40">
        <f>IFERROR(INDEX(Fall!$1:$1048576,MATCH(All!$A545,Fall!$A:$A,FALSE),MATCH(All!F$1,Fall!$1:$1,FALSE)),"N/A")</f>
        <v>401</v>
      </c>
      <c r="G545" t="str">
        <f>IFERROR(IF(INDEX(Fall!$1:$1048576,MATCH(All!$A545,Fall!$A:$A,FALSE),MATCH(All!G$1,Fall!$1:$1,FALSE))="","",INDEX(Fall!$1:$1048576,MATCH(All!$A545,Fall!$A:$A,FALSE),MATCH(All!G$1,Fall!$1:$1,FALSE))),"")</f>
        <v>1A</v>
      </c>
      <c r="H545" t="str">
        <f>IFERROR(IF(INDEX(Fall!$1:$1048576,MATCH(All!$A545,Fall!$A:$A,FALSE),MATCH(All!H$1,Fall!$1:$1,FALSE))="","",INDEX(Fall!$1:$1048576,MATCH(All!$A545,Fall!$A:$A,FALSE),MATCH(All!H$1,Fall!$1:$1,FALSE))),"")</f>
        <v>1A</v>
      </c>
      <c r="I545" t="str">
        <f>IFERROR(IF(INDEX(Fall!$1:$1048576,MATCH(All!$A545,Fall!$A:$A,FALSE),MATCH(All!I$1,Fall!$1:$1,FALSE))="","",INDEX(Fall!$1:$1048576,MATCH(All!$A545,Fall!$A:$A,FALSE),MATCH(All!I$1,Fall!$1:$1,FALSE))),"")</f>
        <v>1A</v>
      </c>
      <c r="J545" t="str">
        <f>IFERROR(IF(INDEX(Fall!$1:$1048576,MATCH(All!$A545,Fall!$A:$A,FALSE),MATCH(All!J$1,Fall!$1:$1,FALSE))="","",INDEX(Fall!$1:$1048576,MATCH(All!$A545,Fall!$A:$A,FALSE),MATCH(All!J$1,Fall!$1:$1,FALSE))),"")</f>
        <v/>
      </c>
      <c r="K545" t="str">
        <f>IFERROR(IF(INDEX(Fall!$1:$1048576,MATCH(All!$A545,Fall!$A:$A,FALSE),MATCH(All!K$1,Fall!$1:$1,FALSE))="","",INDEX(Fall!$1:$1048576,MATCH(All!$A545,Fall!$A:$A,FALSE),MATCH(All!K$1,Fall!$1:$1,FALSE))),"")</f>
        <v>1A</v>
      </c>
      <c r="L545" t="str">
        <f>IFERROR(IF(INDEX(Fall!$1:$1048576,MATCH(All!$A545,Fall!$A:$A,FALSE),MATCH(All!L$1,Fall!$1:$1,FALSE))="","",INDEX(Fall!$1:$1048576,MATCH(All!$A545,Fall!$A:$A,FALSE),MATCH(All!L$1,Fall!$1:$1,FALSE))),"")</f>
        <v>1A</v>
      </c>
      <c r="M545" t="str">
        <f>IFERROR(IF(INDEX(Fall!$1:$1048576,MATCH(All!$A545,Fall!$A:$A,FALSE),MATCH(All!M$1,Fall!$1:$1,FALSE))="","",INDEX(Fall!$1:$1048576,MATCH(All!$A545,Fall!$A:$A,FALSE),MATCH(All!M$1,Fall!$1:$1,FALSE))),"")</f>
        <v>2A</v>
      </c>
      <c r="O545">
        <f>IFERROR(IF(INDEX(Winter!$1:$1048576,MATCH(All!$A545,Winter!$A:$A,FALSE),MATCH(All!O$1,Winter!$1:$1,FALSE))="","",INDEX(Winter!$1:$1048576,MATCH(All!$A545,Winter!$A:$A,FALSE),MATCH(All!O$1,Winter!$1:$1,FALSE))),"")</f>
        <v>401</v>
      </c>
      <c r="P545" t="str">
        <f>IFERROR(IF(INDEX(Winter!$1:$1048576,MATCH(All!$A545,Winter!$A:$A,FALSE),MATCH(All!P$1,Winter!$1:$1,FALSE))="","",INDEX(Winter!$1:$1048576,MATCH(All!$A545,Winter!$A:$A,FALSE),MATCH(All!P$1,Winter!$1:$1,FALSE))),"")</f>
        <v>2A</v>
      </c>
      <c r="Q545" t="str">
        <f>IFERROR(IF(INDEX(Winter!$1:$1048576,MATCH(All!$A545,Winter!$A:$A,FALSE),MATCH(All!Q$1,Winter!$1:$1,FALSE))="","",INDEX(Winter!$1:$1048576,MATCH(All!$A545,Winter!$A:$A,FALSE),MATCH(All!Q$1,Winter!$1:$1,FALSE))),"")</f>
        <v>2A</v>
      </c>
      <c r="R545" t="str">
        <f>IFERROR(IF(INDEX(Winter!$1:$1048576,MATCH(All!$A545,Winter!$A:$A,FALSE),MATCH(All!R$1,Winter!$1:$1,FALSE))="","",INDEX(Winter!$1:$1048576,MATCH(All!$A545,Winter!$A:$A,FALSE),MATCH(All!R$1,Winter!$1:$1,FALSE))),"")</f>
        <v/>
      </c>
      <c r="S545" t="str">
        <f>IFERROR(IF(INDEX(Winter!$1:$1048576,MATCH(All!$A545,Winter!$A:$A,FALSE),MATCH(All!S$1,Winter!$1:$1,FALSE))="","",INDEX(Winter!$1:$1048576,MATCH(All!$A545,Winter!$A:$A,FALSE),MATCH(All!S$1,Winter!$1:$1,FALSE))),"")</f>
        <v/>
      </c>
      <c r="T545" t="str">
        <f>IFERROR(IF(INDEX(Winter!$1:$1048576,MATCH(All!$A545,Winter!$A:$A,FALSE),MATCH(All!T$1,Winter!$1:$1,FALSE))="","",INDEX(Winter!$1:$1048576,MATCH(All!$A545,Winter!$A:$A,FALSE),MATCH(All!T$1,Winter!$1:$1,FALSE))),"")</f>
        <v>1A</v>
      </c>
      <c r="U545" t="str">
        <f>IFERROR(IF(INDEX(Winter!$1:$1048576,MATCH(All!$A545,Winter!$A:$A,FALSE),MATCH(All!U$1,Winter!$1:$1,FALSE))="","",INDEX(Winter!$1:$1048576,MATCH(All!$A545,Winter!$A:$A,FALSE),MATCH(All!U$1,Winter!$1:$1,FALSE))),"")</f>
        <v/>
      </c>
      <c r="W545">
        <f>IFERROR(IF(INDEX(Spring!$1:$1048576,MATCH(All!$A545,Spring!$A:$A,FALSE),MATCH(All!W$1,Spring!$1:$1,FALSE))="","",INDEX(Spring!$1:$1048576,MATCH(All!$A545,Spring!$A:$A,FALSE),MATCH(All!W$1,Spring!$1:$1,FALSE))),"")</f>
        <v>401</v>
      </c>
      <c r="X545" t="str">
        <f>IFERROR(IF(INDEX(Spring!$1:$1048576,MATCH(All!$A545,Spring!$A:$A,FALSE),MATCH(All!X$1,Spring!$1:$1,FALSE))="","",INDEX(Spring!$1:$1048576,MATCH(All!$A545,Spring!$A:$A,FALSE),MATCH(All!X$1,Spring!$1:$1,FALSE))),"")</f>
        <v>2A</v>
      </c>
      <c r="Y545" t="str">
        <f>IFERROR(IF(INDEX(Spring!$1:$1048576,MATCH(All!$A545,Spring!$A:$A,FALSE),MATCH(All!Y$1,Spring!$1:$1,FALSE))="","",INDEX(Spring!$1:$1048576,MATCH(All!$A545,Spring!$A:$A,FALSE),MATCH(All!Y$1,Spring!$1:$1,FALSE))),"")</f>
        <v>2A</v>
      </c>
      <c r="Z545" t="str">
        <f>IFERROR(IF(INDEX(Spring!$1:$1048576,MATCH(All!$A545,Spring!$A:$A,FALSE),MATCH(All!Z$1,Spring!$1:$1,FALSE))="","",INDEX(Spring!$1:$1048576,MATCH(All!$A545,Spring!$A:$A,FALSE),MATCH(All!Z$1,Spring!$1:$1,FALSE))),"")</f>
        <v/>
      </c>
      <c r="AA545" t="str">
        <f>IFERROR(IF(INDEX(Spring!$1:$1048576,MATCH(All!$A545,Spring!$A:$A,FALSE),MATCH(All!AA$1,Spring!$1:$1,FALSE))="","",INDEX(Spring!$1:$1048576,MATCH(All!$A545,Spring!$A:$A,FALSE),MATCH(All!AA$1,Spring!$1:$1,FALSE))),"")</f>
        <v>1A</v>
      </c>
      <c r="AB545" t="str">
        <f>IFERROR(IF(INDEX(Spring!$1:$1048576,MATCH(All!$A545,Spring!$A:$A,FALSE),MATCH(All!AB$1,Spring!$1:$1,FALSE))="","",INDEX(Spring!$1:$1048576,MATCH(All!$A545,Spring!$A:$A,FALSE),MATCH(All!AB$1,Spring!$1:$1,FALSE))),"")</f>
        <v>1A</v>
      </c>
      <c r="AC545" t="str">
        <f>IFERROR(IF(INDEX(Spring!$1:$1048576,MATCH(All!$A545,Spring!$A:$A,FALSE),MATCH(All!AC$1,Spring!$1:$1,FALSE))="","",INDEX(Spring!$1:$1048576,MATCH(All!$A545,Spring!$A:$A,FALSE),MATCH(All!AC$1,Spring!$1:$1,FALSE))),"")</f>
        <v>1A</v>
      </c>
      <c r="AD545" t="str">
        <f>IFERROR(VLOOKUP(A545,'Flag Football'!A:A,1,FALSE),"")</f>
        <v/>
      </c>
      <c r="AE545" t="str">
        <f t="shared" si="8"/>
        <v/>
      </c>
    </row>
    <row r="546" spans="1:31" ht="15.75" thickBot="1" x14ac:dyDescent="0.3">
      <c r="A546" s="20" t="s">
        <v>640</v>
      </c>
      <c r="B546" s="38">
        <f>IFERROR(VLOOKUP(A546,'Public v Private'!A:G,3,FALSE),"")</f>
        <v>0</v>
      </c>
      <c r="C546" s="38">
        <f>IFERROR(VLOOKUP(A546,'Public v Private'!A:G,4,FALSE),"")</f>
        <v>0</v>
      </c>
      <c r="D546" s="38">
        <f>IFERROR(VLOOKUP(A546,'Public v Private'!A:G,5,FALSE),"")</f>
        <v>0</v>
      </c>
      <c r="E546" s="38"/>
      <c r="F546" s="40" t="str">
        <f>IFERROR(INDEX(Fall!$1:$1048576,MATCH(All!$A546,Fall!$A:$A,FALSE),MATCH(All!F$1,Fall!$1:$1,FALSE)),"N/A")</f>
        <v>N/A</v>
      </c>
      <c r="G546" t="str">
        <f>IFERROR(IF(INDEX(Fall!$1:$1048576,MATCH(All!$A546,Fall!$A:$A,FALSE),MATCH(All!G$1,Fall!$1:$1,FALSE))="","",INDEX(Fall!$1:$1048576,MATCH(All!$A546,Fall!$A:$A,FALSE),MATCH(All!G$1,Fall!$1:$1,FALSE))),"")</f>
        <v/>
      </c>
      <c r="H546" t="str">
        <f>IFERROR(IF(INDEX(Fall!$1:$1048576,MATCH(All!$A546,Fall!$A:$A,FALSE),MATCH(All!H$1,Fall!$1:$1,FALSE))="","",INDEX(Fall!$1:$1048576,MATCH(All!$A546,Fall!$A:$A,FALSE),MATCH(All!H$1,Fall!$1:$1,FALSE))),"")</f>
        <v/>
      </c>
      <c r="I546" t="str">
        <f>IFERROR(IF(INDEX(Fall!$1:$1048576,MATCH(All!$A546,Fall!$A:$A,FALSE),MATCH(All!I$1,Fall!$1:$1,FALSE))="","",INDEX(Fall!$1:$1048576,MATCH(All!$A546,Fall!$A:$A,FALSE),MATCH(All!I$1,Fall!$1:$1,FALSE))),"")</f>
        <v/>
      </c>
      <c r="J546" t="str">
        <f>IFERROR(IF(INDEX(Fall!$1:$1048576,MATCH(All!$A546,Fall!$A:$A,FALSE),MATCH(All!J$1,Fall!$1:$1,FALSE))="","",INDEX(Fall!$1:$1048576,MATCH(All!$A546,Fall!$A:$A,FALSE),MATCH(All!J$1,Fall!$1:$1,FALSE))),"")</f>
        <v/>
      </c>
      <c r="K546" t="str">
        <f>IFERROR(IF(INDEX(Fall!$1:$1048576,MATCH(All!$A546,Fall!$A:$A,FALSE),MATCH(All!K$1,Fall!$1:$1,FALSE))="","",INDEX(Fall!$1:$1048576,MATCH(All!$A546,Fall!$A:$A,FALSE),MATCH(All!K$1,Fall!$1:$1,FALSE))),"")</f>
        <v/>
      </c>
      <c r="L546" t="str">
        <f>IFERROR(IF(INDEX(Fall!$1:$1048576,MATCH(All!$A546,Fall!$A:$A,FALSE),MATCH(All!L$1,Fall!$1:$1,FALSE))="","",INDEX(Fall!$1:$1048576,MATCH(All!$A546,Fall!$A:$A,FALSE),MATCH(All!L$1,Fall!$1:$1,FALSE))),"")</f>
        <v/>
      </c>
      <c r="M546" t="str">
        <f>IFERROR(IF(INDEX(Fall!$1:$1048576,MATCH(All!$A546,Fall!$A:$A,FALSE),MATCH(All!M$1,Fall!$1:$1,FALSE))="","",INDEX(Fall!$1:$1048576,MATCH(All!$A546,Fall!$A:$A,FALSE),MATCH(All!M$1,Fall!$1:$1,FALSE))),"")</f>
        <v/>
      </c>
      <c r="O546">
        <f>IFERROR(IF(INDEX(Winter!$1:$1048576,MATCH(All!$A546,Winter!$A:$A,FALSE),MATCH(All!O$1,Winter!$1:$1,FALSE))="","",INDEX(Winter!$1:$1048576,MATCH(All!$A546,Winter!$A:$A,FALSE),MATCH(All!O$1,Winter!$1:$1,FALSE))),"")</f>
        <v>195</v>
      </c>
      <c r="P546" t="str">
        <f>IFERROR(IF(INDEX(Winter!$1:$1048576,MATCH(All!$A546,Winter!$A:$A,FALSE),MATCH(All!P$1,Winter!$1:$1,FALSE))="","",INDEX(Winter!$1:$1048576,MATCH(All!$A546,Winter!$A:$A,FALSE),MATCH(All!P$1,Winter!$1:$1,FALSE))),"")</f>
        <v/>
      </c>
      <c r="Q546" t="str">
        <f>IFERROR(IF(INDEX(Winter!$1:$1048576,MATCH(All!$A546,Winter!$A:$A,FALSE),MATCH(All!Q$1,Winter!$1:$1,FALSE))="","",INDEX(Winter!$1:$1048576,MATCH(All!$A546,Winter!$A:$A,FALSE),MATCH(All!Q$1,Winter!$1:$1,FALSE))),"")</f>
        <v>2A</v>
      </c>
      <c r="R546" t="str">
        <f>IFERROR(IF(INDEX(Winter!$1:$1048576,MATCH(All!$A546,Winter!$A:$A,FALSE),MATCH(All!R$1,Winter!$1:$1,FALSE))="","",INDEX(Winter!$1:$1048576,MATCH(All!$A546,Winter!$A:$A,FALSE),MATCH(All!R$1,Winter!$1:$1,FALSE))),"")</f>
        <v/>
      </c>
      <c r="S546" t="str">
        <f>IFERROR(IF(INDEX(Winter!$1:$1048576,MATCH(All!$A546,Winter!$A:$A,FALSE),MATCH(All!S$1,Winter!$1:$1,FALSE))="","",INDEX(Winter!$1:$1048576,MATCH(All!$A546,Winter!$A:$A,FALSE),MATCH(All!S$1,Winter!$1:$1,FALSE))),"")</f>
        <v/>
      </c>
      <c r="T546" t="str">
        <f>IFERROR(IF(INDEX(Winter!$1:$1048576,MATCH(All!$A546,Winter!$A:$A,FALSE),MATCH(All!T$1,Winter!$1:$1,FALSE))="","",INDEX(Winter!$1:$1048576,MATCH(All!$A546,Winter!$A:$A,FALSE),MATCH(All!T$1,Winter!$1:$1,FALSE))),"")</f>
        <v>1A</v>
      </c>
      <c r="U546" t="str">
        <f>IFERROR(IF(INDEX(Winter!$1:$1048576,MATCH(All!$A546,Winter!$A:$A,FALSE),MATCH(All!U$1,Winter!$1:$1,FALSE))="","",INDEX(Winter!$1:$1048576,MATCH(All!$A546,Winter!$A:$A,FALSE),MATCH(All!U$1,Winter!$1:$1,FALSE))),"")</f>
        <v/>
      </c>
      <c r="W546">
        <f>IFERROR(IF(INDEX(Spring!$1:$1048576,MATCH(All!$A546,Spring!$A:$A,FALSE),MATCH(All!W$1,Spring!$1:$1,FALSE))="","",INDEX(Spring!$1:$1048576,MATCH(All!$A546,Spring!$A:$A,FALSE),MATCH(All!W$1,Spring!$1:$1,FALSE))),"")</f>
        <v>195</v>
      </c>
      <c r="X546" t="str">
        <f>IFERROR(IF(INDEX(Spring!$1:$1048576,MATCH(All!$A546,Spring!$A:$A,FALSE),MATCH(All!X$1,Spring!$1:$1,FALSE))="","",INDEX(Spring!$1:$1048576,MATCH(All!$A546,Spring!$A:$A,FALSE),MATCH(All!X$1,Spring!$1:$1,FALSE))),"")</f>
        <v/>
      </c>
      <c r="Y546" t="str">
        <f>IFERROR(IF(INDEX(Spring!$1:$1048576,MATCH(All!$A546,Spring!$A:$A,FALSE),MATCH(All!Y$1,Spring!$1:$1,FALSE))="","",INDEX(Spring!$1:$1048576,MATCH(All!$A546,Spring!$A:$A,FALSE),MATCH(All!Y$1,Spring!$1:$1,FALSE))),"")</f>
        <v/>
      </c>
      <c r="Z546" t="str">
        <f>IFERROR(IF(INDEX(Spring!$1:$1048576,MATCH(All!$A546,Spring!$A:$A,FALSE),MATCH(All!Z$1,Spring!$1:$1,FALSE))="","",INDEX(Spring!$1:$1048576,MATCH(All!$A546,Spring!$A:$A,FALSE),MATCH(All!Z$1,Spring!$1:$1,FALSE))),"")</f>
        <v/>
      </c>
      <c r="AA546" t="str">
        <f>IFERROR(IF(INDEX(Spring!$1:$1048576,MATCH(All!$A546,Spring!$A:$A,FALSE),MATCH(All!AA$1,Spring!$1:$1,FALSE))="","",INDEX(Spring!$1:$1048576,MATCH(All!$A546,Spring!$A:$A,FALSE),MATCH(All!AA$1,Spring!$1:$1,FALSE))),"")</f>
        <v/>
      </c>
      <c r="AB546" t="str">
        <f>IFERROR(IF(INDEX(Spring!$1:$1048576,MATCH(All!$A546,Spring!$A:$A,FALSE),MATCH(All!AB$1,Spring!$1:$1,FALSE))="","",INDEX(Spring!$1:$1048576,MATCH(All!$A546,Spring!$A:$A,FALSE),MATCH(All!AB$1,Spring!$1:$1,FALSE))),"")</f>
        <v>1A</v>
      </c>
      <c r="AC546" t="str">
        <f>IFERROR(IF(INDEX(Spring!$1:$1048576,MATCH(All!$A546,Spring!$A:$A,FALSE),MATCH(All!AC$1,Spring!$1:$1,FALSE))="","",INDEX(Spring!$1:$1048576,MATCH(All!$A546,Spring!$A:$A,FALSE),MATCH(All!AC$1,Spring!$1:$1,FALSE))),"")</f>
        <v>1A</v>
      </c>
      <c r="AD546" t="str">
        <f>IFERROR(VLOOKUP(A546,'Flag Football'!A:A,1,FALSE),"")</f>
        <v/>
      </c>
      <c r="AE546" t="str">
        <f t="shared" si="8"/>
        <v/>
      </c>
    </row>
    <row r="547" spans="1:31" ht="15.75" thickBot="1" x14ac:dyDescent="0.3">
      <c r="A547" s="20" t="s">
        <v>641</v>
      </c>
      <c r="B547" s="38" t="str">
        <f>IFERROR(VLOOKUP(A547,'Public v Private'!A:G,3,FALSE),"")</f>
        <v>private</v>
      </c>
      <c r="C547" s="38">
        <f>IFERROR(VLOOKUP(A547,'Public v Private'!A:G,4,FALSE),"")</f>
        <v>2</v>
      </c>
      <c r="D547" s="38">
        <f>IFERROR(VLOOKUP(A547,'Public v Private'!A:G,5,FALSE),"")</f>
        <v>4</v>
      </c>
      <c r="E547" s="38"/>
      <c r="F547" s="40" t="str">
        <f>IFERROR(INDEX(Fall!$1:$1048576,MATCH(All!$A547,Fall!$A:$A,FALSE),MATCH(All!F$1,Fall!$1:$1,FALSE)),"N/A")</f>
        <v>458.00 (755.70)</v>
      </c>
      <c r="G547" t="str">
        <f>IFERROR(IF(INDEX(Fall!$1:$1048576,MATCH(All!$A547,Fall!$A:$A,FALSE),MATCH(All!G$1,Fall!$1:$1,FALSE))="","",INDEX(Fall!$1:$1048576,MATCH(All!$A547,Fall!$A:$A,FALSE),MATCH(All!G$1,Fall!$1:$1,FALSE))),"")</f>
        <v>2A</v>
      </c>
      <c r="H547" t="str">
        <f>IFERROR(IF(INDEX(Fall!$1:$1048576,MATCH(All!$A547,Fall!$A:$A,FALSE),MATCH(All!H$1,Fall!$1:$1,FALSE))="","",INDEX(Fall!$1:$1048576,MATCH(All!$A547,Fall!$A:$A,FALSE),MATCH(All!H$1,Fall!$1:$1,FALSE))),"")</f>
        <v/>
      </c>
      <c r="I547" t="str">
        <f>IFERROR(IF(INDEX(Fall!$1:$1048576,MATCH(All!$A547,Fall!$A:$A,FALSE),MATCH(All!I$1,Fall!$1:$1,FALSE))="","",INDEX(Fall!$1:$1048576,MATCH(All!$A547,Fall!$A:$A,FALSE),MATCH(All!I$1,Fall!$1:$1,FALSE))),"")</f>
        <v>1A</v>
      </c>
      <c r="J547" t="str">
        <f>IFERROR(IF(INDEX(Fall!$1:$1048576,MATCH(All!$A547,Fall!$A:$A,FALSE),MATCH(All!J$1,Fall!$1:$1,FALSE))="","",INDEX(Fall!$1:$1048576,MATCH(All!$A547,Fall!$A:$A,FALSE),MATCH(All!J$1,Fall!$1:$1,FALSE))),"")</f>
        <v/>
      </c>
      <c r="K547" t="str">
        <f>IFERROR(IF(INDEX(Fall!$1:$1048576,MATCH(All!$A547,Fall!$A:$A,FALSE),MATCH(All!K$1,Fall!$1:$1,FALSE))="","",INDEX(Fall!$1:$1048576,MATCH(All!$A547,Fall!$A:$A,FALSE),MATCH(All!K$1,Fall!$1:$1,FALSE))),"")</f>
        <v>2A</v>
      </c>
      <c r="L547" t="str">
        <f>IFERROR(IF(INDEX(Fall!$1:$1048576,MATCH(All!$A547,Fall!$A:$A,FALSE),MATCH(All!L$1,Fall!$1:$1,FALSE))="","",INDEX(Fall!$1:$1048576,MATCH(All!$A547,Fall!$A:$A,FALSE),MATCH(All!L$1,Fall!$1:$1,FALSE))),"")</f>
        <v/>
      </c>
      <c r="M547" t="str">
        <f>IFERROR(IF(INDEX(Fall!$1:$1048576,MATCH(All!$A547,Fall!$A:$A,FALSE),MATCH(All!M$1,Fall!$1:$1,FALSE))="","",INDEX(Fall!$1:$1048576,MATCH(All!$A547,Fall!$A:$A,FALSE),MATCH(All!M$1,Fall!$1:$1,FALSE))),"")</f>
        <v/>
      </c>
      <c r="O547" t="str">
        <f>IFERROR(IF(INDEX(Winter!$1:$1048576,MATCH(All!$A547,Winter!$A:$A,FALSE),MATCH(All!O$1,Winter!$1:$1,FALSE))="","",INDEX(Winter!$1:$1048576,MATCH(All!$A547,Winter!$A:$A,FALSE),MATCH(All!O$1,Winter!$1:$1,FALSE))),"")</f>
        <v>458.00 (755.70)</v>
      </c>
      <c r="P547" t="str">
        <f>IFERROR(IF(INDEX(Winter!$1:$1048576,MATCH(All!$A547,Winter!$A:$A,FALSE),MATCH(All!P$1,Winter!$1:$1,FALSE))="","",INDEX(Winter!$1:$1048576,MATCH(All!$A547,Winter!$A:$A,FALSE),MATCH(All!P$1,Winter!$1:$1,FALSE))),"")</f>
        <v>2A</v>
      </c>
      <c r="Q547" t="str">
        <f>IFERROR(IF(INDEX(Winter!$1:$1048576,MATCH(All!$A547,Winter!$A:$A,FALSE),MATCH(All!Q$1,Winter!$1:$1,FALSE))="","",INDEX(Winter!$1:$1048576,MATCH(All!$A547,Winter!$A:$A,FALSE),MATCH(All!Q$1,Winter!$1:$1,FALSE))),"")</f>
        <v/>
      </c>
      <c r="R547" t="str">
        <f>IFERROR(IF(INDEX(Winter!$1:$1048576,MATCH(All!$A547,Winter!$A:$A,FALSE),MATCH(All!R$1,Winter!$1:$1,FALSE))="","",INDEX(Winter!$1:$1048576,MATCH(All!$A547,Winter!$A:$A,FALSE),MATCH(All!R$1,Winter!$1:$1,FALSE))),"")</f>
        <v/>
      </c>
      <c r="S547" t="str">
        <f>IFERROR(IF(INDEX(Winter!$1:$1048576,MATCH(All!$A547,Winter!$A:$A,FALSE),MATCH(All!S$1,Winter!$1:$1,FALSE))="","",INDEX(Winter!$1:$1048576,MATCH(All!$A547,Winter!$A:$A,FALSE),MATCH(All!S$1,Winter!$1:$1,FALSE))),"")</f>
        <v/>
      </c>
      <c r="T547" t="str">
        <f>IFERROR(IF(INDEX(Winter!$1:$1048576,MATCH(All!$A547,Winter!$A:$A,FALSE),MATCH(All!T$1,Winter!$1:$1,FALSE))="","",INDEX(Winter!$1:$1048576,MATCH(All!$A547,Winter!$A:$A,FALSE),MATCH(All!T$1,Winter!$1:$1,FALSE))),"")</f>
        <v>2A</v>
      </c>
      <c r="U547" t="str">
        <f>IFERROR(IF(INDEX(Winter!$1:$1048576,MATCH(All!$A547,Winter!$A:$A,FALSE),MATCH(All!U$1,Winter!$1:$1,FALSE))="","",INDEX(Winter!$1:$1048576,MATCH(All!$A547,Winter!$A:$A,FALSE),MATCH(All!U$1,Winter!$1:$1,FALSE))),"")</f>
        <v>2A</v>
      </c>
      <c r="W547" t="str">
        <f>IFERROR(IF(INDEX(Spring!$1:$1048576,MATCH(All!$A547,Spring!$A:$A,FALSE),MATCH(All!W$1,Spring!$1:$1,FALSE))="","",INDEX(Spring!$1:$1048576,MATCH(All!$A547,Spring!$A:$A,FALSE),MATCH(All!W$1,Spring!$1:$1,FALSE))),"")</f>
        <v>458.00 (755.70)</v>
      </c>
      <c r="X547" t="str">
        <f>IFERROR(IF(INDEX(Spring!$1:$1048576,MATCH(All!$A547,Spring!$A:$A,FALSE),MATCH(All!X$1,Spring!$1:$1,FALSE))="","",INDEX(Spring!$1:$1048576,MATCH(All!$A547,Spring!$A:$A,FALSE),MATCH(All!X$1,Spring!$1:$1,FALSE))),"")</f>
        <v>2A</v>
      </c>
      <c r="Y547" t="str">
        <f>IFERROR(IF(INDEX(Spring!$1:$1048576,MATCH(All!$A547,Spring!$A:$A,FALSE),MATCH(All!Y$1,Spring!$1:$1,FALSE))="","",INDEX(Spring!$1:$1048576,MATCH(All!$A547,Spring!$A:$A,FALSE),MATCH(All!Y$1,Spring!$1:$1,FALSE))),"")</f>
        <v/>
      </c>
      <c r="Z547" t="str">
        <f>IFERROR(IF(INDEX(Spring!$1:$1048576,MATCH(All!$A547,Spring!$A:$A,FALSE),MATCH(All!Z$1,Spring!$1:$1,FALSE))="","",INDEX(Spring!$1:$1048576,MATCH(All!$A547,Spring!$A:$A,FALSE),MATCH(All!Z$1,Spring!$1:$1,FALSE))),"")</f>
        <v/>
      </c>
      <c r="AA547" t="str">
        <f>IFERROR(IF(INDEX(Spring!$1:$1048576,MATCH(All!$A547,Spring!$A:$A,FALSE),MATCH(All!AA$1,Spring!$1:$1,FALSE))="","",INDEX(Spring!$1:$1048576,MATCH(All!$A547,Spring!$A:$A,FALSE),MATCH(All!AA$1,Spring!$1:$1,FALSE))),"")</f>
        <v>1A</v>
      </c>
      <c r="AB547" t="str">
        <f>IFERROR(IF(INDEX(Spring!$1:$1048576,MATCH(All!$A547,Spring!$A:$A,FALSE),MATCH(All!AB$1,Spring!$1:$1,FALSE))="","",INDEX(Spring!$1:$1048576,MATCH(All!$A547,Spring!$A:$A,FALSE),MATCH(All!AB$1,Spring!$1:$1,FALSE))),"")</f>
        <v>2A</v>
      </c>
      <c r="AC547" t="str">
        <f>IFERROR(IF(INDEX(Spring!$1:$1048576,MATCH(All!$A547,Spring!$A:$A,FALSE),MATCH(All!AC$1,Spring!$1:$1,FALSE))="","",INDEX(Spring!$1:$1048576,MATCH(All!$A547,Spring!$A:$A,FALSE),MATCH(All!AC$1,Spring!$1:$1,FALSE))),"")</f>
        <v/>
      </c>
      <c r="AD547" t="str">
        <f>IFERROR(VLOOKUP(A547,'Flag Football'!A:A,1,FALSE),"")</f>
        <v/>
      </c>
      <c r="AE547" t="str">
        <f t="shared" si="8"/>
        <v/>
      </c>
    </row>
    <row r="548" spans="1:31" ht="15.75" thickBot="1" x14ac:dyDescent="0.3">
      <c r="A548" s="18" t="s">
        <v>643</v>
      </c>
      <c r="B548" s="38" t="str">
        <f>IFERROR(VLOOKUP(A548,'Public v Private'!A:G,3,FALSE),"")</f>
        <v>private</v>
      </c>
      <c r="C548" s="38">
        <f>IFERROR(VLOOKUP(A548,'Public v Private'!A:G,4,FALSE),"")</f>
        <v>2</v>
      </c>
      <c r="D548" s="38">
        <f>IFERROR(VLOOKUP(A548,'Public v Private'!A:G,5,FALSE),"")</f>
        <v>4</v>
      </c>
      <c r="E548" s="38"/>
      <c r="F548" s="40" t="str">
        <f>IFERROR(INDEX(Fall!$1:$1048576,MATCH(All!$A548,Fall!$A:$A,FALSE),MATCH(All!F$1,Fall!$1:$1,FALSE)),"N/A")</f>
        <v>1,624.00 (2,679.60)</v>
      </c>
      <c r="G548" t="str">
        <f>IFERROR(IF(INDEX(Fall!$1:$1048576,MATCH(All!$A548,Fall!$A:$A,FALSE),MATCH(All!G$1,Fall!$1:$1,FALSE))="","",INDEX(Fall!$1:$1048576,MATCH(All!$A548,Fall!$A:$A,FALSE),MATCH(All!G$1,Fall!$1:$1,FALSE))),"")</f>
        <v>3A</v>
      </c>
      <c r="H548" t="str">
        <f>IFERROR(IF(INDEX(Fall!$1:$1048576,MATCH(All!$A548,Fall!$A:$A,FALSE),MATCH(All!H$1,Fall!$1:$1,FALSE))="","",INDEX(Fall!$1:$1048576,MATCH(All!$A548,Fall!$A:$A,FALSE),MATCH(All!H$1,Fall!$1:$1,FALSE))),"")</f>
        <v/>
      </c>
      <c r="I548" t="str">
        <f>IFERROR(IF(INDEX(Fall!$1:$1048576,MATCH(All!$A548,Fall!$A:$A,FALSE),MATCH(All!I$1,Fall!$1:$1,FALSE))="","",INDEX(Fall!$1:$1048576,MATCH(All!$A548,Fall!$A:$A,FALSE),MATCH(All!I$1,Fall!$1:$1,FALSE))),"")</f>
        <v>3A</v>
      </c>
      <c r="J548" t="str">
        <f>IFERROR(IF(INDEX(Fall!$1:$1048576,MATCH(All!$A548,Fall!$A:$A,FALSE),MATCH(All!J$1,Fall!$1:$1,FALSE))="","",INDEX(Fall!$1:$1048576,MATCH(All!$A548,Fall!$A:$A,FALSE),MATCH(All!J$1,Fall!$1:$1,FALSE))),"")</f>
        <v/>
      </c>
      <c r="K548" t="str">
        <f>IFERROR(IF(INDEX(Fall!$1:$1048576,MATCH(All!$A548,Fall!$A:$A,FALSE),MATCH(All!K$1,Fall!$1:$1,FALSE))="","",INDEX(Fall!$1:$1048576,MATCH(All!$A548,Fall!$A:$A,FALSE),MATCH(All!K$1,Fall!$1:$1,FALSE))),"")</f>
        <v>3A</v>
      </c>
      <c r="L548" t="str">
        <f>IFERROR(IF(INDEX(Fall!$1:$1048576,MATCH(All!$A548,Fall!$A:$A,FALSE),MATCH(All!L$1,Fall!$1:$1,FALSE))="","",INDEX(Fall!$1:$1048576,MATCH(All!$A548,Fall!$A:$A,FALSE),MATCH(All!L$1,Fall!$1:$1,FALSE))),"")</f>
        <v/>
      </c>
      <c r="M548" t="str">
        <f>IFERROR(IF(INDEX(Fall!$1:$1048576,MATCH(All!$A548,Fall!$A:$A,FALSE),MATCH(All!M$1,Fall!$1:$1,FALSE))="","",INDEX(Fall!$1:$1048576,MATCH(All!$A548,Fall!$A:$A,FALSE),MATCH(All!M$1,Fall!$1:$1,FALSE))),"")</f>
        <v/>
      </c>
      <c r="O548" t="str">
        <f>IFERROR(IF(INDEX(Winter!$1:$1048576,MATCH(All!$A548,Winter!$A:$A,FALSE),MATCH(All!O$1,Winter!$1:$1,FALSE))="","",INDEX(Winter!$1:$1048576,MATCH(All!$A548,Winter!$A:$A,FALSE),MATCH(All!O$1,Winter!$1:$1,FALSE))),"")</f>
        <v>1,624.00 (2,679.60)</v>
      </c>
      <c r="P548" t="str">
        <f>IFERROR(IF(INDEX(Winter!$1:$1048576,MATCH(All!$A548,Winter!$A:$A,FALSE),MATCH(All!P$1,Winter!$1:$1,FALSE))="","",INDEX(Winter!$1:$1048576,MATCH(All!$A548,Winter!$A:$A,FALSE),MATCH(All!P$1,Winter!$1:$1,FALSE))),"")</f>
        <v>4A</v>
      </c>
      <c r="Q548" t="str">
        <f>IFERROR(IF(INDEX(Winter!$1:$1048576,MATCH(All!$A548,Winter!$A:$A,FALSE),MATCH(All!Q$1,Winter!$1:$1,FALSE))="","",INDEX(Winter!$1:$1048576,MATCH(All!$A548,Winter!$A:$A,FALSE),MATCH(All!Q$1,Winter!$1:$1,FALSE))),"")</f>
        <v/>
      </c>
      <c r="R548" t="str">
        <f>IFERROR(IF(INDEX(Winter!$1:$1048576,MATCH(All!$A548,Winter!$A:$A,FALSE),MATCH(All!R$1,Winter!$1:$1,FALSE))="","",INDEX(Winter!$1:$1048576,MATCH(All!$A548,Winter!$A:$A,FALSE),MATCH(All!R$1,Winter!$1:$1,FALSE))),"")</f>
        <v/>
      </c>
      <c r="S548" t="str">
        <f>IFERROR(IF(INDEX(Winter!$1:$1048576,MATCH(All!$A548,Winter!$A:$A,FALSE),MATCH(All!S$1,Winter!$1:$1,FALSE))="","",INDEX(Winter!$1:$1048576,MATCH(All!$A548,Winter!$A:$A,FALSE),MATCH(All!S$1,Winter!$1:$1,FALSE))),"")</f>
        <v/>
      </c>
      <c r="T548" t="str">
        <f>IFERROR(IF(INDEX(Winter!$1:$1048576,MATCH(All!$A548,Winter!$A:$A,FALSE),MATCH(All!T$1,Winter!$1:$1,FALSE))="","",INDEX(Winter!$1:$1048576,MATCH(All!$A548,Winter!$A:$A,FALSE),MATCH(All!T$1,Winter!$1:$1,FALSE))),"")</f>
        <v>2A</v>
      </c>
      <c r="U548" t="str">
        <f>IFERROR(IF(INDEX(Winter!$1:$1048576,MATCH(All!$A548,Winter!$A:$A,FALSE),MATCH(All!U$1,Winter!$1:$1,FALSE))="","",INDEX(Winter!$1:$1048576,MATCH(All!$A548,Winter!$A:$A,FALSE),MATCH(All!U$1,Winter!$1:$1,FALSE))),"")</f>
        <v>3A</v>
      </c>
      <c r="W548" t="str">
        <f>IFERROR(IF(INDEX(Spring!$1:$1048576,MATCH(All!$A548,Spring!$A:$A,FALSE),MATCH(All!W$1,Spring!$1:$1,FALSE))="","",INDEX(Spring!$1:$1048576,MATCH(All!$A548,Spring!$A:$A,FALSE),MATCH(All!W$1,Spring!$1:$1,FALSE))),"")</f>
        <v>1,624.00 (2,679.60)</v>
      </c>
      <c r="X548" t="str">
        <f>IFERROR(IF(INDEX(Spring!$1:$1048576,MATCH(All!$A548,Spring!$A:$A,FALSE),MATCH(All!X$1,Spring!$1:$1,FALSE))="","",INDEX(Spring!$1:$1048576,MATCH(All!$A548,Spring!$A:$A,FALSE),MATCH(All!X$1,Spring!$1:$1,FALSE))),"")</f>
        <v>4A</v>
      </c>
      <c r="Y548" t="str">
        <f>IFERROR(IF(INDEX(Spring!$1:$1048576,MATCH(All!$A548,Spring!$A:$A,FALSE),MATCH(All!Y$1,Spring!$1:$1,FALSE))="","",INDEX(Spring!$1:$1048576,MATCH(All!$A548,Spring!$A:$A,FALSE),MATCH(All!Y$1,Spring!$1:$1,FALSE))),"")</f>
        <v/>
      </c>
      <c r="Z548" t="str">
        <f>IFERROR(IF(INDEX(Spring!$1:$1048576,MATCH(All!$A548,Spring!$A:$A,FALSE),MATCH(All!Z$1,Spring!$1:$1,FALSE))="","",INDEX(Spring!$1:$1048576,MATCH(All!$A548,Spring!$A:$A,FALSE),MATCH(All!Z$1,Spring!$1:$1,FALSE))),"")</f>
        <v/>
      </c>
      <c r="AA548" t="str">
        <f>IFERROR(IF(INDEX(Spring!$1:$1048576,MATCH(All!$A548,Spring!$A:$A,FALSE),MATCH(All!AA$1,Spring!$1:$1,FALSE))="","",INDEX(Spring!$1:$1048576,MATCH(All!$A548,Spring!$A:$A,FALSE),MATCH(All!AA$1,Spring!$1:$1,FALSE))),"")</f>
        <v>2A</v>
      </c>
      <c r="AB548" t="str">
        <f>IFERROR(IF(INDEX(Spring!$1:$1048576,MATCH(All!$A548,Spring!$A:$A,FALSE),MATCH(All!AB$1,Spring!$1:$1,FALSE))="","",INDEX(Spring!$1:$1048576,MATCH(All!$A548,Spring!$A:$A,FALSE),MATCH(All!AB$1,Spring!$1:$1,FALSE))),"")</f>
        <v>3A</v>
      </c>
      <c r="AC548" t="str">
        <f>IFERROR(IF(INDEX(Spring!$1:$1048576,MATCH(All!$A548,Spring!$A:$A,FALSE),MATCH(All!AC$1,Spring!$1:$1,FALSE))="","",INDEX(Spring!$1:$1048576,MATCH(All!$A548,Spring!$A:$A,FALSE),MATCH(All!AC$1,Spring!$1:$1,FALSE))),"")</f>
        <v/>
      </c>
      <c r="AD548" t="str">
        <f>IFERROR(VLOOKUP(A548,'Flag Football'!A:A,1,FALSE),"")</f>
        <v/>
      </c>
      <c r="AE548" t="str">
        <f t="shared" si="8"/>
        <v/>
      </c>
    </row>
    <row r="549" spans="1:31" ht="15.75" thickBot="1" x14ac:dyDescent="0.3">
      <c r="A549" s="20" t="s">
        <v>645</v>
      </c>
      <c r="B549" s="38">
        <f>IFERROR(VLOOKUP(A549,'Public v Private'!A:G,3,FALSE),"")</f>
        <v>0</v>
      </c>
      <c r="C549" s="38">
        <f>IFERROR(VLOOKUP(A549,'Public v Private'!A:G,4,FALSE),"")</f>
        <v>0</v>
      </c>
      <c r="D549" s="38">
        <f>IFERROR(VLOOKUP(A549,'Public v Private'!A:G,5,FALSE),"")</f>
        <v>0</v>
      </c>
      <c r="E549" s="38"/>
      <c r="F549" s="40">
        <f>IFERROR(INDEX(Fall!$1:$1048576,MATCH(All!$A549,Fall!$A:$A,FALSE),MATCH(All!F$1,Fall!$1:$1,FALSE)),"N/A")</f>
        <v>187</v>
      </c>
      <c r="G549" t="str">
        <f>IFERROR(IF(INDEX(Fall!$1:$1048576,MATCH(All!$A549,Fall!$A:$A,FALSE),MATCH(All!G$1,Fall!$1:$1,FALSE))="","",INDEX(Fall!$1:$1048576,MATCH(All!$A549,Fall!$A:$A,FALSE),MATCH(All!G$1,Fall!$1:$1,FALSE))),"")</f>
        <v/>
      </c>
      <c r="H549" t="str">
        <f>IFERROR(IF(INDEX(Fall!$1:$1048576,MATCH(All!$A549,Fall!$A:$A,FALSE),MATCH(All!H$1,Fall!$1:$1,FALSE))="","",INDEX(Fall!$1:$1048576,MATCH(All!$A549,Fall!$A:$A,FALSE),MATCH(All!H$1,Fall!$1:$1,FALSE))),"")</f>
        <v/>
      </c>
      <c r="I549" t="str">
        <f>IFERROR(IF(INDEX(Fall!$1:$1048576,MATCH(All!$A549,Fall!$A:$A,FALSE),MATCH(All!I$1,Fall!$1:$1,FALSE))="","",INDEX(Fall!$1:$1048576,MATCH(All!$A549,Fall!$A:$A,FALSE),MATCH(All!I$1,Fall!$1:$1,FALSE))),"")</f>
        <v/>
      </c>
      <c r="J549" t="str">
        <f>IFERROR(IF(INDEX(Fall!$1:$1048576,MATCH(All!$A549,Fall!$A:$A,FALSE),MATCH(All!J$1,Fall!$1:$1,FALSE))="","",INDEX(Fall!$1:$1048576,MATCH(All!$A549,Fall!$A:$A,FALSE),MATCH(All!J$1,Fall!$1:$1,FALSE))),"")</f>
        <v/>
      </c>
      <c r="K549" t="str">
        <f>IFERROR(IF(INDEX(Fall!$1:$1048576,MATCH(All!$A549,Fall!$A:$A,FALSE),MATCH(All!K$1,Fall!$1:$1,FALSE))="","",INDEX(Fall!$1:$1048576,MATCH(All!$A549,Fall!$A:$A,FALSE),MATCH(All!K$1,Fall!$1:$1,FALSE))),"")</f>
        <v/>
      </c>
      <c r="L549" t="str">
        <f>IFERROR(IF(INDEX(Fall!$1:$1048576,MATCH(All!$A549,Fall!$A:$A,FALSE),MATCH(All!L$1,Fall!$1:$1,FALSE))="","",INDEX(Fall!$1:$1048576,MATCH(All!$A549,Fall!$A:$A,FALSE),MATCH(All!L$1,Fall!$1:$1,FALSE))),"")</f>
        <v/>
      </c>
      <c r="M549" t="str">
        <f>IFERROR(IF(INDEX(Fall!$1:$1048576,MATCH(All!$A549,Fall!$A:$A,FALSE),MATCH(All!M$1,Fall!$1:$1,FALSE))="","",INDEX(Fall!$1:$1048576,MATCH(All!$A549,Fall!$A:$A,FALSE),MATCH(All!M$1,Fall!$1:$1,FALSE))),"")</f>
        <v>1A</v>
      </c>
      <c r="O549">
        <f>IFERROR(IF(INDEX(Winter!$1:$1048576,MATCH(All!$A549,Winter!$A:$A,FALSE),MATCH(All!O$1,Winter!$1:$1,FALSE))="","",INDEX(Winter!$1:$1048576,MATCH(All!$A549,Winter!$A:$A,FALSE),MATCH(All!O$1,Winter!$1:$1,FALSE))),"")</f>
        <v>187</v>
      </c>
      <c r="P549" t="str">
        <f>IFERROR(IF(INDEX(Winter!$1:$1048576,MATCH(All!$A549,Winter!$A:$A,FALSE),MATCH(All!P$1,Winter!$1:$1,FALSE))="","",INDEX(Winter!$1:$1048576,MATCH(All!$A549,Winter!$A:$A,FALSE),MATCH(All!P$1,Winter!$1:$1,FALSE))),"")</f>
        <v>1A</v>
      </c>
      <c r="Q549" t="str">
        <f>IFERROR(IF(INDEX(Winter!$1:$1048576,MATCH(All!$A549,Winter!$A:$A,FALSE),MATCH(All!Q$1,Winter!$1:$1,FALSE))="","",INDEX(Winter!$1:$1048576,MATCH(All!$A549,Winter!$A:$A,FALSE),MATCH(All!Q$1,Winter!$1:$1,FALSE))),"")</f>
        <v>1A</v>
      </c>
      <c r="R549" t="str">
        <f>IFERROR(IF(INDEX(Winter!$1:$1048576,MATCH(All!$A549,Winter!$A:$A,FALSE),MATCH(All!R$1,Winter!$1:$1,FALSE))="","",INDEX(Winter!$1:$1048576,MATCH(All!$A549,Winter!$A:$A,FALSE),MATCH(All!R$1,Winter!$1:$1,FALSE))),"")</f>
        <v/>
      </c>
      <c r="S549" t="str">
        <f>IFERROR(IF(INDEX(Winter!$1:$1048576,MATCH(All!$A549,Winter!$A:$A,FALSE),MATCH(All!S$1,Winter!$1:$1,FALSE))="","",INDEX(Winter!$1:$1048576,MATCH(All!$A549,Winter!$A:$A,FALSE),MATCH(All!S$1,Winter!$1:$1,FALSE))),"")</f>
        <v/>
      </c>
      <c r="T549" t="str">
        <f>IFERROR(IF(INDEX(Winter!$1:$1048576,MATCH(All!$A549,Winter!$A:$A,FALSE),MATCH(All!T$1,Winter!$1:$1,FALSE))="","",INDEX(Winter!$1:$1048576,MATCH(All!$A549,Winter!$A:$A,FALSE),MATCH(All!T$1,Winter!$1:$1,FALSE))),"")</f>
        <v>1A</v>
      </c>
      <c r="U549" t="str">
        <f>IFERROR(IF(INDEX(Winter!$1:$1048576,MATCH(All!$A549,Winter!$A:$A,FALSE),MATCH(All!U$1,Winter!$1:$1,FALSE))="","",INDEX(Winter!$1:$1048576,MATCH(All!$A549,Winter!$A:$A,FALSE),MATCH(All!U$1,Winter!$1:$1,FALSE))),"")</f>
        <v/>
      </c>
      <c r="W549">
        <f>IFERROR(IF(INDEX(Spring!$1:$1048576,MATCH(All!$A549,Spring!$A:$A,FALSE),MATCH(All!W$1,Spring!$1:$1,FALSE))="","",INDEX(Spring!$1:$1048576,MATCH(All!$A549,Spring!$A:$A,FALSE),MATCH(All!W$1,Spring!$1:$1,FALSE))),"")</f>
        <v>187</v>
      </c>
      <c r="X549" t="str">
        <f>IFERROR(IF(INDEX(Spring!$1:$1048576,MATCH(All!$A549,Spring!$A:$A,FALSE),MATCH(All!X$1,Spring!$1:$1,FALSE))="","",INDEX(Spring!$1:$1048576,MATCH(All!$A549,Spring!$A:$A,FALSE),MATCH(All!X$1,Spring!$1:$1,FALSE))),"")</f>
        <v>1A</v>
      </c>
      <c r="Y549" t="str">
        <f>IFERROR(IF(INDEX(Spring!$1:$1048576,MATCH(All!$A549,Spring!$A:$A,FALSE),MATCH(All!Y$1,Spring!$1:$1,FALSE))="","",INDEX(Spring!$1:$1048576,MATCH(All!$A549,Spring!$A:$A,FALSE),MATCH(All!Y$1,Spring!$1:$1,FALSE))),"")</f>
        <v>1A</v>
      </c>
      <c r="Z549" t="str">
        <f>IFERROR(IF(INDEX(Spring!$1:$1048576,MATCH(All!$A549,Spring!$A:$A,FALSE),MATCH(All!Z$1,Spring!$1:$1,FALSE))="","",INDEX(Spring!$1:$1048576,MATCH(All!$A549,Spring!$A:$A,FALSE),MATCH(All!Z$1,Spring!$1:$1,FALSE))),"")</f>
        <v/>
      </c>
      <c r="AA549" t="str">
        <f>IFERROR(IF(INDEX(Spring!$1:$1048576,MATCH(All!$A549,Spring!$A:$A,FALSE),MATCH(All!AA$1,Spring!$1:$1,FALSE))="","",INDEX(Spring!$1:$1048576,MATCH(All!$A549,Spring!$A:$A,FALSE),MATCH(All!AA$1,Spring!$1:$1,FALSE))),"")</f>
        <v/>
      </c>
      <c r="AB549" t="str">
        <f>IFERROR(IF(INDEX(Spring!$1:$1048576,MATCH(All!$A549,Spring!$A:$A,FALSE),MATCH(All!AB$1,Spring!$1:$1,FALSE))="","",INDEX(Spring!$1:$1048576,MATCH(All!$A549,Spring!$A:$A,FALSE),MATCH(All!AB$1,Spring!$1:$1,FALSE))),"")</f>
        <v>1A</v>
      </c>
      <c r="AC549" t="str">
        <f>IFERROR(IF(INDEX(Spring!$1:$1048576,MATCH(All!$A549,Spring!$A:$A,FALSE),MATCH(All!AC$1,Spring!$1:$1,FALSE))="","",INDEX(Spring!$1:$1048576,MATCH(All!$A549,Spring!$A:$A,FALSE),MATCH(All!AC$1,Spring!$1:$1,FALSE))),"")</f>
        <v>1A</v>
      </c>
      <c r="AD549" t="str">
        <f>IFERROR(VLOOKUP(A549,'Flag Football'!A:A,1,FALSE),"")</f>
        <v/>
      </c>
      <c r="AE549" t="str">
        <f t="shared" si="8"/>
        <v/>
      </c>
    </row>
    <row r="550" spans="1:31" ht="15.75" thickBot="1" x14ac:dyDescent="0.3">
      <c r="A550" s="18" t="s">
        <v>959</v>
      </c>
      <c r="B550" s="38" t="str">
        <f>IFERROR(VLOOKUP(A550,'Public v Private'!A:G,3,FALSE),"")</f>
        <v>private</v>
      </c>
      <c r="C550" s="38">
        <f>IFERROR(VLOOKUP(A550,'Public v Private'!A:G,4,FALSE),"")</f>
        <v>5</v>
      </c>
      <c r="D550" s="38">
        <f>IFERROR(VLOOKUP(A550,'Public v Private'!A:G,5,FALSE),"")</f>
        <v>15</v>
      </c>
      <c r="E550" s="38"/>
      <c r="F550" s="40" t="str">
        <f>IFERROR(INDEX(Fall!$1:$1048576,MATCH(All!$A550,Fall!$A:$A,FALSE),MATCH(All!F$1,Fall!$1:$1,FALSE)),"N/A")</f>
        <v>44.00 (72.60)</v>
      </c>
      <c r="G550" t="str">
        <f>IFERROR(IF(INDEX(Fall!$1:$1048576,MATCH(All!$A550,Fall!$A:$A,FALSE),MATCH(All!G$1,Fall!$1:$1,FALSE))="","",INDEX(Fall!$1:$1048576,MATCH(All!$A550,Fall!$A:$A,FALSE),MATCH(All!G$1,Fall!$1:$1,FALSE))),"")</f>
        <v/>
      </c>
      <c r="H550" t="str">
        <f>IFERROR(IF(INDEX(Fall!$1:$1048576,MATCH(All!$A550,Fall!$A:$A,FALSE),MATCH(All!H$1,Fall!$1:$1,FALSE))="","",INDEX(Fall!$1:$1048576,MATCH(All!$A550,Fall!$A:$A,FALSE),MATCH(All!H$1,Fall!$1:$1,FALSE))),"")</f>
        <v/>
      </c>
      <c r="I550" t="str">
        <f>IFERROR(IF(INDEX(Fall!$1:$1048576,MATCH(All!$A550,Fall!$A:$A,FALSE),MATCH(All!I$1,Fall!$1:$1,FALSE))="","",INDEX(Fall!$1:$1048576,MATCH(All!$A550,Fall!$A:$A,FALSE),MATCH(All!I$1,Fall!$1:$1,FALSE))),"")</f>
        <v/>
      </c>
      <c r="J550" t="str">
        <f>IFERROR(IF(INDEX(Fall!$1:$1048576,MATCH(All!$A550,Fall!$A:$A,FALSE),MATCH(All!J$1,Fall!$1:$1,FALSE))="","",INDEX(Fall!$1:$1048576,MATCH(All!$A550,Fall!$A:$A,FALSE),MATCH(All!J$1,Fall!$1:$1,FALSE))),"")</f>
        <v/>
      </c>
      <c r="K550" t="str">
        <f>IFERROR(IF(INDEX(Fall!$1:$1048576,MATCH(All!$A550,Fall!$A:$A,FALSE),MATCH(All!K$1,Fall!$1:$1,FALSE))="","",INDEX(Fall!$1:$1048576,MATCH(All!$A550,Fall!$A:$A,FALSE),MATCH(All!K$1,Fall!$1:$1,FALSE))),"")</f>
        <v>1A</v>
      </c>
      <c r="L550" t="str">
        <f>IFERROR(IF(INDEX(Fall!$1:$1048576,MATCH(All!$A550,Fall!$A:$A,FALSE),MATCH(All!L$1,Fall!$1:$1,FALSE))="","",INDEX(Fall!$1:$1048576,MATCH(All!$A550,Fall!$A:$A,FALSE),MATCH(All!L$1,Fall!$1:$1,FALSE))),"")</f>
        <v/>
      </c>
      <c r="M550" t="str">
        <f>IFERROR(IF(INDEX(Fall!$1:$1048576,MATCH(All!$A550,Fall!$A:$A,FALSE),MATCH(All!M$1,Fall!$1:$1,FALSE))="","",INDEX(Fall!$1:$1048576,MATCH(All!$A550,Fall!$A:$A,FALSE),MATCH(All!M$1,Fall!$1:$1,FALSE))),"")</f>
        <v>1A</v>
      </c>
      <c r="O550" t="str">
        <f>IFERROR(IF(INDEX(Winter!$1:$1048576,MATCH(All!$A550,Winter!$A:$A,FALSE),MATCH(All!O$1,Winter!$1:$1,FALSE))="","",INDEX(Winter!$1:$1048576,MATCH(All!$A550,Winter!$A:$A,FALSE),MATCH(All!O$1,Winter!$1:$1,FALSE))),"")</f>
        <v>44.00 (72.60)</v>
      </c>
      <c r="P550" t="str">
        <f>IFERROR(IF(INDEX(Winter!$1:$1048576,MATCH(All!$A550,Winter!$A:$A,FALSE),MATCH(All!P$1,Winter!$1:$1,FALSE))="","",INDEX(Winter!$1:$1048576,MATCH(All!$A550,Winter!$A:$A,FALSE),MATCH(All!P$1,Winter!$1:$1,FALSE))),"")</f>
        <v>1A</v>
      </c>
      <c r="Q550" t="str">
        <f>IFERROR(IF(INDEX(Winter!$1:$1048576,MATCH(All!$A550,Winter!$A:$A,FALSE),MATCH(All!Q$1,Winter!$1:$1,FALSE))="","",INDEX(Winter!$1:$1048576,MATCH(All!$A550,Winter!$A:$A,FALSE),MATCH(All!Q$1,Winter!$1:$1,FALSE))),"")</f>
        <v>1A</v>
      </c>
      <c r="R550" t="str">
        <f>IFERROR(IF(INDEX(Winter!$1:$1048576,MATCH(All!$A550,Winter!$A:$A,FALSE),MATCH(All!R$1,Winter!$1:$1,FALSE))="","",INDEX(Winter!$1:$1048576,MATCH(All!$A550,Winter!$A:$A,FALSE),MATCH(All!R$1,Winter!$1:$1,FALSE))),"")</f>
        <v/>
      </c>
      <c r="S550" t="str">
        <f>IFERROR(IF(INDEX(Winter!$1:$1048576,MATCH(All!$A550,Winter!$A:$A,FALSE),MATCH(All!S$1,Winter!$1:$1,FALSE))="","",INDEX(Winter!$1:$1048576,MATCH(All!$A550,Winter!$A:$A,FALSE),MATCH(All!S$1,Winter!$1:$1,FALSE))),"")</f>
        <v/>
      </c>
      <c r="T550" t="str">
        <f>IFERROR(IF(INDEX(Winter!$1:$1048576,MATCH(All!$A550,Winter!$A:$A,FALSE),MATCH(All!T$1,Winter!$1:$1,FALSE))="","",INDEX(Winter!$1:$1048576,MATCH(All!$A550,Winter!$A:$A,FALSE),MATCH(All!T$1,Winter!$1:$1,FALSE))),"")</f>
        <v/>
      </c>
      <c r="U550" t="str">
        <f>IFERROR(IF(INDEX(Winter!$1:$1048576,MATCH(All!$A550,Winter!$A:$A,FALSE),MATCH(All!U$1,Winter!$1:$1,FALSE))="","",INDEX(Winter!$1:$1048576,MATCH(All!$A550,Winter!$A:$A,FALSE),MATCH(All!U$1,Winter!$1:$1,FALSE))),"")</f>
        <v/>
      </c>
      <c r="W550" t="str">
        <f>IFERROR(IF(INDEX(Spring!$1:$1048576,MATCH(All!$A550,Spring!$A:$A,FALSE),MATCH(All!W$1,Spring!$1:$1,FALSE))="","",INDEX(Spring!$1:$1048576,MATCH(All!$A550,Spring!$A:$A,FALSE),MATCH(All!W$1,Spring!$1:$1,FALSE))),"")</f>
        <v/>
      </c>
      <c r="X550" t="str">
        <f>IFERROR(IF(INDEX(Spring!$1:$1048576,MATCH(All!$A550,Spring!$A:$A,FALSE),MATCH(All!X$1,Spring!$1:$1,FALSE))="","",INDEX(Spring!$1:$1048576,MATCH(All!$A550,Spring!$A:$A,FALSE),MATCH(All!X$1,Spring!$1:$1,FALSE))),"")</f>
        <v/>
      </c>
      <c r="Y550" t="str">
        <f>IFERROR(IF(INDEX(Spring!$1:$1048576,MATCH(All!$A550,Spring!$A:$A,FALSE),MATCH(All!Y$1,Spring!$1:$1,FALSE))="","",INDEX(Spring!$1:$1048576,MATCH(All!$A550,Spring!$A:$A,FALSE),MATCH(All!Y$1,Spring!$1:$1,FALSE))),"")</f>
        <v/>
      </c>
      <c r="Z550" t="str">
        <f>IFERROR(IF(INDEX(Spring!$1:$1048576,MATCH(All!$A550,Spring!$A:$A,FALSE),MATCH(All!Z$1,Spring!$1:$1,FALSE))="","",INDEX(Spring!$1:$1048576,MATCH(All!$A550,Spring!$A:$A,FALSE),MATCH(All!Z$1,Spring!$1:$1,FALSE))),"")</f>
        <v/>
      </c>
      <c r="AA550" t="str">
        <f>IFERROR(IF(INDEX(Spring!$1:$1048576,MATCH(All!$A550,Spring!$A:$A,FALSE),MATCH(All!AA$1,Spring!$1:$1,FALSE))="","",INDEX(Spring!$1:$1048576,MATCH(All!$A550,Spring!$A:$A,FALSE),MATCH(All!AA$1,Spring!$1:$1,FALSE))),"")</f>
        <v/>
      </c>
      <c r="AB550" t="str">
        <f>IFERROR(IF(INDEX(Spring!$1:$1048576,MATCH(All!$A550,Spring!$A:$A,FALSE),MATCH(All!AB$1,Spring!$1:$1,FALSE))="","",INDEX(Spring!$1:$1048576,MATCH(All!$A550,Spring!$A:$A,FALSE),MATCH(All!AB$1,Spring!$1:$1,FALSE))),"")</f>
        <v/>
      </c>
      <c r="AC550" t="str">
        <f>IFERROR(IF(INDEX(Spring!$1:$1048576,MATCH(All!$A550,Spring!$A:$A,FALSE),MATCH(All!AC$1,Spring!$1:$1,FALSE))="","",INDEX(Spring!$1:$1048576,MATCH(All!$A550,Spring!$A:$A,FALSE),MATCH(All!AC$1,Spring!$1:$1,FALSE))),"")</f>
        <v/>
      </c>
      <c r="AD550" t="str">
        <f>IFERROR(VLOOKUP(A550,'Flag Football'!A:A,1,FALSE),"")</f>
        <v/>
      </c>
      <c r="AE550" t="str">
        <f t="shared" si="8"/>
        <v/>
      </c>
    </row>
    <row r="551" spans="1:31" ht="15.75" thickBot="1" x14ac:dyDescent="0.3">
      <c r="A551" s="20" t="s">
        <v>646</v>
      </c>
      <c r="B551" s="38">
        <f>IFERROR(VLOOKUP(A551,'Public v Private'!A:G,3,FALSE),"")</f>
        <v>0</v>
      </c>
      <c r="C551" s="38">
        <f>IFERROR(VLOOKUP(A551,'Public v Private'!A:G,4,FALSE),"")</f>
        <v>0</v>
      </c>
      <c r="D551" s="38">
        <f>IFERROR(VLOOKUP(A551,'Public v Private'!A:G,5,FALSE),"")</f>
        <v>0</v>
      </c>
      <c r="E551" s="38"/>
      <c r="F551" s="40">
        <f>IFERROR(INDEX(Fall!$1:$1048576,MATCH(All!$A551,Fall!$A:$A,FALSE),MATCH(All!F$1,Fall!$1:$1,FALSE)),"N/A")</f>
        <v>1520</v>
      </c>
      <c r="G551" t="str">
        <f>IFERROR(IF(INDEX(Fall!$1:$1048576,MATCH(All!$A551,Fall!$A:$A,FALSE),MATCH(All!G$1,Fall!$1:$1,FALSE))="","",INDEX(Fall!$1:$1048576,MATCH(All!$A551,Fall!$A:$A,FALSE),MATCH(All!G$1,Fall!$1:$1,FALSE))),"")</f>
        <v>2A</v>
      </c>
      <c r="H551" t="str">
        <f>IFERROR(IF(INDEX(Fall!$1:$1048576,MATCH(All!$A551,Fall!$A:$A,FALSE),MATCH(All!H$1,Fall!$1:$1,FALSE))="","",INDEX(Fall!$1:$1048576,MATCH(All!$A551,Fall!$A:$A,FALSE),MATCH(All!H$1,Fall!$1:$1,FALSE))),"")</f>
        <v>2A</v>
      </c>
      <c r="I551" t="str">
        <f>IFERROR(IF(INDEX(Fall!$1:$1048576,MATCH(All!$A551,Fall!$A:$A,FALSE),MATCH(All!I$1,Fall!$1:$1,FALSE))="","",INDEX(Fall!$1:$1048576,MATCH(All!$A551,Fall!$A:$A,FALSE),MATCH(All!I$1,Fall!$1:$1,FALSE))),"")</f>
        <v>3A</v>
      </c>
      <c r="J551" t="str">
        <f>IFERROR(IF(INDEX(Fall!$1:$1048576,MATCH(All!$A551,Fall!$A:$A,FALSE),MATCH(All!J$1,Fall!$1:$1,FALSE))="","",INDEX(Fall!$1:$1048576,MATCH(All!$A551,Fall!$A:$A,FALSE),MATCH(All!J$1,Fall!$1:$1,FALSE))),"")</f>
        <v>2A</v>
      </c>
      <c r="K551" t="str">
        <f>IFERROR(IF(INDEX(Fall!$1:$1048576,MATCH(All!$A551,Fall!$A:$A,FALSE),MATCH(All!K$1,Fall!$1:$1,FALSE))="","",INDEX(Fall!$1:$1048576,MATCH(All!$A551,Fall!$A:$A,FALSE),MATCH(All!K$1,Fall!$1:$1,FALSE))),"")</f>
        <v>2A</v>
      </c>
      <c r="L551" t="str">
        <f>IFERROR(IF(INDEX(Fall!$1:$1048576,MATCH(All!$A551,Fall!$A:$A,FALSE),MATCH(All!L$1,Fall!$1:$1,FALSE))="","",INDEX(Fall!$1:$1048576,MATCH(All!$A551,Fall!$A:$A,FALSE),MATCH(All!L$1,Fall!$1:$1,FALSE))),"")</f>
        <v>2A</v>
      </c>
      <c r="M551" t="str">
        <f>IFERROR(IF(INDEX(Fall!$1:$1048576,MATCH(All!$A551,Fall!$A:$A,FALSE),MATCH(All!M$1,Fall!$1:$1,FALSE))="","",INDEX(Fall!$1:$1048576,MATCH(All!$A551,Fall!$A:$A,FALSE),MATCH(All!M$1,Fall!$1:$1,FALSE))),"")</f>
        <v>3A</v>
      </c>
      <c r="O551">
        <f>IFERROR(IF(INDEX(Winter!$1:$1048576,MATCH(All!$A551,Winter!$A:$A,FALSE),MATCH(All!O$1,Winter!$1:$1,FALSE))="","",INDEX(Winter!$1:$1048576,MATCH(All!$A551,Winter!$A:$A,FALSE),MATCH(All!O$1,Winter!$1:$1,FALSE))),"")</f>
        <v>1520</v>
      </c>
      <c r="P551" t="str">
        <f>IFERROR(IF(INDEX(Winter!$1:$1048576,MATCH(All!$A551,Winter!$A:$A,FALSE),MATCH(All!P$1,Winter!$1:$1,FALSE))="","",INDEX(Winter!$1:$1048576,MATCH(All!$A551,Winter!$A:$A,FALSE),MATCH(All!P$1,Winter!$1:$1,FALSE))),"")</f>
        <v>3A</v>
      </c>
      <c r="Q551" t="str">
        <f>IFERROR(IF(INDEX(Winter!$1:$1048576,MATCH(All!$A551,Winter!$A:$A,FALSE),MATCH(All!Q$1,Winter!$1:$1,FALSE))="","",INDEX(Winter!$1:$1048576,MATCH(All!$A551,Winter!$A:$A,FALSE),MATCH(All!Q$1,Winter!$1:$1,FALSE))),"")</f>
        <v>3A</v>
      </c>
      <c r="R551" t="str">
        <f>IFERROR(IF(INDEX(Winter!$1:$1048576,MATCH(All!$A551,Winter!$A:$A,FALSE),MATCH(All!R$1,Winter!$1:$1,FALSE))="","",INDEX(Winter!$1:$1048576,MATCH(All!$A551,Winter!$A:$A,FALSE),MATCH(All!R$1,Winter!$1:$1,FALSE))),"")</f>
        <v>2A</v>
      </c>
      <c r="S551" t="str">
        <f>IFERROR(IF(INDEX(Winter!$1:$1048576,MATCH(All!$A551,Winter!$A:$A,FALSE),MATCH(All!S$1,Winter!$1:$1,FALSE))="","",INDEX(Winter!$1:$1048576,MATCH(All!$A551,Winter!$A:$A,FALSE),MATCH(All!S$1,Winter!$1:$1,FALSE))),"")</f>
        <v>2A</v>
      </c>
      <c r="T551" t="str">
        <f>IFERROR(IF(INDEX(Winter!$1:$1048576,MATCH(All!$A551,Winter!$A:$A,FALSE),MATCH(All!T$1,Winter!$1:$1,FALSE))="","",INDEX(Winter!$1:$1048576,MATCH(All!$A551,Winter!$A:$A,FALSE),MATCH(All!T$1,Winter!$1:$1,FALSE))),"")</f>
        <v/>
      </c>
      <c r="U551" t="str">
        <f>IFERROR(IF(INDEX(Winter!$1:$1048576,MATCH(All!$A551,Winter!$A:$A,FALSE),MATCH(All!U$1,Winter!$1:$1,FALSE))="","",INDEX(Winter!$1:$1048576,MATCH(All!$A551,Winter!$A:$A,FALSE),MATCH(All!U$1,Winter!$1:$1,FALSE))),"")</f>
        <v>2A</v>
      </c>
      <c r="W551">
        <f>IFERROR(IF(INDEX(Spring!$1:$1048576,MATCH(All!$A551,Spring!$A:$A,FALSE),MATCH(All!W$1,Spring!$1:$1,FALSE))="","",INDEX(Spring!$1:$1048576,MATCH(All!$A551,Spring!$A:$A,FALSE),MATCH(All!W$1,Spring!$1:$1,FALSE))),"")</f>
        <v>1520</v>
      </c>
      <c r="X551" t="str">
        <f>IFERROR(IF(INDEX(Spring!$1:$1048576,MATCH(All!$A551,Spring!$A:$A,FALSE),MATCH(All!X$1,Spring!$1:$1,FALSE))="","",INDEX(Spring!$1:$1048576,MATCH(All!$A551,Spring!$A:$A,FALSE),MATCH(All!X$1,Spring!$1:$1,FALSE))),"")</f>
        <v>3A</v>
      </c>
      <c r="Y551" t="str">
        <f>IFERROR(IF(INDEX(Spring!$1:$1048576,MATCH(All!$A551,Spring!$A:$A,FALSE),MATCH(All!Y$1,Spring!$1:$1,FALSE))="","",INDEX(Spring!$1:$1048576,MATCH(All!$A551,Spring!$A:$A,FALSE),MATCH(All!Y$1,Spring!$1:$1,FALSE))),"")</f>
        <v>3A</v>
      </c>
      <c r="Z551" t="str">
        <f>IFERROR(IF(INDEX(Spring!$1:$1048576,MATCH(All!$A551,Spring!$A:$A,FALSE),MATCH(All!Z$1,Spring!$1:$1,FALSE))="","",INDEX(Spring!$1:$1048576,MATCH(All!$A551,Spring!$A:$A,FALSE),MATCH(All!Z$1,Spring!$1:$1,FALSE))),"")</f>
        <v>2A</v>
      </c>
      <c r="AA551" t="str">
        <f>IFERROR(IF(INDEX(Spring!$1:$1048576,MATCH(All!$A551,Spring!$A:$A,FALSE),MATCH(All!AA$1,Spring!$1:$1,FALSE))="","",INDEX(Spring!$1:$1048576,MATCH(All!$A551,Spring!$A:$A,FALSE),MATCH(All!AA$1,Spring!$1:$1,FALSE))),"")</f>
        <v>2A</v>
      </c>
      <c r="AB551" t="str">
        <f>IFERROR(IF(INDEX(Spring!$1:$1048576,MATCH(All!$A551,Spring!$A:$A,FALSE),MATCH(All!AB$1,Spring!$1:$1,FALSE))="","",INDEX(Spring!$1:$1048576,MATCH(All!$A551,Spring!$A:$A,FALSE),MATCH(All!AB$1,Spring!$1:$1,FALSE))),"")</f>
        <v>3A</v>
      </c>
      <c r="AC551" t="str">
        <f>IFERROR(IF(INDEX(Spring!$1:$1048576,MATCH(All!$A551,Spring!$A:$A,FALSE),MATCH(All!AC$1,Spring!$1:$1,FALSE))="","",INDEX(Spring!$1:$1048576,MATCH(All!$A551,Spring!$A:$A,FALSE),MATCH(All!AC$1,Spring!$1:$1,FALSE))),"")</f>
        <v>3A</v>
      </c>
      <c r="AD551" t="str">
        <f>IFERROR(VLOOKUP(A551,'Flag Football'!A:A,1,FALSE),"")</f>
        <v/>
      </c>
      <c r="AE551" t="str">
        <f t="shared" si="8"/>
        <v/>
      </c>
    </row>
    <row r="552" spans="1:31" ht="15.75" thickBot="1" x14ac:dyDescent="0.3">
      <c r="A552" s="18" t="s">
        <v>647</v>
      </c>
      <c r="B552" s="38">
        <f>IFERROR(VLOOKUP(A552,'Public v Private'!A:G,3,FALSE),"")</f>
        <v>0</v>
      </c>
      <c r="C552" s="38">
        <f>IFERROR(VLOOKUP(A552,'Public v Private'!A:G,4,FALSE),"")</f>
        <v>0</v>
      </c>
      <c r="D552" s="38">
        <f>IFERROR(VLOOKUP(A552,'Public v Private'!A:G,5,FALSE),"")</f>
        <v>0</v>
      </c>
      <c r="E552" s="38"/>
      <c r="F552" s="40">
        <f>IFERROR(INDEX(Fall!$1:$1048576,MATCH(All!$A552,Fall!$A:$A,FALSE),MATCH(All!F$1,Fall!$1:$1,FALSE)),"N/A")</f>
        <v>2021</v>
      </c>
      <c r="G552" t="str">
        <f>IFERROR(IF(INDEX(Fall!$1:$1048576,MATCH(All!$A552,Fall!$A:$A,FALSE),MATCH(All!G$1,Fall!$1:$1,FALSE))="","",INDEX(Fall!$1:$1048576,MATCH(All!$A552,Fall!$A:$A,FALSE),MATCH(All!G$1,Fall!$1:$1,FALSE))),"")</f>
        <v>3A</v>
      </c>
      <c r="H552" t="str">
        <f>IFERROR(IF(INDEX(Fall!$1:$1048576,MATCH(All!$A552,Fall!$A:$A,FALSE),MATCH(All!H$1,Fall!$1:$1,FALSE))="","",INDEX(Fall!$1:$1048576,MATCH(All!$A552,Fall!$A:$A,FALSE),MATCH(All!H$1,Fall!$1:$1,FALSE))),"")</f>
        <v>3A</v>
      </c>
      <c r="I552" t="str">
        <f>IFERROR(IF(INDEX(Fall!$1:$1048576,MATCH(All!$A552,Fall!$A:$A,FALSE),MATCH(All!I$1,Fall!$1:$1,FALSE))="","",INDEX(Fall!$1:$1048576,MATCH(All!$A552,Fall!$A:$A,FALSE),MATCH(All!I$1,Fall!$1:$1,FALSE))),"")</f>
        <v>3A</v>
      </c>
      <c r="J552" t="str">
        <f>IFERROR(IF(INDEX(Fall!$1:$1048576,MATCH(All!$A552,Fall!$A:$A,FALSE),MATCH(All!J$1,Fall!$1:$1,FALSE))="","",INDEX(Fall!$1:$1048576,MATCH(All!$A552,Fall!$A:$A,FALSE),MATCH(All!J$1,Fall!$1:$1,FALSE))),"")</f>
        <v>2A</v>
      </c>
      <c r="K552" t="str">
        <f>IFERROR(IF(INDEX(Fall!$1:$1048576,MATCH(All!$A552,Fall!$A:$A,FALSE),MATCH(All!K$1,Fall!$1:$1,FALSE))="","",INDEX(Fall!$1:$1048576,MATCH(All!$A552,Fall!$A:$A,FALSE),MATCH(All!K$1,Fall!$1:$1,FALSE))),"")</f>
        <v>3A</v>
      </c>
      <c r="L552" t="str">
        <f>IFERROR(IF(INDEX(Fall!$1:$1048576,MATCH(All!$A552,Fall!$A:$A,FALSE),MATCH(All!L$1,Fall!$1:$1,FALSE))="","",INDEX(Fall!$1:$1048576,MATCH(All!$A552,Fall!$A:$A,FALSE),MATCH(All!L$1,Fall!$1:$1,FALSE))),"")</f>
        <v>2A</v>
      </c>
      <c r="M552" t="str">
        <f>IFERROR(IF(INDEX(Fall!$1:$1048576,MATCH(All!$A552,Fall!$A:$A,FALSE),MATCH(All!M$1,Fall!$1:$1,FALSE))="","",INDEX(Fall!$1:$1048576,MATCH(All!$A552,Fall!$A:$A,FALSE),MATCH(All!M$1,Fall!$1:$1,FALSE))),"")</f>
        <v>4A</v>
      </c>
      <c r="O552">
        <f>IFERROR(IF(INDEX(Winter!$1:$1048576,MATCH(All!$A552,Winter!$A:$A,FALSE),MATCH(All!O$1,Winter!$1:$1,FALSE))="","",INDEX(Winter!$1:$1048576,MATCH(All!$A552,Winter!$A:$A,FALSE),MATCH(All!O$1,Winter!$1:$1,FALSE))),"")</f>
        <v>2021</v>
      </c>
      <c r="P552" t="str">
        <f>IFERROR(IF(INDEX(Winter!$1:$1048576,MATCH(All!$A552,Winter!$A:$A,FALSE),MATCH(All!P$1,Winter!$1:$1,FALSE))="","",INDEX(Winter!$1:$1048576,MATCH(All!$A552,Winter!$A:$A,FALSE),MATCH(All!P$1,Winter!$1:$1,FALSE))),"")</f>
        <v>4A</v>
      </c>
      <c r="Q552" t="str">
        <f>IFERROR(IF(INDEX(Winter!$1:$1048576,MATCH(All!$A552,Winter!$A:$A,FALSE),MATCH(All!Q$1,Winter!$1:$1,FALSE))="","",INDEX(Winter!$1:$1048576,MATCH(All!$A552,Winter!$A:$A,FALSE),MATCH(All!Q$1,Winter!$1:$1,FALSE))),"")</f>
        <v>4A</v>
      </c>
      <c r="R552" t="str">
        <f>IFERROR(IF(INDEX(Winter!$1:$1048576,MATCH(All!$A552,Winter!$A:$A,FALSE),MATCH(All!R$1,Winter!$1:$1,FALSE))="","",INDEX(Winter!$1:$1048576,MATCH(All!$A552,Winter!$A:$A,FALSE),MATCH(All!R$1,Winter!$1:$1,FALSE))),"")</f>
        <v>3A</v>
      </c>
      <c r="S552" t="str">
        <f>IFERROR(IF(INDEX(Winter!$1:$1048576,MATCH(All!$A552,Winter!$A:$A,FALSE),MATCH(All!S$1,Winter!$1:$1,FALSE))="","",INDEX(Winter!$1:$1048576,MATCH(All!$A552,Winter!$A:$A,FALSE),MATCH(All!S$1,Winter!$1:$1,FALSE))),"")</f>
        <v>3A</v>
      </c>
      <c r="T552" t="str">
        <f>IFERROR(IF(INDEX(Winter!$1:$1048576,MATCH(All!$A552,Winter!$A:$A,FALSE),MATCH(All!T$1,Winter!$1:$1,FALSE))="","",INDEX(Winter!$1:$1048576,MATCH(All!$A552,Winter!$A:$A,FALSE),MATCH(All!T$1,Winter!$1:$1,FALSE))),"")</f>
        <v>2A</v>
      </c>
      <c r="U552" t="str">
        <f>IFERROR(IF(INDEX(Winter!$1:$1048576,MATCH(All!$A552,Winter!$A:$A,FALSE),MATCH(All!U$1,Winter!$1:$1,FALSE))="","",INDEX(Winter!$1:$1048576,MATCH(All!$A552,Winter!$A:$A,FALSE),MATCH(All!U$1,Winter!$1:$1,FALSE))),"")</f>
        <v>3A</v>
      </c>
      <c r="W552">
        <f>IFERROR(IF(INDEX(Spring!$1:$1048576,MATCH(All!$A552,Spring!$A:$A,FALSE),MATCH(All!W$1,Spring!$1:$1,FALSE))="","",INDEX(Spring!$1:$1048576,MATCH(All!$A552,Spring!$A:$A,FALSE),MATCH(All!W$1,Spring!$1:$1,FALSE))),"")</f>
        <v>2021</v>
      </c>
      <c r="X552" t="str">
        <f>IFERROR(IF(INDEX(Spring!$1:$1048576,MATCH(All!$A552,Spring!$A:$A,FALSE),MATCH(All!X$1,Spring!$1:$1,FALSE))="","",INDEX(Spring!$1:$1048576,MATCH(All!$A552,Spring!$A:$A,FALSE),MATCH(All!X$1,Spring!$1:$1,FALSE))),"")</f>
        <v>4A</v>
      </c>
      <c r="Y552" t="str">
        <f>IFERROR(IF(INDEX(Spring!$1:$1048576,MATCH(All!$A552,Spring!$A:$A,FALSE),MATCH(All!Y$1,Spring!$1:$1,FALSE))="","",INDEX(Spring!$1:$1048576,MATCH(All!$A552,Spring!$A:$A,FALSE),MATCH(All!Y$1,Spring!$1:$1,FALSE))),"")</f>
        <v>4A</v>
      </c>
      <c r="Z552" t="str">
        <f>IFERROR(IF(INDEX(Spring!$1:$1048576,MATCH(All!$A552,Spring!$A:$A,FALSE),MATCH(All!Z$1,Spring!$1:$1,FALSE))="","",INDEX(Spring!$1:$1048576,MATCH(All!$A552,Spring!$A:$A,FALSE),MATCH(All!Z$1,Spring!$1:$1,FALSE))),"")</f>
        <v>3A</v>
      </c>
      <c r="AA552" t="str">
        <f>IFERROR(IF(INDEX(Spring!$1:$1048576,MATCH(All!$A552,Spring!$A:$A,FALSE),MATCH(All!AA$1,Spring!$1:$1,FALSE))="","",INDEX(Spring!$1:$1048576,MATCH(All!$A552,Spring!$A:$A,FALSE),MATCH(All!AA$1,Spring!$1:$1,FALSE))),"")</f>
        <v>2A</v>
      </c>
      <c r="AB552" t="str">
        <f>IFERROR(IF(INDEX(Spring!$1:$1048576,MATCH(All!$A552,Spring!$A:$A,FALSE),MATCH(All!AB$1,Spring!$1:$1,FALSE))="","",INDEX(Spring!$1:$1048576,MATCH(All!$A552,Spring!$A:$A,FALSE),MATCH(All!AB$1,Spring!$1:$1,FALSE))),"")</f>
        <v>3A</v>
      </c>
      <c r="AC552" t="str">
        <f>IFERROR(IF(INDEX(Spring!$1:$1048576,MATCH(All!$A552,Spring!$A:$A,FALSE),MATCH(All!AC$1,Spring!$1:$1,FALSE))="","",INDEX(Spring!$1:$1048576,MATCH(All!$A552,Spring!$A:$A,FALSE),MATCH(All!AC$1,Spring!$1:$1,FALSE))),"")</f>
        <v>3A</v>
      </c>
      <c r="AD552" t="str">
        <f>IFERROR(VLOOKUP(A552,'Flag Football'!A:A,1,FALSE),"")</f>
        <v/>
      </c>
      <c r="AE552" t="str">
        <f t="shared" si="8"/>
        <v/>
      </c>
    </row>
    <row r="553" spans="1:31" ht="15.75" thickBot="1" x14ac:dyDescent="0.3">
      <c r="A553" s="20" t="s">
        <v>648</v>
      </c>
      <c r="B553" s="38" t="str">
        <f>IFERROR(VLOOKUP(A553,'Public v Private'!A:G,3,FALSE),"")</f>
        <v>no</v>
      </c>
      <c r="C553" s="38">
        <f>IFERROR(VLOOKUP(A553,'Public v Private'!A:G,4,FALSE),"")</f>
        <v>0</v>
      </c>
      <c r="D553" s="38">
        <f>IFERROR(VLOOKUP(A553,'Public v Private'!A:G,5,FALSE),"")</f>
        <v>0</v>
      </c>
      <c r="E553" s="38"/>
      <c r="F553" s="40" t="str">
        <f>IFERROR(INDEX(Fall!$1:$1048576,MATCH(All!$A553,Fall!$A:$A,FALSE),MATCH(All!F$1,Fall!$1:$1,FALSE)),"N/A")</f>
        <v>625.00 (1,031.25)</v>
      </c>
      <c r="G553" t="str">
        <f>IFERROR(IF(INDEX(Fall!$1:$1048576,MATCH(All!$A553,Fall!$A:$A,FALSE),MATCH(All!G$1,Fall!$1:$1,FALSE))="","",INDEX(Fall!$1:$1048576,MATCH(All!$A553,Fall!$A:$A,FALSE),MATCH(All!G$1,Fall!$1:$1,FALSE))),"")</f>
        <v>2A</v>
      </c>
      <c r="H553" t="str">
        <f>IFERROR(IF(INDEX(Fall!$1:$1048576,MATCH(All!$A553,Fall!$A:$A,FALSE),MATCH(All!H$1,Fall!$1:$1,FALSE))="","",INDEX(Fall!$1:$1048576,MATCH(All!$A553,Fall!$A:$A,FALSE),MATCH(All!H$1,Fall!$1:$1,FALSE))),"")</f>
        <v>2A</v>
      </c>
      <c r="I553" t="str">
        <f>IFERROR(IF(INDEX(Fall!$1:$1048576,MATCH(All!$A553,Fall!$A:$A,FALSE),MATCH(All!I$1,Fall!$1:$1,FALSE))="","",INDEX(Fall!$1:$1048576,MATCH(All!$A553,Fall!$A:$A,FALSE),MATCH(All!I$1,Fall!$1:$1,FALSE))),"")</f>
        <v>2A</v>
      </c>
      <c r="J553" t="str">
        <f>IFERROR(IF(INDEX(Fall!$1:$1048576,MATCH(All!$A553,Fall!$A:$A,FALSE),MATCH(All!J$1,Fall!$1:$1,FALSE))="","",INDEX(Fall!$1:$1048576,MATCH(All!$A553,Fall!$A:$A,FALSE),MATCH(All!J$1,Fall!$1:$1,FALSE))),"")</f>
        <v>2A</v>
      </c>
      <c r="K553" t="str">
        <f>IFERROR(IF(INDEX(Fall!$1:$1048576,MATCH(All!$A553,Fall!$A:$A,FALSE),MATCH(All!K$1,Fall!$1:$1,FALSE))="","",INDEX(Fall!$1:$1048576,MATCH(All!$A553,Fall!$A:$A,FALSE),MATCH(All!K$1,Fall!$1:$1,FALSE))),"")</f>
        <v>2A</v>
      </c>
      <c r="L553" t="str">
        <f>IFERROR(IF(INDEX(Fall!$1:$1048576,MATCH(All!$A553,Fall!$A:$A,FALSE),MATCH(All!L$1,Fall!$1:$1,FALSE))="","",INDEX(Fall!$1:$1048576,MATCH(All!$A553,Fall!$A:$A,FALSE),MATCH(All!L$1,Fall!$1:$1,FALSE))),"")</f>
        <v>1A</v>
      </c>
      <c r="M553" t="str">
        <f>IFERROR(IF(INDEX(Fall!$1:$1048576,MATCH(All!$A553,Fall!$A:$A,FALSE),MATCH(All!M$1,Fall!$1:$1,FALSE))="","",INDEX(Fall!$1:$1048576,MATCH(All!$A553,Fall!$A:$A,FALSE),MATCH(All!M$1,Fall!$1:$1,FALSE))),"")</f>
        <v>3A</v>
      </c>
      <c r="O553" t="str">
        <f>IFERROR(IF(INDEX(Winter!$1:$1048576,MATCH(All!$A553,Winter!$A:$A,FALSE),MATCH(All!O$1,Winter!$1:$1,FALSE))="","",INDEX(Winter!$1:$1048576,MATCH(All!$A553,Winter!$A:$A,FALSE),MATCH(All!O$1,Winter!$1:$1,FALSE))),"")</f>
        <v>625.00 (1,031.25)</v>
      </c>
      <c r="P553" t="str">
        <f>IFERROR(IF(INDEX(Winter!$1:$1048576,MATCH(All!$A553,Winter!$A:$A,FALSE),MATCH(All!P$1,Winter!$1:$1,FALSE))="","",INDEX(Winter!$1:$1048576,MATCH(All!$A553,Winter!$A:$A,FALSE),MATCH(All!P$1,Winter!$1:$1,FALSE))),"")</f>
        <v>3A</v>
      </c>
      <c r="Q553" t="str">
        <f>IFERROR(IF(INDEX(Winter!$1:$1048576,MATCH(All!$A553,Winter!$A:$A,FALSE),MATCH(All!Q$1,Winter!$1:$1,FALSE))="","",INDEX(Winter!$1:$1048576,MATCH(All!$A553,Winter!$A:$A,FALSE),MATCH(All!Q$1,Winter!$1:$1,FALSE))),"")</f>
        <v>2A</v>
      </c>
      <c r="R553" t="str">
        <f>IFERROR(IF(INDEX(Winter!$1:$1048576,MATCH(All!$A553,Winter!$A:$A,FALSE),MATCH(All!R$1,Winter!$1:$1,FALSE))="","",INDEX(Winter!$1:$1048576,MATCH(All!$A553,Winter!$A:$A,FALSE),MATCH(All!R$1,Winter!$1:$1,FALSE))),"")</f>
        <v>2A</v>
      </c>
      <c r="S553" t="str">
        <f>IFERROR(IF(INDEX(Winter!$1:$1048576,MATCH(All!$A553,Winter!$A:$A,FALSE),MATCH(All!S$1,Winter!$1:$1,FALSE))="","",INDEX(Winter!$1:$1048576,MATCH(All!$A553,Winter!$A:$A,FALSE),MATCH(All!S$1,Winter!$1:$1,FALSE))),"")</f>
        <v/>
      </c>
      <c r="T553" t="str">
        <f>IFERROR(IF(INDEX(Winter!$1:$1048576,MATCH(All!$A553,Winter!$A:$A,FALSE),MATCH(All!T$1,Winter!$1:$1,FALSE))="","",INDEX(Winter!$1:$1048576,MATCH(All!$A553,Winter!$A:$A,FALSE),MATCH(All!T$1,Winter!$1:$1,FALSE))),"")</f>
        <v>2A</v>
      </c>
      <c r="U553" t="str">
        <f>IFERROR(IF(INDEX(Winter!$1:$1048576,MATCH(All!$A553,Winter!$A:$A,FALSE),MATCH(All!U$1,Winter!$1:$1,FALSE))="","",INDEX(Winter!$1:$1048576,MATCH(All!$A553,Winter!$A:$A,FALSE),MATCH(All!U$1,Winter!$1:$1,FALSE))),"")</f>
        <v>1A</v>
      </c>
      <c r="W553" t="str">
        <f>IFERROR(IF(INDEX(Spring!$1:$1048576,MATCH(All!$A553,Spring!$A:$A,FALSE),MATCH(All!W$1,Spring!$1:$1,FALSE))="","",INDEX(Spring!$1:$1048576,MATCH(All!$A553,Spring!$A:$A,FALSE),MATCH(All!W$1,Spring!$1:$1,FALSE))),"")</f>
        <v>625.00 (1,031.25)</v>
      </c>
      <c r="X553" t="str">
        <f>IFERROR(IF(INDEX(Spring!$1:$1048576,MATCH(All!$A553,Spring!$A:$A,FALSE),MATCH(All!X$1,Spring!$1:$1,FALSE))="","",INDEX(Spring!$1:$1048576,MATCH(All!$A553,Spring!$A:$A,FALSE),MATCH(All!X$1,Spring!$1:$1,FALSE))),"")</f>
        <v>3A</v>
      </c>
      <c r="Y553" t="str">
        <f>IFERROR(IF(INDEX(Spring!$1:$1048576,MATCH(All!$A553,Spring!$A:$A,FALSE),MATCH(All!Y$1,Spring!$1:$1,FALSE))="","",INDEX(Spring!$1:$1048576,MATCH(All!$A553,Spring!$A:$A,FALSE),MATCH(All!Y$1,Spring!$1:$1,FALSE))),"")</f>
        <v>3A</v>
      </c>
      <c r="Z553" t="str">
        <f>IFERROR(IF(INDEX(Spring!$1:$1048576,MATCH(All!$A553,Spring!$A:$A,FALSE),MATCH(All!Z$1,Spring!$1:$1,FALSE))="","",INDEX(Spring!$1:$1048576,MATCH(All!$A553,Spring!$A:$A,FALSE),MATCH(All!Z$1,Spring!$1:$1,FALSE))),"")</f>
        <v>2A</v>
      </c>
      <c r="AA553" t="str">
        <f>IFERROR(IF(INDEX(Spring!$1:$1048576,MATCH(All!$A553,Spring!$A:$A,FALSE),MATCH(All!AA$1,Spring!$1:$1,FALSE))="","",INDEX(Spring!$1:$1048576,MATCH(All!$A553,Spring!$A:$A,FALSE),MATCH(All!AA$1,Spring!$1:$1,FALSE))),"")</f>
        <v>1A</v>
      </c>
      <c r="AB553" t="str">
        <f>IFERROR(IF(INDEX(Spring!$1:$1048576,MATCH(All!$A553,Spring!$A:$A,FALSE),MATCH(All!AB$1,Spring!$1:$1,FALSE))="","",INDEX(Spring!$1:$1048576,MATCH(All!$A553,Spring!$A:$A,FALSE),MATCH(All!AB$1,Spring!$1:$1,FALSE))),"")</f>
        <v>2A</v>
      </c>
      <c r="AC553" t="str">
        <f>IFERROR(IF(INDEX(Spring!$1:$1048576,MATCH(All!$A553,Spring!$A:$A,FALSE),MATCH(All!AC$1,Spring!$1:$1,FALSE))="","",INDEX(Spring!$1:$1048576,MATCH(All!$A553,Spring!$A:$A,FALSE),MATCH(All!AC$1,Spring!$1:$1,FALSE))),"")</f>
        <v>3A</v>
      </c>
      <c r="AD553" t="str">
        <f>IFERROR(VLOOKUP(A553,'Flag Football'!A:A,1,FALSE),"")</f>
        <v/>
      </c>
      <c r="AE553" t="str">
        <f t="shared" si="8"/>
        <v/>
      </c>
    </row>
    <row r="554" spans="1:31" ht="15.75" thickBot="1" x14ac:dyDescent="0.3">
      <c r="A554" s="18" t="s">
        <v>649</v>
      </c>
      <c r="B554" s="38">
        <f>IFERROR(VLOOKUP(A554,'Public v Private'!A:G,3,FALSE),"")</f>
        <v>0</v>
      </c>
      <c r="C554" s="38">
        <f>IFERROR(VLOOKUP(A554,'Public v Private'!A:G,4,FALSE),"")</f>
        <v>0</v>
      </c>
      <c r="D554" s="38">
        <f>IFERROR(VLOOKUP(A554,'Public v Private'!A:G,5,FALSE),"")</f>
        <v>0</v>
      </c>
      <c r="E554" s="38"/>
      <c r="F554" s="40">
        <f>IFERROR(INDEX(Fall!$1:$1048576,MATCH(All!$A554,Fall!$A:$A,FALSE),MATCH(All!F$1,Fall!$1:$1,FALSE)),"N/A")</f>
        <v>955</v>
      </c>
      <c r="G554" t="str">
        <f>IFERROR(IF(INDEX(Fall!$1:$1048576,MATCH(All!$A554,Fall!$A:$A,FALSE),MATCH(All!G$1,Fall!$1:$1,FALSE))="","",INDEX(Fall!$1:$1048576,MATCH(All!$A554,Fall!$A:$A,FALSE),MATCH(All!G$1,Fall!$1:$1,FALSE))),"")</f>
        <v>2A</v>
      </c>
      <c r="H554" t="str">
        <f>IFERROR(IF(INDEX(Fall!$1:$1048576,MATCH(All!$A554,Fall!$A:$A,FALSE),MATCH(All!H$1,Fall!$1:$1,FALSE))="","",INDEX(Fall!$1:$1048576,MATCH(All!$A554,Fall!$A:$A,FALSE),MATCH(All!H$1,Fall!$1:$1,FALSE))),"")</f>
        <v>2A</v>
      </c>
      <c r="I554" t="str">
        <f>IFERROR(IF(INDEX(Fall!$1:$1048576,MATCH(All!$A554,Fall!$A:$A,FALSE),MATCH(All!I$1,Fall!$1:$1,FALSE))="","",INDEX(Fall!$1:$1048576,MATCH(All!$A554,Fall!$A:$A,FALSE),MATCH(All!I$1,Fall!$1:$1,FALSE))),"")</f>
        <v/>
      </c>
      <c r="J554" t="str">
        <f>IFERROR(IF(INDEX(Fall!$1:$1048576,MATCH(All!$A554,Fall!$A:$A,FALSE),MATCH(All!J$1,Fall!$1:$1,FALSE))="","",INDEX(Fall!$1:$1048576,MATCH(All!$A554,Fall!$A:$A,FALSE),MATCH(All!J$1,Fall!$1:$1,FALSE))),"")</f>
        <v/>
      </c>
      <c r="K554" t="str">
        <f>IFERROR(IF(INDEX(Fall!$1:$1048576,MATCH(All!$A554,Fall!$A:$A,FALSE),MATCH(All!K$1,Fall!$1:$1,FALSE))="","",INDEX(Fall!$1:$1048576,MATCH(All!$A554,Fall!$A:$A,FALSE),MATCH(All!K$1,Fall!$1:$1,FALSE))),"")</f>
        <v>2A</v>
      </c>
      <c r="L554" t="str">
        <f>IFERROR(IF(INDEX(Fall!$1:$1048576,MATCH(All!$A554,Fall!$A:$A,FALSE),MATCH(All!L$1,Fall!$1:$1,FALSE))="","",INDEX(Fall!$1:$1048576,MATCH(All!$A554,Fall!$A:$A,FALSE),MATCH(All!L$1,Fall!$1:$1,FALSE))),"")</f>
        <v>1A</v>
      </c>
      <c r="M554" t="str">
        <f>IFERROR(IF(INDEX(Fall!$1:$1048576,MATCH(All!$A554,Fall!$A:$A,FALSE),MATCH(All!M$1,Fall!$1:$1,FALSE))="","",INDEX(Fall!$1:$1048576,MATCH(All!$A554,Fall!$A:$A,FALSE),MATCH(All!M$1,Fall!$1:$1,FALSE))),"")</f>
        <v>3A</v>
      </c>
      <c r="O554">
        <f>IFERROR(IF(INDEX(Winter!$1:$1048576,MATCH(All!$A554,Winter!$A:$A,FALSE),MATCH(All!O$1,Winter!$1:$1,FALSE))="","",INDEX(Winter!$1:$1048576,MATCH(All!$A554,Winter!$A:$A,FALSE),MATCH(All!O$1,Winter!$1:$1,FALSE))),"")</f>
        <v>955</v>
      </c>
      <c r="P554" t="str">
        <f>IFERROR(IF(INDEX(Winter!$1:$1048576,MATCH(All!$A554,Winter!$A:$A,FALSE),MATCH(All!P$1,Winter!$1:$1,FALSE))="","",INDEX(Winter!$1:$1048576,MATCH(All!$A554,Winter!$A:$A,FALSE),MATCH(All!P$1,Winter!$1:$1,FALSE))),"")</f>
        <v>3A</v>
      </c>
      <c r="Q554" t="str">
        <f>IFERROR(IF(INDEX(Winter!$1:$1048576,MATCH(All!$A554,Winter!$A:$A,FALSE),MATCH(All!Q$1,Winter!$1:$1,FALSE))="","",INDEX(Winter!$1:$1048576,MATCH(All!$A554,Winter!$A:$A,FALSE),MATCH(All!Q$1,Winter!$1:$1,FALSE))),"")</f>
        <v>3A</v>
      </c>
      <c r="R554" t="str">
        <f>IFERROR(IF(INDEX(Winter!$1:$1048576,MATCH(All!$A554,Winter!$A:$A,FALSE),MATCH(All!R$1,Winter!$1:$1,FALSE))="","",INDEX(Winter!$1:$1048576,MATCH(All!$A554,Winter!$A:$A,FALSE),MATCH(All!R$1,Winter!$1:$1,FALSE))),"")</f>
        <v>2A</v>
      </c>
      <c r="S554" t="str">
        <f>IFERROR(IF(INDEX(Winter!$1:$1048576,MATCH(All!$A554,Winter!$A:$A,FALSE),MATCH(All!S$1,Winter!$1:$1,FALSE))="","",INDEX(Winter!$1:$1048576,MATCH(All!$A554,Winter!$A:$A,FALSE),MATCH(All!S$1,Winter!$1:$1,FALSE))),"")</f>
        <v>1A</v>
      </c>
      <c r="T554" t="str">
        <f>IFERROR(IF(INDEX(Winter!$1:$1048576,MATCH(All!$A554,Winter!$A:$A,FALSE),MATCH(All!T$1,Winter!$1:$1,FALSE))="","",INDEX(Winter!$1:$1048576,MATCH(All!$A554,Winter!$A:$A,FALSE),MATCH(All!T$1,Winter!$1:$1,FALSE))),"")</f>
        <v/>
      </c>
      <c r="U554" t="str">
        <f>IFERROR(IF(INDEX(Winter!$1:$1048576,MATCH(All!$A554,Winter!$A:$A,FALSE),MATCH(All!U$1,Winter!$1:$1,FALSE))="","",INDEX(Winter!$1:$1048576,MATCH(All!$A554,Winter!$A:$A,FALSE),MATCH(All!U$1,Winter!$1:$1,FALSE))),"")</f>
        <v>2A</v>
      </c>
      <c r="W554">
        <f>IFERROR(IF(INDEX(Spring!$1:$1048576,MATCH(All!$A554,Spring!$A:$A,FALSE),MATCH(All!W$1,Spring!$1:$1,FALSE))="","",INDEX(Spring!$1:$1048576,MATCH(All!$A554,Spring!$A:$A,FALSE),MATCH(All!W$1,Spring!$1:$1,FALSE))),"")</f>
        <v>955</v>
      </c>
      <c r="X554" t="str">
        <f>IFERROR(IF(INDEX(Spring!$1:$1048576,MATCH(All!$A554,Spring!$A:$A,FALSE),MATCH(All!X$1,Spring!$1:$1,FALSE))="","",INDEX(Spring!$1:$1048576,MATCH(All!$A554,Spring!$A:$A,FALSE),MATCH(All!X$1,Spring!$1:$1,FALSE))),"")</f>
        <v>3A</v>
      </c>
      <c r="Y554" t="str">
        <f>IFERROR(IF(INDEX(Spring!$1:$1048576,MATCH(All!$A554,Spring!$A:$A,FALSE),MATCH(All!Y$1,Spring!$1:$1,FALSE))="","",INDEX(Spring!$1:$1048576,MATCH(All!$A554,Spring!$A:$A,FALSE),MATCH(All!Y$1,Spring!$1:$1,FALSE))),"")</f>
        <v>3A</v>
      </c>
      <c r="Z554" t="str">
        <f>IFERROR(IF(INDEX(Spring!$1:$1048576,MATCH(All!$A554,Spring!$A:$A,FALSE),MATCH(All!Z$1,Spring!$1:$1,FALSE))="","",INDEX(Spring!$1:$1048576,MATCH(All!$A554,Spring!$A:$A,FALSE),MATCH(All!Z$1,Spring!$1:$1,FALSE))),"")</f>
        <v>2A</v>
      </c>
      <c r="AA554" t="str">
        <f>IFERROR(IF(INDEX(Spring!$1:$1048576,MATCH(All!$A554,Spring!$A:$A,FALSE),MATCH(All!AA$1,Spring!$1:$1,FALSE))="","",INDEX(Spring!$1:$1048576,MATCH(All!$A554,Spring!$A:$A,FALSE),MATCH(All!AA$1,Spring!$1:$1,FALSE))),"")</f>
        <v/>
      </c>
      <c r="AB554" t="str">
        <f>IFERROR(IF(INDEX(Spring!$1:$1048576,MATCH(All!$A554,Spring!$A:$A,FALSE),MATCH(All!AB$1,Spring!$1:$1,FALSE))="","",INDEX(Spring!$1:$1048576,MATCH(All!$A554,Spring!$A:$A,FALSE),MATCH(All!AB$1,Spring!$1:$1,FALSE))),"")</f>
        <v>2A</v>
      </c>
      <c r="AC554" t="str">
        <f>IFERROR(IF(INDEX(Spring!$1:$1048576,MATCH(All!$A554,Spring!$A:$A,FALSE),MATCH(All!AC$1,Spring!$1:$1,FALSE))="","",INDEX(Spring!$1:$1048576,MATCH(All!$A554,Spring!$A:$A,FALSE),MATCH(All!AC$1,Spring!$1:$1,FALSE))),"")</f>
        <v>2A</v>
      </c>
      <c r="AD554" t="str">
        <f>IFERROR(VLOOKUP(A554,'Flag Football'!A:A,1,FALSE),"")</f>
        <v/>
      </c>
      <c r="AE554" t="str">
        <f t="shared" si="8"/>
        <v/>
      </c>
    </row>
    <row r="555" spans="1:31" ht="15.75" thickBot="1" x14ac:dyDescent="0.3">
      <c r="A555" s="20" t="s">
        <v>650</v>
      </c>
      <c r="B555" s="38">
        <f>IFERROR(VLOOKUP(A555,'Public v Private'!A:G,3,FALSE),"")</f>
        <v>0</v>
      </c>
      <c r="C555" s="38">
        <f>IFERROR(VLOOKUP(A555,'Public v Private'!A:G,4,FALSE),"")</f>
        <v>0</v>
      </c>
      <c r="D555" s="38">
        <f>IFERROR(VLOOKUP(A555,'Public v Private'!A:G,5,FALSE),"")</f>
        <v>0</v>
      </c>
      <c r="E555" s="38"/>
      <c r="F555" s="40">
        <f>IFERROR(INDEX(Fall!$1:$1048576,MATCH(All!$A555,Fall!$A:$A,FALSE),MATCH(All!F$1,Fall!$1:$1,FALSE)),"N/A")</f>
        <v>184</v>
      </c>
      <c r="G555" t="str">
        <f>IFERROR(IF(INDEX(Fall!$1:$1048576,MATCH(All!$A555,Fall!$A:$A,FALSE),MATCH(All!G$1,Fall!$1:$1,FALSE))="","",INDEX(Fall!$1:$1048576,MATCH(All!$A555,Fall!$A:$A,FALSE),MATCH(All!G$1,Fall!$1:$1,FALSE))),"")</f>
        <v>1A</v>
      </c>
      <c r="H555" t="str">
        <f>IFERROR(IF(INDEX(Fall!$1:$1048576,MATCH(All!$A555,Fall!$A:$A,FALSE),MATCH(All!H$1,Fall!$1:$1,FALSE))="","",INDEX(Fall!$1:$1048576,MATCH(All!$A555,Fall!$A:$A,FALSE),MATCH(All!H$1,Fall!$1:$1,FALSE))),"")</f>
        <v/>
      </c>
      <c r="I555" t="str">
        <f>IFERROR(IF(INDEX(Fall!$1:$1048576,MATCH(All!$A555,Fall!$A:$A,FALSE),MATCH(All!I$1,Fall!$1:$1,FALSE))="","",INDEX(Fall!$1:$1048576,MATCH(All!$A555,Fall!$A:$A,FALSE),MATCH(All!I$1,Fall!$1:$1,FALSE))),"")</f>
        <v>1A</v>
      </c>
      <c r="J555" t="str">
        <f>IFERROR(IF(INDEX(Fall!$1:$1048576,MATCH(All!$A555,Fall!$A:$A,FALSE),MATCH(All!J$1,Fall!$1:$1,FALSE))="","",INDEX(Fall!$1:$1048576,MATCH(All!$A555,Fall!$A:$A,FALSE),MATCH(All!J$1,Fall!$1:$1,FALSE))),"")</f>
        <v>1A</v>
      </c>
      <c r="K555" t="str">
        <f>IFERROR(IF(INDEX(Fall!$1:$1048576,MATCH(All!$A555,Fall!$A:$A,FALSE),MATCH(All!K$1,Fall!$1:$1,FALSE))="","",INDEX(Fall!$1:$1048576,MATCH(All!$A555,Fall!$A:$A,FALSE),MATCH(All!K$1,Fall!$1:$1,FALSE))),"")</f>
        <v/>
      </c>
      <c r="L555" t="str">
        <f>IFERROR(IF(INDEX(Fall!$1:$1048576,MATCH(All!$A555,Fall!$A:$A,FALSE),MATCH(All!L$1,Fall!$1:$1,FALSE))="","",INDEX(Fall!$1:$1048576,MATCH(All!$A555,Fall!$A:$A,FALSE),MATCH(All!L$1,Fall!$1:$1,FALSE))),"")</f>
        <v/>
      </c>
      <c r="M555" t="str">
        <f>IFERROR(IF(INDEX(Fall!$1:$1048576,MATCH(All!$A555,Fall!$A:$A,FALSE),MATCH(All!M$1,Fall!$1:$1,FALSE))="","",INDEX(Fall!$1:$1048576,MATCH(All!$A555,Fall!$A:$A,FALSE),MATCH(All!M$1,Fall!$1:$1,FALSE))),"")</f>
        <v>1A</v>
      </c>
      <c r="O555">
        <f>IFERROR(IF(INDEX(Winter!$1:$1048576,MATCH(All!$A555,Winter!$A:$A,FALSE),MATCH(All!O$1,Winter!$1:$1,FALSE))="","",INDEX(Winter!$1:$1048576,MATCH(All!$A555,Winter!$A:$A,FALSE),MATCH(All!O$1,Winter!$1:$1,FALSE))),"")</f>
        <v>184</v>
      </c>
      <c r="P555" t="str">
        <f>IFERROR(IF(INDEX(Winter!$1:$1048576,MATCH(All!$A555,Winter!$A:$A,FALSE),MATCH(All!P$1,Winter!$1:$1,FALSE))="","",INDEX(Winter!$1:$1048576,MATCH(All!$A555,Winter!$A:$A,FALSE),MATCH(All!P$1,Winter!$1:$1,FALSE))),"")</f>
        <v>1A</v>
      </c>
      <c r="Q555" t="str">
        <f>IFERROR(IF(INDEX(Winter!$1:$1048576,MATCH(All!$A555,Winter!$A:$A,FALSE),MATCH(All!Q$1,Winter!$1:$1,FALSE))="","",INDEX(Winter!$1:$1048576,MATCH(All!$A555,Winter!$A:$A,FALSE),MATCH(All!Q$1,Winter!$1:$1,FALSE))),"")</f>
        <v/>
      </c>
      <c r="R555" t="str">
        <f>IFERROR(IF(INDEX(Winter!$1:$1048576,MATCH(All!$A555,Winter!$A:$A,FALSE),MATCH(All!R$1,Winter!$1:$1,FALSE))="","",INDEX(Winter!$1:$1048576,MATCH(All!$A555,Winter!$A:$A,FALSE),MATCH(All!R$1,Winter!$1:$1,FALSE))),"")</f>
        <v/>
      </c>
      <c r="S555" t="str">
        <f>IFERROR(IF(INDEX(Winter!$1:$1048576,MATCH(All!$A555,Winter!$A:$A,FALSE),MATCH(All!S$1,Winter!$1:$1,FALSE))="","",INDEX(Winter!$1:$1048576,MATCH(All!$A555,Winter!$A:$A,FALSE),MATCH(All!S$1,Winter!$1:$1,FALSE))),"")</f>
        <v/>
      </c>
      <c r="T555" t="str">
        <f>IFERROR(IF(INDEX(Winter!$1:$1048576,MATCH(All!$A555,Winter!$A:$A,FALSE),MATCH(All!T$1,Winter!$1:$1,FALSE))="","",INDEX(Winter!$1:$1048576,MATCH(All!$A555,Winter!$A:$A,FALSE),MATCH(All!T$1,Winter!$1:$1,FALSE))),"")</f>
        <v>1A</v>
      </c>
      <c r="U555" t="str">
        <f>IFERROR(IF(INDEX(Winter!$1:$1048576,MATCH(All!$A555,Winter!$A:$A,FALSE),MATCH(All!U$1,Winter!$1:$1,FALSE))="","",INDEX(Winter!$1:$1048576,MATCH(All!$A555,Winter!$A:$A,FALSE),MATCH(All!U$1,Winter!$1:$1,FALSE))),"")</f>
        <v/>
      </c>
      <c r="W555">
        <f>IFERROR(IF(INDEX(Spring!$1:$1048576,MATCH(All!$A555,Spring!$A:$A,FALSE),MATCH(All!W$1,Spring!$1:$1,FALSE))="","",INDEX(Spring!$1:$1048576,MATCH(All!$A555,Spring!$A:$A,FALSE),MATCH(All!W$1,Spring!$1:$1,FALSE))),"")</f>
        <v>184</v>
      </c>
      <c r="X555" t="str">
        <f>IFERROR(IF(INDEX(Spring!$1:$1048576,MATCH(All!$A555,Spring!$A:$A,FALSE),MATCH(All!X$1,Spring!$1:$1,FALSE))="","",INDEX(Spring!$1:$1048576,MATCH(All!$A555,Spring!$A:$A,FALSE),MATCH(All!X$1,Spring!$1:$1,FALSE))),"")</f>
        <v>1A</v>
      </c>
      <c r="Y555" t="str">
        <f>IFERROR(IF(INDEX(Spring!$1:$1048576,MATCH(All!$A555,Spring!$A:$A,FALSE),MATCH(All!Y$1,Spring!$1:$1,FALSE))="","",INDEX(Spring!$1:$1048576,MATCH(All!$A555,Spring!$A:$A,FALSE),MATCH(All!Y$1,Spring!$1:$1,FALSE))),"")</f>
        <v>1A</v>
      </c>
      <c r="Z555" t="str">
        <f>IFERROR(IF(INDEX(Spring!$1:$1048576,MATCH(All!$A555,Spring!$A:$A,FALSE),MATCH(All!Z$1,Spring!$1:$1,FALSE))="","",INDEX(Spring!$1:$1048576,MATCH(All!$A555,Spring!$A:$A,FALSE),MATCH(All!Z$1,Spring!$1:$1,FALSE))),"")</f>
        <v/>
      </c>
      <c r="AA555" t="str">
        <f>IFERROR(IF(INDEX(Spring!$1:$1048576,MATCH(All!$A555,Spring!$A:$A,FALSE),MATCH(All!AA$1,Spring!$1:$1,FALSE))="","",INDEX(Spring!$1:$1048576,MATCH(All!$A555,Spring!$A:$A,FALSE),MATCH(All!AA$1,Spring!$1:$1,FALSE))),"")</f>
        <v/>
      </c>
      <c r="AB555" t="str">
        <f>IFERROR(IF(INDEX(Spring!$1:$1048576,MATCH(All!$A555,Spring!$A:$A,FALSE),MATCH(All!AB$1,Spring!$1:$1,FALSE))="","",INDEX(Spring!$1:$1048576,MATCH(All!$A555,Spring!$A:$A,FALSE),MATCH(All!AB$1,Spring!$1:$1,FALSE))),"")</f>
        <v>1A</v>
      </c>
      <c r="AC555" t="str">
        <f>IFERROR(IF(INDEX(Spring!$1:$1048576,MATCH(All!$A555,Spring!$A:$A,FALSE),MATCH(All!AC$1,Spring!$1:$1,FALSE))="","",INDEX(Spring!$1:$1048576,MATCH(All!$A555,Spring!$A:$A,FALSE),MATCH(All!AC$1,Spring!$1:$1,FALSE))),"")</f>
        <v>1A</v>
      </c>
      <c r="AD555" t="str">
        <f>IFERROR(VLOOKUP(A555,'Flag Football'!A:A,1,FALSE),"")</f>
        <v/>
      </c>
      <c r="AE555" t="str">
        <f t="shared" si="8"/>
        <v/>
      </c>
    </row>
    <row r="556" spans="1:31" ht="15.75" thickBot="1" x14ac:dyDescent="0.3">
      <c r="A556" s="18" t="s">
        <v>651</v>
      </c>
      <c r="B556" s="38">
        <f>IFERROR(VLOOKUP(A556,'Public v Private'!A:G,3,FALSE),"")</f>
        <v>0</v>
      </c>
      <c r="C556" s="38">
        <f>IFERROR(VLOOKUP(A556,'Public v Private'!A:G,4,FALSE),"")</f>
        <v>0</v>
      </c>
      <c r="D556" s="38">
        <f>IFERROR(VLOOKUP(A556,'Public v Private'!A:G,5,FALSE),"")</f>
        <v>0</v>
      </c>
      <c r="E556" s="38"/>
      <c r="F556" s="40">
        <f>IFERROR(INDEX(Fall!$1:$1048576,MATCH(All!$A556,Fall!$A:$A,FALSE),MATCH(All!F$1,Fall!$1:$1,FALSE)),"N/A")</f>
        <v>848</v>
      </c>
      <c r="G556" t="str">
        <f>IFERROR(IF(INDEX(Fall!$1:$1048576,MATCH(All!$A556,Fall!$A:$A,FALSE),MATCH(All!G$1,Fall!$1:$1,FALSE))="","",INDEX(Fall!$1:$1048576,MATCH(All!$A556,Fall!$A:$A,FALSE),MATCH(All!G$1,Fall!$1:$1,FALSE))),"")</f>
        <v/>
      </c>
      <c r="H556" t="str">
        <f>IFERROR(IF(INDEX(Fall!$1:$1048576,MATCH(All!$A556,Fall!$A:$A,FALSE),MATCH(All!H$1,Fall!$1:$1,FALSE))="","",INDEX(Fall!$1:$1048576,MATCH(All!$A556,Fall!$A:$A,FALSE),MATCH(All!H$1,Fall!$1:$1,FALSE))),"")</f>
        <v/>
      </c>
      <c r="I556" t="str">
        <f>IFERROR(IF(INDEX(Fall!$1:$1048576,MATCH(All!$A556,Fall!$A:$A,FALSE),MATCH(All!I$1,Fall!$1:$1,FALSE))="","",INDEX(Fall!$1:$1048576,MATCH(All!$A556,Fall!$A:$A,FALSE),MATCH(All!I$1,Fall!$1:$1,FALSE))),"")</f>
        <v/>
      </c>
      <c r="J556" t="str">
        <f>IFERROR(IF(INDEX(Fall!$1:$1048576,MATCH(All!$A556,Fall!$A:$A,FALSE),MATCH(All!J$1,Fall!$1:$1,FALSE))="","",INDEX(Fall!$1:$1048576,MATCH(All!$A556,Fall!$A:$A,FALSE),MATCH(All!J$1,Fall!$1:$1,FALSE))),"")</f>
        <v/>
      </c>
      <c r="K556" t="str">
        <f>IFERROR(IF(INDEX(Fall!$1:$1048576,MATCH(All!$A556,Fall!$A:$A,FALSE),MATCH(All!K$1,Fall!$1:$1,FALSE))="","",INDEX(Fall!$1:$1048576,MATCH(All!$A556,Fall!$A:$A,FALSE),MATCH(All!K$1,Fall!$1:$1,FALSE))),"")</f>
        <v>2A</v>
      </c>
      <c r="L556" t="str">
        <f>IFERROR(IF(INDEX(Fall!$1:$1048576,MATCH(All!$A556,Fall!$A:$A,FALSE),MATCH(All!L$1,Fall!$1:$1,FALSE))="","",INDEX(Fall!$1:$1048576,MATCH(All!$A556,Fall!$A:$A,FALSE),MATCH(All!L$1,Fall!$1:$1,FALSE))),"")</f>
        <v>1A</v>
      </c>
      <c r="M556" t="str">
        <f>IFERROR(IF(INDEX(Fall!$1:$1048576,MATCH(All!$A556,Fall!$A:$A,FALSE),MATCH(All!M$1,Fall!$1:$1,FALSE))="","",INDEX(Fall!$1:$1048576,MATCH(All!$A556,Fall!$A:$A,FALSE),MATCH(All!M$1,Fall!$1:$1,FALSE))),"")</f>
        <v>3A</v>
      </c>
      <c r="O556">
        <f>IFERROR(IF(INDEX(Winter!$1:$1048576,MATCH(All!$A556,Winter!$A:$A,FALSE),MATCH(All!O$1,Winter!$1:$1,FALSE))="","",INDEX(Winter!$1:$1048576,MATCH(All!$A556,Winter!$A:$A,FALSE),MATCH(All!O$1,Winter!$1:$1,FALSE))),"")</f>
        <v>848</v>
      </c>
      <c r="P556" t="str">
        <f>IFERROR(IF(INDEX(Winter!$1:$1048576,MATCH(All!$A556,Winter!$A:$A,FALSE),MATCH(All!P$1,Winter!$1:$1,FALSE))="","",INDEX(Winter!$1:$1048576,MATCH(All!$A556,Winter!$A:$A,FALSE),MATCH(All!P$1,Winter!$1:$1,FALSE))),"")</f>
        <v>3A</v>
      </c>
      <c r="Q556" t="str">
        <f>IFERROR(IF(INDEX(Winter!$1:$1048576,MATCH(All!$A556,Winter!$A:$A,FALSE),MATCH(All!Q$1,Winter!$1:$1,FALSE))="","",INDEX(Winter!$1:$1048576,MATCH(All!$A556,Winter!$A:$A,FALSE),MATCH(All!Q$1,Winter!$1:$1,FALSE))),"")</f>
        <v>3A</v>
      </c>
      <c r="R556" t="str">
        <f>IFERROR(IF(INDEX(Winter!$1:$1048576,MATCH(All!$A556,Winter!$A:$A,FALSE),MATCH(All!R$1,Winter!$1:$1,FALSE))="","",INDEX(Winter!$1:$1048576,MATCH(All!$A556,Winter!$A:$A,FALSE),MATCH(All!R$1,Winter!$1:$1,FALSE))),"")</f>
        <v>2A</v>
      </c>
      <c r="S556" t="str">
        <f>IFERROR(IF(INDEX(Winter!$1:$1048576,MATCH(All!$A556,Winter!$A:$A,FALSE),MATCH(All!S$1,Winter!$1:$1,FALSE))="","",INDEX(Winter!$1:$1048576,MATCH(All!$A556,Winter!$A:$A,FALSE),MATCH(All!S$1,Winter!$1:$1,FALSE))),"")</f>
        <v/>
      </c>
      <c r="T556" t="str">
        <f>IFERROR(IF(INDEX(Winter!$1:$1048576,MATCH(All!$A556,Winter!$A:$A,FALSE),MATCH(All!T$1,Winter!$1:$1,FALSE))="","",INDEX(Winter!$1:$1048576,MATCH(All!$A556,Winter!$A:$A,FALSE),MATCH(All!T$1,Winter!$1:$1,FALSE))),"")</f>
        <v/>
      </c>
      <c r="U556" t="str">
        <f>IFERROR(IF(INDEX(Winter!$1:$1048576,MATCH(All!$A556,Winter!$A:$A,FALSE),MATCH(All!U$1,Winter!$1:$1,FALSE))="","",INDEX(Winter!$1:$1048576,MATCH(All!$A556,Winter!$A:$A,FALSE),MATCH(All!U$1,Winter!$1:$1,FALSE))),"")</f>
        <v>2A</v>
      </c>
      <c r="W556">
        <f>IFERROR(IF(INDEX(Spring!$1:$1048576,MATCH(All!$A556,Spring!$A:$A,FALSE),MATCH(All!W$1,Spring!$1:$1,FALSE))="","",INDEX(Spring!$1:$1048576,MATCH(All!$A556,Spring!$A:$A,FALSE),MATCH(All!W$1,Spring!$1:$1,FALSE))),"")</f>
        <v>848</v>
      </c>
      <c r="X556" t="str">
        <f>IFERROR(IF(INDEX(Spring!$1:$1048576,MATCH(All!$A556,Spring!$A:$A,FALSE),MATCH(All!X$1,Spring!$1:$1,FALSE))="","",INDEX(Spring!$1:$1048576,MATCH(All!$A556,Spring!$A:$A,FALSE),MATCH(All!X$1,Spring!$1:$1,FALSE))),"")</f>
        <v/>
      </c>
      <c r="Y556" t="str">
        <f>IFERROR(IF(INDEX(Spring!$1:$1048576,MATCH(All!$A556,Spring!$A:$A,FALSE),MATCH(All!Y$1,Spring!$1:$1,FALSE))="","",INDEX(Spring!$1:$1048576,MATCH(All!$A556,Spring!$A:$A,FALSE),MATCH(All!Y$1,Spring!$1:$1,FALSE))),"")</f>
        <v/>
      </c>
      <c r="Z556" t="str">
        <f>IFERROR(IF(INDEX(Spring!$1:$1048576,MATCH(All!$A556,Spring!$A:$A,FALSE),MATCH(All!Z$1,Spring!$1:$1,FALSE))="","",INDEX(Spring!$1:$1048576,MATCH(All!$A556,Spring!$A:$A,FALSE),MATCH(All!Z$1,Spring!$1:$1,FALSE))),"")</f>
        <v>2A</v>
      </c>
      <c r="AA556" t="str">
        <f>IFERROR(IF(INDEX(Spring!$1:$1048576,MATCH(All!$A556,Spring!$A:$A,FALSE),MATCH(All!AA$1,Spring!$1:$1,FALSE))="","",INDEX(Spring!$1:$1048576,MATCH(All!$A556,Spring!$A:$A,FALSE),MATCH(All!AA$1,Spring!$1:$1,FALSE))),"")</f>
        <v>1A</v>
      </c>
      <c r="AB556" t="str">
        <f>IFERROR(IF(INDEX(Spring!$1:$1048576,MATCH(All!$A556,Spring!$A:$A,FALSE),MATCH(All!AB$1,Spring!$1:$1,FALSE))="","",INDEX(Spring!$1:$1048576,MATCH(All!$A556,Spring!$A:$A,FALSE),MATCH(All!AB$1,Spring!$1:$1,FALSE))),"")</f>
        <v>2A</v>
      </c>
      <c r="AC556" t="str">
        <f>IFERROR(IF(INDEX(Spring!$1:$1048576,MATCH(All!$A556,Spring!$A:$A,FALSE),MATCH(All!AC$1,Spring!$1:$1,FALSE))="","",INDEX(Spring!$1:$1048576,MATCH(All!$A556,Spring!$A:$A,FALSE),MATCH(All!AC$1,Spring!$1:$1,FALSE))),"")</f>
        <v>2A</v>
      </c>
      <c r="AD556" t="str">
        <f>IFERROR(VLOOKUP(A556,'Flag Football'!A:A,1,FALSE),"")</f>
        <v>North Chicago</v>
      </c>
      <c r="AE556" t="str">
        <f t="shared" si="8"/>
        <v>1A</v>
      </c>
    </row>
    <row r="557" spans="1:31" ht="15.75" thickBot="1" x14ac:dyDescent="0.3">
      <c r="A557" s="20" t="s">
        <v>652</v>
      </c>
      <c r="B557" s="38">
        <f>IFERROR(VLOOKUP(A557,'Public v Private'!A:G,3,FALSE),"")</f>
        <v>0</v>
      </c>
      <c r="C557" s="38">
        <f>IFERROR(VLOOKUP(A557,'Public v Private'!A:G,4,FALSE),"")</f>
        <v>0</v>
      </c>
      <c r="D557" s="38">
        <f>IFERROR(VLOOKUP(A557,'Public v Private'!A:G,5,FALSE),"")</f>
        <v>0</v>
      </c>
      <c r="E557" s="38"/>
      <c r="F557" s="40">
        <f>IFERROR(INDEX(Fall!$1:$1048576,MATCH(All!$A557,Fall!$A:$A,FALSE),MATCH(All!F$1,Fall!$1:$1,FALSE)),"N/A")</f>
        <v>2140</v>
      </c>
      <c r="G557" t="str">
        <f>IFERROR(IF(INDEX(Fall!$1:$1048576,MATCH(All!$A557,Fall!$A:$A,FALSE),MATCH(All!G$1,Fall!$1:$1,FALSE))="","",INDEX(Fall!$1:$1048576,MATCH(All!$A557,Fall!$A:$A,FALSE),MATCH(All!G$1,Fall!$1:$1,FALSE))),"")</f>
        <v>3A</v>
      </c>
      <c r="H557" t="str">
        <f>IFERROR(IF(INDEX(Fall!$1:$1048576,MATCH(All!$A557,Fall!$A:$A,FALSE),MATCH(All!H$1,Fall!$1:$1,FALSE))="","",INDEX(Fall!$1:$1048576,MATCH(All!$A557,Fall!$A:$A,FALSE),MATCH(All!H$1,Fall!$1:$1,FALSE))),"")</f>
        <v>3A</v>
      </c>
      <c r="I557" t="str">
        <f>IFERROR(IF(INDEX(Fall!$1:$1048576,MATCH(All!$A557,Fall!$A:$A,FALSE),MATCH(All!I$1,Fall!$1:$1,FALSE))="","",INDEX(Fall!$1:$1048576,MATCH(All!$A557,Fall!$A:$A,FALSE),MATCH(All!I$1,Fall!$1:$1,FALSE))),"")</f>
        <v>3A</v>
      </c>
      <c r="J557" t="str">
        <f>IFERROR(IF(INDEX(Fall!$1:$1048576,MATCH(All!$A557,Fall!$A:$A,FALSE),MATCH(All!J$1,Fall!$1:$1,FALSE))="","",INDEX(Fall!$1:$1048576,MATCH(All!$A557,Fall!$A:$A,FALSE),MATCH(All!J$1,Fall!$1:$1,FALSE))),"")</f>
        <v>2A</v>
      </c>
      <c r="K557" t="str">
        <f>IFERROR(IF(INDEX(Fall!$1:$1048576,MATCH(All!$A557,Fall!$A:$A,FALSE),MATCH(All!K$1,Fall!$1:$1,FALSE))="","",INDEX(Fall!$1:$1048576,MATCH(All!$A557,Fall!$A:$A,FALSE),MATCH(All!K$1,Fall!$1:$1,FALSE))),"")</f>
        <v>3A</v>
      </c>
      <c r="L557" t="str">
        <f>IFERROR(IF(INDEX(Fall!$1:$1048576,MATCH(All!$A557,Fall!$A:$A,FALSE),MATCH(All!L$1,Fall!$1:$1,FALSE))="","",INDEX(Fall!$1:$1048576,MATCH(All!$A557,Fall!$A:$A,FALSE),MATCH(All!L$1,Fall!$1:$1,FALSE))),"")</f>
        <v>2A</v>
      </c>
      <c r="M557" t="str">
        <f>IFERROR(IF(INDEX(Fall!$1:$1048576,MATCH(All!$A557,Fall!$A:$A,FALSE),MATCH(All!M$1,Fall!$1:$1,FALSE))="","",INDEX(Fall!$1:$1048576,MATCH(All!$A557,Fall!$A:$A,FALSE),MATCH(All!M$1,Fall!$1:$1,FALSE))),"")</f>
        <v>4A</v>
      </c>
      <c r="O557">
        <f>IFERROR(IF(INDEX(Winter!$1:$1048576,MATCH(All!$A557,Winter!$A:$A,FALSE),MATCH(All!O$1,Winter!$1:$1,FALSE))="","",INDEX(Winter!$1:$1048576,MATCH(All!$A557,Winter!$A:$A,FALSE),MATCH(All!O$1,Winter!$1:$1,FALSE))),"")</f>
        <v>2140</v>
      </c>
      <c r="P557" t="str">
        <f>IFERROR(IF(INDEX(Winter!$1:$1048576,MATCH(All!$A557,Winter!$A:$A,FALSE),MATCH(All!P$1,Winter!$1:$1,FALSE))="","",INDEX(Winter!$1:$1048576,MATCH(All!$A557,Winter!$A:$A,FALSE),MATCH(All!P$1,Winter!$1:$1,FALSE))),"")</f>
        <v>4A</v>
      </c>
      <c r="Q557" t="str">
        <f>IFERROR(IF(INDEX(Winter!$1:$1048576,MATCH(All!$A557,Winter!$A:$A,FALSE),MATCH(All!Q$1,Winter!$1:$1,FALSE))="","",INDEX(Winter!$1:$1048576,MATCH(All!$A557,Winter!$A:$A,FALSE),MATCH(All!Q$1,Winter!$1:$1,FALSE))),"")</f>
        <v>4A</v>
      </c>
      <c r="R557" t="str">
        <f>IFERROR(IF(INDEX(Winter!$1:$1048576,MATCH(All!$A557,Winter!$A:$A,FALSE),MATCH(All!R$1,Winter!$1:$1,FALSE))="","",INDEX(Winter!$1:$1048576,MATCH(All!$A557,Winter!$A:$A,FALSE),MATCH(All!R$1,Winter!$1:$1,FALSE))),"")</f>
        <v>C</v>
      </c>
      <c r="S557" t="str">
        <f>IFERROR(IF(INDEX(Winter!$1:$1048576,MATCH(All!$A557,Winter!$A:$A,FALSE),MATCH(All!S$1,Winter!$1:$1,FALSE))="","",INDEX(Winter!$1:$1048576,MATCH(All!$A557,Winter!$A:$A,FALSE),MATCH(All!S$1,Winter!$1:$1,FALSE))),"")</f>
        <v>3A</v>
      </c>
      <c r="T557" t="str">
        <f>IFERROR(IF(INDEX(Winter!$1:$1048576,MATCH(All!$A557,Winter!$A:$A,FALSE),MATCH(All!T$1,Winter!$1:$1,FALSE))="","",INDEX(Winter!$1:$1048576,MATCH(All!$A557,Winter!$A:$A,FALSE),MATCH(All!T$1,Winter!$1:$1,FALSE))),"")</f>
        <v>2A</v>
      </c>
      <c r="U557" t="str">
        <f>IFERROR(IF(INDEX(Winter!$1:$1048576,MATCH(All!$A557,Winter!$A:$A,FALSE),MATCH(All!U$1,Winter!$1:$1,FALSE))="","",INDEX(Winter!$1:$1048576,MATCH(All!$A557,Winter!$A:$A,FALSE),MATCH(All!U$1,Winter!$1:$1,FALSE))),"")</f>
        <v>3A</v>
      </c>
      <c r="W557">
        <f>IFERROR(IF(INDEX(Spring!$1:$1048576,MATCH(All!$A557,Spring!$A:$A,FALSE),MATCH(All!W$1,Spring!$1:$1,FALSE))="","",INDEX(Spring!$1:$1048576,MATCH(All!$A557,Spring!$A:$A,FALSE),MATCH(All!W$1,Spring!$1:$1,FALSE))),"")</f>
        <v>2140</v>
      </c>
      <c r="X557" t="str">
        <f>IFERROR(IF(INDEX(Spring!$1:$1048576,MATCH(All!$A557,Spring!$A:$A,FALSE),MATCH(All!X$1,Spring!$1:$1,FALSE))="","",INDEX(Spring!$1:$1048576,MATCH(All!$A557,Spring!$A:$A,FALSE),MATCH(All!X$1,Spring!$1:$1,FALSE))),"")</f>
        <v>4A</v>
      </c>
      <c r="Y557" t="str">
        <f>IFERROR(IF(INDEX(Spring!$1:$1048576,MATCH(All!$A557,Spring!$A:$A,FALSE),MATCH(All!Y$1,Spring!$1:$1,FALSE))="","",INDEX(Spring!$1:$1048576,MATCH(All!$A557,Spring!$A:$A,FALSE),MATCH(All!Y$1,Spring!$1:$1,FALSE))),"")</f>
        <v>4A</v>
      </c>
      <c r="Z557" t="str">
        <f>IFERROR(IF(INDEX(Spring!$1:$1048576,MATCH(All!$A557,Spring!$A:$A,FALSE),MATCH(All!Z$1,Spring!$1:$1,FALSE))="","",INDEX(Spring!$1:$1048576,MATCH(All!$A557,Spring!$A:$A,FALSE),MATCH(All!Z$1,Spring!$1:$1,FALSE))),"")</f>
        <v>3A</v>
      </c>
      <c r="AA557" t="str">
        <f>IFERROR(IF(INDEX(Spring!$1:$1048576,MATCH(All!$A557,Spring!$A:$A,FALSE),MATCH(All!AA$1,Spring!$1:$1,FALSE))="","",INDEX(Spring!$1:$1048576,MATCH(All!$A557,Spring!$A:$A,FALSE),MATCH(All!AA$1,Spring!$1:$1,FALSE))),"")</f>
        <v>2A</v>
      </c>
      <c r="AB557" t="str">
        <f>IFERROR(IF(INDEX(Spring!$1:$1048576,MATCH(All!$A557,Spring!$A:$A,FALSE),MATCH(All!AB$1,Spring!$1:$1,FALSE))="","",INDEX(Spring!$1:$1048576,MATCH(All!$A557,Spring!$A:$A,FALSE),MATCH(All!AB$1,Spring!$1:$1,FALSE))),"")</f>
        <v>3A</v>
      </c>
      <c r="AC557" t="str">
        <f>IFERROR(IF(INDEX(Spring!$1:$1048576,MATCH(All!$A557,Spring!$A:$A,FALSE),MATCH(All!AC$1,Spring!$1:$1,FALSE))="","",INDEX(Spring!$1:$1048576,MATCH(All!$A557,Spring!$A:$A,FALSE),MATCH(All!AC$1,Spring!$1:$1,FALSE))),"")</f>
        <v>3A</v>
      </c>
      <c r="AD557" t="str">
        <f>IFERROR(VLOOKUP(A557,'Flag Football'!A:A,1,FALSE),"")</f>
        <v>Northbrook (Glenbrook North)</v>
      </c>
      <c r="AE557" t="str">
        <f t="shared" si="8"/>
        <v>1A</v>
      </c>
    </row>
    <row r="558" spans="1:31" ht="15.75" thickBot="1" x14ac:dyDescent="0.3">
      <c r="A558" s="18" t="s">
        <v>653</v>
      </c>
      <c r="B558" s="38" t="str">
        <f>IFERROR(VLOOKUP(A558,'Public v Private'!A:G,3,FALSE),"")</f>
        <v>private</v>
      </c>
      <c r="C558" s="38">
        <f>IFERROR(VLOOKUP(A558,'Public v Private'!A:G,4,FALSE),"")</f>
        <v>2</v>
      </c>
      <c r="D558" s="38">
        <f>IFERROR(VLOOKUP(A558,'Public v Private'!A:G,5,FALSE),"")</f>
        <v>4</v>
      </c>
      <c r="E558" s="38"/>
      <c r="F558" s="40" t="str">
        <f>IFERROR(INDEX(Fall!$1:$1048576,MATCH(All!$A558,Fall!$A:$A,FALSE),MATCH(All!F$1,Fall!$1:$1,FALSE)),"N/A")</f>
        <v>81.00 (133.65)</v>
      </c>
      <c r="G558" t="str">
        <f>IFERROR(IF(INDEX(Fall!$1:$1048576,MATCH(All!$A558,Fall!$A:$A,FALSE),MATCH(All!G$1,Fall!$1:$1,FALSE))="","",INDEX(Fall!$1:$1048576,MATCH(All!$A558,Fall!$A:$A,FALSE),MATCH(All!G$1,Fall!$1:$1,FALSE))),"")</f>
        <v/>
      </c>
      <c r="H558" t="str">
        <f>IFERROR(IF(INDEX(Fall!$1:$1048576,MATCH(All!$A558,Fall!$A:$A,FALSE),MATCH(All!H$1,Fall!$1:$1,FALSE))="","",INDEX(Fall!$1:$1048576,MATCH(All!$A558,Fall!$A:$A,FALSE),MATCH(All!H$1,Fall!$1:$1,FALSE))),"")</f>
        <v/>
      </c>
      <c r="I558" t="str">
        <f>IFERROR(IF(INDEX(Fall!$1:$1048576,MATCH(All!$A558,Fall!$A:$A,FALSE),MATCH(All!I$1,Fall!$1:$1,FALSE))="","",INDEX(Fall!$1:$1048576,MATCH(All!$A558,Fall!$A:$A,FALSE),MATCH(All!I$1,Fall!$1:$1,FALSE))),"")</f>
        <v/>
      </c>
      <c r="J558" t="str">
        <f>IFERROR(IF(INDEX(Fall!$1:$1048576,MATCH(All!$A558,Fall!$A:$A,FALSE),MATCH(All!J$1,Fall!$1:$1,FALSE))="","",INDEX(Fall!$1:$1048576,MATCH(All!$A558,Fall!$A:$A,FALSE),MATCH(All!J$1,Fall!$1:$1,FALSE))),"")</f>
        <v/>
      </c>
      <c r="K558" t="str">
        <f>IFERROR(IF(INDEX(Fall!$1:$1048576,MATCH(All!$A558,Fall!$A:$A,FALSE),MATCH(All!K$1,Fall!$1:$1,FALSE))="","",INDEX(Fall!$1:$1048576,MATCH(All!$A558,Fall!$A:$A,FALSE),MATCH(All!K$1,Fall!$1:$1,FALSE))),"")</f>
        <v>1A</v>
      </c>
      <c r="L558" t="str">
        <f>IFERROR(IF(INDEX(Fall!$1:$1048576,MATCH(All!$A558,Fall!$A:$A,FALSE),MATCH(All!L$1,Fall!$1:$1,FALSE))="","",INDEX(Fall!$1:$1048576,MATCH(All!$A558,Fall!$A:$A,FALSE),MATCH(All!L$1,Fall!$1:$1,FALSE))),"")</f>
        <v/>
      </c>
      <c r="M558" t="str">
        <f>IFERROR(IF(INDEX(Fall!$1:$1048576,MATCH(All!$A558,Fall!$A:$A,FALSE),MATCH(All!M$1,Fall!$1:$1,FALSE))="","",INDEX(Fall!$1:$1048576,MATCH(All!$A558,Fall!$A:$A,FALSE),MATCH(All!M$1,Fall!$1:$1,FALSE))),"")</f>
        <v>1A</v>
      </c>
      <c r="O558" t="str">
        <f>IFERROR(IF(INDEX(Winter!$1:$1048576,MATCH(All!$A558,Winter!$A:$A,FALSE),MATCH(All!O$1,Winter!$1:$1,FALSE))="","",INDEX(Winter!$1:$1048576,MATCH(All!$A558,Winter!$A:$A,FALSE),MATCH(All!O$1,Winter!$1:$1,FALSE))),"")</f>
        <v>81.00 (133.65)</v>
      </c>
      <c r="P558" t="str">
        <f>IFERROR(IF(INDEX(Winter!$1:$1048576,MATCH(All!$A558,Winter!$A:$A,FALSE),MATCH(All!P$1,Winter!$1:$1,FALSE))="","",INDEX(Winter!$1:$1048576,MATCH(All!$A558,Winter!$A:$A,FALSE),MATCH(All!P$1,Winter!$1:$1,FALSE))),"")</f>
        <v>1A</v>
      </c>
      <c r="Q558" t="str">
        <f>IFERROR(IF(INDEX(Winter!$1:$1048576,MATCH(All!$A558,Winter!$A:$A,FALSE),MATCH(All!Q$1,Winter!$1:$1,FALSE))="","",INDEX(Winter!$1:$1048576,MATCH(All!$A558,Winter!$A:$A,FALSE),MATCH(All!Q$1,Winter!$1:$1,FALSE))),"")</f>
        <v>1A</v>
      </c>
      <c r="R558" t="str">
        <f>IFERROR(IF(INDEX(Winter!$1:$1048576,MATCH(All!$A558,Winter!$A:$A,FALSE),MATCH(All!R$1,Winter!$1:$1,FALSE))="","",INDEX(Winter!$1:$1048576,MATCH(All!$A558,Winter!$A:$A,FALSE),MATCH(All!R$1,Winter!$1:$1,FALSE))),"")</f>
        <v/>
      </c>
      <c r="S558" t="str">
        <f>IFERROR(IF(INDEX(Winter!$1:$1048576,MATCH(All!$A558,Winter!$A:$A,FALSE),MATCH(All!S$1,Winter!$1:$1,FALSE))="","",INDEX(Winter!$1:$1048576,MATCH(All!$A558,Winter!$A:$A,FALSE),MATCH(All!S$1,Winter!$1:$1,FALSE))),"")</f>
        <v/>
      </c>
      <c r="T558" t="str">
        <f>IFERROR(IF(INDEX(Winter!$1:$1048576,MATCH(All!$A558,Winter!$A:$A,FALSE),MATCH(All!T$1,Winter!$1:$1,FALSE))="","",INDEX(Winter!$1:$1048576,MATCH(All!$A558,Winter!$A:$A,FALSE),MATCH(All!T$1,Winter!$1:$1,FALSE))),"")</f>
        <v/>
      </c>
      <c r="U558" t="str">
        <f>IFERROR(IF(INDEX(Winter!$1:$1048576,MATCH(All!$A558,Winter!$A:$A,FALSE),MATCH(All!U$1,Winter!$1:$1,FALSE))="","",INDEX(Winter!$1:$1048576,MATCH(All!$A558,Winter!$A:$A,FALSE),MATCH(All!U$1,Winter!$1:$1,FALSE))),"")</f>
        <v>1A</v>
      </c>
      <c r="W558" t="str">
        <f>IFERROR(IF(INDEX(Spring!$1:$1048576,MATCH(All!$A558,Spring!$A:$A,FALSE),MATCH(All!W$1,Spring!$1:$1,FALSE))="","",INDEX(Spring!$1:$1048576,MATCH(All!$A558,Spring!$A:$A,FALSE),MATCH(All!W$1,Spring!$1:$1,FALSE))),"")</f>
        <v>81.00 (133.65)</v>
      </c>
      <c r="X558" t="str">
        <f>IFERROR(IF(INDEX(Spring!$1:$1048576,MATCH(All!$A558,Spring!$A:$A,FALSE),MATCH(All!X$1,Spring!$1:$1,FALSE))="","",INDEX(Spring!$1:$1048576,MATCH(All!$A558,Spring!$A:$A,FALSE),MATCH(All!X$1,Spring!$1:$1,FALSE))),"")</f>
        <v/>
      </c>
      <c r="Y558" t="str">
        <f>IFERROR(IF(INDEX(Spring!$1:$1048576,MATCH(All!$A558,Spring!$A:$A,FALSE),MATCH(All!Y$1,Spring!$1:$1,FALSE))="","",INDEX(Spring!$1:$1048576,MATCH(All!$A558,Spring!$A:$A,FALSE),MATCH(All!Y$1,Spring!$1:$1,FALSE))),"")</f>
        <v/>
      </c>
      <c r="Z558" t="str">
        <f>IFERROR(IF(INDEX(Spring!$1:$1048576,MATCH(All!$A558,Spring!$A:$A,FALSE),MATCH(All!Z$1,Spring!$1:$1,FALSE))="","",INDEX(Spring!$1:$1048576,MATCH(All!$A558,Spring!$A:$A,FALSE),MATCH(All!Z$1,Spring!$1:$1,FALSE))),"")</f>
        <v>1A</v>
      </c>
      <c r="AA558" t="str">
        <f>IFERROR(IF(INDEX(Spring!$1:$1048576,MATCH(All!$A558,Spring!$A:$A,FALSE),MATCH(All!AA$1,Spring!$1:$1,FALSE))="","",INDEX(Spring!$1:$1048576,MATCH(All!$A558,Spring!$A:$A,FALSE),MATCH(All!AA$1,Spring!$1:$1,FALSE))),"")</f>
        <v/>
      </c>
      <c r="AB558" t="str">
        <f>IFERROR(IF(INDEX(Spring!$1:$1048576,MATCH(All!$A558,Spring!$A:$A,FALSE),MATCH(All!AB$1,Spring!$1:$1,FALSE))="","",INDEX(Spring!$1:$1048576,MATCH(All!$A558,Spring!$A:$A,FALSE),MATCH(All!AB$1,Spring!$1:$1,FALSE))),"")</f>
        <v/>
      </c>
      <c r="AC558" t="str">
        <f>IFERROR(IF(INDEX(Spring!$1:$1048576,MATCH(All!$A558,Spring!$A:$A,FALSE),MATCH(All!AC$1,Spring!$1:$1,FALSE))="","",INDEX(Spring!$1:$1048576,MATCH(All!$A558,Spring!$A:$A,FALSE),MATCH(All!AC$1,Spring!$1:$1,FALSE))),"")</f>
        <v/>
      </c>
      <c r="AD558" t="str">
        <f>IFERROR(VLOOKUP(A558,'Flag Football'!A:A,1,FALSE),"")</f>
        <v/>
      </c>
      <c r="AE558" t="str">
        <f t="shared" si="8"/>
        <v/>
      </c>
    </row>
    <row r="559" spans="1:31" ht="15.75" thickBot="1" x14ac:dyDescent="0.3">
      <c r="A559" s="20" t="s">
        <v>655</v>
      </c>
      <c r="B559" s="38">
        <f>IFERROR(VLOOKUP(A559,'Public v Private'!A:G,3,FALSE),"")</f>
        <v>0</v>
      </c>
      <c r="C559" s="38">
        <f>IFERROR(VLOOKUP(A559,'Public v Private'!A:G,4,FALSE),"")</f>
        <v>0</v>
      </c>
      <c r="D559" s="38">
        <f>IFERROR(VLOOKUP(A559,'Public v Private'!A:G,5,FALSE),"")</f>
        <v>0</v>
      </c>
      <c r="E559" s="38"/>
      <c r="F559" s="40">
        <f>IFERROR(INDEX(Fall!$1:$1048576,MATCH(All!$A559,Fall!$A:$A,FALSE),MATCH(All!F$1,Fall!$1:$1,FALSE)),"N/A")</f>
        <v>1320</v>
      </c>
      <c r="G559" t="str">
        <f>IFERROR(IF(INDEX(Fall!$1:$1048576,MATCH(All!$A559,Fall!$A:$A,FALSE),MATCH(All!G$1,Fall!$1:$1,FALSE))="","",INDEX(Fall!$1:$1048576,MATCH(All!$A559,Fall!$A:$A,FALSE),MATCH(All!G$1,Fall!$1:$1,FALSE))),"")</f>
        <v>2A</v>
      </c>
      <c r="H559" t="str">
        <f>IFERROR(IF(INDEX(Fall!$1:$1048576,MATCH(All!$A559,Fall!$A:$A,FALSE),MATCH(All!H$1,Fall!$1:$1,FALSE))="","",INDEX(Fall!$1:$1048576,MATCH(All!$A559,Fall!$A:$A,FALSE),MATCH(All!H$1,Fall!$1:$1,FALSE))),"")</f>
        <v>2A</v>
      </c>
      <c r="I559" t="str">
        <f>IFERROR(IF(INDEX(Fall!$1:$1048576,MATCH(All!$A559,Fall!$A:$A,FALSE),MATCH(All!I$1,Fall!$1:$1,FALSE))="","",INDEX(Fall!$1:$1048576,MATCH(All!$A559,Fall!$A:$A,FALSE),MATCH(All!I$1,Fall!$1:$1,FALSE))),"")</f>
        <v>2A</v>
      </c>
      <c r="J559" t="str">
        <f>IFERROR(IF(INDEX(Fall!$1:$1048576,MATCH(All!$A559,Fall!$A:$A,FALSE),MATCH(All!J$1,Fall!$1:$1,FALSE))="","",INDEX(Fall!$1:$1048576,MATCH(All!$A559,Fall!$A:$A,FALSE),MATCH(All!J$1,Fall!$1:$1,FALSE))),"")</f>
        <v>2A</v>
      </c>
      <c r="K559" t="str">
        <f>IFERROR(IF(INDEX(Fall!$1:$1048576,MATCH(All!$A559,Fall!$A:$A,FALSE),MATCH(All!K$1,Fall!$1:$1,FALSE))="","",INDEX(Fall!$1:$1048576,MATCH(All!$A559,Fall!$A:$A,FALSE),MATCH(All!K$1,Fall!$1:$1,FALSE))),"")</f>
        <v>2A</v>
      </c>
      <c r="L559" t="str">
        <f>IFERROR(IF(INDEX(Fall!$1:$1048576,MATCH(All!$A559,Fall!$A:$A,FALSE),MATCH(All!L$1,Fall!$1:$1,FALSE))="","",INDEX(Fall!$1:$1048576,MATCH(All!$A559,Fall!$A:$A,FALSE),MATCH(All!L$1,Fall!$1:$1,FALSE))),"")</f>
        <v>1A</v>
      </c>
      <c r="M559" t="str">
        <f>IFERROR(IF(INDEX(Fall!$1:$1048576,MATCH(All!$A559,Fall!$A:$A,FALSE),MATCH(All!M$1,Fall!$1:$1,FALSE))="","",INDEX(Fall!$1:$1048576,MATCH(All!$A559,Fall!$A:$A,FALSE),MATCH(All!M$1,Fall!$1:$1,FALSE))),"")</f>
        <v>3A</v>
      </c>
      <c r="O559">
        <f>IFERROR(IF(INDEX(Winter!$1:$1048576,MATCH(All!$A559,Winter!$A:$A,FALSE),MATCH(All!O$1,Winter!$1:$1,FALSE))="","",INDEX(Winter!$1:$1048576,MATCH(All!$A559,Winter!$A:$A,FALSE),MATCH(All!O$1,Winter!$1:$1,FALSE))),"")</f>
        <v>1320</v>
      </c>
      <c r="P559" t="str">
        <f>IFERROR(IF(INDEX(Winter!$1:$1048576,MATCH(All!$A559,Winter!$A:$A,FALSE),MATCH(All!P$1,Winter!$1:$1,FALSE))="","",INDEX(Winter!$1:$1048576,MATCH(All!$A559,Winter!$A:$A,FALSE),MATCH(All!P$1,Winter!$1:$1,FALSE))),"")</f>
        <v>3A</v>
      </c>
      <c r="Q559" t="str">
        <f>IFERROR(IF(INDEX(Winter!$1:$1048576,MATCH(All!$A559,Winter!$A:$A,FALSE),MATCH(All!Q$1,Winter!$1:$1,FALSE))="","",INDEX(Winter!$1:$1048576,MATCH(All!$A559,Winter!$A:$A,FALSE),MATCH(All!Q$1,Winter!$1:$1,FALSE))),"")</f>
        <v>3A</v>
      </c>
      <c r="R559" t="str">
        <f>IFERROR(IF(INDEX(Winter!$1:$1048576,MATCH(All!$A559,Winter!$A:$A,FALSE),MATCH(All!R$1,Winter!$1:$1,FALSE))="","",INDEX(Winter!$1:$1048576,MATCH(All!$A559,Winter!$A:$A,FALSE),MATCH(All!R$1,Winter!$1:$1,FALSE))),"")</f>
        <v>2A</v>
      </c>
      <c r="S559" t="str">
        <f>IFERROR(IF(INDEX(Winter!$1:$1048576,MATCH(All!$A559,Winter!$A:$A,FALSE),MATCH(All!S$1,Winter!$1:$1,FALSE))="","",INDEX(Winter!$1:$1048576,MATCH(All!$A559,Winter!$A:$A,FALSE),MATCH(All!S$1,Winter!$1:$1,FALSE))),"")</f>
        <v>2A</v>
      </c>
      <c r="T559" t="str">
        <f>IFERROR(IF(INDEX(Winter!$1:$1048576,MATCH(All!$A559,Winter!$A:$A,FALSE),MATCH(All!T$1,Winter!$1:$1,FALSE))="","",INDEX(Winter!$1:$1048576,MATCH(All!$A559,Winter!$A:$A,FALSE),MATCH(All!T$1,Winter!$1:$1,FALSE))),"")</f>
        <v>2A</v>
      </c>
      <c r="U559" t="str">
        <f>IFERROR(IF(INDEX(Winter!$1:$1048576,MATCH(All!$A559,Winter!$A:$A,FALSE),MATCH(All!U$1,Winter!$1:$1,FALSE))="","",INDEX(Winter!$1:$1048576,MATCH(All!$A559,Winter!$A:$A,FALSE),MATCH(All!U$1,Winter!$1:$1,FALSE))),"")</f>
        <v>2A</v>
      </c>
      <c r="W559">
        <f>IFERROR(IF(INDEX(Spring!$1:$1048576,MATCH(All!$A559,Spring!$A:$A,FALSE),MATCH(All!W$1,Spring!$1:$1,FALSE))="","",INDEX(Spring!$1:$1048576,MATCH(All!$A559,Spring!$A:$A,FALSE),MATCH(All!W$1,Spring!$1:$1,FALSE))),"")</f>
        <v>1320</v>
      </c>
      <c r="X559" t="str">
        <f>IFERROR(IF(INDEX(Spring!$1:$1048576,MATCH(All!$A559,Spring!$A:$A,FALSE),MATCH(All!X$1,Spring!$1:$1,FALSE))="","",INDEX(Spring!$1:$1048576,MATCH(All!$A559,Spring!$A:$A,FALSE),MATCH(All!X$1,Spring!$1:$1,FALSE))),"")</f>
        <v>3A</v>
      </c>
      <c r="Y559" t="str">
        <f>IFERROR(IF(INDEX(Spring!$1:$1048576,MATCH(All!$A559,Spring!$A:$A,FALSE),MATCH(All!Y$1,Spring!$1:$1,FALSE))="","",INDEX(Spring!$1:$1048576,MATCH(All!$A559,Spring!$A:$A,FALSE),MATCH(All!Y$1,Spring!$1:$1,FALSE))),"")</f>
        <v>3A</v>
      </c>
      <c r="Z559" t="str">
        <f>IFERROR(IF(INDEX(Spring!$1:$1048576,MATCH(All!$A559,Spring!$A:$A,FALSE),MATCH(All!Z$1,Spring!$1:$1,FALSE))="","",INDEX(Spring!$1:$1048576,MATCH(All!$A559,Spring!$A:$A,FALSE),MATCH(All!Z$1,Spring!$1:$1,FALSE))),"")</f>
        <v>2A</v>
      </c>
      <c r="AA559" t="str">
        <f>IFERROR(IF(INDEX(Spring!$1:$1048576,MATCH(All!$A559,Spring!$A:$A,FALSE),MATCH(All!AA$1,Spring!$1:$1,FALSE))="","",INDEX(Spring!$1:$1048576,MATCH(All!$A559,Spring!$A:$A,FALSE),MATCH(All!AA$1,Spring!$1:$1,FALSE))),"")</f>
        <v>1A</v>
      </c>
      <c r="AB559" t="str">
        <f>IFERROR(IF(INDEX(Spring!$1:$1048576,MATCH(All!$A559,Spring!$A:$A,FALSE),MATCH(All!AB$1,Spring!$1:$1,FALSE))="","",INDEX(Spring!$1:$1048576,MATCH(All!$A559,Spring!$A:$A,FALSE),MATCH(All!AB$1,Spring!$1:$1,FALSE))),"")</f>
        <v>3A</v>
      </c>
      <c r="AC559" t="str">
        <f>IFERROR(IF(INDEX(Spring!$1:$1048576,MATCH(All!$A559,Spring!$A:$A,FALSE),MATCH(All!AC$1,Spring!$1:$1,FALSE))="","",INDEX(Spring!$1:$1048576,MATCH(All!$A559,Spring!$A:$A,FALSE),MATCH(All!AC$1,Spring!$1:$1,FALSE))),"")</f>
        <v>3A</v>
      </c>
      <c r="AD559" t="str">
        <f>IFERROR(VLOOKUP(A559,'Flag Football'!A:A,1,FALSE),"")</f>
        <v/>
      </c>
      <c r="AE559" t="str">
        <f t="shared" si="8"/>
        <v/>
      </c>
    </row>
    <row r="560" spans="1:31" ht="15.75" thickBot="1" x14ac:dyDescent="0.3">
      <c r="A560" s="18" t="s">
        <v>656</v>
      </c>
      <c r="B560" s="38">
        <f>IFERROR(VLOOKUP(A560,'Public v Private'!A:G,3,FALSE),"")</f>
        <v>0</v>
      </c>
      <c r="C560" s="38">
        <f>IFERROR(VLOOKUP(A560,'Public v Private'!A:G,4,FALSE),"")</f>
        <v>0</v>
      </c>
      <c r="D560" s="38">
        <f>IFERROR(VLOOKUP(A560,'Public v Private'!A:G,5,FALSE),"")</f>
        <v>0</v>
      </c>
      <c r="E560" s="38"/>
      <c r="F560" s="40">
        <f>IFERROR(INDEX(Fall!$1:$1048576,MATCH(All!$A560,Fall!$A:$A,FALSE),MATCH(All!F$1,Fall!$1:$1,FALSE)),"N/A")</f>
        <v>1793</v>
      </c>
      <c r="G560" t="str">
        <f>IFERROR(IF(INDEX(Fall!$1:$1048576,MATCH(All!$A560,Fall!$A:$A,FALSE),MATCH(All!G$1,Fall!$1:$1,FALSE))="","",INDEX(Fall!$1:$1048576,MATCH(All!$A560,Fall!$A:$A,FALSE),MATCH(All!G$1,Fall!$1:$1,FALSE))),"")</f>
        <v>3A</v>
      </c>
      <c r="H560" t="str">
        <f>IFERROR(IF(INDEX(Fall!$1:$1048576,MATCH(All!$A560,Fall!$A:$A,FALSE),MATCH(All!H$1,Fall!$1:$1,FALSE))="","",INDEX(Fall!$1:$1048576,MATCH(All!$A560,Fall!$A:$A,FALSE),MATCH(All!H$1,Fall!$1:$1,FALSE))),"")</f>
        <v>3A</v>
      </c>
      <c r="I560" t="str">
        <f>IFERROR(IF(INDEX(Fall!$1:$1048576,MATCH(All!$A560,Fall!$A:$A,FALSE),MATCH(All!I$1,Fall!$1:$1,FALSE))="","",INDEX(Fall!$1:$1048576,MATCH(All!$A560,Fall!$A:$A,FALSE),MATCH(All!I$1,Fall!$1:$1,FALSE))),"")</f>
        <v>3A</v>
      </c>
      <c r="J560" t="str">
        <f>IFERROR(IF(INDEX(Fall!$1:$1048576,MATCH(All!$A560,Fall!$A:$A,FALSE),MATCH(All!J$1,Fall!$1:$1,FALSE))="","",INDEX(Fall!$1:$1048576,MATCH(All!$A560,Fall!$A:$A,FALSE),MATCH(All!J$1,Fall!$1:$1,FALSE))),"")</f>
        <v>2A</v>
      </c>
      <c r="K560" t="str">
        <f>IFERROR(IF(INDEX(Fall!$1:$1048576,MATCH(All!$A560,Fall!$A:$A,FALSE),MATCH(All!K$1,Fall!$1:$1,FALSE))="","",INDEX(Fall!$1:$1048576,MATCH(All!$A560,Fall!$A:$A,FALSE),MATCH(All!K$1,Fall!$1:$1,FALSE))),"")</f>
        <v>3A</v>
      </c>
      <c r="L560" t="str">
        <f>IFERROR(IF(INDEX(Fall!$1:$1048576,MATCH(All!$A560,Fall!$A:$A,FALSE),MATCH(All!L$1,Fall!$1:$1,FALSE))="","",INDEX(Fall!$1:$1048576,MATCH(All!$A560,Fall!$A:$A,FALSE),MATCH(All!L$1,Fall!$1:$1,FALSE))),"")</f>
        <v>2A</v>
      </c>
      <c r="M560" t="str">
        <f>IFERROR(IF(INDEX(Fall!$1:$1048576,MATCH(All!$A560,Fall!$A:$A,FALSE),MATCH(All!M$1,Fall!$1:$1,FALSE))="","",INDEX(Fall!$1:$1048576,MATCH(All!$A560,Fall!$A:$A,FALSE),MATCH(All!M$1,Fall!$1:$1,FALSE))),"")</f>
        <v>4A</v>
      </c>
      <c r="O560">
        <f>IFERROR(IF(INDEX(Winter!$1:$1048576,MATCH(All!$A560,Winter!$A:$A,FALSE),MATCH(All!O$1,Winter!$1:$1,FALSE))="","",INDEX(Winter!$1:$1048576,MATCH(All!$A560,Winter!$A:$A,FALSE),MATCH(All!O$1,Winter!$1:$1,FALSE))),"")</f>
        <v>1793</v>
      </c>
      <c r="P560" t="str">
        <f>IFERROR(IF(INDEX(Winter!$1:$1048576,MATCH(All!$A560,Winter!$A:$A,FALSE),MATCH(All!P$1,Winter!$1:$1,FALSE))="","",INDEX(Winter!$1:$1048576,MATCH(All!$A560,Winter!$A:$A,FALSE),MATCH(All!P$1,Winter!$1:$1,FALSE))),"")</f>
        <v>4A</v>
      </c>
      <c r="Q560" t="str">
        <f>IFERROR(IF(INDEX(Winter!$1:$1048576,MATCH(All!$A560,Winter!$A:$A,FALSE),MATCH(All!Q$1,Winter!$1:$1,FALSE))="","",INDEX(Winter!$1:$1048576,MATCH(All!$A560,Winter!$A:$A,FALSE),MATCH(All!Q$1,Winter!$1:$1,FALSE))),"")</f>
        <v>4A</v>
      </c>
      <c r="R560" t="str">
        <f>IFERROR(IF(INDEX(Winter!$1:$1048576,MATCH(All!$A560,Winter!$A:$A,FALSE),MATCH(All!R$1,Winter!$1:$1,FALSE))="","",INDEX(Winter!$1:$1048576,MATCH(All!$A560,Winter!$A:$A,FALSE),MATCH(All!R$1,Winter!$1:$1,FALSE))),"")</f>
        <v>3A</v>
      </c>
      <c r="S560" t="str">
        <f>IFERROR(IF(INDEX(Winter!$1:$1048576,MATCH(All!$A560,Winter!$A:$A,FALSE),MATCH(All!S$1,Winter!$1:$1,FALSE))="","",INDEX(Winter!$1:$1048576,MATCH(All!$A560,Winter!$A:$A,FALSE),MATCH(All!S$1,Winter!$1:$1,FALSE))),"")</f>
        <v>2A</v>
      </c>
      <c r="T560" t="str">
        <f>IFERROR(IF(INDEX(Winter!$1:$1048576,MATCH(All!$A560,Winter!$A:$A,FALSE),MATCH(All!T$1,Winter!$1:$1,FALSE))="","",INDEX(Winter!$1:$1048576,MATCH(All!$A560,Winter!$A:$A,FALSE),MATCH(All!T$1,Winter!$1:$1,FALSE))),"")</f>
        <v>2A</v>
      </c>
      <c r="U560" t="str">
        <f>IFERROR(IF(INDEX(Winter!$1:$1048576,MATCH(All!$A560,Winter!$A:$A,FALSE),MATCH(All!U$1,Winter!$1:$1,FALSE))="","",INDEX(Winter!$1:$1048576,MATCH(All!$A560,Winter!$A:$A,FALSE),MATCH(All!U$1,Winter!$1:$1,FALSE))),"")</f>
        <v>3A</v>
      </c>
      <c r="W560">
        <f>IFERROR(IF(INDEX(Spring!$1:$1048576,MATCH(All!$A560,Spring!$A:$A,FALSE),MATCH(All!W$1,Spring!$1:$1,FALSE))="","",INDEX(Spring!$1:$1048576,MATCH(All!$A560,Spring!$A:$A,FALSE),MATCH(All!W$1,Spring!$1:$1,FALSE))),"")</f>
        <v>1793</v>
      </c>
      <c r="X560" t="str">
        <f>IFERROR(IF(INDEX(Spring!$1:$1048576,MATCH(All!$A560,Spring!$A:$A,FALSE),MATCH(All!X$1,Spring!$1:$1,FALSE))="","",INDEX(Spring!$1:$1048576,MATCH(All!$A560,Spring!$A:$A,FALSE),MATCH(All!X$1,Spring!$1:$1,FALSE))),"")</f>
        <v>4A</v>
      </c>
      <c r="Y560" t="str">
        <f>IFERROR(IF(INDEX(Spring!$1:$1048576,MATCH(All!$A560,Spring!$A:$A,FALSE),MATCH(All!Y$1,Spring!$1:$1,FALSE))="","",INDEX(Spring!$1:$1048576,MATCH(All!$A560,Spring!$A:$A,FALSE),MATCH(All!Y$1,Spring!$1:$1,FALSE))),"")</f>
        <v>4A</v>
      </c>
      <c r="Z560" t="str">
        <f>IFERROR(IF(INDEX(Spring!$1:$1048576,MATCH(All!$A560,Spring!$A:$A,FALSE),MATCH(All!Z$1,Spring!$1:$1,FALSE))="","",INDEX(Spring!$1:$1048576,MATCH(All!$A560,Spring!$A:$A,FALSE),MATCH(All!Z$1,Spring!$1:$1,FALSE))),"")</f>
        <v>2A</v>
      </c>
      <c r="AA560" t="str">
        <f>IFERROR(IF(INDEX(Spring!$1:$1048576,MATCH(All!$A560,Spring!$A:$A,FALSE),MATCH(All!AA$1,Spring!$1:$1,FALSE))="","",INDEX(Spring!$1:$1048576,MATCH(All!$A560,Spring!$A:$A,FALSE),MATCH(All!AA$1,Spring!$1:$1,FALSE))),"")</f>
        <v>2A</v>
      </c>
      <c r="AB560" t="str">
        <f>IFERROR(IF(INDEX(Spring!$1:$1048576,MATCH(All!$A560,Spring!$A:$A,FALSE),MATCH(All!AB$1,Spring!$1:$1,FALSE))="","",INDEX(Spring!$1:$1048576,MATCH(All!$A560,Spring!$A:$A,FALSE),MATCH(All!AB$1,Spring!$1:$1,FALSE))),"")</f>
        <v>3A</v>
      </c>
      <c r="AC560" t="str">
        <f>IFERROR(IF(INDEX(Spring!$1:$1048576,MATCH(All!$A560,Spring!$A:$A,FALSE),MATCH(All!AC$1,Spring!$1:$1,FALSE))="","",INDEX(Spring!$1:$1048576,MATCH(All!$A560,Spring!$A:$A,FALSE),MATCH(All!AC$1,Spring!$1:$1,FALSE))),"")</f>
        <v>3A</v>
      </c>
      <c r="AD560" t="str">
        <f>IFERROR(VLOOKUP(A560,'Flag Football'!A:A,1,FALSE),"")</f>
        <v>Oak Lawn (Community)</v>
      </c>
      <c r="AE560" t="str">
        <f t="shared" si="8"/>
        <v>1A</v>
      </c>
    </row>
    <row r="561" spans="1:31" ht="15.75" thickBot="1" x14ac:dyDescent="0.3">
      <c r="A561" s="20" t="s">
        <v>657</v>
      </c>
      <c r="B561" s="38">
        <f>IFERROR(VLOOKUP(A561,'Public v Private'!A:G,3,FALSE),"")</f>
        <v>0</v>
      </c>
      <c r="C561" s="38">
        <f>IFERROR(VLOOKUP(A561,'Public v Private'!A:G,4,FALSE),"")</f>
        <v>0</v>
      </c>
      <c r="D561" s="38">
        <f>IFERROR(VLOOKUP(A561,'Public v Private'!A:G,5,FALSE),"")</f>
        <v>0</v>
      </c>
      <c r="E561" s="38"/>
      <c r="F561" s="40">
        <f>IFERROR(INDEX(Fall!$1:$1048576,MATCH(All!$A561,Fall!$A:$A,FALSE),MATCH(All!F$1,Fall!$1:$1,FALSE)),"N/A")</f>
        <v>1604</v>
      </c>
      <c r="G561" t="str">
        <f>IFERROR(IF(INDEX(Fall!$1:$1048576,MATCH(All!$A561,Fall!$A:$A,FALSE),MATCH(All!G$1,Fall!$1:$1,FALSE))="","",INDEX(Fall!$1:$1048576,MATCH(All!$A561,Fall!$A:$A,FALSE),MATCH(All!G$1,Fall!$1:$1,FALSE))),"")</f>
        <v>3A</v>
      </c>
      <c r="H561" t="str">
        <f>IFERROR(IF(INDEX(Fall!$1:$1048576,MATCH(All!$A561,Fall!$A:$A,FALSE),MATCH(All!H$1,Fall!$1:$1,FALSE))="","",INDEX(Fall!$1:$1048576,MATCH(All!$A561,Fall!$A:$A,FALSE),MATCH(All!H$1,Fall!$1:$1,FALSE))),"")</f>
        <v>3A</v>
      </c>
      <c r="I561" t="str">
        <f>IFERROR(IF(INDEX(Fall!$1:$1048576,MATCH(All!$A561,Fall!$A:$A,FALSE),MATCH(All!I$1,Fall!$1:$1,FALSE))="","",INDEX(Fall!$1:$1048576,MATCH(All!$A561,Fall!$A:$A,FALSE),MATCH(All!I$1,Fall!$1:$1,FALSE))),"")</f>
        <v>3A</v>
      </c>
      <c r="J561" t="str">
        <f>IFERROR(IF(INDEX(Fall!$1:$1048576,MATCH(All!$A561,Fall!$A:$A,FALSE),MATCH(All!J$1,Fall!$1:$1,FALSE))="","",INDEX(Fall!$1:$1048576,MATCH(All!$A561,Fall!$A:$A,FALSE),MATCH(All!J$1,Fall!$1:$1,FALSE))),"")</f>
        <v>2A</v>
      </c>
      <c r="K561" t="str">
        <f>IFERROR(IF(INDEX(Fall!$1:$1048576,MATCH(All!$A561,Fall!$A:$A,FALSE),MATCH(All!K$1,Fall!$1:$1,FALSE))="","",INDEX(Fall!$1:$1048576,MATCH(All!$A561,Fall!$A:$A,FALSE),MATCH(All!K$1,Fall!$1:$1,FALSE))),"")</f>
        <v>2A</v>
      </c>
      <c r="L561" t="str">
        <f>IFERROR(IF(INDEX(Fall!$1:$1048576,MATCH(All!$A561,Fall!$A:$A,FALSE),MATCH(All!L$1,Fall!$1:$1,FALSE))="","",INDEX(Fall!$1:$1048576,MATCH(All!$A561,Fall!$A:$A,FALSE),MATCH(All!L$1,Fall!$1:$1,FALSE))),"")</f>
        <v>2A</v>
      </c>
      <c r="M561" t="str">
        <f>IFERROR(IF(INDEX(Fall!$1:$1048576,MATCH(All!$A561,Fall!$A:$A,FALSE),MATCH(All!M$1,Fall!$1:$1,FALSE))="","",INDEX(Fall!$1:$1048576,MATCH(All!$A561,Fall!$A:$A,FALSE),MATCH(All!M$1,Fall!$1:$1,FALSE))),"")</f>
        <v>4A</v>
      </c>
      <c r="O561">
        <f>IFERROR(IF(INDEX(Winter!$1:$1048576,MATCH(All!$A561,Winter!$A:$A,FALSE),MATCH(All!O$1,Winter!$1:$1,FALSE))="","",INDEX(Winter!$1:$1048576,MATCH(All!$A561,Winter!$A:$A,FALSE),MATCH(All!O$1,Winter!$1:$1,FALSE))),"")</f>
        <v>1604</v>
      </c>
      <c r="P561" t="str">
        <f>IFERROR(IF(INDEX(Winter!$1:$1048576,MATCH(All!$A561,Winter!$A:$A,FALSE),MATCH(All!P$1,Winter!$1:$1,FALSE))="","",INDEX(Winter!$1:$1048576,MATCH(All!$A561,Winter!$A:$A,FALSE),MATCH(All!P$1,Winter!$1:$1,FALSE))),"")</f>
        <v>4A</v>
      </c>
      <c r="Q561" t="str">
        <f>IFERROR(IF(INDEX(Winter!$1:$1048576,MATCH(All!$A561,Winter!$A:$A,FALSE),MATCH(All!Q$1,Winter!$1:$1,FALSE))="","",INDEX(Winter!$1:$1048576,MATCH(All!$A561,Winter!$A:$A,FALSE),MATCH(All!Q$1,Winter!$1:$1,FALSE))),"")</f>
        <v>4A</v>
      </c>
      <c r="R561" t="str">
        <f>IFERROR(IF(INDEX(Winter!$1:$1048576,MATCH(All!$A561,Winter!$A:$A,FALSE),MATCH(All!R$1,Winter!$1:$1,FALSE))="","",INDEX(Winter!$1:$1048576,MATCH(All!$A561,Winter!$A:$A,FALSE),MATCH(All!R$1,Winter!$1:$1,FALSE))),"")</f>
        <v>3A</v>
      </c>
      <c r="S561" t="str">
        <f>IFERROR(IF(INDEX(Winter!$1:$1048576,MATCH(All!$A561,Winter!$A:$A,FALSE),MATCH(All!S$1,Winter!$1:$1,FALSE))="","",INDEX(Winter!$1:$1048576,MATCH(All!$A561,Winter!$A:$A,FALSE),MATCH(All!S$1,Winter!$1:$1,FALSE))),"")</f>
        <v>2A</v>
      </c>
      <c r="T561" t="str">
        <f>IFERROR(IF(INDEX(Winter!$1:$1048576,MATCH(All!$A561,Winter!$A:$A,FALSE),MATCH(All!T$1,Winter!$1:$1,FALSE))="","",INDEX(Winter!$1:$1048576,MATCH(All!$A561,Winter!$A:$A,FALSE),MATCH(All!T$1,Winter!$1:$1,FALSE))),"")</f>
        <v>2A</v>
      </c>
      <c r="U561" t="str">
        <f>IFERROR(IF(INDEX(Winter!$1:$1048576,MATCH(All!$A561,Winter!$A:$A,FALSE),MATCH(All!U$1,Winter!$1:$1,FALSE))="","",INDEX(Winter!$1:$1048576,MATCH(All!$A561,Winter!$A:$A,FALSE),MATCH(All!U$1,Winter!$1:$1,FALSE))),"")</f>
        <v>2A</v>
      </c>
      <c r="W561">
        <f>IFERROR(IF(INDEX(Spring!$1:$1048576,MATCH(All!$A561,Spring!$A:$A,FALSE),MATCH(All!W$1,Spring!$1:$1,FALSE))="","",INDEX(Spring!$1:$1048576,MATCH(All!$A561,Spring!$A:$A,FALSE),MATCH(All!W$1,Spring!$1:$1,FALSE))),"")</f>
        <v>1604</v>
      </c>
      <c r="X561" t="str">
        <f>IFERROR(IF(INDEX(Spring!$1:$1048576,MATCH(All!$A561,Spring!$A:$A,FALSE),MATCH(All!X$1,Spring!$1:$1,FALSE))="","",INDEX(Spring!$1:$1048576,MATCH(All!$A561,Spring!$A:$A,FALSE),MATCH(All!X$1,Spring!$1:$1,FALSE))),"")</f>
        <v>4A</v>
      </c>
      <c r="Y561" t="str">
        <f>IFERROR(IF(INDEX(Spring!$1:$1048576,MATCH(All!$A561,Spring!$A:$A,FALSE),MATCH(All!Y$1,Spring!$1:$1,FALSE))="","",INDEX(Spring!$1:$1048576,MATCH(All!$A561,Spring!$A:$A,FALSE),MATCH(All!Y$1,Spring!$1:$1,FALSE))),"")</f>
        <v>4A</v>
      </c>
      <c r="Z561" t="str">
        <f>IFERROR(IF(INDEX(Spring!$1:$1048576,MATCH(All!$A561,Spring!$A:$A,FALSE),MATCH(All!Z$1,Spring!$1:$1,FALSE))="","",INDEX(Spring!$1:$1048576,MATCH(All!$A561,Spring!$A:$A,FALSE),MATCH(All!Z$1,Spring!$1:$1,FALSE))),"")</f>
        <v>2A</v>
      </c>
      <c r="AA561" t="str">
        <f>IFERROR(IF(INDEX(Spring!$1:$1048576,MATCH(All!$A561,Spring!$A:$A,FALSE),MATCH(All!AA$1,Spring!$1:$1,FALSE))="","",INDEX(Spring!$1:$1048576,MATCH(All!$A561,Spring!$A:$A,FALSE),MATCH(All!AA$1,Spring!$1:$1,FALSE))),"")</f>
        <v>2A</v>
      </c>
      <c r="AB561" t="str">
        <f>IFERROR(IF(INDEX(Spring!$1:$1048576,MATCH(All!$A561,Spring!$A:$A,FALSE),MATCH(All!AB$1,Spring!$1:$1,FALSE))="","",INDEX(Spring!$1:$1048576,MATCH(All!$A561,Spring!$A:$A,FALSE),MATCH(All!AB$1,Spring!$1:$1,FALSE))),"")</f>
        <v>3A</v>
      </c>
      <c r="AC561" t="str">
        <f>IFERROR(IF(INDEX(Spring!$1:$1048576,MATCH(All!$A561,Spring!$A:$A,FALSE),MATCH(All!AC$1,Spring!$1:$1,FALSE))="","",INDEX(Spring!$1:$1048576,MATCH(All!$A561,Spring!$A:$A,FALSE),MATCH(All!AC$1,Spring!$1:$1,FALSE))),"")</f>
        <v>3A</v>
      </c>
      <c r="AD561" t="str">
        <f>IFERROR(VLOOKUP(A561,'Flag Football'!A:A,1,FALSE),"")</f>
        <v>Oak Lawn (Richards)</v>
      </c>
      <c r="AE561" t="str">
        <f t="shared" si="8"/>
        <v>1A</v>
      </c>
    </row>
    <row r="562" spans="1:31" ht="15.75" thickBot="1" x14ac:dyDescent="0.3">
      <c r="A562" s="18" t="s">
        <v>658</v>
      </c>
      <c r="B562" s="38" t="str">
        <f>IFERROR(VLOOKUP(A562,'Public v Private'!A:G,3,FALSE),"")</f>
        <v>private</v>
      </c>
      <c r="C562" s="38">
        <f>IFERROR(VLOOKUP(A562,'Public v Private'!A:G,4,FALSE),"")</f>
        <v>3</v>
      </c>
      <c r="D562" s="38">
        <f>IFERROR(VLOOKUP(A562,'Public v Private'!A:G,5,FALSE),"")</f>
        <v>7</v>
      </c>
      <c r="E562" s="38"/>
      <c r="F562" s="40" t="str">
        <f>IFERROR(INDEX(Fall!$1:$1048576,MATCH(All!$A562,Fall!$A:$A,FALSE),MATCH(All!F$1,Fall!$1:$1,FALSE)),"N/A")</f>
        <v>966.00 (1,593.90)</v>
      </c>
      <c r="G562" t="str">
        <f>IFERROR(IF(INDEX(Fall!$1:$1048576,MATCH(All!$A562,Fall!$A:$A,FALSE),MATCH(All!G$1,Fall!$1:$1,FALSE))="","",INDEX(Fall!$1:$1048576,MATCH(All!$A562,Fall!$A:$A,FALSE),MATCH(All!G$1,Fall!$1:$1,FALSE))),"")</f>
        <v>3A</v>
      </c>
      <c r="H562" t="str">
        <f>IFERROR(IF(INDEX(Fall!$1:$1048576,MATCH(All!$A562,Fall!$A:$A,FALSE),MATCH(All!H$1,Fall!$1:$1,FALSE))="","",INDEX(Fall!$1:$1048576,MATCH(All!$A562,Fall!$A:$A,FALSE),MATCH(All!H$1,Fall!$1:$1,FALSE))),"")</f>
        <v>3A</v>
      </c>
      <c r="I562" t="str">
        <f>IFERROR(IF(INDEX(Fall!$1:$1048576,MATCH(All!$A562,Fall!$A:$A,FALSE),MATCH(All!I$1,Fall!$1:$1,FALSE))="","",INDEX(Fall!$1:$1048576,MATCH(All!$A562,Fall!$A:$A,FALSE),MATCH(All!I$1,Fall!$1:$1,FALSE))),"")</f>
        <v>3A</v>
      </c>
      <c r="J562" t="str">
        <f>IFERROR(IF(INDEX(Fall!$1:$1048576,MATCH(All!$A562,Fall!$A:$A,FALSE),MATCH(All!J$1,Fall!$1:$1,FALSE))="","",INDEX(Fall!$1:$1048576,MATCH(All!$A562,Fall!$A:$A,FALSE),MATCH(All!J$1,Fall!$1:$1,FALSE))),"")</f>
        <v>2A</v>
      </c>
      <c r="K562" t="str">
        <f>IFERROR(IF(INDEX(Fall!$1:$1048576,MATCH(All!$A562,Fall!$A:$A,FALSE),MATCH(All!K$1,Fall!$1:$1,FALSE))="","",INDEX(Fall!$1:$1048576,MATCH(All!$A562,Fall!$A:$A,FALSE),MATCH(All!K$1,Fall!$1:$1,FALSE))),"")</f>
        <v>2A</v>
      </c>
      <c r="L562" t="str">
        <f>IFERROR(IF(INDEX(Fall!$1:$1048576,MATCH(All!$A562,Fall!$A:$A,FALSE),MATCH(All!L$1,Fall!$1:$1,FALSE))="","",INDEX(Fall!$1:$1048576,MATCH(All!$A562,Fall!$A:$A,FALSE),MATCH(All!L$1,Fall!$1:$1,FALSE))),"")</f>
        <v>2A</v>
      </c>
      <c r="M562" t="str">
        <f>IFERROR(IF(INDEX(Fall!$1:$1048576,MATCH(All!$A562,Fall!$A:$A,FALSE),MATCH(All!M$1,Fall!$1:$1,FALSE))="","",INDEX(Fall!$1:$1048576,MATCH(All!$A562,Fall!$A:$A,FALSE),MATCH(All!M$1,Fall!$1:$1,FALSE))),"")</f>
        <v>3A</v>
      </c>
      <c r="O562" t="str">
        <f>IFERROR(IF(INDEX(Winter!$1:$1048576,MATCH(All!$A562,Winter!$A:$A,FALSE),MATCH(All!O$1,Winter!$1:$1,FALSE))="","",INDEX(Winter!$1:$1048576,MATCH(All!$A562,Winter!$A:$A,FALSE),MATCH(All!O$1,Winter!$1:$1,FALSE))),"")</f>
        <v>966.00 (1,593.90)</v>
      </c>
      <c r="P562" t="str">
        <f>IFERROR(IF(INDEX(Winter!$1:$1048576,MATCH(All!$A562,Winter!$A:$A,FALSE),MATCH(All!P$1,Winter!$1:$1,FALSE))="","",INDEX(Winter!$1:$1048576,MATCH(All!$A562,Winter!$A:$A,FALSE),MATCH(All!P$1,Winter!$1:$1,FALSE))),"")</f>
        <v>3A</v>
      </c>
      <c r="Q562" t="str">
        <f>IFERROR(IF(INDEX(Winter!$1:$1048576,MATCH(All!$A562,Winter!$A:$A,FALSE),MATCH(All!Q$1,Winter!$1:$1,FALSE))="","",INDEX(Winter!$1:$1048576,MATCH(All!$A562,Winter!$A:$A,FALSE),MATCH(All!Q$1,Winter!$1:$1,FALSE))),"")</f>
        <v>3A</v>
      </c>
      <c r="R562" t="str">
        <f>IFERROR(IF(INDEX(Winter!$1:$1048576,MATCH(All!$A562,Winter!$A:$A,FALSE),MATCH(All!R$1,Winter!$1:$1,FALSE))="","",INDEX(Winter!$1:$1048576,MATCH(All!$A562,Winter!$A:$A,FALSE),MATCH(All!R$1,Winter!$1:$1,FALSE))),"")</f>
        <v>2A</v>
      </c>
      <c r="S562" t="str">
        <f>IFERROR(IF(INDEX(Winter!$1:$1048576,MATCH(All!$A562,Winter!$A:$A,FALSE),MATCH(All!S$1,Winter!$1:$1,FALSE))="","",INDEX(Winter!$1:$1048576,MATCH(All!$A562,Winter!$A:$A,FALSE),MATCH(All!S$1,Winter!$1:$1,FALSE))),"")</f>
        <v>2A</v>
      </c>
      <c r="T562" t="str">
        <f>IFERROR(IF(INDEX(Winter!$1:$1048576,MATCH(All!$A562,Winter!$A:$A,FALSE),MATCH(All!T$1,Winter!$1:$1,FALSE))="","",INDEX(Winter!$1:$1048576,MATCH(All!$A562,Winter!$A:$A,FALSE),MATCH(All!T$1,Winter!$1:$1,FALSE))),"")</f>
        <v>2A</v>
      </c>
      <c r="U562" t="str">
        <f>IFERROR(IF(INDEX(Winter!$1:$1048576,MATCH(All!$A562,Winter!$A:$A,FALSE),MATCH(All!U$1,Winter!$1:$1,FALSE))="","",INDEX(Winter!$1:$1048576,MATCH(All!$A562,Winter!$A:$A,FALSE),MATCH(All!U$1,Winter!$1:$1,FALSE))),"")</f>
        <v>2A</v>
      </c>
      <c r="W562" t="str">
        <f>IFERROR(IF(INDEX(Spring!$1:$1048576,MATCH(All!$A562,Spring!$A:$A,FALSE),MATCH(All!W$1,Spring!$1:$1,FALSE))="","",INDEX(Spring!$1:$1048576,MATCH(All!$A562,Spring!$A:$A,FALSE),MATCH(All!W$1,Spring!$1:$1,FALSE))),"")</f>
        <v>966.00 (1,593.90)</v>
      </c>
      <c r="X562" t="str">
        <f>IFERROR(IF(INDEX(Spring!$1:$1048576,MATCH(All!$A562,Spring!$A:$A,FALSE),MATCH(All!X$1,Spring!$1:$1,FALSE))="","",INDEX(Spring!$1:$1048576,MATCH(All!$A562,Spring!$A:$A,FALSE),MATCH(All!X$1,Spring!$1:$1,FALSE))),"")</f>
        <v>3A</v>
      </c>
      <c r="Y562" t="str">
        <f>IFERROR(IF(INDEX(Spring!$1:$1048576,MATCH(All!$A562,Spring!$A:$A,FALSE),MATCH(All!Y$1,Spring!$1:$1,FALSE))="","",INDEX(Spring!$1:$1048576,MATCH(All!$A562,Spring!$A:$A,FALSE),MATCH(All!Y$1,Spring!$1:$1,FALSE))),"")</f>
        <v>3A</v>
      </c>
      <c r="Z562" t="str">
        <f>IFERROR(IF(INDEX(Spring!$1:$1048576,MATCH(All!$A562,Spring!$A:$A,FALSE),MATCH(All!Z$1,Spring!$1:$1,FALSE))="","",INDEX(Spring!$1:$1048576,MATCH(All!$A562,Spring!$A:$A,FALSE),MATCH(All!Z$1,Spring!$1:$1,FALSE))),"")</f>
        <v>2A</v>
      </c>
      <c r="AA562" t="str">
        <f>IFERROR(IF(INDEX(Spring!$1:$1048576,MATCH(All!$A562,Spring!$A:$A,FALSE),MATCH(All!AA$1,Spring!$1:$1,FALSE))="","",INDEX(Spring!$1:$1048576,MATCH(All!$A562,Spring!$A:$A,FALSE),MATCH(All!AA$1,Spring!$1:$1,FALSE))),"")</f>
        <v>1A</v>
      </c>
      <c r="AB562" t="str">
        <f>IFERROR(IF(INDEX(Spring!$1:$1048576,MATCH(All!$A562,Spring!$A:$A,FALSE),MATCH(All!AB$1,Spring!$1:$1,FALSE))="","",INDEX(Spring!$1:$1048576,MATCH(All!$A562,Spring!$A:$A,FALSE),MATCH(All!AB$1,Spring!$1:$1,FALSE))),"")</f>
        <v>2A</v>
      </c>
      <c r="AC562" t="str">
        <f>IFERROR(IF(INDEX(Spring!$1:$1048576,MATCH(All!$A562,Spring!$A:$A,FALSE),MATCH(All!AC$1,Spring!$1:$1,FALSE))="","",INDEX(Spring!$1:$1048576,MATCH(All!$A562,Spring!$A:$A,FALSE),MATCH(All!AC$1,Spring!$1:$1,FALSE))),"")</f>
        <v>2A</v>
      </c>
      <c r="AD562" t="str">
        <f>IFERROR(VLOOKUP(A562,'Flag Football'!A:A,1,FALSE),"")</f>
        <v>Oak Park (Fenwick)</v>
      </c>
      <c r="AE562" t="str">
        <f t="shared" si="8"/>
        <v>1A</v>
      </c>
    </row>
    <row r="563" spans="1:31" ht="15.75" thickBot="1" x14ac:dyDescent="0.3">
      <c r="A563" s="20" t="s">
        <v>660</v>
      </c>
      <c r="B563" s="38">
        <f>IFERROR(VLOOKUP(A563,'Public v Private'!A:G,3,FALSE),"")</f>
        <v>0</v>
      </c>
      <c r="C563" s="38">
        <f>IFERROR(VLOOKUP(A563,'Public v Private'!A:G,4,FALSE),"")</f>
        <v>0</v>
      </c>
      <c r="D563" s="38">
        <f>IFERROR(VLOOKUP(A563,'Public v Private'!A:G,5,FALSE),"")</f>
        <v>0</v>
      </c>
      <c r="E563" s="38"/>
      <c r="F563" s="40">
        <f>IFERROR(INDEX(Fall!$1:$1048576,MATCH(All!$A563,Fall!$A:$A,FALSE),MATCH(All!F$1,Fall!$1:$1,FALSE)),"N/A")</f>
        <v>3285</v>
      </c>
      <c r="G563" t="str">
        <f>IFERROR(IF(INDEX(Fall!$1:$1048576,MATCH(All!$A563,Fall!$A:$A,FALSE),MATCH(All!G$1,Fall!$1:$1,FALSE))="","",INDEX(Fall!$1:$1048576,MATCH(All!$A563,Fall!$A:$A,FALSE),MATCH(All!G$1,Fall!$1:$1,FALSE))),"")</f>
        <v>3A</v>
      </c>
      <c r="H563" t="str">
        <f>IFERROR(IF(INDEX(Fall!$1:$1048576,MATCH(All!$A563,Fall!$A:$A,FALSE),MATCH(All!H$1,Fall!$1:$1,FALSE))="","",INDEX(Fall!$1:$1048576,MATCH(All!$A563,Fall!$A:$A,FALSE),MATCH(All!H$1,Fall!$1:$1,FALSE))),"")</f>
        <v>3A</v>
      </c>
      <c r="I563" t="str">
        <f>IFERROR(IF(INDEX(Fall!$1:$1048576,MATCH(All!$A563,Fall!$A:$A,FALSE),MATCH(All!I$1,Fall!$1:$1,FALSE))="","",INDEX(Fall!$1:$1048576,MATCH(All!$A563,Fall!$A:$A,FALSE),MATCH(All!I$1,Fall!$1:$1,FALSE))),"")</f>
        <v>3A</v>
      </c>
      <c r="J563" t="str">
        <f>IFERROR(IF(INDEX(Fall!$1:$1048576,MATCH(All!$A563,Fall!$A:$A,FALSE),MATCH(All!J$1,Fall!$1:$1,FALSE))="","",INDEX(Fall!$1:$1048576,MATCH(All!$A563,Fall!$A:$A,FALSE),MATCH(All!J$1,Fall!$1:$1,FALSE))),"")</f>
        <v>2A</v>
      </c>
      <c r="K563" t="str">
        <f>IFERROR(IF(INDEX(Fall!$1:$1048576,MATCH(All!$A563,Fall!$A:$A,FALSE),MATCH(All!K$1,Fall!$1:$1,FALSE))="","",INDEX(Fall!$1:$1048576,MATCH(All!$A563,Fall!$A:$A,FALSE),MATCH(All!K$1,Fall!$1:$1,FALSE))),"")</f>
        <v>3A</v>
      </c>
      <c r="L563" t="str">
        <f>IFERROR(IF(INDEX(Fall!$1:$1048576,MATCH(All!$A563,Fall!$A:$A,FALSE),MATCH(All!L$1,Fall!$1:$1,FALSE))="","",INDEX(Fall!$1:$1048576,MATCH(All!$A563,Fall!$A:$A,FALSE),MATCH(All!L$1,Fall!$1:$1,FALSE))),"")</f>
        <v>2A</v>
      </c>
      <c r="M563" t="str">
        <f>IFERROR(IF(INDEX(Fall!$1:$1048576,MATCH(All!$A563,Fall!$A:$A,FALSE),MATCH(All!M$1,Fall!$1:$1,FALSE))="","",INDEX(Fall!$1:$1048576,MATCH(All!$A563,Fall!$A:$A,FALSE),MATCH(All!M$1,Fall!$1:$1,FALSE))),"")</f>
        <v>4A</v>
      </c>
      <c r="O563">
        <f>IFERROR(IF(INDEX(Winter!$1:$1048576,MATCH(All!$A563,Winter!$A:$A,FALSE),MATCH(All!O$1,Winter!$1:$1,FALSE))="","",INDEX(Winter!$1:$1048576,MATCH(All!$A563,Winter!$A:$A,FALSE),MATCH(All!O$1,Winter!$1:$1,FALSE))),"")</f>
        <v>3285</v>
      </c>
      <c r="P563" t="str">
        <f>IFERROR(IF(INDEX(Winter!$1:$1048576,MATCH(All!$A563,Winter!$A:$A,FALSE),MATCH(All!P$1,Winter!$1:$1,FALSE))="","",INDEX(Winter!$1:$1048576,MATCH(All!$A563,Winter!$A:$A,FALSE),MATCH(All!P$1,Winter!$1:$1,FALSE))),"")</f>
        <v>4A</v>
      </c>
      <c r="Q563" t="str">
        <f>IFERROR(IF(INDEX(Winter!$1:$1048576,MATCH(All!$A563,Winter!$A:$A,FALSE),MATCH(All!Q$1,Winter!$1:$1,FALSE))="","",INDEX(Winter!$1:$1048576,MATCH(All!$A563,Winter!$A:$A,FALSE),MATCH(All!Q$1,Winter!$1:$1,FALSE))),"")</f>
        <v>4A</v>
      </c>
      <c r="R563" t="str">
        <f>IFERROR(IF(INDEX(Winter!$1:$1048576,MATCH(All!$A563,Winter!$A:$A,FALSE),MATCH(All!R$1,Winter!$1:$1,FALSE))="","",INDEX(Winter!$1:$1048576,MATCH(All!$A563,Winter!$A:$A,FALSE),MATCH(All!R$1,Winter!$1:$1,FALSE))),"")</f>
        <v>3A</v>
      </c>
      <c r="S563" t="str">
        <f>IFERROR(IF(INDEX(Winter!$1:$1048576,MATCH(All!$A563,Winter!$A:$A,FALSE),MATCH(All!S$1,Winter!$1:$1,FALSE))="","",INDEX(Winter!$1:$1048576,MATCH(All!$A563,Winter!$A:$A,FALSE),MATCH(All!S$1,Winter!$1:$1,FALSE))),"")</f>
        <v>3A</v>
      </c>
      <c r="T563" t="str">
        <f>IFERROR(IF(INDEX(Winter!$1:$1048576,MATCH(All!$A563,Winter!$A:$A,FALSE),MATCH(All!T$1,Winter!$1:$1,FALSE))="","",INDEX(Winter!$1:$1048576,MATCH(All!$A563,Winter!$A:$A,FALSE),MATCH(All!T$1,Winter!$1:$1,FALSE))),"")</f>
        <v>2A</v>
      </c>
      <c r="U563" t="str">
        <f>IFERROR(IF(INDEX(Winter!$1:$1048576,MATCH(All!$A563,Winter!$A:$A,FALSE),MATCH(All!U$1,Winter!$1:$1,FALSE))="","",INDEX(Winter!$1:$1048576,MATCH(All!$A563,Winter!$A:$A,FALSE),MATCH(All!U$1,Winter!$1:$1,FALSE))),"")</f>
        <v>3A</v>
      </c>
      <c r="W563">
        <f>IFERROR(IF(INDEX(Spring!$1:$1048576,MATCH(All!$A563,Spring!$A:$A,FALSE),MATCH(All!W$1,Spring!$1:$1,FALSE))="","",INDEX(Spring!$1:$1048576,MATCH(All!$A563,Spring!$A:$A,FALSE),MATCH(All!W$1,Spring!$1:$1,FALSE))),"")</f>
        <v>3285</v>
      </c>
      <c r="X563" t="str">
        <f>IFERROR(IF(INDEX(Spring!$1:$1048576,MATCH(All!$A563,Spring!$A:$A,FALSE),MATCH(All!X$1,Spring!$1:$1,FALSE))="","",INDEX(Spring!$1:$1048576,MATCH(All!$A563,Spring!$A:$A,FALSE),MATCH(All!X$1,Spring!$1:$1,FALSE))),"")</f>
        <v>4A</v>
      </c>
      <c r="Y563" t="str">
        <f>IFERROR(IF(INDEX(Spring!$1:$1048576,MATCH(All!$A563,Spring!$A:$A,FALSE),MATCH(All!Y$1,Spring!$1:$1,FALSE))="","",INDEX(Spring!$1:$1048576,MATCH(All!$A563,Spring!$A:$A,FALSE),MATCH(All!Y$1,Spring!$1:$1,FALSE))),"")</f>
        <v>4A</v>
      </c>
      <c r="Z563" t="str">
        <f>IFERROR(IF(INDEX(Spring!$1:$1048576,MATCH(All!$A563,Spring!$A:$A,FALSE),MATCH(All!Z$1,Spring!$1:$1,FALSE))="","",INDEX(Spring!$1:$1048576,MATCH(All!$A563,Spring!$A:$A,FALSE),MATCH(All!Z$1,Spring!$1:$1,FALSE))),"")</f>
        <v>3A</v>
      </c>
      <c r="AA563" t="str">
        <f>IFERROR(IF(INDEX(Spring!$1:$1048576,MATCH(All!$A563,Spring!$A:$A,FALSE),MATCH(All!AA$1,Spring!$1:$1,FALSE))="","",INDEX(Spring!$1:$1048576,MATCH(All!$A563,Spring!$A:$A,FALSE),MATCH(All!AA$1,Spring!$1:$1,FALSE))),"")</f>
        <v>2A</v>
      </c>
      <c r="AB563" t="str">
        <f>IFERROR(IF(INDEX(Spring!$1:$1048576,MATCH(All!$A563,Spring!$A:$A,FALSE),MATCH(All!AB$1,Spring!$1:$1,FALSE))="","",INDEX(Spring!$1:$1048576,MATCH(All!$A563,Spring!$A:$A,FALSE),MATCH(All!AB$1,Spring!$1:$1,FALSE))),"")</f>
        <v>3A</v>
      </c>
      <c r="AC563" t="str">
        <f>IFERROR(IF(INDEX(Spring!$1:$1048576,MATCH(All!$A563,Spring!$A:$A,FALSE),MATCH(All!AC$1,Spring!$1:$1,FALSE))="","",INDEX(Spring!$1:$1048576,MATCH(All!$A563,Spring!$A:$A,FALSE),MATCH(All!AC$1,Spring!$1:$1,FALSE))),"")</f>
        <v>3A</v>
      </c>
      <c r="AD563" t="str">
        <f>IFERROR(VLOOKUP(A563,'Flag Football'!A:A,1,FALSE),"")</f>
        <v>Oak Park (O.P.-River Forest)</v>
      </c>
      <c r="AE563" t="str">
        <f t="shared" si="8"/>
        <v>1A</v>
      </c>
    </row>
    <row r="564" spans="1:31" ht="15.75" thickBot="1" x14ac:dyDescent="0.3">
      <c r="A564" s="18" t="s">
        <v>661</v>
      </c>
      <c r="B564" s="38">
        <f>IFERROR(VLOOKUP(A564,'Public v Private'!A:G,3,FALSE),"")</f>
        <v>0</v>
      </c>
      <c r="C564" s="38">
        <f>IFERROR(VLOOKUP(A564,'Public v Private'!A:G,4,FALSE),"")</f>
        <v>0</v>
      </c>
      <c r="D564" s="38">
        <f>IFERROR(VLOOKUP(A564,'Public v Private'!A:G,5,FALSE),"")</f>
        <v>0</v>
      </c>
      <c r="E564" s="38"/>
      <c r="F564" s="40">
        <f>IFERROR(INDEX(Fall!$1:$1048576,MATCH(All!$A564,Fall!$A:$A,FALSE),MATCH(All!F$1,Fall!$1:$1,FALSE)),"N/A")</f>
        <v>59</v>
      </c>
      <c r="G564" t="str">
        <f>IFERROR(IF(INDEX(Fall!$1:$1048576,MATCH(All!$A564,Fall!$A:$A,FALSE),MATCH(All!G$1,Fall!$1:$1,FALSE))="","",INDEX(Fall!$1:$1048576,MATCH(All!$A564,Fall!$A:$A,FALSE),MATCH(All!G$1,Fall!$1:$1,FALSE))),"")</f>
        <v>1A</v>
      </c>
      <c r="H564" t="str">
        <f>IFERROR(IF(INDEX(Fall!$1:$1048576,MATCH(All!$A564,Fall!$A:$A,FALSE),MATCH(All!H$1,Fall!$1:$1,FALSE))="","",INDEX(Fall!$1:$1048576,MATCH(All!$A564,Fall!$A:$A,FALSE),MATCH(All!H$1,Fall!$1:$1,FALSE))),"")</f>
        <v/>
      </c>
      <c r="I564" t="str">
        <f>IFERROR(IF(INDEX(Fall!$1:$1048576,MATCH(All!$A564,Fall!$A:$A,FALSE),MATCH(All!I$1,Fall!$1:$1,FALSE))="","",INDEX(Fall!$1:$1048576,MATCH(All!$A564,Fall!$A:$A,FALSE),MATCH(All!I$1,Fall!$1:$1,FALSE))),"")</f>
        <v/>
      </c>
      <c r="J564" t="str">
        <f>IFERROR(IF(INDEX(Fall!$1:$1048576,MATCH(All!$A564,Fall!$A:$A,FALSE),MATCH(All!J$1,Fall!$1:$1,FALSE))="","",INDEX(Fall!$1:$1048576,MATCH(All!$A564,Fall!$A:$A,FALSE),MATCH(All!J$1,Fall!$1:$1,FALSE))),"")</f>
        <v/>
      </c>
      <c r="K564" t="str">
        <f>IFERROR(IF(INDEX(Fall!$1:$1048576,MATCH(All!$A564,Fall!$A:$A,FALSE),MATCH(All!K$1,Fall!$1:$1,FALSE))="","",INDEX(Fall!$1:$1048576,MATCH(All!$A564,Fall!$A:$A,FALSE),MATCH(All!K$1,Fall!$1:$1,FALSE))),"")</f>
        <v/>
      </c>
      <c r="L564" t="str">
        <f>IFERROR(IF(INDEX(Fall!$1:$1048576,MATCH(All!$A564,Fall!$A:$A,FALSE),MATCH(All!L$1,Fall!$1:$1,FALSE))="","",INDEX(Fall!$1:$1048576,MATCH(All!$A564,Fall!$A:$A,FALSE),MATCH(All!L$1,Fall!$1:$1,FALSE))),"")</f>
        <v/>
      </c>
      <c r="M564" t="str">
        <f>IFERROR(IF(INDEX(Fall!$1:$1048576,MATCH(All!$A564,Fall!$A:$A,FALSE),MATCH(All!M$1,Fall!$1:$1,FALSE))="","",INDEX(Fall!$1:$1048576,MATCH(All!$A564,Fall!$A:$A,FALSE),MATCH(All!M$1,Fall!$1:$1,FALSE))),"")</f>
        <v/>
      </c>
      <c r="O564">
        <f>IFERROR(IF(INDEX(Winter!$1:$1048576,MATCH(All!$A564,Winter!$A:$A,FALSE),MATCH(All!O$1,Winter!$1:$1,FALSE))="","",INDEX(Winter!$1:$1048576,MATCH(All!$A564,Winter!$A:$A,FALSE),MATCH(All!O$1,Winter!$1:$1,FALSE))),"")</f>
        <v>59</v>
      </c>
      <c r="P564" t="str">
        <f>IFERROR(IF(INDEX(Winter!$1:$1048576,MATCH(All!$A564,Winter!$A:$A,FALSE),MATCH(All!P$1,Winter!$1:$1,FALSE))="","",INDEX(Winter!$1:$1048576,MATCH(All!$A564,Winter!$A:$A,FALSE),MATCH(All!P$1,Winter!$1:$1,FALSE))),"")</f>
        <v>1A</v>
      </c>
      <c r="Q564" t="str">
        <f>IFERROR(IF(INDEX(Winter!$1:$1048576,MATCH(All!$A564,Winter!$A:$A,FALSE),MATCH(All!Q$1,Winter!$1:$1,FALSE))="","",INDEX(Winter!$1:$1048576,MATCH(All!$A564,Winter!$A:$A,FALSE),MATCH(All!Q$1,Winter!$1:$1,FALSE))),"")</f>
        <v>1A</v>
      </c>
      <c r="R564" t="str">
        <f>IFERROR(IF(INDEX(Winter!$1:$1048576,MATCH(All!$A564,Winter!$A:$A,FALSE),MATCH(All!R$1,Winter!$1:$1,FALSE))="","",INDEX(Winter!$1:$1048576,MATCH(All!$A564,Winter!$A:$A,FALSE),MATCH(All!R$1,Winter!$1:$1,FALSE))),"")</f>
        <v/>
      </c>
      <c r="S564" t="str">
        <f>IFERROR(IF(INDEX(Winter!$1:$1048576,MATCH(All!$A564,Winter!$A:$A,FALSE),MATCH(All!S$1,Winter!$1:$1,FALSE))="","",INDEX(Winter!$1:$1048576,MATCH(All!$A564,Winter!$A:$A,FALSE),MATCH(All!S$1,Winter!$1:$1,FALSE))),"")</f>
        <v/>
      </c>
      <c r="T564" t="str">
        <f>IFERROR(IF(INDEX(Winter!$1:$1048576,MATCH(All!$A564,Winter!$A:$A,FALSE),MATCH(All!T$1,Winter!$1:$1,FALSE))="","",INDEX(Winter!$1:$1048576,MATCH(All!$A564,Winter!$A:$A,FALSE),MATCH(All!T$1,Winter!$1:$1,FALSE))),"")</f>
        <v/>
      </c>
      <c r="U564" t="str">
        <f>IFERROR(IF(INDEX(Winter!$1:$1048576,MATCH(All!$A564,Winter!$A:$A,FALSE),MATCH(All!U$1,Winter!$1:$1,FALSE))="","",INDEX(Winter!$1:$1048576,MATCH(All!$A564,Winter!$A:$A,FALSE),MATCH(All!U$1,Winter!$1:$1,FALSE))),"")</f>
        <v/>
      </c>
      <c r="W564">
        <f>IFERROR(IF(INDEX(Spring!$1:$1048576,MATCH(All!$A564,Spring!$A:$A,FALSE),MATCH(All!W$1,Spring!$1:$1,FALSE))="","",INDEX(Spring!$1:$1048576,MATCH(All!$A564,Spring!$A:$A,FALSE),MATCH(All!W$1,Spring!$1:$1,FALSE))),"")</f>
        <v>59</v>
      </c>
      <c r="X564" t="str">
        <f>IFERROR(IF(INDEX(Spring!$1:$1048576,MATCH(All!$A564,Spring!$A:$A,FALSE),MATCH(All!X$1,Spring!$1:$1,FALSE))="","",INDEX(Spring!$1:$1048576,MATCH(All!$A564,Spring!$A:$A,FALSE),MATCH(All!X$1,Spring!$1:$1,FALSE))),"")</f>
        <v/>
      </c>
      <c r="Y564" t="str">
        <f>IFERROR(IF(INDEX(Spring!$1:$1048576,MATCH(All!$A564,Spring!$A:$A,FALSE),MATCH(All!Y$1,Spring!$1:$1,FALSE))="","",INDEX(Spring!$1:$1048576,MATCH(All!$A564,Spring!$A:$A,FALSE),MATCH(All!Y$1,Spring!$1:$1,FALSE))),"")</f>
        <v>1A</v>
      </c>
      <c r="Z564" t="str">
        <f>IFERROR(IF(INDEX(Spring!$1:$1048576,MATCH(All!$A564,Spring!$A:$A,FALSE),MATCH(All!Z$1,Spring!$1:$1,FALSE))="","",INDEX(Spring!$1:$1048576,MATCH(All!$A564,Spring!$A:$A,FALSE),MATCH(All!Z$1,Spring!$1:$1,FALSE))),"")</f>
        <v/>
      </c>
      <c r="AA564" t="str">
        <f>IFERROR(IF(INDEX(Spring!$1:$1048576,MATCH(All!$A564,Spring!$A:$A,FALSE),MATCH(All!AA$1,Spring!$1:$1,FALSE))="","",INDEX(Spring!$1:$1048576,MATCH(All!$A564,Spring!$A:$A,FALSE),MATCH(All!AA$1,Spring!$1:$1,FALSE))),"")</f>
        <v/>
      </c>
      <c r="AB564" t="str">
        <f>IFERROR(IF(INDEX(Spring!$1:$1048576,MATCH(All!$A564,Spring!$A:$A,FALSE),MATCH(All!AB$1,Spring!$1:$1,FALSE))="","",INDEX(Spring!$1:$1048576,MATCH(All!$A564,Spring!$A:$A,FALSE),MATCH(All!AB$1,Spring!$1:$1,FALSE))),"")</f>
        <v>1A</v>
      </c>
      <c r="AC564" t="str">
        <f>IFERROR(IF(INDEX(Spring!$1:$1048576,MATCH(All!$A564,Spring!$A:$A,FALSE),MATCH(All!AC$1,Spring!$1:$1,FALSE))="","",INDEX(Spring!$1:$1048576,MATCH(All!$A564,Spring!$A:$A,FALSE),MATCH(All!AC$1,Spring!$1:$1,FALSE))),"")</f>
        <v>1A</v>
      </c>
      <c r="AD564" t="str">
        <f>IFERROR(VLOOKUP(A564,'Flag Football'!A:A,1,FALSE),"")</f>
        <v/>
      </c>
      <c r="AE564" t="str">
        <f t="shared" si="8"/>
        <v/>
      </c>
    </row>
    <row r="565" spans="1:31" ht="15.75" thickBot="1" x14ac:dyDescent="0.3">
      <c r="A565" s="20" t="s">
        <v>662</v>
      </c>
      <c r="B565" s="38">
        <f>IFERROR(VLOOKUP(A565,'Public v Private'!A:G,3,FALSE),"")</f>
        <v>0</v>
      </c>
      <c r="C565" s="38">
        <f>IFERROR(VLOOKUP(A565,'Public v Private'!A:G,4,FALSE),"")</f>
        <v>0</v>
      </c>
      <c r="D565" s="38">
        <f>IFERROR(VLOOKUP(A565,'Public v Private'!A:G,5,FALSE),"")</f>
        <v>0</v>
      </c>
      <c r="E565" s="38"/>
      <c r="F565" s="40">
        <f>IFERROR(INDEX(Fall!$1:$1048576,MATCH(All!$A565,Fall!$A:$A,FALSE),MATCH(All!F$1,Fall!$1:$1,FALSE)),"N/A")</f>
        <v>165</v>
      </c>
      <c r="G565" t="str">
        <f>IFERROR(IF(INDEX(Fall!$1:$1048576,MATCH(All!$A565,Fall!$A:$A,FALSE),MATCH(All!G$1,Fall!$1:$1,FALSE))="","",INDEX(Fall!$1:$1048576,MATCH(All!$A565,Fall!$A:$A,FALSE),MATCH(All!G$1,Fall!$1:$1,FALSE))),"")</f>
        <v>1A</v>
      </c>
      <c r="H565" t="str">
        <f>IFERROR(IF(INDEX(Fall!$1:$1048576,MATCH(All!$A565,Fall!$A:$A,FALSE),MATCH(All!H$1,Fall!$1:$1,FALSE))="","",INDEX(Fall!$1:$1048576,MATCH(All!$A565,Fall!$A:$A,FALSE),MATCH(All!H$1,Fall!$1:$1,FALSE))),"")</f>
        <v>1A</v>
      </c>
      <c r="I565" t="str">
        <f>IFERROR(IF(INDEX(Fall!$1:$1048576,MATCH(All!$A565,Fall!$A:$A,FALSE),MATCH(All!I$1,Fall!$1:$1,FALSE))="","",INDEX(Fall!$1:$1048576,MATCH(All!$A565,Fall!$A:$A,FALSE),MATCH(All!I$1,Fall!$1:$1,FALSE))),"")</f>
        <v>1A</v>
      </c>
      <c r="J565" t="str">
        <f>IFERROR(IF(INDEX(Fall!$1:$1048576,MATCH(All!$A565,Fall!$A:$A,FALSE),MATCH(All!J$1,Fall!$1:$1,FALSE))="","",INDEX(Fall!$1:$1048576,MATCH(All!$A565,Fall!$A:$A,FALSE),MATCH(All!J$1,Fall!$1:$1,FALSE))),"")</f>
        <v>1A</v>
      </c>
      <c r="K565" t="str">
        <f>IFERROR(IF(INDEX(Fall!$1:$1048576,MATCH(All!$A565,Fall!$A:$A,FALSE),MATCH(All!K$1,Fall!$1:$1,FALSE))="","",INDEX(Fall!$1:$1048576,MATCH(All!$A565,Fall!$A:$A,FALSE),MATCH(All!K$1,Fall!$1:$1,FALSE))),"")</f>
        <v/>
      </c>
      <c r="L565" t="str">
        <f>IFERROR(IF(INDEX(Fall!$1:$1048576,MATCH(All!$A565,Fall!$A:$A,FALSE),MATCH(All!L$1,Fall!$1:$1,FALSE))="","",INDEX(Fall!$1:$1048576,MATCH(All!$A565,Fall!$A:$A,FALSE),MATCH(All!L$1,Fall!$1:$1,FALSE))),"")</f>
        <v/>
      </c>
      <c r="M565" t="str">
        <f>IFERROR(IF(INDEX(Fall!$1:$1048576,MATCH(All!$A565,Fall!$A:$A,FALSE),MATCH(All!M$1,Fall!$1:$1,FALSE))="","",INDEX(Fall!$1:$1048576,MATCH(All!$A565,Fall!$A:$A,FALSE),MATCH(All!M$1,Fall!$1:$1,FALSE))),"")</f>
        <v>1A</v>
      </c>
      <c r="O565">
        <f>IFERROR(IF(INDEX(Winter!$1:$1048576,MATCH(All!$A565,Winter!$A:$A,FALSE),MATCH(All!O$1,Winter!$1:$1,FALSE))="","",INDEX(Winter!$1:$1048576,MATCH(All!$A565,Winter!$A:$A,FALSE),MATCH(All!O$1,Winter!$1:$1,FALSE))),"")</f>
        <v>165</v>
      </c>
      <c r="P565" t="str">
        <f>IFERROR(IF(INDEX(Winter!$1:$1048576,MATCH(All!$A565,Winter!$A:$A,FALSE),MATCH(All!P$1,Winter!$1:$1,FALSE))="","",INDEX(Winter!$1:$1048576,MATCH(All!$A565,Winter!$A:$A,FALSE),MATCH(All!P$1,Winter!$1:$1,FALSE))),"")</f>
        <v/>
      </c>
      <c r="Q565" t="str">
        <f>IFERROR(IF(INDEX(Winter!$1:$1048576,MATCH(All!$A565,Winter!$A:$A,FALSE),MATCH(All!Q$1,Winter!$1:$1,FALSE))="","",INDEX(Winter!$1:$1048576,MATCH(All!$A565,Winter!$A:$A,FALSE),MATCH(All!Q$1,Winter!$1:$1,FALSE))),"")</f>
        <v/>
      </c>
      <c r="R565" t="str">
        <f>IFERROR(IF(INDEX(Winter!$1:$1048576,MATCH(All!$A565,Winter!$A:$A,FALSE),MATCH(All!R$1,Winter!$1:$1,FALSE))="","",INDEX(Winter!$1:$1048576,MATCH(All!$A565,Winter!$A:$A,FALSE),MATCH(All!R$1,Winter!$1:$1,FALSE))),"")</f>
        <v/>
      </c>
      <c r="S565" t="str">
        <f>IFERROR(IF(INDEX(Winter!$1:$1048576,MATCH(All!$A565,Winter!$A:$A,FALSE),MATCH(All!S$1,Winter!$1:$1,FALSE))="","",INDEX(Winter!$1:$1048576,MATCH(All!$A565,Winter!$A:$A,FALSE),MATCH(All!S$1,Winter!$1:$1,FALSE))),"")</f>
        <v/>
      </c>
      <c r="T565" t="str">
        <f>IFERROR(IF(INDEX(Winter!$1:$1048576,MATCH(All!$A565,Winter!$A:$A,FALSE),MATCH(All!T$1,Winter!$1:$1,FALSE))="","",INDEX(Winter!$1:$1048576,MATCH(All!$A565,Winter!$A:$A,FALSE),MATCH(All!T$1,Winter!$1:$1,FALSE))),"")</f>
        <v>1A</v>
      </c>
      <c r="U565" t="str">
        <f>IFERROR(IF(INDEX(Winter!$1:$1048576,MATCH(All!$A565,Winter!$A:$A,FALSE),MATCH(All!U$1,Winter!$1:$1,FALSE))="","",INDEX(Winter!$1:$1048576,MATCH(All!$A565,Winter!$A:$A,FALSE),MATCH(All!U$1,Winter!$1:$1,FALSE))),"")</f>
        <v>1A</v>
      </c>
      <c r="W565">
        <f>IFERROR(IF(INDEX(Spring!$1:$1048576,MATCH(All!$A565,Spring!$A:$A,FALSE),MATCH(All!W$1,Spring!$1:$1,FALSE))="","",INDEX(Spring!$1:$1048576,MATCH(All!$A565,Spring!$A:$A,FALSE),MATCH(All!W$1,Spring!$1:$1,FALSE))),"")</f>
        <v>165</v>
      </c>
      <c r="X565" t="str">
        <f>IFERROR(IF(INDEX(Spring!$1:$1048576,MATCH(All!$A565,Spring!$A:$A,FALSE),MATCH(All!X$1,Spring!$1:$1,FALSE))="","",INDEX(Spring!$1:$1048576,MATCH(All!$A565,Spring!$A:$A,FALSE),MATCH(All!X$1,Spring!$1:$1,FALSE))),"")</f>
        <v>2A</v>
      </c>
      <c r="Y565" t="str">
        <f>IFERROR(IF(INDEX(Spring!$1:$1048576,MATCH(All!$A565,Spring!$A:$A,FALSE),MATCH(All!Y$1,Spring!$1:$1,FALSE))="","",INDEX(Spring!$1:$1048576,MATCH(All!$A565,Spring!$A:$A,FALSE),MATCH(All!Y$1,Spring!$1:$1,FALSE))),"")</f>
        <v>1A</v>
      </c>
      <c r="Z565" t="str">
        <f>IFERROR(IF(INDEX(Spring!$1:$1048576,MATCH(All!$A565,Spring!$A:$A,FALSE),MATCH(All!Z$1,Spring!$1:$1,FALSE))="","",INDEX(Spring!$1:$1048576,MATCH(All!$A565,Spring!$A:$A,FALSE),MATCH(All!Z$1,Spring!$1:$1,FALSE))),"")</f>
        <v/>
      </c>
      <c r="AA565" t="str">
        <f>IFERROR(IF(INDEX(Spring!$1:$1048576,MATCH(All!$A565,Spring!$A:$A,FALSE),MATCH(All!AA$1,Spring!$1:$1,FALSE))="","",INDEX(Spring!$1:$1048576,MATCH(All!$A565,Spring!$A:$A,FALSE),MATCH(All!AA$1,Spring!$1:$1,FALSE))),"")</f>
        <v/>
      </c>
      <c r="AB565" t="str">
        <f>IFERROR(IF(INDEX(Spring!$1:$1048576,MATCH(All!$A565,Spring!$A:$A,FALSE),MATCH(All!AB$1,Spring!$1:$1,FALSE))="","",INDEX(Spring!$1:$1048576,MATCH(All!$A565,Spring!$A:$A,FALSE),MATCH(All!AB$1,Spring!$1:$1,FALSE))),"")</f>
        <v/>
      </c>
      <c r="AC565" t="str">
        <f>IFERROR(IF(INDEX(Spring!$1:$1048576,MATCH(All!$A565,Spring!$A:$A,FALSE),MATCH(All!AC$1,Spring!$1:$1,FALSE))="","",INDEX(Spring!$1:$1048576,MATCH(All!$A565,Spring!$A:$A,FALSE),MATCH(All!AC$1,Spring!$1:$1,FALSE))),"")</f>
        <v/>
      </c>
      <c r="AD565" t="str">
        <f>IFERROR(VLOOKUP(A565,'Flag Football'!A:A,1,FALSE),"")</f>
        <v/>
      </c>
      <c r="AE565" t="str">
        <f t="shared" si="8"/>
        <v/>
      </c>
    </row>
    <row r="566" spans="1:31" ht="15.75" thickBot="1" x14ac:dyDescent="0.3">
      <c r="A566" s="20" t="s">
        <v>663</v>
      </c>
      <c r="B566" s="38" t="str">
        <f>IFERROR(VLOOKUP(A566,'Public v Private'!A:G,3,FALSE),"")</f>
        <v/>
      </c>
      <c r="C566" s="38" t="str">
        <f>IFERROR(VLOOKUP(A566,'Public v Private'!A:G,4,FALSE),"")</f>
        <v/>
      </c>
      <c r="D566" s="38" t="str">
        <f>IFERROR(VLOOKUP(A566,'Public v Private'!A:G,5,FALSE),"")</f>
        <v/>
      </c>
      <c r="E566" s="38"/>
      <c r="F566" s="40" t="str">
        <f>IFERROR(INDEX(Fall!$1:$1048576,MATCH(All!$A566,Fall!$A:$A,FALSE),MATCH(All!F$1,Fall!$1:$1,FALSE)),"N/A")</f>
        <v>N/A</v>
      </c>
      <c r="G566" t="str">
        <f>IFERROR(IF(INDEX(Fall!$1:$1048576,MATCH(All!$A566,Fall!$A:$A,FALSE),MATCH(All!G$1,Fall!$1:$1,FALSE))="","",INDEX(Fall!$1:$1048576,MATCH(All!$A566,Fall!$A:$A,FALSE),MATCH(All!G$1,Fall!$1:$1,FALSE))),"")</f>
        <v/>
      </c>
      <c r="H566" t="str">
        <f>IFERROR(IF(INDEX(Fall!$1:$1048576,MATCH(All!$A566,Fall!$A:$A,FALSE),MATCH(All!H$1,Fall!$1:$1,FALSE))="","",INDEX(Fall!$1:$1048576,MATCH(All!$A566,Fall!$A:$A,FALSE),MATCH(All!H$1,Fall!$1:$1,FALSE))),"")</f>
        <v/>
      </c>
      <c r="I566" t="str">
        <f>IFERROR(IF(INDEX(Fall!$1:$1048576,MATCH(All!$A566,Fall!$A:$A,FALSE),MATCH(All!I$1,Fall!$1:$1,FALSE))="","",INDEX(Fall!$1:$1048576,MATCH(All!$A566,Fall!$A:$A,FALSE),MATCH(All!I$1,Fall!$1:$1,FALSE))),"")</f>
        <v/>
      </c>
      <c r="J566" t="str">
        <f>IFERROR(IF(INDEX(Fall!$1:$1048576,MATCH(All!$A566,Fall!$A:$A,FALSE),MATCH(All!J$1,Fall!$1:$1,FALSE))="","",INDEX(Fall!$1:$1048576,MATCH(All!$A566,Fall!$A:$A,FALSE),MATCH(All!J$1,Fall!$1:$1,FALSE))),"")</f>
        <v/>
      </c>
      <c r="K566" t="str">
        <f>IFERROR(IF(INDEX(Fall!$1:$1048576,MATCH(All!$A566,Fall!$A:$A,FALSE),MATCH(All!K$1,Fall!$1:$1,FALSE))="","",INDEX(Fall!$1:$1048576,MATCH(All!$A566,Fall!$A:$A,FALSE),MATCH(All!K$1,Fall!$1:$1,FALSE))),"")</f>
        <v/>
      </c>
      <c r="L566" t="str">
        <f>IFERROR(IF(INDEX(Fall!$1:$1048576,MATCH(All!$A566,Fall!$A:$A,FALSE),MATCH(All!L$1,Fall!$1:$1,FALSE))="","",INDEX(Fall!$1:$1048576,MATCH(All!$A566,Fall!$A:$A,FALSE),MATCH(All!L$1,Fall!$1:$1,FALSE))),"")</f>
        <v/>
      </c>
      <c r="M566" t="str">
        <f>IFERROR(IF(INDEX(Fall!$1:$1048576,MATCH(All!$A566,Fall!$A:$A,FALSE),MATCH(All!M$1,Fall!$1:$1,FALSE))="","",INDEX(Fall!$1:$1048576,MATCH(All!$A566,Fall!$A:$A,FALSE),MATCH(All!M$1,Fall!$1:$1,FALSE))),"")</f>
        <v/>
      </c>
      <c r="O566">
        <f>IFERROR(IF(INDEX(Winter!$1:$1048576,MATCH(All!$A566,Winter!$A:$A,FALSE),MATCH(All!O$1,Winter!$1:$1,FALSE))="","",INDEX(Winter!$1:$1048576,MATCH(All!$A566,Winter!$A:$A,FALSE),MATCH(All!O$1,Winter!$1:$1,FALSE))),"")</f>
        <v>63</v>
      </c>
      <c r="P566" t="str">
        <f>IFERROR(IF(INDEX(Winter!$1:$1048576,MATCH(All!$A566,Winter!$A:$A,FALSE),MATCH(All!P$1,Winter!$1:$1,FALSE))="","",INDEX(Winter!$1:$1048576,MATCH(All!$A566,Winter!$A:$A,FALSE),MATCH(All!P$1,Winter!$1:$1,FALSE))),"")</f>
        <v/>
      </c>
      <c r="Q566" t="str">
        <f>IFERROR(IF(INDEX(Winter!$1:$1048576,MATCH(All!$A566,Winter!$A:$A,FALSE),MATCH(All!Q$1,Winter!$1:$1,FALSE))="","",INDEX(Winter!$1:$1048576,MATCH(All!$A566,Winter!$A:$A,FALSE),MATCH(All!Q$1,Winter!$1:$1,FALSE))),"")</f>
        <v/>
      </c>
      <c r="R566" t="str">
        <f>IFERROR(IF(INDEX(Winter!$1:$1048576,MATCH(All!$A566,Winter!$A:$A,FALSE),MATCH(All!R$1,Winter!$1:$1,FALSE))="","",INDEX(Winter!$1:$1048576,MATCH(All!$A566,Winter!$A:$A,FALSE),MATCH(All!R$1,Winter!$1:$1,FALSE))),"")</f>
        <v/>
      </c>
      <c r="S566" t="str">
        <f>IFERROR(IF(INDEX(Winter!$1:$1048576,MATCH(All!$A566,Winter!$A:$A,FALSE),MATCH(All!S$1,Winter!$1:$1,FALSE))="","",INDEX(Winter!$1:$1048576,MATCH(All!$A566,Winter!$A:$A,FALSE),MATCH(All!S$1,Winter!$1:$1,FALSE))),"")</f>
        <v/>
      </c>
      <c r="T566" t="str">
        <f>IFERROR(IF(INDEX(Winter!$1:$1048576,MATCH(All!$A566,Winter!$A:$A,FALSE),MATCH(All!T$1,Winter!$1:$1,FALSE))="","",INDEX(Winter!$1:$1048576,MATCH(All!$A566,Winter!$A:$A,FALSE),MATCH(All!T$1,Winter!$1:$1,FALSE))),"")</f>
        <v>1A</v>
      </c>
      <c r="U566" t="str">
        <f>IFERROR(IF(INDEX(Winter!$1:$1048576,MATCH(All!$A566,Winter!$A:$A,FALSE),MATCH(All!U$1,Winter!$1:$1,FALSE))="","",INDEX(Winter!$1:$1048576,MATCH(All!$A566,Winter!$A:$A,FALSE),MATCH(All!U$1,Winter!$1:$1,FALSE))),"")</f>
        <v/>
      </c>
      <c r="W566">
        <f>IFERROR(IF(INDEX(Spring!$1:$1048576,MATCH(All!$A566,Spring!$A:$A,FALSE),MATCH(All!W$1,Spring!$1:$1,FALSE))="","",INDEX(Spring!$1:$1048576,MATCH(All!$A566,Spring!$A:$A,FALSE),MATCH(All!W$1,Spring!$1:$1,FALSE))),"")</f>
        <v>63</v>
      </c>
      <c r="X566" t="str">
        <f>IFERROR(IF(INDEX(Spring!$1:$1048576,MATCH(All!$A566,Spring!$A:$A,FALSE),MATCH(All!X$1,Spring!$1:$1,FALSE))="","",INDEX(Spring!$1:$1048576,MATCH(All!$A566,Spring!$A:$A,FALSE),MATCH(All!X$1,Spring!$1:$1,FALSE))),"")</f>
        <v>1A</v>
      </c>
      <c r="Y566" t="str">
        <f>IFERROR(IF(INDEX(Spring!$1:$1048576,MATCH(All!$A566,Spring!$A:$A,FALSE),MATCH(All!Y$1,Spring!$1:$1,FALSE))="","",INDEX(Spring!$1:$1048576,MATCH(All!$A566,Spring!$A:$A,FALSE),MATCH(All!Y$1,Spring!$1:$1,FALSE))),"")</f>
        <v>1A</v>
      </c>
      <c r="Z566" t="str">
        <f>IFERROR(IF(INDEX(Spring!$1:$1048576,MATCH(All!$A566,Spring!$A:$A,FALSE),MATCH(All!Z$1,Spring!$1:$1,FALSE))="","",INDEX(Spring!$1:$1048576,MATCH(All!$A566,Spring!$A:$A,FALSE),MATCH(All!Z$1,Spring!$1:$1,FALSE))),"")</f>
        <v/>
      </c>
      <c r="AA566" t="str">
        <f>IFERROR(IF(INDEX(Spring!$1:$1048576,MATCH(All!$A566,Spring!$A:$A,FALSE),MATCH(All!AA$1,Spring!$1:$1,FALSE))="","",INDEX(Spring!$1:$1048576,MATCH(All!$A566,Spring!$A:$A,FALSE),MATCH(All!AA$1,Spring!$1:$1,FALSE))),"")</f>
        <v/>
      </c>
      <c r="AB566" t="str">
        <f>IFERROR(IF(INDEX(Spring!$1:$1048576,MATCH(All!$A566,Spring!$A:$A,FALSE),MATCH(All!AB$1,Spring!$1:$1,FALSE))="","",INDEX(Spring!$1:$1048576,MATCH(All!$A566,Spring!$A:$A,FALSE),MATCH(All!AB$1,Spring!$1:$1,FALSE))),"")</f>
        <v/>
      </c>
      <c r="AC566" t="str">
        <f>IFERROR(IF(INDEX(Spring!$1:$1048576,MATCH(All!$A566,Spring!$A:$A,FALSE),MATCH(All!AC$1,Spring!$1:$1,FALSE))="","",INDEX(Spring!$1:$1048576,MATCH(All!$A566,Spring!$A:$A,FALSE),MATCH(All!AC$1,Spring!$1:$1,FALSE))),"")</f>
        <v/>
      </c>
      <c r="AD566" t="str">
        <f>IFERROR(VLOOKUP(A566,'Flag Football'!A:A,1,FALSE),"")</f>
        <v/>
      </c>
      <c r="AE566" t="str">
        <f t="shared" si="8"/>
        <v/>
      </c>
    </row>
    <row r="567" spans="1:31" ht="15.75" thickBot="1" x14ac:dyDescent="0.3">
      <c r="A567" s="18" t="s">
        <v>664</v>
      </c>
      <c r="B567" s="38" t="str">
        <f>IFERROR(VLOOKUP(A567,'Public v Private'!A:G,3,FALSE),"")</f>
        <v>private</v>
      </c>
      <c r="C567" s="38">
        <f>IFERROR(VLOOKUP(A567,'Public v Private'!A:G,4,FALSE),"")</f>
        <v>7</v>
      </c>
      <c r="D567" s="38">
        <f>IFERROR(VLOOKUP(A567,'Public v Private'!A:G,5,FALSE),"")</f>
        <v>19</v>
      </c>
      <c r="E567" s="38"/>
      <c r="F567" s="40" t="str">
        <f>IFERROR(INDEX(Fall!$1:$1048576,MATCH(All!$A567,Fall!$A:$A,FALSE),MATCH(All!F$1,Fall!$1:$1,FALSE)),"N/A")</f>
        <v>83.00 (136.95)</v>
      </c>
      <c r="G567" t="str">
        <f>IFERROR(IF(INDEX(Fall!$1:$1048576,MATCH(All!$A567,Fall!$A:$A,FALSE),MATCH(All!G$1,Fall!$1:$1,FALSE))="","",INDEX(Fall!$1:$1048576,MATCH(All!$A567,Fall!$A:$A,FALSE),MATCH(All!G$1,Fall!$1:$1,FALSE))),"")</f>
        <v>1A</v>
      </c>
      <c r="H567" t="str">
        <f>IFERROR(IF(INDEX(Fall!$1:$1048576,MATCH(All!$A567,Fall!$A:$A,FALSE),MATCH(All!H$1,Fall!$1:$1,FALSE))="","",INDEX(Fall!$1:$1048576,MATCH(All!$A567,Fall!$A:$A,FALSE),MATCH(All!H$1,Fall!$1:$1,FALSE))),"")</f>
        <v>1A</v>
      </c>
      <c r="I567" t="str">
        <f>IFERROR(IF(INDEX(Fall!$1:$1048576,MATCH(All!$A567,Fall!$A:$A,FALSE),MATCH(All!I$1,Fall!$1:$1,FALSE))="","",INDEX(Fall!$1:$1048576,MATCH(All!$A567,Fall!$A:$A,FALSE),MATCH(All!I$1,Fall!$1:$1,FALSE))),"")</f>
        <v/>
      </c>
      <c r="J567" t="str">
        <f>IFERROR(IF(INDEX(Fall!$1:$1048576,MATCH(All!$A567,Fall!$A:$A,FALSE),MATCH(All!J$1,Fall!$1:$1,FALSE))="","",INDEX(Fall!$1:$1048576,MATCH(All!$A567,Fall!$A:$A,FALSE),MATCH(All!J$1,Fall!$1:$1,FALSE))),"")</f>
        <v/>
      </c>
      <c r="K567" t="str">
        <f>IFERROR(IF(INDEX(Fall!$1:$1048576,MATCH(All!$A567,Fall!$A:$A,FALSE),MATCH(All!K$1,Fall!$1:$1,FALSE))="","",INDEX(Fall!$1:$1048576,MATCH(All!$A567,Fall!$A:$A,FALSE),MATCH(All!K$1,Fall!$1:$1,FALSE))),"")</f>
        <v/>
      </c>
      <c r="L567" t="str">
        <f>IFERROR(IF(INDEX(Fall!$1:$1048576,MATCH(All!$A567,Fall!$A:$A,FALSE),MATCH(All!L$1,Fall!$1:$1,FALSE))="","",INDEX(Fall!$1:$1048576,MATCH(All!$A567,Fall!$A:$A,FALSE),MATCH(All!L$1,Fall!$1:$1,FALSE))),"")</f>
        <v/>
      </c>
      <c r="M567" t="str">
        <f>IFERROR(IF(INDEX(Fall!$1:$1048576,MATCH(All!$A567,Fall!$A:$A,FALSE),MATCH(All!M$1,Fall!$1:$1,FALSE))="","",INDEX(Fall!$1:$1048576,MATCH(All!$A567,Fall!$A:$A,FALSE),MATCH(All!M$1,Fall!$1:$1,FALSE))),"")</f>
        <v>1A</v>
      </c>
      <c r="O567" t="str">
        <f>IFERROR(IF(INDEX(Winter!$1:$1048576,MATCH(All!$A567,Winter!$A:$A,FALSE),MATCH(All!O$1,Winter!$1:$1,FALSE))="","",INDEX(Winter!$1:$1048576,MATCH(All!$A567,Winter!$A:$A,FALSE),MATCH(All!O$1,Winter!$1:$1,FALSE))),"")</f>
        <v/>
      </c>
      <c r="P567" t="str">
        <f>IFERROR(IF(INDEX(Winter!$1:$1048576,MATCH(All!$A567,Winter!$A:$A,FALSE),MATCH(All!P$1,Winter!$1:$1,FALSE))="","",INDEX(Winter!$1:$1048576,MATCH(All!$A567,Winter!$A:$A,FALSE),MATCH(All!P$1,Winter!$1:$1,FALSE))),"")</f>
        <v/>
      </c>
      <c r="Q567" t="str">
        <f>IFERROR(IF(INDEX(Winter!$1:$1048576,MATCH(All!$A567,Winter!$A:$A,FALSE),MATCH(All!Q$1,Winter!$1:$1,FALSE))="","",INDEX(Winter!$1:$1048576,MATCH(All!$A567,Winter!$A:$A,FALSE),MATCH(All!Q$1,Winter!$1:$1,FALSE))),"")</f>
        <v/>
      </c>
      <c r="R567" t="str">
        <f>IFERROR(IF(INDEX(Winter!$1:$1048576,MATCH(All!$A567,Winter!$A:$A,FALSE),MATCH(All!R$1,Winter!$1:$1,FALSE))="","",INDEX(Winter!$1:$1048576,MATCH(All!$A567,Winter!$A:$A,FALSE),MATCH(All!R$1,Winter!$1:$1,FALSE))),"")</f>
        <v/>
      </c>
      <c r="S567" t="str">
        <f>IFERROR(IF(INDEX(Winter!$1:$1048576,MATCH(All!$A567,Winter!$A:$A,FALSE),MATCH(All!S$1,Winter!$1:$1,FALSE))="","",INDEX(Winter!$1:$1048576,MATCH(All!$A567,Winter!$A:$A,FALSE),MATCH(All!S$1,Winter!$1:$1,FALSE))),"")</f>
        <v/>
      </c>
      <c r="T567" t="str">
        <f>IFERROR(IF(INDEX(Winter!$1:$1048576,MATCH(All!$A567,Winter!$A:$A,FALSE),MATCH(All!T$1,Winter!$1:$1,FALSE))="","",INDEX(Winter!$1:$1048576,MATCH(All!$A567,Winter!$A:$A,FALSE),MATCH(All!T$1,Winter!$1:$1,FALSE))),"")</f>
        <v/>
      </c>
      <c r="U567" t="str">
        <f>IFERROR(IF(INDEX(Winter!$1:$1048576,MATCH(All!$A567,Winter!$A:$A,FALSE),MATCH(All!U$1,Winter!$1:$1,FALSE))="","",INDEX(Winter!$1:$1048576,MATCH(All!$A567,Winter!$A:$A,FALSE),MATCH(All!U$1,Winter!$1:$1,FALSE))),"")</f>
        <v/>
      </c>
      <c r="W567" t="str">
        <f>IFERROR(IF(INDEX(Spring!$1:$1048576,MATCH(All!$A567,Spring!$A:$A,FALSE),MATCH(All!W$1,Spring!$1:$1,FALSE))="","",INDEX(Spring!$1:$1048576,MATCH(All!$A567,Spring!$A:$A,FALSE),MATCH(All!W$1,Spring!$1:$1,FALSE))),"")</f>
        <v>83.00 (136.95)</v>
      </c>
      <c r="X567" t="str">
        <f>IFERROR(IF(INDEX(Spring!$1:$1048576,MATCH(All!$A567,Spring!$A:$A,FALSE),MATCH(All!X$1,Spring!$1:$1,FALSE))="","",INDEX(Spring!$1:$1048576,MATCH(All!$A567,Spring!$A:$A,FALSE),MATCH(All!X$1,Spring!$1:$1,FALSE))),"")</f>
        <v/>
      </c>
      <c r="Y567" t="str">
        <f>IFERROR(IF(INDEX(Spring!$1:$1048576,MATCH(All!$A567,Spring!$A:$A,FALSE),MATCH(All!Y$1,Spring!$1:$1,FALSE))="","",INDEX(Spring!$1:$1048576,MATCH(All!$A567,Spring!$A:$A,FALSE),MATCH(All!Y$1,Spring!$1:$1,FALSE))),"")</f>
        <v/>
      </c>
      <c r="Z567" t="str">
        <f>IFERROR(IF(INDEX(Spring!$1:$1048576,MATCH(All!$A567,Spring!$A:$A,FALSE),MATCH(All!Z$1,Spring!$1:$1,FALSE))="","",INDEX(Spring!$1:$1048576,MATCH(All!$A567,Spring!$A:$A,FALSE),MATCH(All!Z$1,Spring!$1:$1,FALSE))),"")</f>
        <v/>
      </c>
      <c r="AA567" t="str">
        <f>IFERROR(IF(INDEX(Spring!$1:$1048576,MATCH(All!$A567,Spring!$A:$A,FALSE),MATCH(All!AA$1,Spring!$1:$1,FALSE))="","",INDEX(Spring!$1:$1048576,MATCH(All!$A567,Spring!$A:$A,FALSE),MATCH(All!AA$1,Spring!$1:$1,FALSE))),"")</f>
        <v/>
      </c>
      <c r="AB567" t="str">
        <f>IFERROR(IF(INDEX(Spring!$1:$1048576,MATCH(All!$A567,Spring!$A:$A,FALSE),MATCH(All!AB$1,Spring!$1:$1,FALSE))="","",INDEX(Spring!$1:$1048576,MATCH(All!$A567,Spring!$A:$A,FALSE),MATCH(All!AB$1,Spring!$1:$1,FALSE))),"")</f>
        <v>1A</v>
      </c>
      <c r="AC567" t="str">
        <f>IFERROR(IF(INDEX(Spring!$1:$1048576,MATCH(All!$A567,Spring!$A:$A,FALSE),MATCH(All!AC$1,Spring!$1:$1,FALSE))="","",INDEX(Spring!$1:$1048576,MATCH(All!$A567,Spring!$A:$A,FALSE),MATCH(All!AC$1,Spring!$1:$1,FALSE))),"")</f>
        <v>1A</v>
      </c>
      <c r="AD567" t="str">
        <f>IFERROR(VLOOKUP(A567,'Flag Football'!A:A,1,FALSE),"")</f>
        <v/>
      </c>
      <c r="AE567" t="str">
        <f t="shared" si="8"/>
        <v/>
      </c>
    </row>
    <row r="568" spans="1:31" ht="15.75" thickBot="1" x14ac:dyDescent="0.3">
      <c r="A568" s="20" t="s">
        <v>666</v>
      </c>
      <c r="B568" s="38">
        <f>IFERROR(VLOOKUP(A568,'Public v Private'!A:G,3,FALSE),"")</f>
        <v>0</v>
      </c>
      <c r="C568" s="38">
        <f>IFERROR(VLOOKUP(A568,'Public v Private'!A:G,4,FALSE),"")</f>
        <v>0</v>
      </c>
      <c r="D568" s="38">
        <f>IFERROR(VLOOKUP(A568,'Public v Private'!A:G,5,FALSE),"")</f>
        <v>0</v>
      </c>
      <c r="E568" s="38"/>
      <c r="F568" s="40">
        <f>IFERROR(INDEX(Fall!$1:$1048576,MATCH(All!$A568,Fall!$A:$A,FALSE),MATCH(All!F$1,Fall!$1:$1,FALSE)),"N/A")</f>
        <v>2499</v>
      </c>
      <c r="G568" t="str">
        <f>IFERROR(IF(INDEX(Fall!$1:$1048576,MATCH(All!$A568,Fall!$A:$A,FALSE),MATCH(All!G$1,Fall!$1:$1,FALSE))="","",INDEX(Fall!$1:$1048576,MATCH(All!$A568,Fall!$A:$A,FALSE),MATCH(All!G$1,Fall!$1:$1,FALSE))),"")</f>
        <v>3A</v>
      </c>
      <c r="H568" t="str">
        <f>IFERROR(IF(INDEX(Fall!$1:$1048576,MATCH(All!$A568,Fall!$A:$A,FALSE),MATCH(All!H$1,Fall!$1:$1,FALSE))="","",INDEX(Fall!$1:$1048576,MATCH(All!$A568,Fall!$A:$A,FALSE),MATCH(All!H$1,Fall!$1:$1,FALSE))),"")</f>
        <v>3A</v>
      </c>
      <c r="I568" t="str">
        <f>IFERROR(IF(INDEX(Fall!$1:$1048576,MATCH(All!$A568,Fall!$A:$A,FALSE),MATCH(All!I$1,Fall!$1:$1,FALSE))="","",INDEX(Fall!$1:$1048576,MATCH(All!$A568,Fall!$A:$A,FALSE),MATCH(All!I$1,Fall!$1:$1,FALSE))),"")</f>
        <v>3A</v>
      </c>
      <c r="J568" t="str">
        <f>IFERROR(IF(INDEX(Fall!$1:$1048576,MATCH(All!$A568,Fall!$A:$A,FALSE),MATCH(All!J$1,Fall!$1:$1,FALSE))="","",INDEX(Fall!$1:$1048576,MATCH(All!$A568,Fall!$A:$A,FALSE),MATCH(All!J$1,Fall!$1:$1,FALSE))),"")</f>
        <v>2A</v>
      </c>
      <c r="K568" t="str">
        <f>IFERROR(IF(INDEX(Fall!$1:$1048576,MATCH(All!$A568,Fall!$A:$A,FALSE),MATCH(All!K$1,Fall!$1:$1,FALSE))="","",INDEX(Fall!$1:$1048576,MATCH(All!$A568,Fall!$A:$A,FALSE),MATCH(All!K$1,Fall!$1:$1,FALSE))),"")</f>
        <v>3A</v>
      </c>
      <c r="L568" t="str">
        <f>IFERROR(IF(INDEX(Fall!$1:$1048576,MATCH(All!$A568,Fall!$A:$A,FALSE),MATCH(All!L$1,Fall!$1:$1,FALSE))="","",INDEX(Fall!$1:$1048576,MATCH(All!$A568,Fall!$A:$A,FALSE),MATCH(All!L$1,Fall!$1:$1,FALSE))),"")</f>
        <v>2A</v>
      </c>
      <c r="M568" t="str">
        <f>IFERROR(IF(INDEX(Fall!$1:$1048576,MATCH(All!$A568,Fall!$A:$A,FALSE),MATCH(All!M$1,Fall!$1:$1,FALSE))="","",INDEX(Fall!$1:$1048576,MATCH(All!$A568,Fall!$A:$A,FALSE),MATCH(All!M$1,Fall!$1:$1,FALSE))),"")</f>
        <v>4A</v>
      </c>
      <c r="O568">
        <f>IFERROR(IF(INDEX(Winter!$1:$1048576,MATCH(All!$A568,Winter!$A:$A,FALSE),MATCH(All!O$1,Winter!$1:$1,FALSE))="","",INDEX(Winter!$1:$1048576,MATCH(All!$A568,Winter!$A:$A,FALSE),MATCH(All!O$1,Winter!$1:$1,FALSE))),"")</f>
        <v>2499</v>
      </c>
      <c r="P568" t="str">
        <f>IFERROR(IF(INDEX(Winter!$1:$1048576,MATCH(All!$A568,Winter!$A:$A,FALSE),MATCH(All!P$1,Winter!$1:$1,FALSE))="","",INDEX(Winter!$1:$1048576,MATCH(All!$A568,Winter!$A:$A,FALSE),MATCH(All!P$1,Winter!$1:$1,FALSE))),"")</f>
        <v>4A</v>
      </c>
      <c r="Q568" t="str">
        <f>IFERROR(IF(INDEX(Winter!$1:$1048576,MATCH(All!$A568,Winter!$A:$A,FALSE),MATCH(All!Q$1,Winter!$1:$1,FALSE))="","",INDEX(Winter!$1:$1048576,MATCH(All!$A568,Winter!$A:$A,FALSE),MATCH(All!Q$1,Winter!$1:$1,FALSE))),"")</f>
        <v>4A</v>
      </c>
      <c r="R568" t="str">
        <f>IFERROR(IF(INDEX(Winter!$1:$1048576,MATCH(All!$A568,Winter!$A:$A,FALSE),MATCH(All!R$1,Winter!$1:$1,FALSE))="","",INDEX(Winter!$1:$1048576,MATCH(All!$A568,Winter!$A:$A,FALSE),MATCH(All!R$1,Winter!$1:$1,FALSE))),"")</f>
        <v>3A</v>
      </c>
      <c r="S568" t="str">
        <f>IFERROR(IF(INDEX(Winter!$1:$1048576,MATCH(All!$A568,Winter!$A:$A,FALSE),MATCH(All!S$1,Winter!$1:$1,FALSE))="","",INDEX(Winter!$1:$1048576,MATCH(All!$A568,Winter!$A:$A,FALSE),MATCH(All!S$1,Winter!$1:$1,FALSE))),"")</f>
        <v>3A</v>
      </c>
      <c r="T568" t="str">
        <f>IFERROR(IF(INDEX(Winter!$1:$1048576,MATCH(All!$A568,Winter!$A:$A,FALSE),MATCH(All!T$1,Winter!$1:$1,FALSE))="","",INDEX(Winter!$1:$1048576,MATCH(All!$A568,Winter!$A:$A,FALSE),MATCH(All!T$1,Winter!$1:$1,FALSE))),"")</f>
        <v>2A</v>
      </c>
      <c r="U568" t="str">
        <f>IFERROR(IF(INDEX(Winter!$1:$1048576,MATCH(All!$A568,Winter!$A:$A,FALSE),MATCH(All!U$1,Winter!$1:$1,FALSE))="","",INDEX(Winter!$1:$1048576,MATCH(All!$A568,Winter!$A:$A,FALSE),MATCH(All!U$1,Winter!$1:$1,FALSE))),"")</f>
        <v>3A</v>
      </c>
      <c r="W568">
        <f>IFERROR(IF(INDEX(Spring!$1:$1048576,MATCH(All!$A568,Spring!$A:$A,FALSE),MATCH(All!W$1,Spring!$1:$1,FALSE))="","",INDEX(Spring!$1:$1048576,MATCH(All!$A568,Spring!$A:$A,FALSE),MATCH(All!W$1,Spring!$1:$1,FALSE))),"")</f>
        <v>2499</v>
      </c>
      <c r="X568" t="str">
        <f>IFERROR(IF(INDEX(Spring!$1:$1048576,MATCH(All!$A568,Spring!$A:$A,FALSE),MATCH(All!X$1,Spring!$1:$1,FALSE))="","",INDEX(Spring!$1:$1048576,MATCH(All!$A568,Spring!$A:$A,FALSE),MATCH(All!X$1,Spring!$1:$1,FALSE))),"")</f>
        <v>4A</v>
      </c>
      <c r="Y568" t="str">
        <f>IFERROR(IF(INDEX(Spring!$1:$1048576,MATCH(All!$A568,Spring!$A:$A,FALSE),MATCH(All!Y$1,Spring!$1:$1,FALSE))="","",INDEX(Spring!$1:$1048576,MATCH(All!$A568,Spring!$A:$A,FALSE),MATCH(All!Y$1,Spring!$1:$1,FALSE))),"")</f>
        <v>4A</v>
      </c>
      <c r="Z568" t="str">
        <f>IFERROR(IF(INDEX(Spring!$1:$1048576,MATCH(All!$A568,Spring!$A:$A,FALSE),MATCH(All!Z$1,Spring!$1:$1,FALSE))="","",INDEX(Spring!$1:$1048576,MATCH(All!$A568,Spring!$A:$A,FALSE),MATCH(All!Z$1,Spring!$1:$1,FALSE))),"")</f>
        <v>3A</v>
      </c>
      <c r="AA568" t="str">
        <f>IFERROR(IF(INDEX(Spring!$1:$1048576,MATCH(All!$A568,Spring!$A:$A,FALSE),MATCH(All!AA$1,Spring!$1:$1,FALSE))="","",INDEX(Spring!$1:$1048576,MATCH(All!$A568,Spring!$A:$A,FALSE),MATCH(All!AA$1,Spring!$1:$1,FALSE))),"")</f>
        <v>2A</v>
      </c>
      <c r="AB568" t="str">
        <f>IFERROR(IF(INDEX(Spring!$1:$1048576,MATCH(All!$A568,Spring!$A:$A,FALSE),MATCH(All!AB$1,Spring!$1:$1,FALSE))="","",INDEX(Spring!$1:$1048576,MATCH(All!$A568,Spring!$A:$A,FALSE),MATCH(All!AB$1,Spring!$1:$1,FALSE))),"")</f>
        <v>3A</v>
      </c>
      <c r="AC568" t="str">
        <f>IFERROR(IF(INDEX(Spring!$1:$1048576,MATCH(All!$A568,Spring!$A:$A,FALSE),MATCH(All!AC$1,Spring!$1:$1,FALSE))="","",INDEX(Spring!$1:$1048576,MATCH(All!$A568,Spring!$A:$A,FALSE),MATCH(All!AC$1,Spring!$1:$1,FALSE))),"")</f>
        <v>3A</v>
      </c>
      <c r="AD568" t="str">
        <f>IFERROR(VLOOKUP(A568,'Flag Football'!A:A,1,FALSE),"")</f>
        <v/>
      </c>
      <c r="AE568" t="str">
        <f t="shared" si="8"/>
        <v/>
      </c>
    </row>
    <row r="569" spans="1:31" ht="15.75" thickBot="1" x14ac:dyDescent="0.3">
      <c r="A569" s="18" t="s">
        <v>667</v>
      </c>
      <c r="B569" s="38">
        <f>IFERROR(VLOOKUP(A569,'Public v Private'!A:G,3,FALSE),"")</f>
        <v>0</v>
      </c>
      <c r="C569" s="38">
        <f>IFERROR(VLOOKUP(A569,'Public v Private'!A:G,4,FALSE),"")</f>
        <v>0</v>
      </c>
      <c r="D569" s="38">
        <f>IFERROR(VLOOKUP(A569,'Public v Private'!A:G,5,FALSE),"")</f>
        <v>0</v>
      </c>
      <c r="E569" s="38"/>
      <c r="F569" s="40">
        <f>IFERROR(INDEX(Fall!$1:$1048576,MATCH(All!$A569,Fall!$A:$A,FALSE),MATCH(All!F$1,Fall!$1:$1,FALSE)),"N/A")</f>
        <v>156</v>
      </c>
      <c r="G569" t="str">
        <f>IFERROR(IF(INDEX(Fall!$1:$1048576,MATCH(All!$A569,Fall!$A:$A,FALSE),MATCH(All!G$1,Fall!$1:$1,FALSE))="","",INDEX(Fall!$1:$1048576,MATCH(All!$A569,Fall!$A:$A,FALSE),MATCH(All!G$1,Fall!$1:$1,FALSE))),"")</f>
        <v>1A</v>
      </c>
      <c r="H569" t="str">
        <f>IFERROR(IF(INDEX(Fall!$1:$1048576,MATCH(All!$A569,Fall!$A:$A,FALSE),MATCH(All!H$1,Fall!$1:$1,FALSE))="","",INDEX(Fall!$1:$1048576,MATCH(All!$A569,Fall!$A:$A,FALSE),MATCH(All!H$1,Fall!$1:$1,FALSE))),"")</f>
        <v>1A</v>
      </c>
      <c r="I569" t="str">
        <f>IFERROR(IF(INDEX(Fall!$1:$1048576,MATCH(All!$A569,Fall!$A:$A,FALSE),MATCH(All!I$1,Fall!$1:$1,FALSE))="","",INDEX(Fall!$1:$1048576,MATCH(All!$A569,Fall!$A:$A,FALSE),MATCH(All!I$1,Fall!$1:$1,FALSE))),"")</f>
        <v>1A</v>
      </c>
      <c r="J569" t="str">
        <f>IFERROR(IF(INDEX(Fall!$1:$1048576,MATCH(All!$A569,Fall!$A:$A,FALSE),MATCH(All!J$1,Fall!$1:$1,FALSE))="","",INDEX(Fall!$1:$1048576,MATCH(All!$A569,Fall!$A:$A,FALSE),MATCH(All!J$1,Fall!$1:$1,FALSE))),"")</f>
        <v>1A</v>
      </c>
      <c r="K569" t="str">
        <f>IFERROR(IF(INDEX(Fall!$1:$1048576,MATCH(All!$A569,Fall!$A:$A,FALSE),MATCH(All!K$1,Fall!$1:$1,FALSE))="","",INDEX(Fall!$1:$1048576,MATCH(All!$A569,Fall!$A:$A,FALSE),MATCH(All!K$1,Fall!$1:$1,FALSE))),"")</f>
        <v/>
      </c>
      <c r="L569" t="str">
        <f>IFERROR(IF(INDEX(Fall!$1:$1048576,MATCH(All!$A569,Fall!$A:$A,FALSE),MATCH(All!L$1,Fall!$1:$1,FALSE))="","",INDEX(Fall!$1:$1048576,MATCH(All!$A569,Fall!$A:$A,FALSE),MATCH(All!L$1,Fall!$1:$1,FALSE))),"")</f>
        <v/>
      </c>
      <c r="M569" t="str">
        <f>IFERROR(IF(INDEX(Fall!$1:$1048576,MATCH(All!$A569,Fall!$A:$A,FALSE),MATCH(All!M$1,Fall!$1:$1,FALSE))="","",INDEX(Fall!$1:$1048576,MATCH(All!$A569,Fall!$A:$A,FALSE),MATCH(All!M$1,Fall!$1:$1,FALSE))),"")</f>
        <v>1A</v>
      </c>
      <c r="O569">
        <f>IFERROR(IF(INDEX(Winter!$1:$1048576,MATCH(All!$A569,Winter!$A:$A,FALSE),MATCH(All!O$1,Winter!$1:$1,FALSE))="","",INDEX(Winter!$1:$1048576,MATCH(All!$A569,Winter!$A:$A,FALSE),MATCH(All!O$1,Winter!$1:$1,FALSE))),"")</f>
        <v>156</v>
      </c>
      <c r="P569" t="str">
        <f>IFERROR(IF(INDEX(Winter!$1:$1048576,MATCH(All!$A569,Winter!$A:$A,FALSE),MATCH(All!P$1,Winter!$1:$1,FALSE))="","",INDEX(Winter!$1:$1048576,MATCH(All!$A569,Winter!$A:$A,FALSE),MATCH(All!P$1,Winter!$1:$1,FALSE))),"")</f>
        <v>1A</v>
      </c>
      <c r="Q569" t="str">
        <f>IFERROR(IF(INDEX(Winter!$1:$1048576,MATCH(All!$A569,Winter!$A:$A,FALSE),MATCH(All!Q$1,Winter!$1:$1,FALSE))="","",INDEX(Winter!$1:$1048576,MATCH(All!$A569,Winter!$A:$A,FALSE),MATCH(All!Q$1,Winter!$1:$1,FALSE))),"")</f>
        <v>1A</v>
      </c>
      <c r="R569" t="str">
        <f>IFERROR(IF(INDEX(Winter!$1:$1048576,MATCH(All!$A569,Winter!$A:$A,FALSE),MATCH(All!R$1,Winter!$1:$1,FALSE))="","",INDEX(Winter!$1:$1048576,MATCH(All!$A569,Winter!$A:$A,FALSE),MATCH(All!R$1,Winter!$1:$1,FALSE))),"")</f>
        <v/>
      </c>
      <c r="S569" t="str">
        <f>IFERROR(IF(INDEX(Winter!$1:$1048576,MATCH(All!$A569,Winter!$A:$A,FALSE),MATCH(All!S$1,Winter!$1:$1,FALSE))="","",INDEX(Winter!$1:$1048576,MATCH(All!$A569,Winter!$A:$A,FALSE),MATCH(All!S$1,Winter!$1:$1,FALSE))),"")</f>
        <v/>
      </c>
      <c r="T569" t="str">
        <f>IFERROR(IF(INDEX(Winter!$1:$1048576,MATCH(All!$A569,Winter!$A:$A,FALSE),MATCH(All!T$1,Winter!$1:$1,FALSE))="","",INDEX(Winter!$1:$1048576,MATCH(All!$A569,Winter!$A:$A,FALSE),MATCH(All!T$1,Winter!$1:$1,FALSE))),"")</f>
        <v/>
      </c>
      <c r="U569" t="str">
        <f>IFERROR(IF(INDEX(Winter!$1:$1048576,MATCH(All!$A569,Winter!$A:$A,FALSE),MATCH(All!U$1,Winter!$1:$1,FALSE))="","",INDEX(Winter!$1:$1048576,MATCH(All!$A569,Winter!$A:$A,FALSE),MATCH(All!U$1,Winter!$1:$1,FALSE))),"")</f>
        <v/>
      </c>
      <c r="W569">
        <f>IFERROR(IF(INDEX(Spring!$1:$1048576,MATCH(All!$A569,Spring!$A:$A,FALSE),MATCH(All!W$1,Spring!$1:$1,FALSE))="","",INDEX(Spring!$1:$1048576,MATCH(All!$A569,Spring!$A:$A,FALSE),MATCH(All!W$1,Spring!$1:$1,FALSE))),"")</f>
        <v>156</v>
      </c>
      <c r="X569" t="str">
        <f>IFERROR(IF(INDEX(Spring!$1:$1048576,MATCH(All!$A569,Spring!$A:$A,FALSE),MATCH(All!X$1,Spring!$1:$1,FALSE))="","",INDEX(Spring!$1:$1048576,MATCH(All!$A569,Spring!$A:$A,FALSE),MATCH(All!X$1,Spring!$1:$1,FALSE))),"")</f>
        <v>1A</v>
      </c>
      <c r="Y569" t="str">
        <f>IFERROR(IF(INDEX(Spring!$1:$1048576,MATCH(All!$A569,Spring!$A:$A,FALSE),MATCH(All!Y$1,Spring!$1:$1,FALSE))="","",INDEX(Spring!$1:$1048576,MATCH(All!$A569,Spring!$A:$A,FALSE),MATCH(All!Y$1,Spring!$1:$1,FALSE))),"")</f>
        <v>1A</v>
      </c>
      <c r="Z569" t="str">
        <f>IFERROR(IF(INDEX(Spring!$1:$1048576,MATCH(All!$A569,Spring!$A:$A,FALSE),MATCH(All!Z$1,Spring!$1:$1,FALSE))="","",INDEX(Spring!$1:$1048576,MATCH(All!$A569,Spring!$A:$A,FALSE),MATCH(All!Z$1,Spring!$1:$1,FALSE))),"")</f>
        <v/>
      </c>
      <c r="AA569" t="str">
        <f>IFERROR(IF(INDEX(Spring!$1:$1048576,MATCH(All!$A569,Spring!$A:$A,FALSE),MATCH(All!AA$1,Spring!$1:$1,FALSE))="","",INDEX(Spring!$1:$1048576,MATCH(All!$A569,Spring!$A:$A,FALSE),MATCH(All!AA$1,Spring!$1:$1,FALSE))),"")</f>
        <v/>
      </c>
      <c r="AB569" t="str">
        <f>IFERROR(IF(INDEX(Spring!$1:$1048576,MATCH(All!$A569,Spring!$A:$A,FALSE),MATCH(All!AB$1,Spring!$1:$1,FALSE))="","",INDEX(Spring!$1:$1048576,MATCH(All!$A569,Spring!$A:$A,FALSE),MATCH(All!AB$1,Spring!$1:$1,FALSE))),"")</f>
        <v>1A</v>
      </c>
      <c r="AC569" t="str">
        <f>IFERROR(IF(INDEX(Spring!$1:$1048576,MATCH(All!$A569,Spring!$A:$A,FALSE),MATCH(All!AC$1,Spring!$1:$1,FALSE))="","",INDEX(Spring!$1:$1048576,MATCH(All!$A569,Spring!$A:$A,FALSE),MATCH(All!AC$1,Spring!$1:$1,FALSE))),"")</f>
        <v>1A</v>
      </c>
      <c r="AD569" t="str">
        <f>IFERROR(VLOOKUP(A569,'Flag Football'!A:A,1,FALSE),"")</f>
        <v/>
      </c>
      <c r="AE569" t="str">
        <f t="shared" si="8"/>
        <v/>
      </c>
    </row>
    <row r="570" spans="1:31" ht="15.75" thickBot="1" x14ac:dyDescent="0.3">
      <c r="A570" s="20" t="s">
        <v>668</v>
      </c>
      <c r="B570" s="38">
        <f>IFERROR(VLOOKUP(A570,'Public v Private'!A:G,3,FALSE),"")</f>
        <v>0</v>
      </c>
      <c r="C570" s="38">
        <f>IFERROR(VLOOKUP(A570,'Public v Private'!A:G,4,FALSE),"")</f>
        <v>0</v>
      </c>
      <c r="D570" s="38">
        <f>IFERROR(VLOOKUP(A570,'Public v Private'!A:G,5,FALSE),"")</f>
        <v>0</v>
      </c>
      <c r="E570" s="38"/>
      <c r="F570" s="40">
        <f>IFERROR(INDEX(Fall!$1:$1048576,MATCH(All!$A570,Fall!$A:$A,FALSE),MATCH(All!F$1,Fall!$1:$1,FALSE)),"N/A")</f>
        <v>660</v>
      </c>
      <c r="G570" t="str">
        <f>IFERROR(IF(INDEX(Fall!$1:$1048576,MATCH(All!$A570,Fall!$A:$A,FALSE),MATCH(All!G$1,Fall!$1:$1,FALSE))="","",INDEX(Fall!$1:$1048576,MATCH(All!$A570,Fall!$A:$A,FALSE),MATCH(All!G$1,Fall!$1:$1,FALSE))),"")</f>
        <v>2A</v>
      </c>
      <c r="H570" t="str">
        <f>IFERROR(IF(INDEX(Fall!$1:$1048576,MATCH(All!$A570,Fall!$A:$A,FALSE),MATCH(All!H$1,Fall!$1:$1,FALSE))="","",INDEX(Fall!$1:$1048576,MATCH(All!$A570,Fall!$A:$A,FALSE),MATCH(All!H$1,Fall!$1:$1,FALSE))),"")</f>
        <v>2A</v>
      </c>
      <c r="I570" t="str">
        <f>IFERROR(IF(INDEX(Fall!$1:$1048576,MATCH(All!$A570,Fall!$A:$A,FALSE),MATCH(All!I$1,Fall!$1:$1,FALSE))="","",INDEX(Fall!$1:$1048576,MATCH(All!$A570,Fall!$A:$A,FALSE),MATCH(All!I$1,Fall!$1:$1,FALSE))),"")</f>
        <v>2A</v>
      </c>
      <c r="J570" t="str">
        <f>IFERROR(IF(INDEX(Fall!$1:$1048576,MATCH(All!$A570,Fall!$A:$A,FALSE),MATCH(All!J$1,Fall!$1:$1,FALSE))="","",INDEX(Fall!$1:$1048576,MATCH(All!$A570,Fall!$A:$A,FALSE),MATCH(All!J$1,Fall!$1:$1,FALSE))),"")</f>
        <v>1A</v>
      </c>
      <c r="K570" t="str">
        <f>IFERROR(IF(INDEX(Fall!$1:$1048576,MATCH(All!$A570,Fall!$A:$A,FALSE),MATCH(All!K$1,Fall!$1:$1,FALSE))="","",INDEX(Fall!$1:$1048576,MATCH(All!$A570,Fall!$A:$A,FALSE),MATCH(All!K$1,Fall!$1:$1,FALSE))),"")</f>
        <v>1A</v>
      </c>
      <c r="L570" t="str">
        <f>IFERROR(IF(INDEX(Fall!$1:$1048576,MATCH(All!$A570,Fall!$A:$A,FALSE),MATCH(All!L$1,Fall!$1:$1,FALSE))="","",INDEX(Fall!$1:$1048576,MATCH(All!$A570,Fall!$A:$A,FALSE),MATCH(All!L$1,Fall!$1:$1,FALSE))),"")</f>
        <v>1A</v>
      </c>
      <c r="M570" t="str">
        <f>IFERROR(IF(INDEX(Fall!$1:$1048576,MATCH(All!$A570,Fall!$A:$A,FALSE),MATCH(All!M$1,Fall!$1:$1,FALSE))="","",INDEX(Fall!$1:$1048576,MATCH(All!$A570,Fall!$A:$A,FALSE),MATCH(All!M$1,Fall!$1:$1,FALSE))),"")</f>
        <v>2A</v>
      </c>
      <c r="O570">
        <f>IFERROR(IF(INDEX(Winter!$1:$1048576,MATCH(All!$A570,Winter!$A:$A,FALSE),MATCH(All!O$1,Winter!$1:$1,FALSE))="","",INDEX(Winter!$1:$1048576,MATCH(All!$A570,Winter!$A:$A,FALSE),MATCH(All!O$1,Winter!$1:$1,FALSE))),"")</f>
        <v>660</v>
      </c>
      <c r="P570" t="str">
        <f>IFERROR(IF(INDEX(Winter!$1:$1048576,MATCH(All!$A570,Winter!$A:$A,FALSE),MATCH(All!P$1,Winter!$1:$1,FALSE))="","",INDEX(Winter!$1:$1048576,MATCH(All!$A570,Winter!$A:$A,FALSE),MATCH(All!P$1,Winter!$1:$1,FALSE))),"")</f>
        <v>2A</v>
      </c>
      <c r="Q570" t="str">
        <f>IFERROR(IF(INDEX(Winter!$1:$1048576,MATCH(All!$A570,Winter!$A:$A,FALSE),MATCH(All!Q$1,Winter!$1:$1,FALSE))="","",INDEX(Winter!$1:$1048576,MATCH(All!$A570,Winter!$A:$A,FALSE),MATCH(All!Q$1,Winter!$1:$1,FALSE))),"")</f>
        <v>2A</v>
      </c>
      <c r="R570" t="str">
        <f>IFERROR(IF(INDEX(Winter!$1:$1048576,MATCH(All!$A570,Winter!$A:$A,FALSE),MATCH(All!R$1,Winter!$1:$1,FALSE))="","",INDEX(Winter!$1:$1048576,MATCH(All!$A570,Winter!$A:$A,FALSE),MATCH(All!R$1,Winter!$1:$1,FALSE))),"")</f>
        <v>1A</v>
      </c>
      <c r="S570" t="str">
        <f>IFERROR(IF(INDEX(Winter!$1:$1048576,MATCH(All!$A570,Winter!$A:$A,FALSE),MATCH(All!S$1,Winter!$1:$1,FALSE))="","",INDEX(Winter!$1:$1048576,MATCH(All!$A570,Winter!$A:$A,FALSE),MATCH(All!S$1,Winter!$1:$1,FALSE))),"")</f>
        <v/>
      </c>
      <c r="T570" t="str">
        <f>IFERROR(IF(INDEX(Winter!$1:$1048576,MATCH(All!$A570,Winter!$A:$A,FALSE),MATCH(All!T$1,Winter!$1:$1,FALSE))="","",INDEX(Winter!$1:$1048576,MATCH(All!$A570,Winter!$A:$A,FALSE),MATCH(All!T$1,Winter!$1:$1,FALSE))),"")</f>
        <v>2A</v>
      </c>
      <c r="U570" t="str">
        <f>IFERROR(IF(INDEX(Winter!$1:$1048576,MATCH(All!$A570,Winter!$A:$A,FALSE),MATCH(All!U$1,Winter!$1:$1,FALSE))="","",INDEX(Winter!$1:$1048576,MATCH(All!$A570,Winter!$A:$A,FALSE),MATCH(All!U$1,Winter!$1:$1,FALSE))),"")</f>
        <v>1A</v>
      </c>
      <c r="W570">
        <f>IFERROR(IF(INDEX(Spring!$1:$1048576,MATCH(All!$A570,Spring!$A:$A,FALSE),MATCH(All!W$1,Spring!$1:$1,FALSE))="","",INDEX(Spring!$1:$1048576,MATCH(All!$A570,Spring!$A:$A,FALSE),MATCH(All!W$1,Spring!$1:$1,FALSE))),"")</f>
        <v>660</v>
      </c>
      <c r="X570" t="str">
        <f>IFERROR(IF(INDEX(Spring!$1:$1048576,MATCH(All!$A570,Spring!$A:$A,FALSE),MATCH(All!X$1,Spring!$1:$1,FALSE))="","",INDEX(Spring!$1:$1048576,MATCH(All!$A570,Spring!$A:$A,FALSE),MATCH(All!X$1,Spring!$1:$1,FALSE))),"")</f>
        <v>2A</v>
      </c>
      <c r="Y570" t="str">
        <f>IFERROR(IF(INDEX(Spring!$1:$1048576,MATCH(All!$A570,Spring!$A:$A,FALSE),MATCH(All!Y$1,Spring!$1:$1,FALSE))="","",INDEX(Spring!$1:$1048576,MATCH(All!$A570,Spring!$A:$A,FALSE),MATCH(All!Y$1,Spring!$1:$1,FALSE))),"")</f>
        <v>2A</v>
      </c>
      <c r="Z570" t="str">
        <f>IFERROR(IF(INDEX(Spring!$1:$1048576,MATCH(All!$A570,Spring!$A:$A,FALSE),MATCH(All!Z$1,Spring!$1:$1,FALSE))="","",INDEX(Spring!$1:$1048576,MATCH(All!$A570,Spring!$A:$A,FALSE),MATCH(All!Z$1,Spring!$1:$1,FALSE))),"")</f>
        <v>1A</v>
      </c>
      <c r="AA570" t="str">
        <f>IFERROR(IF(INDEX(Spring!$1:$1048576,MATCH(All!$A570,Spring!$A:$A,FALSE),MATCH(All!AA$1,Spring!$1:$1,FALSE))="","",INDEX(Spring!$1:$1048576,MATCH(All!$A570,Spring!$A:$A,FALSE),MATCH(All!AA$1,Spring!$1:$1,FALSE))),"")</f>
        <v>1A</v>
      </c>
      <c r="AB570" t="str">
        <f>IFERROR(IF(INDEX(Spring!$1:$1048576,MATCH(All!$A570,Spring!$A:$A,FALSE),MATCH(All!AB$1,Spring!$1:$1,FALSE))="","",INDEX(Spring!$1:$1048576,MATCH(All!$A570,Spring!$A:$A,FALSE),MATCH(All!AB$1,Spring!$1:$1,FALSE))),"")</f>
        <v>2A</v>
      </c>
      <c r="AC570" t="str">
        <f>IFERROR(IF(INDEX(Spring!$1:$1048576,MATCH(All!$A570,Spring!$A:$A,FALSE),MATCH(All!AC$1,Spring!$1:$1,FALSE))="","",INDEX(Spring!$1:$1048576,MATCH(All!$A570,Spring!$A:$A,FALSE),MATCH(All!AC$1,Spring!$1:$1,FALSE))),"")</f>
        <v>2A</v>
      </c>
      <c r="AD570" t="str">
        <f>IFERROR(VLOOKUP(A570,'Flag Football'!A:A,1,FALSE),"")</f>
        <v/>
      </c>
      <c r="AE570" t="str">
        <f t="shared" si="8"/>
        <v/>
      </c>
    </row>
    <row r="571" spans="1:31" ht="15.75" thickBot="1" x14ac:dyDescent="0.3">
      <c r="A571" s="18" t="s">
        <v>669</v>
      </c>
      <c r="B571" s="38">
        <f>IFERROR(VLOOKUP(A571,'Public v Private'!A:G,3,FALSE),"")</f>
        <v>0</v>
      </c>
      <c r="C571" s="38">
        <f>IFERROR(VLOOKUP(A571,'Public v Private'!A:G,4,FALSE),"")</f>
        <v>0</v>
      </c>
      <c r="D571" s="38">
        <f>IFERROR(VLOOKUP(A571,'Public v Private'!A:G,5,FALSE),"")</f>
        <v>0</v>
      </c>
      <c r="E571" s="38"/>
      <c r="F571" s="40">
        <f>IFERROR(INDEX(Fall!$1:$1048576,MATCH(All!$A571,Fall!$A:$A,FALSE),MATCH(All!F$1,Fall!$1:$1,FALSE)),"N/A")</f>
        <v>161</v>
      </c>
      <c r="G571" t="str">
        <f>IFERROR(IF(INDEX(Fall!$1:$1048576,MATCH(All!$A571,Fall!$A:$A,FALSE),MATCH(All!G$1,Fall!$1:$1,FALSE))="","",INDEX(Fall!$1:$1048576,MATCH(All!$A571,Fall!$A:$A,FALSE),MATCH(All!G$1,Fall!$1:$1,FALSE))),"")</f>
        <v>1A</v>
      </c>
      <c r="H571" t="str">
        <f>IFERROR(IF(INDEX(Fall!$1:$1048576,MATCH(All!$A571,Fall!$A:$A,FALSE),MATCH(All!H$1,Fall!$1:$1,FALSE))="","",INDEX(Fall!$1:$1048576,MATCH(All!$A571,Fall!$A:$A,FALSE),MATCH(All!H$1,Fall!$1:$1,FALSE))),"")</f>
        <v>1A</v>
      </c>
      <c r="I571" t="str">
        <f>IFERROR(IF(INDEX(Fall!$1:$1048576,MATCH(All!$A571,Fall!$A:$A,FALSE),MATCH(All!I$1,Fall!$1:$1,FALSE))="","",INDEX(Fall!$1:$1048576,MATCH(All!$A571,Fall!$A:$A,FALSE),MATCH(All!I$1,Fall!$1:$1,FALSE))),"")</f>
        <v/>
      </c>
      <c r="J571" t="str">
        <f>IFERROR(IF(INDEX(Fall!$1:$1048576,MATCH(All!$A571,Fall!$A:$A,FALSE),MATCH(All!J$1,Fall!$1:$1,FALSE))="","",INDEX(Fall!$1:$1048576,MATCH(All!$A571,Fall!$A:$A,FALSE),MATCH(All!J$1,Fall!$1:$1,FALSE))),"")</f>
        <v/>
      </c>
      <c r="K571" t="str">
        <f>IFERROR(IF(INDEX(Fall!$1:$1048576,MATCH(All!$A571,Fall!$A:$A,FALSE),MATCH(All!K$1,Fall!$1:$1,FALSE))="","",INDEX(Fall!$1:$1048576,MATCH(All!$A571,Fall!$A:$A,FALSE),MATCH(All!K$1,Fall!$1:$1,FALSE))),"")</f>
        <v/>
      </c>
      <c r="L571" t="str">
        <f>IFERROR(IF(INDEX(Fall!$1:$1048576,MATCH(All!$A571,Fall!$A:$A,FALSE),MATCH(All!L$1,Fall!$1:$1,FALSE))="","",INDEX(Fall!$1:$1048576,MATCH(All!$A571,Fall!$A:$A,FALSE),MATCH(All!L$1,Fall!$1:$1,FALSE))),"")</f>
        <v/>
      </c>
      <c r="M571" t="str">
        <f>IFERROR(IF(INDEX(Fall!$1:$1048576,MATCH(All!$A571,Fall!$A:$A,FALSE),MATCH(All!M$1,Fall!$1:$1,FALSE))="","",INDEX(Fall!$1:$1048576,MATCH(All!$A571,Fall!$A:$A,FALSE),MATCH(All!M$1,Fall!$1:$1,FALSE))),"")</f>
        <v/>
      </c>
      <c r="O571">
        <f>IFERROR(IF(INDEX(Winter!$1:$1048576,MATCH(All!$A571,Winter!$A:$A,FALSE),MATCH(All!O$1,Winter!$1:$1,FALSE))="","",INDEX(Winter!$1:$1048576,MATCH(All!$A571,Winter!$A:$A,FALSE),MATCH(All!O$1,Winter!$1:$1,FALSE))),"")</f>
        <v>161</v>
      </c>
      <c r="P571" t="str">
        <f>IFERROR(IF(INDEX(Winter!$1:$1048576,MATCH(All!$A571,Winter!$A:$A,FALSE),MATCH(All!P$1,Winter!$1:$1,FALSE))="","",INDEX(Winter!$1:$1048576,MATCH(All!$A571,Winter!$A:$A,FALSE),MATCH(All!P$1,Winter!$1:$1,FALSE))),"")</f>
        <v>1A</v>
      </c>
      <c r="Q571" t="str">
        <f>IFERROR(IF(INDEX(Winter!$1:$1048576,MATCH(All!$A571,Winter!$A:$A,FALSE),MATCH(All!Q$1,Winter!$1:$1,FALSE))="","",INDEX(Winter!$1:$1048576,MATCH(All!$A571,Winter!$A:$A,FALSE),MATCH(All!Q$1,Winter!$1:$1,FALSE))),"")</f>
        <v>1A</v>
      </c>
      <c r="R571" t="str">
        <f>IFERROR(IF(INDEX(Winter!$1:$1048576,MATCH(All!$A571,Winter!$A:$A,FALSE),MATCH(All!R$1,Winter!$1:$1,FALSE))="","",INDEX(Winter!$1:$1048576,MATCH(All!$A571,Winter!$A:$A,FALSE),MATCH(All!R$1,Winter!$1:$1,FALSE))),"")</f>
        <v>1A</v>
      </c>
      <c r="S571" t="str">
        <f>IFERROR(IF(INDEX(Winter!$1:$1048576,MATCH(All!$A571,Winter!$A:$A,FALSE),MATCH(All!S$1,Winter!$1:$1,FALSE))="","",INDEX(Winter!$1:$1048576,MATCH(All!$A571,Winter!$A:$A,FALSE),MATCH(All!S$1,Winter!$1:$1,FALSE))),"")</f>
        <v/>
      </c>
      <c r="T571" t="str">
        <f>IFERROR(IF(INDEX(Winter!$1:$1048576,MATCH(All!$A571,Winter!$A:$A,FALSE),MATCH(All!T$1,Winter!$1:$1,FALSE))="","",INDEX(Winter!$1:$1048576,MATCH(All!$A571,Winter!$A:$A,FALSE),MATCH(All!T$1,Winter!$1:$1,FALSE))),"")</f>
        <v>1A</v>
      </c>
      <c r="U571" t="str">
        <f>IFERROR(IF(INDEX(Winter!$1:$1048576,MATCH(All!$A571,Winter!$A:$A,FALSE),MATCH(All!U$1,Winter!$1:$1,FALSE))="","",INDEX(Winter!$1:$1048576,MATCH(All!$A571,Winter!$A:$A,FALSE),MATCH(All!U$1,Winter!$1:$1,FALSE))),"")</f>
        <v>1A</v>
      </c>
      <c r="W571">
        <f>IFERROR(IF(INDEX(Spring!$1:$1048576,MATCH(All!$A571,Spring!$A:$A,FALSE),MATCH(All!W$1,Spring!$1:$1,FALSE))="","",INDEX(Spring!$1:$1048576,MATCH(All!$A571,Spring!$A:$A,FALSE),MATCH(All!W$1,Spring!$1:$1,FALSE))),"")</f>
        <v>161</v>
      </c>
      <c r="X571" t="str">
        <f>IFERROR(IF(INDEX(Spring!$1:$1048576,MATCH(All!$A571,Spring!$A:$A,FALSE),MATCH(All!X$1,Spring!$1:$1,FALSE))="","",INDEX(Spring!$1:$1048576,MATCH(All!$A571,Spring!$A:$A,FALSE),MATCH(All!X$1,Spring!$1:$1,FALSE))),"")</f>
        <v/>
      </c>
      <c r="Y571" t="str">
        <f>IFERROR(IF(INDEX(Spring!$1:$1048576,MATCH(All!$A571,Spring!$A:$A,FALSE),MATCH(All!Y$1,Spring!$1:$1,FALSE))="","",INDEX(Spring!$1:$1048576,MATCH(All!$A571,Spring!$A:$A,FALSE),MATCH(All!Y$1,Spring!$1:$1,FALSE))),"")</f>
        <v/>
      </c>
      <c r="Z571" t="str">
        <f>IFERROR(IF(INDEX(Spring!$1:$1048576,MATCH(All!$A571,Spring!$A:$A,FALSE),MATCH(All!Z$1,Spring!$1:$1,FALSE))="","",INDEX(Spring!$1:$1048576,MATCH(All!$A571,Spring!$A:$A,FALSE),MATCH(All!Z$1,Spring!$1:$1,FALSE))),"")</f>
        <v/>
      </c>
      <c r="AA571" t="str">
        <f>IFERROR(IF(INDEX(Spring!$1:$1048576,MATCH(All!$A571,Spring!$A:$A,FALSE),MATCH(All!AA$1,Spring!$1:$1,FALSE))="","",INDEX(Spring!$1:$1048576,MATCH(All!$A571,Spring!$A:$A,FALSE),MATCH(All!AA$1,Spring!$1:$1,FALSE))),"")</f>
        <v/>
      </c>
      <c r="AB571" t="str">
        <f>IFERROR(IF(INDEX(Spring!$1:$1048576,MATCH(All!$A571,Spring!$A:$A,FALSE),MATCH(All!AB$1,Spring!$1:$1,FALSE))="","",INDEX(Spring!$1:$1048576,MATCH(All!$A571,Spring!$A:$A,FALSE),MATCH(All!AB$1,Spring!$1:$1,FALSE))),"")</f>
        <v>1A</v>
      </c>
      <c r="AC571" t="str">
        <f>IFERROR(IF(INDEX(Spring!$1:$1048576,MATCH(All!$A571,Spring!$A:$A,FALSE),MATCH(All!AC$1,Spring!$1:$1,FALSE))="","",INDEX(Spring!$1:$1048576,MATCH(All!$A571,Spring!$A:$A,FALSE),MATCH(All!AC$1,Spring!$1:$1,FALSE))),"")</f>
        <v>1A</v>
      </c>
      <c r="AD571" t="str">
        <f>IFERROR(VLOOKUP(A571,'Flag Football'!A:A,1,FALSE),"")</f>
        <v/>
      </c>
      <c r="AE571" t="str">
        <f t="shared" si="8"/>
        <v/>
      </c>
    </row>
    <row r="572" spans="1:31" ht="15.75" thickBot="1" x14ac:dyDescent="0.3">
      <c r="A572" s="20" t="s">
        <v>670</v>
      </c>
      <c r="B572" s="38">
        <f>IFERROR(VLOOKUP(A572,'Public v Private'!A:G,3,FALSE),"")</f>
        <v>0</v>
      </c>
      <c r="C572" s="38">
        <f>IFERROR(VLOOKUP(A572,'Public v Private'!A:G,4,FALSE),"")</f>
        <v>0</v>
      </c>
      <c r="D572" s="38">
        <f>IFERROR(VLOOKUP(A572,'Public v Private'!A:G,5,FALSE),"")</f>
        <v>0</v>
      </c>
      <c r="E572" s="38"/>
      <c r="F572" s="40">
        <f>IFERROR(INDEX(Fall!$1:$1048576,MATCH(All!$A572,Fall!$A:$A,FALSE),MATCH(All!F$1,Fall!$1:$1,FALSE)),"N/A")</f>
        <v>109</v>
      </c>
      <c r="G572" t="str">
        <f>IFERROR(IF(INDEX(Fall!$1:$1048576,MATCH(All!$A572,Fall!$A:$A,FALSE),MATCH(All!G$1,Fall!$1:$1,FALSE))="","",INDEX(Fall!$1:$1048576,MATCH(All!$A572,Fall!$A:$A,FALSE),MATCH(All!G$1,Fall!$1:$1,FALSE))),"")</f>
        <v/>
      </c>
      <c r="H572" t="str">
        <f>IFERROR(IF(INDEX(Fall!$1:$1048576,MATCH(All!$A572,Fall!$A:$A,FALSE),MATCH(All!H$1,Fall!$1:$1,FALSE))="","",INDEX(Fall!$1:$1048576,MATCH(All!$A572,Fall!$A:$A,FALSE),MATCH(All!H$1,Fall!$1:$1,FALSE))),"")</f>
        <v/>
      </c>
      <c r="I572" t="str">
        <f>IFERROR(IF(INDEX(Fall!$1:$1048576,MATCH(All!$A572,Fall!$A:$A,FALSE),MATCH(All!I$1,Fall!$1:$1,FALSE))="","",INDEX(Fall!$1:$1048576,MATCH(All!$A572,Fall!$A:$A,FALSE),MATCH(All!I$1,Fall!$1:$1,FALSE))),"")</f>
        <v/>
      </c>
      <c r="J572" t="str">
        <f>IFERROR(IF(INDEX(Fall!$1:$1048576,MATCH(All!$A572,Fall!$A:$A,FALSE),MATCH(All!J$1,Fall!$1:$1,FALSE))="","",INDEX(Fall!$1:$1048576,MATCH(All!$A572,Fall!$A:$A,FALSE),MATCH(All!J$1,Fall!$1:$1,FALSE))),"")</f>
        <v/>
      </c>
      <c r="K572" t="str">
        <f>IFERROR(IF(INDEX(Fall!$1:$1048576,MATCH(All!$A572,Fall!$A:$A,FALSE),MATCH(All!K$1,Fall!$1:$1,FALSE))="","",INDEX(Fall!$1:$1048576,MATCH(All!$A572,Fall!$A:$A,FALSE),MATCH(All!K$1,Fall!$1:$1,FALSE))),"")</f>
        <v/>
      </c>
      <c r="L572" t="str">
        <f>IFERROR(IF(INDEX(Fall!$1:$1048576,MATCH(All!$A572,Fall!$A:$A,FALSE),MATCH(All!L$1,Fall!$1:$1,FALSE))="","",INDEX(Fall!$1:$1048576,MATCH(All!$A572,Fall!$A:$A,FALSE),MATCH(All!L$1,Fall!$1:$1,FALSE))),"")</f>
        <v/>
      </c>
      <c r="M572" t="str">
        <f>IFERROR(IF(INDEX(Fall!$1:$1048576,MATCH(All!$A572,Fall!$A:$A,FALSE),MATCH(All!M$1,Fall!$1:$1,FALSE))="","",INDEX(Fall!$1:$1048576,MATCH(All!$A572,Fall!$A:$A,FALSE),MATCH(All!M$1,Fall!$1:$1,FALSE))),"")</f>
        <v>1A</v>
      </c>
      <c r="O572">
        <f>IFERROR(IF(INDEX(Winter!$1:$1048576,MATCH(All!$A572,Winter!$A:$A,FALSE),MATCH(All!O$1,Winter!$1:$1,FALSE))="","",INDEX(Winter!$1:$1048576,MATCH(All!$A572,Winter!$A:$A,FALSE),MATCH(All!O$1,Winter!$1:$1,FALSE))),"")</f>
        <v>109</v>
      </c>
      <c r="P572" t="str">
        <f>IFERROR(IF(INDEX(Winter!$1:$1048576,MATCH(All!$A572,Winter!$A:$A,FALSE),MATCH(All!P$1,Winter!$1:$1,FALSE))="","",INDEX(Winter!$1:$1048576,MATCH(All!$A572,Winter!$A:$A,FALSE),MATCH(All!P$1,Winter!$1:$1,FALSE))),"")</f>
        <v>1A</v>
      </c>
      <c r="Q572" t="str">
        <f>IFERROR(IF(INDEX(Winter!$1:$1048576,MATCH(All!$A572,Winter!$A:$A,FALSE),MATCH(All!Q$1,Winter!$1:$1,FALSE))="","",INDEX(Winter!$1:$1048576,MATCH(All!$A572,Winter!$A:$A,FALSE),MATCH(All!Q$1,Winter!$1:$1,FALSE))),"")</f>
        <v>1A</v>
      </c>
      <c r="R572" t="str">
        <f>IFERROR(IF(INDEX(Winter!$1:$1048576,MATCH(All!$A572,Winter!$A:$A,FALSE),MATCH(All!R$1,Winter!$1:$1,FALSE))="","",INDEX(Winter!$1:$1048576,MATCH(All!$A572,Winter!$A:$A,FALSE),MATCH(All!R$1,Winter!$1:$1,FALSE))),"")</f>
        <v/>
      </c>
      <c r="S572" t="str">
        <f>IFERROR(IF(INDEX(Winter!$1:$1048576,MATCH(All!$A572,Winter!$A:$A,FALSE),MATCH(All!S$1,Winter!$1:$1,FALSE))="","",INDEX(Winter!$1:$1048576,MATCH(All!$A572,Winter!$A:$A,FALSE),MATCH(All!S$1,Winter!$1:$1,FALSE))),"")</f>
        <v/>
      </c>
      <c r="T572" t="str">
        <f>IFERROR(IF(INDEX(Winter!$1:$1048576,MATCH(All!$A572,Winter!$A:$A,FALSE),MATCH(All!T$1,Winter!$1:$1,FALSE))="","",INDEX(Winter!$1:$1048576,MATCH(All!$A572,Winter!$A:$A,FALSE),MATCH(All!T$1,Winter!$1:$1,FALSE))),"")</f>
        <v/>
      </c>
      <c r="U572" t="str">
        <f>IFERROR(IF(INDEX(Winter!$1:$1048576,MATCH(All!$A572,Winter!$A:$A,FALSE),MATCH(All!U$1,Winter!$1:$1,FALSE))="","",INDEX(Winter!$1:$1048576,MATCH(All!$A572,Winter!$A:$A,FALSE),MATCH(All!U$1,Winter!$1:$1,FALSE))),"")</f>
        <v/>
      </c>
      <c r="W572">
        <f>IFERROR(IF(INDEX(Spring!$1:$1048576,MATCH(All!$A572,Spring!$A:$A,FALSE),MATCH(All!W$1,Spring!$1:$1,FALSE))="","",INDEX(Spring!$1:$1048576,MATCH(All!$A572,Spring!$A:$A,FALSE),MATCH(All!W$1,Spring!$1:$1,FALSE))),"")</f>
        <v>109</v>
      </c>
      <c r="X572" t="str">
        <f>IFERROR(IF(INDEX(Spring!$1:$1048576,MATCH(All!$A572,Spring!$A:$A,FALSE),MATCH(All!X$1,Spring!$1:$1,FALSE))="","",INDEX(Spring!$1:$1048576,MATCH(All!$A572,Spring!$A:$A,FALSE),MATCH(All!X$1,Spring!$1:$1,FALSE))),"")</f>
        <v>1A</v>
      </c>
      <c r="Y572" t="str">
        <f>IFERROR(IF(INDEX(Spring!$1:$1048576,MATCH(All!$A572,Spring!$A:$A,FALSE),MATCH(All!Y$1,Spring!$1:$1,FALSE))="","",INDEX(Spring!$1:$1048576,MATCH(All!$A572,Spring!$A:$A,FALSE),MATCH(All!Y$1,Spring!$1:$1,FALSE))),"")</f>
        <v>1A</v>
      </c>
      <c r="Z572" t="str">
        <f>IFERROR(IF(INDEX(Spring!$1:$1048576,MATCH(All!$A572,Spring!$A:$A,FALSE),MATCH(All!Z$1,Spring!$1:$1,FALSE))="","",INDEX(Spring!$1:$1048576,MATCH(All!$A572,Spring!$A:$A,FALSE),MATCH(All!Z$1,Spring!$1:$1,FALSE))),"")</f>
        <v/>
      </c>
      <c r="AA572" t="str">
        <f>IFERROR(IF(INDEX(Spring!$1:$1048576,MATCH(All!$A572,Spring!$A:$A,FALSE),MATCH(All!AA$1,Spring!$1:$1,FALSE))="","",INDEX(Spring!$1:$1048576,MATCH(All!$A572,Spring!$A:$A,FALSE),MATCH(All!AA$1,Spring!$1:$1,FALSE))),"")</f>
        <v/>
      </c>
      <c r="AB572" t="str">
        <f>IFERROR(IF(INDEX(Spring!$1:$1048576,MATCH(All!$A572,Spring!$A:$A,FALSE),MATCH(All!AB$1,Spring!$1:$1,FALSE))="","",INDEX(Spring!$1:$1048576,MATCH(All!$A572,Spring!$A:$A,FALSE),MATCH(All!AB$1,Spring!$1:$1,FALSE))),"")</f>
        <v/>
      </c>
      <c r="AC572" t="str">
        <f>IFERROR(IF(INDEX(Spring!$1:$1048576,MATCH(All!$A572,Spring!$A:$A,FALSE),MATCH(All!AC$1,Spring!$1:$1,FALSE))="","",INDEX(Spring!$1:$1048576,MATCH(All!$A572,Spring!$A:$A,FALSE),MATCH(All!AC$1,Spring!$1:$1,FALSE))),"")</f>
        <v/>
      </c>
      <c r="AD572" t="str">
        <f>IFERROR(VLOOKUP(A572,'Flag Football'!A:A,1,FALSE),"")</f>
        <v/>
      </c>
      <c r="AE572" t="str">
        <f t="shared" si="8"/>
        <v/>
      </c>
    </row>
    <row r="573" spans="1:31" ht="15.75" thickBot="1" x14ac:dyDescent="0.3">
      <c r="A573" s="18" t="s">
        <v>671</v>
      </c>
      <c r="B573" s="38">
        <f>IFERROR(VLOOKUP(A573,'Public v Private'!A:G,3,FALSE),"")</f>
        <v>0</v>
      </c>
      <c r="C573" s="38">
        <f>IFERROR(VLOOKUP(A573,'Public v Private'!A:G,4,FALSE),"")</f>
        <v>0</v>
      </c>
      <c r="D573" s="38">
        <f>IFERROR(VLOOKUP(A573,'Public v Private'!A:G,5,FALSE),"")</f>
        <v>0</v>
      </c>
      <c r="E573" s="38"/>
      <c r="F573" s="40">
        <f>IFERROR(INDEX(Fall!$1:$1048576,MATCH(All!$A573,Fall!$A:$A,FALSE),MATCH(All!F$1,Fall!$1:$1,FALSE)),"N/A")</f>
        <v>428</v>
      </c>
      <c r="G573" t="str">
        <f>IFERROR(IF(INDEX(Fall!$1:$1048576,MATCH(All!$A573,Fall!$A:$A,FALSE),MATCH(All!G$1,Fall!$1:$1,FALSE))="","",INDEX(Fall!$1:$1048576,MATCH(All!$A573,Fall!$A:$A,FALSE),MATCH(All!G$1,Fall!$1:$1,FALSE))),"")</f>
        <v>1A</v>
      </c>
      <c r="H573" t="str">
        <f>IFERROR(IF(INDEX(Fall!$1:$1048576,MATCH(All!$A573,Fall!$A:$A,FALSE),MATCH(All!H$1,Fall!$1:$1,FALSE))="","",INDEX(Fall!$1:$1048576,MATCH(All!$A573,Fall!$A:$A,FALSE),MATCH(All!H$1,Fall!$1:$1,FALSE))),"")</f>
        <v>1A</v>
      </c>
      <c r="I573" t="str">
        <f>IFERROR(IF(INDEX(Fall!$1:$1048576,MATCH(All!$A573,Fall!$A:$A,FALSE),MATCH(All!I$1,Fall!$1:$1,FALSE))="","",INDEX(Fall!$1:$1048576,MATCH(All!$A573,Fall!$A:$A,FALSE),MATCH(All!I$1,Fall!$1:$1,FALSE))),"")</f>
        <v>1A</v>
      </c>
      <c r="J573" t="str">
        <f>IFERROR(IF(INDEX(Fall!$1:$1048576,MATCH(All!$A573,Fall!$A:$A,FALSE),MATCH(All!J$1,Fall!$1:$1,FALSE))="","",INDEX(Fall!$1:$1048576,MATCH(All!$A573,Fall!$A:$A,FALSE),MATCH(All!J$1,Fall!$1:$1,FALSE))),"")</f>
        <v>1A</v>
      </c>
      <c r="K573" t="str">
        <f>IFERROR(IF(INDEX(Fall!$1:$1048576,MATCH(All!$A573,Fall!$A:$A,FALSE),MATCH(All!K$1,Fall!$1:$1,FALSE))="","",INDEX(Fall!$1:$1048576,MATCH(All!$A573,Fall!$A:$A,FALSE),MATCH(All!K$1,Fall!$1:$1,FALSE))),"")</f>
        <v>1A</v>
      </c>
      <c r="L573" t="str">
        <f>IFERROR(IF(INDEX(Fall!$1:$1048576,MATCH(All!$A573,Fall!$A:$A,FALSE),MATCH(All!L$1,Fall!$1:$1,FALSE))="","",INDEX(Fall!$1:$1048576,MATCH(All!$A573,Fall!$A:$A,FALSE),MATCH(All!L$1,Fall!$1:$1,FALSE))),"")</f>
        <v/>
      </c>
      <c r="M573" t="str">
        <f>IFERROR(IF(INDEX(Fall!$1:$1048576,MATCH(All!$A573,Fall!$A:$A,FALSE),MATCH(All!M$1,Fall!$1:$1,FALSE))="","",INDEX(Fall!$1:$1048576,MATCH(All!$A573,Fall!$A:$A,FALSE),MATCH(All!M$1,Fall!$1:$1,FALSE))),"")</f>
        <v>2A</v>
      </c>
      <c r="O573">
        <f>IFERROR(IF(INDEX(Winter!$1:$1048576,MATCH(All!$A573,Winter!$A:$A,FALSE),MATCH(All!O$1,Winter!$1:$1,FALSE))="","",INDEX(Winter!$1:$1048576,MATCH(All!$A573,Winter!$A:$A,FALSE),MATCH(All!O$1,Winter!$1:$1,FALSE))),"")</f>
        <v>428</v>
      </c>
      <c r="P573" t="str">
        <f>IFERROR(IF(INDEX(Winter!$1:$1048576,MATCH(All!$A573,Winter!$A:$A,FALSE),MATCH(All!P$1,Winter!$1:$1,FALSE))="","",INDEX(Winter!$1:$1048576,MATCH(All!$A573,Winter!$A:$A,FALSE),MATCH(All!P$1,Winter!$1:$1,FALSE))),"")</f>
        <v>2A</v>
      </c>
      <c r="Q573" t="str">
        <f>IFERROR(IF(INDEX(Winter!$1:$1048576,MATCH(All!$A573,Winter!$A:$A,FALSE),MATCH(All!Q$1,Winter!$1:$1,FALSE))="","",INDEX(Winter!$1:$1048576,MATCH(All!$A573,Winter!$A:$A,FALSE),MATCH(All!Q$1,Winter!$1:$1,FALSE))),"")</f>
        <v>2A</v>
      </c>
      <c r="R573" t="str">
        <f>IFERROR(IF(INDEX(Winter!$1:$1048576,MATCH(All!$A573,Winter!$A:$A,FALSE),MATCH(All!R$1,Winter!$1:$1,FALSE))="","",INDEX(Winter!$1:$1048576,MATCH(All!$A573,Winter!$A:$A,FALSE),MATCH(All!R$1,Winter!$1:$1,FALSE))),"")</f>
        <v>1A</v>
      </c>
      <c r="S573" t="str">
        <f>IFERROR(IF(INDEX(Winter!$1:$1048576,MATCH(All!$A573,Winter!$A:$A,FALSE),MATCH(All!S$1,Winter!$1:$1,FALSE))="","",INDEX(Winter!$1:$1048576,MATCH(All!$A573,Winter!$A:$A,FALSE),MATCH(All!S$1,Winter!$1:$1,FALSE))),"")</f>
        <v/>
      </c>
      <c r="T573" t="str">
        <f>IFERROR(IF(INDEX(Winter!$1:$1048576,MATCH(All!$A573,Winter!$A:$A,FALSE),MATCH(All!T$1,Winter!$1:$1,FALSE))="","",INDEX(Winter!$1:$1048576,MATCH(All!$A573,Winter!$A:$A,FALSE),MATCH(All!T$1,Winter!$1:$1,FALSE))),"")</f>
        <v>1A</v>
      </c>
      <c r="U573" t="str">
        <f>IFERROR(IF(INDEX(Winter!$1:$1048576,MATCH(All!$A573,Winter!$A:$A,FALSE),MATCH(All!U$1,Winter!$1:$1,FALSE))="","",INDEX(Winter!$1:$1048576,MATCH(All!$A573,Winter!$A:$A,FALSE),MATCH(All!U$1,Winter!$1:$1,FALSE))),"")</f>
        <v>1A</v>
      </c>
      <c r="W573">
        <f>IFERROR(IF(INDEX(Spring!$1:$1048576,MATCH(All!$A573,Spring!$A:$A,FALSE),MATCH(All!W$1,Spring!$1:$1,FALSE))="","",INDEX(Spring!$1:$1048576,MATCH(All!$A573,Spring!$A:$A,FALSE),MATCH(All!W$1,Spring!$1:$1,FALSE))),"")</f>
        <v>428</v>
      </c>
      <c r="X573" t="str">
        <f>IFERROR(IF(INDEX(Spring!$1:$1048576,MATCH(All!$A573,Spring!$A:$A,FALSE),MATCH(All!X$1,Spring!$1:$1,FALSE))="","",INDEX(Spring!$1:$1048576,MATCH(All!$A573,Spring!$A:$A,FALSE),MATCH(All!X$1,Spring!$1:$1,FALSE))),"")</f>
        <v>2A</v>
      </c>
      <c r="Y573" t="str">
        <f>IFERROR(IF(INDEX(Spring!$1:$1048576,MATCH(All!$A573,Spring!$A:$A,FALSE),MATCH(All!Y$1,Spring!$1:$1,FALSE))="","",INDEX(Spring!$1:$1048576,MATCH(All!$A573,Spring!$A:$A,FALSE),MATCH(All!Y$1,Spring!$1:$1,FALSE))),"")</f>
        <v>2A</v>
      </c>
      <c r="Z573" t="str">
        <f>IFERROR(IF(INDEX(Spring!$1:$1048576,MATCH(All!$A573,Spring!$A:$A,FALSE),MATCH(All!Z$1,Spring!$1:$1,FALSE))="","",INDEX(Spring!$1:$1048576,MATCH(All!$A573,Spring!$A:$A,FALSE),MATCH(All!Z$1,Spring!$1:$1,FALSE))),"")</f>
        <v>1A</v>
      </c>
      <c r="AA573" t="str">
        <f>IFERROR(IF(INDEX(Spring!$1:$1048576,MATCH(All!$A573,Spring!$A:$A,FALSE),MATCH(All!AA$1,Spring!$1:$1,FALSE))="","",INDEX(Spring!$1:$1048576,MATCH(All!$A573,Spring!$A:$A,FALSE),MATCH(All!AA$1,Spring!$1:$1,FALSE))),"")</f>
        <v/>
      </c>
      <c r="AB573" t="str">
        <f>IFERROR(IF(INDEX(Spring!$1:$1048576,MATCH(All!$A573,Spring!$A:$A,FALSE),MATCH(All!AB$1,Spring!$1:$1,FALSE))="","",INDEX(Spring!$1:$1048576,MATCH(All!$A573,Spring!$A:$A,FALSE),MATCH(All!AB$1,Spring!$1:$1,FALSE))),"")</f>
        <v>1A</v>
      </c>
      <c r="AC573" t="str">
        <f>IFERROR(IF(INDEX(Spring!$1:$1048576,MATCH(All!$A573,Spring!$A:$A,FALSE),MATCH(All!AC$1,Spring!$1:$1,FALSE))="","",INDEX(Spring!$1:$1048576,MATCH(All!$A573,Spring!$A:$A,FALSE),MATCH(All!AC$1,Spring!$1:$1,FALSE))),"")</f>
        <v>1A</v>
      </c>
      <c r="AD573" t="str">
        <f>IFERROR(VLOOKUP(A573,'Flag Football'!A:A,1,FALSE),"")</f>
        <v/>
      </c>
      <c r="AE573" t="str">
        <f t="shared" si="8"/>
        <v/>
      </c>
    </row>
    <row r="574" spans="1:31" ht="15.75" thickBot="1" x14ac:dyDescent="0.3">
      <c r="A574" s="20" t="s">
        <v>672</v>
      </c>
      <c r="B574" s="38">
        <f>IFERROR(VLOOKUP(A574,'Public v Private'!A:G,3,FALSE),"")</f>
        <v>0</v>
      </c>
      <c r="C574" s="38">
        <f>IFERROR(VLOOKUP(A574,'Public v Private'!A:G,4,FALSE),"")</f>
        <v>0</v>
      </c>
      <c r="D574" s="38">
        <f>IFERROR(VLOOKUP(A574,'Public v Private'!A:G,5,FALSE),"")</f>
        <v>0</v>
      </c>
      <c r="E574" s="38"/>
      <c r="F574" s="40">
        <f>IFERROR(INDEX(Fall!$1:$1048576,MATCH(All!$A574,Fall!$A:$A,FALSE),MATCH(All!F$1,Fall!$1:$1,FALSE)),"N/A")</f>
        <v>282</v>
      </c>
      <c r="G574" t="str">
        <f>IFERROR(IF(INDEX(Fall!$1:$1048576,MATCH(All!$A574,Fall!$A:$A,FALSE),MATCH(All!G$1,Fall!$1:$1,FALSE))="","",INDEX(Fall!$1:$1048576,MATCH(All!$A574,Fall!$A:$A,FALSE),MATCH(All!G$1,Fall!$1:$1,FALSE))),"")</f>
        <v>1A</v>
      </c>
      <c r="H574" t="str">
        <f>IFERROR(IF(INDEX(Fall!$1:$1048576,MATCH(All!$A574,Fall!$A:$A,FALSE),MATCH(All!H$1,Fall!$1:$1,FALSE))="","",INDEX(Fall!$1:$1048576,MATCH(All!$A574,Fall!$A:$A,FALSE),MATCH(All!H$1,Fall!$1:$1,FALSE))),"")</f>
        <v>1A</v>
      </c>
      <c r="I574" t="str">
        <f>IFERROR(IF(INDEX(Fall!$1:$1048576,MATCH(All!$A574,Fall!$A:$A,FALSE),MATCH(All!I$1,Fall!$1:$1,FALSE))="","",INDEX(Fall!$1:$1048576,MATCH(All!$A574,Fall!$A:$A,FALSE),MATCH(All!I$1,Fall!$1:$1,FALSE))),"")</f>
        <v>1A</v>
      </c>
      <c r="J574" t="str">
        <f>IFERROR(IF(INDEX(Fall!$1:$1048576,MATCH(All!$A574,Fall!$A:$A,FALSE),MATCH(All!J$1,Fall!$1:$1,FALSE))="","",INDEX(Fall!$1:$1048576,MATCH(All!$A574,Fall!$A:$A,FALSE),MATCH(All!J$1,Fall!$1:$1,FALSE))),"")</f>
        <v>1A</v>
      </c>
      <c r="K574" t="str">
        <f>IFERROR(IF(INDEX(Fall!$1:$1048576,MATCH(All!$A574,Fall!$A:$A,FALSE),MATCH(All!K$1,Fall!$1:$1,FALSE))="","",INDEX(Fall!$1:$1048576,MATCH(All!$A574,Fall!$A:$A,FALSE),MATCH(All!K$1,Fall!$1:$1,FALSE))),"")</f>
        <v>2A</v>
      </c>
      <c r="L574" t="str">
        <f>IFERROR(IF(INDEX(Fall!$1:$1048576,MATCH(All!$A574,Fall!$A:$A,FALSE),MATCH(All!L$1,Fall!$1:$1,FALSE))="","",INDEX(Fall!$1:$1048576,MATCH(All!$A574,Fall!$A:$A,FALSE),MATCH(All!L$1,Fall!$1:$1,FALSE))),"")</f>
        <v/>
      </c>
      <c r="M574" t="str">
        <f>IFERROR(IF(INDEX(Fall!$1:$1048576,MATCH(All!$A574,Fall!$A:$A,FALSE),MATCH(All!M$1,Fall!$1:$1,FALSE))="","",INDEX(Fall!$1:$1048576,MATCH(All!$A574,Fall!$A:$A,FALSE),MATCH(All!M$1,Fall!$1:$1,FALSE))),"")</f>
        <v>1A</v>
      </c>
      <c r="O574">
        <f>IFERROR(IF(INDEX(Winter!$1:$1048576,MATCH(All!$A574,Winter!$A:$A,FALSE),MATCH(All!O$1,Winter!$1:$1,FALSE))="","",INDEX(Winter!$1:$1048576,MATCH(All!$A574,Winter!$A:$A,FALSE),MATCH(All!O$1,Winter!$1:$1,FALSE))),"")</f>
        <v>282</v>
      </c>
      <c r="P574" t="str">
        <f>IFERROR(IF(INDEX(Winter!$1:$1048576,MATCH(All!$A574,Winter!$A:$A,FALSE),MATCH(All!P$1,Winter!$1:$1,FALSE))="","",INDEX(Winter!$1:$1048576,MATCH(All!$A574,Winter!$A:$A,FALSE),MATCH(All!P$1,Winter!$1:$1,FALSE))),"")</f>
        <v>1A</v>
      </c>
      <c r="Q574" t="str">
        <f>IFERROR(IF(INDEX(Winter!$1:$1048576,MATCH(All!$A574,Winter!$A:$A,FALSE),MATCH(All!Q$1,Winter!$1:$1,FALSE))="","",INDEX(Winter!$1:$1048576,MATCH(All!$A574,Winter!$A:$A,FALSE),MATCH(All!Q$1,Winter!$1:$1,FALSE))),"")</f>
        <v>1A</v>
      </c>
      <c r="R574" t="str">
        <f>IFERROR(IF(INDEX(Winter!$1:$1048576,MATCH(All!$A574,Winter!$A:$A,FALSE),MATCH(All!R$1,Winter!$1:$1,FALSE))="","",INDEX(Winter!$1:$1048576,MATCH(All!$A574,Winter!$A:$A,FALSE),MATCH(All!R$1,Winter!$1:$1,FALSE))),"")</f>
        <v/>
      </c>
      <c r="S574" t="str">
        <f>IFERROR(IF(INDEX(Winter!$1:$1048576,MATCH(All!$A574,Winter!$A:$A,FALSE),MATCH(All!S$1,Winter!$1:$1,FALSE))="","",INDEX(Winter!$1:$1048576,MATCH(All!$A574,Winter!$A:$A,FALSE),MATCH(All!S$1,Winter!$1:$1,FALSE))),"")</f>
        <v/>
      </c>
      <c r="T574" t="str">
        <f>IFERROR(IF(INDEX(Winter!$1:$1048576,MATCH(All!$A574,Winter!$A:$A,FALSE),MATCH(All!T$1,Winter!$1:$1,FALSE))="","",INDEX(Winter!$1:$1048576,MATCH(All!$A574,Winter!$A:$A,FALSE),MATCH(All!T$1,Winter!$1:$1,FALSE))),"")</f>
        <v>1A</v>
      </c>
      <c r="U574" t="str">
        <f>IFERROR(IF(INDEX(Winter!$1:$1048576,MATCH(All!$A574,Winter!$A:$A,FALSE),MATCH(All!U$1,Winter!$1:$1,FALSE))="","",INDEX(Winter!$1:$1048576,MATCH(All!$A574,Winter!$A:$A,FALSE),MATCH(All!U$1,Winter!$1:$1,FALSE))),"")</f>
        <v>1A</v>
      </c>
      <c r="W574">
        <f>IFERROR(IF(INDEX(Spring!$1:$1048576,MATCH(All!$A574,Spring!$A:$A,FALSE),MATCH(All!W$1,Spring!$1:$1,FALSE))="","",INDEX(Spring!$1:$1048576,MATCH(All!$A574,Spring!$A:$A,FALSE),MATCH(All!W$1,Spring!$1:$1,FALSE))),"")</f>
        <v>282</v>
      </c>
      <c r="X574" t="str">
        <f>IFERROR(IF(INDEX(Spring!$1:$1048576,MATCH(All!$A574,Spring!$A:$A,FALSE),MATCH(All!X$1,Spring!$1:$1,FALSE))="","",INDEX(Spring!$1:$1048576,MATCH(All!$A574,Spring!$A:$A,FALSE),MATCH(All!X$1,Spring!$1:$1,FALSE))),"")</f>
        <v>1A</v>
      </c>
      <c r="Y574" t="str">
        <f>IFERROR(IF(INDEX(Spring!$1:$1048576,MATCH(All!$A574,Spring!$A:$A,FALSE),MATCH(All!Y$1,Spring!$1:$1,FALSE))="","",INDEX(Spring!$1:$1048576,MATCH(All!$A574,Spring!$A:$A,FALSE),MATCH(All!Y$1,Spring!$1:$1,FALSE))),"")</f>
        <v>1A</v>
      </c>
      <c r="Z574" t="str">
        <f>IFERROR(IF(INDEX(Spring!$1:$1048576,MATCH(All!$A574,Spring!$A:$A,FALSE),MATCH(All!Z$1,Spring!$1:$1,FALSE))="","",INDEX(Spring!$1:$1048576,MATCH(All!$A574,Spring!$A:$A,FALSE),MATCH(All!Z$1,Spring!$1:$1,FALSE))),"")</f>
        <v>2A</v>
      </c>
      <c r="AA574" t="str">
        <f>IFERROR(IF(INDEX(Spring!$1:$1048576,MATCH(All!$A574,Spring!$A:$A,FALSE),MATCH(All!AA$1,Spring!$1:$1,FALSE))="","",INDEX(Spring!$1:$1048576,MATCH(All!$A574,Spring!$A:$A,FALSE),MATCH(All!AA$1,Spring!$1:$1,FALSE))),"")</f>
        <v/>
      </c>
      <c r="AB574" t="str">
        <f>IFERROR(IF(INDEX(Spring!$1:$1048576,MATCH(All!$A574,Spring!$A:$A,FALSE),MATCH(All!AB$1,Spring!$1:$1,FALSE))="","",INDEX(Spring!$1:$1048576,MATCH(All!$A574,Spring!$A:$A,FALSE),MATCH(All!AB$1,Spring!$1:$1,FALSE))),"")</f>
        <v>1A</v>
      </c>
      <c r="AC574" t="str">
        <f>IFERROR(IF(INDEX(Spring!$1:$1048576,MATCH(All!$A574,Spring!$A:$A,FALSE),MATCH(All!AC$1,Spring!$1:$1,FALSE))="","",INDEX(Spring!$1:$1048576,MATCH(All!$A574,Spring!$A:$A,FALSE),MATCH(All!AC$1,Spring!$1:$1,FALSE))),"")</f>
        <v>1A</v>
      </c>
      <c r="AD574" t="str">
        <f>IFERROR(VLOOKUP(A574,'Flag Football'!A:A,1,FALSE),"")</f>
        <v/>
      </c>
      <c r="AE574" t="str">
        <f t="shared" si="8"/>
        <v/>
      </c>
    </row>
    <row r="575" spans="1:31" ht="15.75" thickBot="1" x14ac:dyDescent="0.3">
      <c r="A575" s="18" t="s">
        <v>673</v>
      </c>
      <c r="B575" s="38">
        <f>IFERROR(VLOOKUP(A575,'Public v Private'!A:G,3,FALSE),"")</f>
        <v>0</v>
      </c>
      <c r="C575" s="38">
        <f>IFERROR(VLOOKUP(A575,'Public v Private'!A:G,4,FALSE),"")</f>
        <v>0</v>
      </c>
      <c r="D575" s="38">
        <f>IFERROR(VLOOKUP(A575,'Public v Private'!A:G,5,FALSE),"")</f>
        <v>0</v>
      </c>
      <c r="E575" s="38"/>
      <c r="F575" s="40">
        <f>IFERROR(INDEX(Fall!$1:$1048576,MATCH(All!$A575,Fall!$A:$A,FALSE),MATCH(All!F$1,Fall!$1:$1,FALSE)),"N/A")</f>
        <v>2773</v>
      </c>
      <c r="G575" t="str">
        <f>IFERROR(IF(INDEX(Fall!$1:$1048576,MATCH(All!$A575,Fall!$A:$A,FALSE),MATCH(All!G$1,Fall!$1:$1,FALSE))="","",INDEX(Fall!$1:$1048576,MATCH(All!$A575,Fall!$A:$A,FALSE),MATCH(All!G$1,Fall!$1:$1,FALSE))),"")</f>
        <v>3A</v>
      </c>
      <c r="H575" t="str">
        <f>IFERROR(IF(INDEX(Fall!$1:$1048576,MATCH(All!$A575,Fall!$A:$A,FALSE),MATCH(All!H$1,Fall!$1:$1,FALSE))="","",INDEX(Fall!$1:$1048576,MATCH(All!$A575,Fall!$A:$A,FALSE),MATCH(All!H$1,Fall!$1:$1,FALSE))),"")</f>
        <v>3A</v>
      </c>
      <c r="I575" t="str">
        <f>IFERROR(IF(INDEX(Fall!$1:$1048576,MATCH(All!$A575,Fall!$A:$A,FALSE),MATCH(All!I$1,Fall!$1:$1,FALSE))="","",INDEX(Fall!$1:$1048576,MATCH(All!$A575,Fall!$A:$A,FALSE),MATCH(All!I$1,Fall!$1:$1,FALSE))),"")</f>
        <v>3A</v>
      </c>
      <c r="J575" t="str">
        <f>IFERROR(IF(INDEX(Fall!$1:$1048576,MATCH(All!$A575,Fall!$A:$A,FALSE),MATCH(All!J$1,Fall!$1:$1,FALSE))="","",INDEX(Fall!$1:$1048576,MATCH(All!$A575,Fall!$A:$A,FALSE),MATCH(All!J$1,Fall!$1:$1,FALSE))),"")</f>
        <v>2A</v>
      </c>
      <c r="K575" t="str">
        <f>IFERROR(IF(INDEX(Fall!$1:$1048576,MATCH(All!$A575,Fall!$A:$A,FALSE),MATCH(All!K$1,Fall!$1:$1,FALSE))="","",INDEX(Fall!$1:$1048576,MATCH(All!$A575,Fall!$A:$A,FALSE),MATCH(All!K$1,Fall!$1:$1,FALSE))),"")</f>
        <v>3A</v>
      </c>
      <c r="L575" t="str">
        <f>IFERROR(IF(INDEX(Fall!$1:$1048576,MATCH(All!$A575,Fall!$A:$A,FALSE),MATCH(All!L$1,Fall!$1:$1,FALSE))="","",INDEX(Fall!$1:$1048576,MATCH(All!$A575,Fall!$A:$A,FALSE),MATCH(All!L$1,Fall!$1:$1,FALSE))),"")</f>
        <v>2A</v>
      </c>
      <c r="M575" t="str">
        <f>IFERROR(IF(INDEX(Fall!$1:$1048576,MATCH(All!$A575,Fall!$A:$A,FALSE),MATCH(All!M$1,Fall!$1:$1,FALSE))="","",INDEX(Fall!$1:$1048576,MATCH(All!$A575,Fall!$A:$A,FALSE),MATCH(All!M$1,Fall!$1:$1,FALSE))),"")</f>
        <v>4A</v>
      </c>
      <c r="O575">
        <f>IFERROR(IF(INDEX(Winter!$1:$1048576,MATCH(All!$A575,Winter!$A:$A,FALSE),MATCH(All!O$1,Winter!$1:$1,FALSE))="","",INDEX(Winter!$1:$1048576,MATCH(All!$A575,Winter!$A:$A,FALSE),MATCH(All!O$1,Winter!$1:$1,FALSE))),"")</f>
        <v>2773</v>
      </c>
      <c r="P575" t="str">
        <f>IFERROR(IF(INDEX(Winter!$1:$1048576,MATCH(All!$A575,Winter!$A:$A,FALSE),MATCH(All!P$1,Winter!$1:$1,FALSE))="","",INDEX(Winter!$1:$1048576,MATCH(All!$A575,Winter!$A:$A,FALSE),MATCH(All!P$1,Winter!$1:$1,FALSE))),"")</f>
        <v>4A</v>
      </c>
      <c r="Q575" t="str">
        <f>IFERROR(IF(INDEX(Winter!$1:$1048576,MATCH(All!$A575,Winter!$A:$A,FALSE),MATCH(All!Q$1,Winter!$1:$1,FALSE))="","",INDEX(Winter!$1:$1048576,MATCH(All!$A575,Winter!$A:$A,FALSE),MATCH(All!Q$1,Winter!$1:$1,FALSE))),"")</f>
        <v>4A</v>
      </c>
      <c r="R575" t="str">
        <f>IFERROR(IF(INDEX(Winter!$1:$1048576,MATCH(All!$A575,Winter!$A:$A,FALSE),MATCH(All!R$1,Winter!$1:$1,FALSE))="","",INDEX(Winter!$1:$1048576,MATCH(All!$A575,Winter!$A:$A,FALSE),MATCH(All!R$1,Winter!$1:$1,FALSE))),"")</f>
        <v>3A</v>
      </c>
      <c r="S575" t="str">
        <f>IFERROR(IF(INDEX(Winter!$1:$1048576,MATCH(All!$A575,Winter!$A:$A,FALSE),MATCH(All!S$1,Winter!$1:$1,FALSE))="","",INDEX(Winter!$1:$1048576,MATCH(All!$A575,Winter!$A:$A,FALSE),MATCH(All!S$1,Winter!$1:$1,FALSE))),"")</f>
        <v>3A</v>
      </c>
      <c r="T575" t="str">
        <f>IFERROR(IF(INDEX(Winter!$1:$1048576,MATCH(All!$A575,Winter!$A:$A,FALSE),MATCH(All!T$1,Winter!$1:$1,FALSE))="","",INDEX(Winter!$1:$1048576,MATCH(All!$A575,Winter!$A:$A,FALSE),MATCH(All!T$1,Winter!$1:$1,FALSE))),"")</f>
        <v>2A</v>
      </c>
      <c r="U575" t="str">
        <f>IFERROR(IF(INDEX(Winter!$1:$1048576,MATCH(All!$A575,Winter!$A:$A,FALSE),MATCH(All!U$1,Winter!$1:$1,FALSE))="","",INDEX(Winter!$1:$1048576,MATCH(All!$A575,Winter!$A:$A,FALSE),MATCH(All!U$1,Winter!$1:$1,FALSE))),"")</f>
        <v>3A</v>
      </c>
      <c r="W575">
        <f>IFERROR(IF(INDEX(Spring!$1:$1048576,MATCH(All!$A575,Spring!$A:$A,FALSE),MATCH(All!W$1,Spring!$1:$1,FALSE))="","",INDEX(Spring!$1:$1048576,MATCH(All!$A575,Spring!$A:$A,FALSE),MATCH(All!W$1,Spring!$1:$1,FALSE))),"")</f>
        <v>2773</v>
      </c>
      <c r="X575" t="str">
        <f>IFERROR(IF(INDEX(Spring!$1:$1048576,MATCH(All!$A575,Spring!$A:$A,FALSE),MATCH(All!X$1,Spring!$1:$1,FALSE))="","",INDEX(Spring!$1:$1048576,MATCH(All!$A575,Spring!$A:$A,FALSE),MATCH(All!X$1,Spring!$1:$1,FALSE))),"")</f>
        <v>4A</v>
      </c>
      <c r="Y575" t="str">
        <f>IFERROR(IF(INDEX(Spring!$1:$1048576,MATCH(All!$A575,Spring!$A:$A,FALSE),MATCH(All!Y$1,Spring!$1:$1,FALSE))="","",INDEX(Spring!$1:$1048576,MATCH(All!$A575,Spring!$A:$A,FALSE),MATCH(All!Y$1,Spring!$1:$1,FALSE))),"")</f>
        <v>4A</v>
      </c>
      <c r="Z575" t="str">
        <f>IFERROR(IF(INDEX(Spring!$1:$1048576,MATCH(All!$A575,Spring!$A:$A,FALSE),MATCH(All!Z$1,Spring!$1:$1,FALSE))="","",INDEX(Spring!$1:$1048576,MATCH(All!$A575,Spring!$A:$A,FALSE),MATCH(All!Z$1,Spring!$1:$1,FALSE))),"")</f>
        <v>3A</v>
      </c>
      <c r="AA575" t="str">
        <f>IFERROR(IF(INDEX(Spring!$1:$1048576,MATCH(All!$A575,Spring!$A:$A,FALSE),MATCH(All!AA$1,Spring!$1:$1,FALSE))="","",INDEX(Spring!$1:$1048576,MATCH(All!$A575,Spring!$A:$A,FALSE),MATCH(All!AA$1,Spring!$1:$1,FALSE))),"")</f>
        <v>2A</v>
      </c>
      <c r="AB575" t="str">
        <f>IFERROR(IF(INDEX(Spring!$1:$1048576,MATCH(All!$A575,Spring!$A:$A,FALSE),MATCH(All!AB$1,Spring!$1:$1,FALSE))="","",INDEX(Spring!$1:$1048576,MATCH(All!$A575,Spring!$A:$A,FALSE),MATCH(All!AB$1,Spring!$1:$1,FALSE))),"")</f>
        <v>3A</v>
      </c>
      <c r="AC575" t="str">
        <f>IFERROR(IF(INDEX(Spring!$1:$1048576,MATCH(All!$A575,Spring!$A:$A,FALSE),MATCH(All!AC$1,Spring!$1:$1,FALSE))="","",INDEX(Spring!$1:$1048576,MATCH(All!$A575,Spring!$A:$A,FALSE),MATCH(All!AC$1,Spring!$1:$1,FALSE))),"")</f>
        <v>3A</v>
      </c>
      <c r="AD575" t="str">
        <f>IFERROR(VLOOKUP(A575,'Flag Football'!A:A,1,FALSE),"")</f>
        <v>Orland Park (Sandburg)</v>
      </c>
      <c r="AE575" t="str">
        <f t="shared" si="8"/>
        <v>1A</v>
      </c>
    </row>
    <row r="576" spans="1:31" ht="15.75" thickBot="1" x14ac:dyDescent="0.3">
      <c r="A576" s="20" t="s">
        <v>674</v>
      </c>
      <c r="B576" s="38">
        <f>IFERROR(VLOOKUP(A576,'Public v Private'!A:G,3,FALSE),"")</f>
        <v>0</v>
      </c>
      <c r="C576" s="38">
        <f>IFERROR(VLOOKUP(A576,'Public v Private'!A:G,4,FALSE),"")</f>
        <v>0</v>
      </c>
      <c r="D576" s="38">
        <f>IFERROR(VLOOKUP(A576,'Public v Private'!A:G,5,FALSE),"")</f>
        <v>0</v>
      </c>
      <c r="E576" s="38"/>
      <c r="F576" s="40">
        <f>IFERROR(INDEX(Fall!$1:$1048576,MATCH(All!$A576,Fall!$A:$A,FALSE),MATCH(All!F$1,Fall!$1:$1,FALSE)),"N/A")</f>
        <v>2659</v>
      </c>
      <c r="G576" t="str">
        <f>IFERROR(IF(INDEX(Fall!$1:$1048576,MATCH(All!$A576,Fall!$A:$A,FALSE),MATCH(All!G$1,Fall!$1:$1,FALSE))="","",INDEX(Fall!$1:$1048576,MATCH(All!$A576,Fall!$A:$A,FALSE),MATCH(All!G$1,Fall!$1:$1,FALSE))),"")</f>
        <v>3A</v>
      </c>
      <c r="H576" t="str">
        <f>IFERROR(IF(INDEX(Fall!$1:$1048576,MATCH(All!$A576,Fall!$A:$A,FALSE),MATCH(All!H$1,Fall!$1:$1,FALSE))="","",INDEX(Fall!$1:$1048576,MATCH(All!$A576,Fall!$A:$A,FALSE),MATCH(All!H$1,Fall!$1:$1,FALSE))),"")</f>
        <v>3A</v>
      </c>
      <c r="I576" t="str">
        <f>IFERROR(IF(INDEX(Fall!$1:$1048576,MATCH(All!$A576,Fall!$A:$A,FALSE),MATCH(All!I$1,Fall!$1:$1,FALSE))="","",INDEX(Fall!$1:$1048576,MATCH(All!$A576,Fall!$A:$A,FALSE),MATCH(All!I$1,Fall!$1:$1,FALSE))),"")</f>
        <v>3A</v>
      </c>
      <c r="J576" t="str">
        <f>IFERROR(IF(INDEX(Fall!$1:$1048576,MATCH(All!$A576,Fall!$A:$A,FALSE),MATCH(All!J$1,Fall!$1:$1,FALSE))="","",INDEX(Fall!$1:$1048576,MATCH(All!$A576,Fall!$A:$A,FALSE),MATCH(All!J$1,Fall!$1:$1,FALSE))),"")</f>
        <v>2A</v>
      </c>
      <c r="K576" t="str">
        <f>IFERROR(IF(INDEX(Fall!$1:$1048576,MATCH(All!$A576,Fall!$A:$A,FALSE),MATCH(All!K$1,Fall!$1:$1,FALSE))="","",INDEX(Fall!$1:$1048576,MATCH(All!$A576,Fall!$A:$A,FALSE),MATCH(All!K$1,Fall!$1:$1,FALSE))),"")</f>
        <v>3A</v>
      </c>
      <c r="L576" t="str">
        <f>IFERROR(IF(INDEX(Fall!$1:$1048576,MATCH(All!$A576,Fall!$A:$A,FALSE),MATCH(All!L$1,Fall!$1:$1,FALSE))="","",INDEX(Fall!$1:$1048576,MATCH(All!$A576,Fall!$A:$A,FALSE),MATCH(All!L$1,Fall!$1:$1,FALSE))),"")</f>
        <v>2A</v>
      </c>
      <c r="M576" t="str">
        <f>IFERROR(IF(INDEX(Fall!$1:$1048576,MATCH(All!$A576,Fall!$A:$A,FALSE),MATCH(All!M$1,Fall!$1:$1,FALSE))="","",INDEX(Fall!$1:$1048576,MATCH(All!$A576,Fall!$A:$A,FALSE),MATCH(All!M$1,Fall!$1:$1,FALSE))),"")</f>
        <v>4A</v>
      </c>
      <c r="O576">
        <f>IFERROR(IF(INDEX(Winter!$1:$1048576,MATCH(All!$A576,Winter!$A:$A,FALSE),MATCH(All!O$1,Winter!$1:$1,FALSE))="","",INDEX(Winter!$1:$1048576,MATCH(All!$A576,Winter!$A:$A,FALSE),MATCH(All!O$1,Winter!$1:$1,FALSE))),"")</f>
        <v>2659</v>
      </c>
      <c r="P576" t="str">
        <f>IFERROR(IF(INDEX(Winter!$1:$1048576,MATCH(All!$A576,Winter!$A:$A,FALSE),MATCH(All!P$1,Winter!$1:$1,FALSE))="","",INDEX(Winter!$1:$1048576,MATCH(All!$A576,Winter!$A:$A,FALSE),MATCH(All!P$1,Winter!$1:$1,FALSE))),"")</f>
        <v>4A</v>
      </c>
      <c r="Q576" t="str">
        <f>IFERROR(IF(INDEX(Winter!$1:$1048576,MATCH(All!$A576,Winter!$A:$A,FALSE),MATCH(All!Q$1,Winter!$1:$1,FALSE))="","",INDEX(Winter!$1:$1048576,MATCH(All!$A576,Winter!$A:$A,FALSE),MATCH(All!Q$1,Winter!$1:$1,FALSE))),"")</f>
        <v>4A</v>
      </c>
      <c r="R576" t="str">
        <f>IFERROR(IF(INDEX(Winter!$1:$1048576,MATCH(All!$A576,Winter!$A:$A,FALSE),MATCH(All!R$1,Winter!$1:$1,FALSE))="","",INDEX(Winter!$1:$1048576,MATCH(All!$A576,Winter!$A:$A,FALSE),MATCH(All!R$1,Winter!$1:$1,FALSE))),"")</f>
        <v>3A</v>
      </c>
      <c r="S576" t="str">
        <f>IFERROR(IF(INDEX(Winter!$1:$1048576,MATCH(All!$A576,Winter!$A:$A,FALSE),MATCH(All!S$1,Winter!$1:$1,FALSE))="","",INDEX(Winter!$1:$1048576,MATCH(All!$A576,Winter!$A:$A,FALSE),MATCH(All!S$1,Winter!$1:$1,FALSE))),"")</f>
        <v>3A</v>
      </c>
      <c r="T576" t="str">
        <f>IFERROR(IF(INDEX(Winter!$1:$1048576,MATCH(All!$A576,Winter!$A:$A,FALSE),MATCH(All!T$1,Winter!$1:$1,FALSE))="","",INDEX(Winter!$1:$1048576,MATCH(All!$A576,Winter!$A:$A,FALSE),MATCH(All!T$1,Winter!$1:$1,FALSE))),"")</f>
        <v>2A</v>
      </c>
      <c r="U576" t="str">
        <f>IFERROR(IF(INDEX(Winter!$1:$1048576,MATCH(All!$A576,Winter!$A:$A,FALSE),MATCH(All!U$1,Winter!$1:$1,FALSE))="","",INDEX(Winter!$1:$1048576,MATCH(All!$A576,Winter!$A:$A,FALSE),MATCH(All!U$1,Winter!$1:$1,FALSE))),"")</f>
        <v>3A</v>
      </c>
      <c r="W576">
        <f>IFERROR(IF(INDEX(Spring!$1:$1048576,MATCH(All!$A576,Spring!$A:$A,FALSE),MATCH(All!W$1,Spring!$1:$1,FALSE))="","",INDEX(Spring!$1:$1048576,MATCH(All!$A576,Spring!$A:$A,FALSE),MATCH(All!W$1,Spring!$1:$1,FALSE))),"")</f>
        <v>2659</v>
      </c>
      <c r="X576" t="str">
        <f>IFERROR(IF(INDEX(Spring!$1:$1048576,MATCH(All!$A576,Spring!$A:$A,FALSE),MATCH(All!X$1,Spring!$1:$1,FALSE))="","",INDEX(Spring!$1:$1048576,MATCH(All!$A576,Spring!$A:$A,FALSE),MATCH(All!X$1,Spring!$1:$1,FALSE))),"")</f>
        <v>4A</v>
      </c>
      <c r="Y576" t="str">
        <f>IFERROR(IF(INDEX(Spring!$1:$1048576,MATCH(All!$A576,Spring!$A:$A,FALSE),MATCH(All!Y$1,Spring!$1:$1,FALSE))="","",INDEX(Spring!$1:$1048576,MATCH(All!$A576,Spring!$A:$A,FALSE),MATCH(All!Y$1,Spring!$1:$1,FALSE))),"")</f>
        <v>4A</v>
      </c>
      <c r="Z576" t="str">
        <f>IFERROR(IF(INDEX(Spring!$1:$1048576,MATCH(All!$A576,Spring!$A:$A,FALSE),MATCH(All!Z$1,Spring!$1:$1,FALSE))="","",INDEX(Spring!$1:$1048576,MATCH(All!$A576,Spring!$A:$A,FALSE),MATCH(All!Z$1,Spring!$1:$1,FALSE))),"")</f>
        <v>3A</v>
      </c>
      <c r="AA576" t="str">
        <f>IFERROR(IF(INDEX(Spring!$1:$1048576,MATCH(All!$A576,Spring!$A:$A,FALSE),MATCH(All!AA$1,Spring!$1:$1,FALSE))="","",INDEX(Spring!$1:$1048576,MATCH(All!$A576,Spring!$A:$A,FALSE),MATCH(All!AA$1,Spring!$1:$1,FALSE))),"")</f>
        <v>2A</v>
      </c>
      <c r="AB576" t="str">
        <f>IFERROR(IF(INDEX(Spring!$1:$1048576,MATCH(All!$A576,Spring!$A:$A,FALSE),MATCH(All!AB$1,Spring!$1:$1,FALSE))="","",INDEX(Spring!$1:$1048576,MATCH(All!$A576,Spring!$A:$A,FALSE),MATCH(All!AB$1,Spring!$1:$1,FALSE))),"")</f>
        <v>3A</v>
      </c>
      <c r="AC576" t="str">
        <f>IFERROR(IF(INDEX(Spring!$1:$1048576,MATCH(All!$A576,Spring!$A:$A,FALSE),MATCH(All!AC$1,Spring!$1:$1,FALSE))="","",INDEX(Spring!$1:$1048576,MATCH(All!$A576,Spring!$A:$A,FALSE),MATCH(All!AC$1,Spring!$1:$1,FALSE))),"")</f>
        <v>3A</v>
      </c>
      <c r="AD576" t="str">
        <f>IFERROR(VLOOKUP(A576,'Flag Football'!A:A,1,FALSE),"")</f>
        <v>Oswego (East)</v>
      </c>
      <c r="AE576" t="str">
        <f t="shared" si="8"/>
        <v>1A</v>
      </c>
    </row>
    <row r="577" spans="1:31" ht="15.75" thickBot="1" x14ac:dyDescent="0.3">
      <c r="A577" s="18" t="s">
        <v>675</v>
      </c>
      <c r="B577" s="38">
        <f>IFERROR(VLOOKUP(A577,'Public v Private'!A:G,3,FALSE),"")</f>
        <v>0</v>
      </c>
      <c r="C577" s="38">
        <f>IFERROR(VLOOKUP(A577,'Public v Private'!A:G,4,FALSE),"")</f>
        <v>0</v>
      </c>
      <c r="D577" s="38">
        <f>IFERROR(VLOOKUP(A577,'Public v Private'!A:G,5,FALSE),"")</f>
        <v>0</v>
      </c>
      <c r="E577" s="38"/>
      <c r="F577" s="40">
        <f>IFERROR(INDEX(Fall!$1:$1048576,MATCH(All!$A577,Fall!$A:$A,FALSE),MATCH(All!F$1,Fall!$1:$1,FALSE)),"N/A")</f>
        <v>2863</v>
      </c>
      <c r="G577" t="str">
        <f>IFERROR(IF(INDEX(Fall!$1:$1048576,MATCH(All!$A577,Fall!$A:$A,FALSE),MATCH(All!G$1,Fall!$1:$1,FALSE))="","",INDEX(Fall!$1:$1048576,MATCH(All!$A577,Fall!$A:$A,FALSE),MATCH(All!G$1,Fall!$1:$1,FALSE))),"")</f>
        <v>3A</v>
      </c>
      <c r="H577" t="str">
        <f>IFERROR(IF(INDEX(Fall!$1:$1048576,MATCH(All!$A577,Fall!$A:$A,FALSE),MATCH(All!H$1,Fall!$1:$1,FALSE))="","",INDEX(Fall!$1:$1048576,MATCH(All!$A577,Fall!$A:$A,FALSE),MATCH(All!H$1,Fall!$1:$1,FALSE))),"")</f>
        <v>3A</v>
      </c>
      <c r="I577" t="str">
        <f>IFERROR(IF(INDEX(Fall!$1:$1048576,MATCH(All!$A577,Fall!$A:$A,FALSE),MATCH(All!I$1,Fall!$1:$1,FALSE))="","",INDEX(Fall!$1:$1048576,MATCH(All!$A577,Fall!$A:$A,FALSE),MATCH(All!I$1,Fall!$1:$1,FALSE))),"")</f>
        <v>3A</v>
      </c>
      <c r="J577" t="str">
        <f>IFERROR(IF(INDEX(Fall!$1:$1048576,MATCH(All!$A577,Fall!$A:$A,FALSE),MATCH(All!J$1,Fall!$1:$1,FALSE))="","",INDEX(Fall!$1:$1048576,MATCH(All!$A577,Fall!$A:$A,FALSE),MATCH(All!J$1,Fall!$1:$1,FALSE))),"")</f>
        <v/>
      </c>
      <c r="K577" t="str">
        <f>IFERROR(IF(INDEX(Fall!$1:$1048576,MATCH(All!$A577,Fall!$A:$A,FALSE),MATCH(All!K$1,Fall!$1:$1,FALSE))="","",INDEX(Fall!$1:$1048576,MATCH(All!$A577,Fall!$A:$A,FALSE),MATCH(All!K$1,Fall!$1:$1,FALSE))),"")</f>
        <v>3A</v>
      </c>
      <c r="L577" t="str">
        <f>IFERROR(IF(INDEX(Fall!$1:$1048576,MATCH(All!$A577,Fall!$A:$A,FALSE),MATCH(All!L$1,Fall!$1:$1,FALSE))="","",INDEX(Fall!$1:$1048576,MATCH(All!$A577,Fall!$A:$A,FALSE),MATCH(All!L$1,Fall!$1:$1,FALSE))),"")</f>
        <v>2A</v>
      </c>
      <c r="M577" t="str">
        <f>IFERROR(IF(INDEX(Fall!$1:$1048576,MATCH(All!$A577,Fall!$A:$A,FALSE),MATCH(All!M$1,Fall!$1:$1,FALSE))="","",INDEX(Fall!$1:$1048576,MATCH(All!$A577,Fall!$A:$A,FALSE),MATCH(All!M$1,Fall!$1:$1,FALSE))),"")</f>
        <v>4A</v>
      </c>
      <c r="O577">
        <f>IFERROR(IF(INDEX(Winter!$1:$1048576,MATCH(All!$A577,Winter!$A:$A,FALSE),MATCH(All!O$1,Winter!$1:$1,FALSE))="","",INDEX(Winter!$1:$1048576,MATCH(All!$A577,Winter!$A:$A,FALSE),MATCH(All!O$1,Winter!$1:$1,FALSE))),"")</f>
        <v>2863</v>
      </c>
      <c r="P577" t="str">
        <f>IFERROR(IF(INDEX(Winter!$1:$1048576,MATCH(All!$A577,Winter!$A:$A,FALSE),MATCH(All!P$1,Winter!$1:$1,FALSE))="","",INDEX(Winter!$1:$1048576,MATCH(All!$A577,Winter!$A:$A,FALSE),MATCH(All!P$1,Winter!$1:$1,FALSE))),"")</f>
        <v>4A</v>
      </c>
      <c r="Q577" t="str">
        <f>IFERROR(IF(INDEX(Winter!$1:$1048576,MATCH(All!$A577,Winter!$A:$A,FALSE),MATCH(All!Q$1,Winter!$1:$1,FALSE))="","",INDEX(Winter!$1:$1048576,MATCH(All!$A577,Winter!$A:$A,FALSE),MATCH(All!Q$1,Winter!$1:$1,FALSE))),"")</f>
        <v>4A</v>
      </c>
      <c r="R577" t="str">
        <f>IFERROR(IF(INDEX(Winter!$1:$1048576,MATCH(All!$A577,Winter!$A:$A,FALSE),MATCH(All!R$1,Winter!$1:$1,FALSE))="","",INDEX(Winter!$1:$1048576,MATCH(All!$A577,Winter!$A:$A,FALSE),MATCH(All!R$1,Winter!$1:$1,FALSE))),"")</f>
        <v>C</v>
      </c>
      <c r="S577" t="str">
        <f>IFERROR(IF(INDEX(Winter!$1:$1048576,MATCH(All!$A577,Winter!$A:$A,FALSE),MATCH(All!S$1,Winter!$1:$1,FALSE))="","",INDEX(Winter!$1:$1048576,MATCH(All!$A577,Winter!$A:$A,FALSE),MATCH(All!S$1,Winter!$1:$1,FALSE))),"")</f>
        <v>3A</v>
      </c>
      <c r="T577" t="str">
        <f>IFERROR(IF(INDEX(Winter!$1:$1048576,MATCH(All!$A577,Winter!$A:$A,FALSE),MATCH(All!T$1,Winter!$1:$1,FALSE))="","",INDEX(Winter!$1:$1048576,MATCH(All!$A577,Winter!$A:$A,FALSE),MATCH(All!T$1,Winter!$1:$1,FALSE))),"")</f>
        <v>2A</v>
      </c>
      <c r="U577" t="str">
        <f>IFERROR(IF(INDEX(Winter!$1:$1048576,MATCH(All!$A577,Winter!$A:$A,FALSE),MATCH(All!U$1,Winter!$1:$1,FALSE))="","",INDEX(Winter!$1:$1048576,MATCH(All!$A577,Winter!$A:$A,FALSE),MATCH(All!U$1,Winter!$1:$1,FALSE))),"")</f>
        <v>3A</v>
      </c>
      <c r="W577">
        <f>IFERROR(IF(INDEX(Spring!$1:$1048576,MATCH(All!$A577,Spring!$A:$A,FALSE),MATCH(All!W$1,Spring!$1:$1,FALSE))="","",INDEX(Spring!$1:$1048576,MATCH(All!$A577,Spring!$A:$A,FALSE),MATCH(All!W$1,Spring!$1:$1,FALSE))),"")</f>
        <v>2863</v>
      </c>
      <c r="X577" t="str">
        <f>IFERROR(IF(INDEX(Spring!$1:$1048576,MATCH(All!$A577,Spring!$A:$A,FALSE),MATCH(All!X$1,Spring!$1:$1,FALSE))="","",INDEX(Spring!$1:$1048576,MATCH(All!$A577,Spring!$A:$A,FALSE),MATCH(All!X$1,Spring!$1:$1,FALSE))),"")</f>
        <v>4A</v>
      </c>
      <c r="Y577" t="str">
        <f>IFERROR(IF(INDEX(Spring!$1:$1048576,MATCH(All!$A577,Spring!$A:$A,FALSE),MATCH(All!Y$1,Spring!$1:$1,FALSE))="","",INDEX(Spring!$1:$1048576,MATCH(All!$A577,Spring!$A:$A,FALSE),MATCH(All!Y$1,Spring!$1:$1,FALSE))),"")</f>
        <v>4A</v>
      </c>
      <c r="Z577" t="str">
        <f>IFERROR(IF(INDEX(Spring!$1:$1048576,MATCH(All!$A577,Spring!$A:$A,FALSE),MATCH(All!Z$1,Spring!$1:$1,FALSE))="","",INDEX(Spring!$1:$1048576,MATCH(All!$A577,Spring!$A:$A,FALSE),MATCH(All!Z$1,Spring!$1:$1,FALSE))),"")</f>
        <v>3A</v>
      </c>
      <c r="AA577" t="str">
        <f>IFERROR(IF(INDEX(Spring!$1:$1048576,MATCH(All!$A577,Spring!$A:$A,FALSE),MATCH(All!AA$1,Spring!$1:$1,FALSE))="","",INDEX(Spring!$1:$1048576,MATCH(All!$A577,Spring!$A:$A,FALSE),MATCH(All!AA$1,Spring!$1:$1,FALSE))),"")</f>
        <v>2A</v>
      </c>
      <c r="AB577" t="str">
        <f>IFERROR(IF(INDEX(Spring!$1:$1048576,MATCH(All!$A577,Spring!$A:$A,FALSE),MATCH(All!AB$1,Spring!$1:$1,FALSE))="","",INDEX(Spring!$1:$1048576,MATCH(All!$A577,Spring!$A:$A,FALSE),MATCH(All!AB$1,Spring!$1:$1,FALSE))),"")</f>
        <v>3A</v>
      </c>
      <c r="AC577" t="str">
        <f>IFERROR(IF(INDEX(Spring!$1:$1048576,MATCH(All!$A577,Spring!$A:$A,FALSE),MATCH(All!AC$1,Spring!$1:$1,FALSE))="","",INDEX(Spring!$1:$1048576,MATCH(All!$A577,Spring!$A:$A,FALSE),MATCH(All!AC$1,Spring!$1:$1,FALSE))),"")</f>
        <v>3A</v>
      </c>
      <c r="AD577" t="str">
        <f>IFERROR(VLOOKUP(A577,'Flag Football'!A:A,1,FALSE),"")</f>
        <v>Oswego (H.S.)</v>
      </c>
      <c r="AE577" t="str">
        <f t="shared" si="8"/>
        <v>1A</v>
      </c>
    </row>
    <row r="578" spans="1:31" ht="15.75" thickBot="1" x14ac:dyDescent="0.3">
      <c r="A578" s="20" t="s">
        <v>676</v>
      </c>
      <c r="B578" s="38" t="str">
        <f>IFERROR(VLOOKUP(A578,'Public v Private'!A:G,3,FALSE),"")</f>
        <v>private</v>
      </c>
      <c r="C578" s="38">
        <f>IFERROR(VLOOKUP(A578,'Public v Private'!A:G,4,FALSE),"")</f>
        <v>4</v>
      </c>
      <c r="D578" s="38">
        <f>IFERROR(VLOOKUP(A578,'Public v Private'!A:G,5,FALSE),"")</f>
        <v>12</v>
      </c>
      <c r="E578" s="38"/>
      <c r="F578" s="40" t="str">
        <f>IFERROR(INDEX(Fall!$1:$1048576,MATCH(All!$A578,Fall!$A:$A,FALSE),MATCH(All!F$1,Fall!$1:$1,FALSE)),"N/A")</f>
        <v>135.00 (222.75)</v>
      </c>
      <c r="G578" t="str">
        <f>IFERROR(IF(INDEX(Fall!$1:$1048576,MATCH(All!$A578,Fall!$A:$A,FALSE),MATCH(All!G$1,Fall!$1:$1,FALSE))="","",INDEX(Fall!$1:$1048576,MATCH(All!$A578,Fall!$A:$A,FALSE),MATCH(All!G$1,Fall!$1:$1,FALSE))),"")</f>
        <v>1A</v>
      </c>
      <c r="H578" t="str">
        <f>IFERROR(IF(INDEX(Fall!$1:$1048576,MATCH(All!$A578,Fall!$A:$A,FALSE),MATCH(All!H$1,Fall!$1:$1,FALSE))="","",INDEX(Fall!$1:$1048576,MATCH(All!$A578,Fall!$A:$A,FALSE),MATCH(All!H$1,Fall!$1:$1,FALSE))),"")</f>
        <v>1A</v>
      </c>
      <c r="I578" t="str">
        <f>IFERROR(IF(INDEX(Fall!$1:$1048576,MATCH(All!$A578,Fall!$A:$A,FALSE),MATCH(All!I$1,Fall!$1:$1,FALSE))="","",INDEX(Fall!$1:$1048576,MATCH(All!$A578,Fall!$A:$A,FALSE),MATCH(All!I$1,Fall!$1:$1,FALSE))),"")</f>
        <v>1A</v>
      </c>
      <c r="J578" t="str">
        <f>IFERROR(IF(INDEX(Fall!$1:$1048576,MATCH(All!$A578,Fall!$A:$A,FALSE),MATCH(All!J$1,Fall!$1:$1,FALSE))="","",INDEX(Fall!$1:$1048576,MATCH(All!$A578,Fall!$A:$A,FALSE),MATCH(All!J$1,Fall!$1:$1,FALSE))),"")</f>
        <v>1A</v>
      </c>
      <c r="K578" t="str">
        <f>IFERROR(IF(INDEX(Fall!$1:$1048576,MATCH(All!$A578,Fall!$A:$A,FALSE),MATCH(All!K$1,Fall!$1:$1,FALSE))="","",INDEX(Fall!$1:$1048576,MATCH(All!$A578,Fall!$A:$A,FALSE),MATCH(All!K$1,Fall!$1:$1,FALSE))),"")</f>
        <v/>
      </c>
      <c r="L578" t="str">
        <f>IFERROR(IF(INDEX(Fall!$1:$1048576,MATCH(All!$A578,Fall!$A:$A,FALSE),MATCH(All!L$1,Fall!$1:$1,FALSE))="","",INDEX(Fall!$1:$1048576,MATCH(All!$A578,Fall!$A:$A,FALSE),MATCH(All!L$1,Fall!$1:$1,FALSE))),"")</f>
        <v/>
      </c>
      <c r="M578" t="str">
        <f>IFERROR(IF(INDEX(Fall!$1:$1048576,MATCH(All!$A578,Fall!$A:$A,FALSE),MATCH(All!M$1,Fall!$1:$1,FALSE))="","",INDEX(Fall!$1:$1048576,MATCH(All!$A578,Fall!$A:$A,FALSE),MATCH(All!M$1,Fall!$1:$1,FALSE))),"")</f>
        <v>1A</v>
      </c>
      <c r="O578" t="str">
        <f>IFERROR(IF(INDEX(Winter!$1:$1048576,MATCH(All!$A578,Winter!$A:$A,FALSE),MATCH(All!O$1,Winter!$1:$1,FALSE))="","",INDEX(Winter!$1:$1048576,MATCH(All!$A578,Winter!$A:$A,FALSE),MATCH(All!O$1,Winter!$1:$1,FALSE))),"")</f>
        <v>135.00 (222.75)</v>
      </c>
      <c r="P578" t="str">
        <f>IFERROR(IF(INDEX(Winter!$1:$1048576,MATCH(All!$A578,Winter!$A:$A,FALSE),MATCH(All!P$1,Winter!$1:$1,FALSE))="","",INDEX(Winter!$1:$1048576,MATCH(All!$A578,Winter!$A:$A,FALSE),MATCH(All!P$1,Winter!$1:$1,FALSE))),"")</f>
        <v>1A</v>
      </c>
      <c r="Q578" t="str">
        <f>IFERROR(IF(INDEX(Winter!$1:$1048576,MATCH(All!$A578,Winter!$A:$A,FALSE),MATCH(All!Q$1,Winter!$1:$1,FALSE))="","",INDEX(Winter!$1:$1048576,MATCH(All!$A578,Winter!$A:$A,FALSE),MATCH(All!Q$1,Winter!$1:$1,FALSE))),"")</f>
        <v>1A</v>
      </c>
      <c r="R578" t="str">
        <f>IFERROR(IF(INDEX(Winter!$1:$1048576,MATCH(All!$A578,Winter!$A:$A,FALSE),MATCH(All!R$1,Winter!$1:$1,FALSE))="","",INDEX(Winter!$1:$1048576,MATCH(All!$A578,Winter!$A:$A,FALSE),MATCH(All!R$1,Winter!$1:$1,FALSE))),"")</f>
        <v/>
      </c>
      <c r="S578" t="str">
        <f>IFERROR(IF(INDEX(Winter!$1:$1048576,MATCH(All!$A578,Winter!$A:$A,FALSE),MATCH(All!S$1,Winter!$1:$1,FALSE))="","",INDEX(Winter!$1:$1048576,MATCH(All!$A578,Winter!$A:$A,FALSE),MATCH(All!S$1,Winter!$1:$1,FALSE))),"")</f>
        <v/>
      </c>
      <c r="T578" t="str">
        <f>IFERROR(IF(INDEX(Winter!$1:$1048576,MATCH(All!$A578,Winter!$A:$A,FALSE),MATCH(All!T$1,Winter!$1:$1,FALSE))="","",INDEX(Winter!$1:$1048576,MATCH(All!$A578,Winter!$A:$A,FALSE),MATCH(All!T$1,Winter!$1:$1,FALSE))),"")</f>
        <v/>
      </c>
      <c r="U578" t="str">
        <f>IFERROR(IF(INDEX(Winter!$1:$1048576,MATCH(All!$A578,Winter!$A:$A,FALSE),MATCH(All!U$1,Winter!$1:$1,FALSE))="","",INDEX(Winter!$1:$1048576,MATCH(All!$A578,Winter!$A:$A,FALSE),MATCH(All!U$1,Winter!$1:$1,FALSE))),"")</f>
        <v>1A</v>
      </c>
      <c r="W578" t="str">
        <f>IFERROR(IF(INDEX(Spring!$1:$1048576,MATCH(All!$A578,Spring!$A:$A,FALSE),MATCH(All!W$1,Spring!$1:$1,FALSE))="","",INDEX(Spring!$1:$1048576,MATCH(All!$A578,Spring!$A:$A,FALSE),MATCH(All!W$1,Spring!$1:$1,FALSE))),"")</f>
        <v>135.00 (222.75)</v>
      </c>
      <c r="X578" t="str">
        <f>IFERROR(IF(INDEX(Spring!$1:$1048576,MATCH(All!$A578,Spring!$A:$A,FALSE),MATCH(All!X$1,Spring!$1:$1,FALSE))="","",INDEX(Spring!$1:$1048576,MATCH(All!$A578,Spring!$A:$A,FALSE),MATCH(All!X$1,Spring!$1:$1,FALSE))),"")</f>
        <v>2A</v>
      </c>
      <c r="Y578" t="str">
        <f>IFERROR(IF(INDEX(Spring!$1:$1048576,MATCH(All!$A578,Spring!$A:$A,FALSE),MATCH(All!Y$1,Spring!$1:$1,FALSE))="","",INDEX(Spring!$1:$1048576,MATCH(All!$A578,Spring!$A:$A,FALSE),MATCH(All!Y$1,Spring!$1:$1,FALSE))),"")</f>
        <v>1A</v>
      </c>
      <c r="Z578" t="str">
        <f>IFERROR(IF(INDEX(Spring!$1:$1048576,MATCH(All!$A578,Spring!$A:$A,FALSE),MATCH(All!Z$1,Spring!$1:$1,FALSE))="","",INDEX(Spring!$1:$1048576,MATCH(All!$A578,Spring!$A:$A,FALSE),MATCH(All!Z$1,Spring!$1:$1,FALSE))),"")</f>
        <v/>
      </c>
      <c r="AA578" t="str">
        <f>IFERROR(IF(INDEX(Spring!$1:$1048576,MATCH(All!$A578,Spring!$A:$A,FALSE),MATCH(All!AA$1,Spring!$1:$1,FALSE))="","",INDEX(Spring!$1:$1048576,MATCH(All!$A578,Spring!$A:$A,FALSE),MATCH(All!AA$1,Spring!$1:$1,FALSE))),"")</f>
        <v/>
      </c>
      <c r="AB578" t="str">
        <f>IFERROR(IF(INDEX(Spring!$1:$1048576,MATCH(All!$A578,Spring!$A:$A,FALSE),MATCH(All!AB$1,Spring!$1:$1,FALSE))="","",INDEX(Spring!$1:$1048576,MATCH(All!$A578,Spring!$A:$A,FALSE),MATCH(All!AB$1,Spring!$1:$1,FALSE))),"")</f>
        <v>1A</v>
      </c>
      <c r="AC578" t="str">
        <f>IFERROR(IF(INDEX(Spring!$1:$1048576,MATCH(All!$A578,Spring!$A:$A,FALSE),MATCH(All!AC$1,Spring!$1:$1,FALSE))="","",INDEX(Spring!$1:$1048576,MATCH(All!$A578,Spring!$A:$A,FALSE),MATCH(All!AC$1,Spring!$1:$1,FALSE))),"")</f>
        <v>1A</v>
      </c>
      <c r="AD578" t="str">
        <f>IFERROR(VLOOKUP(A578,'Flag Football'!A:A,1,FALSE),"")</f>
        <v/>
      </c>
      <c r="AE578" t="str">
        <f t="shared" si="8"/>
        <v/>
      </c>
    </row>
    <row r="579" spans="1:31" ht="15.75" thickBot="1" x14ac:dyDescent="0.3">
      <c r="A579" s="18" t="s">
        <v>677</v>
      </c>
      <c r="B579" s="38">
        <f>IFERROR(VLOOKUP(A579,'Public v Private'!A:G,3,FALSE),"")</f>
        <v>0</v>
      </c>
      <c r="C579" s="38">
        <f>IFERROR(VLOOKUP(A579,'Public v Private'!A:G,4,FALSE),"")</f>
        <v>0</v>
      </c>
      <c r="D579" s="38">
        <f>IFERROR(VLOOKUP(A579,'Public v Private'!A:G,5,FALSE),"")</f>
        <v>0</v>
      </c>
      <c r="E579" s="38"/>
      <c r="F579" s="40">
        <f>IFERROR(INDEX(Fall!$1:$1048576,MATCH(All!$A579,Fall!$A:$A,FALSE),MATCH(All!F$1,Fall!$1:$1,FALSE)),"N/A")</f>
        <v>1193</v>
      </c>
      <c r="G579" t="str">
        <f>IFERROR(IF(INDEX(Fall!$1:$1048576,MATCH(All!$A579,Fall!$A:$A,FALSE),MATCH(All!G$1,Fall!$1:$1,FALSE))="","",INDEX(Fall!$1:$1048576,MATCH(All!$A579,Fall!$A:$A,FALSE),MATCH(All!G$1,Fall!$1:$1,FALSE))),"")</f>
        <v>2A</v>
      </c>
      <c r="H579" t="str">
        <f>IFERROR(IF(INDEX(Fall!$1:$1048576,MATCH(All!$A579,Fall!$A:$A,FALSE),MATCH(All!H$1,Fall!$1:$1,FALSE))="","",INDEX(Fall!$1:$1048576,MATCH(All!$A579,Fall!$A:$A,FALSE),MATCH(All!H$1,Fall!$1:$1,FALSE))),"")</f>
        <v>2A</v>
      </c>
      <c r="I579" t="str">
        <f>IFERROR(IF(INDEX(Fall!$1:$1048576,MATCH(All!$A579,Fall!$A:$A,FALSE),MATCH(All!I$1,Fall!$1:$1,FALSE))="","",INDEX(Fall!$1:$1048576,MATCH(All!$A579,Fall!$A:$A,FALSE),MATCH(All!I$1,Fall!$1:$1,FALSE))),"")</f>
        <v>2A</v>
      </c>
      <c r="J579" t="str">
        <f>IFERROR(IF(INDEX(Fall!$1:$1048576,MATCH(All!$A579,Fall!$A:$A,FALSE),MATCH(All!J$1,Fall!$1:$1,FALSE))="","",INDEX(Fall!$1:$1048576,MATCH(All!$A579,Fall!$A:$A,FALSE),MATCH(All!J$1,Fall!$1:$1,FALSE))),"")</f>
        <v>2A</v>
      </c>
      <c r="K579" t="str">
        <f>IFERROR(IF(INDEX(Fall!$1:$1048576,MATCH(All!$A579,Fall!$A:$A,FALSE),MATCH(All!K$1,Fall!$1:$1,FALSE))="","",INDEX(Fall!$1:$1048576,MATCH(All!$A579,Fall!$A:$A,FALSE),MATCH(All!K$1,Fall!$1:$1,FALSE))),"")</f>
        <v>2A</v>
      </c>
      <c r="L579" t="str">
        <f>IFERROR(IF(INDEX(Fall!$1:$1048576,MATCH(All!$A579,Fall!$A:$A,FALSE),MATCH(All!L$1,Fall!$1:$1,FALSE))="","",INDEX(Fall!$1:$1048576,MATCH(All!$A579,Fall!$A:$A,FALSE),MATCH(All!L$1,Fall!$1:$1,FALSE))),"")</f>
        <v>1A</v>
      </c>
      <c r="M579" t="str">
        <f>IFERROR(IF(INDEX(Fall!$1:$1048576,MATCH(All!$A579,Fall!$A:$A,FALSE),MATCH(All!M$1,Fall!$1:$1,FALSE))="","",INDEX(Fall!$1:$1048576,MATCH(All!$A579,Fall!$A:$A,FALSE),MATCH(All!M$1,Fall!$1:$1,FALSE))),"")</f>
        <v>3A</v>
      </c>
      <c r="O579">
        <f>IFERROR(IF(INDEX(Winter!$1:$1048576,MATCH(All!$A579,Winter!$A:$A,FALSE),MATCH(All!O$1,Winter!$1:$1,FALSE))="","",INDEX(Winter!$1:$1048576,MATCH(All!$A579,Winter!$A:$A,FALSE),MATCH(All!O$1,Winter!$1:$1,FALSE))),"")</f>
        <v>1193</v>
      </c>
      <c r="P579" t="str">
        <f>IFERROR(IF(INDEX(Winter!$1:$1048576,MATCH(All!$A579,Winter!$A:$A,FALSE),MATCH(All!P$1,Winter!$1:$1,FALSE))="","",INDEX(Winter!$1:$1048576,MATCH(All!$A579,Winter!$A:$A,FALSE),MATCH(All!P$1,Winter!$1:$1,FALSE))),"")</f>
        <v>3A</v>
      </c>
      <c r="Q579" t="str">
        <f>IFERROR(IF(INDEX(Winter!$1:$1048576,MATCH(All!$A579,Winter!$A:$A,FALSE),MATCH(All!Q$1,Winter!$1:$1,FALSE))="","",INDEX(Winter!$1:$1048576,MATCH(All!$A579,Winter!$A:$A,FALSE),MATCH(All!Q$1,Winter!$1:$1,FALSE))),"")</f>
        <v>3A</v>
      </c>
      <c r="R579" t="str">
        <f>IFERROR(IF(INDEX(Winter!$1:$1048576,MATCH(All!$A579,Winter!$A:$A,FALSE),MATCH(All!R$1,Winter!$1:$1,FALSE))="","",INDEX(Winter!$1:$1048576,MATCH(All!$A579,Winter!$A:$A,FALSE),MATCH(All!R$1,Winter!$1:$1,FALSE))),"")</f>
        <v>C</v>
      </c>
      <c r="S579" t="str">
        <f>IFERROR(IF(INDEX(Winter!$1:$1048576,MATCH(All!$A579,Winter!$A:$A,FALSE),MATCH(All!S$1,Winter!$1:$1,FALSE))="","",INDEX(Winter!$1:$1048576,MATCH(All!$A579,Winter!$A:$A,FALSE),MATCH(All!S$1,Winter!$1:$1,FALSE))),"")</f>
        <v>2A</v>
      </c>
      <c r="T579" t="str">
        <f>IFERROR(IF(INDEX(Winter!$1:$1048576,MATCH(All!$A579,Winter!$A:$A,FALSE),MATCH(All!T$1,Winter!$1:$1,FALSE))="","",INDEX(Winter!$1:$1048576,MATCH(All!$A579,Winter!$A:$A,FALSE),MATCH(All!T$1,Winter!$1:$1,FALSE))),"")</f>
        <v>2A</v>
      </c>
      <c r="U579" t="str">
        <f>IFERROR(IF(INDEX(Winter!$1:$1048576,MATCH(All!$A579,Winter!$A:$A,FALSE),MATCH(All!U$1,Winter!$1:$1,FALSE))="","",INDEX(Winter!$1:$1048576,MATCH(All!$A579,Winter!$A:$A,FALSE),MATCH(All!U$1,Winter!$1:$1,FALSE))),"")</f>
        <v>2A</v>
      </c>
      <c r="W579">
        <f>IFERROR(IF(INDEX(Spring!$1:$1048576,MATCH(All!$A579,Spring!$A:$A,FALSE),MATCH(All!W$1,Spring!$1:$1,FALSE))="","",INDEX(Spring!$1:$1048576,MATCH(All!$A579,Spring!$A:$A,FALSE),MATCH(All!W$1,Spring!$1:$1,FALSE))),"")</f>
        <v>1193</v>
      </c>
      <c r="X579" t="str">
        <f>IFERROR(IF(INDEX(Spring!$1:$1048576,MATCH(All!$A579,Spring!$A:$A,FALSE),MATCH(All!X$1,Spring!$1:$1,FALSE))="","",INDEX(Spring!$1:$1048576,MATCH(All!$A579,Spring!$A:$A,FALSE),MATCH(All!X$1,Spring!$1:$1,FALSE))),"")</f>
        <v>3A</v>
      </c>
      <c r="Y579" t="str">
        <f>IFERROR(IF(INDEX(Spring!$1:$1048576,MATCH(All!$A579,Spring!$A:$A,FALSE),MATCH(All!Y$1,Spring!$1:$1,FALSE))="","",INDEX(Spring!$1:$1048576,MATCH(All!$A579,Spring!$A:$A,FALSE),MATCH(All!Y$1,Spring!$1:$1,FALSE))),"")</f>
        <v>3A</v>
      </c>
      <c r="Z579" t="str">
        <f>IFERROR(IF(INDEX(Spring!$1:$1048576,MATCH(All!$A579,Spring!$A:$A,FALSE),MATCH(All!Z$1,Spring!$1:$1,FALSE))="","",INDEX(Spring!$1:$1048576,MATCH(All!$A579,Spring!$A:$A,FALSE),MATCH(All!Z$1,Spring!$1:$1,FALSE))),"")</f>
        <v>2A</v>
      </c>
      <c r="AA579" t="str">
        <f>IFERROR(IF(INDEX(Spring!$1:$1048576,MATCH(All!$A579,Spring!$A:$A,FALSE),MATCH(All!AA$1,Spring!$1:$1,FALSE))="","",INDEX(Spring!$1:$1048576,MATCH(All!$A579,Spring!$A:$A,FALSE),MATCH(All!AA$1,Spring!$1:$1,FALSE))),"")</f>
        <v>1A</v>
      </c>
      <c r="AB579" t="str">
        <f>IFERROR(IF(INDEX(Spring!$1:$1048576,MATCH(All!$A579,Spring!$A:$A,FALSE),MATCH(All!AB$1,Spring!$1:$1,FALSE))="","",INDEX(Spring!$1:$1048576,MATCH(All!$A579,Spring!$A:$A,FALSE),MATCH(All!AB$1,Spring!$1:$1,FALSE))),"")</f>
        <v>2A</v>
      </c>
      <c r="AC579" t="str">
        <f>IFERROR(IF(INDEX(Spring!$1:$1048576,MATCH(All!$A579,Spring!$A:$A,FALSE),MATCH(All!AC$1,Spring!$1:$1,FALSE))="","",INDEX(Spring!$1:$1048576,MATCH(All!$A579,Spring!$A:$A,FALSE),MATCH(All!AC$1,Spring!$1:$1,FALSE))),"")</f>
        <v>2A</v>
      </c>
      <c r="AD579" t="str">
        <f>IFERROR(VLOOKUP(A579,'Flag Football'!A:A,1,FALSE),"")</f>
        <v/>
      </c>
      <c r="AE579" t="str">
        <f t="shared" ref="AE579:AE642" si="9">IF(AD579="","","1A")</f>
        <v/>
      </c>
    </row>
    <row r="580" spans="1:31" ht="15.75" thickBot="1" x14ac:dyDescent="0.3">
      <c r="A580" s="20" t="s">
        <v>678</v>
      </c>
      <c r="B580" s="38">
        <f>IFERROR(VLOOKUP(A580,'Public v Private'!A:G,3,FALSE),"")</f>
        <v>0</v>
      </c>
      <c r="C580" s="38">
        <f>IFERROR(VLOOKUP(A580,'Public v Private'!A:G,4,FALSE),"")</f>
        <v>0</v>
      </c>
      <c r="D580" s="38">
        <f>IFERROR(VLOOKUP(A580,'Public v Private'!A:G,5,FALSE),"")</f>
        <v>0</v>
      </c>
      <c r="E580" s="38"/>
      <c r="F580" s="40">
        <f>IFERROR(INDEX(Fall!$1:$1048576,MATCH(All!$A580,Fall!$A:$A,FALSE),MATCH(All!F$1,Fall!$1:$1,FALSE)),"N/A")</f>
        <v>2610</v>
      </c>
      <c r="G580" t="str">
        <f>IFERROR(IF(INDEX(Fall!$1:$1048576,MATCH(All!$A580,Fall!$A:$A,FALSE),MATCH(All!G$1,Fall!$1:$1,FALSE))="","",INDEX(Fall!$1:$1048576,MATCH(All!$A580,Fall!$A:$A,FALSE),MATCH(All!G$1,Fall!$1:$1,FALSE))),"")</f>
        <v>3A</v>
      </c>
      <c r="H580" t="str">
        <f>IFERROR(IF(INDEX(Fall!$1:$1048576,MATCH(All!$A580,Fall!$A:$A,FALSE),MATCH(All!H$1,Fall!$1:$1,FALSE))="","",INDEX(Fall!$1:$1048576,MATCH(All!$A580,Fall!$A:$A,FALSE),MATCH(All!H$1,Fall!$1:$1,FALSE))),"")</f>
        <v>3A</v>
      </c>
      <c r="I580" t="str">
        <f>IFERROR(IF(INDEX(Fall!$1:$1048576,MATCH(All!$A580,Fall!$A:$A,FALSE),MATCH(All!I$1,Fall!$1:$1,FALSE))="","",INDEX(Fall!$1:$1048576,MATCH(All!$A580,Fall!$A:$A,FALSE),MATCH(All!I$1,Fall!$1:$1,FALSE))),"")</f>
        <v>3A</v>
      </c>
      <c r="J580" t="str">
        <f>IFERROR(IF(INDEX(Fall!$1:$1048576,MATCH(All!$A580,Fall!$A:$A,FALSE),MATCH(All!J$1,Fall!$1:$1,FALSE))="","",INDEX(Fall!$1:$1048576,MATCH(All!$A580,Fall!$A:$A,FALSE),MATCH(All!J$1,Fall!$1:$1,FALSE))),"")</f>
        <v>2A</v>
      </c>
      <c r="K580" t="str">
        <f>IFERROR(IF(INDEX(Fall!$1:$1048576,MATCH(All!$A580,Fall!$A:$A,FALSE),MATCH(All!K$1,Fall!$1:$1,FALSE))="","",INDEX(Fall!$1:$1048576,MATCH(All!$A580,Fall!$A:$A,FALSE),MATCH(All!K$1,Fall!$1:$1,FALSE))),"")</f>
        <v>3A</v>
      </c>
      <c r="L580" t="str">
        <f>IFERROR(IF(INDEX(Fall!$1:$1048576,MATCH(All!$A580,Fall!$A:$A,FALSE),MATCH(All!L$1,Fall!$1:$1,FALSE))="","",INDEX(Fall!$1:$1048576,MATCH(All!$A580,Fall!$A:$A,FALSE),MATCH(All!L$1,Fall!$1:$1,FALSE))),"")</f>
        <v>2A</v>
      </c>
      <c r="M580" t="str">
        <f>IFERROR(IF(INDEX(Fall!$1:$1048576,MATCH(All!$A580,Fall!$A:$A,FALSE),MATCH(All!M$1,Fall!$1:$1,FALSE))="","",INDEX(Fall!$1:$1048576,MATCH(All!$A580,Fall!$A:$A,FALSE),MATCH(All!M$1,Fall!$1:$1,FALSE))),"")</f>
        <v>4A</v>
      </c>
      <c r="O580">
        <f>IFERROR(IF(INDEX(Winter!$1:$1048576,MATCH(All!$A580,Winter!$A:$A,FALSE),MATCH(All!O$1,Winter!$1:$1,FALSE))="","",INDEX(Winter!$1:$1048576,MATCH(All!$A580,Winter!$A:$A,FALSE),MATCH(All!O$1,Winter!$1:$1,FALSE))),"")</f>
        <v>2610</v>
      </c>
      <c r="P580" t="str">
        <f>IFERROR(IF(INDEX(Winter!$1:$1048576,MATCH(All!$A580,Winter!$A:$A,FALSE),MATCH(All!P$1,Winter!$1:$1,FALSE))="","",INDEX(Winter!$1:$1048576,MATCH(All!$A580,Winter!$A:$A,FALSE),MATCH(All!P$1,Winter!$1:$1,FALSE))),"")</f>
        <v>4A</v>
      </c>
      <c r="Q580" t="str">
        <f>IFERROR(IF(INDEX(Winter!$1:$1048576,MATCH(All!$A580,Winter!$A:$A,FALSE),MATCH(All!Q$1,Winter!$1:$1,FALSE))="","",INDEX(Winter!$1:$1048576,MATCH(All!$A580,Winter!$A:$A,FALSE),MATCH(All!Q$1,Winter!$1:$1,FALSE))),"")</f>
        <v>4A</v>
      </c>
      <c r="R580" t="str">
        <f>IFERROR(IF(INDEX(Winter!$1:$1048576,MATCH(All!$A580,Winter!$A:$A,FALSE),MATCH(All!R$1,Winter!$1:$1,FALSE))="","",INDEX(Winter!$1:$1048576,MATCH(All!$A580,Winter!$A:$A,FALSE),MATCH(All!R$1,Winter!$1:$1,FALSE))),"")</f>
        <v>3A</v>
      </c>
      <c r="S580" t="str">
        <f>IFERROR(IF(INDEX(Winter!$1:$1048576,MATCH(All!$A580,Winter!$A:$A,FALSE),MATCH(All!S$1,Winter!$1:$1,FALSE))="","",INDEX(Winter!$1:$1048576,MATCH(All!$A580,Winter!$A:$A,FALSE),MATCH(All!S$1,Winter!$1:$1,FALSE))),"")</f>
        <v>3A</v>
      </c>
      <c r="T580" t="str">
        <f>IFERROR(IF(INDEX(Winter!$1:$1048576,MATCH(All!$A580,Winter!$A:$A,FALSE),MATCH(All!T$1,Winter!$1:$1,FALSE))="","",INDEX(Winter!$1:$1048576,MATCH(All!$A580,Winter!$A:$A,FALSE),MATCH(All!T$1,Winter!$1:$1,FALSE))),"")</f>
        <v>2A</v>
      </c>
      <c r="U580" t="str">
        <f>IFERROR(IF(INDEX(Winter!$1:$1048576,MATCH(All!$A580,Winter!$A:$A,FALSE),MATCH(All!U$1,Winter!$1:$1,FALSE))="","",INDEX(Winter!$1:$1048576,MATCH(All!$A580,Winter!$A:$A,FALSE),MATCH(All!U$1,Winter!$1:$1,FALSE))),"")</f>
        <v>3A</v>
      </c>
      <c r="W580">
        <f>IFERROR(IF(INDEX(Spring!$1:$1048576,MATCH(All!$A580,Spring!$A:$A,FALSE),MATCH(All!W$1,Spring!$1:$1,FALSE))="","",INDEX(Spring!$1:$1048576,MATCH(All!$A580,Spring!$A:$A,FALSE),MATCH(All!W$1,Spring!$1:$1,FALSE))),"")</f>
        <v>2610</v>
      </c>
      <c r="X580" t="str">
        <f>IFERROR(IF(INDEX(Spring!$1:$1048576,MATCH(All!$A580,Spring!$A:$A,FALSE),MATCH(All!X$1,Spring!$1:$1,FALSE))="","",INDEX(Spring!$1:$1048576,MATCH(All!$A580,Spring!$A:$A,FALSE),MATCH(All!X$1,Spring!$1:$1,FALSE))),"")</f>
        <v>4A</v>
      </c>
      <c r="Y580" t="str">
        <f>IFERROR(IF(INDEX(Spring!$1:$1048576,MATCH(All!$A580,Spring!$A:$A,FALSE),MATCH(All!Y$1,Spring!$1:$1,FALSE))="","",INDEX(Spring!$1:$1048576,MATCH(All!$A580,Spring!$A:$A,FALSE),MATCH(All!Y$1,Spring!$1:$1,FALSE))),"")</f>
        <v>4A</v>
      </c>
      <c r="Z580" t="str">
        <f>IFERROR(IF(INDEX(Spring!$1:$1048576,MATCH(All!$A580,Spring!$A:$A,FALSE),MATCH(All!Z$1,Spring!$1:$1,FALSE))="","",INDEX(Spring!$1:$1048576,MATCH(All!$A580,Spring!$A:$A,FALSE),MATCH(All!Z$1,Spring!$1:$1,FALSE))),"")</f>
        <v>3A</v>
      </c>
      <c r="AA580" t="str">
        <f>IFERROR(IF(INDEX(Spring!$1:$1048576,MATCH(All!$A580,Spring!$A:$A,FALSE),MATCH(All!AA$1,Spring!$1:$1,FALSE))="","",INDEX(Spring!$1:$1048576,MATCH(All!$A580,Spring!$A:$A,FALSE),MATCH(All!AA$1,Spring!$1:$1,FALSE))),"")</f>
        <v>2A</v>
      </c>
      <c r="AB580" t="str">
        <f>IFERROR(IF(INDEX(Spring!$1:$1048576,MATCH(All!$A580,Spring!$A:$A,FALSE),MATCH(All!AB$1,Spring!$1:$1,FALSE))="","",INDEX(Spring!$1:$1048576,MATCH(All!$A580,Spring!$A:$A,FALSE),MATCH(All!AB$1,Spring!$1:$1,FALSE))),"")</f>
        <v>3A</v>
      </c>
      <c r="AC580" t="str">
        <f>IFERROR(IF(INDEX(Spring!$1:$1048576,MATCH(All!$A580,Spring!$A:$A,FALSE),MATCH(All!AC$1,Spring!$1:$1,FALSE))="","",INDEX(Spring!$1:$1048576,MATCH(All!$A580,Spring!$A:$A,FALSE),MATCH(All!AC$1,Spring!$1:$1,FALSE))),"")</f>
        <v>3A</v>
      </c>
      <c r="AD580" t="str">
        <f>IFERROR(VLOOKUP(A580,'Flag Football'!A:A,1,FALSE),"")</f>
        <v>Palatine (Fremd)</v>
      </c>
      <c r="AE580" t="str">
        <f t="shared" si="9"/>
        <v>1A</v>
      </c>
    </row>
    <row r="581" spans="1:31" ht="15.75" thickBot="1" x14ac:dyDescent="0.3">
      <c r="A581" s="18" t="s">
        <v>679</v>
      </c>
      <c r="B581" s="38">
        <f>IFERROR(VLOOKUP(A581,'Public v Private'!A:G,3,FALSE),"")</f>
        <v>0</v>
      </c>
      <c r="C581" s="38">
        <f>IFERROR(VLOOKUP(A581,'Public v Private'!A:G,4,FALSE),"")</f>
        <v>0</v>
      </c>
      <c r="D581" s="38">
        <f>IFERROR(VLOOKUP(A581,'Public v Private'!A:G,5,FALSE),"")</f>
        <v>0</v>
      </c>
      <c r="E581" s="38"/>
      <c r="F581" s="40">
        <f>IFERROR(INDEX(Fall!$1:$1048576,MATCH(All!$A581,Fall!$A:$A,FALSE),MATCH(All!F$1,Fall!$1:$1,FALSE)),"N/A")</f>
        <v>2519</v>
      </c>
      <c r="G581" t="str">
        <f>IFERROR(IF(INDEX(Fall!$1:$1048576,MATCH(All!$A581,Fall!$A:$A,FALSE),MATCH(All!G$1,Fall!$1:$1,FALSE))="","",INDEX(Fall!$1:$1048576,MATCH(All!$A581,Fall!$A:$A,FALSE),MATCH(All!G$1,Fall!$1:$1,FALSE))),"")</f>
        <v>3A</v>
      </c>
      <c r="H581" t="str">
        <f>IFERROR(IF(INDEX(Fall!$1:$1048576,MATCH(All!$A581,Fall!$A:$A,FALSE),MATCH(All!H$1,Fall!$1:$1,FALSE))="","",INDEX(Fall!$1:$1048576,MATCH(All!$A581,Fall!$A:$A,FALSE),MATCH(All!H$1,Fall!$1:$1,FALSE))),"")</f>
        <v>3A</v>
      </c>
      <c r="I581" t="str">
        <f>IFERROR(IF(INDEX(Fall!$1:$1048576,MATCH(All!$A581,Fall!$A:$A,FALSE),MATCH(All!I$1,Fall!$1:$1,FALSE))="","",INDEX(Fall!$1:$1048576,MATCH(All!$A581,Fall!$A:$A,FALSE),MATCH(All!I$1,Fall!$1:$1,FALSE))),"")</f>
        <v>3A</v>
      </c>
      <c r="J581" t="str">
        <f>IFERROR(IF(INDEX(Fall!$1:$1048576,MATCH(All!$A581,Fall!$A:$A,FALSE),MATCH(All!J$1,Fall!$1:$1,FALSE))="","",INDEX(Fall!$1:$1048576,MATCH(All!$A581,Fall!$A:$A,FALSE),MATCH(All!J$1,Fall!$1:$1,FALSE))),"")</f>
        <v>2A</v>
      </c>
      <c r="K581" t="str">
        <f>IFERROR(IF(INDEX(Fall!$1:$1048576,MATCH(All!$A581,Fall!$A:$A,FALSE),MATCH(All!K$1,Fall!$1:$1,FALSE))="","",INDEX(Fall!$1:$1048576,MATCH(All!$A581,Fall!$A:$A,FALSE),MATCH(All!K$1,Fall!$1:$1,FALSE))),"")</f>
        <v>3A</v>
      </c>
      <c r="L581" t="str">
        <f>IFERROR(IF(INDEX(Fall!$1:$1048576,MATCH(All!$A581,Fall!$A:$A,FALSE),MATCH(All!L$1,Fall!$1:$1,FALSE))="","",INDEX(Fall!$1:$1048576,MATCH(All!$A581,Fall!$A:$A,FALSE),MATCH(All!L$1,Fall!$1:$1,FALSE))),"")</f>
        <v>2A</v>
      </c>
      <c r="M581" t="str">
        <f>IFERROR(IF(INDEX(Fall!$1:$1048576,MATCH(All!$A581,Fall!$A:$A,FALSE),MATCH(All!M$1,Fall!$1:$1,FALSE))="","",INDEX(Fall!$1:$1048576,MATCH(All!$A581,Fall!$A:$A,FALSE),MATCH(All!M$1,Fall!$1:$1,FALSE))),"")</f>
        <v>4A</v>
      </c>
      <c r="O581">
        <f>IFERROR(IF(INDEX(Winter!$1:$1048576,MATCH(All!$A581,Winter!$A:$A,FALSE),MATCH(All!O$1,Winter!$1:$1,FALSE))="","",INDEX(Winter!$1:$1048576,MATCH(All!$A581,Winter!$A:$A,FALSE),MATCH(All!O$1,Winter!$1:$1,FALSE))),"")</f>
        <v>2519</v>
      </c>
      <c r="P581" t="str">
        <f>IFERROR(IF(INDEX(Winter!$1:$1048576,MATCH(All!$A581,Winter!$A:$A,FALSE),MATCH(All!P$1,Winter!$1:$1,FALSE))="","",INDEX(Winter!$1:$1048576,MATCH(All!$A581,Winter!$A:$A,FALSE),MATCH(All!P$1,Winter!$1:$1,FALSE))),"")</f>
        <v>4A</v>
      </c>
      <c r="Q581" t="str">
        <f>IFERROR(IF(INDEX(Winter!$1:$1048576,MATCH(All!$A581,Winter!$A:$A,FALSE),MATCH(All!Q$1,Winter!$1:$1,FALSE))="","",INDEX(Winter!$1:$1048576,MATCH(All!$A581,Winter!$A:$A,FALSE),MATCH(All!Q$1,Winter!$1:$1,FALSE))),"")</f>
        <v>4A</v>
      </c>
      <c r="R581" t="str">
        <f>IFERROR(IF(INDEX(Winter!$1:$1048576,MATCH(All!$A581,Winter!$A:$A,FALSE),MATCH(All!R$1,Winter!$1:$1,FALSE))="","",INDEX(Winter!$1:$1048576,MATCH(All!$A581,Winter!$A:$A,FALSE),MATCH(All!R$1,Winter!$1:$1,FALSE))),"")</f>
        <v>3A</v>
      </c>
      <c r="S581" t="str">
        <f>IFERROR(IF(INDEX(Winter!$1:$1048576,MATCH(All!$A581,Winter!$A:$A,FALSE),MATCH(All!S$1,Winter!$1:$1,FALSE))="","",INDEX(Winter!$1:$1048576,MATCH(All!$A581,Winter!$A:$A,FALSE),MATCH(All!S$1,Winter!$1:$1,FALSE))),"")</f>
        <v>3A</v>
      </c>
      <c r="T581" t="str">
        <f>IFERROR(IF(INDEX(Winter!$1:$1048576,MATCH(All!$A581,Winter!$A:$A,FALSE),MATCH(All!T$1,Winter!$1:$1,FALSE))="","",INDEX(Winter!$1:$1048576,MATCH(All!$A581,Winter!$A:$A,FALSE),MATCH(All!T$1,Winter!$1:$1,FALSE))),"")</f>
        <v>2A</v>
      </c>
      <c r="U581" t="str">
        <f>IFERROR(IF(INDEX(Winter!$1:$1048576,MATCH(All!$A581,Winter!$A:$A,FALSE),MATCH(All!U$1,Winter!$1:$1,FALSE))="","",INDEX(Winter!$1:$1048576,MATCH(All!$A581,Winter!$A:$A,FALSE),MATCH(All!U$1,Winter!$1:$1,FALSE))),"")</f>
        <v>3A</v>
      </c>
      <c r="W581">
        <f>IFERROR(IF(INDEX(Spring!$1:$1048576,MATCH(All!$A581,Spring!$A:$A,FALSE),MATCH(All!W$1,Spring!$1:$1,FALSE))="","",INDEX(Spring!$1:$1048576,MATCH(All!$A581,Spring!$A:$A,FALSE),MATCH(All!W$1,Spring!$1:$1,FALSE))),"")</f>
        <v>2519</v>
      </c>
      <c r="X581" t="str">
        <f>IFERROR(IF(INDEX(Spring!$1:$1048576,MATCH(All!$A581,Spring!$A:$A,FALSE),MATCH(All!X$1,Spring!$1:$1,FALSE))="","",INDEX(Spring!$1:$1048576,MATCH(All!$A581,Spring!$A:$A,FALSE),MATCH(All!X$1,Spring!$1:$1,FALSE))),"")</f>
        <v>4A</v>
      </c>
      <c r="Y581" t="str">
        <f>IFERROR(IF(INDEX(Spring!$1:$1048576,MATCH(All!$A581,Spring!$A:$A,FALSE),MATCH(All!Y$1,Spring!$1:$1,FALSE))="","",INDEX(Spring!$1:$1048576,MATCH(All!$A581,Spring!$A:$A,FALSE),MATCH(All!Y$1,Spring!$1:$1,FALSE))),"")</f>
        <v>4A</v>
      </c>
      <c r="Z581" t="str">
        <f>IFERROR(IF(INDEX(Spring!$1:$1048576,MATCH(All!$A581,Spring!$A:$A,FALSE),MATCH(All!Z$1,Spring!$1:$1,FALSE))="","",INDEX(Spring!$1:$1048576,MATCH(All!$A581,Spring!$A:$A,FALSE),MATCH(All!Z$1,Spring!$1:$1,FALSE))),"")</f>
        <v>3A</v>
      </c>
      <c r="AA581" t="str">
        <f>IFERROR(IF(INDEX(Spring!$1:$1048576,MATCH(All!$A581,Spring!$A:$A,FALSE),MATCH(All!AA$1,Spring!$1:$1,FALSE))="","",INDEX(Spring!$1:$1048576,MATCH(All!$A581,Spring!$A:$A,FALSE),MATCH(All!AA$1,Spring!$1:$1,FALSE))),"")</f>
        <v>2A</v>
      </c>
      <c r="AB581" t="str">
        <f>IFERROR(IF(INDEX(Spring!$1:$1048576,MATCH(All!$A581,Spring!$A:$A,FALSE),MATCH(All!AB$1,Spring!$1:$1,FALSE))="","",INDEX(Spring!$1:$1048576,MATCH(All!$A581,Spring!$A:$A,FALSE),MATCH(All!AB$1,Spring!$1:$1,FALSE))),"")</f>
        <v>3A</v>
      </c>
      <c r="AC581" t="str">
        <f>IFERROR(IF(INDEX(Spring!$1:$1048576,MATCH(All!$A581,Spring!$A:$A,FALSE),MATCH(All!AC$1,Spring!$1:$1,FALSE))="","",INDEX(Spring!$1:$1048576,MATCH(All!$A581,Spring!$A:$A,FALSE),MATCH(All!AC$1,Spring!$1:$1,FALSE))),"")</f>
        <v>3A</v>
      </c>
      <c r="AD581" t="str">
        <f>IFERROR(VLOOKUP(A581,'Flag Football'!A:A,1,FALSE),"")</f>
        <v>Palatine (H.S.)</v>
      </c>
      <c r="AE581" t="str">
        <f t="shared" si="9"/>
        <v>1A</v>
      </c>
    </row>
    <row r="582" spans="1:31" ht="15.75" thickBot="1" x14ac:dyDescent="0.3">
      <c r="A582" s="18" t="s">
        <v>680</v>
      </c>
      <c r="B582" s="38">
        <f>IFERROR(VLOOKUP(A582,'Public v Private'!A:G,3,FALSE),"")</f>
        <v>0</v>
      </c>
      <c r="C582" s="38">
        <f>IFERROR(VLOOKUP(A582,'Public v Private'!A:G,4,FALSE),"")</f>
        <v>0</v>
      </c>
      <c r="D582" s="38">
        <f>IFERROR(VLOOKUP(A582,'Public v Private'!A:G,5,FALSE),"")</f>
        <v>0</v>
      </c>
      <c r="E582" s="38"/>
      <c r="F582" s="40" t="str">
        <f>IFERROR(INDEX(Fall!$1:$1048576,MATCH(All!$A582,Fall!$A:$A,FALSE),MATCH(All!F$1,Fall!$1:$1,FALSE)),"N/A")</f>
        <v>N/A</v>
      </c>
      <c r="G582" t="str">
        <f>IFERROR(IF(INDEX(Fall!$1:$1048576,MATCH(All!$A582,Fall!$A:$A,FALSE),MATCH(All!G$1,Fall!$1:$1,FALSE))="","",INDEX(Fall!$1:$1048576,MATCH(All!$A582,Fall!$A:$A,FALSE),MATCH(All!G$1,Fall!$1:$1,FALSE))),"")</f>
        <v/>
      </c>
      <c r="H582" t="str">
        <f>IFERROR(IF(INDEX(Fall!$1:$1048576,MATCH(All!$A582,Fall!$A:$A,FALSE),MATCH(All!H$1,Fall!$1:$1,FALSE))="","",INDEX(Fall!$1:$1048576,MATCH(All!$A582,Fall!$A:$A,FALSE),MATCH(All!H$1,Fall!$1:$1,FALSE))),"")</f>
        <v/>
      </c>
      <c r="I582" t="str">
        <f>IFERROR(IF(INDEX(Fall!$1:$1048576,MATCH(All!$A582,Fall!$A:$A,FALSE),MATCH(All!I$1,Fall!$1:$1,FALSE))="","",INDEX(Fall!$1:$1048576,MATCH(All!$A582,Fall!$A:$A,FALSE),MATCH(All!I$1,Fall!$1:$1,FALSE))),"")</f>
        <v/>
      </c>
      <c r="J582" t="str">
        <f>IFERROR(IF(INDEX(Fall!$1:$1048576,MATCH(All!$A582,Fall!$A:$A,FALSE),MATCH(All!J$1,Fall!$1:$1,FALSE))="","",INDEX(Fall!$1:$1048576,MATCH(All!$A582,Fall!$A:$A,FALSE),MATCH(All!J$1,Fall!$1:$1,FALSE))),"")</f>
        <v/>
      </c>
      <c r="K582" t="str">
        <f>IFERROR(IF(INDEX(Fall!$1:$1048576,MATCH(All!$A582,Fall!$A:$A,FALSE),MATCH(All!K$1,Fall!$1:$1,FALSE))="","",INDEX(Fall!$1:$1048576,MATCH(All!$A582,Fall!$A:$A,FALSE),MATCH(All!K$1,Fall!$1:$1,FALSE))),"")</f>
        <v/>
      </c>
      <c r="L582" t="str">
        <f>IFERROR(IF(INDEX(Fall!$1:$1048576,MATCH(All!$A582,Fall!$A:$A,FALSE),MATCH(All!L$1,Fall!$1:$1,FALSE))="","",INDEX(Fall!$1:$1048576,MATCH(All!$A582,Fall!$A:$A,FALSE),MATCH(All!L$1,Fall!$1:$1,FALSE))),"")</f>
        <v/>
      </c>
      <c r="M582" t="str">
        <f>IFERROR(IF(INDEX(Fall!$1:$1048576,MATCH(All!$A582,Fall!$A:$A,FALSE),MATCH(All!M$1,Fall!$1:$1,FALSE))="","",INDEX(Fall!$1:$1048576,MATCH(All!$A582,Fall!$A:$A,FALSE),MATCH(All!M$1,Fall!$1:$1,FALSE))),"")</f>
        <v/>
      </c>
      <c r="O582">
        <f>IFERROR(IF(INDEX(Winter!$1:$1048576,MATCH(All!$A582,Winter!$A:$A,FALSE),MATCH(All!O$1,Winter!$1:$1,FALSE))="","",INDEX(Winter!$1:$1048576,MATCH(All!$A582,Winter!$A:$A,FALSE),MATCH(All!O$1,Winter!$1:$1,FALSE))),"")</f>
        <v>80</v>
      </c>
      <c r="P582" t="str">
        <f>IFERROR(IF(INDEX(Winter!$1:$1048576,MATCH(All!$A582,Winter!$A:$A,FALSE),MATCH(All!P$1,Winter!$1:$1,FALSE))="","",INDEX(Winter!$1:$1048576,MATCH(All!$A582,Winter!$A:$A,FALSE),MATCH(All!P$1,Winter!$1:$1,FALSE))),"")</f>
        <v/>
      </c>
      <c r="Q582" t="str">
        <f>IFERROR(IF(INDEX(Winter!$1:$1048576,MATCH(All!$A582,Winter!$A:$A,FALSE),MATCH(All!Q$1,Winter!$1:$1,FALSE))="","",INDEX(Winter!$1:$1048576,MATCH(All!$A582,Winter!$A:$A,FALSE),MATCH(All!Q$1,Winter!$1:$1,FALSE))),"")</f>
        <v>2A</v>
      </c>
      <c r="R582" t="str">
        <f>IFERROR(IF(INDEX(Winter!$1:$1048576,MATCH(All!$A582,Winter!$A:$A,FALSE),MATCH(All!R$1,Winter!$1:$1,FALSE))="","",INDEX(Winter!$1:$1048576,MATCH(All!$A582,Winter!$A:$A,FALSE),MATCH(All!R$1,Winter!$1:$1,FALSE))),"")</f>
        <v/>
      </c>
      <c r="S582" t="str">
        <f>IFERROR(IF(INDEX(Winter!$1:$1048576,MATCH(All!$A582,Winter!$A:$A,FALSE),MATCH(All!S$1,Winter!$1:$1,FALSE))="","",INDEX(Winter!$1:$1048576,MATCH(All!$A582,Winter!$A:$A,FALSE),MATCH(All!S$1,Winter!$1:$1,FALSE))),"")</f>
        <v/>
      </c>
      <c r="T582" t="str">
        <f>IFERROR(IF(INDEX(Winter!$1:$1048576,MATCH(All!$A582,Winter!$A:$A,FALSE),MATCH(All!T$1,Winter!$1:$1,FALSE))="","",INDEX(Winter!$1:$1048576,MATCH(All!$A582,Winter!$A:$A,FALSE),MATCH(All!T$1,Winter!$1:$1,FALSE))),"")</f>
        <v>1A</v>
      </c>
      <c r="U582" t="str">
        <f>IFERROR(IF(INDEX(Winter!$1:$1048576,MATCH(All!$A582,Winter!$A:$A,FALSE),MATCH(All!U$1,Winter!$1:$1,FALSE))="","",INDEX(Winter!$1:$1048576,MATCH(All!$A582,Winter!$A:$A,FALSE),MATCH(All!U$1,Winter!$1:$1,FALSE))),"")</f>
        <v/>
      </c>
      <c r="W582">
        <f>IFERROR(IF(INDEX(Spring!$1:$1048576,MATCH(All!$A582,Spring!$A:$A,FALSE),MATCH(All!W$1,Spring!$1:$1,FALSE))="","",INDEX(Spring!$1:$1048576,MATCH(All!$A582,Spring!$A:$A,FALSE),MATCH(All!W$1,Spring!$1:$1,FALSE))),"")</f>
        <v>80</v>
      </c>
      <c r="X582" t="str">
        <f>IFERROR(IF(INDEX(Spring!$1:$1048576,MATCH(All!$A582,Spring!$A:$A,FALSE),MATCH(All!X$1,Spring!$1:$1,FALSE))="","",INDEX(Spring!$1:$1048576,MATCH(All!$A582,Spring!$A:$A,FALSE),MATCH(All!X$1,Spring!$1:$1,FALSE))),"")</f>
        <v/>
      </c>
      <c r="Y582" t="str">
        <f>IFERROR(IF(INDEX(Spring!$1:$1048576,MATCH(All!$A582,Spring!$A:$A,FALSE),MATCH(All!Y$1,Spring!$1:$1,FALSE))="","",INDEX(Spring!$1:$1048576,MATCH(All!$A582,Spring!$A:$A,FALSE),MATCH(All!Y$1,Spring!$1:$1,FALSE))),"")</f>
        <v/>
      </c>
      <c r="Z582" t="str">
        <f>IFERROR(IF(INDEX(Spring!$1:$1048576,MATCH(All!$A582,Spring!$A:$A,FALSE),MATCH(All!Z$1,Spring!$1:$1,FALSE))="","",INDEX(Spring!$1:$1048576,MATCH(All!$A582,Spring!$A:$A,FALSE),MATCH(All!Z$1,Spring!$1:$1,FALSE))),"")</f>
        <v/>
      </c>
      <c r="AA582" t="str">
        <f>IFERROR(IF(INDEX(Spring!$1:$1048576,MATCH(All!$A582,Spring!$A:$A,FALSE),MATCH(All!AA$1,Spring!$1:$1,FALSE))="","",INDEX(Spring!$1:$1048576,MATCH(All!$A582,Spring!$A:$A,FALSE),MATCH(All!AA$1,Spring!$1:$1,FALSE))),"")</f>
        <v/>
      </c>
      <c r="AB582" t="str">
        <f>IFERROR(IF(INDEX(Spring!$1:$1048576,MATCH(All!$A582,Spring!$A:$A,FALSE),MATCH(All!AB$1,Spring!$1:$1,FALSE))="","",INDEX(Spring!$1:$1048576,MATCH(All!$A582,Spring!$A:$A,FALSE),MATCH(All!AB$1,Spring!$1:$1,FALSE))),"")</f>
        <v>1A</v>
      </c>
      <c r="AC582" t="str">
        <f>IFERROR(IF(INDEX(Spring!$1:$1048576,MATCH(All!$A582,Spring!$A:$A,FALSE),MATCH(All!AC$1,Spring!$1:$1,FALSE))="","",INDEX(Spring!$1:$1048576,MATCH(All!$A582,Spring!$A:$A,FALSE),MATCH(All!AC$1,Spring!$1:$1,FALSE))),"")</f>
        <v>1A</v>
      </c>
      <c r="AD582" t="str">
        <f>IFERROR(VLOOKUP(A582,'Flag Football'!A:A,1,FALSE),"")</f>
        <v/>
      </c>
      <c r="AE582" t="str">
        <f t="shared" si="9"/>
        <v/>
      </c>
    </row>
    <row r="583" spans="1:31" ht="15.75" thickBot="1" x14ac:dyDescent="0.3">
      <c r="A583" s="20" t="s">
        <v>991</v>
      </c>
      <c r="B583" s="38">
        <f>IFERROR(VLOOKUP(A583,'Public v Private'!A:G,3,FALSE),"")</f>
        <v>0</v>
      </c>
      <c r="C583" s="38">
        <f>IFERROR(VLOOKUP(A583,'Public v Private'!A:G,4,FALSE),"")</f>
        <v>0</v>
      </c>
      <c r="D583" s="38">
        <f>IFERROR(VLOOKUP(A583,'Public v Private'!A:G,5,FALSE),"")</f>
        <v>0</v>
      </c>
      <c r="E583" s="38"/>
      <c r="F583" s="40">
        <f>IFERROR(INDEX(Fall!$1:$1048576,MATCH(All!$A583,Fall!$A:$A,FALSE),MATCH(All!F$1,Fall!$1:$1,FALSE)),"N/A")</f>
        <v>93</v>
      </c>
      <c r="G583" t="str">
        <f>IFERROR(IF(INDEX(Fall!$1:$1048576,MATCH(All!$A583,Fall!$A:$A,FALSE),MATCH(All!G$1,Fall!$1:$1,FALSE))="","",INDEX(Fall!$1:$1048576,MATCH(All!$A583,Fall!$A:$A,FALSE),MATCH(All!G$1,Fall!$1:$1,FALSE))),"")</f>
        <v/>
      </c>
      <c r="H583" t="str">
        <f>IFERROR(IF(INDEX(Fall!$1:$1048576,MATCH(All!$A583,Fall!$A:$A,FALSE),MATCH(All!H$1,Fall!$1:$1,FALSE))="","",INDEX(Fall!$1:$1048576,MATCH(All!$A583,Fall!$A:$A,FALSE),MATCH(All!H$1,Fall!$1:$1,FALSE))),"")</f>
        <v/>
      </c>
      <c r="I583" t="str">
        <f>IFERROR(IF(INDEX(Fall!$1:$1048576,MATCH(All!$A583,Fall!$A:$A,FALSE),MATCH(All!I$1,Fall!$1:$1,FALSE))="","",INDEX(Fall!$1:$1048576,MATCH(All!$A583,Fall!$A:$A,FALSE),MATCH(All!I$1,Fall!$1:$1,FALSE))),"")</f>
        <v>1A</v>
      </c>
      <c r="J583" t="str">
        <f>IFERROR(IF(INDEX(Fall!$1:$1048576,MATCH(All!$A583,Fall!$A:$A,FALSE),MATCH(All!J$1,Fall!$1:$1,FALSE))="","",INDEX(Fall!$1:$1048576,MATCH(All!$A583,Fall!$A:$A,FALSE),MATCH(All!J$1,Fall!$1:$1,FALSE))),"")</f>
        <v>1A</v>
      </c>
      <c r="K583" t="str">
        <f>IFERROR(IF(INDEX(Fall!$1:$1048576,MATCH(All!$A583,Fall!$A:$A,FALSE),MATCH(All!K$1,Fall!$1:$1,FALSE))="","",INDEX(Fall!$1:$1048576,MATCH(All!$A583,Fall!$A:$A,FALSE),MATCH(All!K$1,Fall!$1:$1,FALSE))),"")</f>
        <v/>
      </c>
      <c r="L583" t="str">
        <f>IFERROR(IF(INDEX(Fall!$1:$1048576,MATCH(All!$A583,Fall!$A:$A,FALSE),MATCH(All!L$1,Fall!$1:$1,FALSE))="","",INDEX(Fall!$1:$1048576,MATCH(All!$A583,Fall!$A:$A,FALSE),MATCH(All!L$1,Fall!$1:$1,FALSE))),"")</f>
        <v/>
      </c>
      <c r="M583" t="str">
        <f>IFERROR(IF(INDEX(Fall!$1:$1048576,MATCH(All!$A583,Fall!$A:$A,FALSE),MATCH(All!M$1,Fall!$1:$1,FALSE))="","",INDEX(Fall!$1:$1048576,MATCH(All!$A583,Fall!$A:$A,FALSE),MATCH(All!M$1,Fall!$1:$1,FALSE))),"")</f>
        <v/>
      </c>
      <c r="O583" t="str">
        <f>IFERROR(IF(INDEX(Winter!$1:$1048576,MATCH(All!$A583,Winter!$A:$A,FALSE),MATCH(All!O$1,Winter!$1:$1,FALSE))="","",INDEX(Winter!$1:$1048576,MATCH(All!$A583,Winter!$A:$A,FALSE),MATCH(All!O$1,Winter!$1:$1,FALSE))),"")</f>
        <v/>
      </c>
      <c r="P583" t="str">
        <f>IFERROR(IF(INDEX(Winter!$1:$1048576,MATCH(All!$A583,Winter!$A:$A,FALSE),MATCH(All!P$1,Winter!$1:$1,FALSE))="","",INDEX(Winter!$1:$1048576,MATCH(All!$A583,Winter!$A:$A,FALSE),MATCH(All!P$1,Winter!$1:$1,FALSE))),"")</f>
        <v/>
      </c>
      <c r="Q583" t="str">
        <f>IFERROR(IF(INDEX(Winter!$1:$1048576,MATCH(All!$A583,Winter!$A:$A,FALSE),MATCH(All!Q$1,Winter!$1:$1,FALSE))="","",INDEX(Winter!$1:$1048576,MATCH(All!$A583,Winter!$A:$A,FALSE),MATCH(All!Q$1,Winter!$1:$1,FALSE))),"")</f>
        <v/>
      </c>
      <c r="R583" t="str">
        <f>IFERROR(IF(INDEX(Winter!$1:$1048576,MATCH(All!$A583,Winter!$A:$A,FALSE),MATCH(All!R$1,Winter!$1:$1,FALSE))="","",INDEX(Winter!$1:$1048576,MATCH(All!$A583,Winter!$A:$A,FALSE),MATCH(All!R$1,Winter!$1:$1,FALSE))),"")</f>
        <v/>
      </c>
      <c r="S583" t="str">
        <f>IFERROR(IF(INDEX(Winter!$1:$1048576,MATCH(All!$A583,Winter!$A:$A,FALSE),MATCH(All!S$1,Winter!$1:$1,FALSE))="","",INDEX(Winter!$1:$1048576,MATCH(All!$A583,Winter!$A:$A,FALSE),MATCH(All!S$1,Winter!$1:$1,FALSE))),"")</f>
        <v/>
      </c>
      <c r="T583" t="str">
        <f>IFERROR(IF(INDEX(Winter!$1:$1048576,MATCH(All!$A583,Winter!$A:$A,FALSE),MATCH(All!T$1,Winter!$1:$1,FALSE))="","",INDEX(Winter!$1:$1048576,MATCH(All!$A583,Winter!$A:$A,FALSE),MATCH(All!T$1,Winter!$1:$1,FALSE))),"")</f>
        <v/>
      </c>
      <c r="U583" t="str">
        <f>IFERROR(IF(INDEX(Winter!$1:$1048576,MATCH(All!$A583,Winter!$A:$A,FALSE),MATCH(All!U$1,Winter!$1:$1,FALSE))="","",INDEX(Winter!$1:$1048576,MATCH(All!$A583,Winter!$A:$A,FALSE),MATCH(All!U$1,Winter!$1:$1,FALSE))),"")</f>
        <v/>
      </c>
      <c r="W583" t="str">
        <f>IFERROR(IF(INDEX(Spring!$1:$1048576,MATCH(All!$A583,Spring!$A:$A,FALSE),MATCH(All!W$1,Spring!$1:$1,FALSE))="","",INDEX(Spring!$1:$1048576,MATCH(All!$A583,Spring!$A:$A,FALSE),MATCH(All!W$1,Spring!$1:$1,FALSE))),"")</f>
        <v/>
      </c>
      <c r="X583" t="str">
        <f>IFERROR(IF(INDEX(Spring!$1:$1048576,MATCH(All!$A583,Spring!$A:$A,FALSE),MATCH(All!X$1,Spring!$1:$1,FALSE))="","",INDEX(Spring!$1:$1048576,MATCH(All!$A583,Spring!$A:$A,FALSE),MATCH(All!X$1,Spring!$1:$1,FALSE))),"")</f>
        <v/>
      </c>
      <c r="Y583" t="str">
        <f>IFERROR(IF(INDEX(Spring!$1:$1048576,MATCH(All!$A583,Spring!$A:$A,FALSE),MATCH(All!Y$1,Spring!$1:$1,FALSE))="","",INDEX(Spring!$1:$1048576,MATCH(All!$A583,Spring!$A:$A,FALSE),MATCH(All!Y$1,Spring!$1:$1,FALSE))),"")</f>
        <v/>
      </c>
      <c r="Z583" t="str">
        <f>IFERROR(IF(INDEX(Spring!$1:$1048576,MATCH(All!$A583,Spring!$A:$A,FALSE),MATCH(All!Z$1,Spring!$1:$1,FALSE))="","",INDEX(Spring!$1:$1048576,MATCH(All!$A583,Spring!$A:$A,FALSE),MATCH(All!Z$1,Spring!$1:$1,FALSE))),"")</f>
        <v/>
      </c>
      <c r="AA583" t="str">
        <f>IFERROR(IF(INDEX(Spring!$1:$1048576,MATCH(All!$A583,Spring!$A:$A,FALSE),MATCH(All!AA$1,Spring!$1:$1,FALSE))="","",INDEX(Spring!$1:$1048576,MATCH(All!$A583,Spring!$A:$A,FALSE),MATCH(All!AA$1,Spring!$1:$1,FALSE))),"")</f>
        <v/>
      </c>
      <c r="AB583" t="str">
        <f>IFERROR(IF(INDEX(Spring!$1:$1048576,MATCH(All!$A583,Spring!$A:$A,FALSE),MATCH(All!AB$1,Spring!$1:$1,FALSE))="","",INDEX(Spring!$1:$1048576,MATCH(All!$A583,Spring!$A:$A,FALSE),MATCH(All!AB$1,Spring!$1:$1,FALSE))),"")</f>
        <v/>
      </c>
      <c r="AC583" t="str">
        <f>IFERROR(IF(INDEX(Spring!$1:$1048576,MATCH(All!$A583,Spring!$A:$A,FALSE),MATCH(All!AC$1,Spring!$1:$1,FALSE))="","",INDEX(Spring!$1:$1048576,MATCH(All!$A583,Spring!$A:$A,FALSE),MATCH(All!AC$1,Spring!$1:$1,FALSE))),"")</f>
        <v/>
      </c>
      <c r="AD583" t="str">
        <f>IFERROR(VLOOKUP(A583,'Flag Football'!A:A,1,FALSE),"")</f>
        <v/>
      </c>
      <c r="AE583" t="str">
        <f t="shared" si="9"/>
        <v/>
      </c>
    </row>
    <row r="584" spans="1:31" ht="15.75" thickBot="1" x14ac:dyDescent="0.3">
      <c r="A584" s="18" t="s">
        <v>681</v>
      </c>
      <c r="B584" s="38" t="str">
        <f>IFERROR(VLOOKUP(A584,'Public v Private'!A:G,3,FALSE),"")</f>
        <v>private</v>
      </c>
      <c r="C584" s="38">
        <f>IFERROR(VLOOKUP(A584,'Public v Private'!A:G,4,FALSE),"")</f>
        <v>3</v>
      </c>
      <c r="D584" s="38">
        <f>IFERROR(VLOOKUP(A584,'Public v Private'!A:G,5,FALSE),"")</f>
        <v>8</v>
      </c>
      <c r="E584" s="38"/>
      <c r="F584" s="40" t="str">
        <f>IFERROR(INDEX(Fall!$1:$1048576,MATCH(All!$A584,Fall!$A:$A,FALSE),MATCH(All!F$1,Fall!$1:$1,FALSE)),"N/A")</f>
        <v>302.00 (498.30)</v>
      </c>
      <c r="G584" t="str">
        <f>IFERROR(IF(INDEX(Fall!$1:$1048576,MATCH(All!$A584,Fall!$A:$A,FALSE),MATCH(All!G$1,Fall!$1:$1,FALSE))="","",INDEX(Fall!$1:$1048576,MATCH(All!$A584,Fall!$A:$A,FALSE),MATCH(All!G$1,Fall!$1:$1,FALSE))),"")</f>
        <v>1A</v>
      </c>
      <c r="H584" t="str">
        <f>IFERROR(IF(INDEX(Fall!$1:$1048576,MATCH(All!$A584,Fall!$A:$A,FALSE),MATCH(All!H$1,Fall!$1:$1,FALSE))="","",INDEX(Fall!$1:$1048576,MATCH(All!$A584,Fall!$A:$A,FALSE),MATCH(All!H$1,Fall!$1:$1,FALSE))),"")</f>
        <v>1A</v>
      </c>
      <c r="I584" t="str">
        <f>IFERROR(IF(INDEX(Fall!$1:$1048576,MATCH(All!$A584,Fall!$A:$A,FALSE),MATCH(All!I$1,Fall!$1:$1,FALSE))="","",INDEX(Fall!$1:$1048576,MATCH(All!$A584,Fall!$A:$A,FALSE),MATCH(All!I$1,Fall!$1:$1,FALSE))),"")</f>
        <v>1A</v>
      </c>
      <c r="J584" t="str">
        <f>IFERROR(IF(INDEX(Fall!$1:$1048576,MATCH(All!$A584,Fall!$A:$A,FALSE),MATCH(All!J$1,Fall!$1:$1,FALSE))="","",INDEX(Fall!$1:$1048576,MATCH(All!$A584,Fall!$A:$A,FALSE),MATCH(All!J$1,Fall!$1:$1,FALSE))),"")</f>
        <v/>
      </c>
      <c r="K584" t="str">
        <f>IFERROR(IF(INDEX(Fall!$1:$1048576,MATCH(All!$A584,Fall!$A:$A,FALSE),MATCH(All!K$1,Fall!$1:$1,FALSE))="","",INDEX(Fall!$1:$1048576,MATCH(All!$A584,Fall!$A:$A,FALSE),MATCH(All!K$1,Fall!$1:$1,FALSE))),"")</f>
        <v>1A</v>
      </c>
      <c r="L584" t="str">
        <f>IFERROR(IF(INDEX(Fall!$1:$1048576,MATCH(All!$A584,Fall!$A:$A,FALSE),MATCH(All!L$1,Fall!$1:$1,FALSE))="","",INDEX(Fall!$1:$1048576,MATCH(All!$A584,Fall!$A:$A,FALSE),MATCH(All!L$1,Fall!$1:$1,FALSE))),"")</f>
        <v>1A</v>
      </c>
      <c r="M584" t="str">
        <f>IFERROR(IF(INDEX(Fall!$1:$1048576,MATCH(All!$A584,Fall!$A:$A,FALSE),MATCH(All!M$1,Fall!$1:$1,FALSE))="","",INDEX(Fall!$1:$1048576,MATCH(All!$A584,Fall!$A:$A,FALSE),MATCH(All!M$1,Fall!$1:$1,FALSE))),"")</f>
        <v>2A</v>
      </c>
      <c r="O584" t="str">
        <f>IFERROR(IF(INDEX(Winter!$1:$1048576,MATCH(All!$A584,Winter!$A:$A,FALSE),MATCH(All!O$1,Winter!$1:$1,FALSE))="","",INDEX(Winter!$1:$1048576,MATCH(All!$A584,Winter!$A:$A,FALSE),MATCH(All!O$1,Winter!$1:$1,FALSE))),"")</f>
        <v>302.00 (498.30)</v>
      </c>
      <c r="P584" t="str">
        <f>IFERROR(IF(INDEX(Winter!$1:$1048576,MATCH(All!$A584,Winter!$A:$A,FALSE),MATCH(All!P$1,Winter!$1:$1,FALSE))="","",INDEX(Winter!$1:$1048576,MATCH(All!$A584,Winter!$A:$A,FALSE),MATCH(All!P$1,Winter!$1:$1,FALSE))),"")</f>
        <v>2A</v>
      </c>
      <c r="Q584" t="str">
        <f>IFERROR(IF(INDEX(Winter!$1:$1048576,MATCH(All!$A584,Winter!$A:$A,FALSE),MATCH(All!Q$1,Winter!$1:$1,FALSE))="","",INDEX(Winter!$1:$1048576,MATCH(All!$A584,Winter!$A:$A,FALSE),MATCH(All!Q$1,Winter!$1:$1,FALSE))),"")</f>
        <v>2A</v>
      </c>
      <c r="R584" t="str">
        <f>IFERROR(IF(INDEX(Winter!$1:$1048576,MATCH(All!$A584,Winter!$A:$A,FALSE),MATCH(All!R$1,Winter!$1:$1,FALSE))="","",INDEX(Winter!$1:$1048576,MATCH(All!$A584,Winter!$A:$A,FALSE),MATCH(All!R$1,Winter!$1:$1,FALSE))),"")</f>
        <v>1A</v>
      </c>
      <c r="S584" t="str">
        <f>IFERROR(IF(INDEX(Winter!$1:$1048576,MATCH(All!$A584,Winter!$A:$A,FALSE),MATCH(All!S$1,Winter!$1:$1,FALSE))="","",INDEX(Winter!$1:$1048576,MATCH(All!$A584,Winter!$A:$A,FALSE),MATCH(All!S$1,Winter!$1:$1,FALSE))),"")</f>
        <v/>
      </c>
      <c r="T584" t="str">
        <f>IFERROR(IF(INDEX(Winter!$1:$1048576,MATCH(All!$A584,Winter!$A:$A,FALSE),MATCH(All!T$1,Winter!$1:$1,FALSE))="","",INDEX(Winter!$1:$1048576,MATCH(All!$A584,Winter!$A:$A,FALSE),MATCH(All!T$1,Winter!$1:$1,FALSE))),"")</f>
        <v>1A</v>
      </c>
      <c r="U584" t="str">
        <f>IFERROR(IF(INDEX(Winter!$1:$1048576,MATCH(All!$A584,Winter!$A:$A,FALSE),MATCH(All!U$1,Winter!$1:$1,FALSE))="","",INDEX(Winter!$1:$1048576,MATCH(All!$A584,Winter!$A:$A,FALSE),MATCH(All!U$1,Winter!$1:$1,FALSE))),"")</f>
        <v>1A</v>
      </c>
      <c r="W584" t="str">
        <f>IFERROR(IF(INDEX(Spring!$1:$1048576,MATCH(All!$A584,Spring!$A:$A,FALSE),MATCH(All!W$1,Spring!$1:$1,FALSE))="","",INDEX(Spring!$1:$1048576,MATCH(All!$A584,Spring!$A:$A,FALSE),MATCH(All!W$1,Spring!$1:$1,FALSE))),"")</f>
        <v>302.00 (498.30)</v>
      </c>
      <c r="X584" t="str">
        <f>IFERROR(IF(INDEX(Spring!$1:$1048576,MATCH(All!$A584,Spring!$A:$A,FALSE),MATCH(All!X$1,Spring!$1:$1,FALSE))="","",INDEX(Spring!$1:$1048576,MATCH(All!$A584,Spring!$A:$A,FALSE),MATCH(All!X$1,Spring!$1:$1,FALSE))),"")</f>
        <v>2A</v>
      </c>
      <c r="Y584" t="str">
        <f>IFERROR(IF(INDEX(Spring!$1:$1048576,MATCH(All!$A584,Spring!$A:$A,FALSE),MATCH(All!Y$1,Spring!$1:$1,FALSE))="","",INDEX(Spring!$1:$1048576,MATCH(All!$A584,Spring!$A:$A,FALSE),MATCH(All!Y$1,Spring!$1:$1,FALSE))),"")</f>
        <v>2A</v>
      </c>
      <c r="Z584" t="str">
        <f>IFERROR(IF(INDEX(Spring!$1:$1048576,MATCH(All!$A584,Spring!$A:$A,FALSE),MATCH(All!Z$1,Spring!$1:$1,FALSE))="","",INDEX(Spring!$1:$1048576,MATCH(All!$A584,Spring!$A:$A,FALSE),MATCH(All!Z$1,Spring!$1:$1,FALSE))),"")</f>
        <v>1A</v>
      </c>
      <c r="AA584" t="str">
        <f>IFERROR(IF(INDEX(Spring!$1:$1048576,MATCH(All!$A584,Spring!$A:$A,FALSE),MATCH(All!AA$1,Spring!$1:$1,FALSE))="","",INDEX(Spring!$1:$1048576,MATCH(All!$A584,Spring!$A:$A,FALSE),MATCH(All!AA$1,Spring!$1:$1,FALSE))),"")</f>
        <v/>
      </c>
      <c r="AB584" t="str">
        <f>IFERROR(IF(INDEX(Spring!$1:$1048576,MATCH(All!$A584,Spring!$A:$A,FALSE),MATCH(All!AB$1,Spring!$1:$1,FALSE))="","",INDEX(Spring!$1:$1048576,MATCH(All!$A584,Spring!$A:$A,FALSE),MATCH(All!AB$1,Spring!$1:$1,FALSE))),"")</f>
        <v>2A</v>
      </c>
      <c r="AC584" t="str">
        <f>IFERROR(IF(INDEX(Spring!$1:$1048576,MATCH(All!$A584,Spring!$A:$A,FALSE),MATCH(All!AC$1,Spring!$1:$1,FALSE))="","",INDEX(Spring!$1:$1048576,MATCH(All!$A584,Spring!$A:$A,FALSE),MATCH(All!AC$1,Spring!$1:$1,FALSE))),"")</f>
        <v>1A</v>
      </c>
      <c r="AD584" t="str">
        <f>IFERROR(VLOOKUP(A584,'Flag Football'!A:A,1,FALSE),"")</f>
        <v/>
      </c>
      <c r="AE584" t="str">
        <f t="shared" si="9"/>
        <v/>
      </c>
    </row>
    <row r="585" spans="1:31" ht="15.75" thickBot="1" x14ac:dyDescent="0.3">
      <c r="A585" s="20" t="s">
        <v>683</v>
      </c>
      <c r="B585" s="38">
        <f>IFERROR(VLOOKUP(A585,'Public v Private'!A:G,3,FALSE),"")</f>
        <v>0</v>
      </c>
      <c r="C585" s="38">
        <f>IFERROR(VLOOKUP(A585,'Public v Private'!A:G,4,FALSE),"")</f>
        <v>0</v>
      </c>
      <c r="D585" s="38">
        <f>IFERROR(VLOOKUP(A585,'Public v Private'!A:G,5,FALSE),"")</f>
        <v>0</v>
      </c>
      <c r="E585" s="38"/>
      <c r="F585" s="40">
        <f>IFERROR(INDEX(Fall!$1:$1048576,MATCH(All!$A585,Fall!$A:$A,FALSE),MATCH(All!F$1,Fall!$1:$1,FALSE)),"N/A")</f>
        <v>1809</v>
      </c>
      <c r="G585" t="str">
        <f>IFERROR(IF(INDEX(Fall!$1:$1048576,MATCH(All!$A585,Fall!$A:$A,FALSE),MATCH(All!G$1,Fall!$1:$1,FALSE))="","",INDEX(Fall!$1:$1048576,MATCH(All!$A585,Fall!$A:$A,FALSE),MATCH(All!G$1,Fall!$1:$1,FALSE))),"")</f>
        <v>3A</v>
      </c>
      <c r="H585" t="str">
        <f>IFERROR(IF(INDEX(Fall!$1:$1048576,MATCH(All!$A585,Fall!$A:$A,FALSE),MATCH(All!H$1,Fall!$1:$1,FALSE))="","",INDEX(Fall!$1:$1048576,MATCH(All!$A585,Fall!$A:$A,FALSE),MATCH(All!H$1,Fall!$1:$1,FALSE))),"")</f>
        <v>3A</v>
      </c>
      <c r="I585" t="str">
        <f>IFERROR(IF(INDEX(Fall!$1:$1048576,MATCH(All!$A585,Fall!$A:$A,FALSE),MATCH(All!I$1,Fall!$1:$1,FALSE))="","",INDEX(Fall!$1:$1048576,MATCH(All!$A585,Fall!$A:$A,FALSE),MATCH(All!I$1,Fall!$1:$1,FALSE))),"")</f>
        <v>3A</v>
      </c>
      <c r="J585" t="str">
        <f>IFERROR(IF(INDEX(Fall!$1:$1048576,MATCH(All!$A585,Fall!$A:$A,FALSE),MATCH(All!J$1,Fall!$1:$1,FALSE))="","",INDEX(Fall!$1:$1048576,MATCH(All!$A585,Fall!$A:$A,FALSE),MATCH(All!J$1,Fall!$1:$1,FALSE))),"")</f>
        <v>2A</v>
      </c>
      <c r="K585" t="str">
        <f>IFERROR(IF(INDEX(Fall!$1:$1048576,MATCH(All!$A585,Fall!$A:$A,FALSE),MATCH(All!K$1,Fall!$1:$1,FALSE))="","",INDEX(Fall!$1:$1048576,MATCH(All!$A585,Fall!$A:$A,FALSE),MATCH(All!K$1,Fall!$1:$1,FALSE))),"")</f>
        <v>3A</v>
      </c>
      <c r="L585" t="str">
        <f>IFERROR(IF(INDEX(Fall!$1:$1048576,MATCH(All!$A585,Fall!$A:$A,FALSE),MATCH(All!L$1,Fall!$1:$1,FALSE))="","",INDEX(Fall!$1:$1048576,MATCH(All!$A585,Fall!$A:$A,FALSE),MATCH(All!L$1,Fall!$1:$1,FALSE))),"")</f>
        <v>2A</v>
      </c>
      <c r="M585" t="str">
        <f>IFERROR(IF(INDEX(Fall!$1:$1048576,MATCH(All!$A585,Fall!$A:$A,FALSE),MATCH(All!M$1,Fall!$1:$1,FALSE))="","",INDEX(Fall!$1:$1048576,MATCH(All!$A585,Fall!$A:$A,FALSE),MATCH(All!M$1,Fall!$1:$1,FALSE))),"")</f>
        <v>4A</v>
      </c>
      <c r="O585">
        <f>IFERROR(IF(INDEX(Winter!$1:$1048576,MATCH(All!$A585,Winter!$A:$A,FALSE),MATCH(All!O$1,Winter!$1:$1,FALSE))="","",INDEX(Winter!$1:$1048576,MATCH(All!$A585,Winter!$A:$A,FALSE),MATCH(All!O$1,Winter!$1:$1,FALSE))),"")</f>
        <v>1809</v>
      </c>
      <c r="P585" t="str">
        <f>IFERROR(IF(INDEX(Winter!$1:$1048576,MATCH(All!$A585,Winter!$A:$A,FALSE),MATCH(All!P$1,Winter!$1:$1,FALSE))="","",INDEX(Winter!$1:$1048576,MATCH(All!$A585,Winter!$A:$A,FALSE),MATCH(All!P$1,Winter!$1:$1,FALSE))),"")</f>
        <v>4A</v>
      </c>
      <c r="Q585" t="str">
        <f>IFERROR(IF(INDEX(Winter!$1:$1048576,MATCH(All!$A585,Winter!$A:$A,FALSE),MATCH(All!Q$1,Winter!$1:$1,FALSE))="","",INDEX(Winter!$1:$1048576,MATCH(All!$A585,Winter!$A:$A,FALSE),MATCH(All!Q$1,Winter!$1:$1,FALSE))),"")</f>
        <v>4A</v>
      </c>
      <c r="R585" t="str">
        <f>IFERROR(IF(INDEX(Winter!$1:$1048576,MATCH(All!$A585,Winter!$A:$A,FALSE),MATCH(All!R$1,Winter!$1:$1,FALSE))="","",INDEX(Winter!$1:$1048576,MATCH(All!$A585,Winter!$A:$A,FALSE),MATCH(All!R$1,Winter!$1:$1,FALSE))),"")</f>
        <v>C</v>
      </c>
      <c r="S585" t="str">
        <f>IFERROR(IF(INDEX(Winter!$1:$1048576,MATCH(All!$A585,Winter!$A:$A,FALSE),MATCH(All!S$1,Winter!$1:$1,FALSE))="","",INDEX(Winter!$1:$1048576,MATCH(All!$A585,Winter!$A:$A,FALSE),MATCH(All!S$1,Winter!$1:$1,FALSE))),"")</f>
        <v>2A</v>
      </c>
      <c r="T585" t="str">
        <f>IFERROR(IF(INDEX(Winter!$1:$1048576,MATCH(All!$A585,Winter!$A:$A,FALSE),MATCH(All!T$1,Winter!$1:$1,FALSE))="","",INDEX(Winter!$1:$1048576,MATCH(All!$A585,Winter!$A:$A,FALSE),MATCH(All!T$1,Winter!$1:$1,FALSE))),"")</f>
        <v>2A</v>
      </c>
      <c r="U585" t="str">
        <f>IFERROR(IF(INDEX(Winter!$1:$1048576,MATCH(All!$A585,Winter!$A:$A,FALSE),MATCH(All!U$1,Winter!$1:$1,FALSE))="","",INDEX(Winter!$1:$1048576,MATCH(All!$A585,Winter!$A:$A,FALSE),MATCH(All!U$1,Winter!$1:$1,FALSE))),"")</f>
        <v>3A</v>
      </c>
      <c r="W585">
        <f>IFERROR(IF(INDEX(Spring!$1:$1048576,MATCH(All!$A585,Spring!$A:$A,FALSE),MATCH(All!W$1,Spring!$1:$1,FALSE))="","",INDEX(Spring!$1:$1048576,MATCH(All!$A585,Spring!$A:$A,FALSE),MATCH(All!W$1,Spring!$1:$1,FALSE))),"")</f>
        <v>1809</v>
      </c>
      <c r="X585" t="str">
        <f>IFERROR(IF(INDEX(Spring!$1:$1048576,MATCH(All!$A585,Spring!$A:$A,FALSE),MATCH(All!X$1,Spring!$1:$1,FALSE))="","",INDEX(Spring!$1:$1048576,MATCH(All!$A585,Spring!$A:$A,FALSE),MATCH(All!X$1,Spring!$1:$1,FALSE))),"")</f>
        <v>4A</v>
      </c>
      <c r="Y585" t="str">
        <f>IFERROR(IF(INDEX(Spring!$1:$1048576,MATCH(All!$A585,Spring!$A:$A,FALSE),MATCH(All!Y$1,Spring!$1:$1,FALSE))="","",INDEX(Spring!$1:$1048576,MATCH(All!$A585,Spring!$A:$A,FALSE),MATCH(All!Y$1,Spring!$1:$1,FALSE))),"")</f>
        <v>4A</v>
      </c>
      <c r="Z585" t="str">
        <f>IFERROR(IF(INDEX(Spring!$1:$1048576,MATCH(All!$A585,Spring!$A:$A,FALSE),MATCH(All!Z$1,Spring!$1:$1,FALSE))="","",INDEX(Spring!$1:$1048576,MATCH(All!$A585,Spring!$A:$A,FALSE),MATCH(All!Z$1,Spring!$1:$1,FALSE))),"")</f>
        <v>3A</v>
      </c>
      <c r="AA585" t="str">
        <f>IFERROR(IF(INDEX(Spring!$1:$1048576,MATCH(All!$A585,Spring!$A:$A,FALSE),MATCH(All!AA$1,Spring!$1:$1,FALSE))="","",INDEX(Spring!$1:$1048576,MATCH(All!$A585,Spring!$A:$A,FALSE),MATCH(All!AA$1,Spring!$1:$1,FALSE))),"")</f>
        <v>2A</v>
      </c>
      <c r="AB585" t="str">
        <f>IFERROR(IF(INDEX(Spring!$1:$1048576,MATCH(All!$A585,Spring!$A:$A,FALSE),MATCH(All!AB$1,Spring!$1:$1,FALSE))="","",INDEX(Spring!$1:$1048576,MATCH(All!$A585,Spring!$A:$A,FALSE),MATCH(All!AB$1,Spring!$1:$1,FALSE))),"")</f>
        <v>3A</v>
      </c>
      <c r="AC585" t="str">
        <f>IFERROR(IF(INDEX(Spring!$1:$1048576,MATCH(All!$A585,Spring!$A:$A,FALSE),MATCH(All!AC$1,Spring!$1:$1,FALSE))="","",INDEX(Spring!$1:$1048576,MATCH(All!$A585,Spring!$A:$A,FALSE),MATCH(All!AC$1,Spring!$1:$1,FALSE))),"")</f>
        <v>3A</v>
      </c>
      <c r="AD585" t="str">
        <f>IFERROR(VLOOKUP(A585,'Flag Football'!A:A,1,FALSE),"")</f>
        <v>Palos Heights (Shepard)</v>
      </c>
      <c r="AE585" t="str">
        <f t="shared" si="9"/>
        <v>1A</v>
      </c>
    </row>
    <row r="586" spans="1:31" ht="15.75" thickBot="1" x14ac:dyDescent="0.3">
      <c r="A586" s="18" t="s">
        <v>684</v>
      </c>
      <c r="B586" s="38">
        <f>IFERROR(VLOOKUP(A586,'Public v Private'!A:G,3,FALSE),"")</f>
        <v>0</v>
      </c>
      <c r="C586" s="38">
        <f>IFERROR(VLOOKUP(A586,'Public v Private'!A:G,4,FALSE),"")</f>
        <v>0</v>
      </c>
      <c r="D586" s="38">
        <f>IFERROR(VLOOKUP(A586,'Public v Private'!A:G,5,FALSE),"")</f>
        <v>0</v>
      </c>
      <c r="E586" s="38"/>
      <c r="F586" s="40">
        <f>IFERROR(INDEX(Fall!$1:$1048576,MATCH(All!$A586,Fall!$A:$A,FALSE),MATCH(All!F$1,Fall!$1:$1,FALSE)),"N/A")</f>
        <v>2517</v>
      </c>
      <c r="G586" t="str">
        <f>IFERROR(IF(INDEX(Fall!$1:$1048576,MATCH(All!$A586,Fall!$A:$A,FALSE),MATCH(All!G$1,Fall!$1:$1,FALSE))="","",INDEX(Fall!$1:$1048576,MATCH(All!$A586,Fall!$A:$A,FALSE),MATCH(All!G$1,Fall!$1:$1,FALSE))),"")</f>
        <v>3A</v>
      </c>
      <c r="H586" t="str">
        <f>IFERROR(IF(INDEX(Fall!$1:$1048576,MATCH(All!$A586,Fall!$A:$A,FALSE),MATCH(All!H$1,Fall!$1:$1,FALSE))="","",INDEX(Fall!$1:$1048576,MATCH(All!$A586,Fall!$A:$A,FALSE),MATCH(All!H$1,Fall!$1:$1,FALSE))),"")</f>
        <v>3A</v>
      </c>
      <c r="I586" t="str">
        <f>IFERROR(IF(INDEX(Fall!$1:$1048576,MATCH(All!$A586,Fall!$A:$A,FALSE),MATCH(All!I$1,Fall!$1:$1,FALSE))="","",INDEX(Fall!$1:$1048576,MATCH(All!$A586,Fall!$A:$A,FALSE),MATCH(All!I$1,Fall!$1:$1,FALSE))),"")</f>
        <v>3A</v>
      </c>
      <c r="J586" t="str">
        <f>IFERROR(IF(INDEX(Fall!$1:$1048576,MATCH(All!$A586,Fall!$A:$A,FALSE),MATCH(All!J$1,Fall!$1:$1,FALSE))="","",INDEX(Fall!$1:$1048576,MATCH(All!$A586,Fall!$A:$A,FALSE),MATCH(All!J$1,Fall!$1:$1,FALSE))),"")</f>
        <v>2A</v>
      </c>
      <c r="K586" t="str">
        <f>IFERROR(IF(INDEX(Fall!$1:$1048576,MATCH(All!$A586,Fall!$A:$A,FALSE),MATCH(All!K$1,Fall!$1:$1,FALSE))="","",INDEX(Fall!$1:$1048576,MATCH(All!$A586,Fall!$A:$A,FALSE),MATCH(All!K$1,Fall!$1:$1,FALSE))),"")</f>
        <v>3A</v>
      </c>
      <c r="L586" t="str">
        <f>IFERROR(IF(INDEX(Fall!$1:$1048576,MATCH(All!$A586,Fall!$A:$A,FALSE),MATCH(All!L$1,Fall!$1:$1,FALSE))="","",INDEX(Fall!$1:$1048576,MATCH(All!$A586,Fall!$A:$A,FALSE),MATCH(All!L$1,Fall!$1:$1,FALSE))),"")</f>
        <v>2A</v>
      </c>
      <c r="M586" t="str">
        <f>IFERROR(IF(INDEX(Fall!$1:$1048576,MATCH(All!$A586,Fall!$A:$A,FALSE),MATCH(All!M$1,Fall!$1:$1,FALSE))="","",INDEX(Fall!$1:$1048576,MATCH(All!$A586,Fall!$A:$A,FALSE),MATCH(All!M$1,Fall!$1:$1,FALSE))),"")</f>
        <v>4A</v>
      </c>
      <c r="O586">
        <f>IFERROR(IF(INDEX(Winter!$1:$1048576,MATCH(All!$A586,Winter!$A:$A,FALSE),MATCH(All!O$1,Winter!$1:$1,FALSE))="","",INDEX(Winter!$1:$1048576,MATCH(All!$A586,Winter!$A:$A,FALSE),MATCH(All!O$1,Winter!$1:$1,FALSE))),"")</f>
        <v>2517</v>
      </c>
      <c r="P586" t="str">
        <f>IFERROR(IF(INDEX(Winter!$1:$1048576,MATCH(All!$A586,Winter!$A:$A,FALSE),MATCH(All!P$1,Winter!$1:$1,FALSE))="","",INDEX(Winter!$1:$1048576,MATCH(All!$A586,Winter!$A:$A,FALSE),MATCH(All!P$1,Winter!$1:$1,FALSE))),"")</f>
        <v>4A</v>
      </c>
      <c r="Q586" t="str">
        <f>IFERROR(IF(INDEX(Winter!$1:$1048576,MATCH(All!$A586,Winter!$A:$A,FALSE),MATCH(All!Q$1,Winter!$1:$1,FALSE))="","",INDEX(Winter!$1:$1048576,MATCH(All!$A586,Winter!$A:$A,FALSE),MATCH(All!Q$1,Winter!$1:$1,FALSE))),"")</f>
        <v>4A</v>
      </c>
      <c r="R586" t="str">
        <f>IFERROR(IF(INDEX(Winter!$1:$1048576,MATCH(All!$A586,Winter!$A:$A,FALSE),MATCH(All!R$1,Winter!$1:$1,FALSE))="","",INDEX(Winter!$1:$1048576,MATCH(All!$A586,Winter!$A:$A,FALSE),MATCH(All!R$1,Winter!$1:$1,FALSE))),"")</f>
        <v>C</v>
      </c>
      <c r="S586" t="str">
        <f>IFERROR(IF(INDEX(Winter!$1:$1048576,MATCH(All!$A586,Winter!$A:$A,FALSE),MATCH(All!S$1,Winter!$1:$1,FALSE))="","",INDEX(Winter!$1:$1048576,MATCH(All!$A586,Winter!$A:$A,FALSE),MATCH(All!S$1,Winter!$1:$1,FALSE))),"")</f>
        <v>3A</v>
      </c>
      <c r="T586" t="str">
        <f>IFERROR(IF(INDEX(Winter!$1:$1048576,MATCH(All!$A586,Winter!$A:$A,FALSE),MATCH(All!T$1,Winter!$1:$1,FALSE))="","",INDEX(Winter!$1:$1048576,MATCH(All!$A586,Winter!$A:$A,FALSE),MATCH(All!T$1,Winter!$1:$1,FALSE))),"")</f>
        <v>2A</v>
      </c>
      <c r="U586" t="str">
        <f>IFERROR(IF(INDEX(Winter!$1:$1048576,MATCH(All!$A586,Winter!$A:$A,FALSE),MATCH(All!U$1,Winter!$1:$1,FALSE))="","",INDEX(Winter!$1:$1048576,MATCH(All!$A586,Winter!$A:$A,FALSE),MATCH(All!U$1,Winter!$1:$1,FALSE))),"")</f>
        <v>3A</v>
      </c>
      <c r="W586">
        <f>IFERROR(IF(INDEX(Spring!$1:$1048576,MATCH(All!$A586,Spring!$A:$A,FALSE),MATCH(All!W$1,Spring!$1:$1,FALSE))="","",INDEX(Spring!$1:$1048576,MATCH(All!$A586,Spring!$A:$A,FALSE),MATCH(All!W$1,Spring!$1:$1,FALSE))),"")</f>
        <v>2517</v>
      </c>
      <c r="X586" t="str">
        <f>IFERROR(IF(INDEX(Spring!$1:$1048576,MATCH(All!$A586,Spring!$A:$A,FALSE),MATCH(All!X$1,Spring!$1:$1,FALSE))="","",INDEX(Spring!$1:$1048576,MATCH(All!$A586,Spring!$A:$A,FALSE),MATCH(All!X$1,Spring!$1:$1,FALSE))),"")</f>
        <v>4A</v>
      </c>
      <c r="Y586" t="str">
        <f>IFERROR(IF(INDEX(Spring!$1:$1048576,MATCH(All!$A586,Spring!$A:$A,FALSE),MATCH(All!Y$1,Spring!$1:$1,FALSE))="","",INDEX(Spring!$1:$1048576,MATCH(All!$A586,Spring!$A:$A,FALSE),MATCH(All!Y$1,Spring!$1:$1,FALSE))),"")</f>
        <v>4A</v>
      </c>
      <c r="Z586" t="str">
        <f>IFERROR(IF(INDEX(Spring!$1:$1048576,MATCH(All!$A586,Spring!$A:$A,FALSE),MATCH(All!Z$1,Spring!$1:$1,FALSE))="","",INDEX(Spring!$1:$1048576,MATCH(All!$A586,Spring!$A:$A,FALSE),MATCH(All!Z$1,Spring!$1:$1,FALSE))),"")</f>
        <v>3A</v>
      </c>
      <c r="AA586" t="str">
        <f>IFERROR(IF(INDEX(Spring!$1:$1048576,MATCH(All!$A586,Spring!$A:$A,FALSE),MATCH(All!AA$1,Spring!$1:$1,FALSE))="","",INDEX(Spring!$1:$1048576,MATCH(All!$A586,Spring!$A:$A,FALSE),MATCH(All!AA$1,Spring!$1:$1,FALSE))),"")</f>
        <v>2A</v>
      </c>
      <c r="AB586" t="str">
        <f>IFERROR(IF(INDEX(Spring!$1:$1048576,MATCH(All!$A586,Spring!$A:$A,FALSE),MATCH(All!AB$1,Spring!$1:$1,FALSE))="","",INDEX(Spring!$1:$1048576,MATCH(All!$A586,Spring!$A:$A,FALSE),MATCH(All!AB$1,Spring!$1:$1,FALSE))),"")</f>
        <v>3A</v>
      </c>
      <c r="AC586" t="str">
        <f>IFERROR(IF(INDEX(Spring!$1:$1048576,MATCH(All!$A586,Spring!$A:$A,FALSE),MATCH(All!AC$1,Spring!$1:$1,FALSE))="","",INDEX(Spring!$1:$1048576,MATCH(All!$A586,Spring!$A:$A,FALSE),MATCH(All!AC$1,Spring!$1:$1,FALSE))),"")</f>
        <v>3A</v>
      </c>
      <c r="AD586" t="str">
        <f>IFERROR(VLOOKUP(A586,'Flag Football'!A:A,1,FALSE),"")</f>
        <v>Palos Hills (Stagg)</v>
      </c>
      <c r="AE586" t="str">
        <f t="shared" si="9"/>
        <v>1A</v>
      </c>
    </row>
    <row r="587" spans="1:31" ht="15.75" thickBot="1" x14ac:dyDescent="0.3">
      <c r="A587" s="20" t="s">
        <v>685</v>
      </c>
      <c r="B587" s="38">
        <f>IFERROR(VLOOKUP(A587,'Public v Private'!A:G,3,FALSE),"")</f>
        <v>0</v>
      </c>
      <c r="C587" s="38">
        <f>IFERROR(VLOOKUP(A587,'Public v Private'!A:G,4,FALSE),"")</f>
        <v>0</v>
      </c>
      <c r="D587" s="38">
        <f>IFERROR(VLOOKUP(A587,'Public v Private'!A:G,5,FALSE),"")</f>
        <v>0</v>
      </c>
      <c r="E587" s="38"/>
      <c r="F587" s="40">
        <f>IFERROR(INDEX(Fall!$1:$1048576,MATCH(All!$A587,Fall!$A:$A,FALSE),MATCH(All!F$1,Fall!$1:$1,FALSE)),"N/A")</f>
        <v>385</v>
      </c>
      <c r="G587" t="str">
        <f>IFERROR(IF(INDEX(Fall!$1:$1048576,MATCH(All!$A587,Fall!$A:$A,FALSE),MATCH(All!G$1,Fall!$1:$1,FALSE))="","",INDEX(Fall!$1:$1048576,MATCH(All!$A587,Fall!$A:$A,FALSE),MATCH(All!G$1,Fall!$1:$1,FALSE))),"")</f>
        <v/>
      </c>
      <c r="H587" t="str">
        <f>IFERROR(IF(INDEX(Fall!$1:$1048576,MATCH(All!$A587,Fall!$A:$A,FALSE),MATCH(All!H$1,Fall!$1:$1,FALSE))="","",INDEX(Fall!$1:$1048576,MATCH(All!$A587,Fall!$A:$A,FALSE),MATCH(All!H$1,Fall!$1:$1,FALSE))),"")</f>
        <v/>
      </c>
      <c r="I587" t="str">
        <f>IFERROR(IF(INDEX(Fall!$1:$1048576,MATCH(All!$A587,Fall!$A:$A,FALSE),MATCH(All!I$1,Fall!$1:$1,FALSE))="","",INDEX(Fall!$1:$1048576,MATCH(All!$A587,Fall!$A:$A,FALSE),MATCH(All!I$1,Fall!$1:$1,FALSE))),"")</f>
        <v>1A</v>
      </c>
      <c r="J587" t="str">
        <f>IFERROR(IF(INDEX(Fall!$1:$1048576,MATCH(All!$A587,Fall!$A:$A,FALSE),MATCH(All!J$1,Fall!$1:$1,FALSE))="","",INDEX(Fall!$1:$1048576,MATCH(All!$A587,Fall!$A:$A,FALSE),MATCH(All!J$1,Fall!$1:$1,FALSE))),"")</f>
        <v>1A</v>
      </c>
      <c r="K587" t="str">
        <f>IFERROR(IF(INDEX(Fall!$1:$1048576,MATCH(All!$A587,Fall!$A:$A,FALSE),MATCH(All!K$1,Fall!$1:$1,FALSE))="","",INDEX(Fall!$1:$1048576,MATCH(All!$A587,Fall!$A:$A,FALSE),MATCH(All!K$1,Fall!$1:$1,FALSE))),"")</f>
        <v>1A</v>
      </c>
      <c r="L587" t="str">
        <f>IFERROR(IF(INDEX(Fall!$1:$1048576,MATCH(All!$A587,Fall!$A:$A,FALSE),MATCH(All!L$1,Fall!$1:$1,FALSE))="","",INDEX(Fall!$1:$1048576,MATCH(All!$A587,Fall!$A:$A,FALSE),MATCH(All!L$1,Fall!$1:$1,FALSE))),"")</f>
        <v/>
      </c>
      <c r="M587" t="str">
        <f>IFERROR(IF(INDEX(Fall!$1:$1048576,MATCH(All!$A587,Fall!$A:$A,FALSE),MATCH(All!M$1,Fall!$1:$1,FALSE))="","",INDEX(Fall!$1:$1048576,MATCH(All!$A587,Fall!$A:$A,FALSE),MATCH(All!M$1,Fall!$1:$1,FALSE))),"")</f>
        <v>2A</v>
      </c>
      <c r="O587">
        <f>IFERROR(IF(INDEX(Winter!$1:$1048576,MATCH(All!$A587,Winter!$A:$A,FALSE),MATCH(All!O$1,Winter!$1:$1,FALSE))="","",INDEX(Winter!$1:$1048576,MATCH(All!$A587,Winter!$A:$A,FALSE),MATCH(All!O$1,Winter!$1:$1,FALSE))),"")</f>
        <v>385</v>
      </c>
      <c r="P587" t="str">
        <f>IFERROR(IF(INDEX(Winter!$1:$1048576,MATCH(All!$A587,Winter!$A:$A,FALSE),MATCH(All!P$1,Winter!$1:$1,FALSE))="","",INDEX(Winter!$1:$1048576,MATCH(All!$A587,Winter!$A:$A,FALSE),MATCH(All!P$1,Winter!$1:$1,FALSE))),"")</f>
        <v>2A</v>
      </c>
      <c r="Q587" t="str">
        <f>IFERROR(IF(INDEX(Winter!$1:$1048576,MATCH(All!$A587,Winter!$A:$A,FALSE),MATCH(All!Q$1,Winter!$1:$1,FALSE))="","",INDEX(Winter!$1:$1048576,MATCH(All!$A587,Winter!$A:$A,FALSE),MATCH(All!Q$1,Winter!$1:$1,FALSE))),"")</f>
        <v>2A</v>
      </c>
      <c r="R587" t="str">
        <f>IFERROR(IF(INDEX(Winter!$1:$1048576,MATCH(All!$A587,Winter!$A:$A,FALSE),MATCH(All!R$1,Winter!$1:$1,FALSE))="","",INDEX(Winter!$1:$1048576,MATCH(All!$A587,Winter!$A:$A,FALSE),MATCH(All!R$1,Winter!$1:$1,FALSE))),"")</f>
        <v>1A</v>
      </c>
      <c r="S587" t="str">
        <f>IFERROR(IF(INDEX(Winter!$1:$1048576,MATCH(All!$A587,Winter!$A:$A,FALSE),MATCH(All!S$1,Winter!$1:$1,FALSE))="","",INDEX(Winter!$1:$1048576,MATCH(All!$A587,Winter!$A:$A,FALSE),MATCH(All!S$1,Winter!$1:$1,FALSE))),"")</f>
        <v/>
      </c>
      <c r="T587" t="str">
        <f>IFERROR(IF(INDEX(Winter!$1:$1048576,MATCH(All!$A587,Winter!$A:$A,FALSE),MATCH(All!T$1,Winter!$1:$1,FALSE))="","",INDEX(Winter!$1:$1048576,MATCH(All!$A587,Winter!$A:$A,FALSE),MATCH(All!T$1,Winter!$1:$1,FALSE))),"")</f>
        <v>1A</v>
      </c>
      <c r="U587" t="str">
        <f>IFERROR(IF(INDEX(Winter!$1:$1048576,MATCH(All!$A587,Winter!$A:$A,FALSE),MATCH(All!U$1,Winter!$1:$1,FALSE))="","",INDEX(Winter!$1:$1048576,MATCH(All!$A587,Winter!$A:$A,FALSE),MATCH(All!U$1,Winter!$1:$1,FALSE))),"")</f>
        <v/>
      </c>
      <c r="W587">
        <f>IFERROR(IF(INDEX(Spring!$1:$1048576,MATCH(All!$A587,Spring!$A:$A,FALSE),MATCH(All!W$1,Spring!$1:$1,FALSE))="","",INDEX(Spring!$1:$1048576,MATCH(All!$A587,Spring!$A:$A,FALSE),MATCH(All!W$1,Spring!$1:$1,FALSE))),"")</f>
        <v>385</v>
      </c>
      <c r="X587" t="str">
        <f>IFERROR(IF(INDEX(Spring!$1:$1048576,MATCH(All!$A587,Spring!$A:$A,FALSE),MATCH(All!X$1,Spring!$1:$1,FALSE))="","",INDEX(Spring!$1:$1048576,MATCH(All!$A587,Spring!$A:$A,FALSE),MATCH(All!X$1,Spring!$1:$1,FALSE))),"")</f>
        <v>2A</v>
      </c>
      <c r="Y587" t="str">
        <f>IFERROR(IF(INDEX(Spring!$1:$1048576,MATCH(All!$A587,Spring!$A:$A,FALSE),MATCH(All!Y$1,Spring!$1:$1,FALSE))="","",INDEX(Spring!$1:$1048576,MATCH(All!$A587,Spring!$A:$A,FALSE),MATCH(All!Y$1,Spring!$1:$1,FALSE))),"")</f>
        <v>2A</v>
      </c>
      <c r="Z587" t="str">
        <f>IFERROR(IF(INDEX(Spring!$1:$1048576,MATCH(All!$A587,Spring!$A:$A,FALSE),MATCH(All!Z$1,Spring!$1:$1,FALSE))="","",INDEX(Spring!$1:$1048576,MATCH(All!$A587,Spring!$A:$A,FALSE),MATCH(All!Z$1,Spring!$1:$1,FALSE))),"")</f>
        <v>1A</v>
      </c>
      <c r="AA587" t="str">
        <f>IFERROR(IF(INDEX(Spring!$1:$1048576,MATCH(All!$A587,Spring!$A:$A,FALSE),MATCH(All!AA$1,Spring!$1:$1,FALSE))="","",INDEX(Spring!$1:$1048576,MATCH(All!$A587,Spring!$A:$A,FALSE),MATCH(All!AA$1,Spring!$1:$1,FALSE))),"")</f>
        <v/>
      </c>
      <c r="AB587" t="str">
        <f>IFERROR(IF(INDEX(Spring!$1:$1048576,MATCH(All!$A587,Spring!$A:$A,FALSE),MATCH(All!AB$1,Spring!$1:$1,FALSE))="","",INDEX(Spring!$1:$1048576,MATCH(All!$A587,Spring!$A:$A,FALSE),MATCH(All!AB$1,Spring!$1:$1,FALSE))),"")</f>
        <v>1A</v>
      </c>
      <c r="AC587" t="str">
        <f>IFERROR(IF(INDEX(Spring!$1:$1048576,MATCH(All!$A587,Spring!$A:$A,FALSE),MATCH(All!AC$1,Spring!$1:$1,FALSE))="","",INDEX(Spring!$1:$1048576,MATCH(All!$A587,Spring!$A:$A,FALSE),MATCH(All!AC$1,Spring!$1:$1,FALSE))),"")</f>
        <v>1A</v>
      </c>
      <c r="AD587" t="str">
        <f>IFERROR(VLOOKUP(A587,'Flag Football'!A:A,1,FALSE),"")</f>
        <v/>
      </c>
      <c r="AE587" t="str">
        <f t="shared" si="9"/>
        <v/>
      </c>
    </row>
    <row r="588" spans="1:31" ht="15.75" thickBot="1" x14ac:dyDescent="0.3">
      <c r="A588" s="18" t="s">
        <v>686</v>
      </c>
      <c r="B588" s="38">
        <f>IFERROR(VLOOKUP(A588,'Public v Private'!A:G,3,FALSE),"")</f>
        <v>0</v>
      </c>
      <c r="C588" s="38">
        <f>IFERROR(VLOOKUP(A588,'Public v Private'!A:G,4,FALSE),"")</f>
        <v>0</v>
      </c>
      <c r="D588" s="38">
        <f>IFERROR(VLOOKUP(A588,'Public v Private'!A:G,5,FALSE),"")</f>
        <v>0</v>
      </c>
      <c r="E588" s="38"/>
      <c r="F588" s="40">
        <f>IFERROR(INDEX(Fall!$1:$1048576,MATCH(All!$A588,Fall!$A:$A,FALSE),MATCH(All!F$1,Fall!$1:$1,FALSE)),"N/A")</f>
        <v>528</v>
      </c>
      <c r="G588" t="str">
        <f>IFERROR(IF(INDEX(Fall!$1:$1048576,MATCH(All!$A588,Fall!$A:$A,FALSE),MATCH(All!G$1,Fall!$1:$1,FALSE))="","",INDEX(Fall!$1:$1048576,MATCH(All!$A588,Fall!$A:$A,FALSE),MATCH(All!G$1,Fall!$1:$1,FALSE))),"")</f>
        <v>1A</v>
      </c>
      <c r="H588" t="str">
        <f>IFERROR(IF(INDEX(Fall!$1:$1048576,MATCH(All!$A588,Fall!$A:$A,FALSE),MATCH(All!H$1,Fall!$1:$1,FALSE))="","",INDEX(Fall!$1:$1048576,MATCH(All!$A588,Fall!$A:$A,FALSE),MATCH(All!H$1,Fall!$1:$1,FALSE))),"")</f>
        <v>1A</v>
      </c>
      <c r="I588" t="str">
        <f>IFERROR(IF(INDEX(Fall!$1:$1048576,MATCH(All!$A588,Fall!$A:$A,FALSE),MATCH(All!I$1,Fall!$1:$1,FALSE))="","",INDEX(Fall!$1:$1048576,MATCH(All!$A588,Fall!$A:$A,FALSE),MATCH(All!I$1,Fall!$1:$1,FALSE))),"")</f>
        <v>2A</v>
      </c>
      <c r="J588" t="str">
        <f>IFERROR(IF(INDEX(Fall!$1:$1048576,MATCH(All!$A588,Fall!$A:$A,FALSE),MATCH(All!J$1,Fall!$1:$1,FALSE))="","",INDEX(Fall!$1:$1048576,MATCH(All!$A588,Fall!$A:$A,FALSE),MATCH(All!J$1,Fall!$1:$1,FALSE))),"")</f>
        <v/>
      </c>
      <c r="K588" t="str">
        <f>IFERROR(IF(INDEX(Fall!$1:$1048576,MATCH(All!$A588,Fall!$A:$A,FALSE),MATCH(All!K$1,Fall!$1:$1,FALSE))="","",INDEX(Fall!$1:$1048576,MATCH(All!$A588,Fall!$A:$A,FALSE),MATCH(All!K$1,Fall!$1:$1,FALSE))),"")</f>
        <v/>
      </c>
      <c r="L588" t="str">
        <f>IFERROR(IF(INDEX(Fall!$1:$1048576,MATCH(All!$A588,Fall!$A:$A,FALSE),MATCH(All!L$1,Fall!$1:$1,FALSE))="","",INDEX(Fall!$1:$1048576,MATCH(All!$A588,Fall!$A:$A,FALSE),MATCH(All!L$1,Fall!$1:$1,FALSE))),"")</f>
        <v>1A</v>
      </c>
      <c r="M588" t="str">
        <f>IFERROR(IF(INDEX(Fall!$1:$1048576,MATCH(All!$A588,Fall!$A:$A,FALSE),MATCH(All!M$1,Fall!$1:$1,FALSE))="","",INDEX(Fall!$1:$1048576,MATCH(All!$A588,Fall!$A:$A,FALSE),MATCH(All!M$1,Fall!$1:$1,FALSE))),"")</f>
        <v>2A</v>
      </c>
      <c r="O588">
        <f>IFERROR(IF(INDEX(Winter!$1:$1048576,MATCH(All!$A588,Winter!$A:$A,FALSE),MATCH(All!O$1,Winter!$1:$1,FALSE))="","",INDEX(Winter!$1:$1048576,MATCH(All!$A588,Winter!$A:$A,FALSE),MATCH(All!O$1,Winter!$1:$1,FALSE))),"")</f>
        <v>528</v>
      </c>
      <c r="P588" t="str">
        <f>IFERROR(IF(INDEX(Winter!$1:$1048576,MATCH(All!$A588,Winter!$A:$A,FALSE),MATCH(All!P$1,Winter!$1:$1,FALSE))="","",INDEX(Winter!$1:$1048576,MATCH(All!$A588,Winter!$A:$A,FALSE),MATCH(All!P$1,Winter!$1:$1,FALSE))),"")</f>
        <v>2A</v>
      </c>
      <c r="Q588" t="str">
        <f>IFERROR(IF(INDEX(Winter!$1:$1048576,MATCH(All!$A588,Winter!$A:$A,FALSE),MATCH(All!Q$1,Winter!$1:$1,FALSE))="","",INDEX(Winter!$1:$1048576,MATCH(All!$A588,Winter!$A:$A,FALSE),MATCH(All!Q$1,Winter!$1:$1,FALSE))),"")</f>
        <v>2A</v>
      </c>
      <c r="R588" t="str">
        <f>IFERROR(IF(INDEX(Winter!$1:$1048576,MATCH(All!$A588,Winter!$A:$A,FALSE),MATCH(All!R$1,Winter!$1:$1,FALSE))="","",INDEX(Winter!$1:$1048576,MATCH(All!$A588,Winter!$A:$A,FALSE),MATCH(All!R$1,Winter!$1:$1,FALSE))),"")</f>
        <v>1A</v>
      </c>
      <c r="S588" t="str">
        <f>IFERROR(IF(INDEX(Winter!$1:$1048576,MATCH(All!$A588,Winter!$A:$A,FALSE),MATCH(All!S$1,Winter!$1:$1,FALSE))="","",INDEX(Winter!$1:$1048576,MATCH(All!$A588,Winter!$A:$A,FALSE),MATCH(All!S$1,Winter!$1:$1,FALSE))),"")</f>
        <v/>
      </c>
      <c r="T588" t="str">
        <f>IFERROR(IF(INDEX(Winter!$1:$1048576,MATCH(All!$A588,Winter!$A:$A,FALSE),MATCH(All!T$1,Winter!$1:$1,FALSE))="","",INDEX(Winter!$1:$1048576,MATCH(All!$A588,Winter!$A:$A,FALSE),MATCH(All!T$1,Winter!$1:$1,FALSE))),"")</f>
        <v>2A</v>
      </c>
      <c r="U588" t="str">
        <f>IFERROR(IF(INDEX(Winter!$1:$1048576,MATCH(All!$A588,Winter!$A:$A,FALSE),MATCH(All!U$1,Winter!$1:$1,FALSE))="","",INDEX(Winter!$1:$1048576,MATCH(All!$A588,Winter!$A:$A,FALSE),MATCH(All!U$1,Winter!$1:$1,FALSE))),"")</f>
        <v>1A</v>
      </c>
      <c r="W588">
        <f>IFERROR(IF(INDEX(Spring!$1:$1048576,MATCH(All!$A588,Spring!$A:$A,FALSE),MATCH(All!W$1,Spring!$1:$1,FALSE))="","",INDEX(Spring!$1:$1048576,MATCH(All!$A588,Spring!$A:$A,FALSE),MATCH(All!W$1,Spring!$1:$1,FALSE))),"")</f>
        <v>528</v>
      </c>
      <c r="X588" t="str">
        <f>IFERROR(IF(INDEX(Spring!$1:$1048576,MATCH(All!$A588,Spring!$A:$A,FALSE),MATCH(All!X$1,Spring!$1:$1,FALSE))="","",INDEX(Spring!$1:$1048576,MATCH(All!$A588,Spring!$A:$A,FALSE),MATCH(All!X$1,Spring!$1:$1,FALSE))),"")</f>
        <v>2A</v>
      </c>
      <c r="Y588" t="str">
        <f>IFERROR(IF(INDEX(Spring!$1:$1048576,MATCH(All!$A588,Spring!$A:$A,FALSE),MATCH(All!Y$1,Spring!$1:$1,FALSE))="","",INDEX(Spring!$1:$1048576,MATCH(All!$A588,Spring!$A:$A,FALSE),MATCH(All!Y$1,Spring!$1:$1,FALSE))),"")</f>
        <v>2A</v>
      </c>
      <c r="Z588" t="str">
        <f>IFERROR(IF(INDEX(Spring!$1:$1048576,MATCH(All!$A588,Spring!$A:$A,FALSE),MATCH(All!Z$1,Spring!$1:$1,FALSE))="","",INDEX(Spring!$1:$1048576,MATCH(All!$A588,Spring!$A:$A,FALSE),MATCH(All!Z$1,Spring!$1:$1,FALSE))),"")</f>
        <v/>
      </c>
      <c r="AA588" t="str">
        <f>IFERROR(IF(INDEX(Spring!$1:$1048576,MATCH(All!$A588,Spring!$A:$A,FALSE),MATCH(All!AA$1,Spring!$1:$1,FALSE))="","",INDEX(Spring!$1:$1048576,MATCH(All!$A588,Spring!$A:$A,FALSE),MATCH(All!AA$1,Spring!$1:$1,FALSE))),"")</f>
        <v>1A</v>
      </c>
      <c r="AB588" t="str">
        <f>IFERROR(IF(INDEX(Spring!$1:$1048576,MATCH(All!$A588,Spring!$A:$A,FALSE),MATCH(All!AB$1,Spring!$1:$1,FALSE))="","",INDEX(Spring!$1:$1048576,MATCH(All!$A588,Spring!$A:$A,FALSE),MATCH(All!AB$1,Spring!$1:$1,FALSE))),"")</f>
        <v>2A</v>
      </c>
      <c r="AC588" t="str">
        <f>IFERROR(IF(INDEX(Spring!$1:$1048576,MATCH(All!$A588,Spring!$A:$A,FALSE),MATCH(All!AC$1,Spring!$1:$1,FALSE))="","",INDEX(Spring!$1:$1048576,MATCH(All!$A588,Spring!$A:$A,FALSE),MATCH(All!AC$1,Spring!$1:$1,FALSE))),"")</f>
        <v>2A</v>
      </c>
      <c r="AD588" t="str">
        <f>IFERROR(VLOOKUP(A588,'Flag Football'!A:A,1,FALSE),"")</f>
        <v/>
      </c>
      <c r="AE588" t="str">
        <f t="shared" si="9"/>
        <v/>
      </c>
    </row>
    <row r="589" spans="1:31" ht="15.75" thickBot="1" x14ac:dyDescent="0.3">
      <c r="A589" s="20" t="s">
        <v>687</v>
      </c>
      <c r="B589" s="38">
        <f>IFERROR(VLOOKUP(A589,'Public v Private'!A:G,3,FALSE),"")</f>
        <v>0</v>
      </c>
      <c r="C589" s="38">
        <f>IFERROR(VLOOKUP(A589,'Public v Private'!A:G,4,FALSE),"")</f>
        <v>0</v>
      </c>
      <c r="D589" s="38">
        <f>IFERROR(VLOOKUP(A589,'Public v Private'!A:G,5,FALSE),"")</f>
        <v>0</v>
      </c>
      <c r="E589" s="38"/>
      <c r="F589" s="40">
        <f>IFERROR(INDEX(Fall!$1:$1048576,MATCH(All!$A589,Fall!$A:$A,FALSE),MATCH(All!F$1,Fall!$1:$1,FALSE)),"N/A")</f>
        <v>1952</v>
      </c>
      <c r="G589" t="str">
        <f>IFERROR(IF(INDEX(Fall!$1:$1048576,MATCH(All!$A589,Fall!$A:$A,FALSE),MATCH(All!G$1,Fall!$1:$1,FALSE))="","",INDEX(Fall!$1:$1048576,MATCH(All!$A589,Fall!$A:$A,FALSE),MATCH(All!G$1,Fall!$1:$1,FALSE))),"")</f>
        <v>3A</v>
      </c>
      <c r="H589" t="str">
        <f>IFERROR(IF(INDEX(Fall!$1:$1048576,MATCH(All!$A589,Fall!$A:$A,FALSE),MATCH(All!H$1,Fall!$1:$1,FALSE))="","",INDEX(Fall!$1:$1048576,MATCH(All!$A589,Fall!$A:$A,FALSE),MATCH(All!H$1,Fall!$1:$1,FALSE))),"")</f>
        <v>3A</v>
      </c>
      <c r="I589" t="str">
        <f>IFERROR(IF(INDEX(Fall!$1:$1048576,MATCH(All!$A589,Fall!$A:$A,FALSE),MATCH(All!I$1,Fall!$1:$1,FALSE))="","",INDEX(Fall!$1:$1048576,MATCH(All!$A589,Fall!$A:$A,FALSE),MATCH(All!I$1,Fall!$1:$1,FALSE))),"")</f>
        <v>3A</v>
      </c>
      <c r="J589" t="str">
        <f>IFERROR(IF(INDEX(Fall!$1:$1048576,MATCH(All!$A589,Fall!$A:$A,FALSE),MATCH(All!J$1,Fall!$1:$1,FALSE))="","",INDEX(Fall!$1:$1048576,MATCH(All!$A589,Fall!$A:$A,FALSE),MATCH(All!J$1,Fall!$1:$1,FALSE))),"")</f>
        <v/>
      </c>
      <c r="K589" t="str">
        <f>IFERROR(IF(INDEX(Fall!$1:$1048576,MATCH(All!$A589,Fall!$A:$A,FALSE),MATCH(All!K$1,Fall!$1:$1,FALSE))="","",INDEX(Fall!$1:$1048576,MATCH(All!$A589,Fall!$A:$A,FALSE),MATCH(All!K$1,Fall!$1:$1,FALSE))),"")</f>
        <v>3A</v>
      </c>
      <c r="L589" t="str">
        <f>IFERROR(IF(INDEX(Fall!$1:$1048576,MATCH(All!$A589,Fall!$A:$A,FALSE),MATCH(All!L$1,Fall!$1:$1,FALSE))="","",INDEX(Fall!$1:$1048576,MATCH(All!$A589,Fall!$A:$A,FALSE),MATCH(All!L$1,Fall!$1:$1,FALSE))),"")</f>
        <v>2A</v>
      </c>
      <c r="M589" t="str">
        <f>IFERROR(IF(INDEX(Fall!$1:$1048576,MATCH(All!$A589,Fall!$A:$A,FALSE),MATCH(All!M$1,Fall!$1:$1,FALSE))="","",INDEX(Fall!$1:$1048576,MATCH(All!$A589,Fall!$A:$A,FALSE),MATCH(All!M$1,Fall!$1:$1,FALSE))),"")</f>
        <v>4A</v>
      </c>
      <c r="O589">
        <f>IFERROR(IF(INDEX(Winter!$1:$1048576,MATCH(All!$A589,Winter!$A:$A,FALSE),MATCH(All!O$1,Winter!$1:$1,FALSE))="","",INDEX(Winter!$1:$1048576,MATCH(All!$A589,Winter!$A:$A,FALSE),MATCH(All!O$1,Winter!$1:$1,FALSE))),"")</f>
        <v>1952</v>
      </c>
      <c r="P589" t="str">
        <f>IFERROR(IF(INDEX(Winter!$1:$1048576,MATCH(All!$A589,Winter!$A:$A,FALSE),MATCH(All!P$1,Winter!$1:$1,FALSE))="","",INDEX(Winter!$1:$1048576,MATCH(All!$A589,Winter!$A:$A,FALSE),MATCH(All!P$1,Winter!$1:$1,FALSE))),"")</f>
        <v>4A</v>
      </c>
      <c r="Q589" t="str">
        <f>IFERROR(IF(INDEX(Winter!$1:$1048576,MATCH(All!$A589,Winter!$A:$A,FALSE),MATCH(All!Q$1,Winter!$1:$1,FALSE))="","",INDEX(Winter!$1:$1048576,MATCH(All!$A589,Winter!$A:$A,FALSE),MATCH(All!Q$1,Winter!$1:$1,FALSE))),"")</f>
        <v>4A</v>
      </c>
      <c r="R589" t="str">
        <f>IFERROR(IF(INDEX(Winter!$1:$1048576,MATCH(All!$A589,Winter!$A:$A,FALSE),MATCH(All!R$1,Winter!$1:$1,FALSE))="","",INDEX(Winter!$1:$1048576,MATCH(All!$A589,Winter!$A:$A,FALSE),MATCH(All!R$1,Winter!$1:$1,FALSE))),"")</f>
        <v>3A</v>
      </c>
      <c r="S589" t="str">
        <f>IFERROR(IF(INDEX(Winter!$1:$1048576,MATCH(All!$A589,Winter!$A:$A,FALSE),MATCH(All!S$1,Winter!$1:$1,FALSE))="","",INDEX(Winter!$1:$1048576,MATCH(All!$A589,Winter!$A:$A,FALSE),MATCH(All!S$1,Winter!$1:$1,FALSE))),"")</f>
        <v>3A</v>
      </c>
      <c r="T589" t="str">
        <f>IFERROR(IF(INDEX(Winter!$1:$1048576,MATCH(All!$A589,Winter!$A:$A,FALSE),MATCH(All!T$1,Winter!$1:$1,FALSE))="","",INDEX(Winter!$1:$1048576,MATCH(All!$A589,Winter!$A:$A,FALSE),MATCH(All!T$1,Winter!$1:$1,FALSE))),"")</f>
        <v>2A</v>
      </c>
      <c r="U589" t="str">
        <f>IFERROR(IF(INDEX(Winter!$1:$1048576,MATCH(All!$A589,Winter!$A:$A,FALSE),MATCH(All!U$1,Winter!$1:$1,FALSE))="","",INDEX(Winter!$1:$1048576,MATCH(All!$A589,Winter!$A:$A,FALSE),MATCH(All!U$1,Winter!$1:$1,FALSE))),"")</f>
        <v>3A</v>
      </c>
      <c r="W589">
        <f>IFERROR(IF(INDEX(Spring!$1:$1048576,MATCH(All!$A589,Spring!$A:$A,FALSE),MATCH(All!W$1,Spring!$1:$1,FALSE))="","",INDEX(Spring!$1:$1048576,MATCH(All!$A589,Spring!$A:$A,FALSE),MATCH(All!W$1,Spring!$1:$1,FALSE))),"")</f>
        <v>1952</v>
      </c>
      <c r="X589" t="str">
        <f>IFERROR(IF(INDEX(Spring!$1:$1048576,MATCH(All!$A589,Spring!$A:$A,FALSE),MATCH(All!X$1,Spring!$1:$1,FALSE))="","",INDEX(Spring!$1:$1048576,MATCH(All!$A589,Spring!$A:$A,FALSE),MATCH(All!X$1,Spring!$1:$1,FALSE))),"")</f>
        <v>4A</v>
      </c>
      <c r="Y589" t="str">
        <f>IFERROR(IF(INDEX(Spring!$1:$1048576,MATCH(All!$A589,Spring!$A:$A,FALSE),MATCH(All!Y$1,Spring!$1:$1,FALSE))="","",INDEX(Spring!$1:$1048576,MATCH(All!$A589,Spring!$A:$A,FALSE),MATCH(All!Y$1,Spring!$1:$1,FALSE))),"")</f>
        <v>4A</v>
      </c>
      <c r="Z589" t="str">
        <f>IFERROR(IF(INDEX(Spring!$1:$1048576,MATCH(All!$A589,Spring!$A:$A,FALSE),MATCH(All!Z$1,Spring!$1:$1,FALSE))="","",INDEX(Spring!$1:$1048576,MATCH(All!$A589,Spring!$A:$A,FALSE),MATCH(All!Z$1,Spring!$1:$1,FALSE))),"")</f>
        <v>3A</v>
      </c>
      <c r="AA589" t="str">
        <f>IFERROR(IF(INDEX(Spring!$1:$1048576,MATCH(All!$A589,Spring!$A:$A,FALSE),MATCH(All!AA$1,Spring!$1:$1,FALSE))="","",INDEX(Spring!$1:$1048576,MATCH(All!$A589,Spring!$A:$A,FALSE),MATCH(All!AA$1,Spring!$1:$1,FALSE))),"")</f>
        <v>2A</v>
      </c>
      <c r="AB589" t="str">
        <f>IFERROR(IF(INDEX(Spring!$1:$1048576,MATCH(All!$A589,Spring!$A:$A,FALSE),MATCH(All!AB$1,Spring!$1:$1,FALSE))="","",INDEX(Spring!$1:$1048576,MATCH(All!$A589,Spring!$A:$A,FALSE),MATCH(All!AB$1,Spring!$1:$1,FALSE))),"")</f>
        <v>3A</v>
      </c>
      <c r="AC589" t="str">
        <f>IFERROR(IF(INDEX(Spring!$1:$1048576,MATCH(All!$A589,Spring!$A:$A,FALSE),MATCH(All!AC$1,Spring!$1:$1,FALSE))="","",INDEX(Spring!$1:$1048576,MATCH(All!$A589,Spring!$A:$A,FALSE),MATCH(All!AC$1,Spring!$1:$1,FALSE))),"")</f>
        <v>3A</v>
      </c>
      <c r="AD589" t="str">
        <f>IFERROR(VLOOKUP(A589,'Flag Football'!A:A,1,FALSE),"")</f>
        <v>Park Ridge (Maine East)</v>
      </c>
      <c r="AE589" t="str">
        <f t="shared" si="9"/>
        <v>1A</v>
      </c>
    </row>
    <row r="590" spans="1:31" ht="15.75" thickBot="1" x14ac:dyDescent="0.3">
      <c r="A590" s="18" t="s">
        <v>688</v>
      </c>
      <c r="B590" s="38">
        <f>IFERROR(VLOOKUP(A590,'Public v Private'!A:G,3,FALSE),"")</f>
        <v>0</v>
      </c>
      <c r="C590" s="38">
        <f>IFERROR(VLOOKUP(A590,'Public v Private'!A:G,4,FALSE),"")</f>
        <v>0</v>
      </c>
      <c r="D590" s="38">
        <f>IFERROR(VLOOKUP(A590,'Public v Private'!A:G,5,FALSE),"")</f>
        <v>0</v>
      </c>
      <c r="E590" s="38"/>
      <c r="F590" s="40">
        <f>IFERROR(INDEX(Fall!$1:$1048576,MATCH(All!$A590,Fall!$A:$A,FALSE),MATCH(All!F$1,Fall!$1:$1,FALSE)),"N/A")</f>
        <v>2476</v>
      </c>
      <c r="G590" t="str">
        <f>IFERROR(IF(INDEX(Fall!$1:$1048576,MATCH(All!$A590,Fall!$A:$A,FALSE),MATCH(All!G$1,Fall!$1:$1,FALSE))="","",INDEX(Fall!$1:$1048576,MATCH(All!$A590,Fall!$A:$A,FALSE),MATCH(All!G$1,Fall!$1:$1,FALSE))),"")</f>
        <v>3A</v>
      </c>
      <c r="H590" t="str">
        <f>IFERROR(IF(INDEX(Fall!$1:$1048576,MATCH(All!$A590,Fall!$A:$A,FALSE),MATCH(All!H$1,Fall!$1:$1,FALSE))="","",INDEX(Fall!$1:$1048576,MATCH(All!$A590,Fall!$A:$A,FALSE),MATCH(All!H$1,Fall!$1:$1,FALSE))),"")</f>
        <v>3A</v>
      </c>
      <c r="I590" t="str">
        <f>IFERROR(IF(INDEX(Fall!$1:$1048576,MATCH(All!$A590,Fall!$A:$A,FALSE),MATCH(All!I$1,Fall!$1:$1,FALSE))="","",INDEX(Fall!$1:$1048576,MATCH(All!$A590,Fall!$A:$A,FALSE),MATCH(All!I$1,Fall!$1:$1,FALSE))),"")</f>
        <v>3A</v>
      </c>
      <c r="J590" t="str">
        <f>IFERROR(IF(INDEX(Fall!$1:$1048576,MATCH(All!$A590,Fall!$A:$A,FALSE),MATCH(All!J$1,Fall!$1:$1,FALSE))="","",INDEX(Fall!$1:$1048576,MATCH(All!$A590,Fall!$A:$A,FALSE),MATCH(All!J$1,Fall!$1:$1,FALSE))),"")</f>
        <v>2A</v>
      </c>
      <c r="K590" t="str">
        <f>IFERROR(IF(INDEX(Fall!$1:$1048576,MATCH(All!$A590,Fall!$A:$A,FALSE),MATCH(All!K$1,Fall!$1:$1,FALSE))="","",INDEX(Fall!$1:$1048576,MATCH(All!$A590,Fall!$A:$A,FALSE),MATCH(All!K$1,Fall!$1:$1,FALSE))),"")</f>
        <v>3A</v>
      </c>
      <c r="L590" t="str">
        <f>IFERROR(IF(INDEX(Fall!$1:$1048576,MATCH(All!$A590,Fall!$A:$A,FALSE),MATCH(All!L$1,Fall!$1:$1,FALSE))="","",INDEX(Fall!$1:$1048576,MATCH(All!$A590,Fall!$A:$A,FALSE),MATCH(All!L$1,Fall!$1:$1,FALSE))),"")</f>
        <v>2A</v>
      </c>
      <c r="M590" t="str">
        <f>IFERROR(IF(INDEX(Fall!$1:$1048576,MATCH(All!$A590,Fall!$A:$A,FALSE),MATCH(All!M$1,Fall!$1:$1,FALSE))="","",INDEX(Fall!$1:$1048576,MATCH(All!$A590,Fall!$A:$A,FALSE),MATCH(All!M$1,Fall!$1:$1,FALSE))),"")</f>
        <v>4A</v>
      </c>
      <c r="O590">
        <f>IFERROR(IF(INDEX(Winter!$1:$1048576,MATCH(All!$A590,Winter!$A:$A,FALSE),MATCH(All!O$1,Winter!$1:$1,FALSE))="","",INDEX(Winter!$1:$1048576,MATCH(All!$A590,Winter!$A:$A,FALSE),MATCH(All!O$1,Winter!$1:$1,FALSE))),"")</f>
        <v>2476</v>
      </c>
      <c r="P590" t="str">
        <f>IFERROR(IF(INDEX(Winter!$1:$1048576,MATCH(All!$A590,Winter!$A:$A,FALSE),MATCH(All!P$1,Winter!$1:$1,FALSE))="","",INDEX(Winter!$1:$1048576,MATCH(All!$A590,Winter!$A:$A,FALSE),MATCH(All!P$1,Winter!$1:$1,FALSE))),"")</f>
        <v>4A</v>
      </c>
      <c r="Q590" t="str">
        <f>IFERROR(IF(INDEX(Winter!$1:$1048576,MATCH(All!$A590,Winter!$A:$A,FALSE),MATCH(All!Q$1,Winter!$1:$1,FALSE))="","",INDEX(Winter!$1:$1048576,MATCH(All!$A590,Winter!$A:$A,FALSE),MATCH(All!Q$1,Winter!$1:$1,FALSE))),"")</f>
        <v>4A</v>
      </c>
      <c r="R590" t="str">
        <f>IFERROR(IF(INDEX(Winter!$1:$1048576,MATCH(All!$A590,Winter!$A:$A,FALSE),MATCH(All!R$1,Winter!$1:$1,FALSE))="","",INDEX(Winter!$1:$1048576,MATCH(All!$A590,Winter!$A:$A,FALSE),MATCH(All!R$1,Winter!$1:$1,FALSE))),"")</f>
        <v>3A</v>
      </c>
      <c r="S590" t="str">
        <f>IFERROR(IF(INDEX(Winter!$1:$1048576,MATCH(All!$A590,Winter!$A:$A,FALSE),MATCH(All!S$1,Winter!$1:$1,FALSE))="","",INDEX(Winter!$1:$1048576,MATCH(All!$A590,Winter!$A:$A,FALSE),MATCH(All!S$1,Winter!$1:$1,FALSE))),"")</f>
        <v>3A</v>
      </c>
      <c r="T590" t="str">
        <f>IFERROR(IF(INDEX(Winter!$1:$1048576,MATCH(All!$A590,Winter!$A:$A,FALSE),MATCH(All!T$1,Winter!$1:$1,FALSE))="","",INDEX(Winter!$1:$1048576,MATCH(All!$A590,Winter!$A:$A,FALSE),MATCH(All!T$1,Winter!$1:$1,FALSE))),"")</f>
        <v>2A</v>
      </c>
      <c r="U590" t="str">
        <f>IFERROR(IF(INDEX(Winter!$1:$1048576,MATCH(All!$A590,Winter!$A:$A,FALSE),MATCH(All!U$1,Winter!$1:$1,FALSE))="","",INDEX(Winter!$1:$1048576,MATCH(All!$A590,Winter!$A:$A,FALSE),MATCH(All!U$1,Winter!$1:$1,FALSE))),"")</f>
        <v>3A</v>
      </c>
      <c r="W590">
        <f>IFERROR(IF(INDEX(Spring!$1:$1048576,MATCH(All!$A590,Spring!$A:$A,FALSE),MATCH(All!W$1,Spring!$1:$1,FALSE))="","",INDEX(Spring!$1:$1048576,MATCH(All!$A590,Spring!$A:$A,FALSE),MATCH(All!W$1,Spring!$1:$1,FALSE))),"")</f>
        <v>2476</v>
      </c>
      <c r="X590" t="str">
        <f>IFERROR(IF(INDEX(Spring!$1:$1048576,MATCH(All!$A590,Spring!$A:$A,FALSE),MATCH(All!X$1,Spring!$1:$1,FALSE))="","",INDEX(Spring!$1:$1048576,MATCH(All!$A590,Spring!$A:$A,FALSE),MATCH(All!X$1,Spring!$1:$1,FALSE))),"")</f>
        <v>4A</v>
      </c>
      <c r="Y590" t="str">
        <f>IFERROR(IF(INDEX(Spring!$1:$1048576,MATCH(All!$A590,Spring!$A:$A,FALSE),MATCH(All!Y$1,Spring!$1:$1,FALSE))="","",INDEX(Spring!$1:$1048576,MATCH(All!$A590,Spring!$A:$A,FALSE),MATCH(All!Y$1,Spring!$1:$1,FALSE))),"")</f>
        <v>4A</v>
      </c>
      <c r="Z590" t="str">
        <f>IFERROR(IF(INDEX(Spring!$1:$1048576,MATCH(All!$A590,Spring!$A:$A,FALSE),MATCH(All!Z$1,Spring!$1:$1,FALSE))="","",INDEX(Spring!$1:$1048576,MATCH(All!$A590,Spring!$A:$A,FALSE),MATCH(All!Z$1,Spring!$1:$1,FALSE))),"")</f>
        <v>3A</v>
      </c>
      <c r="AA590" t="str">
        <f>IFERROR(IF(INDEX(Spring!$1:$1048576,MATCH(All!$A590,Spring!$A:$A,FALSE),MATCH(All!AA$1,Spring!$1:$1,FALSE))="","",INDEX(Spring!$1:$1048576,MATCH(All!$A590,Spring!$A:$A,FALSE),MATCH(All!AA$1,Spring!$1:$1,FALSE))),"")</f>
        <v>2A</v>
      </c>
      <c r="AB590" t="str">
        <f>IFERROR(IF(INDEX(Spring!$1:$1048576,MATCH(All!$A590,Spring!$A:$A,FALSE),MATCH(All!AB$1,Spring!$1:$1,FALSE))="","",INDEX(Spring!$1:$1048576,MATCH(All!$A590,Spring!$A:$A,FALSE),MATCH(All!AB$1,Spring!$1:$1,FALSE))),"")</f>
        <v>3A</v>
      </c>
      <c r="AC590" t="str">
        <f>IFERROR(IF(INDEX(Spring!$1:$1048576,MATCH(All!$A590,Spring!$A:$A,FALSE),MATCH(All!AC$1,Spring!$1:$1,FALSE))="","",INDEX(Spring!$1:$1048576,MATCH(All!$A590,Spring!$A:$A,FALSE),MATCH(All!AC$1,Spring!$1:$1,FALSE))),"")</f>
        <v>3A</v>
      </c>
      <c r="AD590" t="str">
        <f>IFERROR(VLOOKUP(A590,'Flag Football'!A:A,1,FALSE),"")</f>
        <v>Park Ridge (Maine South)</v>
      </c>
      <c r="AE590" t="str">
        <f t="shared" si="9"/>
        <v>1A</v>
      </c>
    </row>
    <row r="591" spans="1:31" ht="15.75" thickBot="1" x14ac:dyDescent="0.3">
      <c r="A591" s="20" t="s">
        <v>689</v>
      </c>
      <c r="B591" s="38">
        <f>IFERROR(VLOOKUP(A591,'Public v Private'!A:G,3,FALSE),"")</f>
        <v>0</v>
      </c>
      <c r="C591" s="38">
        <f>IFERROR(VLOOKUP(A591,'Public v Private'!A:G,4,FALSE),"")</f>
        <v>0</v>
      </c>
      <c r="D591" s="38">
        <f>IFERROR(VLOOKUP(A591,'Public v Private'!A:G,5,FALSE),"")</f>
        <v>0</v>
      </c>
      <c r="E591" s="38"/>
      <c r="F591" s="40">
        <f>IFERROR(INDEX(Fall!$1:$1048576,MATCH(All!$A591,Fall!$A:$A,FALSE),MATCH(All!F$1,Fall!$1:$1,FALSE)),"N/A")</f>
        <v>59</v>
      </c>
      <c r="G591" t="str">
        <f>IFERROR(IF(INDEX(Fall!$1:$1048576,MATCH(All!$A591,Fall!$A:$A,FALSE),MATCH(All!G$1,Fall!$1:$1,FALSE))="","",INDEX(Fall!$1:$1048576,MATCH(All!$A591,Fall!$A:$A,FALSE),MATCH(All!G$1,Fall!$1:$1,FALSE))),"")</f>
        <v/>
      </c>
      <c r="H591" t="str">
        <f>IFERROR(IF(INDEX(Fall!$1:$1048576,MATCH(All!$A591,Fall!$A:$A,FALSE),MATCH(All!H$1,Fall!$1:$1,FALSE))="","",INDEX(Fall!$1:$1048576,MATCH(All!$A591,Fall!$A:$A,FALSE),MATCH(All!H$1,Fall!$1:$1,FALSE))),"")</f>
        <v/>
      </c>
      <c r="I591" t="str">
        <f>IFERROR(IF(INDEX(Fall!$1:$1048576,MATCH(All!$A591,Fall!$A:$A,FALSE),MATCH(All!I$1,Fall!$1:$1,FALSE))="","",INDEX(Fall!$1:$1048576,MATCH(All!$A591,Fall!$A:$A,FALSE),MATCH(All!I$1,Fall!$1:$1,FALSE))),"")</f>
        <v/>
      </c>
      <c r="J591" t="str">
        <f>IFERROR(IF(INDEX(Fall!$1:$1048576,MATCH(All!$A591,Fall!$A:$A,FALSE),MATCH(All!J$1,Fall!$1:$1,FALSE))="","",INDEX(Fall!$1:$1048576,MATCH(All!$A591,Fall!$A:$A,FALSE),MATCH(All!J$1,Fall!$1:$1,FALSE))),"")</f>
        <v/>
      </c>
      <c r="K591" t="str">
        <f>IFERROR(IF(INDEX(Fall!$1:$1048576,MATCH(All!$A591,Fall!$A:$A,FALSE),MATCH(All!K$1,Fall!$1:$1,FALSE))="","",INDEX(Fall!$1:$1048576,MATCH(All!$A591,Fall!$A:$A,FALSE),MATCH(All!K$1,Fall!$1:$1,FALSE))),"")</f>
        <v/>
      </c>
      <c r="L591" t="str">
        <f>IFERROR(IF(INDEX(Fall!$1:$1048576,MATCH(All!$A591,Fall!$A:$A,FALSE),MATCH(All!L$1,Fall!$1:$1,FALSE))="","",INDEX(Fall!$1:$1048576,MATCH(All!$A591,Fall!$A:$A,FALSE),MATCH(All!L$1,Fall!$1:$1,FALSE))),"")</f>
        <v/>
      </c>
      <c r="M591" t="str">
        <f>IFERROR(IF(INDEX(Fall!$1:$1048576,MATCH(All!$A591,Fall!$A:$A,FALSE),MATCH(All!M$1,Fall!$1:$1,FALSE))="","",INDEX(Fall!$1:$1048576,MATCH(All!$A591,Fall!$A:$A,FALSE),MATCH(All!M$1,Fall!$1:$1,FALSE))),"")</f>
        <v>1A</v>
      </c>
      <c r="O591">
        <f>IFERROR(IF(INDEX(Winter!$1:$1048576,MATCH(All!$A591,Winter!$A:$A,FALSE),MATCH(All!O$1,Winter!$1:$1,FALSE))="","",INDEX(Winter!$1:$1048576,MATCH(All!$A591,Winter!$A:$A,FALSE),MATCH(All!O$1,Winter!$1:$1,FALSE))),"")</f>
        <v>59</v>
      </c>
      <c r="P591" t="str">
        <f>IFERROR(IF(INDEX(Winter!$1:$1048576,MATCH(All!$A591,Winter!$A:$A,FALSE),MATCH(All!P$1,Winter!$1:$1,FALSE))="","",INDEX(Winter!$1:$1048576,MATCH(All!$A591,Winter!$A:$A,FALSE),MATCH(All!P$1,Winter!$1:$1,FALSE))),"")</f>
        <v>1A</v>
      </c>
      <c r="Q591" t="str">
        <f>IFERROR(IF(INDEX(Winter!$1:$1048576,MATCH(All!$A591,Winter!$A:$A,FALSE),MATCH(All!Q$1,Winter!$1:$1,FALSE))="","",INDEX(Winter!$1:$1048576,MATCH(All!$A591,Winter!$A:$A,FALSE),MATCH(All!Q$1,Winter!$1:$1,FALSE))),"")</f>
        <v/>
      </c>
      <c r="R591" t="str">
        <f>IFERROR(IF(INDEX(Winter!$1:$1048576,MATCH(All!$A591,Winter!$A:$A,FALSE),MATCH(All!R$1,Winter!$1:$1,FALSE))="","",INDEX(Winter!$1:$1048576,MATCH(All!$A591,Winter!$A:$A,FALSE),MATCH(All!R$1,Winter!$1:$1,FALSE))),"")</f>
        <v/>
      </c>
      <c r="S591" t="str">
        <f>IFERROR(IF(INDEX(Winter!$1:$1048576,MATCH(All!$A591,Winter!$A:$A,FALSE),MATCH(All!S$1,Winter!$1:$1,FALSE))="","",INDEX(Winter!$1:$1048576,MATCH(All!$A591,Winter!$A:$A,FALSE),MATCH(All!S$1,Winter!$1:$1,FALSE))),"")</f>
        <v/>
      </c>
      <c r="T591" t="str">
        <f>IFERROR(IF(INDEX(Winter!$1:$1048576,MATCH(All!$A591,Winter!$A:$A,FALSE),MATCH(All!T$1,Winter!$1:$1,FALSE))="","",INDEX(Winter!$1:$1048576,MATCH(All!$A591,Winter!$A:$A,FALSE),MATCH(All!T$1,Winter!$1:$1,FALSE))),"")</f>
        <v/>
      </c>
      <c r="U591" t="str">
        <f>IFERROR(IF(INDEX(Winter!$1:$1048576,MATCH(All!$A591,Winter!$A:$A,FALSE),MATCH(All!U$1,Winter!$1:$1,FALSE))="","",INDEX(Winter!$1:$1048576,MATCH(All!$A591,Winter!$A:$A,FALSE),MATCH(All!U$1,Winter!$1:$1,FALSE))),"")</f>
        <v/>
      </c>
      <c r="W591">
        <f>IFERROR(IF(INDEX(Spring!$1:$1048576,MATCH(All!$A591,Spring!$A:$A,FALSE),MATCH(All!W$1,Spring!$1:$1,FALSE))="","",INDEX(Spring!$1:$1048576,MATCH(All!$A591,Spring!$A:$A,FALSE),MATCH(All!W$1,Spring!$1:$1,FALSE))),"")</f>
        <v>59</v>
      </c>
      <c r="X591" t="str">
        <f>IFERROR(IF(INDEX(Spring!$1:$1048576,MATCH(All!$A591,Spring!$A:$A,FALSE),MATCH(All!X$1,Spring!$1:$1,FALSE))="","",INDEX(Spring!$1:$1048576,MATCH(All!$A591,Spring!$A:$A,FALSE),MATCH(All!X$1,Spring!$1:$1,FALSE))),"")</f>
        <v/>
      </c>
      <c r="Y591" t="str">
        <f>IFERROR(IF(INDEX(Spring!$1:$1048576,MATCH(All!$A591,Spring!$A:$A,FALSE),MATCH(All!Y$1,Spring!$1:$1,FALSE))="","",INDEX(Spring!$1:$1048576,MATCH(All!$A591,Spring!$A:$A,FALSE),MATCH(All!Y$1,Spring!$1:$1,FALSE))),"")</f>
        <v/>
      </c>
      <c r="Z591" t="str">
        <f>IFERROR(IF(INDEX(Spring!$1:$1048576,MATCH(All!$A591,Spring!$A:$A,FALSE),MATCH(All!Z$1,Spring!$1:$1,FALSE))="","",INDEX(Spring!$1:$1048576,MATCH(All!$A591,Spring!$A:$A,FALSE),MATCH(All!Z$1,Spring!$1:$1,FALSE))),"")</f>
        <v/>
      </c>
      <c r="AA591" t="str">
        <f>IFERROR(IF(INDEX(Spring!$1:$1048576,MATCH(All!$A591,Spring!$A:$A,FALSE),MATCH(All!AA$1,Spring!$1:$1,FALSE))="","",INDEX(Spring!$1:$1048576,MATCH(All!$A591,Spring!$A:$A,FALSE),MATCH(All!AA$1,Spring!$1:$1,FALSE))),"")</f>
        <v/>
      </c>
      <c r="AB591" t="str">
        <f>IFERROR(IF(INDEX(Spring!$1:$1048576,MATCH(All!$A591,Spring!$A:$A,FALSE),MATCH(All!AB$1,Spring!$1:$1,FALSE))="","",INDEX(Spring!$1:$1048576,MATCH(All!$A591,Spring!$A:$A,FALSE),MATCH(All!AB$1,Spring!$1:$1,FALSE))),"")</f>
        <v>1A</v>
      </c>
      <c r="AC591" t="str">
        <f>IFERROR(IF(INDEX(Spring!$1:$1048576,MATCH(All!$A591,Spring!$A:$A,FALSE),MATCH(All!AC$1,Spring!$1:$1,FALSE))="","",INDEX(Spring!$1:$1048576,MATCH(All!$A591,Spring!$A:$A,FALSE),MATCH(All!AC$1,Spring!$1:$1,FALSE))),"")</f>
        <v>1A</v>
      </c>
      <c r="AD591" t="str">
        <f>IFERROR(VLOOKUP(A591,'Flag Football'!A:A,1,FALSE),"")</f>
        <v/>
      </c>
      <c r="AE591" t="str">
        <f t="shared" si="9"/>
        <v/>
      </c>
    </row>
    <row r="592" spans="1:31" ht="15.75" thickBot="1" x14ac:dyDescent="0.3">
      <c r="A592" s="18" t="s">
        <v>690</v>
      </c>
      <c r="B592" s="38">
        <f>IFERROR(VLOOKUP(A592,'Public v Private'!A:G,3,FALSE),"")</f>
        <v>0</v>
      </c>
      <c r="C592" s="38">
        <f>IFERROR(VLOOKUP(A592,'Public v Private'!A:G,4,FALSE),"")</f>
        <v>0</v>
      </c>
      <c r="D592" s="38">
        <f>IFERROR(VLOOKUP(A592,'Public v Private'!A:G,5,FALSE),"")</f>
        <v>0</v>
      </c>
      <c r="E592" s="38"/>
      <c r="F592" s="40">
        <f>IFERROR(INDEX(Fall!$1:$1048576,MATCH(All!$A592,Fall!$A:$A,FALSE),MATCH(All!F$1,Fall!$1:$1,FALSE)),"N/A")</f>
        <v>160</v>
      </c>
      <c r="G592" t="str">
        <f>IFERROR(IF(INDEX(Fall!$1:$1048576,MATCH(All!$A592,Fall!$A:$A,FALSE),MATCH(All!G$1,Fall!$1:$1,FALSE))="","",INDEX(Fall!$1:$1048576,MATCH(All!$A592,Fall!$A:$A,FALSE),MATCH(All!G$1,Fall!$1:$1,FALSE))),"")</f>
        <v/>
      </c>
      <c r="H592" t="str">
        <f>IFERROR(IF(INDEX(Fall!$1:$1048576,MATCH(All!$A592,Fall!$A:$A,FALSE),MATCH(All!H$1,Fall!$1:$1,FALSE))="","",INDEX(Fall!$1:$1048576,MATCH(All!$A592,Fall!$A:$A,FALSE),MATCH(All!H$1,Fall!$1:$1,FALSE))),"")</f>
        <v/>
      </c>
      <c r="I592" t="str">
        <f>IFERROR(IF(INDEX(Fall!$1:$1048576,MATCH(All!$A592,Fall!$A:$A,FALSE),MATCH(All!I$1,Fall!$1:$1,FALSE))="","",INDEX(Fall!$1:$1048576,MATCH(All!$A592,Fall!$A:$A,FALSE),MATCH(All!I$1,Fall!$1:$1,FALSE))),"")</f>
        <v/>
      </c>
      <c r="J592" t="str">
        <f>IFERROR(IF(INDEX(Fall!$1:$1048576,MATCH(All!$A592,Fall!$A:$A,FALSE),MATCH(All!J$1,Fall!$1:$1,FALSE))="","",INDEX(Fall!$1:$1048576,MATCH(All!$A592,Fall!$A:$A,FALSE),MATCH(All!J$1,Fall!$1:$1,FALSE))),"")</f>
        <v/>
      </c>
      <c r="K592" t="str">
        <f>IFERROR(IF(INDEX(Fall!$1:$1048576,MATCH(All!$A592,Fall!$A:$A,FALSE),MATCH(All!K$1,Fall!$1:$1,FALSE))="","",INDEX(Fall!$1:$1048576,MATCH(All!$A592,Fall!$A:$A,FALSE),MATCH(All!K$1,Fall!$1:$1,FALSE))),"")</f>
        <v/>
      </c>
      <c r="L592" t="str">
        <f>IFERROR(IF(INDEX(Fall!$1:$1048576,MATCH(All!$A592,Fall!$A:$A,FALSE),MATCH(All!L$1,Fall!$1:$1,FALSE))="","",INDEX(Fall!$1:$1048576,MATCH(All!$A592,Fall!$A:$A,FALSE),MATCH(All!L$1,Fall!$1:$1,FALSE))),"")</f>
        <v/>
      </c>
      <c r="M592" t="str">
        <f>IFERROR(IF(INDEX(Fall!$1:$1048576,MATCH(All!$A592,Fall!$A:$A,FALSE),MATCH(All!M$1,Fall!$1:$1,FALSE))="","",INDEX(Fall!$1:$1048576,MATCH(All!$A592,Fall!$A:$A,FALSE),MATCH(All!M$1,Fall!$1:$1,FALSE))),"")</f>
        <v>1A</v>
      </c>
      <c r="O592">
        <f>IFERROR(IF(INDEX(Winter!$1:$1048576,MATCH(All!$A592,Winter!$A:$A,FALSE),MATCH(All!O$1,Winter!$1:$1,FALSE))="","",INDEX(Winter!$1:$1048576,MATCH(All!$A592,Winter!$A:$A,FALSE),MATCH(All!O$1,Winter!$1:$1,FALSE))),"")</f>
        <v>160</v>
      </c>
      <c r="P592" t="str">
        <f>IFERROR(IF(INDEX(Winter!$1:$1048576,MATCH(All!$A592,Winter!$A:$A,FALSE),MATCH(All!P$1,Winter!$1:$1,FALSE))="","",INDEX(Winter!$1:$1048576,MATCH(All!$A592,Winter!$A:$A,FALSE),MATCH(All!P$1,Winter!$1:$1,FALSE))),"")</f>
        <v>1A</v>
      </c>
      <c r="Q592" t="str">
        <f>IFERROR(IF(INDEX(Winter!$1:$1048576,MATCH(All!$A592,Winter!$A:$A,FALSE),MATCH(All!Q$1,Winter!$1:$1,FALSE))="","",INDEX(Winter!$1:$1048576,MATCH(All!$A592,Winter!$A:$A,FALSE),MATCH(All!Q$1,Winter!$1:$1,FALSE))),"")</f>
        <v>2A</v>
      </c>
      <c r="R592" t="str">
        <f>IFERROR(IF(INDEX(Winter!$1:$1048576,MATCH(All!$A592,Winter!$A:$A,FALSE),MATCH(All!R$1,Winter!$1:$1,FALSE))="","",INDEX(Winter!$1:$1048576,MATCH(All!$A592,Winter!$A:$A,FALSE),MATCH(All!R$1,Winter!$1:$1,FALSE))),"")</f>
        <v/>
      </c>
      <c r="S592" t="str">
        <f>IFERROR(IF(INDEX(Winter!$1:$1048576,MATCH(All!$A592,Winter!$A:$A,FALSE),MATCH(All!S$1,Winter!$1:$1,FALSE))="","",INDEX(Winter!$1:$1048576,MATCH(All!$A592,Winter!$A:$A,FALSE),MATCH(All!S$1,Winter!$1:$1,FALSE))),"")</f>
        <v/>
      </c>
      <c r="T592" t="str">
        <f>IFERROR(IF(INDEX(Winter!$1:$1048576,MATCH(All!$A592,Winter!$A:$A,FALSE),MATCH(All!T$1,Winter!$1:$1,FALSE))="","",INDEX(Winter!$1:$1048576,MATCH(All!$A592,Winter!$A:$A,FALSE),MATCH(All!T$1,Winter!$1:$1,FALSE))),"")</f>
        <v>1A</v>
      </c>
      <c r="U592" t="str">
        <f>IFERROR(IF(INDEX(Winter!$1:$1048576,MATCH(All!$A592,Winter!$A:$A,FALSE),MATCH(All!U$1,Winter!$1:$1,FALSE))="","",INDEX(Winter!$1:$1048576,MATCH(All!$A592,Winter!$A:$A,FALSE),MATCH(All!U$1,Winter!$1:$1,FALSE))),"")</f>
        <v/>
      </c>
      <c r="W592">
        <f>IFERROR(IF(INDEX(Spring!$1:$1048576,MATCH(All!$A592,Spring!$A:$A,FALSE),MATCH(All!W$1,Spring!$1:$1,FALSE))="","",INDEX(Spring!$1:$1048576,MATCH(All!$A592,Spring!$A:$A,FALSE),MATCH(All!W$1,Spring!$1:$1,FALSE))),"")</f>
        <v>160</v>
      </c>
      <c r="X592" t="str">
        <f>IFERROR(IF(INDEX(Spring!$1:$1048576,MATCH(All!$A592,Spring!$A:$A,FALSE),MATCH(All!X$1,Spring!$1:$1,FALSE))="","",INDEX(Spring!$1:$1048576,MATCH(All!$A592,Spring!$A:$A,FALSE),MATCH(All!X$1,Spring!$1:$1,FALSE))),"")</f>
        <v>1A</v>
      </c>
      <c r="Y592" t="str">
        <f>IFERROR(IF(INDEX(Spring!$1:$1048576,MATCH(All!$A592,Spring!$A:$A,FALSE),MATCH(All!Y$1,Spring!$1:$1,FALSE))="","",INDEX(Spring!$1:$1048576,MATCH(All!$A592,Spring!$A:$A,FALSE),MATCH(All!Y$1,Spring!$1:$1,FALSE))),"")</f>
        <v>1A</v>
      </c>
      <c r="Z592" t="str">
        <f>IFERROR(IF(INDEX(Spring!$1:$1048576,MATCH(All!$A592,Spring!$A:$A,FALSE),MATCH(All!Z$1,Spring!$1:$1,FALSE))="","",INDEX(Spring!$1:$1048576,MATCH(All!$A592,Spring!$A:$A,FALSE),MATCH(All!Z$1,Spring!$1:$1,FALSE))),"")</f>
        <v/>
      </c>
      <c r="AA592" t="str">
        <f>IFERROR(IF(INDEX(Spring!$1:$1048576,MATCH(All!$A592,Spring!$A:$A,FALSE),MATCH(All!AA$1,Spring!$1:$1,FALSE))="","",INDEX(Spring!$1:$1048576,MATCH(All!$A592,Spring!$A:$A,FALSE),MATCH(All!AA$1,Spring!$1:$1,FALSE))),"")</f>
        <v/>
      </c>
      <c r="AB592" t="str">
        <f>IFERROR(IF(INDEX(Spring!$1:$1048576,MATCH(All!$A592,Spring!$A:$A,FALSE),MATCH(All!AB$1,Spring!$1:$1,FALSE))="","",INDEX(Spring!$1:$1048576,MATCH(All!$A592,Spring!$A:$A,FALSE),MATCH(All!AB$1,Spring!$1:$1,FALSE))),"")</f>
        <v>1A</v>
      </c>
      <c r="AC592" t="str">
        <f>IFERROR(IF(INDEX(Spring!$1:$1048576,MATCH(All!$A592,Spring!$A:$A,FALSE),MATCH(All!AC$1,Spring!$1:$1,FALSE))="","",INDEX(Spring!$1:$1048576,MATCH(All!$A592,Spring!$A:$A,FALSE),MATCH(All!AC$1,Spring!$1:$1,FALSE))),"")</f>
        <v>1A</v>
      </c>
      <c r="AD592" t="str">
        <f>IFERROR(VLOOKUP(A592,'Flag Football'!A:A,1,FALSE),"")</f>
        <v/>
      </c>
      <c r="AE592" t="str">
        <f t="shared" si="9"/>
        <v/>
      </c>
    </row>
    <row r="593" spans="1:31" ht="15.75" thickBot="1" x14ac:dyDescent="0.3">
      <c r="A593" s="20" t="s">
        <v>691</v>
      </c>
      <c r="B593" s="38">
        <f>IFERROR(VLOOKUP(A593,'Public v Private'!A:G,3,FALSE),"")</f>
        <v>0</v>
      </c>
      <c r="C593" s="38">
        <f>IFERROR(VLOOKUP(A593,'Public v Private'!A:G,4,FALSE),"")</f>
        <v>0</v>
      </c>
      <c r="D593" s="38">
        <f>IFERROR(VLOOKUP(A593,'Public v Private'!A:G,5,FALSE),"")</f>
        <v>0</v>
      </c>
      <c r="E593" s="38"/>
      <c r="F593" s="40">
        <f>IFERROR(INDEX(Fall!$1:$1048576,MATCH(All!$A593,Fall!$A:$A,FALSE),MATCH(All!F$1,Fall!$1:$1,FALSE)),"N/A")</f>
        <v>373</v>
      </c>
      <c r="G593" t="str">
        <f>IFERROR(IF(INDEX(Fall!$1:$1048576,MATCH(All!$A593,Fall!$A:$A,FALSE),MATCH(All!G$1,Fall!$1:$1,FALSE))="","",INDEX(Fall!$1:$1048576,MATCH(All!$A593,Fall!$A:$A,FALSE),MATCH(All!G$1,Fall!$1:$1,FALSE))),"")</f>
        <v>1A</v>
      </c>
      <c r="H593" t="str">
        <f>IFERROR(IF(INDEX(Fall!$1:$1048576,MATCH(All!$A593,Fall!$A:$A,FALSE),MATCH(All!H$1,Fall!$1:$1,FALSE))="","",INDEX(Fall!$1:$1048576,MATCH(All!$A593,Fall!$A:$A,FALSE),MATCH(All!H$1,Fall!$1:$1,FALSE))),"")</f>
        <v>1A</v>
      </c>
      <c r="I593" t="str">
        <f>IFERROR(IF(INDEX(Fall!$1:$1048576,MATCH(All!$A593,Fall!$A:$A,FALSE),MATCH(All!I$1,Fall!$1:$1,FALSE))="","",INDEX(Fall!$1:$1048576,MATCH(All!$A593,Fall!$A:$A,FALSE),MATCH(All!I$1,Fall!$1:$1,FALSE))),"")</f>
        <v/>
      </c>
      <c r="J593" t="str">
        <f>IFERROR(IF(INDEX(Fall!$1:$1048576,MATCH(All!$A593,Fall!$A:$A,FALSE),MATCH(All!J$1,Fall!$1:$1,FALSE))="","",INDEX(Fall!$1:$1048576,MATCH(All!$A593,Fall!$A:$A,FALSE),MATCH(All!J$1,Fall!$1:$1,FALSE))),"")</f>
        <v/>
      </c>
      <c r="K593" t="str">
        <f>IFERROR(IF(INDEX(Fall!$1:$1048576,MATCH(All!$A593,Fall!$A:$A,FALSE),MATCH(All!K$1,Fall!$1:$1,FALSE))="","",INDEX(Fall!$1:$1048576,MATCH(All!$A593,Fall!$A:$A,FALSE),MATCH(All!K$1,Fall!$1:$1,FALSE))),"")</f>
        <v/>
      </c>
      <c r="L593" t="str">
        <f>IFERROR(IF(INDEX(Fall!$1:$1048576,MATCH(All!$A593,Fall!$A:$A,FALSE),MATCH(All!L$1,Fall!$1:$1,FALSE))="","",INDEX(Fall!$1:$1048576,MATCH(All!$A593,Fall!$A:$A,FALSE),MATCH(All!L$1,Fall!$1:$1,FALSE))),"")</f>
        <v/>
      </c>
      <c r="M593" t="str">
        <f>IFERROR(IF(INDEX(Fall!$1:$1048576,MATCH(All!$A593,Fall!$A:$A,FALSE),MATCH(All!M$1,Fall!$1:$1,FALSE))="","",INDEX(Fall!$1:$1048576,MATCH(All!$A593,Fall!$A:$A,FALSE),MATCH(All!M$1,Fall!$1:$1,FALSE))),"")</f>
        <v>2A</v>
      </c>
      <c r="O593">
        <f>IFERROR(IF(INDEX(Winter!$1:$1048576,MATCH(All!$A593,Winter!$A:$A,FALSE),MATCH(All!O$1,Winter!$1:$1,FALSE))="","",INDEX(Winter!$1:$1048576,MATCH(All!$A593,Winter!$A:$A,FALSE),MATCH(All!O$1,Winter!$1:$1,FALSE))),"")</f>
        <v>373</v>
      </c>
      <c r="P593" t="str">
        <f>IFERROR(IF(INDEX(Winter!$1:$1048576,MATCH(All!$A593,Winter!$A:$A,FALSE),MATCH(All!P$1,Winter!$1:$1,FALSE))="","",INDEX(Winter!$1:$1048576,MATCH(All!$A593,Winter!$A:$A,FALSE),MATCH(All!P$1,Winter!$1:$1,FALSE))),"")</f>
        <v>2A</v>
      </c>
      <c r="Q593" t="str">
        <f>IFERROR(IF(INDEX(Winter!$1:$1048576,MATCH(All!$A593,Winter!$A:$A,FALSE),MATCH(All!Q$1,Winter!$1:$1,FALSE))="","",INDEX(Winter!$1:$1048576,MATCH(All!$A593,Winter!$A:$A,FALSE),MATCH(All!Q$1,Winter!$1:$1,FALSE))),"")</f>
        <v>2A</v>
      </c>
      <c r="R593" t="str">
        <f>IFERROR(IF(INDEX(Winter!$1:$1048576,MATCH(All!$A593,Winter!$A:$A,FALSE),MATCH(All!R$1,Winter!$1:$1,FALSE))="","",INDEX(Winter!$1:$1048576,MATCH(All!$A593,Winter!$A:$A,FALSE),MATCH(All!R$1,Winter!$1:$1,FALSE))),"")</f>
        <v>1A</v>
      </c>
      <c r="S593" t="str">
        <f>IFERROR(IF(INDEX(Winter!$1:$1048576,MATCH(All!$A593,Winter!$A:$A,FALSE),MATCH(All!S$1,Winter!$1:$1,FALSE))="","",INDEX(Winter!$1:$1048576,MATCH(All!$A593,Winter!$A:$A,FALSE),MATCH(All!S$1,Winter!$1:$1,FALSE))),"")</f>
        <v/>
      </c>
      <c r="T593" t="str">
        <f>IFERROR(IF(INDEX(Winter!$1:$1048576,MATCH(All!$A593,Winter!$A:$A,FALSE),MATCH(All!T$1,Winter!$1:$1,FALSE))="","",INDEX(Winter!$1:$1048576,MATCH(All!$A593,Winter!$A:$A,FALSE),MATCH(All!T$1,Winter!$1:$1,FALSE))),"")</f>
        <v>1A</v>
      </c>
      <c r="U593" t="str">
        <f>IFERROR(IF(INDEX(Winter!$1:$1048576,MATCH(All!$A593,Winter!$A:$A,FALSE),MATCH(All!U$1,Winter!$1:$1,FALSE))="","",INDEX(Winter!$1:$1048576,MATCH(All!$A593,Winter!$A:$A,FALSE),MATCH(All!U$1,Winter!$1:$1,FALSE))),"")</f>
        <v/>
      </c>
      <c r="W593">
        <f>IFERROR(IF(INDEX(Spring!$1:$1048576,MATCH(All!$A593,Spring!$A:$A,FALSE),MATCH(All!W$1,Spring!$1:$1,FALSE))="","",INDEX(Spring!$1:$1048576,MATCH(All!$A593,Spring!$A:$A,FALSE),MATCH(All!W$1,Spring!$1:$1,FALSE))),"")</f>
        <v>373</v>
      </c>
      <c r="X593" t="str">
        <f>IFERROR(IF(INDEX(Spring!$1:$1048576,MATCH(All!$A593,Spring!$A:$A,FALSE),MATCH(All!X$1,Spring!$1:$1,FALSE))="","",INDEX(Spring!$1:$1048576,MATCH(All!$A593,Spring!$A:$A,FALSE),MATCH(All!X$1,Spring!$1:$1,FALSE))),"")</f>
        <v>2A</v>
      </c>
      <c r="Y593" t="str">
        <f>IFERROR(IF(INDEX(Spring!$1:$1048576,MATCH(All!$A593,Spring!$A:$A,FALSE),MATCH(All!Y$1,Spring!$1:$1,FALSE))="","",INDEX(Spring!$1:$1048576,MATCH(All!$A593,Spring!$A:$A,FALSE),MATCH(All!Y$1,Spring!$1:$1,FALSE))),"")</f>
        <v>2A</v>
      </c>
      <c r="Z593" t="str">
        <f>IFERROR(IF(INDEX(Spring!$1:$1048576,MATCH(All!$A593,Spring!$A:$A,FALSE),MATCH(All!Z$1,Spring!$1:$1,FALSE))="","",INDEX(Spring!$1:$1048576,MATCH(All!$A593,Spring!$A:$A,FALSE),MATCH(All!Z$1,Spring!$1:$1,FALSE))),"")</f>
        <v/>
      </c>
      <c r="AA593" t="str">
        <f>IFERROR(IF(INDEX(Spring!$1:$1048576,MATCH(All!$A593,Spring!$A:$A,FALSE),MATCH(All!AA$1,Spring!$1:$1,FALSE))="","",INDEX(Spring!$1:$1048576,MATCH(All!$A593,Spring!$A:$A,FALSE),MATCH(All!AA$1,Spring!$1:$1,FALSE))),"")</f>
        <v/>
      </c>
      <c r="AB593" t="str">
        <f>IFERROR(IF(INDEX(Spring!$1:$1048576,MATCH(All!$A593,Spring!$A:$A,FALSE),MATCH(All!AB$1,Spring!$1:$1,FALSE))="","",INDEX(Spring!$1:$1048576,MATCH(All!$A593,Spring!$A:$A,FALSE),MATCH(All!AB$1,Spring!$1:$1,FALSE))),"")</f>
        <v>1A</v>
      </c>
      <c r="AC593" t="str">
        <f>IFERROR(IF(INDEX(Spring!$1:$1048576,MATCH(All!$A593,Spring!$A:$A,FALSE),MATCH(All!AC$1,Spring!$1:$1,FALSE))="","",INDEX(Spring!$1:$1048576,MATCH(All!$A593,Spring!$A:$A,FALSE),MATCH(All!AC$1,Spring!$1:$1,FALSE))),"")</f>
        <v>1A</v>
      </c>
      <c r="AD593" t="str">
        <f>IFERROR(VLOOKUP(A593,'Flag Football'!A:A,1,FALSE),"")</f>
        <v/>
      </c>
      <c r="AE593" t="str">
        <f t="shared" si="9"/>
        <v/>
      </c>
    </row>
    <row r="594" spans="1:31" ht="15.75" thickBot="1" x14ac:dyDescent="0.3">
      <c r="A594" s="18" t="s">
        <v>692</v>
      </c>
      <c r="B594" s="38">
        <f>IFERROR(VLOOKUP(A594,'Public v Private'!A:G,3,FALSE),"")</f>
        <v>0</v>
      </c>
      <c r="C594" s="38">
        <f>IFERROR(VLOOKUP(A594,'Public v Private'!A:G,4,FALSE),"")</f>
        <v>0</v>
      </c>
      <c r="D594" s="38">
        <f>IFERROR(VLOOKUP(A594,'Public v Private'!A:G,5,FALSE),"")</f>
        <v>0</v>
      </c>
      <c r="E594" s="38"/>
      <c r="F594" s="40">
        <f>IFERROR(INDEX(Fall!$1:$1048576,MATCH(All!$A594,Fall!$A:$A,FALSE),MATCH(All!F$1,Fall!$1:$1,FALSE)),"N/A")</f>
        <v>146</v>
      </c>
      <c r="G594" t="str">
        <f>IFERROR(IF(INDEX(Fall!$1:$1048576,MATCH(All!$A594,Fall!$A:$A,FALSE),MATCH(All!G$1,Fall!$1:$1,FALSE))="","",INDEX(Fall!$1:$1048576,MATCH(All!$A594,Fall!$A:$A,FALSE),MATCH(All!G$1,Fall!$1:$1,FALSE))),"")</f>
        <v/>
      </c>
      <c r="H594" t="str">
        <f>IFERROR(IF(INDEX(Fall!$1:$1048576,MATCH(All!$A594,Fall!$A:$A,FALSE),MATCH(All!H$1,Fall!$1:$1,FALSE))="","",INDEX(Fall!$1:$1048576,MATCH(All!$A594,Fall!$A:$A,FALSE),MATCH(All!H$1,Fall!$1:$1,FALSE))),"")</f>
        <v/>
      </c>
      <c r="I594" t="str">
        <f>IFERROR(IF(INDEX(Fall!$1:$1048576,MATCH(All!$A594,Fall!$A:$A,FALSE),MATCH(All!I$1,Fall!$1:$1,FALSE))="","",INDEX(Fall!$1:$1048576,MATCH(All!$A594,Fall!$A:$A,FALSE),MATCH(All!I$1,Fall!$1:$1,FALSE))),"")</f>
        <v>1A</v>
      </c>
      <c r="J594" t="str">
        <f>IFERROR(IF(INDEX(Fall!$1:$1048576,MATCH(All!$A594,Fall!$A:$A,FALSE),MATCH(All!J$1,Fall!$1:$1,FALSE))="","",INDEX(Fall!$1:$1048576,MATCH(All!$A594,Fall!$A:$A,FALSE),MATCH(All!J$1,Fall!$1:$1,FALSE))),"")</f>
        <v/>
      </c>
      <c r="K594" t="str">
        <f>IFERROR(IF(INDEX(Fall!$1:$1048576,MATCH(All!$A594,Fall!$A:$A,FALSE),MATCH(All!K$1,Fall!$1:$1,FALSE))="","",INDEX(Fall!$1:$1048576,MATCH(All!$A594,Fall!$A:$A,FALSE),MATCH(All!K$1,Fall!$1:$1,FALSE))),"")</f>
        <v/>
      </c>
      <c r="L594" t="str">
        <f>IFERROR(IF(INDEX(Fall!$1:$1048576,MATCH(All!$A594,Fall!$A:$A,FALSE),MATCH(All!L$1,Fall!$1:$1,FALSE))="","",INDEX(Fall!$1:$1048576,MATCH(All!$A594,Fall!$A:$A,FALSE),MATCH(All!L$1,Fall!$1:$1,FALSE))),"")</f>
        <v/>
      </c>
      <c r="M594" t="str">
        <f>IFERROR(IF(INDEX(Fall!$1:$1048576,MATCH(All!$A594,Fall!$A:$A,FALSE),MATCH(All!M$1,Fall!$1:$1,FALSE))="","",INDEX(Fall!$1:$1048576,MATCH(All!$A594,Fall!$A:$A,FALSE),MATCH(All!M$1,Fall!$1:$1,FALSE))),"")</f>
        <v>1A</v>
      </c>
      <c r="O594">
        <f>IFERROR(IF(INDEX(Winter!$1:$1048576,MATCH(All!$A594,Winter!$A:$A,FALSE),MATCH(All!O$1,Winter!$1:$1,FALSE))="","",INDEX(Winter!$1:$1048576,MATCH(All!$A594,Winter!$A:$A,FALSE),MATCH(All!O$1,Winter!$1:$1,FALSE))),"")</f>
        <v>146</v>
      </c>
      <c r="P594" t="str">
        <f>IFERROR(IF(INDEX(Winter!$1:$1048576,MATCH(All!$A594,Winter!$A:$A,FALSE),MATCH(All!P$1,Winter!$1:$1,FALSE))="","",INDEX(Winter!$1:$1048576,MATCH(All!$A594,Winter!$A:$A,FALSE),MATCH(All!P$1,Winter!$1:$1,FALSE))),"")</f>
        <v>1A</v>
      </c>
      <c r="Q594" t="str">
        <f>IFERROR(IF(INDEX(Winter!$1:$1048576,MATCH(All!$A594,Winter!$A:$A,FALSE),MATCH(All!Q$1,Winter!$1:$1,FALSE))="","",INDEX(Winter!$1:$1048576,MATCH(All!$A594,Winter!$A:$A,FALSE),MATCH(All!Q$1,Winter!$1:$1,FALSE))),"")</f>
        <v>1A</v>
      </c>
      <c r="R594" t="str">
        <f>IFERROR(IF(INDEX(Winter!$1:$1048576,MATCH(All!$A594,Winter!$A:$A,FALSE),MATCH(All!R$1,Winter!$1:$1,FALSE))="","",INDEX(Winter!$1:$1048576,MATCH(All!$A594,Winter!$A:$A,FALSE),MATCH(All!R$1,Winter!$1:$1,FALSE))),"")</f>
        <v/>
      </c>
      <c r="S594" t="str">
        <f>IFERROR(IF(INDEX(Winter!$1:$1048576,MATCH(All!$A594,Winter!$A:$A,FALSE),MATCH(All!S$1,Winter!$1:$1,FALSE))="","",INDEX(Winter!$1:$1048576,MATCH(All!$A594,Winter!$A:$A,FALSE),MATCH(All!S$1,Winter!$1:$1,FALSE))),"")</f>
        <v/>
      </c>
      <c r="T594" t="str">
        <f>IFERROR(IF(INDEX(Winter!$1:$1048576,MATCH(All!$A594,Winter!$A:$A,FALSE),MATCH(All!T$1,Winter!$1:$1,FALSE))="","",INDEX(Winter!$1:$1048576,MATCH(All!$A594,Winter!$A:$A,FALSE),MATCH(All!T$1,Winter!$1:$1,FALSE))),"")</f>
        <v>1A</v>
      </c>
      <c r="U594" t="str">
        <f>IFERROR(IF(INDEX(Winter!$1:$1048576,MATCH(All!$A594,Winter!$A:$A,FALSE),MATCH(All!U$1,Winter!$1:$1,FALSE))="","",INDEX(Winter!$1:$1048576,MATCH(All!$A594,Winter!$A:$A,FALSE),MATCH(All!U$1,Winter!$1:$1,FALSE))),"")</f>
        <v>1A</v>
      </c>
      <c r="W594">
        <f>IFERROR(IF(INDEX(Spring!$1:$1048576,MATCH(All!$A594,Spring!$A:$A,FALSE),MATCH(All!W$1,Spring!$1:$1,FALSE))="","",INDEX(Spring!$1:$1048576,MATCH(All!$A594,Spring!$A:$A,FALSE),MATCH(All!W$1,Spring!$1:$1,FALSE))),"")</f>
        <v>146</v>
      </c>
      <c r="X594" t="str">
        <f>IFERROR(IF(INDEX(Spring!$1:$1048576,MATCH(All!$A594,Spring!$A:$A,FALSE),MATCH(All!X$1,Spring!$1:$1,FALSE))="","",INDEX(Spring!$1:$1048576,MATCH(All!$A594,Spring!$A:$A,FALSE),MATCH(All!X$1,Spring!$1:$1,FALSE))),"")</f>
        <v>1A</v>
      </c>
      <c r="Y594" t="str">
        <f>IFERROR(IF(INDEX(Spring!$1:$1048576,MATCH(All!$A594,Spring!$A:$A,FALSE),MATCH(All!Y$1,Spring!$1:$1,FALSE))="","",INDEX(Spring!$1:$1048576,MATCH(All!$A594,Spring!$A:$A,FALSE),MATCH(All!Y$1,Spring!$1:$1,FALSE))),"")</f>
        <v>1A</v>
      </c>
      <c r="Z594" t="str">
        <f>IFERROR(IF(INDEX(Spring!$1:$1048576,MATCH(All!$A594,Spring!$A:$A,FALSE),MATCH(All!Z$1,Spring!$1:$1,FALSE))="","",INDEX(Spring!$1:$1048576,MATCH(All!$A594,Spring!$A:$A,FALSE),MATCH(All!Z$1,Spring!$1:$1,FALSE))),"")</f>
        <v/>
      </c>
      <c r="AA594" t="str">
        <f>IFERROR(IF(INDEX(Spring!$1:$1048576,MATCH(All!$A594,Spring!$A:$A,FALSE),MATCH(All!AA$1,Spring!$1:$1,FALSE))="","",INDEX(Spring!$1:$1048576,MATCH(All!$A594,Spring!$A:$A,FALSE),MATCH(All!AA$1,Spring!$1:$1,FALSE))),"")</f>
        <v/>
      </c>
      <c r="AB594" t="str">
        <f>IFERROR(IF(INDEX(Spring!$1:$1048576,MATCH(All!$A594,Spring!$A:$A,FALSE),MATCH(All!AB$1,Spring!$1:$1,FALSE))="","",INDEX(Spring!$1:$1048576,MATCH(All!$A594,Spring!$A:$A,FALSE),MATCH(All!AB$1,Spring!$1:$1,FALSE))),"")</f>
        <v>1A</v>
      </c>
      <c r="AC594" t="str">
        <f>IFERROR(IF(INDEX(Spring!$1:$1048576,MATCH(All!$A594,Spring!$A:$A,FALSE),MATCH(All!AC$1,Spring!$1:$1,FALSE))="","",INDEX(Spring!$1:$1048576,MATCH(All!$A594,Spring!$A:$A,FALSE),MATCH(All!AC$1,Spring!$1:$1,FALSE))),"")</f>
        <v>1A</v>
      </c>
      <c r="AD594" t="str">
        <f>IFERROR(VLOOKUP(A594,'Flag Football'!A:A,1,FALSE),"")</f>
        <v/>
      </c>
      <c r="AE594" t="str">
        <f t="shared" si="9"/>
        <v/>
      </c>
    </row>
    <row r="595" spans="1:31" ht="15.75" thickBot="1" x14ac:dyDescent="0.3">
      <c r="A595" s="20" t="s">
        <v>693</v>
      </c>
      <c r="B595" s="38">
        <f>IFERROR(VLOOKUP(A595,'Public v Private'!A:G,3,FALSE),"")</f>
        <v>0</v>
      </c>
      <c r="C595" s="38">
        <f>IFERROR(VLOOKUP(A595,'Public v Private'!A:G,4,FALSE),"")</f>
        <v>0</v>
      </c>
      <c r="D595" s="38">
        <f>IFERROR(VLOOKUP(A595,'Public v Private'!A:G,5,FALSE),"")</f>
        <v>0</v>
      </c>
      <c r="E595" s="38"/>
      <c r="F595" s="40">
        <f>IFERROR(INDEX(Fall!$1:$1048576,MATCH(All!$A595,Fall!$A:$A,FALSE),MATCH(All!F$1,Fall!$1:$1,FALSE)),"N/A")</f>
        <v>146</v>
      </c>
      <c r="G595" t="str">
        <f>IFERROR(IF(INDEX(Fall!$1:$1048576,MATCH(All!$A595,Fall!$A:$A,FALSE),MATCH(All!G$1,Fall!$1:$1,FALSE))="","",INDEX(Fall!$1:$1048576,MATCH(All!$A595,Fall!$A:$A,FALSE),MATCH(All!G$1,Fall!$1:$1,FALSE))),"")</f>
        <v/>
      </c>
      <c r="H595" t="str">
        <f>IFERROR(IF(INDEX(Fall!$1:$1048576,MATCH(All!$A595,Fall!$A:$A,FALSE),MATCH(All!H$1,Fall!$1:$1,FALSE))="","",INDEX(Fall!$1:$1048576,MATCH(All!$A595,Fall!$A:$A,FALSE),MATCH(All!H$1,Fall!$1:$1,FALSE))),"")</f>
        <v/>
      </c>
      <c r="I595" t="str">
        <f>IFERROR(IF(INDEX(Fall!$1:$1048576,MATCH(All!$A595,Fall!$A:$A,FALSE),MATCH(All!I$1,Fall!$1:$1,FALSE))="","",INDEX(Fall!$1:$1048576,MATCH(All!$A595,Fall!$A:$A,FALSE),MATCH(All!I$1,Fall!$1:$1,FALSE))),"")</f>
        <v>1A</v>
      </c>
      <c r="J595" t="str">
        <f>IFERROR(IF(INDEX(Fall!$1:$1048576,MATCH(All!$A595,Fall!$A:$A,FALSE),MATCH(All!J$1,Fall!$1:$1,FALSE))="","",INDEX(Fall!$1:$1048576,MATCH(All!$A595,Fall!$A:$A,FALSE),MATCH(All!J$1,Fall!$1:$1,FALSE))),"")</f>
        <v>1A</v>
      </c>
      <c r="K595" t="str">
        <f>IFERROR(IF(INDEX(Fall!$1:$1048576,MATCH(All!$A595,Fall!$A:$A,FALSE),MATCH(All!K$1,Fall!$1:$1,FALSE))="","",INDEX(Fall!$1:$1048576,MATCH(All!$A595,Fall!$A:$A,FALSE),MATCH(All!K$1,Fall!$1:$1,FALSE))),"")</f>
        <v/>
      </c>
      <c r="L595" t="str">
        <f>IFERROR(IF(INDEX(Fall!$1:$1048576,MATCH(All!$A595,Fall!$A:$A,FALSE),MATCH(All!L$1,Fall!$1:$1,FALSE))="","",INDEX(Fall!$1:$1048576,MATCH(All!$A595,Fall!$A:$A,FALSE),MATCH(All!L$1,Fall!$1:$1,FALSE))),"")</f>
        <v/>
      </c>
      <c r="M595" t="str">
        <f>IFERROR(IF(INDEX(Fall!$1:$1048576,MATCH(All!$A595,Fall!$A:$A,FALSE),MATCH(All!M$1,Fall!$1:$1,FALSE))="","",INDEX(Fall!$1:$1048576,MATCH(All!$A595,Fall!$A:$A,FALSE),MATCH(All!M$1,Fall!$1:$1,FALSE))),"")</f>
        <v>1A</v>
      </c>
      <c r="O595">
        <f>IFERROR(IF(INDEX(Winter!$1:$1048576,MATCH(All!$A595,Winter!$A:$A,FALSE),MATCH(All!O$1,Winter!$1:$1,FALSE))="","",INDEX(Winter!$1:$1048576,MATCH(All!$A595,Winter!$A:$A,FALSE),MATCH(All!O$1,Winter!$1:$1,FALSE))),"")</f>
        <v>146</v>
      </c>
      <c r="P595" t="str">
        <f>IFERROR(IF(INDEX(Winter!$1:$1048576,MATCH(All!$A595,Winter!$A:$A,FALSE),MATCH(All!P$1,Winter!$1:$1,FALSE))="","",INDEX(Winter!$1:$1048576,MATCH(All!$A595,Winter!$A:$A,FALSE),MATCH(All!P$1,Winter!$1:$1,FALSE))),"")</f>
        <v>1A</v>
      </c>
      <c r="Q595" t="str">
        <f>IFERROR(IF(INDEX(Winter!$1:$1048576,MATCH(All!$A595,Winter!$A:$A,FALSE),MATCH(All!Q$1,Winter!$1:$1,FALSE))="","",INDEX(Winter!$1:$1048576,MATCH(All!$A595,Winter!$A:$A,FALSE),MATCH(All!Q$1,Winter!$1:$1,FALSE))),"")</f>
        <v>1A</v>
      </c>
      <c r="R595" t="str">
        <f>IFERROR(IF(INDEX(Winter!$1:$1048576,MATCH(All!$A595,Winter!$A:$A,FALSE),MATCH(All!R$1,Winter!$1:$1,FALSE))="","",INDEX(Winter!$1:$1048576,MATCH(All!$A595,Winter!$A:$A,FALSE),MATCH(All!R$1,Winter!$1:$1,FALSE))),"")</f>
        <v/>
      </c>
      <c r="S595" t="str">
        <f>IFERROR(IF(INDEX(Winter!$1:$1048576,MATCH(All!$A595,Winter!$A:$A,FALSE),MATCH(All!S$1,Winter!$1:$1,FALSE))="","",INDEX(Winter!$1:$1048576,MATCH(All!$A595,Winter!$A:$A,FALSE),MATCH(All!S$1,Winter!$1:$1,FALSE))),"")</f>
        <v/>
      </c>
      <c r="T595" t="str">
        <f>IFERROR(IF(INDEX(Winter!$1:$1048576,MATCH(All!$A595,Winter!$A:$A,FALSE),MATCH(All!T$1,Winter!$1:$1,FALSE))="","",INDEX(Winter!$1:$1048576,MATCH(All!$A595,Winter!$A:$A,FALSE),MATCH(All!T$1,Winter!$1:$1,FALSE))),"")</f>
        <v>1A</v>
      </c>
      <c r="U595" t="str">
        <f>IFERROR(IF(INDEX(Winter!$1:$1048576,MATCH(All!$A595,Winter!$A:$A,FALSE),MATCH(All!U$1,Winter!$1:$1,FALSE))="","",INDEX(Winter!$1:$1048576,MATCH(All!$A595,Winter!$A:$A,FALSE),MATCH(All!U$1,Winter!$1:$1,FALSE))),"")</f>
        <v/>
      </c>
      <c r="W595">
        <f>IFERROR(IF(INDEX(Spring!$1:$1048576,MATCH(All!$A595,Spring!$A:$A,FALSE),MATCH(All!W$1,Spring!$1:$1,FALSE))="","",INDEX(Spring!$1:$1048576,MATCH(All!$A595,Spring!$A:$A,FALSE),MATCH(All!W$1,Spring!$1:$1,FALSE))),"")</f>
        <v>146</v>
      </c>
      <c r="X595" t="str">
        <f>IFERROR(IF(INDEX(Spring!$1:$1048576,MATCH(All!$A595,Spring!$A:$A,FALSE),MATCH(All!X$1,Spring!$1:$1,FALSE))="","",INDEX(Spring!$1:$1048576,MATCH(All!$A595,Spring!$A:$A,FALSE),MATCH(All!X$1,Spring!$1:$1,FALSE))),"")</f>
        <v>1A</v>
      </c>
      <c r="Y595" t="str">
        <f>IFERROR(IF(INDEX(Spring!$1:$1048576,MATCH(All!$A595,Spring!$A:$A,FALSE),MATCH(All!Y$1,Spring!$1:$1,FALSE))="","",INDEX(Spring!$1:$1048576,MATCH(All!$A595,Spring!$A:$A,FALSE),MATCH(All!Y$1,Spring!$1:$1,FALSE))),"")</f>
        <v>1A</v>
      </c>
      <c r="Z595" t="str">
        <f>IFERROR(IF(INDEX(Spring!$1:$1048576,MATCH(All!$A595,Spring!$A:$A,FALSE),MATCH(All!Z$1,Spring!$1:$1,FALSE))="","",INDEX(Spring!$1:$1048576,MATCH(All!$A595,Spring!$A:$A,FALSE),MATCH(All!Z$1,Spring!$1:$1,FALSE))),"")</f>
        <v/>
      </c>
      <c r="AA595" t="str">
        <f>IFERROR(IF(INDEX(Spring!$1:$1048576,MATCH(All!$A595,Spring!$A:$A,FALSE),MATCH(All!AA$1,Spring!$1:$1,FALSE))="","",INDEX(Spring!$1:$1048576,MATCH(All!$A595,Spring!$A:$A,FALSE),MATCH(All!AA$1,Spring!$1:$1,FALSE))),"")</f>
        <v/>
      </c>
      <c r="AB595" t="str">
        <f>IFERROR(IF(INDEX(Spring!$1:$1048576,MATCH(All!$A595,Spring!$A:$A,FALSE),MATCH(All!AB$1,Spring!$1:$1,FALSE))="","",INDEX(Spring!$1:$1048576,MATCH(All!$A595,Spring!$A:$A,FALSE),MATCH(All!AB$1,Spring!$1:$1,FALSE))),"")</f>
        <v>1A</v>
      </c>
      <c r="AC595" t="str">
        <f>IFERROR(IF(INDEX(Spring!$1:$1048576,MATCH(All!$A595,Spring!$A:$A,FALSE),MATCH(All!AC$1,Spring!$1:$1,FALSE))="","",INDEX(Spring!$1:$1048576,MATCH(All!$A595,Spring!$A:$A,FALSE),MATCH(All!AC$1,Spring!$1:$1,FALSE))),"")</f>
        <v/>
      </c>
      <c r="AD595" t="str">
        <f>IFERROR(VLOOKUP(A595,'Flag Football'!A:A,1,FALSE),"")</f>
        <v/>
      </c>
      <c r="AE595" t="str">
        <f t="shared" si="9"/>
        <v/>
      </c>
    </row>
    <row r="596" spans="1:31" ht="15.75" thickBot="1" x14ac:dyDescent="0.3">
      <c r="A596" s="18" t="s">
        <v>694</v>
      </c>
      <c r="B596" s="38">
        <f>IFERROR(VLOOKUP(A596,'Public v Private'!A:G,3,FALSE),"")</f>
        <v>0</v>
      </c>
      <c r="C596" s="38">
        <f>IFERROR(VLOOKUP(A596,'Public v Private'!A:G,4,FALSE),"")</f>
        <v>0</v>
      </c>
      <c r="D596" s="38">
        <f>IFERROR(VLOOKUP(A596,'Public v Private'!A:G,5,FALSE),"")</f>
        <v>0</v>
      </c>
      <c r="E596" s="38"/>
      <c r="F596" s="40">
        <f>IFERROR(INDEX(Fall!$1:$1048576,MATCH(All!$A596,Fall!$A:$A,FALSE),MATCH(All!F$1,Fall!$1:$1,FALSE)),"N/A")</f>
        <v>299</v>
      </c>
      <c r="G596" t="str">
        <f>IFERROR(IF(INDEX(Fall!$1:$1048576,MATCH(All!$A596,Fall!$A:$A,FALSE),MATCH(All!G$1,Fall!$1:$1,FALSE))="","",INDEX(Fall!$1:$1048576,MATCH(All!$A596,Fall!$A:$A,FALSE),MATCH(All!G$1,Fall!$1:$1,FALSE))),"")</f>
        <v/>
      </c>
      <c r="H596" t="str">
        <f>IFERROR(IF(INDEX(Fall!$1:$1048576,MATCH(All!$A596,Fall!$A:$A,FALSE),MATCH(All!H$1,Fall!$1:$1,FALSE))="","",INDEX(Fall!$1:$1048576,MATCH(All!$A596,Fall!$A:$A,FALSE),MATCH(All!H$1,Fall!$1:$1,FALSE))),"")</f>
        <v/>
      </c>
      <c r="I596" t="str">
        <f>IFERROR(IF(INDEX(Fall!$1:$1048576,MATCH(All!$A596,Fall!$A:$A,FALSE),MATCH(All!I$1,Fall!$1:$1,FALSE))="","",INDEX(Fall!$1:$1048576,MATCH(All!$A596,Fall!$A:$A,FALSE),MATCH(All!I$1,Fall!$1:$1,FALSE))),"")</f>
        <v>1A</v>
      </c>
      <c r="J596" t="str">
        <f>IFERROR(IF(INDEX(Fall!$1:$1048576,MATCH(All!$A596,Fall!$A:$A,FALSE),MATCH(All!J$1,Fall!$1:$1,FALSE))="","",INDEX(Fall!$1:$1048576,MATCH(All!$A596,Fall!$A:$A,FALSE),MATCH(All!J$1,Fall!$1:$1,FALSE))),"")</f>
        <v>1A</v>
      </c>
      <c r="K596" t="str">
        <f>IFERROR(IF(INDEX(Fall!$1:$1048576,MATCH(All!$A596,Fall!$A:$A,FALSE),MATCH(All!K$1,Fall!$1:$1,FALSE))="","",INDEX(Fall!$1:$1048576,MATCH(All!$A596,Fall!$A:$A,FALSE),MATCH(All!K$1,Fall!$1:$1,FALSE))),"")</f>
        <v>1A</v>
      </c>
      <c r="L596" t="str">
        <f>IFERROR(IF(INDEX(Fall!$1:$1048576,MATCH(All!$A596,Fall!$A:$A,FALSE),MATCH(All!L$1,Fall!$1:$1,FALSE))="","",INDEX(Fall!$1:$1048576,MATCH(All!$A596,Fall!$A:$A,FALSE),MATCH(All!L$1,Fall!$1:$1,FALSE))),"")</f>
        <v/>
      </c>
      <c r="M596" t="str">
        <f>IFERROR(IF(INDEX(Fall!$1:$1048576,MATCH(All!$A596,Fall!$A:$A,FALSE),MATCH(All!M$1,Fall!$1:$1,FALSE))="","",INDEX(Fall!$1:$1048576,MATCH(All!$A596,Fall!$A:$A,FALSE),MATCH(All!M$1,Fall!$1:$1,FALSE))),"")</f>
        <v>1A</v>
      </c>
      <c r="O596">
        <f>IFERROR(IF(INDEX(Winter!$1:$1048576,MATCH(All!$A596,Winter!$A:$A,FALSE),MATCH(All!O$1,Winter!$1:$1,FALSE))="","",INDEX(Winter!$1:$1048576,MATCH(All!$A596,Winter!$A:$A,FALSE),MATCH(All!O$1,Winter!$1:$1,FALSE))),"")</f>
        <v>299</v>
      </c>
      <c r="P596" t="str">
        <f>IFERROR(IF(INDEX(Winter!$1:$1048576,MATCH(All!$A596,Winter!$A:$A,FALSE),MATCH(All!P$1,Winter!$1:$1,FALSE))="","",INDEX(Winter!$1:$1048576,MATCH(All!$A596,Winter!$A:$A,FALSE),MATCH(All!P$1,Winter!$1:$1,FALSE))),"")</f>
        <v>1A</v>
      </c>
      <c r="Q596" t="str">
        <f>IFERROR(IF(INDEX(Winter!$1:$1048576,MATCH(All!$A596,Winter!$A:$A,FALSE),MATCH(All!Q$1,Winter!$1:$1,FALSE))="","",INDEX(Winter!$1:$1048576,MATCH(All!$A596,Winter!$A:$A,FALSE),MATCH(All!Q$1,Winter!$1:$1,FALSE))),"")</f>
        <v>1A</v>
      </c>
      <c r="R596" t="str">
        <f>IFERROR(IF(INDEX(Winter!$1:$1048576,MATCH(All!$A596,Winter!$A:$A,FALSE),MATCH(All!R$1,Winter!$1:$1,FALSE))="","",INDEX(Winter!$1:$1048576,MATCH(All!$A596,Winter!$A:$A,FALSE),MATCH(All!R$1,Winter!$1:$1,FALSE))),"")</f>
        <v/>
      </c>
      <c r="S596" t="str">
        <f>IFERROR(IF(INDEX(Winter!$1:$1048576,MATCH(All!$A596,Winter!$A:$A,FALSE),MATCH(All!S$1,Winter!$1:$1,FALSE))="","",INDEX(Winter!$1:$1048576,MATCH(All!$A596,Winter!$A:$A,FALSE),MATCH(All!S$1,Winter!$1:$1,FALSE))),"")</f>
        <v/>
      </c>
      <c r="T596" t="str">
        <f>IFERROR(IF(INDEX(Winter!$1:$1048576,MATCH(All!$A596,Winter!$A:$A,FALSE),MATCH(All!T$1,Winter!$1:$1,FALSE))="","",INDEX(Winter!$1:$1048576,MATCH(All!$A596,Winter!$A:$A,FALSE),MATCH(All!T$1,Winter!$1:$1,FALSE))),"")</f>
        <v>1A</v>
      </c>
      <c r="U596" t="str">
        <f>IFERROR(IF(INDEX(Winter!$1:$1048576,MATCH(All!$A596,Winter!$A:$A,FALSE),MATCH(All!U$1,Winter!$1:$1,FALSE))="","",INDEX(Winter!$1:$1048576,MATCH(All!$A596,Winter!$A:$A,FALSE),MATCH(All!U$1,Winter!$1:$1,FALSE))),"")</f>
        <v/>
      </c>
      <c r="W596">
        <f>IFERROR(IF(INDEX(Spring!$1:$1048576,MATCH(All!$A596,Spring!$A:$A,FALSE),MATCH(All!W$1,Spring!$1:$1,FALSE))="","",INDEX(Spring!$1:$1048576,MATCH(All!$A596,Spring!$A:$A,FALSE),MATCH(All!W$1,Spring!$1:$1,FALSE))),"")</f>
        <v>299</v>
      </c>
      <c r="X596" t="str">
        <f>IFERROR(IF(INDEX(Spring!$1:$1048576,MATCH(All!$A596,Spring!$A:$A,FALSE),MATCH(All!X$1,Spring!$1:$1,FALSE))="","",INDEX(Spring!$1:$1048576,MATCH(All!$A596,Spring!$A:$A,FALSE),MATCH(All!X$1,Spring!$1:$1,FALSE))),"")</f>
        <v>2A</v>
      </c>
      <c r="Y596" t="str">
        <f>IFERROR(IF(INDEX(Spring!$1:$1048576,MATCH(All!$A596,Spring!$A:$A,FALSE),MATCH(All!Y$1,Spring!$1:$1,FALSE))="","",INDEX(Spring!$1:$1048576,MATCH(All!$A596,Spring!$A:$A,FALSE),MATCH(All!Y$1,Spring!$1:$1,FALSE))),"")</f>
        <v>1A</v>
      </c>
      <c r="Z596" t="str">
        <f>IFERROR(IF(INDEX(Spring!$1:$1048576,MATCH(All!$A596,Spring!$A:$A,FALSE),MATCH(All!Z$1,Spring!$1:$1,FALSE))="","",INDEX(Spring!$1:$1048576,MATCH(All!$A596,Spring!$A:$A,FALSE),MATCH(All!Z$1,Spring!$1:$1,FALSE))),"")</f>
        <v>1A</v>
      </c>
      <c r="AA596" t="str">
        <f>IFERROR(IF(INDEX(Spring!$1:$1048576,MATCH(All!$A596,Spring!$A:$A,FALSE),MATCH(All!AA$1,Spring!$1:$1,FALSE))="","",INDEX(Spring!$1:$1048576,MATCH(All!$A596,Spring!$A:$A,FALSE),MATCH(All!AA$1,Spring!$1:$1,FALSE))),"")</f>
        <v/>
      </c>
      <c r="AB596" t="str">
        <f>IFERROR(IF(INDEX(Spring!$1:$1048576,MATCH(All!$A596,Spring!$A:$A,FALSE),MATCH(All!AB$1,Spring!$1:$1,FALSE))="","",INDEX(Spring!$1:$1048576,MATCH(All!$A596,Spring!$A:$A,FALSE),MATCH(All!AB$1,Spring!$1:$1,FALSE))),"")</f>
        <v>2A</v>
      </c>
      <c r="AC596" t="str">
        <f>IFERROR(IF(INDEX(Spring!$1:$1048576,MATCH(All!$A596,Spring!$A:$A,FALSE),MATCH(All!AC$1,Spring!$1:$1,FALSE))="","",INDEX(Spring!$1:$1048576,MATCH(All!$A596,Spring!$A:$A,FALSE),MATCH(All!AC$1,Spring!$1:$1,FALSE))),"")</f>
        <v>2A</v>
      </c>
      <c r="AD596" t="str">
        <f>IFERROR(VLOOKUP(A596,'Flag Football'!A:A,1,FALSE),"")</f>
        <v/>
      </c>
      <c r="AE596" t="str">
        <f t="shared" si="9"/>
        <v/>
      </c>
    </row>
    <row r="597" spans="1:31" ht="15.75" thickBot="1" x14ac:dyDescent="0.3">
      <c r="A597" s="20" t="s">
        <v>695</v>
      </c>
      <c r="B597" s="38">
        <f>IFERROR(VLOOKUP(A597,'Public v Private'!A:G,3,FALSE),"")</f>
        <v>0</v>
      </c>
      <c r="C597" s="38">
        <f>IFERROR(VLOOKUP(A597,'Public v Private'!A:G,4,FALSE),"")</f>
        <v>0</v>
      </c>
      <c r="D597" s="38">
        <f>IFERROR(VLOOKUP(A597,'Public v Private'!A:G,5,FALSE),"")</f>
        <v>0</v>
      </c>
      <c r="E597" s="38"/>
      <c r="F597" s="40">
        <f>IFERROR(INDEX(Fall!$1:$1048576,MATCH(All!$A597,Fall!$A:$A,FALSE),MATCH(All!F$1,Fall!$1:$1,FALSE)),"N/A")</f>
        <v>1675</v>
      </c>
      <c r="G597" t="str">
        <f>IFERROR(IF(INDEX(Fall!$1:$1048576,MATCH(All!$A597,Fall!$A:$A,FALSE),MATCH(All!G$1,Fall!$1:$1,FALSE))="","",INDEX(Fall!$1:$1048576,MATCH(All!$A597,Fall!$A:$A,FALSE),MATCH(All!G$1,Fall!$1:$1,FALSE))),"")</f>
        <v>3A</v>
      </c>
      <c r="H597" t="str">
        <f>IFERROR(IF(INDEX(Fall!$1:$1048576,MATCH(All!$A597,Fall!$A:$A,FALSE),MATCH(All!H$1,Fall!$1:$1,FALSE))="","",INDEX(Fall!$1:$1048576,MATCH(All!$A597,Fall!$A:$A,FALSE),MATCH(All!H$1,Fall!$1:$1,FALSE))),"")</f>
        <v>3A</v>
      </c>
      <c r="I597" t="str">
        <f>IFERROR(IF(INDEX(Fall!$1:$1048576,MATCH(All!$A597,Fall!$A:$A,FALSE),MATCH(All!I$1,Fall!$1:$1,FALSE))="","",INDEX(Fall!$1:$1048576,MATCH(All!$A597,Fall!$A:$A,FALSE),MATCH(All!I$1,Fall!$1:$1,FALSE))),"")</f>
        <v>3A</v>
      </c>
      <c r="J597" t="str">
        <f>IFERROR(IF(INDEX(Fall!$1:$1048576,MATCH(All!$A597,Fall!$A:$A,FALSE),MATCH(All!J$1,Fall!$1:$1,FALSE))="","",INDEX(Fall!$1:$1048576,MATCH(All!$A597,Fall!$A:$A,FALSE),MATCH(All!J$1,Fall!$1:$1,FALSE))),"")</f>
        <v>2A</v>
      </c>
      <c r="K597" t="str">
        <f>IFERROR(IF(INDEX(Fall!$1:$1048576,MATCH(All!$A597,Fall!$A:$A,FALSE),MATCH(All!K$1,Fall!$1:$1,FALSE))="","",INDEX(Fall!$1:$1048576,MATCH(All!$A597,Fall!$A:$A,FALSE),MATCH(All!K$1,Fall!$1:$1,FALSE))),"")</f>
        <v>2A</v>
      </c>
      <c r="L597" t="str">
        <f>IFERROR(IF(INDEX(Fall!$1:$1048576,MATCH(All!$A597,Fall!$A:$A,FALSE),MATCH(All!L$1,Fall!$1:$1,FALSE))="","",INDEX(Fall!$1:$1048576,MATCH(All!$A597,Fall!$A:$A,FALSE),MATCH(All!L$1,Fall!$1:$1,FALSE))),"")</f>
        <v>2A</v>
      </c>
      <c r="M597" t="str">
        <f>IFERROR(IF(INDEX(Fall!$1:$1048576,MATCH(All!$A597,Fall!$A:$A,FALSE),MATCH(All!M$1,Fall!$1:$1,FALSE))="","",INDEX(Fall!$1:$1048576,MATCH(All!$A597,Fall!$A:$A,FALSE),MATCH(All!M$1,Fall!$1:$1,FALSE))),"")</f>
        <v>4A</v>
      </c>
      <c r="O597">
        <f>IFERROR(IF(INDEX(Winter!$1:$1048576,MATCH(All!$A597,Winter!$A:$A,FALSE),MATCH(All!O$1,Winter!$1:$1,FALSE))="","",INDEX(Winter!$1:$1048576,MATCH(All!$A597,Winter!$A:$A,FALSE),MATCH(All!O$1,Winter!$1:$1,FALSE))),"")</f>
        <v>1675</v>
      </c>
      <c r="P597" t="str">
        <f>IFERROR(IF(INDEX(Winter!$1:$1048576,MATCH(All!$A597,Winter!$A:$A,FALSE),MATCH(All!P$1,Winter!$1:$1,FALSE))="","",INDEX(Winter!$1:$1048576,MATCH(All!$A597,Winter!$A:$A,FALSE),MATCH(All!P$1,Winter!$1:$1,FALSE))),"")</f>
        <v>4A</v>
      </c>
      <c r="Q597" t="str">
        <f>IFERROR(IF(INDEX(Winter!$1:$1048576,MATCH(All!$A597,Winter!$A:$A,FALSE),MATCH(All!Q$1,Winter!$1:$1,FALSE))="","",INDEX(Winter!$1:$1048576,MATCH(All!$A597,Winter!$A:$A,FALSE),MATCH(All!Q$1,Winter!$1:$1,FALSE))),"")</f>
        <v>4A</v>
      </c>
      <c r="R597" t="str">
        <f>IFERROR(IF(INDEX(Winter!$1:$1048576,MATCH(All!$A597,Winter!$A:$A,FALSE),MATCH(All!R$1,Winter!$1:$1,FALSE))="","",INDEX(Winter!$1:$1048576,MATCH(All!$A597,Winter!$A:$A,FALSE),MATCH(All!R$1,Winter!$1:$1,FALSE))),"")</f>
        <v>3A</v>
      </c>
      <c r="S597" t="str">
        <f>IFERROR(IF(INDEX(Winter!$1:$1048576,MATCH(All!$A597,Winter!$A:$A,FALSE),MATCH(All!S$1,Winter!$1:$1,FALSE))="","",INDEX(Winter!$1:$1048576,MATCH(All!$A597,Winter!$A:$A,FALSE),MATCH(All!S$1,Winter!$1:$1,FALSE))),"")</f>
        <v>2A</v>
      </c>
      <c r="T597" t="str">
        <f>IFERROR(IF(INDEX(Winter!$1:$1048576,MATCH(All!$A597,Winter!$A:$A,FALSE),MATCH(All!T$1,Winter!$1:$1,FALSE))="","",INDEX(Winter!$1:$1048576,MATCH(All!$A597,Winter!$A:$A,FALSE),MATCH(All!T$1,Winter!$1:$1,FALSE))),"")</f>
        <v>2A</v>
      </c>
      <c r="U597" t="str">
        <f>IFERROR(IF(INDEX(Winter!$1:$1048576,MATCH(All!$A597,Winter!$A:$A,FALSE),MATCH(All!U$1,Winter!$1:$1,FALSE))="","",INDEX(Winter!$1:$1048576,MATCH(All!$A597,Winter!$A:$A,FALSE),MATCH(All!U$1,Winter!$1:$1,FALSE))),"")</f>
        <v>2A</v>
      </c>
      <c r="W597">
        <f>IFERROR(IF(INDEX(Spring!$1:$1048576,MATCH(All!$A597,Spring!$A:$A,FALSE),MATCH(All!W$1,Spring!$1:$1,FALSE))="","",INDEX(Spring!$1:$1048576,MATCH(All!$A597,Spring!$A:$A,FALSE),MATCH(All!W$1,Spring!$1:$1,FALSE))),"")</f>
        <v>1675</v>
      </c>
      <c r="X597" t="str">
        <f>IFERROR(IF(INDEX(Spring!$1:$1048576,MATCH(All!$A597,Spring!$A:$A,FALSE),MATCH(All!X$1,Spring!$1:$1,FALSE))="","",INDEX(Spring!$1:$1048576,MATCH(All!$A597,Spring!$A:$A,FALSE),MATCH(All!X$1,Spring!$1:$1,FALSE))),"")</f>
        <v>4A</v>
      </c>
      <c r="Y597" t="str">
        <f>IFERROR(IF(INDEX(Spring!$1:$1048576,MATCH(All!$A597,Spring!$A:$A,FALSE),MATCH(All!Y$1,Spring!$1:$1,FALSE))="","",INDEX(Spring!$1:$1048576,MATCH(All!$A597,Spring!$A:$A,FALSE),MATCH(All!Y$1,Spring!$1:$1,FALSE))),"")</f>
        <v>4A</v>
      </c>
      <c r="Z597" t="str">
        <f>IFERROR(IF(INDEX(Spring!$1:$1048576,MATCH(All!$A597,Spring!$A:$A,FALSE),MATCH(All!Z$1,Spring!$1:$1,FALSE))="","",INDEX(Spring!$1:$1048576,MATCH(All!$A597,Spring!$A:$A,FALSE),MATCH(All!Z$1,Spring!$1:$1,FALSE))),"")</f>
        <v>2A</v>
      </c>
      <c r="AA597" t="str">
        <f>IFERROR(IF(INDEX(Spring!$1:$1048576,MATCH(All!$A597,Spring!$A:$A,FALSE),MATCH(All!AA$1,Spring!$1:$1,FALSE))="","",INDEX(Spring!$1:$1048576,MATCH(All!$A597,Spring!$A:$A,FALSE),MATCH(All!AA$1,Spring!$1:$1,FALSE))),"")</f>
        <v>2A</v>
      </c>
      <c r="AB597" t="str">
        <f>IFERROR(IF(INDEX(Spring!$1:$1048576,MATCH(All!$A597,Spring!$A:$A,FALSE),MATCH(All!AB$1,Spring!$1:$1,FALSE))="","",INDEX(Spring!$1:$1048576,MATCH(All!$A597,Spring!$A:$A,FALSE),MATCH(All!AB$1,Spring!$1:$1,FALSE))),"")</f>
        <v>3A</v>
      </c>
      <c r="AC597" t="str">
        <f>IFERROR(IF(INDEX(Spring!$1:$1048576,MATCH(All!$A597,Spring!$A:$A,FALSE),MATCH(All!AC$1,Spring!$1:$1,FALSE))="","",INDEX(Spring!$1:$1048576,MATCH(All!$A597,Spring!$A:$A,FALSE),MATCH(All!AC$1,Spring!$1:$1,FALSE))),"")</f>
        <v>3A</v>
      </c>
      <c r="AD597" t="str">
        <f>IFERROR(VLOOKUP(A597,'Flag Football'!A:A,1,FALSE),"")</f>
        <v/>
      </c>
      <c r="AE597" t="str">
        <f t="shared" si="9"/>
        <v/>
      </c>
    </row>
    <row r="598" spans="1:31" ht="15.75" thickBot="1" x14ac:dyDescent="0.3">
      <c r="A598" s="18" t="s">
        <v>696</v>
      </c>
      <c r="B598" s="38">
        <f>IFERROR(VLOOKUP(A598,'Public v Private'!A:G,3,FALSE),"")</f>
        <v>0</v>
      </c>
      <c r="C598" s="38">
        <f>IFERROR(VLOOKUP(A598,'Public v Private'!A:G,4,FALSE),"")</f>
        <v>0</v>
      </c>
      <c r="D598" s="38">
        <f>IFERROR(VLOOKUP(A598,'Public v Private'!A:G,5,FALSE),"")</f>
        <v>0</v>
      </c>
      <c r="E598" s="38"/>
      <c r="F598" s="40">
        <f>IFERROR(INDEX(Fall!$1:$1048576,MATCH(All!$A598,Fall!$A:$A,FALSE),MATCH(All!F$1,Fall!$1:$1,FALSE)),"N/A")</f>
        <v>1287</v>
      </c>
      <c r="G598" t="str">
        <f>IFERROR(IF(INDEX(Fall!$1:$1048576,MATCH(All!$A598,Fall!$A:$A,FALSE),MATCH(All!G$1,Fall!$1:$1,FALSE))="","",INDEX(Fall!$1:$1048576,MATCH(All!$A598,Fall!$A:$A,FALSE),MATCH(All!G$1,Fall!$1:$1,FALSE))),"")</f>
        <v>2A</v>
      </c>
      <c r="H598" t="str">
        <f>IFERROR(IF(INDEX(Fall!$1:$1048576,MATCH(All!$A598,Fall!$A:$A,FALSE),MATCH(All!H$1,Fall!$1:$1,FALSE))="","",INDEX(Fall!$1:$1048576,MATCH(All!$A598,Fall!$A:$A,FALSE),MATCH(All!H$1,Fall!$1:$1,FALSE))),"")</f>
        <v/>
      </c>
      <c r="I598" t="str">
        <f>IFERROR(IF(INDEX(Fall!$1:$1048576,MATCH(All!$A598,Fall!$A:$A,FALSE),MATCH(All!I$1,Fall!$1:$1,FALSE))="","",INDEX(Fall!$1:$1048576,MATCH(All!$A598,Fall!$A:$A,FALSE),MATCH(All!I$1,Fall!$1:$1,FALSE))),"")</f>
        <v/>
      </c>
      <c r="J598" t="str">
        <f>IFERROR(IF(INDEX(Fall!$1:$1048576,MATCH(All!$A598,Fall!$A:$A,FALSE),MATCH(All!J$1,Fall!$1:$1,FALSE))="","",INDEX(Fall!$1:$1048576,MATCH(All!$A598,Fall!$A:$A,FALSE),MATCH(All!J$1,Fall!$1:$1,FALSE))),"")</f>
        <v/>
      </c>
      <c r="K598" t="str">
        <f>IFERROR(IF(INDEX(Fall!$1:$1048576,MATCH(All!$A598,Fall!$A:$A,FALSE),MATCH(All!K$1,Fall!$1:$1,FALSE))="","",INDEX(Fall!$1:$1048576,MATCH(All!$A598,Fall!$A:$A,FALSE),MATCH(All!K$1,Fall!$1:$1,FALSE))),"")</f>
        <v>2A</v>
      </c>
      <c r="L598" t="str">
        <f>IFERROR(IF(INDEX(Fall!$1:$1048576,MATCH(All!$A598,Fall!$A:$A,FALSE),MATCH(All!L$1,Fall!$1:$1,FALSE))="","",INDEX(Fall!$1:$1048576,MATCH(All!$A598,Fall!$A:$A,FALSE),MATCH(All!L$1,Fall!$1:$1,FALSE))),"")</f>
        <v/>
      </c>
      <c r="M598" t="str">
        <f>IFERROR(IF(INDEX(Fall!$1:$1048576,MATCH(All!$A598,Fall!$A:$A,FALSE),MATCH(All!M$1,Fall!$1:$1,FALSE))="","",INDEX(Fall!$1:$1048576,MATCH(All!$A598,Fall!$A:$A,FALSE),MATCH(All!M$1,Fall!$1:$1,FALSE))),"")</f>
        <v>3A</v>
      </c>
      <c r="O598">
        <f>IFERROR(IF(INDEX(Winter!$1:$1048576,MATCH(All!$A598,Winter!$A:$A,FALSE),MATCH(All!O$1,Winter!$1:$1,FALSE))="","",INDEX(Winter!$1:$1048576,MATCH(All!$A598,Winter!$A:$A,FALSE),MATCH(All!O$1,Winter!$1:$1,FALSE))),"")</f>
        <v>1287</v>
      </c>
      <c r="P598" t="str">
        <f>IFERROR(IF(INDEX(Winter!$1:$1048576,MATCH(All!$A598,Winter!$A:$A,FALSE),MATCH(All!P$1,Winter!$1:$1,FALSE))="","",INDEX(Winter!$1:$1048576,MATCH(All!$A598,Winter!$A:$A,FALSE),MATCH(All!P$1,Winter!$1:$1,FALSE))),"")</f>
        <v>3A</v>
      </c>
      <c r="Q598" t="str">
        <f>IFERROR(IF(INDEX(Winter!$1:$1048576,MATCH(All!$A598,Winter!$A:$A,FALSE),MATCH(All!Q$1,Winter!$1:$1,FALSE))="","",INDEX(Winter!$1:$1048576,MATCH(All!$A598,Winter!$A:$A,FALSE),MATCH(All!Q$1,Winter!$1:$1,FALSE))),"")</f>
        <v>3A</v>
      </c>
      <c r="R598" t="str">
        <f>IFERROR(IF(INDEX(Winter!$1:$1048576,MATCH(All!$A598,Winter!$A:$A,FALSE),MATCH(All!R$1,Winter!$1:$1,FALSE))="","",INDEX(Winter!$1:$1048576,MATCH(All!$A598,Winter!$A:$A,FALSE),MATCH(All!R$1,Winter!$1:$1,FALSE))),"")</f>
        <v>2A</v>
      </c>
      <c r="S598" t="str">
        <f>IFERROR(IF(INDEX(Winter!$1:$1048576,MATCH(All!$A598,Winter!$A:$A,FALSE),MATCH(All!S$1,Winter!$1:$1,FALSE))="","",INDEX(Winter!$1:$1048576,MATCH(All!$A598,Winter!$A:$A,FALSE),MATCH(All!S$1,Winter!$1:$1,FALSE))),"")</f>
        <v/>
      </c>
      <c r="T598" t="str">
        <f>IFERROR(IF(INDEX(Winter!$1:$1048576,MATCH(All!$A598,Winter!$A:$A,FALSE),MATCH(All!T$1,Winter!$1:$1,FALSE))="","",INDEX(Winter!$1:$1048576,MATCH(All!$A598,Winter!$A:$A,FALSE),MATCH(All!T$1,Winter!$1:$1,FALSE))),"")</f>
        <v/>
      </c>
      <c r="U598" t="str">
        <f>IFERROR(IF(INDEX(Winter!$1:$1048576,MATCH(All!$A598,Winter!$A:$A,FALSE),MATCH(All!U$1,Winter!$1:$1,FALSE))="","",INDEX(Winter!$1:$1048576,MATCH(All!$A598,Winter!$A:$A,FALSE),MATCH(All!U$1,Winter!$1:$1,FALSE))),"")</f>
        <v>2A</v>
      </c>
      <c r="W598">
        <f>IFERROR(IF(INDEX(Spring!$1:$1048576,MATCH(All!$A598,Spring!$A:$A,FALSE),MATCH(All!W$1,Spring!$1:$1,FALSE))="","",INDEX(Spring!$1:$1048576,MATCH(All!$A598,Spring!$A:$A,FALSE),MATCH(All!W$1,Spring!$1:$1,FALSE))),"")</f>
        <v>1287</v>
      </c>
      <c r="X598" t="str">
        <f>IFERROR(IF(INDEX(Spring!$1:$1048576,MATCH(All!$A598,Spring!$A:$A,FALSE),MATCH(All!X$1,Spring!$1:$1,FALSE))="","",INDEX(Spring!$1:$1048576,MATCH(All!$A598,Spring!$A:$A,FALSE),MATCH(All!X$1,Spring!$1:$1,FALSE))),"")</f>
        <v>3A</v>
      </c>
      <c r="Y598" t="str">
        <f>IFERROR(IF(INDEX(Spring!$1:$1048576,MATCH(All!$A598,Spring!$A:$A,FALSE),MATCH(All!Y$1,Spring!$1:$1,FALSE))="","",INDEX(Spring!$1:$1048576,MATCH(All!$A598,Spring!$A:$A,FALSE),MATCH(All!Y$1,Spring!$1:$1,FALSE))),"")</f>
        <v/>
      </c>
      <c r="Z598" t="str">
        <f>IFERROR(IF(INDEX(Spring!$1:$1048576,MATCH(All!$A598,Spring!$A:$A,FALSE),MATCH(All!Z$1,Spring!$1:$1,FALSE))="","",INDEX(Spring!$1:$1048576,MATCH(All!$A598,Spring!$A:$A,FALSE),MATCH(All!Z$1,Spring!$1:$1,FALSE))),"")</f>
        <v/>
      </c>
      <c r="AA598" t="str">
        <f>IFERROR(IF(INDEX(Spring!$1:$1048576,MATCH(All!$A598,Spring!$A:$A,FALSE),MATCH(All!AA$1,Spring!$1:$1,FALSE))="","",INDEX(Spring!$1:$1048576,MATCH(All!$A598,Spring!$A:$A,FALSE),MATCH(All!AA$1,Spring!$1:$1,FALSE))),"")</f>
        <v/>
      </c>
      <c r="AB598" t="str">
        <f>IFERROR(IF(INDEX(Spring!$1:$1048576,MATCH(All!$A598,Spring!$A:$A,FALSE),MATCH(All!AB$1,Spring!$1:$1,FALSE))="","",INDEX(Spring!$1:$1048576,MATCH(All!$A598,Spring!$A:$A,FALSE),MATCH(All!AB$1,Spring!$1:$1,FALSE))),"")</f>
        <v>3A</v>
      </c>
      <c r="AC598" t="str">
        <f>IFERROR(IF(INDEX(Spring!$1:$1048576,MATCH(All!$A598,Spring!$A:$A,FALSE),MATCH(All!AC$1,Spring!$1:$1,FALSE))="","",INDEX(Spring!$1:$1048576,MATCH(All!$A598,Spring!$A:$A,FALSE),MATCH(All!AC$1,Spring!$1:$1,FALSE))),"")</f>
        <v>3A</v>
      </c>
      <c r="AD598" t="str">
        <f>IFERROR(VLOOKUP(A598,'Flag Football'!A:A,1,FALSE),"")</f>
        <v>Peoria (H.S.)</v>
      </c>
      <c r="AE598" t="str">
        <f t="shared" si="9"/>
        <v>1A</v>
      </c>
    </row>
    <row r="599" spans="1:31" ht="15.75" thickBot="1" x14ac:dyDescent="0.3">
      <c r="A599" s="20" t="s">
        <v>697</v>
      </c>
      <c r="B599" s="38">
        <f>IFERROR(VLOOKUP(A599,'Public v Private'!A:G,3,FALSE),"")</f>
        <v>0</v>
      </c>
      <c r="C599" s="38">
        <f>IFERROR(VLOOKUP(A599,'Public v Private'!A:G,4,FALSE),"")</f>
        <v>0</v>
      </c>
      <c r="D599" s="38">
        <f>IFERROR(VLOOKUP(A599,'Public v Private'!A:G,5,FALSE),"")</f>
        <v>0</v>
      </c>
      <c r="E599" s="38"/>
      <c r="F599" s="40">
        <f>IFERROR(INDEX(Fall!$1:$1048576,MATCH(All!$A599,Fall!$A:$A,FALSE),MATCH(All!F$1,Fall!$1:$1,FALSE)),"N/A")</f>
        <v>668</v>
      </c>
      <c r="G599" t="str">
        <f>IFERROR(IF(INDEX(Fall!$1:$1048576,MATCH(All!$A599,Fall!$A:$A,FALSE),MATCH(All!G$1,Fall!$1:$1,FALSE))="","",INDEX(Fall!$1:$1048576,MATCH(All!$A599,Fall!$A:$A,FALSE),MATCH(All!G$1,Fall!$1:$1,FALSE))),"")</f>
        <v/>
      </c>
      <c r="H599" t="str">
        <f>IFERROR(IF(INDEX(Fall!$1:$1048576,MATCH(All!$A599,Fall!$A:$A,FALSE),MATCH(All!H$1,Fall!$1:$1,FALSE))="","",INDEX(Fall!$1:$1048576,MATCH(All!$A599,Fall!$A:$A,FALSE),MATCH(All!H$1,Fall!$1:$1,FALSE))),"")</f>
        <v/>
      </c>
      <c r="I599" t="str">
        <f>IFERROR(IF(INDEX(Fall!$1:$1048576,MATCH(All!$A599,Fall!$A:$A,FALSE),MATCH(All!I$1,Fall!$1:$1,FALSE))="","",INDEX(Fall!$1:$1048576,MATCH(All!$A599,Fall!$A:$A,FALSE),MATCH(All!I$1,Fall!$1:$1,FALSE))),"")</f>
        <v/>
      </c>
      <c r="J599" t="str">
        <f>IFERROR(IF(INDEX(Fall!$1:$1048576,MATCH(All!$A599,Fall!$A:$A,FALSE),MATCH(All!J$1,Fall!$1:$1,FALSE))="","",INDEX(Fall!$1:$1048576,MATCH(All!$A599,Fall!$A:$A,FALSE),MATCH(All!J$1,Fall!$1:$1,FALSE))),"")</f>
        <v/>
      </c>
      <c r="K599" t="str">
        <f>IFERROR(IF(INDEX(Fall!$1:$1048576,MATCH(All!$A599,Fall!$A:$A,FALSE),MATCH(All!K$1,Fall!$1:$1,FALSE))="","",INDEX(Fall!$1:$1048576,MATCH(All!$A599,Fall!$A:$A,FALSE),MATCH(All!K$1,Fall!$1:$1,FALSE))),"")</f>
        <v>1A</v>
      </c>
      <c r="L599" t="str">
        <f>IFERROR(IF(INDEX(Fall!$1:$1048576,MATCH(All!$A599,Fall!$A:$A,FALSE),MATCH(All!L$1,Fall!$1:$1,FALSE))="","",INDEX(Fall!$1:$1048576,MATCH(All!$A599,Fall!$A:$A,FALSE),MATCH(All!L$1,Fall!$1:$1,FALSE))),"")</f>
        <v/>
      </c>
      <c r="M599" t="str">
        <f>IFERROR(IF(INDEX(Fall!$1:$1048576,MATCH(All!$A599,Fall!$A:$A,FALSE),MATCH(All!M$1,Fall!$1:$1,FALSE))="","",INDEX(Fall!$1:$1048576,MATCH(All!$A599,Fall!$A:$A,FALSE),MATCH(All!M$1,Fall!$1:$1,FALSE))),"")</f>
        <v>2A</v>
      </c>
      <c r="O599">
        <f>IFERROR(IF(INDEX(Winter!$1:$1048576,MATCH(All!$A599,Winter!$A:$A,FALSE),MATCH(All!O$1,Winter!$1:$1,FALSE))="","",INDEX(Winter!$1:$1048576,MATCH(All!$A599,Winter!$A:$A,FALSE),MATCH(All!O$1,Winter!$1:$1,FALSE))),"")</f>
        <v>668</v>
      </c>
      <c r="P599" t="str">
        <f>IFERROR(IF(INDEX(Winter!$1:$1048576,MATCH(All!$A599,Winter!$A:$A,FALSE),MATCH(All!P$1,Winter!$1:$1,FALSE))="","",INDEX(Winter!$1:$1048576,MATCH(All!$A599,Winter!$A:$A,FALSE),MATCH(All!P$1,Winter!$1:$1,FALSE))),"")</f>
        <v>2A</v>
      </c>
      <c r="Q599" t="str">
        <f>IFERROR(IF(INDEX(Winter!$1:$1048576,MATCH(All!$A599,Winter!$A:$A,FALSE),MATCH(All!Q$1,Winter!$1:$1,FALSE))="","",INDEX(Winter!$1:$1048576,MATCH(All!$A599,Winter!$A:$A,FALSE),MATCH(All!Q$1,Winter!$1:$1,FALSE))),"")</f>
        <v>2A</v>
      </c>
      <c r="R599" t="str">
        <f>IFERROR(IF(INDEX(Winter!$1:$1048576,MATCH(All!$A599,Winter!$A:$A,FALSE),MATCH(All!R$1,Winter!$1:$1,FALSE))="","",INDEX(Winter!$1:$1048576,MATCH(All!$A599,Winter!$A:$A,FALSE),MATCH(All!R$1,Winter!$1:$1,FALSE))),"")</f>
        <v/>
      </c>
      <c r="S599" t="str">
        <f>IFERROR(IF(INDEX(Winter!$1:$1048576,MATCH(All!$A599,Winter!$A:$A,FALSE),MATCH(All!S$1,Winter!$1:$1,FALSE))="","",INDEX(Winter!$1:$1048576,MATCH(All!$A599,Winter!$A:$A,FALSE),MATCH(All!S$1,Winter!$1:$1,FALSE))),"")</f>
        <v/>
      </c>
      <c r="T599" t="str">
        <f>IFERROR(IF(INDEX(Winter!$1:$1048576,MATCH(All!$A599,Winter!$A:$A,FALSE),MATCH(All!T$1,Winter!$1:$1,FALSE))="","",INDEX(Winter!$1:$1048576,MATCH(All!$A599,Winter!$A:$A,FALSE),MATCH(All!T$1,Winter!$1:$1,FALSE))),"")</f>
        <v/>
      </c>
      <c r="U599" t="str">
        <f>IFERROR(IF(INDEX(Winter!$1:$1048576,MATCH(All!$A599,Winter!$A:$A,FALSE),MATCH(All!U$1,Winter!$1:$1,FALSE))="","",INDEX(Winter!$1:$1048576,MATCH(All!$A599,Winter!$A:$A,FALSE),MATCH(All!U$1,Winter!$1:$1,FALSE))),"")</f>
        <v>1A</v>
      </c>
      <c r="W599">
        <f>IFERROR(IF(INDEX(Spring!$1:$1048576,MATCH(All!$A599,Spring!$A:$A,FALSE),MATCH(All!W$1,Spring!$1:$1,FALSE))="","",INDEX(Spring!$1:$1048576,MATCH(All!$A599,Spring!$A:$A,FALSE),MATCH(All!W$1,Spring!$1:$1,FALSE))),"")</f>
        <v>668</v>
      </c>
      <c r="X599" t="str">
        <f>IFERROR(IF(INDEX(Spring!$1:$1048576,MATCH(All!$A599,Spring!$A:$A,FALSE),MATCH(All!X$1,Spring!$1:$1,FALSE))="","",INDEX(Spring!$1:$1048576,MATCH(All!$A599,Spring!$A:$A,FALSE),MATCH(All!X$1,Spring!$1:$1,FALSE))),"")</f>
        <v/>
      </c>
      <c r="Y599" t="str">
        <f>IFERROR(IF(INDEX(Spring!$1:$1048576,MATCH(All!$A599,Spring!$A:$A,FALSE),MATCH(All!Y$1,Spring!$1:$1,FALSE))="","",INDEX(Spring!$1:$1048576,MATCH(All!$A599,Spring!$A:$A,FALSE),MATCH(All!Y$1,Spring!$1:$1,FALSE))),"")</f>
        <v/>
      </c>
      <c r="Z599" t="str">
        <f>IFERROR(IF(INDEX(Spring!$1:$1048576,MATCH(All!$A599,Spring!$A:$A,FALSE),MATCH(All!Z$1,Spring!$1:$1,FALSE))="","",INDEX(Spring!$1:$1048576,MATCH(All!$A599,Spring!$A:$A,FALSE),MATCH(All!Z$1,Spring!$1:$1,FALSE))),"")</f>
        <v>1A</v>
      </c>
      <c r="AA599" t="str">
        <f>IFERROR(IF(INDEX(Spring!$1:$1048576,MATCH(All!$A599,Spring!$A:$A,FALSE),MATCH(All!AA$1,Spring!$1:$1,FALSE))="","",INDEX(Spring!$1:$1048576,MATCH(All!$A599,Spring!$A:$A,FALSE),MATCH(All!AA$1,Spring!$1:$1,FALSE))),"")</f>
        <v/>
      </c>
      <c r="AB599" t="str">
        <f>IFERROR(IF(INDEX(Spring!$1:$1048576,MATCH(All!$A599,Spring!$A:$A,FALSE),MATCH(All!AB$1,Spring!$1:$1,FALSE))="","",INDEX(Spring!$1:$1048576,MATCH(All!$A599,Spring!$A:$A,FALSE),MATCH(All!AB$1,Spring!$1:$1,FALSE))),"")</f>
        <v>2A</v>
      </c>
      <c r="AC599" t="str">
        <f>IFERROR(IF(INDEX(Spring!$1:$1048576,MATCH(All!$A599,Spring!$A:$A,FALSE),MATCH(All!AC$1,Spring!$1:$1,FALSE))="","",INDEX(Spring!$1:$1048576,MATCH(All!$A599,Spring!$A:$A,FALSE),MATCH(All!AC$1,Spring!$1:$1,FALSE))),"")</f>
        <v>2A</v>
      </c>
      <c r="AD599" t="str">
        <f>IFERROR(VLOOKUP(A599,'Flag Football'!A:A,1,FALSE),"")</f>
        <v>Peoria (Manual)</v>
      </c>
      <c r="AE599" t="str">
        <f t="shared" si="9"/>
        <v>1A</v>
      </c>
    </row>
    <row r="600" spans="1:31" ht="15.75" thickBot="1" x14ac:dyDescent="0.3">
      <c r="A600" s="18" t="s">
        <v>698</v>
      </c>
      <c r="B600" s="38" t="str">
        <f>IFERROR(VLOOKUP(A600,'Public v Private'!A:G,3,FALSE),"")</f>
        <v>private</v>
      </c>
      <c r="C600" s="38">
        <f>IFERROR(VLOOKUP(A600,'Public v Private'!A:G,4,FALSE),"")</f>
        <v>4</v>
      </c>
      <c r="D600" s="38">
        <f>IFERROR(VLOOKUP(A600,'Public v Private'!A:G,5,FALSE),"")</f>
        <v>12</v>
      </c>
      <c r="E600" s="38"/>
      <c r="F600" s="40" t="str">
        <f>IFERROR(INDEX(Fall!$1:$1048576,MATCH(All!$A600,Fall!$A:$A,FALSE),MATCH(All!F$1,Fall!$1:$1,FALSE)),"N/A")</f>
        <v>502.00 (828.30)</v>
      </c>
      <c r="G600" t="str">
        <f>IFERROR(IF(INDEX(Fall!$1:$1048576,MATCH(All!$A600,Fall!$A:$A,FALSE),MATCH(All!G$1,Fall!$1:$1,FALSE))="","",INDEX(Fall!$1:$1048576,MATCH(All!$A600,Fall!$A:$A,FALSE),MATCH(All!G$1,Fall!$1:$1,FALSE))),"")</f>
        <v>2A</v>
      </c>
      <c r="H600" t="str">
        <f>IFERROR(IF(INDEX(Fall!$1:$1048576,MATCH(All!$A600,Fall!$A:$A,FALSE),MATCH(All!H$1,Fall!$1:$1,FALSE))="","",INDEX(Fall!$1:$1048576,MATCH(All!$A600,Fall!$A:$A,FALSE),MATCH(All!H$1,Fall!$1:$1,FALSE))),"")</f>
        <v>2A</v>
      </c>
      <c r="I600" t="str">
        <f>IFERROR(IF(INDEX(Fall!$1:$1048576,MATCH(All!$A600,Fall!$A:$A,FALSE),MATCH(All!I$1,Fall!$1:$1,FALSE))="","",INDEX(Fall!$1:$1048576,MATCH(All!$A600,Fall!$A:$A,FALSE),MATCH(All!I$1,Fall!$1:$1,FALSE))),"")</f>
        <v>2A</v>
      </c>
      <c r="J600" t="str">
        <f>IFERROR(IF(INDEX(Fall!$1:$1048576,MATCH(All!$A600,Fall!$A:$A,FALSE),MATCH(All!J$1,Fall!$1:$1,FALSE))="","",INDEX(Fall!$1:$1048576,MATCH(All!$A600,Fall!$A:$A,FALSE),MATCH(All!J$1,Fall!$1:$1,FALSE))),"")</f>
        <v>1A</v>
      </c>
      <c r="K600" t="str">
        <f>IFERROR(IF(INDEX(Fall!$1:$1048576,MATCH(All!$A600,Fall!$A:$A,FALSE),MATCH(All!K$1,Fall!$1:$1,FALSE))="","",INDEX(Fall!$1:$1048576,MATCH(All!$A600,Fall!$A:$A,FALSE),MATCH(All!K$1,Fall!$1:$1,FALSE))),"")</f>
        <v>3A</v>
      </c>
      <c r="L600" t="str">
        <f>IFERROR(IF(INDEX(Fall!$1:$1048576,MATCH(All!$A600,Fall!$A:$A,FALSE),MATCH(All!L$1,Fall!$1:$1,FALSE))="","",INDEX(Fall!$1:$1048576,MATCH(All!$A600,Fall!$A:$A,FALSE),MATCH(All!L$1,Fall!$1:$1,FALSE))),"")</f>
        <v>1A</v>
      </c>
      <c r="M600" t="str">
        <f>IFERROR(IF(INDEX(Fall!$1:$1048576,MATCH(All!$A600,Fall!$A:$A,FALSE),MATCH(All!M$1,Fall!$1:$1,FALSE))="","",INDEX(Fall!$1:$1048576,MATCH(All!$A600,Fall!$A:$A,FALSE),MATCH(All!M$1,Fall!$1:$1,FALSE))),"")</f>
        <v>2A</v>
      </c>
      <c r="O600" t="str">
        <f>IFERROR(IF(INDEX(Winter!$1:$1048576,MATCH(All!$A600,Winter!$A:$A,FALSE),MATCH(All!O$1,Winter!$1:$1,FALSE))="","",INDEX(Winter!$1:$1048576,MATCH(All!$A600,Winter!$A:$A,FALSE),MATCH(All!O$1,Winter!$1:$1,FALSE))),"")</f>
        <v>502.00 (828.30)</v>
      </c>
      <c r="P600" t="str">
        <f>IFERROR(IF(INDEX(Winter!$1:$1048576,MATCH(All!$A600,Winter!$A:$A,FALSE),MATCH(All!P$1,Winter!$1:$1,FALSE))="","",INDEX(Winter!$1:$1048576,MATCH(All!$A600,Winter!$A:$A,FALSE),MATCH(All!P$1,Winter!$1:$1,FALSE))),"")</f>
        <v>2A</v>
      </c>
      <c r="Q600" t="str">
        <f>IFERROR(IF(INDEX(Winter!$1:$1048576,MATCH(All!$A600,Winter!$A:$A,FALSE),MATCH(All!Q$1,Winter!$1:$1,FALSE))="","",INDEX(Winter!$1:$1048576,MATCH(All!$A600,Winter!$A:$A,FALSE),MATCH(All!Q$1,Winter!$1:$1,FALSE))),"")</f>
        <v>3A</v>
      </c>
      <c r="R600" t="str">
        <f>IFERROR(IF(INDEX(Winter!$1:$1048576,MATCH(All!$A600,Winter!$A:$A,FALSE),MATCH(All!R$1,Winter!$1:$1,FALSE))="","",INDEX(Winter!$1:$1048576,MATCH(All!$A600,Winter!$A:$A,FALSE),MATCH(All!R$1,Winter!$1:$1,FALSE))),"")</f>
        <v>1A</v>
      </c>
      <c r="S600" t="str">
        <f>IFERROR(IF(INDEX(Winter!$1:$1048576,MATCH(All!$A600,Winter!$A:$A,FALSE),MATCH(All!S$1,Winter!$1:$1,FALSE))="","",INDEX(Winter!$1:$1048576,MATCH(All!$A600,Winter!$A:$A,FALSE),MATCH(All!S$1,Winter!$1:$1,FALSE))),"")</f>
        <v>1A</v>
      </c>
      <c r="T600" t="str">
        <f>IFERROR(IF(INDEX(Winter!$1:$1048576,MATCH(All!$A600,Winter!$A:$A,FALSE),MATCH(All!T$1,Winter!$1:$1,FALSE))="","",INDEX(Winter!$1:$1048576,MATCH(All!$A600,Winter!$A:$A,FALSE),MATCH(All!T$1,Winter!$1:$1,FALSE))),"")</f>
        <v>2A</v>
      </c>
      <c r="U600" t="str">
        <f>IFERROR(IF(INDEX(Winter!$1:$1048576,MATCH(All!$A600,Winter!$A:$A,FALSE),MATCH(All!U$1,Winter!$1:$1,FALSE))="","",INDEX(Winter!$1:$1048576,MATCH(All!$A600,Winter!$A:$A,FALSE),MATCH(All!U$1,Winter!$1:$1,FALSE))),"")</f>
        <v>2A</v>
      </c>
      <c r="W600" t="str">
        <f>IFERROR(IF(INDEX(Spring!$1:$1048576,MATCH(All!$A600,Spring!$A:$A,FALSE),MATCH(All!W$1,Spring!$1:$1,FALSE))="","",INDEX(Spring!$1:$1048576,MATCH(All!$A600,Spring!$A:$A,FALSE),MATCH(All!W$1,Spring!$1:$1,FALSE))),"")</f>
        <v>502.00 (828.30)</v>
      </c>
      <c r="X600" t="str">
        <f>IFERROR(IF(INDEX(Spring!$1:$1048576,MATCH(All!$A600,Spring!$A:$A,FALSE),MATCH(All!X$1,Spring!$1:$1,FALSE))="","",INDEX(Spring!$1:$1048576,MATCH(All!$A600,Spring!$A:$A,FALSE),MATCH(All!X$1,Spring!$1:$1,FALSE))),"")</f>
        <v>3A</v>
      </c>
      <c r="Y600" t="str">
        <f>IFERROR(IF(INDEX(Spring!$1:$1048576,MATCH(All!$A600,Spring!$A:$A,FALSE),MATCH(All!Y$1,Spring!$1:$1,FALSE))="","",INDEX(Spring!$1:$1048576,MATCH(All!$A600,Spring!$A:$A,FALSE),MATCH(All!Y$1,Spring!$1:$1,FALSE))),"")</f>
        <v>2A</v>
      </c>
      <c r="Z600" t="str">
        <f>IFERROR(IF(INDEX(Spring!$1:$1048576,MATCH(All!$A600,Spring!$A:$A,FALSE),MATCH(All!Z$1,Spring!$1:$1,FALSE))="","",INDEX(Spring!$1:$1048576,MATCH(All!$A600,Spring!$A:$A,FALSE),MATCH(All!Z$1,Spring!$1:$1,FALSE))),"")</f>
        <v>3A</v>
      </c>
      <c r="AA600" t="str">
        <f>IFERROR(IF(INDEX(Spring!$1:$1048576,MATCH(All!$A600,Spring!$A:$A,FALSE),MATCH(All!AA$1,Spring!$1:$1,FALSE))="","",INDEX(Spring!$1:$1048576,MATCH(All!$A600,Spring!$A:$A,FALSE),MATCH(All!AA$1,Spring!$1:$1,FALSE))),"")</f>
        <v>1A</v>
      </c>
      <c r="AB600" t="str">
        <f>IFERROR(IF(INDEX(Spring!$1:$1048576,MATCH(All!$A600,Spring!$A:$A,FALSE),MATCH(All!AB$1,Spring!$1:$1,FALSE))="","",INDEX(Spring!$1:$1048576,MATCH(All!$A600,Spring!$A:$A,FALSE),MATCH(All!AB$1,Spring!$1:$1,FALSE))),"")</f>
        <v>2A</v>
      </c>
      <c r="AC600" t="str">
        <f>IFERROR(IF(INDEX(Spring!$1:$1048576,MATCH(All!$A600,Spring!$A:$A,FALSE),MATCH(All!AC$1,Spring!$1:$1,FALSE))="","",INDEX(Spring!$1:$1048576,MATCH(All!$A600,Spring!$A:$A,FALSE),MATCH(All!AC$1,Spring!$1:$1,FALSE))),"")</f>
        <v>2A</v>
      </c>
      <c r="AD600" t="str">
        <f>IFERROR(VLOOKUP(A600,'Flag Football'!A:A,1,FALSE),"")</f>
        <v/>
      </c>
      <c r="AE600" t="str">
        <f t="shared" si="9"/>
        <v/>
      </c>
    </row>
    <row r="601" spans="1:31" ht="15.75" thickBot="1" x14ac:dyDescent="0.3">
      <c r="A601" s="20" t="s">
        <v>700</v>
      </c>
      <c r="B601" s="38" t="str">
        <f>IFERROR(VLOOKUP(A601,'Public v Private'!A:G,3,FALSE),"")</f>
        <v>private</v>
      </c>
      <c r="C601" s="38">
        <f>IFERROR(VLOOKUP(A601,'Public v Private'!A:G,4,FALSE),"")</f>
        <v>4</v>
      </c>
      <c r="D601" s="38">
        <f>IFERROR(VLOOKUP(A601,'Public v Private'!A:G,5,FALSE),"")</f>
        <v>12</v>
      </c>
      <c r="E601" s="38"/>
      <c r="F601" s="40" t="str">
        <f>IFERROR(INDEX(Fall!$1:$1048576,MATCH(All!$A601,Fall!$A:$A,FALSE),MATCH(All!F$1,Fall!$1:$1,FALSE)),"N/A")</f>
        <v>214.00 (353.10)</v>
      </c>
      <c r="G601" t="str">
        <f>IFERROR(IF(INDEX(Fall!$1:$1048576,MATCH(All!$A601,Fall!$A:$A,FALSE),MATCH(All!G$1,Fall!$1:$1,FALSE))="","",INDEX(Fall!$1:$1048576,MATCH(All!$A601,Fall!$A:$A,FALSE),MATCH(All!G$1,Fall!$1:$1,FALSE))),"")</f>
        <v>1A</v>
      </c>
      <c r="H601" t="str">
        <f>IFERROR(IF(INDEX(Fall!$1:$1048576,MATCH(All!$A601,Fall!$A:$A,FALSE),MATCH(All!H$1,Fall!$1:$1,FALSE))="","",INDEX(Fall!$1:$1048576,MATCH(All!$A601,Fall!$A:$A,FALSE),MATCH(All!H$1,Fall!$1:$1,FALSE))),"")</f>
        <v>1A</v>
      </c>
      <c r="I601" t="str">
        <f>IFERROR(IF(INDEX(Fall!$1:$1048576,MATCH(All!$A601,Fall!$A:$A,FALSE),MATCH(All!I$1,Fall!$1:$1,FALSE))="","",INDEX(Fall!$1:$1048576,MATCH(All!$A601,Fall!$A:$A,FALSE),MATCH(All!I$1,Fall!$1:$1,FALSE))),"")</f>
        <v>1A</v>
      </c>
      <c r="J601" t="str">
        <f>IFERROR(IF(INDEX(Fall!$1:$1048576,MATCH(All!$A601,Fall!$A:$A,FALSE),MATCH(All!J$1,Fall!$1:$1,FALSE))="","",INDEX(Fall!$1:$1048576,MATCH(All!$A601,Fall!$A:$A,FALSE),MATCH(All!J$1,Fall!$1:$1,FALSE))),"")</f>
        <v/>
      </c>
      <c r="K601" t="str">
        <f>IFERROR(IF(INDEX(Fall!$1:$1048576,MATCH(All!$A601,Fall!$A:$A,FALSE),MATCH(All!K$1,Fall!$1:$1,FALSE))="","",INDEX(Fall!$1:$1048576,MATCH(All!$A601,Fall!$A:$A,FALSE),MATCH(All!K$1,Fall!$1:$1,FALSE))),"")</f>
        <v>1A</v>
      </c>
      <c r="L601" t="str">
        <f>IFERROR(IF(INDEX(Fall!$1:$1048576,MATCH(All!$A601,Fall!$A:$A,FALSE),MATCH(All!L$1,Fall!$1:$1,FALSE))="","",INDEX(Fall!$1:$1048576,MATCH(All!$A601,Fall!$A:$A,FALSE),MATCH(All!L$1,Fall!$1:$1,FALSE))),"")</f>
        <v>1A</v>
      </c>
      <c r="M601" t="str">
        <f>IFERROR(IF(INDEX(Fall!$1:$1048576,MATCH(All!$A601,Fall!$A:$A,FALSE),MATCH(All!M$1,Fall!$1:$1,FALSE))="","",INDEX(Fall!$1:$1048576,MATCH(All!$A601,Fall!$A:$A,FALSE),MATCH(All!M$1,Fall!$1:$1,FALSE))),"")</f>
        <v>1A</v>
      </c>
      <c r="O601" t="str">
        <f>IFERROR(IF(INDEX(Winter!$1:$1048576,MATCH(All!$A601,Winter!$A:$A,FALSE),MATCH(All!O$1,Winter!$1:$1,FALSE))="","",INDEX(Winter!$1:$1048576,MATCH(All!$A601,Winter!$A:$A,FALSE),MATCH(All!O$1,Winter!$1:$1,FALSE))),"")</f>
        <v>214.00 (353.10)</v>
      </c>
      <c r="P601" t="str">
        <f>IFERROR(IF(INDEX(Winter!$1:$1048576,MATCH(All!$A601,Winter!$A:$A,FALSE),MATCH(All!P$1,Winter!$1:$1,FALSE))="","",INDEX(Winter!$1:$1048576,MATCH(All!$A601,Winter!$A:$A,FALSE),MATCH(All!P$1,Winter!$1:$1,FALSE))),"")</f>
        <v>2A</v>
      </c>
      <c r="Q601" t="str">
        <f>IFERROR(IF(INDEX(Winter!$1:$1048576,MATCH(All!$A601,Winter!$A:$A,FALSE),MATCH(All!Q$1,Winter!$1:$1,FALSE))="","",INDEX(Winter!$1:$1048576,MATCH(All!$A601,Winter!$A:$A,FALSE),MATCH(All!Q$1,Winter!$1:$1,FALSE))),"")</f>
        <v>1A</v>
      </c>
      <c r="R601" t="str">
        <f>IFERROR(IF(INDEX(Winter!$1:$1048576,MATCH(All!$A601,Winter!$A:$A,FALSE),MATCH(All!R$1,Winter!$1:$1,FALSE))="","",INDEX(Winter!$1:$1048576,MATCH(All!$A601,Winter!$A:$A,FALSE),MATCH(All!R$1,Winter!$1:$1,FALSE))),"")</f>
        <v>1A</v>
      </c>
      <c r="S601" t="str">
        <f>IFERROR(IF(INDEX(Winter!$1:$1048576,MATCH(All!$A601,Winter!$A:$A,FALSE),MATCH(All!S$1,Winter!$1:$1,FALSE))="","",INDEX(Winter!$1:$1048576,MATCH(All!$A601,Winter!$A:$A,FALSE),MATCH(All!S$1,Winter!$1:$1,FALSE))),"")</f>
        <v/>
      </c>
      <c r="T601" t="str">
        <f>IFERROR(IF(INDEX(Winter!$1:$1048576,MATCH(All!$A601,Winter!$A:$A,FALSE),MATCH(All!T$1,Winter!$1:$1,FALSE))="","",INDEX(Winter!$1:$1048576,MATCH(All!$A601,Winter!$A:$A,FALSE),MATCH(All!T$1,Winter!$1:$1,FALSE))),"")</f>
        <v>1A</v>
      </c>
      <c r="U601" t="str">
        <f>IFERROR(IF(INDEX(Winter!$1:$1048576,MATCH(All!$A601,Winter!$A:$A,FALSE),MATCH(All!U$1,Winter!$1:$1,FALSE))="","",INDEX(Winter!$1:$1048576,MATCH(All!$A601,Winter!$A:$A,FALSE),MATCH(All!U$1,Winter!$1:$1,FALSE))),"")</f>
        <v/>
      </c>
      <c r="W601" t="str">
        <f>IFERROR(IF(INDEX(Spring!$1:$1048576,MATCH(All!$A601,Spring!$A:$A,FALSE),MATCH(All!W$1,Spring!$1:$1,FALSE))="","",INDEX(Spring!$1:$1048576,MATCH(All!$A601,Spring!$A:$A,FALSE),MATCH(All!W$1,Spring!$1:$1,FALSE))),"")</f>
        <v>214.00 (353.10)</v>
      </c>
      <c r="X601" t="str">
        <f>IFERROR(IF(INDEX(Spring!$1:$1048576,MATCH(All!$A601,Spring!$A:$A,FALSE),MATCH(All!X$1,Spring!$1:$1,FALSE))="","",INDEX(Spring!$1:$1048576,MATCH(All!$A601,Spring!$A:$A,FALSE),MATCH(All!X$1,Spring!$1:$1,FALSE))),"")</f>
        <v>2A</v>
      </c>
      <c r="Y601" t="str">
        <f>IFERROR(IF(INDEX(Spring!$1:$1048576,MATCH(All!$A601,Spring!$A:$A,FALSE),MATCH(All!Y$1,Spring!$1:$1,FALSE))="","",INDEX(Spring!$1:$1048576,MATCH(All!$A601,Spring!$A:$A,FALSE),MATCH(All!Y$1,Spring!$1:$1,FALSE))),"")</f>
        <v/>
      </c>
      <c r="Z601" t="str">
        <f>IFERROR(IF(INDEX(Spring!$1:$1048576,MATCH(All!$A601,Spring!$A:$A,FALSE),MATCH(All!Z$1,Spring!$1:$1,FALSE))="","",INDEX(Spring!$1:$1048576,MATCH(All!$A601,Spring!$A:$A,FALSE),MATCH(All!Z$1,Spring!$1:$1,FALSE))),"")</f>
        <v>1A</v>
      </c>
      <c r="AA601" t="str">
        <f>IFERROR(IF(INDEX(Spring!$1:$1048576,MATCH(All!$A601,Spring!$A:$A,FALSE),MATCH(All!AA$1,Spring!$1:$1,FALSE))="","",INDEX(Spring!$1:$1048576,MATCH(All!$A601,Spring!$A:$A,FALSE),MATCH(All!AA$1,Spring!$1:$1,FALSE))),"")</f>
        <v>1A</v>
      </c>
      <c r="AB601" t="str">
        <f>IFERROR(IF(INDEX(Spring!$1:$1048576,MATCH(All!$A601,Spring!$A:$A,FALSE),MATCH(All!AB$1,Spring!$1:$1,FALSE))="","",INDEX(Spring!$1:$1048576,MATCH(All!$A601,Spring!$A:$A,FALSE),MATCH(All!AB$1,Spring!$1:$1,FALSE))),"")</f>
        <v>1A</v>
      </c>
      <c r="AC601" t="str">
        <f>IFERROR(IF(INDEX(Spring!$1:$1048576,MATCH(All!$A601,Spring!$A:$A,FALSE),MATCH(All!AC$1,Spring!$1:$1,FALSE))="","",INDEX(Spring!$1:$1048576,MATCH(All!$A601,Spring!$A:$A,FALSE),MATCH(All!AC$1,Spring!$1:$1,FALSE))),"")</f>
        <v>1A</v>
      </c>
      <c r="AD601" t="str">
        <f>IFERROR(VLOOKUP(A601,'Flag Football'!A:A,1,FALSE),"")</f>
        <v/>
      </c>
      <c r="AE601" t="str">
        <f t="shared" si="9"/>
        <v/>
      </c>
    </row>
    <row r="602" spans="1:31" ht="15.75" thickBot="1" x14ac:dyDescent="0.3">
      <c r="A602" s="18" t="s">
        <v>702</v>
      </c>
      <c r="B602" s="38">
        <f>IFERROR(VLOOKUP(A602,'Public v Private'!A:G,3,FALSE),"")</f>
        <v>0</v>
      </c>
      <c r="C602" s="38">
        <f>IFERROR(VLOOKUP(A602,'Public v Private'!A:G,4,FALSE),"")</f>
        <v>0</v>
      </c>
      <c r="D602" s="38">
        <f>IFERROR(VLOOKUP(A602,'Public v Private'!A:G,5,FALSE),"")</f>
        <v>0</v>
      </c>
      <c r="E602" s="38"/>
      <c r="F602" s="40">
        <f>IFERROR(INDEX(Fall!$1:$1048576,MATCH(All!$A602,Fall!$A:$A,FALSE),MATCH(All!F$1,Fall!$1:$1,FALSE)),"N/A")</f>
        <v>1629</v>
      </c>
      <c r="G602" t="str">
        <f>IFERROR(IF(INDEX(Fall!$1:$1048576,MATCH(All!$A602,Fall!$A:$A,FALSE),MATCH(All!G$1,Fall!$1:$1,FALSE))="","",INDEX(Fall!$1:$1048576,MATCH(All!$A602,Fall!$A:$A,FALSE),MATCH(All!G$1,Fall!$1:$1,FALSE))),"")</f>
        <v>3A</v>
      </c>
      <c r="H602" t="str">
        <f>IFERROR(IF(INDEX(Fall!$1:$1048576,MATCH(All!$A602,Fall!$A:$A,FALSE),MATCH(All!H$1,Fall!$1:$1,FALSE))="","",INDEX(Fall!$1:$1048576,MATCH(All!$A602,Fall!$A:$A,FALSE),MATCH(All!H$1,Fall!$1:$1,FALSE))),"")</f>
        <v>3A</v>
      </c>
      <c r="I602" t="str">
        <f>IFERROR(IF(INDEX(Fall!$1:$1048576,MATCH(All!$A602,Fall!$A:$A,FALSE),MATCH(All!I$1,Fall!$1:$1,FALSE))="","",INDEX(Fall!$1:$1048576,MATCH(All!$A602,Fall!$A:$A,FALSE),MATCH(All!I$1,Fall!$1:$1,FALSE))),"")</f>
        <v>3A</v>
      </c>
      <c r="J602" t="str">
        <f>IFERROR(IF(INDEX(Fall!$1:$1048576,MATCH(All!$A602,Fall!$A:$A,FALSE),MATCH(All!J$1,Fall!$1:$1,FALSE))="","",INDEX(Fall!$1:$1048576,MATCH(All!$A602,Fall!$A:$A,FALSE),MATCH(All!J$1,Fall!$1:$1,FALSE))),"")</f>
        <v>2A</v>
      </c>
      <c r="K602" t="str">
        <f>IFERROR(IF(INDEX(Fall!$1:$1048576,MATCH(All!$A602,Fall!$A:$A,FALSE),MATCH(All!K$1,Fall!$1:$1,FALSE))="","",INDEX(Fall!$1:$1048576,MATCH(All!$A602,Fall!$A:$A,FALSE),MATCH(All!K$1,Fall!$1:$1,FALSE))),"")</f>
        <v>2A</v>
      </c>
      <c r="L602" t="str">
        <f>IFERROR(IF(INDEX(Fall!$1:$1048576,MATCH(All!$A602,Fall!$A:$A,FALSE),MATCH(All!L$1,Fall!$1:$1,FALSE))="","",INDEX(Fall!$1:$1048576,MATCH(All!$A602,Fall!$A:$A,FALSE),MATCH(All!L$1,Fall!$1:$1,FALSE))),"")</f>
        <v>2A</v>
      </c>
      <c r="M602" t="str">
        <f>IFERROR(IF(INDEX(Fall!$1:$1048576,MATCH(All!$A602,Fall!$A:$A,FALSE),MATCH(All!M$1,Fall!$1:$1,FALSE))="","",INDEX(Fall!$1:$1048576,MATCH(All!$A602,Fall!$A:$A,FALSE),MATCH(All!M$1,Fall!$1:$1,FALSE))),"")</f>
        <v>4A</v>
      </c>
      <c r="O602">
        <f>IFERROR(IF(INDEX(Winter!$1:$1048576,MATCH(All!$A602,Winter!$A:$A,FALSE),MATCH(All!O$1,Winter!$1:$1,FALSE))="","",INDEX(Winter!$1:$1048576,MATCH(All!$A602,Winter!$A:$A,FALSE),MATCH(All!O$1,Winter!$1:$1,FALSE))),"")</f>
        <v>1629</v>
      </c>
      <c r="P602" t="str">
        <f>IFERROR(IF(INDEX(Winter!$1:$1048576,MATCH(All!$A602,Winter!$A:$A,FALSE),MATCH(All!P$1,Winter!$1:$1,FALSE))="","",INDEX(Winter!$1:$1048576,MATCH(All!$A602,Winter!$A:$A,FALSE),MATCH(All!P$1,Winter!$1:$1,FALSE))),"")</f>
        <v>4A</v>
      </c>
      <c r="Q602" t="str">
        <f>IFERROR(IF(INDEX(Winter!$1:$1048576,MATCH(All!$A602,Winter!$A:$A,FALSE),MATCH(All!Q$1,Winter!$1:$1,FALSE))="","",INDEX(Winter!$1:$1048576,MATCH(All!$A602,Winter!$A:$A,FALSE),MATCH(All!Q$1,Winter!$1:$1,FALSE))),"")</f>
        <v>4A</v>
      </c>
      <c r="R602" t="str">
        <f>IFERROR(IF(INDEX(Winter!$1:$1048576,MATCH(All!$A602,Winter!$A:$A,FALSE),MATCH(All!R$1,Winter!$1:$1,FALSE))="","",INDEX(Winter!$1:$1048576,MATCH(All!$A602,Winter!$A:$A,FALSE),MATCH(All!R$1,Winter!$1:$1,FALSE))),"")</f>
        <v/>
      </c>
      <c r="S602" t="str">
        <f>IFERROR(IF(INDEX(Winter!$1:$1048576,MATCH(All!$A602,Winter!$A:$A,FALSE),MATCH(All!S$1,Winter!$1:$1,FALSE))="","",INDEX(Winter!$1:$1048576,MATCH(All!$A602,Winter!$A:$A,FALSE),MATCH(All!S$1,Winter!$1:$1,FALSE))),"")</f>
        <v>2A</v>
      </c>
      <c r="T602" t="str">
        <f>IFERROR(IF(INDEX(Winter!$1:$1048576,MATCH(All!$A602,Winter!$A:$A,FALSE),MATCH(All!T$1,Winter!$1:$1,FALSE))="","",INDEX(Winter!$1:$1048576,MATCH(All!$A602,Winter!$A:$A,FALSE),MATCH(All!T$1,Winter!$1:$1,FALSE))),"")</f>
        <v>2A</v>
      </c>
      <c r="U602" t="str">
        <f>IFERROR(IF(INDEX(Winter!$1:$1048576,MATCH(All!$A602,Winter!$A:$A,FALSE),MATCH(All!U$1,Winter!$1:$1,FALSE))="","",INDEX(Winter!$1:$1048576,MATCH(All!$A602,Winter!$A:$A,FALSE),MATCH(All!U$1,Winter!$1:$1,FALSE))),"")</f>
        <v>2A</v>
      </c>
      <c r="W602">
        <f>IFERROR(IF(INDEX(Spring!$1:$1048576,MATCH(All!$A602,Spring!$A:$A,FALSE),MATCH(All!W$1,Spring!$1:$1,FALSE))="","",INDEX(Spring!$1:$1048576,MATCH(All!$A602,Spring!$A:$A,FALSE),MATCH(All!W$1,Spring!$1:$1,FALSE))),"")</f>
        <v>1629</v>
      </c>
      <c r="X602" t="str">
        <f>IFERROR(IF(INDEX(Spring!$1:$1048576,MATCH(All!$A602,Spring!$A:$A,FALSE),MATCH(All!X$1,Spring!$1:$1,FALSE))="","",INDEX(Spring!$1:$1048576,MATCH(All!$A602,Spring!$A:$A,FALSE),MATCH(All!X$1,Spring!$1:$1,FALSE))),"")</f>
        <v>4A</v>
      </c>
      <c r="Y602" t="str">
        <f>IFERROR(IF(INDEX(Spring!$1:$1048576,MATCH(All!$A602,Spring!$A:$A,FALSE),MATCH(All!Y$1,Spring!$1:$1,FALSE))="","",INDEX(Spring!$1:$1048576,MATCH(All!$A602,Spring!$A:$A,FALSE),MATCH(All!Y$1,Spring!$1:$1,FALSE))),"")</f>
        <v>4A</v>
      </c>
      <c r="Z602" t="str">
        <f>IFERROR(IF(INDEX(Spring!$1:$1048576,MATCH(All!$A602,Spring!$A:$A,FALSE),MATCH(All!Z$1,Spring!$1:$1,FALSE))="","",INDEX(Spring!$1:$1048576,MATCH(All!$A602,Spring!$A:$A,FALSE),MATCH(All!Z$1,Spring!$1:$1,FALSE))),"")</f>
        <v>2A</v>
      </c>
      <c r="AA602" t="str">
        <f>IFERROR(IF(INDEX(Spring!$1:$1048576,MATCH(All!$A602,Spring!$A:$A,FALSE),MATCH(All!AA$1,Spring!$1:$1,FALSE))="","",INDEX(Spring!$1:$1048576,MATCH(All!$A602,Spring!$A:$A,FALSE),MATCH(All!AA$1,Spring!$1:$1,FALSE))),"")</f>
        <v>2A</v>
      </c>
      <c r="AB602" t="str">
        <f>IFERROR(IF(INDEX(Spring!$1:$1048576,MATCH(All!$A602,Spring!$A:$A,FALSE),MATCH(All!AB$1,Spring!$1:$1,FALSE))="","",INDEX(Spring!$1:$1048576,MATCH(All!$A602,Spring!$A:$A,FALSE),MATCH(All!AB$1,Spring!$1:$1,FALSE))),"")</f>
        <v>3A</v>
      </c>
      <c r="AC602" t="str">
        <f>IFERROR(IF(INDEX(Spring!$1:$1048576,MATCH(All!$A602,Spring!$A:$A,FALSE),MATCH(All!AC$1,Spring!$1:$1,FALSE))="","",INDEX(Spring!$1:$1048576,MATCH(All!$A602,Spring!$A:$A,FALSE),MATCH(All!AC$1,Spring!$1:$1,FALSE))),"")</f>
        <v>3A</v>
      </c>
      <c r="AD602" t="str">
        <f>IFERROR(VLOOKUP(A602,'Flag Football'!A:A,1,FALSE),"")</f>
        <v>Peoria (Richwoods)</v>
      </c>
      <c r="AE602" t="str">
        <f t="shared" si="9"/>
        <v>1A</v>
      </c>
    </row>
    <row r="603" spans="1:31" ht="15.75" thickBot="1" x14ac:dyDescent="0.3">
      <c r="A603" s="20" t="s">
        <v>703</v>
      </c>
      <c r="B603" s="38">
        <f>IFERROR(VLOOKUP(A603,'Public v Private'!A:G,3,FALSE),"")</f>
        <v>0</v>
      </c>
      <c r="C603" s="38">
        <f>IFERROR(VLOOKUP(A603,'Public v Private'!A:G,4,FALSE),"")</f>
        <v>0</v>
      </c>
      <c r="D603" s="38">
        <f>IFERROR(VLOOKUP(A603,'Public v Private'!A:G,5,FALSE),"")</f>
        <v>0</v>
      </c>
      <c r="E603" s="38"/>
      <c r="F603" s="40">
        <f>IFERROR(INDEX(Fall!$1:$1048576,MATCH(All!$A603,Fall!$A:$A,FALSE),MATCH(All!F$1,Fall!$1:$1,FALSE)),"N/A")</f>
        <v>208</v>
      </c>
      <c r="G603" t="str">
        <f>IFERROR(IF(INDEX(Fall!$1:$1048576,MATCH(All!$A603,Fall!$A:$A,FALSE),MATCH(All!G$1,Fall!$1:$1,FALSE))="","",INDEX(Fall!$1:$1048576,MATCH(All!$A603,Fall!$A:$A,FALSE),MATCH(All!G$1,Fall!$1:$1,FALSE))),"")</f>
        <v/>
      </c>
      <c r="H603" t="str">
        <f>IFERROR(IF(INDEX(Fall!$1:$1048576,MATCH(All!$A603,Fall!$A:$A,FALSE),MATCH(All!H$1,Fall!$1:$1,FALSE))="","",INDEX(Fall!$1:$1048576,MATCH(All!$A603,Fall!$A:$A,FALSE),MATCH(All!H$1,Fall!$1:$1,FALSE))),"")</f>
        <v/>
      </c>
      <c r="I603" t="str">
        <f>IFERROR(IF(INDEX(Fall!$1:$1048576,MATCH(All!$A603,Fall!$A:$A,FALSE),MATCH(All!I$1,Fall!$1:$1,FALSE))="","",INDEX(Fall!$1:$1048576,MATCH(All!$A603,Fall!$A:$A,FALSE),MATCH(All!I$1,Fall!$1:$1,FALSE))),"")</f>
        <v>1A</v>
      </c>
      <c r="J603" t="str">
        <f>IFERROR(IF(INDEX(Fall!$1:$1048576,MATCH(All!$A603,Fall!$A:$A,FALSE),MATCH(All!J$1,Fall!$1:$1,FALSE))="","",INDEX(Fall!$1:$1048576,MATCH(All!$A603,Fall!$A:$A,FALSE),MATCH(All!J$1,Fall!$1:$1,FALSE))),"")</f>
        <v/>
      </c>
      <c r="K603" t="str">
        <f>IFERROR(IF(INDEX(Fall!$1:$1048576,MATCH(All!$A603,Fall!$A:$A,FALSE),MATCH(All!K$1,Fall!$1:$1,FALSE))="","",INDEX(Fall!$1:$1048576,MATCH(All!$A603,Fall!$A:$A,FALSE),MATCH(All!K$1,Fall!$1:$1,FALSE))),"")</f>
        <v/>
      </c>
      <c r="L603" t="str">
        <f>IFERROR(IF(INDEX(Fall!$1:$1048576,MATCH(All!$A603,Fall!$A:$A,FALSE),MATCH(All!L$1,Fall!$1:$1,FALSE))="","",INDEX(Fall!$1:$1048576,MATCH(All!$A603,Fall!$A:$A,FALSE),MATCH(All!L$1,Fall!$1:$1,FALSE))),"")</f>
        <v/>
      </c>
      <c r="M603" t="str">
        <f>IFERROR(IF(INDEX(Fall!$1:$1048576,MATCH(All!$A603,Fall!$A:$A,FALSE),MATCH(All!M$1,Fall!$1:$1,FALSE))="","",INDEX(Fall!$1:$1048576,MATCH(All!$A603,Fall!$A:$A,FALSE),MATCH(All!M$1,Fall!$1:$1,FALSE))),"")</f>
        <v>1A</v>
      </c>
      <c r="O603">
        <f>IFERROR(IF(INDEX(Winter!$1:$1048576,MATCH(All!$A603,Winter!$A:$A,FALSE),MATCH(All!O$1,Winter!$1:$1,FALSE))="","",INDEX(Winter!$1:$1048576,MATCH(All!$A603,Winter!$A:$A,FALSE),MATCH(All!O$1,Winter!$1:$1,FALSE))),"")</f>
        <v>208</v>
      </c>
      <c r="P603" t="str">
        <f>IFERROR(IF(INDEX(Winter!$1:$1048576,MATCH(All!$A603,Winter!$A:$A,FALSE),MATCH(All!P$1,Winter!$1:$1,FALSE))="","",INDEX(Winter!$1:$1048576,MATCH(All!$A603,Winter!$A:$A,FALSE),MATCH(All!P$1,Winter!$1:$1,FALSE))),"")</f>
        <v>1A</v>
      </c>
      <c r="Q603" t="str">
        <f>IFERROR(IF(INDEX(Winter!$1:$1048576,MATCH(All!$A603,Winter!$A:$A,FALSE),MATCH(All!Q$1,Winter!$1:$1,FALSE))="","",INDEX(Winter!$1:$1048576,MATCH(All!$A603,Winter!$A:$A,FALSE),MATCH(All!Q$1,Winter!$1:$1,FALSE))),"")</f>
        <v>1A</v>
      </c>
      <c r="R603" t="str">
        <f>IFERROR(IF(INDEX(Winter!$1:$1048576,MATCH(All!$A603,Winter!$A:$A,FALSE),MATCH(All!R$1,Winter!$1:$1,FALSE))="","",INDEX(Winter!$1:$1048576,MATCH(All!$A603,Winter!$A:$A,FALSE),MATCH(All!R$1,Winter!$1:$1,FALSE))),"")</f>
        <v/>
      </c>
      <c r="S603" t="str">
        <f>IFERROR(IF(INDEX(Winter!$1:$1048576,MATCH(All!$A603,Winter!$A:$A,FALSE),MATCH(All!S$1,Winter!$1:$1,FALSE))="","",INDEX(Winter!$1:$1048576,MATCH(All!$A603,Winter!$A:$A,FALSE),MATCH(All!S$1,Winter!$1:$1,FALSE))),"")</f>
        <v/>
      </c>
      <c r="T603" t="str">
        <f>IFERROR(IF(INDEX(Winter!$1:$1048576,MATCH(All!$A603,Winter!$A:$A,FALSE),MATCH(All!T$1,Winter!$1:$1,FALSE))="","",INDEX(Winter!$1:$1048576,MATCH(All!$A603,Winter!$A:$A,FALSE),MATCH(All!T$1,Winter!$1:$1,FALSE))),"")</f>
        <v>1A</v>
      </c>
      <c r="U603" t="str">
        <f>IFERROR(IF(INDEX(Winter!$1:$1048576,MATCH(All!$A603,Winter!$A:$A,FALSE),MATCH(All!U$1,Winter!$1:$1,FALSE))="","",INDEX(Winter!$1:$1048576,MATCH(All!$A603,Winter!$A:$A,FALSE),MATCH(All!U$1,Winter!$1:$1,FALSE))),"")</f>
        <v>1A</v>
      </c>
      <c r="W603">
        <f>IFERROR(IF(INDEX(Spring!$1:$1048576,MATCH(All!$A603,Spring!$A:$A,FALSE),MATCH(All!W$1,Spring!$1:$1,FALSE))="","",INDEX(Spring!$1:$1048576,MATCH(All!$A603,Spring!$A:$A,FALSE),MATCH(All!W$1,Spring!$1:$1,FALSE))),"")</f>
        <v>208</v>
      </c>
      <c r="X603" t="str">
        <f>IFERROR(IF(INDEX(Spring!$1:$1048576,MATCH(All!$A603,Spring!$A:$A,FALSE),MATCH(All!X$1,Spring!$1:$1,FALSE))="","",INDEX(Spring!$1:$1048576,MATCH(All!$A603,Spring!$A:$A,FALSE),MATCH(All!X$1,Spring!$1:$1,FALSE))),"")</f>
        <v>1A</v>
      </c>
      <c r="Y603" t="str">
        <f>IFERROR(IF(INDEX(Spring!$1:$1048576,MATCH(All!$A603,Spring!$A:$A,FALSE),MATCH(All!Y$1,Spring!$1:$1,FALSE))="","",INDEX(Spring!$1:$1048576,MATCH(All!$A603,Spring!$A:$A,FALSE),MATCH(All!Y$1,Spring!$1:$1,FALSE))),"")</f>
        <v>1A</v>
      </c>
      <c r="Z603" t="str">
        <f>IFERROR(IF(INDEX(Spring!$1:$1048576,MATCH(All!$A603,Spring!$A:$A,FALSE),MATCH(All!Z$1,Spring!$1:$1,FALSE))="","",INDEX(Spring!$1:$1048576,MATCH(All!$A603,Spring!$A:$A,FALSE),MATCH(All!Z$1,Spring!$1:$1,FALSE))),"")</f>
        <v/>
      </c>
      <c r="AA603" t="str">
        <f>IFERROR(IF(INDEX(Spring!$1:$1048576,MATCH(All!$A603,Spring!$A:$A,FALSE),MATCH(All!AA$1,Spring!$1:$1,FALSE))="","",INDEX(Spring!$1:$1048576,MATCH(All!$A603,Spring!$A:$A,FALSE),MATCH(All!AA$1,Spring!$1:$1,FALSE))),"")</f>
        <v/>
      </c>
      <c r="AB603" t="str">
        <f>IFERROR(IF(INDEX(Spring!$1:$1048576,MATCH(All!$A603,Spring!$A:$A,FALSE),MATCH(All!AB$1,Spring!$1:$1,FALSE))="","",INDEX(Spring!$1:$1048576,MATCH(All!$A603,Spring!$A:$A,FALSE),MATCH(All!AB$1,Spring!$1:$1,FALSE))),"")</f>
        <v>1A</v>
      </c>
      <c r="AC603" t="str">
        <f>IFERROR(IF(INDEX(Spring!$1:$1048576,MATCH(All!$A603,Spring!$A:$A,FALSE),MATCH(All!AC$1,Spring!$1:$1,FALSE))="","",INDEX(Spring!$1:$1048576,MATCH(All!$A603,Spring!$A:$A,FALSE),MATCH(All!AC$1,Spring!$1:$1,FALSE))),"")</f>
        <v>1A</v>
      </c>
      <c r="AD603" t="str">
        <f>IFERROR(VLOOKUP(A603,'Flag Football'!A:A,1,FALSE),"")</f>
        <v/>
      </c>
      <c r="AE603" t="str">
        <f t="shared" si="9"/>
        <v/>
      </c>
    </row>
    <row r="604" spans="1:31" ht="15.75" thickBot="1" x14ac:dyDescent="0.3">
      <c r="A604" s="18" t="s">
        <v>704</v>
      </c>
      <c r="B604" s="38">
        <f>IFERROR(VLOOKUP(A604,'Public v Private'!A:G,3,FALSE),"")</f>
        <v>0</v>
      </c>
      <c r="C604" s="38">
        <f>IFERROR(VLOOKUP(A604,'Public v Private'!A:G,4,FALSE),"")</f>
        <v>0</v>
      </c>
      <c r="D604" s="38">
        <f>IFERROR(VLOOKUP(A604,'Public v Private'!A:G,5,FALSE),"")</f>
        <v>0</v>
      </c>
      <c r="E604" s="38"/>
      <c r="F604" s="40">
        <f>IFERROR(INDEX(Fall!$1:$1048576,MATCH(All!$A604,Fall!$A:$A,FALSE),MATCH(All!F$1,Fall!$1:$1,FALSE)),"N/A")</f>
        <v>410</v>
      </c>
      <c r="G604" t="str">
        <f>IFERROR(IF(INDEX(Fall!$1:$1048576,MATCH(All!$A604,Fall!$A:$A,FALSE),MATCH(All!G$1,Fall!$1:$1,FALSE))="","",INDEX(Fall!$1:$1048576,MATCH(All!$A604,Fall!$A:$A,FALSE),MATCH(All!G$1,Fall!$1:$1,FALSE))),"")</f>
        <v>1A</v>
      </c>
      <c r="H604" t="str">
        <f>IFERROR(IF(INDEX(Fall!$1:$1048576,MATCH(All!$A604,Fall!$A:$A,FALSE),MATCH(All!H$1,Fall!$1:$1,FALSE))="","",INDEX(Fall!$1:$1048576,MATCH(All!$A604,Fall!$A:$A,FALSE),MATCH(All!H$1,Fall!$1:$1,FALSE))),"")</f>
        <v>1A</v>
      </c>
      <c r="I604" t="str">
        <f>IFERROR(IF(INDEX(Fall!$1:$1048576,MATCH(All!$A604,Fall!$A:$A,FALSE),MATCH(All!I$1,Fall!$1:$1,FALSE))="","",INDEX(Fall!$1:$1048576,MATCH(All!$A604,Fall!$A:$A,FALSE),MATCH(All!I$1,Fall!$1:$1,FALSE))),"")</f>
        <v>1A</v>
      </c>
      <c r="J604" t="str">
        <f>IFERROR(IF(INDEX(Fall!$1:$1048576,MATCH(All!$A604,Fall!$A:$A,FALSE),MATCH(All!J$1,Fall!$1:$1,FALSE))="","",INDEX(Fall!$1:$1048576,MATCH(All!$A604,Fall!$A:$A,FALSE),MATCH(All!J$1,Fall!$1:$1,FALSE))),"")</f>
        <v/>
      </c>
      <c r="K604" t="str">
        <f>IFERROR(IF(INDEX(Fall!$1:$1048576,MATCH(All!$A604,Fall!$A:$A,FALSE),MATCH(All!K$1,Fall!$1:$1,FALSE))="","",INDEX(Fall!$1:$1048576,MATCH(All!$A604,Fall!$A:$A,FALSE),MATCH(All!K$1,Fall!$1:$1,FALSE))),"")</f>
        <v>1A</v>
      </c>
      <c r="L604" t="str">
        <f>IFERROR(IF(INDEX(Fall!$1:$1048576,MATCH(All!$A604,Fall!$A:$A,FALSE),MATCH(All!L$1,Fall!$1:$1,FALSE))="","",INDEX(Fall!$1:$1048576,MATCH(All!$A604,Fall!$A:$A,FALSE),MATCH(All!L$1,Fall!$1:$1,FALSE))),"")</f>
        <v/>
      </c>
      <c r="M604" t="str">
        <f>IFERROR(IF(INDEX(Fall!$1:$1048576,MATCH(All!$A604,Fall!$A:$A,FALSE),MATCH(All!M$1,Fall!$1:$1,FALSE))="","",INDEX(Fall!$1:$1048576,MATCH(All!$A604,Fall!$A:$A,FALSE),MATCH(All!M$1,Fall!$1:$1,FALSE))),"")</f>
        <v>2A</v>
      </c>
      <c r="O604">
        <f>IFERROR(IF(INDEX(Winter!$1:$1048576,MATCH(All!$A604,Winter!$A:$A,FALSE),MATCH(All!O$1,Winter!$1:$1,FALSE))="","",INDEX(Winter!$1:$1048576,MATCH(All!$A604,Winter!$A:$A,FALSE),MATCH(All!O$1,Winter!$1:$1,FALSE))),"")</f>
        <v>410</v>
      </c>
      <c r="P604" t="str">
        <f>IFERROR(IF(INDEX(Winter!$1:$1048576,MATCH(All!$A604,Winter!$A:$A,FALSE),MATCH(All!P$1,Winter!$1:$1,FALSE))="","",INDEX(Winter!$1:$1048576,MATCH(All!$A604,Winter!$A:$A,FALSE),MATCH(All!P$1,Winter!$1:$1,FALSE))),"")</f>
        <v>2A</v>
      </c>
      <c r="Q604" t="str">
        <f>IFERROR(IF(INDEX(Winter!$1:$1048576,MATCH(All!$A604,Winter!$A:$A,FALSE),MATCH(All!Q$1,Winter!$1:$1,FALSE))="","",INDEX(Winter!$1:$1048576,MATCH(All!$A604,Winter!$A:$A,FALSE),MATCH(All!Q$1,Winter!$1:$1,FALSE))),"")</f>
        <v>2A</v>
      </c>
      <c r="R604" t="str">
        <f>IFERROR(IF(INDEX(Winter!$1:$1048576,MATCH(All!$A604,Winter!$A:$A,FALSE),MATCH(All!R$1,Winter!$1:$1,FALSE))="","",INDEX(Winter!$1:$1048576,MATCH(All!$A604,Winter!$A:$A,FALSE),MATCH(All!R$1,Winter!$1:$1,FALSE))),"")</f>
        <v/>
      </c>
      <c r="S604" t="str">
        <f>IFERROR(IF(INDEX(Winter!$1:$1048576,MATCH(All!$A604,Winter!$A:$A,FALSE),MATCH(All!S$1,Winter!$1:$1,FALSE))="","",INDEX(Winter!$1:$1048576,MATCH(All!$A604,Winter!$A:$A,FALSE),MATCH(All!S$1,Winter!$1:$1,FALSE))),"")</f>
        <v/>
      </c>
      <c r="T604" t="str">
        <f>IFERROR(IF(INDEX(Winter!$1:$1048576,MATCH(All!$A604,Winter!$A:$A,FALSE),MATCH(All!T$1,Winter!$1:$1,FALSE))="","",INDEX(Winter!$1:$1048576,MATCH(All!$A604,Winter!$A:$A,FALSE),MATCH(All!T$1,Winter!$1:$1,FALSE))),"")</f>
        <v>1A</v>
      </c>
      <c r="U604" t="str">
        <f>IFERROR(IF(INDEX(Winter!$1:$1048576,MATCH(All!$A604,Winter!$A:$A,FALSE),MATCH(All!U$1,Winter!$1:$1,FALSE))="","",INDEX(Winter!$1:$1048576,MATCH(All!$A604,Winter!$A:$A,FALSE),MATCH(All!U$1,Winter!$1:$1,FALSE))),"")</f>
        <v>1A</v>
      </c>
      <c r="W604">
        <f>IFERROR(IF(INDEX(Spring!$1:$1048576,MATCH(All!$A604,Spring!$A:$A,FALSE),MATCH(All!W$1,Spring!$1:$1,FALSE))="","",INDEX(Spring!$1:$1048576,MATCH(All!$A604,Spring!$A:$A,FALSE),MATCH(All!W$1,Spring!$1:$1,FALSE))),"")</f>
        <v>410</v>
      </c>
      <c r="X604" t="str">
        <f>IFERROR(IF(INDEX(Spring!$1:$1048576,MATCH(All!$A604,Spring!$A:$A,FALSE),MATCH(All!X$1,Spring!$1:$1,FALSE))="","",INDEX(Spring!$1:$1048576,MATCH(All!$A604,Spring!$A:$A,FALSE),MATCH(All!X$1,Spring!$1:$1,FALSE))),"")</f>
        <v>2A</v>
      </c>
      <c r="Y604" t="str">
        <f>IFERROR(IF(INDEX(Spring!$1:$1048576,MATCH(All!$A604,Spring!$A:$A,FALSE),MATCH(All!Y$1,Spring!$1:$1,FALSE))="","",INDEX(Spring!$1:$1048576,MATCH(All!$A604,Spring!$A:$A,FALSE),MATCH(All!Y$1,Spring!$1:$1,FALSE))),"")</f>
        <v>2A</v>
      </c>
      <c r="Z604" t="str">
        <f>IFERROR(IF(INDEX(Spring!$1:$1048576,MATCH(All!$A604,Spring!$A:$A,FALSE),MATCH(All!Z$1,Spring!$1:$1,FALSE))="","",INDEX(Spring!$1:$1048576,MATCH(All!$A604,Spring!$A:$A,FALSE),MATCH(All!Z$1,Spring!$1:$1,FALSE))),"")</f>
        <v>1A</v>
      </c>
      <c r="AA604" t="str">
        <f>IFERROR(IF(INDEX(Spring!$1:$1048576,MATCH(All!$A604,Spring!$A:$A,FALSE),MATCH(All!AA$1,Spring!$1:$1,FALSE))="","",INDEX(Spring!$1:$1048576,MATCH(All!$A604,Spring!$A:$A,FALSE),MATCH(All!AA$1,Spring!$1:$1,FALSE))),"")</f>
        <v/>
      </c>
      <c r="AB604" t="str">
        <f>IFERROR(IF(INDEX(Spring!$1:$1048576,MATCH(All!$A604,Spring!$A:$A,FALSE),MATCH(All!AB$1,Spring!$1:$1,FALSE))="","",INDEX(Spring!$1:$1048576,MATCH(All!$A604,Spring!$A:$A,FALSE),MATCH(All!AB$1,Spring!$1:$1,FALSE))),"")</f>
        <v>1A</v>
      </c>
      <c r="AC604" t="str">
        <f>IFERROR(IF(INDEX(Spring!$1:$1048576,MATCH(All!$A604,Spring!$A:$A,FALSE),MATCH(All!AC$1,Spring!$1:$1,FALSE))="","",INDEX(Spring!$1:$1048576,MATCH(All!$A604,Spring!$A:$A,FALSE),MATCH(All!AC$1,Spring!$1:$1,FALSE))),"")</f>
        <v>1A</v>
      </c>
      <c r="AD604" t="str">
        <f>IFERROR(VLOOKUP(A604,'Flag Football'!A:A,1,FALSE),"")</f>
        <v/>
      </c>
      <c r="AE604" t="str">
        <f t="shared" si="9"/>
        <v/>
      </c>
    </row>
    <row r="605" spans="1:31" ht="15.75" thickBot="1" x14ac:dyDescent="0.3">
      <c r="A605" s="20" t="s">
        <v>705</v>
      </c>
      <c r="B605" s="38" t="str">
        <f>IFERROR(VLOOKUP(A605,'Public v Private'!A:G,3,FALSE),"")</f>
        <v>private</v>
      </c>
      <c r="C605" s="38">
        <f>IFERROR(VLOOKUP(A605,'Public v Private'!A:G,4,FALSE),"")</f>
        <v>4</v>
      </c>
      <c r="D605" s="38">
        <f>IFERROR(VLOOKUP(A605,'Public v Private'!A:G,5,FALSE),"")</f>
        <v>11</v>
      </c>
      <c r="E605" s="38"/>
      <c r="F605" s="40" t="str">
        <f>IFERROR(INDEX(Fall!$1:$1048576,MATCH(All!$A605,Fall!$A:$A,FALSE),MATCH(All!F$1,Fall!$1:$1,FALSE)),"N/A")</f>
        <v>271.00 (447.15)</v>
      </c>
      <c r="G605" t="str">
        <f>IFERROR(IF(INDEX(Fall!$1:$1048576,MATCH(All!$A605,Fall!$A:$A,FALSE),MATCH(All!G$1,Fall!$1:$1,FALSE))="","",INDEX(Fall!$1:$1048576,MATCH(All!$A605,Fall!$A:$A,FALSE),MATCH(All!G$1,Fall!$1:$1,FALSE))),"")</f>
        <v>1A</v>
      </c>
      <c r="H605" t="str">
        <f>IFERROR(IF(INDEX(Fall!$1:$1048576,MATCH(All!$A605,Fall!$A:$A,FALSE),MATCH(All!H$1,Fall!$1:$1,FALSE))="","",INDEX(Fall!$1:$1048576,MATCH(All!$A605,Fall!$A:$A,FALSE),MATCH(All!H$1,Fall!$1:$1,FALSE))),"")</f>
        <v>1A</v>
      </c>
      <c r="I605" t="str">
        <f>IFERROR(IF(INDEX(Fall!$1:$1048576,MATCH(All!$A605,Fall!$A:$A,FALSE),MATCH(All!I$1,Fall!$1:$1,FALSE))="","",INDEX(Fall!$1:$1048576,MATCH(All!$A605,Fall!$A:$A,FALSE),MATCH(All!I$1,Fall!$1:$1,FALSE))),"")</f>
        <v>1A</v>
      </c>
      <c r="J605" t="str">
        <f>IFERROR(IF(INDEX(Fall!$1:$1048576,MATCH(All!$A605,Fall!$A:$A,FALSE),MATCH(All!J$1,Fall!$1:$1,FALSE))="","",INDEX(Fall!$1:$1048576,MATCH(All!$A605,Fall!$A:$A,FALSE),MATCH(All!J$1,Fall!$1:$1,FALSE))),"")</f>
        <v>1A</v>
      </c>
      <c r="K605" t="str">
        <f>IFERROR(IF(INDEX(Fall!$1:$1048576,MATCH(All!$A605,Fall!$A:$A,FALSE),MATCH(All!K$1,Fall!$1:$1,FALSE))="","",INDEX(Fall!$1:$1048576,MATCH(All!$A605,Fall!$A:$A,FALSE),MATCH(All!K$1,Fall!$1:$1,FALSE))),"")</f>
        <v>1A</v>
      </c>
      <c r="L605" t="str">
        <f>IFERROR(IF(INDEX(Fall!$1:$1048576,MATCH(All!$A605,Fall!$A:$A,FALSE),MATCH(All!L$1,Fall!$1:$1,FALSE))="","",INDEX(Fall!$1:$1048576,MATCH(All!$A605,Fall!$A:$A,FALSE),MATCH(All!L$1,Fall!$1:$1,FALSE))),"")</f>
        <v>1A</v>
      </c>
      <c r="M605" t="str">
        <f>IFERROR(IF(INDEX(Fall!$1:$1048576,MATCH(All!$A605,Fall!$A:$A,FALSE),MATCH(All!M$1,Fall!$1:$1,FALSE))="","",INDEX(Fall!$1:$1048576,MATCH(All!$A605,Fall!$A:$A,FALSE),MATCH(All!M$1,Fall!$1:$1,FALSE))),"")</f>
        <v>1A</v>
      </c>
      <c r="O605" t="str">
        <f>IFERROR(IF(INDEX(Winter!$1:$1048576,MATCH(All!$A605,Winter!$A:$A,FALSE),MATCH(All!O$1,Winter!$1:$1,FALSE))="","",INDEX(Winter!$1:$1048576,MATCH(All!$A605,Winter!$A:$A,FALSE),MATCH(All!O$1,Winter!$1:$1,FALSE))),"")</f>
        <v>271.00 (447.15)</v>
      </c>
      <c r="P605" t="str">
        <f>IFERROR(IF(INDEX(Winter!$1:$1048576,MATCH(All!$A605,Winter!$A:$A,FALSE),MATCH(All!P$1,Winter!$1:$1,FALSE))="","",INDEX(Winter!$1:$1048576,MATCH(All!$A605,Winter!$A:$A,FALSE),MATCH(All!P$1,Winter!$1:$1,FALSE))),"")</f>
        <v>1A</v>
      </c>
      <c r="Q605" t="str">
        <f>IFERROR(IF(INDEX(Winter!$1:$1048576,MATCH(All!$A605,Winter!$A:$A,FALSE),MATCH(All!Q$1,Winter!$1:$1,FALSE))="","",INDEX(Winter!$1:$1048576,MATCH(All!$A605,Winter!$A:$A,FALSE),MATCH(All!Q$1,Winter!$1:$1,FALSE))),"")</f>
        <v>2A</v>
      </c>
      <c r="R605" t="str">
        <f>IFERROR(IF(INDEX(Winter!$1:$1048576,MATCH(All!$A605,Winter!$A:$A,FALSE),MATCH(All!R$1,Winter!$1:$1,FALSE))="","",INDEX(Winter!$1:$1048576,MATCH(All!$A605,Winter!$A:$A,FALSE),MATCH(All!R$1,Winter!$1:$1,FALSE))),"")</f>
        <v/>
      </c>
      <c r="S605" t="str">
        <f>IFERROR(IF(INDEX(Winter!$1:$1048576,MATCH(All!$A605,Winter!$A:$A,FALSE),MATCH(All!S$1,Winter!$1:$1,FALSE))="","",INDEX(Winter!$1:$1048576,MATCH(All!$A605,Winter!$A:$A,FALSE),MATCH(All!S$1,Winter!$1:$1,FALSE))),"")</f>
        <v/>
      </c>
      <c r="T605" t="str">
        <f>IFERROR(IF(INDEX(Winter!$1:$1048576,MATCH(All!$A605,Winter!$A:$A,FALSE),MATCH(All!T$1,Winter!$1:$1,FALSE))="","",INDEX(Winter!$1:$1048576,MATCH(All!$A605,Winter!$A:$A,FALSE),MATCH(All!T$1,Winter!$1:$1,FALSE))),"")</f>
        <v>1A</v>
      </c>
      <c r="U605" t="str">
        <f>IFERROR(IF(INDEX(Winter!$1:$1048576,MATCH(All!$A605,Winter!$A:$A,FALSE),MATCH(All!U$1,Winter!$1:$1,FALSE))="","",INDEX(Winter!$1:$1048576,MATCH(All!$A605,Winter!$A:$A,FALSE),MATCH(All!U$1,Winter!$1:$1,FALSE))),"")</f>
        <v>1A</v>
      </c>
      <c r="W605" t="str">
        <f>IFERROR(IF(INDEX(Spring!$1:$1048576,MATCH(All!$A605,Spring!$A:$A,FALSE),MATCH(All!W$1,Spring!$1:$1,FALSE))="","",INDEX(Spring!$1:$1048576,MATCH(All!$A605,Spring!$A:$A,FALSE),MATCH(All!W$1,Spring!$1:$1,FALSE))),"")</f>
        <v>271.00 (447.15)</v>
      </c>
      <c r="X605" t="str">
        <f>IFERROR(IF(INDEX(Spring!$1:$1048576,MATCH(All!$A605,Spring!$A:$A,FALSE),MATCH(All!X$1,Spring!$1:$1,FALSE))="","",INDEX(Spring!$1:$1048576,MATCH(All!$A605,Spring!$A:$A,FALSE),MATCH(All!X$1,Spring!$1:$1,FALSE))),"")</f>
        <v>2A</v>
      </c>
      <c r="Y605" t="str">
        <f>IFERROR(IF(INDEX(Spring!$1:$1048576,MATCH(All!$A605,Spring!$A:$A,FALSE),MATCH(All!Y$1,Spring!$1:$1,FALSE))="","",INDEX(Spring!$1:$1048576,MATCH(All!$A605,Spring!$A:$A,FALSE),MATCH(All!Y$1,Spring!$1:$1,FALSE))),"")</f>
        <v>2A</v>
      </c>
      <c r="Z605" t="str">
        <f>IFERROR(IF(INDEX(Spring!$1:$1048576,MATCH(All!$A605,Spring!$A:$A,FALSE),MATCH(All!Z$1,Spring!$1:$1,FALSE))="","",INDEX(Spring!$1:$1048576,MATCH(All!$A605,Spring!$A:$A,FALSE),MATCH(All!Z$1,Spring!$1:$1,FALSE))),"")</f>
        <v/>
      </c>
      <c r="AA605" t="str">
        <f>IFERROR(IF(INDEX(Spring!$1:$1048576,MATCH(All!$A605,Spring!$A:$A,FALSE),MATCH(All!AA$1,Spring!$1:$1,FALSE))="","",INDEX(Spring!$1:$1048576,MATCH(All!$A605,Spring!$A:$A,FALSE),MATCH(All!AA$1,Spring!$1:$1,FALSE))),"")</f>
        <v>1A</v>
      </c>
      <c r="AB605" t="str">
        <f>IFERROR(IF(INDEX(Spring!$1:$1048576,MATCH(All!$A605,Spring!$A:$A,FALSE),MATCH(All!AB$1,Spring!$1:$1,FALSE))="","",INDEX(Spring!$1:$1048576,MATCH(All!$A605,Spring!$A:$A,FALSE),MATCH(All!AB$1,Spring!$1:$1,FALSE))),"")</f>
        <v>1A</v>
      </c>
      <c r="AC605" t="str">
        <f>IFERROR(IF(INDEX(Spring!$1:$1048576,MATCH(All!$A605,Spring!$A:$A,FALSE),MATCH(All!AC$1,Spring!$1:$1,FALSE))="","",INDEX(Spring!$1:$1048576,MATCH(All!$A605,Spring!$A:$A,FALSE),MATCH(All!AC$1,Spring!$1:$1,FALSE))),"")</f>
        <v>1A</v>
      </c>
      <c r="AD605" t="str">
        <f>IFERROR(VLOOKUP(A605,'Flag Football'!A:A,1,FALSE),"")</f>
        <v/>
      </c>
      <c r="AE605" t="str">
        <f t="shared" si="9"/>
        <v/>
      </c>
    </row>
    <row r="606" spans="1:31" ht="15.75" thickBot="1" x14ac:dyDescent="0.3">
      <c r="A606" s="18" t="s">
        <v>707</v>
      </c>
      <c r="B606" s="38">
        <f>IFERROR(VLOOKUP(A606,'Public v Private'!A:G,3,FALSE),"")</f>
        <v>0</v>
      </c>
      <c r="C606" s="38">
        <f>IFERROR(VLOOKUP(A606,'Public v Private'!A:G,4,FALSE),"")</f>
        <v>0</v>
      </c>
      <c r="D606" s="38">
        <f>IFERROR(VLOOKUP(A606,'Public v Private'!A:G,5,FALSE),"")</f>
        <v>0</v>
      </c>
      <c r="E606" s="38"/>
      <c r="F606" s="40">
        <f>IFERROR(INDEX(Fall!$1:$1048576,MATCH(All!$A606,Fall!$A:$A,FALSE),MATCH(All!F$1,Fall!$1:$1,FALSE)),"N/A")</f>
        <v>276</v>
      </c>
      <c r="G606" t="str">
        <f>IFERROR(IF(INDEX(Fall!$1:$1048576,MATCH(All!$A606,Fall!$A:$A,FALSE),MATCH(All!G$1,Fall!$1:$1,FALSE))="","",INDEX(Fall!$1:$1048576,MATCH(All!$A606,Fall!$A:$A,FALSE),MATCH(All!G$1,Fall!$1:$1,FALSE))),"")</f>
        <v>1A</v>
      </c>
      <c r="H606" t="str">
        <f>IFERROR(IF(INDEX(Fall!$1:$1048576,MATCH(All!$A606,Fall!$A:$A,FALSE),MATCH(All!H$1,Fall!$1:$1,FALSE))="","",INDEX(Fall!$1:$1048576,MATCH(All!$A606,Fall!$A:$A,FALSE),MATCH(All!H$1,Fall!$1:$1,FALSE))),"")</f>
        <v>1A</v>
      </c>
      <c r="I606" t="str">
        <f>IFERROR(IF(INDEX(Fall!$1:$1048576,MATCH(All!$A606,Fall!$A:$A,FALSE),MATCH(All!I$1,Fall!$1:$1,FALSE))="","",INDEX(Fall!$1:$1048576,MATCH(All!$A606,Fall!$A:$A,FALSE),MATCH(All!I$1,Fall!$1:$1,FALSE))),"")</f>
        <v>1A</v>
      </c>
      <c r="J606" t="str">
        <f>IFERROR(IF(INDEX(Fall!$1:$1048576,MATCH(All!$A606,Fall!$A:$A,FALSE),MATCH(All!J$1,Fall!$1:$1,FALSE))="","",INDEX(Fall!$1:$1048576,MATCH(All!$A606,Fall!$A:$A,FALSE),MATCH(All!J$1,Fall!$1:$1,FALSE))),"")</f>
        <v>1A</v>
      </c>
      <c r="K606" t="str">
        <f>IFERROR(IF(INDEX(Fall!$1:$1048576,MATCH(All!$A606,Fall!$A:$A,FALSE),MATCH(All!K$1,Fall!$1:$1,FALSE))="","",INDEX(Fall!$1:$1048576,MATCH(All!$A606,Fall!$A:$A,FALSE),MATCH(All!K$1,Fall!$1:$1,FALSE))),"")</f>
        <v/>
      </c>
      <c r="L606" t="str">
        <f>IFERROR(IF(INDEX(Fall!$1:$1048576,MATCH(All!$A606,Fall!$A:$A,FALSE),MATCH(All!L$1,Fall!$1:$1,FALSE))="","",INDEX(Fall!$1:$1048576,MATCH(All!$A606,Fall!$A:$A,FALSE),MATCH(All!L$1,Fall!$1:$1,FALSE))),"")</f>
        <v/>
      </c>
      <c r="M606" t="str">
        <f>IFERROR(IF(INDEX(Fall!$1:$1048576,MATCH(All!$A606,Fall!$A:$A,FALSE),MATCH(All!M$1,Fall!$1:$1,FALSE))="","",INDEX(Fall!$1:$1048576,MATCH(All!$A606,Fall!$A:$A,FALSE),MATCH(All!M$1,Fall!$1:$1,FALSE))),"")</f>
        <v>2A</v>
      </c>
      <c r="O606">
        <f>IFERROR(IF(INDEX(Winter!$1:$1048576,MATCH(All!$A606,Winter!$A:$A,FALSE),MATCH(All!O$1,Winter!$1:$1,FALSE))="","",INDEX(Winter!$1:$1048576,MATCH(All!$A606,Winter!$A:$A,FALSE),MATCH(All!O$1,Winter!$1:$1,FALSE))),"")</f>
        <v>276</v>
      </c>
      <c r="P606" t="str">
        <f>IFERROR(IF(INDEX(Winter!$1:$1048576,MATCH(All!$A606,Winter!$A:$A,FALSE),MATCH(All!P$1,Winter!$1:$1,FALSE))="","",INDEX(Winter!$1:$1048576,MATCH(All!$A606,Winter!$A:$A,FALSE),MATCH(All!P$1,Winter!$1:$1,FALSE))),"")</f>
        <v>2A</v>
      </c>
      <c r="Q606" t="str">
        <f>IFERROR(IF(INDEX(Winter!$1:$1048576,MATCH(All!$A606,Winter!$A:$A,FALSE),MATCH(All!Q$1,Winter!$1:$1,FALSE))="","",INDEX(Winter!$1:$1048576,MATCH(All!$A606,Winter!$A:$A,FALSE),MATCH(All!Q$1,Winter!$1:$1,FALSE))),"")</f>
        <v>2A</v>
      </c>
      <c r="R606" t="str">
        <f>IFERROR(IF(INDEX(Winter!$1:$1048576,MATCH(All!$A606,Winter!$A:$A,FALSE),MATCH(All!R$1,Winter!$1:$1,FALSE))="","",INDEX(Winter!$1:$1048576,MATCH(All!$A606,Winter!$A:$A,FALSE),MATCH(All!R$1,Winter!$1:$1,FALSE))),"")</f>
        <v/>
      </c>
      <c r="S606" t="str">
        <f>IFERROR(IF(INDEX(Winter!$1:$1048576,MATCH(All!$A606,Winter!$A:$A,FALSE),MATCH(All!S$1,Winter!$1:$1,FALSE))="","",INDEX(Winter!$1:$1048576,MATCH(All!$A606,Winter!$A:$A,FALSE),MATCH(All!S$1,Winter!$1:$1,FALSE))),"")</f>
        <v/>
      </c>
      <c r="T606" t="str">
        <f>IFERROR(IF(INDEX(Winter!$1:$1048576,MATCH(All!$A606,Winter!$A:$A,FALSE),MATCH(All!T$1,Winter!$1:$1,FALSE))="","",INDEX(Winter!$1:$1048576,MATCH(All!$A606,Winter!$A:$A,FALSE),MATCH(All!T$1,Winter!$1:$1,FALSE))),"")</f>
        <v>1A</v>
      </c>
      <c r="U606" t="str">
        <f>IFERROR(IF(INDEX(Winter!$1:$1048576,MATCH(All!$A606,Winter!$A:$A,FALSE),MATCH(All!U$1,Winter!$1:$1,FALSE))="","",INDEX(Winter!$1:$1048576,MATCH(All!$A606,Winter!$A:$A,FALSE),MATCH(All!U$1,Winter!$1:$1,FALSE))),"")</f>
        <v>1A</v>
      </c>
      <c r="W606">
        <f>IFERROR(IF(INDEX(Spring!$1:$1048576,MATCH(All!$A606,Spring!$A:$A,FALSE),MATCH(All!W$1,Spring!$1:$1,FALSE))="","",INDEX(Spring!$1:$1048576,MATCH(All!$A606,Spring!$A:$A,FALSE),MATCH(All!W$1,Spring!$1:$1,FALSE))),"")</f>
        <v>276</v>
      </c>
      <c r="X606" t="str">
        <f>IFERROR(IF(INDEX(Spring!$1:$1048576,MATCH(All!$A606,Spring!$A:$A,FALSE),MATCH(All!X$1,Spring!$1:$1,FALSE))="","",INDEX(Spring!$1:$1048576,MATCH(All!$A606,Spring!$A:$A,FALSE),MATCH(All!X$1,Spring!$1:$1,FALSE))),"")</f>
        <v>2A</v>
      </c>
      <c r="Y606" t="str">
        <f>IFERROR(IF(INDEX(Spring!$1:$1048576,MATCH(All!$A606,Spring!$A:$A,FALSE),MATCH(All!Y$1,Spring!$1:$1,FALSE))="","",INDEX(Spring!$1:$1048576,MATCH(All!$A606,Spring!$A:$A,FALSE),MATCH(All!Y$1,Spring!$1:$1,FALSE))),"")</f>
        <v>2A</v>
      </c>
      <c r="Z606" t="str">
        <f>IFERROR(IF(INDEX(Spring!$1:$1048576,MATCH(All!$A606,Spring!$A:$A,FALSE),MATCH(All!Z$1,Spring!$1:$1,FALSE))="","",INDEX(Spring!$1:$1048576,MATCH(All!$A606,Spring!$A:$A,FALSE),MATCH(All!Z$1,Spring!$1:$1,FALSE))),"")</f>
        <v/>
      </c>
      <c r="AA606" t="str">
        <f>IFERROR(IF(INDEX(Spring!$1:$1048576,MATCH(All!$A606,Spring!$A:$A,FALSE),MATCH(All!AA$1,Spring!$1:$1,FALSE))="","",INDEX(Spring!$1:$1048576,MATCH(All!$A606,Spring!$A:$A,FALSE),MATCH(All!AA$1,Spring!$1:$1,FALSE))),"")</f>
        <v/>
      </c>
      <c r="AB606" t="str">
        <f>IFERROR(IF(INDEX(Spring!$1:$1048576,MATCH(All!$A606,Spring!$A:$A,FALSE),MATCH(All!AB$1,Spring!$1:$1,FALSE))="","",INDEX(Spring!$1:$1048576,MATCH(All!$A606,Spring!$A:$A,FALSE),MATCH(All!AB$1,Spring!$1:$1,FALSE))),"")</f>
        <v>1A</v>
      </c>
      <c r="AC606" t="str">
        <f>IFERROR(IF(INDEX(Spring!$1:$1048576,MATCH(All!$A606,Spring!$A:$A,FALSE),MATCH(All!AC$1,Spring!$1:$1,FALSE))="","",INDEX(Spring!$1:$1048576,MATCH(All!$A606,Spring!$A:$A,FALSE),MATCH(All!AC$1,Spring!$1:$1,FALSE))),"")</f>
        <v>1A</v>
      </c>
      <c r="AD606" t="str">
        <f>IFERROR(VLOOKUP(A606,'Flag Football'!A:A,1,FALSE),"")</f>
        <v/>
      </c>
      <c r="AE606" t="str">
        <f t="shared" si="9"/>
        <v/>
      </c>
    </row>
    <row r="607" spans="1:31" ht="15.75" thickBot="1" x14ac:dyDescent="0.3">
      <c r="A607" s="20" t="s">
        <v>708</v>
      </c>
      <c r="B607" s="38">
        <f>IFERROR(VLOOKUP(A607,'Public v Private'!A:G,3,FALSE),"")</f>
        <v>0</v>
      </c>
      <c r="C607" s="38">
        <f>IFERROR(VLOOKUP(A607,'Public v Private'!A:G,4,FALSE),"")</f>
        <v>0</v>
      </c>
      <c r="D607" s="38">
        <f>IFERROR(VLOOKUP(A607,'Public v Private'!A:G,5,FALSE),"")</f>
        <v>0</v>
      </c>
      <c r="E607" s="38"/>
      <c r="F607" s="40">
        <f>IFERROR(INDEX(Fall!$1:$1048576,MATCH(All!$A607,Fall!$A:$A,FALSE),MATCH(All!F$1,Fall!$1:$1,FALSE)),"N/A")</f>
        <v>365</v>
      </c>
      <c r="G607" t="str">
        <f>IFERROR(IF(INDEX(Fall!$1:$1048576,MATCH(All!$A607,Fall!$A:$A,FALSE),MATCH(All!G$1,Fall!$1:$1,FALSE))="","",INDEX(Fall!$1:$1048576,MATCH(All!$A607,Fall!$A:$A,FALSE),MATCH(All!G$1,Fall!$1:$1,FALSE))),"")</f>
        <v>1A</v>
      </c>
      <c r="H607" t="str">
        <f>IFERROR(IF(INDEX(Fall!$1:$1048576,MATCH(All!$A607,Fall!$A:$A,FALSE),MATCH(All!H$1,Fall!$1:$1,FALSE))="","",INDEX(Fall!$1:$1048576,MATCH(All!$A607,Fall!$A:$A,FALSE),MATCH(All!H$1,Fall!$1:$1,FALSE))),"")</f>
        <v>1A</v>
      </c>
      <c r="I607" t="str">
        <f>IFERROR(IF(INDEX(Fall!$1:$1048576,MATCH(All!$A607,Fall!$A:$A,FALSE),MATCH(All!I$1,Fall!$1:$1,FALSE))="","",INDEX(Fall!$1:$1048576,MATCH(All!$A607,Fall!$A:$A,FALSE),MATCH(All!I$1,Fall!$1:$1,FALSE))),"")</f>
        <v>1A</v>
      </c>
      <c r="J607" t="str">
        <f>IFERROR(IF(INDEX(Fall!$1:$1048576,MATCH(All!$A607,Fall!$A:$A,FALSE),MATCH(All!J$1,Fall!$1:$1,FALSE))="","",INDEX(Fall!$1:$1048576,MATCH(All!$A607,Fall!$A:$A,FALSE),MATCH(All!J$1,Fall!$1:$1,FALSE))),"")</f>
        <v/>
      </c>
      <c r="K607" t="str">
        <f>IFERROR(IF(INDEX(Fall!$1:$1048576,MATCH(All!$A607,Fall!$A:$A,FALSE),MATCH(All!K$1,Fall!$1:$1,FALSE))="","",INDEX(Fall!$1:$1048576,MATCH(All!$A607,Fall!$A:$A,FALSE),MATCH(All!K$1,Fall!$1:$1,FALSE))),"")</f>
        <v>1A</v>
      </c>
      <c r="L607" t="str">
        <f>IFERROR(IF(INDEX(Fall!$1:$1048576,MATCH(All!$A607,Fall!$A:$A,FALSE),MATCH(All!L$1,Fall!$1:$1,FALSE))="","",INDEX(Fall!$1:$1048576,MATCH(All!$A607,Fall!$A:$A,FALSE),MATCH(All!L$1,Fall!$1:$1,FALSE))),"")</f>
        <v/>
      </c>
      <c r="M607" t="str">
        <f>IFERROR(IF(INDEX(Fall!$1:$1048576,MATCH(All!$A607,Fall!$A:$A,FALSE),MATCH(All!M$1,Fall!$1:$1,FALSE))="","",INDEX(Fall!$1:$1048576,MATCH(All!$A607,Fall!$A:$A,FALSE),MATCH(All!M$1,Fall!$1:$1,FALSE))),"")</f>
        <v>2A</v>
      </c>
      <c r="O607">
        <f>IFERROR(IF(INDEX(Winter!$1:$1048576,MATCH(All!$A607,Winter!$A:$A,FALSE),MATCH(All!O$1,Winter!$1:$1,FALSE))="","",INDEX(Winter!$1:$1048576,MATCH(All!$A607,Winter!$A:$A,FALSE),MATCH(All!O$1,Winter!$1:$1,FALSE))),"")</f>
        <v>365</v>
      </c>
      <c r="P607" t="str">
        <f>IFERROR(IF(INDEX(Winter!$1:$1048576,MATCH(All!$A607,Winter!$A:$A,FALSE),MATCH(All!P$1,Winter!$1:$1,FALSE))="","",INDEX(Winter!$1:$1048576,MATCH(All!$A607,Winter!$A:$A,FALSE),MATCH(All!P$1,Winter!$1:$1,FALSE))),"")</f>
        <v>2A</v>
      </c>
      <c r="Q607" t="str">
        <f>IFERROR(IF(INDEX(Winter!$1:$1048576,MATCH(All!$A607,Winter!$A:$A,FALSE),MATCH(All!Q$1,Winter!$1:$1,FALSE))="","",INDEX(Winter!$1:$1048576,MATCH(All!$A607,Winter!$A:$A,FALSE),MATCH(All!Q$1,Winter!$1:$1,FALSE))),"")</f>
        <v>2A</v>
      </c>
      <c r="R607" t="str">
        <f>IFERROR(IF(INDEX(Winter!$1:$1048576,MATCH(All!$A607,Winter!$A:$A,FALSE),MATCH(All!R$1,Winter!$1:$1,FALSE))="","",INDEX(Winter!$1:$1048576,MATCH(All!$A607,Winter!$A:$A,FALSE),MATCH(All!R$1,Winter!$1:$1,FALSE))),"")</f>
        <v/>
      </c>
      <c r="S607" t="str">
        <f>IFERROR(IF(INDEX(Winter!$1:$1048576,MATCH(All!$A607,Winter!$A:$A,FALSE),MATCH(All!S$1,Winter!$1:$1,FALSE))="","",INDEX(Winter!$1:$1048576,MATCH(All!$A607,Winter!$A:$A,FALSE),MATCH(All!S$1,Winter!$1:$1,FALSE))),"")</f>
        <v/>
      </c>
      <c r="T607" t="str">
        <f>IFERROR(IF(INDEX(Winter!$1:$1048576,MATCH(All!$A607,Winter!$A:$A,FALSE),MATCH(All!T$1,Winter!$1:$1,FALSE))="","",INDEX(Winter!$1:$1048576,MATCH(All!$A607,Winter!$A:$A,FALSE),MATCH(All!T$1,Winter!$1:$1,FALSE))),"")</f>
        <v>1A</v>
      </c>
      <c r="U607" t="str">
        <f>IFERROR(IF(INDEX(Winter!$1:$1048576,MATCH(All!$A607,Winter!$A:$A,FALSE),MATCH(All!U$1,Winter!$1:$1,FALSE))="","",INDEX(Winter!$1:$1048576,MATCH(All!$A607,Winter!$A:$A,FALSE),MATCH(All!U$1,Winter!$1:$1,FALSE))),"")</f>
        <v>1A</v>
      </c>
      <c r="W607">
        <f>IFERROR(IF(INDEX(Spring!$1:$1048576,MATCH(All!$A607,Spring!$A:$A,FALSE),MATCH(All!W$1,Spring!$1:$1,FALSE))="","",INDEX(Spring!$1:$1048576,MATCH(All!$A607,Spring!$A:$A,FALSE),MATCH(All!W$1,Spring!$1:$1,FALSE))),"")</f>
        <v>365</v>
      </c>
      <c r="X607" t="str">
        <f>IFERROR(IF(INDEX(Spring!$1:$1048576,MATCH(All!$A607,Spring!$A:$A,FALSE),MATCH(All!X$1,Spring!$1:$1,FALSE))="","",INDEX(Spring!$1:$1048576,MATCH(All!$A607,Spring!$A:$A,FALSE),MATCH(All!X$1,Spring!$1:$1,FALSE))),"")</f>
        <v>2A</v>
      </c>
      <c r="Y607" t="str">
        <f>IFERROR(IF(INDEX(Spring!$1:$1048576,MATCH(All!$A607,Spring!$A:$A,FALSE),MATCH(All!Y$1,Spring!$1:$1,FALSE))="","",INDEX(Spring!$1:$1048576,MATCH(All!$A607,Spring!$A:$A,FALSE),MATCH(All!Y$1,Spring!$1:$1,FALSE))),"")</f>
        <v>2A</v>
      </c>
      <c r="Z607" t="str">
        <f>IFERROR(IF(INDEX(Spring!$1:$1048576,MATCH(All!$A607,Spring!$A:$A,FALSE),MATCH(All!Z$1,Spring!$1:$1,FALSE))="","",INDEX(Spring!$1:$1048576,MATCH(All!$A607,Spring!$A:$A,FALSE),MATCH(All!Z$1,Spring!$1:$1,FALSE))),"")</f>
        <v>1A</v>
      </c>
      <c r="AA607" t="str">
        <f>IFERROR(IF(INDEX(Spring!$1:$1048576,MATCH(All!$A607,Spring!$A:$A,FALSE),MATCH(All!AA$1,Spring!$1:$1,FALSE))="","",INDEX(Spring!$1:$1048576,MATCH(All!$A607,Spring!$A:$A,FALSE),MATCH(All!AA$1,Spring!$1:$1,FALSE))),"")</f>
        <v/>
      </c>
      <c r="AB607" t="str">
        <f>IFERROR(IF(INDEX(Spring!$1:$1048576,MATCH(All!$A607,Spring!$A:$A,FALSE),MATCH(All!AB$1,Spring!$1:$1,FALSE))="","",INDEX(Spring!$1:$1048576,MATCH(All!$A607,Spring!$A:$A,FALSE),MATCH(All!AB$1,Spring!$1:$1,FALSE))),"")</f>
        <v>1A</v>
      </c>
      <c r="AC607" t="str">
        <f>IFERROR(IF(INDEX(Spring!$1:$1048576,MATCH(All!$A607,Spring!$A:$A,FALSE),MATCH(All!AC$1,Spring!$1:$1,FALSE))="","",INDEX(Spring!$1:$1048576,MATCH(All!$A607,Spring!$A:$A,FALSE),MATCH(All!AC$1,Spring!$1:$1,FALSE))),"")</f>
        <v>1A</v>
      </c>
      <c r="AD607" t="str">
        <f>IFERROR(VLOOKUP(A607,'Flag Football'!A:A,1,FALSE),"")</f>
        <v/>
      </c>
      <c r="AE607" t="str">
        <f t="shared" si="9"/>
        <v/>
      </c>
    </row>
    <row r="608" spans="1:31" ht="15.75" thickBot="1" x14ac:dyDescent="0.3">
      <c r="A608" s="18" t="s">
        <v>709</v>
      </c>
      <c r="B608" s="38">
        <f>IFERROR(VLOOKUP(A608,'Public v Private'!A:G,3,FALSE),"")</f>
        <v>0</v>
      </c>
      <c r="C608" s="38">
        <f>IFERROR(VLOOKUP(A608,'Public v Private'!A:G,4,FALSE),"")</f>
        <v>0</v>
      </c>
      <c r="D608" s="38">
        <f>IFERROR(VLOOKUP(A608,'Public v Private'!A:G,5,FALSE),"")</f>
        <v>0</v>
      </c>
      <c r="E608" s="38"/>
      <c r="F608" s="40">
        <f>IFERROR(INDEX(Fall!$1:$1048576,MATCH(All!$A608,Fall!$A:$A,FALSE),MATCH(All!F$1,Fall!$1:$1,FALSE)),"N/A")</f>
        <v>378</v>
      </c>
      <c r="G608" t="str">
        <f>IFERROR(IF(INDEX(Fall!$1:$1048576,MATCH(All!$A608,Fall!$A:$A,FALSE),MATCH(All!G$1,Fall!$1:$1,FALSE))="","",INDEX(Fall!$1:$1048576,MATCH(All!$A608,Fall!$A:$A,FALSE),MATCH(All!G$1,Fall!$1:$1,FALSE))),"")</f>
        <v>1A</v>
      </c>
      <c r="H608" t="str">
        <f>IFERROR(IF(INDEX(Fall!$1:$1048576,MATCH(All!$A608,Fall!$A:$A,FALSE),MATCH(All!H$1,Fall!$1:$1,FALSE))="","",INDEX(Fall!$1:$1048576,MATCH(All!$A608,Fall!$A:$A,FALSE),MATCH(All!H$1,Fall!$1:$1,FALSE))),"")</f>
        <v>1A</v>
      </c>
      <c r="I608" t="str">
        <f>IFERROR(IF(INDEX(Fall!$1:$1048576,MATCH(All!$A608,Fall!$A:$A,FALSE),MATCH(All!I$1,Fall!$1:$1,FALSE))="","",INDEX(Fall!$1:$1048576,MATCH(All!$A608,Fall!$A:$A,FALSE),MATCH(All!I$1,Fall!$1:$1,FALSE))),"")</f>
        <v>1A</v>
      </c>
      <c r="J608" t="str">
        <f>IFERROR(IF(INDEX(Fall!$1:$1048576,MATCH(All!$A608,Fall!$A:$A,FALSE),MATCH(All!J$1,Fall!$1:$1,FALSE))="","",INDEX(Fall!$1:$1048576,MATCH(All!$A608,Fall!$A:$A,FALSE),MATCH(All!J$1,Fall!$1:$1,FALSE))),"")</f>
        <v>1A</v>
      </c>
      <c r="K608" t="str">
        <f>IFERROR(IF(INDEX(Fall!$1:$1048576,MATCH(All!$A608,Fall!$A:$A,FALSE),MATCH(All!K$1,Fall!$1:$1,FALSE))="","",INDEX(Fall!$1:$1048576,MATCH(All!$A608,Fall!$A:$A,FALSE),MATCH(All!K$1,Fall!$1:$1,FALSE))),"")</f>
        <v>1A</v>
      </c>
      <c r="L608" t="str">
        <f>IFERROR(IF(INDEX(Fall!$1:$1048576,MATCH(All!$A608,Fall!$A:$A,FALSE),MATCH(All!L$1,Fall!$1:$1,FALSE))="","",INDEX(Fall!$1:$1048576,MATCH(All!$A608,Fall!$A:$A,FALSE),MATCH(All!L$1,Fall!$1:$1,FALSE))),"")</f>
        <v/>
      </c>
      <c r="M608" t="str">
        <f>IFERROR(IF(INDEX(Fall!$1:$1048576,MATCH(All!$A608,Fall!$A:$A,FALSE),MATCH(All!M$1,Fall!$1:$1,FALSE))="","",INDEX(Fall!$1:$1048576,MATCH(All!$A608,Fall!$A:$A,FALSE),MATCH(All!M$1,Fall!$1:$1,FALSE))),"")</f>
        <v>2A</v>
      </c>
      <c r="O608">
        <f>IFERROR(IF(INDEX(Winter!$1:$1048576,MATCH(All!$A608,Winter!$A:$A,FALSE),MATCH(All!O$1,Winter!$1:$1,FALSE))="","",INDEX(Winter!$1:$1048576,MATCH(All!$A608,Winter!$A:$A,FALSE),MATCH(All!O$1,Winter!$1:$1,FALSE))),"")</f>
        <v>378</v>
      </c>
      <c r="P608" t="str">
        <f>IFERROR(IF(INDEX(Winter!$1:$1048576,MATCH(All!$A608,Winter!$A:$A,FALSE),MATCH(All!P$1,Winter!$1:$1,FALSE))="","",INDEX(Winter!$1:$1048576,MATCH(All!$A608,Winter!$A:$A,FALSE),MATCH(All!P$1,Winter!$1:$1,FALSE))),"")</f>
        <v>2A</v>
      </c>
      <c r="Q608" t="str">
        <f>IFERROR(IF(INDEX(Winter!$1:$1048576,MATCH(All!$A608,Winter!$A:$A,FALSE),MATCH(All!Q$1,Winter!$1:$1,FALSE))="","",INDEX(Winter!$1:$1048576,MATCH(All!$A608,Winter!$A:$A,FALSE),MATCH(All!Q$1,Winter!$1:$1,FALSE))),"")</f>
        <v>2A</v>
      </c>
      <c r="R608" t="str">
        <f>IFERROR(IF(INDEX(Winter!$1:$1048576,MATCH(All!$A608,Winter!$A:$A,FALSE),MATCH(All!R$1,Winter!$1:$1,FALSE))="","",INDEX(Winter!$1:$1048576,MATCH(All!$A608,Winter!$A:$A,FALSE),MATCH(All!R$1,Winter!$1:$1,FALSE))),"")</f>
        <v>1A</v>
      </c>
      <c r="S608" t="str">
        <f>IFERROR(IF(INDEX(Winter!$1:$1048576,MATCH(All!$A608,Winter!$A:$A,FALSE),MATCH(All!S$1,Winter!$1:$1,FALSE))="","",INDEX(Winter!$1:$1048576,MATCH(All!$A608,Winter!$A:$A,FALSE),MATCH(All!S$1,Winter!$1:$1,FALSE))),"")</f>
        <v>1A</v>
      </c>
      <c r="T608" t="str">
        <f>IFERROR(IF(INDEX(Winter!$1:$1048576,MATCH(All!$A608,Winter!$A:$A,FALSE),MATCH(All!T$1,Winter!$1:$1,FALSE))="","",INDEX(Winter!$1:$1048576,MATCH(All!$A608,Winter!$A:$A,FALSE),MATCH(All!T$1,Winter!$1:$1,FALSE))),"")</f>
        <v/>
      </c>
      <c r="U608" t="str">
        <f>IFERROR(IF(INDEX(Winter!$1:$1048576,MATCH(All!$A608,Winter!$A:$A,FALSE),MATCH(All!U$1,Winter!$1:$1,FALSE))="","",INDEX(Winter!$1:$1048576,MATCH(All!$A608,Winter!$A:$A,FALSE),MATCH(All!U$1,Winter!$1:$1,FALSE))),"")</f>
        <v>1A</v>
      </c>
      <c r="W608">
        <f>IFERROR(IF(INDEX(Spring!$1:$1048576,MATCH(All!$A608,Spring!$A:$A,FALSE),MATCH(All!W$1,Spring!$1:$1,FALSE))="","",INDEX(Spring!$1:$1048576,MATCH(All!$A608,Spring!$A:$A,FALSE),MATCH(All!W$1,Spring!$1:$1,FALSE))),"")</f>
        <v>378</v>
      </c>
      <c r="X608" t="str">
        <f>IFERROR(IF(INDEX(Spring!$1:$1048576,MATCH(All!$A608,Spring!$A:$A,FALSE),MATCH(All!X$1,Spring!$1:$1,FALSE))="","",INDEX(Spring!$1:$1048576,MATCH(All!$A608,Spring!$A:$A,FALSE),MATCH(All!X$1,Spring!$1:$1,FALSE))),"")</f>
        <v>2A</v>
      </c>
      <c r="Y608" t="str">
        <f>IFERROR(IF(INDEX(Spring!$1:$1048576,MATCH(All!$A608,Spring!$A:$A,FALSE),MATCH(All!Y$1,Spring!$1:$1,FALSE))="","",INDEX(Spring!$1:$1048576,MATCH(All!$A608,Spring!$A:$A,FALSE),MATCH(All!Y$1,Spring!$1:$1,FALSE))),"")</f>
        <v>2A</v>
      </c>
      <c r="Z608" t="str">
        <f>IFERROR(IF(INDEX(Spring!$1:$1048576,MATCH(All!$A608,Spring!$A:$A,FALSE),MATCH(All!Z$1,Spring!$1:$1,FALSE))="","",INDEX(Spring!$1:$1048576,MATCH(All!$A608,Spring!$A:$A,FALSE),MATCH(All!Z$1,Spring!$1:$1,FALSE))),"")</f>
        <v>1A</v>
      </c>
      <c r="AA608" t="str">
        <f>IFERROR(IF(INDEX(Spring!$1:$1048576,MATCH(All!$A608,Spring!$A:$A,FALSE),MATCH(All!AA$1,Spring!$1:$1,FALSE))="","",INDEX(Spring!$1:$1048576,MATCH(All!$A608,Spring!$A:$A,FALSE),MATCH(All!AA$1,Spring!$1:$1,FALSE))),"")</f>
        <v/>
      </c>
      <c r="AB608" t="str">
        <f>IFERROR(IF(INDEX(Spring!$1:$1048576,MATCH(All!$A608,Spring!$A:$A,FALSE),MATCH(All!AB$1,Spring!$1:$1,FALSE))="","",INDEX(Spring!$1:$1048576,MATCH(All!$A608,Spring!$A:$A,FALSE),MATCH(All!AB$1,Spring!$1:$1,FALSE))),"")</f>
        <v>1A</v>
      </c>
      <c r="AC608" t="str">
        <f>IFERROR(IF(INDEX(Spring!$1:$1048576,MATCH(All!$A608,Spring!$A:$A,FALSE),MATCH(All!AC$1,Spring!$1:$1,FALSE))="","",INDEX(Spring!$1:$1048576,MATCH(All!$A608,Spring!$A:$A,FALSE),MATCH(All!AC$1,Spring!$1:$1,FALSE))),"")</f>
        <v>1A</v>
      </c>
      <c r="AD608" t="str">
        <f>IFERROR(VLOOKUP(A608,'Flag Football'!A:A,1,FALSE),"")</f>
        <v/>
      </c>
      <c r="AE608" t="str">
        <f t="shared" si="9"/>
        <v/>
      </c>
    </row>
    <row r="609" spans="1:31" ht="15.75" thickBot="1" x14ac:dyDescent="0.3">
      <c r="A609" s="20" t="s">
        <v>710</v>
      </c>
      <c r="B609" s="38">
        <f>IFERROR(VLOOKUP(A609,'Public v Private'!A:G,3,FALSE),"")</f>
        <v>0</v>
      </c>
      <c r="C609" s="38">
        <f>IFERROR(VLOOKUP(A609,'Public v Private'!A:G,4,FALSE),"")</f>
        <v>0</v>
      </c>
      <c r="D609" s="38">
        <f>IFERROR(VLOOKUP(A609,'Public v Private'!A:G,5,FALSE),"")</f>
        <v>0</v>
      </c>
      <c r="E609" s="38"/>
      <c r="F609" s="40">
        <f>IFERROR(INDEX(Fall!$1:$1048576,MATCH(All!$A609,Fall!$A:$A,FALSE),MATCH(All!F$1,Fall!$1:$1,FALSE)),"N/A")</f>
        <v>367</v>
      </c>
      <c r="G609" t="str">
        <f>IFERROR(IF(INDEX(Fall!$1:$1048576,MATCH(All!$A609,Fall!$A:$A,FALSE),MATCH(All!G$1,Fall!$1:$1,FALSE))="","",INDEX(Fall!$1:$1048576,MATCH(All!$A609,Fall!$A:$A,FALSE),MATCH(All!G$1,Fall!$1:$1,FALSE))),"")</f>
        <v>1A</v>
      </c>
      <c r="H609" t="str">
        <f>IFERROR(IF(INDEX(Fall!$1:$1048576,MATCH(All!$A609,Fall!$A:$A,FALSE),MATCH(All!H$1,Fall!$1:$1,FALSE))="","",INDEX(Fall!$1:$1048576,MATCH(All!$A609,Fall!$A:$A,FALSE),MATCH(All!H$1,Fall!$1:$1,FALSE))),"")</f>
        <v>1A</v>
      </c>
      <c r="I609" t="str">
        <f>IFERROR(IF(INDEX(Fall!$1:$1048576,MATCH(All!$A609,Fall!$A:$A,FALSE),MATCH(All!I$1,Fall!$1:$1,FALSE))="","",INDEX(Fall!$1:$1048576,MATCH(All!$A609,Fall!$A:$A,FALSE),MATCH(All!I$1,Fall!$1:$1,FALSE))),"")</f>
        <v>1A</v>
      </c>
      <c r="J609" t="str">
        <f>IFERROR(IF(INDEX(Fall!$1:$1048576,MATCH(All!$A609,Fall!$A:$A,FALSE),MATCH(All!J$1,Fall!$1:$1,FALSE))="","",INDEX(Fall!$1:$1048576,MATCH(All!$A609,Fall!$A:$A,FALSE),MATCH(All!J$1,Fall!$1:$1,FALSE))),"")</f>
        <v>1A</v>
      </c>
      <c r="K609" t="str">
        <f>IFERROR(IF(INDEX(Fall!$1:$1048576,MATCH(All!$A609,Fall!$A:$A,FALSE),MATCH(All!K$1,Fall!$1:$1,FALSE))="","",INDEX(Fall!$1:$1048576,MATCH(All!$A609,Fall!$A:$A,FALSE),MATCH(All!K$1,Fall!$1:$1,FALSE))),"")</f>
        <v/>
      </c>
      <c r="L609" t="str">
        <f>IFERROR(IF(INDEX(Fall!$1:$1048576,MATCH(All!$A609,Fall!$A:$A,FALSE),MATCH(All!L$1,Fall!$1:$1,FALSE))="","",INDEX(Fall!$1:$1048576,MATCH(All!$A609,Fall!$A:$A,FALSE),MATCH(All!L$1,Fall!$1:$1,FALSE))),"")</f>
        <v/>
      </c>
      <c r="M609" t="str">
        <f>IFERROR(IF(INDEX(Fall!$1:$1048576,MATCH(All!$A609,Fall!$A:$A,FALSE),MATCH(All!M$1,Fall!$1:$1,FALSE))="","",INDEX(Fall!$1:$1048576,MATCH(All!$A609,Fall!$A:$A,FALSE),MATCH(All!M$1,Fall!$1:$1,FALSE))),"")</f>
        <v>2A</v>
      </c>
      <c r="O609">
        <f>IFERROR(IF(INDEX(Winter!$1:$1048576,MATCH(All!$A609,Winter!$A:$A,FALSE),MATCH(All!O$1,Winter!$1:$1,FALSE))="","",INDEX(Winter!$1:$1048576,MATCH(All!$A609,Winter!$A:$A,FALSE),MATCH(All!O$1,Winter!$1:$1,FALSE))),"")</f>
        <v>367</v>
      </c>
      <c r="P609" t="str">
        <f>IFERROR(IF(INDEX(Winter!$1:$1048576,MATCH(All!$A609,Winter!$A:$A,FALSE),MATCH(All!P$1,Winter!$1:$1,FALSE))="","",INDEX(Winter!$1:$1048576,MATCH(All!$A609,Winter!$A:$A,FALSE),MATCH(All!P$1,Winter!$1:$1,FALSE))),"")</f>
        <v>2A</v>
      </c>
      <c r="Q609" t="str">
        <f>IFERROR(IF(INDEX(Winter!$1:$1048576,MATCH(All!$A609,Winter!$A:$A,FALSE),MATCH(All!Q$1,Winter!$1:$1,FALSE))="","",INDEX(Winter!$1:$1048576,MATCH(All!$A609,Winter!$A:$A,FALSE),MATCH(All!Q$1,Winter!$1:$1,FALSE))),"")</f>
        <v>2A</v>
      </c>
      <c r="R609" t="str">
        <f>IFERROR(IF(INDEX(Winter!$1:$1048576,MATCH(All!$A609,Winter!$A:$A,FALSE),MATCH(All!R$1,Winter!$1:$1,FALSE))="","",INDEX(Winter!$1:$1048576,MATCH(All!$A609,Winter!$A:$A,FALSE),MATCH(All!R$1,Winter!$1:$1,FALSE))),"")</f>
        <v/>
      </c>
      <c r="S609" t="str">
        <f>IFERROR(IF(INDEX(Winter!$1:$1048576,MATCH(All!$A609,Winter!$A:$A,FALSE),MATCH(All!S$1,Winter!$1:$1,FALSE))="","",INDEX(Winter!$1:$1048576,MATCH(All!$A609,Winter!$A:$A,FALSE),MATCH(All!S$1,Winter!$1:$1,FALSE))),"")</f>
        <v/>
      </c>
      <c r="T609" t="str">
        <f>IFERROR(IF(INDEX(Winter!$1:$1048576,MATCH(All!$A609,Winter!$A:$A,FALSE),MATCH(All!T$1,Winter!$1:$1,FALSE))="","",INDEX(Winter!$1:$1048576,MATCH(All!$A609,Winter!$A:$A,FALSE),MATCH(All!T$1,Winter!$1:$1,FALSE))),"")</f>
        <v>1A</v>
      </c>
      <c r="U609" t="str">
        <f>IFERROR(IF(INDEX(Winter!$1:$1048576,MATCH(All!$A609,Winter!$A:$A,FALSE),MATCH(All!U$1,Winter!$1:$1,FALSE))="","",INDEX(Winter!$1:$1048576,MATCH(All!$A609,Winter!$A:$A,FALSE),MATCH(All!U$1,Winter!$1:$1,FALSE))),"")</f>
        <v>1A</v>
      </c>
      <c r="W609">
        <f>IFERROR(IF(INDEX(Spring!$1:$1048576,MATCH(All!$A609,Spring!$A:$A,FALSE),MATCH(All!W$1,Spring!$1:$1,FALSE))="","",INDEX(Spring!$1:$1048576,MATCH(All!$A609,Spring!$A:$A,FALSE),MATCH(All!W$1,Spring!$1:$1,FALSE))),"")</f>
        <v>367</v>
      </c>
      <c r="X609" t="str">
        <f>IFERROR(IF(INDEX(Spring!$1:$1048576,MATCH(All!$A609,Spring!$A:$A,FALSE),MATCH(All!X$1,Spring!$1:$1,FALSE))="","",INDEX(Spring!$1:$1048576,MATCH(All!$A609,Spring!$A:$A,FALSE),MATCH(All!X$1,Spring!$1:$1,FALSE))),"")</f>
        <v>2A</v>
      </c>
      <c r="Y609" t="str">
        <f>IFERROR(IF(INDEX(Spring!$1:$1048576,MATCH(All!$A609,Spring!$A:$A,FALSE),MATCH(All!Y$1,Spring!$1:$1,FALSE))="","",INDEX(Spring!$1:$1048576,MATCH(All!$A609,Spring!$A:$A,FALSE),MATCH(All!Y$1,Spring!$1:$1,FALSE))),"")</f>
        <v>2A</v>
      </c>
      <c r="Z609" t="str">
        <f>IFERROR(IF(INDEX(Spring!$1:$1048576,MATCH(All!$A609,Spring!$A:$A,FALSE),MATCH(All!Z$1,Spring!$1:$1,FALSE))="","",INDEX(Spring!$1:$1048576,MATCH(All!$A609,Spring!$A:$A,FALSE),MATCH(All!Z$1,Spring!$1:$1,FALSE))),"")</f>
        <v/>
      </c>
      <c r="AA609" t="str">
        <f>IFERROR(IF(INDEX(Spring!$1:$1048576,MATCH(All!$A609,Spring!$A:$A,FALSE),MATCH(All!AA$1,Spring!$1:$1,FALSE))="","",INDEX(Spring!$1:$1048576,MATCH(All!$A609,Spring!$A:$A,FALSE),MATCH(All!AA$1,Spring!$1:$1,FALSE))),"")</f>
        <v/>
      </c>
      <c r="AB609" t="str">
        <f>IFERROR(IF(INDEX(Spring!$1:$1048576,MATCH(All!$A609,Spring!$A:$A,FALSE),MATCH(All!AB$1,Spring!$1:$1,FALSE))="","",INDEX(Spring!$1:$1048576,MATCH(All!$A609,Spring!$A:$A,FALSE),MATCH(All!AB$1,Spring!$1:$1,FALSE))),"")</f>
        <v>1A</v>
      </c>
      <c r="AC609" t="str">
        <f>IFERROR(IF(INDEX(Spring!$1:$1048576,MATCH(All!$A609,Spring!$A:$A,FALSE),MATCH(All!AC$1,Spring!$1:$1,FALSE))="","",INDEX(Spring!$1:$1048576,MATCH(All!$A609,Spring!$A:$A,FALSE),MATCH(All!AC$1,Spring!$1:$1,FALSE))),"")</f>
        <v>1A</v>
      </c>
      <c r="AD609" t="str">
        <f>IFERROR(VLOOKUP(A609,'Flag Football'!A:A,1,FALSE),"")</f>
        <v/>
      </c>
      <c r="AE609" t="str">
        <f t="shared" si="9"/>
        <v/>
      </c>
    </row>
    <row r="610" spans="1:31" ht="15.75" thickBot="1" x14ac:dyDescent="0.3">
      <c r="A610" s="18" t="s">
        <v>711</v>
      </c>
      <c r="B610" s="38">
        <f>IFERROR(VLOOKUP(A610,'Public v Private'!A:G,3,FALSE),"")</f>
        <v>0</v>
      </c>
      <c r="C610" s="38">
        <f>IFERROR(VLOOKUP(A610,'Public v Private'!A:G,4,FALSE),"")</f>
        <v>0</v>
      </c>
      <c r="D610" s="38">
        <f>IFERROR(VLOOKUP(A610,'Public v Private'!A:G,5,FALSE),"")</f>
        <v>0</v>
      </c>
      <c r="E610" s="38"/>
      <c r="F610" s="40">
        <f>IFERROR(INDEX(Fall!$1:$1048576,MATCH(All!$A610,Fall!$A:$A,FALSE),MATCH(All!F$1,Fall!$1:$1,FALSE)),"N/A")</f>
        <v>1767</v>
      </c>
      <c r="G610" t="str">
        <f>IFERROR(IF(INDEX(Fall!$1:$1048576,MATCH(All!$A610,Fall!$A:$A,FALSE),MATCH(All!G$1,Fall!$1:$1,FALSE))="","",INDEX(Fall!$1:$1048576,MATCH(All!$A610,Fall!$A:$A,FALSE),MATCH(All!G$1,Fall!$1:$1,FALSE))),"")</f>
        <v>3A</v>
      </c>
      <c r="H610" t="str">
        <f>IFERROR(IF(INDEX(Fall!$1:$1048576,MATCH(All!$A610,Fall!$A:$A,FALSE),MATCH(All!H$1,Fall!$1:$1,FALSE))="","",INDEX(Fall!$1:$1048576,MATCH(All!$A610,Fall!$A:$A,FALSE),MATCH(All!H$1,Fall!$1:$1,FALSE))),"")</f>
        <v>3A</v>
      </c>
      <c r="I610" t="str">
        <f>IFERROR(IF(INDEX(Fall!$1:$1048576,MATCH(All!$A610,Fall!$A:$A,FALSE),MATCH(All!I$1,Fall!$1:$1,FALSE))="","",INDEX(Fall!$1:$1048576,MATCH(All!$A610,Fall!$A:$A,FALSE),MATCH(All!I$1,Fall!$1:$1,FALSE))),"")</f>
        <v>3A</v>
      </c>
      <c r="J610" t="str">
        <f>IFERROR(IF(INDEX(Fall!$1:$1048576,MATCH(All!$A610,Fall!$A:$A,FALSE),MATCH(All!J$1,Fall!$1:$1,FALSE))="","",INDEX(Fall!$1:$1048576,MATCH(All!$A610,Fall!$A:$A,FALSE),MATCH(All!J$1,Fall!$1:$1,FALSE))),"")</f>
        <v>2A</v>
      </c>
      <c r="K610" t="str">
        <f>IFERROR(IF(INDEX(Fall!$1:$1048576,MATCH(All!$A610,Fall!$A:$A,FALSE),MATCH(All!K$1,Fall!$1:$1,FALSE))="","",INDEX(Fall!$1:$1048576,MATCH(All!$A610,Fall!$A:$A,FALSE),MATCH(All!K$1,Fall!$1:$1,FALSE))),"")</f>
        <v>3A</v>
      </c>
      <c r="L610" t="str">
        <f>IFERROR(IF(INDEX(Fall!$1:$1048576,MATCH(All!$A610,Fall!$A:$A,FALSE),MATCH(All!L$1,Fall!$1:$1,FALSE))="","",INDEX(Fall!$1:$1048576,MATCH(All!$A610,Fall!$A:$A,FALSE),MATCH(All!L$1,Fall!$1:$1,FALSE))),"")</f>
        <v>2A</v>
      </c>
      <c r="M610" t="str">
        <f>IFERROR(IF(INDEX(Fall!$1:$1048576,MATCH(All!$A610,Fall!$A:$A,FALSE),MATCH(All!M$1,Fall!$1:$1,FALSE))="","",INDEX(Fall!$1:$1048576,MATCH(All!$A610,Fall!$A:$A,FALSE),MATCH(All!M$1,Fall!$1:$1,FALSE))),"")</f>
        <v>4A</v>
      </c>
      <c r="O610">
        <f>IFERROR(IF(INDEX(Winter!$1:$1048576,MATCH(All!$A610,Winter!$A:$A,FALSE),MATCH(All!O$1,Winter!$1:$1,FALSE))="","",INDEX(Winter!$1:$1048576,MATCH(All!$A610,Winter!$A:$A,FALSE),MATCH(All!O$1,Winter!$1:$1,FALSE))),"")</f>
        <v>1767</v>
      </c>
      <c r="P610" t="str">
        <f>IFERROR(IF(INDEX(Winter!$1:$1048576,MATCH(All!$A610,Winter!$A:$A,FALSE),MATCH(All!P$1,Winter!$1:$1,FALSE))="","",INDEX(Winter!$1:$1048576,MATCH(All!$A610,Winter!$A:$A,FALSE),MATCH(All!P$1,Winter!$1:$1,FALSE))),"")</f>
        <v>4A</v>
      </c>
      <c r="Q610" t="str">
        <f>IFERROR(IF(INDEX(Winter!$1:$1048576,MATCH(All!$A610,Winter!$A:$A,FALSE),MATCH(All!Q$1,Winter!$1:$1,FALSE))="","",INDEX(Winter!$1:$1048576,MATCH(All!$A610,Winter!$A:$A,FALSE),MATCH(All!Q$1,Winter!$1:$1,FALSE))),"")</f>
        <v>4A</v>
      </c>
      <c r="R610" t="str">
        <f>IFERROR(IF(INDEX(Winter!$1:$1048576,MATCH(All!$A610,Winter!$A:$A,FALSE),MATCH(All!R$1,Winter!$1:$1,FALSE))="","",INDEX(Winter!$1:$1048576,MATCH(All!$A610,Winter!$A:$A,FALSE),MATCH(All!R$1,Winter!$1:$1,FALSE))),"")</f>
        <v>3A</v>
      </c>
      <c r="S610" t="str">
        <f>IFERROR(IF(INDEX(Winter!$1:$1048576,MATCH(All!$A610,Winter!$A:$A,FALSE),MATCH(All!S$1,Winter!$1:$1,FALSE))="","",INDEX(Winter!$1:$1048576,MATCH(All!$A610,Winter!$A:$A,FALSE),MATCH(All!S$1,Winter!$1:$1,FALSE))),"")</f>
        <v>2A</v>
      </c>
      <c r="T610" t="str">
        <f>IFERROR(IF(INDEX(Winter!$1:$1048576,MATCH(All!$A610,Winter!$A:$A,FALSE),MATCH(All!T$1,Winter!$1:$1,FALSE))="","",INDEX(Winter!$1:$1048576,MATCH(All!$A610,Winter!$A:$A,FALSE),MATCH(All!T$1,Winter!$1:$1,FALSE))),"")</f>
        <v>2A</v>
      </c>
      <c r="U610" t="str">
        <f>IFERROR(IF(INDEX(Winter!$1:$1048576,MATCH(All!$A610,Winter!$A:$A,FALSE),MATCH(All!U$1,Winter!$1:$1,FALSE))="","",INDEX(Winter!$1:$1048576,MATCH(All!$A610,Winter!$A:$A,FALSE),MATCH(All!U$1,Winter!$1:$1,FALSE))),"")</f>
        <v>3A</v>
      </c>
      <c r="W610">
        <f>IFERROR(IF(INDEX(Spring!$1:$1048576,MATCH(All!$A610,Spring!$A:$A,FALSE),MATCH(All!W$1,Spring!$1:$1,FALSE))="","",INDEX(Spring!$1:$1048576,MATCH(All!$A610,Spring!$A:$A,FALSE),MATCH(All!W$1,Spring!$1:$1,FALSE))),"")</f>
        <v>1767</v>
      </c>
      <c r="X610" t="str">
        <f>IFERROR(IF(INDEX(Spring!$1:$1048576,MATCH(All!$A610,Spring!$A:$A,FALSE),MATCH(All!X$1,Spring!$1:$1,FALSE))="","",INDEX(Spring!$1:$1048576,MATCH(All!$A610,Spring!$A:$A,FALSE),MATCH(All!X$1,Spring!$1:$1,FALSE))),"")</f>
        <v>4A</v>
      </c>
      <c r="Y610" t="str">
        <f>IFERROR(IF(INDEX(Spring!$1:$1048576,MATCH(All!$A610,Spring!$A:$A,FALSE),MATCH(All!Y$1,Spring!$1:$1,FALSE))="","",INDEX(Spring!$1:$1048576,MATCH(All!$A610,Spring!$A:$A,FALSE),MATCH(All!Y$1,Spring!$1:$1,FALSE))),"")</f>
        <v>4A</v>
      </c>
      <c r="Z610" t="str">
        <f>IFERROR(IF(INDEX(Spring!$1:$1048576,MATCH(All!$A610,Spring!$A:$A,FALSE),MATCH(All!Z$1,Spring!$1:$1,FALSE))="","",INDEX(Spring!$1:$1048576,MATCH(All!$A610,Spring!$A:$A,FALSE),MATCH(All!Z$1,Spring!$1:$1,FALSE))),"")</f>
        <v>2A</v>
      </c>
      <c r="AA610" t="str">
        <f>IFERROR(IF(INDEX(Spring!$1:$1048576,MATCH(All!$A610,Spring!$A:$A,FALSE),MATCH(All!AA$1,Spring!$1:$1,FALSE))="","",INDEX(Spring!$1:$1048576,MATCH(All!$A610,Spring!$A:$A,FALSE),MATCH(All!AA$1,Spring!$1:$1,FALSE))),"")</f>
        <v>2A</v>
      </c>
      <c r="AB610" t="str">
        <f>IFERROR(IF(INDEX(Spring!$1:$1048576,MATCH(All!$A610,Spring!$A:$A,FALSE),MATCH(All!AB$1,Spring!$1:$1,FALSE))="","",INDEX(Spring!$1:$1048576,MATCH(All!$A610,Spring!$A:$A,FALSE),MATCH(All!AB$1,Spring!$1:$1,FALSE))),"")</f>
        <v>3A</v>
      </c>
      <c r="AC610" t="str">
        <f>IFERROR(IF(INDEX(Spring!$1:$1048576,MATCH(All!$A610,Spring!$A:$A,FALSE),MATCH(All!AC$1,Spring!$1:$1,FALSE))="","",INDEX(Spring!$1:$1048576,MATCH(All!$A610,Spring!$A:$A,FALSE),MATCH(All!AC$1,Spring!$1:$1,FALSE))),"")</f>
        <v>3A</v>
      </c>
      <c r="AD610" t="str">
        <f>IFERROR(VLOOKUP(A610,'Flag Football'!A:A,1,FALSE),"")</f>
        <v>Plainfield (Central)</v>
      </c>
      <c r="AE610" t="str">
        <f t="shared" si="9"/>
        <v>1A</v>
      </c>
    </row>
    <row r="611" spans="1:31" ht="15.75" thickBot="1" x14ac:dyDescent="0.3">
      <c r="A611" s="20" t="s">
        <v>712</v>
      </c>
      <c r="B611" s="38">
        <f>IFERROR(VLOOKUP(A611,'Public v Private'!A:G,3,FALSE),"")</f>
        <v>0</v>
      </c>
      <c r="C611" s="38">
        <f>IFERROR(VLOOKUP(A611,'Public v Private'!A:G,4,FALSE),"")</f>
        <v>0</v>
      </c>
      <c r="D611" s="38">
        <f>IFERROR(VLOOKUP(A611,'Public v Private'!A:G,5,FALSE),"")</f>
        <v>0</v>
      </c>
      <c r="E611" s="38"/>
      <c r="F611" s="40">
        <f>IFERROR(INDEX(Fall!$1:$1048576,MATCH(All!$A611,Fall!$A:$A,FALSE),MATCH(All!F$1,Fall!$1:$1,FALSE)),"N/A")</f>
        <v>1772</v>
      </c>
      <c r="G611" t="str">
        <f>IFERROR(IF(INDEX(Fall!$1:$1048576,MATCH(All!$A611,Fall!$A:$A,FALSE),MATCH(All!G$1,Fall!$1:$1,FALSE))="","",INDEX(Fall!$1:$1048576,MATCH(All!$A611,Fall!$A:$A,FALSE),MATCH(All!G$1,Fall!$1:$1,FALSE))),"")</f>
        <v>3A</v>
      </c>
      <c r="H611" t="str">
        <f>IFERROR(IF(INDEX(Fall!$1:$1048576,MATCH(All!$A611,Fall!$A:$A,FALSE),MATCH(All!H$1,Fall!$1:$1,FALSE))="","",INDEX(Fall!$1:$1048576,MATCH(All!$A611,Fall!$A:$A,FALSE),MATCH(All!H$1,Fall!$1:$1,FALSE))),"")</f>
        <v>3A</v>
      </c>
      <c r="I611" t="str">
        <f>IFERROR(IF(INDEX(Fall!$1:$1048576,MATCH(All!$A611,Fall!$A:$A,FALSE),MATCH(All!I$1,Fall!$1:$1,FALSE))="","",INDEX(Fall!$1:$1048576,MATCH(All!$A611,Fall!$A:$A,FALSE),MATCH(All!I$1,Fall!$1:$1,FALSE))),"")</f>
        <v>3A</v>
      </c>
      <c r="J611" t="str">
        <f>IFERROR(IF(INDEX(Fall!$1:$1048576,MATCH(All!$A611,Fall!$A:$A,FALSE),MATCH(All!J$1,Fall!$1:$1,FALSE))="","",INDEX(Fall!$1:$1048576,MATCH(All!$A611,Fall!$A:$A,FALSE),MATCH(All!J$1,Fall!$1:$1,FALSE))),"")</f>
        <v>2A</v>
      </c>
      <c r="K611" t="str">
        <f>IFERROR(IF(INDEX(Fall!$1:$1048576,MATCH(All!$A611,Fall!$A:$A,FALSE),MATCH(All!K$1,Fall!$1:$1,FALSE))="","",INDEX(Fall!$1:$1048576,MATCH(All!$A611,Fall!$A:$A,FALSE),MATCH(All!K$1,Fall!$1:$1,FALSE))),"")</f>
        <v>3A</v>
      </c>
      <c r="L611" t="str">
        <f>IFERROR(IF(INDEX(Fall!$1:$1048576,MATCH(All!$A611,Fall!$A:$A,FALSE),MATCH(All!L$1,Fall!$1:$1,FALSE))="","",INDEX(Fall!$1:$1048576,MATCH(All!$A611,Fall!$A:$A,FALSE),MATCH(All!L$1,Fall!$1:$1,FALSE))),"")</f>
        <v>2A</v>
      </c>
      <c r="M611" t="str">
        <f>IFERROR(IF(INDEX(Fall!$1:$1048576,MATCH(All!$A611,Fall!$A:$A,FALSE),MATCH(All!M$1,Fall!$1:$1,FALSE))="","",INDEX(Fall!$1:$1048576,MATCH(All!$A611,Fall!$A:$A,FALSE),MATCH(All!M$1,Fall!$1:$1,FALSE))),"")</f>
        <v>4A</v>
      </c>
      <c r="O611">
        <f>IFERROR(IF(INDEX(Winter!$1:$1048576,MATCH(All!$A611,Winter!$A:$A,FALSE),MATCH(All!O$1,Winter!$1:$1,FALSE))="","",INDEX(Winter!$1:$1048576,MATCH(All!$A611,Winter!$A:$A,FALSE),MATCH(All!O$1,Winter!$1:$1,FALSE))),"")</f>
        <v>1772</v>
      </c>
      <c r="P611" t="str">
        <f>IFERROR(IF(INDEX(Winter!$1:$1048576,MATCH(All!$A611,Winter!$A:$A,FALSE),MATCH(All!P$1,Winter!$1:$1,FALSE))="","",INDEX(Winter!$1:$1048576,MATCH(All!$A611,Winter!$A:$A,FALSE),MATCH(All!P$1,Winter!$1:$1,FALSE))),"")</f>
        <v>4A</v>
      </c>
      <c r="Q611" t="str">
        <f>IFERROR(IF(INDEX(Winter!$1:$1048576,MATCH(All!$A611,Winter!$A:$A,FALSE),MATCH(All!Q$1,Winter!$1:$1,FALSE))="","",INDEX(Winter!$1:$1048576,MATCH(All!$A611,Winter!$A:$A,FALSE),MATCH(All!Q$1,Winter!$1:$1,FALSE))),"")</f>
        <v>4A</v>
      </c>
      <c r="R611" t="str">
        <f>IFERROR(IF(INDEX(Winter!$1:$1048576,MATCH(All!$A611,Winter!$A:$A,FALSE),MATCH(All!R$1,Winter!$1:$1,FALSE))="","",INDEX(Winter!$1:$1048576,MATCH(All!$A611,Winter!$A:$A,FALSE),MATCH(All!R$1,Winter!$1:$1,FALSE))),"")</f>
        <v>C</v>
      </c>
      <c r="S611" t="str">
        <f>IFERROR(IF(INDEX(Winter!$1:$1048576,MATCH(All!$A611,Winter!$A:$A,FALSE),MATCH(All!S$1,Winter!$1:$1,FALSE))="","",INDEX(Winter!$1:$1048576,MATCH(All!$A611,Winter!$A:$A,FALSE),MATCH(All!S$1,Winter!$1:$1,FALSE))),"")</f>
        <v>2A</v>
      </c>
      <c r="T611" t="str">
        <f>IFERROR(IF(INDEX(Winter!$1:$1048576,MATCH(All!$A611,Winter!$A:$A,FALSE),MATCH(All!T$1,Winter!$1:$1,FALSE))="","",INDEX(Winter!$1:$1048576,MATCH(All!$A611,Winter!$A:$A,FALSE),MATCH(All!T$1,Winter!$1:$1,FALSE))),"")</f>
        <v>2A</v>
      </c>
      <c r="U611" t="str">
        <f>IFERROR(IF(INDEX(Winter!$1:$1048576,MATCH(All!$A611,Winter!$A:$A,FALSE),MATCH(All!U$1,Winter!$1:$1,FALSE))="","",INDEX(Winter!$1:$1048576,MATCH(All!$A611,Winter!$A:$A,FALSE),MATCH(All!U$1,Winter!$1:$1,FALSE))),"")</f>
        <v>3A</v>
      </c>
      <c r="W611">
        <f>IFERROR(IF(INDEX(Spring!$1:$1048576,MATCH(All!$A611,Spring!$A:$A,FALSE),MATCH(All!W$1,Spring!$1:$1,FALSE))="","",INDEX(Spring!$1:$1048576,MATCH(All!$A611,Spring!$A:$A,FALSE),MATCH(All!W$1,Spring!$1:$1,FALSE))),"")</f>
        <v>1772</v>
      </c>
      <c r="X611" t="str">
        <f>IFERROR(IF(INDEX(Spring!$1:$1048576,MATCH(All!$A611,Spring!$A:$A,FALSE),MATCH(All!X$1,Spring!$1:$1,FALSE))="","",INDEX(Spring!$1:$1048576,MATCH(All!$A611,Spring!$A:$A,FALSE),MATCH(All!X$1,Spring!$1:$1,FALSE))),"")</f>
        <v>4A</v>
      </c>
      <c r="Y611" t="str">
        <f>IFERROR(IF(INDEX(Spring!$1:$1048576,MATCH(All!$A611,Spring!$A:$A,FALSE),MATCH(All!Y$1,Spring!$1:$1,FALSE))="","",INDEX(Spring!$1:$1048576,MATCH(All!$A611,Spring!$A:$A,FALSE),MATCH(All!Y$1,Spring!$1:$1,FALSE))),"")</f>
        <v>4A</v>
      </c>
      <c r="Z611" t="str">
        <f>IFERROR(IF(INDEX(Spring!$1:$1048576,MATCH(All!$A611,Spring!$A:$A,FALSE),MATCH(All!Z$1,Spring!$1:$1,FALSE))="","",INDEX(Spring!$1:$1048576,MATCH(All!$A611,Spring!$A:$A,FALSE),MATCH(All!Z$1,Spring!$1:$1,FALSE))),"")</f>
        <v>2A</v>
      </c>
      <c r="AA611" t="str">
        <f>IFERROR(IF(INDEX(Spring!$1:$1048576,MATCH(All!$A611,Spring!$A:$A,FALSE),MATCH(All!AA$1,Spring!$1:$1,FALSE))="","",INDEX(Spring!$1:$1048576,MATCH(All!$A611,Spring!$A:$A,FALSE),MATCH(All!AA$1,Spring!$1:$1,FALSE))),"")</f>
        <v>2A</v>
      </c>
      <c r="AB611" t="str">
        <f>IFERROR(IF(INDEX(Spring!$1:$1048576,MATCH(All!$A611,Spring!$A:$A,FALSE),MATCH(All!AB$1,Spring!$1:$1,FALSE))="","",INDEX(Spring!$1:$1048576,MATCH(All!$A611,Spring!$A:$A,FALSE),MATCH(All!AB$1,Spring!$1:$1,FALSE))),"")</f>
        <v>3A</v>
      </c>
      <c r="AC611" t="str">
        <f>IFERROR(IF(INDEX(Spring!$1:$1048576,MATCH(All!$A611,Spring!$A:$A,FALSE),MATCH(All!AC$1,Spring!$1:$1,FALSE))="","",INDEX(Spring!$1:$1048576,MATCH(All!$A611,Spring!$A:$A,FALSE),MATCH(All!AC$1,Spring!$1:$1,FALSE))),"")</f>
        <v>3A</v>
      </c>
      <c r="AD611" t="str">
        <f>IFERROR(VLOOKUP(A611,'Flag Football'!A:A,1,FALSE),"")</f>
        <v>Plainfield (East)</v>
      </c>
      <c r="AE611" t="str">
        <f t="shared" si="9"/>
        <v>1A</v>
      </c>
    </row>
    <row r="612" spans="1:31" ht="15.75" thickBot="1" x14ac:dyDescent="0.3">
      <c r="A612" s="18" t="s">
        <v>713</v>
      </c>
      <c r="B612" s="38">
        <f>IFERROR(VLOOKUP(A612,'Public v Private'!A:G,3,FALSE),"")</f>
        <v>0</v>
      </c>
      <c r="C612" s="38">
        <f>IFERROR(VLOOKUP(A612,'Public v Private'!A:G,4,FALSE),"")</f>
        <v>0</v>
      </c>
      <c r="D612" s="38">
        <f>IFERROR(VLOOKUP(A612,'Public v Private'!A:G,5,FALSE),"")</f>
        <v>0</v>
      </c>
      <c r="E612" s="38"/>
      <c r="F612" s="40">
        <f>IFERROR(INDEX(Fall!$1:$1048576,MATCH(All!$A612,Fall!$A:$A,FALSE),MATCH(All!F$1,Fall!$1:$1,FALSE)),"N/A")</f>
        <v>2343</v>
      </c>
      <c r="G612" t="str">
        <f>IFERROR(IF(INDEX(Fall!$1:$1048576,MATCH(All!$A612,Fall!$A:$A,FALSE),MATCH(All!G$1,Fall!$1:$1,FALSE))="","",INDEX(Fall!$1:$1048576,MATCH(All!$A612,Fall!$A:$A,FALSE),MATCH(All!G$1,Fall!$1:$1,FALSE))),"")</f>
        <v>3A</v>
      </c>
      <c r="H612" t="str">
        <f>IFERROR(IF(INDEX(Fall!$1:$1048576,MATCH(All!$A612,Fall!$A:$A,FALSE),MATCH(All!H$1,Fall!$1:$1,FALSE))="","",INDEX(Fall!$1:$1048576,MATCH(All!$A612,Fall!$A:$A,FALSE),MATCH(All!H$1,Fall!$1:$1,FALSE))),"")</f>
        <v>3A</v>
      </c>
      <c r="I612" t="str">
        <f>IFERROR(IF(INDEX(Fall!$1:$1048576,MATCH(All!$A612,Fall!$A:$A,FALSE),MATCH(All!I$1,Fall!$1:$1,FALSE))="","",INDEX(Fall!$1:$1048576,MATCH(All!$A612,Fall!$A:$A,FALSE),MATCH(All!I$1,Fall!$1:$1,FALSE))),"")</f>
        <v>3A</v>
      </c>
      <c r="J612" t="str">
        <f>IFERROR(IF(INDEX(Fall!$1:$1048576,MATCH(All!$A612,Fall!$A:$A,FALSE),MATCH(All!J$1,Fall!$1:$1,FALSE))="","",INDEX(Fall!$1:$1048576,MATCH(All!$A612,Fall!$A:$A,FALSE),MATCH(All!J$1,Fall!$1:$1,FALSE))),"")</f>
        <v>2A</v>
      </c>
      <c r="K612" t="str">
        <f>IFERROR(IF(INDEX(Fall!$1:$1048576,MATCH(All!$A612,Fall!$A:$A,FALSE),MATCH(All!K$1,Fall!$1:$1,FALSE))="","",INDEX(Fall!$1:$1048576,MATCH(All!$A612,Fall!$A:$A,FALSE),MATCH(All!K$1,Fall!$1:$1,FALSE))),"")</f>
        <v>3A</v>
      </c>
      <c r="L612" t="str">
        <f>IFERROR(IF(INDEX(Fall!$1:$1048576,MATCH(All!$A612,Fall!$A:$A,FALSE),MATCH(All!L$1,Fall!$1:$1,FALSE))="","",INDEX(Fall!$1:$1048576,MATCH(All!$A612,Fall!$A:$A,FALSE),MATCH(All!L$1,Fall!$1:$1,FALSE))),"")</f>
        <v>2A</v>
      </c>
      <c r="M612" t="str">
        <f>IFERROR(IF(INDEX(Fall!$1:$1048576,MATCH(All!$A612,Fall!$A:$A,FALSE),MATCH(All!M$1,Fall!$1:$1,FALSE))="","",INDEX(Fall!$1:$1048576,MATCH(All!$A612,Fall!$A:$A,FALSE),MATCH(All!M$1,Fall!$1:$1,FALSE))),"")</f>
        <v>4A</v>
      </c>
      <c r="O612">
        <f>IFERROR(IF(INDEX(Winter!$1:$1048576,MATCH(All!$A612,Winter!$A:$A,FALSE),MATCH(All!O$1,Winter!$1:$1,FALSE))="","",INDEX(Winter!$1:$1048576,MATCH(All!$A612,Winter!$A:$A,FALSE),MATCH(All!O$1,Winter!$1:$1,FALSE))),"")</f>
        <v>2343</v>
      </c>
      <c r="P612" t="str">
        <f>IFERROR(IF(INDEX(Winter!$1:$1048576,MATCH(All!$A612,Winter!$A:$A,FALSE),MATCH(All!P$1,Winter!$1:$1,FALSE))="","",INDEX(Winter!$1:$1048576,MATCH(All!$A612,Winter!$A:$A,FALSE),MATCH(All!P$1,Winter!$1:$1,FALSE))),"")</f>
        <v>4A</v>
      </c>
      <c r="Q612" t="str">
        <f>IFERROR(IF(INDEX(Winter!$1:$1048576,MATCH(All!$A612,Winter!$A:$A,FALSE),MATCH(All!Q$1,Winter!$1:$1,FALSE))="","",INDEX(Winter!$1:$1048576,MATCH(All!$A612,Winter!$A:$A,FALSE),MATCH(All!Q$1,Winter!$1:$1,FALSE))),"")</f>
        <v>4A</v>
      </c>
      <c r="R612" t="str">
        <f>IFERROR(IF(INDEX(Winter!$1:$1048576,MATCH(All!$A612,Winter!$A:$A,FALSE),MATCH(All!R$1,Winter!$1:$1,FALSE))="","",INDEX(Winter!$1:$1048576,MATCH(All!$A612,Winter!$A:$A,FALSE),MATCH(All!R$1,Winter!$1:$1,FALSE))),"")</f>
        <v>3A</v>
      </c>
      <c r="S612" t="str">
        <f>IFERROR(IF(INDEX(Winter!$1:$1048576,MATCH(All!$A612,Winter!$A:$A,FALSE),MATCH(All!S$1,Winter!$1:$1,FALSE))="","",INDEX(Winter!$1:$1048576,MATCH(All!$A612,Winter!$A:$A,FALSE),MATCH(All!S$1,Winter!$1:$1,FALSE))),"")</f>
        <v>3A</v>
      </c>
      <c r="T612" t="str">
        <f>IFERROR(IF(INDEX(Winter!$1:$1048576,MATCH(All!$A612,Winter!$A:$A,FALSE),MATCH(All!T$1,Winter!$1:$1,FALSE))="","",INDEX(Winter!$1:$1048576,MATCH(All!$A612,Winter!$A:$A,FALSE),MATCH(All!T$1,Winter!$1:$1,FALSE))),"")</f>
        <v>2A</v>
      </c>
      <c r="U612" t="str">
        <f>IFERROR(IF(INDEX(Winter!$1:$1048576,MATCH(All!$A612,Winter!$A:$A,FALSE),MATCH(All!U$1,Winter!$1:$1,FALSE))="","",INDEX(Winter!$1:$1048576,MATCH(All!$A612,Winter!$A:$A,FALSE),MATCH(All!U$1,Winter!$1:$1,FALSE))),"")</f>
        <v>3A</v>
      </c>
      <c r="W612">
        <f>IFERROR(IF(INDEX(Spring!$1:$1048576,MATCH(All!$A612,Spring!$A:$A,FALSE),MATCH(All!W$1,Spring!$1:$1,FALSE))="","",INDEX(Spring!$1:$1048576,MATCH(All!$A612,Spring!$A:$A,FALSE),MATCH(All!W$1,Spring!$1:$1,FALSE))),"")</f>
        <v>2343</v>
      </c>
      <c r="X612" t="str">
        <f>IFERROR(IF(INDEX(Spring!$1:$1048576,MATCH(All!$A612,Spring!$A:$A,FALSE),MATCH(All!X$1,Spring!$1:$1,FALSE))="","",INDEX(Spring!$1:$1048576,MATCH(All!$A612,Spring!$A:$A,FALSE),MATCH(All!X$1,Spring!$1:$1,FALSE))),"")</f>
        <v>4A</v>
      </c>
      <c r="Y612" t="str">
        <f>IFERROR(IF(INDEX(Spring!$1:$1048576,MATCH(All!$A612,Spring!$A:$A,FALSE),MATCH(All!Y$1,Spring!$1:$1,FALSE))="","",INDEX(Spring!$1:$1048576,MATCH(All!$A612,Spring!$A:$A,FALSE),MATCH(All!Y$1,Spring!$1:$1,FALSE))),"")</f>
        <v>4A</v>
      </c>
      <c r="Z612" t="str">
        <f>IFERROR(IF(INDEX(Spring!$1:$1048576,MATCH(All!$A612,Spring!$A:$A,FALSE),MATCH(All!Z$1,Spring!$1:$1,FALSE))="","",INDEX(Spring!$1:$1048576,MATCH(All!$A612,Spring!$A:$A,FALSE),MATCH(All!Z$1,Spring!$1:$1,FALSE))),"")</f>
        <v>3A</v>
      </c>
      <c r="AA612" t="str">
        <f>IFERROR(IF(INDEX(Spring!$1:$1048576,MATCH(All!$A612,Spring!$A:$A,FALSE),MATCH(All!AA$1,Spring!$1:$1,FALSE))="","",INDEX(Spring!$1:$1048576,MATCH(All!$A612,Spring!$A:$A,FALSE),MATCH(All!AA$1,Spring!$1:$1,FALSE))),"")</f>
        <v>2A</v>
      </c>
      <c r="AB612" t="str">
        <f>IFERROR(IF(INDEX(Spring!$1:$1048576,MATCH(All!$A612,Spring!$A:$A,FALSE),MATCH(All!AB$1,Spring!$1:$1,FALSE))="","",INDEX(Spring!$1:$1048576,MATCH(All!$A612,Spring!$A:$A,FALSE),MATCH(All!AB$1,Spring!$1:$1,FALSE))),"")</f>
        <v>3A</v>
      </c>
      <c r="AC612" t="str">
        <f>IFERROR(IF(INDEX(Spring!$1:$1048576,MATCH(All!$A612,Spring!$A:$A,FALSE),MATCH(All!AC$1,Spring!$1:$1,FALSE))="","",INDEX(Spring!$1:$1048576,MATCH(All!$A612,Spring!$A:$A,FALSE),MATCH(All!AC$1,Spring!$1:$1,FALSE))),"")</f>
        <v>3A</v>
      </c>
      <c r="AD612" t="str">
        <f>IFERROR(VLOOKUP(A612,'Flag Football'!A:A,1,FALSE),"")</f>
        <v>Plainfield (North)</v>
      </c>
      <c r="AE612" t="str">
        <f t="shared" si="9"/>
        <v>1A</v>
      </c>
    </row>
    <row r="613" spans="1:31" ht="15.75" thickBot="1" x14ac:dyDescent="0.3">
      <c r="A613" s="20" t="s">
        <v>714</v>
      </c>
      <c r="B613" s="38">
        <f>IFERROR(VLOOKUP(A613,'Public v Private'!A:G,3,FALSE),"")</f>
        <v>0</v>
      </c>
      <c r="C613" s="38">
        <f>IFERROR(VLOOKUP(A613,'Public v Private'!A:G,4,FALSE),"")</f>
        <v>0</v>
      </c>
      <c r="D613" s="38">
        <f>IFERROR(VLOOKUP(A613,'Public v Private'!A:G,5,FALSE),"")</f>
        <v>0</v>
      </c>
      <c r="E613" s="38"/>
      <c r="F613" s="40">
        <f>IFERROR(INDEX(Fall!$1:$1048576,MATCH(All!$A613,Fall!$A:$A,FALSE),MATCH(All!F$1,Fall!$1:$1,FALSE)),"N/A")</f>
        <v>2229</v>
      </c>
      <c r="G613" t="str">
        <f>IFERROR(IF(INDEX(Fall!$1:$1048576,MATCH(All!$A613,Fall!$A:$A,FALSE),MATCH(All!G$1,Fall!$1:$1,FALSE))="","",INDEX(Fall!$1:$1048576,MATCH(All!$A613,Fall!$A:$A,FALSE),MATCH(All!G$1,Fall!$1:$1,FALSE))),"")</f>
        <v>3A</v>
      </c>
      <c r="H613" t="str">
        <f>IFERROR(IF(INDEX(Fall!$1:$1048576,MATCH(All!$A613,Fall!$A:$A,FALSE),MATCH(All!H$1,Fall!$1:$1,FALSE))="","",INDEX(Fall!$1:$1048576,MATCH(All!$A613,Fall!$A:$A,FALSE),MATCH(All!H$1,Fall!$1:$1,FALSE))),"")</f>
        <v>3A</v>
      </c>
      <c r="I613" t="str">
        <f>IFERROR(IF(INDEX(Fall!$1:$1048576,MATCH(All!$A613,Fall!$A:$A,FALSE),MATCH(All!I$1,Fall!$1:$1,FALSE))="","",INDEX(Fall!$1:$1048576,MATCH(All!$A613,Fall!$A:$A,FALSE),MATCH(All!I$1,Fall!$1:$1,FALSE))),"")</f>
        <v>3A</v>
      </c>
      <c r="J613" t="str">
        <f>IFERROR(IF(INDEX(Fall!$1:$1048576,MATCH(All!$A613,Fall!$A:$A,FALSE),MATCH(All!J$1,Fall!$1:$1,FALSE))="","",INDEX(Fall!$1:$1048576,MATCH(All!$A613,Fall!$A:$A,FALSE),MATCH(All!J$1,Fall!$1:$1,FALSE))),"")</f>
        <v>2A</v>
      </c>
      <c r="K613" t="str">
        <f>IFERROR(IF(INDEX(Fall!$1:$1048576,MATCH(All!$A613,Fall!$A:$A,FALSE),MATCH(All!K$1,Fall!$1:$1,FALSE))="","",INDEX(Fall!$1:$1048576,MATCH(All!$A613,Fall!$A:$A,FALSE),MATCH(All!K$1,Fall!$1:$1,FALSE))),"")</f>
        <v>3A</v>
      </c>
      <c r="L613" t="str">
        <f>IFERROR(IF(INDEX(Fall!$1:$1048576,MATCH(All!$A613,Fall!$A:$A,FALSE),MATCH(All!L$1,Fall!$1:$1,FALSE))="","",INDEX(Fall!$1:$1048576,MATCH(All!$A613,Fall!$A:$A,FALSE),MATCH(All!L$1,Fall!$1:$1,FALSE))),"")</f>
        <v>2A</v>
      </c>
      <c r="M613" t="str">
        <f>IFERROR(IF(INDEX(Fall!$1:$1048576,MATCH(All!$A613,Fall!$A:$A,FALSE),MATCH(All!M$1,Fall!$1:$1,FALSE))="","",INDEX(Fall!$1:$1048576,MATCH(All!$A613,Fall!$A:$A,FALSE),MATCH(All!M$1,Fall!$1:$1,FALSE))),"")</f>
        <v>4A</v>
      </c>
      <c r="O613">
        <f>IFERROR(IF(INDEX(Winter!$1:$1048576,MATCH(All!$A613,Winter!$A:$A,FALSE),MATCH(All!O$1,Winter!$1:$1,FALSE))="","",INDEX(Winter!$1:$1048576,MATCH(All!$A613,Winter!$A:$A,FALSE),MATCH(All!O$1,Winter!$1:$1,FALSE))),"")</f>
        <v>2229</v>
      </c>
      <c r="P613" t="str">
        <f>IFERROR(IF(INDEX(Winter!$1:$1048576,MATCH(All!$A613,Winter!$A:$A,FALSE),MATCH(All!P$1,Winter!$1:$1,FALSE))="","",INDEX(Winter!$1:$1048576,MATCH(All!$A613,Winter!$A:$A,FALSE),MATCH(All!P$1,Winter!$1:$1,FALSE))),"")</f>
        <v>4A</v>
      </c>
      <c r="Q613" t="str">
        <f>IFERROR(IF(INDEX(Winter!$1:$1048576,MATCH(All!$A613,Winter!$A:$A,FALSE),MATCH(All!Q$1,Winter!$1:$1,FALSE))="","",INDEX(Winter!$1:$1048576,MATCH(All!$A613,Winter!$A:$A,FALSE),MATCH(All!Q$1,Winter!$1:$1,FALSE))),"")</f>
        <v>4A</v>
      </c>
      <c r="R613" t="str">
        <f>IFERROR(IF(INDEX(Winter!$1:$1048576,MATCH(All!$A613,Winter!$A:$A,FALSE),MATCH(All!R$1,Winter!$1:$1,FALSE))="","",INDEX(Winter!$1:$1048576,MATCH(All!$A613,Winter!$A:$A,FALSE),MATCH(All!R$1,Winter!$1:$1,FALSE))),"")</f>
        <v>3A</v>
      </c>
      <c r="S613" t="str">
        <f>IFERROR(IF(INDEX(Winter!$1:$1048576,MATCH(All!$A613,Winter!$A:$A,FALSE),MATCH(All!S$1,Winter!$1:$1,FALSE))="","",INDEX(Winter!$1:$1048576,MATCH(All!$A613,Winter!$A:$A,FALSE),MATCH(All!S$1,Winter!$1:$1,FALSE))),"")</f>
        <v>3A</v>
      </c>
      <c r="T613" t="str">
        <f>IFERROR(IF(INDEX(Winter!$1:$1048576,MATCH(All!$A613,Winter!$A:$A,FALSE),MATCH(All!T$1,Winter!$1:$1,FALSE))="","",INDEX(Winter!$1:$1048576,MATCH(All!$A613,Winter!$A:$A,FALSE),MATCH(All!T$1,Winter!$1:$1,FALSE))),"")</f>
        <v>2A</v>
      </c>
      <c r="U613" t="str">
        <f>IFERROR(IF(INDEX(Winter!$1:$1048576,MATCH(All!$A613,Winter!$A:$A,FALSE),MATCH(All!U$1,Winter!$1:$1,FALSE))="","",INDEX(Winter!$1:$1048576,MATCH(All!$A613,Winter!$A:$A,FALSE),MATCH(All!U$1,Winter!$1:$1,FALSE))),"")</f>
        <v>3A</v>
      </c>
      <c r="W613">
        <f>IFERROR(IF(INDEX(Spring!$1:$1048576,MATCH(All!$A613,Spring!$A:$A,FALSE),MATCH(All!W$1,Spring!$1:$1,FALSE))="","",INDEX(Spring!$1:$1048576,MATCH(All!$A613,Spring!$A:$A,FALSE),MATCH(All!W$1,Spring!$1:$1,FALSE))),"")</f>
        <v>2229</v>
      </c>
      <c r="X613" t="str">
        <f>IFERROR(IF(INDEX(Spring!$1:$1048576,MATCH(All!$A613,Spring!$A:$A,FALSE),MATCH(All!X$1,Spring!$1:$1,FALSE))="","",INDEX(Spring!$1:$1048576,MATCH(All!$A613,Spring!$A:$A,FALSE),MATCH(All!X$1,Spring!$1:$1,FALSE))),"")</f>
        <v>4A</v>
      </c>
      <c r="Y613" t="str">
        <f>IFERROR(IF(INDEX(Spring!$1:$1048576,MATCH(All!$A613,Spring!$A:$A,FALSE),MATCH(All!Y$1,Spring!$1:$1,FALSE))="","",INDEX(Spring!$1:$1048576,MATCH(All!$A613,Spring!$A:$A,FALSE),MATCH(All!Y$1,Spring!$1:$1,FALSE))),"")</f>
        <v>4A</v>
      </c>
      <c r="Z613" t="str">
        <f>IFERROR(IF(INDEX(Spring!$1:$1048576,MATCH(All!$A613,Spring!$A:$A,FALSE),MATCH(All!Z$1,Spring!$1:$1,FALSE))="","",INDEX(Spring!$1:$1048576,MATCH(All!$A613,Spring!$A:$A,FALSE),MATCH(All!Z$1,Spring!$1:$1,FALSE))),"")</f>
        <v>3A</v>
      </c>
      <c r="AA613" t="str">
        <f>IFERROR(IF(INDEX(Spring!$1:$1048576,MATCH(All!$A613,Spring!$A:$A,FALSE),MATCH(All!AA$1,Spring!$1:$1,FALSE))="","",INDEX(Spring!$1:$1048576,MATCH(All!$A613,Spring!$A:$A,FALSE),MATCH(All!AA$1,Spring!$1:$1,FALSE))),"")</f>
        <v>2A</v>
      </c>
      <c r="AB613" t="str">
        <f>IFERROR(IF(INDEX(Spring!$1:$1048576,MATCH(All!$A613,Spring!$A:$A,FALSE),MATCH(All!AB$1,Spring!$1:$1,FALSE))="","",INDEX(Spring!$1:$1048576,MATCH(All!$A613,Spring!$A:$A,FALSE),MATCH(All!AB$1,Spring!$1:$1,FALSE))),"")</f>
        <v>3A</v>
      </c>
      <c r="AC613" t="str">
        <f>IFERROR(IF(INDEX(Spring!$1:$1048576,MATCH(All!$A613,Spring!$A:$A,FALSE),MATCH(All!AC$1,Spring!$1:$1,FALSE))="","",INDEX(Spring!$1:$1048576,MATCH(All!$A613,Spring!$A:$A,FALSE),MATCH(All!AC$1,Spring!$1:$1,FALSE))),"")</f>
        <v>3A</v>
      </c>
      <c r="AD613" t="str">
        <f>IFERROR(VLOOKUP(A613,'Flag Football'!A:A,1,FALSE),"")</f>
        <v>Plainfield (South)</v>
      </c>
      <c r="AE613" t="str">
        <f t="shared" si="9"/>
        <v>1A</v>
      </c>
    </row>
    <row r="614" spans="1:31" ht="15.75" thickBot="1" x14ac:dyDescent="0.3">
      <c r="A614" s="18" t="s">
        <v>715</v>
      </c>
      <c r="B614" s="38">
        <f>IFERROR(VLOOKUP(A614,'Public v Private'!A:G,3,FALSE),"")</f>
        <v>0</v>
      </c>
      <c r="C614" s="38">
        <f>IFERROR(VLOOKUP(A614,'Public v Private'!A:G,4,FALSE),"")</f>
        <v>0</v>
      </c>
      <c r="D614" s="38">
        <f>IFERROR(VLOOKUP(A614,'Public v Private'!A:G,5,FALSE),"")</f>
        <v>0</v>
      </c>
      <c r="E614" s="38"/>
      <c r="F614" s="40">
        <f>IFERROR(INDEX(Fall!$1:$1048576,MATCH(All!$A614,Fall!$A:$A,FALSE),MATCH(All!F$1,Fall!$1:$1,FALSE)),"N/A")</f>
        <v>747</v>
      </c>
      <c r="G614" t="str">
        <f>IFERROR(IF(INDEX(Fall!$1:$1048576,MATCH(All!$A614,Fall!$A:$A,FALSE),MATCH(All!G$1,Fall!$1:$1,FALSE))="","",INDEX(Fall!$1:$1048576,MATCH(All!$A614,Fall!$A:$A,FALSE),MATCH(All!G$1,Fall!$1:$1,FALSE))),"")</f>
        <v>2A</v>
      </c>
      <c r="H614" t="str">
        <f>IFERROR(IF(INDEX(Fall!$1:$1048576,MATCH(All!$A614,Fall!$A:$A,FALSE),MATCH(All!H$1,Fall!$1:$1,FALSE))="","",INDEX(Fall!$1:$1048576,MATCH(All!$A614,Fall!$A:$A,FALSE),MATCH(All!H$1,Fall!$1:$1,FALSE))),"")</f>
        <v>2A</v>
      </c>
      <c r="I614" t="str">
        <f>IFERROR(IF(INDEX(Fall!$1:$1048576,MATCH(All!$A614,Fall!$A:$A,FALSE),MATCH(All!I$1,Fall!$1:$1,FALSE))="","",INDEX(Fall!$1:$1048576,MATCH(All!$A614,Fall!$A:$A,FALSE),MATCH(All!I$1,Fall!$1:$1,FALSE))),"")</f>
        <v>2A</v>
      </c>
      <c r="J614" t="str">
        <f>IFERROR(IF(INDEX(Fall!$1:$1048576,MATCH(All!$A614,Fall!$A:$A,FALSE),MATCH(All!J$1,Fall!$1:$1,FALSE))="","",INDEX(Fall!$1:$1048576,MATCH(All!$A614,Fall!$A:$A,FALSE),MATCH(All!J$1,Fall!$1:$1,FALSE))),"")</f>
        <v>1A</v>
      </c>
      <c r="K614" t="str">
        <f>IFERROR(IF(INDEX(Fall!$1:$1048576,MATCH(All!$A614,Fall!$A:$A,FALSE),MATCH(All!K$1,Fall!$1:$1,FALSE))="","",INDEX(Fall!$1:$1048576,MATCH(All!$A614,Fall!$A:$A,FALSE),MATCH(All!K$1,Fall!$1:$1,FALSE))),"")</f>
        <v>2A</v>
      </c>
      <c r="L614" t="str">
        <f>IFERROR(IF(INDEX(Fall!$1:$1048576,MATCH(All!$A614,Fall!$A:$A,FALSE),MATCH(All!L$1,Fall!$1:$1,FALSE))="","",INDEX(Fall!$1:$1048576,MATCH(All!$A614,Fall!$A:$A,FALSE),MATCH(All!L$1,Fall!$1:$1,FALSE))),"")</f>
        <v/>
      </c>
      <c r="M614" t="str">
        <f>IFERROR(IF(INDEX(Fall!$1:$1048576,MATCH(All!$A614,Fall!$A:$A,FALSE),MATCH(All!M$1,Fall!$1:$1,FALSE))="","",INDEX(Fall!$1:$1048576,MATCH(All!$A614,Fall!$A:$A,FALSE),MATCH(All!M$1,Fall!$1:$1,FALSE))),"")</f>
        <v>3A</v>
      </c>
      <c r="O614">
        <f>IFERROR(IF(INDEX(Winter!$1:$1048576,MATCH(All!$A614,Winter!$A:$A,FALSE),MATCH(All!O$1,Winter!$1:$1,FALSE))="","",INDEX(Winter!$1:$1048576,MATCH(All!$A614,Winter!$A:$A,FALSE),MATCH(All!O$1,Winter!$1:$1,FALSE))),"")</f>
        <v>747</v>
      </c>
      <c r="P614" t="str">
        <f>IFERROR(IF(INDEX(Winter!$1:$1048576,MATCH(All!$A614,Winter!$A:$A,FALSE),MATCH(All!P$1,Winter!$1:$1,FALSE))="","",INDEX(Winter!$1:$1048576,MATCH(All!$A614,Winter!$A:$A,FALSE),MATCH(All!P$1,Winter!$1:$1,FALSE))),"")</f>
        <v>3A</v>
      </c>
      <c r="Q614" t="str">
        <f>IFERROR(IF(INDEX(Winter!$1:$1048576,MATCH(All!$A614,Winter!$A:$A,FALSE),MATCH(All!Q$1,Winter!$1:$1,FALSE))="","",INDEX(Winter!$1:$1048576,MATCH(All!$A614,Winter!$A:$A,FALSE),MATCH(All!Q$1,Winter!$1:$1,FALSE))),"")</f>
        <v>3A</v>
      </c>
      <c r="R614" t="str">
        <f>IFERROR(IF(INDEX(Winter!$1:$1048576,MATCH(All!$A614,Winter!$A:$A,FALSE),MATCH(All!R$1,Winter!$1:$1,FALSE))="","",INDEX(Winter!$1:$1048576,MATCH(All!$A614,Winter!$A:$A,FALSE),MATCH(All!R$1,Winter!$1:$1,FALSE))),"")</f>
        <v>2A</v>
      </c>
      <c r="S614" t="str">
        <f>IFERROR(IF(INDEX(Winter!$1:$1048576,MATCH(All!$A614,Winter!$A:$A,FALSE),MATCH(All!S$1,Winter!$1:$1,FALSE))="","",INDEX(Winter!$1:$1048576,MATCH(All!$A614,Winter!$A:$A,FALSE),MATCH(All!S$1,Winter!$1:$1,FALSE))),"")</f>
        <v/>
      </c>
      <c r="T614" t="str">
        <f>IFERROR(IF(INDEX(Winter!$1:$1048576,MATCH(All!$A614,Winter!$A:$A,FALSE),MATCH(All!T$1,Winter!$1:$1,FALSE))="","",INDEX(Winter!$1:$1048576,MATCH(All!$A614,Winter!$A:$A,FALSE),MATCH(All!T$1,Winter!$1:$1,FALSE))),"")</f>
        <v>2A</v>
      </c>
      <c r="U614" t="str">
        <f>IFERROR(IF(INDEX(Winter!$1:$1048576,MATCH(All!$A614,Winter!$A:$A,FALSE),MATCH(All!U$1,Winter!$1:$1,FALSE))="","",INDEX(Winter!$1:$1048576,MATCH(All!$A614,Winter!$A:$A,FALSE),MATCH(All!U$1,Winter!$1:$1,FALSE))),"")</f>
        <v>1A</v>
      </c>
      <c r="W614">
        <f>IFERROR(IF(INDEX(Spring!$1:$1048576,MATCH(All!$A614,Spring!$A:$A,FALSE),MATCH(All!W$1,Spring!$1:$1,FALSE))="","",INDEX(Spring!$1:$1048576,MATCH(All!$A614,Spring!$A:$A,FALSE),MATCH(All!W$1,Spring!$1:$1,FALSE))),"")</f>
        <v>747</v>
      </c>
      <c r="X614" t="str">
        <f>IFERROR(IF(INDEX(Spring!$1:$1048576,MATCH(All!$A614,Spring!$A:$A,FALSE),MATCH(All!X$1,Spring!$1:$1,FALSE))="","",INDEX(Spring!$1:$1048576,MATCH(All!$A614,Spring!$A:$A,FALSE),MATCH(All!X$1,Spring!$1:$1,FALSE))),"")</f>
        <v>3A</v>
      </c>
      <c r="Y614" t="str">
        <f>IFERROR(IF(INDEX(Spring!$1:$1048576,MATCH(All!$A614,Spring!$A:$A,FALSE),MATCH(All!Y$1,Spring!$1:$1,FALSE))="","",INDEX(Spring!$1:$1048576,MATCH(All!$A614,Spring!$A:$A,FALSE),MATCH(All!Y$1,Spring!$1:$1,FALSE))),"")</f>
        <v>3A</v>
      </c>
      <c r="Z614" t="str">
        <f>IFERROR(IF(INDEX(Spring!$1:$1048576,MATCH(All!$A614,Spring!$A:$A,FALSE),MATCH(All!Z$1,Spring!$1:$1,FALSE))="","",INDEX(Spring!$1:$1048576,MATCH(All!$A614,Spring!$A:$A,FALSE),MATCH(All!Z$1,Spring!$1:$1,FALSE))),"")</f>
        <v>1A</v>
      </c>
      <c r="AA614" t="str">
        <f>IFERROR(IF(INDEX(Spring!$1:$1048576,MATCH(All!$A614,Spring!$A:$A,FALSE),MATCH(All!AA$1,Spring!$1:$1,FALSE))="","",INDEX(Spring!$1:$1048576,MATCH(All!$A614,Spring!$A:$A,FALSE),MATCH(All!AA$1,Spring!$1:$1,FALSE))),"")</f>
        <v/>
      </c>
      <c r="AB614" t="str">
        <f>IFERROR(IF(INDEX(Spring!$1:$1048576,MATCH(All!$A614,Spring!$A:$A,FALSE),MATCH(All!AB$1,Spring!$1:$1,FALSE))="","",INDEX(Spring!$1:$1048576,MATCH(All!$A614,Spring!$A:$A,FALSE),MATCH(All!AB$1,Spring!$1:$1,FALSE))),"")</f>
        <v>2A</v>
      </c>
      <c r="AC614" t="str">
        <f>IFERROR(IF(INDEX(Spring!$1:$1048576,MATCH(All!$A614,Spring!$A:$A,FALSE),MATCH(All!AC$1,Spring!$1:$1,FALSE))="","",INDEX(Spring!$1:$1048576,MATCH(All!$A614,Spring!$A:$A,FALSE),MATCH(All!AC$1,Spring!$1:$1,FALSE))),"")</f>
        <v>2A</v>
      </c>
      <c r="AD614" t="str">
        <f>IFERROR(VLOOKUP(A614,'Flag Football'!A:A,1,FALSE),"")</f>
        <v/>
      </c>
      <c r="AE614" t="str">
        <f t="shared" si="9"/>
        <v/>
      </c>
    </row>
    <row r="615" spans="1:31" ht="15.75" thickBot="1" x14ac:dyDescent="0.3">
      <c r="A615" s="20" t="s">
        <v>716</v>
      </c>
      <c r="B615" s="38">
        <f>IFERROR(VLOOKUP(A615,'Public v Private'!A:G,3,FALSE),"")</f>
        <v>0</v>
      </c>
      <c r="C615" s="38">
        <f>IFERROR(VLOOKUP(A615,'Public v Private'!A:G,4,FALSE),"")</f>
        <v>0</v>
      </c>
      <c r="D615" s="38">
        <f>IFERROR(VLOOKUP(A615,'Public v Private'!A:G,5,FALSE),"")</f>
        <v>0</v>
      </c>
      <c r="E615" s="38"/>
      <c r="F615" s="40">
        <f>IFERROR(INDEX(Fall!$1:$1048576,MATCH(All!$A615,Fall!$A:$A,FALSE),MATCH(All!F$1,Fall!$1:$1,FALSE)),"N/A")</f>
        <v>96</v>
      </c>
      <c r="G615" t="str">
        <f>IFERROR(IF(INDEX(Fall!$1:$1048576,MATCH(All!$A615,Fall!$A:$A,FALSE),MATCH(All!G$1,Fall!$1:$1,FALSE))="","",INDEX(Fall!$1:$1048576,MATCH(All!$A615,Fall!$A:$A,FALSE),MATCH(All!G$1,Fall!$1:$1,FALSE))),"")</f>
        <v>1A</v>
      </c>
      <c r="H615" t="str">
        <f>IFERROR(IF(INDEX(Fall!$1:$1048576,MATCH(All!$A615,Fall!$A:$A,FALSE),MATCH(All!H$1,Fall!$1:$1,FALSE))="","",INDEX(Fall!$1:$1048576,MATCH(All!$A615,Fall!$A:$A,FALSE),MATCH(All!H$1,Fall!$1:$1,FALSE))),"")</f>
        <v>1A</v>
      </c>
      <c r="I615" t="str">
        <f>IFERROR(IF(INDEX(Fall!$1:$1048576,MATCH(All!$A615,Fall!$A:$A,FALSE),MATCH(All!I$1,Fall!$1:$1,FALSE))="","",INDEX(Fall!$1:$1048576,MATCH(All!$A615,Fall!$A:$A,FALSE),MATCH(All!I$1,Fall!$1:$1,FALSE))),"")</f>
        <v/>
      </c>
      <c r="J615" t="str">
        <f>IFERROR(IF(INDEX(Fall!$1:$1048576,MATCH(All!$A615,Fall!$A:$A,FALSE),MATCH(All!J$1,Fall!$1:$1,FALSE))="","",INDEX(Fall!$1:$1048576,MATCH(All!$A615,Fall!$A:$A,FALSE),MATCH(All!J$1,Fall!$1:$1,FALSE))),"")</f>
        <v/>
      </c>
      <c r="K615" t="str">
        <f>IFERROR(IF(INDEX(Fall!$1:$1048576,MATCH(All!$A615,Fall!$A:$A,FALSE),MATCH(All!K$1,Fall!$1:$1,FALSE))="","",INDEX(Fall!$1:$1048576,MATCH(All!$A615,Fall!$A:$A,FALSE),MATCH(All!K$1,Fall!$1:$1,FALSE))),"")</f>
        <v/>
      </c>
      <c r="L615" t="str">
        <f>IFERROR(IF(INDEX(Fall!$1:$1048576,MATCH(All!$A615,Fall!$A:$A,FALSE),MATCH(All!L$1,Fall!$1:$1,FALSE))="","",INDEX(Fall!$1:$1048576,MATCH(All!$A615,Fall!$A:$A,FALSE),MATCH(All!L$1,Fall!$1:$1,FALSE))),"")</f>
        <v/>
      </c>
      <c r="M615" t="str">
        <f>IFERROR(IF(INDEX(Fall!$1:$1048576,MATCH(All!$A615,Fall!$A:$A,FALSE),MATCH(All!M$1,Fall!$1:$1,FALSE))="","",INDEX(Fall!$1:$1048576,MATCH(All!$A615,Fall!$A:$A,FALSE),MATCH(All!M$1,Fall!$1:$1,FALSE))),"")</f>
        <v>1A</v>
      </c>
      <c r="O615">
        <f>IFERROR(IF(INDEX(Winter!$1:$1048576,MATCH(All!$A615,Winter!$A:$A,FALSE),MATCH(All!O$1,Winter!$1:$1,FALSE))="","",INDEX(Winter!$1:$1048576,MATCH(All!$A615,Winter!$A:$A,FALSE),MATCH(All!O$1,Winter!$1:$1,FALSE))),"")</f>
        <v>96</v>
      </c>
      <c r="P615" t="str">
        <f>IFERROR(IF(INDEX(Winter!$1:$1048576,MATCH(All!$A615,Winter!$A:$A,FALSE),MATCH(All!P$1,Winter!$1:$1,FALSE))="","",INDEX(Winter!$1:$1048576,MATCH(All!$A615,Winter!$A:$A,FALSE),MATCH(All!P$1,Winter!$1:$1,FALSE))),"")</f>
        <v>1A</v>
      </c>
      <c r="Q615" t="str">
        <f>IFERROR(IF(INDEX(Winter!$1:$1048576,MATCH(All!$A615,Winter!$A:$A,FALSE),MATCH(All!Q$1,Winter!$1:$1,FALSE))="","",INDEX(Winter!$1:$1048576,MATCH(All!$A615,Winter!$A:$A,FALSE),MATCH(All!Q$1,Winter!$1:$1,FALSE))),"")</f>
        <v>1A</v>
      </c>
      <c r="R615" t="str">
        <f>IFERROR(IF(INDEX(Winter!$1:$1048576,MATCH(All!$A615,Winter!$A:$A,FALSE),MATCH(All!R$1,Winter!$1:$1,FALSE))="","",INDEX(Winter!$1:$1048576,MATCH(All!$A615,Winter!$A:$A,FALSE),MATCH(All!R$1,Winter!$1:$1,FALSE))),"")</f>
        <v/>
      </c>
      <c r="S615" t="str">
        <f>IFERROR(IF(INDEX(Winter!$1:$1048576,MATCH(All!$A615,Winter!$A:$A,FALSE),MATCH(All!S$1,Winter!$1:$1,FALSE))="","",INDEX(Winter!$1:$1048576,MATCH(All!$A615,Winter!$A:$A,FALSE),MATCH(All!S$1,Winter!$1:$1,FALSE))),"")</f>
        <v/>
      </c>
      <c r="T615" t="str">
        <f>IFERROR(IF(INDEX(Winter!$1:$1048576,MATCH(All!$A615,Winter!$A:$A,FALSE),MATCH(All!T$1,Winter!$1:$1,FALSE))="","",INDEX(Winter!$1:$1048576,MATCH(All!$A615,Winter!$A:$A,FALSE),MATCH(All!T$1,Winter!$1:$1,FALSE))),"")</f>
        <v/>
      </c>
      <c r="U615" t="str">
        <f>IFERROR(IF(INDEX(Winter!$1:$1048576,MATCH(All!$A615,Winter!$A:$A,FALSE),MATCH(All!U$1,Winter!$1:$1,FALSE))="","",INDEX(Winter!$1:$1048576,MATCH(All!$A615,Winter!$A:$A,FALSE),MATCH(All!U$1,Winter!$1:$1,FALSE))),"")</f>
        <v/>
      </c>
      <c r="W615">
        <f>IFERROR(IF(INDEX(Spring!$1:$1048576,MATCH(All!$A615,Spring!$A:$A,FALSE),MATCH(All!W$1,Spring!$1:$1,FALSE))="","",INDEX(Spring!$1:$1048576,MATCH(All!$A615,Spring!$A:$A,FALSE),MATCH(All!W$1,Spring!$1:$1,FALSE))),"")</f>
        <v>96</v>
      </c>
      <c r="X615" t="str">
        <f>IFERROR(IF(INDEX(Spring!$1:$1048576,MATCH(All!$A615,Spring!$A:$A,FALSE),MATCH(All!X$1,Spring!$1:$1,FALSE))="","",INDEX(Spring!$1:$1048576,MATCH(All!$A615,Spring!$A:$A,FALSE),MATCH(All!X$1,Spring!$1:$1,FALSE))),"")</f>
        <v>1A</v>
      </c>
      <c r="Y615" t="str">
        <f>IFERROR(IF(INDEX(Spring!$1:$1048576,MATCH(All!$A615,Spring!$A:$A,FALSE),MATCH(All!Y$1,Spring!$1:$1,FALSE))="","",INDEX(Spring!$1:$1048576,MATCH(All!$A615,Spring!$A:$A,FALSE),MATCH(All!Y$1,Spring!$1:$1,FALSE))),"")</f>
        <v>1A</v>
      </c>
      <c r="Z615" t="str">
        <f>IFERROR(IF(INDEX(Spring!$1:$1048576,MATCH(All!$A615,Spring!$A:$A,FALSE),MATCH(All!Z$1,Spring!$1:$1,FALSE))="","",INDEX(Spring!$1:$1048576,MATCH(All!$A615,Spring!$A:$A,FALSE),MATCH(All!Z$1,Spring!$1:$1,FALSE))),"")</f>
        <v/>
      </c>
      <c r="AA615" t="str">
        <f>IFERROR(IF(INDEX(Spring!$1:$1048576,MATCH(All!$A615,Spring!$A:$A,FALSE),MATCH(All!AA$1,Spring!$1:$1,FALSE))="","",INDEX(Spring!$1:$1048576,MATCH(All!$A615,Spring!$A:$A,FALSE),MATCH(All!AA$1,Spring!$1:$1,FALSE))),"")</f>
        <v/>
      </c>
      <c r="AB615" t="str">
        <f>IFERROR(IF(INDEX(Spring!$1:$1048576,MATCH(All!$A615,Spring!$A:$A,FALSE),MATCH(All!AB$1,Spring!$1:$1,FALSE))="","",INDEX(Spring!$1:$1048576,MATCH(All!$A615,Spring!$A:$A,FALSE),MATCH(All!AB$1,Spring!$1:$1,FALSE))),"")</f>
        <v>1A</v>
      </c>
      <c r="AC615" t="str">
        <f>IFERROR(IF(INDEX(Spring!$1:$1048576,MATCH(All!$A615,Spring!$A:$A,FALSE),MATCH(All!AC$1,Spring!$1:$1,FALSE))="","",INDEX(Spring!$1:$1048576,MATCH(All!$A615,Spring!$A:$A,FALSE),MATCH(All!AC$1,Spring!$1:$1,FALSE))),"")</f>
        <v>1A</v>
      </c>
      <c r="AD615" t="str">
        <f>IFERROR(VLOOKUP(A615,'Flag Football'!A:A,1,FALSE),"")</f>
        <v/>
      </c>
      <c r="AE615" t="str">
        <f t="shared" si="9"/>
        <v/>
      </c>
    </row>
    <row r="616" spans="1:31" ht="15.75" thickBot="1" x14ac:dyDescent="0.3">
      <c r="A616" s="18" t="s">
        <v>717</v>
      </c>
      <c r="B616" s="38">
        <f>IFERROR(VLOOKUP(A616,'Public v Private'!A:G,3,FALSE),"")</f>
        <v>0</v>
      </c>
      <c r="C616" s="38">
        <f>IFERROR(VLOOKUP(A616,'Public v Private'!A:G,4,FALSE),"")</f>
        <v>0</v>
      </c>
      <c r="D616" s="38">
        <f>IFERROR(VLOOKUP(A616,'Public v Private'!A:G,5,FALSE),"")</f>
        <v>0</v>
      </c>
      <c r="E616" s="38"/>
      <c r="F616" s="40">
        <f>IFERROR(INDEX(Fall!$1:$1048576,MATCH(All!$A616,Fall!$A:$A,FALSE),MATCH(All!F$1,Fall!$1:$1,FALSE)),"N/A")</f>
        <v>409</v>
      </c>
      <c r="G616" t="str">
        <f>IFERROR(IF(INDEX(Fall!$1:$1048576,MATCH(All!$A616,Fall!$A:$A,FALSE),MATCH(All!G$1,Fall!$1:$1,FALSE))="","",INDEX(Fall!$1:$1048576,MATCH(All!$A616,Fall!$A:$A,FALSE),MATCH(All!G$1,Fall!$1:$1,FALSE))),"")</f>
        <v>1A</v>
      </c>
      <c r="H616" t="str">
        <f>IFERROR(IF(INDEX(Fall!$1:$1048576,MATCH(All!$A616,Fall!$A:$A,FALSE),MATCH(All!H$1,Fall!$1:$1,FALSE))="","",INDEX(Fall!$1:$1048576,MATCH(All!$A616,Fall!$A:$A,FALSE),MATCH(All!H$1,Fall!$1:$1,FALSE))),"")</f>
        <v>1A</v>
      </c>
      <c r="I616" t="str">
        <f>IFERROR(IF(INDEX(Fall!$1:$1048576,MATCH(All!$A616,Fall!$A:$A,FALSE),MATCH(All!I$1,Fall!$1:$1,FALSE))="","",INDEX(Fall!$1:$1048576,MATCH(All!$A616,Fall!$A:$A,FALSE),MATCH(All!I$1,Fall!$1:$1,FALSE))),"")</f>
        <v>1A</v>
      </c>
      <c r="J616" t="str">
        <f>IFERROR(IF(INDEX(Fall!$1:$1048576,MATCH(All!$A616,Fall!$A:$A,FALSE),MATCH(All!J$1,Fall!$1:$1,FALSE))="","",INDEX(Fall!$1:$1048576,MATCH(All!$A616,Fall!$A:$A,FALSE),MATCH(All!J$1,Fall!$1:$1,FALSE))),"")</f>
        <v>1A</v>
      </c>
      <c r="K616" t="str">
        <f>IFERROR(IF(INDEX(Fall!$1:$1048576,MATCH(All!$A616,Fall!$A:$A,FALSE),MATCH(All!K$1,Fall!$1:$1,FALSE))="","",INDEX(Fall!$1:$1048576,MATCH(All!$A616,Fall!$A:$A,FALSE),MATCH(All!K$1,Fall!$1:$1,FALSE))),"")</f>
        <v>1A</v>
      </c>
      <c r="L616" t="str">
        <f>IFERROR(IF(INDEX(Fall!$1:$1048576,MATCH(All!$A616,Fall!$A:$A,FALSE),MATCH(All!L$1,Fall!$1:$1,FALSE))="","",INDEX(Fall!$1:$1048576,MATCH(All!$A616,Fall!$A:$A,FALSE),MATCH(All!L$1,Fall!$1:$1,FALSE))),"")</f>
        <v/>
      </c>
      <c r="M616" t="str">
        <f>IFERROR(IF(INDEX(Fall!$1:$1048576,MATCH(All!$A616,Fall!$A:$A,FALSE),MATCH(All!M$1,Fall!$1:$1,FALSE))="","",INDEX(Fall!$1:$1048576,MATCH(All!$A616,Fall!$A:$A,FALSE),MATCH(All!M$1,Fall!$1:$1,FALSE))),"")</f>
        <v>2A</v>
      </c>
      <c r="O616">
        <f>IFERROR(IF(INDEX(Winter!$1:$1048576,MATCH(All!$A616,Winter!$A:$A,FALSE),MATCH(All!O$1,Winter!$1:$1,FALSE))="","",INDEX(Winter!$1:$1048576,MATCH(All!$A616,Winter!$A:$A,FALSE),MATCH(All!O$1,Winter!$1:$1,FALSE))),"")</f>
        <v>409</v>
      </c>
      <c r="P616" t="str">
        <f>IFERROR(IF(INDEX(Winter!$1:$1048576,MATCH(All!$A616,Winter!$A:$A,FALSE),MATCH(All!P$1,Winter!$1:$1,FALSE))="","",INDEX(Winter!$1:$1048576,MATCH(All!$A616,Winter!$A:$A,FALSE),MATCH(All!P$1,Winter!$1:$1,FALSE))),"")</f>
        <v>2A</v>
      </c>
      <c r="Q616" t="str">
        <f>IFERROR(IF(INDEX(Winter!$1:$1048576,MATCH(All!$A616,Winter!$A:$A,FALSE),MATCH(All!Q$1,Winter!$1:$1,FALSE))="","",INDEX(Winter!$1:$1048576,MATCH(All!$A616,Winter!$A:$A,FALSE),MATCH(All!Q$1,Winter!$1:$1,FALSE))),"")</f>
        <v>2A</v>
      </c>
      <c r="R616" t="str">
        <f>IFERROR(IF(INDEX(Winter!$1:$1048576,MATCH(All!$A616,Winter!$A:$A,FALSE),MATCH(All!R$1,Winter!$1:$1,FALSE))="","",INDEX(Winter!$1:$1048576,MATCH(All!$A616,Winter!$A:$A,FALSE),MATCH(All!R$1,Winter!$1:$1,FALSE))),"")</f>
        <v/>
      </c>
      <c r="S616" t="str">
        <f>IFERROR(IF(INDEX(Winter!$1:$1048576,MATCH(All!$A616,Winter!$A:$A,FALSE),MATCH(All!S$1,Winter!$1:$1,FALSE))="","",INDEX(Winter!$1:$1048576,MATCH(All!$A616,Winter!$A:$A,FALSE),MATCH(All!S$1,Winter!$1:$1,FALSE))),"")</f>
        <v/>
      </c>
      <c r="T616" t="str">
        <f>IFERROR(IF(INDEX(Winter!$1:$1048576,MATCH(All!$A616,Winter!$A:$A,FALSE),MATCH(All!T$1,Winter!$1:$1,FALSE))="","",INDEX(Winter!$1:$1048576,MATCH(All!$A616,Winter!$A:$A,FALSE),MATCH(All!T$1,Winter!$1:$1,FALSE))),"")</f>
        <v>1A</v>
      </c>
      <c r="U616" t="str">
        <f>IFERROR(IF(INDEX(Winter!$1:$1048576,MATCH(All!$A616,Winter!$A:$A,FALSE),MATCH(All!U$1,Winter!$1:$1,FALSE))="","",INDEX(Winter!$1:$1048576,MATCH(All!$A616,Winter!$A:$A,FALSE),MATCH(All!U$1,Winter!$1:$1,FALSE))),"")</f>
        <v>1A</v>
      </c>
      <c r="W616">
        <f>IFERROR(IF(INDEX(Spring!$1:$1048576,MATCH(All!$A616,Spring!$A:$A,FALSE),MATCH(All!W$1,Spring!$1:$1,FALSE))="","",INDEX(Spring!$1:$1048576,MATCH(All!$A616,Spring!$A:$A,FALSE),MATCH(All!W$1,Spring!$1:$1,FALSE))),"")</f>
        <v>409</v>
      </c>
      <c r="X616" t="str">
        <f>IFERROR(IF(INDEX(Spring!$1:$1048576,MATCH(All!$A616,Spring!$A:$A,FALSE),MATCH(All!X$1,Spring!$1:$1,FALSE))="","",INDEX(Spring!$1:$1048576,MATCH(All!$A616,Spring!$A:$A,FALSE),MATCH(All!X$1,Spring!$1:$1,FALSE))),"")</f>
        <v>2A</v>
      </c>
      <c r="Y616" t="str">
        <f>IFERROR(IF(INDEX(Spring!$1:$1048576,MATCH(All!$A616,Spring!$A:$A,FALSE),MATCH(All!Y$1,Spring!$1:$1,FALSE))="","",INDEX(Spring!$1:$1048576,MATCH(All!$A616,Spring!$A:$A,FALSE),MATCH(All!Y$1,Spring!$1:$1,FALSE))),"")</f>
        <v>2A</v>
      </c>
      <c r="Z616" t="str">
        <f>IFERROR(IF(INDEX(Spring!$1:$1048576,MATCH(All!$A616,Spring!$A:$A,FALSE),MATCH(All!Z$1,Spring!$1:$1,FALSE))="","",INDEX(Spring!$1:$1048576,MATCH(All!$A616,Spring!$A:$A,FALSE),MATCH(All!Z$1,Spring!$1:$1,FALSE))),"")</f>
        <v>1A</v>
      </c>
      <c r="AA616" t="str">
        <f>IFERROR(IF(INDEX(Spring!$1:$1048576,MATCH(All!$A616,Spring!$A:$A,FALSE),MATCH(All!AA$1,Spring!$1:$1,FALSE))="","",INDEX(Spring!$1:$1048576,MATCH(All!$A616,Spring!$A:$A,FALSE),MATCH(All!AA$1,Spring!$1:$1,FALSE))),"")</f>
        <v/>
      </c>
      <c r="AB616" t="str">
        <f>IFERROR(IF(INDEX(Spring!$1:$1048576,MATCH(All!$A616,Spring!$A:$A,FALSE),MATCH(All!AB$1,Spring!$1:$1,FALSE))="","",INDEX(Spring!$1:$1048576,MATCH(All!$A616,Spring!$A:$A,FALSE),MATCH(All!AB$1,Spring!$1:$1,FALSE))),"")</f>
        <v>1A</v>
      </c>
      <c r="AC616" t="str">
        <f>IFERROR(IF(INDEX(Spring!$1:$1048576,MATCH(All!$A616,Spring!$A:$A,FALSE),MATCH(All!AC$1,Spring!$1:$1,FALSE))="","",INDEX(Spring!$1:$1048576,MATCH(All!$A616,Spring!$A:$A,FALSE),MATCH(All!AC$1,Spring!$1:$1,FALSE))),"")</f>
        <v>1A</v>
      </c>
      <c r="AD616" t="str">
        <f>IFERROR(VLOOKUP(A616,'Flag Football'!A:A,1,FALSE),"")</f>
        <v/>
      </c>
      <c r="AE616" t="str">
        <f t="shared" si="9"/>
        <v/>
      </c>
    </row>
    <row r="617" spans="1:31" ht="15.75" thickBot="1" x14ac:dyDescent="0.3">
      <c r="A617" s="20" t="s">
        <v>718</v>
      </c>
      <c r="B617" s="38">
        <f>IFERROR(VLOOKUP(A617,'Public v Private'!A:G,3,FALSE),"")</f>
        <v>0</v>
      </c>
      <c r="C617" s="38">
        <f>IFERROR(VLOOKUP(A617,'Public v Private'!A:G,4,FALSE),"")</f>
        <v>0</v>
      </c>
      <c r="D617" s="38">
        <f>IFERROR(VLOOKUP(A617,'Public v Private'!A:G,5,FALSE),"")</f>
        <v>0</v>
      </c>
      <c r="E617" s="38"/>
      <c r="F617" s="40">
        <f>IFERROR(INDEX(Fall!$1:$1048576,MATCH(All!$A617,Fall!$A:$A,FALSE),MATCH(All!F$1,Fall!$1:$1,FALSE)),"N/A")</f>
        <v>180</v>
      </c>
      <c r="G617" t="str">
        <f>IFERROR(IF(INDEX(Fall!$1:$1048576,MATCH(All!$A617,Fall!$A:$A,FALSE),MATCH(All!G$1,Fall!$1:$1,FALSE))="","",INDEX(Fall!$1:$1048576,MATCH(All!$A617,Fall!$A:$A,FALSE),MATCH(All!G$1,Fall!$1:$1,FALSE))),"")</f>
        <v/>
      </c>
      <c r="H617" t="str">
        <f>IFERROR(IF(INDEX(Fall!$1:$1048576,MATCH(All!$A617,Fall!$A:$A,FALSE),MATCH(All!H$1,Fall!$1:$1,FALSE))="","",INDEX(Fall!$1:$1048576,MATCH(All!$A617,Fall!$A:$A,FALSE),MATCH(All!H$1,Fall!$1:$1,FALSE))),"")</f>
        <v/>
      </c>
      <c r="I617" t="str">
        <f>IFERROR(IF(INDEX(Fall!$1:$1048576,MATCH(All!$A617,Fall!$A:$A,FALSE),MATCH(All!I$1,Fall!$1:$1,FALSE))="","",INDEX(Fall!$1:$1048576,MATCH(All!$A617,Fall!$A:$A,FALSE),MATCH(All!I$1,Fall!$1:$1,FALSE))),"")</f>
        <v>1A</v>
      </c>
      <c r="J617" t="str">
        <f>IFERROR(IF(INDEX(Fall!$1:$1048576,MATCH(All!$A617,Fall!$A:$A,FALSE),MATCH(All!J$1,Fall!$1:$1,FALSE))="","",INDEX(Fall!$1:$1048576,MATCH(All!$A617,Fall!$A:$A,FALSE),MATCH(All!J$1,Fall!$1:$1,FALSE))),"")</f>
        <v/>
      </c>
      <c r="K617" t="str">
        <f>IFERROR(IF(INDEX(Fall!$1:$1048576,MATCH(All!$A617,Fall!$A:$A,FALSE),MATCH(All!K$1,Fall!$1:$1,FALSE))="","",INDEX(Fall!$1:$1048576,MATCH(All!$A617,Fall!$A:$A,FALSE),MATCH(All!K$1,Fall!$1:$1,FALSE))),"")</f>
        <v/>
      </c>
      <c r="L617" t="str">
        <f>IFERROR(IF(INDEX(Fall!$1:$1048576,MATCH(All!$A617,Fall!$A:$A,FALSE),MATCH(All!L$1,Fall!$1:$1,FALSE))="","",INDEX(Fall!$1:$1048576,MATCH(All!$A617,Fall!$A:$A,FALSE),MATCH(All!L$1,Fall!$1:$1,FALSE))),"")</f>
        <v/>
      </c>
      <c r="M617" t="str">
        <f>IFERROR(IF(INDEX(Fall!$1:$1048576,MATCH(All!$A617,Fall!$A:$A,FALSE),MATCH(All!M$1,Fall!$1:$1,FALSE))="","",INDEX(Fall!$1:$1048576,MATCH(All!$A617,Fall!$A:$A,FALSE),MATCH(All!M$1,Fall!$1:$1,FALSE))),"")</f>
        <v>1A</v>
      </c>
      <c r="O617">
        <f>IFERROR(IF(INDEX(Winter!$1:$1048576,MATCH(All!$A617,Winter!$A:$A,FALSE),MATCH(All!O$1,Winter!$1:$1,FALSE))="","",INDEX(Winter!$1:$1048576,MATCH(All!$A617,Winter!$A:$A,FALSE),MATCH(All!O$1,Winter!$1:$1,FALSE))),"")</f>
        <v>180</v>
      </c>
      <c r="P617" t="str">
        <f>IFERROR(IF(INDEX(Winter!$1:$1048576,MATCH(All!$A617,Winter!$A:$A,FALSE),MATCH(All!P$1,Winter!$1:$1,FALSE))="","",INDEX(Winter!$1:$1048576,MATCH(All!$A617,Winter!$A:$A,FALSE),MATCH(All!P$1,Winter!$1:$1,FALSE))),"")</f>
        <v>1A</v>
      </c>
      <c r="Q617" t="str">
        <f>IFERROR(IF(INDEX(Winter!$1:$1048576,MATCH(All!$A617,Winter!$A:$A,FALSE),MATCH(All!Q$1,Winter!$1:$1,FALSE))="","",INDEX(Winter!$1:$1048576,MATCH(All!$A617,Winter!$A:$A,FALSE),MATCH(All!Q$1,Winter!$1:$1,FALSE))),"")</f>
        <v>1A</v>
      </c>
      <c r="R617" t="str">
        <f>IFERROR(IF(INDEX(Winter!$1:$1048576,MATCH(All!$A617,Winter!$A:$A,FALSE),MATCH(All!R$1,Winter!$1:$1,FALSE))="","",INDEX(Winter!$1:$1048576,MATCH(All!$A617,Winter!$A:$A,FALSE),MATCH(All!R$1,Winter!$1:$1,FALSE))),"")</f>
        <v/>
      </c>
      <c r="S617" t="str">
        <f>IFERROR(IF(INDEX(Winter!$1:$1048576,MATCH(All!$A617,Winter!$A:$A,FALSE),MATCH(All!S$1,Winter!$1:$1,FALSE))="","",INDEX(Winter!$1:$1048576,MATCH(All!$A617,Winter!$A:$A,FALSE),MATCH(All!S$1,Winter!$1:$1,FALSE))),"")</f>
        <v/>
      </c>
      <c r="T617" t="str">
        <f>IFERROR(IF(INDEX(Winter!$1:$1048576,MATCH(All!$A617,Winter!$A:$A,FALSE),MATCH(All!T$1,Winter!$1:$1,FALSE))="","",INDEX(Winter!$1:$1048576,MATCH(All!$A617,Winter!$A:$A,FALSE),MATCH(All!T$1,Winter!$1:$1,FALSE))),"")</f>
        <v>1A</v>
      </c>
      <c r="U617" t="str">
        <f>IFERROR(IF(INDEX(Winter!$1:$1048576,MATCH(All!$A617,Winter!$A:$A,FALSE),MATCH(All!U$1,Winter!$1:$1,FALSE))="","",INDEX(Winter!$1:$1048576,MATCH(All!$A617,Winter!$A:$A,FALSE),MATCH(All!U$1,Winter!$1:$1,FALSE))),"")</f>
        <v>1A</v>
      </c>
      <c r="W617">
        <f>IFERROR(IF(INDEX(Spring!$1:$1048576,MATCH(All!$A617,Spring!$A:$A,FALSE),MATCH(All!W$1,Spring!$1:$1,FALSE))="","",INDEX(Spring!$1:$1048576,MATCH(All!$A617,Spring!$A:$A,FALSE),MATCH(All!W$1,Spring!$1:$1,FALSE))),"")</f>
        <v>180</v>
      </c>
      <c r="X617" t="str">
        <f>IFERROR(IF(INDEX(Spring!$1:$1048576,MATCH(All!$A617,Spring!$A:$A,FALSE),MATCH(All!X$1,Spring!$1:$1,FALSE))="","",INDEX(Spring!$1:$1048576,MATCH(All!$A617,Spring!$A:$A,FALSE),MATCH(All!X$1,Spring!$1:$1,FALSE))),"")</f>
        <v>1A</v>
      </c>
      <c r="Y617" t="str">
        <f>IFERROR(IF(INDEX(Spring!$1:$1048576,MATCH(All!$A617,Spring!$A:$A,FALSE),MATCH(All!Y$1,Spring!$1:$1,FALSE))="","",INDEX(Spring!$1:$1048576,MATCH(All!$A617,Spring!$A:$A,FALSE),MATCH(All!Y$1,Spring!$1:$1,FALSE))),"")</f>
        <v>1A</v>
      </c>
      <c r="Z617" t="str">
        <f>IFERROR(IF(INDEX(Spring!$1:$1048576,MATCH(All!$A617,Spring!$A:$A,FALSE),MATCH(All!Z$1,Spring!$1:$1,FALSE))="","",INDEX(Spring!$1:$1048576,MATCH(All!$A617,Spring!$A:$A,FALSE),MATCH(All!Z$1,Spring!$1:$1,FALSE))),"")</f>
        <v/>
      </c>
      <c r="AA617" t="str">
        <f>IFERROR(IF(INDEX(Spring!$1:$1048576,MATCH(All!$A617,Spring!$A:$A,FALSE),MATCH(All!AA$1,Spring!$1:$1,FALSE))="","",INDEX(Spring!$1:$1048576,MATCH(All!$A617,Spring!$A:$A,FALSE),MATCH(All!AA$1,Spring!$1:$1,FALSE))),"")</f>
        <v/>
      </c>
      <c r="AB617" t="str">
        <f>IFERROR(IF(INDEX(Spring!$1:$1048576,MATCH(All!$A617,Spring!$A:$A,FALSE),MATCH(All!AB$1,Spring!$1:$1,FALSE))="","",INDEX(Spring!$1:$1048576,MATCH(All!$A617,Spring!$A:$A,FALSE),MATCH(All!AB$1,Spring!$1:$1,FALSE))),"")</f>
        <v/>
      </c>
      <c r="AC617" t="str">
        <f>IFERROR(IF(INDEX(Spring!$1:$1048576,MATCH(All!$A617,Spring!$A:$A,FALSE),MATCH(All!AC$1,Spring!$1:$1,FALSE))="","",INDEX(Spring!$1:$1048576,MATCH(All!$A617,Spring!$A:$A,FALSE),MATCH(All!AC$1,Spring!$1:$1,FALSE))),"")</f>
        <v/>
      </c>
      <c r="AD617" t="str">
        <f>IFERROR(VLOOKUP(A617,'Flag Football'!A:A,1,FALSE),"")</f>
        <v/>
      </c>
      <c r="AE617" t="str">
        <f t="shared" si="9"/>
        <v/>
      </c>
    </row>
    <row r="618" spans="1:31" ht="15.75" thickBot="1" x14ac:dyDescent="0.3">
      <c r="A618" s="18" t="s">
        <v>719</v>
      </c>
      <c r="B618" s="38">
        <f>IFERROR(VLOOKUP(A618,'Public v Private'!A:G,3,FALSE),"")</f>
        <v>0</v>
      </c>
      <c r="C618" s="38">
        <f>IFERROR(VLOOKUP(A618,'Public v Private'!A:G,4,FALSE),"")</f>
        <v>0</v>
      </c>
      <c r="D618" s="38">
        <f>IFERROR(VLOOKUP(A618,'Public v Private'!A:G,5,FALSE),"")</f>
        <v>0</v>
      </c>
      <c r="E618" s="38"/>
      <c r="F618" s="40">
        <f>IFERROR(INDEX(Fall!$1:$1048576,MATCH(All!$A618,Fall!$A:$A,FALSE),MATCH(All!F$1,Fall!$1:$1,FALSE)),"N/A")</f>
        <v>639</v>
      </c>
      <c r="G618" t="str">
        <f>IFERROR(IF(INDEX(Fall!$1:$1048576,MATCH(All!$A618,Fall!$A:$A,FALSE),MATCH(All!G$1,Fall!$1:$1,FALSE))="","",INDEX(Fall!$1:$1048576,MATCH(All!$A618,Fall!$A:$A,FALSE),MATCH(All!G$1,Fall!$1:$1,FALSE))),"")</f>
        <v>2A</v>
      </c>
      <c r="H618" t="str">
        <f>IFERROR(IF(INDEX(Fall!$1:$1048576,MATCH(All!$A618,Fall!$A:$A,FALSE),MATCH(All!H$1,Fall!$1:$1,FALSE))="","",INDEX(Fall!$1:$1048576,MATCH(All!$A618,Fall!$A:$A,FALSE),MATCH(All!H$1,Fall!$1:$1,FALSE))),"")</f>
        <v>2A</v>
      </c>
      <c r="I618" t="str">
        <f>IFERROR(IF(INDEX(Fall!$1:$1048576,MATCH(All!$A618,Fall!$A:$A,FALSE),MATCH(All!I$1,Fall!$1:$1,FALSE))="","",INDEX(Fall!$1:$1048576,MATCH(All!$A618,Fall!$A:$A,FALSE),MATCH(All!I$1,Fall!$1:$1,FALSE))),"")</f>
        <v>2A</v>
      </c>
      <c r="J618" t="str">
        <f>IFERROR(IF(INDEX(Fall!$1:$1048576,MATCH(All!$A618,Fall!$A:$A,FALSE),MATCH(All!J$1,Fall!$1:$1,FALSE))="","",INDEX(Fall!$1:$1048576,MATCH(All!$A618,Fall!$A:$A,FALSE),MATCH(All!J$1,Fall!$1:$1,FALSE))),"")</f>
        <v>1A</v>
      </c>
      <c r="K618" t="str">
        <f>IFERROR(IF(INDEX(Fall!$1:$1048576,MATCH(All!$A618,Fall!$A:$A,FALSE),MATCH(All!K$1,Fall!$1:$1,FALSE))="","",INDEX(Fall!$1:$1048576,MATCH(All!$A618,Fall!$A:$A,FALSE),MATCH(All!K$1,Fall!$1:$1,FALSE))),"")</f>
        <v/>
      </c>
      <c r="L618" t="str">
        <f>IFERROR(IF(INDEX(Fall!$1:$1048576,MATCH(All!$A618,Fall!$A:$A,FALSE),MATCH(All!L$1,Fall!$1:$1,FALSE))="","",INDEX(Fall!$1:$1048576,MATCH(All!$A618,Fall!$A:$A,FALSE),MATCH(All!L$1,Fall!$1:$1,FALSE))),"")</f>
        <v>1A</v>
      </c>
      <c r="M618" t="str">
        <f>IFERROR(IF(INDEX(Fall!$1:$1048576,MATCH(All!$A618,Fall!$A:$A,FALSE),MATCH(All!M$1,Fall!$1:$1,FALSE))="","",INDEX(Fall!$1:$1048576,MATCH(All!$A618,Fall!$A:$A,FALSE),MATCH(All!M$1,Fall!$1:$1,FALSE))),"")</f>
        <v>2A</v>
      </c>
      <c r="O618">
        <f>IFERROR(IF(INDEX(Winter!$1:$1048576,MATCH(All!$A618,Winter!$A:$A,FALSE),MATCH(All!O$1,Winter!$1:$1,FALSE))="","",INDEX(Winter!$1:$1048576,MATCH(All!$A618,Winter!$A:$A,FALSE),MATCH(All!O$1,Winter!$1:$1,FALSE))),"")</f>
        <v>639</v>
      </c>
      <c r="P618" t="str">
        <f>IFERROR(IF(INDEX(Winter!$1:$1048576,MATCH(All!$A618,Winter!$A:$A,FALSE),MATCH(All!P$1,Winter!$1:$1,FALSE))="","",INDEX(Winter!$1:$1048576,MATCH(All!$A618,Winter!$A:$A,FALSE),MATCH(All!P$1,Winter!$1:$1,FALSE))),"")</f>
        <v>2A</v>
      </c>
      <c r="Q618" t="str">
        <f>IFERROR(IF(INDEX(Winter!$1:$1048576,MATCH(All!$A618,Winter!$A:$A,FALSE),MATCH(All!Q$1,Winter!$1:$1,FALSE))="","",INDEX(Winter!$1:$1048576,MATCH(All!$A618,Winter!$A:$A,FALSE),MATCH(All!Q$1,Winter!$1:$1,FALSE))),"")</f>
        <v>2A</v>
      </c>
      <c r="R618" t="str">
        <f>IFERROR(IF(INDEX(Winter!$1:$1048576,MATCH(All!$A618,Winter!$A:$A,FALSE),MATCH(All!R$1,Winter!$1:$1,FALSE))="","",INDEX(Winter!$1:$1048576,MATCH(All!$A618,Winter!$A:$A,FALSE),MATCH(All!R$1,Winter!$1:$1,FALSE))),"")</f>
        <v>1A</v>
      </c>
      <c r="S618" t="str">
        <f>IFERROR(IF(INDEX(Winter!$1:$1048576,MATCH(All!$A618,Winter!$A:$A,FALSE),MATCH(All!S$1,Winter!$1:$1,FALSE))="","",INDEX(Winter!$1:$1048576,MATCH(All!$A618,Winter!$A:$A,FALSE),MATCH(All!S$1,Winter!$1:$1,FALSE))),"")</f>
        <v/>
      </c>
      <c r="T618" t="str">
        <f>IFERROR(IF(INDEX(Winter!$1:$1048576,MATCH(All!$A618,Winter!$A:$A,FALSE),MATCH(All!T$1,Winter!$1:$1,FALSE))="","",INDEX(Winter!$1:$1048576,MATCH(All!$A618,Winter!$A:$A,FALSE),MATCH(All!T$1,Winter!$1:$1,FALSE))),"")</f>
        <v>2A</v>
      </c>
      <c r="U618" t="str">
        <f>IFERROR(IF(INDEX(Winter!$1:$1048576,MATCH(All!$A618,Winter!$A:$A,FALSE),MATCH(All!U$1,Winter!$1:$1,FALSE))="","",INDEX(Winter!$1:$1048576,MATCH(All!$A618,Winter!$A:$A,FALSE),MATCH(All!U$1,Winter!$1:$1,FALSE))),"")</f>
        <v>1A</v>
      </c>
      <c r="W618">
        <f>IFERROR(IF(INDEX(Spring!$1:$1048576,MATCH(All!$A618,Spring!$A:$A,FALSE),MATCH(All!W$1,Spring!$1:$1,FALSE))="","",INDEX(Spring!$1:$1048576,MATCH(All!$A618,Spring!$A:$A,FALSE),MATCH(All!W$1,Spring!$1:$1,FALSE))),"")</f>
        <v>639</v>
      </c>
      <c r="X618" t="str">
        <f>IFERROR(IF(INDEX(Spring!$1:$1048576,MATCH(All!$A618,Spring!$A:$A,FALSE),MATCH(All!X$1,Spring!$1:$1,FALSE))="","",INDEX(Spring!$1:$1048576,MATCH(All!$A618,Spring!$A:$A,FALSE),MATCH(All!X$1,Spring!$1:$1,FALSE))),"")</f>
        <v>2A</v>
      </c>
      <c r="Y618" t="str">
        <f>IFERROR(IF(INDEX(Spring!$1:$1048576,MATCH(All!$A618,Spring!$A:$A,FALSE),MATCH(All!Y$1,Spring!$1:$1,FALSE))="","",INDEX(Spring!$1:$1048576,MATCH(All!$A618,Spring!$A:$A,FALSE),MATCH(All!Y$1,Spring!$1:$1,FALSE))),"")</f>
        <v>2A</v>
      </c>
      <c r="Z618" t="str">
        <f>IFERROR(IF(INDEX(Spring!$1:$1048576,MATCH(All!$A618,Spring!$A:$A,FALSE),MATCH(All!Z$1,Spring!$1:$1,FALSE))="","",INDEX(Spring!$1:$1048576,MATCH(All!$A618,Spring!$A:$A,FALSE),MATCH(All!Z$1,Spring!$1:$1,FALSE))),"")</f>
        <v/>
      </c>
      <c r="AA618" t="str">
        <f>IFERROR(IF(INDEX(Spring!$1:$1048576,MATCH(All!$A618,Spring!$A:$A,FALSE),MATCH(All!AA$1,Spring!$1:$1,FALSE))="","",INDEX(Spring!$1:$1048576,MATCH(All!$A618,Spring!$A:$A,FALSE),MATCH(All!AA$1,Spring!$1:$1,FALSE))),"")</f>
        <v>1A</v>
      </c>
      <c r="AB618" t="str">
        <f>IFERROR(IF(INDEX(Spring!$1:$1048576,MATCH(All!$A618,Spring!$A:$A,FALSE),MATCH(All!AB$1,Spring!$1:$1,FALSE))="","",INDEX(Spring!$1:$1048576,MATCH(All!$A618,Spring!$A:$A,FALSE),MATCH(All!AB$1,Spring!$1:$1,FALSE))),"")</f>
        <v>2A</v>
      </c>
      <c r="AC618" t="str">
        <f>IFERROR(IF(INDEX(Spring!$1:$1048576,MATCH(All!$A618,Spring!$A:$A,FALSE),MATCH(All!AC$1,Spring!$1:$1,FALSE))="","",INDEX(Spring!$1:$1048576,MATCH(All!$A618,Spring!$A:$A,FALSE),MATCH(All!AC$1,Spring!$1:$1,FALSE))),"")</f>
        <v>2A</v>
      </c>
      <c r="AD618" t="str">
        <f>IFERROR(VLOOKUP(A618,'Flag Football'!A:A,1,FALSE),"")</f>
        <v/>
      </c>
      <c r="AE618" t="str">
        <f t="shared" si="9"/>
        <v/>
      </c>
    </row>
    <row r="619" spans="1:31" ht="15.75" thickBot="1" x14ac:dyDescent="0.3">
      <c r="A619" s="20" t="s">
        <v>720</v>
      </c>
      <c r="B619" s="38">
        <f>IFERROR(VLOOKUP(A619,'Public v Private'!A:G,3,FALSE),"")</f>
        <v>0</v>
      </c>
      <c r="C619" s="38">
        <f>IFERROR(VLOOKUP(A619,'Public v Private'!A:G,4,FALSE),"")</f>
        <v>0</v>
      </c>
      <c r="D619" s="38">
        <f>IFERROR(VLOOKUP(A619,'Public v Private'!A:G,5,FALSE),"")</f>
        <v>0</v>
      </c>
      <c r="E619" s="38"/>
      <c r="F619" s="40">
        <f>IFERROR(INDEX(Fall!$1:$1048576,MATCH(All!$A619,Fall!$A:$A,FALSE),MATCH(All!F$1,Fall!$1:$1,FALSE)),"N/A")</f>
        <v>484</v>
      </c>
      <c r="G619" t="str">
        <f>IFERROR(IF(INDEX(Fall!$1:$1048576,MATCH(All!$A619,Fall!$A:$A,FALSE),MATCH(All!G$1,Fall!$1:$1,FALSE))="","",INDEX(Fall!$1:$1048576,MATCH(All!$A619,Fall!$A:$A,FALSE),MATCH(All!G$1,Fall!$1:$1,FALSE))),"")</f>
        <v>1A</v>
      </c>
      <c r="H619" t="str">
        <f>IFERROR(IF(INDEX(Fall!$1:$1048576,MATCH(All!$A619,Fall!$A:$A,FALSE),MATCH(All!H$1,Fall!$1:$1,FALSE))="","",INDEX(Fall!$1:$1048576,MATCH(All!$A619,Fall!$A:$A,FALSE),MATCH(All!H$1,Fall!$1:$1,FALSE))),"")</f>
        <v/>
      </c>
      <c r="I619" t="str">
        <f>IFERROR(IF(INDEX(Fall!$1:$1048576,MATCH(All!$A619,Fall!$A:$A,FALSE),MATCH(All!I$1,Fall!$1:$1,FALSE))="","",INDEX(Fall!$1:$1048576,MATCH(All!$A619,Fall!$A:$A,FALSE),MATCH(All!I$1,Fall!$1:$1,FALSE))),"")</f>
        <v>1A</v>
      </c>
      <c r="J619" t="str">
        <f>IFERROR(IF(INDEX(Fall!$1:$1048576,MATCH(All!$A619,Fall!$A:$A,FALSE),MATCH(All!J$1,Fall!$1:$1,FALSE))="","",INDEX(Fall!$1:$1048576,MATCH(All!$A619,Fall!$A:$A,FALSE),MATCH(All!J$1,Fall!$1:$1,FALSE))),"")</f>
        <v>1A</v>
      </c>
      <c r="K619" t="str">
        <f>IFERROR(IF(INDEX(Fall!$1:$1048576,MATCH(All!$A619,Fall!$A:$A,FALSE),MATCH(All!K$1,Fall!$1:$1,FALSE))="","",INDEX(Fall!$1:$1048576,MATCH(All!$A619,Fall!$A:$A,FALSE),MATCH(All!K$1,Fall!$1:$1,FALSE))),"")</f>
        <v>1A</v>
      </c>
      <c r="L619" t="str">
        <f>IFERROR(IF(INDEX(Fall!$1:$1048576,MATCH(All!$A619,Fall!$A:$A,FALSE),MATCH(All!L$1,Fall!$1:$1,FALSE))="","",INDEX(Fall!$1:$1048576,MATCH(All!$A619,Fall!$A:$A,FALSE),MATCH(All!L$1,Fall!$1:$1,FALSE))),"")</f>
        <v/>
      </c>
      <c r="M619" t="str">
        <f>IFERROR(IF(INDEX(Fall!$1:$1048576,MATCH(All!$A619,Fall!$A:$A,FALSE),MATCH(All!M$1,Fall!$1:$1,FALSE))="","",INDEX(Fall!$1:$1048576,MATCH(All!$A619,Fall!$A:$A,FALSE),MATCH(All!M$1,Fall!$1:$1,FALSE))),"")</f>
        <v>2A</v>
      </c>
      <c r="O619">
        <f>IFERROR(IF(INDEX(Winter!$1:$1048576,MATCH(All!$A619,Winter!$A:$A,FALSE),MATCH(All!O$1,Winter!$1:$1,FALSE))="","",INDEX(Winter!$1:$1048576,MATCH(All!$A619,Winter!$A:$A,FALSE),MATCH(All!O$1,Winter!$1:$1,FALSE))),"")</f>
        <v>484</v>
      </c>
      <c r="P619" t="str">
        <f>IFERROR(IF(INDEX(Winter!$1:$1048576,MATCH(All!$A619,Winter!$A:$A,FALSE),MATCH(All!P$1,Winter!$1:$1,FALSE))="","",INDEX(Winter!$1:$1048576,MATCH(All!$A619,Winter!$A:$A,FALSE),MATCH(All!P$1,Winter!$1:$1,FALSE))),"")</f>
        <v>2A</v>
      </c>
      <c r="Q619" t="str">
        <f>IFERROR(IF(INDEX(Winter!$1:$1048576,MATCH(All!$A619,Winter!$A:$A,FALSE),MATCH(All!Q$1,Winter!$1:$1,FALSE))="","",INDEX(Winter!$1:$1048576,MATCH(All!$A619,Winter!$A:$A,FALSE),MATCH(All!Q$1,Winter!$1:$1,FALSE))),"")</f>
        <v>2A</v>
      </c>
      <c r="R619" t="str">
        <f>IFERROR(IF(INDEX(Winter!$1:$1048576,MATCH(All!$A619,Winter!$A:$A,FALSE),MATCH(All!R$1,Winter!$1:$1,FALSE))="","",INDEX(Winter!$1:$1048576,MATCH(All!$A619,Winter!$A:$A,FALSE),MATCH(All!R$1,Winter!$1:$1,FALSE))),"")</f>
        <v>1A</v>
      </c>
      <c r="S619" t="str">
        <f>IFERROR(IF(INDEX(Winter!$1:$1048576,MATCH(All!$A619,Winter!$A:$A,FALSE),MATCH(All!S$1,Winter!$1:$1,FALSE))="","",INDEX(Winter!$1:$1048576,MATCH(All!$A619,Winter!$A:$A,FALSE),MATCH(All!S$1,Winter!$1:$1,FALSE))),"")</f>
        <v/>
      </c>
      <c r="T619" t="str">
        <f>IFERROR(IF(INDEX(Winter!$1:$1048576,MATCH(All!$A619,Winter!$A:$A,FALSE),MATCH(All!T$1,Winter!$1:$1,FALSE))="","",INDEX(Winter!$1:$1048576,MATCH(All!$A619,Winter!$A:$A,FALSE),MATCH(All!T$1,Winter!$1:$1,FALSE))),"")</f>
        <v>2A</v>
      </c>
      <c r="U619" t="str">
        <f>IFERROR(IF(INDEX(Winter!$1:$1048576,MATCH(All!$A619,Winter!$A:$A,FALSE),MATCH(All!U$1,Winter!$1:$1,FALSE))="","",INDEX(Winter!$1:$1048576,MATCH(All!$A619,Winter!$A:$A,FALSE),MATCH(All!U$1,Winter!$1:$1,FALSE))),"")</f>
        <v>1A</v>
      </c>
      <c r="W619">
        <f>IFERROR(IF(INDEX(Spring!$1:$1048576,MATCH(All!$A619,Spring!$A:$A,FALSE),MATCH(All!W$1,Spring!$1:$1,FALSE))="","",INDEX(Spring!$1:$1048576,MATCH(All!$A619,Spring!$A:$A,FALSE),MATCH(All!W$1,Spring!$1:$1,FALSE))),"")</f>
        <v>484</v>
      </c>
      <c r="X619" t="str">
        <f>IFERROR(IF(INDEX(Spring!$1:$1048576,MATCH(All!$A619,Spring!$A:$A,FALSE),MATCH(All!X$1,Spring!$1:$1,FALSE))="","",INDEX(Spring!$1:$1048576,MATCH(All!$A619,Spring!$A:$A,FALSE),MATCH(All!X$1,Spring!$1:$1,FALSE))),"")</f>
        <v>2A</v>
      </c>
      <c r="Y619" t="str">
        <f>IFERROR(IF(INDEX(Spring!$1:$1048576,MATCH(All!$A619,Spring!$A:$A,FALSE),MATCH(All!Y$1,Spring!$1:$1,FALSE))="","",INDEX(Spring!$1:$1048576,MATCH(All!$A619,Spring!$A:$A,FALSE),MATCH(All!Y$1,Spring!$1:$1,FALSE))),"")</f>
        <v>2A</v>
      </c>
      <c r="Z619" t="str">
        <f>IFERROR(IF(INDEX(Spring!$1:$1048576,MATCH(All!$A619,Spring!$A:$A,FALSE),MATCH(All!Z$1,Spring!$1:$1,FALSE))="","",INDEX(Spring!$1:$1048576,MATCH(All!$A619,Spring!$A:$A,FALSE),MATCH(All!Z$1,Spring!$1:$1,FALSE))),"")</f>
        <v>1A</v>
      </c>
      <c r="AA619" t="str">
        <f>IFERROR(IF(INDEX(Spring!$1:$1048576,MATCH(All!$A619,Spring!$A:$A,FALSE),MATCH(All!AA$1,Spring!$1:$1,FALSE))="","",INDEX(Spring!$1:$1048576,MATCH(All!$A619,Spring!$A:$A,FALSE),MATCH(All!AA$1,Spring!$1:$1,FALSE))),"")</f>
        <v/>
      </c>
      <c r="AB619" t="str">
        <f>IFERROR(IF(INDEX(Spring!$1:$1048576,MATCH(All!$A619,Spring!$A:$A,FALSE),MATCH(All!AB$1,Spring!$1:$1,FALSE))="","",INDEX(Spring!$1:$1048576,MATCH(All!$A619,Spring!$A:$A,FALSE),MATCH(All!AB$1,Spring!$1:$1,FALSE))),"")</f>
        <v>2A</v>
      </c>
      <c r="AC619" t="str">
        <f>IFERROR(IF(INDEX(Spring!$1:$1048576,MATCH(All!$A619,Spring!$A:$A,FALSE),MATCH(All!AC$1,Spring!$1:$1,FALSE))="","",INDEX(Spring!$1:$1048576,MATCH(All!$A619,Spring!$A:$A,FALSE),MATCH(All!AC$1,Spring!$1:$1,FALSE))),"")</f>
        <v>2A</v>
      </c>
      <c r="AD619" t="str">
        <f>IFERROR(VLOOKUP(A619,'Flag Football'!A:A,1,FALSE),"")</f>
        <v/>
      </c>
      <c r="AE619" t="str">
        <f t="shared" si="9"/>
        <v/>
      </c>
    </row>
    <row r="620" spans="1:31" ht="15.75" thickBot="1" x14ac:dyDescent="0.3">
      <c r="A620" s="18" t="s">
        <v>721</v>
      </c>
      <c r="B620" s="38">
        <f>IFERROR(VLOOKUP(A620,'Public v Private'!A:G,3,FALSE),"")</f>
        <v>0</v>
      </c>
      <c r="C620" s="38">
        <f>IFERROR(VLOOKUP(A620,'Public v Private'!A:G,4,FALSE),"")</f>
        <v>0</v>
      </c>
      <c r="D620" s="38">
        <f>IFERROR(VLOOKUP(A620,'Public v Private'!A:G,5,FALSE),"")</f>
        <v>0</v>
      </c>
      <c r="E620" s="38"/>
      <c r="F620" s="40">
        <f>IFERROR(INDEX(Fall!$1:$1048576,MATCH(All!$A620,Fall!$A:$A,FALSE),MATCH(All!F$1,Fall!$1:$1,FALSE)),"N/A")</f>
        <v>320</v>
      </c>
      <c r="G620" t="str">
        <f>IFERROR(IF(INDEX(Fall!$1:$1048576,MATCH(All!$A620,Fall!$A:$A,FALSE),MATCH(All!G$1,Fall!$1:$1,FALSE))="","",INDEX(Fall!$1:$1048576,MATCH(All!$A620,Fall!$A:$A,FALSE),MATCH(All!G$1,Fall!$1:$1,FALSE))),"")</f>
        <v>1A</v>
      </c>
      <c r="H620" t="str">
        <f>IFERROR(IF(INDEX(Fall!$1:$1048576,MATCH(All!$A620,Fall!$A:$A,FALSE),MATCH(All!H$1,Fall!$1:$1,FALSE))="","",INDEX(Fall!$1:$1048576,MATCH(All!$A620,Fall!$A:$A,FALSE),MATCH(All!H$1,Fall!$1:$1,FALSE))),"")</f>
        <v>1A</v>
      </c>
      <c r="I620" t="str">
        <f>IFERROR(IF(INDEX(Fall!$1:$1048576,MATCH(All!$A620,Fall!$A:$A,FALSE),MATCH(All!I$1,Fall!$1:$1,FALSE))="","",INDEX(Fall!$1:$1048576,MATCH(All!$A620,Fall!$A:$A,FALSE),MATCH(All!I$1,Fall!$1:$1,FALSE))),"")</f>
        <v>1A</v>
      </c>
      <c r="J620" t="str">
        <f>IFERROR(IF(INDEX(Fall!$1:$1048576,MATCH(All!$A620,Fall!$A:$A,FALSE),MATCH(All!J$1,Fall!$1:$1,FALSE))="","",INDEX(Fall!$1:$1048576,MATCH(All!$A620,Fall!$A:$A,FALSE),MATCH(All!J$1,Fall!$1:$1,FALSE))),"")</f>
        <v>1A</v>
      </c>
      <c r="K620" t="str">
        <f>IFERROR(IF(INDEX(Fall!$1:$1048576,MATCH(All!$A620,Fall!$A:$A,FALSE),MATCH(All!K$1,Fall!$1:$1,FALSE))="","",INDEX(Fall!$1:$1048576,MATCH(All!$A620,Fall!$A:$A,FALSE),MATCH(All!K$1,Fall!$1:$1,FALSE))),"")</f>
        <v>1A</v>
      </c>
      <c r="L620" t="str">
        <f>IFERROR(IF(INDEX(Fall!$1:$1048576,MATCH(All!$A620,Fall!$A:$A,FALSE),MATCH(All!L$1,Fall!$1:$1,FALSE))="","",INDEX(Fall!$1:$1048576,MATCH(All!$A620,Fall!$A:$A,FALSE),MATCH(All!L$1,Fall!$1:$1,FALSE))),"")</f>
        <v/>
      </c>
      <c r="M620" t="str">
        <f>IFERROR(IF(INDEX(Fall!$1:$1048576,MATCH(All!$A620,Fall!$A:$A,FALSE),MATCH(All!M$1,Fall!$1:$1,FALSE))="","",INDEX(Fall!$1:$1048576,MATCH(All!$A620,Fall!$A:$A,FALSE),MATCH(All!M$1,Fall!$1:$1,FALSE))),"")</f>
        <v>2A</v>
      </c>
      <c r="O620">
        <f>IFERROR(IF(INDEX(Winter!$1:$1048576,MATCH(All!$A620,Winter!$A:$A,FALSE),MATCH(All!O$1,Winter!$1:$1,FALSE))="","",INDEX(Winter!$1:$1048576,MATCH(All!$A620,Winter!$A:$A,FALSE),MATCH(All!O$1,Winter!$1:$1,FALSE))),"")</f>
        <v>320</v>
      </c>
      <c r="P620" t="str">
        <f>IFERROR(IF(INDEX(Winter!$1:$1048576,MATCH(All!$A620,Winter!$A:$A,FALSE),MATCH(All!P$1,Winter!$1:$1,FALSE))="","",INDEX(Winter!$1:$1048576,MATCH(All!$A620,Winter!$A:$A,FALSE),MATCH(All!P$1,Winter!$1:$1,FALSE))),"")</f>
        <v>2A</v>
      </c>
      <c r="Q620" t="str">
        <f>IFERROR(IF(INDEX(Winter!$1:$1048576,MATCH(All!$A620,Winter!$A:$A,FALSE),MATCH(All!Q$1,Winter!$1:$1,FALSE))="","",INDEX(Winter!$1:$1048576,MATCH(All!$A620,Winter!$A:$A,FALSE),MATCH(All!Q$1,Winter!$1:$1,FALSE))),"")</f>
        <v>2A</v>
      </c>
      <c r="R620" t="str">
        <f>IFERROR(IF(INDEX(Winter!$1:$1048576,MATCH(All!$A620,Winter!$A:$A,FALSE),MATCH(All!R$1,Winter!$1:$1,FALSE))="","",INDEX(Winter!$1:$1048576,MATCH(All!$A620,Winter!$A:$A,FALSE),MATCH(All!R$1,Winter!$1:$1,FALSE))),"")</f>
        <v/>
      </c>
      <c r="S620" t="str">
        <f>IFERROR(IF(INDEX(Winter!$1:$1048576,MATCH(All!$A620,Winter!$A:$A,FALSE),MATCH(All!S$1,Winter!$1:$1,FALSE))="","",INDEX(Winter!$1:$1048576,MATCH(All!$A620,Winter!$A:$A,FALSE),MATCH(All!S$1,Winter!$1:$1,FALSE))),"")</f>
        <v/>
      </c>
      <c r="T620" t="str">
        <f>IFERROR(IF(INDEX(Winter!$1:$1048576,MATCH(All!$A620,Winter!$A:$A,FALSE),MATCH(All!T$1,Winter!$1:$1,FALSE))="","",INDEX(Winter!$1:$1048576,MATCH(All!$A620,Winter!$A:$A,FALSE),MATCH(All!T$1,Winter!$1:$1,FALSE))),"")</f>
        <v>1A</v>
      </c>
      <c r="U620" t="str">
        <f>IFERROR(IF(INDEX(Winter!$1:$1048576,MATCH(All!$A620,Winter!$A:$A,FALSE),MATCH(All!U$1,Winter!$1:$1,FALSE))="","",INDEX(Winter!$1:$1048576,MATCH(All!$A620,Winter!$A:$A,FALSE),MATCH(All!U$1,Winter!$1:$1,FALSE))),"")</f>
        <v>1A</v>
      </c>
      <c r="W620">
        <f>IFERROR(IF(INDEX(Spring!$1:$1048576,MATCH(All!$A620,Spring!$A:$A,FALSE),MATCH(All!W$1,Spring!$1:$1,FALSE))="","",INDEX(Spring!$1:$1048576,MATCH(All!$A620,Spring!$A:$A,FALSE),MATCH(All!W$1,Spring!$1:$1,FALSE))),"")</f>
        <v>320</v>
      </c>
      <c r="X620" t="str">
        <f>IFERROR(IF(INDEX(Spring!$1:$1048576,MATCH(All!$A620,Spring!$A:$A,FALSE),MATCH(All!X$1,Spring!$1:$1,FALSE))="","",INDEX(Spring!$1:$1048576,MATCH(All!$A620,Spring!$A:$A,FALSE),MATCH(All!X$1,Spring!$1:$1,FALSE))),"")</f>
        <v>2A</v>
      </c>
      <c r="Y620" t="str">
        <f>IFERROR(IF(INDEX(Spring!$1:$1048576,MATCH(All!$A620,Spring!$A:$A,FALSE),MATCH(All!Y$1,Spring!$1:$1,FALSE))="","",INDEX(Spring!$1:$1048576,MATCH(All!$A620,Spring!$A:$A,FALSE),MATCH(All!Y$1,Spring!$1:$1,FALSE))),"")</f>
        <v>2A</v>
      </c>
      <c r="Z620" t="str">
        <f>IFERROR(IF(INDEX(Spring!$1:$1048576,MATCH(All!$A620,Spring!$A:$A,FALSE),MATCH(All!Z$1,Spring!$1:$1,FALSE))="","",INDEX(Spring!$1:$1048576,MATCH(All!$A620,Spring!$A:$A,FALSE),MATCH(All!Z$1,Spring!$1:$1,FALSE))),"")</f>
        <v/>
      </c>
      <c r="AA620" t="str">
        <f>IFERROR(IF(INDEX(Spring!$1:$1048576,MATCH(All!$A620,Spring!$A:$A,FALSE),MATCH(All!AA$1,Spring!$1:$1,FALSE))="","",INDEX(Spring!$1:$1048576,MATCH(All!$A620,Spring!$A:$A,FALSE),MATCH(All!AA$1,Spring!$1:$1,FALSE))),"")</f>
        <v/>
      </c>
      <c r="AB620" t="str">
        <f>IFERROR(IF(INDEX(Spring!$1:$1048576,MATCH(All!$A620,Spring!$A:$A,FALSE),MATCH(All!AB$1,Spring!$1:$1,FALSE))="","",INDEX(Spring!$1:$1048576,MATCH(All!$A620,Spring!$A:$A,FALSE),MATCH(All!AB$1,Spring!$1:$1,FALSE))),"")</f>
        <v>1A</v>
      </c>
      <c r="AC620" t="str">
        <f>IFERROR(IF(INDEX(Spring!$1:$1048576,MATCH(All!$A620,Spring!$A:$A,FALSE),MATCH(All!AC$1,Spring!$1:$1,FALSE))="","",INDEX(Spring!$1:$1048576,MATCH(All!$A620,Spring!$A:$A,FALSE),MATCH(All!AC$1,Spring!$1:$1,FALSE))),"")</f>
        <v>1A</v>
      </c>
      <c r="AD620" t="str">
        <f>IFERROR(VLOOKUP(A620,'Flag Football'!A:A,1,FALSE),"")</f>
        <v/>
      </c>
      <c r="AE620" t="str">
        <f t="shared" si="9"/>
        <v/>
      </c>
    </row>
    <row r="621" spans="1:31" ht="15.75" thickBot="1" x14ac:dyDescent="0.3">
      <c r="A621" s="20" t="s">
        <v>722</v>
      </c>
      <c r="B621" s="38">
        <f>IFERROR(VLOOKUP(A621,'Public v Private'!A:G,3,FALSE),"")</f>
        <v>0</v>
      </c>
      <c r="C621" s="38">
        <f>IFERROR(VLOOKUP(A621,'Public v Private'!A:G,4,FALSE),"")</f>
        <v>0</v>
      </c>
      <c r="D621" s="38">
        <f>IFERROR(VLOOKUP(A621,'Public v Private'!A:G,5,FALSE),"")</f>
        <v>0</v>
      </c>
      <c r="E621" s="38"/>
      <c r="F621" s="40">
        <f>IFERROR(INDEX(Fall!$1:$1048576,MATCH(All!$A621,Fall!$A:$A,FALSE),MATCH(All!F$1,Fall!$1:$1,FALSE)),"N/A")</f>
        <v>472</v>
      </c>
      <c r="G621" t="str">
        <f>IFERROR(IF(INDEX(Fall!$1:$1048576,MATCH(All!$A621,Fall!$A:$A,FALSE),MATCH(All!G$1,Fall!$1:$1,FALSE))="","",INDEX(Fall!$1:$1048576,MATCH(All!$A621,Fall!$A:$A,FALSE),MATCH(All!G$1,Fall!$1:$1,FALSE))),"")</f>
        <v>1A</v>
      </c>
      <c r="H621" t="str">
        <f>IFERROR(IF(INDEX(Fall!$1:$1048576,MATCH(All!$A621,Fall!$A:$A,FALSE),MATCH(All!H$1,Fall!$1:$1,FALSE))="","",INDEX(Fall!$1:$1048576,MATCH(All!$A621,Fall!$A:$A,FALSE),MATCH(All!H$1,Fall!$1:$1,FALSE))),"")</f>
        <v>1A</v>
      </c>
      <c r="I621" t="str">
        <f>IFERROR(IF(INDEX(Fall!$1:$1048576,MATCH(All!$A621,Fall!$A:$A,FALSE),MATCH(All!I$1,Fall!$1:$1,FALSE))="","",INDEX(Fall!$1:$1048576,MATCH(All!$A621,Fall!$A:$A,FALSE),MATCH(All!I$1,Fall!$1:$1,FALSE))),"")</f>
        <v>1A</v>
      </c>
      <c r="J621" t="str">
        <f>IFERROR(IF(INDEX(Fall!$1:$1048576,MATCH(All!$A621,Fall!$A:$A,FALSE),MATCH(All!J$1,Fall!$1:$1,FALSE))="","",INDEX(Fall!$1:$1048576,MATCH(All!$A621,Fall!$A:$A,FALSE),MATCH(All!J$1,Fall!$1:$1,FALSE))),"")</f>
        <v>1A</v>
      </c>
      <c r="K621" t="str">
        <f>IFERROR(IF(INDEX(Fall!$1:$1048576,MATCH(All!$A621,Fall!$A:$A,FALSE),MATCH(All!K$1,Fall!$1:$1,FALSE))="","",INDEX(Fall!$1:$1048576,MATCH(All!$A621,Fall!$A:$A,FALSE),MATCH(All!K$1,Fall!$1:$1,FALSE))),"")</f>
        <v>1A</v>
      </c>
      <c r="L621" t="str">
        <f>IFERROR(IF(INDEX(Fall!$1:$1048576,MATCH(All!$A621,Fall!$A:$A,FALSE),MATCH(All!L$1,Fall!$1:$1,FALSE))="","",INDEX(Fall!$1:$1048576,MATCH(All!$A621,Fall!$A:$A,FALSE),MATCH(All!L$1,Fall!$1:$1,FALSE))),"")</f>
        <v>1A</v>
      </c>
      <c r="M621" t="str">
        <f>IFERROR(IF(INDEX(Fall!$1:$1048576,MATCH(All!$A621,Fall!$A:$A,FALSE),MATCH(All!M$1,Fall!$1:$1,FALSE))="","",INDEX(Fall!$1:$1048576,MATCH(All!$A621,Fall!$A:$A,FALSE),MATCH(All!M$1,Fall!$1:$1,FALSE))),"")</f>
        <v>2A</v>
      </c>
      <c r="O621">
        <f>IFERROR(IF(INDEX(Winter!$1:$1048576,MATCH(All!$A621,Winter!$A:$A,FALSE),MATCH(All!O$1,Winter!$1:$1,FALSE))="","",INDEX(Winter!$1:$1048576,MATCH(All!$A621,Winter!$A:$A,FALSE),MATCH(All!O$1,Winter!$1:$1,FALSE))),"")</f>
        <v>472</v>
      </c>
      <c r="P621" t="str">
        <f>IFERROR(IF(INDEX(Winter!$1:$1048576,MATCH(All!$A621,Winter!$A:$A,FALSE),MATCH(All!P$1,Winter!$1:$1,FALSE))="","",INDEX(Winter!$1:$1048576,MATCH(All!$A621,Winter!$A:$A,FALSE),MATCH(All!P$1,Winter!$1:$1,FALSE))),"")</f>
        <v>2A</v>
      </c>
      <c r="Q621" t="str">
        <f>IFERROR(IF(INDEX(Winter!$1:$1048576,MATCH(All!$A621,Winter!$A:$A,FALSE),MATCH(All!Q$1,Winter!$1:$1,FALSE))="","",INDEX(Winter!$1:$1048576,MATCH(All!$A621,Winter!$A:$A,FALSE),MATCH(All!Q$1,Winter!$1:$1,FALSE))),"")</f>
        <v>2A</v>
      </c>
      <c r="R621" t="str">
        <f>IFERROR(IF(INDEX(Winter!$1:$1048576,MATCH(All!$A621,Winter!$A:$A,FALSE),MATCH(All!R$1,Winter!$1:$1,FALSE))="","",INDEX(Winter!$1:$1048576,MATCH(All!$A621,Winter!$A:$A,FALSE),MATCH(All!R$1,Winter!$1:$1,FALSE))),"")</f>
        <v/>
      </c>
      <c r="S621" t="str">
        <f>IFERROR(IF(INDEX(Winter!$1:$1048576,MATCH(All!$A621,Winter!$A:$A,FALSE),MATCH(All!S$1,Winter!$1:$1,FALSE))="","",INDEX(Winter!$1:$1048576,MATCH(All!$A621,Winter!$A:$A,FALSE),MATCH(All!S$1,Winter!$1:$1,FALSE))),"")</f>
        <v/>
      </c>
      <c r="T621" t="str">
        <f>IFERROR(IF(INDEX(Winter!$1:$1048576,MATCH(All!$A621,Winter!$A:$A,FALSE),MATCH(All!T$1,Winter!$1:$1,FALSE))="","",INDEX(Winter!$1:$1048576,MATCH(All!$A621,Winter!$A:$A,FALSE),MATCH(All!T$1,Winter!$1:$1,FALSE))),"")</f>
        <v>2A</v>
      </c>
      <c r="U621" t="str">
        <f>IFERROR(IF(INDEX(Winter!$1:$1048576,MATCH(All!$A621,Winter!$A:$A,FALSE),MATCH(All!U$1,Winter!$1:$1,FALSE))="","",INDEX(Winter!$1:$1048576,MATCH(All!$A621,Winter!$A:$A,FALSE),MATCH(All!U$1,Winter!$1:$1,FALSE))),"")</f>
        <v>1A</v>
      </c>
      <c r="W621">
        <f>IFERROR(IF(INDEX(Spring!$1:$1048576,MATCH(All!$A621,Spring!$A:$A,FALSE),MATCH(All!W$1,Spring!$1:$1,FALSE))="","",INDEX(Spring!$1:$1048576,MATCH(All!$A621,Spring!$A:$A,FALSE),MATCH(All!W$1,Spring!$1:$1,FALSE))),"")</f>
        <v>472</v>
      </c>
      <c r="X621" t="str">
        <f>IFERROR(IF(INDEX(Spring!$1:$1048576,MATCH(All!$A621,Spring!$A:$A,FALSE),MATCH(All!X$1,Spring!$1:$1,FALSE))="","",INDEX(Spring!$1:$1048576,MATCH(All!$A621,Spring!$A:$A,FALSE),MATCH(All!X$1,Spring!$1:$1,FALSE))),"")</f>
        <v>2A</v>
      </c>
      <c r="Y621" t="str">
        <f>IFERROR(IF(INDEX(Spring!$1:$1048576,MATCH(All!$A621,Spring!$A:$A,FALSE),MATCH(All!Y$1,Spring!$1:$1,FALSE))="","",INDEX(Spring!$1:$1048576,MATCH(All!$A621,Spring!$A:$A,FALSE),MATCH(All!Y$1,Spring!$1:$1,FALSE))),"")</f>
        <v>2A</v>
      </c>
      <c r="Z621" t="str">
        <f>IFERROR(IF(INDEX(Spring!$1:$1048576,MATCH(All!$A621,Spring!$A:$A,FALSE),MATCH(All!Z$1,Spring!$1:$1,FALSE))="","",INDEX(Spring!$1:$1048576,MATCH(All!$A621,Spring!$A:$A,FALSE),MATCH(All!Z$1,Spring!$1:$1,FALSE))),"")</f>
        <v>1A</v>
      </c>
      <c r="AA621" t="str">
        <f>IFERROR(IF(INDEX(Spring!$1:$1048576,MATCH(All!$A621,Spring!$A:$A,FALSE),MATCH(All!AA$1,Spring!$1:$1,FALSE))="","",INDEX(Spring!$1:$1048576,MATCH(All!$A621,Spring!$A:$A,FALSE),MATCH(All!AA$1,Spring!$1:$1,FALSE))),"")</f>
        <v>1A</v>
      </c>
      <c r="AB621" t="str">
        <f>IFERROR(IF(INDEX(Spring!$1:$1048576,MATCH(All!$A621,Spring!$A:$A,FALSE),MATCH(All!AB$1,Spring!$1:$1,FALSE))="","",INDEX(Spring!$1:$1048576,MATCH(All!$A621,Spring!$A:$A,FALSE),MATCH(All!AB$1,Spring!$1:$1,FALSE))),"")</f>
        <v>2A</v>
      </c>
      <c r="AC621" t="str">
        <f>IFERROR(IF(INDEX(Spring!$1:$1048576,MATCH(All!$A621,Spring!$A:$A,FALSE),MATCH(All!AC$1,Spring!$1:$1,FALSE))="","",INDEX(Spring!$1:$1048576,MATCH(All!$A621,Spring!$A:$A,FALSE),MATCH(All!AC$1,Spring!$1:$1,FALSE))),"")</f>
        <v>2A</v>
      </c>
      <c r="AD621" t="str">
        <f>IFERROR(VLOOKUP(A621,'Flag Football'!A:A,1,FALSE),"")</f>
        <v/>
      </c>
      <c r="AE621" t="str">
        <f t="shared" si="9"/>
        <v/>
      </c>
    </row>
    <row r="622" spans="1:31" ht="15.75" thickBot="1" x14ac:dyDescent="0.3">
      <c r="A622" s="18" t="s">
        <v>723</v>
      </c>
      <c r="B622" s="38">
        <f>IFERROR(VLOOKUP(A622,'Public v Private'!A:G,3,FALSE),"")</f>
        <v>0</v>
      </c>
      <c r="C622" s="38">
        <f>IFERROR(VLOOKUP(A622,'Public v Private'!A:G,4,FALSE),"")</f>
        <v>0</v>
      </c>
      <c r="D622" s="38">
        <f>IFERROR(VLOOKUP(A622,'Public v Private'!A:G,5,FALSE),"")</f>
        <v>0</v>
      </c>
      <c r="E622" s="38"/>
      <c r="F622" s="40">
        <f>IFERROR(INDEX(Fall!$1:$1048576,MATCH(All!$A622,Fall!$A:$A,FALSE),MATCH(All!F$1,Fall!$1:$1,FALSE)),"N/A")</f>
        <v>185</v>
      </c>
      <c r="G622" t="str">
        <f>IFERROR(IF(INDEX(Fall!$1:$1048576,MATCH(All!$A622,Fall!$A:$A,FALSE),MATCH(All!G$1,Fall!$1:$1,FALSE))="","",INDEX(Fall!$1:$1048576,MATCH(All!$A622,Fall!$A:$A,FALSE),MATCH(All!G$1,Fall!$1:$1,FALSE))),"")</f>
        <v>1A</v>
      </c>
      <c r="H622" t="str">
        <f>IFERROR(IF(INDEX(Fall!$1:$1048576,MATCH(All!$A622,Fall!$A:$A,FALSE),MATCH(All!H$1,Fall!$1:$1,FALSE))="","",INDEX(Fall!$1:$1048576,MATCH(All!$A622,Fall!$A:$A,FALSE),MATCH(All!H$1,Fall!$1:$1,FALSE))),"")</f>
        <v>1A</v>
      </c>
      <c r="I622" t="str">
        <f>IFERROR(IF(INDEX(Fall!$1:$1048576,MATCH(All!$A622,Fall!$A:$A,FALSE),MATCH(All!I$1,Fall!$1:$1,FALSE))="","",INDEX(Fall!$1:$1048576,MATCH(All!$A622,Fall!$A:$A,FALSE),MATCH(All!I$1,Fall!$1:$1,FALSE))),"")</f>
        <v>1A</v>
      </c>
      <c r="J622" t="str">
        <f>IFERROR(IF(INDEX(Fall!$1:$1048576,MATCH(All!$A622,Fall!$A:$A,FALSE),MATCH(All!J$1,Fall!$1:$1,FALSE))="","",INDEX(Fall!$1:$1048576,MATCH(All!$A622,Fall!$A:$A,FALSE),MATCH(All!J$1,Fall!$1:$1,FALSE))),"")</f>
        <v>1A</v>
      </c>
      <c r="K622" t="str">
        <f>IFERROR(IF(INDEX(Fall!$1:$1048576,MATCH(All!$A622,Fall!$A:$A,FALSE),MATCH(All!K$1,Fall!$1:$1,FALSE))="","",INDEX(Fall!$1:$1048576,MATCH(All!$A622,Fall!$A:$A,FALSE),MATCH(All!K$1,Fall!$1:$1,FALSE))),"")</f>
        <v/>
      </c>
      <c r="L622" t="str">
        <f>IFERROR(IF(INDEX(Fall!$1:$1048576,MATCH(All!$A622,Fall!$A:$A,FALSE),MATCH(All!L$1,Fall!$1:$1,FALSE))="","",INDEX(Fall!$1:$1048576,MATCH(All!$A622,Fall!$A:$A,FALSE),MATCH(All!L$1,Fall!$1:$1,FALSE))),"")</f>
        <v/>
      </c>
      <c r="M622" t="str">
        <f>IFERROR(IF(INDEX(Fall!$1:$1048576,MATCH(All!$A622,Fall!$A:$A,FALSE),MATCH(All!M$1,Fall!$1:$1,FALSE))="","",INDEX(Fall!$1:$1048576,MATCH(All!$A622,Fall!$A:$A,FALSE),MATCH(All!M$1,Fall!$1:$1,FALSE))),"")</f>
        <v>1A</v>
      </c>
      <c r="O622">
        <f>IFERROR(IF(INDEX(Winter!$1:$1048576,MATCH(All!$A622,Winter!$A:$A,FALSE),MATCH(All!O$1,Winter!$1:$1,FALSE))="","",INDEX(Winter!$1:$1048576,MATCH(All!$A622,Winter!$A:$A,FALSE),MATCH(All!O$1,Winter!$1:$1,FALSE))),"")</f>
        <v>185</v>
      </c>
      <c r="P622" t="str">
        <f>IFERROR(IF(INDEX(Winter!$1:$1048576,MATCH(All!$A622,Winter!$A:$A,FALSE),MATCH(All!P$1,Winter!$1:$1,FALSE))="","",INDEX(Winter!$1:$1048576,MATCH(All!$A622,Winter!$A:$A,FALSE),MATCH(All!P$1,Winter!$1:$1,FALSE))),"")</f>
        <v>1A</v>
      </c>
      <c r="Q622" t="str">
        <f>IFERROR(IF(INDEX(Winter!$1:$1048576,MATCH(All!$A622,Winter!$A:$A,FALSE),MATCH(All!Q$1,Winter!$1:$1,FALSE))="","",INDEX(Winter!$1:$1048576,MATCH(All!$A622,Winter!$A:$A,FALSE),MATCH(All!Q$1,Winter!$1:$1,FALSE))),"")</f>
        <v>1A</v>
      </c>
      <c r="R622" t="str">
        <f>IFERROR(IF(INDEX(Winter!$1:$1048576,MATCH(All!$A622,Winter!$A:$A,FALSE),MATCH(All!R$1,Winter!$1:$1,FALSE))="","",INDEX(Winter!$1:$1048576,MATCH(All!$A622,Winter!$A:$A,FALSE),MATCH(All!R$1,Winter!$1:$1,FALSE))),"")</f>
        <v/>
      </c>
      <c r="S622" t="str">
        <f>IFERROR(IF(INDEX(Winter!$1:$1048576,MATCH(All!$A622,Winter!$A:$A,FALSE),MATCH(All!S$1,Winter!$1:$1,FALSE))="","",INDEX(Winter!$1:$1048576,MATCH(All!$A622,Winter!$A:$A,FALSE),MATCH(All!S$1,Winter!$1:$1,FALSE))),"")</f>
        <v/>
      </c>
      <c r="T622" t="str">
        <f>IFERROR(IF(INDEX(Winter!$1:$1048576,MATCH(All!$A622,Winter!$A:$A,FALSE),MATCH(All!T$1,Winter!$1:$1,FALSE))="","",INDEX(Winter!$1:$1048576,MATCH(All!$A622,Winter!$A:$A,FALSE),MATCH(All!T$1,Winter!$1:$1,FALSE))),"")</f>
        <v>1A</v>
      </c>
      <c r="U622" t="str">
        <f>IFERROR(IF(INDEX(Winter!$1:$1048576,MATCH(All!$A622,Winter!$A:$A,FALSE),MATCH(All!U$1,Winter!$1:$1,FALSE))="","",INDEX(Winter!$1:$1048576,MATCH(All!$A622,Winter!$A:$A,FALSE),MATCH(All!U$1,Winter!$1:$1,FALSE))),"")</f>
        <v/>
      </c>
      <c r="W622">
        <f>IFERROR(IF(INDEX(Spring!$1:$1048576,MATCH(All!$A622,Spring!$A:$A,FALSE),MATCH(All!W$1,Spring!$1:$1,FALSE))="","",INDEX(Spring!$1:$1048576,MATCH(All!$A622,Spring!$A:$A,FALSE),MATCH(All!W$1,Spring!$1:$1,FALSE))),"")</f>
        <v>185</v>
      </c>
      <c r="X622" t="str">
        <f>IFERROR(IF(INDEX(Spring!$1:$1048576,MATCH(All!$A622,Spring!$A:$A,FALSE),MATCH(All!X$1,Spring!$1:$1,FALSE))="","",INDEX(Spring!$1:$1048576,MATCH(All!$A622,Spring!$A:$A,FALSE),MATCH(All!X$1,Spring!$1:$1,FALSE))),"")</f>
        <v>1A</v>
      </c>
      <c r="Y622" t="str">
        <f>IFERROR(IF(INDEX(Spring!$1:$1048576,MATCH(All!$A622,Spring!$A:$A,FALSE),MATCH(All!Y$1,Spring!$1:$1,FALSE))="","",INDEX(Spring!$1:$1048576,MATCH(All!$A622,Spring!$A:$A,FALSE),MATCH(All!Y$1,Spring!$1:$1,FALSE))),"")</f>
        <v>1A</v>
      </c>
      <c r="Z622" t="str">
        <f>IFERROR(IF(INDEX(Spring!$1:$1048576,MATCH(All!$A622,Spring!$A:$A,FALSE),MATCH(All!Z$1,Spring!$1:$1,FALSE))="","",INDEX(Spring!$1:$1048576,MATCH(All!$A622,Spring!$A:$A,FALSE),MATCH(All!Z$1,Spring!$1:$1,FALSE))),"")</f>
        <v/>
      </c>
      <c r="AA622" t="str">
        <f>IFERROR(IF(INDEX(Spring!$1:$1048576,MATCH(All!$A622,Spring!$A:$A,FALSE),MATCH(All!AA$1,Spring!$1:$1,FALSE))="","",INDEX(Spring!$1:$1048576,MATCH(All!$A622,Spring!$A:$A,FALSE),MATCH(All!AA$1,Spring!$1:$1,FALSE))),"")</f>
        <v/>
      </c>
      <c r="AB622" t="str">
        <f>IFERROR(IF(INDEX(Spring!$1:$1048576,MATCH(All!$A622,Spring!$A:$A,FALSE),MATCH(All!AB$1,Spring!$1:$1,FALSE))="","",INDEX(Spring!$1:$1048576,MATCH(All!$A622,Spring!$A:$A,FALSE),MATCH(All!AB$1,Spring!$1:$1,FALSE))),"")</f>
        <v>1A</v>
      </c>
      <c r="AC622" t="str">
        <f>IFERROR(IF(INDEX(Spring!$1:$1048576,MATCH(All!$A622,Spring!$A:$A,FALSE),MATCH(All!AC$1,Spring!$1:$1,FALSE))="","",INDEX(Spring!$1:$1048576,MATCH(All!$A622,Spring!$A:$A,FALSE),MATCH(All!AC$1,Spring!$1:$1,FALSE))),"")</f>
        <v>1A</v>
      </c>
      <c r="AD622" t="str">
        <f>IFERROR(VLOOKUP(A622,'Flag Football'!A:A,1,FALSE),"")</f>
        <v/>
      </c>
      <c r="AE622" t="str">
        <f t="shared" si="9"/>
        <v/>
      </c>
    </row>
    <row r="623" spans="1:31" ht="15.75" thickBot="1" x14ac:dyDescent="0.3">
      <c r="A623" s="20" t="s">
        <v>724</v>
      </c>
      <c r="B623" s="38">
        <f>IFERROR(VLOOKUP(A623,'Public v Private'!A:G,3,FALSE),"")</f>
        <v>0</v>
      </c>
      <c r="C623" s="38">
        <f>IFERROR(VLOOKUP(A623,'Public v Private'!A:G,4,FALSE),"")</f>
        <v>0</v>
      </c>
      <c r="D623" s="38">
        <f>IFERROR(VLOOKUP(A623,'Public v Private'!A:G,5,FALSE),"")</f>
        <v>0</v>
      </c>
      <c r="E623" s="38"/>
      <c r="F623" s="40">
        <f>IFERROR(INDEX(Fall!$1:$1048576,MATCH(All!$A623,Fall!$A:$A,FALSE),MATCH(All!F$1,Fall!$1:$1,FALSE)),"N/A")</f>
        <v>198</v>
      </c>
      <c r="G623" t="str">
        <f>IFERROR(IF(INDEX(Fall!$1:$1048576,MATCH(All!$A623,Fall!$A:$A,FALSE),MATCH(All!G$1,Fall!$1:$1,FALSE))="","",INDEX(Fall!$1:$1048576,MATCH(All!$A623,Fall!$A:$A,FALSE),MATCH(All!G$1,Fall!$1:$1,FALSE))),"")</f>
        <v>1A</v>
      </c>
      <c r="H623" t="str">
        <f>IFERROR(IF(INDEX(Fall!$1:$1048576,MATCH(All!$A623,Fall!$A:$A,FALSE),MATCH(All!H$1,Fall!$1:$1,FALSE))="","",INDEX(Fall!$1:$1048576,MATCH(All!$A623,Fall!$A:$A,FALSE),MATCH(All!H$1,Fall!$1:$1,FALSE))),"")</f>
        <v>1A</v>
      </c>
      <c r="I623" t="str">
        <f>IFERROR(IF(INDEX(Fall!$1:$1048576,MATCH(All!$A623,Fall!$A:$A,FALSE),MATCH(All!I$1,Fall!$1:$1,FALSE))="","",INDEX(Fall!$1:$1048576,MATCH(All!$A623,Fall!$A:$A,FALSE),MATCH(All!I$1,Fall!$1:$1,FALSE))),"")</f>
        <v/>
      </c>
      <c r="J623" t="str">
        <f>IFERROR(IF(INDEX(Fall!$1:$1048576,MATCH(All!$A623,Fall!$A:$A,FALSE),MATCH(All!J$1,Fall!$1:$1,FALSE))="","",INDEX(Fall!$1:$1048576,MATCH(All!$A623,Fall!$A:$A,FALSE),MATCH(All!J$1,Fall!$1:$1,FALSE))),"")</f>
        <v/>
      </c>
      <c r="K623" t="str">
        <f>IFERROR(IF(INDEX(Fall!$1:$1048576,MATCH(All!$A623,Fall!$A:$A,FALSE),MATCH(All!K$1,Fall!$1:$1,FALSE))="","",INDEX(Fall!$1:$1048576,MATCH(All!$A623,Fall!$A:$A,FALSE),MATCH(All!K$1,Fall!$1:$1,FALSE))),"")</f>
        <v/>
      </c>
      <c r="L623" t="str">
        <f>IFERROR(IF(INDEX(Fall!$1:$1048576,MATCH(All!$A623,Fall!$A:$A,FALSE),MATCH(All!L$1,Fall!$1:$1,FALSE))="","",INDEX(Fall!$1:$1048576,MATCH(All!$A623,Fall!$A:$A,FALSE),MATCH(All!L$1,Fall!$1:$1,FALSE))),"")</f>
        <v/>
      </c>
      <c r="M623" t="str">
        <f>IFERROR(IF(INDEX(Fall!$1:$1048576,MATCH(All!$A623,Fall!$A:$A,FALSE),MATCH(All!M$1,Fall!$1:$1,FALSE))="","",INDEX(Fall!$1:$1048576,MATCH(All!$A623,Fall!$A:$A,FALSE),MATCH(All!M$1,Fall!$1:$1,FALSE))),"")</f>
        <v>2A</v>
      </c>
      <c r="O623">
        <f>IFERROR(IF(INDEX(Winter!$1:$1048576,MATCH(All!$A623,Winter!$A:$A,FALSE),MATCH(All!O$1,Winter!$1:$1,FALSE))="","",INDEX(Winter!$1:$1048576,MATCH(All!$A623,Winter!$A:$A,FALSE),MATCH(All!O$1,Winter!$1:$1,FALSE))),"")</f>
        <v>198</v>
      </c>
      <c r="P623" t="str">
        <f>IFERROR(IF(INDEX(Winter!$1:$1048576,MATCH(All!$A623,Winter!$A:$A,FALSE),MATCH(All!P$1,Winter!$1:$1,FALSE))="","",INDEX(Winter!$1:$1048576,MATCH(All!$A623,Winter!$A:$A,FALSE),MATCH(All!P$1,Winter!$1:$1,FALSE))),"")</f>
        <v>2A</v>
      </c>
      <c r="Q623" t="str">
        <f>IFERROR(IF(INDEX(Winter!$1:$1048576,MATCH(All!$A623,Winter!$A:$A,FALSE),MATCH(All!Q$1,Winter!$1:$1,FALSE))="","",INDEX(Winter!$1:$1048576,MATCH(All!$A623,Winter!$A:$A,FALSE),MATCH(All!Q$1,Winter!$1:$1,FALSE))),"")</f>
        <v/>
      </c>
      <c r="R623" t="str">
        <f>IFERROR(IF(INDEX(Winter!$1:$1048576,MATCH(All!$A623,Winter!$A:$A,FALSE),MATCH(All!R$1,Winter!$1:$1,FALSE))="","",INDEX(Winter!$1:$1048576,MATCH(All!$A623,Winter!$A:$A,FALSE),MATCH(All!R$1,Winter!$1:$1,FALSE))),"")</f>
        <v/>
      </c>
      <c r="S623" t="str">
        <f>IFERROR(IF(INDEX(Winter!$1:$1048576,MATCH(All!$A623,Winter!$A:$A,FALSE),MATCH(All!S$1,Winter!$1:$1,FALSE))="","",INDEX(Winter!$1:$1048576,MATCH(All!$A623,Winter!$A:$A,FALSE),MATCH(All!S$1,Winter!$1:$1,FALSE))),"")</f>
        <v/>
      </c>
      <c r="T623" t="str">
        <f>IFERROR(IF(INDEX(Winter!$1:$1048576,MATCH(All!$A623,Winter!$A:$A,FALSE),MATCH(All!T$1,Winter!$1:$1,FALSE))="","",INDEX(Winter!$1:$1048576,MATCH(All!$A623,Winter!$A:$A,FALSE),MATCH(All!T$1,Winter!$1:$1,FALSE))),"")</f>
        <v/>
      </c>
      <c r="U623" t="str">
        <f>IFERROR(IF(INDEX(Winter!$1:$1048576,MATCH(All!$A623,Winter!$A:$A,FALSE),MATCH(All!U$1,Winter!$1:$1,FALSE))="","",INDEX(Winter!$1:$1048576,MATCH(All!$A623,Winter!$A:$A,FALSE),MATCH(All!U$1,Winter!$1:$1,FALSE))),"")</f>
        <v/>
      </c>
      <c r="W623">
        <f>IFERROR(IF(INDEX(Spring!$1:$1048576,MATCH(All!$A623,Spring!$A:$A,FALSE),MATCH(All!W$1,Spring!$1:$1,FALSE))="","",INDEX(Spring!$1:$1048576,MATCH(All!$A623,Spring!$A:$A,FALSE),MATCH(All!W$1,Spring!$1:$1,FALSE))),"")</f>
        <v>198</v>
      </c>
      <c r="X623" t="str">
        <f>IFERROR(IF(INDEX(Spring!$1:$1048576,MATCH(All!$A623,Spring!$A:$A,FALSE),MATCH(All!X$1,Spring!$1:$1,FALSE))="","",INDEX(Spring!$1:$1048576,MATCH(All!$A623,Spring!$A:$A,FALSE),MATCH(All!X$1,Spring!$1:$1,FALSE))),"")</f>
        <v>2A</v>
      </c>
      <c r="Y623" t="str">
        <f>IFERROR(IF(INDEX(Spring!$1:$1048576,MATCH(All!$A623,Spring!$A:$A,FALSE),MATCH(All!Y$1,Spring!$1:$1,FALSE))="","",INDEX(Spring!$1:$1048576,MATCH(All!$A623,Spring!$A:$A,FALSE),MATCH(All!Y$1,Spring!$1:$1,FALSE))),"")</f>
        <v>2A</v>
      </c>
      <c r="Z623" t="str">
        <f>IFERROR(IF(INDEX(Spring!$1:$1048576,MATCH(All!$A623,Spring!$A:$A,FALSE),MATCH(All!Z$1,Spring!$1:$1,FALSE))="","",INDEX(Spring!$1:$1048576,MATCH(All!$A623,Spring!$A:$A,FALSE),MATCH(All!Z$1,Spring!$1:$1,FALSE))),"")</f>
        <v/>
      </c>
      <c r="AA623" t="str">
        <f>IFERROR(IF(INDEX(Spring!$1:$1048576,MATCH(All!$A623,Spring!$A:$A,FALSE),MATCH(All!AA$1,Spring!$1:$1,FALSE))="","",INDEX(Spring!$1:$1048576,MATCH(All!$A623,Spring!$A:$A,FALSE),MATCH(All!AA$1,Spring!$1:$1,FALSE))),"")</f>
        <v/>
      </c>
      <c r="AB623" t="str">
        <f>IFERROR(IF(INDEX(Spring!$1:$1048576,MATCH(All!$A623,Spring!$A:$A,FALSE),MATCH(All!AB$1,Spring!$1:$1,FALSE))="","",INDEX(Spring!$1:$1048576,MATCH(All!$A623,Spring!$A:$A,FALSE),MATCH(All!AB$1,Spring!$1:$1,FALSE))),"")</f>
        <v/>
      </c>
      <c r="AC623" t="str">
        <f>IFERROR(IF(INDEX(Spring!$1:$1048576,MATCH(All!$A623,Spring!$A:$A,FALSE),MATCH(All!AC$1,Spring!$1:$1,FALSE))="","",INDEX(Spring!$1:$1048576,MATCH(All!$A623,Spring!$A:$A,FALSE),MATCH(All!AC$1,Spring!$1:$1,FALSE))),"")</f>
        <v/>
      </c>
      <c r="AD623" t="str">
        <f>IFERROR(VLOOKUP(A623,'Flag Football'!A:A,1,FALSE),"")</f>
        <v/>
      </c>
      <c r="AE623" t="str">
        <f t="shared" si="9"/>
        <v/>
      </c>
    </row>
    <row r="624" spans="1:31" ht="15.75" thickBot="1" x14ac:dyDescent="0.3">
      <c r="A624" s="18" t="s">
        <v>725</v>
      </c>
      <c r="B624" s="38" t="str">
        <f>IFERROR(VLOOKUP(A624,'Public v Private'!A:G,3,FALSE),"")</f>
        <v>private</v>
      </c>
      <c r="C624" s="38">
        <f>IFERROR(VLOOKUP(A624,'Public v Private'!A:G,4,FALSE),"")</f>
        <v>6</v>
      </c>
      <c r="D624" s="38">
        <f>IFERROR(VLOOKUP(A624,'Public v Private'!A:G,5,FALSE),"")</f>
        <v>16</v>
      </c>
      <c r="E624" s="38"/>
      <c r="F624" s="40" t="str">
        <f>IFERROR(INDEX(Fall!$1:$1048576,MATCH(All!$A624,Fall!$A:$A,FALSE),MATCH(All!F$1,Fall!$1:$1,FALSE)),"N/A")</f>
        <v>399.00 (658.35)</v>
      </c>
      <c r="G624" t="str">
        <f>IFERROR(IF(INDEX(Fall!$1:$1048576,MATCH(All!$A624,Fall!$A:$A,FALSE),MATCH(All!G$1,Fall!$1:$1,FALSE))="","",INDEX(Fall!$1:$1048576,MATCH(All!$A624,Fall!$A:$A,FALSE),MATCH(All!G$1,Fall!$1:$1,FALSE))),"")</f>
        <v>2A</v>
      </c>
      <c r="H624" t="str">
        <f>IFERROR(IF(INDEX(Fall!$1:$1048576,MATCH(All!$A624,Fall!$A:$A,FALSE),MATCH(All!H$1,Fall!$1:$1,FALSE))="","",INDEX(Fall!$1:$1048576,MATCH(All!$A624,Fall!$A:$A,FALSE),MATCH(All!H$1,Fall!$1:$1,FALSE))),"")</f>
        <v>2A</v>
      </c>
      <c r="I624" t="str">
        <f>IFERROR(IF(INDEX(Fall!$1:$1048576,MATCH(All!$A624,Fall!$A:$A,FALSE),MATCH(All!I$1,Fall!$1:$1,FALSE))="","",INDEX(Fall!$1:$1048576,MATCH(All!$A624,Fall!$A:$A,FALSE),MATCH(All!I$1,Fall!$1:$1,FALSE))),"")</f>
        <v>2A</v>
      </c>
      <c r="J624" t="str">
        <f>IFERROR(IF(INDEX(Fall!$1:$1048576,MATCH(All!$A624,Fall!$A:$A,FALSE),MATCH(All!J$1,Fall!$1:$1,FALSE))="","",INDEX(Fall!$1:$1048576,MATCH(All!$A624,Fall!$A:$A,FALSE),MATCH(All!J$1,Fall!$1:$1,FALSE))),"")</f>
        <v>1A</v>
      </c>
      <c r="K624" t="str">
        <f>IFERROR(IF(INDEX(Fall!$1:$1048576,MATCH(All!$A624,Fall!$A:$A,FALSE),MATCH(All!K$1,Fall!$1:$1,FALSE))="","",INDEX(Fall!$1:$1048576,MATCH(All!$A624,Fall!$A:$A,FALSE),MATCH(All!K$1,Fall!$1:$1,FALSE))),"")</f>
        <v>1A</v>
      </c>
      <c r="L624" t="str">
        <f>IFERROR(IF(INDEX(Fall!$1:$1048576,MATCH(All!$A624,Fall!$A:$A,FALSE),MATCH(All!L$1,Fall!$1:$1,FALSE))="","",INDEX(Fall!$1:$1048576,MATCH(All!$A624,Fall!$A:$A,FALSE),MATCH(All!L$1,Fall!$1:$1,FALSE))),"")</f>
        <v>1A</v>
      </c>
      <c r="M624" t="str">
        <f>IFERROR(IF(INDEX(Fall!$1:$1048576,MATCH(All!$A624,Fall!$A:$A,FALSE),MATCH(All!M$1,Fall!$1:$1,FALSE))="","",INDEX(Fall!$1:$1048576,MATCH(All!$A624,Fall!$A:$A,FALSE),MATCH(All!M$1,Fall!$1:$1,FALSE))),"")</f>
        <v>2A</v>
      </c>
      <c r="O624" t="str">
        <f>IFERROR(IF(INDEX(Winter!$1:$1048576,MATCH(All!$A624,Winter!$A:$A,FALSE),MATCH(All!O$1,Winter!$1:$1,FALSE))="","",INDEX(Winter!$1:$1048576,MATCH(All!$A624,Winter!$A:$A,FALSE),MATCH(All!O$1,Winter!$1:$1,FALSE))),"")</f>
        <v>399.00 (658.35)</v>
      </c>
      <c r="P624" t="str">
        <f>IFERROR(IF(INDEX(Winter!$1:$1048576,MATCH(All!$A624,Winter!$A:$A,FALSE),MATCH(All!P$1,Winter!$1:$1,FALSE))="","",INDEX(Winter!$1:$1048576,MATCH(All!$A624,Winter!$A:$A,FALSE),MATCH(All!P$1,Winter!$1:$1,FALSE))),"")</f>
        <v>2A</v>
      </c>
      <c r="Q624" t="str">
        <f>IFERROR(IF(INDEX(Winter!$1:$1048576,MATCH(All!$A624,Winter!$A:$A,FALSE),MATCH(All!Q$1,Winter!$1:$1,FALSE))="","",INDEX(Winter!$1:$1048576,MATCH(All!$A624,Winter!$A:$A,FALSE),MATCH(All!Q$1,Winter!$1:$1,FALSE))),"")</f>
        <v>3A</v>
      </c>
      <c r="R624" t="str">
        <f>IFERROR(IF(INDEX(Winter!$1:$1048576,MATCH(All!$A624,Winter!$A:$A,FALSE),MATCH(All!R$1,Winter!$1:$1,FALSE))="","",INDEX(Winter!$1:$1048576,MATCH(All!$A624,Winter!$A:$A,FALSE),MATCH(All!R$1,Winter!$1:$1,FALSE))),"")</f>
        <v/>
      </c>
      <c r="S624" t="str">
        <f>IFERROR(IF(INDEX(Winter!$1:$1048576,MATCH(All!$A624,Winter!$A:$A,FALSE),MATCH(All!S$1,Winter!$1:$1,FALSE))="","",INDEX(Winter!$1:$1048576,MATCH(All!$A624,Winter!$A:$A,FALSE),MATCH(All!S$1,Winter!$1:$1,FALSE))),"")</f>
        <v>1A</v>
      </c>
      <c r="T624" t="str">
        <f>IFERROR(IF(INDEX(Winter!$1:$1048576,MATCH(All!$A624,Winter!$A:$A,FALSE),MATCH(All!T$1,Winter!$1:$1,FALSE))="","",INDEX(Winter!$1:$1048576,MATCH(All!$A624,Winter!$A:$A,FALSE),MATCH(All!T$1,Winter!$1:$1,FALSE))),"")</f>
        <v>2A</v>
      </c>
      <c r="U624" t="str">
        <f>IFERROR(IF(INDEX(Winter!$1:$1048576,MATCH(All!$A624,Winter!$A:$A,FALSE),MATCH(All!U$1,Winter!$1:$1,FALSE))="","",INDEX(Winter!$1:$1048576,MATCH(All!$A624,Winter!$A:$A,FALSE),MATCH(All!U$1,Winter!$1:$1,FALSE))),"")</f>
        <v>1A</v>
      </c>
      <c r="W624" t="str">
        <f>IFERROR(IF(INDEX(Spring!$1:$1048576,MATCH(All!$A624,Spring!$A:$A,FALSE),MATCH(All!W$1,Spring!$1:$1,FALSE))="","",INDEX(Spring!$1:$1048576,MATCH(All!$A624,Spring!$A:$A,FALSE),MATCH(All!W$1,Spring!$1:$1,FALSE))),"")</f>
        <v>399.00 (658.35)</v>
      </c>
      <c r="X624" t="str">
        <f>IFERROR(IF(INDEX(Spring!$1:$1048576,MATCH(All!$A624,Spring!$A:$A,FALSE),MATCH(All!X$1,Spring!$1:$1,FALSE))="","",INDEX(Spring!$1:$1048576,MATCH(All!$A624,Spring!$A:$A,FALSE),MATCH(All!X$1,Spring!$1:$1,FALSE))),"")</f>
        <v>2A</v>
      </c>
      <c r="Y624" t="str">
        <f>IFERROR(IF(INDEX(Spring!$1:$1048576,MATCH(All!$A624,Spring!$A:$A,FALSE),MATCH(All!Y$1,Spring!$1:$1,FALSE))="","",INDEX(Spring!$1:$1048576,MATCH(All!$A624,Spring!$A:$A,FALSE),MATCH(All!Y$1,Spring!$1:$1,FALSE))),"")</f>
        <v>2A</v>
      </c>
      <c r="Z624" t="str">
        <f>IFERROR(IF(INDEX(Spring!$1:$1048576,MATCH(All!$A624,Spring!$A:$A,FALSE),MATCH(All!Z$1,Spring!$1:$1,FALSE))="","",INDEX(Spring!$1:$1048576,MATCH(All!$A624,Spring!$A:$A,FALSE),MATCH(All!Z$1,Spring!$1:$1,FALSE))),"")</f>
        <v>1A</v>
      </c>
      <c r="AA624" t="str">
        <f>IFERROR(IF(INDEX(Spring!$1:$1048576,MATCH(All!$A624,Spring!$A:$A,FALSE),MATCH(All!AA$1,Spring!$1:$1,FALSE))="","",INDEX(Spring!$1:$1048576,MATCH(All!$A624,Spring!$A:$A,FALSE),MATCH(All!AA$1,Spring!$1:$1,FALSE))),"")</f>
        <v>1A</v>
      </c>
      <c r="AB624" t="str">
        <f>IFERROR(IF(INDEX(Spring!$1:$1048576,MATCH(All!$A624,Spring!$A:$A,FALSE),MATCH(All!AB$1,Spring!$1:$1,FALSE))="","",INDEX(Spring!$1:$1048576,MATCH(All!$A624,Spring!$A:$A,FALSE),MATCH(All!AB$1,Spring!$1:$1,FALSE))),"")</f>
        <v/>
      </c>
      <c r="AC624" t="str">
        <f>IFERROR(IF(INDEX(Spring!$1:$1048576,MATCH(All!$A624,Spring!$A:$A,FALSE),MATCH(All!AC$1,Spring!$1:$1,FALSE))="","",INDEX(Spring!$1:$1048576,MATCH(All!$A624,Spring!$A:$A,FALSE),MATCH(All!AC$1,Spring!$1:$1,FALSE))),"")</f>
        <v/>
      </c>
      <c r="AD624" t="str">
        <f>IFERROR(VLOOKUP(A624,'Flag Football'!A:A,1,FALSE),"")</f>
        <v/>
      </c>
      <c r="AE624" t="str">
        <f t="shared" si="9"/>
        <v/>
      </c>
    </row>
    <row r="625" spans="1:31" ht="15.75" thickBot="1" x14ac:dyDescent="0.3">
      <c r="A625" s="20" t="s">
        <v>726</v>
      </c>
      <c r="B625" s="38">
        <f>IFERROR(VLOOKUP(A625,'Public v Private'!A:G,3,FALSE),"")</f>
        <v>0</v>
      </c>
      <c r="C625" s="38">
        <f>IFERROR(VLOOKUP(A625,'Public v Private'!A:G,4,FALSE),"")</f>
        <v>0</v>
      </c>
      <c r="D625" s="38">
        <f>IFERROR(VLOOKUP(A625,'Public v Private'!A:G,5,FALSE),"")</f>
        <v>0</v>
      </c>
      <c r="E625" s="38"/>
      <c r="F625" s="40">
        <f>IFERROR(INDEX(Fall!$1:$1048576,MATCH(All!$A625,Fall!$A:$A,FALSE),MATCH(All!F$1,Fall!$1:$1,FALSE)),"N/A")</f>
        <v>1743</v>
      </c>
      <c r="G625" t="str">
        <f>IFERROR(IF(INDEX(Fall!$1:$1048576,MATCH(All!$A625,Fall!$A:$A,FALSE),MATCH(All!G$1,Fall!$1:$1,FALSE))="","",INDEX(Fall!$1:$1048576,MATCH(All!$A625,Fall!$A:$A,FALSE),MATCH(All!G$1,Fall!$1:$1,FALSE))),"")</f>
        <v>3A</v>
      </c>
      <c r="H625" t="str">
        <f>IFERROR(IF(INDEX(Fall!$1:$1048576,MATCH(All!$A625,Fall!$A:$A,FALSE),MATCH(All!H$1,Fall!$1:$1,FALSE))="","",INDEX(Fall!$1:$1048576,MATCH(All!$A625,Fall!$A:$A,FALSE),MATCH(All!H$1,Fall!$1:$1,FALSE))),"")</f>
        <v>3A</v>
      </c>
      <c r="I625" t="str">
        <f>IFERROR(IF(INDEX(Fall!$1:$1048576,MATCH(All!$A625,Fall!$A:$A,FALSE),MATCH(All!I$1,Fall!$1:$1,FALSE))="","",INDEX(Fall!$1:$1048576,MATCH(All!$A625,Fall!$A:$A,FALSE),MATCH(All!I$1,Fall!$1:$1,FALSE))),"")</f>
        <v>3A</v>
      </c>
      <c r="J625" t="str">
        <f>IFERROR(IF(INDEX(Fall!$1:$1048576,MATCH(All!$A625,Fall!$A:$A,FALSE),MATCH(All!J$1,Fall!$1:$1,FALSE))="","",INDEX(Fall!$1:$1048576,MATCH(All!$A625,Fall!$A:$A,FALSE),MATCH(All!J$1,Fall!$1:$1,FALSE))),"")</f>
        <v>2A</v>
      </c>
      <c r="K625" t="str">
        <f>IFERROR(IF(INDEX(Fall!$1:$1048576,MATCH(All!$A625,Fall!$A:$A,FALSE),MATCH(All!K$1,Fall!$1:$1,FALSE))="","",INDEX(Fall!$1:$1048576,MATCH(All!$A625,Fall!$A:$A,FALSE),MATCH(All!K$1,Fall!$1:$1,FALSE))),"")</f>
        <v>3A</v>
      </c>
      <c r="L625" t="str">
        <f>IFERROR(IF(INDEX(Fall!$1:$1048576,MATCH(All!$A625,Fall!$A:$A,FALSE),MATCH(All!L$1,Fall!$1:$1,FALSE))="","",INDEX(Fall!$1:$1048576,MATCH(All!$A625,Fall!$A:$A,FALSE),MATCH(All!L$1,Fall!$1:$1,FALSE))),"")</f>
        <v>2A</v>
      </c>
      <c r="M625" t="str">
        <f>IFERROR(IF(INDEX(Fall!$1:$1048576,MATCH(All!$A625,Fall!$A:$A,FALSE),MATCH(All!M$1,Fall!$1:$1,FALSE))="","",INDEX(Fall!$1:$1048576,MATCH(All!$A625,Fall!$A:$A,FALSE),MATCH(All!M$1,Fall!$1:$1,FALSE))),"")</f>
        <v>4A</v>
      </c>
      <c r="O625">
        <f>IFERROR(IF(INDEX(Winter!$1:$1048576,MATCH(All!$A625,Winter!$A:$A,FALSE),MATCH(All!O$1,Winter!$1:$1,FALSE))="","",INDEX(Winter!$1:$1048576,MATCH(All!$A625,Winter!$A:$A,FALSE),MATCH(All!O$1,Winter!$1:$1,FALSE))),"")</f>
        <v>1743</v>
      </c>
      <c r="P625" t="str">
        <f>IFERROR(IF(INDEX(Winter!$1:$1048576,MATCH(All!$A625,Winter!$A:$A,FALSE),MATCH(All!P$1,Winter!$1:$1,FALSE))="","",INDEX(Winter!$1:$1048576,MATCH(All!$A625,Winter!$A:$A,FALSE),MATCH(All!P$1,Winter!$1:$1,FALSE))),"")</f>
        <v>4A</v>
      </c>
      <c r="Q625" t="str">
        <f>IFERROR(IF(INDEX(Winter!$1:$1048576,MATCH(All!$A625,Winter!$A:$A,FALSE),MATCH(All!Q$1,Winter!$1:$1,FALSE))="","",INDEX(Winter!$1:$1048576,MATCH(All!$A625,Winter!$A:$A,FALSE),MATCH(All!Q$1,Winter!$1:$1,FALSE))),"")</f>
        <v>4A</v>
      </c>
      <c r="R625" t="str">
        <f>IFERROR(IF(INDEX(Winter!$1:$1048576,MATCH(All!$A625,Winter!$A:$A,FALSE),MATCH(All!R$1,Winter!$1:$1,FALSE))="","",INDEX(Winter!$1:$1048576,MATCH(All!$A625,Winter!$A:$A,FALSE),MATCH(All!R$1,Winter!$1:$1,FALSE))),"")</f>
        <v/>
      </c>
      <c r="S625" t="str">
        <f>IFERROR(IF(INDEX(Winter!$1:$1048576,MATCH(All!$A625,Winter!$A:$A,FALSE),MATCH(All!S$1,Winter!$1:$1,FALSE))="","",INDEX(Winter!$1:$1048576,MATCH(All!$A625,Winter!$A:$A,FALSE),MATCH(All!S$1,Winter!$1:$1,FALSE))),"")</f>
        <v>2A</v>
      </c>
      <c r="T625" t="str">
        <f>IFERROR(IF(INDEX(Winter!$1:$1048576,MATCH(All!$A625,Winter!$A:$A,FALSE),MATCH(All!T$1,Winter!$1:$1,FALSE))="","",INDEX(Winter!$1:$1048576,MATCH(All!$A625,Winter!$A:$A,FALSE),MATCH(All!T$1,Winter!$1:$1,FALSE))),"")</f>
        <v>2A</v>
      </c>
      <c r="U625" t="str">
        <f>IFERROR(IF(INDEX(Winter!$1:$1048576,MATCH(All!$A625,Winter!$A:$A,FALSE),MATCH(All!U$1,Winter!$1:$1,FALSE))="","",INDEX(Winter!$1:$1048576,MATCH(All!$A625,Winter!$A:$A,FALSE),MATCH(All!U$1,Winter!$1:$1,FALSE))),"")</f>
        <v>3A</v>
      </c>
      <c r="W625">
        <f>IFERROR(IF(INDEX(Spring!$1:$1048576,MATCH(All!$A625,Spring!$A:$A,FALSE),MATCH(All!W$1,Spring!$1:$1,FALSE))="","",INDEX(Spring!$1:$1048576,MATCH(All!$A625,Spring!$A:$A,FALSE),MATCH(All!W$1,Spring!$1:$1,FALSE))),"")</f>
        <v>1743</v>
      </c>
      <c r="X625" t="str">
        <f>IFERROR(IF(INDEX(Spring!$1:$1048576,MATCH(All!$A625,Spring!$A:$A,FALSE),MATCH(All!X$1,Spring!$1:$1,FALSE))="","",INDEX(Spring!$1:$1048576,MATCH(All!$A625,Spring!$A:$A,FALSE),MATCH(All!X$1,Spring!$1:$1,FALSE))),"")</f>
        <v>4A</v>
      </c>
      <c r="Y625" t="str">
        <f>IFERROR(IF(INDEX(Spring!$1:$1048576,MATCH(All!$A625,Spring!$A:$A,FALSE),MATCH(All!Y$1,Spring!$1:$1,FALSE))="","",INDEX(Spring!$1:$1048576,MATCH(All!$A625,Spring!$A:$A,FALSE),MATCH(All!Y$1,Spring!$1:$1,FALSE))),"")</f>
        <v>4A</v>
      </c>
      <c r="Z625" t="str">
        <f>IFERROR(IF(INDEX(Spring!$1:$1048576,MATCH(All!$A625,Spring!$A:$A,FALSE),MATCH(All!Z$1,Spring!$1:$1,FALSE))="","",INDEX(Spring!$1:$1048576,MATCH(All!$A625,Spring!$A:$A,FALSE),MATCH(All!Z$1,Spring!$1:$1,FALSE))),"")</f>
        <v>2A</v>
      </c>
      <c r="AA625" t="str">
        <f>IFERROR(IF(INDEX(Spring!$1:$1048576,MATCH(All!$A625,Spring!$A:$A,FALSE),MATCH(All!AA$1,Spring!$1:$1,FALSE))="","",INDEX(Spring!$1:$1048576,MATCH(All!$A625,Spring!$A:$A,FALSE),MATCH(All!AA$1,Spring!$1:$1,FALSE))),"")</f>
        <v>2A</v>
      </c>
      <c r="AB625" t="str">
        <f>IFERROR(IF(INDEX(Spring!$1:$1048576,MATCH(All!$A625,Spring!$A:$A,FALSE),MATCH(All!AB$1,Spring!$1:$1,FALSE))="","",INDEX(Spring!$1:$1048576,MATCH(All!$A625,Spring!$A:$A,FALSE),MATCH(All!AB$1,Spring!$1:$1,FALSE))),"")</f>
        <v>3A</v>
      </c>
      <c r="AC625" t="str">
        <f>IFERROR(IF(INDEX(Spring!$1:$1048576,MATCH(All!$A625,Spring!$A:$A,FALSE),MATCH(All!AC$1,Spring!$1:$1,FALSE))="","",INDEX(Spring!$1:$1048576,MATCH(All!$A625,Spring!$A:$A,FALSE),MATCH(All!AC$1,Spring!$1:$1,FALSE))),"")</f>
        <v>3A</v>
      </c>
      <c r="AD625" t="str">
        <f>IFERROR(VLOOKUP(A625,'Flag Football'!A:A,1,FALSE),"")</f>
        <v/>
      </c>
      <c r="AE625" t="str">
        <f t="shared" si="9"/>
        <v/>
      </c>
    </row>
    <row r="626" spans="1:31" ht="15.75" thickBot="1" x14ac:dyDescent="0.3">
      <c r="A626" s="18" t="s">
        <v>727</v>
      </c>
      <c r="B626" s="38">
        <f>IFERROR(VLOOKUP(A626,'Public v Private'!A:G,3,FALSE),"")</f>
        <v>0</v>
      </c>
      <c r="C626" s="38">
        <f>IFERROR(VLOOKUP(A626,'Public v Private'!A:G,4,FALSE),"")</f>
        <v>0</v>
      </c>
      <c r="D626" s="38">
        <f>IFERROR(VLOOKUP(A626,'Public v Private'!A:G,5,FALSE),"")</f>
        <v>0</v>
      </c>
      <c r="E626" s="38"/>
      <c r="F626" s="40">
        <f>IFERROR(INDEX(Fall!$1:$1048576,MATCH(All!$A626,Fall!$A:$A,FALSE),MATCH(All!F$1,Fall!$1:$1,FALSE)),"N/A")</f>
        <v>96</v>
      </c>
      <c r="G626" t="str">
        <f>IFERROR(IF(INDEX(Fall!$1:$1048576,MATCH(All!$A626,Fall!$A:$A,FALSE),MATCH(All!G$1,Fall!$1:$1,FALSE))="","",INDEX(Fall!$1:$1048576,MATCH(All!$A626,Fall!$A:$A,FALSE),MATCH(All!G$1,Fall!$1:$1,FALSE))),"")</f>
        <v/>
      </c>
      <c r="H626" t="str">
        <f>IFERROR(IF(INDEX(Fall!$1:$1048576,MATCH(All!$A626,Fall!$A:$A,FALSE),MATCH(All!H$1,Fall!$1:$1,FALSE))="","",INDEX(Fall!$1:$1048576,MATCH(All!$A626,Fall!$A:$A,FALSE),MATCH(All!H$1,Fall!$1:$1,FALSE))),"")</f>
        <v/>
      </c>
      <c r="I626" t="str">
        <f>IFERROR(IF(INDEX(Fall!$1:$1048576,MATCH(All!$A626,Fall!$A:$A,FALSE),MATCH(All!I$1,Fall!$1:$1,FALSE))="","",INDEX(Fall!$1:$1048576,MATCH(All!$A626,Fall!$A:$A,FALSE),MATCH(All!I$1,Fall!$1:$1,FALSE))),"")</f>
        <v>1A</v>
      </c>
      <c r="J626" t="str">
        <f>IFERROR(IF(INDEX(Fall!$1:$1048576,MATCH(All!$A626,Fall!$A:$A,FALSE),MATCH(All!J$1,Fall!$1:$1,FALSE))="","",INDEX(Fall!$1:$1048576,MATCH(All!$A626,Fall!$A:$A,FALSE),MATCH(All!J$1,Fall!$1:$1,FALSE))),"")</f>
        <v>1A</v>
      </c>
      <c r="K626" t="str">
        <f>IFERROR(IF(INDEX(Fall!$1:$1048576,MATCH(All!$A626,Fall!$A:$A,FALSE),MATCH(All!K$1,Fall!$1:$1,FALSE))="","",INDEX(Fall!$1:$1048576,MATCH(All!$A626,Fall!$A:$A,FALSE),MATCH(All!K$1,Fall!$1:$1,FALSE))),"")</f>
        <v/>
      </c>
      <c r="L626" t="str">
        <f>IFERROR(IF(INDEX(Fall!$1:$1048576,MATCH(All!$A626,Fall!$A:$A,FALSE),MATCH(All!L$1,Fall!$1:$1,FALSE))="","",INDEX(Fall!$1:$1048576,MATCH(All!$A626,Fall!$A:$A,FALSE),MATCH(All!L$1,Fall!$1:$1,FALSE))),"")</f>
        <v/>
      </c>
      <c r="M626" t="str">
        <f>IFERROR(IF(INDEX(Fall!$1:$1048576,MATCH(All!$A626,Fall!$A:$A,FALSE),MATCH(All!M$1,Fall!$1:$1,FALSE))="","",INDEX(Fall!$1:$1048576,MATCH(All!$A626,Fall!$A:$A,FALSE),MATCH(All!M$1,Fall!$1:$1,FALSE))),"")</f>
        <v>1A</v>
      </c>
      <c r="O626">
        <f>IFERROR(IF(INDEX(Winter!$1:$1048576,MATCH(All!$A626,Winter!$A:$A,FALSE),MATCH(All!O$1,Winter!$1:$1,FALSE))="","",INDEX(Winter!$1:$1048576,MATCH(All!$A626,Winter!$A:$A,FALSE),MATCH(All!O$1,Winter!$1:$1,FALSE))),"")</f>
        <v>96</v>
      </c>
      <c r="P626" t="str">
        <f>IFERROR(IF(INDEX(Winter!$1:$1048576,MATCH(All!$A626,Winter!$A:$A,FALSE),MATCH(All!P$1,Winter!$1:$1,FALSE))="","",INDEX(Winter!$1:$1048576,MATCH(All!$A626,Winter!$A:$A,FALSE),MATCH(All!P$1,Winter!$1:$1,FALSE))),"")</f>
        <v>1A</v>
      </c>
      <c r="Q626" t="str">
        <f>IFERROR(IF(INDEX(Winter!$1:$1048576,MATCH(All!$A626,Winter!$A:$A,FALSE),MATCH(All!Q$1,Winter!$1:$1,FALSE))="","",INDEX(Winter!$1:$1048576,MATCH(All!$A626,Winter!$A:$A,FALSE),MATCH(All!Q$1,Winter!$1:$1,FALSE))),"")</f>
        <v>1A</v>
      </c>
      <c r="R626" t="str">
        <f>IFERROR(IF(INDEX(Winter!$1:$1048576,MATCH(All!$A626,Winter!$A:$A,FALSE),MATCH(All!R$1,Winter!$1:$1,FALSE))="","",INDEX(Winter!$1:$1048576,MATCH(All!$A626,Winter!$A:$A,FALSE),MATCH(All!R$1,Winter!$1:$1,FALSE))),"")</f>
        <v/>
      </c>
      <c r="S626" t="str">
        <f>IFERROR(IF(INDEX(Winter!$1:$1048576,MATCH(All!$A626,Winter!$A:$A,FALSE),MATCH(All!S$1,Winter!$1:$1,FALSE))="","",INDEX(Winter!$1:$1048576,MATCH(All!$A626,Winter!$A:$A,FALSE),MATCH(All!S$1,Winter!$1:$1,FALSE))),"")</f>
        <v/>
      </c>
      <c r="T626" t="str">
        <f>IFERROR(IF(INDEX(Winter!$1:$1048576,MATCH(All!$A626,Winter!$A:$A,FALSE),MATCH(All!T$1,Winter!$1:$1,FALSE))="","",INDEX(Winter!$1:$1048576,MATCH(All!$A626,Winter!$A:$A,FALSE),MATCH(All!T$1,Winter!$1:$1,FALSE))),"")</f>
        <v>1A</v>
      </c>
      <c r="U626" t="str">
        <f>IFERROR(IF(INDEX(Winter!$1:$1048576,MATCH(All!$A626,Winter!$A:$A,FALSE),MATCH(All!U$1,Winter!$1:$1,FALSE))="","",INDEX(Winter!$1:$1048576,MATCH(All!$A626,Winter!$A:$A,FALSE),MATCH(All!U$1,Winter!$1:$1,FALSE))),"")</f>
        <v/>
      </c>
      <c r="W626">
        <f>IFERROR(IF(INDEX(Spring!$1:$1048576,MATCH(All!$A626,Spring!$A:$A,FALSE),MATCH(All!W$1,Spring!$1:$1,FALSE))="","",INDEX(Spring!$1:$1048576,MATCH(All!$A626,Spring!$A:$A,FALSE),MATCH(All!W$1,Spring!$1:$1,FALSE))),"")</f>
        <v>96</v>
      </c>
      <c r="X626" t="str">
        <f>IFERROR(IF(INDEX(Spring!$1:$1048576,MATCH(All!$A626,Spring!$A:$A,FALSE),MATCH(All!X$1,Spring!$1:$1,FALSE))="","",INDEX(Spring!$1:$1048576,MATCH(All!$A626,Spring!$A:$A,FALSE),MATCH(All!X$1,Spring!$1:$1,FALSE))),"")</f>
        <v>1A</v>
      </c>
      <c r="Y626" t="str">
        <f>IFERROR(IF(INDEX(Spring!$1:$1048576,MATCH(All!$A626,Spring!$A:$A,FALSE),MATCH(All!Y$1,Spring!$1:$1,FALSE))="","",INDEX(Spring!$1:$1048576,MATCH(All!$A626,Spring!$A:$A,FALSE),MATCH(All!Y$1,Spring!$1:$1,FALSE))),"")</f>
        <v>1A</v>
      </c>
      <c r="Z626" t="str">
        <f>IFERROR(IF(INDEX(Spring!$1:$1048576,MATCH(All!$A626,Spring!$A:$A,FALSE),MATCH(All!Z$1,Spring!$1:$1,FALSE))="","",INDEX(Spring!$1:$1048576,MATCH(All!$A626,Spring!$A:$A,FALSE),MATCH(All!Z$1,Spring!$1:$1,FALSE))),"")</f>
        <v/>
      </c>
      <c r="AA626" t="str">
        <f>IFERROR(IF(INDEX(Spring!$1:$1048576,MATCH(All!$A626,Spring!$A:$A,FALSE),MATCH(All!AA$1,Spring!$1:$1,FALSE))="","",INDEX(Spring!$1:$1048576,MATCH(All!$A626,Spring!$A:$A,FALSE),MATCH(All!AA$1,Spring!$1:$1,FALSE))),"")</f>
        <v/>
      </c>
      <c r="AB626" t="str">
        <f>IFERROR(IF(INDEX(Spring!$1:$1048576,MATCH(All!$A626,Spring!$A:$A,FALSE),MATCH(All!AB$1,Spring!$1:$1,FALSE))="","",INDEX(Spring!$1:$1048576,MATCH(All!$A626,Spring!$A:$A,FALSE),MATCH(All!AB$1,Spring!$1:$1,FALSE))),"")</f>
        <v/>
      </c>
      <c r="AC626" t="str">
        <f>IFERROR(IF(INDEX(Spring!$1:$1048576,MATCH(All!$A626,Spring!$A:$A,FALSE),MATCH(All!AC$1,Spring!$1:$1,FALSE))="","",INDEX(Spring!$1:$1048576,MATCH(All!$A626,Spring!$A:$A,FALSE),MATCH(All!AC$1,Spring!$1:$1,FALSE))),"")</f>
        <v/>
      </c>
      <c r="AD626" t="str">
        <f>IFERROR(VLOOKUP(A626,'Flag Football'!A:A,1,FALSE),"")</f>
        <v/>
      </c>
      <c r="AE626" t="str">
        <f t="shared" si="9"/>
        <v/>
      </c>
    </row>
    <row r="627" spans="1:31" ht="15.75" thickBot="1" x14ac:dyDescent="0.3">
      <c r="A627" s="20" t="s">
        <v>728</v>
      </c>
      <c r="B627" s="38">
        <f>IFERROR(VLOOKUP(A627,'Public v Private'!A:G,3,FALSE),"")</f>
        <v>0</v>
      </c>
      <c r="C627" s="38">
        <f>IFERROR(VLOOKUP(A627,'Public v Private'!A:G,4,FALSE),"")</f>
        <v>0</v>
      </c>
      <c r="D627" s="38">
        <f>IFERROR(VLOOKUP(A627,'Public v Private'!A:G,5,FALSE),"")</f>
        <v>0</v>
      </c>
      <c r="E627" s="38"/>
      <c r="F627" s="40">
        <f>IFERROR(INDEX(Fall!$1:$1048576,MATCH(All!$A627,Fall!$A:$A,FALSE),MATCH(All!F$1,Fall!$1:$1,FALSE)),"N/A")</f>
        <v>880</v>
      </c>
      <c r="G627" t="str">
        <f>IFERROR(IF(INDEX(Fall!$1:$1048576,MATCH(All!$A627,Fall!$A:$A,FALSE),MATCH(All!G$1,Fall!$1:$1,FALSE))="","",INDEX(Fall!$1:$1048576,MATCH(All!$A627,Fall!$A:$A,FALSE),MATCH(All!G$1,Fall!$1:$1,FALSE))),"")</f>
        <v>2A</v>
      </c>
      <c r="H627" t="str">
        <f>IFERROR(IF(INDEX(Fall!$1:$1048576,MATCH(All!$A627,Fall!$A:$A,FALSE),MATCH(All!H$1,Fall!$1:$1,FALSE))="","",INDEX(Fall!$1:$1048576,MATCH(All!$A627,Fall!$A:$A,FALSE),MATCH(All!H$1,Fall!$1:$1,FALSE))),"")</f>
        <v>2A</v>
      </c>
      <c r="I627" t="str">
        <f>IFERROR(IF(INDEX(Fall!$1:$1048576,MATCH(All!$A627,Fall!$A:$A,FALSE),MATCH(All!I$1,Fall!$1:$1,FALSE))="","",INDEX(Fall!$1:$1048576,MATCH(All!$A627,Fall!$A:$A,FALSE),MATCH(All!I$1,Fall!$1:$1,FALSE))),"")</f>
        <v>2A</v>
      </c>
      <c r="J627" t="str">
        <f>IFERROR(IF(INDEX(Fall!$1:$1048576,MATCH(All!$A627,Fall!$A:$A,FALSE),MATCH(All!J$1,Fall!$1:$1,FALSE))="","",INDEX(Fall!$1:$1048576,MATCH(All!$A627,Fall!$A:$A,FALSE),MATCH(All!J$1,Fall!$1:$1,FALSE))),"")</f>
        <v>2A</v>
      </c>
      <c r="K627" t="str">
        <f>IFERROR(IF(INDEX(Fall!$1:$1048576,MATCH(All!$A627,Fall!$A:$A,FALSE),MATCH(All!K$1,Fall!$1:$1,FALSE))="","",INDEX(Fall!$1:$1048576,MATCH(All!$A627,Fall!$A:$A,FALSE),MATCH(All!K$1,Fall!$1:$1,FALSE))),"")</f>
        <v>2A</v>
      </c>
      <c r="L627" t="str">
        <f>IFERROR(IF(INDEX(Fall!$1:$1048576,MATCH(All!$A627,Fall!$A:$A,FALSE),MATCH(All!L$1,Fall!$1:$1,FALSE))="","",INDEX(Fall!$1:$1048576,MATCH(All!$A627,Fall!$A:$A,FALSE),MATCH(All!L$1,Fall!$1:$1,FALSE))),"")</f>
        <v/>
      </c>
      <c r="M627" t="str">
        <f>IFERROR(IF(INDEX(Fall!$1:$1048576,MATCH(All!$A627,Fall!$A:$A,FALSE),MATCH(All!M$1,Fall!$1:$1,FALSE))="","",INDEX(Fall!$1:$1048576,MATCH(All!$A627,Fall!$A:$A,FALSE),MATCH(All!M$1,Fall!$1:$1,FALSE))),"")</f>
        <v>3A</v>
      </c>
      <c r="O627">
        <f>IFERROR(IF(INDEX(Winter!$1:$1048576,MATCH(All!$A627,Winter!$A:$A,FALSE),MATCH(All!O$1,Winter!$1:$1,FALSE))="","",INDEX(Winter!$1:$1048576,MATCH(All!$A627,Winter!$A:$A,FALSE),MATCH(All!O$1,Winter!$1:$1,FALSE))),"")</f>
        <v>880</v>
      </c>
      <c r="P627" t="str">
        <f>IFERROR(IF(INDEX(Winter!$1:$1048576,MATCH(All!$A627,Winter!$A:$A,FALSE),MATCH(All!P$1,Winter!$1:$1,FALSE))="","",INDEX(Winter!$1:$1048576,MATCH(All!$A627,Winter!$A:$A,FALSE),MATCH(All!P$1,Winter!$1:$1,FALSE))),"")</f>
        <v>3A</v>
      </c>
      <c r="Q627" t="str">
        <f>IFERROR(IF(INDEX(Winter!$1:$1048576,MATCH(All!$A627,Winter!$A:$A,FALSE),MATCH(All!Q$1,Winter!$1:$1,FALSE))="","",INDEX(Winter!$1:$1048576,MATCH(All!$A627,Winter!$A:$A,FALSE),MATCH(All!Q$1,Winter!$1:$1,FALSE))),"")</f>
        <v>3A</v>
      </c>
      <c r="R627" t="str">
        <f>IFERROR(IF(INDEX(Winter!$1:$1048576,MATCH(All!$A627,Winter!$A:$A,FALSE),MATCH(All!R$1,Winter!$1:$1,FALSE))="","",INDEX(Winter!$1:$1048576,MATCH(All!$A627,Winter!$A:$A,FALSE),MATCH(All!R$1,Winter!$1:$1,FALSE))),"")</f>
        <v>2A</v>
      </c>
      <c r="S627" t="str">
        <f>IFERROR(IF(INDEX(Winter!$1:$1048576,MATCH(All!$A627,Winter!$A:$A,FALSE),MATCH(All!S$1,Winter!$1:$1,FALSE))="","",INDEX(Winter!$1:$1048576,MATCH(All!$A627,Winter!$A:$A,FALSE),MATCH(All!S$1,Winter!$1:$1,FALSE))),"")</f>
        <v>1A</v>
      </c>
      <c r="T627" t="str">
        <f>IFERROR(IF(INDEX(Winter!$1:$1048576,MATCH(All!$A627,Winter!$A:$A,FALSE),MATCH(All!T$1,Winter!$1:$1,FALSE))="","",INDEX(Winter!$1:$1048576,MATCH(All!$A627,Winter!$A:$A,FALSE),MATCH(All!T$1,Winter!$1:$1,FALSE))),"")</f>
        <v>2A</v>
      </c>
      <c r="U627" t="str">
        <f>IFERROR(IF(INDEX(Winter!$1:$1048576,MATCH(All!$A627,Winter!$A:$A,FALSE),MATCH(All!U$1,Winter!$1:$1,FALSE))="","",INDEX(Winter!$1:$1048576,MATCH(All!$A627,Winter!$A:$A,FALSE),MATCH(All!U$1,Winter!$1:$1,FALSE))),"")</f>
        <v>2A</v>
      </c>
      <c r="W627">
        <f>IFERROR(IF(INDEX(Spring!$1:$1048576,MATCH(All!$A627,Spring!$A:$A,FALSE),MATCH(All!W$1,Spring!$1:$1,FALSE))="","",INDEX(Spring!$1:$1048576,MATCH(All!$A627,Spring!$A:$A,FALSE),MATCH(All!W$1,Spring!$1:$1,FALSE))),"")</f>
        <v>880</v>
      </c>
      <c r="X627" t="str">
        <f>IFERROR(IF(INDEX(Spring!$1:$1048576,MATCH(All!$A627,Spring!$A:$A,FALSE),MATCH(All!X$1,Spring!$1:$1,FALSE))="","",INDEX(Spring!$1:$1048576,MATCH(All!$A627,Spring!$A:$A,FALSE),MATCH(All!X$1,Spring!$1:$1,FALSE))),"")</f>
        <v>3A</v>
      </c>
      <c r="Y627" t="str">
        <f>IFERROR(IF(INDEX(Spring!$1:$1048576,MATCH(All!$A627,Spring!$A:$A,FALSE),MATCH(All!Y$1,Spring!$1:$1,FALSE))="","",INDEX(Spring!$1:$1048576,MATCH(All!$A627,Spring!$A:$A,FALSE),MATCH(All!Y$1,Spring!$1:$1,FALSE))),"")</f>
        <v>3A</v>
      </c>
      <c r="Z627" t="str">
        <f>IFERROR(IF(INDEX(Spring!$1:$1048576,MATCH(All!$A627,Spring!$A:$A,FALSE),MATCH(All!Z$1,Spring!$1:$1,FALSE))="","",INDEX(Spring!$1:$1048576,MATCH(All!$A627,Spring!$A:$A,FALSE),MATCH(All!Z$1,Spring!$1:$1,FALSE))),"")</f>
        <v>2A</v>
      </c>
      <c r="AA627" t="str">
        <f>IFERROR(IF(INDEX(Spring!$1:$1048576,MATCH(All!$A627,Spring!$A:$A,FALSE),MATCH(All!AA$1,Spring!$1:$1,FALSE))="","",INDEX(Spring!$1:$1048576,MATCH(All!$A627,Spring!$A:$A,FALSE),MATCH(All!AA$1,Spring!$1:$1,FALSE))),"")</f>
        <v/>
      </c>
      <c r="AB627" t="str">
        <f>IFERROR(IF(INDEX(Spring!$1:$1048576,MATCH(All!$A627,Spring!$A:$A,FALSE),MATCH(All!AB$1,Spring!$1:$1,FALSE))="","",INDEX(Spring!$1:$1048576,MATCH(All!$A627,Spring!$A:$A,FALSE),MATCH(All!AB$1,Spring!$1:$1,FALSE))),"")</f>
        <v>2A</v>
      </c>
      <c r="AC627" t="str">
        <f>IFERROR(IF(INDEX(Spring!$1:$1048576,MATCH(All!$A627,Spring!$A:$A,FALSE),MATCH(All!AC$1,Spring!$1:$1,FALSE))="","",INDEX(Spring!$1:$1048576,MATCH(All!$A627,Spring!$A:$A,FALSE),MATCH(All!AC$1,Spring!$1:$1,FALSE))),"")</f>
        <v>2A</v>
      </c>
      <c r="AD627" t="str">
        <f>IFERROR(VLOOKUP(A627,'Flag Football'!A:A,1,FALSE),"")</f>
        <v/>
      </c>
      <c r="AE627" t="str">
        <f t="shared" si="9"/>
        <v/>
      </c>
    </row>
    <row r="628" spans="1:31" ht="15.75" thickBot="1" x14ac:dyDescent="0.3">
      <c r="A628" s="18" t="s">
        <v>729</v>
      </c>
      <c r="B628" s="38">
        <f>IFERROR(VLOOKUP(A628,'Public v Private'!A:G,3,FALSE),"")</f>
        <v>0</v>
      </c>
      <c r="C628" s="38">
        <f>IFERROR(VLOOKUP(A628,'Public v Private'!A:G,4,FALSE),"")</f>
        <v>0</v>
      </c>
      <c r="D628" s="38">
        <f>IFERROR(VLOOKUP(A628,'Public v Private'!A:G,5,FALSE),"")</f>
        <v>0</v>
      </c>
      <c r="E628" s="38"/>
      <c r="F628" s="40">
        <f>IFERROR(INDEX(Fall!$1:$1048576,MATCH(All!$A628,Fall!$A:$A,FALSE),MATCH(All!F$1,Fall!$1:$1,FALSE)),"N/A")</f>
        <v>155</v>
      </c>
      <c r="G628" t="str">
        <f>IFERROR(IF(INDEX(Fall!$1:$1048576,MATCH(All!$A628,Fall!$A:$A,FALSE),MATCH(All!G$1,Fall!$1:$1,FALSE))="","",INDEX(Fall!$1:$1048576,MATCH(All!$A628,Fall!$A:$A,FALSE),MATCH(All!G$1,Fall!$1:$1,FALSE))),"")</f>
        <v/>
      </c>
      <c r="H628" t="str">
        <f>IFERROR(IF(INDEX(Fall!$1:$1048576,MATCH(All!$A628,Fall!$A:$A,FALSE),MATCH(All!H$1,Fall!$1:$1,FALSE))="","",INDEX(Fall!$1:$1048576,MATCH(All!$A628,Fall!$A:$A,FALSE),MATCH(All!H$1,Fall!$1:$1,FALSE))),"")</f>
        <v/>
      </c>
      <c r="I628" t="str">
        <f>IFERROR(IF(INDEX(Fall!$1:$1048576,MATCH(All!$A628,Fall!$A:$A,FALSE),MATCH(All!I$1,Fall!$1:$1,FALSE))="","",INDEX(Fall!$1:$1048576,MATCH(All!$A628,Fall!$A:$A,FALSE),MATCH(All!I$1,Fall!$1:$1,FALSE))),"")</f>
        <v>1A</v>
      </c>
      <c r="J628" t="str">
        <f>IFERROR(IF(INDEX(Fall!$1:$1048576,MATCH(All!$A628,Fall!$A:$A,FALSE),MATCH(All!J$1,Fall!$1:$1,FALSE))="","",INDEX(Fall!$1:$1048576,MATCH(All!$A628,Fall!$A:$A,FALSE),MATCH(All!J$1,Fall!$1:$1,FALSE))),"")</f>
        <v>1A</v>
      </c>
      <c r="K628" t="str">
        <f>IFERROR(IF(INDEX(Fall!$1:$1048576,MATCH(All!$A628,Fall!$A:$A,FALSE),MATCH(All!K$1,Fall!$1:$1,FALSE))="","",INDEX(Fall!$1:$1048576,MATCH(All!$A628,Fall!$A:$A,FALSE),MATCH(All!K$1,Fall!$1:$1,FALSE))),"")</f>
        <v>1A</v>
      </c>
      <c r="L628" t="str">
        <f>IFERROR(IF(INDEX(Fall!$1:$1048576,MATCH(All!$A628,Fall!$A:$A,FALSE),MATCH(All!L$1,Fall!$1:$1,FALSE))="","",INDEX(Fall!$1:$1048576,MATCH(All!$A628,Fall!$A:$A,FALSE),MATCH(All!L$1,Fall!$1:$1,FALSE))),"")</f>
        <v/>
      </c>
      <c r="M628" t="str">
        <f>IFERROR(IF(INDEX(Fall!$1:$1048576,MATCH(All!$A628,Fall!$A:$A,FALSE),MATCH(All!M$1,Fall!$1:$1,FALSE))="","",INDEX(Fall!$1:$1048576,MATCH(All!$A628,Fall!$A:$A,FALSE),MATCH(All!M$1,Fall!$1:$1,FALSE))),"")</f>
        <v>1A</v>
      </c>
      <c r="O628">
        <f>IFERROR(IF(INDEX(Winter!$1:$1048576,MATCH(All!$A628,Winter!$A:$A,FALSE),MATCH(All!O$1,Winter!$1:$1,FALSE))="","",INDEX(Winter!$1:$1048576,MATCH(All!$A628,Winter!$A:$A,FALSE),MATCH(All!O$1,Winter!$1:$1,FALSE))),"")</f>
        <v>155</v>
      </c>
      <c r="P628" t="str">
        <f>IFERROR(IF(INDEX(Winter!$1:$1048576,MATCH(All!$A628,Winter!$A:$A,FALSE),MATCH(All!P$1,Winter!$1:$1,FALSE))="","",INDEX(Winter!$1:$1048576,MATCH(All!$A628,Winter!$A:$A,FALSE),MATCH(All!P$1,Winter!$1:$1,FALSE))),"")</f>
        <v>1A</v>
      </c>
      <c r="Q628" t="str">
        <f>IFERROR(IF(INDEX(Winter!$1:$1048576,MATCH(All!$A628,Winter!$A:$A,FALSE),MATCH(All!Q$1,Winter!$1:$1,FALSE))="","",INDEX(Winter!$1:$1048576,MATCH(All!$A628,Winter!$A:$A,FALSE),MATCH(All!Q$1,Winter!$1:$1,FALSE))),"")</f>
        <v>1A</v>
      </c>
      <c r="R628" t="str">
        <f>IFERROR(IF(INDEX(Winter!$1:$1048576,MATCH(All!$A628,Winter!$A:$A,FALSE),MATCH(All!R$1,Winter!$1:$1,FALSE))="","",INDEX(Winter!$1:$1048576,MATCH(All!$A628,Winter!$A:$A,FALSE),MATCH(All!R$1,Winter!$1:$1,FALSE))),"")</f>
        <v/>
      </c>
      <c r="S628" t="str">
        <f>IFERROR(IF(INDEX(Winter!$1:$1048576,MATCH(All!$A628,Winter!$A:$A,FALSE),MATCH(All!S$1,Winter!$1:$1,FALSE))="","",INDEX(Winter!$1:$1048576,MATCH(All!$A628,Winter!$A:$A,FALSE),MATCH(All!S$1,Winter!$1:$1,FALSE))),"")</f>
        <v/>
      </c>
      <c r="T628" t="str">
        <f>IFERROR(IF(INDEX(Winter!$1:$1048576,MATCH(All!$A628,Winter!$A:$A,FALSE),MATCH(All!T$1,Winter!$1:$1,FALSE))="","",INDEX(Winter!$1:$1048576,MATCH(All!$A628,Winter!$A:$A,FALSE),MATCH(All!T$1,Winter!$1:$1,FALSE))),"")</f>
        <v>1A</v>
      </c>
      <c r="U628" t="str">
        <f>IFERROR(IF(INDEX(Winter!$1:$1048576,MATCH(All!$A628,Winter!$A:$A,FALSE),MATCH(All!U$1,Winter!$1:$1,FALSE))="","",INDEX(Winter!$1:$1048576,MATCH(All!$A628,Winter!$A:$A,FALSE),MATCH(All!U$1,Winter!$1:$1,FALSE))),"")</f>
        <v/>
      </c>
      <c r="W628">
        <f>IFERROR(IF(INDEX(Spring!$1:$1048576,MATCH(All!$A628,Spring!$A:$A,FALSE),MATCH(All!W$1,Spring!$1:$1,FALSE))="","",INDEX(Spring!$1:$1048576,MATCH(All!$A628,Spring!$A:$A,FALSE),MATCH(All!W$1,Spring!$1:$1,FALSE))),"")</f>
        <v>155</v>
      </c>
      <c r="X628" t="str">
        <f>IFERROR(IF(INDEX(Spring!$1:$1048576,MATCH(All!$A628,Spring!$A:$A,FALSE),MATCH(All!X$1,Spring!$1:$1,FALSE))="","",INDEX(Spring!$1:$1048576,MATCH(All!$A628,Spring!$A:$A,FALSE),MATCH(All!X$1,Spring!$1:$1,FALSE))),"")</f>
        <v>1A</v>
      </c>
      <c r="Y628" t="str">
        <f>IFERROR(IF(INDEX(Spring!$1:$1048576,MATCH(All!$A628,Spring!$A:$A,FALSE),MATCH(All!Y$1,Spring!$1:$1,FALSE))="","",INDEX(Spring!$1:$1048576,MATCH(All!$A628,Spring!$A:$A,FALSE),MATCH(All!Y$1,Spring!$1:$1,FALSE))),"")</f>
        <v>1A</v>
      </c>
      <c r="Z628" t="str">
        <f>IFERROR(IF(INDEX(Spring!$1:$1048576,MATCH(All!$A628,Spring!$A:$A,FALSE),MATCH(All!Z$1,Spring!$1:$1,FALSE))="","",INDEX(Spring!$1:$1048576,MATCH(All!$A628,Spring!$A:$A,FALSE),MATCH(All!Z$1,Spring!$1:$1,FALSE))),"")</f>
        <v/>
      </c>
      <c r="AA628" t="str">
        <f>IFERROR(IF(INDEX(Spring!$1:$1048576,MATCH(All!$A628,Spring!$A:$A,FALSE),MATCH(All!AA$1,Spring!$1:$1,FALSE))="","",INDEX(Spring!$1:$1048576,MATCH(All!$A628,Spring!$A:$A,FALSE),MATCH(All!AA$1,Spring!$1:$1,FALSE))),"")</f>
        <v/>
      </c>
      <c r="AB628" t="str">
        <f>IFERROR(IF(INDEX(Spring!$1:$1048576,MATCH(All!$A628,Spring!$A:$A,FALSE),MATCH(All!AB$1,Spring!$1:$1,FALSE))="","",INDEX(Spring!$1:$1048576,MATCH(All!$A628,Spring!$A:$A,FALSE),MATCH(All!AB$1,Spring!$1:$1,FALSE))),"")</f>
        <v/>
      </c>
      <c r="AC628" t="str">
        <f>IFERROR(IF(INDEX(Spring!$1:$1048576,MATCH(All!$A628,Spring!$A:$A,FALSE),MATCH(All!AC$1,Spring!$1:$1,FALSE))="","",INDEX(Spring!$1:$1048576,MATCH(All!$A628,Spring!$A:$A,FALSE),MATCH(All!AC$1,Spring!$1:$1,FALSE))),"")</f>
        <v/>
      </c>
      <c r="AD628" t="str">
        <f>IFERROR(VLOOKUP(A628,'Flag Football'!A:A,1,FALSE),"")</f>
        <v/>
      </c>
      <c r="AE628" t="str">
        <f t="shared" si="9"/>
        <v/>
      </c>
    </row>
    <row r="629" spans="1:31" ht="15.75" thickBot="1" x14ac:dyDescent="0.3">
      <c r="A629" s="20" t="s">
        <v>730</v>
      </c>
      <c r="B629" s="38">
        <f>IFERROR(VLOOKUP(A629,'Public v Private'!A:G,3,FALSE),"")</f>
        <v>0</v>
      </c>
      <c r="C629" s="38">
        <f>IFERROR(VLOOKUP(A629,'Public v Private'!A:G,4,FALSE),"")</f>
        <v>0</v>
      </c>
      <c r="D629" s="38">
        <f>IFERROR(VLOOKUP(A629,'Public v Private'!A:G,5,FALSE),"")</f>
        <v>0</v>
      </c>
      <c r="E629" s="38"/>
      <c r="F629" s="40">
        <f>IFERROR(INDEX(Fall!$1:$1048576,MATCH(All!$A629,Fall!$A:$A,FALSE),MATCH(All!F$1,Fall!$1:$1,FALSE)),"N/A")</f>
        <v>365</v>
      </c>
      <c r="G629" t="str">
        <f>IFERROR(IF(INDEX(Fall!$1:$1048576,MATCH(All!$A629,Fall!$A:$A,FALSE),MATCH(All!G$1,Fall!$1:$1,FALSE))="","",INDEX(Fall!$1:$1048576,MATCH(All!$A629,Fall!$A:$A,FALSE),MATCH(All!G$1,Fall!$1:$1,FALSE))),"")</f>
        <v>1A</v>
      </c>
      <c r="H629" t="str">
        <f>IFERROR(IF(INDEX(Fall!$1:$1048576,MATCH(All!$A629,Fall!$A:$A,FALSE),MATCH(All!H$1,Fall!$1:$1,FALSE))="","",INDEX(Fall!$1:$1048576,MATCH(All!$A629,Fall!$A:$A,FALSE),MATCH(All!H$1,Fall!$1:$1,FALSE))),"")</f>
        <v>1A</v>
      </c>
      <c r="I629" t="str">
        <f>IFERROR(IF(INDEX(Fall!$1:$1048576,MATCH(All!$A629,Fall!$A:$A,FALSE),MATCH(All!I$1,Fall!$1:$1,FALSE))="","",INDEX(Fall!$1:$1048576,MATCH(All!$A629,Fall!$A:$A,FALSE),MATCH(All!I$1,Fall!$1:$1,FALSE))),"")</f>
        <v>1A</v>
      </c>
      <c r="J629" t="str">
        <f>IFERROR(IF(INDEX(Fall!$1:$1048576,MATCH(All!$A629,Fall!$A:$A,FALSE),MATCH(All!J$1,Fall!$1:$1,FALSE))="","",INDEX(Fall!$1:$1048576,MATCH(All!$A629,Fall!$A:$A,FALSE),MATCH(All!J$1,Fall!$1:$1,FALSE))),"")</f>
        <v>1A</v>
      </c>
      <c r="K629" t="str">
        <f>IFERROR(IF(INDEX(Fall!$1:$1048576,MATCH(All!$A629,Fall!$A:$A,FALSE),MATCH(All!K$1,Fall!$1:$1,FALSE))="","",INDEX(Fall!$1:$1048576,MATCH(All!$A629,Fall!$A:$A,FALSE),MATCH(All!K$1,Fall!$1:$1,FALSE))),"")</f>
        <v/>
      </c>
      <c r="L629" t="str">
        <f>IFERROR(IF(INDEX(Fall!$1:$1048576,MATCH(All!$A629,Fall!$A:$A,FALSE),MATCH(All!L$1,Fall!$1:$1,FALSE))="","",INDEX(Fall!$1:$1048576,MATCH(All!$A629,Fall!$A:$A,FALSE),MATCH(All!L$1,Fall!$1:$1,FALSE))),"")</f>
        <v/>
      </c>
      <c r="M629" t="str">
        <f>IFERROR(IF(INDEX(Fall!$1:$1048576,MATCH(All!$A629,Fall!$A:$A,FALSE),MATCH(All!M$1,Fall!$1:$1,FALSE))="","",INDEX(Fall!$1:$1048576,MATCH(All!$A629,Fall!$A:$A,FALSE),MATCH(All!M$1,Fall!$1:$1,FALSE))),"")</f>
        <v>2A</v>
      </c>
      <c r="O629">
        <f>IFERROR(IF(INDEX(Winter!$1:$1048576,MATCH(All!$A629,Winter!$A:$A,FALSE),MATCH(All!O$1,Winter!$1:$1,FALSE))="","",INDEX(Winter!$1:$1048576,MATCH(All!$A629,Winter!$A:$A,FALSE),MATCH(All!O$1,Winter!$1:$1,FALSE))),"")</f>
        <v>365</v>
      </c>
      <c r="P629" t="str">
        <f>IFERROR(IF(INDEX(Winter!$1:$1048576,MATCH(All!$A629,Winter!$A:$A,FALSE),MATCH(All!P$1,Winter!$1:$1,FALSE))="","",INDEX(Winter!$1:$1048576,MATCH(All!$A629,Winter!$A:$A,FALSE),MATCH(All!P$1,Winter!$1:$1,FALSE))),"")</f>
        <v>2A</v>
      </c>
      <c r="Q629" t="str">
        <f>IFERROR(IF(INDEX(Winter!$1:$1048576,MATCH(All!$A629,Winter!$A:$A,FALSE),MATCH(All!Q$1,Winter!$1:$1,FALSE))="","",INDEX(Winter!$1:$1048576,MATCH(All!$A629,Winter!$A:$A,FALSE),MATCH(All!Q$1,Winter!$1:$1,FALSE))),"")</f>
        <v>2A</v>
      </c>
      <c r="R629" t="str">
        <f>IFERROR(IF(INDEX(Winter!$1:$1048576,MATCH(All!$A629,Winter!$A:$A,FALSE),MATCH(All!R$1,Winter!$1:$1,FALSE))="","",INDEX(Winter!$1:$1048576,MATCH(All!$A629,Winter!$A:$A,FALSE),MATCH(All!R$1,Winter!$1:$1,FALSE))),"")</f>
        <v>1A</v>
      </c>
      <c r="S629" t="str">
        <f>IFERROR(IF(INDEX(Winter!$1:$1048576,MATCH(All!$A629,Winter!$A:$A,FALSE),MATCH(All!S$1,Winter!$1:$1,FALSE))="","",INDEX(Winter!$1:$1048576,MATCH(All!$A629,Winter!$A:$A,FALSE),MATCH(All!S$1,Winter!$1:$1,FALSE))),"")</f>
        <v/>
      </c>
      <c r="T629" t="str">
        <f>IFERROR(IF(INDEX(Winter!$1:$1048576,MATCH(All!$A629,Winter!$A:$A,FALSE),MATCH(All!T$1,Winter!$1:$1,FALSE))="","",INDEX(Winter!$1:$1048576,MATCH(All!$A629,Winter!$A:$A,FALSE),MATCH(All!T$1,Winter!$1:$1,FALSE))),"")</f>
        <v/>
      </c>
      <c r="U629" t="str">
        <f>IFERROR(IF(INDEX(Winter!$1:$1048576,MATCH(All!$A629,Winter!$A:$A,FALSE),MATCH(All!U$1,Winter!$1:$1,FALSE))="","",INDEX(Winter!$1:$1048576,MATCH(All!$A629,Winter!$A:$A,FALSE),MATCH(All!U$1,Winter!$1:$1,FALSE))),"")</f>
        <v>1A</v>
      </c>
      <c r="W629">
        <f>IFERROR(IF(INDEX(Spring!$1:$1048576,MATCH(All!$A629,Spring!$A:$A,FALSE),MATCH(All!W$1,Spring!$1:$1,FALSE))="","",INDEX(Spring!$1:$1048576,MATCH(All!$A629,Spring!$A:$A,FALSE),MATCH(All!W$1,Spring!$1:$1,FALSE))),"")</f>
        <v>365</v>
      </c>
      <c r="X629" t="str">
        <f>IFERROR(IF(INDEX(Spring!$1:$1048576,MATCH(All!$A629,Spring!$A:$A,FALSE),MATCH(All!X$1,Spring!$1:$1,FALSE))="","",INDEX(Spring!$1:$1048576,MATCH(All!$A629,Spring!$A:$A,FALSE),MATCH(All!X$1,Spring!$1:$1,FALSE))),"")</f>
        <v>2A</v>
      </c>
      <c r="Y629" t="str">
        <f>IFERROR(IF(INDEX(Spring!$1:$1048576,MATCH(All!$A629,Spring!$A:$A,FALSE),MATCH(All!Y$1,Spring!$1:$1,FALSE))="","",INDEX(Spring!$1:$1048576,MATCH(All!$A629,Spring!$A:$A,FALSE),MATCH(All!Y$1,Spring!$1:$1,FALSE))),"")</f>
        <v>2A</v>
      </c>
      <c r="Z629" t="str">
        <f>IFERROR(IF(INDEX(Spring!$1:$1048576,MATCH(All!$A629,Spring!$A:$A,FALSE),MATCH(All!Z$1,Spring!$1:$1,FALSE))="","",INDEX(Spring!$1:$1048576,MATCH(All!$A629,Spring!$A:$A,FALSE),MATCH(All!Z$1,Spring!$1:$1,FALSE))),"")</f>
        <v/>
      </c>
      <c r="AA629" t="str">
        <f>IFERROR(IF(INDEX(Spring!$1:$1048576,MATCH(All!$A629,Spring!$A:$A,FALSE),MATCH(All!AA$1,Spring!$1:$1,FALSE))="","",INDEX(Spring!$1:$1048576,MATCH(All!$A629,Spring!$A:$A,FALSE),MATCH(All!AA$1,Spring!$1:$1,FALSE))),"")</f>
        <v/>
      </c>
      <c r="AB629" t="str">
        <f>IFERROR(IF(INDEX(Spring!$1:$1048576,MATCH(All!$A629,Spring!$A:$A,FALSE),MATCH(All!AB$1,Spring!$1:$1,FALSE))="","",INDEX(Spring!$1:$1048576,MATCH(All!$A629,Spring!$A:$A,FALSE),MATCH(All!AB$1,Spring!$1:$1,FALSE))),"")</f>
        <v>1A</v>
      </c>
      <c r="AC629" t="str">
        <f>IFERROR(IF(INDEX(Spring!$1:$1048576,MATCH(All!$A629,Spring!$A:$A,FALSE),MATCH(All!AC$1,Spring!$1:$1,FALSE))="","",INDEX(Spring!$1:$1048576,MATCH(All!$A629,Spring!$A:$A,FALSE),MATCH(All!AC$1,Spring!$1:$1,FALSE))),"")</f>
        <v>1A</v>
      </c>
      <c r="AD629" t="str">
        <f>IFERROR(VLOOKUP(A629,'Flag Football'!A:A,1,FALSE),"")</f>
        <v/>
      </c>
      <c r="AE629" t="str">
        <f t="shared" si="9"/>
        <v/>
      </c>
    </row>
    <row r="630" spans="1:31" ht="15.75" thickBot="1" x14ac:dyDescent="0.3">
      <c r="A630" s="18" t="s">
        <v>731</v>
      </c>
      <c r="B630" s="38">
        <f>IFERROR(VLOOKUP(A630,'Public v Private'!A:G,3,FALSE),"")</f>
        <v>0</v>
      </c>
      <c r="C630" s="38">
        <f>IFERROR(VLOOKUP(A630,'Public v Private'!A:G,4,FALSE),"")</f>
        <v>0</v>
      </c>
      <c r="D630" s="38">
        <f>IFERROR(VLOOKUP(A630,'Public v Private'!A:G,5,FALSE),"")</f>
        <v>0</v>
      </c>
      <c r="E630" s="38"/>
      <c r="F630" s="40">
        <f>IFERROR(INDEX(Fall!$1:$1048576,MATCH(All!$A630,Fall!$A:$A,FALSE),MATCH(All!F$1,Fall!$1:$1,FALSE)),"N/A")</f>
        <v>515</v>
      </c>
      <c r="G630" t="str">
        <f>IFERROR(IF(INDEX(Fall!$1:$1048576,MATCH(All!$A630,Fall!$A:$A,FALSE),MATCH(All!G$1,Fall!$1:$1,FALSE))="","",INDEX(Fall!$1:$1048576,MATCH(All!$A630,Fall!$A:$A,FALSE),MATCH(All!G$1,Fall!$1:$1,FALSE))),"")</f>
        <v>1A</v>
      </c>
      <c r="H630" t="str">
        <f>IFERROR(IF(INDEX(Fall!$1:$1048576,MATCH(All!$A630,Fall!$A:$A,FALSE),MATCH(All!H$1,Fall!$1:$1,FALSE))="","",INDEX(Fall!$1:$1048576,MATCH(All!$A630,Fall!$A:$A,FALSE),MATCH(All!H$1,Fall!$1:$1,FALSE))),"")</f>
        <v>1A</v>
      </c>
      <c r="I630" t="str">
        <f>IFERROR(IF(INDEX(Fall!$1:$1048576,MATCH(All!$A630,Fall!$A:$A,FALSE),MATCH(All!I$1,Fall!$1:$1,FALSE))="","",INDEX(Fall!$1:$1048576,MATCH(All!$A630,Fall!$A:$A,FALSE),MATCH(All!I$1,Fall!$1:$1,FALSE))),"")</f>
        <v>2A</v>
      </c>
      <c r="J630" t="str">
        <f>IFERROR(IF(INDEX(Fall!$1:$1048576,MATCH(All!$A630,Fall!$A:$A,FALSE),MATCH(All!J$1,Fall!$1:$1,FALSE))="","",INDEX(Fall!$1:$1048576,MATCH(All!$A630,Fall!$A:$A,FALSE),MATCH(All!J$1,Fall!$1:$1,FALSE))),"")</f>
        <v>1A</v>
      </c>
      <c r="K630" t="str">
        <f>IFERROR(IF(INDEX(Fall!$1:$1048576,MATCH(All!$A630,Fall!$A:$A,FALSE),MATCH(All!K$1,Fall!$1:$1,FALSE))="","",INDEX(Fall!$1:$1048576,MATCH(All!$A630,Fall!$A:$A,FALSE),MATCH(All!K$1,Fall!$1:$1,FALSE))),"")</f>
        <v>1A</v>
      </c>
      <c r="L630" t="str">
        <f>IFERROR(IF(INDEX(Fall!$1:$1048576,MATCH(All!$A630,Fall!$A:$A,FALSE),MATCH(All!L$1,Fall!$1:$1,FALSE))="","",INDEX(Fall!$1:$1048576,MATCH(All!$A630,Fall!$A:$A,FALSE),MATCH(All!L$1,Fall!$1:$1,FALSE))),"")</f>
        <v/>
      </c>
      <c r="M630" t="str">
        <f>IFERROR(IF(INDEX(Fall!$1:$1048576,MATCH(All!$A630,Fall!$A:$A,FALSE),MATCH(All!M$1,Fall!$1:$1,FALSE))="","",INDEX(Fall!$1:$1048576,MATCH(All!$A630,Fall!$A:$A,FALSE),MATCH(All!M$1,Fall!$1:$1,FALSE))),"")</f>
        <v>2A</v>
      </c>
      <c r="O630">
        <f>IFERROR(IF(INDEX(Winter!$1:$1048576,MATCH(All!$A630,Winter!$A:$A,FALSE),MATCH(All!O$1,Winter!$1:$1,FALSE))="","",INDEX(Winter!$1:$1048576,MATCH(All!$A630,Winter!$A:$A,FALSE),MATCH(All!O$1,Winter!$1:$1,FALSE))),"")</f>
        <v>515</v>
      </c>
      <c r="P630" t="str">
        <f>IFERROR(IF(INDEX(Winter!$1:$1048576,MATCH(All!$A630,Winter!$A:$A,FALSE),MATCH(All!P$1,Winter!$1:$1,FALSE))="","",INDEX(Winter!$1:$1048576,MATCH(All!$A630,Winter!$A:$A,FALSE),MATCH(All!P$1,Winter!$1:$1,FALSE))),"")</f>
        <v>2A</v>
      </c>
      <c r="Q630" t="str">
        <f>IFERROR(IF(INDEX(Winter!$1:$1048576,MATCH(All!$A630,Winter!$A:$A,FALSE),MATCH(All!Q$1,Winter!$1:$1,FALSE))="","",INDEX(Winter!$1:$1048576,MATCH(All!$A630,Winter!$A:$A,FALSE),MATCH(All!Q$1,Winter!$1:$1,FALSE))),"")</f>
        <v>2A</v>
      </c>
      <c r="R630" t="str">
        <f>IFERROR(IF(INDEX(Winter!$1:$1048576,MATCH(All!$A630,Winter!$A:$A,FALSE),MATCH(All!R$1,Winter!$1:$1,FALSE))="","",INDEX(Winter!$1:$1048576,MATCH(All!$A630,Winter!$A:$A,FALSE),MATCH(All!R$1,Winter!$1:$1,FALSE))),"")</f>
        <v>1A</v>
      </c>
      <c r="S630" t="str">
        <f>IFERROR(IF(INDEX(Winter!$1:$1048576,MATCH(All!$A630,Winter!$A:$A,FALSE),MATCH(All!S$1,Winter!$1:$1,FALSE))="","",INDEX(Winter!$1:$1048576,MATCH(All!$A630,Winter!$A:$A,FALSE),MATCH(All!S$1,Winter!$1:$1,FALSE))),"")</f>
        <v/>
      </c>
      <c r="T630" t="str">
        <f>IFERROR(IF(INDEX(Winter!$1:$1048576,MATCH(All!$A630,Winter!$A:$A,FALSE),MATCH(All!T$1,Winter!$1:$1,FALSE))="","",INDEX(Winter!$1:$1048576,MATCH(All!$A630,Winter!$A:$A,FALSE),MATCH(All!T$1,Winter!$1:$1,FALSE))),"")</f>
        <v>2A</v>
      </c>
      <c r="U630" t="str">
        <f>IFERROR(IF(INDEX(Winter!$1:$1048576,MATCH(All!$A630,Winter!$A:$A,FALSE),MATCH(All!U$1,Winter!$1:$1,FALSE))="","",INDEX(Winter!$1:$1048576,MATCH(All!$A630,Winter!$A:$A,FALSE),MATCH(All!U$1,Winter!$1:$1,FALSE))),"")</f>
        <v>1A</v>
      </c>
      <c r="W630">
        <f>IFERROR(IF(INDEX(Spring!$1:$1048576,MATCH(All!$A630,Spring!$A:$A,FALSE),MATCH(All!W$1,Spring!$1:$1,FALSE))="","",INDEX(Spring!$1:$1048576,MATCH(All!$A630,Spring!$A:$A,FALSE),MATCH(All!W$1,Spring!$1:$1,FALSE))),"")</f>
        <v>515</v>
      </c>
      <c r="X630" t="str">
        <f>IFERROR(IF(INDEX(Spring!$1:$1048576,MATCH(All!$A630,Spring!$A:$A,FALSE),MATCH(All!X$1,Spring!$1:$1,FALSE))="","",INDEX(Spring!$1:$1048576,MATCH(All!$A630,Spring!$A:$A,FALSE),MATCH(All!X$1,Spring!$1:$1,FALSE))),"")</f>
        <v>2A</v>
      </c>
      <c r="Y630" t="str">
        <f>IFERROR(IF(INDEX(Spring!$1:$1048576,MATCH(All!$A630,Spring!$A:$A,FALSE),MATCH(All!Y$1,Spring!$1:$1,FALSE))="","",INDEX(Spring!$1:$1048576,MATCH(All!$A630,Spring!$A:$A,FALSE),MATCH(All!Y$1,Spring!$1:$1,FALSE))),"")</f>
        <v>2A</v>
      </c>
      <c r="Z630" t="str">
        <f>IFERROR(IF(INDEX(Spring!$1:$1048576,MATCH(All!$A630,Spring!$A:$A,FALSE),MATCH(All!Z$1,Spring!$1:$1,FALSE))="","",INDEX(Spring!$1:$1048576,MATCH(All!$A630,Spring!$A:$A,FALSE),MATCH(All!Z$1,Spring!$1:$1,FALSE))),"")</f>
        <v>1A</v>
      </c>
      <c r="AA630" t="str">
        <f>IFERROR(IF(INDEX(Spring!$1:$1048576,MATCH(All!$A630,Spring!$A:$A,FALSE),MATCH(All!AA$1,Spring!$1:$1,FALSE))="","",INDEX(Spring!$1:$1048576,MATCH(All!$A630,Spring!$A:$A,FALSE),MATCH(All!AA$1,Spring!$1:$1,FALSE))),"")</f>
        <v/>
      </c>
      <c r="AB630" t="str">
        <f>IFERROR(IF(INDEX(Spring!$1:$1048576,MATCH(All!$A630,Spring!$A:$A,FALSE),MATCH(All!AB$1,Spring!$1:$1,FALSE))="","",INDEX(Spring!$1:$1048576,MATCH(All!$A630,Spring!$A:$A,FALSE),MATCH(All!AB$1,Spring!$1:$1,FALSE))),"")</f>
        <v>2A</v>
      </c>
      <c r="AC630" t="str">
        <f>IFERROR(IF(INDEX(Spring!$1:$1048576,MATCH(All!$A630,Spring!$A:$A,FALSE),MATCH(All!AC$1,Spring!$1:$1,FALSE))="","",INDEX(Spring!$1:$1048576,MATCH(All!$A630,Spring!$A:$A,FALSE),MATCH(All!AC$1,Spring!$1:$1,FALSE))),"")</f>
        <v>2A</v>
      </c>
      <c r="AD630" t="str">
        <f>IFERROR(VLOOKUP(A630,'Flag Football'!A:A,1,FALSE),"")</f>
        <v/>
      </c>
      <c r="AE630" t="str">
        <f t="shared" si="9"/>
        <v/>
      </c>
    </row>
    <row r="631" spans="1:31" ht="15.75" thickBot="1" x14ac:dyDescent="0.3">
      <c r="A631" s="20" t="s">
        <v>732</v>
      </c>
      <c r="B631" s="38">
        <f>IFERROR(VLOOKUP(A631,'Public v Private'!A:G,3,FALSE),"")</f>
        <v>0</v>
      </c>
      <c r="C631" s="38">
        <f>IFERROR(VLOOKUP(A631,'Public v Private'!A:G,4,FALSE),"")</f>
        <v>0</v>
      </c>
      <c r="D631" s="38">
        <f>IFERROR(VLOOKUP(A631,'Public v Private'!A:G,5,FALSE),"")</f>
        <v>0</v>
      </c>
      <c r="E631" s="38"/>
      <c r="F631" s="40">
        <f>IFERROR(INDEX(Fall!$1:$1048576,MATCH(All!$A631,Fall!$A:$A,FALSE),MATCH(All!F$1,Fall!$1:$1,FALSE)),"N/A")</f>
        <v>2286</v>
      </c>
      <c r="G631" t="str">
        <f>IFERROR(IF(INDEX(Fall!$1:$1048576,MATCH(All!$A631,Fall!$A:$A,FALSE),MATCH(All!G$1,Fall!$1:$1,FALSE))="","",INDEX(Fall!$1:$1048576,MATCH(All!$A631,Fall!$A:$A,FALSE),MATCH(All!G$1,Fall!$1:$1,FALSE))),"")</f>
        <v>3A</v>
      </c>
      <c r="H631" t="str">
        <f>IFERROR(IF(INDEX(Fall!$1:$1048576,MATCH(All!$A631,Fall!$A:$A,FALSE),MATCH(All!H$1,Fall!$1:$1,FALSE))="","",INDEX(Fall!$1:$1048576,MATCH(All!$A631,Fall!$A:$A,FALSE),MATCH(All!H$1,Fall!$1:$1,FALSE))),"")</f>
        <v>3A</v>
      </c>
      <c r="I631" t="str">
        <f>IFERROR(IF(INDEX(Fall!$1:$1048576,MATCH(All!$A631,Fall!$A:$A,FALSE),MATCH(All!I$1,Fall!$1:$1,FALSE))="","",INDEX(Fall!$1:$1048576,MATCH(All!$A631,Fall!$A:$A,FALSE),MATCH(All!I$1,Fall!$1:$1,FALSE))),"")</f>
        <v>3A</v>
      </c>
      <c r="J631" t="str">
        <f>IFERROR(IF(INDEX(Fall!$1:$1048576,MATCH(All!$A631,Fall!$A:$A,FALSE),MATCH(All!J$1,Fall!$1:$1,FALSE))="","",INDEX(Fall!$1:$1048576,MATCH(All!$A631,Fall!$A:$A,FALSE),MATCH(All!J$1,Fall!$1:$1,FALSE))),"")</f>
        <v>2A</v>
      </c>
      <c r="K631" t="str">
        <f>IFERROR(IF(INDEX(Fall!$1:$1048576,MATCH(All!$A631,Fall!$A:$A,FALSE),MATCH(All!K$1,Fall!$1:$1,FALSE))="","",INDEX(Fall!$1:$1048576,MATCH(All!$A631,Fall!$A:$A,FALSE),MATCH(All!K$1,Fall!$1:$1,FALSE))),"")</f>
        <v>3A</v>
      </c>
      <c r="L631" t="str">
        <f>IFERROR(IF(INDEX(Fall!$1:$1048576,MATCH(All!$A631,Fall!$A:$A,FALSE),MATCH(All!L$1,Fall!$1:$1,FALSE))="","",INDEX(Fall!$1:$1048576,MATCH(All!$A631,Fall!$A:$A,FALSE),MATCH(All!L$1,Fall!$1:$1,FALSE))),"")</f>
        <v>2A</v>
      </c>
      <c r="M631" t="str">
        <f>IFERROR(IF(INDEX(Fall!$1:$1048576,MATCH(All!$A631,Fall!$A:$A,FALSE),MATCH(All!M$1,Fall!$1:$1,FALSE))="","",INDEX(Fall!$1:$1048576,MATCH(All!$A631,Fall!$A:$A,FALSE),MATCH(All!M$1,Fall!$1:$1,FALSE))),"")</f>
        <v>4A</v>
      </c>
      <c r="O631">
        <f>IFERROR(IF(INDEX(Winter!$1:$1048576,MATCH(All!$A631,Winter!$A:$A,FALSE),MATCH(All!O$1,Winter!$1:$1,FALSE))="","",INDEX(Winter!$1:$1048576,MATCH(All!$A631,Winter!$A:$A,FALSE),MATCH(All!O$1,Winter!$1:$1,FALSE))),"")</f>
        <v>2286</v>
      </c>
      <c r="P631" t="str">
        <f>IFERROR(IF(INDEX(Winter!$1:$1048576,MATCH(All!$A631,Winter!$A:$A,FALSE),MATCH(All!P$1,Winter!$1:$1,FALSE))="","",INDEX(Winter!$1:$1048576,MATCH(All!$A631,Winter!$A:$A,FALSE),MATCH(All!P$1,Winter!$1:$1,FALSE))),"")</f>
        <v>4A</v>
      </c>
      <c r="Q631" t="str">
        <f>IFERROR(IF(INDEX(Winter!$1:$1048576,MATCH(All!$A631,Winter!$A:$A,FALSE),MATCH(All!Q$1,Winter!$1:$1,FALSE))="","",INDEX(Winter!$1:$1048576,MATCH(All!$A631,Winter!$A:$A,FALSE),MATCH(All!Q$1,Winter!$1:$1,FALSE))),"")</f>
        <v>4A</v>
      </c>
      <c r="R631" t="str">
        <f>IFERROR(IF(INDEX(Winter!$1:$1048576,MATCH(All!$A631,Winter!$A:$A,FALSE),MATCH(All!R$1,Winter!$1:$1,FALSE))="","",INDEX(Winter!$1:$1048576,MATCH(All!$A631,Winter!$A:$A,FALSE),MATCH(All!R$1,Winter!$1:$1,FALSE))),"")</f>
        <v>C</v>
      </c>
      <c r="S631" t="str">
        <f>IFERROR(IF(INDEX(Winter!$1:$1048576,MATCH(All!$A631,Winter!$A:$A,FALSE),MATCH(All!S$1,Winter!$1:$1,FALSE))="","",INDEX(Winter!$1:$1048576,MATCH(All!$A631,Winter!$A:$A,FALSE),MATCH(All!S$1,Winter!$1:$1,FALSE))),"")</f>
        <v>3A</v>
      </c>
      <c r="T631" t="str">
        <f>IFERROR(IF(INDEX(Winter!$1:$1048576,MATCH(All!$A631,Winter!$A:$A,FALSE),MATCH(All!T$1,Winter!$1:$1,FALSE))="","",INDEX(Winter!$1:$1048576,MATCH(All!$A631,Winter!$A:$A,FALSE),MATCH(All!T$1,Winter!$1:$1,FALSE))),"")</f>
        <v>2A</v>
      </c>
      <c r="U631" t="str">
        <f>IFERROR(IF(INDEX(Winter!$1:$1048576,MATCH(All!$A631,Winter!$A:$A,FALSE),MATCH(All!U$1,Winter!$1:$1,FALSE))="","",INDEX(Winter!$1:$1048576,MATCH(All!$A631,Winter!$A:$A,FALSE),MATCH(All!U$1,Winter!$1:$1,FALSE))),"")</f>
        <v>3A</v>
      </c>
      <c r="W631">
        <f>IFERROR(IF(INDEX(Spring!$1:$1048576,MATCH(All!$A631,Spring!$A:$A,FALSE),MATCH(All!W$1,Spring!$1:$1,FALSE))="","",INDEX(Spring!$1:$1048576,MATCH(All!$A631,Spring!$A:$A,FALSE),MATCH(All!W$1,Spring!$1:$1,FALSE))),"")</f>
        <v>2286</v>
      </c>
      <c r="X631" t="str">
        <f>IFERROR(IF(INDEX(Spring!$1:$1048576,MATCH(All!$A631,Spring!$A:$A,FALSE),MATCH(All!X$1,Spring!$1:$1,FALSE))="","",INDEX(Spring!$1:$1048576,MATCH(All!$A631,Spring!$A:$A,FALSE),MATCH(All!X$1,Spring!$1:$1,FALSE))),"")</f>
        <v>4A</v>
      </c>
      <c r="Y631" t="str">
        <f>IFERROR(IF(INDEX(Spring!$1:$1048576,MATCH(All!$A631,Spring!$A:$A,FALSE),MATCH(All!Y$1,Spring!$1:$1,FALSE))="","",INDEX(Spring!$1:$1048576,MATCH(All!$A631,Spring!$A:$A,FALSE),MATCH(All!Y$1,Spring!$1:$1,FALSE))),"")</f>
        <v>4A</v>
      </c>
      <c r="Z631" t="str">
        <f>IFERROR(IF(INDEX(Spring!$1:$1048576,MATCH(All!$A631,Spring!$A:$A,FALSE),MATCH(All!Z$1,Spring!$1:$1,FALSE))="","",INDEX(Spring!$1:$1048576,MATCH(All!$A631,Spring!$A:$A,FALSE),MATCH(All!Z$1,Spring!$1:$1,FALSE))),"")</f>
        <v>3A</v>
      </c>
      <c r="AA631" t="str">
        <f>IFERROR(IF(INDEX(Spring!$1:$1048576,MATCH(All!$A631,Spring!$A:$A,FALSE),MATCH(All!AA$1,Spring!$1:$1,FALSE))="","",INDEX(Spring!$1:$1048576,MATCH(All!$A631,Spring!$A:$A,FALSE),MATCH(All!AA$1,Spring!$1:$1,FALSE))),"")</f>
        <v>2A</v>
      </c>
      <c r="AB631" t="str">
        <f>IFERROR(IF(INDEX(Spring!$1:$1048576,MATCH(All!$A631,Spring!$A:$A,FALSE),MATCH(All!AB$1,Spring!$1:$1,FALSE))="","",INDEX(Spring!$1:$1048576,MATCH(All!$A631,Spring!$A:$A,FALSE),MATCH(All!AB$1,Spring!$1:$1,FALSE))),"")</f>
        <v>3A</v>
      </c>
      <c r="AC631" t="str">
        <f>IFERROR(IF(INDEX(Spring!$1:$1048576,MATCH(All!$A631,Spring!$A:$A,FALSE),MATCH(All!AC$1,Spring!$1:$1,FALSE))="","",INDEX(Spring!$1:$1048576,MATCH(All!$A631,Spring!$A:$A,FALSE),MATCH(All!AC$1,Spring!$1:$1,FALSE))),"")</f>
        <v>3A</v>
      </c>
      <c r="AD631" t="str">
        <f>IFERROR(VLOOKUP(A631,'Flag Football'!A:A,1,FALSE),"")</f>
        <v>Richton Park (Rich Township)</v>
      </c>
      <c r="AE631" t="str">
        <f t="shared" si="9"/>
        <v>1A</v>
      </c>
    </row>
    <row r="632" spans="1:31" ht="15.75" thickBot="1" x14ac:dyDescent="0.3">
      <c r="A632" s="18" t="s">
        <v>733</v>
      </c>
      <c r="B632" s="38" t="str">
        <f>IFERROR(VLOOKUP(A632,'Public v Private'!A:G,3,FALSE),"")</f>
        <v>no</v>
      </c>
      <c r="C632" s="38">
        <f>IFERROR(VLOOKUP(A632,'Public v Private'!A:G,4,FALSE),"")</f>
        <v>0</v>
      </c>
      <c r="D632" s="38">
        <f>IFERROR(VLOOKUP(A632,'Public v Private'!A:G,5,FALSE),"")</f>
        <v>0</v>
      </c>
      <c r="E632" s="38"/>
      <c r="F632" s="40" t="str">
        <f>IFERROR(INDEX(Fall!$1:$1048576,MATCH(All!$A632,Fall!$A:$A,FALSE),MATCH(All!F$1,Fall!$1:$1,FALSE)),"N/A")</f>
        <v>576.00 (950.40)</v>
      </c>
      <c r="G632" t="str">
        <f>IFERROR(IF(INDEX(Fall!$1:$1048576,MATCH(All!$A632,Fall!$A:$A,FALSE),MATCH(All!G$1,Fall!$1:$1,FALSE))="","",INDEX(Fall!$1:$1048576,MATCH(All!$A632,Fall!$A:$A,FALSE),MATCH(All!G$1,Fall!$1:$1,FALSE))),"")</f>
        <v>2A</v>
      </c>
      <c r="H632" t="str">
        <f>IFERROR(IF(INDEX(Fall!$1:$1048576,MATCH(All!$A632,Fall!$A:$A,FALSE),MATCH(All!H$1,Fall!$1:$1,FALSE))="","",INDEX(Fall!$1:$1048576,MATCH(All!$A632,Fall!$A:$A,FALSE),MATCH(All!H$1,Fall!$1:$1,FALSE))),"")</f>
        <v>2A</v>
      </c>
      <c r="I632" t="str">
        <f>IFERROR(IF(INDEX(Fall!$1:$1048576,MATCH(All!$A632,Fall!$A:$A,FALSE),MATCH(All!I$1,Fall!$1:$1,FALSE))="","",INDEX(Fall!$1:$1048576,MATCH(All!$A632,Fall!$A:$A,FALSE),MATCH(All!I$1,Fall!$1:$1,FALSE))),"")</f>
        <v>2A</v>
      </c>
      <c r="J632" t="str">
        <f>IFERROR(IF(INDEX(Fall!$1:$1048576,MATCH(All!$A632,Fall!$A:$A,FALSE),MATCH(All!J$1,Fall!$1:$1,FALSE))="","",INDEX(Fall!$1:$1048576,MATCH(All!$A632,Fall!$A:$A,FALSE),MATCH(All!J$1,Fall!$1:$1,FALSE))),"")</f>
        <v>2A</v>
      </c>
      <c r="K632" t="str">
        <f>IFERROR(IF(INDEX(Fall!$1:$1048576,MATCH(All!$A632,Fall!$A:$A,FALSE),MATCH(All!K$1,Fall!$1:$1,FALSE))="","",INDEX(Fall!$1:$1048576,MATCH(All!$A632,Fall!$A:$A,FALSE),MATCH(All!K$1,Fall!$1:$1,FALSE))),"")</f>
        <v/>
      </c>
      <c r="L632" t="str">
        <f>IFERROR(IF(INDEX(Fall!$1:$1048576,MATCH(All!$A632,Fall!$A:$A,FALSE),MATCH(All!L$1,Fall!$1:$1,FALSE))="","",INDEX(Fall!$1:$1048576,MATCH(All!$A632,Fall!$A:$A,FALSE),MATCH(All!L$1,Fall!$1:$1,FALSE))),"")</f>
        <v>1A</v>
      </c>
      <c r="M632" t="str">
        <f>IFERROR(IF(INDEX(Fall!$1:$1048576,MATCH(All!$A632,Fall!$A:$A,FALSE),MATCH(All!M$1,Fall!$1:$1,FALSE))="","",INDEX(Fall!$1:$1048576,MATCH(All!$A632,Fall!$A:$A,FALSE),MATCH(All!M$1,Fall!$1:$1,FALSE))),"")</f>
        <v>3A</v>
      </c>
      <c r="O632" t="str">
        <f>IFERROR(IF(INDEX(Winter!$1:$1048576,MATCH(All!$A632,Winter!$A:$A,FALSE),MATCH(All!O$1,Winter!$1:$1,FALSE))="","",INDEX(Winter!$1:$1048576,MATCH(All!$A632,Winter!$A:$A,FALSE),MATCH(All!O$1,Winter!$1:$1,FALSE))),"")</f>
        <v>576.00 (950.40)</v>
      </c>
      <c r="P632" t="str">
        <f>IFERROR(IF(INDEX(Winter!$1:$1048576,MATCH(All!$A632,Winter!$A:$A,FALSE),MATCH(All!P$1,Winter!$1:$1,FALSE))="","",INDEX(Winter!$1:$1048576,MATCH(All!$A632,Winter!$A:$A,FALSE),MATCH(All!P$1,Winter!$1:$1,FALSE))),"")</f>
        <v>3A</v>
      </c>
      <c r="Q632" t="str">
        <f>IFERROR(IF(INDEX(Winter!$1:$1048576,MATCH(All!$A632,Winter!$A:$A,FALSE),MATCH(All!Q$1,Winter!$1:$1,FALSE))="","",INDEX(Winter!$1:$1048576,MATCH(All!$A632,Winter!$A:$A,FALSE),MATCH(All!Q$1,Winter!$1:$1,FALSE))),"")</f>
        <v>3A</v>
      </c>
      <c r="R632" t="str">
        <f>IFERROR(IF(INDEX(Winter!$1:$1048576,MATCH(All!$A632,Winter!$A:$A,FALSE),MATCH(All!R$1,Winter!$1:$1,FALSE))="","",INDEX(Winter!$1:$1048576,MATCH(All!$A632,Winter!$A:$A,FALSE),MATCH(All!R$1,Winter!$1:$1,FALSE))),"")</f>
        <v>2A</v>
      </c>
      <c r="S632" t="str">
        <f>IFERROR(IF(INDEX(Winter!$1:$1048576,MATCH(All!$A632,Winter!$A:$A,FALSE),MATCH(All!S$1,Winter!$1:$1,FALSE))="","",INDEX(Winter!$1:$1048576,MATCH(All!$A632,Winter!$A:$A,FALSE),MATCH(All!S$1,Winter!$1:$1,FALSE))),"")</f>
        <v>1A</v>
      </c>
      <c r="T632" t="str">
        <f>IFERROR(IF(INDEX(Winter!$1:$1048576,MATCH(All!$A632,Winter!$A:$A,FALSE),MATCH(All!T$1,Winter!$1:$1,FALSE))="","",INDEX(Winter!$1:$1048576,MATCH(All!$A632,Winter!$A:$A,FALSE),MATCH(All!T$1,Winter!$1:$1,FALSE))),"")</f>
        <v/>
      </c>
      <c r="U632" t="str">
        <f>IFERROR(IF(INDEX(Winter!$1:$1048576,MATCH(All!$A632,Winter!$A:$A,FALSE),MATCH(All!U$1,Winter!$1:$1,FALSE))="","",INDEX(Winter!$1:$1048576,MATCH(All!$A632,Winter!$A:$A,FALSE),MATCH(All!U$1,Winter!$1:$1,FALSE))),"")</f>
        <v/>
      </c>
      <c r="W632" t="str">
        <f>IFERROR(IF(INDEX(Spring!$1:$1048576,MATCH(All!$A632,Spring!$A:$A,FALSE),MATCH(All!W$1,Spring!$1:$1,FALSE))="","",INDEX(Spring!$1:$1048576,MATCH(All!$A632,Spring!$A:$A,FALSE),MATCH(All!W$1,Spring!$1:$1,FALSE))),"")</f>
        <v>576.00 (950.40)</v>
      </c>
      <c r="X632" t="str">
        <f>IFERROR(IF(INDEX(Spring!$1:$1048576,MATCH(All!$A632,Spring!$A:$A,FALSE),MATCH(All!X$1,Spring!$1:$1,FALSE))="","",INDEX(Spring!$1:$1048576,MATCH(All!$A632,Spring!$A:$A,FALSE),MATCH(All!X$1,Spring!$1:$1,FALSE))),"")</f>
        <v/>
      </c>
      <c r="Y632" t="str">
        <f>IFERROR(IF(INDEX(Spring!$1:$1048576,MATCH(All!$A632,Spring!$A:$A,FALSE),MATCH(All!Y$1,Spring!$1:$1,FALSE))="","",INDEX(Spring!$1:$1048576,MATCH(All!$A632,Spring!$A:$A,FALSE),MATCH(All!Y$1,Spring!$1:$1,FALSE))),"")</f>
        <v/>
      </c>
      <c r="Z632" t="str">
        <f>IFERROR(IF(INDEX(Spring!$1:$1048576,MATCH(All!$A632,Spring!$A:$A,FALSE),MATCH(All!Z$1,Spring!$1:$1,FALSE))="","",INDEX(Spring!$1:$1048576,MATCH(All!$A632,Spring!$A:$A,FALSE),MATCH(All!Z$1,Spring!$1:$1,FALSE))),"")</f>
        <v/>
      </c>
      <c r="AA632" t="str">
        <f>IFERROR(IF(INDEX(Spring!$1:$1048576,MATCH(All!$A632,Spring!$A:$A,FALSE),MATCH(All!AA$1,Spring!$1:$1,FALSE))="","",INDEX(Spring!$1:$1048576,MATCH(All!$A632,Spring!$A:$A,FALSE),MATCH(All!AA$1,Spring!$1:$1,FALSE))),"")</f>
        <v/>
      </c>
      <c r="AB632" t="str">
        <f>IFERROR(IF(INDEX(Spring!$1:$1048576,MATCH(All!$A632,Spring!$A:$A,FALSE),MATCH(All!AB$1,Spring!$1:$1,FALSE))="","",INDEX(Spring!$1:$1048576,MATCH(All!$A632,Spring!$A:$A,FALSE),MATCH(All!AB$1,Spring!$1:$1,FALSE))),"")</f>
        <v>2A</v>
      </c>
      <c r="AC632" t="str">
        <f>IFERROR(IF(INDEX(Spring!$1:$1048576,MATCH(All!$A632,Spring!$A:$A,FALSE),MATCH(All!AC$1,Spring!$1:$1,FALSE))="","",INDEX(Spring!$1:$1048576,MATCH(All!$A632,Spring!$A:$A,FALSE),MATCH(All!AC$1,Spring!$1:$1,FALSE))),"")</f>
        <v>2A</v>
      </c>
      <c r="AD632" t="str">
        <f>IFERROR(VLOOKUP(A632,'Flag Football'!A:A,1,FALSE),"")</f>
        <v/>
      </c>
      <c r="AE632" t="str">
        <f t="shared" si="9"/>
        <v/>
      </c>
    </row>
    <row r="633" spans="1:31" ht="15.75" thickBot="1" x14ac:dyDescent="0.3">
      <c r="A633" s="20" t="s">
        <v>735</v>
      </c>
      <c r="B633" s="38" t="str">
        <f>IFERROR(VLOOKUP(A633,'Public v Private'!A:G,3,FALSE),"")</f>
        <v>private</v>
      </c>
      <c r="C633" s="38">
        <f>IFERROR(VLOOKUP(A633,'Public v Private'!A:G,4,FALSE),"")</f>
        <v>2</v>
      </c>
      <c r="D633" s="38">
        <f>IFERROR(VLOOKUP(A633,'Public v Private'!A:G,5,FALSE),"")</f>
        <v>4</v>
      </c>
      <c r="E633" s="38"/>
      <c r="F633" s="40" t="str">
        <f>IFERROR(INDEX(Fall!$1:$1048576,MATCH(All!$A633,Fall!$A:$A,FALSE),MATCH(All!F$1,Fall!$1:$1,FALSE)),"N/A")</f>
        <v>628.00 (1,036.20)</v>
      </c>
      <c r="G633" t="str">
        <f>IFERROR(IF(INDEX(Fall!$1:$1048576,MATCH(All!$A633,Fall!$A:$A,FALSE),MATCH(All!G$1,Fall!$1:$1,FALSE))="","",INDEX(Fall!$1:$1048576,MATCH(All!$A633,Fall!$A:$A,FALSE),MATCH(All!G$1,Fall!$1:$1,FALSE))),"")</f>
        <v/>
      </c>
      <c r="H633" t="str">
        <f>IFERROR(IF(INDEX(Fall!$1:$1048576,MATCH(All!$A633,Fall!$A:$A,FALSE),MATCH(All!H$1,Fall!$1:$1,FALSE))="","",INDEX(Fall!$1:$1048576,MATCH(All!$A633,Fall!$A:$A,FALSE),MATCH(All!H$1,Fall!$1:$1,FALSE))),"")</f>
        <v>2A</v>
      </c>
      <c r="I633" t="str">
        <f>IFERROR(IF(INDEX(Fall!$1:$1048576,MATCH(All!$A633,Fall!$A:$A,FALSE),MATCH(All!I$1,Fall!$1:$1,FALSE))="","",INDEX(Fall!$1:$1048576,MATCH(All!$A633,Fall!$A:$A,FALSE),MATCH(All!I$1,Fall!$1:$1,FALSE))),"")</f>
        <v/>
      </c>
      <c r="J633" t="str">
        <f>IFERROR(IF(INDEX(Fall!$1:$1048576,MATCH(All!$A633,Fall!$A:$A,FALSE),MATCH(All!J$1,Fall!$1:$1,FALSE))="","",INDEX(Fall!$1:$1048576,MATCH(All!$A633,Fall!$A:$A,FALSE),MATCH(All!J$1,Fall!$1:$1,FALSE))),"")</f>
        <v>1A</v>
      </c>
      <c r="K633" t="str">
        <f>IFERROR(IF(INDEX(Fall!$1:$1048576,MATCH(All!$A633,Fall!$A:$A,FALSE),MATCH(All!K$1,Fall!$1:$1,FALSE))="","",INDEX(Fall!$1:$1048576,MATCH(All!$A633,Fall!$A:$A,FALSE),MATCH(All!K$1,Fall!$1:$1,FALSE))),"")</f>
        <v/>
      </c>
      <c r="L633" t="str">
        <f>IFERROR(IF(INDEX(Fall!$1:$1048576,MATCH(All!$A633,Fall!$A:$A,FALSE),MATCH(All!L$1,Fall!$1:$1,FALSE))="","",INDEX(Fall!$1:$1048576,MATCH(All!$A633,Fall!$A:$A,FALSE),MATCH(All!L$1,Fall!$1:$1,FALSE))),"")</f>
        <v>1A</v>
      </c>
      <c r="M633" t="str">
        <f>IFERROR(IF(INDEX(Fall!$1:$1048576,MATCH(All!$A633,Fall!$A:$A,FALSE),MATCH(All!M$1,Fall!$1:$1,FALSE))="","",INDEX(Fall!$1:$1048576,MATCH(All!$A633,Fall!$A:$A,FALSE),MATCH(All!M$1,Fall!$1:$1,FALSE))),"")</f>
        <v>2A</v>
      </c>
      <c r="O633" t="str">
        <f>IFERROR(IF(INDEX(Winter!$1:$1048576,MATCH(All!$A633,Winter!$A:$A,FALSE),MATCH(All!O$1,Winter!$1:$1,FALSE))="","",INDEX(Winter!$1:$1048576,MATCH(All!$A633,Winter!$A:$A,FALSE),MATCH(All!O$1,Winter!$1:$1,FALSE))),"")</f>
        <v>628.00 (1,036.20)</v>
      </c>
      <c r="P633" t="str">
        <f>IFERROR(IF(INDEX(Winter!$1:$1048576,MATCH(All!$A633,Winter!$A:$A,FALSE),MATCH(All!P$1,Winter!$1:$1,FALSE))="","",INDEX(Winter!$1:$1048576,MATCH(All!$A633,Winter!$A:$A,FALSE),MATCH(All!P$1,Winter!$1:$1,FALSE))),"")</f>
        <v/>
      </c>
      <c r="Q633" t="str">
        <f>IFERROR(IF(INDEX(Winter!$1:$1048576,MATCH(All!$A633,Winter!$A:$A,FALSE),MATCH(All!Q$1,Winter!$1:$1,FALSE))="","",INDEX(Winter!$1:$1048576,MATCH(All!$A633,Winter!$A:$A,FALSE),MATCH(All!Q$1,Winter!$1:$1,FALSE))),"")</f>
        <v>3A</v>
      </c>
      <c r="R633" t="str">
        <f>IFERROR(IF(INDEX(Winter!$1:$1048576,MATCH(All!$A633,Winter!$A:$A,FALSE),MATCH(All!R$1,Winter!$1:$1,FALSE))="","",INDEX(Winter!$1:$1048576,MATCH(All!$A633,Winter!$A:$A,FALSE),MATCH(All!R$1,Winter!$1:$1,FALSE))),"")</f>
        <v>2A</v>
      </c>
      <c r="S633" t="str">
        <f>IFERROR(IF(INDEX(Winter!$1:$1048576,MATCH(All!$A633,Winter!$A:$A,FALSE),MATCH(All!S$1,Winter!$1:$1,FALSE))="","",INDEX(Winter!$1:$1048576,MATCH(All!$A633,Winter!$A:$A,FALSE),MATCH(All!S$1,Winter!$1:$1,FALSE))),"")</f>
        <v/>
      </c>
      <c r="T633" t="str">
        <f>IFERROR(IF(INDEX(Winter!$1:$1048576,MATCH(All!$A633,Winter!$A:$A,FALSE),MATCH(All!T$1,Winter!$1:$1,FALSE))="","",INDEX(Winter!$1:$1048576,MATCH(All!$A633,Winter!$A:$A,FALSE),MATCH(All!T$1,Winter!$1:$1,FALSE))),"")</f>
        <v/>
      </c>
      <c r="U633" t="str">
        <f>IFERROR(IF(INDEX(Winter!$1:$1048576,MATCH(All!$A633,Winter!$A:$A,FALSE),MATCH(All!U$1,Winter!$1:$1,FALSE))="","",INDEX(Winter!$1:$1048576,MATCH(All!$A633,Winter!$A:$A,FALSE),MATCH(All!U$1,Winter!$1:$1,FALSE))),"")</f>
        <v/>
      </c>
      <c r="W633" t="str">
        <f>IFERROR(IF(INDEX(Spring!$1:$1048576,MATCH(All!$A633,Spring!$A:$A,FALSE),MATCH(All!W$1,Spring!$1:$1,FALSE))="","",INDEX(Spring!$1:$1048576,MATCH(All!$A633,Spring!$A:$A,FALSE),MATCH(All!W$1,Spring!$1:$1,FALSE))),"")</f>
        <v>628.00 (1,036.20)</v>
      </c>
      <c r="X633" t="str">
        <f>IFERROR(IF(INDEX(Spring!$1:$1048576,MATCH(All!$A633,Spring!$A:$A,FALSE),MATCH(All!X$1,Spring!$1:$1,FALSE))="","",INDEX(Spring!$1:$1048576,MATCH(All!$A633,Spring!$A:$A,FALSE),MATCH(All!X$1,Spring!$1:$1,FALSE))),"")</f>
        <v/>
      </c>
      <c r="Y633" t="str">
        <f>IFERROR(IF(INDEX(Spring!$1:$1048576,MATCH(All!$A633,Spring!$A:$A,FALSE),MATCH(All!Y$1,Spring!$1:$1,FALSE))="","",INDEX(Spring!$1:$1048576,MATCH(All!$A633,Spring!$A:$A,FALSE),MATCH(All!Y$1,Spring!$1:$1,FALSE))),"")</f>
        <v>2A</v>
      </c>
      <c r="Z633" t="str">
        <f>IFERROR(IF(INDEX(Spring!$1:$1048576,MATCH(All!$A633,Spring!$A:$A,FALSE),MATCH(All!Z$1,Spring!$1:$1,FALSE))="","",INDEX(Spring!$1:$1048576,MATCH(All!$A633,Spring!$A:$A,FALSE),MATCH(All!Z$1,Spring!$1:$1,FALSE))),"")</f>
        <v>1A</v>
      </c>
      <c r="AA633" t="str">
        <f>IFERROR(IF(INDEX(Spring!$1:$1048576,MATCH(All!$A633,Spring!$A:$A,FALSE),MATCH(All!AA$1,Spring!$1:$1,FALSE))="","",INDEX(Spring!$1:$1048576,MATCH(All!$A633,Spring!$A:$A,FALSE),MATCH(All!AA$1,Spring!$1:$1,FALSE))),"")</f>
        <v/>
      </c>
      <c r="AB633" t="str">
        <f>IFERROR(IF(INDEX(Spring!$1:$1048576,MATCH(All!$A633,Spring!$A:$A,FALSE),MATCH(All!AB$1,Spring!$1:$1,FALSE))="","",INDEX(Spring!$1:$1048576,MATCH(All!$A633,Spring!$A:$A,FALSE),MATCH(All!AB$1,Spring!$1:$1,FALSE))),"")</f>
        <v/>
      </c>
      <c r="AC633" t="str">
        <f>IFERROR(IF(INDEX(Spring!$1:$1048576,MATCH(All!$A633,Spring!$A:$A,FALSE),MATCH(All!AC$1,Spring!$1:$1,FALSE))="","",INDEX(Spring!$1:$1048576,MATCH(All!$A633,Spring!$A:$A,FALSE),MATCH(All!AC$1,Spring!$1:$1,FALSE))),"")</f>
        <v>2A</v>
      </c>
      <c r="AD633" t="str">
        <f>IFERROR(VLOOKUP(A633,'Flag Football'!A:A,1,FALSE),"")</f>
        <v>River Forest (Trinity)</v>
      </c>
      <c r="AE633" t="str">
        <f t="shared" si="9"/>
        <v>1A</v>
      </c>
    </row>
    <row r="634" spans="1:31" ht="15.75" thickBot="1" x14ac:dyDescent="0.3">
      <c r="A634" s="18" t="s">
        <v>737</v>
      </c>
      <c r="B634" s="38">
        <f>IFERROR(VLOOKUP(A634,'Public v Private'!A:G,3,FALSE),"")</f>
        <v>0</v>
      </c>
      <c r="C634" s="38">
        <f>IFERROR(VLOOKUP(A634,'Public v Private'!A:G,4,FALSE),"")</f>
        <v>0</v>
      </c>
      <c r="D634" s="38">
        <f>IFERROR(VLOOKUP(A634,'Public v Private'!A:G,5,FALSE),"")</f>
        <v>0</v>
      </c>
      <c r="E634" s="38"/>
      <c r="F634" s="40">
        <f>IFERROR(INDEX(Fall!$1:$1048576,MATCH(All!$A634,Fall!$A:$A,FALSE),MATCH(All!F$1,Fall!$1:$1,FALSE)),"N/A")</f>
        <v>1639</v>
      </c>
      <c r="G634" t="str">
        <f>IFERROR(IF(INDEX(Fall!$1:$1048576,MATCH(All!$A634,Fall!$A:$A,FALSE),MATCH(All!G$1,Fall!$1:$1,FALSE))="","",INDEX(Fall!$1:$1048576,MATCH(All!$A634,Fall!$A:$A,FALSE),MATCH(All!G$1,Fall!$1:$1,FALSE))),"")</f>
        <v>3A</v>
      </c>
      <c r="H634" t="str">
        <f>IFERROR(IF(INDEX(Fall!$1:$1048576,MATCH(All!$A634,Fall!$A:$A,FALSE),MATCH(All!H$1,Fall!$1:$1,FALSE))="","",INDEX(Fall!$1:$1048576,MATCH(All!$A634,Fall!$A:$A,FALSE),MATCH(All!H$1,Fall!$1:$1,FALSE))),"")</f>
        <v>3A</v>
      </c>
      <c r="I634" t="str">
        <f>IFERROR(IF(INDEX(Fall!$1:$1048576,MATCH(All!$A634,Fall!$A:$A,FALSE),MATCH(All!I$1,Fall!$1:$1,FALSE))="","",INDEX(Fall!$1:$1048576,MATCH(All!$A634,Fall!$A:$A,FALSE),MATCH(All!I$1,Fall!$1:$1,FALSE))),"")</f>
        <v>3A</v>
      </c>
      <c r="J634" t="str">
        <f>IFERROR(IF(INDEX(Fall!$1:$1048576,MATCH(All!$A634,Fall!$A:$A,FALSE),MATCH(All!J$1,Fall!$1:$1,FALSE))="","",INDEX(Fall!$1:$1048576,MATCH(All!$A634,Fall!$A:$A,FALSE),MATCH(All!J$1,Fall!$1:$1,FALSE))),"")</f>
        <v>2A</v>
      </c>
      <c r="K634" t="str">
        <f>IFERROR(IF(INDEX(Fall!$1:$1048576,MATCH(All!$A634,Fall!$A:$A,FALSE),MATCH(All!K$1,Fall!$1:$1,FALSE))="","",INDEX(Fall!$1:$1048576,MATCH(All!$A634,Fall!$A:$A,FALSE),MATCH(All!K$1,Fall!$1:$1,FALSE))),"")</f>
        <v>2A</v>
      </c>
      <c r="L634" t="str">
        <f>IFERROR(IF(INDEX(Fall!$1:$1048576,MATCH(All!$A634,Fall!$A:$A,FALSE),MATCH(All!L$1,Fall!$1:$1,FALSE))="","",INDEX(Fall!$1:$1048576,MATCH(All!$A634,Fall!$A:$A,FALSE),MATCH(All!L$1,Fall!$1:$1,FALSE))),"")</f>
        <v>2A</v>
      </c>
      <c r="M634" t="str">
        <f>IFERROR(IF(INDEX(Fall!$1:$1048576,MATCH(All!$A634,Fall!$A:$A,FALSE),MATCH(All!M$1,Fall!$1:$1,FALSE))="","",INDEX(Fall!$1:$1048576,MATCH(All!$A634,Fall!$A:$A,FALSE),MATCH(All!M$1,Fall!$1:$1,FALSE))),"")</f>
        <v>4A</v>
      </c>
      <c r="O634">
        <f>IFERROR(IF(INDEX(Winter!$1:$1048576,MATCH(All!$A634,Winter!$A:$A,FALSE),MATCH(All!O$1,Winter!$1:$1,FALSE))="","",INDEX(Winter!$1:$1048576,MATCH(All!$A634,Winter!$A:$A,FALSE),MATCH(All!O$1,Winter!$1:$1,FALSE))),"")</f>
        <v>1639</v>
      </c>
      <c r="P634" t="str">
        <f>IFERROR(IF(INDEX(Winter!$1:$1048576,MATCH(All!$A634,Winter!$A:$A,FALSE),MATCH(All!P$1,Winter!$1:$1,FALSE))="","",INDEX(Winter!$1:$1048576,MATCH(All!$A634,Winter!$A:$A,FALSE),MATCH(All!P$1,Winter!$1:$1,FALSE))),"")</f>
        <v>4A</v>
      </c>
      <c r="Q634" t="str">
        <f>IFERROR(IF(INDEX(Winter!$1:$1048576,MATCH(All!$A634,Winter!$A:$A,FALSE),MATCH(All!Q$1,Winter!$1:$1,FALSE))="","",INDEX(Winter!$1:$1048576,MATCH(All!$A634,Winter!$A:$A,FALSE),MATCH(All!Q$1,Winter!$1:$1,FALSE))),"")</f>
        <v>4A</v>
      </c>
      <c r="R634" t="str">
        <f>IFERROR(IF(INDEX(Winter!$1:$1048576,MATCH(All!$A634,Winter!$A:$A,FALSE),MATCH(All!R$1,Winter!$1:$1,FALSE))="","",INDEX(Winter!$1:$1048576,MATCH(All!$A634,Winter!$A:$A,FALSE),MATCH(All!R$1,Winter!$1:$1,FALSE))),"")</f>
        <v>C</v>
      </c>
      <c r="S634" t="str">
        <f>IFERROR(IF(INDEX(Winter!$1:$1048576,MATCH(All!$A634,Winter!$A:$A,FALSE),MATCH(All!S$1,Winter!$1:$1,FALSE))="","",INDEX(Winter!$1:$1048576,MATCH(All!$A634,Winter!$A:$A,FALSE),MATCH(All!S$1,Winter!$1:$1,FALSE))),"")</f>
        <v/>
      </c>
      <c r="T634" t="str">
        <f>IFERROR(IF(INDEX(Winter!$1:$1048576,MATCH(All!$A634,Winter!$A:$A,FALSE),MATCH(All!T$1,Winter!$1:$1,FALSE))="","",INDEX(Winter!$1:$1048576,MATCH(All!$A634,Winter!$A:$A,FALSE),MATCH(All!T$1,Winter!$1:$1,FALSE))),"")</f>
        <v>2A</v>
      </c>
      <c r="U634" t="str">
        <f>IFERROR(IF(INDEX(Winter!$1:$1048576,MATCH(All!$A634,Winter!$A:$A,FALSE),MATCH(All!U$1,Winter!$1:$1,FALSE))="","",INDEX(Winter!$1:$1048576,MATCH(All!$A634,Winter!$A:$A,FALSE),MATCH(All!U$1,Winter!$1:$1,FALSE))),"")</f>
        <v>2A</v>
      </c>
      <c r="W634">
        <f>IFERROR(IF(INDEX(Spring!$1:$1048576,MATCH(All!$A634,Spring!$A:$A,FALSE),MATCH(All!W$1,Spring!$1:$1,FALSE))="","",INDEX(Spring!$1:$1048576,MATCH(All!$A634,Spring!$A:$A,FALSE),MATCH(All!W$1,Spring!$1:$1,FALSE))),"")</f>
        <v>1639</v>
      </c>
      <c r="X634" t="str">
        <f>IFERROR(IF(INDEX(Spring!$1:$1048576,MATCH(All!$A634,Spring!$A:$A,FALSE),MATCH(All!X$1,Spring!$1:$1,FALSE))="","",INDEX(Spring!$1:$1048576,MATCH(All!$A634,Spring!$A:$A,FALSE),MATCH(All!X$1,Spring!$1:$1,FALSE))),"")</f>
        <v>4A</v>
      </c>
      <c r="Y634" t="str">
        <f>IFERROR(IF(INDEX(Spring!$1:$1048576,MATCH(All!$A634,Spring!$A:$A,FALSE),MATCH(All!Y$1,Spring!$1:$1,FALSE))="","",INDEX(Spring!$1:$1048576,MATCH(All!$A634,Spring!$A:$A,FALSE),MATCH(All!Y$1,Spring!$1:$1,FALSE))),"")</f>
        <v>4A</v>
      </c>
      <c r="Z634" t="str">
        <f>IFERROR(IF(INDEX(Spring!$1:$1048576,MATCH(All!$A634,Spring!$A:$A,FALSE),MATCH(All!Z$1,Spring!$1:$1,FALSE))="","",INDEX(Spring!$1:$1048576,MATCH(All!$A634,Spring!$A:$A,FALSE),MATCH(All!Z$1,Spring!$1:$1,FALSE))),"")</f>
        <v>2A</v>
      </c>
      <c r="AA634" t="str">
        <f>IFERROR(IF(INDEX(Spring!$1:$1048576,MATCH(All!$A634,Spring!$A:$A,FALSE),MATCH(All!AA$1,Spring!$1:$1,FALSE))="","",INDEX(Spring!$1:$1048576,MATCH(All!$A634,Spring!$A:$A,FALSE),MATCH(All!AA$1,Spring!$1:$1,FALSE))),"")</f>
        <v>2A</v>
      </c>
      <c r="AB634" t="str">
        <f>IFERROR(IF(INDEX(Spring!$1:$1048576,MATCH(All!$A634,Spring!$A:$A,FALSE),MATCH(All!AB$1,Spring!$1:$1,FALSE))="","",INDEX(Spring!$1:$1048576,MATCH(All!$A634,Spring!$A:$A,FALSE),MATCH(All!AB$1,Spring!$1:$1,FALSE))),"")</f>
        <v>3A</v>
      </c>
      <c r="AC634" t="str">
        <f>IFERROR(IF(INDEX(Spring!$1:$1048576,MATCH(All!$A634,Spring!$A:$A,FALSE),MATCH(All!AC$1,Spring!$1:$1,FALSE))="","",INDEX(Spring!$1:$1048576,MATCH(All!$A634,Spring!$A:$A,FALSE),MATCH(All!AC$1,Spring!$1:$1,FALSE))),"")</f>
        <v>3A</v>
      </c>
      <c r="AD634" t="str">
        <f>IFERROR(VLOOKUP(A634,'Flag Football'!A:A,1,FALSE),"")</f>
        <v/>
      </c>
      <c r="AE634" t="str">
        <f t="shared" si="9"/>
        <v/>
      </c>
    </row>
    <row r="635" spans="1:31" ht="15.75" thickBot="1" x14ac:dyDescent="0.3">
      <c r="A635" s="20" t="s">
        <v>738</v>
      </c>
      <c r="B635" s="38">
        <f>IFERROR(VLOOKUP(A635,'Public v Private'!A:G,3,FALSE),"")</f>
        <v>0</v>
      </c>
      <c r="C635" s="38">
        <f>IFERROR(VLOOKUP(A635,'Public v Private'!A:G,4,FALSE),"")</f>
        <v>0</v>
      </c>
      <c r="D635" s="38">
        <f>IFERROR(VLOOKUP(A635,'Public v Private'!A:G,5,FALSE),"")</f>
        <v>0</v>
      </c>
      <c r="E635" s="38"/>
      <c r="F635" s="40">
        <f>IFERROR(INDEX(Fall!$1:$1048576,MATCH(All!$A635,Fall!$A:$A,FALSE),MATCH(All!F$1,Fall!$1:$1,FALSE)),"N/A")</f>
        <v>343</v>
      </c>
      <c r="G635" t="str">
        <f>IFERROR(IF(INDEX(Fall!$1:$1048576,MATCH(All!$A635,Fall!$A:$A,FALSE),MATCH(All!G$1,Fall!$1:$1,FALSE))="","",INDEX(Fall!$1:$1048576,MATCH(All!$A635,Fall!$A:$A,FALSE),MATCH(All!G$1,Fall!$1:$1,FALSE))),"")</f>
        <v/>
      </c>
      <c r="H635" t="str">
        <f>IFERROR(IF(INDEX(Fall!$1:$1048576,MATCH(All!$A635,Fall!$A:$A,FALSE),MATCH(All!H$1,Fall!$1:$1,FALSE))="","",INDEX(Fall!$1:$1048576,MATCH(All!$A635,Fall!$A:$A,FALSE),MATCH(All!H$1,Fall!$1:$1,FALSE))),"")</f>
        <v/>
      </c>
      <c r="I635" t="str">
        <f>IFERROR(IF(INDEX(Fall!$1:$1048576,MATCH(All!$A635,Fall!$A:$A,FALSE),MATCH(All!I$1,Fall!$1:$1,FALSE))="","",INDEX(Fall!$1:$1048576,MATCH(All!$A635,Fall!$A:$A,FALSE),MATCH(All!I$1,Fall!$1:$1,FALSE))),"")</f>
        <v/>
      </c>
      <c r="J635" t="str">
        <f>IFERROR(IF(INDEX(Fall!$1:$1048576,MATCH(All!$A635,Fall!$A:$A,FALSE),MATCH(All!J$1,Fall!$1:$1,FALSE))="","",INDEX(Fall!$1:$1048576,MATCH(All!$A635,Fall!$A:$A,FALSE),MATCH(All!J$1,Fall!$1:$1,FALSE))),"")</f>
        <v/>
      </c>
      <c r="K635" t="str">
        <f>IFERROR(IF(INDEX(Fall!$1:$1048576,MATCH(All!$A635,Fall!$A:$A,FALSE),MATCH(All!K$1,Fall!$1:$1,FALSE))="","",INDEX(Fall!$1:$1048576,MATCH(All!$A635,Fall!$A:$A,FALSE),MATCH(All!K$1,Fall!$1:$1,FALSE))),"")</f>
        <v>1A</v>
      </c>
      <c r="L635" t="str">
        <f>IFERROR(IF(INDEX(Fall!$1:$1048576,MATCH(All!$A635,Fall!$A:$A,FALSE),MATCH(All!L$1,Fall!$1:$1,FALSE))="","",INDEX(Fall!$1:$1048576,MATCH(All!$A635,Fall!$A:$A,FALSE),MATCH(All!L$1,Fall!$1:$1,FALSE))),"")</f>
        <v/>
      </c>
      <c r="M635" t="str">
        <f>IFERROR(IF(INDEX(Fall!$1:$1048576,MATCH(All!$A635,Fall!$A:$A,FALSE),MATCH(All!M$1,Fall!$1:$1,FALSE))="","",INDEX(Fall!$1:$1048576,MATCH(All!$A635,Fall!$A:$A,FALSE),MATCH(All!M$1,Fall!$1:$1,FALSE))),"")</f>
        <v>2A</v>
      </c>
      <c r="O635">
        <f>IFERROR(IF(INDEX(Winter!$1:$1048576,MATCH(All!$A635,Winter!$A:$A,FALSE),MATCH(All!O$1,Winter!$1:$1,FALSE))="","",INDEX(Winter!$1:$1048576,MATCH(All!$A635,Winter!$A:$A,FALSE),MATCH(All!O$1,Winter!$1:$1,FALSE))),"")</f>
        <v>343</v>
      </c>
      <c r="P635" t="str">
        <f>IFERROR(IF(INDEX(Winter!$1:$1048576,MATCH(All!$A635,Winter!$A:$A,FALSE),MATCH(All!P$1,Winter!$1:$1,FALSE))="","",INDEX(Winter!$1:$1048576,MATCH(All!$A635,Winter!$A:$A,FALSE),MATCH(All!P$1,Winter!$1:$1,FALSE))),"")</f>
        <v>2A</v>
      </c>
      <c r="Q635" t="str">
        <f>IFERROR(IF(INDEX(Winter!$1:$1048576,MATCH(All!$A635,Winter!$A:$A,FALSE),MATCH(All!Q$1,Winter!$1:$1,FALSE))="","",INDEX(Winter!$1:$1048576,MATCH(All!$A635,Winter!$A:$A,FALSE),MATCH(All!Q$1,Winter!$1:$1,FALSE))),"")</f>
        <v>2A</v>
      </c>
      <c r="R635" t="str">
        <f>IFERROR(IF(INDEX(Winter!$1:$1048576,MATCH(All!$A635,Winter!$A:$A,FALSE),MATCH(All!R$1,Winter!$1:$1,FALSE))="","",INDEX(Winter!$1:$1048576,MATCH(All!$A635,Winter!$A:$A,FALSE),MATCH(All!R$1,Winter!$1:$1,FALSE))),"")</f>
        <v/>
      </c>
      <c r="S635" t="str">
        <f>IFERROR(IF(INDEX(Winter!$1:$1048576,MATCH(All!$A635,Winter!$A:$A,FALSE),MATCH(All!S$1,Winter!$1:$1,FALSE))="","",INDEX(Winter!$1:$1048576,MATCH(All!$A635,Winter!$A:$A,FALSE),MATCH(All!S$1,Winter!$1:$1,FALSE))),"")</f>
        <v/>
      </c>
      <c r="T635" t="str">
        <f>IFERROR(IF(INDEX(Winter!$1:$1048576,MATCH(All!$A635,Winter!$A:$A,FALSE),MATCH(All!T$1,Winter!$1:$1,FALSE))="","",INDEX(Winter!$1:$1048576,MATCH(All!$A635,Winter!$A:$A,FALSE),MATCH(All!T$1,Winter!$1:$1,FALSE))),"")</f>
        <v>1A</v>
      </c>
      <c r="U635" t="str">
        <f>IFERROR(IF(INDEX(Winter!$1:$1048576,MATCH(All!$A635,Winter!$A:$A,FALSE),MATCH(All!U$1,Winter!$1:$1,FALSE))="","",INDEX(Winter!$1:$1048576,MATCH(All!$A635,Winter!$A:$A,FALSE),MATCH(All!U$1,Winter!$1:$1,FALSE))),"")</f>
        <v>1A</v>
      </c>
      <c r="W635">
        <f>IFERROR(IF(INDEX(Spring!$1:$1048576,MATCH(All!$A635,Spring!$A:$A,FALSE),MATCH(All!W$1,Spring!$1:$1,FALSE))="","",INDEX(Spring!$1:$1048576,MATCH(All!$A635,Spring!$A:$A,FALSE),MATCH(All!W$1,Spring!$1:$1,FALSE))),"")</f>
        <v>343</v>
      </c>
      <c r="X635" t="str">
        <f>IFERROR(IF(INDEX(Spring!$1:$1048576,MATCH(All!$A635,Spring!$A:$A,FALSE),MATCH(All!X$1,Spring!$1:$1,FALSE))="","",INDEX(Spring!$1:$1048576,MATCH(All!$A635,Spring!$A:$A,FALSE),MATCH(All!X$1,Spring!$1:$1,FALSE))),"")</f>
        <v>2A</v>
      </c>
      <c r="Y635" t="str">
        <f>IFERROR(IF(INDEX(Spring!$1:$1048576,MATCH(All!$A635,Spring!$A:$A,FALSE),MATCH(All!Y$1,Spring!$1:$1,FALSE))="","",INDEX(Spring!$1:$1048576,MATCH(All!$A635,Spring!$A:$A,FALSE),MATCH(All!Y$1,Spring!$1:$1,FALSE))),"")</f>
        <v>2A</v>
      </c>
      <c r="Z635" t="str">
        <f>IFERROR(IF(INDEX(Spring!$1:$1048576,MATCH(All!$A635,Spring!$A:$A,FALSE),MATCH(All!Z$1,Spring!$1:$1,FALSE))="","",INDEX(Spring!$1:$1048576,MATCH(All!$A635,Spring!$A:$A,FALSE),MATCH(All!Z$1,Spring!$1:$1,FALSE))),"")</f>
        <v>1A</v>
      </c>
      <c r="AA635" t="str">
        <f>IFERROR(IF(INDEX(Spring!$1:$1048576,MATCH(All!$A635,Spring!$A:$A,FALSE),MATCH(All!AA$1,Spring!$1:$1,FALSE))="","",INDEX(Spring!$1:$1048576,MATCH(All!$A635,Spring!$A:$A,FALSE),MATCH(All!AA$1,Spring!$1:$1,FALSE))),"")</f>
        <v/>
      </c>
      <c r="AB635" t="str">
        <f>IFERROR(IF(INDEX(Spring!$1:$1048576,MATCH(All!$A635,Spring!$A:$A,FALSE),MATCH(All!AB$1,Spring!$1:$1,FALSE))="","",INDEX(Spring!$1:$1048576,MATCH(All!$A635,Spring!$A:$A,FALSE),MATCH(All!AB$1,Spring!$1:$1,FALSE))),"")</f>
        <v>1A</v>
      </c>
      <c r="AC635" t="str">
        <f>IFERROR(IF(INDEX(Spring!$1:$1048576,MATCH(All!$A635,Spring!$A:$A,FALSE),MATCH(All!AC$1,Spring!$1:$1,FALSE))="","",INDEX(Spring!$1:$1048576,MATCH(All!$A635,Spring!$A:$A,FALSE),MATCH(All!AC$1,Spring!$1:$1,FALSE))),"")</f>
        <v>1A</v>
      </c>
      <c r="AD635" t="str">
        <f>IFERROR(VLOOKUP(A635,'Flag Football'!A:A,1,FALSE),"")</f>
        <v/>
      </c>
      <c r="AE635" t="str">
        <f t="shared" si="9"/>
        <v/>
      </c>
    </row>
    <row r="636" spans="1:31" ht="15.75" thickBot="1" x14ac:dyDescent="0.3">
      <c r="A636" s="18" t="s">
        <v>739</v>
      </c>
      <c r="B636" s="38">
        <f>IFERROR(VLOOKUP(A636,'Public v Private'!A:G,3,FALSE),"")</f>
        <v>0</v>
      </c>
      <c r="C636" s="38">
        <f>IFERROR(VLOOKUP(A636,'Public v Private'!A:G,4,FALSE),"")</f>
        <v>0</v>
      </c>
      <c r="D636" s="38">
        <f>IFERROR(VLOOKUP(A636,'Public v Private'!A:G,5,FALSE),"")</f>
        <v>0</v>
      </c>
      <c r="E636" s="38"/>
      <c r="F636" s="40">
        <f>IFERROR(INDEX(Fall!$1:$1048576,MATCH(All!$A636,Fall!$A:$A,FALSE),MATCH(All!F$1,Fall!$1:$1,FALSE)),"N/A")</f>
        <v>142</v>
      </c>
      <c r="G636" t="str">
        <f>IFERROR(IF(INDEX(Fall!$1:$1048576,MATCH(All!$A636,Fall!$A:$A,FALSE),MATCH(All!G$1,Fall!$1:$1,FALSE))="","",INDEX(Fall!$1:$1048576,MATCH(All!$A636,Fall!$A:$A,FALSE),MATCH(All!G$1,Fall!$1:$1,FALSE))),"")</f>
        <v/>
      </c>
      <c r="H636" t="str">
        <f>IFERROR(IF(INDEX(Fall!$1:$1048576,MATCH(All!$A636,Fall!$A:$A,FALSE),MATCH(All!H$1,Fall!$1:$1,FALSE))="","",INDEX(Fall!$1:$1048576,MATCH(All!$A636,Fall!$A:$A,FALSE),MATCH(All!H$1,Fall!$1:$1,FALSE))),"")</f>
        <v/>
      </c>
      <c r="I636" t="str">
        <f>IFERROR(IF(INDEX(Fall!$1:$1048576,MATCH(All!$A636,Fall!$A:$A,FALSE),MATCH(All!I$1,Fall!$1:$1,FALSE))="","",INDEX(Fall!$1:$1048576,MATCH(All!$A636,Fall!$A:$A,FALSE),MATCH(All!I$1,Fall!$1:$1,FALSE))),"")</f>
        <v>1A</v>
      </c>
      <c r="J636" t="str">
        <f>IFERROR(IF(INDEX(Fall!$1:$1048576,MATCH(All!$A636,Fall!$A:$A,FALSE),MATCH(All!J$1,Fall!$1:$1,FALSE))="","",INDEX(Fall!$1:$1048576,MATCH(All!$A636,Fall!$A:$A,FALSE),MATCH(All!J$1,Fall!$1:$1,FALSE))),"")</f>
        <v/>
      </c>
      <c r="K636" t="str">
        <f>IFERROR(IF(INDEX(Fall!$1:$1048576,MATCH(All!$A636,Fall!$A:$A,FALSE),MATCH(All!K$1,Fall!$1:$1,FALSE))="","",INDEX(Fall!$1:$1048576,MATCH(All!$A636,Fall!$A:$A,FALSE),MATCH(All!K$1,Fall!$1:$1,FALSE))),"")</f>
        <v>1A</v>
      </c>
      <c r="L636" t="str">
        <f>IFERROR(IF(INDEX(Fall!$1:$1048576,MATCH(All!$A636,Fall!$A:$A,FALSE),MATCH(All!L$1,Fall!$1:$1,FALSE))="","",INDEX(Fall!$1:$1048576,MATCH(All!$A636,Fall!$A:$A,FALSE),MATCH(All!L$1,Fall!$1:$1,FALSE))),"")</f>
        <v/>
      </c>
      <c r="M636" t="str">
        <f>IFERROR(IF(INDEX(Fall!$1:$1048576,MATCH(All!$A636,Fall!$A:$A,FALSE),MATCH(All!M$1,Fall!$1:$1,FALSE))="","",INDEX(Fall!$1:$1048576,MATCH(All!$A636,Fall!$A:$A,FALSE),MATCH(All!M$1,Fall!$1:$1,FALSE))),"")</f>
        <v>1A</v>
      </c>
      <c r="O636">
        <f>IFERROR(IF(INDEX(Winter!$1:$1048576,MATCH(All!$A636,Winter!$A:$A,FALSE),MATCH(All!O$1,Winter!$1:$1,FALSE))="","",INDEX(Winter!$1:$1048576,MATCH(All!$A636,Winter!$A:$A,FALSE),MATCH(All!O$1,Winter!$1:$1,FALSE))),"")</f>
        <v>142</v>
      </c>
      <c r="P636" t="str">
        <f>IFERROR(IF(INDEX(Winter!$1:$1048576,MATCH(All!$A636,Winter!$A:$A,FALSE),MATCH(All!P$1,Winter!$1:$1,FALSE))="","",INDEX(Winter!$1:$1048576,MATCH(All!$A636,Winter!$A:$A,FALSE),MATCH(All!P$1,Winter!$1:$1,FALSE))),"")</f>
        <v>1A</v>
      </c>
      <c r="Q636" t="str">
        <f>IFERROR(IF(INDEX(Winter!$1:$1048576,MATCH(All!$A636,Winter!$A:$A,FALSE),MATCH(All!Q$1,Winter!$1:$1,FALSE))="","",INDEX(Winter!$1:$1048576,MATCH(All!$A636,Winter!$A:$A,FALSE),MATCH(All!Q$1,Winter!$1:$1,FALSE))),"")</f>
        <v>1A</v>
      </c>
      <c r="R636" t="str">
        <f>IFERROR(IF(INDEX(Winter!$1:$1048576,MATCH(All!$A636,Winter!$A:$A,FALSE),MATCH(All!R$1,Winter!$1:$1,FALSE))="","",INDEX(Winter!$1:$1048576,MATCH(All!$A636,Winter!$A:$A,FALSE),MATCH(All!R$1,Winter!$1:$1,FALSE))),"")</f>
        <v/>
      </c>
      <c r="S636" t="str">
        <f>IFERROR(IF(INDEX(Winter!$1:$1048576,MATCH(All!$A636,Winter!$A:$A,FALSE),MATCH(All!S$1,Winter!$1:$1,FALSE))="","",INDEX(Winter!$1:$1048576,MATCH(All!$A636,Winter!$A:$A,FALSE),MATCH(All!S$1,Winter!$1:$1,FALSE))),"")</f>
        <v/>
      </c>
      <c r="T636" t="str">
        <f>IFERROR(IF(INDEX(Winter!$1:$1048576,MATCH(All!$A636,Winter!$A:$A,FALSE),MATCH(All!T$1,Winter!$1:$1,FALSE))="","",INDEX(Winter!$1:$1048576,MATCH(All!$A636,Winter!$A:$A,FALSE),MATCH(All!T$1,Winter!$1:$1,FALSE))),"")</f>
        <v>1A</v>
      </c>
      <c r="U636" t="str">
        <f>IFERROR(IF(INDEX(Winter!$1:$1048576,MATCH(All!$A636,Winter!$A:$A,FALSE),MATCH(All!U$1,Winter!$1:$1,FALSE))="","",INDEX(Winter!$1:$1048576,MATCH(All!$A636,Winter!$A:$A,FALSE),MATCH(All!U$1,Winter!$1:$1,FALSE))),"")</f>
        <v/>
      </c>
      <c r="W636">
        <f>IFERROR(IF(INDEX(Spring!$1:$1048576,MATCH(All!$A636,Spring!$A:$A,FALSE),MATCH(All!W$1,Spring!$1:$1,FALSE))="","",INDEX(Spring!$1:$1048576,MATCH(All!$A636,Spring!$A:$A,FALSE),MATCH(All!W$1,Spring!$1:$1,FALSE))),"")</f>
        <v>142</v>
      </c>
      <c r="X636" t="str">
        <f>IFERROR(IF(INDEX(Spring!$1:$1048576,MATCH(All!$A636,Spring!$A:$A,FALSE),MATCH(All!X$1,Spring!$1:$1,FALSE))="","",INDEX(Spring!$1:$1048576,MATCH(All!$A636,Spring!$A:$A,FALSE),MATCH(All!X$1,Spring!$1:$1,FALSE))),"")</f>
        <v>1A</v>
      </c>
      <c r="Y636" t="str">
        <f>IFERROR(IF(INDEX(Spring!$1:$1048576,MATCH(All!$A636,Spring!$A:$A,FALSE),MATCH(All!Y$1,Spring!$1:$1,FALSE))="","",INDEX(Spring!$1:$1048576,MATCH(All!$A636,Spring!$A:$A,FALSE),MATCH(All!Y$1,Spring!$1:$1,FALSE))),"")</f>
        <v/>
      </c>
      <c r="Z636" t="str">
        <f>IFERROR(IF(INDEX(Spring!$1:$1048576,MATCH(All!$A636,Spring!$A:$A,FALSE),MATCH(All!Z$1,Spring!$1:$1,FALSE))="","",INDEX(Spring!$1:$1048576,MATCH(All!$A636,Spring!$A:$A,FALSE),MATCH(All!Z$1,Spring!$1:$1,FALSE))),"")</f>
        <v/>
      </c>
      <c r="AA636" t="str">
        <f>IFERROR(IF(INDEX(Spring!$1:$1048576,MATCH(All!$A636,Spring!$A:$A,FALSE),MATCH(All!AA$1,Spring!$1:$1,FALSE))="","",INDEX(Spring!$1:$1048576,MATCH(All!$A636,Spring!$A:$A,FALSE),MATCH(All!AA$1,Spring!$1:$1,FALSE))),"")</f>
        <v/>
      </c>
      <c r="AB636" t="str">
        <f>IFERROR(IF(INDEX(Spring!$1:$1048576,MATCH(All!$A636,Spring!$A:$A,FALSE),MATCH(All!AB$1,Spring!$1:$1,FALSE))="","",INDEX(Spring!$1:$1048576,MATCH(All!$A636,Spring!$A:$A,FALSE),MATCH(All!AB$1,Spring!$1:$1,FALSE))),"")</f>
        <v/>
      </c>
      <c r="AC636" t="str">
        <f>IFERROR(IF(INDEX(Spring!$1:$1048576,MATCH(All!$A636,Spring!$A:$A,FALSE),MATCH(All!AC$1,Spring!$1:$1,FALSE))="","",INDEX(Spring!$1:$1048576,MATCH(All!$A636,Spring!$A:$A,FALSE),MATCH(All!AC$1,Spring!$1:$1,FALSE))),"")</f>
        <v/>
      </c>
      <c r="AD636" t="str">
        <f>IFERROR(VLOOKUP(A636,'Flag Football'!A:A,1,FALSE),"")</f>
        <v/>
      </c>
      <c r="AE636" t="str">
        <f t="shared" si="9"/>
        <v/>
      </c>
    </row>
    <row r="637" spans="1:31" ht="15.75" thickBot="1" x14ac:dyDescent="0.3">
      <c r="A637" s="20" t="s">
        <v>740</v>
      </c>
      <c r="B637" s="38">
        <f>IFERROR(VLOOKUP(A637,'Public v Private'!A:G,3,FALSE),"")</f>
        <v>0</v>
      </c>
      <c r="C637" s="38">
        <f>IFERROR(VLOOKUP(A637,'Public v Private'!A:G,4,FALSE),"")</f>
        <v>0</v>
      </c>
      <c r="D637" s="38">
        <f>IFERROR(VLOOKUP(A637,'Public v Private'!A:G,5,FALSE),"")</f>
        <v>0</v>
      </c>
      <c r="E637" s="38"/>
      <c r="F637" s="40">
        <f>IFERROR(INDEX(Fall!$1:$1048576,MATCH(All!$A637,Fall!$A:$A,FALSE),MATCH(All!F$1,Fall!$1:$1,FALSE)),"N/A")</f>
        <v>439</v>
      </c>
      <c r="G637" t="str">
        <f>IFERROR(IF(INDEX(Fall!$1:$1048576,MATCH(All!$A637,Fall!$A:$A,FALSE),MATCH(All!G$1,Fall!$1:$1,FALSE))="","",INDEX(Fall!$1:$1048576,MATCH(All!$A637,Fall!$A:$A,FALSE),MATCH(All!G$1,Fall!$1:$1,FALSE))),"")</f>
        <v>1A</v>
      </c>
      <c r="H637" t="str">
        <f>IFERROR(IF(INDEX(Fall!$1:$1048576,MATCH(All!$A637,Fall!$A:$A,FALSE),MATCH(All!H$1,Fall!$1:$1,FALSE))="","",INDEX(Fall!$1:$1048576,MATCH(All!$A637,Fall!$A:$A,FALSE),MATCH(All!H$1,Fall!$1:$1,FALSE))),"")</f>
        <v>1A</v>
      </c>
      <c r="I637" t="str">
        <f>IFERROR(IF(INDEX(Fall!$1:$1048576,MATCH(All!$A637,Fall!$A:$A,FALSE),MATCH(All!I$1,Fall!$1:$1,FALSE))="","",INDEX(Fall!$1:$1048576,MATCH(All!$A637,Fall!$A:$A,FALSE),MATCH(All!I$1,Fall!$1:$1,FALSE))),"")</f>
        <v>1A</v>
      </c>
      <c r="J637" t="str">
        <f>IFERROR(IF(INDEX(Fall!$1:$1048576,MATCH(All!$A637,Fall!$A:$A,FALSE),MATCH(All!J$1,Fall!$1:$1,FALSE))="","",INDEX(Fall!$1:$1048576,MATCH(All!$A637,Fall!$A:$A,FALSE),MATCH(All!J$1,Fall!$1:$1,FALSE))),"")</f>
        <v>1A</v>
      </c>
      <c r="K637" t="str">
        <f>IFERROR(IF(INDEX(Fall!$1:$1048576,MATCH(All!$A637,Fall!$A:$A,FALSE),MATCH(All!K$1,Fall!$1:$1,FALSE))="","",INDEX(Fall!$1:$1048576,MATCH(All!$A637,Fall!$A:$A,FALSE),MATCH(All!K$1,Fall!$1:$1,FALSE))),"")</f>
        <v>1A</v>
      </c>
      <c r="L637" t="str">
        <f>IFERROR(IF(INDEX(Fall!$1:$1048576,MATCH(All!$A637,Fall!$A:$A,FALSE),MATCH(All!L$1,Fall!$1:$1,FALSE))="","",INDEX(Fall!$1:$1048576,MATCH(All!$A637,Fall!$A:$A,FALSE),MATCH(All!L$1,Fall!$1:$1,FALSE))),"")</f>
        <v>1A</v>
      </c>
      <c r="M637" t="str">
        <f>IFERROR(IF(INDEX(Fall!$1:$1048576,MATCH(All!$A637,Fall!$A:$A,FALSE),MATCH(All!M$1,Fall!$1:$1,FALSE))="","",INDEX(Fall!$1:$1048576,MATCH(All!$A637,Fall!$A:$A,FALSE),MATCH(All!M$1,Fall!$1:$1,FALSE))),"")</f>
        <v>2A</v>
      </c>
      <c r="O637">
        <f>IFERROR(IF(INDEX(Winter!$1:$1048576,MATCH(All!$A637,Winter!$A:$A,FALSE),MATCH(All!O$1,Winter!$1:$1,FALSE))="","",INDEX(Winter!$1:$1048576,MATCH(All!$A637,Winter!$A:$A,FALSE),MATCH(All!O$1,Winter!$1:$1,FALSE))),"")</f>
        <v>439</v>
      </c>
      <c r="P637" t="str">
        <f>IFERROR(IF(INDEX(Winter!$1:$1048576,MATCH(All!$A637,Winter!$A:$A,FALSE),MATCH(All!P$1,Winter!$1:$1,FALSE))="","",INDEX(Winter!$1:$1048576,MATCH(All!$A637,Winter!$A:$A,FALSE),MATCH(All!P$1,Winter!$1:$1,FALSE))),"")</f>
        <v>2A</v>
      </c>
      <c r="Q637" t="str">
        <f>IFERROR(IF(INDEX(Winter!$1:$1048576,MATCH(All!$A637,Winter!$A:$A,FALSE),MATCH(All!Q$1,Winter!$1:$1,FALSE))="","",INDEX(Winter!$1:$1048576,MATCH(All!$A637,Winter!$A:$A,FALSE),MATCH(All!Q$1,Winter!$1:$1,FALSE))),"")</f>
        <v>2A</v>
      </c>
      <c r="R637" t="str">
        <f>IFERROR(IF(INDEX(Winter!$1:$1048576,MATCH(All!$A637,Winter!$A:$A,FALSE),MATCH(All!R$1,Winter!$1:$1,FALSE))="","",INDEX(Winter!$1:$1048576,MATCH(All!$A637,Winter!$A:$A,FALSE),MATCH(All!R$1,Winter!$1:$1,FALSE))),"")</f>
        <v>1A</v>
      </c>
      <c r="S637" t="str">
        <f>IFERROR(IF(INDEX(Winter!$1:$1048576,MATCH(All!$A637,Winter!$A:$A,FALSE),MATCH(All!S$1,Winter!$1:$1,FALSE))="","",INDEX(Winter!$1:$1048576,MATCH(All!$A637,Winter!$A:$A,FALSE),MATCH(All!S$1,Winter!$1:$1,FALSE))),"")</f>
        <v/>
      </c>
      <c r="T637" t="str">
        <f>IFERROR(IF(INDEX(Winter!$1:$1048576,MATCH(All!$A637,Winter!$A:$A,FALSE),MATCH(All!T$1,Winter!$1:$1,FALSE))="","",INDEX(Winter!$1:$1048576,MATCH(All!$A637,Winter!$A:$A,FALSE),MATCH(All!T$1,Winter!$1:$1,FALSE))),"")</f>
        <v>1A</v>
      </c>
      <c r="U637" t="str">
        <f>IFERROR(IF(INDEX(Winter!$1:$1048576,MATCH(All!$A637,Winter!$A:$A,FALSE),MATCH(All!U$1,Winter!$1:$1,FALSE))="","",INDEX(Winter!$1:$1048576,MATCH(All!$A637,Winter!$A:$A,FALSE),MATCH(All!U$1,Winter!$1:$1,FALSE))),"")</f>
        <v>1A</v>
      </c>
      <c r="W637">
        <f>IFERROR(IF(INDEX(Spring!$1:$1048576,MATCH(All!$A637,Spring!$A:$A,FALSE),MATCH(All!W$1,Spring!$1:$1,FALSE))="","",INDEX(Spring!$1:$1048576,MATCH(All!$A637,Spring!$A:$A,FALSE),MATCH(All!W$1,Spring!$1:$1,FALSE))),"")</f>
        <v>439</v>
      </c>
      <c r="X637" t="str">
        <f>IFERROR(IF(INDEX(Spring!$1:$1048576,MATCH(All!$A637,Spring!$A:$A,FALSE),MATCH(All!X$1,Spring!$1:$1,FALSE))="","",INDEX(Spring!$1:$1048576,MATCH(All!$A637,Spring!$A:$A,FALSE),MATCH(All!X$1,Spring!$1:$1,FALSE))),"")</f>
        <v>2A</v>
      </c>
      <c r="Y637" t="str">
        <f>IFERROR(IF(INDEX(Spring!$1:$1048576,MATCH(All!$A637,Spring!$A:$A,FALSE),MATCH(All!Y$1,Spring!$1:$1,FALSE))="","",INDEX(Spring!$1:$1048576,MATCH(All!$A637,Spring!$A:$A,FALSE),MATCH(All!Y$1,Spring!$1:$1,FALSE))),"")</f>
        <v>2A</v>
      </c>
      <c r="Z637" t="str">
        <f>IFERROR(IF(INDEX(Spring!$1:$1048576,MATCH(All!$A637,Spring!$A:$A,FALSE),MATCH(All!Z$1,Spring!$1:$1,FALSE))="","",INDEX(Spring!$1:$1048576,MATCH(All!$A637,Spring!$A:$A,FALSE),MATCH(All!Z$1,Spring!$1:$1,FALSE))),"")</f>
        <v/>
      </c>
      <c r="AA637" t="str">
        <f>IFERROR(IF(INDEX(Spring!$1:$1048576,MATCH(All!$A637,Spring!$A:$A,FALSE),MATCH(All!AA$1,Spring!$1:$1,FALSE))="","",INDEX(Spring!$1:$1048576,MATCH(All!$A637,Spring!$A:$A,FALSE),MATCH(All!AA$1,Spring!$1:$1,FALSE))),"")</f>
        <v>1A</v>
      </c>
      <c r="AB637" t="str">
        <f>IFERROR(IF(INDEX(Spring!$1:$1048576,MATCH(All!$A637,Spring!$A:$A,FALSE),MATCH(All!AB$1,Spring!$1:$1,FALSE))="","",INDEX(Spring!$1:$1048576,MATCH(All!$A637,Spring!$A:$A,FALSE),MATCH(All!AB$1,Spring!$1:$1,FALSE))),"")</f>
        <v>1A</v>
      </c>
      <c r="AC637" t="str">
        <f>IFERROR(IF(INDEX(Spring!$1:$1048576,MATCH(All!$A637,Spring!$A:$A,FALSE),MATCH(All!AC$1,Spring!$1:$1,FALSE))="","",INDEX(Spring!$1:$1048576,MATCH(All!$A637,Spring!$A:$A,FALSE),MATCH(All!AC$1,Spring!$1:$1,FALSE))),"")</f>
        <v>1A</v>
      </c>
      <c r="AD637" t="str">
        <f>IFERROR(VLOOKUP(A637,'Flag Football'!A:A,1,FALSE),"")</f>
        <v/>
      </c>
      <c r="AE637" t="str">
        <f t="shared" si="9"/>
        <v/>
      </c>
    </row>
    <row r="638" spans="1:31" ht="15.75" thickBot="1" x14ac:dyDescent="0.3">
      <c r="A638" s="18" t="s">
        <v>741</v>
      </c>
      <c r="B638" s="38">
        <f>IFERROR(VLOOKUP(A638,'Public v Private'!A:G,3,FALSE),"")</f>
        <v>0</v>
      </c>
      <c r="C638" s="38">
        <f>IFERROR(VLOOKUP(A638,'Public v Private'!A:G,4,FALSE),"")</f>
        <v>0</v>
      </c>
      <c r="D638" s="38">
        <f>IFERROR(VLOOKUP(A638,'Public v Private'!A:G,5,FALSE),"")</f>
        <v>0</v>
      </c>
      <c r="E638" s="38"/>
      <c r="F638" s="40">
        <f>IFERROR(INDEX(Fall!$1:$1048576,MATCH(All!$A638,Fall!$A:$A,FALSE),MATCH(All!F$1,Fall!$1:$1,FALSE)),"N/A")</f>
        <v>824</v>
      </c>
      <c r="G638" t="str">
        <f>IFERROR(IF(INDEX(Fall!$1:$1048576,MATCH(All!$A638,Fall!$A:$A,FALSE),MATCH(All!G$1,Fall!$1:$1,FALSE))="","",INDEX(Fall!$1:$1048576,MATCH(All!$A638,Fall!$A:$A,FALSE),MATCH(All!G$1,Fall!$1:$1,FALSE))),"")</f>
        <v>2A</v>
      </c>
      <c r="H638" t="str">
        <f>IFERROR(IF(INDEX(Fall!$1:$1048576,MATCH(All!$A638,Fall!$A:$A,FALSE),MATCH(All!H$1,Fall!$1:$1,FALSE))="","",INDEX(Fall!$1:$1048576,MATCH(All!$A638,Fall!$A:$A,FALSE),MATCH(All!H$1,Fall!$1:$1,FALSE))),"")</f>
        <v>2A</v>
      </c>
      <c r="I638" t="str">
        <f>IFERROR(IF(INDEX(Fall!$1:$1048576,MATCH(All!$A638,Fall!$A:$A,FALSE),MATCH(All!I$1,Fall!$1:$1,FALSE))="","",INDEX(Fall!$1:$1048576,MATCH(All!$A638,Fall!$A:$A,FALSE),MATCH(All!I$1,Fall!$1:$1,FALSE))),"")</f>
        <v>2A</v>
      </c>
      <c r="J638" t="str">
        <f>IFERROR(IF(INDEX(Fall!$1:$1048576,MATCH(All!$A638,Fall!$A:$A,FALSE),MATCH(All!J$1,Fall!$1:$1,FALSE))="","",INDEX(Fall!$1:$1048576,MATCH(All!$A638,Fall!$A:$A,FALSE),MATCH(All!J$1,Fall!$1:$1,FALSE))),"")</f>
        <v/>
      </c>
      <c r="K638" t="str">
        <f>IFERROR(IF(INDEX(Fall!$1:$1048576,MATCH(All!$A638,Fall!$A:$A,FALSE),MATCH(All!K$1,Fall!$1:$1,FALSE))="","",INDEX(Fall!$1:$1048576,MATCH(All!$A638,Fall!$A:$A,FALSE),MATCH(All!K$1,Fall!$1:$1,FALSE))),"")</f>
        <v>2A</v>
      </c>
      <c r="L638" t="str">
        <f>IFERROR(IF(INDEX(Fall!$1:$1048576,MATCH(All!$A638,Fall!$A:$A,FALSE),MATCH(All!L$1,Fall!$1:$1,FALSE))="","",INDEX(Fall!$1:$1048576,MATCH(All!$A638,Fall!$A:$A,FALSE),MATCH(All!L$1,Fall!$1:$1,FALSE))),"")</f>
        <v>1A</v>
      </c>
      <c r="M638" t="str">
        <f>IFERROR(IF(INDEX(Fall!$1:$1048576,MATCH(All!$A638,Fall!$A:$A,FALSE),MATCH(All!M$1,Fall!$1:$1,FALSE))="","",INDEX(Fall!$1:$1048576,MATCH(All!$A638,Fall!$A:$A,FALSE),MATCH(All!M$1,Fall!$1:$1,FALSE))),"")</f>
        <v>3A</v>
      </c>
      <c r="O638">
        <f>IFERROR(IF(INDEX(Winter!$1:$1048576,MATCH(All!$A638,Winter!$A:$A,FALSE),MATCH(All!O$1,Winter!$1:$1,FALSE))="","",INDEX(Winter!$1:$1048576,MATCH(All!$A638,Winter!$A:$A,FALSE),MATCH(All!O$1,Winter!$1:$1,FALSE))),"")</f>
        <v>824</v>
      </c>
      <c r="P638" t="str">
        <f>IFERROR(IF(INDEX(Winter!$1:$1048576,MATCH(All!$A638,Winter!$A:$A,FALSE),MATCH(All!P$1,Winter!$1:$1,FALSE))="","",INDEX(Winter!$1:$1048576,MATCH(All!$A638,Winter!$A:$A,FALSE),MATCH(All!P$1,Winter!$1:$1,FALSE))),"")</f>
        <v>3A</v>
      </c>
      <c r="Q638" t="str">
        <f>IFERROR(IF(INDEX(Winter!$1:$1048576,MATCH(All!$A638,Winter!$A:$A,FALSE),MATCH(All!Q$1,Winter!$1:$1,FALSE))="","",INDEX(Winter!$1:$1048576,MATCH(All!$A638,Winter!$A:$A,FALSE),MATCH(All!Q$1,Winter!$1:$1,FALSE))),"")</f>
        <v>3A</v>
      </c>
      <c r="R638" t="str">
        <f>IFERROR(IF(INDEX(Winter!$1:$1048576,MATCH(All!$A638,Winter!$A:$A,FALSE),MATCH(All!R$1,Winter!$1:$1,FALSE))="","",INDEX(Winter!$1:$1048576,MATCH(All!$A638,Winter!$A:$A,FALSE),MATCH(All!R$1,Winter!$1:$1,FALSE))),"")</f>
        <v>2A</v>
      </c>
      <c r="S638" t="str">
        <f>IFERROR(IF(INDEX(Winter!$1:$1048576,MATCH(All!$A638,Winter!$A:$A,FALSE),MATCH(All!S$1,Winter!$1:$1,FALSE))="","",INDEX(Winter!$1:$1048576,MATCH(All!$A638,Winter!$A:$A,FALSE),MATCH(All!S$1,Winter!$1:$1,FALSE))),"")</f>
        <v/>
      </c>
      <c r="T638" t="str">
        <f>IFERROR(IF(INDEX(Winter!$1:$1048576,MATCH(All!$A638,Winter!$A:$A,FALSE),MATCH(All!T$1,Winter!$1:$1,FALSE))="","",INDEX(Winter!$1:$1048576,MATCH(All!$A638,Winter!$A:$A,FALSE),MATCH(All!T$1,Winter!$1:$1,FALSE))),"")</f>
        <v>2A</v>
      </c>
      <c r="U638" t="str">
        <f>IFERROR(IF(INDEX(Winter!$1:$1048576,MATCH(All!$A638,Winter!$A:$A,FALSE),MATCH(All!U$1,Winter!$1:$1,FALSE))="","",INDEX(Winter!$1:$1048576,MATCH(All!$A638,Winter!$A:$A,FALSE),MATCH(All!U$1,Winter!$1:$1,FALSE))),"")</f>
        <v>2A</v>
      </c>
      <c r="W638">
        <f>IFERROR(IF(INDEX(Spring!$1:$1048576,MATCH(All!$A638,Spring!$A:$A,FALSE),MATCH(All!W$1,Spring!$1:$1,FALSE))="","",INDEX(Spring!$1:$1048576,MATCH(All!$A638,Spring!$A:$A,FALSE),MATCH(All!W$1,Spring!$1:$1,FALSE))),"")</f>
        <v>824</v>
      </c>
      <c r="X638" t="str">
        <f>IFERROR(IF(INDEX(Spring!$1:$1048576,MATCH(All!$A638,Spring!$A:$A,FALSE),MATCH(All!X$1,Spring!$1:$1,FALSE))="","",INDEX(Spring!$1:$1048576,MATCH(All!$A638,Spring!$A:$A,FALSE),MATCH(All!X$1,Spring!$1:$1,FALSE))),"")</f>
        <v>3A</v>
      </c>
      <c r="Y638" t="str">
        <f>IFERROR(IF(INDEX(Spring!$1:$1048576,MATCH(All!$A638,Spring!$A:$A,FALSE),MATCH(All!Y$1,Spring!$1:$1,FALSE))="","",INDEX(Spring!$1:$1048576,MATCH(All!$A638,Spring!$A:$A,FALSE),MATCH(All!Y$1,Spring!$1:$1,FALSE))),"")</f>
        <v>3A</v>
      </c>
      <c r="Z638" t="str">
        <f>IFERROR(IF(INDEX(Spring!$1:$1048576,MATCH(All!$A638,Spring!$A:$A,FALSE),MATCH(All!Z$1,Spring!$1:$1,FALSE))="","",INDEX(Spring!$1:$1048576,MATCH(All!$A638,Spring!$A:$A,FALSE),MATCH(All!Z$1,Spring!$1:$1,FALSE))),"")</f>
        <v>2A</v>
      </c>
      <c r="AA638" t="str">
        <f>IFERROR(IF(INDEX(Spring!$1:$1048576,MATCH(All!$A638,Spring!$A:$A,FALSE),MATCH(All!AA$1,Spring!$1:$1,FALSE))="","",INDEX(Spring!$1:$1048576,MATCH(All!$A638,Spring!$A:$A,FALSE),MATCH(All!AA$1,Spring!$1:$1,FALSE))),"")</f>
        <v>1A</v>
      </c>
      <c r="AB638" t="str">
        <f>IFERROR(IF(INDEX(Spring!$1:$1048576,MATCH(All!$A638,Spring!$A:$A,FALSE),MATCH(All!AB$1,Spring!$1:$1,FALSE))="","",INDEX(Spring!$1:$1048576,MATCH(All!$A638,Spring!$A:$A,FALSE),MATCH(All!AB$1,Spring!$1:$1,FALSE))),"")</f>
        <v>2A</v>
      </c>
      <c r="AC638" t="str">
        <f>IFERROR(IF(INDEX(Spring!$1:$1048576,MATCH(All!$A638,Spring!$A:$A,FALSE),MATCH(All!AC$1,Spring!$1:$1,FALSE))="","",INDEX(Spring!$1:$1048576,MATCH(All!$A638,Spring!$A:$A,FALSE),MATCH(All!AC$1,Spring!$1:$1,FALSE))),"")</f>
        <v>2A</v>
      </c>
      <c r="AD638" t="str">
        <f>IFERROR(VLOOKUP(A638,'Flag Football'!A:A,1,FALSE),"")</f>
        <v/>
      </c>
      <c r="AE638" t="str">
        <f t="shared" si="9"/>
        <v/>
      </c>
    </row>
    <row r="639" spans="1:31" ht="15.75" thickBot="1" x14ac:dyDescent="0.3">
      <c r="A639" s="20" t="s">
        <v>742</v>
      </c>
      <c r="B639" s="38">
        <f>IFERROR(VLOOKUP(A639,'Public v Private'!A:G,3,FALSE),"")</f>
        <v>0</v>
      </c>
      <c r="C639" s="38">
        <f>IFERROR(VLOOKUP(A639,'Public v Private'!A:G,4,FALSE),"")</f>
        <v>0</v>
      </c>
      <c r="D639" s="38">
        <f>IFERROR(VLOOKUP(A639,'Public v Private'!A:G,5,FALSE),"")</f>
        <v>0</v>
      </c>
      <c r="E639" s="38"/>
      <c r="F639" s="40">
        <f>IFERROR(INDEX(Fall!$1:$1048576,MATCH(All!$A639,Fall!$A:$A,FALSE),MATCH(All!F$1,Fall!$1:$1,FALSE)),"N/A")</f>
        <v>682</v>
      </c>
      <c r="G639" t="str">
        <f>IFERROR(IF(INDEX(Fall!$1:$1048576,MATCH(All!$A639,Fall!$A:$A,FALSE),MATCH(All!G$1,Fall!$1:$1,FALSE))="","",INDEX(Fall!$1:$1048576,MATCH(All!$A639,Fall!$A:$A,FALSE),MATCH(All!G$1,Fall!$1:$1,FALSE))),"")</f>
        <v>2A</v>
      </c>
      <c r="H639" t="str">
        <f>IFERROR(IF(INDEX(Fall!$1:$1048576,MATCH(All!$A639,Fall!$A:$A,FALSE),MATCH(All!H$1,Fall!$1:$1,FALSE))="","",INDEX(Fall!$1:$1048576,MATCH(All!$A639,Fall!$A:$A,FALSE),MATCH(All!H$1,Fall!$1:$1,FALSE))),"")</f>
        <v>2A</v>
      </c>
      <c r="I639" t="str">
        <f>IFERROR(IF(INDEX(Fall!$1:$1048576,MATCH(All!$A639,Fall!$A:$A,FALSE),MATCH(All!I$1,Fall!$1:$1,FALSE))="","",INDEX(Fall!$1:$1048576,MATCH(All!$A639,Fall!$A:$A,FALSE),MATCH(All!I$1,Fall!$1:$1,FALSE))),"")</f>
        <v>2A</v>
      </c>
      <c r="J639" t="str">
        <f>IFERROR(IF(INDEX(Fall!$1:$1048576,MATCH(All!$A639,Fall!$A:$A,FALSE),MATCH(All!J$1,Fall!$1:$1,FALSE))="","",INDEX(Fall!$1:$1048576,MATCH(All!$A639,Fall!$A:$A,FALSE),MATCH(All!J$1,Fall!$1:$1,FALSE))),"")</f>
        <v>1A</v>
      </c>
      <c r="K639" t="str">
        <f>IFERROR(IF(INDEX(Fall!$1:$1048576,MATCH(All!$A639,Fall!$A:$A,FALSE),MATCH(All!K$1,Fall!$1:$1,FALSE))="","",INDEX(Fall!$1:$1048576,MATCH(All!$A639,Fall!$A:$A,FALSE),MATCH(All!K$1,Fall!$1:$1,FALSE))),"")</f>
        <v>1A</v>
      </c>
      <c r="L639" t="str">
        <f>IFERROR(IF(INDEX(Fall!$1:$1048576,MATCH(All!$A639,Fall!$A:$A,FALSE),MATCH(All!L$1,Fall!$1:$1,FALSE))="","",INDEX(Fall!$1:$1048576,MATCH(All!$A639,Fall!$A:$A,FALSE),MATCH(All!L$1,Fall!$1:$1,FALSE))),"")</f>
        <v>1A</v>
      </c>
      <c r="M639" t="str">
        <f>IFERROR(IF(INDEX(Fall!$1:$1048576,MATCH(All!$A639,Fall!$A:$A,FALSE),MATCH(All!M$1,Fall!$1:$1,FALSE))="","",INDEX(Fall!$1:$1048576,MATCH(All!$A639,Fall!$A:$A,FALSE),MATCH(All!M$1,Fall!$1:$1,FALSE))),"")</f>
        <v>2A</v>
      </c>
      <c r="O639">
        <f>IFERROR(IF(INDEX(Winter!$1:$1048576,MATCH(All!$A639,Winter!$A:$A,FALSE),MATCH(All!O$1,Winter!$1:$1,FALSE))="","",INDEX(Winter!$1:$1048576,MATCH(All!$A639,Winter!$A:$A,FALSE),MATCH(All!O$1,Winter!$1:$1,FALSE))),"")</f>
        <v>682</v>
      </c>
      <c r="P639" t="str">
        <f>IFERROR(IF(INDEX(Winter!$1:$1048576,MATCH(All!$A639,Winter!$A:$A,FALSE),MATCH(All!P$1,Winter!$1:$1,FALSE))="","",INDEX(Winter!$1:$1048576,MATCH(All!$A639,Winter!$A:$A,FALSE),MATCH(All!P$1,Winter!$1:$1,FALSE))),"")</f>
        <v>2A</v>
      </c>
      <c r="Q639" t="str">
        <f>IFERROR(IF(INDEX(Winter!$1:$1048576,MATCH(All!$A639,Winter!$A:$A,FALSE),MATCH(All!Q$1,Winter!$1:$1,FALSE))="","",INDEX(Winter!$1:$1048576,MATCH(All!$A639,Winter!$A:$A,FALSE),MATCH(All!Q$1,Winter!$1:$1,FALSE))),"")</f>
        <v>2A</v>
      </c>
      <c r="R639" t="str">
        <f>IFERROR(IF(INDEX(Winter!$1:$1048576,MATCH(All!$A639,Winter!$A:$A,FALSE),MATCH(All!R$1,Winter!$1:$1,FALSE))="","",INDEX(Winter!$1:$1048576,MATCH(All!$A639,Winter!$A:$A,FALSE),MATCH(All!R$1,Winter!$1:$1,FALSE))),"")</f>
        <v/>
      </c>
      <c r="S639" t="str">
        <f>IFERROR(IF(INDEX(Winter!$1:$1048576,MATCH(All!$A639,Winter!$A:$A,FALSE),MATCH(All!S$1,Winter!$1:$1,FALSE))="","",INDEX(Winter!$1:$1048576,MATCH(All!$A639,Winter!$A:$A,FALSE),MATCH(All!S$1,Winter!$1:$1,FALSE))),"")</f>
        <v/>
      </c>
      <c r="T639" t="str">
        <f>IFERROR(IF(INDEX(Winter!$1:$1048576,MATCH(All!$A639,Winter!$A:$A,FALSE),MATCH(All!T$1,Winter!$1:$1,FALSE))="","",INDEX(Winter!$1:$1048576,MATCH(All!$A639,Winter!$A:$A,FALSE),MATCH(All!T$1,Winter!$1:$1,FALSE))),"")</f>
        <v>2A</v>
      </c>
      <c r="U639" t="str">
        <f>IFERROR(IF(INDEX(Winter!$1:$1048576,MATCH(All!$A639,Winter!$A:$A,FALSE),MATCH(All!U$1,Winter!$1:$1,FALSE))="","",INDEX(Winter!$1:$1048576,MATCH(All!$A639,Winter!$A:$A,FALSE),MATCH(All!U$1,Winter!$1:$1,FALSE))),"")</f>
        <v>1A</v>
      </c>
      <c r="W639">
        <f>IFERROR(IF(INDEX(Spring!$1:$1048576,MATCH(All!$A639,Spring!$A:$A,FALSE),MATCH(All!W$1,Spring!$1:$1,FALSE))="","",INDEX(Spring!$1:$1048576,MATCH(All!$A639,Spring!$A:$A,FALSE),MATCH(All!W$1,Spring!$1:$1,FALSE))),"")</f>
        <v>682</v>
      </c>
      <c r="X639" t="str">
        <f>IFERROR(IF(INDEX(Spring!$1:$1048576,MATCH(All!$A639,Spring!$A:$A,FALSE),MATCH(All!X$1,Spring!$1:$1,FALSE))="","",INDEX(Spring!$1:$1048576,MATCH(All!$A639,Spring!$A:$A,FALSE),MATCH(All!X$1,Spring!$1:$1,FALSE))),"")</f>
        <v>2A</v>
      </c>
      <c r="Y639" t="str">
        <f>IFERROR(IF(INDEX(Spring!$1:$1048576,MATCH(All!$A639,Spring!$A:$A,FALSE),MATCH(All!Y$1,Spring!$1:$1,FALSE))="","",INDEX(Spring!$1:$1048576,MATCH(All!$A639,Spring!$A:$A,FALSE),MATCH(All!Y$1,Spring!$1:$1,FALSE))),"")</f>
        <v>2A</v>
      </c>
      <c r="Z639" t="str">
        <f>IFERROR(IF(INDEX(Spring!$1:$1048576,MATCH(All!$A639,Spring!$A:$A,FALSE),MATCH(All!Z$1,Spring!$1:$1,FALSE))="","",INDEX(Spring!$1:$1048576,MATCH(All!$A639,Spring!$A:$A,FALSE),MATCH(All!Z$1,Spring!$1:$1,FALSE))),"")</f>
        <v>1A</v>
      </c>
      <c r="AA639" t="str">
        <f>IFERROR(IF(INDEX(Spring!$1:$1048576,MATCH(All!$A639,Spring!$A:$A,FALSE),MATCH(All!AA$1,Spring!$1:$1,FALSE))="","",INDEX(Spring!$1:$1048576,MATCH(All!$A639,Spring!$A:$A,FALSE),MATCH(All!AA$1,Spring!$1:$1,FALSE))),"")</f>
        <v>1A</v>
      </c>
      <c r="AB639" t="str">
        <f>IFERROR(IF(INDEX(Spring!$1:$1048576,MATCH(All!$A639,Spring!$A:$A,FALSE),MATCH(All!AB$1,Spring!$1:$1,FALSE))="","",INDEX(Spring!$1:$1048576,MATCH(All!$A639,Spring!$A:$A,FALSE),MATCH(All!AB$1,Spring!$1:$1,FALSE))),"")</f>
        <v>2A</v>
      </c>
      <c r="AC639" t="str">
        <f>IFERROR(IF(INDEX(Spring!$1:$1048576,MATCH(All!$A639,Spring!$A:$A,FALSE),MATCH(All!AC$1,Spring!$1:$1,FALSE))="","",INDEX(Spring!$1:$1048576,MATCH(All!$A639,Spring!$A:$A,FALSE),MATCH(All!AC$1,Spring!$1:$1,FALSE))),"")</f>
        <v>2A</v>
      </c>
      <c r="AD639" t="str">
        <f>IFERROR(VLOOKUP(A639,'Flag Football'!A:A,1,FALSE),"")</f>
        <v/>
      </c>
      <c r="AE639" t="str">
        <f t="shared" si="9"/>
        <v/>
      </c>
    </row>
    <row r="640" spans="1:31" ht="15.75" thickBot="1" x14ac:dyDescent="0.3">
      <c r="A640" s="18" t="s">
        <v>743</v>
      </c>
      <c r="B640" s="38">
        <f>IFERROR(VLOOKUP(A640,'Public v Private'!A:G,3,FALSE),"")</f>
        <v>0</v>
      </c>
      <c r="C640" s="38">
        <f>IFERROR(VLOOKUP(A640,'Public v Private'!A:G,4,FALSE),"")</f>
        <v>0</v>
      </c>
      <c r="D640" s="38">
        <f>IFERROR(VLOOKUP(A640,'Public v Private'!A:G,5,FALSE),"")</f>
        <v>0</v>
      </c>
      <c r="E640" s="38"/>
      <c r="F640" s="40">
        <f>IFERROR(INDEX(Fall!$1:$1048576,MATCH(All!$A640,Fall!$A:$A,FALSE),MATCH(All!F$1,Fall!$1:$1,FALSE)),"N/A")</f>
        <v>500</v>
      </c>
      <c r="G640" t="str">
        <f>IFERROR(IF(INDEX(Fall!$1:$1048576,MATCH(All!$A640,Fall!$A:$A,FALSE),MATCH(All!G$1,Fall!$1:$1,FALSE))="","",INDEX(Fall!$1:$1048576,MATCH(All!$A640,Fall!$A:$A,FALSE),MATCH(All!G$1,Fall!$1:$1,FALSE))),"")</f>
        <v>1A</v>
      </c>
      <c r="H640" t="str">
        <f>IFERROR(IF(INDEX(Fall!$1:$1048576,MATCH(All!$A640,Fall!$A:$A,FALSE),MATCH(All!H$1,Fall!$1:$1,FALSE))="","",INDEX(Fall!$1:$1048576,MATCH(All!$A640,Fall!$A:$A,FALSE),MATCH(All!H$1,Fall!$1:$1,FALSE))),"")</f>
        <v>1A</v>
      </c>
      <c r="I640" t="str">
        <f>IFERROR(IF(INDEX(Fall!$1:$1048576,MATCH(All!$A640,Fall!$A:$A,FALSE),MATCH(All!I$1,Fall!$1:$1,FALSE))="","",INDEX(Fall!$1:$1048576,MATCH(All!$A640,Fall!$A:$A,FALSE),MATCH(All!I$1,Fall!$1:$1,FALSE))),"")</f>
        <v>1A</v>
      </c>
      <c r="J640" t="str">
        <f>IFERROR(IF(INDEX(Fall!$1:$1048576,MATCH(All!$A640,Fall!$A:$A,FALSE),MATCH(All!J$1,Fall!$1:$1,FALSE))="","",INDEX(Fall!$1:$1048576,MATCH(All!$A640,Fall!$A:$A,FALSE),MATCH(All!J$1,Fall!$1:$1,FALSE))),"")</f>
        <v/>
      </c>
      <c r="K640" t="str">
        <f>IFERROR(IF(INDEX(Fall!$1:$1048576,MATCH(All!$A640,Fall!$A:$A,FALSE),MATCH(All!K$1,Fall!$1:$1,FALSE))="","",INDEX(Fall!$1:$1048576,MATCH(All!$A640,Fall!$A:$A,FALSE),MATCH(All!K$1,Fall!$1:$1,FALSE))),"")</f>
        <v/>
      </c>
      <c r="L640" t="str">
        <f>IFERROR(IF(INDEX(Fall!$1:$1048576,MATCH(All!$A640,Fall!$A:$A,FALSE),MATCH(All!L$1,Fall!$1:$1,FALSE))="","",INDEX(Fall!$1:$1048576,MATCH(All!$A640,Fall!$A:$A,FALSE),MATCH(All!L$1,Fall!$1:$1,FALSE))),"")</f>
        <v/>
      </c>
      <c r="M640" t="str">
        <f>IFERROR(IF(INDEX(Fall!$1:$1048576,MATCH(All!$A640,Fall!$A:$A,FALSE),MATCH(All!M$1,Fall!$1:$1,FALSE))="","",INDEX(Fall!$1:$1048576,MATCH(All!$A640,Fall!$A:$A,FALSE),MATCH(All!M$1,Fall!$1:$1,FALSE))),"")</f>
        <v>2A</v>
      </c>
      <c r="O640">
        <f>IFERROR(IF(INDEX(Winter!$1:$1048576,MATCH(All!$A640,Winter!$A:$A,FALSE),MATCH(All!O$1,Winter!$1:$1,FALSE))="","",INDEX(Winter!$1:$1048576,MATCH(All!$A640,Winter!$A:$A,FALSE),MATCH(All!O$1,Winter!$1:$1,FALSE))),"")</f>
        <v>500</v>
      </c>
      <c r="P640" t="str">
        <f>IFERROR(IF(INDEX(Winter!$1:$1048576,MATCH(All!$A640,Winter!$A:$A,FALSE),MATCH(All!P$1,Winter!$1:$1,FALSE))="","",INDEX(Winter!$1:$1048576,MATCH(All!$A640,Winter!$A:$A,FALSE),MATCH(All!P$1,Winter!$1:$1,FALSE))),"")</f>
        <v>2A</v>
      </c>
      <c r="Q640" t="str">
        <f>IFERROR(IF(INDEX(Winter!$1:$1048576,MATCH(All!$A640,Winter!$A:$A,FALSE),MATCH(All!Q$1,Winter!$1:$1,FALSE))="","",INDEX(Winter!$1:$1048576,MATCH(All!$A640,Winter!$A:$A,FALSE),MATCH(All!Q$1,Winter!$1:$1,FALSE))),"")</f>
        <v>2A</v>
      </c>
      <c r="R640" t="str">
        <f>IFERROR(IF(INDEX(Winter!$1:$1048576,MATCH(All!$A640,Winter!$A:$A,FALSE),MATCH(All!R$1,Winter!$1:$1,FALSE))="","",INDEX(Winter!$1:$1048576,MATCH(All!$A640,Winter!$A:$A,FALSE),MATCH(All!R$1,Winter!$1:$1,FALSE))),"")</f>
        <v/>
      </c>
      <c r="S640" t="str">
        <f>IFERROR(IF(INDEX(Winter!$1:$1048576,MATCH(All!$A640,Winter!$A:$A,FALSE),MATCH(All!S$1,Winter!$1:$1,FALSE))="","",INDEX(Winter!$1:$1048576,MATCH(All!$A640,Winter!$A:$A,FALSE),MATCH(All!S$1,Winter!$1:$1,FALSE))),"")</f>
        <v/>
      </c>
      <c r="T640" t="str">
        <f>IFERROR(IF(INDEX(Winter!$1:$1048576,MATCH(All!$A640,Winter!$A:$A,FALSE),MATCH(All!T$1,Winter!$1:$1,FALSE))="","",INDEX(Winter!$1:$1048576,MATCH(All!$A640,Winter!$A:$A,FALSE),MATCH(All!T$1,Winter!$1:$1,FALSE))),"")</f>
        <v>2A</v>
      </c>
      <c r="U640" t="str">
        <f>IFERROR(IF(INDEX(Winter!$1:$1048576,MATCH(All!$A640,Winter!$A:$A,FALSE),MATCH(All!U$1,Winter!$1:$1,FALSE))="","",INDEX(Winter!$1:$1048576,MATCH(All!$A640,Winter!$A:$A,FALSE),MATCH(All!U$1,Winter!$1:$1,FALSE))),"")</f>
        <v>1A</v>
      </c>
      <c r="W640">
        <f>IFERROR(IF(INDEX(Spring!$1:$1048576,MATCH(All!$A640,Spring!$A:$A,FALSE),MATCH(All!W$1,Spring!$1:$1,FALSE))="","",INDEX(Spring!$1:$1048576,MATCH(All!$A640,Spring!$A:$A,FALSE),MATCH(All!W$1,Spring!$1:$1,FALSE))),"")</f>
        <v>500</v>
      </c>
      <c r="X640" t="str">
        <f>IFERROR(IF(INDEX(Spring!$1:$1048576,MATCH(All!$A640,Spring!$A:$A,FALSE),MATCH(All!X$1,Spring!$1:$1,FALSE))="","",INDEX(Spring!$1:$1048576,MATCH(All!$A640,Spring!$A:$A,FALSE),MATCH(All!X$1,Spring!$1:$1,FALSE))),"")</f>
        <v>2A</v>
      </c>
      <c r="Y640" t="str">
        <f>IFERROR(IF(INDEX(Spring!$1:$1048576,MATCH(All!$A640,Spring!$A:$A,FALSE),MATCH(All!Y$1,Spring!$1:$1,FALSE))="","",INDEX(Spring!$1:$1048576,MATCH(All!$A640,Spring!$A:$A,FALSE),MATCH(All!Y$1,Spring!$1:$1,FALSE))),"")</f>
        <v>2A</v>
      </c>
      <c r="Z640" t="str">
        <f>IFERROR(IF(INDEX(Spring!$1:$1048576,MATCH(All!$A640,Spring!$A:$A,FALSE),MATCH(All!Z$1,Spring!$1:$1,FALSE))="","",INDEX(Spring!$1:$1048576,MATCH(All!$A640,Spring!$A:$A,FALSE),MATCH(All!Z$1,Spring!$1:$1,FALSE))),"")</f>
        <v/>
      </c>
      <c r="AA640" t="str">
        <f>IFERROR(IF(INDEX(Spring!$1:$1048576,MATCH(All!$A640,Spring!$A:$A,FALSE),MATCH(All!AA$1,Spring!$1:$1,FALSE))="","",INDEX(Spring!$1:$1048576,MATCH(All!$A640,Spring!$A:$A,FALSE),MATCH(All!AA$1,Spring!$1:$1,FALSE))),"")</f>
        <v/>
      </c>
      <c r="AB640" t="str">
        <f>IFERROR(IF(INDEX(Spring!$1:$1048576,MATCH(All!$A640,Spring!$A:$A,FALSE),MATCH(All!AB$1,Spring!$1:$1,FALSE))="","",INDEX(Spring!$1:$1048576,MATCH(All!$A640,Spring!$A:$A,FALSE),MATCH(All!AB$1,Spring!$1:$1,FALSE))),"")</f>
        <v>2A</v>
      </c>
      <c r="AC640" t="str">
        <f>IFERROR(IF(INDEX(Spring!$1:$1048576,MATCH(All!$A640,Spring!$A:$A,FALSE),MATCH(All!AC$1,Spring!$1:$1,FALSE))="","",INDEX(Spring!$1:$1048576,MATCH(All!$A640,Spring!$A:$A,FALSE),MATCH(All!AC$1,Spring!$1:$1,FALSE))),"")</f>
        <v>2A</v>
      </c>
      <c r="AD640" t="str">
        <f>IFERROR(VLOOKUP(A640,'Flag Football'!A:A,1,FALSE),"")</f>
        <v/>
      </c>
      <c r="AE640" t="str">
        <f t="shared" si="9"/>
        <v/>
      </c>
    </row>
    <row r="641" spans="1:31" ht="15.75" thickBot="1" x14ac:dyDescent="0.3">
      <c r="A641" s="20" t="s">
        <v>744</v>
      </c>
      <c r="B641" s="38" t="str">
        <f>IFERROR(VLOOKUP(A641,'Public v Private'!A:G,3,FALSE),"")</f>
        <v>private</v>
      </c>
      <c r="C641" s="38">
        <f>IFERROR(VLOOKUP(A641,'Public v Private'!A:G,4,FALSE),"")</f>
        <v>4</v>
      </c>
      <c r="D641" s="38">
        <f>IFERROR(VLOOKUP(A641,'Public v Private'!A:G,5,FALSE),"")</f>
        <v>11</v>
      </c>
      <c r="E641" s="38"/>
      <c r="F641" s="40" t="str">
        <f>IFERROR(INDEX(Fall!$1:$1048576,MATCH(All!$A641,Fall!$A:$A,FALSE),MATCH(All!F$1,Fall!$1:$1,FALSE)),"N/A")</f>
        <v>285.00 (470.25)</v>
      </c>
      <c r="G641" t="str">
        <f>IFERROR(IF(INDEX(Fall!$1:$1048576,MATCH(All!$A641,Fall!$A:$A,FALSE),MATCH(All!G$1,Fall!$1:$1,FALSE))="","",INDEX(Fall!$1:$1048576,MATCH(All!$A641,Fall!$A:$A,FALSE),MATCH(All!G$1,Fall!$1:$1,FALSE))),"")</f>
        <v>1A</v>
      </c>
      <c r="H641" t="str">
        <f>IFERROR(IF(INDEX(Fall!$1:$1048576,MATCH(All!$A641,Fall!$A:$A,FALSE),MATCH(All!H$1,Fall!$1:$1,FALSE))="","",INDEX(Fall!$1:$1048576,MATCH(All!$A641,Fall!$A:$A,FALSE),MATCH(All!H$1,Fall!$1:$1,FALSE))),"")</f>
        <v>1A</v>
      </c>
      <c r="I641" t="str">
        <f>IFERROR(IF(INDEX(Fall!$1:$1048576,MATCH(All!$A641,Fall!$A:$A,FALSE),MATCH(All!I$1,Fall!$1:$1,FALSE))="","",INDEX(Fall!$1:$1048576,MATCH(All!$A641,Fall!$A:$A,FALSE),MATCH(All!I$1,Fall!$1:$1,FALSE))),"")</f>
        <v>1A</v>
      </c>
      <c r="J641" t="str">
        <f>IFERROR(IF(INDEX(Fall!$1:$1048576,MATCH(All!$A641,Fall!$A:$A,FALSE),MATCH(All!J$1,Fall!$1:$1,FALSE))="","",INDEX(Fall!$1:$1048576,MATCH(All!$A641,Fall!$A:$A,FALSE),MATCH(All!J$1,Fall!$1:$1,FALSE))),"")</f>
        <v/>
      </c>
      <c r="K641" t="str">
        <f>IFERROR(IF(INDEX(Fall!$1:$1048576,MATCH(All!$A641,Fall!$A:$A,FALSE),MATCH(All!K$1,Fall!$1:$1,FALSE))="","",INDEX(Fall!$1:$1048576,MATCH(All!$A641,Fall!$A:$A,FALSE),MATCH(All!K$1,Fall!$1:$1,FALSE))),"")</f>
        <v>1A</v>
      </c>
      <c r="L641" t="str">
        <f>IFERROR(IF(INDEX(Fall!$1:$1048576,MATCH(All!$A641,Fall!$A:$A,FALSE),MATCH(All!L$1,Fall!$1:$1,FALSE))="","",INDEX(Fall!$1:$1048576,MATCH(All!$A641,Fall!$A:$A,FALSE),MATCH(All!L$1,Fall!$1:$1,FALSE))),"")</f>
        <v>1A</v>
      </c>
      <c r="M641" t="str">
        <f>IFERROR(IF(INDEX(Fall!$1:$1048576,MATCH(All!$A641,Fall!$A:$A,FALSE),MATCH(All!M$1,Fall!$1:$1,FALSE))="","",INDEX(Fall!$1:$1048576,MATCH(All!$A641,Fall!$A:$A,FALSE),MATCH(All!M$1,Fall!$1:$1,FALSE))),"")</f>
        <v>1A</v>
      </c>
      <c r="O641" t="str">
        <f>IFERROR(IF(INDEX(Winter!$1:$1048576,MATCH(All!$A641,Winter!$A:$A,FALSE),MATCH(All!O$1,Winter!$1:$1,FALSE))="","",INDEX(Winter!$1:$1048576,MATCH(All!$A641,Winter!$A:$A,FALSE),MATCH(All!O$1,Winter!$1:$1,FALSE))),"")</f>
        <v>285.00 (470.25)</v>
      </c>
      <c r="P641" t="str">
        <f>IFERROR(IF(INDEX(Winter!$1:$1048576,MATCH(All!$A641,Winter!$A:$A,FALSE),MATCH(All!P$1,Winter!$1:$1,FALSE))="","",INDEX(Winter!$1:$1048576,MATCH(All!$A641,Winter!$A:$A,FALSE),MATCH(All!P$1,Winter!$1:$1,FALSE))),"")</f>
        <v>1A</v>
      </c>
      <c r="Q641" t="str">
        <f>IFERROR(IF(INDEX(Winter!$1:$1048576,MATCH(All!$A641,Winter!$A:$A,FALSE),MATCH(All!Q$1,Winter!$1:$1,FALSE))="","",INDEX(Winter!$1:$1048576,MATCH(All!$A641,Winter!$A:$A,FALSE),MATCH(All!Q$1,Winter!$1:$1,FALSE))),"")</f>
        <v>2A</v>
      </c>
      <c r="R641" t="str">
        <f>IFERROR(IF(INDEX(Winter!$1:$1048576,MATCH(All!$A641,Winter!$A:$A,FALSE),MATCH(All!R$1,Winter!$1:$1,FALSE))="","",INDEX(Winter!$1:$1048576,MATCH(All!$A641,Winter!$A:$A,FALSE),MATCH(All!R$1,Winter!$1:$1,FALSE))),"")</f>
        <v/>
      </c>
      <c r="S641" t="str">
        <f>IFERROR(IF(INDEX(Winter!$1:$1048576,MATCH(All!$A641,Winter!$A:$A,FALSE),MATCH(All!S$1,Winter!$1:$1,FALSE))="","",INDEX(Winter!$1:$1048576,MATCH(All!$A641,Winter!$A:$A,FALSE),MATCH(All!S$1,Winter!$1:$1,FALSE))),"")</f>
        <v/>
      </c>
      <c r="T641" t="str">
        <f>IFERROR(IF(INDEX(Winter!$1:$1048576,MATCH(All!$A641,Winter!$A:$A,FALSE),MATCH(All!T$1,Winter!$1:$1,FALSE))="","",INDEX(Winter!$1:$1048576,MATCH(All!$A641,Winter!$A:$A,FALSE),MATCH(All!T$1,Winter!$1:$1,FALSE))),"")</f>
        <v/>
      </c>
      <c r="U641" t="str">
        <f>IFERROR(IF(INDEX(Winter!$1:$1048576,MATCH(All!$A641,Winter!$A:$A,FALSE),MATCH(All!U$1,Winter!$1:$1,FALSE))="","",INDEX(Winter!$1:$1048576,MATCH(All!$A641,Winter!$A:$A,FALSE),MATCH(All!U$1,Winter!$1:$1,FALSE))),"")</f>
        <v>1A</v>
      </c>
      <c r="W641" t="str">
        <f>IFERROR(IF(INDEX(Spring!$1:$1048576,MATCH(All!$A641,Spring!$A:$A,FALSE),MATCH(All!W$1,Spring!$1:$1,FALSE))="","",INDEX(Spring!$1:$1048576,MATCH(All!$A641,Spring!$A:$A,FALSE),MATCH(All!W$1,Spring!$1:$1,FALSE))),"")</f>
        <v>285.00 (470.25)</v>
      </c>
      <c r="X641" t="str">
        <f>IFERROR(IF(INDEX(Spring!$1:$1048576,MATCH(All!$A641,Spring!$A:$A,FALSE),MATCH(All!X$1,Spring!$1:$1,FALSE))="","",INDEX(Spring!$1:$1048576,MATCH(All!$A641,Spring!$A:$A,FALSE),MATCH(All!X$1,Spring!$1:$1,FALSE))),"")</f>
        <v>2A</v>
      </c>
      <c r="Y641" t="str">
        <f>IFERROR(IF(INDEX(Spring!$1:$1048576,MATCH(All!$A641,Spring!$A:$A,FALSE),MATCH(All!Y$1,Spring!$1:$1,FALSE))="","",INDEX(Spring!$1:$1048576,MATCH(All!$A641,Spring!$A:$A,FALSE),MATCH(All!Y$1,Spring!$1:$1,FALSE))),"")</f>
        <v>2A</v>
      </c>
      <c r="Z641" t="str">
        <f>IFERROR(IF(INDEX(Spring!$1:$1048576,MATCH(All!$A641,Spring!$A:$A,FALSE),MATCH(All!Z$1,Spring!$1:$1,FALSE))="","",INDEX(Spring!$1:$1048576,MATCH(All!$A641,Spring!$A:$A,FALSE),MATCH(All!Z$1,Spring!$1:$1,FALSE))),"")</f>
        <v>1A</v>
      </c>
      <c r="AA641" t="str">
        <f>IFERROR(IF(INDEX(Spring!$1:$1048576,MATCH(All!$A641,Spring!$A:$A,FALSE),MATCH(All!AA$1,Spring!$1:$1,FALSE))="","",INDEX(Spring!$1:$1048576,MATCH(All!$A641,Spring!$A:$A,FALSE),MATCH(All!AA$1,Spring!$1:$1,FALSE))),"")</f>
        <v>1A</v>
      </c>
      <c r="AB641" t="str">
        <f>IFERROR(IF(INDEX(Spring!$1:$1048576,MATCH(All!$A641,Spring!$A:$A,FALSE),MATCH(All!AB$1,Spring!$1:$1,FALSE))="","",INDEX(Spring!$1:$1048576,MATCH(All!$A641,Spring!$A:$A,FALSE),MATCH(All!AB$1,Spring!$1:$1,FALSE))),"")</f>
        <v>1A</v>
      </c>
      <c r="AC641" t="str">
        <f>IFERROR(IF(INDEX(Spring!$1:$1048576,MATCH(All!$A641,Spring!$A:$A,FALSE),MATCH(All!AC$1,Spring!$1:$1,FALSE))="","",INDEX(Spring!$1:$1048576,MATCH(All!$A641,Spring!$A:$A,FALSE),MATCH(All!AC$1,Spring!$1:$1,FALSE))),"")</f>
        <v>1A</v>
      </c>
      <c r="AD641" t="str">
        <f>IFERROR(VLOOKUP(A641,'Flag Football'!A:A,1,FALSE),"")</f>
        <v/>
      </c>
      <c r="AE641" t="str">
        <f t="shared" si="9"/>
        <v/>
      </c>
    </row>
    <row r="642" spans="1:31" ht="15.75" thickBot="1" x14ac:dyDescent="0.3">
      <c r="A642" s="18" t="s">
        <v>746</v>
      </c>
      <c r="B642" s="38">
        <f>IFERROR(VLOOKUP(A642,'Public v Private'!A:G,3,FALSE),"")</f>
        <v>0</v>
      </c>
      <c r="C642" s="38">
        <f>IFERROR(VLOOKUP(A642,'Public v Private'!A:G,4,FALSE),"")</f>
        <v>0</v>
      </c>
      <c r="D642" s="38">
        <f>IFERROR(VLOOKUP(A642,'Public v Private'!A:G,5,FALSE),"")</f>
        <v>0</v>
      </c>
      <c r="E642" s="38"/>
      <c r="F642" s="40">
        <f>IFERROR(INDEX(Fall!$1:$1048576,MATCH(All!$A642,Fall!$A:$A,FALSE),MATCH(All!F$1,Fall!$1:$1,FALSE)),"N/A")</f>
        <v>1700</v>
      </c>
      <c r="G642" t="str">
        <f>IFERROR(IF(INDEX(Fall!$1:$1048576,MATCH(All!$A642,Fall!$A:$A,FALSE),MATCH(All!G$1,Fall!$1:$1,FALSE))="","",INDEX(Fall!$1:$1048576,MATCH(All!$A642,Fall!$A:$A,FALSE),MATCH(All!G$1,Fall!$1:$1,FALSE))),"")</f>
        <v>3A</v>
      </c>
      <c r="H642" t="str">
        <f>IFERROR(IF(INDEX(Fall!$1:$1048576,MATCH(All!$A642,Fall!$A:$A,FALSE),MATCH(All!H$1,Fall!$1:$1,FALSE))="","",INDEX(Fall!$1:$1048576,MATCH(All!$A642,Fall!$A:$A,FALSE),MATCH(All!H$1,Fall!$1:$1,FALSE))),"")</f>
        <v>3A</v>
      </c>
      <c r="I642" t="str">
        <f>IFERROR(IF(INDEX(Fall!$1:$1048576,MATCH(All!$A642,Fall!$A:$A,FALSE),MATCH(All!I$1,Fall!$1:$1,FALSE))="","",INDEX(Fall!$1:$1048576,MATCH(All!$A642,Fall!$A:$A,FALSE),MATCH(All!I$1,Fall!$1:$1,FALSE))),"")</f>
        <v>3A</v>
      </c>
      <c r="J642" t="str">
        <f>IFERROR(IF(INDEX(Fall!$1:$1048576,MATCH(All!$A642,Fall!$A:$A,FALSE),MATCH(All!J$1,Fall!$1:$1,FALSE))="","",INDEX(Fall!$1:$1048576,MATCH(All!$A642,Fall!$A:$A,FALSE),MATCH(All!J$1,Fall!$1:$1,FALSE))),"")</f>
        <v>2A</v>
      </c>
      <c r="K642" t="str">
        <f>IFERROR(IF(INDEX(Fall!$1:$1048576,MATCH(All!$A642,Fall!$A:$A,FALSE),MATCH(All!K$1,Fall!$1:$1,FALSE))="","",INDEX(Fall!$1:$1048576,MATCH(All!$A642,Fall!$A:$A,FALSE),MATCH(All!K$1,Fall!$1:$1,FALSE))),"")</f>
        <v>2A</v>
      </c>
      <c r="L642" t="str">
        <f>IFERROR(IF(INDEX(Fall!$1:$1048576,MATCH(All!$A642,Fall!$A:$A,FALSE),MATCH(All!L$1,Fall!$1:$1,FALSE))="","",INDEX(Fall!$1:$1048576,MATCH(All!$A642,Fall!$A:$A,FALSE),MATCH(All!L$1,Fall!$1:$1,FALSE))),"")</f>
        <v>2A</v>
      </c>
      <c r="M642" t="str">
        <f>IFERROR(IF(INDEX(Fall!$1:$1048576,MATCH(All!$A642,Fall!$A:$A,FALSE),MATCH(All!M$1,Fall!$1:$1,FALSE))="","",INDEX(Fall!$1:$1048576,MATCH(All!$A642,Fall!$A:$A,FALSE),MATCH(All!M$1,Fall!$1:$1,FALSE))),"")</f>
        <v>4A</v>
      </c>
      <c r="O642">
        <f>IFERROR(IF(INDEX(Winter!$1:$1048576,MATCH(All!$A642,Winter!$A:$A,FALSE),MATCH(All!O$1,Winter!$1:$1,FALSE))="","",INDEX(Winter!$1:$1048576,MATCH(All!$A642,Winter!$A:$A,FALSE),MATCH(All!O$1,Winter!$1:$1,FALSE))),"")</f>
        <v>1700</v>
      </c>
      <c r="P642" t="str">
        <f>IFERROR(IF(INDEX(Winter!$1:$1048576,MATCH(All!$A642,Winter!$A:$A,FALSE),MATCH(All!P$1,Winter!$1:$1,FALSE))="","",INDEX(Winter!$1:$1048576,MATCH(All!$A642,Winter!$A:$A,FALSE),MATCH(All!P$1,Winter!$1:$1,FALSE))),"")</f>
        <v>4A</v>
      </c>
      <c r="Q642" t="str">
        <f>IFERROR(IF(INDEX(Winter!$1:$1048576,MATCH(All!$A642,Winter!$A:$A,FALSE),MATCH(All!Q$1,Winter!$1:$1,FALSE))="","",INDEX(Winter!$1:$1048576,MATCH(All!$A642,Winter!$A:$A,FALSE),MATCH(All!Q$1,Winter!$1:$1,FALSE))),"")</f>
        <v>4A</v>
      </c>
      <c r="R642" t="str">
        <f>IFERROR(IF(INDEX(Winter!$1:$1048576,MATCH(All!$A642,Winter!$A:$A,FALSE),MATCH(All!R$1,Winter!$1:$1,FALSE))="","",INDEX(Winter!$1:$1048576,MATCH(All!$A642,Winter!$A:$A,FALSE),MATCH(All!R$1,Winter!$1:$1,FALSE))),"")</f>
        <v>3A</v>
      </c>
      <c r="S642" t="str">
        <f>IFERROR(IF(INDEX(Winter!$1:$1048576,MATCH(All!$A642,Winter!$A:$A,FALSE),MATCH(All!S$1,Winter!$1:$1,FALSE))="","",INDEX(Winter!$1:$1048576,MATCH(All!$A642,Winter!$A:$A,FALSE),MATCH(All!S$1,Winter!$1:$1,FALSE))),"")</f>
        <v/>
      </c>
      <c r="T642" t="str">
        <f>IFERROR(IF(INDEX(Winter!$1:$1048576,MATCH(All!$A642,Winter!$A:$A,FALSE),MATCH(All!T$1,Winter!$1:$1,FALSE))="","",INDEX(Winter!$1:$1048576,MATCH(All!$A642,Winter!$A:$A,FALSE),MATCH(All!T$1,Winter!$1:$1,FALSE))),"")</f>
        <v/>
      </c>
      <c r="U642" t="str">
        <f>IFERROR(IF(INDEX(Winter!$1:$1048576,MATCH(All!$A642,Winter!$A:$A,FALSE),MATCH(All!U$1,Winter!$1:$1,FALSE))="","",INDEX(Winter!$1:$1048576,MATCH(All!$A642,Winter!$A:$A,FALSE),MATCH(All!U$1,Winter!$1:$1,FALSE))),"")</f>
        <v>2A</v>
      </c>
      <c r="W642">
        <f>IFERROR(IF(INDEX(Spring!$1:$1048576,MATCH(All!$A642,Spring!$A:$A,FALSE),MATCH(All!W$1,Spring!$1:$1,FALSE))="","",INDEX(Spring!$1:$1048576,MATCH(All!$A642,Spring!$A:$A,FALSE),MATCH(All!W$1,Spring!$1:$1,FALSE))),"")</f>
        <v>1700</v>
      </c>
      <c r="X642" t="str">
        <f>IFERROR(IF(INDEX(Spring!$1:$1048576,MATCH(All!$A642,Spring!$A:$A,FALSE),MATCH(All!X$1,Spring!$1:$1,FALSE))="","",INDEX(Spring!$1:$1048576,MATCH(All!$A642,Spring!$A:$A,FALSE),MATCH(All!X$1,Spring!$1:$1,FALSE))),"")</f>
        <v>4A</v>
      </c>
      <c r="Y642" t="str">
        <f>IFERROR(IF(INDEX(Spring!$1:$1048576,MATCH(All!$A642,Spring!$A:$A,FALSE),MATCH(All!Y$1,Spring!$1:$1,FALSE))="","",INDEX(Spring!$1:$1048576,MATCH(All!$A642,Spring!$A:$A,FALSE),MATCH(All!Y$1,Spring!$1:$1,FALSE))),"")</f>
        <v>4A</v>
      </c>
      <c r="Z642" t="str">
        <f>IFERROR(IF(INDEX(Spring!$1:$1048576,MATCH(All!$A642,Spring!$A:$A,FALSE),MATCH(All!Z$1,Spring!$1:$1,FALSE))="","",INDEX(Spring!$1:$1048576,MATCH(All!$A642,Spring!$A:$A,FALSE),MATCH(All!Z$1,Spring!$1:$1,FALSE))),"")</f>
        <v>2A</v>
      </c>
      <c r="AA642" t="str">
        <f>IFERROR(IF(INDEX(Spring!$1:$1048576,MATCH(All!$A642,Spring!$A:$A,FALSE),MATCH(All!AA$1,Spring!$1:$1,FALSE))="","",INDEX(Spring!$1:$1048576,MATCH(All!$A642,Spring!$A:$A,FALSE),MATCH(All!AA$1,Spring!$1:$1,FALSE))),"")</f>
        <v>2A</v>
      </c>
      <c r="AB642" t="str">
        <f>IFERROR(IF(INDEX(Spring!$1:$1048576,MATCH(All!$A642,Spring!$A:$A,FALSE),MATCH(All!AB$1,Spring!$1:$1,FALSE))="","",INDEX(Spring!$1:$1048576,MATCH(All!$A642,Spring!$A:$A,FALSE),MATCH(All!AB$1,Spring!$1:$1,FALSE))),"")</f>
        <v>3A</v>
      </c>
      <c r="AC642" t="str">
        <f>IFERROR(IF(INDEX(Spring!$1:$1048576,MATCH(All!$A642,Spring!$A:$A,FALSE),MATCH(All!AC$1,Spring!$1:$1,FALSE))="","",INDEX(Spring!$1:$1048576,MATCH(All!$A642,Spring!$A:$A,FALSE),MATCH(All!AC$1,Spring!$1:$1,FALSE))),"")</f>
        <v>3A</v>
      </c>
      <c r="AD642" t="str">
        <f>IFERROR(VLOOKUP(A642,'Flag Football'!A:A,1,FALSE),"")</f>
        <v/>
      </c>
      <c r="AE642" t="str">
        <f t="shared" si="9"/>
        <v/>
      </c>
    </row>
    <row r="643" spans="1:31" ht="15.75" thickBot="1" x14ac:dyDescent="0.3">
      <c r="A643" s="20" t="s">
        <v>747</v>
      </c>
      <c r="B643" s="38">
        <f>IFERROR(VLOOKUP(A643,'Public v Private'!A:G,3,FALSE),"")</f>
        <v>0</v>
      </c>
      <c r="C643" s="38">
        <f>IFERROR(VLOOKUP(A643,'Public v Private'!A:G,4,FALSE),"")</f>
        <v>0</v>
      </c>
      <c r="D643" s="38">
        <f>IFERROR(VLOOKUP(A643,'Public v Private'!A:G,5,FALSE),"")</f>
        <v>0</v>
      </c>
      <c r="E643" s="38"/>
      <c r="F643" s="40">
        <f>IFERROR(INDEX(Fall!$1:$1048576,MATCH(All!$A643,Fall!$A:$A,FALSE),MATCH(All!F$1,Fall!$1:$1,FALSE)),"N/A")</f>
        <v>1747</v>
      </c>
      <c r="G643" t="str">
        <f>IFERROR(IF(INDEX(Fall!$1:$1048576,MATCH(All!$A643,Fall!$A:$A,FALSE),MATCH(All!G$1,Fall!$1:$1,FALSE))="","",INDEX(Fall!$1:$1048576,MATCH(All!$A643,Fall!$A:$A,FALSE),MATCH(All!G$1,Fall!$1:$1,FALSE))),"")</f>
        <v>3A</v>
      </c>
      <c r="H643" t="str">
        <f>IFERROR(IF(INDEX(Fall!$1:$1048576,MATCH(All!$A643,Fall!$A:$A,FALSE),MATCH(All!H$1,Fall!$1:$1,FALSE))="","",INDEX(Fall!$1:$1048576,MATCH(All!$A643,Fall!$A:$A,FALSE),MATCH(All!H$1,Fall!$1:$1,FALSE))),"")</f>
        <v>3A</v>
      </c>
      <c r="I643" t="str">
        <f>IFERROR(IF(INDEX(Fall!$1:$1048576,MATCH(All!$A643,Fall!$A:$A,FALSE),MATCH(All!I$1,Fall!$1:$1,FALSE))="","",INDEX(Fall!$1:$1048576,MATCH(All!$A643,Fall!$A:$A,FALSE),MATCH(All!I$1,Fall!$1:$1,FALSE))),"")</f>
        <v>3A</v>
      </c>
      <c r="J643" t="str">
        <f>IFERROR(IF(INDEX(Fall!$1:$1048576,MATCH(All!$A643,Fall!$A:$A,FALSE),MATCH(All!J$1,Fall!$1:$1,FALSE))="","",INDEX(Fall!$1:$1048576,MATCH(All!$A643,Fall!$A:$A,FALSE),MATCH(All!J$1,Fall!$1:$1,FALSE))),"")</f>
        <v/>
      </c>
      <c r="K643" t="str">
        <f>IFERROR(IF(INDEX(Fall!$1:$1048576,MATCH(All!$A643,Fall!$A:$A,FALSE),MATCH(All!K$1,Fall!$1:$1,FALSE))="","",INDEX(Fall!$1:$1048576,MATCH(All!$A643,Fall!$A:$A,FALSE),MATCH(All!K$1,Fall!$1:$1,FALSE))),"")</f>
        <v>3A</v>
      </c>
      <c r="L643" t="str">
        <f>IFERROR(IF(INDEX(Fall!$1:$1048576,MATCH(All!$A643,Fall!$A:$A,FALSE),MATCH(All!L$1,Fall!$1:$1,FALSE))="","",INDEX(Fall!$1:$1048576,MATCH(All!$A643,Fall!$A:$A,FALSE),MATCH(All!L$1,Fall!$1:$1,FALSE))),"")</f>
        <v>2A</v>
      </c>
      <c r="M643" t="str">
        <f>IFERROR(IF(INDEX(Fall!$1:$1048576,MATCH(All!$A643,Fall!$A:$A,FALSE),MATCH(All!M$1,Fall!$1:$1,FALSE))="","",INDEX(Fall!$1:$1048576,MATCH(All!$A643,Fall!$A:$A,FALSE),MATCH(All!M$1,Fall!$1:$1,FALSE))),"")</f>
        <v>4A</v>
      </c>
      <c r="O643">
        <f>IFERROR(IF(INDEX(Winter!$1:$1048576,MATCH(All!$A643,Winter!$A:$A,FALSE),MATCH(All!O$1,Winter!$1:$1,FALSE))="","",INDEX(Winter!$1:$1048576,MATCH(All!$A643,Winter!$A:$A,FALSE),MATCH(All!O$1,Winter!$1:$1,FALSE))),"")</f>
        <v>1747</v>
      </c>
      <c r="P643" t="str">
        <f>IFERROR(IF(INDEX(Winter!$1:$1048576,MATCH(All!$A643,Winter!$A:$A,FALSE),MATCH(All!P$1,Winter!$1:$1,FALSE))="","",INDEX(Winter!$1:$1048576,MATCH(All!$A643,Winter!$A:$A,FALSE),MATCH(All!P$1,Winter!$1:$1,FALSE))),"")</f>
        <v>4A</v>
      </c>
      <c r="Q643" t="str">
        <f>IFERROR(IF(INDEX(Winter!$1:$1048576,MATCH(All!$A643,Winter!$A:$A,FALSE),MATCH(All!Q$1,Winter!$1:$1,FALSE))="","",INDEX(Winter!$1:$1048576,MATCH(All!$A643,Winter!$A:$A,FALSE),MATCH(All!Q$1,Winter!$1:$1,FALSE))),"")</f>
        <v>4A</v>
      </c>
      <c r="R643" t="str">
        <f>IFERROR(IF(INDEX(Winter!$1:$1048576,MATCH(All!$A643,Winter!$A:$A,FALSE),MATCH(All!R$1,Winter!$1:$1,FALSE))="","",INDEX(Winter!$1:$1048576,MATCH(All!$A643,Winter!$A:$A,FALSE),MATCH(All!R$1,Winter!$1:$1,FALSE))),"")</f>
        <v>3A</v>
      </c>
      <c r="S643" t="str">
        <f>IFERROR(IF(INDEX(Winter!$1:$1048576,MATCH(All!$A643,Winter!$A:$A,FALSE),MATCH(All!S$1,Winter!$1:$1,FALSE))="","",INDEX(Winter!$1:$1048576,MATCH(All!$A643,Winter!$A:$A,FALSE),MATCH(All!S$1,Winter!$1:$1,FALSE))),"")</f>
        <v>2A</v>
      </c>
      <c r="T643" t="str">
        <f>IFERROR(IF(INDEX(Winter!$1:$1048576,MATCH(All!$A643,Winter!$A:$A,FALSE),MATCH(All!T$1,Winter!$1:$1,FALSE))="","",INDEX(Winter!$1:$1048576,MATCH(All!$A643,Winter!$A:$A,FALSE),MATCH(All!T$1,Winter!$1:$1,FALSE))),"")</f>
        <v>2A</v>
      </c>
      <c r="U643" t="str">
        <f>IFERROR(IF(INDEX(Winter!$1:$1048576,MATCH(All!$A643,Winter!$A:$A,FALSE),MATCH(All!U$1,Winter!$1:$1,FALSE))="","",INDEX(Winter!$1:$1048576,MATCH(All!$A643,Winter!$A:$A,FALSE),MATCH(All!U$1,Winter!$1:$1,FALSE))),"")</f>
        <v>3A</v>
      </c>
      <c r="W643">
        <f>IFERROR(IF(INDEX(Spring!$1:$1048576,MATCH(All!$A643,Spring!$A:$A,FALSE),MATCH(All!W$1,Spring!$1:$1,FALSE))="","",INDEX(Spring!$1:$1048576,MATCH(All!$A643,Spring!$A:$A,FALSE),MATCH(All!W$1,Spring!$1:$1,FALSE))),"")</f>
        <v>1747</v>
      </c>
      <c r="X643" t="str">
        <f>IFERROR(IF(INDEX(Spring!$1:$1048576,MATCH(All!$A643,Spring!$A:$A,FALSE),MATCH(All!X$1,Spring!$1:$1,FALSE))="","",INDEX(Spring!$1:$1048576,MATCH(All!$A643,Spring!$A:$A,FALSE),MATCH(All!X$1,Spring!$1:$1,FALSE))),"")</f>
        <v>4A</v>
      </c>
      <c r="Y643" t="str">
        <f>IFERROR(IF(INDEX(Spring!$1:$1048576,MATCH(All!$A643,Spring!$A:$A,FALSE),MATCH(All!Y$1,Spring!$1:$1,FALSE))="","",INDEX(Spring!$1:$1048576,MATCH(All!$A643,Spring!$A:$A,FALSE),MATCH(All!Y$1,Spring!$1:$1,FALSE))),"")</f>
        <v>4A</v>
      </c>
      <c r="Z643" t="str">
        <f>IFERROR(IF(INDEX(Spring!$1:$1048576,MATCH(All!$A643,Spring!$A:$A,FALSE),MATCH(All!Z$1,Spring!$1:$1,FALSE))="","",INDEX(Spring!$1:$1048576,MATCH(All!$A643,Spring!$A:$A,FALSE),MATCH(All!Z$1,Spring!$1:$1,FALSE))),"")</f>
        <v>2A</v>
      </c>
      <c r="AA643" t="str">
        <f>IFERROR(IF(INDEX(Spring!$1:$1048576,MATCH(All!$A643,Spring!$A:$A,FALSE),MATCH(All!AA$1,Spring!$1:$1,FALSE))="","",INDEX(Spring!$1:$1048576,MATCH(All!$A643,Spring!$A:$A,FALSE),MATCH(All!AA$1,Spring!$1:$1,FALSE))),"")</f>
        <v>2A</v>
      </c>
      <c r="AB643" t="str">
        <f>IFERROR(IF(INDEX(Spring!$1:$1048576,MATCH(All!$A643,Spring!$A:$A,FALSE),MATCH(All!AB$1,Spring!$1:$1,FALSE))="","",INDEX(Spring!$1:$1048576,MATCH(All!$A643,Spring!$A:$A,FALSE),MATCH(All!AB$1,Spring!$1:$1,FALSE))),"")</f>
        <v>3A</v>
      </c>
      <c r="AC643" t="str">
        <f>IFERROR(IF(INDEX(Spring!$1:$1048576,MATCH(All!$A643,Spring!$A:$A,FALSE),MATCH(All!AC$1,Spring!$1:$1,FALSE))="","",INDEX(Spring!$1:$1048576,MATCH(All!$A643,Spring!$A:$A,FALSE),MATCH(All!AC$1,Spring!$1:$1,FALSE))),"")</f>
        <v>3A</v>
      </c>
      <c r="AD643" t="str">
        <f>IFERROR(VLOOKUP(A643,'Flag Football'!A:A,1,FALSE),"")</f>
        <v>Rockford (Auburn)</v>
      </c>
      <c r="AE643" t="str">
        <f t="shared" ref="AE643:AE706" si="10">IF(AD643="","","1A")</f>
        <v>1A</v>
      </c>
    </row>
    <row r="644" spans="1:31" ht="15.75" thickBot="1" x14ac:dyDescent="0.3">
      <c r="A644" s="18" t="s">
        <v>748</v>
      </c>
      <c r="B644" s="38" t="str">
        <f>IFERROR(VLOOKUP(A644,'Public v Private'!A:G,3,FALSE),"")</f>
        <v>private</v>
      </c>
      <c r="C644" s="38">
        <f>IFERROR(VLOOKUP(A644,'Public v Private'!A:G,4,FALSE),"")</f>
        <v>4</v>
      </c>
      <c r="D644" s="38">
        <f>IFERROR(VLOOKUP(A644,'Public v Private'!A:G,5,FALSE),"")</f>
        <v>10</v>
      </c>
      <c r="E644" s="38"/>
      <c r="F644" s="40" t="str">
        <f>IFERROR(INDEX(Fall!$1:$1048576,MATCH(All!$A644,Fall!$A:$A,FALSE),MATCH(All!F$1,Fall!$1:$1,FALSE)),"N/A")</f>
        <v>558.00 (920.70)</v>
      </c>
      <c r="G644" t="str">
        <f>IFERROR(IF(INDEX(Fall!$1:$1048576,MATCH(All!$A644,Fall!$A:$A,FALSE),MATCH(All!G$1,Fall!$1:$1,FALSE))="","",INDEX(Fall!$1:$1048576,MATCH(All!$A644,Fall!$A:$A,FALSE),MATCH(All!G$1,Fall!$1:$1,FALSE))),"")</f>
        <v>1A</v>
      </c>
      <c r="H644" t="str">
        <f>IFERROR(IF(INDEX(Fall!$1:$1048576,MATCH(All!$A644,Fall!$A:$A,FALSE),MATCH(All!H$1,Fall!$1:$1,FALSE))="","",INDEX(Fall!$1:$1048576,MATCH(All!$A644,Fall!$A:$A,FALSE),MATCH(All!H$1,Fall!$1:$1,FALSE))),"")</f>
        <v>2A</v>
      </c>
      <c r="I644" t="str">
        <f>IFERROR(IF(INDEX(Fall!$1:$1048576,MATCH(All!$A644,Fall!$A:$A,FALSE),MATCH(All!I$1,Fall!$1:$1,FALSE))="","",INDEX(Fall!$1:$1048576,MATCH(All!$A644,Fall!$A:$A,FALSE),MATCH(All!I$1,Fall!$1:$1,FALSE))),"")</f>
        <v>2A</v>
      </c>
      <c r="J644" t="str">
        <f>IFERROR(IF(INDEX(Fall!$1:$1048576,MATCH(All!$A644,Fall!$A:$A,FALSE),MATCH(All!J$1,Fall!$1:$1,FALSE))="","",INDEX(Fall!$1:$1048576,MATCH(All!$A644,Fall!$A:$A,FALSE),MATCH(All!J$1,Fall!$1:$1,FALSE))),"")</f>
        <v>2A</v>
      </c>
      <c r="K644" t="str">
        <f>IFERROR(IF(INDEX(Fall!$1:$1048576,MATCH(All!$A644,Fall!$A:$A,FALSE),MATCH(All!K$1,Fall!$1:$1,FALSE))="","",INDEX(Fall!$1:$1048576,MATCH(All!$A644,Fall!$A:$A,FALSE),MATCH(All!K$1,Fall!$1:$1,FALSE))),"")</f>
        <v>2A</v>
      </c>
      <c r="L644" t="str">
        <f>IFERROR(IF(INDEX(Fall!$1:$1048576,MATCH(All!$A644,Fall!$A:$A,FALSE),MATCH(All!L$1,Fall!$1:$1,FALSE))="","",INDEX(Fall!$1:$1048576,MATCH(All!$A644,Fall!$A:$A,FALSE),MATCH(All!L$1,Fall!$1:$1,FALSE))),"")</f>
        <v>1A</v>
      </c>
      <c r="M644" t="str">
        <f>IFERROR(IF(INDEX(Fall!$1:$1048576,MATCH(All!$A644,Fall!$A:$A,FALSE),MATCH(All!M$1,Fall!$1:$1,FALSE))="","",INDEX(Fall!$1:$1048576,MATCH(All!$A644,Fall!$A:$A,FALSE),MATCH(All!M$1,Fall!$1:$1,FALSE))),"")</f>
        <v>2A</v>
      </c>
      <c r="O644" t="str">
        <f>IFERROR(IF(INDEX(Winter!$1:$1048576,MATCH(All!$A644,Winter!$A:$A,FALSE),MATCH(All!O$1,Winter!$1:$1,FALSE))="","",INDEX(Winter!$1:$1048576,MATCH(All!$A644,Winter!$A:$A,FALSE),MATCH(All!O$1,Winter!$1:$1,FALSE))),"")</f>
        <v>558.00 (920.70)</v>
      </c>
      <c r="P644" t="str">
        <f>IFERROR(IF(INDEX(Winter!$1:$1048576,MATCH(All!$A644,Winter!$A:$A,FALSE),MATCH(All!P$1,Winter!$1:$1,FALSE))="","",INDEX(Winter!$1:$1048576,MATCH(All!$A644,Winter!$A:$A,FALSE),MATCH(All!P$1,Winter!$1:$1,FALSE))),"")</f>
        <v>3A</v>
      </c>
      <c r="Q644" t="str">
        <f>IFERROR(IF(INDEX(Winter!$1:$1048576,MATCH(All!$A644,Winter!$A:$A,FALSE),MATCH(All!Q$1,Winter!$1:$1,FALSE))="","",INDEX(Winter!$1:$1048576,MATCH(All!$A644,Winter!$A:$A,FALSE),MATCH(All!Q$1,Winter!$1:$1,FALSE))),"")</f>
        <v>3A</v>
      </c>
      <c r="R644" t="str">
        <f>IFERROR(IF(INDEX(Winter!$1:$1048576,MATCH(All!$A644,Winter!$A:$A,FALSE),MATCH(All!R$1,Winter!$1:$1,FALSE))="","",INDEX(Winter!$1:$1048576,MATCH(All!$A644,Winter!$A:$A,FALSE),MATCH(All!R$1,Winter!$1:$1,FALSE))),"")</f>
        <v>1A</v>
      </c>
      <c r="S644" t="str">
        <f>IFERROR(IF(INDEX(Winter!$1:$1048576,MATCH(All!$A644,Winter!$A:$A,FALSE),MATCH(All!S$1,Winter!$1:$1,FALSE))="","",INDEX(Winter!$1:$1048576,MATCH(All!$A644,Winter!$A:$A,FALSE),MATCH(All!S$1,Winter!$1:$1,FALSE))),"")</f>
        <v>1A</v>
      </c>
      <c r="T644" t="str">
        <f>IFERROR(IF(INDEX(Winter!$1:$1048576,MATCH(All!$A644,Winter!$A:$A,FALSE),MATCH(All!T$1,Winter!$1:$1,FALSE))="","",INDEX(Winter!$1:$1048576,MATCH(All!$A644,Winter!$A:$A,FALSE),MATCH(All!T$1,Winter!$1:$1,FALSE))),"")</f>
        <v>2A</v>
      </c>
      <c r="U644" t="str">
        <f>IFERROR(IF(INDEX(Winter!$1:$1048576,MATCH(All!$A644,Winter!$A:$A,FALSE),MATCH(All!U$1,Winter!$1:$1,FALSE))="","",INDEX(Winter!$1:$1048576,MATCH(All!$A644,Winter!$A:$A,FALSE),MATCH(All!U$1,Winter!$1:$1,FALSE))),"")</f>
        <v>1A</v>
      </c>
      <c r="W644" t="str">
        <f>IFERROR(IF(INDEX(Spring!$1:$1048576,MATCH(All!$A644,Spring!$A:$A,FALSE),MATCH(All!W$1,Spring!$1:$1,FALSE))="","",INDEX(Spring!$1:$1048576,MATCH(All!$A644,Spring!$A:$A,FALSE),MATCH(All!W$1,Spring!$1:$1,FALSE))),"")</f>
        <v>558.00 (920.70)</v>
      </c>
      <c r="X644" t="str">
        <f>IFERROR(IF(INDEX(Spring!$1:$1048576,MATCH(All!$A644,Spring!$A:$A,FALSE),MATCH(All!X$1,Spring!$1:$1,FALSE))="","",INDEX(Spring!$1:$1048576,MATCH(All!$A644,Spring!$A:$A,FALSE),MATCH(All!X$1,Spring!$1:$1,FALSE))),"")</f>
        <v>3A</v>
      </c>
      <c r="Y644" t="str">
        <f>IFERROR(IF(INDEX(Spring!$1:$1048576,MATCH(All!$A644,Spring!$A:$A,FALSE),MATCH(All!Y$1,Spring!$1:$1,FALSE))="","",INDEX(Spring!$1:$1048576,MATCH(All!$A644,Spring!$A:$A,FALSE),MATCH(All!Y$1,Spring!$1:$1,FALSE))),"")</f>
        <v>2A</v>
      </c>
      <c r="Z644" t="str">
        <f>IFERROR(IF(INDEX(Spring!$1:$1048576,MATCH(All!$A644,Spring!$A:$A,FALSE),MATCH(All!Z$1,Spring!$1:$1,FALSE))="","",INDEX(Spring!$1:$1048576,MATCH(All!$A644,Spring!$A:$A,FALSE),MATCH(All!Z$1,Spring!$1:$1,FALSE))),"")</f>
        <v>2A</v>
      </c>
      <c r="AA644" t="str">
        <f>IFERROR(IF(INDEX(Spring!$1:$1048576,MATCH(All!$A644,Spring!$A:$A,FALSE),MATCH(All!AA$1,Spring!$1:$1,FALSE))="","",INDEX(Spring!$1:$1048576,MATCH(All!$A644,Spring!$A:$A,FALSE),MATCH(All!AA$1,Spring!$1:$1,FALSE))),"")</f>
        <v>1A</v>
      </c>
      <c r="AB644" t="str">
        <f>IFERROR(IF(INDEX(Spring!$1:$1048576,MATCH(All!$A644,Spring!$A:$A,FALSE),MATCH(All!AB$1,Spring!$1:$1,FALSE))="","",INDEX(Spring!$1:$1048576,MATCH(All!$A644,Spring!$A:$A,FALSE),MATCH(All!AB$1,Spring!$1:$1,FALSE))),"")</f>
        <v>2A</v>
      </c>
      <c r="AC644" t="str">
        <f>IFERROR(IF(INDEX(Spring!$1:$1048576,MATCH(All!$A644,Spring!$A:$A,FALSE),MATCH(All!AC$1,Spring!$1:$1,FALSE))="","",INDEX(Spring!$1:$1048576,MATCH(All!$A644,Spring!$A:$A,FALSE),MATCH(All!AC$1,Spring!$1:$1,FALSE))),"")</f>
        <v>2A</v>
      </c>
      <c r="AD644" t="str">
        <f>IFERROR(VLOOKUP(A644,'Flag Football'!A:A,1,FALSE),"")</f>
        <v>Rockford (Boylan Catholic)</v>
      </c>
      <c r="AE644" t="str">
        <f t="shared" si="10"/>
        <v>1A</v>
      </c>
    </row>
    <row r="645" spans="1:31" ht="15.75" thickBot="1" x14ac:dyDescent="0.3">
      <c r="A645" s="20" t="s">
        <v>961</v>
      </c>
      <c r="B645" s="38" t="str">
        <f>IFERROR(VLOOKUP(A645,'Public v Private'!A:G,3,FALSE),"")</f>
        <v>private</v>
      </c>
      <c r="C645" s="38">
        <f>IFERROR(VLOOKUP(A645,'Public v Private'!A:G,4,FALSE),"")</f>
        <v>4</v>
      </c>
      <c r="D645" s="38">
        <f>IFERROR(VLOOKUP(A645,'Public v Private'!A:G,5,FALSE),"")</f>
        <v>10</v>
      </c>
      <c r="E645" s="38"/>
      <c r="F645" s="40" t="str">
        <f>IFERROR(INDEX(Fall!$1:$1048576,MATCH(All!$A645,Fall!$A:$A,FALSE),MATCH(All!F$1,Fall!$1:$1,FALSE)),"N/A")</f>
        <v>114.00 (188.10)</v>
      </c>
      <c r="G645" t="str">
        <f>IFERROR(IF(INDEX(Fall!$1:$1048576,MATCH(All!$A645,Fall!$A:$A,FALSE),MATCH(All!G$1,Fall!$1:$1,FALSE))="","",INDEX(Fall!$1:$1048576,MATCH(All!$A645,Fall!$A:$A,FALSE),MATCH(All!G$1,Fall!$1:$1,FALSE))),"")</f>
        <v>1A</v>
      </c>
      <c r="H645" t="str">
        <f>IFERROR(IF(INDEX(Fall!$1:$1048576,MATCH(All!$A645,Fall!$A:$A,FALSE),MATCH(All!H$1,Fall!$1:$1,FALSE))="","",INDEX(Fall!$1:$1048576,MATCH(All!$A645,Fall!$A:$A,FALSE),MATCH(All!H$1,Fall!$1:$1,FALSE))),"")</f>
        <v>1A</v>
      </c>
      <c r="I645" t="str">
        <f>IFERROR(IF(INDEX(Fall!$1:$1048576,MATCH(All!$A645,Fall!$A:$A,FALSE),MATCH(All!I$1,Fall!$1:$1,FALSE))="","",INDEX(Fall!$1:$1048576,MATCH(All!$A645,Fall!$A:$A,FALSE),MATCH(All!I$1,Fall!$1:$1,FALSE))),"")</f>
        <v>1A</v>
      </c>
      <c r="J645" t="str">
        <f>IFERROR(IF(INDEX(Fall!$1:$1048576,MATCH(All!$A645,Fall!$A:$A,FALSE),MATCH(All!J$1,Fall!$1:$1,FALSE))="","",INDEX(Fall!$1:$1048576,MATCH(All!$A645,Fall!$A:$A,FALSE),MATCH(All!J$1,Fall!$1:$1,FALSE))),"")</f>
        <v/>
      </c>
      <c r="K645" t="str">
        <f>IFERROR(IF(INDEX(Fall!$1:$1048576,MATCH(All!$A645,Fall!$A:$A,FALSE),MATCH(All!K$1,Fall!$1:$1,FALSE))="","",INDEX(Fall!$1:$1048576,MATCH(All!$A645,Fall!$A:$A,FALSE),MATCH(All!K$1,Fall!$1:$1,FALSE))),"")</f>
        <v/>
      </c>
      <c r="L645" t="str">
        <f>IFERROR(IF(INDEX(Fall!$1:$1048576,MATCH(All!$A645,Fall!$A:$A,FALSE),MATCH(All!L$1,Fall!$1:$1,FALSE))="","",INDEX(Fall!$1:$1048576,MATCH(All!$A645,Fall!$A:$A,FALSE),MATCH(All!L$1,Fall!$1:$1,FALSE))),"")</f>
        <v/>
      </c>
      <c r="M645" t="str">
        <f>IFERROR(IF(INDEX(Fall!$1:$1048576,MATCH(All!$A645,Fall!$A:$A,FALSE),MATCH(All!M$1,Fall!$1:$1,FALSE))="","",INDEX(Fall!$1:$1048576,MATCH(All!$A645,Fall!$A:$A,FALSE),MATCH(All!M$1,Fall!$1:$1,FALSE))),"")</f>
        <v>1A</v>
      </c>
      <c r="O645" t="str">
        <f>IFERROR(IF(INDEX(Winter!$1:$1048576,MATCH(All!$A645,Winter!$A:$A,FALSE),MATCH(All!O$1,Winter!$1:$1,FALSE))="","",INDEX(Winter!$1:$1048576,MATCH(All!$A645,Winter!$A:$A,FALSE),MATCH(All!O$1,Winter!$1:$1,FALSE))),"")</f>
        <v>114.00 (188.10)</v>
      </c>
      <c r="P645" t="str">
        <f>IFERROR(IF(INDEX(Winter!$1:$1048576,MATCH(All!$A645,Winter!$A:$A,FALSE),MATCH(All!P$1,Winter!$1:$1,FALSE))="","",INDEX(Winter!$1:$1048576,MATCH(All!$A645,Winter!$A:$A,FALSE),MATCH(All!P$1,Winter!$1:$1,FALSE))),"")</f>
        <v>1A</v>
      </c>
      <c r="Q645" t="str">
        <f>IFERROR(IF(INDEX(Winter!$1:$1048576,MATCH(All!$A645,Winter!$A:$A,FALSE),MATCH(All!Q$1,Winter!$1:$1,FALSE))="","",INDEX(Winter!$1:$1048576,MATCH(All!$A645,Winter!$A:$A,FALSE),MATCH(All!Q$1,Winter!$1:$1,FALSE))),"")</f>
        <v>1A</v>
      </c>
      <c r="R645" t="str">
        <f>IFERROR(IF(INDEX(Winter!$1:$1048576,MATCH(All!$A645,Winter!$A:$A,FALSE),MATCH(All!R$1,Winter!$1:$1,FALSE))="","",INDEX(Winter!$1:$1048576,MATCH(All!$A645,Winter!$A:$A,FALSE),MATCH(All!R$1,Winter!$1:$1,FALSE))),"")</f>
        <v/>
      </c>
      <c r="S645" t="str">
        <f>IFERROR(IF(INDEX(Winter!$1:$1048576,MATCH(All!$A645,Winter!$A:$A,FALSE),MATCH(All!S$1,Winter!$1:$1,FALSE))="","",INDEX(Winter!$1:$1048576,MATCH(All!$A645,Winter!$A:$A,FALSE),MATCH(All!S$1,Winter!$1:$1,FALSE))),"")</f>
        <v/>
      </c>
      <c r="T645" t="str">
        <f>IFERROR(IF(INDEX(Winter!$1:$1048576,MATCH(All!$A645,Winter!$A:$A,FALSE),MATCH(All!T$1,Winter!$1:$1,FALSE))="","",INDEX(Winter!$1:$1048576,MATCH(All!$A645,Winter!$A:$A,FALSE),MATCH(All!T$1,Winter!$1:$1,FALSE))),"")</f>
        <v>1A</v>
      </c>
      <c r="U645" t="str">
        <f>IFERROR(IF(INDEX(Winter!$1:$1048576,MATCH(All!$A645,Winter!$A:$A,FALSE),MATCH(All!U$1,Winter!$1:$1,FALSE))="","",INDEX(Winter!$1:$1048576,MATCH(All!$A645,Winter!$A:$A,FALSE),MATCH(All!U$1,Winter!$1:$1,FALSE))),"")</f>
        <v/>
      </c>
      <c r="W645" t="str">
        <f>IFERROR(IF(INDEX(Spring!$1:$1048576,MATCH(All!$A645,Spring!$A:$A,FALSE),MATCH(All!W$1,Spring!$1:$1,FALSE))="","",INDEX(Spring!$1:$1048576,MATCH(All!$A645,Spring!$A:$A,FALSE),MATCH(All!W$1,Spring!$1:$1,FALSE))),"")</f>
        <v/>
      </c>
      <c r="X645" t="str">
        <f>IFERROR(IF(INDEX(Spring!$1:$1048576,MATCH(All!$A645,Spring!$A:$A,FALSE),MATCH(All!X$1,Spring!$1:$1,FALSE))="","",INDEX(Spring!$1:$1048576,MATCH(All!$A645,Spring!$A:$A,FALSE),MATCH(All!X$1,Spring!$1:$1,FALSE))),"")</f>
        <v/>
      </c>
      <c r="Y645" t="str">
        <f>IFERROR(IF(INDEX(Spring!$1:$1048576,MATCH(All!$A645,Spring!$A:$A,FALSE),MATCH(All!Y$1,Spring!$1:$1,FALSE))="","",INDEX(Spring!$1:$1048576,MATCH(All!$A645,Spring!$A:$A,FALSE),MATCH(All!Y$1,Spring!$1:$1,FALSE))),"")</f>
        <v/>
      </c>
      <c r="Z645" t="str">
        <f>IFERROR(IF(INDEX(Spring!$1:$1048576,MATCH(All!$A645,Spring!$A:$A,FALSE),MATCH(All!Z$1,Spring!$1:$1,FALSE))="","",INDEX(Spring!$1:$1048576,MATCH(All!$A645,Spring!$A:$A,FALSE),MATCH(All!Z$1,Spring!$1:$1,FALSE))),"")</f>
        <v/>
      </c>
      <c r="AA645" t="str">
        <f>IFERROR(IF(INDEX(Spring!$1:$1048576,MATCH(All!$A645,Spring!$A:$A,FALSE),MATCH(All!AA$1,Spring!$1:$1,FALSE))="","",INDEX(Spring!$1:$1048576,MATCH(All!$A645,Spring!$A:$A,FALSE),MATCH(All!AA$1,Spring!$1:$1,FALSE))),"")</f>
        <v/>
      </c>
      <c r="AB645" t="str">
        <f>IFERROR(IF(INDEX(Spring!$1:$1048576,MATCH(All!$A645,Spring!$A:$A,FALSE),MATCH(All!AB$1,Spring!$1:$1,FALSE))="","",INDEX(Spring!$1:$1048576,MATCH(All!$A645,Spring!$A:$A,FALSE),MATCH(All!AB$1,Spring!$1:$1,FALSE))),"")</f>
        <v/>
      </c>
      <c r="AC645" t="str">
        <f>IFERROR(IF(INDEX(Spring!$1:$1048576,MATCH(All!$A645,Spring!$A:$A,FALSE),MATCH(All!AC$1,Spring!$1:$1,FALSE))="","",INDEX(Spring!$1:$1048576,MATCH(All!$A645,Spring!$A:$A,FALSE),MATCH(All!AC$1,Spring!$1:$1,FALSE))),"")</f>
        <v/>
      </c>
      <c r="AD645" t="str">
        <f>IFERROR(VLOOKUP(A645,'Flag Football'!A:A,1,FALSE),"")</f>
        <v/>
      </c>
      <c r="AE645" t="str">
        <f t="shared" si="10"/>
        <v/>
      </c>
    </row>
    <row r="646" spans="1:31" ht="15.75" thickBot="1" x14ac:dyDescent="0.3">
      <c r="A646" s="18" t="s">
        <v>750</v>
      </c>
      <c r="B646" s="38">
        <f>IFERROR(VLOOKUP(A646,'Public v Private'!A:G,3,FALSE),"")</f>
        <v>0</v>
      </c>
      <c r="C646" s="38">
        <f>IFERROR(VLOOKUP(A646,'Public v Private'!A:G,4,FALSE),"")</f>
        <v>0</v>
      </c>
      <c r="D646" s="38">
        <f>IFERROR(VLOOKUP(A646,'Public v Private'!A:G,5,FALSE),"")</f>
        <v>0</v>
      </c>
      <c r="E646" s="38"/>
      <c r="F646" s="40">
        <f>IFERROR(INDEX(Fall!$1:$1048576,MATCH(All!$A646,Fall!$A:$A,FALSE),MATCH(All!F$1,Fall!$1:$1,FALSE)),"N/A")</f>
        <v>1597</v>
      </c>
      <c r="G646" t="str">
        <f>IFERROR(IF(INDEX(Fall!$1:$1048576,MATCH(All!$A646,Fall!$A:$A,FALSE),MATCH(All!G$1,Fall!$1:$1,FALSE))="","",INDEX(Fall!$1:$1048576,MATCH(All!$A646,Fall!$A:$A,FALSE),MATCH(All!G$1,Fall!$1:$1,FALSE))),"")</f>
        <v>3A</v>
      </c>
      <c r="H646" t="str">
        <f>IFERROR(IF(INDEX(Fall!$1:$1048576,MATCH(All!$A646,Fall!$A:$A,FALSE),MATCH(All!H$1,Fall!$1:$1,FALSE))="","",INDEX(Fall!$1:$1048576,MATCH(All!$A646,Fall!$A:$A,FALSE),MATCH(All!H$1,Fall!$1:$1,FALSE))),"")</f>
        <v>3A</v>
      </c>
      <c r="I646" t="str">
        <f>IFERROR(IF(INDEX(Fall!$1:$1048576,MATCH(All!$A646,Fall!$A:$A,FALSE),MATCH(All!I$1,Fall!$1:$1,FALSE))="","",INDEX(Fall!$1:$1048576,MATCH(All!$A646,Fall!$A:$A,FALSE),MATCH(All!I$1,Fall!$1:$1,FALSE))),"")</f>
        <v>3A</v>
      </c>
      <c r="J646" t="str">
        <f>IFERROR(IF(INDEX(Fall!$1:$1048576,MATCH(All!$A646,Fall!$A:$A,FALSE),MATCH(All!J$1,Fall!$1:$1,FALSE))="","",INDEX(Fall!$1:$1048576,MATCH(All!$A646,Fall!$A:$A,FALSE),MATCH(All!J$1,Fall!$1:$1,FALSE))),"")</f>
        <v/>
      </c>
      <c r="K646" t="str">
        <f>IFERROR(IF(INDEX(Fall!$1:$1048576,MATCH(All!$A646,Fall!$A:$A,FALSE),MATCH(All!K$1,Fall!$1:$1,FALSE))="","",INDEX(Fall!$1:$1048576,MATCH(All!$A646,Fall!$A:$A,FALSE),MATCH(All!K$1,Fall!$1:$1,FALSE))),"")</f>
        <v>2A</v>
      </c>
      <c r="L646" t="str">
        <f>IFERROR(IF(INDEX(Fall!$1:$1048576,MATCH(All!$A646,Fall!$A:$A,FALSE),MATCH(All!L$1,Fall!$1:$1,FALSE))="","",INDEX(Fall!$1:$1048576,MATCH(All!$A646,Fall!$A:$A,FALSE),MATCH(All!L$1,Fall!$1:$1,FALSE))),"")</f>
        <v>2A</v>
      </c>
      <c r="M646" t="str">
        <f>IFERROR(IF(INDEX(Fall!$1:$1048576,MATCH(All!$A646,Fall!$A:$A,FALSE),MATCH(All!M$1,Fall!$1:$1,FALSE))="","",INDEX(Fall!$1:$1048576,MATCH(All!$A646,Fall!$A:$A,FALSE),MATCH(All!M$1,Fall!$1:$1,FALSE))),"")</f>
        <v>3A</v>
      </c>
      <c r="O646">
        <f>IFERROR(IF(INDEX(Winter!$1:$1048576,MATCH(All!$A646,Winter!$A:$A,FALSE),MATCH(All!O$1,Winter!$1:$1,FALSE))="","",INDEX(Winter!$1:$1048576,MATCH(All!$A646,Winter!$A:$A,FALSE),MATCH(All!O$1,Winter!$1:$1,FALSE))),"")</f>
        <v>1597</v>
      </c>
      <c r="P646" t="str">
        <f>IFERROR(IF(INDEX(Winter!$1:$1048576,MATCH(All!$A646,Winter!$A:$A,FALSE),MATCH(All!P$1,Winter!$1:$1,FALSE))="","",INDEX(Winter!$1:$1048576,MATCH(All!$A646,Winter!$A:$A,FALSE),MATCH(All!P$1,Winter!$1:$1,FALSE))),"")</f>
        <v>3A</v>
      </c>
      <c r="Q646" t="str">
        <f>IFERROR(IF(INDEX(Winter!$1:$1048576,MATCH(All!$A646,Winter!$A:$A,FALSE),MATCH(All!Q$1,Winter!$1:$1,FALSE))="","",INDEX(Winter!$1:$1048576,MATCH(All!$A646,Winter!$A:$A,FALSE),MATCH(All!Q$1,Winter!$1:$1,FALSE))),"")</f>
        <v>3A</v>
      </c>
      <c r="R646" t="str">
        <f>IFERROR(IF(INDEX(Winter!$1:$1048576,MATCH(All!$A646,Winter!$A:$A,FALSE),MATCH(All!R$1,Winter!$1:$1,FALSE))="","",INDEX(Winter!$1:$1048576,MATCH(All!$A646,Winter!$A:$A,FALSE),MATCH(All!R$1,Winter!$1:$1,FALSE))),"")</f>
        <v>C</v>
      </c>
      <c r="S646" t="str">
        <f>IFERROR(IF(INDEX(Winter!$1:$1048576,MATCH(All!$A646,Winter!$A:$A,FALSE),MATCH(All!S$1,Winter!$1:$1,FALSE))="","",INDEX(Winter!$1:$1048576,MATCH(All!$A646,Winter!$A:$A,FALSE),MATCH(All!S$1,Winter!$1:$1,FALSE))),"")</f>
        <v>2A</v>
      </c>
      <c r="T646" t="str">
        <f>IFERROR(IF(INDEX(Winter!$1:$1048576,MATCH(All!$A646,Winter!$A:$A,FALSE),MATCH(All!T$1,Winter!$1:$1,FALSE))="","",INDEX(Winter!$1:$1048576,MATCH(All!$A646,Winter!$A:$A,FALSE),MATCH(All!T$1,Winter!$1:$1,FALSE))),"")</f>
        <v/>
      </c>
      <c r="U646" t="str">
        <f>IFERROR(IF(INDEX(Winter!$1:$1048576,MATCH(All!$A646,Winter!$A:$A,FALSE),MATCH(All!U$1,Winter!$1:$1,FALSE))="","",INDEX(Winter!$1:$1048576,MATCH(All!$A646,Winter!$A:$A,FALSE),MATCH(All!U$1,Winter!$1:$1,FALSE))),"")</f>
        <v>2A</v>
      </c>
      <c r="W646">
        <f>IFERROR(IF(INDEX(Spring!$1:$1048576,MATCH(All!$A646,Spring!$A:$A,FALSE),MATCH(All!W$1,Spring!$1:$1,FALSE))="","",INDEX(Spring!$1:$1048576,MATCH(All!$A646,Spring!$A:$A,FALSE),MATCH(All!W$1,Spring!$1:$1,FALSE))),"")</f>
        <v>1597</v>
      </c>
      <c r="X646" t="str">
        <f>IFERROR(IF(INDEX(Spring!$1:$1048576,MATCH(All!$A646,Spring!$A:$A,FALSE),MATCH(All!X$1,Spring!$1:$1,FALSE))="","",INDEX(Spring!$1:$1048576,MATCH(All!$A646,Spring!$A:$A,FALSE),MATCH(All!X$1,Spring!$1:$1,FALSE))),"")</f>
        <v>3A</v>
      </c>
      <c r="Y646" t="str">
        <f>IFERROR(IF(INDEX(Spring!$1:$1048576,MATCH(All!$A646,Spring!$A:$A,FALSE),MATCH(All!Y$1,Spring!$1:$1,FALSE))="","",INDEX(Spring!$1:$1048576,MATCH(All!$A646,Spring!$A:$A,FALSE),MATCH(All!Y$1,Spring!$1:$1,FALSE))),"")</f>
        <v/>
      </c>
      <c r="Z646" t="str">
        <f>IFERROR(IF(INDEX(Spring!$1:$1048576,MATCH(All!$A646,Spring!$A:$A,FALSE),MATCH(All!Z$1,Spring!$1:$1,FALSE))="","",INDEX(Spring!$1:$1048576,MATCH(All!$A646,Spring!$A:$A,FALSE),MATCH(All!Z$1,Spring!$1:$1,FALSE))),"")</f>
        <v>2A</v>
      </c>
      <c r="AA646" t="str">
        <f>IFERROR(IF(INDEX(Spring!$1:$1048576,MATCH(All!$A646,Spring!$A:$A,FALSE),MATCH(All!AA$1,Spring!$1:$1,FALSE))="","",INDEX(Spring!$1:$1048576,MATCH(All!$A646,Spring!$A:$A,FALSE),MATCH(All!AA$1,Spring!$1:$1,FALSE))),"")</f>
        <v>2A</v>
      </c>
      <c r="AB646" t="str">
        <f>IFERROR(IF(INDEX(Spring!$1:$1048576,MATCH(All!$A646,Spring!$A:$A,FALSE),MATCH(All!AB$1,Spring!$1:$1,FALSE))="","",INDEX(Spring!$1:$1048576,MATCH(All!$A646,Spring!$A:$A,FALSE),MATCH(All!AB$1,Spring!$1:$1,FALSE))),"")</f>
        <v>3A</v>
      </c>
      <c r="AC646" t="str">
        <f>IFERROR(IF(INDEX(Spring!$1:$1048576,MATCH(All!$A646,Spring!$A:$A,FALSE),MATCH(All!AC$1,Spring!$1:$1,FALSE))="","",INDEX(Spring!$1:$1048576,MATCH(All!$A646,Spring!$A:$A,FALSE),MATCH(All!AC$1,Spring!$1:$1,FALSE))),"")</f>
        <v>3A</v>
      </c>
      <c r="AD646" t="str">
        <f>IFERROR(VLOOKUP(A646,'Flag Football'!A:A,1,FALSE),"")</f>
        <v>Rockford (East)</v>
      </c>
      <c r="AE646" t="str">
        <f t="shared" si="10"/>
        <v>1A</v>
      </c>
    </row>
    <row r="647" spans="1:31" ht="15.75" thickBot="1" x14ac:dyDescent="0.3">
      <c r="A647" s="20" t="s">
        <v>751</v>
      </c>
      <c r="B647" s="38">
        <f>IFERROR(VLOOKUP(A647,'Public v Private'!A:G,3,FALSE),"")</f>
        <v>0</v>
      </c>
      <c r="C647" s="38">
        <f>IFERROR(VLOOKUP(A647,'Public v Private'!A:G,4,FALSE),"")</f>
        <v>0</v>
      </c>
      <c r="D647" s="38">
        <f>IFERROR(VLOOKUP(A647,'Public v Private'!A:G,5,FALSE),"")</f>
        <v>0</v>
      </c>
      <c r="E647" s="38"/>
      <c r="F647" s="40">
        <f>IFERROR(INDEX(Fall!$1:$1048576,MATCH(All!$A647,Fall!$A:$A,FALSE),MATCH(All!F$1,Fall!$1:$1,FALSE)),"N/A")</f>
        <v>2026</v>
      </c>
      <c r="G647" t="str">
        <f>IFERROR(IF(INDEX(Fall!$1:$1048576,MATCH(All!$A647,Fall!$A:$A,FALSE),MATCH(All!G$1,Fall!$1:$1,FALSE))="","",INDEX(Fall!$1:$1048576,MATCH(All!$A647,Fall!$A:$A,FALSE),MATCH(All!G$1,Fall!$1:$1,FALSE))),"")</f>
        <v>3A</v>
      </c>
      <c r="H647" t="str">
        <f>IFERROR(IF(INDEX(Fall!$1:$1048576,MATCH(All!$A647,Fall!$A:$A,FALSE),MATCH(All!H$1,Fall!$1:$1,FALSE))="","",INDEX(Fall!$1:$1048576,MATCH(All!$A647,Fall!$A:$A,FALSE),MATCH(All!H$1,Fall!$1:$1,FALSE))),"")</f>
        <v>3A</v>
      </c>
      <c r="I647" t="str">
        <f>IFERROR(IF(INDEX(Fall!$1:$1048576,MATCH(All!$A647,Fall!$A:$A,FALSE),MATCH(All!I$1,Fall!$1:$1,FALSE))="","",INDEX(Fall!$1:$1048576,MATCH(All!$A647,Fall!$A:$A,FALSE),MATCH(All!I$1,Fall!$1:$1,FALSE))),"")</f>
        <v>3A</v>
      </c>
      <c r="J647" t="str">
        <f>IFERROR(IF(INDEX(Fall!$1:$1048576,MATCH(All!$A647,Fall!$A:$A,FALSE),MATCH(All!J$1,Fall!$1:$1,FALSE))="","",INDEX(Fall!$1:$1048576,MATCH(All!$A647,Fall!$A:$A,FALSE),MATCH(All!J$1,Fall!$1:$1,FALSE))),"")</f>
        <v>2A</v>
      </c>
      <c r="K647" t="str">
        <f>IFERROR(IF(INDEX(Fall!$1:$1048576,MATCH(All!$A647,Fall!$A:$A,FALSE),MATCH(All!K$1,Fall!$1:$1,FALSE))="","",INDEX(Fall!$1:$1048576,MATCH(All!$A647,Fall!$A:$A,FALSE),MATCH(All!K$1,Fall!$1:$1,FALSE))),"")</f>
        <v>3A</v>
      </c>
      <c r="L647" t="str">
        <f>IFERROR(IF(INDEX(Fall!$1:$1048576,MATCH(All!$A647,Fall!$A:$A,FALSE),MATCH(All!L$1,Fall!$1:$1,FALSE))="","",INDEX(Fall!$1:$1048576,MATCH(All!$A647,Fall!$A:$A,FALSE),MATCH(All!L$1,Fall!$1:$1,FALSE))),"")</f>
        <v>2A</v>
      </c>
      <c r="M647" t="str">
        <f>IFERROR(IF(INDEX(Fall!$1:$1048576,MATCH(All!$A647,Fall!$A:$A,FALSE),MATCH(All!M$1,Fall!$1:$1,FALSE))="","",INDEX(Fall!$1:$1048576,MATCH(All!$A647,Fall!$A:$A,FALSE),MATCH(All!M$1,Fall!$1:$1,FALSE))),"")</f>
        <v>4A</v>
      </c>
      <c r="O647">
        <f>IFERROR(IF(INDEX(Winter!$1:$1048576,MATCH(All!$A647,Winter!$A:$A,FALSE),MATCH(All!O$1,Winter!$1:$1,FALSE))="","",INDEX(Winter!$1:$1048576,MATCH(All!$A647,Winter!$A:$A,FALSE),MATCH(All!O$1,Winter!$1:$1,FALSE))),"")</f>
        <v>2026</v>
      </c>
      <c r="P647" t="str">
        <f>IFERROR(IF(INDEX(Winter!$1:$1048576,MATCH(All!$A647,Winter!$A:$A,FALSE),MATCH(All!P$1,Winter!$1:$1,FALSE))="","",INDEX(Winter!$1:$1048576,MATCH(All!$A647,Winter!$A:$A,FALSE),MATCH(All!P$1,Winter!$1:$1,FALSE))),"")</f>
        <v>4A</v>
      </c>
      <c r="Q647" t="str">
        <f>IFERROR(IF(INDEX(Winter!$1:$1048576,MATCH(All!$A647,Winter!$A:$A,FALSE),MATCH(All!Q$1,Winter!$1:$1,FALSE))="","",INDEX(Winter!$1:$1048576,MATCH(All!$A647,Winter!$A:$A,FALSE),MATCH(All!Q$1,Winter!$1:$1,FALSE))),"")</f>
        <v>4A</v>
      </c>
      <c r="R647" t="str">
        <f>IFERROR(IF(INDEX(Winter!$1:$1048576,MATCH(All!$A647,Winter!$A:$A,FALSE),MATCH(All!R$1,Winter!$1:$1,FALSE))="","",INDEX(Winter!$1:$1048576,MATCH(All!$A647,Winter!$A:$A,FALSE),MATCH(All!R$1,Winter!$1:$1,FALSE))),"")</f>
        <v>3A</v>
      </c>
      <c r="S647" t="str">
        <f>IFERROR(IF(INDEX(Winter!$1:$1048576,MATCH(All!$A647,Winter!$A:$A,FALSE),MATCH(All!S$1,Winter!$1:$1,FALSE))="","",INDEX(Winter!$1:$1048576,MATCH(All!$A647,Winter!$A:$A,FALSE),MATCH(All!S$1,Winter!$1:$1,FALSE))),"")</f>
        <v>3A</v>
      </c>
      <c r="T647" t="str">
        <f>IFERROR(IF(INDEX(Winter!$1:$1048576,MATCH(All!$A647,Winter!$A:$A,FALSE),MATCH(All!T$1,Winter!$1:$1,FALSE))="","",INDEX(Winter!$1:$1048576,MATCH(All!$A647,Winter!$A:$A,FALSE),MATCH(All!T$1,Winter!$1:$1,FALSE))),"")</f>
        <v>2A</v>
      </c>
      <c r="U647" t="str">
        <f>IFERROR(IF(INDEX(Winter!$1:$1048576,MATCH(All!$A647,Winter!$A:$A,FALSE),MATCH(All!U$1,Winter!$1:$1,FALSE))="","",INDEX(Winter!$1:$1048576,MATCH(All!$A647,Winter!$A:$A,FALSE),MATCH(All!U$1,Winter!$1:$1,FALSE))),"")</f>
        <v>3A</v>
      </c>
      <c r="W647">
        <f>IFERROR(IF(INDEX(Spring!$1:$1048576,MATCH(All!$A647,Spring!$A:$A,FALSE),MATCH(All!W$1,Spring!$1:$1,FALSE))="","",INDEX(Spring!$1:$1048576,MATCH(All!$A647,Spring!$A:$A,FALSE),MATCH(All!W$1,Spring!$1:$1,FALSE))),"")</f>
        <v>2026</v>
      </c>
      <c r="X647" t="str">
        <f>IFERROR(IF(INDEX(Spring!$1:$1048576,MATCH(All!$A647,Spring!$A:$A,FALSE),MATCH(All!X$1,Spring!$1:$1,FALSE))="","",INDEX(Spring!$1:$1048576,MATCH(All!$A647,Spring!$A:$A,FALSE),MATCH(All!X$1,Spring!$1:$1,FALSE))),"")</f>
        <v>4A</v>
      </c>
      <c r="Y647" t="str">
        <f>IFERROR(IF(INDEX(Spring!$1:$1048576,MATCH(All!$A647,Spring!$A:$A,FALSE),MATCH(All!Y$1,Spring!$1:$1,FALSE))="","",INDEX(Spring!$1:$1048576,MATCH(All!$A647,Spring!$A:$A,FALSE),MATCH(All!Y$1,Spring!$1:$1,FALSE))),"")</f>
        <v>4A</v>
      </c>
      <c r="Z647" t="str">
        <f>IFERROR(IF(INDEX(Spring!$1:$1048576,MATCH(All!$A647,Spring!$A:$A,FALSE),MATCH(All!Z$1,Spring!$1:$1,FALSE))="","",INDEX(Spring!$1:$1048576,MATCH(All!$A647,Spring!$A:$A,FALSE),MATCH(All!Z$1,Spring!$1:$1,FALSE))),"")</f>
        <v>3A</v>
      </c>
      <c r="AA647" t="str">
        <f>IFERROR(IF(INDEX(Spring!$1:$1048576,MATCH(All!$A647,Spring!$A:$A,FALSE),MATCH(All!AA$1,Spring!$1:$1,FALSE))="","",INDEX(Spring!$1:$1048576,MATCH(All!$A647,Spring!$A:$A,FALSE),MATCH(All!AA$1,Spring!$1:$1,FALSE))),"")</f>
        <v>2A</v>
      </c>
      <c r="AB647" t="str">
        <f>IFERROR(IF(INDEX(Spring!$1:$1048576,MATCH(All!$A647,Spring!$A:$A,FALSE),MATCH(All!AB$1,Spring!$1:$1,FALSE))="","",INDEX(Spring!$1:$1048576,MATCH(All!$A647,Spring!$A:$A,FALSE),MATCH(All!AB$1,Spring!$1:$1,FALSE))),"")</f>
        <v>3A</v>
      </c>
      <c r="AC647" t="str">
        <f>IFERROR(IF(INDEX(Spring!$1:$1048576,MATCH(All!$A647,Spring!$A:$A,FALSE),MATCH(All!AC$1,Spring!$1:$1,FALSE))="","",INDEX(Spring!$1:$1048576,MATCH(All!$A647,Spring!$A:$A,FALSE),MATCH(All!AC$1,Spring!$1:$1,FALSE))),"")</f>
        <v>3A</v>
      </c>
      <c r="AD647" t="str">
        <f>IFERROR(VLOOKUP(A647,'Flag Football'!A:A,1,FALSE),"")</f>
        <v>Rockford (Guilford)</v>
      </c>
      <c r="AE647" t="str">
        <f t="shared" si="10"/>
        <v>1A</v>
      </c>
    </row>
    <row r="648" spans="1:31" ht="15.75" thickBot="1" x14ac:dyDescent="0.3">
      <c r="A648" s="18" t="s">
        <v>752</v>
      </c>
      <c r="B648" s="38">
        <f>IFERROR(VLOOKUP(A648,'Public v Private'!A:G,3,FALSE),"")</f>
        <v>0</v>
      </c>
      <c r="C648" s="38">
        <f>IFERROR(VLOOKUP(A648,'Public v Private'!A:G,4,FALSE),"")</f>
        <v>0</v>
      </c>
      <c r="D648" s="38">
        <f>IFERROR(VLOOKUP(A648,'Public v Private'!A:G,5,FALSE),"")</f>
        <v>0</v>
      </c>
      <c r="E648" s="38"/>
      <c r="F648" s="40">
        <f>IFERROR(INDEX(Fall!$1:$1048576,MATCH(All!$A648,Fall!$A:$A,FALSE),MATCH(All!F$1,Fall!$1:$1,FALSE)),"N/A")</f>
        <v>2020</v>
      </c>
      <c r="G648" t="str">
        <f>IFERROR(IF(INDEX(Fall!$1:$1048576,MATCH(All!$A648,Fall!$A:$A,FALSE),MATCH(All!G$1,Fall!$1:$1,FALSE))="","",INDEX(Fall!$1:$1048576,MATCH(All!$A648,Fall!$A:$A,FALSE),MATCH(All!G$1,Fall!$1:$1,FALSE))),"")</f>
        <v>3A</v>
      </c>
      <c r="H648" t="str">
        <f>IFERROR(IF(INDEX(Fall!$1:$1048576,MATCH(All!$A648,Fall!$A:$A,FALSE),MATCH(All!H$1,Fall!$1:$1,FALSE))="","",INDEX(Fall!$1:$1048576,MATCH(All!$A648,Fall!$A:$A,FALSE),MATCH(All!H$1,Fall!$1:$1,FALSE))),"")</f>
        <v>3A</v>
      </c>
      <c r="I648" t="str">
        <f>IFERROR(IF(INDEX(Fall!$1:$1048576,MATCH(All!$A648,Fall!$A:$A,FALSE),MATCH(All!I$1,Fall!$1:$1,FALSE))="","",INDEX(Fall!$1:$1048576,MATCH(All!$A648,Fall!$A:$A,FALSE),MATCH(All!I$1,Fall!$1:$1,FALSE))),"")</f>
        <v>3A</v>
      </c>
      <c r="J648" t="str">
        <f>IFERROR(IF(INDEX(Fall!$1:$1048576,MATCH(All!$A648,Fall!$A:$A,FALSE),MATCH(All!J$1,Fall!$1:$1,FALSE))="","",INDEX(Fall!$1:$1048576,MATCH(All!$A648,Fall!$A:$A,FALSE),MATCH(All!J$1,Fall!$1:$1,FALSE))),"")</f>
        <v/>
      </c>
      <c r="K648" t="str">
        <f>IFERROR(IF(INDEX(Fall!$1:$1048576,MATCH(All!$A648,Fall!$A:$A,FALSE),MATCH(All!K$1,Fall!$1:$1,FALSE))="","",INDEX(Fall!$1:$1048576,MATCH(All!$A648,Fall!$A:$A,FALSE),MATCH(All!K$1,Fall!$1:$1,FALSE))),"")</f>
        <v>3A</v>
      </c>
      <c r="L648" t="str">
        <f>IFERROR(IF(INDEX(Fall!$1:$1048576,MATCH(All!$A648,Fall!$A:$A,FALSE),MATCH(All!L$1,Fall!$1:$1,FALSE))="","",INDEX(Fall!$1:$1048576,MATCH(All!$A648,Fall!$A:$A,FALSE),MATCH(All!L$1,Fall!$1:$1,FALSE))),"")</f>
        <v>2A</v>
      </c>
      <c r="M648" t="str">
        <f>IFERROR(IF(INDEX(Fall!$1:$1048576,MATCH(All!$A648,Fall!$A:$A,FALSE),MATCH(All!M$1,Fall!$1:$1,FALSE))="","",INDEX(Fall!$1:$1048576,MATCH(All!$A648,Fall!$A:$A,FALSE),MATCH(All!M$1,Fall!$1:$1,FALSE))),"")</f>
        <v>4A</v>
      </c>
      <c r="O648">
        <f>IFERROR(IF(INDEX(Winter!$1:$1048576,MATCH(All!$A648,Winter!$A:$A,FALSE),MATCH(All!O$1,Winter!$1:$1,FALSE))="","",INDEX(Winter!$1:$1048576,MATCH(All!$A648,Winter!$A:$A,FALSE),MATCH(All!O$1,Winter!$1:$1,FALSE))),"")</f>
        <v>2020</v>
      </c>
      <c r="P648" t="str">
        <f>IFERROR(IF(INDEX(Winter!$1:$1048576,MATCH(All!$A648,Winter!$A:$A,FALSE),MATCH(All!P$1,Winter!$1:$1,FALSE))="","",INDEX(Winter!$1:$1048576,MATCH(All!$A648,Winter!$A:$A,FALSE),MATCH(All!P$1,Winter!$1:$1,FALSE))),"")</f>
        <v>4A</v>
      </c>
      <c r="Q648" t="str">
        <f>IFERROR(IF(INDEX(Winter!$1:$1048576,MATCH(All!$A648,Winter!$A:$A,FALSE),MATCH(All!Q$1,Winter!$1:$1,FALSE))="","",INDEX(Winter!$1:$1048576,MATCH(All!$A648,Winter!$A:$A,FALSE),MATCH(All!Q$1,Winter!$1:$1,FALSE))),"")</f>
        <v>4A</v>
      </c>
      <c r="R648" t="str">
        <f>IFERROR(IF(INDEX(Winter!$1:$1048576,MATCH(All!$A648,Winter!$A:$A,FALSE),MATCH(All!R$1,Winter!$1:$1,FALSE))="","",INDEX(Winter!$1:$1048576,MATCH(All!$A648,Winter!$A:$A,FALSE),MATCH(All!R$1,Winter!$1:$1,FALSE))),"")</f>
        <v>C</v>
      </c>
      <c r="S648" t="str">
        <f>IFERROR(IF(INDEX(Winter!$1:$1048576,MATCH(All!$A648,Winter!$A:$A,FALSE),MATCH(All!S$1,Winter!$1:$1,FALSE))="","",INDEX(Winter!$1:$1048576,MATCH(All!$A648,Winter!$A:$A,FALSE),MATCH(All!S$1,Winter!$1:$1,FALSE))),"")</f>
        <v>3A</v>
      </c>
      <c r="T648" t="str">
        <f>IFERROR(IF(INDEX(Winter!$1:$1048576,MATCH(All!$A648,Winter!$A:$A,FALSE),MATCH(All!T$1,Winter!$1:$1,FALSE))="","",INDEX(Winter!$1:$1048576,MATCH(All!$A648,Winter!$A:$A,FALSE),MATCH(All!T$1,Winter!$1:$1,FALSE))),"")</f>
        <v/>
      </c>
      <c r="U648" t="str">
        <f>IFERROR(IF(INDEX(Winter!$1:$1048576,MATCH(All!$A648,Winter!$A:$A,FALSE),MATCH(All!U$1,Winter!$1:$1,FALSE))="","",INDEX(Winter!$1:$1048576,MATCH(All!$A648,Winter!$A:$A,FALSE),MATCH(All!U$1,Winter!$1:$1,FALSE))),"")</f>
        <v>3A</v>
      </c>
      <c r="W648">
        <f>IFERROR(IF(INDEX(Spring!$1:$1048576,MATCH(All!$A648,Spring!$A:$A,FALSE),MATCH(All!W$1,Spring!$1:$1,FALSE))="","",INDEX(Spring!$1:$1048576,MATCH(All!$A648,Spring!$A:$A,FALSE),MATCH(All!W$1,Spring!$1:$1,FALSE))),"")</f>
        <v>2020</v>
      </c>
      <c r="X648" t="str">
        <f>IFERROR(IF(INDEX(Spring!$1:$1048576,MATCH(All!$A648,Spring!$A:$A,FALSE),MATCH(All!X$1,Spring!$1:$1,FALSE))="","",INDEX(Spring!$1:$1048576,MATCH(All!$A648,Spring!$A:$A,FALSE),MATCH(All!X$1,Spring!$1:$1,FALSE))),"")</f>
        <v>4A</v>
      </c>
      <c r="Y648" t="str">
        <f>IFERROR(IF(INDEX(Spring!$1:$1048576,MATCH(All!$A648,Spring!$A:$A,FALSE),MATCH(All!Y$1,Spring!$1:$1,FALSE))="","",INDEX(Spring!$1:$1048576,MATCH(All!$A648,Spring!$A:$A,FALSE),MATCH(All!Y$1,Spring!$1:$1,FALSE))),"")</f>
        <v>4A</v>
      </c>
      <c r="Z648" t="str">
        <f>IFERROR(IF(INDEX(Spring!$1:$1048576,MATCH(All!$A648,Spring!$A:$A,FALSE),MATCH(All!Z$1,Spring!$1:$1,FALSE))="","",INDEX(Spring!$1:$1048576,MATCH(All!$A648,Spring!$A:$A,FALSE),MATCH(All!Z$1,Spring!$1:$1,FALSE))),"")</f>
        <v>3A</v>
      </c>
      <c r="AA648" t="str">
        <f>IFERROR(IF(INDEX(Spring!$1:$1048576,MATCH(All!$A648,Spring!$A:$A,FALSE),MATCH(All!AA$1,Spring!$1:$1,FALSE))="","",INDEX(Spring!$1:$1048576,MATCH(All!$A648,Spring!$A:$A,FALSE),MATCH(All!AA$1,Spring!$1:$1,FALSE))),"")</f>
        <v>2A</v>
      </c>
      <c r="AB648" t="str">
        <f>IFERROR(IF(INDEX(Spring!$1:$1048576,MATCH(All!$A648,Spring!$A:$A,FALSE),MATCH(All!AB$1,Spring!$1:$1,FALSE))="","",INDEX(Spring!$1:$1048576,MATCH(All!$A648,Spring!$A:$A,FALSE),MATCH(All!AB$1,Spring!$1:$1,FALSE))),"")</f>
        <v>3A</v>
      </c>
      <c r="AC648" t="str">
        <f>IFERROR(IF(INDEX(Spring!$1:$1048576,MATCH(All!$A648,Spring!$A:$A,FALSE),MATCH(All!AC$1,Spring!$1:$1,FALSE))="","",INDEX(Spring!$1:$1048576,MATCH(All!$A648,Spring!$A:$A,FALSE),MATCH(All!AC$1,Spring!$1:$1,FALSE))),"")</f>
        <v>3A</v>
      </c>
      <c r="AD648" t="str">
        <f>IFERROR(VLOOKUP(A648,'Flag Football'!A:A,1,FALSE),"")</f>
        <v>Rockford (Jefferson)</v>
      </c>
      <c r="AE648" t="str">
        <f t="shared" si="10"/>
        <v>1A</v>
      </c>
    </row>
    <row r="649" spans="1:31" ht="15.75" thickBot="1" x14ac:dyDescent="0.3">
      <c r="A649" s="18" t="s">
        <v>963</v>
      </c>
      <c r="B649" s="38" t="str">
        <f>IFERROR(VLOOKUP(A649,'Public v Private'!A:G,3,FALSE),"")</f>
        <v>private</v>
      </c>
      <c r="C649" s="38">
        <f>IFERROR(VLOOKUP(A649,'Public v Private'!A:G,4,FALSE),"")</f>
        <v>4</v>
      </c>
      <c r="D649" s="38">
        <f>IFERROR(VLOOKUP(A649,'Public v Private'!A:G,5,FALSE),"")</f>
        <v>10</v>
      </c>
      <c r="E649" s="38"/>
      <c r="F649" s="40" t="str">
        <f>IFERROR(INDEX(Fall!$1:$1048576,MATCH(All!$A649,Fall!$A:$A,FALSE),MATCH(All!F$1,Fall!$1:$1,FALSE)),"N/A")</f>
        <v>N/A</v>
      </c>
      <c r="G649" t="str">
        <f>IFERROR(IF(INDEX(Fall!$1:$1048576,MATCH(All!$A649,Fall!$A:$A,FALSE),MATCH(All!G$1,Fall!$1:$1,FALSE))="","",INDEX(Fall!$1:$1048576,MATCH(All!$A649,Fall!$A:$A,FALSE),MATCH(All!G$1,Fall!$1:$1,FALSE))),"")</f>
        <v/>
      </c>
      <c r="H649" t="str">
        <f>IFERROR(IF(INDEX(Fall!$1:$1048576,MATCH(All!$A649,Fall!$A:$A,FALSE),MATCH(All!H$1,Fall!$1:$1,FALSE))="","",INDEX(Fall!$1:$1048576,MATCH(All!$A649,Fall!$A:$A,FALSE),MATCH(All!H$1,Fall!$1:$1,FALSE))),"")</f>
        <v/>
      </c>
      <c r="I649" t="str">
        <f>IFERROR(IF(INDEX(Fall!$1:$1048576,MATCH(All!$A649,Fall!$A:$A,FALSE),MATCH(All!I$1,Fall!$1:$1,FALSE))="","",INDEX(Fall!$1:$1048576,MATCH(All!$A649,Fall!$A:$A,FALSE),MATCH(All!I$1,Fall!$1:$1,FALSE))),"")</f>
        <v/>
      </c>
      <c r="J649" t="str">
        <f>IFERROR(IF(INDEX(Fall!$1:$1048576,MATCH(All!$A649,Fall!$A:$A,FALSE),MATCH(All!J$1,Fall!$1:$1,FALSE))="","",INDEX(Fall!$1:$1048576,MATCH(All!$A649,Fall!$A:$A,FALSE),MATCH(All!J$1,Fall!$1:$1,FALSE))),"")</f>
        <v/>
      </c>
      <c r="K649" t="str">
        <f>IFERROR(IF(INDEX(Fall!$1:$1048576,MATCH(All!$A649,Fall!$A:$A,FALSE),MATCH(All!K$1,Fall!$1:$1,FALSE))="","",INDEX(Fall!$1:$1048576,MATCH(All!$A649,Fall!$A:$A,FALSE),MATCH(All!K$1,Fall!$1:$1,FALSE))),"")</f>
        <v/>
      </c>
      <c r="L649" t="str">
        <f>IFERROR(IF(INDEX(Fall!$1:$1048576,MATCH(All!$A649,Fall!$A:$A,FALSE),MATCH(All!L$1,Fall!$1:$1,FALSE))="","",INDEX(Fall!$1:$1048576,MATCH(All!$A649,Fall!$A:$A,FALSE),MATCH(All!L$1,Fall!$1:$1,FALSE))),"")</f>
        <v/>
      </c>
      <c r="M649" t="str">
        <f>IFERROR(IF(INDEX(Fall!$1:$1048576,MATCH(All!$A649,Fall!$A:$A,FALSE),MATCH(All!M$1,Fall!$1:$1,FALSE))="","",INDEX(Fall!$1:$1048576,MATCH(All!$A649,Fall!$A:$A,FALSE),MATCH(All!M$1,Fall!$1:$1,FALSE))),"")</f>
        <v/>
      </c>
      <c r="O649" t="str">
        <f>IFERROR(IF(INDEX(Winter!$1:$1048576,MATCH(All!$A649,Winter!$A:$A,FALSE),MATCH(All!O$1,Winter!$1:$1,FALSE))="","",INDEX(Winter!$1:$1048576,MATCH(All!$A649,Winter!$A:$A,FALSE),MATCH(All!O$1,Winter!$1:$1,FALSE))),"")</f>
        <v>50.00 (82.50)</v>
      </c>
      <c r="P649" t="str">
        <f>IFERROR(IF(INDEX(Winter!$1:$1048576,MATCH(All!$A649,Winter!$A:$A,FALSE),MATCH(All!P$1,Winter!$1:$1,FALSE))="","",INDEX(Winter!$1:$1048576,MATCH(All!$A649,Winter!$A:$A,FALSE),MATCH(All!P$1,Winter!$1:$1,FALSE))),"")</f>
        <v/>
      </c>
      <c r="Q649" t="str">
        <f>IFERROR(IF(INDEX(Winter!$1:$1048576,MATCH(All!$A649,Winter!$A:$A,FALSE),MATCH(All!Q$1,Winter!$1:$1,FALSE))="","",INDEX(Winter!$1:$1048576,MATCH(All!$A649,Winter!$A:$A,FALSE),MATCH(All!Q$1,Winter!$1:$1,FALSE))),"")</f>
        <v/>
      </c>
      <c r="R649" t="str">
        <f>IFERROR(IF(INDEX(Winter!$1:$1048576,MATCH(All!$A649,Winter!$A:$A,FALSE),MATCH(All!R$1,Winter!$1:$1,FALSE))="","",INDEX(Winter!$1:$1048576,MATCH(All!$A649,Winter!$A:$A,FALSE),MATCH(All!R$1,Winter!$1:$1,FALSE))),"")</f>
        <v/>
      </c>
      <c r="S649" t="str">
        <f>IFERROR(IF(INDEX(Winter!$1:$1048576,MATCH(All!$A649,Winter!$A:$A,FALSE),MATCH(All!S$1,Winter!$1:$1,FALSE))="","",INDEX(Winter!$1:$1048576,MATCH(All!$A649,Winter!$A:$A,FALSE),MATCH(All!S$1,Winter!$1:$1,FALSE))),"")</f>
        <v/>
      </c>
      <c r="T649" t="str">
        <f>IFERROR(IF(INDEX(Winter!$1:$1048576,MATCH(All!$A649,Winter!$A:$A,FALSE),MATCH(All!T$1,Winter!$1:$1,FALSE))="","",INDEX(Winter!$1:$1048576,MATCH(All!$A649,Winter!$A:$A,FALSE),MATCH(All!T$1,Winter!$1:$1,FALSE))),"")</f>
        <v>1A</v>
      </c>
      <c r="U649" t="str">
        <f>IFERROR(IF(INDEX(Winter!$1:$1048576,MATCH(All!$A649,Winter!$A:$A,FALSE),MATCH(All!U$1,Winter!$1:$1,FALSE))="","",INDEX(Winter!$1:$1048576,MATCH(All!$A649,Winter!$A:$A,FALSE),MATCH(All!U$1,Winter!$1:$1,FALSE))),"")</f>
        <v/>
      </c>
      <c r="W649" t="str">
        <f>IFERROR(IF(INDEX(Spring!$1:$1048576,MATCH(All!$A649,Spring!$A:$A,FALSE),MATCH(All!W$1,Spring!$1:$1,FALSE))="","",INDEX(Spring!$1:$1048576,MATCH(All!$A649,Spring!$A:$A,FALSE),MATCH(All!W$1,Spring!$1:$1,FALSE))),"")</f>
        <v/>
      </c>
      <c r="X649" t="str">
        <f>IFERROR(IF(INDEX(Spring!$1:$1048576,MATCH(All!$A649,Spring!$A:$A,FALSE),MATCH(All!X$1,Spring!$1:$1,FALSE))="","",INDEX(Spring!$1:$1048576,MATCH(All!$A649,Spring!$A:$A,FALSE),MATCH(All!X$1,Spring!$1:$1,FALSE))),"")</f>
        <v/>
      </c>
      <c r="Y649" t="str">
        <f>IFERROR(IF(INDEX(Spring!$1:$1048576,MATCH(All!$A649,Spring!$A:$A,FALSE),MATCH(All!Y$1,Spring!$1:$1,FALSE))="","",INDEX(Spring!$1:$1048576,MATCH(All!$A649,Spring!$A:$A,FALSE),MATCH(All!Y$1,Spring!$1:$1,FALSE))),"")</f>
        <v/>
      </c>
      <c r="Z649" t="str">
        <f>IFERROR(IF(INDEX(Spring!$1:$1048576,MATCH(All!$A649,Spring!$A:$A,FALSE),MATCH(All!Z$1,Spring!$1:$1,FALSE))="","",INDEX(Spring!$1:$1048576,MATCH(All!$A649,Spring!$A:$A,FALSE),MATCH(All!Z$1,Spring!$1:$1,FALSE))),"")</f>
        <v/>
      </c>
      <c r="AA649" t="str">
        <f>IFERROR(IF(INDEX(Spring!$1:$1048576,MATCH(All!$A649,Spring!$A:$A,FALSE),MATCH(All!AA$1,Spring!$1:$1,FALSE))="","",INDEX(Spring!$1:$1048576,MATCH(All!$A649,Spring!$A:$A,FALSE),MATCH(All!AA$1,Spring!$1:$1,FALSE))),"")</f>
        <v/>
      </c>
      <c r="AB649" t="str">
        <f>IFERROR(IF(INDEX(Spring!$1:$1048576,MATCH(All!$A649,Spring!$A:$A,FALSE),MATCH(All!AB$1,Spring!$1:$1,FALSE))="","",INDEX(Spring!$1:$1048576,MATCH(All!$A649,Spring!$A:$A,FALSE),MATCH(All!AB$1,Spring!$1:$1,FALSE))),"")</f>
        <v/>
      </c>
      <c r="AC649" t="str">
        <f>IFERROR(IF(INDEX(Spring!$1:$1048576,MATCH(All!$A649,Spring!$A:$A,FALSE),MATCH(All!AC$1,Spring!$1:$1,FALSE))="","",INDEX(Spring!$1:$1048576,MATCH(All!$A649,Spring!$A:$A,FALSE),MATCH(All!AC$1,Spring!$1:$1,FALSE))),"")</f>
        <v/>
      </c>
      <c r="AD649" t="str">
        <f>IFERROR(VLOOKUP(A649,'Flag Football'!A:A,1,FALSE),"")</f>
        <v/>
      </c>
      <c r="AE649" t="str">
        <f t="shared" si="10"/>
        <v/>
      </c>
    </row>
    <row r="650" spans="1:31" ht="15.75" thickBot="1" x14ac:dyDescent="0.3">
      <c r="A650" s="20" t="s">
        <v>753</v>
      </c>
      <c r="B650" s="38" t="str">
        <f>IFERROR(VLOOKUP(A650,'Public v Private'!A:G,3,FALSE),"")</f>
        <v>private</v>
      </c>
      <c r="C650" s="38">
        <f>IFERROR(VLOOKUP(A650,'Public v Private'!A:G,4,FALSE),"")</f>
        <v>4</v>
      </c>
      <c r="D650" s="38">
        <f>IFERROR(VLOOKUP(A650,'Public v Private'!A:G,5,FALSE),"")</f>
        <v>10</v>
      </c>
      <c r="E650" s="38"/>
      <c r="F650" s="40" t="str">
        <f>IFERROR(INDEX(Fall!$1:$1048576,MATCH(All!$A650,Fall!$A:$A,FALSE),MATCH(All!F$1,Fall!$1:$1,FALSE)),"N/A")</f>
        <v>274.00 (452.10)</v>
      </c>
      <c r="G650" t="str">
        <f>IFERROR(IF(INDEX(Fall!$1:$1048576,MATCH(All!$A650,Fall!$A:$A,FALSE),MATCH(All!G$1,Fall!$1:$1,FALSE))="","",INDEX(Fall!$1:$1048576,MATCH(All!$A650,Fall!$A:$A,FALSE),MATCH(All!G$1,Fall!$1:$1,FALSE))),"")</f>
        <v>1A</v>
      </c>
      <c r="H650" t="str">
        <f>IFERROR(IF(INDEX(Fall!$1:$1048576,MATCH(All!$A650,Fall!$A:$A,FALSE),MATCH(All!H$1,Fall!$1:$1,FALSE))="","",INDEX(Fall!$1:$1048576,MATCH(All!$A650,Fall!$A:$A,FALSE),MATCH(All!H$1,Fall!$1:$1,FALSE))),"")</f>
        <v>1A</v>
      </c>
      <c r="I650" t="str">
        <f>IFERROR(IF(INDEX(Fall!$1:$1048576,MATCH(All!$A650,Fall!$A:$A,FALSE),MATCH(All!I$1,Fall!$1:$1,FALSE))="","",INDEX(Fall!$1:$1048576,MATCH(All!$A650,Fall!$A:$A,FALSE),MATCH(All!I$1,Fall!$1:$1,FALSE))),"")</f>
        <v>1A</v>
      </c>
      <c r="J650" t="str">
        <f>IFERROR(IF(INDEX(Fall!$1:$1048576,MATCH(All!$A650,Fall!$A:$A,FALSE),MATCH(All!J$1,Fall!$1:$1,FALSE))="","",INDEX(Fall!$1:$1048576,MATCH(All!$A650,Fall!$A:$A,FALSE),MATCH(All!J$1,Fall!$1:$1,FALSE))),"")</f>
        <v>1A</v>
      </c>
      <c r="K650" t="str">
        <f>IFERROR(IF(INDEX(Fall!$1:$1048576,MATCH(All!$A650,Fall!$A:$A,FALSE),MATCH(All!K$1,Fall!$1:$1,FALSE))="","",INDEX(Fall!$1:$1048576,MATCH(All!$A650,Fall!$A:$A,FALSE),MATCH(All!K$1,Fall!$1:$1,FALSE))),"")</f>
        <v>1A</v>
      </c>
      <c r="L650" t="str">
        <f>IFERROR(IF(INDEX(Fall!$1:$1048576,MATCH(All!$A650,Fall!$A:$A,FALSE),MATCH(All!L$1,Fall!$1:$1,FALSE))="","",INDEX(Fall!$1:$1048576,MATCH(All!$A650,Fall!$A:$A,FALSE),MATCH(All!L$1,Fall!$1:$1,FALSE))),"")</f>
        <v>1A</v>
      </c>
      <c r="M650" t="str">
        <f>IFERROR(IF(INDEX(Fall!$1:$1048576,MATCH(All!$A650,Fall!$A:$A,FALSE),MATCH(All!M$1,Fall!$1:$1,FALSE))="","",INDEX(Fall!$1:$1048576,MATCH(All!$A650,Fall!$A:$A,FALSE),MATCH(All!M$1,Fall!$1:$1,FALSE))),"")</f>
        <v>2A</v>
      </c>
      <c r="O650" t="str">
        <f>IFERROR(IF(INDEX(Winter!$1:$1048576,MATCH(All!$A650,Winter!$A:$A,FALSE),MATCH(All!O$1,Winter!$1:$1,FALSE))="","",INDEX(Winter!$1:$1048576,MATCH(All!$A650,Winter!$A:$A,FALSE),MATCH(All!O$1,Winter!$1:$1,FALSE))),"")</f>
        <v>274.00 (452.10)</v>
      </c>
      <c r="P650" t="str">
        <f>IFERROR(IF(INDEX(Winter!$1:$1048576,MATCH(All!$A650,Winter!$A:$A,FALSE),MATCH(All!P$1,Winter!$1:$1,FALSE))="","",INDEX(Winter!$1:$1048576,MATCH(All!$A650,Winter!$A:$A,FALSE),MATCH(All!P$1,Winter!$1:$1,FALSE))),"")</f>
        <v>2A</v>
      </c>
      <c r="Q650" t="str">
        <f>IFERROR(IF(INDEX(Winter!$1:$1048576,MATCH(All!$A650,Winter!$A:$A,FALSE),MATCH(All!Q$1,Winter!$1:$1,FALSE))="","",INDEX(Winter!$1:$1048576,MATCH(All!$A650,Winter!$A:$A,FALSE),MATCH(All!Q$1,Winter!$1:$1,FALSE))),"")</f>
        <v>2A</v>
      </c>
      <c r="R650" t="str">
        <f>IFERROR(IF(INDEX(Winter!$1:$1048576,MATCH(All!$A650,Winter!$A:$A,FALSE),MATCH(All!R$1,Winter!$1:$1,FALSE))="","",INDEX(Winter!$1:$1048576,MATCH(All!$A650,Winter!$A:$A,FALSE),MATCH(All!R$1,Winter!$1:$1,FALSE))),"")</f>
        <v/>
      </c>
      <c r="S650" t="str">
        <f>IFERROR(IF(INDEX(Winter!$1:$1048576,MATCH(All!$A650,Winter!$A:$A,FALSE),MATCH(All!S$1,Winter!$1:$1,FALSE))="","",INDEX(Winter!$1:$1048576,MATCH(All!$A650,Winter!$A:$A,FALSE),MATCH(All!S$1,Winter!$1:$1,FALSE))),"")</f>
        <v/>
      </c>
      <c r="T650" t="str">
        <f>IFERROR(IF(INDEX(Winter!$1:$1048576,MATCH(All!$A650,Winter!$A:$A,FALSE),MATCH(All!T$1,Winter!$1:$1,FALSE))="","",INDEX(Winter!$1:$1048576,MATCH(All!$A650,Winter!$A:$A,FALSE),MATCH(All!T$1,Winter!$1:$1,FALSE))),"")</f>
        <v>2A</v>
      </c>
      <c r="U650" t="str">
        <f>IFERROR(IF(INDEX(Winter!$1:$1048576,MATCH(All!$A650,Winter!$A:$A,FALSE),MATCH(All!U$1,Winter!$1:$1,FALSE))="","",INDEX(Winter!$1:$1048576,MATCH(All!$A650,Winter!$A:$A,FALSE),MATCH(All!U$1,Winter!$1:$1,FALSE))),"")</f>
        <v/>
      </c>
      <c r="W650" t="str">
        <f>IFERROR(IF(INDEX(Spring!$1:$1048576,MATCH(All!$A650,Spring!$A:$A,FALSE),MATCH(All!W$1,Spring!$1:$1,FALSE))="","",INDEX(Spring!$1:$1048576,MATCH(All!$A650,Spring!$A:$A,FALSE),MATCH(All!W$1,Spring!$1:$1,FALSE))),"")</f>
        <v>274.00 (452.10)</v>
      </c>
      <c r="X650" t="str">
        <f>IFERROR(IF(INDEX(Spring!$1:$1048576,MATCH(All!$A650,Spring!$A:$A,FALSE),MATCH(All!X$1,Spring!$1:$1,FALSE))="","",INDEX(Spring!$1:$1048576,MATCH(All!$A650,Spring!$A:$A,FALSE),MATCH(All!X$1,Spring!$1:$1,FALSE))),"")</f>
        <v>2A</v>
      </c>
      <c r="Y650" t="str">
        <f>IFERROR(IF(INDEX(Spring!$1:$1048576,MATCH(All!$A650,Spring!$A:$A,FALSE),MATCH(All!Y$1,Spring!$1:$1,FALSE))="","",INDEX(Spring!$1:$1048576,MATCH(All!$A650,Spring!$A:$A,FALSE),MATCH(All!Y$1,Spring!$1:$1,FALSE))),"")</f>
        <v>2A</v>
      </c>
      <c r="Z650" t="str">
        <f>IFERROR(IF(INDEX(Spring!$1:$1048576,MATCH(All!$A650,Spring!$A:$A,FALSE),MATCH(All!Z$1,Spring!$1:$1,FALSE))="","",INDEX(Spring!$1:$1048576,MATCH(All!$A650,Spring!$A:$A,FALSE),MATCH(All!Z$1,Spring!$1:$1,FALSE))),"")</f>
        <v>1A</v>
      </c>
      <c r="AA650" t="str">
        <f>IFERROR(IF(INDEX(Spring!$1:$1048576,MATCH(All!$A650,Spring!$A:$A,FALSE),MATCH(All!AA$1,Spring!$1:$1,FALSE))="","",INDEX(Spring!$1:$1048576,MATCH(All!$A650,Spring!$A:$A,FALSE),MATCH(All!AA$1,Spring!$1:$1,FALSE))),"")</f>
        <v>1A</v>
      </c>
      <c r="AB650" t="str">
        <f>IFERROR(IF(INDEX(Spring!$1:$1048576,MATCH(All!$A650,Spring!$A:$A,FALSE),MATCH(All!AB$1,Spring!$1:$1,FALSE))="","",INDEX(Spring!$1:$1048576,MATCH(All!$A650,Spring!$A:$A,FALSE),MATCH(All!AB$1,Spring!$1:$1,FALSE))),"")</f>
        <v>2A</v>
      </c>
      <c r="AC650" t="str">
        <f>IFERROR(IF(INDEX(Spring!$1:$1048576,MATCH(All!$A650,Spring!$A:$A,FALSE),MATCH(All!AC$1,Spring!$1:$1,FALSE))="","",INDEX(Spring!$1:$1048576,MATCH(All!$A650,Spring!$A:$A,FALSE),MATCH(All!AC$1,Spring!$1:$1,FALSE))),"")</f>
        <v>2A</v>
      </c>
      <c r="AD650" t="str">
        <f>IFERROR(VLOOKUP(A650,'Flag Football'!A:A,1,FALSE),"")</f>
        <v/>
      </c>
      <c r="AE650" t="str">
        <f t="shared" si="10"/>
        <v/>
      </c>
    </row>
    <row r="651" spans="1:31" ht="15.75" thickBot="1" x14ac:dyDescent="0.3">
      <c r="A651" s="18" t="s">
        <v>965</v>
      </c>
      <c r="B651" s="38" t="str">
        <f>IFERROR(VLOOKUP(A651,'Public v Private'!A:G,3,FALSE),"")</f>
        <v>private</v>
      </c>
      <c r="C651" s="38">
        <f>IFERROR(VLOOKUP(A651,'Public v Private'!A:G,4,FALSE),"")</f>
        <v>4</v>
      </c>
      <c r="D651" s="38">
        <f>IFERROR(VLOOKUP(A651,'Public v Private'!A:G,5,FALSE),"")</f>
        <v>10</v>
      </c>
      <c r="E651" s="38"/>
      <c r="F651" s="40" t="str">
        <f>IFERROR(INDEX(Fall!$1:$1048576,MATCH(All!$A651,Fall!$A:$A,FALSE),MATCH(All!F$1,Fall!$1:$1,FALSE)),"N/A")</f>
        <v>34.00 (56.10)</v>
      </c>
      <c r="G651" t="str">
        <f>IFERROR(IF(INDEX(Fall!$1:$1048576,MATCH(All!$A651,Fall!$A:$A,FALSE),MATCH(All!G$1,Fall!$1:$1,FALSE))="","",INDEX(Fall!$1:$1048576,MATCH(All!$A651,Fall!$A:$A,FALSE),MATCH(All!G$1,Fall!$1:$1,FALSE))),"")</f>
        <v>1A</v>
      </c>
      <c r="H651" t="str">
        <f>IFERROR(IF(INDEX(Fall!$1:$1048576,MATCH(All!$A651,Fall!$A:$A,FALSE),MATCH(All!H$1,Fall!$1:$1,FALSE))="","",INDEX(Fall!$1:$1048576,MATCH(All!$A651,Fall!$A:$A,FALSE),MATCH(All!H$1,Fall!$1:$1,FALSE))),"")</f>
        <v>1A</v>
      </c>
      <c r="I651" t="str">
        <f>IFERROR(IF(INDEX(Fall!$1:$1048576,MATCH(All!$A651,Fall!$A:$A,FALSE),MATCH(All!I$1,Fall!$1:$1,FALSE))="","",INDEX(Fall!$1:$1048576,MATCH(All!$A651,Fall!$A:$A,FALSE),MATCH(All!I$1,Fall!$1:$1,FALSE))),"")</f>
        <v/>
      </c>
      <c r="J651" t="str">
        <f>IFERROR(IF(INDEX(Fall!$1:$1048576,MATCH(All!$A651,Fall!$A:$A,FALSE),MATCH(All!J$1,Fall!$1:$1,FALSE))="","",INDEX(Fall!$1:$1048576,MATCH(All!$A651,Fall!$A:$A,FALSE),MATCH(All!J$1,Fall!$1:$1,FALSE))),"")</f>
        <v/>
      </c>
      <c r="K651" t="str">
        <f>IFERROR(IF(INDEX(Fall!$1:$1048576,MATCH(All!$A651,Fall!$A:$A,FALSE),MATCH(All!K$1,Fall!$1:$1,FALSE))="","",INDEX(Fall!$1:$1048576,MATCH(All!$A651,Fall!$A:$A,FALSE),MATCH(All!K$1,Fall!$1:$1,FALSE))),"")</f>
        <v/>
      </c>
      <c r="L651" t="str">
        <f>IFERROR(IF(INDEX(Fall!$1:$1048576,MATCH(All!$A651,Fall!$A:$A,FALSE),MATCH(All!L$1,Fall!$1:$1,FALSE))="","",INDEX(Fall!$1:$1048576,MATCH(All!$A651,Fall!$A:$A,FALSE),MATCH(All!L$1,Fall!$1:$1,FALSE))),"")</f>
        <v/>
      </c>
      <c r="M651" t="str">
        <f>IFERROR(IF(INDEX(Fall!$1:$1048576,MATCH(All!$A651,Fall!$A:$A,FALSE),MATCH(All!M$1,Fall!$1:$1,FALSE))="","",INDEX(Fall!$1:$1048576,MATCH(All!$A651,Fall!$A:$A,FALSE),MATCH(All!M$1,Fall!$1:$1,FALSE))),"")</f>
        <v/>
      </c>
      <c r="O651" t="str">
        <f>IFERROR(IF(INDEX(Winter!$1:$1048576,MATCH(All!$A651,Winter!$A:$A,FALSE),MATCH(All!O$1,Winter!$1:$1,FALSE))="","",INDEX(Winter!$1:$1048576,MATCH(All!$A651,Winter!$A:$A,FALSE),MATCH(All!O$1,Winter!$1:$1,FALSE))),"")</f>
        <v>34.00 (56.10)</v>
      </c>
      <c r="P651" t="str">
        <f>IFERROR(IF(INDEX(Winter!$1:$1048576,MATCH(All!$A651,Winter!$A:$A,FALSE),MATCH(All!P$1,Winter!$1:$1,FALSE))="","",INDEX(Winter!$1:$1048576,MATCH(All!$A651,Winter!$A:$A,FALSE),MATCH(All!P$1,Winter!$1:$1,FALSE))),"")</f>
        <v>1A</v>
      </c>
      <c r="Q651" t="str">
        <f>IFERROR(IF(INDEX(Winter!$1:$1048576,MATCH(All!$A651,Winter!$A:$A,FALSE),MATCH(All!Q$1,Winter!$1:$1,FALSE))="","",INDEX(Winter!$1:$1048576,MATCH(All!$A651,Winter!$A:$A,FALSE),MATCH(All!Q$1,Winter!$1:$1,FALSE))),"")</f>
        <v>1A</v>
      </c>
      <c r="R651" t="str">
        <f>IFERROR(IF(INDEX(Winter!$1:$1048576,MATCH(All!$A651,Winter!$A:$A,FALSE),MATCH(All!R$1,Winter!$1:$1,FALSE))="","",INDEX(Winter!$1:$1048576,MATCH(All!$A651,Winter!$A:$A,FALSE),MATCH(All!R$1,Winter!$1:$1,FALSE))),"")</f>
        <v/>
      </c>
      <c r="S651" t="str">
        <f>IFERROR(IF(INDEX(Winter!$1:$1048576,MATCH(All!$A651,Winter!$A:$A,FALSE),MATCH(All!S$1,Winter!$1:$1,FALSE))="","",INDEX(Winter!$1:$1048576,MATCH(All!$A651,Winter!$A:$A,FALSE),MATCH(All!S$1,Winter!$1:$1,FALSE))),"")</f>
        <v/>
      </c>
      <c r="T651" t="str">
        <f>IFERROR(IF(INDEX(Winter!$1:$1048576,MATCH(All!$A651,Winter!$A:$A,FALSE),MATCH(All!T$1,Winter!$1:$1,FALSE))="","",INDEX(Winter!$1:$1048576,MATCH(All!$A651,Winter!$A:$A,FALSE),MATCH(All!T$1,Winter!$1:$1,FALSE))),"")</f>
        <v/>
      </c>
      <c r="U651" t="str">
        <f>IFERROR(IF(INDEX(Winter!$1:$1048576,MATCH(All!$A651,Winter!$A:$A,FALSE),MATCH(All!U$1,Winter!$1:$1,FALSE))="","",INDEX(Winter!$1:$1048576,MATCH(All!$A651,Winter!$A:$A,FALSE),MATCH(All!U$1,Winter!$1:$1,FALSE))),"")</f>
        <v/>
      </c>
      <c r="W651" t="str">
        <f>IFERROR(IF(INDEX(Spring!$1:$1048576,MATCH(All!$A651,Spring!$A:$A,FALSE),MATCH(All!W$1,Spring!$1:$1,FALSE))="","",INDEX(Spring!$1:$1048576,MATCH(All!$A651,Spring!$A:$A,FALSE),MATCH(All!W$1,Spring!$1:$1,FALSE))),"")</f>
        <v/>
      </c>
      <c r="X651" t="str">
        <f>IFERROR(IF(INDEX(Spring!$1:$1048576,MATCH(All!$A651,Spring!$A:$A,FALSE),MATCH(All!X$1,Spring!$1:$1,FALSE))="","",INDEX(Spring!$1:$1048576,MATCH(All!$A651,Spring!$A:$A,FALSE),MATCH(All!X$1,Spring!$1:$1,FALSE))),"")</f>
        <v/>
      </c>
      <c r="Y651" t="str">
        <f>IFERROR(IF(INDEX(Spring!$1:$1048576,MATCH(All!$A651,Spring!$A:$A,FALSE),MATCH(All!Y$1,Spring!$1:$1,FALSE))="","",INDEX(Spring!$1:$1048576,MATCH(All!$A651,Spring!$A:$A,FALSE),MATCH(All!Y$1,Spring!$1:$1,FALSE))),"")</f>
        <v/>
      </c>
      <c r="Z651" t="str">
        <f>IFERROR(IF(INDEX(Spring!$1:$1048576,MATCH(All!$A651,Spring!$A:$A,FALSE),MATCH(All!Z$1,Spring!$1:$1,FALSE))="","",INDEX(Spring!$1:$1048576,MATCH(All!$A651,Spring!$A:$A,FALSE),MATCH(All!Z$1,Spring!$1:$1,FALSE))),"")</f>
        <v/>
      </c>
      <c r="AA651" t="str">
        <f>IFERROR(IF(INDEX(Spring!$1:$1048576,MATCH(All!$A651,Spring!$A:$A,FALSE),MATCH(All!AA$1,Spring!$1:$1,FALSE))="","",INDEX(Spring!$1:$1048576,MATCH(All!$A651,Spring!$A:$A,FALSE),MATCH(All!AA$1,Spring!$1:$1,FALSE))),"")</f>
        <v/>
      </c>
      <c r="AB651" t="str">
        <f>IFERROR(IF(INDEX(Spring!$1:$1048576,MATCH(All!$A651,Spring!$A:$A,FALSE),MATCH(All!AB$1,Spring!$1:$1,FALSE))="","",INDEX(Spring!$1:$1048576,MATCH(All!$A651,Spring!$A:$A,FALSE),MATCH(All!AB$1,Spring!$1:$1,FALSE))),"")</f>
        <v/>
      </c>
      <c r="AC651" t="str">
        <f>IFERROR(IF(INDEX(Spring!$1:$1048576,MATCH(All!$A651,Spring!$A:$A,FALSE),MATCH(All!AC$1,Spring!$1:$1,FALSE))="","",INDEX(Spring!$1:$1048576,MATCH(All!$A651,Spring!$A:$A,FALSE),MATCH(All!AC$1,Spring!$1:$1,FALSE))),"")</f>
        <v/>
      </c>
      <c r="AD651" t="str">
        <f>IFERROR(VLOOKUP(A651,'Flag Football'!A:A,1,FALSE),"")</f>
        <v/>
      </c>
      <c r="AE651" t="str">
        <f t="shared" si="10"/>
        <v/>
      </c>
    </row>
    <row r="652" spans="1:31" ht="15.75" thickBot="1" x14ac:dyDescent="0.3">
      <c r="A652" s="20" t="s">
        <v>755</v>
      </c>
      <c r="B652" s="38" t="str">
        <f>IFERROR(VLOOKUP(A652,'Public v Private'!A:G,3,FALSE),"")</f>
        <v>private</v>
      </c>
      <c r="C652" s="38">
        <f>IFERROR(VLOOKUP(A652,'Public v Private'!A:G,4,FALSE),"")</f>
        <v>4</v>
      </c>
      <c r="D652" s="38">
        <f>IFERROR(VLOOKUP(A652,'Public v Private'!A:G,5,FALSE),"")</f>
        <v>10</v>
      </c>
      <c r="E652" s="38"/>
      <c r="F652" s="40" t="str">
        <f>IFERROR(INDEX(Fall!$1:$1048576,MATCH(All!$A652,Fall!$A:$A,FALSE),MATCH(All!F$1,Fall!$1:$1,FALSE)),"N/A")</f>
        <v>200.00 (330.00)</v>
      </c>
      <c r="G652" t="str">
        <f>IFERROR(IF(INDEX(Fall!$1:$1048576,MATCH(All!$A652,Fall!$A:$A,FALSE),MATCH(All!G$1,Fall!$1:$1,FALSE))="","",INDEX(Fall!$1:$1048576,MATCH(All!$A652,Fall!$A:$A,FALSE),MATCH(All!G$1,Fall!$1:$1,FALSE))),"")</f>
        <v>1A</v>
      </c>
      <c r="H652" t="str">
        <f>IFERROR(IF(INDEX(Fall!$1:$1048576,MATCH(All!$A652,Fall!$A:$A,FALSE),MATCH(All!H$1,Fall!$1:$1,FALSE))="","",INDEX(Fall!$1:$1048576,MATCH(All!$A652,Fall!$A:$A,FALSE),MATCH(All!H$1,Fall!$1:$1,FALSE))),"")</f>
        <v>1A</v>
      </c>
      <c r="I652" t="str">
        <f>IFERROR(IF(INDEX(Fall!$1:$1048576,MATCH(All!$A652,Fall!$A:$A,FALSE),MATCH(All!I$1,Fall!$1:$1,FALSE))="","",INDEX(Fall!$1:$1048576,MATCH(All!$A652,Fall!$A:$A,FALSE),MATCH(All!I$1,Fall!$1:$1,FALSE))),"")</f>
        <v>1A</v>
      </c>
      <c r="J652" t="str">
        <f>IFERROR(IF(INDEX(Fall!$1:$1048576,MATCH(All!$A652,Fall!$A:$A,FALSE),MATCH(All!J$1,Fall!$1:$1,FALSE))="","",INDEX(Fall!$1:$1048576,MATCH(All!$A652,Fall!$A:$A,FALSE),MATCH(All!J$1,Fall!$1:$1,FALSE))),"")</f>
        <v>1A</v>
      </c>
      <c r="K652" t="str">
        <f>IFERROR(IF(INDEX(Fall!$1:$1048576,MATCH(All!$A652,Fall!$A:$A,FALSE),MATCH(All!K$1,Fall!$1:$1,FALSE))="","",INDEX(Fall!$1:$1048576,MATCH(All!$A652,Fall!$A:$A,FALSE),MATCH(All!K$1,Fall!$1:$1,FALSE))),"")</f>
        <v>1A</v>
      </c>
      <c r="L652" t="str">
        <f>IFERROR(IF(INDEX(Fall!$1:$1048576,MATCH(All!$A652,Fall!$A:$A,FALSE),MATCH(All!L$1,Fall!$1:$1,FALSE))="","",INDEX(Fall!$1:$1048576,MATCH(All!$A652,Fall!$A:$A,FALSE),MATCH(All!L$1,Fall!$1:$1,FALSE))),"")</f>
        <v>1A</v>
      </c>
      <c r="M652" t="str">
        <f>IFERROR(IF(INDEX(Fall!$1:$1048576,MATCH(All!$A652,Fall!$A:$A,FALSE),MATCH(All!M$1,Fall!$1:$1,FALSE))="","",INDEX(Fall!$1:$1048576,MATCH(All!$A652,Fall!$A:$A,FALSE),MATCH(All!M$1,Fall!$1:$1,FALSE))),"")</f>
        <v>2A</v>
      </c>
      <c r="O652" t="str">
        <f>IFERROR(IF(INDEX(Winter!$1:$1048576,MATCH(All!$A652,Winter!$A:$A,FALSE),MATCH(All!O$1,Winter!$1:$1,FALSE))="","",INDEX(Winter!$1:$1048576,MATCH(All!$A652,Winter!$A:$A,FALSE),MATCH(All!O$1,Winter!$1:$1,FALSE))),"")</f>
        <v>200.00 (330.00)</v>
      </c>
      <c r="P652" t="str">
        <f>IFERROR(IF(INDEX(Winter!$1:$1048576,MATCH(All!$A652,Winter!$A:$A,FALSE),MATCH(All!P$1,Winter!$1:$1,FALSE))="","",INDEX(Winter!$1:$1048576,MATCH(All!$A652,Winter!$A:$A,FALSE),MATCH(All!P$1,Winter!$1:$1,FALSE))),"")</f>
        <v>2A</v>
      </c>
      <c r="Q652" t="str">
        <f>IFERROR(IF(INDEX(Winter!$1:$1048576,MATCH(All!$A652,Winter!$A:$A,FALSE),MATCH(All!Q$1,Winter!$1:$1,FALSE))="","",INDEX(Winter!$1:$1048576,MATCH(All!$A652,Winter!$A:$A,FALSE),MATCH(All!Q$1,Winter!$1:$1,FALSE))),"")</f>
        <v>1A</v>
      </c>
      <c r="R652" t="str">
        <f>IFERROR(IF(INDEX(Winter!$1:$1048576,MATCH(All!$A652,Winter!$A:$A,FALSE),MATCH(All!R$1,Winter!$1:$1,FALSE))="","",INDEX(Winter!$1:$1048576,MATCH(All!$A652,Winter!$A:$A,FALSE),MATCH(All!R$1,Winter!$1:$1,FALSE))),"")</f>
        <v/>
      </c>
      <c r="S652" t="str">
        <f>IFERROR(IF(INDEX(Winter!$1:$1048576,MATCH(All!$A652,Winter!$A:$A,FALSE),MATCH(All!S$1,Winter!$1:$1,FALSE))="","",INDEX(Winter!$1:$1048576,MATCH(All!$A652,Winter!$A:$A,FALSE),MATCH(All!S$1,Winter!$1:$1,FALSE))),"")</f>
        <v/>
      </c>
      <c r="T652" t="str">
        <f>IFERROR(IF(INDEX(Winter!$1:$1048576,MATCH(All!$A652,Winter!$A:$A,FALSE),MATCH(All!T$1,Winter!$1:$1,FALSE))="","",INDEX(Winter!$1:$1048576,MATCH(All!$A652,Winter!$A:$A,FALSE),MATCH(All!T$1,Winter!$1:$1,FALSE))),"")</f>
        <v/>
      </c>
      <c r="U652" t="str">
        <f>IFERROR(IF(INDEX(Winter!$1:$1048576,MATCH(All!$A652,Winter!$A:$A,FALSE),MATCH(All!U$1,Winter!$1:$1,FALSE))="","",INDEX(Winter!$1:$1048576,MATCH(All!$A652,Winter!$A:$A,FALSE),MATCH(All!U$1,Winter!$1:$1,FALSE))),"")</f>
        <v/>
      </c>
      <c r="W652" t="str">
        <f>IFERROR(IF(INDEX(Spring!$1:$1048576,MATCH(All!$A652,Spring!$A:$A,FALSE),MATCH(All!W$1,Spring!$1:$1,FALSE))="","",INDEX(Spring!$1:$1048576,MATCH(All!$A652,Spring!$A:$A,FALSE),MATCH(All!W$1,Spring!$1:$1,FALSE))),"")</f>
        <v>200.00 (330.00)</v>
      </c>
      <c r="X652" t="str">
        <f>IFERROR(IF(INDEX(Spring!$1:$1048576,MATCH(All!$A652,Spring!$A:$A,FALSE),MATCH(All!X$1,Spring!$1:$1,FALSE))="","",INDEX(Spring!$1:$1048576,MATCH(All!$A652,Spring!$A:$A,FALSE),MATCH(All!X$1,Spring!$1:$1,FALSE))),"")</f>
        <v>2A</v>
      </c>
      <c r="Y652" t="str">
        <f>IFERROR(IF(INDEX(Spring!$1:$1048576,MATCH(All!$A652,Spring!$A:$A,FALSE),MATCH(All!Y$1,Spring!$1:$1,FALSE))="","",INDEX(Spring!$1:$1048576,MATCH(All!$A652,Spring!$A:$A,FALSE),MATCH(All!Y$1,Spring!$1:$1,FALSE))),"")</f>
        <v/>
      </c>
      <c r="Z652" t="str">
        <f>IFERROR(IF(INDEX(Spring!$1:$1048576,MATCH(All!$A652,Spring!$A:$A,FALSE),MATCH(All!Z$1,Spring!$1:$1,FALSE))="","",INDEX(Spring!$1:$1048576,MATCH(All!$A652,Spring!$A:$A,FALSE),MATCH(All!Z$1,Spring!$1:$1,FALSE))),"")</f>
        <v>1A</v>
      </c>
      <c r="AA652" t="str">
        <f>IFERROR(IF(INDEX(Spring!$1:$1048576,MATCH(All!$A652,Spring!$A:$A,FALSE),MATCH(All!AA$1,Spring!$1:$1,FALSE))="","",INDEX(Spring!$1:$1048576,MATCH(All!$A652,Spring!$A:$A,FALSE),MATCH(All!AA$1,Spring!$1:$1,FALSE))),"")</f>
        <v>1A</v>
      </c>
      <c r="AB652" t="str">
        <f>IFERROR(IF(INDEX(Spring!$1:$1048576,MATCH(All!$A652,Spring!$A:$A,FALSE),MATCH(All!AB$1,Spring!$1:$1,FALSE))="","",INDEX(Spring!$1:$1048576,MATCH(All!$A652,Spring!$A:$A,FALSE),MATCH(All!AB$1,Spring!$1:$1,FALSE))),"")</f>
        <v>1A</v>
      </c>
      <c r="AC652" t="str">
        <f>IFERROR(IF(INDEX(Spring!$1:$1048576,MATCH(All!$A652,Spring!$A:$A,FALSE),MATCH(All!AC$1,Spring!$1:$1,FALSE))="","",INDEX(Spring!$1:$1048576,MATCH(All!$A652,Spring!$A:$A,FALSE),MATCH(All!AC$1,Spring!$1:$1,FALSE))),"")</f>
        <v>1A</v>
      </c>
      <c r="AD652" t="str">
        <f>IFERROR(VLOOKUP(A652,'Flag Football'!A:A,1,FALSE),"")</f>
        <v/>
      </c>
      <c r="AE652" t="str">
        <f t="shared" si="10"/>
        <v/>
      </c>
    </row>
    <row r="653" spans="1:31" ht="15.75" thickBot="1" x14ac:dyDescent="0.3">
      <c r="A653" s="18" t="s">
        <v>757</v>
      </c>
      <c r="B653" s="38">
        <f>IFERROR(VLOOKUP(A653,'Public v Private'!A:G,3,FALSE),"")</f>
        <v>0</v>
      </c>
      <c r="C653" s="38">
        <f>IFERROR(VLOOKUP(A653,'Public v Private'!A:G,4,FALSE),"")</f>
        <v>0</v>
      </c>
      <c r="D653" s="38">
        <f>IFERROR(VLOOKUP(A653,'Public v Private'!A:G,5,FALSE),"")</f>
        <v>0</v>
      </c>
      <c r="E653" s="38"/>
      <c r="F653" s="40">
        <f>IFERROR(INDEX(Fall!$1:$1048576,MATCH(All!$A653,Fall!$A:$A,FALSE),MATCH(All!F$1,Fall!$1:$1,FALSE)),"N/A")</f>
        <v>1786</v>
      </c>
      <c r="G653" t="str">
        <f>IFERROR(IF(INDEX(Fall!$1:$1048576,MATCH(All!$A653,Fall!$A:$A,FALSE),MATCH(All!G$1,Fall!$1:$1,FALSE))="","",INDEX(Fall!$1:$1048576,MATCH(All!$A653,Fall!$A:$A,FALSE),MATCH(All!G$1,Fall!$1:$1,FALSE))),"")</f>
        <v>3A</v>
      </c>
      <c r="H653" t="str">
        <f>IFERROR(IF(INDEX(Fall!$1:$1048576,MATCH(All!$A653,Fall!$A:$A,FALSE),MATCH(All!H$1,Fall!$1:$1,FALSE))="","",INDEX(Fall!$1:$1048576,MATCH(All!$A653,Fall!$A:$A,FALSE),MATCH(All!H$1,Fall!$1:$1,FALSE))),"")</f>
        <v>3A</v>
      </c>
      <c r="I653" t="str">
        <f>IFERROR(IF(INDEX(Fall!$1:$1048576,MATCH(All!$A653,Fall!$A:$A,FALSE),MATCH(All!I$1,Fall!$1:$1,FALSE))="","",INDEX(Fall!$1:$1048576,MATCH(All!$A653,Fall!$A:$A,FALSE),MATCH(All!I$1,Fall!$1:$1,FALSE))),"")</f>
        <v>3A</v>
      </c>
      <c r="J653" t="str">
        <f>IFERROR(IF(INDEX(Fall!$1:$1048576,MATCH(All!$A653,Fall!$A:$A,FALSE),MATCH(All!J$1,Fall!$1:$1,FALSE))="","",INDEX(Fall!$1:$1048576,MATCH(All!$A653,Fall!$A:$A,FALSE),MATCH(All!J$1,Fall!$1:$1,FALSE))),"")</f>
        <v>2A</v>
      </c>
      <c r="K653" t="str">
        <f>IFERROR(IF(INDEX(Fall!$1:$1048576,MATCH(All!$A653,Fall!$A:$A,FALSE),MATCH(All!K$1,Fall!$1:$1,FALSE))="","",INDEX(Fall!$1:$1048576,MATCH(All!$A653,Fall!$A:$A,FALSE),MATCH(All!K$1,Fall!$1:$1,FALSE))),"")</f>
        <v>3A</v>
      </c>
      <c r="L653" t="str">
        <f>IFERROR(IF(INDEX(Fall!$1:$1048576,MATCH(All!$A653,Fall!$A:$A,FALSE),MATCH(All!L$1,Fall!$1:$1,FALSE))="","",INDEX(Fall!$1:$1048576,MATCH(All!$A653,Fall!$A:$A,FALSE),MATCH(All!L$1,Fall!$1:$1,FALSE))),"")</f>
        <v>2A</v>
      </c>
      <c r="M653" t="str">
        <f>IFERROR(IF(INDEX(Fall!$1:$1048576,MATCH(All!$A653,Fall!$A:$A,FALSE),MATCH(All!M$1,Fall!$1:$1,FALSE))="","",INDEX(Fall!$1:$1048576,MATCH(All!$A653,Fall!$A:$A,FALSE),MATCH(All!M$1,Fall!$1:$1,FALSE))),"")</f>
        <v>4A</v>
      </c>
      <c r="O653">
        <f>IFERROR(IF(INDEX(Winter!$1:$1048576,MATCH(All!$A653,Winter!$A:$A,FALSE),MATCH(All!O$1,Winter!$1:$1,FALSE))="","",INDEX(Winter!$1:$1048576,MATCH(All!$A653,Winter!$A:$A,FALSE),MATCH(All!O$1,Winter!$1:$1,FALSE))),"")</f>
        <v>1786</v>
      </c>
      <c r="P653" t="str">
        <f>IFERROR(IF(INDEX(Winter!$1:$1048576,MATCH(All!$A653,Winter!$A:$A,FALSE),MATCH(All!P$1,Winter!$1:$1,FALSE))="","",INDEX(Winter!$1:$1048576,MATCH(All!$A653,Winter!$A:$A,FALSE),MATCH(All!P$1,Winter!$1:$1,FALSE))),"")</f>
        <v>4A</v>
      </c>
      <c r="Q653" t="str">
        <f>IFERROR(IF(INDEX(Winter!$1:$1048576,MATCH(All!$A653,Winter!$A:$A,FALSE),MATCH(All!Q$1,Winter!$1:$1,FALSE))="","",INDEX(Winter!$1:$1048576,MATCH(All!$A653,Winter!$A:$A,FALSE),MATCH(All!Q$1,Winter!$1:$1,FALSE))),"")</f>
        <v>4A</v>
      </c>
      <c r="R653" t="str">
        <f>IFERROR(IF(INDEX(Winter!$1:$1048576,MATCH(All!$A653,Winter!$A:$A,FALSE),MATCH(All!R$1,Winter!$1:$1,FALSE))="","",INDEX(Winter!$1:$1048576,MATCH(All!$A653,Winter!$A:$A,FALSE),MATCH(All!R$1,Winter!$1:$1,FALSE))),"")</f>
        <v>3A</v>
      </c>
      <c r="S653" t="str">
        <f>IFERROR(IF(INDEX(Winter!$1:$1048576,MATCH(All!$A653,Winter!$A:$A,FALSE),MATCH(All!S$1,Winter!$1:$1,FALSE))="","",INDEX(Winter!$1:$1048576,MATCH(All!$A653,Winter!$A:$A,FALSE),MATCH(All!S$1,Winter!$1:$1,FALSE))),"")</f>
        <v/>
      </c>
      <c r="T653" t="str">
        <f>IFERROR(IF(INDEX(Winter!$1:$1048576,MATCH(All!$A653,Winter!$A:$A,FALSE),MATCH(All!T$1,Winter!$1:$1,FALSE))="","",INDEX(Winter!$1:$1048576,MATCH(All!$A653,Winter!$A:$A,FALSE),MATCH(All!T$1,Winter!$1:$1,FALSE))),"")</f>
        <v>2A</v>
      </c>
      <c r="U653" t="str">
        <f>IFERROR(IF(INDEX(Winter!$1:$1048576,MATCH(All!$A653,Winter!$A:$A,FALSE),MATCH(All!U$1,Winter!$1:$1,FALSE))="","",INDEX(Winter!$1:$1048576,MATCH(All!$A653,Winter!$A:$A,FALSE),MATCH(All!U$1,Winter!$1:$1,FALSE))),"")</f>
        <v>3A</v>
      </c>
      <c r="W653">
        <f>IFERROR(IF(INDEX(Spring!$1:$1048576,MATCH(All!$A653,Spring!$A:$A,FALSE),MATCH(All!W$1,Spring!$1:$1,FALSE))="","",INDEX(Spring!$1:$1048576,MATCH(All!$A653,Spring!$A:$A,FALSE),MATCH(All!W$1,Spring!$1:$1,FALSE))),"")</f>
        <v>1786</v>
      </c>
      <c r="X653" t="str">
        <f>IFERROR(IF(INDEX(Spring!$1:$1048576,MATCH(All!$A653,Spring!$A:$A,FALSE),MATCH(All!X$1,Spring!$1:$1,FALSE))="","",INDEX(Spring!$1:$1048576,MATCH(All!$A653,Spring!$A:$A,FALSE),MATCH(All!X$1,Spring!$1:$1,FALSE))),"")</f>
        <v>4A</v>
      </c>
      <c r="Y653" t="str">
        <f>IFERROR(IF(INDEX(Spring!$1:$1048576,MATCH(All!$A653,Spring!$A:$A,FALSE),MATCH(All!Y$1,Spring!$1:$1,FALSE))="","",INDEX(Spring!$1:$1048576,MATCH(All!$A653,Spring!$A:$A,FALSE),MATCH(All!Y$1,Spring!$1:$1,FALSE))),"")</f>
        <v>4A</v>
      </c>
      <c r="Z653" t="str">
        <f>IFERROR(IF(INDEX(Spring!$1:$1048576,MATCH(All!$A653,Spring!$A:$A,FALSE),MATCH(All!Z$1,Spring!$1:$1,FALSE))="","",INDEX(Spring!$1:$1048576,MATCH(All!$A653,Spring!$A:$A,FALSE),MATCH(All!Z$1,Spring!$1:$1,FALSE))),"")</f>
        <v>2A</v>
      </c>
      <c r="AA653" t="str">
        <f>IFERROR(IF(INDEX(Spring!$1:$1048576,MATCH(All!$A653,Spring!$A:$A,FALSE),MATCH(All!AA$1,Spring!$1:$1,FALSE))="","",INDEX(Spring!$1:$1048576,MATCH(All!$A653,Spring!$A:$A,FALSE),MATCH(All!AA$1,Spring!$1:$1,FALSE))),"")</f>
        <v>2A</v>
      </c>
      <c r="AB653" t="str">
        <f>IFERROR(IF(INDEX(Spring!$1:$1048576,MATCH(All!$A653,Spring!$A:$A,FALSE),MATCH(All!AB$1,Spring!$1:$1,FALSE))="","",INDEX(Spring!$1:$1048576,MATCH(All!$A653,Spring!$A:$A,FALSE),MATCH(All!AB$1,Spring!$1:$1,FALSE))),"")</f>
        <v>3A</v>
      </c>
      <c r="AC653" t="str">
        <f>IFERROR(IF(INDEX(Spring!$1:$1048576,MATCH(All!$A653,Spring!$A:$A,FALSE),MATCH(All!AC$1,Spring!$1:$1,FALSE))="","",INDEX(Spring!$1:$1048576,MATCH(All!$A653,Spring!$A:$A,FALSE),MATCH(All!AC$1,Spring!$1:$1,FALSE))),"")</f>
        <v>3A</v>
      </c>
      <c r="AD653" t="str">
        <f>IFERROR(VLOOKUP(A653,'Flag Football'!A:A,1,FALSE),"")</f>
        <v>Rockton (Hononegah)</v>
      </c>
      <c r="AE653" t="str">
        <f t="shared" si="10"/>
        <v>1A</v>
      </c>
    </row>
    <row r="654" spans="1:31" ht="15.75" thickBot="1" x14ac:dyDescent="0.3">
      <c r="A654" s="20" t="s">
        <v>758</v>
      </c>
      <c r="B654" s="38">
        <f>IFERROR(VLOOKUP(A654,'Public v Private'!A:G,3,FALSE),"")</f>
        <v>0</v>
      </c>
      <c r="C654" s="38">
        <f>IFERROR(VLOOKUP(A654,'Public v Private'!A:G,4,FALSE),"")</f>
        <v>0</v>
      </c>
      <c r="D654" s="38">
        <f>IFERROR(VLOOKUP(A654,'Public v Private'!A:G,5,FALSE),"")</f>
        <v>0</v>
      </c>
      <c r="E654" s="38"/>
      <c r="F654" s="40">
        <f>IFERROR(INDEX(Fall!$1:$1048576,MATCH(All!$A654,Fall!$A:$A,FALSE),MATCH(All!F$1,Fall!$1:$1,FALSE)),"N/A")</f>
        <v>1793</v>
      </c>
      <c r="G654" t="str">
        <f>IFERROR(IF(INDEX(Fall!$1:$1048576,MATCH(All!$A654,Fall!$A:$A,FALSE),MATCH(All!G$1,Fall!$1:$1,FALSE))="","",INDEX(Fall!$1:$1048576,MATCH(All!$A654,Fall!$A:$A,FALSE),MATCH(All!G$1,Fall!$1:$1,FALSE))),"")</f>
        <v>3A</v>
      </c>
      <c r="H654" t="str">
        <f>IFERROR(IF(INDEX(Fall!$1:$1048576,MATCH(All!$A654,Fall!$A:$A,FALSE),MATCH(All!H$1,Fall!$1:$1,FALSE))="","",INDEX(Fall!$1:$1048576,MATCH(All!$A654,Fall!$A:$A,FALSE),MATCH(All!H$1,Fall!$1:$1,FALSE))),"")</f>
        <v>3A</v>
      </c>
      <c r="I654" t="str">
        <f>IFERROR(IF(INDEX(Fall!$1:$1048576,MATCH(All!$A654,Fall!$A:$A,FALSE),MATCH(All!I$1,Fall!$1:$1,FALSE))="","",INDEX(Fall!$1:$1048576,MATCH(All!$A654,Fall!$A:$A,FALSE),MATCH(All!I$1,Fall!$1:$1,FALSE))),"")</f>
        <v>3A</v>
      </c>
      <c r="J654" t="str">
        <f>IFERROR(IF(INDEX(Fall!$1:$1048576,MATCH(All!$A654,Fall!$A:$A,FALSE),MATCH(All!J$1,Fall!$1:$1,FALSE))="","",INDEX(Fall!$1:$1048576,MATCH(All!$A654,Fall!$A:$A,FALSE),MATCH(All!J$1,Fall!$1:$1,FALSE))),"")</f>
        <v>2A</v>
      </c>
      <c r="K654" t="str">
        <f>IFERROR(IF(INDEX(Fall!$1:$1048576,MATCH(All!$A654,Fall!$A:$A,FALSE),MATCH(All!K$1,Fall!$1:$1,FALSE))="","",INDEX(Fall!$1:$1048576,MATCH(All!$A654,Fall!$A:$A,FALSE),MATCH(All!K$1,Fall!$1:$1,FALSE))),"")</f>
        <v>3A</v>
      </c>
      <c r="L654" t="str">
        <f>IFERROR(IF(INDEX(Fall!$1:$1048576,MATCH(All!$A654,Fall!$A:$A,FALSE),MATCH(All!L$1,Fall!$1:$1,FALSE))="","",INDEX(Fall!$1:$1048576,MATCH(All!$A654,Fall!$A:$A,FALSE),MATCH(All!L$1,Fall!$1:$1,FALSE))),"")</f>
        <v>2A</v>
      </c>
      <c r="M654" t="str">
        <f>IFERROR(IF(INDEX(Fall!$1:$1048576,MATCH(All!$A654,Fall!$A:$A,FALSE),MATCH(All!M$1,Fall!$1:$1,FALSE))="","",INDEX(Fall!$1:$1048576,MATCH(All!$A654,Fall!$A:$A,FALSE),MATCH(All!M$1,Fall!$1:$1,FALSE))),"")</f>
        <v>4A</v>
      </c>
      <c r="O654">
        <f>IFERROR(IF(INDEX(Winter!$1:$1048576,MATCH(All!$A654,Winter!$A:$A,FALSE),MATCH(All!O$1,Winter!$1:$1,FALSE))="","",INDEX(Winter!$1:$1048576,MATCH(All!$A654,Winter!$A:$A,FALSE),MATCH(All!O$1,Winter!$1:$1,FALSE))),"")</f>
        <v>1793</v>
      </c>
      <c r="P654" t="str">
        <f>IFERROR(IF(INDEX(Winter!$1:$1048576,MATCH(All!$A654,Winter!$A:$A,FALSE),MATCH(All!P$1,Winter!$1:$1,FALSE))="","",INDEX(Winter!$1:$1048576,MATCH(All!$A654,Winter!$A:$A,FALSE),MATCH(All!P$1,Winter!$1:$1,FALSE))),"")</f>
        <v>4A</v>
      </c>
      <c r="Q654" t="str">
        <f>IFERROR(IF(INDEX(Winter!$1:$1048576,MATCH(All!$A654,Winter!$A:$A,FALSE),MATCH(All!Q$1,Winter!$1:$1,FALSE))="","",INDEX(Winter!$1:$1048576,MATCH(All!$A654,Winter!$A:$A,FALSE),MATCH(All!Q$1,Winter!$1:$1,FALSE))),"")</f>
        <v>4A</v>
      </c>
      <c r="R654" t="str">
        <f>IFERROR(IF(INDEX(Winter!$1:$1048576,MATCH(All!$A654,Winter!$A:$A,FALSE),MATCH(All!R$1,Winter!$1:$1,FALSE))="","",INDEX(Winter!$1:$1048576,MATCH(All!$A654,Winter!$A:$A,FALSE),MATCH(All!R$1,Winter!$1:$1,FALSE))),"")</f>
        <v>3A</v>
      </c>
      <c r="S654" t="str">
        <f>IFERROR(IF(INDEX(Winter!$1:$1048576,MATCH(All!$A654,Winter!$A:$A,FALSE),MATCH(All!S$1,Winter!$1:$1,FALSE))="","",INDEX(Winter!$1:$1048576,MATCH(All!$A654,Winter!$A:$A,FALSE),MATCH(All!S$1,Winter!$1:$1,FALSE))),"")</f>
        <v>2A</v>
      </c>
      <c r="T654" t="str">
        <f>IFERROR(IF(INDEX(Winter!$1:$1048576,MATCH(All!$A654,Winter!$A:$A,FALSE),MATCH(All!T$1,Winter!$1:$1,FALSE))="","",INDEX(Winter!$1:$1048576,MATCH(All!$A654,Winter!$A:$A,FALSE),MATCH(All!T$1,Winter!$1:$1,FALSE))),"")</f>
        <v>2A</v>
      </c>
      <c r="U654" t="str">
        <f>IFERROR(IF(INDEX(Winter!$1:$1048576,MATCH(All!$A654,Winter!$A:$A,FALSE),MATCH(All!U$1,Winter!$1:$1,FALSE))="","",INDEX(Winter!$1:$1048576,MATCH(All!$A654,Winter!$A:$A,FALSE),MATCH(All!U$1,Winter!$1:$1,FALSE))),"")</f>
        <v>3A</v>
      </c>
      <c r="W654">
        <f>IFERROR(IF(INDEX(Spring!$1:$1048576,MATCH(All!$A654,Spring!$A:$A,FALSE),MATCH(All!W$1,Spring!$1:$1,FALSE))="","",INDEX(Spring!$1:$1048576,MATCH(All!$A654,Spring!$A:$A,FALSE),MATCH(All!W$1,Spring!$1:$1,FALSE))),"")</f>
        <v>1793</v>
      </c>
      <c r="X654" t="str">
        <f>IFERROR(IF(INDEX(Spring!$1:$1048576,MATCH(All!$A654,Spring!$A:$A,FALSE),MATCH(All!X$1,Spring!$1:$1,FALSE))="","",INDEX(Spring!$1:$1048576,MATCH(All!$A654,Spring!$A:$A,FALSE),MATCH(All!X$1,Spring!$1:$1,FALSE))),"")</f>
        <v>4A</v>
      </c>
      <c r="Y654" t="str">
        <f>IFERROR(IF(INDEX(Spring!$1:$1048576,MATCH(All!$A654,Spring!$A:$A,FALSE),MATCH(All!Y$1,Spring!$1:$1,FALSE))="","",INDEX(Spring!$1:$1048576,MATCH(All!$A654,Spring!$A:$A,FALSE),MATCH(All!Y$1,Spring!$1:$1,FALSE))),"")</f>
        <v>4A</v>
      </c>
      <c r="Z654" t="str">
        <f>IFERROR(IF(INDEX(Spring!$1:$1048576,MATCH(All!$A654,Spring!$A:$A,FALSE),MATCH(All!Z$1,Spring!$1:$1,FALSE))="","",INDEX(Spring!$1:$1048576,MATCH(All!$A654,Spring!$A:$A,FALSE),MATCH(All!Z$1,Spring!$1:$1,FALSE))),"")</f>
        <v>2A</v>
      </c>
      <c r="AA654" t="str">
        <f>IFERROR(IF(INDEX(Spring!$1:$1048576,MATCH(All!$A654,Spring!$A:$A,FALSE),MATCH(All!AA$1,Spring!$1:$1,FALSE))="","",INDEX(Spring!$1:$1048576,MATCH(All!$A654,Spring!$A:$A,FALSE),MATCH(All!AA$1,Spring!$1:$1,FALSE))),"")</f>
        <v>2A</v>
      </c>
      <c r="AB654" t="str">
        <f>IFERROR(IF(INDEX(Spring!$1:$1048576,MATCH(All!$A654,Spring!$A:$A,FALSE),MATCH(All!AB$1,Spring!$1:$1,FALSE))="","",INDEX(Spring!$1:$1048576,MATCH(All!$A654,Spring!$A:$A,FALSE),MATCH(All!AB$1,Spring!$1:$1,FALSE))),"")</f>
        <v>3A</v>
      </c>
      <c r="AC654" t="str">
        <f>IFERROR(IF(INDEX(Spring!$1:$1048576,MATCH(All!$A654,Spring!$A:$A,FALSE),MATCH(All!AC$1,Spring!$1:$1,FALSE))="","",INDEX(Spring!$1:$1048576,MATCH(All!$A654,Spring!$A:$A,FALSE),MATCH(All!AC$1,Spring!$1:$1,FALSE))),"")</f>
        <v>3A</v>
      </c>
      <c r="AD654" t="str">
        <f>IFERROR(VLOOKUP(A654,'Flag Football'!A:A,1,FALSE),"")</f>
        <v>Rolling Meadows</v>
      </c>
      <c r="AE654" t="str">
        <f t="shared" si="10"/>
        <v>1A</v>
      </c>
    </row>
    <row r="655" spans="1:31" ht="15.75" thickBot="1" x14ac:dyDescent="0.3">
      <c r="A655" s="18" t="s">
        <v>759</v>
      </c>
      <c r="B655" s="38">
        <f>IFERROR(VLOOKUP(A655,'Public v Private'!A:G,3,FALSE),"")</f>
        <v>0</v>
      </c>
      <c r="C655" s="38">
        <f>IFERROR(VLOOKUP(A655,'Public v Private'!A:G,4,FALSE),"")</f>
        <v>0</v>
      </c>
      <c r="D655" s="38">
        <f>IFERROR(VLOOKUP(A655,'Public v Private'!A:G,5,FALSE),"")</f>
        <v>0</v>
      </c>
      <c r="E655" s="38"/>
      <c r="F655" s="40">
        <f>IFERROR(INDEX(Fall!$1:$1048576,MATCH(All!$A655,Fall!$A:$A,FALSE),MATCH(All!F$1,Fall!$1:$1,FALSE)),"N/A")</f>
        <v>1798</v>
      </c>
      <c r="G655" t="str">
        <f>IFERROR(IF(INDEX(Fall!$1:$1048576,MATCH(All!$A655,Fall!$A:$A,FALSE),MATCH(All!G$1,Fall!$1:$1,FALSE))="","",INDEX(Fall!$1:$1048576,MATCH(All!$A655,Fall!$A:$A,FALSE),MATCH(All!G$1,Fall!$1:$1,FALSE))),"")</f>
        <v>3A</v>
      </c>
      <c r="H655" t="str">
        <f>IFERROR(IF(INDEX(Fall!$1:$1048576,MATCH(All!$A655,Fall!$A:$A,FALSE),MATCH(All!H$1,Fall!$1:$1,FALSE))="","",INDEX(Fall!$1:$1048576,MATCH(All!$A655,Fall!$A:$A,FALSE),MATCH(All!H$1,Fall!$1:$1,FALSE))),"")</f>
        <v>3A</v>
      </c>
      <c r="I655" t="str">
        <f>IFERROR(IF(INDEX(Fall!$1:$1048576,MATCH(All!$A655,Fall!$A:$A,FALSE),MATCH(All!I$1,Fall!$1:$1,FALSE))="","",INDEX(Fall!$1:$1048576,MATCH(All!$A655,Fall!$A:$A,FALSE),MATCH(All!I$1,Fall!$1:$1,FALSE))),"")</f>
        <v>3A</v>
      </c>
      <c r="J655" t="str">
        <f>IFERROR(IF(INDEX(Fall!$1:$1048576,MATCH(All!$A655,Fall!$A:$A,FALSE),MATCH(All!J$1,Fall!$1:$1,FALSE))="","",INDEX(Fall!$1:$1048576,MATCH(All!$A655,Fall!$A:$A,FALSE),MATCH(All!J$1,Fall!$1:$1,FALSE))),"")</f>
        <v>2A</v>
      </c>
      <c r="K655" t="str">
        <f>IFERROR(IF(INDEX(Fall!$1:$1048576,MATCH(All!$A655,Fall!$A:$A,FALSE),MATCH(All!K$1,Fall!$1:$1,FALSE))="","",INDEX(Fall!$1:$1048576,MATCH(All!$A655,Fall!$A:$A,FALSE),MATCH(All!K$1,Fall!$1:$1,FALSE))),"")</f>
        <v>3A</v>
      </c>
      <c r="L655" t="str">
        <f>IFERROR(IF(INDEX(Fall!$1:$1048576,MATCH(All!$A655,Fall!$A:$A,FALSE),MATCH(All!L$1,Fall!$1:$1,FALSE))="","",INDEX(Fall!$1:$1048576,MATCH(All!$A655,Fall!$A:$A,FALSE),MATCH(All!L$1,Fall!$1:$1,FALSE))),"")</f>
        <v>2A</v>
      </c>
      <c r="M655" t="str">
        <f>IFERROR(IF(INDEX(Fall!$1:$1048576,MATCH(All!$A655,Fall!$A:$A,FALSE),MATCH(All!M$1,Fall!$1:$1,FALSE))="","",INDEX(Fall!$1:$1048576,MATCH(All!$A655,Fall!$A:$A,FALSE),MATCH(All!M$1,Fall!$1:$1,FALSE))),"")</f>
        <v>4A</v>
      </c>
      <c r="O655">
        <f>IFERROR(IF(INDEX(Winter!$1:$1048576,MATCH(All!$A655,Winter!$A:$A,FALSE),MATCH(All!O$1,Winter!$1:$1,FALSE))="","",INDEX(Winter!$1:$1048576,MATCH(All!$A655,Winter!$A:$A,FALSE),MATCH(All!O$1,Winter!$1:$1,FALSE))),"")</f>
        <v>1798</v>
      </c>
      <c r="P655" t="str">
        <f>IFERROR(IF(INDEX(Winter!$1:$1048576,MATCH(All!$A655,Winter!$A:$A,FALSE),MATCH(All!P$1,Winter!$1:$1,FALSE))="","",INDEX(Winter!$1:$1048576,MATCH(All!$A655,Winter!$A:$A,FALSE),MATCH(All!P$1,Winter!$1:$1,FALSE))),"")</f>
        <v>4A</v>
      </c>
      <c r="Q655" t="str">
        <f>IFERROR(IF(INDEX(Winter!$1:$1048576,MATCH(All!$A655,Winter!$A:$A,FALSE),MATCH(All!Q$1,Winter!$1:$1,FALSE))="","",INDEX(Winter!$1:$1048576,MATCH(All!$A655,Winter!$A:$A,FALSE),MATCH(All!Q$1,Winter!$1:$1,FALSE))),"")</f>
        <v>4A</v>
      </c>
      <c r="R655" t="str">
        <f>IFERROR(IF(INDEX(Winter!$1:$1048576,MATCH(All!$A655,Winter!$A:$A,FALSE),MATCH(All!R$1,Winter!$1:$1,FALSE))="","",INDEX(Winter!$1:$1048576,MATCH(All!$A655,Winter!$A:$A,FALSE),MATCH(All!R$1,Winter!$1:$1,FALSE))),"")</f>
        <v>C</v>
      </c>
      <c r="S655" t="str">
        <f>IFERROR(IF(INDEX(Winter!$1:$1048576,MATCH(All!$A655,Winter!$A:$A,FALSE),MATCH(All!S$1,Winter!$1:$1,FALSE))="","",INDEX(Winter!$1:$1048576,MATCH(All!$A655,Winter!$A:$A,FALSE),MATCH(All!S$1,Winter!$1:$1,FALSE))),"")</f>
        <v/>
      </c>
      <c r="T655" t="str">
        <f>IFERROR(IF(INDEX(Winter!$1:$1048576,MATCH(All!$A655,Winter!$A:$A,FALSE),MATCH(All!T$1,Winter!$1:$1,FALSE))="","",INDEX(Winter!$1:$1048576,MATCH(All!$A655,Winter!$A:$A,FALSE),MATCH(All!T$1,Winter!$1:$1,FALSE))),"")</f>
        <v>2A</v>
      </c>
      <c r="U655" t="str">
        <f>IFERROR(IF(INDEX(Winter!$1:$1048576,MATCH(All!$A655,Winter!$A:$A,FALSE),MATCH(All!U$1,Winter!$1:$1,FALSE))="","",INDEX(Winter!$1:$1048576,MATCH(All!$A655,Winter!$A:$A,FALSE),MATCH(All!U$1,Winter!$1:$1,FALSE))),"")</f>
        <v>3A</v>
      </c>
      <c r="W655">
        <f>IFERROR(IF(INDEX(Spring!$1:$1048576,MATCH(All!$A655,Spring!$A:$A,FALSE),MATCH(All!W$1,Spring!$1:$1,FALSE))="","",INDEX(Spring!$1:$1048576,MATCH(All!$A655,Spring!$A:$A,FALSE),MATCH(All!W$1,Spring!$1:$1,FALSE))),"")</f>
        <v>1798</v>
      </c>
      <c r="X655" t="str">
        <f>IFERROR(IF(INDEX(Spring!$1:$1048576,MATCH(All!$A655,Spring!$A:$A,FALSE),MATCH(All!X$1,Spring!$1:$1,FALSE))="","",INDEX(Spring!$1:$1048576,MATCH(All!$A655,Spring!$A:$A,FALSE),MATCH(All!X$1,Spring!$1:$1,FALSE))),"")</f>
        <v>4A</v>
      </c>
      <c r="Y655" t="str">
        <f>IFERROR(IF(INDEX(Spring!$1:$1048576,MATCH(All!$A655,Spring!$A:$A,FALSE),MATCH(All!Y$1,Spring!$1:$1,FALSE))="","",INDEX(Spring!$1:$1048576,MATCH(All!$A655,Spring!$A:$A,FALSE),MATCH(All!Y$1,Spring!$1:$1,FALSE))),"")</f>
        <v>4A</v>
      </c>
      <c r="Z655" t="str">
        <f>IFERROR(IF(INDEX(Spring!$1:$1048576,MATCH(All!$A655,Spring!$A:$A,FALSE),MATCH(All!Z$1,Spring!$1:$1,FALSE))="","",INDEX(Spring!$1:$1048576,MATCH(All!$A655,Spring!$A:$A,FALSE),MATCH(All!Z$1,Spring!$1:$1,FALSE))),"")</f>
        <v>2A</v>
      </c>
      <c r="AA655" t="str">
        <f>IFERROR(IF(INDEX(Spring!$1:$1048576,MATCH(All!$A655,Spring!$A:$A,FALSE),MATCH(All!AA$1,Spring!$1:$1,FALSE))="","",INDEX(Spring!$1:$1048576,MATCH(All!$A655,Spring!$A:$A,FALSE),MATCH(All!AA$1,Spring!$1:$1,FALSE))),"")</f>
        <v>2A</v>
      </c>
      <c r="AB655" t="str">
        <f>IFERROR(IF(INDEX(Spring!$1:$1048576,MATCH(All!$A655,Spring!$A:$A,FALSE),MATCH(All!AB$1,Spring!$1:$1,FALSE))="","",INDEX(Spring!$1:$1048576,MATCH(All!$A655,Spring!$A:$A,FALSE),MATCH(All!AB$1,Spring!$1:$1,FALSE))),"")</f>
        <v>3A</v>
      </c>
      <c r="AC655" t="str">
        <f>IFERROR(IF(INDEX(Spring!$1:$1048576,MATCH(All!$A655,Spring!$A:$A,FALSE),MATCH(All!AC$1,Spring!$1:$1,FALSE))="","",INDEX(Spring!$1:$1048576,MATCH(All!$A655,Spring!$A:$A,FALSE),MATCH(All!AC$1,Spring!$1:$1,FALSE))),"")</f>
        <v>3A</v>
      </c>
      <c r="AD655" t="str">
        <f>IFERROR(VLOOKUP(A655,'Flag Football'!A:A,1,FALSE),"")</f>
        <v>Romeoville (H.S.)</v>
      </c>
      <c r="AE655" t="str">
        <f t="shared" si="10"/>
        <v>1A</v>
      </c>
    </row>
    <row r="656" spans="1:31" ht="15.75" thickBot="1" x14ac:dyDescent="0.3">
      <c r="A656" s="20" t="s">
        <v>760</v>
      </c>
      <c r="B656" s="38">
        <f>IFERROR(VLOOKUP(A656,'Public v Private'!A:G,3,FALSE),"")</f>
        <v>0</v>
      </c>
      <c r="C656" s="38">
        <f>IFERROR(VLOOKUP(A656,'Public v Private'!A:G,4,FALSE),"")</f>
        <v>0</v>
      </c>
      <c r="D656" s="38">
        <f>IFERROR(VLOOKUP(A656,'Public v Private'!A:G,5,FALSE),"")</f>
        <v>0</v>
      </c>
      <c r="E656" s="38"/>
      <c r="F656" s="40">
        <f>IFERROR(INDEX(Fall!$1:$1048576,MATCH(All!$A656,Fall!$A:$A,FALSE),MATCH(All!F$1,Fall!$1:$1,FALSE)),"N/A")</f>
        <v>2484</v>
      </c>
      <c r="G656" t="str">
        <f>IFERROR(IF(INDEX(Fall!$1:$1048576,MATCH(All!$A656,Fall!$A:$A,FALSE),MATCH(All!G$1,Fall!$1:$1,FALSE))="","",INDEX(Fall!$1:$1048576,MATCH(All!$A656,Fall!$A:$A,FALSE),MATCH(All!G$1,Fall!$1:$1,FALSE))),"")</f>
        <v>3A</v>
      </c>
      <c r="H656" t="str">
        <f>IFERROR(IF(INDEX(Fall!$1:$1048576,MATCH(All!$A656,Fall!$A:$A,FALSE),MATCH(All!H$1,Fall!$1:$1,FALSE))="","",INDEX(Fall!$1:$1048576,MATCH(All!$A656,Fall!$A:$A,FALSE),MATCH(All!H$1,Fall!$1:$1,FALSE))),"")</f>
        <v>3A</v>
      </c>
      <c r="I656" t="str">
        <f>IFERROR(IF(INDEX(Fall!$1:$1048576,MATCH(All!$A656,Fall!$A:$A,FALSE),MATCH(All!I$1,Fall!$1:$1,FALSE))="","",INDEX(Fall!$1:$1048576,MATCH(All!$A656,Fall!$A:$A,FALSE),MATCH(All!I$1,Fall!$1:$1,FALSE))),"")</f>
        <v>3A</v>
      </c>
      <c r="J656" t="str">
        <f>IFERROR(IF(INDEX(Fall!$1:$1048576,MATCH(All!$A656,Fall!$A:$A,FALSE),MATCH(All!J$1,Fall!$1:$1,FALSE))="","",INDEX(Fall!$1:$1048576,MATCH(All!$A656,Fall!$A:$A,FALSE),MATCH(All!J$1,Fall!$1:$1,FALSE))),"")</f>
        <v>2A</v>
      </c>
      <c r="K656" t="str">
        <f>IFERROR(IF(INDEX(Fall!$1:$1048576,MATCH(All!$A656,Fall!$A:$A,FALSE),MATCH(All!K$1,Fall!$1:$1,FALSE))="","",INDEX(Fall!$1:$1048576,MATCH(All!$A656,Fall!$A:$A,FALSE),MATCH(All!K$1,Fall!$1:$1,FALSE))),"")</f>
        <v>3A</v>
      </c>
      <c r="L656" t="str">
        <f>IFERROR(IF(INDEX(Fall!$1:$1048576,MATCH(All!$A656,Fall!$A:$A,FALSE),MATCH(All!L$1,Fall!$1:$1,FALSE))="","",INDEX(Fall!$1:$1048576,MATCH(All!$A656,Fall!$A:$A,FALSE),MATCH(All!L$1,Fall!$1:$1,FALSE))),"")</f>
        <v>2A</v>
      </c>
      <c r="M656" t="str">
        <f>IFERROR(IF(INDEX(Fall!$1:$1048576,MATCH(All!$A656,Fall!$A:$A,FALSE),MATCH(All!M$1,Fall!$1:$1,FALSE))="","",INDEX(Fall!$1:$1048576,MATCH(All!$A656,Fall!$A:$A,FALSE),MATCH(All!M$1,Fall!$1:$1,FALSE))),"")</f>
        <v>4A</v>
      </c>
      <c r="O656">
        <f>IFERROR(IF(INDEX(Winter!$1:$1048576,MATCH(All!$A656,Winter!$A:$A,FALSE),MATCH(All!O$1,Winter!$1:$1,FALSE))="","",INDEX(Winter!$1:$1048576,MATCH(All!$A656,Winter!$A:$A,FALSE),MATCH(All!O$1,Winter!$1:$1,FALSE))),"")</f>
        <v>2484</v>
      </c>
      <c r="P656" t="str">
        <f>IFERROR(IF(INDEX(Winter!$1:$1048576,MATCH(All!$A656,Winter!$A:$A,FALSE),MATCH(All!P$1,Winter!$1:$1,FALSE))="","",INDEX(Winter!$1:$1048576,MATCH(All!$A656,Winter!$A:$A,FALSE),MATCH(All!P$1,Winter!$1:$1,FALSE))),"")</f>
        <v>4A</v>
      </c>
      <c r="Q656" t="str">
        <f>IFERROR(IF(INDEX(Winter!$1:$1048576,MATCH(All!$A656,Winter!$A:$A,FALSE),MATCH(All!Q$1,Winter!$1:$1,FALSE))="","",INDEX(Winter!$1:$1048576,MATCH(All!$A656,Winter!$A:$A,FALSE),MATCH(All!Q$1,Winter!$1:$1,FALSE))),"")</f>
        <v>4A</v>
      </c>
      <c r="R656" t="str">
        <f>IFERROR(IF(INDEX(Winter!$1:$1048576,MATCH(All!$A656,Winter!$A:$A,FALSE),MATCH(All!R$1,Winter!$1:$1,FALSE))="","",INDEX(Winter!$1:$1048576,MATCH(All!$A656,Winter!$A:$A,FALSE),MATCH(All!R$1,Winter!$1:$1,FALSE))),"")</f>
        <v>C</v>
      </c>
      <c r="S656" t="str">
        <f>IFERROR(IF(INDEX(Winter!$1:$1048576,MATCH(All!$A656,Winter!$A:$A,FALSE),MATCH(All!S$1,Winter!$1:$1,FALSE))="","",INDEX(Winter!$1:$1048576,MATCH(All!$A656,Winter!$A:$A,FALSE),MATCH(All!S$1,Winter!$1:$1,FALSE))),"")</f>
        <v>3A</v>
      </c>
      <c r="T656" t="str">
        <f>IFERROR(IF(INDEX(Winter!$1:$1048576,MATCH(All!$A656,Winter!$A:$A,FALSE),MATCH(All!T$1,Winter!$1:$1,FALSE))="","",INDEX(Winter!$1:$1048576,MATCH(All!$A656,Winter!$A:$A,FALSE),MATCH(All!T$1,Winter!$1:$1,FALSE))),"")</f>
        <v>2A</v>
      </c>
      <c r="U656" t="str">
        <f>IFERROR(IF(INDEX(Winter!$1:$1048576,MATCH(All!$A656,Winter!$A:$A,FALSE),MATCH(All!U$1,Winter!$1:$1,FALSE))="","",INDEX(Winter!$1:$1048576,MATCH(All!$A656,Winter!$A:$A,FALSE),MATCH(All!U$1,Winter!$1:$1,FALSE))),"")</f>
        <v>3A</v>
      </c>
      <c r="W656">
        <f>IFERROR(IF(INDEX(Spring!$1:$1048576,MATCH(All!$A656,Spring!$A:$A,FALSE),MATCH(All!W$1,Spring!$1:$1,FALSE))="","",INDEX(Spring!$1:$1048576,MATCH(All!$A656,Spring!$A:$A,FALSE),MATCH(All!W$1,Spring!$1:$1,FALSE))),"")</f>
        <v>2484</v>
      </c>
      <c r="X656" t="str">
        <f>IFERROR(IF(INDEX(Spring!$1:$1048576,MATCH(All!$A656,Spring!$A:$A,FALSE),MATCH(All!X$1,Spring!$1:$1,FALSE))="","",INDEX(Spring!$1:$1048576,MATCH(All!$A656,Spring!$A:$A,FALSE),MATCH(All!X$1,Spring!$1:$1,FALSE))),"")</f>
        <v>4A</v>
      </c>
      <c r="Y656" t="str">
        <f>IFERROR(IF(INDEX(Spring!$1:$1048576,MATCH(All!$A656,Spring!$A:$A,FALSE),MATCH(All!Y$1,Spring!$1:$1,FALSE))="","",INDEX(Spring!$1:$1048576,MATCH(All!$A656,Spring!$A:$A,FALSE),MATCH(All!Y$1,Spring!$1:$1,FALSE))),"")</f>
        <v>4A</v>
      </c>
      <c r="Z656" t="str">
        <f>IFERROR(IF(INDEX(Spring!$1:$1048576,MATCH(All!$A656,Spring!$A:$A,FALSE),MATCH(All!Z$1,Spring!$1:$1,FALSE))="","",INDEX(Spring!$1:$1048576,MATCH(All!$A656,Spring!$A:$A,FALSE),MATCH(All!Z$1,Spring!$1:$1,FALSE))),"")</f>
        <v>3A</v>
      </c>
      <c r="AA656" t="str">
        <f>IFERROR(IF(INDEX(Spring!$1:$1048576,MATCH(All!$A656,Spring!$A:$A,FALSE),MATCH(All!AA$1,Spring!$1:$1,FALSE))="","",INDEX(Spring!$1:$1048576,MATCH(All!$A656,Spring!$A:$A,FALSE),MATCH(All!AA$1,Spring!$1:$1,FALSE))),"")</f>
        <v>2A</v>
      </c>
      <c r="AB656" t="str">
        <f>IFERROR(IF(INDEX(Spring!$1:$1048576,MATCH(All!$A656,Spring!$A:$A,FALSE),MATCH(All!AB$1,Spring!$1:$1,FALSE))="","",INDEX(Spring!$1:$1048576,MATCH(All!$A656,Spring!$A:$A,FALSE),MATCH(All!AB$1,Spring!$1:$1,FALSE))),"")</f>
        <v>3A</v>
      </c>
      <c r="AC656" t="str">
        <f>IFERROR(IF(INDEX(Spring!$1:$1048576,MATCH(All!$A656,Spring!$A:$A,FALSE),MATCH(All!AC$1,Spring!$1:$1,FALSE))="","",INDEX(Spring!$1:$1048576,MATCH(All!$A656,Spring!$A:$A,FALSE),MATCH(All!AC$1,Spring!$1:$1,FALSE))),"")</f>
        <v>3A</v>
      </c>
      <c r="AD656" t="str">
        <f>IFERROR(VLOOKUP(A656,'Flag Football'!A:A,1,FALSE),"")</f>
        <v>Roselle (Lake Park)</v>
      </c>
      <c r="AE656" t="str">
        <f t="shared" si="10"/>
        <v>1A</v>
      </c>
    </row>
    <row r="657" spans="1:31" ht="15.75" thickBot="1" x14ac:dyDescent="0.3">
      <c r="A657" s="18" t="s">
        <v>761</v>
      </c>
      <c r="B657" s="38">
        <f>IFERROR(VLOOKUP(A657,'Public v Private'!A:G,3,FALSE),"")</f>
        <v>0</v>
      </c>
      <c r="C657" s="38">
        <f>IFERROR(VLOOKUP(A657,'Public v Private'!A:G,4,FALSE),"")</f>
        <v>0</v>
      </c>
      <c r="D657" s="38">
        <f>IFERROR(VLOOKUP(A657,'Public v Private'!A:G,5,FALSE),"")</f>
        <v>0</v>
      </c>
      <c r="E657" s="38"/>
      <c r="F657" s="40">
        <f>IFERROR(INDEX(Fall!$1:$1048576,MATCH(All!$A657,Fall!$A:$A,FALSE),MATCH(All!F$1,Fall!$1:$1,FALSE)),"N/A")</f>
        <v>2112</v>
      </c>
      <c r="G657" t="str">
        <f>IFERROR(IF(INDEX(Fall!$1:$1048576,MATCH(All!$A657,Fall!$A:$A,FALSE),MATCH(All!G$1,Fall!$1:$1,FALSE))="","",INDEX(Fall!$1:$1048576,MATCH(All!$A657,Fall!$A:$A,FALSE),MATCH(All!G$1,Fall!$1:$1,FALSE))),"")</f>
        <v>3A</v>
      </c>
      <c r="H657" t="str">
        <f>IFERROR(IF(INDEX(Fall!$1:$1048576,MATCH(All!$A657,Fall!$A:$A,FALSE),MATCH(All!H$1,Fall!$1:$1,FALSE))="","",INDEX(Fall!$1:$1048576,MATCH(All!$A657,Fall!$A:$A,FALSE),MATCH(All!H$1,Fall!$1:$1,FALSE))),"")</f>
        <v>3A</v>
      </c>
      <c r="I657" t="str">
        <f>IFERROR(IF(INDEX(Fall!$1:$1048576,MATCH(All!$A657,Fall!$A:$A,FALSE),MATCH(All!I$1,Fall!$1:$1,FALSE))="","",INDEX(Fall!$1:$1048576,MATCH(All!$A657,Fall!$A:$A,FALSE),MATCH(All!I$1,Fall!$1:$1,FALSE))),"")</f>
        <v/>
      </c>
      <c r="J657" t="str">
        <f>IFERROR(IF(INDEX(Fall!$1:$1048576,MATCH(All!$A657,Fall!$A:$A,FALSE),MATCH(All!J$1,Fall!$1:$1,FALSE))="","",INDEX(Fall!$1:$1048576,MATCH(All!$A657,Fall!$A:$A,FALSE),MATCH(All!J$1,Fall!$1:$1,FALSE))),"")</f>
        <v/>
      </c>
      <c r="K657" t="str">
        <f>IFERROR(IF(INDEX(Fall!$1:$1048576,MATCH(All!$A657,Fall!$A:$A,FALSE),MATCH(All!K$1,Fall!$1:$1,FALSE))="","",INDEX(Fall!$1:$1048576,MATCH(All!$A657,Fall!$A:$A,FALSE),MATCH(All!K$1,Fall!$1:$1,FALSE))),"")</f>
        <v>3A</v>
      </c>
      <c r="L657" t="str">
        <f>IFERROR(IF(INDEX(Fall!$1:$1048576,MATCH(All!$A657,Fall!$A:$A,FALSE),MATCH(All!L$1,Fall!$1:$1,FALSE))="","",INDEX(Fall!$1:$1048576,MATCH(All!$A657,Fall!$A:$A,FALSE),MATCH(All!L$1,Fall!$1:$1,FALSE))),"")</f>
        <v>2A</v>
      </c>
      <c r="M657" t="str">
        <f>IFERROR(IF(INDEX(Fall!$1:$1048576,MATCH(All!$A657,Fall!$A:$A,FALSE),MATCH(All!M$1,Fall!$1:$1,FALSE))="","",INDEX(Fall!$1:$1048576,MATCH(All!$A657,Fall!$A:$A,FALSE),MATCH(All!M$1,Fall!$1:$1,FALSE))),"")</f>
        <v>4A</v>
      </c>
      <c r="O657">
        <f>IFERROR(IF(INDEX(Winter!$1:$1048576,MATCH(All!$A657,Winter!$A:$A,FALSE),MATCH(All!O$1,Winter!$1:$1,FALSE))="","",INDEX(Winter!$1:$1048576,MATCH(All!$A657,Winter!$A:$A,FALSE),MATCH(All!O$1,Winter!$1:$1,FALSE))),"")</f>
        <v>2112</v>
      </c>
      <c r="P657" t="str">
        <f>IFERROR(IF(INDEX(Winter!$1:$1048576,MATCH(All!$A657,Winter!$A:$A,FALSE),MATCH(All!P$1,Winter!$1:$1,FALSE))="","",INDEX(Winter!$1:$1048576,MATCH(All!$A657,Winter!$A:$A,FALSE),MATCH(All!P$1,Winter!$1:$1,FALSE))),"")</f>
        <v>4A</v>
      </c>
      <c r="Q657" t="str">
        <f>IFERROR(IF(INDEX(Winter!$1:$1048576,MATCH(All!$A657,Winter!$A:$A,FALSE),MATCH(All!Q$1,Winter!$1:$1,FALSE))="","",INDEX(Winter!$1:$1048576,MATCH(All!$A657,Winter!$A:$A,FALSE),MATCH(All!Q$1,Winter!$1:$1,FALSE))),"")</f>
        <v>4A</v>
      </c>
      <c r="R657" t="str">
        <f>IFERROR(IF(INDEX(Winter!$1:$1048576,MATCH(All!$A657,Winter!$A:$A,FALSE),MATCH(All!R$1,Winter!$1:$1,FALSE))="","",INDEX(Winter!$1:$1048576,MATCH(All!$A657,Winter!$A:$A,FALSE),MATCH(All!R$1,Winter!$1:$1,FALSE))),"")</f>
        <v>3A</v>
      </c>
      <c r="S657" t="str">
        <f>IFERROR(IF(INDEX(Winter!$1:$1048576,MATCH(All!$A657,Winter!$A:$A,FALSE),MATCH(All!S$1,Winter!$1:$1,FALSE))="","",INDEX(Winter!$1:$1048576,MATCH(All!$A657,Winter!$A:$A,FALSE),MATCH(All!S$1,Winter!$1:$1,FALSE))),"")</f>
        <v/>
      </c>
      <c r="T657" t="str">
        <f>IFERROR(IF(INDEX(Winter!$1:$1048576,MATCH(All!$A657,Winter!$A:$A,FALSE),MATCH(All!T$1,Winter!$1:$1,FALSE))="","",INDEX(Winter!$1:$1048576,MATCH(All!$A657,Winter!$A:$A,FALSE),MATCH(All!T$1,Winter!$1:$1,FALSE))),"")</f>
        <v>2A</v>
      </c>
      <c r="U657" t="str">
        <f>IFERROR(IF(INDEX(Winter!$1:$1048576,MATCH(All!$A657,Winter!$A:$A,FALSE),MATCH(All!U$1,Winter!$1:$1,FALSE))="","",INDEX(Winter!$1:$1048576,MATCH(All!$A657,Winter!$A:$A,FALSE),MATCH(All!U$1,Winter!$1:$1,FALSE))),"")</f>
        <v>3A</v>
      </c>
      <c r="W657">
        <f>IFERROR(IF(INDEX(Spring!$1:$1048576,MATCH(All!$A657,Spring!$A:$A,FALSE),MATCH(All!W$1,Spring!$1:$1,FALSE))="","",INDEX(Spring!$1:$1048576,MATCH(All!$A657,Spring!$A:$A,FALSE),MATCH(All!W$1,Spring!$1:$1,FALSE))),"")</f>
        <v>2112</v>
      </c>
      <c r="X657" t="str">
        <f>IFERROR(IF(INDEX(Spring!$1:$1048576,MATCH(All!$A657,Spring!$A:$A,FALSE),MATCH(All!X$1,Spring!$1:$1,FALSE))="","",INDEX(Spring!$1:$1048576,MATCH(All!$A657,Spring!$A:$A,FALSE),MATCH(All!X$1,Spring!$1:$1,FALSE))),"")</f>
        <v>4A</v>
      </c>
      <c r="Y657" t="str">
        <f>IFERROR(IF(INDEX(Spring!$1:$1048576,MATCH(All!$A657,Spring!$A:$A,FALSE),MATCH(All!Y$1,Spring!$1:$1,FALSE))="","",INDEX(Spring!$1:$1048576,MATCH(All!$A657,Spring!$A:$A,FALSE),MATCH(All!Y$1,Spring!$1:$1,FALSE))),"")</f>
        <v>4A</v>
      </c>
      <c r="Z657" t="str">
        <f>IFERROR(IF(INDEX(Spring!$1:$1048576,MATCH(All!$A657,Spring!$A:$A,FALSE),MATCH(All!Z$1,Spring!$1:$1,FALSE))="","",INDEX(Spring!$1:$1048576,MATCH(All!$A657,Spring!$A:$A,FALSE),MATCH(All!Z$1,Spring!$1:$1,FALSE))),"")</f>
        <v>3A</v>
      </c>
      <c r="AA657" t="str">
        <f>IFERROR(IF(INDEX(Spring!$1:$1048576,MATCH(All!$A657,Spring!$A:$A,FALSE),MATCH(All!AA$1,Spring!$1:$1,FALSE))="","",INDEX(Spring!$1:$1048576,MATCH(All!$A657,Spring!$A:$A,FALSE),MATCH(All!AA$1,Spring!$1:$1,FALSE))),"")</f>
        <v>2A</v>
      </c>
      <c r="AB657" t="str">
        <f>IFERROR(IF(INDEX(Spring!$1:$1048576,MATCH(All!$A657,Spring!$A:$A,FALSE),MATCH(All!AB$1,Spring!$1:$1,FALSE))="","",INDEX(Spring!$1:$1048576,MATCH(All!$A657,Spring!$A:$A,FALSE),MATCH(All!AB$1,Spring!$1:$1,FALSE))),"")</f>
        <v>3A</v>
      </c>
      <c r="AC657" t="str">
        <f>IFERROR(IF(INDEX(Spring!$1:$1048576,MATCH(All!$A657,Spring!$A:$A,FALSE),MATCH(All!AC$1,Spring!$1:$1,FALSE))="","",INDEX(Spring!$1:$1048576,MATCH(All!$A657,Spring!$A:$A,FALSE),MATCH(All!AC$1,Spring!$1:$1,FALSE))),"")</f>
        <v>3A</v>
      </c>
      <c r="AD657" t="str">
        <f>IFERROR(VLOOKUP(A657,'Flag Football'!A:A,1,FALSE),"")</f>
        <v>Round Lake</v>
      </c>
      <c r="AE657" t="str">
        <f t="shared" si="10"/>
        <v>1A</v>
      </c>
    </row>
    <row r="658" spans="1:31" ht="15.75" thickBot="1" x14ac:dyDescent="0.3">
      <c r="A658" s="20" t="s">
        <v>762</v>
      </c>
      <c r="B658" s="38">
        <f>IFERROR(VLOOKUP(A658,'Public v Private'!A:G,3,FALSE),"")</f>
        <v>0</v>
      </c>
      <c r="C658" s="38">
        <f>IFERROR(VLOOKUP(A658,'Public v Private'!A:G,4,FALSE),"")</f>
        <v>0</v>
      </c>
      <c r="D658" s="38">
        <f>IFERROR(VLOOKUP(A658,'Public v Private'!A:G,5,FALSE),"")</f>
        <v>0</v>
      </c>
      <c r="E658" s="38"/>
      <c r="F658" s="40">
        <f>IFERROR(INDEX(Fall!$1:$1048576,MATCH(All!$A658,Fall!$A:$A,FALSE),MATCH(All!F$1,Fall!$1:$1,FALSE)),"N/A")</f>
        <v>492</v>
      </c>
      <c r="G658" t="str">
        <f>IFERROR(IF(INDEX(Fall!$1:$1048576,MATCH(All!$A658,Fall!$A:$A,FALSE),MATCH(All!G$1,Fall!$1:$1,FALSE))="","",INDEX(Fall!$1:$1048576,MATCH(All!$A658,Fall!$A:$A,FALSE),MATCH(All!G$1,Fall!$1:$1,FALSE))),"")</f>
        <v>1A</v>
      </c>
      <c r="H658" t="str">
        <f>IFERROR(IF(INDEX(Fall!$1:$1048576,MATCH(All!$A658,Fall!$A:$A,FALSE),MATCH(All!H$1,Fall!$1:$1,FALSE))="","",INDEX(Fall!$1:$1048576,MATCH(All!$A658,Fall!$A:$A,FALSE),MATCH(All!H$1,Fall!$1:$1,FALSE))),"")</f>
        <v>1A</v>
      </c>
      <c r="I658" t="str">
        <f>IFERROR(IF(INDEX(Fall!$1:$1048576,MATCH(All!$A658,Fall!$A:$A,FALSE),MATCH(All!I$1,Fall!$1:$1,FALSE))="","",INDEX(Fall!$1:$1048576,MATCH(All!$A658,Fall!$A:$A,FALSE),MATCH(All!I$1,Fall!$1:$1,FALSE))),"")</f>
        <v>1A</v>
      </c>
      <c r="J658" t="str">
        <f>IFERROR(IF(INDEX(Fall!$1:$1048576,MATCH(All!$A658,Fall!$A:$A,FALSE),MATCH(All!J$1,Fall!$1:$1,FALSE))="","",INDEX(Fall!$1:$1048576,MATCH(All!$A658,Fall!$A:$A,FALSE),MATCH(All!J$1,Fall!$1:$1,FALSE))),"")</f>
        <v>1A</v>
      </c>
      <c r="K658" t="str">
        <f>IFERROR(IF(INDEX(Fall!$1:$1048576,MATCH(All!$A658,Fall!$A:$A,FALSE),MATCH(All!K$1,Fall!$1:$1,FALSE))="","",INDEX(Fall!$1:$1048576,MATCH(All!$A658,Fall!$A:$A,FALSE),MATCH(All!K$1,Fall!$1:$1,FALSE))),"")</f>
        <v>1A</v>
      </c>
      <c r="L658" t="str">
        <f>IFERROR(IF(INDEX(Fall!$1:$1048576,MATCH(All!$A658,Fall!$A:$A,FALSE),MATCH(All!L$1,Fall!$1:$1,FALSE))="","",INDEX(Fall!$1:$1048576,MATCH(All!$A658,Fall!$A:$A,FALSE),MATCH(All!L$1,Fall!$1:$1,FALSE))),"")</f>
        <v>1A</v>
      </c>
      <c r="M658" t="str">
        <f>IFERROR(IF(INDEX(Fall!$1:$1048576,MATCH(All!$A658,Fall!$A:$A,FALSE),MATCH(All!M$1,Fall!$1:$1,FALSE))="","",INDEX(Fall!$1:$1048576,MATCH(All!$A658,Fall!$A:$A,FALSE),MATCH(All!M$1,Fall!$1:$1,FALSE))),"")</f>
        <v>2A</v>
      </c>
      <c r="O658">
        <f>IFERROR(IF(INDEX(Winter!$1:$1048576,MATCH(All!$A658,Winter!$A:$A,FALSE),MATCH(All!O$1,Winter!$1:$1,FALSE))="","",INDEX(Winter!$1:$1048576,MATCH(All!$A658,Winter!$A:$A,FALSE),MATCH(All!O$1,Winter!$1:$1,FALSE))),"")</f>
        <v>492</v>
      </c>
      <c r="P658" t="str">
        <f>IFERROR(IF(INDEX(Winter!$1:$1048576,MATCH(All!$A658,Winter!$A:$A,FALSE),MATCH(All!P$1,Winter!$1:$1,FALSE))="","",INDEX(Winter!$1:$1048576,MATCH(All!$A658,Winter!$A:$A,FALSE),MATCH(All!P$1,Winter!$1:$1,FALSE))),"")</f>
        <v>2A</v>
      </c>
      <c r="Q658" t="str">
        <f>IFERROR(IF(INDEX(Winter!$1:$1048576,MATCH(All!$A658,Winter!$A:$A,FALSE),MATCH(All!Q$1,Winter!$1:$1,FALSE))="","",INDEX(Winter!$1:$1048576,MATCH(All!$A658,Winter!$A:$A,FALSE),MATCH(All!Q$1,Winter!$1:$1,FALSE))),"")</f>
        <v>2A</v>
      </c>
      <c r="R658" t="str">
        <f>IFERROR(IF(INDEX(Winter!$1:$1048576,MATCH(All!$A658,Winter!$A:$A,FALSE),MATCH(All!R$1,Winter!$1:$1,FALSE))="","",INDEX(Winter!$1:$1048576,MATCH(All!$A658,Winter!$A:$A,FALSE),MATCH(All!R$1,Winter!$1:$1,FALSE))),"")</f>
        <v>1A</v>
      </c>
      <c r="S658" t="str">
        <f>IFERROR(IF(INDEX(Winter!$1:$1048576,MATCH(All!$A658,Winter!$A:$A,FALSE),MATCH(All!S$1,Winter!$1:$1,FALSE))="","",INDEX(Winter!$1:$1048576,MATCH(All!$A658,Winter!$A:$A,FALSE),MATCH(All!S$1,Winter!$1:$1,FALSE))),"")</f>
        <v>1A</v>
      </c>
      <c r="T658" t="str">
        <f>IFERROR(IF(INDEX(Winter!$1:$1048576,MATCH(All!$A658,Winter!$A:$A,FALSE),MATCH(All!T$1,Winter!$1:$1,FALSE))="","",INDEX(Winter!$1:$1048576,MATCH(All!$A658,Winter!$A:$A,FALSE),MATCH(All!T$1,Winter!$1:$1,FALSE))),"")</f>
        <v/>
      </c>
      <c r="U658" t="str">
        <f>IFERROR(IF(INDEX(Winter!$1:$1048576,MATCH(All!$A658,Winter!$A:$A,FALSE),MATCH(All!U$1,Winter!$1:$1,FALSE))="","",INDEX(Winter!$1:$1048576,MATCH(All!$A658,Winter!$A:$A,FALSE),MATCH(All!U$1,Winter!$1:$1,FALSE))),"")</f>
        <v>1A</v>
      </c>
      <c r="W658">
        <f>IFERROR(IF(INDEX(Spring!$1:$1048576,MATCH(All!$A658,Spring!$A:$A,FALSE),MATCH(All!W$1,Spring!$1:$1,FALSE))="","",INDEX(Spring!$1:$1048576,MATCH(All!$A658,Spring!$A:$A,FALSE),MATCH(All!W$1,Spring!$1:$1,FALSE))),"")</f>
        <v>492</v>
      </c>
      <c r="X658" t="str">
        <f>IFERROR(IF(INDEX(Spring!$1:$1048576,MATCH(All!$A658,Spring!$A:$A,FALSE),MATCH(All!X$1,Spring!$1:$1,FALSE))="","",INDEX(Spring!$1:$1048576,MATCH(All!$A658,Spring!$A:$A,FALSE),MATCH(All!X$1,Spring!$1:$1,FALSE))),"")</f>
        <v>2A</v>
      </c>
      <c r="Y658" t="str">
        <f>IFERROR(IF(INDEX(Spring!$1:$1048576,MATCH(All!$A658,Spring!$A:$A,FALSE),MATCH(All!Y$1,Spring!$1:$1,FALSE))="","",INDEX(Spring!$1:$1048576,MATCH(All!$A658,Spring!$A:$A,FALSE),MATCH(All!Y$1,Spring!$1:$1,FALSE))),"")</f>
        <v>2A</v>
      </c>
      <c r="Z658" t="str">
        <f>IFERROR(IF(INDEX(Spring!$1:$1048576,MATCH(All!$A658,Spring!$A:$A,FALSE),MATCH(All!Z$1,Spring!$1:$1,FALSE))="","",INDEX(Spring!$1:$1048576,MATCH(All!$A658,Spring!$A:$A,FALSE),MATCH(All!Z$1,Spring!$1:$1,FALSE))),"")</f>
        <v>1A</v>
      </c>
      <c r="AA658" t="str">
        <f>IFERROR(IF(INDEX(Spring!$1:$1048576,MATCH(All!$A658,Spring!$A:$A,FALSE),MATCH(All!AA$1,Spring!$1:$1,FALSE))="","",INDEX(Spring!$1:$1048576,MATCH(All!$A658,Spring!$A:$A,FALSE),MATCH(All!AA$1,Spring!$1:$1,FALSE))),"")</f>
        <v>1A</v>
      </c>
      <c r="AB658" t="str">
        <f>IFERROR(IF(INDEX(Spring!$1:$1048576,MATCH(All!$A658,Spring!$A:$A,FALSE),MATCH(All!AB$1,Spring!$1:$1,FALSE))="","",INDEX(Spring!$1:$1048576,MATCH(All!$A658,Spring!$A:$A,FALSE),MATCH(All!AB$1,Spring!$1:$1,FALSE))),"")</f>
        <v>2A</v>
      </c>
      <c r="AC658" t="str">
        <f>IFERROR(IF(INDEX(Spring!$1:$1048576,MATCH(All!$A658,Spring!$A:$A,FALSE),MATCH(All!AC$1,Spring!$1:$1,FALSE))="","",INDEX(Spring!$1:$1048576,MATCH(All!$A658,Spring!$A:$A,FALSE),MATCH(All!AC$1,Spring!$1:$1,FALSE))),"")</f>
        <v>2A</v>
      </c>
      <c r="AD658" t="str">
        <f>IFERROR(VLOOKUP(A658,'Flag Football'!A:A,1,FALSE),"")</f>
        <v/>
      </c>
      <c r="AE658" t="str">
        <f t="shared" si="10"/>
        <v/>
      </c>
    </row>
    <row r="659" spans="1:31" ht="15.75" thickBot="1" x14ac:dyDescent="0.3">
      <c r="A659" s="18" t="s">
        <v>763</v>
      </c>
      <c r="B659" s="38">
        <f>IFERROR(VLOOKUP(A659,'Public v Private'!A:G,3,FALSE),"")</f>
        <v>0</v>
      </c>
      <c r="C659" s="38">
        <f>IFERROR(VLOOKUP(A659,'Public v Private'!A:G,4,FALSE),"")</f>
        <v>0</v>
      </c>
      <c r="D659" s="38">
        <f>IFERROR(VLOOKUP(A659,'Public v Private'!A:G,5,FALSE),"")</f>
        <v>0</v>
      </c>
      <c r="E659" s="38"/>
      <c r="F659" s="40">
        <f>IFERROR(INDEX(Fall!$1:$1048576,MATCH(All!$A659,Fall!$A:$A,FALSE),MATCH(All!F$1,Fall!$1:$1,FALSE)),"N/A")</f>
        <v>288</v>
      </c>
      <c r="G659" t="str">
        <f>IFERROR(IF(INDEX(Fall!$1:$1048576,MATCH(All!$A659,Fall!$A:$A,FALSE),MATCH(All!G$1,Fall!$1:$1,FALSE))="","",INDEX(Fall!$1:$1048576,MATCH(All!$A659,Fall!$A:$A,FALSE),MATCH(All!G$1,Fall!$1:$1,FALSE))),"")</f>
        <v>1A</v>
      </c>
      <c r="H659" t="str">
        <f>IFERROR(IF(INDEX(Fall!$1:$1048576,MATCH(All!$A659,Fall!$A:$A,FALSE),MATCH(All!H$1,Fall!$1:$1,FALSE))="","",INDEX(Fall!$1:$1048576,MATCH(All!$A659,Fall!$A:$A,FALSE),MATCH(All!H$1,Fall!$1:$1,FALSE))),"")</f>
        <v>1A</v>
      </c>
      <c r="I659" t="str">
        <f>IFERROR(IF(INDEX(Fall!$1:$1048576,MATCH(All!$A659,Fall!$A:$A,FALSE),MATCH(All!I$1,Fall!$1:$1,FALSE))="","",INDEX(Fall!$1:$1048576,MATCH(All!$A659,Fall!$A:$A,FALSE),MATCH(All!I$1,Fall!$1:$1,FALSE))),"")</f>
        <v>1A</v>
      </c>
      <c r="J659" t="str">
        <f>IFERROR(IF(INDEX(Fall!$1:$1048576,MATCH(All!$A659,Fall!$A:$A,FALSE),MATCH(All!J$1,Fall!$1:$1,FALSE))="","",INDEX(Fall!$1:$1048576,MATCH(All!$A659,Fall!$A:$A,FALSE),MATCH(All!J$1,Fall!$1:$1,FALSE))),"")</f>
        <v>1A</v>
      </c>
      <c r="K659" t="str">
        <f>IFERROR(IF(INDEX(Fall!$1:$1048576,MATCH(All!$A659,Fall!$A:$A,FALSE),MATCH(All!K$1,Fall!$1:$1,FALSE))="","",INDEX(Fall!$1:$1048576,MATCH(All!$A659,Fall!$A:$A,FALSE),MATCH(All!K$1,Fall!$1:$1,FALSE))),"")</f>
        <v/>
      </c>
      <c r="L659" t="str">
        <f>IFERROR(IF(INDEX(Fall!$1:$1048576,MATCH(All!$A659,Fall!$A:$A,FALSE),MATCH(All!L$1,Fall!$1:$1,FALSE))="","",INDEX(Fall!$1:$1048576,MATCH(All!$A659,Fall!$A:$A,FALSE),MATCH(All!L$1,Fall!$1:$1,FALSE))),"")</f>
        <v/>
      </c>
      <c r="M659" t="str">
        <f>IFERROR(IF(INDEX(Fall!$1:$1048576,MATCH(All!$A659,Fall!$A:$A,FALSE),MATCH(All!M$1,Fall!$1:$1,FALSE))="","",INDEX(Fall!$1:$1048576,MATCH(All!$A659,Fall!$A:$A,FALSE),MATCH(All!M$1,Fall!$1:$1,FALSE))),"")</f>
        <v>1A</v>
      </c>
      <c r="O659">
        <f>IFERROR(IF(INDEX(Winter!$1:$1048576,MATCH(All!$A659,Winter!$A:$A,FALSE),MATCH(All!O$1,Winter!$1:$1,FALSE))="","",INDEX(Winter!$1:$1048576,MATCH(All!$A659,Winter!$A:$A,FALSE),MATCH(All!O$1,Winter!$1:$1,FALSE))),"")</f>
        <v>288</v>
      </c>
      <c r="P659" t="str">
        <f>IFERROR(IF(INDEX(Winter!$1:$1048576,MATCH(All!$A659,Winter!$A:$A,FALSE),MATCH(All!P$1,Winter!$1:$1,FALSE))="","",INDEX(Winter!$1:$1048576,MATCH(All!$A659,Winter!$A:$A,FALSE),MATCH(All!P$1,Winter!$1:$1,FALSE))),"")</f>
        <v>1A</v>
      </c>
      <c r="Q659" t="str">
        <f>IFERROR(IF(INDEX(Winter!$1:$1048576,MATCH(All!$A659,Winter!$A:$A,FALSE),MATCH(All!Q$1,Winter!$1:$1,FALSE))="","",INDEX(Winter!$1:$1048576,MATCH(All!$A659,Winter!$A:$A,FALSE),MATCH(All!Q$1,Winter!$1:$1,FALSE))),"")</f>
        <v>1A</v>
      </c>
      <c r="R659" t="str">
        <f>IFERROR(IF(INDEX(Winter!$1:$1048576,MATCH(All!$A659,Winter!$A:$A,FALSE),MATCH(All!R$1,Winter!$1:$1,FALSE))="","",INDEX(Winter!$1:$1048576,MATCH(All!$A659,Winter!$A:$A,FALSE),MATCH(All!R$1,Winter!$1:$1,FALSE))),"")</f>
        <v/>
      </c>
      <c r="S659" t="str">
        <f>IFERROR(IF(INDEX(Winter!$1:$1048576,MATCH(All!$A659,Winter!$A:$A,FALSE),MATCH(All!S$1,Winter!$1:$1,FALSE))="","",INDEX(Winter!$1:$1048576,MATCH(All!$A659,Winter!$A:$A,FALSE),MATCH(All!S$1,Winter!$1:$1,FALSE))),"")</f>
        <v/>
      </c>
      <c r="T659" t="str">
        <f>IFERROR(IF(INDEX(Winter!$1:$1048576,MATCH(All!$A659,Winter!$A:$A,FALSE),MATCH(All!T$1,Winter!$1:$1,FALSE))="","",INDEX(Winter!$1:$1048576,MATCH(All!$A659,Winter!$A:$A,FALSE),MATCH(All!T$1,Winter!$1:$1,FALSE))),"")</f>
        <v>1A</v>
      </c>
      <c r="U659" t="str">
        <f>IFERROR(IF(INDEX(Winter!$1:$1048576,MATCH(All!$A659,Winter!$A:$A,FALSE),MATCH(All!U$1,Winter!$1:$1,FALSE))="","",INDEX(Winter!$1:$1048576,MATCH(All!$A659,Winter!$A:$A,FALSE),MATCH(All!U$1,Winter!$1:$1,FALSE))),"")</f>
        <v/>
      </c>
      <c r="W659">
        <f>IFERROR(IF(INDEX(Spring!$1:$1048576,MATCH(All!$A659,Spring!$A:$A,FALSE),MATCH(All!W$1,Spring!$1:$1,FALSE))="","",INDEX(Spring!$1:$1048576,MATCH(All!$A659,Spring!$A:$A,FALSE),MATCH(All!W$1,Spring!$1:$1,FALSE))),"")</f>
        <v>288</v>
      </c>
      <c r="X659" t="str">
        <f>IFERROR(IF(INDEX(Spring!$1:$1048576,MATCH(All!$A659,Spring!$A:$A,FALSE),MATCH(All!X$1,Spring!$1:$1,FALSE))="","",INDEX(Spring!$1:$1048576,MATCH(All!$A659,Spring!$A:$A,FALSE),MATCH(All!X$1,Spring!$1:$1,FALSE))),"")</f>
        <v>1A</v>
      </c>
      <c r="Y659" t="str">
        <f>IFERROR(IF(INDEX(Spring!$1:$1048576,MATCH(All!$A659,Spring!$A:$A,FALSE),MATCH(All!Y$1,Spring!$1:$1,FALSE))="","",INDEX(Spring!$1:$1048576,MATCH(All!$A659,Spring!$A:$A,FALSE),MATCH(All!Y$1,Spring!$1:$1,FALSE))),"")</f>
        <v>1A</v>
      </c>
      <c r="Z659" t="str">
        <f>IFERROR(IF(INDEX(Spring!$1:$1048576,MATCH(All!$A659,Spring!$A:$A,FALSE),MATCH(All!Z$1,Spring!$1:$1,FALSE))="","",INDEX(Spring!$1:$1048576,MATCH(All!$A659,Spring!$A:$A,FALSE),MATCH(All!Z$1,Spring!$1:$1,FALSE))),"")</f>
        <v/>
      </c>
      <c r="AA659" t="str">
        <f>IFERROR(IF(INDEX(Spring!$1:$1048576,MATCH(All!$A659,Spring!$A:$A,FALSE),MATCH(All!AA$1,Spring!$1:$1,FALSE))="","",INDEX(Spring!$1:$1048576,MATCH(All!$A659,Spring!$A:$A,FALSE),MATCH(All!AA$1,Spring!$1:$1,FALSE))),"")</f>
        <v/>
      </c>
      <c r="AB659" t="str">
        <f>IFERROR(IF(INDEX(Spring!$1:$1048576,MATCH(All!$A659,Spring!$A:$A,FALSE),MATCH(All!AB$1,Spring!$1:$1,FALSE))="","",INDEX(Spring!$1:$1048576,MATCH(All!$A659,Spring!$A:$A,FALSE),MATCH(All!AB$1,Spring!$1:$1,FALSE))),"")</f>
        <v>1A</v>
      </c>
      <c r="AC659" t="str">
        <f>IFERROR(IF(INDEX(Spring!$1:$1048576,MATCH(All!$A659,Spring!$A:$A,FALSE),MATCH(All!AC$1,Spring!$1:$1,FALSE))="","",INDEX(Spring!$1:$1048576,MATCH(All!$A659,Spring!$A:$A,FALSE),MATCH(All!AC$1,Spring!$1:$1,FALSE))),"")</f>
        <v>1A</v>
      </c>
      <c r="AD659" t="str">
        <f>IFERROR(VLOOKUP(A659,'Flag Football'!A:A,1,FALSE),"")</f>
        <v/>
      </c>
      <c r="AE659" t="str">
        <f t="shared" si="10"/>
        <v/>
      </c>
    </row>
    <row r="660" spans="1:31" ht="15.75" thickBot="1" x14ac:dyDescent="0.3">
      <c r="A660" s="20" t="s">
        <v>764</v>
      </c>
      <c r="B660" s="38">
        <f>IFERROR(VLOOKUP(A660,'Public v Private'!A:G,3,FALSE),"")</f>
        <v>0</v>
      </c>
      <c r="C660" s="38">
        <f>IFERROR(VLOOKUP(A660,'Public v Private'!A:G,4,FALSE),"")</f>
        <v>0</v>
      </c>
      <c r="D660" s="38">
        <f>IFERROR(VLOOKUP(A660,'Public v Private'!A:G,5,FALSE),"")</f>
        <v>0</v>
      </c>
      <c r="E660" s="38"/>
      <c r="F660" s="40">
        <f>IFERROR(INDEX(Fall!$1:$1048576,MATCH(All!$A660,Fall!$A:$A,FALSE),MATCH(All!F$1,Fall!$1:$1,FALSE)),"N/A")</f>
        <v>691</v>
      </c>
      <c r="G660" t="str">
        <f>IFERROR(IF(INDEX(Fall!$1:$1048576,MATCH(All!$A660,Fall!$A:$A,FALSE),MATCH(All!G$1,Fall!$1:$1,FALSE))="","",INDEX(Fall!$1:$1048576,MATCH(All!$A660,Fall!$A:$A,FALSE),MATCH(All!G$1,Fall!$1:$1,FALSE))),"")</f>
        <v>2A</v>
      </c>
      <c r="H660" t="str">
        <f>IFERROR(IF(INDEX(Fall!$1:$1048576,MATCH(All!$A660,Fall!$A:$A,FALSE),MATCH(All!H$1,Fall!$1:$1,FALSE))="","",INDEX(Fall!$1:$1048576,MATCH(All!$A660,Fall!$A:$A,FALSE),MATCH(All!H$1,Fall!$1:$1,FALSE))),"")</f>
        <v>2A</v>
      </c>
      <c r="I660" t="str">
        <f>IFERROR(IF(INDEX(Fall!$1:$1048576,MATCH(All!$A660,Fall!$A:$A,FALSE),MATCH(All!I$1,Fall!$1:$1,FALSE))="","",INDEX(Fall!$1:$1048576,MATCH(All!$A660,Fall!$A:$A,FALSE),MATCH(All!I$1,Fall!$1:$1,FALSE))),"")</f>
        <v>2A</v>
      </c>
      <c r="J660" t="str">
        <f>IFERROR(IF(INDEX(Fall!$1:$1048576,MATCH(All!$A660,Fall!$A:$A,FALSE),MATCH(All!J$1,Fall!$1:$1,FALSE))="","",INDEX(Fall!$1:$1048576,MATCH(All!$A660,Fall!$A:$A,FALSE),MATCH(All!J$1,Fall!$1:$1,FALSE))),"")</f>
        <v>1A</v>
      </c>
      <c r="K660" t="str">
        <f>IFERROR(IF(INDEX(Fall!$1:$1048576,MATCH(All!$A660,Fall!$A:$A,FALSE),MATCH(All!K$1,Fall!$1:$1,FALSE))="","",INDEX(Fall!$1:$1048576,MATCH(All!$A660,Fall!$A:$A,FALSE),MATCH(All!K$1,Fall!$1:$1,FALSE))),"")</f>
        <v>1A</v>
      </c>
      <c r="L660" t="str">
        <f>IFERROR(IF(INDEX(Fall!$1:$1048576,MATCH(All!$A660,Fall!$A:$A,FALSE),MATCH(All!L$1,Fall!$1:$1,FALSE))="","",INDEX(Fall!$1:$1048576,MATCH(All!$A660,Fall!$A:$A,FALSE),MATCH(All!L$1,Fall!$1:$1,FALSE))),"")</f>
        <v>1A</v>
      </c>
      <c r="M660" t="str">
        <f>IFERROR(IF(INDEX(Fall!$1:$1048576,MATCH(All!$A660,Fall!$A:$A,FALSE),MATCH(All!M$1,Fall!$1:$1,FALSE))="","",INDEX(Fall!$1:$1048576,MATCH(All!$A660,Fall!$A:$A,FALSE),MATCH(All!M$1,Fall!$1:$1,FALSE))),"")</f>
        <v>2A</v>
      </c>
      <c r="O660">
        <f>IFERROR(IF(INDEX(Winter!$1:$1048576,MATCH(All!$A660,Winter!$A:$A,FALSE),MATCH(All!O$1,Winter!$1:$1,FALSE))="","",INDEX(Winter!$1:$1048576,MATCH(All!$A660,Winter!$A:$A,FALSE),MATCH(All!O$1,Winter!$1:$1,FALSE))),"")</f>
        <v>691</v>
      </c>
      <c r="P660" t="str">
        <f>IFERROR(IF(INDEX(Winter!$1:$1048576,MATCH(All!$A660,Winter!$A:$A,FALSE),MATCH(All!P$1,Winter!$1:$1,FALSE))="","",INDEX(Winter!$1:$1048576,MATCH(All!$A660,Winter!$A:$A,FALSE),MATCH(All!P$1,Winter!$1:$1,FALSE))),"")</f>
        <v>2A</v>
      </c>
      <c r="Q660" t="str">
        <f>IFERROR(IF(INDEX(Winter!$1:$1048576,MATCH(All!$A660,Winter!$A:$A,FALSE),MATCH(All!Q$1,Winter!$1:$1,FALSE))="","",INDEX(Winter!$1:$1048576,MATCH(All!$A660,Winter!$A:$A,FALSE),MATCH(All!Q$1,Winter!$1:$1,FALSE))),"")</f>
        <v>2A</v>
      </c>
      <c r="R660" t="str">
        <f>IFERROR(IF(INDEX(Winter!$1:$1048576,MATCH(All!$A660,Winter!$A:$A,FALSE),MATCH(All!R$1,Winter!$1:$1,FALSE))="","",INDEX(Winter!$1:$1048576,MATCH(All!$A660,Winter!$A:$A,FALSE),MATCH(All!R$1,Winter!$1:$1,FALSE))),"")</f>
        <v>1A</v>
      </c>
      <c r="S660" t="str">
        <f>IFERROR(IF(INDEX(Winter!$1:$1048576,MATCH(All!$A660,Winter!$A:$A,FALSE),MATCH(All!S$1,Winter!$1:$1,FALSE))="","",INDEX(Winter!$1:$1048576,MATCH(All!$A660,Winter!$A:$A,FALSE),MATCH(All!S$1,Winter!$1:$1,FALSE))),"")</f>
        <v/>
      </c>
      <c r="T660" t="str">
        <f>IFERROR(IF(INDEX(Winter!$1:$1048576,MATCH(All!$A660,Winter!$A:$A,FALSE),MATCH(All!T$1,Winter!$1:$1,FALSE))="","",INDEX(Winter!$1:$1048576,MATCH(All!$A660,Winter!$A:$A,FALSE),MATCH(All!T$1,Winter!$1:$1,FALSE))),"")</f>
        <v>2A</v>
      </c>
      <c r="U660" t="str">
        <f>IFERROR(IF(INDEX(Winter!$1:$1048576,MATCH(All!$A660,Winter!$A:$A,FALSE),MATCH(All!U$1,Winter!$1:$1,FALSE))="","",INDEX(Winter!$1:$1048576,MATCH(All!$A660,Winter!$A:$A,FALSE),MATCH(All!U$1,Winter!$1:$1,FALSE))),"")</f>
        <v>1A</v>
      </c>
      <c r="W660">
        <f>IFERROR(IF(INDEX(Spring!$1:$1048576,MATCH(All!$A660,Spring!$A:$A,FALSE),MATCH(All!W$1,Spring!$1:$1,FALSE))="","",INDEX(Spring!$1:$1048576,MATCH(All!$A660,Spring!$A:$A,FALSE),MATCH(All!W$1,Spring!$1:$1,FALSE))),"")</f>
        <v>691</v>
      </c>
      <c r="X660" t="str">
        <f>IFERROR(IF(INDEX(Spring!$1:$1048576,MATCH(All!$A660,Spring!$A:$A,FALSE),MATCH(All!X$1,Spring!$1:$1,FALSE))="","",INDEX(Spring!$1:$1048576,MATCH(All!$A660,Spring!$A:$A,FALSE),MATCH(All!X$1,Spring!$1:$1,FALSE))),"")</f>
        <v>2A</v>
      </c>
      <c r="Y660" t="str">
        <f>IFERROR(IF(INDEX(Spring!$1:$1048576,MATCH(All!$A660,Spring!$A:$A,FALSE),MATCH(All!Y$1,Spring!$1:$1,FALSE))="","",INDEX(Spring!$1:$1048576,MATCH(All!$A660,Spring!$A:$A,FALSE),MATCH(All!Y$1,Spring!$1:$1,FALSE))),"")</f>
        <v>2A</v>
      </c>
      <c r="Z660" t="str">
        <f>IFERROR(IF(INDEX(Spring!$1:$1048576,MATCH(All!$A660,Spring!$A:$A,FALSE),MATCH(All!Z$1,Spring!$1:$1,FALSE))="","",INDEX(Spring!$1:$1048576,MATCH(All!$A660,Spring!$A:$A,FALSE),MATCH(All!Z$1,Spring!$1:$1,FALSE))),"")</f>
        <v>1A</v>
      </c>
      <c r="AA660" t="str">
        <f>IFERROR(IF(INDEX(Spring!$1:$1048576,MATCH(All!$A660,Spring!$A:$A,FALSE),MATCH(All!AA$1,Spring!$1:$1,FALSE))="","",INDEX(Spring!$1:$1048576,MATCH(All!$A660,Spring!$A:$A,FALSE),MATCH(All!AA$1,Spring!$1:$1,FALSE))),"")</f>
        <v>1A</v>
      </c>
      <c r="AB660" t="str">
        <f>IFERROR(IF(INDEX(Spring!$1:$1048576,MATCH(All!$A660,Spring!$A:$A,FALSE),MATCH(All!AB$1,Spring!$1:$1,FALSE))="","",INDEX(Spring!$1:$1048576,MATCH(All!$A660,Spring!$A:$A,FALSE),MATCH(All!AB$1,Spring!$1:$1,FALSE))),"")</f>
        <v>2A</v>
      </c>
      <c r="AC660" t="str">
        <f>IFERROR(IF(INDEX(Spring!$1:$1048576,MATCH(All!$A660,Spring!$A:$A,FALSE),MATCH(All!AC$1,Spring!$1:$1,FALSE))="","",INDEX(Spring!$1:$1048576,MATCH(All!$A660,Spring!$A:$A,FALSE),MATCH(All!AC$1,Spring!$1:$1,FALSE))),"")</f>
        <v>2A</v>
      </c>
      <c r="AD660" t="str">
        <f>IFERROR(VLOOKUP(A660,'Flag Football'!A:A,1,FALSE),"")</f>
        <v/>
      </c>
      <c r="AE660" t="str">
        <f t="shared" si="10"/>
        <v/>
      </c>
    </row>
    <row r="661" spans="1:31" ht="15.75" thickBot="1" x14ac:dyDescent="0.3">
      <c r="A661" s="18" t="s">
        <v>967</v>
      </c>
      <c r="B661" s="38">
        <f>IFERROR(VLOOKUP(A661,'Public v Private'!A:G,3,FALSE),"")</f>
        <v>0</v>
      </c>
      <c r="C661" s="38">
        <f>IFERROR(VLOOKUP(A661,'Public v Private'!A:G,4,FALSE),"")</f>
        <v>0</v>
      </c>
      <c r="D661" s="38">
        <f>IFERROR(VLOOKUP(A661,'Public v Private'!A:G,5,FALSE),"")</f>
        <v>0</v>
      </c>
      <c r="E661" s="38"/>
      <c r="F661" s="40">
        <f>IFERROR(INDEX(Fall!$1:$1048576,MATCH(All!$A661,Fall!$A:$A,FALSE),MATCH(All!F$1,Fall!$1:$1,FALSE)),"N/A")</f>
        <v>126</v>
      </c>
      <c r="G661" t="str">
        <f>IFERROR(IF(INDEX(Fall!$1:$1048576,MATCH(All!$A661,Fall!$A:$A,FALSE),MATCH(All!G$1,Fall!$1:$1,FALSE))="","",INDEX(Fall!$1:$1048576,MATCH(All!$A661,Fall!$A:$A,FALSE),MATCH(All!G$1,Fall!$1:$1,FALSE))),"")</f>
        <v/>
      </c>
      <c r="H661" t="str">
        <f>IFERROR(IF(INDEX(Fall!$1:$1048576,MATCH(All!$A661,Fall!$A:$A,FALSE),MATCH(All!H$1,Fall!$1:$1,FALSE))="","",INDEX(Fall!$1:$1048576,MATCH(All!$A661,Fall!$A:$A,FALSE),MATCH(All!H$1,Fall!$1:$1,FALSE))),"")</f>
        <v/>
      </c>
      <c r="I661" t="str">
        <f>IFERROR(IF(INDEX(Fall!$1:$1048576,MATCH(All!$A661,Fall!$A:$A,FALSE),MATCH(All!I$1,Fall!$1:$1,FALSE))="","",INDEX(Fall!$1:$1048576,MATCH(All!$A661,Fall!$A:$A,FALSE),MATCH(All!I$1,Fall!$1:$1,FALSE))),"")</f>
        <v>1A</v>
      </c>
      <c r="J661" t="str">
        <f>IFERROR(IF(INDEX(Fall!$1:$1048576,MATCH(All!$A661,Fall!$A:$A,FALSE),MATCH(All!J$1,Fall!$1:$1,FALSE))="","",INDEX(Fall!$1:$1048576,MATCH(All!$A661,Fall!$A:$A,FALSE),MATCH(All!J$1,Fall!$1:$1,FALSE))),"")</f>
        <v>1A</v>
      </c>
      <c r="K661" t="str">
        <f>IFERROR(IF(INDEX(Fall!$1:$1048576,MATCH(All!$A661,Fall!$A:$A,FALSE),MATCH(All!K$1,Fall!$1:$1,FALSE))="","",INDEX(Fall!$1:$1048576,MATCH(All!$A661,Fall!$A:$A,FALSE),MATCH(All!K$1,Fall!$1:$1,FALSE))),"")</f>
        <v/>
      </c>
      <c r="L661" t="str">
        <f>IFERROR(IF(INDEX(Fall!$1:$1048576,MATCH(All!$A661,Fall!$A:$A,FALSE),MATCH(All!L$1,Fall!$1:$1,FALSE))="","",INDEX(Fall!$1:$1048576,MATCH(All!$A661,Fall!$A:$A,FALSE),MATCH(All!L$1,Fall!$1:$1,FALSE))),"")</f>
        <v/>
      </c>
      <c r="M661" t="str">
        <f>IFERROR(IF(INDEX(Fall!$1:$1048576,MATCH(All!$A661,Fall!$A:$A,FALSE),MATCH(All!M$1,Fall!$1:$1,FALSE))="","",INDEX(Fall!$1:$1048576,MATCH(All!$A661,Fall!$A:$A,FALSE),MATCH(All!M$1,Fall!$1:$1,FALSE))),"")</f>
        <v>1A</v>
      </c>
      <c r="O661">
        <f>IFERROR(IF(INDEX(Winter!$1:$1048576,MATCH(All!$A661,Winter!$A:$A,FALSE),MATCH(All!O$1,Winter!$1:$1,FALSE))="","",INDEX(Winter!$1:$1048576,MATCH(All!$A661,Winter!$A:$A,FALSE),MATCH(All!O$1,Winter!$1:$1,FALSE))),"")</f>
        <v>126</v>
      </c>
      <c r="P661" t="str">
        <f>IFERROR(IF(INDEX(Winter!$1:$1048576,MATCH(All!$A661,Winter!$A:$A,FALSE),MATCH(All!P$1,Winter!$1:$1,FALSE))="","",INDEX(Winter!$1:$1048576,MATCH(All!$A661,Winter!$A:$A,FALSE),MATCH(All!P$1,Winter!$1:$1,FALSE))),"")</f>
        <v>1A</v>
      </c>
      <c r="Q661" t="str">
        <f>IFERROR(IF(INDEX(Winter!$1:$1048576,MATCH(All!$A661,Winter!$A:$A,FALSE),MATCH(All!Q$1,Winter!$1:$1,FALSE))="","",INDEX(Winter!$1:$1048576,MATCH(All!$A661,Winter!$A:$A,FALSE),MATCH(All!Q$1,Winter!$1:$1,FALSE))),"")</f>
        <v>1A</v>
      </c>
      <c r="R661" t="str">
        <f>IFERROR(IF(INDEX(Winter!$1:$1048576,MATCH(All!$A661,Winter!$A:$A,FALSE),MATCH(All!R$1,Winter!$1:$1,FALSE))="","",INDEX(Winter!$1:$1048576,MATCH(All!$A661,Winter!$A:$A,FALSE),MATCH(All!R$1,Winter!$1:$1,FALSE))),"")</f>
        <v/>
      </c>
      <c r="S661" t="str">
        <f>IFERROR(IF(INDEX(Winter!$1:$1048576,MATCH(All!$A661,Winter!$A:$A,FALSE),MATCH(All!S$1,Winter!$1:$1,FALSE))="","",INDEX(Winter!$1:$1048576,MATCH(All!$A661,Winter!$A:$A,FALSE),MATCH(All!S$1,Winter!$1:$1,FALSE))),"")</f>
        <v/>
      </c>
      <c r="T661" t="str">
        <f>IFERROR(IF(INDEX(Winter!$1:$1048576,MATCH(All!$A661,Winter!$A:$A,FALSE),MATCH(All!T$1,Winter!$1:$1,FALSE))="","",INDEX(Winter!$1:$1048576,MATCH(All!$A661,Winter!$A:$A,FALSE),MATCH(All!T$1,Winter!$1:$1,FALSE))),"")</f>
        <v>1A</v>
      </c>
      <c r="U661" t="str">
        <f>IFERROR(IF(INDEX(Winter!$1:$1048576,MATCH(All!$A661,Winter!$A:$A,FALSE),MATCH(All!U$1,Winter!$1:$1,FALSE))="","",INDEX(Winter!$1:$1048576,MATCH(All!$A661,Winter!$A:$A,FALSE),MATCH(All!U$1,Winter!$1:$1,FALSE))),"")</f>
        <v/>
      </c>
      <c r="W661" t="str">
        <f>IFERROR(IF(INDEX(Spring!$1:$1048576,MATCH(All!$A661,Spring!$A:$A,FALSE),MATCH(All!W$1,Spring!$1:$1,FALSE))="","",INDEX(Spring!$1:$1048576,MATCH(All!$A661,Spring!$A:$A,FALSE),MATCH(All!W$1,Spring!$1:$1,FALSE))),"")</f>
        <v/>
      </c>
      <c r="X661" t="str">
        <f>IFERROR(IF(INDEX(Spring!$1:$1048576,MATCH(All!$A661,Spring!$A:$A,FALSE),MATCH(All!X$1,Spring!$1:$1,FALSE))="","",INDEX(Spring!$1:$1048576,MATCH(All!$A661,Spring!$A:$A,FALSE),MATCH(All!X$1,Spring!$1:$1,FALSE))),"")</f>
        <v/>
      </c>
      <c r="Y661" t="str">
        <f>IFERROR(IF(INDEX(Spring!$1:$1048576,MATCH(All!$A661,Spring!$A:$A,FALSE),MATCH(All!Y$1,Spring!$1:$1,FALSE))="","",INDEX(Spring!$1:$1048576,MATCH(All!$A661,Spring!$A:$A,FALSE),MATCH(All!Y$1,Spring!$1:$1,FALSE))),"")</f>
        <v/>
      </c>
      <c r="Z661" t="str">
        <f>IFERROR(IF(INDEX(Spring!$1:$1048576,MATCH(All!$A661,Spring!$A:$A,FALSE),MATCH(All!Z$1,Spring!$1:$1,FALSE))="","",INDEX(Spring!$1:$1048576,MATCH(All!$A661,Spring!$A:$A,FALSE),MATCH(All!Z$1,Spring!$1:$1,FALSE))),"")</f>
        <v/>
      </c>
      <c r="AA661" t="str">
        <f>IFERROR(IF(INDEX(Spring!$1:$1048576,MATCH(All!$A661,Spring!$A:$A,FALSE),MATCH(All!AA$1,Spring!$1:$1,FALSE))="","",INDEX(Spring!$1:$1048576,MATCH(All!$A661,Spring!$A:$A,FALSE),MATCH(All!AA$1,Spring!$1:$1,FALSE))),"")</f>
        <v/>
      </c>
      <c r="AB661" t="str">
        <f>IFERROR(IF(INDEX(Spring!$1:$1048576,MATCH(All!$A661,Spring!$A:$A,FALSE),MATCH(All!AB$1,Spring!$1:$1,FALSE))="","",INDEX(Spring!$1:$1048576,MATCH(All!$A661,Spring!$A:$A,FALSE),MATCH(All!AB$1,Spring!$1:$1,FALSE))),"")</f>
        <v/>
      </c>
      <c r="AC661" t="str">
        <f>IFERROR(IF(INDEX(Spring!$1:$1048576,MATCH(All!$A661,Spring!$A:$A,FALSE),MATCH(All!AC$1,Spring!$1:$1,FALSE))="","",INDEX(Spring!$1:$1048576,MATCH(All!$A661,Spring!$A:$A,FALSE),MATCH(All!AC$1,Spring!$1:$1,FALSE))),"")</f>
        <v/>
      </c>
      <c r="AD661" t="str">
        <f>IFERROR(VLOOKUP(A661,'Flag Football'!A:A,1,FALSE),"")</f>
        <v/>
      </c>
      <c r="AE661" t="str">
        <f t="shared" si="10"/>
        <v/>
      </c>
    </row>
    <row r="662" spans="1:31" ht="15.75" thickBot="1" x14ac:dyDescent="0.3">
      <c r="A662" s="20" t="s">
        <v>765</v>
      </c>
      <c r="B662" s="38">
        <f>IFERROR(VLOOKUP(A662,'Public v Private'!A:G,3,FALSE),"")</f>
        <v>0</v>
      </c>
      <c r="C662" s="38">
        <f>IFERROR(VLOOKUP(A662,'Public v Private'!A:G,4,FALSE),"")</f>
        <v>0</v>
      </c>
      <c r="D662" s="38">
        <f>IFERROR(VLOOKUP(A662,'Public v Private'!A:G,5,FALSE),"")</f>
        <v>0</v>
      </c>
      <c r="E662" s="38"/>
      <c r="F662" s="40">
        <f>IFERROR(INDEX(Fall!$1:$1048576,MATCH(All!$A662,Fall!$A:$A,FALSE),MATCH(All!F$1,Fall!$1:$1,FALSE)),"N/A")</f>
        <v>544</v>
      </c>
      <c r="G662" t="str">
        <f>IFERROR(IF(INDEX(Fall!$1:$1048576,MATCH(All!$A662,Fall!$A:$A,FALSE),MATCH(All!G$1,Fall!$1:$1,FALSE))="","",INDEX(Fall!$1:$1048576,MATCH(All!$A662,Fall!$A:$A,FALSE),MATCH(All!G$1,Fall!$1:$1,FALSE))),"")</f>
        <v>1A</v>
      </c>
      <c r="H662" t="str">
        <f>IFERROR(IF(INDEX(Fall!$1:$1048576,MATCH(All!$A662,Fall!$A:$A,FALSE),MATCH(All!H$1,Fall!$1:$1,FALSE))="","",INDEX(Fall!$1:$1048576,MATCH(All!$A662,Fall!$A:$A,FALSE),MATCH(All!H$1,Fall!$1:$1,FALSE))),"")</f>
        <v>1A</v>
      </c>
      <c r="I662" t="str">
        <f>IFERROR(IF(INDEX(Fall!$1:$1048576,MATCH(All!$A662,Fall!$A:$A,FALSE),MATCH(All!I$1,Fall!$1:$1,FALSE))="","",INDEX(Fall!$1:$1048576,MATCH(All!$A662,Fall!$A:$A,FALSE),MATCH(All!I$1,Fall!$1:$1,FALSE))),"")</f>
        <v>2A</v>
      </c>
      <c r="J662" t="str">
        <f>IFERROR(IF(INDEX(Fall!$1:$1048576,MATCH(All!$A662,Fall!$A:$A,FALSE),MATCH(All!J$1,Fall!$1:$1,FALSE))="","",INDEX(Fall!$1:$1048576,MATCH(All!$A662,Fall!$A:$A,FALSE),MATCH(All!J$1,Fall!$1:$1,FALSE))),"")</f>
        <v>1A</v>
      </c>
      <c r="K662" t="str">
        <f>IFERROR(IF(INDEX(Fall!$1:$1048576,MATCH(All!$A662,Fall!$A:$A,FALSE),MATCH(All!K$1,Fall!$1:$1,FALSE))="","",INDEX(Fall!$1:$1048576,MATCH(All!$A662,Fall!$A:$A,FALSE),MATCH(All!K$1,Fall!$1:$1,FALSE))),"")</f>
        <v>1A</v>
      </c>
      <c r="L662" t="str">
        <f>IFERROR(IF(INDEX(Fall!$1:$1048576,MATCH(All!$A662,Fall!$A:$A,FALSE),MATCH(All!L$1,Fall!$1:$1,FALSE))="","",INDEX(Fall!$1:$1048576,MATCH(All!$A662,Fall!$A:$A,FALSE),MATCH(All!L$1,Fall!$1:$1,FALSE))),"")</f>
        <v/>
      </c>
      <c r="M662" t="str">
        <f>IFERROR(IF(INDEX(Fall!$1:$1048576,MATCH(All!$A662,Fall!$A:$A,FALSE),MATCH(All!M$1,Fall!$1:$1,FALSE))="","",INDEX(Fall!$1:$1048576,MATCH(All!$A662,Fall!$A:$A,FALSE),MATCH(All!M$1,Fall!$1:$1,FALSE))),"")</f>
        <v>2A</v>
      </c>
      <c r="O662">
        <f>IFERROR(IF(INDEX(Winter!$1:$1048576,MATCH(All!$A662,Winter!$A:$A,FALSE),MATCH(All!O$1,Winter!$1:$1,FALSE))="","",INDEX(Winter!$1:$1048576,MATCH(All!$A662,Winter!$A:$A,FALSE),MATCH(All!O$1,Winter!$1:$1,FALSE))),"")</f>
        <v>544</v>
      </c>
      <c r="P662" t="str">
        <f>IFERROR(IF(INDEX(Winter!$1:$1048576,MATCH(All!$A662,Winter!$A:$A,FALSE),MATCH(All!P$1,Winter!$1:$1,FALSE))="","",INDEX(Winter!$1:$1048576,MATCH(All!$A662,Winter!$A:$A,FALSE),MATCH(All!P$1,Winter!$1:$1,FALSE))),"")</f>
        <v>2A</v>
      </c>
      <c r="Q662" t="str">
        <f>IFERROR(IF(INDEX(Winter!$1:$1048576,MATCH(All!$A662,Winter!$A:$A,FALSE),MATCH(All!Q$1,Winter!$1:$1,FALSE))="","",INDEX(Winter!$1:$1048576,MATCH(All!$A662,Winter!$A:$A,FALSE),MATCH(All!Q$1,Winter!$1:$1,FALSE))),"")</f>
        <v>2A</v>
      </c>
      <c r="R662" t="str">
        <f>IFERROR(IF(INDEX(Winter!$1:$1048576,MATCH(All!$A662,Winter!$A:$A,FALSE),MATCH(All!R$1,Winter!$1:$1,FALSE))="","",INDEX(Winter!$1:$1048576,MATCH(All!$A662,Winter!$A:$A,FALSE),MATCH(All!R$1,Winter!$1:$1,FALSE))),"")</f>
        <v>1A</v>
      </c>
      <c r="S662" t="str">
        <f>IFERROR(IF(INDEX(Winter!$1:$1048576,MATCH(All!$A662,Winter!$A:$A,FALSE),MATCH(All!S$1,Winter!$1:$1,FALSE))="","",INDEX(Winter!$1:$1048576,MATCH(All!$A662,Winter!$A:$A,FALSE),MATCH(All!S$1,Winter!$1:$1,FALSE))),"")</f>
        <v/>
      </c>
      <c r="T662" t="str">
        <f>IFERROR(IF(INDEX(Winter!$1:$1048576,MATCH(All!$A662,Winter!$A:$A,FALSE),MATCH(All!T$1,Winter!$1:$1,FALSE))="","",INDEX(Winter!$1:$1048576,MATCH(All!$A662,Winter!$A:$A,FALSE),MATCH(All!T$1,Winter!$1:$1,FALSE))),"")</f>
        <v>2A</v>
      </c>
      <c r="U662" t="str">
        <f>IFERROR(IF(INDEX(Winter!$1:$1048576,MATCH(All!$A662,Winter!$A:$A,FALSE),MATCH(All!U$1,Winter!$1:$1,FALSE))="","",INDEX(Winter!$1:$1048576,MATCH(All!$A662,Winter!$A:$A,FALSE),MATCH(All!U$1,Winter!$1:$1,FALSE))),"")</f>
        <v>1A</v>
      </c>
      <c r="W662">
        <f>IFERROR(IF(INDEX(Spring!$1:$1048576,MATCH(All!$A662,Spring!$A:$A,FALSE),MATCH(All!W$1,Spring!$1:$1,FALSE))="","",INDEX(Spring!$1:$1048576,MATCH(All!$A662,Spring!$A:$A,FALSE),MATCH(All!W$1,Spring!$1:$1,FALSE))),"")</f>
        <v>544</v>
      </c>
      <c r="X662" t="str">
        <f>IFERROR(IF(INDEX(Spring!$1:$1048576,MATCH(All!$A662,Spring!$A:$A,FALSE),MATCH(All!X$1,Spring!$1:$1,FALSE))="","",INDEX(Spring!$1:$1048576,MATCH(All!$A662,Spring!$A:$A,FALSE),MATCH(All!X$1,Spring!$1:$1,FALSE))),"")</f>
        <v>2A</v>
      </c>
      <c r="Y662" t="str">
        <f>IFERROR(IF(INDEX(Spring!$1:$1048576,MATCH(All!$A662,Spring!$A:$A,FALSE),MATCH(All!Y$1,Spring!$1:$1,FALSE))="","",INDEX(Spring!$1:$1048576,MATCH(All!$A662,Spring!$A:$A,FALSE),MATCH(All!Y$1,Spring!$1:$1,FALSE))),"")</f>
        <v>2A</v>
      </c>
      <c r="Z662" t="str">
        <f>IFERROR(IF(INDEX(Spring!$1:$1048576,MATCH(All!$A662,Spring!$A:$A,FALSE),MATCH(All!Z$1,Spring!$1:$1,FALSE))="","",INDEX(Spring!$1:$1048576,MATCH(All!$A662,Spring!$A:$A,FALSE),MATCH(All!Z$1,Spring!$1:$1,FALSE))),"")</f>
        <v>1A</v>
      </c>
      <c r="AA662" t="str">
        <f>IFERROR(IF(INDEX(Spring!$1:$1048576,MATCH(All!$A662,Spring!$A:$A,FALSE),MATCH(All!AA$1,Spring!$1:$1,FALSE))="","",INDEX(Spring!$1:$1048576,MATCH(All!$A662,Spring!$A:$A,FALSE),MATCH(All!AA$1,Spring!$1:$1,FALSE))),"")</f>
        <v/>
      </c>
      <c r="AB662" t="str">
        <f>IFERROR(IF(INDEX(Spring!$1:$1048576,MATCH(All!$A662,Spring!$A:$A,FALSE),MATCH(All!AB$1,Spring!$1:$1,FALSE))="","",INDEX(Spring!$1:$1048576,MATCH(All!$A662,Spring!$A:$A,FALSE),MATCH(All!AB$1,Spring!$1:$1,FALSE))),"")</f>
        <v>2A</v>
      </c>
      <c r="AC662" t="str">
        <f>IFERROR(IF(INDEX(Spring!$1:$1048576,MATCH(All!$A662,Spring!$A:$A,FALSE),MATCH(All!AC$1,Spring!$1:$1,FALSE))="","",INDEX(Spring!$1:$1048576,MATCH(All!$A662,Spring!$A:$A,FALSE),MATCH(All!AC$1,Spring!$1:$1,FALSE))),"")</f>
        <v>2A</v>
      </c>
      <c r="AD662" t="str">
        <f>IFERROR(VLOOKUP(A662,'Flag Football'!A:A,1,FALSE),"")</f>
        <v/>
      </c>
      <c r="AE662" t="str">
        <f t="shared" si="10"/>
        <v/>
      </c>
    </row>
    <row r="663" spans="1:31" ht="15.75" thickBot="1" x14ac:dyDescent="0.3">
      <c r="A663" s="18" t="s">
        <v>766</v>
      </c>
      <c r="B663" s="38">
        <f>IFERROR(VLOOKUP(A663,'Public v Private'!A:G,3,FALSE),"")</f>
        <v>0</v>
      </c>
      <c r="C663" s="38">
        <f>IFERROR(VLOOKUP(A663,'Public v Private'!A:G,4,FALSE),"")</f>
        <v>0</v>
      </c>
      <c r="D663" s="38">
        <f>IFERROR(VLOOKUP(A663,'Public v Private'!A:G,5,FALSE),"")</f>
        <v>0</v>
      </c>
      <c r="E663" s="38"/>
      <c r="F663" s="40">
        <f>IFERROR(INDEX(Fall!$1:$1048576,MATCH(All!$A663,Fall!$A:$A,FALSE),MATCH(All!F$1,Fall!$1:$1,FALSE)),"N/A")</f>
        <v>68</v>
      </c>
      <c r="G663" t="str">
        <f>IFERROR(IF(INDEX(Fall!$1:$1048576,MATCH(All!$A663,Fall!$A:$A,FALSE),MATCH(All!G$1,Fall!$1:$1,FALSE))="","",INDEX(Fall!$1:$1048576,MATCH(All!$A663,Fall!$A:$A,FALSE),MATCH(All!G$1,Fall!$1:$1,FALSE))),"")</f>
        <v/>
      </c>
      <c r="H663" t="str">
        <f>IFERROR(IF(INDEX(Fall!$1:$1048576,MATCH(All!$A663,Fall!$A:$A,FALSE),MATCH(All!H$1,Fall!$1:$1,FALSE))="","",INDEX(Fall!$1:$1048576,MATCH(All!$A663,Fall!$A:$A,FALSE),MATCH(All!H$1,Fall!$1:$1,FALSE))),"")</f>
        <v/>
      </c>
      <c r="I663" t="str">
        <f>IFERROR(IF(INDEX(Fall!$1:$1048576,MATCH(All!$A663,Fall!$A:$A,FALSE),MATCH(All!I$1,Fall!$1:$1,FALSE))="","",INDEX(Fall!$1:$1048576,MATCH(All!$A663,Fall!$A:$A,FALSE),MATCH(All!I$1,Fall!$1:$1,FALSE))),"")</f>
        <v/>
      </c>
      <c r="J663" t="str">
        <f>IFERROR(IF(INDEX(Fall!$1:$1048576,MATCH(All!$A663,Fall!$A:$A,FALSE),MATCH(All!J$1,Fall!$1:$1,FALSE))="","",INDEX(Fall!$1:$1048576,MATCH(All!$A663,Fall!$A:$A,FALSE),MATCH(All!J$1,Fall!$1:$1,FALSE))),"")</f>
        <v/>
      </c>
      <c r="K663" t="str">
        <f>IFERROR(IF(INDEX(Fall!$1:$1048576,MATCH(All!$A663,Fall!$A:$A,FALSE),MATCH(All!K$1,Fall!$1:$1,FALSE))="","",INDEX(Fall!$1:$1048576,MATCH(All!$A663,Fall!$A:$A,FALSE),MATCH(All!K$1,Fall!$1:$1,FALSE))),"")</f>
        <v/>
      </c>
      <c r="L663" t="str">
        <f>IFERROR(IF(INDEX(Fall!$1:$1048576,MATCH(All!$A663,Fall!$A:$A,FALSE),MATCH(All!L$1,Fall!$1:$1,FALSE))="","",INDEX(Fall!$1:$1048576,MATCH(All!$A663,Fall!$A:$A,FALSE),MATCH(All!L$1,Fall!$1:$1,FALSE))),"")</f>
        <v/>
      </c>
      <c r="M663" t="str">
        <f>IFERROR(IF(INDEX(Fall!$1:$1048576,MATCH(All!$A663,Fall!$A:$A,FALSE),MATCH(All!M$1,Fall!$1:$1,FALSE))="","",INDEX(Fall!$1:$1048576,MATCH(All!$A663,Fall!$A:$A,FALSE),MATCH(All!M$1,Fall!$1:$1,FALSE))),"")</f>
        <v>1A</v>
      </c>
      <c r="O663">
        <f>IFERROR(IF(INDEX(Winter!$1:$1048576,MATCH(All!$A663,Winter!$A:$A,FALSE),MATCH(All!O$1,Winter!$1:$1,FALSE))="","",INDEX(Winter!$1:$1048576,MATCH(All!$A663,Winter!$A:$A,FALSE),MATCH(All!O$1,Winter!$1:$1,FALSE))),"")</f>
        <v>68</v>
      </c>
      <c r="P663" t="str">
        <f>IFERROR(IF(INDEX(Winter!$1:$1048576,MATCH(All!$A663,Winter!$A:$A,FALSE),MATCH(All!P$1,Winter!$1:$1,FALSE))="","",INDEX(Winter!$1:$1048576,MATCH(All!$A663,Winter!$A:$A,FALSE),MATCH(All!P$1,Winter!$1:$1,FALSE))),"")</f>
        <v>1A</v>
      </c>
      <c r="Q663" t="str">
        <f>IFERROR(IF(INDEX(Winter!$1:$1048576,MATCH(All!$A663,Winter!$A:$A,FALSE),MATCH(All!Q$1,Winter!$1:$1,FALSE))="","",INDEX(Winter!$1:$1048576,MATCH(All!$A663,Winter!$A:$A,FALSE),MATCH(All!Q$1,Winter!$1:$1,FALSE))),"")</f>
        <v/>
      </c>
      <c r="R663" t="str">
        <f>IFERROR(IF(INDEX(Winter!$1:$1048576,MATCH(All!$A663,Winter!$A:$A,FALSE),MATCH(All!R$1,Winter!$1:$1,FALSE))="","",INDEX(Winter!$1:$1048576,MATCH(All!$A663,Winter!$A:$A,FALSE),MATCH(All!R$1,Winter!$1:$1,FALSE))),"")</f>
        <v/>
      </c>
      <c r="S663" t="str">
        <f>IFERROR(IF(INDEX(Winter!$1:$1048576,MATCH(All!$A663,Winter!$A:$A,FALSE),MATCH(All!S$1,Winter!$1:$1,FALSE))="","",INDEX(Winter!$1:$1048576,MATCH(All!$A663,Winter!$A:$A,FALSE),MATCH(All!S$1,Winter!$1:$1,FALSE))),"")</f>
        <v/>
      </c>
      <c r="T663" t="str">
        <f>IFERROR(IF(INDEX(Winter!$1:$1048576,MATCH(All!$A663,Winter!$A:$A,FALSE),MATCH(All!T$1,Winter!$1:$1,FALSE))="","",INDEX(Winter!$1:$1048576,MATCH(All!$A663,Winter!$A:$A,FALSE),MATCH(All!T$1,Winter!$1:$1,FALSE))),"")</f>
        <v>1A</v>
      </c>
      <c r="U663" t="str">
        <f>IFERROR(IF(INDEX(Winter!$1:$1048576,MATCH(All!$A663,Winter!$A:$A,FALSE),MATCH(All!U$1,Winter!$1:$1,FALSE))="","",INDEX(Winter!$1:$1048576,MATCH(All!$A663,Winter!$A:$A,FALSE),MATCH(All!U$1,Winter!$1:$1,FALSE))),"")</f>
        <v/>
      </c>
      <c r="W663">
        <f>IFERROR(IF(INDEX(Spring!$1:$1048576,MATCH(All!$A663,Spring!$A:$A,FALSE),MATCH(All!W$1,Spring!$1:$1,FALSE))="","",INDEX(Spring!$1:$1048576,MATCH(All!$A663,Spring!$A:$A,FALSE),MATCH(All!W$1,Spring!$1:$1,FALSE))),"")</f>
        <v>68</v>
      </c>
      <c r="X663" t="str">
        <f>IFERROR(IF(INDEX(Spring!$1:$1048576,MATCH(All!$A663,Spring!$A:$A,FALSE),MATCH(All!X$1,Spring!$1:$1,FALSE))="","",INDEX(Spring!$1:$1048576,MATCH(All!$A663,Spring!$A:$A,FALSE),MATCH(All!X$1,Spring!$1:$1,FALSE))),"")</f>
        <v/>
      </c>
      <c r="Y663" t="str">
        <f>IFERROR(IF(INDEX(Spring!$1:$1048576,MATCH(All!$A663,Spring!$A:$A,FALSE),MATCH(All!Y$1,Spring!$1:$1,FALSE))="","",INDEX(Spring!$1:$1048576,MATCH(All!$A663,Spring!$A:$A,FALSE),MATCH(All!Y$1,Spring!$1:$1,FALSE))),"")</f>
        <v>1A</v>
      </c>
      <c r="Z663" t="str">
        <f>IFERROR(IF(INDEX(Spring!$1:$1048576,MATCH(All!$A663,Spring!$A:$A,FALSE),MATCH(All!Z$1,Spring!$1:$1,FALSE))="","",INDEX(Spring!$1:$1048576,MATCH(All!$A663,Spring!$A:$A,FALSE),MATCH(All!Z$1,Spring!$1:$1,FALSE))),"")</f>
        <v/>
      </c>
      <c r="AA663" t="str">
        <f>IFERROR(IF(INDEX(Spring!$1:$1048576,MATCH(All!$A663,Spring!$A:$A,FALSE),MATCH(All!AA$1,Spring!$1:$1,FALSE))="","",INDEX(Spring!$1:$1048576,MATCH(All!$A663,Spring!$A:$A,FALSE),MATCH(All!AA$1,Spring!$1:$1,FALSE))),"")</f>
        <v/>
      </c>
      <c r="AB663" t="str">
        <f>IFERROR(IF(INDEX(Spring!$1:$1048576,MATCH(All!$A663,Spring!$A:$A,FALSE),MATCH(All!AB$1,Spring!$1:$1,FALSE))="","",INDEX(Spring!$1:$1048576,MATCH(All!$A663,Spring!$A:$A,FALSE),MATCH(All!AB$1,Spring!$1:$1,FALSE))),"")</f>
        <v/>
      </c>
      <c r="AC663" t="str">
        <f>IFERROR(IF(INDEX(Spring!$1:$1048576,MATCH(All!$A663,Spring!$A:$A,FALSE),MATCH(All!AC$1,Spring!$1:$1,FALSE))="","",INDEX(Spring!$1:$1048576,MATCH(All!$A663,Spring!$A:$A,FALSE),MATCH(All!AC$1,Spring!$1:$1,FALSE))),"")</f>
        <v/>
      </c>
      <c r="AD663" t="str">
        <f>IFERROR(VLOOKUP(A663,'Flag Football'!A:A,1,FALSE),"")</f>
        <v/>
      </c>
      <c r="AE663" t="str">
        <f t="shared" si="10"/>
        <v/>
      </c>
    </row>
    <row r="664" spans="1:31" ht="15.75" thickBot="1" x14ac:dyDescent="0.3">
      <c r="A664" s="20" t="s">
        <v>767</v>
      </c>
      <c r="B664" s="38">
        <f>IFERROR(VLOOKUP(A664,'Public v Private'!A:G,3,FALSE),"")</f>
        <v>0</v>
      </c>
      <c r="C664" s="38">
        <f>IFERROR(VLOOKUP(A664,'Public v Private'!A:G,4,FALSE),"")</f>
        <v>0</v>
      </c>
      <c r="D664" s="38">
        <f>IFERROR(VLOOKUP(A664,'Public v Private'!A:G,5,FALSE),"")</f>
        <v>0</v>
      </c>
      <c r="E664" s="38"/>
      <c r="F664" s="40">
        <f>IFERROR(INDEX(Fall!$1:$1048576,MATCH(All!$A664,Fall!$A:$A,FALSE),MATCH(All!F$1,Fall!$1:$1,FALSE)),"N/A")</f>
        <v>2324</v>
      </c>
      <c r="G664" t="str">
        <f>IFERROR(IF(INDEX(Fall!$1:$1048576,MATCH(All!$A664,Fall!$A:$A,FALSE),MATCH(All!G$1,Fall!$1:$1,FALSE))="","",INDEX(Fall!$1:$1048576,MATCH(All!$A664,Fall!$A:$A,FALSE),MATCH(All!G$1,Fall!$1:$1,FALSE))),"")</f>
        <v>3A</v>
      </c>
      <c r="H664" t="str">
        <f>IFERROR(IF(INDEX(Fall!$1:$1048576,MATCH(All!$A664,Fall!$A:$A,FALSE),MATCH(All!H$1,Fall!$1:$1,FALSE))="","",INDEX(Fall!$1:$1048576,MATCH(All!$A664,Fall!$A:$A,FALSE),MATCH(All!H$1,Fall!$1:$1,FALSE))),"")</f>
        <v>3A</v>
      </c>
      <c r="I664" t="str">
        <f>IFERROR(IF(INDEX(Fall!$1:$1048576,MATCH(All!$A664,Fall!$A:$A,FALSE),MATCH(All!I$1,Fall!$1:$1,FALSE))="","",INDEX(Fall!$1:$1048576,MATCH(All!$A664,Fall!$A:$A,FALSE),MATCH(All!I$1,Fall!$1:$1,FALSE))),"")</f>
        <v>3A</v>
      </c>
      <c r="J664" t="str">
        <f>IFERROR(IF(INDEX(Fall!$1:$1048576,MATCH(All!$A664,Fall!$A:$A,FALSE),MATCH(All!J$1,Fall!$1:$1,FALSE))="","",INDEX(Fall!$1:$1048576,MATCH(All!$A664,Fall!$A:$A,FALSE),MATCH(All!J$1,Fall!$1:$1,FALSE))),"")</f>
        <v>2A</v>
      </c>
      <c r="K664" t="str">
        <f>IFERROR(IF(INDEX(Fall!$1:$1048576,MATCH(All!$A664,Fall!$A:$A,FALSE),MATCH(All!K$1,Fall!$1:$1,FALSE))="","",INDEX(Fall!$1:$1048576,MATCH(All!$A664,Fall!$A:$A,FALSE),MATCH(All!K$1,Fall!$1:$1,FALSE))),"")</f>
        <v>3A</v>
      </c>
      <c r="L664" t="str">
        <f>IFERROR(IF(INDEX(Fall!$1:$1048576,MATCH(All!$A664,Fall!$A:$A,FALSE),MATCH(All!L$1,Fall!$1:$1,FALSE))="","",INDEX(Fall!$1:$1048576,MATCH(All!$A664,Fall!$A:$A,FALSE),MATCH(All!L$1,Fall!$1:$1,FALSE))),"")</f>
        <v>2A</v>
      </c>
      <c r="M664" t="str">
        <f>IFERROR(IF(INDEX(Fall!$1:$1048576,MATCH(All!$A664,Fall!$A:$A,FALSE),MATCH(All!M$1,Fall!$1:$1,FALSE))="","",INDEX(Fall!$1:$1048576,MATCH(All!$A664,Fall!$A:$A,FALSE),MATCH(All!M$1,Fall!$1:$1,FALSE))),"")</f>
        <v>4A</v>
      </c>
      <c r="O664">
        <f>IFERROR(IF(INDEX(Winter!$1:$1048576,MATCH(All!$A664,Winter!$A:$A,FALSE),MATCH(All!O$1,Winter!$1:$1,FALSE))="","",INDEX(Winter!$1:$1048576,MATCH(All!$A664,Winter!$A:$A,FALSE),MATCH(All!O$1,Winter!$1:$1,FALSE))),"")</f>
        <v>2324</v>
      </c>
      <c r="P664" t="str">
        <f>IFERROR(IF(INDEX(Winter!$1:$1048576,MATCH(All!$A664,Winter!$A:$A,FALSE),MATCH(All!P$1,Winter!$1:$1,FALSE))="","",INDEX(Winter!$1:$1048576,MATCH(All!$A664,Winter!$A:$A,FALSE),MATCH(All!P$1,Winter!$1:$1,FALSE))),"")</f>
        <v>4A</v>
      </c>
      <c r="Q664" t="str">
        <f>IFERROR(IF(INDEX(Winter!$1:$1048576,MATCH(All!$A664,Winter!$A:$A,FALSE),MATCH(All!Q$1,Winter!$1:$1,FALSE))="","",INDEX(Winter!$1:$1048576,MATCH(All!$A664,Winter!$A:$A,FALSE),MATCH(All!Q$1,Winter!$1:$1,FALSE))),"")</f>
        <v>4A</v>
      </c>
      <c r="R664" t="str">
        <f>IFERROR(IF(INDEX(Winter!$1:$1048576,MATCH(All!$A664,Winter!$A:$A,FALSE),MATCH(All!R$1,Winter!$1:$1,FALSE))="","",INDEX(Winter!$1:$1048576,MATCH(All!$A664,Winter!$A:$A,FALSE),MATCH(All!R$1,Winter!$1:$1,FALSE))),"")</f>
        <v>3A</v>
      </c>
      <c r="S664" t="str">
        <f>IFERROR(IF(INDEX(Winter!$1:$1048576,MATCH(All!$A664,Winter!$A:$A,FALSE),MATCH(All!S$1,Winter!$1:$1,FALSE))="","",INDEX(Winter!$1:$1048576,MATCH(All!$A664,Winter!$A:$A,FALSE),MATCH(All!S$1,Winter!$1:$1,FALSE))),"")</f>
        <v>3A</v>
      </c>
      <c r="T664" t="str">
        <f>IFERROR(IF(INDEX(Winter!$1:$1048576,MATCH(All!$A664,Winter!$A:$A,FALSE),MATCH(All!T$1,Winter!$1:$1,FALSE))="","",INDEX(Winter!$1:$1048576,MATCH(All!$A664,Winter!$A:$A,FALSE),MATCH(All!T$1,Winter!$1:$1,FALSE))),"")</f>
        <v/>
      </c>
      <c r="U664" t="str">
        <f>IFERROR(IF(INDEX(Winter!$1:$1048576,MATCH(All!$A664,Winter!$A:$A,FALSE),MATCH(All!U$1,Winter!$1:$1,FALSE))="","",INDEX(Winter!$1:$1048576,MATCH(All!$A664,Winter!$A:$A,FALSE),MATCH(All!U$1,Winter!$1:$1,FALSE))),"")</f>
        <v>3A</v>
      </c>
      <c r="W664">
        <f>IFERROR(IF(INDEX(Spring!$1:$1048576,MATCH(All!$A664,Spring!$A:$A,FALSE),MATCH(All!W$1,Spring!$1:$1,FALSE))="","",INDEX(Spring!$1:$1048576,MATCH(All!$A664,Spring!$A:$A,FALSE),MATCH(All!W$1,Spring!$1:$1,FALSE))),"")</f>
        <v>2324</v>
      </c>
      <c r="X664" t="str">
        <f>IFERROR(IF(INDEX(Spring!$1:$1048576,MATCH(All!$A664,Spring!$A:$A,FALSE),MATCH(All!X$1,Spring!$1:$1,FALSE))="","",INDEX(Spring!$1:$1048576,MATCH(All!$A664,Spring!$A:$A,FALSE),MATCH(All!X$1,Spring!$1:$1,FALSE))),"")</f>
        <v>4A</v>
      </c>
      <c r="Y664" t="str">
        <f>IFERROR(IF(INDEX(Spring!$1:$1048576,MATCH(All!$A664,Spring!$A:$A,FALSE),MATCH(All!Y$1,Spring!$1:$1,FALSE))="","",INDEX(Spring!$1:$1048576,MATCH(All!$A664,Spring!$A:$A,FALSE),MATCH(All!Y$1,Spring!$1:$1,FALSE))),"")</f>
        <v>4A</v>
      </c>
      <c r="Z664" t="str">
        <f>IFERROR(IF(INDEX(Spring!$1:$1048576,MATCH(All!$A664,Spring!$A:$A,FALSE),MATCH(All!Z$1,Spring!$1:$1,FALSE))="","",INDEX(Spring!$1:$1048576,MATCH(All!$A664,Spring!$A:$A,FALSE),MATCH(All!Z$1,Spring!$1:$1,FALSE))),"")</f>
        <v>3A</v>
      </c>
      <c r="AA664" t="str">
        <f>IFERROR(IF(INDEX(Spring!$1:$1048576,MATCH(All!$A664,Spring!$A:$A,FALSE),MATCH(All!AA$1,Spring!$1:$1,FALSE))="","",INDEX(Spring!$1:$1048576,MATCH(All!$A664,Spring!$A:$A,FALSE),MATCH(All!AA$1,Spring!$1:$1,FALSE))),"")</f>
        <v>2A</v>
      </c>
      <c r="AB664" t="str">
        <f>IFERROR(IF(INDEX(Spring!$1:$1048576,MATCH(All!$A664,Spring!$A:$A,FALSE),MATCH(All!AB$1,Spring!$1:$1,FALSE))="","",INDEX(Spring!$1:$1048576,MATCH(All!$A664,Spring!$A:$A,FALSE),MATCH(All!AB$1,Spring!$1:$1,FALSE))),"")</f>
        <v>3A</v>
      </c>
      <c r="AC664" t="str">
        <f>IFERROR(IF(INDEX(Spring!$1:$1048576,MATCH(All!$A664,Spring!$A:$A,FALSE),MATCH(All!AC$1,Spring!$1:$1,FALSE))="","",INDEX(Spring!$1:$1048576,MATCH(All!$A664,Spring!$A:$A,FALSE),MATCH(All!AC$1,Spring!$1:$1,FALSE))),"")</f>
        <v>3A</v>
      </c>
      <c r="AD664" t="str">
        <f>IFERROR(VLOOKUP(A664,'Flag Football'!A:A,1,FALSE),"")</f>
        <v>Schaumburg (H.S.)</v>
      </c>
      <c r="AE664" t="str">
        <f t="shared" si="10"/>
        <v>1A</v>
      </c>
    </row>
    <row r="665" spans="1:31" ht="15.75" thickBot="1" x14ac:dyDescent="0.3">
      <c r="A665" s="18" t="s">
        <v>768</v>
      </c>
      <c r="B665" s="38" t="str">
        <f>IFERROR(VLOOKUP(A665,'Public v Private'!A:G,3,FALSE),"")</f>
        <v>private</v>
      </c>
      <c r="C665" s="38">
        <f>IFERROR(VLOOKUP(A665,'Public v Private'!A:G,4,FALSE),"")</f>
        <v>2</v>
      </c>
      <c r="D665" s="38">
        <f>IFERROR(VLOOKUP(A665,'Public v Private'!A:G,5,FALSE),"")</f>
        <v>4</v>
      </c>
      <c r="E665" s="38"/>
      <c r="F665" s="40" t="str">
        <f>IFERROR(INDEX(Fall!$1:$1048576,MATCH(All!$A665,Fall!$A:$A,FALSE),MATCH(All!F$1,Fall!$1:$1,FALSE)),"N/A")</f>
        <v>148.00 (244.20)</v>
      </c>
      <c r="G665" t="str">
        <f>IFERROR(IF(INDEX(Fall!$1:$1048576,MATCH(All!$A665,Fall!$A:$A,FALSE),MATCH(All!G$1,Fall!$1:$1,FALSE))="","",INDEX(Fall!$1:$1048576,MATCH(All!$A665,Fall!$A:$A,FALSE),MATCH(All!G$1,Fall!$1:$1,FALSE))),"")</f>
        <v>1A</v>
      </c>
      <c r="H665" t="str">
        <f>IFERROR(IF(INDEX(Fall!$1:$1048576,MATCH(All!$A665,Fall!$A:$A,FALSE),MATCH(All!H$1,Fall!$1:$1,FALSE))="","",INDEX(Fall!$1:$1048576,MATCH(All!$A665,Fall!$A:$A,FALSE),MATCH(All!H$1,Fall!$1:$1,FALSE))),"")</f>
        <v/>
      </c>
      <c r="I665" t="str">
        <f>IFERROR(IF(INDEX(Fall!$1:$1048576,MATCH(All!$A665,Fall!$A:$A,FALSE),MATCH(All!I$1,Fall!$1:$1,FALSE))="","",INDEX(Fall!$1:$1048576,MATCH(All!$A665,Fall!$A:$A,FALSE),MATCH(All!I$1,Fall!$1:$1,FALSE))),"")</f>
        <v>1A</v>
      </c>
      <c r="J665" t="str">
        <f>IFERROR(IF(INDEX(Fall!$1:$1048576,MATCH(All!$A665,Fall!$A:$A,FALSE),MATCH(All!J$1,Fall!$1:$1,FALSE))="","",INDEX(Fall!$1:$1048576,MATCH(All!$A665,Fall!$A:$A,FALSE),MATCH(All!J$1,Fall!$1:$1,FALSE))),"")</f>
        <v/>
      </c>
      <c r="K665" t="str">
        <f>IFERROR(IF(INDEX(Fall!$1:$1048576,MATCH(All!$A665,Fall!$A:$A,FALSE),MATCH(All!K$1,Fall!$1:$1,FALSE))="","",INDEX(Fall!$1:$1048576,MATCH(All!$A665,Fall!$A:$A,FALSE),MATCH(All!K$1,Fall!$1:$1,FALSE))),"")</f>
        <v>1A</v>
      </c>
      <c r="L665" t="str">
        <f>IFERROR(IF(INDEX(Fall!$1:$1048576,MATCH(All!$A665,Fall!$A:$A,FALSE),MATCH(All!L$1,Fall!$1:$1,FALSE))="","",INDEX(Fall!$1:$1048576,MATCH(All!$A665,Fall!$A:$A,FALSE),MATCH(All!L$1,Fall!$1:$1,FALSE))),"")</f>
        <v/>
      </c>
      <c r="M665" t="str">
        <f>IFERROR(IF(INDEX(Fall!$1:$1048576,MATCH(All!$A665,Fall!$A:$A,FALSE),MATCH(All!M$1,Fall!$1:$1,FALSE))="","",INDEX(Fall!$1:$1048576,MATCH(All!$A665,Fall!$A:$A,FALSE),MATCH(All!M$1,Fall!$1:$1,FALSE))),"")</f>
        <v>1A</v>
      </c>
      <c r="O665" t="str">
        <f>IFERROR(IF(INDEX(Winter!$1:$1048576,MATCH(All!$A665,Winter!$A:$A,FALSE),MATCH(All!O$1,Winter!$1:$1,FALSE))="","",INDEX(Winter!$1:$1048576,MATCH(All!$A665,Winter!$A:$A,FALSE),MATCH(All!O$1,Winter!$1:$1,FALSE))),"")</f>
        <v>148.00 (244.20)</v>
      </c>
      <c r="P665" t="str">
        <f>IFERROR(IF(INDEX(Winter!$1:$1048576,MATCH(All!$A665,Winter!$A:$A,FALSE),MATCH(All!P$1,Winter!$1:$1,FALSE))="","",INDEX(Winter!$1:$1048576,MATCH(All!$A665,Winter!$A:$A,FALSE),MATCH(All!P$1,Winter!$1:$1,FALSE))),"")</f>
        <v>1A</v>
      </c>
      <c r="Q665" t="str">
        <f>IFERROR(IF(INDEX(Winter!$1:$1048576,MATCH(All!$A665,Winter!$A:$A,FALSE),MATCH(All!Q$1,Winter!$1:$1,FALSE))="","",INDEX(Winter!$1:$1048576,MATCH(All!$A665,Winter!$A:$A,FALSE),MATCH(All!Q$1,Winter!$1:$1,FALSE))),"")</f>
        <v>1A</v>
      </c>
      <c r="R665" t="str">
        <f>IFERROR(IF(INDEX(Winter!$1:$1048576,MATCH(All!$A665,Winter!$A:$A,FALSE),MATCH(All!R$1,Winter!$1:$1,FALSE))="","",INDEX(Winter!$1:$1048576,MATCH(All!$A665,Winter!$A:$A,FALSE),MATCH(All!R$1,Winter!$1:$1,FALSE))),"")</f>
        <v/>
      </c>
      <c r="S665" t="str">
        <f>IFERROR(IF(INDEX(Winter!$1:$1048576,MATCH(All!$A665,Winter!$A:$A,FALSE),MATCH(All!S$1,Winter!$1:$1,FALSE))="","",INDEX(Winter!$1:$1048576,MATCH(All!$A665,Winter!$A:$A,FALSE),MATCH(All!S$1,Winter!$1:$1,FALSE))),"")</f>
        <v/>
      </c>
      <c r="T665" t="str">
        <f>IFERROR(IF(INDEX(Winter!$1:$1048576,MATCH(All!$A665,Winter!$A:$A,FALSE),MATCH(All!T$1,Winter!$1:$1,FALSE))="","",INDEX(Winter!$1:$1048576,MATCH(All!$A665,Winter!$A:$A,FALSE),MATCH(All!T$1,Winter!$1:$1,FALSE))),"")</f>
        <v/>
      </c>
      <c r="U665" t="str">
        <f>IFERROR(IF(INDEX(Winter!$1:$1048576,MATCH(All!$A665,Winter!$A:$A,FALSE),MATCH(All!U$1,Winter!$1:$1,FALSE))="","",INDEX(Winter!$1:$1048576,MATCH(All!$A665,Winter!$A:$A,FALSE),MATCH(All!U$1,Winter!$1:$1,FALSE))),"")</f>
        <v>1A</v>
      </c>
      <c r="W665" t="str">
        <f>IFERROR(IF(INDEX(Spring!$1:$1048576,MATCH(All!$A665,Spring!$A:$A,FALSE),MATCH(All!W$1,Spring!$1:$1,FALSE))="","",INDEX(Spring!$1:$1048576,MATCH(All!$A665,Spring!$A:$A,FALSE),MATCH(All!W$1,Spring!$1:$1,FALSE))),"")</f>
        <v>148.00 (244.20)</v>
      </c>
      <c r="X665" t="str">
        <f>IFERROR(IF(INDEX(Spring!$1:$1048576,MATCH(All!$A665,Spring!$A:$A,FALSE),MATCH(All!X$1,Spring!$1:$1,FALSE))="","",INDEX(Spring!$1:$1048576,MATCH(All!$A665,Spring!$A:$A,FALSE),MATCH(All!X$1,Spring!$1:$1,FALSE))),"")</f>
        <v>1A</v>
      </c>
      <c r="Y665" t="str">
        <f>IFERROR(IF(INDEX(Spring!$1:$1048576,MATCH(All!$A665,Spring!$A:$A,FALSE),MATCH(All!Y$1,Spring!$1:$1,FALSE))="","",INDEX(Spring!$1:$1048576,MATCH(All!$A665,Spring!$A:$A,FALSE),MATCH(All!Y$1,Spring!$1:$1,FALSE))),"")</f>
        <v/>
      </c>
      <c r="Z665" t="str">
        <f>IFERROR(IF(INDEX(Spring!$1:$1048576,MATCH(All!$A665,Spring!$A:$A,FALSE),MATCH(All!Z$1,Spring!$1:$1,FALSE))="","",INDEX(Spring!$1:$1048576,MATCH(All!$A665,Spring!$A:$A,FALSE),MATCH(All!Z$1,Spring!$1:$1,FALSE))),"")</f>
        <v>1A</v>
      </c>
      <c r="AA665" t="str">
        <f>IFERROR(IF(INDEX(Spring!$1:$1048576,MATCH(All!$A665,Spring!$A:$A,FALSE),MATCH(All!AA$1,Spring!$1:$1,FALSE))="","",INDEX(Spring!$1:$1048576,MATCH(All!$A665,Spring!$A:$A,FALSE),MATCH(All!AA$1,Spring!$1:$1,FALSE))),"")</f>
        <v/>
      </c>
      <c r="AB665" t="str">
        <f>IFERROR(IF(INDEX(Spring!$1:$1048576,MATCH(All!$A665,Spring!$A:$A,FALSE),MATCH(All!AB$1,Spring!$1:$1,FALSE))="","",INDEX(Spring!$1:$1048576,MATCH(All!$A665,Spring!$A:$A,FALSE),MATCH(All!AB$1,Spring!$1:$1,FALSE))),"")</f>
        <v>1A</v>
      </c>
      <c r="AC665" t="str">
        <f>IFERROR(IF(INDEX(Spring!$1:$1048576,MATCH(All!$A665,Spring!$A:$A,FALSE),MATCH(All!AC$1,Spring!$1:$1,FALSE))="","",INDEX(Spring!$1:$1048576,MATCH(All!$A665,Spring!$A:$A,FALSE),MATCH(All!AC$1,Spring!$1:$1,FALSE))),"")</f>
        <v>1A</v>
      </c>
      <c r="AD665" t="str">
        <f>IFERROR(VLOOKUP(A665,'Flag Football'!A:A,1,FALSE),"")</f>
        <v/>
      </c>
      <c r="AE665" t="str">
        <f t="shared" si="10"/>
        <v/>
      </c>
    </row>
    <row r="666" spans="1:31" ht="15.75" thickBot="1" x14ac:dyDescent="0.3">
      <c r="A666" s="20" t="s">
        <v>769</v>
      </c>
      <c r="B666" s="38">
        <f>IFERROR(VLOOKUP(A666,'Public v Private'!A:G,3,FALSE),"")</f>
        <v>0</v>
      </c>
      <c r="C666" s="38">
        <f>IFERROR(VLOOKUP(A666,'Public v Private'!A:G,4,FALSE),"")</f>
        <v>0</v>
      </c>
      <c r="D666" s="38">
        <f>IFERROR(VLOOKUP(A666,'Public v Private'!A:G,5,FALSE),"")</f>
        <v>0</v>
      </c>
      <c r="E666" s="38"/>
      <c r="F666" s="40">
        <f>IFERROR(INDEX(Fall!$1:$1048576,MATCH(All!$A666,Fall!$A:$A,FALSE),MATCH(All!F$1,Fall!$1:$1,FALSE)),"N/A")</f>
        <v>372</v>
      </c>
      <c r="G666" t="str">
        <f>IFERROR(IF(INDEX(Fall!$1:$1048576,MATCH(All!$A666,Fall!$A:$A,FALSE),MATCH(All!G$1,Fall!$1:$1,FALSE))="","",INDEX(Fall!$1:$1048576,MATCH(All!$A666,Fall!$A:$A,FALSE),MATCH(All!G$1,Fall!$1:$1,FALSE))),"")</f>
        <v>1A</v>
      </c>
      <c r="H666" t="str">
        <f>IFERROR(IF(INDEX(Fall!$1:$1048576,MATCH(All!$A666,Fall!$A:$A,FALSE),MATCH(All!H$1,Fall!$1:$1,FALSE))="","",INDEX(Fall!$1:$1048576,MATCH(All!$A666,Fall!$A:$A,FALSE),MATCH(All!H$1,Fall!$1:$1,FALSE))),"")</f>
        <v>1A</v>
      </c>
      <c r="I666" t="str">
        <f>IFERROR(IF(INDEX(Fall!$1:$1048576,MATCH(All!$A666,Fall!$A:$A,FALSE),MATCH(All!I$1,Fall!$1:$1,FALSE))="","",INDEX(Fall!$1:$1048576,MATCH(All!$A666,Fall!$A:$A,FALSE),MATCH(All!I$1,Fall!$1:$1,FALSE))),"")</f>
        <v>1A</v>
      </c>
      <c r="J666" t="str">
        <f>IFERROR(IF(INDEX(Fall!$1:$1048576,MATCH(All!$A666,Fall!$A:$A,FALSE),MATCH(All!J$1,Fall!$1:$1,FALSE))="","",INDEX(Fall!$1:$1048576,MATCH(All!$A666,Fall!$A:$A,FALSE),MATCH(All!J$1,Fall!$1:$1,FALSE))),"")</f>
        <v>1A</v>
      </c>
      <c r="K666" t="str">
        <f>IFERROR(IF(INDEX(Fall!$1:$1048576,MATCH(All!$A666,Fall!$A:$A,FALSE),MATCH(All!K$1,Fall!$1:$1,FALSE))="","",INDEX(Fall!$1:$1048576,MATCH(All!$A666,Fall!$A:$A,FALSE),MATCH(All!K$1,Fall!$1:$1,FALSE))),"")</f>
        <v/>
      </c>
      <c r="L666" t="str">
        <f>IFERROR(IF(INDEX(Fall!$1:$1048576,MATCH(All!$A666,Fall!$A:$A,FALSE),MATCH(All!L$1,Fall!$1:$1,FALSE))="","",INDEX(Fall!$1:$1048576,MATCH(All!$A666,Fall!$A:$A,FALSE),MATCH(All!L$1,Fall!$1:$1,FALSE))),"")</f>
        <v/>
      </c>
      <c r="M666" t="str">
        <f>IFERROR(IF(INDEX(Fall!$1:$1048576,MATCH(All!$A666,Fall!$A:$A,FALSE),MATCH(All!M$1,Fall!$1:$1,FALSE))="","",INDEX(Fall!$1:$1048576,MATCH(All!$A666,Fall!$A:$A,FALSE),MATCH(All!M$1,Fall!$1:$1,FALSE))),"")</f>
        <v>2A</v>
      </c>
      <c r="O666">
        <f>IFERROR(IF(INDEX(Winter!$1:$1048576,MATCH(All!$A666,Winter!$A:$A,FALSE),MATCH(All!O$1,Winter!$1:$1,FALSE))="","",INDEX(Winter!$1:$1048576,MATCH(All!$A666,Winter!$A:$A,FALSE),MATCH(All!O$1,Winter!$1:$1,FALSE))),"")</f>
        <v>372</v>
      </c>
      <c r="P666" t="str">
        <f>IFERROR(IF(INDEX(Winter!$1:$1048576,MATCH(All!$A666,Winter!$A:$A,FALSE),MATCH(All!P$1,Winter!$1:$1,FALSE))="","",INDEX(Winter!$1:$1048576,MATCH(All!$A666,Winter!$A:$A,FALSE),MATCH(All!P$1,Winter!$1:$1,FALSE))),"")</f>
        <v>2A</v>
      </c>
      <c r="Q666" t="str">
        <f>IFERROR(IF(INDEX(Winter!$1:$1048576,MATCH(All!$A666,Winter!$A:$A,FALSE),MATCH(All!Q$1,Winter!$1:$1,FALSE))="","",INDEX(Winter!$1:$1048576,MATCH(All!$A666,Winter!$A:$A,FALSE),MATCH(All!Q$1,Winter!$1:$1,FALSE))),"")</f>
        <v>2A</v>
      </c>
      <c r="R666" t="str">
        <f>IFERROR(IF(INDEX(Winter!$1:$1048576,MATCH(All!$A666,Winter!$A:$A,FALSE),MATCH(All!R$1,Winter!$1:$1,FALSE))="","",INDEX(Winter!$1:$1048576,MATCH(All!$A666,Winter!$A:$A,FALSE),MATCH(All!R$1,Winter!$1:$1,FALSE))),"")</f>
        <v/>
      </c>
      <c r="S666" t="str">
        <f>IFERROR(IF(INDEX(Winter!$1:$1048576,MATCH(All!$A666,Winter!$A:$A,FALSE),MATCH(All!S$1,Winter!$1:$1,FALSE))="","",INDEX(Winter!$1:$1048576,MATCH(All!$A666,Winter!$A:$A,FALSE),MATCH(All!S$1,Winter!$1:$1,FALSE))),"")</f>
        <v/>
      </c>
      <c r="T666" t="str">
        <f>IFERROR(IF(INDEX(Winter!$1:$1048576,MATCH(All!$A666,Winter!$A:$A,FALSE),MATCH(All!T$1,Winter!$1:$1,FALSE))="","",INDEX(Winter!$1:$1048576,MATCH(All!$A666,Winter!$A:$A,FALSE),MATCH(All!T$1,Winter!$1:$1,FALSE))),"")</f>
        <v>1A</v>
      </c>
      <c r="U666" t="str">
        <f>IFERROR(IF(INDEX(Winter!$1:$1048576,MATCH(All!$A666,Winter!$A:$A,FALSE),MATCH(All!U$1,Winter!$1:$1,FALSE))="","",INDEX(Winter!$1:$1048576,MATCH(All!$A666,Winter!$A:$A,FALSE),MATCH(All!U$1,Winter!$1:$1,FALSE))),"")</f>
        <v>1A</v>
      </c>
      <c r="W666">
        <f>IFERROR(IF(INDEX(Spring!$1:$1048576,MATCH(All!$A666,Spring!$A:$A,FALSE),MATCH(All!W$1,Spring!$1:$1,FALSE))="","",INDEX(Spring!$1:$1048576,MATCH(All!$A666,Spring!$A:$A,FALSE),MATCH(All!W$1,Spring!$1:$1,FALSE))),"")</f>
        <v>372</v>
      </c>
      <c r="X666" t="str">
        <f>IFERROR(IF(INDEX(Spring!$1:$1048576,MATCH(All!$A666,Spring!$A:$A,FALSE),MATCH(All!X$1,Spring!$1:$1,FALSE))="","",INDEX(Spring!$1:$1048576,MATCH(All!$A666,Spring!$A:$A,FALSE),MATCH(All!X$1,Spring!$1:$1,FALSE))),"")</f>
        <v>2A</v>
      </c>
      <c r="Y666" t="str">
        <f>IFERROR(IF(INDEX(Spring!$1:$1048576,MATCH(All!$A666,Spring!$A:$A,FALSE),MATCH(All!Y$1,Spring!$1:$1,FALSE))="","",INDEX(Spring!$1:$1048576,MATCH(All!$A666,Spring!$A:$A,FALSE),MATCH(All!Y$1,Spring!$1:$1,FALSE))),"")</f>
        <v>2A</v>
      </c>
      <c r="Z666" t="str">
        <f>IFERROR(IF(INDEX(Spring!$1:$1048576,MATCH(All!$A666,Spring!$A:$A,FALSE),MATCH(All!Z$1,Spring!$1:$1,FALSE))="","",INDEX(Spring!$1:$1048576,MATCH(All!$A666,Spring!$A:$A,FALSE),MATCH(All!Z$1,Spring!$1:$1,FALSE))),"")</f>
        <v/>
      </c>
      <c r="AA666" t="str">
        <f>IFERROR(IF(INDEX(Spring!$1:$1048576,MATCH(All!$A666,Spring!$A:$A,FALSE),MATCH(All!AA$1,Spring!$1:$1,FALSE))="","",INDEX(Spring!$1:$1048576,MATCH(All!$A666,Spring!$A:$A,FALSE),MATCH(All!AA$1,Spring!$1:$1,FALSE))),"")</f>
        <v/>
      </c>
      <c r="AB666" t="str">
        <f>IFERROR(IF(INDEX(Spring!$1:$1048576,MATCH(All!$A666,Spring!$A:$A,FALSE),MATCH(All!AB$1,Spring!$1:$1,FALSE))="","",INDEX(Spring!$1:$1048576,MATCH(All!$A666,Spring!$A:$A,FALSE),MATCH(All!AB$1,Spring!$1:$1,FALSE))),"")</f>
        <v>1A</v>
      </c>
      <c r="AC666" t="str">
        <f>IFERROR(IF(INDEX(Spring!$1:$1048576,MATCH(All!$A666,Spring!$A:$A,FALSE),MATCH(All!AC$1,Spring!$1:$1,FALSE))="","",INDEX(Spring!$1:$1048576,MATCH(All!$A666,Spring!$A:$A,FALSE),MATCH(All!AC$1,Spring!$1:$1,FALSE))),"")</f>
        <v>1A</v>
      </c>
      <c r="AD666" t="str">
        <f>IFERROR(VLOOKUP(A666,'Flag Football'!A:A,1,FALSE),"")</f>
        <v/>
      </c>
      <c r="AE666" t="str">
        <f t="shared" si="10"/>
        <v/>
      </c>
    </row>
    <row r="667" spans="1:31" ht="15.75" thickBot="1" x14ac:dyDescent="0.3">
      <c r="A667" s="18" t="s">
        <v>770</v>
      </c>
      <c r="B667" s="38">
        <f>IFERROR(VLOOKUP(A667,'Public v Private'!A:G,3,FALSE),"")</f>
        <v>0</v>
      </c>
      <c r="C667" s="38">
        <f>IFERROR(VLOOKUP(A667,'Public v Private'!A:G,4,FALSE),"")</f>
        <v>0</v>
      </c>
      <c r="D667" s="38">
        <f>IFERROR(VLOOKUP(A667,'Public v Private'!A:G,5,FALSE),"")</f>
        <v>0</v>
      </c>
      <c r="E667" s="38"/>
      <c r="F667" s="40">
        <f>IFERROR(INDEX(Fall!$1:$1048576,MATCH(All!$A667,Fall!$A:$A,FALSE),MATCH(All!F$1,Fall!$1:$1,FALSE)),"N/A")</f>
        <v>156</v>
      </c>
      <c r="G667" t="str">
        <f>IFERROR(IF(INDEX(Fall!$1:$1048576,MATCH(All!$A667,Fall!$A:$A,FALSE),MATCH(All!G$1,Fall!$1:$1,FALSE))="","",INDEX(Fall!$1:$1048576,MATCH(All!$A667,Fall!$A:$A,FALSE),MATCH(All!G$1,Fall!$1:$1,FALSE))),"")</f>
        <v/>
      </c>
      <c r="H667" t="str">
        <f>IFERROR(IF(INDEX(Fall!$1:$1048576,MATCH(All!$A667,Fall!$A:$A,FALSE),MATCH(All!H$1,Fall!$1:$1,FALSE))="","",INDEX(Fall!$1:$1048576,MATCH(All!$A667,Fall!$A:$A,FALSE),MATCH(All!H$1,Fall!$1:$1,FALSE))),"")</f>
        <v/>
      </c>
      <c r="I667" t="str">
        <f>IFERROR(IF(INDEX(Fall!$1:$1048576,MATCH(All!$A667,Fall!$A:$A,FALSE),MATCH(All!I$1,Fall!$1:$1,FALSE))="","",INDEX(Fall!$1:$1048576,MATCH(All!$A667,Fall!$A:$A,FALSE),MATCH(All!I$1,Fall!$1:$1,FALSE))),"")</f>
        <v>1A</v>
      </c>
      <c r="J667" t="str">
        <f>IFERROR(IF(INDEX(Fall!$1:$1048576,MATCH(All!$A667,Fall!$A:$A,FALSE),MATCH(All!J$1,Fall!$1:$1,FALSE))="","",INDEX(Fall!$1:$1048576,MATCH(All!$A667,Fall!$A:$A,FALSE),MATCH(All!J$1,Fall!$1:$1,FALSE))),"")</f>
        <v/>
      </c>
      <c r="K667" t="str">
        <f>IFERROR(IF(INDEX(Fall!$1:$1048576,MATCH(All!$A667,Fall!$A:$A,FALSE),MATCH(All!K$1,Fall!$1:$1,FALSE))="","",INDEX(Fall!$1:$1048576,MATCH(All!$A667,Fall!$A:$A,FALSE),MATCH(All!K$1,Fall!$1:$1,FALSE))),"")</f>
        <v>1A</v>
      </c>
      <c r="L667" t="str">
        <f>IFERROR(IF(INDEX(Fall!$1:$1048576,MATCH(All!$A667,Fall!$A:$A,FALSE),MATCH(All!L$1,Fall!$1:$1,FALSE))="","",INDEX(Fall!$1:$1048576,MATCH(All!$A667,Fall!$A:$A,FALSE),MATCH(All!L$1,Fall!$1:$1,FALSE))),"")</f>
        <v/>
      </c>
      <c r="M667" t="str">
        <f>IFERROR(IF(INDEX(Fall!$1:$1048576,MATCH(All!$A667,Fall!$A:$A,FALSE),MATCH(All!M$1,Fall!$1:$1,FALSE))="","",INDEX(Fall!$1:$1048576,MATCH(All!$A667,Fall!$A:$A,FALSE),MATCH(All!M$1,Fall!$1:$1,FALSE))),"")</f>
        <v>1A</v>
      </c>
      <c r="O667">
        <f>IFERROR(IF(INDEX(Winter!$1:$1048576,MATCH(All!$A667,Winter!$A:$A,FALSE),MATCH(All!O$1,Winter!$1:$1,FALSE))="","",INDEX(Winter!$1:$1048576,MATCH(All!$A667,Winter!$A:$A,FALSE),MATCH(All!O$1,Winter!$1:$1,FALSE))),"")</f>
        <v>156</v>
      </c>
      <c r="P667" t="str">
        <f>IFERROR(IF(INDEX(Winter!$1:$1048576,MATCH(All!$A667,Winter!$A:$A,FALSE),MATCH(All!P$1,Winter!$1:$1,FALSE))="","",INDEX(Winter!$1:$1048576,MATCH(All!$A667,Winter!$A:$A,FALSE),MATCH(All!P$1,Winter!$1:$1,FALSE))),"")</f>
        <v>1A</v>
      </c>
      <c r="Q667" t="str">
        <f>IFERROR(IF(INDEX(Winter!$1:$1048576,MATCH(All!$A667,Winter!$A:$A,FALSE),MATCH(All!Q$1,Winter!$1:$1,FALSE))="","",INDEX(Winter!$1:$1048576,MATCH(All!$A667,Winter!$A:$A,FALSE),MATCH(All!Q$1,Winter!$1:$1,FALSE))),"")</f>
        <v>1A</v>
      </c>
      <c r="R667" t="str">
        <f>IFERROR(IF(INDEX(Winter!$1:$1048576,MATCH(All!$A667,Winter!$A:$A,FALSE),MATCH(All!R$1,Winter!$1:$1,FALSE))="","",INDEX(Winter!$1:$1048576,MATCH(All!$A667,Winter!$A:$A,FALSE),MATCH(All!R$1,Winter!$1:$1,FALSE))),"")</f>
        <v/>
      </c>
      <c r="S667" t="str">
        <f>IFERROR(IF(INDEX(Winter!$1:$1048576,MATCH(All!$A667,Winter!$A:$A,FALSE),MATCH(All!S$1,Winter!$1:$1,FALSE))="","",INDEX(Winter!$1:$1048576,MATCH(All!$A667,Winter!$A:$A,FALSE),MATCH(All!S$1,Winter!$1:$1,FALSE))),"")</f>
        <v/>
      </c>
      <c r="T667" t="str">
        <f>IFERROR(IF(INDEX(Winter!$1:$1048576,MATCH(All!$A667,Winter!$A:$A,FALSE),MATCH(All!T$1,Winter!$1:$1,FALSE))="","",INDEX(Winter!$1:$1048576,MATCH(All!$A667,Winter!$A:$A,FALSE),MATCH(All!T$1,Winter!$1:$1,FALSE))),"")</f>
        <v/>
      </c>
      <c r="U667" t="str">
        <f>IFERROR(IF(INDEX(Winter!$1:$1048576,MATCH(All!$A667,Winter!$A:$A,FALSE),MATCH(All!U$1,Winter!$1:$1,FALSE))="","",INDEX(Winter!$1:$1048576,MATCH(All!$A667,Winter!$A:$A,FALSE),MATCH(All!U$1,Winter!$1:$1,FALSE))),"")</f>
        <v/>
      </c>
      <c r="W667">
        <f>IFERROR(IF(INDEX(Spring!$1:$1048576,MATCH(All!$A667,Spring!$A:$A,FALSE),MATCH(All!W$1,Spring!$1:$1,FALSE))="","",INDEX(Spring!$1:$1048576,MATCH(All!$A667,Spring!$A:$A,FALSE),MATCH(All!W$1,Spring!$1:$1,FALSE))),"")</f>
        <v>156</v>
      </c>
      <c r="X667" t="str">
        <f>IFERROR(IF(INDEX(Spring!$1:$1048576,MATCH(All!$A667,Spring!$A:$A,FALSE),MATCH(All!X$1,Spring!$1:$1,FALSE))="","",INDEX(Spring!$1:$1048576,MATCH(All!$A667,Spring!$A:$A,FALSE),MATCH(All!X$1,Spring!$1:$1,FALSE))),"")</f>
        <v>1A</v>
      </c>
      <c r="Y667" t="str">
        <f>IFERROR(IF(INDEX(Spring!$1:$1048576,MATCH(All!$A667,Spring!$A:$A,FALSE),MATCH(All!Y$1,Spring!$1:$1,FALSE))="","",INDEX(Spring!$1:$1048576,MATCH(All!$A667,Spring!$A:$A,FALSE),MATCH(All!Y$1,Spring!$1:$1,FALSE))),"")</f>
        <v>1A</v>
      </c>
      <c r="Z667" t="str">
        <f>IFERROR(IF(INDEX(Spring!$1:$1048576,MATCH(All!$A667,Spring!$A:$A,FALSE),MATCH(All!Z$1,Spring!$1:$1,FALSE))="","",INDEX(Spring!$1:$1048576,MATCH(All!$A667,Spring!$A:$A,FALSE),MATCH(All!Z$1,Spring!$1:$1,FALSE))),"")</f>
        <v>1A</v>
      </c>
      <c r="AA667" t="str">
        <f>IFERROR(IF(INDEX(Spring!$1:$1048576,MATCH(All!$A667,Spring!$A:$A,FALSE),MATCH(All!AA$1,Spring!$1:$1,FALSE))="","",INDEX(Spring!$1:$1048576,MATCH(All!$A667,Spring!$A:$A,FALSE),MATCH(All!AA$1,Spring!$1:$1,FALSE))),"")</f>
        <v/>
      </c>
      <c r="AB667" t="str">
        <f>IFERROR(IF(INDEX(Spring!$1:$1048576,MATCH(All!$A667,Spring!$A:$A,FALSE),MATCH(All!AB$1,Spring!$1:$1,FALSE))="","",INDEX(Spring!$1:$1048576,MATCH(All!$A667,Spring!$A:$A,FALSE),MATCH(All!AB$1,Spring!$1:$1,FALSE))),"")</f>
        <v>1A</v>
      </c>
      <c r="AC667" t="str">
        <f>IFERROR(IF(INDEX(Spring!$1:$1048576,MATCH(All!$A667,Spring!$A:$A,FALSE),MATCH(All!AC$1,Spring!$1:$1,FALSE))="","",INDEX(Spring!$1:$1048576,MATCH(All!$A667,Spring!$A:$A,FALSE),MATCH(All!AC$1,Spring!$1:$1,FALSE))),"")</f>
        <v>1A</v>
      </c>
      <c r="AD667" t="str">
        <f>IFERROR(VLOOKUP(A667,'Flag Football'!A:A,1,FALSE),"")</f>
        <v/>
      </c>
      <c r="AE667" t="str">
        <f t="shared" si="10"/>
        <v/>
      </c>
    </row>
    <row r="668" spans="1:31" ht="15.75" thickBot="1" x14ac:dyDescent="0.3">
      <c r="A668" s="20" t="s">
        <v>771</v>
      </c>
      <c r="B668" s="38">
        <f>IFERROR(VLOOKUP(A668,'Public v Private'!A:G,3,FALSE),"")</f>
        <v>0</v>
      </c>
      <c r="C668" s="38">
        <f>IFERROR(VLOOKUP(A668,'Public v Private'!A:G,4,FALSE),"")</f>
        <v>0</v>
      </c>
      <c r="D668" s="38">
        <f>IFERROR(VLOOKUP(A668,'Public v Private'!A:G,5,FALSE),"")</f>
        <v>0</v>
      </c>
      <c r="E668" s="38"/>
      <c r="F668" s="40">
        <f>IFERROR(INDEX(Fall!$1:$1048576,MATCH(All!$A668,Fall!$A:$A,FALSE),MATCH(All!F$1,Fall!$1:$1,FALSE)),"N/A")</f>
        <v>171</v>
      </c>
      <c r="G668" t="str">
        <f>IFERROR(IF(INDEX(Fall!$1:$1048576,MATCH(All!$A668,Fall!$A:$A,FALSE),MATCH(All!G$1,Fall!$1:$1,FALSE))="","",INDEX(Fall!$1:$1048576,MATCH(All!$A668,Fall!$A:$A,FALSE),MATCH(All!G$1,Fall!$1:$1,FALSE))),"")</f>
        <v/>
      </c>
      <c r="H668" t="str">
        <f>IFERROR(IF(INDEX(Fall!$1:$1048576,MATCH(All!$A668,Fall!$A:$A,FALSE),MATCH(All!H$1,Fall!$1:$1,FALSE))="","",INDEX(Fall!$1:$1048576,MATCH(All!$A668,Fall!$A:$A,FALSE),MATCH(All!H$1,Fall!$1:$1,FALSE))),"")</f>
        <v/>
      </c>
      <c r="I668" t="str">
        <f>IFERROR(IF(INDEX(Fall!$1:$1048576,MATCH(All!$A668,Fall!$A:$A,FALSE),MATCH(All!I$1,Fall!$1:$1,FALSE))="","",INDEX(Fall!$1:$1048576,MATCH(All!$A668,Fall!$A:$A,FALSE),MATCH(All!I$1,Fall!$1:$1,FALSE))),"")</f>
        <v/>
      </c>
      <c r="J668" t="str">
        <f>IFERROR(IF(INDEX(Fall!$1:$1048576,MATCH(All!$A668,Fall!$A:$A,FALSE),MATCH(All!J$1,Fall!$1:$1,FALSE))="","",INDEX(Fall!$1:$1048576,MATCH(All!$A668,Fall!$A:$A,FALSE),MATCH(All!J$1,Fall!$1:$1,FALSE))),"")</f>
        <v/>
      </c>
      <c r="K668" t="str">
        <f>IFERROR(IF(INDEX(Fall!$1:$1048576,MATCH(All!$A668,Fall!$A:$A,FALSE),MATCH(All!K$1,Fall!$1:$1,FALSE))="","",INDEX(Fall!$1:$1048576,MATCH(All!$A668,Fall!$A:$A,FALSE),MATCH(All!K$1,Fall!$1:$1,FALSE))),"")</f>
        <v/>
      </c>
      <c r="L668" t="str">
        <f>IFERROR(IF(INDEX(Fall!$1:$1048576,MATCH(All!$A668,Fall!$A:$A,FALSE),MATCH(All!L$1,Fall!$1:$1,FALSE))="","",INDEX(Fall!$1:$1048576,MATCH(All!$A668,Fall!$A:$A,FALSE),MATCH(All!L$1,Fall!$1:$1,FALSE))),"")</f>
        <v/>
      </c>
      <c r="M668" t="str">
        <f>IFERROR(IF(INDEX(Fall!$1:$1048576,MATCH(All!$A668,Fall!$A:$A,FALSE),MATCH(All!M$1,Fall!$1:$1,FALSE))="","",INDEX(Fall!$1:$1048576,MATCH(All!$A668,Fall!$A:$A,FALSE),MATCH(All!M$1,Fall!$1:$1,FALSE))),"")</f>
        <v>1A</v>
      </c>
      <c r="O668">
        <f>IFERROR(IF(INDEX(Winter!$1:$1048576,MATCH(All!$A668,Winter!$A:$A,FALSE),MATCH(All!O$1,Winter!$1:$1,FALSE))="","",INDEX(Winter!$1:$1048576,MATCH(All!$A668,Winter!$A:$A,FALSE),MATCH(All!O$1,Winter!$1:$1,FALSE))),"")</f>
        <v>171</v>
      </c>
      <c r="P668" t="str">
        <f>IFERROR(IF(INDEX(Winter!$1:$1048576,MATCH(All!$A668,Winter!$A:$A,FALSE),MATCH(All!P$1,Winter!$1:$1,FALSE))="","",INDEX(Winter!$1:$1048576,MATCH(All!$A668,Winter!$A:$A,FALSE),MATCH(All!P$1,Winter!$1:$1,FALSE))),"")</f>
        <v>1A</v>
      </c>
      <c r="Q668" t="str">
        <f>IFERROR(IF(INDEX(Winter!$1:$1048576,MATCH(All!$A668,Winter!$A:$A,FALSE),MATCH(All!Q$1,Winter!$1:$1,FALSE))="","",INDEX(Winter!$1:$1048576,MATCH(All!$A668,Winter!$A:$A,FALSE),MATCH(All!Q$1,Winter!$1:$1,FALSE))),"")</f>
        <v>1A</v>
      </c>
      <c r="R668" t="str">
        <f>IFERROR(IF(INDEX(Winter!$1:$1048576,MATCH(All!$A668,Winter!$A:$A,FALSE),MATCH(All!R$1,Winter!$1:$1,FALSE))="","",INDEX(Winter!$1:$1048576,MATCH(All!$A668,Winter!$A:$A,FALSE),MATCH(All!R$1,Winter!$1:$1,FALSE))),"")</f>
        <v>1A</v>
      </c>
      <c r="S668" t="str">
        <f>IFERROR(IF(INDEX(Winter!$1:$1048576,MATCH(All!$A668,Winter!$A:$A,FALSE),MATCH(All!S$1,Winter!$1:$1,FALSE))="","",INDEX(Winter!$1:$1048576,MATCH(All!$A668,Winter!$A:$A,FALSE),MATCH(All!S$1,Winter!$1:$1,FALSE))),"")</f>
        <v/>
      </c>
      <c r="T668" t="str">
        <f>IFERROR(IF(INDEX(Winter!$1:$1048576,MATCH(All!$A668,Winter!$A:$A,FALSE),MATCH(All!T$1,Winter!$1:$1,FALSE))="","",INDEX(Winter!$1:$1048576,MATCH(All!$A668,Winter!$A:$A,FALSE),MATCH(All!T$1,Winter!$1:$1,FALSE))),"")</f>
        <v>1A</v>
      </c>
      <c r="U668" t="str">
        <f>IFERROR(IF(INDEX(Winter!$1:$1048576,MATCH(All!$A668,Winter!$A:$A,FALSE),MATCH(All!U$1,Winter!$1:$1,FALSE))="","",INDEX(Winter!$1:$1048576,MATCH(All!$A668,Winter!$A:$A,FALSE),MATCH(All!U$1,Winter!$1:$1,FALSE))),"")</f>
        <v/>
      </c>
      <c r="W668">
        <f>IFERROR(IF(INDEX(Spring!$1:$1048576,MATCH(All!$A668,Spring!$A:$A,FALSE),MATCH(All!W$1,Spring!$1:$1,FALSE))="","",INDEX(Spring!$1:$1048576,MATCH(All!$A668,Spring!$A:$A,FALSE),MATCH(All!W$1,Spring!$1:$1,FALSE))),"")</f>
        <v>171</v>
      </c>
      <c r="X668" t="str">
        <f>IFERROR(IF(INDEX(Spring!$1:$1048576,MATCH(All!$A668,Spring!$A:$A,FALSE),MATCH(All!X$1,Spring!$1:$1,FALSE))="","",INDEX(Spring!$1:$1048576,MATCH(All!$A668,Spring!$A:$A,FALSE),MATCH(All!X$1,Spring!$1:$1,FALSE))),"")</f>
        <v/>
      </c>
      <c r="Y668" t="str">
        <f>IFERROR(IF(INDEX(Spring!$1:$1048576,MATCH(All!$A668,Spring!$A:$A,FALSE),MATCH(All!Y$1,Spring!$1:$1,FALSE))="","",INDEX(Spring!$1:$1048576,MATCH(All!$A668,Spring!$A:$A,FALSE),MATCH(All!Y$1,Spring!$1:$1,FALSE))),"")</f>
        <v/>
      </c>
      <c r="Z668" t="str">
        <f>IFERROR(IF(INDEX(Spring!$1:$1048576,MATCH(All!$A668,Spring!$A:$A,FALSE),MATCH(All!Z$1,Spring!$1:$1,FALSE))="","",INDEX(Spring!$1:$1048576,MATCH(All!$A668,Spring!$A:$A,FALSE),MATCH(All!Z$1,Spring!$1:$1,FALSE))),"")</f>
        <v/>
      </c>
      <c r="AA668" t="str">
        <f>IFERROR(IF(INDEX(Spring!$1:$1048576,MATCH(All!$A668,Spring!$A:$A,FALSE),MATCH(All!AA$1,Spring!$1:$1,FALSE))="","",INDEX(Spring!$1:$1048576,MATCH(All!$A668,Spring!$A:$A,FALSE),MATCH(All!AA$1,Spring!$1:$1,FALSE))),"")</f>
        <v/>
      </c>
      <c r="AB668" t="str">
        <f>IFERROR(IF(INDEX(Spring!$1:$1048576,MATCH(All!$A668,Spring!$A:$A,FALSE),MATCH(All!AB$1,Spring!$1:$1,FALSE))="","",INDEX(Spring!$1:$1048576,MATCH(All!$A668,Spring!$A:$A,FALSE),MATCH(All!AB$1,Spring!$1:$1,FALSE))),"")</f>
        <v>1A</v>
      </c>
      <c r="AC668" t="str">
        <f>IFERROR(IF(INDEX(Spring!$1:$1048576,MATCH(All!$A668,Spring!$A:$A,FALSE),MATCH(All!AC$1,Spring!$1:$1,FALSE))="","",INDEX(Spring!$1:$1048576,MATCH(All!$A668,Spring!$A:$A,FALSE),MATCH(All!AC$1,Spring!$1:$1,FALSE))),"")</f>
        <v>1A</v>
      </c>
      <c r="AD668" t="str">
        <f>IFERROR(VLOOKUP(A668,'Flag Football'!A:A,1,FALSE),"")</f>
        <v/>
      </c>
      <c r="AE668" t="str">
        <f t="shared" si="10"/>
        <v/>
      </c>
    </row>
    <row r="669" spans="1:31" ht="15.75" thickBot="1" x14ac:dyDescent="0.3">
      <c r="A669" s="18" t="s">
        <v>772</v>
      </c>
      <c r="B669" s="38">
        <f>IFERROR(VLOOKUP(A669,'Public v Private'!A:G,3,FALSE),"")</f>
        <v>0</v>
      </c>
      <c r="C669" s="38">
        <f>IFERROR(VLOOKUP(A669,'Public v Private'!A:G,4,FALSE),"")</f>
        <v>0</v>
      </c>
      <c r="D669" s="38">
        <f>IFERROR(VLOOKUP(A669,'Public v Private'!A:G,5,FALSE),"")</f>
        <v>0</v>
      </c>
      <c r="E669" s="38"/>
      <c r="F669" s="40">
        <f>IFERROR(INDEX(Fall!$1:$1048576,MATCH(All!$A669,Fall!$A:$A,FALSE),MATCH(All!F$1,Fall!$1:$1,FALSE)),"N/A")</f>
        <v>260</v>
      </c>
      <c r="G669" t="str">
        <f>IFERROR(IF(INDEX(Fall!$1:$1048576,MATCH(All!$A669,Fall!$A:$A,FALSE),MATCH(All!G$1,Fall!$1:$1,FALSE))="","",INDEX(Fall!$1:$1048576,MATCH(All!$A669,Fall!$A:$A,FALSE),MATCH(All!G$1,Fall!$1:$1,FALSE))),"")</f>
        <v/>
      </c>
      <c r="H669" t="str">
        <f>IFERROR(IF(INDEX(Fall!$1:$1048576,MATCH(All!$A669,Fall!$A:$A,FALSE),MATCH(All!H$1,Fall!$1:$1,FALSE))="","",INDEX(Fall!$1:$1048576,MATCH(All!$A669,Fall!$A:$A,FALSE),MATCH(All!H$1,Fall!$1:$1,FALSE))),"")</f>
        <v/>
      </c>
      <c r="I669" t="str">
        <f>IFERROR(IF(INDEX(Fall!$1:$1048576,MATCH(All!$A669,Fall!$A:$A,FALSE),MATCH(All!I$1,Fall!$1:$1,FALSE))="","",INDEX(Fall!$1:$1048576,MATCH(All!$A669,Fall!$A:$A,FALSE),MATCH(All!I$1,Fall!$1:$1,FALSE))),"")</f>
        <v>1A</v>
      </c>
      <c r="J669" t="str">
        <f>IFERROR(IF(INDEX(Fall!$1:$1048576,MATCH(All!$A669,Fall!$A:$A,FALSE),MATCH(All!J$1,Fall!$1:$1,FALSE))="","",INDEX(Fall!$1:$1048576,MATCH(All!$A669,Fall!$A:$A,FALSE),MATCH(All!J$1,Fall!$1:$1,FALSE))),"")</f>
        <v/>
      </c>
      <c r="K669" t="str">
        <f>IFERROR(IF(INDEX(Fall!$1:$1048576,MATCH(All!$A669,Fall!$A:$A,FALSE),MATCH(All!K$1,Fall!$1:$1,FALSE))="","",INDEX(Fall!$1:$1048576,MATCH(All!$A669,Fall!$A:$A,FALSE),MATCH(All!K$1,Fall!$1:$1,FALSE))),"")</f>
        <v>1A</v>
      </c>
      <c r="L669" t="str">
        <f>IFERROR(IF(INDEX(Fall!$1:$1048576,MATCH(All!$A669,Fall!$A:$A,FALSE),MATCH(All!L$1,Fall!$1:$1,FALSE))="","",INDEX(Fall!$1:$1048576,MATCH(All!$A669,Fall!$A:$A,FALSE),MATCH(All!L$1,Fall!$1:$1,FALSE))),"")</f>
        <v/>
      </c>
      <c r="M669" t="str">
        <f>IFERROR(IF(INDEX(Fall!$1:$1048576,MATCH(All!$A669,Fall!$A:$A,FALSE),MATCH(All!M$1,Fall!$1:$1,FALSE))="","",INDEX(Fall!$1:$1048576,MATCH(All!$A669,Fall!$A:$A,FALSE),MATCH(All!M$1,Fall!$1:$1,FALSE))),"")</f>
        <v>1A</v>
      </c>
      <c r="O669">
        <f>IFERROR(IF(INDEX(Winter!$1:$1048576,MATCH(All!$A669,Winter!$A:$A,FALSE),MATCH(All!O$1,Winter!$1:$1,FALSE))="","",INDEX(Winter!$1:$1048576,MATCH(All!$A669,Winter!$A:$A,FALSE),MATCH(All!O$1,Winter!$1:$1,FALSE))),"")</f>
        <v>260</v>
      </c>
      <c r="P669" t="str">
        <f>IFERROR(IF(INDEX(Winter!$1:$1048576,MATCH(All!$A669,Winter!$A:$A,FALSE),MATCH(All!P$1,Winter!$1:$1,FALSE))="","",INDEX(Winter!$1:$1048576,MATCH(All!$A669,Winter!$A:$A,FALSE),MATCH(All!P$1,Winter!$1:$1,FALSE))),"")</f>
        <v>1A</v>
      </c>
      <c r="Q669" t="str">
        <f>IFERROR(IF(INDEX(Winter!$1:$1048576,MATCH(All!$A669,Winter!$A:$A,FALSE),MATCH(All!Q$1,Winter!$1:$1,FALSE))="","",INDEX(Winter!$1:$1048576,MATCH(All!$A669,Winter!$A:$A,FALSE),MATCH(All!Q$1,Winter!$1:$1,FALSE))),"")</f>
        <v>1A</v>
      </c>
      <c r="R669" t="str">
        <f>IFERROR(IF(INDEX(Winter!$1:$1048576,MATCH(All!$A669,Winter!$A:$A,FALSE),MATCH(All!R$1,Winter!$1:$1,FALSE))="","",INDEX(Winter!$1:$1048576,MATCH(All!$A669,Winter!$A:$A,FALSE),MATCH(All!R$1,Winter!$1:$1,FALSE))),"")</f>
        <v/>
      </c>
      <c r="S669" t="str">
        <f>IFERROR(IF(INDEX(Winter!$1:$1048576,MATCH(All!$A669,Winter!$A:$A,FALSE),MATCH(All!S$1,Winter!$1:$1,FALSE))="","",INDEX(Winter!$1:$1048576,MATCH(All!$A669,Winter!$A:$A,FALSE),MATCH(All!S$1,Winter!$1:$1,FALSE))),"")</f>
        <v/>
      </c>
      <c r="T669" t="str">
        <f>IFERROR(IF(INDEX(Winter!$1:$1048576,MATCH(All!$A669,Winter!$A:$A,FALSE),MATCH(All!T$1,Winter!$1:$1,FALSE))="","",INDEX(Winter!$1:$1048576,MATCH(All!$A669,Winter!$A:$A,FALSE),MATCH(All!T$1,Winter!$1:$1,FALSE))),"")</f>
        <v>1A</v>
      </c>
      <c r="U669" t="str">
        <f>IFERROR(IF(INDEX(Winter!$1:$1048576,MATCH(All!$A669,Winter!$A:$A,FALSE),MATCH(All!U$1,Winter!$1:$1,FALSE))="","",INDEX(Winter!$1:$1048576,MATCH(All!$A669,Winter!$A:$A,FALSE),MATCH(All!U$1,Winter!$1:$1,FALSE))),"")</f>
        <v/>
      </c>
      <c r="W669">
        <f>IFERROR(IF(INDEX(Spring!$1:$1048576,MATCH(All!$A669,Spring!$A:$A,FALSE),MATCH(All!W$1,Spring!$1:$1,FALSE))="","",INDEX(Spring!$1:$1048576,MATCH(All!$A669,Spring!$A:$A,FALSE),MATCH(All!W$1,Spring!$1:$1,FALSE))),"")</f>
        <v>260</v>
      </c>
      <c r="X669" t="str">
        <f>IFERROR(IF(INDEX(Spring!$1:$1048576,MATCH(All!$A669,Spring!$A:$A,FALSE),MATCH(All!X$1,Spring!$1:$1,FALSE))="","",INDEX(Spring!$1:$1048576,MATCH(All!$A669,Spring!$A:$A,FALSE),MATCH(All!X$1,Spring!$1:$1,FALSE))),"")</f>
        <v>1A</v>
      </c>
      <c r="Y669" t="str">
        <f>IFERROR(IF(INDEX(Spring!$1:$1048576,MATCH(All!$A669,Spring!$A:$A,FALSE),MATCH(All!Y$1,Spring!$1:$1,FALSE))="","",INDEX(Spring!$1:$1048576,MATCH(All!$A669,Spring!$A:$A,FALSE),MATCH(All!Y$1,Spring!$1:$1,FALSE))),"")</f>
        <v>1A</v>
      </c>
      <c r="Z669" t="str">
        <f>IFERROR(IF(INDEX(Spring!$1:$1048576,MATCH(All!$A669,Spring!$A:$A,FALSE),MATCH(All!Z$1,Spring!$1:$1,FALSE))="","",INDEX(Spring!$1:$1048576,MATCH(All!$A669,Spring!$A:$A,FALSE),MATCH(All!Z$1,Spring!$1:$1,FALSE))),"")</f>
        <v>1A</v>
      </c>
      <c r="AA669" t="str">
        <f>IFERROR(IF(INDEX(Spring!$1:$1048576,MATCH(All!$A669,Spring!$A:$A,FALSE),MATCH(All!AA$1,Spring!$1:$1,FALSE))="","",INDEX(Spring!$1:$1048576,MATCH(All!$A669,Spring!$A:$A,FALSE),MATCH(All!AA$1,Spring!$1:$1,FALSE))),"")</f>
        <v/>
      </c>
      <c r="AB669" t="str">
        <f>IFERROR(IF(INDEX(Spring!$1:$1048576,MATCH(All!$A669,Spring!$A:$A,FALSE),MATCH(All!AB$1,Spring!$1:$1,FALSE))="","",INDEX(Spring!$1:$1048576,MATCH(All!$A669,Spring!$A:$A,FALSE),MATCH(All!AB$1,Spring!$1:$1,FALSE))),"")</f>
        <v>1A</v>
      </c>
      <c r="AC669" t="str">
        <f>IFERROR(IF(INDEX(Spring!$1:$1048576,MATCH(All!$A669,Spring!$A:$A,FALSE),MATCH(All!AC$1,Spring!$1:$1,FALSE))="","",INDEX(Spring!$1:$1048576,MATCH(All!$A669,Spring!$A:$A,FALSE),MATCH(All!AC$1,Spring!$1:$1,FALSE))),"")</f>
        <v>1A</v>
      </c>
      <c r="AD669" t="str">
        <f>IFERROR(VLOOKUP(A669,'Flag Football'!A:A,1,FALSE),"")</f>
        <v/>
      </c>
      <c r="AE669" t="str">
        <f t="shared" si="10"/>
        <v/>
      </c>
    </row>
    <row r="670" spans="1:31" ht="15.75" thickBot="1" x14ac:dyDescent="0.3">
      <c r="A670" s="20" t="s">
        <v>773</v>
      </c>
      <c r="B670" s="38">
        <f>IFERROR(VLOOKUP(A670,'Public v Private'!A:G,3,FALSE),"")</f>
        <v>0</v>
      </c>
      <c r="C670" s="38">
        <f>IFERROR(VLOOKUP(A670,'Public v Private'!A:G,4,FALSE),"")</f>
        <v>0</v>
      </c>
      <c r="D670" s="38">
        <f>IFERROR(VLOOKUP(A670,'Public v Private'!A:G,5,FALSE),"")</f>
        <v>0</v>
      </c>
      <c r="E670" s="38"/>
      <c r="F670" s="40">
        <f>IFERROR(INDEX(Fall!$1:$1048576,MATCH(All!$A670,Fall!$A:$A,FALSE),MATCH(All!F$1,Fall!$1:$1,FALSE)),"N/A")</f>
        <v>343</v>
      </c>
      <c r="G670" t="str">
        <f>IFERROR(IF(INDEX(Fall!$1:$1048576,MATCH(All!$A670,Fall!$A:$A,FALSE),MATCH(All!G$1,Fall!$1:$1,FALSE))="","",INDEX(Fall!$1:$1048576,MATCH(All!$A670,Fall!$A:$A,FALSE),MATCH(All!G$1,Fall!$1:$1,FALSE))),"")</f>
        <v>1A</v>
      </c>
      <c r="H670" t="str">
        <f>IFERROR(IF(INDEX(Fall!$1:$1048576,MATCH(All!$A670,Fall!$A:$A,FALSE),MATCH(All!H$1,Fall!$1:$1,FALSE))="","",INDEX(Fall!$1:$1048576,MATCH(All!$A670,Fall!$A:$A,FALSE),MATCH(All!H$1,Fall!$1:$1,FALSE))),"")</f>
        <v>1A</v>
      </c>
      <c r="I670" t="str">
        <f>IFERROR(IF(INDEX(Fall!$1:$1048576,MATCH(All!$A670,Fall!$A:$A,FALSE),MATCH(All!I$1,Fall!$1:$1,FALSE))="","",INDEX(Fall!$1:$1048576,MATCH(All!$A670,Fall!$A:$A,FALSE),MATCH(All!I$1,Fall!$1:$1,FALSE))),"")</f>
        <v>1A</v>
      </c>
      <c r="J670" t="str">
        <f>IFERROR(IF(INDEX(Fall!$1:$1048576,MATCH(All!$A670,Fall!$A:$A,FALSE),MATCH(All!J$1,Fall!$1:$1,FALSE))="","",INDEX(Fall!$1:$1048576,MATCH(All!$A670,Fall!$A:$A,FALSE),MATCH(All!J$1,Fall!$1:$1,FALSE))),"")</f>
        <v>1A</v>
      </c>
      <c r="K670" t="str">
        <f>IFERROR(IF(INDEX(Fall!$1:$1048576,MATCH(All!$A670,Fall!$A:$A,FALSE),MATCH(All!K$1,Fall!$1:$1,FALSE))="","",INDEX(Fall!$1:$1048576,MATCH(All!$A670,Fall!$A:$A,FALSE),MATCH(All!K$1,Fall!$1:$1,FALSE))),"")</f>
        <v/>
      </c>
      <c r="L670" t="str">
        <f>IFERROR(IF(INDEX(Fall!$1:$1048576,MATCH(All!$A670,Fall!$A:$A,FALSE),MATCH(All!L$1,Fall!$1:$1,FALSE))="","",INDEX(Fall!$1:$1048576,MATCH(All!$A670,Fall!$A:$A,FALSE),MATCH(All!L$1,Fall!$1:$1,FALSE))),"")</f>
        <v>1A</v>
      </c>
      <c r="M670" t="str">
        <f>IFERROR(IF(INDEX(Fall!$1:$1048576,MATCH(All!$A670,Fall!$A:$A,FALSE),MATCH(All!M$1,Fall!$1:$1,FALSE))="","",INDEX(Fall!$1:$1048576,MATCH(All!$A670,Fall!$A:$A,FALSE),MATCH(All!M$1,Fall!$1:$1,FALSE))),"")</f>
        <v>2A</v>
      </c>
      <c r="O670">
        <f>IFERROR(IF(INDEX(Winter!$1:$1048576,MATCH(All!$A670,Winter!$A:$A,FALSE),MATCH(All!O$1,Winter!$1:$1,FALSE))="","",INDEX(Winter!$1:$1048576,MATCH(All!$A670,Winter!$A:$A,FALSE),MATCH(All!O$1,Winter!$1:$1,FALSE))),"")</f>
        <v>343</v>
      </c>
      <c r="P670" t="str">
        <f>IFERROR(IF(INDEX(Winter!$1:$1048576,MATCH(All!$A670,Winter!$A:$A,FALSE),MATCH(All!P$1,Winter!$1:$1,FALSE))="","",INDEX(Winter!$1:$1048576,MATCH(All!$A670,Winter!$A:$A,FALSE),MATCH(All!P$1,Winter!$1:$1,FALSE))),"")</f>
        <v>2A</v>
      </c>
      <c r="Q670" t="str">
        <f>IFERROR(IF(INDEX(Winter!$1:$1048576,MATCH(All!$A670,Winter!$A:$A,FALSE),MATCH(All!Q$1,Winter!$1:$1,FALSE))="","",INDEX(Winter!$1:$1048576,MATCH(All!$A670,Winter!$A:$A,FALSE),MATCH(All!Q$1,Winter!$1:$1,FALSE))),"")</f>
        <v>2A</v>
      </c>
      <c r="R670" t="str">
        <f>IFERROR(IF(INDEX(Winter!$1:$1048576,MATCH(All!$A670,Winter!$A:$A,FALSE),MATCH(All!R$1,Winter!$1:$1,FALSE))="","",INDEX(Winter!$1:$1048576,MATCH(All!$A670,Winter!$A:$A,FALSE),MATCH(All!R$1,Winter!$1:$1,FALSE))),"")</f>
        <v>1A</v>
      </c>
      <c r="S670" t="str">
        <f>IFERROR(IF(INDEX(Winter!$1:$1048576,MATCH(All!$A670,Winter!$A:$A,FALSE),MATCH(All!S$1,Winter!$1:$1,FALSE))="","",INDEX(Winter!$1:$1048576,MATCH(All!$A670,Winter!$A:$A,FALSE),MATCH(All!S$1,Winter!$1:$1,FALSE))),"")</f>
        <v/>
      </c>
      <c r="T670" t="str">
        <f>IFERROR(IF(INDEX(Winter!$1:$1048576,MATCH(All!$A670,Winter!$A:$A,FALSE),MATCH(All!T$1,Winter!$1:$1,FALSE))="","",INDEX(Winter!$1:$1048576,MATCH(All!$A670,Winter!$A:$A,FALSE),MATCH(All!T$1,Winter!$1:$1,FALSE))),"")</f>
        <v/>
      </c>
      <c r="U670" t="str">
        <f>IFERROR(IF(INDEX(Winter!$1:$1048576,MATCH(All!$A670,Winter!$A:$A,FALSE),MATCH(All!U$1,Winter!$1:$1,FALSE))="","",INDEX(Winter!$1:$1048576,MATCH(All!$A670,Winter!$A:$A,FALSE),MATCH(All!U$1,Winter!$1:$1,FALSE))),"")</f>
        <v>1A</v>
      </c>
      <c r="W670">
        <f>IFERROR(IF(INDEX(Spring!$1:$1048576,MATCH(All!$A670,Spring!$A:$A,FALSE),MATCH(All!W$1,Spring!$1:$1,FALSE))="","",INDEX(Spring!$1:$1048576,MATCH(All!$A670,Spring!$A:$A,FALSE),MATCH(All!W$1,Spring!$1:$1,FALSE))),"")</f>
        <v>343</v>
      </c>
      <c r="X670" t="str">
        <f>IFERROR(IF(INDEX(Spring!$1:$1048576,MATCH(All!$A670,Spring!$A:$A,FALSE),MATCH(All!X$1,Spring!$1:$1,FALSE))="","",INDEX(Spring!$1:$1048576,MATCH(All!$A670,Spring!$A:$A,FALSE),MATCH(All!X$1,Spring!$1:$1,FALSE))),"")</f>
        <v>2A</v>
      </c>
      <c r="Y670" t="str">
        <f>IFERROR(IF(INDEX(Spring!$1:$1048576,MATCH(All!$A670,Spring!$A:$A,FALSE),MATCH(All!Y$1,Spring!$1:$1,FALSE))="","",INDEX(Spring!$1:$1048576,MATCH(All!$A670,Spring!$A:$A,FALSE),MATCH(All!Y$1,Spring!$1:$1,FALSE))),"")</f>
        <v>2A</v>
      </c>
      <c r="Z670" t="str">
        <f>IFERROR(IF(INDEX(Spring!$1:$1048576,MATCH(All!$A670,Spring!$A:$A,FALSE),MATCH(All!Z$1,Spring!$1:$1,FALSE))="","",INDEX(Spring!$1:$1048576,MATCH(All!$A670,Spring!$A:$A,FALSE),MATCH(All!Z$1,Spring!$1:$1,FALSE))),"")</f>
        <v/>
      </c>
      <c r="AA670" t="str">
        <f>IFERROR(IF(INDEX(Spring!$1:$1048576,MATCH(All!$A670,Spring!$A:$A,FALSE),MATCH(All!AA$1,Spring!$1:$1,FALSE))="","",INDEX(Spring!$1:$1048576,MATCH(All!$A670,Spring!$A:$A,FALSE),MATCH(All!AA$1,Spring!$1:$1,FALSE))),"")</f>
        <v>1A</v>
      </c>
      <c r="AB670" t="str">
        <f>IFERROR(IF(INDEX(Spring!$1:$1048576,MATCH(All!$A670,Spring!$A:$A,FALSE),MATCH(All!AB$1,Spring!$1:$1,FALSE))="","",INDEX(Spring!$1:$1048576,MATCH(All!$A670,Spring!$A:$A,FALSE),MATCH(All!AB$1,Spring!$1:$1,FALSE))),"")</f>
        <v>1A</v>
      </c>
      <c r="AC670" t="str">
        <f>IFERROR(IF(INDEX(Spring!$1:$1048576,MATCH(All!$A670,Spring!$A:$A,FALSE),MATCH(All!AC$1,Spring!$1:$1,FALSE))="","",INDEX(Spring!$1:$1048576,MATCH(All!$A670,Spring!$A:$A,FALSE),MATCH(All!AC$1,Spring!$1:$1,FALSE))),"")</f>
        <v>1A</v>
      </c>
      <c r="AD670" t="str">
        <f>IFERROR(VLOOKUP(A670,'Flag Football'!A:A,1,FALSE),"")</f>
        <v/>
      </c>
      <c r="AE670" t="str">
        <f t="shared" si="10"/>
        <v/>
      </c>
    </row>
    <row r="671" spans="1:31" ht="15.75" thickBot="1" x14ac:dyDescent="0.3">
      <c r="A671" s="18" t="s">
        <v>774</v>
      </c>
      <c r="B671" s="38">
        <f>IFERROR(VLOOKUP(A671,'Public v Private'!A:G,3,FALSE),"")</f>
        <v>0</v>
      </c>
      <c r="C671" s="38">
        <f>IFERROR(VLOOKUP(A671,'Public v Private'!A:G,4,FALSE),"")</f>
        <v>0</v>
      </c>
      <c r="D671" s="38">
        <f>IFERROR(VLOOKUP(A671,'Public v Private'!A:G,5,FALSE),"")</f>
        <v>0</v>
      </c>
      <c r="E671" s="38"/>
      <c r="F671" s="40">
        <f>IFERROR(INDEX(Fall!$1:$1048576,MATCH(All!$A671,Fall!$A:$A,FALSE),MATCH(All!F$1,Fall!$1:$1,FALSE)),"N/A")</f>
        <v>441</v>
      </c>
      <c r="G671" t="str">
        <f>IFERROR(IF(INDEX(Fall!$1:$1048576,MATCH(All!$A671,Fall!$A:$A,FALSE),MATCH(All!G$1,Fall!$1:$1,FALSE))="","",INDEX(Fall!$1:$1048576,MATCH(All!$A671,Fall!$A:$A,FALSE),MATCH(All!G$1,Fall!$1:$1,FALSE))),"")</f>
        <v>1A</v>
      </c>
      <c r="H671" t="str">
        <f>IFERROR(IF(INDEX(Fall!$1:$1048576,MATCH(All!$A671,Fall!$A:$A,FALSE),MATCH(All!H$1,Fall!$1:$1,FALSE))="","",INDEX(Fall!$1:$1048576,MATCH(All!$A671,Fall!$A:$A,FALSE),MATCH(All!H$1,Fall!$1:$1,FALSE))),"")</f>
        <v>1A</v>
      </c>
      <c r="I671" t="str">
        <f>IFERROR(IF(INDEX(Fall!$1:$1048576,MATCH(All!$A671,Fall!$A:$A,FALSE),MATCH(All!I$1,Fall!$1:$1,FALSE))="","",INDEX(Fall!$1:$1048576,MATCH(All!$A671,Fall!$A:$A,FALSE),MATCH(All!I$1,Fall!$1:$1,FALSE))),"")</f>
        <v>1A</v>
      </c>
      <c r="J671" t="str">
        <f>IFERROR(IF(INDEX(Fall!$1:$1048576,MATCH(All!$A671,Fall!$A:$A,FALSE),MATCH(All!J$1,Fall!$1:$1,FALSE))="","",INDEX(Fall!$1:$1048576,MATCH(All!$A671,Fall!$A:$A,FALSE),MATCH(All!J$1,Fall!$1:$1,FALSE))),"")</f>
        <v>1A</v>
      </c>
      <c r="K671" t="str">
        <f>IFERROR(IF(INDEX(Fall!$1:$1048576,MATCH(All!$A671,Fall!$A:$A,FALSE),MATCH(All!K$1,Fall!$1:$1,FALSE))="","",INDEX(Fall!$1:$1048576,MATCH(All!$A671,Fall!$A:$A,FALSE),MATCH(All!K$1,Fall!$1:$1,FALSE))),"")</f>
        <v/>
      </c>
      <c r="L671" t="str">
        <f>IFERROR(IF(INDEX(Fall!$1:$1048576,MATCH(All!$A671,Fall!$A:$A,FALSE),MATCH(All!L$1,Fall!$1:$1,FALSE))="","",INDEX(Fall!$1:$1048576,MATCH(All!$A671,Fall!$A:$A,FALSE),MATCH(All!L$1,Fall!$1:$1,FALSE))),"")</f>
        <v/>
      </c>
      <c r="M671" t="str">
        <f>IFERROR(IF(INDEX(Fall!$1:$1048576,MATCH(All!$A671,Fall!$A:$A,FALSE),MATCH(All!M$1,Fall!$1:$1,FALSE))="","",INDEX(Fall!$1:$1048576,MATCH(All!$A671,Fall!$A:$A,FALSE),MATCH(All!M$1,Fall!$1:$1,FALSE))),"")</f>
        <v>2A</v>
      </c>
      <c r="O671">
        <f>IFERROR(IF(INDEX(Winter!$1:$1048576,MATCH(All!$A671,Winter!$A:$A,FALSE),MATCH(All!O$1,Winter!$1:$1,FALSE))="","",INDEX(Winter!$1:$1048576,MATCH(All!$A671,Winter!$A:$A,FALSE),MATCH(All!O$1,Winter!$1:$1,FALSE))),"")</f>
        <v>441</v>
      </c>
      <c r="P671" t="str">
        <f>IFERROR(IF(INDEX(Winter!$1:$1048576,MATCH(All!$A671,Winter!$A:$A,FALSE),MATCH(All!P$1,Winter!$1:$1,FALSE))="","",INDEX(Winter!$1:$1048576,MATCH(All!$A671,Winter!$A:$A,FALSE),MATCH(All!P$1,Winter!$1:$1,FALSE))),"")</f>
        <v>2A</v>
      </c>
      <c r="Q671" t="str">
        <f>IFERROR(IF(INDEX(Winter!$1:$1048576,MATCH(All!$A671,Winter!$A:$A,FALSE),MATCH(All!Q$1,Winter!$1:$1,FALSE))="","",INDEX(Winter!$1:$1048576,MATCH(All!$A671,Winter!$A:$A,FALSE),MATCH(All!Q$1,Winter!$1:$1,FALSE))),"")</f>
        <v>2A</v>
      </c>
      <c r="R671" t="str">
        <f>IFERROR(IF(INDEX(Winter!$1:$1048576,MATCH(All!$A671,Winter!$A:$A,FALSE),MATCH(All!R$1,Winter!$1:$1,FALSE))="","",INDEX(Winter!$1:$1048576,MATCH(All!$A671,Winter!$A:$A,FALSE),MATCH(All!R$1,Winter!$1:$1,FALSE))),"")</f>
        <v>1A</v>
      </c>
      <c r="S671" t="str">
        <f>IFERROR(IF(INDEX(Winter!$1:$1048576,MATCH(All!$A671,Winter!$A:$A,FALSE),MATCH(All!S$1,Winter!$1:$1,FALSE))="","",INDEX(Winter!$1:$1048576,MATCH(All!$A671,Winter!$A:$A,FALSE),MATCH(All!S$1,Winter!$1:$1,FALSE))),"")</f>
        <v/>
      </c>
      <c r="T671" t="str">
        <f>IFERROR(IF(INDEX(Winter!$1:$1048576,MATCH(All!$A671,Winter!$A:$A,FALSE),MATCH(All!T$1,Winter!$1:$1,FALSE))="","",INDEX(Winter!$1:$1048576,MATCH(All!$A671,Winter!$A:$A,FALSE),MATCH(All!T$1,Winter!$1:$1,FALSE))),"")</f>
        <v>1A</v>
      </c>
      <c r="U671" t="str">
        <f>IFERROR(IF(INDEX(Winter!$1:$1048576,MATCH(All!$A671,Winter!$A:$A,FALSE),MATCH(All!U$1,Winter!$1:$1,FALSE))="","",INDEX(Winter!$1:$1048576,MATCH(All!$A671,Winter!$A:$A,FALSE),MATCH(All!U$1,Winter!$1:$1,FALSE))),"")</f>
        <v>1A</v>
      </c>
      <c r="W671">
        <f>IFERROR(IF(INDEX(Spring!$1:$1048576,MATCH(All!$A671,Spring!$A:$A,FALSE),MATCH(All!W$1,Spring!$1:$1,FALSE))="","",INDEX(Spring!$1:$1048576,MATCH(All!$A671,Spring!$A:$A,FALSE),MATCH(All!W$1,Spring!$1:$1,FALSE))),"")</f>
        <v>441</v>
      </c>
      <c r="X671" t="str">
        <f>IFERROR(IF(INDEX(Spring!$1:$1048576,MATCH(All!$A671,Spring!$A:$A,FALSE),MATCH(All!X$1,Spring!$1:$1,FALSE))="","",INDEX(Spring!$1:$1048576,MATCH(All!$A671,Spring!$A:$A,FALSE),MATCH(All!X$1,Spring!$1:$1,FALSE))),"")</f>
        <v>2A</v>
      </c>
      <c r="Y671" t="str">
        <f>IFERROR(IF(INDEX(Spring!$1:$1048576,MATCH(All!$A671,Spring!$A:$A,FALSE),MATCH(All!Y$1,Spring!$1:$1,FALSE))="","",INDEX(Spring!$1:$1048576,MATCH(All!$A671,Spring!$A:$A,FALSE),MATCH(All!Y$1,Spring!$1:$1,FALSE))),"")</f>
        <v>2A</v>
      </c>
      <c r="Z671" t="str">
        <f>IFERROR(IF(INDEX(Spring!$1:$1048576,MATCH(All!$A671,Spring!$A:$A,FALSE),MATCH(All!Z$1,Spring!$1:$1,FALSE))="","",INDEX(Spring!$1:$1048576,MATCH(All!$A671,Spring!$A:$A,FALSE),MATCH(All!Z$1,Spring!$1:$1,FALSE))),"")</f>
        <v/>
      </c>
      <c r="AA671" t="str">
        <f>IFERROR(IF(INDEX(Spring!$1:$1048576,MATCH(All!$A671,Spring!$A:$A,FALSE),MATCH(All!AA$1,Spring!$1:$1,FALSE))="","",INDEX(Spring!$1:$1048576,MATCH(All!$A671,Spring!$A:$A,FALSE),MATCH(All!AA$1,Spring!$1:$1,FALSE))),"")</f>
        <v/>
      </c>
      <c r="AB671" t="str">
        <f>IFERROR(IF(INDEX(Spring!$1:$1048576,MATCH(All!$A671,Spring!$A:$A,FALSE),MATCH(All!AB$1,Spring!$1:$1,FALSE))="","",INDEX(Spring!$1:$1048576,MATCH(All!$A671,Spring!$A:$A,FALSE),MATCH(All!AB$1,Spring!$1:$1,FALSE))),"")</f>
        <v>1A</v>
      </c>
      <c r="AC671" t="str">
        <f>IFERROR(IF(INDEX(Spring!$1:$1048576,MATCH(All!$A671,Spring!$A:$A,FALSE),MATCH(All!AC$1,Spring!$1:$1,FALSE))="","",INDEX(Spring!$1:$1048576,MATCH(All!$A671,Spring!$A:$A,FALSE),MATCH(All!AC$1,Spring!$1:$1,FALSE))),"")</f>
        <v>1A</v>
      </c>
      <c r="AD671" t="str">
        <f>IFERROR(VLOOKUP(A671,'Flag Football'!A:A,1,FALSE),"")</f>
        <v/>
      </c>
      <c r="AE671" t="str">
        <f t="shared" si="10"/>
        <v/>
      </c>
    </row>
    <row r="672" spans="1:31" ht="15.75" thickBot="1" x14ac:dyDescent="0.3">
      <c r="A672" s="20" t="s">
        <v>775</v>
      </c>
      <c r="B672" s="38" t="str">
        <f>IFERROR(VLOOKUP(A672,'Public v Private'!A:G,3,FALSE),"")</f>
        <v>private</v>
      </c>
      <c r="C672" s="38">
        <f>IFERROR(VLOOKUP(A672,'Public v Private'!A:G,4,FALSE),"")</f>
        <v>2</v>
      </c>
      <c r="D672" s="38">
        <f>IFERROR(VLOOKUP(A672,'Public v Private'!A:G,5,FALSE),"")</f>
        <v>4</v>
      </c>
      <c r="E672" s="38"/>
      <c r="F672" s="40" t="str">
        <f>IFERROR(INDEX(Fall!$1:$1048576,MATCH(All!$A672,Fall!$A:$A,FALSE),MATCH(All!F$1,Fall!$1:$1,FALSE)),"N/A")</f>
        <v>235.00 (387.75)</v>
      </c>
      <c r="G672" t="str">
        <f>IFERROR(IF(INDEX(Fall!$1:$1048576,MATCH(All!$A672,Fall!$A:$A,FALSE),MATCH(All!G$1,Fall!$1:$1,FALSE))="","",INDEX(Fall!$1:$1048576,MATCH(All!$A672,Fall!$A:$A,FALSE),MATCH(All!G$1,Fall!$1:$1,FALSE))),"")</f>
        <v>1A</v>
      </c>
      <c r="H672" t="str">
        <f>IFERROR(IF(INDEX(Fall!$1:$1048576,MATCH(All!$A672,Fall!$A:$A,FALSE),MATCH(All!H$1,Fall!$1:$1,FALSE))="","",INDEX(Fall!$1:$1048576,MATCH(All!$A672,Fall!$A:$A,FALSE),MATCH(All!H$1,Fall!$1:$1,FALSE))),"")</f>
        <v>1A</v>
      </c>
      <c r="I672" t="str">
        <f>IFERROR(IF(INDEX(Fall!$1:$1048576,MATCH(All!$A672,Fall!$A:$A,FALSE),MATCH(All!I$1,Fall!$1:$1,FALSE))="","",INDEX(Fall!$1:$1048576,MATCH(All!$A672,Fall!$A:$A,FALSE),MATCH(All!I$1,Fall!$1:$1,FALSE))),"")</f>
        <v/>
      </c>
      <c r="J672" t="str">
        <f>IFERROR(IF(INDEX(Fall!$1:$1048576,MATCH(All!$A672,Fall!$A:$A,FALSE),MATCH(All!J$1,Fall!$1:$1,FALSE))="","",INDEX(Fall!$1:$1048576,MATCH(All!$A672,Fall!$A:$A,FALSE),MATCH(All!J$1,Fall!$1:$1,FALSE))),"")</f>
        <v/>
      </c>
      <c r="K672" t="str">
        <f>IFERROR(IF(INDEX(Fall!$1:$1048576,MATCH(All!$A672,Fall!$A:$A,FALSE),MATCH(All!K$1,Fall!$1:$1,FALSE))="","",INDEX(Fall!$1:$1048576,MATCH(All!$A672,Fall!$A:$A,FALSE),MATCH(All!K$1,Fall!$1:$1,FALSE))),"")</f>
        <v>1A</v>
      </c>
      <c r="L672" t="str">
        <f>IFERROR(IF(INDEX(Fall!$1:$1048576,MATCH(All!$A672,Fall!$A:$A,FALSE),MATCH(All!L$1,Fall!$1:$1,FALSE))="","",INDEX(Fall!$1:$1048576,MATCH(All!$A672,Fall!$A:$A,FALSE),MATCH(All!L$1,Fall!$1:$1,FALSE))),"")</f>
        <v/>
      </c>
      <c r="M672" t="str">
        <f>IFERROR(IF(INDEX(Fall!$1:$1048576,MATCH(All!$A672,Fall!$A:$A,FALSE),MATCH(All!M$1,Fall!$1:$1,FALSE))="","",INDEX(Fall!$1:$1048576,MATCH(All!$A672,Fall!$A:$A,FALSE),MATCH(All!M$1,Fall!$1:$1,FALSE))),"")</f>
        <v/>
      </c>
      <c r="O672" t="str">
        <f>IFERROR(IF(INDEX(Winter!$1:$1048576,MATCH(All!$A672,Winter!$A:$A,FALSE),MATCH(All!O$1,Winter!$1:$1,FALSE))="","",INDEX(Winter!$1:$1048576,MATCH(All!$A672,Winter!$A:$A,FALSE),MATCH(All!O$1,Winter!$1:$1,FALSE))),"")</f>
        <v>235.00 (387.75)</v>
      </c>
      <c r="P672" t="str">
        <f>IFERROR(IF(INDEX(Winter!$1:$1048576,MATCH(All!$A672,Winter!$A:$A,FALSE),MATCH(All!P$1,Winter!$1:$1,FALSE))="","",INDEX(Winter!$1:$1048576,MATCH(All!$A672,Winter!$A:$A,FALSE),MATCH(All!P$1,Winter!$1:$1,FALSE))),"")</f>
        <v>1A</v>
      </c>
      <c r="Q672" t="str">
        <f>IFERROR(IF(INDEX(Winter!$1:$1048576,MATCH(All!$A672,Winter!$A:$A,FALSE),MATCH(All!Q$1,Winter!$1:$1,FALSE))="","",INDEX(Winter!$1:$1048576,MATCH(All!$A672,Winter!$A:$A,FALSE),MATCH(All!Q$1,Winter!$1:$1,FALSE))),"")</f>
        <v>2A</v>
      </c>
      <c r="R672" t="str">
        <f>IFERROR(IF(INDEX(Winter!$1:$1048576,MATCH(All!$A672,Winter!$A:$A,FALSE),MATCH(All!R$1,Winter!$1:$1,FALSE))="","",INDEX(Winter!$1:$1048576,MATCH(All!$A672,Winter!$A:$A,FALSE),MATCH(All!R$1,Winter!$1:$1,FALSE))),"")</f>
        <v/>
      </c>
      <c r="S672" t="str">
        <f>IFERROR(IF(INDEX(Winter!$1:$1048576,MATCH(All!$A672,Winter!$A:$A,FALSE),MATCH(All!S$1,Winter!$1:$1,FALSE))="","",INDEX(Winter!$1:$1048576,MATCH(All!$A672,Winter!$A:$A,FALSE),MATCH(All!S$1,Winter!$1:$1,FALSE))),"")</f>
        <v/>
      </c>
      <c r="T672" t="str">
        <f>IFERROR(IF(INDEX(Winter!$1:$1048576,MATCH(All!$A672,Winter!$A:$A,FALSE),MATCH(All!T$1,Winter!$1:$1,FALSE))="","",INDEX(Winter!$1:$1048576,MATCH(All!$A672,Winter!$A:$A,FALSE),MATCH(All!T$1,Winter!$1:$1,FALSE))),"")</f>
        <v/>
      </c>
      <c r="U672" t="str">
        <f>IFERROR(IF(INDEX(Winter!$1:$1048576,MATCH(All!$A672,Winter!$A:$A,FALSE),MATCH(All!U$1,Winter!$1:$1,FALSE))="","",INDEX(Winter!$1:$1048576,MATCH(All!$A672,Winter!$A:$A,FALSE),MATCH(All!U$1,Winter!$1:$1,FALSE))),"")</f>
        <v>1A</v>
      </c>
      <c r="W672" t="str">
        <f>IFERROR(IF(INDEX(Spring!$1:$1048576,MATCH(All!$A672,Spring!$A:$A,FALSE),MATCH(All!W$1,Spring!$1:$1,FALSE))="","",INDEX(Spring!$1:$1048576,MATCH(All!$A672,Spring!$A:$A,FALSE),MATCH(All!W$1,Spring!$1:$1,FALSE))),"")</f>
        <v>235.00 (387.75)</v>
      </c>
      <c r="X672" t="str">
        <f>IFERROR(IF(INDEX(Spring!$1:$1048576,MATCH(All!$A672,Spring!$A:$A,FALSE),MATCH(All!X$1,Spring!$1:$1,FALSE))="","",INDEX(Spring!$1:$1048576,MATCH(All!$A672,Spring!$A:$A,FALSE),MATCH(All!X$1,Spring!$1:$1,FALSE))),"")</f>
        <v>2A</v>
      </c>
      <c r="Y672" t="str">
        <f>IFERROR(IF(INDEX(Spring!$1:$1048576,MATCH(All!$A672,Spring!$A:$A,FALSE),MATCH(All!Y$1,Spring!$1:$1,FALSE))="","",INDEX(Spring!$1:$1048576,MATCH(All!$A672,Spring!$A:$A,FALSE),MATCH(All!Y$1,Spring!$1:$1,FALSE))),"")</f>
        <v/>
      </c>
      <c r="Z672" t="str">
        <f>IFERROR(IF(INDEX(Spring!$1:$1048576,MATCH(All!$A672,Spring!$A:$A,FALSE),MATCH(All!Z$1,Spring!$1:$1,FALSE))="","",INDEX(Spring!$1:$1048576,MATCH(All!$A672,Spring!$A:$A,FALSE),MATCH(All!Z$1,Spring!$1:$1,FALSE))),"")</f>
        <v>1A</v>
      </c>
      <c r="AA672" t="str">
        <f>IFERROR(IF(INDEX(Spring!$1:$1048576,MATCH(All!$A672,Spring!$A:$A,FALSE),MATCH(All!AA$1,Spring!$1:$1,FALSE))="","",INDEX(Spring!$1:$1048576,MATCH(All!$A672,Spring!$A:$A,FALSE),MATCH(All!AA$1,Spring!$1:$1,FALSE))),"")</f>
        <v/>
      </c>
      <c r="AB672" t="str">
        <f>IFERROR(IF(INDEX(Spring!$1:$1048576,MATCH(All!$A672,Spring!$A:$A,FALSE),MATCH(All!AB$1,Spring!$1:$1,FALSE))="","",INDEX(Spring!$1:$1048576,MATCH(All!$A672,Spring!$A:$A,FALSE),MATCH(All!AB$1,Spring!$1:$1,FALSE))),"")</f>
        <v/>
      </c>
      <c r="AC672" t="str">
        <f>IFERROR(IF(INDEX(Spring!$1:$1048576,MATCH(All!$A672,Spring!$A:$A,FALSE),MATCH(All!AC$1,Spring!$1:$1,FALSE))="","",INDEX(Spring!$1:$1048576,MATCH(All!$A672,Spring!$A:$A,FALSE),MATCH(All!AC$1,Spring!$1:$1,FALSE))),"")</f>
        <v/>
      </c>
      <c r="AD672" t="str">
        <f>IFERROR(VLOOKUP(A672,'Flag Football'!A:A,1,FALSE),"")</f>
        <v/>
      </c>
      <c r="AE672" t="str">
        <f t="shared" si="10"/>
        <v/>
      </c>
    </row>
    <row r="673" spans="1:31" ht="15.75" thickBot="1" x14ac:dyDescent="0.3">
      <c r="A673" s="18" t="s">
        <v>777</v>
      </c>
      <c r="B673" s="38">
        <f>IFERROR(VLOOKUP(A673,'Public v Private'!A:G,3,FALSE),"")</f>
        <v>0</v>
      </c>
      <c r="C673" s="38">
        <f>IFERROR(VLOOKUP(A673,'Public v Private'!A:G,4,FALSE),"")</f>
        <v>0</v>
      </c>
      <c r="D673" s="38">
        <f>IFERROR(VLOOKUP(A673,'Public v Private'!A:G,5,FALSE),"")</f>
        <v>0</v>
      </c>
      <c r="E673" s="38"/>
      <c r="F673" s="40">
        <f>IFERROR(INDEX(Fall!$1:$1048576,MATCH(All!$A673,Fall!$A:$A,FALSE),MATCH(All!F$1,Fall!$1:$1,FALSE)),"N/A")</f>
        <v>1908</v>
      </c>
      <c r="G673" t="str">
        <f>IFERROR(IF(INDEX(Fall!$1:$1048576,MATCH(All!$A673,Fall!$A:$A,FALSE),MATCH(All!G$1,Fall!$1:$1,FALSE))="","",INDEX(Fall!$1:$1048576,MATCH(All!$A673,Fall!$A:$A,FALSE),MATCH(All!G$1,Fall!$1:$1,FALSE))),"")</f>
        <v>3A</v>
      </c>
      <c r="H673" t="str">
        <f>IFERROR(IF(INDEX(Fall!$1:$1048576,MATCH(All!$A673,Fall!$A:$A,FALSE),MATCH(All!H$1,Fall!$1:$1,FALSE))="","",INDEX(Fall!$1:$1048576,MATCH(All!$A673,Fall!$A:$A,FALSE),MATCH(All!H$1,Fall!$1:$1,FALSE))),"")</f>
        <v>3A</v>
      </c>
      <c r="I673" t="str">
        <f>IFERROR(IF(INDEX(Fall!$1:$1048576,MATCH(All!$A673,Fall!$A:$A,FALSE),MATCH(All!I$1,Fall!$1:$1,FALSE))="","",INDEX(Fall!$1:$1048576,MATCH(All!$A673,Fall!$A:$A,FALSE),MATCH(All!I$1,Fall!$1:$1,FALSE))),"")</f>
        <v>3A</v>
      </c>
      <c r="J673" t="str">
        <f>IFERROR(IF(INDEX(Fall!$1:$1048576,MATCH(All!$A673,Fall!$A:$A,FALSE),MATCH(All!J$1,Fall!$1:$1,FALSE))="","",INDEX(Fall!$1:$1048576,MATCH(All!$A673,Fall!$A:$A,FALSE),MATCH(All!J$1,Fall!$1:$1,FALSE))),"")</f>
        <v>2A</v>
      </c>
      <c r="K673" t="str">
        <f>IFERROR(IF(INDEX(Fall!$1:$1048576,MATCH(All!$A673,Fall!$A:$A,FALSE),MATCH(All!K$1,Fall!$1:$1,FALSE))="","",INDEX(Fall!$1:$1048576,MATCH(All!$A673,Fall!$A:$A,FALSE),MATCH(All!K$1,Fall!$1:$1,FALSE))),"")</f>
        <v>3A</v>
      </c>
      <c r="L673" t="str">
        <f>IFERROR(IF(INDEX(Fall!$1:$1048576,MATCH(All!$A673,Fall!$A:$A,FALSE),MATCH(All!L$1,Fall!$1:$1,FALSE))="","",INDEX(Fall!$1:$1048576,MATCH(All!$A673,Fall!$A:$A,FALSE),MATCH(All!L$1,Fall!$1:$1,FALSE))),"")</f>
        <v>2A</v>
      </c>
      <c r="M673" t="str">
        <f>IFERROR(IF(INDEX(Fall!$1:$1048576,MATCH(All!$A673,Fall!$A:$A,FALSE),MATCH(All!M$1,Fall!$1:$1,FALSE))="","",INDEX(Fall!$1:$1048576,MATCH(All!$A673,Fall!$A:$A,FALSE),MATCH(All!M$1,Fall!$1:$1,FALSE))),"")</f>
        <v>4A</v>
      </c>
      <c r="O673">
        <f>IFERROR(IF(INDEX(Winter!$1:$1048576,MATCH(All!$A673,Winter!$A:$A,FALSE),MATCH(All!O$1,Winter!$1:$1,FALSE))="","",INDEX(Winter!$1:$1048576,MATCH(All!$A673,Winter!$A:$A,FALSE),MATCH(All!O$1,Winter!$1:$1,FALSE))),"")</f>
        <v>1908</v>
      </c>
      <c r="P673" t="str">
        <f>IFERROR(IF(INDEX(Winter!$1:$1048576,MATCH(All!$A673,Winter!$A:$A,FALSE),MATCH(All!P$1,Winter!$1:$1,FALSE))="","",INDEX(Winter!$1:$1048576,MATCH(All!$A673,Winter!$A:$A,FALSE),MATCH(All!P$1,Winter!$1:$1,FALSE))),"")</f>
        <v>4A</v>
      </c>
      <c r="Q673" t="str">
        <f>IFERROR(IF(INDEX(Winter!$1:$1048576,MATCH(All!$A673,Winter!$A:$A,FALSE),MATCH(All!Q$1,Winter!$1:$1,FALSE))="","",INDEX(Winter!$1:$1048576,MATCH(All!$A673,Winter!$A:$A,FALSE),MATCH(All!Q$1,Winter!$1:$1,FALSE))),"")</f>
        <v>4A</v>
      </c>
      <c r="R673" t="str">
        <f>IFERROR(IF(INDEX(Winter!$1:$1048576,MATCH(All!$A673,Winter!$A:$A,FALSE),MATCH(All!R$1,Winter!$1:$1,FALSE))="","",INDEX(Winter!$1:$1048576,MATCH(All!$A673,Winter!$A:$A,FALSE),MATCH(All!R$1,Winter!$1:$1,FALSE))),"")</f>
        <v>C</v>
      </c>
      <c r="S673" t="str">
        <f>IFERROR(IF(INDEX(Winter!$1:$1048576,MATCH(All!$A673,Winter!$A:$A,FALSE),MATCH(All!S$1,Winter!$1:$1,FALSE))="","",INDEX(Winter!$1:$1048576,MATCH(All!$A673,Winter!$A:$A,FALSE),MATCH(All!S$1,Winter!$1:$1,FALSE))),"")</f>
        <v>2A</v>
      </c>
      <c r="T673" t="str">
        <f>IFERROR(IF(INDEX(Winter!$1:$1048576,MATCH(All!$A673,Winter!$A:$A,FALSE),MATCH(All!T$1,Winter!$1:$1,FALSE))="","",INDEX(Winter!$1:$1048576,MATCH(All!$A673,Winter!$A:$A,FALSE),MATCH(All!T$1,Winter!$1:$1,FALSE))),"")</f>
        <v/>
      </c>
      <c r="U673" t="str">
        <f>IFERROR(IF(INDEX(Winter!$1:$1048576,MATCH(All!$A673,Winter!$A:$A,FALSE),MATCH(All!U$1,Winter!$1:$1,FALSE))="","",INDEX(Winter!$1:$1048576,MATCH(All!$A673,Winter!$A:$A,FALSE),MATCH(All!U$1,Winter!$1:$1,FALSE))),"")</f>
        <v>3A</v>
      </c>
      <c r="W673">
        <f>IFERROR(IF(INDEX(Spring!$1:$1048576,MATCH(All!$A673,Spring!$A:$A,FALSE),MATCH(All!W$1,Spring!$1:$1,FALSE))="","",INDEX(Spring!$1:$1048576,MATCH(All!$A673,Spring!$A:$A,FALSE),MATCH(All!W$1,Spring!$1:$1,FALSE))),"")</f>
        <v>1908</v>
      </c>
      <c r="X673" t="str">
        <f>IFERROR(IF(INDEX(Spring!$1:$1048576,MATCH(All!$A673,Spring!$A:$A,FALSE),MATCH(All!X$1,Spring!$1:$1,FALSE))="","",INDEX(Spring!$1:$1048576,MATCH(All!$A673,Spring!$A:$A,FALSE),MATCH(All!X$1,Spring!$1:$1,FALSE))),"")</f>
        <v>4A</v>
      </c>
      <c r="Y673" t="str">
        <f>IFERROR(IF(INDEX(Spring!$1:$1048576,MATCH(All!$A673,Spring!$A:$A,FALSE),MATCH(All!Y$1,Spring!$1:$1,FALSE))="","",INDEX(Spring!$1:$1048576,MATCH(All!$A673,Spring!$A:$A,FALSE),MATCH(All!Y$1,Spring!$1:$1,FALSE))),"")</f>
        <v>4A</v>
      </c>
      <c r="Z673" t="str">
        <f>IFERROR(IF(INDEX(Spring!$1:$1048576,MATCH(All!$A673,Spring!$A:$A,FALSE),MATCH(All!Z$1,Spring!$1:$1,FALSE))="","",INDEX(Spring!$1:$1048576,MATCH(All!$A673,Spring!$A:$A,FALSE),MATCH(All!Z$1,Spring!$1:$1,FALSE))),"")</f>
        <v>3A</v>
      </c>
      <c r="AA673" t="str">
        <f>IFERROR(IF(INDEX(Spring!$1:$1048576,MATCH(All!$A673,Spring!$A:$A,FALSE),MATCH(All!AA$1,Spring!$1:$1,FALSE))="","",INDEX(Spring!$1:$1048576,MATCH(All!$A673,Spring!$A:$A,FALSE),MATCH(All!AA$1,Spring!$1:$1,FALSE))),"")</f>
        <v>2A</v>
      </c>
      <c r="AB673" t="str">
        <f>IFERROR(IF(INDEX(Spring!$1:$1048576,MATCH(All!$A673,Spring!$A:$A,FALSE),MATCH(All!AB$1,Spring!$1:$1,FALSE))="","",INDEX(Spring!$1:$1048576,MATCH(All!$A673,Spring!$A:$A,FALSE),MATCH(All!AB$1,Spring!$1:$1,FALSE))),"")</f>
        <v>3A</v>
      </c>
      <c r="AC673" t="str">
        <f>IFERROR(IF(INDEX(Spring!$1:$1048576,MATCH(All!$A673,Spring!$A:$A,FALSE),MATCH(All!AC$1,Spring!$1:$1,FALSE))="","",INDEX(Spring!$1:$1048576,MATCH(All!$A673,Spring!$A:$A,FALSE),MATCH(All!AC$1,Spring!$1:$1,FALSE))),"")</f>
        <v>3A</v>
      </c>
      <c r="AD673" t="str">
        <f>IFERROR(VLOOKUP(A673,'Flag Football'!A:A,1,FALSE),"")</f>
        <v>Skokie (Niles North)</v>
      </c>
      <c r="AE673" t="str">
        <f t="shared" si="10"/>
        <v>1A</v>
      </c>
    </row>
    <row r="674" spans="1:31" ht="15.75" thickBot="1" x14ac:dyDescent="0.3">
      <c r="A674" s="20" t="s">
        <v>778</v>
      </c>
      <c r="B674" s="38">
        <f>IFERROR(VLOOKUP(A674,'Public v Private'!A:G,3,FALSE),"")</f>
        <v>0</v>
      </c>
      <c r="C674" s="38">
        <f>IFERROR(VLOOKUP(A674,'Public v Private'!A:G,4,FALSE),"")</f>
        <v>0</v>
      </c>
      <c r="D674" s="38">
        <f>IFERROR(VLOOKUP(A674,'Public v Private'!A:G,5,FALSE),"")</f>
        <v>0</v>
      </c>
      <c r="E674" s="38"/>
      <c r="F674" s="40">
        <f>IFERROR(INDEX(Fall!$1:$1048576,MATCH(All!$A674,Fall!$A:$A,FALSE),MATCH(All!F$1,Fall!$1:$1,FALSE)),"N/A")</f>
        <v>2550</v>
      </c>
      <c r="G674" t="str">
        <f>IFERROR(IF(INDEX(Fall!$1:$1048576,MATCH(All!$A674,Fall!$A:$A,FALSE),MATCH(All!G$1,Fall!$1:$1,FALSE))="","",INDEX(Fall!$1:$1048576,MATCH(All!$A674,Fall!$A:$A,FALSE),MATCH(All!G$1,Fall!$1:$1,FALSE))),"")</f>
        <v>3A</v>
      </c>
      <c r="H674" t="str">
        <f>IFERROR(IF(INDEX(Fall!$1:$1048576,MATCH(All!$A674,Fall!$A:$A,FALSE),MATCH(All!H$1,Fall!$1:$1,FALSE))="","",INDEX(Fall!$1:$1048576,MATCH(All!$A674,Fall!$A:$A,FALSE),MATCH(All!H$1,Fall!$1:$1,FALSE))),"")</f>
        <v>3A</v>
      </c>
      <c r="I674" t="str">
        <f>IFERROR(IF(INDEX(Fall!$1:$1048576,MATCH(All!$A674,Fall!$A:$A,FALSE),MATCH(All!I$1,Fall!$1:$1,FALSE))="","",INDEX(Fall!$1:$1048576,MATCH(All!$A674,Fall!$A:$A,FALSE),MATCH(All!I$1,Fall!$1:$1,FALSE))),"")</f>
        <v>3A</v>
      </c>
      <c r="J674" t="str">
        <f>IFERROR(IF(INDEX(Fall!$1:$1048576,MATCH(All!$A674,Fall!$A:$A,FALSE),MATCH(All!J$1,Fall!$1:$1,FALSE))="","",INDEX(Fall!$1:$1048576,MATCH(All!$A674,Fall!$A:$A,FALSE),MATCH(All!J$1,Fall!$1:$1,FALSE))),"")</f>
        <v>2A</v>
      </c>
      <c r="K674" t="str">
        <f>IFERROR(IF(INDEX(Fall!$1:$1048576,MATCH(All!$A674,Fall!$A:$A,FALSE),MATCH(All!K$1,Fall!$1:$1,FALSE))="","",INDEX(Fall!$1:$1048576,MATCH(All!$A674,Fall!$A:$A,FALSE),MATCH(All!K$1,Fall!$1:$1,FALSE))),"")</f>
        <v>3A</v>
      </c>
      <c r="L674" t="str">
        <f>IFERROR(IF(INDEX(Fall!$1:$1048576,MATCH(All!$A674,Fall!$A:$A,FALSE),MATCH(All!L$1,Fall!$1:$1,FALSE))="","",INDEX(Fall!$1:$1048576,MATCH(All!$A674,Fall!$A:$A,FALSE),MATCH(All!L$1,Fall!$1:$1,FALSE))),"")</f>
        <v>2A</v>
      </c>
      <c r="M674" t="str">
        <f>IFERROR(IF(INDEX(Fall!$1:$1048576,MATCH(All!$A674,Fall!$A:$A,FALSE),MATCH(All!M$1,Fall!$1:$1,FALSE))="","",INDEX(Fall!$1:$1048576,MATCH(All!$A674,Fall!$A:$A,FALSE),MATCH(All!M$1,Fall!$1:$1,FALSE))),"")</f>
        <v>4A</v>
      </c>
      <c r="O674">
        <f>IFERROR(IF(INDEX(Winter!$1:$1048576,MATCH(All!$A674,Winter!$A:$A,FALSE),MATCH(All!O$1,Winter!$1:$1,FALSE))="","",INDEX(Winter!$1:$1048576,MATCH(All!$A674,Winter!$A:$A,FALSE),MATCH(All!O$1,Winter!$1:$1,FALSE))),"")</f>
        <v>2550</v>
      </c>
      <c r="P674" t="str">
        <f>IFERROR(IF(INDEX(Winter!$1:$1048576,MATCH(All!$A674,Winter!$A:$A,FALSE),MATCH(All!P$1,Winter!$1:$1,FALSE))="","",INDEX(Winter!$1:$1048576,MATCH(All!$A674,Winter!$A:$A,FALSE),MATCH(All!P$1,Winter!$1:$1,FALSE))),"")</f>
        <v>4A</v>
      </c>
      <c r="Q674" t="str">
        <f>IFERROR(IF(INDEX(Winter!$1:$1048576,MATCH(All!$A674,Winter!$A:$A,FALSE),MATCH(All!Q$1,Winter!$1:$1,FALSE))="","",INDEX(Winter!$1:$1048576,MATCH(All!$A674,Winter!$A:$A,FALSE),MATCH(All!Q$1,Winter!$1:$1,FALSE))),"")</f>
        <v>4A</v>
      </c>
      <c r="R674" t="str">
        <f>IFERROR(IF(INDEX(Winter!$1:$1048576,MATCH(All!$A674,Winter!$A:$A,FALSE),MATCH(All!R$1,Winter!$1:$1,FALSE))="","",INDEX(Winter!$1:$1048576,MATCH(All!$A674,Winter!$A:$A,FALSE),MATCH(All!R$1,Winter!$1:$1,FALSE))),"")</f>
        <v>C</v>
      </c>
      <c r="S674" t="str">
        <f>IFERROR(IF(INDEX(Winter!$1:$1048576,MATCH(All!$A674,Winter!$A:$A,FALSE),MATCH(All!S$1,Winter!$1:$1,FALSE))="","",INDEX(Winter!$1:$1048576,MATCH(All!$A674,Winter!$A:$A,FALSE),MATCH(All!S$1,Winter!$1:$1,FALSE))),"")</f>
        <v>3A</v>
      </c>
      <c r="T674" t="str">
        <f>IFERROR(IF(INDEX(Winter!$1:$1048576,MATCH(All!$A674,Winter!$A:$A,FALSE),MATCH(All!T$1,Winter!$1:$1,FALSE))="","",INDEX(Winter!$1:$1048576,MATCH(All!$A674,Winter!$A:$A,FALSE),MATCH(All!T$1,Winter!$1:$1,FALSE))),"")</f>
        <v>2A</v>
      </c>
      <c r="U674" t="str">
        <f>IFERROR(IF(INDEX(Winter!$1:$1048576,MATCH(All!$A674,Winter!$A:$A,FALSE),MATCH(All!U$1,Winter!$1:$1,FALSE))="","",INDEX(Winter!$1:$1048576,MATCH(All!$A674,Winter!$A:$A,FALSE),MATCH(All!U$1,Winter!$1:$1,FALSE))),"")</f>
        <v>3A</v>
      </c>
      <c r="W674">
        <f>IFERROR(IF(INDEX(Spring!$1:$1048576,MATCH(All!$A674,Spring!$A:$A,FALSE),MATCH(All!W$1,Spring!$1:$1,FALSE))="","",INDEX(Spring!$1:$1048576,MATCH(All!$A674,Spring!$A:$A,FALSE),MATCH(All!W$1,Spring!$1:$1,FALSE))),"")</f>
        <v>2550</v>
      </c>
      <c r="X674" t="str">
        <f>IFERROR(IF(INDEX(Spring!$1:$1048576,MATCH(All!$A674,Spring!$A:$A,FALSE),MATCH(All!X$1,Spring!$1:$1,FALSE))="","",INDEX(Spring!$1:$1048576,MATCH(All!$A674,Spring!$A:$A,FALSE),MATCH(All!X$1,Spring!$1:$1,FALSE))),"")</f>
        <v>4A</v>
      </c>
      <c r="Y674" t="str">
        <f>IFERROR(IF(INDEX(Spring!$1:$1048576,MATCH(All!$A674,Spring!$A:$A,FALSE),MATCH(All!Y$1,Spring!$1:$1,FALSE))="","",INDEX(Spring!$1:$1048576,MATCH(All!$A674,Spring!$A:$A,FALSE),MATCH(All!Y$1,Spring!$1:$1,FALSE))),"")</f>
        <v>4A</v>
      </c>
      <c r="Z674" t="str">
        <f>IFERROR(IF(INDEX(Spring!$1:$1048576,MATCH(All!$A674,Spring!$A:$A,FALSE),MATCH(All!Z$1,Spring!$1:$1,FALSE))="","",INDEX(Spring!$1:$1048576,MATCH(All!$A674,Spring!$A:$A,FALSE),MATCH(All!Z$1,Spring!$1:$1,FALSE))),"")</f>
        <v>3A</v>
      </c>
      <c r="AA674" t="str">
        <f>IFERROR(IF(INDEX(Spring!$1:$1048576,MATCH(All!$A674,Spring!$A:$A,FALSE),MATCH(All!AA$1,Spring!$1:$1,FALSE))="","",INDEX(Spring!$1:$1048576,MATCH(All!$A674,Spring!$A:$A,FALSE),MATCH(All!AA$1,Spring!$1:$1,FALSE))),"")</f>
        <v>2A</v>
      </c>
      <c r="AB674" t="str">
        <f>IFERROR(IF(INDEX(Spring!$1:$1048576,MATCH(All!$A674,Spring!$A:$A,FALSE),MATCH(All!AB$1,Spring!$1:$1,FALSE))="","",INDEX(Spring!$1:$1048576,MATCH(All!$A674,Spring!$A:$A,FALSE),MATCH(All!AB$1,Spring!$1:$1,FALSE))),"")</f>
        <v>3A</v>
      </c>
      <c r="AC674" t="str">
        <f>IFERROR(IF(INDEX(Spring!$1:$1048576,MATCH(All!$A674,Spring!$A:$A,FALSE),MATCH(All!AC$1,Spring!$1:$1,FALSE))="","",INDEX(Spring!$1:$1048576,MATCH(All!$A674,Spring!$A:$A,FALSE),MATCH(All!AC$1,Spring!$1:$1,FALSE))),"")</f>
        <v>3A</v>
      </c>
      <c r="AD674" t="str">
        <f>IFERROR(VLOOKUP(A674,'Flag Football'!A:A,1,FALSE),"")</f>
        <v>Skokie (Niles West)</v>
      </c>
      <c r="AE674" t="str">
        <f t="shared" si="10"/>
        <v>1A</v>
      </c>
    </row>
    <row r="675" spans="1:31" ht="15.75" thickBot="1" x14ac:dyDescent="0.3">
      <c r="A675" s="18" t="s">
        <v>779</v>
      </c>
      <c r="B675" s="38" t="str">
        <f>IFERROR(VLOOKUP(A675,'Public v Private'!A:G,3,FALSE),"")</f>
        <v>private</v>
      </c>
      <c r="C675" s="38">
        <f>IFERROR(VLOOKUP(A675,'Public v Private'!A:G,4,FALSE),"")</f>
        <v>2</v>
      </c>
      <c r="D675" s="38">
        <f>IFERROR(VLOOKUP(A675,'Public v Private'!A:G,5,FALSE),"")</f>
        <v>4</v>
      </c>
      <c r="E675" s="38"/>
      <c r="F675" s="40" t="str">
        <f>IFERROR(INDEX(Fall!$1:$1048576,MATCH(All!$A675,Fall!$A:$A,FALSE),MATCH(All!F$1,Fall!$1:$1,FALSE)),"N/A")</f>
        <v>202.00 (333.30)</v>
      </c>
      <c r="G675" t="str">
        <f>IFERROR(IF(INDEX(Fall!$1:$1048576,MATCH(All!$A675,Fall!$A:$A,FALSE),MATCH(All!G$1,Fall!$1:$1,FALSE))="","",INDEX(Fall!$1:$1048576,MATCH(All!$A675,Fall!$A:$A,FALSE),MATCH(All!G$1,Fall!$1:$1,FALSE))),"")</f>
        <v/>
      </c>
      <c r="H675" t="str">
        <f>IFERROR(IF(INDEX(Fall!$1:$1048576,MATCH(All!$A675,Fall!$A:$A,FALSE),MATCH(All!H$1,Fall!$1:$1,FALSE))="","",INDEX(Fall!$1:$1048576,MATCH(All!$A675,Fall!$A:$A,FALSE),MATCH(All!H$1,Fall!$1:$1,FALSE))),"")</f>
        <v/>
      </c>
      <c r="I675" t="str">
        <f>IFERROR(IF(INDEX(Fall!$1:$1048576,MATCH(All!$A675,Fall!$A:$A,FALSE),MATCH(All!I$1,Fall!$1:$1,FALSE))="","",INDEX(Fall!$1:$1048576,MATCH(All!$A675,Fall!$A:$A,FALSE),MATCH(All!I$1,Fall!$1:$1,FALSE))),"")</f>
        <v/>
      </c>
      <c r="J675" t="str">
        <f>IFERROR(IF(INDEX(Fall!$1:$1048576,MATCH(All!$A675,Fall!$A:$A,FALSE),MATCH(All!J$1,Fall!$1:$1,FALSE))="","",INDEX(Fall!$1:$1048576,MATCH(All!$A675,Fall!$A:$A,FALSE),MATCH(All!J$1,Fall!$1:$1,FALSE))),"")</f>
        <v/>
      </c>
      <c r="K675" t="str">
        <f>IFERROR(IF(INDEX(Fall!$1:$1048576,MATCH(All!$A675,Fall!$A:$A,FALSE),MATCH(All!K$1,Fall!$1:$1,FALSE))="","",INDEX(Fall!$1:$1048576,MATCH(All!$A675,Fall!$A:$A,FALSE),MATCH(All!K$1,Fall!$1:$1,FALSE))),"")</f>
        <v>1A</v>
      </c>
      <c r="L675" t="str">
        <f>IFERROR(IF(INDEX(Fall!$1:$1048576,MATCH(All!$A675,Fall!$A:$A,FALSE),MATCH(All!L$1,Fall!$1:$1,FALSE))="","",INDEX(Fall!$1:$1048576,MATCH(All!$A675,Fall!$A:$A,FALSE),MATCH(All!L$1,Fall!$1:$1,FALSE))),"")</f>
        <v/>
      </c>
      <c r="M675" t="str">
        <f>IFERROR(IF(INDEX(Fall!$1:$1048576,MATCH(All!$A675,Fall!$A:$A,FALSE),MATCH(All!M$1,Fall!$1:$1,FALSE))="","",INDEX(Fall!$1:$1048576,MATCH(All!$A675,Fall!$A:$A,FALSE),MATCH(All!M$1,Fall!$1:$1,FALSE))),"")</f>
        <v/>
      </c>
      <c r="O675" t="str">
        <f>IFERROR(IF(INDEX(Winter!$1:$1048576,MATCH(All!$A675,Winter!$A:$A,FALSE),MATCH(All!O$1,Winter!$1:$1,FALSE))="","",INDEX(Winter!$1:$1048576,MATCH(All!$A675,Winter!$A:$A,FALSE),MATCH(All!O$1,Winter!$1:$1,FALSE))),"")</f>
        <v>202.00 (333.30)</v>
      </c>
      <c r="P675" t="str">
        <f>IFERROR(IF(INDEX(Winter!$1:$1048576,MATCH(All!$A675,Winter!$A:$A,FALSE),MATCH(All!P$1,Winter!$1:$1,FALSE))="","",INDEX(Winter!$1:$1048576,MATCH(All!$A675,Winter!$A:$A,FALSE),MATCH(All!P$1,Winter!$1:$1,FALSE))),"")</f>
        <v>1A</v>
      </c>
      <c r="Q675" t="str">
        <f>IFERROR(IF(INDEX(Winter!$1:$1048576,MATCH(All!$A675,Winter!$A:$A,FALSE),MATCH(All!Q$1,Winter!$1:$1,FALSE))="","",INDEX(Winter!$1:$1048576,MATCH(All!$A675,Winter!$A:$A,FALSE),MATCH(All!Q$1,Winter!$1:$1,FALSE))),"")</f>
        <v/>
      </c>
      <c r="R675" t="str">
        <f>IFERROR(IF(INDEX(Winter!$1:$1048576,MATCH(All!$A675,Winter!$A:$A,FALSE),MATCH(All!R$1,Winter!$1:$1,FALSE))="","",INDEX(Winter!$1:$1048576,MATCH(All!$A675,Winter!$A:$A,FALSE),MATCH(All!R$1,Winter!$1:$1,FALSE))),"")</f>
        <v/>
      </c>
      <c r="S675" t="str">
        <f>IFERROR(IF(INDEX(Winter!$1:$1048576,MATCH(All!$A675,Winter!$A:$A,FALSE),MATCH(All!S$1,Winter!$1:$1,FALSE))="","",INDEX(Winter!$1:$1048576,MATCH(All!$A675,Winter!$A:$A,FALSE),MATCH(All!S$1,Winter!$1:$1,FALSE))),"")</f>
        <v/>
      </c>
      <c r="T675" t="str">
        <f>IFERROR(IF(INDEX(Winter!$1:$1048576,MATCH(All!$A675,Winter!$A:$A,FALSE),MATCH(All!T$1,Winter!$1:$1,FALSE))="","",INDEX(Winter!$1:$1048576,MATCH(All!$A675,Winter!$A:$A,FALSE),MATCH(All!T$1,Winter!$1:$1,FALSE))),"")</f>
        <v/>
      </c>
      <c r="U675" t="str">
        <f>IFERROR(IF(INDEX(Winter!$1:$1048576,MATCH(All!$A675,Winter!$A:$A,FALSE),MATCH(All!U$1,Winter!$1:$1,FALSE))="","",INDEX(Winter!$1:$1048576,MATCH(All!$A675,Winter!$A:$A,FALSE),MATCH(All!U$1,Winter!$1:$1,FALSE))),"")</f>
        <v/>
      </c>
      <c r="W675" t="str">
        <f>IFERROR(IF(INDEX(Spring!$1:$1048576,MATCH(All!$A675,Spring!$A:$A,FALSE),MATCH(All!W$1,Spring!$1:$1,FALSE))="","",INDEX(Spring!$1:$1048576,MATCH(All!$A675,Spring!$A:$A,FALSE),MATCH(All!W$1,Spring!$1:$1,FALSE))),"")</f>
        <v>202.00 (333.30)</v>
      </c>
      <c r="X675" t="str">
        <f>IFERROR(IF(INDEX(Spring!$1:$1048576,MATCH(All!$A675,Spring!$A:$A,FALSE),MATCH(All!X$1,Spring!$1:$1,FALSE))="","",INDEX(Spring!$1:$1048576,MATCH(All!$A675,Spring!$A:$A,FALSE),MATCH(All!X$1,Spring!$1:$1,FALSE))),"")</f>
        <v>2A</v>
      </c>
      <c r="Y675" t="str">
        <f>IFERROR(IF(INDEX(Spring!$1:$1048576,MATCH(All!$A675,Spring!$A:$A,FALSE),MATCH(All!Y$1,Spring!$1:$1,FALSE))="","",INDEX(Spring!$1:$1048576,MATCH(All!$A675,Spring!$A:$A,FALSE),MATCH(All!Y$1,Spring!$1:$1,FALSE))),"")</f>
        <v/>
      </c>
      <c r="Z675" t="str">
        <f>IFERROR(IF(INDEX(Spring!$1:$1048576,MATCH(All!$A675,Spring!$A:$A,FALSE),MATCH(All!Z$1,Spring!$1:$1,FALSE))="","",INDEX(Spring!$1:$1048576,MATCH(All!$A675,Spring!$A:$A,FALSE),MATCH(All!Z$1,Spring!$1:$1,FALSE))),"")</f>
        <v/>
      </c>
      <c r="AA675" t="str">
        <f>IFERROR(IF(INDEX(Spring!$1:$1048576,MATCH(All!$A675,Spring!$A:$A,FALSE),MATCH(All!AA$1,Spring!$1:$1,FALSE))="","",INDEX(Spring!$1:$1048576,MATCH(All!$A675,Spring!$A:$A,FALSE),MATCH(All!AA$1,Spring!$1:$1,FALSE))),"")</f>
        <v/>
      </c>
      <c r="AB675" t="str">
        <f>IFERROR(IF(INDEX(Spring!$1:$1048576,MATCH(All!$A675,Spring!$A:$A,FALSE),MATCH(All!AB$1,Spring!$1:$1,FALSE))="","",INDEX(Spring!$1:$1048576,MATCH(All!$A675,Spring!$A:$A,FALSE),MATCH(All!AB$1,Spring!$1:$1,FALSE))),"")</f>
        <v/>
      </c>
      <c r="AC675" t="str">
        <f>IFERROR(IF(INDEX(Spring!$1:$1048576,MATCH(All!$A675,Spring!$A:$A,FALSE),MATCH(All!AC$1,Spring!$1:$1,FALSE))="","",INDEX(Spring!$1:$1048576,MATCH(All!$A675,Spring!$A:$A,FALSE),MATCH(All!AC$1,Spring!$1:$1,FALSE))),"")</f>
        <v/>
      </c>
      <c r="AD675" t="str">
        <f>IFERROR(VLOOKUP(A675,'Flag Football'!A:A,1,FALSE),"")</f>
        <v/>
      </c>
      <c r="AE675" t="str">
        <f t="shared" si="10"/>
        <v/>
      </c>
    </row>
    <row r="676" spans="1:31" ht="15.75" thickBot="1" x14ac:dyDescent="0.3">
      <c r="A676" s="20" t="s">
        <v>781</v>
      </c>
      <c r="B676" s="38">
        <f>IFERROR(VLOOKUP(A676,'Public v Private'!A:G,3,FALSE),"")</f>
        <v>0</v>
      </c>
      <c r="C676" s="38">
        <f>IFERROR(VLOOKUP(A676,'Public v Private'!A:G,4,FALSE),"")</f>
        <v>0</v>
      </c>
      <c r="D676" s="38">
        <f>IFERROR(VLOOKUP(A676,'Public v Private'!A:G,5,FALSE),"")</f>
        <v>0</v>
      </c>
      <c r="E676" s="38"/>
      <c r="F676" s="40">
        <f>IFERROR(INDEX(Fall!$1:$1048576,MATCH(All!$A676,Fall!$A:$A,FALSE),MATCH(All!F$1,Fall!$1:$1,FALSE)),"N/A")</f>
        <v>236</v>
      </c>
      <c r="G676" t="str">
        <f>IFERROR(IF(INDEX(Fall!$1:$1048576,MATCH(All!$A676,Fall!$A:$A,FALSE),MATCH(All!G$1,Fall!$1:$1,FALSE))="","",INDEX(Fall!$1:$1048576,MATCH(All!$A676,Fall!$A:$A,FALSE),MATCH(All!G$1,Fall!$1:$1,FALSE))),"")</f>
        <v>1A</v>
      </c>
      <c r="H676" t="str">
        <f>IFERROR(IF(INDEX(Fall!$1:$1048576,MATCH(All!$A676,Fall!$A:$A,FALSE),MATCH(All!H$1,Fall!$1:$1,FALSE))="","",INDEX(Fall!$1:$1048576,MATCH(All!$A676,Fall!$A:$A,FALSE),MATCH(All!H$1,Fall!$1:$1,FALSE))),"")</f>
        <v>1A</v>
      </c>
      <c r="I676" t="str">
        <f>IFERROR(IF(INDEX(Fall!$1:$1048576,MATCH(All!$A676,Fall!$A:$A,FALSE),MATCH(All!I$1,Fall!$1:$1,FALSE))="","",INDEX(Fall!$1:$1048576,MATCH(All!$A676,Fall!$A:$A,FALSE),MATCH(All!I$1,Fall!$1:$1,FALSE))),"")</f>
        <v>1A</v>
      </c>
      <c r="J676" t="str">
        <f>IFERROR(IF(INDEX(Fall!$1:$1048576,MATCH(All!$A676,Fall!$A:$A,FALSE),MATCH(All!J$1,Fall!$1:$1,FALSE))="","",INDEX(Fall!$1:$1048576,MATCH(All!$A676,Fall!$A:$A,FALSE),MATCH(All!J$1,Fall!$1:$1,FALSE))),"")</f>
        <v>1A</v>
      </c>
      <c r="K676" t="str">
        <f>IFERROR(IF(INDEX(Fall!$1:$1048576,MATCH(All!$A676,Fall!$A:$A,FALSE),MATCH(All!K$1,Fall!$1:$1,FALSE))="","",INDEX(Fall!$1:$1048576,MATCH(All!$A676,Fall!$A:$A,FALSE),MATCH(All!K$1,Fall!$1:$1,FALSE))),"")</f>
        <v>1A</v>
      </c>
      <c r="L676" t="str">
        <f>IFERROR(IF(INDEX(Fall!$1:$1048576,MATCH(All!$A676,Fall!$A:$A,FALSE),MATCH(All!L$1,Fall!$1:$1,FALSE))="","",INDEX(Fall!$1:$1048576,MATCH(All!$A676,Fall!$A:$A,FALSE),MATCH(All!L$1,Fall!$1:$1,FALSE))),"")</f>
        <v/>
      </c>
      <c r="M676" t="str">
        <f>IFERROR(IF(INDEX(Fall!$1:$1048576,MATCH(All!$A676,Fall!$A:$A,FALSE),MATCH(All!M$1,Fall!$1:$1,FALSE))="","",INDEX(Fall!$1:$1048576,MATCH(All!$A676,Fall!$A:$A,FALSE),MATCH(All!M$1,Fall!$1:$1,FALSE))),"")</f>
        <v>1A</v>
      </c>
      <c r="O676">
        <f>IFERROR(IF(INDEX(Winter!$1:$1048576,MATCH(All!$A676,Winter!$A:$A,FALSE),MATCH(All!O$1,Winter!$1:$1,FALSE))="","",INDEX(Winter!$1:$1048576,MATCH(All!$A676,Winter!$A:$A,FALSE),MATCH(All!O$1,Winter!$1:$1,FALSE))),"")</f>
        <v>236</v>
      </c>
      <c r="P676" t="str">
        <f>IFERROR(IF(INDEX(Winter!$1:$1048576,MATCH(All!$A676,Winter!$A:$A,FALSE),MATCH(All!P$1,Winter!$1:$1,FALSE))="","",INDEX(Winter!$1:$1048576,MATCH(All!$A676,Winter!$A:$A,FALSE),MATCH(All!P$1,Winter!$1:$1,FALSE))),"")</f>
        <v>1A</v>
      </c>
      <c r="Q676" t="str">
        <f>IFERROR(IF(INDEX(Winter!$1:$1048576,MATCH(All!$A676,Winter!$A:$A,FALSE),MATCH(All!Q$1,Winter!$1:$1,FALSE))="","",INDEX(Winter!$1:$1048576,MATCH(All!$A676,Winter!$A:$A,FALSE),MATCH(All!Q$1,Winter!$1:$1,FALSE))),"")</f>
        <v>2A</v>
      </c>
      <c r="R676" t="str">
        <f>IFERROR(IF(INDEX(Winter!$1:$1048576,MATCH(All!$A676,Winter!$A:$A,FALSE),MATCH(All!R$1,Winter!$1:$1,FALSE))="","",INDEX(Winter!$1:$1048576,MATCH(All!$A676,Winter!$A:$A,FALSE),MATCH(All!R$1,Winter!$1:$1,FALSE))),"")</f>
        <v>1A</v>
      </c>
      <c r="S676" t="str">
        <f>IFERROR(IF(INDEX(Winter!$1:$1048576,MATCH(All!$A676,Winter!$A:$A,FALSE),MATCH(All!S$1,Winter!$1:$1,FALSE))="","",INDEX(Winter!$1:$1048576,MATCH(All!$A676,Winter!$A:$A,FALSE),MATCH(All!S$1,Winter!$1:$1,FALSE))),"")</f>
        <v/>
      </c>
      <c r="T676" t="str">
        <f>IFERROR(IF(INDEX(Winter!$1:$1048576,MATCH(All!$A676,Winter!$A:$A,FALSE),MATCH(All!T$1,Winter!$1:$1,FALSE))="","",INDEX(Winter!$1:$1048576,MATCH(All!$A676,Winter!$A:$A,FALSE),MATCH(All!T$1,Winter!$1:$1,FALSE))),"")</f>
        <v/>
      </c>
      <c r="U676" t="str">
        <f>IFERROR(IF(INDEX(Winter!$1:$1048576,MATCH(All!$A676,Winter!$A:$A,FALSE),MATCH(All!U$1,Winter!$1:$1,FALSE))="","",INDEX(Winter!$1:$1048576,MATCH(All!$A676,Winter!$A:$A,FALSE),MATCH(All!U$1,Winter!$1:$1,FALSE))),"")</f>
        <v>1A</v>
      </c>
      <c r="W676">
        <f>IFERROR(IF(INDEX(Spring!$1:$1048576,MATCH(All!$A676,Spring!$A:$A,FALSE),MATCH(All!W$1,Spring!$1:$1,FALSE))="","",INDEX(Spring!$1:$1048576,MATCH(All!$A676,Spring!$A:$A,FALSE),MATCH(All!W$1,Spring!$1:$1,FALSE))),"")</f>
        <v>236</v>
      </c>
      <c r="X676" t="str">
        <f>IFERROR(IF(INDEX(Spring!$1:$1048576,MATCH(All!$A676,Spring!$A:$A,FALSE),MATCH(All!X$1,Spring!$1:$1,FALSE))="","",INDEX(Spring!$1:$1048576,MATCH(All!$A676,Spring!$A:$A,FALSE),MATCH(All!X$1,Spring!$1:$1,FALSE))),"")</f>
        <v>1A</v>
      </c>
      <c r="Y676" t="str">
        <f>IFERROR(IF(INDEX(Spring!$1:$1048576,MATCH(All!$A676,Spring!$A:$A,FALSE),MATCH(All!Y$1,Spring!$1:$1,FALSE))="","",INDEX(Spring!$1:$1048576,MATCH(All!$A676,Spring!$A:$A,FALSE),MATCH(All!Y$1,Spring!$1:$1,FALSE))),"")</f>
        <v>2A</v>
      </c>
      <c r="Z676" t="str">
        <f>IFERROR(IF(INDEX(Spring!$1:$1048576,MATCH(All!$A676,Spring!$A:$A,FALSE),MATCH(All!Z$1,Spring!$1:$1,FALSE))="","",INDEX(Spring!$1:$1048576,MATCH(All!$A676,Spring!$A:$A,FALSE),MATCH(All!Z$1,Spring!$1:$1,FALSE))),"")</f>
        <v/>
      </c>
      <c r="AA676" t="str">
        <f>IFERROR(IF(INDEX(Spring!$1:$1048576,MATCH(All!$A676,Spring!$A:$A,FALSE),MATCH(All!AA$1,Spring!$1:$1,FALSE))="","",INDEX(Spring!$1:$1048576,MATCH(All!$A676,Spring!$A:$A,FALSE),MATCH(All!AA$1,Spring!$1:$1,FALSE))),"")</f>
        <v/>
      </c>
      <c r="AB676" t="str">
        <f>IFERROR(IF(INDEX(Spring!$1:$1048576,MATCH(All!$A676,Spring!$A:$A,FALSE),MATCH(All!AB$1,Spring!$1:$1,FALSE))="","",INDEX(Spring!$1:$1048576,MATCH(All!$A676,Spring!$A:$A,FALSE),MATCH(All!AB$1,Spring!$1:$1,FALSE))),"")</f>
        <v>1A</v>
      </c>
      <c r="AC676" t="str">
        <f>IFERROR(IF(INDEX(Spring!$1:$1048576,MATCH(All!$A676,Spring!$A:$A,FALSE),MATCH(All!AC$1,Spring!$1:$1,FALSE))="","",INDEX(Spring!$1:$1048576,MATCH(All!$A676,Spring!$A:$A,FALSE),MATCH(All!AC$1,Spring!$1:$1,FALSE))),"")</f>
        <v>1A</v>
      </c>
      <c r="AD676" t="str">
        <f>IFERROR(VLOOKUP(A676,'Flag Football'!A:A,1,FALSE),"")</f>
        <v/>
      </c>
      <c r="AE676" t="str">
        <f t="shared" si="10"/>
        <v/>
      </c>
    </row>
    <row r="677" spans="1:31" ht="15.75" thickBot="1" x14ac:dyDescent="0.3">
      <c r="A677" s="18" t="s">
        <v>782</v>
      </c>
      <c r="B677" s="38">
        <f>IFERROR(VLOOKUP(A677,'Public v Private'!A:G,3,FALSE),"")</f>
        <v>0</v>
      </c>
      <c r="C677" s="38">
        <f>IFERROR(VLOOKUP(A677,'Public v Private'!A:G,4,FALSE),"")</f>
        <v>0</v>
      </c>
      <c r="D677" s="38">
        <f>IFERROR(VLOOKUP(A677,'Public v Private'!A:G,5,FALSE),"")</f>
        <v>0</v>
      </c>
      <c r="E677" s="38"/>
      <c r="F677" s="40">
        <f>IFERROR(INDEX(Fall!$1:$1048576,MATCH(All!$A677,Fall!$A:$A,FALSE),MATCH(All!F$1,Fall!$1:$1,FALSE)),"N/A")</f>
        <v>238</v>
      </c>
      <c r="G677" t="str">
        <f>IFERROR(IF(INDEX(Fall!$1:$1048576,MATCH(All!$A677,Fall!$A:$A,FALSE),MATCH(All!G$1,Fall!$1:$1,FALSE))="","",INDEX(Fall!$1:$1048576,MATCH(All!$A677,Fall!$A:$A,FALSE),MATCH(All!G$1,Fall!$1:$1,FALSE))),"")</f>
        <v/>
      </c>
      <c r="H677" t="str">
        <f>IFERROR(IF(INDEX(Fall!$1:$1048576,MATCH(All!$A677,Fall!$A:$A,FALSE),MATCH(All!H$1,Fall!$1:$1,FALSE))="","",INDEX(Fall!$1:$1048576,MATCH(All!$A677,Fall!$A:$A,FALSE),MATCH(All!H$1,Fall!$1:$1,FALSE))),"")</f>
        <v/>
      </c>
      <c r="I677" t="str">
        <f>IFERROR(IF(INDEX(Fall!$1:$1048576,MATCH(All!$A677,Fall!$A:$A,FALSE),MATCH(All!I$1,Fall!$1:$1,FALSE))="","",INDEX(Fall!$1:$1048576,MATCH(All!$A677,Fall!$A:$A,FALSE),MATCH(All!I$1,Fall!$1:$1,FALSE))),"")</f>
        <v/>
      </c>
      <c r="J677" t="str">
        <f>IFERROR(IF(INDEX(Fall!$1:$1048576,MATCH(All!$A677,Fall!$A:$A,FALSE),MATCH(All!J$1,Fall!$1:$1,FALSE))="","",INDEX(Fall!$1:$1048576,MATCH(All!$A677,Fall!$A:$A,FALSE),MATCH(All!J$1,Fall!$1:$1,FALSE))),"")</f>
        <v/>
      </c>
      <c r="K677" t="str">
        <f>IFERROR(IF(INDEX(Fall!$1:$1048576,MATCH(All!$A677,Fall!$A:$A,FALSE),MATCH(All!K$1,Fall!$1:$1,FALSE))="","",INDEX(Fall!$1:$1048576,MATCH(All!$A677,Fall!$A:$A,FALSE),MATCH(All!K$1,Fall!$1:$1,FALSE))),"")</f>
        <v>1A</v>
      </c>
      <c r="L677" t="str">
        <f>IFERROR(IF(INDEX(Fall!$1:$1048576,MATCH(All!$A677,Fall!$A:$A,FALSE),MATCH(All!L$1,Fall!$1:$1,FALSE))="","",INDEX(Fall!$1:$1048576,MATCH(All!$A677,Fall!$A:$A,FALSE),MATCH(All!L$1,Fall!$1:$1,FALSE))),"")</f>
        <v/>
      </c>
      <c r="M677" t="str">
        <f>IFERROR(IF(INDEX(Fall!$1:$1048576,MATCH(All!$A677,Fall!$A:$A,FALSE),MATCH(All!M$1,Fall!$1:$1,FALSE))="","",INDEX(Fall!$1:$1048576,MATCH(All!$A677,Fall!$A:$A,FALSE),MATCH(All!M$1,Fall!$1:$1,FALSE))),"")</f>
        <v>1A</v>
      </c>
      <c r="O677">
        <f>IFERROR(IF(INDEX(Winter!$1:$1048576,MATCH(All!$A677,Winter!$A:$A,FALSE),MATCH(All!O$1,Winter!$1:$1,FALSE))="","",INDEX(Winter!$1:$1048576,MATCH(All!$A677,Winter!$A:$A,FALSE),MATCH(All!O$1,Winter!$1:$1,FALSE))),"")</f>
        <v>238</v>
      </c>
      <c r="P677" t="str">
        <f>IFERROR(IF(INDEX(Winter!$1:$1048576,MATCH(All!$A677,Winter!$A:$A,FALSE),MATCH(All!P$1,Winter!$1:$1,FALSE))="","",INDEX(Winter!$1:$1048576,MATCH(All!$A677,Winter!$A:$A,FALSE),MATCH(All!P$1,Winter!$1:$1,FALSE))),"")</f>
        <v>1A</v>
      </c>
      <c r="Q677" t="str">
        <f>IFERROR(IF(INDEX(Winter!$1:$1048576,MATCH(All!$A677,Winter!$A:$A,FALSE),MATCH(All!Q$1,Winter!$1:$1,FALSE))="","",INDEX(Winter!$1:$1048576,MATCH(All!$A677,Winter!$A:$A,FALSE),MATCH(All!Q$1,Winter!$1:$1,FALSE))),"")</f>
        <v>1A</v>
      </c>
      <c r="R677" t="str">
        <f>IFERROR(IF(INDEX(Winter!$1:$1048576,MATCH(All!$A677,Winter!$A:$A,FALSE),MATCH(All!R$1,Winter!$1:$1,FALSE))="","",INDEX(Winter!$1:$1048576,MATCH(All!$A677,Winter!$A:$A,FALSE),MATCH(All!R$1,Winter!$1:$1,FALSE))),"")</f>
        <v/>
      </c>
      <c r="S677" t="str">
        <f>IFERROR(IF(INDEX(Winter!$1:$1048576,MATCH(All!$A677,Winter!$A:$A,FALSE),MATCH(All!S$1,Winter!$1:$1,FALSE))="","",INDEX(Winter!$1:$1048576,MATCH(All!$A677,Winter!$A:$A,FALSE),MATCH(All!S$1,Winter!$1:$1,FALSE))),"")</f>
        <v/>
      </c>
      <c r="T677" t="str">
        <f>IFERROR(IF(INDEX(Winter!$1:$1048576,MATCH(All!$A677,Winter!$A:$A,FALSE),MATCH(All!T$1,Winter!$1:$1,FALSE))="","",INDEX(Winter!$1:$1048576,MATCH(All!$A677,Winter!$A:$A,FALSE),MATCH(All!T$1,Winter!$1:$1,FALSE))),"")</f>
        <v>1A</v>
      </c>
      <c r="U677" t="str">
        <f>IFERROR(IF(INDEX(Winter!$1:$1048576,MATCH(All!$A677,Winter!$A:$A,FALSE),MATCH(All!U$1,Winter!$1:$1,FALSE))="","",INDEX(Winter!$1:$1048576,MATCH(All!$A677,Winter!$A:$A,FALSE),MATCH(All!U$1,Winter!$1:$1,FALSE))),"")</f>
        <v/>
      </c>
      <c r="W677">
        <f>IFERROR(IF(INDEX(Spring!$1:$1048576,MATCH(All!$A677,Spring!$A:$A,FALSE),MATCH(All!W$1,Spring!$1:$1,FALSE))="","",INDEX(Spring!$1:$1048576,MATCH(All!$A677,Spring!$A:$A,FALSE),MATCH(All!W$1,Spring!$1:$1,FALSE))),"")</f>
        <v>238</v>
      </c>
      <c r="X677" t="str">
        <f>IFERROR(IF(INDEX(Spring!$1:$1048576,MATCH(All!$A677,Spring!$A:$A,FALSE),MATCH(All!X$1,Spring!$1:$1,FALSE))="","",INDEX(Spring!$1:$1048576,MATCH(All!$A677,Spring!$A:$A,FALSE),MATCH(All!X$1,Spring!$1:$1,FALSE))),"")</f>
        <v>1A</v>
      </c>
      <c r="Y677" t="str">
        <f>IFERROR(IF(INDEX(Spring!$1:$1048576,MATCH(All!$A677,Spring!$A:$A,FALSE),MATCH(All!Y$1,Spring!$1:$1,FALSE))="","",INDEX(Spring!$1:$1048576,MATCH(All!$A677,Spring!$A:$A,FALSE),MATCH(All!Y$1,Spring!$1:$1,FALSE))),"")</f>
        <v>1A</v>
      </c>
      <c r="Z677" t="str">
        <f>IFERROR(IF(INDEX(Spring!$1:$1048576,MATCH(All!$A677,Spring!$A:$A,FALSE),MATCH(All!Z$1,Spring!$1:$1,FALSE))="","",INDEX(Spring!$1:$1048576,MATCH(All!$A677,Spring!$A:$A,FALSE),MATCH(All!Z$1,Spring!$1:$1,FALSE))),"")</f>
        <v/>
      </c>
      <c r="AA677" t="str">
        <f>IFERROR(IF(INDEX(Spring!$1:$1048576,MATCH(All!$A677,Spring!$A:$A,FALSE),MATCH(All!AA$1,Spring!$1:$1,FALSE))="","",INDEX(Spring!$1:$1048576,MATCH(All!$A677,Spring!$A:$A,FALSE),MATCH(All!AA$1,Spring!$1:$1,FALSE))),"")</f>
        <v/>
      </c>
      <c r="AB677" t="str">
        <f>IFERROR(IF(INDEX(Spring!$1:$1048576,MATCH(All!$A677,Spring!$A:$A,FALSE),MATCH(All!AB$1,Spring!$1:$1,FALSE))="","",INDEX(Spring!$1:$1048576,MATCH(All!$A677,Spring!$A:$A,FALSE),MATCH(All!AB$1,Spring!$1:$1,FALSE))),"")</f>
        <v>1A</v>
      </c>
      <c r="AC677" t="str">
        <f>IFERROR(IF(INDEX(Spring!$1:$1048576,MATCH(All!$A677,Spring!$A:$A,FALSE),MATCH(All!AC$1,Spring!$1:$1,FALSE))="","",INDEX(Spring!$1:$1048576,MATCH(All!$A677,Spring!$A:$A,FALSE),MATCH(All!AC$1,Spring!$1:$1,FALSE))),"")</f>
        <v>1A</v>
      </c>
      <c r="AD677" t="str">
        <f>IFERROR(VLOOKUP(A677,'Flag Football'!A:A,1,FALSE),"")</f>
        <v/>
      </c>
      <c r="AE677" t="str">
        <f t="shared" si="10"/>
        <v/>
      </c>
    </row>
    <row r="678" spans="1:31" ht="15.75" thickBot="1" x14ac:dyDescent="0.3">
      <c r="A678" s="20" t="s">
        <v>783</v>
      </c>
      <c r="B678" s="38">
        <f>IFERROR(VLOOKUP(A678,'Public v Private'!A:G,3,FALSE),"")</f>
        <v>0</v>
      </c>
      <c r="C678" s="38">
        <f>IFERROR(VLOOKUP(A678,'Public v Private'!A:G,4,FALSE),"")</f>
        <v>0</v>
      </c>
      <c r="D678" s="38">
        <f>IFERROR(VLOOKUP(A678,'Public v Private'!A:G,5,FALSE),"")</f>
        <v>0</v>
      </c>
      <c r="E678" s="38"/>
      <c r="F678" s="40">
        <f>IFERROR(INDEX(Fall!$1:$1048576,MATCH(All!$A678,Fall!$A:$A,FALSE),MATCH(All!F$1,Fall!$1:$1,FALSE)),"N/A")</f>
        <v>2711</v>
      </c>
      <c r="G678" t="str">
        <f>IFERROR(IF(INDEX(Fall!$1:$1048576,MATCH(All!$A678,Fall!$A:$A,FALSE),MATCH(All!G$1,Fall!$1:$1,FALSE))="","",INDEX(Fall!$1:$1048576,MATCH(All!$A678,Fall!$A:$A,FALSE),MATCH(All!G$1,Fall!$1:$1,FALSE))),"")</f>
        <v>3A</v>
      </c>
      <c r="H678" t="str">
        <f>IFERROR(IF(INDEX(Fall!$1:$1048576,MATCH(All!$A678,Fall!$A:$A,FALSE),MATCH(All!H$1,Fall!$1:$1,FALSE))="","",INDEX(Fall!$1:$1048576,MATCH(All!$A678,Fall!$A:$A,FALSE),MATCH(All!H$1,Fall!$1:$1,FALSE))),"")</f>
        <v>3A</v>
      </c>
      <c r="I678" t="str">
        <f>IFERROR(IF(INDEX(Fall!$1:$1048576,MATCH(All!$A678,Fall!$A:$A,FALSE),MATCH(All!I$1,Fall!$1:$1,FALSE))="","",INDEX(Fall!$1:$1048576,MATCH(All!$A678,Fall!$A:$A,FALSE),MATCH(All!I$1,Fall!$1:$1,FALSE))),"")</f>
        <v>3A</v>
      </c>
      <c r="J678" t="str">
        <f>IFERROR(IF(INDEX(Fall!$1:$1048576,MATCH(All!$A678,Fall!$A:$A,FALSE),MATCH(All!J$1,Fall!$1:$1,FALSE))="","",INDEX(Fall!$1:$1048576,MATCH(All!$A678,Fall!$A:$A,FALSE),MATCH(All!J$1,Fall!$1:$1,FALSE))),"")</f>
        <v>2A</v>
      </c>
      <c r="K678" t="str">
        <f>IFERROR(IF(INDEX(Fall!$1:$1048576,MATCH(All!$A678,Fall!$A:$A,FALSE),MATCH(All!K$1,Fall!$1:$1,FALSE))="","",INDEX(Fall!$1:$1048576,MATCH(All!$A678,Fall!$A:$A,FALSE),MATCH(All!K$1,Fall!$1:$1,FALSE))),"")</f>
        <v>3A</v>
      </c>
      <c r="L678" t="str">
        <f>IFERROR(IF(INDEX(Fall!$1:$1048576,MATCH(All!$A678,Fall!$A:$A,FALSE),MATCH(All!L$1,Fall!$1:$1,FALSE))="","",INDEX(Fall!$1:$1048576,MATCH(All!$A678,Fall!$A:$A,FALSE),MATCH(All!L$1,Fall!$1:$1,FALSE))),"")</f>
        <v>2A</v>
      </c>
      <c r="M678" t="str">
        <f>IFERROR(IF(INDEX(Fall!$1:$1048576,MATCH(All!$A678,Fall!$A:$A,FALSE),MATCH(All!M$1,Fall!$1:$1,FALSE))="","",INDEX(Fall!$1:$1048576,MATCH(All!$A678,Fall!$A:$A,FALSE),MATCH(All!M$1,Fall!$1:$1,FALSE))),"")</f>
        <v>4A</v>
      </c>
      <c r="O678">
        <f>IFERROR(IF(INDEX(Winter!$1:$1048576,MATCH(All!$A678,Winter!$A:$A,FALSE),MATCH(All!O$1,Winter!$1:$1,FALSE))="","",INDEX(Winter!$1:$1048576,MATCH(All!$A678,Winter!$A:$A,FALSE),MATCH(All!O$1,Winter!$1:$1,FALSE))),"")</f>
        <v>2711</v>
      </c>
      <c r="P678" t="str">
        <f>IFERROR(IF(INDEX(Winter!$1:$1048576,MATCH(All!$A678,Winter!$A:$A,FALSE),MATCH(All!P$1,Winter!$1:$1,FALSE))="","",INDEX(Winter!$1:$1048576,MATCH(All!$A678,Winter!$A:$A,FALSE),MATCH(All!P$1,Winter!$1:$1,FALSE))),"")</f>
        <v>4A</v>
      </c>
      <c r="Q678" t="str">
        <f>IFERROR(IF(INDEX(Winter!$1:$1048576,MATCH(All!$A678,Winter!$A:$A,FALSE),MATCH(All!Q$1,Winter!$1:$1,FALSE))="","",INDEX(Winter!$1:$1048576,MATCH(All!$A678,Winter!$A:$A,FALSE),MATCH(All!Q$1,Winter!$1:$1,FALSE))),"")</f>
        <v>4A</v>
      </c>
      <c r="R678" t="str">
        <f>IFERROR(IF(INDEX(Winter!$1:$1048576,MATCH(All!$A678,Winter!$A:$A,FALSE),MATCH(All!R$1,Winter!$1:$1,FALSE))="","",INDEX(Winter!$1:$1048576,MATCH(All!$A678,Winter!$A:$A,FALSE),MATCH(All!R$1,Winter!$1:$1,FALSE))),"")</f>
        <v>C</v>
      </c>
      <c r="S678" t="str">
        <f>IFERROR(IF(INDEX(Winter!$1:$1048576,MATCH(All!$A678,Winter!$A:$A,FALSE),MATCH(All!S$1,Winter!$1:$1,FALSE))="","",INDEX(Winter!$1:$1048576,MATCH(All!$A678,Winter!$A:$A,FALSE),MATCH(All!S$1,Winter!$1:$1,FALSE))),"")</f>
        <v>3A</v>
      </c>
      <c r="T678" t="str">
        <f>IFERROR(IF(INDEX(Winter!$1:$1048576,MATCH(All!$A678,Winter!$A:$A,FALSE),MATCH(All!T$1,Winter!$1:$1,FALSE))="","",INDEX(Winter!$1:$1048576,MATCH(All!$A678,Winter!$A:$A,FALSE),MATCH(All!T$1,Winter!$1:$1,FALSE))),"")</f>
        <v/>
      </c>
      <c r="U678" t="str">
        <f>IFERROR(IF(INDEX(Winter!$1:$1048576,MATCH(All!$A678,Winter!$A:$A,FALSE),MATCH(All!U$1,Winter!$1:$1,FALSE))="","",INDEX(Winter!$1:$1048576,MATCH(All!$A678,Winter!$A:$A,FALSE),MATCH(All!U$1,Winter!$1:$1,FALSE))),"")</f>
        <v>3A</v>
      </c>
      <c r="W678">
        <f>IFERROR(IF(INDEX(Spring!$1:$1048576,MATCH(All!$A678,Spring!$A:$A,FALSE),MATCH(All!W$1,Spring!$1:$1,FALSE))="","",INDEX(Spring!$1:$1048576,MATCH(All!$A678,Spring!$A:$A,FALSE),MATCH(All!W$1,Spring!$1:$1,FALSE))),"")</f>
        <v>2711</v>
      </c>
      <c r="X678" t="str">
        <f>IFERROR(IF(INDEX(Spring!$1:$1048576,MATCH(All!$A678,Spring!$A:$A,FALSE),MATCH(All!X$1,Spring!$1:$1,FALSE))="","",INDEX(Spring!$1:$1048576,MATCH(All!$A678,Spring!$A:$A,FALSE),MATCH(All!X$1,Spring!$1:$1,FALSE))),"")</f>
        <v>4A</v>
      </c>
      <c r="Y678" t="str">
        <f>IFERROR(IF(INDEX(Spring!$1:$1048576,MATCH(All!$A678,Spring!$A:$A,FALSE),MATCH(All!Y$1,Spring!$1:$1,FALSE))="","",INDEX(Spring!$1:$1048576,MATCH(All!$A678,Spring!$A:$A,FALSE),MATCH(All!Y$1,Spring!$1:$1,FALSE))),"")</f>
        <v>4A</v>
      </c>
      <c r="Z678" t="str">
        <f>IFERROR(IF(INDEX(Spring!$1:$1048576,MATCH(All!$A678,Spring!$A:$A,FALSE),MATCH(All!Z$1,Spring!$1:$1,FALSE))="","",INDEX(Spring!$1:$1048576,MATCH(All!$A678,Spring!$A:$A,FALSE),MATCH(All!Z$1,Spring!$1:$1,FALSE))),"")</f>
        <v>3A</v>
      </c>
      <c r="AA678" t="str">
        <f>IFERROR(IF(INDEX(Spring!$1:$1048576,MATCH(All!$A678,Spring!$A:$A,FALSE),MATCH(All!AA$1,Spring!$1:$1,FALSE))="","",INDEX(Spring!$1:$1048576,MATCH(All!$A678,Spring!$A:$A,FALSE),MATCH(All!AA$1,Spring!$1:$1,FALSE))),"")</f>
        <v>2A</v>
      </c>
      <c r="AB678" t="str">
        <f>IFERROR(IF(INDEX(Spring!$1:$1048576,MATCH(All!$A678,Spring!$A:$A,FALSE),MATCH(All!AB$1,Spring!$1:$1,FALSE))="","",INDEX(Spring!$1:$1048576,MATCH(All!$A678,Spring!$A:$A,FALSE),MATCH(All!AB$1,Spring!$1:$1,FALSE))),"")</f>
        <v>3A</v>
      </c>
      <c r="AC678" t="str">
        <f>IFERROR(IF(INDEX(Spring!$1:$1048576,MATCH(All!$A678,Spring!$A:$A,FALSE),MATCH(All!AC$1,Spring!$1:$1,FALSE))="","",INDEX(Spring!$1:$1048576,MATCH(All!$A678,Spring!$A:$A,FALSE),MATCH(All!AC$1,Spring!$1:$1,FALSE))),"")</f>
        <v>3A</v>
      </c>
      <c r="AD678" t="str">
        <f>IFERROR(VLOOKUP(A678,'Flag Football'!A:A,1,FALSE),"")</f>
        <v>South Elgin</v>
      </c>
      <c r="AE678" t="str">
        <f t="shared" si="10"/>
        <v>1A</v>
      </c>
    </row>
    <row r="679" spans="1:31" ht="15.75" thickBot="1" x14ac:dyDescent="0.3">
      <c r="A679" s="18" t="s">
        <v>784</v>
      </c>
      <c r="B679" s="38">
        <f>IFERROR(VLOOKUP(A679,'Public v Private'!A:G,3,FALSE),"")</f>
        <v>0</v>
      </c>
      <c r="C679" s="38">
        <f>IFERROR(VLOOKUP(A679,'Public v Private'!A:G,4,FALSE),"")</f>
        <v>0</v>
      </c>
      <c r="D679" s="38">
        <f>IFERROR(VLOOKUP(A679,'Public v Private'!A:G,5,FALSE),"")</f>
        <v>0</v>
      </c>
      <c r="E679" s="38"/>
      <c r="F679" s="40">
        <f>IFERROR(INDEX(Fall!$1:$1048576,MATCH(All!$A679,Fall!$A:$A,FALSE),MATCH(All!F$1,Fall!$1:$1,FALSE)),"N/A")</f>
        <v>1691</v>
      </c>
      <c r="G679" t="str">
        <f>IFERROR(IF(INDEX(Fall!$1:$1048576,MATCH(All!$A679,Fall!$A:$A,FALSE),MATCH(All!G$1,Fall!$1:$1,FALSE))="","",INDEX(Fall!$1:$1048576,MATCH(All!$A679,Fall!$A:$A,FALSE),MATCH(All!G$1,Fall!$1:$1,FALSE))),"")</f>
        <v>3A</v>
      </c>
      <c r="H679" t="str">
        <f>IFERROR(IF(INDEX(Fall!$1:$1048576,MATCH(All!$A679,Fall!$A:$A,FALSE),MATCH(All!H$1,Fall!$1:$1,FALSE))="","",INDEX(Fall!$1:$1048576,MATCH(All!$A679,Fall!$A:$A,FALSE),MATCH(All!H$1,Fall!$1:$1,FALSE))),"")</f>
        <v>3A</v>
      </c>
      <c r="I679" t="str">
        <f>IFERROR(IF(INDEX(Fall!$1:$1048576,MATCH(All!$A679,Fall!$A:$A,FALSE),MATCH(All!I$1,Fall!$1:$1,FALSE))="","",INDEX(Fall!$1:$1048576,MATCH(All!$A679,Fall!$A:$A,FALSE),MATCH(All!I$1,Fall!$1:$1,FALSE))),"")</f>
        <v/>
      </c>
      <c r="J679" t="str">
        <f>IFERROR(IF(INDEX(Fall!$1:$1048576,MATCH(All!$A679,Fall!$A:$A,FALSE),MATCH(All!J$1,Fall!$1:$1,FALSE))="","",INDEX(Fall!$1:$1048576,MATCH(All!$A679,Fall!$A:$A,FALSE),MATCH(All!J$1,Fall!$1:$1,FALSE))),"")</f>
        <v/>
      </c>
      <c r="K679" t="str">
        <f>IFERROR(IF(INDEX(Fall!$1:$1048576,MATCH(All!$A679,Fall!$A:$A,FALSE),MATCH(All!K$1,Fall!$1:$1,FALSE))="","",INDEX(Fall!$1:$1048576,MATCH(All!$A679,Fall!$A:$A,FALSE),MATCH(All!K$1,Fall!$1:$1,FALSE))),"")</f>
        <v/>
      </c>
      <c r="L679" t="str">
        <f>IFERROR(IF(INDEX(Fall!$1:$1048576,MATCH(All!$A679,Fall!$A:$A,FALSE),MATCH(All!L$1,Fall!$1:$1,FALSE))="","",INDEX(Fall!$1:$1048576,MATCH(All!$A679,Fall!$A:$A,FALSE),MATCH(All!L$1,Fall!$1:$1,FALSE))),"")</f>
        <v>2A</v>
      </c>
      <c r="M679" t="str">
        <f>IFERROR(IF(INDEX(Fall!$1:$1048576,MATCH(All!$A679,Fall!$A:$A,FALSE),MATCH(All!M$1,Fall!$1:$1,FALSE))="","",INDEX(Fall!$1:$1048576,MATCH(All!$A679,Fall!$A:$A,FALSE),MATCH(All!M$1,Fall!$1:$1,FALSE))),"")</f>
        <v>4A</v>
      </c>
      <c r="O679">
        <f>IFERROR(IF(INDEX(Winter!$1:$1048576,MATCH(All!$A679,Winter!$A:$A,FALSE),MATCH(All!O$1,Winter!$1:$1,FALSE))="","",INDEX(Winter!$1:$1048576,MATCH(All!$A679,Winter!$A:$A,FALSE),MATCH(All!O$1,Winter!$1:$1,FALSE))),"")</f>
        <v>1691</v>
      </c>
      <c r="P679" t="str">
        <f>IFERROR(IF(INDEX(Winter!$1:$1048576,MATCH(All!$A679,Winter!$A:$A,FALSE),MATCH(All!P$1,Winter!$1:$1,FALSE))="","",INDEX(Winter!$1:$1048576,MATCH(All!$A679,Winter!$A:$A,FALSE),MATCH(All!P$1,Winter!$1:$1,FALSE))),"")</f>
        <v>4A</v>
      </c>
      <c r="Q679" t="str">
        <f>IFERROR(IF(INDEX(Winter!$1:$1048576,MATCH(All!$A679,Winter!$A:$A,FALSE),MATCH(All!Q$1,Winter!$1:$1,FALSE))="","",INDEX(Winter!$1:$1048576,MATCH(All!$A679,Winter!$A:$A,FALSE),MATCH(All!Q$1,Winter!$1:$1,FALSE))),"")</f>
        <v>4A</v>
      </c>
      <c r="R679" t="str">
        <f>IFERROR(IF(INDEX(Winter!$1:$1048576,MATCH(All!$A679,Winter!$A:$A,FALSE),MATCH(All!R$1,Winter!$1:$1,FALSE))="","",INDEX(Winter!$1:$1048576,MATCH(All!$A679,Winter!$A:$A,FALSE),MATCH(All!R$1,Winter!$1:$1,FALSE))),"")</f>
        <v>C</v>
      </c>
      <c r="S679" t="str">
        <f>IFERROR(IF(INDEX(Winter!$1:$1048576,MATCH(All!$A679,Winter!$A:$A,FALSE),MATCH(All!S$1,Winter!$1:$1,FALSE))="","",INDEX(Winter!$1:$1048576,MATCH(All!$A679,Winter!$A:$A,FALSE),MATCH(All!S$1,Winter!$1:$1,FALSE))),"")</f>
        <v>2A</v>
      </c>
      <c r="T679" t="str">
        <f>IFERROR(IF(INDEX(Winter!$1:$1048576,MATCH(All!$A679,Winter!$A:$A,FALSE),MATCH(All!T$1,Winter!$1:$1,FALSE))="","",INDEX(Winter!$1:$1048576,MATCH(All!$A679,Winter!$A:$A,FALSE),MATCH(All!T$1,Winter!$1:$1,FALSE))),"")</f>
        <v>2A</v>
      </c>
      <c r="U679" t="str">
        <f>IFERROR(IF(INDEX(Winter!$1:$1048576,MATCH(All!$A679,Winter!$A:$A,FALSE),MATCH(All!U$1,Winter!$1:$1,FALSE))="","",INDEX(Winter!$1:$1048576,MATCH(All!$A679,Winter!$A:$A,FALSE),MATCH(All!U$1,Winter!$1:$1,FALSE))),"")</f>
        <v/>
      </c>
      <c r="W679">
        <f>IFERROR(IF(INDEX(Spring!$1:$1048576,MATCH(All!$A679,Spring!$A:$A,FALSE),MATCH(All!W$1,Spring!$1:$1,FALSE))="","",INDEX(Spring!$1:$1048576,MATCH(All!$A679,Spring!$A:$A,FALSE),MATCH(All!W$1,Spring!$1:$1,FALSE))),"")</f>
        <v>1691</v>
      </c>
      <c r="X679" t="str">
        <f>IFERROR(IF(INDEX(Spring!$1:$1048576,MATCH(All!$A679,Spring!$A:$A,FALSE),MATCH(All!X$1,Spring!$1:$1,FALSE))="","",INDEX(Spring!$1:$1048576,MATCH(All!$A679,Spring!$A:$A,FALSE),MATCH(All!X$1,Spring!$1:$1,FALSE))),"")</f>
        <v>4A</v>
      </c>
      <c r="Y679" t="str">
        <f>IFERROR(IF(INDEX(Spring!$1:$1048576,MATCH(All!$A679,Spring!$A:$A,FALSE),MATCH(All!Y$1,Spring!$1:$1,FALSE))="","",INDEX(Spring!$1:$1048576,MATCH(All!$A679,Spring!$A:$A,FALSE),MATCH(All!Y$1,Spring!$1:$1,FALSE))),"")</f>
        <v>4A</v>
      </c>
      <c r="Z679" t="str">
        <f>IFERROR(IF(INDEX(Spring!$1:$1048576,MATCH(All!$A679,Spring!$A:$A,FALSE),MATCH(All!Z$1,Spring!$1:$1,FALSE))="","",INDEX(Spring!$1:$1048576,MATCH(All!$A679,Spring!$A:$A,FALSE),MATCH(All!Z$1,Spring!$1:$1,FALSE))),"")</f>
        <v>3A</v>
      </c>
      <c r="AA679" t="str">
        <f>IFERROR(IF(INDEX(Spring!$1:$1048576,MATCH(All!$A679,Spring!$A:$A,FALSE),MATCH(All!AA$1,Spring!$1:$1,FALSE))="","",INDEX(Spring!$1:$1048576,MATCH(All!$A679,Spring!$A:$A,FALSE),MATCH(All!AA$1,Spring!$1:$1,FALSE))),"")</f>
        <v>2A</v>
      </c>
      <c r="AB679" t="str">
        <f>IFERROR(IF(INDEX(Spring!$1:$1048576,MATCH(All!$A679,Spring!$A:$A,FALSE),MATCH(All!AB$1,Spring!$1:$1,FALSE))="","",INDEX(Spring!$1:$1048576,MATCH(All!$A679,Spring!$A:$A,FALSE),MATCH(All!AB$1,Spring!$1:$1,FALSE))),"")</f>
        <v>3A</v>
      </c>
      <c r="AC679" t="str">
        <f>IFERROR(IF(INDEX(Spring!$1:$1048576,MATCH(All!$A679,Spring!$A:$A,FALSE),MATCH(All!AC$1,Spring!$1:$1,FALSE))="","",INDEX(Spring!$1:$1048576,MATCH(All!$A679,Spring!$A:$A,FALSE),MATCH(All!AC$1,Spring!$1:$1,FALSE))),"")</f>
        <v>3A</v>
      </c>
      <c r="AD679" t="str">
        <f>IFERROR(VLOOKUP(A679,'Flag Football'!A:A,1,FALSE),"")</f>
        <v>South Holland (Thornwood)</v>
      </c>
      <c r="AE679" t="str">
        <f t="shared" si="10"/>
        <v>1A</v>
      </c>
    </row>
    <row r="680" spans="1:31" ht="15.75" thickBot="1" x14ac:dyDescent="0.3">
      <c r="A680" s="20" t="s">
        <v>785</v>
      </c>
      <c r="B680" s="38" t="str">
        <f>IFERROR(VLOOKUP(A680,'Public v Private'!A:G,3,FALSE),"")</f>
        <v>private</v>
      </c>
      <c r="C680" s="38">
        <f>IFERROR(VLOOKUP(A680,'Public v Private'!A:G,4,FALSE),"")</f>
        <v>3</v>
      </c>
      <c r="D680" s="38">
        <f>IFERROR(VLOOKUP(A680,'Public v Private'!A:G,5,FALSE),"")</f>
        <v>8</v>
      </c>
      <c r="E680" s="38"/>
      <c r="F680" s="40" t="str">
        <f>IFERROR(INDEX(Fall!$1:$1048576,MATCH(All!$A680,Fall!$A:$A,FALSE),MATCH(All!F$1,Fall!$1:$1,FALSE)),"N/A")</f>
        <v>114.00 (114.00)</v>
      </c>
      <c r="G680" t="str">
        <f>IFERROR(IF(INDEX(Fall!$1:$1048576,MATCH(All!$A680,Fall!$A:$A,FALSE),MATCH(All!G$1,Fall!$1:$1,FALSE))="","",INDEX(Fall!$1:$1048576,MATCH(All!$A680,Fall!$A:$A,FALSE),MATCH(All!G$1,Fall!$1:$1,FALSE))),"")</f>
        <v/>
      </c>
      <c r="H680" t="str">
        <f>IFERROR(IF(INDEX(Fall!$1:$1048576,MATCH(All!$A680,Fall!$A:$A,FALSE),MATCH(All!H$1,Fall!$1:$1,FALSE))="","",INDEX(Fall!$1:$1048576,MATCH(All!$A680,Fall!$A:$A,FALSE),MATCH(All!H$1,Fall!$1:$1,FALSE))),"")</f>
        <v/>
      </c>
      <c r="I680" t="str">
        <f>IFERROR(IF(INDEX(Fall!$1:$1048576,MATCH(All!$A680,Fall!$A:$A,FALSE),MATCH(All!I$1,Fall!$1:$1,FALSE))="","",INDEX(Fall!$1:$1048576,MATCH(All!$A680,Fall!$A:$A,FALSE),MATCH(All!I$1,Fall!$1:$1,FALSE))),"")</f>
        <v/>
      </c>
      <c r="J680" t="str">
        <f>IFERROR(IF(INDEX(Fall!$1:$1048576,MATCH(All!$A680,Fall!$A:$A,FALSE),MATCH(All!J$1,Fall!$1:$1,FALSE))="","",INDEX(Fall!$1:$1048576,MATCH(All!$A680,Fall!$A:$A,FALSE),MATCH(All!J$1,Fall!$1:$1,FALSE))),"")</f>
        <v/>
      </c>
      <c r="K680" t="str">
        <f>IFERROR(IF(INDEX(Fall!$1:$1048576,MATCH(All!$A680,Fall!$A:$A,FALSE),MATCH(All!K$1,Fall!$1:$1,FALSE))="","",INDEX(Fall!$1:$1048576,MATCH(All!$A680,Fall!$A:$A,FALSE),MATCH(All!K$1,Fall!$1:$1,FALSE))),"")</f>
        <v>1A</v>
      </c>
      <c r="L680" t="str">
        <f>IFERROR(IF(INDEX(Fall!$1:$1048576,MATCH(All!$A680,Fall!$A:$A,FALSE),MATCH(All!L$1,Fall!$1:$1,FALSE))="","",INDEX(Fall!$1:$1048576,MATCH(All!$A680,Fall!$A:$A,FALSE),MATCH(All!L$1,Fall!$1:$1,FALSE))),"")</f>
        <v/>
      </c>
      <c r="M680" t="str">
        <f>IFERROR(IF(INDEX(Fall!$1:$1048576,MATCH(All!$A680,Fall!$A:$A,FALSE),MATCH(All!M$1,Fall!$1:$1,FALSE))="","",INDEX(Fall!$1:$1048576,MATCH(All!$A680,Fall!$A:$A,FALSE),MATCH(All!M$1,Fall!$1:$1,FALSE))),"")</f>
        <v>1A</v>
      </c>
      <c r="O680" t="str">
        <f>IFERROR(IF(INDEX(Winter!$1:$1048576,MATCH(All!$A680,Winter!$A:$A,FALSE),MATCH(All!O$1,Winter!$1:$1,FALSE))="","",INDEX(Winter!$1:$1048576,MATCH(All!$A680,Winter!$A:$A,FALSE),MATCH(All!O$1,Winter!$1:$1,FALSE))),"")</f>
        <v>114.00 (114.00)</v>
      </c>
      <c r="P680" t="str">
        <f>IFERROR(IF(INDEX(Winter!$1:$1048576,MATCH(All!$A680,Winter!$A:$A,FALSE),MATCH(All!P$1,Winter!$1:$1,FALSE))="","",INDEX(Winter!$1:$1048576,MATCH(All!$A680,Winter!$A:$A,FALSE),MATCH(All!P$1,Winter!$1:$1,FALSE))),"")</f>
        <v>1A</v>
      </c>
      <c r="Q680" t="str">
        <f>IFERROR(IF(INDEX(Winter!$1:$1048576,MATCH(All!$A680,Winter!$A:$A,FALSE),MATCH(All!Q$1,Winter!$1:$1,FALSE))="","",INDEX(Winter!$1:$1048576,MATCH(All!$A680,Winter!$A:$A,FALSE),MATCH(All!Q$1,Winter!$1:$1,FALSE))),"")</f>
        <v>1A</v>
      </c>
      <c r="R680" t="str">
        <f>IFERROR(IF(INDEX(Winter!$1:$1048576,MATCH(All!$A680,Winter!$A:$A,FALSE),MATCH(All!R$1,Winter!$1:$1,FALSE))="","",INDEX(Winter!$1:$1048576,MATCH(All!$A680,Winter!$A:$A,FALSE),MATCH(All!R$1,Winter!$1:$1,FALSE))),"")</f>
        <v/>
      </c>
      <c r="S680" t="str">
        <f>IFERROR(IF(INDEX(Winter!$1:$1048576,MATCH(All!$A680,Winter!$A:$A,FALSE),MATCH(All!S$1,Winter!$1:$1,FALSE))="","",INDEX(Winter!$1:$1048576,MATCH(All!$A680,Winter!$A:$A,FALSE),MATCH(All!S$1,Winter!$1:$1,FALSE))),"")</f>
        <v/>
      </c>
      <c r="T680" t="str">
        <f>IFERROR(IF(INDEX(Winter!$1:$1048576,MATCH(All!$A680,Winter!$A:$A,FALSE),MATCH(All!T$1,Winter!$1:$1,FALSE))="","",INDEX(Winter!$1:$1048576,MATCH(All!$A680,Winter!$A:$A,FALSE),MATCH(All!T$1,Winter!$1:$1,FALSE))),"")</f>
        <v/>
      </c>
      <c r="U680" t="str">
        <f>IFERROR(IF(INDEX(Winter!$1:$1048576,MATCH(All!$A680,Winter!$A:$A,FALSE),MATCH(All!U$1,Winter!$1:$1,FALSE))="","",INDEX(Winter!$1:$1048576,MATCH(All!$A680,Winter!$A:$A,FALSE),MATCH(All!U$1,Winter!$1:$1,FALSE))),"")</f>
        <v/>
      </c>
      <c r="W680" t="str">
        <f>IFERROR(IF(INDEX(Spring!$1:$1048576,MATCH(All!$A680,Spring!$A:$A,FALSE),MATCH(All!W$1,Spring!$1:$1,FALSE))="","",INDEX(Spring!$1:$1048576,MATCH(All!$A680,Spring!$A:$A,FALSE),MATCH(All!W$1,Spring!$1:$1,FALSE))),"")</f>
        <v>114.00 (114.00)</v>
      </c>
      <c r="X680" t="str">
        <f>IFERROR(IF(INDEX(Spring!$1:$1048576,MATCH(All!$A680,Spring!$A:$A,FALSE),MATCH(All!X$1,Spring!$1:$1,FALSE))="","",INDEX(Spring!$1:$1048576,MATCH(All!$A680,Spring!$A:$A,FALSE),MATCH(All!X$1,Spring!$1:$1,FALSE))),"")</f>
        <v/>
      </c>
      <c r="Y680" t="str">
        <f>IFERROR(IF(INDEX(Spring!$1:$1048576,MATCH(All!$A680,Spring!$A:$A,FALSE),MATCH(All!Y$1,Spring!$1:$1,FALSE))="","",INDEX(Spring!$1:$1048576,MATCH(All!$A680,Spring!$A:$A,FALSE),MATCH(All!Y$1,Spring!$1:$1,FALSE))),"")</f>
        <v/>
      </c>
      <c r="Z680" t="str">
        <f>IFERROR(IF(INDEX(Spring!$1:$1048576,MATCH(All!$A680,Spring!$A:$A,FALSE),MATCH(All!Z$1,Spring!$1:$1,FALSE))="","",INDEX(Spring!$1:$1048576,MATCH(All!$A680,Spring!$A:$A,FALSE),MATCH(All!Z$1,Spring!$1:$1,FALSE))),"")</f>
        <v/>
      </c>
      <c r="AA680" t="str">
        <f>IFERROR(IF(INDEX(Spring!$1:$1048576,MATCH(All!$A680,Spring!$A:$A,FALSE),MATCH(All!AA$1,Spring!$1:$1,FALSE))="","",INDEX(Spring!$1:$1048576,MATCH(All!$A680,Spring!$A:$A,FALSE),MATCH(All!AA$1,Spring!$1:$1,FALSE))),"")</f>
        <v/>
      </c>
      <c r="AB680" t="str">
        <f>IFERROR(IF(INDEX(Spring!$1:$1048576,MATCH(All!$A680,Spring!$A:$A,FALSE),MATCH(All!AB$1,Spring!$1:$1,FALSE))="","",INDEX(Spring!$1:$1048576,MATCH(All!$A680,Spring!$A:$A,FALSE),MATCH(All!AB$1,Spring!$1:$1,FALSE))),"")</f>
        <v>1A</v>
      </c>
      <c r="AC680" t="str">
        <f>IFERROR(IF(INDEX(Spring!$1:$1048576,MATCH(All!$A680,Spring!$A:$A,FALSE),MATCH(All!AC$1,Spring!$1:$1,FALSE))="","",INDEX(Spring!$1:$1048576,MATCH(All!$A680,Spring!$A:$A,FALSE),MATCH(All!AC$1,Spring!$1:$1,FALSE))),"")</f>
        <v>1A</v>
      </c>
      <c r="AD680" t="str">
        <f>IFERROR(VLOOKUP(A680,'Flag Football'!A:A,1,FALSE),"")</f>
        <v/>
      </c>
      <c r="AE680" t="str">
        <f t="shared" si="10"/>
        <v/>
      </c>
    </row>
    <row r="681" spans="1:31" ht="15.75" thickBot="1" x14ac:dyDescent="0.3">
      <c r="A681" s="18" t="s">
        <v>787</v>
      </c>
      <c r="B681" s="38">
        <f>IFERROR(VLOOKUP(A681,'Public v Private'!A:G,3,FALSE),"")</f>
        <v>0</v>
      </c>
      <c r="C681" s="38">
        <f>IFERROR(VLOOKUP(A681,'Public v Private'!A:G,4,FALSE),"")</f>
        <v>0</v>
      </c>
      <c r="D681" s="38">
        <f>IFERROR(VLOOKUP(A681,'Public v Private'!A:G,5,FALSE),"")</f>
        <v>0</v>
      </c>
      <c r="E681" s="38"/>
      <c r="F681" s="40">
        <f>IFERROR(INDEX(Fall!$1:$1048576,MATCH(All!$A681,Fall!$A:$A,FALSE),MATCH(All!F$1,Fall!$1:$1,FALSE)),"N/A")</f>
        <v>293</v>
      </c>
      <c r="G681" t="str">
        <f>IFERROR(IF(INDEX(Fall!$1:$1048576,MATCH(All!$A681,Fall!$A:$A,FALSE),MATCH(All!G$1,Fall!$1:$1,FALSE))="","",INDEX(Fall!$1:$1048576,MATCH(All!$A681,Fall!$A:$A,FALSE),MATCH(All!G$1,Fall!$1:$1,FALSE))),"")</f>
        <v>1A</v>
      </c>
      <c r="H681" t="str">
        <f>IFERROR(IF(INDEX(Fall!$1:$1048576,MATCH(All!$A681,Fall!$A:$A,FALSE),MATCH(All!H$1,Fall!$1:$1,FALSE))="","",INDEX(Fall!$1:$1048576,MATCH(All!$A681,Fall!$A:$A,FALSE),MATCH(All!H$1,Fall!$1:$1,FALSE))),"")</f>
        <v>1A</v>
      </c>
      <c r="I681" t="str">
        <f>IFERROR(IF(INDEX(Fall!$1:$1048576,MATCH(All!$A681,Fall!$A:$A,FALSE),MATCH(All!I$1,Fall!$1:$1,FALSE))="","",INDEX(Fall!$1:$1048576,MATCH(All!$A681,Fall!$A:$A,FALSE),MATCH(All!I$1,Fall!$1:$1,FALSE))),"")</f>
        <v>1A</v>
      </c>
      <c r="J681" t="str">
        <f>IFERROR(IF(INDEX(Fall!$1:$1048576,MATCH(All!$A681,Fall!$A:$A,FALSE),MATCH(All!J$1,Fall!$1:$1,FALSE))="","",INDEX(Fall!$1:$1048576,MATCH(All!$A681,Fall!$A:$A,FALSE),MATCH(All!J$1,Fall!$1:$1,FALSE))),"")</f>
        <v>1A</v>
      </c>
      <c r="K681" t="str">
        <f>IFERROR(IF(INDEX(Fall!$1:$1048576,MATCH(All!$A681,Fall!$A:$A,FALSE),MATCH(All!K$1,Fall!$1:$1,FALSE))="","",INDEX(Fall!$1:$1048576,MATCH(All!$A681,Fall!$A:$A,FALSE),MATCH(All!K$1,Fall!$1:$1,FALSE))),"")</f>
        <v/>
      </c>
      <c r="L681" t="str">
        <f>IFERROR(IF(INDEX(Fall!$1:$1048576,MATCH(All!$A681,Fall!$A:$A,FALSE),MATCH(All!L$1,Fall!$1:$1,FALSE))="","",INDEX(Fall!$1:$1048576,MATCH(All!$A681,Fall!$A:$A,FALSE),MATCH(All!L$1,Fall!$1:$1,FALSE))),"")</f>
        <v/>
      </c>
      <c r="M681" t="str">
        <f>IFERROR(IF(INDEX(Fall!$1:$1048576,MATCH(All!$A681,Fall!$A:$A,FALSE),MATCH(All!M$1,Fall!$1:$1,FALSE))="","",INDEX(Fall!$1:$1048576,MATCH(All!$A681,Fall!$A:$A,FALSE),MATCH(All!M$1,Fall!$1:$1,FALSE))),"")</f>
        <v>1A</v>
      </c>
      <c r="O681">
        <f>IFERROR(IF(INDEX(Winter!$1:$1048576,MATCH(All!$A681,Winter!$A:$A,FALSE),MATCH(All!O$1,Winter!$1:$1,FALSE))="","",INDEX(Winter!$1:$1048576,MATCH(All!$A681,Winter!$A:$A,FALSE),MATCH(All!O$1,Winter!$1:$1,FALSE))),"")</f>
        <v>293</v>
      </c>
      <c r="P681" t="str">
        <f>IFERROR(IF(INDEX(Winter!$1:$1048576,MATCH(All!$A681,Winter!$A:$A,FALSE),MATCH(All!P$1,Winter!$1:$1,FALSE))="","",INDEX(Winter!$1:$1048576,MATCH(All!$A681,Winter!$A:$A,FALSE),MATCH(All!P$1,Winter!$1:$1,FALSE))),"")</f>
        <v>1A</v>
      </c>
      <c r="Q681" t="str">
        <f>IFERROR(IF(INDEX(Winter!$1:$1048576,MATCH(All!$A681,Winter!$A:$A,FALSE),MATCH(All!Q$1,Winter!$1:$1,FALSE))="","",INDEX(Winter!$1:$1048576,MATCH(All!$A681,Winter!$A:$A,FALSE),MATCH(All!Q$1,Winter!$1:$1,FALSE))),"")</f>
        <v>1A</v>
      </c>
      <c r="R681" t="str">
        <f>IFERROR(IF(INDEX(Winter!$1:$1048576,MATCH(All!$A681,Winter!$A:$A,FALSE),MATCH(All!R$1,Winter!$1:$1,FALSE))="","",INDEX(Winter!$1:$1048576,MATCH(All!$A681,Winter!$A:$A,FALSE),MATCH(All!R$1,Winter!$1:$1,FALSE))),"")</f>
        <v/>
      </c>
      <c r="S681" t="str">
        <f>IFERROR(IF(INDEX(Winter!$1:$1048576,MATCH(All!$A681,Winter!$A:$A,FALSE),MATCH(All!S$1,Winter!$1:$1,FALSE))="","",INDEX(Winter!$1:$1048576,MATCH(All!$A681,Winter!$A:$A,FALSE),MATCH(All!S$1,Winter!$1:$1,FALSE))),"")</f>
        <v/>
      </c>
      <c r="T681" t="str">
        <f>IFERROR(IF(INDEX(Winter!$1:$1048576,MATCH(All!$A681,Winter!$A:$A,FALSE),MATCH(All!T$1,Winter!$1:$1,FALSE))="","",INDEX(Winter!$1:$1048576,MATCH(All!$A681,Winter!$A:$A,FALSE),MATCH(All!T$1,Winter!$1:$1,FALSE))),"")</f>
        <v>1A</v>
      </c>
      <c r="U681" t="str">
        <f>IFERROR(IF(INDEX(Winter!$1:$1048576,MATCH(All!$A681,Winter!$A:$A,FALSE),MATCH(All!U$1,Winter!$1:$1,FALSE))="","",INDEX(Winter!$1:$1048576,MATCH(All!$A681,Winter!$A:$A,FALSE),MATCH(All!U$1,Winter!$1:$1,FALSE))),"")</f>
        <v>1A</v>
      </c>
      <c r="W681">
        <f>IFERROR(IF(INDEX(Spring!$1:$1048576,MATCH(All!$A681,Spring!$A:$A,FALSE),MATCH(All!W$1,Spring!$1:$1,FALSE))="","",INDEX(Spring!$1:$1048576,MATCH(All!$A681,Spring!$A:$A,FALSE),MATCH(All!W$1,Spring!$1:$1,FALSE))),"")</f>
        <v>293</v>
      </c>
      <c r="X681" t="str">
        <f>IFERROR(IF(INDEX(Spring!$1:$1048576,MATCH(All!$A681,Spring!$A:$A,FALSE),MATCH(All!X$1,Spring!$1:$1,FALSE))="","",INDEX(Spring!$1:$1048576,MATCH(All!$A681,Spring!$A:$A,FALSE),MATCH(All!X$1,Spring!$1:$1,FALSE))),"")</f>
        <v>1A</v>
      </c>
      <c r="Y681" t="str">
        <f>IFERROR(IF(INDEX(Spring!$1:$1048576,MATCH(All!$A681,Spring!$A:$A,FALSE),MATCH(All!Y$1,Spring!$1:$1,FALSE))="","",INDEX(Spring!$1:$1048576,MATCH(All!$A681,Spring!$A:$A,FALSE),MATCH(All!Y$1,Spring!$1:$1,FALSE))),"")</f>
        <v>1A</v>
      </c>
      <c r="Z681" t="str">
        <f>IFERROR(IF(INDEX(Spring!$1:$1048576,MATCH(All!$A681,Spring!$A:$A,FALSE),MATCH(All!Z$1,Spring!$1:$1,FALSE))="","",INDEX(Spring!$1:$1048576,MATCH(All!$A681,Spring!$A:$A,FALSE),MATCH(All!Z$1,Spring!$1:$1,FALSE))),"")</f>
        <v/>
      </c>
      <c r="AA681" t="str">
        <f>IFERROR(IF(INDEX(Spring!$1:$1048576,MATCH(All!$A681,Spring!$A:$A,FALSE),MATCH(All!AA$1,Spring!$1:$1,FALSE))="","",INDEX(Spring!$1:$1048576,MATCH(All!$A681,Spring!$A:$A,FALSE),MATCH(All!AA$1,Spring!$1:$1,FALSE))),"")</f>
        <v/>
      </c>
      <c r="AB681" t="str">
        <f>IFERROR(IF(INDEX(Spring!$1:$1048576,MATCH(All!$A681,Spring!$A:$A,FALSE),MATCH(All!AB$1,Spring!$1:$1,FALSE))="","",INDEX(Spring!$1:$1048576,MATCH(All!$A681,Spring!$A:$A,FALSE),MATCH(All!AB$1,Spring!$1:$1,FALSE))),"")</f>
        <v>1A</v>
      </c>
      <c r="AC681" t="str">
        <f>IFERROR(IF(INDEX(Spring!$1:$1048576,MATCH(All!$A681,Spring!$A:$A,FALSE),MATCH(All!AC$1,Spring!$1:$1,FALSE))="","",INDEX(Spring!$1:$1048576,MATCH(All!$A681,Spring!$A:$A,FALSE),MATCH(All!AC$1,Spring!$1:$1,FALSE))),"")</f>
        <v>1A</v>
      </c>
      <c r="AD681" t="str">
        <f>IFERROR(VLOOKUP(A681,'Flag Football'!A:A,1,FALSE),"")</f>
        <v/>
      </c>
      <c r="AE681" t="str">
        <f t="shared" si="10"/>
        <v/>
      </c>
    </row>
    <row r="682" spans="1:31" ht="15.75" thickBot="1" x14ac:dyDescent="0.3">
      <c r="A682" s="20" t="s">
        <v>788</v>
      </c>
      <c r="B682" s="38">
        <f>IFERROR(VLOOKUP(A682,'Public v Private'!A:G,3,FALSE),"")</f>
        <v>0</v>
      </c>
      <c r="C682" s="38">
        <f>IFERROR(VLOOKUP(A682,'Public v Private'!A:G,4,FALSE),"")</f>
        <v>0</v>
      </c>
      <c r="D682" s="38">
        <f>IFERROR(VLOOKUP(A682,'Public v Private'!A:G,5,FALSE),"")</f>
        <v>0</v>
      </c>
      <c r="E682" s="38"/>
      <c r="F682" s="40">
        <f>IFERROR(INDEX(Fall!$1:$1048576,MATCH(All!$A682,Fall!$A:$A,FALSE),MATCH(All!F$1,Fall!$1:$1,FALSE)),"N/A")</f>
        <v>382</v>
      </c>
      <c r="G682" t="str">
        <f>IFERROR(IF(INDEX(Fall!$1:$1048576,MATCH(All!$A682,Fall!$A:$A,FALSE),MATCH(All!G$1,Fall!$1:$1,FALSE))="","",INDEX(Fall!$1:$1048576,MATCH(All!$A682,Fall!$A:$A,FALSE),MATCH(All!G$1,Fall!$1:$1,FALSE))),"")</f>
        <v>1A</v>
      </c>
      <c r="H682" t="str">
        <f>IFERROR(IF(INDEX(Fall!$1:$1048576,MATCH(All!$A682,Fall!$A:$A,FALSE),MATCH(All!H$1,Fall!$1:$1,FALSE))="","",INDEX(Fall!$1:$1048576,MATCH(All!$A682,Fall!$A:$A,FALSE),MATCH(All!H$1,Fall!$1:$1,FALSE))),"")</f>
        <v/>
      </c>
      <c r="I682" t="str">
        <f>IFERROR(IF(INDEX(Fall!$1:$1048576,MATCH(All!$A682,Fall!$A:$A,FALSE),MATCH(All!I$1,Fall!$1:$1,FALSE))="","",INDEX(Fall!$1:$1048576,MATCH(All!$A682,Fall!$A:$A,FALSE),MATCH(All!I$1,Fall!$1:$1,FALSE))),"")</f>
        <v>1A</v>
      </c>
      <c r="J682" t="str">
        <f>IFERROR(IF(INDEX(Fall!$1:$1048576,MATCH(All!$A682,Fall!$A:$A,FALSE),MATCH(All!J$1,Fall!$1:$1,FALSE))="","",INDEX(Fall!$1:$1048576,MATCH(All!$A682,Fall!$A:$A,FALSE),MATCH(All!J$1,Fall!$1:$1,FALSE))),"")</f>
        <v/>
      </c>
      <c r="K682" t="str">
        <f>IFERROR(IF(INDEX(Fall!$1:$1048576,MATCH(All!$A682,Fall!$A:$A,FALSE),MATCH(All!K$1,Fall!$1:$1,FALSE))="","",INDEX(Fall!$1:$1048576,MATCH(All!$A682,Fall!$A:$A,FALSE),MATCH(All!K$1,Fall!$1:$1,FALSE))),"")</f>
        <v/>
      </c>
      <c r="L682" t="str">
        <f>IFERROR(IF(INDEX(Fall!$1:$1048576,MATCH(All!$A682,Fall!$A:$A,FALSE),MATCH(All!L$1,Fall!$1:$1,FALSE))="","",INDEX(Fall!$1:$1048576,MATCH(All!$A682,Fall!$A:$A,FALSE),MATCH(All!L$1,Fall!$1:$1,FALSE))),"")</f>
        <v/>
      </c>
      <c r="M682" t="str">
        <f>IFERROR(IF(INDEX(Fall!$1:$1048576,MATCH(All!$A682,Fall!$A:$A,FALSE),MATCH(All!M$1,Fall!$1:$1,FALSE))="","",INDEX(Fall!$1:$1048576,MATCH(All!$A682,Fall!$A:$A,FALSE),MATCH(All!M$1,Fall!$1:$1,FALSE))),"")</f>
        <v>2A</v>
      </c>
      <c r="O682">
        <f>IFERROR(IF(INDEX(Winter!$1:$1048576,MATCH(All!$A682,Winter!$A:$A,FALSE),MATCH(All!O$1,Winter!$1:$1,FALSE))="","",INDEX(Winter!$1:$1048576,MATCH(All!$A682,Winter!$A:$A,FALSE),MATCH(All!O$1,Winter!$1:$1,FALSE))),"")</f>
        <v>382</v>
      </c>
      <c r="P682" t="str">
        <f>IFERROR(IF(INDEX(Winter!$1:$1048576,MATCH(All!$A682,Winter!$A:$A,FALSE),MATCH(All!P$1,Winter!$1:$1,FALSE))="","",INDEX(Winter!$1:$1048576,MATCH(All!$A682,Winter!$A:$A,FALSE),MATCH(All!P$1,Winter!$1:$1,FALSE))),"")</f>
        <v>2A</v>
      </c>
      <c r="Q682" t="str">
        <f>IFERROR(IF(INDEX(Winter!$1:$1048576,MATCH(All!$A682,Winter!$A:$A,FALSE),MATCH(All!Q$1,Winter!$1:$1,FALSE))="","",INDEX(Winter!$1:$1048576,MATCH(All!$A682,Winter!$A:$A,FALSE),MATCH(All!Q$1,Winter!$1:$1,FALSE))),"")</f>
        <v>2A</v>
      </c>
      <c r="R682" t="str">
        <f>IFERROR(IF(INDEX(Winter!$1:$1048576,MATCH(All!$A682,Winter!$A:$A,FALSE),MATCH(All!R$1,Winter!$1:$1,FALSE))="","",INDEX(Winter!$1:$1048576,MATCH(All!$A682,Winter!$A:$A,FALSE),MATCH(All!R$1,Winter!$1:$1,FALSE))),"")</f>
        <v/>
      </c>
      <c r="S682" t="str">
        <f>IFERROR(IF(INDEX(Winter!$1:$1048576,MATCH(All!$A682,Winter!$A:$A,FALSE),MATCH(All!S$1,Winter!$1:$1,FALSE))="","",INDEX(Winter!$1:$1048576,MATCH(All!$A682,Winter!$A:$A,FALSE),MATCH(All!S$1,Winter!$1:$1,FALSE))),"")</f>
        <v/>
      </c>
      <c r="T682" t="str">
        <f>IFERROR(IF(INDEX(Winter!$1:$1048576,MATCH(All!$A682,Winter!$A:$A,FALSE),MATCH(All!T$1,Winter!$1:$1,FALSE))="","",INDEX(Winter!$1:$1048576,MATCH(All!$A682,Winter!$A:$A,FALSE),MATCH(All!T$1,Winter!$1:$1,FALSE))),"")</f>
        <v/>
      </c>
      <c r="U682" t="str">
        <f>IFERROR(IF(INDEX(Winter!$1:$1048576,MATCH(All!$A682,Winter!$A:$A,FALSE),MATCH(All!U$1,Winter!$1:$1,FALSE))="","",INDEX(Winter!$1:$1048576,MATCH(All!$A682,Winter!$A:$A,FALSE),MATCH(All!U$1,Winter!$1:$1,FALSE))),"")</f>
        <v/>
      </c>
      <c r="W682">
        <f>IFERROR(IF(INDEX(Spring!$1:$1048576,MATCH(All!$A682,Spring!$A:$A,FALSE),MATCH(All!W$1,Spring!$1:$1,FALSE))="","",INDEX(Spring!$1:$1048576,MATCH(All!$A682,Spring!$A:$A,FALSE),MATCH(All!W$1,Spring!$1:$1,FALSE))),"")</f>
        <v>382</v>
      </c>
      <c r="X682" t="str">
        <f>IFERROR(IF(INDEX(Spring!$1:$1048576,MATCH(All!$A682,Spring!$A:$A,FALSE),MATCH(All!X$1,Spring!$1:$1,FALSE))="","",INDEX(Spring!$1:$1048576,MATCH(All!$A682,Spring!$A:$A,FALSE),MATCH(All!X$1,Spring!$1:$1,FALSE))),"")</f>
        <v>2A</v>
      </c>
      <c r="Y682" t="str">
        <f>IFERROR(IF(INDEX(Spring!$1:$1048576,MATCH(All!$A682,Spring!$A:$A,FALSE),MATCH(All!Y$1,Spring!$1:$1,FALSE))="","",INDEX(Spring!$1:$1048576,MATCH(All!$A682,Spring!$A:$A,FALSE),MATCH(All!Y$1,Spring!$1:$1,FALSE))),"")</f>
        <v>2A</v>
      </c>
      <c r="Z682" t="str">
        <f>IFERROR(IF(INDEX(Spring!$1:$1048576,MATCH(All!$A682,Spring!$A:$A,FALSE),MATCH(All!Z$1,Spring!$1:$1,FALSE))="","",INDEX(Spring!$1:$1048576,MATCH(All!$A682,Spring!$A:$A,FALSE),MATCH(All!Z$1,Spring!$1:$1,FALSE))),"")</f>
        <v/>
      </c>
      <c r="AA682" t="str">
        <f>IFERROR(IF(INDEX(Spring!$1:$1048576,MATCH(All!$A682,Spring!$A:$A,FALSE),MATCH(All!AA$1,Spring!$1:$1,FALSE))="","",INDEX(Spring!$1:$1048576,MATCH(All!$A682,Spring!$A:$A,FALSE),MATCH(All!AA$1,Spring!$1:$1,FALSE))),"")</f>
        <v/>
      </c>
      <c r="AB682" t="str">
        <f>IFERROR(IF(INDEX(Spring!$1:$1048576,MATCH(All!$A682,Spring!$A:$A,FALSE),MATCH(All!AB$1,Spring!$1:$1,FALSE))="","",INDEX(Spring!$1:$1048576,MATCH(All!$A682,Spring!$A:$A,FALSE),MATCH(All!AB$1,Spring!$1:$1,FALSE))),"")</f>
        <v>1A</v>
      </c>
      <c r="AC682" t="str">
        <f>IFERROR(IF(INDEX(Spring!$1:$1048576,MATCH(All!$A682,Spring!$A:$A,FALSE),MATCH(All!AC$1,Spring!$1:$1,FALSE))="","",INDEX(Spring!$1:$1048576,MATCH(All!$A682,Spring!$A:$A,FALSE),MATCH(All!AC$1,Spring!$1:$1,FALSE))),"")</f>
        <v>1A</v>
      </c>
      <c r="AD682" t="str">
        <f>IFERROR(VLOOKUP(A682,'Flag Football'!A:A,1,FALSE),"")</f>
        <v/>
      </c>
      <c r="AE682" t="str">
        <f t="shared" si="10"/>
        <v/>
      </c>
    </row>
    <row r="683" spans="1:31" ht="15.75" thickBot="1" x14ac:dyDescent="0.3">
      <c r="A683" s="18" t="s">
        <v>968</v>
      </c>
      <c r="B683" s="38" t="str">
        <f>IFERROR(VLOOKUP(A683,'Public v Private'!A:G,3,FALSE),"")</f>
        <v>private</v>
      </c>
      <c r="C683" s="38">
        <f>IFERROR(VLOOKUP(A683,'Public v Private'!A:G,4,FALSE),"")</f>
        <v>6</v>
      </c>
      <c r="D683" s="38">
        <f>IFERROR(VLOOKUP(A683,'Public v Private'!A:G,5,FALSE),"")</f>
        <v>18</v>
      </c>
      <c r="E683" s="38"/>
      <c r="F683" s="40" t="str">
        <f>IFERROR(INDEX(Fall!$1:$1048576,MATCH(All!$A683,Fall!$A:$A,FALSE),MATCH(All!F$1,Fall!$1:$1,FALSE)),"N/A")</f>
        <v>52.00 (85.80)</v>
      </c>
      <c r="G683" t="str">
        <f>IFERROR(IF(INDEX(Fall!$1:$1048576,MATCH(All!$A683,Fall!$A:$A,FALSE),MATCH(All!G$1,Fall!$1:$1,FALSE))="","",INDEX(Fall!$1:$1048576,MATCH(All!$A683,Fall!$A:$A,FALSE),MATCH(All!G$1,Fall!$1:$1,FALSE))),"")</f>
        <v/>
      </c>
      <c r="H683" t="str">
        <f>IFERROR(IF(INDEX(Fall!$1:$1048576,MATCH(All!$A683,Fall!$A:$A,FALSE),MATCH(All!H$1,Fall!$1:$1,FALSE))="","",INDEX(Fall!$1:$1048576,MATCH(All!$A683,Fall!$A:$A,FALSE),MATCH(All!H$1,Fall!$1:$1,FALSE))),"")</f>
        <v/>
      </c>
      <c r="I683" t="str">
        <f>IFERROR(IF(INDEX(Fall!$1:$1048576,MATCH(All!$A683,Fall!$A:$A,FALSE),MATCH(All!I$1,Fall!$1:$1,FALSE))="","",INDEX(Fall!$1:$1048576,MATCH(All!$A683,Fall!$A:$A,FALSE),MATCH(All!I$1,Fall!$1:$1,FALSE))),"")</f>
        <v/>
      </c>
      <c r="J683" t="str">
        <f>IFERROR(IF(INDEX(Fall!$1:$1048576,MATCH(All!$A683,Fall!$A:$A,FALSE),MATCH(All!J$1,Fall!$1:$1,FALSE))="","",INDEX(Fall!$1:$1048576,MATCH(All!$A683,Fall!$A:$A,FALSE),MATCH(All!J$1,Fall!$1:$1,FALSE))),"")</f>
        <v/>
      </c>
      <c r="K683" t="str">
        <f>IFERROR(IF(INDEX(Fall!$1:$1048576,MATCH(All!$A683,Fall!$A:$A,FALSE),MATCH(All!K$1,Fall!$1:$1,FALSE))="","",INDEX(Fall!$1:$1048576,MATCH(All!$A683,Fall!$A:$A,FALSE),MATCH(All!K$1,Fall!$1:$1,FALSE))),"")</f>
        <v/>
      </c>
      <c r="L683" t="str">
        <f>IFERROR(IF(INDEX(Fall!$1:$1048576,MATCH(All!$A683,Fall!$A:$A,FALSE),MATCH(All!L$1,Fall!$1:$1,FALSE))="","",INDEX(Fall!$1:$1048576,MATCH(All!$A683,Fall!$A:$A,FALSE),MATCH(All!L$1,Fall!$1:$1,FALSE))),"")</f>
        <v/>
      </c>
      <c r="M683" t="str">
        <f>IFERROR(IF(INDEX(Fall!$1:$1048576,MATCH(All!$A683,Fall!$A:$A,FALSE),MATCH(All!M$1,Fall!$1:$1,FALSE))="","",INDEX(Fall!$1:$1048576,MATCH(All!$A683,Fall!$A:$A,FALSE),MATCH(All!M$1,Fall!$1:$1,FALSE))),"")</f>
        <v>1A</v>
      </c>
      <c r="O683" t="str">
        <f>IFERROR(IF(INDEX(Winter!$1:$1048576,MATCH(All!$A683,Winter!$A:$A,FALSE),MATCH(All!O$1,Winter!$1:$1,FALSE))="","",INDEX(Winter!$1:$1048576,MATCH(All!$A683,Winter!$A:$A,FALSE),MATCH(All!O$1,Winter!$1:$1,FALSE))),"")</f>
        <v>52.00 (85.80)</v>
      </c>
      <c r="P683" t="str">
        <f>IFERROR(IF(INDEX(Winter!$1:$1048576,MATCH(All!$A683,Winter!$A:$A,FALSE),MATCH(All!P$1,Winter!$1:$1,FALSE))="","",INDEX(Winter!$1:$1048576,MATCH(All!$A683,Winter!$A:$A,FALSE),MATCH(All!P$1,Winter!$1:$1,FALSE))),"")</f>
        <v>1A</v>
      </c>
      <c r="Q683" t="str">
        <f>IFERROR(IF(INDEX(Winter!$1:$1048576,MATCH(All!$A683,Winter!$A:$A,FALSE),MATCH(All!Q$1,Winter!$1:$1,FALSE))="","",INDEX(Winter!$1:$1048576,MATCH(All!$A683,Winter!$A:$A,FALSE),MATCH(All!Q$1,Winter!$1:$1,FALSE))),"")</f>
        <v/>
      </c>
      <c r="R683" t="str">
        <f>IFERROR(IF(INDEX(Winter!$1:$1048576,MATCH(All!$A683,Winter!$A:$A,FALSE),MATCH(All!R$1,Winter!$1:$1,FALSE))="","",INDEX(Winter!$1:$1048576,MATCH(All!$A683,Winter!$A:$A,FALSE),MATCH(All!R$1,Winter!$1:$1,FALSE))),"")</f>
        <v/>
      </c>
      <c r="S683" t="str">
        <f>IFERROR(IF(INDEX(Winter!$1:$1048576,MATCH(All!$A683,Winter!$A:$A,FALSE),MATCH(All!S$1,Winter!$1:$1,FALSE))="","",INDEX(Winter!$1:$1048576,MATCH(All!$A683,Winter!$A:$A,FALSE),MATCH(All!S$1,Winter!$1:$1,FALSE))),"")</f>
        <v/>
      </c>
      <c r="T683" t="str">
        <f>IFERROR(IF(INDEX(Winter!$1:$1048576,MATCH(All!$A683,Winter!$A:$A,FALSE),MATCH(All!T$1,Winter!$1:$1,FALSE))="","",INDEX(Winter!$1:$1048576,MATCH(All!$A683,Winter!$A:$A,FALSE),MATCH(All!T$1,Winter!$1:$1,FALSE))),"")</f>
        <v/>
      </c>
      <c r="U683" t="str">
        <f>IFERROR(IF(INDEX(Winter!$1:$1048576,MATCH(All!$A683,Winter!$A:$A,FALSE),MATCH(All!U$1,Winter!$1:$1,FALSE))="","",INDEX(Winter!$1:$1048576,MATCH(All!$A683,Winter!$A:$A,FALSE),MATCH(All!U$1,Winter!$1:$1,FALSE))),"")</f>
        <v/>
      </c>
      <c r="W683" t="str">
        <f>IFERROR(IF(INDEX(Spring!$1:$1048576,MATCH(All!$A683,Spring!$A:$A,FALSE),MATCH(All!W$1,Spring!$1:$1,FALSE))="","",INDEX(Spring!$1:$1048576,MATCH(All!$A683,Spring!$A:$A,FALSE),MATCH(All!W$1,Spring!$1:$1,FALSE))),"")</f>
        <v/>
      </c>
      <c r="X683" t="str">
        <f>IFERROR(IF(INDEX(Spring!$1:$1048576,MATCH(All!$A683,Spring!$A:$A,FALSE),MATCH(All!X$1,Spring!$1:$1,FALSE))="","",INDEX(Spring!$1:$1048576,MATCH(All!$A683,Spring!$A:$A,FALSE),MATCH(All!X$1,Spring!$1:$1,FALSE))),"")</f>
        <v/>
      </c>
      <c r="Y683" t="str">
        <f>IFERROR(IF(INDEX(Spring!$1:$1048576,MATCH(All!$A683,Spring!$A:$A,FALSE),MATCH(All!Y$1,Spring!$1:$1,FALSE))="","",INDEX(Spring!$1:$1048576,MATCH(All!$A683,Spring!$A:$A,FALSE),MATCH(All!Y$1,Spring!$1:$1,FALSE))),"")</f>
        <v/>
      </c>
      <c r="Z683" t="str">
        <f>IFERROR(IF(INDEX(Spring!$1:$1048576,MATCH(All!$A683,Spring!$A:$A,FALSE),MATCH(All!Z$1,Spring!$1:$1,FALSE))="","",INDEX(Spring!$1:$1048576,MATCH(All!$A683,Spring!$A:$A,FALSE),MATCH(All!Z$1,Spring!$1:$1,FALSE))),"")</f>
        <v/>
      </c>
      <c r="AA683" t="str">
        <f>IFERROR(IF(INDEX(Spring!$1:$1048576,MATCH(All!$A683,Spring!$A:$A,FALSE),MATCH(All!AA$1,Spring!$1:$1,FALSE))="","",INDEX(Spring!$1:$1048576,MATCH(All!$A683,Spring!$A:$A,FALSE),MATCH(All!AA$1,Spring!$1:$1,FALSE))),"")</f>
        <v/>
      </c>
      <c r="AB683" t="str">
        <f>IFERROR(IF(INDEX(Spring!$1:$1048576,MATCH(All!$A683,Spring!$A:$A,FALSE),MATCH(All!AB$1,Spring!$1:$1,FALSE))="","",INDEX(Spring!$1:$1048576,MATCH(All!$A683,Spring!$A:$A,FALSE),MATCH(All!AB$1,Spring!$1:$1,FALSE))),"")</f>
        <v/>
      </c>
      <c r="AC683" t="str">
        <f>IFERROR(IF(INDEX(Spring!$1:$1048576,MATCH(All!$A683,Spring!$A:$A,FALSE),MATCH(All!AC$1,Spring!$1:$1,FALSE))="","",INDEX(Spring!$1:$1048576,MATCH(All!$A683,Spring!$A:$A,FALSE),MATCH(All!AC$1,Spring!$1:$1,FALSE))),"")</f>
        <v/>
      </c>
      <c r="AD683" t="str">
        <f>IFERROR(VLOOKUP(A683,'Flag Football'!A:A,1,FALSE),"")</f>
        <v/>
      </c>
      <c r="AE683" t="str">
        <f t="shared" si="10"/>
        <v/>
      </c>
    </row>
    <row r="684" spans="1:31" ht="15.75" thickBot="1" x14ac:dyDescent="0.3">
      <c r="A684" s="20" t="s">
        <v>789</v>
      </c>
      <c r="B684" s="38">
        <f>IFERROR(VLOOKUP(A684,'Public v Private'!A:G,3,FALSE),"")</f>
        <v>0</v>
      </c>
      <c r="C684" s="38">
        <f>IFERROR(VLOOKUP(A684,'Public v Private'!A:G,4,FALSE),"")</f>
        <v>0</v>
      </c>
      <c r="D684" s="38">
        <f>IFERROR(VLOOKUP(A684,'Public v Private'!A:G,5,FALSE),"")</f>
        <v>0</v>
      </c>
      <c r="E684" s="38"/>
      <c r="F684" s="40">
        <f>IFERROR(INDEX(Fall!$1:$1048576,MATCH(All!$A684,Fall!$A:$A,FALSE),MATCH(All!F$1,Fall!$1:$1,FALSE)),"N/A")</f>
        <v>1267</v>
      </c>
      <c r="G684" t="str">
        <f>IFERROR(IF(INDEX(Fall!$1:$1048576,MATCH(All!$A684,Fall!$A:$A,FALSE),MATCH(All!G$1,Fall!$1:$1,FALSE))="","",INDEX(Fall!$1:$1048576,MATCH(All!$A684,Fall!$A:$A,FALSE),MATCH(All!G$1,Fall!$1:$1,FALSE))),"")</f>
        <v>2A</v>
      </c>
      <c r="H684" t="str">
        <f>IFERROR(IF(INDEX(Fall!$1:$1048576,MATCH(All!$A684,Fall!$A:$A,FALSE),MATCH(All!H$1,Fall!$1:$1,FALSE))="","",INDEX(Fall!$1:$1048576,MATCH(All!$A684,Fall!$A:$A,FALSE),MATCH(All!H$1,Fall!$1:$1,FALSE))),"")</f>
        <v>2A</v>
      </c>
      <c r="I684" t="str">
        <f>IFERROR(IF(INDEX(Fall!$1:$1048576,MATCH(All!$A684,Fall!$A:$A,FALSE),MATCH(All!I$1,Fall!$1:$1,FALSE))="","",INDEX(Fall!$1:$1048576,MATCH(All!$A684,Fall!$A:$A,FALSE),MATCH(All!I$1,Fall!$1:$1,FALSE))),"")</f>
        <v>2A</v>
      </c>
      <c r="J684" t="str">
        <f>IFERROR(IF(INDEX(Fall!$1:$1048576,MATCH(All!$A684,Fall!$A:$A,FALSE),MATCH(All!J$1,Fall!$1:$1,FALSE))="","",INDEX(Fall!$1:$1048576,MATCH(All!$A684,Fall!$A:$A,FALSE),MATCH(All!J$1,Fall!$1:$1,FALSE))),"")</f>
        <v>2A</v>
      </c>
      <c r="K684" t="str">
        <f>IFERROR(IF(INDEX(Fall!$1:$1048576,MATCH(All!$A684,Fall!$A:$A,FALSE),MATCH(All!K$1,Fall!$1:$1,FALSE))="","",INDEX(Fall!$1:$1048576,MATCH(All!$A684,Fall!$A:$A,FALSE),MATCH(All!K$1,Fall!$1:$1,FALSE))),"")</f>
        <v>2A</v>
      </c>
      <c r="L684" t="str">
        <f>IFERROR(IF(INDEX(Fall!$1:$1048576,MATCH(All!$A684,Fall!$A:$A,FALSE),MATCH(All!L$1,Fall!$1:$1,FALSE))="","",INDEX(Fall!$1:$1048576,MATCH(All!$A684,Fall!$A:$A,FALSE),MATCH(All!L$1,Fall!$1:$1,FALSE))),"")</f>
        <v>1A</v>
      </c>
      <c r="M684" t="str">
        <f>IFERROR(IF(INDEX(Fall!$1:$1048576,MATCH(All!$A684,Fall!$A:$A,FALSE),MATCH(All!M$1,Fall!$1:$1,FALSE))="","",INDEX(Fall!$1:$1048576,MATCH(All!$A684,Fall!$A:$A,FALSE),MATCH(All!M$1,Fall!$1:$1,FALSE))),"")</f>
        <v>3A</v>
      </c>
      <c r="O684">
        <f>IFERROR(IF(INDEX(Winter!$1:$1048576,MATCH(All!$A684,Winter!$A:$A,FALSE),MATCH(All!O$1,Winter!$1:$1,FALSE))="","",INDEX(Winter!$1:$1048576,MATCH(All!$A684,Winter!$A:$A,FALSE),MATCH(All!O$1,Winter!$1:$1,FALSE))),"")</f>
        <v>1267</v>
      </c>
      <c r="P684" t="str">
        <f>IFERROR(IF(INDEX(Winter!$1:$1048576,MATCH(All!$A684,Winter!$A:$A,FALSE),MATCH(All!P$1,Winter!$1:$1,FALSE))="","",INDEX(Winter!$1:$1048576,MATCH(All!$A684,Winter!$A:$A,FALSE),MATCH(All!P$1,Winter!$1:$1,FALSE))),"")</f>
        <v>3A</v>
      </c>
      <c r="Q684" t="str">
        <f>IFERROR(IF(INDEX(Winter!$1:$1048576,MATCH(All!$A684,Winter!$A:$A,FALSE),MATCH(All!Q$1,Winter!$1:$1,FALSE))="","",INDEX(Winter!$1:$1048576,MATCH(All!$A684,Winter!$A:$A,FALSE),MATCH(All!Q$1,Winter!$1:$1,FALSE))),"")</f>
        <v>3A</v>
      </c>
      <c r="R684" t="str">
        <f>IFERROR(IF(INDEX(Winter!$1:$1048576,MATCH(All!$A684,Winter!$A:$A,FALSE),MATCH(All!R$1,Winter!$1:$1,FALSE))="","",INDEX(Winter!$1:$1048576,MATCH(All!$A684,Winter!$A:$A,FALSE),MATCH(All!R$1,Winter!$1:$1,FALSE))),"")</f>
        <v/>
      </c>
      <c r="S684" t="str">
        <f>IFERROR(IF(INDEX(Winter!$1:$1048576,MATCH(All!$A684,Winter!$A:$A,FALSE),MATCH(All!S$1,Winter!$1:$1,FALSE))="","",INDEX(Winter!$1:$1048576,MATCH(All!$A684,Winter!$A:$A,FALSE),MATCH(All!S$1,Winter!$1:$1,FALSE))),"")</f>
        <v/>
      </c>
      <c r="T684" t="str">
        <f>IFERROR(IF(INDEX(Winter!$1:$1048576,MATCH(All!$A684,Winter!$A:$A,FALSE),MATCH(All!T$1,Winter!$1:$1,FALSE))="","",INDEX(Winter!$1:$1048576,MATCH(All!$A684,Winter!$A:$A,FALSE),MATCH(All!T$1,Winter!$1:$1,FALSE))),"")</f>
        <v>2A</v>
      </c>
      <c r="U684" t="str">
        <f>IFERROR(IF(INDEX(Winter!$1:$1048576,MATCH(All!$A684,Winter!$A:$A,FALSE),MATCH(All!U$1,Winter!$1:$1,FALSE))="","",INDEX(Winter!$1:$1048576,MATCH(All!$A684,Winter!$A:$A,FALSE),MATCH(All!U$1,Winter!$1:$1,FALSE))),"")</f>
        <v>2A</v>
      </c>
      <c r="W684">
        <f>IFERROR(IF(INDEX(Spring!$1:$1048576,MATCH(All!$A684,Spring!$A:$A,FALSE),MATCH(All!W$1,Spring!$1:$1,FALSE))="","",INDEX(Spring!$1:$1048576,MATCH(All!$A684,Spring!$A:$A,FALSE),MATCH(All!W$1,Spring!$1:$1,FALSE))),"")</f>
        <v>1267</v>
      </c>
      <c r="X684" t="str">
        <f>IFERROR(IF(INDEX(Spring!$1:$1048576,MATCH(All!$A684,Spring!$A:$A,FALSE),MATCH(All!X$1,Spring!$1:$1,FALSE))="","",INDEX(Spring!$1:$1048576,MATCH(All!$A684,Spring!$A:$A,FALSE),MATCH(All!X$1,Spring!$1:$1,FALSE))),"")</f>
        <v>3A</v>
      </c>
      <c r="Y684" t="str">
        <f>IFERROR(IF(INDEX(Spring!$1:$1048576,MATCH(All!$A684,Spring!$A:$A,FALSE),MATCH(All!Y$1,Spring!$1:$1,FALSE))="","",INDEX(Spring!$1:$1048576,MATCH(All!$A684,Spring!$A:$A,FALSE),MATCH(All!Y$1,Spring!$1:$1,FALSE))),"")</f>
        <v>4A</v>
      </c>
      <c r="Z684" t="str">
        <f>IFERROR(IF(INDEX(Spring!$1:$1048576,MATCH(All!$A684,Spring!$A:$A,FALSE),MATCH(All!Z$1,Spring!$1:$1,FALSE))="","",INDEX(Spring!$1:$1048576,MATCH(All!$A684,Spring!$A:$A,FALSE),MATCH(All!Z$1,Spring!$1:$1,FALSE))),"")</f>
        <v>2A</v>
      </c>
      <c r="AA684" t="str">
        <f>IFERROR(IF(INDEX(Spring!$1:$1048576,MATCH(All!$A684,Spring!$A:$A,FALSE),MATCH(All!AA$1,Spring!$1:$1,FALSE))="","",INDEX(Spring!$1:$1048576,MATCH(All!$A684,Spring!$A:$A,FALSE),MATCH(All!AA$1,Spring!$1:$1,FALSE))),"")</f>
        <v>1A</v>
      </c>
      <c r="AB684" t="str">
        <f>IFERROR(IF(INDEX(Spring!$1:$1048576,MATCH(All!$A684,Spring!$A:$A,FALSE),MATCH(All!AB$1,Spring!$1:$1,FALSE))="","",INDEX(Spring!$1:$1048576,MATCH(All!$A684,Spring!$A:$A,FALSE),MATCH(All!AB$1,Spring!$1:$1,FALSE))),"")</f>
        <v>3A</v>
      </c>
      <c r="AC684" t="str">
        <f>IFERROR(IF(INDEX(Spring!$1:$1048576,MATCH(All!$A684,Spring!$A:$A,FALSE),MATCH(All!AC$1,Spring!$1:$1,FALSE))="","",INDEX(Spring!$1:$1048576,MATCH(All!$A684,Spring!$A:$A,FALSE),MATCH(All!AC$1,Spring!$1:$1,FALSE))),"")</f>
        <v>3A</v>
      </c>
      <c r="AD684" t="str">
        <f>IFERROR(VLOOKUP(A684,'Flag Football'!A:A,1,FALSE),"")</f>
        <v/>
      </c>
      <c r="AE684" t="str">
        <f t="shared" si="10"/>
        <v/>
      </c>
    </row>
    <row r="685" spans="1:31" ht="15.75" thickBot="1" x14ac:dyDescent="0.3">
      <c r="A685" s="18" t="s">
        <v>790</v>
      </c>
      <c r="B685" s="38">
        <f>IFERROR(VLOOKUP(A685,'Public v Private'!A:G,3,FALSE),"")</f>
        <v>0</v>
      </c>
      <c r="C685" s="38">
        <f>IFERROR(VLOOKUP(A685,'Public v Private'!A:G,4,FALSE),"")</f>
        <v>0</v>
      </c>
      <c r="D685" s="38">
        <f>IFERROR(VLOOKUP(A685,'Public v Private'!A:G,5,FALSE),"")</f>
        <v>0</v>
      </c>
      <c r="E685" s="38"/>
      <c r="F685" s="40">
        <f>IFERROR(INDEX(Fall!$1:$1048576,MATCH(All!$A685,Fall!$A:$A,FALSE),MATCH(All!F$1,Fall!$1:$1,FALSE)),"N/A")</f>
        <v>1050</v>
      </c>
      <c r="G685" t="str">
        <f>IFERROR(IF(INDEX(Fall!$1:$1048576,MATCH(All!$A685,Fall!$A:$A,FALSE),MATCH(All!G$1,Fall!$1:$1,FALSE))="","",INDEX(Fall!$1:$1048576,MATCH(All!$A685,Fall!$A:$A,FALSE),MATCH(All!G$1,Fall!$1:$1,FALSE))),"")</f>
        <v>2A</v>
      </c>
      <c r="H685" t="str">
        <f>IFERROR(IF(INDEX(Fall!$1:$1048576,MATCH(All!$A685,Fall!$A:$A,FALSE),MATCH(All!H$1,Fall!$1:$1,FALSE))="","",INDEX(Fall!$1:$1048576,MATCH(All!$A685,Fall!$A:$A,FALSE),MATCH(All!H$1,Fall!$1:$1,FALSE))),"")</f>
        <v>2A</v>
      </c>
      <c r="I685" t="str">
        <f>IFERROR(IF(INDEX(Fall!$1:$1048576,MATCH(All!$A685,Fall!$A:$A,FALSE),MATCH(All!I$1,Fall!$1:$1,FALSE))="","",INDEX(Fall!$1:$1048576,MATCH(All!$A685,Fall!$A:$A,FALSE),MATCH(All!I$1,Fall!$1:$1,FALSE))),"")</f>
        <v>3A</v>
      </c>
      <c r="J685" t="str">
        <f>IFERROR(IF(INDEX(Fall!$1:$1048576,MATCH(All!$A685,Fall!$A:$A,FALSE),MATCH(All!J$1,Fall!$1:$1,FALSE))="","",INDEX(Fall!$1:$1048576,MATCH(All!$A685,Fall!$A:$A,FALSE),MATCH(All!J$1,Fall!$1:$1,FALSE))),"")</f>
        <v/>
      </c>
      <c r="K685" t="str">
        <f>IFERROR(IF(INDEX(Fall!$1:$1048576,MATCH(All!$A685,Fall!$A:$A,FALSE),MATCH(All!K$1,Fall!$1:$1,FALSE))="","",INDEX(Fall!$1:$1048576,MATCH(All!$A685,Fall!$A:$A,FALSE),MATCH(All!K$1,Fall!$1:$1,FALSE))),"")</f>
        <v/>
      </c>
      <c r="L685" t="str">
        <f>IFERROR(IF(INDEX(Fall!$1:$1048576,MATCH(All!$A685,Fall!$A:$A,FALSE),MATCH(All!L$1,Fall!$1:$1,FALSE))="","",INDEX(Fall!$1:$1048576,MATCH(All!$A685,Fall!$A:$A,FALSE),MATCH(All!L$1,Fall!$1:$1,FALSE))),"")</f>
        <v/>
      </c>
      <c r="M685" t="str">
        <f>IFERROR(IF(INDEX(Fall!$1:$1048576,MATCH(All!$A685,Fall!$A:$A,FALSE),MATCH(All!M$1,Fall!$1:$1,FALSE))="","",INDEX(Fall!$1:$1048576,MATCH(All!$A685,Fall!$A:$A,FALSE),MATCH(All!M$1,Fall!$1:$1,FALSE))),"")</f>
        <v>3A</v>
      </c>
      <c r="O685">
        <f>IFERROR(IF(INDEX(Winter!$1:$1048576,MATCH(All!$A685,Winter!$A:$A,FALSE),MATCH(All!O$1,Winter!$1:$1,FALSE))="","",INDEX(Winter!$1:$1048576,MATCH(All!$A685,Winter!$A:$A,FALSE),MATCH(All!O$1,Winter!$1:$1,FALSE))),"")</f>
        <v>1050</v>
      </c>
      <c r="P685" t="str">
        <f>IFERROR(IF(INDEX(Winter!$1:$1048576,MATCH(All!$A685,Winter!$A:$A,FALSE),MATCH(All!P$1,Winter!$1:$1,FALSE))="","",INDEX(Winter!$1:$1048576,MATCH(All!$A685,Winter!$A:$A,FALSE),MATCH(All!P$1,Winter!$1:$1,FALSE))),"")</f>
        <v>3A</v>
      </c>
      <c r="Q685" t="str">
        <f>IFERROR(IF(INDEX(Winter!$1:$1048576,MATCH(All!$A685,Winter!$A:$A,FALSE),MATCH(All!Q$1,Winter!$1:$1,FALSE))="","",INDEX(Winter!$1:$1048576,MATCH(All!$A685,Winter!$A:$A,FALSE),MATCH(All!Q$1,Winter!$1:$1,FALSE))),"")</f>
        <v>3A</v>
      </c>
      <c r="R685" t="str">
        <f>IFERROR(IF(INDEX(Winter!$1:$1048576,MATCH(All!$A685,Winter!$A:$A,FALSE),MATCH(All!R$1,Winter!$1:$1,FALSE))="","",INDEX(Winter!$1:$1048576,MATCH(All!$A685,Winter!$A:$A,FALSE),MATCH(All!R$1,Winter!$1:$1,FALSE))),"")</f>
        <v/>
      </c>
      <c r="S685" t="str">
        <f>IFERROR(IF(INDEX(Winter!$1:$1048576,MATCH(All!$A685,Winter!$A:$A,FALSE),MATCH(All!S$1,Winter!$1:$1,FALSE))="","",INDEX(Winter!$1:$1048576,MATCH(All!$A685,Winter!$A:$A,FALSE),MATCH(All!S$1,Winter!$1:$1,FALSE))),"")</f>
        <v/>
      </c>
      <c r="T685" t="str">
        <f>IFERROR(IF(INDEX(Winter!$1:$1048576,MATCH(All!$A685,Winter!$A:$A,FALSE),MATCH(All!T$1,Winter!$1:$1,FALSE))="","",INDEX(Winter!$1:$1048576,MATCH(All!$A685,Winter!$A:$A,FALSE),MATCH(All!T$1,Winter!$1:$1,FALSE))),"")</f>
        <v>2A</v>
      </c>
      <c r="U685" t="str">
        <f>IFERROR(IF(INDEX(Winter!$1:$1048576,MATCH(All!$A685,Winter!$A:$A,FALSE),MATCH(All!U$1,Winter!$1:$1,FALSE))="","",INDEX(Winter!$1:$1048576,MATCH(All!$A685,Winter!$A:$A,FALSE),MATCH(All!U$1,Winter!$1:$1,FALSE))),"")</f>
        <v>2A</v>
      </c>
      <c r="W685">
        <f>IFERROR(IF(INDEX(Spring!$1:$1048576,MATCH(All!$A685,Spring!$A:$A,FALSE),MATCH(All!W$1,Spring!$1:$1,FALSE))="","",INDEX(Spring!$1:$1048576,MATCH(All!$A685,Spring!$A:$A,FALSE),MATCH(All!W$1,Spring!$1:$1,FALSE))),"")</f>
        <v>1050</v>
      </c>
      <c r="X685" t="str">
        <f>IFERROR(IF(INDEX(Spring!$1:$1048576,MATCH(All!$A685,Spring!$A:$A,FALSE),MATCH(All!X$1,Spring!$1:$1,FALSE))="","",INDEX(Spring!$1:$1048576,MATCH(All!$A685,Spring!$A:$A,FALSE),MATCH(All!X$1,Spring!$1:$1,FALSE))),"")</f>
        <v>3A</v>
      </c>
      <c r="Y685" t="str">
        <f>IFERROR(IF(INDEX(Spring!$1:$1048576,MATCH(All!$A685,Spring!$A:$A,FALSE),MATCH(All!Y$1,Spring!$1:$1,FALSE))="","",INDEX(Spring!$1:$1048576,MATCH(All!$A685,Spring!$A:$A,FALSE),MATCH(All!Y$1,Spring!$1:$1,FALSE))),"")</f>
        <v/>
      </c>
      <c r="Z685" t="str">
        <f>IFERROR(IF(INDEX(Spring!$1:$1048576,MATCH(All!$A685,Spring!$A:$A,FALSE),MATCH(All!Z$1,Spring!$1:$1,FALSE))="","",INDEX(Spring!$1:$1048576,MATCH(All!$A685,Spring!$A:$A,FALSE),MATCH(All!Z$1,Spring!$1:$1,FALSE))),"")</f>
        <v/>
      </c>
      <c r="AA685" t="str">
        <f>IFERROR(IF(INDEX(Spring!$1:$1048576,MATCH(All!$A685,Spring!$A:$A,FALSE),MATCH(All!AA$1,Spring!$1:$1,FALSE))="","",INDEX(Spring!$1:$1048576,MATCH(All!$A685,Spring!$A:$A,FALSE),MATCH(All!AA$1,Spring!$1:$1,FALSE))),"")</f>
        <v/>
      </c>
      <c r="AB685" t="str">
        <f>IFERROR(IF(INDEX(Spring!$1:$1048576,MATCH(All!$A685,Spring!$A:$A,FALSE),MATCH(All!AB$1,Spring!$1:$1,FALSE))="","",INDEX(Spring!$1:$1048576,MATCH(All!$A685,Spring!$A:$A,FALSE),MATCH(All!AB$1,Spring!$1:$1,FALSE))),"")</f>
        <v>2A</v>
      </c>
      <c r="AC685" t="str">
        <f>IFERROR(IF(INDEX(Spring!$1:$1048576,MATCH(All!$A685,Spring!$A:$A,FALSE),MATCH(All!AC$1,Spring!$1:$1,FALSE))="","",INDEX(Spring!$1:$1048576,MATCH(All!$A685,Spring!$A:$A,FALSE),MATCH(All!AC$1,Spring!$1:$1,FALSE))),"")</f>
        <v>2A</v>
      </c>
      <c r="AD685" t="str">
        <f>IFERROR(VLOOKUP(A685,'Flag Football'!A:A,1,FALSE),"")</f>
        <v/>
      </c>
      <c r="AE685" t="str">
        <f t="shared" si="10"/>
        <v/>
      </c>
    </row>
    <row r="686" spans="1:31" ht="15.75" thickBot="1" x14ac:dyDescent="0.3">
      <c r="A686" s="20" t="s">
        <v>791</v>
      </c>
      <c r="B686" s="38" t="str">
        <f>IFERROR(VLOOKUP(A686,'Public v Private'!A:G,3,FALSE),"")</f>
        <v>private</v>
      </c>
      <c r="C686" s="38">
        <f>IFERROR(VLOOKUP(A686,'Public v Private'!A:G,4,FALSE),"")</f>
        <v>6</v>
      </c>
      <c r="D686" s="38">
        <f>IFERROR(VLOOKUP(A686,'Public v Private'!A:G,5,FALSE),"")</f>
        <v>18</v>
      </c>
      <c r="E686" s="38"/>
      <c r="F686" s="40" t="str">
        <f>IFERROR(INDEX(Fall!$1:$1048576,MATCH(All!$A686,Fall!$A:$A,FALSE),MATCH(All!F$1,Fall!$1:$1,FALSE)),"N/A")</f>
        <v>105.00 (173.25)</v>
      </c>
      <c r="G686" t="str">
        <f>IFERROR(IF(INDEX(Fall!$1:$1048576,MATCH(All!$A686,Fall!$A:$A,FALSE),MATCH(All!G$1,Fall!$1:$1,FALSE))="","",INDEX(Fall!$1:$1048576,MATCH(All!$A686,Fall!$A:$A,FALSE),MATCH(All!G$1,Fall!$1:$1,FALSE))),"")</f>
        <v>1A</v>
      </c>
      <c r="H686" t="str">
        <f>IFERROR(IF(INDEX(Fall!$1:$1048576,MATCH(All!$A686,Fall!$A:$A,FALSE),MATCH(All!H$1,Fall!$1:$1,FALSE))="","",INDEX(Fall!$1:$1048576,MATCH(All!$A686,Fall!$A:$A,FALSE),MATCH(All!H$1,Fall!$1:$1,FALSE))),"")</f>
        <v>1A</v>
      </c>
      <c r="I686" t="str">
        <f>IFERROR(IF(INDEX(Fall!$1:$1048576,MATCH(All!$A686,Fall!$A:$A,FALSE),MATCH(All!I$1,Fall!$1:$1,FALSE))="","",INDEX(Fall!$1:$1048576,MATCH(All!$A686,Fall!$A:$A,FALSE),MATCH(All!I$1,Fall!$1:$1,FALSE))),"")</f>
        <v>1A</v>
      </c>
      <c r="J686" t="str">
        <f>IFERROR(IF(INDEX(Fall!$1:$1048576,MATCH(All!$A686,Fall!$A:$A,FALSE),MATCH(All!J$1,Fall!$1:$1,FALSE))="","",INDEX(Fall!$1:$1048576,MATCH(All!$A686,Fall!$A:$A,FALSE),MATCH(All!J$1,Fall!$1:$1,FALSE))),"")</f>
        <v/>
      </c>
      <c r="K686" t="str">
        <f>IFERROR(IF(INDEX(Fall!$1:$1048576,MATCH(All!$A686,Fall!$A:$A,FALSE),MATCH(All!K$1,Fall!$1:$1,FALSE))="","",INDEX(Fall!$1:$1048576,MATCH(All!$A686,Fall!$A:$A,FALSE),MATCH(All!K$1,Fall!$1:$1,FALSE))),"")</f>
        <v>1A</v>
      </c>
      <c r="L686" t="str">
        <f>IFERROR(IF(INDEX(Fall!$1:$1048576,MATCH(All!$A686,Fall!$A:$A,FALSE),MATCH(All!L$1,Fall!$1:$1,FALSE))="","",INDEX(Fall!$1:$1048576,MATCH(All!$A686,Fall!$A:$A,FALSE),MATCH(All!L$1,Fall!$1:$1,FALSE))),"")</f>
        <v/>
      </c>
      <c r="M686" t="str">
        <f>IFERROR(IF(INDEX(Fall!$1:$1048576,MATCH(All!$A686,Fall!$A:$A,FALSE),MATCH(All!M$1,Fall!$1:$1,FALSE))="","",INDEX(Fall!$1:$1048576,MATCH(All!$A686,Fall!$A:$A,FALSE),MATCH(All!M$1,Fall!$1:$1,FALSE))),"")</f>
        <v>1A</v>
      </c>
      <c r="O686" t="str">
        <f>IFERROR(IF(INDEX(Winter!$1:$1048576,MATCH(All!$A686,Winter!$A:$A,FALSE),MATCH(All!O$1,Winter!$1:$1,FALSE))="","",INDEX(Winter!$1:$1048576,MATCH(All!$A686,Winter!$A:$A,FALSE),MATCH(All!O$1,Winter!$1:$1,FALSE))),"")</f>
        <v>105.00 (173.25)</v>
      </c>
      <c r="P686" t="str">
        <f>IFERROR(IF(INDEX(Winter!$1:$1048576,MATCH(All!$A686,Winter!$A:$A,FALSE),MATCH(All!P$1,Winter!$1:$1,FALSE))="","",INDEX(Winter!$1:$1048576,MATCH(All!$A686,Winter!$A:$A,FALSE),MATCH(All!P$1,Winter!$1:$1,FALSE))),"")</f>
        <v>1A</v>
      </c>
      <c r="Q686" t="str">
        <f>IFERROR(IF(INDEX(Winter!$1:$1048576,MATCH(All!$A686,Winter!$A:$A,FALSE),MATCH(All!Q$1,Winter!$1:$1,FALSE))="","",INDEX(Winter!$1:$1048576,MATCH(All!$A686,Winter!$A:$A,FALSE),MATCH(All!Q$1,Winter!$1:$1,FALSE))),"")</f>
        <v/>
      </c>
      <c r="R686" t="str">
        <f>IFERROR(IF(INDEX(Winter!$1:$1048576,MATCH(All!$A686,Winter!$A:$A,FALSE),MATCH(All!R$1,Winter!$1:$1,FALSE))="","",INDEX(Winter!$1:$1048576,MATCH(All!$A686,Winter!$A:$A,FALSE),MATCH(All!R$1,Winter!$1:$1,FALSE))),"")</f>
        <v/>
      </c>
      <c r="S686" t="str">
        <f>IFERROR(IF(INDEX(Winter!$1:$1048576,MATCH(All!$A686,Winter!$A:$A,FALSE),MATCH(All!S$1,Winter!$1:$1,FALSE))="","",INDEX(Winter!$1:$1048576,MATCH(All!$A686,Winter!$A:$A,FALSE),MATCH(All!S$1,Winter!$1:$1,FALSE))),"")</f>
        <v/>
      </c>
      <c r="T686" t="str">
        <f>IFERROR(IF(INDEX(Winter!$1:$1048576,MATCH(All!$A686,Winter!$A:$A,FALSE),MATCH(All!T$1,Winter!$1:$1,FALSE))="","",INDEX(Winter!$1:$1048576,MATCH(All!$A686,Winter!$A:$A,FALSE),MATCH(All!T$1,Winter!$1:$1,FALSE))),"")</f>
        <v>1A</v>
      </c>
      <c r="U686" t="str">
        <f>IFERROR(IF(INDEX(Winter!$1:$1048576,MATCH(All!$A686,Winter!$A:$A,FALSE),MATCH(All!U$1,Winter!$1:$1,FALSE))="","",INDEX(Winter!$1:$1048576,MATCH(All!$A686,Winter!$A:$A,FALSE),MATCH(All!U$1,Winter!$1:$1,FALSE))),"")</f>
        <v/>
      </c>
      <c r="W686" t="str">
        <f>IFERROR(IF(INDEX(Spring!$1:$1048576,MATCH(All!$A686,Spring!$A:$A,FALSE),MATCH(All!W$1,Spring!$1:$1,FALSE))="","",INDEX(Spring!$1:$1048576,MATCH(All!$A686,Spring!$A:$A,FALSE),MATCH(All!W$1,Spring!$1:$1,FALSE))),"")</f>
        <v>105.00 (173.25)</v>
      </c>
      <c r="X686" t="str">
        <f>IFERROR(IF(INDEX(Spring!$1:$1048576,MATCH(All!$A686,Spring!$A:$A,FALSE),MATCH(All!X$1,Spring!$1:$1,FALSE))="","",INDEX(Spring!$1:$1048576,MATCH(All!$A686,Spring!$A:$A,FALSE),MATCH(All!X$1,Spring!$1:$1,FALSE))),"")</f>
        <v>1A</v>
      </c>
      <c r="Y686" t="str">
        <f>IFERROR(IF(INDEX(Spring!$1:$1048576,MATCH(All!$A686,Spring!$A:$A,FALSE),MATCH(All!Y$1,Spring!$1:$1,FALSE))="","",INDEX(Spring!$1:$1048576,MATCH(All!$A686,Spring!$A:$A,FALSE),MATCH(All!Y$1,Spring!$1:$1,FALSE))),"")</f>
        <v/>
      </c>
      <c r="Z686" t="str">
        <f>IFERROR(IF(INDEX(Spring!$1:$1048576,MATCH(All!$A686,Spring!$A:$A,FALSE),MATCH(All!Z$1,Spring!$1:$1,FALSE))="","",INDEX(Spring!$1:$1048576,MATCH(All!$A686,Spring!$A:$A,FALSE),MATCH(All!Z$1,Spring!$1:$1,FALSE))),"")</f>
        <v>1A</v>
      </c>
      <c r="AA686" t="str">
        <f>IFERROR(IF(INDEX(Spring!$1:$1048576,MATCH(All!$A686,Spring!$A:$A,FALSE),MATCH(All!AA$1,Spring!$1:$1,FALSE))="","",INDEX(Spring!$1:$1048576,MATCH(All!$A686,Spring!$A:$A,FALSE),MATCH(All!AA$1,Spring!$1:$1,FALSE))),"")</f>
        <v/>
      </c>
      <c r="AB686" t="str">
        <f>IFERROR(IF(INDEX(Spring!$1:$1048576,MATCH(All!$A686,Spring!$A:$A,FALSE),MATCH(All!AB$1,Spring!$1:$1,FALSE))="","",INDEX(Spring!$1:$1048576,MATCH(All!$A686,Spring!$A:$A,FALSE),MATCH(All!AB$1,Spring!$1:$1,FALSE))),"")</f>
        <v>1A</v>
      </c>
      <c r="AC686" t="str">
        <f>IFERROR(IF(INDEX(Spring!$1:$1048576,MATCH(All!$A686,Spring!$A:$A,FALSE),MATCH(All!AC$1,Spring!$1:$1,FALSE))="","",INDEX(Spring!$1:$1048576,MATCH(All!$A686,Spring!$A:$A,FALSE),MATCH(All!AC$1,Spring!$1:$1,FALSE))),"")</f>
        <v>1A</v>
      </c>
      <c r="AD686" t="str">
        <f>IFERROR(VLOOKUP(A686,'Flag Football'!A:A,1,FALSE),"")</f>
        <v/>
      </c>
      <c r="AE686" t="str">
        <f t="shared" si="10"/>
        <v/>
      </c>
    </row>
    <row r="687" spans="1:31" ht="15.75" thickBot="1" x14ac:dyDescent="0.3">
      <c r="A687" s="18" t="s">
        <v>793</v>
      </c>
      <c r="B687" s="38" t="str">
        <f>IFERROR(VLOOKUP(A687,'Public v Private'!A:G,3,FALSE),"")</f>
        <v>private</v>
      </c>
      <c r="C687" s="38">
        <f>IFERROR(VLOOKUP(A687,'Public v Private'!A:G,4,FALSE),"")</f>
        <v>6</v>
      </c>
      <c r="D687" s="38">
        <f>IFERROR(VLOOKUP(A687,'Public v Private'!A:G,5,FALSE),"")</f>
        <v>18</v>
      </c>
      <c r="E687" s="38"/>
      <c r="F687" s="40" t="str">
        <f>IFERROR(INDEX(Fall!$1:$1048576,MATCH(All!$A687,Fall!$A:$A,FALSE),MATCH(All!F$1,Fall!$1:$1,FALSE)),"N/A")</f>
        <v>550.00 (907.50)</v>
      </c>
      <c r="G687" t="str">
        <f>IFERROR(IF(INDEX(Fall!$1:$1048576,MATCH(All!$A687,Fall!$A:$A,FALSE),MATCH(All!G$1,Fall!$1:$1,FALSE))="","",INDEX(Fall!$1:$1048576,MATCH(All!$A687,Fall!$A:$A,FALSE),MATCH(All!G$1,Fall!$1:$1,FALSE))),"")</f>
        <v>1A</v>
      </c>
      <c r="H687" t="str">
        <f>IFERROR(IF(INDEX(Fall!$1:$1048576,MATCH(All!$A687,Fall!$A:$A,FALSE),MATCH(All!H$1,Fall!$1:$1,FALSE))="","",INDEX(Fall!$1:$1048576,MATCH(All!$A687,Fall!$A:$A,FALSE),MATCH(All!H$1,Fall!$1:$1,FALSE))),"")</f>
        <v>2A</v>
      </c>
      <c r="I687" t="str">
        <f>IFERROR(IF(INDEX(Fall!$1:$1048576,MATCH(All!$A687,Fall!$A:$A,FALSE),MATCH(All!I$1,Fall!$1:$1,FALSE))="","",INDEX(Fall!$1:$1048576,MATCH(All!$A687,Fall!$A:$A,FALSE),MATCH(All!I$1,Fall!$1:$1,FALSE))),"")</f>
        <v>2A</v>
      </c>
      <c r="J687" t="str">
        <f>IFERROR(IF(INDEX(Fall!$1:$1048576,MATCH(All!$A687,Fall!$A:$A,FALSE),MATCH(All!J$1,Fall!$1:$1,FALSE))="","",INDEX(Fall!$1:$1048576,MATCH(All!$A687,Fall!$A:$A,FALSE),MATCH(All!J$1,Fall!$1:$1,FALSE))),"")</f>
        <v>2A</v>
      </c>
      <c r="K687" t="str">
        <f>IFERROR(IF(INDEX(Fall!$1:$1048576,MATCH(All!$A687,Fall!$A:$A,FALSE),MATCH(All!K$1,Fall!$1:$1,FALSE))="","",INDEX(Fall!$1:$1048576,MATCH(All!$A687,Fall!$A:$A,FALSE),MATCH(All!K$1,Fall!$1:$1,FALSE))),"")</f>
        <v>2A</v>
      </c>
      <c r="L687" t="str">
        <f>IFERROR(IF(INDEX(Fall!$1:$1048576,MATCH(All!$A687,Fall!$A:$A,FALSE),MATCH(All!L$1,Fall!$1:$1,FALSE))="","",INDEX(Fall!$1:$1048576,MATCH(All!$A687,Fall!$A:$A,FALSE),MATCH(All!L$1,Fall!$1:$1,FALSE))),"")</f>
        <v>1A</v>
      </c>
      <c r="M687" t="str">
        <f>IFERROR(IF(INDEX(Fall!$1:$1048576,MATCH(All!$A687,Fall!$A:$A,FALSE),MATCH(All!M$1,Fall!$1:$1,FALSE))="","",INDEX(Fall!$1:$1048576,MATCH(All!$A687,Fall!$A:$A,FALSE),MATCH(All!M$1,Fall!$1:$1,FALSE))),"")</f>
        <v>3A</v>
      </c>
      <c r="O687" t="str">
        <f>IFERROR(IF(INDEX(Winter!$1:$1048576,MATCH(All!$A687,Winter!$A:$A,FALSE),MATCH(All!O$1,Winter!$1:$1,FALSE))="","",INDEX(Winter!$1:$1048576,MATCH(All!$A687,Winter!$A:$A,FALSE),MATCH(All!O$1,Winter!$1:$1,FALSE))),"")</f>
        <v>550.00 (907.50)</v>
      </c>
      <c r="P687" t="str">
        <f>IFERROR(IF(INDEX(Winter!$1:$1048576,MATCH(All!$A687,Winter!$A:$A,FALSE),MATCH(All!P$1,Winter!$1:$1,FALSE))="","",INDEX(Winter!$1:$1048576,MATCH(All!$A687,Winter!$A:$A,FALSE),MATCH(All!P$1,Winter!$1:$1,FALSE))),"")</f>
        <v>3A</v>
      </c>
      <c r="Q687" t="str">
        <f>IFERROR(IF(INDEX(Winter!$1:$1048576,MATCH(All!$A687,Winter!$A:$A,FALSE),MATCH(All!Q$1,Winter!$1:$1,FALSE))="","",INDEX(Winter!$1:$1048576,MATCH(All!$A687,Winter!$A:$A,FALSE),MATCH(All!Q$1,Winter!$1:$1,FALSE))),"")</f>
        <v>2A</v>
      </c>
      <c r="R687" t="str">
        <f>IFERROR(IF(INDEX(Winter!$1:$1048576,MATCH(All!$A687,Winter!$A:$A,FALSE),MATCH(All!R$1,Winter!$1:$1,FALSE))="","",INDEX(Winter!$1:$1048576,MATCH(All!$A687,Winter!$A:$A,FALSE),MATCH(All!R$1,Winter!$1:$1,FALSE))),"")</f>
        <v/>
      </c>
      <c r="S687" t="str">
        <f>IFERROR(IF(INDEX(Winter!$1:$1048576,MATCH(All!$A687,Winter!$A:$A,FALSE),MATCH(All!S$1,Winter!$1:$1,FALSE))="","",INDEX(Winter!$1:$1048576,MATCH(All!$A687,Winter!$A:$A,FALSE),MATCH(All!S$1,Winter!$1:$1,FALSE))),"")</f>
        <v/>
      </c>
      <c r="T687" t="str">
        <f>IFERROR(IF(INDEX(Winter!$1:$1048576,MATCH(All!$A687,Winter!$A:$A,FALSE),MATCH(All!T$1,Winter!$1:$1,FALSE))="","",INDEX(Winter!$1:$1048576,MATCH(All!$A687,Winter!$A:$A,FALSE),MATCH(All!T$1,Winter!$1:$1,FALSE))),"")</f>
        <v>2A</v>
      </c>
      <c r="U687" t="str">
        <f>IFERROR(IF(INDEX(Winter!$1:$1048576,MATCH(All!$A687,Winter!$A:$A,FALSE),MATCH(All!U$1,Winter!$1:$1,FALSE))="","",INDEX(Winter!$1:$1048576,MATCH(All!$A687,Winter!$A:$A,FALSE),MATCH(All!U$1,Winter!$1:$1,FALSE))),"")</f>
        <v>1A</v>
      </c>
      <c r="W687" t="str">
        <f>IFERROR(IF(INDEX(Spring!$1:$1048576,MATCH(All!$A687,Spring!$A:$A,FALSE),MATCH(All!W$1,Spring!$1:$1,FALSE))="","",INDEX(Spring!$1:$1048576,MATCH(All!$A687,Spring!$A:$A,FALSE),MATCH(All!W$1,Spring!$1:$1,FALSE))),"")</f>
        <v>550.00 (907.50)</v>
      </c>
      <c r="X687" t="str">
        <f>IFERROR(IF(INDEX(Spring!$1:$1048576,MATCH(All!$A687,Spring!$A:$A,FALSE),MATCH(All!X$1,Spring!$1:$1,FALSE))="","",INDEX(Spring!$1:$1048576,MATCH(All!$A687,Spring!$A:$A,FALSE),MATCH(All!X$1,Spring!$1:$1,FALSE))),"")</f>
        <v>3A</v>
      </c>
      <c r="Y687" t="str">
        <f>IFERROR(IF(INDEX(Spring!$1:$1048576,MATCH(All!$A687,Spring!$A:$A,FALSE),MATCH(All!Y$1,Spring!$1:$1,FALSE))="","",INDEX(Spring!$1:$1048576,MATCH(All!$A687,Spring!$A:$A,FALSE),MATCH(All!Y$1,Spring!$1:$1,FALSE))),"")</f>
        <v>2A</v>
      </c>
      <c r="Z687" t="str">
        <f>IFERROR(IF(INDEX(Spring!$1:$1048576,MATCH(All!$A687,Spring!$A:$A,FALSE),MATCH(All!Z$1,Spring!$1:$1,FALSE))="","",INDEX(Spring!$1:$1048576,MATCH(All!$A687,Spring!$A:$A,FALSE),MATCH(All!Z$1,Spring!$1:$1,FALSE))),"")</f>
        <v>2A</v>
      </c>
      <c r="AA687" t="str">
        <f>IFERROR(IF(INDEX(Spring!$1:$1048576,MATCH(All!$A687,Spring!$A:$A,FALSE),MATCH(All!AA$1,Spring!$1:$1,FALSE))="","",INDEX(Spring!$1:$1048576,MATCH(All!$A687,Spring!$A:$A,FALSE),MATCH(All!AA$1,Spring!$1:$1,FALSE))),"")</f>
        <v>1A</v>
      </c>
      <c r="AB687" t="str">
        <f>IFERROR(IF(INDEX(Spring!$1:$1048576,MATCH(All!$A687,Spring!$A:$A,FALSE),MATCH(All!AB$1,Spring!$1:$1,FALSE))="","",INDEX(Spring!$1:$1048576,MATCH(All!$A687,Spring!$A:$A,FALSE),MATCH(All!AB$1,Spring!$1:$1,FALSE))),"")</f>
        <v>2A</v>
      </c>
      <c r="AC687" t="str">
        <f>IFERROR(IF(INDEX(Spring!$1:$1048576,MATCH(All!$A687,Spring!$A:$A,FALSE),MATCH(All!AC$1,Spring!$1:$1,FALSE))="","",INDEX(Spring!$1:$1048576,MATCH(All!$A687,Spring!$A:$A,FALSE),MATCH(All!AC$1,Spring!$1:$1,FALSE))),"")</f>
        <v>2A</v>
      </c>
      <c r="AD687" t="str">
        <f>IFERROR(VLOOKUP(A687,'Flag Football'!A:A,1,FALSE),"")</f>
        <v/>
      </c>
      <c r="AE687" t="str">
        <f t="shared" si="10"/>
        <v/>
      </c>
    </row>
    <row r="688" spans="1:31" ht="15.75" thickBot="1" x14ac:dyDescent="0.3">
      <c r="A688" s="20" t="s">
        <v>794</v>
      </c>
      <c r="B688" s="38">
        <f>IFERROR(VLOOKUP(A688,'Public v Private'!A:G,3,FALSE),"")</f>
        <v>0</v>
      </c>
      <c r="C688" s="38">
        <f>IFERROR(VLOOKUP(A688,'Public v Private'!A:G,4,FALSE),"")</f>
        <v>0</v>
      </c>
      <c r="D688" s="38">
        <f>IFERROR(VLOOKUP(A688,'Public v Private'!A:G,5,FALSE),"")</f>
        <v>0</v>
      </c>
      <c r="E688" s="38"/>
      <c r="F688" s="40">
        <f>IFERROR(INDEX(Fall!$1:$1048576,MATCH(All!$A688,Fall!$A:$A,FALSE),MATCH(All!F$1,Fall!$1:$1,FALSE)),"N/A")</f>
        <v>1160</v>
      </c>
      <c r="G688" t="str">
        <f>IFERROR(IF(INDEX(Fall!$1:$1048576,MATCH(All!$A688,Fall!$A:$A,FALSE),MATCH(All!G$1,Fall!$1:$1,FALSE))="","",INDEX(Fall!$1:$1048576,MATCH(All!$A688,Fall!$A:$A,FALSE),MATCH(All!G$1,Fall!$1:$1,FALSE))),"")</f>
        <v>2A</v>
      </c>
      <c r="H688" t="str">
        <f>IFERROR(IF(INDEX(Fall!$1:$1048576,MATCH(All!$A688,Fall!$A:$A,FALSE),MATCH(All!H$1,Fall!$1:$1,FALSE))="","",INDEX(Fall!$1:$1048576,MATCH(All!$A688,Fall!$A:$A,FALSE),MATCH(All!H$1,Fall!$1:$1,FALSE))),"")</f>
        <v>2A</v>
      </c>
      <c r="I688" t="str">
        <f>IFERROR(IF(INDEX(Fall!$1:$1048576,MATCH(All!$A688,Fall!$A:$A,FALSE),MATCH(All!I$1,Fall!$1:$1,FALSE))="","",INDEX(Fall!$1:$1048576,MATCH(All!$A688,Fall!$A:$A,FALSE),MATCH(All!I$1,Fall!$1:$1,FALSE))),"")</f>
        <v/>
      </c>
      <c r="J688" t="str">
        <f>IFERROR(IF(INDEX(Fall!$1:$1048576,MATCH(All!$A688,Fall!$A:$A,FALSE),MATCH(All!J$1,Fall!$1:$1,FALSE))="","",INDEX(Fall!$1:$1048576,MATCH(All!$A688,Fall!$A:$A,FALSE),MATCH(All!J$1,Fall!$1:$1,FALSE))),"")</f>
        <v/>
      </c>
      <c r="K688" t="str">
        <f>IFERROR(IF(INDEX(Fall!$1:$1048576,MATCH(All!$A688,Fall!$A:$A,FALSE),MATCH(All!K$1,Fall!$1:$1,FALSE))="","",INDEX(Fall!$1:$1048576,MATCH(All!$A688,Fall!$A:$A,FALSE),MATCH(All!K$1,Fall!$1:$1,FALSE))),"")</f>
        <v>3A</v>
      </c>
      <c r="L688" t="str">
        <f>IFERROR(IF(INDEX(Fall!$1:$1048576,MATCH(All!$A688,Fall!$A:$A,FALSE),MATCH(All!L$1,Fall!$1:$1,FALSE))="","",INDEX(Fall!$1:$1048576,MATCH(All!$A688,Fall!$A:$A,FALSE),MATCH(All!L$1,Fall!$1:$1,FALSE))),"")</f>
        <v/>
      </c>
      <c r="M688" t="str">
        <f>IFERROR(IF(INDEX(Fall!$1:$1048576,MATCH(All!$A688,Fall!$A:$A,FALSE),MATCH(All!M$1,Fall!$1:$1,FALSE))="","",INDEX(Fall!$1:$1048576,MATCH(All!$A688,Fall!$A:$A,FALSE),MATCH(All!M$1,Fall!$1:$1,FALSE))),"")</f>
        <v>3A</v>
      </c>
      <c r="O688">
        <f>IFERROR(IF(INDEX(Winter!$1:$1048576,MATCH(All!$A688,Winter!$A:$A,FALSE),MATCH(All!O$1,Winter!$1:$1,FALSE))="","",INDEX(Winter!$1:$1048576,MATCH(All!$A688,Winter!$A:$A,FALSE),MATCH(All!O$1,Winter!$1:$1,FALSE))),"")</f>
        <v>1160</v>
      </c>
      <c r="P688" t="str">
        <f>IFERROR(IF(INDEX(Winter!$1:$1048576,MATCH(All!$A688,Winter!$A:$A,FALSE),MATCH(All!P$1,Winter!$1:$1,FALSE))="","",INDEX(Winter!$1:$1048576,MATCH(All!$A688,Winter!$A:$A,FALSE),MATCH(All!P$1,Winter!$1:$1,FALSE))),"")</f>
        <v>3A</v>
      </c>
      <c r="Q688" t="str">
        <f>IFERROR(IF(INDEX(Winter!$1:$1048576,MATCH(All!$A688,Winter!$A:$A,FALSE),MATCH(All!Q$1,Winter!$1:$1,FALSE))="","",INDEX(Winter!$1:$1048576,MATCH(All!$A688,Winter!$A:$A,FALSE),MATCH(All!Q$1,Winter!$1:$1,FALSE))),"")</f>
        <v>3A</v>
      </c>
      <c r="R688" t="str">
        <f>IFERROR(IF(INDEX(Winter!$1:$1048576,MATCH(All!$A688,Winter!$A:$A,FALSE),MATCH(All!R$1,Winter!$1:$1,FALSE))="","",INDEX(Winter!$1:$1048576,MATCH(All!$A688,Winter!$A:$A,FALSE),MATCH(All!R$1,Winter!$1:$1,FALSE))),"")</f>
        <v/>
      </c>
      <c r="S688" t="str">
        <f>IFERROR(IF(INDEX(Winter!$1:$1048576,MATCH(All!$A688,Winter!$A:$A,FALSE),MATCH(All!S$1,Winter!$1:$1,FALSE))="","",INDEX(Winter!$1:$1048576,MATCH(All!$A688,Winter!$A:$A,FALSE),MATCH(All!S$1,Winter!$1:$1,FALSE))),"")</f>
        <v/>
      </c>
      <c r="T688" t="str">
        <f>IFERROR(IF(INDEX(Winter!$1:$1048576,MATCH(All!$A688,Winter!$A:$A,FALSE),MATCH(All!T$1,Winter!$1:$1,FALSE))="","",INDEX(Winter!$1:$1048576,MATCH(All!$A688,Winter!$A:$A,FALSE),MATCH(All!T$1,Winter!$1:$1,FALSE))),"")</f>
        <v>2A</v>
      </c>
      <c r="U688" t="str">
        <f>IFERROR(IF(INDEX(Winter!$1:$1048576,MATCH(All!$A688,Winter!$A:$A,FALSE),MATCH(All!U$1,Winter!$1:$1,FALSE))="","",INDEX(Winter!$1:$1048576,MATCH(All!$A688,Winter!$A:$A,FALSE),MATCH(All!U$1,Winter!$1:$1,FALSE))),"")</f>
        <v>2A</v>
      </c>
      <c r="W688">
        <f>IFERROR(IF(INDEX(Spring!$1:$1048576,MATCH(All!$A688,Spring!$A:$A,FALSE),MATCH(All!W$1,Spring!$1:$1,FALSE))="","",INDEX(Spring!$1:$1048576,MATCH(All!$A688,Spring!$A:$A,FALSE),MATCH(All!W$1,Spring!$1:$1,FALSE))),"")</f>
        <v>1160</v>
      </c>
      <c r="X688" t="str">
        <f>IFERROR(IF(INDEX(Spring!$1:$1048576,MATCH(All!$A688,Spring!$A:$A,FALSE),MATCH(All!X$1,Spring!$1:$1,FALSE))="","",INDEX(Spring!$1:$1048576,MATCH(All!$A688,Spring!$A:$A,FALSE),MATCH(All!X$1,Spring!$1:$1,FALSE))),"")</f>
        <v>3A</v>
      </c>
      <c r="Y688" t="str">
        <f>IFERROR(IF(INDEX(Spring!$1:$1048576,MATCH(All!$A688,Spring!$A:$A,FALSE),MATCH(All!Y$1,Spring!$1:$1,FALSE))="","",INDEX(Spring!$1:$1048576,MATCH(All!$A688,Spring!$A:$A,FALSE),MATCH(All!Y$1,Spring!$1:$1,FALSE))),"")</f>
        <v/>
      </c>
      <c r="Z688" t="str">
        <f>IFERROR(IF(INDEX(Spring!$1:$1048576,MATCH(All!$A688,Spring!$A:$A,FALSE),MATCH(All!Z$1,Spring!$1:$1,FALSE))="","",INDEX(Spring!$1:$1048576,MATCH(All!$A688,Spring!$A:$A,FALSE),MATCH(All!Z$1,Spring!$1:$1,FALSE))),"")</f>
        <v>3A</v>
      </c>
      <c r="AA688" t="str">
        <f>IFERROR(IF(INDEX(Spring!$1:$1048576,MATCH(All!$A688,Spring!$A:$A,FALSE),MATCH(All!AA$1,Spring!$1:$1,FALSE))="","",INDEX(Spring!$1:$1048576,MATCH(All!$A688,Spring!$A:$A,FALSE),MATCH(All!AA$1,Spring!$1:$1,FALSE))),"")</f>
        <v/>
      </c>
      <c r="AB688" t="str">
        <f>IFERROR(IF(INDEX(Spring!$1:$1048576,MATCH(All!$A688,Spring!$A:$A,FALSE),MATCH(All!AB$1,Spring!$1:$1,FALSE))="","",INDEX(Spring!$1:$1048576,MATCH(All!$A688,Spring!$A:$A,FALSE),MATCH(All!AB$1,Spring!$1:$1,FALSE))),"")</f>
        <v>2A</v>
      </c>
      <c r="AC688" t="str">
        <f>IFERROR(IF(INDEX(Spring!$1:$1048576,MATCH(All!$A688,Spring!$A:$A,FALSE),MATCH(All!AC$1,Spring!$1:$1,FALSE))="","",INDEX(Spring!$1:$1048576,MATCH(All!$A688,Spring!$A:$A,FALSE),MATCH(All!AC$1,Spring!$1:$1,FALSE))),"")</f>
        <v>2A</v>
      </c>
      <c r="AD688" t="str">
        <f>IFERROR(VLOOKUP(A688,'Flag Football'!A:A,1,FALSE),"")</f>
        <v/>
      </c>
      <c r="AE688" t="str">
        <f t="shared" si="10"/>
        <v/>
      </c>
    </row>
    <row r="689" spans="1:31" ht="15.75" thickBot="1" x14ac:dyDescent="0.3">
      <c r="A689" s="18" t="s">
        <v>795</v>
      </c>
      <c r="B689" s="38">
        <f>IFERROR(VLOOKUP(A689,'Public v Private'!A:G,3,FALSE),"")</f>
        <v>0</v>
      </c>
      <c r="C689" s="38">
        <f>IFERROR(VLOOKUP(A689,'Public v Private'!A:G,4,FALSE),"")</f>
        <v>0</v>
      </c>
      <c r="D689" s="38">
        <f>IFERROR(VLOOKUP(A689,'Public v Private'!A:G,5,FALSE),"")</f>
        <v>0</v>
      </c>
      <c r="E689" s="38"/>
      <c r="F689" s="40">
        <f>IFERROR(INDEX(Fall!$1:$1048576,MATCH(All!$A689,Fall!$A:$A,FALSE),MATCH(All!F$1,Fall!$1:$1,FALSE)),"N/A")</f>
        <v>196</v>
      </c>
      <c r="G689" t="str">
        <f>IFERROR(IF(INDEX(Fall!$1:$1048576,MATCH(All!$A689,Fall!$A:$A,FALSE),MATCH(All!G$1,Fall!$1:$1,FALSE))="","",INDEX(Fall!$1:$1048576,MATCH(All!$A689,Fall!$A:$A,FALSE),MATCH(All!G$1,Fall!$1:$1,FALSE))),"")</f>
        <v/>
      </c>
      <c r="H689" t="str">
        <f>IFERROR(IF(INDEX(Fall!$1:$1048576,MATCH(All!$A689,Fall!$A:$A,FALSE),MATCH(All!H$1,Fall!$1:$1,FALSE))="","",INDEX(Fall!$1:$1048576,MATCH(All!$A689,Fall!$A:$A,FALSE),MATCH(All!H$1,Fall!$1:$1,FALSE))),"")</f>
        <v/>
      </c>
      <c r="I689" t="str">
        <f>IFERROR(IF(INDEX(Fall!$1:$1048576,MATCH(All!$A689,Fall!$A:$A,FALSE),MATCH(All!I$1,Fall!$1:$1,FALSE))="","",INDEX(Fall!$1:$1048576,MATCH(All!$A689,Fall!$A:$A,FALSE),MATCH(All!I$1,Fall!$1:$1,FALSE))),"")</f>
        <v>1A</v>
      </c>
      <c r="J689" t="str">
        <f>IFERROR(IF(INDEX(Fall!$1:$1048576,MATCH(All!$A689,Fall!$A:$A,FALSE),MATCH(All!J$1,Fall!$1:$1,FALSE))="","",INDEX(Fall!$1:$1048576,MATCH(All!$A689,Fall!$A:$A,FALSE),MATCH(All!J$1,Fall!$1:$1,FALSE))),"")</f>
        <v>1A</v>
      </c>
      <c r="K689" t="str">
        <f>IFERROR(IF(INDEX(Fall!$1:$1048576,MATCH(All!$A689,Fall!$A:$A,FALSE),MATCH(All!K$1,Fall!$1:$1,FALSE))="","",INDEX(Fall!$1:$1048576,MATCH(All!$A689,Fall!$A:$A,FALSE),MATCH(All!K$1,Fall!$1:$1,FALSE))),"")</f>
        <v>1A</v>
      </c>
      <c r="L689" t="str">
        <f>IFERROR(IF(INDEX(Fall!$1:$1048576,MATCH(All!$A689,Fall!$A:$A,FALSE),MATCH(All!L$1,Fall!$1:$1,FALSE))="","",INDEX(Fall!$1:$1048576,MATCH(All!$A689,Fall!$A:$A,FALSE),MATCH(All!L$1,Fall!$1:$1,FALSE))),"")</f>
        <v/>
      </c>
      <c r="M689" t="str">
        <f>IFERROR(IF(INDEX(Fall!$1:$1048576,MATCH(All!$A689,Fall!$A:$A,FALSE),MATCH(All!M$1,Fall!$1:$1,FALSE))="","",INDEX(Fall!$1:$1048576,MATCH(All!$A689,Fall!$A:$A,FALSE),MATCH(All!M$1,Fall!$1:$1,FALSE))),"")</f>
        <v>1A</v>
      </c>
      <c r="O689">
        <f>IFERROR(IF(INDEX(Winter!$1:$1048576,MATCH(All!$A689,Winter!$A:$A,FALSE),MATCH(All!O$1,Winter!$1:$1,FALSE))="","",INDEX(Winter!$1:$1048576,MATCH(All!$A689,Winter!$A:$A,FALSE),MATCH(All!O$1,Winter!$1:$1,FALSE))),"")</f>
        <v>196</v>
      </c>
      <c r="P689" t="str">
        <f>IFERROR(IF(INDEX(Winter!$1:$1048576,MATCH(All!$A689,Winter!$A:$A,FALSE),MATCH(All!P$1,Winter!$1:$1,FALSE))="","",INDEX(Winter!$1:$1048576,MATCH(All!$A689,Winter!$A:$A,FALSE),MATCH(All!P$1,Winter!$1:$1,FALSE))),"")</f>
        <v>1A</v>
      </c>
      <c r="Q689" t="str">
        <f>IFERROR(IF(INDEX(Winter!$1:$1048576,MATCH(All!$A689,Winter!$A:$A,FALSE),MATCH(All!Q$1,Winter!$1:$1,FALSE))="","",INDEX(Winter!$1:$1048576,MATCH(All!$A689,Winter!$A:$A,FALSE),MATCH(All!Q$1,Winter!$1:$1,FALSE))),"")</f>
        <v/>
      </c>
      <c r="R689" t="str">
        <f>IFERROR(IF(INDEX(Winter!$1:$1048576,MATCH(All!$A689,Winter!$A:$A,FALSE),MATCH(All!R$1,Winter!$1:$1,FALSE))="","",INDEX(Winter!$1:$1048576,MATCH(All!$A689,Winter!$A:$A,FALSE),MATCH(All!R$1,Winter!$1:$1,FALSE))),"")</f>
        <v/>
      </c>
      <c r="S689" t="str">
        <f>IFERROR(IF(INDEX(Winter!$1:$1048576,MATCH(All!$A689,Winter!$A:$A,FALSE),MATCH(All!S$1,Winter!$1:$1,FALSE))="","",INDEX(Winter!$1:$1048576,MATCH(All!$A689,Winter!$A:$A,FALSE),MATCH(All!S$1,Winter!$1:$1,FALSE))),"")</f>
        <v/>
      </c>
      <c r="T689" t="str">
        <f>IFERROR(IF(INDEX(Winter!$1:$1048576,MATCH(All!$A689,Winter!$A:$A,FALSE),MATCH(All!T$1,Winter!$1:$1,FALSE))="","",INDEX(Winter!$1:$1048576,MATCH(All!$A689,Winter!$A:$A,FALSE),MATCH(All!T$1,Winter!$1:$1,FALSE))),"")</f>
        <v>1A</v>
      </c>
      <c r="U689" t="str">
        <f>IFERROR(IF(INDEX(Winter!$1:$1048576,MATCH(All!$A689,Winter!$A:$A,FALSE),MATCH(All!U$1,Winter!$1:$1,FALSE))="","",INDEX(Winter!$1:$1048576,MATCH(All!$A689,Winter!$A:$A,FALSE),MATCH(All!U$1,Winter!$1:$1,FALSE))),"")</f>
        <v/>
      </c>
      <c r="W689">
        <f>IFERROR(IF(INDEX(Spring!$1:$1048576,MATCH(All!$A689,Spring!$A:$A,FALSE),MATCH(All!W$1,Spring!$1:$1,FALSE))="","",INDEX(Spring!$1:$1048576,MATCH(All!$A689,Spring!$A:$A,FALSE),MATCH(All!W$1,Spring!$1:$1,FALSE))),"")</f>
        <v>196</v>
      </c>
      <c r="X689" t="str">
        <f>IFERROR(IF(INDEX(Spring!$1:$1048576,MATCH(All!$A689,Spring!$A:$A,FALSE),MATCH(All!X$1,Spring!$1:$1,FALSE))="","",INDEX(Spring!$1:$1048576,MATCH(All!$A689,Spring!$A:$A,FALSE),MATCH(All!X$1,Spring!$1:$1,FALSE))),"")</f>
        <v>1A</v>
      </c>
      <c r="Y689" t="str">
        <f>IFERROR(IF(INDEX(Spring!$1:$1048576,MATCH(All!$A689,Spring!$A:$A,FALSE),MATCH(All!Y$1,Spring!$1:$1,FALSE))="","",INDEX(Spring!$1:$1048576,MATCH(All!$A689,Spring!$A:$A,FALSE),MATCH(All!Y$1,Spring!$1:$1,FALSE))),"")</f>
        <v>1A</v>
      </c>
      <c r="Z689" t="str">
        <f>IFERROR(IF(INDEX(Spring!$1:$1048576,MATCH(All!$A689,Spring!$A:$A,FALSE),MATCH(All!Z$1,Spring!$1:$1,FALSE))="","",INDEX(Spring!$1:$1048576,MATCH(All!$A689,Spring!$A:$A,FALSE),MATCH(All!Z$1,Spring!$1:$1,FALSE))),"")</f>
        <v/>
      </c>
      <c r="AA689" t="str">
        <f>IFERROR(IF(INDEX(Spring!$1:$1048576,MATCH(All!$A689,Spring!$A:$A,FALSE),MATCH(All!AA$1,Spring!$1:$1,FALSE))="","",INDEX(Spring!$1:$1048576,MATCH(All!$A689,Spring!$A:$A,FALSE),MATCH(All!AA$1,Spring!$1:$1,FALSE))),"")</f>
        <v/>
      </c>
      <c r="AB689" t="str">
        <f>IFERROR(IF(INDEX(Spring!$1:$1048576,MATCH(All!$A689,Spring!$A:$A,FALSE),MATCH(All!AB$1,Spring!$1:$1,FALSE))="","",INDEX(Spring!$1:$1048576,MATCH(All!$A689,Spring!$A:$A,FALSE),MATCH(All!AB$1,Spring!$1:$1,FALSE))),"")</f>
        <v>1A</v>
      </c>
      <c r="AC689" t="str">
        <f>IFERROR(IF(INDEX(Spring!$1:$1048576,MATCH(All!$A689,Spring!$A:$A,FALSE),MATCH(All!AC$1,Spring!$1:$1,FALSE))="","",INDEX(Spring!$1:$1048576,MATCH(All!$A689,Spring!$A:$A,FALSE),MATCH(All!AC$1,Spring!$1:$1,FALSE))),"")</f>
        <v>1A</v>
      </c>
      <c r="AD689" t="str">
        <f>IFERROR(VLOOKUP(A689,'Flag Football'!A:A,1,FALSE),"")</f>
        <v/>
      </c>
      <c r="AE689" t="str">
        <f t="shared" si="10"/>
        <v/>
      </c>
    </row>
    <row r="690" spans="1:31" ht="15.75" thickBot="1" x14ac:dyDescent="0.3">
      <c r="A690" s="20" t="s">
        <v>796</v>
      </c>
      <c r="B690" s="38">
        <f>IFERROR(VLOOKUP(A690,'Public v Private'!A:G,3,FALSE),"")</f>
        <v>0</v>
      </c>
      <c r="C690" s="38">
        <f>IFERROR(VLOOKUP(A690,'Public v Private'!A:G,4,FALSE),"")</f>
        <v>0</v>
      </c>
      <c r="D690" s="38">
        <f>IFERROR(VLOOKUP(A690,'Public v Private'!A:G,5,FALSE),"")</f>
        <v>0</v>
      </c>
      <c r="E690" s="38"/>
      <c r="F690" s="40">
        <f>IFERROR(INDEX(Fall!$1:$1048576,MATCH(All!$A690,Fall!$A:$A,FALSE),MATCH(All!F$1,Fall!$1:$1,FALSE)),"N/A")</f>
        <v>1865</v>
      </c>
      <c r="G690" t="str">
        <f>IFERROR(IF(INDEX(Fall!$1:$1048576,MATCH(All!$A690,Fall!$A:$A,FALSE),MATCH(All!G$1,Fall!$1:$1,FALSE))="","",INDEX(Fall!$1:$1048576,MATCH(All!$A690,Fall!$A:$A,FALSE),MATCH(All!G$1,Fall!$1:$1,FALSE))),"")</f>
        <v>3A</v>
      </c>
      <c r="H690" t="str">
        <f>IFERROR(IF(INDEX(Fall!$1:$1048576,MATCH(All!$A690,Fall!$A:$A,FALSE),MATCH(All!H$1,Fall!$1:$1,FALSE))="","",INDEX(Fall!$1:$1048576,MATCH(All!$A690,Fall!$A:$A,FALSE),MATCH(All!H$1,Fall!$1:$1,FALSE))),"")</f>
        <v>3A</v>
      </c>
      <c r="I690" t="str">
        <f>IFERROR(IF(INDEX(Fall!$1:$1048576,MATCH(All!$A690,Fall!$A:$A,FALSE),MATCH(All!I$1,Fall!$1:$1,FALSE))="","",INDEX(Fall!$1:$1048576,MATCH(All!$A690,Fall!$A:$A,FALSE),MATCH(All!I$1,Fall!$1:$1,FALSE))),"")</f>
        <v>3A</v>
      </c>
      <c r="J690" t="str">
        <f>IFERROR(IF(INDEX(Fall!$1:$1048576,MATCH(All!$A690,Fall!$A:$A,FALSE),MATCH(All!J$1,Fall!$1:$1,FALSE))="","",INDEX(Fall!$1:$1048576,MATCH(All!$A690,Fall!$A:$A,FALSE),MATCH(All!J$1,Fall!$1:$1,FALSE))),"")</f>
        <v>2A</v>
      </c>
      <c r="K690" t="str">
        <f>IFERROR(IF(INDEX(Fall!$1:$1048576,MATCH(All!$A690,Fall!$A:$A,FALSE),MATCH(All!K$1,Fall!$1:$1,FALSE))="","",INDEX(Fall!$1:$1048576,MATCH(All!$A690,Fall!$A:$A,FALSE),MATCH(All!K$1,Fall!$1:$1,FALSE))),"")</f>
        <v>3A</v>
      </c>
      <c r="L690" t="str">
        <f>IFERROR(IF(INDEX(Fall!$1:$1048576,MATCH(All!$A690,Fall!$A:$A,FALSE),MATCH(All!L$1,Fall!$1:$1,FALSE))="","",INDEX(Fall!$1:$1048576,MATCH(All!$A690,Fall!$A:$A,FALSE),MATCH(All!L$1,Fall!$1:$1,FALSE))),"")</f>
        <v>2A</v>
      </c>
      <c r="M690" t="str">
        <f>IFERROR(IF(INDEX(Fall!$1:$1048576,MATCH(All!$A690,Fall!$A:$A,FALSE),MATCH(All!M$1,Fall!$1:$1,FALSE))="","",INDEX(Fall!$1:$1048576,MATCH(All!$A690,Fall!$A:$A,FALSE),MATCH(All!M$1,Fall!$1:$1,FALSE))),"")</f>
        <v>4A</v>
      </c>
      <c r="O690">
        <f>IFERROR(IF(INDEX(Winter!$1:$1048576,MATCH(All!$A690,Winter!$A:$A,FALSE),MATCH(All!O$1,Winter!$1:$1,FALSE))="","",INDEX(Winter!$1:$1048576,MATCH(All!$A690,Winter!$A:$A,FALSE),MATCH(All!O$1,Winter!$1:$1,FALSE))),"")</f>
        <v>1865</v>
      </c>
      <c r="P690" t="str">
        <f>IFERROR(IF(INDEX(Winter!$1:$1048576,MATCH(All!$A690,Winter!$A:$A,FALSE),MATCH(All!P$1,Winter!$1:$1,FALSE))="","",INDEX(Winter!$1:$1048576,MATCH(All!$A690,Winter!$A:$A,FALSE),MATCH(All!P$1,Winter!$1:$1,FALSE))),"")</f>
        <v>4A</v>
      </c>
      <c r="Q690" t="str">
        <f>IFERROR(IF(INDEX(Winter!$1:$1048576,MATCH(All!$A690,Winter!$A:$A,FALSE),MATCH(All!Q$1,Winter!$1:$1,FALSE))="","",INDEX(Winter!$1:$1048576,MATCH(All!$A690,Winter!$A:$A,FALSE),MATCH(All!Q$1,Winter!$1:$1,FALSE))),"")</f>
        <v>4A</v>
      </c>
      <c r="R690" t="str">
        <f>IFERROR(IF(INDEX(Winter!$1:$1048576,MATCH(All!$A690,Winter!$A:$A,FALSE),MATCH(All!R$1,Winter!$1:$1,FALSE))="","",INDEX(Winter!$1:$1048576,MATCH(All!$A690,Winter!$A:$A,FALSE),MATCH(All!R$1,Winter!$1:$1,FALSE))),"")</f>
        <v>3A</v>
      </c>
      <c r="S690" t="str">
        <f>IFERROR(IF(INDEX(Winter!$1:$1048576,MATCH(All!$A690,Winter!$A:$A,FALSE),MATCH(All!S$1,Winter!$1:$1,FALSE))="","",INDEX(Winter!$1:$1048576,MATCH(All!$A690,Winter!$A:$A,FALSE),MATCH(All!S$1,Winter!$1:$1,FALSE))),"")</f>
        <v>2A</v>
      </c>
      <c r="T690" t="str">
        <f>IFERROR(IF(INDEX(Winter!$1:$1048576,MATCH(All!$A690,Winter!$A:$A,FALSE),MATCH(All!T$1,Winter!$1:$1,FALSE))="","",INDEX(Winter!$1:$1048576,MATCH(All!$A690,Winter!$A:$A,FALSE),MATCH(All!T$1,Winter!$1:$1,FALSE))),"")</f>
        <v/>
      </c>
      <c r="U690" t="str">
        <f>IFERROR(IF(INDEX(Winter!$1:$1048576,MATCH(All!$A690,Winter!$A:$A,FALSE),MATCH(All!U$1,Winter!$1:$1,FALSE))="","",INDEX(Winter!$1:$1048576,MATCH(All!$A690,Winter!$A:$A,FALSE),MATCH(All!U$1,Winter!$1:$1,FALSE))),"")</f>
        <v>3A</v>
      </c>
      <c r="W690">
        <f>IFERROR(IF(INDEX(Spring!$1:$1048576,MATCH(All!$A690,Spring!$A:$A,FALSE),MATCH(All!W$1,Spring!$1:$1,FALSE))="","",INDEX(Spring!$1:$1048576,MATCH(All!$A690,Spring!$A:$A,FALSE),MATCH(All!W$1,Spring!$1:$1,FALSE))),"")</f>
        <v>1865</v>
      </c>
      <c r="X690" t="str">
        <f>IFERROR(IF(INDEX(Spring!$1:$1048576,MATCH(All!$A690,Spring!$A:$A,FALSE),MATCH(All!X$1,Spring!$1:$1,FALSE))="","",INDEX(Spring!$1:$1048576,MATCH(All!$A690,Spring!$A:$A,FALSE),MATCH(All!X$1,Spring!$1:$1,FALSE))),"")</f>
        <v>4A</v>
      </c>
      <c r="Y690" t="str">
        <f>IFERROR(IF(INDEX(Spring!$1:$1048576,MATCH(All!$A690,Spring!$A:$A,FALSE),MATCH(All!Y$1,Spring!$1:$1,FALSE))="","",INDEX(Spring!$1:$1048576,MATCH(All!$A690,Spring!$A:$A,FALSE),MATCH(All!Y$1,Spring!$1:$1,FALSE))),"")</f>
        <v>4A</v>
      </c>
      <c r="Z690" t="str">
        <f>IFERROR(IF(INDEX(Spring!$1:$1048576,MATCH(All!$A690,Spring!$A:$A,FALSE),MATCH(All!Z$1,Spring!$1:$1,FALSE))="","",INDEX(Spring!$1:$1048576,MATCH(All!$A690,Spring!$A:$A,FALSE),MATCH(All!Z$1,Spring!$1:$1,FALSE))),"")</f>
        <v>3A</v>
      </c>
      <c r="AA690" t="str">
        <f>IFERROR(IF(INDEX(Spring!$1:$1048576,MATCH(All!$A690,Spring!$A:$A,FALSE),MATCH(All!AA$1,Spring!$1:$1,FALSE))="","",INDEX(Spring!$1:$1048576,MATCH(All!$A690,Spring!$A:$A,FALSE),MATCH(All!AA$1,Spring!$1:$1,FALSE))),"")</f>
        <v>2A</v>
      </c>
      <c r="AB690" t="str">
        <f>IFERROR(IF(INDEX(Spring!$1:$1048576,MATCH(All!$A690,Spring!$A:$A,FALSE),MATCH(All!AB$1,Spring!$1:$1,FALSE))="","",INDEX(Spring!$1:$1048576,MATCH(All!$A690,Spring!$A:$A,FALSE),MATCH(All!AB$1,Spring!$1:$1,FALSE))),"")</f>
        <v>3A</v>
      </c>
      <c r="AC690" t="str">
        <f>IFERROR(IF(INDEX(Spring!$1:$1048576,MATCH(All!$A690,Spring!$A:$A,FALSE),MATCH(All!AC$1,Spring!$1:$1,FALSE))="","",INDEX(Spring!$1:$1048576,MATCH(All!$A690,Spring!$A:$A,FALSE),MATCH(All!AC$1,Spring!$1:$1,FALSE))),"")</f>
        <v>3A</v>
      </c>
      <c r="AD690" t="str">
        <f>IFERROR(VLOOKUP(A690,'Flag Football'!A:A,1,FALSE),"")</f>
        <v>St. Charles (East)</v>
      </c>
      <c r="AE690" t="str">
        <f t="shared" si="10"/>
        <v>1A</v>
      </c>
    </row>
    <row r="691" spans="1:31" ht="15.75" thickBot="1" x14ac:dyDescent="0.3">
      <c r="A691" s="18" t="s">
        <v>797</v>
      </c>
      <c r="B691" s="38">
        <f>IFERROR(VLOOKUP(A691,'Public v Private'!A:G,3,FALSE),"")</f>
        <v>0</v>
      </c>
      <c r="C691" s="38">
        <f>IFERROR(VLOOKUP(A691,'Public v Private'!A:G,4,FALSE),"")</f>
        <v>0</v>
      </c>
      <c r="D691" s="38">
        <f>IFERROR(VLOOKUP(A691,'Public v Private'!A:G,5,FALSE),"")</f>
        <v>0</v>
      </c>
      <c r="E691" s="38"/>
      <c r="F691" s="40">
        <f>IFERROR(INDEX(Fall!$1:$1048576,MATCH(All!$A691,Fall!$A:$A,FALSE),MATCH(All!F$1,Fall!$1:$1,FALSE)),"N/A")</f>
        <v>1851</v>
      </c>
      <c r="G691" t="str">
        <f>IFERROR(IF(INDEX(Fall!$1:$1048576,MATCH(All!$A691,Fall!$A:$A,FALSE),MATCH(All!G$1,Fall!$1:$1,FALSE))="","",INDEX(Fall!$1:$1048576,MATCH(All!$A691,Fall!$A:$A,FALSE),MATCH(All!G$1,Fall!$1:$1,FALSE))),"")</f>
        <v>3A</v>
      </c>
      <c r="H691" t="str">
        <f>IFERROR(IF(INDEX(Fall!$1:$1048576,MATCH(All!$A691,Fall!$A:$A,FALSE),MATCH(All!H$1,Fall!$1:$1,FALSE))="","",INDEX(Fall!$1:$1048576,MATCH(All!$A691,Fall!$A:$A,FALSE),MATCH(All!H$1,Fall!$1:$1,FALSE))),"")</f>
        <v>3A</v>
      </c>
      <c r="I691" t="str">
        <f>IFERROR(IF(INDEX(Fall!$1:$1048576,MATCH(All!$A691,Fall!$A:$A,FALSE),MATCH(All!I$1,Fall!$1:$1,FALSE))="","",INDEX(Fall!$1:$1048576,MATCH(All!$A691,Fall!$A:$A,FALSE),MATCH(All!I$1,Fall!$1:$1,FALSE))),"")</f>
        <v>3A</v>
      </c>
      <c r="J691" t="str">
        <f>IFERROR(IF(INDEX(Fall!$1:$1048576,MATCH(All!$A691,Fall!$A:$A,FALSE),MATCH(All!J$1,Fall!$1:$1,FALSE))="","",INDEX(Fall!$1:$1048576,MATCH(All!$A691,Fall!$A:$A,FALSE),MATCH(All!J$1,Fall!$1:$1,FALSE))),"")</f>
        <v>2A</v>
      </c>
      <c r="K691" t="str">
        <f>IFERROR(IF(INDEX(Fall!$1:$1048576,MATCH(All!$A691,Fall!$A:$A,FALSE),MATCH(All!K$1,Fall!$1:$1,FALSE))="","",INDEX(Fall!$1:$1048576,MATCH(All!$A691,Fall!$A:$A,FALSE),MATCH(All!K$1,Fall!$1:$1,FALSE))),"")</f>
        <v>3A</v>
      </c>
      <c r="L691" t="str">
        <f>IFERROR(IF(INDEX(Fall!$1:$1048576,MATCH(All!$A691,Fall!$A:$A,FALSE),MATCH(All!L$1,Fall!$1:$1,FALSE))="","",INDEX(Fall!$1:$1048576,MATCH(All!$A691,Fall!$A:$A,FALSE),MATCH(All!L$1,Fall!$1:$1,FALSE))),"")</f>
        <v>2A</v>
      </c>
      <c r="M691" t="str">
        <f>IFERROR(IF(INDEX(Fall!$1:$1048576,MATCH(All!$A691,Fall!$A:$A,FALSE),MATCH(All!M$1,Fall!$1:$1,FALSE))="","",INDEX(Fall!$1:$1048576,MATCH(All!$A691,Fall!$A:$A,FALSE),MATCH(All!M$1,Fall!$1:$1,FALSE))),"")</f>
        <v>4A</v>
      </c>
      <c r="O691">
        <f>IFERROR(IF(INDEX(Winter!$1:$1048576,MATCH(All!$A691,Winter!$A:$A,FALSE),MATCH(All!O$1,Winter!$1:$1,FALSE))="","",INDEX(Winter!$1:$1048576,MATCH(All!$A691,Winter!$A:$A,FALSE),MATCH(All!O$1,Winter!$1:$1,FALSE))),"")</f>
        <v>1851</v>
      </c>
      <c r="P691" t="str">
        <f>IFERROR(IF(INDEX(Winter!$1:$1048576,MATCH(All!$A691,Winter!$A:$A,FALSE),MATCH(All!P$1,Winter!$1:$1,FALSE))="","",INDEX(Winter!$1:$1048576,MATCH(All!$A691,Winter!$A:$A,FALSE),MATCH(All!P$1,Winter!$1:$1,FALSE))),"")</f>
        <v>4A</v>
      </c>
      <c r="Q691" t="str">
        <f>IFERROR(IF(INDEX(Winter!$1:$1048576,MATCH(All!$A691,Winter!$A:$A,FALSE),MATCH(All!Q$1,Winter!$1:$1,FALSE))="","",INDEX(Winter!$1:$1048576,MATCH(All!$A691,Winter!$A:$A,FALSE),MATCH(All!Q$1,Winter!$1:$1,FALSE))),"")</f>
        <v>4A</v>
      </c>
      <c r="R691" t="str">
        <f>IFERROR(IF(INDEX(Winter!$1:$1048576,MATCH(All!$A691,Winter!$A:$A,FALSE),MATCH(All!R$1,Winter!$1:$1,FALSE))="","",INDEX(Winter!$1:$1048576,MATCH(All!$A691,Winter!$A:$A,FALSE),MATCH(All!R$1,Winter!$1:$1,FALSE))),"")</f>
        <v>C</v>
      </c>
      <c r="S691" t="str">
        <f>IFERROR(IF(INDEX(Winter!$1:$1048576,MATCH(All!$A691,Winter!$A:$A,FALSE),MATCH(All!S$1,Winter!$1:$1,FALSE))="","",INDEX(Winter!$1:$1048576,MATCH(All!$A691,Winter!$A:$A,FALSE),MATCH(All!S$1,Winter!$1:$1,FALSE))),"")</f>
        <v>2A</v>
      </c>
      <c r="T691" t="str">
        <f>IFERROR(IF(INDEX(Winter!$1:$1048576,MATCH(All!$A691,Winter!$A:$A,FALSE),MATCH(All!T$1,Winter!$1:$1,FALSE))="","",INDEX(Winter!$1:$1048576,MATCH(All!$A691,Winter!$A:$A,FALSE),MATCH(All!T$1,Winter!$1:$1,FALSE))),"")</f>
        <v>2A</v>
      </c>
      <c r="U691" t="str">
        <f>IFERROR(IF(INDEX(Winter!$1:$1048576,MATCH(All!$A691,Winter!$A:$A,FALSE),MATCH(All!U$1,Winter!$1:$1,FALSE))="","",INDEX(Winter!$1:$1048576,MATCH(All!$A691,Winter!$A:$A,FALSE),MATCH(All!U$1,Winter!$1:$1,FALSE))),"")</f>
        <v>3A</v>
      </c>
      <c r="W691">
        <f>IFERROR(IF(INDEX(Spring!$1:$1048576,MATCH(All!$A691,Spring!$A:$A,FALSE),MATCH(All!W$1,Spring!$1:$1,FALSE))="","",INDEX(Spring!$1:$1048576,MATCH(All!$A691,Spring!$A:$A,FALSE),MATCH(All!W$1,Spring!$1:$1,FALSE))),"")</f>
        <v>1851</v>
      </c>
      <c r="X691" t="str">
        <f>IFERROR(IF(INDEX(Spring!$1:$1048576,MATCH(All!$A691,Spring!$A:$A,FALSE),MATCH(All!X$1,Spring!$1:$1,FALSE))="","",INDEX(Spring!$1:$1048576,MATCH(All!$A691,Spring!$A:$A,FALSE),MATCH(All!X$1,Spring!$1:$1,FALSE))),"")</f>
        <v>4A</v>
      </c>
      <c r="Y691" t="str">
        <f>IFERROR(IF(INDEX(Spring!$1:$1048576,MATCH(All!$A691,Spring!$A:$A,FALSE),MATCH(All!Y$1,Spring!$1:$1,FALSE))="","",INDEX(Spring!$1:$1048576,MATCH(All!$A691,Spring!$A:$A,FALSE),MATCH(All!Y$1,Spring!$1:$1,FALSE))),"")</f>
        <v>4A</v>
      </c>
      <c r="Z691" t="str">
        <f>IFERROR(IF(INDEX(Spring!$1:$1048576,MATCH(All!$A691,Spring!$A:$A,FALSE),MATCH(All!Z$1,Spring!$1:$1,FALSE))="","",INDEX(Spring!$1:$1048576,MATCH(All!$A691,Spring!$A:$A,FALSE),MATCH(All!Z$1,Spring!$1:$1,FALSE))),"")</f>
        <v>3A</v>
      </c>
      <c r="AA691" t="str">
        <f>IFERROR(IF(INDEX(Spring!$1:$1048576,MATCH(All!$A691,Spring!$A:$A,FALSE),MATCH(All!AA$1,Spring!$1:$1,FALSE))="","",INDEX(Spring!$1:$1048576,MATCH(All!$A691,Spring!$A:$A,FALSE),MATCH(All!AA$1,Spring!$1:$1,FALSE))),"")</f>
        <v>2A</v>
      </c>
      <c r="AB691" t="str">
        <f>IFERROR(IF(INDEX(Spring!$1:$1048576,MATCH(All!$A691,Spring!$A:$A,FALSE),MATCH(All!AB$1,Spring!$1:$1,FALSE))="","",INDEX(Spring!$1:$1048576,MATCH(All!$A691,Spring!$A:$A,FALSE),MATCH(All!AB$1,Spring!$1:$1,FALSE))),"")</f>
        <v>3A</v>
      </c>
      <c r="AC691" t="str">
        <f>IFERROR(IF(INDEX(Spring!$1:$1048576,MATCH(All!$A691,Spring!$A:$A,FALSE),MATCH(All!AC$1,Spring!$1:$1,FALSE))="","",INDEX(Spring!$1:$1048576,MATCH(All!$A691,Spring!$A:$A,FALSE),MATCH(All!AC$1,Spring!$1:$1,FALSE))),"")</f>
        <v>3A</v>
      </c>
      <c r="AD691" t="str">
        <f>IFERROR(VLOOKUP(A691,'Flag Football'!A:A,1,FALSE),"")</f>
        <v>St. Charles (North)</v>
      </c>
      <c r="AE691" t="str">
        <f t="shared" si="10"/>
        <v>1A</v>
      </c>
    </row>
    <row r="692" spans="1:31" ht="15.75" thickBot="1" x14ac:dyDescent="0.3">
      <c r="A692" s="20" t="s">
        <v>798</v>
      </c>
      <c r="B692" s="38">
        <f>IFERROR(VLOOKUP(A692,'Public v Private'!A:G,3,FALSE),"")</f>
        <v>0</v>
      </c>
      <c r="C692" s="38">
        <f>IFERROR(VLOOKUP(A692,'Public v Private'!A:G,4,FALSE),"")</f>
        <v>0</v>
      </c>
      <c r="D692" s="38">
        <f>IFERROR(VLOOKUP(A692,'Public v Private'!A:G,5,FALSE),"")</f>
        <v>0</v>
      </c>
      <c r="E692" s="38"/>
      <c r="F692" s="40">
        <f>IFERROR(INDEX(Fall!$1:$1048576,MATCH(All!$A692,Fall!$A:$A,FALSE),MATCH(All!F$1,Fall!$1:$1,FALSE)),"N/A")</f>
        <v>105</v>
      </c>
      <c r="G692" t="str">
        <f>IFERROR(IF(INDEX(Fall!$1:$1048576,MATCH(All!$A692,Fall!$A:$A,FALSE),MATCH(All!G$1,Fall!$1:$1,FALSE))="","",INDEX(Fall!$1:$1048576,MATCH(All!$A692,Fall!$A:$A,FALSE),MATCH(All!G$1,Fall!$1:$1,FALSE))),"")</f>
        <v/>
      </c>
      <c r="H692" t="str">
        <f>IFERROR(IF(INDEX(Fall!$1:$1048576,MATCH(All!$A692,Fall!$A:$A,FALSE),MATCH(All!H$1,Fall!$1:$1,FALSE))="","",INDEX(Fall!$1:$1048576,MATCH(All!$A692,Fall!$A:$A,FALSE),MATCH(All!H$1,Fall!$1:$1,FALSE))),"")</f>
        <v/>
      </c>
      <c r="I692" t="str">
        <f>IFERROR(IF(INDEX(Fall!$1:$1048576,MATCH(All!$A692,Fall!$A:$A,FALSE),MATCH(All!I$1,Fall!$1:$1,FALSE))="","",INDEX(Fall!$1:$1048576,MATCH(All!$A692,Fall!$A:$A,FALSE),MATCH(All!I$1,Fall!$1:$1,FALSE))),"")</f>
        <v/>
      </c>
      <c r="J692" t="str">
        <f>IFERROR(IF(INDEX(Fall!$1:$1048576,MATCH(All!$A692,Fall!$A:$A,FALSE),MATCH(All!J$1,Fall!$1:$1,FALSE))="","",INDEX(Fall!$1:$1048576,MATCH(All!$A692,Fall!$A:$A,FALSE),MATCH(All!J$1,Fall!$1:$1,FALSE))),"")</f>
        <v/>
      </c>
      <c r="K692" t="str">
        <f>IFERROR(IF(INDEX(Fall!$1:$1048576,MATCH(All!$A692,Fall!$A:$A,FALSE),MATCH(All!K$1,Fall!$1:$1,FALSE))="","",INDEX(Fall!$1:$1048576,MATCH(All!$A692,Fall!$A:$A,FALSE),MATCH(All!K$1,Fall!$1:$1,FALSE))),"")</f>
        <v/>
      </c>
      <c r="L692" t="str">
        <f>IFERROR(IF(INDEX(Fall!$1:$1048576,MATCH(All!$A692,Fall!$A:$A,FALSE),MATCH(All!L$1,Fall!$1:$1,FALSE))="","",INDEX(Fall!$1:$1048576,MATCH(All!$A692,Fall!$A:$A,FALSE),MATCH(All!L$1,Fall!$1:$1,FALSE))),"")</f>
        <v/>
      </c>
      <c r="M692" t="str">
        <f>IFERROR(IF(INDEX(Fall!$1:$1048576,MATCH(All!$A692,Fall!$A:$A,FALSE),MATCH(All!M$1,Fall!$1:$1,FALSE))="","",INDEX(Fall!$1:$1048576,MATCH(All!$A692,Fall!$A:$A,FALSE),MATCH(All!M$1,Fall!$1:$1,FALSE))),"")</f>
        <v>1A</v>
      </c>
      <c r="O692">
        <f>IFERROR(IF(INDEX(Winter!$1:$1048576,MATCH(All!$A692,Winter!$A:$A,FALSE),MATCH(All!O$1,Winter!$1:$1,FALSE))="","",INDEX(Winter!$1:$1048576,MATCH(All!$A692,Winter!$A:$A,FALSE),MATCH(All!O$1,Winter!$1:$1,FALSE))),"")</f>
        <v>105</v>
      </c>
      <c r="P692" t="str">
        <f>IFERROR(IF(INDEX(Winter!$1:$1048576,MATCH(All!$A692,Winter!$A:$A,FALSE),MATCH(All!P$1,Winter!$1:$1,FALSE))="","",INDEX(Winter!$1:$1048576,MATCH(All!$A692,Winter!$A:$A,FALSE),MATCH(All!P$1,Winter!$1:$1,FALSE))),"")</f>
        <v>1A</v>
      </c>
      <c r="Q692" t="str">
        <f>IFERROR(IF(INDEX(Winter!$1:$1048576,MATCH(All!$A692,Winter!$A:$A,FALSE),MATCH(All!Q$1,Winter!$1:$1,FALSE))="","",INDEX(Winter!$1:$1048576,MATCH(All!$A692,Winter!$A:$A,FALSE),MATCH(All!Q$1,Winter!$1:$1,FALSE))),"")</f>
        <v/>
      </c>
      <c r="R692" t="str">
        <f>IFERROR(IF(INDEX(Winter!$1:$1048576,MATCH(All!$A692,Winter!$A:$A,FALSE),MATCH(All!R$1,Winter!$1:$1,FALSE))="","",INDEX(Winter!$1:$1048576,MATCH(All!$A692,Winter!$A:$A,FALSE),MATCH(All!R$1,Winter!$1:$1,FALSE))),"")</f>
        <v/>
      </c>
      <c r="S692" t="str">
        <f>IFERROR(IF(INDEX(Winter!$1:$1048576,MATCH(All!$A692,Winter!$A:$A,FALSE),MATCH(All!S$1,Winter!$1:$1,FALSE))="","",INDEX(Winter!$1:$1048576,MATCH(All!$A692,Winter!$A:$A,FALSE),MATCH(All!S$1,Winter!$1:$1,FALSE))),"")</f>
        <v/>
      </c>
      <c r="T692" t="str">
        <f>IFERROR(IF(INDEX(Winter!$1:$1048576,MATCH(All!$A692,Winter!$A:$A,FALSE),MATCH(All!T$1,Winter!$1:$1,FALSE))="","",INDEX(Winter!$1:$1048576,MATCH(All!$A692,Winter!$A:$A,FALSE),MATCH(All!T$1,Winter!$1:$1,FALSE))),"")</f>
        <v/>
      </c>
      <c r="U692" t="str">
        <f>IFERROR(IF(INDEX(Winter!$1:$1048576,MATCH(All!$A692,Winter!$A:$A,FALSE),MATCH(All!U$1,Winter!$1:$1,FALSE))="","",INDEX(Winter!$1:$1048576,MATCH(All!$A692,Winter!$A:$A,FALSE),MATCH(All!U$1,Winter!$1:$1,FALSE))),"")</f>
        <v/>
      </c>
      <c r="W692">
        <f>IFERROR(IF(INDEX(Spring!$1:$1048576,MATCH(All!$A692,Spring!$A:$A,FALSE),MATCH(All!W$1,Spring!$1:$1,FALSE))="","",INDEX(Spring!$1:$1048576,MATCH(All!$A692,Spring!$A:$A,FALSE),MATCH(All!W$1,Spring!$1:$1,FALSE))),"")</f>
        <v>105</v>
      </c>
      <c r="X692" t="str">
        <f>IFERROR(IF(INDEX(Spring!$1:$1048576,MATCH(All!$A692,Spring!$A:$A,FALSE),MATCH(All!X$1,Spring!$1:$1,FALSE))="","",INDEX(Spring!$1:$1048576,MATCH(All!$A692,Spring!$A:$A,FALSE),MATCH(All!X$1,Spring!$1:$1,FALSE))),"")</f>
        <v/>
      </c>
      <c r="Y692" t="str">
        <f>IFERROR(IF(INDEX(Spring!$1:$1048576,MATCH(All!$A692,Spring!$A:$A,FALSE),MATCH(All!Y$1,Spring!$1:$1,FALSE))="","",INDEX(Spring!$1:$1048576,MATCH(All!$A692,Spring!$A:$A,FALSE),MATCH(All!Y$1,Spring!$1:$1,FALSE))),"")</f>
        <v>1A</v>
      </c>
      <c r="Z692" t="str">
        <f>IFERROR(IF(INDEX(Spring!$1:$1048576,MATCH(All!$A692,Spring!$A:$A,FALSE),MATCH(All!Z$1,Spring!$1:$1,FALSE))="","",INDEX(Spring!$1:$1048576,MATCH(All!$A692,Spring!$A:$A,FALSE),MATCH(All!Z$1,Spring!$1:$1,FALSE))),"")</f>
        <v/>
      </c>
      <c r="AA692" t="str">
        <f>IFERROR(IF(INDEX(Spring!$1:$1048576,MATCH(All!$A692,Spring!$A:$A,FALSE),MATCH(All!AA$1,Spring!$1:$1,FALSE))="","",INDEX(Spring!$1:$1048576,MATCH(All!$A692,Spring!$A:$A,FALSE),MATCH(All!AA$1,Spring!$1:$1,FALSE))),"")</f>
        <v/>
      </c>
      <c r="AB692" t="str">
        <f>IFERROR(IF(INDEX(Spring!$1:$1048576,MATCH(All!$A692,Spring!$A:$A,FALSE),MATCH(All!AB$1,Spring!$1:$1,FALSE))="","",INDEX(Spring!$1:$1048576,MATCH(All!$A692,Spring!$A:$A,FALSE),MATCH(All!AB$1,Spring!$1:$1,FALSE))),"")</f>
        <v/>
      </c>
      <c r="AC692" t="str">
        <f>IFERROR(IF(INDEX(Spring!$1:$1048576,MATCH(All!$A692,Spring!$A:$A,FALSE),MATCH(All!AC$1,Spring!$1:$1,FALSE))="","",INDEX(Spring!$1:$1048576,MATCH(All!$A692,Spring!$A:$A,FALSE),MATCH(All!AC$1,Spring!$1:$1,FALSE))),"")</f>
        <v/>
      </c>
      <c r="AD692" t="str">
        <f>IFERROR(VLOOKUP(A692,'Flag Football'!A:A,1,FALSE),"")</f>
        <v/>
      </c>
      <c r="AE692" t="str">
        <f t="shared" si="10"/>
        <v/>
      </c>
    </row>
    <row r="693" spans="1:31" ht="15.75" thickBot="1" x14ac:dyDescent="0.3">
      <c r="A693" s="18" t="s">
        <v>799</v>
      </c>
      <c r="B693" s="38">
        <f>IFERROR(VLOOKUP(A693,'Public v Private'!A:G,3,FALSE),"")</f>
        <v>0</v>
      </c>
      <c r="C693" s="38">
        <f>IFERROR(VLOOKUP(A693,'Public v Private'!A:G,4,FALSE),"")</f>
        <v>0</v>
      </c>
      <c r="D693" s="38">
        <f>IFERROR(VLOOKUP(A693,'Public v Private'!A:G,5,FALSE),"")</f>
        <v>0</v>
      </c>
      <c r="E693" s="38"/>
      <c r="F693" s="40">
        <f>IFERROR(INDEX(Fall!$1:$1048576,MATCH(All!$A693,Fall!$A:$A,FALSE),MATCH(All!F$1,Fall!$1:$1,FALSE)),"N/A")</f>
        <v>453</v>
      </c>
      <c r="G693" t="str">
        <f>IFERROR(IF(INDEX(Fall!$1:$1048576,MATCH(All!$A693,Fall!$A:$A,FALSE),MATCH(All!G$1,Fall!$1:$1,FALSE))="","",INDEX(Fall!$1:$1048576,MATCH(All!$A693,Fall!$A:$A,FALSE),MATCH(All!G$1,Fall!$1:$1,FALSE))),"")</f>
        <v>1A</v>
      </c>
      <c r="H693" t="str">
        <f>IFERROR(IF(INDEX(Fall!$1:$1048576,MATCH(All!$A693,Fall!$A:$A,FALSE),MATCH(All!H$1,Fall!$1:$1,FALSE))="","",INDEX(Fall!$1:$1048576,MATCH(All!$A693,Fall!$A:$A,FALSE),MATCH(All!H$1,Fall!$1:$1,FALSE))),"")</f>
        <v>1A</v>
      </c>
      <c r="I693" t="str">
        <f>IFERROR(IF(INDEX(Fall!$1:$1048576,MATCH(All!$A693,Fall!$A:$A,FALSE),MATCH(All!I$1,Fall!$1:$1,FALSE))="","",INDEX(Fall!$1:$1048576,MATCH(All!$A693,Fall!$A:$A,FALSE),MATCH(All!I$1,Fall!$1:$1,FALSE))),"")</f>
        <v>1A</v>
      </c>
      <c r="J693" t="str">
        <f>IFERROR(IF(INDEX(Fall!$1:$1048576,MATCH(All!$A693,Fall!$A:$A,FALSE),MATCH(All!J$1,Fall!$1:$1,FALSE))="","",INDEX(Fall!$1:$1048576,MATCH(All!$A693,Fall!$A:$A,FALSE),MATCH(All!J$1,Fall!$1:$1,FALSE))),"")</f>
        <v/>
      </c>
      <c r="K693" t="str">
        <f>IFERROR(IF(INDEX(Fall!$1:$1048576,MATCH(All!$A693,Fall!$A:$A,FALSE),MATCH(All!K$1,Fall!$1:$1,FALSE))="","",INDEX(Fall!$1:$1048576,MATCH(All!$A693,Fall!$A:$A,FALSE),MATCH(All!K$1,Fall!$1:$1,FALSE))),"")</f>
        <v>1A</v>
      </c>
      <c r="L693" t="str">
        <f>IFERROR(IF(INDEX(Fall!$1:$1048576,MATCH(All!$A693,Fall!$A:$A,FALSE),MATCH(All!L$1,Fall!$1:$1,FALSE))="","",INDEX(Fall!$1:$1048576,MATCH(All!$A693,Fall!$A:$A,FALSE),MATCH(All!L$1,Fall!$1:$1,FALSE))),"")</f>
        <v>1A</v>
      </c>
      <c r="M693" t="str">
        <f>IFERROR(IF(INDEX(Fall!$1:$1048576,MATCH(All!$A693,Fall!$A:$A,FALSE),MATCH(All!M$1,Fall!$1:$1,FALSE))="","",INDEX(Fall!$1:$1048576,MATCH(All!$A693,Fall!$A:$A,FALSE),MATCH(All!M$1,Fall!$1:$1,FALSE))),"")</f>
        <v>2A</v>
      </c>
      <c r="O693">
        <f>IFERROR(IF(INDEX(Winter!$1:$1048576,MATCH(All!$A693,Winter!$A:$A,FALSE),MATCH(All!O$1,Winter!$1:$1,FALSE))="","",INDEX(Winter!$1:$1048576,MATCH(All!$A693,Winter!$A:$A,FALSE),MATCH(All!O$1,Winter!$1:$1,FALSE))),"")</f>
        <v>453</v>
      </c>
      <c r="P693" t="str">
        <f>IFERROR(IF(INDEX(Winter!$1:$1048576,MATCH(All!$A693,Winter!$A:$A,FALSE),MATCH(All!P$1,Winter!$1:$1,FALSE))="","",INDEX(Winter!$1:$1048576,MATCH(All!$A693,Winter!$A:$A,FALSE),MATCH(All!P$1,Winter!$1:$1,FALSE))),"")</f>
        <v>2A</v>
      </c>
      <c r="Q693" t="str">
        <f>IFERROR(IF(INDEX(Winter!$1:$1048576,MATCH(All!$A693,Winter!$A:$A,FALSE),MATCH(All!Q$1,Winter!$1:$1,FALSE))="","",INDEX(Winter!$1:$1048576,MATCH(All!$A693,Winter!$A:$A,FALSE),MATCH(All!Q$1,Winter!$1:$1,FALSE))),"")</f>
        <v>2A</v>
      </c>
      <c r="R693" t="str">
        <f>IFERROR(IF(INDEX(Winter!$1:$1048576,MATCH(All!$A693,Winter!$A:$A,FALSE),MATCH(All!R$1,Winter!$1:$1,FALSE))="","",INDEX(Winter!$1:$1048576,MATCH(All!$A693,Winter!$A:$A,FALSE),MATCH(All!R$1,Winter!$1:$1,FALSE))),"")</f>
        <v>1A</v>
      </c>
      <c r="S693" t="str">
        <f>IFERROR(IF(INDEX(Winter!$1:$1048576,MATCH(All!$A693,Winter!$A:$A,FALSE),MATCH(All!S$1,Winter!$1:$1,FALSE))="","",INDEX(Winter!$1:$1048576,MATCH(All!$A693,Winter!$A:$A,FALSE),MATCH(All!S$1,Winter!$1:$1,FALSE))),"")</f>
        <v>1A</v>
      </c>
      <c r="T693" t="str">
        <f>IFERROR(IF(INDEX(Winter!$1:$1048576,MATCH(All!$A693,Winter!$A:$A,FALSE),MATCH(All!T$1,Winter!$1:$1,FALSE))="","",INDEX(Winter!$1:$1048576,MATCH(All!$A693,Winter!$A:$A,FALSE),MATCH(All!T$1,Winter!$1:$1,FALSE))),"")</f>
        <v>2A</v>
      </c>
      <c r="U693" t="str">
        <f>IFERROR(IF(INDEX(Winter!$1:$1048576,MATCH(All!$A693,Winter!$A:$A,FALSE),MATCH(All!U$1,Winter!$1:$1,FALSE))="","",INDEX(Winter!$1:$1048576,MATCH(All!$A693,Winter!$A:$A,FALSE),MATCH(All!U$1,Winter!$1:$1,FALSE))),"")</f>
        <v>1A</v>
      </c>
      <c r="W693">
        <f>IFERROR(IF(INDEX(Spring!$1:$1048576,MATCH(All!$A693,Spring!$A:$A,FALSE),MATCH(All!W$1,Spring!$1:$1,FALSE))="","",INDEX(Spring!$1:$1048576,MATCH(All!$A693,Spring!$A:$A,FALSE),MATCH(All!W$1,Spring!$1:$1,FALSE))),"")</f>
        <v>453</v>
      </c>
      <c r="X693" t="str">
        <f>IFERROR(IF(INDEX(Spring!$1:$1048576,MATCH(All!$A693,Spring!$A:$A,FALSE),MATCH(All!X$1,Spring!$1:$1,FALSE))="","",INDEX(Spring!$1:$1048576,MATCH(All!$A693,Spring!$A:$A,FALSE),MATCH(All!X$1,Spring!$1:$1,FALSE))),"")</f>
        <v>2A</v>
      </c>
      <c r="Y693" t="str">
        <f>IFERROR(IF(INDEX(Spring!$1:$1048576,MATCH(All!$A693,Spring!$A:$A,FALSE),MATCH(All!Y$1,Spring!$1:$1,FALSE))="","",INDEX(Spring!$1:$1048576,MATCH(All!$A693,Spring!$A:$A,FALSE),MATCH(All!Y$1,Spring!$1:$1,FALSE))),"")</f>
        <v>2A</v>
      </c>
      <c r="Z693" t="str">
        <f>IFERROR(IF(INDEX(Spring!$1:$1048576,MATCH(All!$A693,Spring!$A:$A,FALSE),MATCH(All!Z$1,Spring!$1:$1,FALSE))="","",INDEX(Spring!$1:$1048576,MATCH(All!$A693,Spring!$A:$A,FALSE),MATCH(All!Z$1,Spring!$1:$1,FALSE))),"")</f>
        <v/>
      </c>
      <c r="AA693" t="str">
        <f>IFERROR(IF(INDEX(Spring!$1:$1048576,MATCH(All!$A693,Spring!$A:$A,FALSE),MATCH(All!AA$1,Spring!$1:$1,FALSE))="","",INDEX(Spring!$1:$1048576,MATCH(All!$A693,Spring!$A:$A,FALSE),MATCH(All!AA$1,Spring!$1:$1,FALSE))),"")</f>
        <v/>
      </c>
      <c r="AB693" t="str">
        <f>IFERROR(IF(INDEX(Spring!$1:$1048576,MATCH(All!$A693,Spring!$A:$A,FALSE),MATCH(All!AB$1,Spring!$1:$1,FALSE))="","",INDEX(Spring!$1:$1048576,MATCH(All!$A693,Spring!$A:$A,FALSE),MATCH(All!AB$1,Spring!$1:$1,FALSE))),"")</f>
        <v>2A</v>
      </c>
      <c r="AC693" t="str">
        <f>IFERROR(IF(INDEX(Spring!$1:$1048576,MATCH(All!$A693,Spring!$A:$A,FALSE),MATCH(All!AC$1,Spring!$1:$1,FALSE))="","",INDEX(Spring!$1:$1048576,MATCH(All!$A693,Spring!$A:$A,FALSE),MATCH(All!AC$1,Spring!$1:$1,FALSE))),"")</f>
        <v>2A</v>
      </c>
      <c r="AD693" t="str">
        <f>IFERROR(VLOOKUP(A693,'Flag Football'!A:A,1,FALSE),"")</f>
        <v/>
      </c>
      <c r="AE693" t="str">
        <f t="shared" si="10"/>
        <v/>
      </c>
    </row>
    <row r="694" spans="1:31" ht="15.75" thickBot="1" x14ac:dyDescent="0.3">
      <c r="A694" s="20" t="s">
        <v>800</v>
      </c>
      <c r="B694" s="38">
        <f>IFERROR(VLOOKUP(A694,'Public v Private'!A:G,3,FALSE),"")</f>
        <v>0</v>
      </c>
      <c r="C694" s="38">
        <f>IFERROR(VLOOKUP(A694,'Public v Private'!A:G,4,FALSE),"")</f>
        <v>0</v>
      </c>
      <c r="D694" s="38">
        <f>IFERROR(VLOOKUP(A694,'Public v Private'!A:G,5,FALSE),"")</f>
        <v>0</v>
      </c>
      <c r="E694" s="38"/>
      <c r="F694" s="40">
        <f>IFERROR(INDEX(Fall!$1:$1048576,MATCH(All!$A694,Fall!$A:$A,FALSE),MATCH(All!F$1,Fall!$1:$1,FALSE)),"N/A")</f>
        <v>491</v>
      </c>
      <c r="G694" t="str">
        <f>IFERROR(IF(INDEX(Fall!$1:$1048576,MATCH(All!$A694,Fall!$A:$A,FALSE),MATCH(All!G$1,Fall!$1:$1,FALSE))="","",INDEX(Fall!$1:$1048576,MATCH(All!$A694,Fall!$A:$A,FALSE),MATCH(All!G$1,Fall!$1:$1,FALSE))),"")</f>
        <v>1A</v>
      </c>
      <c r="H694" t="str">
        <f>IFERROR(IF(INDEX(Fall!$1:$1048576,MATCH(All!$A694,Fall!$A:$A,FALSE),MATCH(All!H$1,Fall!$1:$1,FALSE))="","",INDEX(Fall!$1:$1048576,MATCH(All!$A694,Fall!$A:$A,FALSE),MATCH(All!H$1,Fall!$1:$1,FALSE))),"")</f>
        <v>1A</v>
      </c>
      <c r="I694" t="str">
        <f>IFERROR(IF(INDEX(Fall!$1:$1048576,MATCH(All!$A694,Fall!$A:$A,FALSE),MATCH(All!I$1,Fall!$1:$1,FALSE))="","",INDEX(Fall!$1:$1048576,MATCH(All!$A694,Fall!$A:$A,FALSE),MATCH(All!I$1,Fall!$1:$1,FALSE))),"")</f>
        <v>1A</v>
      </c>
      <c r="J694" t="str">
        <f>IFERROR(IF(INDEX(Fall!$1:$1048576,MATCH(All!$A694,Fall!$A:$A,FALSE),MATCH(All!J$1,Fall!$1:$1,FALSE))="","",INDEX(Fall!$1:$1048576,MATCH(All!$A694,Fall!$A:$A,FALSE),MATCH(All!J$1,Fall!$1:$1,FALSE))),"")</f>
        <v>1A</v>
      </c>
      <c r="K694" t="str">
        <f>IFERROR(IF(INDEX(Fall!$1:$1048576,MATCH(All!$A694,Fall!$A:$A,FALSE),MATCH(All!K$1,Fall!$1:$1,FALSE))="","",INDEX(Fall!$1:$1048576,MATCH(All!$A694,Fall!$A:$A,FALSE),MATCH(All!K$1,Fall!$1:$1,FALSE))),"")</f>
        <v>1A</v>
      </c>
      <c r="L694" t="str">
        <f>IFERROR(IF(INDEX(Fall!$1:$1048576,MATCH(All!$A694,Fall!$A:$A,FALSE),MATCH(All!L$1,Fall!$1:$1,FALSE))="","",INDEX(Fall!$1:$1048576,MATCH(All!$A694,Fall!$A:$A,FALSE),MATCH(All!L$1,Fall!$1:$1,FALSE))),"")</f>
        <v/>
      </c>
      <c r="M694" t="str">
        <f>IFERROR(IF(INDEX(Fall!$1:$1048576,MATCH(All!$A694,Fall!$A:$A,FALSE),MATCH(All!M$1,Fall!$1:$1,FALSE))="","",INDEX(Fall!$1:$1048576,MATCH(All!$A694,Fall!$A:$A,FALSE),MATCH(All!M$1,Fall!$1:$1,FALSE))),"")</f>
        <v>2A</v>
      </c>
      <c r="O694">
        <f>IFERROR(IF(INDEX(Winter!$1:$1048576,MATCH(All!$A694,Winter!$A:$A,FALSE),MATCH(All!O$1,Winter!$1:$1,FALSE))="","",INDEX(Winter!$1:$1048576,MATCH(All!$A694,Winter!$A:$A,FALSE),MATCH(All!O$1,Winter!$1:$1,FALSE))),"")</f>
        <v>491</v>
      </c>
      <c r="P694" t="str">
        <f>IFERROR(IF(INDEX(Winter!$1:$1048576,MATCH(All!$A694,Winter!$A:$A,FALSE),MATCH(All!P$1,Winter!$1:$1,FALSE))="","",INDEX(Winter!$1:$1048576,MATCH(All!$A694,Winter!$A:$A,FALSE),MATCH(All!P$1,Winter!$1:$1,FALSE))),"")</f>
        <v>2A</v>
      </c>
      <c r="Q694" t="str">
        <f>IFERROR(IF(INDEX(Winter!$1:$1048576,MATCH(All!$A694,Winter!$A:$A,FALSE),MATCH(All!Q$1,Winter!$1:$1,FALSE))="","",INDEX(Winter!$1:$1048576,MATCH(All!$A694,Winter!$A:$A,FALSE),MATCH(All!Q$1,Winter!$1:$1,FALSE))),"")</f>
        <v>2A</v>
      </c>
      <c r="R694" t="str">
        <f>IFERROR(IF(INDEX(Winter!$1:$1048576,MATCH(All!$A694,Winter!$A:$A,FALSE),MATCH(All!R$1,Winter!$1:$1,FALSE))="","",INDEX(Winter!$1:$1048576,MATCH(All!$A694,Winter!$A:$A,FALSE),MATCH(All!R$1,Winter!$1:$1,FALSE))),"")</f>
        <v/>
      </c>
      <c r="S694" t="str">
        <f>IFERROR(IF(INDEX(Winter!$1:$1048576,MATCH(All!$A694,Winter!$A:$A,FALSE),MATCH(All!S$1,Winter!$1:$1,FALSE))="","",INDEX(Winter!$1:$1048576,MATCH(All!$A694,Winter!$A:$A,FALSE),MATCH(All!S$1,Winter!$1:$1,FALSE))),"")</f>
        <v/>
      </c>
      <c r="T694" t="str">
        <f>IFERROR(IF(INDEX(Winter!$1:$1048576,MATCH(All!$A694,Winter!$A:$A,FALSE),MATCH(All!T$1,Winter!$1:$1,FALSE))="","",INDEX(Winter!$1:$1048576,MATCH(All!$A694,Winter!$A:$A,FALSE),MATCH(All!T$1,Winter!$1:$1,FALSE))),"")</f>
        <v>2A</v>
      </c>
      <c r="U694" t="str">
        <f>IFERROR(IF(INDEX(Winter!$1:$1048576,MATCH(All!$A694,Winter!$A:$A,FALSE),MATCH(All!U$1,Winter!$1:$1,FALSE))="","",INDEX(Winter!$1:$1048576,MATCH(All!$A694,Winter!$A:$A,FALSE),MATCH(All!U$1,Winter!$1:$1,FALSE))),"")</f>
        <v>1A</v>
      </c>
      <c r="W694">
        <f>IFERROR(IF(INDEX(Spring!$1:$1048576,MATCH(All!$A694,Spring!$A:$A,FALSE),MATCH(All!W$1,Spring!$1:$1,FALSE))="","",INDEX(Spring!$1:$1048576,MATCH(All!$A694,Spring!$A:$A,FALSE),MATCH(All!W$1,Spring!$1:$1,FALSE))),"")</f>
        <v>491</v>
      </c>
      <c r="X694" t="str">
        <f>IFERROR(IF(INDEX(Spring!$1:$1048576,MATCH(All!$A694,Spring!$A:$A,FALSE),MATCH(All!X$1,Spring!$1:$1,FALSE))="","",INDEX(Spring!$1:$1048576,MATCH(All!$A694,Spring!$A:$A,FALSE),MATCH(All!X$1,Spring!$1:$1,FALSE))),"")</f>
        <v>2A</v>
      </c>
      <c r="Y694" t="str">
        <f>IFERROR(IF(INDEX(Spring!$1:$1048576,MATCH(All!$A694,Spring!$A:$A,FALSE),MATCH(All!Y$1,Spring!$1:$1,FALSE))="","",INDEX(Spring!$1:$1048576,MATCH(All!$A694,Spring!$A:$A,FALSE),MATCH(All!Y$1,Spring!$1:$1,FALSE))),"")</f>
        <v>2A</v>
      </c>
      <c r="Z694" t="str">
        <f>IFERROR(IF(INDEX(Spring!$1:$1048576,MATCH(All!$A694,Spring!$A:$A,FALSE),MATCH(All!Z$1,Spring!$1:$1,FALSE))="","",INDEX(Spring!$1:$1048576,MATCH(All!$A694,Spring!$A:$A,FALSE),MATCH(All!Z$1,Spring!$1:$1,FALSE))),"")</f>
        <v>1A</v>
      </c>
      <c r="AA694" t="str">
        <f>IFERROR(IF(INDEX(Spring!$1:$1048576,MATCH(All!$A694,Spring!$A:$A,FALSE),MATCH(All!AA$1,Spring!$1:$1,FALSE))="","",INDEX(Spring!$1:$1048576,MATCH(All!$A694,Spring!$A:$A,FALSE),MATCH(All!AA$1,Spring!$1:$1,FALSE))),"")</f>
        <v/>
      </c>
      <c r="AB694" t="str">
        <f>IFERROR(IF(INDEX(Spring!$1:$1048576,MATCH(All!$A694,Spring!$A:$A,FALSE),MATCH(All!AB$1,Spring!$1:$1,FALSE))="","",INDEX(Spring!$1:$1048576,MATCH(All!$A694,Spring!$A:$A,FALSE),MATCH(All!AB$1,Spring!$1:$1,FALSE))),"")</f>
        <v>2A</v>
      </c>
      <c r="AC694" t="str">
        <f>IFERROR(IF(INDEX(Spring!$1:$1048576,MATCH(All!$A694,Spring!$A:$A,FALSE),MATCH(All!AC$1,Spring!$1:$1,FALSE))="","",INDEX(Spring!$1:$1048576,MATCH(All!$A694,Spring!$A:$A,FALSE),MATCH(All!AC$1,Spring!$1:$1,FALSE))),"")</f>
        <v>2A</v>
      </c>
      <c r="AD694" t="str">
        <f>IFERROR(VLOOKUP(A694,'Flag Football'!A:A,1,FALSE),"")</f>
        <v/>
      </c>
      <c r="AE694" t="str">
        <f t="shared" si="10"/>
        <v/>
      </c>
    </row>
    <row r="695" spans="1:31" ht="15.75" thickBot="1" x14ac:dyDescent="0.3">
      <c r="A695" s="18" t="s">
        <v>801</v>
      </c>
      <c r="B695" s="38">
        <f>IFERROR(VLOOKUP(A695,'Public v Private'!A:G,3,FALSE),"")</f>
        <v>0</v>
      </c>
      <c r="C695" s="38">
        <f>IFERROR(VLOOKUP(A695,'Public v Private'!A:G,4,FALSE),"")</f>
        <v>0</v>
      </c>
      <c r="D695" s="38">
        <f>IFERROR(VLOOKUP(A695,'Public v Private'!A:G,5,FALSE),"")</f>
        <v>0</v>
      </c>
      <c r="E695" s="38"/>
      <c r="F695" s="40">
        <f>IFERROR(INDEX(Fall!$1:$1048576,MATCH(All!$A695,Fall!$A:$A,FALSE),MATCH(All!F$1,Fall!$1:$1,FALSE)),"N/A")</f>
        <v>369</v>
      </c>
      <c r="G695" t="str">
        <f>IFERROR(IF(INDEX(Fall!$1:$1048576,MATCH(All!$A695,Fall!$A:$A,FALSE),MATCH(All!G$1,Fall!$1:$1,FALSE))="","",INDEX(Fall!$1:$1048576,MATCH(All!$A695,Fall!$A:$A,FALSE),MATCH(All!G$1,Fall!$1:$1,FALSE))),"")</f>
        <v>1A</v>
      </c>
      <c r="H695" t="str">
        <f>IFERROR(IF(INDEX(Fall!$1:$1048576,MATCH(All!$A695,Fall!$A:$A,FALSE),MATCH(All!H$1,Fall!$1:$1,FALSE))="","",INDEX(Fall!$1:$1048576,MATCH(All!$A695,Fall!$A:$A,FALSE),MATCH(All!H$1,Fall!$1:$1,FALSE))),"")</f>
        <v>1A</v>
      </c>
      <c r="I695" t="str">
        <f>IFERROR(IF(INDEX(Fall!$1:$1048576,MATCH(All!$A695,Fall!$A:$A,FALSE),MATCH(All!I$1,Fall!$1:$1,FALSE))="","",INDEX(Fall!$1:$1048576,MATCH(All!$A695,Fall!$A:$A,FALSE),MATCH(All!I$1,Fall!$1:$1,FALSE))),"")</f>
        <v>1A</v>
      </c>
      <c r="J695" t="str">
        <f>IFERROR(IF(INDEX(Fall!$1:$1048576,MATCH(All!$A695,Fall!$A:$A,FALSE),MATCH(All!J$1,Fall!$1:$1,FALSE))="","",INDEX(Fall!$1:$1048576,MATCH(All!$A695,Fall!$A:$A,FALSE),MATCH(All!J$1,Fall!$1:$1,FALSE))),"")</f>
        <v>1A</v>
      </c>
      <c r="K695" t="str">
        <f>IFERROR(IF(INDEX(Fall!$1:$1048576,MATCH(All!$A695,Fall!$A:$A,FALSE),MATCH(All!K$1,Fall!$1:$1,FALSE))="","",INDEX(Fall!$1:$1048576,MATCH(All!$A695,Fall!$A:$A,FALSE),MATCH(All!K$1,Fall!$1:$1,FALSE))),"")</f>
        <v>1A</v>
      </c>
      <c r="L695" t="str">
        <f>IFERROR(IF(INDEX(Fall!$1:$1048576,MATCH(All!$A695,Fall!$A:$A,FALSE),MATCH(All!L$1,Fall!$1:$1,FALSE))="","",INDEX(Fall!$1:$1048576,MATCH(All!$A695,Fall!$A:$A,FALSE),MATCH(All!L$1,Fall!$1:$1,FALSE))),"")</f>
        <v/>
      </c>
      <c r="M695" t="str">
        <f>IFERROR(IF(INDEX(Fall!$1:$1048576,MATCH(All!$A695,Fall!$A:$A,FALSE),MATCH(All!M$1,Fall!$1:$1,FALSE))="","",INDEX(Fall!$1:$1048576,MATCH(All!$A695,Fall!$A:$A,FALSE),MATCH(All!M$1,Fall!$1:$1,FALSE))),"")</f>
        <v>2A</v>
      </c>
      <c r="O695">
        <f>IFERROR(IF(INDEX(Winter!$1:$1048576,MATCH(All!$A695,Winter!$A:$A,FALSE),MATCH(All!O$1,Winter!$1:$1,FALSE))="","",INDEX(Winter!$1:$1048576,MATCH(All!$A695,Winter!$A:$A,FALSE),MATCH(All!O$1,Winter!$1:$1,FALSE))),"")</f>
        <v>369</v>
      </c>
      <c r="P695" t="str">
        <f>IFERROR(IF(INDEX(Winter!$1:$1048576,MATCH(All!$A695,Winter!$A:$A,FALSE),MATCH(All!P$1,Winter!$1:$1,FALSE))="","",INDEX(Winter!$1:$1048576,MATCH(All!$A695,Winter!$A:$A,FALSE),MATCH(All!P$1,Winter!$1:$1,FALSE))),"")</f>
        <v>2A</v>
      </c>
      <c r="Q695" t="str">
        <f>IFERROR(IF(INDEX(Winter!$1:$1048576,MATCH(All!$A695,Winter!$A:$A,FALSE),MATCH(All!Q$1,Winter!$1:$1,FALSE))="","",INDEX(Winter!$1:$1048576,MATCH(All!$A695,Winter!$A:$A,FALSE),MATCH(All!Q$1,Winter!$1:$1,FALSE))),"")</f>
        <v>2A</v>
      </c>
      <c r="R695" t="str">
        <f>IFERROR(IF(INDEX(Winter!$1:$1048576,MATCH(All!$A695,Winter!$A:$A,FALSE),MATCH(All!R$1,Winter!$1:$1,FALSE))="","",INDEX(Winter!$1:$1048576,MATCH(All!$A695,Winter!$A:$A,FALSE),MATCH(All!R$1,Winter!$1:$1,FALSE))),"")</f>
        <v/>
      </c>
      <c r="S695" t="str">
        <f>IFERROR(IF(INDEX(Winter!$1:$1048576,MATCH(All!$A695,Winter!$A:$A,FALSE),MATCH(All!S$1,Winter!$1:$1,FALSE))="","",INDEX(Winter!$1:$1048576,MATCH(All!$A695,Winter!$A:$A,FALSE),MATCH(All!S$1,Winter!$1:$1,FALSE))),"")</f>
        <v/>
      </c>
      <c r="T695" t="str">
        <f>IFERROR(IF(INDEX(Winter!$1:$1048576,MATCH(All!$A695,Winter!$A:$A,FALSE),MATCH(All!T$1,Winter!$1:$1,FALSE))="","",INDEX(Winter!$1:$1048576,MATCH(All!$A695,Winter!$A:$A,FALSE),MATCH(All!T$1,Winter!$1:$1,FALSE))),"")</f>
        <v>1A</v>
      </c>
      <c r="U695" t="str">
        <f>IFERROR(IF(INDEX(Winter!$1:$1048576,MATCH(All!$A695,Winter!$A:$A,FALSE),MATCH(All!U$1,Winter!$1:$1,FALSE))="","",INDEX(Winter!$1:$1048576,MATCH(All!$A695,Winter!$A:$A,FALSE),MATCH(All!U$1,Winter!$1:$1,FALSE))),"")</f>
        <v/>
      </c>
      <c r="W695">
        <f>IFERROR(IF(INDEX(Spring!$1:$1048576,MATCH(All!$A695,Spring!$A:$A,FALSE),MATCH(All!W$1,Spring!$1:$1,FALSE))="","",INDEX(Spring!$1:$1048576,MATCH(All!$A695,Spring!$A:$A,FALSE),MATCH(All!W$1,Spring!$1:$1,FALSE))),"")</f>
        <v>369</v>
      </c>
      <c r="X695" t="str">
        <f>IFERROR(IF(INDEX(Spring!$1:$1048576,MATCH(All!$A695,Spring!$A:$A,FALSE),MATCH(All!X$1,Spring!$1:$1,FALSE))="","",INDEX(Spring!$1:$1048576,MATCH(All!$A695,Spring!$A:$A,FALSE),MATCH(All!X$1,Spring!$1:$1,FALSE))),"")</f>
        <v>2A</v>
      </c>
      <c r="Y695" t="str">
        <f>IFERROR(IF(INDEX(Spring!$1:$1048576,MATCH(All!$A695,Spring!$A:$A,FALSE),MATCH(All!Y$1,Spring!$1:$1,FALSE))="","",INDEX(Spring!$1:$1048576,MATCH(All!$A695,Spring!$A:$A,FALSE),MATCH(All!Y$1,Spring!$1:$1,FALSE))),"")</f>
        <v>2A</v>
      </c>
      <c r="Z695" t="str">
        <f>IFERROR(IF(INDEX(Spring!$1:$1048576,MATCH(All!$A695,Spring!$A:$A,FALSE),MATCH(All!Z$1,Spring!$1:$1,FALSE))="","",INDEX(Spring!$1:$1048576,MATCH(All!$A695,Spring!$A:$A,FALSE),MATCH(All!Z$1,Spring!$1:$1,FALSE))),"")</f>
        <v>1A</v>
      </c>
      <c r="AA695" t="str">
        <f>IFERROR(IF(INDEX(Spring!$1:$1048576,MATCH(All!$A695,Spring!$A:$A,FALSE),MATCH(All!AA$1,Spring!$1:$1,FALSE))="","",INDEX(Spring!$1:$1048576,MATCH(All!$A695,Spring!$A:$A,FALSE),MATCH(All!AA$1,Spring!$1:$1,FALSE))),"")</f>
        <v/>
      </c>
      <c r="AB695" t="str">
        <f>IFERROR(IF(INDEX(Spring!$1:$1048576,MATCH(All!$A695,Spring!$A:$A,FALSE),MATCH(All!AB$1,Spring!$1:$1,FALSE))="","",INDEX(Spring!$1:$1048576,MATCH(All!$A695,Spring!$A:$A,FALSE),MATCH(All!AB$1,Spring!$1:$1,FALSE))),"")</f>
        <v>1A</v>
      </c>
      <c r="AC695" t="str">
        <f>IFERROR(IF(INDEX(Spring!$1:$1048576,MATCH(All!$A695,Spring!$A:$A,FALSE),MATCH(All!AC$1,Spring!$1:$1,FALSE))="","",INDEX(Spring!$1:$1048576,MATCH(All!$A695,Spring!$A:$A,FALSE),MATCH(All!AC$1,Spring!$1:$1,FALSE))),"")</f>
        <v>1A</v>
      </c>
      <c r="AD695" t="str">
        <f>IFERROR(VLOOKUP(A695,'Flag Football'!A:A,1,FALSE),"")</f>
        <v/>
      </c>
      <c r="AE695" t="str">
        <f t="shared" si="10"/>
        <v/>
      </c>
    </row>
    <row r="696" spans="1:31" ht="15.75" thickBot="1" x14ac:dyDescent="0.3">
      <c r="A696" s="20" t="s">
        <v>802</v>
      </c>
      <c r="B696" s="38">
        <f>IFERROR(VLOOKUP(A696,'Public v Private'!A:G,3,FALSE),"")</f>
        <v>0</v>
      </c>
      <c r="C696" s="38">
        <f>IFERROR(VLOOKUP(A696,'Public v Private'!A:G,4,FALSE),"")</f>
        <v>0</v>
      </c>
      <c r="D696" s="38">
        <f>IFERROR(VLOOKUP(A696,'Public v Private'!A:G,5,FALSE),"")</f>
        <v>0</v>
      </c>
      <c r="E696" s="38"/>
      <c r="F696" s="40">
        <f>IFERROR(INDEX(Fall!$1:$1048576,MATCH(All!$A696,Fall!$A:$A,FALSE),MATCH(All!F$1,Fall!$1:$1,FALSE)),"N/A")</f>
        <v>144</v>
      </c>
      <c r="G696" t="str">
        <f>IFERROR(IF(INDEX(Fall!$1:$1048576,MATCH(All!$A696,Fall!$A:$A,FALSE),MATCH(All!G$1,Fall!$1:$1,FALSE))="","",INDEX(Fall!$1:$1048576,MATCH(All!$A696,Fall!$A:$A,FALSE),MATCH(All!G$1,Fall!$1:$1,FALSE))),"")</f>
        <v>1A</v>
      </c>
      <c r="H696" t="str">
        <f>IFERROR(IF(INDEX(Fall!$1:$1048576,MATCH(All!$A696,Fall!$A:$A,FALSE),MATCH(All!H$1,Fall!$1:$1,FALSE))="","",INDEX(Fall!$1:$1048576,MATCH(All!$A696,Fall!$A:$A,FALSE),MATCH(All!H$1,Fall!$1:$1,FALSE))),"")</f>
        <v/>
      </c>
      <c r="I696" t="str">
        <f>IFERROR(IF(INDEX(Fall!$1:$1048576,MATCH(All!$A696,Fall!$A:$A,FALSE),MATCH(All!I$1,Fall!$1:$1,FALSE))="","",INDEX(Fall!$1:$1048576,MATCH(All!$A696,Fall!$A:$A,FALSE),MATCH(All!I$1,Fall!$1:$1,FALSE))),"")</f>
        <v>1A</v>
      </c>
      <c r="J696" t="str">
        <f>IFERROR(IF(INDEX(Fall!$1:$1048576,MATCH(All!$A696,Fall!$A:$A,FALSE),MATCH(All!J$1,Fall!$1:$1,FALSE))="","",INDEX(Fall!$1:$1048576,MATCH(All!$A696,Fall!$A:$A,FALSE),MATCH(All!J$1,Fall!$1:$1,FALSE))),"")</f>
        <v>1A</v>
      </c>
      <c r="K696" t="str">
        <f>IFERROR(IF(INDEX(Fall!$1:$1048576,MATCH(All!$A696,Fall!$A:$A,FALSE),MATCH(All!K$1,Fall!$1:$1,FALSE))="","",INDEX(Fall!$1:$1048576,MATCH(All!$A696,Fall!$A:$A,FALSE),MATCH(All!K$1,Fall!$1:$1,FALSE))),"")</f>
        <v/>
      </c>
      <c r="L696" t="str">
        <f>IFERROR(IF(INDEX(Fall!$1:$1048576,MATCH(All!$A696,Fall!$A:$A,FALSE),MATCH(All!L$1,Fall!$1:$1,FALSE))="","",INDEX(Fall!$1:$1048576,MATCH(All!$A696,Fall!$A:$A,FALSE),MATCH(All!L$1,Fall!$1:$1,FALSE))),"")</f>
        <v/>
      </c>
      <c r="M696" t="str">
        <f>IFERROR(IF(INDEX(Fall!$1:$1048576,MATCH(All!$A696,Fall!$A:$A,FALSE),MATCH(All!M$1,Fall!$1:$1,FALSE))="","",INDEX(Fall!$1:$1048576,MATCH(All!$A696,Fall!$A:$A,FALSE),MATCH(All!M$1,Fall!$1:$1,FALSE))),"")</f>
        <v>1A</v>
      </c>
      <c r="O696">
        <f>IFERROR(IF(INDEX(Winter!$1:$1048576,MATCH(All!$A696,Winter!$A:$A,FALSE),MATCH(All!O$1,Winter!$1:$1,FALSE))="","",INDEX(Winter!$1:$1048576,MATCH(All!$A696,Winter!$A:$A,FALSE),MATCH(All!O$1,Winter!$1:$1,FALSE))),"")</f>
        <v>144</v>
      </c>
      <c r="P696" t="str">
        <f>IFERROR(IF(INDEX(Winter!$1:$1048576,MATCH(All!$A696,Winter!$A:$A,FALSE),MATCH(All!P$1,Winter!$1:$1,FALSE))="","",INDEX(Winter!$1:$1048576,MATCH(All!$A696,Winter!$A:$A,FALSE),MATCH(All!P$1,Winter!$1:$1,FALSE))),"")</f>
        <v>1A</v>
      </c>
      <c r="Q696" t="str">
        <f>IFERROR(IF(INDEX(Winter!$1:$1048576,MATCH(All!$A696,Winter!$A:$A,FALSE),MATCH(All!Q$1,Winter!$1:$1,FALSE))="","",INDEX(Winter!$1:$1048576,MATCH(All!$A696,Winter!$A:$A,FALSE),MATCH(All!Q$1,Winter!$1:$1,FALSE))),"")</f>
        <v>1A</v>
      </c>
      <c r="R696" t="str">
        <f>IFERROR(IF(INDEX(Winter!$1:$1048576,MATCH(All!$A696,Winter!$A:$A,FALSE),MATCH(All!R$1,Winter!$1:$1,FALSE))="","",INDEX(Winter!$1:$1048576,MATCH(All!$A696,Winter!$A:$A,FALSE),MATCH(All!R$1,Winter!$1:$1,FALSE))),"")</f>
        <v/>
      </c>
      <c r="S696" t="str">
        <f>IFERROR(IF(INDEX(Winter!$1:$1048576,MATCH(All!$A696,Winter!$A:$A,FALSE),MATCH(All!S$1,Winter!$1:$1,FALSE))="","",INDEX(Winter!$1:$1048576,MATCH(All!$A696,Winter!$A:$A,FALSE),MATCH(All!S$1,Winter!$1:$1,FALSE))),"")</f>
        <v/>
      </c>
      <c r="T696" t="str">
        <f>IFERROR(IF(INDEX(Winter!$1:$1048576,MATCH(All!$A696,Winter!$A:$A,FALSE),MATCH(All!T$1,Winter!$1:$1,FALSE))="","",INDEX(Winter!$1:$1048576,MATCH(All!$A696,Winter!$A:$A,FALSE),MATCH(All!T$1,Winter!$1:$1,FALSE))),"")</f>
        <v/>
      </c>
      <c r="U696" t="str">
        <f>IFERROR(IF(INDEX(Winter!$1:$1048576,MATCH(All!$A696,Winter!$A:$A,FALSE),MATCH(All!U$1,Winter!$1:$1,FALSE))="","",INDEX(Winter!$1:$1048576,MATCH(All!$A696,Winter!$A:$A,FALSE),MATCH(All!U$1,Winter!$1:$1,FALSE))),"")</f>
        <v/>
      </c>
      <c r="W696">
        <f>IFERROR(IF(INDEX(Spring!$1:$1048576,MATCH(All!$A696,Spring!$A:$A,FALSE),MATCH(All!W$1,Spring!$1:$1,FALSE))="","",INDEX(Spring!$1:$1048576,MATCH(All!$A696,Spring!$A:$A,FALSE),MATCH(All!W$1,Spring!$1:$1,FALSE))),"")</f>
        <v>144</v>
      </c>
      <c r="X696" t="str">
        <f>IFERROR(IF(INDEX(Spring!$1:$1048576,MATCH(All!$A696,Spring!$A:$A,FALSE),MATCH(All!X$1,Spring!$1:$1,FALSE))="","",INDEX(Spring!$1:$1048576,MATCH(All!$A696,Spring!$A:$A,FALSE),MATCH(All!X$1,Spring!$1:$1,FALSE))),"")</f>
        <v>1A</v>
      </c>
      <c r="Y696" t="str">
        <f>IFERROR(IF(INDEX(Spring!$1:$1048576,MATCH(All!$A696,Spring!$A:$A,FALSE),MATCH(All!Y$1,Spring!$1:$1,FALSE))="","",INDEX(Spring!$1:$1048576,MATCH(All!$A696,Spring!$A:$A,FALSE),MATCH(All!Y$1,Spring!$1:$1,FALSE))),"")</f>
        <v>1A</v>
      </c>
      <c r="Z696" t="str">
        <f>IFERROR(IF(INDEX(Spring!$1:$1048576,MATCH(All!$A696,Spring!$A:$A,FALSE),MATCH(All!Z$1,Spring!$1:$1,FALSE))="","",INDEX(Spring!$1:$1048576,MATCH(All!$A696,Spring!$A:$A,FALSE),MATCH(All!Z$1,Spring!$1:$1,FALSE))),"")</f>
        <v/>
      </c>
      <c r="AA696" t="str">
        <f>IFERROR(IF(INDEX(Spring!$1:$1048576,MATCH(All!$A696,Spring!$A:$A,FALSE),MATCH(All!AA$1,Spring!$1:$1,FALSE))="","",INDEX(Spring!$1:$1048576,MATCH(All!$A696,Spring!$A:$A,FALSE),MATCH(All!AA$1,Spring!$1:$1,FALSE))),"")</f>
        <v/>
      </c>
      <c r="AB696" t="str">
        <f>IFERROR(IF(INDEX(Spring!$1:$1048576,MATCH(All!$A696,Spring!$A:$A,FALSE),MATCH(All!AB$1,Spring!$1:$1,FALSE))="","",INDEX(Spring!$1:$1048576,MATCH(All!$A696,Spring!$A:$A,FALSE),MATCH(All!AB$1,Spring!$1:$1,FALSE))),"")</f>
        <v>1A</v>
      </c>
      <c r="AC696" t="str">
        <f>IFERROR(IF(INDEX(Spring!$1:$1048576,MATCH(All!$A696,Spring!$A:$A,FALSE),MATCH(All!AC$1,Spring!$1:$1,FALSE))="","",INDEX(Spring!$1:$1048576,MATCH(All!$A696,Spring!$A:$A,FALSE),MATCH(All!AC$1,Spring!$1:$1,FALSE))),"")</f>
        <v>1A</v>
      </c>
      <c r="AD696" t="str">
        <f>IFERROR(VLOOKUP(A696,'Flag Football'!A:A,1,FALSE),"")</f>
        <v/>
      </c>
      <c r="AE696" t="str">
        <f t="shared" si="10"/>
        <v/>
      </c>
    </row>
    <row r="697" spans="1:31" ht="15.75" thickBot="1" x14ac:dyDescent="0.3">
      <c r="A697" s="18" t="s">
        <v>803</v>
      </c>
      <c r="B697" s="38">
        <f>IFERROR(VLOOKUP(A697,'Public v Private'!A:G,3,FALSE),"")</f>
        <v>0</v>
      </c>
      <c r="C697" s="38">
        <f>IFERROR(VLOOKUP(A697,'Public v Private'!A:G,4,FALSE),"")</f>
        <v>0</v>
      </c>
      <c r="D697" s="38">
        <f>IFERROR(VLOOKUP(A697,'Public v Private'!A:G,5,FALSE),"")</f>
        <v>0</v>
      </c>
      <c r="E697" s="38"/>
      <c r="F697" s="40">
        <f>IFERROR(INDEX(Fall!$1:$1048576,MATCH(All!$A697,Fall!$A:$A,FALSE),MATCH(All!F$1,Fall!$1:$1,FALSE)),"N/A")</f>
        <v>944</v>
      </c>
      <c r="G697" t="str">
        <f>IFERROR(IF(INDEX(Fall!$1:$1048576,MATCH(All!$A697,Fall!$A:$A,FALSE),MATCH(All!G$1,Fall!$1:$1,FALSE))="","",INDEX(Fall!$1:$1048576,MATCH(All!$A697,Fall!$A:$A,FALSE),MATCH(All!G$1,Fall!$1:$1,FALSE))),"")</f>
        <v>2A</v>
      </c>
      <c r="H697" t="str">
        <f>IFERROR(IF(INDEX(Fall!$1:$1048576,MATCH(All!$A697,Fall!$A:$A,FALSE),MATCH(All!H$1,Fall!$1:$1,FALSE))="","",INDEX(Fall!$1:$1048576,MATCH(All!$A697,Fall!$A:$A,FALSE),MATCH(All!H$1,Fall!$1:$1,FALSE))),"")</f>
        <v>2A</v>
      </c>
      <c r="I697" t="str">
        <f>IFERROR(IF(INDEX(Fall!$1:$1048576,MATCH(All!$A697,Fall!$A:$A,FALSE),MATCH(All!I$1,Fall!$1:$1,FALSE))="","",INDEX(Fall!$1:$1048576,MATCH(All!$A697,Fall!$A:$A,FALSE),MATCH(All!I$1,Fall!$1:$1,FALSE))),"")</f>
        <v>2A</v>
      </c>
      <c r="J697" t="str">
        <f>IFERROR(IF(INDEX(Fall!$1:$1048576,MATCH(All!$A697,Fall!$A:$A,FALSE),MATCH(All!J$1,Fall!$1:$1,FALSE))="","",INDEX(Fall!$1:$1048576,MATCH(All!$A697,Fall!$A:$A,FALSE),MATCH(All!J$1,Fall!$1:$1,FALSE))),"")</f>
        <v>2A</v>
      </c>
      <c r="K697" t="str">
        <f>IFERROR(IF(INDEX(Fall!$1:$1048576,MATCH(All!$A697,Fall!$A:$A,FALSE),MATCH(All!K$1,Fall!$1:$1,FALSE))="","",INDEX(Fall!$1:$1048576,MATCH(All!$A697,Fall!$A:$A,FALSE),MATCH(All!K$1,Fall!$1:$1,FALSE))),"")</f>
        <v>2A</v>
      </c>
      <c r="L697" t="str">
        <f>IFERROR(IF(INDEX(Fall!$1:$1048576,MATCH(All!$A697,Fall!$A:$A,FALSE),MATCH(All!L$1,Fall!$1:$1,FALSE))="","",INDEX(Fall!$1:$1048576,MATCH(All!$A697,Fall!$A:$A,FALSE),MATCH(All!L$1,Fall!$1:$1,FALSE))),"")</f>
        <v>1A</v>
      </c>
      <c r="M697" t="str">
        <f>IFERROR(IF(INDEX(Fall!$1:$1048576,MATCH(All!$A697,Fall!$A:$A,FALSE),MATCH(All!M$1,Fall!$1:$1,FALSE))="","",INDEX(Fall!$1:$1048576,MATCH(All!$A697,Fall!$A:$A,FALSE),MATCH(All!M$1,Fall!$1:$1,FALSE))),"")</f>
        <v>3A</v>
      </c>
      <c r="O697">
        <f>IFERROR(IF(INDEX(Winter!$1:$1048576,MATCH(All!$A697,Winter!$A:$A,FALSE),MATCH(All!O$1,Winter!$1:$1,FALSE))="","",INDEX(Winter!$1:$1048576,MATCH(All!$A697,Winter!$A:$A,FALSE),MATCH(All!O$1,Winter!$1:$1,FALSE))),"")</f>
        <v>944</v>
      </c>
      <c r="P697" t="str">
        <f>IFERROR(IF(INDEX(Winter!$1:$1048576,MATCH(All!$A697,Winter!$A:$A,FALSE),MATCH(All!P$1,Winter!$1:$1,FALSE))="","",INDEX(Winter!$1:$1048576,MATCH(All!$A697,Winter!$A:$A,FALSE),MATCH(All!P$1,Winter!$1:$1,FALSE))),"")</f>
        <v>3A</v>
      </c>
      <c r="Q697" t="str">
        <f>IFERROR(IF(INDEX(Winter!$1:$1048576,MATCH(All!$A697,Winter!$A:$A,FALSE),MATCH(All!Q$1,Winter!$1:$1,FALSE))="","",INDEX(Winter!$1:$1048576,MATCH(All!$A697,Winter!$A:$A,FALSE),MATCH(All!Q$1,Winter!$1:$1,FALSE))),"")</f>
        <v>3A</v>
      </c>
      <c r="R697" t="str">
        <f>IFERROR(IF(INDEX(Winter!$1:$1048576,MATCH(All!$A697,Winter!$A:$A,FALSE),MATCH(All!R$1,Winter!$1:$1,FALSE))="","",INDEX(Winter!$1:$1048576,MATCH(All!$A697,Winter!$A:$A,FALSE),MATCH(All!R$1,Winter!$1:$1,FALSE))),"")</f>
        <v>2A</v>
      </c>
      <c r="S697" t="str">
        <f>IFERROR(IF(INDEX(Winter!$1:$1048576,MATCH(All!$A697,Winter!$A:$A,FALSE),MATCH(All!S$1,Winter!$1:$1,FALSE))="","",INDEX(Winter!$1:$1048576,MATCH(All!$A697,Winter!$A:$A,FALSE),MATCH(All!S$1,Winter!$1:$1,FALSE))),"")</f>
        <v>1A</v>
      </c>
      <c r="T697" t="str">
        <f>IFERROR(IF(INDEX(Winter!$1:$1048576,MATCH(All!$A697,Winter!$A:$A,FALSE),MATCH(All!T$1,Winter!$1:$1,FALSE))="","",INDEX(Winter!$1:$1048576,MATCH(All!$A697,Winter!$A:$A,FALSE),MATCH(All!T$1,Winter!$1:$1,FALSE))),"")</f>
        <v>2A</v>
      </c>
      <c r="U697" t="str">
        <f>IFERROR(IF(INDEX(Winter!$1:$1048576,MATCH(All!$A697,Winter!$A:$A,FALSE),MATCH(All!U$1,Winter!$1:$1,FALSE))="","",INDEX(Winter!$1:$1048576,MATCH(All!$A697,Winter!$A:$A,FALSE),MATCH(All!U$1,Winter!$1:$1,FALSE))),"")</f>
        <v>2A</v>
      </c>
      <c r="W697">
        <f>IFERROR(IF(INDEX(Spring!$1:$1048576,MATCH(All!$A697,Spring!$A:$A,FALSE),MATCH(All!W$1,Spring!$1:$1,FALSE))="","",INDEX(Spring!$1:$1048576,MATCH(All!$A697,Spring!$A:$A,FALSE),MATCH(All!W$1,Spring!$1:$1,FALSE))),"")</f>
        <v>944</v>
      </c>
      <c r="X697" t="str">
        <f>IFERROR(IF(INDEX(Spring!$1:$1048576,MATCH(All!$A697,Spring!$A:$A,FALSE),MATCH(All!X$1,Spring!$1:$1,FALSE))="","",INDEX(Spring!$1:$1048576,MATCH(All!$A697,Spring!$A:$A,FALSE),MATCH(All!X$1,Spring!$1:$1,FALSE))),"")</f>
        <v>3A</v>
      </c>
      <c r="Y697" t="str">
        <f>IFERROR(IF(INDEX(Spring!$1:$1048576,MATCH(All!$A697,Spring!$A:$A,FALSE),MATCH(All!Y$1,Spring!$1:$1,FALSE))="","",INDEX(Spring!$1:$1048576,MATCH(All!$A697,Spring!$A:$A,FALSE),MATCH(All!Y$1,Spring!$1:$1,FALSE))),"")</f>
        <v>3A</v>
      </c>
      <c r="Z697" t="str">
        <f>IFERROR(IF(INDEX(Spring!$1:$1048576,MATCH(All!$A697,Spring!$A:$A,FALSE),MATCH(All!Z$1,Spring!$1:$1,FALSE))="","",INDEX(Spring!$1:$1048576,MATCH(All!$A697,Spring!$A:$A,FALSE),MATCH(All!Z$1,Spring!$1:$1,FALSE))),"")</f>
        <v>2A</v>
      </c>
      <c r="AA697" t="str">
        <f>IFERROR(IF(INDEX(Spring!$1:$1048576,MATCH(All!$A697,Spring!$A:$A,FALSE),MATCH(All!AA$1,Spring!$1:$1,FALSE))="","",INDEX(Spring!$1:$1048576,MATCH(All!$A697,Spring!$A:$A,FALSE),MATCH(All!AA$1,Spring!$1:$1,FALSE))),"")</f>
        <v>1A</v>
      </c>
      <c r="AB697" t="str">
        <f>IFERROR(IF(INDEX(Spring!$1:$1048576,MATCH(All!$A697,Spring!$A:$A,FALSE),MATCH(All!AB$1,Spring!$1:$1,FALSE))="","",INDEX(Spring!$1:$1048576,MATCH(All!$A697,Spring!$A:$A,FALSE),MATCH(All!AB$1,Spring!$1:$1,FALSE))),"")</f>
        <v>2A</v>
      </c>
      <c r="AC697" t="str">
        <f>IFERROR(IF(INDEX(Spring!$1:$1048576,MATCH(All!$A697,Spring!$A:$A,FALSE),MATCH(All!AC$1,Spring!$1:$1,FALSE))="","",INDEX(Spring!$1:$1048576,MATCH(All!$A697,Spring!$A:$A,FALSE),MATCH(All!AC$1,Spring!$1:$1,FALSE))),"")</f>
        <v>2A</v>
      </c>
      <c r="AD697" t="str">
        <f>IFERROR(VLOOKUP(A697,'Flag Football'!A:A,1,FALSE),"")</f>
        <v/>
      </c>
      <c r="AE697" t="str">
        <f t="shared" si="10"/>
        <v/>
      </c>
    </row>
    <row r="698" spans="1:31" ht="15.75" thickBot="1" x14ac:dyDescent="0.3">
      <c r="A698" s="20" t="s">
        <v>804</v>
      </c>
      <c r="B698" s="38" t="str">
        <f>IFERROR(VLOOKUP(A698,'Public v Private'!A:G,3,FALSE),"")</f>
        <v>private</v>
      </c>
      <c r="C698" s="38">
        <f>IFERROR(VLOOKUP(A698,'Public v Private'!A:G,4,FALSE),"")</f>
        <v>4</v>
      </c>
      <c r="D698" s="38">
        <f>IFERROR(VLOOKUP(A698,'Public v Private'!A:G,5,FALSE),"")</f>
        <v>11</v>
      </c>
      <c r="E698" s="38"/>
      <c r="F698" s="40" t="str">
        <f>IFERROR(INDEX(Fall!$1:$1048576,MATCH(All!$A698,Fall!$A:$A,FALSE),MATCH(All!F$1,Fall!$1:$1,FALSE)),"N/A")</f>
        <v>183.00 (301.95)</v>
      </c>
      <c r="G698" t="str">
        <f>IFERROR(IF(INDEX(Fall!$1:$1048576,MATCH(All!$A698,Fall!$A:$A,FALSE),MATCH(All!G$1,Fall!$1:$1,FALSE))="","",INDEX(Fall!$1:$1048576,MATCH(All!$A698,Fall!$A:$A,FALSE),MATCH(All!G$1,Fall!$1:$1,FALSE))),"")</f>
        <v/>
      </c>
      <c r="H698" t="str">
        <f>IFERROR(IF(INDEX(Fall!$1:$1048576,MATCH(All!$A698,Fall!$A:$A,FALSE),MATCH(All!H$1,Fall!$1:$1,FALSE))="","",INDEX(Fall!$1:$1048576,MATCH(All!$A698,Fall!$A:$A,FALSE),MATCH(All!H$1,Fall!$1:$1,FALSE))),"")</f>
        <v/>
      </c>
      <c r="I698" t="str">
        <f>IFERROR(IF(INDEX(Fall!$1:$1048576,MATCH(All!$A698,Fall!$A:$A,FALSE),MATCH(All!I$1,Fall!$1:$1,FALSE))="","",INDEX(Fall!$1:$1048576,MATCH(All!$A698,Fall!$A:$A,FALSE),MATCH(All!I$1,Fall!$1:$1,FALSE))),"")</f>
        <v>1A</v>
      </c>
      <c r="J698" t="str">
        <f>IFERROR(IF(INDEX(Fall!$1:$1048576,MATCH(All!$A698,Fall!$A:$A,FALSE),MATCH(All!J$1,Fall!$1:$1,FALSE))="","",INDEX(Fall!$1:$1048576,MATCH(All!$A698,Fall!$A:$A,FALSE),MATCH(All!J$1,Fall!$1:$1,FALSE))),"")</f>
        <v>1A</v>
      </c>
      <c r="K698" t="str">
        <f>IFERROR(IF(INDEX(Fall!$1:$1048576,MATCH(All!$A698,Fall!$A:$A,FALSE),MATCH(All!K$1,Fall!$1:$1,FALSE))="","",INDEX(Fall!$1:$1048576,MATCH(All!$A698,Fall!$A:$A,FALSE),MATCH(All!K$1,Fall!$1:$1,FALSE))),"")</f>
        <v/>
      </c>
      <c r="L698" t="str">
        <f>IFERROR(IF(INDEX(Fall!$1:$1048576,MATCH(All!$A698,Fall!$A:$A,FALSE),MATCH(All!L$1,Fall!$1:$1,FALSE))="","",INDEX(Fall!$1:$1048576,MATCH(All!$A698,Fall!$A:$A,FALSE),MATCH(All!L$1,Fall!$1:$1,FALSE))),"")</f>
        <v>1A</v>
      </c>
      <c r="M698" t="str">
        <f>IFERROR(IF(INDEX(Fall!$1:$1048576,MATCH(All!$A698,Fall!$A:$A,FALSE),MATCH(All!M$1,Fall!$1:$1,FALSE))="","",INDEX(Fall!$1:$1048576,MATCH(All!$A698,Fall!$A:$A,FALSE),MATCH(All!M$1,Fall!$1:$1,FALSE))),"")</f>
        <v>2A</v>
      </c>
      <c r="O698" t="str">
        <f>IFERROR(IF(INDEX(Winter!$1:$1048576,MATCH(All!$A698,Winter!$A:$A,FALSE),MATCH(All!O$1,Winter!$1:$1,FALSE))="","",INDEX(Winter!$1:$1048576,MATCH(All!$A698,Winter!$A:$A,FALSE),MATCH(All!O$1,Winter!$1:$1,FALSE))),"")</f>
        <v>183.00 (301.95)</v>
      </c>
      <c r="P698" t="str">
        <f>IFERROR(IF(INDEX(Winter!$1:$1048576,MATCH(All!$A698,Winter!$A:$A,FALSE),MATCH(All!P$1,Winter!$1:$1,FALSE))="","",INDEX(Winter!$1:$1048576,MATCH(All!$A698,Winter!$A:$A,FALSE),MATCH(All!P$1,Winter!$1:$1,FALSE))),"")</f>
        <v>1A</v>
      </c>
      <c r="Q698" t="str">
        <f>IFERROR(IF(INDEX(Winter!$1:$1048576,MATCH(All!$A698,Winter!$A:$A,FALSE),MATCH(All!Q$1,Winter!$1:$1,FALSE))="","",INDEX(Winter!$1:$1048576,MATCH(All!$A698,Winter!$A:$A,FALSE),MATCH(All!Q$1,Winter!$1:$1,FALSE))),"")</f>
        <v>1A</v>
      </c>
      <c r="R698" t="str">
        <f>IFERROR(IF(INDEX(Winter!$1:$1048576,MATCH(All!$A698,Winter!$A:$A,FALSE),MATCH(All!R$1,Winter!$1:$1,FALSE))="","",INDEX(Winter!$1:$1048576,MATCH(All!$A698,Winter!$A:$A,FALSE),MATCH(All!R$1,Winter!$1:$1,FALSE))),"")</f>
        <v/>
      </c>
      <c r="S698" t="str">
        <f>IFERROR(IF(INDEX(Winter!$1:$1048576,MATCH(All!$A698,Winter!$A:$A,FALSE),MATCH(All!S$1,Winter!$1:$1,FALSE))="","",INDEX(Winter!$1:$1048576,MATCH(All!$A698,Winter!$A:$A,FALSE),MATCH(All!S$1,Winter!$1:$1,FALSE))),"")</f>
        <v/>
      </c>
      <c r="T698" t="str">
        <f>IFERROR(IF(INDEX(Winter!$1:$1048576,MATCH(All!$A698,Winter!$A:$A,FALSE),MATCH(All!T$1,Winter!$1:$1,FALSE))="","",INDEX(Winter!$1:$1048576,MATCH(All!$A698,Winter!$A:$A,FALSE),MATCH(All!T$1,Winter!$1:$1,FALSE))),"")</f>
        <v>1A</v>
      </c>
      <c r="U698" t="str">
        <f>IFERROR(IF(INDEX(Winter!$1:$1048576,MATCH(All!$A698,Winter!$A:$A,FALSE),MATCH(All!U$1,Winter!$1:$1,FALSE))="","",INDEX(Winter!$1:$1048576,MATCH(All!$A698,Winter!$A:$A,FALSE),MATCH(All!U$1,Winter!$1:$1,FALSE))),"")</f>
        <v>1A</v>
      </c>
      <c r="W698" t="str">
        <f>IFERROR(IF(INDEX(Spring!$1:$1048576,MATCH(All!$A698,Spring!$A:$A,FALSE),MATCH(All!W$1,Spring!$1:$1,FALSE))="","",INDEX(Spring!$1:$1048576,MATCH(All!$A698,Spring!$A:$A,FALSE),MATCH(All!W$1,Spring!$1:$1,FALSE))),"")</f>
        <v>183.00 (301.95)</v>
      </c>
      <c r="X698" t="str">
        <f>IFERROR(IF(INDEX(Spring!$1:$1048576,MATCH(All!$A698,Spring!$A:$A,FALSE),MATCH(All!X$1,Spring!$1:$1,FALSE))="","",INDEX(Spring!$1:$1048576,MATCH(All!$A698,Spring!$A:$A,FALSE),MATCH(All!X$1,Spring!$1:$1,FALSE))),"")</f>
        <v>3A</v>
      </c>
      <c r="Y698" t="str">
        <f>IFERROR(IF(INDEX(Spring!$1:$1048576,MATCH(All!$A698,Spring!$A:$A,FALSE),MATCH(All!Y$1,Spring!$1:$1,FALSE))="","",INDEX(Spring!$1:$1048576,MATCH(All!$A698,Spring!$A:$A,FALSE),MATCH(All!Y$1,Spring!$1:$1,FALSE))),"")</f>
        <v>1A</v>
      </c>
      <c r="Z698" t="str">
        <f>IFERROR(IF(INDEX(Spring!$1:$1048576,MATCH(All!$A698,Spring!$A:$A,FALSE),MATCH(All!Z$1,Spring!$1:$1,FALSE))="","",INDEX(Spring!$1:$1048576,MATCH(All!$A698,Spring!$A:$A,FALSE),MATCH(All!Z$1,Spring!$1:$1,FALSE))),"")</f>
        <v/>
      </c>
      <c r="AA698" t="str">
        <f>IFERROR(IF(INDEX(Spring!$1:$1048576,MATCH(All!$A698,Spring!$A:$A,FALSE),MATCH(All!AA$1,Spring!$1:$1,FALSE))="","",INDEX(Spring!$1:$1048576,MATCH(All!$A698,Spring!$A:$A,FALSE),MATCH(All!AA$1,Spring!$1:$1,FALSE))),"")</f>
        <v>1A</v>
      </c>
      <c r="AB698" t="str">
        <f>IFERROR(IF(INDEX(Spring!$1:$1048576,MATCH(All!$A698,Spring!$A:$A,FALSE),MATCH(All!AB$1,Spring!$1:$1,FALSE))="","",INDEX(Spring!$1:$1048576,MATCH(All!$A698,Spring!$A:$A,FALSE),MATCH(All!AB$1,Spring!$1:$1,FALSE))),"")</f>
        <v>1A</v>
      </c>
      <c r="AC698" t="str">
        <f>IFERROR(IF(INDEX(Spring!$1:$1048576,MATCH(All!$A698,Spring!$A:$A,FALSE),MATCH(All!AC$1,Spring!$1:$1,FALSE))="","",INDEX(Spring!$1:$1048576,MATCH(All!$A698,Spring!$A:$A,FALSE),MATCH(All!AC$1,Spring!$1:$1,FALSE))),"")</f>
        <v>1A</v>
      </c>
      <c r="AD698" t="str">
        <f>IFERROR(VLOOKUP(A698,'Flag Football'!A:A,1,FALSE),"")</f>
        <v/>
      </c>
      <c r="AE698" t="str">
        <f t="shared" si="10"/>
        <v/>
      </c>
    </row>
    <row r="699" spans="1:31" ht="15.75" thickBot="1" x14ac:dyDescent="0.3">
      <c r="A699" s="18" t="s">
        <v>806</v>
      </c>
      <c r="B699" s="38">
        <f>IFERROR(VLOOKUP(A699,'Public v Private'!A:G,3,FALSE),"")</f>
        <v>0</v>
      </c>
      <c r="C699" s="38">
        <f>IFERROR(VLOOKUP(A699,'Public v Private'!A:G,4,FALSE),"")</f>
        <v>0</v>
      </c>
      <c r="D699" s="38">
        <f>IFERROR(VLOOKUP(A699,'Public v Private'!A:G,5,FALSE),"")</f>
        <v>0</v>
      </c>
      <c r="E699" s="38"/>
      <c r="F699" s="40">
        <f>IFERROR(INDEX(Fall!$1:$1048576,MATCH(All!$A699,Fall!$A:$A,FALSE),MATCH(All!F$1,Fall!$1:$1,FALSE)),"N/A")</f>
        <v>419</v>
      </c>
      <c r="G699" t="str">
        <f>IFERROR(IF(INDEX(Fall!$1:$1048576,MATCH(All!$A699,Fall!$A:$A,FALSE),MATCH(All!G$1,Fall!$1:$1,FALSE))="","",INDEX(Fall!$1:$1048576,MATCH(All!$A699,Fall!$A:$A,FALSE),MATCH(All!G$1,Fall!$1:$1,FALSE))),"")</f>
        <v>1A</v>
      </c>
      <c r="H699" t="str">
        <f>IFERROR(IF(INDEX(Fall!$1:$1048576,MATCH(All!$A699,Fall!$A:$A,FALSE),MATCH(All!H$1,Fall!$1:$1,FALSE))="","",INDEX(Fall!$1:$1048576,MATCH(All!$A699,Fall!$A:$A,FALSE),MATCH(All!H$1,Fall!$1:$1,FALSE))),"")</f>
        <v>1A</v>
      </c>
      <c r="I699" t="str">
        <f>IFERROR(IF(INDEX(Fall!$1:$1048576,MATCH(All!$A699,Fall!$A:$A,FALSE),MATCH(All!I$1,Fall!$1:$1,FALSE))="","",INDEX(Fall!$1:$1048576,MATCH(All!$A699,Fall!$A:$A,FALSE),MATCH(All!I$1,Fall!$1:$1,FALSE))),"")</f>
        <v>1A</v>
      </c>
      <c r="J699" t="str">
        <f>IFERROR(IF(INDEX(Fall!$1:$1048576,MATCH(All!$A699,Fall!$A:$A,FALSE),MATCH(All!J$1,Fall!$1:$1,FALSE))="","",INDEX(Fall!$1:$1048576,MATCH(All!$A699,Fall!$A:$A,FALSE),MATCH(All!J$1,Fall!$1:$1,FALSE))),"")</f>
        <v>1A</v>
      </c>
      <c r="K699" t="str">
        <f>IFERROR(IF(INDEX(Fall!$1:$1048576,MATCH(All!$A699,Fall!$A:$A,FALSE),MATCH(All!K$1,Fall!$1:$1,FALSE))="","",INDEX(Fall!$1:$1048576,MATCH(All!$A699,Fall!$A:$A,FALSE),MATCH(All!K$1,Fall!$1:$1,FALSE))),"")</f>
        <v>1A</v>
      </c>
      <c r="L699" t="str">
        <f>IFERROR(IF(INDEX(Fall!$1:$1048576,MATCH(All!$A699,Fall!$A:$A,FALSE),MATCH(All!L$1,Fall!$1:$1,FALSE))="","",INDEX(Fall!$1:$1048576,MATCH(All!$A699,Fall!$A:$A,FALSE),MATCH(All!L$1,Fall!$1:$1,FALSE))),"")</f>
        <v/>
      </c>
      <c r="M699" t="str">
        <f>IFERROR(IF(INDEX(Fall!$1:$1048576,MATCH(All!$A699,Fall!$A:$A,FALSE),MATCH(All!M$1,Fall!$1:$1,FALSE))="","",INDEX(Fall!$1:$1048576,MATCH(All!$A699,Fall!$A:$A,FALSE),MATCH(All!M$1,Fall!$1:$1,FALSE))),"")</f>
        <v>2A</v>
      </c>
      <c r="O699">
        <f>IFERROR(IF(INDEX(Winter!$1:$1048576,MATCH(All!$A699,Winter!$A:$A,FALSE),MATCH(All!O$1,Winter!$1:$1,FALSE))="","",INDEX(Winter!$1:$1048576,MATCH(All!$A699,Winter!$A:$A,FALSE),MATCH(All!O$1,Winter!$1:$1,FALSE))),"")</f>
        <v>419</v>
      </c>
      <c r="P699" t="str">
        <f>IFERROR(IF(INDEX(Winter!$1:$1048576,MATCH(All!$A699,Winter!$A:$A,FALSE),MATCH(All!P$1,Winter!$1:$1,FALSE))="","",INDEX(Winter!$1:$1048576,MATCH(All!$A699,Winter!$A:$A,FALSE),MATCH(All!P$1,Winter!$1:$1,FALSE))),"")</f>
        <v>2A</v>
      </c>
      <c r="Q699" t="str">
        <f>IFERROR(IF(INDEX(Winter!$1:$1048576,MATCH(All!$A699,Winter!$A:$A,FALSE),MATCH(All!Q$1,Winter!$1:$1,FALSE))="","",INDEX(Winter!$1:$1048576,MATCH(All!$A699,Winter!$A:$A,FALSE),MATCH(All!Q$1,Winter!$1:$1,FALSE))),"")</f>
        <v>2A</v>
      </c>
      <c r="R699" t="str">
        <f>IFERROR(IF(INDEX(Winter!$1:$1048576,MATCH(All!$A699,Winter!$A:$A,FALSE),MATCH(All!R$1,Winter!$1:$1,FALSE))="","",INDEX(Winter!$1:$1048576,MATCH(All!$A699,Winter!$A:$A,FALSE),MATCH(All!R$1,Winter!$1:$1,FALSE))),"")</f>
        <v>1A</v>
      </c>
      <c r="S699" t="str">
        <f>IFERROR(IF(INDEX(Winter!$1:$1048576,MATCH(All!$A699,Winter!$A:$A,FALSE),MATCH(All!S$1,Winter!$1:$1,FALSE))="","",INDEX(Winter!$1:$1048576,MATCH(All!$A699,Winter!$A:$A,FALSE),MATCH(All!S$1,Winter!$1:$1,FALSE))),"")</f>
        <v/>
      </c>
      <c r="T699" t="str">
        <f>IFERROR(IF(INDEX(Winter!$1:$1048576,MATCH(All!$A699,Winter!$A:$A,FALSE),MATCH(All!T$1,Winter!$1:$1,FALSE))="","",INDEX(Winter!$1:$1048576,MATCH(All!$A699,Winter!$A:$A,FALSE),MATCH(All!T$1,Winter!$1:$1,FALSE))),"")</f>
        <v>1A</v>
      </c>
      <c r="U699" t="str">
        <f>IFERROR(IF(INDEX(Winter!$1:$1048576,MATCH(All!$A699,Winter!$A:$A,FALSE),MATCH(All!U$1,Winter!$1:$1,FALSE))="","",INDEX(Winter!$1:$1048576,MATCH(All!$A699,Winter!$A:$A,FALSE),MATCH(All!U$1,Winter!$1:$1,FALSE))),"")</f>
        <v>1A</v>
      </c>
      <c r="W699">
        <f>IFERROR(IF(INDEX(Spring!$1:$1048576,MATCH(All!$A699,Spring!$A:$A,FALSE),MATCH(All!W$1,Spring!$1:$1,FALSE))="","",INDEX(Spring!$1:$1048576,MATCH(All!$A699,Spring!$A:$A,FALSE),MATCH(All!W$1,Spring!$1:$1,FALSE))),"")</f>
        <v>419</v>
      </c>
      <c r="X699" t="str">
        <f>IFERROR(IF(INDEX(Spring!$1:$1048576,MATCH(All!$A699,Spring!$A:$A,FALSE),MATCH(All!X$1,Spring!$1:$1,FALSE))="","",INDEX(Spring!$1:$1048576,MATCH(All!$A699,Spring!$A:$A,FALSE),MATCH(All!X$1,Spring!$1:$1,FALSE))),"")</f>
        <v>2A</v>
      </c>
      <c r="Y699" t="str">
        <f>IFERROR(IF(INDEX(Spring!$1:$1048576,MATCH(All!$A699,Spring!$A:$A,FALSE),MATCH(All!Y$1,Spring!$1:$1,FALSE))="","",INDEX(Spring!$1:$1048576,MATCH(All!$A699,Spring!$A:$A,FALSE),MATCH(All!Y$1,Spring!$1:$1,FALSE))),"")</f>
        <v>2A</v>
      </c>
      <c r="Z699" t="str">
        <f>IFERROR(IF(INDEX(Spring!$1:$1048576,MATCH(All!$A699,Spring!$A:$A,FALSE),MATCH(All!Z$1,Spring!$1:$1,FALSE))="","",INDEX(Spring!$1:$1048576,MATCH(All!$A699,Spring!$A:$A,FALSE),MATCH(All!Z$1,Spring!$1:$1,FALSE))),"")</f>
        <v>1A</v>
      </c>
      <c r="AA699" t="str">
        <f>IFERROR(IF(INDEX(Spring!$1:$1048576,MATCH(All!$A699,Spring!$A:$A,FALSE),MATCH(All!AA$1,Spring!$1:$1,FALSE))="","",INDEX(Spring!$1:$1048576,MATCH(All!$A699,Spring!$A:$A,FALSE),MATCH(All!AA$1,Spring!$1:$1,FALSE))),"")</f>
        <v/>
      </c>
      <c r="AB699" t="str">
        <f>IFERROR(IF(INDEX(Spring!$1:$1048576,MATCH(All!$A699,Spring!$A:$A,FALSE),MATCH(All!AB$1,Spring!$1:$1,FALSE))="","",INDEX(Spring!$1:$1048576,MATCH(All!$A699,Spring!$A:$A,FALSE),MATCH(All!AB$1,Spring!$1:$1,FALSE))),"")</f>
        <v>1A</v>
      </c>
      <c r="AC699" t="str">
        <f>IFERROR(IF(INDEX(Spring!$1:$1048576,MATCH(All!$A699,Spring!$A:$A,FALSE),MATCH(All!AC$1,Spring!$1:$1,FALSE))="","",INDEX(Spring!$1:$1048576,MATCH(All!$A699,Spring!$A:$A,FALSE),MATCH(All!AC$1,Spring!$1:$1,FALSE))),"")</f>
        <v>1A</v>
      </c>
      <c r="AD699" t="str">
        <f>IFERROR(VLOOKUP(A699,'Flag Football'!A:A,1,FALSE),"")</f>
        <v/>
      </c>
      <c r="AE699" t="str">
        <f t="shared" si="10"/>
        <v/>
      </c>
    </row>
    <row r="700" spans="1:31" ht="15.75" thickBot="1" x14ac:dyDescent="0.3">
      <c r="A700" s="20" t="s">
        <v>807</v>
      </c>
      <c r="B700" s="38">
        <f>IFERROR(VLOOKUP(A700,'Public v Private'!A:G,3,FALSE),"")</f>
        <v>0</v>
      </c>
      <c r="C700" s="38">
        <f>IFERROR(VLOOKUP(A700,'Public v Private'!A:G,4,FALSE),"")</f>
        <v>0</v>
      </c>
      <c r="D700" s="38">
        <f>IFERROR(VLOOKUP(A700,'Public v Private'!A:G,5,FALSE),"")</f>
        <v>0</v>
      </c>
      <c r="E700" s="38"/>
      <c r="F700" s="40">
        <f>IFERROR(INDEX(Fall!$1:$1048576,MATCH(All!$A700,Fall!$A:$A,FALSE),MATCH(All!F$1,Fall!$1:$1,FALSE)),"N/A")</f>
        <v>165</v>
      </c>
      <c r="G700" t="str">
        <f>IFERROR(IF(INDEX(Fall!$1:$1048576,MATCH(All!$A700,Fall!$A:$A,FALSE),MATCH(All!G$1,Fall!$1:$1,FALSE))="","",INDEX(Fall!$1:$1048576,MATCH(All!$A700,Fall!$A:$A,FALSE),MATCH(All!G$1,Fall!$1:$1,FALSE))),"")</f>
        <v>1A</v>
      </c>
      <c r="H700" t="str">
        <f>IFERROR(IF(INDEX(Fall!$1:$1048576,MATCH(All!$A700,Fall!$A:$A,FALSE),MATCH(All!H$1,Fall!$1:$1,FALSE))="","",INDEX(Fall!$1:$1048576,MATCH(All!$A700,Fall!$A:$A,FALSE),MATCH(All!H$1,Fall!$1:$1,FALSE))),"")</f>
        <v>1A</v>
      </c>
      <c r="I700" t="str">
        <f>IFERROR(IF(INDEX(Fall!$1:$1048576,MATCH(All!$A700,Fall!$A:$A,FALSE),MATCH(All!I$1,Fall!$1:$1,FALSE))="","",INDEX(Fall!$1:$1048576,MATCH(All!$A700,Fall!$A:$A,FALSE),MATCH(All!I$1,Fall!$1:$1,FALSE))),"")</f>
        <v>1A</v>
      </c>
      <c r="J700" t="str">
        <f>IFERROR(IF(INDEX(Fall!$1:$1048576,MATCH(All!$A700,Fall!$A:$A,FALSE),MATCH(All!J$1,Fall!$1:$1,FALSE))="","",INDEX(Fall!$1:$1048576,MATCH(All!$A700,Fall!$A:$A,FALSE),MATCH(All!J$1,Fall!$1:$1,FALSE))),"")</f>
        <v/>
      </c>
      <c r="K700" t="str">
        <f>IFERROR(IF(INDEX(Fall!$1:$1048576,MATCH(All!$A700,Fall!$A:$A,FALSE),MATCH(All!K$1,Fall!$1:$1,FALSE))="","",INDEX(Fall!$1:$1048576,MATCH(All!$A700,Fall!$A:$A,FALSE),MATCH(All!K$1,Fall!$1:$1,FALSE))),"")</f>
        <v/>
      </c>
      <c r="L700" t="str">
        <f>IFERROR(IF(INDEX(Fall!$1:$1048576,MATCH(All!$A700,Fall!$A:$A,FALSE),MATCH(All!L$1,Fall!$1:$1,FALSE))="","",INDEX(Fall!$1:$1048576,MATCH(All!$A700,Fall!$A:$A,FALSE),MATCH(All!L$1,Fall!$1:$1,FALSE))),"")</f>
        <v/>
      </c>
      <c r="M700" t="str">
        <f>IFERROR(IF(INDEX(Fall!$1:$1048576,MATCH(All!$A700,Fall!$A:$A,FALSE),MATCH(All!M$1,Fall!$1:$1,FALSE))="","",INDEX(Fall!$1:$1048576,MATCH(All!$A700,Fall!$A:$A,FALSE),MATCH(All!M$1,Fall!$1:$1,FALSE))),"")</f>
        <v>1A</v>
      </c>
      <c r="O700">
        <f>IFERROR(IF(INDEX(Winter!$1:$1048576,MATCH(All!$A700,Winter!$A:$A,FALSE),MATCH(All!O$1,Winter!$1:$1,FALSE))="","",INDEX(Winter!$1:$1048576,MATCH(All!$A700,Winter!$A:$A,FALSE),MATCH(All!O$1,Winter!$1:$1,FALSE))),"")</f>
        <v>165</v>
      </c>
      <c r="P700" t="str">
        <f>IFERROR(IF(INDEX(Winter!$1:$1048576,MATCH(All!$A700,Winter!$A:$A,FALSE),MATCH(All!P$1,Winter!$1:$1,FALSE))="","",INDEX(Winter!$1:$1048576,MATCH(All!$A700,Winter!$A:$A,FALSE),MATCH(All!P$1,Winter!$1:$1,FALSE))),"")</f>
        <v>1A</v>
      </c>
      <c r="Q700" t="str">
        <f>IFERROR(IF(INDEX(Winter!$1:$1048576,MATCH(All!$A700,Winter!$A:$A,FALSE),MATCH(All!Q$1,Winter!$1:$1,FALSE))="","",INDEX(Winter!$1:$1048576,MATCH(All!$A700,Winter!$A:$A,FALSE),MATCH(All!Q$1,Winter!$1:$1,FALSE))),"")</f>
        <v>1A</v>
      </c>
      <c r="R700" t="str">
        <f>IFERROR(IF(INDEX(Winter!$1:$1048576,MATCH(All!$A700,Winter!$A:$A,FALSE),MATCH(All!R$1,Winter!$1:$1,FALSE))="","",INDEX(Winter!$1:$1048576,MATCH(All!$A700,Winter!$A:$A,FALSE),MATCH(All!R$1,Winter!$1:$1,FALSE))),"")</f>
        <v/>
      </c>
      <c r="S700" t="str">
        <f>IFERROR(IF(INDEX(Winter!$1:$1048576,MATCH(All!$A700,Winter!$A:$A,FALSE),MATCH(All!S$1,Winter!$1:$1,FALSE))="","",INDEX(Winter!$1:$1048576,MATCH(All!$A700,Winter!$A:$A,FALSE),MATCH(All!S$1,Winter!$1:$1,FALSE))),"")</f>
        <v/>
      </c>
      <c r="T700" t="str">
        <f>IFERROR(IF(INDEX(Winter!$1:$1048576,MATCH(All!$A700,Winter!$A:$A,FALSE),MATCH(All!T$1,Winter!$1:$1,FALSE))="","",INDEX(Winter!$1:$1048576,MATCH(All!$A700,Winter!$A:$A,FALSE),MATCH(All!T$1,Winter!$1:$1,FALSE))),"")</f>
        <v>1A</v>
      </c>
      <c r="U700" t="str">
        <f>IFERROR(IF(INDEX(Winter!$1:$1048576,MATCH(All!$A700,Winter!$A:$A,FALSE),MATCH(All!U$1,Winter!$1:$1,FALSE))="","",INDEX(Winter!$1:$1048576,MATCH(All!$A700,Winter!$A:$A,FALSE),MATCH(All!U$1,Winter!$1:$1,FALSE))),"")</f>
        <v/>
      </c>
      <c r="W700">
        <f>IFERROR(IF(INDEX(Spring!$1:$1048576,MATCH(All!$A700,Spring!$A:$A,FALSE),MATCH(All!W$1,Spring!$1:$1,FALSE))="","",INDEX(Spring!$1:$1048576,MATCH(All!$A700,Spring!$A:$A,FALSE),MATCH(All!W$1,Spring!$1:$1,FALSE))),"")</f>
        <v>165</v>
      </c>
      <c r="X700" t="str">
        <f>IFERROR(IF(INDEX(Spring!$1:$1048576,MATCH(All!$A700,Spring!$A:$A,FALSE),MATCH(All!X$1,Spring!$1:$1,FALSE))="","",INDEX(Spring!$1:$1048576,MATCH(All!$A700,Spring!$A:$A,FALSE),MATCH(All!X$1,Spring!$1:$1,FALSE))),"")</f>
        <v/>
      </c>
      <c r="Y700" t="str">
        <f>IFERROR(IF(INDEX(Spring!$1:$1048576,MATCH(All!$A700,Spring!$A:$A,FALSE),MATCH(All!Y$1,Spring!$1:$1,FALSE))="","",INDEX(Spring!$1:$1048576,MATCH(All!$A700,Spring!$A:$A,FALSE),MATCH(All!Y$1,Spring!$1:$1,FALSE))),"")</f>
        <v>1A</v>
      </c>
      <c r="Z700" t="str">
        <f>IFERROR(IF(INDEX(Spring!$1:$1048576,MATCH(All!$A700,Spring!$A:$A,FALSE),MATCH(All!Z$1,Spring!$1:$1,FALSE))="","",INDEX(Spring!$1:$1048576,MATCH(All!$A700,Spring!$A:$A,FALSE),MATCH(All!Z$1,Spring!$1:$1,FALSE))),"")</f>
        <v/>
      </c>
      <c r="AA700" t="str">
        <f>IFERROR(IF(INDEX(Spring!$1:$1048576,MATCH(All!$A700,Spring!$A:$A,FALSE),MATCH(All!AA$1,Spring!$1:$1,FALSE))="","",INDEX(Spring!$1:$1048576,MATCH(All!$A700,Spring!$A:$A,FALSE),MATCH(All!AA$1,Spring!$1:$1,FALSE))),"")</f>
        <v/>
      </c>
      <c r="AB700" t="str">
        <f>IFERROR(IF(INDEX(Spring!$1:$1048576,MATCH(All!$A700,Spring!$A:$A,FALSE),MATCH(All!AB$1,Spring!$1:$1,FALSE))="","",INDEX(Spring!$1:$1048576,MATCH(All!$A700,Spring!$A:$A,FALSE),MATCH(All!AB$1,Spring!$1:$1,FALSE))),"")</f>
        <v>1A</v>
      </c>
      <c r="AC700" t="str">
        <f>IFERROR(IF(INDEX(Spring!$1:$1048576,MATCH(All!$A700,Spring!$A:$A,FALSE),MATCH(All!AC$1,Spring!$1:$1,FALSE))="","",INDEX(Spring!$1:$1048576,MATCH(All!$A700,Spring!$A:$A,FALSE),MATCH(All!AC$1,Spring!$1:$1,FALSE))),"")</f>
        <v>1A</v>
      </c>
      <c r="AD700" t="str">
        <f>IFERROR(VLOOKUP(A700,'Flag Football'!A:A,1,FALSE),"")</f>
        <v/>
      </c>
      <c r="AE700" t="str">
        <f t="shared" si="10"/>
        <v/>
      </c>
    </row>
    <row r="701" spans="1:31" ht="15.75" thickBot="1" x14ac:dyDescent="0.3">
      <c r="A701" s="18" t="s">
        <v>808</v>
      </c>
      <c r="B701" s="38">
        <f>IFERROR(VLOOKUP(A701,'Public v Private'!A:G,3,FALSE),"")</f>
        <v>0</v>
      </c>
      <c r="C701" s="38">
        <f>IFERROR(VLOOKUP(A701,'Public v Private'!A:G,4,FALSE),"")</f>
        <v>0</v>
      </c>
      <c r="D701" s="38">
        <f>IFERROR(VLOOKUP(A701,'Public v Private'!A:G,5,FALSE),"")</f>
        <v>0</v>
      </c>
      <c r="E701" s="38"/>
      <c r="F701" s="40">
        <f>IFERROR(INDEX(Fall!$1:$1048576,MATCH(All!$A701,Fall!$A:$A,FALSE),MATCH(All!F$1,Fall!$1:$1,FALSE)),"N/A")</f>
        <v>140</v>
      </c>
      <c r="G701" t="str">
        <f>IFERROR(IF(INDEX(Fall!$1:$1048576,MATCH(All!$A701,Fall!$A:$A,FALSE),MATCH(All!G$1,Fall!$1:$1,FALSE))="","",INDEX(Fall!$1:$1048576,MATCH(All!$A701,Fall!$A:$A,FALSE),MATCH(All!G$1,Fall!$1:$1,FALSE))),"")</f>
        <v>1A</v>
      </c>
      <c r="H701" t="str">
        <f>IFERROR(IF(INDEX(Fall!$1:$1048576,MATCH(All!$A701,Fall!$A:$A,FALSE),MATCH(All!H$1,Fall!$1:$1,FALSE))="","",INDEX(Fall!$1:$1048576,MATCH(All!$A701,Fall!$A:$A,FALSE),MATCH(All!H$1,Fall!$1:$1,FALSE))),"")</f>
        <v>1A</v>
      </c>
      <c r="I701" t="str">
        <f>IFERROR(IF(INDEX(Fall!$1:$1048576,MATCH(All!$A701,Fall!$A:$A,FALSE),MATCH(All!I$1,Fall!$1:$1,FALSE))="","",INDEX(Fall!$1:$1048576,MATCH(All!$A701,Fall!$A:$A,FALSE),MATCH(All!I$1,Fall!$1:$1,FALSE))),"")</f>
        <v/>
      </c>
      <c r="J701" t="str">
        <f>IFERROR(IF(INDEX(Fall!$1:$1048576,MATCH(All!$A701,Fall!$A:$A,FALSE),MATCH(All!J$1,Fall!$1:$1,FALSE))="","",INDEX(Fall!$1:$1048576,MATCH(All!$A701,Fall!$A:$A,FALSE),MATCH(All!J$1,Fall!$1:$1,FALSE))),"")</f>
        <v/>
      </c>
      <c r="K701" t="str">
        <f>IFERROR(IF(INDEX(Fall!$1:$1048576,MATCH(All!$A701,Fall!$A:$A,FALSE),MATCH(All!K$1,Fall!$1:$1,FALSE))="","",INDEX(Fall!$1:$1048576,MATCH(All!$A701,Fall!$A:$A,FALSE),MATCH(All!K$1,Fall!$1:$1,FALSE))),"")</f>
        <v/>
      </c>
      <c r="L701" t="str">
        <f>IFERROR(IF(INDEX(Fall!$1:$1048576,MATCH(All!$A701,Fall!$A:$A,FALSE),MATCH(All!L$1,Fall!$1:$1,FALSE))="","",INDEX(Fall!$1:$1048576,MATCH(All!$A701,Fall!$A:$A,FALSE),MATCH(All!L$1,Fall!$1:$1,FALSE))),"")</f>
        <v/>
      </c>
      <c r="M701" t="str">
        <f>IFERROR(IF(INDEX(Fall!$1:$1048576,MATCH(All!$A701,Fall!$A:$A,FALSE),MATCH(All!M$1,Fall!$1:$1,FALSE))="","",INDEX(Fall!$1:$1048576,MATCH(All!$A701,Fall!$A:$A,FALSE),MATCH(All!M$1,Fall!$1:$1,FALSE))),"")</f>
        <v/>
      </c>
      <c r="O701">
        <f>IFERROR(IF(INDEX(Winter!$1:$1048576,MATCH(All!$A701,Winter!$A:$A,FALSE),MATCH(All!O$1,Winter!$1:$1,FALSE))="","",INDEX(Winter!$1:$1048576,MATCH(All!$A701,Winter!$A:$A,FALSE),MATCH(All!O$1,Winter!$1:$1,FALSE))),"")</f>
        <v>140</v>
      </c>
      <c r="P701" t="str">
        <f>IFERROR(IF(INDEX(Winter!$1:$1048576,MATCH(All!$A701,Winter!$A:$A,FALSE),MATCH(All!P$1,Winter!$1:$1,FALSE))="","",INDEX(Winter!$1:$1048576,MATCH(All!$A701,Winter!$A:$A,FALSE),MATCH(All!P$1,Winter!$1:$1,FALSE))),"")</f>
        <v>1A</v>
      </c>
      <c r="Q701" t="str">
        <f>IFERROR(IF(INDEX(Winter!$1:$1048576,MATCH(All!$A701,Winter!$A:$A,FALSE),MATCH(All!Q$1,Winter!$1:$1,FALSE))="","",INDEX(Winter!$1:$1048576,MATCH(All!$A701,Winter!$A:$A,FALSE),MATCH(All!Q$1,Winter!$1:$1,FALSE))),"")</f>
        <v>1A</v>
      </c>
      <c r="R701" t="str">
        <f>IFERROR(IF(INDEX(Winter!$1:$1048576,MATCH(All!$A701,Winter!$A:$A,FALSE),MATCH(All!R$1,Winter!$1:$1,FALSE))="","",INDEX(Winter!$1:$1048576,MATCH(All!$A701,Winter!$A:$A,FALSE),MATCH(All!R$1,Winter!$1:$1,FALSE))),"")</f>
        <v/>
      </c>
      <c r="S701" t="str">
        <f>IFERROR(IF(INDEX(Winter!$1:$1048576,MATCH(All!$A701,Winter!$A:$A,FALSE),MATCH(All!S$1,Winter!$1:$1,FALSE))="","",INDEX(Winter!$1:$1048576,MATCH(All!$A701,Winter!$A:$A,FALSE),MATCH(All!S$1,Winter!$1:$1,FALSE))),"")</f>
        <v/>
      </c>
      <c r="T701" t="str">
        <f>IFERROR(IF(INDEX(Winter!$1:$1048576,MATCH(All!$A701,Winter!$A:$A,FALSE),MATCH(All!T$1,Winter!$1:$1,FALSE))="","",INDEX(Winter!$1:$1048576,MATCH(All!$A701,Winter!$A:$A,FALSE),MATCH(All!T$1,Winter!$1:$1,FALSE))),"")</f>
        <v>1A</v>
      </c>
      <c r="U701" t="str">
        <f>IFERROR(IF(INDEX(Winter!$1:$1048576,MATCH(All!$A701,Winter!$A:$A,FALSE),MATCH(All!U$1,Winter!$1:$1,FALSE))="","",INDEX(Winter!$1:$1048576,MATCH(All!$A701,Winter!$A:$A,FALSE),MATCH(All!U$1,Winter!$1:$1,FALSE))),"")</f>
        <v/>
      </c>
      <c r="W701">
        <f>IFERROR(IF(INDEX(Spring!$1:$1048576,MATCH(All!$A701,Spring!$A:$A,FALSE),MATCH(All!W$1,Spring!$1:$1,FALSE))="","",INDEX(Spring!$1:$1048576,MATCH(All!$A701,Spring!$A:$A,FALSE),MATCH(All!W$1,Spring!$1:$1,FALSE))),"")</f>
        <v>140</v>
      </c>
      <c r="X701" t="str">
        <f>IFERROR(IF(INDEX(Spring!$1:$1048576,MATCH(All!$A701,Spring!$A:$A,FALSE),MATCH(All!X$1,Spring!$1:$1,FALSE))="","",INDEX(Spring!$1:$1048576,MATCH(All!$A701,Spring!$A:$A,FALSE),MATCH(All!X$1,Spring!$1:$1,FALSE))),"")</f>
        <v>1A</v>
      </c>
      <c r="Y701" t="str">
        <f>IFERROR(IF(INDEX(Spring!$1:$1048576,MATCH(All!$A701,Spring!$A:$A,FALSE),MATCH(All!Y$1,Spring!$1:$1,FALSE))="","",INDEX(Spring!$1:$1048576,MATCH(All!$A701,Spring!$A:$A,FALSE),MATCH(All!Y$1,Spring!$1:$1,FALSE))),"")</f>
        <v/>
      </c>
      <c r="Z701" t="str">
        <f>IFERROR(IF(INDEX(Spring!$1:$1048576,MATCH(All!$A701,Spring!$A:$A,FALSE),MATCH(All!Z$1,Spring!$1:$1,FALSE))="","",INDEX(Spring!$1:$1048576,MATCH(All!$A701,Spring!$A:$A,FALSE),MATCH(All!Z$1,Spring!$1:$1,FALSE))),"")</f>
        <v/>
      </c>
      <c r="AA701" t="str">
        <f>IFERROR(IF(INDEX(Spring!$1:$1048576,MATCH(All!$A701,Spring!$A:$A,FALSE),MATCH(All!AA$1,Spring!$1:$1,FALSE))="","",INDEX(Spring!$1:$1048576,MATCH(All!$A701,Spring!$A:$A,FALSE),MATCH(All!AA$1,Spring!$1:$1,FALSE))),"")</f>
        <v/>
      </c>
      <c r="AB701" t="str">
        <f>IFERROR(IF(INDEX(Spring!$1:$1048576,MATCH(All!$A701,Spring!$A:$A,FALSE),MATCH(All!AB$1,Spring!$1:$1,FALSE))="","",INDEX(Spring!$1:$1048576,MATCH(All!$A701,Spring!$A:$A,FALSE),MATCH(All!AB$1,Spring!$1:$1,FALSE))),"")</f>
        <v>1A</v>
      </c>
      <c r="AC701" t="str">
        <f>IFERROR(IF(INDEX(Spring!$1:$1048576,MATCH(All!$A701,Spring!$A:$A,FALSE),MATCH(All!AC$1,Spring!$1:$1,FALSE))="","",INDEX(Spring!$1:$1048576,MATCH(All!$A701,Spring!$A:$A,FALSE),MATCH(All!AC$1,Spring!$1:$1,FALSE))),"")</f>
        <v>1A</v>
      </c>
      <c r="AD701" t="str">
        <f>IFERROR(VLOOKUP(A701,'Flag Football'!A:A,1,FALSE),"")</f>
        <v/>
      </c>
      <c r="AE701" t="str">
        <f t="shared" si="10"/>
        <v/>
      </c>
    </row>
    <row r="702" spans="1:31" ht="15.75" thickBot="1" x14ac:dyDescent="0.3">
      <c r="A702" s="20" t="s">
        <v>809</v>
      </c>
      <c r="B702" s="38">
        <f>IFERROR(VLOOKUP(A702,'Public v Private'!A:G,3,FALSE),"")</f>
        <v>0</v>
      </c>
      <c r="C702" s="38">
        <f>IFERROR(VLOOKUP(A702,'Public v Private'!A:G,4,FALSE),"")</f>
        <v>0</v>
      </c>
      <c r="D702" s="38">
        <f>IFERROR(VLOOKUP(A702,'Public v Private'!A:G,5,FALSE),"")</f>
        <v>0</v>
      </c>
      <c r="E702" s="38"/>
      <c r="F702" s="40">
        <f>IFERROR(INDEX(Fall!$1:$1048576,MATCH(All!$A702,Fall!$A:$A,FALSE),MATCH(All!F$1,Fall!$1:$1,FALSE)),"N/A")</f>
        <v>1598</v>
      </c>
      <c r="G702" t="str">
        <f>IFERROR(IF(INDEX(Fall!$1:$1048576,MATCH(All!$A702,Fall!$A:$A,FALSE),MATCH(All!G$1,Fall!$1:$1,FALSE))="","",INDEX(Fall!$1:$1048576,MATCH(All!$A702,Fall!$A:$A,FALSE),MATCH(All!G$1,Fall!$1:$1,FALSE))),"")</f>
        <v>3A</v>
      </c>
      <c r="H702" t="str">
        <f>IFERROR(IF(INDEX(Fall!$1:$1048576,MATCH(All!$A702,Fall!$A:$A,FALSE),MATCH(All!H$1,Fall!$1:$1,FALSE))="","",INDEX(Fall!$1:$1048576,MATCH(All!$A702,Fall!$A:$A,FALSE),MATCH(All!H$1,Fall!$1:$1,FALSE))),"")</f>
        <v>3A</v>
      </c>
      <c r="I702" t="str">
        <f>IFERROR(IF(INDEX(Fall!$1:$1048576,MATCH(All!$A702,Fall!$A:$A,FALSE),MATCH(All!I$1,Fall!$1:$1,FALSE))="","",INDEX(Fall!$1:$1048576,MATCH(All!$A702,Fall!$A:$A,FALSE),MATCH(All!I$1,Fall!$1:$1,FALSE))),"")</f>
        <v>3A</v>
      </c>
      <c r="J702" t="str">
        <f>IFERROR(IF(INDEX(Fall!$1:$1048576,MATCH(All!$A702,Fall!$A:$A,FALSE),MATCH(All!J$1,Fall!$1:$1,FALSE))="","",INDEX(Fall!$1:$1048576,MATCH(All!$A702,Fall!$A:$A,FALSE),MATCH(All!J$1,Fall!$1:$1,FALSE))),"")</f>
        <v/>
      </c>
      <c r="K702" t="str">
        <f>IFERROR(IF(INDEX(Fall!$1:$1048576,MATCH(All!$A702,Fall!$A:$A,FALSE),MATCH(All!K$1,Fall!$1:$1,FALSE))="","",INDEX(Fall!$1:$1048576,MATCH(All!$A702,Fall!$A:$A,FALSE),MATCH(All!K$1,Fall!$1:$1,FALSE))),"")</f>
        <v>2A</v>
      </c>
      <c r="L702" t="str">
        <f>IFERROR(IF(INDEX(Fall!$1:$1048576,MATCH(All!$A702,Fall!$A:$A,FALSE),MATCH(All!L$1,Fall!$1:$1,FALSE))="","",INDEX(Fall!$1:$1048576,MATCH(All!$A702,Fall!$A:$A,FALSE),MATCH(All!L$1,Fall!$1:$1,FALSE))),"")</f>
        <v>2A</v>
      </c>
      <c r="M702" t="str">
        <f>IFERROR(IF(INDEX(Fall!$1:$1048576,MATCH(All!$A702,Fall!$A:$A,FALSE),MATCH(All!M$1,Fall!$1:$1,FALSE))="","",INDEX(Fall!$1:$1048576,MATCH(All!$A702,Fall!$A:$A,FALSE),MATCH(All!M$1,Fall!$1:$1,FALSE))),"")</f>
        <v>3A</v>
      </c>
      <c r="O702">
        <f>IFERROR(IF(INDEX(Winter!$1:$1048576,MATCH(All!$A702,Winter!$A:$A,FALSE),MATCH(All!O$1,Winter!$1:$1,FALSE))="","",INDEX(Winter!$1:$1048576,MATCH(All!$A702,Winter!$A:$A,FALSE),MATCH(All!O$1,Winter!$1:$1,FALSE))),"")</f>
        <v>1598</v>
      </c>
      <c r="P702" t="str">
        <f>IFERROR(IF(INDEX(Winter!$1:$1048576,MATCH(All!$A702,Winter!$A:$A,FALSE),MATCH(All!P$1,Winter!$1:$1,FALSE))="","",INDEX(Winter!$1:$1048576,MATCH(All!$A702,Winter!$A:$A,FALSE),MATCH(All!P$1,Winter!$1:$1,FALSE))),"")</f>
        <v>3A</v>
      </c>
      <c r="Q702" t="str">
        <f>IFERROR(IF(INDEX(Winter!$1:$1048576,MATCH(All!$A702,Winter!$A:$A,FALSE),MATCH(All!Q$1,Winter!$1:$1,FALSE))="","",INDEX(Winter!$1:$1048576,MATCH(All!$A702,Winter!$A:$A,FALSE),MATCH(All!Q$1,Winter!$1:$1,FALSE))),"")</f>
        <v>3A</v>
      </c>
      <c r="R702" t="str">
        <f>IFERROR(IF(INDEX(Winter!$1:$1048576,MATCH(All!$A702,Winter!$A:$A,FALSE),MATCH(All!R$1,Winter!$1:$1,FALSE))="","",INDEX(Winter!$1:$1048576,MATCH(All!$A702,Winter!$A:$A,FALSE),MATCH(All!R$1,Winter!$1:$1,FALSE))),"")</f>
        <v>2A</v>
      </c>
      <c r="S702" t="str">
        <f>IFERROR(IF(INDEX(Winter!$1:$1048576,MATCH(All!$A702,Winter!$A:$A,FALSE),MATCH(All!S$1,Winter!$1:$1,FALSE))="","",INDEX(Winter!$1:$1048576,MATCH(All!$A702,Winter!$A:$A,FALSE),MATCH(All!S$1,Winter!$1:$1,FALSE))),"")</f>
        <v>2A</v>
      </c>
      <c r="T702" t="str">
        <f>IFERROR(IF(INDEX(Winter!$1:$1048576,MATCH(All!$A702,Winter!$A:$A,FALSE),MATCH(All!T$1,Winter!$1:$1,FALSE))="","",INDEX(Winter!$1:$1048576,MATCH(All!$A702,Winter!$A:$A,FALSE),MATCH(All!T$1,Winter!$1:$1,FALSE))),"")</f>
        <v/>
      </c>
      <c r="U702" t="str">
        <f>IFERROR(IF(INDEX(Winter!$1:$1048576,MATCH(All!$A702,Winter!$A:$A,FALSE),MATCH(All!U$1,Winter!$1:$1,FALSE))="","",INDEX(Winter!$1:$1048576,MATCH(All!$A702,Winter!$A:$A,FALSE),MATCH(All!U$1,Winter!$1:$1,FALSE))),"")</f>
        <v>2A</v>
      </c>
      <c r="W702">
        <f>IFERROR(IF(INDEX(Spring!$1:$1048576,MATCH(All!$A702,Spring!$A:$A,FALSE),MATCH(All!W$1,Spring!$1:$1,FALSE))="","",INDEX(Spring!$1:$1048576,MATCH(All!$A702,Spring!$A:$A,FALSE),MATCH(All!W$1,Spring!$1:$1,FALSE))),"")</f>
        <v>1598</v>
      </c>
      <c r="X702" t="str">
        <f>IFERROR(IF(INDEX(Spring!$1:$1048576,MATCH(All!$A702,Spring!$A:$A,FALSE),MATCH(All!X$1,Spring!$1:$1,FALSE))="","",INDEX(Spring!$1:$1048576,MATCH(All!$A702,Spring!$A:$A,FALSE),MATCH(All!X$1,Spring!$1:$1,FALSE))),"")</f>
        <v>3A</v>
      </c>
      <c r="Y702" t="str">
        <f>IFERROR(IF(INDEX(Spring!$1:$1048576,MATCH(All!$A702,Spring!$A:$A,FALSE),MATCH(All!Y$1,Spring!$1:$1,FALSE))="","",INDEX(Spring!$1:$1048576,MATCH(All!$A702,Spring!$A:$A,FALSE),MATCH(All!Y$1,Spring!$1:$1,FALSE))),"")</f>
        <v>3A</v>
      </c>
      <c r="Z702" t="str">
        <f>IFERROR(IF(INDEX(Spring!$1:$1048576,MATCH(All!$A702,Spring!$A:$A,FALSE),MATCH(All!Z$1,Spring!$1:$1,FALSE))="","",INDEX(Spring!$1:$1048576,MATCH(All!$A702,Spring!$A:$A,FALSE),MATCH(All!Z$1,Spring!$1:$1,FALSE))),"")</f>
        <v>2A</v>
      </c>
      <c r="AA702" t="str">
        <f>IFERROR(IF(INDEX(Spring!$1:$1048576,MATCH(All!$A702,Spring!$A:$A,FALSE),MATCH(All!AA$1,Spring!$1:$1,FALSE))="","",INDEX(Spring!$1:$1048576,MATCH(All!$A702,Spring!$A:$A,FALSE),MATCH(All!AA$1,Spring!$1:$1,FALSE))),"")</f>
        <v>2A</v>
      </c>
      <c r="AB702" t="str">
        <f>IFERROR(IF(INDEX(Spring!$1:$1048576,MATCH(All!$A702,Spring!$A:$A,FALSE),MATCH(All!AB$1,Spring!$1:$1,FALSE))="","",INDEX(Spring!$1:$1048576,MATCH(All!$A702,Spring!$A:$A,FALSE),MATCH(All!AB$1,Spring!$1:$1,FALSE))),"")</f>
        <v>3A</v>
      </c>
      <c r="AC702" t="str">
        <f>IFERROR(IF(INDEX(Spring!$1:$1048576,MATCH(All!$A702,Spring!$A:$A,FALSE),MATCH(All!AC$1,Spring!$1:$1,FALSE))="","",INDEX(Spring!$1:$1048576,MATCH(All!$A702,Spring!$A:$A,FALSE),MATCH(All!AC$1,Spring!$1:$1,FALSE))),"")</f>
        <v>3A</v>
      </c>
      <c r="AD702" t="str">
        <f>IFERROR(VLOOKUP(A702,'Flag Football'!A:A,1,FALSE),"")</f>
        <v>Streamwood</v>
      </c>
      <c r="AE702" t="str">
        <f t="shared" si="10"/>
        <v>1A</v>
      </c>
    </row>
    <row r="703" spans="1:31" ht="15.75" thickBot="1" x14ac:dyDescent="0.3">
      <c r="A703" s="18" t="s">
        <v>810</v>
      </c>
      <c r="B703" s="38">
        <f>IFERROR(VLOOKUP(A703,'Public v Private'!A:G,3,FALSE),"")</f>
        <v>0</v>
      </c>
      <c r="C703" s="38">
        <f>IFERROR(VLOOKUP(A703,'Public v Private'!A:G,4,FALSE),"")</f>
        <v>0</v>
      </c>
      <c r="D703" s="38">
        <f>IFERROR(VLOOKUP(A703,'Public v Private'!A:G,5,FALSE),"")</f>
        <v>0</v>
      </c>
      <c r="E703" s="38"/>
      <c r="F703" s="40">
        <f>IFERROR(INDEX(Fall!$1:$1048576,MATCH(All!$A703,Fall!$A:$A,FALSE),MATCH(All!F$1,Fall!$1:$1,FALSE)),"N/A")</f>
        <v>742</v>
      </c>
      <c r="G703" t="str">
        <f>IFERROR(IF(INDEX(Fall!$1:$1048576,MATCH(All!$A703,Fall!$A:$A,FALSE),MATCH(All!G$1,Fall!$1:$1,FALSE))="","",INDEX(Fall!$1:$1048576,MATCH(All!$A703,Fall!$A:$A,FALSE),MATCH(All!G$1,Fall!$1:$1,FALSE))),"")</f>
        <v>2A</v>
      </c>
      <c r="H703" t="str">
        <f>IFERROR(IF(INDEX(Fall!$1:$1048576,MATCH(All!$A703,Fall!$A:$A,FALSE),MATCH(All!H$1,Fall!$1:$1,FALSE))="","",INDEX(Fall!$1:$1048576,MATCH(All!$A703,Fall!$A:$A,FALSE),MATCH(All!H$1,Fall!$1:$1,FALSE))),"")</f>
        <v>2A</v>
      </c>
      <c r="I703" t="str">
        <f>IFERROR(IF(INDEX(Fall!$1:$1048576,MATCH(All!$A703,Fall!$A:$A,FALSE),MATCH(All!I$1,Fall!$1:$1,FALSE))="","",INDEX(Fall!$1:$1048576,MATCH(All!$A703,Fall!$A:$A,FALSE),MATCH(All!I$1,Fall!$1:$1,FALSE))),"")</f>
        <v>2A</v>
      </c>
      <c r="J703" t="str">
        <f>IFERROR(IF(INDEX(Fall!$1:$1048576,MATCH(All!$A703,Fall!$A:$A,FALSE),MATCH(All!J$1,Fall!$1:$1,FALSE))="","",INDEX(Fall!$1:$1048576,MATCH(All!$A703,Fall!$A:$A,FALSE),MATCH(All!J$1,Fall!$1:$1,FALSE))),"")</f>
        <v/>
      </c>
      <c r="K703" t="str">
        <f>IFERROR(IF(INDEX(Fall!$1:$1048576,MATCH(All!$A703,Fall!$A:$A,FALSE),MATCH(All!K$1,Fall!$1:$1,FALSE))="","",INDEX(Fall!$1:$1048576,MATCH(All!$A703,Fall!$A:$A,FALSE),MATCH(All!K$1,Fall!$1:$1,FALSE))),"")</f>
        <v>2A</v>
      </c>
      <c r="L703" t="str">
        <f>IFERROR(IF(INDEX(Fall!$1:$1048576,MATCH(All!$A703,Fall!$A:$A,FALSE),MATCH(All!L$1,Fall!$1:$1,FALSE))="","",INDEX(Fall!$1:$1048576,MATCH(All!$A703,Fall!$A:$A,FALSE),MATCH(All!L$1,Fall!$1:$1,FALSE))),"")</f>
        <v>1A</v>
      </c>
      <c r="M703" t="str">
        <f>IFERROR(IF(INDEX(Fall!$1:$1048576,MATCH(All!$A703,Fall!$A:$A,FALSE),MATCH(All!M$1,Fall!$1:$1,FALSE))="","",INDEX(Fall!$1:$1048576,MATCH(All!$A703,Fall!$A:$A,FALSE),MATCH(All!M$1,Fall!$1:$1,FALSE))),"")</f>
        <v>3A</v>
      </c>
      <c r="O703">
        <f>IFERROR(IF(INDEX(Winter!$1:$1048576,MATCH(All!$A703,Winter!$A:$A,FALSE),MATCH(All!O$1,Winter!$1:$1,FALSE))="","",INDEX(Winter!$1:$1048576,MATCH(All!$A703,Winter!$A:$A,FALSE),MATCH(All!O$1,Winter!$1:$1,FALSE))),"")</f>
        <v>742</v>
      </c>
      <c r="P703" t="str">
        <f>IFERROR(IF(INDEX(Winter!$1:$1048576,MATCH(All!$A703,Winter!$A:$A,FALSE),MATCH(All!P$1,Winter!$1:$1,FALSE))="","",INDEX(Winter!$1:$1048576,MATCH(All!$A703,Winter!$A:$A,FALSE),MATCH(All!P$1,Winter!$1:$1,FALSE))),"")</f>
        <v>3A</v>
      </c>
      <c r="Q703" t="str">
        <f>IFERROR(IF(INDEX(Winter!$1:$1048576,MATCH(All!$A703,Winter!$A:$A,FALSE),MATCH(All!Q$1,Winter!$1:$1,FALSE))="","",INDEX(Winter!$1:$1048576,MATCH(All!$A703,Winter!$A:$A,FALSE),MATCH(All!Q$1,Winter!$1:$1,FALSE))),"")</f>
        <v>3A</v>
      </c>
      <c r="R703" t="str">
        <f>IFERROR(IF(INDEX(Winter!$1:$1048576,MATCH(All!$A703,Winter!$A:$A,FALSE),MATCH(All!R$1,Winter!$1:$1,FALSE))="","",INDEX(Winter!$1:$1048576,MATCH(All!$A703,Winter!$A:$A,FALSE),MATCH(All!R$1,Winter!$1:$1,FALSE))),"")</f>
        <v/>
      </c>
      <c r="S703" t="str">
        <f>IFERROR(IF(INDEX(Winter!$1:$1048576,MATCH(All!$A703,Winter!$A:$A,FALSE),MATCH(All!S$1,Winter!$1:$1,FALSE))="","",INDEX(Winter!$1:$1048576,MATCH(All!$A703,Winter!$A:$A,FALSE),MATCH(All!S$1,Winter!$1:$1,FALSE))),"")</f>
        <v>1A</v>
      </c>
      <c r="T703" t="str">
        <f>IFERROR(IF(INDEX(Winter!$1:$1048576,MATCH(All!$A703,Winter!$A:$A,FALSE),MATCH(All!T$1,Winter!$1:$1,FALSE))="","",INDEX(Winter!$1:$1048576,MATCH(All!$A703,Winter!$A:$A,FALSE),MATCH(All!T$1,Winter!$1:$1,FALSE))),"")</f>
        <v>2A</v>
      </c>
      <c r="U703" t="str">
        <f>IFERROR(IF(INDEX(Winter!$1:$1048576,MATCH(All!$A703,Winter!$A:$A,FALSE),MATCH(All!U$1,Winter!$1:$1,FALSE))="","",INDEX(Winter!$1:$1048576,MATCH(All!$A703,Winter!$A:$A,FALSE),MATCH(All!U$1,Winter!$1:$1,FALSE))),"")</f>
        <v>2A</v>
      </c>
      <c r="W703">
        <f>IFERROR(IF(INDEX(Spring!$1:$1048576,MATCH(All!$A703,Spring!$A:$A,FALSE),MATCH(All!W$1,Spring!$1:$1,FALSE))="","",INDEX(Spring!$1:$1048576,MATCH(All!$A703,Spring!$A:$A,FALSE),MATCH(All!W$1,Spring!$1:$1,FALSE))),"")</f>
        <v>742</v>
      </c>
      <c r="X703" t="str">
        <f>IFERROR(IF(INDEX(Spring!$1:$1048576,MATCH(All!$A703,Spring!$A:$A,FALSE),MATCH(All!X$1,Spring!$1:$1,FALSE))="","",INDEX(Spring!$1:$1048576,MATCH(All!$A703,Spring!$A:$A,FALSE),MATCH(All!X$1,Spring!$1:$1,FALSE))),"")</f>
        <v>3A</v>
      </c>
      <c r="Y703" t="str">
        <f>IFERROR(IF(INDEX(Spring!$1:$1048576,MATCH(All!$A703,Spring!$A:$A,FALSE),MATCH(All!Y$1,Spring!$1:$1,FALSE))="","",INDEX(Spring!$1:$1048576,MATCH(All!$A703,Spring!$A:$A,FALSE),MATCH(All!Y$1,Spring!$1:$1,FALSE))),"")</f>
        <v>3A</v>
      </c>
      <c r="Z703" t="str">
        <f>IFERROR(IF(INDEX(Spring!$1:$1048576,MATCH(All!$A703,Spring!$A:$A,FALSE),MATCH(All!Z$1,Spring!$1:$1,FALSE))="","",INDEX(Spring!$1:$1048576,MATCH(All!$A703,Spring!$A:$A,FALSE),MATCH(All!Z$1,Spring!$1:$1,FALSE))),"")</f>
        <v>2A</v>
      </c>
      <c r="AA703" t="str">
        <f>IFERROR(IF(INDEX(Spring!$1:$1048576,MATCH(All!$A703,Spring!$A:$A,FALSE),MATCH(All!AA$1,Spring!$1:$1,FALSE))="","",INDEX(Spring!$1:$1048576,MATCH(All!$A703,Spring!$A:$A,FALSE),MATCH(All!AA$1,Spring!$1:$1,FALSE))),"")</f>
        <v>1A</v>
      </c>
      <c r="AB703" t="str">
        <f>IFERROR(IF(INDEX(Spring!$1:$1048576,MATCH(All!$A703,Spring!$A:$A,FALSE),MATCH(All!AB$1,Spring!$1:$1,FALSE))="","",INDEX(Spring!$1:$1048576,MATCH(All!$A703,Spring!$A:$A,FALSE),MATCH(All!AB$1,Spring!$1:$1,FALSE))),"")</f>
        <v>2A</v>
      </c>
      <c r="AC703" t="str">
        <f>IFERROR(IF(INDEX(Spring!$1:$1048576,MATCH(All!$A703,Spring!$A:$A,FALSE),MATCH(All!AC$1,Spring!$1:$1,FALSE))="","",INDEX(Spring!$1:$1048576,MATCH(All!$A703,Spring!$A:$A,FALSE),MATCH(All!AC$1,Spring!$1:$1,FALSE))),"")</f>
        <v>2A</v>
      </c>
      <c r="AD703" t="str">
        <f>IFERROR(VLOOKUP(A703,'Flag Football'!A:A,1,FALSE),"")</f>
        <v/>
      </c>
      <c r="AE703" t="str">
        <f t="shared" si="10"/>
        <v/>
      </c>
    </row>
    <row r="704" spans="1:31" ht="15.75" thickBot="1" x14ac:dyDescent="0.3">
      <c r="A704" s="20" t="s">
        <v>811</v>
      </c>
      <c r="B704" s="38">
        <f>IFERROR(VLOOKUP(A704,'Public v Private'!A:G,3,FALSE),"")</f>
        <v>0</v>
      </c>
      <c r="C704" s="38">
        <f>IFERROR(VLOOKUP(A704,'Public v Private'!A:G,4,FALSE),"")</f>
        <v>0</v>
      </c>
      <c r="D704" s="38">
        <f>IFERROR(VLOOKUP(A704,'Public v Private'!A:G,5,FALSE),"")</f>
        <v>0</v>
      </c>
      <c r="E704" s="38"/>
      <c r="F704" s="40">
        <f>IFERROR(INDEX(Fall!$1:$1048576,MATCH(All!$A704,Fall!$A:$A,FALSE),MATCH(All!F$1,Fall!$1:$1,FALSE)),"N/A")</f>
        <v>133</v>
      </c>
      <c r="G704" t="str">
        <f>IFERROR(IF(INDEX(Fall!$1:$1048576,MATCH(All!$A704,Fall!$A:$A,FALSE),MATCH(All!G$1,Fall!$1:$1,FALSE))="","",INDEX(Fall!$1:$1048576,MATCH(All!$A704,Fall!$A:$A,FALSE),MATCH(All!G$1,Fall!$1:$1,FALSE))),"")</f>
        <v/>
      </c>
      <c r="H704" t="str">
        <f>IFERROR(IF(INDEX(Fall!$1:$1048576,MATCH(All!$A704,Fall!$A:$A,FALSE),MATCH(All!H$1,Fall!$1:$1,FALSE))="","",INDEX(Fall!$1:$1048576,MATCH(All!$A704,Fall!$A:$A,FALSE),MATCH(All!H$1,Fall!$1:$1,FALSE))),"")</f>
        <v/>
      </c>
      <c r="I704" t="str">
        <f>IFERROR(IF(INDEX(Fall!$1:$1048576,MATCH(All!$A704,Fall!$A:$A,FALSE),MATCH(All!I$1,Fall!$1:$1,FALSE))="","",INDEX(Fall!$1:$1048576,MATCH(All!$A704,Fall!$A:$A,FALSE),MATCH(All!I$1,Fall!$1:$1,FALSE))),"")</f>
        <v>1A</v>
      </c>
      <c r="J704" t="str">
        <f>IFERROR(IF(INDEX(Fall!$1:$1048576,MATCH(All!$A704,Fall!$A:$A,FALSE),MATCH(All!J$1,Fall!$1:$1,FALSE))="","",INDEX(Fall!$1:$1048576,MATCH(All!$A704,Fall!$A:$A,FALSE),MATCH(All!J$1,Fall!$1:$1,FALSE))),"")</f>
        <v/>
      </c>
      <c r="K704" t="str">
        <f>IFERROR(IF(INDEX(Fall!$1:$1048576,MATCH(All!$A704,Fall!$A:$A,FALSE),MATCH(All!K$1,Fall!$1:$1,FALSE))="","",INDEX(Fall!$1:$1048576,MATCH(All!$A704,Fall!$A:$A,FALSE),MATCH(All!K$1,Fall!$1:$1,FALSE))),"")</f>
        <v/>
      </c>
      <c r="L704" t="str">
        <f>IFERROR(IF(INDEX(Fall!$1:$1048576,MATCH(All!$A704,Fall!$A:$A,FALSE),MATCH(All!L$1,Fall!$1:$1,FALSE))="","",INDEX(Fall!$1:$1048576,MATCH(All!$A704,Fall!$A:$A,FALSE),MATCH(All!L$1,Fall!$1:$1,FALSE))),"")</f>
        <v/>
      </c>
      <c r="M704" t="str">
        <f>IFERROR(IF(INDEX(Fall!$1:$1048576,MATCH(All!$A704,Fall!$A:$A,FALSE),MATCH(All!M$1,Fall!$1:$1,FALSE))="","",INDEX(Fall!$1:$1048576,MATCH(All!$A704,Fall!$A:$A,FALSE),MATCH(All!M$1,Fall!$1:$1,FALSE))),"")</f>
        <v>1A</v>
      </c>
      <c r="O704">
        <f>IFERROR(IF(INDEX(Winter!$1:$1048576,MATCH(All!$A704,Winter!$A:$A,FALSE),MATCH(All!O$1,Winter!$1:$1,FALSE))="","",INDEX(Winter!$1:$1048576,MATCH(All!$A704,Winter!$A:$A,FALSE),MATCH(All!O$1,Winter!$1:$1,FALSE))),"")</f>
        <v>133</v>
      </c>
      <c r="P704" t="str">
        <f>IFERROR(IF(INDEX(Winter!$1:$1048576,MATCH(All!$A704,Winter!$A:$A,FALSE),MATCH(All!P$1,Winter!$1:$1,FALSE))="","",INDEX(Winter!$1:$1048576,MATCH(All!$A704,Winter!$A:$A,FALSE),MATCH(All!P$1,Winter!$1:$1,FALSE))),"")</f>
        <v>1A</v>
      </c>
      <c r="Q704" t="str">
        <f>IFERROR(IF(INDEX(Winter!$1:$1048576,MATCH(All!$A704,Winter!$A:$A,FALSE),MATCH(All!Q$1,Winter!$1:$1,FALSE))="","",INDEX(Winter!$1:$1048576,MATCH(All!$A704,Winter!$A:$A,FALSE),MATCH(All!Q$1,Winter!$1:$1,FALSE))),"")</f>
        <v/>
      </c>
      <c r="R704" t="str">
        <f>IFERROR(IF(INDEX(Winter!$1:$1048576,MATCH(All!$A704,Winter!$A:$A,FALSE),MATCH(All!R$1,Winter!$1:$1,FALSE))="","",INDEX(Winter!$1:$1048576,MATCH(All!$A704,Winter!$A:$A,FALSE),MATCH(All!R$1,Winter!$1:$1,FALSE))),"")</f>
        <v/>
      </c>
      <c r="S704" t="str">
        <f>IFERROR(IF(INDEX(Winter!$1:$1048576,MATCH(All!$A704,Winter!$A:$A,FALSE),MATCH(All!S$1,Winter!$1:$1,FALSE))="","",INDEX(Winter!$1:$1048576,MATCH(All!$A704,Winter!$A:$A,FALSE),MATCH(All!S$1,Winter!$1:$1,FALSE))),"")</f>
        <v/>
      </c>
      <c r="T704" t="str">
        <f>IFERROR(IF(INDEX(Winter!$1:$1048576,MATCH(All!$A704,Winter!$A:$A,FALSE),MATCH(All!T$1,Winter!$1:$1,FALSE))="","",INDEX(Winter!$1:$1048576,MATCH(All!$A704,Winter!$A:$A,FALSE),MATCH(All!T$1,Winter!$1:$1,FALSE))),"")</f>
        <v/>
      </c>
      <c r="U704" t="str">
        <f>IFERROR(IF(INDEX(Winter!$1:$1048576,MATCH(All!$A704,Winter!$A:$A,FALSE),MATCH(All!U$1,Winter!$1:$1,FALSE))="","",INDEX(Winter!$1:$1048576,MATCH(All!$A704,Winter!$A:$A,FALSE),MATCH(All!U$1,Winter!$1:$1,FALSE))),"")</f>
        <v/>
      </c>
      <c r="W704">
        <f>IFERROR(IF(INDEX(Spring!$1:$1048576,MATCH(All!$A704,Spring!$A:$A,FALSE),MATCH(All!W$1,Spring!$1:$1,FALSE))="","",INDEX(Spring!$1:$1048576,MATCH(All!$A704,Spring!$A:$A,FALSE),MATCH(All!W$1,Spring!$1:$1,FALSE))),"")</f>
        <v>133</v>
      </c>
      <c r="X704" t="str">
        <f>IFERROR(IF(INDEX(Spring!$1:$1048576,MATCH(All!$A704,Spring!$A:$A,FALSE),MATCH(All!X$1,Spring!$1:$1,FALSE))="","",INDEX(Spring!$1:$1048576,MATCH(All!$A704,Spring!$A:$A,FALSE),MATCH(All!X$1,Spring!$1:$1,FALSE))),"")</f>
        <v>1A</v>
      </c>
      <c r="Y704" t="str">
        <f>IFERROR(IF(INDEX(Spring!$1:$1048576,MATCH(All!$A704,Spring!$A:$A,FALSE),MATCH(All!Y$1,Spring!$1:$1,FALSE))="","",INDEX(Spring!$1:$1048576,MATCH(All!$A704,Spring!$A:$A,FALSE),MATCH(All!Y$1,Spring!$1:$1,FALSE))),"")</f>
        <v>1A</v>
      </c>
      <c r="Z704" t="str">
        <f>IFERROR(IF(INDEX(Spring!$1:$1048576,MATCH(All!$A704,Spring!$A:$A,FALSE),MATCH(All!Z$1,Spring!$1:$1,FALSE))="","",INDEX(Spring!$1:$1048576,MATCH(All!$A704,Spring!$A:$A,FALSE),MATCH(All!Z$1,Spring!$1:$1,FALSE))),"")</f>
        <v/>
      </c>
      <c r="AA704" t="str">
        <f>IFERROR(IF(INDEX(Spring!$1:$1048576,MATCH(All!$A704,Spring!$A:$A,FALSE),MATCH(All!AA$1,Spring!$1:$1,FALSE))="","",INDEX(Spring!$1:$1048576,MATCH(All!$A704,Spring!$A:$A,FALSE),MATCH(All!AA$1,Spring!$1:$1,FALSE))),"")</f>
        <v/>
      </c>
      <c r="AB704" t="str">
        <f>IFERROR(IF(INDEX(Spring!$1:$1048576,MATCH(All!$A704,Spring!$A:$A,FALSE),MATCH(All!AB$1,Spring!$1:$1,FALSE))="","",INDEX(Spring!$1:$1048576,MATCH(All!$A704,Spring!$A:$A,FALSE),MATCH(All!AB$1,Spring!$1:$1,FALSE))),"")</f>
        <v/>
      </c>
      <c r="AC704" t="str">
        <f>IFERROR(IF(INDEX(Spring!$1:$1048576,MATCH(All!$A704,Spring!$A:$A,FALSE),MATCH(All!AC$1,Spring!$1:$1,FALSE))="","",INDEX(Spring!$1:$1048576,MATCH(All!$A704,Spring!$A:$A,FALSE),MATCH(All!AC$1,Spring!$1:$1,FALSE))),"")</f>
        <v/>
      </c>
      <c r="AD704" t="str">
        <f>IFERROR(VLOOKUP(A704,'Flag Football'!A:A,1,FALSE),"")</f>
        <v/>
      </c>
      <c r="AE704" t="str">
        <f t="shared" si="10"/>
        <v/>
      </c>
    </row>
    <row r="705" spans="1:31" ht="15.75" thickBot="1" x14ac:dyDescent="0.3">
      <c r="A705" s="18" t="s">
        <v>812</v>
      </c>
      <c r="B705" s="38">
        <f>IFERROR(VLOOKUP(A705,'Public v Private'!A:G,3,FALSE),"")</f>
        <v>0</v>
      </c>
      <c r="C705" s="38">
        <f>IFERROR(VLOOKUP(A705,'Public v Private'!A:G,4,FALSE),"")</f>
        <v>0</v>
      </c>
      <c r="D705" s="38">
        <f>IFERROR(VLOOKUP(A705,'Public v Private'!A:G,5,FALSE),"")</f>
        <v>0</v>
      </c>
      <c r="E705" s="38"/>
      <c r="F705" s="40">
        <f>IFERROR(INDEX(Fall!$1:$1048576,MATCH(All!$A705,Fall!$A:$A,FALSE),MATCH(All!F$1,Fall!$1:$1,FALSE)),"N/A")</f>
        <v>310</v>
      </c>
      <c r="G705" t="str">
        <f>IFERROR(IF(INDEX(Fall!$1:$1048576,MATCH(All!$A705,Fall!$A:$A,FALSE),MATCH(All!G$1,Fall!$1:$1,FALSE))="","",INDEX(Fall!$1:$1048576,MATCH(All!$A705,Fall!$A:$A,FALSE),MATCH(All!G$1,Fall!$1:$1,FALSE))),"")</f>
        <v>1A</v>
      </c>
      <c r="H705" t="str">
        <f>IFERROR(IF(INDEX(Fall!$1:$1048576,MATCH(All!$A705,Fall!$A:$A,FALSE),MATCH(All!H$1,Fall!$1:$1,FALSE))="","",INDEX(Fall!$1:$1048576,MATCH(All!$A705,Fall!$A:$A,FALSE),MATCH(All!H$1,Fall!$1:$1,FALSE))),"")</f>
        <v>1A</v>
      </c>
      <c r="I705" t="str">
        <f>IFERROR(IF(INDEX(Fall!$1:$1048576,MATCH(All!$A705,Fall!$A:$A,FALSE),MATCH(All!I$1,Fall!$1:$1,FALSE))="","",INDEX(Fall!$1:$1048576,MATCH(All!$A705,Fall!$A:$A,FALSE),MATCH(All!I$1,Fall!$1:$1,FALSE))),"")</f>
        <v>1A</v>
      </c>
      <c r="J705" t="str">
        <f>IFERROR(IF(INDEX(Fall!$1:$1048576,MATCH(All!$A705,Fall!$A:$A,FALSE),MATCH(All!J$1,Fall!$1:$1,FALSE))="","",INDEX(Fall!$1:$1048576,MATCH(All!$A705,Fall!$A:$A,FALSE),MATCH(All!J$1,Fall!$1:$1,FALSE))),"")</f>
        <v>1A</v>
      </c>
      <c r="K705" t="str">
        <f>IFERROR(IF(INDEX(Fall!$1:$1048576,MATCH(All!$A705,Fall!$A:$A,FALSE),MATCH(All!K$1,Fall!$1:$1,FALSE))="","",INDEX(Fall!$1:$1048576,MATCH(All!$A705,Fall!$A:$A,FALSE),MATCH(All!K$1,Fall!$1:$1,FALSE))),"")</f>
        <v/>
      </c>
      <c r="L705" t="str">
        <f>IFERROR(IF(INDEX(Fall!$1:$1048576,MATCH(All!$A705,Fall!$A:$A,FALSE),MATCH(All!L$1,Fall!$1:$1,FALSE))="","",INDEX(Fall!$1:$1048576,MATCH(All!$A705,Fall!$A:$A,FALSE),MATCH(All!L$1,Fall!$1:$1,FALSE))),"")</f>
        <v/>
      </c>
      <c r="M705" t="str">
        <f>IFERROR(IF(INDEX(Fall!$1:$1048576,MATCH(All!$A705,Fall!$A:$A,FALSE),MATCH(All!M$1,Fall!$1:$1,FALSE))="","",INDEX(Fall!$1:$1048576,MATCH(All!$A705,Fall!$A:$A,FALSE),MATCH(All!M$1,Fall!$1:$1,FALSE))),"")</f>
        <v>2A</v>
      </c>
      <c r="O705">
        <f>IFERROR(IF(INDEX(Winter!$1:$1048576,MATCH(All!$A705,Winter!$A:$A,FALSE),MATCH(All!O$1,Winter!$1:$1,FALSE))="","",INDEX(Winter!$1:$1048576,MATCH(All!$A705,Winter!$A:$A,FALSE),MATCH(All!O$1,Winter!$1:$1,FALSE))),"")</f>
        <v>310</v>
      </c>
      <c r="P705" t="str">
        <f>IFERROR(IF(INDEX(Winter!$1:$1048576,MATCH(All!$A705,Winter!$A:$A,FALSE),MATCH(All!P$1,Winter!$1:$1,FALSE))="","",INDEX(Winter!$1:$1048576,MATCH(All!$A705,Winter!$A:$A,FALSE),MATCH(All!P$1,Winter!$1:$1,FALSE))),"")</f>
        <v>2A</v>
      </c>
      <c r="Q705" t="str">
        <f>IFERROR(IF(INDEX(Winter!$1:$1048576,MATCH(All!$A705,Winter!$A:$A,FALSE),MATCH(All!Q$1,Winter!$1:$1,FALSE))="","",INDEX(Winter!$1:$1048576,MATCH(All!$A705,Winter!$A:$A,FALSE),MATCH(All!Q$1,Winter!$1:$1,FALSE))),"")</f>
        <v>2A</v>
      </c>
      <c r="R705" t="str">
        <f>IFERROR(IF(INDEX(Winter!$1:$1048576,MATCH(All!$A705,Winter!$A:$A,FALSE),MATCH(All!R$1,Winter!$1:$1,FALSE))="","",INDEX(Winter!$1:$1048576,MATCH(All!$A705,Winter!$A:$A,FALSE),MATCH(All!R$1,Winter!$1:$1,FALSE))),"")</f>
        <v/>
      </c>
      <c r="S705" t="str">
        <f>IFERROR(IF(INDEX(Winter!$1:$1048576,MATCH(All!$A705,Winter!$A:$A,FALSE),MATCH(All!S$1,Winter!$1:$1,FALSE))="","",INDEX(Winter!$1:$1048576,MATCH(All!$A705,Winter!$A:$A,FALSE),MATCH(All!S$1,Winter!$1:$1,FALSE))),"")</f>
        <v/>
      </c>
      <c r="T705" t="str">
        <f>IFERROR(IF(INDEX(Winter!$1:$1048576,MATCH(All!$A705,Winter!$A:$A,FALSE),MATCH(All!T$1,Winter!$1:$1,FALSE))="","",INDEX(Winter!$1:$1048576,MATCH(All!$A705,Winter!$A:$A,FALSE),MATCH(All!T$1,Winter!$1:$1,FALSE))),"")</f>
        <v>1A</v>
      </c>
      <c r="U705" t="str">
        <f>IFERROR(IF(INDEX(Winter!$1:$1048576,MATCH(All!$A705,Winter!$A:$A,FALSE),MATCH(All!U$1,Winter!$1:$1,FALSE))="","",INDEX(Winter!$1:$1048576,MATCH(All!$A705,Winter!$A:$A,FALSE),MATCH(All!U$1,Winter!$1:$1,FALSE))),"")</f>
        <v/>
      </c>
      <c r="W705">
        <f>IFERROR(IF(INDEX(Spring!$1:$1048576,MATCH(All!$A705,Spring!$A:$A,FALSE),MATCH(All!W$1,Spring!$1:$1,FALSE))="","",INDEX(Spring!$1:$1048576,MATCH(All!$A705,Spring!$A:$A,FALSE),MATCH(All!W$1,Spring!$1:$1,FALSE))),"")</f>
        <v>310</v>
      </c>
      <c r="X705" t="str">
        <f>IFERROR(IF(INDEX(Spring!$1:$1048576,MATCH(All!$A705,Spring!$A:$A,FALSE),MATCH(All!X$1,Spring!$1:$1,FALSE))="","",INDEX(Spring!$1:$1048576,MATCH(All!$A705,Spring!$A:$A,FALSE),MATCH(All!X$1,Spring!$1:$1,FALSE))),"")</f>
        <v>2A</v>
      </c>
      <c r="Y705" t="str">
        <f>IFERROR(IF(INDEX(Spring!$1:$1048576,MATCH(All!$A705,Spring!$A:$A,FALSE),MATCH(All!Y$1,Spring!$1:$1,FALSE))="","",INDEX(Spring!$1:$1048576,MATCH(All!$A705,Spring!$A:$A,FALSE),MATCH(All!Y$1,Spring!$1:$1,FALSE))),"")</f>
        <v>2A</v>
      </c>
      <c r="Z705" t="str">
        <f>IFERROR(IF(INDEX(Spring!$1:$1048576,MATCH(All!$A705,Spring!$A:$A,FALSE),MATCH(All!Z$1,Spring!$1:$1,FALSE))="","",INDEX(Spring!$1:$1048576,MATCH(All!$A705,Spring!$A:$A,FALSE),MATCH(All!Z$1,Spring!$1:$1,FALSE))),"")</f>
        <v/>
      </c>
      <c r="AA705" t="str">
        <f>IFERROR(IF(INDEX(Spring!$1:$1048576,MATCH(All!$A705,Spring!$A:$A,FALSE),MATCH(All!AA$1,Spring!$1:$1,FALSE))="","",INDEX(Spring!$1:$1048576,MATCH(All!$A705,Spring!$A:$A,FALSE),MATCH(All!AA$1,Spring!$1:$1,FALSE))),"")</f>
        <v/>
      </c>
      <c r="AB705" t="str">
        <f>IFERROR(IF(INDEX(Spring!$1:$1048576,MATCH(All!$A705,Spring!$A:$A,FALSE),MATCH(All!AB$1,Spring!$1:$1,FALSE))="","",INDEX(Spring!$1:$1048576,MATCH(All!$A705,Spring!$A:$A,FALSE),MATCH(All!AB$1,Spring!$1:$1,FALSE))),"")</f>
        <v>1A</v>
      </c>
      <c r="AC705" t="str">
        <f>IFERROR(IF(INDEX(Spring!$1:$1048576,MATCH(All!$A705,Spring!$A:$A,FALSE),MATCH(All!AC$1,Spring!$1:$1,FALSE))="","",INDEX(Spring!$1:$1048576,MATCH(All!$A705,Spring!$A:$A,FALSE),MATCH(All!AC$1,Spring!$1:$1,FALSE))),"")</f>
        <v>1A</v>
      </c>
      <c r="AD705" t="str">
        <f>IFERROR(VLOOKUP(A705,'Flag Football'!A:A,1,FALSE),"")</f>
        <v/>
      </c>
      <c r="AE705" t="str">
        <f t="shared" si="10"/>
        <v/>
      </c>
    </row>
    <row r="706" spans="1:31" ht="15.75" thickBot="1" x14ac:dyDescent="0.3">
      <c r="A706" s="20" t="s">
        <v>813</v>
      </c>
      <c r="B706" s="38">
        <f>IFERROR(VLOOKUP(A706,'Public v Private'!A:G,3,FALSE),"")</f>
        <v>0</v>
      </c>
      <c r="C706" s="38">
        <f>IFERROR(VLOOKUP(A706,'Public v Private'!A:G,4,FALSE),"")</f>
        <v>0</v>
      </c>
      <c r="D706" s="38">
        <f>IFERROR(VLOOKUP(A706,'Public v Private'!A:G,5,FALSE),"")</f>
        <v>0</v>
      </c>
      <c r="E706" s="38"/>
      <c r="F706" s="40">
        <f>IFERROR(INDEX(Fall!$1:$1048576,MATCH(All!$A706,Fall!$A:$A,FALSE),MATCH(All!F$1,Fall!$1:$1,FALSE)),"N/A")</f>
        <v>1740</v>
      </c>
      <c r="G706" t="str">
        <f>IFERROR(IF(INDEX(Fall!$1:$1048576,MATCH(All!$A706,Fall!$A:$A,FALSE),MATCH(All!G$1,Fall!$1:$1,FALSE))="","",INDEX(Fall!$1:$1048576,MATCH(All!$A706,Fall!$A:$A,FALSE),MATCH(All!G$1,Fall!$1:$1,FALSE))),"")</f>
        <v>3A</v>
      </c>
      <c r="H706" t="str">
        <f>IFERROR(IF(INDEX(Fall!$1:$1048576,MATCH(All!$A706,Fall!$A:$A,FALSE),MATCH(All!H$1,Fall!$1:$1,FALSE))="","",INDEX(Fall!$1:$1048576,MATCH(All!$A706,Fall!$A:$A,FALSE),MATCH(All!H$1,Fall!$1:$1,FALSE))),"")</f>
        <v>3A</v>
      </c>
      <c r="I706" t="str">
        <f>IFERROR(IF(INDEX(Fall!$1:$1048576,MATCH(All!$A706,Fall!$A:$A,FALSE),MATCH(All!I$1,Fall!$1:$1,FALSE))="","",INDEX(Fall!$1:$1048576,MATCH(All!$A706,Fall!$A:$A,FALSE),MATCH(All!I$1,Fall!$1:$1,FALSE))),"")</f>
        <v>3A</v>
      </c>
      <c r="J706" t="str">
        <f>IFERROR(IF(INDEX(Fall!$1:$1048576,MATCH(All!$A706,Fall!$A:$A,FALSE),MATCH(All!J$1,Fall!$1:$1,FALSE))="","",INDEX(Fall!$1:$1048576,MATCH(All!$A706,Fall!$A:$A,FALSE),MATCH(All!J$1,Fall!$1:$1,FALSE))),"")</f>
        <v/>
      </c>
      <c r="K706" t="str">
        <f>IFERROR(IF(INDEX(Fall!$1:$1048576,MATCH(All!$A706,Fall!$A:$A,FALSE),MATCH(All!K$1,Fall!$1:$1,FALSE))="","",INDEX(Fall!$1:$1048576,MATCH(All!$A706,Fall!$A:$A,FALSE),MATCH(All!K$1,Fall!$1:$1,FALSE))),"")</f>
        <v>3A</v>
      </c>
      <c r="L706" t="str">
        <f>IFERROR(IF(INDEX(Fall!$1:$1048576,MATCH(All!$A706,Fall!$A:$A,FALSE),MATCH(All!L$1,Fall!$1:$1,FALSE))="","",INDEX(Fall!$1:$1048576,MATCH(All!$A706,Fall!$A:$A,FALSE),MATCH(All!L$1,Fall!$1:$1,FALSE))),"")</f>
        <v>2A</v>
      </c>
      <c r="M706" t="str">
        <f>IFERROR(IF(INDEX(Fall!$1:$1048576,MATCH(All!$A706,Fall!$A:$A,FALSE),MATCH(All!M$1,Fall!$1:$1,FALSE))="","",INDEX(Fall!$1:$1048576,MATCH(All!$A706,Fall!$A:$A,FALSE),MATCH(All!M$1,Fall!$1:$1,FALSE))),"")</f>
        <v>4A</v>
      </c>
      <c r="O706">
        <f>IFERROR(IF(INDEX(Winter!$1:$1048576,MATCH(All!$A706,Winter!$A:$A,FALSE),MATCH(All!O$1,Winter!$1:$1,FALSE))="","",INDEX(Winter!$1:$1048576,MATCH(All!$A706,Winter!$A:$A,FALSE),MATCH(All!O$1,Winter!$1:$1,FALSE))),"")</f>
        <v>1740</v>
      </c>
      <c r="P706" t="str">
        <f>IFERROR(IF(INDEX(Winter!$1:$1048576,MATCH(All!$A706,Winter!$A:$A,FALSE),MATCH(All!P$1,Winter!$1:$1,FALSE))="","",INDEX(Winter!$1:$1048576,MATCH(All!$A706,Winter!$A:$A,FALSE),MATCH(All!P$1,Winter!$1:$1,FALSE))),"")</f>
        <v>4A</v>
      </c>
      <c r="Q706" t="str">
        <f>IFERROR(IF(INDEX(Winter!$1:$1048576,MATCH(All!$A706,Winter!$A:$A,FALSE),MATCH(All!Q$1,Winter!$1:$1,FALSE))="","",INDEX(Winter!$1:$1048576,MATCH(All!$A706,Winter!$A:$A,FALSE),MATCH(All!Q$1,Winter!$1:$1,FALSE))),"")</f>
        <v>4A</v>
      </c>
      <c r="R706" t="str">
        <f>IFERROR(IF(INDEX(Winter!$1:$1048576,MATCH(All!$A706,Winter!$A:$A,FALSE),MATCH(All!R$1,Winter!$1:$1,FALSE))="","",INDEX(Winter!$1:$1048576,MATCH(All!$A706,Winter!$A:$A,FALSE),MATCH(All!R$1,Winter!$1:$1,FALSE))),"")</f>
        <v>3A</v>
      </c>
      <c r="S706" t="str">
        <f>IFERROR(IF(INDEX(Winter!$1:$1048576,MATCH(All!$A706,Winter!$A:$A,FALSE),MATCH(All!S$1,Winter!$1:$1,FALSE))="","",INDEX(Winter!$1:$1048576,MATCH(All!$A706,Winter!$A:$A,FALSE),MATCH(All!S$1,Winter!$1:$1,FALSE))),"")</f>
        <v>2A</v>
      </c>
      <c r="T706" t="str">
        <f>IFERROR(IF(INDEX(Winter!$1:$1048576,MATCH(All!$A706,Winter!$A:$A,FALSE),MATCH(All!T$1,Winter!$1:$1,FALSE))="","",INDEX(Winter!$1:$1048576,MATCH(All!$A706,Winter!$A:$A,FALSE),MATCH(All!T$1,Winter!$1:$1,FALSE))),"")</f>
        <v>2A</v>
      </c>
      <c r="U706" t="str">
        <f>IFERROR(IF(INDEX(Winter!$1:$1048576,MATCH(All!$A706,Winter!$A:$A,FALSE),MATCH(All!U$1,Winter!$1:$1,FALSE))="","",INDEX(Winter!$1:$1048576,MATCH(All!$A706,Winter!$A:$A,FALSE),MATCH(All!U$1,Winter!$1:$1,FALSE))),"")</f>
        <v>3A</v>
      </c>
      <c r="W706">
        <f>IFERROR(IF(INDEX(Spring!$1:$1048576,MATCH(All!$A706,Spring!$A:$A,FALSE),MATCH(All!W$1,Spring!$1:$1,FALSE))="","",INDEX(Spring!$1:$1048576,MATCH(All!$A706,Spring!$A:$A,FALSE),MATCH(All!W$1,Spring!$1:$1,FALSE))),"")</f>
        <v>1740</v>
      </c>
      <c r="X706" t="str">
        <f>IFERROR(IF(INDEX(Spring!$1:$1048576,MATCH(All!$A706,Spring!$A:$A,FALSE),MATCH(All!X$1,Spring!$1:$1,FALSE))="","",INDEX(Spring!$1:$1048576,MATCH(All!$A706,Spring!$A:$A,FALSE),MATCH(All!X$1,Spring!$1:$1,FALSE))),"")</f>
        <v>4A</v>
      </c>
      <c r="Y706" t="str">
        <f>IFERROR(IF(INDEX(Spring!$1:$1048576,MATCH(All!$A706,Spring!$A:$A,FALSE),MATCH(All!Y$1,Spring!$1:$1,FALSE))="","",INDEX(Spring!$1:$1048576,MATCH(All!$A706,Spring!$A:$A,FALSE),MATCH(All!Y$1,Spring!$1:$1,FALSE))),"")</f>
        <v>4A</v>
      </c>
      <c r="Z706" t="str">
        <f>IFERROR(IF(INDEX(Spring!$1:$1048576,MATCH(All!$A706,Spring!$A:$A,FALSE),MATCH(All!Z$1,Spring!$1:$1,FALSE))="","",INDEX(Spring!$1:$1048576,MATCH(All!$A706,Spring!$A:$A,FALSE),MATCH(All!Z$1,Spring!$1:$1,FALSE))),"")</f>
        <v>2A</v>
      </c>
      <c r="AA706" t="str">
        <f>IFERROR(IF(INDEX(Spring!$1:$1048576,MATCH(All!$A706,Spring!$A:$A,FALSE),MATCH(All!AA$1,Spring!$1:$1,FALSE))="","",INDEX(Spring!$1:$1048576,MATCH(All!$A706,Spring!$A:$A,FALSE),MATCH(All!AA$1,Spring!$1:$1,FALSE))),"")</f>
        <v>2A</v>
      </c>
      <c r="AB706" t="str">
        <f>IFERROR(IF(INDEX(Spring!$1:$1048576,MATCH(All!$A706,Spring!$A:$A,FALSE),MATCH(All!AB$1,Spring!$1:$1,FALSE))="","",INDEX(Spring!$1:$1048576,MATCH(All!$A706,Spring!$A:$A,FALSE),MATCH(All!AB$1,Spring!$1:$1,FALSE))),"")</f>
        <v>3A</v>
      </c>
      <c r="AC706" t="str">
        <f>IFERROR(IF(INDEX(Spring!$1:$1048576,MATCH(All!$A706,Spring!$A:$A,FALSE),MATCH(All!AC$1,Spring!$1:$1,FALSE))="","",INDEX(Spring!$1:$1048576,MATCH(All!$A706,Spring!$A:$A,FALSE),MATCH(All!AC$1,Spring!$1:$1,FALSE))),"")</f>
        <v>3A</v>
      </c>
      <c r="AD706" t="str">
        <f>IFERROR(VLOOKUP(A706,'Flag Football'!A:A,1,FALSE),"")</f>
        <v>Summit (Argo)</v>
      </c>
      <c r="AE706" t="str">
        <f t="shared" si="10"/>
        <v>1A</v>
      </c>
    </row>
    <row r="707" spans="1:31" ht="15.75" thickBot="1" x14ac:dyDescent="0.3">
      <c r="A707" s="18" t="s">
        <v>814</v>
      </c>
      <c r="B707" s="38">
        <f>IFERROR(VLOOKUP(A707,'Public v Private'!A:G,3,FALSE),"")</f>
        <v>0</v>
      </c>
      <c r="C707" s="38">
        <f>IFERROR(VLOOKUP(A707,'Public v Private'!A:G,4,FALSE),"")</f>
        <v>0</v>
      </c>
      <c r="D707" s="38">
        <f>IFERROR(VLOOKUP(A707,'Public v Private'!A:G,5,FALSE),"")</f>
        <v>0</v>
      </c>
      <c r="E707" s="38"/>
      <c r="F707" s="40">
        <f>IFERROR(INDEX(Fall!$1:$1048576,MATCH(All!$A707,Fall!$A:$A,FALSE),MATCH(All!F$1,Fall!$1:$1,FALSE)),"N/A")</f>
        <v>1121</v>
      </c>
      <c r="G707" t="str">
        <f>IFERROR(IF(INDEX(Fall!$1:$1048576,MATCH(All!$A707,Fall!$A:$A,FALSE),MATCH(All!G$1,Fall!$1:$1,FALSE))="","",INDEX(Fall!$1:$1048576,MATCH(All!$A707,Fall!$A:$A,FALSE),MATCH(All!G$1,Fall!$1:$1,FALSE))),"")</f>
        <v>2A</v>
      </c>
      <c r="H707" t="str">
        <f>IFERROR(IF(INDEX(Fall!$1:$1048576,MATCH(All!$A707,Fall!$A:$A,FALSE),MATCH(All!H$1,Fall!$1:$1,FALSE))="","",INDEX(Fall!$1:$1048576,MATCH(All!$A707,Fall!$A:$A,FALSE),MATCH(All!H$1,Fall!$1:$1,FALSE))),"")</f>
        <v>2A</v>
      </c>
      <c r="I707" t="str">
        <f>IFERROR(IF(INDEX(Fall!$1:$1048576,MATCH(All!$A707,Fall!$A:$A,FALSE),MATCH(All!I$1,Fall!$1:$1,FALSE))="","",INDEX(Fall!$1:$1048576,MATCH(All!$A707,Fall!$A:$A,FALSE),MATCH(All!I$1,Fall!$1:$1,FALSE))),"")</f>
        <v>2A</v>
      </c>
      <c r="J707" t="str">
        <f>IFERROR(IF(INDEX(Fall!$1:$1048576,MATCH(All!$A707,Fall!$A:$A,FALSE),MATCH(All!J$1,Fall!$1:$1,FALSE))="","",INDEX(Fall!$1:$1048576,MATCH(All!$A707,Fall!$A:$A,FALSE),MATCH(All!J$1,Fall!$1:$1,FALSE))),"")</f>
        <v>2A</v>
      </c>
      <c r="K707" t="str">
        <f>IFERROR(IF(INDEX(Fall!$1:$1048576,MATCH(All!$A707,Fall!$A:$A,FALSE),MATCH(All!K$1,Fall!$1:$1,FALSE))="","",INDEX(Fall!$1:$1048576,MATCH(All!$A707,Fall!$A:$A,FALSE),MATCH(All!K$1,Fall!$1:$1,FALSE))),"")</f>
        <v>2A</v>
      </c>
      <c r="L707" t="str">
        <f>IFERROR(IF(INDEX(Fall!$1:$1048576,MATCH(All!$A707,Fall!$A:$A,FALSE),MATCH(All!L$1,Fall!$1:$1,FALSE))="","",INDEX(Fall!$1:$1048576,MATCH(All!$A707,Fall!$A:$A,FALSE),MATCH(All!L$1,Fall!$1:$1,FALSE))),"")</f>
        <v>1A</v>
      </c>
      <c r="M707" t="str">
        <f>IFERROR(IF(INDEX(Fall!$1:$1048576,MATCH(All!$A707,Fall!$A:$A,FALSE),MATCH(All!M$1,Fall!$1:$1,FALSE))="","",INDEX(Fall!$1:$1048576,MATCH(All!$A707,Fall!$A:$A,FALSE),MATCH(All!M$1,Fall!$1:$1,FALSE))),"")</f>
        <v>3A</v>
      </c>
      <c r="O707">
        <f>IFERROR(IF(INDEX(Winter!$1:$1048576,MATCH(All!$A707,Winter!$A:$A,FALSE),MATCH(All!O$1,Winter!$1:$1,FALSE))="","",INDEX(Winter!$1:$1048576,MATCH(All!$A707,Winter!$A:$A,FALSE),MATCH(All!O$1,Winter!$1:$1,FALSE))),"")</f>
        <v>1121</v>
      </c>
      <c r="P707" t="str">
        <f>IFERROR(IF(INDEX(Winter!$1:$1048576,MATCH(All!$A707,Winter!$A:$A,FALSE),MATCH(All!P$1,Winter!$1:$1,FALSE))="","",INDEX(Winter!$1:$1048576,MATCH(All!$A707,Winter!$A:$A,FALSE),MATCH(All!P$1,Winter!$1:$1,FALSE))),"")</f>
        <v>3A</v>
      </c>
      <c r="Q707" t="str">
        <f>IFERROR(IF(INDEX(Winter!$1:$1048576,MATCH(All!$A707,Winter!$A:$A,FALSE),MATCH(All!Q$1,Winter!$1:$1,FALSE))="","",INDEX(Winter!$1:$1048576,MATCH(All!$A707,Winter!$A:$A,FALSE),MATCH(All!Q$1,Winter!$1:$1,FALSE))),"")</f>
        <v>3A</v>
      </c>
      <c r="R707" t="str">
        <f>IFERROR(IF(INDEX(Winter!$1:$1048576,MATCH(All!$A707,Winter!$A:$A,FALSE),MATCH(All!R$1,Winter!$1:$1,FALSE))="","",INDEX(Winter!$1:$1048576,MATCH(All!$A707,Winter!$A:$A,FALSE),MATCH(All!R$1,Winter!$1:$1,FALSE))),"")</f>
        <v>2A</v>
      </c>
      <c r="S707" t="str">
        <f>IFERROR(IF(INDEX(Winter!$1:$1048576,MATCH(All!$A707,Winter!$A:$A,FALSE),MATCH(All!S$1,Winter!$1:$1,FALSE))="","",INDEX(Winter!$1:$1048576,MATCH(All!$A707,Winter!$A:$A,FALSE),MATCH(All!S$1,Winter!$1:$1,FALSE))),"")</f>
        <v>2A</v>
      </c>
      <c r="T707" t="str">
        <f>IFERROR(IF(INDEX(Winter!$1:$1048576,MATCH(All!$A707,Winter!$A:$A,FALSE),MATCH(All!T$1,Winter!$1:$1,FALSE))="","",INDEX(Winter!$1:$1048576,MATCH(All!$A707,Winter!$A:$A,FALSE),MATCH(All!T$1,Winter!$1:$1,FALSE))),"")</f>
        <v/>
      </c>
      <c r="U707" t="str">
        <f>IFERROR(IF(INDEX(Winter!$1:$1048576,MATCH(All!$A707,Winter!$A:$A,FALSE),MATCH(All!U$1,Winter!$1:$1,FALSE))="","",INDEX(Winter!$1:$1048576,MATCH(All!$A707,Winter!$A:$A,FALSE),MATCH(All!U$1,Winter!$1:$1,FALSE))),"")</f>
        <v>2A</v>
      </c>
      <c r="W707">
        <f>IFERROR(IF(INDEX(Spring!$1:$1048576,MATCH(All!$A707,Spring!$A:$A,FALSE),MATCH(All!W$1,Spring!$1:$1,FALSE))="","",INDEX(Spring!$1:$1048576,MATCH(All!$A707,Spring!$A:$A,FALSE),MATCH(All!W$1,Spring!$1:$1,FALSE))),"")</f>
        <v>1121</v>
      </c>
      <c r="X707" t="str">
        <f>IFERROR(IF(INDEX(Spring!$1:$1048576,MATCH(All!$A707,Spring!$A:$A,FALSE),MATCH(All!X$1,Spring!$1:$1,FALSE))="","",INDEX(Spring!$1:$1048576,MATCH(All!$A707,Spring!$A:$A,FALSE),MATCH(All!X$1,Spring!$1:$1,FALSE))),"")</f>
        <v>3A</v>
      </c>
      <c r="Y707" t="str">
        <f>IFERROR(IF(INDEX(Spring!$1:$1048576,MATCH(All!$A707,Spring!$A:$A,FALSE),MATCH(All!Y$1,Spring!$1:$1,FALSE))="","",INDEX(Spring!$1:$1048576,MATCH(All!$A707,Spring!$A:$A,FALSE),MATCH(All!Y$1,Spring!$1:$1,FALSE))),"")</f>
        <v>3A</v>
      </c>
      <c r="Z707" t="str">
        <f>IFERROR(IF(INDEX(Spring!$1:$1048576,MATCH(All!$A707,Spring!$A:$A,FALSE),MATCH(All!Z$1,Spring!$1:$1,FALSE))="","",INDEX(Spring!$1:$1048576,MATCH(All!$A707,Spring!$A:$A,FALSE),MATCH(All!Z$1,Spring!$1:$1,FALSE))),"")</f>
        <v>2A</v>
      </c>
      <c r="AA707" t="str">
        <f>IFERROR(IF(INDEX(Spring!$1:$1048576,MATCH(All!$A707,Spring!$A:$A,FALSE),MATCH(All!AA$1,Spring!$1:$1,FALSE))="","",INDEX(Spring!$1:$1048576,MATCH(All!$A707,Spring!$A:$A,FALSE),MATCH(All!AA$1,Spring!$1:$1,FALSE))),"")</f>
        <v>1A</v>
      </c>
      <c r="AB707" t="str">
        <f>IFERROR(IF(INDEX(Spring!$1:$1048576,MATCH(All!$A707,Spring!$A:$A,FALSE),MATCH(All!AB$1,Spring!$1:$1,FALSE))="","",INDEX(Spring!$1:$1048576,MATCH(All!$A707,Spring!$A:$A,FALSE),MATCH(All!AB$1,Spring!$1:$1,FALSE))),"")</f>
        <v>2A</v>
      </c>
      <c r="AC707" t="str">
        <f>IFERROR(IF(INDEX(Spring!$1:$1048576,MATCH(All!$A707,Spring!$A:$A,FALSE),MATCH(All!AC$1,Spring!$1:$1,FALSE))="","",INDEX(Spring!$1:$1048576,MATCH(All!$A707,Spring!$A:$A,FALSE),MATCH(All!AC$1,Spring!$1:$1,FALSE))),"")</f>
        <v>2A</v>
      </c>
      <c r="AD707" t="str">
        <f>IFERROR(VLOOKUP(A707,'Flag Football'!A:A,1,FALSE),"")</f>
        <v/>
      </c>
      <c r="AE707" t="str">
        <f t="shared" ref="AE707:AE770" si="11">IF(AD707="","","1A")</f>
        <v/>
      </c>
    </row>
    <row r="708" spans="1:31" ht="15.75" thickBot="1" x14ac:dyDescent="0.3">
      <c r="A708" s="20" t="s">
        <v>815</v>
      </c>
      <c r="B708" s="38">
        <f>IFERROR(VLOOKUP(A708,'Public v Private'!A:G,3,FALSE),"")</f>
        <v>0</v>
      </c>
      <c r="C708" s="38">
        <f>IFERROR(VLOOKUP(A708,'Public v Private'!A:G,4,FALSE),"")</f>
        <v>0</v>
      </c>
      <c r="D708" s="38">
        <f>IFERROR(VLOOKUP(A708,'Public v Private'!A:G,5,FALSE),"")</f>
        <v>0</v>
      </c>
      <c r="E708" s="38"/>
      <c r="F708" s="40">
        <f>IFERROR(INDEX(Fall!$1:$1048576,MATCH(All!$A708,Fall!$A:$A,FALSE),MATCH(All!F$1,Fall!$1:$1,FALSE)),"N/A")</f>
        <v>82</v>
      </c>
      <c r="G708" t="str">
        <f>IFERROR(IF(INDEX(Fall!$1:$1048576,MATCH(All!$A708,Fall!$A:$A,FALSE),MATCH(All!G$1,Fall!$1:$1,FALSE))="","",INDEX(Fall!$1:$1048576,MATCH(All!$A708,Fall!$A:$A,FALSE),MATCH(All!G$1,Fall!$1:$1,FALSE))),"")</f>
        <v/>
      </c>
      <c r="H708" t="str">
        <f>IFERROR(IF(INDEX(Fall!$1:$1048576,MATCH(All!$A708,Fall!$A:$A,FALSE),MATCH(All!H$1,Fall!$1:$1,FALSE))="","",INDEX(Fall!$1:$1048576,MATCH(All!$A708,Fall!$A:$A,FALSE),MATCH(All!H$1,Fall!$1:$1,FALSE))),"")</f>
        <v/>
      </c>
      <c r="I708" t="str">
        <f>IFERROR(IF(INDEX(Fall!$1:$1048576,MATCH(All!$A708,Fall!$A:$A,FALSE),MATCH(All!I$1,Fall!$1:$1,FALSE))="","",INDEX(Fall!$1:$1048576,MATCH(All!$A708,Fall!$A:$A,FALSE),MATCH(All!I$1,Fall!$1:$1,FALSE))),"")</f>
        <v>1A</v>
      </c>
      <c r="J708" t="str">
        <f>IFERROR(IF(INDEX(Fall!$1:$1048576,MATCH(All!$A708,Fall!$A:$A,FALSE),MATCH(All!J$1,Fall!$1:$1,FALSE))="","",INDEX(Fall!$1:$1048576,MATCH(All!$A708,Fall!$A:$A,FALSE),MATCH(All!J$1,Fall!$1:$1,FALSE))),"")</f>
        <v/>
      </c>
      <c r="K708" t="str">
        <f>IFERROR(IF(INDEX(Fall!$1:$1048576,MATCH(All!$A708,Fall!$A:$A,FALSE),MATCH(All!K$1,Fall!$1:$1,FALSE))="","",INDEX(Fall!$1:$1048576,MATCH(All!$A708,Fall!$A:$A,FALSE),MATCH(All!K$1,Fall!$1:$1,FALSE))),"")</f>
        <v/>
      </c>
      <c r="L708" t="str">
        <f>IFERROR(IF(INDEX(Fall!$1:$1048576,MATCH(All!$A708,Fall!$A:$A,FALSE),MATCH(All!L$1,Fall!$1:$1,FALSE))="","",INDEX(Fall!$1:$1048576,MATCH(All!$A708,Fall!$A:$A,FALSE),MATCH(All!L$1,Fall!$1:$1,FALSE))),"")</f>
        <v/>
      </c>
      <c r="M708" t="str">
        <f>IFERROR(IF(INDEX(Fall!$1:$1048576,MATCH(All!$A708,Fall!$A:$A,FALSE),MATCH(All!M$1,Fall!$1:$1,FALSE))="","",INDEX(Fall!$1:$1048576,MATCH(All!$A708,Fall!$A:$A,FALSE),MATCH(All!M$1,Fall!$1:$1,FALSE))),"")</f>
        <v>1A</v>
      </c>
      <c r="O708">
        <f>IFERROR(IF(INDEX(Winter!$1:$1048576,MATCH(All!$A708,Winter!$A:$A,FALSE),MATCH(All!O$1,Winter!$1:$1,FALSE))="","",INDEX(Winter!$1:$1048576,MATCH(All!$A708,Winter!$A:$A,FALSE),MATCH(All!O$1,Winter!$1:$1,FALSE))),"")</f>
        <v>82</v>
      </c>
      <c r="P708" t="str">
        <f>IFERROR(IF(INDEX(Winter!$1:$1048576,MATCH(All!$A708,Winter!$A:$A,FALSE),MATCH(All!P$1,Winter!$1:$1,FALSE))="","",INDEX(Winter!$1:$1048576,MATCH(All!$A708,Winter!$A:$A,FALSE),MATCH(All!P$1,Winter!$1:$1,FALSE))),"")</f>
        <v>1A</v>
      </c>
      <c r="Q708" t="str">
        <f>IFERROR(IF(INDEX(Winter!$1:$1048576,MATCH(All!$A708,Winter!$A:$A,FALSE),MATCH(All!Q$1,Winter!$1:$1,FALSE))="","",INDEX(Winter!$1:$1048576,MATCH(All!$A708,Winter!$A:$A,FALSE),MATCH(All!Q$1,Winter!$1:$1,FALSE))),"")</f>
        <v>1A</v>
      </c>
      <c r="R708" t="str">
        <f>IFERROR(IF(INDEX(Winter!$1:$1048576,MATCH(All!$A708,Winter!$A:$A,FALSE),MATCH(All!R$1,Winter!$1:$1,FALSE))="","",INDEX(Winter!$1:$1048576,MATCH(All!$A708,Winter!$A:$A,FALSE),MATCH(All!R$1,Winter!$1:$1,FALSE))),"")</f>
        <v/>
      </c>
      <c r="S708" t="str">
        <f>IFERROR(IF(INDEX(Winter!$1:$1048576,MATCH(All!$A708,Winter!$A:$A,FALSE),MATCH(All!S$1,Winter!$1:$1,FALSE))="","",INDEX(Winter!$1:$1048576,MATCH(All!$A708,Winter!$A:$A,FALSE),MATCH(All!S$1,Winter!$1:$1,FALSE))),"")</f>
        <v/>
      </c>
      <c r="T708" t="str">
        <f>IFERROR(IF(INDEX(Winter!$1:$1048576,MATCH(All!$A708,Winter!$A:$A,FALSE),MATCH(All!T$1,Winter!$1:$1,FALSE))="","",INDEX(Winter!$1:$1048576,MATCH(All!$A708,Winter!$A:$A,FALSE),MATCH(All!T$1,Winter!$1:$1,FALSE))),"")</f>
        <v/>
      </c>
      <c r="U708" t="str">
        <f>IFERROR(IF(INDEX(Winter!$1:$1048576,MATCH(All!$A708,Winter!$A:$A,FALSE),MATCH(All!U$1,Winter!$1:$1,FALSE))="","",INDEX(Winter!$1:$1048576,MATCH(All!$A708,Winter!$A:$A,FALSE),MATCH(All!U$1,Winter!$1:$1,FALSE))),"")</f>
        <v/>
      </c>
      <c r="W708">
        <f>IFERROR(IF(INDEX(Spring!$1:$1048576,MATCH(All!$A708,Spring!$A:$A,FALSE),MATCH(All!W$1,Spring!$1:$1,FALSE))="","",INDEX(Spring!$1:$1048576,MATCH(All!$A708,Spring!$A:$A,FALSE),MATCH(All!W$1,Spring!$1:$1,FALSE))),"")</f>
        <v>82</v>
      </c>
      <c r="X708" t="str">
        <f>IFERROR(IF(INDEX(Spring!$1:$1048576,MATCH(All!$A708,Spring!$A:$A,FALSE),MATCH(All!X$1,Spring!$1:$1,FALSE))="","",INDEX(Spring!$1:$1048576,MATCH(All!$A708,Spring!$A:$A,FALSE),MATCH(All!X$1,Spring!$1:$1,FALSE))),"")</f>
        <v/>
      </c>
      <c r="Y708" t="str">
        <f>IFERROR(IF(INDEX(Spring!$1:$1048576,MATCH(All!$A708,Spring!$A:$A,FALSE),MATCH(All!Y$1,Spring!$1:$1,FALSE))="","",INDEX(Spring!$1:$1048576,MATCH(All!$A708,Spring!$A:$A,FALSE),MATCH(All!Y$1,Spring!$1:$1,FALSE))),"")</f>
        <v>1A</v>
      </c>
      <c r="Z708" t="str">
        <f>IFERROR(IF(INDEX(Spring!$1:$1048576,MATCH(All!$A708,Spring!$A:$A,FALSE),MATCH(All!Z$1,Spring!$1:$1,FALSE))="","",INDEX(Spring!$1:$1048576,MATCH(All!$A708,Spring!$A:$A,FALSE),MATCH(All!Z$1,Spring!$1:$1,FALSE))),"")</f>
        <v/>
      </c>
      <c r="AA708" t="str">
        <f>IFERROR(IF(INDEX(Spring!$1:$1048576,MATCH(All!$A708,Spring!$A:$A,FALSE),MATCH(All!AA$1,Spring!$1:$1,FALSE))="","",INDEX(Spring!$1:$1048576,MATCH(All!$A708,Spring!$A:$A,FALSE),MATCH(All!AA$1,Spring!$1:$1,FALSE))),"")</f>
        <v/>
      </c>
      <c r="AB708" t="str">
        <f>IFERROR(IF(INDEX(Spring!$1:$1048576,MATCH(All!$A708,Spring!$A:$A,FALSE),MATCH(All!AB$1,Spring!$1:$1,FALSE))="","",INDEX(Spring!$1:$1048576,MATCH(All!$A708,Spring!$A:$A,FALSE),MATCH(All!AB$1,Spring!$1:$1,FALSE))),"")</f>
        <v>1A</v>
      </c>
      <c r="AC708" t="str">
        <f>IFERROR(IF(INDEX(Spring!$1:$1048576,MATCH(All!$A708,Spring!$A:$A,FALSE),MATCH(All!AC$1,Spring!$1:$1,FALSE))="","",INDEX(Spring!$1:$1048576,MATCH(All!$A708,Spring!$A:$A,FALSE),MATCH(All!AC$1,Spring!$1:$1,FALSE))),"")</f>
        <v>1A</v>
      </c>
      <c r="AD708" t="str">
        <f>IFERROR(VLOOKUP(A708,'Flag Football'!A:A,1,FALSE),"")</f>
        <v/>
      </c>
      <c r="AE708" t="str">
        <f t="shared" si="11"/>
        <v/>
      </c>
    </row>
    <row r="709" spans="1:31" ht="15.75" thickBot="1" x14ac:dyDescent="0.3">
      <c r="A709" s="18" t="s">
        <v>816</v>
      </c>
      <c r="B709" s="38">
        <f>IFERROR(VLOOKUP(A709,'Public v Private'!A:G,3,FALSE),"")</f>
        <v>0</v>
      </c>
      <c r="C709" s="38">
        <f>IFERROR(VLOOKUP(A709,'Public v Private'!A:G,4,FALSE),"")</f>
        <v>0</v>
      </c>
      <c r="D709" s="38">
        <f>IFERROR(VLOOKUP(A709,'Public v Private'!A:G,5,FALSE),"")</f>
        <v>0</v>
      </c>
      <c r="E709" s="38"/>
      <c r="F709" s="40">
        <f>IFERROR(INDEX(Fall!$1:$1048576,MATCH(All!$A709,Fall!$A:$A,FALSE),MATCH(All!F$1,Fall!$1:$1,FALSE)),"N/A")</f>
        <v>322</v>
      </c>
      <c r="G709" t="str">
        <f>IFERROR(IF(INDEX(Fall!$1:$1048576,MATCH(All!$A709,Fall!$A:$A,FALSE),MATCH(All!G$1,Fall!$1:$1,FALSE))="","",INDEX(Fall!$1:$1048576,MATCH(All!$A709,Fall!$A:$A,FALSE),MATCH(All!G$1,Fall!$1:$1,FALSE))),"")</f>
        <v>1A</v>
      </c>
      <c r="H709" t="str">
        <f>IFERROR(IF(INDEX(Fall!$1:$1048576,MATCH(All!$A709,Fall!$A:$A,FALSE),MATCH(All!H$1,Fall!$1:$1,FALSE))="","",INDEX(Fall!$1:$1048576,MATCH(All!$A709,Fall!$A:$A,FALSE),MATCH(All!H$1,Fall!$1:$1,FALSE))),"")</f>
        <v>1A</v>
      </c>
      <c r="I709" t="str">
        <f>IFERROR(IF(INDEX(Fall!$1:$1048576,MATCH(All!$A709,Fall!$A:$A,FALSE),MATCH(All!I$1,Fall!$1:$1,FALSE))="","",INDEX(Fall!$1:$1048576,MATCH(All!$A709,Fall!$A:$A,FALSE),MATCH(All!I$1,Fall!$1:$1,FALSE))),"")</f>
        <v>1A</v>
      </c>
      <c r="J709" t="str">
        <f>IFERROR(IF(INDEX(Fall!$1:$1048576,MATCH(All!$A709,Fall!$A:$A,FALSE),MATCH(All!J$1,Fall!$1:$1,FALSE))="","",INDEX(Fall!$1:$1048576,MATCH(All!$A709,Fall!$A:$A,FALSE),MATCH(All!J$1,Fall!$1:$1,FALSE))),"")</f>
        <v>1A</v>
      </c>
      <c r="K709" t="str">
        <f>IFERROR(IF(INDEX(Fall!$1:$1048576,MATCH(All!$A709,Fall!$A:$A,FALSE),MATCH(All!K$1,Fall!$1:$1,FALSE))="","",INDEX(Fall!$1:$1048576,MATCH(All!$A709,Fall!$A:$A,FALSE),MATCH(All!K$1,Fall!$1:$1,FALSE))),"")</f>
        <v/>
      </c>
      <c r="L709" t="str">
        <f>IFERROR(IF(INDEX(Fall!$1:$1048576,MATCH(All!$A709,Fall!$A:$A,FALSE),MATCH(All!L$1,Fall!$1:$1,FALSE))="","",INDEX(Fall!$1:$1048576,MATCH(All!$A709,Fall!$A:$A,FALSE),MATCH(All!L$1,Fall!$1:$1,FALSE))),"")</f>
        <v/>
      </c>
      <c r="M709" t="str">
        <f>IFERROR(IF(INDEX(Fall!$1:$1048576,MATCH(All!$A709,Fall!$A:$A,FALSE),MATCH(All!M$1,Fall!$1:$1,FALSE))="","",INDEX(Fall!$1:$1048576,MATCH(All!$A709,Fall!$A:$A,FALSE),MATCH(All!M$1,Fall!$1:$1,FALSE))),"")</f>
        <v>2A</v>
      </c>
      <c r="O709">
        <f>IFERROR(IF(INDEX(Winter!$1:$1048576,MATCH(All!$A709,Winter!$A:$A,FALSE),MATCH(All!O$1,Winter!$1:$1,FALSE))="","",INDEX(Winter!$1:$1048576,MATCH(All!$A709,Winter!$A:$A,FALSE),MATCH(All!O$1,Winter!$1:$1,FALSE))),"")</f>
        <v>322</v>
      </c>
      <c r="P709" t="str">
        <f>IFERROR(IF(INDEX(Winter!$1:$1048576,MATCH(All!$A709,Winter!$A:$A,FALSE),MATCH(All!P$1,Winter!$1:$1,FALSE))="","",INDEX(Winter!$1:$1048576,MATCH(All!$A709,Winter!$A:$A,FALSE),MATCH(All!P$1,Winter!$1:$1,FALSE))),"")</f>
        <v>2A</v>
      </c>
      <c r="Q709" t="str">
        <f>IFERROR(IF(INDEX(Winter!$1:$1048576,MATCH(All!$A709,Winter!$A:$A,FALSE),MATCH(All!Q$1,Winter!$1:$1,FALSE))="","",INDEX(Winter!$1:$1048576,MATCH(All!$A709,Winter!$A:$A,FALSE),MATCH(All!Q$1,Winter!$1:$1,FALSE))),"")</f>
        <v>2A</v>
      </c>
      <c r="R709" t="str">
        <f>IFERROR(IF(INDEX(Winter!$1:$1048576,MATCH(All!$A709,Winter!$A:$A,FALSE),MATCH(All!R$1,Winter!$1:$1,FALSE))="","",INDEX(Winter!$1:$1048576,MATCH(All!$A709,Winter!$A:$A,FALSE),MATCH(All!R$1,Winter!$1:$1,FALSE))),"")</f>
        <v>1A</v>
      </c>
      <c r="S709" t="str">
        <f>IFERROR(IF(INDEX(Winter!$1:$1048576,MATCH(All!$A709,Winter!$A:$A,FALSE),MATCH(All!S$1,Winter!$1:$1,FALSE))="","",INDEX(Winter!$1:$1048576,MATCH(All!$A709,Winter!$A:$A,FALSE),MATCH(All!S$1,Winter!$1:$1,FALSE))),"")</f>
        <v>1A</v>
      </c>
      <c r="T709" t="str">
        <f>IFERROR(IF(INDEX(Winter!$1:$1048576,MATCH(All!$A709,Winter!$A:$A,FALSE),MATCH(All!T$1,Winter!$1:$1,FALSE))="","",INDEX(Winter!$1:$1048576,MATCH(All!$A709,Winter!$A:$A,FALSE),MATCH(All!T$1,Winter!$1:$1,FALSE))),"")</f>
        <v>1A</v>
      </c>
      <c r="U709" t="str">
        <f>IFERROR(IF(INDEX(Winter!$1:$1048576,MATCH(All!$A709,Winter!$A:$A,FALSE),MATCH(All!U$1,Winter!$1:$1,FALSE))="","",INDEX(Winter!$1:$1048576,MATCH(All!$A709,Winter!$A:$A,FALSE),MATCH(All!U$1,Winter!$1:$1,FALSE))),"")</f>
        <v>1A</v>
      </c>
      <c r="W709">
        <f>IFERROR(IF(INDEX(Spring!$1:$1048576,MATCH(All!$A709,Spring!$A:$A,FALSE),MATCH(All!W$1,Spring!$1:$1,FALSE))="","",INDEX(Spring!$1:$1048576,MATCH(All!$A709,Spring!$A:$A,FALSE),MATCH(All!W$1,Spring!$1:$1,FALSE))),"")</f>
        <v>322</v>
      </c>
      <c r="X709" t="str">
        <f>IFERROR(IF(INDEX(Spring!$1:$1048576,MATCH(All!$A709,Spring!$A:$A,FALSE),MATCH(All!X$1,Spring!$1:$1,FALSE))="","",INDEX(Spring!$1:$1048576,MATCH(All!$A709,Spring!$A:$A,FALSE),MATCH(All!X$1,Spring!$1:$1,FALSE))),"")</f>
        <v>2A</v>
      </c>
      <c r="Y709" t="str">
        <f>IFERROR(IF(INDEX(Spring!$1:$1048576,MATCH(All!$A709,Spring!$A:$A,FALSE),MATCH(All!Y$1,Spring!$1:$1,FALSE))="","",INDEX(Spring!$1:$1048576,MATCH(All!$A709,Spring!$A:$A,FALSE),MATCH(All!Y$1,Spring!$1:$1,FALSE))),"")</f>
        <v>2A</v>
      </c>
      <c r="Z709" t="str">
        <f>IFERROR(IF(INDEX(Spring!$1:$1048576,MATCH(All!$A709,Spring!$A:$A,FALSE),MATCH(All!Z$1,Spring!$1:$1,FALSE))="","",INDEX(Spring!$1:$1048576,MATCH(All!$A709,Spring!$A:$A,FALSE),MATCH(All!Z$1,Spring!$1:$1,FALSE))),"")</f>
        <v/>
      </c>
      <c r="AA709" t="str">
        <f>IFERROR(IF(INDEX(Spring!$1:$1048576,MATCH(All!$A709,Spring!$A:$A,FALSE),MATCH(All!AA$1,Spring!$1:$1,FALSE))="","",INDEX(Spring!$1:$1048576,MATCH(All!$A709,Spring!$A:$A,FALSE),MATCH(All!AA$1,Spring!$1:$1,FALSE))),"")</f>
        <v/>
      </c>
      <c r="AB709" t="str">
        <f>IFERROR(IF(INDEX(Spring!$1:$1048576,MATCH(All!$A709,Spring!$A:$A,FALSE),MATCH(All!AB$1,Spring!$1:$1,FALSE))="","",INDEX(Spring!$1:$1048576,MATCH(All!$A709,Spring!$A:$A,FALSE),MATCH(All!AB$1,Spring!$1:$1,FALSE))),"")</f>
        <v>1A</v>
      </c>
      <c r="AC709" t="str">
        <f>IFERROR(IF(INDEX(Spring!$1:$1048576,MATCH(All!$A709,Spring!$A:$A,FALSE),MATCH(All!AC$1,Spring!$1:$1,FALSE))="","",INDEX(Spring!$1:$1048576,MATCH(All!$A709,Spring!$A:$A,FALSE),MATCH(All!AC$1,Spring!$1:$1,FALSE))),"")</f>
        <v>1A</v>
      </c>
      <c r="AD709" t="str">
        <f>IFERROR(VLOOKUP(A709,'Flag Football'!A:A,1,FALSE),"")</f>
        <v/>
      </c>
      <c r="AE709" t="str">
        <f t="shared" si="11"/>
        <v/>
      </c>
    </row>
    <row r="710" spans="1:31" ht="15.75" thickBot="1" x14ac:dyDescent="0.3">
      <c r="A710" s="20" t="s">
        <v>817</v>
      </c>
      <c r="B710" s="38">
        <f>IFERROR(VLOOKUP(A710,'Public v Private'!A:G,3,FALSE),"")</f>
        <v>0</v>
      </c>
      <c r="C710" s="38">
        <f>IFERROR(VLOOKUP(A710,'Public v Private'!A:G,4,FALSE),"")</f>
        <v>0</v>
      </c>
      <c r="D710" s="38">
        <f>IFERROR(VLOOKUP(A710,'Public v Private'!A:G,5,FALSE),"")</f>
        <v>0</v>
      </c>
      <c r="E710" s="38"/>
      <c r="F710" s="40">
        <f>IFERROR(INDEX(Fall!$1:$1048576,MATCH(All!$A710,Fall!$A:$A,FALSE),MATCH(All!F$1,Fall!$1:$1,FALSE)),"N/A")</f>
        <v>726</v>
      </c>
      <c r="G710" t="str">
        <f>IFERROR(IF(INDEX(Fall!$1:$1048576,MATCH(All!$A710,Fall!$A:$A,FALSE),MATCH(All!G$1,Fall!$1:$1,FALSE))="","",INDEX(Fall!$1:$1048576,MATCH(All!$A710,Fall!$A:$A,FALSE),MATCH(All!G$1,Fall!$1:$1,FALSE))),"")</f>
        <v>2A</v>
      </c>
      <c r="H710" t="str">
        <f>IFERROR(IF(INDEX(Fall!$1:$1048576,MATCH(All!$A710,Fall!$A:$A,FALSE),MATCH(All!H$1,Fall!$1:$1,FALSE))="","",INDEX(Fall!$1:$1048576,MATCH(All!$A710,Fall!$A:$A,FALSE),MATCH(All!H$1,Fall!$1:$1,FALSE))),"")</f>
        <v>2A</v>
      </c>
      <c r="I710" t="str">
        <f>IFERROR(IF(INDEX(Fall!$1:$1048576,MATCH(All!$A710,Fall!$A:$A,FALSE),MATCH(All!I$1,Fall!$1:$1,FALSE))="","",INDEX(Fall!$1:$1048576,MATCH(All!$A710,Fall!$A:$A,FALSE),MATCH(All!I$1,Fall!$1:$1,FALSE))),"")</f>
        <v>2A</v>
      </c>
      <c r="J710" t="str">
        <f>IFERROR(IF(INDEX(Fall!$1:$1048576,MATCH(All!$A710,Fall!$A:$A,FALSE),MATCH(All!J$1,Fall!$1:$1,FALSE))="","",INDEX(Fall!$1:$1048576,MATCH(All!$A710,Fall!$A:$A,FALSE),MATCH(All!J$1,Fall!$1:$1,FALSE))),"")</f>
        <v>1A</v>
      </c>
      <c r="K710" t="str">
        <f>IFERROR(IF(INDEX(Fall!$1:$1048576,MATCH(All!$A710,Fall!$A:$A,FALSE),MATCH(All!K$1,Fall!$1:$1,FALSE))="","",INDEX(Fall!$1:$1048576,MATCH(All!$A710,Fall!$A:$A,FALSE),MATCH(All!K$1,Fall!$1:$1,FALSE))),"")</f>
        <v>2A</v>
      </c>
      <c r="L710" t="str">
        <f>IFERROR(IF(INDEX(Fall!$1:$1048576,MATCH(All!$A710,Fall!$A:$A,FALSE),MATCH(All!L$1,Fall!$1:$1,FALSE))="","",INDEX(Fall!$1:$1048576,MATCH(All!$A710,Fall!$A:$A,FALSE),MATCH(All!L$1,Fall!$1:$1,FALSE))),"")</f>
        <v>1A</v>
      </c>
      <c r="M710" t="str">
        <f>IFERROR(IF(INDEX(Fall!$1:$1048576,MATCH(All!$A710,Fall!$A:$A,FALSE),MATCH(All!M$1,Fall!$1:$1,FALSE))="","",INDEX(Fall!$1:$1048576,MATCH(All!$A710,Fall!$A:$A,FALSE),MATCH(All!M$1,Fall!$1:$1,FALSE))),"")</f>
        <v>3A</v>
      </c>
      <c r="O710">
        <f>IFERROR(IF(INDEX(Winter!$1:$1048576,MATCH(All!$A710,Winter!$A:$A,FALSE),MATCH(All!O$1,Winter!$1:$1,FALSE))="","",INDEX(Winter!$1:$1048576,MATCH(All!$A710,Winter!$A:$A,FALSE),MATCH(All!O$1,Winter!$1:$1,FALSE))),"")</f>
        <v>726</v>
      </c>
      <c r="P710" t="str">
        <f>IFERROR(IF(INDEX(Winter!$1:$1048576,MATCH(All!$A710,Winter!$A:$A,FALSE),MATCH(All!P$1,Winter!$1:$1,FALSE))="","",INDEX(Winter!$1:$1048576,MATCH(All!$A710,Winter!$A:$A,FALSE),MATCH(All!P$1,Winter!$1:$1,FALSE))),"")</f>
        <v>3A</v>
      </c>
      <c r="Q710" t="str">
        <f>IFERROR(IF(INDEX(Winter!$1:$1048576,MATCH(All!$A710,Winter!$A:$A,FALSE),MATCH(All!Q$1,Winter!$1:$1,FALSE))="","",INDEX(Winter!$1:$1048576,MATCH(All!$A710,Winter!$A:$A,FALSE),MATCH(All!Q$1,Winter!$1:$1,FALSE))),"")</f>
        <v>3A</v>
      </c>
      <c r="R710" t="str">
        <f>IFERROR(IF(INDEX(Winter!$1:$1048576,MATCH(All!$A710,Winter!$A:$A,FALSE),MATCH(All!R$1,Winter!$1:$1,FALSE))="","",INDEX(Winter!$1:$1048576,MATCH(All!$A710,Winter!$A:$A,FALSE),MATCH(All!R$1,Winter!$1:$1,FALSE))),"")</f>
        <v/>
      </c>
      <c r="S710" t="str">
        <f>IFERROR(IF(INDEX(Winter!$1:$1048576,MATCH(All!$A710,Winter!$A:$A,FALSE),MATCH(All!S$1,Winter!$1:$1,FALSE))="","",INDEX(Winter!$1:$1048576,MATCH(All!$A710,Winter!$A:$A,FALSE),MATCH(All!S$1,Winter!$1:$1,FALSE))),"")</f>
        <v/>
      </c>
      <c r="T710" t="str">
        <f>IFERROR(IF(INDEX(Winter!$1:$1048576,MATCH(All!$A710,Winter!$A:$A,FALSE),MATCH(All!T$1,Winter!$1:$1,FALSE))="","",INDEX(Winter!$1:$1048576,MATCH(All!$A710,Winter!$A:$A,FALSE),MATCH(All!T$1,Winter!$1:$1,FALSE))),"")</f>
        <v>2A</v>
      </c>
      <c r="U710" t="str">
        <f>IFERROR(IF(INDEX(Winter!$1:$1048576,MATCH(All!$A710,Winter!$A:$A,FALSE),MATCH(All!U$1,Winter!$1:$1,FALSE))="","",INDEX(Winter!$1:$1048576,MATCH(All!$A710,Winter!$A:$A,FALSE),MATCH(All!U$1,Winter!$1:$1,FALSE))),"")</f>
        <v>1A</v>
      </c>
      <c r="W710">
        <f>IFERROR(IF(INDEX(Spring!$1:$1048576,MATCH(All!$A710,Spring!$A:$A,FALSE),MATCH(All!W$1,Spring!$1:$1,FALSE))="","",INDEX(Spring!$1:$1048576,MATCH(All!$A710,Spring!$A:$A,FALSE),MATCH(All!W$1,Spring!$1:$1,FALSE))),"")</f>
        <v>726</v>
      </c>
      <c r="X710" t="str">
        <f>IFERROR(IF(INDEX(Spring!$1:$1048576,MATCH(All!$A710,Spring!$A:$A,FALSE),MATCH(All!X$1,Spring!$1:$1,FALSE))="","",INDEX(Spring!$1:$1048576,MATCH(All!$A710,Spring!$A:$A,FALSE),MATCH(All!X$1,Spring!$1:$1,FALSE))),"")</f>
        <v>3A</v>
      </c>
      <c r="Y710" t="str">
        <f>IFERROR(IF(INDEX(Spring!$1:$1048576,MATCH(All!$A710,Spring!$A:$A,FALSE),MATCH(All!Y$1,Spring!$1:$1,FALSE))="","",INDEX(Spring!$1:$1048576,MATCH(All!$A710,Spring!$A:$A,FALSE),MATCH(All!Y$1,Spring!$1:$1,FALSE))),"")</f>
        <v>3A</v>
      </c>
      <c r="Z710" t="str">
        <f>IFERROR(IF(INDEX(Spring!$1:$1048576,MATCH(All!$A710,Spring!$A:$A,FALSE),MATCH(All!Z$1,Spring!$1:$1,FALSE))="","",INDEX(Spring!$1:$1048576,MATCH(All!$A710,Spring!$A:$A,FALSE),MATCH(All!Z$1,Spring!$1:$1,FALSE))),"")</f>
        <v>1A</v>
      </c>
      <c r="AA710" t="str">
        <f>IFERROR(IF(INDEX(Spring!$1:$1048576,MATCH(All!$A710,Spring!$A:$A,FALSE),MATCH(All!AA$1,Spring!$1:$1,FALSE))="","",INDEX(Spring!$1:$1048576,MATCH(All!$A710,Spring!$A:$A,FALSE),MATCH(All!AA$1,Spring!$1:$1,FALSE))),"")</f>
        <v>1A</v>
      </c>
      <c r="AB710" t="str">
        <f>IFERROR(IF(INDEX(Spring!$1:$1048576,MATCH(All!$A710,Spring!$A:$A,FALSE),MATCH(All!AB$1,Spring!$1:$1,FALSE))="","",INDEX(Spring!$1:$1048576,MATCH(All!$A710,Spring!$A:$A,FALSE),MATCH(All!AB$1,Spring!$1:$1,FALSE))),"")</f>
        <v>2A</v>
      </c>
      <c r="AC710" t="str">
        <f>IFERROR(IF(INDEX(Spring!$1:$1048576,MATCH(All!$A710,Spring!$A:$A,FALSE),MATCH(All!AC$1,Spring!$1:$1,FALSE))="","",INDEX(Spring!$1:$1048576,MATCH(All!$A710,Spring!$A:$A,FALSE),MATCH(All!AC$1,Spring!$1:$1,FALSE))),"")</f>
        <v>2A</v>
      </c>
      <c r="AD710" t="str">
        <f>IFERROR(VLOOKUP(A710,'Flag Football'!A:A,1,FALSE),"")</f>
        <v/>
      </c>
      <c r="AE710" t="str">
        <f t="shared" si="11"/>
        <v/>
      </c>
    </row>
    <row r="711" spans="1:31" ht="15.75" thickBot="1" x14ac:dyDescent="0.3">
      <c r="A711" s="18" t="s">
        <v>818</v>
      </c>
      <c r="B711" s="38">
        <f>IFERROR(VLOOKUP(A711,'Public v Private'!A:G,3,FALSE),"")</f>
        <v>0</v>
      </c>
      <c r="C711" s="38">
        <f>IFERROR(VLOOKUP(A711,'Public v Private'!A:G,4,FALSE),"")</f>
        <v>0</v>
      </c>
      <c r="D711" s="38">
        <f>IFERROR(VLOOKUP(A711,'Public v Private'!A:G,5,FALSE),"")</f>
        <v>0</v>
      </c>
      <c r="E711" s="38"/>
      <c r="F711" s="40">
        <f>IFERROR(INDEX(Fall!$1:$1048576,MATCH(All!$A711,Fall!$A:$A,FALSE),MATCH(All!F$1,Fall!$1:$1,FALSE)),"N/A")</f>
        <v>337</v>
      </c>
      <c r="G711" t="str">
        <f>IFERROR(IF(INDEX(Fall!$1:$1048576,MATCH(All!$A711,Fall!$A:$A,FALSE),MATCH(All!G$1,Fall!$1:$1,FALSE))="","",INDEX(Fall!$1:$1048576,MATCH(All!$A711,Fall!$A:$A,FALSE),MATCH(All!G$1,Fall!$1:$1,FALSE))),"")</f>
        <v>1A</v>
      </c>
      <c r="H711" t="str">
        <f>IFERROR(IF(INDEX(Fall!$1:$1048576,MATCH(All!$A711,Fall!$A:$A,FALSE),MATCH(All!H$1,Fall!$1:$1,FALSE))="","",INDEX(Fall!$1:$1048576,MATCH(All!$A711,Fall!$A:$A,FALSE),MATCH(All!H$1,Fall!$1:$1,FALSE))),"")</f>
        <v>1A</v>
      </c>
      <c r="I711" t="str">
        <f>IFERROR(IF(INDEX(Fall!$1:$1048576,MATCH(All!$A711,Fall!$A:$A,FALSE),MATCH(All!I$1,Fall!$1:$1,FALSE))="","",INDEX(Fall!$1:$1048576,MATCH(All!$A711,Fall!$A:$A,FALSE),MATCH(All!I$1,Fall!$1:$1,FALSE))),"")</f>
        <v>1A</v>
      </c>
      <c r="J711" t="str">
        <f>IFERROR(IF(INDEX(Fall!$1:$1048576,MATCH(All!$A711,Fall!$A:$A,FALSE),MATCH(All!J$1,Fall!$1:$1,FALSE))="","",INDEX(Fall!$1:$1048576,MATCH(All!$A711,Fall!$A:$A,FALSE),MATCH(All!J$1,Fall!$1:$1,FALSE))),"")</f>
        <v>1A</v>
      </c>
      <c r="K711" t="str">
        <f>IFERROR(IF(INDEX(Fall!$1:$1048576,MATCH(All!$A711,Fall!$A:$A,FALSE),MATCH(All!K$1,Fall!$1:$1,FALSE))="","",INDEX(Fall!$1:$1048576,MATCH(All!$A711,Fall!$A:$A,FALSE),MATCH(All!K$1,Fall!$1:$1,FALSE))),"")</f>
        <v>1A</v>
      </c>
      <c r="L711" t="str">
        <f>IFERROR(IF(INDEX(Fall!$1:$1048576,MATCH(All!$A711,Fall!$A:$A,FALSE),MATCH(All!L$1,Fall!$1:$1,FALSE))="","",INDEX(Fall!$1:$1048576,MATCH(All!$A711,Fall!$A:$A,FALSE),MATCH(All!L$1,Fall!$1:$1,FALSE))),"")</f>
        <v>1A</v>
      </c>
      <c r="M711" t="str">
        <f>IFERROR(IF(INDEX(Fall!$1:$1048576,MATCH(All!$A711,Fall!$A:$A,FALSE),MATCH(All!M$1,Fall!$1:$1,FALSE))="","",INDEX(Fall!$1:$1048576,MATCH(All!$A711,Fall!$A:$A,FALSE),MATCH(All!M$1,Fall!$1:$1,FALSE))),"")</f>
        <v>2A</v>
      </c>
      <c r="O711">
        <f>IFERROR(IF(INDEX(Winter!$1:$1048576,MATCH(All!$A711,Winter!$A:$A,FALSE),MATCH(All!O$1,Winter!$1:$1,FALSE))="","",INDEX(Winter!$1:$1048576,MATCH(All!$A711,Winter!$A:$A,FALSE),MATCH(All!O$1,Winter!$1:$1,FALSE))),"")</f>
        <v>337</v>
      </c>
      <c r="P711" t="str">
        <f>IFERROR(IF(INDEX(Winter!$1:$1048576,MATCH(All!$A711,Winter!$A:$A,FALSE),MATCH(All!P$1,Winter!$1:$1,FALSE))="","",INDEX(Winter!$1:$1048576,MATCH(All!$A711,Winter!$A:$A,FALSE),MATCH(All!P$1,Winter!$1:$1,FALSE))),"")</f>
        <v>2A</v>
      </c>
      <c r="Q711" t="str">
        <f>IFERROR(IF(INDEX(Winter!$1:$1048576,MATCH(All!$A711,Winter!$A:$A,FALSE),MATCH(All!Q$1,Winter!$1:$1,FALSE))="","",INDEX(Winter!$1:$1048576,MATCH(All!$A711,Winter!$A:$A,FALSE),MATCH(All!Q$1,Winter!$1:$1,FALSE))),"")</f>
        <v>2A</v>
      </c>
      <c r="R711" t="str">
        <f>IFERROR(IF(INDEX(Winter!$1:$1048576,MATCH(All!$A711,Winter!$A:$A,FALSE),MATCH(All!R$1,Winter!$1:$1,FALSE))="","",INDEX(Winter!$1:$1048576,MATCH(All!$A711,Winter!$A:$A,FALSE),MATCH(All!R$1,Winter!$1:$1,FALSE))),"")</f>
        <v/>
      </c>
      <c r="S711" t="str">
        <f>IFERROR(IF(INDEX(Winter!$1:$1048576,MATCH(All!$A711,Winter!$A:$A,FALSE),MATCH(All!S$1,Winter!$1:$1,FALSE))="","",INDEX(Winter!$1:$1048576,MATCH(All!$A711,Winter!$A:$A,FALSE),MATCH(All!S$1,Winter!$1:$1,FALSE))),"")</f>
        <v/>
      </c>
      <c r="T711" t="str">
        <f>IFERROR(IF(INDEX(Winter!$1:$1048576,MATCH(All!$A711,Winter!$A:$A,FALSE),MATCH(All!T$1,Winter!$1:$1,FALSE))="","",INDEX(Winter!$1:$1048576,MATCH(All!$A711,Winter!$A:$A,FALSE),MATCH(All!T$1,Winter!$1:$1,FALSE))),"")</f>
        <v>1A</v>
      </c>
      <c r="U711" t="str">
        <f>IFERROR(IF(INDEX(Winter!$1:$1048576,MATCH(All!$A711,Winter!$A:$A,FALSE),MATCH(All!U$1,Winter!$1:$1,FALSE))="","",INDEX(Winter!$1:$1048576,MATCH(All!$A711,Winter!$A:$A,FALSE),MATCH(All!U$1,Winter!$1:$1,FALSE))),"")</f>
        <v/>
      </c>
      <c r="W711">
        <f>IFERROR(IF(INDEX(Spring!$1:$1048576,MATCH(All!$A711,Spring!$A:$A,FALSE),MATCH(All!W$1,Spring!$1:$1,FALSE))="","",INDEX(Spring!$1:$1048576,MATCH(All!$A711,Spring!$A:$A,FALSE),MATCH(All!W$1,Spring!$1:$1,FALSE))),"")</f>
        <v>337</v>
      </c>
      <c r="X711" t="str">
        <f>IFERROR(IF(INDEX(Spring!$1:$1048576,MATCH(All!$A711,Spring!$A:$A,FALSE),MATCH(All!X$1,Spring!$1:$1,FALSE))="","",INDEX(Spring!$1:$1048576,MATCH(All!$A711,Spring!$A:$A,FALSE),MATCH(All!X$1,Spring!$1:$1,FALSE))),"")</f>
        <v>2A</v>
      </c>
      <c r="Y711" t="str">
        <f>IFERROR(IF(INDEX(Spring!$1:$1048576,MATCH(All!$A711,Spring!$A:$A,FALSE),MATCH(All!Y$1,Spring!$1:$1,FALSE))="","",INDEX(Spring!$1:$1048576,MATCH(All!$A711,Spring!$A:$A,FALSE),MATCH(All!Y$1,Spring!$1:$1,FALSE))),"")</f>
        <v>2A</v>
      </c>
      <c r="Z711" t="str">
        <f>IFERROR(IF(INDEX(Spring!$1:$1048576,MATCH(All!$A711,Spring!$A:$A,FALSE),MATCH(All!Z$1,Spring!$1:$1,FALSE))="","",INDEX(Spring!$1:$1048576,MATCH(All!$A711,Spring!$A:$A,FALSE),MATCH(All!Z$1,Spring!$1:$1,FALSE))),"")</f>
        <v/>
      </c>
      <c r="AA711" t="str">
        <f>IFERROR(IF(INDEX(Spring!$1:$1048576,MATCH(All!$A711,Spring!$A:$A,FALSE),MATCH(All!AA$1,Spring!$1:$1,FALSE))="","",INDEX(Spring!$1:$1048576,MATCH(All!$A711,Spring!$A:$A,FALSE),MATCH(All!AA$1,Spring!$1:$1,FALSE))),"")</f>
        <v>1A</v>
      </c>
      <c r="AB711" t="str">
        <f>IFERROR(IF(INDEX(Spring!$1:$1048576,MATCH(All!$A711,Spring!$A:$A,FALSE),MATCH(All!AB$1,Spring!$1:$1,FALSE))="","",INDEX(Spring!$1:$1048576,MATCH(All!$A711,Spring!$A:$A,FALSE),MATCH(All!AB$1,Spring!$1:$1,FALSE))),"")</f>
        <v>1A</v>
      </c>
      <c r="AC711" t="str">
        <f>IFERROR(IF(INDEX(Spring!$1:$1048576,MATCH(All!$A711,Spring!$A:$A,FALSE),MATCH(All!AC$1,Spring!$1:$1,FALSE))="","",INDEX(Spring!$1:$1048576,MATCH(All!$A711,Spring!$A:$A,FALSE),MATCH(All!AC$1,Spring!$1:$1,FALSE))),"")</f>
        <v>1A</v>
      </c>
      <c r="AD711" t="str">
        <f>IFERROR(VLOOKUP(A711,'Flag Football'!A:A,1,FALSE),"")</f>
        <v/>
      </c>
      <c r="AE711" t="str">
        <f t="shared" si="11"/>
        <v/>
      </c>
    </row>
    <row r="712" spans="1:31" ht="15.75" thickBot="1" x14ac:dyDescent="0.3">
      <c r="A712" s="20" t="s">
        <v>970</v>
      </c>
      <c r="B712" s="38">
        <f>IFERROR(VLOOKUP(A712,'Public v Private'!A:G,3,FALSE),"")</f>
        <v>0</v>
      </c>
      <c r="C712" s="38">
        <f>IFERROR(VLOOKUP(A712,'Public v Private'!A:G,4,FALSE),"")</f>
        <v>0</v>
      </c>
      <c r="D712" s="38">
        <f>IFERROR(VLOOKUP(A712,'Public v Private'!A:G,5,FALSE),"")</f>
        <v>0</v>
      </c>
      <c r="E712" s="38"/>
      <c r="F712" s="40">
        <f>IFERROR(INDEX(Fall!$1:$1048576,MATCH(All!$A712,Fall!$A:$A,FALSE),MATCH(All!F$1,Fall!$1:$1,FALSE)),"N/A")</f>
        <v>89</v>
      </c>
      <c r="G712" t="str">
        <f>IFERROR(IF(INDEX(Fall!$1:$1048576,MATCH(All!$A712,Fall!$A:$A,FALSE),MATCH(All!G$1,Fall!$1:$1,FALSE))="","",INDEX(Fall!$1:$1048576,MATCH(All!$A712,Fall!$A:$A,FALSE),MATCH(All!G$1,Fall!$1:$1,FALSE))),"")</f>
        <v>1A</v>
      </c>
      <c r="H712" t="str">
        <f>IFERROR(IF(INDEX(Fall!$1:$1048576,MATCH(All!$A712,Fall!$A:$A,FALSE),MATCH(All!H$1,Fall!$1:$1,FALSE))="","",INDEX(Fall!$1:$1048576,MATCH(All!$A712,Fall!$A:$A,FALSE),MATCH(All!H$1,Fall!$1:$1,FALSE))),"")</f>
        <v/>
      </c>
      <c r="I712" t="str">
        <f>IFERROR(IF(INDEX(Fall!$1:$1048576,MATCH(All!$A712,Fall!$A:$A,FALSE),MATCH(All!I$1,Fall!$1:$1,FALSE))="","",INDEX(Fall!$1:$1048576,MATCH(All!$A712,Fall!$A:$A,FALSE),MATCH(All!I$1,Fall!$1:$1,FALSE))),"")</f>
        <v/>
      </c>
      <c r="J712" t="str">
        <f>IFERROR(IF(INDEX(Fall!$1:$1048576,MATCH(All!$A712,Fall!$A:$A,FALSE),MATCH(All!J$1,Fall!$1:$1,FALSE))="","",INDEX(Fall!$1:$1048576,MATCH(All!$A712,Fall!$A:$A,FALSE),MATCH(All!J$1,Fall!$1:$1,FALSE))),"")</f>
        <v/>
      </c>
      <c r="K712" t="str">
        <f>IFERROR(IF(INDEX(Fall!$1:$1048576,MATCH(All!$A712,Fall!$A:$A,FALSE),MATCH(All!K$1,Fall!$1:$1,FALSE))="","",INDEX(Fall!$1:$1048576,MATCH(All!$A712,Fall!$A:$A,FALSE),MATCH(All!K$1,Fall!$1:$1,FALSE))),"")</f>
        <v/>
      </c>
      <c r="L712" t="str">
        <f>IFERROR(IF(INDEX(Fall!$1:$1048576,MATCH(All!$A712,Fall!$A:$A,FALSE),MATCH(All!L$1,Fall!$1:$1,FALSE))="","",INDEX(Fall!$1:$1048576,MATCH(All!$A712,Fall!$A:$A,FALSE),MATCH(All!L$1,Fall!$1:$1,FALSE))),"")</f>
        <v/>
      </c>
      <c r="M712" t="str">
        <f>IFERROR(IF(INDEX(Fall!$1:$1048576,MATCH(All!$A712,Fall!$A:$A,FALSE),MATCH(All!M$1,Fall!$1:$1,FALSE))="","",INDEX(Fall!$1:$1048576,MATCH(All!$A712,Fall!$A:$A,FALSE),MATCH(All!M$1,Fall!$1:$1,FALSE))),"")</f>
        <v>1A</v>
      </c>
      <c r="O712">
        <f>IFERROR(IF(INDEX(Winter!$1:$1048576,MATCH(All!$A712,Winter!$A:$A,FALSE),MATCH(All!O$1,Winter!$1:$1,FALSE))="","",INDEX(Winter!$1:$1048576,MATCH(All!$A712,Winter!$A:$A,FALSE),MATCH(All!O$1,Winter!$1:$1,FALSE))),"")</f>
        <v>89</v>
      </c>
      <c r="P712" t="str">
        <f>IFERROR(IF(INDEX(Winter!$1:$1048576,MATCH(All!$A712,Winter!$A:$A,FALSE),MATCH(All!P$1,Winter!$1:$1,FALSE))="","",INDEX(Winter!$1:$1048576,MATCH(All!$A712,Winter!$A:$A,FALSE),MATCH(All!P$1,Winter!$1:$1,FALSE))),"")</f>
        <v>1A</v>
      </c>
      <c r="Q712" t="str">
        <f>IFERROR(IF(INDEX(Winter!$1:$1048576,MATCH(All!$A712,Winter!$A:$A,FALSE),MATCH(All!Q$1,Winter!$1:$1,FALSE))="","",INDEX(Winter!$1:$1048576,MATCH(All!$A712,Winter!$A:$A,FALSE),MATCH(All!Q$1,Winter!$1:$1,FALSE))),"")</f>
        <v/>
      </c>
      <c r="R712" t="str">
        <f>IFERROR(IF(INDEX(Winter!$1:$1048576,MATCH(All!$A712,Winter!$A:$A,FALSE),MATCH(All!R$1,Winter!$1:$1,FALSE))="","",INDEX(Winter!$1:$1048576,MATCH(All!$A712,Winter!$A:$A,FALSE),MATCH(All!R$1,Winter!$1:$1,FALSE))),"")</f>
        <v/>
      </c>
      <c r="S712" t="str">
        <f>IFERROR(IF(INDEX(Winter!$1:$1048576,MATCH(All!$A712,Winter!$A:$A,FALSE),MATCH(All!S$1,Winter!$1:$1,FALSE))="","",INDEX(Winter!$1:$1048576,MATCH(All!$A712,Winter!$A:$A,FALSE),MATCH(All!S$1,Winter!$1:$1,FALSE))),"")</f>
        <v/>
      </c>
      <c r="T712" t="str">
        <f>IFERROR(IF(INDEX(Winter!$1:$1048576,MATCH(All!$A712,Winter!$A:$A,FALSE),MATCH(All!T$1,Winter!$1:$1,FALSE))="","",INDEX(Winter!$1:$1048576,MATCH(All!$A712,Winter!$A:$A,FALSE),MATCH(All!T$1,Winter!$1:$1,FALSE))),"")</f>
        <v>1A</v>
      </c>
      <c r="U712" t="str">
        <f>IFERROR(IF(INDEX(Winter!$1:$1048576,MATCH(All!$A712,Winter!$A:$A,FALSE),MATCH(All!U$1,Winter!$1:$1,FALSE))="","",INDEX(Winter!$1:$1048576,MATCH(All!$A712,Winter!$A:$A,FALSE),MATCH(All!U$1,Winter!$1:$1,FALSE))),"")</f>
        <v/>
      </c>
      <c r="W712" t="str">
        <f>IFERROR(IF(INDEX(Spring!$1:$1048576,MATCH(All!$A712,Spring!$A:$A,FALSE),MATCH(All!W$1,Spring!$1:$1,FALSE))="","",INDEX(Spring!$1:$1048576,MATCH(All!$A712,Spring!$A:$A,FALSE),MATCH(All!W$1,Spring!$1:$1,FALSE))),"")</f>
        <v/>
      </c>
      <c r="X712" t="str">
        <f>IFERROR(IF(INDEX(Spring!$1:$1048576,MATCH(All!$A712,Spring!$A:$A,FALSE),MATCH(All!X$1,Spring!$1:$1,FALSE))="","",INDEX(Spring!$1:$1048576,MATCH(All!$A712,Spring!$A:$A,FALSE),MATCH(All!X$1,Spring!$1:$1,FALSE))),"")</f>
        <v/>
      </c>
      <c r="Y712" t="str">
        <f>IFERROR(IF(INDEX(Spring!$1:$1048576,MATCH(All!$A712,Spring!$A:$A,FALSE),MATCH(All!Y$1,Spring!$1:$1,FALSE))="","",INDEX(Spring!$1:$1048576,MATCH(All!$A712,Spring!$A:$A,FALSE),MATCH(All!Y$1,Spring!$1:$1,FALSE))),"")</f>
        <v/>
      </c>
      <c r="Z712" t="str">
        <f>IFERROR(IF(INDEX(Spring!$1:$1048576,MATCH(All!$A712,Spring!$A:$A,FALSE),MATCH(All!Z$1,Spring!$1:$1,FALSE))="","",INDEX(Spring!$1:$1048576,MATCH(All!$A712,Spring!$A:$A,FALSE),MATCH(All!Z$1,Spring!$1:$1,FALSE))),"")</f>
        <v/>
      </c>
      <c r="AA712" t="str">
        <f>IFERROR(IF(INDEX(Spring!$1:$1048576,MATCH(All!$A712,Spring!$A:$A,FALSE),MATCH(All!AA$1,Spring!$1:$1,FALSE))="","",INDEX(Spring!$1:$1048576,MATCH(All!$A712,Spring!$A:$A,FALSE),MATCH(All!AA$1,Spring!$1:$1,FALSE))),"")</f>
        <v/>
      </c>
      <c r="AB712" t="str">
        <f>IFERROR(IF(INDEX(Spring!$1:$1048576,MATCH(All!$A712,Spring!$A:$A,FALSE),MATCH(All!AB$1,Spring!$1:$1,FALSE))="","",INDEX(Spring!$1:$1048576,MATCH(All!$A712,Spring!$A:$A,FALSE),MATCH(All!AB$1,Spring!$1:$1,FALSE))),"")</f>
        <v/>
      </c>
      <c r="AC712" t="str">
        <f>IFERROR(IF(INDEX(Spring!$1:$1048576,MATCH(All!$A712,Spring!$A:$A,FALSE),MATCH(All!AC$1,Spring!$1:$1,FALSE))="","",INDEX(Spring!$1:$1048576,MATCH(All!$A712,Spring!$A:$A,FALSE),MATCH(All!AC$1,Spring!$1:$1,FALSE))),"")</f>
        <v/>
      </c>
      <c r="AD712" t="str">
        <f>IFERROR(VLOOKUP(A712,'Flag Football'!A:A,1,FALSE),"")</f>
        <v/>
      </c>
      <c r="AE712" t="str">
        <f t="shared" si="11"/>
        <v/>
      </c>
    </row>
    <row r="713" spans="1:31" ht="15.75" thickBot="1" x14ac:dyDescent="0.3">
      <c r="A713" s="18" t="s">
        <v>819</v>
      </c>
      <c r="B713" s="38">
        <f>IFERROR(VLOOKUP(A713,'Public v Private'!A:G,3,FALSE),"")</f>
        <v>0</v>
      </c>
      <c r="C713" s="38">
        <f>IFERROR(VLOOKUP(A713,'Public v Private'!A:G,4,FALSE),"")</f>
        <v>0</v>
      </c>
      <c r="D713" s="38">
        <f>IFERROR(VLOOKUP(A713,'Public v Private'!A:G,5,FALSE),"")</f>
        <v>0</v>
      </c>
      <c r="E713" s="38"/>
      <c r="F713" s="40">
        <f>IFERROR(INDEX(Fall!$1:$1048576,MATCH(All!$A713,Fall!$A:$A,FALSE),MATCH(All!F$1,Fall!$1:$1,FALSE)),"N/A")</f>
        <v>2201</v>
      </c>
      <c r="G713" t="str">
        <f>IFERROR(IF(INDEX(Fall!$1:$1048576,MATCH(All!$A713,Fall!$A:$A,FALSE),MATCH(All!G$1,Fall!$1:$1,FALSE))="","",INDEX(Fall!$1:$1048576,MATCH(All!$A713,Fall!$A:$A,FALSE),MATCH(All!G$1,Fall!$1:$1,FALSE))),"")</f>
        <v>3A</v>
      </c>
      <c r="H713" t="str">
        <f>IFERROR(IF(INDEX(Fall!$1:$1048576,MATCH(All!$A713,Fall!$A:$A,FALSE),MATCH(All!H$1,Fall!$1:$1,FALSE))="","",INDEX(Fall!$1:$1048576,MATCH(All!$A713,Fall!$A:$A,FALSE),MATCH(All!H$1,Fall!$1:$1,FALSE))),"")</f>
        <v>3A</v>
      </c>
      <c r="I713" t="str">
        <f>IFERROR(IF(INDEX(Fall!$1:$1048576,MATCH(All!$A713,Fall!$A:$A,FALSE),MATCH(All!I$1,Fall!$1:$1,FALSE))="","",INDEX(Fall!$1:$1048576,MATCH(All!$A713,Fall!$A:$A,FALSE),MATCH(All!I$1,Fall!$1:$1,FALSE))),"")</f>
        <v>3A</v>
      </c>
      <c r="J713" t="str">
        <f>IFERROR(IF(INDEX(Fall!$1:$1048576,MATCH(All!$A713,Fall!$A:$A,FALSE),MATCH(All!J$1,Fall!$1:$1,FALSE))="","",INDEX(Fall!$1:$1048576,MATCH(All!$A713,Fall!$A:$A,FALSE),MATCH(All!J$1,Fall!$1:$1,FALSE))),"")</f>
        <v>2A</v>
      </c>
      <c r="K713" t="str">
        <f>IFERROR(IF(INDEX(Fall!$1:$1048576,MATCH(All!$A713,Fall!$A:$A,FALSE),MATCH(All!K$1,Fall!$1:$1,FALSE))="","",INDEX(Fall!$1:$1048576,MATCH(All!$A713,Fall!$A:$A,FALSE),MATCH(All!K$1,Fall!$1:$1,FALSE))),"")</f>
        <v>3A</v>
      </c>
      <c r="L713" t="str">
        <f>IFERROR(IF(INDEX(Fall!$1:$1048576,MATCH(All!$A713,Fall!$A:$A,FALSE),MATCH(All!L$1,Fall!$1:$1,FALSE))="","",INDEX(Fall!$1:$1048576,MATCH(All!$A713,Fall!$A:$A,FALSE),MATCH(All!L$1,Fall!$1:$1,FALSE))),"")</f>
        <v>2A</v>
      </c>
      <c r="M713" t="str">
        <f>IFERROR(IF(INDEX(Fall!$1:$1048576,MATCH(All!$A713,Fall!$A:$A,FALSE),MATCH(All!M$1,Fall!$1:$1,FALSE))="","",INDEX(Fall!$1:$1048576,MATCH(All!$A713,Fall!$A:$A,FALSE),MATCH(All!M$1,Fall!$1:$1,FALSE))),"")</f>
        <v>4A</v>
      </c>
      <c r="O713">
        <f>IFERROR(IF(INDEX(Winter!$1:$1048576,MATCH(All!$A713,Winter!$A:$A,FALSE),MATCH(All!O$1,Winter!$1:$1,FALSE))="","",INDEX(Winter!$1:$1048576,MATCH(All!$A713,Winter!$A:$A,FALSE),MATCH(All!O$1,Winter!$1:$1,FALSE))),"")</f>
        <v>2201</v>
      </c>
      <c r="P713" t="str">
        <f>IFERROR(IF(INDEX(Winter!$1:$1048576,MATCH(All!$A713,Winter!$A:$A,FALSE),MATCH(All!P$1,Winter!$1:$1,FALSE))="","",INDEX(Winter!$1:$1048576,MATCH(All!$A713,Winter!$A:$A,FALSE),MATCH(All!P$1,Winter!$1:$1,FALSE))),"")</f>
        <v>4A</v>
      </c>
      <c r="Q713" t="str">
        <f>IFERROR(IF(INDEX(Winter!$1:$1048576,MATCH(All!$A713,Winter!$A:$A,FALSE),MATCH(All!Q$1,Winter!$1:$1,FALSE))="","",INDEX(Winter!$1:$1048576,MATCH(All!$A713,Winter!$A:$A,FALSE),MATCH(All!Q$1,Winter!$1:$1,FALSE))),"")</f>
        <v>4A</v>
      </c>
      <c r="R713" t="str">
        <f>IFERROR(IF(INDEX(Winter!$1:$1048576,MATCH(All!$A713,Winter!$A:$A,FALSE),MATCH(All!R$1,Winter!$1:$1,FALSE))="","",INDEX(Winter!$1:$1048576,MATCH(All!$A713,Winter!$A:$A,FALSE),MATCH(All!R$1,Winter!$1:$1,FALSE))),"")</f>
        <v>3A</v>
      </c>
      <c r="S713" t="str">
        <f>IFERROR(IF(INDEX(Winter!$1:$1048576,MATCH(All!$A713,Winter!$A:$A,FALSE),MATCH(All!S$1,Winter!$1:$1,FALSE))="","",INDEX(Winter!$1:$1048576,MATCH(All!$A713,Winter!$A:$A,FALSE),MATCH(All!S$1,Winter!$1:$1,FALSE))),"")</f>
        <v>3A</v>
      </c>
      <c r="T713" t="str">
        <f>IFERROR(IF(INDEX(Winter!$1:$1048576,MATCH(All!$A713,Winter!$A:$A,FALSE),MATCH(All!T$1,Winter!$1:$1,FALSE))="","",INDEX(Winter!$1:$1048576,MATCH(All!$A713,Winter!$A:$A,FALSE),MATCH(All!T$1,Winter!$1:$1,FALSE))),"")</f>
        <v>2A</v>
      </c>
      <c r="U713" t="str">
        <f>IFERROR(IF(INDEX(Winter!$1:$1048576,MATCH(All!$A713,Winter!$A:$A,FALSE),MATCH(All!U$1,Winter!$1:$1,FALSE))="","",INDEX(Winter!$1:$1048576,MATCH(All!$A713,Winter!$A:$A,FALSE),MATCH(All!U$1,Winter!$1:$1,FALSE))),"")</f>
        <v>3A</v>
      </c>
      <c r="W713">
        <f>IFERROR(IF(INDEX(Spring!$1:$1048576,MATCH(All!$A713,Spring!$A:$A,FALSE),MATCH(All!W$1,Spring!$1:$1,FALSE))="","",INDEX(Spring!$1:$1048576,MATCH(All!$A713,Spring!$A:$A,FALSE),MATCH(All!W$1,Spring!$1:$1,FALSE))),"")</f>
        <v>2201</v>
      </c>
      <c r="X713" t="str">
        <f>IFERROR(IF(INDEX(Spring!$1:$1048576,MATCH(All!$A713,Spring!$A:$A,FALSE),MATCH(All!X$1,Spring!$1:$1,FALSE))="","",INDEX(Spring!$1:$1048576,MATCH(All!$A713,Spring!$A:$A,FALSE),MATCH(All!X$1,Spring!$1:$1,FALSE))),"")</f>
        <v>4A</v>
      </c>
      <c r="Y713" t="str">
        <f>IFERROR(IF(INDEX(Spring!$1:$1048576,MATCH(All!$A713,Spring!$A:$A,FALSE),MATCH(All!Y$1,Spring!$1:$1,FALSE))="","",INDEX(Spring!$1:$1048576,MATCH(All!$A713,Spring!$A:$A,FALSE),MATCH(All!Y$1,Spring!$1:$1,FALSE))),"")</f>
        <v>4A</v>
      </c>
      <c r="Z713" t="str">
        <f>IFERROR(IF(INDEX(Spring!$1:$1048576,MATCH(All!$A713,Spring!$A:$A,FALSE),MATCH(All!Z$1,Spring!$1:$1,FALSE))="","",INDEX(Spring!$1:$1048576,MATCH(All!$A713,Spring!$A:$A,FALSE),MATCH(All!Z$1,Spring!$1:$1,FALSE))),"")</f>
        <v>3A</v>
      </c>
      <c r="AA713" t="str">
        <f>IFERROR(IF(INDEX(Spring!$1:$1048576,MATCH(All!$A713,Spring!$A:$A,FALSE),MATCH(All!AA$1,Spring!$1:$1,FALSE))="","",INDEX(Spring!$1:$1048576,MATCH(All!$A713,Spring!$A:$A,FALSE),MATCH(All!AA$1,Spring!$1:$1,FALSE))),"")</f>
        <v>2A</v>
      </c>
      <c r="AB713" t="str">
        <f>IFERROR(IF(INDEX(Spring!$1:$1048576,MATCH(All!$A713,Spring!$A:$A,FALSE),MATCH(All!AB$1,Spring!$1:$1,FALSE))="","",INDEX(Spring!$1:$1048576,MATCH(All!$A713,Spring!$A:$A,FALSE),MATCH(All!AB$1,Spring!$1:$1,FALSE))),"")</f>
        <v>3A</v>
      </c>
      <c r="AC713" t="str">
        <f>IFERROR(IF(INDEX(Spring!$1:$1048576,MATCH(All!$A713,Spring!$A:$A,FALSE),MATCH(All!AC$1,Spring!$1:$1,FALSE))="","",INDEX(Spring!$1:$1048576,MATCH(All!$A713,Spring!$A:$A,FALSE),MATCH(All!AC$1,Spring!$1:$1,FALSE))),"")</f>
        <v>3A</v>
      </c>
      <c r="AD713" t="str">
        <f>IFERROR(VLOOKUP(A713,'Flag Football'!A:A,1,FALSE),"")</f>
        <v>Tinley Park (Andrew)</v>
      </c>
      <c r="AE713" t="str">
        <f t="shared" si="11"/>
        <v>1A</v>
      </c>
    </row>
    <row r="714" spans="1:31" ht="15.75" thickBot="1" x14ac:dyDescent="0.3">
      <c r="A714" s="20" t="s">
        <v>820</v>
      </c>
      <c r="B714" s="38">
        <f>IFERROR(VLOOKUP(A714,'Public v Private'!A:G,3,FALSE),"")</f>
        <v>0</v>
      </c>
      <c r="C714" s="38">
        <f>IFERROR(VLOOKUP(A714,'Public v Private'!A:G,4,FALSE),"")</f>
        <v>0</v>
      </c>
      <c r="D714" s="38">
        <f>IFERROR(VLOOKUP(A714,'Public v Private'!A:G,5,FALSE),"")</f>
        <v>0</v>
      </c>
      <c r="E714" s="38"/>
      <c r="F714" s="40">
        <f>IFERROR(INDEX(Fall!$1:$1048576,MATCH(All!$A714,Fall!$A:$A,FALSE),MATCH(All!F$1,Fall!$1:$1,FALSE)),"N/A")</f>
        <v>981</v>
      </c>
      <c r="G714" t="str">
        <f>IFERROR(IF(INDEX(Fall!$1:$1048576,MATCH(All!$A714,Fall!$A:$A,FALSE),MATCH(All!G$1,Fall!$1:$1,FALSE))="","",INDEX(Fall!$1:$1048576,MATCH(All!$A714,Fall!$A:$A,FALSE),MATCH(All!G$1,Fall!$1:$1,FALSE))),"")</f>
        <v>2A</v>
      </c>
      <c r="H714" t="str">
        <f>IFERROR(IF(INDEX(Fall!$1:$1048576,MATCH(All!$A714,Fall!$A:$A,FALSE),MATCH(All!H$1,Fall!$1:$1,FALSE))="","",INDEX(Fall!$1:$1048576,MATCH(All!$A714,Fall!$A:$A,FALSE),MATCH(All!H$1,Fall!$1:$1,FALSE))),"")</f>
        <v>2A</v>
      </c>
      <c r="I714" t="str">
        <f>IFERROR(IF(INDEX(Fall!$1:$1048576,MATCH(All!$A714,Fall!$A:$A,FALSE),MATCH(All!I$1,Fall!$1:$1,FALSE))="","",INDEX(Fall!$1:$1048576,MATCH(All!$A714,Fall!$A:$A,FALSE),MATCH(All!I$1,Fall!$1:$1,FALSE))),"")</f>
        <v>2A</v>
      </c>
      <c r="J714" t="str">
        <f>IFERROR(IF(INDEX(Fall!$1:$1048576,MATCH(All!$A714,Fall!$A:$A,FALSE),MATCH(All!J$1,Fall!$1:$1,FALSE))="","",INDEX(Fall!$1:$1048576,MATCH(All!$A714,Fall!$A:$A,FALSE),MATCH(All!J$1,Fall!$1:$1,FALSE))),"")</f>
        <v>2A</v>
      </c>
      <c r="K714" t="str">
        <f>IFERROR(IF(INDEX(Fall!$1:$1048576,MATCH(All!$A714,Fall!$A:$A,FALSE),MATCH(All!K$1,Fall!$1:$1,FALSE))="","",INDEX(Fall!$1:$1048576,MATCH(All!$A714,Fall!$A:$A,FALSE),MATCH(All!K$1,Fall!$1:$1,FALSE))),"")</f>
        <v>2A</v>
      </c>
      <c r="L714" t="str">
        <f>IFERROR(IF(INDEX(Fall!$1:$1048576,MATCH(All!$A714,Fall!$A:$A,FALSE),MATCH(All!L$1,Fall!$1:$1,FALSE))="","",INDEX(Fall!$1:$1048576,MATCH(All!$A714,Fall!$A:$A,FALSE),MATCH(All!L$1,Fall!$1:$1,FALSE))),"")</f>
        <v>1A</v>
      </c>
      <c r="M714" t="str">
        <f>IFERROR(IF(INDEX(Fall!$1:$1048576,MATCH(All!$A714,Fall!$A:$A,FALSE),MATCH(All!M$1,Fall!$1:$1,FALSE))="","",INDEX(Fall!$1:$1048576,MATCH(All!$A714,Fall!$A:$A,FALSE),MATCH(All!M$1,Fall!$1:$1,FALSE))),"")</f>
        <v>3A</v>
      </c>
      <c r="O714">
        <f>IFERROR(IF(INDEX(Winter!$1:$1048576,MATCH(All!$A714,Winter!$A:$A,FALSE),MATCH(All!O$1,Winter!$1:$1,FALSE))="","",INDEX(Winter!$1:$1048576,MATCH(All!$A714,Winter!$A:$A,FALSE),MATCH(All!O$1,Winter!$1:$1,FALSE))),"")</f>
        <v>981</v>
      </c>
      <c r="P714" t="str">
        <f>IFERROR(IF(INDEX(Winter!$1:$1048576,MATCH(All!$A714,Winter!$A:$A,FALSE),MATCH(All!P$1,Winter!$1:$1,FALSE))="","",INDEX(Winter!$1:$1048576,MATCH(All!$A714,Winter!$A:$A,FALSE),MATCH(All!P$1,Winter!$1:$1,FALSE))),"")</f>
        <v>3A</v>
      </c>
      <c r="Q714" t="str">
        <f>IFERROR(IF(INDEX(Winter!$1:$1048576,MATCH(All!$A714,Winter!$A:$A,FALSE),MATCH(All!Q$1,Winter!$1:$1,FALSE))="","",INDEX(Winter!$1:$1048576,MATCH(All!$A714,Winter!$A:$A,FALSE),MATCH(All!Q$1,Winter!$1:$1,FALSE))),"")</f>
        <v>3A</v>
      </c>
      <c r="R714" t="str">
        <f>IFERROR(IF(INDEX(Winter!$1:$1048576,MATCH(All!$A714,Winter!$A:$A,FALSE),MATCH(All!R$1,Winter!$1:$1,FALSE))="","",INDEX(Winter!$1:$1048576,MATCH(All!$A714,Winter!$A:$A,FALSE),MATCH(All!R$1,Winter!$1:$1,FALSE))),"")</f>
        <v>2A</v>
      </c>
      <c r="S714" t="str">
        <f>IFERROR(IF(INDEX(Winter!$1:$1048576,MATCH(All!$A714,Winter!$A:$A,FALSE),MATCH(All!S$1,Winter!$1:$1,FALSE))="","",INDEX(Winter!$1:$1048576,MATCH(All!$A714,Winter!$A:$A,FALSE),MATCH(All!S$1,Winter!$1:$1,FALSE))),"")</f>
        <v>1A</v>
      </c>
      <c r="T714" t="str">
        <f>IFERROR(IF(INDEX(Winter!$1:$1048576,MATCH(All!$A714,Winter!$A:$A,FALSE),MATCH(All!T$1,Winter!$1:$1,FALSE))="","",INDEX(Winter!$1:$1048576,MATCH(All!$A714,Winter!$A:$A,FALSE),MATCH(All!T$1,Winter!$1:$1,FALSE))),"")</f>
        <v>2A</v>
      </c>
      <c r="U714" t="str">
        <f>IFERROR(IF(INDEX(Winter!$1:$1048576,MATCH(All!$A714,Winter!$A:$A,FALSE),MATCH(All!U$1,Winter!$1:$1,FALSE))="","",INDEX(Winter!$1:$1048576,MATCH(All!$A714,Winter!$A:$A,FALSE),MATCH(All!U$1,Winter!$1:$1,FALSE))),"")</f>
        <v>2A</v>
      </c>
      <c r="W714">
        <f>IFERROR(IF(INDEX(Spring!$1:$1048576,MATCH(All!$A714,Spring!$A:$A,FALSE),MATCH(All!W$1,Spring!$1:$1,FALSE))="","",INDEX(Spring!$1:$1048576,MATCH(All!$A714,Spring!$A:$A,FALSE),MATCH(All!W$1,Spring!$1:$1,FALSE))),"")</f>
        <v>981</v>
      </c>
      <c r="X714" t="str">
        <f>IFERROR(IF(INDEX(Spring!$1:$1048576,MATCH(All!$A714,Spring!$A:$A,FALSE),MATCH(All!X$1,Spring!$1:$1,FALSE))="","",INDEX(Spring!$1:$1048576,MATCH(All!$A714,Spring!$A:$A,FALSE),MATCH(All!X$1,Spring!$1:$1,FALSE))),"")</f>
        <v>3A</v>
      </c>
      <c r="Y714" t="str">
        <f>IFERROR(IF(INDEX(Spring!$1:$1048576,MATCH(All!$A714,Spring!$A:$A,FALSE),MATCH(All!Y$1,Spring!$1:$1,FALSE))="","",INDEX(Spring!$1:$1048576,MATCH(All!$A714,Spring!$A:$A,FALSE),MATCH(All!Y$1,Spring!$1:$1,FALSE))),"")</f>
        <v>3A</v>
      </c>
      <c r="Z714" t="str">
        <f>IFERROR(IF(INDEX(Spring!$1:$1048576,MATCH(All!$A714,Spring!$A:$A,FALSE),MATCH(All!Z$1,Spring!$1:$1,FALSE))="","",INDEX(Spring!$1:$1048576,MATCH(All!$A714,Spring!$A:$A,FALSE),MATCH(All!Z$1,Spring!$1:$1,FALSE))),"")</f>
        <v>2A</v>
      </c>
      <c r="AA714" t="str">
        <f>IFERROR(IF(INDEX(Spring!$1:$1048576,MATCH(All!$A714,Spring!$A:$A,FALSE),MATCH(All!AA$1,Spring!$1:$1,FALSE))="","",INDEX(Spring!$1:$1048576,MATCH(All!$A714,Spring!$A:$A,FALSE),MATCH(All!AA$1,Spring!$1:$1,FALSE))),"")</f>
        <v>1A</v>
      </c>
      <c r="AB714" t="str">
        <f>IFERROR(IF(INDEX(Spring!$1:$1048576,MATCH(All!$A714,Spring!$A:$A,FALSE),MATCH(All!AB$1,Spring!$1:$1,FALSE))="","",INDEX(Spring!$1:$1048576,MATCH(All!$A714,Spring!$A:$A,FALSE),MATCH(All!AB$1,Spring!$1:$1,FALSE))),"")</f>
        <v>2A</v>
      </c>
      <c r="AC714" t="str">
        <f>IFERROR(IF(INDEX(Spring!$1:$1048576,MATCH(All!$A714,Spring!$A:$A,FALSE),MATCH(All!AC$1,Spring!$1:$1,FALSE))="","",INDEX(Spring!$1:$1048576,MATCH(All!$A714,Spring!$A:$A,FALSE),MATCH(All!AC$1,Spring!$1:$1,FALSE))),"")</f>
        <v>2A</v>
      </c>
      <c r="AD714" t="str">
        <f>IFERROR(VLOOKUP(A714,'Flag Football'!A:A,1,FALSE),"")</f>
        <v/>
      </c>
      <c r="AE714" t="str">
        <f t="shared" si="11"/>
        <v/>
      </c>
    </row>
    <row r="715" spans="1:31" ht="15.75" thickBot="1" x14ac:dyDescent="0.3">
      <c r="A715" s="18" t="s">
        <v>821</v>
      </c>
      <c r="B715" s="38">
        <f>IFERROR(VLOOKUP(A715,'Public v Private'!A:G,3,FALSE),"")</f>
        <v>0</v>
      </c>
      <c r="C715" s="38">
        <f>IFERROR(VLOOKUP(A715,'Public v Private'!A:G,4,FALSE),"")</f>
        <v>0</v>
      </c>
      <c r="D715" s="38">
        <f>IFERROR(VLOOKUP(A715,'Public v Private'!A:G,5,FALSE),"")</f>
        <v>0</v>
      </c>
      <c r="E715" s="38"/>
      <c r="F715" s="40">
        <f>IFERROR(INDEX(Fall!$1:$1048576,MATCH(All!$A715,Fall!$A:$A,FALSE),MATCH(All!F$1,Fall!$1:$1,FALSE)),"N/A")</f>
        <v>292</v>
      </c>
      <c r="G715" t="str">
        <f>IFERROR(IF(INDEX(Fall!$1:$1048576,MATCH(All!$A715,Fall!$A:$A,FALSE),MATCH(All!G$1,Fall!$1:$1,FALSE))="","",INDEX(Fall!$1:$1048576,MATCH(All!$A715,Fall!$A:$A,FALSE),MATCH(All!G$1,Fall!$1:$1,FALSE))),"")</f>
        <v>1A</v>
      </c>
      <c r="H715" t="str">
        <f>IFERROR(IF(INDEX(Fall!$1:$1048576,MATCH(All!$A715,Fall!$A:$A,FALSE),MATCH(All!H$1,Fall!$1:$1,FALSE))="","",INDEX(Fall!$1:$1048576,MATCH(All!$A715,Fall!$A:$A,FALSE),MATCH(All!H$1,Fall!$1:$1,FALSE))),"")</f>
        <v/>
      </c>
      <c r="I715" t="str">
        <f>IFERROR(IF(INDEX(Fall!$1:$1048576,MATCH(All!$A715,Fall!$A:$A,FALSE),MATCH(All!I$1,Fall!$1:$1,FALSE))="","",INDEX(Fall!$1:$1048576,MATCH(All!$A715,Fall!$A:$A,FALSE),MATCH(All!I$1,Fall!$1:$1,FALSE))),"")</f>
        <v/>
      </c>
      <c r="J715" t="str">
        <f>IFERROR(IF(INDEX(Fall!$1:$1048576,MATCH(All!$A715,Fall!$A:$A,FALSE),MATCH(All!J$1,Fall!$1:$1,FALSE))="","",INDEX(Fall!$1:$1048576,MATCH(All!$A715,Fall!$A:$A,FALSE),MATCH(All!J$1,Fall!$1:$1,FALSE))),"")</f>
        <v/>
      </c>
      <c r="K715" t="str">
        <f>IFERROR(IF(INDEX(Fall!$1:$1048576,MATCH(All!$A715,Fall!$A:$A,FALSE),MATCH(All!K$1,Fall!$1:$1,FALSE))="","",INDEX(Fall!$1:$1048576,MATCH(All!$A715,Fall!$A:$A,FALSE),MATCH(All!K$1,Fall!$1:$1,FALSE))),"")</f>
        <v/>
      </c>
      <c r="L715" t="str">
        <f>IFERROR(IF(INDEX(Fall!$1:$1048576,MATCH(All!$A715,Fall!$A:$A,FALSE),MATCH(All!L$1,Fall!$1:$1,FALSE))="","",INDEX(Fall!$1:$1048576,MATCH(All!$A715,Fall!$A:$A,FALSE),MATCH(All!L$1,Fall!$1:$1,FALSE))),"")</f>
        <v/>
      </c>
      <c r="M715" t="str">
        <f>IFERROR(IF(INDEX(Fall!$1:$1048576,MATCH(All!$A715,Fall!$A:$A,FALSE),MATCH(All!M$1,Fall!$1:$1,FALSE))="","",INDEX(Fall!$1:$1048576,MATCH(All!$A715,Fall!$A:$A,FALSE),MATCH(All!M$1,Fall!$1:$1,FALSE))),"")</f>
        <v>1A</v>
      </c>
      <c r="O715">
        <f>IFERROR(IF(INDEX(Winter!$1:$1048576,MATCH(All!$A715,Winter!$A:$A,FALSE),MATCH(All!O$1,Winter!$1:$1,FALSE))="","",INDEX(Winter!$1:$1048576,MATCH(All!$A715,Winter!$A:$A,FALSE),MATCH(All!O$1,Winter!$1:$1,FALSE))),"")</f>
        <v>292</v>
      </c>
      <c r="P715" t="str">
        <f>IFERROR(IF(INDEX(Winter!$1:$1048576,MATCH(All!$A715,Winter!$A:$A,FALSE),MATCH(All!P$1,Winter!$1:$1,FALSE))="","",INDEX(Winter!$1:$1048576,MATCH(All!$A715,Winter!$A:$A,FALSE),MATCH(All!P$1,Winter!$1:$1,FALSE))),"")</f>
        <v>1A</v>
      </c>
      <c r="Q715" t="str">
        <f>IFERROR(IF(INDEX(Winter!$1:$1048576,MATCH(All!$A715,Winter!$A:$A,FALSE),MATCH(All!Q$1,Winter!$1:$1,FALSE))="","",INDEX(Winter!$1:$1048576,MATCH(All!$A715,Winter!$A:$A,FALSE),MATCH(All!Q$1,Winter!$1:$1,FALSE))),"")</f>
        <v>1A</v>
      </c>
      <c r="R715" t="str">
        <f>IFERROR(IF(INDEX(Winter!$1:$1048576,MATCH(All!$A715,Winter!$A:$A,FALSE),MATCH(All!R$1,Winter!$1:$1,FALSE))="","",INDEX(Winter!$1:$1048576,MATCH(All!$A715,Winter!$A:$A,FALSE),MATCH(All!R$1,Winter!$1:$1,FALSE))),"")</f>
        <v/>
      </c>
      <c r="S715" t="str">
        <f>IFERROR(IF(INDEX(Winter!$1:$1048576,MATCH(All!$A715,Winter!$A:$A,FALSE),MATCH(All!S$1,Winter!$1:$1,FALSE))="","",INDEX(Winter!$1:$1048576,MATCH(All!$A715,Winter!$A:$A,FALSE),MATCH(All!S$1,Winter!$1:$1,FALSE))),"")</f>
        <v/>
      </c>
      <c r="T715" t="str">
        <f>IFERROR(IF(INDEX(Winter!$1:$1048576,MATCH(All!$A715,Winter!$A:$A,FALSE),MATCH(All!T$1,Winter!$1:$1,FALSE))="","",INDEX(Winter!$1:$1048576,MATCH(All!$A715,Winter!$A:$A,FALSE),MATCH(All!T$1,Winter!$1:$1,FALSE))),"")</f>
        <v>1A</v>
      </c>
      <c r="U715" t="str">
        <f>IFERROR(IF(INDEX(Winter!$1:$1048576,MATCH(All!$A715,Winter!$A:$A,FALSE),MATCH(All!U$1,Winter!$1:$1,FALSE))="","",INDEX(Winter!$1:$1048576,MATCH(All!$A715,Winter!$A:$A,FALSE),MATCH(All!U$1,Winter!$1:$1,FALSE))),"")</f>
        <v>1A</v>
      </c>
      <c r="W715">
        <f>IFERROR(IF(INDEX(Spring!$1:$1048576,MATCH(All!$A715,Spring!$A:$A,FALSE),MATCH(All!W$1,Spring!$1:$1,FALSE))="","",INDEX(Spring!$1:$1048576,MATCH(All!$A715,Spring!$A:$A,FALSE),MATCH(All!W$1,Spring!$1:$1,FALSE))),"")</f>
        <v>292</v>
      </c>
      <c r="X715" t="str">
        <f>IFERROR(IF(INDEX(Spring!$1:$1048576,MATCH(All!$A715,Spring!$A:$A,FALSE),MATCH(All!X$1,Spring!$1:$1,FALSE))="","",INDEX(Spring!$1:$1048576,MATCH(All!$A715,Spring!$A:$A,FALSE),MATCH(All!X$1,Spring!$1:$1,FALSE))),"")</f>
        <v>1A</v>
      </c>
      <c r="Y715" t="str">
        <f>IFERROR(IF(INDEX(Spring!$1:$1048576,MATCH(All!$A715,Spring!$A:$A,FALSE),MATCH(All!Y$1,Spring!$1:$1,FALSE))="","",INDEX(Spring!$1:$1048576,MATCH(All!$A715,Spring!$A:$A,FALSE),MATCH(All!Y$1,Spring!$1:$1,FALSE))),"")</f>
        <v>1A</v>
      </c>
      <c r="Z715" t="str">
        <f>IFERROR(IF(INDEX(Spring!$1:$1048576,MATCH(All!$A715,Spring!$A:$A,FALSE),MATCH(All!Z$1,Spring!$1:$1,FALSE))="","",INDEX(Spring!$1:$1048576,MATCH(All!$A715,Spring!$A:$A,FALSE),MATCH(All!Z$1,Spring!$1:$1,FALSE))),"")</f>
        <v/>
      </c>
      <c r="AA715" t="str">
        <f>IFERROR(IF(INDEX(Spring!$1:$1048576,MATCH(All!$A715,Spring!$A:$A,FALSE),MATCH(All!AA$1,Spring!$1:$1,FALSE))="","",INDEX(Spring!$1:$1048576,MATCH(All!$A715,Spring!$A:$A,FALSE),MATCH(All!AA$1,Spring!$1:$1,FALSE))),"")</f>
        <v/>
      </c>
      <c r="AB715" t="str">
        <f>IFERROR(IF(INDEX(Spring!$1:$1048576,MATCH(All!$A715,Spring!$A:$A,FALSE),MATCH(All!AB$1,Spring!$1:$1,FALSE))="","",INDEX(Spring!$1:$1048576,MATCH(All!$A715,Spring!$A:$A,FALSE),MATCH(All!AB$1,Spring!$1:$1,FALSE))),"")</f>
        <v>1A</v>
      </c>
      <c r="AC715" t="str">
        <f>IFERROR(IF(INDEX(Spring!$1:$1048576,MATCH(All!$A715,Spring!$A:$A,FALSE),MATCH(All!AC$1,Spring!$1:$1,FALSE))="","",INDEX(Spring!$1:$1048576,MATCH(All!$A715,Spring!$A:$A,FALSE),MATCH(All!AC$1,Spring!$1:$1,FALSE))),"")</f>
        <v>1A</v>
      </c>
      <c r="AD715" t="str">
        <f>IFERROR(VLOOKUP(A715,'Flag Football'!A:A,1,FALSE),"")</f>
        <v/>
      </c>
      <c r="AE715" t="str">
        <f t="shared" si="11"/>
        <v/>
      </c>
    </row>
    <row r="716" spans="1:31" ht="15.75" thickBot="1" x14ac:dyDescent="0.3">
      <c r="A716" s="20" t="s">
        <v>822</v>
      </c>
      <c r="B716" s="38">
        <f>IFERROR(VLOOKUP(A716,'Public v Private'!A:G,3,FALSE),"")</f>
        <v>0</v>
      </c>
      <c r="C716" s="38">
        <f>IFERROR(VLOOKUP(A716,'Public v Private'!A:G,4,FALSE),"")</f>
        <v>0</v>
      </c>
      <c r="D716" s="38">
        <f>IFERROR(VLOOKUP(A716,'Public v Private'!A:G,5,FALSE),"")</f>
        <v>0</v>
      </c>
      <c r="E716" s="38"/>
      <c r="F716" s="40">
        <f>IFERROR(INDEX(Fall!$1:$1048576,MATCH(All!$A716,Fall!$A:$A,FALSE),MATCH(All!F$1,Fall!$1:$1,FALSE)),"N/A")</f>
        <v>470</v>
      </c>
      <c r="G716" t="str">
        <f>IFERROR(IF(INDEX(Fall!$1:$1048576,MATCH(All!$A716,Fall!$A:$A,FALSE),MATCH(All!G$1,Fall!$1:$1,FALSE))="","",INDEX(Fall!$1:$1048576,MATCH(All!$A716,Fall!$A:$A,FALSE),MATCH(All!G$1,Fall!$1:$1,FALSE))),"")</f>
        <v>1A</v>
      </c>
      <c r="H716" t="str">
        <f>IFERROR(IF(INDEX(Fall!$1:$1048576,MATCH(All!$A716,Fall!$A:$A,FALSE),MATCH(All!H$1,Fall!$1:$1,FALSE))="","",INDEX(Fall!$1:$1048576,MATCH(All!$A716,Fall!$A:$A,FALSE),MATCH(All!H$1,Fall!$1:$1,FALSE))),"")</f>
        <v>1A</v>
      </c>
      <c r="I716" t="str">
        <f>IFERROR(IF(INDEX(Fall!$1:$1048576,MATCH(All!$A716,Fall!$A:$A,FALSE),MATCH(All!I$1,Fall!$1:$1,FALSE))="","",INDEX(Fall!$1:$1048576,MATCH(All!$A716,Fall!$A:$A,FALSE),MATCH(All!I$1,Fall!$1:$1,FALSE))),"")</f>
        <v>1A</v>
      </c>
      <c r="J716" t="str">
        <f>IFERROR(IF(INDEX(Fall!$1:$1048576,MATCH(All!$A716,Fall!$A:$A,FALSE),MATCH(All!J$1,Fall!$1:$1,FALSE))="","",INDEX(Fall!$1:$1048576,MATCH(All!$A716,Fall!$A:$A,FALSE),MATCH(All!J$1,Fall!$1:$1,FALSE))),"")</f>
        <v>1A</v>
      </c>
      <c r="K716" t="str">
        <f>IFERROR(IF(INDEX(Fall!$1:$1048576,MATCH(All!$A716,Fall!$A:$A,FALSE),MATCH(All!K$1,Fall!$1:$1,FALSE))="","",INDEX(Fall!$1:$1048576,MATCH(All!$A716,Fall!$A:$A,FALSE),MATCH(All!K$1,Fall!$1:$1,FALSE))),"")</f>
        <v>1A</v>
      </c>
      <c r="L716" t="str">
        <f>IFERROR(IF(INDEX(Fall!$1:$1048576,MATCH(All!$A716,Fall!$A:$A,FALSE),MATCH(All!L$1,Fall!$1:$1,FALSE))="","",INDEX(Fall!$1:$1048576,MATCH(All!$A716,Fall!$A:$A,FALSE),MATCH(All!L$1,Fall!$1:$1,FALSE))),"")</f>
        <v/>
      </c>
      <c r="M716" t="str">
        <f>IFERROR(IF(INDEX(Fall!$1:$1048576,MATCH(All!$A716,Fall!$A:$A,FALSE),MATCH(All!M$1,Fall!$1:$1,FALSE))="","",INDEX(Fall!$1:$1048576,MATCH(All!$A716,Fall!$A:$A,FALSE),MATCH(All!M$1,Fall!$1:$1,FALSE))),"")</f>
        <v>2A</v>
      </c>
      <c r="O716">
        <f>IFERROR(IF(INDEX(Winter!$1:$1048576,MATCH(All!$A716,Winter!$A:$A,FALSE),MATCH(All!O$1,Winter!$1:$1,FALSE))="","",INDEX(Winter!$1:$1048576,MATCH(All!$A716,Winter!$A:$A,FALSE),MATCH(All!O$1,Winter!$1:$1,FALSE))),"")</f>
        <v>470</v>
      </c>
      <c r="P716" t="str">
        <f>IFERROR(IF(INDEX(Winter!$1:$1048576,MATCH(All!$A716,Winter!$A:$A,FALSE),MATCH(All!P$1,Winter!$1:$1,FALSE))="","",INDEX(Winter!$1:$1048576,MATCH(All!$A716,Winter!$A:$A,FALSE),MATCH(All!P$1,Winter!$1:$1,FALSE))),"")</f>
        <v>2A</v>
      </c>
      <c r="Q716" t="str">
        <f>IFERROR(IF(INDEX(Winter!$1:$1048576,MATCH(All!$A716,Winter!$A:$A,FALSE),MATCH(All!Q$1,Winter!$1:$1,FALSE))="","",INDEX(Winter!$1:$1048576,MATCH(All!$A716,Winter!$A:$A,FALSE),MATCH(All!Q$1,Winter!$1:$1,FALSE))),"")</f>
        <v>2A</v>
      </c>
      <c r="R716" t="str">
        <f>IFERROR(IF(INDEX(Winter!$1:$1048576,MATCH(All!$A716,Winter!$A:$A,FALSE),MATCH(All!R$1,Winter!$1:$1,FALSE))="","",INDEX(Winter!$1:$1048576,MATCH(All!$A716,Winter!$A:$A,FALSE),MATCH(All!R$1,Winter!$1:$1,FALSE))),"")</f>
        <v/>
      </c>
      <c r="S716" t="str">
        <f>IFERROR(IF(INDEX(Winter!$1:$1048576,MATCH(All!$A716,Winter!$A:$A,FALSE),MATCH(All!S$1,Winter!$1:$1,FALSE))="","",INDEX(Winter!$1:$1048576,MATCH(All!$A716,Winter!$A:$A,FALSE),MATCH(All!S$1,Winter!$1:$1,FALSE))),"")</f>
        <v>1A</v>
      </c>
      <c r="T716" t="str">
        <f>IFERROR(IF(INDEX(Winter!$1:$1048576,MATCH(All!$A716,Winter!$A:$A,FALSE),MATCH(All!T$1,Winter!$1:$1,FALSE))="","",INDEX(Winter!$1:$1048576,MATCH(All!$A716,Winter!$A:$A,FALSE),MATCH(All!T$1,Winter!$1:$1,FALSE))),"")</f>
        <v>2A</v>
      </c>
      <c r="U716" t="str">
        <f>IFERROR(IF(INDEX(Winter!$1:$1048576,MATCH(All!$A716,Winter!$A:$A,FALSE),MATCH(All!U$1,Winter!$1:$1,FALSE))="","",INDEX(Winter!$1:$1048576,MATCH(All!$A716,Winter!$A:$A,FALSE),MATCH(All!U$1,Winter!$1:$1,FALSE))),"")</f>
        <v>1A</v>
      </c>
      <c r="W716">
        <f>IFERROR(IF(INDEX(Spring!$1:$1048576,MATCH(All!$A716,Spring!$A:$A,FALSE),MATCH(All!W$1,Spring!$1:$1,FALSE))="","",INDEX(Spring!$1:$1048576,MATCH(All!$A716,Spring!$A:$A,FALSE),MATCH(All!W$1,Spring!$1:$1,FALSE))),"")</f>
        <v>470</v>
      </c>
      <c r="X716" t="str">
        <f>IFERROR(IF(INDEX(Spring!$1:$1048576,MATCH(All!$A716,Spring!$A:$A,FALSE),MATCH(All!X$1,Spring!$1:$1,FALSE))="","",INDEX(Spring!$1:$1048576,MATCH(All!$A716,Spring!$A:$A,FALSE),MATCH(All!X$1,Spring!$1:$1,FALSE))),"")</f>
        <v>2A</v>
      </c>
      <c r="Y716" t="str">
        <f>IFERROR(IF(INDEX(Spring!$1:$1048576,MATCH(All!$A716,Spring!$A:$A,FALSE),MATCH(All!Y$1,Spring!$1:$1,FALSE))="","",INDEX(Spring!$1:$1048576,MATCH(All!$A716,Spring!$A:$A,FALSE),MATCH(All!Y$1,Spring!$1:$1,FALSE))),"")</f>
        <v>2A</v>
      </c>
      <c r="Z716" t="str">
        <f>IFERROR(IF(INDEX(Spring!$1:$1048576,MATCH(All!$A716,Spring!$A:$A,FALSE),MATCH(All!Z$1,Spring!$1:$1,FALSE))="","",INDEX(Spring!$1:$1048576,MATCH(All!$A716,Spring!$A:$A,FALSE),MATCH(All!Z$1,Spring!$1:$1,FALSE))),"")</f>
        <v/>
      </c>
      <c r="AA716" t="str">
        <f>IFERROR(IF(INDEX(Spring!$1:$1048576,MATCH(All!$A716,Spring!$A:$A,FALSE),MATCH(All!AA$1,Spring!$1:$1,FALSE))="","",INDEX(Spring!$1:$1048576,MATCH(All!$A716,Spring!$A:$A,FALSE),MATCH(All!AA$1,Spring!$1:$1,FALSE))),"")</f>
        <v/>
      </c>
      <c r="AB716" t="str">
        <f>IFERROR(IF(INDEX(Spring!$1:$1048576,MATCH(All!$A716,Spring!$A:$A,FALSE),MATCH(All!AB$1,Spring!$1:$1,FALSE))="","",INDEX(Spring!$1:$1048576,MATCH(All!$A716,Spring!$A:$A,FALSE),MATCH(All!AB$1,Spring!$1:$1,FALSE))),"")</f>
        <v>2A</v>
      </c>
      <c r="AC716" t="str">
        <f>IFERROR(IF(INDEX(Spring!$1:$1048576,MATCH(All!$A716,Spring!$A:$A,FALSE),MATCH(All!AC$1,Spring!$1:$1,FALSE))="","",INDEX(Spring!$1:$1048576,MATCH(All!$A716,Spring!$A:$A,FALSE),MATCH(All!AC$1,Spring!$1:$1,FALSE))),"")</f>
        <v>2A</v>
      </c>
      <c r="AD716" t="str">
        <f>IFERROR(VLOOKUP(A716,'Flag Football'!A:A,1,FALSE),"")</f>
        <v/>
      </c>
      <c r="AE716" t="str">
        <f t="shared" si="11"/>
        <v/>
      </c>
    </row>
    <row r="717" spans="1:31" ht="15.75" thickBot="1" x14ac:dyDescent="0.3">
      <c r="A717" s="18" t="s">
        <v>823</v>
      </c>
      <c r="B717" s="38">
        <f>IFERROR(VLOOKUP(A717,'Public v Private'!A:G,3,FALSE),"")</f>
        <v>0</v>
      </c>
      <c r="C717" s="38">
        <f>IFERROR(VLOOKUP(A717,'Public v Private'!A:G,4,FALSE),"")</f>
        <v>0</v>
      </c>
      <c r="D717" s="38">
        <f>IFERROR(VLOOKUP(A717,'Public v Private'!A:G,5,FALSE),"")</f>
        <v>0</v>
      </c>
      <c r="E717" s="38"/>
      <c r="F717" s="40">
        <f>IFERROR(INDEX(Fall!$1:$1048576,MATCH(All!$A717,Fall!$A:$A,FALSE),MATCH(All!F$1,Fall!$1:$1,FALSE)),"N/A")</f>
        <v>221</v>
      </c>
      <c r="G717" t="str">
        <f>IFERROR(IF(INDEX(Fall!$1:$1048576,MATCH(All!$A717,Fall!$A:$A,FALSE),MATCH(All!G$1,Fall!$1:$1,FALSE))="","",INDEX(Fall!$1:$1048576,MATCH(All!$A717,Fall!$A:$A,FALSE),MATCH(All!G$1,Fall!$1:$1,FALSE))),"")</f>
        <v>1A</v>
      </c>
      <c r="H717" t="str">
        <f>IFERROR(IF(INDEX(Fall!$1:$1048576,MATCH(All!$A717,Fall!$A:$A,FALSE),MATCH(All!H$1,Fall!$1:$1,FALSE))="","",INDEX(Fall!$1:$1048576,MATCH(All!$A717,Fall!$A:$A,FALSE),MATCH(All!H$1,Fall!$1:$1,FALSE))),"")</f>
        <v>1A</v>
      </c>
      <c r="I717" t="str">
        <f>IFERROR(IF(INDEX(Fall!$1:$1048576,MATCH(All!$A717,Fall!$A:$A,FALSE),MATCH(All!I$1,Fall!$1:$1,FALSE))="","",INDEX(Fall!$1:$1048576,MATCH(All!$A717,Fall!$A:$A,FALSE),MATCH(All!I$1,Fall!$1:$1,FALSE))),"")</f>
        <v>1A</v>
      </c>
      <c r="J717" t="str">
        <f>IFERROR(IF(INDEX(Fall!$1:$1048576,MATCH(All!$A717,Fall!$A:$A,FALSE),MATCH(All!J$1,Fall!$1:$1,FALSE))="","",INDEX(Fall!$1:$1048576,MATCH(All!$A717,Fall!$A:$A,FALSE),MATCH(All!J$1,Fall!$1:$1,FALSE))),"")</f>
        <v>1A</v>
      </c>
      <c r="K717" t="str">
        <f>IFERROR(IF(INDEX(Fall!$1:$1048576,MATCH(All!$A717,Fall!$A:$A,FALSE),MATCH(All!K$1,Fall!$1:$1,FALSE))="","",INDEX(Fall!$1:$1048576,MATCH(All!$A717,Fall!$A:$A,FALSE),MATCH(All!K$1,Fall!$1:$1,FALSE))),"")</f>
        <v/>
      </c>
      <c r="L717" t="str">
        <f>IFERROR(IF(INDEX(Fall!$1:$1048576,MATCH(All!$A717,Fall!$A:$A,FALSE),MATCH(All!L$1,Fall!$1:$1,FALSE))="","",INDEX(Fall!$1:$1048576,MATCH(All!$A717,Fall!$A:$A,FALSE),MATCH(All!L$1,Fall!$1:$1,FALSE))),"")</f>
        <v/>
      </c>
      <c r="M717" t="str">
        <f>IFERROR(IF(INDEX(Fall!$1:$1048576,MATCH(All!$A717,Fall!$A:$A,FALSE),MATCH(All!M$1,Fall!$1:$1,FALSE))="","",INDEX(Fall!$1:$1048576,MATCH(All!$A717,Fall!$A:$A,FALSE),MATCH(All!M$1,Fall!$1:$1,FALSE))),"")</f>
        <v>1A</v>
      </c>
      <c r="O717">
        <f>IFERROR(IF(INDEX(Winter!$1:$1048576,MATCH(All!$A717,Winter!$A:$A,FALSE),MATCH(All!O$1,Winter!$1:$1,FALSE))="","",INDEX(Winter!$1:$1048576,MATCH(All!$A717,Winter!$A:$A,FALSE),MATCH(All!O$1,Winter!$1:$1,FALSE))),"")</f>
        <v>221</v>
      </c>
      <c r="P717" t="str">
        <f>IFERROR(IF(INDEX(Winter!$1:$1048576,MATCH(All!$A717,Winter!$A:$A,FALSE),MATCH(All!P$1,Winter!$1:$1,FALSE))="","",INDEX(Winter!$1:$1048576,MATCH(All!$A717,Winter!$A:$A,FALSE),MATCH(All!P$1,Winter!$1:$1,FALSE))),"")</f>
        <v>1A</v>
      </c>
      <c r="Q717" t="str">
        <f>IFERROR(IF(INDEX(Winter!$1:$1048576,MATCH(All!$A717,Winter!$A:$A,FALSE),MATCH(All!Q$1,Winter!$1:$1,FALSE))="","",INDEX(Winter!$1:$1048576,MATCH(All!$A717,Winter!$A:$A,FALSE),MATCH(All!Q$1,Winter!$1:$1,FALSE))),"")</f>
        <v>1A</v>
      </c>
      <c r="R717" t="str">
        <f>IFERROR(IF(INDEX(Winter!$1:$1048576,MATCH(All!$A717,Winter!$A:$A,FALSE),MATCH(All!R$1,Winter!$1:$1,FALSE))="","",INDEX(Winter!$1:$1048576,MATCH(All!$A717,Winter!$A:$A,FALSE),MATCH(All!R$1,Winter!$1:$1,FALSE))),"")</f>
        <v/>
      </c>
      <c r="S717" t="str">
        <f>IFERROR(IF(INDEX(Winter!$1:$1048576,MATCH(All!$A717,Winter!$A:$A,FALSE),MATCH(All!S$1,Winter!$1:$1,FALSE))="","",INDEX(Winter!$1:$1048576,MATCH(All!$A717,Winter!$A:$A,FALSE),MATCH(All!S$1,Winter!$1:$1,FALSE))),"")</f>
        <v/>
      </c>
      <c r="T717" t="str">
        <f>IFERROR(IF(INDEX(Winter!$1:$1048576,MATCH(All!$A717,Winter!$A:$A,FALSE),MATCH(All!T$1,Winter!$1:$1,FALSE))="","",INDEX(Winter!$1:$1048576,MATCH(All!$A717,Winter!$A:$A,FALSE),MATCH(All!T$1,Winter!$1:$1,FALSE))),"")</f>
        <v/>
      </c>
      <c r="U717" t="str">
        <f>IFERROR(IF(INDEX(Winter!$1:$1048576,MATCH(All!$A717,Winter!$A:$A,FALSE),MATCH(All!U$1,Winter!$1:$1,FALSE))="","",INDEX(Winter!$1:$1048576,MATCH(All!$A717,Winter!$A:$A,FALSE),MATCH(All!U$1,Winter!$1:$1,FALSE))),"")</f>
        <v/>
      </c>
      <c r="W717">
        <f>IFERROR(IF(INDEX(Spring!$1:$1048576,MATCH(All!$A717,Spring!$A:$A,FALSE),MATCH(All!W$1,Spring!$1:$1,FALSE))="","",INDEX(Spring!$1:$1048576,MATCH(All!$A717,Spring!$A:$A,FALSE),MATCH(All!W$1,Spring!$1:$1,FALSE))),"")</f>
        <v>221</v>
      </c>
      <c r="X717" t="str">
        <f>IFERROR(IF(INDEX(Spring!$1:$1048576,MATCH(All!$A717,Spring!$A:$A,FALSE),MATCH(All!X$1,Spring!$1:$1,FALSE))="","",INDEX(Spring!$1:$1048576,MATCH(All!$A717,Spring!$A:$A,FALSE),MATCH(All!X$1,Spring!$1:$1,FALSE))),"")</f>
        <v>1A</v>
      </c>
      <c r="Y717" t="str">
        <f>IFERROR(IF(INDEX(Spring!$1:$1048576,MATCH(All!$A717,Spring!$A:$A,FALSE),MATCH(All!Y$1,Spring!$1:$1,FALSE))="","",INDEX(Spring!$1:$1048576,MATCH(All!$A717,Spring!$A:$A,FALSE),MATCH(All!Y$1,Spring!$1:$1,FALSE))),"")</f>
        <v>1A</v>
      </c>
      <c r="Z717" t="str">
        <f>IFERROR(IF(INDEX(Spring!$1:$1048576,MATCH(All!$A717,Spring!$A:$A,FALSE),MATCH(All!Z$1,Spring!$1:$1,FALSE))="","",INDEX(Spring!$1:$1048576,MATCH(All!$A717,Spring!$A:$A,FALSE),MATCH(All!Z$1,Spring!$1:$1,FALSE))),"")</f>
        <v/>
      </c>
      <c r="AA717" t="str">
        <f>IFERROR(IF(INDEX(Spring!$1:$1048576,MATCH(All!$A717,Spring!$A:$A,FALSE),MATCH(All!AA$1,Spring!$1:$1,FALSE))="","",INDEX(Spring!$1:$1048576,MATCH(All!$A717,Spring!$A:$A,FALSE),MATCH(All!AA$1,Spring!$1:$1,FALSE))),"")</f>
        <v/>
      </c>
      <c r="AB717" t="str">
        <f>IFERROR(IF(INDEX(Spring!$1:$1048576,MATCH(All!$A717,Spring!$A:$A,FALSE),MATCH(All!AB$1,Spring!$1:$1,FALSE))="","",INDEX(Spring!$1:$1048576,MATCH(All!$A717,Spring!$A:$A,FALSE),MATCH(All!AB$1,Spring!$1:$1,FALSE))),"")</f>
        <v>1A</v>
      </c>
      <c r="AC717" t="str">
        <f>IFERROR(IF(INDEX(Spring!$1:$1048576,MATCH(All!$A717,Spring!$A:$A,FALSE),MATCH(All!AC$1,Spring!$1:$1,FALSE))="","",INDEX(Spring!$1:$1048576,MATCH(All!$A717,Spring!$A:$A,FALSE),MATCH(All!AC$1,Spring!$1:$1,FALSE))),"")</f>
        <v>1A</v>
      </c>
      <c r="AD717" t="str">
        <f>IFERROR(VLOOKUP(A717,'Flag Football'!A:A,1,FALSE),"")</f>
        <v/>
      </c>
      <c r="AE717" t="str">
        <f t="shared" si="11"/>
        <v/>
      </c>
    </row>
    <row r="718" spans="1:31" ht="15.75" thickBot="1" x14ac:dyDescent="0.3">
      <c r="A718" s="20" t="s">
        <v>824</v>
      </c>
      <c r="B718" s="38">
        <f>IFERROR(VLOOKUP(A718,'Public v Private'!A:G,3,FALSE),"")</f>
        <v>0</v>
      </c>
      <c r="C718" s="38">
        <f>IFERROR(VLOOKUP(A718,'Public v Private'!A:G,4,FALSE),"")</f>
        <v>0</v>
      </c>
      <c r="D718" s="38">
        <f>IFERROR(VLOOKUP(A718,'Public v Private'!A:G,5,FALSE),"")</f>
        <v>0</v>
      </c>
      <c r="E718" s="38"/>
      <c r="F718" s="40">
        <f>IFERROR(INDEX(Fall!$1:$1048576,MATCH(All!$A718,Fall!$A:$A,FALSE),MATCH(All!F$1,Fall!$1:$1,FALSE)),"N/A")</f>
        <v>285</v>
      </c>
      <c r="G718" t="str">
        <f>IFERROR(IF(INDEX(Fall!$1:$1048576,MATCH(All!$A718,Fall!$A:$A,FALSE),MATCH(All!G$1,Fall!$1:$1,FALSE))="","",INDEX(Fall!$1:$1048576,MATCH(All!$A718,Fall!$A:$A,FALSE),MATCH(All!G$1,Fall!$1:$1,FALSE))),"")</f>
        <v>1A</v>
      </c>
      <c r="H718" t="str">
        <f>IFERROR(IF(INDEX(Fall!$1:$1048576,MATCH(All!$A718,Fall!$A:$A,FALSE),MATCH(All!H$1,Fall!$1:$1,FALSE))="","",INDEX(Fall!$1:$1048576,MATCH(All!$A718,Fall!$A:$A,FALSE),MATCH(All!H$1,Fall!$1:$1,FALSE))),"")</f>
        <v>1A</v>
      </c>
      <c r="I718" t="str">
        <f>IFERROR(IF(INDEX(Fall!$1:$1048576,MATCH(All!$A718,Fall!$A:$A,FALSE),MATCH(All!I$1,Fall!$1:$1,FALSE))="","",INDEX(Fall!$1:$1048576,MATCH(All!$A718,Fall!$A:$A,FALSE),MATCH(All!I$1,Fall!$1:$1,FALSE))),"")</f>
        <v>1A</v>
      </c>
      <c r="J718" t="str">
        <f>IFERROR(IF(INDEX(Fall!$1:$1048576,MATCH(All!$A718,Fall!$A:$A,FALSE),MATCH(All!J$1,Fall!$1:$1,FALSE))="","",INDEX(Fall!$1:$1048576,MATCH(All!$A718,Fall!$A:$A,FALSE),MATCH(All!J$1,Fall!$1:$1,FALSE))),"")</f>
        <v/>
      </c>
      <c r="K718" t="str">
        <f>IFERROR(IF(INDEX(Fall!$1:$1048576,MATCH(All!$A718,Fall!$A:$A,FALSE),MATCH(All!K$1,Fall!$1:$1,FALSE))="","",INDEX(Fall!$1:$1048576,MATCH(All!$A718,Fall!$A:$A,FALSE),MATCH(All!K$1,Fall!$1:$1,FALSE))),"")</f>
        <v/>
      </c>
      <c r="L718" t="str">
        <f>IFERROR(IF(INDEX(Fall!$1:$1048576,MATCH(All!$A718,Fall!$A:$A,FALSE),MATCH(All!L$1,Fall!$1:$1,FALSE))="","",INDEX(Fall!$1:$1048576,MATCH(All!$A718,Fall!$A:$A,FALSE),MATCH(All!L$1,Fall!$1:$1,FALSE))),"")</f>
        <v/>
      </c>
      <c r="M718" t="str">
        <f>IFERROR(IF(INDEX(Fall!$1:$1048576,MATCH(All!$A718,Fall!$A:$A,FALSE),MATCH(All!M$1,Fall!$1:$1,FALSE))="","",INDEX(Fall!$1:$1048576,MATCH(All!$A718,Fall!$A:$A,FALSE),MATCH(All!M$1,Fall!$1:$1,FALSE))),"")</f>
        <v>1A</v>
      </c>
      <c r="O718">
        <f>IFERROR(IF(INDEX(Winter!$1:$1048576,MATCH(All!$A718,Winter!$A:$A,FALSE),MATCH(All!O$1,Winter!$1:$1,FALSE))="","",INDEX(Winter!$1:$1048576,MATCH(All!$A718,Winter!$A:$A,FALSE),MATCH(All!O$1,Winter!$1:$1,FALSE))),"")</f>
        <v>285</v>
      </c>
      <c r="P718" t="str">
        <f>IFERROR(IF(INDEX(Winter!$1:$1048576,MATCH(All!$A718,Winter!$A:$A,FALSE),MATCH(All!P$1,Winter!$1:$1,FALSE))="","",INDEX(Winter!$1:$1048576,MATCH(All!$A718,Winter!$A:$A,FALSE),MATCH(All!P$1,Winter!$1:$1,FALSE))),"")</f>
        <v>1A</v>
      </c>
      <c r="Q718" t="str">
        <f>IFERROR(IF(INDEX(Winter!$1:$1048576,MATCH(All!$A718,Winter!$A:$A,FALSE),MATCH(All!Q$1,Winter!$1:$1,FALSE))="","",INDEX(Winter!$1:$1048576,MATCH(All!$A718,Winter!$A:$A,FALSE),MATCH(All!Q$1,Winter!$1:$1,FALSE))),"")</f>
        <v>1A</v>
      </c>
      <c r="R718" t="str">
        <f>IFERROR(IF(INDEX(Winter!$1:$1048576,MATCH(All!$A718,Winter!$A:$A,FALSE),MATCH(All!R$1,Winter!$1:$1,FALSE))="","",INDEX(Winter!$1:$1048576,MATCH(All!$A718,Winter!$A:$A,FALSE),MATCH(All!R$1,Winter!$1:$1,FALSE))),"")</f>
        <v/>
      </c>
      <c r="S718" t="str">
        <f>IFERROR(IF(INDEX(Winter!$1:$1048576,MATCH(All!$A718,Winter!$A:$A,FALSE),MATCH(All!S$1,Winter!$1:$1,FALSE))="","",INDEX(Winter!$1:$1048576,MATCH(All!$A718,Winter!$A:$A,FALSE),MATCH(All!S$1,Winter!$1:$1,FALSE))),"")</f>
        <v/>
      </c>
      <c r="T718" t="str">
        <f>IFERROR(IF(INDEX(Winter!$1:$1048576,MATCH(All!$A718,Winter!$A:$A,FALSE),MATCH(All!T$1,Winter!$1:$1,FALSE))="","",INDEX(Winter!$1:$1048576,MATCH(All!$A718,Winter!$A:$A,FALSE),MATCH(All!T$1,Winter!$1:$1,FALSE))),"")</f>
        <v>1A</v>
      </c>
      <c r="U718" t="str">
        <f>IFERROR(IF(INDEX(Winter!$1:$1048576,MATCH(All!$A718,Winter!$A:$A,FALSE),MATCH(All!U$1,Winter!$1:$1,FALSE))="","",INDEX(Winter!$1:$1048576,MATCH(All!$A718,Winter!$A:$A,FALSE),MATCH(All!U$1,Winter!$1:$1,FALSE))),"")</f>
        <v>1A</v>
      </c>
      <c r="W718">
        <f>IFERROR(IF(INDEX(Spring!$1:$1048576,MATCH(All!$A718,Spring!$A:$A,FALSE),MATCH(All!W$1,Spring!$1:$1,FALSE))="","",INDEX(Spring!$1:$1048576,MATCH(All!$A718,Spring!$A:$A,FALSE),MATCH(All!W$1,Spring!$1:$1,FALSE))),"")</f>
        <v>285</v>
      </c>
      <c r="X718" t="str">
        <f>IFERROR(IF(INDEX(Spring!$1:$1048576,MATCH(All!$A718,Spring!$A:$A,FALSE),MATCH(All!X$1,Spring!$1:$1,FALSE))="","",INDEX(Spring!$1:$1048576,MATCH(All!$A718,Spring!$A:$A,FALSE),MATCH(All!X$1,Spring!$1:$1,FALSE))),"")</f>
        <v>1A</v>
      </c>
      <c r="Y718" t="str">
        <f>IFERROR(IF(INDEX(Spring!$1:$1048576,MATCH(All!$A718,Spring!$A:$A,FALSE),MATCH(All!Y$1,Spring!$1:$1,FALSE))="","",INDEX(Spring!$1:$1048576,MATCH(All!$A718,Spring!$A:$A,FALSE),MATCH(All!Y$1,Spring!$1:$1,FALSE))),"")</f>
        <v>1A</v>
      </c>
      <c r="Z718" t="str">
        <f>IFERROR(IF(INDEX(Spring!$1:$1048576,MATCH(All!$A718,Spring!$A:$A,FALSE),MATCH(All!Z$1,Spring!$1:$1,FALSE))="","",INDEX(Spring!$1:$1048576,MATCH(All!$A718,Spring!$A:$A,FALSE),MATCH(All!Z$1,Spring!$1:$1,FALSE))),"")</f>
        <v/>
      </c>
      <c r="AA718" t="str">
        <f>IFERROR(IF(INDEX(Spring!$1:$1048576,MATCH(All!$A718,Spring!$A:$A,FALSE),MATCH(All!AA$1,Spring!$1:$1,FALSE))="","",INDEX(Spring!$1:$1048576,MATCH(All!$A718,Spring!$A:$A,FALSE),MATCH(All!AA$1,Spring!$1:$1,FALSE))),"")</f>
        <v/>
      </c>
      <c r="AB718" t="str">
        <f>IFERROR(IF(INDEX(Spring!$1:$1048576,MATCH(All!$A718,Spring!$A:$A,FALSE),MATCH(All!AB$1,Spring!$1:$1,FALSE))="","",INDEX(Spring!$1:$1048576,MATCH(All!$A718,Spring!$A:$A,FALSE),MATCH(All!AB$1,Spring!$1:$1,FALSE))),"")</f>
        <v>1A</v>
      </c>
      <c r="AC718" t="str">
        <f>IFERROR(IF(INDEX(Spring!$1:$1048576,MATCH(All!$A718,Spring!$A:$A,FALSE),MATCH(All!AC$1,Spring!$1:$1,FALSE))="","",INDEX(Spring!$1:$1048576,MATCH(All!$A718,Spring!$A:$A,FALSE),MATCH(All!AC$1,Spring!$1:$1,FALSE))),"")</f>
        <v>1A</v>
      </c>
      <c r="AD718" t="str">
        <f>IFERROR(VLOOKUP(A718,'Flag Football'!A:A,1,FALSE),"")</f>
        <v/>
      </c>
      <c r="AE718" t="str">
        <f t="shared" si="11"/>
        <v/>
      </c>
    </row>
    <row r="719" spans="1:31" ht="15.75" thickBot="1" x14ac:dyDescent="0.3">
      <c r="A719" s="18" t="s">
        <v>825</v>
      </c>
      <c r="B719" s="38">
        <f>IFERROR(VLOOKUP(A719,'Public v Private'!A:G,3,FALSE),"")</f>
        <v>0</v>
      </c>
      <c r="C719" s="38">
        <f>IFERROR(VLOOKUP(A719,'Public v Private'!A:G,4,FALSE),"")</f>
        <v>0</v>
      </c>
      <c r="D719" s="38">
        <f>IFERROR(VLOOKUP(A719,'Public v Private'!A:G,5,FALSE),"")</f>
        <v>0</v>
      </c>
      <c r="E719" s="38"/>
      <c r="F719" s="40">
        <f>IFERROR(INDEX(Fall!$1:$1048576,MATCH(All!$A719,Fall!$A:$A,FALSE),MATCH(All!F$1,Fall!$1:$1,FALSE)),"N/A")</f>
        <v>339</v>
      </c>
      <c r="G719" t="str">
        <f>IFERROR(IF(INDEX(Fall!$1:$1048576,MATCH(All!$A719,Fall!$A:$A,FALSE),MATCH(All!G$1,Fall!$1:$1,FALSE))="","",INDEX(Fall!$1:$1048576,MATCH(All!$A719,Fall!$A:$A,FALSE),MATCH(All!G$1,Fall!$1:$1,FALSE))),"")</f>
        <v>1A</v>
      </c>
      <c r="H719" t="str">
        <f>IFERROR(IF(INDEX(Fall!$1:$1048576,MATCH(All!$A719,Fall!$A:$A,FALSE),MATCH(All!H$1,Fall!$1:$1,FALSE))="","",INDEX(Fall!$1:$1048576,MATCH(All!$A719,Fall!$A:$A,FALSE),MATCH(All!H$1,Fall!$1:$1,FALSE))),"")</f>
        <v>1A</v>
      </c>
      <c r="I719" t="str">
        <f>IFERROR(IF(INDEX(Fall!$1:$1048576,MATCH(All!$A719,Fall!$A:$A,FALSE),MATCH(All!I$1,Fall!$1:$1,FALSE))="","",INDEX(Fall!$1:$1048576,MATCH(All!$A719,Fall!$A:$A,FALSE),MATCH(All!I$1,Fall!$1:$1,FALSE))),"")</f>
        <v>1A</v>
      </c>
      <c r="J719" t="str">
        <f>IFERROR(IF(INDEX(Fall!$1:$1048576,MATCH(All!$A719,Fall!$A:$A,FALSE),MATCH(All!J$1,Fall!$1:$1,FALSE))="","",INDEX(Fall!$1:$1048576,MATCH(All!$A719,Fall!$A:$A,FALSE),MATCH(All!J$1,Fall!$1:$1,FALSE))),"")</f>
        <v/>
      </c>
      <c r="K719" t="str">
        <f>IFERROR(IF(INDEX(Fall!$1:$1048576,MATCH(All!$A719,Fall!$A:$A,FALSE),MATCH(All!K$1,Fall!$1:$1,FALSE))="","",INDEX(Fall!$1:$1048576,MATCH(All!$A719,Fall!$A:$A,FALSE),MATCH(All!K$1,Fall!$1:$1,FALSE))),"")</f>
        <v>1A</v>
      </c>
      <c r="L719" t="str">
        <f>IFERROR(IF(INDEX(Fall!$1:$1048576,MATCH(All!$A719,Fall!$A:$A,FALSE),MATCH(All!L$1,Fall!$1:$1,FALSE))="","",INDEX(Fall!$1:$1048576,MATCH(All!$A719,Fall!$A:$A,FALSE),MATCH(All!L$1,Fall!$1:$1,FALSE))),"")</f>
        <v/>
      </c>
      <c r="M719" t="str">
        <f>IFERROR(IF(INDEX(Fall!$1:$1048576,MATCH(All!$A719,Fall!$A:$A,FALSE),MATCH(All!M$1,Fall!$1:$1,FALSE))="","",INDEX(Fall!$1:$1048576,MATCH(All!$A719,Fall!$A:$A,FALSE),MATCH(All!M$1,Fall!$1:$1,FALSE))),"")</f>
        <v>2A</v>
      </c>
      <c r="O719">
        <f>IFERROR(IF(INDEX(Winter!$1:$1048576,MATCH(All!$A719,Winter!$A:$A,FALSE),MATCH(All!O$1,Winter!$1:$1,FALSE))="","",INDEX(Winter!$1:$1048576,MATCH(All!$A719,Winter!$A:$A,FALSE),MATCH(All!O$1,Winter!$1:$1,FALSE))),"")</f>
        <v>339</v>
      </c>
      <c r="P719" t="str">
        <f>IFERROR(IF(INDEX(Winter!$1:$1048576,MATCH(All!$A719,Winter!$A:$A,FALSE),MATCH(All!P$1,Winter!$1:$1,FALSE))="","",INDEX(Winter!$1:$1048576,MATCH(All!$A719,Winter!$A:$A,FALSE),MATCH(All!P$1,Winter!$1:$1,FALSE))),"")</f>
        <v>2A</v>
      </c>
      <c r="Q719" t="str">
        <f>IFERROR(IF(INDEX(Winter!$1:$1048576,MATCH(All!$A719,Winter!$A:$A,FALSE),MATCH(All!Q$1,Winter!$1:$1,FALSE))="","",INDEX(Winter!$1:$1048576,MATCH(All!$A719,Winter!$A:$A,FALSE),MATCH(All!Q$1,Winter!$1:$1,FALSE))),"")</f>
        <v>2A</v>
      </c>
      <c r="R719" t="str">
        <f>IFERROR(IF(INDEX(Winter!$1:$1048576,MATCH(All!$A719,Winter!$A:$A,FALSE),MATCH(All!R$1,Winter!$1:$1,FALSE))="","",INDEX(Winter!$1:$1048576,MATCH(All!$A719,Winter!$A:$A,FALSE),MATCH(All!R$1,Winter!$1:$1,FALSE))),"")</f>
        <v>1A</v>
      </c>
      <c r="S719" t="str">
        <f>IFERROR(IF(INDEX(Winter!$1:$1048576,MATCH(All!$A719,Winter!$A:$A,FALSE),MATCH(All!S$1,Winter!$1:$1,FALSE))="","",INDEX(Winter!$1:$1048576,MATCH(All!$A719,Winter!$A:$A,FALSE),MATCH(All!S$1,Winter!$1:$1,FALSE))),"")</f>
        <v>1A</v>
      </c>
      <c r="T719" t="str">
        <f>IFERROR(IF(INDEX(Winter!$1:$1048576,MATCH(All!$A719,Winter!$A:$A,FALSE),MATCH(All!T$1,Winter!$1:$1,FALSE))="","",INDEX(Winter!$1:$1048576,MATCH(All!$A719,Winter!$A:$A,FALSE),MATCH(All!T$1,Winter!$1:$1,FALSE))),"")</f>
        <v>1A</v>
      </c>
      <c r="U719" t="str">
        <f>IFERROR(IF(INDEX(Winter!$1:$1048576,MATCH(All!$A719,Winter!$A:$A,FALSE),MATCH(All!U$1,Winter!$1:$1,FALSE))="","",INDEX(Winter!$1:$1048576,MATCH(All!$A719,Winter!$A:$A,FALSE),MATCH(All!U$1,Winter!$1:$1,FALSE))),"")</f>
        <v/>
      </c>
      <c r="W719">
        <f>IFERROR(IF(INDEX(Spring!$1:$1048576,MATCH(All!$A719,Spring!$A:$A,FALSE),MATCH(All!W$1,Spring!$1:$1,FALSE))="","",INDEX(Spring!$1:$1048576,MATCH(All!$A719,Spring!$A:$A,FALSE),MATCH(All!W$1,Spring!$1:$1,FALSE))),"")</f>
        <v>339</v>
      </c>
      <c r="X719" t="str">
        <f>IFERROR(IF(INDEX(Spring!$1:$1048576,MATCH(All!$A719,Spring!$A:$A,FALSE),MATCH(All!X$1,Spring!$1:$1,FALSE))="","",INDEX(Spring!$1:$1048576,MATCH(All!$A719,Spring!$A:$A,FALSE),MATCH(All!X$1,Spring!$1:$1,FALSE))),"")</f>
        <v>2A</v>
      </c>
      <c r="Y719" t="str">
        <f>IFERROR(IF(INDEX(Spring!$1:$1048576,MATCH(All!$A719,Spring!$A:$A,FALSE),MATCH(All!Y$1,Spring!$1:$1,FALSE))="","",INDEX(Spring!$1:$1048576,MATCH(All!$A719,Spring!$A:$A,FALSE),MATCH(All!Y$1,Spring!$1:$1,FALSE))),"")</f>
        <v>2A</v>
      </c>
      <c r="Z719" t="str">
        <f>IFERROR(IF(INDEX(Spring!$1:$1048576,MATCH(All!$A719,Spring!$A:$A,FALSE),MATCH(All!Z$1,Spring!$1:$1,FALSE))="","",INDEX(Spring!$1:$1048576,MATCH(All!$A719,Spring!$A:$A,FALSE),MATCH(All!Z$1,Spring!$1:$1,FALSE))),"")</f>
        <v>1A</v>
      </c>
      <c r="AA719" t="str">
        <f>IFERROR(IF(INDEX(Spring!$1:$1048576,MATCH(All!$A719,Spring!$A:$A,FALSE),MATCH(All!AA$1,Spring!$1:$1,FALSE))="","",INDEX(Spring!$1:$1048576,MATCH(All!$A719,Spring!$A:$A,FALSE),MATCH(All!AA$1,Spring!$1:$1,FALSE))),"")</f>
        <v/>
      </c>
      <c r="AB719" t="str">
        <f>IFERROR(IF(INDEX(Spring!$1:$1048576,MATCH(All!$A719,Spring!$A:$A,FALSE),MATCH(All!AB$1,Spring!$1:$1,FALSE))="","",INDEX(Spring!$1:$1048576,MATCH(All!$A719,Spring!$A:$A,FALSE),MATCH(All!AB$1,Spring!$1:$1,FALSE))),"")</f>
        <v>1A</v>
      </c>
      <c r="AC719" t="str">
        <f>IFERROR(IF(INDEX(Spring!$1:$1048576,MATCH(All!$A719,Spring!$A:$A,FALSE),MATCH(All!AC$1,Spring!$1:$1,FALSE))="","",INDEX(Spring!$1:$1048576,MATCH(All!$A719,Spring!$A:$A,FALSE),MATCH(All!AC$1,Spring!$1:$1,FALSE))),"")</f>
        <v>1A</v>
      </c>
      <c r="AD719" t="str">
        <f>IFERROR(VLOOKUP(A719,'Flag Football'!A:A,1,FALSE),"")</f>
        <v/>
      </c>
      <c r="AE719" t="str">
        <f t="shared" si="11"/>
        <v/>
      </c>
    </row>
    <row r="720" spans="1:31" ht="15.75" thickBot="1" x14ac:dyDescent="0.3">
      <c r="A720" s="20" t="s">
        <v>826</v>
      </c>
      <c r="B720" s="38">
        <f>IFERROR(VLOOKUP(A720,'Public v Private'!A:G,3,FALSE),"")</f>
        <v>0</v>
      </c>
      <c r="C720" s="38">
        <f>IFERROR(VLOOKUP(A720,'Public v Private'!A:G,4,FALSE),"")</f>
        <v>0</v>
      </c>
      <c r="D720" s="38">
        <f>IFERROR(VLOOKUP(A720,'Public v Private'!A:G,5,FALSE),"")</f>
        <v>0</v>
      </c>
      <c r="E720" s="38"/>
      <c r="F720" s="40">
        <f>IFERROR(INDEX(Fall!$1:$1048576,MATCH(All!$A720,Fall!$A:$A,FALSE),MATCH(All!F$1,Fall!$1:$1,FALSE)),"N/A")</f>
        <v>1210</v>
      </c>
      <c r="G720" t="str">
        <f>IFERROR(IF(INDEX(Fall!$1:$1048576,MATCH(All!$A720,Fall!$A:$A,FALSE),MATCH(All!G$1,Fall!$1:$1,FALSE))="","",INDEX(Fall!$1:$1048576,MATCH(All!$A720,Fall!$A:$A,FALSE),MATCH(All!G$1,Fall!$1:$1,FALSE))),"")</f>
        <v>2A</v>
      </c>
      <c r="H720" t="str">
        <f>IFERROR(IF(INDEX(Fall!$1:$1048576,MATCH(All!$A720,Fall!$A:$A,FALSE),MATCH(All!H$1,Fall!$1:$1,FALSE))="","",INDEX(Fall!$1:$1048576,MATCH(All!$A720,Fall!$A:$A,FALSE),MATCH(All!H$1,Fall!$1:$1,FALSE))),"")</f>
        <v>2A</v>
      </c>
      <c r="I720" t="str">
        <f>IFERROR(IF(INDEX(Fall!$1:$1048576,MATCH(All!$A720,Fall!$A:$A,FALSE),MATCH(All!I$1,Fall!$1:$1,FALSE))="","",INDEX(Fall!$1:$1048576,MATCH(All!$A720,Fall!$A:$A,FALSE),MATCH(All!I$1,Fall!$1:$1,FALSE))),"")</f>
        <v>2A</v>
      </c>
      <c r="J720" t="str">
        <f>IFERROR(IF(INDEX(Fall!$1:$1048576,MATCH(All!$A720,Fall!$A:$A,FALSE),MATCH(All!J$1,Fall!$1:$1,FALSE))="","",INDEX(Fall!$1:$1048576,MATCH(All!$A720,Fall!$A:$A,FALSE),MATCH(All!J$1,Fall!$1:$1,FALSE))),"")</f>
        <v>2A</v>
      </c>
      <c r="K720" t="str">
        <f>IFERROR(IF(INDEX(Fall!$1:$1048576,MATCH(All!$A720,Fall!$A:$A,FALSE),MATCH(All!K$1,Fall!$1:$1,FALSE))="","",INDEX(Fall!$1:$1048576,MATCH(All!$A720,Fall!$A:$A,FALSE),MATCH(All!K$1,Fall!$1:$1,FALSE))),"")</f>
        <v>2A</v>
      </c>
      <c r="L720" t="str">
        <f>IFERROR(IF(INDEX(Fall!$1:$1048576,MATCH(All!$A720,Fall!$A:$A,FALSE),MATCH(All!L$1,Fall!$1:$1,FALSE))="","",INDEX(Fall!$1:$1048576,MATCH(All!$A720,Fall!$A:$A,FALSE),MATCH(All!L$1,Fall!$1:$1,FALSE))),"")</f>
        <v>1A</v>
      </c>
      <c r="M720" t="str">
        <f>IFERROR(IF(INDEX(Fall!$1:$1048576,MATCH(All!$A720,Fall!$A:$A,FALSE),MATCH(All!M$1,Fall!$1:$1,FALSE))="","",INDEX(Fall!$1:$1048576,MATCH(All!$A720,Fall!$A:$A,FALSE),MATCH(All!M$1,Fall!$1:$1,FALSE))),"")</f>
        <v>3A</v>
      </c>
      <c r="O720">
        <f>IFERROR(IF(INDEX(Winter!$1:$1048576,MATCH(All!$A720,Winter!$A:$A,FALSE),MATCH(All!O$1,Winter!$1:$1,FALSE))="","",INDEX(Winter!$1:$1048576,MATCH(All!$A720,Winter!$A:$A,FALSE),MATCH(All!O$1,Winter!$1:$1,FALSE))),"")</f>
        <v>1210</v>
      </c>
      <c r="P720" t="str">
        <f>IFERROR(IF(INDEX(Winter!$1:$1048576,MATCH(All!$A720,Winter!$A:$A,FALSE),MATCH(All!P$1,Winter!$1:$1,FALSE))="","",INDEX(Winter!$1:$1048576,MATCH(All!$A720,Winter!$A:$A,FALSE),MATCH(All!P$1,Winter!$1:$1,FALSE))),"")</f>
        <v>3A</v>
      </c>
      <c r="Q720" t="str">
        <f>IFERROR(IF(INDEX(Winter!$1:$1048576,MATCH(All!$A720,Winter!$A:$A,FALSE),MATCH(All!Q$1,Winter!$1:$1,FALSE))="","",INDEX(Winter!$1:$1048576,MATCH(All!$A720,Winter!$A:$A,FALSE),MATCH(All!Q$1,Winter!$1:$1,FALSE))),"")</f>
        <v>3A</v>
      </c>
      <c r="R720" t="str">
        <f>IFERROR(IF(INDEX(Winter!$1:$1048576,MATCH(All!$A720,Winter!$A:$A,FALSE),MATCH(All!R$1,Winter!$1:$1,FALSE))="","",INDEX(Winter!$1:$1048576,MATCH(All!$A720,Winter!$A:$A,FALSE),MATCH(All!R$1,Winter!$1:$1,FALSE))),"")</f>
        <v>2A</v>
      </c>
      <c r="S720" t="str">
        <f>IFERROR(IF(INDEX(Winter!$1:$1048576,MATCH(All!$A720,Winter!$A:$A,FALSE),MATCH(All!S$1,Winter!$1:$1,FALSE))="","",INDEX(Winter!$1:$1048576,MATCH(All!$A720,Winter!$A:$A,FALSE),MATCH(All!S$1,Winter!$1:$1,FALSE))),"")</f>
        <v>2A</v>
      </c>
      <c r="T720" t="str">
        <f>IFERROR(IF(INDEX(Winter!$1:$1048576,MATCH(All!$A720,Winter!$A:$A,FALSE),MATCH(All!T$1,Winter!$1:$1,FALSE))="","",INDEX(Winter!$1:$1048576,MATCH(All!$A720,Winter!$A:$A,FALSE),MATCH(All!T$1,Winter!$1:$1,FALSE))),"")</f>
        <v>2A</v>
      </c>
      <c r="U720" t="str">
        <f>IFERROR(IF(INDEX(Winter!$1:$1048576,MATCH(All!$A720,Winter!$A:$A,FALSE),MATCH(All!U$1,Winter!$1:$1,FALSE))="","",INDEX(Winter!$1:$1048576,MATCH(All!$A720,Winter!$A:$A,FALSE),MATCH(All!U$1,Winter!$1:$1,FALSE))),"")</f>
        <v>2A</v>
      </c>
      <c r="W720">
        <f>IFERROR(IF(INDEX(Spring!$1:$1048576,MATCH(All!$A720,Spring!$A:$A,FALSE),MATCH(All!W$1,Spring!$1:$1,FALSE))="","",INDEX(Spring!$1:$1048576,MATCH(All!$A720,Spring!$A:$A,FALSE),MATCH(All!W$1,Spring!$1:$1,FALSE))),"")</f>
        <v>1210</v>
      </c>
      <c r="X720" t="str">
        <f>IFERROR(IF(INDEX(Spring!$1:$1048576,MATCH(All!$A720,Spring!$A:$A,FALSE),MATCH(All!X$1,Spring!$1:$1,FALSE))="","",INDEX(Spring!$1:$1048576,MATCH(All!$A720,Spring!$A:$A,FALSE),MATCH(All!X$1,Spring!$1:$1,FALSE))),"")</f>
        <v>3A</v>
      </c>
      <c r="Y720" t="str">
        <f>IFERROR(IF(INDEX(Spring!$1:$1048576,MATCH(All!$A720,Spring!$A:$A,FALSE),MATCH(All!Y$1,Spring!$1:$1,FALSE))="","",INDEX(Spring!$1:$1048576,MATCH(All!$A720,Spring!$A:$A,FALSE),MATCH(All!Y$1,Spring!$1:$1,FALSE))),"")</f>
        <v>3A</v>
      </c>
      <c r="Z720" t="str">
        <f>IFERROR(IF(INDEX(Spring!$1:$1048576,MATCH(All!$A720,Spring!$A:$A,FALSE),MATCH(All!Z$1,Spring!$1:$1,FALSE))="","",INDEX(Spring!$1:$1048576,MATCH(All!$A720,Spring!$A:$A,FALSE),MATCH(All!Z$1,Spring!$1:$1,FALSE))),"")</f>
        <v>2A</v>
      </c>
      <c r="AA720" t="str">
        <f>IFERROR(IF(INDEX(Spring!$1:$1048576,MATCH(All!$A720,Spring!$A:$A,FALSE),MATCH(All!AA$1,Spring!$1:$1,FALSE))="","",INDEX(Spring!$1:$1048576,MATCH(All!$A720,Spring!$A:$A,FALSE),MATCH(All!AA$1,Spring!$1:$1,FALSE))),"")</f>
        <v>1A</v>
      </c>
      <c r="AB720" t="str">
        <f>IFERROR(IF(INDEX(Spring!$1:$1048576,MATCH(All!$A720,Spring!$A:$A,FALSE),MATCH(All!AB$1,Spring!$1:$1,FALSE))="","",INDEX(Spring!$1:$1048576,MATCH(All!$A720,Spring!$A:$A,FALSE),MATCH(All!AB$1,Spring!$1:$1,FALSE))),"")</f>
        <v>2A</v>
      </c>
      <c r="AC720" t="str">
        <f>IFERROR(IF(INDEX(Spring!$1:$1048576,MATCH(All!$A720,Spring!$A:$A,FALSE),MATCH(All!AC$1,Spring!$1:$1,FALSE))="","",INDEX(Spring!$1:$1048576,MATCH(All!$A720,Spring!$A:$A,FALSE),MATCH(All!AC$1,Spring!$1:$1,FALSE))),"")</f>
        <v>2A</v>
      </c>
      <c r="AD720" t="str">
        <f>IFERROR(VLOOKUP(A720,'Flag Football'!A:A,1,FALSE),"")</f>
        <v/>
      </c>
      <c r="AE720" t="str">
        <f t="shared" si="11"/>
        <v/>
      </c>
    </row>
    <row r="721" spans="1:31" ht="15.75" thickBot="1" x14ac:dyDescent="0.3">
      <c r="A721" s="18" t="s">
        <v>827</v>
      </c>
      <c r="B721" s="38">
        <f>IFERROR(VLOOKUP(A721,'Public v Private'!A:G,3,FALSE),"")</f>
        <v>0</v>
      </c>
      <c r="C721" s="38">
        <f>IFERROR(VLOOKUP(A721,'Public v Private'!A:G,4,FALSE),"")</f>
        <v>0</v>
      </c>
      <c r="D721" s="38">
        <f>IFERROR(VLOOKUP(A721,'Public v Private'!A:G,5,FALSE),"")</f>
        <v>0</v>
      </c>
      <c r="E721" s="38"/>
      <c r="F721" s="40">
        <f>IFERROR(INDEX(Fall!$1:$1048576,MATCH(All!$A721,Fall!$A:$A,FALSE),MATCH(All!F$1,Fall!$1:$1,FALSE)),"N/A")</f>
        <v>289</v>
      </c>
      <c r="G721" t="str">
        <f>IFERROR(IF(INDEX(Fall!$1:$1048576,MATCH(All!$A721,Fall!$A:$A,FALSE),MATCH(All!G$1,Fall!$1:$1,FALSE))="","",INDEX(Fall!$1:$1048576,MATCH(All!$A721,Fall!$A:$A,FALSE),MATCH(All!G$1,Fall!$1:$1,FALSE))),"")</f>
        <v>1A</v>
      </c>
      <c r="H721" t="str">
        <f>IFERROR(IF(INDEX(Fall!$1:$1048576,MATCH(All!$A721,Fall!$A:$A,FALSE),MATCH(All!H$1,Fall!$1:$1,FALSE))="","",INDEX(Fall!$1:$1048576,MATCH(All!$A721,Fall!$A:$A,FALSE),MATCH(All!H$1,Fall!$1:$1,FALSE))),"")</f>
        <v>1A</v>
      </c>
      <c r="I721" t="str">
        <f>IFERROR(IF(INDEX(Fall!$1:$1048576,MATCH(All!$A721,Fall!$A:$A,FALSE),MATCH(All!I$1,Fall!$1:$1,FALSE))="","",INDEX(Fall!$1:$1048576,MATCH(All!$A721,Fall!$A:$A,FALSE),MATCH(All!I$1,Fall!$1:$1,FALSE))),"")</f>
        <v>1A</v>
      </c>
      <c r="J721" t="str">
        <f>IFERROR(IF(INDEX(Fall!$1:$1048576,MATCH(All!$A721,Fall!$A:$A,FALSE),MATCH(All!J$1,Fall!$1:$1,FALSE))="","",INDEX(Fall!$1:$1048576,MATCH(All!$A721,Fall!$A:$A,FALSE),MATCH(All!J$1,Fall!$1:$1,FALSE))),"")</f>
        <v/>
      </c>
      <c r="K721" t="str">
        <f>IFERROR(IF(INDEX(Fall!$1:$1048576,MATCH(All!$A721,Fall!$A:$A,FALSE),MATCH(All!K$1,Fall!$1:$1,FALSE))="","",INDEX(Fall!$1:$1048576,MATCH(All!$A721,Fall!$A:$A,FALSE),MATCH(All!K$1,Fall!$1:$1,FALSE))),"")</f>
        <v/>
      </c>
      <c r="L721" t="str">
        <f>IFERROR(IF(INDEX(Fall!$1:$1048576,MATCH(All!$A721,Fall!$A:$A,FALSE),MATCH(All!L$1,Fall!$1:$1,FALSE))="","",INDEX(Fall!$1:$1048576,MATCH(All!$A721,Fall!$A:$A,FALSE),MATCH(All!L$1,Fall!$1:$1,FALSE))),"")</f>
        <v/>
      </c>
      <c r="M721" t="str">
        <f>IFERROR(IF(INDEX(Fall!$1:$1048576,MATCH(All!$A721,Fall!$A:$A,FALSE),MATCH(All!M$1,Fall!$1:$1,FALSE))="","",INDEX(Fall!$1:$1048576,MATCH(All!$A721,Fall!$A:$A,FALSE),MATCH(All!M$1,Fall!$1:$1,FALSE))),"")</f>
        <v>1A</v>
      </c>
      <c r="O721">
        <f>IFERROR(IF(INDEX(Winter!$1:$1048576,MATCH(All!$A721,Winter!$A:$A,FALSE),MATCH(All!O$1,Winter!$1:$1,FALSE))="","",INDEX(Winter!$1:$1048576,MATCH(All!$A721,Winter!$A:$A,FALSE),MATCH(All!O$1,Winter!$1:$1,FALSE))),"")</f>
        <v>289</v>
      </c>
      <c r="P721" t="str">
        <f>IFERROR(IF(INDEX(Winter!$1:$1048576,MATCH(All!$A721,Winter!$A:$A,FALSE),MATCH(All!P$1,Winter!$1:$1,FALSE))="","",INDEX(Winter!$1:$1048576,MATCH(All!$A721,Winter!$A:$A,FALSE),MATCH(All!P$1,Winter!$1:$1,FALSE))),"")</f>
        <v>1A</v>
      </c>
      <c r="Q721" t="str">
        <f>IFERROR(IF(INDEX(Winter!$1:$1048576,MATCH(All!$A721,Winter!$A:$A,FALSE),MATCH(All!Q$1,Winter!$1:$1,FALSE))="","",INDEX(Winter!$1:$1048576,MATCH(All!$A721,Winter!$A:$A,FALSE),MATCH(All!Q$1,Winter!$1:$1,FALSE))),"")</f>
        <v>1A</v>
      </c>
      <c r="R721" t="str">
        <f>IFERROR(IF(INDEX(Winter!$1:$1048576,MATCH(All!$A721,Winter!$A:$A,FALSE),MATCH(All!R$1,Winter!$1:$1,FALSE))="","",INDEX(Winter!$1:$1048576,MATCH(All!$A721,Winter!$A:$A,FALSE),MATCH(All!R$1,Winter!$1:$1,FALSE))),"")</f>
        <v/>
      </c>
      <c r="S721" t="str">
        <f>IFERROR(IF(INDEX(Winter!$1:$1048576,MATCH(All!$A721,Winter!$A:$A,FALSE),MATCH(All!S$1,Winter!$1:$1,FALSE))="","",INDEX(Winter!$1:$1048576,MATCH(All!$A721,Winter!$A:$A,FALSE),MATCH(All!S$1,Winter!$1:$1,FALSE))),"")</f>
        <v/>
      </c>
      <c r="T721" t="str">
        <f>IFERROR(IF(INDEX(Winter!$1:$1048576,MATCH(All!$A721,Winter!$A:$A,FALSE),MATCH(All!T$1,Winter!$1:$1,FALSE))="","",INDEX(Winter!$1:$1048576,MATCH(All!$A721,Winter!$A:$A,FALSE),MATCH(All!T$1,Winter!$1:$1,FALSE))),"")</f>
        <v>1A</v>
      </c>
      <c r="U721" t="str">
        <f>IFERROR(IF(INDEX(Winter!$1:$1048576,MATCH(All!$A721,Winter!$A:$A,FALSE),MATCH(All!U$1,Winter!$1:$1,FALSE))="","",INDEX(Winter!$1:$1048576,MATCH(All!$A721,Winter!$A:$A,FALSE),MATCH(All!U$1,Winter!$1:$1,FALSE))),"")</f>
        <v/>
      </c>
      <c r="W721">
        <f>IFERROR(IF(INDEX(Spring!$1:$1048576,MATCH(All!$A721,Spring!$A:$A,FALSE),MATCH(All!W$1,Spring!$1:$1,FALSE))="","",INDEX(Spring!$1:$1048576,MATCH(All!$A721,Spring!$A:$A,FALSE),MATCH(All!W$1,Spring!$1:$1,FALSE))),"")</f>
        <v>289</v>
      </c>
      <c r="X721" t="str">
        <f>IFERROR(IF(INDEX(Spring!$1:$1048576,MATCH(All!$A721,Spring!$A:$A,FALSE),MATCH(All!X$1,Spring!$1:$1,FALSE))="","",INDEX(Spring!$1:$1048576,MATCH(All!$A721,Spring!$A:$A,FALSE),MATCH(All!X$1,Spring!$1:$1,FALSE))),"")</f>
        <v>1A</v>
      </c>
      <c r="Y721" t="str">
        <f>IFERROR(IF(INDEX(Spring!$1:$1048576,MATCH(All!$A721,Spring!$A:$A,FALSE),MATCH(All!Y$1,Spring!$1:$1,FALSE))="","",INDEX(Spring!$1:$1048576,MATCH(All!$A721,Spring!$A:$A,FALSE),MATCH(All!Y$1,Spring!$1:$1,FALSE))),"")</f>
        <v>1A</v>
      </c>
      <c r="Z721" t="str">
        <f>IFERROR(IF(INDEX(Spring!$1:$1048576,MATCH(All!$A721,Spring!$A:$A,FALSE),MATCH(All!Z$1,Spring!$1:$1,FALSE))="","",INDEX(Spring!$1:$1048576,MATCH(All!$A721,Spring!$A:$A,FALSE),MATCH(All!Z$1,Spring!$1:$1,FALSE))),"")</f>
        <v/>
      </c>
      <c r="AA721" t="str">
        <f>IFERROR(IF(INDEX(Spring!$1:$1048576,MATCH(All!$A721,Spring!$A:$A,FALSE),MATCH(All!AA$1,Spring!$1:$1,FALSE))="","",INDEX(Spring!$1:$1048576,MATCH(All!$A721,Spring!$A:$A,FALSE),MATCH(All!AA$1,Spring!$1:$1,FALSE))),"")</f>
        <v/>
      </c>
      <c r="AB721" t="str">
        <f>IFERROR(IF(INDEX(Spring!$1:$1048576,MATCH(All!$A721,Spring!$A:$A,FALSE),MATCH(All!AB$1,Spring!$1:$1,FALSE))="","",INDEX(Spring!$1:$1048576,MATCH(All!$A721,Spring!$A:$A,FALSE),MATCH(All!AB$1,Spring!$1:$1,FALSE))),"")</f>
        <v>1A</v>
      </c>
      <c r="AC721" t="str">
        <f>IFERROR(IF(INDEX(Spring!$1:$1048576,MATCH(All!$A721,Spring!$A:$A,FALSE),MATCH(All!AC$1,Spring!$1:$1,FALSE))="","",INDEX(Spring!$1:$1048576,MATCH(All!$A721,Spring!$A:$A,FALSE),MATCH(All!AC$1,Spring!$1:$1,FALSE))),"")</f>
        <v>1A</v>
      </c>
      <c r="AD721" t="str">
        <f>IFERROR(VLOOKUP(A721,'Flag Football'!A:A,1,FALSE),"")</f>
        <v/>
      </c>
      <c r="AE721" t="str">
        <f t="shared" si="11"/>
        <v/>
      </c>
    </row>
    <row r="722" spans="1:31" ht="15.75" thickBot="1" x14ac:dyDescent="0.3">
      <c r="A722" s="20" t="s">
        <v>828</v>
      </c>
      <c r="B722" s="38">
        <f>IFERROR(VLOOKUP(A722,'Public v Private'!A:G,3,FALSE),"")</f>
        <v>0</v>
      </c>
      <c r="C722" s="38">
        <f>IFERROR(VLOOKUP(A722,'Public v Private'!A:G,4,FALSE),"")</f>
        <v>0</v>
      </c>
      <c r="D722" s="38">
        <f>IFERROR(VLOOKUP(A722,'Public v Private'!A:G,5,FALSE),"")</f>
        <v>0</v>
      </c>
      <c r="E722" s="38"/>
      <c r="F722" s="40">
        <f>IFERROR(INDEX(Fall!$1:$1048576,MATCH(All!$A722,Fall!$A:$A,FALSE),MATCH(All!F$1,Fall!$1:$1,FALSE)),"N/A")</f>
        <v>82</v>
      </c>
      <c r="G722" t="str">
        <f>IFERROR(IF(INDEX(Fall!$1:$1048576,MATCH(All!$A722,Fall!$A:$A,FALSE),MATCH(All!G$1,Fall!$1:$1,FALSE))="","",INDEX(Fall!$1:$1048576,MATCH(All!$A722,Fall!$A:$A,FALSE),MATCH(All!G$1,Fall!$1:$1,FALSE))),"")</f>
        <v/>
      </c>
      <c r="H722" t="str">
        <f>IFERROR(IF(INDEX(Fall!$1:$1048576,MATCH(All!$A722,Fall!$A:$A,FALSE),MATCH(All!H$1,Fall!$1:$1,FALSE))="","",INDEX(Fall!$1:$1048576,MATCH(All!$A722,Fall!$A:$A,FALSE),MATCH(All!H$1,Fall!$1:$1,FALSE))),"")</f>
        <v/>
      </c>
      <c r="I722" t="str">
        <f>IFERROR(IF(INDEX(Fall!$1:$1048576,MATCH(All!$A722,Fall!$A:$A,FALSE),MATCH(All!I$1,Fall!$1:$1,FALSE))="","",INDEX(Fall!$1:$1048576,MATCH(All!$A722,Fall!$A:$A,FALSE),MATCH(All!I$1,Fall!$1:$1,FALSE))),"")</f>
        <v/>
      </c>
      <c r="J722" t="str">
        <f>IFERROR(IF(INDEX(Fall!$1:$1048576,MATCH(All!$A722,Fall!$A:$A,FALSE),MATCH(All!J$1,Fall!$1:$1,FALSE))="","",INDEX(Fall!$1:$1048576,MATCH(All!$A722,Fall!$A:$A,FALSE),MATCH(All!J$1,Fall!$1:$1,FALSE))),"")</f>
        <v/>
      </c>
      <c r="K722" t="str">
        <f>IFERROR(IF(INDEX(Fall!$1:$1048576,MATCH(All!$A722,Fall!$A:$A,FALSE),MATCH(All!K$1,Fall!$1:$1,FALSE))="","",INDEX(Fall!$1:$1048576,MATCH(All!$A722,Fall!$A:$A,FALSE),MATCH(All!K$1,Fall!$1:$1,FALSE))),"")</f>
        <v/>
      </c>
      <c r="L722" t="str">
        <f>IFERROR(IF(INDEX(Fall!$1:$1048576,MATCH(All!$A722,Fall!$A:$A,FALSE),MATCH(All!L$1,Fall!$1:$1,FALSE))="","",INDEX(Fall!$1:$1048576,MATCH(All!$A722,Fall!$A:$A,FALSE),MATCH(All!L$1,Fall!$1:$1,FALSE))),"")</f>
        <v/>
      </c>
      <c r="M722" t="str">
        <f>IFERROR(IF(INDEX(Fall!$1:$1048576,MATCH(All!$A722,Fall!$A:$A,FALSE),MATCH(All!M$1,Fall!$1:$1,FALSE))="","",INDEX(Fall!$1:$1048576,MATCH(All!$A722,Fall!$A:$A,FALSE),MATCH(All!M$1,Fall!$1:$1,FALSE))),"")</f>
        <v>1A</v>
      </c>
      <c r="O722">
        <f>IFERROR(IF(INDEX(Winter!$1:$1048576,MATCH(All!$A722,Winter!$A:$A,FALSE),MATCH(All!O$1,Winter!$1:$1,FALSE))="","",INDEX(Winter!$1:$1048576,MATCH(All!$A722,Winter!$A:$A,FALSE),MATCH(All!O$1,Winter!$1:$1,FALSE))),"")</f>
        <v>82</v>
      </c>
      <c r="P722" t="str">
        <f>IFERROR(IF(INDEX(Winter!$1:$1048576,MATCH(All!$A722,Winter!$A:$A,FALSE),MATCH(All!P$1,Winter!$1:$1,FALSE))="","",INDEX(Winter!$1:$1048576,MATCH(All!$A722,Winter!$A:$A,FALSE),MATCH(All!P$1,Winter!$1:$1,FALSE))),"")</f>
        <v>1A</v>
      </c>
      <c r="Q722" t="str">
        <f>IFERROR(IF(INDEX(Winter!$1:$1048576,MATCH(All!$A722,Winter!$A:$A,FALSE),MATCH(All!Q$1,Winter!$1:$1,FALSE))="","",INDEX(Winter!$1:$1048576,MATCH(All!$A722,Winter!$A:$A,FALSE),MATCH(All!Q$1,Winter!$1:$1,FALSE))),"")</f>
        <v>1A</v>
      </c>
      <c r="R722" t="str">
        <f>IFERROR(IF(INDEX(Winter!$1:$1048576,MATCH(All!$A722,Winter!$A:$A,FALSE),MATCH(All!R$1,Winter!$1:$1,FALSE))="","",INDEX(Winter!$1:$1048576,MATCH(All!$A722,Winter!$A:$A,FALSE),MATCH(All!R$1,Winter!$1:$1,FALSE))),"")</f>
        <v/>
      </c>
      <c r="S722" t="str">
        <f>IFERROR(IF(INDEX(Winter!$1:$1048576,MATCH(All!$A722,Winter!$A:$A,FALSE),MATCH(All!S$1,Winter!$1:$1,FALSE))="","",INDEX(Winter!$1:$1048576,MATCH(All!$A722,Winter!$A:$A,FALSE),MATCH(All!S$1,Winter!$1:$1,FALSE))),"")</f>
        <v/>
      </c>
      <c r="T722" t="str">
        <f>IFERROR(IF(INDEX(Winter!$1:$1048576,MATCH(All!$A722,Winter!$A:$A,FALSE),MATCH(All!T$1,Winter!$1:$1,FALSE))="","",INDEX(Winter!$1:$1048576,MATCH(All!$A722,Winter!$A:$A,FALSE),MATCH(All!T$1,Winter!$1:$1,FALSE))),"")</f>
        <v>1A</v>
      </c>
      <c r="U722" t="str">
        <f>IFERROR(IF(INDEX(Winter!$1:$1048576,MATCH(All!$A722,Winter!$A:$A,FALSE),MATCH(All!U$1,Winter!$1:$1,FALSE))="","",INDEX(Winter!$1:$1048576,MATCH(All!$A722,Winter!$A:$A,FALSE),MATCH(All!U$1,Winter!$1:$1,FALSE))),"")</f>
        <v/>
      </c>
      <c r="W722">
        <f>IFERROR(IF(INDEX(Spring!$1:$1048576,MATCH(All!$A722,Spring!$A:$A,FALSE),MATCH(All!W$1,Spring!$1:$1,FALSE))="","",INDEX(Spring!$1:$1048576,MATCH(All!$A722,Spring!$A:$A,FALSE),MATCH(All!W$1,Spring!$1:$1,FALSE))),"")</f>
        <v>82</v>
      </c>
      <c r="X722" t="str">
        <f>IFERROR(IF(INDEX(Spring!$1:$1048576,MATCH(All!$A722,Spring!$A:$A,FALSE),MATCH(All!X$1,Spring!$1:$1,FALSE))="","",INDEX(Spring!$1:$1048576,MATCH(All!$A722,Spring!$A:$A,FALSE),MATCH(All!X$1,Spring!$1:$1,FALSE))),"")</f>
        <v>1A</v>
      </c>
      <c r="Y722" t="str">
        <f>IFERROR(IF(INDEX(Spring!$1:$1048576,MATCH(All!$A722,Spring!$A:$A,FALSE),MATCH(All!Y$1,Spring!$1:$1,FALSE))="","",INDEX(Spring!$1:$1048576,MATCH(All!$A722,Spring!$A:$A,FALSE),MATCH(All!Y$1,Spring!$1:$1,FALSE))),"")</f>
        <v>1A</v>
      </c>
      <c r="Z722" t="str">
        <f>IFERROR(IF(INDEX(Spring!$1:$1048576,MATCH(All!$A722,Spring!$A:$A,FALSE),MATCH(All!Z$1,Spring!$1:$1,FALSE))="","",INDEX(Spring!$1:$1048576,MATCH(All!$A722,Spring!$A:$A,FALSE),MATCH(All!Z$1,Spring!$1:$1,FALSE))),"")</f>
        <v/>
      </c>
      <c r="AA722" t="str">
        <f>IFERROR(IF(INDEX(Spring!$1:$1048576,MATCH(All!$A722,Spring!$A:$A,FALSE),MATCH(All!AA$1,Spring!$1:$1,FALSE))="","",INDEX(Spring!$1:$1048576,MATCH(All!$A722,Spring!$A:$A,FALSE),MATCH(All!AA$1,Spring!$1:$1,FALSE))),"")</f>
        <v/>
      </c>
      <c r="AB722" t="str">
        <f>IFERROR(IF(INDEX(Spring!$1:$1048576,MATCH(All!$A722,Spring!$A:$A,FALSE),MATCH(All!AB$1,Spring!$1:$1,FALSE))="","",INDEX(Spring!$1:$1048576,MATCH(All!$A722,Spring!$A:$A,FALSE),MATCH(All!AB$1,Spring!$1:$1,FALSE))),"")</f>
        <v/>
      </c>
      <c r="AC722" t="str">
        <f>IFERROR(IF(INDEX(Spring!$1:$1048576,MATCH(All!$A722,Spring!$A:$A,FALSE),MATCH(All!AC$1,Spring!$1:$1,FALSE))="","",INDEX(Spring!$1:$1048576,MATCH(All!$A722,Spring!$A:$A,FALSE),MATCH(All!AC$1,Spring!$1:$1,FALSE))),"")</f>
        <v/>
      </c>
      <c r="AD722" t="str">
        <f>IFERROR(VLOOKUP(A722,'Flag Football'!A:A,1,FALSE),"")</f>
        <v/>
      </c>
      <c r="AE722" t="str">
        <f t="shared" si="11"/>
        <v/>
      </c>
    </row>
    <row r="723" spans="1:31" ht="15.75" thickBot="1" x14ac:dyDescent="0.3">
      <c r="A723" s="18" t="s">
        <v>829</v>
      </c>
      <c r="B723" s="38">
        <f>IFERROR(VLOOKUP(A723,'Public v Private'!A:G,3,FALSE),"")</f>
        <v>0</v>
      </c>
      <c r="C723" s="38">
        <f>IFERROR(VLOOKUP(A723,'Public v Private'!A:G,4,FALSE),"")</f>
        <v>0</v>
      </c>
      <c r="D723" s="38">
        <f>IFERROR(VLOOKUP(A723,'Public v Private'!A:G,5,FALSE),"")</f>
        <v>0</v>
      </c>
      <c r="E723" s="38"/>
      <c r="F723" s="40">
        <f>IFERROR(INDEX(Fall!$1:$1048576,MATCH(All!$A723,Fall!$A:$A,FALSE),MATCH(All!F$1,Fall!$1:$1,FALSE)),"N/A")</f>
        <v>1132</v>
      </c>
      <c r="G723" t="str">
        <f>IFERROR(IF(INDEX(Fall!$1:$1048576,MATCH(All!$A723,Fall!$A:$A,FALSE),MATCH(All!G$1,Fall!$1:$1,FALSE))="","",INDEX(Fall!$1:$1048576,MATCH(All!$A723,Fall!$A:$A,FALSE),MATCH(All!G$1,Fall!$1:$1,FALSE))),"")</f>
        <v>2A</v>
      </c>
      <c r="H723" t="str">
        <f>IFERROR(IF(INDEX(Fall!$1:$1048576,MATCH(All!$A723,Fall!$A:$A,FALSE),MATCH(All!H$1,Fall!$1:$1,FALSE))="","",INDEX(Fall!$1:$1048576,MATCH(All!$A723,Fall!$A:$A,FALSE),MATCH(All!H$1,Fall!$1:$1,FALSE))),"")</f>
        <v>2A</v>
      </c>
      <c r="I723" t="str">
        <f>IFERROR(IF(INDEX(Fall!$1:$1048576,MATCH(All!$A723,Fall!$A:$A,FALSE),MATCH(All!I$1,Fall!$1:$1,FALSE))="","",INDEX(Fall!$1:$1048576,MATCH(All!$A723,Fall!$A:$A,FALSE),MATCH(All!I$1,Fall!$1:$1,FALSE))),"")</f>
        <v>2A</v>
      </c>
      <c r="J723" t="str">
        <f>IFERROR(IF(INDEX(Fall!$1:$1048576,MATCH(All!$A723,Fall!$A:$A,FALSE),MATCH(All!J$1,Fall!$1:$1,FALSE))="","",INDEX(Fall!$1:$1048576,MATCH(All!$A723,Fall!$A:$A,FALSE),MATCH(All!J$1,Fall!$1:$1,FALSE))),"")</f>
        <v/>
      </c>
      <c r="K723" t="str">
        <f>IFERROR(IF(INDEX(Fall!$1:$1048576,MATCH(All!$A723,Fall!$A:$A,FALSE),MATCH(All!K$1,Fall!$1:$1,FALSE))="","",INDEX(Fall!$1:$1048576,MATCH(All!$A723,Fall!$A:$A,FALSE),MATCH(All!K$1,Fall!$1:$1,FALSE))),"")</f>
        <v>2A</v>
      </c>
      <c r="L723" t="str">
        <f>IFERROR(IF(INDEX(Fall!$1:$1048576,MATCH(All!$A723,Fall!$A:$A,FALSE),MATCH(All!L$1,Fall!$1:$1,FALSE))="","",INDEX(Fall!$1:$1048576,MATCH(All!$A723,Fall!$A:$A,FALSE),MATCH(All!L$1,Fall!$1:$1,FALSE))),"")</f>
        <v>1A</v>
      </c>
      <c r="M723" t="str">
        <f>IFERROR(IF(INDEX(Fall!$1:$1048576,MATCH(All!$A723,Fall!$A:$A,FALSE),MATCH(All!M$1,Fall!$1:$1,FALSE))="","",INDEX(Fall!$1:$1048576,MATCH(All!$A723,Fall!$A:$A,FALSE),MATCH(All!M$1,Fall!$1:$1,FALSE))),"")</f>
        <v>3A</v>
      </c>
      <c r="O723">
        <f>IFERROR(IF(INDEX(Winter!$1:$1048576,MATCH(All!$A723,Winter!$A:$A,FALSE),MATCH(All!O$1,Winter!$1:$1,FALSE))="","",INDEX(Winter!$1:$1048576,MATCH(All!$A723,Winter!$A:$A,FALSE),MATCH(All!O$1,Winter!$1:$1,FALSE))),"")</f>
        <v>1132</v>
      </c>
      <c r="P723" t="str">
        <f>IFERROR(IF(INDEX(Winter!$1:$1048576,MATCH(All!$A723,Winter!$A:$A,FALSE),MATCH(All!P$1,Winter!$1:$1,FALSE))="","",INDEX(Winter!$1:$1048576,MATCH(All!$A723,Winter!$A:$A,FALSE),MATCH(All!P$1,Winter!$1:$1,FALSE))),"")</f>
        <v>3A</v>
      </c>
      <c r="Q723" t="str">
        <f>IFERROR(IF(INDEX(Winter!$1:$1048576,MATCH(All!$A723,Winter!$A:$A,FALSE),MATCH(All!Q$1,Winter!$1:$1,FALSE))="","",INDEX(Winter!$1:$1048576,MATCH(All!$A723,Winter!$A:$A,FALSE),MATCH(All!Q$1,Winter!$1:$1,FALSE))),"")</f>
        <v>3A</v>
      </c>
      <c r="R723" t="str">
        <f>IFERROR(IF(INDEX(Winter!$1:$1048576,MATCH(All!$A723,Winter!$A:$A,FALSE),MATCH(All!R$1,Winter!$1:$1,FALSE))="","",INDEX(Winter!$1:$1048576,MATCH(All!$A723,Winter!$A:$A,FALSE),MATCH(All!R$1,Winter!$1:$1,FALSE))),"")</f>
        <v/>
      </c>
      <c r="S723" t="str">
        <f>IFERROR(IF(INDEX(Winter!$1:$1048576,MATCH(All!$A723,Winter!$A:$A,FALSE),MATCH(All!S$1,Winter!$1:$1,FALSE))="","",INDEX(Winter!$1:$1048576,MATCH(All!$A723,Winter!$A:$A,FALSE),MATCH(All!S$1,Winter!$1:$1,FALSE))),"")</f>
        <v/>
      </c>
      <c r="T723" t="str">
        <f>IFERROR(IF(INDEX(Winter!$1:$1048576,MATCH(All!$A723,Winter!$A:$A,FALSE),MATCH(All!T$1,Winter!$1:$1,FALSE))="","",INDEX(Winter!$1:$1048576,MATCH(All!$A723,Winter!$A:$A,FALSE),MATCH(All!T$1,Winter!$1:$1,FALSE))),"")</f>
        <v/>
      </c>
      <c r="U723" t="str">
        <f>IFERROR(IF(INDEX(Winter!$1:$1048576,MATCH(All!$A723,Winter!$A:$A,FALSE),MATCH(All!U$1,Winter!$1:$1,FALSE))="","",INDEX(Winter!$1:$1048576,MATCH(All!$A723,Winter!$A:$A,FALSE),MATCH(All!U$1,Winter!$1:$1,FALSE))),"")</f>
        <v>2A</v>
      </c>
      <c r="W723">
        <f>IFERROR(IF(INDEX(Spring!$1:$1048576,MATCH(All!$A723,Spring!$A:$A,FALSE),MATCH(All!W$1,Spring!$1:$1,FALSE))="","",INDEX(Spring!$1:$1048576,MATCH(All!$A723,Spring!$A:$A,FALSE),MATCH(All!W$1,Spring!$1:$1,FALSE))),"")</f>
        <v>1132</v>
      </c>
      <c r="X723" t="str">
        <f>IFERROR(IF(INDEX(Spring!$1:$1048576,MATCH(All!$A723,Spring!$A:$A,FALSE),MATCH(All!X$1,Spring!$1:$1,FALSE))="","",INDEX(Spring!$1:$1048576,MATCH(All!$A723,Spring!$A:$A,FALSE),MATCH(All!X$1,Spring!$1:$1,FALSE))),"")</f>
        <v>3A</v>
      </c>
      <c r="Y723" t="str">
        <f>IFERROR(IF(INDEX(Spring!$1:$1048576,MATCH(All!$A723,Spring!$A:$A,FALSE),MATCH(All!Y$1,Spring!$1:$1,FALSE))="","",INDEX(Spring!$1:$1048576,MATCH(All!$A723,Spring!$A:$A,FALSE),MATCH(All!Y$1,Spring!$1:$1,FALSE))),"")</f>
        <v>3A</v>
      </c>
      <c r="Z723" t="str">
        <f>IFERROR(IF(INDEX(Spring!$1:$1048576,MATCH(All!$A723,Spring!$A:$A,FALSE),MATCH(All!Z$1,Spring!$1:$1,FALSE))="","",INDEX(Spring!$1:$1048576,MATCH(All!$A723,Spring!$A:$A,FALSE),MATCH(All!Z$1,Spring!$1:$1,FALSE))),"")</f>
        <v>2A</v>
      </c>
      <c r="AA723" t="str">
        <f>IFERROR(IF(INDEX(Spring!$1:$1048576,MATCH(All!$A723,Spring!$A:$A,FALSE),MATCH(All!AA$1,Spring!$1:$1,FALSE))="","",INDEX(Spring!$1:$1048576,MATCH(All!$A723,Spring!$A:$A,FALSE),MATCH(All!AA$1,Spring!$1:$1,FALSE))),"")</f>
        <v>1A</v>
      </c>
      <c r="AB723" t="str">
        <f>IFERROR(IF(INDEX(Spring!$1:$1048576,MATCH(All!$A723,Spring!$A:$A,FALSE),MATCH(All!AB$1,Spring!$1:$1,FALSE))="","",INDEX(Spring!$1:$1048576,MATCH(All!$A723,Spring!$A:$A,FALSE),MATCH(All!AB$1,Spring!$1:$1,FALSE))),"")</f>
        <v>2A</v>
      </c>
      <c r="AC723" t="str">
        <f>IFERROR(IF(INDEX(Spring!$1:$1048576,MATCH(All!$A723,Spring!$A:$A,FALSE),MATCH(All!AC$1,Spring!$1:$1,FALSE))="","",INDEX(Spring!$1:$1048576,MATCH(All!$A723,Spring!$A:$A,FALSE),MATCH(All!AC$1,Spring!$1:$1,FALSE))),"")</f>
        <v>2A</v>
      </c>
      <c r="AD723" t="str">
        <f>IFERROR(VLOOKUP(A723,'Flag Football'!A:A,1,FALSE),"")</f>
        <v>Urbana (H.S.)</v>
      </c>
      <c r="AE723" t="str">
        <f t="shared" si="11"/>
        <v>1A</v>
      </c>
    </row>
    <row r="724" spans="1:31" ht="15.75" thickBot="1" x14ac:dyDescent="0.3">
      <c r="A724" s="20" t="s">
        <v>830</v>
      </c>
      <c r="B724" s="38" t="str">
        <f>IFERROR(VLOOKUP(A724,'Public v Private'!A:G,3,FALSE),"")</f>
        <v>no</v>
      </c>
      <c r="C724" s="38">
        <f>IFERROR(VLOOKUP(A724,'Public v Private'!A:G,4,FALSE),"")</f>
        <v>0</v>
      </c>
      <c r="D724" s="38">
        <f>IFERROR(VLOOKUP(A724,'Public v Private'!A:G,5,FALSE),"")</f>
        <v>0</v>
      </c>
      <c r="E724" s="38"/>
      <c r="F724" s="40" t="str">
        <f>IFERROR(INDEX(Fall!$1:$1048576,MATCH(All!$A724,Fall!$A:$A,FALSE),MATCH(All!F$1,Fall!$1:$1,FALSE)),"N/A")</f>
        <v>252.00 (415.80)</v>
      </c>
      <c r="G724" t="str">
        <f>IFERROR(IF(INDEX(Fall!$1:$1048576,MATCH(All!$A724,Fall!$A:$A,FALSE),MATCH(All!G$1,Fall!$1:$1,FALSE))="","",INDEX(Fall!$1:$1048576,MATCH(All!$A724,Fall!$A:$A,FALSE),MATCH(All!G$1,Fall!$1:$1,FALSE))),"")</f>
        <v>1A</v>
      </c>
      <c r="H724" t="str">
        <f>IFERROR(IF(INDEX(Fall!$1:$1048576,MATCH(All!$A724,Fall!$A:$A,FALSE),MATCH(All!H$1,Fall!$1:$1,FALSE))="","",INDEX(Fall!$1:$1048576,MATCH(All!$A724,Fall!$A:$A,FALSE),MATCH(All!H$1,Fall!$1:$1,FALSE))),"")</f>
        <v>1A</v>
      </c>
      <c r="I724" t="str">
        <f>IFERROR(IF(INDEX(Fall!$1:$1048576,MATCH(All!$A724,Fall!$A:$A,FALSE),MATCH(All!I$1,Fall!$1:$1,FALSE))="","",INDEX(Fall!$1:$1048576,MATCH(All!$A724,Fall!$A:$A,FALSE),MATCH(All!I$1,Fall!$1:$1,FALSE))),"")</f>
        <v/>
      </c>
      <c r="J724" t="str">
        <f>IFERROR(IF(INDEX(Fall!$1:$1048576,MATCH(All!$A724,Fall!$A:$A,FALSE),MATCH(All!J$1,Fall!$1:$1,FALSE))="","",INDEX(Fall!$1:$1048576,MATCH(All!$A724,Fall!$A:$A,FALSE),MATCH(All!J$1,Fall!$1:$1,FALSE))),"")</f>
        <v/>
      </c>
      <c r="K724" t="str">
        <f>IFERROR(IF(INDEX(Fall!$1:$1048576,MATCH(All!$A724,Fall!$A:$A,FALSE),MATCH(All!K$1,Fall!$1:$1,FALSE))="","",INDEX(Fall!$1:$1048576,MATCH(All!$A724,Fall!$A:$A,FALSE),MATCH(All!K$1,Fall!$1:$1,FALSE))),"")</f>
        <v>1A</v>
      </c>
      <c r="L724" t="str">
        <f>IFERROR(IF(INDEX(Fall!$1:$1048576,MATCH(All!$A724,Fall!$A:$A,FALSE),MATCH(All!L$1,Fall!$1:$1,FALSE))="","",INDEX(Fall!$1:$1048576,MATCH(All!$A724,Fall!$A:$A,FALSE),MATCH(All!L$1,Fall!$1:$1,FALSE))),"")</f>
        <v/>
      </c>
      <c r="M724" t="str">
        <f>IFERROR(IF(INDEX(Fall!$1:$1048576,MATCH(All!$A724,Fall!$A:$A,FALSE),MATCH(All!M$1,Fall!$1:$1,FALSE))="","",INDEX(Fall!$1:$1048576,MATCH(All!$A724,Fall!$A:$A,FALSE),MATCH(All!M$1,Fall!$1:$1,FALSE))),"")</f>
        <v>1A</v>
      </c>
      <c r="O724" t="str">
        <f>IFERROR(IF(INDEX(Winter!$1:$1048576,MATCH(All!$A724,Winter!$A:$A,FALSE),MATCH(All!O$1,Winter!$1:$1,FALSE))="","",INDEX(Winter!$1:$1048576,MATCH(All!$A724,Winter!$A:$A,FALSE),MATCH(All!O$1,Winter!$1:$1,FALSE))),"")</f>
        <v>252.00 (415.80)</v>
      </c>
      <c r="P724" t="str">
        <f>IFERROR(IF(INDEX(Winter!$1:$1048576,MATCH(All!$A724,Winter!$A:$A,FALSE),MATCH(All!P$1,Winter!$1:$1,FALSE))="","",INDEX(Winter!$1:$1048576,MATCH(All!$A724,Winter!$A:$A,FALSE),MATCH(All!P$1,Winter!$1:$1,FALSE))),"")</f>
        <v>1A</v>
      </c>
      <c r="Q724" t="str">
        <f>IFERROR(IF(INDEX(Winter!$1:$1048576,MATCH(All!$A724,Winter!$A:$A,FALSE),MATCH(All!Q$1,Winter!$1:$1,FALSE))="","",INDEX(Winter!$1:$1048576,MATCH(All!$A724,Winter!$A:$A,FALSE),MATCH(All!Q$1,Winter!$1:$1,FALSE))),"")</f>
        <v>1A</v>
      </c>
      <c r="R724" t="str">
        <f>IFERROR(IF(INDEX(Winter!$1:$1048576,MATCH(All!$A724,Winter!$A:$A,FALSE),MATCH(All!R$1,Winter!$1:$1,FALSE))="","",INDEX(Winter!$1:$1048576,MATCH(All!$A724,Winter!$A:$A,FALSE),MATCH(All!R$1,Winter!$1:$1,FALSE))),"")</f>
        <v/>
      </c>
      <c r="S724" t="str">
        <f>IFERROR(IF(INDEX(Winter!$1:$1048576,MATCH(All!$A724,Winter!$A:$A,FALSE),MATCH(All!S$1,Winter!$1:$1,FALSE))="","",INDEX(Winter!$1:$1048576,MATCH(All!$A724,Winter!$A:$A,FALSE),MATCH(All!S$1,Winter!$1:$1,FALSE))),"")</f>
        <v/>
      </c>
      <c r="T724" t="str">
        <f>IFERROR(IF(INDEX(Winter!$1:$1048576,MATCH(All!$A724,Winter!$A:$A,FALSE),MATCH(All!T$1,Winter!$1:$1,FALSE))="","",INDEX(Winter!$1:$1048576,MATCH(All!$A724,Winter!$A:$A,FALSE),MATCH(All!T$1,Winter!$1:$1,FALSE))),"")</f>
        <v>2A</v>
      </c>
      <c r="U724" t="str">
        <f>IFERROR(IF(INDEX(Winter!$1:$1048576,MATCH(All!$A724,Winter!$A:$A,FALSE),MATCH(All!U$1,Winter!$1:$1,FALSE))="","",INDEX(Winter!$1:$1048576,MATCH(All!$A724,Winter!$A:$A,FALSE),MATCH(All!U$1,Winter!$1:$1,FALSE))),"")</f>
        <v/>
      </c>
      <c r="W724" t="str">
        <f>IFERROR(IF(INDEX(Spring!$1:$1048576,MATCH(All!$A724,Spring!$A:$A,FALSE),MATCH(All!W$1,Spring!$1:$1,FALSE))="","",INDEX(Spring!$1:$1048576,MATCH(All!$A724,Spring!$A:$A,FALSE),MATCH(All!W$1,Spring!$1:$1,FALSE))),"")</f>
        <v>252.00 (415.80)</v>
      </c>
      <c r="X724" t="str">
        <f>IFERROR(IF(INDEX(Spring!$1:$1048576,MATCH(All!$A724,Spring!$A:$A,FALSE),MATCH(All!X$1,Spring!$1:$1,FALSE))="","",INDEX(Spring!$1:$1048576,MATCH(All!$A724,Spring!$A:$A,FALSE),MATCH(All!X$1,Spring!$1:$1,FALSE))),"")</f>
        <v/>
      </c>
      <c r="Y724" t="str">
        <f>IFERROR(IF(INDEX(Spring!$1:$1048576,MATCH(All!$A724,Spring!$A:$A,FALSE),MATCH(All!Y$1,Spring!$1:$1,FALSE))="","",INDEX(Spring!$1:$1048576,MATCH(All!$A724,Spring!$A:$A,FALSE),MATCH(All!Y$1,Spring!$1:$1,FALSE))),"")</f>
        <v/>
      </c>
      <c r="Z724" t="str">
        <f>IFERROR(IF(INDEX(Spring!$1:$1048576,MATCH(All!$A724,Spring!$A:$A,FALSE),MATCH(All!Z$1,Spring!$1:$1,FALSE))="","",INDEX(Spring!$1:$1048576,MATCH(All!$A724,Spring!$A:$A,FALSE),MATCH(All!Z$1,Spring!$1:$1,FALSE))),"")</f>
        <v>1A</v>
      </c>
      <c r="AA724" t="str">
        <f>IFERROR(IF(INDEX(Spring!$1:$1048576,MATCH(All!$A724,Spring!$A:$A,FALSE),MATCH(All!AA$1,Spring!$1:$1,FALSE))="","",INDEX(Spring!$1:$1048576,MATCH(All!$A724,Spring!$A:$A,FALSE),MATCH(All!AA$1,Spring!$1:$1,FALSE))),"")</f>
        <v>1A</v>
      </c>
      <c r="AB724" t="str">
        <f>IFERROR(IF(INDEX(Spring!$1:$1048576,MATCH(All!$A724,Spring!$A:$A,FALSE),MATCH(All!AB$1,Spring!$1:$1,FALSE))="","",INDEX(Spring!$1:$1048576,MATCH(All!$A724,Spring!$A:$A,FALSE),MATCH(All!AB$1,Spring!$1:$1,FALSE))),"")</f>
        <v>1A</v>
      </c>
      <c r="AC724" t="str">
        <f>IFERROR(IF(INDEX(Spring!$1:$1048576,MATCH(All!$A724,Spring!$A:$A,FALSE),MATCH(All!AC$1,Spring!$1:$1,FALSE))="","",INDEX(Spring!$1:$1048576,MATCH(All!$A724,Spring!$A:$A,FALSE),MATCH(All!AC$1,Spring!$1:$1,FALSE))),"")</f>
        <v>1A</v>
      </c>
      <c r="AD724" t="str">
        <f>IFERROR(VLOOKUP(A724,'Flag Football'!A:A,1,FALSE),"")</f>
        <v/>
      </c>
      <c r="AE724" t="str">
        <f t="shared" si="11"/>
        <v/>
      </c>
    </row>
    <row r="725" spans="1:31" ht="15.75" thickBot="1" x14ac:dyDescent="0.3">
      <c r="A725" s="18" t="s">
        <v>832</v>
      </c>
      <c r="B725" s="38">
        <f>IFERROR(VLOOKUP(A725,'Public v Private'!A:G,3,FALSE),"")</f>
        <v>0</v>
      </c>
      <c r="C725" s="38">
        <f>IFERROR(VLOOKUP(A725,'Public v Private'!A:G,4,FALSE),"")</f>
        <v>0</v>
      </c>
      <c r="D725" s="38">
        <f>IFERROR(VLOOKUP(A725,'Public v Private'!A:G,5,FALSE),"")</f>
        <v>0</v>
      </c>
      <c r="E725" s="38"/>
      <c r="F725" s="40">
        <f>IFERROR(INDEX(Fall!$1:$1048576,MATCH(All!$A725,Fall!$A:$A,FALSE),MATCH(All!F$1,Fall!$1:$1,FALSE)),"N/A")</f>
        <v>103</v>
      </c>
      <c r="G725" t="str">
        <f>IFERROR(IF(INDEX(Fall!$1:$1048576,MATCH(All!$A725,Fall!$A:$A,FALSE),MATCH(All!G$1,Fall!$1:$1,FALSE))="","",INDEX(Fall!$1:$1048576,MATCH(All!$A725,Fall!$A:$A,FALSE),MATCH(All!G$1,Fall!$1:$1,FALSE))),"")</f>
        <v/>
      </c>
      <c r="H725" t="str">
        <f>IFERROR(IF(INDEX(Fall!$1:$1048576,MATCH(All!$A725,Fall!$A:$A,FALSE),MATCH(All!H$1,Fall!$1:$1,FALSE))="","",INDEX(Fall!$1:$1048576,MATCH(All!$A725,Fall!$A:$A,FALSE),MATCH(All!H$1,Fall!$1:$1,FALSE))),"")</f>
        <v/>
      </c>
      <c r="I725" t="str">
        <f>IFERROR(IF(INDEX(Fall!$1:$1048576,MATCH(All!$A725,Fall!$A:$A,FALSE),MATCH(All!I$1,Fall!$1:$1,FALSE))="","",INDEX(Fall!$1:$1048576,MATCH(All!$A725,Fall!$A:$A,FALSE),MATCH(All!I$1,Fall!$1:$1,FALSE))),"")</f>
        <v/>
      </c>
      <c r="J725" t="str">
        <f>IFERROR(IF(INDEX(Fall!$1:$1048576,MATCH(All!$A725,Fall!$A:$A,FALSE),MATCH(All!J$1,Fall!$1:$1,FALSE))="","",INDEX(Fall!$1:$1048576,MATCH(All!$A725,Fall!$A:$A,FALSE),MATCH(All!J$1,Fall!$1:$1,FALSE))),"")</f>
        <v/>
      </c>
      <c r="K725" t="str">
        <f>IFERROR(IF(INDEX(Fall!$1:$1048576,MATCH(All!$A725,Fall!$A:$A,FALSE),MATCH(All!K$1,Fall!$1:$1,FALSE))="","",INDEX(Fall!$1:$1048576,MATCH(All!$A725,Fall!$A:$A,FALSE),MATCH(All!K$1,Fall!$1:$1,FALSE))),"")</f>
        <v>1A</v>
      </c>
      <c r="L725" t="str">
        <f>IFERROR(IF(INDEX(Fall!$1:$1048576,MATCH(All!$A725,Fall!$A:$A,FALSE),MATCH(All!L$1,Fall!$1:$1,FALSE))="","",INDEX(Fall!$1:$1048576,MATCH(All!$A725,Fall!$A:$A,FALSE),MATCH(All!L$1,Fall!$1:$1,FALSE))),"")</f>
        <v/>
      </c>
      <c r="M725" t="str">
        <f>IFERROR(IF(INDEX(Fall!$1:$1048576,MATCH(All!$A725,Fall!$A:$A,FALSE),MATCH(All!M$1,Fall!$1:$1,FALSE))="","",INDEX(Fall!$1:$1048576,MATCH(All!$A725,Fall!$A:$A,FALSE),MATCH(All!M$1,Fall!$1:$1,FALSE))),"")</f>
        <v>1A</v>
      </c>
      <c r="O725">
        <f>IFERROR(IF(INDEX(Winter!$1:$1048576,MATCH(All!$A725,Winter!$A:$A,FALSE),MATCH(All!O$1,Winter!$1:$1,FALSE))="","",INDEX(Winter!$1:$1048576,MATCH(All!$A725,Winter!$A:$A,FALSE),MATCH(All!O$1,Winter!$1:$1,FALSE))),"")</f>
        <v>103</v>
      </c>
      <c r="P725" t="str">
        <f>IFERROR(IF(INDEX(Winter!$1:$1048576,MATCH(All!$A725,Winter!$A:$A,FALSE),MATCH(All!P$1,Winter!$1:$1,FALSE))="","",INDEX(Winter!$1:$1048576,MATCH(All!$A725,Winter!$A:$A,FALSE),MATCH(All!P$1,Winter!$1:$1,FALSE))),"")</f>
        <v>1A</v>
      </c>
      <c r="Q725" t="str">
        <f>IFERROR(IF(INDEX(Winter!$1:$1048576,MATCH(All!$A725,Winter!$A:$A,FALSE),MATCH(All!Q$1,Winter!$1:$1,FALSE))="","",INDEX(Winter!$1:$1048576,MATCH(All!$A725,Winter!$A:$A,FALSE),MATCH(All!Q$1,Winter!$1:$1,FALSE))),"")</f>
        <v>1A</v>
      </c>
      <c r="R725" t="str">
        <f>IFERROR(IF(INDEX(Winter!$1:$1048576,MATCH(All!$A725,Winter!$A:$A,FALSE),MATCH(All!R$1,Winter!$1:$1,FALSE))="","",INDEX(Winter!$1:$1048576,MATCH(All!$A725,Winter!$A:$A,FALSE),MATCH(All!R$1,Winter!$1:$1,FALSE))),"")</f>
        <v/>
      </c>
      <c r="S725" t="str">
        <f>IFERROR(IF(INDEX(Winter!$1:$1048576,MATCH(All!$A725,Winter!$A:$A,FALSE),MATCH(All!S$1,Winter!$1:$1,FALSE))="","",INDEX(Winter!$1:$1048576,MATCH(All!$A725,Winter!$A:$A,FALSE),MATCH(All!S$1,Winter!$1:$1,FALSE))),"")</f>
        <v/>
      </c>
      <c r="T725" t="str">
        <f>IFERROR(IF(INDEX(Winter!$1:$1048576,MATCH(All!$A725,Winter!$A:$A,FALSE),MATCH(All!T$1,Winter!$1:$1,FALSE))="","",INDEX(Winter!$1:$1048576,MATCH(All!$A725,Winter!$A:$A,FALSE),MATCH(All!T$1,Winter!$1:$1,FALSE))),"")</f>
        <v/>
      </c>
      <c r="U725" t="str">
        <f>IFERROR(IF(INDEX(Winter!$1:$1048576,MATCH(All!$A725,Winter!$A:$A,FALSE),MATCH(All!U$1,Winter!$1:$1,FALSE))="","",INDEX(Winter!$1:$1048576,MATCH(All!$A725,Winter!$A:$A,FALSE),MATCH(All!U$1,Winter!$1:$1,FALSE))),"")</f>
        <v/>
      </c>
      <c r="W725">
        <f>IFERROR(IF(INDEX(Spring!$1:$1048576,MATCH(All!$A725,Spring!$A:$A,FALSE),MATCH(All!W$1,Spring!$1:$1,FALSE))="","",INDEX(Spring!$1:$1048576,MATCH(All!$A725,Spring!$A:$A,FALSE),MATCH(All!W$1,Spring!$1:$1,FALSE))),"")</f>
        <v>103</v>
      </c>
      <c r="X725" t="str">
        <f>IFERROR(IF(INDEX(Spring!$1:$1048576,MATCH(All!$A725,Spring!$A:$A,FALSE),MATCH(All!X$1,Spring!$1:$1,FALSE))="","",INDEX(Spring!$1:$1048576,MATCH(All!$A725,Spring!$A:$A,FALSE),MATCH(All!X$1,Spring!$1:$1,FALSE))),"")</f>
        <v>1A</v>
      </c>
      <c r="Y725" t="str">
        <f>IFERROR(IF(INDEX(Spring!$1:$1048576,MATCH(All!$A725,Spring!$A:$A,FALSE),MATCH(All!Y$1,Spring!$1:$1,FALSE))="","",INDEX(Spring!$1:$1048576,MATCH(All!$A725,Spring!$A:$A,FALSE),MATCH(All!Y$1,Spring!$1:$1,FALSE))),"")</f>
        <v>1A</v>
      </c>
      <c r="Z725" t="str">
        <f>IFERROR(IF(INDEX(Spring!$1:$1048576,MATCH(All!$A725,Spring!$A:$A,FALSE),MATCH(All!Z$1,Spring!$1:$1,FALSE))="","",INDEX(Spring!$1:$1048576,MATCH(All!$A725,Spring!$A:$A,FALSE),MATCH(All!Z$1,Spring!$1:$1,FALSE))),"")</f>
        <v/>
      </c>
      <c r="AA725" t="str">
        <f>IFERROR(IF(INDEX(Spring!$1:$1048576,MATCH(All!$A725,Spring!$A:$A,FALSE),MATCH(All!AA$1,Spring!$1:$1,FALSE))="","",INDEX(Spring!$1:$1048576,MATCH(All!$A725,Spring!$A:$A,FALSE),MATCH(All!AA$1,Spring!$1:$1,FALSE))),"")</f>
        <v/>
      </c>
      <c r="AB725" t="str">
        <f>IFERROR(IF(INDEX(Spring!$1:$1048576,MATCH(All!$A725,Spring!$A:$A,FALSE),MATCH(All!AB$1,Spring!$1:$1,FALSE))="","",INDEX(Spring!$1:$1048576,MATCH(All!$A725,Spring!$A:$A,FALSE),MATCH(All!AB$1,Spring!$1:$1,FALSE))),"")</f>
        <v>1A</v>
      </c>
      <c r="AC725" t="str">
        <f>IFERROR(IF(INDEX(Spring!$1:$1048576,MATCH(All!$A725,Spring!$A:$A,FALSE),MATCH(All!AC$1,Spring!$1:$1,FALSE))="","",INDEX(Spring!$1:$1048576,MATCH(All!$A725,Spring!$A:$A,FALSE),MATCH(All!AC$1,Spring!$1:$1,FALSE))),"")</f>
        <v>1A</v>
      </c>
      <c r="AD725" t="str">
        <f>IFERROR(VLOOKUP(A725,'Flag Football'!A:A,1,FALSE),"")</f>
        <v/>
      </c>
      <c r="AE725" t="str">
        <f t="shared" si="11"/>
        <v/>
      </c>
    </row>
    <row r="726" spans="1:31" ht="15.75" thickBot="1" x14ac:dyDescent="0.3">
      <c r="A726" s="20" t="s">
        <v>833</v>
      </c>
      <c r="B726" s="38">
        <f>IFERROR(VLOOKUP(A726,'Public v Private'!A:G,3,FALSE),"")</f>
        <v>0</v>
      </c>
      <c r="C726" s="38">
        <f>IFERROR(VLOOKUP(A726,'Public v Private'!A:G,4,FALSE),"")</f>
        <v>0</v>
      </c>
      <c r="D726" s="38">
        <f>IFERROR(VLOOKUP(A726,'Public v Private'!A:G,5,FALSE),"")</f>
        <v>0</v>
      </c>
      <c r="E726" s="38"/>
      <c r="F726" s="40">
        <f>IFERROR(INDEX(Fall!$1:$1048576,MATCH(All!$A726,Fall!$A:$A,FALSE),MATCH(All!F$1,Fall!$1:$1,FALSE)),"N/A")</f>
        <v>402</v>
      </c>
      <c r="G726" t="str">
        <f>IFERROR(IF(INDEX(Fall!$1:$1048576,MATCH(All!$A726,Fall!$A:$A,FALSE),MATCH(All!G$1,Fall!$1:$1,FALSE))="","",INDEX(Fall!$1:$1048576,MATCH(All!$A726,Fall!$A:$A,FALSE),MATCH(All!G$1,Fall!$1:$1,FALSE))),"")</f>
        <v/>
      </c>
      <c r="H726" t="str">
        <f>IFERROR(IF(INDEX(Fall!$1:$1048576,MATCH(All!$A726,Fall!$A:$A,FALSE),MATCH(All!H$1,Fall!$1:$1,FALSE))="","",INDEX(Fall!$1:$1048576,MATCH(All!$A726,Fall!$A:$A,FALSE),MATCH(All!H$1,Fall!$1:$1,FALSE))),"")</f>
        <v/>
      </c>
      <c r="I726" t="str">
        <f>IFERROR(IF(INDEX(Fall!$1:$1048576,MATCH(All!$A726,Fall!$A:$A,FALSE),MATCH(All!I$1,Fall!$1:$1,FALSE))="","",INDEX(Fall!$1:$1048576,MATCH(All!$A726,Fall!$A:$A,FALSE),MATCH(All!I$1,Fall!$1:$1,FALSE))),"")</f>
        <v>1A</v>
      </c>
      <c r="J726" t="str">
        <f>IFERROR(IF(INDEX(Fall!$1:$1048576,MATCH(All!$A726,Fall!$A:$A,FALSE),MATCH(All!J$1,Fall!$1:$1,FALSE))="","",INDEX(Fall!$1:$1048576,MATCH(All!$A726,Fall!$A:$A,FALSE),MATCH(All!J$1,Fall!$1:$1,FALSE))),"")</f>
        <v>1A</v>
      </c>
      <c r="K726" t="str">
        <f>IFERROR(IF(INDEX(Fall!$1:$1048576,MATCH(All!$A726,Fall!$A:$A,FALSE),MATCH(All!K$1,Fall!$1:$1,FALSE))="","",INDEX(Fall!$1:$1048576,MATCH(All!$A726,Fall!$A:$A,FALSE),MATCH(All!K$1,Fall!$1:$1,FALSE))),"")</f>
        <v>1A</v>
      </c>
      <c r="L726" t="str">
        <f>IFERROR(IF(INDEX(Fall!$1:$1048576,MATCH(All!$A726,Fall!$A:$A,FALSE),MATCH(All!L$1,Fall!$1:$1,FALSE))="","",INDEX(Fall!$1:$1048576,MATCH(All!$A726,Fall!$A:$A,FALSE),MATCH(All!L$1,Fall!$1:$1,FALSE))),"")</f>
        <v>1A</v>
      </c>
      <c r="M726" t="str">
        <f>IFERROR(IF(INDEX(Fall!$1:$1048576,MATCH(All!$A726,Fall!$A:$A,FALSE),MATCH(All!M$1,Fall!$1:$1,FALSE))="","",INDEX(Fall!$1:$1048576,MATCH(All!$A726,Fall!$A:$A,FALSE),MATCH(All!M$1,Fall!$1:$1,FALSE))),"")</f>
        <v>2A</v>
      </c>
      <c r="O726">
        <f>IFERROR(IF(INDEX(Winter!$1:$1048576,MATCH(All!$A726,Winter!$A:$A,FALSE),MATCH(All!O$1,Winter!$1:$1,FALSE))="","",INDEX(Winter!$1:$1048576,MATCH(All!$A726,Winter!$A:$A,FALSE),MATCH(All!O$1,Winter!$1:$1,FALSE))),"")</f>
        <v>402</v>
      </c>
      <c r="P726" t="str">
        <f>IFERROR(IF(INDEX(Winter!$1:$1048576,MATCH(All!$A726,Winter!$A:$A,FALSE),MATCH(All!P$1,Winter!$1:$1,FALSE))="","",INDEX(Winter!$1:$1048576,MATCH(All!$A726,Winter!$A:$A,FALSE),MATCH(All!P$1,Winter!$1:$1,FALSE))),"")</f>
        <v>2A</v>
      </c>
      <c r="Q726" t="str">
        <f>IFERROR(IF(INDEX(Winter!$1:$1048576,MATCH(All!$A726,Winter!$A:$A,FALSE),MATCH(All!Q$1,Winter!$1:$1,FALSE))="","",INDEX(Winter!$1:$1048576,MATCH(All!$A726,Winter!$A:$A,FALSE),MATCH(All!Q$1,Winter!$1:$1,FALSE))),"")</f>
        <v>2A</v>
      </c>
      <c r="R726" t="str">
        <f>IFERROR(IF(INDEX(Winter!$1:$1048576,MATCH(All!$A726,Winter!$A:$A,FALSE),MATCH(All!R$1,Winter!$1:$1,FALSE))="","",INDEX(Winter!$1:$1048576,MATCH(All!$A726,Winter!$A:$A,FALSE),MATCH(All!R$1,Winter!$1:$1,FALSE))),"")</f>
        <v>1A</v>
      </c>
      <c r="S726" t="str">
        <f>IFERROR(IF(INDEX(Winter!$1:$1048576,MATCH(All!$A726,Winter!$A:$A,FALSE),MATCH(All!S$1,Winter!$1:$1,FALSE))="","",INDEX(Winter!$1:$1048576,MATCH(All!$A726,Winter!$A:$A,FALSE),MATCH(All!S$1,Winter!$1:$1,FALSE))),"")</f>
        <v/>
      </c>
      <c r="T726" t="str">
        <f>IFERROR(IF(INDEX(Winter!$1:$1048576,MATCH(All!$A726,Winter!$A:$A,FALSE),MATCH(All!T$1,Winter!$1:$1,FALSE))="","",INDEX(Winter!$1:$1048576,MATCH(All!$A726,Winter!$A:$A,FALSE),MATCH(All!T$1,Winter!$1:$1,FALSE))),"")</f>
        <v>1A</v>
      </c>
      <c r="U726" t="str">
        <f>IFERROR(IF(INDEX(Winter!$1:$1048576,MATCH(All!$A726,Winter!$A:$A,FALSE),MATCH(All!U$1,Winter!$1:$1,FALSE))="","",INDEX(Winter!$1:$1048576,MATCH(All!$A726,Winter!$A:$A,FALSE),MATCH(All!U$1,Winter!$1:$1,FALSE))),"")</f>
        <v>1A</v>
      </c>
      <c r="W726">
        <f>IFERROR(IF(INDEX(Spring!$1:$1048576,MATCH(All!$A726,Spring!$A:$A,FALSE),MATCH(All!W$1,Spring!$1:$1,FALSE))="","",INDEX(Spring!$1:$1048576,MATCH(All!$A726,Spring!$A:$A,FALSE),MATCH(All!W$1,Spring!$1:$1,FALSE))),"")</f>
        <v>402</v>
      </c>
      <c r="X726" t="str">
        <f>IFERROR(IF(INDEX(Spring!$1:$1048576,MATCH(All!$A726,Spring!$A:$A,FALSE),MATCH(All!X$1,Spring!$1:$1,FALSE))="","",INDEX(Spring!$1:$1048576,MATCH(All!$A726,Spring!$A:$A,FALSE),MATCH(All!X$1,Spring!$1:$1,FALSE))),"")</f>
        <v>2A</v>
      </c>
      <c r="Y726" t="str">
        <f>IFERROR(IF(INDEX(Spring!$1:$1048576,MATCH(All!$A726,Spring!$A:$A,FALSE),MATCH(All!Y$1,Spring!$1:$1,FALSE))="","",INDEX(Spring!$1:$1048576,MATCH(All!$A726,Spring!$A:$A,FALSE),MATCH(All!Y$1,Spring!$1:$1,FALSE))),"")</f>
        <v>2A</v>
      </c>
      <c r="Z726" t="str">
        <f>IFERROR(IF(INDEX(Spring!$1:$1048576,MATCH(All!$A726,Spring!$A:$A,FALSE),MATCH(All!Z$1,Spring!$1:$1,FALSE))="","",INDEX(Spring!$1:$1048576,MATCH(All!$A726,Spring!$A:$A,FALSE),MATCH(All!Z$1,Spring!$1:$1,FALSE))),"")</f>
        <v/>
      </c>
      <c r="AA726" t="str">
        <f>IFERROR(IF(INDEX(Spring!$1:$1048576,MATCH(All!$A726,Spring!$A:$A,FALSE),MATCH(All!AA$1,Spring!$1:$1,FALSE))="","",INDEX(Spring!$1:$1048576,MATCH(All!$A726,Spring!$A:$A,FALSE),MATCH(All!AA$1,Spring!$1:$1,FALSE))),"")</f>
        <v/>
      </c>
      <c r="AB726" t="str">
        <f>IFERROR(IF(INDEX(Spring!$1:$1048576,MATCH(All!$A726,Spring!$A:$A,FALSE),MATCH(All!AB$1,Spring!$1:$1,FALSE))="","",INDEX(Spring!$1:$1048576,MATCH(All!$A726,Spring!$A:$A,FALSE),MATCH(All!AB$1,Spring!$1:$1,FALSE))),"")</f>
        <v>1A</v>
      </c>
      <c r="AC726" t="str">
        <f>IFERROR(IF(INDEX(Spring!$1:$1048576,MATCH(All!$A726,Spring!$A:$A,FALSE),MATCH(All!AC$1,Spring!$1:$1,FALSE))="","",INDEX(Spring!$1:$1048576,MATCH(All!$A726,Spring!$A:$A,FALSE),MATCH(All!AC$1,Spring!$1:$1,FALSE))),"")</f>
        <v>1A</v>
      </c>
      <c r="AD726" t="str">
        <f>IFERROR(VLOOKUP(A726,'Flag Football'!A:A,1,FALSE),"")</f>
        <v/>
      </c>
      <c r="AE726" t="str">
        <f t="shared" si="11"/>
        <v/>
      </c>
    </row>
    <row r="727" spans="1:31" ht="15.75" thickBot="1" x14ac:dyDescent="0.3">
      <c r="A727" s="18" t="s">
        <v>834</v>
      </c>
      <c r="B727" s="38">
        <f>IFERROR(VLOOKUP(A727,'Public v Private'!A:G,3,FALSE),"")</f>
        <v>0</v>
      </c>
      <c r="C727" s="38">
        <f>IFERROR(VLOOKUP(A727,'Public v Private'!A:G,4,FALSE),"")</f>
        <v>0</v>
      </c>
      <c r="D727" s="38">
        <f>IFERROR(VLOOKUP(A727,'Public v Private'!A:G,5,FALSE),"")</f>
        <v>0</v>
      </c>
      <c r="E727" s="38"/>
      <c r="F727" s="40">
        <f>IFERROR(INDEX(Fall!$1:$1048576,MATCH(All!$A727,Fall!$A:$A,FALSE),MATCH(All!F$1,Fall!$1:$1,FALSE)),"N/A")</f>
        <v>200</v>
      </c>
      <c r="G727" t="str">
        <f>IFERROR(IF(INDEX(Fall!$1:$1048576,MATCH(All!$A727,Fall!$A:$A,FALSE),MATCH(All!G$1,Fall!$1:$1,FALSE))="","",INDEX(Fall!$1:$1048576,MATCH(All!$A727,Fall!$A:$A,FALSE),MATCH(All!G$1,Fall!$1:$1,FALSE))),"")</f>
        <v/>
      </c>
      <c r="H727" t="str">
        <f>IFERROR(IF(INDEX(Fall!$1:$1048576,MATCH(All!$A727,Fall!$A:$A,FALSE),MATCH(All!H$1,Fall!$1:$1,FALSE))="","",INDEX(Fall!$1:$1048576,MATCH(All!$A727,Fall!$A:$A,FALSE),MATCH(All!H$1,Fall!$1:$1,FALSE))),"")</f>
        <v/>
      </c>
      <c r="I727" t="str">
        <f>IFERROR(IF(INDEX(Fall!$1:$1048576,MATCH(All!$A727,Fall!$A:$A,FALSE),MATCH(All!I$1,Fall!$1:$1,FALSE))="","",INDEX(Fall!$1:$1048576,MATCH(All!$A727,Fall!$A:$A,FALSE),MATCH(All!I$1,Fall!$1:$1,FALSE))),"")</f>
        <v>1A</v>
      </c>
      <c r="J727" t="str">
        <f>IFERROR(IF(INDEX(Fall!$1:$1048576,MATCH(All!$A727,Fall!$A:$A,FALSE),MATCH(All!J$1,Fall!$1:$1,FALSE))="","",INDEX(Fall!$1:$1048576,MATCH(All!$A727,Fall!$A:$A,FALSE),MATCH(All!J$1,Fall!$1:$1,FALSE))),"")</f>
        <v/>
      </c>
      <c r="K727" t="str">
        <f>IFERROR(IF(INDEX(Fall!$1:$1048576,MATCH(All!$A727,Fall!$A:$A,FALSE),MATCH(All!K$1,Fall!$1:$1,FALSE))="","",INDEX(Fall!$1:$1048576,MATCH(All!$A727,Fall!$A:$A,FALSE),MATCH(All!K$1,Fall!$1:$1,FALSE))),"")</f>
        <v/>
      </c>
      <c r="L727" t="str">
        <f>IFERROR(IF(INDEX(Fall!$1:$1048576,MATCH(All!$A727,Fall!$A:$A,FALSE),MATCH(All!L$1,Fall!$1:$1,FALSE))="","",INDEX(Fall!$1:$1048576,MATCH(All!$A727,Fall!$A:$A,FALSE),MATCH(All!L$1,Fall!$1:$1,FALSE))),"")</f>
        <v/>
      </c>
      <c r="M727" t="str">
        <f>IFERROR(IF(INDEX(Fall!$1:$1048576,MATCH(All!$A727,Fall!$A:$A,FALSE),MATCH(All!M$1,Fall!$1:$1,FALSE))="","",INDEX(Fall!$1:$1048576,MATCH(All!$A727,Fall!$A:$A,FALSE),MATCH(All!M$1,Fall!$1:$1,FALSE))),"")</f>
        <v>1A</v>
      </c>
      <c r="O727">
        <f>IFERROR(IF(INDEX(Winter!$1:$1048576,MATCH(All!$A727,Winter!$A:$A,FALSE),MATCH(All!O$1,Winter!$1:$1,FALSE))="","",INDEX(Winter!$1:$1048576,MATCH(All!$A727,Winter!$A:$A,FALSE),MATCH(All!O$1,Winter!$1:$1,FALSE))),"")</f>
        <v>200</v>
      </c>
      <c r="P727" t="str">
        <f>IFERROR(IF(INDEX(Winter!$1:$1048576,MATCH(All!$A727,Winter!$A:$A,FALSE),MATCH(All!P$1,Winter!$1:$1,FALSE))="","",INDEX(Winter!$1:$1048576,MATCH(All!$A727,Winter!$A:$A,FALSE),MATCH(All!P$1,Winter!$1:$1,FALSE))),"")</f>
        <v>1A</v>
      </c>
      <c r="Q727" t="str">
        <f>IFERROR(IF(INDEX(Winter!$1:$1048576,MATCH(All!$A727,Winter!$A:$A,FALSE),MATCH(All!Q$1,Winter!$1:$1,FALSE))="","",INDEX(Winter!$1:$1048576,MATCH(All!$A727,Winter!$A:$A,FALSE),MATCH(All!Q$1,Winter!$1:$1,FALSE))),"")</f>
        <v>1A</v>
      </c>
      <c r="R727" t="str">
        <f>IFERROR(IF(INDEX(Winter!$1:$1048576,MATCH(All!$A727,Winter!$A:$A,FALSE),MATCH(All!R$1,Winter!$1:$1,FALSE))="","",INDEX(Winter!$1:$1048576,MATCH(All!$A727,Winter!$A:$A,FALSE),MATCH(All!R$1,Winter!$1:$1,FALSE))),"")</f>
        <v/>
      </c>
      <c r="S727" t="str">
        <f>IFERROR(IF(INDEX(Winter!$1:$1048576,MATCH(All!$A727,Winter!$A:$A,FALSE),MATCH(All!S$1,Winter!$1:$1,FALSE))="","",INDEX(Winter!$1:$1048576,MATCH(All!$A727,Winter!$A:$A,FALSE),MATCH(All!S$1,Winter!$1:$1,FALSE))),"")</f>
        <v/>
      </c>
      <c r="T727" t="str">
        <f>IFERROR(IF(INDEX(Winter!$1:$1048576,MATCH(All!$A727,Winter!$A:$A,FALSE),MATCH(All!T$1,Winter!$1:$1,FALSE))="","",INDEX(Winter!$1:$1048576,MATCH(All!$A727,Winter!$A:$A,FALSE),MATCH(All!T$1,Winter!$1:$1,FALSE))),"")</f>
        <v>1A</v>
      </c>
      <c r="U727" t="str">
        <f>IFERROR(IF(INDEX(Winter!$1:$1048576,MATCH(All!$A727,Winter!$A:$A,FALSE),MATCH(All!U$1,Winter!$1:$1,FALSE))="","",INDEX(Winter!$1:$1048576,MATCH(All!$A727,Winter!$A:$A,FALSE),MATCH(All!U$1,Winter!$1:$1,FALSE))),"")</f>
        <v/>
      </c>
      <c r="W727">
        <f>IFERROR(IF(INDEX(Spring!$1:$1048576,MATCH(All!$A727,Spring!$A:$A,FALSE),MATCH(All!W$1,Spring!$1:$1,FALSE))="","",INDEX(Spring!$1:$1048576,MATCH(All!$A727,Spring!$A:$A,FALSE),MATCH(All!W$1,Spring!$1:$1,FALSE))),"")</f>
        <v>200</v>
      </c>
      <c r="X727" t="str">
        <f>IFERROR(IF(INDEX(Spring!$1:$1048576,MATCH(All!$A727,Spring!$A:$A,FALSE),MATCH(All!X$1,Spring!$1:$1,FALSE))="","",INDEX(Spring!$1:$1048576,MATCH(All!$A727,Spring!$A:$A,FALSE),MATCH(All!X$1,Spring!$1:$1,FALSE))),"")</f>
        <v>1A</v>
      </c>
      <c r="Y727" t="str">
        <f>IFERROR(IF(INDEX(Spring!$1:$1048576,MATCH(All!$A727,Spring!$A:$A,FALSE),MATCH(All!Y$1,Spring!$1:$1,FALSE))="","",INDEX(Spring!$1:$1048576,MATCH(All!$A727,Spring!$A:$A,FALSE),MATCH(All!Y$1,Spring!$1:$1,FALSE))),"")</f>
        <v>1A</v>
      </c>
      <c r="Z727" t="str">
        <f>IFERROR(IF(INDEX(Spring!$1:$1048576,MATCH(All!$A727,Spring!$A:$A,FALSE),MATCH(All!Z$1,Spring!$1:$1,FALSE))="","",INDEX(Spring!$1:$1048576,MATCH(All!$A727,Spring!$A:$A,FALSE),MATCH(All!Z$1,Spring!$1:$1,FALSE))),"")</f>
        <v/>
      </c>
      <c r="AA727" t="str">
        <f>IFERROR(IF(INDEX(Spring!$1:$1048576,MATCH(All!$A727,Spring!$A:$A,FALSE),MATCH(All!AA$1,Spring!$1:$1,FALSE))="","",INDEX(Spring!$1:$1048576,MATCH(All!$A727,Spring!$A:$A,FALSE),MATCH(All!AA$1,Spring!$1:$1,FALSE))),"")</f>
        <v/>
      </c>
      <c r="AB727" t="str">
        <f>IFERROR(IF(INDEX(Spring!$1:$1048576,MATCH(All!$A727,Spring!$A:$A,FALSE),MATCH(All!AB$1,Spring!$1:$1,FALSE))="","",INDEX(Spring!$1:$1048576,MATCH(All!$A727,Spring!$A:$A,FALSE),MATCH(All!AB$1,Spring!$1:$1,FALSE))),"")</f>
        <v/>
      </c>
      <c r="AC727" t="str">
        <f>IFERROR(IF(INDEX(Spring!$1:$1048576,MATCH(All!$A727,Spring!$A:$A,FALSE),MATCH(All!AC$1,Spring!$1:$1,FALSE))="","",INDEX(Spring!$1:$1048576,MATCH(All!$A727,Spring!$A:$A,FALSE),MATCH(All!AC$1,Spring!$1:$1,FALSE))),"")</f>
        <v/>
      </c>
      <c r="AD727" t="str">
        <f>IFERROR(VLOOKUP(A727,'Flag Football'!A:A,1,FALSE),"")</f>
        <v/>
      </c>
      <c r="AE727" t="str">
        <f t="shared" si="11"/>
        <v/>
      </c>
    </row>
    <row r="728" spans="1:31" ht="15.75" thickBot="1" x14ac:dyDescent="0.3">
      <c r="A728" s="20" t="s">
        <v>835</v>
      </c>
      <c r="B728" s="38">
        <f>IFERROR(VLOOKUP(A728,'Public v Private'!A:G,3,FALSE),"")</f>
        <v>0</v>
      </c>
      <c r="C728" s="38">
        <f>IFERROR(VLOOKUP(A728,'Public v Private'!A:G,4,FALSE),"")</f>
        <v>0</v>
      </c>
      <c r="D728" s="38">
        <f>IFERROR(VLOOKUP(A728,'Public v Private'!A:G,5,FALSE),"")</f>
        <v>0</v>
      </c>
      <c r="E728" s="38"/>
      <c r="F728" s="40">
        <f>IFERROR(INDEX(Fall!$1:$1048576,MATCH(All!$A728,Fall!$A:$A,FALSE),MATCH(All!F$1,Fall!$1:$1,FALSE)),"N/A")</f>
        <v>1387</v>
      </c>
      <c r="G728" t="str">
        <f>IFERROR(IF(INDEX(Fall!$1:$1048576,MATCH(All!$A728,Fall!$A:$A,FALSE),MATCH(All!G$1,Fall!$1:$1,FALSE))="","",INDEX(Fall!$1:$1048576,MATCH(All!$A728,Fall!$A:$A,FALSE),MATCH(All!G$1,Fall!$1:$1,FALSE))),"")</f>
        <v>2A</v>
      </c>
      <c r="H728" t="str">
        <f>IFERROR(IF(INDEX(Fall!$1:$1048576,MATCH(All!$A728,Fall!$A:$A,FALSE),MATCH(All!H$1,Fall!$1:$1,FALSE))="","",INDEX(Fall!$1:$1048576,MATCH(All!$A728,Fall!$A:$A,FALSE),MATCH(All!H$1,Fall!$1:$1,FALSE))),"")</f>
        <v>2A</v>
      </c>
      <c r="I728" t="str">
        <f>IFERROR(IF(INDEX(Fall!$1:$1048576,MATCH(All!$A728,Fall!$A:$A,FALSE),MATCH(All!I$1,Fall!$1:$1,FALSE))="","",INDEX(Fall!$1:$1048576,MATCH(All!$A728,Fall!$A:$A,FALSE),MATCH(All!I$1,Fall!$1:$1,FALSE))),"")</f>
        <v>2A</v>
      </c>
      <c r="J728" t="str">
        <f>IFERROR(IF(INDEX(Fall!$1:$1048576,MATCH(All!$A728,Fall!$A:$A,FALSE),MATCH(All!J$1,Fall!$1:$1,FALSE))="","",INDEX(Fall!$1:$1048576,MATCH(All!$A728,Fall!$A:$A,FALSE),MATCH(All!J$1,Fall!$1:$1,FALSE))),"")</f>
        <v>2A</v>
      </c>
      <c r="K728" t="str">
        <f>IFERROR(IF(INDEX(Fall!$1:$1048576,MATCH(All!$A728,Fall!$A:$A,FALSE),MATCH(All!K$1,Fall!$1:$1,FALSE))="","",INDEX(Fall!$1:$1048576,MATCH(All!$A728,Fall!$A:$A,FALSE),MATCH(All!K$1,Fall!$1:$1,FALSE))),"")</f>
        <v>2A</v>
      </c>
      <c r="L728" t="str">
        <f>IFERROR(IF(INDEX(Fall!$1:$1048576,MATCH(All!$A728,Fall!$A:$A,FALSE),MATCH(All!L$1,Fall!$1:$1,FALSE))="","",INDEX(Fall!$1:$1048576,MATCH(All!$A728,Fall!$A:$A,FALSE),MATCH(All!L$1,Fall!$1:$1,FALSE))),"")</f>
        <v>1A</v>
      </c>
      <c r="M728" t="str">
        <f>IFERROR(IF(INDEX(Fall!$1:$1048576,MATCH(All!$A728,Fall!$A:$A,FALSE),MATCH(All!M$1,Fall!$1:$1,FALSE))="","",INDEX(Fall!$1:$1048576,MATCH(All!$A728,Fall!$A:$A,FALSE),MATCH(All!M$1,Fall!$1:$1,FALSE))),"")</f>
        <v>3A</v>
      </c>
      <c r="O728">
        <f>IFERROR(IF(INDEX(Winter!$1:$1048576,MATCH(All!$A728,Winter!$A:$A,FALSE),MATCH(All!O$1,Winter!$1:$1,FALSE))="","",INDEX(Winter!$1:$1048576,MATCH(All!$A728,Winter!$A:$A,FALSE),MATCH(All!O$1,Winter!$1:$1,FALSE))),"")</f>
        <v>1387</v>
      </c>
      <c r="P728" t="str">
        <f>IFERROR(IF(INDEX(Winter!$1:$1048576,MATCH(All!$A728,Winter!$A:$A,FALSE),MATCH(All!P$1,Winter!$1:$1,FALSE))="","",INDEX(Winter!$1:$1048576,MATCH(All!$A728,Winter!$A:$A,FALSE),MATCH(All!P$1,Winter!$1:$1,FALSE))),"")</f>
        <v>3A</v>
      </c>
      <c r="Q728" t="str">
        <f>IFERROR(IF(INDEX(Winter!$1:$1048576,MATCH(All!$A728,Winter!$A:$A,FALSE),MATCH(All!Q$1,Winter!$1:$1,FALSE))="","",INDEX(Winter!$1:$1048576,MATCH(All!$A728,Winter!$A:$A,FALSE),MATCH(All!Q$1,Winter!$1:$1,FALSE))),"")</f>
        <v>3A</v>
      </c>
      <c r="R728" t="str">
        <f>IFERROR(IF(INDEX(Winter!$1:$1048576,MATCH(All!$A728,Winter!$A:$A,FALSE),MATCH(All!R$1,Winter!$1:$1,FALSE))="","",INDEX(Winter!$1:$1048576,MATCH(All!$A728,Winter!$A:$A,FALSE),MATCH(All!R$1,Winter!$1:$1,FALSE))),"")</f>
        <v>2A</v>
      </c>
      <c r="S728" t="str">
        <f>IFERROR(IF(INDEX(Winter!$1:$1048576,MATCH(All!$A728,Winter!$A:$A,FALSE),MATCH(All!S$1,Winter!$1:$1,FALSE))="","",INDEX(Winter!$1:$1048576,MATCH(All!$A728,Winter!$A:$A,FALSE),MATCH(All!S$1,Winter!$1:$1,FALSE))),"")</f>
        <v>2A</v>
      </c>
      <c r="T728" t="str">
        <f>IFERROR(IF(INDEX(Winter!$1:$1048576,MATCH(All!$A728,Winter!$A:$A,FALSE),MATCH(All!T$1,Winter!$1:$1,FALSE))="","",INDEX(Winter!$1:$1048576,MATCH(All!$A728,Winter!$A:$A,FALSE),MATCH(All!T$1,Winter!$1:$1,FALSE))),"")</f>
        <v>2A</v>
      </c>
      <c r="U728" t="str">
        <f>IFERROR(IF(INDEX(Winter!$1:$1048576,MATCH(All!$A728,Winter!$A:$A,FALSE),MATCH(All!U$1,Winter!$1:$1,FALSE))="","",INDEX(Winter!$1:$1048576,MATCH(All!$A728,Winter!$A:$A,FALSE),MATCH(All!U$1,Winter!$1:$1,FALSE))),"")</f>
        <v>2A</v>
      </c>
      <c r="W728">
        <f>IFERROR(IF(INDEX(Spring!$1:$1048576,MATCH(All!$A728,Spring!$A:$A,FALSE),MATCH(All!W$1,Spring!$1:$1,FALSE))="","",INDEX(Spring!$1:$1048576,MATCH(All!$A728,Spring!$A:$A,FALSE),MATCH(All!W$1,Spring!$1:$1,FALSE))),"")</f>
        <v>1387</v>
      </c>
      <c r="X728" t="str">
        <f>IFERROR(IF(INDEX(Spring!$1:$1048576,MATCH(All!$A728,Spring!$A:$A,FALSE),MATCH(All!X$1,Spring!$1:$1,FALSE))="","",INDEX(Spring!$1:$1048576,MATCH(All!$A728,Spring!$A:$A,FALSE),MATCH(All!X$1,Spring!$1:$1,FALSE))),"")</f>
        <v>3A</v>
      </c>
      <c r="Y728" t="str">
        <f>IFERROR(IF(INDEX(Spring!$1:$1048576,MATCH(All!$A728,Spring!$A:$A,FALSE),MATCH(All!Y$1,Spring!$1:$1,FALSE))="","",INDEX(Spring!$1:$1048576,MATCH(All!$A728,Spring!$A:$A,FALSE),MATCH(All!Y$1,Spring!$1:$1,FALSE))),"")</f>
        <v>3A</v>
      </c>
      <c r="Z728" t="str">
        <f>IFERROR(IF(INDEX(Spring!$1:$1048576,MATCH(All!$A728,Spring!$A:$A,FALSE),MATCH(All!Z$1,Spring!$1:$1,FALSE))="","",INDEX(Spring!$1:$1048576,MATCH(All!$A728,Spring!$A:$A,FALSE),MATCH(All!Z$1,Spring!$1:$1,FALSE))),"")</f>
        <v>2A</v>
      </c>
      <c r="AA728" t="str">
        <f>IFERROR(IF(INDEX(Spring!$1:$1048576,MATCH(All!$A728,Spring!$A:$A,FALSE),MATCH(All!AA$1,Spring!$1:$1,FALSE))="","",INDEX(Spring!$1:$1048576,MATCH(All!$A728,Spring!$A:$A,FALSE),MATCH(All!AA$1,Spring!$1:$1,FALSE))),"")</f>
        <v>1A</v>
      </c>
      <c r="AB728" t="str">
        <f>IFERROR(IF(INDEX(Spring!$1:$1048576,MATCH(All!$A728,Spring!$A:$A,FALSE),MATCH(All!AB$1,Spring!$1:$1,FALSE))="","",INDEX(Spring!$1:$1048576,MATCH(All!$A728,Spring!$A:$A,FALSE),MATCH(All!AB$1,Spring!$1:$1,FALSE))),"")</f>
        <v>3A</v>
      </c>
      <c r="AC728" t="str">
        <f>IFERROR(IF(INDEX(Spring!$1:$1048576,MATCH(All!$A728,Spring!$A:$A,FALSE),MATCH(All!AC$1,Spring!$1:$1,FALSE))="","",INDEX(Spring!$1:$1048576,MATCH(All!$A728,Spring!$A:$A,FALSE),MATCH(All!AC$1,Spring!$1:$1,FALSE))),"")</f>
        <v>3A</v>
      </c>
      <c r="AD728" t="str">
        <f>IFERROR(VLOOKUP(A728,'Flag Football'!A:A,1,FALSE),"")</f>
        <v>Vernon Hills</v>
      </c>
      <c r="AE728" t="str">
        <f t="shared" si="11"/>
        <v>1A</v>
      </c>
    </row>
    <row r="729" spans="1:31" ht="15.75" thickBot="1" x14ac:dyDescent="0.3">
      <c r="A729" s="18" t="s">
        <v>836</v>
      </c>
      <c r="B729" s="38">
        <f>IFERROR(VLOOKUP(A729,'Public v Private'!A:G,3,FALSE),"")</f>
        <v>0</v>
      </c>
      <c r="C729" s="38">
        <f>IFERROR(VLOOKUP(A729,'Public v Private'!A:G,4,FALSE),"")</f>
        <v>0</v>
      </c>
      <c r="D729" s="38">
        <f>IFERROR(VLOOKUP(A729,'Public v Private'!A:G,5,FALSE),"")</f>
        <v>0</v>
      </c>
      <c r="E729" s="38"/>
      <c r="F729" s="40">
        <f>IFERROR(INDEX(Fall!$1:$1048576,MATCH(All!$A729,Fall!$A:$A,FALSE),MATCH(All!F$1,Fall!$1:$1,FALSE)),"N/A")</f>
        <v>371</v>
      </c>
      <c r="G729" t="str">
        <f>IFERROR(IF(INDEX(Fall!$1:$1048576,MATCH(All!$A729,Fall!$A:$A,FALSE),MATCH(All!G$1,Fall!$1:$1,FALSE))="","",INDEX(Fall!$1:$1048576,MATCH(All!$A729,Fall!$A:$A,FALSE),MATCH(All!G$1,Fall!$1:$1,FALSE))),"")</f>
        <v>1A</v>
      </c>
      <c r="H729" t="str">
        <f>IFERROR(IF(INDEX(Fall!$1:$1048576,MATCH(All!$A729,Fall!$A:$A,FALSE),MATCH(All!H$1,Fall!$1:$1,FALSE))="","",INDEX(Fall!$1:$1048576,MATCH(All!$A729,Fall!$A:$A,FALSE),MATCH(All!H$1,Fall!$1:$1,FALSE))),"")</f>
        <v>1A</v>
      </c>
      <c r="I729" t="str">
        <f>IFERROR(IF(INDEX(Fall!$1:$1048576,MATCH(All!$A729,Fall!$A:$A,FALSE),MATCH(All!I$1,Fall!$1:$1,FALSE))="","",INDEX(Fall!$1:$1048576,MATCH(All!$A729,Fall!$A:$A,FALSE),MATCH(All!I$1,Fall!$1:$1,FALSE))),"")</f>
        <v>1A</v>
      </c>
      <c r="J729" t="str">
        <f>IFERROR(IF(INDEX(Fall!$1:$1048576,MATCH(All!$A729,Fall!$A:$A,FALSE),MATCH(All!J$1,Fall!$1:$1,FALSE))="","",INDEX(Fall!$1:$1048576,MATCH(All!$A729,Fall!$A:$A,FALSE),MATCH(All!J$1,Fall!$1:$1,FALSE))),"")</f>
        <v/>
      </c>
      <c r="K729" t="str">
        <f>IFERROR(IF(INDEX(Fall!$1:$1048576,MATCH(All!$A729,Fall!$A:$A,FALSE),MATCH(All!K$1,Fall!$1:$1,FALSE))="","",INDEX(Fall!$1:$1048576,MATCH(All!$A729,Fall!$A:$A,FALSE),MATCH(All!K$1,Fall!$1:$1,FALSE))),"")</f>
        <v>1A</v>
      </c>
      <c r="L729" t="str">
        <f>IFERROR(IF(INDEX(Fall!$1:$1048576,MATCH(All!$A729,Fall!$A:$A,FALSE),MATCH(All!L$1,Fall!$1:$1,FALSE))="","",INDEX(Fall!$1:$1048576,MATCH(All!$A729,Fall!$A:$A,FALSE),MATCH(All!L$1,Fall!$1:$1,FALSE))),"")</f>
        <v/>
      </c>
      <c r="M729" t="str">
        <f>IFERROR(IF(INDEX(Fall!$1:$1048576,MATCH(All!$A729,Fall!$A:$A,FALSE),MATCH(All!M$1,Fall!$1:$1,FALSE))="","",INDEX(Fall!$1:$1048576,MATCH(All!$A729,Fall!$A:$A,FALSE),MATCH(All!M$1,Fall!$1:$1,FALSE))),"")</f>
        <v>2A</v>
      </c>
      <c r="O729">
        <f>IFERROR(IF(INDEX(Winter!$1:$1048576,MATCH(All!$A729,Winter!$A:$A,FALSE),MATCH(All!O$1,Winter!$1:$1,FALSE))="","",INDEX(Winter!$1:$1048576,MATCH(All!$A729,Winter!$A:$A,FALSE),MATCH(All!O$1,Winter!$1:$1,FALSE))),"")</f>
        <v>371</v>
      </c>
      <c r="P729" t="str">
        <f>IFERROR(IF(INDEX(Winter!$1:$1048576,MATCH(All!$A729,Winter!$A:$A,FALSE),MATCH(All!P$1,Winter!$1:$1,FALSE))="","",INDEX(Winter!$1:$1048576,MATCH(All!$A729,Winter!$A:$A,FALSE),MATCH(All!P$1,Winter!$1:$1,FALSE))),"")</f>
        <v>2A</v>
      </c>
      <c r="Q729" t="str">
        <f>IFERROR(IF(INDEX(Winter!$1:$1048576,MATCH(All!$A729,Winter!$A:$A,FALSE),MATCH(All!Q$1,Winter!$1:$1,FALSE))="","",INDEX(Winter!$1:$1048576,MATCH(All!$A729,Winter!$A:$A,FALSE),MATCH(All!Q$1,Winter!$1:$1,FALSE))),"")</f>
        <v>2A</v>
      </c>
      <c r="R729" t="str">
        <f>IFERROR(IF(INDEX(Winter!$1:$1048576,MATCH(All!$A729,Winter!$A:$A,FALSE),MATCH(All!R$1,Winter!$1:$1,FALSE))="","",INDEX(Winter!$1:$1048576,MATCH(All!$A729,Winter!$A:$A,FALSE),MATCH(All!R$1,Winter!$1:$1,FALSE))),"")</f>
        <v>1A</v>
      </c>
      <c r="S729" t="str">
        <f>IFERROR(IF(INDEX(Winter!$1:$1048576,MATCH(All!$A729,Winter!$A:$A,FALSE),MATCH(All!S$1,Winter!$1:$1,FALSE))="","",INDEX(Winter!$1:$1048576,MATCH(All!$A729,Winter!$A:$A,FALSE),MATCH(All!S$1,Winter!$1:$1,FALSE))),"")</f>
        <v/>
      </c>
      <c r="T729" t="str">
        <f>IFERROR(IF(INDEX(Winter!$1:$1048576,MATCH(All!$A729,Winter!$A:$A,FALSE),MATCH(All!T$1,Winter!$1:$1,FALSE))="","",INDEX(Winter!$1:$1048576,MATCH(All!$A729,Winter!$A:$A,FALSE),MATCH(All!T$1,Winter!$1:$1,FALSE))),"")</f>
        <v>1A</v>
      </c>
      <c r="U729" t="str">
        <f>IFERROR(IF(INDEX(Winter!$1:$1048576,MATCH(All!$A729,Winter!$A:$A,FALSE),MATCH(All!U$1,Winter!$1:$1,FALSE))="","",INDEX(Winter!$1:$1048576,MATCH(All!$A729,Winter!$A:$A,FALSE),MATCH(All!U$1,Winter!$1:$1,FALSE))),"")</f>
        <v/>
      </c>
      <c r="W729">
        <f>IFERROR(IF(INDEX(Spring!$1:$1048576,MATCH(All!$A729,Spring!$A:$A,FALSE),MATCH(All!W$1,Spring!$1:$1,FALSE))="","",INDEX(Spring!$1:$1048576,MATCH(All!$A729,Spring!$A:$A,FALSE),MATCH(All!W$1,Spring!$1:$1,FALSE))),"")</f>
        <v>371</v>
      </c>
      <c r="X729" t="str">
        <f>IFERROR(IF(INDEX(Spring!$1:$1048576,MATCH(All!$A729,Spring!$A:$A,FALSE),MATCH(All!X$1,Spring!$1:$1,FALSE))="","",INDEX(Spring!$1:$1048576,MATCH(All!$A729,Spring!$A:$A,FALSE),MATCH(All!X$1,Spring!$1:$1,FALSE))),"")</f>
        <v>2A</v>
      </c>
      <c r="Y729" t="str">
        <f>IFERROR(IF(INDEX(Spring!$1:$1048576,MATCH(All!$A729,Spring!$A:$A,FALSE),MATCH(All!Y$1,Spring!$1:$1,FALSE))="","",INDEX(Spring!$1:$1048576,MATCH(All!$A729,Spring!$A:$A,FALSE),MATCH(All!Y$1,Spring!$1:$1,FALSE))),"")</f>
        <v>2A</v>
      </c>
      <c r="Z729" t="str">
        <f>IFERROR(IF(INDEX(Spring!$1:$1048576,MATCH(All!$A729,Spring!$A:$A,FALSE),MATCH(All!Z$1,Spring!$1:$1,FALSE))="","",INDEX(Spring!$1:$1048576,MATCH(All!$A729,Spring!$A:$A,FALSE),MATCH(All!Z$1,Spring!$1:$1,FALSE))),"")</f>
        <v>1A</v>
      </c>
      <c r="AA729" t="str">
        <f>IFERROR(IF(INDEX(Spring!$1:$1048576,MATCH(All!$A729,Spring!$A:$A,FALSE),MATCH(All!AA$1,Spring!$1:$1,FALSE))="","",INDEX(Spring!$1:$1048576,MATCH(All!$A729,Spring!$A:$A,FALSE),MATCH(All!AA$1,Spring!$1:$1,FALSE))),"")</f>
        <v/>
      </c>
      <c r="AB729" t="str">
        <f>IFERROR(IF(INDEX(Spring!$1:$1048576,MATCH(All!$A729,Spring!$A:$A,FALSE),MATCH(All!AB$1,Spring!$1:$1,FALSE))="","",INDEX(Spring!$1:$1048576,MATCH(All!$A729,Spring!$A:$A,FALSE),MATCH(All!AB$1,Spring!$1:$1,FALSE))),"")</f>
        <v>1A</v>
      </c>
      <c r="AC729" t="str">
        <f>IFERROR(IF(INDEX(Spring!$1:$1048576,MATCH(All!$A729,Spring!$A:$A,FALSE),MATCH(All!AC$1,Spring!$1:$1,FALSE))="","",INDEX(Spring!$1:$1048576,MATCH(All!$A729,Spring!$A:$A,FALSE),MATCH(All!AC$1,Spring!$1:$1,FALSE))),"")</f>
        <v>1A</v>
      </c>
      <c r="AD729" t="str">
        <f>IFERROR(VLOOKUP(A729,'Flag Football'!A:A,1,FALSE),"")</f>
        <v/>
      </c>
      <c r="AE729" t="str">
        <f t="shared" si="11"/>
        <v/>
      </c>
    </row>
    <row r="730" spans="1:31" ht="15.75" thickBot="1" x14ac:dyDescent="0.3">
      <c r="A730" s="20" t="s">
        <v>837</v>
      </c>
      <c r="B730" s="38">
        <f>IFERROR(VLOOKUP(A730,'Public v Private'!A:G,3,FALSE),"")</f>
        <v>0</v>
      </c>
      <c r="C730" s="38">
        <f>IFERROR(VLOOKUP(A730,'Public v Private'!A:G,4,FALSE),"")</f>
        <v>0</v>
      </c>
      <c r="D730" s="38">
        <f>IFERROR(VLOOKUP(A730,'Public v Private'!A:G,5,FALSE),"")</f>
        <v>0</v>
      </c>
      <c r="E730" s="38"/>
      <c r="F730" s="40">
        <f>IFERROR(INDEX(Fall!$1:$1048576,MATCH(All!$A730,Fall!$A:$A,FALSE),MATCH(All!F$1,Fall!$1:$1,FALSE)),"N/A")</f>
        <v>189</v>
      </c>
      <c r="G730" t="str">
        <f>IFERROR(IF(INDEX(Fall!$1:$1048576,MATCH(All!$A730,Fall!$A:$A,FALSE),MATCH(All!G$1,Fall!$1:$1,FALSE))="","",INDEX(Fall!$1:$1048576,MATCH(All!$A730,Fall!$A:$A,FALSE),MATCH(All!G$1,Fall!$1:$1,FALSE))),"")</f>
        <v>1A</v>
      </c>
      <c r="H730" t="str">
        <f>IFERROR(IF(INDEX(Fall!$1:$1048576,MATCH(All!$A730,Fall!$A:$A,FALSE),MATCH(All!H$1,Fall!$1:$1,FALSE))="","",INDEX(Fall!$1:$1048576,MATCH(All!$A730,Fall!$A:$A,FALSE),MATCH(All!H$1,Fall!$1:$1,FALSE))),"")</f>
        <v/>
      </c>
      <c r="I730" t="str">
        <f>IFERROR(IF(INDEX(Fall!$1:$1048576,MATCH(All!$A730,Fall!$A:$A,FALSE),MATCH(All!I$1,Fall!$1:$1,FALSE))="","",INDEX(Fall!$1:$1048576,MATCH(All!$A730,Fall!$A:$A,FALSE),MATCH(All!I$1,Fall!$1:$1,FALSE))),"")</f>
        <v>1A</v>
      </c>
      <c r="J730" t="str">
        <f>IFERROR(IF(INDEX(Fall!$1:$1048576,MATCH(All!$A730,Fall!$A:$A,FALSE),MATCH(All!J$1,Fall!$1:$1,FALSE))="","",INDEX(Fall!$1:$1048576,MATCH(All!$A730,Fall!$A:$A,FALSE),MATCH(All!J$1,Fall!$1:$1,FALSE))),"")</f>
        <v>1A</v>
      </c>
      <c r="K730" t="str">
        <f>IFERROR(IF(INDEX(Fall!$1:$1048576,MATCH(All!$A730,Fall!$A:$A,FALSE),MATCH(All!K$1,Fall!$1:$1,FALSE))="","",INDEX(Fall!$1:$1048576,MATCH(All!$A730,Fall!$A:$A,FALSE),MATCH(All!K$1,Fall!$1:$1,FALSE))),"")</f>
        <v/>
      </c>
      <c r="L730" t="str">
        <f>IFERROR(IF(INDEX(Fall!$1:$1048576,MATCH(All!$A730,Fall!$A:$A,FALSE),MATCH(All!L$1,Fall!$1:$1,FALSE))="","",INDEX(Fall!$1:$1048576,MATCH(All!$A730,Fall!$A:$A,FALSE),MATCH(All!L$1,Fall!$1:$1,FALSE))),"")</f>
        <v/>
      </c>
      <c r="M730" t="str">
        <f>IFERROR(IF(INDEX(Fall!$1:$1048576,MATCH(All!$A730,Fall!$A:$A,FALSE),MATCH(All!M$1,Fall!$1:$1,FALSE))="","",INDEX(Fall!$1:$1048576,MATCH(All!$A730,Fall!$A:$A,FALSE),MATCH(All!M$1,Fall!$1:$1,FALSE))),"")</f>
        <v>1A</v>
      </c>
      <c r="O730">
        <f>IFERROR(IF(INDEX(Winter!$1:$1048576,MATCH(All!$A730,Winter!$A:$A,FALSE),MATCH(All!O$1,Winter!$1:$1,FALSE))="","",INDEX(Winter!$1:$1048576,MATCH(All!$A730,Winter!$A:$A,FALSE),MATCH(All!O$1,Winter!$1:$1,FALSE))),"")</f>
        <v>189</v>
      </c>
      <c r="P730" t="str">
        <f>IFERROR(IF(INDEX(Winter!$1:$1048576,MATCH(All!$A730,Winter!$A:$A,FALSE),MATCH(All!P$1,Winter!$1:$1,FALSE))="","",INDEX(Winter!$1:$1048576,MATCH(All!$A730,Winter!$A:$A,FALSE),MATCH(All!P$1,Winter!$1:$1,FALSE))),"")</f>
        <v>1A</v>
      </c>
      <c r="Q730" t="str">
        <f>IFERROR(IF(INDEX(Winter!$1:$1048576,MATCH(All!$A730,Winter!$A:$A,FALSE),MATCH(All!Q$1,Winter!$1:$1,FALSE))="","",INDEX(Winter!$1:$1048576,MATCH(All!$A730,Winter!$A:$A,FALSE),MATCH(All!Q$1,Winter!$1:$1,FALSE))),"")</f>
        <v>1A</v>
      </c>
      <c r="R730" t="str">
        <f>IFERROR(IF(INDEX(Winter!$1:$1048576,MATCH(All!$A730,Winter!$A:$A,FALSE),MATCH(All!R$1,Winter!$1:$1,FALSE))="","",INDEX(Winter!$1:$1048576,MATCH(All!$A730,Winter!$A:$A,FALSE),MATCH(All!R$1,Winter!$1:$1,FALSE))),"")</f>
        <v/>
      </c>
      <c r="S730" t="str">
        <f>IFERROR(IF(INDEX(Winter!$1:$1048576,MATCH(All!$A730,Winter!$A:$A,FALSE),MATCH(All!S$1,Winter!$1:$1,FALSE))="","",INDEX(Winter!$1:$1048576,MATCH(All!$A730,Winter!$A:$A,FALSE),MATCH(All!S$1,Winter!$1:$1,FALSE))),"")</f>
        <v>1A</v>
      </c>
      <c r="T730" t="str">
        <f>IFERROR(IF(INDEX(Winter!$1:$1048576,MATCH(All!$A730,Winter!$A:$A,FALSE),MATCH(All!T$1,Winter!$1:$1,FALSE))="","",INDEX(Winter!$1:$1048576,MATCH(All!$A730,Winter!$A:$A,FALSE),MATCH(All!T$1,Winter!$1:$1,FALSE))),"")</f>
        <v>1A</v>
      </c>
      <c r="U730" t="str">
        <f>IFERROR(IF(INDEX(Winter!$1:$1048576,MATCH(All!$A730,Winter!$A:$A,FALSE),MATCH(All!U$1,Winter!$1:$1,FALSE))="","",INDEX(Winter!$1:$1048576,MATCH(All!$A730,Winter!$A:$A,FALSE),MATCH(All!U$1,Winter!$1:$1,FALSE))),"")</f>
        <v/>
      </c>
      <c r="W730">
        <f>IFERROR(IF(INDEX(Spring!$1:$1048576,MATCH(All!$A730,Spring!$A:$A,FALSE),MATCH(All!W$1,Spring!$1:$1,FALSE))="","",INDEX(Spring!$1:$1048576,MATCH(All!$A730,Spring!$A:$A,FALSE),MATCH(All!W$1,Spring!$1:$1,FALSE))),"")</f>
        <v>189</v>
      </c>
      <c r="X730" t="str">
        <f>IFERROR(IF(INDEX(Spring!$1:$1048576,MATCH(All!$A730,Spring!$A:$A,FALSE),MATCH(All!X$1,Spring!$1:$1,FALSE))="","",INDEX(Spring!$1:$1048576,MATCH(All!$A730,Spring!$A:$A,FALSE),MATCH(All!X$1,Spring!$1:$1,FALSE))),"")</f>
        <v>1A</v>
      </c>
      <c r="Y730" t="str">
        <f>IFERROR(IF(INDEX(Spring!$1:$1048576,MATCH(All!$A730,Spring!$A:$A,FALSE),MATCH(All!Y$1,Spring!$1:$1,FALSE))="","",INDEX(Spring!$1:$1048576,MATCH(All!$A730,Spring!$A:$A,FALSE),MATCH(All!Y$1,Spring!$1:$1,FALSE))),"")</f>
        <v>1A</v>
      </c>
      <c r="Z730" t="str">
        <f>IFERROR(IF(INDEX(Spring!$1:$1048576,MATCH(All!$A730,Spring!$A:$A,FALSE),MATCH(All!Z$1,Spring!$1:$1,FALSE))="","",INDEX(Spring!$1:$1048576,MATCH(All!$A730,Spring!$A:$A,FALSE),MATCH(All!Z$1,Spring!$1:$1,FALSE))),"")</f>
        <v/>
      </c>
      <c r="AA730" t="str">
        <f>IFERROR(IF(INDEX(Spring!$1:$1048576,MATCH(All!$A730,Spring!$A:$A,FALSE),MATCH(All!AA$1,Spring!$1:$1,FALSE))="","",INDEX(Spring!$1:$1048576,MATCH(All!$A730,Spring!$A:$A,FALSE),MATCH(All!AA$1,Spring!$1:$1,FALSE))),"")</f>
        <v/>
      </c>
      <c r="AB730" t="str">
        <f>IFERROR(IF(INDEX(Spring!$1:$1048576,MATCH(All!$A730,Spring!$A:$A,FALSE),MATCH(All!AB$1,Spring!$1:$1,FALSE))="","",INDEX(Spring!$1:$1048576,MATCH(All!$A730,Spring!$A:$A,FALSE),MATCH(All!AB$1,Spring!$1:$1,FALSE))),"")</f>
        <v>1A</v>
      </c>
      <c r="AC730" t="str">
        <f>IFERROR(IF(INDEX(Spring!$1:$1048576,MATCH(All!$A730,Spring!$A:$A,FALSE),MATCH(All!AC$1,Spring!$1:$1,FALSE))="","",INDEX(Spring!$1:$1048576,MATCH(All!$A730,Spring!$A:$A,FALSE),MATCH(All!AC$1,Spring!$1:$1,FALSE))),"")</f>
        <v>1A</v>
      </c>
      <c r="AD730" t="str">
        <f>IFERROR(VLOOKUP(A730,'Flag Football'!A:A,1,FALSE),"")</f>
        <v/>
      </c>
      <c r="AE730" t="str">
        <f t="shared" si="11"/>
        <v/>
      </c>
    </row>
    <row r="731" spans="1:31" ht="15.75" thickBot="1" x14ac:dyDescent="0.3">
      <c r="A731" s="18" t="s">
        <v>838</v>
      </c>
      <c r="B731" s="38" t="str">
        <f>IFERROR(VLOOKUP(A731,'Public v Private'!A:G,3,FALSE),"")</f>
        <v>private</v>
      </c>
      <c r="C731" s="38">
        <f>IFERROR(VLOOKUP(A731,'Public v Private'!A:G,4,FALSE),"")</f>
        <v>3</v>
      </c>
      <c r="D731" s="38">
        <f>IFERROR(VLOOKUP(A731,'Public v Private'!A:G,5,FALSE),"")</f>
        <v>7</v>
      </c>
      <c r="E731" s="38"/>
      <c r="F731" s="40" t="str">
        <f>IFERROR(INDEX(Fall!$1:$1048576,MATCH(All!$A731,Fall!$A:$A,FALSE),MATCH(All!F$1,Fall!$1:$1,FALSE)),"N/A")</f>
        <v>105.00 (173.25)</v>
      </c>
      <c r="G731" t="str">
        <f>IFERROR(IF(INDEX(Fall!$1:$1048576,MATCH(All!$A731,Fall!$A:$A,FALSE),MATCH(All!G$1,Fall!$1:$1,FALSE))="","",INDEX(Fall!$1:$1048576,MATCH(All!$A731,Fall!$A:$A,FALSE),MATCH(All!G$1,Fall!$1:$1,FALSE))),"")</f>
        <v/>
      </c>
      <c r="H731" t="str">
        <f>IFERROR(IF(INDEX(Fall!$1:$1048576,MATCH(All!$A731,Fall!$A:$A,FALSE),MATCH(All!H$1,Fall!$1:$1,FALSE))="","",INDEX(Fall!$1:$1048576,MATCH(All!$A731,Fall!$A:$A,FALSE),MATCH(All!H$1,Fall!$1:$1,FALSE))),"")</f>
        <v/>
      </c>
      <c r="I731" t="str">
        <f>IFERROR(IF(INDEX(Fall!$1:$1048576,MATCH(All!$A731,Fall!$A:$A,FALSE),MATCH(All!I$1,Fall!$1:$1,FALSE))="","",INDEX(Fall!$1:$1048576,MATCH(All!$A731,Fall!$A:$A,FALSE),MATCH(All!I$1,Fall!$1:$1,FALSE))),"")</f>
        <v/>
      </c>
      <c r="J731" t="str">
        <f>IFERROR(IF(INDEX(Fall!$1:$1048576,MATCH(All!$A731,Fall!$A:$A,FALSE),MATCH(All!J$1,Fall!$1:$1,FALSE))="","",INDEX(Fall!$1:$1048576,MATCH(All!$A731,Fall!$A:$A,FALSE),MATCH(All!J$1,Fall!$1:$1,FALSE))),"")</f>
        <v/>
      </c>
      <c r="K731" t="str">
        <f>IFERROR(IF(INDEX(Fall!$1:$1048576,MATCH(All!$A731,Fall!$A:$A,FALSE),MATCH(All!K$1,Fall!$1:$1,FALSE))="","",INDEX(Fall!$1:$1048576,MATCH(All!$A731,Fall!$A:$A,FALSE),MATCH(All!K$1,Fall!$1:$1,FALSE))),"")</f>
        <v>1A</v>
      </c>
      <c r="L731" t="str">
        <f>IFERROR(IF(INDEX(Fall!$1:$1048576,MATCH(All!$A731,Fall!$A:$A,FALSE),MATCH(All!L$1,Fall!$1:$1,FALSE))="","",INDEX(Fall!$1:$1048576,MATCH(All!$A731,Fall!$A:$A,FALSE),MATCH(All!L$1,Fall!$1:$1,FALSE))),"")</f>
        <v/>
      </c>
      <c r="M731" t="str">
        <f>IFERROR(IF(INDEX(Fall!$1:$1048576,MATCH(All!$A731,Fall!$A:$A,FALSE),MATCH(All!M$1,Fall!$1:$1,FALSE))="","",INDEX(Fall!$1:$1048576,MATCH(All!$A731,Fall!$A:$A,FALSE),MATCH(All!M$1,Fall!$1:$1,FALSE))),"")</f>
        <v>1A</v>
      </c>
      <c r="O731" t="str">
        <f>IFERROR(IF(INDEX(Winter!$1:$1048576,MATCH(All!$A731,Winter!$A:$A,FALSE),MATCH(All!O$1,Winter!$1:$1,FALSE))="","",INDEX(Winter!$1:$1048576,MATCH(All!$A731,Winter!$A:$A,FALSE),MATCH(All!O$1,Winter!$1:$1,FALSE))),"")</f>
        <v>105.00 (173.25)</v>
      </c>
      <c r="P731" t="str">
        <f>IFERROR(IF(INDEX(Winter!$1:$1048576,MATCH(All!$A731,Winter!$A:$A,FALSE),MATCH(All!P$1,Winter!$1:$1,FALSE))="","",INDEX(Winter!$1:$1048576,MATCH(All!$A731,Winter!$A:$A,FALSE),MATCH(All!P$1,Winter!$1:$1,FALSE))),"")</f>
        <v>1A</v>
      </c>
      <c r="Q731" t="str">
        <f>IFERROR(IF(INDEX(Winter!$1:$1048576,MATCH(All!$A731,Winter!$A:$A,FALSE),MATCH(All!Q$1,Winter!$1:$1,FALSE))="","",INDEX(Winter!$1:$1048576,MATCH(All!$A731,Winter!$A:$A,FALSE),MATCH(All!Q$1,Winter!$1:$1,FALSE))),"")</f>
        <v>1A</v>
      </c>
      <c r="R731" t="str">
        <f>IFERROR(IF(INDEX(Winter!$1:$1048576,MATCH(All!$A731,Winter!$A:$A,FALSE),MATCH(All!R$1,Winter!$1:$1,FALSE))="","",INDEX(Winter!$1:$1048576,MATCH(All!$A731,Winter!$A:$A,FALSE),MATCH(All!R$1,Winter!$1:$1,FALSE))),"")</f>
        <v/>
      </c>
      <c r="S731" t="str">
        <f>IFERROR(IF(INDEX(Winter!$1:$1048576,MATCH(All!$A731,Winter!$A:$A,FALSE),MATCH(All!S$1,Winter!$1:$1,FALSE))="","",INDEX(Winter!$1:$1048576,MATCH(All!$A731,Winter!$A:$A,FALSE),MATCH(All!S$1,Winter!$1:$1,FALSE))),"")</f>
        <v/>
      </c>
      <c r="T731" t="str">
        <f>IFERROR(IF(INDEX(Winter!$1:$1048576,MATCH(All!$A731,Winter!$A:$A,FALSE),MATCH(All!T$1,Winter!$1:$1,FALSE))="","",INDEX(Winter!$1:$1048576,MATCH(All!$A731,Winter!$A:$A,FALSE),MATCH(All!T$1,Winter!$1:$1,FALSE))),"")</f>
        <v/>
      </c>
      <c r="U731" t="str">
        <f>IFERROR(IF(INDEX(Winter!$1:$1048576,MATCH(All!$A731,Winter!$A:$A,FALSE),MATCH(All!U$1,Winter!$1:$1,FALSE))="","",INDEX(Winter!$1:$1048576,MATCH(All!$A731,Winter!$A:$A,FALSE),MATCH(All!U$1,Winter!$1:$1,FALSE))),"")</f>
        <v/>
      </c>
      <c r="W731" t="str">
        <f>IFERROR(IF(INDEX(Spring!$1:$1048576,MATCH(All!$A731,Spring!$A:$A,FALSE),MATCH(All!W$1,Spring!$1:$1,FALSE))="","",INDEX(Spring!$1:$1048576,MATCH(All!$A731,Spring!$A:$A,FALSE),MATCH(All!W$1,Spring!$1:$1,FALSE))),"")</f>
        <v>105.00 (173.25)</v>
      </c>
      <c r="X731" t="str">
        <f>IFERROR(IF(INDEX(Spring!$1:$1048576,MATCH(All!$A731,Spring!$A:$A,FALSE),MATCH(All!X$1,Spring!$1:$1,FALSE))="","",INDEX(Spring!$1:$1048576,MATCH(All!$A731,Spring!$A:$A,FALSE),MATCH(All!X$1,Spring!$1:$1,FALSE))),"")</f>
        <v/>
      </c>
      <c r="Y731" t="str">
        <f>IFERROR(IF(INDEX(Spring!$1:$1048576,MATCH(All!$A731,Spring!$A:$A,FALSE),MATCH(All!Y$1,Spring!$1:$1,FALSE))="","",INDEX(Spring!$1:$1048576,MATCH(All!$A731,Spring!$A:$A,FALSE),MATCH(All!Y$1,Spring!$1:$1,FALSE))),"")</f>
        <v/>
      </c>
      <c r="Z731" t="str">
        <f>IFERROR(IF(INDEX(Spring!$1:$1048576,MATCH(All!$A731,Spring!$A:$A,FALSE),MATCH(All!Z$1,Spring!$1:$1,FALSE))="","",INDEX(Spring!$1:$1048576,MATCH(All!$A731,Spring!$A:$A,FALSE),MATCH(All!Z$1,Spring!$1:$1,FALSE))),"")</f>
        <v>1A</v>
      </c>
      <c r="AA731" t="str">
        <f>IFERROR(IF(INDEX(Spring!$1:$1048576,MATCH(All!$A731,Spring!$A:$A,FALSE),MATCH(All!AA$1,Spring!$1:$1,FALSE))="","",INDEX(Spring!$1:$1048576,MATCH(All!$A731,Spring!$A:$A,FALSE),MATCH(All!AA$1,Spring!$1:$1,FALSE))),"")</f>
        <v/>
      </c>
      <c r="AB731" t="str">
        <f>IFERROR(IF(INDEX(Spring!$1:$1048576,MATCH(All!$A731,Spring!$A:$A,FALSE),MATCH(All!AB$1,Spring!$1:$1,FALSE))="","",INDEX(Spring!$1:$1048576,MATCH(All!$A731,Spring!$A:$A,FALSE),MATCH(All!AB$1,Spring!$1:$1,FALSE))),"")</f>
        <v/>
      </c>
      <c r="AC731" t="str">
        <f>IFERROR(IF(INDEX(Spring!$1:$1048576,MATCH(All!$A731,Spring!$A:$A,FALSE),MATCH(All!AC$1,Spring!$1:$1,FALSE))="","",INDEX(Spring!$1:$1048576,MATCH(All!$A731,Spring!$A:$A,FALSE),MATCH(All!AC$1,Spring!$1:$1,FALSE))),"")</f>
        <v/>
      </c>
      <c r="AD731" t="str">
        <f>IFERROR(VLOOKUP(A731,'Flag Football'!A:A,1,FALSE),"")</f>
        <v/>
      </c>
      <c r="AE731" t="str">
        <f t="shared" si="11"/>
        <v/>
      </c>
    </row>
    <row r="732" spans="1:31" ht="15.75" thickBot="1" x14ac:dyDescent="0.3">
      <c r="A732" s="20" t="s">
        <v>839</v>
      </c>
      <c r="B732" s="38">
        <f>IFERROR(VLOOKUP(A732,'Public v Private'!A:G,3,FALSE),"")</f>
        <v>0</v>
      </c>
      <c r="C732" s="38">
        <f>IFERROR(VLOOKUP(A732,'Public v Private'!A:G,4,FALSE),"")</f>
        <v>0</v>
      </c>
      <c r="D732" s="38">
        <f>IFERROR(VLOOKUP(A732,'Public v Private'!A:G,5,FALSE),"")</f>
        <v>0</v>
      </c>
      <c r="E732" s="38"/>
      <c r="F732" s="40">
        <f>IFERROR(INDEX(Fall!$1:$1048576,MATCH(All!$A732,Fall!$A:$A,FALSE),MATCH(All!F$1,Fall!$1:$1,FALSE)),"N/A")</f>
        <v>1902</v>
      </c>
      <c r="G732" t="str">
        <f>IFERROR(IF(INDEX(Fall!$1:$1048576,MATCH(All!$A732,Fall!$A:$A,FALSE),MATCH(All!G$1,Fall!$1:$1,FALSE))="","",INDEX(Fall!$1:$1048576,MATCH(All!$A732,Fall!$A:$A,FALSE),MATCH(All!G$1,Fall!$1:$1,FALSE))),"")</f>
        <v>3A</v>
      </c>
      <c r="H732" t="str">
        <f>IFERROR(IF(INDEX(Fall!$1:$1048576,MATCH(All!$A732,Fall!$A:$A,FALSE),MATCH(All!H$1,Fall!$1:$1,FALSE))="","",INDEX(Fall!$1:$1048576,MATCH(All!$A732,Fall!$A:$A,FALSE),MATCH(All!H$1,Fall!$1:$1,FALSE))),"")</f>
        <v>3A</v>
      </c>
      <c r="I732" t="str">
        <f>IFERROR(IF(INDEX(Fall!$1:$1048576,MATCH(All!$A732,Fall!$A:$A,FALSE),MATCH(All!I$1,Fall!$1:$1,FALSE))="","",INDEX(Fall!$1:$1048576,MATCH(All!$A732,Fall!$A:$A,FALSE),MATCH(All!I$1,Fall!$1:$1,FALSE))),"")</f>
        <v>3A</v>
      </c>
      <c r="J732" t="str">
        <f>IFERROR(IF(INDEX(Fall!$1:$1048576,MATCH(All!$A732,Fall!$A:$A,FALSE),MATCH(All!J$1,Fall!$1:$1,FALSE))="","",INDEX(Fall!$1:$1048576,MATCH(All!$A732,Fall!$A:$A,FALSE),MATCH(All!J$1,Fall!$1:$1,FALSE))),"")</f>
        <v>2A</v>
      </c>
      <c r="K732" t="str">
        <f>IFERROR(IF(INDEX(Fall!$1:$1048576,MATCH(All!$A732,Fall!$A:$A,FALSE),MATCH(All!K$1,Fall!$1:$1,FALSE))="","",INDEX(Fall!$1:$1048576,MATCH(All!$A732,Fall!$A:$A,FALSE),MATCH(All!K$1,Fall!$1:$1,FALSE))),"")</f>
        <v>3A</v>
      </c>
      <c r="L732" t="str">
        <f>IFERROR(IF(INDEX(Fall!$1:$1048576,MATCH(All!$A732,Fall!$A:$A,FALSE),MATCH(All!L$1,Fall!$1:$1,FALSE))="","",INDEX(Fall!$1:$1048576,MATCH(All!$A732,Fall!$A:$A,FALSE),MATCH(All!L$1,Fall!$1:$1,FALSE))),"")</f>
        <v>2A</v>
      </c>
      <c r="M732" t="str">
        <f>IFERROR(IF(INDEX(Fall!$1:$1048576,MATCH(All!$A732,Fall!$A:$A,FALSE),MATCH(All!M$1,Fall!$1:$1,FALSE))="","",INDEX(Fall!$1:$1048576,MATCH(All!$A732,Fall!$A:$A,FALSE),MATCH(All!M$1,Fall!$1:$1,FALSE))),"")</f>
        <v>4A</v>
      </c>
      <c r="O732">
        <f>IFERROR(IF(INDEX(Winter!$1:$1048576,MATCH(All!$A732,Winter!$A:$A,FALSE),MATCH(All!O$1,Winter!$1:$1,FALSE))="","",INDEX(Winter!$1:$1048576,MATCH(All!$A732,Winter!$A:$A,FALSE),MATCH(All!O$1,Winter!$1:$1,FALSE))),"")</f>
        <v>1902</v>
      </c>
      <c r="P732" t="str">
        <f>IFERROR(IF(INDEX(Winter!$1:$1048576,MATCH(All!$A732,Winter!$A:$A,FALSE),MATCH(All!P$1,Winter!$1:$1,FALSE))="","",INDEX(Winter!$1:$1048576,MATCH(All!$A732,Winter!$A:$A,FALSE),MATCH(All!P$1,Winter!$1:$1,FALSE))),"")</f>
        <v>4A</v>
      </c>
      <c r="Q732" t="str">
        <f>IFERROR(IF(INDEX(Winter!$1:$1048576,MATCH(All!$A732,Winter!$A:$A,FALSE),MATCH(All!Q$1,Winter!$1:$1,FALSE))="","",INDEX(Winter!$1:$1048576,MATCH(All!$A732,Winter!$A:$A,FALSE),MATCH(All!Q$1,Winter!$1:$1,FALSE))),"")</f>
        <v>4A</v>
      </c>
      <c r="R732" t="str">
        <f>IFERROR(IF(INDEX(Winter!$1:$1048576,MATCH(All!$A732,Winter!$A:$A,FALSE),MATCH(All!R$1,Winter!$1:$1,FALSE))="","",INDEX(Winter!$1:$1048576,MATCH(All!$A732,Winter!$A:$A,FALSE),MATCH(All!R$1,Winter!$1:$1,FALSE))),"")</f>
        <v>3A</v>
      </c>
      <c r="S732" t="str">
        <f>IFERROR(IF(INDEX(Winter!$1:$1048576,MATCH(All!$A732,Winter!$A:$A,FALSE),MATCH(All!S$1,Winter!$1:$1,FALSE))="","",INDEX(Winter!$1:$1048576,MATCH(All!$A732,Winter!$A:$A,FALSE),MATCH(All!S$1,Winter!$1:$1,FALSE))),"")</f>
        <v>2A</v>
      </c>
      <c r="T732" t="str">
        <f>IFERROR(IF(INDEX(Winter!$1:$1048576,MATCH(All!$A732,Winter!$A:$A,FALSE),MATCH(All!T$1,Winter!$1:$1,FALSE))="","",INDEX(Winter!$1:$1048576,MATCH(All!$A732,Winter!$A:$A,FALSE),MATCH(All!T$1,Winter!$1:$1,FALSE))),"")</f>
        <v>2A</v>
      </c>
      <c r="U732" t="str">
        <f>IFERROR(IF(INDEX(Winter!$1:$1048576,MATCH(All!$A732,Winter!$A:$A,FALSE),MATCH(All!U$1,Winter!$1:$1,FALSE))="","",INDEX(Winter!$1:$1048576,MATCH(All!$A732,Winter!$A:$A,FALSE),MATCH(All!U$1,Winter!$1:$1,FALSE))),"")</f>
        <v>3A</v>
      </c>
      <c r="W732">
        <f>IFERROR(IF(INDEX(Spring!$1:$1048576,MATCH(All!$A732,Spring!$A:$A,FALSE),MATCH(All!W$1,Spring!$1:$1,FALSE))="","",INDEX(Spring!$1:$1048576,MATCH(All!$A732,Spring!$A:$A,FALSE),MATCH(All!W$1,Spring!$1:$1,FALSE))),"")</f>
        <v>1902</v>
      </c>
      <c r="X732" t="str">
        <f>IFERROR(IF(INDEX(Spring!$1:$1048576,MATCH(All!$A732,Spring!$A:$A,FALSE),MATCH(All!X$1,Spring!$1:$1,FALSE))="","",INDEX(Spring!$1:$1048576,MATCH(All!$A732,Spring!$A:$A,FALSE),MATCH(All!X$1,Spring!$1:$1,FALSE))),"")</f>
        <v>4A</v>
      </c>
      <c r="Y732" t="str">
        <f>IFERROR(IF(INDEX(Spring!$1:$1048576,MATCH(All!$A732,Spring!$A:$A,FALSE),MATCH(All!Y$1,Spring!$1:$1,FALSE))="","",INDEX(Spring!$1:$1048576,MATCH(All!$A732,Spring!$A:$A,FALSE),MATCH(All!Y$1,Spring!$1:$1,FALSE))),"")</f>
        <v>4A</v>
      </c>
      <c r="Z732" t="str">
        <f>IFERROR(IF(INDEX(Spring!$1:$1048576,MATCH(All!$A732,Spring!$A:$A,FALSE),MATCH(All!Z$1,Spring!$1:$1,FALSE))="","",INDEX(Spring!$1:$1048576,MATCH(All!$A732,Spring!$A:$A,FALSE),MATCH(All!Z$1,Spring!$1:$1,FALSE))),"")</f>
        <v>3A</v>
      </c>
      <c r="AA732" t="str">
        <f>IFERROR(IF(INDEX(Spring!$1:$1048576,MATCH(All!$A732,Spring!$A:$A,FALSE),MATCH(All!AA$1,Spring!$1:$1,FALSE))="","",INDEX(Spring!$1:$1048576,MATCH(All!$A732,Spring!$A:$A,FALSE),MATCH(All!AA$1,Spring!$1:$1,FALSE))),"")</f>
        <v>2A</v>
      </c>
      <c r="AB732" t="str">
        <f>IFERROR(IF(INDEX(Spring!$1:$1048576,MATCH(All!$A732,Spring!$A:$A,FALSE),MATCH(All!AB$1,Spring!$1:$1,FALSE))="","",INDEX(Spring!$1:$1048576,MATCH(All!$A732,Spring!$A:$A,FALSE),MATCH(All!AB$1,Spring!$1:$1,FALSE))),"")</f>
        <v>3A</v>
      </c>
      <c r="AC732" t="str">
        <f>IFERROR(IF(INDEX(Spring!$1:$1048576,MATCH(All!$A732,Spring!$A:$A,FALSE),MATCH(All!AC$1,Spring!$1:$1,FALSE))="","",INDEX(Spring!$1:$1048576,MATCH(All!$A732,Spring!$A:$A,FALSE),MATCH(All!AC$1,Spring!$1:$1,FALSE))),"")</f>
        <v>3A</v>
      </c>
      <c r="AD732" t="str">
        <f>IFERROR(VLOOKUP(A732,'Flag Football'!A:A,1,FALSE),"")</f>
        <v>Villa Park (Willowbrook)</v>
      </c>
      <c r="AE732" t="str">
        <f t="shared" si="11"/>
        <v>1A</v>
      </c>
    </row>
    <row r="733" spans="1:31" ht="15.75" thickBot="1" x14ac:dyDescent="0.3">
      <c r="A733" s="18" t="s">
        <v>840</v>
      </c>
      <c r="B733" s="38">
        <f>IFERROR(VLOOKUP(A733,'Public v Private'!A:G,3,FALSE),"")</f>
        <v>0</v>
      </c>
      <c r="C733" s="38">
        <f>IFERROR(VLOOKUP(A733,'Public v Private'!A:G,4,FALSE),"")</f>
        <v>0</v>
      </c>
      <c r="D733" s="38">
        <f>IFERROR(VLOOKUP(A733,'Public v Private'!A:G,5,FALSE),"")</f>
        <v>0</v>
      </c>
      <c r="E733" s="38"/>
      <c r="F733" s="40">
        <f>IFERROR(INDEX(Fall!$1:$1048576,MATCH(All!$A733,Fall!$A:$A,FALSE),MATCH(All!F$1,Fall!$1:$1,FALSE)),"N/A")</f>
        <v>344</v>
      </c>
      <c r="G733" t="str">
        <f>IFERROR(IF(INDEX(Fall!$1:$1048576,MATCH(All!$A733,Fall!$A:$A,FALSE),MATCH(All!G$1,Fall!$1:$1,FALSE))="","",INDEX(Fall!$1:$1048576,MATCH(All!$A733,Fall!$A:$A,FALSE),MATCH(All!G$1,Fall!$1:$1,FALSE))),"")</f>
        <v/>
      </c>
      <c r="H733" t="str">
        <f>IFERROR(IF(INDEX(Fall!$1:$1048576,MATCH(All!$A733,Fall!$A:$A,FALSE),MATCH(All!H$1,Fall!$1:$1,FALSE))="","",INDEX(Fall!$1:$1048576,MATCH(All!$A733,Fall!$A:$A,FALSE),MATCH(All!H$1,Fall!$1:$1,FALSE))),"")</f>
        <v>1A</v>
      </c>
      <c r="I733" t="str">
        <f>IFERROR(IF(INDEX(Fall!$1:$1048576,MATCH(All!$A733,Fall!$A:$A,FALSE),MATCH(All!I$1,Fall!$1:$1,FALSE))="","",INDEX(Fall!$1:$1048576,MATCH(All!$A733,Fall!$A:$A,FALSE),MATCH(All!I$1,Fall!$1:$1,FALSE))),"")</f>
        <v>1A</v>
      </c>
      <c r="J733" t="str">
        <f>IFERROR(IF(INDEX(Fall!$1:$1048576,MATCH(All!$A733,Fall!$A:$A,FALSE),MATCH(All!J$1,Fall!$1:$1,FALSE))="","",INDEX(Fall!$1:$1048576,MATCH(All!$A733,Fall!$A:$A,FALSE),MATCH(All!J$1,Fall!$1:$1,FALSE))),"")</f>
        <v>1A</v>
      </c>
      <c r="K733" t="str">
        <f>IFERROR(IF(INDEX(Fall!$1:$1048576,MATCH(All!$A733,Fall!$A:$A,FALSE),MATCH(All!K$1,Fall!$1:$1,FALSE))="","",INDEX(Fall!$1:$1048576,MATCH(All!$A733,Fall!$A:$A,FALSE),MATCH(All!K$1,Fall!$1:$1,FALSE))),"")</f>
        <v>1A</v>
      </c>
      <c r="L733" t="str">
        <f>IFERROR(IF(INDEX(Fall!$1:$1048576,MATCH(All!$A733,Fall!$A:$A,FALSE),MATCH(All!L$1,Fall!$1:$1,FALSE))="","",INDEX(Fall!$1:$1048576,MATCH(All!$A733,Fall!$A:$A,FALSE),MATCH(All!L$1,Fall!$1:$1,FALSE))),"")</f>
        <v/>
      </c>
      <c r="M733" t="str">
        <f>IFERROR(IF(INDEX(Fall!$1:$1048576,MATCH(All!$A733,Fall!$A:$A,FALSE),MATCH(All!M$1,Fall!$1:$1,FALSE))="","",INDEX(Fall!$1:$1048576,MATCH(All!$A733,Fall!$A:$A,FALSE),MATCH(All!M$1,Fall!$1:$1,FALSE))),"")</f>
        <v>2A</v>
      </c>
      <c r="O733">
        <f>IFERROR(IF(INDEX(Winter!$1:$1048576,MATCH(All!$A733,Winter!$A:$A,FALSE),MATCH(All!O$1,Winter!$1:$1,FALSE))="","",INDEX(Winter!$1:$1048576,MATCH(All!$A733,Winter!$A:$A,FALSE),MATCH(All!O$1,Winter!$1:$1,FALSE))),"")</f>
        <v>344</v>
      </c>
      <c r="P733" t="str">
        <f>IFERROR(IF(INDEX(Winter!$1:$1048576,MATCH(All!$A733,Winter!$A:$A,FALSE),MATCH(All!P$1,Winter!$1:$1,FALSE))="","",INDEX(Winter!$1:$1048576,MATCH(All!$A733,Winter!$A:$A,FALSE),MATCH(All!P$1,Winter!$1:$1,FALSE))),"")</f>
        <v>2A</v>
      </c>
      <c r="Q733" t="str">
        <f>IFERROR(IF(INDEX(Winter!$1:$1048576,MATCH(All!$A733,Winter!$A:$A,FALSE),MATCH(All!Q$1,Winter!$1:$1,FALSE))="","",INDEX(Winter!$1:$1048576,MATCH(All!$A733,Winter!$A:$A,FALSE),MATCH(All!Q$1,Winter!$1:$1,FALSE))),"")</f>
        <v>2A</v>
      </c>
      <c r="R733" t="str">
        <f>IFERROR(IF(INDEX(Winter!$1:$1048576,MATCH(All!$A733,Winter!$A:$A,FALSE),MATCH(All!R$1,Winter!$1:$1,FALSE))="","",INDEX(Winter!$1:$1048576,MATCH(All!$A733,Winter!$A:$A,FALSE),MATCH(All!R$1,Winter!$1:$1,FALSE))),"")</f>
        <v/>
      </c>
      <c r="S733" t="str">
        <f>IFERROR(IF(INDEX(Winter!$1:$1048576,MATCH(All!$A733,Winter!$A:$A,FALSE),MATCH(All!S$1,Winter!$1:$1,FALSE))="","",INDEX(Winter!$1:$1048576,MATCH(All!$A733,Winter!$A:$A,FALSE),MATCH(All!S$1,Winter!$1:$1,FALSE))),"")</f>
        <v/>
      </c>
      <c r="T733" t="str">
        <f>IFERROR(IF(INDEX(Winter!$1:$1048576,MATCH(All!$A733,Winter!$A:$A,FALSE),MATCH(All!T$1,Winter!$1:$1,FALSE))="","",INDEX(Winter!$1:$1048576,MATCH(All!$A733,Winter!$A:$A,FALSE),MATCH(All!T$1,Winter!$1:$1,FALSE))),"")</f>
        <v>1A</v>
      </c>
      <c r="U733" t="str">
        <f>IFERROR(IF(INDEX(Winter!$1:$1048576,MATCH(All!$A733,Winter!$A:$A,FALSE),MATCH(All!U$1,Winter!$1:$1,FALSE))="","",INDEX(Winter!$1:$1048576,MATCH(All!$A733,Winter!$A:$A,FALSE),MATCH(All!U$1,Winter!$1:$1,FALSE))),"")</f>
        <v>1A</v>
      </c>
      <c r="W733">
        <f>IFERROR(IF(INDEX(Spring!$1:$1048576,MATCH(All!$A733,Spring!$A:$A,FALSE),MATCH(All!W$1,Spring!$1:$1,FALSE))="","",INDEX(Spring!$1:$1048576,MATCH(All!$A733,Spring!$A:$A,FALSE),MATCH(All!W$1,Spring!$1:$1,FALSE))),"")</f>
        <v>344</v>
      </c>
      <c r="X733" t="str">
        <f>IFERROR(IF(INDEX(Spring!$1:$1048576,MATCH(All!$A733,Spring!$A:$A,FALSE),MATCH(All!X$1,Spring!$1:$1,FALSE))="","",INDEX(Spring!$1:$1048576,MATCH(All!$A733,Spring!$A:$A,FALSE),MATCH(All!X$1,Spring!$1:$1,FALSE))),"")</f>
        <v>2A</v>
      </c>
      <c r="Y733" t="str">
        <f>IFERROR(IF(INDEX(Spring!$1:$1048576,MATCH(All!$A733,Spring!$A:$A,FALSE),MATCH(All!Y$1,Spring!$1:$1,FALSE))="","",INDEX(Spring!$1:$1048576,MATCH(All!$A733,Spring!$A:$A,FALSE),MATCH(All!Y$1,Spring!$1:$1,FALSE))),"")</f>
        <v>2A</v>
      </c>
      <c r="Z733" t="str">
        <f>IFERROR(IF(INDEX(Spring!$1:$1048576,MATCH(All!$A733,Spring!$A:$A,FALSE),MATCH(All!Z$1,Spring!$1:$1,FALSE))="","",INDEX(Spring!$1:$1048576,MATCH(All!$A733,Spring!$A:$A,FALSE),MATCH(All!Z$1,Spring!$1:$1,FALSE))),"")</f>
        <v>1A</v>
      </c>
      <c r="AA733" t="str">
        <f>IFERROR(IF(INDEX(Spring!$1:$1048576,MATCH(All!$A733,Spring!$A:$A,FALSE),MATCH(All!AA$1,Spring!$1:$1,FALSE))="","",INDEX(Spring!$1:$1048576,MATCH(All!$A733,Spring!$A:$A,FALSE),MATCH(All!AA$1,Spring!$1:$1,FALSE))),"")</f>
        <v/>
      </c>
      <c r="AB733" t="str">
        <f>IFERROR(IF(INDEX(Spring!$1:$1048576,MATCH(All!$A733,Spring!$A:$A,FALSE),MATCH(All!AB$1,Spring!$1:$1,FALSE))="","",INDEX(Spring!$1:$1048576,MATCH(All!$A733,Spring!$A:$A,FALSE),MATCH(All!AB$1,Spring!$1:$1,FALSE))),"")</f>
        <v>1A</v>
      </c>
      <c r="AC733" t="str">
        <f>IFERROR(IF(INDEX(Spring!$1:$1048576,MATCH(All!$A733,Spring!$A:$A,FALSE),MATCH(All!AC$1,Spring!$1:$1,FALSE))="","",INDEX(Spring!$1:$1048576,MATCH(All!$A733,Spring!$A:$A,FALSE),MATCH(All!AC$1,Spring!$1:$1,FALSE))),"")</f>
        <v>1A</v>
      </c>
      <c r="AD733" t="str">
        <f>IFERROR(VLOOKUP(A733,'Flag Football'!A:A,1,FALSE),"")</f>
        <v/>
      </c>
      <c r="AE733" t="str">
        <f t="shared" si="11"/>
        <v/>
      </c>
    </row>
    <row r="734" spans="1:31" ht="15.75" thickBot="1" x14ac:dyDescent="0.3">
      <c r="A734" s="20" t="s">
        <v>841</v>
      </c>
      <c r="B734" s="38">
        <f>IFERROR(VLOOKUP(A734,'Public v Private'!A:G,3,FALSE),"")</f>
        <v>0</v>
      </c>
      <c r="C734" s="38">
        <f>IFERROR(VLOOKUP(A734,'Public v Private'!A:G,4,FALSE),"")</f>
        <v>0</v>
      </c>
      <c r="D734" s="38">
        <f>IFERROR(VLOOKUP(A734,'Public v Private'!A:G,5,FALSE),"")</f>
        <v>0</v>
      </c>
      <c r="E734" s="38"/>
      <c r="F734" s="40">
        <f>IFERROR(INDEX(Fall!$1:$1048576,MATCH(All!$A734,Fall!$A:$A,FALSE),MATCH(All!F$1,Fall!$1:$1,FALSE)),"N/A")</f>
        <v>78</v>
      </c>
      <c r="G734" t="str">
        <f>IFERROR(IF(INDEX(Fall!$1:$1048576,MATCH(All!$A734,Fall!$A:$A,FALSE),MATCH(All!G$1,Fall!$1:$1,FALSE))="","",INDEX(Fall!$1:$1048576,MATCH(All!$A734,Fall!$A:$A,FALSE),MATCH(All!G$1,Fall!$1:$1,FALSE))),"")</f>
        <v>1A</v>
      </c>
      <c r="H734" t="str">
        <f>IFERROR(IF(INDEX(Fall!$1:$1048576,MATCH(All!$A734,Fall!$A:$A,FALSE),MATCH(All!H$1,Fall!$1:$1,FALSE))="","",INDEX(Fall!$1:$1048576,MATCH(All!$A734,Fall!$A:$A,FALSE),MATCH(All!H$1,Fall!$1:$1,FALSE))),"")</f>
        <v>1A</v>
      </c>
      <c r="I734" t="str">
        <f>IFERROR(IF(INDEX(Fall!$1:$1048576,MATCH(All!$A734,Fall!$A:$A,FALSE),MATCH(All!I$1,Fall!$1:$1,FALSE))="","",INDEX(Fall!$1:$1048576,MATCH(All!$A734,Fall!$A:$A,FALSE),MATCH(All!I$1,Fall!$1:$1,FALSE))),"")</f>
        <v>1A</v>
      </c>
      <c r="J734" t="str">
        <f>IFERROR(IF(INDEX(Fall!$1:$1048576,MATCH(All!$A734,Fall!$A:$A,FALSE),MATCH(All!J$1,Fall!$1:$1,FALSE))="","",INDEX(Fall!$1:$1048576,MATCH(All!$A734,Fall!$A:$A,FALSE),MATCH(All!J$1,Fall!$1:$1,FALSE))),"")</f>
        <v/>
      </c>
      <c r="K734" t="str">
        <f>IFERROR(IF(INDEX(Fall!$1:$1048576,MATCH(All!$A734,Fall!$A:$A,FALSE),MATCH(All!K$1,Fall!$1:$1,FALSE))="","",INDEX(Fall!$1:$1048576,MATCH(All!$A734,Fall!$A:$A,FALSE),MATCH(All!K$1,Fall!$1:$1,FALSE))),"")</f>
        <v/>
      </c>
      <c r="L734" t="str">
        <f>IFERROR(IF(INDEX(Fall!$1:$1048576,MATCH(All!$A734,Fall!$A:$A,FALSE),MATCH(All!L$1,Fall!$1:$1,FALSE))="","",INDEX(Fall!$1:$1048576,MATCH(All!$A734,Fall!$A:$A,FALSE),MATCH(All!L$1,Fall!$1:$1,FALSE))),"")</f>
        <v/>
      </c>
      <c r="M734" t="str">
        <f>IFERROR(IF(INDEX(Fall!$1:$1048576,MATCH(All!$A734,Fall!$A:$A,FALSE),MATCH(All!M$1,Fall!$1:$1,FALSE))="","",INDEX(Fall!$1:$1048576,MATCH(All!$A734,Fall!$A:$A,FALSE),MATCH(All!M$1,Fall!$1:$1,FALSE))),"")</f>
        <v/>
      </c>
      <c r="O734">
        <f>IFERROR(IF(INDEX(Winter!$1:$1048576,MATCH(All!$A734,Winter!$A:$A,FALSE),MATCH(All!O$1,Winter!$1:$1,FALSE))="","",INDEX(Winter!$1:$1048576,MATCH(All!$A734,Winter!$A:$A,FALSE),MATCH(All!O$1,Winter!$1:$1,FALSE))),"")</f>
        <v>78</v>
      </c>
      <c r="P734" t="str">
        <f>IFERROR(IF(INDEX(Winter!$1:$1048576,MATCH(All!$A734,Winter!$A:$A,FALSE),MATCH(All!P$1,Winter!$1:$1,FALSE))="","",INDEX(Winter!$1:$1048576,MATCH(All!$A734,Winter!$A:$A,FALSE),MATCH(All!P$1,Winter!$1:$1,FALSE))),"")</f>
        <v/>
      </c>
      <c r="Q734" t="str">
        <f>IFERROR(IF(INDEX(Winter!$1:$1048576,MATCH(All!$A734,Winter!$A:$A,FALSE),MATCH(All!Q$1,Winter!$1:$1,FALSE))="","",INDEX(Winter!$1:$1048576,MATCH(All!$A734,Winter!$A:$A,FALSE),MATCH(All!Q$1,Winter!$1:$1,FALSE))),"")</f>
        <v/>
      </c>
      <c r="R734" t="str">
        <f>IFERROR(IF(INDEX(Winter!$1:$1048576,MATCH(All!$A734,Winter!$A:$A,FALSE),MATCH(All!R$1,Winter!$1:$1,FALSE))="","",INDEX(Winter!$1:$1048576,MATCH(All!$A734,Winter!$A:$A,FALSE),MATCH(All!R$1,Winter!$1:$1,FALSE))),"")</f>
        <v/>
      </c>
      <c r="S734" t="str">
        <f>IFERROR(IF(INDEX(Winter!$1:$1048576,MATCH(All!$A734,Winter!$A:$A,FALSE),MATCH(All!S$1,Winter!$1:$1,FALSE))="","",INDEX(Winter!$1:$1048576,MATCH(All!$A734,Winter!$A:$A,FALSE),MATCH(All!S$1,Winter!$1:$1,FALSE))),"")</f>
        <v/>
      </c>
      <c r="T734" t="str">
        <f>IFERROR(IF(INDEX(Winter!$1:$1048576,MATCH(All!$A734,Winter!$A:$A,FALSE),MATCH(All!T$1,Winter!$1:$1,FALSE))="","",INDEX(Winter!$1:$1048576,MATCH(All!$A734,Winter!$A:$A,FALSE),MATCH(All!T$1,Winter!$1:$1,FALSE))),"")</f>
        <v>1A</v>
      </c>
      <c r="U734" t="str">
        <f>IFERROR(IF(INDEX(Winter!$1:$1048576,MATCH(All!$A734,Winter!$A:$A,FALSE),MATCH(All!U$1,Winter!$1:$1,FALSE))="","",INDEX(Winter!$1:$1048576,MATCH(All!$A734,Winter!$A:$A,FALSE),MATCH(All!U$1,Winter!$1:$1,FALSE))),"")</f>
        <v/>
      </c>
      <c r="W734">
        <f>IFERROR(IF(INDEX(Spring!$1:$1048576,MATCH(All!$A734,Spring!$A:$A,FALSE),MATCH(All!W$1,Spring!$1:$1,FALSE))="","",INDEX(Spring!$1:$1048576,MATCH(All!$A734,Spring!$A:$A,FALSE),MATCH(All!W$1,Spring!$1:$1,FALSE))),"")</f>
        <v>78</v>
      </c>
      <c r="X734" t="str">
        <f>IFERROR(IF(INDEX(Spring!$1:$1048576,MATCH(All!$A734,Spring!$A:$A,FALSE),MATCH(All!X$1,Spring!$1:$1,FALSE))="","",INDEX(Spring!$1:$1048576,MATCH(All!$A734,Spring!$A:$A,FALSE),MATCH(All!X$1,Spring!$1:$1,FALSE))),"")</f>
        <v/>
      </c>
      <c r="Y734" t="str">
        <f>IFERROR(IF(INDEX(Spring!$1:$1048576,MATCH(All!$A734,Spring!$A:$A,FALSE),MATCH(All!Y$1,Spring!$1:$1,FALSE))="","",INDEX(Spring!$1:$1048576,MATCH(All!$A734,Spring!$A:$A,FALSE),MATCH(All!Y$1,Spring!$1:$1,FALSE))),"")</f>
        <v/>
      </c>
      <c r="Z734" t="str">
        <f>IFERROR(IF(INDEX(Spring!$1:$1048576,MATCH(All!$A734,Spring!$A:$A,FALSE),MATCH(All!Z$1,Spring!$1:$1,FALSE))="","",INDEX(Spring!$1:$1048576,MATCH(All!$A734,Spring!$A:$A,FALSE),MATCH(All!Z$1,Spring!$1:$1,FALSE))),"")</f>
        <v/>
      </c>
      <c r="AA734" t="str">
        <f>IFERROR(IF(INDEX(Spring!$1:$1048576,MATCH(All!$A734,Spring!$A:$A,FALSE),MATCH(All!AA$1,Spring!$1:$1,FALSE))="","",INDEX(Spring!$1:$1048576,MATCH(All!$A734,Spring!$A:$A,FALSE),MATCH(All!AA$1,Spring!$1:$1,FALSE))),"")</f>
        <v/>
      </c>
      <c r="AB734" t="str">
        <f>IFERROR(IF(INDEX(Spring!$1:$1048576,MATCH(All!$A734,Spring!$A:$A,FALSE),MATCH(All!AB$1,Spring!$1:$1,FALSE))="","",INDEX(Spring!$1:$1048576,MATCH(All!$A734,Spring!$A:$A,FALSE),MATCH(All!AB$1,Spring!$1:$1,FALSE))),"")</f>
        <v>1A</v>
      </c>
      <c r="AC734" t="str">
        <f>IFERROR(IF(INDEX(Spring!$1:$1048576,MATCH(All!$A734,Spring!$A:$A,FALSE),MATCH(All!AC$1,Spring!$1:$1,FALSE))="","",INDEX(Spring!$1:$1048576,MATCH(All!$A734,Spring!$A:$A,FALSE),MATCH(All!AC$1,Spring!$1:$1,FALSE))),"")</f>
        <v>1A</v>
      </c>
      <c r="AD734" t="str">
        <f>IFERROR(VLOOKUP(A734,'Flag Football'!A:A,1,FALSE),"")</f>
        <v/>
      </c>
      <c r="AE734" t="str">
        <f t="shared" si="11"/>
        <v/>
      </c>
    </row>
    <row r="735" spans="1:31" ht="15.75" thickBot="1" x14ac:dyDescent="0.3">
      <c r="A735" s="18" t="s">
        <v>842</v>
      </c>
      <c r="B735" s="38">
        <f>IFERROR(VLOOKUP(A735,'Public v Private'!A:G,3,FALSE),"")</f>
        <v>0</v>
      </c>
      <c r="C735" s="38">
        <f>IFERROR(VLOOKUP(A735,'Public v Private'!A:G,4,FALSE),"")</f>
        <v>0</v>
      </c>
      <c r="D735" s="38">
        <f>IFERROR(VLOOKUP(A735,'Public v Private'!A:G,5,FALSE),"")</f>
        <v>0</v>
      </c>
      <c r="E735" s="38"/>
      <c r="F735" s="40">
        <f>IFERROR(INDEX(Fall!$1:$1048576,MATCH(All!$A735,Fall!$A:$A,FALSE),MATCH(All!F$1,Fall!$1:$1,FALSE)),"N/A")</f>
        <v>95</v>
      </c>
      <c r="G735" t="str">
        <f>IFERROR(IF(INDEX(Fall!$1:$1048576,MATCH(All!$A735,Fall!$A:$A,FALSE),MATCH(All!G$1,Fall!$1:$1,FALSE))="","",INDEX(Fall!$1:$1048576,MATCH(All!$A735,Fall!$A:$A,FALSE),MATCH(All!G$1,Fall!$1:$1,FALSE))),"")</f>
        <v/>
      </c>
      <c r="H735" t="str">
        <f>IFERROR(IF(INDEX(Fall!$1:$1048576,MATCH(All!$A735,Fall!$A:$A,FALSE),MATCH(All!H$1,Fall!$1:$1,FALSE))="","",INDEX(Fall!$1:$1048576,MATCH(All!$A735,Fall!$A:$A,FALSE),MATCH(All!H$1,Fall!$1:$1,FALSE))),"")</f>
        <v/>
      </c>
      <c r="I735" t="str">
        <f>IFERROR(IF(INDEX(Fall!$1:$1048576,MATCH(All!$A735,Fall!$A:$A,FALSE),MATCH(All!I$1,Fall!$1:$1,FALSE))="","",INDEX(Fall!$1:$1048576,MATCH(All!$A735,Fall!$A:$A,FALSE),MATCH(All!I$1,Fall!$1:$1,FALSE))),"")</f>
        <v>1A</v>
      </c>
      <c r="J735" t="str">
        <f>IFERROR(IF(INDEX(Fall!$1:$1048576,MATCH(All!$A735,Fall!$A:$A,FALSE),MATCH(All!J$1,Fall!$1:$1,FALSE))="","",INDEX(Fall!$1:$1048576,MATCH(All!$A735,Fall!$A:$A,FALSE),MATCH(All!J$1,Fall!$1:$1,FALSE))),"")</f>
        <v>1A</v>
      </c>
      <c r="K735" t="str">
        <f>IFERROR(IF(INDEX(Fall!$1:$1048576,MATCH(All!$A735,Fall!$A:$A,FALSE),MATCH(All!K$1,Fall!$1:$1,FALSE))="","",INDEX(Fall!$1:$1048576,MATCH(All!$A735,Fall!$A:$A,FALSE),MATCH(All!K$1,Fall!$1:$1,FALSE))),"")</f>
        <v/>
      </c>
      <c r="L735" t="str">
        <f>IFERROR(IF(INDEX(Fall!$1:$1048576,MATCH(All!$A735,Fall!$A:$A,FALSE),MATCH(All!L$1,Fall!$1:$1,FALSE))="","",INDEX(Fall!$1:$1048576,MATCH(All!$A735,Fall!$A:$A,FALSE),MATCH(All!L$1,Fall!$1:$1,FALSE))),"")</f>
        <v/>
      </c>
      <c r="M735" t="str">
        <f>IFERROR(IF(INDEX(Fall!$1:$1048576,MATCH(All!$A735,Fall!$A:$A,FALSE),MATCH(All!M$1,Fall!$1:$1,FALSE))="","",INDEX(Fall!$1:$1048576,MATCH(All!$A735,Fall!$A:$A,FALSE),MATCH(All!M$1,Fall!$1:$1,FALSE))),"")</f>
        <v/>
      </c>
      <c r="O735">
        <f>IFERROR(IF(INDEX(Winter!$1:$1048576,MATCH(All!$A735,Winter!$A:$A,FALSE),MATCH(All!O$1,Winter!$1:$1,FALSE))="","",INDEX(Winter!$1:$1048576,MATCH(All!$A735,Winter!$A:$A,FALSE),MATCH(All!O$1,Winter!$1:$1,FALSE))),"")</f>
        <v>95</v>
      </c>
      <c r="P735" t="str">
        <f>IFERROR(IF(INDEX(Winter!$1:$1048576,MATCH(All!$A735,Winter!$A:$A,FALSE),MATCH(All!P$1,Winter!$1:$1,FALSE))="","",INDEX(Winter!$1:$1048576,MATCH(All!$A735,Winter!$A:$A,FALSE),MATCH(All!P$1,Winter!$1:$1,FALSE))),"")</f>
        <v>1A</v>
      </c>
      <c r="Q735" t="str">
        <f>IFERROR(IF(INDEX(Winter!$1:$1048576,MATCH(All!$A735,Winter!$A:$A,FALSE),MATCH(All!Q$1,Winter!$1:$1,FALSE))="","",INDEX(Winter!$1:$1048576,MATCH(All!$A735,Winter!$A:$A,FALSE),MATCH(All!Q$1,Winter!$1:$1,FALSE))),"")</f>
        <v/>
      </c>
      <c r="R735" t="str">
        <f>IFERROR(IF(INDEX(Winter!$1:$1048576,MATCH(All!$A735,Winter!$A:$A,FALSE),MATCH(All!R$1,Winter!$1:$1,FALSE))="","",INDEX(Winter!$1:$1048576,MATCH(All!$A735,Winter!$A:$A,FALSE),MATCH(All!R$1,Winter!$1:$1,FALSE))),"")</f>
        <v/>
      </c>
      <c r="S735" t="str">
        <f>IFERROR(IF(INDEX(Winter!$1:$1048576,MATCH(All!$A735,Winter!$A:$A,FALSE),MATCH(All!S$1,Winter!$1:$1,FALSE))="","",INDEX(Winter!$1:$1048576,MATCH(All!$A735,Winter!$A:$A,FALSE),MATCH(All!S$1,Winter!$1:$1,FALSE))),"")</f>
        <v/>
      </c>
      <c r="T735" t="str">
        <f>IFERROR(IF(INDEX(Winter!$1:$1048576,MATCH(All!$A735,Winter!$A:$A,FALSE),MATCH(All!T$1,Winter!$1:$1,FALSE))="","",INDEX(Winter!$1:$1048576,MATCH(All!$A735,Winter!$A:$A,FALSE),MATCH(All!T$1,Winter!$1:$1,FALSE))),"")</f>
        <v/>
      </c>
      <c r="U735" t="str">
        <f>IFERROR(IF(INDEX(Winter!$1:$1048576,MATCH(All!$A735,Winter!$A:$A,FALSE),MATCH(All!U$1,Winter!$1:$1,FALSE))="","",INDEX(Winter!$1:$1048576,MATCH(All!$A735,Winter!$A:$A,FALSE),MATCH(All!U$1,Winter!$1:$1,FALSE))),"")</f>
        <v/>
      </c>
      <c r="W735">
        <f>IFERROR(IF(INDEX(Spring!$1:$1048576,MATCH(All!$A735,Spring!$A:$A,FALSE),MATCH(All!W$1,Spring!$1:$1,FALSE))="","",INDEX(Spring!$1:$1048576,MATCH(All!$A735,Spring!$A:$A,FALSE),MATCH(All!W$1,Spring!$1:$1,FALSE))),"")</f>
        <v>95</v>
      </c>
      <c r="X735" t="str">
        <f>IFERROR(IF(INDEX(Spring!$1:$1048576,MATCH(All!$A735,Spring!$A:$A,FALSE),MATCH(All!X$1,Spring!$1:$1,FALSE))="","",INDEX(Spring!$1:$1048576,MATCH(All!$A735,Spring!$A:$A,FALSE),MATCH(All!X$1,Spring!$1:$1,FALSE))),"")</f>
        <v>1A</v>
      </c>
      <c r="Y735" t="str">
        <f>IFERROR(IF(INDEX(Spring!$1:$1048576,MATCH(All!$A735,Spring!$A:$A,FALSE),MATCH(All!Y$1,Spring!$1:$1,FALSE))="","",INDEX(Spring!$1:$1048576,MATCH(All!$A735,Spring!$A:$A,FALSE),MATCH(All!Y$1,Spring!$1:$1,FALSE))),"")</f>
        <v>1A</v>
      </c>
      <c r="Z735" t="str">
        <f>IFERROR(IF(INDEX(Spring!$1:$1048576,MATCH(All!$A735,Spring!$A:$A,FALSE),MATCH(All!Z$1,Spring!$1:$1,FALSE))="","",INDEX(Spring!$1:$1048576,MATCH(All!$A735,Spring!$A:$A,FALSE),MATCH(All!Z$1,Spring!$1:$1,FALSE))),"")</f>
        <v/>
      </c>
      <c r="AA735" t="str">
        <f>IFERROR(IF(INDEX(Spring!$1:$1048576,MATCH(All!$A735,Spring!$A:$A,FALSE),MATCH(All!AA$1,Spring!$1:$1,FALSE))="","",INDEX(Spring!$1:$1048576,MATCH(All!$A735,Spring!$A:$A,FALSE),MATCH(All!AA$1,Spring!$1:$1,FALSE))),"")</f>
        <v/>
      </c>
      <c r="AB735" t="str">
        <f>IFERROR(IF(INDEX(Spring!$1:$1048576,MATCH(All!$A735,Spring!$A:$A,FALSE),MATCH(All!AB$1,Spring!$1:$1,FALSE))="","",INDEX(Spring!$1:$1048576,MATCH(All!$A735,Spring!$A:$A,FALSE),MATCH(All!AB$1,Spring!$1:$1,FALSE))),"")</f>
        <v/>
      </c>
      <c r="AC735" t="str">
        <f>IFERROR(IF(INDEX(Spring!$1:$1048576,MATCH(All!$A735,Spring!$A:$A,FALSE),MATCH(All!AC$1,Spring!$1:$1,FALSE))="","",INDEX(Spring!$1:$1048576,MATCH(All!$A735,Spring!$A:$A,FALSE),MATCH(All!AC$1,Spring!$1:$1,FALSE))),"")</f>
        <v/>
      </c>
      <c r="AD735" t="str">
        <f>IFERROR(VLOOKUP(A735,'Flag Football'!A:A,1,FALSE),"")</f>
        <v/>
      </c>
      <c r="AE735" t="str">
        <f t="shared" si="11"/>
        <v/>
      </c>
    </row>
    <row r="736" spans="1:31" ht="15.75" thickBot="1" x14ac:dyDescent="0.3">
      <c r="A736" s="20" t="s">
        <v>843</v>
      </c>
      <c r="B736" s="38">
        <f>IFERROR(VLOOKUP(A736,'Public v Private'!A:G,3,FALSE),"")</f>
        <v>0</v>
      </c>
      <c r="C736" s="38">
        <f>IFERROR(VLOOKUP(A736,'Public v Private'!A:G,4,FALSE),"")</f>
        <v>0</v>
      </c>
      <c r="D736" s="38">
        <f>IFERROR(VLOOKUP(A736,'Public v Private'!A:G,5,FALSE),"")</f>
        <v>0</v>
      </c>
      <c r="E736" s="38"/>
      <c r="F736" s="40">
        <f>IFERROR(INDEX(Fall!$1:$1048576,MATCH(All!$A736,Fall!$A:$A,FALSE),MATCH(All!F$1,Fall!$1:$1,FALSE)),"N/A")</f>
        <v>105</v>
      </c>
      <c r="G736" t="str">
        <f>IFERROR(IF(INDEX(Fall!$1:$1048576,MATCH(All!$A736,Fall!$A:$A,FALSE),MATCH(All!G$1,Fall!$1:$1,FALSE))="","",INDEX(Fall!$1:$1048576,MATCH(All!$A736,Fall!$A:$A,FALSE),MATCH(All!G$1,Fall!$1:$1,FALSE))),"")</f>
        <v/>
      </c>
      <c r="H736" t="str">
        <f>IFERROR(IF(INDEX(Fall!$1:$1048576,MATCH(All!$A736,Fall!$A:$A,FALSE),MATCH(All!H$1,Fall!$1:$1,FALSE))="","",INDEX(Fall!$1:$1048576,MATCH(All!$A736,Fall!$A:$A,FALSE),MATCH(All!H$1,Fall!$1:$1,FALSE))),"")</f>
        <v/>
      </c>
      <c r="I736" t="str">
        <f>IFERROR(IF(INDEX(Fall!$1:$1048576,MATCH(All!$A736,Fall!$A:$A,FALSE),MATCH(All!I$1,Fall!$1:$1,FALSE))="","",INDEX(Fall!$1:$1048576,MATCH(All!$A736,Fall!$A:$A,FALSE),MATCH(All!I$1,Fall!$1:$1,FALSE))),"")</f>
        <v>1A</v>
      </c>
      <c r="J736" t="str">
        <f>IFERROR(IF(INDEX(Fall!$1:$1048576,MATCH(All!$A736,Fall!$A:$A,FALSE),MATCH(All!J$1,Fall!$1:$1,FALSE))="","",INDEX(Fall!$1:$1048576,MATCH(All!$A736,Fall!$A:$A,FALSE),MATCH(All!J$1,Fall!$1:$1,FALSE))),"")</f>
        <v/>
      </c>
      <c r="K736" t="str">
        <f>IFERROR(IF(INDEX(Fall!$1:$1048576,MATCH(All!$A736,Fall!$A:$A,FALSE),MATCH(All!K$1,Fall!$1:$1,FALSE))="","",INDEX(Fall!$1:$1048576,MATCH(All!$A736,Fall!$A:$A,FALSE),MATCH(All!K$1,Fall!$1:$1,FALSE))),"")</f>
        <v/>
      </c>
      <c r="L736" t="str">
        <f>IFERROR(IF(INDEX(Fall!$1:$1048576,MATCH(All!$A736,Fall!$A:$A,FALSE),MATCH(All!L$1,Fall!$1:$1,FALSE))="","",INDEX(Fall!$1:$1048576,MATCH(All!$A736,Fall!$A:$A,FALSE),MATCH(All!L$1,Fall!$1:$1,FALSE))),"")</f>
        <v/>
      </c>
      <c r="M736" t="str">
        <f>IFERROR(IF(INDEX(Fall!$1:$1048576,MATCH(All!$A736,Fall!$A:$A,FALSE),MATCH(All!M$1,Fall!$1:$1,FALSE))="","",INDEX(Fall!$1:$1048576,MATCH(All!$A736,Fall!$A:$A,FALSE),MATCH(All!M$1,Fall!$1:$1,FALSE))),"")</f>
        <v>1A</v>
      </c>
      <c r="O736">
        <f>IFERROR(IF(INDEX(Winter!$1:$1048576,MATCH(All!$A736,Winter!$A:$A,FALSE),MATCH(All!O$1,Winter!$1:$1,FALSE))="","",INDEX(Winter!$1:$1048576,MATCH(All!$A736,Winter!$A:$A,FALSE),MATCH(All!O$1,Winter!$1:$1,FALSE))),"")</f>
        <v>105</v>
      </c>
      <c r="P736" t="str">
        <f>IFERROR(IF(INDEX(Winter!$1:$1048576,MATCH(All!$A736,Winter!$A:$A,FALSE),MATCH(All!P$1,Winter!$1:$1,FALSE))="","",INDEX(Winter!$1:$1048576,MATCH(All!$A736,Winter!$A:$A,FALSE),MATCH(All!P$1,Winter!$1:$1,FALSE))),"")</f>
        <v>1A</v>
      </c>
      <c r="Q736" t="str">
        <f>IFERROR(IF(INDEX(Winter!$1:$1048576,MATCH(All!$A736,Winter!$A:$A,FALSE),MATCH(All!Q$1,Winter!$1:$1,FALSE))="","",INDEX(Winter!$1:$1048576,MATCH(All!$A736,Winter!$A:$A,FALSE),MATCH(All!Q$1,Winter!$1:$1,FALSE))),"")</f>
        <v>1A</v>
      </c>
      <c r="R736" t="str">
        <f>IFERROR(IF(INDEX(Winter!$1:$1048576,MATCH(All!$A736,Winter!$A:$A,FALSE),MATCH(All!R$1,Winter!$1:$1,FALSE))="","",INDEX(Winter!$1:$1048576,MATCH(All!$A736,Winter!$A:$A,FALSE),MATCH(All!R$1,Winter!$1:$1,FALSE))),"")</f>
        <v/>
      </c>
      <c r="S736" t="str">
        <f>IFERROR(IF(INDEX(Winter!$1:$1048576,MATCH(All!$A736,Winter!$A:$A,FALSE),MATCH(All!S$1,Winter!$1:$1,FALSE))="","",INDEX(Winter!$1:$1048576,MATCH(All!$A736,Winter!$A:$A,FALSE),MATCH(All!S$1,Winter!$1:$1,FALSE))),"")</f>
        <v/>
      </c>
      <c r="T736" t="str">
        <f>IFERROR(IF(INDEX(Winter!$1:$1048576,MATCH(All!$A736,Winter!$A:$A,FALSE),MATCH(All!T$1,Winter!$1:$1,FALSE))="","",INDEX(Winter!$1:$1048576,MATCH(All!$A736,Winter!$A:$A,FALSE),MATCH(All!T$1,Winter!$1:$1,FALSE))),"")</f>
        <v>1A</v>
      </c>
      <c r="U736" t="str">
        <f>IFERROR(IF(INDEX(Winter!$1:$1048576,MATCH(All!$A736,Winter!$A:$A,FALSE),MATCH(All!U$1,Winter!$1:$1,FALSE))="","",INDEX(Winter!$1:$1048576,MATCH(All!$A736,Winter!$A:$A,FALSE),MATCH(All!U$1,Winter!$1:$1,FALSE))),"")</f>
        <v/>
      </c>
      <c r="W736">
        <f>IFERROR(IF(INDEX(Spring!$1:$1048576,MATCH(All!$A736,Spring!$A:$A,FALSE),MATCH(All!W$1,Spring!$1:$1,FALSE))="","",INDEX(Spring!$1:$1048576,MATCH(All!$A736,Spring!$A:$A,FALSE),MATCH(All!W$1,Spring!$1:$1,FALSE))),"")</f>
        <v>105</v>
      </c>
      <c r="X736" t="str">
        <f>IFERROR(IF(INDEX(Spring!$1:$1048576,MATCH(All!$A736,Spring!$A:$A,FALSE),MATCH(All!X$1,Spring!$1:$1,FALSE))="","",INDEX(Spring!$1:$1048576,MATCH(All!$A736,Spring!$A:$A,FALSE),MATCH(All!X$1,Spring!$1:$1,FALSE))),"")</f>
        <v>1A</v>
      </c>
      <c r="Y736" t="str">
        <f>IFERROR(IF(INDEX(Spring!$1:$1048576,MATCH(All!$A736,Spring!$A:$A,FALSE),MATCH(All!Y$1,Spring!$1:$1,FALSE))="","",INDEX(Spring!$1:$1048576,MATCH(All!$A736,Spring!$A:$A,FALSE),MATCH(All!Y$1,Spring!$1:$1,FALSE))),"")</f>
        <v/>
      </c>
      <c r="Z736" t="str">
        <f>IFERROR(IF(INDEX(Spring!$1:$1048576,MATCH(All!$A736,Spring!$A:$A,FALSE),MATCH(All!Z$1,Spring!$1:$1,FALSE))="","",INDEX(Spring!$1:$1048576,MATCH(All!$A736,Spring!$A:$A,FALSE),MATCH(All!Z$1,Spring!$1:$1,FALSE))),"")</f>
        <v/>
      </c>
      <c r="AA736" t="str">
        <f>IFERROR(IF(INDEX(Spring!$1:$1048576,MATCH(All!$A736,Spring!$A:$A,FALSE),MATCH(All!AA$1,Spring!$1:$1,FALSE))="","",INDEX(Spring!$1:$1048576,MATCH(All!$A736,Spring!$A:$A,FALSE),MATCH(All!AA$1,Spring!$1:$1,FALSE))),"")</f>
        <v/>
      </c>
      <c r="AB736" t="str">
        <f>IFERROR(IF(INDEX(Spring!$1:$1048576,MATCH(All!$A736,Spring!$A:$A,FALSE),MATCH(All!AB$1,Spring!$1:$1,FALSE))="","",INDEX(Spring!$1:$1048576,MATCH(All!$A736,Spring!$A:$A,FALSE),MATCH(All!AB$1,Spring!$1:$1,FALSE))),"")</f>
        <v/>
      </c>
      <c r="AC736" t="str">
        <f>IFERROR(IF(INDEX(Spring!$1:$1048576,MATCH(All!$A736,Spring!$A:$A,FALSE),MATCH(All!AC$1,Spring!$1:$1,FALSE))="","",INDEX(Spring!$1:$1048576,MATCH(All!$A736,Spring!$A:$A,FALSE),MATCH(All!AC$1,Spring!$1:$1,FALSE))),"")</f>
        <v/>
      </c>
      <c r="AD736" t="str">
        <f>IFERROR(VLOOKUP(A736,'Flag Football'!A:A,1,FALSE),"")</f>
        <v/>
      </c>
      <c r="AE736" t="str">
        <f t="shared" si="11"/>
        <v/>
      </c>
    </row>
    <row r="737" spans="1:31" ht="15.75" thickBot="1" x14ac:dyDescent="0.3">
      <c r="A737" s="18" t="s">
        <v>844</v>
      </c>
      <c r="B737" s="38">
        <f>IFERROR(VLOOKUP(A737,'Public v Private'!A:G,3,FALSE),"")</f>
        <v>0</v>
      </c>
      <c r="C737" s="38">
        <f>IFERROR(VLOOKUP(A737,'Public v Private'!A:G,4,FALSE),"")</f>
        <v>0</v>
      </c>
      <c r="D737" s="38">
        <f>IFERROR(VLOOKUP(A737,'Public v Private'!A:G,5,FALSE),"")</f>
        <v>0</v>
      </c>
      <c r="E737" s="38"/>
      <c r="F737" s="40">
        <f>IFERROR(INDEX(Fall!$1:$1048576,MATCH(All!$A737,Fall!$A:$A,FALSE),MATCH(All!F$1,Fall!$1:$1,FALSE)),"N/A")</f>
        <v>328</v>
      </c>
      <c r="G737" t="str">
        <f>IFERROR(IF(INDEX(Fall!$1:$1048576,MATCH(All!$A737,Fall!$A:$A,FALSE),MATCH(All!G$1,Fall!$1:$1,FALSE))="","",INDEX(Fall!$1:$1048576,MATCH(All!$A737,Fall!$A:$A,FALSE),MATCH(All!G$1,Fall!$1:$1,FALSE))),"")</f>
        <v/>
      </c>
      <c r="H737" t="str">
        <f>IFERROR(IF(INDEX(Fall!$1:$1048576,MATCH(All!$A737,Fall!$A:$A,FALSE),MATCH(All!H$1,Fall!$1:$1,FALSE))="","",INDEX(Fall!$1:$1048576,MATCH(All!$A737,Fall!$A:$A,FALSE),MATCH(All!H$1,Fall!$1:$1,FALSE))),"")</f>
        <v/>
      </c>
      <c r="I737" t="str">
        <f>IFERROR(IF(INDEX(Fall!$1:$1048576,MATCH(All!$A737,Fall!$A:$A,FALSE),MATCH(All!I$1,Fall!$1:$1,FALSE))="","",INDEX(Fall!$1:$1048576,MATCH(All!$A737,Fall!$A:$A,FALSE),MATCH(All!I$1,Fall!$1:$1,FALSE))),"")</f>
        <v/>
      </c>
      <c r="J737" t="str">
        <f>IFERROR(IF(INDEX(Fall!$1:$1048576,MATCH(All!$A737,Fall!$A:$A,FALSE),MATCH(All!J$1,Fall!$1:$1,FALSE))="","",INDEX(Fall!$1:$1048576,MATCH(All!$A737,Fall!$A:$A,FALSE),MATCH(All!J$1,Fall!$1:$1,FALSE))),"")</f>
        <v/>
      </c>
      <c r="K737" t="str">
        <f>IFERROR(IF(INDEX(Fall!$1:$1048576,MATCH(All!$A737,Fall!$A:$A,FALSE),MATCH(All!K$1,Fall!$1:$1,FALSE))="","",INDEX(Fall!$1:$1048576,MATCH(All!$A737,Fall!$A:$A,FALSE),MATCH(All!K$1,Fall!$1:$1,FALSE))),"")</f>
        <v>1A</v>
      </c>
      <c r="L737" t="str">
        <f>IFERROR(IF(INDEX(Fall!$1:$1048576,MATCH(All!$A737,Fall!$A:$A,FALSE),MATCH(All!L$1,Fall!$1:$1,FALSE))="","",INDEX(Fall!$1:$1048576,MATCH(All!$A737,Fall!$A:$A,FALSE),MATCH(All!L$1,Fall!$1:$1,FALSE))),"")</f>
        <v/>
      </c>
      <c r="M737" t="str">
        <f>IFERROR(IF(INDEX(Fall!$1:$1048576,MATCH(All!$A737,Fall!$A:$A,FALSE),MATCH(All!M$1,Fall!$1:$1,FALSE))="","",INDEX(Fall!$1:$1048576,MATCH(All!$A737,Fall!$A:$A,FALSE),MATCH(All!M$1,Fall!$1:$1,FALSE))),"")</f>
        <v>2A</v>
      </c>
      <c r="O737">
        <f>IFERROR(IF(INDEX(Winter!$1:$1048576,MATCH(All!$A737,Winter!$A:$A,FALSE),MATCH(All!O$1,Winter!$1:$1,FALSE))="","",INDEX(Winter!$1:$1048576,MATCH(All!$A737,Winter!$A:$A,FALSE),MATCH(All!O$1,Winter!$1:$1,FALSE))),"")</f>
        <v>328</v>
      </c>
      <c r="P737" t="str">
        <f>IFERROR(IF(INDEX(Winter!$1:$1048576,MATCH(All!$A737,Winter!$A:$A,FALSE),MATCH(All!P$1,Winter!$1:$1,FALSE))="","",INDEX(Winter!$1:$1048576,MATCH(All!$A737,Winter!$A:$A,FALSE),MATCH(All!P$1,Winter!$1:$1,FALSE))),"")</f>
        <v>2A</v>
      </c>
      <c r="Q737" t="str">
        <f>IFERROR(IF(INDEX(Winter!$1:$1048576,MATCH(All!$A737,Winter!$A:$A,FALSE),MATCH(All!Q$1,Winter!$1:$1,FALSE))="","",INDEX(Winter!$1:$1048576,MATCH(All!$A737,Winter!$A:$A,FALSE),MATCH(All!Q$1,Winter!$1:$1,FALSE))),"")</f>
        <v>2A</v>
      </c>
      <c r="R737" t="str">
        <f>IFERROR(IF(INDEX(Winter!$1:$1048576,MATCH(All!$A737,Winter!$A:$A,FALSE),MATCH(All!R$1,Winter!$1:$1,FALSE))="","",INDEX(Winter!$1:$1048576,MATCH(All!$A737,Winter!$A:$A,FALSE),MATCH(All!R$1,Winter!$1:$1,FALSE))),"")</f>
        <v>1A</v>
      </c>
      <c r="S737" t="str">
        <f>IFERROR(IF(INDEX(Winter!$1:$1048576,MATCH(All!$A737,Winter!$A:$A,FALSE),MATCH(All!S$1,Winter!$1:$1,FALSE))="","",INDEX(Winter!$1:$1048576,MATCH(All!$A737,Winter!$A:$A,FALSE),MATCH(All!S$1,Winter!$1:$1,FALSE))),"")</f>
        <v/>
      </c>
      <c r="T737" t="str">
        <f>IFERROR(IF(INDEX(Winter!$1:$1048576,MATCH(All!$A737,Winter!$A:$A,FALSE),MATCH(All!T$1,Winter!$1:$1,FALSE))="","",INDEX(Winter!$1:$1048576,MATCH(All!$A737,Winter!$A:$A,FALSE),MATCH(All!T$1,Winter!$1:$1,FALSE))),"")</f>
        <v>1A</v>
      </c>
      <c r="U737" t="str">
        <f>IFERROR(IF(INDEX(Winter!$1:$1048576,MATCH(All!$A737,Winter!$A:$A,FALSE),MATCH(All!U$1,Winter!$1:$1,FALSE))="","",INDEX(Winter!$1:$1048576,MATCH(All!$A737,Winter!$A:$A,FALSE),MATCH(All!U$1,Winter!$1:$1,FALSE))),"")</f>
        <v>1A</v>
      </c>
      <c r="W737">
        <f>IFERROR(IF(INDEX(Spring!$1:$1048576,MATCH(All!$A737,Spring!$A:$A,FALSE),MATCH(All!W$1,Spring!$1:$1,FALSE))="","",INDEX(Spring!$1:$1048576,MATCH(All!$A737,Spring!$A:$A,FALSE),MATCH(All!W$1,Spring!$1:$1,FALSE))),"")</f>
        <v>328</v>
      </c>
      <c r="X737" t="str">
        <f>IFERROR(IF(INDEX(Spring!$1:$1048576,MATCH(All!$A737,Spring!$A:$A,FALSE),MATCH(All!X$1,Spring!$1:$1,FALSE))="","",INDEX(Spring!$1:$1048576,MATCH(All!$A737,Spring!$A:$A,FALSE),MATCH(All!X$1,Spring!$1:$1,FALSE))),"")</f>
        <v>2A</v>
      </c>
      <c r="Y737" t="str">
        <f>IFERROR(IF(INDEX(Spring!$1:$1048576,MATCH(All!$A737,Spring!$A:$A,FALSE),MATCH(All!Y$1,Spring!$1:$1,FALSE))="","",INDEX(Spring!$1:$1048576,MATCH(All!$A737,Spring!$A:$A,FALSE),MATCH(All!Y$1,Spring!$1:$1,FALSE))),"")</f>
        <v>2A</v>
      </c>
      <c r="Z737" t="str">
        <f>IFERROR(IF(INDEX(Spring!$1:$1048576,MATCH(All!$A737,Spring!$A:$A,FALSE),MATCH(All!Z$1,Spring!$1:$1,FALSE))="","",INDEX(Spring!$1:$1048576,MATCH(All!$A737,Spring!$A:$A,FALSE),MATCH(All!Z$1,Spring!$1:$1,FALSE))),"")</f>
        <v>1A</v>
      </c>
      <c r="AA737" t="str">
        <f>IFERROR(IF(INDEX(Spring!$1:$1048576,MATCH(All!$A737,Spring!$A:$A,FALSE),MATCH(All!AA$1,Spring!$1:$1,FALSE))="","",INDEX(Spring!$1:$1048576,MATCH(All!$A737,Spring!$A:$A,FALSE),MATCH(All!AA$1,Spring!$1:$1,FALSE))),"")</f>
        <v/>
      </c>
      <c r="AB737" t="str">
        <f>IFERROR(IF(INDEX(Spring!$1:$1048576,MATCH(All!$A737,Spring!$A:$A,FALSE),MATCH(All!AB$1,Spring!$1:$1,FALSE))="","",INDEX(Spring!$1:$1048576,MATCH(All!$A737,Spring!$A:$A,FALSE),MATCH(All!AB$1,Spring!$1:$1,FALSE))),"")</f>
        <v>1A</v>
      </c>
      <c r="AC737" t="str">
        <f>IFERROR(IF(INDEX(Spring!$1:$1048576,MATCH(All!$A737,Spring!$A:$A,FALSE),MATCH(All!AC$1,Spring!$1:$1,FALSE))="","",INDEX(Spring!$1:$1048576,MATCH(All!$A737,Spring!$A:$A,FALSE),MATCH(All!AC$1,Spring!$1:$1,FALSE))),"")</f>
        <v>1A</v>
      </c>
      <c r="AD737" t="str">
        <f>IFERROR(VLOOKUP(A737,'Flag Football'!A:A,1,FALSE),"")</f>
        <v/>
      </c>
      <c r="AE737" t="str">
        <f t="shared" si="11"/>
        <v/>
      </c>
    </row>
    <row r="738" spans="1:31" ht="15.75" thickBot="1" x14ac:dyDescent="0.3">
      <c r="A738" s="20" t="s">
        <v>845</v>
      </c>
      <c r="B738" s="38">
        <f>IFERROR(VLOOKUP(A738,'Public v Private'!A:G,3,FALSE),"")</f>
        <v>0</v>
      </c>
      <c r="C738" s="38">
        <f>IFERROR(VLOOKUP(A738,'Public v Private'!A:G,4,FALSE),"")</f>
        <v>0</v>
      </c>
      <c r="D738" s="38">
        <f>IFERROR(VLOOKUP(A738,'Public v Private'!A:G,5,FALSE),"")</f>
        <v>0</v>
      </c>
      <c r="E738" s="38"/>
      <c r="F738" s="40">
        <f>IFERROR(INDEX(Fall!$1:$1048576,MATCH(All!$A738,Fall!$A:$A,FALSE),MATCH(All!F$1,Fall!$1:$1,FALSE)),"N/A")</f>
        <v>178</v>
      </c>
      <c r="G738" t="str">
        <f>IFERROR(IF(INDEX(Fall!$1:$1048576,MATCH(All!$A738,Fall!$A:$A,FALSE),MATCH(All!G$1,Fall!$1:$1,FALSE))="","",INDEX(Fall!$1:$1048576,MATCH(All!$A738,Fall!$A:$A,FALSE),MATCH(All!G$1,Fall!$1:$1,FALSE))),"")</f>
        <v/>
      </c>
      <c r="H738" t="str">
        <f>IFERROR(IF(INDEX(Fall!$1:$1048576,MATCH(All!$A738,Fall!$A:$A,FALSE),MATCH(All!H$1,Fall!$1:$1,FALSE))="","",INDEX(Fall!$1:$1048576,MATCH(All!$A738,Fall!$A:$A,FALSE),MATCH(All!H$1,Fall!$1:$1,FALSE))),"")</f>
        <v/>
      </c>
      <c r="I738" t="str">
        <f>IFERROR(IF(INDEX(Fall!$1:$1048576,MATCH(All!$A738,Fall!$A:$A,FALSE),MATCH(All!I$1,Fall!$1:$1,FALSE))="","",INDEX(Fall!$1:$1048576,MATCH(All!$A738,Fall!$A:$A,FALSE),MATCH(All!I$1,Fall!$1:$1,FALSE))),"")</f>
        <v/>
      </c>
      <c r="J738" t="str">
        <f>IFERROR(IF(INDEX(Fall!$1:$1048576,MATCH(All!$A738,Fall!$A:$A,FALSE),MATCH(All!J$1,Fall!$1:$1,FALSE))="","",INDEX(Fall!$1:$1048576,MATCH(All!$A738,Fall!$A:$A,FALSE),MATCH(All!J$1,Fall!$1:$1,FALSE))),"")</f>
        <v/>
      </c>
      <c r="K738" t="str">
        <f>IFERROR(IF(INDEX(Fall!$1:$1048576,MATCH(All!$A738,Fall!$A:$A,FALSE),MATCH(All!K$1,Fall!$1:$1,FALSE))="","",INDEX(Fall!$1:$1048576,MATCH(All!$A738,Fall!$A:$A,FALSE),MATCH(All!K$1,Fall!$1:$1,FALSE))),"")</f>
        <v/>
      </c>
      <c r="L738" t="str">
        <f>IFERROR(IF(INDEX(Fall!$1:$1048576,MATCH(All!$A738,Fall!$A:$A,FALSE),MATCH(All!L$1,Fall!$1:$1,FALSE))="","",INDEX(Fall!$1:$1048576,MATCH(All!$A738,Fall!$A:$A,FALSE),MATCH(All!L$1,Fall!$1:$1,FALSE))),"")</f>
        <v/>
      </c>
      <c r="M738" t="str">
        <f>IFERROR(IF(INDEX(Fall!$1:$1048576,MATCH(All!$A738,Fall!$A:$A,FALSE),MATCH(All!M$1,Fall!$1:$1,FALSE))="","",INDEX(Fall!$1:$1048576,MATCH(All!$A738,Fall!$A:$A,FALSE),MATCH(All!M$1,Fall!$1:$1,FALSE))),"")</f>
        <v>2A</v>
      </c>
      <c r="O738">
        <f>IFERROR(IF(INDEX(Winter!$1:$1048576,MATCH(All!$A738,Winter!$A:$A,FALSE),MATCH(All!O$1,Winter!$1:$1,FALSE))="","",INDEX(Winter!$1:$1048576,MATCH(All!$A738,Winter!$A:$A,FALSE),MATCH(All!O$1,Winter!$1:$1,FALSE))),"")</f>
        <v>178</v>
      </c>
      <c r="P738" t="str">
        <f>IFERROR(IF(INDEX(Winter!$1:$1048576,MATCH(All!$A738,Winter!$A:$A,FALSE),MATCH(All!P$1,Winter!$1:$1,FALSE))="","",INDEX(Winter!$1:$1048576,MATCH(All!$A738,Winter!$A:$A,FALSE),MATCH(All!P$1,Winter!$1:$1,FALSE))),"")</f>
        <v>2A</v>
      </c>
      <c r="Q738" t="str">
        <f>IFERROR(IF(INDEX(Winter!$1:$1048576,MATCH(All!$A738,Winter!$A:$A,FALSE),MATCH(All!Q$1,Winter!$1:$1,FALSE))="","",INDEX(Winter!$1:$1048576,MATCH(All!$A738,Winter!$A:$A,FALSE),MATCH(All!Q$1,Winter!$1:$1,FALSE))),"")</f>
        <v/>
      </c>
      <c r="R738" t="str">
        <f>IFERROR(IF(INDEX(Winter!$1:$1048576,MATCH(All!$A738,Winter!$A:$A,FALSE),MATCH(All!R$1,Winter!$1:$1,FALSE))="","",INDEX(Winter!$1:$1048576,MATCH(All!$A738,Winter!$A:$A,FALSE),MATCH(All!R$1,Winter!$1:$1,FALSE))),"")</f>
        <v/>
      </c>
      <c r="S738" t="str">
        <f>IFERROR(IF(INDEX(Winter!$1:$1048576,MATCH(All!$A738,Winter!$A:$A,FALSE),MATCH(All!S$1,Winter!$1:$1,FALSE))="","",INDEX(Winter!$1:$1048576,MATCH(All!$A738,Winter!$A:$A,FALSE),MATCH(All!S$1,Winter!$1:$1,FALSE))),"")</f>
        <v/>
      </c>
      <c r="T738" t="str">
        <f>IFERROR(IF(INDEX(Winter!$1:$1048576,MATCH(All!$A738,Winter!$A:$A,FALSE),MATCH(All!T$1,Winter!$1:$1,FALSE))="","",INDEX(Winter!$1:$1048576,MATCH(All!$A738,Winter!$A:$A,FALSE),MATCH(All!T$1,Winter!$1:$1,FALSE))),"")</f>
        <v>1A</v>
      </c>
      <c r="U738" t="str">
        <f>IFERROR(IF(INDEX(Winter!$1:$1048576,MATCH(All!$A738,Winter!$A:$A,FALSE),MATCH(All!U$1,Winter!$1:$1,FALSE))="","",INDEX(Winter!$1:$1048576,MATCH(All!$A738,Winter!$A:$A,FALSE),MATCH(All!U$1,Winter!$1:$1,FALSE))),"")</f>
        <v>1A</v>
      </c>
      <c r="W738">
        <f>IFERROR(IF(INDEX(Spring!$1:$1048576,MATCH(All!$A738,Spring!$A:$A,FALSE),MATCH(All!W$1,Spring!$1:$1,FALSE))="","",INDEX(Spring!$1:$1048576,MATCH(All!$A738,Spring!$A:$A,FALSE),MATCH(All!W$1,Spring!$1:$1,FALSE))),"")</f>
        <v>178</v>
      </c>
      <c r="X738" t="str">
        <f>IFERROR(IF(INDEX(Spring!$1:$1048576,MATCH(All!$A738,Spring!$A:$A,FALSE),MATCH(All!X$1,Spring!$1:$1,FALSE))="","",INDEX(Spring!$1:$1048576,MATCH(All!$A738,Spring!$A:$A,FALSE),MATCH(All!X$1,Spring!$1:$1,FALSE))),"")</f>
        <v/>
      </c>
      <c r="Y738" t="str">
        <f>IFERROR(IF(INDEX(Spring!$1:$1048576,MATCH(All!$A738,Spring!$A:$A,FALSE),MATCH(All!Y$1,Spring!$1:$1,FALSE))="","",INDEX(Spring!$1:$1048576,MATCH(All!$A738,Spring!$A:$A,FALSE),MATCH(All!Y$1,Spring!$1:$1,FALSE))),"")</f>
        <v>2A</v>
      </c>
      <c r="Z738" t="str">
        <f>IFERROR(IF(INDEX(Spring!$1:$1048576,MATCH(All!$A738,Spring!$A:$A,FALSE),MATCH(All!Z$1,Spring!$1:$1,FALSE))="","",INDEX(Spring!$1:$1048576,MATCH(All!$A738,Spring!$A:$A,FALSE),MATCH(All!Z$1,Spring!$1:$1,FALSE))),"")</f>
        <v/>
      </c>
      <c r="AA738" t="str">
        <f>IFERROR(IF(INDEX(Spring!$1:$1048576,MATCH(All!$A738,Spring!$A:$A,FALSE),MATCH(All!AA$1,Spring!$1:$1,FALSE))="","",INDEX(Spring!$1:$1048576,MATCH(All!$A738,Spring!$A:$A,FALSE),MATCH(All!AA$1,Spring!$1:$1,FALSE))),"")</f>
        <v/>
      </c>
      <c r="AB738" t="str">
        <f>IFERROR(IF(INDEX(Spring!$1:$1048576,MATCH(All!$A738,Spring!$A:$A,FALSE),MATCH(All!AB$1,Spring!$1:$1,FALSE))="","",INDEX(Spring!$1:$1048576,MATCH(All!$A738,Spring!$A:$A,FALSE),MATCH(All!AB$1,Spring!$1:$1,FALSE))),"")</f>
        <v>1A</v>
      </c>
      <c r="AC738" t="str">
        <f>IFERROR(IF(INDEX(Spring!$1:$1048576,MATCH(All!$A738,Spring!$A:$A,FALSE),MATCH(All!AC$1,Spring!$1:$1,FALSE))="","",INDEX(Spring!$1:$1048576,MATCH(All!$A738,Spring!$A:$A,FALSE),MATCH(All!AC$1,Spring!$1:$1,FALSE))),"")</f>
        <v>1A</v>
      </c>
      <c r="AD738" t="str">
        <f>IFERROR(VLOOKUP(A738,'Flag Football'!A:A,1,FALSE),"")</f>
        <v/>
      </c>
      <c r="AE738" t="str">
        <f t="shared" si="11"/>
        <v/>
      </c>
    </row>
    <row r="739" spans="1:31" ht="15.75" thickBot="1" x14ac:dyDescent="0.3">
      <c r="A739" s="18" t="s">
        <v>846</v>
      </c>
      <c r="B739" s="38">
        <f>IFERROR(VLOOKUP(A739,'Public v Private'!A:G,3,FALSE),"")</f>
        <v>0</v>
      </c>
      <c r="C739" s="38">
        <f>IFERROR(VLOOKUP(A739,'Public v Private'!A:G,4,FALSE),"")</f>
        <v>0</v>
      </c>
      <c r="D739" s="38">
        <f>IFERROR(VLOOKUP(A739,'Public v Private'!A:G,5,FALSE),"")</f>
        <v>0</v>
      </c>
      <c r="E739" s="38"/>
      <c r="F739" s="40">
        <f>IFERROR(INDEX(Fall!$1:$1048576,MATCH(All!$A739,Fall!$A:$A,FALSE),MATCH(All!F$1,Fall!$1:$1,FALSE)),"N/A")</f>
        <v>68</v>
      </c>
      <c r="G739" t="str">
        <f>IFERROR(IF(INDEX(Fall!$1:$1048576,MATCH(All!$A739,Fall!$A:$A,FALSE),MATCH(All!G$1,Fall!$1:$1,FALSE))="","",INDEX(Fall!$1:$1048576,MATCH(All!$A739,Fall!$A:$A,FALSE),MATCH(All!G$1,Fall!$1:$1,FALSE))),"")</f>
        <v>1A</v>
      </c>
      <c r="H739" t="str">
        <f>IFERROR(IF(INDEX(Fall!$1:$1048576,MATCH(All!$A739,Fall!$A:$A,FALSE),MATCH(All!H$1,Fall!$1:$1,FALSE))="","",INDEX(Fall!$1:$1048576,MATCH(All!$A739,Fall!$A:$A,FALSE),MATCH(All!H$1,Fall!$1:$1,FALSE))),"")</f>
        <v>1A</v>
      </c>
      <c r="I739" t="str">
        <f>IFERROR(IF(INDEX(Fall!$1:$1048576,MATCH(All!$A739,Fall!$A:$A,FALSE),MATCH(All!I$1,Fall!$1:$1,FALSE))="","",INDEX(Fall!$1:$1048576,MATCH(All!$A739,Fall!$A:$A,FALSE),MATCH(All!I$1,Fall!$1:$1,FALSE))),"")</f>
        <v/>
      </c>
      <c r="J739" t="str">
        <f>IFERROR(IF(INDEX(Fall!$1:$1048576,MATCH(All!$A739,Fall!$A:$A,FALSE),MATCH(All!J$1,Fall!$1:$1,FALSE))="","",INDEX(Fall!$1:$1048576,MATCH(All!$A739,Fall!$A:$A,FALSE),MATCH(All!J$1,Fall!$1:$1,FALSE))),"")</f>
        <v/>
      </c>
      <c r="K739" t="str">
        <f>IFERROR(IF(INDEX(Fall!$1:$1048576,MATCH(All!$A739,Fall!$A:$A,FALSE),MATCH(All!K$1,Fall!$1:$1,FALSE))="","",INDEX(Fall!$1:$1048576,MATCH(All!$A739,Fall!$A:$A,FALSE),MATCH(All!K$1,Fall!$1:$1,FALSE))),"")</f>
        <v/>
      </c>
      <c r="L739" t="str">
        <f>IFERROR(IF(INDEX(Fall!$1:$1048576,MATCH(All!$A739,Fall!$A:$A,FALSE),MATCH(All!L$1,Fall!$1:$1,FALSE))="","",INDEX(Fall!$1:$1048576,MATCH(All!$A739,Fall!$A:$A,FALSE),MATCH(All!L$1,Fall!$1:$1,FALSE))),"")</f>
        <v/>
      </c>
      <c r="M739" t="str">
        <f>IFERROR(IF(INDEX(Fall!$1:$1048576,MATCH(All!$A739,Fall!$A:$A,FALSE),MATCH(All!M$1,Fall!$1:$1,FALSE))="","",INDEX(Fall!$1:$1048576,MATCH(All!$A739,Fall!$A:$A,FALSE),MATCH(All!M$1,Fall!$1:$1,FALSE))),"")</f>
        <v>1A</v>
      </c>
      <c r="O739">
        <f>IFERROR(IF(INDEX(Winter!$1:$1048576,MATCH(All!$A739,Winter!$A:$A,FALSE),MATCH(All!O$1,Winter!$1:$1,FALSE))="","",INDEX(Winter!$1:$1048576,MATCH(All!$A739,Winter!$A:$A,FALSE),MATCH(All!O$1,Winter!$1:$1,FALSE))),"")</f>
        <v>68</v>
      </c>
      <c r="P739" t="str">
        <f>IFERROR(IF(INDEX(Winter!$1:$1048576,MATCH(All!$A739,Winter!$A:$A,FALSE),MATCH(All!P$1,Winter!$1:$1,FALSE))="","",INDEX(Winter!$1:$1048576,MATCH(All!$A739,Winter!$A:$A,FALSE),MATCH(All!P$1,Winter!$1:$1,FALSE))),"")</f>
        <v>1A</v>
      </c>
      <c r="Q739" t="str">
        <f>IFERROR(IF(INDEX(Winter!$1:$1048576,MATCH(All!$A739,Winter!$A:$A,FALSE),MATCH(All!Q$1,Winter!$1:$1,FALSE))="","",INDEX(Winter!$1:$1048576,MATCH(All!$A739,Winter!$A:$A,FALSE),MATCH(All!Q$1,Winter!$1:$1,FALSE))),"")</f>
        <v>1A</v>
      </c>
      <c r="R739" t="str">
        <f>IFERROR(IF(INDEX(Winter!$1:$1048576,MATCH(All!$A739,Winter!$A:$A,FALSE),MATCH(All!R$1,Winter!$1:$1,FALSE))="","",INDEX(Winter!$1:$1048576,MATCH(All!$A739,Winter!$A:$A,FALSE),MATCH(All!R$1,Winter!$1:$1,FALSE))),"")</f>
        <v/>
      </c>
      <c r="S739" t="str">
        <f>IFERROR(IF(INDEX(Winter!$1:$1048576,MATCH(All!$A739,Winter!$A:$A,FALSE),MATCH(All!S$1,Winter!$1:$1,FALSE))="","",INDEX(Winter!$1:$1048576,MATCH(All!$A739,Winter!$A:$A,FALSE),MATCH(All!S$1,Winter!$1:$1,FALSE))),"")</f>
        <v/>
      </c>
      <c r="T739" t="str">
        <f>IFERROR(IF(INDEX(Winter!$1:$1048576,MATCH(All!$A739,Winter!$A:$A,FALSE),MATCH(All!T$1,Winter!$1:$1,FALSE))="","",INDEX(Winter!$1:$1048576,MATCH(All!$A739,Winter!$A:$A,FALSE),MATCH(All!T$1,Winter!$1:$1,FALSE))),"")</f>
        <v>1A</v>
      </c>
      <c r="U739" t="str">
        <f>IFERROR(IF(INDEX(Winter!$1:$1048576,MATCH(All!$A739,Winter!$A:$A,FALSE),MATCH(All!U$1,Winter!$1:$1,FALSE))="","",INDEX(Winter!$1:$1048576,MATCH(All!$A739,Winter!$A:$A,FALSE),MATCH(All!U$1,Winter!$1:$1,FALSE))),"")</f>
        <v/>
      </c>
      <c r="W739">
        <f>IFERROR(IF(INDEX(Spring!$1:$1048576,MATCH(All!$A739,Spring!$A:$A,FALSE),MATCH(All!W$1,Spring!$1:$1,FALSE))="","",INDEX(Spring!$1:$1048576,MATCH(All!$A739,Spring!$A:$A,FALSE),MATCH(All!W$1,Spring!$1:$1,FALSE))),"")</f>
        <v>68</v>
      </c>
      <c r="X739" t="str">
        <f>IFERROR(IF(INDEX(Spring!$1:$1048576,MATCH(All!$A739,Spring!$A:$A,FALSE),MATCH(All!X$1,Spring!$1:$1,FALSE))="","",INDEX(Spring!$1:$1048576,MATCH(All!$A739,Spring!$A:$A,FALSE),MATCH(All!X$1,Spring!$1:$1,FALSE))),"")</f>
        <v/>
      </c>
      <c r="Y739" t="str">
        <f>IFERROR(IF(INDEX(Spring!$1:$1048576,MATCH(All!$A739,Spring!$A:$A,FALSE),MATCH(All!Y$1,Spring!$1:$1,FALSE))="","",INDEX(Spring!$1:$1048576,MATCH(All!$A739,Spring!$A:$A,FALSE),MATCH(All!Y$1,Spring!$1:$1,FALSE))),"")</f>
        <v>1A</v>
      </c>
      <c r="Z739" t="str">
        <f>IFERROR(IF(INDEX(Spring!$1:$1048576,MATCH(All!$A739,Spring!$A:$A,FALSE),MATCH(All!Z$1,Spring!$1:$1,FALSE))="","",INDEX(Spring!$1:$1048576,MATCH(All!$A739,Spring!$A:$A,FALSE),MATCH(All!Z$1,Spring!$1:$1,FALSE))),"")</f>
        <v/>
      </c>
      <c r="AA739" t="str">
        <f>IFERROR(IF(INDEX(Spring!$1:$1048576,MATCH(All!$A739,Spring!$A:$A,FALSE),MATCH(All!AA$1,Spring!$1:$1,FALSE))="","",INDEX(Spring!$1:$1048576,MATCH(All!$A739,Spring!$A:$A,FALSE),MATCH(All!AA$1,Spring!$1:$1,FALSE))),"")</f>
        <v/>
      </c>
      <c r="AB739" t="str">
        <f>IFERROR(IF(INDEX(Spring!$1:$1048576,MATCH(All!$A739,Spring!$A:$A,FALSE),MATCH(All!AB$1,Spring!$1:$1,FALSE))="","",INDEX(Spring!$1:$1048576,MATCH(All!$A739,Spring!$A:$A,FALSE),MATCH(All!AB$1,Spring!$1:$1,FALSE))),"")</f>
        <v>1A</v>
      </c>
      <c r="AC739" t="str">
        <f>IFERROR(IF(INDEX(Spring!$1:$1048576,MATCH(All!$A739,Spring!$A:$A,FALSE),MATCH(All!AC$1,Spring!$1:$1,FALSE))="","",INDEX(Spring!$1:$1048576,MATCH(All!$A739,Spring!$A:$A,FALSE),MATCH(All!AC$1,Spring!$1:$1,FALSE))),"")</f>
        <v>1A</v>
      </c>
      <c r="AD739" t="str">
        <f>IFERROR(VLOOKUP(A739,'Flag Football'!A:A,1,FALSE),"")</f>
        <v/>
      </c>
      <c r="AE739" t="str">
        <f t="shared" si="11"/>
        <v/>
      </c>
    </row>
    <row r="740" spans="1:31" ht="15.75" thickBot="1" x14ac:dyDescent="0.3">
      <c r="A740" s="20" t="s">
        <v>847</v>
      </c>
      <c r="B740" s="38">
        <f>IFERROR(VLOOKUP(A740,'Public v Private'!A:G,3,FALSE),"")</f>
        <v>0</v>
      </c>
      <c r="C740" s="38">
        <f>IFERROR(VLOOKUP(A740,'Public v Private'!A:G,4,FALSE),"")</f>
        <v>0</v>
      </c>
      <c r="D740" s="38">
        <f>IFERROR(VLOOKUP(A740,'Public v Private'!A:G,5,FALSE),"")</f>
        <v>0</v>
      </c>
      <c r="E740" s="38"/>
      <c r="F740" s="40">
        <f>IFERROR(INDEX(Fall!$1:$1048576,MATCH(All!$A740,Fall!$A:$A,FALSE),MATCH(All!F$1,Fall!$1:$1,FALSE)),"N/A")</f>
        <v>1383</v>
      </c>
      <c r="G740" t="str">
        <f>IFERROR(IF(INDEX(Fall!$1:$1048576,MATCH(All!$A740,Fall!$A:$A,FALSE),MATCH(All!G$1,Fall!$1:$1,FALSE))="","",INDEX(Fall!$1:$1048576,MATCH(All!$A740,Fall!$A:$A,FALSE),MATCH(All!G$1,Fall!$1:$1,FALSE))),"")</f>
        <v>2A</v>
      </c>
      <c r="H740" t="str">
        <f>IFERROR(IF(INDEX(Fall!$1:$1048576,MATCH(All!$A740,Fall!$A:$A,FALSE),MATCH(All!H$1,Fall!$1:$1,FALSE))="","",INDEX(Fall!$1:$1048576,MATCH(All!$A740,Fall!$A:$A,FALSE),MATCH(All!H$1,Fall!$1:$1,FALSE))),"")</f>
        <v>2A</v>
      </c>
      <c r="I740" t="str">
        <f>IFERROR(IF(INDEX(Fall!$1:$1048576,MATCH(All!$A740,Fall!$A:$A,FALSE),MATCH(All!I$1,Fall!$1:$1,FALSE))="","",INDEX(Fall!$1:$1048576,MATCH(All!$A740,Fall!$A:$A,FALSE),MATCH(All!I$1,Fall!$1:$1,FALSE))),"")</f>
        <v>2A</v>
      </c>
      <c r="J740" t="str">
        <f>IFERROR(IF(INDEX(Fall!$1:$1048576,MATCH(All!$A740,Fall!$A:$A,FALSE),MATCH(All!J$1,Fall!$1:$1,FALSE))="","",INDEX(Fall!$1:$1048576,MATCH(All!$A740,Fall!$A:$A,FALSE),MATCH(All!J$1,Fall!$1:$1,FALSE))),"")</f>
        <v>2A</v>
      </c>
      <c r="K740" t="str">
        <f>IFERROR(IF(INDEX(Fall!$1:$1048576,MATCH(All!$A740,Fall!$A:$A,FALSE),MATCH(All!K$1,Fall!$1:$1,FALSE))="","",INDEX(Fall!$1:$1048576,MATCH(All!$A740,Fall!$A:$A,FALSE),MATCH(All!K$1,Fall!$1:$1,FALSE))),"")</f>
        <v>2A</v>
      </c>
      <c r="L740" t="str">
        <f>IFERROR(IF(INDEX(Fall!$1:$1048576,MATCH(All!$A740,Fall!$A:$A,FALSE),MATCH(All!L$1,Fall!$1:$1,FALSE))="","",INDEX(Fall!$1:$1048576,MATCH(All!$A740,Fall!$A:$A,FALSE),MATCH(All!L$1,Fall!$1:$1,FALSE))),"")</f>
        <v>1A</v>
      </c>
      <c r="M740" t="str">
        <f>IFERROR(IF(INDEX(Fall!$1:$1048576,MATCH(All!$A740,Fall!$A:$A,FALSE),MATCH(All!M$1,Fall!$1:$1,FALSE))="","",INDEX(Fall!$1:$1048576,MATCH(All!$A740,Fall!$A:$A,FALSE),MATCH(All!M$1,Fall!$1:$1,FALSE))),"")</f>
        <v>3A</v>
      </c>
      <c r="O740">
        <f>IFERROR(IF(INDEX(Winter!$1:$1048576,MATCH(All!$A740,Winter!$A:$A,FALSE),MATCH(All!O$1,Winter!$1:$1,FALSE))="","",INDEX(Winter!$1:$1048576,MATCH(All!$A740,Winter!$A:$A,FALSE),MATCH(All!O$1,Winter!$1:$1,FALSE))),"")</f>
        <v>1383</v>
      </c>
      <c r="P740" t="str">
        <f>IFERROR(IF(INDEX(Winter!$1:$1048576,MATCH(All!$A740,Winter!$A:$A,FALSE),MATCH(All!P$1,Winter!$1:$1,FALSE))="","",INDEX(Winter!$1:$1048576,MATCH(All!$A740,Winter!$A:$A,FALSE),MATCH(All!P$1,Winter!$1:$1,FALSE))),"")</f>
        <v>3A</v>
      </c>
      <c r="Q740" t="str">
        <f>IFERROR(IF(INDEX(Winter!$1:$1048576,MATCH(All!$A740,Winter!$A:$A,FALSE),MATCH(All!Q$1,Winter!$1:$1,FALSE))="","",INDEX(Winter!$1:$1048576,MATCH(All!$A740,Winter!$A:$A,FALSE),MATCH(All!Q$1,Winter!$1:$1,FALSE))),"")</f>
        <v>3A</v>
      </c>
      <c r="R740" t="str">
        <f>IFERROR(IF(INDEX(Winter!$1:$1048576,MATCH(All!$A740,Winter!$A:$A,FALSE),MATCH(All!R$1,Winter!$1:$1,FALSE))="","",INDEX(Winter!$1:$1048576,MATCH(All!$A740,Winter!$A:$A,FALSE),MATCH(All!R$1,Winter!$1:$1,FALSE))),"")</f>
        <v>2A</v>
      </c>
      <c r="S740" t="str">
        <f>IFERROR(IF(INDEX(Winter!$1:$1048576,MATCH(All!$A740,Winter!$A:$A,FALSE),MATCH(All!S$1,Winter!$1:$1,FALSE))="","",INDEX(Winter!$1:$1048576,MATCH(All!$A740,Winter!$A:$A,FALSE),MATCH(All!S$1,Winter!$1:$1,FALSE))),"")</f>
        <v>2A</v>
      </c>
      <c r="T740" t="str">
        <f>IFERROR(IF(INDEX(Winter!$1:$1048576,MATCH(All!$A740,Winter!$A:$A,FALSE),MATCH(All!T$1,Winter!$1:$1,FALSE))="","",INDEX(Winter!$1:$1048576,MATCH(All!$A740,Winter!$A:$A,FALSE),MATCH(All!T$1,Winter!$1:$1,FALSE))),"")</f>
        <v>2A</v>
      </c>
      <c r="U740" t="str">
        <f>IFERROR(IF(INDEX(Winter!$1:$1048576,MATCH(All!$A740,Winter!$A:$A,FALSE),MATCH(All!U$1,Winter!$1:$1,FALSE))="","",INDEX(Winter!$1:$1048576,MATCH(All!$A740,Winter!$A:$A,FALSE),MATCH(All!U$1,Winter!$1:$1,FALSE))),"")</f>
        <v>2A</v>
      </c>
      <c r="W740">
        <f>IFERROR(IF(INDEX(Spring!$1:$1048576,MATCH(All!$A740,Spring!$A:$A,FALSE),MATCH(All!W$1,Spring!$1:$1,FALSE))="","",INDEX(Spring!$1:$1048576,MATCH(All!$A740,Spring!$A:$A,FALSE),MATCH(All!W$1,Spring!$1:$1,FALSE))),"")</f>
        <v>1383</v>
      </c>
      <c r="X740" t="str">
        <f>IFERROR(IF(INDEX(Spring!$1:$1048576,MATCH(All!$A740,Spring!$A:$A,FALSE),MATCH(All!X$1,Spring!$1:$1,FALSE))="","",INDEX(Spring!$1:$1048576,MATCH(All!$A740,Spring!$A:$A,FALSE),MATCH(All!X$1,Spring!$1:$1,FALSE))),"")</f>
        <v>3A</v>
      </c>
      <c r="Y740" t="str">
        <f>IFERROR(IF(INDEX(Spring!$1:$1048576,MATCH(All!$A740,Spring!$A:$A,FALSE),MATCH(All!Y$1,Spring!$1:$1,FALSE))="","",INDEX(Spring!$1:$1048576,MATCH(All!$A740,Spring!$A:$A,FALSE),MATCH(All!Y$1,Spring!$1:$1,FALSE))),"")</f>
        <v>3A</v>
      </c>
      <c r="Z740" t="str">
        <f>IFERROR(IF(INDEX(Spring!$1:$1048576,MATCH(All!$A740,Spring!$A:$A,FALSE),MATCH(All!Z$1,Spring!$1:$1,FALSE))="","",INDEX(Spring!$1:$1048576,MATCH(All!$A740,Spring!$A:$A,FALSE),MATCH(All!Z$1,Spring!$1:$1,FALSE))),"")</f>
        <v>2A</v>
      </c>
      <c r="AA740" t="str">
        <f>IFERROR(IF(INDEX(Spring!$1:$1048576,MATCH(All!$A740,Spring!$A:$A,FALSE),MATCH(All!AA$1,Spring!$1:$1,FALSE))="","",INDEX(Spring!$1:$1048576,MATCH(All!$A740,Spring!$A:$A,FALSE),MATCH(All!AA$1,Spring!$1:$1,FALSE))),"")</f>
        <v>1A</v>
      </c>
      <c r="AB740" t="str">
        <f>IFERROR(IF(INDEX(Spring!$1:$1048576,MATCH(All!$A740,Spring!$A:$A,FALSE),MATCH(All!AB$1,Spring!$1:$1,FALSE))="","",INDEX(Spring!$1:$1048576,MATCH(All!$A740,Spring!$A:$A,FALSE),MATCH(All!AB$1,Spring!$1:$1,FALSE))),"")</f>
        <v>3A</v>
      </c>
      <c r="AC740" t="str">
        <f>IFERROR(IF(INDEX(Spring!$1:$1048576,MATCH(All!$A740,Spring!$A:$A,FALSE),MATCH(All!AC$1,Spring!$1:$1,FALSE))="","",INDEX(Spring!$1:$1048576,MATCH(All!$A740,Spring!$A:$A,FALSE),MATCH(All!AC$1,Spring!$1:$1,FALSE))),"")</f>
        <v>3A</v>
      </c>
      <c r="AD740" t="str">
        <f>IFERROR(VLOOKUP(A740,'Flag Football'!A:A,1,FALSE),"")</f>
        <v/>
      </c>
      <c r="AE740" t="str">
        <f t="shared" si="11"/>
        <v/>
      </c>
    </row>
    <row r="741" spans="1:31" ht="15.75" thickBot="1" x14ac:dyDescent="0.3">
      <c r="A741" s="28" t="s">
        <v>848</v>
      </c>
      <c r="B741" s="38" t="str">
        <f>IFERROR(VLOOKUP(A741,'Public v Private'!A:G,3,FALSE),"")</f>
        <v>private</v>
      </c>
      <c r="C741" s="38">
        <f>IFERROR(VLOOKUP(A741,'Public v Private'!A:G,4,FALSE),"")</f>
        <v>7</v>
      </c>
      <c r="D741" s="38">
        <f>IFERROR(VLOOKUP(A741,'Public v Private'!A:G,5,FALSE),"")</f>
        <v>19</v>
      </c>
      <c r="E741" s="38"/>
      <c r="F741" s="40" t="str">
        <f>IFERROR(INDEX(Fall!$1:$1048576,MATCH(All!$A741,Fall!$A:$A,FALSE),MATCH(All!F$1,Fall!$1:$1,FALSE)),"N/A")</f>
        <v>172.00 (283.80)</v>
      </c>
      <c r="G741" t="str">
        <f>IFERROR(IF(INDEX(Fall!$1:$1048576,MATCH(All!$A741,Fall!$A:$A,FALSE),MATCH(All!G$1,Fall!$1:$1,FALSE))="","",INDEX(Fall!$1:$1048576,MATCH(All!$A741,Fall!$A:$A,FALSE),MATCH(All!G$1,Fall!$1:$1,FALSE))),"")</f>
        <v/>
      </c>
      <c r="H741" t="str">
        <f>IFERROR(IF(INDEX(Fall!$1:$1048576,MATCH(All!$A741,Fall!$A:$A,FALSE),MATCH(All!H$1,Fall!$1:$1,FALSE))="","",INDEX(Fall!$1:$1048576,MATCH(All!$A741,Fall!$A:$A,FALSE),MATCH(All!H$1,Fall!$1:$1,FALSE))),"")</f>
        <v>1A</v>
      </c>
      <c r="I741" t="str">
        <f>IFERROR(IF(INDEX(Fall!$1:$1048576,MATCH(All!$A741,Fall!$A:$A,FALSE),MATCH(All!I$1,Fall!$1:$1,FALSE))="","",INDEX(Fall!$1:$1048576,MATCH(All!$A741,Fall!$A:$A,FALSE),MATCH(All!I$1,Fall!$1:$1,FALSE))),"")</f>
        <v>1A</v>
      </c>
      <c r="J741" t="str">
        <f>IFERROR(IF(INDEX(Fall!$1:$1048576,MATCH(All!$A741,Fall!$A:$A,FALSE),MATCH(All!J$1,Fall!$1:$1,FALSE))="","",INDEX(Fall!$1:$1048576,MATCH(All!$A741,Fall!$A:$A,FALSE),MATCH(All!J$1,Fall!$1:$1,FALSE))),"")</f>
        <v>1A</v>
      </c>
      <c r="K741" t="str">
        <f>IFERROR(IF(INDEX(Fall!$1:$1048576,MATCH(All!$A741,Fall!$A:$A,FALSE),MATCH(All!K$1,Fall!$1:$1,FALSE))="","",INDEX(Fall!$1:$1048576,MATCH(All!$A741,Fall!$A:$A,FALSE),MATCH(All!K$1,Fall!$1:$1,FALSE))),"")</f>
        <v>1A</v>
      </c>
      <c r="L741" t="str">
        <f>IFERROR(IF(INDEX(Fall!$1:$1048576,MATCH(All!$A741,Fall!$A:$A,FALSE),MATCH(All!L$1,Fall!$1:$1,FALSE))="","",INDEX(Fall!$1:$1048576,MATCH(All!$A741,Fall!$A:$A,FALSE),MATCH(All!L$1,Fall!$1:$1,FALSE))),"")</f>
        <v>1A</v>
      </c>
      <c r="M741" t="str">
        <f>IFERROR(IF(INDEX(Fall!$1:$1048576,MATCH(All!$A741,Fall!$A:$A,FALSE),MATCH(All!M$1,Fall!$1:$1,FALSE))="","",INDEX(Fall!$1:$1048576,MATCH(All!$A741,Fall!$A:$A,FALSE),MATCH(All!M$1,Fall!$1:$1,FALSE))),"")</f>
        <v>1A</v>
      </c>
      <c r="O741" t="str">
        <f>IFERROR(IF(INDEX(Winter!$1:$1048576,MATCH(All!$A741,Winter!$A:$A,FALSE),MATCH(All!O$1,Winter!$1:$1,FALSE))="","",INDEX(Winter!$1:$1048576,MATCH(All!$A741,Winter!$A:$A,FALSE),MATCH(All!O$1,Winter!$1:$1,FALSE))),"")</f>
        <v>172.00 (283.80)</v>
      </c>
      <c r="P741" t="str">
        <f>IFERROR(IF(INDEX(Winter!$1:$1048576,MATCH(All!$A741,Winter!$A:$A,FALSE),MATCH(All!P$1,Winter!$1:$1,FALSE))="","",INDEX(Winter!$1:$1048576,MATCH(All!$A741,Winter!$A:$A,FALSE),MATCH(All!P$1,Winter!$1:$1,FALSE))),"")</f>
        <v>1A</v>
      </c>
      <c r="Q741" t="str">
        <f>IFERROR(IF(INDEX(Winter!$1:$1048576,MATCH(All!$A741,Winter!$A:$A,FALSE),MATCH(All!Q$1,Winter!$1:$1,FALSE))="","",INDEX(Winter!$1:$1048576,MATCH(All!$A741,Winter!$A:$A,FALSE),MATCH(All!Q$1,Winter!$1:$1,FALSE))),"")</f>
        <v>1A</v>
      </c>
      <c r="R741" t="str">
        <f>IFERROR(IF(INDEX(Winter!$1:$1048576,MATCH(All!$A741,Winter!$A:$A,FALSE),MATCH(All!R$1,Winter!$1:$1,FALSE))="","",INDEX(Winter!$1:$1048576,MATCH(All!$A741,Winter!$A:$A,FALSE),MATCH(All!R$1,Winter!$1:$1,FALSE))),"")</f>
        <v/>
      </c>
      <c r="S741" t="str">
        <f>IFERROR(IF(INDEX(Winter!$1:$1048576,MATCH(All!$A741,Winter!$A:$A,FALSE),MATCH(All!S$1,Winter!$1:$1,FALSE))="","",INDEX(Winter!$1:$1048576,MATCH(All!$A741,Winter!$A:$A,FALSE),MATCH(All!S$1,Winter!$1:$1,FALSE))),"")</f>
        <v/>
      </c>
      <c r="T741" t="str">
        <f>IFERROR(IF(INDEX(Winter!$1:$1048576,MATCH(All!$A741,Winter!$A:$A,FALSE),MATCH(All!T$1,Winter!$1:$1,FALSE))="","",INDEX(Winter!$1:$1048576,MATCH(All!$A741,Winter!$A:$A,FALSE),MATCH(All!T$1,Winter!$1:$1,FALSE))),"")</f>
        <v>1A</v>
      </c>
      <c r="U741" t="str">
        <f>IFERROR(IF(INDEX(Winter!$1:$1048576,MATCH(All!$A741,Winter!$A:$A,FALSE),MATCH(All!U$1,Winter!$1:$1,FALSE))="","",INDEX(Winter!$1:$1048576,MATCH(All!$A741,Winter!$A:$A,FALSE),MATCH(All!U$1,Winter!$1:$1,FALSE))),"")</f>
        <v/>
      </c>
      <c r="W741" t="str">
        <f>IFERROR(IF(INDEX(Spring!$1:$1048576,MATCH(All!$A741,Spring!$A:$A,FALSE),MATCH(All!W$1,Spring!$1:$1,FALSE))="","",INDEX(Spring!$1:$1048576,MATCH(All!$A741,Spring!$A:$A,FALSE),MATCH(All!W$1,Spring!$1:$1,FALSE))),"")</f>
        <v>172.00 (283.80)</v>
      </c>
      <c r="X741" t="str">
        <f>IFERROR(IF(INDEX(Spring!$1:$1048576,MATCH(All!$A741,Spring!$A:$A,FALSE),MATCH(All!X$1,Spring!$1:$1,FALSE))="","",INDEX(Spring!$1:$1048576,MATCH(All!$A741,Spring!$A:$A,FALSE),MATCH(All!X$1,Spring!$1:$1,FALSE))),"")</f>
        <v>1A</v>
      </c>
      <c r="Y741" t="str">
        <f>IFERROR(IF(INDEX(Spring!$1:$1048576,MATCH(All!$A741,Spring!$A:$A,FALSE),MATCH(All!Y$1,Spring!$1:$1,FALSE))="","",INDEX(Spring!$1:$1048576,MATCH(All!$A741,Spring!$A:$A,FALSE),MATCH(All!Y$1,Spring!$1:$1,FALSE))),"")</f>
        <v>1A</v>
      </c>
      <c r="Z741" t="str">
        <f>IFERROR(IF(INDEX(Spring!$1:$1048576,MATCH(All!$A741,Spring!$A:$A,FALSE),MATCH(All!Z$1,Spring!$1:$1,FALSE))="","",INDEX(Spring!$1:$1048576,MATCH(All!$A741,Spring!$A:$A,FALSE),MATCH(All!Z$1,Spring!$1:$1,FALSE))),"")</f>
        <v>1A</v>
      </c>
      <c r="AA741" t="str">
        <f>IFERROR(IF(INDEX(Spring!$1:$1048576,MATCH(All!$A741,Spring!$A:$A,FALSE),MATCH(All!AA$1,Spring!$1:$1,FALSE))="","",INDEX(Spring!$1:$1048576,MATCH(All!$A741,Spring!$A:$A,FALSE),MATCH(All!AA$1,Spring!$1:$1,FALSE))),"")</f>
        <v/>
      </c>
      <c r="AB741" t="str">
        <f>IFERROR(IF(INDEX(Spring!$1:$1048576,MATCH(All!$A741,Spring!$A:$A,FALSE),MATCH(All!AB$1,Spring!$1:$1,FALSE))="","",INDEX(Spring!$1:$1048576,MATCH(All!$A741,Spring!$A:$A,FALSE),MATCH(All!AB$1,Spring!$1:$1,FALSE))),"")</f>
        <v>1A</v>
      </c>
      <c r="AC741" t="str">
        <f>IFERROR(IF(INDEX(Spring!$1:$1048576,MATCH(All!$A741,Spring!$A:$A,FALSE),MATCH(All!AC$1,Spring!$1:$1,FALSE))="","",INDEX(Spring!$1:$1048576,MATCH(All!$A741,Spring!$A:$A,FALSE),MATCH(All!AC$1,Spring!$1:$1,FALSE))),"")</f>
        <v>1A</v>
      </c>
      <c r="AD741" t="str">
        <f>IFERROR(VLOOKUP(A741,'Flag Football'!A:A,1,FALSE),"")</f>
        <v/>
      </c>
      <c r="AE741" t="str">
        <f t="shared" si="11"/>
        <v/>
      </c>
    </row>
    <row r="742" spans="1:31" ht="15.75" thickBot="1" x14ac:dyDescent="0.3">
      <c r="A742" s="20" t="s">
        <v>850</v>
      </c>
      <c r="B742" s="38">
        <f>IFERROR(VLOOKUP(A742,'Public v Private'!A:G,3,FALSE),"")</f>
        <v>0</v>
      </c>
      <c r="C742" s="38">
        <f>IFERROR(VLOOKUP(A742,'Public v Private'!A:G,4,FALSE),"")</f>
        <v>0</v>
      </c>
      <c r="D742" s="38">
        <f>IFERROR(VLOOKUP(A742,'Public v Private'!A:G,5,FALSE),"")</f>
        <v>0</v>
      </c>
      <c r="E742" s="38"/>
      <c r="F742" s="40">
        <f>IFERROR(INDEX(Fall!$1:$1048576,MATCH(All!$A742,Fall!$A:$A,FALSE),MATCH(All!F$1,Fall!$1:$1,FALSE)),"N/A")</f>
        <v>845</v>
      </c>
      <c r="G742" t="str">
        <f>IFERROR(IF(INDEX(Fall!$1:$1048576,MATCH(All!$A742,Fall!$A:$A,FALSE),MATCH(All!G$1,Fall!$1:$1,FALSE))="","",INDEX(Fall!$1:$1048576,MATCH(All!$A742,Fall!$A:$A,FALSE),MATCH(All!G$1,Fall!$1:$1,FALSE))),"")</f>
        <v>2A</v>
      </c>
      <c r="H742" t="str">
        <f>IFERROR(IF(INDEX(Fall!$1:$1048576,MATCH(All!$A742,Fall!$A:$A,FALSE),MATCH(All!H$1,Fall!$1:$1,FALSE))="","",INDEX(Fall!$1:$1048576,MATCH(All!$A742,Fall!$A:$A,FALSE),MATCH(All!H$1,Fall!$1:$1,FALSE))),"")</f>
        <v>2A</v>
      </c>
      <c r="I742" t="str">
        <f>IFERROR(IF(INDEX(Fall!$1:$1048576,MATCH(All!$A742,Fall!$A:$A,FALSE),MATCH(All!I$1,Fall!$1:$1,FALSE))="","",INDEX(Fall!$1:$1048576,MATCH(All!$A742,Fall!$A:$A,FALSE),MATCH(All!I$1,Fall!$1:$1,FALSE))),"")</f>
        <v>2A</v>
      </c>
      <c r="J742" t="str">
        <f>IFERROR(IF(INDEX(Fall!$1:$1048576,MATCH(All!$A742,Fall!$A:$A,FALSE),MATCH(All!J$1,Fall!$1:$1,FALSE))="","",INDEX(Fall!$1:$1048576,MATCH(All!$A742,Fall!$A:$A,FALSE),MATCH(All!J$1,Fall!$1:$1,FALSE))),"")</f>
        <v>1A</v>
      </c>
      <c r="K742" t="str">
        <f>IFERROR(IF(INDEX(Fall!$1:$1048576,MATCH(All!$A742,Fall!$A:$A,FALSE),MATCH(All!K$1,Fall!$1:$1,FALSE))="","",INDEX(Fall!$1:$1048576,MATCH(All!$A742,Fall!$A:$A,FALSE),MATCH(All!K$1,Fall!$1:$1,FALSE))),"")</f>
        <v>2A</v>
      </c>
      <c r="L742" t="str">
        <f>IFERROR(IF(INDEX(Fall!$1:$1048576,MATCH(All!$A742,Fall!$A:$A,FALSE),MATCH(All!L$1,Fall!$1:$1,FALSE))="","",INDEX(Fall!$1:$1048576,MATCH(All!$A742,Fall!$A:$A,FALSE),MATCH(All!L$1,Fall!$1:$1,FALSE))),"")</f>
        <v>1A</v>
      </c>
      <c r="M742" t="str">
        <f>IFERROR(IF(INDEX(Fall!$1:$1048576,MATCH(All!$A742,Fall!$A:$A,FALSE),MATCH(All!M$1,Fall!$1:$1,FALSE))="","",INDEX(Fall!$1:$1048576,MATCH(All!$A742,Fall!$A:$A,FALSE),MATCH(All!M$1,Fall!$1:$1,FALSE))),"")</f>
        <v>3A</v>
      </c>
      <c r="O742">
        <f>IFERROR(IF(INDEX(Winter!$1:$1048576,MATCH(All!$A742,Winter!$A:$A,FALSE),MATCH(All!O$1,Winter!$1:$1,FALSE))="","",INDEX(Winter!$1:$1048576,MATCH(All!$A742,Winter!$A:$A,FALSE),MATCH(All!O$1,Winter!$1:$1,FALSE))),"")</f>
        <v>845</v>
      </c>
      <c r="P742" t="str">
        <f>IFERROR(IF(INDEX(Winter!$1:$1048576,MATCH(All!$A742,Winter!$A:$A,FALSE),MATCH(All!P$1,Winter!$1:$1,FALSE))="","",INDEX(Winter!$1:$1048576,MATCH(All!$A742,Winter!$A:$A,FALSE),MATCH(All!P$1,Winter!$1:$1,FALSE))),"")</f>
        <v>3A</v>
      </c>
      <c r="Q742" t="str">
        <f>IFERROR(IF(INDEX(Winter!$1:$1048576,MATCH(All!$A742,Winter!$A:$A,FALSE),MATCH(All!Q$1,Winter!$1:$1,FALSE))="","",INDEX(Winter!$1:$1048576,MATCH(All!$A742,Winter!$A:$A,FALSE),MATCH(All!Q$1,Winter!$1:$1,FALSE))),"")</f>
        <v>3A</v>
      </c>
      <c r="R742" t="str">
        <f>IFERROR(IF(INDEX(Winter!$1:$1048576,MATCH(All!$A742,Winter!$A:$A,FALSE),MATCH(All!R$1,Winter!$1:$1,FALSE))="","",INDEX(Winter!$1:$1048576,MATCH(All!$A742,Winter!$A:$A,FALSE),MATCH(All!R$1,Winter!$1:$1,FALSE))),"")</f>
        <v>2A</v>
      </c>
      <c r="S742" t="str">
        <f>IFERROR(IF(INDEX(Winter!$1:$1048576,MATCH(All!$A742,Winter!$A:$A,FALSE),MATCH(All!S$1,Winter!$1:$1,FALSE))="","",INDEX(Winter!$1:$1048576,MATCH(All!$A742,Winter!$A:$A,FALSE),MATCH(All!S$1,Winter!$1:$1,FALSE))),"")</f>
        <v/>
      </c>
      <c r="T742" t="str">
        <f>IFERROR(IF(INDEX(Winter!$1:$1048576,MATCH(All!$A742,Winter!$A:$A,FALSE),MATCH(All!T$1,Winter!$1:$1,FALSE))="","",INDEX(Winter!$1:$1048576,MATCH(All!$A742,Winter!$A:$A,FALSE),MATCH(All!T$1,Winter!$1:$1,FALSE))),"")</f>
        <v>2A</v>
      </c>
      <c r="U742" t="str">
        <f>IFERROR(IF(INDEX(Winter!$1:$1048576,MATCH(All!$A742,Winter!$A:$A,FALSE),MATCH(All!U$1,Winter!$1:$1,FALSE))="","",INDEX(Winter!$1:$1048576,MATCH(All!$A742,Winter!$A:$A,FALSE),MATCH(All!U$1,Winter!$1:$1,FALSE))),"")</f>
        <v>2A</v>
      </c>
      <c r="W742">
        <f>IFERROR(IF(INDEX(Spring!$1:$1048576,MATCH(All!$A742,Spring!$A:$A,FALSE),MATCH(All!W$1,Spring!$1:$1,FALSE))="","",INDEX(Spring!$1:$1048576,MATCH(All!$A742,Spring!$A:$A,FALSE),MATCH(All!W$1,Spring!$1:$1,FALSE))),"")</f>
        <v>845</v>
      </c>
      <c r="X742" t="str">
        <f>IFERROR(IF(INDEX(Spring!$1:$1048576,MATCH(All!$A742,Spring!$A:$A,FALSE),MATCH(All!X$1,Spring!$1:$1,FALSE))="","",INDEX(Spring!$1:$1048576,MATCH(All!$A742,Spring!$A:$A,FALSE),MATCH(All!X$1,Spring!$1:$1,FALSE))),"")</f>
        <v>3A</v>
      </c>
      <c r="Y742" t="str">
        <f>IFERROR(IF(INDEX(Spring!$1:$1048576,MATCH(All!$A742,Spring!$A:$A,FALSE),MATCH(All!Y$1,Spring!$1:$1,FALSE))="","",INDEX(Spring!$1:$1048576,MATCH(All!$A742,Spring!$A:$A,FALSE),MATCH(All!Y$1,Spring!$1:$1,FALSE))),"")</f>
        <v>3A</v>
      </c>
      <c r="Z742" t="str">
        <f>IFERROR(IF(INDEX(Spring!$1:$1048576,MATCH(All!$A742,Spring!$A:$A,FALSE),MATCH(All!Z$1,Spring!$1:$1,FALSE))="","",INDEX(Spring!$1:$1048576,MATCH(All!$A742,Spring!$A:$A,FALSE),MATCH(All!Z$1,Spring!$1:$1,FALSE))),"")</f>
        <v>2A</v>
      </c>
      <c r="AA742" t="str">
        <f>IFERROR(IF(INDEX(Spring!$1:$1048576,MATCH(All!$A742,Spring!$A:$A,FALSE),MATCH(All!AA$1,Spring!$1:$1,FALSE))="","",INDEX(Spring!$1:$1048576,MATCH(All!$A742,Spring!$A:$A,FALSE),MATCH(All!AA$1,Spring!$1:$1,FALSE))),"")</f>
        <v>1A</v>
      </c>
      <c r="AB742" t="str">
        <f>IFERROR(IF(INDEX(Spring!$1:$1048576,MATCH(All!$A742,Spring!$A:$A,FALSE),MATCH(All!AB$1,Spring!$1:$1,FALSE))="","",INDEX(Spring!$1:$1048576,MATCH(All!$A742,Spring!$A:$A,FALSE),MATCH(All!AB$1,Spring!$1:$1,FALSE))),"")</f>
        <v>2A</v>
      </c>
      <c r="AC742" t="str">
        <f>IFERROR(IF(INDEX(Spring!$1:$1048576,MATCH(All!$A742,Spring!$A:$A,FALSE),MATCH(All!AC$1,Spring!$1:$1,FALSE))="","",INDEX(Spring!$1:$1048576,MATCH(All!$A742,Spring!$A:$A,FALSE),MATCH(All!AC$1,Spring!$1:$1,FALSE))),"")</f>
        <v>2A</v>
      </c>
      <c r="AD742" t="str">
        <f>IFERROR(VLOOKUP(A742,'Flag Football'!A:A,1,FALSE),"")</f>
        <v/>
      </c>
      <c r="AE742" t="str">
        <f t="shared" si="11"/>
        <v/>
      </c>
    </row>
    <row r="743" spans="1:31" ht="15.75" thickBot="1" x14ac:dyDescent="0.3">
      <c r="A743" s="18" t="s">
        <v>851</v>
      </c>
      <c r="B743" s="38">
        <f>IFERROR(VLOOKUP(A743,'Public v Private'!A:G,3,FALSE),"")</f>
        <v>0</v>
      </c>
      <c r="C743" s="38">
        <f>IFERROR(VLOOKUP(A743,'Public v Private'!A:G,4,FALSE),"")</f>
        <v>0</v>
      </c>
      <c r="D743" s="38">
        <f>IFERROR(VLOOKUP(A743,'Public v Private'!A:G,5,FALSE),"")</f>
        <v>0</v>
      </c>
      <c r="E743" s="38"/>
      <c r="F743" s="40">
        <f>IFERROR(INDEX(Fall!$1:$1048576,MATCH(All!$A743,Fall!$A:$A,FALSE),MATCH(All!F$1,Fall!$1:$1,FALSE)),"N/A")</f>
        <v>282</v>
      </c>
      <c r="G743" t="str">
        <f>IFERROR(IF(INDEX(Fall!$1:$1048576,MATCH(All!$A743,Fall!$A:$A,FALSE),MATCH(All!G$1,Fall!$1:$1,FALSE))="","",INDEX(Fall!$1:$1048576,MATCH(All!$A743,Fall!$A:$A,FALSE),MATCH(All!G$1,Fall!$1:$1,FALSE))),"")</f>
        <v>1A</v>
      </c>
      <c r="H743" t="str">
        <f>IFERROR(IF(INDEX(Fall!$1:$1048576,MATCH(All!$A743,Fall!$A:$A,FALSE),MATCH(All!H$1,Fall!$1:$1,FALSE))="","",INDEX(Fall!$1:$1048576,MATCH(All!$A743,Fall!$A:$A,FALSE),MATCH(All!H$1,Fall!$1:$1,FALSE))),"")</f>
        <v/>
      </c>
      <c r="I743" t="str">
        <f>IFERROR(IF(INDEX(Fall!$1:$1048576,MATCH(All!$A743,Fall!$A:$A,FALSE),MATCH(All!I$1,Fall!$1:$1,FALSE))="","",INDEX(Fall!$1:$1048576,MATCH(All!$A743,Fall!$A:$A,FALSE),MATCH(All!I$1,Fall!$1:$1,FALSE))),"")</f>
        <v>1A</v>
      </c>
      <c r="J743" t="str">
        <f>IFERROR(IF(INDEX(Fall!$1:$1048576,MATCH(All!$A743,Fall!$A:$A,FALSE),MATCH(All!J$1,Fall!$1:$1,FALSE))="","",INDEX(Fall!$1:$1048576,MATCH(All!$A743,Fall!$A:$A,FALSE),MATCH(All!J$1,Fall!$1:$1,FALSE))),"")</f>
        <v>1A</v>
      </c>
      <c r="K743" t="str">
        <f>IFERROR(IF(INDEX(Fall!$1:$1048576,MATCH(All!$A743,Fall!$A:$A,FALSE),MATCH(All!K$1,Fall!$1:$1,FALSE))="","",INDEX(Fall!$1:$1048576,MATCH(All!$A743,Fall!$A:$A,FALSE),MATCH(All!K$1,Fall!$1:$1,FALSE))),"")</f>
        <v>1A</v>
      </c>
      <c r="L743" t="str">
        <f>IFERROR(IF(INDEX(Fall!$1:$1048576,MATCH(All!$A743,Fall!$A:$A,FALSE),MATCH(All!L$1,Fall!$1:$1,FALSE))="","",INDEX(Fall!$1:$1048576,MATCH(All!$A743,Fall!$A:$A,FALSE),MATCH(All!L$1,Fall!$1:$1,FALSE))),"")</f>
        <v>1A</v>
      </c>
      <c r="M743" t="str">
        <f>IFERROR(IF(INDEX(Fall!$1:$1048576,MATCH(All!$A743,Fall!$A:$A,FALSE),MATCH(All!M$1,Fall!$1:$1,FALSE))="","",INDEX(Fall!$1:$1048576,MATCH(All!$A743,Fall!$A:$A,FALSE),MATCH(All!M$1,Fall!$1:$1,FALSE))),"")</f>
        <v>1A</v>
      </c>
      <c r="O743">
        <f>IFERROR(IF(INDEX(Winter!$1:$1048576,MATCH(All!$A743,Winter!$A:$A,FALSE),MATCH(All!O$1,Winter!$1:$1,FALSE))="","",INDEX(Winter!$1:$1048576,MATCH(All!$A743,Winter!$A:$A,FALSE),MATCH(All!O$1,Winter!$1:$1,FALSE))),"")</f>
        <v>282</v>
      </c>
      <c r="P743" t="str">
        <f>IFERROR(IF(INDEX(Winter!$1:$1048576,MATCH(All!$A743,Winter!$A:$A,FALSE),MATCH(All!P$1,Winter!$1:$1,FALSE))="","",INDEX(Winter!$1:$1048576,MATCH(All!$A743,Winter!$A:$A,FALSE),MATCH(All!P$1,Winter!$1:$1,FALSE))),"")</f>
        <v>1A</v>
      </c>
      <c r="Q743" t="str">
        <f>IFERROR(IF(INDEX(Winter!$1:$1048576,MATCH(All!$A743,Winter!$A:$A,FALSE),MATCH(All!Q$1,Winter!$1:$1,FALSE))="","",INDEX(Winter!$1:$1048576,MATCH(All!$A743,Winter!$A:$A,FALSE),MATCH(All!Q$1,Winter!$1:$1,FALSE))),"")</f>
        <v>2A</v>
      </c>
      <c r="R743" t="str">
        <f>IFERROR(IF(INDEX(Winter!$1:$1048576,MATCH(All!$A743,Winter!$A:$A,FALSE),MATCH(All!R$1,Winter!$1:$1,FALSE))="","",INDEX(Winter!$1:$1048576,MATCH(All!$A743,Winter!$A:$A,FALSE),MATCH(All!R$1,Winter!$1:$1,FALSE))),"")</f>
        <v/>
      </c>
      <c r="S743" t="str">
        <f>IFERROR(IF(INDEX(Winter!$1:$1048576,MATCH(All!$A743,Winter!$A:$A,FALSE),MATCH(All!S$1,Winter!$1:$1,FALSE))="","",INDEX(Winter!$1:$1048576,MATCH(All!$A743,Winter!$A:$A,FALSE),MATCH(All!S$1,Winter!$1:$1,FALSE))),"")</f>
        <v/>
      </c>
      <c r="T743" t="str">
        <f>IFERROR(IF(INDEX(Winter!$1:$1048576,MATCH(All!$A743,Winter!$A:$A,FALSE),MATCH(All!T$1,Winter!$1:$1,FALSE))="","",INDEX(Winter!$1:$1048576,MATCH(All!$A743,Winter!$A:$A,FALSE),MATCH(All!T$1,Winter!$1:$1,FALSE))),"")</f>
        <v>1A</v>
      </c>
      <c r="U743" t="str">
        <f>IFERROR(IF(INDEX(Winter!$1:$1048576,MATCH(All!$A743,Winter!$A:$A,FALSE),MATCH(All!U$1,Winter!$1:$1,FALSE))="","",INDEX(Winter!$1:$1048576,MATCH(All!$A743,Winter!$A:$A,FALSE),MATCH(All!U$1,Winter!$1:$1,FALSE))),"")</f>
        <v/>
      </c>
      <c r="W743">
        <f>IFERROR(IF(INDEX(Spring!$1:$1048576,MATCH(All!$A743,Spring!$A:$A,FALSE),MATCH(All!W$1,Spring!$1:$1,FALSE))="","",INDEX(Spring!$1:$1048576,MATCH(All!$A743,Spring!$A:$A,FALSE),MATCH(All!W$1,Spring!$1:$1,FALSE))),"")</f>
        <v>282</v>
      </c>
      <c r="X743" t="str">
        <f>IFERROR(IF(INDEX(Spring!$1:$1048576,MATCH(All!$A743,Spring!$A:$A,FALSE),MATCH(All!X$1,Spring!$1:$1,FALSE))="","",INDEX(Spring!$1:$1048576,MATCH(All!$A743,Spring!$A:$A,FALSE),MATCH(All!X$1,Spring!$1:$1,FALSE))),"")</f>
        <v>1A</v>
      </c>
      <c r="Y743" t="str">
        <f>IFERROR(IF(INDEX(Spring!$1:$1048576,MATCH(All!$A743,Spring!$A:$A,FALSE),MATCH(All!Y$1,Spring!$1:$1,FALSE))="","",INDEX(Spring!$1:$1048576,MATCH(All!$A743,Spring!$A:$A,FALSE),MATCH(All!Y$1,Spring!$1:$1,FALSE))),"")</f>
        <v>1A</v>
      </c>
      <c r="Z743" t="str">
        <f>IFERROR(IF(INDEX(Spring!$1:$1048576,MATCH(All!$A743,Spring!$A:$A,FALSE),MATCH(All!Z$1,Spring!$1:$1,FALSE))="","",INDEX(Spring!$1:$1048576,MATCH(All!$A743,Spring!$A:$A,FALSE),MATCH(All!Z$1,Spring!$1:$1,FALSE))),"")</f>
        <v/>
      </c>
      <c r="AA743" t="str">
        <f>IFERROR(IF(INDEX(Spring!$1:$1048576,MATCH(All!$A743,Spring!$A:$A,FALSE),MATCH(All!AA$1,Spring!$1:$1,FALSE))="","",INDEX(Spring!$1:$1048576,MATCH(All!$A743,Spring!$A:$A,FALSE),MATCH(All!AA$1,Spring!$1:$1,FALSE))),"")</f>
        <v/>
      </c>
      <c r="AB743" t="str">
        <f>IFERROR(IF(INDEX(Spring!$1:$1048576,MATCH(All!$A743,Spring!$A:$A,FALSE),MATCH(All!AB$1,Spring!$1:$1,FALSE))="","",INDEX(Spring!$1:$1048576,MATCH(All!$A743,Spring!$A:$A,FALSE),MATCH(All!AB$1,Spring!$1:$1,FALSE))),"")</f>
        <v>1A</v>
      </c>
      <c r="AC743" t="str">
        <f>IFERROR(IF(INDEX(Spring!$1:$1048576,MATCH(All!$A743,Spring!$A:$A,FALSE),MATCH(All!AC$1,Spring!$1:$1,FALSE))="","",INDEX(Spring!$1:$1048576,MATCH(All!$A743,Spring!$A:$A,FALSE),MATCH(All!AC$1,Spring!$1:$1,FALSE))),"")</f>
        <v>1A</v>
      </c>
      <c r="AD743" t="str">
        <f>IFERROR(VLOOKUP(A743,'Flag Football'!A:A,1,FALSE),"")</f>
        <v/>
      </c>
      <c r="AE743" t="str">
        <f t="shared" si="11"/>
        <v/>
      </c>
    </row>
    <row r="744" spans="1:31" ht="15.75" thickBot="1" x14ac:dyDescent="0.3">
      <c r="A744" s="20" t="s">
        <v>852</v>
      </c>
      <c r="B744" s="38">
        <f>IFERROR(VLOOKUP(A744,'Public v Private'!A:G,3,FALSE),"")</f>
        <v>0</v>
      </c>
      <c r="C744" s="38">
        <f>IFERROR(VLOOKUP(A744,'Public v Private'!A:G,4,FALSE),"")</f>
        <v>0</v>
      </c>
      <c r="D744" s="38">
        <f>IFERROR(VLOOKUP(A744,'Public v Private'!A:G,5,FALSE),"")</f>
        <v>0</v>
      </c>
      <c r="E744" s="38"/>
      <c r="F744" s="40">
        <f>IFERROR(INDEX(Fall!$1:$1048576,MATCH(All!$A744,Fall!$A:$A,FALSE),MATCH(All!F$1,Fall!$1:$1,FALSE)),"N/A")</f>
        <v>1396</v>
      </c>
      <c r="G744" t="str">
        <f>IFERROR(IF(INDEX(Fall!$1:$1048576,MATCH(All!$A744,Fall!$A:$A,FALSE),MATCH(All!G$1,Fall!$1:$1,FALSE))="","",INDEX(Fall!$1:$1048576,MATCH(All!$A744,Fall!$A:$A,FALSE),MATCH(All!G$1,Fall!$1:$1,FALSE))),"")</f>
        <v>2A</v>
      </c>
      <c r="H744" t="str">
        <f>IFERROR(IF(INDEX(Fall!$1:$1048576,MATCH(All!$A744,Fall!$A:$A,FALSE),MATCH(All!H$1,Fall!$1:$1,FALSE))="","",INDEX(Fall!$1:$1048576,MATCH(All!$A744,Fall!$A:$A,FALSE),MATCH(All!H$1,Fall!$1:$1,FALSE))),"")</f>
        <v>2A</v>
      </c>
      <c r="I744" t="str">
        <f>IFERROR(IF(INDEX(Fall!$1:$1048576,MATCH(All!$A744,Fall!$A:$A,FALSE),MATCH(All!I$1,Fall!$1:$1,FALSE))="","",INDEX(Fall!$1:$1048576,MATCH(All!$A744,Fall!$A:$A,FALSE),MATCH(All!I$1,Fall!$1:$1,FALSE))),"")</f>
        <v>2A</v>
      </c>
      <c r="J744" t="str">
        <f>IFERROR(IF(INDEX(Fall!$1:$1048576,MATCH(All!$A744,Fall!$A:$A,FALSE),MATCH(All!J$1,Fall!$1:$1,FALSE))="","",INDEX(Fall!$1:$1048576,MATCH(All!$A744,Fall!$A:$A,FALSE),MATCH(All!J$1,Fall!$1:$1,FALSE))),"")</f>
        <v>2A</v>
      </c>
      <c r="K744" t="str">
        <f>IFERROR(IF(INDEX(Fall!$1:$1048576,MATCH(All!$A744,Fall!$A:$A,FALSE),MATCH(All!K$1,Fall!$1:$1,FALSE))="","",INDEX(Fall!$1:$1048576,MATCH(All!$A744,Fall!$A:$A,FALSE),MATCH(All!K$1,Fall!$1:$1,FALSE))),"")</f>
        <v>2A</v>
      </c>
      <c r="L744" t="str">
        <f>IFERROR(IF(INDEX(Fall!$1:$1048576,MATCH(All!$A744,Fall!$A:$A,FALSE),MATCH(All!L$1,Fall!$1:$1,FALSE))="","",INDEX(Fall!$1:$1048576,MATCH(All!$A744,Fall!$A:$A,FALSE),MATCH(All!L$1,Fall!$1:$1,FALSE))),"")</f>
        <v>1A</v>
      </c>
      <c r="M744" t="str">
        <f>IFERROR(IF(INDEX(Fall!$1:$1048576,MATCH(All!$A744,Fall!$A:$A,FALSE),MATCH(All!M$1,Fall!$1:$1,FALSE))="","",INDEX(Fall!$1:$1048576,MATCH(All!$A744,Fall!$A:$A,FALSE),MATCH(All!M$1,Fall!$1:$1,FALSE))),"")</f>
        <v>3A</v>
      </c>
      <c r="O744">
        <f>IFERROR(IF(INDEX(Winter!$1:$1048576,MATCH(All!$A744,Winter!$A:$A,FALSE),MATCH(All!O$1,Winter!$1:$1,FALSE))="","",INDEX(Winter!$1:$1048576,MATCH(All!$A744,Winter!$A:$A,FALSE),MATCH(All!O$1,Winter!$1:$1,FALSE))),"")</f>
        <v>1396</v>
      </c>
      <c r="P744" t="str">
        <f>IFERROR(IF(INDEX(Winter!$1:$1048576,MATCH(All!$A744,Winter!$A:$A,FALSE),MATCH(All!P$1,Winter!$1:$1,FALSE))="","",INDEX(Winter!$1:$1048576,MATCH(All!$A744,Winter!$A:$A,FALSE),MATCH(All!P$1,Winter!$1:$1,FALSE))),"")</f>
        <v>3A</v>
      </c>
      <c r="Q744" t="str">
        <f>IFERROR(IF(INDEX(Winter!$1:$1048576,MATCH(All!$A744,Winter!$A:$A,FALSE),MATCH(All!Q$1,Winter!$1:$1,FALSE))="","",INDEX(Winter!$1:$1048576,MATCH(All!$A744,Winter!$A:$A,FALSE),MATCH(All!Q$1,Winter!$1:$1,FALSE))),"")</f>
        <v>3A</v>
      </c>
      <c r="R744" t="str">
        <f>IFERROR(IF(INDEX(Winter!$1:$1048576,MATCH(All!$A744,Winter!$A:$A,FALSE),MATCH(All!R$1,Winter!$1:$1,FALSE))="","",INDEX(Winter!$1:$1048576,MATCH(All!$A744,Winter!$A:$A,FALSE),MATCH(All!R$1,Winter!$1:$1,FALSE))),"")</f>
        <v>2A</v>
      </c>
      <c r="S744" t="str">
        <f>IFERROR(IF(INDEX(Winter!$1:$1048576,MATCH(All!$A744,Winter!$A:$A,FALSE),MATCH(All!S$1,Winter!$1:$1,FALSE))="","",INDEX(Winter!$1:$1048576,MATCH(All!$A744,Winter!$A:$A,FALSE),MATCH(All!S$1,Winter!$1:$1,FALSE))),"")</f>
        <v>2A</v>
      </c>
      <c r="T744" t="str">
        <f>IFERROR(IF(INDEX(Winter!$1:$1048576,MATCH(All!$A744,Winter!$A:$A,FALSE),MATCH(All!T$1,Winter!$1:$1,FALSE))="","",INDEX(Winter!$1:$1048576,MATCH(All!$A744,Winter!$A:$A,FALSE),MATCH(All!T$1,Winter!$1:$1,FALSE))),"")</f>
        <v>2A</v>
      </c>
      <c r="U744" t="str">
        <f>IFERROR(IF(INDEX(Winter!$1:$1048576,MATCH(All!$A744,Winter!$A:$A,FALSE),MATCH(All!U$1,Winter!$1:$1,FALSE))="","",INDEX(Winter!$1:$1048576,MATCH(All!$A744,Winter!$A:$A,FALSE),MATCH(All!U$1,Winter!$1:$1,FALSE))),"")</f>
        <v>2A</v>
      </c>
      <c r="W744">
        <f>IFERROR(IF(INDEX(Spring!$1:$1048576,MATCH(All!$A744,Spring!$A:$A,FALSE),MATCH(All!W$1,Spring!$1:$1,FALSE))="","",INDEX(Spring!$1:$1048576,MATCH(All!$A744,Spring!$A:$A,FALSE),MATCH(All!W$1,Spring!$1:$1,FALSE))),"")</f>
        <v>1396</v>
      </c>
      <c r="X744" t="str">
        <f>IFERROR(IF(INDEX(Spring!$1:$1048576,MATCH(All!$A744,Spring!$A:$A,FALSE),MATCH(All!X$1,Spring!$1:$1,FALSE))="","",INDEX(Spring!$1:$1048576,MATCH(All!$A744,Spring!$A:$A,FALSE),MATCH(All!X$1,Spring!$1:$1,FALSE))),"")</f>
        <v>3A</v>
      </c>
      <c r="Y744" t="str">
        <f>IFERROR(IF(INDEX(Spring!$1:$1048576,MATCH(All!$A744,Spring!$A:$A,FALSE),MATCH(All!Y$1,Spring!$1:$1,FALSE))="","",INDEX(Spring!$1:$1048576,MATCH(All!$A744,Spring!$A:$A,FALSE),MATCH(All!Y$1,Spring!$1:$1,FALSE))),"")</f>
        <v>3A</v>
      </c>
      <c r="Z744" t="str">
        <f>IFERROR(IF(INDEX(Spring!$1:$1048576,MATCH(All!$A744,Spring!$A:$A,FALSE),MATCH(All!Z$1,Spring!$1:$1,FALSE))="","",INDEX(Spring!$1:$1048576,MATCH(All!$A744,Spring!$A:$A,FALSE),MATCH(All!Z$1,Spring!$1:$1,FALSE))),"")</f>
        <v>2A</v>
      </c>
      <c r="AA744" t="str">
        <f>IFERROR(IF(INDEX(Spring!$1:$1048576,MATCH(All!$A744,Spring!$A:$A,FALSE),MATCH(All!AA$1,Spring!$1:$1,FALSE))="","",INDEX(Spring!$1:$1048576,MATCH(All!$A744,Spring!$A:$A,FALSE),MATCH(All!AA$1,Spring!$1:$1,FALSE))),"")</f>
        <v>1A</v>
      </c>
      <c r="AB744" t="str">
        <f>IFERROR(IF(INDEX(Spring!$1:$1048576,MATCH(All!$A744,Spring!$A:$A,FALSE),MATCH(All!AB$1,Spring!$1:$1,FALSE))="","",INDEX(Spring!$1:$1048576,MATCH(All!$A744,Spring!$A:$A,FALSE),MATCH(All!AB$1,Spring!$1:$1,FALSE))),"")</f>
        <v>3A</v>
      </c>
      <c r="AC744" t="str">
        <f>IFERROR(IF(INDEX(Spring!$1:$1048576,MATCH(All!$A744,Spring!$A:$A,FALSE),MATCH(All!AC$1,Spring!$1:$1,FALSE))="","",INDEX(Spring!$1:$1048576,MATCH(All!$A744,Spring!$A:$A,FALSE),MATCH(All!AC$1,Spring!$1:$1,FALSE))),"")</f>
        <v>3A</v>
      </c>
      <c r="AD744" t="str">
        <f>IFERROR(VLOOKUP(A744,'Flag Football'!A:A,1,FALSE),"")</f>
        <v>Wauconda</v>
      </c>
      <c r="AE744" t="str">
        <f t="shared" si="11"/>
        <v>1A</v>
      </c>
    </row>
    <row r="745" spans="1:31" ht="15.75" thickBot="1" x14ac:dyDescent="0.3">
      <c r="A745" s="18" t="s">
        <v>853</v>
      </c>
      <c r="B745" s="38" t="str">
        <f>IFERROR(VLOOKUP(A745,'Public v Private'!A:G,3,FALSE),"")</f>
        <v>private</v>
      </c>
      <c r="C745" s="38">
        <f>IFERROR(VLOOKUP(A745,'Public v Private'!A:G,4,FALSE),"")</f>
        <v>2</v>
      </c>
      <c r="D745" s="38">
        <f>IFERROR(VLOOKUP(A745,'Public v Private'!A:G,5,FALSE),"")</f>
        <v>6</v>
      </c>
      <c r="E745" s="38"/>
      <c r="F745" s="40" t="str">
        <f>IFERROR(INDEX(Fall!$1:$1048576,MATCH(All!$A745,Fall!$A:$A,FALSE),MATCH(All!F$1,Fall!$1:$1,FALSE)),"N/A")</f>
        <v>428.00 (706.20)</v>
      </c>
      <c r="G745" t="str">
        <f>IFERROR(IF(INDEX(Fall!$1:$1048576,MATCH(All!$A745,Fall!$A:$A,FALSE),MATCH(All!G$1,Fall!$1:$1,FALSE))="","",INDEX(Fall!$1:$1048576,MATCH(All!$A745,Fall!$A:$A,FALSE),MATCH(All!G$1,Fall!$1:$1,FALSE))),"")</f>
        <v/>
      </c>
      <c r="H745" t="str">
        <f>IFERROR(IF(INDEX(Fall!$1:$1048576,MATCH(All!$A745,Fall!$A:$A,FALSE),MATCH(All!H$1,Fall!$1:$1,FALSE))="","",INDEX(Fall!$1:$1048576,MATCH(All!$A745,Fall!$A:$A,FALSE),MATCH(All!H$1,Fall!$1:$1,FALSE))),"")</f>
        <v/>
      </c>
      <c r="I745" t="str">
        <f>IFERROR(IF(INDEX(Fall!$1:$1048576,MATCH(All!$A745,Fall!$A:$A,FALSE),MATCH(All!I$1,Fall!$1:$1,FALSE))="","",INDEX(Fall!$1:$1048576,MATCH(All!$A745,Fall!$A:$A,FALSE),MATCH(All!I$1,Fall!$1:$1,FALSE))),"")</f>
        <v/>
      </c>
      <c r="J745" t="str">
        <f>IFERROR(IF(INDEX(Fall!$1:$1048576,MATCH(All!$A745,Fall!$A:$A,FALSE),MATCH(All!J$1,Fall!$1:$1,FALSE))="","",INDEX(Fall!$1:$1048576,MATCH(All!$A745,Fall!$A:$A,FALSE),MATCH(All!J$1,Fall!$1:$1,FALSE))),"")</f>
        <v/>
      </c>
      <c r="K745" t="str">
        <f>IFERROR(IF(INDEX(Fall!$1:$1048576,MATCH(All!$A745,Fall!$A:$A,FALSE),MATCH(All!K$1,Fall!$1:$1,FALSE))="","",INDEX(Fall!$1:$1048576,MATCH(All!$A745,Fall!$A:$A,FALSE),MATCH(All!K$1,Fall!$1:$1,FALSE))),"")</f>
        <v>2A</v>
      </c>
      <c r="L745" t="str">
        <f>IFERROR(IF(INDEX(Fall!$1:$1048576,MATCH(All!$A745,Fall!$A:$A,FALSE),MATCH(All!L$1,Fall!$1:$1,FALSE))="","",INDEX(Fall!$1:$1048576,MATCH(All!$A745,Fall!$A:$A,FALSE),MATCH(All!L$1,Fall!$1:$1,FALSE))),"")</f>
        <v/>
      </c>
      <c r="M745" t="str">
        <f>IFERROR(IF(INDEX(Fall!$1:$1048576,MATCH(All!$A745,Fall!$A:$A,FALSE),MATCH(All!M$1,Fall!$1:$1,FALSE))="","",INDEX(Fall!$1:$1048576,MATCH(All!$A745,Fall!$A:$A,FALSE),MATCH(All!M$1,Fall!$1:$1,FALSE))),"")</f>
        <v>3A</v>
      </c>
      <c r="O745" t="str">
        <f>IFERROR(IF(INDEX(Winter!$1:$1048576,MATCH(All!$A745,Winter!$A:$A,FALSE),MATCH(All!O$1,Winter!$1:$1,FALSE))="","",INDEX(Winter!$1:$1048576,MATCH(All!$A745,Winter!$A:$A,FALSE),MATCH(All!O$1,Winter!$1:$1,FALSE))),"")</f>
        <v>428.00 (706.20)</v>
      </c>
      <c r="P745" t="str">
        <f>IFERROR(IF(INDEX(Winter!$1:$1048576,MATCH(All!$A745,Winter!$A:$A,FALSE),MATCH(All!P$1,Winter!$1:$1,FALSE))="","",INDEX(Winter!$1:$1048576,MATCH(All!$A745,Winter!$A:$A,FALSE),MATCH(All!P$1,Winter!$1:$1,FALSE))),"")</f>
        <v>3A</v>
      </c>
      <c r="Q745" t="str">
        <f>IFERROR(IF(INDEX(Winter!$1:$1048576,MATCH(All!$A745,Winter!$A:$A,FALSE),MATCH(All!Q$1,Winter!$1:$1,FALSE))="","",INDEX(Winter!$1:$1048576,MATCH(All!$A745,Winter!$A:$A,FALSE),MATCH(All!Q$1,Winter!$1:$1,FALSE))),"")</f>
        <v>3A</v>
      </c>
      <c r="R745" t="str">
        <f>IFERROR(IF(INDEX(Winter!$1:$1048576,MATCH(All!$A745,Winter!$A:$A,FALSE),MATCH(All!R$1,Winter!$1:$1,FALSE))="","",INDEX(Winter!$1:$1048576,MATCH(All!$A745,Winter!$A:$A,FALSE),MATCH(All!R$1,Winter!$1:$1,FALSE))),"")</f>
        <v/>
      </c>
      <c r="S745" t="str">
        <f>IFERROR(IF(INDEX(Winter!$1:$1048576,MATCH(All!$A745,Winter!$A:$A,FALSE),MATCH(All!S$1,Winter!$1:$1,FALSE))="","",INDEX(Winter!$1:$1048576,MATCH(All!$A745,Winter!$A:$A,FALSE),MATCH(All!S$1,Winter!$1:$1,FALSE))),"")</f>
        <v/>
      </c>
      <c r="T745" t="str">
        <f>IFERROR(IF(INDEX(Winter!$1:$1048576,MATCH(All!$A745,Winter!$A:$A,FALSE),MATCH(All!T$1,Winter!$1:$1,FALSE))="","",INDEX(Winter!$1:$1048576,MATCH(All!$A745,Winter!$A:$A,FALSE),MATCH(All!T$1,Winter!$1:$1,FALSE))),"")</f>
        <v/>
      </c>
      <c r="U745" t="str">
        <f>IFERROR(IF(INDEX(Winter!$1:$1048576,MATCH(All!$A745,Winter!$A:$A,FALSE),MATCH(All!U$1,Winter!$1:$1,FALSE))="","",INDEX(Winter!$1:$1048576,MATCH(All!$A745,Winter!$A:$A,FALSE),MATCH(All!U$1,Winter!$1:$1,FALSE))),"")</f>
        <v/>
      </c>
      <c r="W745" t="str">
        <f>IFERROR(IF(INDEX(Spring!$1:$1048576,MATCH(All!$A745,Spring!$A:$A,FALSE),MATCH(All!W$1,Spring!$1:$1,FALSE))="","",INDEX(Spring!$1:$1048576,MATCH(All!$A745,Spring!$A:$A,FALSE),MATCH(All!W$1,Spring!$1:$1,FALSE))),"")</f>
        <v>428.00 (706.20)</v>
      </c>
      <c r="X745" t="str">
        <f>IFERROR(IF(INDEX(Spring!$1:$1048576,MATCH(All!$A745,Spring!$A:$A,FALSE),MATCH(All!X$1,Spring!$1:$1,FALSE))="","",INDEX(Spring!$1:$1048576,MATCH(All!$A745,Spring!$A:$A,FALSE),MATCH(All!X$1,Spring!$1:$1,FALSE))),"")</f>
        <v/>
      </c>
      <c r="Y745" t="str">
        <f>IFERROR(IF(INDEX(Spring!$1:$1048576,MATCH(All!$A745,Spring!$A:$A,FALSE),MATCH(All!Y$1,Spring!$1:$1,FALSE))="","",INDEX(Spring!$1:$1048576,MATCH(All!$A745,Spring!$A:$A,FALSE),MATCH(All!Y$1,Spring!$1:$1,FALSE))),"")</f>
        <v/>
      </c>
      <c r="Z745" t="str">
        <f>IFERROR(IF(INDEX(Spring!$1:$1048576,MATCH(All!$A745,Spring!$A:$A,FALSE),MATCH(All!Z$1,Spring!$1:$1,FALSE))="","",INDEX(Spring!$1:$1048576,MATCH(All!$A745,Spring!$A:$A,FALSE),MATCH(All!Z$1,Spring!$1:$1,FALSE))),"")</f>
        <v>1A</v>
      </c>
      <c r="AA745" t="str">
        <f>IFERROR(IF(INDEX(Spring!$1:$1048576,MATCH(All!$A745,Spring!$A:$A,FALSE),MATCH(All!AA$1,Spring!$1:$1,FALSE))="","",INDEX(Spring!$1:$1048576,MATCH(All!$A745,Spring!$A:$A,FALSE),MATCH(All!AA$1,Spring!$1:$1,FALSE))),"")</f>
        <v/>
      </c>
      <c r="AB745" t="str">
        <f>IFERROR(IF(INDEX(Spring!$1:$1048576,MATCH(All!$A745,Spring!$A:$A,FALSE),MATCH(All!AB$1,Spring!$1:$1,FALSE))="","",INDEX(Spring!$1:$1048576,MATCH(All!$A745,Spring!$A:$A,FALSE),MATCH(All!AB$1,Spring!$1:$1,FALSE))),"")</f>
        <v/>
      </c>
      <c r="AC745" t="str">
        <f>IFERROR(IF(INDEX(Spring!$1:$1048576,MATCH(All!$A745,Spring!$A:$A,FALSE),MATCH(All!AC$1,Spring!$1:$1,FALSE))="","",INDEX(Spring!$1:$1048576,MATCH(All!$A745,Spring!$A:$A,FALSE),MATCH(All!AC$1,Spring!$1:$1,FALSE))),"")</f>
        <v/>
      </c>
      <c r="AD745" t="str">
        <f>IFERROR(VLOOKUP(A745,'Flag Football'!A:A,1,FALSE),"")</f>
        <v/>
      </c>
      <c r="AE745" t="str">
        <f t="shared" si="11"/>
        <v/>
      </c>
    </row>
    <row r="746" spans="1:31" ht="15.75" thickBot="1" x14ac:dyDescent="0.3">
      <c r="A746" s="20" t="s">
        <v>855</v>
      </c>
      <c r="B746" s="38">
        <f>IFERROR(VLOOKUP(A746,'Public v Private'!A:G,3,FALSE),"")</f>
        <v>0</v>
      </c>
      <c r="C746" s="38">
        <f>IFERROR(VLOOKUP(A746,'Public v Private'!A:G,4,FALSE),"")</f>
        <v>0</v>
      </c>
      <c r="D746" s="38">
        <f>IFERROR(VLOOKUP(A746,'Public v Private'!A:G,5,FALSE),"")</f>
        <v>0</v>
      </c>
      <c r="E746" s="38"/>
      <c r="F746" s="40">
        <f>IFERROR(INDEX(Fall!$1:$1048576,MATCH(All!$A746,Fall!$A:$A,FALSE),MATCH(All!F$1,Fall!$1:$1,FALSE)),"N/A")</f>
        <v>4119</v>
      </c>
      <c r="G746" t="str">
        <f>IFERROR(IF(INDEX(Fall!$1:$1048576,MATCH(All!$A746,Fall!$A:$A,FALSE),MATCH(All!G$1,Fall!$1:$1,FALSE))="","",INDEX(Fall!$1:$1048576,MATCH(All!$A746,Fall!$A:$A,FALSE),MATCH(All!G$1,Fall!$1:$1,FALSE))),"")</f>
        <v>3A</v>
      </c>
      <c r="H746" t="str">
        <f>IFERROR(IF(INDEX(Fall!$1:$1048576,MATCH(All!$A746,Fall!$A:$A,FALSE),MATCH(All!H$1,Fall!$1:$1,FALSE))="","",INDEX(Fall!$1:$1048576,MATCH(All!$A746,Fall!$A:$A,FALSE),MATCH(All!H$1,Fall!$1:$1,FALSE))),"")</f>
        <v>3A</v>
      </c>
      <c r="I746" t="str">
        <f>IFERROR(IF(INDEX(Fall!$1:$1048576,MATCH(All!$A746,Fall!$A:$A,FALSE),MATCH(All!I$1,Fall!$1:$1,FALSE))="","",INDEX(Fall!$1:$1048576,MATCH(All!$A746,Fall!$A:$A,FALSE),MATCH(All!I$1,Fall!$1:$1,FALSE))),"")</f>
        <v>3A</v>
      </c>
      <c r="J746" t="str">
        <f>IFERROR(IF(INDEX(Fall!$1:$1048576,MATCH(All!$A746,Fall!$A:$A,FALSE),MATCH(All!J$1,Fall!$1:$1,FALSE))="","",INDEX(Fall!$1:$1048576,MATCH(All!$A746,Fall!$A:$A,FALSE),MATCH(All!J$1,Fall!$1:$1,FALSE))),"")</f>
        <v/>
      </c>
      <c r="K746" t="str">
        <f>IFERROR(IF(INDEX(Fall!$1:$1048576,MATCH(All!$A746,Fall!$A:$A,FALSE),MATCH(All!K$1,Fall!$1:$1,FALSE))="","",INDEX(Fall!$1:$1048576,MATCH(All!$A746,Fall!$A:$A,FALSE),MATCH(All!K$1,Fall!$1:$1,FALSE))),"")</f>
        <v>3A</v>
      </c>
      <c r="L746" t="str">
        <f>IFERROR(IF(INDEX(Fall!$1:$1048576,MATCH(All!$A746,Fall!$A:$A,FALSE),MATCH(All!L$1,Fall!$1:$1,FALSE))="","",INDEX(Fall!$1:$1048576,MATCH(All!$A746,Fall!$A:$A,FALSE),MATCH(All!L$1,Fall!$1:$1,FALSE))),"")</f>
        <v>2A</v>
      </c>
      <c r="M746" t="str">
        <f>IFERROR(IF(INDEX(Fall!$1:$1048576,MATCH(All!$A746,Fall!$A:$A,FALSE),MATCH(All!M$1,Fall!$1:$1,FALSE))="","",INDEX(Fall!$1:$1048576,MATCH(All!$A746,Fall!$A:$A,FALSE),MATCH(All!M$1,Fall!$1:$1,FALSE))),"")</f>
        <v>4A</v>
      </c>
      <c r="O746">
        <f>IFERROR(IF(INDEX(Winter!$1:$1048576,MATCH(All!$A746,Winter!$A:$A,FALSE),MATCH(All!O$1,Winter!$1:$1,FALSE))="","",INDEX(Winter!$1:$1048576,MATCH(All!$A746,Winter!$A:$A,FALSE),MATCH(All!O$1,Winter!$1:$1,FALSE))),"")</f>
        <v>4119</v>
      </c>
      <c r="P746" t="str">
        <f>IFERROR(IF(INDEX(Winter!$1:$1048576,MATCH(All!$A746,Winter!$A:$A,FALSE),MATCH(All!P$1,Winter!$1:$1,FALSE))="","",INDEX(Winter!$1:$1048576,MATCH(All!$A746,Winter!$A:$A,FALSE),MATCH(All!P$1,Winter!$1:$1,FALSE))),"")</f>
        <v>4A</v>
      </c>
      <c r="Q746" t="str">
        <f>IFERROR(IF(INDEX(Winter!$1:$1048576,MATCH(All!$A746,Winter!$A:$A,FALSE),MATCH(All!Q$1,Winter!$1:$1,FALSE))="","",INDEX(Winter!$1:$1048576,MATCH(All!$A746,Winter!$A:$A,FALSE),MATCH(All!Q$1,Winter!$1:$1,FALSE))),"")</f>
        <v>4A</v>
      </c>
      <c r="R746" t="str">
        <f>IFERROR(IF(INDEX(Winter!$1:$1048576,MATCH(All!$A746,Winter!$A:$A,FALSE),MATCH(All!R$1,Winter!$1:$1,FALSE))="","",INDEX(Winter!$1:$1048576,MATCH(All!$A746,Winter!$A:$A,FALSE),MATCH(All!R$1,Winter!$1:$1,FALSE))),"")</f>
        <v>3A</v>
      </c>
      <c r="S746" t="str">
        <f>IFERROR(IF(INDEX(Winter!$1:$1048576,MATCH(All!$A746,Winter!$A:$A,FALSE),MATCH(All!S$1,Winter!$1:$1,FALSE))="","",INDEX(Winter!$1:$1048576,MATCH(All!$A746,Winter!$A:$A,FALSE),MATCH(All!S$1,Winter!$1:$1,FALSE))),"")</f>
        <v>3A</v>
      </c>
      <c r="T746" t="str">
        <f>IFERROR(IF(INDEX(Winter!$1:$1048576,MATCH(All!$A746,Winter!$A:$A,FALSE),MATCH(All!T$1,Winter!$1:$1,FALSE))="","",INDEX(Winter!$1:$1048576,MATCH(All!$A746,Winter!$A:$A,FALSE),MATCH(All!T$1,Winter!$1:$1,FALSE))),"")</f>
        <v>2A</v>
      </c>
      <c r="U746" t="str">
        <f>IFERROR(IF(INDEX(Winter!$1:$1048576,MATCH(All!$A746,Winter!$A:$A,FALSE),MATCH(All!U$1,Winter!$1:$1,FALSE))="","",INDEX(Winter!$1:$1048576,MATCH(All!$A746,Winter!$A:$A,FALSE),MATCH(All!U$1,Winter!$1:$1,FALSE))),"")</f>
        <v>3A</v>
      </c>
      <c r="W746">
        <f>IFERROR(IF(INDEX(Spring!$1:$1048576,MATCH(All!$A746,Spring!$A:$A,FALSE),MATCH(All!W$1,Spring!$1:$1,FALSE))="","",INDEX(Spring!$1:$1048576,MATCH(All!$A746,Spring!$A:$A,FALSE),MATCH(All!W$1,Spring!$1:$1,FALSE))),"")</f>
        <v>4119</v>
      </c>
      <c r="X746" t="str">
        <f>IFERROR(IF(INDEX(Spring!$1:$1048576,MATCH(All!$A746,Spring!$A:$A,FALSE),MATCH(All!X$1,Spring!$1:$1,FALSE))="","",INDEX(Spring!$1:$1048576,MATCH(All!$A746,Spring!$A:$A,FALSE),MATCH(All!X$1,Spring!$1:$1,FALSE))),"")</f>
        <v>4A</v>
      </c>
      <c r="Y746" t="str">
        <f>IFERROR(IF(INDEX(Spring!$1:$1048576,MATCH(All!$A746,Spring!$A:$A,FALSE),MATCH(All!Y$1,Spring!$1:$1,FALSE))="","",INDEX(Spring!$1:$1048576,MATCH(All!$A746,Spring!$A:$A,FALSE),MATCH(All!Y$1,Spring!$1:$1,FALSE))),"")</f>
        <v>4A</v>
      </c>
      <c r="Z746" t="str">
        <f>IFERROR(IF(INDEX(Spring!$1:$1048576,MATCH(All!$A746,Spring!$A:$A,FALSE),MATCH(All!Z$1,Spring!$1:$1,FALSE))="","",INDEX(Spring!$1:$1048576,MATCH(All!$A746,Spring!$A:$A,FALSE),MATCH(All!Z$1,Spring!$1:$1,FALSE))),"")</f>
        <v>3A</v>
      </c>
      <c r="AA746" t="str">
        <f>IFERROR(IF(INDEX(Spring!$1:$1048576,MATCH(All!$A746,Spring!$A:$A,FALSE),MATCH(All!AA$1,Spring!$1:$1,FALSE))="","",INDEX(Spring!$1:$1048576,MATCH(All!$A746,Spring!$A:$A,FALSE),MATCH(All!AA$1,Spring!$1:$1,FALSE))),"")</f>
        <v/>
      </c>
      <c r="AB746" t="str">
        <f>IFERROR(IF(INDEX(Spring!$1:$1048576,MATCH(All!$A746,Spring!$A:$A,FALSE),MATCH(All!AB$1,Spring!$1:$1,FALSE))="","",INDEX(Spring!$1:$1048576,MATCH(All!$A746,Spring!$A:$A,FALSE),MATCH(All!AB$1,Spring!$1:$1,FALSE))),"")</f>
        <v>3A</v>
      </c>
      <c r="AC746" t="str">
        <f>IFERROR(IF(INDEX(Spring!$1:$1048576,MATCH(All!$A746,Spring!$A:$A,FALSE),MATCH(All!AC$1,Spring!$1:$1,FALSE))="","",INDEX(Spring!$1:$1048576,MATCH(All!$A746,Spring!$A:$A,FALSE),MATCH(All!AC$1,Spring!$1:$1,FALSE))),"")</f>
        <v>3A</v>
      </c>
      <c r="AD746" t="str">
        <f>IFERROR(VLOOKUP(A746,'Flag Football'!A:A,1,FALSE),"")</f>
        <v>Waukegan (H.S.)</v>
      </c>
      <c r="AE746" t="str">
        <f t="shared" si="11"/>
        <v>1A</v>
      </c>
    </row>
    <row r="747" spans="1:31" ht="15.75" thickBot="1" x14ac:dyDescent="0.3">
      <c r="A747" s="18" t="s">
        <v>856</v>
      </c>
      <c r="B747" s="38">
        <f>IFERROR(VLOOKUP(A747,'Public v Private'!A:G,3,FALSE),"")</f>
        <v>0</v>
      </c>
      <c r="C747" s="38">
        <f>IFERROR(VLOOKUP(A747,'Public v Private'!A:G,4,FALSE),"")</f>
        <v>0</v>
      </c>
      <c r="D747" s="38">
        <f>IFERROR(VLOOKUP(A747,'Public v Private'!A:G,5,FALSE),"")</f>
        <v>0</v>
      </c>
      <c r="E747" s="38"/>
      <c r="F747" s="40">
        <f>IFERROR(INDEX(Fall!$1:$1048576,MATCH(All!$A747,Fall!$A:$A,FALSE),MATCH(All!F$1,Fall!$1:$1,FALSE)),"N/A")</f>
        <v>96</v>
      </c>
      <c r="G747" t="str">
        <f>IFERROR(IF(INDEX(Fall!$1:$1048576,MATCH(All!$A747,Fall!$A:$A,FALSE),MATCH(All!G$1,Fall!$1:$1,FALSE))="","",INDEX(Fall!$1:$1048576,MATCH(All!$A747,Fall!$A:$A,FALSE),MATCH(All!G$1,Fall!$1:$1,FALSE))),"")</f>
        <v/>
      </c>
      <c r="H747" t="str">
        <f>IFERROR(IF(INDEX(Fall!$1:$1048576,MATCH(All!$A747,Fall!$A:$A,FALSE),MATCH(All!H$1,Fall!$1:$1,FALSE))="","",INDEX(Fall!$1:$1048576,MATCH(All!$A747,Fall!$A:$A,FALSE),MATCH(All!H$1,Fall!$1:$1,FALSE))),"")</f>
        <v/>
      </c>
      <c r="I747" t="str">
        <f>IFERROR(IF(INDEX(Fall!$1:$1048576,MATCH(All!$A747,Fall!$A:$A,FALSE),MATCH(All!I$1,Fall!$1:$1,FALSE))="","",INDEX(Fall!$1:$1048576,MATCH(All!$A747,Fall!$A:$A,FALSE),MATCH(All!I$1,Fall!$1:$1,FALSE))),"")</f>
        <v>1A</v>
      </c>
      <c r="J747" t="str">
        <f>IFERROR(IF(INDEX(Fall!$1:$1048576,MATCH(All!$A747,Fall!$A:$A,FALSE),MATCH(All!J$1,Fall!$1:$1,FALSE))="","",INDEX(Fall!$1:$1048576,MATCH(All!$A747,Fall!$A:$A,FALSE),MATCH(All!J$1,Fall!$1:$1,FALSE))),"")</f>
        <v>1A</v>
      </c>
      <c r="K747" t="str">
        <f>IFERROR(IF(INDEX(Fall!$1:$1048576,MATCH(All!$A747,Fall!$A:$A,FALSE),MATCH(All!K$1,Fall!$1:$1,FALSE))="","",INDEX(Fall!$1:$1048576,MATCH(All!$A747,Fall!$A:$A,FALSE),MATCH(All!K$1,Fall!$1:$1,FALSE))),"")</f>
        <v/>
      </c>
      <c r="L747" t="str">
        <f>IFERROR(IF(INDEX(Fall!$1:$1048576,MATCH(All!$A747,Fall!$A:$A,FALSE),MATCH(All!L$1,Fall!$1:$1,FALSE))="","",INDEX(Fall!$1:$1048576,MATCH(All!$A747,Fall!$A:$A,FALSE),MATCH(All!L$1,Fall!$1:$1,FALSE))),"")</f>
        <v/>
      </c>
      <c r="M747" t="str">
        <f>IFERROR(IF(INDEX(Fall!$1:$1048576,MATCH(All!$A747,Fall!$A:$A,FALSE),MATCH(All!M$1,Fall!$1:$1,FALSE))="","",INDEX(Fall!$1:$1048576,MATCH(All!$A747,Fall!$A:$A,FALSE),MATCH(All!M$1,Fall!$1:$1,FALSE))),"")</f>
        <v/>
      </c>
      <c r="O747">
        <f>IFERROR(IF(INDEX(Winter!$1:$1048576,MATCH(All!$A747,Winter!$A:$A,FALSE),MATCH(All!O$1,Winter!$1:$1,FALSE))="","",INDEX(Winter!$1:$1048576,MATCH(All!$A747,Winter!$A:$A,FALSE),MATCH(All!O$1,Winter!$1:$1,FALSE))),"")</f>
        <v>96</v>
      </c>
      <c r="P747" t="str">
        <f>IFERROR(IF(INDEX(Winter!$1:$1048576,MATCH(All!$A747,Winter!$A:$A,FALSE),MATCH(All!P$1,Winter!$1:$1,FALSE))="","",INDEX(Winter!$1:$1048576,MATCH(All!$A747,Winter!$A:$A,FALSE),MATCH(All!P$1,Winter!$1:$1,FALSE))),"")</f>
        <v/>
      </c>
      <c r="Q747" t="str">
        <f>IFERROR(IF(INDEX(Winter!$1:$1048576,MATCH(All!$A747,Winter!$A:$A,FALSE),MATCH(All!Q$1,Winter!$1:$1,FALSE))="","",INDEX(Winter!$1:$1048576,MATCH(All!$A747,Winter!$A:$A,FALSE),MATCH(All!Q$1,Winter!$1:$1,FALSE))),"")</f>
        <v>2A</v>
      </c>
      <c r="R747" t="str">
        <f>IFERROR(IF(INDEX(Winter!$1:$1048576,MATCH(All!$A747,Winter!$A:$A,FALSE),MATCH(All!R$1,Winter!$1:$1,FALSE))="","",INDEX(Winter!$1:$1048576,MATCH(All!$A747,Winter!$A:$A,FALSE),MATCH(All!R$1,Winter!$1:$1,FALSE))),"")</f>
        <v/>
      </c>
      <c r="S747" t="str">
        <f>IFERROR(IF(INDEX(Winter!$1:$1048576,MATCH(All!$A747,Winter!$A:$A,FALSE),MATCH(All!S$1,Winter!$1:$1,FALSE))="","",INDEX(Winter!$1:$1048576,MATCH(All!$A747,Winter!$A:$A,FALSE),MATCH(All!S$1,Winter!$1:$1,FALSE))),"")</f>
        <v/>
      </c>
      <c r="T747" t="str">
        <f>IFERROR(IF(INDEX(Winter!$1:$1048576,MATCH(All!$A747,Winter!$A:$A,FALSE),MATCH(All!T$1,Winter!$1:$1,FALSE))="","",INDEX(Winter!$1:$1048576,MATCH(All!$A747,Winter!$A:$A,FALSE),MATCH(All!T$1,Winter!$1:$1,FALSE))),"")</f>
        <v>1A</v>
      </c>
      <c r="U747" t="str">
        <f>IFERROR(IF(INDEX(Winter!$1:$1048576,MATCH(All!$A747,Winter!$A:$A,FALSE),MATCH(All!U$1,Winter!$1:$1,FALSE))="","",INDEX(Winter!$1:$1048576,MATCH(All!$A747,Winter!$A:$A,FALSE),MATCH(All!U$1,Winter!$1:$1,FALSE))),"")</f>
        <v/>
      </c>
      <c r="W747">
        <f>IFERROR(IF(INDEX(Spring!$1:$1048576,MATCH(All!$A747,Spring!$A:$A,FALSE),MATCH(All!W$1,Spring!$1:$1,FALSE))="","",INDEX(Spring!$1:$1048576,MATCH(All!$A747,Spring!$A:$A,FALSE),MATCH(All!W$1,Spring!$1:$1,FALSE))),"")</f>
        <v>96</v>
      </c>
      <c r="X747" t="str">
        <f>IFERROR(IF(INDEX(Spring!$1:$1048576,MATCH(All!$A747,Spring!$A:$A,FALSE),MATCH(All!X$1,Spring!$1:$1,FALSE))="","",INDEX(Spring!$1:$1048576,MATCH(All!$A747,Spring!$A:$A,FALSE),MATCH(All!X$1,Spring!$1:$1,FALSE))),"")</f>
        <v/>
      </c>
      <c r="Y747" t="str">
        <f>IFERROR(IF(INDEX(Spring!$1:$1048576,MATCH(All!$A747,Spring!$A:$A,FALSE),MATCH(All!Y$1,Spring!$1:$1,FALSE))="","",INDEX(Spring!$1:$1048576,MATCH(All!$A747,Spring!$A:$A,FALSE),MATCH(All!Y$1,Spring!$1:$1,FALSE))),"")</f>
        <v/>
      </c>
      <c r="Z747" t="str">
        <f>IFERROR(IF(INDEX(Spring!$1:$1048576,MATCH(All!$A747,Spring!$A:$A,FALSE),MATCH(All!Z$1,Spring!$1:$1,FALSE))="","",INDEX(Spring!$1:$1048576,MATCH(All!$A747,Spring!$A:$A,FALSE),MATCH(All!Z$1,Spring!$1:$1,FALSE))),"")</f>
        <v/>
      </c>
      <c r="AA747" t="str">
        <f>IFERROR(IF(INDEX(Spring!$1:$1048576,MATCH(All!$A747,Spring!$A:$A,FALSE),MATCH(All!AA$1,Spring!$1:$1,FALSE))="","",INDEX(Spring!$1:$1048576,MATCH(All!$A747,Spring!$A:$A,FALSE),MATCH(All!AA$1,Spring!$1:$1,FALSE))),"")</f>
        <v/>
      </c>
      <c r="AB747" t="str">
        <f>IFERROR(IF(INDEX(Spring!$1:$1048576,MATCH(All!$A747,Spring!$A:$A,FALSE),MATCH(All!AB$1,Spring!$1:$1,FALSE))="","",INDEX(Spring!$1:$1048576,MATCH(All!$A747,Spring!$A:$A,FALSE),MATCH(All!AB$1,Spring!$1:$1,FALSE))),"")</f>
        <v>1A</v>
      </c>
      <c r="AC747" t="str">
        <f>IFERROR(IF(INDEX(Spring!$1:$1048576,MATCH(All!$A747,Spring!$A:$A,FALSE),MATCH(All!AC$1,Spring!$1:$1,FALSE))="","",INDEX(Spring!$1:$1048576,MATCH(All!$A747,Spring!$A:$A,FALSE),MATCH(All!AC$1,Spring!$1:$1,FALSE))),"")</f>
        <v>1A</v>
      </c>
      <c r="AD747" t="str">
        <f>IFERROR(VLOOKUP(A747,'Flag Football'!A:A,1,FALSE),"")</f>
        <v/>
      </c>
      <c r="AE747" t="str">
        <f t="shared" si="11"/>
        <v/>
      </c>
    </row>
    <row r="748" spans="1:31" ht="15.75" thickBot="1" x14ac:dyDescent="0.3">
      <c r="A748" s="20" t="s">
        <v>857</v>
      </c>
      <c r="B748" s="38">
        <f>IFERROR(VLOOKUP(A748,'Public v Private'!A:G,3,FALSE),"")</f>
        <v>0</v>
      </c>
      <c r="C748" s="38">
        <f>IFERROR(VLOOKUP(A748,'Public v Private'!A:G,4,FALSE),"")</f>
        <v>0</v>
      </c>
      <c r="D748" s="38">
        <f>IFERROR(VLOOKUP(A748,'Public v Private'!A:G,5,FALSE),"")</f>
        <v>0</v>
      </c>
      <c r="E748" s="38"/>
      <c r="F748" s="40">
        <f>IFERROR(INDEX(Fall!$1:$1048576,MATCH(All!$A748,Fall!$A:$A,FALSE),MATCH(All!F$1,Fall!$1:$1,FALSE)),"N/A")</f>
        <v>134</v>
      </c>
      <c r="G748" t="str">
        <f>IFERROR(IF(INDEX(Fall!$1:$1048576,MATCH(All!$A748,Fall!$A:$A,FALSE),MATCH(All!G$1,Fall!$1:$1,FALSE))="","",INDEX(Fall!$1:$1048576,MATCH(All!$A748,Fall!$A:$A,FALSE),MATCH(All!G$1,Fall!$1:$1,FALSE))),"")</f>
        <v/>
      </c>
      <c r="H748" t="str">
        <f>IFERROR(IF(INDEX(Fall!$1:$1048576,MATCH(All!$A748,Fall!$A:$A,FALSE),MATCH(All!H$1,Fall!$1:$1,FALSE))="","",INDEX(Fall!$1:$1048576,MATCH(All!$A748,Fall!$A:$A,FALSE),MATCH(All!H$1,Fall!$1:$1,FALSE))),"")</f>
        <v/>
      </c>
      <c r="I748" t="str">
        <f>IFERROR(IF(INDEX(Fall!$1:$1048576,MATCH(All!$A748,Fall!$A:$A,FALSE),MATCH(All!I$1,Fall!$1:$1,FALSE))="","",INDEX(Fall!$1:$1048576,MATCH(All!$A748,Fall!$A:$A,FALSE),MATCH(All!I$1,Fall!$1:$1,FALSE))),"")</f>
        <v>1A</v>
      </c>
      <c r="J748" t="str">
        <f>IFERROR(IF(INDEX(Fall!$1:$1048576,MATCH(All!$A748,Fall!$A:$A,FALSE),MATCH(All!J$1,Fall!$1:$1,FALSE))="","",INDEX(Fall!$1:$1048576,MATCH(All!$A748,Fall!$A:$A,FALSE),MATCH(All!J$1,Fall!$1:$1,FALSE))),"")</f>
        <v/>
      </c>
      <c r="K748" t="str">
        <f>IFERROR(IF(INDEX(Fall!$1:$1048576,MATCH(All!$A748,Fall!$A:$A,FALSE),MATCH(All!K$1,Fall!$1:$1,FALSE))="","",INDEX(Fall!$1:$1048576,MATCH(All!$A748,Fall!$A:$A,FALSE),MATCH(All!K$1,Fall!$1:$1,FALSE))),"")</f>
        <v/>
      </c>
      <c r="L748" t="str">
        <f>IFERROR(IF(INDEX(Fall!$1:$1048576,MATCH(All!$A748,Fall!$A:$A,FALSE),MATCH(All!L$1,Fall!$1:$1,FALSE))="","",INDEX(Fall!$1:$1048576,MATCH(All!$A748,Fall!$A:$A,FALSE),MATCH(All!L$1,Fall!$1:$1,FALSE))),"")</f>
        <v/>
      </c>
      <c r="M748" t="str">
        <f>IFERROR(IF(INDEX(Fall!$1:$1048576,MATCH(All!$A748,Fall!$A:$A,FALSE),MATCH(All!M$1,Fall!$1:$1,FALSE))="","",INDEX(Fall!$1:$1048576,MATCH(All!$A748,Fall!$A:$A,FALSE),MATCH(All!M$1,Fall!$1:$1,FALSE))),"")</f>
        <v>1A</v>
      </c>
      <c r="O748">
        <f>IFERROR(IF(INDEX(Winter!$1:$1048576,MATCH(All!$A748,Winter!$A:$A,FALSE),MATCH(All!O$1,Winter!$1:$1,FALSE))="","",INDEX(Winter!$1:$1048576,MATCH(All!$A748,Winter!$A:$A,FALSE),MATCH(All!O$1,Winter!$1:$1,FALSE))),"")</f>
        <v>134</v>
      </c>
      <c r="P748" t="str">
        <f>IFERROR(IF(INDEX(Winter!$1:$1048576,MATCH(All!$A748,Winter!$A:$A,FALSE),MATCH(All!P$1,Winter!$1:$1,FALSE))="","",INDEX(Winter!$1:$1048576,MATCH(All!$A748,Winter!$A:$A,FALSE),MATCH(All!P$1,Winter!$1:$1,FALSE))),"")</f>
        <v>1A</v>
      </c>
      <c r="Q748" t="str">
        <f>IFERROR(IF(INDEX(Winter!$1:$1048576,MATCH(All!$A748,Winter!$A:$A,FALSE),MATCH(All!Q$1,Winter!$1:$1,FALSE))="","",INDEX(Winter!$1:$1048576,MATCH(All!$A748,Winter!$A:$A,FALSE),MATCH(All!Q$1,Winter!$1:$1,FALSE))),"")</f>
        <v>1A</v>
      </c>
      <c r="R748" t="str">
        <f>IFERROR(IF(INDEX(Winter!$1:$1048576,MATCH(All!$A748,Winter!$A:$A,FALSE),MATCH(All!R$1,Winter!$1:$1,FALSE))="","",INDEX(Winter!$1:$1048576,MATCH(All!$A748,Winter!$A:$A,FALSE),MATCH(All!R$1,Winter!$1:$1,FALSE))),"")</f>
        <v/>
      </c>
      <c r="S748" t="str">
        <f>IFERROR(IF(INDEX(Winter!$1:$1048576,MATCH(All!$A748,Winter!$A:$A,FALSE),MATCH(All!S$1,Winter!$1:$1,FALSE))="","",INDEX(Winter!$1:$1048576,MATCH(All!$A748,Winter!$A:$A,FALSE),MATCH(All!S$1,Winter!$1:$1,FALSE))),"")</f>
        <v/>
      </c>
      <c r="T748" t="str">
        <f>IFERROR(IF(INDEX(Winter!$1:$1048576,MATCH(All!$A748,Winter!$A:$A,FALSE),MATCH(All!T$1,Winter!$1:$1,FALSE))="","",INDEX(Winter!$1:$1048576,MATCH(All!$A748,Winter!$A:$A,FALSE),MATCH(All!T$1,Winter!$1:$1,FALSE))),"")</f>
        <v>1A</v>
      </c>
      <c r="U748" t="str">
        <f>IFERROR(IF(INDEX(Winter!$1:$1048576,MATCH(All!$A748,Winter!$A:$A,FALSE),MATCH(All!U$1,Winter!$1:$1,FALSE))="","",INDEX(Winter!$1:$1048576,MATCH(All!$A748,Winter!$A:$A,FALSE),MATCH(All!U$1,Winter!$1:$1,FALSE))),"")</f>
        <v/>
      </c>
      <c r="W748">
        <f>IFERROR(IF(INDEX(Spring!$1:$1048576,MATCH(All!$A748,Spring!$A:$A,FALSE),MATCH(All!W$1,Spring!$1:$1,FALSE))="","",INDEX(Spring!$1:$1048576,MATCH(All!$A748,Spring!$A:$A,FALSE),MATCH(All!W$1,Spring!$1:$1,FALSE))),"")</f>
        <v>134</v>
      </c>
      <c r="X748" t="str">
        <f>IFERROR(IF(INDEX(Spring!$1:$1048576,MATCH(All!$A748,Spring!$A:$A,FALSE),MATCH(All!X$1,Spring!$1:$1,FALSE))="","",INDEX(Spring!$1:$1048576,MATCH(All!$A748,Spring!$A:$A,FALSE),MATCH(All!X$1,Spring!$1:$1,FALSE))),"")</f>
        <v>1A</v>
      </c>
      <c r="Y748" t="str">
        <f>IFERROR(IF(INDEX(Spring!$1:$1048576,MATCH(All!$A748,Spring!$A:$A,FALSE),MATCH(All!Y$1,Spring!$1:$1,FALSE))="","",INDEX(Spring!$1:$1048576,MATCH(All!$A748,Spring!$A:$A,FALSE),MATCH(All!Y$1,Spring!$1:$1,FALSE))),"")</f>
        <v>1A</v>
      </c>
      <c r="Z748" t="str">
        <f>IFERROR(IF(INDEX(Spring!$1:$1048576,MATCH(All!$A748,Spring!$A:$A,FALSE),MATCH(All!Z$1,Spring!$1:$1,FALSE))="","",INDEX(Spring!$1:$1048576,MATCH(All!$A748,Spring!$A:$A,FALSE),MATCH(All!Z$1,Spring!$1:$1,FALSE))),"")</f>
        <v/>
      </c>
      <c r="AA748" t="str">
        <f>IFERROR(IF(INDEX(Spring!$1:$1048576,MATCH(All!$A748,Spring!$A:$A,FALSE),MATCH(All!AA$1,Spring!$1:$1,FALSE))="","",INDEX(Spring!$1:$1048576,MATCH(All!$A748,Spring!$A:$A,FALSE),MATCH(All!AA$1,Spring!$1:$1,FALSE))),"")</f>
        <v/>
      </c>
      <c r="AB748" t="str">
        <f>IFERROR(IF(INDEX(Spring!$1:$1048576,MATCH(All!$A748,Spring!$A:$A,FALSE),MATCH(All!AB$1,Spring!$1:$1,FALSE))="","",INDEX(Spring!$1:$1048576,MATCH(All!$A748,Spring!$A:$A,FALSE),MATCH(All!AB$1,Spring!$1:$1,FALSE))),"")</f>
        <v/>
      </c>
      <c r="AC748" t="str">
        <f>IFERROR(IF(INDEX(Spring!$1:$1048576,MATCH(All!$A748,Spring!$A:$A,FALSE),MATCH(All!AC$1,Spring!$1:$1,FALSE))="","",INDEX(Spring!$1:$1048576,MATCH(All!$A748,Spring!$A:$A,FALSE),MATCH(All!AC$1,Spring!$1:$1,FALSE))),"")</f>
        <v/>
      </c>
      <c r="AD748" t="str">
        <f>IFERROR(VLOOKUP(A748,'Flag Football'!A:A,1,FALSE),"")</f>
        <v/>
      </c>
      <c r="AE748" t="str">
        <f t="shared" si="11"/>
        <v/>
      </c>
    </row>
    <row r="749" spans="1:31" ht="15.75" thickBot="1" x14ac:dyDescent="0.3">
      <c r="A749" s="18" t="s">
        <v>858</v>
      </c>
      <c r="B749" s="38">
        <f>IFERROR(VLOOKUP(A749,'Public v Private'!A:G,3,FALSE),"")</f>
        <v>0</v>
      </c>
      <c r="C749" s="38">
        <f>IFERROR(VLOOKUP(A749,'Public v Private'!A:G,4,FALSE),"")</f>
        <v>0</v>
      </c>
      <c r="D749" s="38">
        <f>IFERROR(VLOOKUP(A749,'Public v Private'!A:G,5,FALSE),"")</f>
        <v>0</v>
      </c>
      <c r="E749" s="38"/>
      <c r="F749" s="40">
        <f>IFERROR(INDEX(Fall!$1:$1048576,MATCH(All!$A749,Fall!$A:$A,FALSE),MATCH(All!F$1,Fall!$1:$1,FALSE)),"N/A")</f>
        <v>1973</v>
      </c>
      <c r="G749" t="str">
        <f>IFERROR(IF(INDEX(Fall!$1:$1048576,MATCH(All!$A749,Fall!$A:$A,FALSE),MATCH(All!G$1,Fall!$1:$1,FALSE))="","",INDEX(Fall!$1:$1048576,MATCH(All!$A749,Fall!$A:$A,FALSE),MATCH(All!G$1,Fall!$1:$1,FALSE))),"")</f>
        <v>3A</v>
      </c>
      <c r="H749" t="str">
        <f>IFERROR(IF(INDEX(Fall!$1:$1048576,MATCH(All!$A749,Fall!$A:$A,FALSE),MATCH(All!H$1,Fall!$1:$1,FALSE))="","",INDEX(Fall!$1:$1048576,MATCH(All!$A749,Fall!$A:$A,FALSE),MATCH(All!H$1,Fall!$1:$1,FALSE))),"")</f>
        <v>3A</v>
      </c>
      <c r="I749" t="str">
        <f>IFERROR(IF(INDEX(Fall!$1:$1048576,MATCH(All!$A749,Fall!$A:$A,FALSE),MATCH(All!I$1,Fall!$1:$1,FALSE))="","",INDEX(Fall!$1:$1048576,MATCH(All!$A749,Fall!$A:$A,FALSE),MATCH(All!I$1,Fall!$1:$1,FALSE))),"")</f>
        <v>3A</v>
      </c>
      <c r="J749" t="str">
        <f>IFERROR(IF(INDEX(Fall!$1:$1048576,MATCH(All!$A749,Fall!$A:$A,FALSE),MATCH(All!J$1,Fall!$1:$1,FALSE))="","",INDEX(Fall!$1:$1048576,MATCH(All!$A749,Fall!$A:$A,FALSE),MATCH(All!J$1,Fall!$1:$1,FALSE))),"")</f>
        <v>2A</v>
      </c>
      <c r="K749" t="str">
        <f>IFERROR(IF(INDEX(Fall!$1:$1048576,MATCH(All!$A749,Fall!$A:$A,FALSE),MATCH(All!K$1,Fall!$1:$1,FALSE))="","",INDEX(Fall!$1:$1048576,MATCH(All!$A749,Fall!$A:$A,FALSE),MATCH(All!K$1,Fall!$1:$1,FALSE))),"")</f>
        <v>3A</v>
      </c>
      <c r="L749" t="str">
        <f>IFERROR(IF(INDEX(Fall!$1:$1048576,MATCH(All!$A749,Fall!$A:$A,FALSE),MATCH(All!L$1,Fall!$1:$1,FALSE))="","",INDEX(Fall!$1:$1048576,MATCH(All!$A749,Fall!$A:$A,FALSE),MATCH(All!L$1,Fall!$1:$1,FALSE))),"")</f>
        <v>2A</v>
      </c>
      <c r="M749" t="str">
        <f>IFERROR(IF(INDEX(Fall!$1:$1048576,MATCH(All!$A749,Fall!$A:$A,FALSE),MATCH(All!M$1,Fall!$1:$1,FALSE))="","",INDEX(Fall!$1:$1048576,MATCH(All!$A749,Fall!$A:$A,FALSE),MATCH(All!M$1,Fall!$1:$1,FALSE))),"")</f>
        <v>4A</v>
      </c>
      <c r="O749">
        <f>IFERROR(IF(INDEX(Winter!$1:$1048576,MATCH(All!$A749,Winter!$A:$A,FALSE),MATCH(All!O$1,Winter!$1:$1,FALSE))="","",INDEX(Winter!$1:$1048576,MATCH(All!$A749,Winter!$A:$A,FALSE),MATCH(All!O$1,Winter!$1:$1,FALSE))),"")</f>
        <v>1973</v>
      </c>
      <c r="P749" t="str">
        <f>IFERROR(IF(INDEX(Winter!$1:$1048576,MATCH(All!$A749,Winter!$A:$A,FALSE),MATCH(All!P$1,Winter!$1:$1,FALSE))="","",INDEX(Winter!$1:$1048576,MATCH(All!$A749,Winter!$A:$A,FALSE),MATCH(All!P$1,Winter!$1:$1,FALSE))),"")</f>
        <v>4A</v>
      </c>
      <c r="Q749" t="str">
        <f>IFERROR(IF(INDEX(Winter!$1:$1048576,MATCH(All!$A749,Winter!$A:$A,FALSE),MATCH(All!Q$1,Winter!$1:$1,FALSE))="","",INDEX(Winter!$1:$1048576,MATCH(All!$A749,Winter!$A:$A,FALSE),MATCH(All!Q$1,Winter!$1:$1,FALSE))),"")</f>
        <v>4A</v>
      </c>
      <c r="R749" t="str">
        <f>IFERROR(IF(INDEX(Winter!$1:$1048576,MATCH(All!$A749,Winter!$A:$A,FALSE),MATCH(All!R$1,Winter!$1:$1,FALSE))="","",INDEX(Winter!$1:$1048576,MATCH(All!$A749,Winter!$A:$A,FALSE),MATCH(All!R$1,Winter!$1:$1,FALSE))),"")</f>
        <v>3A</v>
      </c>
      <c r="S749" t="str">
        <f>IFERROR(IF(INDEX(Winter!$1:$1048576,MATCH(All!$A749,Winter!$A:$A,FALSE),MATCH(All!S$1,Winter!$1:$1,FALSE))="","",INDEX(Winter!$1:$1048576,MATCH(All!$A749,Winter!$A:$A,FALSE),MATCH(All!S$1,Winter!$1:$1,FALSE))),"")</f>
        <v>3A</v>
      </c>
      <c r="T749" t="str">
        <f>IFERROR(IF(INDEX(Winter!$1:$1048576,MATCH(All!$A749,Winter!$A:$A,FALSE),MATCH(All!T$1,Winter!$1:$1,FALSE))="","",INDEX(Winter!$1:$1048576,MATCH(All!$A749,Winter!$A:$A,FALSE),MATCH(All!T$1,Winter!$1:$1,FALSE))),"")</f>
        <v>2A</v>
      </c>
      <c r="U749" t="str">
        <f>IFERROR(IF(INDEX(Winter!$1:$1048576,MATCH(All!$A749,Winter!$A:$A,FALSE),MATCH(All!U$1,Winter!$1:$1,FALSE))="","",INDEX(Winter!$1:$1048576,MATCH(All!$A749,Winter!$A:$A,FALSE),MATCH(All!U$1,Winter!$1:$1,FALSE))),"")</f>
        <v>3A</v>
      </c>
      <c r="W749">
        <f>IFERROR(IF(INDEX(Spring!$1:$1048576,MATCH(All!$A749,Spring!$A:$A,FALSE),MATCH(All!W$1,Spring!$1:$1,FALSE))="","",INDEX(Spring!$1:$1048576,MATCH(All!$A749,Spring!$A:$A,FALSE),MATCH(All!W$1,Spring!$1:$1,FALSE))),"")</f>
        <v>1973</v>
      </c>
      <c r="X749" t="str">
        <f>IFERROR(IF(INDEX(Spring!$1:$1048576,MATCH(All!$A749,Spring!$A:$A,FALSE),MATCH(All!X$1,Spring!$1:$1,FALSE))="","",INDEX(Spring!$1:$1048576,MATCH(All!$A749,Spring!$A:$A,FALSE),MATCH(All!X$1,Spring!$1:$1,FALSE))),"")</f>
        <v>4A</v>
      </c>
      <c r="Y749" t="str">
        <f>IFERROR(IF(INDEX(Spring!$1:$1048576,MATCH(All!$A749,Spring!$A:$A,FALSE),MATCH(All!Y$1,Spring!$1:$1,FALSE))="","",INDEX(Spring!$1:$1048576,MATCH(All!$A749,Spring!$A:$A,FALSE),MATCH(All!Y$1,Spring!$1:$1,FALSE))),"")</f>
        <v>4A</v>
      </c>
      <c r="Z749" t="str">
        <f>IFERROR(IF(INDEX(Spring!$1:$1048576,MATCH(All!$A749,Spring!$A:$A,FALSE),MATCH(All!Z$1,Spring!$1:$1,FALSE))="","",INDEX(Spring!$1:$1048576,MATCH(All!$A749,Spring!$A:$A,FALSE),MATCH(All!Z$1,Spring!$1:$1,FALSE))),"")</f>
        <v>3A</v>
      </c>
      <c r="AA749" t="str">
        <f>IFERROR(IF(INDEX(Spring!$1:$1048576,MATCH(All!$A749,Spring!$A:$A,FALSE),MATCH(All!AA$1,Spring!$1:$1,FALSE))="","",INDEX(Spring!$1:$1048576,MATCH(All!$A749,Spring!$A:$A,FALSE),MATCH(All!AA$1,Spring!$1:$1,FALSE))),"")</f>
        <v>2A</v>
      </c>
      <c r="AB749" t="str">
        <f>IFERROR(IF(INDEX(Spring!$1:$1048576,MATCH(All!$A749,Spring!$A:$A,FALSE),MATCH(All!AB$1,Spring!$1:$1,FALSE))="","",INDEX(Spring!$1:$1048576,MATCH(All!$A749,Spring!$A:$A,FALSE),MATCH(All!AB$1,Spring!$1:$1,FALSE))),"")</f>
        <v>3A</v>
      </c>
      <c r="AC749" t="str">
        <f>IFERROR(IF(INDEX(Spring!$1:$1048576,MATCH(All!$A749,Spring!$A:$A,FALSE),MATCH(All!AC$1,Spring!$1:$1,FALSE))="","",INDEX(Spring!$1:$1048576,MATCH(All!$A749,Spring!$A:$A,FALSE),MATCH(All!AC$1,Spring!$1:$1,FALSE))),"")</f>
        <v>3A</v>
      </c>
      <c r="AD749" t="str">
        <f>IFERROR(VLOOKUP(A749,'Flag Football'!A:A,1,FALSE),"")</f>
        <v>West Chicago (H.S.)</v>
      </c>
      <c r="AE749" t="str">
        <f t="shared" si="11"/>
        <v>1A</v>
      </c>
    </row>
    <row r="750" spans="1:31" ht="15.75" thickBot="1" x14ac:dyDescent="0.3">
      <c r="A750" s="20" t="s">
        <v>859</v>
      </c>
      <c r="B750" s="38" t="str">
        <f>IFERROR(VLOOKUP(A750,'Public v Private'!A:G,3,FALSE),"")</f>
        <v>private</v>
      </c>
      <c r="C750" s="38">
        <f>IFERROR(VLOOKUP(A750,'Public v Private'!A:G,4,FALSE),"")</f>
        <v>3</v>
      </c>
      <c r="D750" s="38">
        <f>IFERROR(VLOOKUP(A750,'Public v Private'!A:G,5,FALSE),"")</f>
        <v>7</v>
      </c>
      <c r="E750" s="38"/>
      <c r="F750" s="40" t="str">
        <f>IFERROR(INDEX(Fall!$1:$1048576,MATCH(All!$A750,Fall!$A:$A,FALSE),MATCH(All!F$1,Fall!$1:$1,FALSE)),"N/A")</f>
        <v>670.00 (1,105.50)</v>
      </c>
      <c r="G750" t="str">
        <f>IFERROR(IF(INDEX(Fall!$1:$1048576,MATCH(All!$A750,Fall!$A:$A,FALSE),MATCH(All!G$1,Fall!$1:$1,FALSE))="","",INDEX(Fall!$1:$1048576,MATCH(All!$A750,Fall!$A:$A,FALSE),MATCH(All!G$1,Fall!$1:$1,FALSE))),"")</f>
        <v>2A</v>
      </c>
      <c r="H750" t="str">
        <f>IFERROR(IF(INDEX(Fall!$1:$1048576,MATCH(All!$A750,Fall!$A:$A,FALSE),MATCH(All!H$1,Fall!$1:$1,FALSE))="","",INDEX(Fall!$1:$1048576,MATCH(All!$A750,Fall!$A:$A,FALSE),MATCH(All!H$1,Fall!$1:$1,FALSE))),"")</f>
        <v>2A</v>
      </c>
      <c r="I750" t="str">
        <f>IFERROR(IF(INDEX(Fall!$1:$1048576,MATCH(All!$A750,Fall!$A:$A,FALSE),MATCH(All!I$1,Fall!$1:$1,FALSE))="","",INDEX(Fall!$1:$1048576,MATCH(All!$A750,Fall!$A:$A,FALSE),MATCH(All!I$1,Fall!$1:$1,FALSE))),"")</f>
        <v>2A</v>
      </c>
      <c r="J750" t="str">
        <f>IFERROR(IF(INDEX(Fall!$1:$1048576,MATCH(All!$A750,Fall!$A:$A,FALSE),MATCH(All!J$1,Fall!$1:$1,FALSE))="","",INDEX(Fall!$1:$1048576,MATCH(All!$A750,Fall!$A:$A,FALSE),MATCH(All!J$1,Fall!$1:$1,FALSE))),"")</f>
        <v>1A</v>
      </c>
      <c r="K750" t="str">
        <f>IFERROR(IF(INDEX(Fall!$1:$1048576,MATCH(All!$A750,Fall!$A:$A,FALSE),MATCH(All!K$1,Fall!$1:$1,FALSE))="","",INDEX(Fall!$1:$1048576,MATCH(All!$A750,Fall!$A:$A,FALSE),MATCH(All!K$1,Fall!$1:$1,FALSE))),"")</f>
        <v>2A</v>
      </c>
      <c r="L750" t="str">
        <f>IFERROR(IF(INDEX(Fall!$1:$1048576,MATCH(All!$A750,Fall!$A:$A,FALSE),MATCH(All!L$1,Fall!$1:$1,FALSE))="","",INDEX(Fall!$1:$1048576,MATCH(All!$A750,Fall!$A:$A,FALSE),MATCH(All!L$1,Fall!$1:$1,FALSE))),"")</f>
        <v>1A</v>
      </c>
      <c r="M750" t="str">
        <f>IFERROR(IF(INDEX(Fall!$1:$1048576,MATCH(All!$A750,Fall!$A:$A,FALSE),MATCH(All!M$1,Fall!$1:$1,FALSE))="","",INDEX(Fall!$1:$1048576,MATCH(All!$A750,Fall!$A:$A,FALSE),MATCH(All!M$1,Fall!$1:$1,FALSE))),"")</f>
        <v>3A</v>
      </c>
      <c r="O750" t="str">
        <f>IFERROR(IF(INDEX(Winter!$1:$1048576,MATCH(All!$A750,Winter!$A:$A,FALSE),MATCH(All!O$1,Winter!$1:$1,FALSE))="","",INDEX(Winter!$1:$1048576,MATCH(All!$A750,Winter!$A:$A,FALSE),MATCH(All!O$1,Winter!$1:$1,FALSE))),"")</f>
        <v>670.00 (1,105.50)</v>
      </c>
      <c r="P750" t="str">
        <f>IFERROR(IF(INDEX(Winter!$1:$1048576,MATCH(All!$A750,Winter!$A:$A,FALSE),MATCH(All!P$1,Winter!$1:$1,FALSE))="","",INDEX(Winter!$1:$1048576,MATCH(All!$A750,Winter!$A:$A,FALSE),MATCH(All!P$1,Winter!$1:$1,FALSE))),"")</f>
        <v>3A</v>
      </c>
      <c r="Q750" t="str">
        <f>IFERROR(IF(INDEX(Winter!$1:$1048576,MATCH(All!$A750,Winter!$A:$A,FALSE),MATCH(All!Q$1,Winter!$1:$1,FALSE))="","",INDEX(Winter!$1:$1048576,MATCH(All!$A750,Winter!$A:$A,FALSE),MATCH(All!Q$1,Winter!$1:$1,FALSE))),"")</f>
        <v>2A</v>
      </c>
      <c r="R750" t="str">
        <f>IFERROR(IF(INDEX(Winter!$1:$1048576,MATCH(All!$A750,Winter!$A:$A,FALSE),MATCH(All!R$1,Winter!$1:$1,FALSE))="","",INDEX(Winter!$1:$1048576,MATCH(All!$A750,Winter!$A:$A,FALSE),MATCH(All!R$1,Winter!$1:$1,FALSE))),"")</f>
        <v>1A</v>
      </c>
      <c r="S750" t="str">
        <f>IFERROR(IF(INDEX(Winter!$1:$1048576,MATCH(All!$A750,Winter!$A:$A,FALSE),MATCH(All!S$1,Winter!$1:$1,FALSE))="","",INDEX(Winter!$1:$1048576,MATCH(All!$A750,Winter!$A:$A,FALSE),MATCH(All!S$1,Winter!$1:$1,FALSE))),"")</f>
        <v/>
      </c>
      <c r="T750" t="str">
        <f>IFERROR(IF(INDEX(Winter!$1:$1048576,MATCH(All!$A750,Winter!$A:$A,FALSE),MATCH(All!T$1,Winter!$1:$1,FALSE))="","",INDEX(Winter!$1:$1048576,MATCH(All!$A750,Winter!$A:$A,FALSE),MATCH(All!T$1,Winter!$1:$1,FALSE))),"")</f>
        <v>2A</v>
      </c>
      <c r="U750" t="str">
        <f>IFERROR(IF(INDEX(Winter!$1:$1048576,MATCH(All!$A750,Winter!$A:$A,FALSE),MATCH(All!U$1,Winter!$1:$1,FALSE))="","",INDEX(Winter!$1:$1048576,MATCH(All!$A750,Winter!$A:$A,FALSE),MATCH(All!U$1,Winter!$1:$1,FALSE))),"")</f>
        <v>1A</v>
      </c>
      <c r="W750" t="str">
        <f>IFERROR(IF(INDEX(Spring!$1:$1048576,MATCH(All!$A750,Spring!$A:$A,FALSE),MATCH(All!W$1,Spring!$1:$1,FALSE))="","",INDEX(Spring!$1:$1048576,MATCH(All!$A750,Spring!$A:$A,FALSE),MATCH(All!W$1,Spring!$1:$1,FALSE))),"")</f>
        <v>670.00 (1,105.50)</v>
      </c>
      <c r="X750" t="str">
        <f>IFERROR(IF(INDEX(Spring!$1:$1048576,MATCH(All!$A750,Spring!$A:$A,FALSE),MATCH(All!X$1,Spring!$1:$1,FALSE))="","",INDEX(Spring!$1:$1048576,MATCH(All!$A750,Spring!$A:$A,FALSE),MATCH(All!X$1,Spring!$1:$1,FALSE))),"")</f>
        <v>3A</v>
      </c>
      <c r="Y750" t="str">
        <f>IFERROR(IF(INDEX(Spring!$1:$1048576,MATCH(All!$A750,Spring!$A:$A,FALSE),MATCH(All!Y$1,Spring!$1:$1,FALSE))="","",INDEX(Spring!$1:$1048576,MATCH(All!$A750,Spring!$A:$A,FALSE),MATCH(All!Y$1,Spring!$1:$1,FALSE))),"")</f>
        <v>2A</v>
      </c>
      <c r="Z750" t="str">
        <f>IFERROR(IF(INDEX(Spring!$1:$1048576,MATCH(All!$A750,Spring!$A:$A,FALSE),MATCH(All!Z$1,Spring!$1:$1,FALSE))="","",INDEX(Spring!$1:$1048576,MATCH(All!$A750,Spring!$A:$A,FALSE),MATCH(All!Z$1,Spring!$1:$1,FALSE))),"")</f>
        <v>2A</v>
      </c>
      <c r="AA750" t="str">
        <f>IFERROR(IF(INDEX(Spring!$1:$1048576,MATCH(All!$A750,Spring!$A:$A,FALSE),MATCH(All!AA$1,Spring!$1:$1,FALSE))="","",INDEX(Spring!$1:$1048576,MATCH(All!$A750,Spring!$A:$A,FALSE),MATCH(All!AA$1,Spring!$1:$1,FALSE))),"")</f>
        <v>1A</v>
      </c>
      <c r="AB750" t="str">
        <f>IFERROR(IF(INDEX(Spring!$1:$1048576,MATCH(All!$A750,Spring!$A:$A,FALSE),MATCH(All!AB$1,Spring!$1:$1,FALSE))="","",INDEX(Spring!$1:$1048576,MATCH(All!$A750,Spring!$A:$A,FALSE),MATCH(All!AB$1,Spring!$1:$1,FALSE))),"")</f>
        <v>2A</v>
      </c>
      <c r="AC750" t="str">
        <f>IFERROR(IF(INDEX(Spring!$1:$1048576,MATCH(All!$A750,Spring!$A:$A,FALSE),MATCH(All!AC$1,Spring!$1:$1,FALSE))="","",INDEX(Spring!$1:$1048576,MATCH(All!$A750,Spring!$A:$A,FALSE),MATCH(All!AC$1,Spring!$1:$1,FALSE))),"")</f>
        <v>2A</v>
      </c>
      <c r="AD750" t="str">
        <f>IFERROR(VLOOKUP(A750,'Flag Football'!A:A,1,FALSE),"")</f>
        <v/>
      </c>
      <c r="AE750" t="str">
        <f t="shared" si="11"/>
        <v/>
      </c>
    </row>
    <row r="751" spans="1:31" ht="15.75" thickBot="1" x14ac:dyDescent="0.3">
      <c r="A751" s="18" t="s">
        <v>861</v>
      </c>
      <c r="B751" s="38">
        <f>IFERROR(VLOOKUP(A751,'Public v Private'!A:G,3,FALSE),"")</f>
        <v>0</v>
      </c>
      <c r="C751" s="38">
        <f>IFERROR(VLOOKUP(A751,'Public v Private'!A:G,4,FALSE),"")</f>
        <v>0</v>
      </c>
      <c r="D751" s="38">
        <f>IFERROR(VLOOKUP(A751,'Public v Private'!A:G,5,FALSE),"")</f>
        <v>0</v>
      </c>
      <c r="E751" s="38"/>
      <c r="F751" s="40">
        <f>IFERROR(INDEX(Fall!$1:$1048576,MATCH(All!$A751,Fall!$A:$A,FALSE),MATCH(All!F$1,Fall!$1:$1,FALSE)),"N/A")</f>
        <v>411</v>
      </c>
      <c r="G751" t="str">
        <f>IFERROR(IF(INDEX(Fall!$1:$1048576,MATCH(All!$A751,Fall!$A:$A,FALSE),MATCH(All!G$1,Fall!$1:$1,FALSE))="","",INDEX(Fall!$1:$1048576,MATCH(All!$A751,Fall!$A:$A,FALSE),MATCH(All!G$1,Fall!$1:$1,FALSE))),"")</f>
        <v>1A</v>
      </c>
      <c r="H751" t="str">
        <f>IFERROR(IF(INDEX(Fall!$1:$1048576,MATCH(All!$A751,Fall!$A:$A,FALSE),MATCH(All!H$1,Fall!$1:$1,FALSE))="","",INDEX(Fall!$1:$1048576,MATCH(All!$A751,Fall!$A:$A,FALSE),MATCH(All!H$1,Fall!$1:$1,FALSE))),"")</f>
        <v>1A</v>
      </c>
      <c r="I751" t="str">
        <f>IFERROR(IF(INDEX(Fall!$1:$1048576,MATCH(All!$A751,Fall!$A:$A,FALSE),MATCH(All!I$1,Fall!$1:$1,FALSE))="","",INDEX(Fall!$1:$1048576,MATCH(All!$A751,Fall!$A:$A,FALSE),MATCH(All!I$1,Fall!$1:$1,FALSE))),"")</f>
        <v>1A</v>
      </c>
      <c r="J751" t="str">
        <f>IFERROR(IF(INDEX(Fall!$1:$1048576,MATCH(All!$A751,Fall!$A:$A,FALSE),MATCH(All!J$1,Fall!$1:$1,FALSE))="","",INDEX(Fall!$1:$1048576,MATCH(All!$A751,Fall!$A:$A,FALSE),MATCH(All!J$1,Fall!$1:$1,FALSE))),"")</f>
        <v>1A</v>
      </c>
      <c r="K751" t="str">
        <f>IFERROR(IF(INDEX(Fall!$1:$1048576,MATCH(All!$A751,Fall!$A:$A,FALSE),MATCH(All!K$1,Fall!$1:$1,FALSE))="","",INDEX(Fall!$1:$1048576,MATCH(All!$A751,Fall!$A:$A,FALSE),MATCH(All!K$1,Fall!$1:$1,FALSE))),"")</f>
        <v/>
      </c>
      <c r="L751" t="str">
        <f>IFERROR(IF(INDEX(Fall!$1:$1048576,MATCH(All!$A751,Fall!$A:$A,FALSE),MATCH(All!L$1,Fall!$1:$1,FALSE))="","",INDEX(Fall!$1:$1048576,MATCH(All!$A751,Fall!$A:$A,FALSE),MATCH(All!L$1,Fall!$1:$1,FALSE))),"")</f>
        <v/>
      </c>
      <c r="M751" t="str">
        <f>IFERROR(IF(INDEX(Fall!$1:$1048576,MATCH(All!$A751,Fall!$A:$A,FALSE),MATCH(All!M$1,Fall!$1:$1,FALSE))="","",INDEX(Fall!$1:$1048576,MATCH(All!$A751,Fall!$A:$A,FALSE),MATCH(All!M$1,Fall!$1:$1,FALSE))),"")</f>
        <v>2A</v>
      </c>
      <c r="O751">
        <f>IFERROR(IF(INDEX(Winter!$1:$1048576,MATCH(All!$A751,Winter!$A:$A,FALSE),MATCH(All!O$1,Winter!$1:$1,FALSE))="","",INDEX(Winter!$1:$1048576,MATCH(All!$A751,Winter!$A:$A,FALSE),MATCH(All!O$1,Winter!$1:$1,FALSE))),"")</f>
        <v>411</v>
      </c>
      <c r="P751" t="str">
        <f>IFERROR(IF(INDEX(Winter!$1:$1048576,MATCH(All!$A751,Winter!$A:$A,FALSE),MATCH(All!P$1,Winter!$1:$1,FALSE))="","",INDEX(Winter!$1:$1048576,MATCH(All!$A751,Winter!$A:$A,FALSE),MATCH(All!P$1,Winter!$1:$1,FALSE))),"")</f>
        <v>2A</v>
      </c>
      <c r="Q751" t="str">
        <f>IFERROR(IF(INDEX(Winter!$1:$1048576,MATCH(All!$A751,Winter!$A:$A,FALSE),MATCH(All!Q$1,Winter!$1:$1,FALSE))="","",INDEX(Winter!$1:$1048576,MATCH(All!$A751,Winter!$A:$A,FALSE),MATCH(All!Q$1,Winter!$1:$1,FALSE))),"")</f>
        <v>2A</v>
      </c>
      <c r="R751" t="str">
        <f>IFERROR(IF(INDEX(Winter!$1:$1048576,MATCH(All!$A751,Winter!$A:$A,FALSE),MATCH(All!R$1,Winter!$1:$1,FALSE))="","",INDEX(Winter!$1:$1048576,MATCH(All!$A751,Winter!$A:$A,FALSE),MATCH(All!R$1,Winter!$1:$1,FALSE))),"")</f>
        <v/>
      </c>
      <c r="S751" t="str">
        <f>IFERROR(IF(INDEX(Winter!$1:$1048576,MATCH(All!$A751,Winter!$A:$A,FALSE),MATCH(All!S$1,Winter!$1:$1,FALSE))="","",INDEX(Winter!$1:$1048576,MATCH(All!$A751,Winter!$A:$A,FALSE),MATCH(All!S$1,Winter!$1:$1,FALSE))),"")</f>
        <v/>
      </c>
      <c r="T751" t="str">
        <f>IFERROR(IF(INDEX(Winter!$1:$1048576,MATCH(All!$A751,Winter!$A:$A,FALSE),MATCH(All!T$1,Winter!$1:$1,FALSE))="","",INDEX(Winter!$1:$1048576,MATCH(All!$A751,Winter!$A:$A,FALSE),MATCH(All!T$1,Winter!$1:$1,FALSE))),"")</f>
        <v>1A</v>
      </c>
      <c r="U751" t="str">
        <f>IFERROR(IF(INDEX(Winter!$1:$1048576,MATCH(All!$A751,Winter!$A:$A,FALSE),MATCH(All!U$1,Winter!$1:$1,FALSE))="","",INDEX(Winter!$1:$1048576,MATCH(All!$A751,Winter!$A:$A,FALSE),MATCH(All!U$1,Winter!$1:$1,FALSE))),"")</f>
        <v>1A</v>
      </c>
      <c r="W751">
        <f>IFERROR(IF(INDEX(Spring!$1:$1048576,MATCH(All!$A751,Spring!$A:$A,FALSE),MATCH(All!W$1,Spring!$1:$1,FALSE))="","",INDEX(Spring!$1:$1048576,MATCH(All!$A751,Spring!$A:$A,FALSE),MATCH(All!W$1,Spring!$1:$1,FALSE))),"")</f>
        <v>411</v>
      </c>
      <c r="X751" t="str">
        <f>IFERROR(IF(INDEX(Spring!$1:$1048576,MATCH(All!$A751,Spring!$A:$A,FALSE),MATCH(All!X$1,Spring!$1:$1,FALSE))="","",INDEX(Spring!$1:$1048576,MATCH(All!$A751,Spring!$A:$A,FALSE),MATCH(All!X$1,Spring!$1:$1,FALSE))),"")</f>
        <v>2A</v>
      </c>
      <c r="Y751" t="str">
        <f>IFERROR(IF(INDEX(Spring!$1:$1048576,MATCH(All!$A751,Spring!$A:$A,FALSE),MATCH(All!Y$1,Spring!$1:$1,FALSE))="","",INDEX(Spring!$1:$1048576,MATCH(All!$A751,Spring!$A:$A,FALSE),MATCH(All!Y$1,Spring!$1:$1,FALSE))),"")</f>
        <v>2A</v>
      </c>
      <c r="Z751" t="str">
        <f>IFERROR(IF(INDEX(Spring!$1:$1048576,MATCH(All!$A751,Spring!$A:$A,FALSE),MATCH(All!Z$1,Spring!$1:$1,FALSE))="","",INDEX(Spring!$1:$1048576,MATCH(All!$A751,Spring!$A:$A,FALSE),MATCH(All!Z$1,Spring!$1:$1,FALSE))),"")</f>
        <v/>
      </c>
      <c r="AA751" t="str">
        <f>IFERROR(IF(INDEX(Spring!$1:$1048576,MATCH(All!$A751,Spring!$A:$A,FALSE),MATCH(All!AA$1,Spring!$1:$1,FALSE))="","",INDEX(Spring!$1:$1048576,MATCH(All!$A751,Spring!$A:$A,FALSE),MATCH(All!AA$1,Spring!$1:$1,FALSE))),"")</f>
        <v/>
      </c>
      <c r="AB751" t="str">
        <f>IFERROR(IF(INDEX(Spring!$1:$1048576,MATCH(All!$A751,Spring!$A:$A,FALSE),MATCH(All!AB$1,Spring!$1:$1,FALSE))="","",INDEX(Spring!$1:$1048576,MATCH(All!$A751,Spring!$A:$A,FALSE),MATCH(All!AB$1,Spring!$1:$1,FALSE))),"")</f>
        <v>1A</v>
      </c>
      <c r="AC751" t="str">
        <f>IFERROR(IF(INDEX(Spring!$1:$1048576,MATCH(All!$A751,Spring!$A:$A,FALSE),MATCH(All!AC$1,Spring!$1:$1,FALSE))="","",INDEX(Spring!$1:$1048576,MATCH(All!$A751,Spring!$A:$A,FALSE),MATCH(All!AC$1,Spring!$1:$1,FALSE))),"")</f>
        <v>1A</v>
      </c>
      <c r="AD751" t="str">
        <f>IFERROR(VLOOKUP(A751,'Flag Football'!A:A,1,FALSE),"")</f>
        <v/>
      </c>
      <c r="AE751" t="str">
        <f t="shared" si="11"/>
        <v/>
      </c>
    </row>
    <row r="752" spans="1:31" ht="15.75" thickBot="1" x14ac:dyDescent="0.3">
      <c r="A752" s="20" t="s">
        <v>862</v>
      </c>
      <c r="B752" s="38" t="str">
        <f>IFERROR(VLOOKUP(A752,'Public v Private'!A:G,3,FALSE),"")</f>
        <v/>
      </c>
      <c r="C752" s="38" t="str">
        <f>IFERROR(VLOOKUP(A752,'Public v Private'!A:G,4,FALSE),"")</f>
        <v/>
      </c>
      <c r="D752" s="38" t="str">
        <f>IFERROR(VLOOKUP(A752,'Public v Private'!A:G,5,FALSE),"")</f>
        <v/>
      </c>
      <c r="E752" s="38"/>
      <c r="F752" s="40">
        <f>IFERROR(INDEX(Fall!$1:$1048576,MATCH(All!$A752,Fall!$A:$A,FALSE),MATCH(All!F$1,Fall!$1:$1,FALSE)),"N/A")</f>
        <v>160</v>
      </c>
      <c r="G752" t="str">
        <f>IFERROR(IF(INDEX(Fall!$1:$1048576,MATCH(All!$A752,Fall!$A:$A,FALSE),MATCH(All!G$1,Fall!$1:$1,FALSE))="","",INDEX(Fall!$1:$1048576,MATCH(All!$A752,Fall!$A:$A,FALSE),MATCH(All!G$1,Fall!$1:$1,FALSE))),"")</f>
        <v>1A</v>
      </c>
      <c r="H752" t="str">
        <f>IFERROR(IF(INDEX(Fall!$1:$1048576,MATCH(All!$A752,Fall!$A:$A,FALSE),MATCH(All!H$1,Fall!$1:$1,FALSE))="","",INDEX(Fall!$1:$1048576,MATCH(All!$A752,Fall!$A:$A,FALSE),MATCH(All!H$1,Fall!$1:$1,FALSE))),"")</f>
        <v/>
      </c>
      <c r="I752" t="str">
        <f>IFERROR(IF(INDEX(Fall!$1:$1048576,MATCH(All!$A752,Fall!$A:$A,FALSE),MATCH(All!I$1,Fall!$1:$1,FALSE))="","",INDEX(Fall!$1:$1048576,MATCH(All!$A752,Fall!$A:$A,FALSE),MATCH(All!I$1,Fall!$1:$1,FALSE))),"")</f>
        <v/>
      </c>
      <c r="J752" t="str">
        <f>IFERROR(IF(INDEX(Fall!$1:$1048576,MATCH(All!$A752,Fall!$A:$A,FALSE),MATCH(All!J$1,Fall!$1:$1,FALSE))="","",INDEX(Fall!$1:$1048576,MATCH(All!$A752,Fall!$A:$A,FALSE),MATCH(All!J$1,Fall!$1:$1,FALSE))),"")</f>
        <v/>
      </c>
      <c r="K752" t="str">
        <f>IFERROR(IF(INDEX(Fall!$1:$1048576,MATCH(All!$A752,Fall!$A:$A,FALSE),MATCH(All!K$1,Fall!$1:$1,FALSE))="","",INDEX(Fall!$1:$1048576,MATCH(All!$A752,Fall!$A:$A,FALSE),MATCH(All!K$1,Fall!$1:$1,FALSE))),"")</f>
        <v/>
      </c>
      <c r="L752" t="str">
        <f>IFERROR(IF(INDEX(Fall!$1:$1048576,MATCH(All!$A752,Fall!$A:$A,FALSE),MATCH(All!L$1,Fall!$1:$1,FALSE))="","",INDEX(Fall!$1:$1048576,MATCH(All!$A752,Fall!$A:$A,FALSE),MATCH(All!L$1,Fall!$1:$1,FALSE))),"")</f>
        <v/>
      </c>
      <c r="M752" t="str">
        <f>IFERROR(IF(INDEX(Fall!$1:$1048576,MATCH(All!$A752,Fall!$A:$A,FALSE),MATCH(All!M$1,Fall!$1:$1,FALSE))="","",INDEX(Fall!$1:$1048576,MATCH(All!$A752,Fall!$A:$A,FALSE),MATCH(All!M$1,Fall!$1:$1,FALSE))),"")</f>
        <v>1A</v>
      </c>
      <c r="O752">
        <f>IFERROR(IF(INDEX(Winter!$1:$1048576,MATCH(All!$A752,Winter!$A:$A,FALSE),MATCH(All!O$1,Winter!$1:$1,FALSE))="","",INDEX(Winter!$1:$1048576,MATCH(All!$A752,Winter!$A:$A,FALSE),MATCH(All!O$1,Winter!$1:$1,FALSE))),"")</f>
        <v>160</v>
      </c>
      <c r="P752" t="str">
        <f>IFERROR(IF(INDEX(Winter!$1:$1048576,MATCH(All!$A752,Winter!$A:$A,FALSE),MATCH(All!P$1,Winter!$1:$1,FALSE))="","",INDEX(Winter!$1:$1048576,MATCH(All!$A752,Winter!$A:$A,FALSE),MATCH(All!P$1,Winter!$1:$1,FALSE))),"")</f>
        <v>1A</v>
      </c>
      <c r="Q752" t="str">
        <f>IFERROR(IF(INDEX(Winter!$1:$1048576,MATCH(All!$A752,Winter!$A:$A,FALSE),MATCH(All!Q$1,Winter!$1:$1,FALSE))="","",INDEX(Winter!$1:$1048576,MATCH(All!$A752,Winter!$A:$A,FALSE),MATCH(All!Q$1,Winter!$1:$1,FALSE))),"")</f>
        <v>1A</v>
      </c>
      <c r="R752" t="str">
        <f>IFERROR(IF(INDEX(Winter!$1:$1048576,MATCH(All!$A752,Winter!$A:$A,FALSE),MATCH(All!R$1,Winter!$1:$1,FALSE))="","",INDEX(Winter!$1:$1048576,MATCH(All!$A752,Winter!$A:$A,FALSE),MATCH(All!R$1,Winter!$1:$1,FALSE))),"")</f>
        <v/>
      </c>
      <c r="S752" t="str">
        <f>IFERROR(IF(INDEX(Winter!$1:$1048576,MATCH(All!$A752,Winter!$A:$A,FALSE),MATCH(All!S$1,Winter!$1:$1,FALSE))="","",INDEX(Winter!$1:$1048576,MATCH(All!$A752,Winter!$A:$A,FALSE),MATCH(All!S$1,Winter!$1:$1,FALSE))),"")</f>
        <v/>
      </c>
      <c r="T752" t="str">
        <f>IFERROR(IF(INDEX(Winter!$1:$1048576,MATCH(All!$A752,Winter!$A:$A,FALSE),MATCH(All!T$1,Winter!$1:$1,FALSE))="","",INDEX(Winter!$1:$1048576,MATCH(All!$A752,Winter!$A:$A,FALSE),MATCH(All!T$1,Winter!$1:$1,FALSE))),"")</f>
        <v>1A</v>
      </c>
      <c r="U752" t="str">
        <f>IFERROR(IF(INDEX(Winter!$1:$1048576,MATCH(All!$A752,Winter!$A:$A,FALSE),MATCH(All!U$1,Winter!$1:$1,FALSE))="","",INDEX(Winter!$1:$1048576,MATCH(All!$A752,Winter!$A:$A,FALSE),MATCH(All!U$1,Winter!$1:$1,FALSE))),"")</f>
        <v/>
      </c>
      <c r="W752">
        <f>IFERROR(IF(INDEX(Spring!$1:$1048576,MATCH(All!$A752,Spring!$A:$A,FALSE),MATCH(All!W$1,Spring!$1:$1,FALSE))="","",INDEX(Spring!$1:$1048576,MATCH(All!$A752,Spring!$A:$A,FALSE),MATCH(All!W$1,Spring!$1:$1,FALSE))),"")</f>
        <v>160</v>
      </c>
      <c r="X752" t="str">
        <f>IFERROR(IF(INDEX(Spring!$1:$1048576,MATCH(All!$A752,Spring!$A:$A,FALSE),MATCH(All!X$1,Spring!$1:$1,FALSE))="","",INDEX(Spring!$1:$1048576,MATCH(All!$A752,Spring!$A:$A,FALSE),MATCH(All!X$1,Spring!$1:$1,FALSE))),"")</f>
        <v>1A</v>
      </c>
      <c r="Y752" t="str">
        <f>IFERROR(IF(INDEX(Spring!$1:$1048576,MATCH(All!$A752,Spring!$A:$A,FALSE),MATCH(All!Y$1,Spring!$1:$1,FALSE))="","",INDEX(Spring!$1:$1048576,MATCH(All!$A752,Spring!$A:$A,FALSE),MATCH(All!Y$1,Spring!$1:$1,FALSE))),"")</f>
        <v>1A</v>
      </c>
      <c r="Z752" t="str">
        <f>IFERROR(IF(INDEX(Spring!$1:$1048576,MATCH(All!$A752,Spring!$A:$A,FALSE),MATCH(All!Z$1,Spring!$1:$1,FALSE))="","",INDEX(Spring!$1:$1048576,MATCH(All!$A752,Spring!$A:$A,FALSE),MATCH(All!Z$1,Spring!$1:$1,FALSE))),"")</f>
        <v/>
      </c>
      <c r="AA752" t="str">
        <f>IFERROR(IF(INDEX(Spring!$1:$1048576,MATCH(All!$A752,Spring!$A:$A,FALSE),MATCH(All!AA$1,Spring!$1:$1,FALSE))="","",INDEX(Spring!$1:$1048576,MATCH(All!$A752,Spring!$A:$A,FALSE),MATCH(All!AA$1,Spring!$1:$1,FALSE))),"")</f>
        <v/>
      </c>
      <c r="AB752" t="str">
        <f>IFERROR(IF(INDEX(Spring!$1:$1048576,MATCH(All!$A752,Spring!$A:$A,FALSE),MATCH(All!AB$1,Spring!$1:$1,FALSE))="","",INDEX(Spring!$1:$1048576,MATCH(All!$A752,Spring!$A:$A,FALSE),MATCH(All!AB$1,Spring!$1:$1,FALSE))),"")</f>
        <v>1A</v>
      </c>
      <c r="AC752" t="str">
        <f>IFERROR(IF(INDEX(Spring!$1:$1048576,MATCH(All!$A752,Spring!$A:$A,FALSE),MATCH(All!AC$1,Spring!$1:$1,FALSE))="","",INDEX(Spring!$1:$1048576,MATCH(All!$A752,Spring!$A:$A,FALSE),MATCH(All!AC$1,Spring!$1:$1,FALSE))),"")</f>
        <v>1A</v>
      </c>
      <c r="AD752" t="str">
        <f>IFERROR(VLOOKUP(A752,'Flag Football'!A:A,1,FALSE),"")</f>
        <v/>
      </c>
      <c r="AE752" t="str">
        <f t="shared" si="11"/>
        <v/>
      </c>
    </row>
    <row r="753" spans="1:31" ht="15.75" thickBot="1" x14ac:dyDescent="0.3">
      <c r="A753" s="18" t="s">
        <v>863</v>
      </c>
      <c r="B753" s="38">
        <f>IFERROR(VLOOKUP(A753,'Public v Private'!A:G,3,FALSE),"")</f>
        <v>0</v>
      </c>
      <c r="C753" s="38">
        <f>IFERROR(VLOOKUP(A753,'Public v Private'!A:G,4,FALSE),"")</f>
        <v>0</v>
      </c>
      <c r="D753" s="38">
        <f>IFERROR(VLOOKUP(A753,'Public v Private'!A:G,5,FALSE),"")</f>
        <v>0</v>
      </c>
      <c r="E753" s="38"/>
      <c r="F753" s="40">
        <f>IFERROR(INDEX(Fall!$1:$1048576,MATCH(All!$A753,Fall!$A:$A,FALSE),MATCH(All!F$1,Fall!$1:$1,FALSE)),"N/A")</f>
        <v>376</v>
      </c>
      <c r="G753" t="str">
        <f>IFERROR(IF(INDEX(Fall!$1:$1048576,MATCH(All!$A753,Fall!$A:$A,FALSE),MATCH(All!G$1,Fall!$1:$1,FALSE))="","",INDEX(Fall!$1:$1048576,MATCH(All!$A753,Fall!$A:$A,FALSE),MATCH(All!G$1,Fall!$1:$1,FALSE))),"")</f>
        <v>1A</v>
      </c>
      <c r="H753" t="str">
        <f>IFERROR(IF(INDEX(Fall!$1:$1048576,MATCH(All!$A753,Fall!$A:$A,FALSE),MATCH(All!H$1,Fall!$1:$1,FALSE))="","",INDEX(Fall!$1:$1048576,MATCH(All!$A753,Fall!$A:$A,FALSE),MATCH(All!H$1,Fall!$1:$1,FALSE))),"")</f>
        <v>1A</v>
      </c>
      <c r="I753" t="str">
        <f>IFERROR(IF(INDEX(Fall!$1:$1048576,MATCH(All!$A753,Fall!$A:$A,FALSE),MATCH(All!I$1,Fall!$1:$1,FALSE))="","",INDEX(Fall!$1:$1048576,MATCH(All!$A753,Fall!$A:$A,FALSE),MATCH(All!I$1,Fall!$1:$1,FALSE))),"")</f>
        <v>1A</v>
      </c>
      <c r="J753" t="str">
        <f>IFERROR(IF(INDEX(Fall!$1:$1048576,MATCH(All!$A753,Fall!$A:$A,FALSE),MATCH(All!J$1,Fall!$1:$1,FALSE))="","",INDEX(Fall!$1:$1048576,MATCH(All!$A753,Fall!$A:$A,FALSE),MATCH(All!J$1,Fall!$1:$1,FALSE))),"")</f>
        <v>1A</v>
      </c>
      <c r="K753" t="str">
        <f>IFERROR(IF(INDEX(Fall!$1:$1048576,MATCH(All!$A753,Fall!$A:$A,FALSE),MATCH(All!K$1,Fall!$1:$1,FALSE))="","",INDEX(Fall!$1:$1048576,MATCH(All!$A753,Fall!$A:$A,FALSE),MATCH(All!K$1,Fall!$1:$1,FALSE))),"")</f>
        <v>1A</v>
      </c>
      <c r="L753" t="str">
        <f>IFERROR(IF(INDEX(Fall!$1:$1048576,MATCH(All!$A753,Fall!$A:$A,FALSE),MATCH(All!L$1,Fall!$1:$1,FALSE))="","",INDEX(Fall!$1:$1048576,MATCH(All!$A753,Fall!$A:$A,FALSE),MATCH(All!L$1,Fall!$1:$1,FALSE))),"")</f>
        <v/>
      </c>
      <c r="M753" t="str">
        <f>IFERROR(IF(INDEX(Fall!$1:$1048576,MATCH(All!$A753,Fall!$A:$A,FALSE),MATCH(All!M$1,Fall!$1:$1,FALSE))="","",INDEX(Fall!$1:$1048576,MATCH(All!$A753,Fall!$A:$A,FALSE),MATCH(All!M$1,Fall!$1:$1,FALSE))),"")</f>
        <v>2A</v>
      </c>
      <c r="O753">
        <f>IFERROR(IF(INDEX(Winter!$1:$1048576,MATCH(All!$A753,Winter!$A:$A,FALSE),MATCH(All!O$1,Winter!$1:$1,FALSE))="","",INDEX(Winter!$1:$1048576,MATCH(All!$A753,Winter!$A:$A,FALSE),MATCH(All!O$1,Winter!$1:$1,FALSE))),"")</f>
        <v>376</v>
      </c>
      <c r="P753" t="str">
        <f>IFERROR(IF(INDEX(Winter!$1:$1048576,MATCH(All!$A753,Winter!$A:$A,FALSE),MATCH(All!P$1,Winter!$1:$1,FALSE))="","",INDEX(Winter!$1:$1048576,MATCH(All!$A753,Winter!$A:$A,FALSE),MATCH(All!P$1,Winter!$1:$1,FALSE))),"")</f>
        <v>2A</v>
      </c>
      <c r="Q753" t="str">
        <f>IFERROR(IF(INDEX(Winter!$1:$1048576,MATCH(All!$A753,Winter!$A:$A,FALSE),MATCH(All!Q$1,Winter!$1:$1,FALSE))="","",INDEX(Winter!$1:$1048576,MATCH(All!$A753,Winter!$A:$A,FALSE),MATCH(All!Q$1,Winter!$1:$1,FALSE))),"")</f>
        <v>2A</v>
      </c>
      <c r="R753" t="str">
        <f>IFERROR(IF(INDEX(Winter!$1:$1048576,MATCH(All!$A753,Winter!$A:$A,FALSE),MATCH(All!R$1,Winter!$1:$1,FALSE))="","",INDEX(Winter!$1:$1048576,MATCH(All!$A753,Winter!$A:$A,FALSE),MATCH(All!R$1,Winter!$1:$1,FALSE))),"")</f>
        <v/>
      </c>
      <c r="S753" t="str">
        <f>IFERROR(IF(INDEX(Winter!$1:$1048576,MATCH(All!$A753,Winter!$A:$A,FALSE),MATCH(All!S$1,Winter!$1:$1,FALSE))="","",INDEX(Winter!$1:$1048576,MATCH(All!$A753,Winter!$A:$A,FALSE),MATCH(All!S$1,Winter!$1:$1,FALSE))),"")</f>
        <v/>
      </c>
      <c r="T753" t="str">
        <f>IFERROR(IF(INDEX(Winter!$1:$1048576,MATCH(All!$A753,Winter!$A:$A,FALSE),MATCH(All!T$1,Winter!$1:$1,FALSE))="","",INDEX(Winter!$1:$1048576,MATCH(All!$A753,Winter!$A:$A,FALSE),MATCH(All!T$1,Winter!$1:$1,FALSE))),"")</f>
        <v>1A</v>
      </c>
      <c r="U753" t="str">
        <f>IFERROR(IF(INDEX(Winter!$1:$1048576,MATCH(All!$A753,Winter!$A:$A,FALSE),MATCH(All!U$1,Winter!$1:$1,FALSE))="","",INDEX(Winter!$1:$1048576,MATCH(All!$A753,Winter!$A:$A,FALSE),MATCH(All!U$1,Winter!$1:$1,FALSE))),"")</f>
        <v>1A</v>
      </c>
      <c r="W753">
        <f>IFERROR(IF(INDEX(Spring!$1:$1048576,MATCH(All!$A753,Spring!$A:$A,FALSE),MATCH(All!W$1,Spring!$1:$1,FALSE))="","",INDEX(Spring!$1:$1048576,MATCH(All!$A753,Spring!$A:$A,FALSE),MATCH(All!W$1,Spring!$1:$1,FALSE))),"")</f>
        <v>376</v>
      </c>
      <c r="X753" t="str">
        <f>IFERROR(IF(INDEX(Spring!$1:$1048576,MATCH(All!$A753,Spring!$A:$A,FALSE),MATCH(All!X$1,Spring!$1:$1,FALSE))="","",INDEX(Spring!$1:$1048576,MATCH(All!$A753,Spring!$A:$A,FALSE),MATCH(All!X$1,Spring!$1:$1,FALSE))),"")</f>
        <v>2A</v>
      </c>
      <c r="Y753" t="str">
        <f>IFERROR(IF(INDEX(Spring!$1:$1048576,MATCH(All!$A753,Spring!$A:$A,FALSE),MATCH(All!Y$1,Spring!$1:$1,FALSE))="","",INDEX(Spring!$1:$1048576,MATCH(All!$A753,Spring!$A:$A,FALSE),MATCH(All!Y$1,Spring!$1:$1,FALSE))),"")</f>
        <v>2A</v>
      </c>
      <c r="Z753" t="str">
        <f>IFERROR(IF(INDEX(Spring!$1:$1048576,MATCH(All!$A753,Spring!$A:$A,FALSE),MATCH(All!Z$1,Spring!$1:$1,FALSE))="","",INDEX(Spring!$1:$1048576,MATCH(All!$A753,Spring!$A:$A,FALSE),MATCH(All!Z$1,Spring!$1:$1,FALSE))),"")</f>
        <v>1A</v>
      </c>
      <c r="AA753" t="str">
        <f>IFERROR(IF(INDEX(Spring!$1:$1048576,MATCH(All!$A753,Spring!$A:$A,FALSE),MATCH(All!AA$1,Spring!$1:$1,FALSE))="","",INDEX(Spring!$1:$1048576,MATCH(All!$A753,Spring!$A:$A,FALSE),MATCH(All!AA$1,Spring!$1:$1,FALSE))),"")</f>
        <v/>
      </c>
      <c r="AB753" t="str">
        <f>IFERROR(IF(INDEX(Spring!$1:$1048576,MATCH(All!$A753,Spring!$A:$A,FALSE),MATCH(All!AB$1,Spring!$1:$1,FALSE))="","",INDEX(Spring!$1:$1048576,MATCH(All!$A753,Spring!$A:$A,FALSE),MATCH(All!AB$1,Spring!$1:$1,FALSE))),"")</f>
        <v>1A</v>
      </c>
      <c r="AC753" t="str">
        <f>IFERROR(IF(INDEX(Spring!$1:$1048576,MATCH(All!$A753,Spring!$A:$A,FALSE),MATCH(All!AC$1,Spring!$1:$1,FALSE))="","",INDEX(Spring!$1:$1048576,MATCH(All!$A753,Spring!$A:$A,FALSE),MATCH(All!AC$1,Spring!$1:$1,FALSE))),"")</f>
        <v>1A</v>
      </c>
      <c r="AD753" t="str">
        <f>IFERROR(VLOOKUP(A753,'Flag Football'!A:A,1,FALSE),"")</f>
        <v/>
      </c>
      <c r="AE753" t="str">
        <f t="shared" si="11"/>
        <v/>
      </c>
    </row>
    <row r="754" spans="1:31" ht="15.75" thickBot="1" x14ac:dyDescent="0.3">
      <c r="A754" s="20" t="s">
        <v>864</v>
      </c>
      <c r="B754" s="38">
        <f>IFERROR(VLOOKUP(A754,'Public v Private'!A:G,3,FALSE),"")</f>
        <v>0</v>
      </c>
      <c r="C754" s="38">
        <f>IFERROR(VLOOKUP(A754,'Public v Private'!A:G,4,FALSE),"")</f>
        <v>0</v>
      </c>
      <c r="D754" s="38">
        <f>IFERROR(VLOOKUP(A754,'Public v Private'!A:G,5,FALSE),"")</f>
        <v>0</v>
      </c>
      <c r="E754" s="38"/>
      <c r="F754" s="40">
        <f>IFERROR(INDEX(Fall!$1:$1048576,MATCH(All!$A754,Fall!$A:$A,FALSE),MATCH(All!F$1,Fall!$1:$1,FALSE)),"N/A")</f>
        <v>326</v>
      </c>
      <c r="G754" t="str">
        <f>IFERROR(IF(INDEX(Fall!$1:$1048576,MATCH(All!$A754,Fall!$A:$A,FALSE),MATCH(All!G$1,Fall!$1:$1,FALSE))="","",INDEX(Fall!$1:$1048576,MATCH(All!$A754,Fall!$A:$A,FALSE),MATCH(All!G$1,Fall!$1:$1,FALSE))),"")</f>
        <v>1A</v>
      </c>
      <c r="H754" t="str">
        <f>IFERROR(IF(INDEX(Fall!$1:$1048576,MATCH(All!$A754,Fall!$A:$A,FALSE),MATCH(All!H$1,Fall!$1:$1,FALSE))="","",INDEX(Fall!$1:$1048576,MATCH(All!$A754,Fall!$A:$A,FALSE),MATCH(All!H$1,Fall!$1:$1,FALSE))),"")</f>
        <v/>
      </c>
      <c r="I754" t="str">
        <f>IFERROR(IF(INDEX(Fall!$1:$1048576,MATCH(All!$A754,Fall!$A:$A,FALSE),MATCH(All!I$1,Fall!$1:$1,FALSE))="","",INDEX(Fall!$1:$1048576,MATCH(All!$A754,Fall!$A:$A,FALSE),MATCH(All!I$1,Fall!$1:$1,FALSE))),"")</f>
        <v>1A</v>
      </c>
      <c r="J754" t="str">
        <f>IFERROR(IF(INDEX(Fall!$1:$1048576,MATCH(All!$A754,Fall!$A:$A,FALSE),MATCH(All!J$1,Fall!$1:$1,FALSE))="","",INDEX(Fall!$1:$1048576,MATCH(All!$A754,Fall!$A:$A,FALSE),MATCH(All!J$1,Fall!$1:$1,FALSE))),"")</f>
        <v>1A</v>
      </c>
      <c r="K754" t="str">
        <f>IFERROR(IF(INDEX(Fall!$1:$1048576,MATCH(All!$A754,Fall!$A:$A,FALSE),MATCH(All!K$1,Fall!$1:$1,FALSE))="","",INDEX(Fall!$1:$1048576,MATCH(All!$A754,Fall!$A:$A,FALSE),MATCH(All!K$1,Fall!$1:$1,FALSE))),"")</f>
        <v/>
      </c>
      <c r="L754" t="str">
        <f>IFERROR(IF(INDEX(Fall!$1:$1048576,MATCH(All!$A754,Fall!$A:$A,FALSE),MATCH(All!L$1,Fall!$1:$1,FALSE))="","",INDEX(Fall!$1:$1048576,MATCH(All!$A754,Fall!$A:$A,FALSE),MATCH(All!L$1,Fall!$1:$1,FALSE))),"")</f>
        <v/>
      </c>
      <c r="M754" t="str">
        <f>IFERROR(IF(INDEX(Fall!$1:$1048576,MATCH(All!$A754,Fall!$A:$A,FALSE),MATCH(All!M$1,Fall!$1:$1,FALSE))="","",INDEX(Fall!$1:$1048576,MATCH(All!$A754,Fall!$A:$A,FALSE),MATCH(All!M$1,Fall!$1:$1,FALSE))),"")</f>
        <v>2A</v>
      </c>
      <c r="O754">
        <f>IFERROR(IF(INDEX(Winter!$1:$1048576,MATCH(All!$A754,Winter!$A:$A,FALSE),MATCH(All!O$1,Winter!$1:$1,FALSE))="","",INDEX(Winter!$1:$1048576,MATCH(All!$A754,Winter!$A:$A,FALSE),MATCH(All!O$1,Winter!$1:$1,FALSE))),"")</f>
        <v>326</v>
      </c>
      <c r="P754" t="str">
        <f>IFERROR(IF(INDEX(Winter!$1:$1048576,MATCH(All!$A754,Winter!$A:$A,FALSE),MATCH(All!P$1,Winter!$1:$1,FALSE))="","",INDEX(Winter!$1:$1048576,MATCH(All!$A754,Winter!$A:$A,FALSE),MATCH(All!P$1,Winter!$1:$1,FALSE))),"")</f>
        <v>2A</v>
      </c>
      <c r="Q754" t="str">
        <f>IFERROR(IF(INDEX(Winter!$1:$1048576,MATCH(All!$A754,Winter!$A:$A,FALSE),MATCH(All!Q$1,Winter!$1:$1,FALSE))="","",INDEX(Winter!$1:$1048576,MATCH(All!$A754,Winter!$A:$A,FALSE),MATCH(All!Q$1,Winter!$1:$1,FALSE))),"")</f>
        <v>2A</v>
      </c>
      <c r="R754" t="str">
        <f>IFERROR(IF(INDEX(Winter!$1:$1048576,MATCH(All!$A754,Winter!$A:$A,FALSE),MATCH(All!R$1,Winter!$1:$1,FALSE))="","",INDEX(Winter!$1:$1048576,MATCH(All!$A754,Winter!$A:$A,FALSE),MATCH(All!R$1,Winter!$1:$1,FALSE))),"")</f>
        <v/>
      </c>
      <c r="S754" t="str">
        <f>IFERROR(IF(INDEX(Winter!$1:$1048576,MATCH(All!$A754,Winter!$A:$A,FALSE),MATCH(All!S$1,Winter!$1:$1,FALSE))="","",INDEX(Winter!$1:$1048576,MATCH(All!$A754,Winter!$A:$A,FALSE),MATCH(All!S$1,Winter!$1:$1,FALSE))),"")</f>
        <v/>
      </c>
      <c r="T754" t="str">
        <f>IFERROR(IF(INDEX(Winter!$1:$1048576,MATCH(All!$A754,Winter!$A:$A,FALSE),MATCH(All!T$1,Winter!$1:$1,FALSE))="","",INDEX(Winter!$1:$1048576,MATCH(All!$A754,Winter!$A:$A,FALSE),MATCH(All!T$1,Winter!$1:$1,FALSE))),"")</f>
        <v>1A</v>
      </c>
      <c r="U754" t="str">
        <f>IFERROR(IF(INDEX(Winter!$1:$1048576,MATCH(All!$A754,Winter!$A:$A,FALSE),MATCH(All!U$1,Winter!$1:$1,FALSE))="","",INDEX(Winter!$1:$1048576,MATCH(All!$A754,Winter!$A:$A,FALSE),MATCH(All!U$1,Winter!$1:$1,FALSE))),"")</f>
        <v>1A</v>
      </c>
      <c r="W754">
        <f>IFERROR(IF(INDEX(Spring!$1:$1048576,MATCH(All!$A754,Spring!$A:$A,FALSE),MATCH(All!W$1,Spring!$1:$1,FALSE))="","",INDEX(Spring!$1:$1048576,MATCH(All!$A754,Spring!$A:$A,FALSE),MATCH(All!W$1,Spring!$1:$1,FALSE))),"")</f>
        <v>326</v>
      </c>
      <c r="X754" t="str">
        <f>IFERROR(IF(INDEX(Spring!$1:$1048576,MATCH(All!$A754,Spring!$A:$A,FALSE),MATCH(All!X$1,Spring!$1:$1,FALSE))="","",INDEX(Spring!$1:$1048576,MATCH(All!$A754,Spring!$A:$A,FALSE),MATCH(All!X$1,Spring!$1:$1,FALSE))),"")</f>
        <v>2A</v>
      </c>
      <c r="Y754" t="str">
        <f>IFERROR(IF(INDEX(Spring!$1:$1048576,MATCH(All!$A754,Spring!$A:$A,FALSE),MATCH(All!Y$1,Spring!$1:$1,FALSE))="","",INDEX(Spring!$1:$1048576,MATCH(All!$A754,Spring!$A:$A,FALSE),MATCH(All!Y$1,Spring!$1:$1,FALSE))),"")</f>
        <v>2A</v>
      </c>
      <c r="Z754" t="str">
        <f>IFERROR(IF(INDEX(Spring!$1:$1048576,MATCH(All!$A754,Spring!$A:$A,FALSE),MATCH(All!Z$1,Spring!$1:$1,FALSE))="","",INDEX(Spring!$1:$1048576,MATCH(All!$A754,Spring!$A:$A,FALSE),MATCH(All!Z$1,Spring!$1:$1,FALSE))),"")</f>
        <v/>
      </c>
      <c r="AA754" t="str">
        <f>IFERROR(IF(INDEX(Spring!$1:$1048576,MATCH(All!$A754,Spring!$A:$A,FALSE),MATCH(All!AA$1,Spring!$1:$1,FALSE))="","",INDEX(Spring!$1:$1048576,MATCH(All!$A754,Spring!$A:$A,FALSE),MATCH(All!AA$1,Spring!$1:$1,FALSE))),"")</f>
        <v/>
      </c>
      <c r="AB754" t="str">
        <f>IFERROR(IF(INDEX(Spring!$1:$1048576,MATCH(All!$A754,Spring!$A:$A,FALSE),MATCH(All!AB$1,Spring!$1:$1,FALSE))="","",INDEX(Spring!$1:$1048576,MATCH(All!$A754,Spring!$A:$A,FALSE),MATCH(All!AB$1,Spring!$1:$1,FALSE))),"")</f>
        <v>1A</v>
      </c>
      <c r="AC754" t="str">
        <f>IFERROR(IF(INDEX(Spring!$1:$1048576,MATCH(All!$A754,Spring!$A:$A,FALSE),MATCH(All!AC$1,Spring!$1:$1,FALSE))="","",INDEX(Spring!$1:$1048576,MATCH(All!$A754,Spring!$A:$A,FALSE),MATCH(All!AC$1,Spring!$1:$1,FALSE))),"")</f>
        <v>1A</v>
      </c>
      <c r="AD754" t="str">
        <f>IFERROR(VLOOKUP(A754,'Flag Football'!A:A,1,FALSE),"")</f>
        <v/>
      </c>
      <c r="AE754" t="str">
        <f t="shared" si="11"/>
        <v/>
      </c>
    </row>
    <row r="755" spans="1:31" ht="15.75" thickBot="1" x14ac:dyDescent="0.3">
      <c r="A755" s="18" t="s">
        <v>865</v>
      </c>
      <c r="B755" s="38">
        <f>IFERROR(VLOOKUP(A755,'Public v Private'!A:G,3,FALSE),"")</f>
        <v>0</v>
      </c>
      <c r="C755" s="38">
        <f>IFERROR(VLOOKUP(A755,'Public v Private'!A:G,4,FALSE),"")</f>
        <v>0</v>
      </c>
      <c r="D755" s="38">
        <f>IFERROR(VLOOKUP(A755,'Public v Private'!A:G,5,FALSE),"")</f>
        <v>0</v>
      </c>
      <c r="E755" s="38"/>
      <c r="F755" s="40">
        <f>IFERROR(INDEX(Fall!$1:$1048576,MATCH(All!$A755,Fall!$A:$A,FALSE),MATCH(All!F$1,Fall!$1:$1,FALSE)),"N/A")</f>
        <v>1844</v>
      </c>
      <c r="G755" t="str">
        <f>IFERROR(IF(INDEX(Fall!$1:$1048576,MATCH(All!$A755,Fall!$A:$A,FALSE),MATCH(All!G$1,Fall!$1:$1,FALSE))="","",INDEX(Fall!$1:$1048576,MATCH(All!$A755,Fall!$A:$A,FALSE),MATCH(All!G$1,Fall!$1:$1,FALSE))),"")</f>
        <v>3A</v>
      </c>
      <c r="H755" t="str">
        <f>IFERROR(IF(INDEX(Fall!$1:$1048576,MATCH(All!$A755,Fall!$A:$A,FALSE),MATCH(All!H$1,Fall!$1:$1,FALSE))="","",INDEX(Fall!$1:$1048576,MATCH(All!$A755,Fall!$A:$A,FALSE),MATCH(All!H$1,Fall!$1:$1,FALSE))),"")</f>
        <v>3A</v>
      </c>
      <c r="I755" t="str">
        <f>IFERROR(IF(INDEX(Fall!$1:$1048576,MATCH(All!$A755,Fall!$A:$A,FALSE),MATCH(All!I$1,Fall!$1:$1,FALSE))="","",INDEX(Fall!$1:$1048576,MATCH(All!$A755,Fall!$A:$A,FALSE),MATCH(All!I$1,Fall!$1:$1,FALSE))),"")</f>
        <v>3A</v>
      </c>
      <c r="J755" t="str">
        <f>IFERROR(IF(INDEX(Fall!$1:$1048576,MATCH(All!$A755,Fall!$A:$A,FALSE),MATCH(All!J$1,Fall!$1:$1,FALSE))="","",INDEX(Fall!$1:$1048576,MATCH(All!$A755,Fall!$A:$A,FALSE),MATCH(All!J$1,Fall!$1:$1,FALSE))),"")</f>
        <v>2A</v>
      </c>
      <c r="K755" t="str">
        <f>IFERROR(IF(INDEX(Fall!$1:$1048576,MATCH(All!$A755,Fall!$A:$A,FALSE),MATCH(All!K$1,Fall!$1:$1,FALSE))="","",INDEX(Fall!$1:$1048576,MATCH(All!$A755,Fall!$A:$A,FALSE),MATCH(All!K$1,Fall!$1:$1,FALSE))),"")</f>
        <v>3A</v>
      </c>
      <c r="L755" t="str">
        <f>IFERROR(IF(INDEX(Fall!$1:$1048576,MATCH(All!$A755,Fall!$A:$A,FALSE),MATCH(All!L$1,Fall!$1:$1,FALSE))="","",INDEX(Fall!$1:$1048576,MATCH(All!$A755,Fall!$A:$A,FALSE),MATCH(All!L$1,Fall!$1:$1,FALSE))),"")</f>
        <v>2A</v>
      </c>
      <c r="M755" t="str">
        <f>IFERROR(IF(INDEX(Fall!$1:$1048576,MATCH(All!$A755,Fall!$A:$A,FALSE),MATCH(All!M$1,Fall!$1:$1,FALSE))="","",INDEX(Fall!$1:$1048576,MATCH(All!$A755,Fall!$A:$A,FALSE),MATCH(All!M$1,Fall!$1:$1,FALSE))),"")</f>
        <v>4A</v>
      </c>
      <c r="O755">
        <f>IFERROR(IF(INDEX(Winter!$1:$1048576,MATCH(All!$A755,Winter!$A:$A,FALSE),MATCH(All!O$1,Winter!$1:$1,FALSE))="","",INDEX(Winter!$1:$1048576,MATCH(All!$A755,Winter!$A:$A,FALSE),MATCH(All!O$1,Winter!$1:$1,FALSE))),"")</f>
        <v>1844</v>
      </c>
      <c r="P755" t="str">
        <f>IFERROR(IF(INDEX(Winter!$1:$1048576,MATCH(All!$A755,Winter!$A:$A,FALSE),MATCH(All!P$1,Winter!$1:$1,FALSE))="","",INDEX(Winter!$1:$1048576,MATCH(All!$A755,Winter!$A:$A,FALSE),MATCH(All!P$1,Winter!$1:$1,FALSE))),"")</f>
        <v>4A</v>
      </c>
      <c r="Q755" t="str">
        <f>IFERROR(IF(INDEX(Winter!$1:$1048576,MATCH(All!$A755,Winter!$A:$A,FALSE),MATCH(All!Q$1,Winter!$1:$1,FALSE))="","",INDEX(Winter!$1:$1048576,MATCH(All!$A755,Winter!$A:$A,FALSE),MATCH(All!Q$1,Winter!$1:$1,FALSE))),"")</f>
        <v>4A</v>
      </c>
      <c r="R755" t="str">
        <f>IFERROR(IF(INDEX(Winter!$1:$1048576,MATCH(All!$A755,Winter!$A:$A,FALSE),MATCH(All!R$1,Winter!$1:$1,FALSE))="","",INDEX(Winter!$1:$1048576,MATCH(All!$A755,Winter!$A:$A,FALSE),MATCH(All!R$1,Winter!$1:$1,FALSE))),"")</f>
        <v>C</v>
      </c>
      <c r="S755" t="str">
        <f>IFERROR(IF(INDEX(Winter!$1:$1048576,MATCH(All!$A755,Winter!$A:$A,FALSE),MATCH(All!S$1,Winter!$1:$1,FALSE))="","",INDEX(Winter!$1:$1048576,MATCH(All!$A755,Winter!$A:$A,FALSE),MATCH(All!S$1,Winter!$1:$1,FALSE))),"")</f>
        <v>2A</v>
      </c>
      <c r="T755" t="str">
        <f>IFERROR(IF(INDEX(Winter!$1:$1048576,MATCH(All!$A755,Winter!$A:$A,FALSE),MATCH(All!T$1,Winter!$1:$1,FALSE))="","",INDEX(Winter!$1:$1048576,MATCH(All!$A755,Winter!$A:$A,FALSE),MATCH(All!T$1,Winter!$1:$1,FALSE))),"")</f>
        <v>2A</v>
      </c>
      <c r="U755" t="str">
        <f>IFERROR(IF(INDEX(Winter!$1:$1048576,MATCH(All!$A755,Winter!$A:$A,FALSE),MATCH(All!U$1,Winter!$1:$1,FALSE))="","",INDEX(Winter!$1:$1048576,MATCH(All!$A755,Winter!$A:$A,FALSE),MATCH(All!U$1,Winter!$1:$1,FALSE))),"")</f>
        <v>3A</v>
      </c>
      <c r="W755">
        <f>IFERROR(IF(INDEX(Spring!$1:$1048576,MATCH(All!$A755,Spring!$A:$A,FALSE),MATCH(All!W$1,Spring!$1:$1,FALSE))="","",INDEX(Spring!$1:$1048576,MATCH(All!$A755,Spring!$A:$A,FALSE),MATCH(All!W$1,Spring!$1:$1,FALSE))),"")</f>
        <v>1844</v>
      </c>
      <c r="X755" t="str">
        <f>IFERROR(IF(INDEX(Spring!$1:$1048576,MATCH(All!$A755,Spring!$A:$A,FALSE),MATCH(All!X$1,Spring!$1:$1,FALSE))="","",INDEX(Spring!$1:$1048576,MATCH(All!$A755,Spring!$A:$A,FALSE),MATCH(All!X$1,Spring!$1:$1,FALSE))),"")</f>
        <v>4A</v>
      </c>
      <c r="Y755" t="str">
        <f>IFERROR(IF(INDEX(Spring!$1:$1048576,MATCH(All!$A755,Spring!$A:$A,FALSE),MATCH(All!Y$1,Spring!$1:$1,FALSE))="","",INDEX(Spring!$1:$1048576,MATCH(All!$A755,Spring!$A:$A,FALSE),MATCH(All!Y$1,Spring!$1:$1,FALSE))),"")</f>
        <v>4A</v>
      </c>
      <c r="Z755" t="str">
        <f>IFERROR(IF(INDEX(Spring!$1:$1048576,MATCH(All!$A755,Spring!$A:$A,FALSE),MATCH(All!Z$1,Spring!$1:$1,FALSE))="","",INDEX(Spring!$1:$1048576,MATCH(All!$A755,Spring!$A:$A,FALSE),MATCH(All!Z$1,Spring!$1:$1,FALSE))),"")</f>
        <v>3A</v>
      </c>
      <c r="AA755" t="str">
        <f>IFERROR(IF(INDEX(Spring!$1:$1048576,MATCH(All!$A755,Spring!$A:$A,FALSE),MATCH(All!AA$1,Spring!$1:$1,FALSE))="","",INDEX(Spring!$1:$1048576,MATCH(All!$A755,Spring!$A:$A,FALSE),MATCH(All!AA$1,Spring!$1:$1,FALSE))),"")</f>
        <v>2A</v>
      </c>
      <c r="AB755" t="str">
        <f>IFERROR(IF(INDEX(Spring!$1:$1048576,MATCH(All!$A755,Spring!$A:$A,FALSE),MATCH(All!AB$1,Spring!$1:$1,FALSE))="","",INDEX(Spring!$1:$1048576,MATCH(All!$A755,Spring!$A:$A,FALSE),MATCH(All!AB$1,Spring!$1:$1,FALSE))),"")</f>
        <v>3A</v>
      </c>
      <c r="AC755" t="str">
        <f>IFERROR(IF(INDEX(Spring!$1:$1048576,MATCH(All!$A755,Spring!$A:$A,FALSE),MATCH(All!AC$1,Spring!$1:$1,FALSE))="","",INDEX(Spring!$1:$1048576,MATCH(All!$A755,Spring!$A:$A,FALSE),MATCH(All!AC$1,Spring!$1:$1,FALSE))),"")</f>
        <v>3A</v>
      </c>
      <c r="AD755" t="str">
        <f>IFERROR(VLOOKUP(A755,'Flag Football'!A:A,1,FALSE),"")</f>
        <v>Wheaton (North)</v>
      </c>
      <c r="AE755" t="str">
        <f t="shared" si="11"/>
        <v>1A</v>
      </c>
    </row>
    <row r="756" spans="1:31" ht="15.75" thickBot="1" x14ac:dyDescent="0.3">
      <c r="A756" s="20" t="s">
        <v>866</v>
      </c>
      <c r="B756" s="38" t="str">
        <f>IFERROR(VLOOKUP(A756,'Public v Private'!A:G,3,FALSE),"")</f>
        <v>private</v>
      </c>
      <c r="C756" s="38">
        <f>IFERROR(VLOOKUP(A756,'Public v Private'!A:G,4,FALSE),"")</f>
        <v>3</v>
      </c>
      <c r="D756" s="38">
        <f>IFERROR(VLOOKUP(A756,'Public v Private'!A:G,5,FALSE),"")</f>
        <v>7</v>
      </c>
      <c r="E756" s="38"/>
      <c r="F756" s="40" t="str">
        <f>IFERROR(INDEX(Fall!$1:$1048576,MATCH(All!$A756,Fall!$A:$A,FALSE),MATCH(All!F$1,Fall!$1:$1,FALSE)),"N/A")</f>
        <v>707.00 (1,166.55)</v>
      </c>
      <c r="G756" t="str">
        <f>IFERROR(IF(INDEX(Fall!$1:$1048576,MATCH(All!$A756,Fall!$A:$A,FALSE),MATCH(All!G$1,Fall!$1:$1,FALSE))="","",INDEX(Fall!$1:$1048576,MATCH(All!$A756,Fall!$A:$A,FALSE),MATCH(All!G$1,Fall!$1:$1,FALSE))),"")</f>
        <v>2A</v>
      </c>
      <c r="H756" t="str">
        <f>IFERROR(IF(INDEX(Fall!$1:$1048576,MATCH(All!$A756,Fall!$A:$A,FALSE),MATCH(All!H$1,Fall!$1:$1,FALSE))="","",INDEX(Fall!$1:$1048576,MATCH(All!$A756,Fall!$A:$A,FALSE),MATCH(All!H$1,Fall!$1:$1,FALSE))),"")</f>
        <v>2A</v>
      </c>
      <c r="I756" t="str">
        <f>IFERROR(IF(INDEX(Fall!$1:$1048576,MATCH(All!$A756,Fall!$A:$A,FALSE),MATCH(All!I$1,Fall!$1:$1,FALSE))="","",INDEX(Fall!$1:$1048576,MATCH(All!$A756,Fall!$A:$A,FALSE),MATCH(All!I$1,Fall!$1:$1,FALSE))),"")</f>
        <v>2A</v>
      </c>
      <c r="J756" t="str">
        <f>IFERROR(IF(INDEX(Fall!$1:$1048576,MATCH(All!$A756,Fall!$A:$A,FALSE),MATCH(All!J$1,Fall!$1:$1,FALSE))="","",INDEX(Fall!$1:$1048576,MATCH(All!$A756,Fall!$A:$A,FALSE),MATCH(All!J$1,Fall!$1:$1,FALSE))),"")</f>
        <v>2A</v>
      </c>
      <c r="K756" t="str">
        <f>IFERROR(IF(INDEX(Fall!$1:$1048576,MATCH(All!$A756,Fall!$A:$A,FALSE),MATCH(All!K$1,Fall!$1:$1,FALSE))="","",INDEX(Fall!$1:$1048576,MATCH(All!$A756,Fall!$A:$A,FALSE),MATCH(All!K$1,Fall!$1:$1,FALSE))),"")</f>
        <v>2A</v>
      </c>
      <c r="L756" t="str">
        <f>IFERROR(IF(INDEX(Fall!$1:$1048576,MATCH(All!$A756,Fall!$A:$A,FALSE),MATCH(All!L$1,Fall!$1:$1,FALSE))="","",INDEX(Fall!$1:$1048576,MATCH(All!$A756,Fall!$A:$A,FALSE),MATCH(All!L$1,Fall!$1:$1,FALSE))),"")</f>
        <v>1A</v>
      </c>
      <c r="M756" t="str">
        <f>IFERROR(IF(INDEX(Fall!$1:$1048576,MATCH(All!$A756,Fall!$A:$A,FALSE),MATCH(All!M$1,Fall!$1:$1,FALSE))="","",INDEX(Fall!$1:$1048576,MATCH(All!$A756,Fall!$A:$A,FALSE),MATCH(All!M$1,Fall!$1:$1,FALSE))),"")</f>
        <v>4A</v>
      </c>
      <c r="O756" t="str">
        <f>IFERROR(IF(INDEX(Winter!$1:$1048576,MATCH(All!$A756,Winter!$A:$A,FALSE),MATCH(All!O$1,Winter!$1:$1,FALSE))="","",INDEX(Winter!$1:$1048576,MATCH(All!$A756,Winter!$A:$A,FALSE),MATCH(All!O$1,Winter!$1:$1,FALSE))),"")</f>
        <v>707.00 (1,166.55)</v>
      </c>
      <c r="P756" t="str">
        <f>IFERROR(IF(INDEX(Winter!$1:$1048576,MATCH(All!$A756,Winter!$A:$A,FALSE),MATCH(All!P$1,Winter!$1:$1,FALSE))="","",INDEX(Winter!$1:$1048576,MATCH(All!$A756,Winter!$A:$A,FALSE),MATCH(All!P$1,Winter!$1:$1,FALSE))),"")</f>
        <v>3A</v>
      </c>
      <c r="Q756" t="str">
        <f>IFERROR(IF(INDEX(Winter!$1:$1048576,MATCH(All!$A756,Winter!$A:$A,FALSE),MATCH(All!Q$1,Winter!$1:$1,FALSE))="","",INDEX(Winter!$1:$1048576,MATCH(All!$A756,Winter!$A:$A,FALSE),MATCH(All!Q$1,Winter!$1:$1,FALSE))),"")</f>
        <v>3A</v>
      </c>
      <c r="R756" t="str">
        <f>IFERROR(IF(INDEX(Winter!$1:$1048576,MATCH(All!$A756,Winter!$A:$A,FALSE),MATCH(All!R$1,Winter!$1:$1,FALSE))="","",INDEX(Winter!$1:$1048576,MATCH(All!$A756,Winter!$A:$A,FALSE),MATCH(All!R$1,Winter!$1:$1,FALSE))),"")</f>
        <v>2A</v>
      </c>
      <c r="S756" t="str">
        <f>IFERROR(IF(INDEX(Winter!$1:$1048576,MATCH(All!$A756,Winter!$A:$A,FALSE),MATCH(All!S$1,Winter!$1:$1,FALSE))="","",INDEX(Winter!$1:$1048576,MATCH(All!$A756,Winter!$A:$A,FALSE),MATCH(All!S$1,Winter!$1:$1,FALSE))),"")</f>
        <v>2A</v>
      </c>
      <c r="T756" t="str">
        <f>IFERROR(IF(INDEX(Winter!$1:$1048576,MATCH(All!$A756,Winter!$A:$A,FALSE),MATCH(All!T$1,Winter!$1:$1,FALSE))="","",INDEX(Winter!$1:$1048576,MATCH(All!$A756,Winter!$A:$A,FALSE),MATCH(All!T$1,Winter!$1:$1,FALSE))),"")</f>
        <v>2A</v>
      </c>
      <c r="U756" t="str">
        <f>IFERROR(IF(INDEX(Winter!$1:$1048576,MATCH(All!$A756,Winter!$A:$A,FALSE),MATCH(All!U$1,Winter!$1:$1,FALSE))="","",INDEX(Winter!$1:$1048576,MATCH(All!$A756,Winter!$A:$A,FALSE),MATCH(All!U$1,Winter!$1:$1,FALSE))),"")</f>
        <v>1A</v>
      </c>
      <c r="W756" t="str">
        <f>IFERROR(IF(INDEX(Spring!$1:$1048576,MATCH(All!$A756,Spring!$A:$A,FALSE),MATCH(All!W$1,Spring!$1:$1,FALSE))="","",INDEX(Spring!$1:$1048576,MATCH(All!$A756,Spring!$A:$A,FALSE),MATCH(All!W$1,Spring!$1:$1,FALSE))),"")</f>
        <v>707.00 (1,166.55)</v>
      </c>
      <c r="X756" t="str">
        <f>IFERROR(IF(INDEX(Spring!$1:$1048576,MATCH(All!$A756,Spring!$A:$A,FALSE),MATCH(All!X$1,Spring!$1:$1,FALSE))="","",INDEX(Spring!$1:$1048576,MATCH(All!$A756,Spring!$A:$A,FALSE),MATCH(All!X$1,Spring!$1:$1,FALSE))),"")</f>
        <v>3A</v>
      </c>
      <c r="Y756" t="str">
        <f>IFERROR(IF(INDEX(Spring!$1:$1048576,MATCH(All!$A756,Spring!$A:$A,FALSE),MATCH(All!Y$1,Spring!$1:$1,FALSE))="","",INDEX(Spring!$1:$1048576,MATCH(All!$A756,Spring!$A:$A,FALSE),MATCH(All!Y$1,Spring!$1:$1,FALSE))),"")</f>
        <v>3A</v>
      </c>
      <c r="Z756" t="str">
        <f>IFERROR(IF(INDEX(Spring!$1:$1048576,MATCH(All!$A756,Spring!$A:$A,FALSE),MATCH(All!Z$1,Spring!$1:$1,FALSE))="","",INDEX(Spring!$1:$1048576,MATCH(All!$A756,Spring!$A:$A,FALSE),MATCH(All!Z$1,Spring!$1:$1,FALSE))),"")</f>
        <v>2A</v>
      </c>
      <c r="AA756" t="str">
        <f>IFERROR(IF(INDEX(Spring!$1:$1048576,MATCH(All!$A756,Spring!$A:$A,FALSE),MATCH(All!AA$1,Spring!$1:$1,FALSE))="","",INDEX(Spring!$1:$1048576,MATCH(All!$A756,Spring!$A:$A,FALSE),MATCH(All!AA$1,Spring!$1:$1,FALSE))),"")</f>
        <v>1A</v>
      </c>
      <c r="AB756" t="str">
        <f>IFERROR(IF(INDEX(Spring!$1:$1048576,MATCH(All!$A756,Spring!$A:$A,FALSE),MATCH(All!AB$1,Spring!$1:$1,FALSE))="","",INDEX(Spring!$1:$1048576,MATCH(All!$A756,Spring!$A:$A,FALSE),MATCH(All!AB$1,Spring!$1:$1,FALSE))),"")</f>
        <v>2A</v>
      </c>
      <c r="AC756" t="str">
        <f>IFERROR(IF(INDEX(Spring!$1:$1048576,MATCH(All!$A756,Spring!$A:$A,FALSE),MATCH(All!AC$1,Spring!$1:$1,FALSE))="","",INDEX(Spring!$1:$1048576,MATCH(All!$A756,Spring!$A:$A,FALSE),MATCH(All!AC$1,Spring!$1:$1,FALSE))),"")</f>
        <v>2A</v>
      </c>
      <c r="AD756" t="str">
        <f>IFERROR(VLOOKUP(A756,'Flag Football'!A:A,1,FALSE),"")</f>
        <v>Wheaton (St. Francis)</v>
      </c>
      <c r="AE756" t="str">
        <f t="shared" si="11"/>
        <v>1A</v>
      </c>
    </row>
    <row r="757" spans="1:31" ht="15.75" thickBot="1" x14ac:dyDescent="0.3">
      <c r="A757" s="18" t="s">
        <v>868</v>
      </c>
      <c r="B757" s="38">
        <f>IFERROR(VLOOKUP(A757,'Public v Private'!A:G,3,FALSE),"")</f>
        <v>0</v>
      </c>
      <c r="C757" s="38">
        <f>IFERROR(VLOOKUP(A757,'Public v Private'!A:G,4,FALSE),"")</f>
        <v>0</v>
      </c>
      <c r="D757" s="38">
        <f>IFERROR(VLOOKUP(A757,'Public v Private'!A:G,5,FALSE),"")</f>
        <v>0</v>
      </c>
      <c r="E757" s="38"/>
      <c r="F757" s="40">
        <f>IFERROR(INDEX(Fall!$1:$1048576,MATCH(All!$A757,Fall!$A:$A,FALSE),MATCH(All!F$1,Fall!$1:$1,FALSE)),"N/A")</f>
        <v>1824</v>
      </c>
      <c r="G757" t="str">
        <f>IFERROR(IF(INDEX(Fall!$1:$1048576,MATCH(All!$A757,Fall!$A:$A,FALSE),MATCH(All!G$1,Fall!$1:$1,FALSE))="","",INDEX(Fall!$1:$1048576,MATCH(All!$A757,Fall!$A:$A,FALSE),MATCH(All!G$1,Fall!$1:$1,FALSE))),"")</f>
        <v>3A</v>
      </c>
      <c r="H757" t="str">
        <f>IFERROR(IF(INDEX(Fall!$1:$1048576,MATCH(All!$A757,Fall!$A:$A,FALSE),MATCH(All!H$1,Fall!$1:$1,FALSE))="","",INDEX(Fall!$1:$1048576,MATCH(All!$A757,Fall!$A:$A,FALSE),MATCH(All!H$1,Fall!$1:$1,FALSE))),"")</f>
        <v>3A</v>
      </c>
      <c r="I757" t="str">
        <f>IFERROR(IF(INDEX(Fall!$1:$1048576,MATCH(All!$A757,Fall!$A:$A,FALSE),MATCH(All!I$1,Fall!$1:$1,FALSE))="","",INDEX(Fall!$1:$1048576,MATCH(All!$A757,Fall!$A:$A,FALSE),MATCH(All!I$1,Fall!$1:$1,FALSE))),"")</f>
        <v>3A</v>
      </c>
      <c r="J757" t="str">
        <f>IFERROR(IF(INDEX(Fall!$1:$1048576,MATCH(All!$A757,Fall!$A:$A,FALSE),MATCH(All!J$1,Fall!$1:$1,FALSE))="","",INDEX(Fall!$1:$1048576,MATCH(All!$A757,Fall!$A:$A,FALSE),MATCH(All!J$1,Fall!$1:$1,FALSE))),"")</f>
        <v>2A</v>
      </c>
      <c r="K757" t="str">
        <f>IFERROR(IF(INDEX(Fall!$1:$1048576,MATCH(All!$A757,Fall!$A:$A,FALSE),MATCH(All!K$1,Fall!$1:$1,FALSE))="","",INDEX(Fall!$1:$1048576,MATCH(All!$A757,Fall!$A:$A,FALSE),MATCH(All!K$1,Fall!$1:$1,FALSE))),"")</f>
        <v>3A</v>
      </c>
      <c r="L757" t="str">
        <f>IFERROR(IF(INDEX(Fall!$1:$1048576,MATCH(All!$A757,Fall!$A:$A,FALSE),MATCH(All!L$1,Fall!$1:$1,FALSE))="","",INDEX(Fall!$1:$1048576,MATCH(All!$A757,Fall!$A:$A,FALSE),MATCH(All!L$1,Fall!$1:$1,FALSE))),"")</f>
        <v>2A</v>
      </c>
      <c r="M757" t="str">
        <f>IFERROR(IF(INDEX(Fall!$1:$1048576,MATCH(All!$A757,Fall!$A:$A,FALSE),MATCH(All!M$1,Fall!$1:$1,FALSE))="","",INDEX(Fall!$1:$1048576,MATCH(All!$A757,Fall!$A:$A,FALSE),MATCH(All!M$1,Fall!$1:$1,FALSE))),"")</f>
        <v>4A</v>
      </c>
      <c r="O757">
        <f>IFERROR(IF(INDEX(Winter!$1:$1048576,MATCH(All!$A757,Winter!$A:$A,FALSE),MATCH(All!O$1,Winter!$1:$1,FALSE))="","",INDEX(Winter!$1:$1048576,MATCH(All!$A757,Winter!$A:$A,FALSE),MATCH(All!O$1,Winter!$1:$1,FALSE))),"")</f>
        <v>1824</v>
      </c>
      <c r="P757" t="str">
        <f>IFERROR(IF(INDEX(Winter!$1:$1048576,MATCH(All!$A757,Winter!$A:$A,FALSE),MATCH(All!P$1,Winter!$1:$1,FALSE))="","",INDEX(Winter!$1:$1048576,MATCH(All!$A757,Winter!$A:$A,FALSE),MATCH(All!P$1,Winter!$1:$1,FALSE))),"")</f>
        <v>4A</v>
      </c>
      <c r="Q757" t="str">
        <f>IFERROR(IF(INDEX(Winter!$1:$1048576,MATCH(All!$A757,Winter!$A:$A,FALSE),MATCH(All!Q$1,Winter!$1:$1,FALSE))="","",INDEX(Winter!$1:$1048576,MATCH(All!$A757,Winter!$A:$A,FALSE),MATCH(All!Q$1,Winter!$1:$1,FALSE))),"")</f>
        <v>4A</v>
      </c>
      <c r="R757" t="str">
        <f>IFERROR(IF(INDEX(Winter!$1:$1048576,MATCH(All!$A757,Winter!$A:$A,FALSE),MATCH(All!R$1,Winter!$1:$1,FALSE))="","",INDEX(Winter!$1:$1048576,MATCH(All!$A757,Winter!$A:$A,FALSE),MATCH(All!R$1,Winter!$1:$1,FALSE))),"")</f>
        <v>3A</v>
      </c>
      <c r="S757" t="str">
        <f>IFERROR(IF(INDEX(Winter!$1:$1048576,MATCH(All!$A757,Winter!$A:$A,FALSE),MATCH(All!S$1,Winter!$1:$1,FALSE))="","",INDEX(Winter!$1:$1048576,MATCH(All!$A757,Winter!$A:$A,FALSE),MATCH(All!S$1,Winter!$1:$1,FALSE))),"")</f>
        <v>2A</v>
      </c>
      <c r="T757" t="str">
        <f>IFERROR(IF(INDEX(Winter!$1:$1048576,MATCH(All!$A757,Winter!$A:$A,FALSE),MATCH(All!T$1,Winter!$1:$1,FALSE))="","",INDEX(Winter!$1:$1048576,MATCH(All!$A757,Winter!$A:$A,FALSE),MATCH(All!T$1,Winter!$1:$1,FALSE))),"")</f>
        <v>2A</v>
      </c>
      <c r="U757" t="str">
        <f>IFERROR(IF(INDEX(Winter!$1:$1048576,MATCH(All!$A757,Winter!$A:$A,FALSE),MATCH(All!U$1,Winter!$1:$1,FALSE))="","",INDEX(Winter!$1:$1048576,MATCH(All!$A757,Winter!$A:$A,FALSE),MATCH(All!U$1,Winter!$1:$1,FALSE))),"")</f>
        <v>3A</v>
      </c>
      <c r="W757">
        <f>IFERROR(IF(INDEX(Spring!$1:$1048576,MATCH(All!$A757,Spring!$A:$A,FALSE),MATCH(All!W$1,Spring!$1:$1,FALSE))="","",INDEX(Spring!$1:$1048576,MATCH(All!$A757,Spring!$A:$A,FALSE),MATCH(All!W$1,Spring!$1:$1,FALSE))),"")</f>
        <v>1824</v>
      </c>
      <c r="X757" t="str">
        <f>IFERROR(IF(INDEX(Spring!$1:$1048576,MATCH(All!$A757,Spring!$A:$A,FALSE),MATCH(All!X$1,Spring!$1:$1,FALSE))="","",INDEX(Spring!$1:$1048576,MATCH(All!$A757,Spring!$A:$A,FALSE),MATCH(All!X$1,Spring!$1:$1,FALSE))),"")</f>
        <v>4A</v>
      </c>
      <c r="Y757" t="str">
        <f>IFERROR(IF(INDEX(Spring!$1:$1048576,MATCH(All!$A757,Spring!$A:$A,FALSE),MATCH(All!Y$1,Spring!$1:$1,FALSE))="","",INDEX(Spring!$1:$1048576,MATCH(All!$A757,Spring!$A:$A,FALSE),MATCH(All!Y$1,Spring!$1:$1,FALSE))),"")</f>
        <v>4A</v>
      </c>
      <c r="Z757" t="str">
        <f>IFERROR(IF(INDEX(Spring!$1:$1048576,MATCH(All!$A757,Spring!$A:$A,FALSE),MATCH(All!Z$1,Spring!$1:$1,FALSE))="","",INDEX(Spring!$1:$1048576,MATCH(All!$A757,Spring!$A:$A,FALSE),MATCH(All!Z$1,Spring!$1:$1,FALSE))),"")</f>
        <v>3A</v>
      </c>
      <c r="AA757" t="str">
        <f>IFERROR(IF(INDEX(Spring!$1:$1048576,MATCH(All!$A757,Spring!$A:$A,FALSE),MATCH(All!AA$1,Spring!$1:$1,FALSE))="","",INDEX(Spring!$1:$1048576,MATCH(All!$A757,Spring!$A:$A,FALSE),MATCH(All!AA$1,Spring!$1:$1,FALSE))),"")</f>
        <v>2A</v>
      </c>
      <c r="AB757" t="str">
        <f>IFERROR(IF(INDEX(Spring!$1:$1048576,MATCH(All!$A757,Spring!$A:$A,FALSE),MATCH(All!AB$1,Spring!$1:$1,FALSE))="","",INDEX(Spring!$1:$1048576,MATCH(All!$A757,Spring!$A:$A,FALSE),MATCH(All!AB$1,Spring!$1:$1,FALSE))),"")</f>
        <v>3A</v>
      </c>
      <c r="AC757" t="str">
        <f>IFERROR(IF(INDEX(Spring!$1:$1048576,MATCH(All!$A757,Spring!$A:$A,FALSE),MATCH(All!AC$1,Spring!$1:$1,FALSE))="","",INDEX(Spring!$1:$1048576,MATCH(All!$A757,Spring!$A:$A,FALSE),MATCH(All!AC$1,Spring!$1:$1,FALSE))),"")</f>
        <v>3A</v>
      </c>
      <c r="AD757" t="str">
        <f>IFERROR(VLOOKUP(A757,'Flag Football'!A:A,1,FALSE),"")</f>
        <v>Wheaton (W. Warrenville South)</v>
      </c>
      <c r="AE757" t="str">
        <f t="shared" si="11"/>
        <v>1A</v>
      </c>
    </row>
    <row r="758" spans="1:31" ht="15.75" thickBot="1" x14ac:dyDescent="0.3">
      <c r="A758" s="20" t="s">
        <v>869</v>
      </c>
      <c r="B758" s="38">
        <f>IFERROR(VLOOKUP(A758,'Public v Private'!A:G,3,FALSE),"")</f>
        <v>0</v>
      </c>
      <c r="C758" s="38">
        <f>IFERROR(VLOOKUP(A758,'Public v Private'!A:G,4,FALSE),"")</f>
        <v>0</v>
      </c>
      <c r="D758" s="38">
        <f>IFERROR(VLOOKUP(A758,'Public v Private'!A:G,5,FALSE),"")</f>
        <v>0</v>
      </c>
      <c r="E758" s="38"/>
      <c r="F758" s="40">
        <f>IFERROR(INDEX(Fall!$1:$1048576,MATCH(All!$A758,Fall!$A:$A,FALSE),MATCH(All!F$1,Fall!$1:$1,FALSE)),"N/A")</f>
        <v>1658</v>
      </c>
      <c r="G758" t="str">
        <f>IFERROR(IF(INDEX(Fall!$1:$1048576,MATCH(All!$A758,Fall!$A:$A,FALSE),MATCH(All!G$1,Fall!$1:$1,FALSE))="","",INDEX(Fall!$1:$1048576,MATCH(All!$A758,Fall!$A:$A,FALSE),MATCH(All!G$1,Fall!$1:$1,FALSE))),"")</f>
        <v>3A</v>
      </c>
      <c r="H758" t="str">
        <f>IFERROR(IF(INDEX(Fall!$1:$1048576,MATCH(All!$A758,Fall!$A:$A,FALSE),MATCH(All!H$1,Fall!$1:$1,FALSE))="","",INDEX(Fall!$1:$1048576,MATCH(All!$A758,Fall!$A:$A,FALSE),MATCH(All!H$1,Fall!$1:$1,FALSE))),"")</f>
        <v>3A</v>
      </c>
      <c r="I758" t="str">
        <f>IFERROR(IF(INDEX(Fall!$1:$1048576,MATCH(All!$A758,Fall!$A:$A,FALSE),MATCH(All!I$1,Fall!$1:$1,FALSE))="","",INDEX(Fall!$1:$1048576,MATCH(All!$A758,Fall!$A:$A,FALSE),MATCH(All!I$1,Fall!$1:$1,FALSE))),"")</f>
        <v>3A</v>
      </c>
      <c r="J758" t="str">
        <f>IFERROR(IF(INDEX(Fall!$1:$1048576,MATCH(All!$A758,Fall!$A:$A,FALSE),MATCH(All!J$1,Fall!$1:$1,FALSE))="","",INDEX(Fall!$1:$1048576,MATCH(All!$A758,Fall!$A:$A,FALSE),MATCH(All!J$1,Fall!$1:$1,FALSE))),"")</f>
        <v/>
      </c>
      <c r="K758" t="str">
        <f>IFERROR(IF(INDEX(Fall!$1:$1048576,MATCH(All!$A758,Fall!$A:$A,FALSE),MATCH(All!K$1,Fall!$1:$1,FALSE))="","",INDEX(Fall!$1:$1048576,MATCH(All!$A758,Fall!$A:$A,FALSE),MATCH(All!K$1,Fall!$1:$1,FALSE))),"")</f>
        <v>2A</v>
      </c>
      <c r="L758" t="str">
        <f>IFERROR(IF(INDEX(Fall!$1:$1048576,MATCH(All!$A758,Fall!$A:$A,FALSE),MATCH(All!L$1,Fall!$1:$1,FALSE))="","",INDEX(Fall!$1:$1048576,MATCH(All!$A758,Fall!$A:$A,FALSE),MATCH(All!L$1,Fall!$1:$1,FALSE))),"")</f>
        <v>2A</v>
      </c>
      <c r="M758" t="str">
        <f>IFERROR(IF(INDEX(Fall!$1:$1048576,MATCH(All!$A758,Fall!$A:$A,FALSE),MATCH(All!M$1,Fall!$1:$1,FALSE))="","",INDEX(Fall!$1:$1048576,MATCH(All!$A758,Fall!$A:$A,FALSE),MATCH(All!M$1,Fall!$1:$1,FALSE))),"")</f>
        <v>4A</v>
      </c>
      <c r="O758">
        <f>IFERROR(IF(INDEX(Winter!$1:$1048576,MATCH(All!$A758,Winter!$A:$A,FALSE),MATCH(All!O$1,Winter!$1:$1,FALSE))="","",INDEX(Winter!$1:$1048576,MATCH(All!$A758,Winter!$A:$A,FALSE),MATCH(All!O$1,Winter!$1:$1,FALSE))),"")</f>
        <v>1658</v>
      </c>
      <c r="P758" t="str">
        <f>IFERROR(IF(INDEX(Winter!$1:$1048576,MATCH(All!$A758,Winter!$A:$A,FALSE),MATCH(All!P$1,Winter!$1:$1,FALSE))="","",INDEX(Winter!$1:$1048576,MATCH(All!$A758,Winter!$A:$A,FALSE),MATCH(All!P$1,Winter!$1:$1,FALSE))),"")</f>
        <v>4A</v>
      </c>
      <c r="Q758" t="str">
        <f>IFERROR(IF(INDEX(Winter!$1:$1048576,MATCH(All!$A758,Winter!$A:$A,FALSE),MATCH(All!Q$1,Winter!$1:$1,FALSE))="","",INDEX(Winter!$1:$1048576,MATCH(All!$A758,Winter!$A:$A,FALSE),MATCH(All!Q$1,Winter!$1:$1,FALSE))),"")</f>
        <v>4A</v>
      </c>
      <c r="R758" t="str">
        <f>IFERROR(IF(INDEX(Winter!$1:$1048576,MATCH(All!$A758,Winter!$A:$A,FALSE),MATCH(All!R$1,Winter!$1:$1,FALSE))="","",INDEX(Winter!$1:$1048576,MATCH(All!$A758,Winter!$A:$A,FALSE),MATCH(All!R$1,Winter!$1:$1,FALSE))),"")</f>
        <v>C</v>
      </c>
      <c r="S758" t="str">
        <f>IFERROR(IF(INDEX(Winter!$1:$1048576,MATCH(All!$A758,Winter!$A:$A,FALSE),MATCH(All!S$1,Winter!$1:$1,FALSE))="","",INDEX(Winter!$1:$1048576,MATCH(All!$A758,Winter!$A:$A,FALSE),MATCH(All!S$1,Winter!$1:$1,FALSE))),"")</f>
        <v>2A</v>
      </c>
      <c r="T758" t="str">
        <f>IFERROR(IF(INDEX(Winter!$1:$1048576,MATCH(All!$A758,Winter!$A:$A,FALSE),MATCH(All!T$1,Winter!$1:$1,FALSE))="","",INDEX(Winter!$1:$1048576,MATCH(All!$A758,Winter!$A:$A,FALSE),MATCH(All!T$1,Winter!$1:$1,FALSE))),"")</f>
        <v>2A</v>
      </c>
      <c r="U758" t="str">
        <f>IFERROR(IF(INDEX(Winter!$1:$1048576,MATCH(All!$A758,Winter!$A:$A,FALSE),MATCH(All!U$1,Winter!$1:$1,FALSE))="","",INDEX(Winter!$1:$1048576,MATCH(All!$A758,Winter!$A:$A,FALSE),MATCH(All!U$1,Winter!$1:$1,FALSE))),"")</f>
        <v>2A</v>
      </c>
      <c r="W758">
        <f>IFERROR(IF(INDEX(Spring!$1:$1048576,MATCH(All!$A758,Spring!$A:$A,FALSE),MATCH(All!W$1,Spring!$1:$1,FALSE))="","",INDEX(Spring!$1:$1048576,MATCH(All!$A758,Spring!$A:$A,FALSE),MATCH(All!W$1,Spring!$1:$1,FALSE))),"")</f>
        <v>1658</v>
      </c>
      <c r="X758" t="str">
        <f>IFERROR(IF(INDEX(Spring!$1:$1048576,MATCH(All!$A758,Spring!$A:$A,FALSE),MATCH(All!X$1,Spring!$1:$1,FALSE))="","",INDEX(Spring!$1:$1048576,MATCH(All!$A758,Spring!$A:$A,FALSE),MATCH(All!X$1,Spring!$1:$1,FALSE))),"")</f>
        <v>4A</v>
      </c>
      <c r="Y758" t="str">
        <f>IFERROR(IF(INDEX(Spring!$1:$1048576,MATCH(All!$A758,Spring!$A:$A,FALSE),MATCH(All!Y$1,Spring!$1:$1,FALSE))="","",INDEX(Spring!$1:$1048576,MATCH(All!$A758,Spring!$A:$A,FALSE),MATCH(All!Y$1,Spring!$1:$1,FALSE))),"")</f>
        <v>4A</v>
      </c>
      <c r="Z758" t="str">
        <f>IFERROR(IF(INDEX(Spring!$1:$1048576,MATCH(All!$A758,Spring!$A:$A,FALSE),MATCH(All!Z$1,Spring!$1:$1,FALSE))="","",INDEX(Spring!$1:$1048576,MATCH(All!$A758,Spring!$A:$A,FALSE),MATCH(All!Z$1,Spring!$1:$1,FALSE))),"")</f>
        <v>2A</v>
      </c>
      <c r="AA758" t="str">
        <f>IFERROR(IF(INDEX(Spring!$1:$1048576,MATCH(All!$A758,Spring!$A:$A,FALSE),MATCH(All!AA$1,Spring!$1:$1,FALSE))="","",INDEX(Spring!$1:$1048576,MATCH(All!$A758,Spring!$A:$A,FALSE),MATCH(All!AA$1,Spring!$1:$1,FALSE))),"")</f>
        <v>2A</v>
      </c>
      <c r="AB758" t="str">
        <f>IFERROR(IF(INDEX(Spring!$1:$1048576,MATCH(All!$A758,Spring!$A:$A,FALSE),MATCH(All!AB$1,Spring!$1:$1,FALSE))="","",INDEX(Spring!$1:$1048576,MATCH(All!$A758,Spring!$A:$A,FALSE),MATCH(All!AB$1,Spring!$1:$1,FALSE))),"")</f>
        <v>3A</v>
      </c>
      <c r="AC758" t="str">
        <f>IFERROR(IF(INDEX(Spring!$1:$1048576,MATCH(All!$A758,Spring!$A:$A,FALSE),MATCH(All!AC$1,Spring!$1:$1,FALSE))="","",INDEX(Spring!$1:$1048576,MATCH(All!$A758,Spring!$A:$A,FALSE),MATCH(All!AC$1,Spring!$1:$1,FALSE))),"")</f>
        <v>3A</v>
      </c>
      <c r="AD758" t="str">
        <f>IFERROR(VLOOKUP(A758,'Flag Football'!A:A,1,FALSE),"")</f>
        <v>Wheeling</v>
      </c>
      <c r="AE758" t="str">
        <f t="shared" si="11"/>
        <v>1A</v>
      </c>
    </row>
    <row r="759" spans="1:31" ht="15.75" thickBot="1" x14ac:dyDescent="0.3">
      <c r="A759" s="18" t="s">
        <v>870</v>
      </c>
      <c r="B759" s="38">
        <f>IFERROR(VLOOKUP(A759,'Public v Private'!A:G,3,FALSE),"")</f>
        <v>0</v>
      </c>
      <c r="C759" s="38">
        <f>IFERROR(VLOOKUP(A759,'Public v Private'!A:G,4,FALSE),"")</f>
        <v>0</v>
      </c>
      <c r="D759" s="38">
        <f>IFERROR(VLOOKUP(A759,'Public v Private'!A:G,5,FALSE),"")</f>
        <v>0</v>
      </c>
      <c r="E759" s="38"/>
      <c r="F759" s="40">
        <f>IFERROR(INDEX(Fall!$1:$1048576,MATCH(All!$A759,Fall!$A:$A,FALSE),MATCH(All!F$1,Fall!$1:$1,FALSE)),"N/A")</f>
        <v>239</v>
      </c>
      <c r="G759" t="str">
        <f>IFERROR(IF(INDEX(Fall!$1:$1048576,MATCH(All!$A759,Fall!$A:$A,FALSE),MATCH(All!G$1,Fall!$1:$1,FALSE))="","",INDEX(Fall!$1:$1048576,MATCH(All!$A759,Fall!$A:$A,FALSE),MATCH(All!G$1,Fall!$1:$1,FALSE))),"")</f>
        <v/>
      </c>
      <c r="H759" t="str">
        <f>IFERROR(IF(INDEX(Fall!$1:$1048576,MATCH(All!$A759,Fall!$A:$A,FALSE),MATCH(All!H$1,Fall!$1:$1,FALSE))="","",INDEX(Fall!$1:$1048576,MATCH(All!$A759,Fall!$A:$A,FALSE),MATCH(All!H$1,Fall!$1:$1,FALSE))),"")</f>
        <v/>
      </c>
      <c r="I759" t="str">
        <f>IFERROR(IF(INDEX(Fall!$1:$1048576,MATCH(All!$A759,Fall!$A:$A,FALSE),MATCH(All!I$1,Fall!$1:$1,FALSE))="","",INDEX(Fall!$1:$1048576,MATCH(All!$A759,Fall!$A:$A,FALSE),MATCH(All!I$1,Fall!$1:$1,FALSE))),"")</f>
        <v/>
      </c>
      <c r="J759" t="str">
        <f>IFERROR(IF(INDEX(Fall!$1:$1048576,MATCH(All!$A759,Fall!$A:$A,FALSE),MATCH(All!J$1,Fall!$1:$1,FALSE))="","",INDEX(Fall!$1:$1048576,MATCH(All!$A759,Fall!$A:$A,FALSE),MATCH(All!J$1,Fall!$1:$1,FALSE))),"")</f>
        <v/>
      </c>
      <c r="K759" t="str">
        <f>IFERROR(IF(INDEX(Fall!$1:$1048576,MATCH(All!$A759,Fall!$A:$A,FALSE),MATCH(All!K$1,Fall!$1:$1,FALSE))="","",INDEX(Fall!$1:$1048576,MATCH(All!$A759,Fall!$A:$A,FALSE),MATCH(All!K$1,Fall!$1:$1,FALSE))),"")</f>
        <v/>
      </c>
      <c r="L759" t="str">
        <f>IFERROR(IF(INDEX(Fall!$1:$1048576,MATCH(All!$A759,Fall!$A:$A,FALSE),MATCH(All!L$1,Fall!$1:$1,FALSE))="","",INDEX(Fall!$1:$1048576,MATCH(All!$A759,Fall!$A:$A,FALSE),MATCH(All!L$1,Fall!$1:$1,FALSE))),"")</f>
        <v/>
      </c>
      <c r="M759" t="str">
        <f>IFERROR(IF(INDEX(Fall!$1:$1048576,MATCH(All!$A759,Fall!$A:$A,FALSE),MATCH(All!M$1,Fall!$1:$1,FALSE))="","",INDEX(Fall!$1:$1048576,MATCH(All!$A759,Fall!$A:$A,FALSE),MATCH(All!M$1,Fall!$1:$1,FALSE))),"")</f>
        <v>1A</v>
      </c>
      <c r="O759">
        <f>IFERROR(IF(INDEX(Winter!$1:$1048576,MATCH(All!$A759,Winter!$A:$A,FALSE),MATCH(All!O$1,Winter!$1:$1,FALSE))="","",INDEX(Winter!$1:$1048576,MATCH(All!$A759,Winter!$A:$A,FALSE),MATCH(All!O$1,Winter!$1:$1,FALSE))),"")</f>
        <v>239</v>
      </c>
      <c r="P759" t="str">
        <f>IFERROR(IF(INDEX(Winter!$1:$1048576,MATCH(All!$A759,Winter!$A:$A,FALSE),MATCH(All!P$1,Winter!$1:$1,FALSE))="","",INDEX(Winter!$1:$1048576,MATCH(All!$A759,Winter!$A:$A,FALSE),MATCH(All!P$1,Winter!$1:$1,FALSE))),"")</f>
        <v>1A</v>
      </c>
      <c r="Q759" t="str">
        <f>IFERROR(IF(INDEX(Winter!$1:$1048576,MATCH(All!$A759,Winter!$A:$A,FALSE),MATCH(All!Q$1,Winter!$1:$1,FALSE))="","",INDEX(Winter!$1:$1048576,MATCH(All!$A759,Winter!$A:$A,FALSE),MATCH(All!Q$1,Winter!$1:$1,FALSE))),"")</f>
        <v>1A</v>
      </c>
      <c r="R759" t="str">
        <f>IFERROR(IF(INDEX(Winter!$1:$1048576,MATCH(All!$A759,Winter!$A:$A,FALSE),MATCH(All!R$1,Winter!$1:$1,FALSE))="","",INDEX(Winter!$1:$1048576,MATCH(All!$A759,Winter!$A:$A,FALSE),MATCH(All!R$1,Winter!$1:$1,FALSE))),"")</f>
        <v/>
      </c>
      <c r="S759" t="str">
        <f>IFERROR(IF(INDEX(Winter!$1:$1048576,MATCH(All!$A759,Winter!$A:$A,FALSE),MATCH(All!S$1,Winter!$1:$1,FALSE))="","",INDEX(Winter!$1:$1048576,MATCH(All!$A759,Winter!$A:$A,FALSE),MATCH(All!S$1,Winter!$1:$1,FALSE))),"")</f>
        <v/>
      </c>
      <c r="T759" t="str">
        <f>IFERROR(IF(INDEX(Winter!$1:$1048576,MATCH(All!$A759,Winter!$A:$A,FALSE),MATCH(All!T$1,Winter!$1:$1,FALSE))="","",INDEX(Winter!$1:$1048576,MATCH(All!$A759,Winter!$A:$A,FALSE),MATCH(All!T$1,Winter!$1:$1,FALSE))),"")</f>
        <v>1A</v>
      </c>
      <c r="U759" t="str">
        <f>IFERROR(IF(INDEX(Winter!$1:$1048576,MATCH(All!$A759,Winter!$A:$A,FALSE),MATCH(All!U$1,Winter!$1:$1,FALSE))="","",INDEX(Winter!$1:$1048576,MATCH(All!$A759,Winter!$A:$A,FALSE),MATCH(All!U$1,Winter!$1:$1,FALSE))),"")</f>
        <v/>
      </c>
      <c r="W759">
        <f>IFERROR(IF(INDEX(Spring!$1:$1048576,MATCH(All!$A759,Spring!$A:$A,FALSE),MATCH(All!W$1,Spring!$1:$1,FALSE))="","",INDEX(Spring!$1:$1048576,MATCH(All!$A759,Spring!$A:$A,FALSE),MATCH(All!W$1,Spring!$1:$1,FALSE))),"")</f>
        <v>239</v>
      </c>
      <c r="X759" t="str">
        <f>IFERROR(IF(INDEX(Spring!$1:$1048576,MATCH(All!$A759,Spring!$A:$A,FALSE),MATCH(All!X$1,Spring!$1:$1,FALSE))="","",INDEX(Spring!$1:$1048576,MATCH(All!$A759,Spring!$A:$A,FALSE),MATCH(All!X$1,Spring!$1:$1,FALSE))),"")</f>
        <v>1A</v>
      </c>
      <c r="Y759" t="str">
        <f>IFERROR(IF(INDEX(Spring!$1:$1048576,MATCH(All!$A759,Spring!$A:$A,FALSE),MATCH(All!Y$1,Spring!$1:$1,FALSE))="","",INDEX(Spring!$1:$1048576,MATCH(All!$A759,Spring!$A:$A,FALSE),MATCH(All!Y$1,Spring!$1:$1,FALSE))),"")</f>
        <v>1A</v>
      </c>
      <c r="Z759" t="str">
        <f>IFERROR(IF(INDEX(Spring!$1:$1048576,MATCH(All!$A759,Spring!$A:$A,FALSE),MATCH(All!Z$1,Spring!$1:$1,FALSE))="","",INDEX(Spring!$1:$1048576,MATCH(All!$A759,Spring!$A:$A,FALSE),MATCH(All!Z$1,Spring!$1:$1,FALSE))),"")</f>
        <v/>
      </c>
      <c r="AA759" t="str">
        <f>IFERROR(IF(INDEX(Spring!$1:$1048576,MATCH(All!$A759,Spring!$A:$A,FALSE),MATCH(All!AA$1,Spring!$1:$1,FALSE))="","",INDEX(Spring!$1:$1048576,MATCH(All!$A759,Spring!$A:$A,FALSE),MATCH(All!AA$1,Spring!$1:$1,FALSE))),"")</f>
        <v/>
      </c>
      <c r="AB759" t="str">
        <f>IFERROR(IF(INDEX(Spring!$1:$1048576,MATCH(All!$A759,Spring!$A:$A,FALSE),MATCH(All!AB$1,Spring!$1:$1,FALSE))="","",INDEX(Spring!$1:$1048576,MATCH(All!$A759,Spring!$A:$A,FALSE),MATCH(All!AB$1,Spring!$1:$1,FALSE))),"")</f>
        <v>1A</v>
      </c>
      <c r="AC759" t="str">
        <f>IFERROR(IF(INDEX(Spring!$1:$1048576,MATCH(All!$A759,Spring!$A:$A,FALSE),MATCH(All!AC$1,Spring!$1:$1,FALSE))="","",INDEX(Spring!$1:$1048576,MATCH(All!$A759,Spring!$A:$A,FALSE),MATCH(All!AC$1,Spring!$1:$1,FALSE))),"")</f>
        <v>1A</v>
      </c>
      <c r="AD759" t="str">
        <f>IFERROR(VLOOKUP(A759,'Flag Football'!A:A,1,FALSE),"")</f>
        <v/>
      </c>
      <c r="AE759" t="str">
        <f t="shared" si="11"/>
        <v/>
      </c>
    </row>
    <row r="760" spans="1:31" ht="15.75" thickBot="1" x14ac:dyDescent="0.3">
      <c r="A760" s="20" t="s">
        <v>871</v>
      </c>
      <c r="B760" s="38">
        <f>IFERROR(VLOOKUP(A760,'Public v Private'!A:G,3,FALSE),"")</f>
        <v>0</v>
      </c>
      <c r="C760" s="38">
        <f>IFERROR(VLOOKUP(A760,'Public v Private'!A:G,4,FALSE),"")</f>
        <v>0</v>
      </c>
      <c r="D760" s="38">
        <f>IFERROR(VLOOKUP(A760,'Public v Private'!A:G,5,FALSE),"")</f>
        <v>0</v>
      </c>
      <c r="E760" s="38"/>
      <c r="F760" s="40">
        <f>IFERROR(INDEX(Fall!$1:$1048576,MATCH(All!$A760,Fall!$A:$A,FALSE),MATCH(All!F$1,Fall!$1:$1,FALSE)),"N/A")</f>
        <v>95</v>
      </c>
      <c r="G760" t="str">
        <f>IFERROR(IF(INDEX(Fall!$1:$1048576,MATCH(All!$A760,Fall!$A:$A,FALSE),MATCH(All!G$1,Fall!$1:$1,FALSE))="","",INDEX(Fall!$1:$1048576,MATCH(All!$A760,Fall!$A:$A,FALSE),MATCH(All!G$1,Fall!$1:$1,FALSE))),"")</f>
        <v/>
      </c>
      <c r="H760" t="str">
        <f>IFERROR(IF(INDEX(Fall!$1:$1048576,MATCH(All!$A760,Fall!$A:$A,FALSE),MATCH(All!H$1,Fall!$1:$1,FALSE))="","",INDEX(Fall!$1:$1048576,MATCH(All!$A760,Fall!$A:$A,FALSE),MATCH(All!H$1,Fall!$1:$1,FALSE))),"")</f>
        <v/>
      </c>
      <c r="I760" t="str">
        <f>IFERROR(IF(INDEX(Fall!$1:$1048576,MATCH(All!$A760,Fall!$A:$A,FALSE),MATCH(All!I$1,Fall!$1:$1,FALSE))="","",INDEX(Fall!$1:$1048576,MATCH(All!$A760,Fall!$A:$A,FALSE),MATCH(All!I$1,Fall!$1:$1,FALSE))),"")</f>
        <v>1A</v>
      </c>
      <c r="J760" t="str">
        <f>IFERROR(IF(INDEX(Fall!$1:$1048576,MATCH(All!$A760,Fall!$A:$A,FALSE),MATCH(All!J$1,Fall!$1:$1,FALSE))="","",INDEX(Fall!$1:$1048576,MATCH(All!$A760,Fall!$A:$A,FALSE),MATCH(All!J$1,Fall!$1:$1,FALSE))),"")</f>
        <v>1A</v>
      </c>
      <c r="K760" t="str">
        <f>IFERROR(IF(INDEX(Fall!$1:$1048576,MATCH(All!$A760,Fall!$A:$A,FALSE),MATCH(All!K$1,Fall!$1:$1,FALSE))="","",INDEX(Fall!$1:$1048576,MATCH(All!$A760,Fall!$A:$A,FALSE),MATCH(All!K$1,Fall!$1:$1,FALSE))),"")</f>
        <v/>
      </c>
      <c r="L760" t="str">
        <f>IFERROR(IF(INDEX(Fall!$1:$1048576,MATCH(All!$A760,Fall!$A:$A,FALSE),MATCH(All!L$1,Fall!$1:$1,FALSE))="","",INDEX(Fall!$1:$1048576,MATCH(All!$A760,Fall!$A:$A,FALSE),MATCH(All!L$1,Fall!$1:$1,FALSE))),"")</f>
        <v/>
      </c>
      <c r="M760" t="str">
        <f>IFERROR(IF(INDEX(Fall!$1:$1048576,MATCH(All!$A760,Fall!$A:$A,FALSE),MATCH(All!M$1,Fall!$1:$1,FALSE))="","",INDEX(Fall!$1:$1048576,MATCH(All!$A760,Fall!$A:$A,FALSE),MATCH(All!M$1,Fall!$1:$1,FALSE))),"")</f>
        <v>1A</v>
      </c>
      <c r="O760" t="str">
        <f>IFERROR(IF(INDEX(Winter!$1:$1048576,MATCH(All!$A760,Winter!$A:$A,FALSE),MATCH(All!O$1,Winter!$1:$1,FALSE))="","",INDEX(Winter!$1:$1048576,MATCH(All!$A760,Winter!$A:$A,FALSE),MATCH(All!O$1,Winter!$1:$1,FALSE))),"")</f>
        <v/>
      </c>
      <c r="P760" t="str">
        <f>IFERROR(IF(INDEX(Winter!$1:$1048576,MATCH(All!$A760,Winter!$A:$A,FALSE),MATCH(All!P$1,Winter!$1:$1,FALSE))="","",INDEX(Winter!$1:$1048576,MATCH(All!$A760,Winter!$A:$A,FALSE),MATCH(All!P$1,Winter!$1:$1,FALSE))),"")</f>
        <v/>
      </c>
      <c r="Q760" t="str">
        <f>IFERROR(IF(INDEX(Winter!$1:$1048576,MATCH(All!$A760,Winter!$A:$A,FALSE),MATCH(All!Q$1,Winter!$1:$1,FALSE))="","",INDEX(Winter!$1:$1048576,MATCH(All!$A760,Winter!$A:$A,FALSE),MATCH(All!Q$1,Winter!$1:$1,FALSE))),"")</f>
        <v/>
      </c>
      <c r="R760" t="str">
        <f>IFERROR(IF(INDEX(Winter!$1:$1048576,MATCH(All!$A760,Winter!$A:$A,FALSE),MATCH(All!R$1,Winter!$1:$1,FALSE))="","",INDEX(Winter!$1:$1048576,MATCH(All!$A760,Winter!$A:$A,FALSE),MATCH(All!R$1,Winter!$1:$1,FALSE))),"")</f>
        <v/>
      </c>
      <c r="S760" t="str">
        <f>IFERROR(IF(INDEX(Winter!$1:$1048576,MATCH(All!$A760,Winter!$A:$A,FALSE),MATCH(All!S$1,Winter!$1:$1,FALSE))="","",INDEX(Winter!$1:$1048576,MATCH(All!$A760,Winter!$A:$A,FALSE),MATCH(All!S$1,Winter!$1:$1,FALSE))),"")</f>
        <v/>
      </c>
      <c r="T760" t="str">
        <f>IFERROR(IF(INDEX(Winter!$1:$1048576,MATCH(All!$A760,Winter!$A:$A,FALSE),MATCH(All!T$1,Winter!$1:$1,FALSE))="","",INDEX(Winter!$1:$1048576,MATCH(All!$A760,Winter!$A:$A,FALSE),MATCH(All!T$1,Winter!$1:$1,FALSE))),"")</f>
        <v/>
      </c>
      <c r="U760" t="str">
        <f>IFERROR(IF(INDEX(Winter!$1:$1048576,MATCH(All!$A760,Winter!$A:$A,FALSE),MATCH(All!U$1,Winter!$1:$1,FALSE))="","",INDEX(Winter!$1:$1048576,MATCH(All!$A760,Winter!$A:$A,FALSE),MATCH(All!U$1,Winter!$1:$1,FALSE))),"")</f>
        <v/>
      </c>
      <c r="W760">
        <f>IFERROR(IF(INDEX(Spring!$1:$1048576,MATCH(All!$A760,Spring!$A:$A,FALSE),MATCH(All!W$1,Spring!$1:$1,FALSE))="","",INDEX(Spring!$1:$1048576,MATCH(All!$A760,Spring!$A:$A,FALSE),MATCH(All!W$1,Spring!$1:$1,FALSE))),"")</f>
        <v>95</v>
      </c>
      <c r="X760" t="str">
        <f>IFERROR(IF(INDEX(Spring!$1:$1048576,MATCH(All!$A760,Spring!$A:$A,FALSE),MATCH(All!X$1,Spring!$1:$1,FALSE))="","",INDEX(Spring!$1:$1048576,MATCH(All!$A760,Spring!$A:$A,FALSE),MATCH(All!X$1,Spring!$1:$1,FALSE))),"")</f>
        <v>1A</v>
      </c>
      <c r="Y760" t="str">
        <f>IFERROR(IF(INDEX(Spring!$1:$1048576,MATCH(All!$A760,Spring!$A:$A,FALSE),MATCH(All!Y$1,Spring!$1:$1,FALSE))="","",INDEX(Spring!$1:$1048576,MATCH(All!$A760,Spring!$A:$A,FALSE),MATCH(All!Y$1,Spring!$1:$1,FALSE))),"")</f>
        <v>1A</v>
      </c>
      <c r="Z760" t="str">
        <f>IFERROR(IF(INDEX(Spring!$1:$1048576,MATCH(All!$A760,Spring!$A:$A,FALSE),MATCH(All!Z$1,Spring!$1:$1,FALSE))="","",INDEX(Spring!$1:$1048576,MATCH(All!$A760,Spring!$A:$A,FALSE),MATCH(All!Z$1,Spring!$1:$1,FALSE))),"")</f>
        <v/>
      </c>
      <c r="AA760" t="str">
        <f>IFERROR(IF(INDEX(Spring!$1:$1048576,MATCH(All!$A760,Spring!$A:$A,FALSE),MATCH(All!AA$1,Spring!$1:$1,FALSE))="","",INDEX(Spring!$1:$1048576,MATCH(All!$A760,Spring!$A:$A,FALSE),MATCH(All!AA$1,Spring!$1:$1,FALSE))),"")</f>
        <v/>
      </c>
      <c r="AB760" t="str">
        <f>IFERROR(IF(INDEX(Spring!$1:$1048576,MATCH(All!$A760,Spring!$A:$A,FALSE),MATCH(All!AB$1,Spring!$1:$1,FALSE))="","",INDEX(Spring!$1:$1048576,MATCH(All!$A760,Spring!$A:$A,FALSE),MATCH(All!AB$1,Spring!$1:$1,FALSE))),"")</f>
        <v/>
      </c>
      <c r="AC760" t="str">
        <f>IFERROR(IF(INDEX(Spring!$1:$1048576,MATCH(All!$A760,Spring!$A:$A,FALSE),MATCH(All!AC$1,Spring!$1:$1,FALSE))="","",INDEX(Spring!$1:$1048576,MATCH(All!$A760,Spring!$A:$A,FALSE),MATCH(All!AC$1,Spring!$1:$1,FALSE))),"")</f>
        <v/>
      </c>
      <c r="AD760" t="str">
        <f>IFERROR(VLOOKUP(A760,'Flag Football'!A:A,1,FALSE),"")</f>
        <v/>
      </c>
      <c r="AE760" t="str">
        <f t="shared" si="11"/>
        <v/>
      </c>
    </row>
    <row r="761" spans="1:31" ht="15.75" thickBot="1" x14ac:dyDescent="0.3">
      <c r="A761" s="18" t="s">
        <v>872</v>
      </c>
      <c r="B761" s="38">
        <f>IFERROR(VLOOKUP(A761,'Public v Private'!A:G,3,FALSE),"")</f>
        <v>0</v>
      </c>
      <c r="C761" s="38">
        <f>IFERROR(VLOOKUP(A761,'Public v Private'!A:G,4,FALSE),"")</f>
        <v>0</v>
      </c>
      <c r="D761" s="38">
        <f>IFERROR(VLOOKUP(A761,'Public v Private'!A:G,5,FALSE),"")</f>
        <v>0</v>
      </c>
      <c r="E761" s="38"/>
      <c r="F761" s="40">
        <f>IFERROR(INDEX(Fall!$1:$1048576,MATCH(All!$A761,Fall!$A:$A,FALSE),MATCH(All!F$1,Fall!$1:$1,FALSE)),"N/A")</f>
        <v>454</v>
      </c>
      <c r="G761" t="str">
        <f>IFERROR(IF(INDEX(Fall!$1:$1048576,MATCH(All!$A761,Fall!$A:$A,FALSE),MATCH(All!G$1,Fall!$1:$1,FALSE))="","",INDEX(Fall!$1:$1048576,MATCH(All!$A761,Fall!$A:$A,FALSE),MATCH(All!G$1,Fall!$1:$1,FALSE))),"")</f>
        <v>1A</v>
      </c>
      <c r="H761" t="str">
        <f>IFERROR(IF(INDEX(Fall!$1:$1048576,MATCH(All!$A761,Fall!$A:$A,FALSE),MATCH(All!H$1,Fall!$1:$1,FALSE))="","",INDEX(Fall!$1:$1048576,MATCH(All!$A761,Fall!$A:$A,FALSE),MATCH(All!H$1,Fall!$1:$1,FALSE))),"")</f>
        <v>1A</v>
      </c>
      <c r="I761" t="str">
        <f>IFERROR(IF(INDEX(Fall!$1:$1048576,MATCH(All!$A761,Fall!$A:$A,FALSE),MATCH(All!I$1,Fall!$1:$1,FALSE))="","",INDEX(Fall!$1:$1048576,MATCH(All!$A761,Fall!$A:$A,FALSE),MATCH(All!I$1,Fall!$1:$1,FALSE))),"")</f>
        <v>1A</v>
      </c>
      <c r="J761" t="str">
        <f>IFERROR(IF(INDEX(Fall!$1:$1048576,MATCH(All!$A761,Fall!$A:$A,FALSE),MATCH(All!J$1,Fall!$1:$1,FALSE))="","",INDEX(Fall!$1:$1048576,MATCH(All!$A761,Fall!$A:$A,FALSE),MATCH(All!J$1,Fall!$1:$1,FALSE))),"")</f>
        <v>1A</v>
      </c>
      <c r="K761" t="str">
        <f>IFERROR(IF(INDEX(Fall!$1:$1048576,MATCH(All!$A761,Fall!$A:$A,FALSE),MATCH(All!K$1,Fall!$1:$1,FALSE))="","",INDEX(Fall!$1:$1048576,MATCH(All!$A761,Fall!$A:$A,FALSE),MATCH(All!K$1,Fall!$1:$1,FALSE))),"")</f>
        <v>1A</v>
      </c>
      <c r="L761" t="str">
        <f>IFERROR(IF(INDEX(Fall!$1:$1048576,MATCH(All!$A761,Fall!$A:$A,FALSE),MATCH(All!L$1,Fall!$1:$1,FALSE))="","",INDEX(Fall!$1:$1048576,MATCH(All!$A761,Fall!$A:$A,FALSE),MATCH(All!L$1,Fall!$1:$1,FALSE))),"")</f>
        <v/>
      </c>
      <c r="M761" t="str">
        <f>IFERROR(IF(INDEX(Fall!$1:$1048576,MATCH(All!$A761,Fall!$A:$A,FALSE),MATCH(All!M$1,Fall!$1:$1,FALSE))="","",INDEX(Fall!$1:$1048576,MATCH(All!$A761,Fall!$A:$A,FALSE),MATCH(All!M$1,Fall!$1:$1,FALSE))),"")</f>
        <v>2A</v>
      </c>
      <c r="O761">
        <f>IFERROR(IF(INDEX(Winter!$1:$1048576,MATCH(All!$A761,Winter!$A:$A,FALSE),MATCH(All!O$1,Winter!$1:$1,FALSE))="","",INDEX(Winter!$1:$1048576,MATCH(All!$A761,Winter!$A:$A,FALSE),MATCH(All!O$1,Winter!$1:$1,FALSE))),"")</f>
        <v>454</v>
      </c>
      <c r="P761" t="str">
        <f>IFERROR(IF(INDEX(Winter!$1:$1048576,MATCH(All!$A761,Winter!$A:$A,FALSE),MATCH(All!P$1,Winter!$1:$1,FALSE))="","",INDEX(Winter!$1:$1048576,MATCH(All!$A761,Winter!$A:$A,FALSE),MATCH(All!P$1,Winter!$1:$1,FALSE))),"")</f>
        <v>2A</v>
      </c>
      <c r="Q761" t="str">
        <f>IFERROR(IF(INDEX(Winter!$1:$1048576,MATCH(All!$A761,Winter!$A:$A,FALSE),MATCH(All!Q$1,Winter!$1:$1,FALSE))="","",INDEX(Winter!$1:$1048576,MATCH(All!$A761,Winter!$A:$A,FALSE),MATCH(All!Q$1,Winter!$1:$1,FALSE))),"")</f>
        <v>2A</v>
      </c>
      <c r="R761" t="str">
        <f>IFERROR(IF(INDEX(Winter!$1:$1048576,MATCH(All!$A761,Winter!$A:$A,FALSE),MATCH(All!R$1,Winter!$1:$1,FALSE))="","",INDEX(Winter!$1:$1048576,MATCH(All!$A761,Winter!$A:$A,FALSE),MATCH(All!R$1,Winter!$1:$1,FALSE))),"")</f>
        <v>1A</v>
      </c>
      <c r="S761" t="str">
        <f>IFERROR(IF(INDEX(Winter!$1:$1048576,MATCH(All!$A761,Winter!$A:$A,FALSE),MATCH(All!S$1,Winter!$1:$1,FALSE))="","",INDEX(Winter!$1:$1048576,MATCH(All!$A761,Winter!$A:$A,FALSE),MATCH(All!S$1,Winter!$1:$1,FALSE))),"")</f>
        <v/>
      </c>
      <c r="T761" t="str">
        <f>IFERROR(IF(INDEX(Winter!$1:$1048576,MATCH(All!$A761,Winter!$A:$A,FALSE),MATCH(All!T$1,Winter!$1:$1,FALSE))="","",INDEX(Winter!$1:$1048576,MATCH(All!$A761,Winter!$A:$A,FALSE),MATCH(All!T$1,Winter!$1:$1,FALSE))),"")</f>
        <v>2A</v>
      </c>
      <c r="U761" t="str">
        <f>IFERROR(IF(INDEX(Winter!$1:$1048576,MATCH(All!$A761,Winter!$A:$A,FALSE),MATCH(All!U$1,Winter!$1:$1,FALSE))="","",INDEX(Winter!$1:$1048576,MATCH(All!$A761,Winter!$A:$A,FALSE),MATCH(All!U$1,Winter!$1:$1,FALSE))),"")</f>
        <v>1A</v>
      </c>
      <c r="W761">
        <f>IFERROR(IF(INDEX(Spring!$1:$1048576,MATCH(All!$A761,Spring!$A:$A,FALSE),MATCH(All!W$1,Spring!$1:$1,FALSE))="","",INDEX(Spring!$1:$1048576,MATCH(All!$A761,Spring!$A:$A,FALSE),MATCH(All!W$1,Spring!$1:$1,FALSE))),"")</f>
        <v>454</v>
      </c>
      <c r="X761" t="str">
        <f>IFERROR(IF(INDEX(Spring!$1:$1048576,MATCH(All!$A761,Spring!$A:$A,FALSE),MATCH(All!X$1,Spring!$1:$1,FALSE))="","",INDEX(Spring!$1:$1048576,MATCH(All!$A761,Spring!$A:$A,FALSE),MATCH(All!X$1,Spring!$1:$1,FALSE))),"")</f>
        <v>2A</v>
      </c>
      <c r="Y761" t="str">
        <f>IFERROR(IF(INDEX(Spring!$1:$1048576,MATCH(All!$A761,Spring!$A:$A,FALSE),MATCH(All!Y$1,Spring!$1:$1,FALSE))="","",INDEX(Spring!$1:$1048576,MATCH(All!$A761,Spring!$A:$A,FALSE),MATCH(All!Y$1,Spring!$1:$1,FALSE))),"")</f>
        <v>2A</v>
      </c>
      <c r="Z761" t="str">
        <f>IFERROR(IF(INDEX(Spring!$1:$1048576,MATCH(All!$A761,Spring!$A:$A,FALSE),MATCH(All!Z$1,Spring!$1:$1,FALSE))="","",INDEX(Spring!$1:$1048576,MATCH(All!$A761,Spring!$A:$A,FALSE),MATCH(All!Z$1,Spring!$1:$1,FALSE))),"")</f>
        <v>1A</v>
      </c>
      <c r="AA761" t="str">
        <f>IFERROR(IF(INDEX(Spring!$1:$1048576,MATCH(All!$A761,Spring!$A:$A,FALSE),MATCH(All!AA$1,Spring!$1:$1,FALSE))="","",INDEX(Spring!$1:$1048576,MATCH(All!$A761,Spring!$A:$A,FALSE),MATCH(All!AA$1,Spring!$1:$1,FALSE))),"")</f>
        <v/>
      </c>
      <c r="AB761" t="str">
        <f>IFERROR(IF(INDEX(Spring!$1:$1048576,MATCH(All!$A761,Spring!$A:$A,FALSE),MATCH(All!AB$1,Spring!$1:$1,FALSE))="","",INDEX(Spring!$1:$1048576,MATCH(All!$A761,Spring!$A:$A,FALSE),MATCH(All!AB$1,Spring!$1:$1,FALSE))),"")</f>
        <v>2A</v>
      </c>
      <c r="AC761" t="str">
        <f>IFERROR(IF(INDEX(Spring!$1:$1048576,MATCH(All!$A761,Spring!$A:$A,FALSE),MATCH(All!AC$1,Spring!$1:$1,FALSE))="","",INDEX(Spring!$1:$1048576,MATCH(All!$A761,Spring!$A:$A,FALSE),MATCH(All!AC$1,Spring!$1:$1,FALSE))),"")</f>
        <v>2A</v>
      </c>
      <c r="AD761" t="str">
        <f>IFERROR(VLOOKUP(A761,'Flag Football'!A:A,1,FALSE),"")</f>
        <v/>
      </c>
      <c r="AE761" t="str">
        <f t="shared" si="11"/>
        <v/>
      </c>
    </row>
    <row r="762" spans="1:31" ht="15.75" thickBot="1" x14ac:dyDescent="0.3">
      <c r="A762" s="20" t="s">
        <v>873</v>
      </c>
      <c r="B762" s="38" t="str">
        <f>IFERROR(VLOOKUP(A762,'Public v Private'!A:G,3,FALSE),"")</f>
        <v>private</v>
      </c>
      <c r="C762" s="38">
        <f>IFERROR(VLOOKUP(A762,'Public v Private'!A:G,4,FALSE),"")</f>
        <v>2</v>
      </c>
      <c r="D762" s="38">
        <f>IFERROR(VLOOKUP(A762,'Public v Private'!A:G,5,FALSE),"")</f>
        <v>4</v>
      </c>
      <c r="E762" s="38"/>
      <c r="F762" s="40" t="str">
        <f>IFERROR(INDEX(Fall!$1:$1048576,MATCH(All!$A762,Fall!$A:$A,FALSE),MATCH(All!F$1,Fall!$1:$1,FALSE)),"N/A")</f>
        <v>1,944.00 (3,207.60)</v>
      </c>
      <c r="G762" t="str">
        <f>IFERROR(IF(INDEX(Fall!$1:$1048576,MATCH(All!$A762,Fall!$A:$A,FALSE),MATCH(All!G$1,Fall!$1:$1,FALSE))="","",INDEX(Fall!$1:$1048576,MATCH(All!$A762,Fall!$A:$A,FALSE),MATCH(All!G$1,Fall!$1:$1,FALSE))),"")</f>
        <v>3A</v>
      </c>
      <c r="H762" t="str">
        <f>IFERROR(IF(INDEX(Fall!$1:$1048576,MATCH(All!$A762,Fall!$A:$A,FALSE),MATCH(All!H$1,Fall!$1:$1,FALSE))="","",INDEX(Fall!$1:$1048576,MATCH(All!$A762,Fall!$A:$A,FALSE),MATCH(All!H$1,Fall!$1:$1,FALSE))),"")</f>
        <v>3A</v>
      </c>
      <c r="I762" t="str">
        <f>IFERROR(IF(INDEX(Fall!$1:$1048576,MATCH(All!$A762,Fall!$A:$A,FALSE),MATCH(All!I$1,Fall!$1:$1,FALSE))="","",INDEX(Fall!$1:$1048576,MATCH(All!$A762,Fall!$A:$A,FALSE),MATCH(All!I$1,Fall!$1:$1,FALSE))),"")</f>
        <v>3A</v>
      </c>
      <c r="J762" t="str">
        <f>IFERROR(IF(INDEX(Fall!$1:$1048576,MATCH(All!$A762,Fall!$A:$A,FALSE),MATCH(All!J$1,Fall!$1:$1,FALSE))="","",INDEX(Fall!$1:$1048576,MATCH(All!$A762,Fall!$A:$A,FALSE),MATCH(All!J$1,Fall!$1:$1,FALSE))),"")</f>
        <v>2A</v>
      </c>
      <c r="K762" t="str">
        <f>IFERROR(IF(INDEX(Fall!$1:$1048576,MATCH(All!$A762,Fall!$A:$A,FALSE),MATCH(All!K$1,Fall!$1:$1,FALSE))="","",INDEX(Fall!$1:$1048576,MATCH(All!$A762,Fall!$A:$A,FALSE),MATCH(All!K$1,Fall!$1:$1,FALSE))),"")</f>
        <v>3A</v>
      </c>
      <c r="L762" t="str">
        <f>IFERROR(IF(INDEX(Fall!$1:$1048576,MATCH(All!$A762,Fall!$A:$A,FALSE),MATCH(All!L$1,Fall!$1:$1,FALSE))="","",INDEX(Fall!$1:$1048576,MATCH(All!$A762,Fall!$A:$A,FALSE),MATCH(All!L$1,Fall!$1:$1,FALSE))),"")</f>
        <v>2A</v>
      </c>
      <c r="M762" t="str">
        <f>IFERROR(IF(INDEX(Fall!$1:$1048576,MATCH(All!$A762,Fall!$A:$A,FALSE),MATCH(All!M$1,Fall!$1:$1,FALSE))="","",INDEX(Fall!$1:$1048576,MATCH(All!$A762,Fall!$A:$A,FALSE),MATCH(All!M$1,Fall!$1:$1,FALSE))),"")</f>
        <v>4A</v>
      </c>
      <c r="O762" t="str">
        <f>IFERROR(IF(INDEX(Winter!$1:$1048576,MATCH(All!$A762,Winter!$A:$A,FALSE),MATCH(All!O$1,Winter!$1:$1,FALSE))="","",INDEX(Winter!$1:$1048576,MATCH(All!$A762,Winter!$A:$A,FALSE),MATCH(All!O$1,Winter!$1:$1,FALSE))),"")</f>
        <v>1,944.00 (3,207.60)</v>
      </c>
      <c r="P762" t="str">
        <f>IFERROR(IF(INDEX(Winter!$1:$1048576,MATCH(All!$A762,Winter!$A:$A,FALSE),MATCH(All!P$1,Winter!$1:$1,FALSE))="","",INDEX(Winter!$1:$1048576,MATCH(All!$A762,Winter!$A:$A,FALSE),MATCH(All!P$1,Winter!$1:$1,FALSE))),"")</f>
        <v>4A</v>
      </c>
      <c r="Q762" t="str">
        <f>IFERROR(IF(INDEX(Winter!$1:$1048576,MATCH(All!$A762,Winter!$A:$A,FALSE),MATCH(All!Q$1,Winter!$1:$1,FALSE))="","",INDEX(Winter!$1:$1048576,MATCH(All!$A762,Winter!$A:$A,FALSE),MATCH(All!Q$1,Winter!$1:$1,FALSE))),"")</f>
        <v>4A</v>
      </c>
      <c r="R762" t="str">
        <f>IFERROR(IF(INDEX(Winter!$1:$1048576,MATCH(All!$A762,Winter!$A:$A,FALSE),MATCH(All!R$1,Winter!$1:$1,FALSE))="","",INDEX(Winter!$1:$1048576,MATCH(All!$A762,Winter!$A:$A,FALSE),MATCH(All!R$1,Winter!$1:$1,FALSE))),"")</f>
        <v>3A</v>
      </c>
      <c r="S762" t="str">
        <f>IFERROR(IF(INDEX(Winter!$1:$1048576,MATCH(All!$A762,Winter!$A:$A,FALSE),MATCH(All!S$1,Winter!$1:$1,FALSE))="","",INDEX(Winter!$1:$1048576,MATCH(All!$A762,Winter!$A:$A,FALSE),MATCH(All!S$1,Winter!$1:$1,FALSE))),"")</f>
        <v>3A</v>
      </c>
      <c r="T762" t="str">
        <f>IFERROR(IF(INDEX(Winter!$1:$1048576,MATCH(All!$A762,Winter!$A:$A,FALSE),MATCH(All!T$1,Winter!$1:$1,FALSE))="","",INDEX(Winter!$1:$1048576,MATCH(All!$A762,Winter!$A:$A,FALSE),MATCH(All!T$1,Winter!$1:$1,FALSE))),"")</f>
        <v>2A</v>
      </c>
      <c r="U762" t="str">
        <f>IFERROR(IF(INDEX(Winter!$1:$1048576,MATCH(All!$A762,Winter!$A:$A,FALSE),MATCH(All!U$1,Winter!$1:$1,FALSE))="","",INDEX(Winter!$1:$1048576,MATCH(All!$A762,Winter!$A:$A,FALSE),MATCH(All!U$1,Winter!$1:$1,FALSE))),"")</f>
        <v>3A</v>
      </c>
      <c r="W762" t="str">
        <f>IFERROR(IF(INDEX(Spring!$1:$1048576,MATCH(All!$A762,Spring!$A:$A,FALSE),MATCH(All!W$1,Spring!$1:$1,FALSE))="","",INDEX(Spring!$1:$1048576,MATCH(All!$A762,Spring!$A:$A,FALSE),MATCH(All!W$1,Spring!$1:$1,FALSE))),"")</f>
        <v>1,944.00 (3,207.60)</v>
      </c>
      <c r="X762" t="str">
        <f>IFERROR(IF(INDEX(Spring!$1:$1048576,MATCH(All!$A762,Spring!$A:$A,FALSE),MATCH(All!X$1,Spring!$1:$1,FALSE))="","",INDEX(Spring!$1:$1048576,MATCH(All!$A762,Spring!$A:$A,FALSE),MATCH(All!X$1,Spring!$1:$1,FALSE))),"")</f>
        <v>4A</v>
      </c>
      <c r="Y762" t="str">
        <f>IFERROR(IF(INDEX(Spring!$1:$1048576,MATCH(All!$A762,Spring!$A:$A,FALSE),MATCH(All!Y$1,Spring!$1:$1,FALSE))="","",INDEX(Spring!$1:$1048576,MATCH(All!$A762,Spring!$A:$A,FALSE),MATCH(All!Y$1,Spring!$1:$1,FALSE))),"")</f>
        <v>4A</v>
      </c>
      <c r="Z762" t="str">
        <f>IFERROR(IF(INDEX(Spring!$1:$1048576,MATCH(All!$A762,Spring!$A:$A,FALSE),MATCH(All!Z$1,Spring!$1:$1,FALSE))="","",INDEX(Spring!$1:$1048576,MATCH(All!$A762,Spring!$A:$A,FALSE),MATCH(All!Z$1,Spring!$1:$1,FALSE))),"")</f>
        <v>3A</v>
      </c>
      <c r="AA762" t="str">
        <f>IFERROR(IF(INDEX(Spring!$1:$1048576,MATCH(All!$A762,Spring!$A:$A,FALSE),MATCH(All!AA$1,Spring!$1:$1,FALSE))="","",INDEX(Spring!$1:$1048576,MATCH(All!$A762,Spring!$A:$A,FALSE),MATCH(All!AA$1,Spring!$1:$1,FALSE))),"")</f>
        <v>2A</v>
      </c>
      <c r="AB762" t="str">
        <f>IFERROR(IF(INDEX(Spring!$1:$1048576,MATCH(All!$A762,Spring!$A:$A,FALSE),MATCH(All!AB$1,Spring!$1:$1,FALSE))="","",INDEX(Spring!$1:$1048576,MATCH(All!$A762,Spring!$A:$A,FALSE),MATCH(All!AB$1,Spring!$1:$1,FALSE))),"")</f>
        <v>3A</v>
      </c>
      <c r="AC762" t="str">
        <f>IFERROR(IF(INDEX(Spring!$1:$1048576,MATCH(All!$A762,Spring!$A:$A,FALSE),MATCH(All!AC$1,Spring!$1:$1,FALSE))="","",INDEX(Spring!$1:$1048576,MATCH(All!$A762,Spring!$A:$A,FALSE),MATCH(All!AC$1,Spring!$1:$1,FALSE))),"")</f>
        <v>3A</v>
      </c>
      <c r="AD762" t="str">
        <f>IFERROR(VLOOKUP(A762,'Flag Football'!A:A,1,FALSE),"")</f>
        <v>Wilmette (Loyola Academy)</v>
      </c>
      <c r="AE762" t="str">
        <f t="shared" si="11"/>
        <v>1A</v>
      </c>
    </row>
    <row r="763" spans="1:31" ht="15.75" thickBot="1" x14ac:dyDescent="0.3">
      <c r="A763" s="18" t="s">
        <v>875</v>
      </c>
      <c r="B763" s="38" t="str">
        <f>IFERROR(VLOOKUP(A763,'Public v Private'!A:G,3,FALSE),"")</f>
        <v>private</v>
      </c>
      <c r="C763" s="38">
        <f>IFERROR(VLOOKUP(A763,'Public v Private'!A:G,4,FALSE),"")</f>
        <v>2</v>
      </c>
      <c r="D763" s="38">
        <f>IFERROR(VLOOKUP(A763,'Public v Private'!A:G,5,FALSE),"")</f>
        <v>4</v>
      </c>
      <c r="E763" s="38"/>
      <c r="F763" s="40" t="str">
        <f>IFERROR(INDEX(Fall!$1:$1048576,MATCH(All!$A763,Fall!$A:$A,FALSE),MATCH(All!F$1,Fall!$1:$1,FALSE)),"N/A")</f>
        <v>396.00 (653.40)</v>
      </c>
      <c r="G763" t="str">
        <f>IFERROR(IF(INDEX(Fall!$1:$1048576,MATCH(All!$A763,Fall!$A:$A,FALSE),MATCH(All!G$1,Fall!$1:$1,FALSE))="","",INDEX(Fall!$1:$1048576,MATCH(All!$A763,Fall!$A:$A,FALSE),MATCH(All!G$1,Fall!$1:$1,FALSE))),"")</f>
        <v/>
      </c>
      <c r="H763" t="str">
        <f>IFERROR(IF(INDEX(Fall!$1:$1048576,MATCH(All!$A763,Fall!$A:$A,FALSE),MATCH(All!H$1,Fall!$1:$1,FALSE))="","",INDEX(Fall!$1:$1048576,MATCH(All!$A763,Fall!$A:$A,FALSE),MATCH(All!H$1,Fall!$1:$1,FALSE))),"")</f>
        <v>2A</v>
      </c>
      <c r="I763" t="str">
        <f>IFERROR(IF(INDEX(Fall!$1:$1048576,MATCH(All!$A763,Fall!$A:$A,FALSE),MATCH(All!I$1,Fall!$1:$1,FALSE))="","",INDEX(Fall!$1:$1048576,MATCH(All!$A763,Fall!$A:$A,FALSE),MATCH(All!I$1,Fall!$1:$1,FALSE))),"")</f>
        <v/>
      </c>
      <c r="J763" t="str">
        <f>IFERROR(IF(INDEX(Fall!$1:$1048576,MATCH(All!$A763,Fall!$A:$A,FALSE),MATCH(All!J$1,Fall!$1:$1,FALSE))="","",INDEX(Fall!$1:$1048576,MATCH(All!$A763,Fall!$A:$A,FALSE),MATCH(All!J$1,Fall!$1:$1,FALSE))),"")</f>
        <v>1A</v>
      </c>
      <c r="K763" t="str">
        <f>IFERROR(IF(INDEX(Fall!$1:$1048576,MATCH(All!$A763,Fall!$A:$A,FALSE),MATCH(All!K$1,Fall!$1:$1,FALSE))="","",INDEX(Fall!$1:$1048576,MATCH(All!$A763,Fall!$A:$A,FALSE),MATCH(All!K$1,Fall!$1:$1,FALSE))),"")</f>
        <v/>
      </c>
      <c r="L763" t="str">
        <f>IFERROR(IF(INDEX(Fall!$1:$1048576,MATCH(All!$A763,Fall!$A:$A,FALSE),MATCH(All!L$1,Fall!$1:$1,FALSE))="","",INDEX(Fall!$1:$1048576,MATCH(All!$A763,Fall!$A:$A,FALSE),MATCH(All!L$1,Fall!$1:$1,FALSE))),"")</f>
        <v>1A</v>
      </c>
      <c r="M763" t="str">
        <f>IFERROR(IF(INDEX(Fall!$1:$1048576,MATCH(All!$A763,Fall!$A:$A,FALSE),MATCH(All!M$1,Fall!$1:$1,FALSE))="","",INDEX(Fall!$1:$1048576,MATCH(All!$A763,Fall!$A:$A,FALSE),MATCH(All!M$1,Fall!$1:$1,FALSE))),"")</f>
        <v>2A</v>
      </c>
      <c r="O763" t="str">
        <f>IFERROR(IF(INDEX(Winter!$1:$1048576,MATCH(All!$A763,Winter!$A:$A,FALSE),MATCH(All!O$1,Winter!$1:$1,FALSE))="","",INDEX(Winter!$1:$1048576,MATCH(All!$A763,Winter!$A:$A,FALSE),MATCH(All!O$1,Winter!$1:$1,FALSE))),"")</f>
        <v>396.00 (653.40)</v>
      </c>
      <c r="P763" t="str">
        <f>IFERROR(IF(INDEX(Winter!$1:$1048576,MATCH(All!$A763,Winter!$A:$A,FALSE),MATCH(All!P$1,Winter!$1:$1,FALSE))="","",INDEX(Winter!$1:$1048576,MATCH(All!$A763,Winter!$A:$A,FALSE),MATCH(All!P$1,Winter!$1:$1,FALSE))),"")</f>
        <v/>
      </c>
      <c r="Q763" t="str">
        <f>IFERROR(IF(INDEX(Winter!$1:$1048576,MATCH(All!$A763,Winter!$A:$A,FALSE),MATCH(All!Q$1,Winter!$1:$1,FALSE))="","",INDEX(Winter!$1:$1048576,MATCH(All!$A763,Winter!$A:$A,FALSE),MATCH(All!Q$1,Winter!$1:$1,FALSE))),"")</f>
        <v>2A</v>
      </c>
      <c r="R763" t="str">
        <f>IFERROR(IF(INDEX(Winter!$1:$1048576,MATCH(All!$A763,Winter!$A:$A,FALSE),MATCH(All!R$1,Winter!$1:$1,FALSE))="","",INDEX(Winter!$1:$1048576,MATCH(All!$A763,Winter!$A:$A,FALSE),MATCH(All!R$1,Winter!$1:$1,FALSE))),"")</f>
        <v/>
      </c>
      <c r="S763" t="str">
        <f>IFERROR(IF(INDEX(Winter!$1:$1048576,MATCH(All!$A763,Winter!$A:$A,FALSE),MATCH(All!S$1,Winter!$1:$1,FALSE))="","",INDEX(Winter!$1:$1048576,MATCH(All!$A763,Winter!$A:$A,FALSE),MATCH(All!S$1,Winter!$1:$1,FALSE))),"")</f>
        <v/>
      </c>
      <c r="T763" t="str">
        <f>IFERROR(IF(INDEX(Winter!$1:$1048576,MATCH(All!$A763,Winter!$A:$A,FALSE),MATCH(All!T$1,Winter!$1:$1,FALSE))="","",INDEX(Winter!$1:$1048576,MATCH(All!$A763,Winter!$A:$A,FALSE),MATCH(All!T$1,Winter!$1:$1,FALSE))),"")</f>
        <v/>
      </c>
      <c r="U763" t="str">
        <f>IFERROR(IF(INDEX(Winter!$1:$1048576,MATCH(All!$A763,Winter!$A:$A,FALSE),MATCH(All!U$1,Winter!$1:$1,FALSE))="","",INDEX(Winter!$1:$1048576,MATCH(All!$A763,Winter!$A:$A,FALSE),MATCH(All!U$1,Winter!$1:$1,FALSE))),"")</f>
        <v/>
      </c>
      <c r="W763" t="str">
        <f>IFERROR(IF(INDEX(Spring!$1:$1048576,MATCH(All!$A763,Spring!$A:$A,FALSE),MATCH(All!W$1,Spring!$1:$1,FALSE))="","",INDEX(Spring!$1:$1048576,MATCH(All!$A763,Spring!$A:$A,FALSE),MATCH(All!W$1,Spring!$1:$1,FALSE))),"")</f>
        <v>396.00 (653.40)</v>
      </c>
      <c r="X763" t="str">
        <f>IFERROR(IF(INDEX(Spring!$1:$1048576,MATCH(All!$A763,Spring!$A:$A,FALSE),MATCH(All!X$1,Spring!$1:$1,FALSE))="","",INDEX(Spring!$1:$1048576,MATCH(All!$A763,Spring!$A:$A,FALSE),MATCH(All!X$1,Spring!$1:$1,FALSE))),"")</f>
        <v/>
      </c>
      <c r="Y763" t="str">
        <f>IFERROR(IF(INDEX(Spring!$1:$1048576,MATCH(All!$A763,Spring!$A:$A,FALSE),MATCH(All!Y$1,Spring!$1:$1,FALSE))="","",INDEX(Spring!$1:$1048576,MATCH(All!$A763,Spring!$A:$A,FALSE),MATCH(All!Y$1,Spring!$1:$1,FALSE))),"")</f>
        <v>2A</v>
      </c>
      <c r="Z763" t="str">
        <f>IFERROR(IF(INDEX(Spring!$1:$1048576,MATCH(All!$A763,Spring!$A:$A,FALSE),MATCH(All!Z$1,Spring!$1:$1,FALSE))="","",INDEX(Spring!$1:$1048576,MATCH(All!$A763,Spring!$A:$A,FALSE),MATCH(All!Z$1,Spring!$1:$1,FALSE))),"")</f>
        <v>1A</v>
      </c>
      <c r="AA763" t="str">
        <f>IFERROR(IF(INDEX(Spring!$1:$1048576,MATCH(All!$A763,Spring!$A:$A,FALSE),MATCH(All!AA$1,Spring!$1:$1,FALSE))="","",INDEX(Spring!$1:$1048576,MATCH(All!$A763,Spring!$A:$A,FALSE),MATCH(All!AA$1,Spring!$1:$1,FALSE))),"")</f>
        <v/>
      </c>
      <c r="AB763" t="str">
        <f>IFERROR(IF(INDEX(Spring!$1:$1048576,MATCH(All!$A763,Spring!$A:$A,FALSE),MATCH(All!AB$1,Spring!$1:$1,FALSE))="","",INDEX(Spring!$1:$1048576,MATCH(All!$A763,Spring!$A:$A,FALSE),MATCH(All!AB$1,Spring!$1:$1,FALSE))),"")</f>
        <v/>
      </c>
      <c r="AC763" t="str">
        <f>IFERROR(IF(INDEX(Spring!$1:$1048576,MATCH(All!$A763,Spring!$A:$A,FALSE),MATCH(All!AC$1,Spring!$1:$1,FALSE))="","",INDEX(Spring!$1:$1048576,MATCH(All!$A763,Spring!$A:$A,FALSE),MATCH(All!AC$1,Spring!$1:$1,FALSE))),"")</f>
        <v>1A</v>
      </c>
      <c r="AD763" t="str">
        <f>IFERROR(VLOOKUP(A763,'Flag Football'!A:A,1,FALSE),"")</f>
        <v>Wilmette (Regina Dominican)</v>
      </c>
      <c r="AE763" t="str">
        <f t="shared" si="11"/>
        <v>1A</v>
      </c>
    </row>
    <row r="764" spans="1:31" ht="15.75" thickBot="1" x14ac:dyDescent="0.3">
      <c r="A764" s="20" t="s">
        <v>877</v>
      </c>
      <c r="B764" s="38">
        <f>IFERROR(VLOOKUP(A764,'Public v Private'!A:G,3,FALSE),"")</f>
        <v>0</v>
      </c>
      <c r="C764" s="38">
        <f>IFERROR(VLOOKUP(A764,'Public v Private'!A:G,4,FALSE),"")</f>
        <v>0</v>
      </c>
      <c r="D764" s="38">
        <f>IFERROR(VLOOKUP(A764,'Public v Private'!A:G,5,FALSE),"")</f>
        <v>0</v>
      </c>
      <c r="E764" s="38"/>
      <c r="F764" s="40">
        <f>IFERROR(INDEX(Fall!$1:$1048576,MATCH(All!$A764,Fall!$A:$A,FALSE),MATCH(All!F$1,Fall!$1:$1,FALSE)),"N/A")</f>
        <v>400</v>
      </c>
      <c r="G764" t="str">
        <f>IFERROR(IF(INDEX(Fall!$1:$1048576,MATCH(All!$A764,Fall!$A:$A,FALSE),MATCH(All!G$1,Fall!$1:$1,FALSE))="","",INDEX(Fall!$1:$1048576,MATCH(All!$A764,Fall!$A:$A,FALSE),MATCH(All!G$1,Fall!$1:$1,FALSE))),"")</f>
        <v/>
      </c>
      <c r="H764" t="str">
        <f>IFERROR(IF(INDEX(Fall!$1:$1048576,MATCH(All!$A764,Fall!$A:$A,FALSE),MATCH(All!H$1,Fall!$1:$1,FALSE))="","",INDEX(Fall!$1:$1048576,MATCH(All!$A764,Fall!$A:$A,FALSE),MATCH(All!H$1,Fall!$1:$1,FALSE))),"")</f>
        <v/>
      </c>
      <c r="I764" t="str">
        <f>IFERROR(IF(INDEX(Fall!$1:$1048576,MATCH(All!$A764,Fall!$A:$A,FALSE),MATCH(All!I$1,Fall!$1:$1,FALSE))="","",INDEX(Fall!$1:$1048576,MATCH(All!$A764,Fall!$A:$A,FALSE),MATCH(All!I$1,Fall!$1:$1,FALSE))),"")</f>
        <v>1A</v>
      </c>
      <c r="J764" t="str">
        <f>IFERROR(IF(INDEX(Fall!$1:$1048576,MATCH(All!$A764,Fall!$A:$A,FALSE),MATCH(All!J$1,Fall!$1:$1,FALSE))="","",INDEX(Fall!$1:$1048576,MATCH(All!$A764,Fall!$A:$A,FALSE),MATCH(All!J$1,Fall!$1:$1,FALSE))),"")</f>
        <v>1A</v>
      </c>
      <c r="K764" t="str">
        <f>IFERROR(IF(INDEX(Fall!$1:$1048576,MATCH(All!$A764,Fall!$A:$A,FALSE),MATCH(All!K$1,Fall!$1:$1,FALSE))="","",INDEX(Fall!$1:$1048576,MATCH(All!$A764,Fall!$A:$A,FALSE),MATCH(All!K$1,Fall!$1:$1,FALSE))),"")</f>
        <v/>
      </c>
      <c r="L764" t="str">
        <f>IFERROR(IF(INDEX(Fall!$1:$1048576,MATCH(All!$A764,Fall!$A:$A,FALSE),MATCH(All!L$1,Fall!$1:$1,FALSE))="","",INDEX(Fall!$1:$1048576,MATCH(All!$A764,Fall!$A:$A,FALSE),MATCH(All!L$1,Fall!$1:$1,FALSE))),"")</f>
        <v/>
      </c>
      <c r="M764" t="str">
        <f>IFERROR(IF(INDEX(Fall!$1:$1048576,MATCH(All!$A764,Fall!$A:$A,FALSE),MATCH(All!M$1,Fall!$1:$1,FALSE))="","",INDEX(Fall!$1:$1048576,MATCH(All!$A764,Fall!$A:$A,FALSE),MATCH(All!M$1,Fall!$1:$1,FALSE))),"")</f>
        <v>2A</v>
      </c>
      <c r="O764">
        <f>IFERROR(IF(INDEX(Winter!$1:$1048576,MATCH(All!$A764,Winter!$A:$A,FALSE),MATCH(All!O$1,Winter!$1:$1,FALSE))="","",INDEX(Winter!$1:$1048576,MATCH(All!$A764,Winter!$A:$A,FALSE),MATCH(All!O$1,Winter!$1:$1,FALSE))),"")</f>
        <v>400</v>
      </c>
      <c r="P764" t="str">
        <f>IFERROR(IF(INDEX(Winter!$1:$1048576,MATCH(All!$A764,Winter!$A:$A,FALSE),MATCH(All!P$1,Winter!$1:$1,FALSE))="","",INDEX(Winter!$1:$1048576,MATCH(All!$A764,Winter!$A:$A,FALSE),MATCH(All!P$1,Winter!$1:$1,FALSE))),"")</f>
        <v>2A</v>
      </c>
      <c r="Q764" t="str">
        <f>IFERROR(IF(INDEX(Winter!$1:$1048576,MATCH(All!$A764,Winter!$A:$A,FALSE),MATCH(All!Q$1,Winter!$1:$1,FALSE))="","",INDEX(Winter!$1:$1048576,MATCH(All!$A764,Winter!$A:$A,FALSE),MATCH(All!Q$1,Winter!$1:$1,FALSE))),"")</f>
        <v>2A</v>
      </c>
      <c r="R764" t="str">
        <f>IFERROR(IF(INDEX(Winter!$1:$1048576,MATCH(All!$A764,Winter!$A:$A,FALSE),MATCH(All!R$1,Winter!$1:$1,FALSE))="","",INDEX(Winter!$1:$1048576,MATCH(All!$A764,Winter!$A:$A,FALSE),MATCH(All!R$1,Winter!$1:$1,FALSE))),"")</f>
        <v>1A</v>
      </c>
      <c r="S764" t="str">
        <f>IFERROR(IF(INDEX(Winter!$1:$1048576,MATCH(All!$A764,Winter!$A:$A,FALSE),MATCH(All!S$1,Winter!$1:$1,FALSE))="","",INDEX(Winter!$1:$1048576,MATCH(All!$A764,Winter!$A:$A,FALSE),MATCH(All!S$1,Winter!$1:$1,FALSE))),"")</f>
        <v/>
      </c>
      <c r="T764" t="str">
        <f>IFERROR(IF(INDEX(Winter!$1:$1048576,MATCH(All!$A764,Winter!$A:$A,FALSE),MATCH(All!T$1,Winter!$1:$1,FALSE))="","",INDEX(Winter!$1:$1048576,MATCH(All!$A764,Winter!$A:$A,FALSE),MATCH(All!T$1,Winter!$1:$1,FALSE))),"")</f>
        <v>1A</v>
      </c>
      <c r="U764" t="str">
        <f>IFERROR(IF(INDEX(Winter!$1:$1048576,MATCH(All!$A764,Winter!$A:$A,FALSE),MATCH(All!U$1,Winter!$1:$1,FALSE))="","",INDEX(Winter!$1:$1048576,MATCH(All!$A764,Winter!$A:$A,FALSE),MATCH(All!U$1,Winter!$1:$1,FALSE))),"")</f>
        <v>1A</v>
      </c>
      <c r="W764">
        <f>IFERROR(IF(INDEX(Spring!$1:$1048576,MATCH(All!$A764,Spring!$A:$A,FALSE),MATCH(All!W$1,Spring!$1:$1,FALSE))="","",INDEX(Spring!$1:$1048576,MATCH(All!$A764,Spring!$A:$A,FALSE),MATCH(All!W$1,Spring!$1:$1,FALSE))),"")</f>
        <v>400</v>
      </c>
      <c r="X764" t="str">
        <f>IFERROR(IF(INDEX(Spring!$1:$1048576,MATCH(All!$A764,Spring!$A:$A,FALSE),MATCH(All!X$1,Spring!$1:$1,FALSE))="","",INDEX(Spring!$1:$1048576,MATCH(All!$A764,Spring!$A:$A,FALSE),MATCH(All!X$1,Spring!$1:$1,FALSE))),"")</f>
        <v>2A</v>
      </c>
      <c r="Y764" t="str">
        <f>IFERROR(IF(INDEX(Spring!$1:$1048576,MATCH(All!$A764,Spring!$A:$A,FALSE),MATCH(All!Y$1,Spring!$1:$1,FALSE))="","",INDEX(Spring!$1:$1048576,MATCH(All!$A764,Spring!$A:$A,FALSE),MATCH(All!Y$1,Spring!$1:$1,FALSE))),"")</f>
        <v>2A</v>
      </c>
      <c r="Z764" t="str">
        <f>IFERROR(IF(INDEX(Spring!$1:$1048576,MATCH(All!$A764,Spring!$A:$A,FALSE),MATCH(All!Z$1,Spring!$1:$1,FALSE))="","",INDEX(Spring!$1:$1048576,MATCH(All!$A764,Spring!$A:$A,FALSE),MATCH(All!Z$1,Spring!$1:$1,FALSE))),"")</f>
        <v>1A</v>
      </c>
      <c r="AA764" t="str">
        <f>IFERROR(IF(INDEX(Spring!$1:$1048576,MATCH(All!$A764,Spring!$A:$A,FALSE),MATCH(All!AA$1,Spring!$1:$1,FALSE))="","",INDEX(Spring!$1:$1048576,MATCH(All!$A764,Spring!$A:$A,FALSE),MATCH(All!AA$1,Spring!$1:$1,FALSE))),"")</f>
        <v/>
      </c>
      <c r="AB764" t="str">
        <f>IFERROR(IF(INDEX(Spring!$1:$1048576,MATCH(All!$A764,Spring!$A:$A,FALSE),MATCH(All!AB$1,Spring!$1:$1,FALSE))="","",INDEX(Spring!$1:$1048576,MATCH(All!$A764,Spring!$A:$A,FALSE),MATCH(All!AB$1,Spring!$1:$1,FALSE))),"")</f>
        <v>1A</v>
      </c>
      <c r="AC764" t="str">
        <f>IFERROR(IF(INDEX(Spring!$1:$1048576,MATCH(All!$A764,Spring!$A:$A,FALSE),MATCH(All!AC$1,Spring!$1:$1,FALSE))="","",INDEX(Spring!$1:$1048576,MATCH(All!$A764,Spring!$A:$A,FALSE),MATCH(All!AC$1,Spring!$1:$1,FALSE))),"")</f>
        <v>1A</v>
      </c>
      <c r="AD764" t="str">
        <f>IFERROR(VLOOKUP(A764,'Flag Football'!A:A,1,FALSE),"")</f>
        <v/>
      </c>
      <c r="AE764" t="str">
        <f t="shared" si="11"/>
        <v/>
      </c>
    </row>
    <row r="765" spans="1:31" ht="15.75" thickBot="1" x14ac:dyDescent="0.3">
      <c r="A765" s="18" t="s">
        <v>878</v>
      </c>
      <c r="B765" s="38">
        <f>IFERROR(VLOOKUP(A765,'Public v Private'!A:G,3,FALSE),"")</f>
        <v>0</v>
      </c>
      <c r="C765" s="38">
        <f>IFERROR(VLOOKUP(A765,'Public v Private'!A:G,4,FALSE),"")</f>
        <v>0</v>
      </c>
      <c r="D765" s="38">
        <f>IFERROR(VLOOKUP(A765,'Public v Private'!A:G,5,FALSE),"")</f>
        <v>0</v>
      </c>
      <c r="E765" s="38"/>
      <c r="F765" s="40">
        <f>IFERROR(INDEX(Fall!$1:$1048576,MATCH(All!$A765,Fall!$A:$A,FALSE),MATCH(All!F$1,Fall!$1:$1,FALSE)),"N/A")</f>
        <v>167</v>
      </c>
      <c r="G765" t="str">
        <f>IFERROR(IF(INDEX(Fall!$1:$1048576,MATCH(All!$A765,Fall!$A:$A,FALSE),MATCH(All!G$1,Fall!$1:$1,FALSE))="","",INDEX(Fall!$1:$1048576,MATCH(All!$A765,Fall!$A:$A,FALSE),MATCH(All!G$1,Fall!$1:$1,FALSE))),"")</f>
        <v>1A</v>
      </c>
      <c r="H765" t="str">
        <f>IFERROR(IF(INDEX(Fall!$1:$1048576,MATCH(All!$A765,Fall!$A:$A,FALSE),MATCH(All!H$1,Fall!$1:$1,FALSE))="","",INDEX(Fall!$1:$1048576,MATCH(All!$A765,Fall!$A:$A,FALSE),MATCH(All!H$1,Fall!$1:$1,FALSE))),"")</f>
        <v>1A</v>
      </c>
      <c r="I765" t="str">
        <f>IFERROR(IF(INDEX(Fall!$1:$1048576,MATCH(All!$A765,Fall!$A:$A,FALSE),MATCH(All!I$1,Fall!$1:$1,FALSE))="","",INDEX(Fall!$1:$1048576,MATCH(All!$A765,Fall!$A:$A,FALSE),MATCH(All!I$1,Fall!$1:$1,FALSE))),"")</f>
        <v/>
      </c>
      <c r="J765" t="str">
        <f>IFERROR(IF(INDEX(Fall!$1:$1048576,MATCH(All!$A765,Fall!$A:$A,FALSE),MATCH(All!J$1,Fall!$1:$1,FALSE))="","",INDEX(Fall!$1:$1048576,MATCH(All!$A765,Fall!$A:$A,FALSE),MATCH(All!J$1,Fall!$1:$1,FALSE))),"")</f>
        <v/>
      </c>
      <c r="K765" t="str">
        <f>IFERROR(IF(INDEX(Fall!$1:$1048576,MATCH(All!$A765,Fall!$A:$A,FALSE),MATCH(All!K$1,Fall!$1:$1,FALSE))="","",INDEX(Fall!$1:$1048576,MATCH(All!$A765,Fall!$A:$A,FALSE),MATCH(All!K$1,Fall!$1:$1,FALSE))),"")</f>
        <v/>
      </c>
      <c r="L765" t="str">
        <f>IFERROR(IF(INDEX(Fall!$1:$1048576,MATCH(All!$A765,Fall!$A:$A,FALSE),MATCH(All!L$1,Fall!$1:$1,FALSE))="","",INDEX(Fall!$1:$1048576,MATCH(All!$A765,Fall!$A:$A,FALSE),MATCH(All!L$1,Fall!$1:$1,FALSE))),"")</f>
        <v/>
      </c>
      <c r="M765" t="str">
        <f>IFERROR(IF(INDEX(Fall!$1:$1048576,MATCH(All!$A765,Fall!$A:$A,FALSE),MATCH(All!M$1,Fall!$1:$1,FALSE))="","",INDEX(Fall!$1:$1048576,MATCH(All!$A765,Fall!$A:$A,FALSE),MATCH(All!M$1,Fall!$1:$1,FALSE))),"")</f>
        <v/>
      </c>
      <c r="O765">
        <f>IFERROR(IF(INDEX(Winter!$1:$1048576,MATCH(All!$A765,Winter!$A:$A,FALSE),MATCH(All!O$1,Winter!$1:$1,FALSE))="","",INDEX(Winter!$1:$1048576,MATCH(All!$A765,Winter!$A:$A,FALSE),MATCH(All!O$1,Winter!$1:$1,FALSE))),"")</f>
        <v>167</v>
      </c>
      <c r="P765" t="str">
        <f>IFERROR(IF(INDEX(Winter!$1:$1048576,MATCH(All!$A765,Winter!$A:$A,FALSE),MATCH(All!P$1,Winter!$1:$1,FALSE))="","",INDEX(Winter!$1:$1048576,MATCH(All!$A765,Winter!$A:$A,FALSE),MATCH(All!P$1,Winter!$1:$1,FALSE))),"")</f>
        <v>1A</v>
      </c>
      <c r="Q765" t="str">
        <f>IFERROR(IF(INDEX(Winter!$1:$1048576,MATCH(All!$A765,Winter!$A:$A,FALSE),MATCH(All!Q$1,Winter!$1:$1,FALSE))="","",INDEX(Winter!$1:$1048576,MATCH(All!$A765,Winter!$A:$A,FALSE),MATCH(All!Q$1,Winter!$1:$1,FALSE))),"")</f>
        <v/>
      </c>
      <c r="R765" t="str">
        <f>IFERROR(IF(INDEX(Winter!$1:$1048576,MATCH(All!$A765,Winter!$A:$A,FALSE),MATCH(All!R$1,Winter!$1:$1,FALSE))="","",INDEX(Winter!$1:$1048576,MATCH(All!$A765,Winter!$A:$A,FALSE),MATCH(All!R$1,Winter!$1:$1,FALSE))),"")</f>
        <v/>
      </c>
      <c r="S765" t="str">
        <f>IFERROR(IF(INDEX(Winter!$1:$1048576,MATCH(All!$A765,Winter!$A:$A,FALSE),MATCH(All!S$1,Winter!$1:$1,FALSE))="","",INDEX(Winter!$1:$1048576,MATCH(All!$A765,Winter!$A:$A,FALSE),MATCH(All!S$1,Winter!$1:$1,FALSE))),"")</f>
        <v/>
      </c>
      <c r="T765" t="str">
        <f>IFERROR(IF(INDEX(Winter!$1:$1048576,MATCH(All!$A765,Winter!$A:$A,FALSE),MATCH(All!T$1,Winter!$1:$1,FALSE))="","",INDEX(Winter!$1:$1048576,MATCH(All!$A765,Winter!$A:$A,FALSE),MATCH(All!T$1,Winter!$1:$1,FALSE))),"")</f>
        <v>1A</v>
      </c>
      <c r="U765" t="str">
        <f>IFERROR(IF(INDEX(Winter!$1:$1048576,MATCH(All!$A765,Winter!$A:$A,FALSE),MATCH(All!U$1,Winter!$1:$1,FALSE))="","",INDEX(Winter!$1:$1048576,MATCH(All!$A765,Winter!$A:$A,FALSE),MATCH(All!U$1,Winter!$1:$1,FALSE))),"")</f>
        <v/>
      </c>
      <c r="W765">
        <f>IFERROR(IF(INDEX(Spring!$1:$1048576,MATCH(All!$A765,Spring!$A:$A,FALSE),MATCH(All!W$1,Spring!$1:$1,FALSE))="","",INDEX(Spring!$1:$1048576,MATCH(All!$A765,Spring!$A:$A,FALSE),MATCH(All!W$1,Spring!$1:$1,FALSE))),"")</f>
        <v>167</v>
      </c>
      <c r="X765" t="str">
        <f>IFERROR(IF(INDEX(Spring!$1:$1048576,MATCH(All!$A765,Spring!$A:$A,FALSE),MATCH(All!X$1,Spring!$1:$1,FALSE))="","",INDEX(Spring!$1:$1048576,MATCH(All!$A765,Spring!$A:$A,FALSE),MATCH(All!X$1,Spring!$1:$1,FALSE))),"")</f>
        <v/>
      </c>
      <c r="Y765" t="str">
        <f>IFERROR(IF(INDEX(Spring!$1:$1048576,MATCH(All!$A765,Spring!$A:$A,FALSE),MATCH(All!Y$1,Spring!$1:$1,FALSE))="","",INDEX(Spring!$1:$1048576,MATCH(All!$A765,Spring!$A:$A,FALSE),MATCH(All!Y$1,Spring!$1:$1,FALSE))),"")</f>
        <v>1A</v>
      </c>
      <c r="Z765" t="str">
        <f>IFERROR(IF(INDEX(Spring!$1:$1048576,MATCH(All!$A765,Spring!$A:$A,FALSE),MATCH(All!Z$1,Spring!$1:$1,FALSE))="","",INDEX(Spring!$1:$1048576,MATCH(All!$A765,Spring!$A:$A,FALSE),MATCH(All!Z$1,Spring!$1:$1,FALSE))),"")</f>
        <v/>
      </c>
      <c r="AA765" t="str">
        <f>IFERROR(IF(INDEX(Spring!$1:$1048576,MATCH(All!$A765,Spring!$A:$A,FALSE),MATCH(All!AA$1,Spring!$1:$1,FALSE))="","",INDEX(Spring!$1:$1048576,MATCH(All!$A765,Spring!$A:$A,FALSE),MATCH(All!AA$1,Spring!$1:$1,FALSE))),"")</f>
        <v/>
      </c>
      <c r="AB765" t="str">
        <f>IFERROR(IF(INDEX(Spring!$1:$1048576,MATCH(All!$A765,Spring!$A:$A,FALSE),MATCH(All!AB$1,Spring!$1:$1,FALSE))="","",INDEX(Spring!$1:$1048576,MATCH(All!$A765,Spring!$A:$A,FALSE),MATCH(All!AB$1,Spring!$1:$1,FALSE))),"")</f>
        <v>1A</v>
      </c>
      <c r="AC765" t="str">
        <f>IFERROR(IF(INDEX(Spring!$1:$1048576,MATCH(All!$A765,Spring!$A:$A,FALSE),MATCH(All!AC$1,Spring!$1:$1,FALSE))="","",INDEX(Spring!$1:$1048576,MATCH(All!$A765,Spring!$A:$A,FALSE),MATCH(All!AC$1,Spring!$1:$1,FALSE))),"")</f>
        <v>1A</v>
      </c>
      <c r="AD765" t="str">
        <f>IFERROR(VLOOKUP(A765,'Flag Football'!A:A,1,FALSE),"")</f>
        <v/>
      </c>
      <c r="AE765" t="str">
        <f t="shared" si="11"/>
        <v/>
      </c>
    </row>
    <row r="766" spans="1:31" ht="15.75" thickBot="1" x14ac:dyDescent="0.3">
      <c r="A766" s="20" t="s">
        <v>879</v>
      </c>
      <c r="B766" s="38">
        <f>IFERROR(VLOOKUP(A766,'Public v Private'!A:G,3,FALSE),"")</f>
        <v>0</v>
      </c>
      <c r="C766" s="38">
        <f>IFERROR(VLOOKUP(A766,'Public v Private'!A:G,4,FALSE),"")</f>
        <v>0</v>
      </c>
      <c r="D766" s="38">
        <f>IFERROR(VLOOKUP(A766,'Public v Private'!A:G,5,FALSE),"")</f>
        <v>0</v>
      </c>
      <c r="E766" s="38"/>
      <c r="F766" s="40">
        <f>IFERROR(INDEX(Fall!$1:$1048576,MATCH(All!$A766,Fall!$A:$A,FALSE),MATCH(All!F$1,Fall!$1:$1,FALSE)),"N/A")</f>
        <v>78</v>
      </c>
      <c r="G766" t="str">
        <f>IFERROR(IF(INDEX(Fall!$1:$1048576,MATCH(All!$A766,Fall!$A:$A,FALSE),MATCH(All!G$1,Fall!$1:$1,FALSE))="","",INDEX(Fall!$1:$1048576,MATCH(All!$A766,Fall!$A:$A,FALSE),MATCH(All!G$1,Fall!$1:$1,FALSE))),"")</f>
        <v/>
      </c>
      <c r="H766" t="str">
        <f>IFERROR(IF(INDEX(Fall!$1:$1048576,MATCH(All!$A766,Fall!$A:$A,FALSE),MATCH(All!H$1,Fall!$1:$1,FALSE))="","",INDEX(Fall!$1:$1048576,MATCH(All!$A766,Fall!$A:$A,FALSE),MATCH(All!H$1,Fall!$1:$1,FALSE))),"")</f>
        <v/>
      </c>
      <c r="I766" t="str">
        <f>IFERROR(IF(INDEX(Fall!$1:$1048576,MATCH(All!$A766,Fall!$A:$A,FALSE),MATCH(All!I$1,Fall!$1:$1,FALSE))="","",INDEX(Fall!$1:$1048576,MATCH(All!$A766,Fall!$A:$A,FALSE),MATCH(All!I$1,Fall!$1:$1,FALSE))),"")</f>
        <v>1A</v>
      </c>
      <c r="J766" t="str">
        <f>IFERROR(IF(INDEX(Fall!$1:$1048576,MATCH(All!$A766,Fall!$A:$A,FALSE),MATCH(All!J$1,Fall!$1:$1,FALSE))="","",INDEX(Fall!$1:$1048576,MATCH(All!$A766,Fall!$A:$A,FALSE),MATCH(All!J$1,Fall!$1:$1,FALSE))),"")</f>
        <v>1A</v>
      </c>
      <c r="K766" t="str">
        <f>IFERROR(IF(INDEX(Fall!$1:$1048576,MATCH(All!$A766,Fall!$A:$A,FALSE),MATCH(All!K$1,Fall!$1:$1,FALSE))="","",INDEX(Fall!$1:$1048576,MATCH(All!$A766,Fall!$A:$A,FALSE),MATCH(All!K$1,Fall!$1:$1,FALSE))),"")</f>
        <v/>
      </c>
      <c r="L766" t="str">
        <f>IFERROR(IF(INDEX(Fall!$1:$1048576,MATCH(All!$A766,Fall!$A:$A,FALSE),MATCH(All!L$1,Fall!$1:$1,FALSE))="","",INDEX(Fall!$1:$1048576,MATCH(All!$A766,Fall!$A:$A,FALSE),MATCH(All!L$1,Fall!$1:$1,FALSE))),"")</f>
        <v/>
      </c>
      <c r="M766" t="str">
        <f>IFERROR(IF(INDEX(Fall!$1:$1048576,MATCH(All!$A766,Fall!$A:$A,FALSE),MATCH(All!M$1,Fall!$1:$1,FALSE))="","",INDEX(Fall!$1:$1048576,MATCH(All!$A766,Fall!$A:$A,FALSE),MATCH(All!M$1,Fall!$1:$1,FALSE))),"")</f>
        <v>1A</v>
      </c>
      <c r="O766">
        <f>IFERROR(IF(INDEX(Winter!$1:$1048576,MATCH(All!$A766,Winter!$A:$A,FALSE),MATCH(All!O$1,Winter!$1:$1,FALSE))="","",INDEX(Winter!$1:$1048576,MATCH(All!$A766,Winter!$A:$A,FALSE),MATCH(All!O$1,Winter!$1:$1,FALSE))),"")</f>
        <v>78</v>
      </c>
      <c r="P766" t="str">
        <f>IFERROR(IF(INDEX(Winter!$1:$1048576,MATCH(All!$A766,Winter!$A:$A,FALSE),MATCH(All!P$1,Winter!$1:$1,FALSE))="","",INDEX(Winter!$1:$1048576,MATCH(All!$A766,Winter!$A:$A,FALSE),MATCH(All!P$1,Winter!$1:$1,FALSE))),"")</f>
        <v/>
      </c>
      <c r="Q766" t="str">
        <f>IFERROR(IF(INDEX(Winter!$1:$1048576,MATCH(All!$A766,Winter!$A:$A,FALSE),MATCH(All!Q$1,Winter!$1:$1,FALSE))="","",INDEX(Winter!$1:$1048576,MATCH(All!$A766,Winter!$A:$A,FALSE),MATCH(All!Q$1,Winter!$1:$1,FALSE))),"")</f>
        <v/>
      </c>
      <c r="R766" t="str">
        <f>IFERROR(IF(INDEX(Winter!$1:$1048576,MATCH(All!$A766,Winter!$A:$A,FALSE),MATCH(All!R$1,Winter!$1:$1,FALSE))="","",INDEX(Winter!$1:$1048576,MATCH(All!$A766,Winter!$A:$A,FALSE),MATCH(All!R$1,Winter!$1:$1,FALSE))),"")</f>
        <v/>
      </c>
      <c r="S766" t="str">
        <f>IFERROR(IF(INDEX(Winter!$1:$1048576,MATCH(All!$A766,Winter!$A:$A,FALSE),MATCH(All!S$1,Winter!$1:$1,FALSE))="","",INDEX(Winter!$1:$1048576,MATCH(All!$A766,Winter!$A:$A,FALSE),MATCH(All!S$1,Winter!$1:$1,FALSE))),"")</f>
        <v/>
      </c>
      <c r="T766" t="str">
        <f>IFERROR(IF(INDEX(Winter!$1:$1048576,MATCH(All!$A766,Winter!$A:$A,FALSE),MATCH(All!T$1,Winter!$1:$1,FALSE))="","",INDEX(Winter!$1:$1048576,MATCH(All!$A766,Winter!$A:$A,FALSE),MATCH(All!T$1,Winter!$1:$1,FALSE))),"")</f>
        <v>1A</v>
      </c>
      <c r="U766" t="str">
        <f>IFERROR(IF(INDEX(Winter!$1:$1048576,MATCH(All!$A766,Winter!$A:$A,FALSE),MATCH(All!U$1,Winter!$1:$1,FALSE))="","",INDEX(Winter!$1:$1048576,MATCH(All!$A766,Winter!$A:$A,FALSE),MATCH(All!U$1,Winter!$1:$1,FALSE))),"")</f>
        <v/>
      </c>
      <c r="W766">
        <f>IFERROR(IF(INDEX(Spring!$1:$1048576,MATCH(All!$A766,Spring!$A:$A,FALSE),MATCH(All!W$1,Spring!$1:$1,FALSE))="","",INDEX(Spring!$1:$1048576,MATCH(All!$A766,Spring!$A:$A,FALSE),MATCH(All!W$1,Spring!$1:$1,FALSE))),"")</f>
        <v>78</v>
      </c>
      <c r="X766" t="str">
        <f>IFERROR(IF(INDEX(Spring!$1:$1048576,MATCH(All!$A766,Spring!$A:$A,FALSE),MATCH(All!X$1,Spring!$1:$1,FALSE))="","",INDEX(Spring!$1:$1048576,MATCH(All!$A766,Spring!$A:$A,FALSE),MATCH(All!X$1,Spring!$1:$1,FALSE))),"")</f>
        <v/>
      </c>
      <c r="Y766" t="str">
        <f>IFERROR(IF(INDEX(Spring!$1:$1048576,MATCH(All!$A766,Spring!$A:$A,FALSE),MATCH(All!Y$1,Spring!$1:$1,FALSE))="","",INDEX(Spring!$1:$1048576,MATCH(All!$A766,Spring!$A:$A,FALSE),MATCH(All!Y$1,Spring!$1:$1,FALSE))),"")</f>
        <v>1A</v>
      </c>
      <c r="Z766" t="str">
        <f>IFERROR(IF(INDEX(Spring!$1:$1048576,MATCH(All!$A766,Spring!$A:$A,FALSE),MATCH(All!Z$1,Spring!$1:$1,FALSE))="","",INDEX(Spring!$1:$1048576,MATCH(All!$A766,Spring!$A:$A,FALSE),MATCH(All!Z$1,Spring!$1:$1,FALSE))),"")</f>
        <v/>
      </c>
      <c r="AA766" t="str">
        <f>IFERROR(IF(INDEX(Spring!$1:$1048576,MATCH(All!$A766,Spring!$A:$A,FALSE),MATCH(All!AA$1,Spring!$1:$1,FALSE))="","",INDEX(Spring!$1:$1048576,MATCH(All!$A766,Spring!$A:$A,FALSE),MATCH(All!AA$1,Spring!$1:$1,FALSE))),"")</f>
        <v/>
      </c>
      <c r="AB766" t="str">
        <f>IFERROR(IF(INDEX(Spring!$1:$1048576,MATCH(All!$A766,Spring!$A:$A,FALSE),MATCH(All!AB$1,Spring!$1:$1,FALSE))="","",INDEX(Spring!$1:$1048576,MATCH(All!$A766,Spring!$A:$A,FALSE),MATCH(All!AB$1,Spring!$1:$1,FALSE))),"")</f>
        <v/>
      </c>
      <c r="AC766" t="str">
        <f>IFERROR(IF(INDEX(Spring!$1:$1048576,MATCH(All!$A766,Spring!$A:$A,FALSE),MATCH(All!AC$1,Spring!$1:$1,FALSE))="","",INDEX(Spring!$1:$1048576,MATCH(All!$A766,Spring!$A:$A,FALSE),MATCH(All!AC$1,Spring!$1:$1,FALSE))),"")</f>
        <v/>
      </c>
      <c r="AD766" t="str">
        <f>IFERROR(VLOOKUP(A766,'Flag Football'!A:A,1,FALSE),"")</f>
        <v/>
      </c>
      <c r="AE766" t="str">
        <f t="shared" si="11"/>
        <v/>
      </c>
    </row>
    <row r="767" spans="1:31" ht="15.75" thickBot="1" x14ac:dyDescent="0.3">
      <c r="A767" s="18" t="s">
        <v>880</v>
      </c>
      <c r="B767" s="38">
        <f>IFERROR(VLOOKUP(A767,'Public v Private'!A:G,3,FALSE),"")</f>
        <v>0</v>
      </c>
      <c r="C767" s="38">
        <f>IFERROR(VLOOKUP(A767,'Public v Private'!A:G,4,FALSE),"")</f>
        <v>0</v>
      </c>
      <c r="D767" s="38">
        <f>IFERROR(VLOOKUP(A767,'Public v Private'!A:G,5,FALSE),"")</f>
        <v>0</v>
      </c>
      <c r="E767" s="38"/>
      <c r="F767" s="40">
        <f>IFERROR(INDEX(Fall!$1:$1048576,MATCH(All!$A767,Fall!$A:$A,FALSE),MATCH(All!F$1,Fall!$1:$1,FALSE)),"N/A")</f>
        <v>399</v>
      </c>
      <c r="G767" t="str">
        <f>IFERROR(IF(INDEX(Fall!$1:$1048576,MATCH(All!$A767,Fall!$A:$A,FALSE),MATCH(All!G$1,Fall!$1:$1,FALSE))="","",INDEX(Fall!$1:$1048576,MATCH(All!$A767,Fall!$A:$A,FALSE),MATCH(All!G$1,Fall!$1:$1,FALSE))),"")</f>
        <v>1A</v>
      </c>
      <c r="H767" t="str">
        <f>IFERROR(IF(INDEX(Fall!$1:$1048576,MATCH(All!$A767,Fall!$A:$A,FALSE),MATCH(All!H$1,Fall!$1:$1,FALSE))="","",INDEX(Fall!$1:$1048576,MATCH(All!$A767,Fall!$A:$A,FALSE),MATCH(All!H$1,Fall!$1:$1,FALSE))),"")</f>
        <v>1A</v>
      </c>
      <c r="I767" t="str">
        <f>IFERROR(IF(INDEX(Fall!$1:$1048576,MATCH(All!$A767,Fall!$A:$A,FALSE),MATCH(All!I$1,Fall!$1:$1,FALSE))="","",INDEX(Fall!$1:$1048576,MATCH(All!$A767,Fall!$A:$A,FALSE),MATCH(All!I$1,Fall!$1:$1,FALSE))),"")</f>
        <v>1A</v>
      </c>
      <c r="J767" t="str">
        <f>IFERROR(IF(INDEX(Fall!$1:$1048576,MATCH(All!$A767,Fall!$A:$A,FALSE),MATCH(All!J$1,Fall!$1:$1,FALSE))="","",INDEX(Fall!$1:$1048576,MATCH(All!$A767,Fall!$A:$A,FALSE),MATCH(All!J$1,Fall!$1:$1,FALSE))),"")</f>
        <v>1A</v>
      </c>
      <c r="K767" t="str">
        <f>IFERROR(IF(INDEX(Fall!$1:$1048576,MATCH(All!$A767,Fall!$A:$A,FALSE),MATCH(All!K$1,Fall!$1:$1,FALSE))="","",INDEX(Fall!$1:$1048576,MATCH(All!$A767,Fall!$A:$A,FALSE),MATCH(All!K$1,Fall!$1:$1,FALSE))),"")</f>
        <v>1A</v>
      </c>
      <c r="L767" t="str">
        <f>IFERROR(IF(INDEX(Fall!$1:$1048576,MATCH(All!$A767,Fall!$A:$A,FALSE),MATCH(All!L$1,Fall!$1:$1,FALSE))="","",INDEX(Fall!$1:$1048576,MATCH(All!$A767,Fall!$A:$A,FALSE),MATCH(All!L$1,Fall!$1:$1,FALSE))),"")</f>
        <v/>
      </c>
      <c r="M767" t="str">
        <f>IFERROR(IF(INDEX(Fall!$1:$1048576,MATCH(All!$A767,Fall!$A:$A,FALSE),MATCH(All!M$1,Fall!$1:$1,FALSE))="","",INDEX(Fall!$1:$1048576,MATCH(All!$A767,Fall!$A:$A,FALSE),MATCH(All!M$1,Fall!$1:$1,FALSE))),"")</f>
        <v>2A</v>
      </c>
      <c r="O767">
        <f>IFERROR(IF(INDEX(Winter!$1:$1048576,MATCH(All!$A767,Winter!$A:$A,FALSE),MATCH(All!O$1,Winter!$1:$1,FALSE))="","",INDEX(Winter!$1:$1048576,MATCH(All!$A767,Winter!$A:$A,FALSE),MATCH(All!O$1,Winter!$1:$1,FALSE))),"")</f>
        <v>399</v>
      </c>
      <c r="P767" t="str">
        <f>IFERROR(IF(INDEX(Winter!$1:$1048576,MATCH(All!$A767,Winter!$A:$A,FALSE),MATCH(All!P$1,Winter!$1:$1,FALSE))="","",INDEX(Winter!$1:$1048576,MATCH(All!$A767,Winter!$A:$A,FALSE),MATCH(All!P$1,Winter!$1:$1,FALSE))),"")</f>
        <v>2A</v>
      </c>
      <c r="Q767" t="str">
        <f>IFERROR(IF(INDEX(Winter!$1:$1048576,MATCH(All!$A767,Winter!$A:$A,FALSE),MATCH(All!Q$1,Winter!$1:$1,FALSE))="","",INDEX(Winter!$1:$1048576,MATCH(All!$A767,Winter!$A:$A,FALSE),MATCH(All!Q$1,Winter!$1:$1,FALSE))),"")</f>
        <v>2A</v>
      </c>
      <c r="R767" t="str">
        <f>IFERROR(IF(INDEX(Winter!$1:$1048576,MATCH(All!$A767,Winter!$A:$A,FALSE),MATCH(All!R$1,Winter!$1:$1,FALSE))="","",INDEX(Winter!$1:$1048576,MATCH(All!$A767,Winter!$A:$A,FALSE),MATCH(All!R$1,Winter!$1:$1,FALSE))),"")</f>
        <v>1A</v>
      </c>
      <c r="S767" t="str">
        <f>IFERROR(IF(INDEX(Winter!$1:$1048576,MATCH(All!$A767,Winter!$A:$A,FALSE),MATCH(All!S$1,Winter!$1:$1,FALSE))="","",INDEX(Winter!$1:$1048576,MATCH(All!$A767,Winter!$A:$A,FALSE),MATCH(All!S$1,Winter!$1:$1,FALSE))),"")</f>
        <v/>
      </c>
      <c r="T767" t="str">
        <f>IFERROR(IF(INDEX(Winter!$1:$1048576,MATCH(All!$A767,Winter!$A:$A,FALSE),MATCH(All!T$1,Winter!$1:$1,FALSE))="","",INDEX(Winter!$1:$1048576,MATCH(All!$A767,Winter!$A:$A,FALSE),MATCH(All!T$1,Winter!$1:$1,FALSE))),"")</f>
        <v>1A</v>
      </c>
      <c r="U767" t="str">
        <f>IFERROR(IF(INDEX(Winter!$1:$1048576,MATCH(All!$A767,Winter!$A:$A,FALSE),MATCH(All!U$1,Winter!$1:$1,FALSE))="","",INDEX(Winter!$1:$1048576,MATCH(All!$A767,Winter!$A:$A,FALSE),MATCH(All!U$1,Winter!$1:$1,FALSE))),"")</f>
        <v>1A</v>
      </c>
      <c r="W767">
        <f>IFERROR(IF(INDEX(Spring!$1:$1048576,MATCH(All!$A767,Spring!$A:$A,FALSE),MATCH(All!W$1,Spring!$1:$1,FALSE))="","",INDEX(Spring!$1:$1048576,MATCH(All!$A767,Spring!$A:$A,FALSE),MATCH(All!W$1,Spring!$1:$1,FALSE))),"")</f>
        <v>399</v>
      </c>
      <c r="X767" t="str">
        <f>IFERROR(IF(INDEX(Spring!$1:$1048576,MATCH(All!$A767,Spring!$A:$A,FALSE),MATCH(All!X$1,Spring!$1:$1,FALSE))="","",INDEX(Spring!$1:$1048576,MATCH(All!$A767,Spring!$A:$A,FALSE),MATCH(All!X$1,Spring!$1:$1,FALSE))),"")</f>
        <v>2A</v>
      </c>
      <c r="Y767" t="str">
        <f>IFERROR(IF(INDEX(Spring!$1:$1048576,MATCH(All!$A767,Spring!$A:$A,FALSE),MATCH(All!Y$1,Spring!$1:$1,FALSE))="","",INDEX(Spring!$1:$1048576,MATCH(All!$A767,Spring!$A:$A,FALSE),MATCH(All!Y$1,Spring!$1:$1,FALSE))),"")</f>
        <v>2A</v>
      </c>
      <c r="Z767" t="str">
        <f>IFERROR(IF(INDEX(Spring!$1:$1048576,MATCH(All!$A767,Spring!$A:$A,FALSE),MATCH(All!Z$1,Spring!$1:$1,FALSE))="","",INDEX(Spring!$1:$1048576,MATCH(All!$A767,Spring!$A:$A,FALSE),MATCH(All!Z$1,Spring!$1:$1,FALSE))),"")</f>
        <v>1A</v>
      </c>
      <c r="AA767" t="str">
        <f>IFERROR(IF(INDEX(Spring!$1:$1048576,MATCH(All!$A767,Spring!$A:$A,FALSE),MATCH(All!AA$1,Spring!$1:$1,FALSE))="","",INDEX(Spring!$1:$1048576,MATCH(All!$A767,Spring!$A:$A,FALSE),MATCH(All!AA$1,Spring!$1:$1,FALSE))),"")</f>
        <v/>
      </c>
      <c r="AB767" t="str">
        <f>IFERROR(IF(INDEX(Spring!$1:$1048576,MATCH(All!$A767,Spring!$A:$A,FALSE),MATCH(All!AB$1,Spring!$1:$1,FALSE))="","",INDEX(Spring!$1:$1048576,MATCH(All!$A767,Spring!$A:$A,FALSE),MATCH(All!AB$1,Spring!$1:$1,FALSE))),"")</f>
        <v>1A</v>
      </c>
      <c r="AC767" t="str">
        <f>IFERROR(IF(INDEX(Spring!$1:$1048576,MATCH(All!$A767,Spring!$A:$A,FALSE),MATCH(All!AC$1,Spring!$1:$1,FALSE))="","",INDEX(Spring!$1:$1048576,MATCH(All!$A767,Spring!$A:$A,FALSE),MATCH(All!AC$1,Spring!$1:$1,FALSE))),"")</f>
        <v>1A</v>
      </c>
      <c r="AD767" t="str">
        <f>IFERROR(VLOOKUP(A767,'Flag Football'!A:A,1,FALSE),"")</f>
        <v/>
      </c>
      <c r="AE767" t="str">
        <f t="shared" si="11"/>
        <v/>
      </c>
    </row>
    <row r="768" spans="1:31" ht="15.75" thickBot="1" x14ac:dyDescent="0.3">
      <c r="A768" s="20" t="s">
        <v>881</v>
      </c>
      <c r="B768" s="38">
        <f>IFERROR(VLOOKUP(A768,'Public v Private'!A:G,3,FALSE),"")</f>
        <v>0</v>
      </c>
      <c r="C768" s="38">
        <f>IFERROR(VLOOKUP(A768,'Public v Private'!A:G,4,FALSE),"")</f>
        <v>0</v>
      </c>
      <c r="D768" s="38">
        <f>IFERROR(VLOOKUP(A768,'Public v Private'!A:G,5,FALSE),"")</f>
        <v>0</v>
      </c>
      <c r="E768" s="38"/>
      <c r="F768" s="40">
        <f>IFERROR(INDEX(Fall!$1:$1048576,MATCH(All!$A768,Fall!$A:$A,FALSE),MATCH(All!F$1,Fall!$1:$1,FALSE)),"N/A")</f>
        <v>3613</v>
      </c>
      <c r="G768" t="str">
        <f>IFERROR(IF(INDEX(Fall!$1:$1048576,MATCH(All!$A768,Fall!$A:$A,FALSE),MATCH(All!G$1,Fall!$1:$1,FALSE))="","",INDEX(Fall!$1:$1048576,MATCH(All!$A768,Fall!$A:$A,FALSE),MATCH(All!G$1,Fall!$1:$1,FALSE))),"")</f>
        <v>3A</v>
      </c>
      <c r="H768" t="str">
        <f>IFERROR(IF(INDEX(Fall!$1:$1048576,MATCH(All!$A768,Fall!$A:$A,FALSE),MATCH(All!H$1,Fall!$1:$1,FALSE))="","",INDEX(Fall!$1:$1048576,MATCH(All!$A768,Fall!$A:$A,FALSE),MATCH(All!H$1,Fall!$1:$1,FALSE))),"")</f>
        <v>3A</v>
      </c>
      <c r="I768" t="str">
        <f>IFERROR(IF(INDEX(Fall!$1:$1048576,MATCH(All!$A768,Fall!$A:$A,FALSE),MATCH(All!I$1,Fall!$1:$1,FALSE))="","",INDEX(Fall!$1:$1048576,MATCH(All!$A768,Fall!$A:$A,FALSE),MATCH(All!I$1,Fall!$1:$1,FALSE))),"")</f>
        <v>3A</v>
      </c>
      <c r="J768" t="str">
        <f>IFERROR(IF(INDEX(Fall!$1:$1048576,MATCH(All!$A768,Fall!$A:$A,FALSE),MATCH(All!J$1,Fall!$1:$1,FALSE))="","",INDEX(Fall!$1:$1048576,MATCH(All!$A768,Fall!$A:$A,FALSE),MATCH(All!J$1,Fall!$1:$1,FALSE))),"")</f>
        <v>2A</v>
      </c>
      <c r="K768" t="str">
        <f>IFERROR(IF(INDEX(Fall!$1:$1048576,MATCH(All!$A768,Fall!$A:$A,FALSE),MATCH(All!K$1,Fall!$1:$1,FALSE))="","",INDEX(Fall!$1:$1048576,MATCH(All!$A768,Fall!$A:$A,FALSE),MATCH(All!K$1,Fall!$1:$1,FALSE))),"")</f>
        <v>3A</v>
      </c>
      <c r="L768" t="str">
        <f>IFERROR(IF(INDEX(Fall!$1:$1048576,MATCH(All!$A768,Fall!$A:$A,FALSE),MATCH(All!L$1,Fall!$1:$1,FALSE))="","",INDEX(Fall!$1:$1048576,MATCH(All!$A768,Fall!$A:$A,FALSE),MATCH(All!L$1,Fall!$1:$1,FALSE))),"")</f>
        <v>2A</v>
      </c>
      <c r="M768" t="str">
        <f>IFERROR(IF(INDEX(Fall!$1:$1048576,MATCH(All!$A768,Fall!$A:$A,FALSE),MATCH(All!M$1,Fall!$1:$1,FALSE))="","",INDEX(Fall!$1:$1048576,MATCH(All!$A768,Fall!$A:$A,FALSE),MATCH(All!M$1,Fall!$1:$1,FALSE))),"")</f>
        <v>4A</v>
      </c>
      <c r="O768">
        <f>IFERROR(IF(INDEX(Winter!$1:$1048576,MATCH(All!$A768,Winter!$A:$A,FALSE),MATCH(All!O$1,Winter!$1:$1,FALSE))="","",INDEX(Winter!$1:$1048576,MATCH(All!$A768,Winter!$A:$A,FALSE),MATCH(All!O$1,Winter!$1:$1,FALSE))),"")</f>
        <v>3613</v>
      </c>
      <c r="P768" t="str">
        <f>IFERROR(IF(INDEX(Winter!$1:$1048576,MATCH(All!$A768,Winter!$A:$A,FALSE),MATCH(All!P$1,Winter!$1:$1,FALSE))="","",INDEX(Winter!$1:$1048576,MATCH(All!$A768,Winter!$A:$A,FALSE),MATCH(All!P$1,Winter!$1:$1,FALSE))),"")</f>
        <v>4A</v>
      </c>
      <c r="Q768" t="str">
        <f>IFERROR(IF(INDEX(Winter!$1:$1048576,MATCH(All!$A768,Winter!$A:$A,FALSE),MATCH(All!Q$1,Winter!$1:$1,FALSE))="","",INDEX(Winter!$1:$1048576,MATCH(All!$A768,Winter!$A:$A,FALSE),MATCH(All!Q$1,Winter!$1:$1,FALSE))),"")</f>
        <v>4A</v>
      </c>
      <c r="R768" t="str">
        <f>IFERROR(IF(INDEX(Winter!$1:$1048576,MATCH(All!$A768,Winter!$A:$A,FALSE),MATCH(All!R$1,Winter!$1:$1,FALSE))="","",INDEX(Winter!$1:$1048576,MATCH(All!$A768,Winter!$A:$A,FALSE),MATCH(All!R$1,Winter!$1:$1,FALSE))),"")</f>
        <v>C</v>
      </c>
      <c r="S768" t="str">
        <f>IFERROR(IF(INDEX(Winter!$1:$1048576,MATCH(All!$A768,Winter!$A:$A,FALSE),MATCH(All!S$1,Winter!$1:$1,FALSE))="","",INDEX(Winter!$1:$1048576,MATCH(All!$A768,Winter!$A:$A,FALSE),MATCH(All!S$1,Winter!$1:$1,FALSE))),"")</f>
        <v>3A</v>
      </c>
      <c r="T768" t="str">
        <f>IFERROR(IF(INDEX(Winter!$1:$1048576,MATCH(All!$A768,Winter!$A:$A,FALSE),MATCH(All!T$1,Winter!$1:$1,FALSE))="","",INDEX(Winter!$1:$1048576,MATCH(All!$A768,Winter!$A:$A,FALSE),MATCH(All!T$1,Winter!$1:$1,FALSE))),"")</f>
        <v>2A</v>
      </c>
      <c r="U768" t="str">
        <f>IFERROR(IF(INDEX(Winter!$1:$1048576,MATCH(All!$A768,Winter!$A:$A,FALSE),MATCH(All!U$1,Winter!$1:$1,FALSE))="","",INDEX(Winter!$1:$1048576,MATCH(All!$A768,Winter!$A:$A,FALSE),MATCH(All!U$1,Winter!$1:$1,FALSE))),"")</f>
        <v>3A</v>
      </c>
      <c r="W768">
        <f>IFERROR(IF(INDEX(Spring!$1:$1048576,MATCH(All!$A768,Spring!$A:$A,FALSE),MATCH(All!W$1,Spring!$1:$1,FALSE))="","",INDEX(Spring!$1:$1048576,MATCH(All!$A768,Spring!$A:$A,FALSE),MATCH(All!W$1,Spring!$1:$1,FALSE))),"")</f>
        <v>3613</v>
      </c>
      <c r="X768" t="str">
        <f>IFERROR(IF(INDEX(Spring!$1:$1048576,MATCH(All!$A768,Spring!$A:$A,FALSE),MATCH(All!X$1,Spring!$1:$1,FALSE))="","",INDEX(Spring!$1:$1048576,MATCH(All!$A768,Spring!$A:$A,FALSE),MATCH(All!X$1,Spring!$1:$1,FALSE))),"")</f>
        <v>4A</v>
      </c>
      <c r="Y768" t="str">
        <f>IFERROR(IF(INDEX(Spring!$1:$1048576,MATCH(All!$A768,Spring!$A:$A,FALSE),MATCH(All!Y$1,Spring!$1:$1,FALSE))="","",INDEX(Spring!$1:$1048576,MATCH(All!$A768,Spring!$A:$A,FALSE),MATCH(All!Y$1,Spring!$1:$1,FALSE))),"")</f>
        <v>4A</v>
      </c>
      <c r="Z768" t="str">
        <f>IFERROR(IF(INDEX(Spring!$1:$1048576,MATCH(All!$A768,Spring!$A:$A,FALSE),MATCH(All!Z$1,Spring!$1:$1,FALSE))="","",INDEX(Spring!$1:$1048576,MATCH(All!$A768,Spring!$A:$A,FALSE),MATCH(All!Z$1,Spring!$1:$1,FALSE))),"")</f>
        <v>3A</v>
      </c>
      <c r="AA768" t="str">
        <f>IFERROR(IF(INDEX(Spring!$1:$1048576,MATCH(All!$A768,Spring!$A:$A,FALSE),MATCH(All!AA$1,Spring!$1:$1,FALSE))="","",INDEX(Spring!$1:$1048576,MATCH(All!$A768,Spring!$A:$A,FALSE),MATCH(All!AA$1,Spring!$1:$1,FALSE))),"")</f>
        <v>2A</v>
      </c>
      <c r="AB768" t="str">
        <f>IFERROR(IF(INDEX(Spring!$1:$1048576,MATCH(All!$A768,Spring!$A:$A,FALSE),MATCH(All!AB$1,Spring!$1:$1,FALSE))="","",INDEX(Spring!$1:$1048576,MATCH(All!$A768,Spring!$A:$A,FALSE),MATCH(All!AB$1,Spring!$1:$1,FALSE))),"")</f>
        <v>3A</v>
      </c>
      <c r="AC768" t="str">
        <f>IFERROR(IF(INDEX(Spring!$1:$1048576,MATCH(All!$A768,Spring!$A:$A,FALSE),MATCH(All!AC$1,Spring!$1:$1,FALSE))="","",INDEX(Spring!$1:$1048576,MATCH(All!$A768,Spring!$A:$A,FALSE),MATCH(All!AC$1,Spring!$1:$1,FALSE))),"")</f>
        <v>3A</v>
      </c>
      <c r="AD768" t="str">
        <f>IFERROR(VLOOKUP(A768,'Flag Football'!A:A,1,FALSE),"")</f>
        <v>Winnetka (New Trier)</v>
      </c>
      <c r="AE768" t="str">
        <f t="shared" si="11"/>
        <v>1A</v>
      </c>
    </row>
    <row r="769" spans="1:31" ht="15.75" thickBot="1" x14ac:dyDescent="0.3">
      <c r="A769" s="18" t="s">
        <v>882</v>
      </c>
      <c r="B769" s="38" t="str">
        <f>IFERROR(VLOOKUP(A769,'Public v Private'!A:G,3,FALSE),"")</f>
        <v>private</v>
      </c>
      <c r="C769" s="38">
        <f>IFERROR(VLOOKUP(A769,'Public v Private'!A:G,4,FALSE),"")</f>
        <v>2</v>
      </c>
      <c r="D769" s="38">
        <f>IFERROR(VLOOKUP(A769,'Public v Private'!A:G,5,FALSE),"")</f>
        <v>4</v>
      </c>
      <c r="E769" s="38"/>
      <c r="F769" s="40" t="str">
        <f>IFERROR(INDEX(Fall!$1:$1048576,MATCH(All!$A769,Fall!$A:$A,FALSE),MATCH(All!F$1,Fall!$1:$1,FALSE)),"N/A")</f>
        <v>188.00 (310.20)</v>
      </c>
      <c r="G769" t="str">
        <f>IFERROR(IF(INDEX(Fall!$1:$1048576,MATCH(All!$A769,Fall!$A:$A,FALSE),MATCH(All!G$1,Fall!$1:$1,FALSE))="","",INDEX(Fall!$1:$1048576,MATCH(All!$A769,Fall!$A:$A,FALSE),MATCH(All!G$1,Fall!$1:$1,FALSE))),"")</f>
        <v>1A</v>
      </c>
      <c r="H769" t="str">
        <f>IFERROR(IF(INDEX(Fall!$1:$1048576,MATCH(All!$A769,Fall!$A:$A,FALSE),MATCH(All!H$1,Fall!$1:$1,FALSE))="","",INDEX(Fall!$1:$1048576,MATCH(All!$A769,Fall!$A:$A,FALSE),MATCH(All!H$1,Fall!$1:$1,FALSE))),"")</f>
        <v>1A</v>
      </c>
      <c r="I769" t="str">
        <f>IFERROR(IF(INDEX(Fall!$1:$1048576,MATCH(All!$A769,Fall!$A:$A,FALSE),MATCH(All!I$1,Fall!$1:$1,FALSE))="","",INDEX(Fall!$1:$1048576,MATCH(All!$A769,Fall!$A:$A,FALSE),MATCH(All!I$1,Fall!$1:$1,FALSE))),"")</f>
        <v>1A</v>
      </c>
      <c r="J769" t="str">
        <f>IFERROR(IF(INDEX(Fall!$1:$1048576,MATCH(All!$A769,Fall!$A:$A,FALSE),MATCH(All!J$1,Fall!$1:$1,FALSE))="","",INDEX(Fall!$1:$1048576,MATCH(All!$A769,Fall!$A:$A,FALSE),MATCH(All!J$1,Fall!$1:$1,FALSE))),"")</f>
        <v>1A</v>
      </c>
      <c r="K769" t="str">
        <f>IFERROR(IF(INDEX(Fall!$1:$1048576,MATCH(All!$A769,Fall!$A:$A,FALSE),MATCH(All!K$1,Fall!$1:$1,FALSE))="","",INDEX(Fall!$1:$1048576,MATCH(All!$A769,Fall!$A:$A,FALSE),MATCH(All!K$1,Fall!$1:$1,FALSE))),"")</f>
        <v>1A</v>
      </c>
      <c r="L769" t="str">
        <f>IFERROR(IF(INDEX(Fall!$1:$1048576,MATCH(All!$A769,Fall!$A:$A,FALSE),MATCH(All!L$1,Fall!$1:$1,FALSE))="","",INDEX(Fall!$1:$1048576,MATCH(All!$A769,Fall!$A:$A,FALSE),MATCH(All!L$1,Fall!$1:$1,FALSE))),"")</f>
        <v>1A</v>
      </c>
      <c r="M769" t="str">
        <f>IFERROR(IF(INDEX(Fall!$1:$1048576,MATCH(All!$A769,Fall!$A:$A,FALSE),MATCH(All!M$1,Fall!$1:$1,FALSE))="","",INDEX(Fall!$1:$1048576,MATCH(All!$A769,Fall!$A:$A,FALSE),MATCH(All!M$1,Fall!$1:$1,FALSE))),"")</f>
        <v>1A</v>
      </c>
      <c r="O769" t="str">
        <f>IFERROR(IF(INDEX(Winter!$1:$1048576,MATCH(All!$A769,Winter!$A:$A,FALSE),MATCH(All!O$1,Winter!$1:$1,FALSE))="","",INDEX(Winter!$1:$1048576,MATCH(All!$A769,Winter!$A:$A,FALSE),MATCH(All!O$1,Winter!$1:$1,FALSE))),"")</f>
        <v>188.00 (310.20)</v>
      </c>
      <c r="P769" t="str">
        <f>IFERROR(IF(INDEX(Winter!$1:$1048576,MATCH(All!$A769,Winter!$A:$A,FALSE),MATCH(All!P$1,Winter!$1:$1,FALSE))="","",INDEX(Winter!$1:$1048576,MATCH(All!$A769,Winter!$A:$A,FALSE),MATCH(All!P$1,Winter!$1:$1,FALSE))),"")</f>
        <v>1A</v>
      </c>
      <c r="Q769" t="str">
        <f>IFERROR(IF(INDEX(Winter!$1:$1048576,MATCH(All!$A769,Winter!$A:$A,FALSE),MATCH(All!Q$1,Winter!$1:$1,FALSE))="","",INDEX(Winter!$1:$1048576,MATCH(All!$A769,Winter!$A:$A,FALSE),MATCH(All!Q$1,Winter!$1:$1,FALSE))),"")</f>
        <v>1A</v>
      </c>
      <c r="R769" t="str">
        <f>IFERROR(IF(INDEX(Winter!$1:$1048576,MATCH(All!$A769,Winter!$A:$A,FALSE),MATCH(All!R$1,Winter!$1:$1,FALSE))="","",INDEX(Winter!$1:$1048576,MATCH(All!$A769,Winter!$A:$A,FALSE),MATCH(All!R$1,Winter!$1:$1,FALSE))),"")</f>
        <v/>
      </c>
      <c r="S769" t="str">
        <f>IFERROR(IF(INDEX(Winter!$1:$1048576,MATCH(All!$A769,Winter!$A:$A,FALSE),MATCH(All!S$1,Winter!$1:$1,FALSE))="","",INDEX(Winter!$1:$1048576,MATCH(All!$A769,Winter!$A:$A,FALSE),MATCH(All!S$1,Winter!$1:$1,FALSE))),"")</f>
        <v/>
      </c>
      <c r="T769" t="str">
        <f>IFERROR(IF(INDEX(Winter!$1:$1048576,MATCH(All!$A769,Winter!$A:$A,FALSE),MATCH(All!T$1,Winter!$1:$1,FALSE))="","",INDEX(Winter!$1:$1048576,MATCH(All!$A769,Winter!$A:$A,FALSE),MATCH(All!T$1,Winter!$1:$1,FALSE))),"")</f>
        <v/>
      </c>
      <c r="U769" t="str">
        <f>IFERROR(IF(INDEX(Winter!$1:$1048576,MATCH(All!$A769,Winter!$A:$A,FALSE),MATCH(All!U$1,Winter!$1:$1,FALSE))="","",INDEX(Winter!$1:$1048576,MATCH(All!$A769,Winter!$A:$A,FALSE),MATCH(All!U$1,Winter!$1:$1,FALSE))),"")</f>
        <v/>
      </c>
      <c r="W769" t="str">
        <f>IFERROR(IF(INDEX(Spring!$1:$1048576,MATCH(All!$A769,Spring!$A:$A,FALSE),MATCH(All!W$1,Spring!$1:$1,FALSE))="","",INDEX(Spring!$1:$1048576,MATCH(All!$A769,Spring!$A:$A,FALSE),MATCH(All!W$1,Spring!$1:$1,FALSE))),"")</f>
        <v>188.00 (310.20)</v>
      </c>
      <c r="X769" t="str">
        <f>IFERROR(IF(INDEX(Spring!$1:$1048576,MATCH(All!$A769,Spring!$A:$A,FALSE),MATCH(All!X$1,Spring!$1:$1,FALSE))="","",INDEX(Spring!$1:$1048576,MATCH(All!$A769,Spring!$A:$A,FALSE),MATCH(All!X$1,Spring!$1:$1,FALSE))),"")</f>
        <v>1A</v>
      </c>
      <c r="Y769" t="str">
        <f>IFERROR(IF(INDEX(Spring!$1:$1048576,MATCH(All!$A769,Spring!$A:$A,FALSE),MATCH(All!Y$1,Spring!$1:$1,FALSE))="","",INDEX(Spring!$1:$1048576,MATCH(All!$A769,Spring!$A:$A,FALSE),MATCH(All!Y$1,Spring!$1:$1,FALSE))),"")</f>
        <v/>
      </c>
      <c r="Z769" t="str">
        <f>IFERROR(IF(INDEX(Spring!$1:$1048576,MATCH(All!$A769,Spring!$A:$A,FALSE),MATCH(All!Z$1,Spring!$1:$1,FALSE))="","",INDEX(Spring!$1:$1048576,MATCH(All!$A769,Spring!$A:$A,FALSE),MATCH(All!Z$1,Spring!$1:$1,FALSE))),"")</f>
        <v>1A</v>
      </c>
      <c r="AA769" t="str">
        <f>IFERROR(IF(INDEX(Spring!$1:$1048576,MATCH(All!$A769,Spring!$A:$A,FALSE),MATCH(All!AA$1,Spring!$1:$1,FALSE))="","",INDEX(Spring!$1:$1048576,MATCH(All!$A769,Spring!$A:$A,FALSE),MATCH(All!AA$1,Spring!$1:$1,FALSE))),"")</f>
        <v>1A</v>
      </c>
      <c r="AB769" t="str">
        <f>IFERROR(IF(INDEX(Spring!$1:$1048576,MATCH(All!$A769,Spring!$A:$A,FALSE),MATCH(All!AB$1,Spring!$1:$1,FALSE))="","",INDEX(Spring!$1:$1048576,MATCH(All!$A769,Spring!$A:$A,FALSE),MATCH(All!AB$1,Spring!$1:$1,FALSE))),"")</f>
        <v>1A</v>
      </c>
      <c r="AC769" t="str">
        <f>IFERROR(IF(INDEX(Spring!$1:$1048576,MATCH(All!$A769,Spring!$A:$A,FALSE),MATCH(All!AC$1,Spring!$1:$1,FALSE))="","",INDEX(Spring!$1:$1048576,MATCH(All!$A769,Spring!$A:$A,FALSE),MATCH(All!AC$1,Spring!$1:$1,FALSE))),"")</f>
        <v>1A</v>
      </c>
      <c r="AD769" t="str">
        <f>IFERROR(VLOOKUP(A769,'Flag Football'!A:A,1,FALSE),"")</f>
        <v/>
      </c>
      <c r="AE769" t="str">
        <f t="shared" si="11"/>
        <v/>
      </c>
    </row>
    <row r="770" spans="1:31" ht="15.75" thickBot="1" x14ac:dyDescent="0.3">
      <c r="A770" s="20" t="s">
        <v>884</v>
      </c>
      <c r="B770" s="38">
        <f>IFERROR(VLOOKUP(A770,'Public v Private'!A:G,3,FALSE),"")</f>
        <v>0</v>
      </c>
      <c r="C770" s="38">
        <f>IFERROR(VLOOKUP(A770,'Public v Private'!A:G,4,FALSE),"")</f>
        <v>0</v>
      </c>
      <c r="D770" s="38">
        <f>IFERROR(VLOOKUP(A770,'Public v Private'!A:G,5,FALSE),"")</f>
        <v>0</v>
      </c>
      <c r="E770" s="38"/>
      <c r="F770" s="40">
        <f>IFERROR(INDEX(Fall!$1:$1048576,MATCH(All!$A770,Fall!$A:$A,FALSE),MATCH(All!F$1,Fall!$1:$1,FALSE)),"N/A")</f>
        <v>69</v>
      </c>
      <c r="G770" t="str">
        <f>IFERROR(IF(INDEX(Fall!$1:$1048576,MATCH(All!$A770,Fall!$A:$A,FALSE),MATCH(All!G$1,Fall!$1:$1,FALSE))="","",INDEX(Fall!$1:$1048576,MATCH(All!$A770,Fall!$A:$A,FALSE),MATCH(All!G$1,Fall!$1:$1,FALSE))),"")</f>
        <v/>
      </c>
      <c r="H770" t="str">
        <f>IFERROR(IF(INDEX(Fall!$1:$1048576,MATCH(All!$A770,Fall!$A:$A,FALSE),MATCH(All!H$1,Fall!$1:$1,FALSE))="","",INDEX(Fall!$1:$1048576,MATCH(All!$A770,Fall!$A:$A,FALSE),MATCH(All!H$1,Fall!$1:$1,FALSE))),"")</f>
        <v/>
      </c>
      <c r="I770" t="str">
        <f>IFERROR(IF(INDEX(Fall!$1:$1048576,MATCH(All!$A770,Fall!$A:$A,FALSE),MATCH(All!I$1,Fall!$1:$1,FALSE))="","",INDEX(Fall!$1:$1048576,MATCH(All!$A770,Fall!$A:$A,FALSE),MATCH(All!I$1,Fall!$1:$1,FALSE))),"")</f>
        <v/>
      </c>
      <c r="J770" t="str">
        <f>IFERROR(IF(INDEX(Fall!$1:$1048576,MATCH(All!$A770,Fall!$A:$A,FALSE),MATCH(All!J$1,Fall!$1:$1,FALSE))="","",INDEX(Fall!$1:$1048576,MATCH(All!$A770,Fall!$A:$A,FALSE),MATCH(All!J$1,Fall!$1:$1,FALSE))),"")</f>
        <v/>
      </c>
      <c r="K770" t="str">
        <f>IFERROR(IF(INDEX(Fall!$1:$1048576,MATCH(All!$A770,Fall!$A:$A,FALSE),MATCH(All!K$1,Fall!$1:$1,FALSE))="","",INDEX(Fall!$1:$1048576,MATCH(All!$A770,Fall!$A:$A,FALSE),MATCH(All!K$1,Fall!$1:$1,FALSE))),"")</f>
        <v/>
      </c>
      <c r="L770" t="str">
        <f>IFERROR(IF(INDEX(Fall!$1:$1048576,MATCH(All!$A770,Fall!$A:$A,FALSE),MATCH(All!L$1,Fall!$1:$1,FALSE))="","",INDEX(Fall!$1:$1048576,MATCH(All!$A770,Fall!$A:$A,FALSE),MATCH(All!L$1,Fall!$1:$1,FALSE))),"")</f>
        <v/>
      </c>
      <c r="M770" t="str">
        <f>IFERROR(IF(INDEX(Fall!$1:$1048576,MATCH(All!$A770,Fall!$A:$A,FALSE),MATCH(All!M$1,Fall!$1:$1,FALSE))="","",INDEX(Fall!$1:$1048576,MATCH(All!$A770,Fall!$A:$A,FALSE),MATCH(All!M$1,Fall!$1:$1,FALSE))),"")</f>
        <v>1A</v>
      </c>
      <c r="O770">
        <f>IFERROR(IF(INDEX(Winter!$1:$1048576,MATCH(All!$A770,Winter!$A:$A,FALSE),MATCH(All!O$1,Winter!$1:$1,FALSE))="","",INDEX(Winter!$1:$1048576,MATCH(All!$A770,Winter!$A:$A,FALSE),MATCH(All!O$1,Winter!$1:$1,FALSE))),"")</f>
        <v>69</v>
      </c>
      <c r="P770" t="str">
        <f>IFERROR(IF(INDEX(Winter!$1:$1048576,MATCH(All!$A770,Winter!$A:$A,FALSE),MATCH(All!P$1,Winter!$1:$1,FALSE))="","",INDEX(Winter!$1:$1048576,MATCH(All!$A770,Winter!$A:$A,FALSE),MATCH(All!P$1,Winter!$1:$1,FALSE))),"")</f>
        <v>1A</v>
      </c>
      <c r="Q770" t="str">
        <f>IFERROR(IF(INDEX(Winter!$1:$1048576,MATCH(All!$A770,Winter!$A:$A,FALSE),MATCH(All!Q$1,Winter!$1:$1,FALSE))="","",INDEX(Winter!$1:$1048576,MATCH(All!$A770,Winter!$A:$A,FALSE),MATCH(All!Q$1,Winter!$1:$1,FALSE))),"")</f>
        <v>1A</v>
      </c>
      <c r="R770" t="str">
        <f>IFERROR(IF(INDEX(Winter!$1:$1048576,MATCH(All!$A770,Winter!$A:$A,FALSE),MATCH(All!R$1,Winter!$1:$1,FALSE))="","",INDEX(Winter!$1:$1048576,MATCH(All!$A770,Winter!$A:$A,FALSE),MATCH(All!R$1,Winter!$1:$1,FALSE))),"")</f>
        <v/>
      </c>
      <c r="S770" t="str">
        <f>IFERROR(IF(INDEX(Winter!$1:$1048576,MATCH(All!$A770,Winter!$A:$A,FALSE),MATCH(All!S$1,Winter!$1:$1,FALSE))="","",INDEX(Winter!$1:$1048576,MATCH(All!$A770,Winter!$A:$A,FALSE),MATCH(All!S$1,Winter!$1:$1,FALSE))),"")</f>
        <v/>
      </c>
      <c r="T770" t="str">
        <f>IFERROR(IF(INDEX(Winter!$1:$1048576,MATCH(All!$A770,Winter!$A:$A,FALSE),MATCH(All!T$1,Winter!$1:$1,FALSE))="","",INDEX(Winter!$1:$1048576,MATCH(All!$A770,Winter!$A:$A,FALSE),MATCH(All!T$1,Winter!$1:$1,FALSE))),"")</f>
        <v/>
      </c>
      <c r="U770" t="str">
        <f>IFERROR(IF(INDEX(Winter!$1:$1048576,MATCH(All!$A770,Winter!$A:$A,FALSE),MATCH(All!U$1,Winter!$1:$1,FALSE))="","",INDEX(Winter!$1:$1048576,MATCH(All!$A770,Winter!$A:$A,FALSE),MATCH(All!U$1,Winter!$1:$1,FALSE))),"")</f>
        <v/>
      </c>
      <c r="W770">
        <f>IFERROR(IF(INDEX(Spring!$1:$1048576,MATCH(All!$A770,Spring!$A:$A,FALSE),MATCH(All!W$1,Spring!$1:$1,FALSE))="","",INDEX(Spring!$1:$1048576,MATCH(All!$A770,Spring!$A:$A,FALSE),MATCH(All!W$1,Spring!$1:$1,FALSE))),"")</f>
        <v>69</v>
      </c>
      <c r="X770" t="str">
        <f>IFERROR(IF(INDEX(Spring!$1:$1048576,MATCH(All!$A770,Spring!$A:$A,FALSE),MATCH(All!X$1,Spring!$1:$1,FALSE))="","",INDEX(Spring!$1:$1048576,MATCH(All!$A770,Spring!$A:$A,FALSE),MATCH(All!X$1,Spring!$1:$1,FALSE))),"")</f>
        <v>1A</v>
      </c>
      <c r="Y770" t="str">
        <f>IFERROR(IF(INDEX(Spring!$1:$1048576,MATCH(All!$A770,Spring!$A:$A,FALSE),MATCH(All!Y$1,Spring!$1:$1,FALSE))="","",INDEX(Spring!$1:$1048576,MATCH(All!$A770,Spring!$A:$A,FALSE),MATCH(All!Y$1,Spring!$1:$1,FALSE))),"")</f>
        <v>1A</v>
      </c>
      <c r="Z770" t="str">
        <f>IFERROR(IF(INDEX(Spring!$1:$1048576,MATCH(All!$A770,Spring!$A:$A,FALSE),MATCH(All!Z$1,Spring!$1:$1,FALSE))="","",INDEX(Spring!$1:$1048576,MATCH(All!$A770,Spring!$A:$A,FALSE),MATCH(All!Z$1,Spring!$1:$1,FALSE))),"")</f>
        <v/>
      </c>
      <c r="AA770" t="str">
        <f>IFERROR(IF(INDEX(Spring!$1:$1048576,MATCH(All!$A770,Spring!$A:$A,FALSE),MATCH(All!AA$1,Spring!$1:$1,FALSE))="","",INDEX(Spring!$1:$1048576,MATCH(All!$A770,Spring!$A:$A,FALSE),MATCH(All!AA$1,Spring!$1:$1,FALSE))),"")</f>
        <v/>
      </c>
      <c r="AB770" t="str">
        <f>IFERROR(IF(INDEX(Spring!$1:$1048576,MATCH(All!$A770,Spring!$A:$A,FALSE),MATCH(All!AB$1,Spring!$1:$1,FALSE))="","",INDEX(Spring!$1:$1048576,MATCH(All!$A770,Spring!$A:$A,FALSE),MATCH(All!AB$1,Spring!$1:$1,FALSE))),"")</f>
        <v/>
      </c>
      <c r="AC770" t="str">
        <f>IFERROR(IF(INDEX(Spring!$1:$1048576,MATCH(All!$A770,Spring!$A:$A,FALSE),MATCH(All!AC$1,Spring!$1:$1,FALSE))="","",INDEX(Spring!$1:$1048576,MATCH(All!$A770,Spring!$A:$A,FALSE),MATCH(All!AC$1,Spring!$1:$1,FALSE))),"")</f>
        <v/>
      </c>
      <c r="AD770" t="str">
        <f>IFERROR(VLOOKUP(A770,'Flag Football'!A:A,1,FALSE),"")</f>
        <v/>
      </c>
      <c r="AE770" t="str">
        <f t="shared" si="11"/>
        <v/>
      </c>
    </row>
    <row r="771" spans="1:31" ht="15.75" thickBot="1" x14ac:dyDescent="0.3">
      <c r="A771" s="18" t="s">
        <v>885</v>
      </c>
      <c r="B771" s="38">
        <f>IFERROR(VLOOKUP(A771,'Public v Private'!A:G,3,FALSE),"")</f>
        <v>0</v>
      </c>
      <c r="C771" s="38">
        <f>IFERROR(VLOOKUP(A771,'Public v Private'!A:G,4,FALSE),"")</f>
        <v>0</v>
      </c>
      <c r="D771" s="38">
        <f>IFERROR(VLOOKUP(A771,'Public v Private'!A:G,5,FALSE),"")</f>
        <v>0</v>
      </c>
      <c r="E771" s="38"/>
      <c r="F771" s="40">
        <f>IFERROR(INDEX(Fall!$1:$1048576,MATCH(All!$A771,Fall!$A:$A,FALSE),MATCH(All!F$1,Fall!$1:$1,FALSE)),"N/A")</f>
        <v>515</v>
      </c>
      <c r="G771" t="str">
        <f>IFERROR(IF(INDEX(Fall!$1:$1048576,MATCH(All!$A771,Fall!$A:$A,FALSE),MATCH(All!G$1,Fall!$1:$1,FALSE))="","",INDEX(Fall!$1:$1048576,MATCH(All!$A771,Fall!$A:$A,FALSE),MATCH(All!G$1,Fall!$1:$1,FALSE))),"")</f>
        <v>1A</v>
      </c>
      <c r="H771" t="str">
        <f>IFERROR(IF(INDEX(Fall!$1:$1048576,MATCH(All!$A771,Fall!$A:$A,FALSE),MATCH(All!H$1,Fall!$1:$1,FALSE))="","",INDEX(Fall!$1:$1048576,MATCH(All!$A771,Fall!$A:$A,FALSE),MATCH(All!H$1,Fall!$1:$1,FALSE))),"")</f>
        <v>1A</v>
      </c>
      <c r="I771" t="str">
        <f>IFERROR(IF(INDEX(Fall!$1:$1048576,MATCH(All!$A771,Fall!$A:$A,FALSE),MATCH(All!I$1,Fall!$1:$1,FALSE))="","",INDEX(Fall!$1:$1048576,MATCH(All!$A771,Fall!$A:$A,FALSE),MATCH(All!I$1,Fall!$1:$1,FALSE))),"")</f>
        <v>2A</v>
      </c>
      <c r="J771" t="str">
        <f>IFERROR(IF(INDEX(Fall!$1:$1048576,MATCH(All!$A771,Fall!$A:$A,FALSE),MATCH(All!J$1,Fall!$1:$1,FALSE))="","",INDEX(Fall!$1:$1048576,MATCH(All!$A771,Fall!$A:$A,FALSE),MATCH(All!J$1,Fall!$1:$1,FALSE))),"")</f>
        <v/>
      </c>
      <c r="K771" t="str">
        <f>IFERROR(IF(INDEX(Fall!$1:$1048576,MATCH(All!$A771,Fall!$A:$A,FALSE),MATCH(All!K$1,Fall!$1:$1,FALSE))="","",INDEX(Fall!$1:$1048576,MATCH(All!$A771,Fall!$A:$A,FALSE),MATCH(All!K$1,Fall!$1:$1,FALSE))),"")</f>
        <v>1A</v>
      </c>
      <c r="L771" t="str">
        <f>IFERROR(IF(INDEX(Fall!$1:$1048576,MATCH(All!$A771,Fall!$A:$A,FALSE),MATCH(All!L$1,Fall!$1:$1,FALSE))="","",INDEX(Fall!$1:$1048576,MATCH(All!$A771,Fall!$A:$A,FALSE),MATCH(All!L$1,Fall!$1:$1,FALSE))),"")</f>
        <v>1A</v>
      </c>
      <c r="M771" t="str">
        <f>IFERROR(IF(INDEX(Fall!$1:$1048576,MATCH(All!$A771,Fall!$A:$A,FALSE),MATCH(All!M$1,Fall!$1:$1,FALSE))="","",INDEX(Fall!$1:$1048576,MATCH(All!$A771,Fall!$A:$A,FALSE),MATCH(All!M$1,Fall!$1:$1,FALSE))),"")</f>
        <v>2A</v>
      </c>
      <c r="O771">
        <f>IFERROR(IF(INDEX(Winter!$1:$1048576,MATCH(All!$A771,Winter!$A:$A,FALSE),MATCH(All!O$1,Winter!$1:$1,FALSE))="","",INDEX(Winter!$1:$1048576,MATCH(All!$A771,Winter!$A:$A,FALSE),MATCH(All!O$1,Winter!$1:$1,FALSE))),"")</f>
        <v>515</v>
      </c>
      <c r="P771" t="str">
        <f>IFERROR(IF(INDEX(Winter!$1:$1048576,MATCH(All!$A771,Winter!$A:$A,FALSE),MATCH(All!P$1,Winter!$1:$1,FALSE))="","",INDEX(Winter!$1:$1048576,MATCH(All!$A771,Winter!$A:$A,FALSE),MATCH(All!P$1,Winter!$1:$1,FALSE))),"")</f>
        <v>2A</v>
      </c>
      <c r="Q771" t="str">
        <f>IFERROR(IF(INDEX(Winter!$1:$1048576,MATCH(All!$A771,Winter!$A:$A,FALSE),MATCH(All!Q$1,Winter!$1:$1,FALSE))="","",INDEX(Winter!$1:$1048576,MATCH(All!$A771,Winter!$A:$A,FALSE),MATCH(All!Q$1,Winter!$1:$1,FALSE))),"")</f>
        <v>2A</v>
      </c>
      <c r="R771" t="str">
        <f>IFERROR(IF(INDEX(Winter!$1:$1048576,MATCH(All!$A771,Winter!$A:$A,FALSE),MATCH(All!R$1,Winter!$1:$1,FALSE))="","",INDEX(Winter!$1:$1048576,MATCH(All!$A771,Winter!$A:$A,FALSE),MATCH(All!R$1,Winter!$1:$1,FALSE))),"")</f>
        <v>1A</v>
      </c>
      <c r="S771" t="str">
        <f>IFERROR(IF(INDEX(Winter!$1:$1048576,MATCH(All!$A771,Winter!$A:$A,FALSE),MATCH(All!S$1,Winter!$1:$1,FALSE))="","",INDEX(Winter!$1:$1048576,MATCH(All!$A771,Winter!$A:$A,FALSE),MATCH(All!S$1,Winter!$1:$1,FALSE))),"")</f>
        <v/>
      </c>
      <c r="T771" t="str">
        <f>IFERROR(IF(INDEX(Winter!$1:$1048576,MATCH(All!$A771,Winter!$A:$A,FALSE),MATCH(All!T$1,Winter!$1:$1,FALSE))="","",INDEX(Winter!$1:$1048576,MATCH(All!$A771,Winter!$A:$A,FALSE),MATCH(All!T$1,Winter!$1:$1,FALSE))),"")</f>
        <v>2A</v>
      </c>
      <c r="U771" t="str">
        <f>IFERROR(IF(INDEX(Winter!$1:$1048576,MATCH(All!$A771,Winter!$A:$A,FALSE),MATCH(All!U$1,Winter!$1:$1,FALSE))="","",INDEX(Winter!$1:$1048576,MATCH(All!$A771,Winter!$A:$A,FALSE),MATCH(All!U$1,Winter!$1:$1,FALSE))),"")</f>
        <v>1A</v>
      </c>
      <c r="W771">
        <f>IFERROR(IF(INDEX(Spring!$1:$1048576,MATCH(All!$A771,Spring!$A:$A,FALSE),MATCH(All!W$1,Spring!$1:$1,FALSE))="","",INDEX(Spring!$1:$1048576,MATCH(All!$A771,Spring!$A:$A,FALSE),MATCH(All!W$1,Spring!$1:$1,FALSE))),"")</f>
        <v>515</v>
      </c>
      <c r="X771" t="str">
        <f>IFERROR(IF(INDEX(Spring!$1:$1048576,MATCH(All!$A771,Spring!$A:$A,FALSE),MATCH(All!X$1,Spring!$1:$1,FALSE))="","",INDEX(Spring!$1:$1048576,MATCH(All!$A771,Spring!$A:$A,FALSE),MATCH(All!X$1,Spring!$1:$1,FALSE))),"")</f>
        <v>2A</v>
      </c>
      <c r="Y771" t="str">
        <f>IFERROR(IF(INDEX(Spring!$1:$1048576,MATCH(All!$A771,Spring!$A:$A,FALSE),MATCH(All!Y$1,Spring!$1:$1,FALSE))="","",INDEX(Spring!$1:$1048576,MATCH(All!$A771,Spring!$A:$A,FALSE),MATCH(All!Y$1,Spring!$1:$1,FALSE))),"")</f>
        <v>2A</v>
      </c>
      <c r="Z771" t="str">
        <f>IFERROR(IF(INDEX(Spring!$1:$1048576,MATCH(All!$A771,Spring!$A:$A,FALSE),MATCH(All!Z$1,Spring!$1:$1,FALSE))="","",INDEX(Spring!$1:$1048576,MATCH(All!$A771,Spring!$A:$A,FALSE),MATCH(All!Z$1,Spring!$1:$1,FALSE))),"")</f>
        <v>1A</v>
      </c>
      <c r="AA771" t="str">
        <f>IFERROR(IF(INDEX(Spring!$1:$1048576,MATCH(All!$A771,Spring!$A:$A,FALSE),MATCH(All!AA$1,Spring!$1:$1,FALSE))="","",INDEX(Spring!$1:$1048576,MATCH(All!$A771,Spring!$A:$A,FALSE),MATCH(All!AA$1,Spring!$1:$1,FALSE))),"")</f>
        <v/>
      </c>
      <c r="AB771" t="str">
        <f>IFERROR(IF(INDEX(Spring!$1:$1048576,MATCH(All!$A771,Spring!$A:$A,FALSE),MATCH(All!AB$1,Spring!$1:$1,FALSE))="","",INDEX(Spring!$1:$1048576,MATCH(All!$A771,Spring!$A:$A,FALSE),MATCH(All!AB$1,Spring!$1:$1,FALSE))),"")</f>
        <v>2A</v>
      </c>
      <c r="AC771" t="str">
        <f>IFERROR(IF(INDEX(Spring!$1:$1048576,MATCH(All!$A771,Spring!$A:$A,FALSE),MATCH(All!AC$1,Spring!$1:$1,FALSE))="","",INDEX(Spring!$1:$1048576,MATCH(All!$A771,Spring!$A:$A,FALSE),MATCH(All!AC$1,Spring!$1:$1,FALSE))),"")</f>
        <v>2A</v>
      </c>
      <c r="AD771" t="str">
        <f>IFERROR(VLOOKUP(A771,'Flag Football'!A:A,1,FALSE),"")</f>
        <v/>
      </c>
      <c r="AE771" t="str">
        <f t="shared" ref="AE771:AE781" si="12">IF(AD771="","","1A")</f>
        <v/>
      </c>
    </row>
    <row r="772" spans="1:31" ht="15.75" thickBot="1" x14ac:dyDescent="0.3">
      <c r="A772" s="18" t="s">
        <v>886</v>
      </c>
      <c r="B772" s="38">
        <f>IFERROR(VLOOKUP(A772,'Public v Private'!A:G,3,FALSE),"")</f>
        <v>0</v>
      </c>
      <c r="C772" s="38">
        <f>IFERROR(VLOOKUP(A772,'Public v Private'!A:G,4,FALSE),"")</f>
        <v>0</v>
      </c>
      <c r="D772" s="38">
        <f>IFERROR(VLOOKUP(A772,'Public v Private'!A:G,5,FALSE),"")</f>
        <v>0</v>
      </c>
      <c r="E772" s="38"/>
      <c r="F772" s="40" t="str">
        <f>IFERROR(INDEX(Fall!$1:$1048576,MATCH(All!$A772,Fall!$A:$A,FALSE),MATCH(All!F$1,Fall!$1:$1,FALSE)),"N/A")</f>
        <v>N/A</v>
      </c>
      <c r="G772" t="str">
        <f>IFERROR(IF(INDEX(Fall!$1:$1048576,MATCH(All!$A772,Fall!$A:$A,FALSE),MATCH(All!G$1,Fall!$1:$1,FALSE))="","",INDEX(Fall!$1:$1048576,MATCH(All!$A772,Fall!$A:$A,FALSE),MATCH(All!G$1,Fall!$1:$1,FALSE))),"")</f>
        <v/>
      </c>
      <c r="H772" t="str">
        <f>IFERROR(IF(INDEX(Fall!$1:$1048576,MATCH(All!$A772,Fall!$A:$A,FALSE),MATCH(All!H$1,Fall!$1:$1,FALSE))="","",INDEX(Fall!$1:$1048576,MATCH(All!$A772,Fall!$A:$A,FALSE),MATCH(All!H$1,Fall!$1:$1,FALSE))),"")</f>
        <v/>
      </c>
      <c r="I772" t="str">
        <f>IFERROR(IF(INDEX(Fall!$1:$1048576,MATCH(All!$A772,Fall!$A:$A,FALSE),MATCH(All!I$1,Fall!$1:$1,FALSE))="","",INDEX(Fall!$1:$1048576,MATCH(All!$A772,Fall!$A:$A,FALSE),MATCH(All!I$1,Fall!$1:$1,FALSE))),"")</f>
        <v/>
      </c>
      <c r="J772" t="str">
        <f>IFERROR(IF(INDEX(Fall!$1:$1048576,MATCH(All!$A772,Fall!$A:$A,FALSE),MATCH(All!J$1,Fall!$1:$1,FALSE))="","",INDEX(Fall!$1:$1048576,MATCH(All!$A772,Fall!$A:$A,FALSE),MATCH(All!J$1,Fall!$1:$1,FALSE))),"")</f>
        <v/>
      </c>
      <c r="K772" t="str">
        <f>IFERROR(IF(INDEX(Fall!$1:$1048576,MATCH(All!$A772,Fall!$A:$A,FALSE),MATCH(All!K$1,Fall!$1:$1,FALSE))="","",INDEX(Fall!$1:$1048576,MATCH(All!$A772,Fall!$A:$A,FALSE),MATCH(All!K$1,Fall!$1:$1,FALSE))),"")</f>
        <v/>
      </c>
      <c r="L772" t="str">
        <f>IFERROR(IF(INDEX(Fall!$1:$1048576,MATCH(All!$A772,Fall!$A:$A,FALSE),MATCH(All!L$1,Fall!$1:$1,FALSE))="","",INDEX(Fall!$1:$1048576,MATCH(All!$A772,Fall!$A:$A,FALSE),MATCH(All!L$1,Fall!$1:$1,FALSE))),"")</f>
        <v/>
      </c>
      <c r="M772" t="str">
        <f>IFERROR(IF(INDEX(Fall!$1:$1048576,MATCH(All!$A772,Fall!$A:$A,FALSE),MATCH(All!M$1,Fall!$1:$1,FALSE))="","",INDEX(Fall!$1:$1048576,MATCH(All!$A772,Fall!$A:$A,FALSE),MATCH(All!M$1,Fall!$1:$1,FALSE))),"")</f>
        <v/>
      </c>
      <c r="O772">
        <f>IFERROR(IF(INDEX(Winter!$1:$1048576,MATCH(All!$A772,Winter!$A:$A,FALSE),MATCH(All!O$1,Winter!$1:$1,FALSE))="","",INDEX(Winter!$1:$1048576,MATCH(All!$A772,Winter!$A:$A,FALSE),MATCH(All!O$1,Winter!$1:$1,FALSE))),"")</f>
        <v>96</v>
      </c>
      <c r="P772" t="str">
        <f>IFERROR(IF(INDEX(Winter!$1:$1048576,MATCH(All!$A772,Winter!$A:$A,FALSE),MATCH(All!P$1,Winter!$1:$1,FALSE))="","",INDEX(Winter!$1:$1048576,MATCH(All!$A772,Winter!$A:$A,FALSE),MATCH(All!P$1,Winter!$1:$1,FALSE))),"")</f>
        <v>1A</v>
      </c>
      <c r="Q772" t="str">
        <f>IFERROR(IF(INDEX(Winter!$1:$1048576,MATCH(All!$A772,Winter!$A:$A,FALSE),MATCH(All!Q$1,Winter!$1:$1,FALSE))="","",INDEX(Winter!$1:$1048576,MATCH(All!$A772,Winter!$A:$A,FALSE),MATCH(All!Q$1,Winter!$1:$1,FALSE))),"")</f>
        <v>1A</v>
      </c>
      <c r="R772" t="str">
        <f>IFERROR(IF(INDEX(Winter!$1:$1048576,MATCH(All!$A772,Winter!$A:$A,FALSE),MATCH(All!R$1,Winter!$1:$1,FALSE))="","",INDEX(Winter!$1:$1048576,MATCH(All!$A772,Winter!$A:$A,FALSE),MATCH(All!R$1,Winter!$1:$1,FALSE))),"")</f>
        <v/>
      </c>
      <c r="S772" t="str">
        <f>IFERROR(IF(INDEX(Winter!$1:$1048576,MATCH(All!$A772,Winter!$A:$A,FALSE),MATCH(All!S$1,Winter!$1:$1,FALSE))="","",INDEX(Winter!$1:$1048576,MATCH(All!$A772,Winter!$A:$A,FALSE),MATCH(All!S$1,Winter!$1:$1,FALSE))),"")</f>
        <v/>
      </c>
      <c r="T772" t="str">
        <f>IFERROR(IF(INDEX(Winter!$1:$1048576,MATCH(All!$A772,Winter!$A:$A,FALSE),MATCH(All!T$1,Winter!$1:$1,FALSE))="","",INDEX(Winter!$1:$1048576,MATCH(All!$A772,Winter!$A:$A,FALSE),MATCH(All!T$1,Winter!$1:$1,FALSE))),"")</f>
        <v>1A</v>
      </c>
      <c r="U772" t="str">
        <f>IFERROR(IF(INDEX(Winter!$1:$1048576,MATCH(All!$A772,Winter!$A:$A,FALSE),MATCH(All!U$1,Winter!$1:$1,FALSE))="","",INDEX(Winter!$1:$1048576,MATCH(All!$A772,Winter!$A:$A,FALSE),MATCH(All!U$1,Winter!$1:$1,FALSE))),"")</f>
        <v/>
      </c>
      <c r="W772">
        <f>IFERROR(IF(INDEX(Spring!$1:$1048576,MATCH(All!$A772,Spring!$A:$A,FALSE),MATCH(All!W$1,Spring!$1:$1,FALSE))="","",INDEX(Spring!$1:$1048576,MATCH(All!$A772,Spring!$A:$A,FALSE),MATCH(All!W$1,Spring!$1:$1,FALSE))),"")</f>
        <v>96</v>
      </c>
      <c r="X772" t="str">
        <f>IFERROR(IF(INDEX(Spring!$1:$1048576,MATCH(All!$A772,Spring!$A:$A,FALSE),MATCH(All!X$1,Spring!$1:$1,FALSE))="","",INDEX(Spring!$1:$1048576,MATCH(All!$A772,Spring!$A:$A,FALSE),MATCH(All!X$1,Spring!$1:$1,FALSE))),"")</f>
        <v>1A</v>
      </c>
      <c r="Y772" t="str">
        <f>IFERROR(IF(INDEX(Spring!$1:$1048576,MATCH(All!$A772,Spring!$A:$A,FALSE),MATCH(All!Y$1,Spring!$1:$1,FALSE))="","",INDEX(Spring!$1:$1048576,MATCH(All!$A772,Spring!$A:$A,FALSE),MATCH(All!Y$1,Spring!$1:$1,FALSE))),"")</f>
        <v>1A</v>
      </c>
      <c r="Z772" t="str">
        <f>IFERROR(IF(INDEX(Spring!$1:$1048576,MATCH(All!$A772,Spring!$A:$A,FALSE),MATCH(All!Z$1,Spring!$1:$1,FALSE))="","",INDEX(Spring!$1:$1048576,MATCH(All!$A772,Spring!$A:$A,FALSE),MATCH(All!Z$1,Spring!$1:$1,FALSE))),"")</f>
        <v/>
      </c>
      <c r="AA772" t="str">
        <f>IFERROR(IF(INDEX(Spring!$1:$1048576,MATCH(All!$A772,Spring!$A:$A,FALSE),MATCH(All!AA$1,Spring!$1:$1,FALSE))="","",INDEX(Spring!$1:$1048576,MATCH(All!$A772,Spring!$A:$A,FALSE),MATCH(All!AA$1,Spring!$1:$1,FALSE))),"")</f>
        <v/>
      </c>
      <c r="AB772" t="str">
        <f>IFERROR(IF(INDEX(Spring!$1:$1048576,MATCH(All!$A772,Spring!$A:$A,FALSE),MATCH(All!AB$1,Spring!$1:$1,FALSE))="","",INDEX(Spring!$1:$1048576,MATCH(All!$A772,Spring!$A:$A,FALSE),MATCH(All!AB$1,Spring!$1:$1,FALSE))),"")</f>
        <v/>
      </c>
      <c r="AC772" t="str">
        <f>IFERROR(IF(INDEX(Spring!$1:$1048576,MATCH(All!$A772,Spring!$A:$A,FALSE),MATCH(All!AC$1,Spring!$1:$1,FALSE))="","",INDEX(Spring!$1:$1048576,MATCH(All!$A772,Spring!$A:$A,FALSE),MATCH(All!AC$1,Spring!$1:$1,FALSE))),"")</f>
        <v/>
      </c>
      <c r="AD772" t="str">
        <f>IFERROR(VLOOKUP(A772,'Flag Football'!A:A,1,FALSE),"")</f>
        <v/>
      </c>
      <c r="AE772" t="str">
        <f t="shared" si="12"/>
        <v/>
      </c>
    </row>
    <row r="773" spans="1:31" ht="15.75" thickBot="1" x14ac:dyDescent="0.3">
      <c r="A773" s="20" t="s">
        <v>887</v>
      </c>
      <c r="B773" s="38">
        <f>IFERROR(VLOOKUP(A773,'Public v Private'!A:G,3,FALSE),"")</f>
        <v>0</v>
      </c>
      <c r="C773" s="38">
        <f>IFERROR(VLOOKUP(A773,'Public v Private'!A:G,4,FALSE),"")</f>
        <v>0</v>
      </c>
      <c r="D773" s="38">
        <f>IFERROR(VLOOKUP(A773,'Public v Private'!A:G,5,FALSE),"")</f>
        <v>0</v>
      </c>
      <c r="E773" s="38"/>
      <c r="F773" s="40">
        <f>IFERROR(INDEX(Fall!$1:$1048576,MATCH(All!$A773,Fall!$A:$A,FALSE),MATCH(All!F$1,Fall!$1:$1,FALSE)),"N/A")</f>
        <v>173</v>
      </c>
      <c r="G773" t="str">
        <f>IFERROR(IF(INDEX(Fall!$1:$1048576,MATCH(All!$A773,Fall!$A:$A,FALSE),MATCH(All!G$1,Fall!$1:$1,FALSE))="","",INDEX(Fall!$1:$1048576,MATCH(All!$A773,Fall!$A:$A,FALSE),MATCH(All!G$1,Fall!$1:$1,FALSE))),"")</f>
        <v/>
      </c>
      <c r="H773" t="str">
        <f>IFERROR(IF(INDEX(Fall!$1:$1048576,MATCH(All!$A773,Fall!$A:$A,FALSE),MATCH(All!H$1,Fall!$1:$1,FALSE))="","",INDEX(Fall!$1:$1048576,MATCH(All!$A773,Fall!$A:$A,FALSE),MATCH(All!H$1,Fall!$1:$1,FALSE))),"")</f>
        <v/>
      </c>
      <c r="I773" t="str">
        <f>IFERROR(IF(INDEX(Fall!$1:$1048576,MATCH(All!$A773,Fall!$A:$A,FALSE),MATCH(All!I$1,Fall!$1:$1,FALSE))="","",INDEX(Fall!$1:$1048576,MATCH(All!$A773,Fall!$A:$A,FALSE),MATCH(All!I$1,Fall!$1:$1,FALSE))),"")</f>
        <v>1A</v>
      </c>
      <c r="J773" t="str">
        <f>IFERROR(IF(INDEX(Fall!$1:$1048576,MATCH(All!$A773,Fall!$A:$A,FALSE),MATCH(All!J$1,Fall!$1:$1,FALSE))="","",INDEX(Fall!$1:$1048576,MATCH(All!$A773,Fall!$A:$A,FALSE),MATCH(All!J$1,Fall!$1:$1,FALSE))),"")</f>
        <v/>
      </c>
      <c r="K773" t="str">
        <f>IFERROR(IF(INDEX(Fall!$1:$1048576,MATCH(All!$A773,Fall!$A:$A,FALSE),MATCH(All!K$1,Fall!$1:$1,FALSE))="","",INDEX(Fall!$1:$1048576,MATCH(All!$A773,Fall!$A:$A,FALSE),MATCH(All!K$1,Fall!$1:$1,FALSE))),"")</f>
        <v/>
      </c>
      <c r="L773" t="str">
        <f>IFERROR(IF(INDEX(Fall!$1:$1048576,MATCH(All!$A773,Fall!$A:$A,FALSE),MATCH(All!L$1,Fall!$1:$1,FALSE))="","",INDEX(Fall!$1:$1048576,MATCH(All!$A773,Fall!$A:$A,FALSE),MATCH(All!L$1,Fall!$1:$1,FALSE))),"")</f>
        <v/>
      </c>
      <c r="M773" t="str">
        <f>IFERROR(IF(INDEX(Fall!$1:$1048576,MATCH(All!$A773,Fall!$A:$A,FALSE),MATCH(All!M$1,Fall!$1:$1,FALSE))="","",INDEX(Fall!$1:$1048576,MATCH(All!$A773,Fall!$A:$A,FALSE),MATCH(All!M$1,Fall!$1:$1,FALSE))),"")</f>
        <v>1A</v>
      </c>
      <c r="O773">
        <f>IFERROR(IF(INDEX(Winter!$1:$1048576,MATCH(All!$A773,Winter!$A:$A,FALSE),MATCH(All!O$1,Winter!$1:$1,FALSE))="","",INDEX(Winter!$1:$1048576,MATCH(All!$A773,Winter!$A:$A,FALSE),MATCH(All!O$1,Winter!$1:$1,FALSE))),"")</f>
        <v>173</v>
      </c>
      <c r="P773" t="str">
        <f>IFERROR(IF(INDEX(Winter!$1:$1048576,MATCH(All!$A773,Winter!$A:$A,FALSE),MATCH(All!P$1,Winter!$1:$1,FALSE))="","",INDEX(Winter!$1:$1048576,MATCH(All!$A773,Winter!$A:$A,FALSE),MATCH(All!P$1,Winter!$1:$1,FALSE))),"")</f>
        <v>1A</v>
      </c>
      <c r="Q773" t="str">
        <f>IFERROR(IF(INDEX(Winter!$1:$1048576,MATCH(All!$A773,Winter!$A:$A,FALSE),MATCH(All!Q$1,Winter!$1:$1,FALSE))="","",INDEX(Winter!$1:$1048576,MATCH(All!$A773,Winter!$A:$A,FALSE),MATCH(All!Q$1,Winter!$1:$1,FALSE))),"")</f>
        <v>1A</v>
      </c>
      <c r="R773" t="str">
        <f>IFERROR(IF(INDEX(Winter!$1:$1048576,MATCH(All!$A773,Winter!$A:$A,FALSE),MATCH(All!R$1,Winter!$1:$1,FALSE))="","",INDEX(Winter!$1:$1048576,MATCH(All!$A773,Winter!$A:$A,FALSE),MATCH(All!R$1,Winter!$1:$1,FALSE))),"")</f>
        <v/>
      </c>
      <c r="S773" t="str">
        <f>IFERROR(IF(INDEX(Winter!$1:$1048576,MATCH(All!$A773,Winter!$A:$A,FALSE),MATCH(All!S$1,Winter!$1:$1,FALSE))="","",INDEX(Winter!$1:$1048576,MATCH(All!$A773,Winter!$A:$A,FALSE),MATCH(All!S$1,Winter!$1:$1,FALSE))),"")</f>
        <v/>
      </c>
      <c r="T773" t="str">
        <f>IFERROR(IF(INDEX(Winter!$1:$1048576,MATCH(All!$A773,Winter!$A:$A,FALSE),MATCH(All!T$1,Winter!$1:$1,FALSE))="","",INDEX(Winter!$1:$1048576,MATCH(All!$A773,Winter!$A:$A,FALSE),MATCH(All!T$1,Winter!$1:$1,FALSE))),"")</f>
        <v>1A</v>
      </c>
      <c r="U773" t="str">
        <f>IFERROR(IF(INDEX(Winter!$1:$1048576,MATCH(All!$A773,Winter!$A:$A,FALSE),MATCH(All!U$1,Winter!$1:$1,FALSE))="","",INDEX(Winter!$1:$1048576,MATCH(All!$A773,Winter!$A:$A,FALSE),MATCH(All!U$1,Winter!$1:$1,FALSE))),"")</f>
        <v/>
      </c>
      <c r="W773">
        <f>IFERROR(IF(INDEX(Spring!$1:$1048576,MATCH(All!$A773,Spring!$A:$A,FALSE),MATCH(All!W$1,Spring!$1:$1,FALSE))="","",INDEX(Spring!$1:$1048576,MATCH(All!$A773,Spring!$A:$A,FALSE),MATCH(All!W$1,Spring!$1:$1,FALSE))),"")</f>
        <v>173</v>
      </c>
      <c r="X773" t="str">
        <f>IFERROR(IF(INDEX(Spring!$1:$1048576,MATCH(All!$A773,Spring!$A:$A,FALSE),MATCH(All!X$1,Spring!$1:$1,FALSE))="","",INDEX(Spring!$1:$1048576,MATCH(All!$A773,Spring!$A:$A,FALSE),MATCH(All!X$1,Spring!$1:$1,FALSE))),"")</f>
        <v>1A</v>
      </c>
      <c r="Y773" t="str">
        <f>IFERROR(IF(INDEX(Spring!$1:$1048576,MATCH(All!$A773,Spring!$A:$A,FALSE),MATCH(All!Y$1,Spring!$1:$1,FALSE))="","",INDEX(Spring!$1:$1048576,MATCH(All!$A773,Spring!$A:$A,FALSE),MATCH(All!Y$1,Spring!$1:$1,FALSE))),"")</f>
        <v>1A</v>
      </c>
      <c r="Z773" t="str">
        <f>IFERROR(IF(INDEX(Spring!$1:$1048576,MATCH(All!$A773,Spring!$A:$A,FALSE),MATCH(All!Z$1,Spring!$1:$1,FALSE))="","",INDEX(Spring!$1:$1048576,MATCH(All!$A773,Spring!$A:$A,FALSE),MATCH(All!Z$1,Spring!$1:$1,FALSE))),"")</f>
        <v/>
      </c>
      <c r="AA773" t="str">
        <f>IFERROR(IF(INDEX(Spring!$1:$1048576,MATCH(All!$A773,Spring!$A:$A,FALSE),MATCH(All!AA$1,Spring!$1:$1,FALSE))="","",INDEX(Spring!$1:$1048576,MATCH(All!$A773,Spring!$A:$A,FALSE),MATCH(All!AA$1,Spring!$1:$1,FALSE))),"")</f>
        <v/>
      </c>
      <c r="AB773" t="str">
        <f>IFERROR(IF(INDEX(Spring!$1:$1048576,MATCH(All!$A773,Spring!$A:$A,FALSE),MATCH(All!AB$1,Spring!$1:$1,FALSE))="","",INDEX(Spring!$1:$1048576,MATCH(All!$A773,Spring!$A:$A,FALSE),MATCH(All!AB$1,Spring!$1:$1,FALSE))),"")</f>
        <v>1A</v>
      </c>
      <c r="AC773" t="str">
        <f>IFERROR(IF(INDEX(Spring!$1:$1048576,MATCH(All!$A773,Spring!$A:$A,FALSE),MATCH(All!AC$1,Spring!$1:$1,FALSE))="","",INDEX(Spring!$1:$1048576,MATCH(All!$A773,Spring!$A:$A,FALSE),MATCH(All!AC$1,Spring!$1:$1,FALSE))),"")</f>
        <v>1A</v>
      </c>
      <c r="AD773" t="str">
        <f>IFERROR(VLOOKUP(A773,'Flag Football'!A:A,1,FALSE),"")</f>
        <v/>
      </c>
      <c r="AE773" t="str">
        <f t="shared" si="12"/>
        <v/>
      </c>
    </row>
    <row r="774" spans="1:31" ht="15.75" thickBot="1" x14ac:dyDescent="0.3">
      <c r="A774" s="18" t="s">
        <v>888</v>
      </c>
      <c r="B774" s="38">
        <f>IFERROR(VLOOKUP(A774,'Public v Private'!A:G,3,FALSE),"")</f>
        <v>0</v>
      </c>
      <c r="C774" s="38">
        <f>IFERROR(VLOOKUP(A774,'Public v Private'!A:G,4,FALSE),"")</f>
        <v>0</v>
      </c>
      <c r="D774" s="38">
        <f>IFERROR(VLOOKUP(A774,'Public v Private'!A:G,5,FALSE),"")</f>
        <v>0</v>
      </c>
      <c r="E774" s="38"/>
      <c r="F774" s="40">
        <f>IFERROR(INDEX(Fall!$1:$1048576,MATCH(All!$A774,Fall!$A:$A,FALSE),MATCH(All!F$1,Fall!$1:$1,FALSE)),"N/A")</f>
        <v>986</v>
      </c>
      <c r="G774" t="str">
        <f>IFERROR(IF(INDEX(Fall!$1:$1048576,MATCH(All!$A774,Fall!$A:$A,FALSE),MATCH(All!G$1,Fall!$1:$1,FALSE))="","",INDEX(Fall!$1:$1048576,MATCH(All!$A774,Fall!$A:$A,FALSE),MATCH(All!G$1,Fall!$1:$1,FALSE))),"")</f>
        <v>2A</v>
      </c>
      <c r="H774" t="str">
        <f>IFERROR(IF(INDEX(Fall!$1:$1048576,MATCH(All!$A774,Fall!$A:$A,FALSE),MATCH(All!H$1,Fall!$1:$1,FALSE))="","",INDEX(Fall!$1:$1048576,MATCH(All!$A774,Fall!$A:$A,FALSE),MATCH(All!H$1,Fall!$1:$1,FALSE))),"")</f>
        <v>2A</v>
      </c>
      <c r="I774" t="str">
        <f>IFERROR(IF(INDEX(Fall!$1:$1048576,MATCH(All!$A774,Fall!$A:$A,FALSE),MATCH(All!I$1,Fall!$1:$1,FALSE))="","",INDEX(Fall!$1:$1048576,MATCH(All!$A774,Fall!$A:$A,FALSE),MATCH(All!I$1,Fall!$1:$1,FALSE))),"")</f>
        <v>2A</v>
      </c>
      <c r="J774" t="str">
        <f>IFERROR(IF(INDEX(Fall!$1:$1048576,MATCH(All!$A774,Fall!$A:$A,FALSE),MATCH(All!J$1,Fall!$1:$1,FALSE))="","",INDEX(Fall!$1:$1048576,MATCH(All!$A774,Fall!$A:$A,FALSE),MATCH(All!J$1,Fall!$1:$1,FALSE))),"")</f>
        <v>2A</v>
      </c>
      <c r="K774" t="str">
        <f>IFERROR(IF(INDEX(Fall!$1:$1048576,MATCH(All!$A774,Fall!$A:$A,FALSE),MATCH(All!K$1,Fall!$1:$1,FALSE))="","",INDEX(Fall!$1:$1048576,MATCH(All!$A774,Fall!$A:$A,FALSE),MATCH(All!K$1,Fall!$1:$1,FALSE))),"")</f>
        <v>2A</v>
      </c>
      <c r="L774" t="str">
        <f>IFERROR(IF(INDEX(Fall!$1:$1048576,MATCH(All!$A774,Fall!$A:$A,FALSE),MATCH(All!L$1,Fall!$1:$1,FALSE))="","",INDEX(Fall!$1:$1048576,MATCH(All!$A774,Fall!$A:$A,FALSE),MATCH(All!L$1,Fall!$1:$1,FALSE))),"")</f>
        <v>1A</v>
      </c>
      <c r="M774" t="str">
        <f>IFERROR(IF(INDEX(Fall!$1:$1048576,MATCH(All!$A774,Fall!$A:$A,FALSE),MATCH(All!M$1,Fall!$1:$1,FALSE))="","",INDEX(Fall!$1:$1048576,MATCH(All!$A774,Fall!$A:$A,FALSE),MATCH(All!M$1,Fall!$1:$1,FALSE))),"")</f>
        <v>3A</v>
      </c>
      <c r="O774">
        <f>IFERROR(IF(INDEX(Winter!$1:$1048576,MATCH(All!$A774,Winter!$A:$A,FALSE),MATCH(All!O$1,Winter!$1:$1,FALSE))="","",INDEX(Winter!$1:$1048576,MATCH(All!$A774,Winter!$A:$A,FALSE),MATCH(All!O$1,Winter!$1:$1,FALSE))),"")</f>
        <v>986</v>
      </c>
      <c r="P774" t="str">
        <f>IFERROR(IF(INDEX(Winter!$1:$1048576,MATCH(All!$A774,Winter!$A:$A,FALSE),MATCH(All!P$1,Winter!$1:$1,FALSE))="","",INDEX(Winter!$1:$1048576,MATCH(All!$A774,Winter!$A:$A,FALSE),MATCH(All!P$1,Winter!$1:$1,FALSE))),"")</f>
        <v>3A</v>
      </c>
      <c r="Q774" t="str">
        <f>IFERROR(IF(INDEX(Winter!$1:$1048576,MATCH(All!$A774,Winter!$A:$A,FALSE),MATCH(All!Q$1,Winter!$1:$1,FALSE))="","",INDEX(Winter!$1:$1048576,MATCH(All!$A774,Winter!$A:$A,FALSE),MATCH(All!Q$1,Winter!$1:$1,FALSE))),"")</f>
        <v>3A</v>
      </c>
      <c r="R774" t="str">
        <f>IFERROR(IF(INDEX(Winter!$1:$1048576,MATCH(All!$A774,Winter!$A:$A,FALSE),MATCH(All!R$1,Winter!$1:$1,FALSE))="","",INDEX(Winter!$1:$1048576,MATCH(All!$A774,Winter!$A:$A,FALSE),MATCH(All!R$1,Winter!$1:$1,FALSE))),"")</f>
        <v>2A</v>
      </c>
      <c r="S774" t="str">
        <f>IFERROR(IF(INDEX(Winter!$1:$1048576,MATCH(All!$A774,Winter!$A:$A,FALSE),MATCH(All!S$1,Winter!$1:$1,FALSE))="","",INDEX(Winter!$1:$1048576,MATCH(All!$A774,Winter!$A:$A,FALSE),MATCH(All!S$1,Winter!$1:$1,FALSE))),"")</f>
        <v>1A</v>
      </c>
      <c r="T774" t="str">
        <f>IFERROR(IF(INDEX(Winter!$1:$1048576,MATCH(All!$A774,Winter!$A:$A,FALSE),MATCH(All!T$1,Winter!$1:$1,FALSE))="","",INDEX(Winter!$1:$1048576,MATCH(All!$A774,Winter!$A:$A,FALSE),MATCH(All!T$1,Winter!$1:$1,FALSE))),"")</f>
        <v/>
      </c>
      <c r="U774" t="str">
        <f>IFERROR(IF(INDEX(Winter!$1:$1048576,MATCH(All!$A774,Winter!$A:$A,FALSE),MATCH(All!U$1,Winter!$1:$1,FALSE))="","",INDEX(Winter!$1:$1048576,MATCH(All!$A774,Winter!$A:$A,FALSE),MATCH(All!U$1,Winter!$1:$1,FALSE))),"")</f>
        <v>2A</v>
      </c>
      <c r="W774">
        <f>IFERROR(IF(INDEX(Spring!$1:$1048576,MATCH(All!$A774,Spring!$A:$A,FALSE),MATCH(All!W$1,Spring!$1:$1,FALSE))="","",INDEX(Spring!$1:$1048576,MATCH(All!$A774,Spring!$A:$A,FALSE),MATCH(All!W$1,Spring!$1:$1,FALSE))),"")</f>
        <v>986</v>
      </c>
      <c r="X774" t="str">
        <f>IFERROR(IF(INDEX(Spring!$1:$1048576,MATCH(All!$A774,Spring!$A:$A,FALSE),MATCH(All!X$1,Spring!$1:$1,FALSE))="","",INDEX(Spring!$1:$1048576,MATCH(All!$A774,Spring!$A:$A,FALSE),MATCH(All!X$1,Spring!$1:$1,FALSE))),"")</f>
        <v>3A</v>
      </c>
      <c r="Y774" t="str">
        <f>IFERROR(IF(INDEX(Spring!$1:$1048576,MATCH(All!$A774,Spring!$A:$A,FALSE),MATCH(All!Y$1,Spring!$1:$1,FALSE))="","",INDEX(Spring!$1:$1048576,MATCH(All!$A774,Spring!$A:$A,FALSE),MATCH(All!Y$1,Spring!$1:$1,FALSE))),"")</f>
        <v>3A</v>
      </c>
      <c r="Z774" t="str">
        <f>IFERROR(IF(INDEX(Spring!$1:$1048576,MATCH(All!$A774,Spring!$A:$A,FALSE),MATCH(All!Z$1,Spring!$1:$1,FALSE))="","",INDEX(Spring!$1:$1048576,MATCH(All!$A774,Spring!$A:$A,FALSE),MATCH(All!Z$1,Spring!$1:$1,FALSE))),"")</f>
        <v>2A</v>
      </c>
      <c r="AA774" t="str">
        <f>IFERROR(IF(INDEX(Spring!$1:$1048576,MATCH(All!$A774,Spring!$A:$A,FALSE),MATCH(All!AA$1,Spring!$1:$1,FALSE))="","",INDEX(Spring!$1:$1048576,MATCH(All!$A774,Spring!$A:$A,FALSE),MATCH(All!AA$1,Spring!$1:$1,FALSE))),"")</f>
        <v>1A</v>
      </c>
      <c r="AB774" t="str">
        <f>IFERROR(IF(INDEX(Spring!$1:$1048576,MATCH(All!$A774,Spring!$A:$A,FALSE),MATCH(All!AB$1,Spring!$1:$1,FALSE))="","",INDEX(Spring!$1:$1048576,MATCH(All!$A774,Spring!$A:$A,FALSE),MATCH(All!AB$1,Spring!$1:$1,FALSE))),"")</f>
        <v>2A</v>
      </c>
      <c r="AC774" t="str">
        <f>IFERROR(IF(INDEX(Spring!$1:$1048576,MATCH(All!$A774,Spring!$A:$A,FALSE),MATCH(All!AC$1,Spring!$1:$1,FALSE))="","",INDEX(Spring!$1:$1048576,MATCH(All!$A774,Spring!$A:$A,FALSE),MATCH(All!AC$1,Spring!$1:$1,FALSE))),"")</f>
        <v>2A</v>
      </c>
      <c r="AD774" t="str">
        <f>IFERROR(VLOOKUP(A774,'Flag Football'!A:A,1,FALSE),"")</f>
        <v/>
      </c>
      <c r="AE774" t="str">
        <f t="shared" si="12"/>
        <v/>
      </c>
    </row>
    <row r="775" spans="1:31" ht="15.75" thickBot="1" x14ac:dyDescent="0.3">
      <c r="A775" s="20" t="s">
        <v>889</v>
      </c>
      <c r="B775" s="38" t="str">
        <f>IFERROR(VLOOKUP(A775,'Public v Private'!A:G,3,FALSE),"")</f>
        <v>private</v>
      </c>
      <c r="C775" s="38">
        <f>IFERROR(VLOOKUP(A775,'Public v Private'!A:G,4,FALSE),"")</f>
        <v>2</v>
      </c>
      <c r="D775" s="38">
        <f>IFERROR(VLOOKUP(A775,'Public v Private'!A:G,5,FALSE),"")</f>
        <v>6</v>
      </c>
      <c r="E775" s="38"/>
      <c r="F775" s="40" t="str">
        <f>IFERROR(INDEX(Fall!$1:$1048576,MATCH(All!$A775,Fall!$A:$A,FALSE),MATCH(All!F$1,Fall!$1:$1,FALSE)),"N/A")</f>
        <v>300.00 (495.00)</v>
      </c>
      <c r="G775" t="str">
        <f>IFERROR(IF(INDEX(Fall!$1:$1048576,MATCH(All!$A775,Fall!$A:$A,FALSE),MATCH(All!G$1,Fall!$1:$1,FALSE))="","",INDEX(Fall!$1:$1048576,MATCH(All!$A775,Fall!$A:$A,FALSE),MATCH(All!G$1,Fall!$1:$1,FALSE))),"")</f>
        <v>1A</v>
      </c>
      <c r="H775" t="str">
        <f>IFERROR(IF(INDEX(Fall!$1:$1048576,MATCH(All!$A775,Fall!$A:$A,FALSE),MATCH(All!H$1,Fall!$1:$1,FALSE))="","",INDEX(Fall!$1:$1048576,MATCH(All!$A775,Fall!$A:$A,FALSE),MATCH(All!H$1,Fall!$1:$1,FALSE))),"")</f>
        <v>1A</v>
      </c>
      <c r="I775" t="str">
        <f>IFERROR(IF(INDEX(Fall!$1:$1048576,MATCH(All!$A775,Fall!$A:$A,FALSE),MATCH(All!I$1,Fall!$1:$1,FALSE))="","",INDEX(Fall!$1:$1048576,MATCH(All!$A775,Fall!$A:$A,FALSE),MATCH(All!I$1,Fall!$1:$1,FALSE))),"")</f>
        <v>1A</v>
      </c>
      <c r="J775" t="str">
        <f>IFERROR(IF(INDEX(Fall!$1:$1048576,MATCH(All!$A775,Fall!$A:$A,FALSE),MATCH(All!J$1,Fall!$1:$1,FALSE))="","",INDEX(Fall!$1:$1048576,MATCH(All!$A775,Fall!$A:$A,FALSE),MATCH(All!J$1,Fall!$1:$1,FALSE))),"")</f>
        <v>1A</v>
      </c>
      <c r="K775" t="str">
        <f>IFERROR(IF(INDEX(Fall!$1:$1048576,MATCH(All!$A775,Fall!$A:$A,FALSE),MATCH(All!K$1,Fall!$1:$1,FALSE))="","",INDEX(Fall!$1:$1048576,MATCH(All!$A775,Fall!$A:$A,FALSE),MATCH(All!K$1,Fall!$1:$1,FALSE))),"")</f>
        <v>1A</v>
      </c>
      <c r="L775" t="str">
        <f>IFERROR(IF(INDEX(Fall!$1:$1048576,MATCH(All!$A775,Fall!$A:$A,FALSE),MATCH(All!L$1,Fall!$1:$1,FALSE))="","",INDEX(Fall!$1:$1048576,MATCH(All!$A775,Fall!$A:$A,FALSE),MATCH(All!L$1,Fall!$1:$1,FALSE))),"")</f>
        <v>1A</v>
      </c>
      <c r="M775" t="str">
        <f>IFERROR(IF(INDEX(Fall!$1:$1048576,MATCH(All!$A775,Fall!$A:$A,FALSE),MATCH(All!M$1,Fall!$1:$1,FALSE))="","",INDEX(Fall!$1:$1048576,MATCH(All!$A775,Fall!$A:$A,FALSE),MATCH(All!M$1,Fall!$1:$1,FALSE))),"")</f>
        <v>1A</v>
      </c>
      <c r="O775" t="str">
        <f>IFERROR(IF(INDEX(Winter!$1:$1048576,MATCH(All!$A775,Winter!$A:$A,FALSE),MATCH(All!O$1,Winter!$1:$1,FALSE))="","",INDEX(Winter!$1:$1048576,MATCH(All!$A775,Winter!$A:$A,FALSE),MATCH(All!O$1,Winter!$1:$1,FALSE))),"")</f>
        <v>300.00 (495.00)</v>
      </c>
      <c r="P775" t="str">
        <f>IFERROR(IF(INDEX(Winter!$1:$1048576,MATCH(All!$A775,Winter!$A:$A,FALSE),MATCH(All!P$1,Winter!$1:$1,FALSE))="","",INDEX(Winter!$1:$1048576,MATCH(All!$A775,Winter!$A:$A,FALSE),MATCH(All!P$1,Winter!$1:$1,FALSE))),"")</f>
        <v>1A</v>
      </c>
      <c r="Q775" t="str">
        <f>IFERROR(IF(INDEX(Winter!$1:$1048576,MATCH(All!$A775,Winter!$A:$A,FALSE),MATCH(All!Q$1,Winter!$1:$1,FALSE))="","",INDEX(Winter!$1:$1048576,MATCH(All!$A775,Winter!$A:$A,FALSE),MATCH(All!Q$1,Winter!$1:$1,FALSE))),"")</f>
        <v>1A</v>
      </c>
      <c r="R775" t="str">
        <f>IFERROR(IF(INDEX(Winter!$1:$1048576,MATCH(All!$A775,Winter!$A:$A,FALSE),MATCH(All!R$1,Winter!$1:$1,FALSE))="","",INDEX(Winter!$1:$1048576,MATCH(All!$A775,Winter!$A:$A,FALSE),MATCH(All!R$1,Winter!$1:$1,FALSE))),"")</f>
        <v/>
      </c>
      <c r="S775" t="str">
        <f>IFERROR(IF(INDEX(Winter!$1:$1048576,MATCH(All!$A775,Winter!$A:$A,FALSE),MATCH(All!S$1,Winter!$1:$1,FALSE))="","",INDEX(Winter!$1:$1048576,MATCH(All!$A775,Winter!$A:$A,FALSE),MATCH(All!S$1,Winter!$1:$1,FALSE))),"")</f>
        <v>1A</v>
      </c>
      <c r="T775" t="str">
        <f>IFERROR(IF(INDEX(Winter!$1:$1048576,MATCH(All!$A775,Winter!$A:$A,FALSE),MATCH(All!T$1,Winter!$1:$1,FALSE))="","",INDEX(Winter!$1:$1048576,MATCH(All!$A775,Winter!$A:$A,FALSE),MATCH(All!T$1,Winter!$1:$1,FALSE))),"")</f>
        <v/>
      </c>
      <c r="U775" t="str">
        <f>IFERROR(IF(INDEX(Winter!$1:$1048576,MATCH(All!$A775,Winter!$A:$A,FALSE),MATCH(All!U$1,Winter!$1:$1,FALSE))="","",INDEX(Winter!$1:$1048576,MATCH(All!$A775,Winter!$A:$A,FALSE),MATCH(All!U$1,Winter!$1:$1,FALSE))),"")</f>
        <v>2A</v>
      </c>
      <c r="W775" t="str">
        <f>IFERROR(IF(INDEX(Spring!$1:$1048576,MATCH(All!$A775,Spring!$A:$A,FALSE),MATCH(All!W$1,Spring!$1:$1,FALSE))="","",INDEX(Spring!$1:$1048576,MATCH(All!$A775,Spring!$A:$A,FALSE),MATCH(All!W$1,Spring!$1:$1,FALSE))),"")</f>
        <v>300.00 (495.00)</v>
      </c>
      <c r="X775" t="str">
        <f>IFERROR(IF(INDEX(Spring!$1:$1048576,MATCH(All!$A775,Spring!$A:$A,FALSE),MATCH(All!X$1,Spring!$1:$1,FALSE))="","",INDEX(Spring!$1:$1048576,MATCH(All!$A775,Spring!$A:$A,FALSE),MATCH(All!X$1,Spring!$1:$1,FALSE))),"")</f>
        <v>1A</v>
      </c>
      <c r="Y775" t="str">
        <f>IFERROR(IF(INDEX(Spring!$1:$1048576,MATCH(All!$A775,Spring!$A:$A,FALSE),MATCH(All!Y$1,Spring!$1:$1,FALSE))="","",INDEX(Spring!$1:$1048576,MATCH(All!$A775,Spring!$A:$A,FALSE),MATCH(All!Y$1,Spring!$1:$1,FALSE))),"")</f>
        <v>2A</v>
      </c>
      <c r="Z775" t="str">
        <f>IFERROR(IF(INDEX(Spring!$1:$1048576,MATCH(All!$A775,Spring!$A:$A,FALSE),MATCH(All!Z$1,Spring!$1:$1,FALSE))="","",INDEX(Spring!$1:$1048576,MATCH(All!$A775,Spring!$A:$A,FALSE),MATCH(All!Z$1,Spring!$1:$1,FALSE))),"")</f>
        <v>1A</v>
      </c>
      <c r="AA775" t="str">
        <f>IFERROR(IF(INDEX(Spring!$1:$1048576,MATCH(All!$A775,Spring!$A:$A,FALSE),MATCH(All!AA$1,Spring!$1:$1,FALSE))="","",INDEX(Spring!$1:$1048576,MATCH(All!$A775,Spring!$A:$A,FALSE),MATCH(All!AA$1,Spring!$1:$1,FALSE))),"")</f>
        <v>1A</v>
      </c>
      <c r="AB775" t="str">
        <f>IFERROR(IF(INDEX(Spring!$1:$1048576,MATCH(All!$A775,Spring!$A:$A,FALSE),MATCH(All!AB$1,Spring!$1:$1,FALSE))="","",INDEX(Spring!$1:$1048576,MATCH(All!$A775,Spring!$A:$A,FALSE),MATCH(All!AB$1,Spring!$1:$1,FALSE))),"")</f>
        <v>2A</v>
      </c>
      <c r="AC775" t="str">
        <f>IFERROR(IF(INDEX(Spring!$1:$1048576,MATCH(All!$A775,Spring!$A:$A,FALSE),MATCH(All!AC$1,Spring!$1:$1,FALSE))="","",INDEX(Spring!$1:$1048576,MATCH(All!$A775,Spring!$A:$A,FALSE),MATCH(All!AC$1,Spring!$1:$1,FALSE))),"")</f>
        <v>2A</v>
      </c>
      <c r="AD775" t="str">
        <f>IFERROR(VLOOKUP(A775,'Flag Football'!A:A,1,FALSE),"")</f>
        <v/>
      </c>
      <c r="AE775" t="str">
        <f t="shared" si="12"/>
        <v/>
      </c>
    </row>
    <row r="776" spans="1:31" ht="15.75" thickBot="1" x14ac:dyDescent="0.3">
      <c r="A776" s="18" t="s">
        <v>891</v>
      </c>
      <c r="B776" s="38">
        <f>IFERROR(VLOOKUP(A776,'Public v Private'!A:G,3,FALSE),"")</f>
        <v>0</v>
      </c>
      <c r="C776" s="38">
        <f>IFERROR(VLOOKUP(A776,'Public v Private'!A:G,4,FALSE),"")</f>
        <v>0</v>
      </c>
      <c r="D776" s="38">
        <f>IFERROR(VLOOKUP(A776,'Public v Private'!A:G,5,FALSE),"")</f>
        <v>0</v>
      </c>
      <c r="E776" s="38"/>
      <c r="F776" s="40">
        <f>IFERROR(INDEX(Fall!$1:$1048576,MATCH(All!$A776,Fall!$A:$A,FALSE),MATCH(All!F$1,Fall!$1:$1,FALSE)),"N/A")</f>
        <v>935</v>
      </c>
      <c r="G776" t="str">
        <f>IFERROR(IF(INDEX(Fall!$1:$1048576,MATCH(All!$A776,Fall!$A:$A,FALSE),MATCH(All!G$1,Fall!$1:$1,FALSE))="","",INDEX(Fall!$1:$1048576,MATCH(All!$A776,Fall!$A:$A,FALSE),MATCH(All!G$1,Fall!$1:$1,FALSE))),"")</f>
        <v>2A</v>
      </c>
      <c r="H776" t="str">
        <f>IFERROR(IF(INDEX(Fall!$1:$1048576,MATCH(All!$A776,Fall!$A:$A,FALSE),MATCH(All!H$1,Fall!$1:$1,FALSE))="","",INDEX(Fall!$1:$1048576,MATCH(All!$A776,Fall!$A:$A,FALSE),MATCH(All!H$1,Fall!$1:$1,FALSE))),"")</f>
        <v>2A</v>
      </c>
      <c r="I776" t="str">
        <f>IFERROR(IF(INDEX(Fall!$1:$1048576,MATCH(All!$A776,Fall!$A:$A,FALSE),MATCH(All!I$1,Fall!$1:$1,FALSE))="","",INDEX(Fall!$1:$1048576,MATCH(All!$A776,Fall!$A:$A,FALSE),MATCH(All!I$1,Fall!$1:$1,FALSE))),"")</f>
        <v>2A</v>
      </c>
      <c r="J776" t="str">
        <f>IFERROR(IF(INDEX(Fall!$1:$1048576,MATCH(All!$A776,Fall!$A:$A,FALSE),MATCH(All!J$1,Fall!$1:$1,FALSE))="","",INDEX(Fall!$1:$1048576,MATCH(All!$A776,Fall!$A:$A,FALSE),MATCH(All!J$1,Fall!$1:$1,FALSE))),"")</f>
        <v>2A</v>
      </c>
      <c r="K776" t="str">
        <f>IFERROR(IF(INDEX(Fall!$1:$1048576,MATCH(All!$A776,Fall!$A:$A,FALSE),MATCH(All!K$1,Fall!$1:$1,FALSE))="","",INDEX(Fall!$1:$1048576,MATCH(All!$A776,Fall!$A:$A,FALSE),MATCH(All!K$1,Fall!$1:$1,FALSE))),"")</f>
        <v>2A</v>
      </c>
      <c r="L776" t="str">
        <f>IFERROR(IF(INDEX(Fall!$1:$1048576,MATCH(All!$A776,Fall!$A:$A,FALSE),MATCH(All!L$1,Fall!$1:$1,FALSE))="","",INDEX(Fall!$1:$1048576,MATCH(All!$A776,Fall!$A:$A,FALSE),MATCH(All!L$1,Fall!$1:$1,FALSE))),"")</f>
        <v>1A</v>
      </c>
      <c r="M776" t="str">
        <f>IFERROR(IF(INDEX(Fall!$1:$1048576,MATCH(All!$A776,Fall!$A:$A,FALSE),MATCH(All!M$1,Fall!$1:$1,FALSE))="","",INDEX(Fall!$1:$1048576,MATCH(All!$A776,Fall!$A:$A,FALSE),MATCH(All!M$1,Fall!$1:$1,FALSE))),"")</f>
        <v>3A</v>
      </c>
      <c r="O776">
        <f>IFERROR(IF(INDEX(Winter!$1:$1048576,MATCH(All!$A776,Winter!$A:$A,FALSE),MATCH(All!O$1,Winter!$1:$1,FALSE))="","",INDEX(Winter!$1:$1048576,MATCH(All!$A776,Winter!$A:$A,FALSE),MATCH(All!O$1,Winter!$1:$1,FALSE))),"")</f>
        <v>935</v>
      </c>
      <c r="P776" t="str">
        <f>IFERROR(IF(INDEX(Winter!$1:$1048576,MATCH(All!$A776,Winter!$A:$A,FALSE),MATCH(All!P$1,Winter!$1:$1,FALSE))="","",INDEX(Winter!$1:$1048576,MATCH(All!$A776,Winter!$A:$A,FALSE),MATCH(All!P$1,Winter!$1:$1,FALSE))),"")</f>
        <v>3A</v>
      </c>
      <c r="Q776" t="str">
        <f>IFERROR(IF(INDEX(Winter!$1:$1048576,MATCH(All!$A776,Winter!$A:$A,FALSE),MATCH(All!Q$1,Winter!$1:$1,FALSE))="","",INDEX(Winter!$1:$1048576,MATCH(All!$A776,Winter!$A:$A,FALSE),MATCH(All!Q$1,Winter!$1:$1,FALSE))),"")</f>
        <v>3A</v>
      </c>
      <c r="R776" t="str">
        <f>IFERROR(IF(INDEX(Winter!$1:$1048576,MATCH(All!$A776,Winter!$A:$A,FALSE),MATCH(All!R$1,Winter!$1:$1,FALSE))="","",INDEX(Winter!$1:$1048576,MATCH(All!$A776,Winter!$A:$A,FALSE),MATCH(All!R$1,Winter!$1:$1,FALSE))),"")</f>
        <v>2A</v>
      </c>
      <c r="S776" t="str">
        <f>IFERROR(IF(INDEX(Winter!$1:$1048576,MATCH(All!$A776,Winter!$A:$A,FALSE),MATCH(All!S$1,Winter!$1:$1,FALSE))="","",INDEX(Winter!$1:$1048576,MATCH(All!$A776,Winter!$A:$A,FALSE),MATCH(All!S$1,Winter!$1:$1,FALSE))),"")</f>
        <v>1A</v>
      </c>
      <c r="T776" t="str">
        <f>IFERROR(IF(INDEX(Winter!$1:$1048576,MATCH(All!$A776,Winter!$A:$A,FALSE),MATCH(All!T$1,Winter!$1:$1,FALSE))="","",INDEX(Winter!$1:$1048576,MATCH(All!$A776,Winter!$A:$A,FALSE),MATCH(All!T$1,Winter!$1:$1,FALSE))),"")</f>
        <v/>
      </c>
      <c r="U776" t="str">
        <f>IFERROR(IF(INDEX(Winter!$1:$1048576,MATCH(All!$A776,Winter!$A:$A,FALSE),MATCH(All!U$1,Winter!$1:$1,FALSE))="","",INDEX(Winter!$1:$1048576,MATCH(All!$A776,Winter!$A:$A,FALSE),MATCH(All!U$1,Winter!$1:$1,FALSE))),"")</f>
        <v>2A</v>
      </c>
      <c r="W776">
        <f>IFERROR(IF(INDEX(Spring!$1:$1048576,MATCH(All!$A776,Spring!$A:$A,FALSE),MATCH(All!W$1,Spring!$1:$1,FALSE))="","",INDEX(Spring!$1:$1048576,MATCH(All!$A776,Spring!$A:$A,FALSE),MATCH(All!W$1,Spring!$1:$1,FALSE))),"")</f>
        <v>935</v>
      </c>
      <c r="X776" t="str">
        <f>IFERROR(IF(INDEX(Spring!$1:$1048576,MATCH(All!$A776,Spring!$A:$A,FALSE),MATCH(All!X$1,Spring!$1:$1,FALSE))="","",INDEX(Spring!$1:$1048576,MATCH(All!$A776,Spring!$A:$A,FALSE),MATCH(All!X$1,Spring!$1:$1,FALSE))),"")</f>
        <v>3A</v>
      </c>
      <c r="Y776" t="str">
        <f>IFERROR(IF(INDEX(Spring!$1:$1048576,MATCH(All!$A776,Spring!$A:$A,FALSE),MATCH(All!Y$1,Spring!$1:$1,FALSE))="","",INDEX(Spring!$1:$1048576,MATCH(All!$A776,Spring!$A:$A,FALSE),MATCH(All!Y$1,Spring!$1:$1,FALSE))),"")</f>
        <v>3A</v>
      </c>
      <c r="Z776" t="str">
        <f>IFERROR(IF(INDEX(Spring!$1:$1048576,MATCH(All!$A776,Spring!$A:$A,FALSE),MATCH(All!Z$1,Spring!$1:$1,FALSE))="","",INDEX(Spring!$1:$1048576,MATCH(All!$A776,Spring!$A:$A,FALSE),MATCH(All!Z$1,Spring!$1:$1,FALSE))),"")</f>
        <v>2A</v>
      </c>
      <c r="AA776" t="str">
        <f>IFERROR(IF(INDEX(Spring!$1:$1048576,MATCH(All!$A776,Spring!$A:$A,FALSE),MATCH(All!AA$1,Spring!$1:$1,FALSE))="","",INDEX(Spring!$1:$1048576,MATCH(All!$A776,Spring!$A:$A,FALSE),MATCH(All!AA$1,Spring!$1:$1,FALSE))),"")</f>
        <v>1A</v>
      </c>
      <c r="AB776" t="str">
        <f>IFERROR(IF(INDEX(Spring!$1:$1048576,MATCH(All!$A776,Spring!$A:$A,FALSE),MATCH(All!AB$1,Spring!$1:$1,FALSE))="","",INDEX(Spring!$1:$1048576,MATCH(All!$A776,Spring!$A:$A,FALSE),MATCH(All!AB$1,Spring!$1:$1,FALSE))),"")</f>
        <v>2A</v>
      </c>
      <c r="AC776" t="str">
        <f>IFERROR(IF(INDEX(Spring!$1:$1048576,MATCH(All!$A776,Spring!$A:$A,FALSE),MATCH(All!AC$1,Spring!$1:$1,FALSE))="","",INDEX(Spring!$1:$1048576,MATCH(All!$A776,Spring!$A:$A,FALSE),MATCH(All!AC$1,Spring!$1:$1,FALSE))),"")</f>
        <v>2A</v>
      </c>
      <c r="AD776" t="str">
        <f>IFERROR(VLOOKUP(A776,'Flag Football'!A:A,1,FALSE),"")</f>
        <v/>
      </c>
      <c r="AE776" t="str">
        <f t="shared" si="12"/>
        <v/>
      </c>
    </row>
    <row r="777" spans="1:31" ht="15.75" thickBot="1" x14ac:dyDescent="0.3">
      <c r="A777" s="20" t="s">
        <v>892</v>
      </c>
      <c r="B777" s="38">
        <f>IFERROR(VLOOKUP(A777,'Public v Private'!A:G,3,FALSE),"")</f>
        <v>0</v>
      </c>
      <c r="C777" s="38">
        <f>IFERROR(VLOOKUP(A777,'Public v Private'!A:G,4,FALSE),"")</f>
        <v>0</v>
      </c>
      <c r="D777" s="38">
        <f>IFERROR(VLOOKUP(A777,'Public v Private'!A:G,5,FALSE),"")</f>
        <v>0</v>
      </c>
      <c r="E777" s="38"/>
      <c r="F777" s="40">
        <f>IFERROR(INDEX(Fall!$1:$1048576,MATCH(All!$A777,Fall!$A:$A,FALSE),MATCH(All!F$1,Fall!$1:$1,FALSE)),"N/A")</f>
        <v>2188</v>
      </c>
      <c r="G777" t="str">
        <f>IFERROR(IF(INDEX(Fall!$1:$1048576,MATCH(All!$A777,Fall!$A:$A,FALSE),MATCH(All!G$1,Fall!$1:$1,FALSE))="","",INDEX(Fall!$1:$1048576,MATCH(All!$A777,Fall!$A:$A,FALSE),MATCH(All!G$1,Fall!$1:$1,FALSE))),"")</f>
        <v>3A</v>
      </c>
      <c r="H777" t="str">
        <f>IFERROR(IF(INDEX(Fall!$1:$1048576,MATCH(All!$A777,Fall!$A:$A,FALSE),MATCH(All!H$1,Fall!$1:$1,FALSE))="","",INDEX(Fall!$1:$1048576,MATCH(All!$A777,Fall!$A:$A,FALSE),MATCH(All!H$1,Fall!$1:$1,FALSE))),"")</f>
        <v>3A</v>
      </c>
      <c r="I777" t="str">
        <f>IFERROR(IF(INDEX(Fall!$1:$1048576,MATCH(All!$A777,Fall!$A:$A,FALSE),MATCH(All!I$1,Fall!$1:$1,FALSE))="","",INDEX(Fall!$1:$1048576,MATCH(All!$A777,Fall!$A:$A,FALSE),MATCH(All!I$1,Fall!$1:$1,FALSE))),"")</f>
        <v>3A</v>
      </c>
      <c r="J777" t="str">
        <f>IFERROR(IF(INDEX(Fall!$1:$1048576,MATCH(All!$A777,Fall!$A:$A,FALSE),MATCH(All!J$1,Fall!$1:$1,FALSE))="","",INDEX(Fall!$1:$1048576,MATCH(All!$A777,Fall!$A:$A,FALSE),MATCH(All!J$1,Fall!$1:$1,FALSE))),"")</f>
        <v>2A</v>
      </c>
      <c r="K777" t="str">
        <f>IFERROR(IF(INDEX(Fall!$1:$1048576,MATCH(All!$A777,Fall!$A:$A,FALSE),MATCH(All!K$1,Fall!$1:$1,FALSE))="","",INDEX(Fall!$1:$1048576,MATCH(All!$A777,Fall!$A:$A,FALSE),MATCH(All!K$1,Fall!$1:$1,FALSE))),"")</f>
        <v>3A</v>
      </c>
      <c r="L777" t="str">
        <f>IFERROR(IF(INDEX(Fall!$1:$1048576,MATCH(All!$A777,Fall!$A:$A,FALSE),MATCH(All!L$1,Fall!$1:$1,FALSE))="","",INDEX(Fall!$1:$1048576,MATCH(All!$A777,Fall!$A:$A,FALSE),MATCH(All!L$1,Fall!$1:$1,FALSE))),"")</f>
        <v>2A</v>
      </c>
      <c r="M777" t="str">
        <f>IFERROR(IF(INDEX(Fall!$1:$1048576,MATCH(All!$A777,Fall!$A:$A,FALSE),MATCH(All!M$1,Fall!$1:$1,FALSE))="","",INDEX(Fall!$1:$1048576,MATCH(All!$A777,Fall!$A:$A,FALSE),MATCH(All!M$1,Fall!$1:$1,FALSE))),"")</f>
        <v>4A</v>
      </c>
      <c r="O777">
        <f>IFERROR(IF(INDEX(Winter!$1:$1048576,MATCH(All!$A777,Winter!$A:$A,FALSE),MATCH(All!O$1,Winter!$1:$1,FALSE))="","",INDEX(Winter!$1:$1048576,MATCH(All!$A777,Winter!$A:$A,FALSE),MATCH(All!O$1,Winter!$1:$1,FALSE))),"")</f>
        <v>2188</v>
      </c>
      <c r="P777" t="str">
        <f>IFERROR(IF(INDEX(Winter!$1:$1048576,MATCH(All!$A777,Winter!$A:$A,FALSE),MATCH(All!P$1,Winter!$1:$1,FALSE))="","",INDEX(Winter!$1:$1048576,MATCH(All!$A777,Winter!$A:$A,FALSE),MATCH(All!P$1,Winter!$1:$1,FALSE))),"")</f>
        <v>4A</v>
      </c>
      <c r="Q777" t="str">
        <f>IFERROR(IF(INDEX(Winter!$1:$1048576,MATCH(All!$A777,Winter!$A:$A,FALSE),MATCH(All!Q$1,Winter!$1:$1,FALSE))="","",INDEX(Winter!$1:$1048576,MATCH(All!$A777,Winter!$A:$A,FALSE),MATCH(All!Q$1,Winter!$1:$1,FALSE))),"")</f>
        <v>4A</v>
      </c>
      <c r="R777" t="str">
        <f>IFERROR(IF(INDEX(Winter!$1:$1048576,MATCH(All!$A777,Winter!$A:$A,FALSE),MATCH(All!R$1,Winter!$1:$1,FALSE))="","",INDEX(Winter!$1:$1048576,MATCH(All!$A777,Winter!$A:$A,FALSE),MATCH(All!R$1,Winter!$1:$1,FALSE))),"")</f>
        <v>3A</v>
      </c>
      <c r="S777" t="str">
        <f>IFERROR(IF(INDEX(Winter!$1:$1048576,MATCH(All!$A777,Winter!$A:$A,FALSE),MATCH(All!S$1,Winter!$1:$1,FALSE))="","",INDEX(Winter!$1:$1048576,MATCH(All!$A777,Winter!$A:$A,FALSE),MATCH(All!S$1,Winter!$1:$1,FALSE))),"")</f>
        <v>3A</v>
      </c>
      <c r="T777" t="str">
        <f>IFERROR(IF(INDEX(Winter!$1:$1048576,MATCH(All!$A777,Winter!$A:$A,FALSE),MATCH(All!T$1,Winter!$1:$1,FALSE))="","",INDEX(Winter!$1:$1048576,MATCH(All!$A777,Winter!$A:$A,FALSE),MATCH(All!T$1,Winter!$1:$1,FALSE))),"")</f>
        <v/>
      </c>
      <c r="U777" t="str">
        <f>IFERROR(IF(INDEX(Winter!$1:$1048576,MATCH(All!$A777,Winter!$A:$A,FALSE),MATCH(All!U$1,Winter!$1:$1,FALSE))="","",INDEX(Winter!$1:$1048576,MATCH(All!$A777,Winter!$A:$A,FALSE),MATCH(All!U$1,Winter!$1:$1,FALSE))),"")</f>
        <v>3A</v>
      </c>
      <c r="W777">
        <f>IFERROR(IF(INDEX(Spring!$1:$1048576,MATCH(All!$A777,Spring!$A:$A,FALSE),MATCH(All!W$1,Spring!$1:$1,FALSE))="","",INDEX(Spring!$1:$1048576,MATCH(All!$A777,Spring!$A:$A,FALSE),MATCH(All!W$1,Spring!$1:$1,FALSE))),"")</f>
        <v>2188</v>
      </c>
      <c r="X777" t="str">
        <f>IFERROR(IF(INDEX(Spring!$1:$1048576,MATCH(All!$A777,Spring!$A:$A,FALSE),MATCH(All!X$1,Spring!$1:$1,FALSE))="","",INDEX(Spring!$1:$1048576,MATCH(All!$A777,Spring!$A:$A,FALSE),MATCH(All!X$1,Spring!$1:$1,FALSE))),"")</f>
        <v>4A</v>
      </c>
      <c r="Y777" t="str">
        <f>IFERROR(IF(INDEX(Spring!$1:$1048576,MATCH(All!$A777,Spring!$A:$A,FALSE),MATCH(All!Y$1,Spring!$1:$1,FALSE))="","",INDEX(Spring!$1:$1048576,MATCH(All!$A777,Spring!$A:$A,FALSE),MATCH(All!Y$1,Spring!$1:$1,FALSE))),"")</f>
        <v>4A</v>
      </c>
      <c r="Z777" t="str">
        <f>IFERROR(IF(INDEX(Spring!$1:$1048576,MATCH(All!$A777,Spring!$A:$A,FALSE),MATCH(All!Z$1,Spring!$1:$1,FALSE))="","",INDEX(Spring!$1:$1048576,MATCH(All!$A777,Spring!$A:$A,FALSE),MATCH(All!Z$1,Spring!$1:$1,FALSE))),"")</f>
        <v>3A</v>
      </c>
      <c r="AA777" t="str">
        <f>IFERROR(IF(INDEX(Spring!$1:$1048576,MATCH(All!$A777,Spring!$A:$A,FALSE),MATCH(All!AA$1,Spring!$1:$1,FALSE))="","",INDEX(Spring!$1:$1048576,MATCH(All!$A777,Spring!$A:$A,FALSE),MATCH(All!AA$1,Spring!$1:$1,FALSE))),"")</f>
        <v>2A</v>
      </c>
      <c r="AB777" t="str">
        <f>IFERROR(IF(INDEX(Spring!$1:$1048576,MATCH(All!$A777,Spring!$A:$A,FALSE),MATCH(All!AB$1,Spring!$1:$1,FALSE))="","",INDEX(Spring!$1:$1048576,MATCH(All!$A777,Spring!$A:$A,FALSE),MATCH(All!AB$1,Spring!$1:$1,FALSE))),"")</f>
        <v>3A</v>
      </c>
      <c r="AC777" t="str">
        <f>IFERROR(IF(INDEX(Spring!$1:$1048576,MATCH(All!$A777,Spring!$A:$A,FALSE),MATCH(All!AC$1,Spring!$1:$1,FALSE))="","",INDEX(Spring!$1:$1048576,MATCH(All!$A777,Spring!$A:$A,FALSE),MATCH(All!AC$1,Spring!$1:$1,FALSE))),"")</f>
        <v>3A</v>
      </c>
      <c r="AD777" t="str">
        <f>IFERROR(VLOOKUP(A777,'Flag Football'!A:A,1,FALSE),"")</f>
        <v>Yorkville (H.S.)</v>
      </c>
      <c r="AE777" t="str">
        <f t="shared" si="12"/>
        <v>1A</v>
      </c>
    </row>
    <row r="778" spans="1:31" ht="15.75" thickBot="1" x14ac:dyDescent="0.3">
      <c r="A778" s="18" t="s">
        <v>893</v>
      </c>
      <c r="B778" s="38" t="str">
        <f>IFERROR(VLOOKUP(A778,'Public v Private'!A:G,3,FALSE),"")</f>
        <v>private</v>
      </c>
      <c r="C778" s="38">
        <f>IFERROR(VLOOKUP(A778,'Public v Private'!A:G,4,FALSE),"")</f>
        <v>3</v>
      </c>
      <c r="D778" s="38">
        <f>IFERROR(VLOOKUP(A778,'Public v Private'!A:G,5,FALSE),"")</f>
        <v>9</v>
      </c>
      <c r="E778" s="38"/>
      <c r="F778" s="40" t="str">
        <f>IFERROR(INDEX(Fall!$1:$1048576,MATCH(All!$A778,Fall!$A:$A,FALSE),MATCH(All!F$1,Fall!$1:$1,FALSE)),"N/A")</f>
        <v>103.00 (169.95)</v>
      </c>
      <c r="G778" t="str">
        <f>IFERROR(IF(INDEX(Fall!$1:$1048576,MATCH(All!$A778,Fall!$A:$A,FALSE),MATCH(All!G$1,Fall!$1:$1,FALSE))="","",INDEX(Fall!$1:$1048576,MATCH(All!$A778,Fall!$A:$A,FALSE),MATCH(All!G$1,Fall!$1:$1,FALSE))),"")</f>
        <v/>
      </c>
      <c r="H778" t="str">
        <f>IFERROR(IF(INDEX(Fall!$1:$1048576,MATCH(All!$A778,Fall!$A:$A,FALSE),MATCH(All!H$1,Fall!$1:$1,FALSE))="","",INDEX(Fall!$1:$1048576,MATCH(All!$A778,Fall!$A:$A,FALSE),MATCH(All!H$1,Fall!$1:$1,FALSE))),"")</f>
        <v/>
      </c>
      <c r="I778" t="str">
        <f>IFERROR(IF(INDEX(Fall!$1:$1048576,MATCH(All!$A778,Fall!$A:$A,FALSE),MATCH(All!I$1,Fall!$1:$1,FALSE))="","",INDEX(Fall!$1:$1048576,MATCH(All!$A778,Fall!$A:$A,FALSE),MATCH(All!I$1,Fall!$1:$1,FALSE))),"")</f>
        <v>1A</v>
      </c>
      <c r="J778" t="str">
        <f>IFERROR(IF(INDEX(Fall!$1:$1048576,MATCH(All!$A778,Fall!$A:$A,FALSE),MATCH(All!J$1,Fall!$1:$1,FALSE))="","",INDEX(Fall!$1:$1048576,MATCH(All!$A778,Fall!$A:$A,FALSE),MATCH(All!J$1,Fall!$1:$1,FALSE))),"")</f>
        <v/>
      </c>
      <c r="K778" t="str">
        <f>IFERROR(IF(INDEX(Fall!$1:$1048576,MATCH(All!$A778,Fall!$A:$A,FALSE),MATCH(All!K$1,Fall!$1:$1,FALSE))="","",INDEX(Fall!$1:$1048576,MATCH(All!$A778,Fall!$A:$A,FALSE),MATCH(All!K$1,Fall!$1:$1,FALSE))),"")</f>
        <v>1A</v>
      </c>
      <c r="L778" t="str">
        <f>IFERROR(IF(INDEX(Fall!$1:$1048576,MATCH(All!$A778,Fall!$A:$A,FALSE),MATCH(All!L$1,Fall!$1:$1,FALSE))="","",INDEX(Fall!$1:$1048576,MATCH(All!$A778,Fall!$A:$A,FALSE),MATCH(All!L$1,Fall!$1:$1,FALSE))),"")</f>
        <v/>
      </c>
      <c r="M778" t="str">
        <f>IFERROR(IF(INDEX(Fall!$1:$1048576,MATCH(All!$A778,Fall!$A:$A,FALSE),MATCH(All!M$1,Fall!$1:$1,FALSE))="","",INDEX(Fall!$1:$1048576,MATCH(All!$A778,Fall!$A:$A,FALSE),MATCH(All!M$1,Fall!$1:$1,FALSE))),"")</f>
        <v>1A</v>
      </c>
      <c r="O778" t="str">
        <f>IFERROR(IF(INDEX(Winter!$1:$1048576,MATCH(All!$A778,Winter!$A:$A,FALSE),MATCH(All!O$1,Winter!$1:$1,FALSE))="","",INDEX(Winter!$1:$1048576,MATCH(All!$A778,Winter!$A:$A,FALSE),MATCH(All!O$1,Winter!$1:$1,FALSE))),"")</f>
        <v>103.00 (169.95)</v>
      </c>
      <c r="P778" t="str">
        <f>IFERROR(IF(INDEX(Winter!$1:$1048576,MATCH(All!$A778,Winter!$A:$A,FALSE),MATCH(All!P$1,Winter!$1:$1,FALSE))="","",INDEX(Winter!$1:$1048576,MATCH(All!$A778,Winter!$A:$A,FALSE),MATCH(All!P$1,Winter!$1:$1,FALSE))),"")</f>
        <v>1A</v>
      </c>
      <c r="Q778" t="str">
        <f>IFERROR(IF(INDEX(Winter!$1:$1048576,MATCH(All!$A778,Winter!$A:$A,FALSE),MATCH(All!Q$1,Winter!$1:$1,FALSE))="","",INDEX(Winter!$1:$1048576,MATCH(All!$A778,Winter!$A:$A,FALSE),MATCH(All!Q$1,Winter!$1:$1,FALSE))),"")</f>
        <v>1A</v>
      </c>
      <c r="R778" t="str">
        <f>IFERROR(IF(INDEX(Winter!$1:$1048576,MATCH(All!$A778,Winter!$A:$A,FALSE),MATCH(All!R$1,Winter!$1:$1,FALSE))="","",INDEX(Winter!$1:$1048576,MATCH(All!$A778,Winter!$A:$A,FALSE),MATCH(All!R$1,Winter!$1:$1,FALSE))),"")</f>
        <v/>
      </c>
      <c r="S778" t="str">
        <f>IFERROR(IF(INDEX(Winter!$1:$1048576,MATCH(All!$A778,Winter!$A:$A,FALSE),MATCH(All!S$1,Winter!$1:$1,FALSE))="","",INDEX(Winter!$1:$1048576,MATCH(All!$A778,Winter!$A:$A,FALSE),MATCH(All!S$1,Winter!$1:$1,FALSE))),"")</f>
        <v/>
      </c>
      <c r="T778" t="str">
        <f>IFERROR(IF(INDEX(Winter!$1:$1048576,MATCH(All!$A778,Winter!$A:$A,FALSE),MATCH(All!T$1,Winter!$1:$1,FALSE))="","",INDEX(Winter!$1:$1048576,MATCH(All!$A778,Winter!$A:$A,FALSE),MATCH(All!T$1,Winter!$1:$1,FALSE))),"")</f>
        <v/>
      </c>
      <c r="U778" t="str">
        <f>IFERROR(IF(INDEX(Winter!$1:$1048576,MATCH(All!$A778,Winter!$A:$A,FALSE),MATCH(All!U$1,Winter!$1:$1,FALSE))="","",INDEX(Winter!$1:$1048576,MATCH(All!$A778,Winter!$A:$A,FALSE),MATCH(All!U$1,Winter!$1:$1,FALSE))),"")</f>
        <v/>
      </c>
      <c r="W778" t="str">
        <f>IFERROR(IF(INDEX(Spring!$1:$1048576,MATCH(All!$A778,Spring!$A:$A,FALSE),MATCH(All!W$1,Spring!$1:$1,FALSE))="","",INDEX(Spring!$1:$1048576,MATCH(All!$A778,Spring!$A:$A,FALSE),MATCH(All!W$1,Spring!$1:$1,FALSE))),"")</f>
        <v>103.00 (169.95)</v>
      </c>
      <c r="X778" t="str">
        <f>IFERROR(IF(INDEX(Spring!$1:$1048576,MATCH(All!$A778,Spring!$A:$A,FALSE),MATCH(All!X$1,Spring!$1:$1,FALSE))="","",INDEX(Spring!$1:$1048576,MATCH(All!$A778,Spring!$A:$A,FALSE),MATCH(All!X$1,Spring!$1:$1,FALSE))),"")</f>
        <v>1A</v>
      </c>
      <c r="Y778" t="str">
        <f>IFERROR(IF(INDEX(Spring!$1:$1048576,MATCH(All!$A778,Spring!$A:$A,FALSE),MATCH(All!Y$1,Spring!$1:$1,FALSE))="","",INDEX(Spring!$1:$1048576,MATCH(All!$A778,Spring!$A:$A,FALSE),MATCH(All!Y$1,Spring!$1:$1,FALSE))),"")</f>
        <v/>
      </c>
      <c r="Z778" t="str">
        <f>IFERROR(IF(INDEX(Spring!$1:$1048576,MATCH(All!$A778,Spring!$A:$A,FALSE),MATCH(All!Z$1,Spring!$1:$1,FALSE))="","",INDEX(Spring!$1:$1048576,MATCH(All!$A778,Spring!$A:$A,FALSE),MATCH(All!Z$1,Spring!$1:$1,FALSE))),"")</f>
        <v/>
      </c>
      <c r="AA778" t="str">
        <f>IFERROR(IF(INDEX(Spring!$1:$1048576,MATCH(All!$A778,Spring!$A:$A,FALSE),MATCH(All!AA$1,Spring!$1:$1,FALSE))="","",INDEX(Spring!$1:$1048576,MATCH(All!$A778,Spring!$A:$A,FALSE),MATCH(All!AA$1,Spring!$1:$1,FALSE))),"")</f>
        <v/>
      </c>
      <c r="AB778" t="str">
        <f>IFERROR(IF(INDEX(Spring!$1:$1048576,MATCH(All!$A778,Spring!$A:$A,FALSE),MATCH(All!AB$1,Spring!$1:$1,FALSE))="","",INDEX(Spring!$1:$1048576,MATCH(All!$A778,Spring!$A:$A,FALSE),MATCH(All!AB$1,Spring!$1:$1,FALSE))),"")</f>
        <v/>
      </c>
      <c r="AC778" t="str">
        <f>IFERROR(IF(INDEX(Spring!$1:$1048576,MATCH(All!$A778,Spring!$A:$A,FALSE),MATCH(All!AC$1,Spring!$1:$1,FALSE))="","",INDEX(Spring!$1:$1048576,MATCH(All!$A778,Spring!$A:$A,FALSE),MATCH(All!AC$1,Spring!$1:$1,FALSE))),"")</f>
        <v/>
      </c>
      <c r="AD778" t="str">
        <f>IFERROR(VLOOKUP(A778,'Flag Football'!A:A,1,FALSE),"")</f>
        <v/>
      </c>
      <c r="AE778" t="str">
        <f t="shared" si="12"/>
        <v/>
      </c>
    </row>
    <row r="779" spans="1:31" ht="15.75" thickBot="1" x14ac:dyDescent="0.3">
      <c r="A779" s="20" t="s">
        <v>895</v>
      </c>
      <c r="B779" s="38" t="str">
        <f>IFERROR(VLOOKUP(A779,'Public v Private'!A:G,3,FALSE),"")</f>
        <v>private</v>
      </c>
      <c r="C779" s="38">
        <f>IFERROR(VLOOKUP(A779,'Public v Private'!A:G,4,FALSE),"")</f>
        <v>3</v>
      </c>
      <c r="D779" s="38">
        <f>IFERROR(VLOOKUP(A779,'Public v Private'!A:G,5,FALSE),"")</f>
        <v>9</v>
      </c>
      <c r="E779" s="38"/>
      <c r="F779" s="40" t="str">
        <f>IFERROR(INDEX(Fall!$1:$1048576,MATCH(All!$A779,Fall!$A:$A,FALSE),MATCH(All!F$1,Fall!$1:$1,FALSE)),"N/A")</f>
        <v>187.00 (308.55)</v>
      </c>
      <c r="G779" t="str">
        <f>IFERROR(IF(INDEX(Fall!$1:$1048576,MATCH(All!$A779,Fall!$A:$A,FALSE),MATCH(All!G$1,Fall!$1:$1,FALSE))="","",INDEX(Fall!$1:$1048576,MATCH(All!$A779,Fall!$A:$A,FALSE),MATCH(All!G$1,Fall!$1:$1,FALSE))),"")</f>
        <v/>
      </c>
      <c r="H779" t="str">
        <f>IFERROR(IF(INDEX(Fall!$1:$1048576,MATCH(All!$A779,Fall!$A:$A,FALSE),MATCH(All!H$1,Fall!$1:$1,FALSE))="","",INDEX(Fall!$1:$1048576,MATCH(All!$A779,Fall!$A:$A,FALSE),MATCH(All!H$1,Fall!$1:$1,FALSE))),"")</f>
        <v/>
      </c>
      <c r="I779" t="str">
        <f>IFERROR(IF(INDEX(Fall!$1:$1048576,MATCH(All!$A779,Fall!$A:$A,FALSE),MATCH(All!I$1,Fall!$1:$1,FALSE))="","",INDEX(Fall!$1:$1048576,MATCH(All!$A779,Fall!$A:$A,FALSE),MATCH(All!I$1,Fall!$1:$1,FALSE))),"")</f>
        <v>1A</v>
      </c>
      <c r="J779" t="str">
        <f>IFERROR(IF(INDEX(Fall!$1:$1048576,MATCH(All!$A779,Fall!$A:$A,FALSE),MATCH(All!J$1,Fall!$1:$1,FALSE))="","",INDEX(Fall!$1:$1048576,MATCH(All!$A779,Fall!$A:$A,FALSE),MATCH(All!J$1,Fall!$1:$1,FALSE))),"")</f>
        <v/>
      </c>
      <c r="K779" t="str">
        <f>IFERROR(IF(INDEX(Fall!$1:$1048576,MATCH(All!$A779,Fall!$A:$A,FALSE),MATCH(All!K$1,Fall!$1:$1,FALSE))="","",INDEX(Fall!$1:$1048576,MATCH(All!$A779,Fall!$A:$A,FALSE),MATCH(All!K$1,Fall!$1:$1,FALSE))),"")</f>
        <v>1A</v>
      </c>
      <c r="L779" t="str">
        <f>IFERROR(IF(INDEX(Fall!$1:$1048576,MATCH(All!$A779,Fall!$A:$A,FALSE),MATCH(All!L$1,Fall!$1:$1,FALSE))="","",INDEX(Fall!$1:$1048576,MATCH(All!$A779,Fall!$A:$A,FALSE),MATCH(All!L$1,Fall!$1:$1,FALSE))),"")</f>
        <v/>
      </c>
      <c r="M779" t="str">
        <f>IFERROR(IF(INDEX(Fall!$1:$1048576,MATCH(All!$A779,Fall!$A:$A,FALSE),MATCH(All!M$1,Fall!$1:$1,FALSE))="","",INDEX(Fall!$1:$1048576,MATCH(All!$A779,Fall!$A:$A,FALSE),MATCH(All!M$1,Fall!$1:$1,FALSE))),"")</f>
        <v>1A</v>
      </c>
      <c r="O779" t="str">
        <f>IFERROR(IF(INDEX(Winter!$1:$1048576,MATCH(All!$A779,Winter!$A:$A,FALSE),MATCH(All!O$1,Winter!$1:$1,FALSE))="","",INDEX(Winter!$1:$1048576,MATCH(All!$A779,Winter!$A:$A,FALSE),MATCH(All!O$1,Winter!$1:$1,FALSE))),"")</f>
        <v>187.00 (308.55)</v>
      </c>
      <c r="P779" t="str">
        <f>IFERROR(IF(INDEX(Winter!$1:$1048576,MATCH(All!$A779,Winter!$A:$A,FALSE),MATCH(All!P$1,Winter!$1:$1,FALSE))="","",INDEX(Winter!$1:$1048576,MATCH(All!$A779,Winter!$A:$A,FALSE),MATCH(All!P$1,Winter!$1:$1,FALSE))),"")</f>
        <v>2A</v>
      </c>
      <c r="Q779" t="str">
        <f>IFERROR(IF(INDEX(Winter!$1:$1048576,MATCH(All!$A779,Winter!$A:$A,FALSE),MATCH(All!Q$1,Winter!$1:$1,FALSE))="","",INDEX(Winter!$1:$1048576,MATCH(All!$A779,Winter!$A:$A,FALSE),MATCH(All!Q$1,Winter!$1:$1,FALSE))),"")</f>
        <v>1A</v>
      </c>
      <c r="R779" t="str">
        <f>IFERROR(IF(INDEX(Winter!$1:$1048576,MATCH(All!$A779,Winter!$A:$A,FALSE),MATCH(All!R$1,Winter!$1:$1,FALSE))="","",INDEX(Winter!$1:$1048576,MATCH(All!$A779,Winter!$A:$A,FALSE),MATCH(All!R$1,Winter!$1:$1,FALSE))),"")</f>
        <v/>
      </c>
      <c r="S779" t="str">
        <f>IFERROR(IF(INDEX(Winter!$1:$1048576,MATCH(All!$A779,Winter!$A:$A,FALSE),MATCH(All!S$1,Winter!$1:$1,FALSE))="","",INDEX(Winter!$1:$1048576,MATCH(All!$A779,Winter!$A:$A,FALSE),MATCH(All!S$1,Winter!$1:$1,FALSE))),"")</f>
        <v/>
      </c>
      <c r="T779" t="str">
        <f>IFERROR(IF(INDEX(Winter!$1:$1048576,MATCH(All!$A779,Winter!$A:$A,FALSE),MATCH(All!T$1,Winter!$1:$1,FALSE))="","",INDEX(Winter!$1:$1048576,MATCH(All!$A779,Winter!$A:$A,FALSE),MATCH(All!T$1,Winter!$1:$1,FALSE))),"")</f>
        <v/>
      </c>
      <c r="U779" t="str">
        <f>IFERROR(IF(INDEX(Winter!$1:$1048576,MATCH(All!$A779,Winter!$A:$A,FALSE),MATCH(All!U$1,Winter!$1:$1,FALSE))="","",INDEX(Winter!$1:$1048576,MATCH(All!$A779,Winter!$A:$A,FALSE),MATCH(All!U$1,Winter!$1:$1,FALSE))),"")</f>
        <v>1A</v>
      </c>
      <c r="W779" t="str">
        <f>IFERROR(IF(INDEX(Spring!$1:$1048576,MATCH(All!$A779,Spring!$A:$A,FALSE),MATCH(All!W$1,Spring!$1:$1,FALSE))="","",INDEX(Spring!$1:$1048576,MATCH(All!$A779,Spring!$A:$A,FALSE),MATCH(All!W$1,Spring!$1:$1,FALSE))),"")</f>
        <v>187.00 (308.55)</v>
      </c>
      <c r="X779" t="str">
        <f>IFERROR(IF(INDEX(Spring!$1:$1048576,MATCH(All!$A779,Spring!$A:$A,FALSE),MATCH(All!X$1,Spring!$1:$1,FALSE))="","",INDEX(Spring!$1:$1048576,MATCH(All!$A779,Spring!$A:$A,FALSE),MATCH(All!X$1,Spring!$1:$1,FALSE))),"")</f>
        <v>1A</v>
      </c>
      <c r="Y779" t="str">
        <f>IFERROR(IF(INDEX(Spring!$1:$1048576,MATCH(All!$A779,Spring!$A:$A,FALSE),MATCH(All!Y$1,Spring!$1:$1,FALSE))="","",INDEX(Spring!$1:$1048576,MATCH(All!$A779,Spring!$A:$A,FALSE),MATCH(All!Y$1,Spring!$1:$1,FALSE))),"")</f>
        <v>1A</v>
      </c>
      <c r="Z779" t="str">
        <f>IFERROR(IF(INDEX(Spring!$1:$1048576,MATCH(All!$A779,Spring!$A:$A,FALSE),MATCH(All!Z$1,Spring!$1:$1,FALSE))="","",INDEX(Spring!$1:$1048576,MATCH(All!$A779,Spring!$A:$A,FALSE),MATCH(All!Z$1,Spring!$1:$1,FALSE))),"")</f>
        <v/>
      </c>
      <c r="AA779" t="str">
        <f>IFERROR(IF(INDEX(Spring!$1:$1048576,MATCH(All!$A779,Spring!$A:$A,FALSE),MATCH(All!AA$1,Spring!$1:$1,FALSE))="","",INDEX(Spring!$1:$1048576,MATCH(All!$A779,Spring!$A:$A,FALSE),MATCH(All!AA$1,Spring!$1:$1,FALSE))),"")</f>
        <v/>
      </c>
      <c r="AB779" t="str">
        <f>IFERROR(IF(INDEX(Spring!$1:$1048576,MATCH(All!$A779,Spring!$A:$A,FALSE),MATCH(All!AB$1,Spring!$1:$1,FALSE))="","",INDEX(Spring!$1:$1048576,MATCH(All!$A779,Spring!$A:$A,FALSE),MATCH(All!AB$1,Spring!$1:$1,FALSE))),"")</f>
        <v>1A</v>
      </c>
      <c r="AC779" t="str">
        <f>IFERROR(IF(INDEX(Spring!$1:$1048576,MATCH(All!$A779,Spring!$A:$A,FALSE),MATCH(All!AC$1,Spring!$1:$1,FALSE))="","",INDEX(Spring!$1:$1048576,MATCH(All!$A779,Spring!$A:$A,FALSE),MATCH(All!AC$1,Spring!$1:$1,FALSE))),"")</f>
        <v>1A</v>
      </c>
      <c r="AD779" t="str">
        <f>IFERROR(VLOOKUP(A779,'Flag Football'!A:A,1,FALSE),"")</f>
        <v/>
      </c>
      <c r="AE779" t="str">
        <f t="shared" si="12"/>
        <v/>
      </c>
    </row>
    <row r="780" spans="1:31" ht="15.75" thickBot="1" x14ac:dyDescent="0.3">
      <c r="A780" s="18" t="s">
        <v>897</v>
      </c>
      <c r="B780" s="38">
        <f>IFERROR(VLOOKUP(A780,'Public v Private'!A:G,3,FALSE),"")</f>
        <v>0</v>
      </c>
      <c r="C780" s="38">
        <f>IFERROR(VLOOKUP(A780,'Public v Private'!A:G,4,FALSE),"")</f>
        <v>0</v>
      </c>
      <c r="D780" s="38">
        <f>IFERROR(VLOOKUP(A780,'Public v Private'!A:G,5,FALSE),"")</f>
        <v>0</v>
      </c>
      <c r="E780" s="38"/>
      <c r="F780" s="40">
        <f>IFERROR(INDEX(Fall!$1:$1048576,MATCH(All!$A780,Fall!$A:$A,FALSE),MATCH(All!F$1,Fall!$1:$1,FALSE)),"N/A")</f>
        <v>130</v>
      </c>
      <c r="G780" t="str">
        <f>IFERROR(IF(INDEX(Fall!$1:$1048576,MATCH(All!$A780,Fall!$A:$A,FALSE),MATCH(All!G$1,Fall!$1:$1,FALSE))="","",INDEX(Fall!$1:$1048576,MATCH(All!$A780,Fall!$A:$A,FALSE),MATCH(All!G$1,Fall!$1:$1,FALSE))),"")</f>
        <v/>
      </c>
      <c r="H780" t="str">
        <f>IFERROR(IF(INDEX(Fall!$1:$1048576,MATCH(All!$A780,Fall!$A:$A,FALSE),MATCH(All!H$1,Fall!$1:$1,FALSE))="","",INDEX(Fall!$1:$1048576,MATCH(All!$A780,Fall!$A:$A,FALSE),MATCH(All!H$1,Fall!$1:$1,FALSE))),"")</f>
        <v/>
      </c>
      <c r="I780" t="str">
        <f>IFERROR(IF(INDEX(Fall!$1:$1048576,MATCH(All!$A780,Fall!$A:$A,FALSE),MATCH(All!I$1,Fall!$1:$1,FALSE))="","",INDEX(Fall!$1:$1048576,MATCH(All!$A780,Fall!$A:$A,FALSE),MATCH(All!I$1,Fall!$1:$1,FALSE))),"")</f>
        <v>1A</v>
      </c>
      <c r="J780" t="str">
        <f>IFERROR(IF(INDEX(Fall!$1:$1048576,MATCH(All!$A780,Fall!$A:$A,FALSE),MATCH(All!J$1,Fall!$1:$1,FALSE))="","",INDEX(Fall!$1:$1048576,MATCH(All!$A780,Fall!$A:$A,FALSE),MATCH(All!J$1,Fall!$1:$1,FALSE))),"")</f>
        <v>1A</v>
      </c>
      <c r="K780" t="str">
        <f>IFERROR(IF(INDEX(Fall!$1:$1048576,MATCH(All!$A780,Fall!$A:$A,FALSE),MATCH(All!K$1,Fall!$1:$1,FALSE))="","",INDEX(Fall!$1:$1048576,MATCH(All!$A780,Fall!$A:$A,FALSE),MATCH(All!K$1,Fall!$1:$1,FALSE))),"")</f>
        <v/>
      </c>
      <c r="L780" t="str">
        <f>IFERROR(IF(INDEX(Fall!$1:$1048576,MATCH(All!$A780,Fall!$A:$A,FALSE),MATCH(All!L$1,Fall!$1:$1,FALSE))="","",INDEX(Fall!$1:$1048576,MATCH(All!$A780,Fall!$A:$A,FALSE),MATCH(All!L$1,Fall!$1:$1,FALSE))),"")</f>
        <v/>
      </c>
      <c r="M780" t="str">
        <f>IFERROR(IF(INDEX(Fall!$1:$1048576,MATCH(All!$A780,Fall!$A:$A,FALSE),MATCH(All!M$1,Fall!$1:$1,FALSE))="","",INDEX(Fall!$1:$1048576,MATCH(All!$A780,Fall!$A:$A,FALSE),MATCH(All!M$1,Fall!$1:$1,FALSE))),"")</f>
        <v>1A</v>
      </c>
      <c r="O780">
        <f>IFERROR(IF(INDEX(Winter!$1:$1048576,MATCH(All!$A780,Winter!$A:$A,FALSE),MATCH(All!O$1,Winter!$1:$1,FALSE))="","",INDEX(Winter!$1:$1048576,MATCH(All!$A780,Winter!$A:$A,FALSE),MATCH(All!O$1,Winter!$1:$1,FALSE))),"")</f>
        <v>130</v>
      </c>
      <c r="P780" t="str">
        <f>IFERROR(IF(INDEX(Winter!$1:$1048576,MATCH(All!$A780,Winter!$A:$A,FALSE),MATCH(All!P$1,Winter!$1:$1,FALSE))="","",INDEX(Winter!$1:$1048576,MATCH(All!$A780,Winter!$A:$A,FALSE),MATCH(All!P$1,Winter!$1:$1,FALSE))),"")</f>
        <v>1A</v>
      </c>
      <c r="Q780" t="str">
        <f>IFERROR(IF(INDEX(Winter!$1:$1048576,MATCH(All!$A780,Winter!$A:$A,FALSE),MATCH(All!Q$1,Winter!$1:$1,FALSE))="","",INDEX(Winter!$1:$1048576,MATCH(All!$A780,Winter!$A:$A,FALSE),MATCH(All!Q$1,Winter!$1:$1,FALSE))),"")</f>
        <v/>
      </c>
      <c r="R780" t="str">
        <f>IFERROR(IF(INDEX(Winter!$1:$1048576,MATCH(All!$A780,Winter!$A:$A,FALSE),MATCH(All!R$1,Winter!$1:$1,FALSE))="","",INDEX(Winter!$1:$1048576,MATCH(All!$A780,Winter!$A:$A,FALSE),MATCH(All!R$1,Winter!$1:$1,FALSE))),"")</f>
        <v>1A</v>
      </c>
      <c r="S780" t="str">
        <f>IFERROR(IF(INDEX(Winter!$1:$1048576,MATCH(All!$A780,Winter!$A:$A,FALSE),MATCH(All!S$1,Winter!$1:$1,FALSE))="","",INDEX(Winter!$1:$1048576,MATCH(All!$A780,Winter!$A:$A,FALSE),MATCH(All!S$1,Winter!$1:$1,FALSE))),"")</f>
        <v/>
      </c>
      <c r="T780" t="str">
        <f>IFERROR(IF(INDEX(Winter!$1:$1048576,MATCH(All!$A780,Winter!$A:$A,FALSE),MATCH(All!T$1,Winter!$1:$1,FALSE))="","",INDEX(Winter!$1:$1048576,MATCH(All!$A780,Winter!$A:$A,FALSE),MATCH(All!T$1,Winter!$1:$1,FALSE))),"")</f>
        <v/>
      </c>
      <c r="U780" t="str">
        <f>IFERROR(IF(INDEX(Winter!$1:$1048576,MATCH(All!$A780,Winter!$A:$A,FALSE),MATCH(All!U$1,Winter!$1:$1,FALSE))="","",INDEX(Winter!$1:$1048576,MATCH(All!$A780,Winter!$A:$A,FALSE),MATCH(All!U$1,Winter!$1:$1,FALSE))),"")</f>
        <v/>
      </c>
      <c r="W780">
        <f>IFERROR(IF(INDEX(Spring!$1:$1048576,MATCH(All!$A780,Spring!$A:$A,FALSE),MATCH(All!W$1,Spring!$1:$1,FALSE))="","",INDEX(Spring!$1:$1048576,MATCH(All!$A780,Spring!$A:$A,FALSE),MATCH(All!W$1,Spring!$1:$1,FALSE))),"")</f>
        <v>130</v>
      </c>
      <c r="X780" t="str">
        <f>IFERROR(IF(INDEX(Spring!$1:$1048576,MATCH(All!$A780,Spring!$A:$A,FALSE),MATCH(All!X$1,Spring!$1:$1,FALSE))="","",INDEX(Spring!$1:$1048576,MATCH(All!$A780,Spring!$A:$A,FALSE),MATCH(All!X$1,Spring!$1:$1,FALSE))),"")</f>
        <v>2A</v>
      </c>
      <c r="Y780" t="str">
        <f>IFERROR(IF(INDEX(Spring!$1:$1048576,MATCH(All!$A780,Spring!$A:$A,FALSE),MATCH(All!Y$1,Spring!$1:$1,FALSE))="","",INDEX(Spring!$1:$1048576,MATCH(All!$A780,Spring!$A:$A,FALSE),MATCH(All!Y$1,Spring!$1:$1,FALSE))),"")</f>
        <v>2A</v>
      </c>
      <c r="Z780" t="str">
        <f>IFERROR(IF(INDEX(Spring!$1:$1048576,MATCH(All!$A780,Spring!$A:$A,FALSE),MATCH(All!Z$1,Spring!$1:$1,FALSE))="","",INDEX(Spring!$1:$1048576,MATCH(All!$A780,Spring!$A:$A,FALSE),MATCH(All!Z$1,Spring!$1:$1,FALSE))),"")</f>
        <v/>
      </c>
      <c r="AA780" t="str">
        <f>IFERROR(IF(INDEX(Spring!$1:$1048576,MATCH(All!$A780,Spring!$A:$A,FALSE),MATCH(All!AA$1,Spring!$1:$1,FALSE))="","",INDEX(Spring!$1:$1048576,MATCH(All!$A780,Spring!$A:$A,FALSE),MATCH(All!AA$1,Spring!$1:$1,FALSE))),"")</f>
        <v/>
      </c>
      <c r="AB780" t="str">
        <f>IFERROR(IF(INDEX(Spring!$1:$1048576,MATCH(All!$A780,Spring!$A:$A,FALSE),MATCH(All!AB$1,Spring!$1:$1,FALSE))="","",INDEX(Spring!$1:$1048576,MATCH(All!$A780,Spring!$A:$A,FALSE),MATCH(All!AB$1,Spring!$1:$1,FALSE))),"")</f>
        <v/>
      </c>
      <c r="AC780" t="str">
        <f>IFERROR(IF(INDEX(Spring!$1:$1048576,MATCH(All!$A780,Spring!$A:$A,FALSE),MATCH(All!AC$1,Spring!$1:$1,FALSE))="","",INDEX(Spring!$1:$1048576,MATCH(All!$A780,Spring!$A:$A,FALSE),MATCH(All!AC$1,Spring!$1:$1,FALSE))),"")</f>
        <v/>
      </c>
      <c r="AD780" t="str">
        <f>IFERROR(VLOOKUP(A780,'Flag Football'!A:A,1,FALSE),"")</f>
        <v/>
      </c>
      <c r="AE780" t="str">
        <f t="shared" si="12"/>
        <v/>
      </c>
    </row>
    <row r="781" spans="1:31" ht="15.75" thickBot="1" x14ac:dyDescent="0.3">
      <c r="A781" s="20" t="s">
        <v>898</v>
      </c>
      <c r="B781" s="38">
        <f>IFERROR(VLOOKUP(A781,'Public v Private'!A:G,3,FALSE),"")</f>
        <v>0</v>
      </c>
      <c r="C781" s="38">
        <f>IFERROR(VLOOKUP(A781,'Public v Private'!A:G,4,FALSE),"")</f>
        <v>0</v>
      </c>
      <c r="D781" s="38">
        <f>IFERROR(VLOOKUP(A781,'Public v Private'!A:G,5,FALSE),"")</f>
        <v>0</v>
      </c>
      <c r="E781" s="38"/>
      <c r="F781" s="40">
        <f>IFERROR(INDEX(Fall!$1:$1048576,MATCH(All!$A781,Fall!$A:$A,FALSE),MATCH(All!F$1,Fall!$1:$1,FALSE)),"N/A")</f>
        <v>2060</v>
      </c>
      <c r="G781" t="str">
        <f>IFERROR(IF(INDEX(Fall!$1:$1048576,MATCH(All!$A781,Fall!$A:$A,FALSE),MATCH(All!G$1,Fall!$1:$1,FALSE))="","",INDEX(Fall!$1:$1048576,MATCH(All!$A781,Fall!$A:$A,FALSE),MATCH(All!G$1,Fall!$1:$1,FALSE))),"")</f>
        <v>3A</v>
      </c>
      <c r="H781" t="str">
        <f>IFERROR(IF(INDEX(Fall!$1:$1048576,MATCH(All!$A781,Fall!$A:$A,FALSE),MATCH(All!H$1,Fall!$1:$1,FALSE))="","",INDEX(Fall!$1:$1048576,MATCH(All!$A781,Fall!$A:$A,FALSE),MATCH(All!H$1,Fall!$1:$1,FALSE))),"")</f>
        <v>3A</v>
      </c>
      <c r="I781" t="str">
        <f>IFERROR(IF(INDEX(Fall!$1:$1048576,MATCH(All!$A781,Fall!$A:$A,FALSE),MATCH(All!I$1,Fall!$1:$1,FALSE))="","",INDEX(Fall!$1:$1048576,MATCH(All!$A781,Fall!$A:$A,FALSE),MATCH(All!I$1,Fall!$1:$1,FALSE))),"")</f>
        <v>3A</v>
      </c>
      <c r="J781" t="str">
        <f>IFERROR(IF(INDEX(Fall!$1:$1048576,MATCH(All!$A781,Fall!$A:$A,FALSE),MATCH(All!J$1,Fall!$1:$1,FALSE))="","",INDEX(Fall!$1:$1048576,MATCH(All!$A781,Fall!$A:$A,FALSE),MATCH(All!J$1,Fall!$1:$1,FALSE))),"")</f>
        <v/>
      </c>
      <c r="K781" t="str">
        <f>IFERROR(IF(INDEX(Fall!$1:$1048576,MATCH(All!$A781,Fall!$A:$A,FALSE),MATCH(All!K$1,Fall!$1:$1,FALSE))="","",INDEX(Fall!$1:$1048576,MATCH(All!$A781,Fall!$A:$A,FALSE),MATCH(All!K$1,Fall!$1:$1,FALSE))),"")</f>
        <v>3A</v>
      </c>
      <c r="L781" t="str">
        <f>IFERROR(IF(INDEX(Fall!$1:$1048576,MATCH(All!$A781,Fall!$A:$A,FALSE),MATCH(All!L$1,Fall!$1:$1,FALSE))="","",INDEX(Fall!$1:$1048576,MATCH(All!$A781,Fall!$A:$A,FALSE),MATCH(All!L$1,Fall!$1:$1,FALSE))),"")</f>
        <v>2A</v>
      </c>
      <c r="M781" t="str">
        <f>IFERROR(IF(INDEX(Fall!$1:$1048576,MATCH(All!$A781,Fall!$A:$A,FALSE),MATCH(All!M$1,Fall!$1:$1,FALSE))="","",INDEX(Fall!$1:$1048576,MATCH(All!$A781,Fall!$A:$A,FALSE),MATCH(All!M$1,Fall!$1:$1,FALSE))),"")</f>
        <v>4A</v>
      </c>
      <c r="O781">
        <f>IFERROR(IF(INDEX(Winter!$1:$1048576,MATCH(All!$A781,Winter!$A:$A,FALSE),MATCH(All!O$1,Winter!$1:$1,FALSE))="","",INDEX(Winter!$1:$1048576,MATCH(All!$A781,Winter!$A:$A,FALSE),MATCH(All!O$1,Winter!$1:$1,FALSE))),"")</f>
        <v>2060</v>
      </c>
      <c r="P781" t="str">
        <f>IFERROR(IF(INDEX(Winter!$1:$1048576,MATCH(All!$A781,Winter!$A:$A,FALSE),MATCH(All!P$1,Winter!$1:$1,FALSE))="","",INDEX(Winter!$1:$1048576,MATCH(All!$A781,Winter!$A:$A,FALSE),MATCH(All!P$1,Winter!$1:$1,FALSE))),"")</f>
        <v>4A</v>
      </c>
      <c r="Q781" t="str">
        <f>IFERROR(IF(INDEX(Winter!$1:$1048576,MATCH(All!$A781,Winter!$A:$A,FALSE),MATCH(All!Q$1,Winter!$1:$1,FALSE))="","",INDEX(Winter!$1:$1048576,MATCH(All!$A781,Winter!$A:$A,FALSE),MATCH(All!Q$1,Winter!$1:$1,FALSE))),"")</f>
        <v>4A</v>
      </c>
      <c r="R781" t="str">
        <f>IFERROR(IF(INDEX(Winter!$1:$1048576,MATCH(All!$A781,Winter!$A:$A,FALSE),MATCH(All!R$1,Winter!$1:$1,FALSE))="","",INDEX(Winter!$1:$1048576,MATCH(All!$A781,Winter!$A:$A,FALSE),MATCH(All!R$1,Winter!$1:$1,FALSE))),"")</f>
        <v>C</v>
      </c>
      <c r="S781" t="str">
        <f>IFERROR(IF(INDEX(Winter!$1:$1048576,MATCH(All!$A781,Winter!$A:$A,FALSE),MATCH(All!S$1,Winter!$1:$1,FALSE))="","",INDEX(Winter!$1:$1048576,MATCH(All!$A781,Winter!$A:$A,FALSE),MATCH(All!S$1,Winter!$1:$1,FALSE))),"")</f>
        <v/>
      </c>
      <c r="T781" t="str">
        <f>IFERROR(IF(INDEX(Winter!$1:$1048576,MATCH(All!$A781,Winter!$A:$A,FALSE),MATCH(All!T$1,Winter!$1:$1,FALSE))="","",INDEX(Winter!$1:$1048576,MATCH(All!$A781,Winter!$A:$A,FALSE),MATCH(All!T$1,Winter!$1:$1,FALSE))),"")</f>
        <v>2A</v>
      </c>
      <c r="U781" t="str">
        <f>IFERROR(IF(INDEX(Winter!$1:$1048576,MATCH(All!$A781,Winter!$A:$A,FALSE),MATCH(All!U$1,Winter!$1:$1,FALSE))="","",INDEX(Winter!$1:$1048576,MATCH(All!$A781,Winter!$A:$A,FALSE),MATCH(All!U$1,Winter!$1:$1,FALSE))),"")</f>
        <v>3A</v>
      </c>
      <c r="W781">
        <f>IFERROR(IF(INDEX(Spring!$1:$1048576,MATCH(All!$A781,Spring!$A:$A,FALSE),MATCH(All!W$1,Spring!$1:$1,FALSE))="","",INDEX(Spring!$1:$1048576,MATCH(All!$A781,Spring!$A:$A,FALSE),MATCH(All!W$1,Spring!$1:$1,FALSE))),"")</f>
        <v>2060</v>
      </c>
      <c r="X781" t="str">
        <f>IFERROR(IF(INDEX(Spring!$1:$1048576,MATCH(All!$A781,Spring!$A:$A,FALSE),MATCH(All!X$1,Spring!$1:$1,FALSE))="","",INDEX(Spring!$1:$1048576,MATCH(All!$A781,Spring!$A:$A,FALSE),MATCH(All!X$1,Spring!$1:$1,FALSE))),"")</f>
        <v>4A</v>
      </c>
      <c r="Y781" t="str">
        <f>IFERROR(IF(INDEX(Spring!$1:$1048576,MATCH(All!$A781,Spring!$A:$A,FALSE),MATCH(All!Y$1,Spring!$1:$1,FALSE))="","",INDEX(Spring!$1:$1048576,MATCH(All!$A781,Spring!$A:$A,FALSE),MATCH(All!Y$1,Spring!$1:$1,FALSE))),"")</f>
        <v>4A</v>
      </c>
      <c r="Z781" t="str">
        <f>IFERROR(IF(INDEX(Spring!$1:$1048576,MATCH(All!$A781,Spring!$A:$A,FALSE),MATCH(All!Z$1,Spring!$1:$1,FALSE))="","",INDEX(Spring!$1:$1048576,MATCH(All!$A781,Spring!$A:$A,FALSE),MATCH(All!Z$1,Spring!$1:$1,FALSE))),"")</f>
        <v>3A</v>
      </c>
      <c r="AA781" t="str">
        <f>IFERROR(IF(INDEX(Spring!$1:$1048576,MATCH(All!$A781,Spring!$A:$A,FALSE),MATCH(All!AA$1,Spring!$1:$1,FALSE))="","",INDEX(Spring!$1:$1048576,MATCH(All!$A781,Spring!$A:$A,FALSE),MATCH(All!AA$1,Spring!$1:$1,FALSE))),"")</f>
        <v>2A</v>
      </c>
      <c r="AB781" t="str">
        <f>IFERROR(IF(INDEX(Spring!$1:$1048576,MATCH(All!$A781,Spring!$A:$A,FALSE),MATCH(All!AB$1,Spring!$1:$1,FALSE))="","",INDEX(Spring!$1:$1048576,MATCH(All!$A781,Spring!$A:$A,FALSE),MATCH(All!AB$1,Spring!$1:$1,FALSE))),"")</f>
        <v>3A</v>
      </c>
      <c r="AC781" t="str">
        <f>IFERROR(IF(INDEX(Spring!$1:$1048576,MATCH(All!$A781,Spring!$A:$A,FALSE),MATCH(All!AC$1,Spring!$1:$1,FALSE))="","",INDEX(Spring!$1:$1048576,MATCH(All!$A781,Spring!$A:$A,FALSE),MATCH(All!AC$1,Spring!$1:$1,FALSE))),"")</f>
        <v>3A</v>
      </c>
      <c r="AD781" t="str">
        <f>IFERROR(VLOOKUP(A781,'Flag Football'!A:A,1,FALSE),"")</f>
        <v>Zion (Z.-Benton)</v>
      </c>
      <c r="AE781" t="str">
        <f t="shared" si="12"/>
        <v>1A</v>
      </c>
    </row>
  </sheetData>
  <autoFilter ref="A1:AC782" xr:uid="{18DE6D19-B6F5-4E4B-95DA-7102714C5C07}"/>
  <sortState xmlns:xlrd2="http://schemas.microsoft.com/office/spreadsheetml/2017/richdata2" ref="A3:A781">
    <sortCondition ref="A7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40C7-C210-4B2B-9D00-C0C1C39C542E}">
  <dimension ref="A1:B215"/>
  <sheetViews>
    <sheetView topLeftCell="A181" workbookViewId="0">
      <selection activeCell="B1" sqref="B1:B215"/>
    </sheetView>
  </sheetViews>
  <sheetFormatPr defaultRowHeight="15" x14ac:dyDescent="0.25"/>
  <cols>
    <col min="1" max="1" width="43.42578125" bestFit="1" customWidth="1"/>
  </cols>
  <sheetData>
    <row r="1" spans="1:2" x14ac:dyDescent="0.25">
      <c r="A1" s="62" t="s">
        <v>10</v>
      </c>
      <c r="B1" t="str">
        <f>VLOOKUP(A1,All!A:A,1,FALSE)</f>
        <v>Addison (A. Trail)</v>
      </c>
    </row>
    <row r="2" spans="1:2" x14ac:dyDescent="0.25">
      <c r="A2" s="62" t="s">
        <v>16</v>
      </c>
      <c r="B2" t="str">
        <f>VLOOKUP(A2,All!A:A,1,FALSE)</f>
        <v>Algonquin (Jacobs)</v>
      </c>
    </row>
    <row r="3" spans="1:2" x14ac:dyDescent="0.25">
      <c r="A3" s="62" t="s">
        <v>23</v>
      </c>
      <c r="B3" t="str">
        <f>VLOOKUP(A3,All!A:A,1,FALSE)</f>
        <v>Antioch</v>
      </c>
    </row>
    <row r="4" spans="1:2" x14ac:dyDescent="0.25">
      <c r="A4" s="62" t="s">
        <v>26</v>
      </c>
      <c r="B4" t="str">
        <f>VLOOKUP(A4,All!A:A,1,FALSE)</f>
        <v>Arlington Heights (Hersey)</v>
      </c>
    </row>
    <row r="5" spans="1:2" x14ac:dyDescent="0.25">
      <c r="A5" s="62" t="s">
        <v>27</v>
      </c>
      <c r="B5" t="str">
        <f>VLOOKUP(A5,All!A:A,1,FALSE)</f>
        <v>Arlington Heights (St. Viator)</v>
      </c>
    </row>
    <row r="6" spans="1:2" x14ac:dyDescent="0.25">
      <c r="A6" s="62" t="s">
        <v>40</v>
      </c>
      <c r="B6" t="str">
        <f>VLOOKUP(A6,All!A:A,1,FALSE)</f>
        <v>Aurora (East)</v>
      </c>
    </row>
    <row r="7" spans="1:2" x14ac:dyDescent="0.25">
      <c r="A7" s="62" t="s">
        <v>46</v>
      </c>
      <c r="B7" t="str">
        <f>VLOOKUP(A7,All!A:A,1,FALSE)</f>
        <v>Aurora (Rosary)</v>
      </c>
    </row>
    <row r="8" spans="1:2" x14ac:dyDescent="0.25">
      <c r="A8" s="62" t="s">
        <v>49</v>
      </c>
      <c r="B8" t="str">
        <f>VLOOKUP(A8,All!A:A,1,FALSE)</f>
        <v>Aurora (West Aurora)</v>
      </c>
    </row>
    <row r="9" spans="1:2" x14ac:dyDescent="0.25">
      <c r="A9" s="62" t="s">
        <v>50</v>
      </c>
      <c r="B9" t="str">
        <f>VLOOKUP(A9,All!A:A,1,FALSE)</f>
        <v>Barrington</v>
      </c>
    </row>
    <row r="10" spans="1:2" x14ac:dyDescent="0.25">
      <c r="A10" s="62" t="s">
        <v>52</v>
      </c>
      <c r="B10" t="str">
        <f>VLOOKUP(A10,All!A:A,1,FALSE)</f>
        <v>Bartlett</v>
      </c>
    </row>
    <row r="11" spans="1:2" x14ac:dyDescent="0.25">
      <c r="A11" s="62" t="s">
        <v>60</v>
      </c>
      <c r="B11" t="str">
        <f>VLOOKUP(A11,All!A:A,1,FALSE)</f>
        <v>Belleville (East)</v>
      </c>
    </row>
    <row r="12" spans="1:2" x14ac:dyDescent="0.25">
      <c r="A12" s="62" t="s">
        <v>61</v>
      </c>
      <c r="B12" t="str">
        <f>VLOOKUP(A12,All!A:A,1,FALSE)</f>
        <v>Belleville (West)</v>
      </c>
    </row>
    <row r="13" spans="1:2" x14ac:dyDescent="0.25">
      <c r="A13" s="62" t="s">
        <v>62</v>
      </c>
      <c r="B13" t="str">
        <f>VLOOKUP(A13,All!A:A,1,FALSE)</f>
        <v>Belvidere (H.S.)</v>
      </c>
    </row>
    <row r="14" spans="1:2" x14ac:dyDescent="0.25">
      <c r="A14" s="62" t="s">
        <v>63</v>
      </c>
      <c r="B14" t="str">
        <f>VLOOKUP(A14,All!A:A,1,FALSE)</f>
        <v>Belvidere (North)</v>
      </c>
    </row>
    <row r="15" spans="1:2" x14ac:dyDescent="0.25">
      <c r="A15" s="62" t="s">
        <v>64</v>
      </c>
      <c r="B15" t="str">
        <f>VLOOKUP(A15,All!A:A,1,FALSE)</f>
        <v>Bensenville (Fenton)</v>
      </c>
    </row>
    <row r="16" spans="1:2" x14ac:dyDescent="0.25">
      <c r="A16" s="62" t="s">
        <v>66</v>
      </c>
      <c r="B16" t="str">
        <f>VLOOKUP(A16,All!A:A,1,FALSE)</f>
        <v>Berwyn-Cicero (Morton)</v>
      </c>
    </row>
    <row r="17" spans="1:2" x14ac:dyDescent="0.25">
      <c r="A17" s="62" t="s">
        <v>76</v>
      </c>
      <c r="B17" t="str">
        <f>VLOOKUP(A17,All!A:A,1,FALSE)</f>
        <v>Blue Island (Eisenhower)</v>
      </c>
    </row>
    <row r="18" spans="1:2" x14ac:dyDescent="0.25">
      <c r="A18" s="62" t="s">
        <v>79</v>
      </c>
      <c r="B18" t="str">
        <f>VLOOKUP(A18,All!A:A,1,FALSE)</f>
        <v>Bolingbrook</v>
      </c>
    </row>
    <row r="19" spans="1:2" x14ac:dyDescent="0.25">
      <c r="A19" s="62" t="s">
        <v>80</v>
      </c>
      <c r="B19" t="str">
        <f>VLOOKUP(A19,All!A:A,1,FALSE)</f>
        <v>Bradley (B.-Bourbonnais)</v>
      </c>
    </row>
    <row r="20" spans="1:2" x14ac:dyDescent="0.25">
      <c r="A20" s="62" t="s">
        <v>92</v>
      </c>
      <c r="B20" t="str">
        <f>VLOOKUP(A20,All!A:A,1,FALSE)</f>
        <v>Buffalo Grove</v>
      </c>
    </row>
    <row r="21" spans="1:2" x14ac:dyDescent="0.25">
      <c r="A21" s="62" t="s">
        <v>94</v>
      </c>
      <c r="B21" t="str">
        <f>VLOOKUP(A21,All!A:A,1,FALSE)</f>
        <v>Burbank (Reavis)</v>
      </c>
    </row>
    <row r="22" spans="1:2" x14ac:dyDescent="0.25">
      <c r="A22" s="62" t="s">
        <v>95</v>
      </c>
      <c r="B22" t="str">
        <f>VLOOKUP(A22,All!A:A,1,FALSE)</f>
        <v>Burbank (St. Laurence)</v>
      </c>
    </row>
    <row r="23" spans="1:2" x14ac:dyDescent="0.25">
      <c r="A23" s="62" t="s">
        <v>111</v>
      </c>
      <c r="B23" t="str">
        <f>VLOOKUP(A23,All!A:A,1,FALSE)</f>
        <v>Carol Stream (Glenbard North)</v>
      </c>
    </row>
    <row r="24" spans="1:2" x14ac:dyDescent="0.25">
      <c r="A24" s="62" t="s">
        <v>112</v>
      </c>
      <c r="B24" t="str">
        <f>VLOOKUP(A24,All!A:A,1,FALSE)</f>
        <v>Carpentersville (Dundee-Crown)</v>
      </c>
    </row>
    <row r="25" spans="1:2" x14ac:dyDescent="0.25">
      <c r="A25" s="62" t="s">
        <v>117</v>
      </c>
      <c r="B25" t="str">
        <f>VLOOKUP(A25,All!A:A,1,FALSE)</f>
        <v>Cary (C.-Grove)</v>
      </c>
    </row>
    <row r="26" spans="1:2" x14ac:dyDescent="0.25">
      <c r="A26" s="62" t="s">
        <v>124</v>
      </c>
      <c r="B26" t="str">
        <f>VLOOKUP(A26,All!A:A,1,FALSE)</f>
        <v>Champaign (Centennial)</v>
      </c>
    </row>
    <row r="27" spans="1:2" x14ac:dyDescent="0.25">
      <c r="A27" s="62" t="s">
        <v>125</v>
      </c>
      <c r="B27" t="str">
        <f>VLOOKUP(A27,All!A:A,1,FALSE)</f>
        <v>Champaign (Central)</v>
      </c>
    </row>
    <row r="28" spans="1:2" x14ac:dyDescent="0.25">
      <c r="A28" s="62" t="s">
        <v>137</v>
      </c>
      <c r="B28" t="str">
        <f>VLOOKUP(A28,All!A:A,1,FALSE)</f>
        <v>Chicago (Agricultural Science)</v>
      </c>
    </row>
    <row r="29" spans="1:2" x14ac:dyDescent="0.25">
      <c r="A29" s="62" t="s">
        <v>139</v>
      </c>
      <c r="B29" t="str">
        <f>VLOOKUP(A29,All!A:A,1,FALSE)</f>
        <v>Chicago (Air Force Academy)</v>
      </c>
    </row>
    <row r="30" spans="1:2" x14ac:dyDescent="0.25">
      <c r="A30" s="62" t="s">
        <v>141</v>
      </c>
      <c r="B30" t="str">
        <f>VLOOKUP(A30,All!A:A,1,FALSE)</f>
        <v>Chicago (Amundsen)</v>
      </c>
    </row>
    <row r="31" spans="1:2" x14ac:dyDescent="0.25">
      <c r="A31" s="62" t="s">
        <v>143</v>
      </c>
      <c r="B31" t="str">
        <f>VLOOKUP(A31,All!A:A,1,FALSE)</f>
        <v>Chicago (Back of the Yards)</v>
      </c>
    </row>
    <row r="32" spans="1:2" x14ac:dyDescent="0.25">
      <c r="A32" s="62" t="s">
        <v>146</v>
      </c>
      <c r="B32" t="str">
        <f>VLOOKUP(A32,All!A:A,1,FALSE)</f>
        <v>Chicago (Brooks)</v>
      </c>
    </row>
    <row r="33" spans="1:2" x14ac:dyDescent="0.25">
      <c r="A33" s="62" t="s">
        <v>150</v>
      </c>
      <c r="B33" t="str">
        <f>VLOOKUP(A33,All!A:A,1,FALSE)</f>
        <v>Chicago (C. Academy)</v>
      </c>
    </row>
    <row r="34" spans="1:2" x14ac:dyDescent="0.25">
      <c r="A34" s="62" t="s">
        <v>152</v>
      </c>
      <c r="B34" t="str">
        <f>VLOOKUP(A34,All!A:A,1,FALSE)</f>
        <v>Chicago (C. Hope Academy)</v>
      </c>
    </row>
    <row r="35" spans="1:2" x14ac:dyDescent="0.25">
      <c r="A35" s="62" t="s">
        <v>156</v>
      </c>
      <c r="B35" t="str">
        <f>VLOOKUP(A35,All!A:A,1,FALSE)</f>
        <v>Chicago (C. Military Academy-Bronzeville)</v>
      </c>
    </row>
    <row r="36" spans="1:2" x14ac:dyDescent="0.25">
      <c r="A36" s="62" t="s">
        <v>160</v>
      </c>
      <c r="B36" t="str">
        <f>VLOOKUP(A36,All!A:A,1,FALSE)</f>
        <v>Chicago (C. Vocational)</v>
      </c>
    </row>
    <row r="37" spans="1:2" x14ac:dyDescent="0.25">
      <c r="A37" s="62" t="s">
        <v>164</v>
      </c>
      <c r="B37" t="str">
        <f>VLOOKUP(A37,All!A:A,1,FALSE)</f>
        <v>Chicago (Catalyst/Maria)</v>
      </c>
    </row>
    <row r="38" spans="1:2" x14ac:dyDescent="0.25">
      <c r="A38" s="62" t="s">
        <v>165</v>
      </c>
      <c r="B38" t="str">
        <f>VLOOKUP(A38,All!A:A,1,FALSE)</f>
        <v>Chicago (Christ the King)</v>
      </c>
    </row>
    <row r="39" spans="1:2" x14ac:dyDescent="0.25">
      <c r="A39" s="62" t="s">
        <v>169</v>
      </c>
      <c r="B39" t="str">
        <f>VLOOKUP(A39,All!A:A,1,FALSE)</f>
        <v>Chicago (CICS/Northtown)</v>
      </c>
    </row>
    <row r="40" spans="1:2" x14ac:dyDescent="0.25">
      <c r="A40" s="62" t="s">
        <v>170</v>
      </c>
      <c r="B40" t="str">
        <f>VLOOKUP(A40,All!A:A,1,FALSE)</f>
        <v>Chicago (Clark)</v>
      </c>
    </row>
    <row r="41" spans="1:2" x14ac:dyDescent="0.25">
      <c r="A41" s="62" t="s">
        <v>176</v>
      </c>
      <c r="B41" t="str">
        <f>VLOOKUP(A41,All!A:A,1,FALSE)</f>
        <v>Chicago (Crane Medical Prep)</v>
      </c>
    </row>
    <row r="42" spans="1:2" x14ac:dyDescent="0.25">
      <c r="A42" s="62" t="s">
        <v>180</v>
      </c>
      <c r="B42" t="str">
        <f>VLOOKUP(A42,All!A:A,1,FALSE)</f>
        <v>Chicago (Curie)</v>
      </c>
    </row>
    <row r="43" spans="1:2" x14ac:dyDescent="0.25">
      <c r="A43" s="62" t="s">
        <v>182</v>
      </c>
      <c r="B43" t="str">
        <f>VLOOKUP(A43,All!A:A,1,FALSE)</f>
        <v>Chicago (De La Salle)</v>
      </c>
    </row>
    <row r="44" spans="1:2" x14ac:dyDescent="0.25">
      <c r="A44" s="62" t="s">
        <v>184</v>
      </c>
      <c r="B44" t="str">
        <f>VLOOKUP(A44,All!A:A,1,FALSE)</f>
        <v>Chicago (DePaul College Prep)</v>
      </c>
    </row>
    <row r="45" spans="1:2" x14ac:dyDescent="0.25">
      <c r="A45" s="62" t="s">
        <v>186</v>
      </c>
      <c r="B45" t="str">
        <f>VLOOKUP(A45,All!A:A,1,FALSE)</f>
        <v>Chicago (Disney II)</v>
      </c>
    </row>
    <row r="46" spans="1:2" x14ac:dyDescent="0.25">
      <c r="A46" s="62" t="s">
        <v>196</v>
      </c>
      <c r="B46" t="str">
        <f>VLOOKUP(A46,All!A:A,1,FALSE)</f>
        <v>Chicago (Fenger)</v>
      </c>
    </row>
    <row r="47" spans="1:2" x14ac:dyDescent="0.25">
      <c r="A47" s="62" t="s">
        <v>201</v>
      </c>
      <c r="B47" t="str">
        <f>VLOOKUP(A47,All!A:A,1,FALSE)</f>
        <v>Chicago (Hancock)</v>
      </c>
    </row>
    <row r="48" spans="1:2" x14ac:dyDescent="0.25">
      <c r="A48" s="62" t="s">
        <v>926</v>
      </c>
      <c r="B48" t="str">
        <f>VLOOKUP(A48,All!A:A,1,FALSE)</f>
        <v>Chicago (Harlan)</v>
      </c>
    </row>
    <row r="49" spans="1:2" x14ac:dyDescent="0.25">
      <c r="A49" s="62" t="s">
        <v>208</v>
      </c>
      <c r="B49" t="str">
        <f>VLOOKUP(A49,All!A:A,1,FALSE)</f>
        <v>Chicago (Horizon/Southwest Chicago)</v>
      </c>
    </row>
    <row r="50" spans="1:2" x14ac:dyDescent="0.25">
      <c r="A50" s="62" t="s">
        <v>210</v>
      </c>
      <c r="B50" t="str">
        <f>VLOOKUP(A50,All!A:A,1,FALSE)</f>
        <v>Chicago (Hubbard)</v>
      </c>
    </row>
    <row r="51" spans="1:2" x14ac:dyDescent="0.25">
      <c r="A51" s="62" t="s">
        <v>984</v>
      </c>
      <c r="B51" t="str">
        <f>VLOOKUP(A51,All!A:A,1,FALSE)</f>
        <v>Chicago (Instituto Health Science Charter)</v>
      </c>
    </row>
    <row r="52" spans="1:2" x14ac:dyDescent="0.25">
      <c r="A52" s="62" t="s">
        <v>214</v>
      </c>
      <c r="B52" t="str">
        <f>VLOOKUP(A52,All!A:A,1,FALSE)</f>
        <v>Chicago (Intrinsic Charter-Downtown Campus)</v>
      </c>
    </row>
    <row r="53" spans="1:2" x14ac:dyDescent="0.25">
      <c r="A53" s="62" t="s">
        <v>216</v>
      </c>
      <c r="B53" t="str">
        <f>VLOOKUP(A53,All!A:A,1,FALSE)</f>
        <v>Chicago (Jones)</v>
      </c>
    </row>
    <row r="54" spans="1:2" x14ac:dyDescent="0.25">
      <c r="A54" s="62" t="s">
        <v>218</v>
      </c>
      <c r="B54" t="str">
        <f>VLOOKUP(A54,All!A:A,1,FALSE)</f>
        <v>Chicago (Juarez)</v>
      </c>
    </row>
    <row r="55" spans="1:2" x14ac:dyDescent="0.25">
      <c r="A55" s="62" t="s">
        <v>219</v>
      </c>
      <c r="B55" t="str">
        <f>VLOOKUP(A55,All!A:A,1,FALSE)</f>
        <v>Chicago (Julian)</v>
      </c>
    </row>
    <row r="56" spans="1:2" x14ac:dyDescent="0.25">
      <c r="A56" s="62" t="s">
        <v>220</v>
      </c>
      <c r="B56" t="str">
        <f>VLOOKUP(A56,All!A:A,1,FALSE)</f>
        <v>Chicago (Kelly)</v>
      </c>
    </row>
    <row r="57" spans="1:2" x14ac:dyDescent="0.25">
      <c r="A57" s="62" t="s">
        <v>221</v>
      </c>
      <c r="B57" t="str">
        <f>VLOOKUP(A57,All!A:A,1,FALSE)</f>
        <v>Chicago (Kennedy)</v>
      </c>
    </row>
    <row r="58" spans="1:2" x14ac:dyDescent="0.25">
      <c r="A58" s="62" t="s">
        <v>222</v>
      </c>
      <c r="B58" t="str">
        <f>VLOOKUP(A58,All!A:A,1,FALSE)</f>
        <v>Chicago (Kenwood)</v>
      </c>
    </row>
    <row r="59" spans="1:2" x14ac:dyDescent="0.25">
      <c r="A59" s="62" t="s">
        <v>223</v>
      </c>
      <c r="B59" t="str">
        <f>VLOOKUP(A59,All!A:A,1,FALSE)</f>
        <v>Chicago (King)</v>
      </c>
    </row>
    <row r="60" spans="1:2" x14ac:dyDescent="0.25">
      <c r="A60" s="62" t="s">
        <v>225</v>
      </c>
      <c r="B60" t="str">
        <f>VLOOKUP(A60,All!A:A,1,FALSE)</f>
        <v>Chicago (Lake View)</v>
      </c>
    </row>
    <row r="61" spans="1:2" x14ac:dyDescent="0.25">
      <c r="A61" s="62" t="s">
        <v>226</v>
      </c>
      <c r="B61" t="str">
        <f>VLOOKUP(A61,All!A:A,1,FALSE)</f>
        <v>Chicago (Lane)</v>
      </c>
    </row>
    <row r="62" spans="1:2" x14ac:dyDescent="0.25">
      <c r="A62" s="62" t="s">
        <v>232</v>
      </c>
      <c r="B62" t="str">
        <f>VLOOKUP(A62,All!A:A,1,FALSE)</f>
        <v>Chicago (Lincoln Park)</v>
      </c>
    </row>
    <row r="63" spans="1:2" x14ac:dyDescent="0.25">
      <c r="A63" s="62" t="s">
        <v>233</v>
      </c>
      <c r="B63" t="str">
        <f>VLOOKUP(A63,All!A:A,1,FALSE)</f>
        <v>Chicago (Lindblom)</v>
      </c>
    </row>
    <row r="64" spans="1:2" x14ac:dyDescent="0.25">
      <c r="A64" s="62" t="s">
        <v>241</v>
      </c>
      <c r="B64" t="str">
        <f>VLOOKUP(A64,All!A:A,1,FALSE)</f>
        <v>Chicago (Marist)</v>
      </c>
    </row>
    <row r="65" spans="1:2" x14ac:dyDescent="0.25">
      <c r="A65" s="62" t="s">
        <v>246</v>
      </c>
      <c r="B65" t="str">
        <f>VLOOKUP(A65,All!A:A,1,FALSE)</f>
        <v>Chicago (Morgan Park)</v>
      </c>
    </row>
    <row r="66" spans="1:2" x14ac:dyDescent="0.25">
      <c r="A66" s="62" t="s">
        <v>247</v>
      </c>
      <c r="B66" t="str">
        <f>VLOOKUP(A66,All!A:A,1,FALSE)</f>
        <v>Chicago (Mother McAuley)</v>
      </c>
    </row>
    <row r="67" spans="1:2" x14ac:dyDescent="0.25">
      <c r="A67" s="62" t="s">
        <v>255</v>
      </c>
      <c r="B67" t="str">
        <f>VLOOKUP(A67,All!A:A,1,FALSE)</f>
        <v>Chicago (Noble/Bulls)</v>
      </c>
    </row>
    <row r="68" spans="1:2" x14ac:dyDescent="0.25">
      <c r="A68" s="62" t="s">
        <v>257</v>
      </c>
      <c r="B68" t="str">
        <f>VLOOKUP(A68,All!A:A,1,FALSE)</f>
        <v>Chicago (Noble/Butler)</v>
      </c>
    </row>
    <row r="69" spans="1:2" x14ac:dyDescent="0.25">
      <c r="A69" s="62" t="s">
        <v>265</v>
      </c>
      <c r="B69" t="str">
        <f>VLOOKUP(A69,All!A:A,1,FALSE)</f>
        <v>Chicago (Noble/Johnson)</v>
      </c>
    </row>
    <row r="70" spans="1:2" x14ac:dyDescent="0.25">
      <c r="A70" s="62" t="s">
        <v>267</v>
      </c>
      <c r="B70" t="str">
        <f>VLOOKUP(A70,All!A:A,1,FALSE)</f>
        <v>Chicago (Noble/Mansueto)</v>
      </c>
    </row>
    <row r="71" spans="1:2" x14ac:dyDescent="0.25">
      <c r="A71" s="62" t="s">
        <v>269</v>
      </c>
      <c r="B71" t="str">
        <f>VLOOKUP(A71,All!A:A,1,FALSE)</f>
        <v>Chicago (Noble/Muchin)</v>
      </c>
    </row>
    <row r="72" spans="1:2" x14ac:dyDescent="0.25">
      <c r="A72" s="62" t="s">
        <v>273</v>
      </c>
      <c r="B72" t="str">
        <f>VLOOKUP(A72,All!A:A,1,FALSE)</f>
        <v>Chicago (Noble/Pritzker)</v>
      </c>
    </row>
    <row r="73" spans="1:2" x14ac:dyDescent="0.25">
      <c r="A73" s="62" t="s">
        <v>277</v>
      </c>
      <c r="B73" t="str">
        <f>VLOOKUP(A73,All!A:A,1,FALSE)</f>
        <v>Chicago (Noble/UIC)</v>
      </c>
    </row>
    <row r="74" spans="1:2" x14ac:dyDescent="0.25">
      <c r="A74" s="62" t="s">
        <v>986</v>
      </c>
      <c r="B74" t="str">
        <f>VLOOKUP(A74,All!A:A,1,FALSE)</f>
        <v>Chicago (North Grand)</v>
      </c>
    </row>
    <row r="75" spans="1:2" x14ac:dyDescent="0.25">
      <c r="A75" s="62" t="s">
        <v>279</v>
      </c>
      <c r="B75" t="str">
        <f>VLOOKUP(A75,All!A:A,1,FALSE)</f>
        <v>Chicago (North Lawndale Charter)</v>
      </c>
    </row>
    <row r="76" spans="1:2" x14ac:dyDescent="0.25">
      <c r="A76" s="62" t="s">
        <v>281</v>
      </c>
      <c r="B76" t="str">
        <f>VLOOKUP(A76,All!A:A,1,FALSE)</f>
        <v>Chicago (Northside)</v>
      </c>
    </row>
    <row r="77" spans="1:2" x14ac:dyDescent="0.25">
      <c r="A77" s="62" t="s">
        <v>283</v>
      </c>
      <c r="B77" t="str">
        <f>VLOOKUP(A77,All!A:A,1,FALSE)</f>
        <v>Chicago (Ogden International)</v>
      </c>
    </row>
    <row r="78" spans="1:2" x14ac:dyDescent="0.25">
      <c r="A78" s="62" t="s">
        <v>288</v>
      </c>
      <c r="B78" t="str">
        <f>VLOOKUP(A78,All!A:A,1,FALSE)</f>
        <v>Chicago (Payton)</v>
      </c>
    </row>
    <row r="79" spans="1:2" x14ac:dyDescent="0.25">
      <c r="A79" s="63" t="s">
        <v>935</v>
      </c>
      <c r="B79" s="64" t="str">
        <f>VLOOKUP(A79,All!A:A,1,FALSE)</f>
        <v>Chicago (Perspectives/IIT Math &amp; Science)</v>
      </c>
    </row>
    <row r="80" spans="1:2" x14ac:dyDescent="0.25">
      <c r="A80" s="62" t="s">
        <v>290</v>
      </c>
      <c r="B80" t="str">
        <f>VLOOKUP(A80,All!A:A,1,FALSE)</f>
        <v>Chicago (Perspectives/Leadership)</v>
      </c>
    </row>
    <row r="81" spans="1:2" x14ac:dyDescent="0.25">
      <c r="A81" s="62" t="s">
        <v>292</v>
      </c>
      <c r="B81" t="str">
        <f>VLOOKUP(A81,All!A:A,1,FALSE)</f>
        <v>Chicago (Phillips)</v>
      </c>
    </row>
    <row r="82" spans="1:2" x14ac:dyDescent="0.25">
      <c r="A82" s="62" t="s">
        <v>297</v>
      </c>
      <c r="B82" t="str">
        <f>VLOOKUP(A82,All!A:A,1,FALSE)</f>
        <v>Chicago (Resurrection)</v>
      </c>
    </row>
    <row r="83" spans="1:2" x14ac:dyDescent="0.25">
      <c r="A83" s="62" t="s">
        <v>300</v>
      </c>
      <c r="B83" t="str">
        <f>VLOOKUP(A83,All!A:A,1,FALSE)</f>
        <v>Chicago (Rickover Naval Academy)</v>
      </c>
    </row>
    <row r="84" spans="1:2" x14ac:dyDescent="0.25">
      <c r="A84" s="62" t="s">
        <v>302</v>
      </c>
      <c r="B84" t="str">
        <f>VLOOKUP(A84,All!A:A,1,FALSE)</f>
        <v>Chicago (Roosevelt)</v>
      </c>
    </row>
    <row r="85" spans="1:2" x14ac:dyDescent="0.25">
      <c r="A85" s="62" t="s">
        <v>303</v>
      </c>
      <c r="B85" t="str">
        <f>VLOOKUP(A85,All!A:A,1,FALSE)</f>
        <v>Chicago (Schurz)</v>
      </c>
    </row>
    <row r="86" spans="1:2" x14ac:dyDescent="0.25">
      <c r="A86" s="62" t="s">
        <v>304</v>
      </c>
      <c r="B86" t="str">
        <f>VLOOKUP(A86,All!A:A,1,FALSE)</f>
        <v>Chicago (Senn)</v>
      </c>
    </row>
    <row r="87" spans="1:2" x14ac:dyDescent="0.25">
      <c r="A87" s="62" t="s">
        <v>305</v>
      </c>
      <c r="B87" t="str">
        <f>VLOOKUP(A87,All!A:A,1,FALSE)</f>
        <v>Chicago (Simeon)</v>
      </c>
    </row>
    <row r="88" spans="1:2" x14ac:dyDescent="0.25">
      <c r="A88" s="62" t="s">
        <v>307</v>
      </c>
      <c r="B88" t="str">
        <f>VLOOKUP(A88,All!A:A,1,FALSE)</f>
        <v>Chicago (Solorio Academy)</v>
      </c>
    </row>
    <row r="89" spans="1:2" x14ac:dyDescent="0.25">
      <c r="A89" s="62" t="s">
        <v>310</v>
      </c>
      <c r="B89" t="str">
        <f>VLOOKUP(A89,All!A:A,1,FALSE)</f>
        <v>Chicago (St. Ignatius College Prep)</v>
      </c>
    </row>
    <row r="90" spans="1:2" x14ac:dyDescent="0.25">
      <c r="A90" s="62" t="s">
        <v>317</v>
      </c>
      <c r="B90" t="str">
        <f>VLOOKUP(A90,All!A:A,1,FALSE)</f>
        <v>Chicago (Taft)</v>
      </c>
    </row>
    <row r="91" spans="1:2" x14ac:dyDescent="0.25">
      <c r="A91" s="62" t="s">
        <v>329</v>
      </c>
      <c r="B91" t="str">
        <f>VLOOKUP(A91,All!A:A,1,FALSE)</f>
        <v>Chicago (Westinghouse College Prep)</v>
      </c>
    </row>
    <row r="92" spans="1:2" x14ac:dyDescent="0.25">
      <c r="A92" s="62" t="s">
        <v>331</v>
      </c>
      <c r="B92" t="str">
        <f>VLOOKUP(A92,All!A:A,1,FALSE)</f>
        <v>Chicago (Whitney Young)</v>
      </c>
    </row>
    <row r="93" spans="1:2" x14ac:dyDescent="0.25">
      <c r="A93" s="62" t="s">
        <v>335</v>
      </c>
      <c r="B93" t="str">
        <f>VLOOKUP(A93,All!A:A,1,FALSE)</f>
        <v>Chicago Heights (Bloom Twp.)</v>
      </c>
    </row>
    <row r="94" spans="1:2" x14ac:dyDescent="0.25">
      <c r="A94" s="62" t="s">
        <v>351</v>
      </c>
      <c r="B94" t="str">
        <f>VLOOKUP(A94,All!A:A,1,FALSE)</f>
        <v>Country Club Hills (Hillcrest)</v>
      </c>
    </row>
    <row r="95" spans="1:2" x14ac:dyDescent="0.25">
      <c r="A95" s="62" t="s">
        <v>353</v>
      </c>
      <c r="B95" t="str">
        <f>VLOOKUP(A95,All!A:A,1,FALSE)</f>
        <v>Crete (C.-Monee)</v>
      </c>
    </row>
    <row r="96" spans="1:2" x14ac:dyDescent="0.25">
      <c r="A96" s="62" t="s">
        <v>356</v>
      </c>
      <c r="B96" t="str">
        <f>VLOOKUP(A96,All!A:A,1,FALSE)</f>
        <v>Crystal Lake (Central)</v>
      </c>
    </row>
    <row r="97" spans="1:2" x14ac:dyDescent="0.25">
      <c r="A97" s="62" t="s">
        <v>357</v>
      </c>
      <c r="B97" t="str">
        <f>VLOOKUP(A97,All!A:A,1,FALSE)</f>
        <v>Crystal Lake (Prairie Ridge)</v>
      </c>
    </row>
    <row r="98" spans="1:2" x14ac:dyDescent="0.25">
      <c r="A98" s="62" t="s">
        <v>358</v>
      </c>
      <c r="B98" t="str">
        <f>VLOOKUP(A98,All!A:A,1,FALSE)</f>
        <v>Crystal Lake (South)</v>
      </c>
    </row>
    <row r="99" spans="1:2" x14ac:dyDescent="0.25">
      <c r="A99" s="62" t="s">
        <v>362</v>
      </c>
      <c r="B99" t="str">
        <f>VLOOKUP(A99,All!A:A,1,FALSE)</f>
        <v>Danville (H.S.)</v>
      </c>
    </row>
    <row r="100" spans="1:2" x14ac:dyDescent="0.25">
      <c r="A100" s="62" t="s">
        <v>365</v>
      </c>
      <c r="B100" t="str">
        <f>VLOOKUP(A100,All!A:A,1,FALSE)</f>
        <v>Darien (Hinsdale South)</v>
      </c>
    </row>
    <row r="101" spans="1:2" x14ac:dyDescent="0.25">
      <c r="A101" s="62" t="s">
        <v>372</v>
      </c>
      <c r="B101" t="str">
        <f>VLOOKUP(A101,All!A:A,1,FALSE)</f>
        <v>Deerfield (H.S.)</v>
      </c>
    </row>
    <row r="102" spans="1:2" x14ac:dyDescent="0.25">
      <c r="A102" s="62" t="s">
        <v>375</v>
      </c>
      <c r="B102" t="str">
        <f>VLOOKUP(A102,All!A:A,1,FALSE)</f>
        <v>DeKalb</v>
      </c>
    </row>
    <row r="103" spans="1:2" x14ac:dyDescent="0.25">
      <c r="A103" s="62" t="s">
        <v>379</v>
      </c>
      <c r="B103" t="str">
        <f>VLOOKUP(A103,All!A:A,1,FALSE)</f>
        <v>Des Plaines (Maine West)</v>
      </c>
    </row>
    <row r="104" spans="1:2" x14ac:dyDescent="0.25">
      <c r="A104" s="62" t="s">
        <v>386</v>
      </c>
      <c r="B104" t="str">
        <f>VLOOKUP(A104,All!A:A,1,FALSE)</f>
        <v>Downers Grove (North)</v>
      </c>
    </row>
    <row r="105" spans="1:2" x14ac:dyDescent="0.25">
      <c r="A105" s="62" t="s">
        <v>387</v>
      </c>
      <c r="B105" t="str">
        <f>VLOOKUP(A105,All!A:A,1,FALSE)</f>
        <v>Downers Grove (South)</v>
      </c>
    </row>
    <row r="106" spans="1:2" x14ac:dyDescent="0.25">
      <c r="A106" s="62" t="s">
        <v>400</v>
      </c>
      <c r="B106" t="str">
        <f>VLOOKUP(A106,All!A:A,1,FALSE)</f>
        <v>East St. Louis (Sr.)</v>
      </c>
    </row>
    <row r="107" spans="1:2" x14ac:dyDescent="0.25">
      <c r="A107" s="62" t="s">
        <v>402</v>
      </c>
      <c r="B107" t="str">
        <f>VLOOKUP(A107,All!A:A,1,FALSE)</f>
        <v>Edwardsville (H.S.)</v>
      </c>
    </row>
    <row r="108" spans="1:2" x14ac:dyDescent="0.25">
      <c r="A108" s="62" t="s">
        <v>410</v>
      </c>
      <c r="B108" t="str">
        <f>VLOOKUP(A108,All!A:A,1,FALSE)</f>
        <v>Elgin (H.S.)</v>
      </c>
    </row>
    <row r="109" spans="1:2" x14ac:dyDescent="0.25">
      <c r="A109" s="62" t="s">
        <v>411</v>
      </c>
      <c r="B109" t="str">
        <f>VLOOKUP(A109,All!A:A,1,FALSE)</f>
        <v>Elgin (Larkin)</v>
      </c>
    </row>
    <row r="110" spans="1:2" x14ac:dyDescent="0.25">
      <c r="A110" s="62" t="s">
        <v>414</v>
      </c>
      <c r="B110" t="str">
        <f>VLOOKUP(A110,All!A:A,1,FALSE)</f>
        <v>Elgin (St. Edward)</v>
      </c>
    </row>
    <row r="111" spans="1:2" x14ac:dyDescent="0.25">
      <c r="A111" s="62" t="s">
        <v>417</v>
      </c>
      <c r="B111" t="str">
        <f>VLOOKUP(A111,All!A:A,1,FALSE)</f>
        <v>Elk Grove Village (E.G.)</v>
      </c>
    </row>
    <row r="112" spans="1:2" x14ac:dyDescent="0.25">
      <c r="A112" s="62" t="s">
        <v>421</v>
      </c>
      <c r="B112" t="str">
        <f>VLOOKUP(A112,All!A:A,1,FALSE)</f>
        <v>Elmhurst (Timothy Christian)</v>
      </c>
    </row>
    <row r="113" spans="1:2" x14ac:dyDescent="0.25">
      <c r="A113" s="62" t="s">
        <v>423</v>
      </c>
      <c r="B113" t="str">
        <f>VLOOKUP(A113,All!A:A,1,FALSE)</f>
        <v>Elmhurst (York)</v>
      </c>
    </row>
    <row r="114" spans="1:2" x14ac:dyDescent="0.25">
      <c r="A114" s="62" t="s">
        <v>432</v>
      </c>
      <c r="B114" t="str">
        <f>VLOOKUP(A114,All!A:A,1,FALSE)</f>
        <v>Evanston (Twp.)</v>
      </c>
    </row>
    <row r="115" spans="1:2" x14ac:dyDescent="0.25">
      <c r="A115" s="62" t="s">
        <v>443</v>
      </c>
      <c r="B115" t="str">
        <f>VLOOKUP(A115,All!A:A,1,FALSE)</f>
        <v>Flossmoor (Homewood-F.)</v>
      </c>
    </row>
    <row r="116" spans="1:2" x14ac:dyDescent="0.25">
      <c r="A116" s="62" t="s">
        <v>445</v>
      </c>
      <c r="B116" t="str">
        <f>VLOOKUP(A116,All!A:A,1,FALSE)</f>
        <v>Fox Lake (Grant)</v>
      </c>
    </row>
    <row r="117" spans="1:2" x14ac:dyDescent="0.25">
      <c r="A117" s="62" t="s">
        <v>447</v>
      </c>
      <c r="B117" t="str">
        <f>VLOOKUP(A117,All!A:A,1,FALSE)</f>
        <v>Franklin Park-Northlake (Leyden)</v>
      </c>
    </row>
    <row r="118" spans="1:2" x14ac:dyDescent="0.25">
      <c r="A118" s="62" t="s">
        <v>449</v>
      </c>
      <c r="B118" t="str">
        <f>VLOOKUP(A118,All!A:A,1,FALSE)</f>
        <v>Freeport (H.S.)</v>
      </c>
    </row>
    <row r="119" spans="1:2" x14ac:dyDescent="0.25">
      <c r="A119" s="62" t="s">
        <v>457</v>
      </c>
      <c r="B119" t="str">
        <f>VLOOKUP(A119,All!A:A,1,FALSE)</f>
        <v>Geneva</v>
      </c>
    </row>
    <row r="120" spans="1:2" x14ac:dyDescent="0.25">
      <c r="A120" s="62" t="s">
        <v>466</v>
      </c>
      <c r="B120" t="str">
        <f>VLOOKUP(A120,All!A:A,1,FALSE)</f>
        <v>Glen Ellyn (Glenbard South)</v>
      </c>
    </row>
    <row r="121" spans="1:2" x14ac:dyDescent="0.25">
      <c r="A121" s="62" t="s">
        <v>467</v>
      </c>
      <c r="B121" t="str">
        <f>VLOOKUP(A121,All!A:A,1,FALSE)</f>
        <v>Glen Ellyn (Glenbard West)</v>
      </c>
    </row>
    <row r="122" spans="1:2" x14ac:dyDescent="0.25">
      <c r="A122" s="62" t="s">
        <v>468</v>
      </c>
      <c r="B122" t="str">
        <f>VLOOKUP(A122,All!A:A,1,FALSE)</f>
        <v>Glenview (Glenbrook South)</v>
      </c>
    </row>
    <row r="123" spans="1:2" x14ac:dyDescent="0.25">
      <c r="A123" s="62" t="s">
        <v>474</v>
      </c>
      <c r="B123" t="str">
        <f>VLOOKUP(A123,All!A:A,1,FALSE)</f>
        <v>Grayslake (Central)</v>
      </c>
    </row>
    <row r="124" spans="1:2" x14ac:dyDescent="0.25">
      <c r="A124" s="62" t="s">
        <v>475</v>
      </c>
      <c r="B124" t="str">
        <f>VLOOKUP(A124,All!A:A,1,FALSE)</f>
        <v>Grayslake (North)</v>
      </c>
    </row>
    <row r="125" spans="1:2" x14ac:dyDescent="0.25">
      <c r="A125" s="62" t="s">
        <v>481</v>
      </c>
      <c r="B125" t="str">
        <f>VLOOKUP(A125,All!A:A,1,FALSE)</f>
        <v>Gurnee (Warren)</v>
      </c>
    </row>
    <row r="126" spans="1:2" x14ac:dyDescent="0.25">
      <c r="A126" s="62" t="s">
        <v>483</v>
      </c>
      <c r="B126" t="str">
        <f>VLOOKUP(A126,All!A:A,1,FALSE)</f>
        <v>Hampshire</v>
      </c>
    </row>
    <row r="127" spans="1:2" x14ac:dyDescent="0.25">
      <c r="A127" s="62" t="s">
        <v>488</v>
      </c>
      <c r="B127" t="str">
        <f>VLOOKUP(A127,All!A:A,1,FALSE)</f>
        <v>Harvard</v>
      </c>
    </row>
    <row r="128" spans="1:2" x14ac:dyDescent="0.25">
      <c r="A128" s="62" t="s">
        <v>497</v>
      </c>
      <c r="B128" t="str">
        <f>VLOOKUP(A128,All!A:A,1,FALSE)</f>
        <v>Highland Park</v>
      </c>
    </row>
    <row r="129" spans="1:2" x14ac:dyDescent="0.25">
      <c r="A129" s="62" t="s">
        <v>499</v>
      </c>
      <c r="B129" t="str">
        <f>VLOOKUP(A129,All!A:A,1,FALSE)</f>
        <v>Hillside (Proviso West)</v>
      </c>
    </row>
    <row r="130" spans="1:2" x14ac:dyDescent="0.25">
      <c r="A130" s="62" t="s">
        <v>501</v>
      </c>
      <c r="B130" t="str">
        <f>VLOOKUP(A130,All!A:A,1,FALSE)</f>
        <v>Hinsdale (Central)</v>
      </c>
    </row>
    <row r="131" spans="1:2" x14ac:dyDescent="0.25">
      <c r="A131" s="62" t="s">
        <v>502</v>
      </c>
      <c r="B131" t="str">
        <f>VLOOKUP(A131,All!A:A,1,FALSE)</f>
        <v>Hoffman Estates (Conant)</v>
      </c>
    </row>
    <row r="132" spans="1:2" x14ac:dyDescent="0.25">
      <c r="A132" s="62" t="s">
        <v>503</v>
      </c>
      <c r="B132" t="str">
        <f>VLOOKUP(A132,All!A:A,1,FALSE)</f>
        <v>Hoffman Estates (H.S.)</v>
      </c>
    </row>
    <row r="133" spans="1:2" x14ac:dyDescent="0.25">
      <c r="A133" s="62" t="s">
        <v>506</v>
      </c>
      <c r="B133" t="str">
        <f>VLOOKUP(A133,All!A:A,1,FALSE)</f>
        <v>Huntley</v>
      </c>
    </row>
    <row r="134" spans="1:2" x14ac:dyDescent="0.25">
      <c r="A134" s="62" t="s">
        <v>518</v>
      </c>
      <c r="B134" t="str">
        <f>VLOOKUP(A134,All!A:A,1,FALSE)</f>
        <v>Joliet (Central)</v>
      </c>
    </row>
    <row r="135" spans="1:2" x14ac:dyDescent="0.25">
      <c r="A135" s="62" t="s">
        <v>519</v>
      </c>
      <c r="B135" t="str">
        <f>VLOOKUP(A135,All!A:A,1,FALSE)</f>
        <v>Joliet (West)</v>
      </c>
    </row>
    <row r="136" spans="1:2" x14ac:dyDescent="0.25">
      <c r="A136" s="62" t="s">
        <v>524</v>
      </c>
      <c r="B136" t="str">
        <f>VLOOKUP(A136,All!A:A,1,FALSE)</f>
        <v>Kankakee (Sr.)</v>
      </c>
    </row>
    <row r="137" spans="1:2" x14ac:dyDescent="0.25">
      <c r="A137" s="62" t="s">
        <v>530</v>
      </c>
      <c r="B137" t="str">
        <f>VLOOKUP(A137,All!A:A,1,FALSE)</f>
        <v>LaGrange (Lyons)</v>
      </c>
    </row>
    <row r="138" spans="1:2" x14ac:dyDescent="0.25">
      <c r="A138" s="62" t="s">
        <v>536</v>
      </c>
      <c r="B138" t="str">
        <f>VLOOKUP(A138,All!A:A,1,FALSE)</f>
        <v>Lake Villa (Lakes)</v>
      </c>
    </row>
    <row r="139" spans="1:2" x14ac:dyDescent="0.25">
      <c r="A139" s="62" t="s">
        <v>537</v>
      </c>
      <c r="B139" t="str">
        <f>VLOOKUP(A139,All!A:A,1,FALSE)</f>
        <v>Lake Zurich</v>
      </c>
    </row>
    <row r="140" spans="1:2" x14ac:dyDescent="0.25">
      <c r="A140" s="62" t="s">
        <v>549</v>
      </c>
      <c r="B140" t="str">
        <f>VLOOKUP(A140,All!A:A,1,FALSE)</f>
        <v>Libertyville</v>
      </c>
    </row>
    <row r="141" spans="1:2" x14ac:dyDescent="0.25">
      <c r="A141" s="62" t="s">
        <v>551</v>
      </c>
      <c r="B141" t="str">
        <f>VLOOKUP(A141,All!A:A,1,FALSE)</f>
        <v>Lincolnshire (Stevenson)</v>
      </c>
    </row>
    <row r="142" spans="1:2" x14ac:dyDescent="0.25">
      <c r="A142" s="62" t="s">
        <v>552</v>
      </c>
      <c r="B142" t="str">
        <f>VLOOKUP(A142,All!A:A,1,FALSE)</f>
        <v>Lisle (Benet Academy)</v>
      </c>
    </row>
    <row r="143" spans="1:2" x14ac:dyDescent="0.25">
      <c r="A143" s="62" t="s">
        <v>557</v>
      </c>
      <c r="B143" t="str">
        <f>VLOOKUP(A143,All!A:A,1,FALSE)</f>
        <v>Lombard (Glenbard East)</v>
      </c>
    </row>
    <row r="144" spans="1:2" x14ac:dyDescent="0.25">
      <c r="A144" s="62" t="s">
        <v>562</v>
      </c>
      <c r="B144" t="str">
        <f>VLOOKUP(A144,All!A:A,1,FALSE)</f>
        <v>Machesney Park (Harlem)</v>
      </c>
    </row>
    <row r="145" spans="1:2" x14ac:dyDescent="0.25">
      <c r="A145" s="62" t="s">
        <v>567</v>
      </c>
      <c r="B145" t="str">
        <f>VLOOKUP(A145,All!A:A,1,FALSE)</f>
        <v>Mahomet (M.-Seymour)</v>
      </c>
    </row>
    <row r="146" spans="1:2" x14ac:dyDescent="0.25">
      <c r="A146" s="62" t="s">
        <v>581</v>
      </c>
      <c r="B146" t="str">
        <f>VLOOKUP(A146,All!A:A,1,FALSE)</f>
        <v>Mascoutah</v>
      </c>
    </row>
    <row r="147" spans="1:2" x14ac:dyDescent="0.25">
      <c r="A147" s="62" t="s">
        <v>584</v>
      </c>
      <c r="B147" t="str">
        <f>VLOOKUP(A147,All!A:A,1,FALSE)</f>
        <v>Maywood (Proviso East)</v>
      </c>
    </row>
    <row r="148" spans="1:2" x14ac:dyDescent="0.25">
      <c r="A148" s="62" t="s">
        <v>585</v>
      </c>
      <c r="B148" t="str">
        <f>VLOOKUP(A148,All!A:A,1,FALSE)</f>
        <v>McHenry</v>
      </c>
    </row>
    <row r="149" spans="1:2" x14ac:dyDescent="0.25">
      <c r="A149" s="62" t="s">
        <v>587</v>
      </c>
      <c r="B149" t="str">
        <f>VLOOKUP(A149,All!A:A,1,FALSE)</f>
        <v>Melrose Park (Walther Christian)</v>
      </c>
    </row>
    <row r="150" spans="1:2" x14ac:dyDescent="0.25">
      <c r="A150" s="62" t="s">
        <v>594</v>
      </c>
      <c r="B150" t="str">
        <f>VLOOKUP(A150,All!A:A,1,FALSE)</f>
        <v>Midlothian (Bremen)</v>
      </c>
    </row>
    <row r="151" spans="1:2" x14ac:dyDescent="0.25">
      <c r="A151" s="62" t="s">
        <v>598</v>
      </c>
      <c r="B151" t="str">
        <f>VLOOKUP(A151,All!A:A,1,FALSE)</f>
        <v>Minooka</v>
      </c>
    </row>
    <row r="152" spans="1:2" x14ac:dyDescent="0.25">
      <c r="A152" s="62" t="s">
        <v>615</v>
      </c>
      <c r="B152" t="str">
        <f>VLOOKUP(A152,All!A:A,1,FALSE)</f>
        <v>Mt. Prospect (Prospect)</v>
      </c>
    </row>
    <row r="153" spans="1:2" x14ac:dyDescent="0.25">
      <c r="A153" s="62" t="s">
        <v>621</v>
      </c>
      <c r="B153" t="str">
        <f>VLOOKUP(A153,All!A:A,1,FALSE)</f>
        <v>Mundelein (Carmel)</v>
      </c>
    </row>
    <row r="154" spans="1:2" x14ac:dyDescent="0.25">
      <c r="A154" s="62" t="s">
        <v>623</v>
      </c>
      <c r="B154" t="str">
        <f>VLOOKUP(A154,All!A:A,1,FALSE)</f>
        <v>Mundelein (H.S.)</v>
      </c>
    </row>
    <row r="155" spans="1:2" x14ac:dyDescent="0.25">
      <c r="A155" s="62" t="s">
        <v>627</v>
      </c>
      <c r="B155" t="str">
        <f>VLOOKUP(A155,All!A:A,1,FALSE)</f>
        <v>Naperville (Central)</v>
      </c>
    </row>
    <row r="156" spans="1:2" x14ac:dyDescent="0.25">
      <c r="A156" s="62" t="s">
        <v>629</v>
      </c>
      <c r="B156" t="str">
        <f>VLOOKUP(A156,All!A:A,1,FALSE)</f>
        <v>Naperville (North)</v>
      </c>
    </row>
    <row r="157" spans="1:2" x14ac:dyDescent="0.25">
      <c r="A157" s="62" t="s">
        <v>651</v>
      </c>
      <c r="B157" t="str">
        <f>VLOOKUP(A157,All!A:A,1,FALSE)</f>
        <v>North Chicago</v>
      </c>
    </row>
    <row r="158" spans="1:2" x14ac:dyDescent="0.25">
      <c r="A158" s="62" t="s">
        <v>652</v>
      </c>
      <c r="B158" t="str">
        <f>VLOOKUP(A158,All!A:A,1,FALSE)</f>
        <v>Northbrook (Glenbrook North)</v>
      </c>
    </row>
    <row r="159" spans="1:2" x14ac:dyDescent="0.25">
      <c r="A159" s="62" t="s">
        <v>656</v>
      </c>
      <c r="B159" t="str">
        <f>VLOOKUP(A159,All!A:A,1,FALSE)</f>
        <v>Oak Lawn (Community)</v>
      </c>
    </row>
    <row r="160" spans="1:2" x14ac:dyDescent="0.25">
      <c r="A160" s="62" t="s">
        <v>657</v>
      </c>
      <c r="B160" t="str">
        <f>VLOOKUP(A160,All!A:A,1,FALSE)</f>
        <v>Oak Lawn (Richards)</v>
      </c>
    </row>
    <row r="161" spans="1:2" x14ac:dyDescent="0.25">
      <c r="A161" s="62" t="s">
        <v>658</v>
      </c>
      <c r="B161" t="str">
        <f>VLOOKUP(A161,All!A:A,1,FALSE)</f>
        <v>Oak Park (Fenwick)</v>
      </c>
    </row>
    <row r="162" spans="1:2" x14ac:dyDescent="0.25">
      <c r="A162" s="62" t="s">
        <v>660</v>
      </c>
      <c r="B162" t="str">
        <f>VLOOKUP(A162,All!A:A,1,FALSE)</f>
        <v>Oak Park (O.P.-River Forest)</v>
      </c>
    </row>
    <row r="163" spans="1:2" x14ac:dyDescent="0.25">
      <c r="A163" s="62" t="s">
        <v>673</v>
      </c>
      <c r="B163" t="str">
        <f>VLOOKUP(A163,All!A:A,1,FALSE)</f>
        <v>Orland Park (Sandburg)</v>
      </c>
    </row>
    <row r="164" spans="1:2" x14ac:dyDescent="0.25">
      <c r="A164" s="62" t="s">
        <v>674</v>
      </c>
      <c r="B164" t="str">
        <f>VLOOKUP(A164,All!A:A,1,FALSE)</f>
        <v>Oswego (East)</v>
      </c>
    </row>
    <row r="165" spans="1:2" x14ac:dyDescent="0.25">
      <c r="A165" s="62" t="s">
        <v>675</v>
      </c>
      <c r="B165" t="str">
        <f>VLOOKUP(A165,All!A:A,1,FALSE)</f>
        <v>Oswego (H.S.)</v>
      </c>
    </row>
    <row r="166" spans="1:2" x14ac:dyDescent="0.25">
      <c r="A166" s="62" t="s">
        <v>678</v>
      </c>
      <c r="B166" t="str">
        <f>VLOOKUP(A166,All!A:A,1,FALSE)</f>
        <v>Palatine (Fremd)</v>
      </c>
    </row>
    <row r="167" spans="1:2" x14ac:dyDescent="0.25">
      <c r="A167" s="62" t="s">
        <v>679</v>
      </c>
      <c r="B167" t="str">
        <f>VLOOKUP(A167,All!A:A,1,FALSE)</f>
        <v>Palatine (H.S.)</v>
      </c>
    </row>
    <row r="168" spans="1:2" x14ac:dyDescent="0.25">
      <c r="A168" s="62" t="s">
        <v>683</v>
      </c>
      <c r="B168" t="str">
        <f>VLOOKUP(A168,All!A:A,1,FALSE)</f>
        <v>Palos Heights (Shepard)</v>
      </c>
    </row>
    <row r="169" spans="1:2" x14ac:dyDescent="0.25">
      <c r="A169" s="62" t="s">
        <v>684</v>
      </c>
      <c r="B169" t="str">
        <f>VLOOKUP(A169,All!A:A,1,FALSE)</f>
        <v>Palos Hills (Stagg)</v>
      </c>
    </row>
    <row r="170" spans="1:2" x14ac:dyDescent="0.25">
      <c r="A170" s="62" t="s">
        <v>687</v>
      </c>
      <c r="B170" t="str">
        <f>VLOOKUP(A170,All!A:A,1,FALSE)</f>
        <v>Park Ridge (Maine East)</v>
      </c>
    </row>
    <row r="171" spans="1:2" x14ac:dyDescent="0.25">
      <c r="A171" s="62" t="s">
        <v>688</v>
      </c>
      <c r="B171" t="str">
        <f>VLOOKUP(A171,All!A:A,1,FALSE)</f>
        <v>Park Ridge (Maine South)</v>
      </c>
    </row>
    <row r="172" spans="1:2" x14ac:dyDescent="0.25">
      <c r="A172" s="62" t="s">
        <v>696</v>
      </c>
      <c r="B172" t="str">
        <f>VLOOKUP(A172,All!A:A,1,FALSE)</f>
        <v>Peoria (H.S.)</v>
      </c>
    </row>
    <row r="173" spans="1:2" x14ac:dyDescent="0.25">
      <c r="A173" s="62" t="s">
        <v>697</v>
      </c>
      <c r="B173" t="str">
        <f>VLOOKUP(A173,All!A:A,1,FALSE)</f>
        <v>Peoria (Manual)</v>
      </c>
    </row>
    <row r="174" spans="1:2" x14ac:dyDescent="0.25">
      <c r="A174" s="62" t="s">
        <v>702</v>
      </c>
      <c r="B174" t="str">
        <f>VLOOKUP(A174,All!A:A,1,FALSE)</f>
        <v>Peoria (Richwoods)</v>
      </c>
    </row>
    <row r="175" spans="1:2" x14ac:dyDescent="0.25">
      <c r="A175" s="62" t="s">
        <v>711</v>
      </c>
      <c r="B175" t="str">
        <f>VLOOKUP(A175,All!A:A,1,FALSE)</f>
        <v>Plainfield (Central)</v>
      </c>
    </row>
    <row r="176" spans="1:2" x14ac:dyDescent="0.25">
      <c r="A176" s="62" t="s">
        <v>712</v>
      </c>
      <c r="B176" t="str">
        <f>VLOOKUP(A176,All!A:A,1,FALSE)</f>
        <v>Plainfield (East)</v>
      </c>
    </row>
    <row r="177" spans="1:2" x14ac:dyDescent="0.25">
      <c r="A177" s="62" t="s">
        <v>713</v>
      </c>
      <c r="B177" t="str">
        <f>VLOOKUP(A177,All!A:A,1,FALSE)</f>
        <v>Plainfield (North)</v>
      </c>
    </row>
    <row r="178" spans="1:2" x14ac:dyDescent="0.25">
      <c r="A178" s="62" t="s">
        <v>714</v>
      </c>
      <c r="B178" t="str">
        <f>VLOOKUP(A178,All!A:A,1,FALSE)</f>
        <v>Plainfield (South)</v>
      </c>
    </row>
    <row r="179" spans="1:2" x14ac:dyDescent="0.25">
      <c r="A179" s="62" t="s">
        <v>732</v>
      </c>
      <c r="B179" t="str">
        <f>VLOOKUP(A179,All!A:A,1,FALSE)</f>
        <v>Richton Park (Rich Township)</v>
      </c>
    </row>
    <row r="180" spans="1:2" x14ac:dyDescent="0.25">
      <c r="A180" s="62" t="s">
        <v>735</v>
      </c>
      <c r="B180" t="str">
        <f>VLOOKUP(A180,All!A:A,1,FALSE)</f>
        <v>River Forest (Trinity)</v>
      </c>
    </row>
    <row r="181" spans="1:2" x14ac:dyDescent="0.25">
      <c r="A181" s="62" t="s">
        <v>747</v>
      </c>
      <c r="B181" t="str">
        <f>VLOOKUP(A181,All!A:A,1,FALSE)</f>
        <v>Rockford (Auburn)</v>
      </c>
    </row>
    <row r="182" spans="1:2" x14ac:dyDescent="0.25">
      <c r="A182" s="62" t="s">
        <v>748</v>
      </c>
      <c r="B182" t="str">
        <f>VLOOKUP(A182,All!A:A,1,FALSE)</f>
        <v>Rockford (Boylan Catholic)</v>
      </c>
    </row>
    <row r="183" spans="1:2" x14ac:dyDescent="0.25">
      <c r="A183" s="62" t="s">
        <v>750</v>
      </c>
      <c r="B183" t="str">
        <f>VLOOKUP(A183,All!A:A,1,FALSE)</f>
        <v>Rockford (East)</v>
      </c>
    </row>
    <row r="184" spans="1:2" x14ac:dyDescent="0.25">
      <c r="A184" s="62" t="s">
        <v>751</v>
      </c>
      <c r="B184" t="str">
        <f>VLOOKUP(A184,All!A:A,1,FALSE)</f>
        <v>Rockford (Guilford)</v>
      </c>
    </row>
    <row r="185" spans="1:2" x14ac:dyDescent="0.25">
      <c r="A185" s="62" t="s">
        <v>752</v>
      </c>
      <c r="B185" t="str">
        <f>VLOOKUP(A185,All!A:A,1,FALSE)</f>
        <v>Rockford (Jefferson)</v>
      </c>
    </row>
    <row r="186" spans="1:2" x14ac:dyDescent="0.25">
      <c r="A186" s="62" t="s">
        <v>757</v>
      </c>
      <c r="B186" t="str">
        <f>VLOOKUP(A186,All!A:A,1,FALSE)</f>
        <v>Rockton (Hononegah)</v>
      </c>
    </row>
    <row r="187" spans="1:2" x14ac:dyDescent="0.25">
      <c r="A187" s="62" t="s">
        <v>758</v>
      </c>
      <c r="B187" t="str">
        <f>VLOOKUP(A187,All!A:A,1,FALSE)</f>
        <v>Rolling Meadows</v>
      </c>
    </row>
    <row r="188" spans="1:2" x14ac:dyDescent="0.25">
      <c r="A188" s="62" t="s">
        <v>759</v>
      </c>
      <c r="B188" t="str">
        <f>VLOOKUP(A188,All!A:A,1,FALSE)</f>
        <v>Romeoville (H.S.)</v>
      </c>
    </row>
    <row r="189" spans="1:2" x14ac:dyDescent="0.25">
      <c r="A189" s="62" t="s">
        <v>760</v>
      </c>
      <c r="B189" t="str">
        <f>VLOOKUP(A189,All!A:A,1,FALSE)</f>
        <v>Roselle (Lake Park)</v>
      </c>
    </row>
    <row r="190" spans="1:2" x14ac:dyDescent="0.25">
      <c r="A190" s="62" t="s">
        <v>761</v>
      </c>
      <c r="B190" t="str">
        <f>VLOOKUP(A190,All!A:A,1,FALSE)</f>
        <v>Round Lake</v>
      </c>
    </row>
    <row r="191" spans="1:2" x14ac:dyDescent="0.25">
      <c r="A191" s="62" t="s">
        <v>767</v>
      </c>
      <c r="B191" t="str">
        <f>VLOOKUP(A191,All!A:A,1,FALSE)</f>
        <v>Schaumburg (H.S.)</v>
      </c>
    </row>
    <row r="192" spans="1:2" x14ac:dyDescent="0.25">
      <c r="A192" s="62" t="s">
        <v>777</v>
      </c>
      <c r="B192" t="str">
        <f>VLOOKUP(A192,All!A:A,1,FALSE)</f>
        <v>Skokie (Niles North)</v>
      </c>
    </row>
    <row r="193" spans="1:2" x14ac:dyDescent="0.25">
      <c r="A193" s="62" t="s">
        <v>778</v>
      </c>
      <c r="B193" t="str">
        <f>VLOOKUP(A193,All!A:A,1,FALSE)</f>
        <v>Skokie (Niles West)</v>
      </c>
    </row>
    <row r="194" spans="1:2" x14ac:dyDescent="0.25">
      <c r="A194" s="62" t="s">
        <v>783</v>
      </c>
      <c r="B194" t="str">
        <f>VLOOKUP(A194,All!A:A,1,FALSE)</f>
        <v>South Elgin</v>
      </c>
    </row>
    <row r="195" spans="1:2" x14ac:dyDescent="0.25">
      <c r="A195" s="63" t="s">
        <v>784</v>
      </c>
      <c r="B195" s="64" t="str">
        <f>VLOOKUP(A195,All!A:A,1,FALSE)</f>
        <v>South Holland (Thornwood)</v>
      </c>
    </row>
    <row r="196" spans="1:2" x14ac:dyDescent="0.25">
      <c r="A196" s="62" t="s">
        <v>796</v>
      </c>
      <c r="B196" t="str">
        <f>VLOOKUP(A196,All!A:A,1,FALSE)</f>
        <v>St. Charles (East)</v>
      </c>
    </row>
    <row r="197" spans="1:2" x14ac:dyDescent="0.25">
      <c r="A197" s="62" t="s">
        <v>797</v>
      </c>
      <c r="B197" t="str">
        <f>VLOOKUP(A197,All!A:A,1,FALSE)</f>
        <v>St. Charles (North)</v>
      </c>
    </row>
    <row r="198" spans="1:2" x14ac:dyDescent="0.25">
      <c r="A198" s="62" t="s">
        <v>809</v>
      </c>
      <c r="B198" t="str">
        <f>VLOOKUP(A198,All!A:A,1,FALSE)</f>
        <v>Streamwood</v>
      </c>
    </row>
    <row r="199" spans="1:2" x14ac:dyDescent="0.25">
      <c r="A199" s="62" t="s">
        <v>813</v>
      </c>
      <c r="B199" t="str">
        <f>VLOOKUP(A199,All!A:A,1,FALSE)</f>
        <v>Summit (Argo)</v>
      </c>
    </row>
    <row r="200" spans="1:2" x14ac:dyDescent="0.25">
      <c r="A200" s="62" t="s">
        <v>819</v>
      </c>
      <c r="B200" t="str">
        <f>VLOOKUP(A200,All!A:A,1,FALSE)</f>
        <v>Tinley Park (Andrew)</v>
      </c>
    </row>
    <row r="201" spans="1:2" x14ac:dyDescent="0.25">
      <c r="A201" s="62" t="s">
        <v>829</v>
      </c>
      <c r="B201" t="str">
        <f>VLOOKUP(A201,All!A:A,1,FALSE)</f>
        <v>Urbana (H.S.)</v>
      </c>
    </row>
    <row r="202" spans="1:2" x14ac:dyDescent="0.25">
      <c r="A202" s="62" t="s">
        <v>835</v>
      </c>
      <c r="B202" t="str">
        <f>VLOOKUP(A202,All!A:A,1,FALSE)</f>
        <v>Vernon Hills</v>
      </c>
    </row>
    <row r="203" spans="1:2" x14ac:dyDescent="0.25">
      <c r="A203" s="62" t="s">
        <v>839</v>
      </c>
      <c r="B203" t="str">
        <f>VLOOKUP(A203,All!A:A,1,FALSE)</f>
        <v>Villa Park (Willowbrook)</v>
      </c>
    </row>
    <row r="204" spans="1:2" x14ac:dyDescent="0.25">
      <c r="A204" s="62" t="s">
        <v>852</v>
      </c>
      <c r="B204" t="str">
        <f>VLOOKUP(A204,All!A:A,1,FALSE)</f>
        <v>Wauconda</v>
      </c>
    </row>
    <row r="205" spans="1:2" x14ac:dyDescent="0.25">
      <c r="A205" s="62" t="s">
        <v>855</v>
      </c>
      <c r="B205" t="str">
        <f>VLOOKUP(A205,All!A:A,1,FALSE)</f>
        <v>Waukegan (H.S.)</v>
      </c>
    </row>
    <row r="206" spans="1:2" x14ac:dyDescent="0.25">
      <c r="A206" s="62" t="s">
        <v>858</v>
      </c>
      <c r="B206" t="str">
        <f>VLOOKUP(A206,All!A:A,1,FALSE)</f>
        <v>West Chicago (H.S.)</v>
      </c>
    </row>
    <row r="207" spans="1:2" x14ac:dyDescent="0.25">
      <c r="A207" s="62" t="s">
        <v>865</v>
      </c>
      <c r="B207" t="str">
        <f>VLOOKUP(A207,All!A:A,1,FALSE)</f>
        <v>Wheaton (North)</v>
      </c>
    </row>
    <row r="208" spans="1:2" x14ac:dyDescent="0.25">
      <c r="A208" s="62" t="s">
        <v>866</v>
      </c>
      <c r="B208" t="str">
        <f>VLOOKUP(A208,All!A:A,1,FALSE)</f>
        <v>Wheaton (St. Francis)</v>
      </c>
    </row>
    <row r="209" spans="1:2" x14ac:dyDescent="0.25">
      <c r="A209" s="62" t="s">
        <v>868</v>
      </c>
      <c r="B209" t="str">
        <f>VLOOKUP(A209,All!A:A,1,FALSE)</f>
        <v>Wheaton (W. Warrenville South)</v>
      </c>
    </row>
    <row r="210" spans="1:2" x14ac:dyDescent="0.25">
      <c r="A210" s="62" t="s">
        <v>869</v>
      </c>
      <c r="B210" t="str">
        <f>VLOOKUP(A210,All!A:A,1,FALSE)</f>
        <v>Wheeling</v>
      </c>
    </row>
    <row r="211" spans="1:2" x14ac:dyDescent="0.25">
      <c r="A211" s="62" t="s">
        <v>873</v>
      </c>
      <c r="B211" t="str">
        <f>VLOOKUP(A211,All!A:A,1,FALSE)</f>
        <v>Wilmette (Loyola Academy)</v>
      </c>
    </row>
    <row r="212" spans="1:2" x14ac:dyDescent="0.25">
      <c r="A212" s="62" t="s">
        <v>875</v>
      </c>
      <c r="B212" t="str">
        <f>VLOOKUP(A212,All!A:A,1,FALSE)</f>
        <v>Wilmette (Regina Dominican)</v>
      </c>
    </row>
    <row r="213" spans="1:2" x14ac:dyDescent="0.25">
      <c r="A213" s="62" t="s">
        <v>881</v>
      </c>
      <c r="B213" t="str">
        <f>VLOOKUP(A213,All!A:A,1,FALSE)</f>
        <v>Winnetka (New Trier)</v>
      </c>
    </row>
    <row r="214" spans="1:2" x14ac:dyDescent="0.25">
      <c r="A214" s="62" t="s">
        <v>892</v>
      </c>
      <c r="B214" t="str">
        <f>VLOOKUP(A214,All!A:A,1,FALSE)</f>
        <v>Yorkville (H.S.)</v>
      </c>
    </row>
    <row r="215" spans="1:2" x14ac:dyDescent="0.25">
      <c r="A215" s="62" t="s">
        <v>898</v>
      </c>
      <c r="B215" t="str">
        <f>VLOOKUP(A215,All!A:A,1,FALSE)</f>
        <v>Zion (Z.-Benton)</v>
      </c>
    </row>
  </sheetData>
  <sortState xmlns:xlrd2="http://schemas.microsoft.com/office/spreadsheetml/2017/richdata2" ref="A1:A218">
    <sortCondition ref="A1:A2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621D-B041-4933-B801-8320B774602F}">
  <dimension ref="A1:O49"/>
  <sheetViews>
    <sheetView zoomScale="85" zoomScaleNormal="85" workbookViewId="0">
      <selection activeCell="P20" sqref="P19:P20"/>
    </sheetView>
  </sheetViews>
  <sheetFormatPr defaultRowHeight="15" x14ac:dyDescent="0.25"/>
  <cols>
    <col min="1" max="2" width="9.140625" style="60"/>
  </cols>
  <sheetData>
    <row r="1" spans="1:15" ht="15.75" thickBot="1" x14ac:dyDescent="0.3">
      <c r="C1" t="s">
        <v>1106</v>
      </c>
      <c r="D1" t="s">
        <v>1107</v>
      </c>
      <c r="F1" t="s">
        <v>1108</v>
      </c>
      <c r="G1" t="s">
        <v>1109</v>
      </c>
      <c r="H1" t="s">
        <v>1110</v>
      </c>
      <c r="I1" t="s">
        <v>1111</v>
      </c>
      <c r="K1" t="s">
        <v>1112</v>
      </c>
      <c r="L1" t="s">
        <v>1113</v>
      </c>
      <c r="M1" t="s">
        <v>1114</v>
      </c>
      <c r="O1" t="s">
        <v>1116</v>
      </c>
    </row>
    <row r="2" spans="1:15" ht="15.75" thickBot="1" x14ac:dyDescent="0.3">
      <c r="C2" s="16" t="s">
        <v>975</v>
      </c>
      <c r="D2" s="16" t="s">
        <v>977</v>
      </c>
      <c r="F2" s="16" t="s">
        <v>899</v>
      </c>
      <c r="G2" s="16" t="s">
        <v>900</v>
      </c>
      <c r="H2" s="16" t="s">
        <v>901</v>
      </c>
      <c r="I2" s="16" t="s">
        <v>902</v>
      </c>
      <c r="K2" s="16" t="s">
        <v>2</v>
      </c>
      <c r="L2" s="16" t="s">
        <v>3</v>
      </c>
      <c r="M2" s="16" t="s">
        <v>4</v>
      </c>
      <c r="O2" s="16" t="s">
        <v>1115</v>
      </c>
    </row>
    <row r="3" spans="1:15" x14ac:dyDescent="0.25">
      <c r="B3" s="60" t="s">
        <v>9</v>
      </c>
      <c r="C3">
        <f>COUNTIFS(All!K:K,'All by Sport'!B3)</f>
        <v>172</v>
      </c>
      <c r="D3">
        <f>COUNTIFS(All!M:M,'All by Sport'!B3)</f>
        <v>249</v>
      </c>
      <c r="F3">
        <f>COUNTIFS(All!P:P,'All by Sport'!B3)</f>
        <v>254</v>
      </c>
      <c r="G3">
        <f>COUNTIFS(All!Q:Q,'All by Sport'!B3)</f>
        <v>203</v>
      </c>
      <c r="H3">
        <f>COUNTIFS(All!R:R,'All by Sport'!B3)</f>
        <v>89</v>
      </c>
      <c r="I3">
        <f>COUNTIFS(All!S:S,'All by Sport'!B3)</f>
        <v>78</v>
      </c>
      <c r="K3">
        <f>COUNTIFS(All!X:X,'All by Sport'!B3)</f>
        <v>173</v>
      </c>
      <c r="L3">
        <f>COUNTIFS(All!Y:Y,'All by Sport'!B3)</f>
        <v>174</v>
      </c>
      <c r="M3">
        <f>COUNTIFS(All!Z:Z,'All by Sport'!B3)</f>
        <v>134</v>
      </c>
      <c r="O3">
        <f>COUNTIFS(All!AE:AE,'All by Sport'!B3)</f>
        <v>215</v>
      </c>
    </row>
    <row r="4" spans="1:15" x14ac:dyDescent="0.25">
      <c r="B4" s="60" t="s">
        <v>13</v>
      </c>
      <c r="C4">
        <f>COUNTIFS(All!K:K,'All by Sport'!B4)</f>
        <v>152</v>
      </c>
      <c r="D4">
        <f>COUNTIFS(All!M:M,'All by Sport'!B4)</f>
        <v>162</v>
      </c>
      <c r="F4">
        <f>COUNTIFS(All!P:P,'All by Sport'!B4)</f>
        <v>178</v>
      </c>
      <c r="G4">
        <f>COUNTIFS(All!Q:Q,'All by Sport'!B4)</f>
        <v>167</v>
      </c>
      <c r="H4">
        <f>COUNTIFS(All!R:R,'All by Sport'!B4)</f>
        <v>84</v>
      </c>
      <c r="I4">
        <f>COUNTIFS(All!S:S,'All by Sport'!B4)</f>
        <v>86</v>
      </c>
      <c r="K4">
        <f>COUNTIFS(All!X:X,'All by Sport'!B4)</f>
        <v>153</v>
      </c>
      <c r="L4">
        <f>COUNTIFS(All!Y:Y,'All by Sport'!B4)</f>
        <v>143</v>
      </c>
      <c r="M4">
        <f>COUNTIFS(All!Z:Z,'All by Sport'!B4)</f>
        <v>147</v>
      </c>
      <c r="O4">
        <f>COUNTIFS(All!AE:AE,'All by Sport'!B4)</f>
        <v>0</v>
      </c>
    </row>
    <row r="5" spans="1:15" x14ac:dyDescent="0.25">
      <c r="B5" s="60" t="s">
        <v>12</v>
      </c>
      <c r="C5">
        <f>COUNTIFS(All!K:K,'All by Sport'!B5)</f>
        <v>135</v>
      </c>
      <c r="D5">
        <f>COUNTIFS(All!M:M,'All by Sport'!B5)</f>
        <v>150</v>
      </c>
      <c r="F5">
        <f>COUNTIFS(All!P:P,'All by Sport'!B5)</f>
        <v>147</v>
      </c>
      <c r="G5">
        <f>COUNTIFS(All!Q:Q,'All by Sport'!B5)</f>
        <v>138</v>
      </c>
      <c r="H5">
        <f>COUNTIFS(All!R:R,'All by Sport'!B5)</f>
        <v>83</v>
      </c>
      <c r="I5">
        <f>COUNTIFS(All!S:S,'All by Sport'!B5)</f>
        <v>82</v>
      </c>
      <c r="K5">
        <f>COUNTIFS(All!X:X,'All by Sport'!B5)</f>
        <v>133</v>
      </c>
      <c r="L5">
        <f>COUNTIFS(All!Y:Y,'All by Sport'!B5)</f>
        <v>112</v>
      </c>
      <c r="M5">
        <f>COUNTIFS(All!Z:Z,'All by Sport'!B5)</f>
        <v>116</v>
      </c>
      <c r="O5">
        <f>COUNTIFS(All!AE:AE,'All by Sport'!B5)</f>
        <v>0</v>
      </c>
    </row>
    <row r="6" spans="1:15" x14ac:dyDescent="0.25">
      <c r="B6" s="60" t="s">
        <v>11</v>
      </c>
      <c r="C6">
        <f>COUNTIFS(All!K:K,'All by Sport'!B6)</f>
        <v>0</v>
      </c>
      <c r="D6">
        <f>COUNTIFS(All!M:M,'All by Sport'!B6)</f>
        <v>141</v>
      </c>
      <c r="F6">
        <f>COUNTIFS(All!P:P,'All by Sport'!B6)</f>
        <v>147</v>
      </c>
      <c r="G6">
        <f>COUNTIFS(All!Q:Q,'All by Sport'!B6)</f>
        <v>144</v>
      </c>
      <c r="H6">
        <f>COUNTIFS(All!R:R,'All by Sport'!B6)</f>
        <v>0</v>
      </c>
      <c r="I6">
        <f>COUNTIFS(All!S:S,'All by Sport'!B6)</f>
        <v>0</v>
      </c>
      <c r="K6">
        <f>COUNTIFS(All!X:X,'All by Sport'!B6)</f>
        <v>149</v>
      </c>
      <c r="L6">
        <f>COUNTIFS(All!Y:Y,'All by Sport'!B6)</f>
        <v>140</v>
      </c>
      <c r="M6">
        <f>COUNTIFS(All!Z:Z,'All by Sport'!B6)</f>
        <v>0</v>
      </c>
      <c r="O6">
        <f>COUNTIFS(All!AE:AE,'All by Sport'!B6)</f>
        <v>0</v>
      </c>
    </row>
    <row r="7" spans="1:15" x14ac:dyDescent="0.25">
      <c r="B7" s="61" t="s">
        <v>905</v>
      </c>
      <c r="H7">
        <f>COUNTIFS(All!R:R,'All by Sport'!B7)</f>
        <v>53</v>
      </c>
    </row>
    <row r="10" spans="1:15" x14ac:dyDescent="0.25">
      <c r="A10" s="65">
        <v>0</v>
      </c>
      <c r="B10" s="65" t="s">
        <v>9</v>
      </c>
      <c r="C10" s="64">
        <f>COUNTIFS(All!K:K,B10,All!$C:$C,'All by Sport'!A10)</f>
        <v>121</v>
      </c>
      <c r="D10" s="64">
        <f>COUNTIFS(All!M:M,B10,All!$C:$C,'All by Sport'!A10)</f>
        <v>199</v>
      </c>
      <c r="E10" s="64"/>
      <c r="F10" s="64">
        <f>COUNTIFS(All!M:M,B10,All!$C:$C,'All by Sport'!A10)</f>
        <v>199</v>
      </c>
      <c r="G10" s="64">
        <f>COUNTIFS(All!Q:Q,B10,All!$C:$C,'All by Sport'!A10)</f>
        <v>166</v>
      </c>
      <c r="H10" s="64">
        <f>COUNTIFS(All!R:R,B10,All!$C:$C,'All by Sport'!A10)</f>
        <v>77</v>
      </c>
      <c r="I10" s="64">
        <f>COUNTIFS(All!S:S,B10,All!$C:$C,'All by Sport'!A10)</f>
        <v>64</v>
      </c>
      <c r="J10" s="64"/>
      <c r="K10" s="64">
        <f>COUNTIFS(All!$B:$B,"private",All!X:X,'All by Sport'!B10,All!$C:$C,'All by Sport'!A10)</f>
        <v>0</v>
      </c>
      <c r="L10" s="64">
        <f>COUNTIFS(All!Y:Y,'All by Sport'!B10,All!$C:$C,'All by Sport'!A10)</f>
        <v>154</v>
      </c>
      <c r="M10" s="64">
        <f>COUNTIFS(All!Z:Z,'All by Sport'!B10,All!$C:$C,'All by Sport'!A10)</f>
        <v>89</v>
      </c>
      <c r="N10" s="64"/>
      <c r="O10" s="64">
        <f>COUNTIFS(All!AE:AE,B10,All!$C:$C,'All by Sport'!A10)</f>
        <v>193</v>
      </c>
    </row>
    <row r="11" spans="1:15" x14ac:dyDescent="0.25">
      <c r="A11" s="60">
        <v>1</v>
      </c>
      <c r="B11" s="60" t="s">
        <v>9</v>
      </c>
      <c r="C11">
        <f>COUNTIFS(All!K:K,B11,All!$C:$C,'All by Sport'!A11)</f>
        <v>5</v>
      </c>
      <c r="D11">
        <f>COUNTIFS(All!M:M,B11,All!$C:$C,'All by Sport'!A11)</f>
        <v>6</v>
      </c>
      <c r="F11">
        <f>COUNTIFS(All!M:M,B11,All!$C:$C,'All by Sport'!A11)</f>
        <v>6</v>
      </c>
      <c r="G11">
        <f>COUNTIFS(All!Q:Q,B11,All!$C:$C,'All by Sport'!A11)</f>
        <v>3</v>
      </c>
      <c r="H11">
        <f>COUNTIFS(All!R:R,B11,All!$C:$C,'All by Sport'!A11)</f>
        <v>2</v>
      </c>
      <c r="I11">
        <f>COUNTIFS(All!S:S,B11,All!$C:$C,'All by Sport'!A11)</f>
        <v>2</v>
      </c>
      <c r="K11">
        <f>COUNTIFS(All!$B:$B,"private",All!X:X,'All by Sport'!B11,All!$C:$C,'All by Sport'!A11)</f>
        <v>1</v>
      </c>
      <c r="L11">
        <f>COUNTIFS(All!Y:Y,'All by Sport'!B11,All!$C:$C,'All by Sport'!A11)</f>
        <v>2</v>
      </c>
      <c r="M11">
        <f>COUNTIFS(All!Z:Z,'All by Sport'!B11,All!$C:$C,'All by Sport'!A11)</f>
        <v>4</v>
      </c>
      <c r="O11">
        <f>COUNTIFS(All!AE:AE,B11,All!$C:$C,'All by Sport'!A11)</f>
        <v>8</v>
      </c>
    </row>
    <row r="12" spans="1:15" x14ac:dyDescent="0.25">
      <c r="A12" s="60">
        <v>2</v>
      </c>
      <c r="B12" s="60" t="s">
        <v>9</v>
      </c>
      <c r="C12">
        <f>COUNTIFS(All!K:K,B12,All!$C:$C,'All by Sport'!A12)</f>
        <v>11</v>
      </c>
      <c r="D12">
        <f>COUNTIFS(All!M:M,B12,All!$C:$C,'All by Sport'!A12)</f>
        <v>12</v>
      </c>
      <c r="F12">
        <f>COUNTIFS(All!M:M,B12,All!$C:$C,'All by Sport'!A12)</f>
        <v>12</v>
      </c>
      <c r="G12">
        <f>COUNTIFS(All!Q:Q,B12,All!$C:$C,'All by Sport'!A12)</f>
        <v>10</v>
      </c>
      <c r="H12">
        <f>COUNTIFS(All!R:R,B12,All!$C:$C,'All by Sport'!A12)</f>
        <v>1</v>
      </c>
      <c r="I12">
        <f>COUNTIFS(All!S:S,B12,All!$C:$C,'All by Sport'!A12)</f>
        <v>3</v>
      </c>
      <c r="K12">
        <f>COUNTIFS(All!X:X,'All by Sport'!B12,All!C:C,'All by Sport'!A12)</f>
        <v>5</v>
      </c>
      <c r="L12">
        <f>COUNTIFS(All!Y:Y,'All by Sport'!B12,All!$C:$C,'All by Sport'!A12)</f>
        <v>3</v>
      </c>
      <c r="M12">
        <f>COUNTIFS(All!Z:Z,'All by Sport'!B12,All!$C:$C,'All by Sport'!A12)</f>
        <v>15</v>
      </c>
      <c r="O12">
        <f>COUNTIFS(All!AE:AE,B12,All!$C:$C,'All by Sport'!A12)</f>
        <v>8</v>
      </c>
    </row>
    <row r="13" spans="1:15" x14ac:dyDescent="0.25">
      <c r="A13" s="60">
        <v>3</v>
      </c>
      <c r="B13" s="60" t="s">
        <v>9</v>
      </c>
      <c r="C13">
        <f>COUNTIFS(All!K:K,B13,All!$C:$C,'All by Sport'!A13)</f>
        <v>12</v>
      </c>
      <c r="D13">
        <f>COUNTIFS(All!M:M,B13,All!$C:$C,'All by Sport'!A13)</f>
        <v>9</v>
      </c>
      <c r="F13">
        <f>COUNTIFS(All!M:M,B13,All!$C:$C,'All by Sport'!A13)</f>
        <v>9</v>
      </c>
      <c r="G13">
        <f>COUNTIFS(All!Q:Q,B13,All!$C:$C,'All by Sport'!A13)</f>
        <v>8</v>
      </c>
      <c r="H13">
        <f>COUNTIFS(All!R:R,B13,All!$C:$C,'All by Sport'!A13)</f>
        <v>4</v>
      </c>
      <c r="I13">
        <f>COUNTIFS(All!S:S,B13,All!$C:$C,'All by Sport'!A13)</f>
        <v>4</v>
      </c>
      <c r="K13">
        <f>COUNTIFS(All!X:X,'All by Sport'!B13,All!C:C,'All by Sport'!A13)</f>
        <v>3</v>
      </c>
      <c r="L13">
        <f>COUNTIFS(All!Y:Y,'All by Sport'!B13,All!$C:$C,'All by Sport'!A13)</f>
        <v>3</v>
      </c>
      <c r="M13">
        <f>COUNTIFS(All!Z:Z,'All by Sport'!B13,All!$C:$C,'All by Sport'!A13)</f>
        <v>6</v>
      </c>
      <c r="O13">
        <f>COUNTIFS(All!AE:AE,B13,All!$C:$C,'All by Sport'!A13)</f>
        <v>5</v>
      </c>
    </row>
    <row r="14" spans="1:15" x14ac:dyDescent="0.25">
      <c r="A14" s="60">
        <v>4</v>
      </c>
      <c r="B14" s="60" t="s">
        <v>9</v>
      </c>
      <c r="C14">
        <f>COUNTIFS(All!K:K,B14,All!$C:$C,'All by Sport'!A14)</f>
        <v>5</v>
      </c>
      <c r="D14">
        <f>COUNTIFS(All!M:M,B14,All!$C:$C,'All by Sport'!A14)</f>
        <v>5</v>
      </c>
      <c r="F14">
        <f>COUNTIFS(All!M:M,B14,All!$C:$C,'All by Sport'!A14)</f>
        <v>5</v>
      </c>
      <c r="G14">
        <f>COUNTIFS(All!Q:Q,B14,All!$C:$C,'All by Sport'!A14)</f>
        <v>6</v>
      </c>
      <c r="H14">
        <f>COUNTIFS(All!R:R,B14,All!$C:$C,'All by Sport'!A14)</f>
        <v>3</v>
      </c>
      <c r="I14">
        <f>COUNTIFS(All!S:S,B14,All!$C:$C,'All by Sport'!A14)</f>
        <v>2</v>
      </c>
      <c r="K14">
        <f>COUNTIFS(All!X:X,'All by Sport'!B14,All!C:C,'All by Sport'!A14)</f>
        <v>0</v>
      </c>
      <c r="L14">
        <f>COUNTIFS(All!Y:Y,'All by Sport'!B14,All!$C:$C,'All by Sport'!A14)</f>
        <v>2</v>
      </c>
      <c r="M14">
        <f>COUNTIFS(All!Z:Z,'All by Sport'!B14,All!$C:$C,'All by Sport'!A14)</f>
        <v>4</v>
      </c>
      <c r="O14">
        <f>COUNTIFS(All!AE:AE,B14,All!$C:$C,'All by Sport'!A14)</f>
        <v>1</v>
      </c>
    </row>
    <row r="15" spans="1:15" x14ac:dyDescent="0.25">
      <c r="A15" s="60">
        <v>5</v>
      </c>
      <c r="B15" s="60" t="s">
        <v>9</v>
      </c>
      <c r="C15">
        <f>COUNTIFS(All!K:K,B15,All!$C:$C,'All by Sport'!A15)</f>
        <v>8</v>
      </c>
      <c r="D15">
        <f>COUNTIFS(All!M:M,B15,All!$C:$C,'All by Sport'!A15)</f>
        <v>6</v>
      </c>
      <c r="F15">
        <f>COUNTIFS(All!M:M,B15,All!$C:$C,'All by Sport'!A15)</f>
        <v>6</v>
      </c>
      <c r="G15">
        <f>COUNTIFS(All!Q:Q,B15,All!$C:$C,'All by Sport'!A15)</f>
        <v>5</v>
      </c>
      <c r="H15">
        <f>COUNTIFS(All!R:R,B15,All!$C:$C,'All by Sport'!A15)</f>
        <v>1</v>
      </c>
      <c r="I15">
        <f>COUNTIFS(All!S:S,B15,All!$C:$C,'All by Sport'!A15)</f>
        <v>1</v>
      </c>
      <c r="K15">
        <f>COUNTIFS(All!X:X,'All by Sport'!B15,All!C:C,'All by Sport'!A15)</f>
        <v>3</v>
      </c>
      <c r="L15">
        <f>COUNTIFS(All!Y:Y,'All by Sport'!B15,All!$C:$C,'All by Sport'!A15)</f>
        <v>2</v>
      </c>
      <c r="M15">
        <f>COUNTIFS(All!Z:Z,'All by Sport'!B15,All!$C:$C,'All by Sport'!A15)</f>
        <v>5</v>
      </c>
      <c r="O15">
        <f>COUNTIFS(All!AE:AE,B15,All!$C:$C,'All by Sport'!A15)</f>
        <v>0</v>
      </c>
    </row>
    <row r="16" spans="1:15" x14ac:dyDescent="0.25">
      <c r="A16" s="60">
        <v>6</v>
      </c>
      <c r="B16" s="60" t="s">
        <v>9</v>
      </c>
      <c r="C16">
        <f>COUNTIFS(All!K:K,B16,All!$C:$C,'All by Sport'!A16)</f>
        <v>2</v>
      </c>
      <c r="D16">
        <f>COUNTIFS(All!M:M,B16,All!$C:$C,'All by Sport'!A16)</f>
        <v>3</v>
      </c>
      <c r="F16">
        <f>COUNTIFS(All!M:M,B16,All!$C:$C,'All by Sport'!A16)</f>
        <v>3</v>
      </c>
      <c r="G16">
        <f>COUNTIFS(All!Q:Q,B16,All!$C:$C,'All by Sport'!A16)</f>
        <v>0</v>
      </c>
      <c r="H16">
        <f>COUNTIFS(All!R:R,B16,All!$C:$C,'All by Sport'!A16)</f>
        <v>0</v>
      </c>
      <c r="I16">
        <f>COUNTIFS(All!S:S,B16,All!$C:$C,'All by Sport'!A16)</f>
        <v>1</v>
      </c>
      <c r="K16">
        <f>COUNTIFS(All!X:X,'All by Sport'!B16,All!C:C,'All by Sport'!A16)</f>
        <v>2</v>
      </c>
      <c r="L16">
        <f>COUNTIFS(All!Y:Y,'All by Sport'!B16,All!$C:$C,'All by Sport'!A16)</f>
        <v>1</v>
      </c>
      <c r="M16">
        <f>COUNTIFS(All!Z:Z,'All by Sport'!B16,All!$C:$C,'All by Sport'!A16)</f>
        <v>2</v>
      </c>
      <c r="O16">
        <f>COUNTIFS(All!AE:AE,B16,All!$C:$C,'All by Sport'!A16)</f>
        <v>0</v>
      </c>
    </row>
    <row r="17" spans="1:15" x14ac:dyDescent="0.25">
      <c r="A17" s="60">
        <v>7</v>
      </c>
      <c r="B17" s="60" t="s">
        <v>9</v>
      </c>
      <c r="C17">
        <f>COUNTIFS(All!K:K,B17,All!$C:$C,'All by Sport'!A17)</f>
        <v>6</v>
      </c>
      <c r="D17">
        <f>COUNTIFS(All!M:M,B17,All!$C:$C,'All by Sport'!A17)</f>
        <v>4</v>
      </c>
      <c r="F17">
        <f>COUNTIFS(All!M:M,B17,All!$C:$C,'All by Sport'!A17)</f>
        <v>4</v>
      </c>
      <c r="G17">
        <f>COUNTIFS(All!Q:Q,B17,All!$C:$C,'All by Sport'!A17)</f>
        <v>2</v>
      </c>
      <c r="H17">
        <f>COUNTIFS(All!R:R,B17,All!$C:$C,'All by Sport'!A17)</f>
        <v>1</v>
      </c>
      <c r="I17">
        <f>COUNTIFS(All!S:S,B17,All!$C:$C,'All by Sport'!A17)</f>
        <v>1</v>
      </c>
      <c r="K17">
        <f>COUNTIFS(All!X:X,'All by Sport'!B17,All!C:C,'All by Sport'!A17)</f>
        <v>3</v>
      </c>
      <c r="L17">
        <f>COUNTIFS(All!Y:Y,'All by Sport'!B17,All!$C:$C,'All by Sport'!A17)</f>
        <v>3</v>
      </c>
      <c r="M17">
        <f>COUNTIFS(All!Z:Z,'All by Sport'!B17,All!$C:$C,'All by Sport'!A17)</f>
        <v>7</v>
      </c>
      <c r="O17">
        <f>COUNTIFS(All!AE:AE,B17,All!$C:$C,'All by Sport'!A17)</f>
        <v>0</v>
      </c>
    </row>
    <row r="19" spans="1:15" x14ac:dyDescent="0.25">
      <c r="C19">
        <f>SUM(C11:C18)</f>
        <v>49</v>
      </c>
      <c r="D19">
        <f>SUM(D11:D18)</f>
        <v>45</v>
      </c>
      <c r="F19">
        <f t="shared" ref="F19:I19" si="0">SUM(F11:F18)</f>
        <v>45</v>
      </c>
      <c r="G19">
        <f t="shared" si="0"/>
        <v>34</v>
      </c>
      <c r="H19">
        <f t="shared" si="0"/>
        <v>12</v>
      </c>
      <c r="I19">
        <f t="shared" si="0"/>
        <v>14</v>
      </c>
      <c r="K19">
        <f>SUM(K11:K18)</f>
        <v>17</v>
      </c>
      <c r="L19">
        <f>SUM(L11:L18)</f>
        <v>16</v>
      </c>
      <c r="M19">
        <f>SUM(M11:M18)</f>
        <v>43</v>
      </c>
      <c r="O19">
        <f>SUM(O11:O18)</f>
        <v>22</v>
      </c>
    </row>
    <row r="21" spans="1:15" x14ac:dyDescent="0.25">
      <c r="A21" s="60">
        <v>1</v>
      </c>
      <c r="B21" s="60" t="s">
        <v>13</v>
      </c>
      <c r="C21">
        <f>COUNTIFS(All!K:K,B21,All!$C:$C,'All by Sport'!A21)</f>
        <v>6</v>
      </c>
      <c r="D21">
        <f>COUNTIFS(All!M:M,B21,All!$C:$C,'All by Sport'!A21)</f>
        <v>4</v>
      </c>
      <c r="F21">
        <f>COUNTIFS(All!M:M,B21,All!$C:$C,'All by Sport'!A21)</f>
        <v>4</v>
      </c>
      <c r="G21">
        <f>COUNTIFS(All!Q:Q,B21,All!$C:$C,'All by Sport'!A21)</f>
        <v>6</v>
      </c>
      <c r="H21">
        <f>COUNTIFS(All!R:R,B21,All!$C:$C,'All by Sport'!A21)</f>
        <v>2</v>
      </c>
      <c r="I21">
        <f>COUNTIFS(All!S:S,B21,All!$C:$C,'All by Sport'!A21)</f>
        <v>1</v>
      </c>
      <c r="K21">
        <f>COUNTIFS(All!$B:$B,"private",All!X:X,'All by Sport'!B21,All!$C:$C,'All by Sport'!A21)</f>
        <v>4</v>
      </c>
      <c r="L21">
        <f>COUNTIFS(All!Y:Y,'All by Sport'!B21,All!$C:$C,'All by Sport'!A21)</f>
        <v>4</v>
      </c>
      <c r="M21">
        <f>COUNTIFS(All!Z:Z,'All by Sport'!B21,All!$C:$C,'All by Sport'!A21)</f>
        <v>6</v>
      </c>
    </row>
    <row r="22" spans="1:15" x14ac:dyDescent="0.25">
      <c r="A22" s="60">
        <v>2</v>
      </c>
      <c r="B22" s="60" t="s">
        <v>13</v>
      </c>
      <c r="C22">
        <f>COUNTIFS(All!K:K,B22,All!$C:$C,'All by Sport'!A22)</f>
        <v>6</v>
      </c>
      <c r="D22">
        <f>COUNTIFS(All!M:M,B22,All!$C:$C,'All by Sport'!A22)</f>
        <v>5</v>
      </c>
      <c r="F22">
        <f>COUNTIFS(All!M:M,B22,All!$C:$C,'All by Sport'!A22)</f>
        <v>5</v>
      </c>
      <c r="G22">
        <f>COUNTIFS(All!Q:Q,B22,All!$C:$C,'All by Sport'!A22)</f>
        <v>5</v>
      </c>
      <c r="H22">
        <f>COUNTIFS(All!R:R,B22,All!$C:$C,'All by Sport'!A22)</f>
        <v>4</v>
      </c>
      <c r="I22">
        <f>COUNTIFS(All!S:S,B22,All!$C:$C,'All by Sport'!A22)</f>
        <v>3</v>
      </c>
      <c r="K22">
        <f>COUNTIFS(All!X:X,'All by Sport'!B22,All!C:C,'All by Sport'!A22)</f>
        <v>5</v>
      </c>
      <c r="L22">
        <f>COUNTIFS(All!Y:Y,'All by Sport'!B22,All!$C:$C,'All by Sport'!A22)</f>
        <v>4</v>
      </c>
      <c r="M22">
        <f>COUNTIFS(All!Z:Z,'All by Sport'!B22,All!$C:$C,'All by Sport'!A22)</f>
        <v>1</v>
      </c>
    </row>
    <row r="23" spans="1:15" x14ac:dyDescent="0.25">
      <c r="A23" s="60">
        <v>3</v>
      </c>
      <c r="B23" s="60" t="s">
        <v>13</v>
      </c>
      <c r="C23">
        <f>COUNTIFS(All!K:K,B23,All!$C:$C,'All by Sport'!A23)</f>
        <v>7</v>
      </c>
      <c r="D23">
        <f>COUNTIFS(All!M:M,B23,All!$C:$C,'All by Sport'!A23)</f>
        <v>3</v>
      </c>
      <c r="F23">
        <f>COUNTIFS(All!M:M,B23,All!$C:$C,'All by Sport'!A23)</f>
        <v>3</v>
      </c>
      <c r="G23">
        <f>COUNTIFS(All!Q:Q,B23,All!$C:$C,'All by Sport'!A23)</f>
        <v>6</v>
      </c>
      <c r="H23">
        <f>COUNTIFS(All!R:R,B23,All!$C:$C,'All by Sport'!A23)</f>
        <v>7</v>
      </c>
      <c r="I23">
        <f>COUNTIFS(All!S:S,B23,All!$C:$C,'All by Sport'!A23)</f>
        <v>4</v>
      </c>
      <c r="K23">
        <f>COUNTIFS(All!X:X,'All by Sport'!B23,All!C:C,'All by Sport'!A23)</f>
        <v>3</v>
      </c>
      <c r="L23">
        <f>COUNTIFS(All!Y:Y,'All by Sport'!B23,All!$C:$C,'All by Sport'!A23)</f>
        <v>4</v>
      </c>
      <c r="M23">
        <f>COUNTIFS(All!Z:Z,'All by Sport'!B23,All!$C:$C,'All by Sport'!A23)</f>
        <v>8</v>
      </c>
    </row>
    <row r="24" spans="1:15" x14ac:dyDescent="0.25">
      <c r="A24" s="60">
        <v>4</v>
      </c>
      <c r="B24" s="60" t="s">
        <v>13</v>
      </c>
      <c r="C24">
        <f>COUNTIFS(All!K:K,B24,All!$C:$C,'All by Sport'!A24)</f>
        <v>1</v>
      </c>
      <c r="D24">
        <f>COUNTIFS(All!M:M,B24,All!$C:$C,'All by Sport'!A24)</f>
        <v>5</v>
      </c>
      <c r="F24">
        <f>COUNTIFS(All!M:M,B24,All!$C:$C,'All by Sport'!A24)</f>
        <v>5</v>
      </c>
      <c r="G24">
        <f>COUNTIFS(All!Q:Q,B24,All!$C:$C,'All by Sport'!A24)</f>
        <v>3</v>
      </c>
      <c r="H24">
        <f>COUNTIFS(All!R:R,B24,All!$C:$C,'All by Sport'!A24)</f>
        <v>0</v>
      </c>
      <c r="I24">
        <f>COUNTIFS(All!S:S,B24,All!$C:$C,'All by Sport'!A24)</f>
        <v>0</v>
      </c>
      <c r="K24">
        <f>COUNTIFS(All!X:X,'All by Sport'!B24,All!C:C,'All by Sport'!A24)</f>
        <v>6</v>
      </c>
      <c r="L24">
        <f>COUNTIFS(All!Y:Y,'All by Sport'!B24,All!$C:$C,'All by Sport'!A24)</f>
        <v>5</v>
      </c>
      <c r="M24">
        <f>COUNTIFS(All!Z:Z,'All by Sport'!B24,All!$C:$C,'All by Sport'!A24)</f>
        <v>1</v>
      </c>
    </row>
    <row r="25" spans="1:15" x14ac:dyDescent="0.25">
      <c r="A25" s="60">
        <v>5</v>
      </c>
      <c r="B25" s="60" t="s">
        <v>13</v>
      </c>
      <c r="C25">
        <f>COUNTIFS(All!K:K,B25,All!$C:$C,'All by Sport'!A25)</f>
        <v>0</v>
      </c>
      <c r="D25">
        <f>COUNTIFS(All!M:M,B25,All!$C:$C,'All by Sport'!A25)</f>
        <v>3</v>
      </c>
      <c r="F25">
        <f>COUNTIFS(All!M:M,B25,All!$C:$C,'All by Sport'!A25)</f>
        <v>3</v>
      </c>
      <c r="G25">
        <f>COUNTIFS(All!Q:Q,B25,All!$C:$C,'All by Sport'!A25)</f>
        <v>4</v>
      </c>
      <c r="H25">
        <f>COUNTIFS(All!R:R,B25,All!$C:$C,'All by Sport'!A25)</f>
        <v>0</v>
      </c>
      <c r="I25">
        <f>COUNTIFS(All!S:S,B25,All!$C:$C,'All by Sport'!A25)</f>
        <v>0</v>
      </c>
      <c r="K25">
        <f>COUNTIFS(All!X:X,'All by Sport'!B25,All!C:C,'All by Sport'!A25)</f>
        <v>4</v>
      </c>
      <c r="L25">
        <f>COUNTIFS(All!Y:Y,'All by Sport'!B25,All!$C:$C,'All by Sport'!A25)</f>
        <v>2</v>
      </c>
      <c r="M25">
        <f>COUNTIFS(All!Z:Z,'All by Sport'!B25,All!$C:$C,'All by Sport'!A25)</f>
        <v>0</v>
      </c>
    </row>
    <row r="26" spans="1:15" x14ac:dyDescent="0.25">
      <c r="A26" s="60">
        <v>6</v>
      </c>
      <c r="B26" s="60" t="s">
        <v>13</v>
      </c>
      <c r="C26">
        <f>COUNTIFS(All!K:K,B26,All!$C:$C,'All by Sport'!A26)</f>
        <v>1</v>
      </c>
      <c r="D26">
        <f>COUNTIFS(All!M:M,B26,All!$C:$C,'All by Sport'!A26)</f>
        <v>1</v>
      </c>
      <c r="F26">
        <f>COUNTIFS(All!M:M,B26,All!$C:$C,'All by Sport'!A26)</f>
        <v>1</v>
      </c>
      <c r="G26">
        <f>COUNTIFS(All!Q:Q,B26,All!$C:$C,'All by Sport'!A26)</f>
        <v>1</v>
      </c>
      <c r="H26">
        <f>COUNTIFS(All!R:R,B26,All!$C:$C,'All by Sport'!A26)</f>
        <v>0</v>
      </c>
      <c r="I26">
        <f>COUNTIFS(All!S:S,B26,All!$C:$C,'All by Sport'!A26)</f>
        <v>0</v>
      </c>
      <c r="K26">
        <f>COUNTIFS(All!X:X,'All by Sport'!B26,All!C:C,'All by Sport'!A26)</f>
        <v>1</v>
      </c>
      <c r="L26">
        <f>COUNTIFS(All!Y:Y,'All by Sport'!B26,All!$C:$C,'All by Sport'!A26)</f>
        <v>2</v>
      </c>
      <c r="M26">
        <f>COUNTIFS(All!Z:Z,'All by Sport'!B26,All!$C:$C,'All by Sport'!A26)</f>
        <v>1</v>
      </c>
    </row>
    <row r="27" spans="1:15" x14ac:dyDescent="0.25">
      <c r="A27" s="60">
        <v>7</v>
      </c>
      <c r="B27" s="60" t="s">
        <v>13</v>
      </c>
      <c r="C27">
        <f>COUNTIFS(All!K:K,B27,All!$C:$C,'All by Sport'!A27)</f>
        <v>1</v>
      </c>
      <c r="D27">
        <f>COUNTIFS(All!M:M,B27,All!$C:$C,'All by Sport'!A27)</f>
        <v>4</v>
      </c>
      <c r="F27">
        <f>COUNTIFS(All!M:M,B27,All!$C:$C,'All by Sport'!A27)</f>
        <v>4</v>
      </c>
      <c r="G27">
        <f>COUNTIFS(All!Q:Q,B27,All!$C:$C,'All by Sport'!A27)</f>
        <v>5</v>
      </c>
      <c r="H27">
        <f>COUNTIFS(All!R:R,B27,All!$C:$C,'All by Sport'!A27)</f>
        <v>0</v>
      </c>
      <c r="I27">
        <f>COUNTIFS(All!S:S,B27,All!$C:$C,'All by Sport'!A27)</f>
        <v>0</v>
      </c>
      <c r="K27">
        <f>COUNTIFS(All!X:X,'All by Sport'!B27,All!C:C,'All by Sport'!A27)</f>
        <v>5</v>
      </c>
      <c r="L27">
        <f>COUNTIFS(All!Y:Y,'All by Sport'!B27,All!$C:$C,'All by Sport'!A27)</f>
        <v>4</v>
      </c>
      <c r="M27">
        <f>COUNTIFS(All!Z:Z,'All by Sport'!B27,All!$C:$C,'All by Sport'!A27)</f>
        <v>0</v>
      </c>
    </row>
    <row r="29" spans="1:15" x14ac:dyDescent="0.25">
      <c r="C29">
        <f>SUM(C21:C28)</f>
        <v>22</v>
      </c>
      <c r="D29">
        <f>SUM(D21:D28)</f>
        <v>25</v>
      </c>
      <c r="F29">
        <f t="shared" ref="F29:I29" si="1">SUM(F21:F28)</f>
        <v>25</v>
      </c>
      <c r="G29">
        <f t="shared" si="1"/>
        <v>30</v>
      </c>
      <c r="H29">
        <f t="shared" si="1"/>
        <v>13</v>
      </c>
      <c r="I29">
        <f t="shared" si="1"/>
        <v>8</v>
      </c>
      <c r="K29">
        <f>SUM(K21:K28)</f>
        <v>28</v>
      </c>
      <c r="L29">
        <f>SUM(L21:L28)</f>
        <v>25</v>
      </c>
      <c r="M29">
        <f>SUM(M21:M28)</f>
        <v>17</v>
      </c>
    </row>
    <row r="31" spans="1:15" x14ac:dyDescent="0.25">
      <c r="A31" s="60">
        <v>1</v>
      </c>
      <c r="B31" s="60" t="s">
        <v>12</v>
      </c>
      <c r="C31">
        <f>COUNTIFS(All!K:K,B31,All!$C:$C,'All by Sport'!A31)</f>
        <v>5</v>
      </c>
      <c r="D31">
        <f>COUNTIFS(All!M:M,B31,All!$C:$C,'All by Sport'!A31)</f>
        <v>5</v>
      </c>
      <c r="F31">
        <f>COUNTIFS(All!M:M,B31,All!$C:$C,'All by Sport'!A31)</f>
        <v>5</v>
      </c>
      <c r="G31">
        <f>COUNTIFS(All!Q:Q,B31,All!$C:$C,'All by Sport'!A31)</f>
        <v>3</v>
      </c>
      <c r="H31">
        <f>COUNTIFS(All!R:R,B31,All!$C:$C,'All by Sport'!A31)</f>
        <v>2</v>
      </c>
      <c r="I31">
        <f>COUNTIFS(All!S:S,B31,All!$C:$C,'All by Sport'!A31)</f>
        <v>1</v>
      </c>
      <c r="K31">
        <f>COUNTIFS(All!$B:$B,"private",All!X:X,'All by Sport'!B31,All!$C:$C,'All by Sport'!A31)</f>
        <v>4</v>
      </c>
      <c r="L31">
        <f>COUNTIFS(All!Y:Y,'All by Sport'!B31,All!$C:$C,'All by Sport'!A31)</f>
        <v>3</v>
      </c>
      <c r="M31">
        <f>COUNTIFS(All!Z:Z,'All by Sport'!B31,All!$C:$C,'All by Sport'!A31)</f>
        <v>3</v>
      </c>
    </row>
    <row r="32" spans="1:15" x14ac:dyDescent="0.25">
      <c r="A32" s="60">
        <v>2</v>
      </c>
      <c r="B32" s="60" t="s">
        <v>12</v>
      </c>
      <c r="C32">
        <f>COUNTIFS(All!K:K,B32,All!$C:$C,'All by Sport'!A32)</f>
        <v>3</v>
      </c>
      <c r="D32">
        <f>COUNTIFS(All!M:M,B32,All!$C:$C,'All by Sport'!A32)</f>
        <v>3</v>
      </c>
      <c r="F32">
        <f>COUNTIFS(All!M:M,B32,All!$C:$C,'All by Sport'!A32)</f>
        <v>3</v>
      </c>
      <c r="G32">
        <f>COUNTIFS(All!Q:Q,B32,All!$C:$C,'All by Sport'!A32)</f>
        <v>4</v>
      </c>
      <c r="H32">
        <f>COUNTIFS(All!R:R,B32,All!$C:$C,'All by Sport'!A32)</f>
        <v>1</v>
      </c>
      <c r="I32">
        <f>COUNTIFS(All!S:S,B32,All!$C:$C,'All by Sport'!A32)</f>
        <v>1</v>
      </c>
      <c r="K32">
        <f>COUNTIFS(All!X:X,'All by Sport'!B32,All!C:C,'All by Sport'!A32)</f>
        <v>3</v>
      </c>
      <c r="L32">
        <f>COUNTIFS(All!Y:Y,'All by Sport'!B32,All!$C:$C,'All by Sport'!A32)</f>
        <v>1</v>
      </c>
      <c r="M32">
        <f>COUNTIFS(All!Z:Z,'All by Sport'!B32,All!$C:$C,'All by Sport'!A32)</f>
        <v>3</v>
      </c>
    </row>
    <row r="33" spans="1:13" x14ac:dyDescent="0.25">
      <c r="A33" s="60">
        <v>3</v>
      </c>
      <c r="B33" s="60" t="s">
        <v>12</v>
      </c>
      <c r="C33">
        <f>COUNTIFS(All!K:K,B33,All!$C:$C,'All by Sport'!A33)</f>
        <v>1</v>
      </c>
      <c r="D33">
        <f>COUNTIFS(All!M:M,B33,All!$C:$C,'All by Sport'!A33)</f>
        <v>8</v>
      </c>
      <c r="F33">
        <f>COUNTIFS(All!M:M,B33,All!$C:$C,'All by Sport'!A33)</f>
        <v>8</v>
      </c>
      <c r="G33">
        <f>COUNTIFS(All!Q:Q,B33,All!$C:$C,'All by Sport'!A33)</f>
        <v>4</v>
      </c>
      <c r="H33">
        <f>COUNTIFS(All!R:R,B33,All!$C:$C,'All by Sport'!A33)</f>
        <v>1</v>
      </c>
      <c r="I33">
        <f>COUNTIFS(All!S:S,B33,All!$C:$C,'All by Sport'!A33)</f>
        <v>1</v>
      </c>
      <c r="K33">
        <f>COUNTIFS(All!X:X,'All by Sport'!B33,All!C:C,'All by Sport'!A33)</f>
        <v>8</v>
      </c>
      <c r="L33">
        <f>COUNTIFS(All!Y:Y,'All by Sport'!B33,All!$C:$C,'All by Sport'!A33)</f>
        <v>8</v>
      </c>
      <c r="M33">
        <f>COUNTIFS(All!Z:Z,'All by Sport'!B33,All!$C:$C,'All by Sport'!A33)</f>
        <v>1</v>
      </c>
    </row>
    <row r="34" spans="1:13" x14ac:dyDescent="0.25">
      <c r="A34" s="60">
        <v>4</v>
      </c>
      <c r="B34" s="60" t="s">
        <v>12</v>
      </c>
      <c r="C34">
        <f>COUNTIFS(All!K:K,B34,All!$C:$C,'All by Sport'!A34)</f>
        <v>1</v>
      </c>
      <c r="D34">
        <f>COUNTIFS(All!M:M,B34,All!$C:$C,'All by Sport'!A34)</f>
        <v>0</v>
      </c>
      <c r="F34">
        <f>COUNTIFS(All!M:M,B34,All!$C:$C,'All by Sport'!A34)</f>
        <v>0</v>
      </c>
      <c r="G34">
        <f>COUNTIFS(All!Q:Q,B34,All!$C:$C,'All by Sport'!A34)</f>
        <v>2</v>
      </c>
      <c r="H34">
        <f>COUNTIFS(All!R:R,B34,All!$C:$C,'All by Sport'!A34)</f>
        <v>0</v>
      </c>
      <c r="I34">
        <f>COUNTIFS(All!S:S,B34,All!$C:$C,'All by Sport'!A34)</f>
        <v>0</v>
      </c>
      <c r="K34">
        <f>COUNTIFS(All!X:X,'All by Sport'!B34,All!C:C,'All by Sport'!A34)</f>
        <v>3</v>
      </c>
      <c r="L34">
        <f>COUNTIFS(All!Y:Y,'All by Sport'!B34,All!$C:$C,'All by Sport'!A34)</f>
        <v>0</v>
      </c>
      <c r="M34">
        <f>COUNTIFS(All!Z:Z,'All by Sport'!B34,All!$C:$C,'All by Sport'!A34)</f>
        <v>1</v>
      </c>
    </row>
    <row r="35" spans="1:13" x14ac:dyDescent="0.25">
      <c r="A35" s="60">
        <v>5</v>
      </c>
      <c r="B35" s="60" t="s">
        <v>12</v>
      </c>
      <c r="C35">
        <f>COUNTIFS(All!K:K,B35,All!$C:$C,'All by Sport'!A35)</f>
        <v>0</v>
      </c>
      <c r="D35">
        <f>COUNTIFS(All!M:M,B35,All!$C:$C,'All by Sport'!A35)</f>
        <v>0</v>
      </c>
      <c r="F35">
        <f>COUNTIFS(All!M:M,B35,All!$C:$C,'All by Sport'!A35)</f>
        <v>0</v>
      </c>
      <c r="G35">
        <f>COUNTIFS(All!Q:Q,B35,All!$C:$C,'All by Sport'!A35)</f>
        <v>0</v>
      </c>
      <c r="H35">
        <f>COUNTIFS(All!R:R,B35,All!$C:$C,'All by Sport'!A35)</f>
        <v>0</v>
      </c>
      <c r="I35">
        <f>COUNTIFS(All!S:S,B35,All!$C:$C,'All by Sport'!A35)</f>
        <v>0</v>
      </c>
      <c r="K35">
        <f>COUNTIFS(All!X:X,'All by Sport'!B35,All!C:C,'All by Sport'!A35)</f>
        <v>0</v>
      </c>
      <c r="L35">
        <f>COUNTIFS(All!Y:Y,'All by Sport'!B35,All!$C:$C,'All by Sport'!A35)</f>
        <v>0</v>
      </c>
      <c r="M35">
        <f>COUNTIFS(All!Z:Z,'All by Sport'!B35,All!$C:$C,'All by Sport'!A35)</f>
        <v>0</v>
      </c>
    </row>
    <row r="36" spans="1:13" x14ac:dyDescent="0.25">
      <c r="A36" s="60">
        <v>6</v>
      </c>
      <c r="B36" s="60" t="s">
        <v>12</v>
      </c>
      <c r="C36">
        <f>COUNTIFS(All!K:K,B36,All!$C:$C,'All by Sport'!A36)</f>
        <v>0</v>
      </c>
      <c r="D36">
        <f>COUNTIFS(All!M:M,B36,All!$C:$C,'All by Sport'!A36)</f>
        <v>1</v>
      </c>
      <c r="F36">
        <f>COUNTIFS(All!M:M,B36,All!$C:$C,'All by Sport'!A36)</f>
        <v>1</v>
      </c>
      <c r="G36">
        <f>COUNTIFS(All!Q:Q,B36,All!$C:$C,'All by Sport'!A36)</f>
        <v>1</v>
      </c>
      <c r="H36">
        <f>COUNTIFS(All!R:R,B36,All!$C:$C,'All by Sport'!A36)</f>
        <v>0</v>
      </c>
      <c r="I36">
        <f>COUNTIFS(All!S:S,B36,All!$C:$C,'All by Sport'!A36)</f>
        <v>0</v>
      </c>
      <c r="K36">
        <f>COUNTIFS(All!X:X,'All by Sport'!B36,All!C:C,'All by Sport'!A36)</f>
        <v>1</v>
      </c>
      <c r="L36">
        <f>COUNTIFS(All!Y:Y,'All by Sport'!B36,All!$C:$C,'All by Sport'!A36)</f>
        <v>0</v>
      </c>
      <c r="M36">
        <f>COUNTIFS(All!Z:Z,'All by Sport'!B36,All!$C:$C,'All by Sport'!A36)</f>
        <v>0</v>
      </c>
    </row>
    <row r="37" spans="1:13" x14ac:dyDescent="0.25">
      <c r="A37" s="60">
        <v>7</v>
      </c>
      <c r="B37" s="60" t="s">
        <v>12</v>
      </c>
      <c r="C37">
        <f>COUNTIFS(All!K:K,B37,All!$C:$C,'All by Sport'!A37)</f>
        <v>0</v>
      </c>
      <c r="D37">
        <f>COUNTIFS(All!M:M,B37,All!$C:$C,'All by Sport'!A37)</f>
        <v>1</v>
      </c>
      <c r="F37">
        <f>COUNTIFS(All!M:M,B37,All!$C:$C,'All by Sport'!A37)</f>
        <v>1</v>
      </c>
      <c r="G37">
        <f>COUNTIFS(All!Q:Q,B37,All!$C:$C,'All by Sport'!A37)</f>
        <v>0</v>
      </c>
      <c r="H37">
        <f>COUNTIFS(All!R:R,B37,All!$C:$C,'All by Sport'!A37)</f>
        <v>0</v>
      </c>
      <c r="I37">
        <f>COUNTIFS(All!S:S,B37,All!$C:$C,'All by Sport'!A37)</f>
        <v>0</v>
      </c>
      <c r="K37">
        <f>COUNTIFS(All!X:X,'All by Sport'!B37,All!C:C,'All by Sport'!A37)</f>
        <v>0</v>
      </c>
      <c r="L37">
        <f>COUNTIFS(All!Y:Y,'All by Sport'!B37,All!$C:$C,'All by Sport'!A37)</f>
        <v>0</v>
      </c>
      <c r="M37">
        <f>COUNTIFS(All!Z:Z,'All by Sport'!B37,All!$C:$C,'All by Sport'!A37)</f>
        <v>0</v>
      </c>
    </row>
    <row r="39" spans="1:13" x14ac:dyDescent="0.25">
      <c r="C39">
        <f>SUM(C31:C38)</f>
        <v>10</v>
      </c>
      <c r="D39">
        <f>SUM(D31:D38)</f>
        <v>18</v>
      </c>
      <c r="F39">
        <f t="shared" ref="F39:I39" si="2">SUM(F31:F38)</f>
        <v>18</v>
      </c>
      <c r="G39">
        <f t="shared" si="2"/>
        <v>14</v>
      </c>
      <c r="H39">
        <f t="shared" si="2"/>
        <v>4</v>
      </c>
      <c r="I39">
        <f t="shared" si="2"/>
        <v>3</v>
      </c>
      <c r="K39">
        <f>SUM(K31:K38)</f>
        <v>19</v>
      </c>
      <c r="L39">
        <f>SUM(L31:L38)</f>
        <v>12</v>
      </c>
      <c r="M39">
        <f>SUM(M31:M38)</f>
        <v>8</v>
      </c>
    </row>
    <row r="41" spans="1:13" x14ac:dyDescent="0.25">
      <c r="A41" s="60">
        <v>1</v>
      </c>
      <c r="B41" s="60" t="s">
        <v>11</v>
      </c>
      <c r="C41">
        <f>COUNTIFS(All!K:K,B41,All!$C:$C,'All by Sport'!A41)</f>
        <v>0</v>
      </c>
      <c r="D41">
        <f>COUNTIFS(All!M:M,B41,All!$C:$C,'All by Sport'!A41)</f>
        <v>4</v>
      </c>
      <c r="F41">
        <f>COUNTIFS(All!M:M,B41,All!$C:$C,'All by Sport'!A41)</f>
        <v>4</v>
      </c>
      <c r="G41">
        <f>COUNTIFS(All!Q:Q,B41,All!$C:$C,'All by Sport'!A41)</f>
        <v>4</v>
      </c>
      <c r="H41">
        <f>COUNTIFS(All!R:R,B41,All!$C:$C,'All by Sport'!A41)</f>
        <v>0</v>
      </c>
      <c r="I41">
        <f>COUNTIFS(All!S:S,B41,All!$C:$C,'All by Sport'!A41)</f>
        <v>0</v>
      </c>
      <c r="K41">
        <f>COUNTIFS(All!$B:$B,"private",All!X:X,'All by Sport'!B41,All!$C:$C,'All by Sport'!A41)</f>
        <v>6</v>
      </c>
      <c r="L41">
        <f>COUNTIFS(All!Y:Y,'All by Sport'!B41,All!$C:$C,'All by Sport'!A41)</f>
        <v>3</v>
      </c>
      <c r="M41">
        <f>COUNTIFS(All!Z:Z,'All by Sport'!B41,All!$C:$C,'All by Sport'!A41)</f>
        <v>0</v>
      </c>
    </row>
    <row r="42" spans="1:13" x14ac:dyDescent="0.25">
      <c r="A42" s="60">
        <v>2</v>
      </c>
      <c r="B42" s="60" t="s">
        <v>11</v>
      </c>
      <c r="C42">
        <f>COUNTIFS(All!K:K,B42,All!$C:$C,'All by Sport'!A42)</f>
        <v>0</v>
      </c>
      <c r="D42">
        <f>COUNTIFS(All!M:M,B42,All!$C:$C,'All by Sport'!A42)</f>
        <v>2</v>
      </c>
      <c r="F42">
        <f>COUNTIFS(All!M:M,B42,All!$C:$C,'All by Sport'!A42)</f>
        <v>2</v>
      </c>
      <c r="G42">
        <f>COUNTIFS(All!Q:Q,B42,All!$C:$C,'All by Sport'!A42)</f>
        <v>3</v>
      </c>
      <c r="H42">
        <f>COUNTIFS(All!R:R,B42,All!$C:$C,'All by Sport'!A42)</f>
        <v>0</v>
      </c>
      <c r="I42">
        <f>COUNTIFS(All!S:S,B42,All!$C:$C,'All by Sport'!A42)</f>
        <v>0</v>
      </c>
      <c r="K42">
        <f>COUNTIFS(All!X:X,'All by Sport'!B42,All!C:C,'All by Sport'!A42)</f>
        <v>3</v>
      </c>
      <c r="L42">
        <f>COUNTIFS(All!Y:Y,'All by Sport'!B42,All!$C:$C,'All by Sport'!A42)</f>
        <v>3</v>
      </c>
      <c r="M42">
        <f>COUNTIFS(All!Z:Z,'All by Sport'!B42,All!$C:$C,'All by Sport'!A42)</f>
        <v>0</v>
      </c>
    </row>
    <row r="43" spans="1:13" x14ac:dyDescent="0.25">
      <c r="A43" s="60">
        <v>3</v>
      </c>
      <c r="B43" s="60" t="s">
        <v>11</v>
      </c>
      <c r="C43">
        <f>COUNTIFS(All!K:K,B43,All!$C:$C,'All by Sport'!A43)</f>
        <v>0</v>
      </c>
      <c r="D43">
        <f>COUNTIFS(All!M:M,B43,All!$C:$C,'All by Sport'!A43)</f>
        <v>2</v>
      </c>
      <c r="F43">
        <f>COUNTIFS(All!M:M,B43,All!$C:$C,'All by Sport'!A43)</f>
        <v>2</v>
      </c>
      <c r="G43">
        <f>COUNTIFS(All!Q:Q,B43,All!$C:$C,'All by Sport'!A43)</f>
        <v>3</v>
      </c>
      <c r="H43">
        <f>COUNTIFS(All!R:R,B43,All!$C:$C,'All by Sport'!A43)</f>
        <v>0</v>
      </c>
      <c r="I43">
        <f>COUNTIFS(All!S:S,B43,All!$C:$C,'All by Sport'!A43)</f>
        <v>0</v>
      </c>
      <c r="K43">
        <f>COUNTIFS(All!X:X,'All by Sport'!B43,All!C:C,'All by Sport'!A43)</f>
        <v>2</v>
      </c>
      <c r="L43">
        <f>COUNTIFS(All!Y:Y,'All by Sport'!B43,All!$C:$C,'All by Sport'!A43)</f>
        <v>1</v>
      </c>
      <c r="M43">
        <f>COUNTIFS(All!Z:Z,'All by Sport'!B43,All!$C:$C,'All by Sport'!A43)</f>
        <v>0</v>
      </c>
    </row>
    <row r="44" spans="1:13" x14ac:dyDescent="0.25">
      <c r="A44" s="60">
        <v>4</v>
      </c>
      <c r="B44" s="60" t="s">
        <v>11</v>
      </c>
      <c r="C44">
        <f>COUNTIFS(All!K:K,B44,All!$C:$C,'All by Sport'!A44)</f>
        <v>0</v>
      </c>
      <c r="D44">
        <f>COUNTIFS(All!M:M,B44,All!$C:$C,'All by Sport'!A44)</f>
        <v>0</v>
      </c>
      <c r="F44">
        <f>COUNTIFS(All!M:M,B44,All!$C:$C,'All by Sport'!A44)</f>
        <v>0</v>
      </c>
      <c r="G44">
        <f>COUNTIFS(All!Q:Q,B44,All!$C:$C,'All by Sport'!A44)</f>
        <v>0</v>
      </c>
      <c r="H44">
        <f>COUNTIFS(All!R:R,B44,All!$C:$C,'All by Sport'!A44)</f>
        <v>0</v>
      </c>
      <c r="I44">
        <f>COUNTIFS(All!S:S,B44,All!$C:$C,'All by Sport'!A44)</f>
        <v>0</v>
      </c>
      <c r="K44">
        <f>COUNTIFS(All!X:X,'All by Sport'!B44,All!C:C,'All by Sport'!A44)</f>
        <v>0</v>
      </c>
      <c r="L44">
        <f>COUNTIFS(All!Y:Y,'All by Sport'!B44,All!$C:$C,'All by Sport'!A44)</f>
        <v>0</v>
      </c>
      <c r="M44">
        <f>COUNTIFS(All!Z:Z,'All by Sport'!B44,All!$C:$C,'All by Sport'!A44)</f>
        <v>0</v>
      </c>
    </row>
    <row r="45" spans="1:13" x14ac:dyDescent="0.25">
      <c r="A45" s="60">
        <v>5</v>
      </c>
      <c r="B45" s="60" t="s">
        <v>11</v>
      </c>
      <c r="C45">
        <f>COUNTIFS(All!K:K,B45,All!$C:$C,'All by Sport'!A45)</f>
        <v>0</v>
      </c>
      <c r="D45">
        <f>COUNTIFS(All!M:M,B45,All!$C:$C,'All by Sport'!A45)</f>
        <v>0</v>
      </c>
      <c r="F45">
        <f>COUNTIFS(All!M:M,B45,All!$C:$C,'All by Sport'!A45)</f>
        <v>0</v>
      </c>
      <c r="G45">
        <f>COUNTIFS(All!Q:Q,B45,All!$C:$C,'All by Sport'!A45)</f>
        <v>0</v>
      </c>
      <c r="H45">
        <f>COUNTIFS(All!R:R,B45,All!$C:$C,'All by Sport'!A45)</f>
        <v>0</v>
      </c>
      <c r="I45">
        <f>COUNTIFS(All!S:S,B45,All!$C:$C,'All by Sport'!A45)</f>
        <v>0</v>
      </c>
      <c r="K45">
        <f>COUNTIFS(All!X:X,'All by Sport'!B45,All!C:C,'All by Sport'!A45)</f>
        <v>0</v>
      </c>
      <c r="L45">
        <f>COUNTIFS(All!Y:Y,'All by Sport'!B45,All!$C:$C,'All by Sport'!A45)</f>
        <v>0</v>
      </c>
      <c r="M45">
        <f>COUNTIFS(All!Z:Z,'All by Sport'!B45,All!$C:$C,'All by Sport'!A45)</f>
        <v>0</v>
      </c>
    </row>
    <row r="46" spans="1:13" x14ac:dyDescent="0.25">
      <c r="A46" s="60">
        <v>6</v>
      </c>
      <c r="B46" s="60" t="s">
        <v>11</v>
      </c>
      <c r="C46">
        <f>COUNTIFS(All!K:K,B46,All!$C:$C,'All by Sport'!A46)</f>
        <v>0</v>
      </c>
      <c r="D46">
        <f>COUNTIFS(All!M:M,B46,All!$C:$C,'All by Sport'!A46)</f>
        <v>0</v>
      </c>
      <c r="F46">
        <f>COUNTIFS(All!M:M,B46,All!$C:$C,'All by Sport'!A46)</f>
        <v>0</v>
      </c>
      <c r="G46">
        <f>COUNTIFS(All!Q:Q,B46,All!$C:$C,'All by Sport'!A46)</f>
        <v>0</v>
      </c>
      <c r="H46">
        <f>COUNTIFS(All!R:R,B46,All!$C:$C,'All by Sport'!A46)</f>
        <v>0</v>
      </c>
      <c r="I46">
        <f>COUNTIFS(All!S:S,B46,All!$C:$C,'All by Sport'!A46)</f>
        <v>0</v>
      </c>
      <c r="K46">
        <f>COUNTIFS(All!X:X,'All by Sport'!B46,All!C:C,'All by Sport'!A46)</f>
        <v>0</v>
      </c>
      <c r="L46">
        <f>COUNTIFS(All!Y:Y,'All by Sport'!B46,All!$C:$C,'All by Sport'!A46)</f>
        <v>0</v>
      </c>
      <c r="M46">
        <f>COUNTIFS(All!Z:Z,'All by Sport'!B46,All!$C:$C,'All by Sport'!A46)</f>
        <v>0</v>
      </c>
    </row>
    <row r="47" spans="1:13" x14ac:dyDescent="0.25">
      <c r="A47" s="60">
        <v>7</v>
      </c>
      <c r="B47" s="60" t="s">
        <v>11</v>
      </c>
      <c r="C47">
        <f>COUNTIFS(All!K:K,B47,All!$C:$C,'All by Sport'!A47)</f>
        <v>0</v>
      </c>
      <c r="D47">
        <f>COUNTIFS(All!M:M,B47,All!$C:$C,'All by Sport'!A47)</f>
        <v>0</v>
      </c>
      <c r="F47">
        <f>COUNTIFS(All!M:M,B47,All!$C:$C,'All by Sport'!A47)</f>
        <v>0</v>
      </c>
      <c r="G47">
        <f>COUNTIFS(All!Q:Q,B47,All!$C:$C,'All by Sport'!A47)</f>
        <v>0</v>
      </c>
      <c r="H47">
        <f>COUNTIFS(All!R:R,B47,All!$C:$C,'All by Sport'!A47)</f>
        <v>0</v>
      </c>
      <c r="I47">
        <f>COUNTIFS(All!S:S,B47,All!$C:$C,'All by Sport'!A47)</f>
        <v>0</v>
      </c>
      <c r="K47">
        <f>COUNTIFS(All!X:X,'All by Sport'!B47,All!C:C,'All by Sport'!A47)</f>
        <v>0</v>
      </c>
      <c r="L47">
        <f>COUNTIFS(All!Y:Y,'All by Sport'!B47,All!$C:$C,'All by Sport'!A47)</f>
        <v>0</v>
      </c>
      <c r="M47">
        <f>COUNTIFS(All!Z:Z,'All by Sport'!B47,All!$C:$C,'All by Sport'!A47)</f>
        <v>0</v>
      </c>
    </row>
    <row r="49" spans="3:13" x14ac:dyDescent="0.25">
      <c r="C49">
        <f>SUM(C41:C48)</f>
        <v>0</v>
      </c>
      <c r="D49">
        <f>SUM(D41:D48)</f>
        <v>8</v>
      </c>
      <c r="F49">
        <f t="shared" ref="F49:I49" si="3">SUM(F41:F48)</f>
        <v>8</v>
      </c>
      <c r="G49">
        <f t="shared" si="3"/>
        <v>10</v>
      </c>
      <c r="H49">
        <f t="shared" si="3"/>
        <v>0</v>
      </c>
      <c r="I49">
        <f t="shared" si="3"/>
        <v>0</v>
      </c>
      <c r="K49">
        <f>SUM(K41:K48)</f>
        <v>11</v>
      </c>
      <c r="L49">
        <f>SUM(L41:L48)</f>
        <v>7</v>
      </c>
      <c r="M49">
        <f>SUM(M41:M48)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AAE3-18D6-4C3D-9B5B-852C5CA83AAD}">
  <dimension ref="A1:O49"/>
  <sheetViews>
    <sheetView zoomScale="85" zoomScaleNormal="85" workbookViewId="0">
      <selection activeCell="P1" sqref="P1"/>
    </sheetView>
  </sheetViews>
  <sheetFormatPr defaultRowHeight="15" x14ac:dyDescent="0.25"/>
  <cols>
    <col min="1" max="2" width="9.140625" style="60"/>
  </cols>
  <sheetData>
    <row r="1" spans="1:15" ht="15.75" thickBot="1" x14ac:dyDescent="0.3">
      <c r="C1" t="s">
        <v>1106</v>
      </c>
      <c r="D1" t="s">
        <v>1107</v>
      </c>
      <c r="F1" t="s">
        <v>1108</v>
      </c>
      <c r="G1" t="s">
        <v>1109</v>
      </c>
      <c r="H1" t="s">
        <v>1110</v>
      </c>
      <c r="I1" t="s">
        <v>1111</v>
      </c>
      <c r="K1" t="s">
        <v>1112</v>
      </c>
      <c r="L1" t="s">
        <v>1113</v>
      </c>
      <c r="M1" t="s">
        <v>1114</v>
      </c>
      <c r="O1" t="s">
        <v>1116</v>
      </c>
    </row>
    <row r="2" spans="1:15" ht="15.75" thickBot="1" x14ac:dyDescent="0.3">
      <c r="C2" s="16" t="s">
        <v>975</v>
      </c>
      <c r="D2" s="16" t="s">
        <v>977</v>
      </c>
      <c r="F2" s="16" t="s">
        <v>899</v>
      </c>
      <c r="G2" s="16" t="s">
        <v>900</v>
      </c>
      <c r="H2" s="16" t="s">
        <v>901</v>
      </c>
      <c r="I2" s="16" t="s">
        <v>902</v>
      </c>
      <c r="K2" s="16" t="s">
        <v>2</v>
      </c>
      <c r="L2" s="16" t="s">
        <v>4</v>
      </c>
      <c r="M2" s="16" t="s">
        <v>3</v>
      </c>
      <c r="O2" s="16" t="s">
        <v>1115</v>
      </c>
    </row>
    <row r="3" spans="1:15" x14ac:dyDescent="0.25">
      <c r="B3" s="60" t="s">
        <v>9</v>
      </c>
      <c r="C3">
        <f>COUNTIFS(All!B:B,"private",All!K:K,'Private by Sport'!B3)</f>
        <v>48</v>
      </c>
      <c r="D3">
        <f>COUNTIFS(All!B:B,"private",All!M:M,'Private by Sport'!B3)</f>
        <v>44</v>
      </c>
      <c r="F3">
        <f>COUNTIFS(All!B:B,"private",All!P:P,'Private by Sport'!B3)</f>
        <v>43</v>
      </c>
      <c r="G3">
        <f>COUNTIFS(All!B:B,"private",All!Q:Q,'Private by Sport'!B3)</f>
        <v>34</v>
      </c>
      <c r="H3">
        <f>COUNTIFS(All!B:B,"private",All!R:R,'Private by Sport'!B3)</f>
        <v>12</v>
      </c>
      <c r="I3">
        <f>COUNTIFS(All!B:B,"private",All!S:S,'Private by Sport'!B3)</f>
        <v>13</v>
      </c>
      <c r="K3">
        <f>COUNTIFS(All!B:B,"private",All!X:X,'Private by Sport'!B3)</f>
        <v>17</v>
      </c>
      <c r="L3">
        <f>COUNTIFS(All!B:B,"private",All!Y:Y,'Private by Sport'!B3)</f>
        <v>16</v>
      </c>
      <c r="M3">
        <f>COUNTIFS(All!B:B,"private",All!Z:Z,'Private by Sport'!B3)</f>
        <v>42</v>
      </c>
      <c r="O3">
        <f>COUNTIFS(All!B:B,"private",All!AE:AE,'Private by Sport'!B3)</f>
        <v>21</v>
      </c>
    </row>
    <row r="4" spans="1:15" x14ac:dyDescent="0.25">
      <c r="B4" s="60" t="s">
        <v>13</v>
      </c>
      <c r="C4">
        <f>COUNTIFS(All!B:B,"private",All!K:K,'Private by Sport'!B4)</f>
        <v>22</v>
      </c>
      <c r="D4">
        <f>COUNTIFS(All!B:B,"private",All!M:M,'Private by Sport'!B4)</f>
        <v>25</v>
      </c>
      <c r="F4">
        <f>COUNTIFS(All!B:B,"private",All!P:P,'Private by Sport'!B4)</f>
        <v>26</v>
      </c>
      <c r="G4">
        <f>COUNTIFS(All!B:B,"private",All!Q:Q,'Private by Sport'!B4)</f>
        <v>29</v>
      </c>
      <c r="H4">
        <f>COUNTIFS(All!B:B,"private",All!R:R,'Private by Sport'!B4)</f>
        <v>13</v>
      </c>
      <c r="I4">
        <f>COUNTIFS(All!B:B,"private",All!S:S,'Private by Sport'!B4)</f>
        <v>8</v>
      </c>
      <c r="K4">
        <f>COUNTIFS(All!B:B,"private",All!X:X,'Private by Sport'!B4)</f>
        <v>28</v>
      </c>
      <c r="L4">
        <f>COUNTIFS(All!B:B,"private",All!Y:Y,'Private by Sport'!B4)</f>
        <v>24</v>
      </c>
      <c r="M4">
        <f>COUNTIFS(All!B:B,"private",All!Z:Z,'Private by Sport'!B4)</f>
        <v>17</v>
      </c>
      <c r="O4">
        <f>COUNTIFS(All!B:B,"private",All!AE:AE,'Private by Sport'!B4)</f>
        <v>0</v>
      </c>
    </row>
    <row r="5" spans="1:15" x14ac:dyDescent="0.25">
      <c r="B5" s="60" t="s">
        <v>12</v>
      </c>
      <c r="C5">
        <f>COUNTIFS(All!B:B,"private",All!K:K,'Private by Sport'!B5)</f>
        <v>10</v>
      </c>
      <c r="D5">
        <f>COUNTIFS(All!B:B,"private",All!M:M,'Private by Sport'!B5)</f>
        <v>18</v>
      </c>
      <c r="F5">
        <f>COUNTIFS(All!B:B,"private",All!P:P,'Private by Sport'!B5)</f>
        <v>18</v>
      </c>
      <c r="G5">
        <f>COUNTIFS(All!B:B,"private",All!Q:Q,'Private by Sport'!B5)</f>
        <v>14</v>
      </c>
      <c r="H5">
        <f>COUNTIFS(All!B:B,"private",All!R:R,'Private by Sport'!B5)</f>
        <v>4</v>
      </c>
      <c r="I5">
        <f>COUNTIFS(All!B:B,"private",All!S:S,'Private by Sport'!B5)</f>
        <v>3</v>
      </c>
      <c r="K5">
        <f>COUNTIFS(All!B:B,"private",All!X:X,'Private by Sport'!B5)</f>
        <v>19</v>
      </c>
      <c r="L5">
        <f>COUNTIFS(All!B:B,"private",All!Y:Y,'Private by Sport'!B5)</f>
        <v>12</v>
      </c>
      <c r="M5">
        <f>COUNTIFS(All!B:B,"private",All!Z:Z,'Private by Sport'!B5)</f>
        <v>8</v>
      </c>
      <c r="O5">
        <f>COUNTIFS(All!B:B,"private",All!AE:AE,'Private by Sport'!B5)</f>
        <v>0</v>
      </c>
    </row>
    <row r="6" spans="1:15" x14ac:dyDescent="0.25">
      <c r="B6" s="60" t="s">
        <v>11</v>
      </c>
      <c r="C6">
        <f>COUNTIFS(All!B:B,"private",All!K:K,'Private by Sport'!B6)</f>
        <v>0</v>
      </c>
      <c r="D6">
        <f>COUNTIFS(All!B:B,"private",All!M:M,'Private by Sport'!B6)</f>
        <v>8</v>
      </c>
      <c r="F6">
        <f>COUNTIFS(All!B:B,"private",All!P:P,'Private by Sport'!B6)</f>
        <v>10</v>
      </c>
      <c r="G6">
        <f>COUNTIFS(All!B:B,"private",All!Q:Q,'Private by Sport'!B6)</f>
        <v>10</v>
      </c>
      <c r="H6">
        <f>COUNTIFS(All!B:B,"private",All!R:R,'Private by Sport'!B6)</f>
        <v>0</v>
      </c>
      <c r="I6">
        <f>COUNTIFS(All!B:B,"private",All!S:S,'Private by Sport'!B6)</f>
        <v>0</v>
      </c>
      <c r="K6">
        <f>COUNTIFS(All!B:B,"private",All!X:X,'Private by Sport'!B6)</f>
        <v>11</v>
      </c>
      <c r="L6">
        <f>COUNTIFS(All!B:B,"private",All!Y:Y,'Private by Sport'!B6)</f>
        <v>7</v>
      </c>
      <c r="M6">
        <f>COUNTIFS(All!B:B,"private",All!Z:Z,'Private by Sport'!B6)</f>
        <v>0</v>
      </c>
      <c r="O6">
        <f>COUNTIFS(All!B:B,"private",All!AE:AE,'Private by Sport'!B6)</f>
        <v>0</v>
      </c>
    </row>
    <row r="7" spans="1:15" x14ac:dyDescent="0.25">
      <c r="B7" s="61" t="s">
        <v>905</v>
      </c>
      <c r="H7">
        <f>COUNTIFS(All!B:B,"private",All!R:R,'Private by Sport'!B7)</f>
        <v>0</v>
      </c>
    </row>
    <row r="11" spans="1:15" x14ac:dyDescent="0.25">
      <c r="A11" s="60">
        <v>1</v>
      </c>
      <c r="B11" s="60" t="s">
        <v>9</v>
      </c>
      <c r="C11">
        <f>COUNTIFS(All!B:B,"private",All!K:K,B11,All!$C:$C,'Private by Sport'!A11)</f>
        <v>4</v>
      </c>
      <c r="D11">
        <f>COUNTIFS(All!B:B,"private",All!M:M,B11,All!$C:$C,'Private by Sport'!A11)</f>
        <v>5</v>
      </c>
      <c r="F11">
        <f>COUNTIFS(All!B:B,"private",All!M:M,B11,All!$C:$C,'Private by Sport'!A11)</f>
        <v>5</v>
      </c>
      <c r="G11">
        <f>COUNTIFS(All!B:B,"private",All!Q:Q,B11,All!$C:$C,'Private by Sport'!A11)</f>
        <v>3</v>
      </c>
      <c r="H11">
        <f>COUNTIFS(All!B:B,"private",All!R:R,B11,All!$C:$C,'Private by Sport'!A11)</f>
        <v>2</v>
      </c>
      <c r="I11">
        <f>COUNTIFS(All!B:B,"private",All!S:S,B11,All!$C:$C,'Private by Sport'!A11)</f>
        <v>1</v>
      </c>
      <c r="K11">
        <f>COUNTIFS(All!$B:$B,"private",All!X:X,'Private by Sport'!B11,All!$C:$C,'Private by Sport'!A11)</f>
        <v>1</v>
      </c>
      <c r="L11">
        <f>COUNTIFS(All!B:B,"private",All!Y:Y,'Private by Sport'!B11,All!$C:$C,'Private by Sport'!A11)</f>
        <v>2</v>
      </c>
      <c r="M11">
        <f>COUNTIFS(All!B:B,"private",All!Z:Z,'Private by Sport'!B11,All!$C:$C,'Private by Sport'!A11)</f>
        <v>3</v>
      </c>
      <c r="O11">
        <f>COUNTIFS(All!B:B,"private",All!AE:AE,'Private by Sport'!B11,All!$C:$C,'Private by Sport'!A11)</f>
        <v>7</v>
      </c>
    </row>
    <row r="12" spans="1:15" x14ac:dyDescent="0.25">
      <c r="A12" s="60">
        <v>2</v>
      </c>
      <c r="B12" s="60" t="s">
        <v>9</v>
      </c>
      <c r="C12">
        <f>COUNTIFS(All!B:B,"private",All!K:K,B12,All!$C:$C,'Private by Sport'!A12)</f>
        <v>11</v>
      </c>
      <c r="D12">
        <f>COUNTIFS(All!B:B,"private",All!M:M,B12,All!$C:$C,'Private by Sport'!A12)</f>
        <v>12</v>
      </c>
      <c r="F12">
        <f>COUNTIFS(All!B:B,"private",All!M:M,B12,All!$C:$C,'Private by Sport'!A12)</f>
        <v>12</v>
      </c>
      <c r="G12">
        <f>COUNTIFS(All!B:B,"private",All!Q:Q,B12,All!$C:$C,'Private by Sport'!A12)</f>
        <v>10</v>
      </c>
      <c r="H12">
        <f>COUNTIFS(All!B:B,"private",All!R:R,B12,All!$C:$C,'Private by Sport'!A12)</f>
        <v>1</v>
      </c>
      <c r="I12">
        <f>COUNTIFS(All!B:B,"private",All!S:S,B12,All!$C:$C,'Private by Sport'!A12)</f>
        <v>3</v>
      </c>
      <c r="K12">
        <f>COUNTIFS(All!B:B,"private",All!X:X,'Private by Sport'!B12,All!C:C,'Private by Sport'!A12)</f>
        <v>5</v>
      </c>
      <c r="L12">
        <f>COUNTIFS(All!B:B,"private",All!Y:Y,'Private by Sport'!B12,All!$C:$C,'Private by Sport'!A12)</f>
        <v>3</v>
      </c>
      <c r="M12">
        <f>COUNTIFS(All!B:B,"private",All!Z:Z,'Private by Sport'!B12,All!$C:$C,'Private by Sport'!A12)</f>
        <v>15</v>
      </c>
      <c r="O12">
        <f>COUNTIFS(All!B:B,"private",All!AE:AE,'Private by Sport'!B12,All!$C:$C,'Private by Sport'!A12)</f>
        <v>8</v>
      </c>
    </row>
    <row r="13" spans="1:15" x14ac:dyDescent="0.25">
      <c r="A13" s="60">
        <v>3</v>
      </c>
      <c r="B13" s="60" t="s">
        <v>9</v>
      </c>
      <c r="C13">
        <f>COUNTIFS(All!B:B,"private",All!K:K,B13,All!$C:$C,'Private by Sport'!A13)</f>
        <v>12</v>
      </c>
      <c r="D13">
        <f>COUNTIFS(All!B:B,"private",All!M:M,B13,All!$C:$C,'Private by Sport'!A13)</f>
        <v>9</v>
      </c>
      <c r="F13">
        <f>COUNTIFS(All!B:B,"private",All!M:M,B13,All!$C:$C,'Private by Sport'!A13)</f>
        <v>9</v>
      </c>
      <c r="G13">
        <f>COUNTIFS(All!B:B,"private",All!Q:Q,B13,All!$C:$C,'Private by Sport'!A13)</f>
        <v>8</v>
      </c>
      <c r="H13">
        <f>COUNTIFS(All!B:B,"private",All!R:R,B13,All!$C:$C,'Private by Sport'!A13)</f>
        <v>4</v>
      </c>
      <c r="I13">
        <f>COUNTIFS(All!B:B,"private",All!S:S,B13,All!$C:$C,'Private by Sport'!A13)</f>
        <v>4</v>
      </c>
      <c r="K13">
        <f>COUNTIFS(All!B:B,"private",All!X:X,'Private by Sport'!B13,All!C:C,'Private by Sport'!A13)</f>
        <v>3</v>
      </c>
      <c r="L13">
        <f>COUNTIFS(All!B:B,"private",All!Y:Y,'Private by Sport'!B13,All!$C:$C,'Private by Sport'!A13)</f>
        <v>3</v>
      </c>
      <c r="M13">
        <f>COUNTIFS(All!B:B,"private",All!Z:Z,'Private by Sport'!B13,All!$C:$C,'Private by Sport'!A13)</f>
        <v>6</v>
      </c>
      <c r="O13">
        <f>COUNTIFS(All!B:B,"private",All!AE:AE,'Private by Sport'!B13,All!$C:$C,'Private by Sport'!A13)</f>
        <v>5</v>
      </c>
    </row>
    <row r="14" spans="1:15" x14ac:dyDescent="0.25">
      <c r="A14" s="60">
        <v>4</v>
      </c>
      <c r="B14" s="60" t="s">
        <v>9</v>
      </c>
      <c r="C14">
        <f>COUNTIFS(All!B:B,"private",All!K:K,B14,All!$C:$C,'Private by Sport'!A14)</f>
        <v>5</v>
      </c>
      <c r="D14">
        <f>COUNTIFS(All!B:B,"private",All!M:M,B14,All!$C:$C,'Private by Sport'!A14)</f>
        <v>5</v>
      </c>
      <c r="F14">
        <f>COUNTIFS(All!B:B,"private",All!M:M,B14,All!$C:$C,'Private by Sport'!A14)</f>
        <v>5</v>
      </c>
      <c r="G14">
        <f>COUNTIFS(All!B:B,"private",All!Q:Q,B14,All!$C:$C,'Private by Sport'!A14)</f>
        <v>6</v>
      </c>
      <c r="H14">
        <f>COUNTIFS(All!B:B,"private",All!R:R,B14,All!$C:$C,'Private by Sport'!A14)</f>
        <v>3</v>
      </c>
      <c r="I14">
        <f>COUNTIFS(All!B:B,"private",All!S:S,B14,All!$C:$C,'Private by Sport'!A14)</f>
        <v>2</v>
      </c>
      <c r="K14">
        <f>COUNTIFS(All!B:B,"private",All!X:X,'Private by Sport'!B14,All!C:C,'Private by Sport'!A14)</f>
        <v>0</v>
      </c>
      <c r="L14">
        <f>COUNTIFS(All!B:B,"private",All!Y:Y,'Private by Sport'!B14,All!$C:$C,'Private by Sport'!A14)</f>
        <v>2</v>
      </c>
      <c r="M14">
        <f>COUNTIFS(All!B:B,"private",All!Z:Z,'Private by Sport'!B14,All!$C:$C,'Private by Sport'!A14)</f>
        <v>4</v>
      </c>
      <c r="O14">
        <f>COUNTIFS(All!B:B,"private",All!AE:AE,'Private by Sport'!B14,All!$C:$C,'Private by Sport'!A14)</f>
        <v>1</v>
      </c>
    </row>
    <row r="15" spans="1:15" x14ac:dyDescent="0.25">
      <c r="A15" s="60">
        <v>5</v>
      </c>
      <c r="B15" s="60" t="s">
        <v>9</v>
      </c>
      <c r="C15">
        <f>COUNTIFS(All!B:B,"private",All!K:K,B15,All!$C:$C,'Private by Sport'!A15)</f>
        <v>8</v>
      </c>
      <c r="D15">
        <f>COUNTIFS(All!B:B,"private",All!M:M,B15,All!$C:$C,'Private by Sport'!A15)</f>
        <v>6</v>
      </c>
      <c r="F15">
        <f>COUNTIFS(All!B:B,"private",All!M:M,B15,All!$C:$C,'Private by Sport'!A15)</f>
        <v>6</v>
      </c>
      <c r="G15">
        <f>COUNTIFS(All!B:B,"private",All!Q:Q,B15,All!$C:$C,'Private by Sport'!A15)</f>
        <v>5</v>
      </c>
      <c r="H15">
        <f>COUNTIFS(All!B:B,"private",All!R:R,B15,All!$C:$C,'Private by Sport'!A15)</f>
        <v>1</v>
      </c>
      <c r="I15">
        <f>COUNTIFS(All!B:B,"private",All!S:S,B15,All!$C:$C,'Private by Sport'!A15)</f>
        <v>1</v>
      </c>
      <c r="K15">
        <f>COUNTIFS(All!B:B,"private",All!X:X,'Private by Sport'!B15,All!C:C,'Private by Sport'!A15)</f>
        <v>3</v>
      </c>
      <c r="L15">
        <f>COUNTIFS(All!B:B,"private",All!Y:Y,'Private by Sport'!B15,All!$C:$C,'Private by Sport'!A15)</f>
        <v>2</v>
      </c>
      <c r="M15">
        <f>COUNTIFS(All!B:B,"private",All!Z:Z,'Private by Sport'!B15,All!$C:$C,'Private by Sport'!A15)</f>
        <v>5</v>
      </c>
      <c r="O15">
        <f>COUNTIFS(All!B:B,"private",All!AE:AE,'Private by Sport'!B15,All!$C:$C,'Private by Sport'!A15)</f>
        <v>0</v>
      </c>
    </row>
    <row r="16" spans="1:15" x14ac:dyDescent="0.25">
      <c r="A16" s="60">
        <v>6</v>
      </c>
      <c r="B16" s="60" t="s">
        <v>9</v>
      </c>
      <c r="C16">
        <f>COUNTIFS(All!B:B,"private",All!K:K,B16,All!$C:$C,'Private by Sport'!A16)</f>
        <v>2</v>
      </c>
      <c r="D16">
        <f>COUNTIFS(All!B:B,"private",All!M:M,B16,All!$C:$C,'Private by Sport'!A16)</f>
        <v>3</v>
      </c>
      <c r="F16">
        <f>COUNTIFS(All!B:B,"private",All!M:M,B16,All!$C:$C,'Private by Sport'!A16)</f>
        <v>3</v>
      </c>
      <c r="G16">
        <f>COUNTIFS(All!B:B,"private",All!Q:Q,B16,All!$C:$C,'Private by Sport'!A16)</f>
        <v>0</v>
      </c>
      <c r="H16">
        <f>COUNTIFS(All!B:B,"private",All!R:R,B16,All!$C:$C,'Private by Sport'!A16)</f>
        <v>0</v>
      </c>
      <c r="I16">
        <f>COUNTIFS(All!B:B,"private",All!S:S,B16,All!$C:$C,'Private by Sport'!A16)</f>
        <v>1</v>
      </c>
      <c r="K16">
        <f>COUNTIFS(All!B:B,"private",All!X:X,'Private by Sport'!B16,All!C:C,'Private by Sport'!A16)</f>
        <v>2</v>
      </c>
      <c r="L16">
        <f>COUNTIFS(All!B:B,"private",All!Y:Y,'Private by Sport'!B16,All!$C:$C,'Private by Sport'!A16)</f>
        <v>1</v>
      </c>
      <c r="M16">
        <f>COUNTIFS(All!B:B,"private",All!Z:Z,'Private by Sport'!B16,All!$C:$C,'Private by Sport'!A16)</f>
        <v>2</v>
      </c>
      <c r="O16">
        <f>COUNTIFS(All!B:B,"private",All!AE:AE,'Private by Sport'!B16,All!$C:$C,'Private by Sport'!A16)</f>
        <v>0</v>
      </c>
    </row>
    <row r="17" spans="1:15" x14ac:dyDescent="0.25">
      <c r="A17" s="60">
        <v>7</v>
      </c>
      <c r="B17" s="60" t="s">
        <v>9</v>
      </c>
      <c r="C17">
        <f>COUNTIFS(All!B:B,"private",All!K:K,B17,All!$C:$C,'Private by Sport'!A17)</f>
        <v>6</v>
      </c>
      <c r="D17">
        <f>COUNTIFS(All!B:B,"private",All!M:M,B17,All!$C:$C,'Private by Sport'!A17)</f>
        <v>4</v>
      </c>
      <c r="F17">
        <f>COUNTIFS(All!B:B,"private",All!M:M,B17,All!$C:$C,'Private by Sport'!A17)</f>
        <v>4</v>
      </c>
      <c r="G17">
        <f>COUNTIFS(All!B:B,"private",All!Q:Q,B17,All!$C:$C,'Private by Sport'!A17)</f>
        <v>2</v>
      </c>
      <c r="H17">
        <f>COUNTIFS(All!B:B,"private",All!R:R,B17,All!$C:$C,'Private by Sport'!A17)</f>
        <v>1</v>
      </c>
      <c r="I17">
        <f>COUNTIFS(All!B:B,"private",All!S:S,B17,All!$C:$C,'Private by Sport'!A17)</f>
        <v>1</v>
      </c>
      <c r="K17">
        <f>COUNTIFS(All!B:B,"private",All!X:X,'Private by Sport'!B17,All!C:C,'Private by Sport'!A17)</f>
        <v>3</v>
      </c>
      <c r="L17">
        <f>COUNTIFS(All!B:B,"private",All!Y:Y,'Private by Sport'!B17,All!$C:$C,'Private by Sport'!A17)</f>
        <v>3</v>
      </c>
      <c r="M17">
        <f>COUNTIFS(All!B:B,"private",All!Z:Z,'Private by Sport'!B17,All!$C:$C,'Private by Sport'!A17)</f>
        <v>7</v>
      </c>
      <c r="O17">
        <f>COUNTIFS(All!B:B,"private",All!AE:AE,'Private by Sport'!B17,All!$C:$C,'Private by Sport'!A17)</f>
        <v>0</v>
      </c>
    </row>
    <row r="19" spans="1:15" x14ac:dyDescent="0.25">
      <c r="C19">
        <f>SUM(C11:C18)</f>
        <v>48</v>
      </c>
      <c r="D19">
        <f>SUM(D11:D18)</f>
        <v>44</v>
      </c>
      <c r="F19">
        <f t="shared" ref="F19:I19" si="0">SUM(F11:F18)</f>
        <v>44</v>
      </c>
      <c r="G19">
        <f t="shared" si="0"/>
        <v>34</v>
      </c>
      <c r="H19">
        <f t="shared" si="0"/>
        <v>12</v>
      </c>
      <c r="I19">
        <f t="shared" si="0"/>
        <v>13</v>
      </c>
      <c r="K19">
        <f>SUM(K11:K18)</f>
        <v>17</v>
      </c>
      <c r="L19">
        <f>SUM(L11:L18)</f>
        <v>16</v>
      </c>
      <c r="M19">
        <f>SUM(M11:M18)</f>
        <v>42</v>
      </c>
    </row>
    <row r="21" spans="1:15" x14ac:dyDescent="0.25">
      <c r="A21" s="60">
        <v>1</v>
      </c>
      <c r="B21" s="60" t="s">
        <v>13</v>
      </c>
      <c r="C21">
        <f>COUNTIFS(All!B:B,"private",All!K:K,B21,All!$C:$C,'Private by Sport'!A21)</f>
        <v>6</v>
      </c>
      <c r="D21">
        <f>COUNTIFS(All!B:B,"private",All!M:M,B21,All!$C:$C,'Private by Sport'!A21)</f>
        <v>4</v>
      </c>
      <c r="F21">
        <f>COUNTIFS(All!B:B,"private",All!M:M,B21,All!$C:$C,'Private by Sport'!A21)</f>
        <v>4</v>
      </c>
      <c r="G21">
        <f>COUNTIFS(All!B:B,"private",All!Q:Q,B21,All!$C:$C,'Private by Sport'!A21)</f>
        <v>5</v>
      </c>
      <c r="H21">
        <f>COUNTIFS(All!B:B,"private",All!R:R,B21,All!$C:$C,'Private by Sport'!A21)</f>
        <v>2</v>
      </c>
      <c r="I21">
        <f>COUNTIFS(All!B:B,"private",All!S:S,B21,All!$C:$C,'Private by Sport'!A21)</f>
        <v>1</v>
      </c>
      <c r="K21">
        <f>COUNTIFS(All!$B:$B,"private",All!X:X,'Private by Sport'!B21,All!$C:$C,'Private by Sport'!A21)</f>
        <v>4</v>
      </c>
      <c r="L21">
        <f>COUNTIFS(All!B:B,"private",All!Y:Y,'Private by Sport'!B21,All!$C:$C,'Private by Sport'!A21)</f>
        <v>3</v>
      </c>
      <c r="M21">
        <f>COUNTIFS(All!B:B,"private",All!Z:Z,'Private by Sport'!B21,All!$C:$C,'Private by Sport'!A21)</f>
        <v>6</v>
      </c>
    </row>
    <row r="22" spans="1:15" x14ac:dyDescent="0.25">
      <c r="A22" s="60">
        <v>2</v>
      </c>
      <c r="B22" s="60" t="s">
        <v>13</v>
      </c>
      <c r="C22">
        <f>COUNTIFS(All!B:B,"private",All!K:K,B22,All!$C:$C,'Private by Sport'!A22)</f>
        <v>6</v>
      </c>
      <c r="D22">
        <f>COUNTIFS(All!B:B,"private",All!M:M,B22,All!$C:$C,'Private by Sport'!A22)</f>
        <v>5</v>
      </c>
      <c r="F22">
        <f>COUNTIFS(All!B:B,"private",All!M:M,B22,All!$C:$C,'Private by Sport'!A22)</f>
        <v>5</v>
      </c>
      <c r="G22">
        <f>COUNTIFS(All!B:B,"private",All!Q:Q,B22,All!$C:$C,'Private by Sport'!A22)</f>
        <v>5</v>
      </c>
      <c r="H22">
        <f>COUNTIFS(All!B:B,"private",All!R:R,B22,All!$C:$C,'Private by Sport'!A22)</f>
        <v>4</v>
      </c>
      <c r="I22">
        <f>COUNTIFS(All!B:B,"private",All!S:S,B22,All!$C:$C,'Private by Sport'!A22)</f>
        <v>3</v>
      </c>
      <c r="K22">
        <f>COUNTIFS(All!B:B,"private",All!X:X,'Private by Sport'!B22,All!C:C,'Private by Sport'!A22)</f>
        <v>5</v>
      </c>
      <c r="L22">
        <f>COUNTIFS(All!B:B,"private",All!Y:Y,'Private by Sport'!B22,All!$C:$C,'Private by Sport'!A22)</f>
        <v>4</v>
      </c>
      <c r="M22">
        <f>COUNTIFS(All!B:B,"private",All!Z:Z,'Private by Sport'!B22,All!$C:$C,'Private by Sport'!A22)</f>
        <v>1</v>
      </c>
    </row>
    <row r="23" spans="1:15" x14ac:dyDescent="0.25">
      <c r="A23" s="60">
        <v>3</v>
      </c>
      <c r="B23" s="60" t="s">
        <v>13</v>
      </c>
      <c r="C23">
        <f>COUNTIFS(All!B:B,"private",All!K:K,B23,All!$C:$C,'Private by Sport'!A23)</f>
        <v>7</v>
      </c>
      <c r="D23">
        <f>COUNTIFS(All!B:B,"private",All!M:M,B23,All!$C:$C,'Private by Sport'!A23)</f>
        <v>3</v>
      </c>
      <c r="F23">
        <f>COUNTIFS(All!B:B,"private",All!M:M,B23,All!$C:$C,'Private by Sport'!A23)</f>
        <v>3</v>
      </c>
      <c r="G23">
        <f>COUNTIFS(All!B:B,"private",All!Q:Q,B23,All!$C:$C,'Private by Sport'!A23)</f>
        <v>6</v>
      </c>
      <c r="H23">
        <f>COUNTIFS(All!B:B,"private",All!R:R,B23,All!$C:$C,'Private by Sport'!A23)</f>
        <v>7</v>
      </c>
      <c r="I23">
        <f>COUNTIFS(All!B:B,"private",All!S:S,B23,All!$C:$C,'Private by Sport'!A23)</f>
        <v>4</v>
      </c>
      <c r="K23">
        <f>COUNTIFS(All!B:B,"private",All!X:X,'Private by Sport'!B23,All!C:C,'Private by Sport'!A23)</f>
        <v>3</v>
      </c>
      <c r="L23">
        <f>COUNTIFS(All!B:B,"private",All!Y:Y,'Private by Sport'!B23,All!$C:$C,'Private by Sport'!A23)</f>
        <v>4</v>
      </c>
      <c r="M23">
        <f>COUNTIFS(All!B:B,"private",All!Z:Z,'Private by Sport'!B23,All!$C:$C,'Private by Sport'!A23)</f>
        <v>8</v>
      </c>
    </row>
    <row r="24" spans="1:15" x14ac:dyDescent="0.25">
      <c r="A24" s="60">
        <v>4</v>
      </c>
      <c r="B24" s="60" t="s">
        <v>13</v>
      </c>
      <c r="C24">
        <f>COUNTIFS(All!B:B,"private",All!K:K,B24,All!$C:$C,'Private by Sport'!A24)</f>
        <v>1</v>
      </c>
      <c r="D24">
        <f>COUNTIFS(All!B:B,"private",All!M:M,B24,All!$C:$C,'Private by Sport'!A24)</f>
        <v>5</v>
      </c>
      <c r="F24">
        <f>COUNTIFS(All!B:B,"private",All!M:M,B24,All!$C:$C,'Private by Sport'!A24)</f>
        <v>5</v>
      </c>
      <c r="G24">
        <f>COUNTIFS(All!B:B,"private",All!Q:Q,B24,All!$C:$C,'Private by Sport'!A24)</f>
        <v>3</v>
      </c>
      <c r="H24">
        <f>COUNTIFS(All!B:B,"private",All!R:R,B24,All!$C:$C,'Private by Sport'!A24)</f>
        <v>0</v>
      </c>
      <c r="I24">
        <f>COUNTIFS(All!B:B,"private",All!S:S,B24,All!$C:$C,'Private by Sport'!A24)</f>
        <v>0</v>
      </c>
      <c r="K24">
        <f>COUNTIFS(All!B:B,"private",All!X:X,'Private by Sport'!B24,All!C:C,'Private by Sport'!A24)</f>
        <v>6</v>
      </c>
      <c r="L24">
        <f>COUNTIFS(All!B:B,"private",All!Y:Y,'Private by Sport'!B24,All!$C:$C,'Private by Sport'!A24)</f>
        <v>5</v>
      </c>
      <c r="M24">
        <f>COUNTIFS(All!B:B,"private",All!Z:Z,'Private by Sport'!B24,All!$C:$C,'Private by Sport'!A24)</f>
        <v>1</v>
      </c>
    </row>
    <row r="25" spans="1:15" x14ac:dyDescent="0.25">
      <c r="A25" s="60">
        <v>5</v>
      </c>
      <c r="B25" s="60" t="s">
        <v>13</v>
      </c>
      <c r="C25">
        <f>COUNTIFS(All!B:B,"private",All!K:K,B25,All!$C:$C,'Private by Sport'!A25)</f>
        <v>0</v>
      </c>
      <c r="D25">
        <f>COUNTIFS(All!B:B,"private",All!M:M,B25,All!$C:$C,'Private by Sport'!A25)</f>
        <v>3</v>
      </c>
      <c r="F25">
        <f>COUNTIFS(All!B:B,"private",All!M:M,B25,All!$C:$C,'Private by Sport'!A25)</f>
        <v>3</v>
      </c>
      <c r="G25">
        <f>COUNTIFS(All!B:B,"private",All!Q:Q,B25,All!$C:$C,'Private by Sport'!A25)</f>
        <v>4</v>
      </c>
      <c r="H25">
        <f>COUNTIFS(All!B:B,"private",All!R:R,B25,All!$C:$C,'Private by Sport'!A25)</f>
        <v>0</v>
      </c>
      <c r="I25">
        <f>COUNTIFS(All!B:B,"private",All!S:S,B25,All!$C:$C,'Private by Sport'!A25)</f>
        <v>0</v>
      </c>
      <c r="K25">
        <f>COUNTIFS(All!B:B,"private",All!X:X,'Private by Sport'!B25,All!C:C,'Private by Sport'!A25)</f>
        <v>4</v>
      </c>
      <c r="L25">
        <f>COUNTIFS(All!B:B,"private",All!Y:Y,'Private by Sport'!B25,All!$C:$C,'Private by Sport'!A25)</f>
        <v>2</v>
      </c>
      <c r="M25">
        <f>COUNTIFS(All!B:B,"private",All!Z:Z,'Private by Sport'!B25,All!$C:$C,'Private by Sport'!A25)</f>
        <v>0</v>
      </c>
    </row>
    <row r="26" spans="1:15" x14ac:dyDescent="0.25">
      <c r="A26" s="60">
        <v>6</v>
      </c>
      <c r="B26" s="60" t="s">
        <v>13</v>
      </c>
      <c r="C26">
        <f>COUNTIFS(All!B:B,"private",All!K:K,B26,All!$C:$C,'Private by Sport'!A26)</f>
        <v>1</v>
      </c>
      <c r="D26">
        <f>COUNTIFS(All!B:B,"private",All!M:M,B26,All!$C:$C,'Private by Sport'!A26)</f>
        <v>1</v>
      </c>
      <c r="F26">
        <f>COUNTIFS(All!B:B,"private",All!M:M,B26,All!$C:$C,'Private by Sport'!A26)</f>
        <v>1</v>
      </c>
      <c r="G26">
        <f>COUNTIFS(All!B:B,"private",All!Q:Q,B26,All!$C:$C,'Private by Sport'!A26)</f>
        <v>1</v>
      </c>
      <c r="H26">
        <f>COUNTIFS(All!B:B,"private",All!R:R,B26,All!$C:$C,'Private by Sport'!A26)</f>
        <v>0</v>
      </c>
      <c r="I26">
        <f>COUNTIFS(All!B:B,"private",All!S:S,B26,All!$C:$C,'Private by Sport'!A26)</f>
        <v>0</v>
      </c>
      <c r="K26">
        <f>COUNTIFS(All!B:B,"private",All!X:X,'Private by Sport'!B26,All!C:C,'Private by Sport'!A26)</f>
        <v>1</v>
      </c>
      <c r="L26">
        <f>COUNTIFS(All!B:B,"private",All!Y:Y,'Private by Sport'!B26,All!$C:$C,'Private by Sport'!A26)</f>
        <v>2</v>
      </c>
      <c r="M26">
        <f>COUNTIFS(All!B:B,"private",All!Z:Z,'Private by Sport'!B26,All!$C:$C,'Private by Sport'!A26)</f>
        <v>1</v>
      </c>
    </row>
    <row r="27" spans="1:15" x14ac:dyDescent="0.25">
      <c r="A27" s="60">
        <v>7</v>
      </c>
      <c r="B27" s="60" t="s">
        <v>13</v>
      </c>
      <c r="C27">
        <f>COUNTIFS(All!B:B,"private",All!K:K,B27,All!$C:$C,'Private by Sport'!A27)</f>
        <v>1</v>
      </c>
      <c r="D27">
        <f>COUNTIFS(All!B:B,"private",All!M:M,B27,All!$C:$C,'Private by Sport'!A27)</f>
        <v>4</v>
      </c>
      <c r="F27">
        <f>COUNTIFS(All!B:B,"private",All!M:M,B27,All!$C:$C,'Private by Sport'!A27)</f>
        <v>4</v>
      </c>
      <c r="G27">
        <f>COUNTIFS(All!B:B,"private",All!Q:Q,B27,All!$C:$C,'Private by Sport'!A27)</f>
        <v>5</v>
      </c>
      <c r="H27">
        <f>COUNTIFS(All!B:B,"private",All!R:R,B27,All!$C:$C,'Private by Sport'!A27)</f>
        <v>0</v>
      </c>
      <c r="I27">
        <f>COUNTIFS(All!B:B,"private",All!S:S,B27,All!$C:$C,'Private by Sport'!A27)</f>
        <v>0</v>
      </c>
      <c r="K27">
        <f>COUNTIFS(All!B:B,"private",All!X:X,'Private by Sport'!B27,All!C:C,'Private by Sport'!A27)</f>
        <v>5</v>
      </c>
      <c r="L27">
        <f>COUNTIFS(All!B:B,"private",All!Y:Y,'Private by Sport'!B27,All!$C:$C,'Private by Sport'!A27)</f>
        <v>4</v>
      </c>
      <c r="M27">
        <f>COUNTIFS(All!B:B,"private",All!Z:Z,'Private by Sport'!B27,All!$C:$C,'Private by Sport'!A27)</f>
        <v>0</v>
      </c>
    </row>
    <row r="29" spans="1:15" x14ac:dyDescent="0.25">
      <c r="C29">
        <f>SUM(C21:C28)</f>
        <v>22</v>
      </c>
      <c r="D29">
        <f>SUM(D21:D28)</f>
        <v>25</v>
      </c>
      <c r="F29">
        <f t="shared" ref="F29:I29" si="1">SUM(F21:F28)</f>
        <v>25</v>
      </c>
      <c r="G29">
        <f t="shared" si="1"/>
        <v>29</v>
      </c>
      <c r="H29">
        <f t="shared" si="1"/>
        <v>13</v>
      </c>
      <c r="I29">
        <f t="shared" si="1"/>
        <v>8</v>
      </c>
      <c r="K29">
        <f>SUM(K21:K28)</f>
        <v>28</v>
      </c>
      <c r="L29">
        <f>SUM(L21:L28)</f>
        <v>24</v>
      </c>
      <c r="M29">
        <f>SUM(M21:M28)</f>
        <v>17</v>
      </c>
    </row>
    <row r="31" spans="1:15" x14ac:dyDescent="0.25">
      <c r="A31" s="60">
        <v>1</v>
      </c>
      <c r="B31" s="60" t="s">
        <v>12</v>
      </c>
      <c r="C31">
        <f>COUNTIFS(All!B:B,"private",All!K:K,B31,All!$C:$C,'Private by Sport'!A31)</f>
        <v>5</v>
      </c>
      <c r="D31">
        <f>COUNTIFS(All!B:B,"private",All!M:M,B31,All!$C:$C,'Private by Sport'!A31)</f>
        <v>5</v>
      </c>
      <c r="F31">
        <f>COUNTIFS(All!B:B,"private",All!M:M,B31,All!$C:$C,'Private by Sport'!A31)</f>
        <v>5</v>
      </c>
      <c r="G31">
        <f>COUNTIFS(All!B:B,"private",All!Q:Q,B31,All!$C:$C,'Private by Sport'!A31)</f>
        <v>3</v>
      </c>
      <c r="H31">
        <f>COUNTIFS(All!B:B,"private",All!R:R,B31,All!$C:$C,'Private by Sport'!A31)</f>
        <v>2</v>
      </c>
      <c r="I31">
        <f>COUNTIFS(All!B:B,"private",All!S:S,B31,All!$C:$C,'Private by Sport'!A31)</f>
        <v>1</v>
      </c>
      <c r="K31">
        <f>COUNTIFS(All!$B:$B,"private",All!X:X,'Private by Sport'!B31,All!$C:$C,'Private by Sport'!A31)</f>
        <v>4</v>
      </c>
      <c r="L31">
        <f>COUNTIFS(All!B:B,"private",All!Y:Y,'Private by Sport'!B31,All!$C:$C,'Private by Sport'!A31)</f>
        <v>3</v>
      </c>
      <c r="M31">
        <f>COUNTIFS(All!B:B,"private",All!Z:Z,'Private by Sport'!B31,All!$C:$C,'Private by Sport'!A31)</f>
        <v>3</v>
      </c>
    </row>
    <row r="32" spans="1:15" x14ac:dyDescent="0.25">
      <c r="A32" s="60">
        <v>2</v>
      </c>
      <c r="B32" s="60" t="s">
        <v>12</v>
      </c>
      <c r="C32">
        <f>COUNTIFS(All!B:B,"private",All!K:K,B32,All!$C:$C,'Private by Sport'!A32)</f>
        <v>3</v>
      </c>
      <c r="D32">
        <f>COUNTIFS(All!B:B,"private",All!M:M,B32,All!$C:$C,'Private by Sport'!A32)</f>
        <v>3</v>
      </c>
      <c r="F32">
        <f>COUNTIFS(All!B:B,"private",All!M:M,B32,All!$C:$C,'Private by Sport'!A32)</f>
        <v>3</v>
      </c>
      <c r="G32">
        <f>COUNTIFS(All!B:B,"private",All!Q:Q,B32,All!$C:$C,'Private by Sport'!A32)</f>
        <v>4</v>
      </c>
      <c r="H32">
        <f>COUNTIFS(All!B:B,"private",All!R:R,B32,All!$C:$C,'Private by Sport'!A32)</f>
        <v>1</v>
      </c>
      <c r="I32">
        <f>COUNTIFS(All!B:B,"private",All!S:S,B32,All!$C:$C,'Private by Sport'!A32)</f>
        <v>1</v>
      </c>
      <c r="K32">
        <f>COUNTIFS(All!B:B,"private",All!X:X,'Private by Sport'!B32,All!C:C,'Private by Sport'!A32)</f>
        <v>3</v>
      </c>
      <c r="L32">
        <f>COUNTIFS(All!B:B,"private",All!Y:Y,'Private by Sport'!B32,All!$C:$C,'Private by Sport'!A32)</f>
        <v>1</v>
      </c>
      <c r="M32">
        <f>COUNTIFS(All!B:B,"private",All!Z:Z,'Private by Sport'!B32,All!$C:$C,'Private by Sport'!A32)</f>
        <v>3</v>
      </c>
    </row>
    <row r="33" spans="1:13" x14ac:dyDescent="0.25">
      <c r="A33" s="60">
        <v>3</v>
      </c>
      <c r="B33" s="60" t="s">
        <v>12</v>
      </c>
      <c r="C33">
        <f>COUNTIFS(All!B:B,"private",All!K:K,B33,All!$C:$C,'Private by Sport'!A33)</f>
        <v>1</v>
      </c>
      <c r="D33">
        <f>COUNTIFS(All!B:B,"private",All!M:M,B33,All!$C:$C,'Private by Sport'!A33)</f>
        <v>8</v>
      </c>
      <c r="F33">
        <f>COUNTIFS(All!B:B,"private",All!M:M,B33,All!$C:$C,'Private by Sport'!A33)</f>
        <v>8</v>
      </c>
      <c r="G33">
        <f>COUNTIFS(All!B:B,"private",All!Q:Q,B33,All!$C:$C,'Private by Sport'!A33)</f>
        <v>4</v>
      </c>
      <c r="H33">
        <f>COUNTIFS(All!B:B,"private",All!R:R,B33,All!$C:$C,'Private by Sport'!A33)</f>
        <v>1</v>
      </c>
      <c r="I33">
        <f>COUNTIFS(All!B:B,"private",All!S:S,B33,All!$C:$C,'Private by Sport'!A33)</f>
        <v>1</v>
      </c>
      <c r="K33">
        <f>COUNTIFS(All!B:B,"private",All!X:X,'Private by Sport'!B33,All!C:C,'Private by Sport'!A33)</f>
        <v>8</v>
      </c>
      <c r="L33">
        <f>COUNTIFS(All!B:B,"private",All!Y:Y,'Private by Sport'!B33,All!$C:$C,'Private by Sport'!A33)</f>
        <v>8</v>
      </c>
      <c r="M33">
        <f>COUNTIFS(All!B:B,"private",All!Z:Z,'Private by Sport'!B33,All!$C:$C,'Private by Sport'!A33)</f>
        <v>1</v>
      </c>
    </row>
    <row r="34" spans="1:13" x14ac:dyDescent="0.25">
      <c r="A34" s="60">
        <v>4</v>
      </c>
      <c r="B34" s="60" t="s">
        <v>12</v>
      </c>
      <c r="C34">
        <f>COUNTIFS(All!B:B,"private",All!K:K,B34,All!$C:$C,'Private by Sport'!A34)</f>
        <v>1</v>
      </c>
      <c r="D34">
        <f>COUNTIFS(All!B:B,"private",All!M:M,B34,All!$C:$C,'Private by Sport'!A34)</f>
        <v>0</v>
      </c>
      <c r="F34">
        <f>COUNTIFS(All!B:B,"private",All!M:M,B34,All!$C:$C,'Private by Sport'!A34)</f>
        <v>0</v>
      </c>
      <c r="G34">
        <f>COUNTIFS(All!B:B,"private",All!Q:Q,B34,All!$C:$C,'Private by Sport'!A34)</f>
        <v>2</v>
      </c>
      <c r="H34">
        <f>COUNTIFS(All!B:B,"private",All!R:R,B34,All!$C:$C,'Private by Sport'!A34)</f>
        <v>0</v>
      </c>
      <c r="I34">
        <f>COUNTIFS(All!B:B,"private",All!S:S,B34,All!$C:$C,'Private by Sport'!A34)</f>
        <v>0</v>
      </c>
      <c r="K34">
        <f>COUNTIFS(All!B:B,"private",All!X:X,'Private by Sport'!B34,All!C:C,'Private by Sport'!A34)</f>
        <v>3</v>
      </c>
      <c r="L34">
        <f>COUNTIFS(All!B:B,"private",All!Y:Y,'Private by Sport'!B34,All!$C:$C,'Private by Sport'!A34)</f>
        <v>0</v>
      </c>
      <c r="M34">
        <f>COUNTIFS(All!B:B,"private",All!Z:Z,'Private by Sport'!B34,All!$C:$C,'Private by Sport'!A34)</f>
        <v>1</v>
      </c>
    </row>
    <row r="35" spans="1:13" x14ac:dyDescent="0.25">
      <c r="A35" s="60">
        <v>5</v>
      </c>
      <c r="B35" s="60" t="s">
        <v>12</v>
      </c>
      <c r="C35">
        <f>COUNTIFS(All!B:B,"private",All!K:K,B35,All!$C:$C,'Private by Sport'!A35)</f>
        <v>0</v>
      </c>
      <c r="D35">
        <f>COUNTIFS(All!B:B,"private",All!M:M,B35,All!$C:$C,'Private by Sport'!A35)</f>
        <v>0</v>
      </c>
      <c r="F35">
        <f>COUNTIFS(All!B:B,"private",All!M:M,B35,All!$C:$C,'Private by Sport'!A35)</f>
        <v>0</v>
      </c>
      <c r="G35">
        <f>COUNTIFS(All!B:B,"private",All!Q:Q,B35,All!$C:$C,'Private by Sport'!A35)</f>
        <v>0</v>
      </c>
      <c r="H35">
        <f>COUNTIFS(All!B:B,"private",All!R:R,B35,All!$C:$C,'Private by Sport'!A35)</f>
        <v>0</v>
      </c>
      <c r="I35">
        <f>COUNTIFS(All!B:B,"private",All!S:S,B35,All!$C:$C,'Private by Sport'!A35)</f>
        <v>0</v>
      </c>
      <c r="K35">
        <f>COUNTIFS(All!B:B,"private",All!X:X,'Private by Sport'!B35,All!C:C,'Private by Sport'!A35)</f>
        <v>0</v>
      </c>
      <c r="L35">
        <f>COUNTIFS(All!B:B,"private",All!Y:Y,'Private by Sport'!B35,All!$C:$C,'Private by Sport'!A35)</f>
        <v>0</v>
      </c>
      <c r="M35">
        <f>COUNTIFS(All!B:B,"private",All!Z:Z,'Private by Sport'!B35,All!$C:$C,'Private by Sport'!A35)</f>
        <v>0</v>
      </c>
    </row>
    <row r="36" spans="1:13" x14ac:dyDescent="0.25">
      <c r="A36" s="60">
        <v>6</v>
      </c>
      <c r="B36" s="60" t="s">
        <v>12</v>
      </c>
      <c r="C36">
        <f>COUNTIFS(All!B:B,"private",All!K:K,B36,All!$C:$C,'Private by Sport'!A36)</f>
        <v>0</v>
      </c>
      <c r="D36">
        <f>COUNTIFS(All!B:B,"private",All!M:M,B36,All!$C:$C,'Private by Sport'!A36)</f>
        <v>1</v>
      </c>
      <c r="F36">
        <f>COUNTIFS(All!B:B,"private",All!M:M,B36,All!$C:$C,'Private by Sport'!A36)</f>
        <v>1</v>
      </c>
      <c r="G36">
        <f>COUNTIFS(All!B:B,"private",All!Q:Q,B36,All!$C:$C,'Private by Sport'!A36)</f>
        <v>1</v>
      </c>
      <c r="H36">
        <f>COUNTIFS(All!B:B,"private",All!R:R,B36,All!$C:$C,'Private by Sport'!A36)</f>
        <v>0</v>
      </c>
      <c r="I36">
        <f>COUNTIFS(All!B:B,"private",All!S:S,B36,All!$C:$C,'Private by Sport'!A36)</f>
        <v>0</v>
      </c>
      <c r="K36">
        <f>COUNTIFS(All!B:B,"private",All!X:X,'Private by Sport'!B36,All!C:C,'Private by Sport'!A36)</f>
        <v>1</v>
      </c>
      <c r="L36">
        <f>COUNTIFS(All!B:B,"private",All!Y:Y,'Private by Sport'!B36,All!$C:$C,'Private by Sport'!A36)</f>
        <v>0</v>
      </c>
      <c r="M36">
        <f>COUNTIFS(All!B:B,"private",All!Z:Z,'Private by Sport'!B36,All!$C:$C,'Private by Sport'!A36)</f>
        <v>0</v>
      </c>
    </row>
    <row r="37" spans="1:13" x14ac:dyDescent="0.25">
      <c r="A37" s="60">
        <v>7</v>
      </c>
      <c r="B37" s="60" t="s">
        <v>12</v>
      </c>
      <c r="C37">
        <f>COUNTIFS(All!B:B,"private",All!K:K,B37,All!$C:$C,'Private by Sport'!A37)</f>
        <v>0</v>
      </c>
      <c r="D37">
        <f>COUNTIFS(All!B:B,"private",All!M:M,B37,All!$C:$C,'Private by Sport'!A37)</f>
        <v>1</v>
      </c>
      <c r="F37">
        <f>COUNTIFS(All!B:B,"private",All!M:M,B37,All!$C:$C,'Private by Sport'!A37)</f>
        <v>1</v>
      </c>
      <c r="G37">
        <f>COUNTIFS(All!B:B,"private",All!Q:Q,B37,All!$C:$C,'Private by Sport'!A37)</f>
        <v>0</v>
      </c>
      <c r="H37">
        <f>COUNTIFS(All!B:B,"private",All!R:R,B37,All!$C:$C,'Private by Sport'!A37)</f>
        <v>0</v>
      </c>
      <c r="I37">
        <f>COUNTIFS(All!B:B,"private",All!S:S,B37,All!$C:$C,'Private by Sport'!A37)</f>
        <v>0</v>
      </c>
      <c r="K37">
        <f>COUNTIFS(All!B:B,"private",All!X:X,'Private by Sport'!B37,All!C:C,'Private by Sport'!A37)</f>
        <v>0</v>
      </c>
      <c r="L37">
        <f>COUNTIFS(All!B:B,"private",All!Y:Y,'Private by Sport'!B37,All!$C:$C,'Private by Sport'!A37)</f>
        <v>0</v>
      </c>
      <c r="M37">
        <f>COUNTIFS(All!B:B,"private",All!Z:Z,'Private by Sport'!B37,All!$C:$C,'Private by Sport'!A37)</f>
        <v>0</v>
      </c>
    </row>
    <row r="39" spans="1:13" x14ac:dyDescent="0.25">
      <c r="C39">
        <f>SUM(C31:C38)</f>
        <v>10</v>
      </c>
      <c r="D39">
        <f>SUM(D31:D38)</f>
        <v>18</v>
      </c>
      <c r="F39">
        <f t="shared" ref="F39:I39" si="2">SUM(F31:F38)</f>
        <v>18</v>
      </c>
      <c r="G39">
        <f t="shared" si="2"/>
        <v>14</v>
      </c>
      <c r="H39">
        <f t="shared" si="2"/>
        <v>4</v>
      </c>
      <c r="I39">
        <f t="shared" si="2"/>
        <v>3</v>
      </c>
      <c r="K39">
        <f>SUM(K31:K38)</f>
        <v>19</v>
      </c>
      <c r="L39">
        <f>SUM(L31:L38)</f>
        <v>12</v>
      </c>
      <c r="M39">
        <f>SUM(M31:M38)</f>
        <v>8</v>
      </c>
    </row>
    <row r="41" spans="1:13" x14ac:dyDescent="0.25">
      <c r="A41" s="60">
        <v>1</v>
      </c>
      <c r="B41" s="60" t="s">
        <v>11</v>
      </c>
      <c r="C41">
        <f>COUNTIFS(All!B:B,"private",All!K:K,B41,All!$C:$C,'Private by Sport'!A41)</f>
        <v>0</v>
      </c>
      <c r="D41">
        <f>COUNTIFS(All!B:B,"private",All!M:M,B41,All!$C:$C,'Private by Sport'!A41)</f>
        <v>4</v>
      </c>
      <c r="F41">
        <f>COUNTIFS(All!B:B,"private",All!M:M,B41,All!$C:$C,'Private by Sport'!A41)</f>
        <v>4</v>
      </c>
      <c r="G41">
        <f>COUNTIFS(All!B:B,"private",All!Q:Q,B41,All!$C:$C,'Private by Sport'!A41)</f>
        <v>4</v>
      </c>
      <c r="H41">
        <f>COUNTIFS(All!B:B,"private",All!R:R,B41,All!$C:$C,'Private by Sport'!A41)</f>
        <v>0</v>
      </c>
      <c r="I41">
        <f>COUNTIFS(All!B:B,"private",All!S:S,B41,All!$C:$C,'Private by Sport'!A41)</f>
        <v>0</v>
      </c>
      <c r="K41">
        <f>COUNTIFS(All!$B:$B,"private",All!X:X,'Private by Sport'!B41,All!$C:$C,'Private by Sport'!A41)</f>
        <v>6</v>
      </c>
      <c r="L41">
        <f>COUNTIFS(All!B:B,"private",All!Y:Y,'Private by Sport'!B41,All!$C:$C,'Private by Sport'!A41)</f>
        <v>3</v>
      </c>
      <c r="M41">
        <f>COUNTIFS(All!B:B,"private",All!Z:Z,'Private by Sport'!B41,All!$C:$C,'Private by Sport'!A41)</f>
        <v>0</v>
      </c>
    </row>
    <row r="42" spans="1:13" x14ac:dyDescent="0.25">
      <c r="A42" s="60">
        <v>2</v>
      </c>
      <c r="B42" s="60" t="s">
        <v>11</v>
      </c>
      <c r="C42">
        <f>COUNTIFS(All!B:B,"private",All!K:K,B42,All!$C:$C,'Private by Sport'!A42)</f>
        <v>0</v>
      </c>
      <c r="D42">
        <f>COUNTIFS(All!B:B,"private",All!M:M,B42,All!$C:$C,'Private by Sport'!A42)</f>
        <v>2</v>
      </c>
      <c r="F42">
        <f>COUNTIFS(All!B:B,"private",All!M:M,B42,All!$C:$C,'Private by Sport'!A42)</f>
        <v>2</v>
      </c>
      <c r="G42">
        <f>COUNTIFS(All!B:B,"private",All!Q:Q,B42,All!$C:$C,'Private by Sport'!A42)</f>
        <v>3</v>
      </c>
      <c r="H42">
        <f>COUNTIFS(All!B:B,"private",All!R:R,B42,All!$C:$C,'Private by Sport'!A42)</f>
        <v>0</v>
      </c>
      <c r="I42">
        <f>COUNTIFS(All!B:B,"private",All!S:S,B42,All!$C:$C,'Private by Sport'!A42)</f>
        <v>0</v>
      </c>
      <c r="K42">
        <f>COUNTIFS(All!B:B,"private",All!X:X,'Private by Sport'!B42,All!C:C,'Private by Sport'!A42)</f>
        <v>3</v>
      </c>
      <c r="L42">
        <f>COUNTIFS(All!B:B,"private",All!Y:Y,'Private by Sport'!B42,All!$C:$C,'Private by Sport'!A42)</f>
        <v>3</v>
      </c>
      <c r="M42">
        <f>COUNTIFS(All!B:B,"private",All!Z:Z,'Private by Sport'!B42,All!$C:$C,'Private by Sport'!A42)</f>
        <v>0</v>
      </c>
    </row>
    <row r="43" spans="1:13" x14ac:dyDescent="0.25">
      <c r="A43" s="60">
        <v>3</v>
      </c>
      <c r="B43" s="60" t="s">
        <v>11</v>
      </c>
      <c r="C43">
        <f>COUNTIFS(All!B:B,"private",All!K:K,B43,All!$C:$C,'Private by Sport'!A43)</f>
        <v>0</v>
      </c>
      <c r="D43">
        <f>COUNTIFS(All!B:B,"private",All!M:M,B43,All!$C:$C,'Private by Sport'!A43)</f>
        <v>2</v>
      </c>
      <c r="F43">
        <f>COUNTIFS(All!B:B,"private",All!M:M,B43,All!$C:$C,'Private by Sport'!A43)</f>
        <v>2</v>
      </c>
      <c r="G43">
        <f>COUNTIFS(All!B:B,"private",All!Q:Q,B43,All!$C:$C,'Private by Sport'!A43)</f>
        <v>3</v>
      </c>
      <c r="H43">
        <f>COUNTIFS(All!B:B,"private",All!R:R,B43,All!$C:$C,'Private by Sport'!A43)</f>
        <v>0</v>
      </c>
      <c r="I43">
        <f>COUNTIFS(All!B:B,"private",All!S:S,B43,All!$C:$C,'Private by Sport'!A43)</f>
        <v>0</v>
      </c>
      <c r="K43">
        <f>COUNTIFS(All!B:B,"private",All!X:X,'Private by Sport'!B43,All!C:C,'Private by Sport'!A43)</f>
        <v>2</v>
      </c>
      <c r="L43">
        <f>COUNTIFS(All!B:B,"private",All!Y:Y,'Private by Sport'!B43,All!$C:$C,'Private by Sport'!A43)</f>
        <v>1</v>
      </c>
      <c r="M43">
        <f>COUNTIFS(All!B:B,"private",All!Z:Z,'Private by Sport'!B43,All!$C:$C,'Private by Sport'!A43)</f>
        <v>0</v>
      </c>
    </row>
    <row r="44" spans="1:13" x14ac:dyDescent="0.25">
      <c r="A44" s="60">
        <v>4</v>
      </c>
      <c r="B44" s="60" t="s">
        <v>11</v>
      </c>
      <c r="C44">
        <f>COUNTIFS(All!B:B,"private",All!K:K,B44,All!$C:$C,'Private by Sport'!A44)</f>
        <v>0</v>
      </c>
      <c r="D44">
        <f>COUNTIFS(All!B:B,"private",All!M:M,B44,All!$C:$C,'Private by Sport'!A44)</f>
        <v>0</v>
      </c>
      <c r="F44">
        <f>COUNTIFS(All!B:B,"private",All!M:M,B44,All!$C:$C,'Private by Sport'!A44)</f>
        <v>0</v>
      </c>
      <c r="G44">
        <f>COUNTIFS(All!B:B,"private",All!Q:Q,B44,All!$C:$C,'Private by Sport'!A44)</f>
        <v>0</v>
      </c>
      <c r="H44">
        <f>COUNTIFS(All!B:B,"private",All!R:R,B44,All!$C:$C,'Private by Sport'!A44)</f>
        <v>0</v>
      </c>
      <c r="I44">
        <f>COUNTIFS(All!B:B,"private",All!S:S,B44,All!$C:$C,'Private by Sport'!A44)</f>
        <v>0</v>
      </c>
      <c r="K44">
        <f>COUNTIFS(All!B:B,"private",All!X:X,'Private by Sport'!B44,All!C:C,'Private by Sport'!A44)</f>
        <v>0</v>
      </c>
      <c r="L44">
        <f>COUNTIFS(All!B:B,"private",All!Y:Y,'Private by Sport'!B44,All!$C:$C,'Private by Sport'!A44)</f>
        <v>0</v>
      </c>
      <c r="M44">
        <f>COUNTIFS(All!B:B,"private",All!Z:Z,'Private by Sport'!B44,All!$C:$C,'Private by Sport'!A44)</f>
        <v>0</v>
      </c>
    </row>
    <row r="45" spans="1:13" x14ac:dyDescent="0.25">
      <c r="A45" s="60">
        <v>5</v>
      </c>
      <c r="B45" s="60" t="s">
        <v>11</v>
      </c>
      <c r="C45">
        <f>COUNTIFS(All!B:B,"private",All!K:K,B45,All!$C:$C,'Private by Sport'!A45)</f>
        <v>0</v>
      </c>
      <c r="D45">
        <f>COUNTIFS(All!B:B,"private",All!M:M,B45,All!$C:$C,'Private by Sport'!A45)</f>
        <v>0</v>
      </c>
      <c r="F45">
        <f>COUNTIFS(All!B:B,"private",All!M:M,B45,All!$C:$C,'Private by Sport'!A45)</f>
        <v>0</v>
      </c>
      <c r="G45">
        <f>COUNTIFS(All!B:B,"private",All!Q:Q,B45,All!$C:$C,'Private by Sport'!A45)</f>
        <v>0</v>
      </c>
      <c r="H45">
        <f>COUNTIFS(All!B:B,"private",All!R:R,B45,All!$C:$C,'Private by Sport'!A45)</f>
        <v>0</v>
      </c>
      <c r="I45">
        <f>COUNTIFS(All!B:B,"private",All!S:S,B45,All!$C:$C,'Private by Sport'!A45)</f>
        <v>0</v>
      </c>
      <c r="K45">
        <f>COUNTIFS(All!B:B,"private",All!X:X,'Private by Sport'!B45,All!C:C,'Private by Sport'!A45)</f>
        <v>0</v>
      </c>
      <c r="L45">
        <f>COUNTIFS(All!B:B,"private",All!Y:Y,'Private by Sport'!B45,All!$C:$C,'Private by Sport'!A45)</f>
        <v>0</v>
      </c>
      <c r="M45">
        <f>COUNTIFS(All!B:B,"private",All!Z:Z,'Private by Sport'!B45,All!$C:$C,'Private by Sport'!A45)</f>
        <v>0</v>
      </c>
    </row>
    <row r="46" spans="1:13" x14ac:dyDescent="0.25">
      <c r="A46" s="60">
        <v>6</v>
      </c>
      <c r="B46" s="60" t="s">
        <v>11</v>
      </c>
      <c r="C46">
        <f>COUNTIFS(All!B:B,"private",All!K:K,B46,All!$C:$C,'Private by Sport'!A46)</f>
        <v>0</v>
      </c>
      <c r="D46">
        <f>COUNTIFS(All!B:B,"private",All!M:M,B46,All!$C:$C,'Private by Sport'!A46)</f>
        <v>0</v>
      </c>
      <c r="F46">
        <f>COUNTIFS(All!B:B,"private",All!M:M,B46,All!$C:$C,'Private by Sport'!A46)</f>
        <v>0</v>
      </c>
      <c r="G46">
        <f>COUNTIFS(All!B:B,"private",All!Q:Q,B46,All!$C:$C,'Private by Sport'!A46)</f>
        <v>0</v>
      </c>
      <c r="H46">
        <f>COUNTIFS(All!B:B,"private",All!R:R,B46,All!$C:$C,'Private by Sport'!A46)</f>
        <v>0</v>
      </c>
      <c r="I46">
        <f>COUNTIFS(All!B:B,"private",All!S:S,B46,All!$C:$C,'Private by Sport'!A46)</f>
        <v>0</v>
      </c>
      <c r="K46">
        <f>COUNTIFS(All!B:B,"private",All!X:X,'Private by Sport'!B46,All!C:C,'Private by Sport'!A46)</f>
        <v>0</v>
      </c>
      <c r="L46">
        <f>COUNTIFS(All!B:B,"private",All!Y:Y,'Private by Sport'!B46,All!$C:$C,'Private by Sport'!A46)</f>
        <v>0</v>
      </c>
      <c r="M46">
        <f>COUNTIFS(All!B:B,"private",All!Z:Z,'Private by Sport'!B46,All!$C:$C,'Private by Sport'!A46)</f>
        <v>0</v>
      </c>
    </row>
    <row r="47" spans="1:13" x14ac:dyDescent="0.25">
      <c r="A47" s="60">
        <v>7</v>
      </c>
      <c r="B47" s="60" t="s">
        <v>11</v>
      </c>
      <c r="C47">
        <f>COUNTIFS(All!B:B,"private",All!K:K,B47,All!$C:$C,'Private by Sport'!A47)</f>
        <v>0</v>
      </c>
      <c r="D47">
        <f>COUNTIFS(All!B:B,"private",All!M:M,B47,All!$C:$C,'Private by Sport'!A47)</f>
        <v>0</v>
      </c>
      <c r="F47">
        <f>COUNTIFS(All!B:B,"private",All!M:M,B47,All!$C:$C,'Private by Sport'!A47)</f>
        <v>0</v>
      </c>
      <c r="G47">
        <f>COUNTIFS(All!B:B,"private",All!Q:Q,B47,All!$C:$C,'Private by Sport'!A47)</f>
        <v>0</v>
      </c>
      <c r="H47">
        <f>COUNTIFS(All!B:B,"private",All!R:R,B47,All!$C:$C,'Private by Sport'!A47)</f>
        <v>0</v>
      </c>
      <c r="I47">
        <f>COUNTIFS(All!B:B,"private",All!S:S,B47,All!$C:$C,'Private by Sport'!A47)</f>
        <v>0</v>
      </c>
      <c r="K47">
        <f>COUNTIFS(All!B:B,"private",All!X:X,'Private by Sport'!B47,All!C:C,'Private by Sport'!A47)</f>
        <v>0</v>
      </c>
      <c r="L47">
        <f>COUNTIFS(All!B:B,"private",All!Y:Y,'Private by Sport'!B47,All!$C:$C,'Private by Sport'!A47)</f>
        <v>0</v>
      </c>
      <c r="M47">
        <f>COUNTIFS(All!B:B,"private",All!Z:Z,'Private by Sport'!B47,All!$C:$C,'Private by Sport'!A47)</f>
        <v>0</v>
      </c>
    </row>
    <row r="49" spans="3:13" x14ac:dyDescent="0.25">
      <c r="C49">
        <f>SUM(C41:C48)</f>
        <v>0</v>
      </c>
      <c r="D49">
        <f>SUM(D41:D48)</f>
        <v>8</v>
      </c>
      <c r="F49">
        <f t="shared" ref="F49:I49" si="3">SUM(F41:F48)</f>
        <v>8</v>
      </c>
      <c r="G49">
        <f t="shared" si="3"/>
        <v>10</v>
      </c>
      <c r="H49">
        <f t="shared" si="3"/>
        <v>0</v>
      </c>
      <c r="I49">
        <f t="shared" si="3"/>
        <v>0</v>
      </c>
      <c r="K49">
        <f>SUM(K41:K48)</f>
        <v>11</v>
      </c>
      <c r="L49">
        <f>SUM(L41:L48)</f>
        <v>7</v>
      </c>
      <c r="M49">
        <f>SUM(M41:M48)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FBEE-5372-4021-8105-DDABEBA6EEC7}">
  <dimension ref="A1:AD1045"/>
  <sheetViews>
    <sheetView zoomScale="85" zoomScaleNormal="85" workbookViewId="0">
      <selection activeCell="E1" sqref="B1:E1048576"/>
    </sheetView>
  </sheetViews>
  <sheetFormatPr defaultRowHeight="15" x14ac:dyDescent="0.25"/>
  <cols>
    <col min="1" max="1" width="48.140625" customWidth="1"/>
    <col min="2" max="2" width="12" bestFit="1" customWidth="1"/>
    <col min="3" max="3" width="16.140625" bestFit="1" customWidth="1"/>
    <col min="4" max="4" width="8.28515625" bestFit="1" customWidth="1"/>
    <col min="5" max="5" width="20" bestFit="1" customWidth="1"/>
    <col min="6" max="6" width="13.85546875" bestFit="1" customWidth="1"/>
    <col min="7" max="7" width="15.28515625" bestFit="1" customWidth="1"/>
    <col min="8" max="8" width="16.85546875" bestFit="1" customWidth="1"/>
  </cols>
  <sheetData>
    <row r="1" spans="1:30" ht="15.75" thickBot="1" x14ac:dyDescent="0.3">
      <c r="A1" s="46" t="s">
        <v>0</v>
      </c>
      <c r="B1" s="47" t="s">
        <v>1</v>
      </c>
      <c r="C1" s="47" t="s">
        <v>994</v>
      </c>
      <c r="D1" s="47" t="s">
        <v>996</v>
      </c>
      <c r="E1" s="47" t="s">
        <v>993</v>
      </c>
      <c r="F1" s="43"/>
      <c r="G1" s="43"/>
      <c r="H1" s="43"/>
      <c r="J1" s="16" t="s">
        <v>971</v>
      </c>
      <c r="K1" s="16" t="s">
        <v>972</v>
      </c>
      <c r="L1" s="16" t="s">
        <v>973</v>
      </c>
      <c r="M1" s="16" t="s">
        <v>974</v>
      </c>
      <c r="N1" s="16" t="s">
        <v>975</v>
      </c>
      <c r="O1" s="16" t="s">
        <v>976</v>
      </c>
      <c r="P1" s="17" t="s">
        <v>977</v>
      </c>
      <c r="R1" s="16" t="s">
        <v>899</v>
      </c>
      <c r="S1" s="16" t="s">
        <v>900</v>
      </c>
      <c r="T1" s="16" t="s">
        <v>901</v>
      </c>
      <c r="U1" s="16" t="s">
        <v>902</v>
      </c>
      <c r="V1" s="16" t="s">
        <v>903</v>
      </c>
      <c r="W1" s="17" t="s">
        <v>904</v>
      </c>
      <c r="Y1" s="16" t="s">
        <v>2</v>
      </c>
      <c r="Z1" s="16" t="s">
        <v>3</v>
      </c>
      <c r="AA1" s="16" t="s">
        <v>4</v>
      </c>
      <c r="AB1" s="16" t="s">
        <v>5</v>
      </c>
      <c r="AC1" s="16" t="s">
        <v>6</v>
      </c>
      <c r="AD1" s="17" t="s">
        <v>7</v>
      </c>
    </row>
    <row r="2" spans="1:30" ht="15.75" thickBot="1" x14ac:dyDescent="0.3">
      <c r="A2" s="48" t="s">
        <v>8</v>
      </c>
      <c r="B2" s="49">
        <v>275</v>
      </c>
      <c r="C2" s="50"/>
      <c r="D2" s="50"/>
      <c r="E2" s="50"/>
      <c r="F2" s="45"/>
      <c r="G2" s="45"/>
      <c r="H2" s="45"/>
      <c r="J2" t="str">
        <f>IFERROR(IF(INDEX(Fall!$1:$1048576,MATCH($A2,Fall!$A:$A,FALSE),MATCH(J$1,Fall!$1:$1,FALSE))="","",INDEX(Fall!$1:$1048576,MATCH($A2,Fall!$A:$A,FALSE),MATCH(J$1,Fall!$1:$1,FALSE))),"")</f>
        <v>1A</v>
      </c>
      <c r="K2" t="str">
        <f>IFERROR(IF(INDEX(Fall!$1:$1048576,MATCH($A2,Fall!$A:$A,FALSE),MATCH(K$1,Fall!$1:$1,FALSE))="","",INDEX(Fall!$1:$1048576,MATCH($A2,Fall!$A:$A,FALSE),MATCH(K$1,Fall!$1:$1,FALSE))),"")</f>
        <v>1A</v>
      </c>
      <c r="L2" t="str">
        <f>IFERROR(IF(INDEX(Fall!$1:$1048576,MATCH($A2,Fall!$A:$A,FALSE),MATCH(L$1,Fall!$1:$1,FALSE))="","",INDEX(Fall!$1:$1048576,MATCH($A2,Fall!$A:$A,FALSE),MATCH(L$1,Fall!$1:$1,FALSE))),"")</f>
        <v>1A</v>
      </c>
      <c r="M2" t="str">
        <f>IFERROR(IF(INDEX(Fall!$1:$1048576,MATCH($A2,Fall!$A:$A,FALSE),MATCH(M$1,Fall!$1:$1,FALSE))="","",INDEX(Fall!$1:$1048576,MATCH($A2,Fall!$A:$A,FALSE),MATCH(M$1,Fall!$1:$1,FALSE))),"")</f>
        <v/>
      </c>
      <c r="N2" t="str">
        <f>IFERROR(IF(INDEX(Fall!$1:$1048576,MATCH($A2,Fall!$A:$A,FALSE),MATCH(N$1,Fall!$1:$1,FALSE))="","",INDEX(Fall!$1:$1048576,MATCH($A2,Fall!$A:$A,FALSE),MATCH(N$1,Fall!$1:$1,FALSE))),"")</f>
        <v>1A</v>
      </c>
      <c r="O2" t="str">
        <f>IFERROR(IF(INDEX(Fall!$1:$1048576,MATCH($A2,Fall!$A:$A,FALSE),MATCH(O$1,Fall!$1:$1,FALSE))="","",INDEX(Fall!$1:$1048576,MATCH($A2,Fall!$A:$A,FALSE),MATCH(O$1,Fall!$1:$1,FALSE))),"")</f>
        <v/>
      </c>
      <c r="P2" t="str">
        <f>IFERROR(IF(INDEX(Fall!$1:$1048576,MATCH($A2,Fall!$A:$A,FALSE),MATCH(P$1,Fall!$1:$1,FALSE))="","",INDEX(Fall!$1:$1048576,MATCH($A2,Fall!$A:$A,FALSE),MATCH(P$1,Fall!$1:$1,FALSE))),"")</f>
        <v>1A</v>
      </c>
      <c r="R2" t="str">
        <f>IFERROR(IF(INDEX(Winter!$1:$1048576,MATCH($A2,Winter!$A:$A,FALSE),MATCH(R$1,Winter!$1:$1,FALSE))="","",INDEX(Winter!$1:$1048576,MATCH($A2,Winter!$A:$A,FALSE),MATCH(R$1,Winter!$1:$1,FALSE))),"")</f>
        <v>1A</v>
      </c>
      <c r="S2" t="str">
        <f>IFERROR(IF(INDEX(Winter!$1:$1048576,MATCH($A2,Winter!$A:$A,FALSE),MATCH(S$1,Winter!$1:$1,FALSE))="","",INDEX(Winter!$1:$1048576,MATCH($A2,Winter!$A:$A,FALSE),MATCH(S$1,Winter!$1:$1,FALSE))),"")</f>
        <v>1A</v>
      </c>
      <c r="T2" t="str">
        <f>IFERROR(IF(INDEX(Winter!$1:$1048576,MATCH($A2,Winter!$A:$A,FALSE),MATCH(T$1,Winter!$1:$1,FALSE))="","",INDEX(Winter!$1:$1048576,MATCH($A2,Winter!$A:$A,FALSE),MATCH(T$1,Winter!$1:$1,FALSE))),"")</f>
        <v/>
      </c>
      <c r="U2" t="str">
        <f>IFERROR(IF(INDEX(Winter!$1:$1048576,MATCH($A2,Winter!$A:$A,FALSE),MATCH(U$1,Winter!$1:$1,FALSE))="","",INDEX(Winter!$1:$1048576,MATCH($A2,Winter!$A:$A,FALSE),MATCH(U$1,Winter!$1:$1,FALSE))),"")</f>
        <v/>
      </c>
      <c r="V2" t="str">
        <f>IFERROR(IF(INDEX(Winter!$1:$1048576,MATCH($A2,Winter!$A:$A,FALSE),MATCH(V$1,Winter!$1:$1,FALSE))="","",INDEX(Winter!$1:$1048576,MATCH($A2,Winter!$A:$A,FALSE),MATCH(V$1,Winter!$1:$1,FALSE))),"")</f>
        <v>1A</v>
      </c>
      <c r="W2" t="str">
        <f>IFERROR(IF(INDEX(Winter!$1:$1048576,MATCH($A2,Winter!$A:$A,FALSE),MATCH(W$1,Winter!$1:$1,FALSE))="","",INDEX(Winter!$1:$1048576,MATCH($A2,Winter!$A:$A,FALSE),MATCH(W$1,Winter!$1:$1,FALSE))),"")</f>
        <v>1A</v>
      </c>
      <c r="Y2" t="str">
        <f>IFERROR(IF(INDEX(Spring!$1:$1048576,MATCH($A2,Spring!$A:$A,FALSE),MATCH(Y$1,Spring!$1:$1,FALSE))="","",INDEX(Spring!$1:$1048576,MATCH($A2,Spring!$A:$A,FALSE),MATCH(Y$1,Spring!$1:$1,FALSE))),"")</f>
        <v>1A</v>
      </c>
      <c r="Z2" t="str">
        <f>IFERROR(IF(INDEX(Spring!$1:$1048576,MATCH($A2,Spring!$A:$A,FALSE),MATCH(Z$1,Spring!$1:$1,FALSE))="","",INDEX(Spring!$1:$1048576,MATCH($A2,Spring!$A:$A,FALSE),MATCH(Z$1,Spring!$1:$1,FALSE))),"")</f>
        <v>1A</v>
      </c>
      <c r="AA2" t="str">
        <f>IFERROR(IF(INDEX(Spring!$1:$1048576,MATCH($A2,Spring!$A:$A,FALSE),MATCH(AA$1,Spring!$1:$1,FALSE))="","",INDEX(Spring!$1:$1048576,MATCH($A2,Spring!$A:$A,FALSE),MATCH(AA$1,Spring!$1:$1,FALSE))),"")</f>
        <v/>
      </c>
      <c r="AB2" t="str">
        <f>IFERROR(IF(INDEX(Spring!$1:$1048576,MATCH($A2,Spring!$A:$A,FALSE),MATCH(AB$1,Spring!$1:$1,FALSE))="","",INDEX(Spring!$1:$1048576,MATCH($A2,Spring!$A:$A,FALSE),MATCH(AB$1,Spring!$1:$1,FALSE))),"")</f>
        <v/>
      </c>
      <c r="AC2" t="str">
        <f>IFERROR(IF(INDEX(Spring!$1:$1048576,MATCH($A2,Spring!$A:$A,FALSE),MATCH(AC$1,Spring!$1:$1,FALSE))="","",INDEX(Spring!$1:$1048576,MATCH($A2,Spring!$A:$A,FALSE),MATCH(AC$1,Spring!$1:$1,FALSE))),"")</f>
        <v>1A</v>
      </c>
      <c r="AD2" t="str">
        <f>IFERROR(IF(INDEX(Spring!$1:$1048576,MATCH($A2,Spring!$A:$A,FALSE),MATCH(AD$1,Spring!$1:$1,FALSE))="","",INDEX(Spring!$1:$1048576,MATCH($A2,Spring!$A:$A,FALSE),MATCH(AD$1,Spring!$1:$1,FALSE))),"")</f>
        <v>1A</v>
      </c>
    </row>
    <row r="3" spans="1:30" ht="15.75" thickBot="1" x14ac:dyDescent="0.3">
      <c r="A3" s="48" t="s">
        <v>10</v>
      </c>
      <c r="B3" s="49">
        <v>1876</v>
      </c>
      <c r="C3" s="50"/>
      <c r="D3" s="50"/>
      <c r="E3" s="50"/>
      <c r="F3" s="45"/>
      <c r="G3" s="45"/>
      <c r="H3" s="45"/>
      <c r="J3" t="str">
        <f>IFERROR(IF(INDEX(Fall!$1:$1048576,MATCH($A3,Fall!$A:$A,FALSE),MATCH(J$1,Fall!$1:$1,FALSE))="","",INDEX(Fall!$1:$1048576,MATCH($A3,Fall!$A:$A,FALSE),MATCH(J$1,Fall!$1:$1,FALSE))),"")</f>
        <v>3A</v>
      </c>
      <c r="K3" t="str">
        <f>IFERROR(IF(INDEX(Fall!$1:$1048576,MATCH($A3,Fall!$A:$A,FALSE),MATCH(K$1,Fall!$1:$1,FALSE))="","",INDEX(Fall!$1:$1048576,MATCH($A3,Fall!$A:$A,FALSE),MATCH(K$1,Fall!$1:$1,FALSE))),"")</f>
        <v>3A</v>
      </c>
      <c r="L3" t="str">
        <f>IFERROR(IF(INDEX(Fall!$1:$1048576,MATCH($A3,Fall!$A:$A,FALSE),MATCH(L$1,Fall!$1:$1,FALSE))="","",INDEX(Fall!$1:$1048576,MATCH($A3,Fall!$A:$A,FALSE),MATCH(L$1,Fall!$1:$1,FALSE))),"")</f>
        <v>3A</v>
      </c>
      <c r="M3" t="str">
        <f>IFERROR(IF(INDEX(Fall!$1:$1048576,MATCH($A3,Fall!$A:$A,FALSE),MATCH(M$1,Fall!$1:$1,FALSE))="","",INDEX(Fall!$1:$1048576,MATCH($A3,Fall!$A:$A,FALSE),MATCH(M$1,Fall!$1:$1,FALSE))),"")</f>
        <v>2A</v>
      </c>
      <c r="N3" t="str">
        <f>IFERROR(IF(INDEX(Fall!$1:$1048576,MATCH($A3,Fall!$A:$A,FALSE),MATCH(N$1,Fall!$1:$1,FALSE))="","",INDEX(Fall!$1:$1048576,MATCH($A3,Fall!$A:$A,FALSE),MATCH(N$1,Fall!$1:$1,FALSE))),"")</f>
        <v>3A</v>
      </c>
      <c r="O3" t="str">
        <f>IFERROR(IF(INDEX(Fall!$1:$1048576,MATCH($A3,Fall!$A:$A,FALSE),MATCH(O$1,Fall!$1:$1,FALSE))="","",INDEX(Fall!$1:$1048576,MATCH($A3,Fall!$A:$A,FALSE),MATCH(O$1,Fall!$1:$1,FALSE))),"")</f>
        <v>2A</v>
      </c>
      <c r="P3" t="str">
        <f>IFERROR(IF(INDEX(Fall!$1:$1048576,MATCH($A3,Fall!$A:$A,FALSE),MATCH(P$1,Fall!$1:$1,FALSE))="","",INDEX(Fall!$1:$1048576,MATCH($A3,Fall!$A:$A,FALSE),MATCH(P$1,Fall!$1:$1,FALSE))),"")</f>
        <v>4A</v>
      </c>
      <c r="R3" t="str">
        <f>IFERROR(IF(INDEX(Winter!$1:$1048576,MATCH($A3,Winter!$A:$A,FALSE),MATCH(R$1,Winter!$1:$1,FALSE))="","",INDEX(Winter!$1:$1048576,MATCH($A3,Winter!$A:$A,FALSE),MATCH(R$1,Winter!$1:$1,FALSE))),"")</f>
        <v>4A</v>
      </c>
      <c r="S3" t="str">
        <f>IFERROR(IF(INDEX(Winter!$1:$1048576,MATCH($A3,Winter!$A:$A,FALSE),MATCH(S$1,Winter!$1:$1,FALSE))="","",INDEX(Winter!$1:$1048576,MATCH($A3,Winter!$A:$A,FALSE),MATCH(S$1,Winter!$1:$1,FALSE))),"")</f>
        <v>4A</v>
      </c>
      <c r="T3" t="str">
        <f>IFERROR(IF(INDEX(Winter!$1:$1048576,MATCH($A3,Winter!$A:$A,FALSE),MATCH(T$1,Winter!$1:$1,FALSE))="","",INDEX(Winter!$1:$1048576,MATCH($A3,Winter!$A:$A,FALSE),MATCH(T$1,Winter!$1:$1,FALSE))),"")</f>
        <v>C</v>
      </c>
      <c r="U3" t="str">
        <f>IFERROR(IF(INDEX(Winter!$1:$1048576,MATCH($A3,Winter!$A:$A,FALSE),MATCH(U$1,Winter!$1:$1,FALSE))="","",INDEX(Winter!$1:$1048576,MATCH($A3,Winter!$A:$A,FALSE),MATCH(U$1,Winter!$1:$1,FALSE))),"")</f>
        <v>2A</v>
      </c>
      <c r="V3" t="str">
        <f>IFERROR(IF(INDEX(Winter!$1:$1048576,MATCH($A3,Winter!$A:$A,FALSE),MATCH(V$1,Winter!$1:$1,FALSE))="","",INDEX(Winter!$1:$1048576,MATCH($A3,Winter!$A:$A,FALSE),MATCH(V$1,Winter!$1:$1,FALSE))),"")</f>
        <v>2A</v>
      </c>
      <c r="W3" t="str">
        <f>IFERROR(IF(INDEX(Winter!$1:$1048576,MATCH($A3,Winter!$A:$A,FALSE),MATCH(W$1,Winter!$1:$1,FALSE))="","",INDEX(Winter!$1:$1048576,MATCH($A3,Winter!$A:$A,FALSE),MATCH(W$1,Winter!$1:$1,FALSE))),"")</f>
        <v>3A</v>
      </c>
      <c r="Y3" t="str">
        <f>IFERROR(IF(INDEX(Spring!$1:$1048576,MATCH($A3,Spring!$A:$A,FALSE),MATCH(Y$1,Spring!$1:$1,FALSE))="","",INDEX(Spring!$1:$1048576,MATCH($A3,Spring!$A:$A,FALSE),MATCH(Y$1,Spring!$1:$1,FALSE))),"")</f>
        <v>4A</v>
      </c>
      <c r="Z3" t="str">
        <f>IFERROR(IF(INDEX(Spring!$1:$1048576,MATCH($A3,Spring!$A:$A,FALSE),MATCH(Z$1,Spring!$1:$1,FALSE))="","",INDEX(Spring!$1:$1048576,MATCH($A3,Spring!$A:$A,FALSE),MATCH(Z$1,Spring!$1:$1,FALSE))),"")</f>
        <v>4A</v>
      </c>
      <c r="AA3" t="str">
        <f>IFERROR(IF(INDEX(Spring!$1:$1048576,MATCH($A3,Spring!$A:$A,FALSE),MATCH(AA$1,Spring!$1:$1,FALSE))="","",INDEX(Spring!$1:$1048576,MATCH($A3,Spring!$A:$A,FALSE),MATCH(AA$1,Spring!$1:$1,FALSE))),"")</f>
        <v>3A</v>
      </c>
      <c r="AB3" t="str">
        <f>IFERROR(IF(INDEX(Spring!$1:$1048576,MATCH($A3,Spring!$A:$A,FALSE),MATCH(AB$1,Spring!$1:$1,FALSE))="","",INDEX(Spring!$1:$1048576,MATCH($A3,Spring!$A:$A,FALSE),MATCH(AB$1,Spring!$1:$1,FALSE))),"")</f>
        <v>2A</v>
      </c>
      <c r="AC3" t="str">
        <f>IFERROR(IF(INDEX(Spring!$1:$1048576,MATCH($A3,Spring!$A:$A,FALSE),MATCH(AC$1,Spring!$1:$1,FALSE))="","",INDEX(Spring!$1:$1048576,MATCH($A3,Spring!$A:$A,FALSE),MATCH(AC$1,Spring!$1:$1,FALSE))),"")</f>
        <v>3A</v>
      </c>
      <c r="AD3" t="str">
        <f>IFERROR(IF(INDEX(Spring!$1:$1048576,MATCH($A3,Spring!$A:$A,FALSE),MATCH(AD$1,Spring!$1:$1,FALSE))="","",INDEX(Spring!$1:$1048576,MATCH($A3,Spring!$A:$A,FALSE),MATCH(AD$1,Spring!$1:$1,FALSE))),"")</f>
        <v>3A</v>
      </c>
    </row>
    <row r="4" spans="1:30" ht="15.75" thickBot="1" x14ac:dyDescent="0.3">
      <c r="A4" s="48" t="s">
        <v>14</v>
      </c>
      <c r="B4" s="49">
        <v>219</v>
      </c>
      <c r="C4" s="50"/>
      <c r="D4" s="50"/>
      <c r="E4" s="50"/>
      <c r="F4" s="45"/>
      <c r="G4" s="45"/>
      <c r="H4" s="45"/>
      <c r="J4" t="str">
        <f>IFERROR(IF(INDEX(Fall!$1:$1048576,MATCH($A4,Fall!$A:$A,FALSE),MATCH(J$1,Fall!$1:$1,FALSE))="","",INDEX(Fall!$1:$1048576,MATCH($A4,Fall!$A:$A,FALSE),MATCH(J$1,Fall!$1:$1,FALSE))),"")</f>
        <v/>
      </c>
      <c r="K4" t="str">
        <f>IFERROR(IF(INDEX(Fall!$1:$1048576,MATCH($A4,Fall!$A:$A,FALSE),MATCH(K$1,Fall!$1:$1,FALSE))="","",INDEX(Fall!$1:$1048576,MATCH($A4,Fall!$A:$A,FALSE),MATCH(K$1,Fall!$1:$1,FALSE))),"")</f>
        <v/>
      </c>
      <c r="L4" t="str">
        <f>IFERROR(IF(INDEX(Fall!$1:$1048576,MATCH($A4,Fall!$A:$A,FALSE),MATCH(L$1,Fall!$1:$1,FALSE))="","",INDEX(Fall!$1:$1048576,MATCH($A4,Fall!$A:$A,FALSE),MATCH(L$1,Fall!$1:$1,FALSE))),"")</f>
        <v>1A</v>
      </c>
      <c r="M4" t="str">
        <f>IFERROR(IF(INDEX(Fall!$1:$1048576,MATCH($A4,Fall!$A:$A,FALSE),MATCH(M$1,Fall!$1:$1,FALSE))="","",INDEX(Fall!$1:$1048576,MATCH($A4,Fall!$A:$A,FALSE),MATCH(M$1,Fall!$1:$1,FALSE))),"")</f>
        <v>1A</v>
      </c>
      <c r="N4" t="str">
        <f>IFERROR(IF(INDEX(Fall!$1:$1048576,MATCH($A4,Fall!$A:$A,FALSE),MATCH(N$1,Fall!$1:$1,FALSE))="","",INDEX(Fall!$1:$1048576,MATCH($A4,Fall!$A:$A,FALSE),MATCH(N$1,Fall!$1:$1,FALSE))),"")</f>
        <v/>
      </c>
      <c r="O4" t="str">
        <f>IFERROR(IF(INDEX(Fall!$1:$1048576,MATCH($A4,Fall!$A:$A,FALSE),MATCH(O$1,Fall!$1:$1,FALSE))="","",INDEX(Fall!$1:$1048576,MATCH($A4,Fall!$A:$A,FALSE),MATCH(O$1,Fall!$1:$1,FALSE))),"")</f>
        <v/>
      </c>
      <c r="P4" t="str">
        <f>IFERROR(IF(INDEX(Fall!$1:$1048576,MATCH($A4,Fall!$A:$A,FALSE),MATCH(P$1,Fall!$1:$1,FALSE))="","",INDEX(Fall!$1:$1048576,MATCH($A4,Fall!$A:$A,FALSE),MATCH(P$1,Fall!$1:$1,FALSE))),"")</f>
        <v>1A</v>
      </c>
      <c r="R4" t="str">
        <f>IFERROR(IF(INDEX(Winter!$1:$1048576,MATCH($A4,Winter!$A:$A,FALSE),MATCH(R$1,Winter!$1:$1,FALSE))="","",INDEX(Winter!$1:$1048576,MATCH($A4,Winter!$A:$A,FALSE),MATCH(R$1,Winter!$1:$1,FALSE))),"")</f>
        <v>1A</v>
      </c>
      <c r="S4" t="str">
        <f>IFERROR(IF(INDEX(Winter!$1:$1048576,MATCH($A4,Winter!$A:$A,FALSE),MATCH(S$1,Winter!$1:$1,FALSE))="","",INDEX(Winter!$1:$1048576,MATCH($A4,Winter!$A:$A,FALSE),MATCH(S$1,Winter!$1:$1,FALSE))),"")</f>
        <v>1A</v>
      </c>
      <c r="T4" t="str">
        <f>IFERROR(IF(INDEX(Winter!$1:$1048576,MATCH($A4,Winter!$A:$A,FALSE),MATCH(T$1,Winter!$1:$1,FALSE))="","",INDEX(Winter!$1:$1048576,MATCH($A4,Winter!$A:$A,FALSE),MATCH(T$1,Winter!$1:$1,FALSE))),"")</f>
        <v/>
      </c>
      <c r="U4" t="str">
        <f>IFERROR(IF(INDEX(Winter!$1:$1048576,MATCH($A4,Winter!$A:$A,FALSE),MATCH(U$1,Winter!$1:$1,FALSE))="","",INDEX(Winter!$1:$1048576,MATCH($A4,Winter!$A:$A,FALSE),MATCH(U$1,Winter!$1:$1,FALSE))),"")</f>
        <v/>
      </c>
      <c r="V4" t="str">
        <f>IFERROR(IF(INDEX(Winter!$1:$1048576,MATCH($A4,Winter!$A:$A,FALSE),MATCH(V$1,Winter!$1:$1,FALSE))="","",INDEX(Winter!$1:$1048576,MATCH($A4,Winter!$A:$A,FALSE),MATCH(V$1,Winter!$1:$1,FALSE))),"")</f>
        <v>1A</v>
      </c>
      <c r="W4" t="str">
        <f>IFERROR(IF(INDEX(Winter!$1:$1048576,MATCH($A4,Winter!$A:$A,FALSE),MATCH(W$1,Winter!$1:$1,FALSE))="","",INDEX(Winter!$1:$1048576,MATCH($A4,Winter!$A:$A,FALSE),MATCH(W$1,Winter!$1:$1,FALSE))),"")</f>
        <v/>
      </c>
      <c r="Y4" t="str">
        <f>IFERROR(IF(INDEX(Spring!$1:$1048576,MATCH($A4,Spring!$A:$A,FALSE),MATCH(Y$1,Spring!$1:$1,FALSE))="","",INDEX(Spring!$1:$1048576,MATCH($A4,Spring!$A:$A,FALSE),MATCH(Y$1,Spring!$1:$1,FALSE))),"")</f>
        <v>1A</v>
      </c>
      <c r="Z4" t="str">
        <f>IFERROR(IF(INDEX(Spring!$1:$1048576,MATCH($A4,Spring!$A:$A,FALSE),MATCH(Z$1,Spring!$1:$1,FALSE))="","",INDEX(Spring!$1:$1048576,MATCH($A4,Spring!$A:$A,FALSE),MATCH(Z$1,Spring!$1:$1,FALSE))),"")</f>
        <v>1A</v>
      </c>
      <c r="AA4" t="str">
        <f>IFERROR(IF(INDEX(Spring!$1:$1048576,MATCH($A4,Spring!$A:$A,FALSE),MATCH(AA$1,Spring!$1:$1,FALSE))="","",INDEX(Spring!$1:$1048576,MATCH($A4,Spring!$A:$A,FALSE),MATCH(AA$1,Spring!$1:$1,FALSE))),"")</f>
        <v/>
      </c>
      <c r="AB4" t="str">
        <f>IFERROR(IF(INDEX(Spring!$1:$1048576,MATCH($A4,Spring!$A:$A,FALSE),MATCH(AB$1,Spring!$1:$1,FALSE))="","",INDEX(Spring!$1:$1048576,MATCH($A4,Spring!$A:$A,FALSE),MATCH(AB$1,Spring!$1:$1,FALSE))),"")</f>
        <v/>
      </c>
      <c r="AC4" t="str">
        <f>IFERROR(IF(INDEX(Spring!$1:$1048576,MATCH($A4,Spring!$A:$A,FALSE),MATCH(AC$1,Spring!$1:$1,FALSE))="","",INDEX(Spring!$1:$1048576,MATCH($A4,Spring!$A:$A,FALSE),MATCH(AC$1,Spring!$1:$1,FALSE))),"")</f>
        <v/>
      </c>
      <c r="AD4" t="str">
        <f>IFERROR(IF(INDEX(Spring!$1:$1048576,MATCH($A4,Spring!$A:$A,FALSE),MATCH(AD$1,Spring!$1:$1,FALSE))="","",INDEX(Spring!$1:$1048576,MATCH($A4,Spring!$A:$A,FALSE),MATCH(AD$1,Spring!$1:$1,FALSE))),"")</f>
        <v/>
      </c>
    </row>
    <row r="5" spans="1:30" ht="15.75" thickBot="1" x14ac:dyDescent="0.3">
      <c r="A5" s="48" t="s">
        <v>15</v>
      </c>
      <c r="B5" s="49">
        <v>411</v>
      </c>
      <c r="C5" s="50"/>
      <c r="D5" s="50"/>
      <c r="E5" s="50"/>
      <c r="F5" s="45"/>
      <c r="G5" s="45"/>
      <c r="H5" s="45"/>
      <c r="J5" t="str">
        <f>IFERROR(IF(INDEX(Fall!$1:$1048576,MATCH($A5,Fall!$A:$A,FALSE),MATCH(J$1,Fall!$1:$1,FALSE))="","",INDEX(Fall!$1:$1048576,MATCH($A5,Fall!$A:$A,FALSE),MATCH(J$1,Fall!$1:$1,FALSE))),"")</f>
        <v>1A</v>
      </c>
      <c r="K5" t="str">
        <f>IFERROR(IF(INDEX(Fall!$1:$1048576,MATCH($A5,Fall!$A:$A,FALSE),MATCH(K$1,Fall!$1:$1,FALSE))="","",INDEX(Fall!$1:$1048576,MATCH($A5,Fall!$A:$A,FALSE),MATCH(K$1,Fall!$1:$1,FALSE))),"")</f>
        <v>1A</v>
      </c>
      <c r="L5" t="str">
        <f>IFERROR(IF(INDEX(Fall!$1:$1048576,MATCH($A5,Fall!$A:$A,FALSE),MATCH(L$1,Fall!$1:$1,FALSE))="","",INDEX(Fall!$1:$1048576,MATCH($A5,Fall!$A:$A,FALSE),MATCH(L$1,Fall!$1:$1,FALSE))),"")</f>
        <v>1A</v>
      </c>
      <c r="M5" t="str">
        <f>IFERROR(IF(INDEX(Fall!$1:$1048576,MATCH($A5,Fall!$A:$A,FALSE),MATCH(M$1,Fall!$1:$1,FALSE))="","",INDEX(Fall!$1:$1048576,MATCH($A5,Fall!$A:$A,FALSE),MATCH(M$1,Fall!$1:$1,FALSE))),"")</f>
        <v>1A</v>
      </c>
      <c r="N5" t="str">
        <f>IFERROR(IF(INDEX(Fall!$1:$1048576,MATCH($A5,Fall!$A:$A,FALSE),MATCH(N$1,Fall!$1:$1,FALSE))="","",INDEX(Fall!$1:$1048576,MATCH($A5,Fall!$A:$A,FALSE),MATCH(N$1,Fall!$1:$1,FALSE))),"")</f>
        <v/>
      </c>
      <c r="O5" t="str">
        <f>IFERROR(IF(INDEX(Fall!$1:$1048576,MATCH($A5,Fall!$A:$A,FALSE),MATCH(O$1,Fall!$1:$1,FALSE))="","",INDEX(Fall!$1:$1048576,MATCH($A5,Fall!$A:$A,FALSE),MATCH(O$1,Fall!$1:$1,FALSE))),"")</f>
        <v/>
      </c>
      <c r="P5" t="str">
        <f>IFERROR(IF(INDEX(Fall!$1:$1048576,MATCH($A5,Fall!$A:$A,FALSE),MATCH(P$1,Fall!$1:$1,FALSE))="","",INDEX(Fall!$1:$1048576,MATCH($A5,Fall!$A:$A,FALSE),MATCH(P$1,Fall!$1:$1,FALSE))),"")</f>
        <v>2A</v>
      </c>
      <c r="R5" t="str">
        <f>IFERROR(IF(INDEX(Winter!$1:$1048576,MATCH($A5,Winter!$A:$A,FALSE),MATCH(R$1,Winter!$1:$1,FALSE))="","",INDEX(Winter!$1:$1048576,MATCH($A5,Winter!$A:$A,FALSE),MATCH(R$1,Winter!$1:$1,FALSE))),"")</f>
        <v>2A</v>
      </c>
      <c r="S5" t="str">
        <f>IFERROR(IF(INDEX(Winter!$1:$1048576,MATCH($A5,Winter!$A:$A,FALSE),MATCH(S$1,Winter!$1:$1,FALSE))="","",INDEX(Winter!$1:$1048576,MATCH($A5,Winter!$A:$A,FALSE),MATCH(S$1,Winter!$1:$1,FALSE))),"")</f>
        <v>2A</v>
      </c>
      <c r="T5" t="str">
        <f>IFERROR(IF(INDEX(Winter!$1:$1048576,MATCH($A5,Winter!$A:$A,FALSE),MATCH(T$1,Winter!$1:$1,FALSE))="","",INDEX(Winter!$1:$1048576,MATCH($A5,Winter!$A:$A,FALSE),MATCH(T$1,Winter!$1:$1,FALSE))),"")</f>
        <v/>
      </c>
      <c r="U5" t="str">
        <f>IFERROR(IF(INDEX(Winter!$1:$1048576,MATCH($A5,Winter!$A:$A,FALSE),MATCH(U$1,Winter!$1:$1,FALSE))="","",INDEX(Winter!$1:$1048576,MATCH($A5,Winter!$A:$A,FALSE),MATCH(U$1,Winter!$1:$1,FALSE))),"")</f>
        <v/>
      </c>
      <c r="V5" t="str">
        <f>IFERROR(IF(INDEX(Winter!$1:$1048576,MATCH($A5,Winter!$A:$A,FALSE),MATCH(V$1,Winter!$1:$1,FALSE))="","",INDEX(Winter!$1:$1048576,MATCH($A5,Winter!$A:$A,FALSE),MATCH(V$1,Winter!$1:$1,FALSE))),"")</f>
        <v>1A</v>
      </c>
      <c r="W5" t="str">
        <f>IFERROR(IF(INDEX(Winter!$1:$1048576,MATCH($A5,Winter!$A:$A,FALSE),MATCH(W$1,Winter!$1:$1,FALSE))="","",INDEX(Winter!$1:$1048576,MATCH($A5,Winter!$A:$A,FALSE),MATCH(W$1,Winter!$1:$1,FALSE))),"")</f>
        <v>1A</v>
      </c>
      <c r="Y5" t="str">
        <f>IFERROR(IF(INDEX(Spring!$1:$1048576,MATCH($A5,Spring!$A:$A,FALSE),MATCH(Y$1,Spring!$1:$1,FALSE))="","",INDEX(Spring!$1:$1048576,MATCH($A5,Spring!$A:$A,FALSE),MATCH(Y$1,Spring!$1:$1,FALSE))),"")</f>
        <v>2A</v>
      </c>
      <c r="Z5" t="str">
        <f>IFERROR(IF(INDEX(Spring!$1:$1048576,MATCH($A5,Spring!$A:$A,FALSE),MATCH(Z$1,Spring!$1:$1,FALSE))="","",INDEX(Spring!$1:$1048576,MATCH($A5,Spring!$A:$A,FALSE),MATCH(Z$1,Spring!$1:$1,FALSE))),"")</f>
        <v>2A</v>
      </c>
      <c r="AA5" t="str">
        <f>IFERROR(IF(INDEX(Spring!$1:$1048576,MATCH($A5,Spring!$A:$A,FALSE),MATCH(AA$1,Spring!$1:$1,FALSE))="","",INDEX(Spring!$1:$1048576,MATCH($A5,Spring!$A:$A,FALSE),MATCH(AA$1,Spring!$1:$1,FALSE))),"")</f>
        <v/>
      </c>
      <c r="AB5" t="str">
        <f>IFERROR(IF(INDEX(Spring!$1:$1048576,MATCH($A5,Spring!$A:$A,FALSE),MATCH(AB$1,Spring!$1:$1,FALSE))="","",INDEX(Spring!$1:$1048576,MATCH($A5,Spring!$A:$A,FALSE),MATCH(AB$1,Spring!$1:$1,FALSE))),"")</f>
        <v/>
      </c>
      <c r="AC5" t="str">
        <f>IFERROR(IF(INDEX(Spring!$1:$1048576,MATCH($A5,Spring!$A:$A,FALSE),MATCH(AC$1,Spring!$1:$1,FALSE))="","",INDEX(Spring!$1:$1048576,MATCH($A5,Spring!$A:$A,FALSE),MATCH(AC$1,Spring!$1:$1,FALSE))),"")</f>
        <v>1A</v>
      </c>
      <c r="AD5" t="str">
        <f>IFERROR(IF(INDEX(Spring!$1:$1048576,MATCH($A5,Spring!$A:$A,FALSE),MATCH(AD$1,Spring!$1:$1,FALSE))="","",INDEX(Spring!$1:$1048576,MATCH($A5,Spring!$A:$A,FALSE),MATCH(AD$1,Spring!$1:$1,FALSE))),"")</f>
        <v>1A</v>
      </c>
    </row>
    <row r="6" spans="1:30" ht="15.75" thickBot="1" x14ac:dyDescent="0.3">
      <c r="A6" s="48" t="s">
        <v>16</v>
      </c>
      <c r="B6" s="49">
        <v>2059</v>
      </c>
      <c r="C6" s="50"/>
      <c r="D6" s="50"/>
      <c r="E6" s="50"/>
      <c r="F6" s="45"/>
      <c r="G6" s="45"/>
      <c r="H6" s="45"/>
      <c r="J6" t="str">
        <f>IFERROR(IF(INDEX(Fall!$1:$1048576,MATCH($A6,Fall!$A:$A,FALSE),MATCH(J$1,Fall!$1:$1,FALSE))="","",INDEX(Fall!$1:$1048576,MATCH($A6,Fall!$A:$A,FALSE),MATCH(J$1,Fall!$1:$1,FALSE))),"")</f>
        <v>3A</v>
      </c>
      <c r="K6" t="str">
        <f>IFERROR(IF(INDEX(Fall!$1:$1048576,MATCH($A6,Fall!$A:$A,FALSE),MATCH(K$1,Fall!$1:$1,FALSE))="","",INDEX(Fall!$1:$1048576,MATCH($A6,Fall!$A:$A,FALSE),MATCH(K$1,Fall!$1:$1,FALSE))),"")</f>
        <v>3A</v>
      </c>
      <c r="L6" t="str">
        <f>IFERROR(IF(INDEX(Fall!$1:$1048576,MATCH($A6,Fall!$A:$A,FALSE),MATCH(L$1,Fall!$1:$1,FALSE))="","",INDEX(Fall!$1:$1048576,MATCH($A6,Fall!$A:$A,FALSE),MATCH(L$1,Fall!$1:$1,FALSE))),"")</f>
        <v>3A</v>
      </c>
      <c r="M6" t="str">
        <f>IFERROR(IF(INDEX(Fall!$1:$1048576,MATCH($A6,Fall!$A:$A,FALSE),MATCH(M$1,Fall!$1:$1,FALSE))="","",INDEX(Fall!$1:$1048576,MATCH($A6,Fall!$A:$A,FALSE),MATCH(M$1,Fall!$1:$1,FALSE))),"")</f>
        <v>2A</v>
      </c>
      <c r="N6" t="str">
        <f>IFERROR(IF(INDEX(Fall!$1:$1048576,MATCH($A6,Fall!$A:$A,FALSE),MATCH(N$1,Fall!$1:$1,FALSE))="","",INDEX(Fall!$1:$1048576,MATCH($A6,Fall!$A:$A,FALSE),MATCH(N$1,Fall!$1:$1,FALSE))),"")</f>
        <v>3A</v>
      </c>
      <c r="O6" t="str">
        <f>IFERROR(IF(INDEX(Fall!$1:$1048576,MATCH($A6,Fall!$A:$A,FALSE),MATCH(O$1,Fall!$1:$1,FALSE))="","",INDEX(Fall!$1:$1048576,MATCH($A6,Fall!$A:$A,FALSE),MATCH(O$1,Fall!$1:$1,FALSE))),"")</f>
        <v>2A</v>
      </c>
      <c r="P6" t="str">
        <f>IFERROR(IF(INDEX(Fall!$1:$1048576,MATCH($A6,Fall!$A:$A,FALSE),MATCH(P$1,Fall!$1:$1,FALSE))="","",INDEX(Fall!$1:$1048576,MATCH($A6,Fall!$A:$A,FALSE),MATCH(P$1,Fall!$1:$1,FALSE))),"")</f>
        <v>4A</v>
      </c>
      <c r="R6" t="str">
        <f>IFERROR(IF(INDEX(Winter!$1:$1048576,MATCH($A6,Winter!$A:$A,FALSE),MATCH(R$1,Winter!$1:$1,FALSE))="","",INDEX(Winter!$1:$1048576,MATCH($A6,Winter!$A:$A,FALSE),MATCH(R$1,Winter!$1:$1,FALSE))),"")</f>
        <v>4A</v>
      </c>
      <c r="S6" t="str">
        <f>IFERROR(IF(INDEX(Winter!$1:$1048576,MATCH($A6,Winter!$A:$A,FALSE),MATCH(S$1,Winter!$1:$1,FALSE))="","",INDEX(Winter!$1:$1048576,MATCH($A6,Winter!$A:$A,FALSE),MATCH(S$1,Winter!$1:$1,FALSE))),"")</f>
        <v>4A</v>
      </c>
      <c r="T6" t="str">
        <f>IFERROR(IF(INDEX(Winter!$1:$1048576,MATCH($A6,Winter!$A:$A,FALSE),MATCH(T$1,Winter!$1:$1,FALSE))="","",INDEX(Winter!$1:$1048576,MATCH($A6,Winter!$A:$A,FALSE),MATCH(T$1,Winter!$1:$1,FALSE))),"")</f>
        <v>3A</v>
      </c>
      <c r="U6" t="str">
        <f>IFERROR(IF(INDEX(Winter!$1:$1048576,MATCH($A6,Winter!$A:$A,FALSE),MATCH(U$1,Winter!$1:$1,FALSE))="","",INDEX(Winter!$1:$1048576,MATCH($A6,Winter!$A:$A,FALSE),MATCH(U$1,Winter!$1:$1,FALSE))),"")</f>
        <v>3A</v>
      </c>
      <c r="V6" t="str">
        <f>IFERROR(IF(INDEX(Winter!$1:$1048576,MATCH($A6,Winter!$A:$A,FALSE),MATCH(V$1,Winter!$1:$1,FALSE))="","",INDEX(Winter!$1:$1048576,MATCH($A6,Winter!$A:$A,FALSE),MATCH(V$1,Winter!$1:$1,FALSE))),"")</f>
        <v>2A</v>
      </c>
      <c r="W6" t="str">
        <f>IFERROR(IF(INDEX(Winter!$1:$1048576,MATCH($A6,Winter!$A:$A,FALSE),MATCH(W$1,Winter!$1:$1,FALSE))="","",INDEX(Winter!$1:$1048576,MATCH($A6,Winter!$A:$A,FALSE),MATCH(W$1,Winter!$1:$1,FALSE))),"")</f>
        <v>3A</v>
      </c>
      <c r="Y6" t="str">
        <f>IFERROR(IF(INDEX(Spring!$1:$1048576,MATCH($A6,Spring!$A:$A,FALSE),MATCH(Y$1,Spring!$1:$1,FALSE))="","",INDEX(Spring!$1:$1048576,MATCH($A6,Spring!$A:$A,FALSE),MATCH(Y$1,Spring!$1:$1,FALSE))),"")</f>
        <v>4A</v>
      </c>
      <c r="Z6" t="str">
        <f>IFERROR(IF(INDEX(Spring!$1:$1048576,MATCH($A6,Spring!$A:$A,FALSE),MATCH(Z$1,Spring!$1:$1,FALSE))="","",INDEX(Spring!$1:$1048576,MATCH($A6,Spring!$A:$A,FALSE),MATCH(Z$1,Spring!$1:$1,FALSE))),"")</f>
        <v>4A</v>
      </c>
      <c r="AA6" t="str">
        <f>IFERROR(IF(INDEX(Spring!$1:$1048576,MATCH($A6,Spring!$A:$A,FALSE),MATCH(AA$1,Spring!$1:$1,FALSE))="","",INDEX(Spring!$1:$1048576,MATCH($A6,Spring!$A:$A,FALSE),MATCH(AA$1,Spring!$1:$1,FALSE))),"")</f>
        <v>3A</v>
      </c>
      <c r="AB6" t="str">
        <f>IFERROR(IF(INDEX(Spring!$1:$1048576,MATCH($A6,Spring!$A:$A,FALSE),MATCH(AB$1,Spring!$1:$1,FALSE))="","",INDEX(Spring!$1:$1048576,MATCH($A6,Spring!$A:$A,FALSE),MATCH(AB$1,Spring!$1:$1,FALSE))),"")</f>
        <v>2A</v>
      </c>
      <c r="AC6" t="str">
        <f>IFERROR(IF(INDEX(Spring!$1:$1048576,MATCH($A6,Spring!$A:$A,FALSE),MATCH(AC$1,Spring!$1:$1,FALSE))="","",INDEX(Spring!$1:$1048576,MATCH($A6,Spring!$A:$A,FALSE),MATCH(AC$1,Spring!$1:$1,FALSE))),"")</f>
        <v>3A</v>
      </c>
      <c r="AD6" t="str">
        <f>IFERROR(IF(INDEX(Spring!$1:$1048576,MATCH($A6,Spring!$A:$A,FALSE),MATCH(AD$1,Spring!$1:$1,FALSE))="","",INDEX(Spring!$1:$1048576,MATCH($A6,Spring!$A:$A,FALSE),MATCH(AD$1,Spring!$1:$1,FALSE))),"")</f>
        <v>3A</v>
      </c>
    </row>
    <row r="7" spans="1:30" ht="15.75" thickBot="1" x14ac:dyDescent="0.3">
      <c r="A7" s="48" t="s">
        <v>17</v>
      </c>
      <c r="B7" s="49">
        <v>233</v>
      </c>
      <c r="C7" s="50"/>
      <c r="D7" s="50"/>
      <c r="E7" s="50"/>
      <c r="F7" s="45"/>
      <c r="G7" s="45"/>
      <c r="H7" s="45"/>
      <c r="J7" t="str">
        <f>IFERROR(IF(INDEX(Fall!$1:$1048576,MATCH($A7,Fall!$A:$A,FALSE),MATCH(J$1,Fall!$1:$1,FALSE))="","",INDEX(Fall!$1:$1048576,MATCH($A7,Fall!$A:$A,FALSE),MATCH(J$1,Fall!$1:$1,FALSE))),"")</f>
        <v>1A</v>
      </c>
      <c r="K7" t="str">
        <f>IFERROR(IF(INDEX(Fall!$1:$1048576,MATCH($A7,Fall!$A:$A,FALSE),MATCH(K$1,Fall!$1:$1,FALSE))="","",INDEX(Fall!$1:$1048576,MATCH($A7,Fall!$A:$A,FALSE),MATCH(K$1,Fall!$1:$1,FALSE))),"")</f>
        <v>1A</v>
      </c>
      <c r="L7" t="str">
        <f>IFERROR(IF(INDEX(Fall!$1:$1048576,MATCH($A7,Fall!$A:$A,FALSE),MATCH(L$1,Fall!$1:$1,FALSE))="","",INDEX(Fall!$1:$1048576,MATCH($A7,Fall!$A:$A,FALSE),MATCH(L$1,Fall!$1:$1,FALSE))),"")</f>
        <v>1A</v>
      </c>
      <c r="M7" t="str">
        <f>IFERROR(IF(INDEX(Fall!$1:$1048576,MATCH($A7,Fall!$A:$A,FALSE),MATCH(M$1,Fall!$1:$1,FALSE))="","",INDEX(Fall!$1:$1048576,MATCH($A7,Fall!$A:$A,FALSE),MATCH(M$1,Fall!$1:$1,FALSE))),"")</f>
        <v>1A</v>
      </c>
      <c r="N7" t="str">
        <f>IFERROR(IF(INDEX(Fall!$1:$1048576,MATCH($A7,Fall!$A:$A,FALSE),MATCH(N$1,Fall!$1:$1,FALSE))="","",INDEX(Fall!$1:$1048576,MATCH($A7,Fall!$A:$A,FALSE),MATCH(N$1,Fall!$1:$1,FALSE))),"")</f>
        <v>1A</v>
      </c>
      <c r="O7" t="str">
        <f>IFERROR(IF(INDEX(Fall!$1:$1048576,MATCH($A7,Fall!$A:$A,FALSE),MATCH(O$1,Fall!$1:$1,FALSE))="","",INDEX(Fall!$1:$1048576,MATCH($A7,Fall!$A:$A,FALSE),MATCH(O$1,Fall!$1:$1,FALSE))),"")</f>
        <v/>
      </c>
      <c r="P7" t="str">
        <f>IFERROR(IF(INDEX(Fall!$1:$1048576,MATCH($A7,Fall!$A:$A,FALSE),MATCH(P$1,Fall!$1:$1,FALSE))="","",INDEX(Fall!$1:$1048576,MATCH($A7,Fall!$A:$A,FALSE),MATCH(P$1,Fall!$1:$1,FALSE))),"")</f>
        <v>1A</v>
      </c>
      <c r="R7" t="str">
        <f>IFERROR(IF(INDEX(Winter!$1:$1048576,MATCH($A7,Winter!$A:$A,FALSE),MATCH(R$1,Winter!$1:$1,FALSE))="","",INDEX(Winter!$1:$1048576,MATCH($A7,Winter!$A:$A,FALSE),MATCH(R$1,Winter!$1:$1,FALSE))),"")</f>
        <v>1A</v>
      </c>
      <c r="S7" t="str">
        <f>IFERROR(IF(INDEX(Winter!$1:$1048576,MATCH($A7,Winter!$A:$A,FALSE),MATCH(S$1,Winter!$1:$1,FALSE))="","",INDEX(Winter!$1:$1048576,MATCH($A7,Winter!$A:$A,FALSE),MATCH(S$1,Winter!$1:$1,FALSE))),"")</f>
        <v>1A</v>
      </c>
      <c r="T7" t="str">
        <f>IFERROR(IF(INDEX(Winter!$1:$1048576,MATCH($A7,Winter!$A:$A,FALSE),MATCH(T$1,Winter!$1:$1,FALSE))="","",INDEX(Winter!$1:$1048576,MATCH($A7,Winter!$A:$A,FALSE),MATCH(T$1,Winter!$1:$1,FALSE))),"")</f>
        <v/>
      </c>
      <c r="U7" t="str">
        <f>IFERROR(IF(INDEX(Winter!$1:$1048576,MATCH($A7,Winter!$A:$A,FALSE),MATCH(U$1,Winter!$1:$1,FALSE))="","",INDEX(Winter!$1:$1048576,MATCH($A7,Winter!$A:$A,FALSE),MATCH(U$1,Winter!$1:$1,FALSE))),"")</f>
        <v/>
      </c>
      <c r="V7" t="str">
        <f>IFERROR(IF(INDEX(Winter!$1:$1048576,MATCH($A7,Winter!$A:$A,FALSE),MATCH(V$1,Winter!$1:$1,FALSE))="","",INDEX(Winter!$1:$1048576,MATCH($A7,Winter!$A:$A,FALSE),MATCH(V$1,Winter!$1:$1,FALSE))),"")</f>
        <v>1A</v>
      </c>
      <c r="W7" t="str">
        <f>IFERROR(IF(INDEX(Winter!$1:$1048576,MATCH($A7,Winter!$A:$A,FALSE),MATCH(W$1,Winter!$1:$1,FALSE))="","",INDEX(Winter!$1:$1048576,MATCH($A7,Winter!$A:$A,FALSE),MATCH(W$1,Winter!$1:$1,FALSE))),"")</f>
        <v/>
      </c>
      <c r="Y7" t="str">
        <f>IFERROR(IF(INDEX(Spring!$1:$1048576,MATCH($A7,Spring!$A:$A,FALSE),MATCH(Y$1,Spring!$1:$1,FALSE))="","",INDEX(Spring!$1:$1048576,MATCH($A7,Spring!$A:$A,FALSE),MATCH(Y$1,Spring!$1:$1,FALSE))),"")</f>
        <v>1A</v>
      </c>
      <c r="Z7" t="str">
        <f>IFERROR(IF(INDEX(Spring!$1:$1048576,MATCH($A7,Spring!$A:$A,FALSE),MATCH(Z$1,Spring!$1:$1,FALSE))="","",INDEX(Spring!$1:$1048576,MATCH($A7,Spring!$A:$A,FALSE),MATCH(Z$1,Spring!$1:$1,FALSE))),"")</f>
        <v>1A</v>
      </c>
      <c r="AA7" t="str">
        <f>IFERROR(IF(INDEX(Spring!$1:$1048576,MATCH($A7,Spring!$A:$A,FALSE),MATCH(AA$1,Spring!$1:$1,FALSE))="","",INDEX(Spring!$1:$1048576,MATCH($A7,Spring!$A:$A,FALSE),MATCH(AA$1,Spring!$1:$1,FALSE))),"")</f>
        <v/>
      </c>
      <c r="AB7" t="str">
        <f>IFERROR(IF(INDEX(Spring!$1:$1048576,MATCH($A7,Spring!$A:$A,FALSE),MATCH(AB$1,Spring!$1:$1,FALSE))="","",INDEX(Spring!$1:$1048576,MATCH($A7,Spring!$A:$A,FALSE),MATCH(AB$1,Spring!$1:$1,FALSE))),"")</f>
        <v/>
      </c>
      <c r="AC7" t="str">
        <f>IFERROR(IF(INDEX(Spring!$1:$1048576,MATCH($A7,Spring!$A:$A,FALSE),MATCH(AC$1,Spring!$1:$1,FALSE))="","",INDEX(Spring!$1:$1048576,MATCH($A7,Spring!$A:$A,FALSE),MATCH(AC$1,Spring!$1:$1,FALSE))),"")</f>
        <v>1A</v>
      </c>
      <c r="AD7" t="str">
        <f>IFERROR(IF(INDEX(Spring!$1:$1048576,MATCH($A7,Spring!$A:$A,FALSE),MATCH(AD$1,Spring!$1:$1,FALSE))="","",INDEX(Spring!$1:$1048576,MATCH($A7,Spring!$A:$A,FALSE),MATCH(AD$1,Spring!$1:$1,FALSE))),"")</f>
        <v>1A</v>
      </c>
    </row>
    <row r="8" spans="1:30" ht="23.25" thickBot="1" x14ac:dyDescent="0.3">
      <c r="A8" s="48" t="s">
        <v>18</v>
      </c>
      <c r="B8" s="49" t="s">
        <v>19</v>
      </c>
      <c r="C8" s="49" t="s">
        <v>997</v>
      </c>
      <c r="D8" s="49">
        <v>7</v>
      </c>
      <c r="E8" s="49">
        <v>19</v>
      </c>
      <c r="F8" s="45"/>
      <c r="G8" s="45"/>
      <c r="H8" s="45"/>
      <c r="J8" t="str">
        <f>IFERROR(IF(INDEX(Fall!$1:$1048576,MATCH($A8,Fall!$A:$A,FALSE),MATCH(J$1,Fall!$1:$1,FALSE))="","",INDEX(Fall!$1:$1048576,MATCH($A8,Fall!$A:$A,FALSE),MATCH(J$1,Fall!$1:$1,FALSE))),"")</f>
        <v>2A</v>
      </c>
      <c r="K8" t="str">
        <f>IFERROR(IF(INDEX(Fall!$1:$1048576,MATCH($A8,Fall!$A:$A,FALSE),MATCH(K$1,Fall!$1:$1,FALSE))="","",INDEX(Fall!$1:$1048576,MATCH($A8,Fall!$A:$A,FALSE),MATCH(K$1,Fall!$1:$1,FALSE))),"")</f>
        <v>2A</v>
      </c>
      <c r="L8" t="str">
        <f>IFERROR(IF(INDEX(Fall!$1:$1048576,MATCH($A8,Fall!$A:$A,FALSE),MATCH(L$1,Fall!$1:$1,FALSE))="","",INDEX(Fall!$1:$1048576,MATCH($A8,Fall!$A:$A,FALSE),MATCH(L$1,Fall!$1:$1,FALSE))),"")</f>
        <v>2A</v>
      </c>
      <c r="M8" t="str">
        <f>IFERROR(IF(INDEX(Fall!$1:$1048576,MATCH($A8,Fall!$A:$A,FALSE),MATCH(M$1,Fall!$1:$1,FALSE))="","",INDEX(Fall!$1:$1048576,MATCH($A8,Fall!$A:$A,FALSE),MATCH(M$1,Fall!$1:$1,FALSE))),"")</f>
        <v>1A</v>
      </c>
      <c r="N8" t="str">
        <f>IFERROR(IF(INDEX(Fall!$1:$1048576,MATCH($A8,Fall!$A:$A,FALSE),MATCH(N$1,Fall!$1:$1,FALSE))="","",INDEX(Fall!$1:$1048576,MATCH($A8,Fall!$A:$A,FALSE),MATCH(N$1,Fall!$1:$1,FALSE))),"")</f>
        <v>1A</v>
      </c>
      <c r="O8" t="str">
        <f>IFERROR(IF(INDEX(Fall!$1:$1048576,MATCH($A8,Fall!$A:$A,FALSE),MATCH(O$1,Fall!$1:$1,FALSE))="","",INDEX(Fall!$1:$1048576,MATCH($A8,Fall!$A:$A,FALSE),MATCH(O$1,Fall!$1:$1,FALSE))),"")</f>
        <v>1A</v>
      </c>
      <c r="P8" t="str">
        <f>IFERROR(IF(INDEX(Fall!$1:$1048576,MATCH($A8,Fall!$A:$A,FALSE),MATCH(P$1,Fall!$1:$1,FALSE))="","",INDEX(Fall!$1:$1048576,MATCH($A8,Fall!$A:$A,FALSE),MATCH(P$1,Fall!$1:$1,FALSE))),"")</f>
        <v>2A</v>
      </c>
      <c r="R8" t="str">
        <f>IFERROR(IF(INDEX(Winter!$1:$1048576,MATCH($A8,Winter!$A:$A,FALSE),MATCH(R$1,Winter!$1:$1,FALSE))="","",INDEX(Winter!$1:$1048576,MATCH($A8,Winter!$A:$A,FALSE),MATCH(R$1,Winter!$1:$1,FALSE))),"")</f>
        <v>2A</v>
      </c>
      <c r="S8" t="str">
        <f>IFERROR(IF(INDEX(Winter!$1:$1048576,MATCH($A8,Winter!$A:$A,FALSE),MATCH(S$1,Winter!$1:$1,FALSE))="","",INDEX(Winter!$1:$1048576,MATCH($A8,Winter!$A:$A,FALSE),MATCH(S$1,Winter!$1:$1,FALSE))),"")</f>
        <v>2A</v>
      </c>
      <c r="T8" t="str">
        <f>IFERROR(IF(INDEX(Winter!$1:$1048576,MATCH($A8,Winter!$A:$A,FALSE),MATCH(T$1,Winter!$1:$1,FALSE))="","",INDEX(Winter!$1:$1048576,MATCH($A8,Winter!$A:$A,FALSE),MATCH(T$1,Winter!$1:$1,FALSE))),"")</f>
        <v/>
      </c>
      <c r="U8" t="str">
        <f>IFERROR(IF(INDEX(Winter!$1:$1048576,MATCH($A8,Winter!$A:$A,FALSE),MATCH(U$1,Winter!$1:$1,FALSE))="","",INDEX(Winter!$1:$1048576,MATCH($A8,Winter!$A:$A,FALSE),MATCH(U$1,Winter!$1:$1,FALSE))),"")</f>
        <v>1A</v>
      </c>
      <c r="V8" t="str">
        <f>IFERROR(IF(INDEX(Winter!$1:$1048576,MATCH($A8,Winter!$A:$A,FALSE),MATCH(V$1,Winter!$1:$1,FALSE))="","",INDEX(Winter!$1:$1048576,MATCH($A8,Winter!$A:$A,FALSE),MATCH(V$1,Winter!$1:$1,FALSE))),"")</f>
        <v>2A</v>
      </c>
      <c r="W8" t="str">
        <f>IFERROR(IF(INDEX(Winter!$1:$1048576,MATCH($A8,Winter!$A:$A,FALSE),MATCH(W$1,Winter!$1:$1,FALSE))="","",INDEX(Winter!$1:$1048576,MATCH($A8,Winter!$A:$A,FALSE),MATCH(W$1,Winter!$1:$1,FALSE))),"")</f>
        <v/>
      </c>
      <c r="Y8" t="str">
        <f>IFERROR(IF(INDEX(Spring!$1:$1048576,MATCH($A8,Spring!$A:$A,FALSE),MATCH(Y$1,Spring!$1:$1,FALSE))="","",INDEX(Spring!$1:$1048576,MATCH($A8,Spring!$A:$A,FALSE),MATCH(Y$1,Spring!$1:$1,FALSE))),"")</f>
        <v>2A</v>
      </c>
      <c r="Z8" t="str">
        <f>IFERROR(IF(INDEX(Spring!$1:$1048576,MATCH($A8,Spring!$A:$A,FALSE),MATCH(Z$1,Spring!$1:$1,FALSE))="","",INDEX(Spring!$1:$1048576,MATCH($A8,Spring!$A:$A,FALSE),MATCH(Z$1,Spring!$1:$1,FALSE))),"")</f>
        <v>2A</v>
      </c>
      <c r="AA8" t="str">
        <f>IFERROR(IF(INDEX(Spring!$1:$1048576,MATCH($A8,Spring!$A:$A,FALSE),MATCH(AA$1,Spring!$1:$1,FALSE))="","",INDEX(Spring!$1:$1048576,MATCH($A8,Spring!$A:$A,FALSE),MATCH(AA$1,Spring!$1:$1,FALSE))),"")</f>
        <v>1A</v>
      </c>
      <c r="AB8" t="str">
        <f>IFERROR(IF(INDEX(Spring!$1:$1048576,MATCH($A8,Spring!$A:$A,FALSE),MATCH(AB$1,Spring!$1:$1,FALSE))="","",INDEX(Spring!$1:$1048576,MATCH($A8,Spring!$A:$A,FALSE),MATCH(AB$1,Spring!$1:$1,FALSE))),"")</f>
        <v>1A</v>
      </c>
      <c r="AC8" t="str">
        <f>IFERROR(IF(INDEX(Spring!$1:$1048576,MATCH($A8,Spring!$A:$A,FALSE),MATCH(AC$1,Spring!$1:$1,FALSE))="","",INDEX(Spring!$1:$1048576,MATCH($A8,Spring!$A:$A,FALSE),MATCH(AC$1,Spring!$1:$1,FALSE))),"")</f>
        <v>2A</v>
      </c>
      <c r="AD8" t="str">
        <f>IFERROR(IF(INDEX(Spring!$1:$1048576,MATCH($A8,Spring!$A:$A,FALSE),MATCH(AD$1,Spring!$1:$1,FALSE))="","",INDEX(Spring!$1:$1048576,MATCH($A8,Spring!$A:$A,FALSE),MATCH(AD$1,Spring!$1:$1,FALSE))),"")</f>
        <v>2A</v>
      </c>
    </row>
    <row r="9" spans="1:30" ht="15.75" thickBot="1" x14ac:dyDescent="0.3">
      <c r="A9" s="48" t="s">
        <v>20</v>
      </c>
      <c r="B9" s="49">
        <v>1721</v>
      </c>
      <c r="C9" s="50"/>
      <c r="D9" s="50"/>
      <c r="E9" s="50"/>
      <c r="F9" s="45"/>
      <c r="G9" s="45"/>
      <c r="H9" s="45"/>
      <c r="J9" t="str">
        <f>IFERROR(IF(INDEX(Fall!$1:$1048576,MATCH($A9,Fall!$A:$A,FALSE),MATCH(J$1,Fall!$1:$1,FALSE))="","",INDEX(Fall!$1:$1048576,MATCH($A9,Fall!$A:$A,FALSE),MATCH(J$1,Fall!$1:$1,FALSE))),"")</f>
        <v>3A</v>
      </c>
      <c r="K9" t="str">
        <f>IFERROR(IF(INDEX(Fall!$1:$1048576,MATCH($A9,Fall!$A:$A,FALSE),MATCH(K$1,Fall!$1:$1,FALSE))="","",INDEX(Fall!$1:$1048576,MATCH($A9,Fall!$A:$A,FALSE),MATCH(K$1,Fall!$1:$1,FALSE))),"")</f>
        <v>3A</v>
      </c>
      <c r="L9" t="str">
        <f>IFERROR(IF(INDEX(Fall!$1:$1048576,MATCH($A9,Fall!$A:$A,FALSE),MATCH(L$1,Fall!$1:$1,FALSE))="","",INDEX(Fall!$1:$1048576,MATCH($A9,Fall!$A:$A,FALSE),MATCH(L$1,Fall!$1:$1,FALSE))),"")</f>
        <v>3A</v>
      </c>
      <c r="M9" t="str">
        <f>IFERROR(IF(INDEX(Fall!$1:$1048576,MATCH($A9,Fall!$A:$A,FALSE),MATCH(M$1,Fall!$1:$1,FALSE))="","",INDEX(Fall!$1:$1048576,MATCH($A9,Fall!$A:$A,FALSE),MATCH(M$1,Fall!$1:$1,FALSE))),"")</f>
        <v/>
      </c>
      <c r="N9" t="str">
        <f>IFERROR(IF(INDEX(Fall!$1:$1048576,MATCH($A9,Fall!$A:$A,FALSE),MATCH(N$1,Fall!$1:$1,FALSE))="","",INDEX(Fall!$1:$1048576,MATCH($A9,Fall!$A:$A,FALSE),MATCH(N$1,Fall!$1:$1,FALSE))),"")</f>
        <v>3A</v>
      </c>
      <c r="O9" t="str">
        <f>IFERROR(IF(INDEX(Fall!$1:$1048576,MATCH($A9,Fall!$A:$A,FALSE),MATCH(O$1,Fall!$1:$1,FALSE))="","",INDEX(Fall!$1:$1048576,MATCH($A9,Fall!$A:$A,FALSE),MATCH(O$1,Fall!$1:$1,FALSE))),"")</f>
        <v>2A</v>
      </c>
      <c r="P9" t="str">
        <f>IFERROR(IF(INDEX(Fall!$1:$1048576,MATCH($A9,Fall!$A:$A,FALSE),MATCH(P$1,Fall!$1:$1,FALSE))="","",INDEX(Fall!$1:$1048576,MATCH($A9,Fall!$A:$A,FALSE),MATCH(P$1,Fall!$1:$1,FALSE))),"")</f>
        <v>4A</v>
      </c>
      <c r="R9" t="str">
        <f>IFERROR(IF(INDEX(Winter!$1:$1048576,MATCH($A9,Winter!$A:$A,FALSE),MATCH(R$1,Winter!$1:$1,FALSE))="","",INDEX(Winter!$1:$1048576,MATCH($A9,Winter!$A:$A,FALSE),MATCH(R$1,Winter!$1:$1,FALSE))),"")</f>
        <v>4A</v>
      </c>
      <c r="S9" t="str">
        <f>IFERROR(IF(INDEX(Winter!$1:$1048576,MATCH($A9,Winter!$A:$A,FALSE),MATCH(S$1,Winter!$1:$1,FALSE))="","",INDEX(Winter!$1:$1048576,MATCH($A9,Winter!$A:$A,FALSE),MATCH(S$1,Winter!$1:$1,FALSE))),"")</f>
        <v>4A</v>
      </c>
      <c r="T9" t="str">
        <f>IFERROR(IF(INDEX(Winter!$1:$1048576,MATCH($A9,Winter!$A:$A,FALSE),MATCH(T$1,Winter!$1:$1,FALSE))="","",INDEX(Winter!$1:$1048576,MATCH($A9,Winter!$A:$A,FALSE),MATCH(T$1,Winter!$1:$1,FALSE))),"")</f>
        <v>C</v>
      </c>
      <c r="U9" t="str">
        <f>IFERROR(IF(INDEX(Winter!$1:$1048576,MATCH($A9,Winter!$A:$A,FALSE),MATCH(U$1,Winter!$1:$1,FALSE))="","",INDEX(Winter!$1:$1048576,MATCH($A9,Winter!$A:$A,FALSE),MATCH(U$1,Winter!$1:$1,FALSE))),"")</f>
        <v>2A</v>
      </c>
      <c r="V9" t="str">
        <f>IFERROR(IF(INDEX(Winter!$1:$1048576,MATCH($A9,Winter!$A:$A,FALSE),MATCH(V$1,Winter!$1:$1,FALSE))="","",INDEX(Winter!$1:$1048576,MATCH($A9,Winter!$A:$A,FALSE),MATCH(V$1,Winter!$1:$1,FALSE))),"")</f>
        <v>2A</v>
      </c>
      <c r="W9" t="str">
        <f>IFERROR(IF(INDEX(Winter!$1:$1048576,MATCH($A9,Winter!$A:$A,FALSE),MATCH(W$1,Winter!$1:$1,FALSE))="","",INDEX(Winter!$1:$1048576,MATCH($A9,Winter!$A:$A,FALSE),MATCH(W$1,Winter!$1:$1,FALSE))),"")</f>
        <v>3A</v>
      </c>
      <c r="Y9" t="str">
        <f>IFERROR(IF(INDEX(Spring!$1:$1048576,MATCH($A9,Spring!$A:$A,FALSE),MATCH(Y$1,Spring!$1:$1,FALSE))="","",INDEX(Spring!$1:$1048576,MATCH($A9,Spring!$A:$A,FALSE),MATCH(Y$1,Spring!$1:$1,FALSE))),"")</f>
        <v>4A</v>
      </c>
      <c r="Z9" t="str">
        <f>IFERROR(IF(INDEX(Spring!$1:$1048576,MATCH($A9,Spring!$A:$A,FALSE),MATCH(Z$1,Spring!$1:$1,FALSE))="","",INDEX(Spring!$1:$1048576,MATCH($A9,Spring!$A:$A,FALSE),MATCH(Z$1,Spring!$1:$1,FALSE))),"")</f>
        <v>4A</v>
      </c>
      <c r="AA9" t="str">
        <f>IFERROR(IF(INDEX(Spring!$1:$1048576,MATCH($A9,Spring!$A:$A,FALSE),MATCH(AA$1,Spring!$1:$1,FALSE))="","",INDEX(Spring!$1:$1048576,MATCH($A9,Spring!$A:$A,FALSE),MATCH(AA$1,Spring!$1:$1,FALSE))),"")</f>
        <v>2A</v>
      </c>
      <c r="AB9" t="str">
        <f>IFERROR(IF(INDEX(Spring!$1:$1048576,MATCH($A9,Spring!$A:$A,FALSE),MATCH(AB$1,Spring!$1:$1,FALSE))="","",INDEX(Spring!$1:$1048576,MATCH($A9,Spring!$A:$A,FALSE),MATCH(AB$1,Spring!$1:$1,FALSE))),"")</f>
        <v>2A</v>
      </c>
      <c r="AC9" t="str">
        <f>IFERROR(IF(INDEX(Spring!$1:$1048576,MATCH($A9,Spring!$A:$A,FALSE),MATCH(AC$1,Spring!$1:$1,FALSE))="","",INDEX(Spring!$1:$1048576,MATCH($A9,Spring!$A:$A,FALSE),MATCH(AC$1,Spring!$1:$1,FALSE))),"")</f>
        <v>3A</v>
      </c>
      <c r="AD9" t="str">
        <f>IFERROR(IF(INDEX(Spring!$1:$1048576,MATCH($A9,Spring!$A:$A,FALSE),MATCH(AD$1,Spring!$1:$1,FALSE))="","",INDEX(Spring!$1:$1048576,MATCH($A9,Spring!$A:$A,FALSE),MATCH(AD$1,Spring!$1:$1,FALSE))),"")</f>
        <v>3A</v>
      </c>
    </row>
    <row r="10" spans="1:30" ht="15.75" thickBot="1" x14ac:dyDescent="0.3">
      <c r="A10" s="48" t="s">
        <v>21</v>
      </c>
      <c r="B10" s="49">
        <v>229</v>
      </c>
      <c r="C10" s="50"/>
      <c r="D10" s="50"/>
      <c r="E10" s="50"/>
      <c r="F10" s="45"/>
      <c r="G10" s="45"/>
      <c r="H10" s="45"/>
      <c r="J10" t="str">
        <f>IFERROR(IF(INDEX(Fall!$1:$1048576,MATCH($A10,Fall!$A:$A,FALSE),MATCH(J$1,Fall!$1:$1,FALSE))="","",INDEX(Fall!$1:$1048576,MATCH($A10,Fall!$A:$A,FALSE),MATCH(J$1,Fall!$1:$1,FALSE))),"")</f>
        <v>1A</v>
      </c>
      <c r="K10" t="str">
        <f>IFERROR(IF(INDEX(Fall!$1:$1048576,MATCH($A10,Fall!$A:$A,FALSE),MATCH(K$1,Fall!$1:$1,FALSE))="","",INDEX(Fall!$1:$1048576,MATCH($A10,Fall!$A:$A,FALSE),MATCH(K$1,Fall!$1:$1,FALSE))),"")</f>
        <v>1A</v>
      </c>
      <c r="L10" t="str">
        <f>IFERROR(IF(INDEX(Fall!$1:$1048576,MATCH($A10,Fall!$A:$A,FALSE),MATCH(L$1,Fall!$1:$1,FALSE))="","",INDEX(Fall!$1:$1048576,MATCH($A10,Fall!$A:$A,FALSE),MATCH(L$1,Fall!$1:$1,FALSE))),"")</f>
        <v>1A</v>
      </c>
      <c r="M10" t="str">
        <f>IFERROR(IF(INDEX(Fall!$1:$1048576,MATCH($A10,Fall!$A:$A,FALSE),MATCH(M$1,Fall!$1:$1,FALSE))="","",INDEX(Fall!$1:$1048576,MATCH($A10,Fall!$A:$A,FALSE),MATCH(M$1,Fall!$1:$1,FALSE))),"")</f>
        <v/>
      </c>
      <c r="N10" t="str">
        <f>IFERROR(IF(INDEX(Fall!$1:$1048576,MATCH($A10,Fall!$A:$A,FALSE),MATCH(N$1,Fall!$1:$1,FALSE))="","",INDEX(Fall!$1:$1048576,MATCH($A10,Fall!$A:$A,FALSE),MATCH(N$1,Fall!$1:$1,FALSE))),"")</f>
        <v/>
      </c>
      <c r="O10" t="str">
        <f>IFERROR(IF(INDEX(Fall!$1:$1048576,MATCH($A10,Fall!$A:$A,FALSE),MATCH(O$1,Fall!$1:$1,FALSE))="","",INDEX(Fall!$1:$1048576,MATCH($A10,Fall!$A:$A,FALSE),MATCH(O$1,Fall!$1:$1,FALSE))),"")</f>
        <v/>
      </c>
      <c r="P10" t="str">
        <f>IFERROR(IF(INDEX(Fall!$1:$1048576,MATCH($A10,Fall!$A:$A,FALSE),MATCH(P$1,Fall!$1:$1,FALSE))="","",INDEX(Fall!$1:$1048576,MATCH($A10,Fall!$A:$A,FALSE),MATCH(P$1,Fall!$1:$1,FALSE))),"")</f>
        <v>1A</v>
      </c>
      <c r="R10" t="str">
        <f>IFERROR(IF(INDEX(Winter!$1:$1048576,MATCH($A10,Winter!$A:$A,FALSE),MATCH(R$1,Winter!$1:$1,FALSE))="","",INDEX(Winter!$1:$1048576,MATCH($A10,Winter!$A:$A,FALSE),MATCH(R$1,Winter!$1:$1,FALSE))),"")</f>
        <v>1A</v>
      </c>
      <c r="S10" t="str">
        <f>IFERROR(IF(INDEX(Winter!$1:$1048576,MATCH($A10,Winter!$A:$A,FALSE),MATCH(S$1,Winter!$1:$1,FALSE))="","",INDEX(Winter!$1:$1048576,MATCH($A10,Winter!$A:$A,FALSE),MATCH(S$1,Winter!$1:$1,FALSE))),"")</f>
        <v>1A</v>
      </c>
      <c r="T10" t="str">
        <f>IFERROR(IF(INDEX(Winter!$1:$1048576,MATCH($A10,Winter!$A:$A,FALSE),MATCH(T$1,Winter!$1:$1,FALSE))="","",INDEX(Winter!$1:$1048576,MATCH($A10,Winter!$A:$A,FALSE),MATCH(T$1,Winter!$1:$1,FALSE))),"")</f>
        <v/>
      </c>
      <c r="U10" t="str">
        <f>IFERROR(IF(INDEX(Winter!$1:$1048576,MATCH($A10,Winter!$A:$A,FALSE),MATCH(U$1,Winter!$1:$1,FALSE))="","",INDEX(Winter!$1:$1048576,MATCH($A10,Winter!$A:$A,FALSE),MATCH(U$1,Winter!$1:$1,FALSE))),"")</f>
        <v/>
      </c>
      <c r="V10" t="str">
        <f>IFERROR(IF(INDEX(Winter!$1:$1048576,MATCH($A10,Winter!$A:$A,FALSE),MATCH(V$1,Winter!$1:$1,FALSE))="","",INDEX(Winter!$1:$1048576,MATCH($A10,Winter!$A:$A,FALSE),MATCH(V$1,Winter!$1:$1,FALSE))),"")</f>
        <v>1A</v>
      </c>
      <c r="W10" t="str">
        <f>IFERROR(IF(INDEX(Winter!$1:$1048576,MATCH($A10,Winter!$A:$A,FALSE),MATCH(W$1,Winter!$1:$1,FALSE))="","",INDEX(Winter!$1:$1048576,MATCH($A10,Winter!$A:$A,FALSE),MATCH(W$1,Winter!$1:$1,FALSE))),"")</f>
        <v>1A</v>
      </c>
      <c r="Y10" t="str">
        <f>IFERROR(IF(INDEX(Spring!$1:$1048576,MATCH($A10,Spring!$A:$A,FALSE),MATCH(Y$1,Spring!$1:$1,FALSE))="","",INDEX(Spring!$1:$1048576,MATCH($A10,Spring!$A:$A,FALSE),MATCH(Y$1,Spring!$1:$1,FALSE))),"")</f>
        <v>1A</v>
      </c>
      <c r="Z10" t="str">
        <f>IFERROR(IF(INDEX(Spring!$1:$1048576,MATCH($A10,Spring!$A:$A,FALSE),MATCH(Z$1,Spring!$1:$1,FALSE))="","",INDEX(Spring!$1:$1048576,MATCH($A10,Spring!$A:$A,FALSE),MATCH(Z$1,Spring!$1:$1,FALSE))),"")</f>
        <v>1A</v>
      </c>
      <c r="AA10" t="str">
        <f>IFERROR(IF(INDEX(Spring!$1:$1048576,MATCH($A10,Spring!$A:$A,FALSE),MATCH(AA$1,Spring!$1:$1,FALSE))="","",INDEX(Spring!$1:$1048576,MATCH($A10,Spring!$A:$A,FALSE),MATCH(AA$1,Spring!$1:$1,FALSE))),"")</f>
        <v/>
      </c>
      <c r="AB10" t="str">
        <f>IFERROR(IF(INDEX(Spring!$1:$1048576,MATCH($A10,Spring!$A:$A,FALSE),MATCH(AB$1,Spring!$1:$1,FALSE))="","",INDEX(Spring!$1:$1048576,MATCH($A10,Spring!$A:$A,FALSE),MATCH(AB$1,Spring!$1:$1,FALSE))),"")</f>
        <v/>
      </c>
      <c r="AC10" t="str">
        <f>IFERROR(IF(INDEX(Spring!$1:$1048576,MATCH($A10,Spring!$A:$A,FALSE),MATCH(AC$1,Spring!$1:$1,FALSE))="","",INDEX(Spring!$1:$1048576,MATCH($A10,Spring!$A:$A,FALSE),MATCH(AC$1,Spring!$1:$1,FALSE))),"")</f>
        <v>1A</v>
      </c>
      <c r="AD10" t="str">
        <f>IFERROR(IF(INDEX(Spring!$1:$1048576,MATCH($A10,Spring!$A:$A,FALSE),MATCH(AD$1,Spring!$1:$1,FALSE))="","",INDEX(Spring!$1:$1048576,MATCH($A10,Spring!$A:$A,FALSE),MATCH(AD$1,Spring!$1:$1,FALSE))),"")</f>
        <v>1A</v>
      </c>
    </row>
    <row r="11" spans="1:30" ht="15.75" thickBot="1" x14ac:dyDescent="0.3">
      <c r="A11" s="48" t="s">
        <v>22</v>
      </c>
      <c r="B11" s="49">
        <v>475</v>
      </c>
      <c r="C11" s="50"/>
      <c r="D11" s="50"/>
      <c r="E11" s="50"/>
      <c r="F11" s="45"/>
      <c r="G11" s="45"/>
      <c r="H11" s="45"/>
      <c r="J11" t="str">
        <f>IFERROR(IF(INDEX(Fall!$1:$1048576,MATCH($A11,Fall!$A:$A,FALSE),MATCH(J$1,Fall!$1:$1,FALSE))="","",INDEX(Fall!$1:$1048576,MATCH($A11,Fall!$A:$A,FALSE),MATCH(J$1,Fall!$1:$1,FALSE))),"")</f>
        <v>1A</v>
      </c>
      <c r="K11" t="str">
        <f>IFERROR(IF(INDEX(Fall!$1:$1048576,MATCH($A11,Fall!$A:$A,FALSE),MATCH(K$1,Fall!$1:$1,FALSE))="","",INDEX(Fall!$1:$1048576,MATCH($A11,Fall!$A:$A,FALSE),MATCH(K$1,Fall!$1:$1,FALSE))),"")</f>
        <v>1A</v>
      </c>
      <c r="L11" t="str">
        <f>IFERROR(IF(INDEX(Fall!$1:$1048576,MATCH($A11,Fall!$A:$A,FALSE),MATCH(L$1,Fall!$1:$1,FALSE))="","",INDEX(Fall!$1:$1048576,MATCH($A11,Fall!$A:$A,FALSE),MATCH(L$1,Fall!$1:$1,FALSE))),"")</f>
        <v>1A</v>
      </c>
      <c r="M11" t="str">
        <f>IFERROR(IF(INDEX(Fall!$1:$1048576,MATCH($A11,Fall!$A:$A,FALSE),MATCH(M$1,Fall!$1:$1,FALSE))="","",INDEX(Fall!$1:$1048576,MATCH($A11,Fall!$A:$A,FALSE),MATCH(M$1,Fall!$1:$1,FALSE))),"")</f>
        <v>1A</v>
      </c>
      <c r="N11" t="str">
        <f>IFERROR(IF(INDEX(Fall!$1:$1048576,MATCH($A11,Fall!$A:$A,FALSE),MATCH(N$1,Fall!$1:$1,FALSE))="","",INDEX(Fall!$1:$1048576,MATCH($A11,Fall!$A:$A,FALSE),MATCH(N$1,Fall!$1:$1,FALSE))),"")</f>
        <v>1A</v>
      </c>
      <c r="O11" t="str">
        <f>IFERROR(IF(INDEX(Fall!$1:$1048576,MATCH($A11,Fall!$A:$A,FALSE),MATCH(O$1,Fall!$1:$1,FALSE))="","",INDEX(Fall!$1:$1048576,MATCH($A11,Fall!$A:$A,FALSE),MATCH(O$1,Fall!$1:$1,FALSE))),"")</f>
        <v/>
      </c>
      <c r="P11" t="str">
        <f>IFERROR(IF(INDEX(Fall!$1:$1048576,MATCH($A11,Fall!$A:$A,FALSE),MATCH(P$1,Fall!$1:$1,FALSE))="","",INDEX(Fall!$1:$1048576,MATCH($A11,Fall!$A:$A,FALSE),MATCH(P$1,Fall!$1:$1,FALSE))),"")</f>
        <v>2A</v>
      </c>
      <c r="R11" t="str">
        <f>IFERROR(IF(INDEX(Winter!$1:$1048576,MATCH($A11,Winter!$A:$A,FALSE),MATCH(R$1,Winter!$1:$1,FALSE))="","",INDEX(Winter!$1:$1048576,MATCH($A11,Winter!$A:$A,FALSE),MATCH(R$1,Winter!$1:$1,FALSE))),"")</f>
        <v>2A</v>
      </c>
      <c r="S11" t="str">
        <f>IFERROR(IF(INDEX(Winter!$1:$1048576,MATCH($A11,Winter!$A:$A,FALSE),MATCH(S$1,Winter!$1:$1,FALSE))="","",INDEX(Winter!$1:$1048576,MATCH($A11,Winter!$A:$A,FALSE),MATCH(S$1,Winter!$1:$1,FALSE))),"")</f>
        <v>2A</v>
      </c>
      <c r="T11" t="str">
        <f>IFERROR(IF(INDEX(Winter!$1:$1048576,MATCH($A11,Winter!$A:$A,FALSE),MATCH(T$1,Winter!$1:$1,FALSE))="","",INDEX(Winter!$1:$1048576,MATCH($A11,Winter!$A:$A,FALSE),MATCH(T$1,Winter!$1:$1,FALSE))),"")</f>
        <v/>
      </c>
      <c r="U11" t="str">
        <f>IFERROR(IF(INDEX(Winter!$1:$1048576,MATCH($A11,Winter!$A:$A,FALSE),MATCH(U$1,Winter!$1:$1,FALSE))="","",INDEX(Winter!$1:$1048576,MATCH($A11,Winter!$A:$A,FALSE),MATCH(U$1,Winter!$1:$1,FALSE))),"")</f>
        <v/>
      </c>
      <c r="V11" t="str">
        <f>IFERROR(IF(INDEX(Winter!$1:$1048576,MATCH($A11,Winter!$A:$A,FALSE),MATCH(V$1,Winter!$1:$1,FALSE))="","",INDEX(Winter!$1:$1048576,MATCH($A11,Winter!$A:$A,FALSE),MATCH(V$1,Winter!$1:$1,FALSE))),"")</f>
        <v>2A</v>
      </c>
      <c r="W11" t="str">
        <f>IFERROR(IF(INDEX(Winter!$1:$1048576,MATCH($A11,Winter!$A:$A,FALSE),MATCH(W$1,Winter!$1:$1,FALSE))="","",INDEX(Winter!$1:$1048576,MATCH($A11,Winter!$A:$A,FALSE),MATCH(W$1,Winter!$1:$1,FALSE))),"")</f>
        <v>1A</v>
      </c>
      <c r="Y11" t="str">
        <f>IFERROR(IF(INDEX(Spring!$1:$1048576,MATCH($A11,Spring!$A:$A,FALSE),MATCH(Y$1,Spring!$1:$1,FALSE))="","",INDEX(Spring!$1:$1048576,MATCH($A11,Spring!$A:$A,FALSE),MATCH(Y$1,Spring!$1:$1,FALSE))),"")</f>
        <v>2A</v>
      </c>
      <c r="Z11" t="str">
        <f>IFERROR(IF(INDEX(Spring!$1:$1048576,MATCH($A11,Spring!$A:$A,FALSE),MATCH(Z$1,Spring!$1:$1,FALSE))="","",INDEX(Spring!$1:$1048576,MATCH($A11,Spring!$A:$A,FALSE),MATCH(Z$1,Spring!$1:$1,FALSE))),"")</f>
        <v>2A</v>
      </c>
      <c r="AA11" t="str">
        <f>IFERROR(IF(INDEX(Spring!$1:$1048576,MATCH($A11,Spring!$A:$A,FALSE),MATCH(AA$1,Spring!$1:$1,FALSE))="","",INDEX(Spring!$1:$1048576,MATCH($A11,Spring!$A:$A,FALSE),MATCH(AA$1,Spring!$1:$1,FALSE))),"")</f>
        <v>1A</v>
      </c>
      <c r="AB11" t="str">
        <f>IFERROR(IF(INDEX(Spring!$1:$1048576,MATCH($A11,Spring!$A:$A,FALSE),MATCH(AB$1,Spring!$1:$1,FALSE))="","",INDEX(Spring!$1:$1048576,MATCH($A11,Spring!$A:$A,FALSE),MATCH(AB$1,Spring!$1:$1,FALSE))),"")</f>
        <v/>
      </c>
      <c r="AC11" t="str">
        <f>IFERROR(IF(INDEX(Spring!$1:$1048576,MATCH($A11,Spring!$A:$A,FALSE),MATCH(AC$1,Spring!$1:$1,FALSE))="","",INDEX(Spring!$1:$1048576,MATCH($A11,Spring!$A:$A,FALSE),MATCH(AC$1,Spring!$1:$1,FALSE))),"")</f>
        <v>2A</v>
      </c>
      <c r="AD11" t="str">
        <f>IFERROR(IF(INDEX(Spring!$1:$1048576,MATCH($A11,Spring!$A:$A,FALSE),MATCH(AD$1,Spring!$1:$1,FALSE))="","",INDEX(Spring!$1:$1048576,MATCH($A11,Spring!$A:$A,FALSE),MATCH(AD$1,Spring!$1:$1,FALSE))),"")</f>
        <v>2A</v>
      </c>
    </row>
    <row r="12" spans="1:30" ht="15.75" thickBot="1" x14ac:dyDescent="0.3">
      <c r="A12" s="48" t="s">
        <v>906</v>
      </c>
      <c r="B12" s="49">
        <v>94</v>
      </c>
      <c r="C12" s="50"/>
      <c r="D12" s="50"/>
      <c r="E12" s="50"/>
      <c r="F12" s="45"/>
      <c r="G12" s="45"/>
      <c r="H12" s="44"/>
      <c r="J12" t="str">
        <f>IFERROR(IF(INDEX(Fall!$1:$1048576,MATCH($A12,Fall!$A:$A,FALSE),MATCH(J$1,Fall!$1:$1,FALSE))="","",INDEX(Fall!$1:$1048576,MATCH($A12,Fall!$A:$A,FALSE),MATCH(J$1,Fall!$1:$1,FALSE))),"")</f>
        <v/>
      </c>
      <c r="K12" t="str">
        <f>IFERROR(IF(INDEX(Fall!$1:$1048576,MATCH($A12,Fall!$A:$A,FALSE),MATCH(K$1,Fall!$1:$1,FALSE))="","",INDEX(Fall!$1:$1048576,MATCH($A12,Fall!$A:$A,FALSE),MATCH(K$1,Fall!$1:$1,FALSE))),"")</f>
        <v/>
      </c>
      <c r="L12" t="str">
        <f>IFERROR(IF(INDEX(Fall!$1:$1048576,MATCH($A12,Fall!$A:$A,FALSE),MATCH(L$1,Fall!$1:$1,FALSE))="","",INDEX(Fall!$1:$1048576,MATCH($A12,Fall!$A:$A,FALSE),MATCH(L$1,Fall!$1:$1,FALSE))),"")</f>
        <v/>
      </c>
      <c r="M12" t="str">
        <f>IFERROR(IF(INDEX(Fall!$1:$1048576,MATCH($A12,Fall!$A:$A,FALSE),MATCH(M$1,Fall!$1:$1,FALSE))="","",INDEX(Fall!$1:$1048576,MATCH($A12,Fall!$A:$A,FALSE),MATCH(M$1,Fall!$1:$1,FALSE))),"")</f>
        <v/>
      </c>
      <c r="N12" t="str">
        <f>IFERROR(IF(INDEX(Fall!$1:$1048576,MATCH($A12,Fall!$A:$A,FALSE),MATCH(N$1,Fall!$1:$1,FALSE))="","",INDEX(Fall!$1:$1048576,MATCH($A12,Fall!$A:$A,FALSE),MATCH(N$1,Fall!$1:$1,FALSE))),"")</f>
        <v/>
      </c>
      <c r="O12" t="str">
        <f>IFERROR(IF(INDEX(Fall!$1:$1048576,MATCH($A12,Fall!$A:$A,FALSE),MATCH(O$1,Fall!$1:$1,FALSE))="","",INDEX(Fall!$1:$1048576,MATCH($A12,Fall!$A:$A,FALSE),MATCH(O$1,Fall!$1:$1,FALSE))),"")</f>
        <v/>
      </c>
      <c r="P12" t="str">
        <f>IFERROR(IF(INDEX(Fall!$1:$1048576,MATCH($A12,Fall!$A:$A,FALSE),MATCH(P$1,Fall!$1:$1,FALSE))="","",INDEX(Fall!$1:$1048576,MATCH($A12,Fall!$A:$A,FALSE),MATCH(P$1,Fall!$1:$1,FALSE))),"")</f>
        <v>1A</v>
      </c>
      <c r="R12" t="str">
        <f>IFERROR(IF(INDEX(Winter!$1:$1048576,MATCH($A12,Winter!$A:$A,FALSE),MATCH(R$1,Winter!$1:$1,FALSE))="","",INDEX(Winter!$1:$1048576,MATCH($A12,Winter!$A:$A,FALSE),MATCH(R$1,Winter!$1:$1,FALSE))),"")</f>
        <v>1A</v>
      </c>
      <c r="S12" t="str">
        <f>IFERROR(IF(INDEX(Winter!$1:$1048576,MATCH($A12,Winter!$A:$A,FALSE),MATCH(S$1,Winter!$1:$1,FALSE))="","",INDEX(Winter!$1:$1048576,MATCH($A12,Winter!$A:$A,FALSE),MATCH(S$1,Winter!$1:$1,FALSE))),"")</f>
        <v>1A</v>
      </c>
      <c r="T12" t="str">
        <f>IFERROR(IF(INDEX(Winter!$1:$1048576,MATCH($A12,Winter!$A:$A,FALSE),MATCH(T$1,Winter!$1:$1,FALSE))="","",INDEX(Winter!$1:$1048576,MATCH($A12,Winter!$A:$A,FALSE),MATCH(T$1,Winter!$1:$1,FALSE))),"")</f>
        <v/>
      </c>
      <c r="U12" t="str">
        <f>IFERROR(IF(INDEX(Winter!$1:$1048576,MATCH($A12,Winter!$A:$A,FALSE),MATCH(U$1,Winter!$1:$1,FALSE))="","",INDEX(Winter!$1:$1048576,MATCH($A12,Winter!$A:$A,FALSE),MATCH(U$1,Winter!$1:$1,FALSE))),"")</f>
        <v/>
      </c>
      <c r="V12" t="str">
        <f>IFERROR(IF(INDEX(Winter!$1:$1048576,MATCH($A12,Winter!$A:$A,FALSE),MATCH(V$1,Winter!$1:$1,FALSE))="","",INDEX(Winter!$1:$1048576,MATCH($A12,Winter!$A:$A,FALSE),MATCH(V$1,Winter!$1:$1,FALSE))),"")</f>
        <v>1A</v>
      </c>
      <c r="W12" t="str">
        <f>IFERROR(IF(INDEX(Winter!$1:$1048576,MATCH($A12,Winter!$A:$A,FALSE),MATCH(W$1,Winter!$1:$1,FALSE))="","",INDEX(Winter!$1:$1048576,MATCH($A12,Winter!$A:$A,FALSE),MATCH(W$1,Winter!$1:$1,FALSE))),"")</f>
        <v/>
      </c>
      <c r="Y12" t="str">
        <f>IFERROR(IF(INDEX(Spring!$1:$1048576,MATCH($A12,Spring!$A:$A,FALSE),MATCH(Y$1,Spring!$1:$1,FALSE))="","",INDEX(Spring!$1:$1048576,MATCH($A12,Spring!$A:$A,FALSE),MATCH(Y$1,Spring!$1:$1,FALSE))),"")</f>
        <v/>
      </c>
      <c r="Z12" t="str">
        <f>IFERROR(IF(INDEX(Spring!$1:$1048576,MATCH($A12,Spring!$A:$A,FALSE),MATCH(Z$1,Spring!$1:$1,FALSE))="","",INDEX(Spring!$1:$1048576,MATCH($A12,Spring!$A:$A,FALSE),MATCH(Z$1,Spring!$1:$1,FALSE))),"")</f>
        <v/>
      </c>
      <c r="AA12" t="str">
        <f>IFERROR(IF(INDEX(Spring!$1:$1048576,MATCH($A12,Spring!$A:$A,FALSE),MATCH(AA$1,Spring!$1:$1,FALSE))="","",INDEX(Spring!$1:$1048576,MATCH($A12,Spring!$A:$A,FALSE),MATCH(AA$1,Spring!$1:$1,FALSE))),"")</f>
        <v/>
      </c>
      <c r="AB12" t="str">
        <f>IFERROR(IF(INDEX(Spring!$1:$1048576,MATCH($A12,Spring!$A:$A,FALSE),MATCH(AB$1,Spring!$1:$1,FALSE))="","",INDEX(Spring!$1:$1048576,MATCH($A12,Spring!$A:$A,FALSE),MATCH(AB$1,Spring!$1:$1,FALSE))),"")</f>
        <v/>
      </c>
      <c r="AC12" t="str">
        <f>IFERROR(IF(INDEX(Spring!$1:$1048576,MATCH($A12,Spring!$A:$A,FALSE),MATCH(AC$1,Spring!$1:$1,FALSE))="","",INDEX(Spring!$1:$1048576,MATCH($A12,Spring!$A:$A,FALSE),MATCH(AC$1,Spring!$1:$1,FALSE))),"")</f>
        <v/>
      </c>
      <c r="AD12" t="str">
        <f>IFERROR(IF(INDEX(Spring!$1:$1048576,MATCH($A12,Spring!$A:$A,FALSE),MATCH(AD$1,Spring!$1:$1,FALSE))="","",INDEX(Spring!$1:$1048576,MATCH($A12,Spring!$A:$A,FALSE),MATCH(AD$1,Spring!$1:$1,FALSE))),"")</f>
        <v/>
      </c>
    </row>
    <row r="13" spans="1:30" ht="15.75" thickBot="1" x14ac:dyDescent="0.3">
      <c r="A13" s="48" t="s">
        <v>23</v>
      </c>
      <c r="B13" s="49">
        <v>1313</v>
      </c>
      <c r="C13" s="50"/>
      <c r="D13" s="50"/>
      <c r="E13" s="50"/>
      <c r="F13" s="45"/>
      <c r="G13" s="45"/>
      <c r="H13" s="44"/>
      <c r="J13" t="str">
        <f>IFERROR(IF(INDEX(Fall!$1:$1048576,MATCH($A13,Fall!$A:$A,FALSE),MATCH(J$1,Fall!$1:$1,FALSE))="","",INDEX(Fall!$1:$1048576,MATCH($A13,Fall!$A:$A,FALSE),MATCH(J$1,Fall!$1:$1,FALSE))),"")</f>
        <v>2A</v>
      </c>
      <c r="K13" t="str">
        <f>IFERROR(IF(INDEX(Fall!$1:$1048576,MATCH($A13,Fall!$A:$A,FALSE),MATCH(K$1,Fall!$1:$1,FALSE))="","",INDEX(Fall!$1:$1048576,MATCH($A13,Fall!$A:$A,FALSE),MATCH(K$1,Fall!$1:$1,FALSE))),"")</f>
        <v>2A</v>
      </c>
      <c r="L13" t="str">
        <f>IFERROR(IF(INDEX(Fall!$1:$1048576,MATCH($A13,Fall!$A:$A,FALSE),MATCH(L$1,Fall!$1:$1,FALSE))="","",INDEX(Fall!$1:$1048576,MATCH($A13,Fall!$A:$A,FALSE),MATCH(L$1,Fall!$1:$1,FALSE))),"")</f>
        <v>2A</v>
      </c>
      <c r="M13" t="str">
        <f>IFERROR(IF(INDEX(Fall!$1:$1048576,MATCH($A13,Fall!$A:$A,FALSE),MATCH(M$1,Fall!$1:$1,FALSE))="","",INDEX(Fall!$1:$1048576,MATCH($A13,Fall!$A:$A,FALSE),MATCH(M$1,Fall!$1:$1,FALSE))),"")</f>
        <v>2A</v>
      </c>
      <c r="N13" t="str">
        <f>IFERROR(IF(INDEX(Fall!$1:$1048576,MATCH($A13,Fall!$A:$A,FALSE),MATCH(N$1,Fall!$1:$1,FALSE))="","",INDEX(Fall!$1:$1048576,MATCH($A13,Fall!$A:$A,FALSE),MATCH(N$1,Fall!$1:$1,FALSE))),"")</f>
        <v>2A</v>
      </c>
      <c r="O13" t="str">
        <f>IFERROR(IF(INDEX(Fall!$1:$1048576,MATCH($A13,Fall!$A:$A,FALSE),MATCH(O$1,Fall!$1:$1,FALSE))="","",INDEX(Fall!$1:$1048576,MATCH($A13,Fall!$A:$A,FALSE),MATCH(O$1,Fall!$1:$1,FALSE))),"")</f>
        <v>1A</v>
      </c>
      <c r="P13" t="str">
        <f>IFERROR(IF(INDEX(Fall!$1:$1048576,MATCH($A13,Fall!$A:$A,FALSE),MATCH(P$1,Fall!$1:$1,FALSE))="","",INDEX(Fall!$1:$1048576,MATCH($A13,Fall!$A:$A,FALSE),MATCH(P$1,Fall!$1:$1,FALSE))),"")</f>
        <v>3A</v>
      </c>
      <c r="R13" t="str">
        <f>IFERROR(IF(INDEX(Winter!$1:$1048576,MATCH($A13,Winter!$A:$A,FALSE),MATCH(R$1,Winter!$1:$1,FALSE))="","",INDEX(Winter!$1:$1048576,MATCH($A13,Winter!$A:$A,FALSE),MATCH(R$1,Winter!$1:$1,FALSE))),"")</f>
        <v>3A</v>
      </c>
      <c r="S13" t="str">
        <f>IFERROR(IF(INDEX(Winter!$1:$1048576,MATCH($A13,Winter!$A:$A,FALSE),MATCH(S$1,Winter!$1:$1,FALSE))="","",INDEX(Winter!$1:$1048576,MATCH($A13,Winter!$A:$A,FALSE),MATCH(S$1,Winter!$1:$1,FALSE))),"")</f>
        <v>3A</v>
      </c>
      <c r="T13" t="str">
        <f>IFERROR(IF(INDEX(Winter!$1:$1048576,MATCH($A13,Winter!$A:$A,FALSE),MATCH(T$1,Winter!$1:$1,FALSE))="","",INDEX(Winter!$1:$1048576,MATCH($A13,Winter!$A:$A,FALSE),MATCH(T$1,Winter!$1:$1,FALSE))),"")</f>
        <v>2A</v>
      </c>
      <c r="U13" t="str">
        <f>IFERROR(IF(INDEX(Winter!$1:$1048576,MATCH($A13,Winter!$A:$A,FALSE),MATCH(U$1,Winter!$1:$1,FALSE))="","",INDEX(Winter!$1:$1048576,MATCH($A13,Winter!$A:$A,FALSE),MATCH(U$1,Winter!$1:$1,FALSE))),"")</f>
        <v>2A</v>
      </c>
      <c r="V13" t="str">
        <f>IFERROR(IF(INDEX(Winter!$1:$1048576,MATCH($A13,Winter!$A:$A,FALSE),MATCH(V$1,Winter!$1:$1,FALSE))="","",INDEX(Winter!$1:$1048576,MATCH($A13,Winter!$A:$A,FALSE),MATCH(V$1,Winter!$1:$1,FALSE))),"")</f>
        <v>2A</v>
      </c>
      <c r="W13" t="str">
        <f>IFERROR(IF(INDEX(Winter!$1:$1048576,MATCH($A13,Winter!$A:$A,FALSE),MATCH(W$1,Winter!$1:$1,FALSE))="","",INDEX(Winter!$1:$1048576,MATCH($A13,Winter!$A:$A,FALSE),MATCH(W$1,Winter!$1:$1,FALSE))),"")</f>
        <v>2A</v>
      </c>
      <c r="Y13" t="str">
        <f>IFERROR(IF(INDEX(Spring!$1:$1048576,MATCH($A13,Spring!$A:$A,FALSE),MATCH(Y$1,Spring!$1:$1,FALSE))="","",INDEX(Spring!$1:$1048576,MATCH($A13,Spring!$A:$A,FALSE),MATCH(Y$1,Spring!$1:$1,FALSE))),"")</f>
        <v>3A</v>
      </c>
      <c r="Z13" t="str">
        <f>IFERROR(IF(INDEX(Spring!$1:$1048576,MATCH($A13,Spring!$A:$A,FALSE),MATCH(Z$1,Spring!$1:$1,FALSE))="","",INDEX(Spring!$1:$1048576,MATCH($A13,Spring!$A:$A,FALSE),MATCH(Z$1,Spring!$1:$1,FALSE))),"")</f>
        <v>3A</v>
      </c>
      <c r="AA13" t="str">
        <f>IFERROR(IF(INDEX(Spring!$1:$1048576,MATCH($A13,Spring!$A:$A,FALSE),MATCH(AA$1,Spring!$1:$1,FALSE))="","",INDEX(Spring!$1:$1048576,MATCH($A13,Spring!$A:$A,FALSE),MATCH(AA$1,Spring!$1:$1,FALSE))),"")</f>
        <v>2A</v>
      </c>
      <c r="AB13" t="str">
        <f>IFERROR(IF(INDEX(Spring!$1:$1048576,MATCH($A13,Spring!$A:$A,FALSE),MATCH(AB$1,Spring!$1:$1,FALSE))="","",INDEX(Spring!$1:$1048576,MATCH($A13,Spring!$A:$A,FALSE),MATCH(AB$1,Spring!$1:$1,FALSE))),"")</f>
        <v>1A</v>
      </c>
      <c r="AC13" t="str">
        <f>IFERROR(IF(INDEX(Spring!$1:$1048576,MATCH($A13,Spring!$A:$A,FALSE),MATCH(AC$1,Spring!$1:$1,FALSE))="","",INDEX(Spring!$1:$1048576,MATCH($A13,Spring!$A:$A,FALSE),MATCH(AC$1,Spring!$1:$1,FALSE))),"")</f>
        <v>3A</v>
      </c>
      <c r="AD13" t="str">
        <f>IFERROR(IF(INDEX(Spring!$1:$1048576,MATCH($A13,Spring!$A:$A,FALSE),MATCH(AD$1,Spring!$1:$1,FALSE))="","",INDEX(Spring!$1:$1048576,MATCH($A13,Spring!$A:$A,FALSE),MATCH(AD$1,Spring!$1:$1,FALSE))),"")</f>
        <v>3A</v>
      </c>
    </row>
    <row r="14" spans="1:30" ht="15.75" thickBot="1" x14ac:dyDescent="0.3">
      <c r="A14" s="48" t="s">
        <v>24</v>
      </c>
      <c r="B14" s="49">
        <v>195</v>
      </c>
      <c r="C14" s="50"/>
      <c r="D14" s="50"/>
      <c r="E14" s="50"/>
      <c r="F14" s="45"/>
      <c r="G14" s="45"/>
      <c r="H14" s="44"/>
      <c r="J14" t="str">
        <f>IFERROR(IF(INDEX(Fall!$1:$1048576,MATCH($A14,Fall!$A:$A,FALSE),MATCH(J$1,Fall!$1:$1,FALSE))="","",INDEX(Fall!$1:$1048576,MATCH($A14,Fall!$A:$A,FALSE),MATCH(J$1,Fall!$1:$1,FALSE))),"")</f>
        <v/>
      </c>
      <c r="K14" t="str">
        <f>IFERROR(IF(INDEX(Fall!$1:$1048576,MATCH($A14,Fall!$A:$A,FALSE),MATCH(K$1,Fall!$1:$1,FALSE))="","",INDEX(Fall!$1:$1048576,MATCH($A14,Fall!$A:$A,FALSE),MATCH(K$1,Fall!$1:$1,FALSE))),"")</f>
        <v/>
      </c>
      <c r="L14" t="str">
        <f>IFERROR(IF(INDEX(Fall!$1:$1048576,MATCH($A14,Fall!$A:$A,FALSE),MATCH(L$1,Fall!$1:$1,FALSE))="","",INDEX(Fall!$1:$1048576,MATCH($A14,Fall!$A:$A,FALSE),MATCH(L$1,Fall!$1:$1,FALSE))),"")</f>
        <v>1A</v>
      </c>
      <c r="M14" t="str">
        <f>IFERROR(IF(INDEX(Fall!$1:$1048576,MATCH($A14,Fall!$A:$A,FALSE),MATCH(M$1,Fall!$1:$1,FALSE))="","",INDEX(Fall!$1:$1048576,MATCH($A14,Fall!$A:$A,FALSE),MATCH(M$1,Fall!$1:$1,FALSE))),"")</f>
        <v>1A</v>
      </c>
      <c r="N14" t="str">
        <f>IFERROR(IF(INDEX(Fall!$1:$1048576,MATCH($A14,Fall!$A:$A,FALSE),MATCH(N$1,Fall!$1:$1,FALSE))="","",INDEX(Fall!$1:$1048576,MATCH($A14,Fall!$A:$A,FALSE),MATCH(N$1,Fall!$1:$1,FALSE))),"")</f>
        <v/>
      </c>
      <c r="O14" t="str">
        <f>IFERROR(IF(INDEX(Fall!$1:$1048576,MATCH($A14,Fall!$A:$A,FALSE),MATCH(O$1,Fall!$1:$1,FALSE))="","",INDEX(Fall!$1:$1048576,MATCH($A14,Fall!$A:$A,FALSE),MATCH(O$1,Fall!$1:$1,FALSE))),"")</f>
        <v/>
      </c>
      <c r="P14" t="str">
        <f>IFERROR(IF(INDEX(Fall!$1:$1048576,MATCH($A14,Fall!$A:$A,FALSE),MATCH(P$1,Fall!$1:$1,FALSE))="","",INDEX(Fall!$1:$1048576,MATCH($A14,Fall!$A:$A,FALSE),MATCH(P$1,Fall!$1:$1,FALSE))),"")</f>
        <v>1A</v>
      </c>
      <c r="R14" t="str">
        <f>IFERROR(IF(INDEX(Winter!$1:$1048576,MATCH($A14,Winter!$A:$A,FALSE),MATCH(R$1,Winter!$1:$1,FALSE))="","",INDEX(Winter!$1:$1048576,MATCH($A14,Winter!$A:$A,FALSE),MATCH(R$1,Winter!$1:$1,FALSE))),"")</f>
        <v>1A</v>
      </c>
      <c r="S14" t="str">
        <f>IFERROR(IF(INDEX(Winter!$1:$1048576,MATCH($A14,Winter!$A:$A,FALSE),MATCH(S$1,Winter!$1:$1,FALSE))="","",INDEX(Winter!$1:$1048576,MATCH($A14,Winter!$A:$A,FALSE),MATCH(S$1,Winter!$1:$1,FALSE))),"")</f>
        <v>1A</v>
      </c>
      <c r="T14" t="str">
        <f>IFERROR(IF(INDEX(Winter!$1:$1048576,MATCH($A14,Winter!$A:$A,FALSE),MATCH(T$1,Winter!$1:$1,FALSE))="","",INDEX(Winter!$1:$1048576,MATCH($A14,Winter!$A:$A,FALSE),MATCH(T$1,Winter!$1:$1,FALSE))),"")</f>
        <v/>
      </c>
      <c r="U14" t="str">
        <f>IFERROR(IF(INDEX(Winter!$1:$1048576,MATCH($A14,Winter!$A:$A,FALSE),MATCH(U$1,Winter!$1:$1,FALSE))="","",INDEX(Winter!$1:$1048576,MATCH($A14,Winter!$A:$A,FALSE),MATCH(U$1,Winter!$1:$1,FALSE))),"")</f>
        <v/>
      </c>
      <c r="V14" t="str">
        <f>IFERROR(IF(INDEX(Winter!$1:$1048576,MATCH($A14,Winter!$A:$A,FALSE),MATCH(V$1,Winter!$1:$1,FALSE))="","",INDEX(Winter!$1:$1048576,MATCH($A14,Winter!$A:$A,FALSE),MATCH(V$1,Winter!$1:$1,FALSE))),"")</f>
        <v>1A</v>
      </c>
      <c r="W14" t="str">
        <f>IFERROR(IF(INDEX(Winter!$1:$1048576,MATCH($A14,Winter!$A:$A,FALSE),MATCH(W$1,Winter!$1:$1,FALSE))="","",INDEX(Winter!$1:$1048576,MATCH($A14,Winter!$A:$A,FALSE),MATCH(W$1,Winter!$1:$1,FALSE))),"")</f>
        <v/>
      </c>
      <c r="Y14" t="str">
        <f>IFERROR(IF(INDEX(Spring!$1:$1048576,MATCH($A14,Spring!$A:$A,FALSE),MATCH(Y$1,Spring!$1:$1,FALSE))="","",INDEX(Spring!$1:$1048576,MATCH($A14,Spring!$A:$A,FALSE),MATCH(Y$1,Spring!$1:$1,FALSE))),"")</f>
        <v>1A</v>
      </c>
      <c r="Z14" t="str">
        <f>IFERROR(IF(INDEX(Spring!$1:$1048576,MATCH($A14,Spring!$A:$A,FALSE),MATCH(Z$1,Spring!$1:$1,FALSE))="","",INDEX(Spring!$1:$1048576,MATCH($A14,Spring!$A:$A,FALSE),MATCH(Z$1,Spring!$1:$1,FALSE))),"")</f>
        <v>1A</v>
      </c>
      <c r="AA14" t="str">
        <f>IFERROR(IF(INDEX(Spring!$1:$1048576,MATCH($A14,Spring!$A:$A,FALSE),MATCH(AA$1,Spring!$1:$1,FALSE))="","",INDEX(Spring!$1:$1048576,MATCH($A14,Spring!$A:$A,FALSE),MATCH(AA$1,Spring!$1:$1,FALSE))),"")</f>
        <v/>
      </c>
      <c r="AB14" t="str">
        <f>IFERROR(IF(INDEX(Spring!$1:$1048576,MATCH($A14,Spring!$A:$A,FALSE),MATCH(AB$1,Spring!$1:$1,FALSE))="","",INDEX(Spring!$1:$1048576,MATCH($A14,Spring!$A:$A,FALSE),MATCH(AB$1,Spring!$1:$1,FALSE))),"")</f>
        <v/>
      </c>
      <c r="AC14" t="str">
        <f>IFERROR(IF(INDEX(Spring!$1:$1048576,MATCH($A14,Spring!$A:$A,FALSE),MATCH(AC$1,Spring!$1:$1,FALSE))="","",INDEX(Spring!$1:$1048576,MATCH($A14,Spring!$A:$A,FALSE),MATCH(AC$1,Spring!$1:$1,FALSE))),"")</f>
        <v>1A</v>
      </c>
      <c r="AD14" t="str">
        <f>IFERROR(IF(INDEX(Spring!$1:$1048576,MATCH($A14,Spring!$A:$A,FALSE),MATCH(AD$1,Spring!$1:$1,FALSE))="","",INDEX(Spring!$1:$1048576,MATCH($A14,Spring!$A:$A,FALSE),MATCH(AD$1,Spring!$1:$1,FALSE))),"")</f>
        <v>1A</v>
      </c>
    </row>
    <row r="15" spans="1:30" ht="15.75" thickBot="1" x14ac:dyDescent="0.3">
      <c r="A15" s="48" t="s">
        <v>25</v>
      </c>
      <c r="B15" s="49">
        <v>246</v>
      </c>
      <c r="C15" s="50"/>
      <c r="D15" s="50"/>
      <c r="E15" s="50"/>
      <c r="F15" s="45"/>
      <c r="G15" s="45"/>
      <c r="H15" s="44"/>
      <c r="J15" t="str">
        <f>IFERROR(IF(INDEX(Fall!$1:$1048576,MATCH($A15,Fall!$A:$A,FALSE),MATCH(J$1,Fall!$1:$1,FALSE))="","",INDEX(Fall!$1:$1048576,MATCH($A15,Fall!$A:$A,FALSE),MATCH(J$1,Fall!$1:$1,FALSE))),"")</f>
        <v>1A</v>
      </c>
      <c r="K15" t="str">
        <f>IFERROR(IF(INDEX(Fall!$1:$1048576,MATCH($A15,Fall!$A:$A,FALSE),MATCH(K$1,Fall!$1:$1,FALSE))="","",INDEX(Fall!$1:$1048576,MATCH($A15,Fall!$A:$A,FALSE),MATCH(K$1,Fall!$1:$1,FALSE))),"")</f>
        <v>1A</v>
      </c>
      <c r="L15" t="str">
        <f>IFERROR(IF(INDEX(Fall!$1:$1048576,MATCH($A15,Fall!$A:$A,FALSE),MATCH(L$1,Fall!$1:$1,FALSE))="","",INDEX(Fall!$1:$1048576,MATCH($A15,Fall!$A:$A,FALSE),MATCH(L$1,Fall!$1:$1,FALSE))),"")</f>
        <v>1A</v>
      </c>
      <c r="M15" t="str">
        <f>IFERROR(IF(INDEX(Fall!$1:$1048576,MATCH($A15,Fall!$A:$A,FALSE),MATCH(M$1,Fall!$1:$1,FALSE))="","",INDEX(Fall!$1:$1048576,MATCH($A15,Fall!$A:$A,FALSE),MATCH(M$1,Fall!$1:$1,FALSE))),"")</f>
        <v/>
      </c>
      <c r="N15" t="str">
        <f>IFERROR(IF(INDEX(Fall!$1:$1048576,MATCH($A15,Fall!$A:$A,FALSE),MATCH(N$1,Fall!$1:$1,FALSE))="","",INDEX(Fall!$1:$1048576,MATCH($A15,Fall!$A:$A,FALSE),MATCH(N$1,Fall!$1:$1,FALSE))),"")</f>
        <v>1A</v>
      </c>
      <c r="O15" t="str">
        <f>IFERROR(IF(INDEX(Fall!$1:$1048576,MATCH($A15,Fall!$A:$A,FALSE),MATCH(O$1,Fall!$1:$1,FALSE))="","",INDEX(Fall!$1:$1048576,MATCH($A15,Fall!$A:$A,FALSE),MATCH(O$1,Fall!$1:$1,FALSE))),"")</f>
        <v/>
      </c>
      <c r="P15" t="str">
        <f>IFERROR(IF(INDEX(Fall!$1:$1048576,MATCH($A15,Fall!$A:$A,FALSE),MATCH(P$1,Fall!$1:$1,FALSE))="","",INDEX(Fall!$1:$1048576,MATCH($A15,Fall!$A:$A,FALSE),MATCH(P$1,Fall!$1:$1,FALSE))),"")</f>
        <v>1A</v>
      </c>
      <c r="R15" t="str">
        <f>IFERROR(IF(INDEX(Winter!$1:$1048576,MATCH($A15,Winter!$A:$A,FALSE),MATCH(R$1,Winter!$1:$1,FALSE))="","",INDEX(Winter!$1:$1048576,MATCH($A15,Winter!$A:$A,FALSE),MATCH(R$1,Winter!$1:$1,FALSE))),"")</f>
        <v>1A</v>
      </c>
      <c r="S15" t="str">
        <f>IFERROR(IF(INDEX(Winter!$1:$1048576,MATCH($A15,Winter!$A:$A,FALSE),MATCH(S$1,Winter!$1:$1,FALSE))="","",INDEX(Winter!$1:$1048576,MATCH($A15,Winter!$A:$A,FALSE),MATCH(S$1,Winter!$1:$1,FALSE))),"")</f>
        <v>1A</v>
      </c>
      <c r="T15" t="str">
        <f>IFERROR(IF(INDEX(Winter!$1:$1048576,MATCH($A15,Winter!$A:$A,FALSE),MATCH(T$1,Winter!$1:$1,FALSE))="","",INDEX(Winter!$1:$1048576,MATCH($A15,Winter!$A:$A,FALSE),MATCH(T$1,Winter!$1:$1,FALSE))),"")</f>
        <v/>
      </c>
      <c r="U15" t="str">
        <f>IFERROR(IF(INDEX(Winter!$1:$1048576,MATCH($A15,Winter!$A:$A,FALSE),MATCH(U$1,Winter!$1:$1,FALSE))="","",INDEX(Winter!$1:$1048576,MATCH($A15,Winter!$A:$A,FALSE),MATCH(U$1,Winter!$1:$1,FALSE))),"")</f>
        <v/>
      </c>
      <c r="V15" t="str">
        <f>IFERROR(IF(INDEX(Winter!$1:$1048576,MATCH($A15,Winter!$A:$A,FALSE),MATCH(V$1,Winter!$1:$1,FALSE))="","",INDEX(Winter!$1:$1048576,MATCH($A15,Winter!$A:$A,FALSE),MATCH(V$1,Winter!$1:$1,FALSE))),"")</f>
        <v>1A</v>
      </c>
      <c r="W15" t="str">
        <f>IFERROR(IF(INDEX(Winter!$1:$1048576,MATCH($A15,Winter!$A:$A,FALSE),MATCH(W$1,Winter!$1:$1,FALSE))="","",INDEX(Winter!$1:$1048576,MATCH($A15,Winter!$A:$A,FALSE),MATCH(W$1,Winter!$1:$1,FALSE))),"")</f>
        <v/>
      </c>
      <c r="Y15" t="str">
        <f>IFERROR(IF(INDEX(Spring!$1:$1048576,MATCH($A15,Spring!$A:$A,FALSE),MATCH(Y$1,Spring!$1:$1,FALSE))="","",INDEX(Spring!$1:$1048576,MATCH($A15,Spring!$A:$A,FALSE),MATCH(Y$1,Spring!$1:$1,FALSE))),"")</f>
        <v>1A</v>
      </c>
      <c r="Z15" t="str">
        <f>IFERROR(IF(INDEX(Spring!$1:$1048576,MATCH($A15,Spring!$A:$A,FALSE),MATCH(Z$1,Spring!$1:$1,FALSE))="","",INDEX(Spring!$1:$1048576,MATCH($A15,Spring!$A:$A,FALSE),MATCH(Z$1,Spring!$1:$1,FALSE))),"")</f>
        <v>1A</v>
      </c>
      <c r="AA15" t="str">
        <f>IFERROR(IF(INDEX(Spring!$1:$1048576,MATCH($A15,Spring!$A:$A,FALSE),MATCH(AA$1,Spring!$1:$1,FALSE))="","",INDEX(Spring!$1:$1048576,MATCH($A15,Spring!$A:$A,FALSE),MATCH(AA$1,Spring!$1:$1,FALSE))),"")</f>
        <v/>
      </c>
      <c r="AB15" t="str">
        <f>IFERROR(IF(INDEX(Spring!$1:$1048576,MATCH($A15,Spring!$A:$A,FALSE),MATCH(AB$1,Spring!$1:$1,FALSE))="","",INDEX(Spring!$1:$1048576,MATCH($A15,Spring!$A:$A,FALSE),MATCH(AB$1,Spring!$1:$1,FALSE))),"")</f>
        <v/>
      </c>
      <c r="AC15" t="str">
        <f>IFERROR(IF(INDEX(Spring!$1:$1048576,MATCH($A15,Spring!$A:$A,FALSE),MATCH(AC$1,Spring!$1:$1,FALSE))="","",INDEX(Spring!$1:$1048576,MATCH($A15,Spring!$A:$A,FALSE),MATCH(AC$1,Spring!$1:$1,FALSE))),"")</f>
        <v>2A</v>
      </c>
      <c r="AD15" t="str">
        <f>IFERROR(IF(INDEX(Spring!$1:$1048576,MATCH($A15,Spring!$A:$A,FALSE),MATCH(AD$1,Spring!$1:$1,FALSE))="","",INDEX(Spring!$1:$1048576,MATCH($A15,Spring!$A:$A,FALSE),MATCH(AD$1,Spring!$1:$1,FALSE))),"")</f>
        <v>2A</v>
      </c>
    </row>
    <row r="16" spans="1:30" ht="15.75" thickBot="1" x14ac:dyDescent="0.3">
      <c r="A16" s="48" t="s">
        <v>26</v>
      </c>
      <c r="B16" s="49">
        <v>2031</v>
      </c>
      <c r="C16" s="50"/>
      <c r="D16" s="50"/>
      <c r="E16" s="50"/>
      <c r="F16" s="45"/>
      <c r="G16" s="45"/>
      <c r="H16" s="44"/>
      <c r="J16" t="str">
        <f>IFERROR(IF(INDEX(Fall!$1:$1048576,MATCH($A16,Fall!$A:$A,FALSE),MATCH(J$1,Fall!$1:$1,FALSE))="","",INDEX(Fall!$1:$1048576,MATCH($A16,Fall!$A:$A,FALSE),MATCH(J$1,Fall!$1:$1,FALSE))),"")</f>
        <v>3A</v>
      </c>
      <c r="K16" t="str">
        <f>IFERROR(IF(INDEX(Fall!$1:$1048576,MATCH($A16,Fall!$A:$A,FALSE),MATCH(K$1,Fall!$1:$1,FALSE))="","",INDEX(Fall!$1:$1048576,MATCH($A16,Fall!$A:$A,FALSE),MATCH(K$1,Fall!$1:$1,FALSE))),"")</f>
        <v>3A</v>
      </c>
      <c r="L16" t="str">
        <f>IFERROR(IF(INDEX(Fall!$1:$1048576,MATCH($A16,Fall!$A:$A,FALSE),MATCH(L$1,Fall!$1:$1,FALSE))="","",INDEX(Fall!$1:$1048576,MATCH($A16,Fall!$A:$A,FALSE),MATCH(L$1,Fall!$1:$1,FALSE))),"")</f>
        <v>3A</v>
      </c>
      <c r="M16" t="str">
        <f>IFERROR(IF(INDEX(Fall!$1:$1048576,MATCH($A16,Fall!$A:$A,FALSE),MATCH(M$1,Fall!$1:$1,FALSE))="","",INDEX(Fall!$1:$1048576,MATCH($A16,Fall!$A:$A,FALSE),MATCH(M$1,Fall!$1:$1,FALSE))),"")</f>
        <v>2A</v>
      </c>
      <c r="N16" t="str">
        <f>IFERROR(IF(INDEX(Fall!$1:$1048576,MATCH($A16,Fall!$A:$A,FALSE),MATCH(N$1,Fall!$1:$1,FALSE))="","",INDEX(Fall!$1:$1048576,MATCH($A16,Fall!$A:$A,FALSE),MATCH(N$1,Fall!$1:$1,FALSE))),"")</f>
        <v>3A</v>
      </c>
      <c r="O16" t="str">
        <f>IFERROR(IF(INDEX(Fall!$1:$1048576,MATCH($A16,Fall!$A:$A,FALSE),MATCH(O$1,Fall!$1:$1,FALSE))="","",INDEX(Fall!$1:$1048576,MATCH($A16,Fall!$A:$A,FALSE),MATCH(O$1,Fall!$1:$1,FALSE))),"")</f>
        <v>2A</v>
      </c>
      <c r="P16" t="str">
        <f>IFERROR(IF(INDEX(Fall!$1:$1048576,MATCH($A16,Fall!$A:$A,FALSE),MATCH(P$1,Fall!$1:$1,FALSE))="","",INDEX(Fall!$1:$1048576,MATCH($A16,Fall!$A:$A,FALSE),MATCH(P$1,Fall!$1:$1,FALSE))),"")</f>
        <v>4A</v>
      </c>
      <c r="R16" t="str">
        <f>IFERROR(IF(INDEX(Winter!$1:$1048576,MATCH($A16,Winter!$A:$A,FALSE),MATCH(R$1,Winter!$1:$1,FALSE))="","",INDEX(Winter!$1:$1048576,MATCH($A16,Winter!$A:$A,FALSE),MATCH(R$1,Winter!$1:$1,FALSE))),"")</f>
        <v>4A</v>
      </c>
      <c r="S16" t="str">
        <f>IFERROR(IF(INDEX(Winter!$1:$1048576,MATCH($A16,Winter!$A:$A,FALSE),MATCH(S$1,Winter!$1:$1,FALSE))="","",INDEX(Winter!$1:$1048576,MATCH($A16,Winter!$A:$A,FALSE),MATCH(S$1,Winter!$1:$1,FALSE))),"")</f>
        <v>4A</v>
      </c>
      <c r="T16" t="str">
        <f>IFERROR(IF(INDEX(Winter!$1:$1048576,MATCH($A16,Winter!$A:$A,FALSE),MATCH(T$1,Winter!$1:$1,FALSE))="","",INDEX(Winter!$1:$1048576,MATCH($A16,Winter!$A:$A,FALSE),MATCH(T$1,Winter!$1:$1,FALSE))),"")</f>
        <v>C</v>
      </c>
      <c r="U16" t="str">
        <f>IFERROR(IF(INDEX(Winter!$1:$1048576,MATCH($A16,Winter!$A:$A,FALSE),MATCH(U$1,Winter!$1:$1,FALSE))="","",INDEX(Winter!$1:$1048576,MATCH($A16,Winter!$A:$A,FALSE),MATCH(U$1,Winter!$1:$1,FALSE))),"")</f>
        <v>3A</v>
      </c>
      <c r="V16" t="str">
        <f>IFERROR(IF(INDEX(Winter!$1:$1048576,MATCH($A16,Winter!$A:$A,FALSE),MATCH(V$1,Winter!$1:$1,FALSE))="","",INDEX(Winter!$1:$1048576,MATCH($A16,Winter!$A:$A,FALSE),MATCH(V$1,Winter!$1:$1,FALSE))),"")</f>
        <v>2A</v>
      </c>
      <c r="W16" t="str">
        <f>IFERROR(IF(INDEX(Winter!$1:$1048576,MATCH($A16,Winter!$A:$A,FALSE),MATCH(W$1,Winter!$1:$1,FALSE))="","",INDEX(Winter!$1:$1048576,MATCH($A16,Winter!$A:$A,FALSE),MATCH(W$1,Winter!$1:$1,FALSE))),"")</f>
        <v>3A</v>
      </c>
      <c r="Y16" t="str">
        <f>IFERROR(IF(INDEX(Spring!$1:$1048576,MATCH($A16,Spring!$A:$A,FALSE),MATCH(Y$1,Spring!$1:$1,FALSE))="","",INDEX(Spring!$1:$1048576,MATCH($A16,Spring!$A:$A,FALSE),MATCH(Y$1,Spring!$1:$1,FALSE))),"")</f>
        <v>4A</v>
      </c>
      <c r="Z16" t="str">
        <f>IFERROR(IF(INDEX(Spring!$1:$1048576,MATCH($A16,Spring!$A:$A,FALSE),MATCH(Z$1,Spring!$1:$1,FALSE))="","",INDEX(Spring!$1:$1048576,MATCH($A16,Spring!$A:$A,FALSE),MATCH(Z$1,Spring!$1:$1,FALSE))),"")</f>
        <v>4A</v>
      </c>
      <c r="AA16" t="str">
        <f>IFERROR(IF(INDEX(Spring!$1:$1048576,MATCH($A16,Spring!$A:$A,FALSE),MATCH(AA$1,Spring!$1:$1,FALSE))="","",INDEX(Spring!$1:$1048576,MATCH($A16,Spring!$A:$A,FALSE),MATCH(AA$1,Spring!$1:$1,FALSE))),"")</f>
        <v>3A</v>
      </c>
      <c r="AB16" t="str">
        <f>IFERROR(IF(INDEX(Spring!$1:$1048576,MATCH($A16,Spring!$A:$A,FALSE),MATCH(AB$1,Spring!$1:$1,FALSE))="","",INDEX(Spring!$1:$1048576,MATCH($A16,Spring!$A:$A,FALSE),MATCH(AB$1,Spring!$1:$1,FALSE))),"")</f>
        <v>2A</v>
      </c>
      <c r="AC16" t="str">
        <f>IFERROR(IF(INDEX(Spring!$1:$1048576,MATCH($A16,Spring!$A:$A,FALSE),MATCH(AC$1,Spring!$1:$1,FALSE))="","",INDEX(Spring!$1:$1048576,MATCH($A16,Spring!$A:$A,FALSE),MATCH(AC$1,Spring!$1:$1,FALSE))),"")</f>
        <v>3A</v>
      </c>
      <c r="AD16" t="str">
        <f>IFERROR(IF(INDEX(Spring!$1:$1048576,MATCH($A16,Spring!$A:$A,FALSE),MATCH(AD$1,Spring!$1:$1,FALSE))="","",INDEX(Spring!$1:$1048576,MATCH($A16,Spring!$A:$A,FALSE),MATCH(AD$1,Spring!$1:$1,FALSE))),"")</f>
        <v>3A</v>
      </c>
    </row>
    <row r="17" spans="1:30" ht="23.25" thickBot="1" x14ac:dyDescent="0.3">
      <c r="A17" s="48" t="s">
        <v>27</v>
      </c>
      <c r="B17" s="49" t="s">
        <v>998</v>
      </c>
      <c r="C17" s="49" t="s">
        <v>997</v>
      </c>
      <c r="D17" s="49">
        <v>2</v>
      </c>
      <c r="E17" s="49">
        <v>4</v>
      </c>
      <c r="F17" s="45"/>
      <c r="G17" s="45"/>
      <c r="H17" s="44"/>
      <c r="J17" t="str">
        <f>IFERROR(IF(INDEX(Fall!$1:$1048576,MATCH($A17,Fall!$A:$A,FALSE),MATCH(J$1,Fall!$1:$1,FALSE))="","",INDEX(Fall!$1:$1048576,MATCH($A17,Fall!$A:$A,FALSE),MATCH(J$1,Fall!$1:$1,FALSE))),"")</f>
        <v>2A</v>
      </c>
      <c r="K17" t="str">
        <f>IFERROR(IF(INDEX(Fall!$1:$1048576,MATCH($A17,Fall!$A:$A,FALSE),MATCH(K$1,Fall!$1:$1,FALSE))="","",INDEX(Fall!$1:$1048576,MATCH($A17,Fall!$A:$A,FALSE),MATCH(K$1,Fall!$1:$1,FALSE))),"")</f>
        <v>2A</v>
      </c>
      <c r="L17" t="str">
        <f>IFERROR(IF(INDEX(Fall!$1:$1048576,MATCH($A17,Fall!$A:$A,FALSE),MATCH(L$1,Fall!$1:$1,FALSE))="","",INDEX(Fall!$1:$1048576,MATCH($A17,Fall!$A:$A,FALSE),MATCH(L$1,Fall!$1:$1,FALSE))),"")</f>
        <v>2A</v>
      </c>
      <c r="M17" t="str">
        <f>IFERROR(IF(INDEX(Fall!$1:$1048576,MATCH($A17,Fall!$A:$A,FALSE),MATCH(M$1,Fall!$1:$1,FALSE))="","",INDEX(Fall!$1:$1048576,MATCH($A17,Fall!$A:$A,FALSE),MATCH(M$1,Fall!$1:$1,FALSE))),"")</f>
        <v>2A</v>
      </c>
      <c r="N17" t="str">
        <f>IFERROR(IF(INDEX(Fall!$1:$1048576,MATCH($A17,Fall!$A:$A,FALSE),MATCH(N$1,Fall!$1:$1,FALSE))="","",INDEX(Fall!$1:$1048576,MATCH($A17,Fall!$A:$A,FALSE),MATCH(N$1,Fall!$1:$1,FALSE))),"")</f>
        <v>2A</v>
      </c>
      <c r="O17" t="str">
        <f>IFERROR(IF(INDEX(Fall!$1:$1048576,MATCH($A17,Fall!$A:$A,FALSE),MATCH(O$1,Fall!$1:$1,FALSE))="","",INDEX(Fall!$1:$1048576,MATCH($A17,Fall!$A:$A,FALSE),MATCH(O$1,Fall!$1:$1,FALSE))),"")</f>
        <v>1A</v>
      </c>
      <c r="P17" t="str">
        <f>IFERROR(IF(INDEX(Fall!$1:$1048576,MATCH($A17,Fall!$A:$A,FALSE),MATCH(P$1,Fall!$1:$1,FALSE))="","",INDEX(Fall!$1:$1048576,MATCH($A17,Fall!$A:$A,FALSE),MATCH(P$1,Fall!$1:$1,FALSE))),"")</f>
        <v>3A</v>
      </c>
      <c r="R17" t="str">
        <f>IFERROR(IF(INDEX(Winter!$1:$1048576,MATCH($A17,Winter!$A:$A,FALSE),MATCH(R$1,Winter!$1:$1,FALSE))="","",INDEX(Winter!$1:$1048576,MATCH($A17,Winter!$A:$A,FALSE),MATCH(R$1,Winter!$1:$1,FALSE))),"")</f>
        <v>3A</v>
      </c>
      <c r="S17" t="str">
        <f>IFERROR(IF(INDEX(Winter!$1:$1048576,MATCH($A17,Winter!$A:$A,FALSE),MATCH(S$1,Winter!$1:$1,FALSE))="","",INDEX(Winter!$1:$1048576,MATCH($A17,Winter!$A:$A,FALSE),MATCH(S$1,Winter!$1:$1,FALSE))),"")</f>
        <v>3A</v>
      </c>
      <c r="T17" t="str">
        <f>IFERROR(IF(INDEX(Winter!$1:$1048576,MATCH($A17,Winter!$A:$A,FALSE),MATCH(T$1,Winter!$1:$1,FALSE))="","",INDEX(Winter!$1:$1048576,MATCH($A17,Winter!$A:$A,FALSE),MATCH(T$1,Winter!$1:$1,FALSE))),"")</f>
        <v>2A</v>
      </c>
      <c r="U17" t="str">
        <f>IFERROR(IF(INDEX(Winter!$1:$1048576,MATCH($A17,Winter!$A:$A,FALSE),MATCH(U$1,Winter!$1:$1,FALSE))="","",INDEX(Winter!$1:$1048576,MATCH($A17,Winter!$A:$A,FALSE),MATCH(U$1,Winter!$1:$1,FALSE))),"")</f>
        <v>2A</v>
      </c>
      <c r="V17" t="str">
        <f>IFERROR(IF(INDEX(Winter!$1:$1048576,MATCH($A17,Winter!$A:$A,FALSE),MATCH(V$1,Winter!$1:$1,FALSE))="","",INDEX(Winter!$1:$1048576,MATCH($A17,Winter!$A:$A,FALSE),MATCH(V$1,Winter!$1:$1,FALSE))),"")</f>
        <v>2A</v>
      </c>
      <c r="W17" t="str">
        <f>IFERROR(IF(INDEX(Winter!$1:$1048576,MATCH($A17,Winter!$A:$A,FALSE),MATCH(W$1,Winter!$1:$1,FALSE))="","",INDEX(Winter!$1:$1048576,MATCH($A17,Winter!$A:$A,FALSE),MATCH(W$1,Winter!$1:$1,FALSE))),"")</f>
        <v>2A</v>
      </c>
      <c r="Y17" t="str">
        <f>IFERROR(IF(INDEX(Spring!$1:$1048576,MATCH($A17,Spring!$A:$A,FALSE),MATCH(Y$1,Spring!$1:$1,FALSE))="","",INDEX(Spring!$1:$1048576,MATCH($A17,Spring!$A:$A,FALSE),MATCH(Y$1,Spring!$1:$1,FALSE))),"")</f>
        <v>3A</v>
      </c>
      <c r="Z17" t="str">
        <f>IFERROR(IF(INDEX(Spring!$1:$1048576,MATCH($A17,Spring!$A:$A,FALSE),MATCH(Z$1,Spring!$1:$1,FALSE))="","",INDEX(Spring!$1:$1048576,MATCH($A17,Spring!$A:$A,FALSE),MATCH(Z$1,Spring!$1:$1,FALSE))),"")</f>
        <v>3A</v>
      </c>
      <c r="AA17" t="str">
        <f>IFERROR(IF(INDEX(Spring!$1:$1048576,MATCH($A17,Spring!$A:$A,FALSE),MATCH(AA$1,Spring!$1:$1,FALSE))="","",INDEX(Spring!$1:$1048576,MATCH($A17,Spring!$A:$A,FALSE),MATCH(AA$1,Spring!$1:$1,FALSE))),"")</f>
        <v>2A</v>
      </c>
      <c r="AB17" t="str">
        <f>IFERROR(IF(INDEX(Spring!$1:$1048576,MATCH($A17,Spring!$A:$A,FALSE),MATCH(AB$1,Spring!$1:$1,FALSE))="","",INDEX(Spring!$1:$1048576,MATCH($A17,Spring!$A:$A,FALSE),MATCH(AB$1,Spring!$1:$1,FALSE))),"")</f>
        <v>1A</v>
      </c>
      <c r="AC17" t="str">
        <f>IFERROR(IF(INDEX(Spring!$1:$1048576,MATCH($A17,Spring!$A:$A,FALSE),MATCH(AC$1,Spring!$1:$1,FALSE))="","",INDEX(Spring!$1:$1048576,MATCH($A17,Spring!$A:$A,FALSE),MATCH(AC$1,Spring!$1:$1,FALSE))),"")</f>
        <v>2A</v>
      </c>
      <c r="AD17" t="str">
        <f>IFERROR(IF(INDEX(Spring!$1:$1048576,MATCH($A17,Spring!$A:$A,FALSE),MATCH(AD$1,Spring!$1:$1,FALSE))="","",INDEX(Spring!$1:$1048576,MATCH($A17,Spring!$A:$A,FALSE),MATCH(AD$1,Spring!$1:$1,FALSE))),"")</f>
        <v>2A</v>
      </c>
    </row>
    <row r="18" spans="1:30" ht="15.75" thickBot="1" x14ac:dyDescent="0.3">
      <c r="A18" s="48" t="s">
        <v>29</v>
      </c>
      <c r="B18" s="49">
        <v>119</v>
      </c>
      <c r="C18" s="50"/>
      <c r="D18" s="50"/>
      <c r="E18" s="50"/>
      <c r="F18" s="45"/>
      <c r="G18" s="45"/>
      <c r="H18" s="44"/>
      <c r="J18" t="str">
        <f>IFERROR(IF(INDEX(Fall!$1:$1048576,MATCH($A18,Fall!$A:$A,FALSE),MATCH(J$1,Fall!$1:$1,FALSE))="","",INDEX(Fall!$1:$1048576,MATCH($A18,Fall!$A:$A,FALSE),MATCH(J$1,Fall!$1:$1,FALSE))),"")</f>
        <v>1A</v>
      </c>
      <c r="K18" t="str">
        <f>IFERROR(IF(INDEX(Fall!$1:$1048576,MATCH($A18,Fall!$A:$A,FALSE),MATCH(K$1,Fall!$1:$1,FALSE))="","",INDEX(Fall!$1:$1048576,MATCH($A18,Fall!$A:$A,FALSE),MATCH(K$1,Fall!$1:$1,FALSE))),"")</f>
        <v>1A</v>
      </c>
      <c r="L18" t="str">
        <f>IFERROR(IF(INDEX(Fall!$1:$1048576,MATCH($A18,Fall!$A:$A,FALSE),MATCH(L$1,Fall!$1:$1,FALSE))="","",INDEX(Fall!$1:$1048576,MATCH($A18,Fall!$A:$A,FALSE),MATCH(L$1,Fall!$1:$1,FALSE))),"")</f>
        <v>1A</v>
      </c>
      <c r="M18" t="str">
        <f>IFERROR(IF(INDEX(Fall!$1:$1048576,MATCH($A18,Fall!$A:$A,FALSE),MATCH(M$1,Fall!$1:$1,FALSE))="","",INDEX(Fall!$1:$1048576,MATCH($A18,Fall!$A:$A,FALSE),MATCH(M$1,Fall!$1:$1,FALSE))),"")</f>
        <v/>
      </c>
      <c r="N18" t="str">
        <f>IFERROR(IF(INDEX(Fall!$1:$1048576,MATCH($A18,Fall!$A:$A,FALSE),MATCH(N$1,Fall!$1:$1,FALSE))="","",INDEX(Fall!$1:$1048576,MATCH($A18,Fall!$A:$A,FALSE),MATCH(N$1,Fall!$1:$1,FALSE))),"")</f>
        <v/>
      </c>
      <c r="O18" t="str">
        <f>IFERROR(IF(INDEX(Fall!$1:$1048576,MATCH($A18,Fall!$A:$A,FALSE),MATCH(O$1,Fall!$1:$1,FALSE))="","",INDEX(Fall!$1:$1048576,MATCH($A18,Fall!$A:$A,FALSE),MATCH(O$1,Fall!$1:$1,FALSE))),"")</f>
        <v/>
      </c>
      <c r="P18" t="str">
        <f>IFERROR(IF(INDEX(Fall!$1:$1048576,MATCH($A18,Fall!$A:$A,FALSE),MATCH(P$1,Fall!$1:$1,FALSE))="","",INDEX(Fall!$1:$1048576,MATCH($A18,Fall!$A:$A,FALSE),MATCH(P$1,Fall!$1:$1,FALSE))),"")</f>
        <v>1A</v>
      </c>
      <c r="R18" t="str">
        <f>IFERROR(IF(INDEX(Winter!$1:$1048576,MATCH($A18,Winter!$A:$A,FALSE),MATCH(R$1,Winter!$1:$1,FALSE))="","",INDEX(Winter!$1:$1048576,MATCH($A18,Winter!$A:$A,FALSE),MATCH(R$1,Winter!$1:$1,FALSE))),"")</f>
        <v>1A</v>
      </c>
      <c r="S18" t="str">
        <f>IFERROR(IF(INDEX(Winter!$1:$1048576,MATCH($A18,Winter!$A:$A,FALSE),MATCH(S$1,Winter!$1:$1,FALSE))="","",INDEX(Winter!$1:$1048576,MATCH($A18,Winter!$A:$A,FALSE),MATCH(S$1,Winter!$1:$1,FALSE))),"")</f>
        <v>1A</v>
      </c>
      <c r="T18" t="str">
        <f>IFERROR(IF(INDEX(Winter!$1:$1048576,MATCH($A18,Winter!$A:$A,FALSE),MATCH(T$1,Winter!$1:$1,FALSE))="","",INDEX(Winter!$1:$1048576,MATCH($A18,Winter!$A:$A,FALSE),MATCH(T$1,Winter!$1:$1,FALSE))),"")</f>
        <v/>
      </c>
      <c r="U18" t="str">
        <f>IFERROR(IF(INDEX(Winter!$1:$1048576,MATCH($A18,Winter!$A:$A,FALSE),MATCH(U$1,Winter!$1:$1,FALSE))="","",INDEX(Winter!$1:$1048576,MATCH($A18,Winter!$A:$A,FALSE),MATCH(U$1,Winter!$1:$1,FALSE))),"")</f>
        <v/>
      </c>
      <c r="V18" t="str">
        <f>IFERROR(IF(INDEX(Winter!$1:$1048576,MATCH($A18,Winter!$A:$A,FALSE),MATCH(V$1,Winter!$1:$1,FALSE))="","",INDEX(Winter!$1:$1048576,MATCH($A18,Winter!$A:$A,FALSE),MATCH(V$1,Winter!$1:$1,FALSE))),"")</f>
        <v>1A</v>
      </c>
      <c r="W18" t="str">
        <f>IFERROR(IF(INDEX(Winter!$1:$1048576,MATCH($A18,Winter!$A:$A,FALSE),MATCH(W$1,Winter!$1:$1,FALSE))="","",INDEX(Winter!$1:$1048576,MATCH($A18,Winter!$A:$A,FALSE),MATCH(W$1,Winter!$1:$1,FALSE))),"")</f>
        <v/>
      </c>
      <c r="Y18" t="str">
        <f>IFERROR(IF(INDEX(Spring!$1:$1048576,MATCH($A18,Spring!$A:$A,FALSE),MATCH(Y$1,Spring!$1:$1,FALSE))="","",INDEX(Spring!$1:$1048576,MATCH($A18,Spring!$A:$A,FALSE),MATCH(Y$1,Spring!$1:$1,FALSE))),"")</f>
        <v>1A</v>
      </c>
      <c r="Z18" t="str">
        <f>IFERROR(IF(INDEX(Spring!$1:$1048576,MATCH($A18,Spring!$A:$A,FALSE),MATCH(Z$1,Spring!$1:$1,FALSE))="","",INDEX(Spring!$1:$1048576,MATCH($A18,Spring!$A:$A,FALSE),MATCH(Z$1,Spring!$1:$1,FALSE))),"")</f>
        <v>1A</v>
      </c>
      <c r="AA18" t="str">
        <f>IFERROR(IF(INDEX(Spring!$1:$1048576,MATCH($A18,Spring!$A:$A,FALSE),MATCH(AA$1,Spring!$1:$1,FALSE))="","",INDEX(Spring!$1:$1048576,MATCH($A18,Spring!$A:$A,FALSE),MATCH(AA$1,Spring!$1:$1,FALSE))),"")</f>
        <v/>
      </c>
      <c r="AB18" t="str">
        <f>IFERROR(IF(INDEX(Spring!$1:$1048576,MATCH($A18,Spring!$A:$A,FALSE),MATCH(AB$1,Spring!$1:$1,FALSE))="","",INDEX(Spring!$1:$1048576,MATCH($A18,Spring!$A:$A,FALSE),MATCH(AB$1,Spring!$1:$1,FALSE))),"")</f>
        <v/>
      </c>
      <c r="AC18" t="str">
        <f>IFERROR(IF(INDEX(Spring!$1:$1048576,MATCH($A18,Spring!$A:$A,FALSE),MATCH(AC$1,Spring!$1:$1,FALSE))="","",INDEX(Spring!$1:$1048576,MATCH($A18,Spring!$A:$A,FALSE),MATCH(AC$1,Spring!$1:$1,FALSE))),"")</f>
        <v>1A</v>
      </c>
      <c r="AD18" t="str">
        <f>IFERROR(IF(INDEX(Spring!$1:$1048576,MATCH($A18,Spring!$A:$A,FALSE),MATCH(AD$1,Spring!$1:$1,FALSE))="","",INDEX(Spring!$1:$1048576,MATCH($A18,Spring!$A:$A,FALSE),MATCH(AD$1,Spring!$1:$1,FALSE))),"")</f>
        <v>1A</v>
      </c>
    </row>
    <row r="19" spans="1:30" ht="15.75" thickBot="1" x14ac:dyDescent="0.3">
      <c r="A19" s="48" t="s">
        <v>30</v>
      </c>
      <c r="B19" s="49">
        <v>294</v>
      </c>
      <c r="C19" s="50"/>
      <c r="D19" s="50"/>
      <c r="E19" s="50"/>
      <c r="F19" s="45"/>
      <c r="G19" s="45"/>
      <c r="H19" s="44"/>
      <c r="J19" t="str">
        <f>IFERROR(IF(INDEX(Fall!$1:$1048576,MATCH($A19,Fall!$A:$A,FALSE),MATCH(J$1,Fall!$1:$1,FALSE))="","",INDEX(Fall!$1:$1048576,MATCH($A19,Fall!$A:$A,FALSE),MATCH(J$1,Fall!$1:$1,FALSE))),"")</f>
        <v>1A</v>
      </c>
      <c r="K19" t="str">
        <f>IFERROR(IF(INDEX(Fall!$1:$1048576,MATCH($A19,Fall!$A:$A,FALSE),MATCH(K$1,Fall!$1:$1,FALSE))="","",INDEX(Fall!$1:$1048576,MATCH($A19,Fall!$A:$A,FALSE),MATCH(K$1,Fall!$1:$1,FALSE))),"")</f>
        <v>1A</v>
      </c>
      <c r="L19" t="str">
        <f>IFERROR(IF(INDEX(Fall!$1:$1048576,MATCH($A19,Fall!$A:$A,FALSE),MATCH(L$1,Fall!$1:$1,FALSE))="","",INDEX(Fall!$1:$1048576,MATCH($A19,Fall!$A:$A,FALSE),MATCH(L$1,Fall!$1:$1,FALSE))),"")</f>
        <v/>
      </c>
      <c r="M19" t="str">
        <f>IFERROR(IF(INDEX(Fall!$1:$1048576,MATCH($A19,Fall!$A:$A,FALSE),MATCH(M$1,Fall!$1:$1,FALSE))="","",INDEX(Fall!$1:$1048576,MATCH($A19,Fall!$A:$A,FALSE),MATCH(M$1,Fall!$1:$1,FALSE))),"")</f>
        <v/>
      </c>
      <c r="N19" t="str">
        <f>IFERROR(IF(INDEX(Fall!$1:$1048576,MATCH($A19,Fall!$A:$A,FALSE),MATCH(N$1,Fall!$1:$1,FALSE))="","",INDEX(Fall!$1:$1048576,MATCH($A19,Fall!$A:$A,FALSE),MATCH(N$1,Fall!$1:$1,FALSE))),"")</f>
        <v>1A</v>
      </c>
      <c r="O19" t="str">
        <f>IFERROR(IF(INDEX(Fall!$1:$1048576,MATCH($A19,Fall!$A:$A,FALSE),MATCH(O$1,Fall!$1:$1,FALSE))="","",INDEX(Fall!$1:$1048576,MATCH($A19,Fall!$A:$A,FALSE),MATCH(O$1,Fall!$1:$1,FALSE))),"")</f>
        <v/>
      </c>
      <c r="P19" t="str">
        <f>IFERROR(IF(INDEX(Fall!$1:$1048576,MATCH($A19,Fall!$A:$A,FALSE),MATCH(P$1,Fall!$1:$1,FALSE))="","",INDEX(Fall!$1:$1048576,MATCH($A19,Fall!$A:$A,FALSE),MATCH(P$1,Fall!$1:$1,FALSE))),"")</f>
        <v>1A</v>
      </c>
      <c r="R19" t="str">
        <f>IFERROR(IF(INDEX(Winter!$1:$1048576,MATCH($A19,Winter!$A:$A,FALSE),MATCH(R$1,Winter!$1:$1,FALSE))="","",INDEX(Winter!$1:$1048576,MATCH($A19,Winter!$A:$A,FALSE),MATCH(R$1,Winter!$1:$1,FALSE))),"")</f>
        <v>1A</v>
      </c>
      <c r="S19" t="str">
        <f>IFERROR(IF(INDEX(Winter!$1:$1048576,MATCH($A19,Winter!$A:$A,FALSE),MATCH(S$1,Winter!$1:$1,FALSE))="","",INDEX(Winter!$1:$1048576,MATCH($A19,Winter!$A:$A,FALSE),MATCH(S$1,Winter!$1:$1,FALSE))),"")</f>
        <v>1A</v>
      </c>
      <c r="T19" t="str">
        <f>IFERROR(IF(INDEX(Winter!$1:$1048576,MATCH($A19,Winter!$A:$A,FALSE),MATCH(T$1,Winter!$1:$1,FALSE))="","",INDEX(Winter!$1:$1048576,MATCH($A19,Winter!$A:$A,FALSE),MATCH(T$1,Winter!$1:$1,FALSE))),"")</f>
        <v/>
      </c>
      <c r="U19" t="str">
        <f>IFERROR(IF(INDEX(Winter!$1:$1048576,MATCH($A19,Winter!$A:$A,FALSE),MATCH(U$1,Winter!$1:$1,FALSE))="","",INDEX(Winter!$1:$1048576,MATCH($A19,Winter!$A:$A,FALSE),MATCH(U$1,Winter!$1:$1,FALSE))),"")</f>
        <v/>
      </c>
      <c r="V19" t="str">
        <f>IFERROR(IF(INDEX(Winter!$1:$1048576,MATCH($A19,Winter!$A:$A,FALSE),MATCH(V$1,Winter!$1:$1,FALSE))="","",INDEX(Winter!$1:$1048576,MATCH($A19,Winter!$A:$A,FALSE),MATCH(V$1,Winter!$1:$1,FALSE))),"")</f>
        <v>1A</v>
      </c>
      <c r="W19" t="str">
        <f>IFERROR(IF(INDEX(Winter!$1:$1048576,MATCH($A19,Winter!$A:$A,FALSE),MATCH(W$1,Winter!$1:$1,FALSE))="","",INDEX(Winter!$1:$1048576,MATCH($A19,Winter!$A:$A,FALSE),MATCH(W$1,Winter!$1:$1,FALSE))),"")</f>
        <v/>
      </c>
      <c r="Y19" t="str">
        <f>IFERROR(IF(INDEX(Spring!$1:$1048576,MATCH($A19,Spring!$A:$A,FALSE),MATCH(Y$1,Spring!$1:$1,FALSE))="","",INDEX(Spring!$1:$1048576,MATCH($A19,Spring!$A:$A,FALSE),MATCH(Y$1,Spring!$1:$1,FALSE))),"")</f>
        <v>1A</v>
      </c>
      <c r="Z19" t="str">
        <f>IFERROR(IF(INDEX(Spring!$1:$1048576,MATCH($A19,Spring!$A:$A,FALSE),MATCH(Z$1,Spring!$1:$1,FALSE))="","",INDEX(Spring!$1:$1048576,MATCH($A19,Spring!$A:$A,FALSE),MATCH(Z$1,Spring!$1:$1,FALSE))),"")</f>
        <v>1A</v>
      </c>
      <c r="AA19" t="str">
        <f>IFERROR(IF(INDEX(Spring!$1:$1048576,MATCH($A19,Spring!$A:$A,FALSE),MATCH(AA$1,Spring!$1:$1,FALSE))="","",INDEX(Spring!$1:$1048576,MATCH($A19,Spring!$A:$A,FALSE),MATCH(AA$1,Spring!$1:$1,FALSE))),"")</f>
        <v/>
      </c>
      <c r="AB19" t="str">
        <f>IFERROR(IF(INDEX(Spring!$1:$1048576,MATCH($A19,Spring!$A:$A,FALSE),MATCH(AB$1,Spring!$1:$1,FALSE))="","",INDEX(Spring!$1:$1048576,MATCH($A19,Spring!$A:$A,FALSE),MATCH(AB$1,Spring!$1:$1,FALSE))),"")</f>
        <v/>
      </c>
      <c r="AC19" t="str">
        <f>IFERROR(IF(INDEX(Spring!$1:$1048576,MATCH($A19,Spring!$A:$A,FALSE),MATCH(AC$1,Spring!$1:$1,FALSE))="","",INDEX(Spring!$1:$1048576,MATCH($A19,Spring!$A:$A,FALSE),MATCH(AC$1,Spring!$1:$1,FALSE))),"")</f>
        <v>1A</v>
      </c>
      <c r="AD19" t="str">
        <f>IFERROR(IF(INDEX(Spring!$1:$1048576,MATCH($A19,Spring!$A:$A,FALSE),MATCH(AD$1,Spring!$1:$1,FALSE))="","",INDEX(Spring!$1:$1048576,MATCH($A19,Spring!$A:$A,FALSE),MATCH(AD$1,Spring!$1:$1,FALSE))),"")</f>
        <v>1A</v>
      </c>
    </row>
    <row r="20" spans="1:30" ht="15.75" thickBot="1" x14ac:dyDescent="0.3">
      <c r="A20" s="48" t="s">
        <v>31</v>
      </c>
      <c r="B20" s="49">
        <v>135</v>
      </c>
      <c r="C20" s="50"/>
      <c r="D20" s="50"/>
      <c r="E20" s="50"/>
      <c r="F20" s="45"/>
      <c r="G20" s="45"/>
      <c r="H20" s="44"/>
      <c r="J20" t="str">
        <f>IFERROR(IF(INDEX(Fall!$1:$1048576,MATCH($A20,Fall!$A:$A,FALSE),MATCH(J$1,Fall!$1:$1,FALSE))="","",INDEX(Fall!$1:$1048576,MATCH($A20,Fall!$A:$A,FALSE),MATCH(J$1,Fall!$1:$1,FALSE))),"")</f>
        <v/>
      </c>
      <c r="K20" t="str">
        <f>IFERROR(IF(INDEX(Fall!$1:$1048576,MATCH($A20,Fall!$A:$A,FALSE),MATCH(K$1,Fall!$1:$1,FALSE))="","",INDEX(Fall!$1:$1048576,MATCH($A20,Fall!$A:$A,FALSE),MATCH(K$1,Fall!$1:$1,FALSE))),"")</f>
        <v/>
      </c>
      <c r="L20" t="str">
        <f>IFERROR(IF(INDEX(Fall!$1:$1048576,MATCH($A20,Fall!$A:$A,FALSE),MATCH(L$1,Fall!$1:$1,FALSE))="","",INDEX(Fall!$1:$1048576,MATCH($A20,Fall!$A:$A,FALSE),MATCH(L$1,Fall!$1:$1,FALSE))),"")</f>
        <v/>
      </c>
      <c r="M20" t="str">
        <f>IFERROR(IF(INDEX(Fall!$1:$1048576,MATCH($A20,Fall!$A:$A,FALSE),MATCH(M$1,Fall!$1:$1,FALSE))="","",INDEX(Fall!$1:$1048576,MATCH($A20,Fall!$A:$A,FALSE),MATCH(M$1,Fall!$1:$1,FALSE))),"")</f>
        <v/>
      </c>
      <c r="N20" t="str">
        <f>IFERROR(IF(INDEX(Fall!$1:$1048576,MATCH($A20,Fall!$A:$A,FALSE),MATCH(N$1,Fall!$1:$1,FALSE))="","",INDEX(Fall!$1:$1048576,MATCH($A20,Fall!$A:$A,FALSE),MATCH(N$1,Fall!$1:$1,FALSE))),"")</f>
        <v/>
      </c>
      <c r="O20" t="str">
        <f>IFERROR(IF(INDEX(Fall!$1:$1048576,MATCH($A20,Fall!$A:$A,FALSE),MATCH(O$1,Fall!$1:$1,FALSE))="","",INDEX(Fall!$1:$1048576,MATCH($A20,Fall!$A:$A,FALSE),MATCH(O$1,Fall!$1:$1,FALSE))),"")</f>
        <v/>
      </c>
      <c r="P20" t="str">
        <f>IFERROR(IF(INDEX(Fall!$1:$1048576,MATCH($A20,Fall!$A:$A,FALSE),MATCH(P$1,Fall!$1:$1,FALSE))="","",INDEX(Fall!$1:$1048576,MATCH($A20,Fall!$A:$A,FALSE),MATCH(P$1,Fall!$1:$1,FALSE))),"")</f>
        <v>1A</v>
      </c>
      <c r="R20" t="str">
        <f>IFERROR(IF(INDEX(Winter!$1:$1048576,MATCH($A20,Winter!$A:$A,FALSE),MATCH(R$1,Winter!$1:$1,FALSE))="","",INDEX(Winter!$1:$1048576,MATCH($A20,Winter!$A:$A,FALSE),MATCH(R$1,Winter!$1:$1,FALSE))),"")</f>
        <v>1A</v>
      </c>
      <c r="S20" t="str">
        <f>IFERROR(IF(INDEX(Winter!$1:$1048576,MATCH($A20,Winter!$A:$A,FALSE),MATCH(S$1,Winter!$1:$1,FALSE))="","",INDEX(Winter!$1:$1048576,MATCH($A20,Winter!$A:$A,FALSE),MATCH(S$1,Winter!$1:$1,FALSE))),"")</f>
        <v>1A</v>
      </c>
      <c r="T20" t="str">
        <f>IFERROR(IF(INDEX(Winter!$1:$1048576,MATCH($A20,Winter!$A:$A,FALSE),MATCH(T$1,Winter!$1:$1,FALSE))="","",INDEX(Winter!$1:$1048576,MATCH($A20,Winter!$A:$A,FALSE),MATCH(T$1,Winter!$1:$1,FALSE))),"")</f>
        <v/>
      </c>
      <c r="U20" t="str">
        <f>IFERROR(IF(INDEX(Winter!$1:$1048576,MATCH($A20,Winter!$A:$A,FALSE),MATCH(U$1,Winter!$1:$1,FALSE))="","",INDEX(Winter!$1:$1048576,MATCH($A20,Winter!$A:$A,FALSE),MATCH(U$1,Winter!$1:$1,FALSE))),"")</f>
        <v/>
      </c>
      <c r="V20" t="str">
        <f>IFERROR(IF(INDEX(Winter!$1:$1048576,MATCH($A20,Winter!$A:$A,FALSE),MATCH(V$1,Winter!$1:$1,FALSE))="","",INDEX(Winter!$1:$1048576,MATCH($A20,Winter!$A:$A,FALSE),MATCH(V$1,Winter!$1:$1,FALSE))),"")</f>
        <v>1A</v>
      </c>
      <c r="W20" t="str">
        <f>IFERROR(IF(INDEX(Winter!$1:$1048576,MATCH($A20,Winter!$A:$A,FALSE),MATCH(W$1,Winter!$1:$1,FALSE))="","",INDEX(Winter!$1:$1048576,MATCH($A20,Winter!$A:$A,FALSE),MATCH(W$1,Winter!$1:$1,FALSE))),"")</f>
        <v/>
      </c>
      <c r="Y20" t="str">
        <f>IFERROR(IF(INDEX(Spring!$1:$1048576,MATCH($A20,Spring!$A:$A,FALSE),MATCH(Y$1,Spring!$1:$1,FALSE))="","",INDEX(Spring!$1:$1048576,MATCH($A20,Spring!$A:$A,FALSE),MATCH(Y$1,Spring!$1:$1,FALSE))),"")</f>
        <v>1A</v>
      </c>
      <c r="Z20" t="str">
        <f>IFERROR(IF(INDEX(Spring!$1:$1048576,MATCH($A20,Spring!$A:$A,FALSE),MATCH(Z$1,Spring!$1:$1,FALSE))="","",INDEX(Spring!$1:$1048576,MATCH($A20,Spring!$A:$A,FALSE),MATCH(Z$1,Spring!$1:$1,FALSE))),"")</f>
        <v>1A</v>
      </c>
      <c r="AA20" t="str">
        <f>IFERROR(IF(INDEX(Spring!$1:$1048576,MATCH($A20,Spring!$A:$A,FALSE),MATCH(AA$1,Spring!$1:$1,FALSE))="","",INDEX(Spring!$1:$1048576,MATCH($A20,Spring!$A:$A,FALSE),MATCH(AA$1,Spring!$1:$1,FALSE))),"")</f>
        <v/>
      </c>
      <c r="AB20" t="str">
        <f>IFERROR(IF(INDEX(Spring!$1:$1048576,MATCH($A20,Spring!$A:$A,FALSE),MATCH(AB$1,Spring!$1:$1,FALSE))="","",INDEX(Spring!$1:$1048576,MATCH($A20,Spring!$A:$A,FALSE),MATCH(AB$1,Spring!$1:$1,FALSE))),"")</f>
        <v/>
      </c>
      <c r="AC20" t="str">
        <f>IFERROR(IF(INDEX(Spring!$1:$1048576,MATCH($A20,Spring!$A:$A,FALSE),MATCH(AC$1,Spring!$1:$1,FALSE))="","",INDEX(Spring!$1:$1048576,MATCH($A20,Spring!$A:$A,FALSE),MATCH(AC$1,Spring!$1:$1,FALSE))),"")</f>
        <v/>
      </c>
      <c r="AD20" t="str">
        <f>IFERROR(IF(INDEX(Spring!$1:$1048576,MATCH($A20,Spring!$A:$A,FALSE),MATCH(AD$1,Spring!$1:$1,FALSE))="","",INDEX(Spring!$1:$1048576,MATCH($A20,Spring!$A:$A,FALSE),MATCH(AD$1,Spring!$1:$1,FALSE))),"")</f>
        <v>1A</v>
      </c>
    </row>
    <row r="21" spans="1:30" ht="15.75" thickBot="1" x14ac:dyDescent="0.3">
      <c r="A21" s="48" t="s">
        <v>32</v>
      </c>
      <c r="B21" s="49">
        <v>86</v>
      </c>
      <c r="C21" s="50"/>
      <c r="D21" s="50"/>
      <c r="E21" s="50"/>
      <c r="F21" s="45"/>
      <c r="G21" s="45"/>
      <c r="H21" s="44"/>
      <c r="J21" t="str">
        <f>IFERROR(IF(INDEX(Fall!$1:$1048576,MATCH($A21,Fall!$A:$A,FALSE),MATCH(J$1,Fall!$1:$1,FALSE))="","",INDEX(Fall!$1:$1048576,MATCH($A21,Fall!$A:$A,FALSE),MATCH(J$1,Fall!$1:$1,FALSE))),"")</f>
        <v>1A</v>
      </c>
      <c r="K21" t="str">
        <f>IFERROR(IF(INDEX(Fall!$1:$1048576,MATCH($A21,Fall!$A:$A,FALSE),MATCH(K$1,Fall!$1:$1,FALSE))="","",INDEX(Fall!$1:$1048576,MATCH($A21,Fall!$A:$A,FALSE),MATCH(K$1,Fall!$1:$1,FALSE))),"")</f>
        <v>1A</v>
      </c>
      <c r="L21" t="str">
        <f>IFERROR(IF(INDEX(Fall!$1:$1048576,MATCH($A21,Fall!$A:$A,FALSE),MATCH(L$1,Fall!$1:$1,FALSE))="","",INDEX(Fall!$1:$1048576,MATCH($A21,Fall!$A:$A,FALSE),MATCH(L$1,Fall!$1:$1,FALSE))),"")</f>
        <v/>
      </c>
      <c r="M21" t="str">
        <f>IFERROR(IF(INDEX(Fall!$1:$1048576,MATCH($A21,Fall!$A:$A,FALSE),MATCH(M$1,Fall!$1:$1,FALSE))="","",INDEX(Fall!$1:$1048576,MATCH($A21,Fall!$A:$A,FALSE),MATCH(M$1,Fall!$1:$1,FALSE))),"")</f>
        <v/>
      </c>
      <c r="N21" t="str">
        <f>IFERROR(IF(INDEX(Fall!$1:$1048576,MATCH($A21,Fall!$A:$A,FALSE),MATCH(N$1,Fall!$1:$1,FALSE))="","",INDEX(Fall!$1:$1048576,MATCH($A21,Fall!$A:$A,FALSE),MATCH(N$1,Fall!$1:$1,FALSE))),"")</f>
        <v/>
      </c>
      <c r="O21" t="str">
        <f>IFERROR(IF(INDEX(Fall!$1:$1048576,MATCH($A21,Fall!$A:$A,FALSE),MATCH(O$1,Fall!$1:$1,FALSE))="","",INDEX(Fall!$1:$1048576,MATCH($A21,Fall!$A:$A,FALSE),MATCH(O$1,Fall!$1:$1,FALSE))),"")</f>
        <v/>
      </c>
      <c r="P21" t="str">
        <f>IFERROR(IF(INDEX(Fall!$1:$1048576,MATCH($A21,Fall!$A:$A,FALSE),MATCH(P$1,Fall!$1:$1,FALSE))="","",INDEX(Fall!$1:$1048576,MATCH($A21,Fall!$A:$A,FALSE),MATCH(P$1,Fall!$1:$1,FALSE))),"")</f>
        <v>1A</v>
      </c>
      <c r="R21" t="str">
        <f>IFERROR(IF(INDEX(Winter!$1:$1048576,MATCH($A21,Winter!$A:$A,FALSE),MATCH(R$1,Winter!$1:$1,FALSE))="","",INDEX(Winter!$1:$1048576,MATCH($A21,Winter!$A:$A,FALSE),MATCH(R$1,Winter!$1:$1,FALSE))),"")</f>
        <v>1A</v>
      </c>
      <c r="S21" t="str">
        <f>IFERROR(IF(INDEX(Winter!$1:$1048576,MATCH($A21,Winter!$A:$A,FALSE),MATCH(S$1,Winter!$1:$1,FALSE))="","",INDEX(Winter!$1:$1048576,MATCH($A21,Winter!$A:$A,FALSE),MATCH(S$1,Winter!$1:$1,FALSE))),"")</f>
        <v>1A</v>
      </c>
      <c r="T21" t="str">
        <f>IFERROR(IF(INDEX(Winter!$1:$1048576,MATCH($A21,Winter!$A:$A,FALSE),MATCH(T$1,Winter!$1:$1,FALSE))="","",INDEX(Winter!$1:$1048576,MATCH($A21,Winter!$A:$A,FALSE),MATCH(T$1,Winter!$1:$1,FALSE))),"")</f>
        <v/>
      </c>
      <c r="U21" t="str">
        <f>IFERROR(IF(INDEX(Winter!$1:$1048576,MATCH($A21,Winter!$A:$A,FALSE),MATCH(U$1,Winter!$1:$1,FALSE))="","",INDEX(Winter!$1:$1048576,MATCH($A21,Winter!$A:$A,FALSE),MATCH(U$1,Winter!$1:$1,FALSE))),"")</f>
        <v/>
      </c>
      <c r="V21" t="str">
        <f>IFERROR(IF(INDEX(Winter!$1:$1048576,MATCH($A21,Winter!$A:$A,FALSE),MATCH(V$1,Winter!$1:$1,FALSE))="","",INDEX(Winter!$1:$1048576,MATCH($A21,Winter!$A:$A,FALSE),MATCH(V$1,Winter!$1:$1,FALSE))),"")</f>
        <v/>
      </c>
      <c r="W21" t="str">
        <f>IFERROR(IF(INDEX(Winter!$1:$1048576,MATCH($A21,Winter!$A:$A,FALSE),MATCH(W$1,Winter!$1:$1,FALSE))="","",INDEX(Winter!$1:$1048576,MATCH($A21,Winter!$A:$A,FALSE),MATCH(W$1,Winter!$1:$1,FALSE))),"")</f>
        <v/>
      </c>
      <c r="Y21" t="str">
        <f>IFERROR(IF(INDEX(Spring!$1:$1048576,MATCH($A21,Spring!$A:$A,FALSE),MATCH(Y$1,Spring!$1:$1,FALSE))="","",INDEX(Spring!$1:$1048576,MATCH($A21,Spring!$A:$A,FALSE),MATCH(Y$1,Spring!$1:$1,FALSE))),"")</f>
        <v>1A</v>
      </c>
      <c r="Z21" t="str">
        <f>IFERROR(IF(INDEX(Spring!$1:$1048576,MATCH($A21,Spring!$A:$A,FALSE),MATCH(Z$1,Spring!$1:$1,FALSE))="","",INDEX(Spring!$1:$1048576,MATCH($A21,Spring!$A:$A,FALSE),MATCH(Z$1,Spring!$1:$1,FALSE))),"")</f>
        <v>1A</v>
      </c>
      <c r="AA21" t="str">
        <f>IFERROR(IF(INDEX(Spring!$1:$1048576,MATCH($A21,Spring!$A:$A,FALSE),MATCH(AA$1,Spring!$1:$1,FALSE))="","",INDEX(Spring!$1:$1048576,MATCH($A21,Spring!$A:$A,FALSE),MATCH(AA$1,Spring!$1:$1,FALSE))),"")</f>
        <v/>
      </c>
      <c r="AB21" t="str">
        <f>IFERROR(IF(INDEX(Spring!$1:$1048576,MATCH($A21,Spring!$A:$A,FALSE),MATCH(AB$1,Spring!$1:$1,FALSE))="","",INDEX(Spring!$1:$1048576,MATCH($A21,Spring!$A:$A,FALSE),MATCH(AB$1,Spring!$1:$1,FALSE))),"")</f>
        <v/>
      </c>
      <c r="AC21" t="str">
        <f>IFERROR(IF(INDEX(Spring!$1:$1048576,MATCH($A21,Spring!$A:$A,FALSE),MATCH(AC$1,Spring!$1:$1,FALSE))="","",INDEX(Spring!$1:$1048576,MATCH($A21,Spring!$A:$A,FALSE),MATCH(AC$1,Spring!$1:$1,FALSE))),"")</f>
        <v>1A</v>
      </c>
      <c r="AD21" t="str">
        <f>IFERROR(IF(INDEX(Spring!$1:$1048576,MATCH($A21,Spring!$A:$A,FALSE),MATCH(AD$1,Spring!$1:$1,FALSE))="","",INDEX(Spring!$1:$1048576,MATCH($A21,Spring!$A:$A,FALSE),MATCH(AD$1,Spring!$1:$1,FALSE))),"")</f>
        <v>1A</v>
      </c>
    </row>
    <row r="22" spans="1:30" ht="15.75" thickBot="1" x14ac:dyDescent="0.3">
      <c r="A22" s="48" t="s">
        <v>33</v>
      </c>
      <c r="B22" s="49">
        <v>299</v>
      </c>
      <c r="C22" s="50"/>
      <c r="D22" s="50"/>
      <c r="E22" s="50"/>
      <c r="F22" s="45"/>
      <c r="G22" s="45"/>
      <c r="H22" s="44"/>
      <c r="J22" t="str">
        <f>IFERROR(IF(INDEX(Fall!$1:$1048576,MATCH($A22,Fall!$A:$A,FALSE),MATCH(J$1,Fall!$1:$1,FALSE))="","",INDEX(Fall!$1:$1048576,MATCH($A22,Fall!$A:$A,FALSE),MATCH(J$1,Fall!$1:$1,FALSE))),"")</f>
        <v>1A</v>
      </c>
      <c r="K22" t="str">
        <f>IFERROR(IF(INDEX(Fall!$1:$1048576,MATCH($A22,Fall!$A:$A,FALSE),MATCH(K$1,Fall!$1:$1,FALSE))="","",INDEX(Fall!$1:$1048576,MATCH($A22,Fall!$A:$A,FALSE),MATCH(K$1,Fall!$1:$1,FALSE))),"")</f>
        <v/>
      </c>
      <c r="L22" t="str">
        <f>IFERROR(IF(INDEX(Fall!$1:$1048576,MATCH($A22,Fall!$A:$A,FALSE),MATCH(L$1,Fall!$1:$1,FALSE))="","",INDEX(Fall!$1:$1048576,MATCH($A22,Fall!$A:$A,FALSE),MATCH(L$1,Fall!$1:$1,FALSE))),"")</f>
        <v/>
      </c>
      <c r="M22" t="str">
        <f>IFERROR(IF(INDEX(Fall!$1:$1048576,MATCH($A22,Fall!$A:$A,FALSE),MATCH(M$1,Fall!$1:$1,FALSE))="","",INDEX(Fall!$1:$1048576,MATCH($A22,Fall!$A:$A,FALSE),MATCH(M$1,Fall!$1:$1,FALSE))),"")</f>
        <v/>
      </c>
      <c r="N22" t="str">
        <f>IFERROR(IF(INDEX(Fall!$1:$1048576,MATCH($A22,Fall!$A:$A,FALSE),MATCH(N$1,Fall!$1:$1,FALSE))="","",INDEX(Fall!$1:$1048576,MATCH($A22,Fall!$A:$A,FALSE),MATCH(N$1,Fall!$1:$1,FALSE))),"")</f>
        <v>1A</v>
      </c>
      <c r="O22" t="str">
        <f>IFERROR(IF(INDEX(Fall!$1:$1048576,MATCH($A22,Fall!$A:$A,FALSE),MATCH(O$1,Fall!$1:$1,FALSE))="","",INDEX(Fall!$1:$1048576,MATCH($A22,Fall!$A:$A,FALSE),MATCH(O$1,Fall!$1:$1,FALSE))),"")</f>
        <v/>
      </c>
      <c r="P22" t="str">
        <f>IFERROR(IF(INDEX(Fall!$1:$1048576,MATCH($A22,Fall!$A:$A,FALSE),MATCH(P$1,Fall!$1:$1,FALSE))="","",INDEX(Fall!$1:$1048576,MATCH($A22,Fall!$A:$A,FALSE),MATCH(P$1,Fall!$1:$1,FALSE))),"")</f>
        <v>1A</v>
      </c>
      <c r="R22" t="str">
        <f>IFERROR(IF(INDEX(Winter!$1:$1048576,MATCH($A22,Winter!$A:$A,FALSE),MATCH(R$1,Winter!$1:$1,FALSE))="","",INDEX(Winter!$1:$1048576,MATCH($A22,Winter!$A:$A,FALSE),MATCH(R$1,Winter!$1:$1,FALSE))),"")</f>
        <v>1A</v>
      </c>
      <c r="S22" t="str">
        <f>IFERROR(IF(INDEX(Winter!$1:$1048576,MATCH($A22,Winter!$A:$A,FALSE),MATCH(S$1,Winter!$1:$1,FALSE))="","",INDEX(Winter!$1:$1048576,MATCH($A22,Winter!$A:$A,FALSE),MATCH(S$1,Winter!$1:$1,FALSE))),"")</f>
        <v>1A</v>
      </c>
      <c r="T22" t="str">
        <f>IFERROR(IF(INDEX(Winter!$1:$1048576,MATCH($A22,Winter!$A:$A,FALSE),MATCH(T$1,Winter!$1:$1,FALSE))="","",INDEX(Winter!$1:$1048576,MATCH($A22,Winter!$A:$A,FALSE),MATCH(T$1,Winter!$1:$1,FALSE))),"")</f>
        <v/>
      </c>
      <c r="U22" t="str">
        <f>IFERROR(IF(INDEX(Winter!$1:$1048576,MATCH($A22,Winter!$A:$A,FALSE),MATCH(U$1,Winter!$1:$1,FALSE))="","",INDEX(Winter!$1:$1048576,MATCH($A22,Winter!$A:$A,FALSE),MATCH(U$1,Winter!$1:$1,FALSE))),"")</f>
        <v/>
      </c>
      <c r="V22" t="str">
        <f>IFERROR(IF(INDEX(Winter!$1:$1048576,MATCH($A22,Winter!$A:$A,FALSE),MATCH(V$1,Winter!$1:$1,FALSE))="","",INDEX(Winter!$1:$1048576,MATCH($A22,Winter!$A:$A,FALSE),MATCH(V$1,Winter!$1:$1,FALSE))),"")</f>
        <v>1A</v>
      </c>
      <c r="W22" t="str">
        <f>IFERROR(IF(INDEX(Winter!$1:$1048576,MATCH($A22,Winter!$A:$A,FALSE),MATCH(W$1,Winter!$1:$1,FALSE))="","",INDEX(Winter!$1:$1048576,MATCH($A22,Winter!$A:$A,FALSE),MATCH(W$1,Winter!$1:$1,FALSE))),"")</f>
        <v/>
      </c>
      <c r="Y22" t="str">
        <f>IFERROR(IF(INDEX(Spring!$1:$1048576,MATCH($A22,Spring!$A:$A,FALSE),MATCH(Y$1,Spring!$1:$1,FALSE))="","",INDEX(Spring!$1:$1048576,MATCH($A22,Spring!$A:$A,FALSE),MATCH(Y$1,Spring!$1:$1,FALSE))),"")</f>
        <v>1A</v>
      </c>
      <c r="Z22" t="str">
        <f>IFERROR(IF(INDEX(Spring!$1:$1048576,MATCH($A22,Spring!$A:$A,FALSE),MATCH(Z$1,Spring!$1:$1,FALSE))="","",INDEX(Spring!$1:$1048576,MATCH($A22,Spring!$A:$A,FALSE),MATCH(Z$1,Spring!$1:$1,FALSE))),"")</f>
        <v>1A</v>
      </c>
      <c r="AA22" t="str">
        <f>IFERROR(IF(INDEX(Spring!$1:$1048576,MATCH($A22,Spring!$A:$A,FALSE),MATCH(AA$1,Spring!$1:$1,FALSE))="","",INDEX(Spring!$1:$1048576,MATCH($A22,Spring!$A:$A,FALSE),MATCH(AA$1,Spring!$1:$1,FALSE))),"")</f>
        <v>1A</v>
      </c>
      <c r="AB22" t="str">
        <f>IFERROR(IF(INDEX(Spring!$1:$1048576,MATCH($A22,Spring!$A:$A,FALSE),MATCH(AB$1,Spring!$1:$1,FALSE))="","",INDEX(Spring!$1:$1048576,MATCH($A22,Spring!$A:$A,FALSE),MATCH(AB$1,Spring!$1:$1,FALSE))),"")</f>
        <v/>
      </c>
      <c r="AC22" t="str">
        <f>IFERROR(IF(INDEX(Spring!$1:$1048576,MATCH($A22,Spring!$A:$A,FALSE),MATCH(AC$1,Spring!$1:$1,FALSE))="","",INDEX(Spring!$1:$1048576,MATCH($A22,Spring!$A:$A,FALSE),MATCH(AC$1,Spring!$1:$1,FALSE))),"")</f>
        <v>1A</v>
      </c>
      <c r="AD22" t="str">
        <f>IFERROR(IF(INDEX(Spring!$1:$1048576,MATCH($A22,Spring!$A:$A,FALSE),MATCH(AD$1,Spring!$1:$1,FALSE))="","",INDEX(Spring!$1:$1048576,MATCH($A22,Spring!$A:$A,FALSE),MATCH(AD$1,Spring!$1:$1,FALSE))),"")</f>
        <v>1A</v>
      </c>
    </row>
    <row r="23" spans="1:30" ht="15.75" thickBot="1" x14ac:dyDescent="0.3">
      <c r="A23" s="48" t="s">
        <v>34</v>
      </c>
      <c r="B23" s="49">
        <v>328</v>
      </c>
      <c r="C23" s="50"/>
      <c r="D23" s="50"/>
      <c r="E23" s="50"/>
      <c r="F23" s="45"/>
      <c r="G23" s="45"/>
      <c r="H23" s="44"/>
      <c r="J23" t="str">
        <f>IFERROR(IF(INDEX(Fall!$1:$1048576,MATCH($A23,Fall!$A:$A,FALSE),MATCH(J$1,Fall!$1:$1,FALSE))="","",INDEX(Fall!$1:$1048576,MATCH($A23,Fall!$A:$A,FALSE),MATCH(J$1,Fall!$1:$1,FALSE))),"")</f>
        <v>1A</v>
      </c>
      <c r="K23" t="str">
        <f>IFERROR(IF(INDEX(Fall!$1:$1048576,MATCH($A23,Fall!$A:$A,FALSE),MATCH(K$1,Fall!$1:$1,FALSE))="","",INDEX(Fall!$1:$1048576,MATCH($A23,Fall!$A:$A,FALSE),MATCH(K$1,Fall!$1:$1,FALSE))),"")</f>
        <v>1A</v>
      </c>
      <c r="L23" t="str">
        <f>IFERROR(IF(INDEX(Fall!$1:$1048576,MATCH($A23,Fall!$A:$A,FALSE),MATCH(L$1,Fall!$1:$1,FALSE))="","",INDEX(Fall!$1:$1048576,MATCH($A23,Fall!$A:$A,FALSE),MATCH(L$1,Fall!$1:$1,FALSE))),"")</f>
        <v>1A</v>
      </c>
      <c r="M23" t="str">
        <f>IFERROR(IF(INDEX(Fall!$1:$1048576,MATCH($A23,Fall!$A:$A,FALSE),MATCH(M$1,Fall!$1:$1,FALSE))="","",INDEX(Fall!$1:$1048576,MATCH($A23,Fall!$A:$A,FALSE),MATCH(M$1,Fall!$1:$1,FALSE))),"")</f>
        <v>1A</v>
      </c>
      <c r="N23" t="str">
        <f>IFERROR(IF(INDEX(Fall!$1:$1048576,MATCH($A23,Fall!$A:$A,FALSE),MATCH(N$1,Fall!$1:$1,FALSE))="","",INDEX(Fall!$1:$1048576,MATCH($A23,Fall!$A:$A,FALSE),MATCH(N$1,Fall!$1:$1,FALSE))),"")</f>
        <v/>
      </c>
      <c r="O23" t="str">
        <f>IFERROR(IF(INDEX(Fall!$1:$1048576,MATCH($A23,Fall!$A:$A,FALSE),MATCH(O$1,Fall!$1:$1,FALSE))="","",INDEX(Fall!$1:$1048576,MATCH($A23,Fall!$A:$A,FALSE),MATCH(O$1,Fall!$1:$1,FALSE))),"")</f>
        <v/>
      </c>
      <c r="P23" t="str">
        <f>IFERROR(IF(INDEX(Fall!$1:$1048576,MATCH($A23,Fall!$A:$A,FALSE),MATCH(P$1,Fall!$1:$1,FALSE))="","",INDEX(Fall!$1:$1048576,MATCH($A23,Fall!$A:$A,FALSE),MATCH(P$1,Fall!$1:$1,FALSE))),"")</f>
        <v>2A</v>
      </c>
      <c r="R23" t="str">
        <f>IFERROR(IF(INDEX(Winter!$1:$1048576,MATCH($A23,Winter!$A:$A,FALSE),MATCH(R$1,Winter!$1:$1,FALSE))="","",INDEX(Winter!$1:$1048576,MATCH($A23,Winter!$A:$A,FALSE),MATCH(R$1,Winter!$1:$1,FALSE))),"")</f>
        <v>2A</v>
      </c>
      <c r="S23" t="str">
        <f>IFERROR(IF(INDEX(Winter!$1:$1048576,MATCH($A23,Winter!$A:$A,FALSE),MATCH(S$1,Winter!$1:$1,FALSE))="","",INDEX(Winter!$1:$1048576,MATCH($A23,Winter!$A:$A,FALSE),MATCH(S$1,Winter!$1:$1,FALSE))),"")</f>
        <v>2A</v>
      </c>
      <c r="T23" t="str">
        <f>IFERROR(IF(INDEX(Winter!$1:$1048576,MATCH($A23,Winter!$A:$A,FALSE),MATCH(T$1,Winter!$1:$1,FALSE))="","",INDEX(Winter!$1:$1048576,MATCH($A23,Winter!$A:$A,FALSE),MATCH(T$1,Winter!$1:$1,FALSE))),"")</f>
        <v/>
      </c>
      <c r="U23" t="str">
        <f>IFERROR(IF(INDEX(Winter!$1:$1048576,MATCH($A23,Winter!$A:$A,FALSE),MATCH(U$1,Winter!$1:$1,FALSE))="","",INDEX(Winter!$1:$1048576,MATCH($A23,Winter!$A:$A,FALSE),MATCH(U$1,Winter!$1:$1,FALSE))),"")</f>
        <v/>
      </c>
      <c r="V23" t="str">
        <f>IFERROR(IF(INDEX(Winter!$1:$1048576,MATCH($A23,Winter!$A:$A,FALSE),MATCH(V$1,Winter!$1:$1,FALSE))="","",INDEX(Winter!$1:$1048576,MATCH($A23,Winter!$A:$A,FALSE),MATCH(V$1,Winter!$1:$1,FALSE))),"")</f>
        <v>1A</v>
      </c>
      <c r="W23" t="str">
        <f>IFERROR(IF(INDEX(Winter!$1:$1048576,MATCH($A23,Winter!$A:$A,FALSE),MATCH(W$1,Winter!$1:$1,FALSE))="","",INDEX(Winter!$1:$1048576,MATCH($A23,Winter!$A:$A,FALSE),MATCH(W$1,Winter!$1:$1,FALSE))),"")</f>
        <v>1A</v>
      </c>
      <c r="Y23" t="str">
        <f>IFERROR(IF(INDEX(Spring!$1:$1048576,MATCH($A23,Spring!$A:$A,FALSE),MATCH(Y$1,Spring!$1:$1,FALSE))="","",INDEX(Spring!$1:$1048576,MATCH($A23,Spring!$A:$A,FALSE),MATCH(Y$1,Spring!$1:$1,FALSE))),"")</f>
        <v>2A</v>
      </c>
      <c r="Z23" t="str">
        <f>IFERROR(IF(INDEX(Spring!$1:$1048576,MATCH($A23,Spring!$A:$A,FALSE),MATCH(Z$1,Spring!$1:$1,FALSE))="","",INDEX(Spring!$1:$1048576,MATCH($A23,Spring!$A:$A,FALSE),MATCH(Z$1,Spring!$1:$1,FALSE))),"")</f>
        <v>2A</v>
      </c>
      <c r="AA23" t="str">
        <f>IFERROR(IF(INDEX(Spring!$1:$1048576,MATCH($A23,Spring!$A:$A,FALSE),MATCH(AA$1,Spring!$1:$1,FALSE))="","",INDEX(Spring!$1:$1048576,MATCH($A23,Spring!$A:$A,FALSE),MATCH(AA$1,Spring!$1:$1,FALSE))),"")</f>
        <v>1A</v>
      </c>
      <c r="AB23" t="str">
        <f>IFERROR(IF(INDEX(Spring!$1:$1048576,MATCH($A23,Spring!$A:$A,FALSE),MATCH(AB$1,Spring!$1:$1,FALSE))="","",INDEX(Spring!$1:$1048576,MATCH($A23,Spring!$A:$A,FALSE),MATCH(AB$1,Spring!$1:$1,FALSE))),"")</f>
        <v/>
      </c>
      <c r="AC23" t="str">
        <f>IFERROR(IF(INDEX(Spring!$1:$1048576,MATCH($A23,Spring!$A:$A,FALSE),MATCH(AC$1,Spring!$1:$1,FALSE))="","",INDEX(Spring!$1:$1048576,MATCH($A23,Spring!$A:$A,FALSE),MATCH(AC$1,Spring!$1:$1,FALSE))),"")</f>
        <v>1A</v>
      </c>
      <c r="AD23" t="str">
        <f>IFERROR(IF(INDEX(Spring!$1:$1048576,MATCH($A23,Spring!$A:$A,FALSE),MATCH(AD$1,Spring!$1:$1,FALSE))="","",INDEX(Spring!$1:$1048576,MATCH($A23,Spring!$A:$A,FALSE),MATCH(AD$1,Spring!$1:$1,FALSE))),"")</f>
        <v>1A</v>
      </c>
    </row>
    <row r="24" spans="1:30" ht="15.75" thickBot="1" x14ac:dyDescent="0.3">
      <c r="A24" s="48" t="s">
        <v>35</v>
      </c>
      <c r="B24" s="49">
        <v>112</v>
      </c>
      <c r="C24" s="50"/>
      <c r="D24" s="50"/>
      <c r="E24" s="50"/>
      <c r="F24" s="45"/>
      <c r="G24" s="45"/>
      <c r="H24" s="44"/>
      <c r="J24" t="str">
        <f>IFERROR(IF(INDEX(Fall!$1:$1048576,MATCH($A24,Fall!$A:$A,FALSE),MATCH(J$1,Fall!$1:$1,FALSE))="","",INDEX(Fall!$1:$1048576,MATCH($A24,Fall!$A:$A,FALSE),MATCH(J$1,Fall!$1:$1,FALSE))),"")</f>
        <v/>
      </c>
      <c r="K24" t="str">
        <f>IFERROR(IF(INDEX(Fall!$1:$1048576,MATCH($A24,Fall!$A:$A,FALSE),MATCH(K$1,Fall!$1:$1,FALSE))="","",INDEX(Fall!$1:$1048576,MATCH($A24,Fall!$A:$A,FALSE),MATCH(K$1,Fall!$1:$1,FALSE))),"")</f>
        <v/>
      </c>
      <c r="L24" t="str">
        <f>IFERROR(IF(INDEX(Fall!$1:$1048576,MATCH($A24,Fall!$A:$A,FALSE),MATCH(L$1,Fall!$1:$1,FALSE))="","",INDEX(Fall!$1:$1048576,MATCH($A24,Fall!$A:$A,FALSE),MATCH(L$1,Fall!$1:$1,FALSE))),"")</f>
        <v>1A</v>
      </c>
      <c r="M24" t="str">
        <f>IFERROR(IF(INDEX(Fall!$1:$1048576,MATCH($A24,Fall!$A:$A,FALSE),MATCH(M$1,Fall!$1:$1,FALSE))="","",INDEX(Fall!$1:$1048576,MATCH($A24,Fall!$A:$A,FALSE),MATCH(M$1,Fall!$1:$1,FALSE))),"")</f>
        <v/>
      </c>
      <c r="N24" t="str">
        <f>IFERROR(IF(INDEX(Fall!$1:$1048576,MATCH($A24,Fall!$A:$A,FALSE),MATCH(N$1,Fall!$1:$1,FALSE))="","",INDEX(Fall!$1:$1048576,MATCH($A24,Fall!$A:$A,FALSE),MATCH(N$1,Fall!$1:$1,FALSE))),"")</f>
        <v/>
      </c>
      <c r="O24" t="str">
        <f>IFERROR(IF(INDEX(Fall!$1:$1048576,MATCH($A24,Fall!$A:$A,FALSE),MATCH(O$1,Fall!$1:$1,FALSE))="","",INDEX(Fall!$1:$1048576,MATCH($A24,Fall!$A:$A,FALSE),MATCH(O$1,Fall!$1:$1,FALSE))),"")</f>
        <v/>
      </c>
      <c r="P24" t="str">
        <f>IFERROR(IF(INDEX(Fall!$1:$1048576,MATCH($A24,Fall!$A:$A,FALSE),MATCH(P$1,Fall!$1:$1,FALSE))="","",INDEX(Fall!$1:$1048576,MATCH($A24,Fall!$A:$A,FALSE),MATCH(P$1,Fall!$1:$1,FALSE))),"")</f>
        <v>1A</v>
      </c>
      <c r="R24" t="str">
        <f>IFERROR(IF(INDEX(Winter!$1:$1048576,MATCH($A24,Winter!$A:$A,FALSE),MATCH(R$1,Winter!$1:$1,FALSE))="","",INDEX(Winter!$1:$1048576,MATCH($A24,Winter!$A:$A,FALSE),MATCH(R$1,Winter!$1:$1,FALSE))),"")</f>
        <v>1A</v>
      </c>
      <c r="S24" t="str">
        <f>IFERROR(IF(INDEX(Winter!$1:$1048576,MATCH($A24,Winter!$A:$A,FALSE),MATCH(S$1,Winter!$1:$1,FALSE))="","",INDEX(Winter!$1:$1048576,MATCH($A24,Winter!$A:$A,FALSE),MATCH(S$1,Winter!$1:$1,FALSE))),"")</f>
        <v/>
      </c>
      <c r="T24" t="str">
        <f>IFERROR(IF(INDEX(Winter!$1:$1048576,MATCH($A24,Winter!$A:$A,FALSE),MATCH(T$1,Winter!$1:$1,FALSE))="","",INDEX(Winter!$1:$1048576,MATCH($A24,Winter!$A:$A,FALSE),MATCH(T$1,Winter!$1:$1,FALSE))),"")</f>
        <v/>
      </c>
      <c r="U24" t="str">
        <f>IFERROR(IF(INDEX(Winter!$1:$1048576,MATCH($A24,Winter!$A:$A,FALSE),MATCH(U$1,Winter!$1:$1,FALSE))="","",INDEX(Winter!$1:$1048576,MATCH($A24,Winter!$A:$A,FALSE),MATCH(U$1,Winter!$1:$1,FALSE))),"")</f>
        <v/>
      </c>
      <c r="V24" t="str">
        <f>IFERROR(IF(INDEX(Winter!$1:$1048576,MATCH($A24,Winter!$A:$A,FALSE),MATCH(V$1,Winter!$1:$1,FALSE))="","",INDEX(Winter!$1:$1048576,MATCH($A24,Winter!$A:$A,FALSE),MATCH(V$1,Winter!$1:$1,FALSE))),"")</f>
        <v>1A</v>
      </c>
      <c r="W24" t="str">
        <f>IFERROR(IF(INDEX(Winter!$1:$1048576,MATCH($A24,Winter!$A:$A,FALSE),MATCH(W$1,Winter!$1:$1,FALSE))="","",INDEX(Winter!$1:$1048576,MATCH($A24,Winter!$A:$A,FALSE),MATCH(W$1,Winter!$1:$1,FALSE))),"")</f>
        <v/>
      </c>
      <c r="Y24" t="str">
        <f>IFERROR(IF(INDEX(Spring!$1:$1048576,MATCH($A24,Spring!$A:$A,FALSE),MATCH(Y$1,Spring!$1:$1,FALSE))="","",INDEX(Spring!$1:$1048576,MATCH($A24,Spring!$A:$A,FALSE),MATCH(Y$1,Spring!$1:$1,FALSE))),"")</f>
        <v>1A</v>
      </c>
      <c r="Z24" t="str">
        <f>IFERROR(IF(INDEX(Spring!$1:$1048576,MATCH($A24,Spring!$A:$A,FALSE),MATCH(Z$1,Spring!$1:$1,FALSE))="","",INDEX(Spring!$1:$1048576,MATCH($A24,Spring!$A:$A,FALSE),MATCH(Z$1,Spring!$1:$1,FALSE))),"")</f>
        <v>1A</v>
      </c>
      <c r="AA24" t="str">
        <f>IFERROR(IF(INDEX(Spring!$1:$1048576,MATCH($A24,Spring!$A:$A,FALSE),MATCH(AA$1,Spring!$1:$1,FALSE))="","",INDEX(Spring!$1:$1048576,MATCH($A24,Spring!$A:$A,FALSE),MATCH(AA$1,Spring!$1:$1,FALSE))),"")</f>
        <v/>
      </c>
      <c r="AB24" t="str">
        <f>IFERROR(IF(INDEX(Spring!$1:$1048576,MATCH($A24,Spring!$A:$A,FALSE),MATCH(AB$1,Spring!$1:$1,FALSE))="","",INDEX(Spring!$1:$1048576,MATCH($A24,Spring!$A:$A,FALSE),MATCH(AB$1,Spring!$1:$1,FALSE))),"")</f>
        <v/>
      </c>
      <c r="AC24" t="str">
        <f>IFERROR(IF(INDEX(Spring!$1:$1048576,MATCH($A24,Spring!$A:$A,FALSE),MATCH(AC$1,Spring!$1:$1,FALSE))="","",INDEX(Spring!$1:$1048576,MATCH($A24,Spring!$A:$A,FALSE),MATCH(AC$1,Spring!$1:$1,FALSE))),"")</f>
        <v/>
      </c>
      <c r="AD24" t="str">
        <f>IFERROR(IF(INDEX(Spring!$1:$1048576,MATCH($A24,Spring!$A:$A,FALSE),MATCH(AD$1,Spring!$1:$1,FALSE))="","",INDEX(Spring!$1:$1048576,MATCH($A24,Spring!$A:$A,FALSE),MATCH(AD$1,Spring!$1:$1,FALSE))),"")</f>
        <v/>
      </c>
    </row>
    <row r="25" spans="1:30" ht="23.25" thickBot="1" x14ac:dyDescent="0.3">
      <c r="A25" s="48" t="s">
        <v>36</v>
      </c>
      <c r="B25" s="49" t="s">
        <v>37</v>
      </c>
      <c r="C25" s="49" t="s">
        <v>997</v>
      </c>
      <c r="D25" s="49">
        <v>2</v>
      </c>
      <c r="E25" s="49">
        <v>5</v>
      </c>
      <c r="F25" s="45"/>
      <c r="G25" s="45"/>
      <c r="H25" s="44"/>
      <c r="J25" t="str">
        <f>IFERROR(IF(INDEX(Fall!$1:$1048576,MATCH($A25,Fall!$A:$A,FALSE),MATCH(J$1,Fall!$1:$1,FALSE))="","",INDEX(Fall!$1:$1048576,MATCH($A25,Fall!$A:$A,FALSE),MATCH(J$1,Fall!$1:$1,FALSE))),"")</f>
        <v>1A</v>
      </c>
      <c r="K25" t="str">
        <f>IFERROR(IF(INDEX(Fall!$1:$1048576,MATCH($A25,Fall!$A:$A,FALSE),MATCH(K$1,Fall!$1:$1,FALSE))="","",INDEX(Fall!$1:$1048576,MATCH($A25,Fall!$A:$A,FALSE),MATCH(K$1,Fall!$1:$1,FALSE))),"")</f>
        <v>1A</v>
      </c>
      <c r="L25" t="str">
        <f>IFERROR(IF(INDEX(Fall!$1:$1048576,MATCH($A25,Fall!$A:$A,FALSE),MATCH(L$1,Fall!$1:$1,FALSE))="","",INDEX(Fall!$1:$1048576,MATCH($A25,Fall!$A:$A,FALSE),MATCH(L$1,Fall!$1:$1,FALSE))),"")</f>
        <v>1A</v>
      </c>
      <c r="M25" t="str">
        <f>IFERROR(IF(INDEX(Fall!$1:$1048576,MATCH($A25,Fall!$A:$A,FALSE),MATCH(M$1,Fall!$1:$1,FALSE))="","",INDEX(Fall!$1:$1048576,MATCH($A25,Fall!$A:$A,FALSE),MATCH(M$1,Fall!$1:$1,FALSE))),"")</f>
        <v/>
      </c>
      <c r="N25" t="str">
        <f>IFERROR(IF(INDEX(Fall!$1:$1048576,MATCH($A25,Fall!$A:$A,FALSE),MATCH(N$1,Fall!$1:$1,FALSE))="","",INDEX(Fall!$1:$1048576,MATCH($A25,Fall!$A:$A,FALSE),MATCH(N$1,Fall!$1:$1,FALSE))),"")</f>
        <v/>
      </c>
      <c r="O25" t="str">
        <f>IFERROR(IF(INDEX(Fall!$1:$1048576,MATCH($A25,Fall!$A:$A,FALSE),MATCH(O$1,Fall!$1:$1,FALSE))="","",INDEX(Fall!$1:$1048576,MATCH($A25,Fall!$A:$A,FALSE),MATCH(O$1,Fall!$1:$1,FALSE))),"")</f>
        <v/>
      </c>
      <c r="P25" t="str">
        <f>IFERROR(IF(INDEX(Fall!$1:$1048576,MATCH($A25,Fall!$A:$A,FALSE),MATCH(P$1,Fall!$1:$1,FALSE))="","",INDEX(Fall!$1:$1048576,MATCH($A25,Fall!$A:$A,FALSE),MATCH(P$1,Fall!$1:$1,FALSE))),"")</f>
        <v>1A</v>
      </c>
      <c r="R25" t="str">
        <f>IFERROR(IF(INDEX(Winter!$1:$1048576,MATCH($A25,Winter!$A:$A,FALSE),MATCH(R$1,Winter!$1:$1,FALSE))="","",INDEX(Winter!$1:$1048576,MATCH($A25,Winter!$A:$A,FALSE),MATCH(R$1,Winter!$1:$1,FALSE))),"")</f>
        <v>2A</v>
      </c>
      <c r="S25" t="str">
        <f>IFERROR(IF(INDEX(Winter!$1:$1048576,MATCH($A25,Winter!$A:$A,FALSE),MATCH(S$1,Winter!$1:$1,FALSE))="","",INDEX(Winter!$1:$1048576,MATCH($A25,Winter!$A:$A,FALSE),MATCH(S$1,Winter!$1:$1,FALSE))),"")</f>
        <v>1A</v>
      </c>
      <c r="T25" t="str">
        <f>IFERROR(IF(INDEX(Winter!$1:$1048576,MATCH($A25,Winter!$A:$A,FALSE),MATCH(T$1,Winter!$1:$1,FALSE))="","",INDEX(Winter!$1:$1048576,MATCH($A25,Winter!$A:$A,FALSE),MATCH(T$1,Winter!$1:$1,FALSE))),"")</f>
        <v/>
      </c>
      <c r="U25" t="str">
        <f>IFERROR(IF(INDEX(Winter!$1:$1048576,MATCH($A25,Winter!$A:$A,FALSE),MATCH(U$1,Winter!$1:$1,FALSE))="","",INDEX(Winter!$1:$1048576,MATCH($A25,Winter!$A:$A,FALSE),MATCH(U$1,Winter!$1:$1,FALSE))),"")</f>
        <v/>
      </c>
      <c r="V25" t="str">
        <f>IFERROR(IF(INDEX(Winter!$1:$1048576,MATCH($A25,Winter!$A:$A,FALSE),MATCH(V$1,Winter!$1:$1,FALSE))="","",INDEX(Winter!$1:$1048576,MATCH($A25,Winter!$A:$A,FALSE),MATCH(V$1,Winter!$1:$1,FALSE))),"")</f>
        <v/>
      </c>
      <c r="W25" t="str">
        <f>IFERROR(IF(INDEX(Winter!$1:$1048576,MATCH($A25,Winter!$A:$A,FALSE),MATCH(W$1,Winter!$1:$1,FALSE))="","",INDEX(Winter!$1:$1048576,MATCH($A25,Winter!$A:$A,FALSE),MATCH(W$1,Winter!$1:$1,FALSE))),"")</f>
        <v/>
      </c>
      <c r="Y25" t="str">
        <f>IFERROR(IF(INDEX(Spring!$1:$1048576,MATCH($A25,Spring!$A:$A,FALSE),MATCH(Y$1,Spring!$1:$1,FALSE))="","",INDEX(Spring!$1:$1048576,MATCH($A25,Spring!$A:$A,FALSE),MATCH(Y$1,Spring!$1:$1,FALSE))),"")</f>
        <v>2A</v>
      </c>
      <c r="Z25" t="str">
        <f>IFERROR(IF(INDEX(Spring!$1:$1048576,MATCH($A25,Spring!$A:$A,FALSE),MATCH(Z$1,Spring!$1:$1,FALSE))="","",INDEX(Spring!$1:$1048576,MATCH($A25,Spring!$A:$A,FALSE),MATCH(Z$1,Spring!$1:$1,FALSE))),"")</f>
        <v>1A</v>
      </c>
      <c r="AA25" t="str">
        <f>IFERROR(IF(INDEX(Spring!$1:$1048576,MATCH($A25,Spring!$A:$A,FALSE),MATCH(AA$1,Spring!$1:$1,FALSE))="","",INDEX(Spring!$1:$1048576,MATCH($A25,Spring!$A:$A,FALSE),MATCH(AA$1,Spring!$1:$1,FALSE))),"")</f>
        <v/>
      </c>
      <c r="AB25" t="str">
        <f>IFERROR(IF(INDEX(Spring!$1:$1048576,MATCH($A25,Spring!$A:$A,FALSE),MATCH(AB$1,Spring!$1:$1,FALSE))="","",INDEX(Spring!$1:$1048576,MATCH($A25,Spring!$A:$A,FALSE),MATCH(AB$1,Spring!$1:$1,FALSE))),"")</f>
        <v/>
      </c>
      <c r="AC25" t="str">
        <f>IFERROR(IF(INDEX(Spring!$1:$1048576,MATCH($A25,Spring!$A:$A,FALSE),MATCH(AC$1,Spring!$1:$1,FALSE))="","",INDEX(Spring!$1:$1048576,MATCH($A25,Spring!$A:$A,FALSE),MATCH(AC$1,Spring!$1:$1,FALSE))),"")</f>
        <v>1A</v>
      </c>
      <c r="AD25" t="str">
        <f>IFERROR(IF(INDEX(Spring!$1:$1048576,MATCH($A25,Spring!$A:$A,FALSE),MATCH(AD$1,Spring!$1:$1,FALSE))="","",INDEX(Spring!$1:$1048576,MATCH($A25,Spring!$A:$A,FALSE),MATCH(AD$1,Spring!$1:$1,FALSE))),"")</f>
        <v>1A</v>
      </c>
    </row>
    <row r="26" spans="1:30" ht="23.25" thickBot="1" x14ac:dyDescent="0.3">
      <c r="A26" s="48" t="s">
        <v>38</v>
      </c>
      <c r="B26" s="49" t="s">
        <v>39</v>
      </c>
      <c r="C26" s="49" t="s">
        <v>997</v>
      </c>
      <c r="D26" s="49">
        <v>2</v>
      </c>
      <c r="E26" s="49">
        <v>5</v>
      </c>
      <c r="F26" s="45"/>
      <c r="G26" s="45"/>
      <c r="H26" s="44"/>
      <c r="J26" t="str">
        <f>IFERROR(IF(INDEX(Fall!$1:$1048576,MATCH($A26,Fall!$A:$A,FALSE),MATCH(J$1,Fall!$1:$1,FALSE))="","",INDEX(Fall!$1:$1048576,MATCH($A26,Fall!$A:$A,FALSE),MATCH(J$1,Fall!$1:$1,FALSE))),"")</f>
        <v>2A</v>
      </c>
      <c r="K26" t="str">
        <f>IFERROR(IF(INDEX(Fall!$1:$1048576,MATCH($A26,Fall!$A:$A,FALSE),MATCH(K$1,Fall!$1:$1,FALSE))="","",INDEX(Fall!$1:$1048576,MATCH($A26,Fall!$A:$A,FALSE),MATCH(K$1,Fall!$1:$1,FALSE))),"")</f>
        <v>2A</v>
      </c>
      <c r="L26" t="str">
        <f>IFERROR(IF(INDEX(Fall!$1:$1048576,MATCH($A26,Fall!$A:$A,FALSE),MATCH(L$1,Fall!$1:$1,FALSE))="","",INDEX(Fall!$1:$1048576,MATCH($A26,Fall!$A:$A,FALSE),MATCH(L$1,Fall!$1:$1,FALSE))),"")</f>
        <v>2A</v>
      </c>
      <c r="M26" t="str">
        <f>IFERROR(IF(INDEX(Fall!$1:$1048576,MATCH($A26,Fall!$A:$A,FALSE),MATCH(M$1,Fall!$1:$1,FALSE))="","",INDEX(Fall!$1:$1048576,MATCH($A26,Fall!$A:$A,FALSE),MATCH(M$1,Fall!$1:$1,FALSE))),"")</f>
        <v>1A</v>
      </c>
      <c r="N26" t="str">
        <f>IFERROR(IF(INDEX(Fall!$1:$1048576,MATCH($A26,Fall!$A:$A,FALSE),MATCH(N$1,Fall!$1:$1,FALSE))="","",INDEX(Fall!$1:$1048576,MATCH($A26,Fall!$A:$A,FALSE),MATCH(N$1,Fall!$1:$1,FALSE))),"")</f>
        <v>2A</v>
      </c>
      <c r="O26" t="str">
        <f>IFERROR(IF(INDEX(Fall!$1:$1048576,MATCH($A26,Fall!$A:$A,FALSE),MATCH(O$1,Fall!$1:$1,FALSE))="","",INDEX(Fall!$1:$1048576,MATCH($A26,Fall!$A:$A,FALSE),MATCH(O$1,Fall!$1:$1,FALSE))),"")</f>
        <v>1A</v>
      </c>
      <c r="P26" t="str">
        <f>IFERROR(IF(INDEX(Fall!$1:$1048576,MATCH($A26,Fall!$A:$A,FALSE),MATCH(P$1,Fall!$1:$1,FALSE))="","",INDEX(Fall!$1:$1048576,MATCH($A26,Fall!$A:$A,FALSE),MATCH(P$1,Fall!$1:$1,FALSE))),"")</f>
        <v>2A</v>
      </c>
      <c r="R26" t="str">
        <f>IFERROR(IF(INDEX(Winter!$1:$1048576,MATCH($A26,Winter!$A:$A,FALSE),MATCH(R$1,Winter!$1:$1,FALSE))="","",INDEX(Winter!$1:$1048576,MATCH($A26,Winter!$A:$A,FALSE),MATCH(R$1,Winter!$1:$1,FALSE))),"")</f>
        <v>2A</v>
      </c>
      <c r="S26" t="str">
        <f>IFERROR(IF(INDEX(Winter!$1:$1048576,MATCH($A26,Winter!$A:$A,FALSE),MATCH(S$1,Winter!$1:$1,FALSE))="","",INDEX(Winter!$1:$1048576,MATCH($A26,Winter!$A:$A,FALSE),MATCH(S$1,Winter!$1:$1,FALSE))),"")</f>
        <v>3A</v>
      </c>
      <c r="T26" t="str">
        <f>IFERROR(IF(INDEX(Winter!$1:$1048576,MATCH($A26,Winter!$A:$A,FALSE),MATCH(T$1,Winter!$1:$1,FALSE))="","",INDEX(Winter!$1:$1048576,MATCH($A26,Winter!$A:$A,FALSE),MATCH(T$1,Winter!$1:$1,FALSE))),"")</f>
        <v/>
      </c>
      <c r="U26" t="str">
        <f>IFERROR(IF(INDEX(Winter!$1:$1048576,MATCH($A26,Winter!$A:$A,FALSE),MATCH(U$1,Winter!$1:$1,FALSE))="","",INDEX(Winter!$1:$1048576,MATCH($A26,Winter!$A:$A,FALSE),MATCH(U$1,Winter!$1:$1,FALSE))),"")</f>
        <v>1A</v>
      </c>
      <c r="V26" t="str">
        <f>IFERROR(IF(INDEX(Winter!$1:$1048576,MATCH($A26,Winter!$A:$A,FALSE),MATCH(V$1,Winter!$1:$1,FALSE))="","",INDEX(Winter!$1:$1048576,MATCH($A26,Winter!$A:$A,FALSE),MATCH(V$1,Winter!$1:$1,FALSE))),"")</f>
        <v/>
      </c>
      <c r="W26" t="str">
        <f>IFERROR(IF(INDEX(Winter!$1:$1048576,MATCH($A26,Winter!$A:$A,FALSE),MATCH(W$1,Winter!$1:$1,FALSE))="","",INDEX(Winter!$1:$1048576,MATCH($A26,Winter!$A:$A,FALSE),MATCH(W$1,Winter!$1:$1,FALSE))),"")</f>
        <v>1A</v>
      </c>
      <c r="Y26" t="str">
        <f>IFERROR(IF(INDEX(Spring!$1:$1048576,MATCH($A26,Spring!$A:$A,FALSE),MATCH(Y$1,Spring!$1:$1,FALSE))="","",INDEX(Spring!$1:$1048576,MATCH($A26,Spring!$A:$A,FALSE),MATCH(Y$1,Spring!$1:$1,FALSE))),"")</f>
        <v>2A</v>
      </c>
      <c r="Z26" t="str">
        <f>IFERROR(IF(INDEX(Spring!$1:$1048576,MATCH($A26,Spring!$A:$A,FALSE),MATCH(Z$1,Spring!$1:$1,FALSE))="","",INDEX(Spring!$1:$1048576,MATCH($A26,Spring!$A:$A,FALSE),MATCH(Z$1,Spring!$1:$1,FALSE))),"")</f>
        <v>2A</v>
      </c>
      <c r="AA26" t="str">
        <f>IFERROR(IF(INDEX(Spring!$1:$1048576,MATCH($A26,Spring!$A:$A,FALSE),MATCH(AA$1,Spring!$1:$1,FALSE))="","",INDEX(Spring!$1:$1048576,MATCH($A26,Spring!$A:$A,FALSE),MATCH(AA$1,Spring!$1:$1,FALSE))),"")</f>
        <v>1A</v>
      </c>
      <c r="AB26" t="str">
        <f>IFERROR(IF(INDEX(Spring!$1:$1048576,MATCH($A26,Spring!$A:$A,FALSE),MATCH(AB$1,Spring!$1:$1,FALSE))="","",INDEX(Spring!$1:$1048576,MATCH($A26,Spring!$A:$A,FALSE),MATCH(AB$1,Spring!$1:$1,FALSE))),"")</f>
        <v>1A</v>
      </c>
      <c r="AC26" t="str">
        <f>IFERROR(IF(INDEX(Spring!$1:$1048576,MATCH($A26,Spring!$A:$A,FALSE),MATCH(AC$1,Spring!$1:$1,FALSE))="","",INDEX(Spring!$1:$1048576,MATCH($A26,Spring!$A:$A,FALSE),MATCH(AC$1,Spring!$1:$1,FALSE))),"")</f>
        <v>2A</v>
      </c>
      <c r="AD26" t="str">
        <f>IFERROR(IF(INDEX(Spring!$1:$1048576,MATCH($A26,Spring!$A:$A,FALSE),MATCH(AD$1,Spring!$1:$1,FALSE))="","",INDEX(Spring!$1:$1048576,MATCH($A26,Spring!$A:$A,FALSE),MATCH(AD$1,Spring!$1:$1,FALSE))),"")</f>
        <v>2A</v>
      </c>
    </row>
    <row r="27" spans="1:30" ht="15.75" thickBot="1" x14ac:dyDescent="0.3">
      <c r="A27" s="48" t="s">
        <v>40</v>
      </c>
      <c r="B27" s="49">
        <v>3800</v>
      </c>
      <c r="C27" s="50"/>
      <c r="D27" s="50"/>
      <c r="E27" s="50"/>
      <c r="F27" s="45"/>
      <c r="G27" s="45"/>
      <c r="H27" s="44"/>
      <c r="J27" t="str">
        <f>IFERROR(IF(INDEX(Fall!$1:$1048576,MATCH($A27,Fall!$A:$A,FALSE),MATCH(J$1,Fall!$1:$1,FALSE))="","",INDEX(Fall!$1:$1048576,MATCH($A27,Fall!$A:$A,FALSE),MATCH(J$1,Fall!$1:$1,FALSE))),"")</f>
        <v>3A</v>
      </c>
      <c r="K27" t="str">
        <f>IFERROR(IF(INDEX(Fall!$1:$1048576,MATCH($A27,Fall!$A:$A,FALSE),MATCH(K$1,Fall!$1:$1,FALSE))="","",INDEX(Fall!$1:$1048576,MATCH($A27,Fall!$A:$A,FALSE),MATCH(K$1,Fall!$1:$1,FALSE))),"")</f>
        <v>3A</v>
      </c>
      <c r="L27" t="str">
        <f>IFERROR(IF(INDEX(Fall!$1:$1048576,MATCH($A27,Fall!$A:$A,FALSE),MATCH(L$1,Fall!$1:$1,FALSE))="","",INDEX(Fall!$1:$1048576,MATCH($A27,Fall!$A:$A,FALSE),MATCH(L$1,Fall!$1:$1,FALSE))),"")</f>
        <v>3A</v>
      </c>
      <c r="M27" t="str">
        <f>IFERROR(IF(INDEX(Fall!$1:$1048576,MATCH($A27,Fall!$A:$A,FALSE),MATCH(M$1,Fall!$1:$1,FALSE))="","",INDEX(Fall!$1:$1048576,MATCH($A27,Fall!$A:$A,FALSE),MATCH(M$1,Fall!$1:$1,FALSE))),"")</f>
        <v/>
      </c>
      <c r="N27" t="str">
        <f>IFERROR(IF(INDEX(Fall!$1:$1048576,MATCH($A27,Fall!$A:$A,FALSE),MATCH(N$1,Fall!$1:$1,FALSE))="","",INDEX(Fall!$1:$1048576,MATCH($A27,Fall!$A:$A,FALSE),MATCH(N$1,Fall!$1:$1,FALSE))),"")</f>
        <v>3A</v>
      </c>
      <c r="O27" t="str">
        <f>IFERROR(IF(INDEX(Fall!$1:$1048576,MATCH($A27,Fall!$A:$A,FALSE),MATCH(O$1,Fall!$1:$1,FALSE))="","",INDEX(Fall!$1:$1048576,MATCH($A27,Fall!$A:$A,FALSE),MATCH(O$1,Fall!$1:$1,FALSE))),"")</f>
        <v>2A</v>
      </c>
      <c r="P27" t="str">
        <f>IFERROR(IF(INDEX(Fall!$1:$1048576,MATCH($A27,Fall!$A:$A,FALSE),MATCH(P$1,Fall!$1:$1,FALSE))="","",INDEX(Fall!$1:$1048576,MATCH($A27,Fall!$A:$A,FALSE),MATCH(P$1,Fall!$1:$1,FALSE))),"")</f>
        <v>4A</v>
      </c>
      <c r="R27" t="str">
        <f>IFERROR(IF(INDEX(Winter!$1:$1048576,MATCH($A27,Winter!$A:$A,FALSE),MATCH(R$1,Winter!$1:$1,FALSE))="","",INDEX(Winter!$1:$1048576,MATCH($A27,Winter!$A:$A,FALSE),MATCH(R$1,Winter!$1:$1,FALSE))),"")</f>
        <v>4A</v>
      </c>
      <c r="S27" t="str">
        <f>IFERROR(IF(INDEX(Winter!$1:$1048576,MATCH($A27,Winter!$A:$A,FALSE),MATCH(S$1,Winter!$1:$1,FALSE))="","",INDEX(Winter!$1:$1048576,MATCH($A27,Winter!$A:$A,FALSE),MATCH(S$1,Winter!$1:$1,FALSE))),"")</f>
        <v>4A</v>
      </c>
      <c r="T27" t="str">
        <f>IFERROR(IF(INDEX(Winter!$1:$1048576,MATCH($A27,Winter!$A:$A,FALSE),MATCH(T$1,Winter!$1:$1,FALSE))="","",INDEX(Winter!$1:$1048576,MATCH($A27,Winter!$A:$A,FALSE),MATCH(T$1,Winter!$1:$1,FALSE))),"")</f>
        <v>C</v>
      </c>
      <c r="U27" t="str">
        <f>IFERROR(IF(INDEX(Winter!$1:$1048576,MATCH($A27,Winter!$A:$A,FALSE),MATCH(U$1,Winter!$1:$1,FALSE))="","",INDEX(Winter!$1:$1048576,MATCH($A27,Winter!$A:$A,FALSE),MATCH(U$1,Winter!$1:$1,FALSE))),"")</f>
        <v>3A</v>
      </c>
      <c r="V27" t="str">
        <f>IFERROR(IF(INDEX(Winter!$1:$1048576,MATCH($A27,Winter!$A:$A,FALSE),MATCH(V$1,Winter!$1:$1,FALSE))="","",INDEX(Winter!$1:$1048576,MATCH($A27,Winter!$A:$A,FALSE),MATCH(V$1,Winter!$1:$1,FALSE))),"")</f>
        <v>2A</v>
      </c>
      <c r="W27" t="str">
        <f>IFERROR(IF(INDEX(Winter!$1:$1048576,MATCH($A27,Winter!$A:$A,FALSE),MATCH(W$1,Winter!$1:$1,FALSE))="","",INDEX(Winter!$1:$1048576,MATCH($A27,Winter!$A:$A,FALSE),MATCH(W$1,Winter!$1:$1,FALSE))),"")</f>
        <v>3A</v>
      </c>
      <c r="Y27" t="str">
        <f>IFERROR(IF(INDEX(Spring!$1:$1048576,MATCH($A27,Spring!$A:$A,FALSE),MATCH(Y$1,Spring!$1:$1,FALSE))="","",INDEX(Spring!$1:$1048576,MATCH($A27,Spring!$A:$A,FALSE),MATCH(Y$1,Spring!$1:$1,FALSE))),"")</f>
        <v>4A</v>
      </c>
      <c r="Z27" t="str">
        <f>IFERROR(IF(INDEX(Spring!$1:$1048576,MATCH($A27,Spring!$A:$A,FALSE),MATCH(Z$1,Spring!$1:$1,FALSE))="","",INDEX(Spring!$1:$1048576,MATCH($A27,Spring!$A:$A,FALSE),MATCH(Z$1,Spring!$1:$1,FALSE))),"")</f>
        <v>4A</v>
      </c>
      <c r="AA27" t="str">
        <f>IFERROR(IF(INDEX(Spring!$1:$1048576,MATCH($A27,Spring!$A:$A,FALSE),MATCH(AA$1,Spring!$1:$1,FALSE))="","",INDEX(Spring!$1:$1048576,MATCH($A27,Spring!$A:$A,FALSE),MATCH(AA$1,Spring!$1:$1,FALSE))),"")</f>
        <v>3A</v>
      </c>
      <c r="AB27" t="str">
        <f>IFERROR(IF(INDEX(Spring!$1:$1048576,MATCH($A27,Spring!$A:$A,FALSE),MATCH(AB$1,Spring!$1:$1,FALSE))="","",INDEX(Spring!$1:$1048576,MATCH($A27,Spring!$A:$A,FALSE),MATCH(AB$1,Spring!$1:$1,FALSE))),"")</f>
        <v>2A</v>
      </c>
      <c r="AC27" t="str">
        <f>IFERROR(IF(INDEX(Spring!$1:$1048576,MATCH($A27,Spring!$A:$A,FALSE),MATCH(AC$1,Spring!$1:$1,FALSE))="","",INDEX(Spring!$1:$1048576,MATCH($A27,Spring!$A:$A,FALSE),MATCH(AC$1,Spring!$1:$1,FALSE))),"")</f>
        <v>3A</v>
      </c>
      <c r="AD27" t="str">
        <f>IFERROR(IF(INDEX(Spring!$1:$1048576,MATCH($A27,Spring!$A:$A,FALSE),MATCH(AD$1,Spring!$1:$1,FALSE))="","",INDEX(Spring!$1:$1048576,MATCH($A27,Spring!$A:$A,FALSE),MATCH(AD$1,Spring!$1:$1,FALSE))),"")</f>
        <v>3A</v>
      </c>
    </row>
    <row r="28" spans="1:30" ht="23.25" thickBot="1" x14ac:dyDescent="0.3">
      <c r="A28" s="48" t="s">
        <v>41</v>
      </c>
      <c r="B28" s="49" t="s">
        <v>999</v>
      </c>
      <c r="C28" s="49" t="s">
        <v>1000</v>
      </c>
      <c r="D28" s="50"/>
      <c r="E28" s="50"/>
      <c r="F28" s="45"/>
      <c r="G28" s="45"/>
      <c r="H28" s="44"/>
      <c r="J28" t="str">
        <f>IFERROR(IF(INDEX(Fall!$1:$1048576,MATCH($A28,Fall!$A:$A,FALSE),MATCH(J$1,Fall!$1:$1,FALSE))="","",INDEX(Fall!$1:$1048576,MATCH($A28,Fall!$A:$A,FALSE),MATCH(J$1,Fall!$1:$1,FALSE))),"")</f>
        <v>2A</v>
      </c>
      <c r="K28" t="str">
        <f>IFERROR(IF(INDEX(Fall!$1:$1048576,MATCH($A28,Fall!$A:$A,FALSE),MATCH(K$1,Fall!$1:$1,FALSE))="","",INDEX(Fall!$1:$1048576,MATCH($A28,Fall!$A:$A,FALSE),MATCH(K$1,Fall!$1:$1,FALSE))),"")</f>
        <v>2A</v>
      </c>
      <c r="L28" t="str">
        <f>IFERROR(IF(INDEX(Fall!$1:$1048576,MATCH($A28,Fall!$A:$A,FALSE),MATCH(L$1,Fall!$1:$1,FALSE))="","",INDEX(Fall!$1:$1048576,MATCH($A28,Fall!$A:$A,FALSE),MATCH(L$1,Fall!$1:$1,FALSE))),"")</f>
        <v>2A</v>
      </c>
      <c r="M28" t="str">
        <f>IFERROR(IF(INDEX(Fall!$1:$1048576,MATCH($A28,Fall!$A:$A,FALSE),MATCH(M$1,Fall!$1:$1,FALSE))="","",INDEX(Fall!$1:$1048576,MATCH($A28,Fall!$A:$A,FALSE),MATCH(M$1,Fall!$1:$1,FALSE))),"")</f>
        <v>1A</v>
      </c>
      <c r="N28" t="str">
        <f>IFERROR(IF(INDEX(Fall!$1:$1048576,MATCH($A28,Fall!$A:$A,FALSE),MATCH(N$1,Fall!$1:$1,FALSE))="","",INDEX(Fall!$1:$1048576,MATCH($A28,Fall!$A:$A,FALSE),MATCH(N$1,Fall!$1:$1,FALSE))),"")</f>
        <v>2A</v>
      </c>
      <c r="O28" t="str">
        <f>IFERROR(IF(INDEX(Fall!$1:$1048576,MATCH($A28,Fall!$A:$A,FALSE),MATCH(O$1,Fall!$1:$1,FALSE))="","",INDEX(Fall!$1:$1048576,MATCH($A28,Fall!$A:$A,FALSE),MATCH(O$1,Fall!$1:$1,FALSE))),"")</f>
        <v>1A</v>
      </c>
      <c r="P28" t="str">
        <f>IFERROR(IF(INDEX(Fall!$1:$1048576,MATCH($A28,Fall!$A:$A,FALSE),MATCH(P$1,Fall!$1:$1,FALSE))="","",INDEX(Fall!$1:$1048576,MATCH($A28,Fall!$A:$A,FALSE),MATCH(P$1,Fall!$1:$1,FALSE))),"")</f>
        <v>3A</v>
      </c>
      <c r="R28" t="str">
        <f>IFERROR(IF(INDEX(Winter!$1:$1048576,MATCH($A28,Winter!$A:$A,FALSE),MATCH(R$1,Winter!$1:$1,FALSE))="","",INDEX(Winter!$1:$1048576,MATCH($A28,Winter!$A:$A,FALSE),MATCH(R$1,Winter!$1:$1,FALSE))),"")</f>
        <v>3A</v>
      </c>
      <c r="S28" t="str">
        <f>IFERROR(IF(INDEX(Winter!$1:$1048576,MATCH($A28,Winter!$A:$A,FALSE),MATCH(S$1,Winter!$1:$1,FALSE))="","",INDEX(Winter!$1:$1048576,MATCH($A28,Winter!$A:$A,FALSE),MATCH(S$1,Winter!$1:$1,FALSE))),"")</f>
        <v>3A</v>
      </c>
      <c r="T28" t="str">
        <f>IFERROR(IF(INDEX(Winter!$1:$1048576,MATCH($A28,Winter!$A:$A,FALSE),MATCH(T$1,Winter!$1:$1,FALSE))="","",INDEX(Winter!$1:$1048576,MATCH($A28,Winter!$A:$A,FALSE),MATCH(T$1,Winter!$1:$1,FALSE))),"")</f>
        <v/>
      </c>
      <c r="U28" t="str">
        <f>IFERROR(IF(INDEX(Winter!$1:$1048576,MATCH($A28,Winter!$A:$A,FALSE),MATCH(U$1,Winter!$1:$1,FALSE))="","",INDEX(Winter!$1:$1048576,MATCH($A28,Winter!$A:$A,FALSE),MATCH(U$1,Winter!$1:$1,FALSE))),"")</f>
        <v>1A</v>
      </c>
      <c r="V28" t="str">
        <f>IFERROR(IF(INDEX(Winter!$1:$1048576,MATCH($A28,Winter!$A:$A,FALSE),MATCH(V$1,Winter!$1:$1,FALSE))="","",INDEX(Winter!$1:$1048576,MATCH($A28,Winter!$A:$A,FALSE),MATCH(V$1,Winter!$1:$1,FALSE))),"")</f>
        <v>2A</v>
      </c>
      <c r="W28" t="str">
        <f>IFERROR(IF(INDEX(Winter!$1:$1048576,MATCH($A28,Winter!$A:$A,FALSE),MATCH(W$1,Winter!$1:$1,FALSE))="","",INDEX(Winter!$1:$1048576,MATCH($A28,Winter!$A:$A,FALSE),MATCH(W$1,Winter!$1:$1,FALSE))),"")</f>
        <v/>
      </c>
      <c r="Y28" t="str">
        <f>IFERROR(IF(INDEX(Spring!$1:$1048576,MATCH($A28,Spring!$A:$A,FALSE),MATCH(Y$1,Spring!$1:$1,FALSE))="","",INDEX(Spring!$1:$1048576,MATCH($A28,Spring!$A:$A,FALSE),MATCH(Y$1,Spring!$1:$1,FALSE))),"")</f>
        <v/>
      </c>
      <c r="Z28" t="str">
        <f>IFERROR(IF(INDEX(Spring!$1:$1048576,MATCH($A28,Spring!$A:$A,FALSE),MATCH(Z$1,Spring!$1:$1,FALSE))="","",INDEX(Spring!$1:$1048576,MATCH($A28,Spring!$A:$A,FALSE),MATCH(Z$1,Spring!$1:$1,FALSE))),"")</f>
        <v/>
      </c>
      <c r="AA28" t="str">
        <f>IFERROR(IF(INDEX(Spring!$1:$1048576,MATCH($A28,Spring!$A:$A,FALSE),MATCH(AA$1,Spring!$1:$1,FALSE))="","",INDEX(Spring!$1:$1048576,MATCH($A28,Spring!$A:$A,FALSE),MATCH(AA$1,Spring!$1:$1,FALSE))),"")</f>
        <v>2A</v>
      </c>
      <c r="AB28" t="str">
        <f>IFERROR(IF(INDEX(Spring!$1:$1048576,MATCH($A28,Spring!$A:$A,FALSE),MATCH(AB$1,Spring!$1:$1,FALSE))="","",INDEX(Spring!$1:$1048576,MATCH($A28,Spring!$A:$A,FALSE),MATCH(AB$1,Spring!$1:$1,FALSE))),"")</f>
        <v>1A</v>
      </c>
      <c r="AC28" t="str">
        <f>IFERROR(IF(INDEX(Spring!$1:$1048576,MATCH($A28,Spring!$A:$A,FALSE),MATCH(AC$1,Spring!$1:$1,FALSE))="","",INDEX(Spring!$1:$1048576,MATCH($A28,Spring!$A:$A,FALSE),MATCH(AC$1,Spring!$1:$1,FALSE))),"")</f>
        <v>2A</v>
      </c>
      <c r="AD28" t="str">
        <f>IFERROR(IF(INDEX(Spring!$1:$1048576,MATCH($A28,Spring!$A:$A,FALSE),MATCH(AD$1,Spring!$1:$1,FALSE))="","",INDEX(Spring!$1:$1048576,MATCH($A28,Spring!$A:$A,FALSE),MATCH(AD$1,Spring!$1:$1,FALSE))),"")</f>
        <v>2A</v>
      </c>
    </row>
    <row r="29" spans="1:30" ht="23.25" thickBot="1" x14ac:dyDescent="0.3">
      <c r="A29" s="48" t="s">
        <v>43</v>
      </c>
      <c r="B29" s="49" t="s">
        <v>1001</v>
      </c>
      <c r="C29" s="49" t="s">
        <v>997</v>
      </c>
      <c r="D29" s="49">
        <v>2</v>
      </c>
      <c r="E29" s="49">
        <v>5</v>
      </c>
      <c r="F29" s="45"/>
      <c r="G29" s="45"/>
      <c r="H29" s="44"/>
      <c r="J29" t="str">
        <f>IFERROR(IF(INDEX(Fall!$1:$1048576,MATCH($A29,Fall!$A:$A,FALSE),MATCH(J$1,Fall!$1:$1,FALSE))="","",INDEX(Fall!$1:$1048576,MATCH($A29,Fall!$A:$A,FALSE),MATCH(J$1,Fall!$1:$1,FALSE))),"")</f>
        <v>2A</v>
      </c>
      <c r="K29" t="str">
        <f>IFERROR(IF(INDEX(Fall!$1:$1048576,MATCH($A29,Fall!$A:$A,FALSE),MATCH(K$1,Fall!$1:$1,FALSE))="","",INDEX(Fall!$1:$1048576,MATCH($A29,Fall!$A:$A,FALSE),MATCH(K$1,Fall!$1:$1,FALSE))),"")</f>
        <v/>
      </c>
      <c r="L29" t="str">
        <f>IFERROR(IF(INDEX(Fall!$1:$1048576,MATCH($A29,Fall!$A:$A,FALSE),MATCH(L$1,Fall!$1:$1,FALSE))="","",INDEX(Fall!$1:$1048576,MATCH($A29,Fall!$A:$A,FALSE),MATCH(L$1,Fall!$1:$1,FALSE))),"")</f>
        <v>2A</v>
      </c>
      <c r="M29" t="str">
        <f>IFERROR(IF(INDEX(Fall!$1:$1048576,MATCH($A29,Fall!$A:$A,FALSE),MATCH(M$1,Fall!$1:$1,FALSE))="","",INDEX(Fall!$1:$1048576,MATCH($A29,Fall!$A:$A,FALSE),MATCH(M$1,Fall!$1:$1,FALSE))),"")</f>
        <v/>
      </c>
      <c r="N29" t="str">
        <f>IFERROR(IF(INDEX(Fall!$1:$1048576,MATCH($A29,Fall!$A:$A,FALSE),MATCH(N$1,Fall!$1:$1,FALSE))="","",INDEX(Fall!$1:$1048576,MATCH($A29,Fall!$A:$A,FALSE),MATCH(N$1,Fall!$1:$1,FALSE))),"")</f>
        <v>2A</v>
      </c>
      <c r="O29" t="str">
        <f>IFERROR(IF(INDEX(Fall!$1:$1048576,MATCH($A29,Fall!$A:$A,FALSE),MATCH(O$1,Fall!$1:$1,FALSE))="","",INDEX(Fall!$1:$1048576,MATCH($A29,Fall!$A:$A,FALSE),MATCH(O$1,Fall!$1:$1,FALSE))),"")</f>
        <v/>
      </c>
      <c r="P29" t="str">
        <f>IFERROR(IF(INDEX(Fall!$1:$1048576,MATCH($A29,Fall!$A:$A,FALSE),MATCH(P$1,Fall!$1:$1,FALSE))="","",INDEX(Fall!$1:$1048576,MATCH($A29,Fall!$A:$A,FALSE),MATCH(P$1,Fall!$1:$1,FALSE))),"")</f>
        <v/>
      </c>
      <c r="R29" t="str">
        <f>IFERROR(IF(INDEX(Winter!$1:$1048576,MATCH($A29,Winter!$A:$A,FALSE),MATCH(R$1,Winter!$1:$1,FALSE))="","",INDEX(Winter!$1:$1048576,MATCH($A29,Winter!$A:$A,FALSE),MATCH(R$1,Winter!$1:$1,FALSE))),"")</f>
        <v>3A</v>
      </c>
      <c r="S29" t="str">
        <f>IFERROR(IF(INDEX(Winter!$1:$1048576,MATCH($A29,Winter!$A:$A,FALSE),MATCH(S$1,Winter!$1:$1,FALSE))="","",INDEX(Winter!$1:$1048576,MATCH($A29,Winter!$A:$A,FALSE),MATCH(S$1,Winter!$1:$1,FALSE))),"")</f>
        <v/>
      </c>
      <c r="T29" t="str">
        <f>IFERROR(IF(INDEX(Winter!$1:$1048576,MATCH($A29,Winter!$A:$A,FALSE),MATCH(T$1,Winter!$1:$1,FALSE))="","",INDEX(Winter!$1:$1048576,MATCH($A29,Winter!$A:$A,FALSE),MATCH(T$1,Winter!$1:$1,FALSE))),"")</f>
        <v/>
      </c>
      <c r="U29" t="str">
        <f>IFERROR(IF(INDEX(Winter!$1:$1048576,MATCH($A29,Winter!$A:$A,FALSE),MATCH(U$1,Winter!$1:$1,FALSE))="","",INDEX(Winter!$1:$1048576,MATCH($A29,Winter!$A:$A,FALSE),MATCH(U$1,Winter!$1:$1,FALSE))),"")</f>
        <v/>
      </c>
      <c r="V29" t="str">
        <f>IFERROR(IF(INDEX(Winter!$1:$1048576,MATCH($A29,Winter!$A:$A,FALSE),MATCH(V$1,Winter!$1:$1,FALSE))="","",INDEX(Winter!$1:$1048576,MATCH($A29,Winter!$A:$A,FALSE),MATCH(V$1,Winter!$1:$1,FALSE))),"")</f>
        <v/>
      </c>
      <c r="W29" t="str">
        <f>IFERROR(IF(INDEX(Winter!$1:$1048576,MATCH($A29,Winter!$A:$A,FALSE),MATCH(W$1,Winter!$1:$1,FALSE))="","",INDEX(Winter!$1:$1048576,MATCH($A29,Winter!$A:$A,FALSE),MATCH(W$1,Winter!$1:$1,FALSE))),"")</f>
        <v>3A</v>
      </c>
      <c r="Y29" t="str">
        <f>IFERROR(IF(INDEX(Spring!$1:$1048576,MATCH($A29,Spring!$A:$A,FALSE),MATCH(Y$1,Spring!$1:$1,FALSE))="","",INDEX(Spring!$1:$1048576,MATCH($A29,Spring!$A:$A,FALSE),MATCH(Y$1,Spring!$1:$1,FALSE))),"")</f>
        <v>3A</v>
      </c>
      <c r="Z29" t="str">
        <f>IFERROR(IF(INDEX(Spring!$1:$1048576,MATCH($A29,Spring!$A:$A,FALSE),MATCH(Z$1,Spring!$1:$1,FALSE))="","",INDEX(Spring!$1:$1048576,MATCH($A29,Spring!$A:$A,FALSE),MATCH(Z$1,Spring!$1:$1,FALSE))),"")</f>
        <v/>
      </c>
      <c r="AA29" t="str">
        <f>IFERROR(IF(INDEX(Spring!$1:$1048576,MATCH($A29,Spring!$A:$A,FALSE),MATCH(AA$1,Spring!$1:$1,FALSE))="","",INDEX(Spring!$1:$1048576,MATCH($A29,Spring!$A:$A,FALSE),MATCH(AA$1,Spring!$1:$1,FALSE))),"")</f>
        <v/>
      </c>
      <c r="AB29" t="str">
        <f>IFERROR(IF(INDEX(Spring!$1:$1048576,MATCH($A29,Spring!$A:$A,FALSE),MATCH(AB$1,Spring!$1:$1,FALSE))="","",INDEX(Spring!$1:$1048576,MATCH($A29,Spring!$A:$A,FALSE),MATCH(AB$1,Spring!$1:$1,FALSE))),"")</f>
        <v>1A</v>
      </c>
      <c r="AC29" t="str">
        <f>IFERROR(IF(INDEX(Spring!$1:$1048576,MATCH($A29,Spring!$A:$A,FALSE),MATCH(AC$1,Spring!$1:$1,FALSE))="","",INDEX(Spring!$1:$1048576,MATCH($A29,Spring!$A:$A,FALSE),MATCH(AC$1,Spring!$1:$1,FALSE))),"")</f>
        <v>2A</v>
      </c>
      <c r="AD29" t="str">
        <f>IFERROR(IF(INDEX(Spring!$1:$1048576,MATCH($A29,Spring!$A:$A,FALSE),MATCH(AD$1,Spring!$1:$1,FALSE))="","",INDEX(Spring!$1:$1048576,MATCH($A29,Spring!$A:$A,FALSE),MATCH(AD$1,Spring!$1:$1,FALSE))),"")</f>
        <v/>
      </c>
    </row>
    <row r="30" spans="1:30" ht="15.75" thickBot="1" x14ac:dyDescent="0.3">
      <c r="A30" s="48" t="s">
        <v>45</v>
      </c>
      <c r="B30" s="49">
        <v>2725</v>
      </c>
      <c r="C30" s="50"/>
      <c r="D30" s="50"/>
      <c r="E30" s="50"/>
      <c r="F30" s="45"/>
      <c r="G30" s="45"/>
      <c r="H30" s="44"/>
      <c r="J30" t="str">
        <f>IFERROR(IF(INDEX(Fall!$1:$1048576,MATCH($A30,Fall!$A:$A,FALSE),MATCH(J$1,Fall!$1:$1,FALSE))="","",INDEX(Fall!$1:$1048576,MATCH($A30,Fall!$A:$A,FALSE),MATCH(J$1,Fall!$1:$1,FALSE))),"")</f>
        <v>3A</v>
      </c>
      <c r="K30" t="str">
        <f>IFERROR(IF(INDEX(Fall!$1:$1048576,MATCH($A30,Fall!$A:$A,FALSE),MATCH(K$1,Fall!$1:$1,FALSE))="","",INDEX(Fall!$1:$1048576,MATCH($A30,Fall!$A:$A,FALSE),MATCH(K$1,Fall!$1:$1,FALSE))),"")</f>
        <v>3A</v>
      </c>
      <c r="L30" t="str">
        <f>IFERROR(IF(INDEX(Fall!$1:$1048576,MATCH($A30,Fall!$A:$A,FALSE),MATCH(L$1,Fall!$1:$1,FALSE))="","",INDEX(Fall!$1:$1048576,MATCH($A30,Fall!$A:$A,FALSE),MATCH(L$1,Fall!$1:$1,FALSE))),"")</f>
        <v>3A</v>
      </c>
      <c r="M30" t="str">
        <f>IFERROR(IF(INDEX(Fall!$1:$1048576,MATCH($A30,Fall!$A:$A,FALSE),MATCH(M$1,Fall!$1:$1,FALSE))="","",INDEX(Fall!$1:$1048576,MATCH($A30,Fall!$A:$A,FALSE),MATCH(M$1,Fall!$1:$1,FALSE))),"")</f>
        <v>2A</v>
      </c>
      <c r="N30" t="str">
        <f>IFERROR(IF(INDEX(Fall!$1:$1048576,MATCH($A30,Fall!$A:$A,FALSE),MATCH(N$1,Fall!$1:$1,FALSE))="","",INDEX(Fall!$1:$1048576,MATCH($A30,Fall!$A:$A,FALSE),MATCH(N$1,Fall!$1:$1,FALSE))),"")</f>
        <v>3A</v>
      </c>
      <c r="O30" t="str">
        <f>IFERROR(IF(INDEX(Fall!$1:$1048576,MATCH($A30,Fall!$A:$A,FALSE),MATCH(O$1,Fall!$1:$1,FALSE))="","",INDEX(Fall!$1:$1048576,MATCH($A30,Fall!$A:$A,FALSE),MATCH(O$1,Fall!$1:$1,FALSE))),"")</f>
        <v>2A</v>
      </c>
      <c r="P30" t="str">
        <f>IFERROR(IF(INDEX(Fall!$1:$1048576,MATCH($A30,Fall!$A:$A,FALSE),MATCH(P$1,Fall!$1:$1,FALSE))="","",INDEX(Fall!$1:$1048576,MATCH($A30,Fall!$A:$A,FALSE),MATCH(P$1,Fall!$1:$1,FALSE))),"")</f>
        <v>4A</v>
      </c>
      <c r="R30" t="str">
        <f>IFERROR(IF(INDEX(Winter!$1:$1048576,MATCH($A30,Winter!$A:$A,FALSE),MATCH(R$1,Winter!$1:$1,FALSE))="","",INDEX(Winter!$1:$1048576,MATCH($A30,Winter!$A:$A,FALSE),MATCH(R$1,Winter!$1:$1,FALSE))),"")</f>
        <v>4A</v>
      </c>
      <c r="S30" t="str">
        <f>IFERROR(IF(INDEX(Winter!$1:$1048576,MATCH($A30,Winter!$A:$A,FALSE),MATCH(S$1,Winter!$1:$1,FALSE))="","",INDEX(Winter!$1:$1048576,MATCH($A30,Winter!$A:$A,FALSE),MATCH(S$1,Winter!$1:$1,FALSE))),"")</f>
        <v>4A</v>
      </c>
      <c r="T30" t="str">
        <f>IFERROR(IF(INDEX(Winter!$1:$1048576,MATCH($A30,Winter!$A:$A,FALSE),MATCH(T$1,Winter!$1:$1,FALSE))="","",INDEX(Winter!$1:$1048576,MATCH($A30,Winter!$A:$A,FALSE),MATCH(T$1,Winter!$1:$1,FALSE))),"")</f>
        <v>3A</v>
      </c>
      <c r="U30" t="str">
        <f>IFERROR(IF(INDEX(Winter!$1:$1048576,MATCH($A30,Winter!$A:$A,FALSE),MATCH(U$1,Winter!$1:$1,FALSE))="","",INDEX(Winter!$1:$1048576,MATCH($A30,Winter!$A:$A,FALSE),MATCH(U$1,Winter!$1:$1,FALSE))),"")</f>
        <v>3A</v>
      </c>
      <c r="V30" t="str">
        <f>IFERROR(IF(INDEX(Winter!$1:$1048576,MATCH($A30,Winter!$A:$A,FALSE),MATCH(V$1,Winter!$1:$1,FALSE))="","",INDEX(Winter!$1:$1048576,MATCH($A30,Winter!$A:$A,FALSE),MATCH(V$1,Winter!$1:$1,FALSE))),"")</f>
        <v>2A</v>
      </c>
      <c r="W30" t="str">
        <f>IFERROR(IF(INDEX(Winter!$1:$1048576,MATCH($A30,Winter!$A:$A,FALSE),MATCH(W$1,Winter!$1:$1,FALSE))="","",INDEX(Winter!$1:$1048576,MATCH($A30,Winter!$A:$A,FALSE),MATCH(W$1,Winter!$1:$1,FALSE))),"")</f>
        <v>3A</v>
      </c>
      <c r="Y30" t="str">
        <f>IFERROR(IF(INDEX(Spring!$1:$1048576,MATCH($A30,Spring!$A:$A,FALSE),MATCH(Y$1,Spring!$1:$1,FALSE))="","",INDEX(Spring!$1:$1048576,MATCH($A30,Spring!$A:$A,FALSE),MATCH(Y$1,Spring!$1:$1,FALSE))),"")</f>
        <v>4A</v>
      </c>
      <c r="Z30" t="str">
        <f>IFERROR(IF(INDEX(Spring!$1:$1048576,MATCH($A30,Spring!$A:$A,FALSE),MATCH(Z$1,Spring!$1:$1,FALSE))="","",INDEX(Spring!$1:$1048576,MATCH($A30,Spring!$A:$A,FALSE),MATCH(Z$1,Spring!$1:$1,FALSE))),"")</f>
        <v>4A</v>
      </c>
      <c r="AA30" t="str">
        <f>IFERROR(IF(INDEX(Spring!$1:$1048576,MATCH($A30,Spring!$A:$A,FALSE),MATCH(AA$1,Spring!$1:$1,FALSE))="","",INDEX(Spring!$1:$1048576,MATCH($A30,Spring!$A:$A,FALSE),MATCH(AA$1,Spring!$1:$1,FALSE))),"")</f>
        <v>3A</v>
      </c>
      <c r="AB30" t="str">
        <f>IFERROR(IF(INDEX(Spring!$1:$1048576,MATCH($A30,Spring!$A:$A,FALSE),MATCH(AB$1,Spring!$1:$1,FALSE))="","",INDEX(Spring!$1:$1048576,MATCH($A30,Spring!$A:$A,FALSE),MATCH(AB$1,Spring!$1:$1,FALSE))),"")</f>
        <v>2A</v>
      </c>
      <c r="AC30" t="str">
        <f>IFERROR(IF(INDEX(Spring!$1:$1048576,MATCH($A30,Spring!$A:$A,FALSE),MATCH(AC$1,Spring!$1:$1,FALSE))="","",INDEX(Spring!$1:$1048576,MATCH($A30,Spring!$A:$A,FALSE),MATCH(AC$1,Spring!$1:$1,FALSE))),"")</f>
        <v>3A</v>
      </c>
      <c r="AD30" t="str">
        <f>IFERROR(IF(INDEX(Spring!$1:$1048576,MATCH($A30,Spring!$A:$A,FALSE),MATCH(AD$1,Spring!$1:$1,FALSE))="","",INDEX(Spring!$1:$1048576,MATCH($A30,Spring!$A:$A,FALSE),MATCH(AD$1,Spring!$1:$1,FALSE))),"")</f>
        <v>3A</v>
      </c>
    </row>
    <row r="31" spans="1:30" ht="23.25" thickBot="1" x14ac:dyDescent="0.3">
      <c r="A31" s="48" t="s">
        <v>46</v>
      </c>
      <c r="B31" s="49" t="s">
        <v>47</v>
      </c>
      <c r="C31" s="49" t="s">
        <v>997</v>
      </c>
      <c r="D31" s="49">
        <v>2</v>
      </c>
      <c r="E31" s="49">
        <v>5</v>
      </c>
      <c r="F31" s="45"/>
      <c r="G31" s="45"/>
      <c r="H31" s="44"/>
      <c r="J31" t="str">
        <f>IFERROR(IF(INDEX(Fall!$1:$1048576,MATCH($A31,Fall!$A:$A,FALSE),MATCH(J$1,Fall!$1:$1,FALSE))="","",INDEX(Fall!$1:$1048576,MATCH($A31,Fall!$A:$A,FALSE),MATCH(J$1,Fall!$1:$1,FALSE))),"")</f>
        <v/>
      </c>
      <c r="K31" t="str">
        <f>IFERROR(IF(INDEX(Fall!$1:$1048576,MATCH($A31,Fall!$A:$A,FALSE),MATCH(K$1,Fall!$1:$1,FALSE))="","",INDEX(Fall!$1:$1048576,MATCH($A31,Fall!$A:$A,FALSE),MATCH(K$1,Fall!$1:$1,FALSE))),"")</f>
        <v>2A</v>
      </c>
      <c r="L31" t="str">
        <f>IFERROR(IF(INDEX(Fall!$1:$1048576,MATCH($A31,Fall!$A:$A,FALSE),MATCH(L$1,Fall!$1:$1,FALSE))="","",INDEX(Fall!$1:$1048576,MATCH($A31,Fall!$A:$A,FALSE),MATCH(L$1,Fall!$1:$1,FALSE))),"")</f>
        <v/>
      </c>
      <c r="M31" t="str">
        <f>IFERROR(IF(INDEX(Fall!$1:$1048576,MATCH($A31,Fall!$A:$A,FALSE),MATCH(M$1,Fall!$1:$1,FALSE))="","",INDEX(Fall!$1:$1048576,MATCH($A31,Fall!$A:$A,FALSE),MATCH(M$1,Fall!$1:$1,FALSE))),"")</f>
        <v>1A</v>
      </c>
      <c r="N31" t="str">
        <f>IFERROR(IF(INDEX(Fall!$1:$1048576,MATCH($A31,Fall!$A:$A,FALSE),MATCH(N$1,Fall!$1:$1,FALSE))="","",INDEX(Fall!$1:$1048576,MATCH($A31,Fall!$A:$A,FALSE),MATCH(N$1,Fall!$1:$1,FALSE))),"")</f>
        <v/>
      </c>
      <c r="O31" t="str">
        <f>IFERROR(IF(INDEX(Fall!$1:$1048576,MATCH($A31,Fall!$A:$A,FALSE),MATCH(O$1,Fall!$1:$1,FALSE))="","",INDEX(Fall!$1:$1048576,MATCH($A31,Fall!$A:$A,FALSE),MATCH(O$1,Fall!$1:$1,FALSE))),"")</f>
        <v>1A</v>
      </c>
      <c r="P31" t="str">
        <f>IFERROR(IF(INDEX(Fall!$1:$1048576,MATCH($A31,Fall!$A:$A,FALSE),MATCH(P$1,Fall!$1:$1,FALSE))="","",INDEX(Fall!$1:$1048576,MATCH($A31,Fall!$A:$A,FALSE),MATCH(P$1,Fall!$1:$1,FALSE))),"")</f>
        <v>2A</v>
      </c>
      <c r="R31" t="str">
        <f>IFERROR(IF(INDEX(Winter!$1:$1048576,MATCH($A31,Winter!$A:$A,FALSE),MATCH(R$1,Winter!$1:$1,FALSE))="","",INDEX(Winter!$1:$1048576,MATCH($A31,Winter!$A:$A,FALSE),MATCH(R$1,Winter!$1:$1,FALSE))),"")</f>
        <v/>
      </c>
      <c r="S31" t="str">
        <f>IFERROR(IF(INDEX(Winter!$1:$1048576,MATCH($A31,Winter!$A:$A,FALSE),MATCH(S$1,Winter!$1:$1,FALSE))="","",INDEX(Winter!$1:$1048576,MATCH($A31,Winter!$A:$A,FALSE),MATCH(S$1,Winter!$1:$1,FALSE))),"")</f>
        <v>2A</v>
      </c>
      <c r="T31" t="str">
        <f>IFERROR(IF(INDEX(Winter!$1:$1048576,MATCH($A31,Winter!$A:$A,FALSE),MATCH(T$1,Winter!$1:$1,FALSE))="","",INDEX(Winter!$1:$1048576,MATCH($A31,Winter!$A:$A,FALSE),MATCH(T$1,Winter!$1:$1,FALSE))),"")</f>
        <v/>
      </c>
      <c r="U31" t="str">
        <f>IFERROR(IF(INDEX(Winter!$1:$1048576,MATCH($A31,Winter!$A:$A,FALSE),MATCH(U$1,Winter!$1:$1,FALSE))="","",INDEX(Winter!$1:$1048576,MATCH($A31,Winter!$A:$A,FALSE),MATCH(U$1,Winter!$1:$1,FALSE))),"")</f>
        <v/>
      </c>
      <c r="V31" t="str">
        <f>IFERROR(IF(INDEX(Winter!$1:$1048576,MATCH($A31,Winter!$A:$A,FALSE),MATCH(V$1,Winter!$1:$1,FALSE))="","",INDEX(Winter!$1:$1048576,MATCH($A31,Winter!$A:$A,FALSE),MATCH(V$1,Winter!$1:$1,FALSE))),"")</f>
        <v/>
      </c>
      <c r="W31" t="str">
        <f>IFERROR(IF(INDEX(Winter!$1:$1048576,MATCH($A31,Winter!$A:$A,FALSE),MATCH(W$1,Winter!$1:$1,FALSE))="","",INDEX(Winter!$1:$1048576,MATCH($A31,Winter!$A:$A,FALSE),MATCH(W$1,Winter!$1:$1,FALSE))),"")</f>
        <v/>
      </c>
      <c r="Y31" t="str">
        <f>IFERROR(IF(INDEX(Spring!$1:$1048576,MATCH($A31,Spring!$A:$A,FALSE),MATCH(Y$1,Spring!$1:$1,FALSE))="","",INDEX(Spring!$1:$1048576,MATCH($A31,Spring!$A:$A,FALSE),MATCH(Y$1,Spring!$1:$1,FALSE))),"")</f>
        <v/>
      </c>
      <c r="Z31" t="str">
        <f>IFERROR(IF(INDEX(Spring!$1:$1048576,MATCH($A31,Spring!$A:$A,FALSE),MATCH(Z$1,Spring!$1:$1,FALSE))="","",INDEX(Spring!$1:$1048576,MATCH($A31,Spring!$A:$A,FALSE),MATCH(Z$1,Spring!$1:$1,FALSE))),"")</f>
        <v/>
      </c>
      <c r="AA31" t="str">
        <f>IFERROR(IF(INDEX(Spring!$1:$1048576,MATCH($A31,Spring!$A:$A,FALSE),MATCH(AA$1,Spring!$1:$1,FALSE))="","",INDEX(Spring!$1:$1048576,MATCH($A31,Spring!$A:$A,FALSE),MATCH(AA$1,Spring!$1:$1,FALSE))),"")</f>
        <v>1A</v>
      </c>
      <c r="AB31" t="str">
        <f>IFERROR(IF(INDEX(Spring!$1:$1048576,MATCH($A31,Spring!$A:$A,FALSE),MATCH(AB$1,Spring!$1:$1,FALSE))="","",INDEX(Spring!$1:$1048576,MATCH($A31,Spring!$A:$A,FALSE),MATCH(AB$1,Spring!$1:$1,FALSE))),"")</f>
        <v/>
      </c>
      <c r="AC31" t="str">
        <f>IFERROR(IF(INDEX(Spring!$1:$1048576,MATCH($A31,Spring!$A:$A,FALSE),MATCH(AC$1,Spring!$1:$1,FALSE))="","",INDEX(Spring!$1:$1048576,MATCH($A31,Spring!$A:$A,FALSE),MATCH(AC$1,Spring!$1:$1,FALSE))),"")</f>
        <v/>
      </c>
      <c r="AD31" t="str">
        <f>IFERROR(IF(INDEX(Spring!$1:$1048576,MATCH($A31,Spring!$A:$A,FALSE),MATCH(AD$1,Spring!$1:$1,FALSE))="","",INDEX(Spring!$1:$1048576,MATCH($A31,Spring!$A:$A,FALSE),MATCH(AD$1,Spring!$1:$1,FALSE))),"")</f>
        <v>2A</v>
      </c>
    </row>
    <row r="32" spans="1:30" ht="15.75" thickBot="1" x14ac:dyDescent="0.3">
      <c r="A32" s="48" t="s">
        <v>48</v>
      </c>
      <c r="B32" s="49">
        <v>2718</v>
      </c>
      <c r="C32" s="50"/>
      <c r="D32" s="50"/>
      <c r="E32" s="50"/>
      <c r="F32" s="45"/>
      <c r="G32" s="45"/>
      <c r="H32" s="44"/>
      <c r="J32" t="str">
        <f>IFERROR(IF(INDEX(Fall!$1:$1048576,MATCH($A32,Fall!$A:$A,FALSE),MATCH(J$1,Fall!$1:$1,FALSE))="","",INDEX(Fall!$1:$1048576,MATCH($A32,Fall!$A:$A,FALSE),MATCH(J$1,Fall!$1:$1,FALSE))),"")</f>
        <v>3A</v>
      </c>
      <c r="K32" t="str">
        <f>IFERROR(IF(INDEX(Fall!$1:$1048576,MATCH($A32,Fall!$A:$A,FALSE),MATCH(K$1,Fall!$1:$1,FALSE))="","",INDEX(Fall!$1:$1048576,MATCH($A32,Fall!$A:$A,FALSE),MATCH(K$1,Fall!$1:$1,FALSE))),"")</f>
        <v>3A</v>
      </c>
      <c r="L32" t="str">
        <f>IFERROR(IF(INDEX(Fall!$1:$1048576,MATCH($A32,Fall!$A:$A,FALSE),MATCH(L$1,Fall!$1:$1,FALSE))="","",INDEX(Fall!$1:$1048576,MATCH($A32,Fall!$A:$A,FALSE),MATCH(L$1,Fall!$1:$1,FALSE))),"")</f>
        <v>3A</v>
      </c>
      <c r="M32" t="str">
        <f>IFERROR(IF(INDEX(Fall!$1:$1048576,MATCH($A32,Fall!$A:$A,FALSE),MATCH(M$1,Fall!$1:$1,FALSE))="","",INDEX(Fall!$1:$1048576,MATCH($A32,Fall!$A:$A,FALSE),MATCH(M$1,Fall!$1:$1,FALSE))),"")</f>
        <v>2A</v>
      </c>
      <c r="N32" t="str">
        <f>IFERROR(IF(INDEX(Fall!$1:$1048576,MATCH($A32,Fall!$A:$A,FALSE),MATCH(N$1,Fall!$1:$1,FALSE))="","",INDEX(Fall!$1:$1048576,MATCH($A32,Fall!$A:$A,FALSE),MATCH(N$1,Fall!$1:$1,FALSE))),"")</f>
        <v>3A</v>
      </c>
      <c r="O32" t="str">
        <f>IFERROR(IF(INDEX(Fall!$1:$1048576,MATCH($A32,Fall!$A:$A,FALSE),MATCH(O$1,Fall!$1:$1,FALSE))="","",INDEX(Fall!$1:$1048576,MATCH($A32,Fall!$A:$A,FALSE),MATCH(O$1,Fall!$1:$1,FALSE))),"")</f>
        <v>2A</v>
      </c>
      <c r="P32" t="str">
        <f>IFERROR(IF(INDEX(Fall!$1:$1048576,MATCH($A32,Fall!$A:$A,FALSE),MATCH(P$1,Fall!$1:$1,FALSE))="","",INDEX(Fall!$1:$1048576,MATCH($A32,Fall!$A:$A,FALSE),MATCH(P$1,Fall!$1:$1,FALSE))),"")</f>
        <v>4A</v>
      </c>
      <c r="R32" t="str">
        <f>IFERROR(IF(INDEX(Winter!$1:$1048576,MATCH($A32,Winter!$A:$A,FALSE),MATCH(R$1,Winter!$1:$1,FALSE))="","",INDEX(Winter!$1:$1048576,MATCH($A32,Winter!$A:$A,FALSE),MATCH(R$1,Winter!$1:$1,FALSE))),"")</f>
        <v>4A</v>
      </c>
      <c r="S32" t="str">
        <f>IFERROR(IF(INDEX(Winter!$1:$1048576,MATCH($A32,Winter!$A:$A,FALSE),MATCH(S$1,Winter!$1:$1,FALSE))="","",INDEX(Winter!$1:$1048576,MATCH($A32,Winter!$A:$A,FALSE),MATCH(S$1,Winter!$1:$1,FALSE))),"")</f>
        <v>4A</v>
      </c>
      <c r="T32" t="str">
        <f>IFERROR(IF(INDEX(Winter!$1:$1048576,MATCH($A32,Winter!$A:$A,FALSE),MATCH(T$1,Winter!$1:$1,FALSE))="","",INDEX(Winter!$1:$1048576,MATCH($A32,Winter!$A:$A,FALSE),MATCH(T$1,Winter!$1:$1,FALSE))),"")</f>
        <v>3A</v>
      </c>
      <c r="U32" t="str">
        <f>IFERROR(IF(INDEX(Winter!$1:$1048576,MATCH($A32,Winter!$A:$A,FALSE),MATCH(U$1,Winter!$1:$1,FALSE))="","",INDEX(Winter!$1:$1048576,MATCH($A32,Winter!$A:$A,FALSE),MATCH(U$1,Winter!$1:$1,FALSE))),"")</f>
        <v>3A</v>
      </c>
      <c r="V32" t="str">
        <f>IFERROR(IF(INDEX(Winter!$1:$1048576,MATCH($A32,Winter!$A:$A,FALSE),MATCH(V$1,Winter!$1:$1,FALSE))="","",INDEX(Winter!$1:$1048576,MATCH($A32,Winter!$A:$A,FALSE),MATCH(V$1,Winter!$1:$1,FALSE))),"")</f>
        <v>2A</v>
      </c>
      <c r="W32" t="str">
        <f>IFERROR(IF(INDEX(Winter!$1:$1048576,MATCH($A32,Winter!$A:$A,FALSE),MATCH(W$1,Winter!$1:$1,FALSE))="","",INDEX(Winter!$1:$1048576,MATCH($A32,Winter!$A:$A,FALSE),MATCH(W$1,Winter!$1:$1,FALSE))),"")</f>
        <v>3A</v>
      </c>
      <c r="Y32" t="str">
        <f>IFERROR(IF(INDEX(Spring!$1:$1048576,MATCH($A32,Spring!$A:$A,FALSE),MATCH(Y$1,Spring!$1:$1,FALSE))="","",INDEX(Spring!$1:$1048576,MATCH($A32,Spring!$A:$A,FALSE),MATCH(Y$1,Spring!$1:$1,FALSE))),"")</f>
        <v>4A</v>
      </c>
      <c r="Z32" t="str">
        <f>IFERROR(IF(INDEX(Spring!$1:$1048576,MATCH($A32,Spring!$A:$A,FALSE),MATCH(Z$1,Spring!$1:$1,FALSE))="","",INDEX(Spring!$1:$1048576,MATCH($A32,Spring!$A:$A,FALSE),MATCH(Z$1,Spring!$1:$1,FALSE))),"")</f>
        <v>4A</v>
      </c>
      <c r="AA32" t="str">
        <f>IFERROR(IF(INDEX(Spring!$1:$1048576,MATCH($A32,Spring!$A:$A,FALSE),MATCH(AA$1,Spring!$1:$1,FALSE))="","",INDEX(Spring!$1:$1048576,MATCH($A32,Spring!$A:$A,FALSE),MATCH(AA$1,Spring!$1:$1,FALSE))),"")</f>
        <v>3A</v>
      </c>
      <c r="AB32" t="str">
        <f>IFERROR(IF(INDEX(Spring!$1:$1048576,MATCH($A32,Spring!$A:$A,FALSE),MATCH(AB$1,Spring!$1:$1,FALSE))="","",INDEX(Spring!$1:$1048576,MATCH($A32,Spring!$A:$A,FALSE),MATCH(AB$1,Spring!$1:$1,FALSE))),"")</f>
        <v>2A</v>
      </c>
      <c r="AC32" t="str">
        <f>IFERROR(IF(INDEX(Spring!$1:$1048576,MATCH($A32,Spring!$A:$A,FALSE),MATCH(AC$1,Spring!$1:$1,FALSE))="","",INDEX(Spring!$1:$1048576,MATCH($A32,Spring!$A:$A,FALSE),MATCH(AC$1,Spring!$1:$1,FALSE))),"")</f>
        <v>3A</v>
      </c>
      <c r="AD32" t="str">
        <f>IFERROR(IF(INDEX(Spring!$1:$1048576,MATCH($A32,Spring!$A:$A,FALSE),MATCH(AD$1,Spring!$1:$1,FALSE))="","",INDEX(Spring!$1:$1048576,MATCH($A32,Spring!$A:$A,FALSE),MATCH(AD$1,Spring!$1:$1,FALSE))),"")</f>
        <v>3A</v>
      </c>
    </row>
    <row r="33" spans="1:30" ht="15.75" thickBot="1" x14ac:dyDescent="0.3">
      <c r="A33" s="48" t="s">
        <v>49</v>
      </c>
      <c r="B33" s="49">
        <v>3233</v>
      </c>
      <c r="C33" s="50"/>
      <c r="D33" s="50"/>
      <c r="E33" s="50"/>
      <c r="F33" s="45"/>
      <c r="G33" s="45"/>
      <c r="H33" s="44"/>
      <c r="J33" t="str">
        <f>IFERROR(IF(INDEX(Fall!$1:$1048576,MATCH($A33,Fall!$A:$A,FALSE),MATCH(J$1,Fall!$1:$1,FALSE))="","",INDEX(Fall!$1:$1048576,MATCH($A33,Fall!$A:$A,FALSE),MATCH(J$1,Fall!$1:$1,FALSE))),"")</f>
        <v>3A</v>
      </c>
      <c r="K33" t="str">
        <f>IFERROR(IF(INDEX(Fall!$1:$1048576,MATCH($A33,Fall!$A:$A,FALSE),MATCH(K$1,Fall!$1:$1,FALSE))="","",INDEX(Fall!$1:$1048576,MATCH($A33,Fall!$A:$A,FALSE),MATCH(K$1,Fall!$1:$1,FALSE))),"")</f>
        <v>3A</v>
      </c>
      <c r="L33" t="str">
        <f>IFERROR(IF(INDEX(Fall!$1:$1048576,MATCH($A33,Fall!$A:$A,FALSE),MATCH(L$1,Fall!$1:$1,FALSE))="","",INDEX(Fall!$1:$1048576,MATCH($A33,Fall!$A:$A,FALSE),MATCH(L$1,Fall!$1:$1,FALSE))),"")</f>
        <v>3A</v>
      </c>
      <c r="M33" t="str">
        <f>IFERROR(IF(INDEX(Fall!$1:$1048576,MATCH($A33,Fall!$A:$A,FALSE),MATCH(M$1,Fall!$1:$1,FALSE))="","",INDEX(Fall!$1:$1048576,MATCH($A33,Fall!$A:$A,FALSE),MATCH(M$1,Fall!$1:$1,FALSE))),"")</f>
        <v>2A</v>
      </c>
      <c r="N33" t="str">
        <f>IFERROR(IF(INDEX(Fall!$1:$1048576,MATCH($A33,Fall!$A:$A,FALSE),MATCH(N$1,Fall!$1:$1,FALSE))="","",INDEX(Fall!$1:$1048576,MATCH($A33,Fall!$A:$A,FALSE),MATCH(N$1,Fall!$1:$1,FALSE))),"")</f>
        <v>3A</v>
      </c>
      <c r="O33" t="str">
        <f>IFERROR(IF(INDEX(Fall!$1:$1048576,MATCH($A33,Fall!$A:$A,FALSE),MATCH(O$1,Fall!$1:$1,FALSE))="","",INDEX(Fall!$1:$1048576,MATCH($A33,Fall!$A:$A,FALSE),MATCH(O$1,Fall!$1:$1,FALSE))),"")</f>
        <v>2A</v>
      </c>
      <c r="P33" t="str">
        <f>IFERROR(IF(INDEX(Fall!$1:$1048576,MATCH($A33,Fall!$A:$A,FALSE),MATCH(P$1,Fall!$1:$1,FALSE))="","",INDEX(Fall!$1:$1048576,MATCH($A33,Fall!$A:$A,FALSE),MATCH(P$1,Fall!$1:$1,FALSE))),"")</f>
        <v>4A</v>
      </c>
      <c r="R33" t="str">
        <f>IFERROR(IF(INDEX(Winter!$1:$1048576,MATCH($A33,Winter!$A:$A,FALSE),MATCH(R$1,Winter!$1:$1,FALSE))="","",INDEX(Winter!$1:$1048576,MATCH($A33,Winter!$A:$A,FALSE),MATCH(R$1,Winter!$1:$1,FALSE))),"")</f>
        <v>4A</v>
      </c>
      <c r="S33" t="str">
        <f>IFERROR(IF(INDEX(Winter!$1:$1048576,MATCH($A33,Winter!$A:$A,FALSE),MATCH(S$1,Winter!$1:$1,FALSE))="","",INDEX(Winter!$1:$1048576,MATCH($A33,Winter!$A:$A,FALSE),MATCH(S$1,Winter!$1:$1,FALSE))),"")</f>
        <v>4A</v>
      </c>
      <c r="T33" t="str">
        <f>IFERROR(IF(INDEX(Winter!$1:$1048576,MATCH($A33,Winter!$A:$A,FALSE),MATCH(T$1,Winter!$1:$1,FALSE))="","",INDEX(Winter!$1:$1048576,MATCH($A33,Winter!$A:$A,FALSE),MATCH(T$1,Winter!$1:$1,FALSE))),"")</f>
        <v>3A</v>
      </c>
      <c r="U33" t="str">
        <f>IFERROR(IF(INDEX(Winter!$1:$1048576,MATCH($A33,Winter!$A:$A,FALSE),MATCH(U$1,Winter!$1:$1,FALSE))="","",INDEX(Winter!$1:$1048576,MATCH($A33,Winter!$A:$A,FALSE),MATCH(U$1,Winter!$1:$1,FALSE))),"")</f>
        <v>3A</v>
      </c>
      <c r="V33" t="str">
        <f>IFERROR(IF(INDEX(Winter!$1:$1048576,MATCH($A33,Winter!$A:$A,FALSE),MATCH(V$1,Winter!$1:$1,FALSE))="","",INDEX(Winter!$1:$1048576,MATCH($A33,Winter!$A:$A,FALSE),MATCH(V$1,Winter!$1:$1,FALSE))),"")</f>
        <v>2A</v>
      </c>
      <c r="W33" t="str">
        <f>IFERROR(IF(INDEX(Winter!$1:$1048576,MATCH($A33,Winter!$A:$A,FALSE),MATCH(W$1,Winter!$1:$1,FALSE))="","",INDEX(Winter!$1:$1048576,MATCH($A33,Winter!$A:$A,FALSE),MATCH(W$1,Winter!$1:$1,FALSE))),"")</f>
        <v>3A</v>
      </c>
      <c r="Y33" t="str">
        <f>IFERROR(IF(INDEX(Spring!$1:$1048576,MATCH($A33,Spring!$A:$A,FALSE),MATCH(Y$1,Spring!$1:$1,FALSE))="","",INDEX(Spring!$1:$1048576,MATCH($A33,Spring!$A:$A,FALSE),MATCH(Y$1,Spring!$1:$1,FALSE))),"")</f>
        <v>4A</v>
      </c>
      <c r="Z33" t="str">
        <f>IFERROR(IF(INDEX(Spring!$1:$1048576,MATCH($A33,Spring!$A:$A,FALSE),MATCH(Z$1,Spring!$1:$1,FALSE))="","",INDEX(Spring!$1:$1048576,MATCH($A33,Spring!$A:$A,FALSE),MATCH(Z$1,Spring!$1:$1,FALSE))),"")</f>
        <v>4A</v>
      </c>
      <c r="AA33" t="str">
        <f>IFERROR(IF(INDEX(Spring!$1:$1048576,MATCH($A33,Spring!$A:$A,FALSE),MATCH(AA$1,Spring!$1:$1,FALSE))="","",INDEX(Spring!$1:$1048576,MATCH($A33,Spring!$A:$A,FALSE),MATCH(AA$1,Spring!$1:$1,FALSE))),"")</f>
        <v>3A</v>
      </c>
      <c r="AB33" t="str">
        <f>IFERROR(IF(INDEX(Spring!$1:$1048576,MATCH($A33,Spring!$A:$A,FALSE),MATCH(AB$1,Spring!$1:$1,FALSE))="","",INDEX(Spring!$1:$1048576,MATCH($A33,Spring!$A:$A,FALSE),MATCH(AB$1,Spring!$1:$1,FALSE))),"")</f>
        <v>2A</v>
      </c>
      <c r="AC33" t="str">
        <f>IFERROR(IF(INDEX(Spring!$1:$1048576,MATCH($A33,Spring!$A:$A,FALSE),MATCH(AC$1,Spring!$1:$1,FALSE))="","",INDEX(Spring!$1:$1048576,MATCH($A33,Spring!$A:$A,FALSE),MATCH(AC$1,Spring!$1:$1,FALSE))),"")</f>
        <v>3A</v>
      </c>
      <c r="AD33" t="str">
        <f>IFERROR(IF(INDEX(Spring!$1:$1048576,MATCH($A33,Spring!$A:$A,FALSE),MATCH(AD$1,Spring!$1:$1,FALSE))="","",INDEX(Spring!$1:$1048576,MATCH($A33,Spring!$A:$A,FALSE),MATCH(AD$1,Spring!$1:$1,FALSE))),"")</f>
        <v>3A</v>
      </c>
    </row>
    <row r="34" spans="1:30" ht="15.75" thickBot="1" x14ac:dyDescent="0.3">
      <c r="A34" s="48" t="s">
        <v>50</v>
      </c>
      <c r="B34" s="49">
        <v>2718</v>
      </c>
      <c r="C34" s="50"/>
      <c r="D34" s="50"/>
      <c r="E34" s="50"/>
      <c r="F34" s="45"/>
      <c r="G34" s="45"/>
      <c r="H34" s="44"/>
      <c r="J34" t="str">
        <f>IFERROR(IF(INDEX(Fall!$1:$1048576,MATCH($A34,Fall!$A:$A,FALSE),MATCH(J$1,Fall!$1:$1,FALSE))="","",INDEX(Fall!$1:$1048576,MATCH($A34,Fall!$A:$A,FALSE),MATCH(J$1,Fall!$1:$1,FALSE))),"")</f>
        <v>3A</v>
      </c>
      <c r="K34" t="str">
        <f>IFERROR(IF(INDEX(Fall!$1:$1048576,MATCH($A34,Fall!$A:$A,FALSE),MATCH(K$1,Fall!$1:$1,FALSE))="","",INDEX(Fall!$1:$1048576,MATCH($A34,Fall!$A:$A,FALSE),MATCH(K$1,Fall!$1:$1,FALSE))),"")</f>
        <v>3A</v>
      </c>
      <c r="L34" t="str">
        <f>IFERROR(IF(INDEX(Fall!$1:$1048576,MATCH($A34,Fall!$A:$A,FALSE),MATCH(L$1,Fall!$1:$1,FALSE))="","",INDEX(Fall!$1:$1048576,MATCH($A34,Fall!$A:$A,FALSE),MATCH(L$1,Fall!$1:$1,FALSE))),"")</f>
        <v>3A</v>
      </c>
      <c r="M34" t="str">
        <f>IFERROR(IF(INDEX(Fall!$1:$1048576,MATCH($A34,Fall!$A:$A,FALSE),MATCH(M$1,Fall!$1:$1,FALSE))="","",INDEX(Fall!$1:$1048576,MATCH($A34,Fall!$A:$A,FALSE),MATCH(M$1,Fall!$1:$1,FALSE))),"")</f>
        <v>2A</v>
      </c>
      <c r="N34" t="str">
        <f>IFERROR(IF(INDEX(Fall!$1:$1048576,MATCH($A34,Fall!$A:$A,FALSE),MATCH(N$1,Fall!$1:$1,FALSE))="","",INDEX(Fall!$1:$1048576,MATCH($A34,Fall!$A:$A,FALSE),MATCH(N$1,Fall!$1:$1,FALSE))),"")</f>
        <v>3A</v>
      </c>
      <c r="O34" t="str">
        <f>IFERROR(IF(INDEX(Fall!$1:$1048576,MATCH($A34,Fall!$A:$A,FALSE),MATCH(O$1,Fall!$1:$1,FALSE))="","",INDEX(Fall!$1:$1048576,MATCH($A34,Fall!$A:$A,FALSE),MATCH(O$1,Fall!$1:$1,FALSE))),"")</f>
        <v>2A</v>
      </c>
      <c r="P34" t="str">
        <f>IFERROR(IF(INDEX(Fall!$1:$1048576,MATCH($A34,Fall!$A:$A,FALSE),MATCH(P$1,Fall!$1:$1,FALSE))="","",INDEX(Fall!$1:$1048576,MATCH($A34,Fall!$A:$A,FALSE),MATCH(P$1,Fall!$1:$1,FALSE))),"")</f>
        <v>4A</v>
      </c>
      <c r="R34" t="str">
        <f>IFERROR(IF(INDEX(Winter!$1:$1048576,MATCH($A34,Winter!$A:$A,FALSE),MATCH(R$1,Winter!$1:$1,FALSE))="","",INDEX(Winter!$1:$1048576,MATCH($A34,Winter!$A:$A,FALSE),MATCH(R$1,Winter!$1:$1,FALSE))),"")</f>
        <v>4A</v>
      </c>
      <c r="S34" t="str">
        <f>IFERROR(IF(INDEX(Winter!$1:$1048576,MATCH($A34,Winter!$A:$A,FALSE),MATCH(S$1,Winter!$1:$1,FALSE))="","",INDEX(Winter!$1:$1048576,MATCH($A34,Winter!$A:$A,FALSE),MATCH(S$1,Winter!$1:$1,FALSE))),"")</f>
        <v>4A</v>
      </c>
      <c r="T34" t="str">
        <f>IFERROR(IF(INDEX(Winter!$1:$1048576,MATCH($A34,Winter!$A:$A,FALSE),MATCH(T$1,Winter!$1:$1,FALSE))="","",INDEX(Winter!$1:$1048576,MATCH($A34,Winter!$A:$A,FALSE),MATCH(T$1,Winter!$1:$1,FALSE))),"")</f>
        <v>3A</v>
      </c>
      <c r="U34" t="str">
        <f>IFERROR(IF(INDEX(Winter!$1:$1048576,MATCH($A34,Winter!$A:$A,FALSE),MATCH(U$1,Winter!$1:$1,FALSE))="","",INDEX(Winter!$1:$1048576,MATCH($A34,Winter!$A:$A,FALSE),MATCH(U$1,Winter!$1:$1,FALSE))),"")</f>
        <v>3A</v>
      </c>
      <c r="V34" t="str">
        <f>IFERROR(IF(INDEX(Winter!$1:$1048576,MATCH($A34,Winter!$A:$A,FALSE),MATCH(V$1,Winter!$1:$1,FALSE))="","",INDEX(Winter!$1:$1048576,MATCH($A34,Winter!$A:$A,FALSE),MATCH(V$1,Winter!$1:$1,FALSE))),"")</f>
        <v>2A</v>
      </c>
      <c r="W34" t="str">
        <f>IFERROR(IF(INDEX(Winter!$1:$1048576,MATCH($A34,Winter!$A:$A,FALSE),MATCH(W$1,Winter!$1:$1,FALSE))="","",INDEX(Winter!$1:$1048576,MATCH($A34,Winter!$A:$A,FALSE),MATCH(W$1,Winter!$1:$1,FALSE))),"")</f>
        <v>3A</v>
      </c>
      <c r="Y34" t="str">
        <f>IFERROR(IF(INDEX(Spring!$1:$1048576,MATCH($A34,Spring!$A:$A,FALSE),MATCH(Y$1,Spring!$1:$1,FALSE))="","",INDEX(Spring!$1:$1048576,MATCH($A34,Spring!$A:$A,FALSE),MATCH(Y$1,Spring!$1:$1,FALSE))),"")</f>
        <v>4A</v>
      </c>
      <c r="Z34" t="str">
        <f>IFERROR(IF(INDEX(Spring!$1:$1048576,MATCH($A34,Spring!$A:$A,FALSE),MATCH(Z$1,Spring!$1:$1,FALSE))="","",INDEX(Spring!$1:$1048576,MATCH($A34,Spring!$A:$A,FALSE),MATCH(Z$1,Spring!$1:$1,FALSE))),"")</f>
        <v>4A</v>
      </c>
      <c r="AA34" t="str">
        <f>IFERROR(IF(INDEX(Spring!$1:$1048576,MATCH($A34,Spring!$A:$A,FALSE),MATCH(AA$1,Spring!$1:$1,FALSE))="","",INDEX(Spring!$1:$1048576,MATCH($A34,Spring!$A:$A,FALSE),MATCH(AA$1,Spring!$1:$1,FALSE))),"")</f>
        <v>3A</v>
      </c>
      <c r="AB34" t="str">
        <f>IFERROR(IF(INDEX(Spring!$1:$1048576,MATCH($A34,Spring!$A:$A,FALSE),MATCH(AB$1,Spring!$1:$1,FALSE))="","",INDEX(Spring!$1:$1048576,MATCH($A34,Spring!$A:$A,FALSE),MATCH(AB$1,Spring!$1:$1,FALSE))),"")</f>
        <v>2A</v>
      </c>
      <c r="AC34" t="str">
        <f>IFERROR(IF(INDEX(Spring!$1:$1048576,MATCH($A34,Spring!$A:$A,FALSE),MATCH(AC$1,Spring!$1:$1,FALSE))="","",INDEX(Spring!$1:$1048576,MATCH($A34,Spring!$A:$A,FALSE),MATCH(AC$1,Spring!$1:$1,FALSE))),"")</f>
        <v>3A</v>
      </c>
      <c r="AD34" t="str">
        <f>IFERROR(IF(INDEX(Spring!$1:$1048576,MATCH($A34,Spring!$A:$A,FALSE),MATCH(AD$1,Spring!$1:$1,FALSE))="","",INDEX(Spring!$1:$1048576,MATCH($A34,Spring!$A:$A,FALSE),MATCH(AD$1,Spring!$1:$1,FALSE))),"")</f>
        <v>3A</v>
      </c>
    </row>
    <row r="35" spans="1:30" ht="15.75" thickBot="1" x14ac:dyDescent="0.3">
      <c r="A35" s="48" t="s">
        <v>51</v>
      </c>
      <c r="B35" s="49">
        <v>142</v>
      </c>
      <c r="C35" s="50"/>
      <c r="D35" s="50"/>
      <c r="E35" s="50"/>
      <c r="F35" s="45"/>
      <c r="G35" s="45"/>
      <c r="H35" s="44"/>
      <c r="J35" t="str">
        <f>IFERROR(IF(INDEX(Fall!$1:$1048576,MATCH($A35,Fall!$A:$A,FALSE),MATCH(J$1,Fall!$1:$1,FALSE))="","",INDEX(Fall!$1:$1048576,MATCH($A35,Fall!$A:$A,FALSE),MATCH(J$1,Fall!$1:$1,FALSE))),"")</f>
        <v/>
      </c>
      <c r="K35" t="str">
        <f>IFERROR(IF(INDEX(Fall!$1:$1048576,MATCH($A35,Fall!$A:$A,FALSE),MATCH(K$1,Fall!$1:$1,FALSE))="","",INDEX(Fall!$1:$1048576,MATCH($A35,Fall!$A:$A,FALSE),MATCH(K$1,Fall!$1:$1,FALSE))),"")</f>
        <v/>
      </c>
      <c r="L35" t="str">
        <f>IFERROR(IF(INDEX(Fall!$1:$1048576,MATCH($A35,Fall!$A:$A,FALSE),MATCH(L$1,Fall!$1:$1,FALSE))="","",INDEX(Fall!$1:$1048576,MATCH($A35,Fall!$A:$A,FALSE),MATCH(L$1,Fall!$1:$1,FALSE))),"")</f>
        <v>1A</v>
      </c>
      <c r="M35" t="str">
        <f>IFERROR(IF(INDEX(Fall!$1:$1048576,MATCH($A35,Fall!$A:$A,FALSE),MATCH(M$1,Fall!$1:$1,FALSE))="","",INDEX(Fall!$1:$1048576,MATCH($A35,Fall!$A:$A,FALSE),MATCH(M$1,Fall!$1:$1,FALSE))),"")</f>
        <v/>
      </c>
      <c r="N35" t="str">
        <f>IFERROR(IF(INDEX(Fall!$1:$1048576,MATCH($A35,Fall!$A:$A,FALSE),MATCH(N$1,Fall!$1:$1,FALSE))="","",INDEX(Fall!$1:$1048576,MATCH($A35,Fall!$A:$A,FALSE),MATCH(N$1,Fall!$1:$1,FALSE))),"")</f>
        <v/>
      </c>
      <c r="O35" t="str">
        <f>IFERROR(IF(INDEX(Fall!$1:$1048576,MATCH($A35,Fall!$A:$A,FALSE),MATCH(O$1,Fall!$1:$1,FALSE))="","",INDEX(Fall!$1:$1048576,MATCH($A35,Fall!$A:$A,FALSE),MATCH(O$1,Fall!$1:$1,FALSE))),"")</f>
        <v/>
      </c>
      <c r="P35" t="str">
        <f>IFERROR(IF(INDEX(Fall!$1:$1048576,MATCH($A35,Fall!$A:$A,FALSE),MATCH(P$1,Fall!$1:$1,FALSE))="","",INDEX(Fall!$1:$1048576,MATCH($A35,Fall!$A:$A,FALSE),MATCH(P$1,Fall!$1:$1,FALSE))),"")</f>
        <v>1A</v>
      </c>
      <c r="R35" t="str">
        <f>IFERROR(IF(INDEX(Winter!$1:$1048576,MATCH($A35,Winter!$A:$A,FALSE),MATCH(R$1,Winter!$1:$1,FALSE))="","",INDEX(Winter!$1:$1048576,MATCH($A35,Winter!$A:$A,FALSE),MATCH(R$1,Winter!$1:$1,FALSE))),"")</f>
        <v>1A</v>
      </c>
      <c r="S35" t="str">
        <f>IFERROR(IF(INDEX(Winter!$1:$1048576,MATCH($A35,Winter!$A:$A,FALSE),MATCH(S$1,Winter!$1:$1,FALSE))="","",INDEX(Winter!$1:$1048576,MATCH($A35,Winter!$A:$A,FALSE),MATCH(S$1,Winter!$1:$1,FALSE))),"")</f>
        <v>1A</v>
      </c>
      <c r="T35" t="str">
        <f>IFERROR(IF(INDEX(Winter!$1:$1048576,MATCH($A35,Winter!$A:$A,FALSE),MATCH(T$1,Winter!$1:$1,FALSE))="","",INDEX(Winter!$1:$1048576,MATCH($A35,Winter!$A:$A,FALSE),MATCH(T$1,Winter!$1:$1,FALSE))),"")</f>
        <v/>
      </c>
      <c r="U35" t="str">
        <f>IFERROR(IF(INDEX(Winter!$1:$1048576,MATCH($A35,Winter!$A:$A,FALSE),MATCH(U$1,Winter!$1:$1,FALSE))="","",INDEX(Winter!$1:$1048576,MATCH($A35,Winter!$A:$A,FALSE),MATCH(U$1,Winter!$1:$1,FALSE))),"")</f>
        <v/>
      </c>
      <c r="V35" t="str">
        <f>IFERROR(IF(INDEX(Winter!$1:$1048576,MATCH($A35,Winter!$A:$A,FALSE),MATCH(V$1,Winter!$1:$1,FALSE))="","",INDEX(Winter!$1:$1048576,MATCH($A35,Winter!$A:$A,FALSE),MATCH(V$1,Winter!$1:$1,FALSE))),"")</f>
        <v>1A</v>
      </c>
      <c r="W35" t="str">
        <f>IFERROR(IF(INDEX(Winter!$1:$1048576,MATCH($A35,Winter!$A:$A,FALSE),MATCH(W$1,Winter!$1:$1,FALSE))="","",INDEX(Winter!$1:$1048576,MATCH($A35,Winter!$A:$A,FALSE),MATCH(W$1,Winter!$1:$1,FALSE))),"")</f>
        <v/>
      </c>
      <c r="Y35" t="str">
        <f>IFERROR(IF(INDEX(Spring!$1:$1048576,MATCH($A35,Spring!$A:$A,FALSE),MATCH(Y$1,Spring!$1:$1,FALSE))="","",INDEX(Spring!$1:$1048576,MATCH($A35,Spring!$A:$A,FALSE),MATCH(Y$1,Spring!$1:$1,FALSE))),"")</f>
        <v>1A</v>
      </c>
      <c r="Z35" t="str">
        <f>IFERROR(IF(INDEX(Spring!$1:$1048576,MATCH($A35,Spring!$A:$A,FALSE),MATCH(Z$1,Spring!$1:$1,FALSE))="","",INDEX(Spring!$1:$1048576,MATCH($A35,Spring!$A:$A,FALSE),MATCH(Z$1,Spring!$1:$1,FALSE))),"")</f>
        <v>1A</v>
      </c>
      <c r="AA35" t="str">
        <f>IFERROR(IF(INDEX(Spring!$1:$1048576,MATCH($A35,Spring!$A:$A,FALSE),MATCH(AA$1,Spring!$1:$1,FALSE))="","",INDEX(Spring!$1:$1048576,MATCH($A35,Spring!$A:$A,FALSE),MATCH(AA$1,Spring!$1:$1,FALSE))),"")</f>
        <v/>
      </c>
      <c r="AB35" t="str">
        <f>IFERROR(IF(INDEX(Spring!$1:$1048576,MATCH($A35,Spring!$A:$A,FALSE),MATCH(AB$1,Spring!$1:$1,FALSE))="","",INDEX(Spring!$1:$1048576,MATCH($A35,Spring!$A:$A,FALSE),MATCH(AB$1,Spring!$1:$1,FALSE))),"")</f>
        <v/>
      </c>
      <c r="AC35" t="str">
        <f>IFERROR(IF(INDEX(Spring!$1:$1048576,MATCH($A35,Spring!$A:$A,FALSE),MATCH(AC$1,Spring!$1:$1,FALSE))="","",INDEX(Spring!$1:$1048576,MATCH($A35,Spring!$A:$A,FALSE),MATCH(AC$1,Spring!$1:$1,FALSE))),"")</f>
        <v>1A</v>
      </c>
      <c r="AD35" t="str">
        <f>IFERROR(IF(INDEX(Spring!$1:$1048576,MATCH($A35,Spring!$A:$A,FALSE),MATCH(AD$1,Spring!$1:$1,FALSE))="","",INDEX(Spring!$1:$1048576,MATCH($A35,Spring!$A:$A,FALSE),MATCH(AD$1,Spring!$1:$1,FALSE))),"")</f>
        <v>1A</v>
      </c>
    </row>
    <row r="36" spans="1:30" ht="15.75" thickBot="1" x14ac:dyDescent="0.3">
      <c r="A36" s="48" t="s">
        <v>52</v>
      </c>
      <c r="B36" s="49">
        <v>2203</v>
      </c>
      <c r="C36" s="50"/>
      <c r="D36" s="50"/>
      <c r="E36" s="50"/>
      <c r="F36" s="45"/>
      <c r="G36" s="45"/>
      <c r="H36" s="44"/>
      <c r="J36" t="str">
        <f>IFERROR(IF(INDEX(Fall!$1:$1048576,MATCH($A36,Fall!$A:$A,FALSE),MATCH(J$1,Fall!$1:$1,FALSE))="","",INDEX(Fall!$1:$1048576,MATCH($A36,Fall!$A:$A,FALSE),MATCH(J$1,Fall!$1:$1,FALSE))),"")</f>
        <v>3A</v>
      </c>
      <c r="K36" t="str">
        <f>IFERROR(IF(INDEX(Fall!$1:$1048576,MATCH($A36,Fall!$A:$A,FALSE),MATCH(K$1,Fall!$1:$1,FALSE))="","",INDEX(Fall!$1:$1048576,MATCH($A36,Fall!$A:$A,FALSE),MATCH(K$1,Fall!$1:$1,FALSE))),"")</f>
        <v>3A</v>
      </c>
      <c r="L36" t="str">
        <f>IFERROR(IF(INDEX(Fall!$1:$1048576,MATCH($A36,Fall!$A:$A,FALSE),MATCH(L$1,Fall!$1:$1,FALSE))="","",INDEX(Fall!$1:$1048576,MATCH($A36,Fall!$A:$A,FALSE),MATCH(L$1,Fall!$1:$1,FALSE))),"")</f>
        <v>3A</v>
      </c>
      <c r="M36" t="str">
        <f>IFERROR(IF(INDEX(Fall!$1:$1048576,MATCH($A36,Fall!$A:$A,FALSE),MATCH(M$1,Fall!$1:$1,FALSE))="","",INDEX(Fall!$1:$1048576,MATCH($A36,Fall!$A:$A,FALSE),MATCH(M$1,Fall!$1:$1,FALSE))),"")</f>
        <v/>
      </c>
      <c r="N36" t="str">
        <f>IFERROR(IF(INDEX(Fall!$1:$1048576,MATCH($A36,Fall!$A:$A,FALSE),MATCH(N$1,Fall!$1:$1,FALSE))="","",INDEX(Fall!$1:$1048576,MATCH($A36,Fall!$A:$A,FALSE),MATCH(N$1,Fall!$1:$1,FALSE))),"")</f>
        <v>3A</v>
      </c>
      <c r="O36" t="str">
        <f>IFERROR(IF(INDEX(Fall!$1:$1048576,MATCH($A36,Fall!$A:$A,FALSE),MATCH(O$1,Fall!$1:$1,FALSE))="","",INDEX(Fall!$1:$1048576,MATCH($A36,Fall!$A:$A,FALSE),MATCH(O$1,Fall!$1:$1,FALSE))),"")</f>
        <v>2A</v>
      </c>
      <c r="P36" t="str">
        <f>IFERROR(IF(INDEX(Fall!$1:$1048576,MATCH($A36,Fall!$A:$A,FALSE),MATCH(P$1,Fall!$1:$1,FALSE))="","",INDEX(Fall!$1:$1048576,MATCH($A36,Fall!$A:$A,FALSE),MATCH(P$1,Fall!$1:$1,FALSE))),"")</f>
        <v>4A</v>
      </c>
      <c r="R36" t="str">
        <f>IFERROR(IF(INDEX(Winter!$1:$1048576,MATCH($A36,Winter!$A:$A,FALSE),MATCH(R$1,Winter!$1:$1,FALSE))="","",INDEX(Winter!$1:$1048576,MATCH($A36,Winter!$A:$A,FALSE),MATCH(R$1,Winter!$1:$1,FALSE))),"")</f>
        <v>4A</v>
      </c>
      <c r="S36" t="str">
        <f>IFERROR(IF(INDEX(Winter!$1:$1048576,MATCH($A36,Winter!$A:$A,FALSE),MATCH(S$1,Winter!$1:$1,FALSE))="","",INDEX(Winter!$1:$1048576,MATCH($A36,Winter!$A:$A,FALSE),MATCH(S$1,Winter!$1:$1,FALSE))),"")</f>
        <v>4A</v>
      </c>
      <c r="T36" t="str">
        <f>IFERROR(IF(INDEX(Winter!$1:$1048576,MATCH($A36,Winter!$A:$A,FALSE),MATCH(T$1,Winter!$1:$1,FALSE))="","",INDEX(Winter!$1:$1048576,MATCH($A36,Winter!$A:$A,FALSE),MATCH(T$1,Winter!$1:$1,FALSE))),"")</f>
        <v>3A</v>
      </c>
      <c r="U36" t="str">
        <f>IFERROR(IF(INDEX(Winter!$1:$1048576,MATCH($A36,Winter!$A:$A,FALSE),MATCH(U$1,Winter!$1:$1,FALSE))="","",INDEX(Winter!$1:$1048576,MATCH($A36,Winter!$A:$A,FALSE),MATCH(U$1,Winter!$1:$1,FALSE))),"")</f>
        <v>3A</v>
      </c>
      <c r="V36" t="str">
        <f>IFERROR(IF(INDEX(Winter!$1:$1048576,MATCH($A36,Winter!$A:$A,FALSE),MATCH(V$1,Winter!$1:$1,FALSE))="","",INDEX(Winter!$1:$1048576,MATCH($A36,Winter!$A:$A,FALSE),MATCH(V$1,Winter!$1:$1,FALSE))),"")</f>
        <v>2A</v>
      </c>
      <c r="W36" t="str">
        <f>IFERROR(IF(INDEX(Winter!$1:$1048576,MATCH($A36,Winter!$A:$A,FALSE),MATCH(W$1,Winter!$1:$1,FALSE))="","",INDEX(Winter!$1:$1048576,MATCH($A36,Winter!$A:$A,FALSE),MATCH(W$1,Winter!$1:$1,FALSE))),"")</f>
        <v>3A</v>
      </c>
      <c r="Y36" t="str">
        <f>IFERROR(IF(INDEX(Spring!$1:$1048576,MATCH($A36,Spring!$A:$A,FALSE),MATCH(Y$1,Spring!$1:$1,FALSE))="","",INDEX(Spring!$1:$1048576,MATCH($A36,Spring!$A:$A,FALSE),MATCH(Y$1,Spring!$1:$1,FALSE))),"")</f>
        <v>4A</v>
      </c>
      <c r="Z36" t="str">
        <f>IFERROR(IF(INDEX(Spring!$1:$1048576,MATCH($A36,Spring!$A:$A,FALSE),MATCH(Z$1,Spring!$1:$1,FALSE))="","",INDEX(Spring!$1:$1048576,MATCH($A36,Spring!$A:$A,FALSE),MATCH(Z$1,Spring!$1:$1,FALSE))),"")</f>
        <v>4A</v>
      </c>
      <c r="AA36" t="str">
        <f>IFERROR(IF(INDEX(Spring!$1:$1048576,MATCH($A36,Spring!$A:$A,FALSE),MATCH(AA$1,Spring!$1:$1,FALSE))="","",INDEX(Spring!$1:$1048576,MATCH($A36,Spring!$A:$A,FALSE),MATCH(AA$1,Spring!$1:$1,FALSE))),"")</f>
        <v>3A</v>
      </c>
      <c r="AB36" t="str">
        <f>IFERROR(IF(INDEX(Spring!$1:$1048576,MATCH($A36,Spring!$A:$A,FALSE),MATCH(AB$1,Spring!$1:$1,FALSE))="","",INDEX(Spring!$1:$1048576,MATCH($A36,Spring!$A:$A,FALSE),MATCH(AB$1,Spring!$1:$1,FALSE))),"")</f>
        <v>2A</v>
      </c>
      <c r="AC36" t="str">
        <f>IFERROR(IF(INDEX(Spring!$1:$1048576,MATCH($A36,Spring!$A:$A,FALSE),MATCH(AC$1,Spring!$1:$1,FALSE))="","",INDEX(Spring!$1:$1048576,MATCH($A36,Spring!$A:$A,FALSE),MATCH(AC$1,Spring!$1:$1,FALSE))),"")</f>
        <v>3A</v>
      </c>
      <c r="AD36" t="str">
        <f>IFERROR(IF(INDEX(Spring!$1:$1048576,MATCH($A36,Spring!$A:$A,FALSE),MATCH(AD$1,Spring!$1:$1,FALSE))="","",INDEX(Spring!$1:$1048576,MATCH($A36,Spring!$A:$A,FALSE),MATCH(AD$1,Spring!$1:$1,FALSE))),"")</f>
        <v>3A</v>
      </c>
    </row>
    <row r="37" spans="1:30" ht="15.75" thickBot="1" x14ac:dyDescent="0.3">
      <c r="A37" s="48" t="s">
        <v>53</v>
      </c>
      <c r="B37" s="49">
        <v>834</v>
      </c>
      <c r="C37" s="50"/>
      <c r="D37" s="50"/>
      <c r="E37" s="50"/>
      <c r="F37" s="45"/>
      <c r="G37" s="45"/>
      <c r="H37" s="44"/>
      <c r="J37" t="str">
        <f>IFERROR(IF(INDEX(Fall!$1:$1048576,MATCH($A37,Fall!$A:$A,FALSE),MATCH(J$1,Fall!$1:$1,FALSE))="","",INDEX(Fall!$1:$1048576,MATCH($A37,Fall!$A:$A,FALSE),MATCH(J$1,Fall!$1:$1,FALSE))),"")</f>
        <v>2A</v>
      </c>
      <c r="K37" t="str">
        <f>IFERROR(IF(INDEX(Fall!$1:$1048576,MATCH($A37,Fall!$A:$A,FALSE),MATCH(K$1,Fall!$1:$1,FALSE))="","",INDEX(Fall!$1:$1048576,MATCH($A37,Fall!$A:$A,FALSE),MATCH(K$1,Fall!$1:$1,FALSE))),"")</f>
        <v>2A</v>
      </c>
      <c r="L37" t="str">
        <f>IFERROR(IF(INDEX(Fall!$1:$1048576,MATCH($A37,Fall!$A:$A,FALSE),MATCH(L$1,Fall!$1:$1,FALSE))="","",INDEX(Fall!$1:$1048576,MATCH($A37,Fall!$A:$A,FALSE),MATCH(L$1,Fall!$1:$1,FALSE))),"")</f>
        <v>2A</v>
      </c>
      <c r="M37" t="str">
        <f>IFERROR(IF(INDEX(Fall!$1:$1048576,MATCH($A37,Fall!$A:$A,FALSE),MATCH(M$1,Fall!$1:$1,FALSE))="","",INDEX(Fall!$1:$1048576,MATCH($A37,Fall!$A:$A,FALSE),MATCH(M$1,Fall!$1:$1,FALSE))),"")</f>
        <v>1A</v>
      </c>
      <c r="N37" t="str">
        <f>IFERROR(IF(INDEX(Fall!$1:$1048576,MATCH($A37,Fall!$A:$A,FALSE),MATCH(N$1,Fall!$1:$1,FALSE))="","",INDEX(Fall!$1:$1048576,MATCH($A37,Fall!$A:$A,FALSE),MATCH(N$1,Fall!$1:$1,FALSE))),"")</f>
        <v>2A</v>
      </c>
      <c r="O37" t="str">
        <f>IFERROR(IF(INDEX(Fall!$1:$1048576,MATCH($A37,Fall!$A:$A,FALSE),MATCH(O$1,Fall!$1:$1,FALSE))="","",INDEX(Fall!$1:$1048576,MATCH($A37,Fall!$A:$A,FALSE),MATCH(O$1,Fall!$1:$1,FALSE))),"")</f>
        <v>1A</v>
      </c>
      <c r="P37" t="str">
        <f>IFERROR(IF(INDEX(Fall!$1:$1048576,MATCH($A37,Fall!$A:$A,FALSE),MATCH(P$1,Fall!$1:$1,FALSE))="","",INDEX(Fall!$1:$1048576,MATCH($A37,Fall!$A:$A,FALSE),MATCH(P$1,Fall!$1:$1,FALSE))),"")</f>
        <v>3A</v>
      </c>
      <c r="R37" t="str">
        <f>IFERROR(IF(INDEX(Winter!$1:$1048576,MATCH($A37,Winter!$A:$A,FALSE),MATCH(R$1,Winter!$1:$1,FALSE))="","",INDEX(Winter!$1:$1048576,MATCH($A37,Winter!$A:$A,FALSE),MATCH(R$1,Winter!$1:$1,FALSE))),"")</f>
        <v>3A</v>
      </c>
      <c r="S37" t="str">
        <f>IFERROR(IF(INDEX(Winter!$1:$1048576,MATCH($A37,Winter!$A:$A,FALSE),MATCH(S$1,Winter!$1:$1,FALSE))="","",INDEX(Winter!$1:$1048576,MATCH($A37,Winter!$A:$A,FALSE),MATCH(S$1,Winter!$1:$1,FALSE))),"")</f>
        <v>3A</v>
      </c>
      <c r="T37" t="str">
        <f>IFERROR(IF(INDEX(Winter!$1:$1048576,MATCH($A37,Winter!$A:$A,FALSE),MATCH(T$1,Winter!$1:$1,FALSE))="","",INDEX(Winter!$1:$1048576,MATCH($A37,Winter!$A:$A,FALSE),MATCH(T$1,Winter!$1:$1,FALSE))),"")</f>
        <v>2A</v>
      </c>
      <c r="U37" t="str">
        <f>IFERROR(IF(INDEX(Winter!$1:$1048576,MATCH($A37,Winter!$A:$A,FALSE),MATCH(U$1,Winter!$1:$1,FALSE))="","",INDEX(Winter!$1:$1048576,MATCH($A37,Winter!$A:$A,FALSE),MATCH(U$1,Winter!$1:$1,FALSE))),"")</f>
        <v/>
      </c>
      <c r="V37" t="str">
        <f>IFERROR(IF(INDEX(Winter!$1:$1048576,MATCH($A37,Winter!$A:$A,FALSE),MATCH(V$1,Winter!$1:$1,FALSE))="","",INDEX(Winter!$1:$1048576,MATCH($A37,Winter!$A:$A,FALSE),MATCH(V$1,Winter!$1:$1,FALSE))),"")</f>
        <v>2A</v>
      </c>
      <c r="W37" t="str">
        <f>IFERROR(IF(INDEX(Winter!$1:$1048576,MATCH($A37,Winter!$A:$A,FALSE),MATCH(W$1,Winter!$1:$1,FALSE))="","",INDEX(Winter!$1:$1048576,MATCH($A37,Winter!$A:$A,FALSE),MATCH(W$1,Winter!$1:$1,FALSE))),"")</f>
        <v>2A</v>
      </c>
      <c r="Y37" t="str">
        <f>IFERROR(IF(INDEX(Spring!$1:$1048576,MATCH($A37,Spring!$A:$A,FALSE),MATCH(Y$1,Spring!$1:$1,FALSE))="","",INDEX(Spring!$1:$1048576,MATCH($A37,Spring!$A:$A,FALSE),MATCH(Y$1,Spring!$1:$1,FALSE))),"")</f>
        <v>3A</v>
      </c>
      <c r="Z37" t="str">
        <f>IFERROR(IF(INDEX(Spring!$1:$1048576,MATCH($A37,Spring!$A:$A,FALSE),MATCH(Z$1,Spring!$1:$1,FALSE))="","",INDEX(Spring!$1:$1048576,MATCH($A37,Spring!$A:$A,FALSE),MATCH(Z$1,Spring!$1:$1,FALSE))),"")</f>
        <v>3A</v>
      </c>
      <c r="AA37" t="str">
        <f>IFERROR(IF(INDEX(Spring!$1:$1048576,MATCH($A37,Spring!$A:$A,FALSE),MATCH(AA$1,Spring!$1:$1,FALSE))="","",INDEX(Spring!$1:$1048576,MATCH($A37,Spring!$A:$A,FALSE),MATCH(AA$1,Spring!$1:$1,FALSE))),"")</f>
        <v>2A</v>
      </c>
      <c r="AB37" t="str">
        <f>IFERROR(IF(INDEX(Spring!$1:$1048576,MATCH($A37,Spring!$A:$A,FALSE),MATCH(AB$1,Spring!$1:$1,FALSE))="","",INDEX(Spring!$1:$1048576,MATCH($A37,Spring!$A:$A,FALSE),MATCH(AB$1,Spring!$1:$1,FALSE))),"")</f>
        <v>1A</v>
      </c>
      <c r="AC37" t="str">
        <f>IFERROR(IF(INDEX(Spring!$1:$1048576,MATCH($A37,Spring!$A:$A,FALSE),MATCH(AC$1,Spring!$1:$1,FALSE))="","",INDEX(Spring!$1:$1048576,MATCH($A37,Spring!$A:$A,FALSE),MATCH(AC$1,Spring!$1:$1,FALSE))),"")</f>
        <v>2A</v>
      </c>
      <c r="AD37" t="str">
        <f>IFERROR(IF(INDEX(Spring!$1:$1048576,MATCH($A37,Spring!$A:$A,FALSE),MATCH(AD$1,Spring!$1:$1,FALSE))="","",INDEX(Spring!$1:$1048576,MATCH($A37,Spring!$A:$A,FALSE),MATCH(AD$1,Spring!$1:$1,FALSE))),"")</f>
        <v>2A</v>
      </c>
    </row>
    <row r="38" spans="1:30" ht="15.75" thickBot="1" x14ac:dyDescent="0.3">
      <c r="A38" s="48" t="s">
        <v>54</v>
      </c>
      <c r="B38" s="49">
        <v>1771</v>
      </c>
      <c r="C38" s="50"/>
      <c r="D38" s="50"/>
      <c r="E38" s="50"/>
      <c r="F38" s="45"/>
      <c r="G38" s="45"/>
      <c r="H38" s="44"/>
      <c r="J38" t="str">
        <f>IFERROR(IF(INDEX(Fall!$1:$1048576,MATCH($A38,Fall!$A:$A,FALSE),MATCH(J$1,Fall!$1:$1,FALSE))="","",INDEX(Fall!$1:$1048576,MATCH($A38,Fall!$A:$A,FALSE),MATCH(J$1,Fall!$1:$1,FALSE))),"")</f>
        <v>3A</v>
      </c>
      <c r="K38" t="str">
        <f>IFERROR(IF(INDEX(Fall!$1:$1048576,MATCH($A38,Fall!$A:$A,FALSE),MATCH(K$1,Fall!$1:$1,FALSE))="","",INDEX(Fall!$1:$1048576,MATCH($A38,Fall!$A:$A,FALSE),MATCH(K$1,Fall!$1:$1,FALSE))),"")</f>
        <v>3A</v>
      </c>
      <c r="L38" t="str">
        <f>IFERROR(IF(INDEX(Fall!$1:$1048576,MATCH($A38,Fall!$A:$A,FALSE),MATCH(L$1,Fall!$1:$1,FALSE))="","",INDEX(Fall!$1:$1048576,MATCH($A38,Fall!$A:$A,FALSE),MATCH(L$1,Fall!$1:$1,FALSE))),"")</f>
        <v>3A</v>
      </c>
      <c r="M38" t="str">
        <f>IFERROR(IF(INDEX(Fall!$1:$1048576,MATCH($A38,Fall!$A:$A,FALSE),MATCH(M$1,Fall!$1:$1,FALSE))="","",INDEX(Fall!$1:$1048576,MATCH($A38,Fall!$A:$A,FALSE),MATCH(M$1,Fall!$1:$1,FALSE))),"")</f>
        <v>2A</v>
      </c>
      <c r="N38" t="str">
        <f>IFERROR(IF(INDEX(Fall!$1:$1048576,MATCH($A38,Fall!$A:$A,FALSE),MATCH(N$1,Fall!$1:$1,FALSE))="","",INDEX(Fall!$1:$1048576,MATCH($A38,Fall!$A:$A,FALSE),MATCH(N$1,Fall!$1:$1,FALSE))),"")</f>
        <v>2A</v>
      </c>
      <c r="O38" t="str">
        <f>IFERROR(IF(INDEX(Fall!$1:$1048576,MATCH($A38,Fall!$A:$A,FALSE),MATCH(O$1,Fall!$1:$1,FALSE))="","",INDEX(Fall!$1:$1048576,MATCH($A38,Fall!$A:$A,FALSE),MATCH(O$1,Fall!$1:$1,FALSE))),"")</f>
        <v>2A</v>
      </c>
      <c r="P38" t="str">
        <f>IFERROR(IF(INDEX(Fall!$1:$1048576,MATCH($A38,Fall!$A:$A,FALSE),MATCH(P$1,Fall!$1:$1,FALSE))="","",INDEX(Fall!$1:$1048576,MATCH($A38,Fall!$A:$A,FALSE),MATCH(P$1,Fall!$1:$1,FALSE))),"")</f>
        <v>4A</v>
      </c>
      <c r="R38" t="str">
        <f>IFERROR(IF(INDEX(Winter!$1:$1048576,MATCH($A38,Winter!$A:$A,FALSE),MATCH(R$1,Winter!$1:$1,FALSE))="","",INDEX(Winter!$1:$1048576,MATCH($A38,Winter!$A:$A,FALSE),MATCH(R$1,Winter!$1:$1,FALSE))),"")</f>
        <v>4A</v>
      </c>
      <c r="S38" t="str">
        <f>IFERROR(IF(INDEX(Winter!$1:$1048576,MATCH($A38,Winter!$A:$A,FALSE),MATCH(S$1,Winter!$1:$1,FALSE))="","",INDEX(Winter!$1:$1048576,MATCH($A38,Winter!$A:$A,FALSE),MATCH(S$1,Winter!$1:$1,FALSE))),"")</f>
        <v>4A</v>
      </c>
      <c r="T38" t="str">
        <f>IFERROR(IF(INDEX(Winter!$1:$1048576,MATCH($A38,Winter!$A:$A,FALSE),MATCH(T$1,Winter!$1:$1,FALSE))="","",INDEX(Winter!$1:$1048576,MATCH($A38,Winter!$A:$A,FALSE),MATCH(T$1,Winter!$1:$1,FALSE))),"")</f>
        <v>3A</v>
      </c>
      <c r="U38" t="str">
        <f>IFERROR(IF(INDEX(Winter!$1:$1048576,MATCH($A38,Winter!$A:$A,FALSE),MATCH(U$1,Winter!$1:$1,FALSE))="","",INDEX(Winter!$1:$1048576,MATCH($A38,Winter!$A:$A,FALSE),MATCH(U$1,Winter!$1:$1,FALSE))),"")</f>
        <v>2A</v>
      </c>
      <c r="V38" t="str">
        <f>IFERROR(IF(INDEX(Winter!$1:$1048576,MATCH($A38,Winter!$A:$A,FALSE),MATCH(V$1,Winter!$1:$1,FALSE))="","",INDEX(Winter!$1:$1048576,MATCH($A38,Winter!$A:$A,FALSE),MATCH(V$1,Winter!$1:$1,FALSE))),"")</f>
        <v>2A</v>
      </c>
      <c r="W38" t="str">
        <f>IFERROR(IF(INDEX(Winter!$1:$1048576,MATCH($A38,Winter!$A:$A,FALSE),MATCH(W$1,Winter!$1:$1,FALSE))="","",INDEX(Winter!$1:$1048576,MATCH($A38,Winter!$A:$A,FALSE),MATCH(W$1,Winter!$1:$1,FALSE))),"")</f>
        <v>2A</v>
      </c>
      <c r="Y38" t="str">
        <f>IFERROR(IF(INDEX(Spring!$1:$1048576,MATCH($A38,Spring!$A:$A,FALSE),MATCH(Y$1,Spring!$1:$1,FALSE))="","",INDEX(Spring!$1:$1048576,MATCH($A38,Spring!$A:$A,FALSE),MATCH(Y$1,Spring!$1:$1,FALSE))),"")</f>
        <v>4A</v>
      </c>
      <c r="Z38" t="str">
        <f>IFERROR(IF(INDEX(Spring!$1:$1048576,MATCH($A38,Spring!$A:$A,FALSE),MATCH(Z$1,Spring!$1:$1,FALSE))="","",INDEX(Spring!$1:$1048576,MATCH($A38,Spring!$A:$A,FALSE),MATCH(Z$1,Spring!$1:$1,FALSE))),"")</f>
        <v>4A</v>
      </c>
      <c r="AA38" t="str">
        <f>IFERROR(IF(INDEX(Spring!$1:$1048576,MATCH($A38,Spring!$A:$A,FALSE),MATCH(AA$1,Spring!$1:$1,FALSE))="","",INDEX(Spring!$1:$1048576,MATCH($A38,Spring!$A:$A,FALSE),MATCH(AA$1,Spring!$1:$1,FALSE))),"")</f>
        <v>2A</v>
      </c>
      <c r="AB38" t="str">
        <f>IFERROR(IF(INDEX(Spring!$1:$1048576,MATCH($A38,Spring!$A:$A,FALSE),MATCH(AB$1,Spring!$1:$1,FALSE))="","",INDEX(Spring!$1:$1048576,MATCH($A38,Spring!$A:$A,FALSE),MATCH(AB$1,Spring!$1:$1,FALSE))),"")</f>
        <v>2A</v>
      </c>
      <c r="AC38" t="str">
        <f>IFERROR(IF(INDEX(Spring!$1:$1048576,MATCH($A38,Spring!$A:$A,FALSE),MATCH(AC$1,Spring!$1:$1,FALSE))="","",INDEX(Spring!$1:$1048576,MATCH($A38,Spring!$A:$A,FALSE),MATCH(AC$1,Spring!$1:$1,FALSE))),"")</f>
        <v>3A</v>
      </c>
      <c r="AD38" t="str">
        <f>IFERROR(IF(INDEX(Spring!$1:$1048576,MATCH($A38,Spring!$A:$A,FALSE),MATCH(AD$1,Spring!$1:$1,FALSE))="","",INDEX(Spring!$1:$1048576,MATCH($A38,Spring!$A:$A,FALSE),MATCH(AD$1,Spring!$1:$1,FALSE))),"")</f>
        <v>3A</v>
      </c>
    </row>
    <row r="39" spans="1:30" ht="15.75" thickBot="1" x14ac:dyDescent="0.3">
      <c r="A39" s="48" t="s">
        <v>55</v>
      </c>
      <c r="B39" s="49">
        <v>436</v>
      </c>
      <c r="C39" s="50"/>
      <c r="D39" s="50"/>
      <c r="E39" s="50"/>
      <c r="F39" s="45"/>
      <c r="G39" s="45"/>
      <c r="H39" s="44"/>
      <c r="J39" t="str">
        <f>IFERROR(IF(INDEX(Fall!$1:$1048576,MATCH($A39,Fall!$A:$A,FALSE),MATCH(J$1,Fall!$1:$1,FALSE))="","",INDEX(Fall!$1:$1048576,MATCH($A39,Fall!$A:$A,FALSE),MATCH(J$1,Fall!$1:$1,FALSE))),"")</f>
        <v>1A</v>
      </c>
      <c r="K39" t="str">
        <f>IFERROR(IF(INDEX(Fall!$1:$1048576,MATCH($A39,Fall!$A:$A,FALSE),MATCH(K$1,Fall!$1:$1,FALSE))="","",INDEX(Fall!$1:$1048576,MATCH($A39,Fall!$A:$A,FALSE),MATCH(K$1,Fall!$1:$1,FALSE))),"")</f>
        <v>1A</v>
      </c>
      <c r="L39" t="str">
        <f>IFERROR(IF(INDEX(Fall!$1:$1048576,MATCH($A39,Fall!$A:$A,FALSE),MATCH(L$1,Fall!$1:$1,FALSE))="","",INDEX(Fall!$1:$1048576,MATCH($A39,Fall!$A:$A,FALSE),MATCH(L$1,Fall!$1:$1,FALSE))),"")</f>
        <v>1A</v>
      </c>
      <c r="M39" t="str">
        <f>IFERROR(IF(INDEX(Fall!$1:$1048576,MATCH($A39,Fall!$A:$A,FALSE),MATCH(M$1,Fall!$1:$1,FALSE))="","",INDEX(Fall!$1:$1048576,MATCH($A39,Fall!$A:$A,FALSE),MATCH(M$1,Fall!$1:$1,FALSE))),"")</f>
        <v/>
      </c>
      <c r="N39" t="str">
        <f>IFERROR(IF(INDEX(Fall!$1:$1048576,MATCH($A39,Fall!$A:$A,FALSE),MATCH(N$1,Fall!$1:$1,FALSE))="","",INDEX(Fall!$1:$1048576,MATCH($A39,Fall!$A:$A,FALSE),MATCH(N$1,Fall!$1:$1,FALSE))),"")</f>
        <v>1A</v>
      </c>
      <c r="O39" t="str">
        <f>IFERROR(IF(INDEX(Fall!$1:$1048576,MATCH($A39,Fall!$A:$A,FALSE),MATCH(O$1,Fall!$1:$1,FALSE))="","",INDEX(Fall!$1:$1048576,MATCH($A39,Fall!$A:$A,FALSE),MATCH(O$1,Fall!$1:$1,FALSE))),"")</f>
        <v/>
      </c>
      <c r="P39" t="str">
        <f>IFERROR(IF(INDEX(Fall!$1:$1048576,MATCH($A39,Fall!$A:$A,FALSE),MATCH(P$1,Fall!$1:$1,FALSE))="","",INDEX(Fall!$1:$1048576,MATCH($A39,Fall!$A:$A,FALSE),MATCH(P$1,Fall!$1:$1,FALSE))),"")</f>
        <v>2A</v>
      </c>
      <c r="R39" t="str">
        <f>IFERROR(IF(INDEX(Winter!$1:$1048576,MATCH($A39,Winter!$A:$A,FALSE),MATCH(R$1,Winter!$1:$1,FALSE))="","",INDEX(Winter!$1:$1048576,MATCH($A39,Winter!$A:$A,FALSE),MATCH(R$1,Winter!$1:$1,FALSE))),"")</f>
        <v>2A</v>
      </c>
      <c r="S39" t="str">
        <f>IFERROR(IF(INDEX(Winter!$1:$1048576,MATCH($A39,Winter!$A:$A,FALSE),MATCH(S$1,Winter!$1:$1,FALSE))="","",INDEX(Winter!$1:$1048576,MATCH($A39,Winter!$A:$A,FALSE),MATCH(S$1,Winter!$1:$1,FALSE))),"")</f>
        <v>2A</v>
      </c>
      <c r="T39" t="str">
        <f>IFERROR(IF(INDEX(Winter!$1:$1048576,MATCH($A39,Winter!$A:$A,FALSE),MATCH(T$1,Winter!$1:$1,FALSE))="","",INDEX(Winter!$1:$1048576,MATCH($A39,Winter!$A:$A,FALSE),MATCH(T$1,Winter!$1:$1,FALSE))),"")</f>
        <v/>
      </c>
      <c r="U39" t="str">
        <f>IFERROR(IF(INDEX(Winter!$1:$1048576,MATCH($A39,Winter!$A:$A,FALSE),MATCH(U$1,Winter!$1:$1,FALSE))="","",INDEX(Winter!$1:$1048576,MATCH($A39,Winter!$A:$A,FALSE),MATCH(U$1,Winter!$1:$1,FALSE))),"")</f>
        <v/>
      </c>
      <c r="V39" t="str">
        <f>IFERROR(IF(INDEX(Winter!$1:$1048576,MATCH($A39,Winter!$A:$A,FALSE),MATCH(V$1,Winter!$1:$1,FALSE))="","",INDEX(Winter!$1:$1048576,MATCH($A39,Winter!$A:$A,FALSE),MATCH(V$1,Winter!$1:$1,FALSE))),"")</f>
        <v>1A</v>
      </c>
      <c r="W39" t="str">
        <f>IFERROR(IF(INDEX(Winter!$1:$1048576,MATCH($A39,Winter!$A:$A,FALSE),MATCH(W$1,Winter!$1:$1,FALSE))="","",INDEX(Winter!$1:$1048576,MATCH($A39,Winter!$A:$A,FALSE),MATCH(W$1,Winter!$1:$1,FALSE))),"")</f>
        <v>1A</v>
      </c>
      <c r="Y39" t="str">
        <f>IFERROR(IF(INDEX(Spring!$1:$1048576,MATCH($A39,Spring!$A:$A,FALSE),MATCH(Y$1,Spring!$1:$1,FALSE))="","",INDEX(Spring!$1:$1048576,MATCH($A39,Spring!$A:$A,FALSE),MATCH(Y$1,Spring!$1:$1,FALSE))),"")</f>
        <v>2A</v>
      </c>
      <c r="Z39" t="str">
        <f>IFERROR(IF(INDEX(Spring!$1:$1048576,MATCH($A39,Spring!$A:$A,FALSE),MATCH(Z$1,Spring!$1:$1,FALSE))="","",INDEX(Spring!$1:$1048576,MATCH($A39,Spring!$A:$A,FALSE),MATCH(Z$1,Spring!$1:$1,FALSE))),"")</f>
        <v>2A</v>
      </c>
      <c r="AA39" t="str">
        <f>IFERROR(IF(INDEX(Spring!$1:$1048576,MATCH($A39,Spring!$A:$A,FALSE),MATCH(AA$1,Spring!$1:$1,FALSE))="","",INDEX(Spring!$1:$1048576,MATCH($A39,Spring!$A:$A,FALSE),MATCH(AA$1,Spring!$1:$1,FALSE))),"")</f>
        <v>1A</v>
      </c>
      <c r="AB39" t="str">
        <f>IFERROR(IF(INDEX(Spring!$1:$1048576,MATCH($A39,Spring!$A:$A,FALSE),MATCH(AB$1,Spring!$1:$1,FALSE))="","",INDEX(Spring!$1:$1048576,MATCH($A39,Spring!$A:$A,FALSE),MATCH(AB$1,Spring!$1:$1,FALSE))),"")</f>
        <v/>
      </c>
      <c r="AC39" t="str">
        <f>IFERROR(IF(INDEX(Spring!$1:$1048576,MATCH($A39,Spring!$A:$A,FALSE),MATCH(AC$1,Spring!$1:$1,FALSE))="","",INDEX(Spring!$1:$1048576,MATCH($A39,Spring!$A:$A,FALSE),MATCH(AC$1,Spring!$1:$1,FALSE))),"")</f>
        <v>1A</v>
      </c>
      <c r="AD39" t="str">
        <f>IFERROR(IF(INDEX(Spring!$1:$1048576,MATCH($A39,Spring!$A:$A,FALSE),MATCH(AD$1,Spring!$1:$1,FALSE))="","",INDEX(Spring!$1:$1048576,MATCH($A39,Spring!$A:$A,FALSE),MATCH(AD$1,Spring!$1:$1,FALSE))),"")</f>
        <v>1A</v>
      </c>
    </row>
    <row r="40" spans="1:30" ht="15.75" thickBot="1" x14ac:dyDescent="0.3">
      <c r="A40" s="48" t="s">
        <v>56</v>
      </c>
      <c r="B40" s="49">
        <v>334</v>
      </c>
      <c r="C40" s="50"/>
      <c r="D40" s="50"/>
      <c r="E40" s="50"/>
      <c r="F40" s="45"/>
      <c r="G40" s="45"/>
      <c r="H40" s="44"/>
      <c r="J40" t="str">
        <f>IFERROR(IF(INDEX(Fall!$1:$1048576,MATCH($A40,Fall!$A:$A,FALSE),MATCH(J$1,Fall!$1:$1,FALSE))="","",INDEX(Fall!$1:$1048576,MATCH($A40,Fall!$A:$A,FALSE),MATCH(J$1,Fall!$1:$1,FALSE))),"")</f>
        <v>1A</v>
      </c>
      <c r="K40" t="str">
        <f>IFERROR(IF(INDEX(Fall!$1:$1048576,MATCH($A40,Fall!$A:$A,FALSE),MATCH(K$1,Fall!$1:$1,FALSE))="","",INDEX(Fall!$1:$1048576,MATCH($A40,Fall!$A:$A,FALSE),MATCH(K$1,Fall!$1:$1,FALSE))),"")</f>
        <v>1A</v>
      </c>
      <c r="L40" t="str">
        <f>IFERROR(IF(INDEX(Fall!$1:$1048576,MATCH($A40,Fall!$A:$A,FALSE),MATCH(L$1,Fall!$1:$1,FALSE))="","",INDEX(Fall!$1:$1048576,MATCH($A40,Fall!$A:$A,FALSE),MATCH(L$1,Fall!$1:$1,FALSE))),"")</f>
        <v>1A</v>
      </c>
      <c r="M40" t="str">
        <f>IFERROR(IF(INDEX(Fall!$1:$1048576,MATCH($A40,Fall!$A:$A,FALSE),MATCH(M$1,Fall!$1:$1,FALSE))="","",INDEX(Fall!$1:$1048576,MATCH($A40,Fall!$A:$A,FALSE),MATCH(M$1,Fall!$1:$1,FALSE))),"")</f>
        <v>1A</v>
      </c>
      <c r="N40" t="str">
        <f>IFERROR(IF(INDEX(Fall!$1:$1048576,MATCH($A40,Fall!$A:$A,FALSE),MATCH(N$1,Fall!$1:$1,FALSE))="","",INDEX(Fall!$1:$1048576,MATCH($A40,Fall!$A:$A,FALSE),MATCH(N$1,Fall!$1:$1,FALSE))),"")</f>
        <v>1A</v>
      </c>
      <c r="O40" t="str">
        <f>IFERROR(IF(INDEX(Fall!$1:$1048576,MATCH($A40,Fall!$A:$A,FALSE),MATCH(O$1,Fall!$1:$1,FALSE))="","",INDEX(Fall!$1:$1048576,MATCH($A40,Fall!$A:$A,FALSE),MATCH(O$1,Fall!$1:$1,FALSE))),"")</f>
        <v/>
      </c>
      <c r="P40" t="str">
        <f>IFERROR(IF(INDEX(Fall!$1:$1048576,MATCH($A40,Fall!$A:$A,FALSE),MATCH(P$1,Fall!$1:$1,FALSE))="","",INDEX(Fall!$1:$1048576,MATCH($A40,Fall!$A:$A,FALSE),MATCH(P$1,Fall!$1:$1,FALSE))),"")</f>
        <v>2A</v>
      </c>
      <c r="R40" t="str">
        <f>IFERROR(IF(INDEX(Winter!$1:$1048576,MATCH($A40,Winter!$A:$A,FALSE),MATCH(R$1,Winter!$1:$1,FALSE))="","",INDEX(Winter!$1:$1048576,MATCH($A40,Winter!$A:$A,FALSE),MATCH(R$1,Winter!$1:$1,FALSE))),"")</f>
        <v>2A</v>
      </c>
      <c r="S40" t="str">
        <f>IFERROR(IF(INDEX(Winter!$1:$1048576,MATCH($A40,Winter!$A:$A,FALSE),MATCH(S$1,Winter!$1:$1,FALSE))="","",INDEX(Winter!$1:$1048576,MATCH($A40,Winter!$A:$A,FALSE),MATCH(S$1,Winter!$1:$1,FALSE))),"")</f>
        <v>2A</v>
      </c>
      <c r="T40" t="str">
        <f>IFERROR(IF(INDEX(Winter!$1:$1048576,MATCH($A40,Winter!$A:$A,FALSE),MATCH(T$1,Winter!$1:$1,FALSE))="","",INDEX(Winter!$1:$1048576,MATCH($A40,Winter!$A:$A,FALSE),MATCH(T$1,Winter!$1:$1,FALSE))),"")</f>
        <v/>
      </c>
      <c r="U40" t="str">
        <f>IFERROR(IF(INDEX(Winter!$1:$1048576,MATCH($A40,Winter!$A:$A,FALSE),MATCH(U$1,Winter!$1:$1,FALSE))="","",INDEX(Winter!$1:$1048576,MATCH($A40,Winter!$A:$A,FALSE),MATCH(U$1,Winter!$1:$1,FALSE))),"")</f>
        <v/>
      </c>
      <c r="V40" t="str">
        <f>IFERROR(IF(INDEX(Winter!$1:$1048576,MATCH($A40,Winter!$A:$A,FALSE),MATCH(V$1,Winter!$1:$1,FALSE))="","",INDEX(Winter!$1:$1048576,MATCH($A40,Winter!$A:$A,FALSE),MATCH(V$1,Winter!$1:$1,FALSE))),"")</f>
        <v>1A</v>
      </c>
      <c r="W40" t="str">
        <f>IFERROR(IF(INDEX(Winter!$1:$1048576,MATCH($A40,Winter!$A:$A,FALSE),MATCH(W$1,Winter!$1:$1,FALSE))="","",INDEX(Winter!$1:$1048576,MATCH($A40,Winter!$A:$A,FALSE),MATCH(W$1,Winter!$1:$1,FALSE))),"")</f>
        <v/>
      </c>
      <c r="Y40" t="str">
        <f>IFERROR(IF(INDEX(Spring!$1:$1048576,MATCH($A40,Spring!$A:$A,FALSE),MATCH(Y$1,Spring!$1:$1,FALSE))="","",INDEX(Spring!$1:$1048576,MATCH($A40,Spring!$A:$A,FALSE),MATCH(Y$1,Spring!$1:$1,FALSE))),"")</f>
        <v>2A</v>
      </c>
      <c r="Z40" t="str">
        <f>IFERROR(IF(INDEX(Spring!$1:$1048576,MATCH($A40,Spring!$A:$A,FALSE),MATCH(Z$1,Spring!$1:$1,FALSE))="","",INDEX(Spring!$1:$1048576,MATCH($A40,Spring!$A:$A,FALSE),MATCH(Z$1,Spring!$1:$1,FALSE))),"")</f>
        <v>2A</v>
      </c>
      <c r="AA40" t="str">
        <f>IFERROR(IF(INDEX(Spring!$1:$1048576,MATCH($A40,Spring!$A:$A,FALSE),MATCH(AA$1,Spring!$1:$1,FALSE))="","",INDEX(Spring!$1:$1048576,MATCH($A40,Spring!$A:$A,FALSE),MATCH(AA$1,Spring!$1:$1,FALSE))),"")</f>
        <v>1A</v>
      </c>
      <c r="AB40" t="str">
        <f>IFERROR(IF(INDEX(Spring!$1:$1048576,MATCH($A40,Spring!$A:$A,FALSE),MATCH(AB$1,Spring!$1:$1,FALSE))="","",INDEX(Spring!$1:$1048576,MATCH($A40,Spring!$A:$A,FALSE),MATCH(AB$1,Spring!$1:$1,FALSE))),"")</f>
        <v/>
      </c>
      <c r="AC40" t="str">
        <f>IFERROR(IF(INDEX(Spring!$1:$1048576,MATCH($A40,Spring!$A:$A,FALSE),MATCH(AC$1,Spring!$1:$1,FALSE))="","",INDEX(Spring!$1:$1048576,MATCH($A40,Spring!$A:$A,FALSE),MATCH(AC$1,Spring!$1:$1,FALSE))),"")</f>
        <v>1A</v>
      </c>
      <c r="AD40" t="str">
        <f>IFERROR(IF(INDEX(Spring!$1:$1048576,MATCH($A40,Spring!$A:$A,FALSE),MATCH(AD$1,Spring!$1:$1,FALSE))="","",INDEX(Spring!$1:$1048576,MATCH($A40,Spring!$A:$A,FALSE),MATCH(AD$1,Spring!$1:$1,FALSE))),"")</f>
        <v>1A</v>
      </c>
    </row>
    <row r="41" spans="1:30" ht="15.75" thickBot="1" x14ac:dyDescent="0.3">
      <c r="A41" s="48" t="s">
        <v>57</v>
      </c>
      <c r="B41" s="49">
        <v>89</v>
      </c>
      <c r="C41" s="50"/>
      <c r="D41" s="50"/>
      <c r="E41" s="50"/>
      <c r="F41" s="45"/>
      <c r="G41" s="45"/>
      <c r="H41" s="44"/>
      <c r="J41" t="str">
        <f>IFERROR(IF(INDEX(Fall!$1:$1048576,MATCH($A41,Fall!$A:$A,FALSE),MATCH(J$1,Fall!$1:$1,FALSE))="","",INDEX(Fall!$1:$1048576,MATCH($A41,Fall!$A:$A,FALSE),MATCH(J$1,Fall!$1:$1,FALSE))),"")</f>
        <v/>
      </c>
      <c r="K41" t="str">
        <f>IFERROR(IF(INDEX(Fall!$1:$1048576,MATCH($A41,Fall!$A:$A,FALSE),MATCH(K$1,Fall!$1:$1,FALSE))="","",INDEX(Fall!$1:$1048576,MATCH($A41,Fall!$A:$A,FALSE),MATCH(K$1,Fall!$1:$1,FALSE))),"")</f>
        <v/>
      </c>
      <c r="L41" t="str">
        <f>IFERROR(IF(INDEX(Fall!$1:$1048576,MATCH($A41,Fall!$A:$A,FALSE),MATCH(L$1,Fall!$1:$1,FALSE))="","",INDEX(Fall!$1:$1048576,MATCH($A41,Fall!$A:$A,FALSE),MATCH(L$1,Fall!$1:$1,FALSE))),"")</f>
        <v/>
      </c>
      <c r="M41" t="str">
        <f>IFERROR(IF(INDEX(Fall!$1:$1048576,MATCH($A41,Fall!$A:$A,FALSE),MATCH(M$1,Fall!$1:$1,FALSE))="","",INDEX(Fall!$1:$1048576,MATCH($A41,Fall!$A:$A,FALSE),MATCH(M$1,Fall!$1:$1,FALSE))),"")</f>
        <v/>
      </c>
      <c r="N41" t="str">
        <f>IFERROR(IF(INDEX(Fall!$1:$1048576,MATCH($A41,Fall!$A:$A,FALSE),MATCH(N$1,Fall!$1:$1,FALSE))="","",INDEX(Fall!$1:$1048576,MATCH($A41,Fall!$A:$A,FALSE),MATCH(N$1,Fall!$1:$1,FALSE))),"")</f>
        <v/>
      </c>
      <c r="O41" t="str">
        <f>IFERROR(IF(INDEX(Fall!$1:$1048576,MATCH($A41,Fall!$A:$A,FALSE),MATCH(O$1,Fall!$1:$1,FALSE))="","",INDEX(Fall!$1:$1048576,MATCH($A41,Fall!$A:$A,FALSE),MATCH(O$1,Fall!$1:$1,FALSE))),"")</f>
        <v/>
      </c>
      <c r="P41" t="str">
        <f>IFERROR(IF(INDEX(Fall!$1:$1048576,MATCH($A41,Fall!$A:$A,FALSE),MATCH(P$1,Fall!$1:$1,FALSE))="","",INDEX(Fall!$1:$1048576,MATCH($A41,Fall!$A:$A,FALSE),MATCH(P$1,Fall!$1:$1,FALSE))),"")</f>
        <v/>
      </c>
      <c r="R41" t="str">
        <f>IFERROR(IF(INDEX(Winter!$1:$1048576,MATCH($A41,Winter!$A:$A,FALSE),MATCH(R$1,Winter!$1:$1,FALSE))="","",INDEX(Winter!$1:$1048576,MATCH($A41,Winter!$A:$A,FALSE),MATCH(R$1,Winter!$1:$1,FALSE))),"")</f>
        <v>1A</v>
      </c>
      <c r="S41" t="str">
        <f>IFERROR(IF(INDEX(Winter!$1:$1048576,MATCH($A41,Winter!$A:$A,FALSE),MATCH(S$1,Winter!$1:$1,FALSE))="","",INDEX(Winter!$1:$1048576,MATCH($A41,Winter!$A:$A,FALSE),MATCH(S$1,Winter!$1:$1,FALSE))),"")</f>
        <v/>
      </c>
      <c r="T41" t="str">
        <f>IFERROR(IF(INDEX(Winter!$1:$1048576,MATCH($A41,Winter!$A:$A,FALSE),MATCH(T$1,Winter!$1:$1,FALSE))="","",INDEX(Winter!$1:$1048576,MATCH($A41,Winter!$A:$A,FALSE),MATCH(T$1,Winter!$1:$1,FALSE))),"")</f>
        <v/>
      </c>
      <c r="U41" t="str">
        <f>IFERROR(IF(INDEX(Winter!$1:$1048576,MATCH($A41,Winter!$A:$A,FALSE),MATCH(U$1,Winter!$1:$1,FALSE))="","",INDEX(Winter!$1:$1048576,MATCH($A41,Winter!$A:$A,FALSE),MATCH(U$1,Winter!$1:$1,FALSE))),"")</f>
        <v/>
      </c>
      <c r="V41" t="str">
        <f>IFERROR(IF(INDEX(Winter!$1:$1048576,MATCH($A41,Winter!$A:$A,FALSE),MATCH(V$1,Winter!$1:$1,FALSE))="","",INDEX(Winter!$1:$1048576,MATCH($A41,Winter!$A:$A,FALSE),MATCH(V$1,Winter!$1:$1,FALSE))),"")</f>
        <v>1A</v>
      </c>
      <c r="W41" t="str">
        <f>IFERROR(IF(INDEX(Winter!$1:$1048576,MATCH($A41,Winter!$A:$A,FALSE),MATCH(W$1,Winter!$1:$1,FALSE))="","",INDEX(Winter!$1:$1048576,MATCH($A41,Winter!$A:$A,FALSE),MATCH(W$1,Winter!$1:$1,FALSE))),"")</f>
        <v/>
      </c>
      <c r="Y41" t="str">
        <f>IFERROR(IF(INDEX(Spring!$1:$1048576,MATCH($A41,Spring!$A:$A,FALSE),MATCH(Y$1,Spring!$1:$1,FALSE))="","",INDEX(Spring!$1:$1048576,MATCH($A41,Spring!$A:$A,FALSE),MATCH(Y$1,Spring!$1:$1,FALSE))),"")</f>
        <v>1A</v>
      </c>
      <c r="Z41" t="str">
        <f>IFERROR(IF(INDEX(Spring!$1:$1048576,MATCH($A41,Spring!$A:$A,FALSE),MATCH(Z$1,Spring!$1:$1,FALSE))="","",INDEX(Spring!$1:$1048576,MATCH($A41,Spring!$A:$A,FALSE),MATCH(Z$1,Spring!$1:$1,FALSE))),"")</f>
        <v>1A</v>
      </c>
      <c r="AA41" t="str">
        <f>IFERROR(IF(INDEX(Spring!$1:$1048576,MATCH($A41,Spring!$A:$A,FALSE),MATCH(AA$1,Spring!$1:$1,FALSE))="","",INDEX(Spring!$1:$1048576,MATCH($A41,Spring!$A:$A,FALSE),MATCH(AA$1,Spring!$1:$1,FALSE))),"")</f>
        <v/>
      </c>
      <c r="AB41" t="str">
        <f>IFERROR(IF(INDEX(Spring!$1:$1048576,MATCH($A41,Spring!$A:$A,FALSE),MATCH(AB$1,Spring!$1:$1,FALSE))="","",INDEX(Spring!$1:$1048576,MATCH($A41,Spring!$A:$A,FALSE),MATCH(AB$1,Spring!$1:$1,FALSE))),"")</f>
        <v/>
      </c>
      <c r="AC41" t="str">
        <f>IFERROR(IF(INDEX(Spring!$1:$1048576,MATCH($A41,Spring!$A:$A,FALSE),MATCH(AC$1,Spring!$1:$1,FALSE))="","",INDEX(Spring!$1:$1048576,MATCH($A41,Spring!$A:$A,FALSE),MATCH(AC$1,Spring!$1:$1,FALSE))),"")</f>
        <v/>
      </c>
      <c r="AD41" t="str">
        <f>IFERROR(IF(INDEX(Spring!$1:$1048576,MATCH($A41,Spring!$A:$A,FALSE),MATCH(AD$1,Spring!$1:$1,FALSE))="","",INDEX(Spring!$1:$1048576,MATCH($A41,Spring!$A:$A,FALSE),MATCH(AD$1,Spring!$1:$1,FALSE))),"")</f>
        <v/>
      </c>
    </row>
    <row r="42" spans="1:30" ht="23.25" thickBot="1" x14ac:dyDescent="0.3">
      <c r="A42" s="48" t="s">
        <v>58</v>
      </c>
      <c r="B42" s="49" t="s">
        <v>59</v>
      </c>
      <c r="C42" s="49" t="s">
        <v>997</v>
      </c>
      <c r="D42" s="49">
        <v>7</v>
      </c>
      <c r="E42" s="49">
        <v>19</v>
      </c>
      <c r="F42" s="45"/>
      <c r="G42" s="45"/>
      <c r="H42" s="44"/>
      <c r="J42" t="str">
        <f>IFERROR(IF(INDEX(Fall!$1:$1048576,MATCH($A42,Fall!$A:$A,FALSE),MATCH(J$1,Fall!$1:$1,FALSE))="","",INDEX(Fall!$1:$1048576,MATCH($A42,Fall!$A:$A,FALSE),MATCH(J$1,Fall!$1:$1,FALSE))),"")</f>
        <v>1A</v>
      </c>
      <c r="K42" t="str">
        <f>IFERROR(IF(INDEX(Fall!$1:$1048576,MATCH($A42,Fall!$A:$A,FALSE),MATCH(K$1,Fall!$1:$1,FALSE))="","",INDEX(Fall!$1:$1048576,MATCH($A42,Fall!$A:$A,FALSE),MATCH(K$1,Fall!$1:$1,FALSE))),"")</f>
        <v>1A</v>
      </c>
      <c r="L42" t="str">
        <f>IFERROR(IF(INDEX(Fall!$1:$1048576,MATCH($A42,Fall!$A:$A,FALSE),MATCH(L$1,Fall!$1:$1,FALSE))="","",INDEX(Fall!$1:$1048576,MATCH($A42,Fall!$A:$A,FALSE),MATCH(L$1,Fall!$1:$1,FALSE))),"")</f>
        <v>2A</v>
      </c>
      <c r="M42" t="str">
        <f>IFERROR(IF(INDEX(Fall!$1:$1048576,MATCH($A42,Fall!$A:$A,FALSE),MATCH(M$1,Fall!$1:$1,FALSE))="","",INDEX(Fall!$1:$1048576,MATCH($A42,Fall!$A:$A,FALSE),MATCH(M$1,Fall!$1:$1,FALSE))),"")</f>
        <v>1A</v>
      </c>
      <c r="N42" t="str">
        <f>IFERROR(IF(INDEX(Fall!$1:$1048576,MATCH($A42,Fall!$A:$A,FALSE),MATCH(N$1,Fall!$1:$1,FALSE))="","",INDEX(Fall!$1:$1048576,MATCH($A42,Fall!$A:$A,FALSE),MATCH(N$1,Fall!$1:$1,FALSE))),"")</f>
        <v>2A</v>
      </c>
      <c r="O42" t="str">
        <f>IFERROR(IF(INDEX(Fall!$1:$1048576,MATCH($A42,Fall!$A:$A,FALSE),MATCH(O$1,Fall!$1:$1,FALSE))="","",INDEX(Fall!$1:$1048576,MATCH($A42,Fall!$A:$A,FALSE),MATCH(O$1,Fall!$1:$1,FALSE))),"")</f>
        <v>1A</v>
      </c>
      <c r="P42" t="str">
        <f>IFERROR(IF(INDEX(Fall!$1:$1048576,MATCH($A42,Fall!$A:$A,FALSE),MATCH(P$1,Fall!$1:$1,FALSE))="","",INDEX(Fall!$1:$1048576,MATCH($A42,Fall!$A:$A,FALSE),MATCH(P$1,Fall!$1:$1,FALSE))),"")</f>
        <v>2A</v>
      </c>
      <c r="R42" t="str">
        <f>IFERROR(IF(INDEX(Winter!$1:$1048576,MATCH($A42,Winter!$A:$A,FALSE),MATCH(R$1,Winter!$1:$1,FALSE))="","",INDEX(Winter!$1:$1048576,MATCH($A42,Winter!$A:$A,FALSE),MATCH(R$1,Winter!$1:$1,FALSE))),"")</f>
        <v>2A</v>
      </c>
      <c r="S42" t="str">
        <f>IFERROR(IF(INDEX(Winter!$1:$1048576,MATCH($A42,Winter!$A:$A,FALSE),MATCH(S$1,Winter!$1:$1,FALSE))="","",INDEX(Winter!$1:$1048576,MATCH($A42,Winter!$A:$A,FALSE),MATCH(S$1,Winter!$1:$1,FALSE))),"")</f>
        <v>2A</v>
      </c>
      <c r="T42" t="str">
        <f>IFERROR(IF(INDEX(Winter!$1:$1048576,MATCH($A42,Winter!$A:$A,FALSE),MATCH(T$1,Winter!$1:$1,FALSE))="","",INDEX(Winter!$1:$1048576,MATCH($A42,Winter!$A:$A,FALSE),MATCH(T$1,Winter!$1:$1,FALSE))),"")</f>
        <v/>
      </c>
      <c r="U42" t="str">
        <f>IFERROR(IF(INDEX(Winter!$1:$1048576,MATCH($A42,Winter!$A:$A,FALSE),MATCH(U$1,Winter!$1:$1,FALSE))="","",INDEX(Winter!$1:$1048576,MATCH($A42,Winter!$A:$A,FALSE),MATCH(U$1,Winter!$1:$1,FALSE))),"")</f>
        <v/>
      </c>
      <c r="V42" t="str">
        <f>IFERROR(IF(INDEX(Winter!$1:$1048576,MATCH($A42,Winter!$A:$A,FALSE),MATCH(V$1,Winter!$1:$1,FALSE))="","",INDEX(Winter!$1:$1048576,MATCH($A42,Winter!$A:$A,FALSE),MATCH(V$1,Winter!$1:$1,FALSE))),"")</f>
        <v>2A</v>
      </c>
      <c r="W42" t="str">
        <f>IFERROR(IF(INDEX(Winter!$1:$1048576,MATCH($A42,Winter!$A:$A,FALSE),MATCH(W$1,Winter!$1:$1,FALSE))="","",INDEX(Winter!$1:$1048576,MATCH($A42,Winter!$A:$A,FALSE),MATCH(W$1,Winter!$1:$1,FALSE))),"")</f>
        <v>1A</v>
      </c>
      <c r="Y42" t="str">
        <f>IFERROR(IF(INDEX(Spring!$1:$1048576,MATCH($A42,Spring!$A:$A,FALSE),MATCH(Y$1,Spring!$1:$1,FALSE))="","",INDEX(Spring!$1:$1048576,MATCH($A42,Spring!$A:$A,FALSE),MATCH(Y$1,Spring!$1:$1,FALSE))),"")</f>
        <v>2A</v>
      </c>
      <c r="Z42" t="str">
        <f>IFERROR(IF(INDEX(Spring!$1:$1048576,MATCH($A42,Spring!$A:$A,FALSE),MATCH(Z$1,Spring!$1:$1,FALSE))="","",INDEX(Spring!$1:$1048576,MATCH($A42,Spring!$A:$A,FALSE),MATCH(Z$1,Spring!$1:$1,FALSE))),"")</f>
        <v>2A</v>
      </c>
      <c r="AA42" t="str">
        <f>IFERROR(IF(INDEX(Spring!$1:$1048576,MATCH($A42,Spring!$A:$A,FALSE),MATCH(AA$1,Spring!$1:$1,FALSE))="","",INDEX(Spring!$1:$1048576,MATCH($A42,Spring!$A:$A,FALSE),MATCH(AA$1,Spring!$1:$1,FALSE))),"")</f>
        <v>1A</v>
      </c>
      <c r="AB42" t="str">
        <f>IFERROR(IF(INDEX(Spring!$1:$1048576,MATCH($A42,Spring!$A:$A,FALSE),MATCH(AB$1,Spring!$1:$1,FALSE))="","",INDEX(Spring!$1:$1048576,MATCH($A42,Spring!$A:$A,FALSE),MATCH(AB$1,Spring!$1:$1,FALSE))),"")</f>
        <v>1A</v>
      </c>
      <c r="AC42" t="str">
        <f>IFERROR(IF(INDEX(Spring!$1:$1048576,MATCH($A42,Spring!$A:$A,FALSE),MATCH(AC$1,Spring!$1:$1,FALSE))="","",INDEX(Spring!$1:$1048576,MATCH($A42,Spring!$A:$A,FALSE),MATCH(AC$1,Spring!$1:$1,FALSE))),"")</f>
        <v>2A</v>
      </c>
      <c r="AD42" t="str">
        <f>IFERROR(IF(INDEX(Spring!$1:$1048576,MATCH($A42,Spring!$A:$A,FALSE),MATCH(AD$1,Spring!$1:$1,FALSE))="","",INDEX(Spring!$1:$1048576,MATCH($A42,Spring!$A:$A,FALSE),MATCH(AD$1,Spring!$1:$1,FALSE))),"")</f>
        <v>2A</v>
      </c>
    </row>
    <row r="43" spans="1:30" ht="15.75" thickBot="1" x14ac:dyDescent="0.3">
      <c r="A43" s="48" t="s">
        <v>60</v>
      </c>
      <c r="B43" s="49">
        <v>2419</v>
      </c>
      <c r="C43" s="50"/>
      <c r="D43" s="50"/>
      <c r="E43" s="50"/>
      <c r="F43" s="45"/>
      <c r="G43" s="45"/>
      <c r="H43" s="44"/>
      <c r="J43" t="str">
        <f>IFERROR(IF(INDEX(Fall!$1:$1048576,MATCH($A43,Fall!$A:$A,FALSE),MATCH(J$1,Fall!$1:$1,FALSE))="","",INDEX(Fall!$1:$1048576,MATCH($A43,Fall!$A:$A,FALSE),MATCH(J$1,Fall!$1:$1,FALSE))),"")</f>
        <v>3A</v>
      </c>
      <c r="K43" t="str">
        <f>IFERROR(IF(INDEX(Fall!$1:$1048576,MATCH($A43,Fall!$A:$A,FALSE),MATCH(K$1,Fall!$1:$1,FALSE))="","",INDEX(Fall!$1:$1048576,MATCH($A43,Fall!$A:$A,FALSE),MATCH(K$1,Fall!$1:$1,FALSE))),"")</f>
        <v>3A</v>
      </c>
      <c r="L43" t="str">
        <f>IFERROR(IF(INDEX(Fall!$1:$1048576,MATCH($A43,Fall!$A:$A,FALSE),MATCH(L$1,Fall!$1:$1,FALSE))="","",INDEX(Fall!$1:$1048576,MATCH($A43,Fall!$A:$A,FALSE),MATCH(L$1,Fall!$1:$1,FALSE))),"")</f>
        <v>3A</v>
      </c>
      <c r="M43" t="str">
        <f>IFERROR(IF(INDEX(Fall!$1:$1048576,MATCH($A43,Fall!$A:$A,FALSE),MATCH(M$1,Fall!$1:$1,FALSE))="","",INDEX(Fall!$1:$1048576,MATCH($A43,Fall!$A:$A,FALSE),MATCH(M$1,Fall!$1:$1,FALSE))),"")</f>
        <v>2A</v>
      </c>
      <c r="N43" t="str">
        <f>IFERROR(IF(INDEX(Fall!$1:$1048576,MATCH($A43,Fall!$A:$A,FALSE),MATCH(N$1,Fall!$1:$1,FALSE))="","",INDEX(Fall!$1:$1048576,MATCH($A43,Fall!$A:$A,FALSE),MATCH(N$1,Fall!$1:$1,FALSE))),"")</f>
        <v>3A</v>
      </c>
      <c r="O43" t="str">
        <f>IFERROR(IF(INDEX(Fall!$1:$1048576,MATCH($A43,Fall!$A:$A,FALSE),MATCH(O$1,Fall!$1:$1,FALSE))="","",INDEX(Fall!$1:$1048576,MATCH($A43,Fall!$A:$A,FALSE),MATCH(O$1,Fall!$1:$1,FALSE))),"")</f>
        <v>2A</v>
      </c>
      <c r="P43" t="str">
        <f>IFERROR(IF(INDEX(Fall!$1:$1048576,MATCH($A43,Fall!$A:$A,FALSE),MATCH(P$1,Fall!$1:$1,FALSE))="","",INDEX(Fall!$1:$1048576,MATCH($A43,Fall!$A:$A,FALSE),MATCH(P$1,Fall!$1:$1,FALSE))),"")</f>
        <v>4A</v>
      </c>
      <c r="R43" t="str">
        <f>IFERROR(IF(INDEX(Winter!$1:$1048576,MATCH($A43,Winter!$A:$A,FALSE),MATCH(R$1,Winter!$1:$1,FALSE))="","",INDEX(Winter!$1:$1048576,MATCH($A43,Winter!$A:$A,FALSE),MATCH(R$1,Winter!$1:$1,FALSE))),"")</f>
        <v>4A</v>
      </c>
      <c r="S43" t="str">
        <f>IFERROR(IF(INDEX(Winter!$1:$1048576,MATCH($A43,Winter!$A:$A,FALSE),MATCH(S$1,Winter!$1:$1,FALSE))="","",INDEX(Winter!$1:$1048576,MATCH($A43,Winter!$A:$A,FALSE),MATCH(S$1,Winter!$1:$1,FALSE))),"")</f>
        <v>4A</v>
      </c>
      <c r="T43" t="str">
        <f>IFERROR(IF(INDEX(Winter!$1:$1048576,MATCH($A43,Winter!$A:$A,FALSE),MATCH(T$1,Winter!$1:$1,FALSE))="","",INDEX(Winter!$1:$1048576,MATCH($A43,Winter!$A:$A,FALSE),MATCH(T$1,Winter!$1:$1,FALSE))),"")</f>
        <v>3A</v>
      </c>
      <c r="U43" t="str">
        <f>IFERROR(IF(INDEX(Winter!$1:$1048576,MATCH($A43,Winter!$A:$A,FALSE),MATCH(U$1,Winter!$1:$1,FALSE))="","",INDEX(Winter!$1:$1048576,MATCH($A43,Winter!$A:$A,FALSE),MATCH(U$1,Winter!$1:$1,FALSE))),"")</f>
        <v/>
      </c>
      <c r="V43" t="str">
        <f>IFERROR(IF(INDEX(Winter!$1:$1048576,MATCH($A43,Winter!$A:$A,FALSE),MATCH(V$1,Winter!$1:$1,FALSE))="","",INDEX(Winter!$1:$1048576,MATCH($A43,Winter!$A:$A,FALSE),MATCH(V$1,Winter!$1:$1,FALSE))),"")</f>
        <v>2A</v>
      </c>
      <c r="W43" t="str">
        <f>IFERROR(IF(INDEX(Winter!$1:$1048576,MATCH($A43,Winter!$A:$A,FALSE),MATCH(W$1,Winter!$1:$1,FALSE))="","",INDEX(Winter!$1:$1048576,MATCH($A43,Winter!$A:$A,FALSE),MATCH(W$1,Winter!$1:$1,FALSE))),"")</f>
        <v>3A</v>
      </c>
      <c r="Y43" t="str">
        <f>IFERROR(IF(INDEX(Spring!$1:$1048576,MATCH($A43,Spring!$A:$A,FALSE),MATCH(Y$1,Spring!$1:$1,FALSE))="","",INDEX(Spring!$1:$1048576,MATCH($A43,Spring!$A:$A,FALSE),MATCH(Y$1,Spring!$1:$1,FALSE))),"")</f>
        <v>4A</v>
      </c>
      <c r="Z43" t="str">
        <f>IFERROR(IF(INDEX(Spring!$1:$1048576,MATCH($A43,Spring!$A:$A,FALSE),MATCH(Z$1,Spring!$1:$1,FALSE))="","",INDEX(Spring!$1:$1048576,MATCH($A43,Spring!$A:$A,FALSE),MATCH(Z$1,Spring!$1:$1,FALSE))),"")</f>
        <v>4A</v>
      </c>
      <c r="AA43" t="str">
        <f>IFERROR(IF(INDEX(Spring!$1:$1048576,MATCH($A43,Spring!$A:$A,FALSE),MATCH(AA$1,Spring!$1:$1,FALSE))="","",INDEX(Spring!$1:$1048576,MATCH($A43,Spring!$A:$A,FALSE),MATCH(AA$1,Spring!$1:$1,FALSE))),"")</f>
        <v>3A</v>
      </c>
      <c r="AB43" t="str">
        <f>IFERROR(IF(INDEX(Spring!$1:$1048576,MATCH($A43,Spring!$A:$A,FALSE),MATCH(AB$1,Spring!$1:$1,FALSE))="","",INDEX(Spring!$1:$1048576,MATCH($A43,Spring!$A:$A,FALSE),MATCH(AB$1,Spring!$1:$1,FALSE))),"")</f>
        <v>2A</v>
      </c>
      <c r="AC43" t="str">
        <f>IFERROR(IF(INDEX(Spring!$1:$1048576,MATCH($A43,Spring!$A:$A,FALSE),MATCH(AC$1,Spring!$1:$1,FALSE))="","",INDEX(Spring!$1:$1048576,MATCH($A43,Spring!$A:$A,FALSE),MATCH(AC$1,Spring!$1:$1,FALSE))),"")</f>
        <v>3A</v>
      </c>
      <c r="AD43" t="str">
        <f>IFERROR(IF(INDEX(Spring!$1:$1048576,MATCH($A43,Spring!$A:$A,FALSE),MATCH(AD$1,Spring!$1:$1,FALSE))="","",INDEX(Spring!$1:$1048576,MATCH($A43,Spring!$A:$A,FALSE),MATCH(AD$1,Spring!$1:$1,FALSE))),"")</f>
        <v>3A</v>
      </c>
    </row>
    <row r="44" spans="1:30" ht="15.75" thickBot="1" x14ac:dyDescent="0.3">
      <c r="A44" s="48" t="s">
        <v>61</v>
      </c>
      <c r="B44" s="49">
        <v>1933</v>
      </c>
      <c r="C44" s="50"/>
      <c r="D44" s="50"/>
      <c r="E44" s="50"/>
      <c r="F44" s="45"/>
      <c r="G44" s="45"/>
      <c r="H44" s="44"/>
      <c r="J44" t="str">
        <f>IFERROR(IF(INDEX(Fall!$1:$1048576,MATCH($A44,Fall!$A:$A,FALSE),MATCH(J$1,Fall!$1:$1,FALSE))="","",INDEX(Fall!$1:$1048576,MATCH($A44,Fall!$A:$A,FALSE),MATCH(J$1,Fall!$1:$1,FALSE))),"")</f>
        <v>3A</v>
      </c>
      <c r="K44" t="str">
        <f>IFERROR(IF(INDEX(Fall!$1:$1048576,MATCH($A44,Fall!$A:$A,FALSE),MATCH(K$1,Fall!$1:$1,FALSE))="","",INDEX(Fall!$1:$1048576,MATCH($A44,Fall!$A:$A,FALSE),MATCH(K$1,Fall!$1:$1,FALSE))),"")</f>
        <v>3A</v>
      </c>
      <c r="L44" t="str">
        <f>IFERROR(IF(INDEX(Fall!$1:$1048576,MATCH($A44,Fall!$A:$A,FALSE),MATCH(L$1,Fall!$1:$1,FALSE))="","",INDEX(Fall!$1:$1048576,MATCH($A44,Fall!$A:$A,FALSE),MATCH(L$1,Fall!$1:$1,FALSE))),"")</f>
        <v>3A</v>
      </c>
      <c r="M44" t="str">
        <f>IFERROR(IF(INDEX(Fall!$1:$1048576,MATCH($A44,Fall!$A:$A,FALSE),MATCH(M$1,Fall!$1:$1,FALSE))="","",INDEX(Fall!$1:$1048576,MATCH($A44,Fall!$A:$A,FALSE),MATCH(M$1,Fall!$1:$1,FALSE))),"")</f>
        <v>2A</v>
      </c>
      <c r="N44" t="str">
        <f>IFERROR(IF(INDEX(Fall!$1:$1048576,MATCH($A44,Fall!$A:$A,FALSE),MATCH(N$1,Fall!$1:$1,FALSE))="","",INDEX(Fall!$1:$1048576,MATCH($A44,Fall!$A:$A,FALSE),MATCH(N$1,Fall!$1:$1,FALSE))),"")</f>
        <v>3A</v>
      </c>
      <c r="O44" t="str">
        <f>IFERROR(IF(INDEX(Fall!$1:$1048576,MATCH($A44,Fall!$A:$A,FALSE),MATCH(O$1,Fall!$1:$1,FALSE))="","",INDEX(Fall!$1:$1048576,MATCH($A44,Fall!$A:$A,FALSE),MATCH(O$1,Fall!$1:$1,FALSE))),"")</f>
        <v>2A</v>
      </c>
      <c r="P44" t="str">
        <f>IFERROR(IF(INDEX(Fall!$1:$1048576,MATCH($A44,Fall!$A:$A,FALSE),MATCH(P$1,Fall!$1:$1,FALSE))="","",INDEX(Fall!$1:$1048576,MATCH($A44,Fall!$A:$A,FALSE),MATCH(P$1,Fall!$1:$1,FALSE))),"")</f>
        <v>4A</v>
      </c>
      <c r="R44" t="str">
        <f>IFERROR(IF(INDEX(Winter!$1:$1048576,MATCH($A44,Winter!$A:$A,FALSE),MATCH(R$1,Winter!$1:$1,FALSE))="","",INDEX(Winter!$1:$1048576,MATCH($A44,Winter!$A:$A,FALSE),MATCH(R$1,Winter!$1:$1,FALSE))),"")</f>
        <v>4A</v>
      </c>
      <c r="S44" t="str">
        <f>IFERROR(IF(INDEX(Winter!$1:$1048576,MATCH($A44,Winter!$A:$A,FALSE),MATCH(S$1,Winter!$1:$1,FALSE))="","",INDEX(Winter!$1:$1048576,MATCH($A44,Winter!$A:$A,FALSE),MATCH(S$1,Winter!$1:$1,FALSE))),"")</f>
        <v>4A</v>
      </c>
      <c r="T44" t="str">
        <f>IFERROR(IF(INDEX(Winter!$1:$1048576,MATCH($A44,Winter!$A:$A,FALSE),MATCH(T$1,Winter!$1:$1,FALSE))="","",INDEX(Winter!$1:$1048576,MATCH($A44,Winter!$A:$A,FALSE),MATCH(T$1,Winter!$1:$1,FALSE))),"")</f>
        <v>3A</v>
      </c>
      <c r="U44" t="str">
        <f>IFERROR(IF(INDEX(Winter!$1:$1048576,MATCH($A44,Winter!$A:$A,FALSE),MATCH(U$1,Winter!$1:$1,FALSE))="","",INDEX(Winter!$1:$1048576,MATCH($A44,Winter!$A:$A,FALSE),MATCH(U$1,Winter!$1:$1,FALSE))),"")</f>
        <v>3A</v>
      </c>
      <c r="V44" t="str">
        <f>IFERROR(IF(INDEX(Winter!$1:$1048576,MATCH($A44,Winter!$A:$A,FALSE),MATCH(V$1,Winter!$1:$1,FALSE))="","",INDEX(Winter!$1:$1048576,MATCH($A44,Winter!$A:$A,FALSE),MATCH(V$1,Winter!$1:$1,FALSE))),"")</f>
        <v>2A</v>
      </c>
      <c r="W44" t="str">
        <f>IFERROR(IF(INDEX(Winter!$1:$1048576,MATCH($A44,Winter!$A:$A,FALSE),MATCH(W$1,Winter!$1:$1,FALSE))="","",INDEX(Winter!$1:$1048576,MATCH($A44,Winter!$A:$A,FALSE),MATCH(W$1,Winter!$1:$1,FALSE))),"")</f>
        <v>3A</v>
      </c>
      <c r="Y44" t="str">
        <f>IFERROR(IF(INDEX(Spring!$1:$1048576,MATCH($A44,Spring!$A:$A,FALSE),MATCH(Y$1,Spring!$1:$1,FALSE))="","",INDEX(Spring!$1:$1048576,MATCH($A44,Spring!$A:$A,FALSE),MATCH(Y$1,Spring!$1:$1,FALSE))),"")</f>
        <v>4A</v>
      </c>
      <c r="Z44" t="str">
        <f>IFERROR(IF(INDEX(Spring!$1:$1048576,MATCH($A44,Spring!$A:$A,FALSE),MATCH(Z$1,Spring!$1:$1,FALSE))="","",INDEX(Spring!$1:$1048576,MATCH($A44,Spring!$A:$A,FALSE),MATCH(Z$1,Spring!$1:$1,FALSE))),"")</f>
        <v>4A</v>
      </c>
      <c r="AA44" t="str">
        <f>IFERROR(IF(INDEX(Spring!$1:$1048576,MATCH($A44,Spring!$A:$A,FALSE),MATCH(AA$1,Spring!$1:$1,FALSE))="","",INDEX(Spring!$1:$1048576,MATCH($A44,Spring!$A:$A,FALSE),MATCH(AA$1,Spring!$1:$1,FALSE))),"")</f>
        <v>3A</v>
      </c>
      <c r="AB44" t="str">
        <f>IFERROR(IF(INDEX(Spring!$1:$1048576,MATCH($A44,Spring!$A:$A,FALSE),MATCH(AB$1,Spring!$1:$1,FALSE))="","",INDEX(Spring!$1:$1048576,MATCH($A44,Spring!$A:$A,FALSE),MATCH(AB$1,Spring!$1:$1,FALSE))),"")</f>
        <v>2A</v>
      </c>
      <c r="AC44" t="str">
        <f>IFERROR(IF(INDEX(Spring!$1:$1048576,MATCH($A44,Spring!$A:$A,FALSE),MATCH(AC$1,Spring!$1:$1,FALSE))="","",INDEX(Spring!$1:$1048576,MATCH($A44,Spring!$A:$A,FALSE),MATCH(AC$1,Spring!$1:$1,FALSE))),"")</f>
        <v>3A</v>
      </c>
      <c r="AD44" t="str">
        <f>IFERROR(IF(INDEX(Spring!$1:$1048576,MATCH($A44,Spring!$A:$A,FALSE),MATCH(AD$1,Spring!$1:$1,FALSE))="","",INDEX(Spring!$1:$1048576,MATCH($A44,Spring!$A:$A,FALSE),MATCH(AD$1,Spring!$1:$1,FALSE))),"")</f>
        <v>3A</v>
      </c>
    </row>
    <row r="45" spans="1:30" ht="15.75" thickBot="1" x14ac:dyDescent="0.3">
      <c r="A45" s="48" t="s">
        <v>62</v>
      </c>
      <c r="B45" s="49">
        <v>1128</v>
      </c>
      <c r="C45" s="50"/>
      <c r="D45" s="50"/>
      <c r="E45" s="50"/>
      <c r="F45" s="45"/>
      <c r="G45" s="45"/>
      <c r="H45" s="44"/>
      <c r="J45" t="str">
        <f>IFERROR(IF(INDEX(Fall!$1:$1048576,MATCH($A45,Fall!$A:$A,FALSE),MATCH(J$1,Fall!$1:$1,FALSE))="","",INDEX(Fall!$1:$1048576,MATCH($A45,Fall!$A:$A,FALSE),MATCH(J$1,Fall!$1:$1,FALSE))),"")</f>
        <v>2A</v>
      </c>
      <c r="K45" t="str">
        <f>IFERROR(IF(INDEX(Fall!$1:$1048576,MATCH($A45,Fall!$A:$A,FALSE),MATCH(K$1,Fall!$1:$1,FALSE))="","",INDEX(Fall!$1:$1048576,MATCH($A45,Fall!$A:$A,FALSE),MATCH(K$1,Fall!$1:$1,FALSE))),"")</f>
        <v>2A</v>
      </c>
      <c r="L45" t="str">
        <f>IFERROR(IF(INDEX(Fall!$1:$1048576,MATCH($A45,Fall!$A:$A,FALSE),MATCH(L$1,Fall!$1:$1,FALSE))="","",INDEX(Fall!$1:$1048576,MATCH($A45,Fall!$A:$A,FALSE),MATCH(L$1,Fall!$1:$1,FALSE))),"")</f>
        <v>2A</v>
      </c>
      <c r="M45" t="str">
        <f>IFERROR(IF(INDEX(Fall!$1:$1048576,MATCH($A45,Fall!$A:$A,FALSE),MATCH(M$1,Fall!$1:$1,FALSE))="","",INDEX(Fall!$1:$1048576,MATCH($A45,Fall!$A:$A,FALSE),MATCH(M$1,Fall!$1:$1,FALSE))),"")</f>
        <v>2A</v>
      </c>
      <c r="N45" t="str">
        <f>IFERROR(IF(INDEX(Fall!$1:$1048576,MATCH($A45,Fall!$A:$A,FALSE),MATCH(N$1,Fall!$1:$1,FALSE))="","",INDEX(Fall!$1:$1048576,MATCH($A45,Fall!$A:$A,FALSE),MATCH(N$1,Fall!$1:$1,FALSE))),"")</f>
        <v>2A</v>
      </c>
      <c r="O45" t="str">
        <f>IFERROR(IF(INDEX(Fall!$1:$1048576,MATCH($A45,Fall!$A:$A,FALSE),MATCH(O$1,Fall!$1:$1,FALSE))="","",INDEX(Fall!$1:$1048576,MATCH($A45,Fall!$A:$A,FALSE),MATCH(O$1,Fall!$1:$1,FALSE))),"")</f>
        <v>1A</v>
      </c>
      <c r="P45" t="str">
        <f>IFERROR(IF(INDEX(Fall!$1:$1048576,MATCH($A45,Fall!$A:$A,FALSE),MATCH(P$1,Fall!$1:$1,FALSE))="","",INDEX(Fall!$1:$1048576,MATCH($A45,Fall!$A:$A,FALSE),MATCH(P$1,Fall!$1:$1,FALSE))),"")</f>
        <v>3A</v>
      </c>
      <c r="R45" t="str">
        <f>IFERROR(IF(INDEX(Winter!$1:$1048576,MATCH($A45,Winter!$A:$A,FALSE),MATCH(R$1,Winter!$1:$1,FALSE))="","",INDEX(Winter!$1:$1048576,MATCH($A45,Winter!$A:$A,FALSE),MATCH(R$1,Winter!$1:$1,FALSE))),"")</f>
        <v>3A</v>
      </c>
      <c r="S45" t="str">
        <f>IFERROR(IF(INDEX(Winter!$1:$1048576,MATCH($A45,Winter!$A:$A,FALSE),MATCH(S$1,Winter!$1:$1,FALSE))="","",INDEX(Winter!$1:$1048576,MATCH($A45,Winter!$A:$A,FALSE),MATCH(S$1,Winter!$1:$1,FALSE))),"")</f>
        <v>3A</v>
      </c>
      <c r="T45" t="str">
        <f>IFERROR(IF(INDEX(Winter!$1:$1048576,MATCH($A45,Winter!$A:$A,FALSE),MATCH(T$1,Winter!$1:$1,FALSE))="","",INDEX(Winter!$1:$1048576,MATCH($A45,Winter!$A:$A,FALSE),MATCH(T$1,Winter!$1:$1,FALSE))),"")</f>
        <v>2A</v>
      </c>
      <c r="U45" t="str">
        <f>IFERROR(IF(INDEX(Winter!$1:$1048576,MATCH($A45,Winter!$A:$A,FALSE),MATCH(U$1,Winter!$1:$1,FALSE))="","",INDEX(Winter!$1:$1048576,MATCH($A45,Winter!$A:$A,FALSE),MATCH(U$1,Winter!$1:$1,FALSE))),"")</f>
        <v>2A</v>
      </c>
      <c r="V45" t="str">
        <f>IFERROR(IF(INDEX(Winter!$1:$1048576,MATCH($A45,Winter!$A:$A,FALSE),MATCH(V$1,Winter!$1:$1,FALSE))="","",INDEX(Winter!$1:$1048576,MATCH($A45,Winter!$A:$A,FALSE),MATCH(V$1,Winter!$1:$1,FALSE))),"")</f>
        <v>2A</v>
      </c>
      <c r="W45" t="str">
        <f>IFERROR(IF(INDEX(Winter!$1:$1048576,MATCH($A45,Winter!$A:$A,FALSE),MATCH(W$1,Winter!$1:$1,FALSE))="","",INDEX(Winter!$1:$1048576,MATCH($A45,Winter!$A:$A,FALSE),MATCH(W$1,Winter!$1:$1,FALSE))),"")</f>
        <v>2A</v>
      </c>
      <c r="Y45" t="str">
        <f>IFERROR(IF(INDEX(Spring!$1:$1048576,MATCH($A45,Spring!$A:$A,FALSE),MATCH(Y$1,Spring!$1:$1,FALSE))="","",INDEX(Spring!$1:$1048576,MATCH($A45,Spring!$A:$A,FALSE),MATCH(Y$1,Spring!$1:$1,FALSE))),"")</f>
        <v>3A</v>
      </c>
      <c r="Z45" t="str">
        <f>IFERROR(IF(INDEX(Spring!$1:$1048576,MATCH($A45,Spring!$A:$A,FALSE),MATCH(Z$1,Spring!$1:$1,FALSE))="","",INDEX(Spring!$1:$1048576,MATCH($A45,Spring!$A:$A,FALSE),MATCH(Z$1,Spring!$1:$1,FALSE))),"")</f>
        <v>3A</v>
      </c>
      <c r="AA45" t="str">
        <f>IFERROR(IF(INDEX(Spring!$1:$1048576,MATCH($A45,Spring!$A:$A,FALSE),MATCH(AA$1,Spring!$1:$1,FALSE))="","",INDEX(Spring!$1:$1048576,MATCH($A45,Spring!$A:$A,FALSE),MATCH(AA$1,Spring!$1:$1,FALSE))),"")</f>
        <v>2A</v>
      </c>
      <c r="AB45" t="str">
        <f>IFERROR(IF(INDEX(Spring!$1:$1048576,MATCH($A45,Spring!$A:$A,FALSE),MATCH(AB$1,Spring!$1:$1,FALSE))="","",INDEX(Spring!$1:$1048576,MATCH($A45,Spring!$A:$A,FALSE),MATCH(AB$1,Spring!$1:$1,FALSE))),"")</f>
        <v>1A</v>
      </c>
      <c r="AC45" t="str">
        <f>IFERROR(IF(INDEX(Spring!$1:$1048576,MATCH($A45,Spring!$A:$A,FALSE),MATCH(AC$1,Spring!$1:$1,FALSE))="","",INDEX(Spring!$1:$1048576,MATCH($A45,Spring!$A:$A,FALSE),MATCH(AC$1,Spring!$1:$1,FALSE))),"")</f>
        <v>2A</v>
      </c>
      <c r="AD45" t="str">
        <f>IFERROR(IF(INDEX(Spring!$1:$1048576,MATCH($A45,Spring!$A:$A,FALSE),MATCH(AD$1,Spring!$1:$1,FALSE))="","",INDEX(Spring!$1:$1048576,MATCH($A45,Spring!$A:$A,FALSE),MATCH(AD$1,Spring!$1:$1,FALSE))),"")</f>
        <v>2A</v>
      </c>
    </row>
    <row r="46" spans="1:30" ht="15.75" thickBot="1" x14ac:dyDescent="0.3">
      <c r="A46" s="48" t="s">
        <v>63</v>
      </c>
      <c r="B46" s="49">
        <v>1256</v>
      </c>
      <c r="C46" s="50"/>
      <c r="D46" s="50"/>
      <c r="E46" s="50"/>
      <c r="F46" s="45"/>
      <c r="G46" s="45"/>
      <c r="H46" s="44"/>
      <c r="J46" t="str">
        <f>IFERROR(IF(INDEX(Fall!$1:$1048576,MATCH($A46,Fall!$A:$A,FALSE),MATCH(J$1,Fall!$1:$1,FALSE))="","",INDEX(Fall!$1:$1048576,MATCH($A46,Fall!$A:$A,FALSE),MATCH(J$1,Fall!$1:$1,FALSE))),"")</f>
        <v>2A</v>
      </c>
      <c r="K46" t="str">
        <f>IFERROR(IF(INDEX(Fall!$1:$1048576,MATCH($A46,Fall!$A:$A,FALSE),MATCH(K$1,Fall!$1:$1,FALSE))="","",INDEX(Fall!$1:$1048576,MATCH($A46,Fall!$A:$A,FALSE),MATCH(K$1,Fall!$1:$1,FALSE))),"")</f>
        <v>2A</v>
      </c>
      <c r="L46" t="str">
        <f>IFERROR(IF(INDEX(Fall!$1:$1048576,MATCH($A46,Fall!$A:$A,FALSE),MATCH(L$1,Fall!$1:$1,FALSE))="","",INDEX(Fall!$1:$1048576,MATCH($A46,Fall!$A:$A,FALSE),MATCH(L$1,Fall!$1:$1,FALSE))),"")</f>
        <v>2A</v>
      </c>
      <c r="M46" t="str">
        <f>IFERROR(IF(INDEX(Fall!$1:$1048576,MATCH($A46,Fall!$A:$A,FALSE),MATCH(M$1,Fall!$1:$1,FALSE))="","",INDEX(Fall!$1:$1048576,MATCH($A46,Fall!$A:$A,FALSE),MATCH(M$1,Fall!$1:$1,FALSE))),"")</f>
        <v/>
      </c>
      <c r="N46" t="str">
        <f>IFERROR(IF(INDEX(Fall!$1:$1048576,MATCH($A46,Fall!$A:$A,FALSE),MATCH(N$1,Fall!$1:$1,FALSE))="","",INDEX(Fall!$1:$1048576,MATCH($A46,Fall!$A:$A,FALSE),MATCH(N$1,Fall!$1:$1,FALSE))),"")</f>
        <v>2A</v>
      </c>
      <c r="O46" t="str">
        <f>IFERROR(IF(INDEX(Fall!$1:$1048576,MATCH($A46,Fall!$A:$A,FALSE),MATCH(O$1,Fall!$1:$1,FALSE))="","",INDEX(Fall!$1:$1048576,MATCH($A46,Fall!$A:$A,FALSE),MATCH(O$1,Fall!$1:$1,FALSE))),"")</f>
        <v>1A</v>
      </c>
      <c r="P46" t="str">
        <f>IFERROR(IF(INDEX(Fall!$1:$1048576,MATCH($A46,Fall!$A:$A,FALSE),MATCH(P$1,Fall!$1:$1,FALSE))="","",INDEX(Fall!$1:$1048576,MATCH($A46,Fall!$A:$A,FALSE),MATCH(P$1,Fall!$1:$1,FALSE))),"")</f>
        <v>3A</v>
      </c>
      <c r="R46" t="str">
        <f>IFERROR(IF(INDEX(Winter!$1:$1048576,MATCH($A46,Winter!$A:$A,FALSE),MATCH(R$1,Winter!$1:$1,FALSE))="","",INDEX(Winter!$1:$1048576,MATCH($A46,Winter!$A:$A,FALSE),MATCH(R$1,Winter!$1:$1,FALSE))),"")</f>
        <v>3A</v>
      </c>
      <c r="S46" t="str">
        <f>IFERROR(IF(INDEX(Winter!$1:$1048576,MATCH($A46,Winter!$A:$A,FALSE),MATCH(S$1,Winter!$1:$1,FALSE))="","",INDEX(Winter!$1:$1048576,MATCH($A46,Winter!$A:$A,FALSE),MATCH(S$1,Winter!$1:$1,FALSE))),"")</f>
        <v>3A</v>
      </c>
      <c r="T46" t="str">
        <f>IFERROR(IF(INDEX(Winter!$1:$1048576,MATCH($A46,Winter!$A:$A,FALSE),MATCH(T$1,Winter!$1:$1,FALSE))="","",INDEX(Winter!$1:$1048576,MATCH($A46,Winter!$A:$A,FALSE),MATCH(T$1,Winter!$1:$1,FALSE))),"")</f>
        <v>C</v>
      </c>
      <c r="U46" t="str">
        <f>IFERROR(IF(INDEX(Winter!$1:$1048576,MATCH($A46,Winter!$A:$A,FALSE),MATCH(U$1,Winter!$1:$1,FALSE))="","",INDEX(Winter!$1:$1048576,MATCH($A46,Winter!$A:$A,FALSE),MATCH(U$1,Winter!$1:$1,FALSE))),"")</f>
        <v>2A</v>
      </c>
      <c r="V46" t="str">
        <f>IFERROR(IF(INDEX(Winter!$1:$1048576,MATCH($A46,Winter!$A:$A,FALSE),MATCH(V$1,Winter!$1:$1,FALSE))="","",INDEX(Winter!$1:$1048576,MATCH($A46,Winter!$A:$A,FALSE),MATCH(V$1,Winter!$1:$1,FALSE))),"")</f>
        <v>2A</v>
      </c>
      <c r="W46" t="str">
        <f>IFERROR(IF(INDEX(Winter!$1:$1048576,MATCH($A46,Winter!$A:$A,FALSE),MATCH(W$1,Winter!$1:$1,FALSE))="","",INDEX(Winter!$1:$1048576,MATCH($A46,Winter!$A:$A,FALSE),MATCH(W$1,Winter!$1:$1,FALSE))),"")</f>
        <v>2A</v>
      </c>
      <c r="Y46" t="str">
        <f>IFERROR(IF(INDEX(Spring!$1:$1048576,MATCH($A46,Spring!$A:$A,FALSE),MATCH(Y$1,Spring!$1:$1,FALSE))="","",INDEX(Spring!$1:$1048576,MATCH($A46,Spring!$A:$A,FALSE),MATCH(Y$1,Spring!$1:$1,FALSE))),"")</f>
        <v>3A</v>
      </c>
      <c r="Z46" t="str">
        <f>IFERROR(IF(INDEX(Spring!$1:$1048576,MATCH($A46,Spring!$A:$A,FALSE),MATCH(Z$1,Spring!$1:$1,FALSE))="","",INDEX(Spring!$1:$1048576,MATCH($A46,Spring!$A:$A,FALSE),MATCH(Z$1,Spring!$1:$1,FALSE))),"")</f>
        <v>3A</v>
      </c>
      <c r="AA46" t="str">
        <f>IFERROR(IF(INDEX(Spring!$1:$1048576,MATCH($A46,Spring!$A:$A,FALSE),MATCH(AA$1,Spring!$1:$1,FALSE))="","",INDEX(Spring!$1:$1048576,MATCH($A46,Spring!$A:$A,FALSE),MATCH(AA$1,Spring!$1:$1,FALSE))),"")</f>
        <v>2A</v>
      </c>
      <c r="AB46" t="str">
        <f>IFERROR(IF(INDEX(Spring!$1:$1048576,MATCH($A46,Spring!$A:$A,FALSE),MATCH(AB$1,Spring!$1:$1,FALSE))="","",INDEX(Spring!$1:$1048576,MATCH($A46,Spring!$A:$A,FALSE),MATCH(AB$1,Spring!$1:$1,FALSE))),"")</f>
        <v>1A</v>
      </c>
      <c r="AC46" t="str">
        <f>IFERROR(IF(INDEX(Spring!$1:$1048576,MATCH($A46,Spring!$A:$A,FALSE),MATCH(AC$1,Spring!$1:$1,FALSE))="","",INDEX(Spring!$1:$1048576,MATCH($A46,Spring!$A:$A,FALSE),MATCH(AC$1,Spring!$1:$1,FALSE))),"")</f>
        <v>3A</v>
      </c>
      <c r="AD46" t="str">
        <f>IFERROR(IF(INDEX(Spring!$1:$1048576,MATCH($A46,Spring!$A:$A,FALSE),MATCH(AD$1,Spring!$1:$1,FALSE))="","",INDEX(Spring!$1:$1048576,MATCH($A46,Spring!$A:$A,FALSE),MATCH(AD$1,Spring!$1:$1,FALSE))),"")</f>
        <v>3A</v>
      </c>
    </row>
    <row r="47" spans="1:30" ht="15.75" thickBot="1" x14ac:dyDescent="0.3">
      <c r="A47" s="48" t="s">
        <v>978</v>
      </c>
      <c r="B47" s="49">
        <v>81</v>
      </c>
      <c r="C47" s="50"/>
      <c r="D47" s="50"/>
      <c r="E47" s="50"/>
      <c r="F47" s="45"/>
      <c r="G47" s="45"/>
      <c r="H47" s="44"/>
      <c r="J47" t="str">
        <f>IFERROR(IF(INDEX(Fall!$1:$1048576,MATCH($A47,Fall!$A:$A,FALSE),MATCH(J$1,Fall!$1:$1,FALSE))="","",INDEX(Fall!$1:$1048576,MATCH($A47,Fall!$A:$A,FALSE),MATCH(J$1,Fall!$1:$1,FALSE))),"")</f>
        <v>1A</v>
      </c>
      <c r="K47" t="str">
        <f>IFERROR(IF(INDEX(Fall!$1:$1048576,MATCH($A47,Fall!$A:$A,FALSE),MATCH(K$1,Fall!$1:$1,FALSE))="","",INDEX(Fall!$1:$1048576,MATCH($A47,Fall!$A:$A,FALSE),MATCH(K$1,Fall!$1:$1,FALSE))),"")</f>
        <v>1A</v>
      </c>
      <c r="L47" t="str">
        <f>IFERROR(IF(INDEX(Fall!$1:$1048576,MATCH($A47,Fall!$A:$A,FALSE),MATCH(L$1,Fall!$1:$1,FALSE))="","",INDEX(Fall!$1:$1048576,MATCH($A47,Fall!$A:$A,FALSE),MATCH(L$1,Fall!$1:$1,FALSE))),"")</f>
        <v/>
      </c>
      <c r="M47" t="str">
        <f>IFERROR(IF(INDEX(Fall!$1:$1048576,MATCH($A47,Fall!$A:$A,FALSE),MATCH(M$1,Fall!$1:$1,FALSE))="","",INDEX(Fall!$1:$1048576,MATCH($A47,Fall!$A:$A,FALSE),MATCH(M$1,Fall!$1:$1,FALSE))),"")</f>
        <v/>
      </c>
      <c r="N47" t="str">
        <f>IFERROR(IF(INDEX(Fall!$1:$1048576,MATCH($A47,Fall!$A:$A,FALSE),MATCH(N$1,Fall!$1:$1,FALSE))="","",INDEX(Fall!$1:$1048576,MATCH($A47,Fall!$A:$A,FALSE),MATCH(N$1,Fall!$1:$1,FALSE))),"")</f>
        <v/>
      </c>
      <c r="O47" t="str">
        <f>IFERROR(IF(INDEX(Fall!$1:$1048576,MATCH($A47,Fall!$A:$A,FALSE),MATCH(O$1,Fall!$1:$1,FALSE))="","",INDEX(Fall!$1:$1048576,MATCH($A47,Fall!$A:$A,FALSE),MATCH(O$1,Fall!$1:$1,FALSE))),"")</f>
        <v/>
      </c>
      <c r="P47" t="str">
        <f>IFERROR(IF(INDEX(Fall!$1:$1048576,MATCH($A47,Fall!$A:$A,FALSE),MATCH(P$1,Fall!$1:$1,FALSE))="","",INDEX(Fall!$1:$1048576,MATCH($A47,Fall!$A:$A,FALSE),MATCH(P$1,Fall!$1:$1,FALSE))),"")</f>
        <v/>
      </c>
      <c r="R47" t="str">
        <f>IFERROR(IF(INDEX(Winter!$1:$1048576,MATCH($A47,Winter!$A:$A,FALSE),MATCH(R$1,Winter!$1:$1,FALSE))="","",INDEX(Winter!$1:$1048576,MATCH($A47,Winter!$A:$A,FALSE),MATCH(R$1,Winter!$1:$1,FALSE))),"")</f>
        <v/>
      </c>
      <c r="S47" t="str">
        <f>IFERROR(IF(INDEX(Winter!$1:$1048576,MATCH($A47,Winter!$A:$A,FALSE),MATCH(S$1,Winter!$1:$1,FALSE))="","",INDEX(Winter!$1:$1048576,MATCH($A47,Winter!$A:$A,FALSE),MATCH(S$1,Winter!$1:$1,FALSE))),"")</f>
        <v/>
      </c>
      <c r="T47" t="str">
        <f>IFERROR(IF(INDEX(Winter!$1:$1048576,MATCH($A47,Winter!$A:$A,FALSE),MATCH(T$1,Winter!$1:$1,FALSE))="","",INDEX(Winter!$1:$1048576,MATCH($A47,Winter!$A:$A,FALSE),MATCH(T$1,Winter!$1:$1,FALSE))),"")</f>
        <v/>
      </c>
      <c r="U47" t="str">
        <f>IFERROR(IF(INDEX(Winter!$1:$1048576,MATCH($A47,Winter!$A:$A,FALSE),MATCH(U$1,Winter!$1:$1,FALSE))="","",INDEX(Winter!$1:$1048576,MATCH($A47,Winter!$A:$A,FALSE),MATCH(U$1,Winter!$1:$1,FALSE))),"")</f>
        <v/>
      </c>
      <c r="V47" t="str">
        <f>IFERROR(IF(INDEX(Winter!$1:$1048576,MATCH($A47,Winter!$A:$A,FALSE),MATCH(V$1,Winter!$1:$1,FALSE))="","",INDEX(Winter!$1:$1048576,MATCH($A47,Winter!$A:$A,FALSE),MATCH(V$1,Winter!$1:$1,FALSE))),"")</f>
        <v/>
      </c>
      <c r="W47" t="str">
        <f>IFERROR(IF(INDEX(Winter!$1:$1048576,MATCH($A47,Winter!$A:$A,FALSE),MATCH(W$1,Winter!$1:$1,FALSE))="","",INDEX(Winter!$1:$1048576,MATCH($A47,Winter!$A:$A,FALSE),MATCH(W$1,Winter!$1:$1,FALSE))),"")</f>
        <v/>
      </c>
      <c r="Y47" t="str">
        <f>IFERROR(IF(INDEX(Spring!$1:$1048576,MATCH($A47,Spring!$A:$A,FALSE),MATCH(Y$1,Spring!$1:$1,FALSE))="","",INDEX(Spring!$1:$1048576,MATCH($A47,Spring!$A:$A,FALSE),MATCH(Y$1,Spring!$1:$1,FALSE))),"")</f>
        <v/>
      </c>
      <c r="Z47" t="str">
        <f>IFERROR(IF(INDEX(Spring!$1:$1048576,MATCH($A47,Spring!$A:$A,FALSE),MATCH(Z$1,Spring!$1:$1,FALSE))="","",INDEX(Spring!$1:$1048576,MATCH($A47,Spring!$A:$A,FALSE),MATCH(Z$1,Spring!$1:$1,FALSE))),"")</f>
        <v/>
      </c>
      <c r="AA47" t="str">
        <f>IFERROR(IF(INDEX(Spring!$1:$1048576,MATCH($A47,Spring!$A:$A,FALSE),MATCH(AA$1,Spring!$1:$1,FALSE))="","",INDEX(Spring!$1:$1048576,MATCH($A47,Spring!$A:$A,FALSE),MATCH(AA$1,Spring!$1:$1,FALSE))),"")</f>
        <v/>
      </c>
      <c r="AB47" t="str">
        <f>IFERROR(IF(INDEX(Spring!$1:$1048576,MATCH($A47,Spring!$A:$A,FALSE),MATCH(AB$1,Spring!$1:$1,FALSE))="","",INDEX(Spring!$1:$1048576,MATCH($A47,Spring!$A:$A,FALSE),MATCH(AB$1,Spring!$1:$1,FALSE))),"")</f>
        <v/>
      </c>
      <c r="AC47" t="str">
        <f>IFERROR(IF(INDEX(Spring!$1:$1048576,MATCH($A47,Spring!$A:$A,FALSE),MATCH(AC$1,Spring!$1:$1,FALSE))="","",INDEX(Spring!$1:$1048576,MATCH($A47,Spring!$A:$A,FALSE),MATCH(AC$1,Spring!$1:$1,FALSE))),"")</f>
        <v/>
      </c>
      <c r="AD47" t="str">
        <f>IFERROR(IF(INDEX(Spring!$1:$1048576,MATCH($A47,Spring!$A:$A,FALSE),MATCH(AD$1,Spring!$1:$1,FALSE))="","",INDEX(Spring!$1:$1048576,MATCH($A47,Spring!$A:$A,FALSE),MATCH(AD$1,Spring!$1:$1,FALSE))),"")</f>
        <v/>
      </c>
    </row>
    <row r="48" spans="1:30" ht="15.75" thickBot="1" x14ac:dyDescent="0.3">
      <c r="A48" s="48" t="s">
        <v>64</v>
      </c>
      <c r="B48" s="49">
        <v>1396</v>
      </c>
      <c r="C48" s="50"/>
      <c r="D48" s="50"/>
      <c r="E48" s="50"/>
      <c r="F48" s="45"/>
      <c r="G48" s="45"/>
      <c r="H48" s="44"/>
      <c r="J48" t="str">
        <f>IFERROR(IF(INDEX(Fall!$1:$1048576,MATCH($A48,Fall!$A:$A,FALSE),MATCH(J$1,Fall!$1:$1,FALSE))="","",INDEX(Fall!$1:$1048576,MATCH($A48,Fall!$A:$A,FALSE),MATCH(J$1,Fall!$1:$1,FALSE))),"")</f>
        <v>2A</v>
      </c>
      <c r="K48" t="str">
        <f>IFERROR(IF(INDEX(Fall!$1:$1048576,MATCH($A48,Fall!$A:$A,FALSE),MATCH(K$1,Fall!$1:$1,FALSE))="","",INDEX(Fall!$1:$1048576,MATCH($A48,Fall!$A:$A,FALSE),MATCH(K$1,Fall!$1:$1,FALSE))),"")</f>
        <v>2A</v>
      </c>
      <c r="L48" t="str">
        <f>IFERROR(IF(INDEX(Fall!$1:$1048576,MATCH($A48,Fall!$A:$A,FALSE),MATCH(L$1,Fall!$1:$1,FALSE))="","",INDEX(Fall!$1:$1048576,MATCH($A48,Fall!$A:$A,FALSE),MATCH(L$1,Fall!$1:$1,FALSE))),"")</f>
        <v>2A</v>
      </c>
      <c r="M48" t="str">
        <f>IFERROR(IF(INDEX(Fall!$1:$1048576,MATCH($A48,Fall!$A:$A,FALSE),MATCH(M$1,Fall!$1:$1,FALSE))="","",INDEX(Fall!$1:$1048576,MATCH($A48,Fall!$A:$A,FALSE),MATCH(M$1,Fall!$1:$1,FALSE))),"")</f>
        <v/>
      </c>
      <c r="N48" t="str">
        <f>IFERROR(IF(INDEX(Fall!$1:$1048576,MATCH($A48,Fall!$A:$A,FALSE),MATCH(N$1,Fall!$1:$1,FALSE))="","",INDEX(Fall!$1:$1048576,MATCH($A48,Fall!$A:$A,FALSE),MATCH(N$1,Fall!$1:$1,FALSE))),"")</f>
        <v>2A</v>
      </c>
      <c r="O48" t="str">
        <f>IFERROR(IF(INDEX(Fall!$1:$1048576,MATCH($A48,Fall!$A:$A,FALSE),MATCH(O$1,Fall!$1:$1,FALSE))="","",INDEX(Fall!$1:$1048576,MATCH($A48,Fall!$A:$A,FALSE),MATCH(O$1,Fall!$1:$1,FALSE))),"")</f>
        <v>1A</v>
      </c>
      <c r="P48" t="str">
        <f>IFERROR(IF(INDEX(Fall!$1:$1048576,MATCH($A48,Fall!$A:$A,FALSE),MATCH(P$1,Fall!$1:$1,FALSE))="","",INDEX(Fall!$1:$1048576,MATCH($A48,Fall!$A:$A,FALSE),MATCH(P$1,Fall!$1:$1,FALSE))),"")</f>
        <v>3A</v>
      </c>
      <c r="R48" t="str">
        <f>IFERROR(IF(INDEX(Winter!$1:$1048576,MATCH($A48,Winter!$A:$A,FALSE),MATCH(R$1,Winter!$1:$1,FALSE))="","",INDEX(Winter!$1:$1048576,MATCH($A48,Winter!$A:$A,FALSE),MATCH(R$1,Winter!$1:$1,FALSE))),"")</f>
        <v>3A</v>
      </c>
      <c r="S48" t="str">
        <f>IFERROR(IF(INDEX(Winter!$1:$1048576,MATCH($A48,Winter!$A:$A,FALSE),MATCH(S$1,Winter!$1:$1,FALSE))="","",INDEX(Winter!$1:$1048576,MATCH($A48,Winter!$A:$A,FALSE),MATCH(S$1,Winter!$1:$1,FALSE))),"")</f>
        <v>3A</v>
      </c>
      <c r="T48" t="str">
        <f>IFERROR(IF(INDEX(Winter!$1:$1048576,MATCH($A48,Winter!$A:$A,FALSE),MATCH(T$1,Winter!$1:$1,FALSE))="","",INDEX(Winter!$1:$1048576,MATCH($A48,Winter!$A:$A,FALSE),MATCH(T$1,Winter!$1:$1,FALSE))),"")</f>
        <v>2A</v>
      </c>
      <c r="U48" t="str">
        <f>IFERROR(IF(INDEX(Winter!$1:$1048576,MATCH($A48,Winter!$A:$A,FALSE),MATCH(U$1,Winter!$1:$1,FALSE))="","",INDEX(Winter!$1:$1048576,MATCH($A48,Winter!$A:$A,FALSE),MATCH(U$1,Winter!$1:$1,FALSE))),"")</f>
        <v>2A</v>
      </c>
      <c r="V48" t="str">
        <f>IFERROR(IF(INDEX(Winter!$1:$1048576,MATCH($A48,Winter!$A:$A,FALSE),MATCH(V$1,Winter!$1:$1,FALSE))="","",INDEX(Winter!$1:$1048576,MATCH($A48,Winter!$A:$A,FALSE),MATCH(V$1,Winter!$1:$1,FALSE))),"")</f>
        <v>2A</v>
      </c>
      <c r="W48" t="str">
        <f>IFERROR(IF(INDEX(Winter!$1:$1048576,MATCH($A48,Winter!$A:$A,FALSE),MATCH(W$1,Winter!$1:$1,FALSE))="","",INDEX(Winter!$1:$1048576,MATCH($A48,Winter!$A:$A,FALSE),MATCH(W$1,Winter!$1:$1,FALSE))),"")</f>
        <v>2A</v>
      </c>
      <c r="Y48" t="str">
        <f>IFERROR(IF(INDEX(Spring!$1:$1048576,MATCH($A48,Spring!$A:$A,FALSE),MATCH(Y$1,Spring!$1:$1,FALSE))="","",INDEX(Spring!$1:$1048576,MATCH($A48,Spring!$A:$A,FALSE),MATCH(Y$1,Spring!$1:$1,FALSE))),"")</f>
        <v>3A</v>
      </c>
      <c r="Z48" t="str">
        <f>IFERROR(IF(INDEX(Spring!$1:$1048576,MATCH($A48,Spring!$A:$A,FALSE),MATCH(Z$1,Spring!$1:$1,FALSE))="","",INDEX(Spring!$1:$1048576,MATCH($A48,Spring!$A:$A,FALSE),MATCH(Z$1,Spring!$1:$1,FALSE))),"")</f>
        <v>3A</v>
      </c>
      <c r="AA48" t="str">
        <f>IFERROR(IF(INDEX(Spring!$1:$1048576,MATCH($A48,Spring!$A:$A,FALSE),MATCH(AA$1,Spring!$1:$1,FALSE))="","",INDEX(Spring!$1:$1048576,MATCH($A48,Spring!$A:$A,FALSE),MATCH(AA$1,Spring!$1:$1,FALSE))),"")</f>
        <v>2A</v>
      </c>
      <c r="AB48" t="str">
        <f>IFERROR(IF(INDEX(Spring!$1:$1048576,MATCH($A48,Spring!$A:$A,FALSE),MATCH(AB$1,Spring!$1:$1,FALSE))="","",INDEX(Spring!$1:$1048576,MATCH($A48,Spring!$A:$A,FALSE),MATCH(AB$1,Spring!$1:$1,FALSE))),"")</f>
        <v>1A</v>
      </c>
      <c r="AC48" t="str">
        <f>IFERROR(IF(INDEX(Spring!$1:$1048576,MATCH($A48,Spring!$A:$A,FALSE),MATCH(AC$1,Spring!$1:$1,FALSE))="","",INDEX(Spring!$1:$1048576,MATCH($A48,Spring!$A:$A,FALSE),MATCH(AC$1,Spring!$1:$1,FALSE))),"")</f>
        <v>3A</v>
      </c>
      <c r="AD48" t="str">
        <f>IFERROR(IF(INDEX(Spring!$1:$1048576,MATCH($A48,Spring!$A:$A,FALSE),MATCH(AD$1,Spring!$1:$1,FALSE))="","",INDEX(Spring!$1:$1048576,MATCH($A48,Spring!$A:$A,FALSE),MATCH(AD$1,Spring!$1:$1,FALSE))),"")</f>
        <v>3A</v>
      </c>
    </row>
    <row r="49" spans="1:30" ht="15.75" thickBot="1" x14ac:dyDescent="0.3">
      <c r="A49" s="48" t="s">
        <v>65</v>
      </c>
      <c r="B49" s="49">
        <v>604</v>
      </c>
      <c r="C49" s="50"/>
      <c r="D49" s="50"/>
      <c r="E49" s="50"/>
      <c r="F49" s="45"/>
      <c r="G49" s="45"/>
      <c r="H49" s="44"/>
      <c r="J49" t="str">
        <f>IFERROR(IF(INDEX(Fall!$1:$1048576,MATCH($A49,Fall!$A:$A,FALSE),MATCH(J$1,Fall!$1:$1,FALSE))="","",INDEX(Fall!$1:$1048576,MATCH($A49,Fall!$A:$A,FALSE),MATCH(J$1,Fall!$1:$1,FALSE))),"")</f>
        <v>1A</v>
      </c>
      <c r="K49" t="str">
        <f>IFERROR(IF(INDEX(Fall!$1:$1048576,MATCH($A49,Fall!$A:$A,FALSE),MATCH(K$1,Fall!$1:$1,FALSE))="","",INDEX(Fall!$1:$1048576,MATCH($A49,Fall!$A:$A,FALSE),MATCH(K$1,Fall!$1:$1,FALSE))),"")</f>
        <v>1A</v>
      </c>
      <c r="L49" t="str">
        <f>IFERROR(IF(INDEX(Fall!$1:$1048576,MATCH($A49,Fall!$A:$A,FALSE),MATCH(L$1,Fall!$1:$1,FALSE))="","",INDEX(Fall!$1:$1048576,MATCH($A49,Fall!$A:$A,FALSE),MATCH(L$1,Fall!$1:$1,FALSE))),"")</f>
        <v>2A</v>
      </c>
      <c r="M49" t="str">
        <f>IFERROR(IF(INDEX(Fall!$1:$1048576,MATCH($A49,Fall!$A:$A,FALSE),MATCH(M$1,Fall!$1:$1,FALSE))="","",INDEX(Fall!$1:$1048576,MATCH($A49,Fall!$A:$A,FALSE),MATCH(M$1,Fall!$1:$1,FALSE))),"")</f>
        <v>1A</v>
      </c>
      <c r="N49" t="str">
        <f>IFERROR(IF(INDEX(Fall!$1:$1048576,MATCH($A49,Fall!$A:$A,FALSE),MATCH(N$1,Fall!$1:$1,FALSE))="","",INDEX(Fall!$1:$1048576,MATCH($A49,Fall!$A:$A,FALSE),MATCH(N$1,Fall!$1:$1,FALSE))),"")</f>
        <v/>
      </c>
      <c r="O49" t="str">
        <f>IFERROR(IF(INDEX(Fall!$1:$1048576,MATCH($A49,Fall!$A:$A,FALSE),MATCH(O$1,Fall!$1:$1,FALSE))="","",INDEX(Fall!$1:$1048576,MATCH($A49,Fall!$A:$A,FALSE),MATCH(O$1,Fall!$1:$1,FALSE))),"")</f>
        <v>1A</v>
      </c>
      <c r="P49" t="str">
        <f>IFERROR(IF(INDEX(Fall!$1:$1048576,MATCH($A49,Fall!$A:$A,FALSE),MATCH(P$1,Fall!$1:$1,FALSE))="","",INDEX(Fall!$1:$1048576,MATCH($A49,Fall!$A:$A,FALSE),MATCH(P$1,Fall!$1:$1,FALSE))),"")</f>
        <v>2A</v>
      </c>
      <c r="R49" t="str">
        <f>IFERROR(IF(INDEX(Winter!$1:$1048576,MATCH($A49,Winter!$A:$A,FALSE),MATCH(R$1,Winter!$1:$1,FALSE))="","",INDEX(Winter!$1:$1048576,MATCH($A49,Winter!$A:$A,FALSE),MATCH(R$1,Winter!$1:$1,FALSE))),"")</f>
        <v>2A</v>
      </c>
      <c r="S49" t="str">
        <f>IFERROR(IF(INDEX(Winter!$1:$1048576,MATCH($A49,Winter!$A:$A,FALSE),MATCH(S$1,Winter!$1:$1,FALSE))="","",INDEX(Winter!$1:$1048576,MATCH($A49,Winter!$A:$A,FALSE),MATCH(S$1,Winter!$1:$1,FALSE))),"")</f>
        <v>2A</v>
      </c>
      <c r="T49" t="str">
        <f>IFERROR(IF(INDEX(Winter!$1:$1048576,MATCH($A49,Winter!$A:$A,FALSE),MATCH(T$1,Winter!$1:$1,FALSE))="","",INDEX(Winter!$1:$1048576,MATCH($A49,Winter!$A:$A,FALSE),MATCH(T$1,Winter!$1:$1,FALSE))),"")</f>
        <v>1A</v>
      </c>
      <c r="U49" t="str">
        <f>IFERROR(IF(INDEX(Winter!$1:$1048576,MATCH($A49,Winter!$A:$A,FALSE),MATCH(U$1,Winter!$1:$1,FALSE))="","",INDEX(Winter!$1:$1048576,MATCH($A49,Winter!$A:$A,FALSE),MATCH(U$1,Winter!$1:$1,FALSE))),"")</f>
        <v>1A</v>
      </c>
      <c r="V49" t="str">
        <f>IFERROR(IF(INDEX(Winter!$1:$1048576,MATCH($A49,Winter!$A:$A,FALSE),MATCH(V$1,Winter!$1:$1,FALSE))="","",INDEX(Winter!$1:$1048576,MATCH($A49,Winter!$A:$A,FALSE),MATCH(V$1,Winter!$1:$1,FALSE))),"")</f>
        <v>2A</v>
      </c>
      <c r="W49" t="str">
        <f>IFERROR(IF(INDEX(Winter!$1:$1048576,MATCH($A49,Winter!$A:$A,FALSE),MATCH(W$1,Winter!$1:$1,FALSE))="","",INDEX(Winter!$1:$1048576,MATCH($A49,Winter!$A:$A,FALSE),MATCH(W$1,Winter!$1:$1,FALSE))),"")</f>
        <v>1A</v>
      </c>
      <c r="Y49" t="str">
        <f>IFERROR(IF(INDEX(Spring!$1:$1048576,MATCH($A49,Spring!$A:$A,FALSE),MATCH(Y$1,Spring!$1:$1,FALSE))="","",INDEX(Spring!$1:$1048576,MATCH($A49,Spring!$A:$A,FALSE),MATCH(Y$1,Spring!$1:$1,FALSE))),"")</f>
        <v>2A</v>
      </c>
      <c r="Z49" t="str">
        <f>IFERROR(IF(INDEX(Spring!$1:$1048576,MATCH($A49,Spring!$A:$A,FALSE),MATCH(Z$1,Spring!$1:$1,FALSE))="","",INDEX(Spring!$1:$1048576,MATCH($A49,Spring!$A:$A,FALSE),MATCH(Z$1,Spring!$1:$1,FALSE))),"")</f>
        <v>2A</v>
      </c>
      <c r="AA49" t="str">
        <f>IFERROR(IF(INDEX(Spring!$1:$1048576,MATCH($A49,Spring!$A:$A,FALSE),MATCH(AA$1,Spring!$1:$1,FALSE))="","",INDEX(Spring!$1:$1048576,MATCH($A49,Spring!$A:$A,FALSE),MATCH(AA$1,Spring!$1:$1,FALSE))),"")</f>
        <v/>
      </c>
      <c r="AB49" t="str">
        <f>IFERROR(IF(INDEX(Spring!$1:$1048576,MATCH($A49,Spring!$A:$A,FALSE),MATCH(AB$1,Spring!$1:$1,FALSE))="","",INDEX(Spring!$1:$1048576,MATCH($A49,Spring!$A:$A,FALSE),MATCH(AB$1,Spring!$1:$1,FALSE))),"")</f>
        <v/>
      </c>
      <c r="AC49" t="str">
        <f>IFERROR(IF(INDEX(Spring!$1:$1048576,MATCH($A49,Spring!$A:$A,FALSE),MATCH(AC$1,Spring!$1:$1,FALSE))="","",INDEX(Spring!$1:$1048576,MATCH($A49,Spring!$A:$A,FALSE),MATCH(AC$1,Spring!$1:$1,FALSE))),"")</f>
        <v>2A</v>
      </c>
      <c r="AD49" t="str">
        <f>IFERROR(IF(INDEX(Spring!$1:$1048576,MATCH($A49,Spring!$A:$A,FALSE),MATCH(AD$1,Spring!$1:$1,FALSE))="","",INDEX(Spring!$1:$1048576,MATCH($A49,Spring!$A:$A,FALSE),MATCH(AD$1,Spring!$1:$1,FALSE))),"")</f>
        <v>2A</v>
      </c>
    </row>
    <row r="50" spans="1:30" ht="15.75" thickBot="1" x14ac:dyDescent="0.3">
      <c r="A50" s="48" t="s">
        <v>66</v>
      </c>
      <c r="B50" s="49">
        <v>7709</v>
      </c>
      <c r="C50" s="50"/>
      <c r="D50" s="50"/>
      <c r="E50" s="50"/>
      <c r="F50" s="45"/>
      <c r="G50" s="45"/>
      <c r="H50" s="44"/>
      <c r="J50" t="str">
        <f>IFERROR(IF(INDEX(Fall!$1:$1048576,MATCH($A50,Fall!$A:$A,FALSE),MATCH(J$1,Fall!$1:$1,FALSE))="","",INDEX(Fall!$1:$1048576,MATCH($A50,Fall!$A:$A,FALSE),MATCH(J$1,Fall!$1:$1,FALSE))),"")</f>
        <v>3A</v>
      </c>
      <c r="K50" t="str">
        <f>IFERROR(IF(INDEX(Fall!$1:$1048576,MATCH($A50,Fall!$A:$A,FALSE),MATCH(K$1,Fall!$1:$1,FALSE))="","",INDEX(Fall!$1:$1048576,MATCH($A50,Fall!$A:$A,FALSE),MATCH(K$1,Fall!$1:$1,FALSE))),"")</f>
        <v>3A</v>
      </c>
      <c r="L50" t="str">
        <f>IFERROR(IF(INDEX(Fall!$1:$1048576,MATCH($A50,Fall!$A:$A,FALSE),MATCH(L$1,Fall!$1:$1,FALSE))="","",INDEX(Fall!$1:$1048576,MATCH($A50,Fall!$A:$A,FALSE),MATCH(L$1,Fall!$1:$1,FALSE))),"")</f>
        <v>3A</v>
      </c>
      <c r="M50" t="str">
        <f>IFERROR(IF(INDEX(Fall!$1:$1048576,MATCH($A50,Fall!$A:$A,FALSE),MATCH(M$1,Fall!$1:$1,FALSE))="","",INDEX(Fall!$1:$1048576,MATCH($A50,Fall!$A:$A,FALSE),MATCH(M$1,Fall!$1:$1,FALSE))),"")</f>
        <v/>
      </c>
      <c r="N50" t="str">
        <f>IFERROR(IF(INDEX(Fall!$1:$1048576,MATCH($A50,Fall!$A:$A,FALSE),MATCH(N$1,Fall!$1:$1,FALSE))="","",INDEX(Fall!$1:$1048576,MATCH($A50,Fall!$A:$A,FALSE),MATCH(N$1,Fall!$1:$1,FALSE))),"")</f>
        <v>3A</v>
      </c>
      <c r="O50" t="str">
        <f>IFERROR(IF(INDEX(Fall!$1:$1048576,MATCH($A50,Fall!$A:$A,FALSE),MATCH(O$1,Fall!$1:$1,FALSE))="","",INDEX(Fall!$1:$1048576,MATCH($A50,Fall!$A:$A,FALSE),MATCH(O$1,Fall!$1:$1,FALSE))),"")</f>
        <v>2A</v>
      </c>
      <c r="P50" t="str">
        <f>IFERROR(IF(INDEX(Fall!$1:$1048576,MATCH($A50,Fall!$A:$A,FALSE),MATCH(P$1,Fall!$1:$1,FALSE))="","",INDEX(Fall!$1:$1048576,MATCH($A50,Fall!$A:$A,FALSE),MATCH(P$1,Fall!$1:$1,FALSE))),"")</f>
        <v>4A</v>
      </c>
      <c r="R50" t="str">
        <f>IFERROR(IF(INDEX(Winter!$1:$1048576,MATCH($A50,Winter!$A:$A,FALSE),MATCH(R$1,Winter!$1:$1,FALSE))="","",INDEX(Winter!$1:$1048576,MATCH($A50,Winter!$A:$A,FALSE),MATCH(R$1,Winter!$1:$1,FALSE))),"")</f>
        <v>4A</v>
      </c>
      <c r="S50" t="str">
        <f>IFERROR(IF(INDEX(Winter!$1:$1048576,MATCH($A50,Winter!$A:$A,FALSE),MATCH(S$1,Winter!$1:$1,FALSE))="","",INDEX(Winter!$1:$1048576,MATCH($A50,Winter!$A:$A,FALSE),MATCH(S$1,Winter!$1:$1,FALSE))),"")</f>
        <v>4A</v>
      </c>
      <c r="T50" t="str">
        <f>IFERROR(IF(INDEX(Winter!$1:$1048576,MATCH($A50,Winter!$A:$A,FALSE),MATCH(T$1,Winter!$1:$1,FALSE))="","",INDEX(Winter!$1:$1048576,MATCH($A50,Winter!$A:$A,FALSE),MATCH(T$1,Winter!$1:$1,FALSE))),"")</f>
        <v>C</v>
      </c>
      <c r="U50" t="str">
        <f>IFERROR(IF(INDEX(Winter!$1:$1048576,MATCH($A50,Winter!$A:$A,FALSE),MATCH(U$1,Winter!$1:$1,FALSE))="","",INDEX(Winter!$1:$1048576,MATCH($A50,Winter!$A:$A,FALSE),MATCH(U$1,Winter!$1:$1,FALSE))),"")</f>
        <v>3A</v>
      </c>
      <c r="V50" t="str">
        <f>IFERROR(IF(INDEX(Winter!$1:$1048576,MATCH($A50,Winter!$A:$A,FALSE),MATCH(V$1,Winter!$1:$1,FALSE))="","",INDEX(Winter!$1:$1048576,MATCH($A50,Winter!$A:$A,FALSE),MATCH(V$1,Winter!$1:$1,FALSE))),"")</f>
        <v/>
      </c>
      <c r="W50" t="str">
        <f>IFERROR(IF(INDEX(Winter!$1:$1048576,MATCH($A50,Winter!$A:$A,FALSE),MATCH(W$1,Winter!$1:$1,FALSE))="","",INDEX(Winter!$1:$1048576,MATCH($A50,Winter!$A:$A,FALSE),MATCH(W$1,Winter!$1:$1,FALSE))),"")</f>
        <v>3A</v>
      </c>
      <c r="Y50" t="str">
        <f>IFERROR(IF(INDEX(Spring!$1:$1048576,MATCH($A50,Spring!$A:$A,FALSE),MATCH(Y$1,Spring!$1:$1,FALSE))="","",INDEX(Spring!$1:$1048576,MATCH($A50,Spring!$A:$A,FALSE),MATCH(Y$1,Spring!$1:$1,FALSE))),"")</f>
        <v>4A</v>
      </c>
      <c r="Z50" t="str">
        <f>IFERROR(IF(INDEX(Spring!$1:$1048576,MATCH($A50,Spring!$A:$A,FALSE),MATCH(Z$1,Spring!$1:$1,FALSE))="","",INDEX(Spring!$1:$1048576,MATCH($A50,Spring!$A:$A,FALSE),MATCH(Z$1,Spring!$1:$1,FALSE))),"")</f>
        <v>4A</v>
      </c>
      <c r="AA50" t="str">
        <f>IFERROR(IF(INDEX(Spring!$1:$1048576,MATCH($A50,Spring!$A:$A,FALSE),MATCH(AA$1,Spring!$1:$1,FALSE))="","",INDEX(Spring!$1:$1048576,MATCH($A50,Spring!$A:$A,FALSE),MATCH(AA$1,Spring!$1:$1,FALSE))),"")</f>
        <v>3A</v>
      </c>
      <c r="AB50" t="str">
        <f>IFERROR(IF(INDEX(Spring!$1:$1048576,MATCH($A50,Spring!$A:$A,FALSE),MATCH(AB$1,Spring!$1:$1,FALSE))="","",INDEX(Spring!$1:$1048576,MATCH($A50,Spring!$A:$A,FALSE),MATCH(AB$1,Spring!$1:$1,FALSE))),"")</f>
        <v>2A</v>
      </c>
      <c r="AC50" t="str">
        <f>IFERROR(IF(INDEX(Spring!$1:$1048576,MATCH($A50,Spring!$A:$A,FALSE),MATCH(AC$1,Spring!$1:$1,FALSE))="","",INDEX(Spring!$1:$1048576,MATCH($A50,Spring!$A:$A,FALSE),MATCH(AC$1,Spring!$1:$1,FALSE))),"")</f>
        <v>3A</v>
      </c>
      <c r="AD50" t="str">
        <f>IFERROR(IF(INDEX(Spring!$1:$1048576,MATCH($A50,Spring!$A:$A,FALSE),MATCH(AD$1,Spring!$1:$1,FALSE))="","",INDEX(Spring!$1:$1048576,MATCH($A50,Spring!$A:$A,FALSE),MATCH(AD$1,Spring!$1:$1,FALSE))),"")</f>
        <v>3A</v>
      </c>
    </row>
    <row r="51" spans="1:30" ht="15.75" thickBot="1" x14ac:dyDescent="0.3">
      <c r="A51" s="48" t="s">
        <v>67</v>
      </c>
      <c r="B51" s="49">
        <v>740</v>
      </c>
      <c r="C51" s="50"/>
      <c r="D51" s="50"/>
      <c r="E51" s="50"/>
      <c r="F51" s="45"/>
      <c r="G51" s="45"/>
      <c r="H51" s="44"/>
      <c r="J51" t="str">
        <f>IFERROR(IF(INDEX(Fall!$1:$1048576,MATCH($A51,Fall!$A:$A,FALSE),MATCH(J$1,Fall!$1:$1,FALSE))="","",INDEX(Fall!$1:$1048576,MATCH($A51,Fall!$A:$A,FALSE),MATCH(J$1,Fall!$1:$1,FALSE))),"")</f>
        <v>2A</v>
      </c>
      <c r="K51" t="str">
        <f>IFERROR(IF(INDEX(Fall!$1:$1048576,MATCH($A51,Fall!$A:$A,FALSE),MATCH(K$1,Fall!$1:$1,FALSE))="","",INDEX(Fall!$1:$1048576,MATCH($A51,Fall!$A:$A,FALSE),MATCH(K$1,Fall!$1:$1,FALSE))),"")</f>
        <v>2A</v>
      </c>
      <c r="L51" t="str">
        <f>IFERROR(IF(INDEX(Fall!$1:$1048576,MATCH($A51,Fall!$A:$A,FALSE),MATCH(L$1,Fall!$1:$1,FALSE))="","",INDEX(Fall!$1:$1048576,MATCH($A51,Fall!$A:$A,FALSE),MATCH(L$1,Fall!$1:$1,FALSE))),"")</f>
        <v>2A</v>
      </c>
      <c r="M51" t="str">
        <f>IFERROR(IF(INDEX(Fall!$1:$1048576,MATCH($A51,Fall!$A:$A,FALSE),MATCH(M$1,Fall!$1:$1,FALSE))="","",INDEX(Fall!$1:$1048576,MATCH($A51,Fall!$A:$A,FALSE),MATCH(M$1,Fall!$1:$1,FALSE))),"")</f>
        <v>1A</v>
      </c>
      <c r="N51" t="str">
        <f>IFERROR(IF(INDEX(Fall!$1:$1048576,MATCH($A51,Fall!$A:$A,FALSE),MATCH(N$1,Fall!$1:$1,FALSE))="","",INDEX(Fall!$1:$1048576,MATCH($A51,Fall!$A:$A,FALSE),MATCH(N$1,Fall!$1:$1,FALSE))),"")</f>
        <v>2A</v>
      </c>
      <c r="O51" t="str">
        <f>IFERROR(IF(INDEX(Fall!$1:$1048576,MATCH($A51,Fall!$A:$A,FALSE),MATCH(O$1,Fall!$1:$1,FALSE))="","",INDEX(Fall!$1:$1048576,MATCH($A51,Fall!$A:$A,FALSE),MATCH(O$1,Fall!$1:$1,FALSE))),"")</f>
        <v>1A</v>
      </c>
      <c r="P51" t="str">
        <f>IFERROR(IF(INDEX(Fall!$1:$1048576,MATCH($A51,Fall!$A:$A,FALSE),MATCH(P$1,Fall!$1:$1,FALSE))="","",INDEX(Fall!$1:$1048576,MATCH($A51,Fall!$A:$A,FALSE),MATCH(P$1,Fall!$1:$1,FALSE))),"")</f>
        <v>3A</v>
      </c>
      <c r="R51" t="str">
        <f>IFERROR(IF(INDEX(Winter!$1:$1048576,MATCH($A51,Winter!$A:$A,FALSE),MATCH(R$1,Winter!$1:$1,FALSE))="","",INDEX(Winter!$1:$1048576,MATCH($A51,Winter!$A:$A,FALSE),MATCH(R$1,Winter!$1:$1,FALSE))),"")</f>
        <v>3A</v>
      </c>
      <c r="S51" t="str">
        <f>IFERROR(IF(INDEX(Winter!$1:$1048576,MATCH($A51,Winter!$A:$A,FALSE),MATCH(S$1,Winter!$1:$1,FALSE))="","",INDEX(Winter!$1:$1048576,MATCH($A51,Winter!$A:$A,FALSE),MATCH(S$1,Winter!$1:$1,FALSE))),"")</f>
        <v>3A</v>
      </c>
      <c r="T51" t="str">
        <f>IFERROR(IF(INDEX(Winter!$1:$1048576,MATCH($A51,Winter!$A:$A,FALSE),MATCH(T$1,Winter!$1:$1,FALSE))="","",INDEX(Winter!$1:$1048576,MATCH($A51,Winter!$A:$A,FALSE),MATCH(T$1,Winter!$1:$1,FALSE))),"")</f>
        <v>2A</v>
      </c>
      <c r="U51" t="str">
        <f>IFERROR(IF(INDEX(Winter!$1:$1048576,MATCH($A51,Winter!$A:$A,FALSE),MATCH(U$1,Winter!$1:$1,FALSE))="","",INDEX(Winter!$1:$1048576,MATCH($A51,Winter!$A:$A,FALSE),MATCH(U$1,Winter!$1:$1,FALSE))),"")</f>
        <v>1A</v>
      </c>
      <c r="V51" t="str">
        <f>IFERROR(IF(INDEX(Winter!$1:$1048576,MATCH($A51,Winter!$A:$A,FALSE),MATCH(V$1,Winter!$1:$1,FALSE))="","",INDEX(Winter!$1:$1048576,MATCH($A51,Winter!$A:$A,FALSE),MATCH(V$1,Winter!$1:$1,FALSE))),"")</f>
        <v>2A</v>
      </c>
      <c r="W51" t="str">
        <f>IFERROR(IF(INDEX(Winter!$1:$1048576,MATCH($A51,Winter!$A:$A,FALSE),MATCH(W$1,Winter!$1:$1,FALSE))="","",INDEX(Winter!$1:$1048576,MATCH($A51,Winter!$A:$A,FALSE),MATCH(W$1,Winter!$1:$1,FALSE))),"")</f>
        <v>2A</v>
      </c>
      <c r="Y51" t="str">
        <f>IFERROR(IF(INDEX(Spring!$1:$1048576,MATCH($A51,Spring!$A:$A,FALSE),MATCH(Y$1,Spring!$1:$1,FALSE))="","",INDEX(Spring!$1:$1048576,MATCH($A51,Spring!$A:$A,FALSE),MATCH(Y$1,Spring!$1:$1,FALSE))),"")</f>
        <v>3A</v>
      </c>
      <c r="Z51" t="str">
        <f>IFERROR(IF(INDEX(Spring!$1:$1048576,MATCH($A51,Spring!$A:$A,FALSE),MATCH(Z$1,Spring!$1:$1,FALSE))="","",INDEX(Spring!$1:$1048576,MATCH($A51,Spring!$A:$A,FALSE),MATCH(Z$1,Spring!$1:$1,FALSE))),"")</f>
        <v>3A</v>
      </c>
      <c r="AA51" t="str">
        <f>IFERROR(IF(INDEX(Spring!$1:$1048576,MATCH($A51,Spring!$A:$A,FALSE),MATCH(AA$1,Spring!$1:$1,FALSE))="","",INDEX(Spring!$1:$1048576,MATCH($A51,Spring!$A:$A,FALSE),MATCH(AA$1,Spring!$1:$1,FALSE))),"")</f>
        <v>1A</v>
      </c>
      <c r="AB51" t="str">
        <f>IFERROR(IF(INDEX(Spring!$1:$1048576,MATCH($A51,Spring!$A:$A,FALSE),MATCH(AB$1,Spring!$1:$1,FALSE))="","",INDEX(Spring!$1:$1048576,MATCH($A51,Spring!$A:$A,FALSE),MATCH(AB$1,Spring!$1:$1,FALSE))),"")</f>
        <v>1A</v>
      </c>
      <c r="AC51" t="str">
        <f>IFERROR(IF(INDEX(Spring!$1:$1048576,MATCH($A51,Spring!$A:$A,FALSE),MATCH(AC$1,Spring!$1:$1,FALSE))="","",INDEX(Spring!$1:$1048576,MATCH($A51,Spring!$A:$A,FALSE),MATCH(AC$1,Spring!$1:$1,FALSE))),"")</f>
        <v>2A</v>
      </c>
      <c r="AD51" t="str">
        <f>IFERROR(IF(INDEX(Spring!$1:$1048576,MATCH($A51,Spring!$A:$A,FALSE),MATCH(AD$1,Spring!$1:$1,FALSE))="","",INDEX(Spring!$1:$1048576,MATCH($A51,Spring!$A:$A,FALSE),MATCH(AD$1,Spring!$1:$1,FALSE))),"")</f>
        <v>2A</v>
      </c>
    </row>
    <row r="52" spans="1:30" ht="15.75" thickBot="1" x14ac:dyDescent="0.3">
      <c r="A52" s="48" t="s">
        <v>68</v>
      </c>
      <c r="B52" s="49">
        <v>150</v>
      </c>
      <c r="C52" s="50"/>
      <c r="D52" s="50"/>
      <c r="E52" s="50"/>
      <c r="F52" s="45"/>
      <c r="G52" s="45"/>
      <c r="H52" s="44"/>
      <c r="J52" t="str">
        <f>IFERROR(IF(INDEX(Fall!$1:$1048576,MATCH($A52,Fall!$A:$A,FALSE),MATCH(J$1,Fall!$1:$1,FALSE))="","",INDEX(Fall!$1:$1048576,MATCH($A52,Fall!$A:$A,FALSE),MATCH(J$1,Fall!$1:$1,FALSE))),"")</f>
        <v/>
      </c>
      <c r="K52" t="str">
        <f>IFERROR(IF(INDEX(Fall!$1:$1048576,MATCH($A52,Fall!$A:$A,FALSE),MATCH(K$1,Fall!$1:$1,FALSE))="","",INDEX(Fall!$1:$1048576,MATCH($A52,Fall!$A:$A,FALSE),MATCH(K$1,Fall!$1:$1,FALSE))),"")</f>
        <v/>
      </c>
      <c r="L52" t="str">
        <f>IFERROR(IF(INDEX(Fall!$1:$1048576,MATCH($A52,Fall!$A:$A,FALSE),MATCH(L$1,Fall!$1:$1,FALSE))="","",INDEX(Fall!$1:$1048576,MATCH($A52,Fall!$A:$A,FALSE),MATCH(L$1,Fall!$1:$1,FALSE))),"")</f>
        <v>1A</v>
      </c>
      <c r="M52" t="str">
        <f>IFERROR(IF(INDEX(Fall!$1:$1048576,MATCH($A52,Fall!$A:$A,FALSE),MATCH(M$1,Fall!$1:$1,FALSE))="","",INDEX(Fall!$1:$1048576,MATCH($A52,Fall!$A:$A,FALSE),MATCH(M$1,Fall!$1:$1,FALSE))),"")</f>
        <v>1A</v>
      </c>
      <c r="N52" t="str">
        <f>IFERROR(IF(INDEX(Fall!$1:$1048576,MATCH($A52,Fall!$A:$A,FALSE),MATCH(N$1,Fall!$1:$1,FALSE))="","",INDEX(Fall!$1:$1048576,MATCH($A52,Fall!$A:$A,FALSE),MATCH(N$1,Fall!$1:$1,FALSE))),"")</f>
        <v/>
      </c>
      <c r="O52" t="str">
        <f>IFERROR(IF(INDEX(Fall!$1:$1048576,MATCH($A52,Fall!$A:$A,FALSE),MATCH(O$1,Fall!$1:$1,FALSE))="","",INDEX(Fall!$1:$1048576,MATCH($A52,Fall!$A:$A,FALSE),MATCH(O$1,Fall!$1:$1,FALSE))),"")</f>
        <v/>
      </c>
      <c r="P52" t="str">
        <f>IFERROR(IF(INDEX(Fall!$1:$1048576,MATCH($A52,Fall!$A:$A,FALSE),MATCH(P$1,Fall!$1:$1,FALSE))="","",INDEX(Fall!$1:$1048576,MATCH($A52,Fall!$A:$A,FALSE),MATCH(P$1,Fall!$1:$1,FALSE))),"")</f>
        <v>1A</v>
      </c>
      <c r="R52" t="str">
        <f>IFERROR(IF(INDEX(Winter!$1:$1048576,MATCH($A52,Winter!$A:$A,FALSE),MATCH(R$1,Winter!$1:$1,FALSE))="","",INDEX(Winter!$1:$1048576,MATCH($A52,Winter!$A:$A,FALSE),MATCH(R$1,Winter!$1:$1,FALSE))),"")</f>
        <v>1A</v>
      </c>
      <c r="S52" t="str">
        <f>IFERROR(IF(INDEX(Winter!$1:$1048576,MATCH($A52,Winter!$A:$A,FALSE),MATCH(S$1,Winter!$1:$1,FALSE))="","",INDEX(Winter!$1:$1048576,MATCH($A52,Winter!$A:$A,FALSE),MATCH(S$1,Winter!$1:$1,FALSE))),"")</f>
        <v>1A</v>
      </c>
      <c r="T52" t="str">
        <f>IFERROR(IF(INDEX(Winter!$1:$1048576,MATCH($A52,Winter!$A:$A,FALSE),MATCH(T$1,Winter!$1:$1,FALSE))="","",INDEX(Winter!$1:$1048576,MATCH($A52,Winter!$A:$A,FALSE),MATCH(T$1,Winter!$1:$1,FALSE))),"")</f>
        <v/>
      </c>
      <c r="U52" t="str">
        <f>IFERROR(IF(INDEX(Winter!$1:$1048576,MATCH($A52,Winter!$A:$A,FALSE),MATCH(U$1,Winter!$1:$1,FALSE))="","",INDEX(Winter!$1:$1048576,MATCH($A52,Winter!$A:$A,FALSE),MATCH(U$1,Winter!$1:$1,FALSE))),"")</f>
        <v/>
      </c>
      <c r="V52" t="str">
        <f>IFERROR(IF(INDEX(Winter!$1:$1048576,MATCH($A52,Winter!$A:$A,FALSE),MATCH(V$1,Winter!$1:$1,FALSE))="","",INDEX(Winter!$1:$1048576,MATCH($A52,Winter!$A:$A,FALSE),MATCH(V$1,Winter!$1:$1,FALSE))),"")</f>
        <v>1A</v>
      </c>
      <c r="W52" t="str">
        <f>IFERROR(IF(INDEX(Winter!$1:$1048576,MATCH($A52,Winter!$A:$A,FALSE),MATCH(W$1,Winter!$1:$1,FALSE))="","",INDEX(Winter!$1:$1048576,MATCH($A52,Winter!$A:$A,FALSE),MATCH(W$1,Winter!$1:$1,FALSE))),"")</f>
        <v/>
      </c>
      <c r="Y52" t="str">
        <f>IFERROR(IF(INDEX(Spring!$1:$1048576,MATCH($A52,Spring!$A:$A,FALSE),MATCH(Y$1,Spring!$1:$1,FALSE))="","",INDEX(Spring!$1:$1048576,MATCH($A52,Spring!$A:$A,FALSE),MATCH(Y$1,Spring!$1:$1,FALSE))),"")</f>
        <v>1A</v>
      </c>
      <c r="Z52" t="str">
        <f>IFERROR(IF(INDEX(Spring!$1:$1048576,MATCH($A52,Spring!$A:$A,FALSE),MATCH(Z$1,Spring!$1:$1,FALSE))="","",INDEX(Spring!$1:$1048576,MATCH($A52,Spring!$A:$A,FALSE),MATCH(Z$1,Spring!$1:$1,FALSE))),"")</f>
        <v>1A</v>
      </c>
      <c r="AA52" t="str">
        <f>IFERROR(IF(INDEX(Spring!$1:$1048576,MATCH($A52,Spring!$A:$A,FALSE),MATCH(AA$1,Spring!$1:$1,FALSE))="","",INDEX(Spring!$1:$1048576,MATCH($A52,Spring!$A:$A,FALSE),MATCH(AA$1,Spring!$1:$1,FALSE))),"")</f>
        <v/>
      </c>
      <c r="AB52" t="str">
        <f>IFERROR(IF(INDEX(Spring!$1:$1048576,MATCH($A52,Spring!$A:$A,FALSE),MATCH(AB$1,Spring!$1:$1,FALSE))="","",INDEX(Spring!$1:$1048576,MATCH($A52,Spring!$A:$A,FALSE),MATCH(AB$1,Spring!$1:$1,FALSE))),"")</f>
        <v/>
      </c>
      <c r="AC52" t="str">
        <f>IFERROR(IF(INDEX(Spring!$1:$1048576,MATCH($A52,Spring!$A:$A,FALSE),MATCH(AC$1,Spring!$1:$1,FALSE))="","",INDEX(Spring!$1:$1048576,MATCH($A52,Spring!$A:$A,FALSE),MATCH(AC$1,Spring!$1:$1,FALSE))),"")</f>
        <v>1A</v>
      </c>
      <c r="AD52" t="str">
        <f>IFERROR(IF(INDEX(Spring!$1:$1048576,MATCH($A52,Spring!$A:$A,FALSE),MATCH(AD$1,Spring!$1:$1,FALSE))="","",INDEX(Spring!$1:$1048576,MATCH($A52,Spring!$A:$A,FALSE),MATCH(AD$1,Spring!$1:$1,FALSE))),"")</f>
        <v>1A</v>
      </c>
    </row>
    <row r="53" spans="1:30" ht="15.75" thickBot="1" x14ac:dyDescent="0.3">
      <c r="A53" s="48" t="s">
        <v>69</v>
      </c>
      <c r="B53" s="49">
        <v>215</v>
      </c>
      <c r="C53" s="50"/>
      <c r="D53" s="50"/>
      <c r="E53" s="50"/>
      <c r="F53" s="45"/>
      <c r="G53" s="45"/>
      <c r="H53" s="44"/>
      <c r="J53" t="str">
        <f>IFERROR(IF(INDEX(Fall!$1:$1048576,MATCH($A53,Fall!$A:$A,FALSE),MATCH(J$1,Fall!$1:$1,FALSE))="","",INDEX(Fall!$1:$1048576,MATCH($A53,Fall!$A:$A,FALSE),MATCH(J$1,Fall!$1:$1,FALSE))),"")</f>
        <v>1A</v>
      </c>
      <c r="K53" t="str">
        <f>IFERROR(IF(INDEX(Fall!$1:$1048576,MATCH($A53,Fall!$A:$A,FALSE),MATCH(K$1,Fall!$1:$1,FALSE))="","",INDEX(Fall!$1:$1048576,MATCH($A53,Fall!$A:$A,FALSE),MATCH(K$1,Fall!$1:$1,FALSE))),"")</f>
        <v>1A</v>
      </c>
      <c r="L53" t="str">
        <f>IFERROR(IF(INDEX(Fall!$1:$1048576,MATCH($A53,Fall!$A:$A,FALSE),MATCH(L$1,Fall!$1:$1,FALSE))="","",INDEX(Fall!$1:$1048576,MATCH($A53,Fall!$A:$A,FALSE),MATCH(L$1,Fall!$1:$1,FALSE))),"")</f>
        <v>1A</v>
      </c>
      <c r="M53" t="str">
        <f>IFERROR(IF(INDEX(Fall!$1:$1048576,MATCH($A53,Fall!$A:$A,FALSE),MATCH(M$1,Fall!$1:$1,FALSE))="","",INDEX(Fall!$1:$1048576,MATCH($A53,Fall!$A:$A,FALSE),MATCH(M$1,Fall!$1:$1,FALSE))),"")</f>
        <v/>
      </c>
      <c r="N53" t="str">
        <f>IFERROR(IF(INDEX(Fall!$1:$1048576,MATCH($A53,Fall!$A:$A,FALSE),MATCH(N$1,Fall!$1:$1,FALSE))="","",INDEX(Fall!$1:$1048576,MATCH($A53,Fall!$A:$A,FALSE),MATCH(N$1,Fall!$1:$1,FALSE))),"")</f>
        <v/>
      </c>
      <c r="O53" t="str">
        <f>IFERROR(IF(INDEX(Fall!$1:$1048576,MATCH($A53,Fall!$A:$A,FALSE),MATCH(O$1,Fall!$1:$1,FALSE))="","",INDEX(Fall!$1:$1048576,MATCH($A53,Fall!$A:$A,FALSE),MATCH(O$1,Fall!$1:$1,FALSE))),"")</f>
        <v/>
      </c>
      <c r="P53" t="str">
        <f>IFERROR(IF(INDEX(Fall!$1:$1048576,MATCH($A53,Fall!$A:$A,FALSE),MATCH(P$1,Fall!$1:$1,FALSE))="","",INDEX(Fall!$1:$1048576,MATCH($A53,Fall!$A:$A,FALSE),MATCH(P$1,Fall!$1:$1,FALSE))),"")</f>
        <v>1A</v>
      </c>
      <c r="R53" t="str">
        <f>IFERROR(IF(INDEX(Winter!$1:$1048576,MATCH($A53,Winter!$A:$A,FALSE),MATCH(R$1,Winter!$1:$1,FALSE))="","",INDEX(Winter!$1:$1048576,MATCH($A53,Winter!$A:$A,FALSE),MATCH(R$1,Winter!$1:$1,FALSE))),"")</f>
        <v>1A</v>
      </c>
      <c r="S53" t="str">
        <f>IFERROR(IF(INDEX(Winter!$1:$1048576,MATCH($A53,Winter!$A:$A,FALSE),MATCH(S$1,Winter!$1:$1,FALSE))="","",INDEX(Winter!$1:$1048576,MATCH($A53,Winter!$A:$A,FALSE),MATCH(S$1,Winter!$1:$1,FALSE))),"")</f>
        <v>1A</v>
      </c>
      <c r="T53" t="str">
        <f>IFERROR(IF(INDEX(Winter!$1:$1048576,MATCH($A53,Winter!$A:$A,FALSE),MATCH(T$1,Winter!$1:$1,FALSE))="","",INDEX(Winter!$1:$1048576,MATCH($A53,Winter!$A:$A,FALSE),MATCH(T$1,Winter!$1:$1,FALSE))),"")</f>
        <v/>
      </c>
      <c r="U53" t="str">
        <f>IFERROR(IF(INDEX(Winter!$1:$1048576,MATCH($A53,Winter!$A:$A,FALSE),MATCH(U$1,Winter!$1:$1,FALSE))="","",INDEX(Winter!$1:$1048576,MATCH($A53,Winter!$A:$A,FALSE),MATCH(U$1,Winter!$1:$1,FALSE))),"")</f>
        <v/>
      </c>
      <c r="V53" t="str">
        <f>IFERROR(IF(INDEX(Winter!$1:$1048576,MATCH($A53,Winter!$A:$A,FALSE),MATCH(V$1,Winter!$1:$1,FALSE))="","",INDEX(Winter!$1:$1048576,MATCH($A53,Winter!$A:$A,FALSE),MATCH(V$1,Winter!$1:$1,FALSE))),"")</f>
        <v>1A</v>
      </c>
      <c r="W53" t="str">
        <f>IFERROR(IF(INDEX(Winter!$1:$1048576,MATCH($A53,Winter!$A:$A,FALSE),MATCH(W$1,Winter!$1:$1,FALSE))="","",INDEX(Winter!$1:$1048576,MATCH($A53,Winter!$A:$A,FALSE),MATCH(W$1,Winter!$1:$1,FALSE))),"")</f>
        <v/>
      </c>
      <c r="Y53" t="str">
        <f>IFERROR(IF(INDEX(Spring!$1:$1048576,MATCH($A53,Spring!$A:$A,FALSE),MATCH(Y$1,Spring!$1:$1,FALSE))="","",INDEX(Spring!$1:$1048576,MATCH($A53,Spring!$A:$A,FALSE),MATCH(Y$1,Spring!$1:$1,FALSE))),"")</f>
        <v>1A</v>
      </c>
      <c r="Z53" t="str">
        <f>IFERROR(IF(INDEX(Spring!$1:$1048576,MATCH($A53,Spring!$A:$A,FALSE),MATCH(Z$1,Spring!$1:$1,FALSE))="","",INDEX(Spring!$1:$1048576,MATCH($A53,Spring!$A:$A,FALSE),MATCH(Z$1,Spring!$1:$1,FALSE))),"")</f>
        <v>1A</v>
      </c>
      <c r="AA53" t="str">
        <f>IFERROR(IF(INDEX(Spring!$1:$1048576,MATCH($A53,Spring!$A:$A,FALSE),MATCH(AA$1,Spring!$1:$1,FALSE))="","",INDEX(Spring!$1:$1048576,MATCH($A53,Spring!$A:$A,FALSE),MATCH(AA$1,Spring!$1:$1,FALSE))),"")</f>
        <v/>
      </c>
      <c r="AB53" t="str">
        <f>IFERROR(IF(INDEX(Spring!$1:$1048576,MATCH($A53,Spring!$A:$A,FALSE),MATCH(AB$1,Spring!$1:$1,FALSE))="","",INDEX(Spring!$1:$1048576,MATCH($A53,Spring!$A:$A,FALSE),MATCH(AB$1,Spring!$1:$1,FALSE))),"")</f>
        <v/>
      </c>
      <c r="AC53" t="str">
        <f>IFERROR(IF(INDEX(Spring!$1:$1048576,MATCH($A53,Spring!$A:$A,FALSE),MATCH(AC$1,Spring!$1:$1,FALSE))="","",INDEX(Spring!$1:$1048576,MATCH($A53,Spring!$A:$A,FALSE),MATCH(AC$1,Spring!$1:$1,FALSE))),"")</f>
        <v>1A</v>
      </c>
      <c r="AD53" t="str">
        <f>IFERROR(IF(INDEX(Spring!$1:$1048576,MATCH($A53,Spring!$A:$A,FALSE),MATCH(AD$1,Spring!$1:$1,FALSE))="","",INDEX(Spring!$1:$1048576,MATCH($A53,Spring!$A:$A,FALSE),MATCH(AD$1,Spring!$1:$1,FALSE))),"")</f>
        <v>1A</v>
      </c>
    </row>
    <row r="54" spans="1:30" ht="15.75" thickBot="1" x14ac:dyDescent="0.3">
      <c r="A54" s="48" t="s">
        <v>70</v>
      </c>
      <c r="B54" s="49">
        <v>354</v>
      </c>
      <c r="C54" s="50"/>
      <c r="D54" s="50"/>
      <c r="E54" s="50"/>
      <c r="F54" s="45"/>
      <c r="G54" s="45"/>
      <c r="H54" s="44"/>
      <c r="J54" t="str">
        <f>IFERROR(IF(INDEX(Fall!$1:$1048576,MATCH($A54,Fall!$A:$A,FALSE),MATCH(J$1,Fall!$1:$1,FALSE))="","",INDEX(Fall!$1:$1048576,MATCH($A54,Fall!$A:$A,FALSE),MATCH(J$1,Fall!$1:$1,FALSE))),"")</f>
        <v>1A</v>
      </c>
      <c r="K54" t="str">
        <f>IFERROR(IF(INDEX(Fall!$1:$1048576,MATCH($A54,Fall!$A:$A,FALSE),MATCH(K$1,Fall!$1:$1,FALSE))="","",INDEX(Fall!$1:$1048576,MATCH($A54,Fall!$A:$A,FALSE),MATCH(K$1,Fall!$1:$1,FALSE))),"")</f>
        <v>1A</v>
      </c>
      <c r="L54" t="str">
        <f>IFERROR(IF(INDEX(Fall!$1:$1048576,MATCH($A54,Fall!$A:$A,FALSE),MATCH(L$1,Fall!$1:$1,FALSE))="","",INDEX(Fall!$1:$1048576,MATCH($A54,Fall!$A:$A,FALSE),MATCH(L$1,Fall!$1:$1,FALSE))),"")</f>
        <v>1A</v>
      </c>
      <c r="M54" t="str">
        <f>IFERROR(IF(INDEX(Fall!$1:$1048576,MATCH($A54,Fall!$A:$A,FALSE),MATCH(M$1,Fall!$1:$1,FALSE))="","",INDEX(Fall!$1:$1048576,MATCH($A54,Fall!$A:$A,FALSE),MATCH(M$1,Fall!$1:$1,FALSE))),"")</f>
        <v/>
      </c>
      <c r="N54" t="str">
        <f>IFERROR(IF(INDEX(Fall!$1:$1048576,MATCH($A54,Fall!$A:$A,FALSE),MATCH(N$1,Fall!$1:$1,FALSE))="","",INDEX(Fall!$1:$1048576,MATCH($A54,Fall!$A:$A,FALSE),MATCH(N$1,Fall!$1:$1,FALSE))),"")</f>
        <v>1A</v>
      </c>
      <c r="O54" t="str">
        <f>IFERROR(IF(INDEX(Fall!$1:$1048576,MATCH($A54,Fall!$A:$A,FALSE),MATCH(O$1,Fall!$1:$1,FALSE))="","",INDEX(Fall!$1:$1048576,MATCH($A54,Fall!$A:$A,FALSE),MATCH(O$1,Fall!$1:$1,FALSE))),"")</f>
        <v/>
      </c>
      <c r="P54" t="str">
        <f>IFERROR(IF(INDEX(Fall!$1:$1048576,MATCH($A54,Fall!$A:$A,FALSE),MATCH(P$1,Fall!$1:$1,FALSE))="","",INDEX(Fall!$1:$1048576,MATCH($A54,Fall!$A:$A,FALSE),MATCH(P$1,Fall!$1:$1,FALSE))),"")</f>
        <v>2A</v>
      </c>
      <c r="R54" t="str">
        <f>IFERROR(IF(INDEX(Winter!$1:$1048576,MATCH($A54,Winter!$A:$A,FALSE),MATCH(R$1,Winter!$1:$1,FALSE))="","",INDEX(Winter!$1:$1048576,MATCH($A54,Winter!$A:$A,FALSE),MATCH(R$1,Winter!$1:$1,FALSE))),"")</f>
        <v>2A</v>
      </c>
      <c r="S54" t="str">
        <f>IFERROR(IF(INDEX(Winter!$1:$1048576,MATCH($A54,Winter!$A:$A,FALSE),MATCH(S$1,Winter!$1:$1,FALSE))="","",INDEX(Winter!$1:$1048576,MATCH($A54,Winter!$A:$A,FALSE),MATCH(S$1,Winter!$1:$1,FALSE))),"")</f>
        <v>2A</v>
      </c>
      <c r="T54" t="str">
        <f>IFERROR(IF(INDEX(Winter!$1:$1048576,MATCH($A54,Winter!$A:$A,FALSE),MATCH(T$1,Winter!$1:$1,FALSE))="","",INDEX(Winter!$1:$1048576,MATCH($A54,Winter!$A:$A,FALSE),MATCH(T$1,Winter!$1:$1,FALSE))),"")</f>
        <v/>
      </c>
      <c r="U54" t="str">
        <f>IFERROR(IF(INDEX(Winter!$1:$1048576,MATCH($A54,Winter!$A:$A,FALSE),MATCH(U$1,Winter!$1:$1,FALSE))="","",INDEX(Winter!$1:$1048576,MATCH($A54,Winter!$A:$A,FALSE),MATCH(U$1,Winter!$1:$1,FALSE))),"")</f>
        <v/>
      </c>
      <c r="V54" t="str">
        <f>IFERROR(IF(INDEX(Winter!$1:$1048576,MATCH($A54,Winter!$A:$A,FALSE),MATCH(V$1,Winter!$1:$1,FALSE))="","",INDEX(Winter!$1:$1048576,MATCH($A54,Winter!$A:$A,FALSE),MATCH(V$1,Winter!$1:$1,FALSE))),"")</f>
        <v>1A</v>
      </c>
      <c r="W54" t="str">
        <f>IFERROR(IF(INDEX(Winter!$1:$1048576,MATCH($A54,Winter!$A:$A,FALSE),MATCH(W$1,Winter!$1:$1,FALSE))="","",INDEX(Winter!$1:$1048576,MATCH($A54,Winter!$A:$A,FALSE),MATCH(W$1,Winter!$1:$1,FALSE))),"")</f>
        <v>1A</v>
      </c>
      <c r="Y54" t="str">
        <f>IFERROR(IF(INDEX(Spring!$1:$1048576,MATCH($A54,Spring!$A:$A,FALSE),MATCH(Y$1,Spring!$1:$1,FALSE))="","",INDEX(Spring!$1:$1048576,MATCH($A54,Spring!$A:$A,FALSE),MATCH(Y$1,Spring!$1:$1,FALSE))),"")</f>
        <v>2A</v>
      </c>
      <c r="Z54" t="str">
        <f>IFERROR(IF(INDEX(Spring!$1:$1048576,MATCH($A54,Spring!$A:$A,FALSE),MATCH(Z$1,Spring!$1:$1,FALSE))="","",INDEX(Spring!$1:$1048576,MATCH($A54,Spring!$A:$A,FALSE),MATCH(Z$1,Spring!$1:$1,FALSE))),"")</f>
        <v>2A</v>
      </c>
      <c r="AA54" t="str">
        <f>IFERROR(IF(INDEX(Spring!$1:$1048576,MATCH($A54,Spring!$A:$A,FALSE),MATCH(AA$1,Spring!$1:$1,FALSE))="","",INDEX(Spring!$1:$1048576,MATCH($A54,Spring!$A:$A,FALSE),MATCH(AA$1,Spring!$1:$1,FALSE))),"")</f>
        <v/>
      </c>
      <c r="AB54" t="str">
        <f>IFERROR(IF(INDEX(Spring!$1:$1048576,MATCH($A54,Spring!$A:$A,FALSE),MATCH(AB$1,Spring!$1:$1,FALSE))="","",INDEX(Spring!$1:$1048576,MATCH($A54,Spring!$A:$A,FALSE),MATCH(AB$1,Spring!$1:$1,FALSE))),"")</f>
        <v/>
      </c>
      <c r="AC54" t="str">
        <f>IFERROR(IF(INDEX(Spring!$1:$1048576,MATCH($A54,Spring!$A:$A,FALSE),MATCH(AC$1,Spring!$1:$1,FALSE))="","",INDEX(Spring!$1:$1048576,MATCH($A54,Spring!$A:$A,FALSE),MATCH(AC$1,Spring!$1:$1,FALSE))),"")</f>
        <v>1A</v>
      </c>
      <c r="AD54" t="str">
        <f>IFERROR(IF(INDEX(Spring!$1:$1048576,MATCH($A54,Spring!$A:$A,FALSE),MATCH(AD$1,Spring!$1:$1,FALSE))="","",INDEX(Spring!$1:$1048576,MATCH($A54,Spring!$A:$A,FALSE),MATCH(AD$1,Spring!$1:$1,FALSE))),"")</f>
        <v>1A</v>
      </c>
    </row>
    <row r="55" spans="1:30" ht="23.25" thickBot="1" x14ac:dyDescent="0.3">
      <c r="A55" s="48" t="s">
        <v>71</v>
      </c>
      <c r="B55" s="49" t="s">
        <v>72</v>
      </c>
      <c r="C55" s="49" t="s">
        <v>997</v>
      </c>
      <c r="D55" s="49">
        <v>5</v>
      </c>
      <c r="E55" s="49">
        <v>15</v>
      </c>
      <c r="F55" s="45"/>
      <c r="G55" s="45"/>
      <c r="H55" s="44"/>
      <c r="J55" t="str">
        <f>IFERROR(IF(INDEX(Fall!$1:$1048576,MATCH($A55,Fall!$A:$A,FALSE),MATCH(J$1,Fall!$1:$1,FALSE))="","",INDEX(Fall!$1:$1048576,MATCH($A55,Fall!$A:$A,FALSE),MATCH(J$1,Fall!$1:$1,FALSE))),"")</f>
        <v>1A</v>
      </c>
      <c r="K55" t="str">
        <f>IFERROR(IF(INDEX(Fall!$1:$1048576,MATCH($A55,Fall!$A:$A,FALSE),MATCH(K$1,Fall!$1:$1,FALSE))="","",INDEX(Fall!$1:$1048576,MATCH($A55,Fall!$A:$A,FALSE),MATCH(K$1,Fall!$1:$1,FALSE))),"")</f>
        <v>1A</v>
      </c>
      <c r="L55" t="str">
        <f>IFERROR(IF(INDEX(Fall!$1:$1048576,MATCH($A55,Fall!$A:$A,FALSE),MATCH(L$1,Fall!$1:$1,FALSE))="","",INDEX(Fall!$1:$1048576,MATCH($A55,Fall!$A:$A,FALSE),MATCH(L$1,Fall!$1:$1,FALSE))),"")</f>
        <v>2A</v>
      </c>
      <c r="M55" t="str">
        <f>IFERROR(IF(INDEX(Fall!$1:$1048576,MATCH($A55,Fall!$A:$A,FALSE),MATCH(M$1,Fall!$1:$1,FALSE))="","",INDEX(Fall!$1:$1048576,MATCH($A55,Fall!$A:$A,FALSE),MATCH(M$1,Fall!$1:$1,FALSE))),"")</f>
        <v>1A</v>
      </c>
      <c r="N55" t="str">
        <f>IFERROR(IF(INDEX(Fall!$1:$1048576,MATCH($A55,Fall!$A:$A,FALSE),MATCH(N$1,Fall!$1:$1,FALSE))="","",INDEX(Fall!$1:$1048576,MATCH($A55,Fall!$A:$A,FALSE),MATCH(N$1,Fall!$1:$1,FALSE))),"")</f>
        <v>1A</v>
      </c>
      <c r="O55" t="str">
        <f>IFERROR(IF(INDEX(Fall!$1:$1048576,MATCH($A55,Fall!$A:$A,FALSE),MATCH(O$1,Fall!$1:$1,FALSE))="","",INDEX(Fall!$1:$1048576,MATCH($A55,Fall!$A:$A,FALSE),MATCH(O$1,Fall!$1:$1,FALSE))),"")</f>
        <v>1A</v>
      </c>
      <c r="P55" t="str">
        <f>IFERROR(IF(INDEX(Fall!$1:$1048576,MATCH($A55,Fall!$A:$A,FALSE),MATCH(P$1,Fall!$1:$1,FALSE))="","",INDEX(Fall!$1:$1048576,MATCH($A55,Fall!$A:$A,FALSE),MATCH(P$1,Fall!$1:$1,FALSE))),"")</f>
        <v>2A</v>
      </c>
      <c r="R55" t="str">
        <f>IFERROR(IF(INDEX(Winter!$1:$1048576,MATCH($A55,Winter!$A:$A,FALSE),MATCH(R$1,Winter!$1:$1,FALSE))="","",INDEX(Winter!$1:$1048576,MATCH($A55,Winter!$A:$A,FALSE),MATCH(R$1,Winter!$1:$1,FALSE))),"")</f>
        <v>2A</v>
      </c>
      <c r="S55" t="str">
        <f>IFERROR(IF(INDEX(Winter!$1:$1048576,MATCH($A55,Winter!$A:$A,FALSE),MATCH(S$1,Winter!$1:$1,FALSE))="","",INDEX(Winter!$1:$1048576,MATCH($A55,Winter!$A:$A,FALSE),MATCH(S$1,Winter!$1:$1,FALSE))),"")</f>
        <v>2A</v>
      </c>
      <c r="T55" t="str">
        <f>IFERROR(IF(INDEX(Winter!$1:$1048576,MATCH($A55,Winter!$A:$A,FALSE),MATCH(T$1,Winter!$1:$1,FALSE))="","",INDEX(Winter!$1:$1048576,MATCH($A55,Winter!$A:$A,FALSE),MATCH(T$1,Winter!$1:$1,FALSE))),"")</f>
        <v/>
      </c>
      <c r="U55" t="str">
        <f>IFERROR(IF(INDEX(Winter!$1:$1048576,MATCH($A55,Winter!$A:$A,FALSE),MATCH(U$1,Winter!$1:$1,FALSE))="","",INDEX(Winter!$1:$1048576,MATCH($A55,Winter!$A:$A,FALSE),MATCH(U$1,Winter!$1:$1,FALSE))),"")</f>
        <v/>
      </c>
      <c r="V55" t="str">
        <f>IFERROR(IF(INDEX(Winter!$1:$1048576,MATCH($A55,Winter!$A:$A,FALSE),MATCH(V$1,Winter!$1:$1,FALSE))="","",INDEX(Winter!$1:$1048576,MATCH($A55,Winter!$A:$A,FALSE),MATCH(V$1,Winter!$1:$1,FALSE))),"")</f>
        <v>2A</v>
      </c>
      <c r="W55" t="str">
        <f>IFERROR(IF(INDEX(Winter!$1:$1048576,MATCH($A55,Winter!$A:$A,FALSE),MATCH(W$1,Winter!$1:$1,FALSE))="","",INDEX(Winter!$1:$1048576,MATCH($A55,Winter!$A:$A,FALSE),MATCH(W$1,Winter!$1:$1,FALSE))),"")</f>
        <v/>
      </c>
      <c r="Y55" t="str">
        <f>IFERROR(IF(INDEX(Spring!$1:$1048576,MATCH($A55,Spring!$A:$A,FALSE),MATCH(Y$1,Spring!$1:$1,FALSE))="","",INDEX(Spring!$1:$1048576,MATCH($A55,Spring!$A:$A,FALSE),MATCH(Y$1,Spring!$1:$1,FALSE))),"")</f>
        <v>2A</v>
      </c>
      <c r="Z55" t="str">
        <f>IFERROR(IF(INDEX(Spring!$1:$1048576,MATCH($A55,Spring!$A:$A,FALSE),MATCH(Z$1,Spring!$1:$1,FALSE))="","",INDEX(Spring!$1:$1048576,MATCH($A55,Spring!$A:$A,FALSE),MATCH(Z$1,Spring!$1:$1,FALSE))),"")</f>
        <v>2A</v>
      </c>
      <c r="AA55" t="str">
        <f>IFERROR(IF(INDEX(Spring!$1:$1048576,MATCH($A55,Spring!$A:$A,FALSE),MATCH(AA$1,Spring!$1:$1,FALSE))="","",INDEX(Spring!$1:$1048576,MATCH($A55,Spring!$A:$A,FALSE),MATCH(AA$1,Spring!$1:$1,FALSE))),"")</f>
        <v>1A</v>
      </c>
      <c r="AB55" t="str">
        <f>IFERROR(IF(INDEX(Spring!$1:$1048576,MATCH($A55,Spring!$A:$A,FALSE),MATCH(AB$1,Spring!$1:$1,FALSE))="","",INDEX(Spring!$1:$1048576,MATCH($A55,Spring!$A:$A,FALSE),MATCH(AB$1,Spring!$1:$1,FALSE))),"")</f>
        <v>1A</v>
      </c>
      <c r="AC55" t="str">
        <f>IFERROR(IF(INDEX(Spring!$1:$1048576,MATCH($A55,Spring!$A:$A,FALSE),MATCH(AC$1,Spring!$1:$1,FALSE))="","",INDEX(Spring!$1:$1048576,MATCH($A55,Spring!$A:$A,FALSE),MATCH(AC$1,Spring!$1:$1,FALSE))),"")</f>
        <v>2A</v>
      </c>
      <c r="AD55" t="str">
        <f>IFERROR(IF(INDEX(Spring!$1:$1048576,MATCH($A55,Spring!$A:$A,FALSE),MATCH(AD$1,Spring!$1:$1,FALSE))="","",INDEX(Spring!$1:$1048576,MATCH($A55,Spring!$A:$A,FALSE),MATCH(AD$1,Spring!$1:$1,FALSE))),"")</f>
        <v>1A</v>
      </c>
    </row>
    <row r="56" spans="1:30" ht="23.25" thickBot="1" x14ac:dyDescent="0.3">
      <c r="A56" s="48" t="s">
        <v>73</v>
      </c>
      <c r="B56" s="49" t="s">
        <v>74</v>
      </c>
      <c r="C56" s="49" t="s">
        <v>997</v>
      </c>
      <c r="D56" s="49">
        <v>5</v>
      </c>
      <c r="E56" s="49">
        <v>15</v>
      </c>
      <c r="F56" s="45"/>
      <c r="G56" s="45"/>
      <c r="H56" s="44"/>
      <c r="J56" t="str">
        <f>IFERROR(IF(INDEX(Fall!$1:$1048576,MATCH($A56,Fall!$A:$A,FALSE),MATCH(J$1,Fall!$1:$1,FALSE))="","",INDEX(Fall!$1:$1048576,MATCH($A56,Fall!$A:$A,FALSE),MATCH(J$1,Fall!$1:$1,FALSE))),"")</f>
        <v>1A</v>
      </c>
      <c r="K56" t="str">
        <f>IFERROR(IF(INDEX(Fall!$1:$1048576,MATCH($A56,Fall!$A:$A,FALSE),MATCH(K$1,Fall!$1:$1,FALSE))="","",INDEX(Fall!$1:$1048576,MATCH($A56,Fall!$A:$A,FALSE),MATCH(K$1,Fall!$1:$1,FALSE))),"")</f>
        <v/>
      </c>
      <c r="L56" t="str">
        <f>IFERROR(IF(INDEX(Fall!$1:$1048576,MATCH($A56,Fall!$A:$A,FALSE),MATCH(L$1,Fall!$1:$1,FALSE))="","",INDEX(Fall!$1:$1048576,MATCH($A56,Fall!$A:$A,FALSE),MATCH(L$1,Fall!$1:$1,FALSE))),"")</f>
        <v>1A</v>
      </c>
      <c r="M56" t="str">
        <f>IFERROR(IF(INDEX(Fall!$1:$1048576,MATCH($A56,Fall!$A:$A,FALSE),MATCH(M$1,Fall!$1:$1,FALSE))="","",INDEX(Fall!$1:$1048576,MATCH($A56,Fall!$A:$A,FALSE),MATCH(M$1,Fall!$1:$1,FALSE))),"")</f>
        <v/>
      </c>
      <c r="N56" t="str">
        <f>IFERROR(IF(INDEX(Fall!$1:$1048576,MATCH($A56,Fall!$A:$A,FALSE),MATCH(N$1,Fall!$1:$1,FALSE))="","",INDEX(Fall!$1:$1048576,MATCH($A56,Fall!$A:$A,FALSE),MATCH(N$1,Fall!$1:$1,FALSE))),"")</f>
        <v>1A</v>
      </c>
      <c r="O56" t="str">
        <f>IFERROR(IF(INDEX(Fall!$1:$1048576,MATCH($A56,Fall!$A:$A,FALSE),MATCH(O$1,Fall!$1:$1,FALSE))="","",INDEX(Fall!$1:$1048576,MATCH($A56,Fall!$A:$A,FALSE),MATCH(O$1,Fall!$1:$1,FALSE))),"")</f>
        <v>1A</v>
      </c>
      <c r="P56" t="str">
        <f>IFERROR(IF(INDEX(Fall!$1:$1048576,MATCH($A56,Fall!$A:$A,FALSE),MATCH(P$1,Fall!$1:$1,FALSE))="","",INDEX(Fall!$1:$1048576,MATCH($A56,Fall!$A:$A,FALSE),MATCH(P$1,Fall!$1:$1,FALSE))),"")</f>
        <v>1A</v>
      </c>
      <c r="R56" t="str">
        <f>IFERROR(IF(INDEX(Winter!$1:$1048576,MATCH($A56,Winter!$A:$A,FALSE),MATCH(R$1,Winter!$1:$1,FALSE))="","",INDEX(Winter!$1:$1048576,MATCH($A56,Winter!$A:$A,FALSE),MATCH(R$1,Winter!$1:$1,FALSE))),"")</f>
        <v>1A</v>
      </c>
      <c r="S56" t="str">
        <f>IFERROR(IF(INDEX(Winter!$1:$1048576,MATCH($A56,Winter!$A:$A,FALSE),MATCH(S$1,Winter!$1:$1,FALSE))="","",INDEX(Winter!$1:$1048576,MATCH($A56,Winter!$A:$A,FALSE),MATCH(S$1,Winter!$1:$1,FALSE))),"")</f>
        <v>1A</v>
      </c>
      <c r="T56" t="str">
        <f>IFERROR(IF(INDEX(Winter!$1:$1048576,MATCH($A56,Winter!$A:$A,FALSE),MATCH(T$1,Winter!$1:$1,FALSE))="","",INDEX(Winter!$1:$1048576,MATCH($A56,Winter!$A:$A,FALSE),MATCH(T$1,Winter!$1:$1,FALSE))),"")</f>
        <v/>
      </c>
      <c r="U56" t="str">
        <f>IFERROR(IF(INDEX(Winter!$1:$1048576,MATCH($A56,Winter!$A:$A,FALSE),MATCH(U$1,Winter!$1:$1,FALSE))="","",INDEX(Winter!$1:$1048576,MATCH($A56,Winter!$A:$A,FALSE),MATCH(U$1,Winter!$1:$1,FALSE))),"")</f>
        <v/>
      </c>
      <c r="V56" t="str">
        <f>IFERROR(IF(INDEX(Winter!$1:$1048576,MATCH($A56,Winter!$A:$A,FALSE),MATCH(V$1,Winter!$1:$1,FALSE))="","",INDEX(Winter!$1:$1048576,MATCH($A56,Winter!$A:$A,FALSE),MATCH(V$1,Winter!$1:$1,FALSE))),"")</f>
        <v>1A</v>
      </c>
      <c r="W56" t="str">
        <f>IFERROR(IF(INDEX(Winter!$1:$1048576,MATCH($A56,Winter!$A:$A,FALSE),MATCH(W$1,Winter!$1:$1,FALSE))="","",INDEX(Winter!$1:$1048576,MATCH($A56,Winter!$A:$A,FALSE),MATCH(W$1,Winter!$1:$1,FALSE))),"")</f>
        <v/>
      </c>
      <c r="Y56" t="str">
        <f>IFERROR(IF(INDEX(Spring!$1:$1048576,MATCH($A56,Spring!$A:$A,FALSE),MATCH(Y$1,Spring!$1:$1,FALSE))="","",INDEX(Spring!$1:$1048576,MATCH($A56,Spring!$A:$A,FALSE),MATCH(Y$1,Spring!$1:$1,FALSE))),"")</f>
        <v>2A</v>
      </c>
      <c r="Z56" t="str">
        <f>IFERROR(IF(INDEX(Spring!$1:$1048576,MATCH($A56,Spring!$A:$A,FALSE),MATCH(Z$1,Spring!$1:$1,FALSE))="","",INDEX(Spring!$1:$1048576,MATCH($A56,Spring!$A:$A,FALSE),MATCH(Z$1,Spring!$1:$1,FALSE))),"")</f>
        <v/>
      </c>
      <c r="AA56" t="str">
        <f>IFERROR(IF(INDEX(Spring!$1:$1048576,MATCH($A56,Spring!$A:$A,FALSE),MATCH(AA$1,Spring!$1:$1,FALSE))="","",INDEX(Spring!$1:$1048576,MATCH($A56,Spring!$A:$A,FALSE),MATCH(AA$1,Spring!$1:$1,FALSE))),"")</f>
        <v>1A</v>
      </c>
      <c r="AB56" t="str">
        <f>IFERROR(IF(INDEX(Spring!$1:$1048576,MATCH($A56,Spring!$A:$A,FALSE),MATCH(AB$1,Spring!$1:$1,FALSE))="","",INDEX(Spring!$1:$1048576,MATCH($A56,Spring!$A:$A,FALSE),MATCH(AB$1,Spring!$1:$1,FALSE))),"")</f>
        <v>1A</v>
      </c>
      <c r="AC56" t="str">
        <f>IFERROR(IF(INDEX(Spring!$1:$1048576,MATCH($A56,Spring!$A:$A,FALSE),MATCH(AC$1,Spring!$1:$1,FALSE))="","",INDEX(Spring!$1:$1048576,MATCH($A56,Spring!$A:$A,FALSE),MATCH(AC$1,Spring!$1:$1,FALSE))),"")</f>
        <v>1A</v>
      </c>
      <c r="AD56" t="str">
        <f>IFERROR(IF(INDEX(Spring!$1:$1048576,MATCH($A56,Spring!$A:$A,FALSE),MATCH(AD$1,Spring!$1:$1,FALSE))="","",INDEX(Spring!$1:$1048576,MATCH($A56,Spring!$A:$A,FALSE),MATCH(AD$1,Spring!$1:$1,FALSE))),"")</f>
        <v>1A</v>
      </c>
    </row>
    <row r="57" spans="1:30" ht="15.75" thickBot="1" x14ac:dyDescent="0.3">
      <c r="A57" s="48" t="s">
        <v>75</v>
      </c>
      <c r="B57" s="49">
        <v>1364</v>
      </c>
      <c r="C57" s="50"/>
      <c r="D57" s="50"/>
      <c r="E57" s="50"/>
      <c r="F57" s="45"/>
      <c r="G57" s="45"/>
      <c r="H57" s="44"/>
      <c r="J57" t="str">
        <f>IFERROR(IF(INDEX(Fall!$1:$1048576,MATCH($A57,Fall!$A:$A,FALSE),MATCH(J$1,Fall!$1:$1,FALSE))="","",INDEX(Fall!$1:$1048576,MATCH($A57,Fall!$A:$A,FALSE),MATCH(J$1,Fall!$1:$1,FALSE))),"")</f>
        <v>2A</v>
      </c>
      <c r="K57" t="str">
        <f>IFERROR(IF(INDEX(Fall!$1:$1048576,MATCH($A57,Fall!$A:$A,FALSE),MATCH(K$1,Fall!$1:$1,FALSE))="","",INDEX(Fall!$1:$1048576,MATCH($A57,Fall!$A:$A,FALSE),MATCH(K$1,Fall!$1:$1,FALSE))),"")</f>
        <v>2A</v>
      </c>
      <c r="L57" t="str">
        <f>IFERROR(IF(INDEX(Fall!$1:$1048576,MATCH($A57,Fall!$A:$A,FALSE),MATCH(L$1,Fall!$1:$1,FALSE))="","",INDEX(Fall!$1:$1048576,MATCH($A57,Fall!$A:$A,FALSE),MATCH(L$1,Fall!$1:$1,FALSE))),"")</f>
        <v>2A</v>
      </c>
      <c r="M57" t="str">
        <f>IFERROR(IF(INDEX(Fall!$1:$1048576,MATCH($A57,Fall!$A:$A,FALSE),MATCH(M$1,Fall!$1:$1,FALSE))="","",INDEX(Fall!$1:$1048576,MATCH($A57,Fall!$A:$A,FALSE),MATCH(M$1,Fall!$1:$1,FALSE))),"")</f>
        <v>2A</v>
      </c>
      <c r="N57" t="str">
        <f>IFERROR(IF(INDEX(Fall!$1:$1048576,MATCH($A57,Fall!$A:$A,FALSE),MATCH(N$1,Fall!$1:$1,FALSE))="","",INDEX(Fall!$1:$1048576,MATCH($A57,Fall!$A:$A,FALSE),MATCH(N$1,Fall!$1:$1,FALSE))),"")</f>
        <v>2A</v>
      </c>
      <c r="O57" t="str">
        <f>IFERROR(IF(INDEX(Fall!$1:$1048576,MATCH($A57,Fall!$A:$A,FALSE),MATCH(O$1,Fall!$1:$1,FALSE))="","",INDEX(Fall!$1:$1048576,MATCH($A57,Fall!$A:$A,FALSE),MATCH(O$1,Fall!$1:$1,FALSE))),"")</f>
        <v>1A</v>
      </c>
      <c r="P57" t="str">
        <f>IFERROR(IF(INDEX(Fall!$1:$1048576,MATCH($A57,Fall!$A:$A,FALSE),MATCH(P$1,Fall!$1:$1,FALSE))="","",INDEX(Fall!$1:$1048576,MATCH($A57,Fall!$A:$A,FALSE),MATCH(P$1,Fall!$1:$1,FALSE))),"")</f>
        <v>3A</v>
      </c>
      <c r="R57" t="str">
        <f>IFERROR(IF(INDEX(Winter!$1:$1048576,MATCH($A57,Winter!$A:$A,FALSE),MATCH(R$1,Winter!$1:$1,FALSE))="","",INDEX(Winter!$1:$1048576,MATCH($A57,Winter!$A:$A,FALSE),MATCH(R$1,Winter!$1:$1,FALSE))),"")</f>
        <v>3A</v>
      </c>
      <c r="S57" t="str">
        <f>IFERROR(IF(INDEX(Winter!$1:$1048576,MATCH($A57,Winter!$A:$A,FALSE),MATCH(S$1,Winter!$1:$1,FALSE))="","",INDEX(Winter!$1:$1048576,MATCH($A57,Winter!$A:$A,FALSE),MATCH(S$1,Winter!$1:$1,FALSE))),"")</f>
        <v>3A</v>
      </c>
      <c r="T57" t="str">
        <f>IFERROR(IF(INDEX(Winter!$1:$1048576,MATCH($A57,Winter!$A:$A,FALSE),MATCH(T$1,Winter!$1:$1,FALSE))="","",INDEX(Winter!$1:$1048576,MATCH($A57,Winter!$A:$A,FALSE),MATCH(T$1,Winter!$1:$1,FALSE))),"")</f>
        <v>2A</v>
      </c>
      <c r="U57" t="str">
        <f>IFERROR(IF(INDEX(Winter!$1:$1048576,MATCH($A57,Winter!$A:$A,FALSE),MATCH(U$1,Winter!$1:$1,FALSE))="","",INDEX(Winter!$1:$1048576,MATCH($A57,Winter!$A:$A,FALSE),MATCH(U$1,Winter!$1:$1,FALSE))),"")</f>
        <v>2A</v>
      </c>
      <c r="V57" t="str">
        <f>IFERROR(IF(INDEX(Winter!$1:$1048576,MATCH($A57,Winter!$A:$A,FALSE),MATCH(V$1,Winter!$1:$1,FALSE))="","",INDEX(Winter!$1:$1048576,MATCH($A57,Winter!$A:$A,FALSE),MATCH(V$1,Winter!$1:$1,FALSE))),"")</f>
        <v>2A</v>
      </c>
      <c r="W57" t="str">
        <f>IFERROR(IF(INDEX(Winter!$1:$1048576,MATCH($A57,Winter!$A:$A,FALSE),MATCH(W$1,Winter!$1:$1,FALSE))="","",INDEX(Winter!$1:$1048576,MATCH($A57,Winter!$A:$A,FALSE),MATCH(W$1,Winter!$1:$1,FALSE))),"")</f>
        <v>2A</v>
      </c>
      <c r="Y57" t="str">
        <f>IFERROR(IF(INDEX(Spring!$1:$1048576,MATCH($A57,Spring!$A:$A,FALSE),MATCH(Y$1,Spring!$1:$1,FALSE))="","",INDEX(Spring!$1:$1048576,MATCH($A57,Spring!$A:$A,FALSE),MATCH(Y$1,Spring!$1:$1,FALSE))),"")</f>
        <v>3A</v>
      </c>
      <c r="Z57" t="str">
        <f>IFERROR(IF(INDEX(Spring!$1:$1048576,MATCH($A57,Spring!$A:$A,FALSE),MATCH(Z$1,Spring!$1:$1,FALSE))="","",INDEX(Spring!$1:$1048576,MATCH($A57,Spring!$A:$A,FALSE),MATCH(Z$1,Spring!$1:$1,FALSE))),"")</f>
        <v>3A</v>
      </c>
      <c r="AA57" t="str">
        <f>IFERROR(IF(INDEX(Spring!$1:$1048576,MATCH($A57,Spring!$A:$A,FALSE),MATCH(AA$1,Spring!$1:$1,FALSE))="","",INDEX(Spring!$1:$1048576,MATCH($A57,Spring!$A:$A,FALSE),MATCH(AA$1,Spring!$1:$1,FALSE))),"")</f>
        <v>2A</v>
      </c>
      <c r="AB57" t="str">
        <f>IFERROR(IF(INDEX(Spring!$1:$1048576,MATCH($A57,Spring!$A:$A,FALSE),MATCH(AB$1,Spring!$1:$1,FALSE))="","",INDEX(Spring!$1:$1048576,MATCH($A57,Spring!$A:$A,FALSE),MATCH(AB$1,Spring!$1:$1,FALSE))),"")</f>
        <v>1A</v>
      </c>
      <c r="AC57" t="str">
        <f>IFERROR(IF(INDEX(Spring!$1:$1048576,MATCH($A57,Spring!$A:$A,FALSE),MATCH(AC$1,Spring!$1:$1,FALSE))="","",INDEX(Spring!$1:$1048576,MATCH($A57,Spring!$A:$A,FALSE),MATCH(AC$1,Spring!$1:$1,FALSE))),"")</f>
        <v>3A</v>
      </c>
      <c r="AD57" t="str">
        <f>IFERROR(IF(INDEX(Spring!$1:$1048576,MATCH($A57,Spring!$A:$A,FALSE),MATCH(AD$1,Spring!$1:$1,FALSE))="","",INDEX(Spring!$1:$1048576,MATCH($A57,Spring!$A:$A,FALSE),MATCH(AD$1,Spring!$1:$1,FALSE))),"")</f>
        <v>3A</v>
      </c>
    </row>
    <row r="58" spans="1:30" ht="15.75" thickBot="1" x14ac:dyDescent="0.3">
      <c r="A58" s="48" t="s">
        <v>76</v>
      </c>
      <c r="B58" s="49">
        <v>1626</v>
      </c>
      <c r="C58" s="50"/>
      <c r="D58" s="50"/>
      <c r="E58" s="50"/>
      <c r="F58" s="45"/>
      <c r="G58" s="45"/>
      <c r="H58" s="44"/>
      <c r="J58" t="str">
        <f>IFERROR(IF(INDEX(Fall!$1:$1048576,MATCH($A58,Fall!$A:$A,FALSE),MATCH(J$1,Fall!$1:$1,FALSE))="","",INDEX(Fall!$1:$1048576,MATCH($A58,Fall!$A:$A,FALSE),MATCH(J$1,Fall!$1:$1,FALSE))),"")</f>
        <v>3A</v>
      </c>
      <c r="K58" t="str">
        <f>IFERROR(IF(INDEX(Fall!$1:$1048576,MATCH($A58,Fall!$A:$A,FALSE),MATCH(K$1,Fall!$1:$1,FALSE))="","",INDEX(Fall!$1:$1048576,MATCH($A58,Fall!$A:$A,FALSE),MATCH(K$1,Fall!$1:$1,FALSE))),"")</f>
        <v>3A</v>
      </c>
      <c r="L58" t="str">
        <f>IFERROR(IF(INDEX(Fall!$1:$1048576,MATCH($A58,Fall!$A:$A,FALSE),MATCH(L$1,Fall!$1:$1,FALSE))="","",INDEX(Fall!$1:$1048576,MATCH($A58,Fall!$A:$A,FALSE),MATCH(L$1,Fall!$1:$1,FALSE))),"")</f>
        <v>3A</v>
      </c>
      <c r="M58" t="str">
        <f>IFERROR(IF(INDEX(Fall!$1:$1048576,MATCH($A58,Fall!$A:$A,FALSE),MATCH(M$1,Fall!$1:$1,FALSE))="","",INDEX(Fall!$1:$1048576,MATCH($A58,Fall!$A:$A,FALSE),MATCH(M$1,Fall!$1:$1,FALSE))),"")</f>
        <v/>
      </c>
      <c r="N58" t="str">
        <f>IFERROR(IF(INDEX(Fall!$1:$1048576,MATCH($A58,Fall!$A:$A,FALSE),MATCH(N$1,Fall!$1:$1,FALSE))="","",INDEX(Fall!$1:$1048576,MATCH($A58,Fall!$A:$A,FALSE),MATCH(N$1,Fall!$1:$1,FALSE))),"")</f>
        <v>3A</v>
      </c>
      <c r="O58" t="str">
        <f>IFERROR(IF(INDEX(Fall!$1:$1048576,MATCH($A58,Fall!$A:$A,FALSE),MATCH(O$1,Fall!$1:$1,FALSE))="","",INDEX(Fall!$1:$1048576,MATCH($A58,Fall!$A:$A,FALSE),MATCH(O$1,Fall!$1:$1,FALSE))),"")</f>
        <v>2A</v>
      </c>
      <c r="P58" t="str">
        <f>IFERROR(IF(INDEX(Fall!$1:$1048576,MATCH($A58,Fall!$A:$A,FALSE),MATCH(P$1,Fall!$1:$1,FALSE))="","",INDEX(Fall!$1:$1048576,MATCH($A58,Fall!$A:$A,FALSE),MATCH(P$1,Fall!$1:$1,FALSE))),"")</f>
        <v>4A</v>
      </c>
      <c r="R58" t="str">
        <f>IFERROR(IF(INDEX(Winter!$1:$1048576,MATCH($A58,Winter!$A:$A,FALSE),MATCH(R$1,Winter!$1:$1,FALSE))="","",INDEX(Winter!$1:$1048576,MATCH($A58,Winter!$A:$A,FALSE),MATCH(R$1,Winter!$1:$1,FALSE))),"")</f>
        <v>4A</v>
      </c>
      <c r="S58" t="str">
        <f>IFERROR(IF(INDEX(Winter!$1:$1048576,MATCH($A58,Winter!$A:$A,FALSE),MATCH(S$1,Winter!$1:$1,FALSE))="","",INDEX(Winter!$1:$1048576,MATCH($A58,Winter!$A:$A,FALSE),MATCH(S$1,Winter!$1:$1,FALSE))),"")</f>
        <v>4A</v>
      </c>
      <c r="T58" t="str">
        <f>IFERROR(IF(INDEX(Winter!$1:$1048576,MATCH($A58,Winter!$A:$A,FALSE),MATCH(T$1,Winter!$1:$1,FALSE))="","",INDEX(Winter!$1:$1048576,MATCH($A58,Winter!$A:$A,FALSE),MATCH(T$1,Winter!$1:$1,FALSE))),"")</f>
        <v>3A</v>
      </c>
      <c r="U58" t="str">
        <f>IFERROR(IF(INDEX(Winter!$1:$1048576,MATCH($A58,Winter!$A:$A,FALSE),MATCH(U$1,Winter!$1:$1,FALSE))="","",INDEX(Winter!$1:$1048576,MATCH($A58,Winter!$A:$A,FALSE),MATCH(U$1,Winter!$1:$1,FALSE))),"")</f>
        <v>2A</v>
      </c>
      <c r="V58" t="str">
        <f>IFERROR(IF(INDEX(Winter!$1:$1048576,MATCH($A58,Winter!$A:$A,FALSE),MATCH(V$1,Winter!$1:$1,FALSE))="","",INDEX(Winter!$1:$1048576,MATCH($A58,Winter!$A:$A,FALSE),MATCH(V$1,Winter!$1:$1,FALSE))),"")</f>
        <v/>
      </c>
      <c r="W58" t="str">
        <f>IFERROR(IF(INDEX(Winter!$1:$1048576,MATCH($A58,Winter!$A:$A,FALSE),MATCH(W$1,Winter!$1:$1,FALSE))="","",INDEX(Winter!$1:$1048576,MATCH($A58,Winter!$A:$A,FALSE),MATCH(W$1,Winter!$1:$1,FALSE))),"")</f>
        <v>3A</v>
      </c>
      <c r="Y58" t="str">
        <f>IFERROR(IF(INDEX(Spring!$1:$1048576,MATCH($A58,Spring!$A:$A,FALSE),MATCH(Y$1,Spring!$1:$1,FALSE))="","",INDEX(Spring!$1:$1048576,MATCH($A58,Spring!$A:$A,FALSE),MATCH(Y$1,Spring!$1:$1,FALSE))),"")</f>
        <v>4A</v>
      </c>
      <c r="Z58" t="str">
        <f>IFERROR(IF(INDEX(Spring!$1:$1048576,MATCH($A58,Spring!$A:$A,FALSE),MATCH(Z$1,Spring!$1:$1,FALSE))="","",INDEX(Spring!$1:$1048576,MATCH($A58,Spring!$A:$A,FALSE),MATCH(Z$1,Spring!$1:$1,FALSE))),"")</f>
        <v>4A</v>
      </c>
      <c r="AA58" t="str">
        <f>IFERROR(IF(INDEX(Spring!$1:$1048576,MATCH($A58,Spring!$A:$A,FALSE),MATCH(AA$1,Spring!$1:$1,FALSE))="","",INDEX(Spring!$1:$1048576,MATCH($A58,Spring!$A:$A,FALSE),MATCH(AA$1,Spring!$1:$1,FALSE))),"")</f>
        <v>2A</v>
      </c>
      <c r="AB58" t="str">
        <f>IFERROR(IF(INDEX(Spring!$1:$1048576,MATCH($A58,Spring!$A:$A,FALSE),MATCH(AB$1,Spring!$1:$1,FALSE))="","",INDEX(Spring!$1:$1048576,MATCH($A58,Spring!$A:$A,FALSE),MATCH(AB$1,Spring!$1:$1,FALSE))),"")</f>
        <v>2A</v>
      </c>
      <c r="AC58" t="str">
        <f>IFERROR(IF(INDEX(Spring!$1:$1048576,MATCH($A58,Spring!$A:$A,FALSE),MATCH(AC$1,Spring!$1:$1,FALSE))="","",INDEX(Spring!$1:$1048576,MATCH($A58,Spring!$A:$A,FALSE),MATCH(AC$1,Spring!$1:$1,FALSE))),"")</f>
        <v>3A</v>
      </c>
      <c r="AD58" t="str">
        <f>IFERROR(IF(INDEX(Spring!$1:$1048576,MATCH($A58,Spring!$A:$A,FALSE),MATCH(AD$1,Spring!$1:$1,FALSE))="","",INDEX(Spring!$1:$1048576,MATCH($A58,Spring!$A:$A,FALSE),MATCH(AD$1,Spring!$1:$1,FALSE))),"")</f>
        <v>3A</v>
      </c>
    </row>
    <row r="59" spans="1:30" ht="15.75" thickBot="1" x14ac:dyDescent="0.3">
      <c r="A59" s="48" t="s">
        <v>77</v>
      </c>
      <c r="B59" s="49">
        <v>52</v>
      </c>
      <c r="C59" s="50"/>
      <c r="D59" s="50"/>
      <c r="E59" s="50"/>
      <c r="F59" s="45"/>
      <c r="G59" s="45"/>
      <c r="H59" s="44"/>
      <c r="J59" t="str">
        <f>IFERROR(IF(INDEX(Fall!$1:$1048576,MATCH($A59,Fall!$A:$A,FALSE),MATCH(J$1,Fall!$1:$1,FALSE))="","",INDEX(Fall!$1:$1048576,MATCH($A59,Fall!$A:$A,FALSE),MATCH(J$1,Fall!$1:$1,FALSE))),"")</f>
        <v/>
      </c>
      <c r="K59" t="str">
        <f>IFERROR(IF(INDEX(Fall!$1:$1048576,MATCH($A59,Fall!$A:$A,FALSE),MATCH(K$1,Fall!$1:$1,FALSE))="","",INDEX(Fall!$1:$1048576,MATCH($A59,Fall!$A:$A,FALSE),MATCH(K$1,Fall!$1:$1,FALSE))),"")</f>
        <v/>
      </c>
      <c r="L59" t="str">
        <f>IFERROR(IF(INDEX(Fall!$1:$1048576,MATCH($A59,Fall!$A:$A,FALSE),MATCH(L$1,Fall!$1:$1,FALSE))="","",INDEX(Fall!$1:$1048576,MATCH($A59,Fall!$A:$A,FALSE),MATCH(L$1,Fall!$1:$1,FALSE))),"")</f>
        <v>1A</v>
      </c>
      <c r="M59" t="str">
        <f>IFERROR(IF(INDEX(Fall!$1:$1048576,MATCH($A59,Fall!$A:$A,FALSE),MATCH(M$1,Fall!$1:$1,FALSE))="","",INDEX(Fall!$1:$1048576,MATCH($A59,Fall!$A:$A,FALSE),MATCH(M$1,Fall!$1:$1,FALSE))),"")</f>
        <v/>
      </c>
      <c r="N59" t="str">
        <f>IFERROR(IF(INDEX(Fall!$1:$1048576,MATCH($A59,Fall!$A:$A,FALSE),MATCH(N$1,Fall!$1:$1,FALSE))="","",INDEX(Fall!$1:$1048576,MATCH($A59,Fall!$A:$A,FALSE),MATCH(N$1,Fall!$1:$1,FALSE))),"")</f>
        <v/>
      </c>
      <c r="O59" t="str">
        <f>IFERROR(IF(INDEX(Fall!$1:$1048576,MATCH($A59,Fall!$A:$A,FALSE),MATCH(O$1,Fall!$1:$1,FALSE))="","",INDEX(Fall!$1:$1048576,MATCH($A59,Fall!$A:$A,FALSE),MATCH(O$1,Fall!$1:$1,FALSE))),"")</f>
        <v/>
      </c>
      <c r="P59" t="str">
        <f>IFERROR(IF(INDEX(Fall!$1:$1048576,MATCH($A59,Fall!$A:$A,FALSE),MATCH(P$1,Fall!$1:$1,FALSE))="","",INDEX(Fall!$1:$1048576,MATCH($A59,Fall!$A:$A,FALSE),MATCH(P$1,Fall!$1:$1,FALSE))),"")</f>
        <v>1A</v>
      </c>
      <c r="R59" t="str">
        <f>IFERROR(IF(INDEX(Winter!$1:$1048576,MATCH($A59,Winter!$A:$A,FALSE),MATCH(R$1,Winter!$1:$1,FALSE))="","",INDEX(Winter!$1:$1048576,MATCH($A59,Winter!$A:$A,FALSE),MATCH(R$1,Winter!$1:$1,FALSE))),"")</f>
        <v/>
      </c>
      <c r="S59" t="str">
        <f>IFERROR(IF(INDEX(Winter!$1:$1048576,MATCH($A59,Winter!$A:$A,FALSE),MATCH(S$1,Winter!$1:$1,FALSE))="","",INDEX(Winter!$1:$1048576,MATCH($A59,Winter!$A:$A,FALSE),MATCH(S$1,Winter!$1:$1,FALSE))),"")</f>
        <v>1A</v>
      </c>
      <c r="T59" t="str">
        <f>IFERROR(IF(INDEX(Winter!$1:$1048576,MATCH($A59,Winter!$A:$A,FALSE),MATCH(T$1,Winter!$1:$1,FALSE))="","",INDEX(Winter!$1:$1048576,MATCH($A59,Winter!$A:$A,FALSE),MATCH(T$1,Winter!$1:$1,FALSE))),"")</f>
        <v/>
      </c>
      <c r="U59" t="str">
        <f>IFERROR(IF(INDEX(Winter!$1:$1048576,MATCH($A59,Winter!$A:$A,FALSE),MATCH(U$1,Winter!$1:$1,FALSE))="","",INDEX(Winter!$1:$1048576,MATCH($A59,Winter!$A:$A,FALSE),MATCH(U$1,Winter!$1:$1,FALSE))),"")</f>
        <v/>
      </c>
      <c r="V59" t="str">
        <f>IFERROR(IF(INDEX(Winter!$1:$1048576,MATCH($A59,Winter!$A:$A,FALSE),MATCH(V$1,Winter!$1:$1,FALSE))="","",INDEX(Winter!$1:$1048576,MATCH($A59,Winter!$A:$A,FALSE),MATCH(V$1,Winter!$1:$1,FALSE))),"")</f>
        <v/>
      </c>
      <c r="W59" t="str">
        <f>IFERROR(IF(INDEX(Winter!$1:$1048576,MATCH($A59,Winter!$A:$A,FALSE),MATCH(W$1,Winter!$1:$1,FALSE))="","",INDEX(Winter!$1:$1048576,MATCH($A59,Winter!$A:$A,FALSE),MATCH(W$1,Winter!$1:$1,FALSE))),"")</f>
        <v/>
      </c>
      <c r="Y59" t="str">
        <f>IFERROR(IF(INDEX(Spring!$1:$1048576,MATCH($A59,Spring!$A:$A,FALSE),MATCH(Y$1,Spring!$1:$1,FALSE))="","",INDEX(Spring!$1:$1048576,MATCH($A59,Spring!$A:$A,FALSE),MATCH(Y$1,Spring!$1:$1,FALSE))),"")</f>
        <v>1A</v>
      </c>
      <c r="Z59" t="str">
        <f>IFERROR(IF(INDEX(Spring!$1:$1048576,MATCH($A59,Spring!$A:$A,FALSE),MATCH(Z$1,Spring!$1:$1,FALSE))="","",INDEX(Spring!$1:$1048576,MATCH($A59,Spring!$A:$A,FALSE),MATCH(Z$1,Spring!$1:$1,FALSE))),"")</f>
        <v/>
      </c>
      <c r="AA59" t="str">
        <f>IFERROR(IF(INDEX(Spring!$1:$1048576,MATCH($A59,Spring!$A:$A,FALSE),MATCH(AA$1,Spring!$1:$1,FALSE))="","",INDEX(Spring!$1:$1048576,MATCH($A59,Spring!$A:$A,FALSE),MATCH(AA$1,Spring!$1:$1,FALSE))),"")</f>
        <v/>
      </c>
      <c r="AB59" t="str">
        <f>IFERROR(IF(INDEX(Spring!$1:$1048576,MATCH($A59,Spring!$A:$A,FALSE),MATCH(AB$1,Spring!$1:$1,FALSE))="","",INDEX(Spring!$1:$1048576,MATCH($A59,Spring!$A:$A,FALSE),MATCH(AB$1,Spring!$1:$1,FALSE))),"")</f>
        <v/>
      </c>
      <c r="AC59" t="str">
        <f>IFERROR(IF(INDEX(Spring!$1:$1048576,MATCH($A59,Spring!$A:$A,FALSE),MATCH(AC$1,Spring!$1:$1,FALSE))="","",INDEX(Spring!$1:$1048576,MATCH($A59,Spring!$A:$A,FALSE),MATCH(AC$1,Spring!$1:$1,FALSE))),"")</f>
        <v/>
      </c>
      <c r="AD59" t="str">
        <f>IFERROR(IF(INDEX(Spring!$1:$1048576,MATCH($A59,Spring!$A:$A,FALSE),MATCH(AD$1,Spring!$1:$1,FALSE))="","",INDEX(Spring!$1:$1048576,MATCH($A59,Spring!$A:$A,FALSE),MATCH(AD$1,Spring!$1:$1,FALSE))),"")</f>
        <v/>
      </c>
    </row>
    <row r="60" spans="1:30" ht="15.75" thickBot="1" x14ac:dyDescent="0.3">
      <c r="A60" s="48" t="s">
        <v>78</v>
      </c>
      <c r="B60" s="49">
        <v>125</v>
      </c>
      <c r="C60" s="50"/>
      <c r="D60" s="50"/>
      <c r="E60" s="50"/>
      <c r="F60" s="45"/>
      <c r="G60" s="45"/>
      <c r="H60" s="44"/>
      <c r="J60" t="str">
        <f>IFERROR(IF(INDEX(Fall!$1:$1048576,MATCH($A60,Fall!$A:$A,FALSE),MATCH(J$1,Fall!$1:$1,FALSE))="","",INDEX(Fall!$1:$1048576,MATCH($A60,Fall!$A:$A,FALSE),MATCH(J$1,Fall!$1:$1,FALSE))),"")</f>
        <v>1A</v>
      </c>
      <c r="K60" t="str">
        <f>IFERROR(IF(INDEX(Fall!$1:$1048576,MATCH($A60,Fall!$A:$A,FALSE),MATCH(K$1,Fall!$1:$1,FALSE))="","",INDEX(Fall!$1:$1048576,MATCH($A60,Fall!$A:$A,FALSE),MATCH(K$1,Fall!$1:$1,FALSE))),"")</f>
        <v>1A</v>
      </c>
      <c r="L60" t="str">
        <f>IFERROR(IF(INDEX(Fall!$1:$1048576,MATCH($A60,Fall!$A:$A,FALSE),MATCH(L$1,Fall!$1:$1,FALSE))="","",INDEX(Fall!$1:$1048576,MATCH($A60,Fall!$A:$A,FALSE),MATCH(L$1,Fall!$1:$1,FALSE))),"")</f>
        <v/>
      </c>
      <c r="M60" t="str">
        <f>IFERROR(IF(INDEX(Fall!$1:$1048576,MATCH($A60,Fall!$A:$A,FALSE),MATCH(M$1,Fall!$1:$1,FALSE))="","",INDEX(Fall!$1:$1048576,MATCH($A60,Fall!$A:$A,FALSE),MATCH(M$1,Fall!$1:$1,FALSE))),"")</f>
        <v/>
      </c>
      <c r="N60" t="str">
        <f>IFERROR(IF(INDEX(Fall!$1:$1048576,MATCH($A60,Fall!$A:$A,FALSE),MATCH(N$1,Fall!$1:$1,FALSE))="","",INDEX(Fall!$1:$1048576,MATCH($A60,Fall!$A:$A,FALSE),MATCH(N$1,Fall!$1:$1,FALSE))),"")</f>
        <v/>
      </c>
      <c r="O60" t="str">
        <f>IFERROR(IF(INDEX(Fall!$1:$1048576,MATCH($A60,Fall!$A:$A,FALSE),MATCH(O$1,Fall!$1:$1,FALSE))="","",INDEX(Fall!$1:$1048576,MATCH($A60,Fall!$A:$A,FALSE),MATCH(O$1,Fall!$1:$1,FALSE))),"")</f>
        <v/>
      </c>
      <c r="P60" t="str">
        <f>IFERROR(IF(INDEX(Fall!$1:$1048576,MATCH($A60,Fall!$A:$A,FALSE),MATCH(P$1,Fall!$1:$1,FALSE))="","",INDEX(Fall!$1:$1048576,MATCH($A60,Fall!$A:$A,FALSE),MATCH(P$1,Fall!$1:$1,FALSE))),"")</f>
        <v>1A</v>
      </c>
      <c r="R60" t="str">
        <f>IFERROR(IF(INDEX(Winter!$1:$1048576,MATCH($A60,Winter!$A:$A,FALSE),MATCH(R$1,Winter!$1:$1,FALSE))="","",INDEX(Winter!$1:$1048576,MATCH($A60,Winter!$A:$A,FALSE),MATCH(R$1,Winter!$1:$1,FALSE))),"")</f>
        <v>1A</v>
      </c>
      <c r="S60" t="str">
        <f>IFERROR(IF(INDEX(Winter!$1:$1048576,MATCH($A60,Winter!$A:$A,FALSE),MATCH(S$1,Winter!$1:$1,FALSE))="","",INDEX(Winter!$1:$1048576,MATCH($A60,Winter!$A:$A,FALSE),MATCH(S$1,Winter!$1:$1,FALSE))),"")</f>
        <v>1A</v>
      </c>
      <c r="T60" t="str">
        <f>IFERROR(IF(INDEX(Winter!$1:$1048576,MATCH($A60,Winter!$A:$A,FALSE),MATCH(T$1,Winter!$1:$1,FALSE))="","",INDEX(Winter!$1:$1048576,MATCH($A60,Winter!$A:$A,FALSE),MATCH(T$1,Winter!$1:$1,FALSE))),"")</f>
        <v/>
      </c>
      <c r="U60" t="str">
        <f>IFERROR(IF(INDEX(Winter!$1:$1048576,MATCH($A60,Winter!$A:$A,FALSE),MATCH(U$1,Winter!$1:$1,FALSE))="","",INDEX(Winter!$1:$1048576,MATCH($A60,Winter!$A:$A,FALSE),MATCH(U$1,Winter!$1:$1,FALSE))),"")</f>
        <v/>
      </c>
      <c r="V60" t="str">
        <f>IFERROR(IF(INDEX(Winter!$1:$1048576,MATCH($A60,Winter!$A:$A,FALSE),MATCH(V$1,Winter!$1:$1,FALSE))="","",INDEX(Winter!$1:$1048576,MATCH($A60,Winter!$A:$A,FALSE),MATCH(V$1,Winter!$1:$1,FALSE))),"")</f>
        <v>1A</v>
      </c>
      <c r="W60" t="str">
        <f>IFERROR(IF(INDEX(Winter!$1:$1048576,MATCH($A60,Winter!$A:$A,FALSE),MATCH(W$1,Winter!$1:$1,FALSE))="","",INDEX(Winter!$1:$1048576,MATCH($A60,Winter!$A:$A,FALSE),MATCH(W$1,Winter!$1:$1,FALSE))),"")</f>
        <v/>
      </c>
      <c r="Y60" t="str">
        <f>IFERROR(IF(INDEX(Spring!$1:$1048576,MATCH($A60,Spring!$A:$A,FALSE),MATCH(Y$1,Spring!$1:$1,FALSE))="","",INDEX(Spring!$1:$1048576,MATCH($A60,Spring!$A:$A,FALSE),MATCH(Y$1,Spring!$1:$1,FALSE))),"")</f>
        <v>1A</v>
      </c>
      <c r="Z60" t="str">
        <f>IFERROR(IF(INDEX(Spring!$1:$1048576,MATCH($A60,Spring!$A:$A,FALSE),MATCH(Z$1,Spring!$1:$1,FALSE))="","",INDEX(Spring!$1:$1048576,MATCH($A60,Spring!$A:$A,FALSE),MATCH(Z$1,Spring!$1:$1,FALSE))),"")</f>
        <v>1A</v>
      </c>
      <c r="AA60" t="str">
        <f>IFERROR(IF(INDEX(Spring!$1:$1048576,MATCH($A60,Spring!$A:$A,FALSE),MATCH(AA$1,Spring!$1:$1,FALSE))="","",INDEX(Spring!$1:$1048576,MATCH($A60,Spring!$A:$A,FALSE),MATCH(AA$1,Spring!$1:$1,FALSE))),"")</f>
        <v/>
      </c>
      <c r="AB60" t="str">
        <f>IFERROR(IF(INDEX(Spring!$1:$1048576,MATCH($A60,Spring!$A:$A,FALSE),MATCH(AB$1,Spring!$1:$1,FALSE))="","",INDEX(Spring!$1:$1048576,MATCH($A60,Spring!$A:$A,FALSE),MATCH(AB$1,Spring!$1:$1,FALSE))),"")</f>
        <v/>
      </c>
      <c r="AC60" t="str">
        <f>IFERROR(IF(INDEX(Spring!$1:$1048576,MATCH($A60,Spring!$A:$A,FALSE),MATCH(AC$1,Spring!$1:$1,FALSE))="","",INDEX(Spring!$1:$1048576,MATCH($A60,Spring!$A:$A,FALSE),MATCH(AC$1,Spring!$1:$1,FALSE))),"")</f>
        <v>1A</v>
      </c>
      <c r="AD60" t="str">
        <f>IFERROR(IF(INDEX(Spring!$1:$1048576,MATCH($A60,Spring!$A:$A,FALSE),MATCH(AD$1,Spring!$1:$1,FALSE))="","",INDEX(Spring!$1:$1048576,MATCH($A60,Spring!$A:$A,FALSE),MATCH(AD$1,Spring!$1:$1,FALSE))),"")</f>
        <v>1A</v>
      </c>
    </row>
    <row r="61" spans="1:30" ht="15.75" thickBot="1" x14ac:dyDescent="0.3">
      <c r="A61" s="48" t="s">
        <v>79</v>
      </c>
      <c r="B61" s="49">
        <v>3191</v>
      </c>
      <c r="C61" s="50"/>
      <c r="D61" s="50"/>
      <c r="E61" s="50"/>
      <c r="F61" s="45"/>
      <c r="G61" s="45"/>
      <c r="H61" s="44"/>
      <c r="J61" t="str">
        <f>IFERROR(IF(INDEX(Fall!$1:$1048576,MATCH($A61,Fall!$A:$A,FALSE),MATCH(J$1,Fall!$1:$1,FALSE))="","",INDEX(Fall!$1:$1048576,MATCH($A61,Fall!$A:$A,FALSE),MATCH(J$1,Fall!$1:$1,FALSE))),"")</f>
        <v>3A</v>
      </c>
      <c r="K61" t="str">
        <f>IFERROR(IF(INDEX(Fall!$1:$1048576,MATCH($A61,Fall!$A:$A,FALSE),MATCH(K$1,Fall!$1:$1,FALSE))="","",INDEX(Fall!$1:$1048576,MATCH($A61,Fall!$A:$A,FALSE),MATCH(K$1,Fall!$1:$1,FALSE))),"")</f>
        <v>3A</v>
      </c>
      <c r="L61" t="str">
        <f>IFERROR(IF(INDEX(Fall!$1:$1048576,MATCH($A61,Fall!$A:$A,FALSE),MATCH(L$1,Fall!$1:$1,FALSE))="","",INDEX(Fall!$1:$1048576,MATCH($A61,Fall!$A:$A,FALSE),MATCH(L$1,Fall!$1:$1,FALSE))),"")</f>
        <v>3A</v>
      </c>
      <c r="M61" t="str">
        <f>IFERROR(IF(INDEX(Fall!$1:$1048576,MATCH($A61,Fall!$A:$A,FALSE),MATCH(M$1,Fall!$1:$1,FALSE))="","",INDEX(Fall!$1:$1048576,MATCH($A61,Fall!$A:$A,FALSE),MATCH(M$1,Fall!$1:$1,FALSE))),"")</f>
        <v>2A</v>
      </c>
      <c r="N61" t="str">
        <f>IFERROR(IF(INDEX(Fall!$1:$1048576,MATCH($A61,Fall!$A:$A,FALSE),MATCH(N$1,Fall!$1:$1,FALSE))="","",INDEX(Fall!$1:$1048576,MATCH($A61,Fall!$A:$A,FALSE),MATCH(N$1,Fall!$1:$1,FALSE))),"")</f>
        <v>3A</v>
      </c>
      <c r="O61" t="str">
        <f>IFERROR(IF(INDEX(Fall!$1:$1048576,MATCH($A61,Fall!$A:$A,FALSE),MATCH(O$1,Fall!$1:$1,FALSE))="","",INDEX(Fall!$1:$1048576,MATCH($A61,Fall!$A:$A,FALSE),MATCH(O$1,Fall!$1:$1,FALSE))),"")</f>
        <v>2A</v>
      </c>
      <c r="P61" t="str">
        <f>IFERROR(IF(INDEX(Fall!$1:$1048576,MATCH($A61,Fall!$A:$A,FALSE),MATCH(P$1,Fall!$1:$1,FALSE))="","",INDEX(Fall!$1:$1048576,MATCH($A61,Fall!$A:$A,FALSE),MATCH(P$1,Fall!$1:$1,FALSE))),"")</f>
        <v>4A</v>
      </c>
      <c r="R61" t="str">
        <f>IFERROR(IF(INDEX(Winter!$1:$1048576,MATCH($A61,Winter!$A:$A,FALSE),MATCH(R$1,Winter!$1:$1,FALSE))="","",INDEX(Winter!$1:$1048576,MATCH($A61,Winter!$A:$A,FALSE),MATCH(R$1,Winter!$1:$1,FALSE))),"")</f>
        <v>4A</v>
      </c>
      <c r="S61" t="str">
        <f>IFERROR(IF(INDEX(Winter!$1:$1048576,MATCH($A61,Winter!$A:$A,FALSE),MATCH(S$1,Winter!$1:$1,FALSE))="","",INDEX(Winter!$1:$1048576,MATCH($A61,Winter!$A:$A,FALSE),MATCH(S$1,Winter!$1:$1,FALSE))),"")</f>
        <v>4A</v>
      </c>
      <c r="T61" t="str">
        <f>IFERROR(IF(INDEX(Winter!$1:$1048576,MATCH($A61,Winter!$A:$A,FALSE),MATCH(T$1,Winter!$1:$1,FALSE))="","",INDEX(Winter!$1:$1048576,MATCH($A61,Winter!$A:$A,FALSE),MATCH(T$1,Winter!$1:$1,FALSE))),"")</f>
        <v>C</v>
      </c>
      <c r="U61" t="str">
        <f>IFERROR(IF(INDEX(Winter!$1:$1048576,MATCH($A61,Winter!$A:$A,FALSE),MATCH(U$1,Winter!$1:$1,FALSE))="","",INDEX(Winter!$1:$1048576,MATCH($A61,Winter!$A:$A,FALSE),MATCH(U$1,Winter!$1:$1,FALSE))),"")</f>
        <v>3A</v>
      </c>
      <c r="V61" t="str">
        <f>IFERROR(IF(INDEX(Winter!$1:$1048576,MATCH($A61,Winter!$A:$A,FALSE),MATCH(V$1,Winter!$1:$1,FALSE))="","",INDEX(Winter!$1:$1048576,MATCH($A61,Winter!$A:$A,FALSE),MATCH(V$1,Winter!$1:$1,FALSE))),"")</f>
        <v>2A</v>
      </c>
      <c r="W61" t="str">
        <f>IFERROR(IF(INDEX(Winter!$1:$1048576,MATCH($A61,Winter!$A:$A,FALSE),MATCH(W$1,Winter!$1:$1,FALSE))="","",INDEX(Winter!$1:$1048576,MATCH($A61,Winter!$A:$A,FALSE),MATCH(W$1,Winter!$1:$1,FALSE))),"")</f>
        <v>3A</v>
      </c>
      <c r="Y61" t="str">
        <f>IFERROR(IF(INDEX(Spring!$1:$1048576,MATCH($A61,Spring!$A:$A,FALSE),MATCH(Y$1,Spring!$1:$1,FALSE))="","",INDEX(Spring!$1:$1048576,MATCH($A61,Spring!$A:$A,FALSE),MATCH(Y$1,Spring!$1:$1,FALSE))),"")</f>
        <v>4A</v>
      </c>
      <c r="Z61" t="str">
        <f>IFERROR(IF(INDEX(Spring!$1:$1048576,MATCH($A61,Spring!$A:$A,FALSE),MATCH(Z$1,Spring!$1:$1,FALSE))="","",INDEX(Spring!$1:$1048576,MATCH($A61,Spring!$A:$A,FALSE),MATCH(Z$1,Spring!$1:$1,FALSE))),"")</f>
        <v>4A</v>
      </c>
      <c r="AA61" t="str">
        <f>IFERROR(IF(INDEX(Spring!$1:$1048576,MATCH($A61,Spring!$A:$A,FALSE),MATCH(AA$1,Spring!$1:$1,FALSE))="","",INDEX(Spring!$1:$1048576,MATCH($A61,Spring!$A:$A,FALSE),MATCH(AA$1,Spring!$1:$1,FALSE))),"")</f>
        <v>3A</v>
      </c>
      <c r="AB61" t="str">
        <f>IFERROR(IF(INDEX(Spring!$1:$1048576,MATCH($A61,Spring!$A:$A,FALSE),MATCH(AB$1,Spring!$1:$1,FALSE))="","",INDEX(Spring!$1:$1048576,MATCH($A61,Spring!$A:$A,FALSE),MATCH(AB$1,Spring!$1:$1,FALSE))),"")</f>
        <v>2A</v>
      </c>
      <c r="AC61" t="str">
        <f>IFERROR(IF(INDEX(Spring!$1:$1048576,MATCH($A61,Spring!$A:$A,FALSE),MATCH(AC$1,Spring!$1:$1,FALSE))="","",INDEX(Spring!$1:$1048576,MATCH($A61,Spring!$A:$A,FALSE),MATCH(AC$1,Spring!$1:$1,FALSE))),"")</f>
        <v>3A</v>
      </c>
      <c r="AD61" t="str">
        <f>IFERROR(IF(INDEX(Spring!$1:$1048576,MATCH($A61,Spring!$A:$A,FALSE),MATCH(AD$1,Spring!$1:$1,FALSE))="","",INDEX(Spring!$1:$1048576,MATCH($A61,Spring!$A:$A,FALSE),MATCH(AD$1,Spring!$1:$1,FALSE))),"")</f>
        <v>3A</v>
      </c>
    </row>
    <row r="62" spans="1:30" ht="15.75" thickBot="1" x14ac:dyDescent="0.3">
      <c r="A62" s="48" t="s">
        <v>80</v>
      </c>
      <c r="B62" s="49">
        <v>1914</v>
      </c>
      <c r="C62" s="50"/>
      <c r="D62" s="50"/>
      <c r="E62" s="50"/>
      <c r="F62" s="45"/>
      <c r="G62" s="45"/>
      <c r="H62" s="44"/>
      <c r="J62" t="str">
        <f>IFERROR(IF(INDEX(Fall!$1:$1048576,MATCH($A62,Fall!$A:$A,FALSE),MATCH(J$1,Fall!$1:$1,FALSE))="","",INDEX(Fall!$1:$1048576,MATCH($A62,Fall!$A:$A,FALSE),MATCH(J$1,Fall!$1:$1,FALSE))),"")</f>
        <v>3A</v>
      </c>
      <c r="K62" t="str">
        <f>IFERROR(IF(INDEX(Fall!$1:$1048576,MATCH($A62,Fall!$A:$A,FALSE),MATCH(K$1,Fall!$1:$1,FALSE))="","",INDEX(Fall!$1:$1048576,MATCH($A62,Fall!$A:$A,FALSE),MATCH(K$1,Fall!$1:$1,FALSE))),"")</f>
        <v>3A</v>
      </c>
      <c r="L62" t="str">
        <f>IFERROR(IF(INDEX(Fall!$1:$1048576,MATCH($A62,Fall!$A:$A,FALSE),MATCH(L$1,Fall!$1:$1,FALSE))="","",INDEX(Fall!$1:$1048576,MATCH($A62,Fall!$A:$A,FALSE),MATCH(L$1,Fall!$1:$1,FALSE))),"")</f>
        <v>3A</v>
      </c>
      <c r="M62" t="str">
        <f>IFERROR(IF(INDEX(Fall!$1:$1048576,MATCH($A62,Fall!$A:$A,FALSE),MATCH(M$1,Fall!$1:$1,FALSE))="","",INDEX(Fall!$1:$1048576,MATCH($A62,Fall!$A:$A,FALSE),MATCH(M$1,Fall!$1:$1,FALSE))),"")</f>
        <v>2A</v>
      </c>
      <c r="N62" t="str">
        <f>IFERROR(IF(INDEX(Fall!$1:$1048576,MATCH($A62,Fall!$A:$A,FALSE),MATCH(N$1,Fall!$1:$1,FALSE))="","",INDEX(Fall!$1:$1048576,MATCH($A62,Fall!$A:$A,FALSE),MATCH(N$1,Fall!$1:$1,FALSE))),"")</f>
        <v>3A</v>
      </c>
      <c r="O62" t="str">
        <f>IFERROR(IF(INDEX(Fall!$1:$1048576,MATCH($A62,Fall!$A:$A,FALSE),MATCH(O$1,Fall!$1:$1,FALSE))="","",INDEX(Fall!$1:$1048576,MATCH($A62,Fall!$A:$A,FALSE),MATCH(O$1,Fall!$1:$1,FALSE))),"")</f>
        <v>2A</v>
      </c>
      <c r="P62" t="str">
        <f>IFERROR(IF(INDEX(Fall!$1:$1048576,MATCH($A62,Fall!$A:$A,FALSE),MATCH(P$1,Fall!$1:$1,FALSE))="","",INDEX(Fall!$1:$1048576,MATCH($A62,Fall!$A:$A,FALSE),MATCH(P$1,Fall!$1:$1,FALSE))),"")</f>
        <v>4A</v>
      </c>
      <c r="R62" t="str">
        <f>IFERROR(IF(INDEX(Winter!$1:$1048576,MATCH($A62,Winter!$A:$A,FALSE),MATCH(R$1,Winter!$1:$1,FALSE))="","",INDEX(Winter!$1:$1048576,MATCH($A62,Winter!$A:$A,FALSE),MATCH(R$1,Winter!$1:$1,FALSE))),"")</f>
        <v>4A</v>
      </c>
      <c r="S62" t="str">
        <f>IFERROR(IF(INDEX(Winter!$1:$1048576,MATCH($A62,Winter!$A:$A,FALSE),MATCH(S$1,Winter!$1:$1,FALSE))="","",INDEX(Winter!$1:$1048576,MATCH($A62,Winter!$A:$A,FALSE),MATCH(S$1,Winter!$1:$1,FALSE))),"")</f>
        <v>4A</v>
      </c>
      <c r="T62" t="str">
        <f>IFERROR(IF(INDEX(Winter!$1:$1048576,MATCH($A62,Winter!$A:$A,FALSE),MATCH(T$1,Winter!$1:$1,FALSE))="","",INDEX(Winter!$1:$1048576,MATCH($A62,Winter!$A:$A,FALSE),MATCH(T$1,Winter!$1:$1,FALSE))),"")</f>
        <v>C</v>
      </c>
      <c r="U62" t="str">
        <f>IFERROR(IF(INDEX(Winter!$1:$1048576,MATCH($A62,Winter!$A:$A,FALSE),MATCH(U$1,Winter!$1:$1,FALSE))="","",INDEX(Winter!$1:$1048576,MATCH($A62,Winter!$A:$A,FALSE),MATCH(U$1,Winter!$1:$1,FALSE))),"")</f>
        <v>2A</v>
      </c>
      <c r="V62" t="str">
        <f>IFERROR(IF(INDEX(Winter!$1:$1048576,MATCH($A62,Winter!$A:$A,FALSE),MATCH(V$1,Winter!$1:$1,FALSE))="","",INDEX(Winter!$1:$1048576,MATCH($A62,Winter!$A:$A,FALSE),MATCH(V$1,Winter!$1:$1,FALSE))),"")</f>
        <v>2A</v>
      </c>
      <c r="W62" t="str">
        <f>IFERROR(IF(INDEX(Winter!$1:$1048576,MATCH($A62,Winter!$A:$A,FALSE),MATCH(W$1,Winter!$1:$1,FALSE))="","",INDEX(Winter!$1:$1048576,MATCH($A62,Winter!$A:$A,FALSE),MATCH(W$1,Winter!$1:$1,FALSE))),"")</f>
        <v>3A</v>
      </c>
      <c r="Y62" t="str">
        <f>IFERROR(IF(INDEX(Spring!$1:$1048576,MATCH($A62,Spring!$A:$A,FALSE),MATCH(Y$1,Spring!$1:$1,FALSE))="","",INDEX(Spring!$1:$1048576,MATCH($A62,Spring!$A:$A,FALSE),MATCH(Y$1,Spring!$1:$1,FALSE))),"")</f>
        <v>4A</v>
      </c>
      <c r="Z62" t="str">
        <f>IFERROR(IF(INDEX(Spring!$1:$1048576,MATCH($A62,Spring!$A:$A,FALSE),MATCH(Z$1,Spring!$1:$1,FALSE))="","",INDEX(Spring!$1:$1048576,MATCH($A62,Spring!$A:$A,FALSE),MATCH(Z$1,Spring!$1:$1,FALSE))),"")</f>
        <v>4A</v>
      </c>
      <c r="AA62" t="str">
        <f>IFERROR(IF(INDEX(Spring!$1:$1048576,MATCH($A62,Spring!$A:$A,FALSE),MATCH(AA$1,Spring!$1:$1,FALSE))="","",INDEX(Spring!$1:$1048576,MATCH($A62,Spring!$A:$A,FALSE),MATCH(AA$1,Spring!$1:$1,FALSE))),"")</f>
        <v>3A</v>
      </c>
      <c r="AB62" t="str">
        <f>IFERROR(IF(INDEX(Spring!$1:$1048576,MATCH($A62,Spring!$A:$A,FALSE),MATCH(AB$1,Spring!$1:$1,FALSE))="","",INDEX(Spring!$1:$1048576,MATCH($A62,Spring!$A:$A,FALSE),MATCH(AB$1,Spring!$1:$1,FALSE))),"")</f>
        <v>2A</v>
      </c>
      <c r="AC62" t="str">
        <f>IFERROR(IF(INDEX(Spring!$1:$1048576,MATCH($A62,Spring!$A:$A,FALSE),MATCH(AC$1,Spring!$1:$1,FALSE))="","",INDEX(Spring!$1:$1048576,MATCH($A62,Spring!$A:$A,FALSE),MATCH(AC$1,Spring!$1:$1,FALSE))),"")</f>
        <v>3A</v>
      </c>
      <c r="AD62" t="str">
        <f>IFERROR(IF(INDEX(Spring!$1:$1048576,MATCH($A62,Spring!$A:$A,FALSE),MATCH(AD$1,Spring!$1:$1,FALSE))="","",INDEX(Spring!$1:$1048576,MATCH($A62,Spring!$A:$A,FALSE),MATCH(AD$1,Spring!$1:$1,FALSE))),"")</f>
        <v>3A</v>
      </c>
    </row>
    <row r="63" spans="1:30" ht="15.75" thickBot="1" x14ac:dyDescent="0.3">
      <c r="A63" s="48" t="s">
        <v>81</v>
      </c>
      <c r="B63" s="49">
        <v>397</v>
      </c>
      <c r="C63" s="50"/>
      <c r="D63" s="50"/>
      <c r="E63" s="50"/>
      <c r="F63" s="45"/>
      <c r="G63" s="45"/>
      <c r="H63" s="44"/>
      <c r="J63" t="str">
        <f>IFERROR(IF(INDEX(Fall!$1:$1048576,MATCH($A63,Fall!$A:$A,FALSE),MATCH(J$1,Fall!$1:$1,FALSE))="","",INDEX(Fall!$1:$1048576,MATCH($A63,Fall!$A:$A,FALSE),MATCH(J$1,Fall!$1:$1,FALSE))),"")</f>
        <v/>
      </c>
      <c r="K63" t="str">
        <f>IFERROR(IF(INDEX(Fall!$1:$1048576,MATCH($A63,Fall!$A:$A,FALSE),MATCH(K$1,Fall!$1:$1,FALSE))="","",INDEX(Fall!$1:$1048576,MATCH($A63,Fall!$A:$A,FALSE),MATCH(K$1,Fall!$1:$1,FALSE))),"")</f>
        <v/>
      </c>
      <c r="L63" t="str">
        <f>IFERROR(IF(INDEX(Fall!$1:$1048576,MATCH($A63,Fall!$A:$A,FALSE),MATCH(L$1,Fall!$1:$1,FALSE))="","",INDEX(Fall!$1:$1048576,MATCH($A63,Fall!$A:$A,FALSE),MATCH(L$1,Fall!$1:$1,FALSE))),"")</f>
        <v>1A</v>
      </c>
      <c r="M63" t="str">
        <f>IFERROR(IF(INDEX(Fall!$1:$1048576,MATCH($A63,Fall!$A:$A,FALSE),MATCH(M$1,Fall!$1:$1,FALSE))="","",INDEX(Fall!$1:$1048576,MATCH($A63,Fall!$A:$A,FALSE),MATCH(M$1,Fall!$1:$1,FALSE))),"")</f>
        <v>1A</v>
      </c>
      <c r="N63" t="str">
        <f>IFERROR(IF(INDEX(Fall!$1:$1048576,MATCH($A63,Fall!$A:$A,FALSE),MATCH(N$1,Fall!$1:$1,FALSE))="","",INDEX(Fall!$1:$1048576,MATCH($A63,Fall!$A:$A,FALSE),MATCH(N$1,Fall!$1:$1,FALSE))),"")</f>
        <v>1A</v>
      </c>
      <c r="O63" t="str">
        <f>IFERROR(IF(INDEX(Fall!$1:$1048576,MATCH($A63,Fall!$A:$A,FALSE),MATCH(O$1,Fall!$1:$1,FALSE))="","",INDEX(Fall!$1:$1048576,MATCH($A63,Fall!$A:$A,FALSE),MATCH(O$1,Fall!$1:$1,FALSE))),"")</f>
        <v/>
      </c>
      <c r="P63" t="str">
        <f>IFERROR(IF(INDEX(Fall!$1:$1048576,MATCH($A63,Fall!$A:$A,FALSE),MATCH(P$1,Fall!$1:$1,FALSE))="","",INDEX(Fall!$1:$1048576,MATCH($A63,Fall!$A:$A,FALSE),MATCH(P$1,Fall!$1:$1,FALSE))),"")</f>
        <v>2A</v>
      </c>
      <c r="R63" t="str">
        <f>IFERROR(IF(INDEX(Winter!$1:$1048576,MATCH($A63,Winter!$A:$A,FALSE),MATCH(R$1,Winter!$1:$1,FALSE))="","",INDEX(Winter!$1:$1048576,MATCH($A63,Winter!$A:$A,FALSE),MATCH(R$1,Winter!$1:$1,FALSE))),"")</f>
        <v>2A</v>
      </c>
      <c r="S63" t="str">
        <f>IFERROR(IF(INDEX(Winter!$1:$1048576,MATCH($A63,Winter!$A:$A,FALSE),MATCH(S$1,Winter!$1:$1,FALSE))="","",INDEX(Winter!$1:$1048576,MATCH($A63,Winter!$A:$A,FALSE),MATCH(S$1,Winter!$1:$1,FALSE))),"")</f>
        <v>2A</v>
      </c>
      <c r="T63" t="str">
        <f>IFERROR(IF(INDEX(Winter!$1:$1048576,MATCH($A63,Winter!$A:$A,FALSE),MATCH(T$1,Winter!$1:$1,FALSE))="","",INDEX(Winter!$1:$1048576,MATCH($A63,Winter!$A:$A,FALSE),MATCH(T$1,Winter!$1:$1,FALSE))),"")</f>
        <v>1A</v>
      </c>
      <c r="U63" t="str">
        <f>IFERROR(IF(INDEX(Winter!$1:$1048576,MATCH($A63,Winter!$A:$A,FALSE),MATCH(U$1,Winter!$1:$1,FALSE))="","",INDEX(Winter!$1:$1048576,MATCH($A63,Winter!$A:$A,FALSE),MATCH(U$1,Winter!$1:$1,FALSE))),"")</f>
        <v/>
      </c>
      <c r="V63" t="str">
        <f>IFERROR(IF(INDEX(Winter!$1:$1048576,MATCH($A63,Winter!$A:$A,FALSE),MATCH(V$1,Winter!$1:$1,FALSE))="","",INDEX(Winter!$1:$1048576,MATCH($A63,Winter!$A:$A,FALSE),MATCH(V$1,Winter!$1:$1,FALSE))),"")</f>
        <v>1A</v>
      </c>
      <c r="W63" t="str">
        <f>IFERROR(IF(INDEX(Winter!$1:$1048576,MATCH($A63,Winter!$A:$A,FALSE),MATCH(W$1,Winter!$1:$1,FALSE))="","",INDEX(Winter!$1:$1048576,MATCH($A63,Winter!$A:$A,FALSE),MATCH(W$1,Winter!$1:$1,FALSE))),"")</f>
        <v>1A</v>
      </c>
      <c r="Y63" t="str">
        <f>IFERROR(IF(INDEX(Spring!$1:$1048576,MATCH($A63,Spring!$A:$A,FALSE),MATCH(Y$1,Spring!$1:$1,FALSE))="","",INDEX(Spring!$1:$1048576,MATCH($A63,Spring!$A:$A,FALSE),MATCH(Y$1,Spring!$1:$1,FALSE))),"")</f>
        <v>2A</v>
      </c>
      <c r="Z63" t="str">
        <f>IFERROR(IF(INDEX(Spring!$1:$1048576,MATCH($A63,Spring!$A:$A,FALSE),MATCH(Z$1,Spring!$1:$1,FALSE))="","",INDEX(Spring!$1:$1048576,MATCH($A63,Spring!$A:$A,FALSE),MATCH(Z$1,Spring!$1:$1,FALSE))),"")</f>
        <v>2A</v>
      </c>
      <c r="AA63" t="str">
        <f>IFERROR(IF(INDEX(Spring!$1:$1048576,MATCH($A63,Spring!$A:$A,FALSE),MATCH(AA$1,Spring!$1:$1,FALSE))="","",INDEX(Spring!$1:$1048576,MATCH($A63,Spring!$A:$A,FALSE),MATCH(AA$1,Spring!$1:$1,FALSE))),"")</f>
        <v>1A</v>
      </c>
      <c r="AB63" t="str">
        <f>IFERROR(IF(INDEX(Spring!$1:$1048576,MATCH($A63,Spring!$A:$A,FALSE),MATCH(AB$1,Spring!$1:$1,FALSE))="","",INDEX(Spring!$1:$1048576,MATCH($A63,Spring!$A:$A,FALSE),MATCH(AB$1,Spring!$1:$1,FALSE))),"")</f>
        <v/>
      </c>
      <c r="AC63" t="str">
        <f>IFERROR(IF(INDEX(Spring!$1:$1048576,MATCH($A63,Spring!$A:$A,FALSE),MATCH(AC$1,Spring!$1:$1,FALSE))="","",INDEX(Spring!$1:$1048576,MATCH($A63,Spring!$A:$A,FALSE),MATCH(AC$1,Spring!$1:$1,FALSE))),"")</f>
        <v>1A</v>
      </c>
      <c r="AD63" t="str">
        <f>IFERROR(IF(INDEX(Spring!$1:$1048576,MATCH($A63,Spring!$A:$A,FALSE),MATCH(AD$1,Spring!$1:$1,FALSE))="","",INDEX(Spring!$1:$1048576,MATCH($A63,Spring!$A:$A,FALSE),MATCH(AD$1,Spring!$1:$1,FALSE))),"")</f>
        <v>1A</v>
      </c>
    </row>
    <row r="64" spans="1:30" ht="15.75" thickBot="1" x14ac:dyDescent="0.3">
      <c r="A64" s="48" t="s">
        <v>82</v>
      </c>
      <c r="B64" s="49">
        <v>619</v>
      </c>
      <c r="C64" s="50"/>
      <c r="D64" s="50"/>
      <c r="E64" s="50"/>
      <c r="F64" s="45"/>
      <c r="G64" s="45"/>
      <c r="H64" s="44"/>
      <c r="J64" t="str">
        <f>IFERROR(IF(INDEX(Fall!$1:$1048576,MATCH($A64,Fall!$A:$A,FALSE),MATCH(J$1,Fall!$1:$1,FALSE))="","",INDEX(Fall!$1:$1048576,MATCH($A64,Fall!$A:$A,FALSE),MATCH(J$1,Fall!$1:$1,FALSE))),"")</f>
        <v>2A</v>
      </c>
      <c r="K64" t="str">
        <f>IFERROR(IF(INDEX(Fall!$1:$1048576,MATCH($A64,Fall!$A:$A,FALSE),MATCH(K$1,Fall!$1:$1,FALSE))="","",INDEX(Fall!$1:$1048576,MATCH($A64,Fall!$A:$A,FALSE),MATCH(K$1,Fall!$1:$1,FALSE))),"")</f>
        <v>2A</v>
      </c>
      <c r="L64" t="str">
        <f>IFERROR(IF(INDEX(Fall!$1:$1048576,MATCH($A64,Fall!$A:$A,FALSE),MATCH(L$1,Fall!$1:$1,FALSE))="","",INDEX(Fall!$1:$1048576,MATCH($A64,Fall!$A:$A,FALSE),MATCH(L$1,Fall!$1:$1,FALSE))),"")</f>
        <v>2A</v>
      </c>
      <c r="M64" t="str">
        <f>IFERROR(IF(INDEX(Fall!$1:$1048576,MATCH($A64,Fall!$A:$A,FALSE),MATCH(M$1,Fall!$1:$1,FALSE))="","",INDEX(Fall!$1:$1048576,MATCH($A64,Fall!$A:$A,FALSE),MATCH(M$1,Fall!$1:$1,FALSE))),"")</f>
        <v>1A</v>
      </c>
      <c r="N64" t="str">
        <f>IFERROR(IF(INDEX(Fall!$1:$1048576,MATCH($A64,Fall!$A:$A,FALSE),MATCH(N$1,Fall!$1:$1,FALSE))="","",INDEX(Fall!$1:$1048576,MATCH($A64,Fall!$A:$A,FALSE),MATCH(N$1,Fall!$1:$1,FALSE))),"")</f>
        <v>1A</v>
      </c>
      <c r="O64" t="str">
        <f>IFERROR(IF(INDEX(Fall!$1:$1048576,MATCH($A64,Fall!$A:$A,FALSE),MATCH(O$1,Fall!$1:$1,FALSE))="","",INDEX(Fall!$1:$1048576,MATCH($A64,Fall!$A:$A,FALSE),MATCH(O$1,Fall!$1:$1,FALSE))),"")</f>
        <v/>
      </c>
      <c r="P64" t="str">
        <f>IFERROR(IF(INDEX(Fall!$1:$1048576,MATCH($A64,Fall!$A:$A,FALSE),MATCH(P$1,Fall!$1:$1,FALSE))="","",INDEX(Fall!$1:$1048576,MATCH($A64,Fall!$A:$A,FALSE),MATCH(P$1,Fall!$1:$1,FALSE))),"")</f>
        <v>2A</v>
      </c>
      <c r="R64" t="str">
        <f>IFERROR(IF(INDEX(Winter!$1:$1048576,MATCH($A64,Winter!$A:$A,FALSE),MATCH(R$1,Winter!$1:$1,FALSE))="","",INDEX(Winter!$1:$1048576,MATCH($A64,Winter!$A:$A,FALSE),MATCH(R$1,Winter!$1:$1,FALSE))),"")</f>
        <v>2A</v>
      </c>
      <c r="S64" t="str">
        <f>IFERROR(IF(INDEX(Winter!$1:$1048576,MATCH($A64,Winter!$A:$A,FALSE),MATCH(S$1,Winter!$1:$1,FALSE))="","",INDEX(Winter!$1:$1048576,MATCH($A64,Winter!$A:$A,FALSE),MATCH(S$1,Winter!$1:$1,FALSE))),"")</f>
        <v>2A</v>
      </c>
      <c r="T64" t="str">
        <f>IFERROR(IF(INDEX(Winter!$1:$1048576,MATCH($A64,Winter!$A:$A,FALSE),MATCH(T$1,Winter!$1:$1,FALSE))="","",INDEX(Winter!$1:$1048576,MATCH($A64,Winter!$A:$A,FALSE),MATCH(T$1,Winter!$1:$1,FALSE))),"")</f>
        <v>1A</v>
      </c>
      <c r="U64" t="str">
        <f>IFERROR(IF(INDEX(Winter!$1:$1048576,MATCH($A64,Winter!$A:$A,FALSE),MATCH(U$1,Winter!$1:$1,FALSE))="","",INDEX(Winter!$1:$1048576,MATCH($A64,Winter!$A:$A,FALSE),MATCH(U$1,Winter!$1:$1,FALSE))),"")</f>
        <v/>
      </c>
      <c r="V64" t="str">
        <f>IFERROR(IF(INDEX(Winter!$1:$1048576,MATCH($A64,Winter!$A:$A,FALSE),MATCH(V$1,Winter!$1:$1,FALSE))="","",INDEX(Winter!$1:$1048576,MATCH($A64,Winter!$A:$A,FALSE),MATCH(V$1,Winter!$1:$1,FALSE))),"")</f>
        <v>2A</v>
      </c>
      <c r="W64" t="str">
        <f>IFERROR(IF(INDEX(Winter!$1:$1048576,MATCH($A64,Winter!$A:$A,FALSE),MATCH(W$1,Winter!$1:$1,FALSE))="","",INDEX(Winter!$1:$1048576,MATCH($A64,Winter!$A:$A,FALSE),MATCH(W$1,Winter!$1:$1,FALSE))),"")</f>
        <v>1A</v>
      </c>
      <c r="Y64" t="str">
        <f>IFERROR(IF(INDEX(Spring!$1:$1048576,MATCH($A64,Spring!$A:$A,FALSE),MATCH(Y$1,Spring!$1:$1,FALSE))="","",INDEX(Spring!$1:$1048576,MATCH($A64,Spring!$A:$A,FALSE),MATCH(Y$1,Spring!$1:$1,FALSE))),"")</f>
        <v>2A</v>
      </c>
      <c r="Z64" t="str">
        <f>IFERROR(IF(INDEX(Spring!$1:$1048576,MATCH($A64,Spring!$A:$A,FALSE),MATCH(Z$1,Spring!$1:$1,FALSE))="","",INDEX(Spring!$1:$1048576,MATCH($A64,Spring!$A:$A,FALSE),MATCH(Z$1,Spring!$1:$1,FALSE))),"")</f>
        <v>2A</v>
      </c>
      <c r="AA64" t="str">
        <f>IFERROR(IF(INDEX(Spring!$1:$1048576,MATCH($A64,Spring!$A:$A,FALSE),MATCH(AA$1,Spring!$1:$1,FALSE))="","",INDEX(Spring!$1:$1048576,MATCH($A64,Spring!$A:$A,FALSE),MATCH(AA$1,Spring!$1:$1,FALSE))),"")</f>
        <v>1A</v>
      </c>
      <c r="AB64" t="str">
        <f>IFERROR(IF(INDEX(Spring!$1:$1048576,MATCH($A64,Spring!$A:$A,FALSE),MATCH(AB$1,Spring!$1:$1,FALSE))="","",INDEX(Spring!$1:$1048576,MATCH($A64,Spring!$A:$A,FALSE),MATCH(AB$1,Spring!$1:$1,FALSE))),"")</f>
        <v/>
      </c>
      <c r="AC64" t="str">
        <f>IFERROR(IF(INDEX(Spring!$1:$1048576,MATCH($A64,Spring!$A:$A,FALSE),MATCH(AC$1,Spring!$1:$1,FALSE))="","",INDEX(Spring!$1:$1048576,MATCH($A64,Spring!$A:$A,FALSE),MATCH(AC$1,Spring!$1:$1,FALSE))),"")</f>
        <v>2A</v>
      </c>
      <c r="AD64" t="str">
        <f>IFERROR(IF(INDEX(Spring!$1:$1048576,MATCH($A64,Spring!$A:$A,FALSE),MATCH(AD$1,Spring!$1:$1,FALSE))="","",INDEX(Spring!$1:$1048576,MATCH($A64,Spring!$A:$A,FALSE),MATCH(AD$1,Spring!$1:$1,FALSE))),"")</f>
        <v>2A</v>
      </c>
    </row>
    <row r="65" spans="1:30" ht="23.25" thickBot="1" x14ac:dyDescent="0.3">
      <c r="A65" s="48" t="s">
        <v>83</v>
      </c>
      <c r="B65" s="49" t="s">
        <v>84</v>
      </c>
      <c r="C65" s="49" t="s">
        <v>997</v>
      </c>
      <c r="D65" s="49">
        <v>7</v>
      </c>
      <c r="E65" s="49">
        <v>20</v>
      </c>
      <c r="F65" s="45"/>
      <c r="G65" s="45"/>
      <c r="H65" s="44"/>
      <c r="J65" t="str">
        <f>IFERROR(IF(INDEX(Fall!$1:$1048576,MATCH($A65,Fall!$A:$A,FALSE),MATCH(J$1,Fall!$1:$1,FALSE))="","",INDEX(Fall!$1:$1048576,MATCH($A65,Fall!$A:$A,FALSE),MATCH(J$1,Fall!$1:$1,FALSE))),"")</f>
        <v>1A</v>
      </c>
      <c r="K65" t="str">
        <f>IFERROR(IF(INDEX(Fall!$1:$1048576,MATCH($A65,Fall!$A:$A,FALSE),MATCH(K$1,Fall!$1:$1,FALSE))="","",INDEX(Fall!$1:$1048576,MATCH($A65,Fall!$A:$A,FALSE),MATCH(K$1,Fall!$1:$1,FALSE))),"")</f>
        <v>1A</v>
      </c>
      <c r="L65" t="str">
        <f>IFERROR(IF(INDEX(Fall!$1:$1048576,MATCH($A65,Fall!$A:$A,FALSE),MATCH(L$1,Fall!$1:$1,FALSE))="","",INDEX(Fall!$1:$1048576,MATCH($A65,Fall!$A:$A,FALSE),MATCH(L$1,Fall!$1:$1,FALSE))),"")</f>
        <v>2A</v>
      </c>
      <c r="M65" t="str">
        <f>IFERROR(IF(INDEX(Fall!$1:$1048576,MATCH($A65,Fall!$A:$A,FALSE),MATCH(M$1,Fall!$1:$1,FALSE))="","",INDEX(Fall!$1:$1048576,MATCH($A65,Fall!$A:$A,FALSE),MATCH(M$1,Fall!$1:$1,FALSE))),"")</f>
        <v>1A</v>
      </c>
      <c r="N65" t="str">
        <f>IFERROR(IF(INDEX(Fall!$1:$1048576,MATCH($A65,Fall!$A:$A,FALSE),MATCH(N$1,Fall!$1:$1,FALSE))="","",INDEX(Fall!$1:$1048576,MATCH($A65,Fall!$A:$A,FALSE),MATCH(N$1,Fall!$1:$1,FALSE))),"")</f>
        <v>1A</v>
      </c>
      <c r="O65" t="str">
        <f>IFERROR(IF(INDEX(Fall!$1:$1048576,MATCH($A65,Fall!$A:$A,FALSE),MATCH(O$1,Fall!$1:$1,FALSE))="","",INDEX(Fall!$1:$1048576,MATCH($A65,Fall!$A:$A,FALSE),MATCH(O$1,Fall!$1:$1,FALSE))),"")</f>
        <v/>
      </c>
      <c r="P65" t="str">
        <f>IFERROR(IF(INDEX(Fall!$1:$1048576,MATCH($A65,Fall!$A:$A,FALSE),MATCH(P$1,Fall!$1:$1,FALSE))="","",INDEX(Fall!$1:$1048576,MATCH($A65,Fall!$A:$A,FALSE),MATCH(P$1,Fall!$1:$1,FALSE))),"")</f>
        <v>3A</v>
      </c>
      <c r="R65" t="str">
        <f>IFERROR(IF(INDEX(Winter!$1:$1048576,MATCH($A65,Winter!$A:$A,FALSE),MATCH(R$1,Winter!$1:$1,FALSE))="","",INDEX(Winter!$1:$1048576,MATCH($A65,Winter!$A:$A,FALSE),MATCH(R$1,Winter!$1:$1,FALSE))),"")</f>
        <v>2A</v>
      </c>
      <c r="S65" t="str">
        <f>IFERROR(IF(INDEX(Winter!$1:$1048576,MATCH($A65,Winter!$A:$A,FALSE),MATCH(S$1,Winter!$1:$1,FALSE))="","",INDEX(Winter!$1:$1048576,MATCH($A65,Winter!$A:$A,FALSE),MATCH(S$1,Winter!$1:$1,FALSE))),"")</f>
        <v>2A</v>
      </c>
      <c r="T65" t="str">
        <f>IFERROR(IF(INDEX(Winter!$1:$1048576,MATCH($A65,Winter!$A:$A,FALSE),MATCH(T$1,Winter!$1:$1,FALSE))="","",INDEX(Winter!$1:$1048576,MATCH($A65,Winter!$A:$A,FALSE),MATCH(T$1,Winter!$1:$1,FALSE))),"")</f>
        <v>1A</v>
      </c>
      <c r="U65" t="str">
        <f>IFERROR(IF(INDEX(Winter!$1:$1048576,MATCH($A65,Winter!$A:$A,FALSE),MATCH(U$1,Winter!$1:$1,FALSE))="","",INDEX(Winter!$1:$1048576,MATCH($A65,Winter!$A:$A,FALSE),MATCH(U$1,Winter!$1:$1,FALSE))),"")</f>
        <v/>
      </c>
      <c r="V65" t="str">
        <f>IFERROR(IF(INDEX(Winter!$1:$1048576,MATCH($A65,Winter!$A:$A,FALSE),MATCH(V$1,Winter!$1:$1,FALSE))="","",INDEX(Winter!$1:$1048576,MATCH($A65,Winter!$A:$A,FALSE),MATCH(V$1,Winter!$1:$1,FALSE))),"")</f>
        <v>2A</v>
      </c>
      <c r="W65" t="str">
        <f>IFERROR(IF(INDEX(Winter!$1:$1048576,MATCH($A65,Winter!$A:$A,FALSE),MATCH(W$1,Winter!$1:$1,FALSE))="","",INDEX(Winter!$1:$1048576,MATCH($A65,Winter!$A:$A,FALSE),MATCH(W$1,Winter!$1:$1,FALSE))),"")</f>
        <v/>
      </c>
      <c r="Y65" t="str">
        <f>IFERROR(IF(INDEX(Spring!$1:$1048576,MATCH($A65,Spring!$A:$A,FALSE),MATCH(Y$1,Spring!$1:$1,FALSE))="","",INDEX(Spring!$1:$1048576,MATCH($A65,Spring!$A:$A,FALSE),MATCH(Y$1,Spring!$1:$1,FALSE))),"")</f>
        <v>2A</v>
      </c>
      <c r="Z65" t="str">
        <f>IFERROR(IF(INDEX(Spring!$1:$1048576,MATCH($A65,Spring!$A:$A,FALSE),MATCH(Z$1,Spring!$1:$1,FALSE))="","",INDEX(Spring!$1:$1048576,MATCH($A65,Spring!$A:$A,FALSE),MATCH(Z$1,Spring!$1:$1,FALSE))),"")</f>
        <v>2A</v>
      </c>
      <c r="AA65" t="str">
        <f>IFERROR(IF(INDEX(Spring!$1:$1048576,MATCH($A65,Spring!$A:$A,FALSE),MATCH(AA$1,Spring!$1:$1,FALSE))="","",INDEX(Spring!$1:$1048576,MATCH($A65,Spring!$A:$A,FALSE),MATCH(AA$1,Spring!$1:$1,FALSE))),"")</f>
        <v>1A</v>
      </c>
      <c r="AB65" t="str">
        <f>IFERROR(IF(INDEX(Spring!$1:$1048576,MATCH($A65,Spring!$A:$A,FALSE),MATCH(AB$1,Spring!$1:$1,FALSE))="","",INDEX(Spring!$1:$1048576,MATCH($A65,Spring!$A:$A,FALSE),MATCH(AB$1,Spring!$1:$1,FALSE))),"")</f>
        <v/>
      </c>
      <c r="AC65" t="str">
        <f>IFERROR(IF(INDEX(Spring!$1:$1048576,MATCH($A65,Spring!$A:$A,FALSE),MATCH(AC$1,Spring!$1:$1,FALSE))="","",INDEX(Spring!$1:$1048576,MATCH($A65,Spring!$A:$A,FALSE),MATCH(AC$1,Spring!$1:$1,FALSE))),"")</f>
        <v>1A</v>
      </c>
      <c r="AD65" t="str">
        <f>IFERROR(IF(INDEX(Spring!$1:$1048576,MATCH($A65,Spring!$A:$A,FALSE),MATCH(AD$1,Spring!$1:$1,FALSE))="","",INDEX(Spring!$1:$1048576,MATCH($A65,Spring!$A:$A,FALSE),MATCH(AD$1,Spring!$1:$1,FALSE))),"")</f>
        <v>1A</v>
      </c>
    </row>
    <row r="66" spans="1:30" ht="15.75" thickBot="1" x14ac:dyDescent="0.3">
      <c r="A66" s="48" t="s">
        <v>85</v>
      </c>
      <c r="B66" s="49">
        <v>233</v>
      </c>
      <c r="C66" s="50"/>
      <c r="D66" s="50"/>
      <c r="E66" s="50"/>
      <c r="F66" s="45"/>
      <c r="G66" s="45"/>
      <c r="H66" s="44"/>
      <c r="J66" t="str">
        <f>IFERROR(IF(INDEX(Fall!$1:$1048576,MATCH($A66,Fall!$A:$A,FALSE),MATCH(J$1,Fall!$1:$1,FALSE))="","",INDEX(Fall!$1:$1048576,MATCH($A66,Fall!$A:$A,FALSE),MATCH(J$1,Fall!$1:$1,FALSE))),"")</f>
        <v/>
      </c>
      <c r="K66" t="str">
        <f>IFERROR(IF(INDEX(Fall!$1:$1048576,MATCH($A66,Fall!$A:$A,FALSE),MATCH(K$1,Fall!$1:$1,FALSE))="","",INDEX(Fall!$1:$1048576,MATCH($A66,Fall!$A:$A,FALSE),MATCH(K$1,Fall!$1:$1,FALSE))),"")</f>
        <v/>
      </c>
      <c r="L66" t="str">
        <f>IFERROR(IF(INDEX(Fall!$1:$1048576,MATCH($A66,Fall!$A:$A,FALSE),MATCH(L$1,Fall!$1:$1,FALSE))="","",INDEX(Fall!$1:$1048576,MATCH($A66,Fall!$A:$A,FALSE),MATCH(L$1,Fall!$1:$1,FALSE))),"")</f>
        <v>2A</v>
      </c>
      <c r="M66" t="str">
        <f>IFERROR(IF(INDEX(Fall!$1:$1048576,MATCH($A66,Fall!$A:$A,FALSE),MATCH(M$1,Fall!$1:$1,FALSE))="","",INDEX(Fall!$1:$1048576,MATCH($A66,Fall!$A:$A,FALSE),MATCH(M$1,Fall!$1:$1,FALSE))),"")</f>
        <v/>
      </c>
      <c r="N66" t="str">
        <f>IFERROR(IF(INDEX(Fall!$1:$1048576,MATCH($A66,Fall!$A:$A,FALSE),MATCH(N$1,Fall!$1:$1,FALSE))="","",INDEX(Fall!$1:$1048576,MATCH($A66,Fall!$A:$A,FALSE),MATCH(N$1,Fall!$1:$1,FALSE))),"")</f>
        <v/>
      </c>
      <c r="O66" t="str">
        <f>IFERROR(IF(INDEX(Fall!$1:$1048576,MATCH($A66,Fall!$A:$A,FALSE),MATCH(O$1,Fall!$1:$1,FALSE))="","",INDEX(Fall!$1:$1048576,MATCH($A66,Fall!$A:$A,FALSE),MATCH(O$1,Fall!$1:$1,FALSE))),"")</f>
        <v/>
      </c>
      <c r="P66" t="str">
        <f>IFERROR(IF(INDEX(Fall!$1:$1048576,MATCH($A66,Fall!$A:$A,FALSE),MATCH(P$1,Fall!$1:$1,FALSE))="","",INDEX(Fall!$1:$1048576,MATCH($A66,Fall!$A:$A,FALSE),MATCH(P$1,Fall!$1:$1,FALSE))),"")</f>
        <v>1A</v>
      </c>
      <c r="R66" t="str">
        <f>IFERROR(IF(INDEX(Winter!$1:$1048576,MATCH($A66,Winter!$A:$A,FALSE),MATCH(R$1,Winter!$1:$1,FALSE))="","",INDEX(Winter!$1:$1048576,MATCH($A66,Winter!$A:$A,FALSE),MATCH(R$1,Winter!$1:$1,FALSE))),"")</f>
        <v>1A</v>
      </c>
      <c r="S66" t="str">
        <f>IFERROR(IF(INDEX(Winter!$1:$1048576,MATCH($A66,Winter!$A:$A,FALSE),MATCH(S$1,Winter!$1:$1,FALSE))="","",INDEX(Winter!$1:$1048576,MATCH($A66,Winter!$A:$A,FALSE),MATCH(S$1,Winter!$1:$1,FALSE))),"")</f>
        <v>1A</v>
      </c>
      <c r="T66" t="str">
        <f>IFERROR(IF(INDEX(Winter!$1:$1048576,MATCH($A66,Winter!$A:$A,FALSE),MATCH(T$1,Winter!$1:$1,FALSE))="","",INDEX(Winter!$1:$1048576,MATCH($A66,Winter!$A:$A,FALSE),MATCH(T$1,Winter!$1:$1,FALSE))),"")</f>
        <v/>
      </c>
      <c r="U66" t="str">
        <f>IFERROR(IF(INDEX(Winter!$1:$1048576,MATCH($A66,Winter!$A:$A,FALSE),MATCH(U$1,Winter!$1:$1,FALSE))="","",INDEX(Winter!$1:$1048576,MATCH($A66,Winter!$A:$A,FALSE),MATCH(U$1,Winter!$1:$1,FALSE))),"")</f>
        <v/>
      </c>
      <c r="V66" t="str">
        <f>IFERROR(IF(INDEX(Winter!$1:$1048576,MATCH($A66,Winter!$A:$A,FALSE),MATCH(V$1,Winter!$1:$1,FALSE))="","",INDEX(Winter!$1:$1048576,MATCH($A66,Winter!$A:$A,FALSE),MATCH(V$1,Winter!$1:$1,FALSE))),"")</f>
        <v>1A</v>
      </c>
      <c r="W66" t="str">
        <f>IFERROR(IF(INDEX(Winter!$1:$1048576,MATCH($A66,Winter!$A:$A,FALSE),MATCH(W$1,Winter!$1:$1,FALSE))="","",INDEX(Winter!$1:$1048576,MATCH($A66,Winter!$A:$A,FALSE),MATCH(W$1,Winter!$1:$1,FALSE))),"")</f>
        <v/>
      </c>
      <c r="Y66" t="str">
        <f>IFERROR(IF(INDEX(Spring!$1:$1048576,MATCH($A66,Spring!$A:$A,FALSE),MATCH(Y$1,Spring!$1:$1,FALSE))="","",INDEX(Spring!$1:$1048576,MATCH($A66,Spring!$A:$A,FALSE),MATCH(Y$1,Spring!$1:$1,FALSE))),"")</f>
        <v>1A</v>
      </c>
      <c r="Z66" t="str">
        <f>IFERROR(IF(INDEX(Spring!$1:$1048576,MATCH($A66,Spring!$A:$A,FALSE),MATCH(Z$1,Spring!$1:$1,FALSE))="","",INDEX(Spring!$1:$1048576,MATCH($A66,Spring!$A:$A,FALSE),MATCH(Z$1,Spring!$1:$1,FALSE))),"")</f>
        <v>1A</v>
      </c>
      <c r="AA66" t="str">
        <f>IFERROR(IF(INDEX(Spring!$1:$1048576,MATCH($A66,Spring!$A:$A,FALSE),MATCH(AA$1,Spring!$1:$1,FALSE))="","",INDEX(Spring!$1:$1048576,MATCH($A66,Spring!$A:$A,FALSE),MATCH(AA$1,Spring!$1:$1,FALSE))),"")</f>
        <v/>
      </c>
      <c r="AB66" t="str">
        <f>IFERROR(IF(INDEX(Spring!$1:$1048576,MATCH($A66,Spring!$A:$A,FALSE),MATCH(AB$1,Spring!$1:$1,FALSE))="","",INDEX(Spring!$1:$1048576,MATCH($A66,Spring!$A:$A,FALSE),MATCH(AB$1,Spring!$1:$1,FALSE))),"")</f>
        <v/>
      </c>
      <c r="AC66" t="str">
        <f>IFERROR(IF(INDEX(Spring!$1:$1048576,MATCH($A66,Spring!$A:$A,FALSE),MATCH(AC$1,Spring!$1:$1,FALSE))="","",INDEX(Spring!$1:$1048576,MATCH($A66,Spring!$A:$A,FALSE),MATCH(AC$1,Spring!$1:$1,FALSE))),"")</f>
        <v>1A</v>
      </c>
      <c r="AD66" t="str">
        <f>IFERROR(IF(INDEX(Spring!$1:$1048576,MATCH($A66,Spring!$A:$A,FALSE),MATCH(AD$1,Spring!$1:$1,FALSE))="","",INDEX(Spring!$1:$1048576,MATCH($A66,Spring!$A:$A,FALSE),MATCH(AD$1,Spring!$1:$1,FALSE))),"")</f>
        <v>1A</v>
      </c>
    </row>
    <row r="67" spans="1:30" ht="23.25" thickBot="1" x14ac:dyDescent="0.3">
      <c r="A67" s="48" t="s">
        <v>979</v>
      </c>
      <c r="B67" s="49" t="s">
        <v>980</v>
      </c>
      <c r="C67" s="49" t="s">
        <v>997</v>
      </c>
      <c r="D67" s="49">
        <v>3</v>
      </c>
      <c r="E67" s="49">
        <v>8</v>
      </c>
      <c r="F67" s="45"/>
      <c r="G67" s="45"/>
      <c r="H67" s="44"/>
      <c r="J67" t="str">
        <f>IFERROR(IF(INDEX(Fall!$1:$1048576,MATCH($A67,Fall!$A:$A,FALSE),MATCH(J$1,Fall!$1:$1,FALSE))="","",INDEX(Fall!$1:$1048576,MATCH($A67,Fall!$A:$A,FALSE),MATCH(J$1,Fall!$1:$1,FALSE))),"")</f>
        <v/>
      </c>
      <c r="K67" t="str">
        <f>IFERROR(IF(INDEX(Fall!$1:$1048576,MATCH($A67,Fall!$A:$A,FALSE),MATCH(K$1,Fall!$1:$1,FALSE))="","",INDEX(Fall!$1:$1048576,MATCH($A67,Fall!$A:$A,FALSE),MATCH(K$1,Fall!$1:$1,FALSE))),"")</f>
        <v/>
      </c>
      <c r="L67" t="str">
        <f>IFERROR(IF(INDEX(Fall!$1:$1048576,MATCH($A67,Fall!$A:$A,FALSE),MATCH(L$1,Fall!$1:$1,FALSE))="","",INDEX(Fall!$1:$1048576,MATCH($A67,Fall!$A:$A,FALSE),MATCH(L$1,Fall!$1:$1,FALSE))),"")</f>
        <v/>
      </c>
      <c r="M67" t="str">
        <f>IFERROR(IF(INDEX(Fall!$1:$1048576,MATCH($A67,Fall!$A:$A,FALSE),MATCH(M$1,Fall!$1:$1,FALSE))="","",INDEX(Fall!$1:$1048576,MATCH($A67,Fall!$A:$A,FALSE),MATCH(M$1,Fall!$1:$1,FALSE))),"")</f>
        <v/>
      </c>
      <c r="N67" t="str">
        <f>IFERROR(IF(INDEX(Fall!$1:$1048576,MATCH($A67,Fall!$A:$A,FALSE),MATCH(N$1,Fall!$1:$1,FALSE))="","",INDEX(Fall!$1:$1048576,MATCH($A67,Fall!$A:$A,FALSE),MATCH(N$1,Fall!$1:$1,FALSE))),"")</f>
        <v/>
      </c>
      <c r="O67" t="str">
        <f>IFERROR(IF(INDEX(Fall!$1:$1048576,MATCH($A67,Fall!$A:$A,FALSE),MATCH(O$1,Fall!$1:$1,FALSE))="","",INDEX(Fall!$1:$1048576,MATCH($A67,Fall!$A:$A,FALSE),MATCH(O$1,Fall!$1:$1,FALSE))),"")</f>
        <v/>
      </c>
      <c r="P67" t="str">
        <f>IFERROR(IF(INDEX(Fall!$1:$1048576,MATCH($A67,Fall!$A:$A,FALSE),MATCH(P$1,Fall!$1:$1,FALSE))="","",INDEX(Fall!$1:$1048576,MATCH($A67,Fall!$A:$A,FALSE),MATCH(P$1,Fall!$1:$1,FALSE))),"")</f>
        <v>1A</v>
      </c>
      <c r="R67" t="str">
        <f>IFERROR(IF(INDEX(Winter!$1:$1048576,MATCH($A67,Winter!$A:$A,FALSE),MATCH(R$1,Winter!$1:$1,FALSE))="","",INDEX(Winter!$1:$1048576,MATCH($A67,Winter!$A:$A,FALSE),MATCH(R$1,Winter!$1:$1,FALSE))),"")</f>
        <v/>
      </c>
      <c r="S67" t="str">
        <f>IFERROR(IF(INDEX(Winter!$1:$1048576,MATCH($A67,Winter!$A:$A,FALSE),MATCH(S$1,Winter!$1:$1,FALSE))="","",INDEX(Winter!$1:$1048576,MATCH($A67,Winter!$A:$A,FALSE),MATCH(S$1,Winter!$1:$1,FALSE))),"")</f>
        <v/>
      </c>
      <c r="T67" t="str">
        <f>IFERROR(IF(INDEX(Winter!$1:$1048576,MATCH($A67,Winter!$A:$A,FALSE),MATCH(T$1,Winter!$1:$1,FALSE))="","",INDEX(Winter!$1:$1048576,MATCH($A67,Winter!$A:$A,FALSE),MATCH(T$1,Winter!$1:$1,FALSE))),"")</f>
        <v/>
      </c>
      <c r="U67" t="str">
        <f>IFERROR(IF(INDEX(Winter!$1:$1048576,MATCH($A67,Winter!$A:$A,FALSE),MATCH(U$1,Winter!$1:$1,FALSE))="","",INDEX(Winter!$1:$1048576,MATCH($A67,Winter!$A:$A,FALSE),MATCH(U$1,Winter!$1:$1,FALSE))),"")</f>
        <v/>
      </c>
      <c r="V67" t="str">
        <f>IFERROR(IF(INDEX(Winter!$1:$1048576,MATCH($A67,Winter!$A:$A,FALSE),MATCH(V$1,Winter!$1:$1,FALSE))="","",INDEX(Winter!$1:$1048576,MATCH($A67,Winter!$A:$A,FALSE),MATCH(V$1,Winter!$1:$1,FALSE))),"")</f>
        <v/>
      </c>
      <c r="W67" t="str">
        <f>IFERROR(IF(INDEX(Winter!$1:$1048576,MATCH($A67,Winter!$A:$A,FALSE),MATCH(W$1,Winter!$1:$1,FALSE))="","",INDEX(Winter!$1:$1048576,MATCH($A67,Winter!$A:$A,FALSE),MATCH(W$1,Winter!$1:$1,FALSE))),"")</f>
        <v/>
      </c>
      <c r="Y67" t="str">
        <f>IFERROR(IF(INDEX(Spring!$1:$1048576,MATCH($A67,Spring!$A:$A,FALSE),MATCH(Y$1,Spring!$1:$1,FALSE))="","",INDEX(Spring!$1:$1048576,MATCH($A67,Spring!$A:$A,FALSE),MATCH(Y$1,Spring!$1:$1,FALSE))),"")</f>
        <v/>
      </c>
      <c r="Z67" t="str">
        <f>IFERROR(IF(INDEX(Spring!$1:$1048576,MATCH($A67,Spring!$A:$A,FALSE),MATCH(Z$1,Spring!$1:$1,FALSE))="","",INDEX(Spring!$1:$1048576,MATCH($A67,Spring!$A:$A,FALSE),MATCH(Z$1,Spring!$1:$1,FALSE))),"")</f>
        <v/>
      </c>
      <c r="AA67" t="str">
        <f>IFERROR(IF(INDEX(Spring!$1:$1048576,MATCH($A67,Spring!$A:$A,FALSE),MATCH(AA$1,Spring!$1:$1,FALSE))="","",INDEX(Spring!$1:$1048576,MATCH($A67,Spring!$A:$A,FALSE),MATCH(AA$1,Spring!$1:$1,FALSE))),"")</f>
        <v/>
      </c>
      <c r="AB67" t="str">
        <f>IFERROR(IF(INDEX(Spring!$1:$1048576,MATCH($A67,Spring!$A:$A,FALSE),MATCH(AB$1,Spring!$1:$1,FALSE))="","",INDEX(Spring!$1:$1048576,MATCH($A67,Spring!$A:$A,FALSE),MATCH(AB$1,Spring!$1:$1,FALSE))),"")</f>
        <v/>
      </c>
      <c r="AC67" t="str">
        <f>IFERROR(IF(INDEX(Spring!$1:$1048576,MATCH($A67,Spring!$A:$A,FALSE),MATCH(AC$1,Spring!$1:$1,FALSE))="","",INDEX(Spring!$1:$1048576,MATCH($A67,Spring!$A:$A,FALSE),MATCH(AC$1,Spring!$1:$1,FALSE))),"")</f>
        <v/>
      </c>
      <c r="AD67" t="str">
        <f>IFERROR(IF(INDEX(Spring!$1:$1048576,MATCH($A67,Spring!$A:$A,FALSE),MATCH(AD$1,Spring!$1:$1,FALSE))="","",INDEX(Spring!$1:$1048576,MATCH($A67,Spring!$A:$A,FALSE),MATCH(AD$1,Spring!$1:$1,FALSE))),"")</f>
        <v/>
      </c>
    </row>
    <row r="68" spans="1:30" ht="23.25" thickBot="1" x14ac:dyDescent="0.3">
      <c r="A68" s="48" t="s">
        <v>907</v>
      </c>
      <c r="B68" s="49" t="s">
        <v>908</v>
      </c>
      <c r="C68" s="49" t="s">
        <v>997</v>
      </c>
      <c r="D68" s="49">
        <v>3</v>
      </c>
      <c r="E68" s="49">
        <v>8</v>
      </c>
      <c r="F68" s="45"/>
      <c r="G68" s="45"/>
      <c r="H68" s="44"/>
      <c r="J68" t="str">
        <f>IFERROR(IF(INDEX(Fall!$1:$1048576,MATCH($A68,Fall!$A:$A,FALSE),MATCH(J$1,Fall!$1:$1,FALSE))="","",INDEX(Fall!$1:$1048576,MATCH($A68,Fall!$A:$A,FALSE),MATCH(J$1,Fall!$1:$1,FALSE))),"")</f>
        <v/>
      </c>
      <c r="K68" t="str">
        <f>IFERROR(IF(INDEX(Fall!$1:$1048576,MATCH($A68,Fall!$A:$A,FALSE),MATCH(K$1,Fall!$1:$1,FALSE))="","",INDEX(Fall!$1:$1048576,MATCH($A68,Fall!$A:$A,FALSE),MATCH(K$1,Fall!$1:$1,FALSE))),"")</f>
        <v/>
      </c>
      <c r="L68" t="str">
        <f>IFERROR(IF(INDEX(Fall!$1:$1048576,MATCH($A68,Fall!$A:$A,FALSE),MATCH(L$1,Fall!$1:$1,FALSE))="","",INDEX(Fall!$1:$1048576,MATCH($A68,Fall!$A:$A,FALSE),MATCH(L$1,Fall!$1:$1,FALSE))),"")</f>
        <v/>
      </c>
      <c r="M68" t="str">
        <f>IFERROR(IF(INDEX(Fall!$1:$1048576,MATCH($A68,Fall!$A:$A,FALSE),MATCH(M$1,Fall!$1:$1,FALSE))="","",INDEX(Fall!$1:$1048576,MATCH($A68,Fall!$A:$A,FALSE),MATCH(M$1,Fall!$1:$1,FALSE))),"")</f>
        <v/>
      </c>
      <c r="N68" t="str">
        <f>IFERROR(IF(INDEX(Fall!$1:$1048576,MATCH($A68,Fall!$A:$A,FALSE),MATCH(N$1,Fall!$1:$1,FALSE))="","",INDEX(Fall!$1:$1048576,MATCH($A68,Fall!$A:$A,FALSE),MATCH(N$1,Fall!$1:$1,FALSE))),"")</f>
        <v>1A</v>
      </c>
      <c r="O68" t="str">
        <f>IFERROR(IF(INDEX(Fall!$1:$1048576,MATCH($A68,Fall!$A:$A,FALSE),MATCH(O$1,Fall!$1:$1,FALSE))="","",INDEX(Fall!$1:$1048576,MATCH($A68,Fall!$A:$A,FALSE),MATCH(O$1,Fall!$1:$1,FALSE))),"")</f>
        <v/>
      </c>
      <c r="P68" t="str">
        <f>IFERROR(IF(INDEX(Fall!$1:$1048576,MATCH($A68,Fall!$A:$A,FALSE),MATCH(P$1,Fall!$1:$1,FALSE))="","",INDEX(Fall!$1:$1048576,MATCH($A68,Fall!$A:$A,FALSE),MATCH(P$1,Fall!$1:$1,FALSE))),"")</f>
        <v/>
      </c>
      <c r="R68" t="str">
        <f>IFERROR(IF(INDEX(Winter!$1:$1048576,MATCH($A68,Winter!$A:$A,FALSE),MATCH(R$1,Winter!$1:$1,FALSE))="","",INDEX(Winter!$1:$1048576,MATCH($A68,Winter!$A:$A,FALSE),MATCH(R$1,Winter!$1:$1,FALSE))),"")</f>
        <v>2A</v>
      </c>
      <c r="S68" t="str">
        <f>IFERROR(IF(INDEX(Winter!$1:$1048576,MATCH($A68,Winter!$A:$A,FALSE),MATCH(S$1,Winter!$1:$1,FALSE))="","",INDEX(Winter!$1:$1048576,MATCH($A68,Winter!$A:$A,FALSE),MATCH(S$1,Winter!$1:$1,FALSE))),"")</f>
        <v/>
      </c>
      <c r="T68" t="str">
        <f>IFERROR(IF(INDEX(Winter!$1:$1048576,MATCH($A68,Winter!$A:$A,FALSE),MATCH(T$1,Winter!$1:$1,FALSE))="","",INDEX(Winter!$1:$1048576,MATCH($A68,Winter!$A:$A,FALSE),MATCH(T$1,Winter!$1:$1,FALSE))),"")</f>
        <v/>
      </c>
      <c r="U68" t="str">
        <f>IFERROR(IF(INDEX(Winter!$1:$1048576,MATCH($A68,Winter!$A:$A,FALSE),MATCH(U$1,Winter!$1:$1,FALSE))="","",INDEX(Winter!$1:$1048576,MATCH($A68,Winter!$A:$A,FALSE),MATCH(U$1,Winter!$1:$1,FALSE))),"")</f>
        <v/>
      </c>
      <c r="V68" t="str">
        <f>IFERROR(IF(INDEX(Winter!$1:$1048576,MATCH($A68,Winter!$A:$A,FALSE),MATCH(V$1,Winter!$1:$1,FALSE))="","",INDEX(Winter!$1:$1048576,MATCH($A68,Winter!$A:$A,FALSE),MATCH(V$1,Winter!$1:$1,FALSE))),"")</f>
        <v/>
      </c>
      <c r="W68" t="str">
        <f>IFERROR(IF(INDEX(Winter!$1:$1048576,MATCH($A68,Winter!$A:$A,FALSE),MATCH(W$1,Winter!$1:$1,FALSE))="","",INDEX(Winter!$1:$1048576,MATCH($A68,Winter!$A:$A,FALSE),MATCH(W$1,Winter!$1:$1,FALSE))),"")</f>
        <v>1A</v>
      </c>
      <c r="Y68" t="str">
        <f>IFERROR(IF(INDEX(Spring!$1:$1048576,MATCH($A68,Spring!$A:$A,FALSE),MATCH(Y$1,Spring!$1:$1,FALSE))="","",INDEX(Spring!$1:$1048576,MATCH($A68,Spring!$A:$A,FALSE),MATCH(Y$1,Spring!$1:$1,FALSE))),"")</f>
        <v/>
      </c>
      <c r="Z68" t="str">
        <f>IFERROR(IF(INDEX(Spring!$1:$1048576,MATCH($A68,Spring!$A:$A,FALSE),MATCH(Z$1,Spring!$1:$1,FALSE))="","",INDEX(Spring!$1:$1048576,MATCH($A68,Spring!$A:$A,FALSE),MATCH(Z$1,Spring!$1:$1,FALSE))),"")</f>
        <v/>
      </c>
      <c r="AA68" t="str">
        <f>IFERROR(IF(INDEX(Spring!$1:$1048576,MATCH($A68,Spring!$A:$A,FALSE),MATCH(AA$1,Spring!$1:$1,FALSE))="","",INDEX(Spring!$1:$1048576,MATCH($A68,Spring!$A:$A,FALSE),MATCH(AA$1,Spring!$1:$1,FALSE))),"")</f>
        <v/>
      </c>
      <c r="AB68" t="str">
        <f>IFERROR(IF(INDEX(Spring!$1:$1048576,MATCH($A68,Spring!$A:$A,FALSE),MATCH(AB$1,Spring!$1:$1,FALSE))="","",INDEX(Spring!$1:$1048576,MATCH($A68,Spring!$A:$A,FALSE),MATCH(AB$1,Spring!$1:$1,FALSE))),"")</f>
        <v/>
      </c>
      <c r="AC68" t="str">
        <f>IFERROR(IF(INDEX(Spring!$1:$1048576,MATCH($A68,Spring!$A:$A,FALSE),MATCH(AC$1,Spring!$1:$1,FALSE))="","",INDEX(Spring!$1:$1048576,MATCH($A68,Spring!$A:$A,FALSE),MATCH(AC$1,Spring!$1:$1,FALSE))),"")</f>
        <v/>
      </c>
      <c r="AD68" t="str">
        <f>IFERROR(IF(INDEX(Spring!$1:$1048576,MATCH($A68,Spring!$A:$A,FALSE),MATCH(AD$1,Spring!$1:$1,FALSE))="","",INDEX(Spring!$1:$1048576,MATCH($A68,Spring!$A:$A,FALSE),MATCH(AD$1,Spring!$1:$1,FALSE))),"")</f>
        <v/>
      </c>
    </row>
    <row r="69" spans="1:30" ht="15.75" thickBot="1" x14ac:dyDescent="0.3">
      <c r="A69" s="48" t="s">
        <v>86</v>
      </c>
      <c r="B69" s="49">
        <v>186</v>
      </c>
      <c r="C69" s="50"/>
      <c r="D69" s="50"/>
      <c r="E69" s="50"/>
      <c r="F69" s="45"/>
      <c r="G69" s="45"/>
      <c r="H69" s="44"/>
      <c r="J69" t="str">
        <f>IFERROR(IF(INDEX(Fall!$1:$1048576,MATCH($A69,Fall!$A:$A,FALSE),MATCH(J$1,Fall!$1:$1,FALSE))="","",INDEX(Fall!$1:$1048576,MATCH($A69,Fall!$A:$A,FALSE),MATCH(J$1,Fall!$1:$1,FALSE))),"")</f>
        <v/>
      </c>
      <c r="K69" t="str">
        <f>IFERROR(IF(INDEX(Fall!$1:$1048576,MATCH($A69,Fall!$A:$A,FALSE),MATCH(K$1,Fall!$1:$1,FALSE))="","",INDEX(Fall!$1:$1048576,MATCH($A69,Fall!$A:$A,FALSE),MATCH(K$1,Fall!$1:$1,FALSE))),"")</f>
        <v/>
      </c>
      <c r="L69" t="str">
        <f>IFERROR(IF(INDEX(Fall!$1:$1048576,MATCH($A69,Fall!$A:$A,FALSE),MATCH(L$1,Fall!$1:$1,FALSE))="","",INDEX(Fall!$1:$1048576,MATCH($A69,Fall!$A:$A,FALSE),MATCH(L$1,Fall!$1:$1,FALSE))),"")</f>
        <v>1A</v>
      </c>
      <c r="M69" t="str">
        <f>IFERROR(IF(INDEX(Fall!$1:$1048576,MATCH($A69,Fall!$A:$A,FALSE),MATCH(M$1,Fall!$1:$1,FALSE))="","",INDEX(Fall!$1:$1048576,MATCH($A69,Fall!$A:$A,FALSE),MATCH(M$1,Fall!$1:$1,FALSE))),"")</f>
        <v>1A</v>
      </c>
      <c r="N69" t="str">
        <f>IFERROR(IF(INDEX(Fall!$1:$1048576,MATCH($A69,Fall!$A:$A,FALSE),MATCH(N$1,Fall!$1:$1,FALSE))="","",INDEX(Fall!$1:$1048576,MATCH($A69,Fall!$A:$A,FALSE),MATCH(N$1,Fall!$1:$1,FALSE))),"")</f>
        <v/>
      </c>
      <c r="O69" t="str">
        <f>IFERROR(IF(INDEX(Fall!$1:$1048576,MATCH($A69,Fall!$A:$A,FALSE),MATCH(O$1,Fall!$1:$1,FALSE))="","",INDEX(Fall!$1:$1048576,MATCH($A69,Fall!$A:$A,FALSE),MATCH(O$1,Fall!$1:$1,FALSE))),"")</f>
        <v/>
      </c>
      <c r="P69" t="str">
        <f>IFERROR(IF(INDEX(Fall!$1:$1048576,MATCH($A69,Fall!$A:$A,FALSE),MATCH(P$1,Fall!$1:$1,FALSE))="","",INDEX(Fall!$1:$1048576,MATCH($A69,Fall!$A:$A,FALSE),MATCH(P$1,Fall!$1:$1,FALSE))),"")</f>
        <v>1A</v>
      </c>
      <c r="R69" t="str">
        <f>IFERROR(IF(INDEX(Winter!$1:$1048576,MATCH($A69,Winter!$A:$A,FALSE),MATCH(R$1,Winter!$1:$1,FALSE))="","",INDEX(Winter!$1:$1048576,MATCH($A69,Winter!$A:$A,FALSE),MATCH(R$1,Winter!$1:$1,FALSE))),"")</f>
        <v>1A</v>
      </c>
      <c r="S69" t="str">
        <f>IFERROR(IF(INDEX(Winter!$1:$1048576,MATCH($A69,Winter!$A:$A,FALSE),MATCH(S$1,Winter!$1:$1,FALSE))="","",INDEX(Winter!$1:$1048576,MATCH($A69,Winter!$A:$A,FALSE),MATCH(S$1,Winter!$1:$1,FALSE))),"")</f>
        <v>1A</v>
      </c>
      <c r="T69" t="str">
        <f>IFERROR(IF(INDEX(Winter!$1:$1048576,MATCH($A69,Winter!$A:$A,FALSE),MATCH(T$1,Winter!$1:$1,FALSE))="","",INDEX(Winter!$1:$1048576,MATCH($A69,Winter!$A:$A,FALSE),MATCH(T$1,Winter!$1:$1,FALSE))),"")</f>
        <v>1A</v>
      </c>
      <c r="U69" t="str">
        <f>IFERROR(IF(INDEX(Winter!$1:$1048576,MATCH($A69,Winter!$A:$A,FALSE),MATCH(U$1,Winter!$1:$1,FALSE))="","",INDEX(Winter!$1:$1048576,MATCH($A69,Winter!$A:$A,FALSE),MATCH(U$1,Winter!$1:$1,FALSE))),"")</f>
        <v/>
      </c>
      <c r="V69" t="str">
        <f>IFERROR(IF(INDEX(Winter!$1:$1048576,MATCH($A69,Winter!$A:$A,FALSE),MATCH(V$1,Winter!$1:$1,FALSE))="","",INDEX(Winter!$1:$1048576,MATCH($A69,Winter!$A:$A,FALSE),MATCH(V$1,Winter!$1:$1,FALSE))),"")</f>
        <v>1A</v>
      </c>
      <c r="W69" t="str">
        <f>IFERROR(IF(INDEX(Winter!$1:$1048576,MATCH($A69,Winter!$A:$A,FALSE),MATCH(W$1,Winter!$1:$1,FALSE))="","",INDEX(Winter!$1:$1048576,MATCH($A69,Winter!$A:$A,FALSE),MATCH(W$1,Winter!$1:$1,FALSE))),"")</f>
        <v/>
      </c>
      <c r="Y69" t="str">
        <f>IFERROR(IF(INDEX(Spring!$1:$1048576,MATCH($A69,Spring!$A:$A,FALSE),MATCH(Y$1,Spring!$1:$1,FALSE))="","",INDEX(Spring!$1:$1048576,MATCH($A69,Spring!$A:$A,FALSE),MATCH(Y$1,Spring!$1:$1,FALSE))),"")</f>
        <v>2A</v>
      </c>
      <c r="Z69" t="str">
        <f>IFERROR(IF(INDEX(Spring!$1:$1048576,MATCH($A69,Spring!$A:$A,FALSE),MATCH(Z$1,Spring!$1:$1,FALSE))="","",INDEX(Spring!$1:$1048576,MATCH($A69,Spring!$A:$A,FALSE),MATCH(Z$1,Spring!$1:$1,FALSE))),"")</f>
        <v>2A</v>
      </c>
      <c r="AA69" t="str">
        <f>IFERROR(IF(INDEX(Spring!$1:$1048576,MATCH($A69,Spring!$A:$A,FALSE),MATCH(AA$1,Spring!$1:$1,FALSE))="","",INDEX(Spring!$1:$1048576,MATCH($A69,Spring!$A:$A,FALSE),MATCH(AA$1,Spring!$1:$1,FALSE))),"")</f>
        <v/>
      </c>
      <c r="AB69" t="str">
        <f>IFERROR(IF(INDEX(Spring!$1:$1048576,MATCH($A69,Spring!$A:$A,FALSE),MATCH(AB$1,Spring!$1:$1,FALSE))="","",INDEX(Spring!$1:$1048576,MATCH($A69,Spring!$A:$A,FALSE),MATCH(AB$1,Spring!$1:$1,FALSE))),"")</f>
        <v/>
      </c>
      <c r="AC69" t="str">
        <f>IFERROR(IF(INDEX(Spring!$1:$1048576,MATCH($A69,Spring!$A:$A,FALSE),MATCH(AC$1,Spring!$1:$1,FALSE))="","",INDEX(Spring!$1:$1048576,MATCH($A69,Spring!$A:$A,FALSE),MATCH(AC$1,Spring!$1:$1,FALSE))),"")</f>
        <v/>
      </c>
      <c r="AD69" t="str">
        <f>IFERROR(IF(INDEX(Spring!$1:$1048576,MATCH($A69,Spring!$A:$A,FALSE),MATCH(AD$1,Spring!$1:$1,FALSE))="","",INDEX(Spring!$1:$1048576,MATCH($A69,Spring!$A:$A,FALSE),MATCH(AD$1,Spring!$1:$1,FALSE))),"")</f>
        <v/>
      </c>
    </row>
    <row r="70" spans="1:30" ht="15.75" thickBot="1" x14ac:dyDescent="0.3">
      <c r="A70" s="48" t="s">
        <v>87</v>
      </c>
      <c r="B70" s="49">
        <v>121</v>
      </c>
      <c r="C70" s="50"/>
      <c r="D70" s="50"/>
      <c r="E70" s="50"/>
      <c r="F70" s="45"/>
      <c r="G70" s="45"/>
      <c r="H70" s="44"/>
      <c r="J70" t="str">
        <f>IFERROR(IF(INDEX(Fall!$1:$1048576,MATCH($A70,Fall!$A:$A,FALSE),MATCH(J$1,Fall!$1:$1,FALSE))="","",INDEX(Fall!$1:$1048576,MATCH($A70,Fall!$A:$A,FALSE),MATCH(J$1,Fall!$1:$1,FALSE))),"")</f>
        <v>1A</v>
      </c>
      <c r="K70" t="str">
        <f>IFERROR(IF(INDEX(Fall!$1:$1048576,MATCH($A70,Fall!$A:$A,FALSE),MATCH(K$1,Fall!$1:$1,FALSE))="","",INDEX(Fall!$1:$1048576,MATCH($A70,Fall!$A:$A,FALSE),MATCH(K$1,Fall!$1:$1,FALSE))),"")</f>
        <v/>
      </c>
      <c r="L70" t="str">
        <f>IFERROR(IF(INDEX(Fall!$1:$1048576,MATCH($A70,Fall!$A:$A,FALSE),MATCH(L$1,Fall!$1:$1,FALSE))="","",INDEX(Fall!$1:$1048576,MATCH($A70,Fall!$A:$A,FALSE),MATCH(L$1,Fall!$1:$1,FALSE))),"")</f>
        <v>1A</v>
      </c>
      <c r="M70" t="str">
        <f>IFERROR(IF(INDEX(Fall!$1:$1048576,MATCH($A70,Fall!$A:$A,FALSE),MATCH(M$1,Fall!$1:$1,FALSE))="","",INDEX(Fall!$1:$1048576,MATCH($A70,Fall!$A:$A,FALSE),MATCH(M$1,Fall!$1:$1,FALSE))),"")</f>
        <v/>
      </c>
      <c r="N70" t="str">
        <f>IFERROR(IF(INDEX(Fall!$1:$1048576,MATCH($A70,Fall!$A:$A,FALSE),MATCH(N$1,Fall!$1:$1,FALSE))="","",INDEX(Fall!$1:$1048576,MATCH($A70,Fall!$A:$A,FALSE),MATCH(N$1,Fall!$1:$1,FALSE))),"")</f>
        <v/>
      </c>
      <c r="O70" t="str">
        <f>IFERROR(IF(INDEX(Fall!$1:$1048576,MATCH($A70,Fall!$A:$A,FALSE),MATCH(O$1,Fall!$1:$1,FALSE))="","",INDEX(Fall!$1:$1048576,MATCH($A70,Fall!$A:$A,FALSE),MATCH(O$1,Fall!$1:$1,FALSE))),"")</f>
        <v/>
      </c>
      <c r="P70" t="str">
        <f>IFERROR(IF(INDEX(Fall!$1:$1048576,MATCH($A70,Fall!$A:$A,FALSE),MATCH(P$1,Fall!$1:$1,FALSE))="","",INDEX(Fall!$1:$1048576,MATCH($A70,Fall!$A:$A,FALSE),MATCH(P$1,Fall!$1:$1,FALSE))),"")</f>
        <v>1A</v>
      </c>
      <c r="R70" t="str">
        <f>IFERROR(IF(INDEX(Winter!$1:$1048576,MATCH($A70,Winter!$A:$A,FALSE),MATCH(R$1,Winter!$1:$1,FALSE))="","",INDEX(Winter!$1:$1048576,MATCH($A70,Winter!$A:$A,FALSE),MATCH(R$1,Winter!$1:$1,FALSE))),"")</f>
        <v>1A</v>
      </c>
      <c r="S70" t="str">
        <f>IFERROR(IF(INDEX(Winter!$1:$1048576,MATCH($A70,Winter!$A:$A,FALSE),MATCH(S$1,Winter!$1:$1,FALSE))="","",INDEX(Winter!$1:$1048576,MATCH($A70,Winter!$A:$A,FALSE),MATCH(S$1,Winter!$1:$1,FALSE))),"")</f>
        <v>1A</v>
      </c>
      <c r="T70" t="str">
        <f>IFERROR(IF(INDEX(Winter!$1:$1048576,MATCH($A70,Winter!$A:$A,FALSE),MATCH(T$1,Winter!$1:$1,FALSE))="","",INDEX(Winter!$1:$1048576,MATCH($A70,Winter!$A:$A,FALSE),MATCH(T$1,Winter!$1:$1,FALSE))),"")</f>
        <v/>
      </c>
      <c r="U70" t="str">
        <f>IFERROR(IF(INDEX(Winter!$1:$1048576,MATCH($A70,Winter!$A:$A,FALSE),MATCH(U$1,Winter!$1:$1,FALSE))="","",INDEX(Winter!$1:$1048576,MATCH($A70,Winter!$A:$A,FALSE),MATCH(U$1,Winter!$1:$1,FALSE))),"")</f>
        <v/>
      </c>
      <c r="V70" t="str">
        <f>IFERROR(IF(INDEX(Winter!$1:$1048576,MATCH($A70,Winter!$A:$A,FALSE),MATCH(V$1,Winter!$1:$1,FALSE))="","",INDEX(Winter!$1:$1048576,MATCH($A70,Winter!$A:$A,FALSE),MATCH(V$1,Winter!$1:$1,FALSE))),"")</f>
        <v>1A</v>
      </c>
      <c r="W70" t="str">
        <f>IFERROR(IF(INDEX(Winter!$1:$1048576,MATCH($A70,Winter!$A:$A,FALSE),MATCH(W$1,Winter!$1:$1,FALSE))="","",INDEX(Winter!$1:$1048576,MATCH($A70,Winter!$A:$A,FALSE),MATCH(W$1,Winter!$1:$1,FALSE))),"")</f>
        <v/>
      </c>
      <c r="Y70" t="str">
        <f>IFERROR(IF(INDEX(Spring!$1:$1048576,MATCH($A70,Spring!$A:$A,FALSE),MATCH(Y$1,Spring!$1:$1,FALSE))="","",INDEX(Spring!$1:$1048576,MATCH($A70,Spring!$A:$A,FALSE),MATCH(Y$1,Spring!$1:$1,FALSE))),"")</f>
        <v>1A</v>
      </c>
      <c r="Z70" t="str">
        <f>IFERROR(IF(INDEX(Spring!$1:$1048576,MATCH($A70,Spring!$A:$A,FALSE),MATCH(Z$1,Spring!$1:$1,FALSE))="","",INDEX(Spring!$1:$1048576,MATCH($A70,Spring!$A:$A,FALSE),MATCH(Z$1,Spring!$1:$1,FALSE))),"")</f>
        <v>1A</v>
      </c>
      <c r="AA70" t="str">
        <f>IFERROR(IF(INDEX(Spring!$1:$1048576,MATCH($A70,Spring!$A:$A,FALSE),MATCH(AA$1,Spring!$1:$1,FALSE))="","",INDEX(Spring!$1:$1048576,MATCH($A70,Spring!$A:$A,FALSE),MATCH(AA$1,Spring!$1:$1,FALSE))),"")</f>
        <v/>
      </c>
      <c r="AB70" t="str">
        <f>IFERROR(IF(INDEX(Spring!$1:$1048576,MATCH($A70,Spring!$A:$A,FALSE),MATCH(AB$1,Spring!$1:$1,FALSE))="","",INDEX(Spring!$1:$1048576,MATCH($A70,Spring!$A:$A,FALSE),MATCH(AB$1,Spring!$1:$1,FALSE))),"")</f>
        <v/>
      </c>
      <c r="AC70" t="str">
        <f>IFERROR(IF(INDEX(Spring!$1:$1048576,MATCH($A70,Spring!$A:$A,FALSE),MATCH(AC$1,Spring!$1:$1,FALSE))="","",INDEX(Spring!$1:$1048576,MATCH($A70,Spring!$A:$A,FALSE),MATCH(AC$1,Spring!$1:$1,FALSE))),"")</f>
        <v>1A</v>
      </c>
      <c r="AD70" t="str">
        <f>IFERROR(IF(INDEX(Spring!$1:$1048576,MATCH($A70,Spring!$A:$A,FALSE),MATCH(AD$1,Spring!$1:$1,FALSE))="","",INDEX(Spring!$1:$1048576,MATCH($A70,Spring!$A:$A,FALSE),MATCH(AD$1,Spring!$1:$1,FALSE))),"")</f>
        <v>1A</v>
      </c>
    </row>
    <row r="71" spans="1:30" ht="15.75" thickBot="1" x14ac:dyDescent="0.3">
      <c r="A71" s="48" t="s">
        <v>88</v>
      </c>
      <c r="B71" s="49">
        <v>95</v>
      </c>
      <c r="C71" s="50"/>
      <c r="D71" s="50"/>
      <c r="E71" s="50"/>
      <c r="F71" s="45"/>
      <c r="G71" s="45"/>
      <c r="H71" s="44"/>
      <c r="J71" t="str">
        <f>IFERROR(IF(INDEX(Fall!$1:$1048576,MATCH($A71,Fall!$A:$A,FALSE),MATCH(J$1,Fall!$1:$1,FALSE))="","",INDEX(Fall!$1:$1048576,MATCH($A71,Fall!$A:$A,FALSE),MATCH(J$1,Fall!$1:$1,FALSE))),"")</f>
        <v/>
      </c>
      <c r="K71" t="str">
        <f>IFERROR(IF(INDEX(Fall!$1:$1048576,MATCH($A71,Fall!$A:$A,FALSE),MATCH(K$1,Fall!$1:$1,FALSE))="","",INDEX(Fall!$1:$1048576,MATCH($A71,Fall!$A:$A,FALSE),MATCH(K$1,Fall!$1:$1,FALSE))),"")</f>
        <v/>
      </c>
      <c r="L71" t="str">
        <f>IFERROR(IF(INDEX(Fall!$1:$1048576,MATCH($A71,Fall!$A:$A,FALSE),MATCH(L$1,Fall!$1:$1,FALSE))="","",INDEX(Fall!$1:$1048576,MATCH($A71,Fall!$A:$A,FALSE),MATCH(L$1,Fall!$1:$1,FALSE))),"")</f>
        <v/>
      </c>
      <c r="M71" t="str">
        <f>IFERROR(IF(INDEX(Fall!$1:$1048576,MATCH($A71,Fall!$A:$A,FALSE),MATCH(M$1,Fall!$1:$1,FALSE))="","",INDEX(Fall!$1:$1048576,MATCH($A71,Fall!$A:$A,FALSE),MATCH(M$1,Fall!$1:$1,FALSE))),"")</f>
        <v/>
      </c>
      <c r="N71" t="str">
        <f>IFERROR(IF(INDEX(Fall!$1:$1048576,MATCH($A71,Fall!$A:$A,FALSE),MATCH(N$1,Fall!$1:$1,FALSE))="","",INDEX(Fall!$1:$1048576,MATCH($A71,Fall!$A:$A,FALSE),MATCH(N$1,Fall!$1:$1,FALSE))),"")</f>
        <v/>
      </c>
      <c r="O71" t="str">
        <f>IFERROR(IF(INDEX(Fall!$1:$1048576,MATCH($A71,Fall!$A:$A,FALSE),MATCH(O$1,Fall!$1:$1,FALSE))="","",INDEX(Fall!$1:$1048576,MATCH($A71,Fall!$A:$A,FALSE),MATCH(O$1,Fall!$1:$1,FALSE))),"")</f>
        <v/>
      </c>
      <c r="P71" t="str">
        <f>IFERROR(IF(INDEX(Fall!$1:$1048576,MATCH($A71,Fall!$A:$A,FALSE),MATCH(P$1,Fall!$1:$1,FALSE))="","",INDEX(Fall!$1:$1048576,MATCH($A71,Fall!$A:$A,FALSE),MATCH(P$1,Fall!$1:$1,FALSE))),"")</f>
        <v/>
      </c>
      <c r="R71" t="str">
        <f>IFERROR(IF(INDEX(Winter!$1:$1048576,MATCH($A71,Winter!$A:$A,FALSE),MATCH(R$1,Winter!$1:$1,FALSE))="","",INDEX(Winter!$1:$1048576,MATCH($A71,Winter!$A:$A,FALSE),MATCH(R$1,Winter!$1:$1,FALSE))),"")</f>
        <v/>
      </c>
      <c r="S71" t="str">
        <f>IFERROR(IF(INDEX(Winter!$1:$1048576,MATCH($A71,Winter!$A:$A,FALSE),MATCH(S$1,Winter!$1:$1,FALSE))="","",INDEX(Winter!$1:$1048576,MATCH($A71,Winter!$A:$A,FALSE),MATCH(S$1,Winter!$1:$1,FALSE))),"")</f>
        <v>1A</v>
      </c>
      <c r="T71" t="str">
        <f>IFERROR(IF(INDEX(Winter!$1:$1048576,MATCH($A71,Winter!$A:$A,FALSE),MATCH(T$1,Winter!$1:$1,FALSE))="","",INDEX(Winter!$1:$1048576,MATCH($A71,Winter!$A:$A,FALSE),MATCH(T$1,Winter!$1:$1,FALSE))),"")</f>
        <v/>
      </c>
      <c r="U71" t="str">
        <f>IFERROR(IF(INDEX(Winter!$1:$1048576,MATCH($A71,Winter!$A:$A,FALSE),MATCH(U$1,Winter!$1:$1,FALSE))="","",INDEX(Winter!$1:$1048576,MATCH($A71,Winter!$A:$A,FALSE),MATCH(U$1,Winter!$1:$1,FALSE))),"")</f>
        <v/>
      </c>
      <c r="V71" t="str">
        <f>IFERROR(IF(INDEX(Winter!$1:$1048576,MATCH($A71,Winter!$A:$A,FALSE),MATCH(V$1,Winter!$1:$1,FALSE))="","",INDEX(Winter!$1:$1048576,MATCH($A71,Winter!$A:$A,FALSE),MATCH(V$1,Winter!$1:$1,FALSE))),"")</f>
        <v/>
      </c>
      <c r="W71" t="str">
        <f>IFERROR(IF(INDEX(Winter!$1:$1048576,MATCH($A71,Winter!$A:$A,FALSE),MATCH(W$1,Winter!$1:$1,FALSE))="","",INDEX(Winter!$1:$1048576,MATCH($A71,Winter!$A:$A,FALSE),MATCH(W$1,Winter!$1:$1,FALSE))),"")</f>
        <v/>
      </c>
      <c r="Y71" t="str">
        <f>IFERROR(IF(INDEX(Spring!$1:$1048576,MATCH($A71,Spring!$A:$A,FALSE),MATCH(Y$1,Spring!$1:$1,FALSE))="","",INDEX(Spring!$1:$1048576,MATCH($A71,Spring!$A:$A,FALSE),MATCH(Y$1,Spring!$1:$1,FALSE))),"")</f>
        <v>1A</v>
      </c>
      <c r="Z71" t="str">
        <f>IFERROR(IF(INDEX(Spring!$1:$1048576,MATCH($A71,Spring!$A:$A,FALSE),MATCH(Z$1,Spring!$1:$1,FALSE))="","",INDEX(Spring!$1:$1048576,MATCH($A71,Spring!$A:$A,FALSE),MATCH(Z$1,Spring!$1:$1,FALSE))),"")</f>
        <v/>
      </c>
      <c r="AA71" t="str">
        <f>IFERROR(IF(INDEX(Spring!$1:$1048576,MATCH($A71,Spring!$A:$A,FALSE),MATCH(AA$1,Spring!$1:$1,FALSE))="","",INDEX(Spring!$1:$1048576,MATCH($A71,Spring!$A:$A,FALSE),MATCH(AA$1,Spring!$1:$1,FALSE))),"")</f>
        <v/>
      </c>
      <c r="AB71" t="str">
        <f>IFERROR(IF(INDEX(Spring!$1:$1048576,MATCH($A71,Spring!$A:$A,FALSE),MATCH(AB$1,Spring!$1:$1,FALSE))="","",INDEX(Spring!$1:$1048576,MATCH($A71,Spring!$A:$A,FALSE),MATCH(AB$1,Spring!$1:$1,FALSE))),"")</f>
        <v/>
      </c>
      <c r="AC71" t="str">
        <f>IFERROR(IF(INDEX(Spring!$1:$1048576,MATCH($A71,Spring!$A:$A,FALSE),MATCH(AC$1,Spring!$1:$1,FALSE))="","",INDEX(Spring!$1:$1048576,MATCH($A71,Spring!$A:$A,FALSE),MATCH(AC$1,Spring!$1:$1,FALSE))),"")</f>
        <v>1A</v>
      </c>
      <c r="AD71" t="str">
        <f>IFERROR(IF(INDEX(Spring!$1:$1048576,MATCH($A71,Spring!$A:$A,FALSE),MATCH(AD$1,Spring!$1:$1,FALSE))="","",INDEX(Spring!$1:$1048576,MATCH($A71,Spring!$A:$A,FALSE),MATCH(AD$1,Spring!$1:$1,FALSE))),"")</f>
        <v>1A</v>
      </c>
    </row>
    <row r="72" spans="1:30" ht="15.75" thickBot="1" x14ac:dyDescent="0.3">
      <c r="A72" s="48" t="s">
        <v>909</v>
      </c>
      <c r="B72" s="49">
        <v>27</v>
      </c>
      <c r="C72" s="50"/>
      <c r="D72" s="50"/>
      <c r="E72" s="50"/>
      <c r="F72" s="45"/>
      <c r="G72" s="45"/>
      <c r="H72" s="44"/>
      <c r="J72" t="str">
        <f>IFERROR(IF(INDEX(Fall!$1:$1048576,MATCH($A72,Fall!$A:$A,FALSE),MATCH(J$1,Fall!$1:$1,FALSE))="","",INDEX(Fall!$1:$1048576,MATCH($A72,Fall!$A:$A,FALSE),MATCH(J$1,Fall!$1:$1,FALSE))),"")</f>
        <v/>
      </c>
      <c r="K72" t="str">
        <f>IFERROR(IF(INDEX(Fall!$1:$1048576,MATCH($A72,Fall!$A:$A,FALSE),MATCH(K$1,Fall!$1:$1,FALSE))="","",INDEX(Fall!$1:$1048576,MATCH($A72,Fall!$A:$A,FALSE),MATCH(K$1,Fall!$1:$1,FALSE))),"")</f>
        <v/>
      </c>
      <c r="L72" t="str">
        <f>IFERROR(IF(INDEX(Fall!$1:$1048576,MATCH($A72,Fall!$A:$A,FALSE),MATCH(L$1,Fall!$1:$1,FALSE))="","",INDEX(Fall!$1:$1048576,MATCH($A72,Fall!$A:$A,FALSE),MATCH(L$1,Fall!$1:$1,FALSE))),"")</f>
        <v>1A</v>
      </c>
      <c r="M72" t="str">
        <f>IFERROR(IF(INDEX(Fall!$1:$1048576,MATCH($A72,Fall!$A:$A,FALSE),MATCH(M$1,Fall!$1:$1,FALSE))="","",INDEX(Fall!$1:$1048576,MATCH($A72,Fall!$A:$A,FALSE),MATCH(M$1,Fall!$1:$1,FALSE))),"")</f>
        <v/>
      </c>
      <c r="N72" t="str">
        <f>IFERROR(IF(INDEX(Fall!$1:$1048576,MATCH($A72,Fall!$A:$A,FALSE),MATCH(N$1,Fall!$1:$1,FALSE))="","",INDEX(Fall!$1:$1048576,MATCH($A72,Fall!$A:$A,FALSE),MATCH(N$1,Fall!$1:$1,FALSE))),"")</f>
        <v/>
      </c>
      <c r="O72" t="str">
        <f>IFERROR(IF(INDEX(Fall!$1:$1048576,MATCH($A72,Fall!$A:$A,FALSE),MATCH(O$1,Fall!$1:$1,FALSE))="","",INDEX(Fall!$1:$1048576,MATCH($A72,Fall!$A:$A,FALSE),MATCH(O$1,Fall!$1:$1,FALSE))),"")</f>
        <v/>
      </c>
      <c r="P72" t="str">
        <f>IFERROR(IF(INDEX(Fall!$1:$1048576,MATCH($A72,Fall!$A:$A,FALSE),MATCH(P$1,Fall!$1:$1,FALSE))="","",INDEX(Fall!$1:$1048576,MATCH($A72,Fall!$A:$A,FALSE),MATCH(P$1,Fall!$1:$1,FALSE))),"")</f>
        <v/>
      </c>
      <c r="R72" t="str">
        <f>IFERROR(IF(INDEX(Winter!$1:$1048576,MATCH($A72,Winter!$A:$A,FALSE),MATCH(R$1,Winter!$1:$1,FALSE))="","",INDEX(Winter!$1:$1048576,MATCH($A72,Winter!$A:$A,FALSE),MATCH(R$1,Winter!$1:$1,FALSE))),"")</f>
        <v/>
      </c>
      <c r="S72" t="str">
        <f>IFERROR(IF(INDEX(Winter!$1:$1048576,MATCH($A72,Winter!$A:$A,FALSE),MATCH(S$1,Winter!$1:$1,FALSE))="","",INDEX(Winter!$1:$1048576,MATCH($A72,Winter!$A:$A,FALSE),MATCH(S$1,Winter!$1:$1,FALSE))),"")</f>
        <v/>
      </c>
      <c r="T72" t="str">
        <f>IFERROR(IF(INDEX(Winter!$1:$1048576,MATCH($A72,Winter!$A:$A,FALSE),MATCH(T$1,Winter!$1:$1,FALSE))="","",INDEX(Winter!$1:$1048576,MATCH($A72,Winter!$A:$A,FALSE),MATCH(T$1,Winter!$1:$1,FALSE))),"")</f>
        <v/>
      </c>
      <c r="U72" t="str">
        <f>IFERROR(IF(INDEX(Winter!$1:$1048576,MATCH($A72,Winter!$A:$A,FALSE),MATCH(U$1,Winter!$1:$1,FALSE))="","",INDEX(Winter!$1:$1048576,MATCH($A72,Winter!$A:$A,FALSE),MATCH(U$1,Winter!$1:$1,FALSE))),"")</f>
        <v/>
      </c>
      <c r="V72" t="str">
        <f>IFERROR(IF(INDEX(Winter!$1:$1048576,MATCH($A72,Winter!$A:$A,FALSE),MATCH(V$1,Winter!$1:$1,FALSE))="","",INDEX(Winter!$1:$1048576,MATCH($A72,Winter!$A:$A,FALSE),MATCH(V$1,Winter!$1:$1,FALSE))),"")</f>
        <v>1A</v>
      </c>
      <c r="W72" t="str">
        <f>IFERROR(IF(INDEX(Winter!$1:$1048576,MATCH($A72,Winter!$A:$A,FALSE),MATCH(W$1,Winter!$1:$1,FALSE))="","",INDEX(Winter!$1:$1048576,MATCH($A72,Winter!$A:$A,FALSE),MATCH(W$1,Winter!$1:$1,FALSE))),"")</f>
        <v/>
      </c>
      <c r="Y72" t="str">
        <f>IFERROR(IF(INDEX(Spring!$1:$1048576,MATCH($A72,Spring!$A:$A,FALSE),MATCH(Y$1,Spring!$1:$1,FALSE))="","",INDEX(Spring!$1:$1048576,MATCH($A72,Spring!$A:$A,FALSE),MATCH(Y$1,Spring!$1:$1,FALSE))),"")</f>
        <v/>
      </c>
      <c r="Z72" t="str">
        <f>IFERROR(IF(INDEX(Spring!$1:$1048576,MATCH($A72,Spring!$A:$A,FALSE),MATCH(Z$1,Spring!$1:$1,FALSE))="","",INDEX(Spring!$1:$1048576,MATCH($A72,Spring!$A:$A,FALSE),MATCH(Z$1,Spring!$1:$1,FALSE))),"")</f>
        <v/>
      </c>
      <c r="AA72" t="str">
        <f>IFERROR(IF(INDEX(Spring!$1:$1048576,MATCH($A72,Spring!$A:$A,FALSE),MATCH(AA$1,Spring!$1:$1,FALSE))="","",INDEX(Spring!$1:$1048576,MATCH($A72,Spring!$A:$A,FALSE),MATCH(AA$1,Spring!$1:$1,FALSE))),"")</f>
        <v/>
      </c>
      <c r="AB72" t="str">
        <f>IFERROR(IF(INDEX(Spring!$1:$1048576,MATCH($A72,Spring!$A:$A,FALSE),MATCH(AB$1,Spring!$1:$1,FALSE))="","",INDEX(Spring!$1:$1048576,MATCH($A72,Spring!$A:$A,FALSE),MATCH(AB$1,Spring!$1:$1,FALSE))),"")</f>
        <v/>
      </c>
      <c r="AC72" t="str">
        <f>IFERROR(IF(INDEX(Spring!$1:$1048576,MATCH($A72,Spring!$A:$A,FALSE),MATCH(AC$1,Spring!$1:$1,FALSE))="","",INDEX(Spring!$1:$1048576,MATCH($A72,Spring!$A:$A,FALSE),MATCH(AC$1,Spring!$1:$1,FALSE))),"")</f>
        <v/>
      </c>
      <c r="AD72" t="str">
        <f>IFERROR(IF(INDEX(Spring!$1:$1048576,MATCH($A72,Spring!$A:$A,FALSE),MATCH(AD$1,Spring!$1:$1,FALSE))="","",INDEX(Spring!$1:$1048576,MATCH($A72,Spring!$A:$A,FALSE),MATCH(AD$1,Spring!$1:$1,FALSE))),"")</f>
        <v/>
      </c>
    </row>
    <row r="73" spans="1:30" ht="15.75" thickBot="1" x14ac:dyDescent="0.3">
      <c r="A73" s="48" t="s">
        <v>89</v>
      </c>
      <c r="B73" s="49" t="s">
        <v>90</v>
      </c>
      <c r="C73" s="49" t="s">
        <v>997</v>
      </c>
      <c r="D73" s="49">
        <v>5</v>
      </c>
      <c r="E73" s="49">
        <v>13</v>
      </c>
      <c r="F73" s="45"/>
      <c r="G73" s="45"/>
      <c r="H73" s="44"/>
      <c r="J73" t="str">
        <f>IFERROR(IF(INDEX(Fall!$1:$1048576,MATCH($A73,Fall!$A:$A,FALSE),MATCH(J$1,Fall!$1:$1,FALSE))="","",INDEX(Fall!$1:$1048576,MATCH($A73,Fall!$A:$A,FALSE),MATCH(J$1,Fall!$1:$1,FALSE))),"")</f>
        <v/>
      </c>
      <c r="K73" t="str">
        <f>IFERROR(IF(INDEX(Fall!$1:$1048576,MATCH($A73,Fall!$A:$A,FALSE),MATCH(K$1,Fall!$1:$1,FALSE))="","",INDEX(Fall!$1:$1048576,MATCH($A73,Fall!$A:$A,FALSE),MATCH(K$1,Fall!$1:$1,FALSE))),"")</f>
        <v/>
      </c>
      <c r="L73" t="str">
        <f>IFERROR(IF(INDEX(Fall!$1:$1048576,MATCH($A73,Fall!$A:$A,FALSE),MATCH(L$1,Fall!$1:$1,FALSE))="","",INDEX(Fall!$1:$1048576,MATCH($A73,Fall!$A:$A,FALSE),MATCH(L$1,Fall!$1:$1,FALSE))),"")</f>
        <v/>
      </c>
      <c r="M73" t="str">
        <f>IFERROR(IF(INDEX(Fall!$1:$1048576,MATCH($A73,Fall!$A:$A,FALSE),MATCH(M$1,Fall!$1:$1,FALSE))="","",INDEX(Fall!$1:$1048576,MATCH($A73,Fall!$A:$A,FALSE),MATCH(M$1,Fall!$1:$1,FALSE))),"")</f>
        <v/>
      </c>
      <c r="N73" t="str">
        <f>IFERROR(IF(INDEX(Fall!$1:$1048576,MATCH($A73,Fall!$A:$A,FALSE),MATCH(N$1,Fall!$1:$1,FALSE))="","",INDEX(Fall!$1:$1048576,MATCH($A73,Fall!$A:$A,FALSE),MATCH(N$1,Fall!$1:$1,FALSE))),"")</f>
        <v/>
      </c>
      <c r="O73" t="str">
        <f>IFERROR(IF(INDEX(Fall!$1:$1048576,MATCH($A73,Fall!$A:$A,FALSE),MATCH(O$1,Fall!$1:$1,FALSE))="","",INDEX(Fall!$1:$1048576,MATCH($A73,Fall!$A:$A,FALSE),MATCH(O$1,Fall!$1:$1,FALSE))),"")</f>
        <v/>
      </c>
      <c r="P73" t="str">
        <f>IFERROR(IF(INDEX(Fall!$1:$1048576,MATCH($A73,Fall!$A:$A,FALSE),MATCH(P$1,Fall!$1:$1,FALSE))="","",INDEX(Fall!$1:$1048576,MATCH($A73,Fall!$A:$A,FALSE),MATCH(P$1,Fall!$1:$1,FALSE))),"")</f>
        <v/>
      </c>
      <c r="R73" t="str">
        <f>IFERROR(IF(INDEX(Winter!$1:$1048576,MATCH($A73,Winter!$A:$A,FALSE),MATCH(R$1,Winter!$1:$1,FALSE))="","",INDEX(Winter!$1:$1048576,MATCH($A73,Winter!$A:$A,FALSE),MATCH(R$1,Winter!$1:$1,FALSE))),"")</f>
        <v/>
      </c>
      <c r="S73" t="str">
        <f>IFERROR(IF(INDEX(Winter!$1:$1048576,MATCH($A73,Winter!$A:$A,FALSE),MATCH(S$1,Winter!$1:$1,FALSE))="","",INDEX(Winter!$1:$1048576,MATCH($A73,Winter!$A:$A,FALSE),MATCH(S$1,Winter!$1:$1,FALSE))),"")</f>
        <v/>
      </c>
      <c r="T73" t="str">
        <f>IFERROR(IF(INDEX(Winter!$1:$1048576,MATCH($A73,Winter!$A:$A,FALSE),MATCH(T$1,Winter!$1:$1,FALSE))="","",INDEX(Winter!$1:$1048576,MATCH($A73,Winter!$A:$A,FALSE),MATCH(T$1,Winter!$1:$1,FALSE))),"")</f>
        <v/>
      </c>
      <c r="U73" t="str">
        <f>IFERROR(IF(INDEX(Winter!$1:$1048576,MATCH($A73,Winter!$A:$A,FALSE),MATCH(U$1,Winter!$1:$1,FALSE))="","",INDEX(Winter!$1:$1048576,MATCH($A73,Winter!$A:$A,FALSE),MATCH(U$1,Winter!$1:$1,FALSE))),"")</f>
        <v/>
      </c>
      <c r="V73" t="str">
        <f>IFERROR(IF(INDEX(Winter!$1:$1048576,MATCH($A73,Winter!$A:$A,FALSE),MATCH(V$1,Winter!$1:$1,FALSE))="","",INDEX(Winter!$1:$1048576,MATCH($A73,Winter!$A:$A,FALSE),MATCH(V$1,Winter!$1:$1,FALSE))),"")</f>
        <v>1A</v>
      </c>
      <c r="W73" t="str">
        <f>IFERROR(IF(INDEX(Winter!$1:$1048576,MATCH($A73,Winter!$A:$A,FALSE),MATCH(W$1,Winter!$1:$1,FALSE))="","",INDEX(Winter!$1:$1048576,MATCH($A73,Winter!$A:$A,FALSE),MATCH(W$1,Winter!$1:$1,FALSE))),"")</f>
        <v/>
      </c>
      <c r="Y73" t="str">
        <f>IFERROR(IF(INDEX(Spring!$1:$1048576,MATCH($A73,Spring!$A:$A,FALSE),MATCH(Y$1,Spring!$1:$1,FALSE))="","",INDEX(Spring!$1:$1048576,MATCH($A73,Spring!$A:$A,FALSE),MATCH(Y$1,Spring!$1:$1,FALSE))),"")</f>
        <v/>
      </c>
      <c r="Z73" t="str">
        <f>IFERROR(IF(INDEX(Spring!$1:$1048576,MATCH($A73,Spring!$A:$A,FALSE),MATCH(Z$1,Spring!$1:$1,FALSE))="","",INDEX(Spring!$1:$1048576,MATCH($A73,Spring!$A:$A,FALSE),MATCH(Z$1,Spring!$1:$1,FALSE))),"")</f>
        <v/>
      </c>
      <c r="AA73" t="str">
        <f>IFERROR(IF(INDEX(Spring!$1:$1048576,MATCH($A73,Spring!$A:$A,FALSE),MATCH(AA$1,Spring!$1:$1,FALSE))="","",INDEX(Spring!$1:$1048576,MATCH($A73,Spring!$A:$A,FALSE),MATCH(AA$1,Spring!$1:$1,FALSE))),"")</f>
        <v/>
      </c>
      <c r="AB73" t="str">
        <f>IFERROR(IF(INDEX(Spring!$1:$1048576,MATCH($A73,Spring!$A:$A,FALSE),MATCH(AB$1,Spring!$1:$1,FALSE))="","",INDEX(Spring!$1:$1048576,MATCH($A73,Spring!$A:$A,FALSE),MATCH(AB$1,Spring!$1:$1,FALSE))),"")</f>
        <v/>
      </c>
      <c r="AC73" t="str">
        <f>IFERROR(IF(INDEX(Spring!$1:$1048576,MATCH($A73,Spring!$A:$A,FALSE),MATCH(AC$1,Spring!$1:$1,FALSE))="","",INDEX(Spring!$1:$1048576,MATCH($A73,Spring!$A:$A,FALSE),MATCH(AC$1,Spring!$1:$1,FALSE))),"")</f>
        <v>1A</v>
      </c>
      <c r="AD73" t="str">
        <f>IFERROR(IF(INDEX(Spring!$1:$1048576,MATCH($A73,Spring!$A:$A,FALSE),MATCH(AD$1,Spring!$1:$1,FALSE))="","",INDEX(Spring!$1:$1048576,MATCH($A73,Spring!$A:$A,FALSE),MATCH(AD$1,Spring!$1:$1,FALSE))),"")</f>
        <v>1A</v>
      </c>
    </row>
    <row r="74" spans="1:30" ht="15.75" thickBot="1" x14ac:dyDescent="0.3">
      <c r="A74" s="48" t="s">
        <v>91</v>
      </c>
      <c r="B74" s="49">
        <v>160.5</v>
      </c>
      <c r="C74" s="50"/>
      <c r="D74" s="50"/>
      <c r="E74" s="50"/>
      <c r="F74" s="45"/>
      <c r="G74" s="45"/>
      <c r="H74" s="44"/>
      <c r="J74" t="str">
        <f>IFERROR(IF(INDEX(Fall!$1:$1048576,MATCH($A74,Fall!$A:$A,FALSE),MATCH(J$1,Fall!$1:$1,FALSE))="","",INDEX(Fall!$1:$1048576,MATCH($A74,Fall!$A:$A,FALSE),MATCH(J$1,Fall!$1:$1,FALSE))),"")</f>
        <v/>
      </c>
      <c r="K74" t="str">
        <f>IFERROR(IF(INDEX(Fall!$1:$1048576,MATCH($A74,Fall!$A:$A,FALSE),MATCH(K$1,Fall!$1:$1,FALSE))="","",INDEX(Fall!$1:$1048576,MATCH($A74,Fall!$A:$A,FALSE),MATCH(K$1,Fall!$1:$1,FALSE))),"")</f>
        <v/>
      </c>
      <c r="L74" t="str">
        <f>IFERROR(IF(INDEX(Fall!$1:$1048576,MATCH($A74,Fall!$A:$A,FALSE),MATCH(L$1,Fall!$1:$1,FALSE))="","",INDEX(Fall!$1:$1048576,MATCH($A74,Fall!$A:$A,FALSE),MATCH(L$1,Fall!$1:$1,FALSE))),"")</f>
        <v/>
      </c>
      <c r="M74" t="str">
        <f>IFERROR(IF(INDEX(Fall!$1:$1048576,MATCH($A74,Fall!$A:$A,FALSE),MATCH(M$1,Fall!$1:$1,FALSE))="","",INDEX(Fall!$1:$1048576,MATCH($A74,Fall!$A:$A,FALSE),MATCH(M$1,Fall!$1:$1,FALSE))),"")</f>
        <v/>
      </c>
      <c r="N74" t="str">
        <f>IFERROR(IF(INDEX(Fall!$1:$1048576,MATCH($A74,Fall!$A:$A,FALSE),MATCH(N$1,Fall!$1:$1,FALSE))="","",INDEX(Fall!$1:$1048576,MATCH($A74,Fall!$A:$A,FALSE),MATCH(N$1,Fall!$1:$1,FALSE))),"")</f>
        <v/>
      </c>
      <c r="O74" t="str">
        <f>IFERROR(IF(INDEX(Fall!$1:$1048576,MATCH($A74,Fall!$A:$A,FALSE),MATCH(O$1,Fall!$1:$1,FALSE))="","",INDEX(Fall!$1:$1048576,MATCH($A74,Fall!$A:$A,FALSE),MATCH(O$1,Fall!$1:$1,FALSE))),"")</f>
        <v/>
      </c>
      <c r="P74" t="str">
        <f>IFERROR(IF(INDEX(Fall!$1:$1048576,MATCH($A74,Fall!$A:$A,FALSE),MATCH(P$1,Fall!$1:$1,FALSE))="","",INDEX(Fall!$1:$1048576,MATCH($A74,Fall!$A:$A,FALSE),MATCH(P$1,Fall!$1:$1,FALSE))),"")</f>
        <v>2A</v>
      </c>
      <c r="R74" t="str">
        <f>IFERROR(IF(INDEX(Winter!$1:$1048576,MATCH($A74,Winter!$A:$A,FALSE),MATCH(R$1,Winter!$1:$1,FALSE))="","",INDEX(Winter!$1:$1048576,MATCH($A74,Winter!$A:$A,FALSE),MATCH(R$1,Winter!$1:$1,FALSE))),"")</f>
        <v>2A</v>
      </c>
      <c r="S74" t="str">
        <f>IFERROR(IF(INDEX(Winter!$1:$1048576,MATCH($A74,Winter!$A:$A,FALSE),MATCH(S$1,Winter!$1:$1,FALSE))="","",INDEX(Winter!$1:$1048576,MATCH($A74,Winter!$A:$A,FALSE),MATCH(S$1,Winter!$1:$1,FALSE))),"")</f>
        <v/>
      </c>
      <c r="T74" t="str">
        <f>IFERROR(IF(INDEX(Winter!$1:$1048576,MATCH($A74,Winter!$A:$A,FALSE),MATCH(T$1,Winter!$1:$1,FALSE))="","",INDEX(Winter!$1:$1048576,MATCH($A74,Winter!$A:$A,FALSE),MATCH(T$1,Winter!$1:$1,FALSE))),"")</f>
        <v/>
      </c>
      <c r="U74" t="str">
        <f>IFERROR(IF(INDEX(Winter!$1:$1048576,MATCH($A74,Winter!$A:$A,FALSE),MATCH(U$1,Winter!$1:$1,FALSE))="","",INDEX(Winter!$1:$1048576,MATCH($A74,Winter!$A:$A,FALSE),MATCH(U$1,Winter!$1:$1,FALSE))),"")</f>
        <v/>
      </c>
      <c r="V74" t="str">
        <f>IFERROR(IF(INDEX(Winter!$1:$1048576,MATCH($A74,Winter!$A:$A,FALSE),MATCH(V$1,Winter!$1:$1,FALSE))="","",INDEX(Winter!$1:$1048576,MATCH($A74,Winter!$A:$A,FALSE),MATCH(V$1,Winter!$1:$1,FALSE))),"")</f>
        <v>1A</v>
      </c>
      <c r="W74" t="str">
        <f>IFERROR(IF(INDEX(Winter!$1:$1048576,MATCH($A74,Winter!$A:$A,FALSE),MATCH(W$1,Winter!$1:$1,FALSE))="","",INDEX(Winter!$1:$1048576,MATCH($A74,Winter!$A:$A,FALSE),MATCH(W$1,Winter!$1:$1,FALSE))),"")</f>
        <v/>
      </c>
      <c r="Y74" t="str">
        <f>IFERROR(IF(INDEX(Spring!$1:$1048576,MATCH($A74,Spring!$A:$A,FALSE),MATCH(Y$1,Spring!$1:$1,FALSE))="","",INDEX(Spring!$1:$1048576,MATCH($A74,Spring!$A:$A,FALSE),MATCH(Y$1,Spring!$1:$1,FALSE))),"")</f>
        <v>2A</v>
      </c>
      <c r="Z74" t="str">
        <f>IFERROR(IF(INDEX(Spring!$1:$1048576,MATCH($A74,Spring!$A:$A,FALSE),MATCH(Z$1,Spring!$1:$1,FALSE))="","",INDEX(Spring!$1:$1048576,MATCH($A74,Spring!$A:$A,FALSE),MATCH(Z$1,Spring!$1:$1,FALSE))),"")</f>
        <v>2A</v>
      </c>
      <c r="AA74" t="str">
        <f>IFERROR(IF(INDEX(Spring!$1:$1048576,MATCH($A74,Spring!$A:$A,FALSE),MATCH(AA$1,Spring!$1:$1,FALSE))="","",INDEX(Spring!$1:$1048576,MATCH($A74,Spring!$A:$A,FALSE),MATCH(AA$1,Spring!$1:$1,FALSE))),"")</f>
        <v/>
      </c>
      <c r="AB74" t="str">
        <f>IFERROR(IF(INDEX(Spring!$1:$1048576,MATCH($A74,Spring!$A:$A,FALSE),MATCH(AB$1,Spring!$1:$1,FALSE))="","",INDEX(Spring!$1:$1048576,MATCH($A74,Spring!$A:$A,FALSE),MATCH(AB$1,Spring!$1:$1,FALSE))),"")</f>
        <v/>
      </c>
      <c r="AC74" t="str">
        <f>IFERROR(IF(INDEX(Spring!$1:$1048576,MATCH($A74,Spring!$A:$A,FALSE),MATCH(AC$1,Spring!$1:$1,FALSE))="","",INDEX(Spring!$1:$1048576,MATCH($A74,Spring!$A:$A,FALSE),MATCH(AC$1,Spring!$1:$1,FALSE))),"")</f>
        <v/>
      </c>
      <c r="AD74" t="str">
        <f>IFERROR(IF(INDEX(Spring!$1:$1048576,MATCH($A74,Spring!$A:$A,FALSE),MATCH(AD$1,Spring!$1:$1,FALSE))="","",INDEX(Spring!$1:$1048576,MATCH($A74,Spring!$A:$A,FALSE),MATCH(AD$1,Spring!$1:$1,FALSE))),"")</f>
        <v/>
      </c>
    </row>
    <row r="75" spans="1:30" ht="15.75" thickBot="1" x14ac:dyDescent="0.3">
      <c r="A75" s="48" t="s">
        <v>92</v>
      </c>
      <c r="B75" s="49">
        <v>1914</v>
      </c>
      <c r="C75" s="50"/>
      <c r="D75" s="50"/>
      <c r="E75" s="50"/>
      <c r="F75" s="45"/>
      <c r="G75" s="45"/>
      <c r="H75" s="44"/>
      <c r="J75" t="str">
        <f>IFERROR(IF(INDEX(Fall!$1:$1048576,MATCH($A75,Fall!$A:$A,FALSE),MATCH(J$1,Fall!$1:$1,FALSE))="","",INDEX(Fall!$1:$1048576,MATCH($A75,Fall!$A:$A,FALSE),MATCH(J$1,Fall!$1:$1,FALSE))),"")</f>
        <v>3A</v>
      </c>
      <c r="K75" t="str">
        <f>IFERROR(IF(INDEX(Fall!$1:$1048576,MATCH($A75,Fall!$A:$A,FALSE),MATCH(K$1,Fall!$1:$1,FALSE))="","",INDEX(Fall!$1:$1048576,MATCH($A75,Fall!$A:$A,FALSE),MATCH(K$1,Fall!$1:$1,FALSE))),"")</f>
        <v>3A</v>
      </c>
      <c r="L75" t="str">
        <f>IFERROR(IF(INDEX(Fall!$1:$1048576,MATCH($A75,Fall!$A:$A,FALSE),MATCH(L$1,Fall!$1:$1,FALSE))="","",INDEX(Fall!$1:$1048576,MATCH($A75,Fall!$A:$A,FALSE),MATCH(L$1,Fall!$1:$1,FALSE))),"")</f>
        <v>3A</v>
      </c>
      <c r="M75" t="str">
        <f>IFERROR(IF(INDEX(Fall!$1:$1048576,MATCH($A75,Fall!$A:$A,FALSE),MATCH(M$1,Fall!$1:$1,FALSE))="","",INDEX(Fall!$1:$1048576,MATCH($A75,Fall!$A:$A,FALSE),MATCH(M$1,Fall!$1:$1,FALSE))),"")</f>
        <v>2A</v>
      </c>
      <c r="N75" t="str">
        <f>IFERROR(IF(INDEX(Fall!$1:$1048576,MATCH($A75,Fall!$A:$A,FALSE),MATCH(N$1,Fall!$1:$1,FALSE))="","",INDEX(Fall!$1:$1048576,MATCH($A75,Fall!$A:$A,FALSE),MATCH(N$1,Fall!$1:$1,FALSE))),"")</f>
        <v>3A</v>
      </c>
      <c r="O75" t="str">
        <f>IFERROR(IF(INDEX(Fall!$1:$1048576,MATCH($A75,Fall!$A:$A,FALSE),MATCH(O$1,Fall!$1:$1,FALSE))="","",INDEX(Fall!$1:$1048576,MATCH($A75,Fall!$A:$A,FALSE),MATCH(O$1,Fall!$1:$1,FALSE))),"")</f>
        <v>2A</v>
      </c>
      <c r="P75" t="str">
        <f>IFERROR(IF(INDEX(Fall!$1:$1048576,MATCH($A75,Fall!$A:$A,FALSE),MATCH(P$1,Fall!$1:$1,FALSE))="","",INDEX(Fall!$1:$1048576,MATCH($A75,Fall!$A:$A,FALSE),MATCH(P$1,Fall!$1:$1,FALSE))),"")</f>
        <v>4A</v>
      </c>
      <c r="R75" t="str">
        <f>IFERROR(IF(INDEX(Winter!$1:$1048576,MATCH($A75,Winter!$A:$A,FALSE),MATCH(R$1,Winter!$1:$1,FALSE))="","",INDEX(Winter!$1:$1048576,MATCH($A75,Winter!$A:$A,FALSE),MATCH(R$1,Winter!$1:$1,FALSE))),"")</f>
        <v>4A</v>
      </c>
      <c r="S75" t="str">
        <f>IFERROR(IF(INDEX(Winter!$1:$1048576,MATCH($A75,Winter!$A:$A,FALSE),MATCH(S$1,Winter!$1:$1,FALSE))="","",INDEX(Winter!$1:$1048576,MATCH($A75,Winter!$A:$A,FALSE),MATCH(S$1,Winter!$1:$1,FALSE))),"")</f>
        <v>4A</v>
      </c>
      <c r="T75" t="str">
        <f>IFERROR(IF(INDEX(Winter!$1:$1048576,MATCH($A75,Winter!$A:$A,FALSE),MATCH(T$1,Winter!$1:$1,FALSE))="","",INDEX(Winter!$1:$1048576,MATCH($A75,Winter!$A:$A,FALSE),MATCH(T$1,Winter!$1:$1,FALSE))),"")</f>
        <v>C</v>
      </c>
      <c r="U75" t="str">
        <f>IFERROR(IF(INDEX(Winter!$1:$1048576,MATCH($A75,Winter!$A:$A,FALSE),MATCH(U$1,Winter!$1:$1,FALSE))="","",INDEX(Winter!$1:$1048576,MATCH($A75,Winter!$A:$A,FALSE),MATCH(U$1,Winter!$1:$1,FALSE))),"")</f>
        <v>3A</v>
      </c>
      <c r="V75" t="str">
        <f>IFERROR(IF(INDEX(Winter!$1:$1048576,MATCH($A75,Winter!$A:$A,FALSE),MATCH(V$1,Winter!$1:$1,FALSE))="","",INDEX(Winter!$1:$1048576,MATCH($A75,Winter!$A:$A,FALSE),MATCH(V$1,Winter!$1:$1,FALSE))),"")</f>
        <v>2A</v>
      </c>
      <c r="W75" t="str">
        <f>IFERROR(IF(INDEX(Winter!$1:$1048576,MATCH($A75,Winter!$A:$A,FALSE),MATCH(W$1,Winter!$1:$1,FALSE))="","",INDEX(Winter!$1:$1048576,MATCH($A75,Winter!$A:$A,FALSE),MATCH(W$1,Winter!$1:$1,FALSE))),"")</f>
        <v>3A</v>
      </c>
      <c r="Y75" t="str">
        <f>IFERROR(IF(INDEX(Spring!$1:$1048576,MATCH($A75,Spring!$A:$A,FALSE),MATCH(Y$1,Spring!$1:$1,FALSE))="","",INDEX(Spring!$1:$1048576,MATCH($A75,Spring!$A:$A,FALSE),MATCH(Y$1,Spring!$1:$1,FALSE))),"")</f>
        <v>4A</v>
      </c>
      <c r="Z75" t="str">
        <f>IFERROR(IF(INDEX(Spring!$1:$1048576,MATCH($A75,Spring!$A:$A,FALSE),MATCH(Z$1,Spring!$1:$1,FALSE))="","",INDEX(Spring!$1:$1048576,MATCH($A75,Spring!$A:$A,FALSE),MATCH(Z$1,Spring!$1:$1,FALSE))),"")</f>
        <v>4A</v>
      </c>
      <c r="AA75" t="str">
        <f>IFERROR(IF(INDEX(Spring!$1:$1048576,MATCH($A75,Spring!$A:$A,FALSE),MATCH(AA$1,Spring!$1:$1,FALSE))="","",INDEX(Spring!$1:$1048576,MATCH($A75,Spring!$A:$A,FALSE),MATCH(AA$1,Spring!$1:$1,FALSE))),"")</f>
        <v>3A</v>
      </c>
      <c r="AB75" t="str">
        <f>IFERROR(IF(INDEX(Spring!$1:$1048576,MATCH($A75,Spring!$A:$A,FALSE),MATCH(AB$1,Spring!$1:$1,FALSE))="","",INDEX(Spring!$1:$1048576,MATCH($A75,Spring!$A:$A,FALSE),MATCH(AB$1,Spring!$1:$1,FALSE))),"")</f>
        <v>2A</v>
      </c>
      <c r="AC75" t="str">
        <f>IFERROR(IF(INDEX(Spring!$1:$1048576,MATCH($A75,Spring!$A:$A,FALSE),MATCH(AC$1,Spring!$1:$1,FALSE))="","",INDEX(Spring!$1:$1048576,MATCH($A75,Spring!$A:$A,FALSE),MATCH(AC$1,Spring!$1:$1,FALSE))),"")</f>
        <v>3A</v>
      </c>
      <c r="AD75" t="str">
        <f>IFERROR(IF(INDEX(Spring!$1:$1048576,MATCH($A75,Spring!$A:$A,FALSE),MATCH(AD$1,Spring!$1:$1,FALSE))="","",INDEX(Spring!$1:$1048576,MATCH($A75,Spring!$A:$A,FALSE),MATCH(AD$1,Spring!$1:$1,FALSE))),"")</f>
        <v>3A</v>
      </c>
    </row>
    <row r="76" spans="1:30" ht="15.75" thickBot="1" x14ac:dyDescent="0.3">
      <c r="A76" s="48" t="s">
        <v>93</v>
      </c>
      <c r="B76" s="49">
        <v>166</v>
      </c>
      <c r="C76" s="50"/>
      <c r="D76" s="50"/>
      <c r="E76" s="50"/>
      <c r="F76" s="45"/>
      <c r="G76" s="45"/>
      <c r="H76" s="44"/>
      <c r="J76" t="str">
        <f>IFERROR(IF(INDEX(Fall!$1:$1048576,MATCH($A76,Fall!$A:$A,FALSE),MATCH(J$1,Fall!$1:$1,FALSE))="","",INDEX(Fall!$1:$1048576,MATCH($A76,Fall!$A:$A,FALSE),MATCH(J$1,Fall!$1:$1,FALSE))),"")</f>
        <v/>
      </c>
      <c r="K76" t="str">
        <f>IFERROR(IF(INDEX(Fall!$1:$1048576,MATCH($A76,Fall!$A:$A,FALSE),MATCH(K$1,Fall!$1:$1,FALSE))="","",INDEX(Fall!$1:$1048576,MATCH($A76,Fall!$A:$A,FALSE),MATCH(K$1,Fall!$1:$1,FALSE))),"")</f>
        <v/>
      </c>
      <c r="L76" t="str">
        <f>IFERROR(IF(INDEX(Fall!$1:$1048576,MATCH($A76,Fall!$A:$A,FALSE),MATCH(L$1,Fall!$1:$1,FALSE))="","",INDEX(Fall!$1:$1048576,MATCH($A76,Fall!$A:$A,FALSE),MATCH(L$1,Fall!$1:$1,FALSE))),"")</f>
        <v/>
      </c>
      <c r="M76" t="str">
        <f>IFERROR(IF(INDEX(Fall!$1:$1048576,MATCH($A76,Fall!$A:$A,FALSE),MATCH(M$1,Fall!$1:$1,FALSE))="","",INDEX(Fall!$1:$1048576,MATCH($A76,Fall!$A:$A,FALSE),MATCH(M$1,Fall!$1:$1,FALSE))),"")</f>
        <v/>
      </c>
      <c r="N76" t="str">
        <f>IFERROR(IF(INDEX(Fall!$1:$1048576,MATCH($A76,Fall!$A:$A,FALSE),MATCH(N$1,Fall!$1:$1,FALSE))="","",INDEX(Fall!$1:$1048576,MATCH($A76,Fall!$A:$A,FALSE),MATCH(N$1,Fall!$1:$1,FALSE))),"")</f>
        <v/>
      </c>
      <c r="O76" t="str">
        <f>IFERROR(IF(INDEX(Fall!$1:$1048576,MATCH($A76,Fall!$A:$A,FALSE),MATCH(O$1,Fall!$1:$1,FALSE))="","",INDEX(Fall!$1:$1048576,MATCH($A76,Fall!$A:$A,FALSE),MATCH(O$1,Fall!$1:$1,FALSE))),"")</f>
        <v>1A</v>
      </c>
      <c r="P76" t="str">
        <f>IFERROR(IF(INDEX(Fall!$1:$1048576,MATCH($A76,Fall!$A:$A,FALSE),MATCH(P$1,Fall!$1:$1,FALSE))="","",INDEX(Fall!$1:$1048576,MATCH($A76,Fall!$A:$A,FALSE),MATCH(P$1,Fall!$1:$1,FALSE))),"")</f>
        <v>1A</v>
      </c>
      <c r="R76" t="str">
        <f>IFERROR(IF(INDEX(Winter!$1:$1048576,MATCH($A76,Winter!$A:$A,FALSE),MATCH(R$1,Winter!$1:$1,FALSE))="","",INDEX(Winter!$1:$1048576,MATCH($A76,Winter!$A:$A,FALSE),MATCH(R$1,Winter!$1:$1,FALSE))),"")</f>
        <v>1A</v>
      </c>
      <c r="S76" t="str">
        <f>IFERROR(IF(INDEX(Winter!$1:$1048576,MATCH($A76,Winter!$A:$A,FALSE),MATCH(S$1,Winter!$1:$1,FALSE))="","",INDEX(Winter!$1:$1048576,MATCH($A76,Winter!$A:$A,FALSE),MATCH(S$1,Winter!$1:$1,FALSE))),"")</f>
        <v>1A</v>
      </c>
      <c r="T76" t="str">
        <f>IFERROR(IF(INDEX(Winter!$1:$1048576,MATCH($A76,Winter!$A:$A,FALSE),MATCH(T$1,Winter!$1:$1,FALSE))="","",INDEX(Winter!$1:$1048576,MATCH($A76,Winter!$A:$A,FALSE),MATCH(T$1,Winter!$1:$1,FALSE))),"")</f>
        <v/>
      </c>
      <c r="U76" t="str">
        <f>IFERROR(IF(INDEX(Winter!$1:$1048576,MATCH($A76,Winter!$A:$A,FALSE),MATCH(U$1,Winter!$1:$1,FALSE))="","",INDEX(Winter!$1:$1048576,MATCH($A76,Winter!$A:$A,FALSE),MATCH(U$1,Winter!$1:$1,FALSE))),"")</f>
        <v/>
      </c>
      <c r="V76" t="str">
        <f>IFERROR(IF(INDEX(Winter!$1:$1048576,MATCH($A76,Winter!$A:$A,FALSE),MATCH(V$1,Winter!$1:$1,FALSE))="","",INDEX(Winter!$1:$1048576,MATCH($A76,Winter!$A:$A,FALSE),MATCH(V$1,Winter!$1:$1,FALSE))),"")</f>
        <v>1A</v>
      </c>
      <c r="W76" t="str">
        <f>IFERROR(IF(INDEX(Winter!$1:$1048576,MATCH($A76,Winter!$A:$A,FALSE),MATCH(W$1,Winter!$1:$1,FALSE))="","",INDEX(Winter!$1:$1048576,MATCH($A76,Winter!$A:$A,FALSE),MATCH(W$1,Winter!$1:$1,FALSE))),"")</f>
        <v/>
      </c>
      <c r="Y76" t="str">
        <f>IFERROR(IF(INDEX(Spring!$1:$1048576,MATCH($A76,Spring!$A:$A,FALSE),MATCH(Y$1,Spring!$1:$1,FALSE))="","",INDEX(Spring!$1:$1048576,MATCH($A76,Spring!$A:$A,FALSE),MATCH(Y$1,Spring!$1:$1,FALSE))),"")</f>
        <v>1A</v>
      </c>
      <c r="Z76" t="str">
        <f>IFERROR(IF(INDEX(Spring!$1:$1048576,MATCH($A76,Spring!$A:$A,FALSE),MATCH(Z$1,Spring!$1:$1,FALSE))="","",INDEX(Spring!$1:$1048576,MATCH($A76,Spring!$A:$A,FALSE),MATCH(Z$1,Spring!$1:$1,FALSE))),"")</f>
        <v/>
      </c>
      <c r="AA76" t="str">
        <f>IFERROR(IF(INDEX(Spring!$1:$1048576,MATCH($A76,Spring!$A:$A,FALSE),MATCH(AA$1,Spring!$1:$1,FALSE))="","",INDEX(Spring!$1:$1048576,MATCH($A76,Spring!$A:$A,FALSE),MATCH(AA$1,Spring!$1:$1,FALSE))),"")</f>
        <v/>
      </c>
      <c r="AB76" t="str">
        <f>IFERROR(IF(INDEX(Spring!$1:$1048576,MATCH($A76,Spring!$A:$A,FALSE),MATCH(AB$1,Spring!$1:$1,FALSE))="","",INDEX(Spring!$1:$1048576,MATCH($A76,Spring!$A:$A,FALSE),MATCH(AB$1,Spring!$1:$1,FALSE))),"")</f>
        <v>1A</v>
      </c>
      <c r="AC76" t="str">
        <f>IFERROR(IF(INDEX(Spring!$1:$1048576,MATCH($A76,Spring!$A:$A,FALSE),MATCH(AC$1,Spring!$1:$1,FALSE))="","",INDEX(Spring!$1:$1048576,MATCH($A76,Spring!$A:$A,FALSE),MATCH(AC$1,Spring!$1:$1,FALSE))),"")</f>
        <v>1A</v>
      </c>
      <c r="AD76" t="str">
        <f>IFERROR(IF(INDEX(Spring!$1:$1048576,MATCH($A76,Spring!$A:$A,FALSE),MATCH(AD$1,Spring!$1:$1,FALSE))="","",INDEX(Spring!$1:$1048576,MATCH($A76,Spring!$A:$A,FALSE),MATCH(AD$1,Spring!$1:$1,FALSE))),"")</f>
        <v>1A</v>
      </c>
    </row>
    <row r="77" spans="1:30" ht="15.75" thickBot="1" x14ac:dyDescent="0.3">
      <c r="A77" s="48" t="s">
        <v>94</v>
      </c>
      <c r="B77" s="49">
        <v>1830</v>
      </c>
      <c r="C77" s="50"/>
      <c r="D77" s="50"/>
      <c r="E77" s="50"/>
      <c r="F77" s="45"/>
      <c r="G77" s="45"/>
      <c r="H77" s="44"/>
      <c r="J77" t="str">
        <f>IFERROR(IF(INDEX(Fall!$1:$1048576,MATCH($A77,Fall!$A:$A,FALSE),MATCH(J$1,Fall!$1:$1,FALSE))="","",INDEX(Fall!$1:$1048576,MATCH($A77,Fall!$A:$A,FALSE),MATCH(J$1,Fall!$1:$1,FALSE))),"")</f>
        <v>3A</v>
      </c>
      <c r="K77" t="str">
        <f>IFERROR(IF(INDEX(Fall!$1:$1048576,MATCH($A77,Fall!$A:$A,FALSE),MATCH(K$1,Fall!$1:$1,FALSE))="","",INDEX(Fall!$1:$1048576,MATCH($A77,Fall!$A:$A,FALSE),MATCH(K$1,Fall!$1:$1,FALSE))),"")</f>
        <v>3A</v>
      </c>
      <c r="L77" t="str">
        <f>IFERROR(IF(INDEX(Fall!$1:$1048576,MATCH($A77,Fall!$A:$A,FALSE),MATCH(L$1,Fall!$1:$1,FALSE))="","",INDEX(Fall!$1:$1048576,MATCH($A77,Fall!$A:$A,FALSE),MATCH(L$1,Fall!$1:$1,FALSE))),"")</f>
        <v>3A</v>
      </c>
      <c r="M77" t="str">
        <f>IFERROR(IF(INDEX(Fall!$1:$1048576,MATCH($A77,Fall!$A:$A,FALSE),MATCH(M$1,Fall!$1:$1,FALSE))="","",INDEX(Fall!$1:$1048576,MATCH($A77,Fall!$A:$A,FALSE),MATCH(M$1,Fall!$1:$1,FALSE))),"")</f>
        <v>2A</v>
      </c>
      <c r="N77" t="str">
        <f>IFERROR(IF(INDEX(Fall!$1:$1048576,MATCH($A77,Fall!$A:$A,FALSE),MATCH(N$1,Fall!$1:$1,FALSE))="","",INDEX(Fall!$1:$1048576,MATCH($A77,Fall!$A:$A,FALSE),MATCH(N$1,Fall!$1:$1,FALSE))),"")</f>
        <v>3A</v>
      </c>
      <c r="O77" t="str">
        <f>IFERROR(IF(INDEX(Fall!$1:$1048576,MATCH($A77,Fall!$A:$A,FALSE),MATCH(O$1,Fall!$1:$1,FALSE))="","",INDEX(Fall!$1:$1048576,MATCH($A77,Fall!$A:$A,FALSE),MATCH(O$1,Fall!$1:$1,FALSE))),"")</f>
        <v>2A</v>
      </c>
      <c r="P77" t="str">
        <f>IFERROR(IF(INDEX(Fall!$1:$1048576,MATCH($A77,Fall!$A:$A,FALSE),MATCH(P$1,Fall!$1:$1,FALSE))="","",INDEX(Fall!$1:$1048576,MATCH($A77,Fall!$A:$A,FALSE),MATCH(P$1,Fall!$1:$1,FALSE))),"")</f>
        <v>4A</v>
      </c>
      <c r="R77" t="str">
        <f>IFERROR(IF(INDEX(Winter!$1:$1048576,MATCH($A77,Winter!$A:$A,FALSE),MATCH(R$1,Winter!$1:$1,FALSE))="","",INDEX(Winter!$1:$1048576,MATCH($A77,Winter!$A:$A,FALSE),MATCH(R$1,Winter!$1:$1,FALSE))),"")</f>
        <v>4A</v>
      </c>
      <c r="S77" t="str">
        <f>IFERROR(IF(INDEX(Winter!$1:$1048576,MATCH($A77,Winter!$A:$A,FALSE),MATCH(S$1,Winter!$1:$1,FALSE))="","",INDEX(Winter!$1:$1048576,MATCH($A77,Winter!$A:$A,FALSE),MATCH(S$1,Winter!$1:$1,FALSE))),"")</f>
        <v>4A</v>
      </c>
      <c r="T77" t="str">
        <f>IFERROR(IF(INDEX(Winter!$1:$1048576,MATCH($A77,Winter!$A:$A,FALSE),MATCH(T$1,Winter!$1:$1,FALSE))="","",INDEX(Winter!$1:$1048576,MATCH($A77,Winter!$A:$A,FALSE),MATCH(T$1,Winter!$1:$1,FALSE))),"")</f>
        <v>C</v>
      </c>
      <c r="U77" t="str">
        <f>IFERROR(IF(INDEX(Winter!$1:$1048576,MATCH($A77,Winter!$A:$A,FALSE),MATCH(U$1,Winter!$1:$1,FALSE))="","",INDEX(Winter!$1:$1048576,MATCH($A77,Winter!$A:$A,FALSE),MATCH(U$1,Winter!$1:$1,FALSE))),"")</f>
        <v>2A</v>
      </c>
      <c r="V77" t="str">
        <f>IFERROR(IF(INDEX(Winter!$1:$1048576,MATCH($A77,Winter!$A:$A,FALSE),MATCH(V$1,Winter!$1:$1,FALSE))="","",INDEX(Winter!$1:$1048576,MATCH($A77,Winter!$A:$A,FALSE),MATCH(V$1,Winter!$1:$1,FALSE))),"")</f>
        <v>2A</v>
      </c>
      <c r="W77" t="str">
        <f>IFERROR(IF(INDEX(Winter!$1:$1048576,MATCH($A77,Winter!$A:$A,FALSE),MATCH(W$1,Winter!$1:$1,FALSE))="","",INDEX(Winter!$1:$1048576,MATCH($A77,Winter!$A:$A,FALSE),MATCH(W$1,Winter!$1:$1,FALSE))),"")</f>
        <v>3A</v>
      </c>
      <c r="Y77" t="str">
        <f>IFERROR(IF(INDEX(Spring!$1:$1048576,MATCH($A77,Spring!$A:$A,FALSE),MATCH(Y$1,Spring!$1:$1,FALSE))="","",INDEX(Spring!$1:$1048576,MATCH($A77,Spring!$A:$A,FALSE),MATCH(Y$1,Spring!$1:$1,FALSE))),"")</f>
        <v>4A</v>
      </c>
      <c r="Z77" t="str">
        <f>IFERROR(IF(INDEX(Spring!$1:$1048576,MATCH($A77,Spring!$A:$A,FALSE),MATCH(Z$1,Spring!$1:$1,FALSE))="","",INDEX(Spring!$1:$1048576,MATCH($A77,Spring!$A:$A,FALSE),MATCH(Z$1,Spring!$1:$1,FALSE))),"")</f>
        <v>4A</v>
      </c>
      <c r="AA77" t="str">
        <f>IFERROR(IF(INDEX(Spring!$1:$1048576,MATCH($A77,Spring!$A:$A,FALSE),MATCH(AA$1,Spring!$1:$1,FALSE))="","",INDEX(Spring!$1:$1048576,MATCH($A77,Spring!$A:$A,FALSE),MATCH(AA$1,Spring!$1:$1,FALSE))),"")</f>
        <v>3A</v>
      </c>
      <c r="AB77" t="str">
        <f>IFERROR(IF(INDEX(Spring!$1:$1048576,MATCH($A77,Spring!$A:$A,FALSE),MATCH(AB$1,Spring!$1:$1,FALSE))="","",INDEX(Spring!$1:$1048576,MATCH($A77,Spring!$A:$A,FALSE),MATCH(AB$1,Spring!$1:$1,FALSE))),"")</f>
        <v>2A</v>
      </c>
      <c r="AC77" t="str">
        <f>IFERROR(IF(INDEX(Spring!$1:$1048576,MATCH($A77,Spring!$A:$A,FALSE),MATCH(AC$1,Spring!$1:$1,FALSE))="","",INDEX(Spring!$1:$1048576,MATCH($A77,Spring!$A:$A,FALSE),MATCH(AC$1,Spring!$1:$1,FALSE))),"")</f>
        <v>3A</v>
      </c>
      <c r="AD77" t="str">
        <f>IFERROR(IF(INDEX(Spring!$1:$1048576,MATCH($A77,Spring!$A:$A,FALSE),MATCH(AD$1,Spring!$1:$1,FALSE))="","",INDEX(Spring!$1:$1048576,MATCH($A77,Spring!$A:$A,FALSE),MATCH(AD$1,Spring!$1:$1,FALSE))),"")</f>
        <v>3A</v>
      </c>
    </row>
    <row r="78" spans="1:30" ht="23.25" thickBot="1" x14ac:dyDescent="0.3">
      <c r="A78" s="48" t="s">
        <v>95</v>
      </c>
      <c r="B78" s="49" t="s">
        <v>1002</v>
      </c>
      <c r="C78" s="49" t="s">
        <v>997</v>
      </c>
      <c r="D78" s="49">
        <v>2</v>
      </c>
      <c r="E78" s="49">
        <v>6</v>
      </c>
      <c r="F78" s="45"/>
      <c r="G78" s="45"/>
      <c r="H78" s="44"/>
      <c r="J78" t="str">
        <f>IFERROR(IF(INDEX(Fall!$1:$1048576,MATCH($A78,Fall!$A:$A,FALSE),MATCH(J$1,Fall!$1:$1,FALSE))="","",INDEX(Fall!$1:$1048576,MATCH($A78,Fall!$A:$A,FALSE),MATCH(J$1,Fall!$1:$1,FALSE))),"")</f>
        <v>3A</v>
      </c>
      <c r="K78" t="str">
        <f>IFERROR(IF(INDEX(Fall!$1:$1048576,MATCH($A78,Fall!$A:$A,FALSE),MATCH(K$1,Fall!$1:$1,FALSE))="","",INDEX(Fall!$1:$1048576,MATCH($A78,Fall!$A:$A,FALSE),MATCH(K$1,Fall!$1:$1,FALSE))),"")</f>
        <v>3A</v>
      </c>
      <c r="L78" t="str">
        <f>IFERROR(IF(INDEX(Fall!$1:$1048576,MATCH($A78,Fall!$A:$A,FALSE),MATCH(L$1,Fall!$1:$1,FALSE))="","",INDEX(Fall!$1:$1048576,MATCH($A78,Fall!$A:$A,FALSE),MATCH(L$1,Fall!$1:$1,FALSE))),"")</f>
        <v>2A</v>
      </c>
      <c r="M78" t="str">
        <f>IFERROR(IF(INDEX(Fall!$1:$1048576,MATCH($A78,Fall!$A:$A,FALSE),MATCH(M$1,Fall!$1:$1,FALSE))="","",INDEX(Fall!$1:$1048576,MATCH($A78,Fall!$A:$A,FALSE),MATCH(M$1,Fall!$1:$1,FALSE))),"")</f>
        <v>2A</v>
      </c>
      <c r="N78" t="str">
        <f>IFERROR(IF(INDEX(Fall!$1:$1048576,MATCH($A78,Fall!$A:$A,FALSE),MATCH(N$1,Fall!$1:$1,FALSE))="","",INDEX(Fall!$1:$1048576,MATCH($A78,Fall!$A:$A,FALSE),MATCH(N$1,Fall!$1:$1,FALSE))),"")</f>
        <v>3A</v>
      </c>
      <c r="O78" t="str">
        <f>IFERROR(IF(INDEX(Fall!$1:$1048576,MATCH($A78,Fall!$A:$A,FALSE),MATCH(O$1,Fall!$1:$1,FALSE))="","",INDEX(Fall!$1:$1048576,MATCH($A78,Fall!$A:$A,FALSE),MATCH(O$1,Fall!$1:$1,FALSE))),"")</f>
        <v>1A</v>
      </c>
      <c r="P78" t="str">
        <f>IFERROR(IF(INDEX(Fall!$1:$1048576,MATCH($A78,Fall!$A:$A,FALSE),MATCH(P$1,Fall!$1:$1,FALSE))="","",INDEX(Fall!$1:$1048576,MATCH($A78,Fall!$A:$A,FALSE),MATCH(P$1,Fall!$1:$1,FALSE))),"")</f>
        <v>4A</v>
      </c>
      <c r="R78" t="str">
        <f>IFERROR(IF(INDEX(Winter!$1:$1048576,MATCH($A78,Winter!$A:$A,FALSE),MATCH(R$1,Winter!$1:$1,FALSE))="","",INDEX(Winter!$1:$1048576,MATCH($A78,Winter!$A:$A,FALSE),MATCH(R$1,Winter!$1:$1,FALSE))),"")</f>
        <v>4A</v>
      </c>
      <c r="S78" t="str">
        <f>IFERROR(IF(INDEX(Winter!$1:$1048576,MATCH($A78,Winter!$A:$A,FALSE),MATCH(S$1,Winter!$1:$1,FALSE))="","",INDEX(Winter!$1:$1048576,MATCH($A78,Winter!$A:$A,FALSE),MATCH(S$1,Winter!$1:$1,FALSE))),"")</f>
        <v>4A</v>
      </c>
      <c r="T78" t="str">
        <f>IFERROR(IF(INDEX(Winter!$1:$1048576,MATCH($A78,Winter!$A:$A,FALSE),MATCH(T$1,Winter!$1:$1,FALSE))="","",INDEX(Winter!$1:$1048576,MATCH($A78,Winter!$A:$A,FALSE),MATCH(T$1,Winter!$1:$1,FALSE))),"")</f>
        <v>2A</v>
      </c>
      <c r="U78" t="str">
        <f>IFERROR(IF(INDEX(Winter!$1:$1048576,MATCH($A78,Winter!$A:$A,FALSE),MATCH(U$1,Winter!$1:$1,FALSE))="","",INDEX(Winter!$1:$1048576,MATCH($A78,Winter!$A:$A,FALSE),MATCH(U$1,Winter!$1:$1,FALSE))),"")</f>
        <v>2A</v>
      </c>
      <c r="V78" t="str">
        <f>IFERROR(IF(INDEX(Winter!$1:$1048576,MATCH($A78,Winter!$A:$A,FALSE),MATCH(V$1,Winter!$1:$1,FALSE))="","",INDEX(Winter!$1:$1048576,MATCH($A78,Winter!$A:$A,FALSE),MATCH(V$1,Winter!$1:$1,FALSE))),"")</f>
        <v>2A</v>
      </c>
      <c r="W78" t="str">
        <f>IFERROR(IF(INDEX(Winter!$1:$1048576,MATCH($A78,Winter!$A:$A,FALSE),MATCH(W$1,Winter!$1:$1,FALSE))="","",INDEX(Winter!$1:$1048576,MATCH($A78,Winter!$A:$A,FALSE),MATCH(W$1,Winter!$1:$1,FALSE))),"")</f>
        <v>3A</v>
      </c>
      <c r="Y78" t="str">
        <f>IFERROR(IF(INDEX(Spring!$1:$1048576,MATCH($A78,Spring!$A:$A,FALSE),MATCH(Y$1,Spring!$1:$1,FALSE))="","",INDEX(Spring!$1:$1048576,MATCH($A78,Spring!$A:$A,FALSE),MATCH(Y$1,Spring!$1:$1,FALSE))),"")</f>
        <v>4A</v>
      </c>
      <c r="Z78" t="str">
        <f>IFERROR(IF(INDEX(Spring!$1:$1048576,MATCH($A78,Spring!$A:$A,FALSE),MATCH(Z$1,Spring!$1:$1,FALSE))="","",INDEX(Spring!$1:$1048576,MATCH($A78,Spring!$A:$A,FALSE),MATCH(Z$1,Spring!$1:$1,FALSE))),"")</f>
        <v>4A</v>
      </c>
      <c r="AA78" t="str">
        <f>IFERROR(IF(INDEX(Spring!$1:$1048576,MATCH($A78,Spring!$A:$A,FALSE),MATCH(AA$1,Spring!$1:$1,FALSE))="","",INDEX(Spring!$1:$1048576,MATCH($A78,Spring!$A:$A,FALSE),MATCH(AA$1,Spring!$1:$1,FALSE))),"")</f>
        <v>3A</v>
      </c>
      <c r="AB78" t="str">
        <f>IFERROR(IF(INDEX(Spring!$1:$1048576,MATCH($A78,Spring!$A:$A,FALSE),MATCH(AB$1,Spring!$1:$1,FALSE))="","",INDEX(Spring!$1:$1048576,MATCH($A78,Spring!$A:$A,FALSE),MATCH(AB$1,Spring!$1:$1,FALSE))),"")</f>
        <v>1A</v>
      </c>
      <c r="AC78" t="str">
        <f>IFERROR(IF(INDEX(Spring!$1:$1048576,MATCH($A78,Spring!$A:$A,FALSE),MATCH(AC$1,Spring!$1:$1,FALSE))="","",INDEX(Spring!$1:$1048576,MATCH($A78,Spring!$A:$A,FALSE),MATCH(AC$1,Spring!$1:$1,FALSE))),"")</f>
        <v>3A</v>
      </c>
      <c r="AD78" t="str">
        <f>IFERROR(IF(INDEX(Spring!$1:$1048576,MATCH($A78,Spring!$A:$A,FALSE),MATCH(AD$1,Spring!$1:$1,FALSE))="","",INDEX(Spring!$1:$1048576,MATCH($A78,Spring!$A:$A,FALSE),MATCH(AD$1,Spring!$1:$1,FALSE))),"")</f>
        <v>2A</v>
      </c>
    </row>
    <row r="79" spans="1:30" ht="15.75" thickBot="1" x14ac:dyDescent="0.3">
      <c r="A79" s="48" t="s">
        <v>97</v>
      </c>
      <c r="B79" s="49">
        <v>1585</v>
      </c>
      <c r="C79" s="50"/>
      <c r="D79" s="50"/>
      <c r="E79" s="50"/>
      <c r="F79" s="45"/>
      <c r="G79" s="45"/>
      <c r="H79" s="44"/>
      <c r="J79" t="str">
        <f>IFERROR(IF(INDEX(Fall!$1:$1048576,MATCH($A79,Fall!$A:$A,FALSE),MATCH(J$1,Fall!$1:$1,FALSE))="","",INDEX(Fall!$1:$1048576,MATCH($A79,Fall!$A:$A,FALSE),MATCH(J$1,Fall!$1:$1,FALSE))),"")</f>
        <v>3A</v>
      </c>
      <c r="K79" t="str">
        <f>IFERROR(IF(INDEX(Fall!$1:$1048576,MATCH($A79,Fall!$A:$A,FALSE),MATCH(K$1,Fall!$1:$1,FALSE))="","",INDEX(Fall!$1:$1048576,MATCH($A79,Fall!$A:$A,FALSE),MATCH(K$1,Fall!$1:$1,FALSE))),"")</f>
        <v>3A</v>
      </c>
      <c r="L79" t="str">
        <f>IFERROR(IF(INDEX(Fall!$1:$1048576,MATCH($A79,Fall!$A:$A,FALSE),MATCH(L$1,Fall!$1:$1,FALSE))="","",INDEX(Fall!$1:$1048576,MATCH($A79,Fall!$A:$A,FALSE),MATCH(L$1,Fall!$1:$1,FALSE))),"")</f>
        <v>3A</v>
      </c>
      <c r="M79" t="str">
        <f>IFERROR(IF(INDEX(Fall!$1:$1048576,MATCH($A79,Fall!$A:$A,FALSE),MATCH(M$1,Fall!$1:$1,FALSE))="","",INDEX(Fall!$1:$1048576,MATCH($A79,Fall!$A:$A,FALSE),MATCH(M$1,Fall!$1:$1,FALSE))),"")</f>
        <v>2A</v>
      </c>
      <c r="N79" t="str">
        <f>IFERROR(IF(INDEX(Fall!$1:$1048576,MATCH($A79,Fall!$A:$A,FALSE),MATCH(N$1,Fall!$1:$1,FALSE))="","",INDEX(Fall!$1:$1048576,MATCH($A79,Fall!$A:$A,FALSE),MATCH(N$1,Fall!$1:$1,FALSE))),"")</f>
        <v>2A</v>
      </c>
      <c r="O79" t="str">
        <f>IFERROR(IF(INDEX(Fall!$1:$1048576,MATCH($A79,Fall!$A:$A,FALSE),MATCH(O$1,Fall!$1:$1,FALSE))="","",INDEX(Fall!$1:$1048576,MATCH($A79,Fall!$A:$A,FALSE),MATCH(O$1,Fall!$1:$1,FALSE))),"")</f>
        <v/>
      </c>
      <c r="P79" t="str">
        <f>IFERROR(IF(INDEX(Fall!$1:$1048576,MATCH($A79,Fall!$A:$A,FALSE),MATCH(P$1,Fall!$1:$1,FALSE))="","",INDEX(Fall!$1:$1048576,MATCH($A79,Fall!$A:$A,FALSE),MATCH(P$1,Fall!$1:$1,FALSE))),"")</f>
        <v>3A</v>
      </c>
      <c r="R79" t="str">
        <f>IFERROR(IF(INDEX(Winter!$1:$1048576,MATCH($A79,Winter!$A:$A,FALSE),MATCH(R$1,Winter!$1:$1,FALSE))="","",INDEX(Winter!$1:$1048576,MATCH($A79,Winter!$A:$A,FALSE),MATCH(R$1,Winter!$1:$1,FALSE))),"")</f>
        <v>3A</v>
      </c>
      <c r="S79" t="str">
        <f>IFERROR(IF(INDEX(Winter!$1:$1048576,MATCH($A79,Winter!$A:$A,FALSE),MATCH(S$1,Winter!$1:$1,FALSE))="","",INDEX(Winter!$1:$1048576,MATCH($A79,Winter!$A:$A,FALSE),MATCH(S$1,Winter!$1:$1,FALSE))),"")</f>
        <v>3A</v>
      </c>
      <c r="T79" t="str">
        <f>IFERROR(IF(INDEX(Winter!$1:$1048576,MATCH($A79,Winter!$A:$A,FALSE),MATCH(T$1,Winter!$1:$1,FALSE))="","",INDEX(Winter!$1:$1048576,MATCH($A79,Winter!$A:$A,FALSE),MATCH(T$1,Winter!$1:$1,FALSE))),"")</f>
        <v>2A</v>
      </c>
      <c r="U79" t="str">
        <f>IFERROR(IF(INDEX(Winter!$1:$1048576,MATCH($A79,Winter!$A:$A,FALSE),MATCH(U$1,Winter!$1:$1,FALSE))="","",INDEX(Winter!$1:$1048576,MATCH($A79,Winter!$A:$A,FALSE),MATCH(U$1,Winter!$1:$1,FALSE))),"")</f>
        <v>2A</v>
      </c>
      <c r="V79" t="str">
        <f>IFERROR(IF(INDEX(Winter!$1:$1048576,MATCH($A79,Winter!$A:$A,FALSE),MATCH(V$1,Winter!$1:$1,FALSE))="","",INDEX(Winter!$1:$1048576,MATCH($A79,Winter!$A:$A,FALSE),MATCH(V$1,Winter!$1:$1,FALSE))),"")</f>
        <v>2A</v>
      </c>
      <c r="W79" t="str">
        <f>IFERROR(IF(INDEX(Winter!$1:$1048576,MATCH($A79,Winter!$A:$A,FALSE),MATCH(W$1,Winter!$1:$1,FALSE))="","",INDEX(Winter!$1:$1048576,MATCH($A79,Winter!$A:$A,FALSE),MATCH(W$1,Winter!$1:$1,FALSE))),"")</f>
        <v>2A</v>
      </c>
      <c r="Y79" t="str">
        <f>IFERROR(IF(INDEX(Spring!$1:$1048576,MATCH($A79,Spring!$A:$A,FALSE),MATCH(Y$1,Spring!$1:$1,FALSE))="","",INDEX(Spring!$1:$1048576,MATCH($A79,Spring!$A:$A,FALSE),MATCH(Y$1,Spring!$1:$1,FALSE))),"")</f>
        <v>3A</v>
      </c>
      <c r="Z79" t="str">
        <f>IFERROR(IF(INDEX(Spring!$1:$1048576,MATCH($A79,Spring!$A:$A,FALSE),MATCH(Z$1,Spring!$1:$1,FALSE))="","",INDEX(Spring!$1:$1048576,MATCH($A79,Spring!$A:$A,FALSE),MATCH(Z$1,Spring!$1:$1,FALSE))),"")</f>
        <v>3A</v>
      </c>
      <c r="AA79" t="str">
        <f>IFERROR(IF(INDEX(Spring!$1:$1048576,MATCH($A79,Spring!$A:$A,FALSE),MATCH(AA$1,Spring!$1:$1,FALSE))="","",INDEX(Spring!$1:$1048576,MATCH($A79,Spring!$A:$A,FALSE),MATCH(AA$1,Spring!$1:$1,FALSE))),"")</f>
        <v>2A</v>
      </c>
      <c r="AB79" t="str">
        <f>IFERROR(IF(INDEX(Spring!$1:$1048576,MATCH($A79,Spring!$A:$A,FALSE),MATCH(AB$1,Spring!$1:$1,FALSE))="","",INDEX(Spring!$1:$1048576,MATCH($A79,Spring!$A:$A,FALSE),MATCH(AB$1,Spring!$1:$1,FALSE))),"")</f>
        <v/>
      </c>
      <c r="AC79" t="str">
        <f>IFERROR(IF(INDEX(Spring!$1:$1048576,MATCH($A79,Spring!$A:$A,FALSE),MATCH(AC$1,Spring!$1:$1,FALSE))="","",INDEX(Spring!$1:$1048576,MATCH($A79,Spring!$A:$A,FALSE),MATCH(AC$1,Spring!$1:$1,FALSE))),"")</f>
        <v>3A</v>
      </c>
      <c r="AD79" t="str">
        <f>IFERROR(IF(INDEX(Spring!$1:$1048576,MATCH($A79,Spring!$A:$A,FALSE),MATCH(AD$1,Spring!$1:$1,FALSE))="","",INDEX(Spring!$1:$1048576,MATCH($A79,Spring!$A:$A,FALSE),MATCH(AD$1,Spring!$1:$1,FALSE))),"")</f>
        <v>3A</v>
      </c>
    </row>
    <row r="80" spans="1:30" ht="15.75" thickBot="1" x14ac:dyDescent="0.3">
      <c r="A80" s="48" t="s">
        <v>98</v>
      </c>
      <c r="B80" s="49">
        <v>160</v>
      </c>
      <c r="C80" s="50"/>
      <c r="D80" s="50"/>
      <c r="E80" s="50"/>
      <c r="F80" s="45"/>
      <c r="G80" s="45"/>
      <c r="H80" s="44"/>
      <c r="J80" t="str">
        <f>IFERROR(IF(INDEX(Fall!$1:$1048576,MATCH($A80,Fall!$A:$A,FALSE),MATCH(J$1,Fall!$1:$1,FALSE))="","",INDEX(Fall!$1:$1048576,MATCH($A80,Fall!$A:$A,FALSE),MATCH(J$1,Fall!$1:$1,FALSE))),"")</f>
        <v>1A</v>
      </c>
      <c r="K80" t="str">
        <f>IFERROR(IF(INDEX(Fall!$1:$1048576,MATCH($A80,Fall!$A:$A,FALSE),MATCH(K$1,Fall!$1:$1,FALSE))="","",INDEX(Fall!$1:$1048576,MATCH($A80,Fall!$A:$A,FALSE),MATCH(K$1,Fall!$1:$1,FALSE))),"")</f>
        <v>1A</v>
      </c>
      <c r="L80" t="str">
        <f>IFERROR(IF(INDEX(Fall!$1:$1048576,MATCH($A80,Fall!$A:$A,FALSE),MATCH(L$1,Fall!$1:$1,FALSE))="","",INDEX(Fall!$1:$1048576,MATCH($A80,Fall!$A:$A,FALSE),MATCH(L$1,Fall!$1:$1,FALSE))),"")</f>
        <v/>
      </c>
      <c r="M80" t="str">
        <f>IFERROR(IF(INDEX(Fall!$1:$1048576,MATCH($A80,Fall!$A:$A,FALSE),MATCH(M$1,Fall!$1:$1,FALSE))="","",INDEX(Fall!$1:$1048576,MATCH($A80,Fall!$A:$A,FALSE),MATCH(M$1,Fall!$1:$1,FALSE))),"")</f>
        <v/>
      </c>
      <c r="N80" t="str">
        <f>IFERROR(IF(INDEX(Fall!$1:$1048576,MATCH($A80,Fall!$A:$A,FALSE),MATCH(N$1,Fall!$1:$1,FALSE))="","",INDEX(Fall!$1:$1048576,MATCH($A80,Fall!$A:$A,FALSE),MATCH(N$1,Fall!$1:$1,FALSE))),"")</f>
        <v/>
      </c>
      <c r="O80" t="str">
        <f>IFERROR(IF(INDEX(Fall!$1:$1048576,MATCH($A80,Fall!$A:$A,FALSE),MATCH(O$1,Fall!$1:$1,FALSE))="","",INDEX(Fall!$1:$1048576,MATCH($A80,Fall!$A:$A,FALSE),MATCH(O$1,Fall!$1:$1,FALSE))),"")</f>
        <v/>
      </c>
      <c r="P80" t="str">
        <f>IFERROR(IF(INDEX(Fall!$1:$1048576,MATCH($A80,Fall!$A:$A,FALSE),MATCH(P$1,Fall!$1:$1,FALSE))="","",INDEX(Fall!$1:$1048576,MATCH($A80,Fall!$A:$A,FALSE),MATCH(P$1,Fall!$1:$1,FALSE))),"")</f>
        <v>1A</v>
      </c>
      <c r="R80" t="str">
        <f>IFERROR(IF(INDEX(Winter!$1:$1048576,MATCH($A80,Winter!$A:$A,FALSE),MATCH(R$1,Winter!$1:$1,FALSE))="","",INDEX(Winter!$1:$1048576,MATCH($A80,Winter!$A:$A,FALSE),MATCH(R$1,Winter!$1:$1,FALSE))),"")</f>
        <v>1A</v>
      </c>
      <c r="S80" t="str">
        <f>IFERROR(IF(INDEX(Winter!$1:$1048576,MATCH($A80,Winter!$A:$A,FALSE),MATCH(S$1,Winter!$1:$1,FALSE))="","",INDEX(Winter!$1:$1048576,MATCH($A80,Winter!$A:$A,FALSE),MATCH(S$1,Winter!$1:$1,FALSE))),"")</f>
        <v>1A</v>
      </c>
      <c r="T80" t="str">
        <f>IFERROR(IF(INDEX(Winter!$1:$1048576,MATCH($A80,Winter!$A:$A,FALSE),MATCH(T$1,Winter!$1:$1,FALSE))="","",INDEX(Winter!$1:$1048576,MATCH($A80,Winter!$A:$A,FALSE),MATCH(T$1,Winter!$1:$1,FALSE))),"")</f>
        <v/>
      </c>
      <c r="U80" t="str">
        <f>IFERROR(IF(INDEX(Winter!$1:$1048576,MATCH($A80,Winter!$A:$A,FALSE),MATCH(U$1,Winter!$1:$1,FALSE))="","",INDEX(Winter!$1:$1048576,MATCH($A80,Winter!$A:$A,FALSE),MATCH(U$1,Winter!$1:$1,FALSE))),"")</f>
        <v/>
      </c>
      <c r="V80" t="str">
        <f>IFERROR(IF(INDEX(Winter!$1:$1048576,MATCH($A80,Winter!$A:$A,FALSE),MATCH(V$1,Winter!$1:$1,FALSE))="","",INDEX(Winter!$1:$1048576,MATCH($A80,Winter!$A:$A,FALSE),MATCH(V$1,Winter!$1:$1,FALSE))),"")</f>
        <v>1A</v>
      </c>
      <c r="W80" t="str">
        <f>IFERROR(IF(INDEX(Winter!$1:$1048576,MATCH($A80,Winter!$A:$A,FALSE),MATCH(W$1,Winter!$1:$1,FALSE))="","",INDEX(Winter!$1:$1048576,MATCH($A80,Winter!$A:$A,FALSE),MATCH(W$1,Winter!$1:$1,FALSE))),"")</f>
        <v/>
      </c>
      <c r="Y80" t="str">
        <f>IFERROR(IF(INDEX(Spring!$1:$1048576,MATCH($A80,Spring!$A:$A,FALSE),MATCH(Y$1,Spring!$1:$1,FALSE))="","",INDEX(Spring!$1:$1048576,MATCH($A80,Spring!$A:$A,FALSE),MATCH(Y$1,Spring!$1:$1,FALSE))),"")</f>
        <v>1A</v>
      </c>
      <c r="Z80" t="str">
        <f>IFERROR(IF(INDEX(Spring!$1:$1048576,MATCH($A80,Spring!$A:$A,FALSE),MATCH(Z$1,Spring!$1:$1,FALSE))="","",INDEX(Spring!$1:$1048576,MATCH($A80,Spring!$A:$A,FALSE),MATCH(Z$1,Spring!$1:$1,FALSE))),"")</f>
        <v>1A</v>
      </c>
      <c r="AA80" t="str">
        <f>IFERROR(IF(INDEX(Spring!$1:$1048576,MATCH($A80,Spring!$A:$A,FALSE),MATCH(AA$1,Spring!$1:$1,FALSE))="","",INDEX(Spring!$1:$1048576,MATCH($A80,Spring!$A:$A,FALSE),MATCH(AA$1,Spring!$1:$1,FALSE))),"")</f>
        <v/>
      </c>
      <c r="AB80" t="str">
        <f>IFERROR(IF(INDEX(Spring!$1:$1048576,MATCH($A80,Spring!$A:$A,FALSE),MATCH(AB$1,Spring!$1:$1,FALSE))="","",INDEX(Spring!$1:$1048576,MATCH($A80,Spring!$A:$A,FALSE),MATCH(AB$1,Spring!$1:$1,FALSE))),"")</f>
        <v/>
      </c>
      <c r="AC80" t="str">
        <f>IFERROR(IF(INDEX(Spring!$1:$1048576,MATCH($A80,Spring!$A:$A,FALSE),MATCH(AC$1,Spring!$1:$1,FALSE))="","",INDEX(Spring!$1:$1048576,MATCH($A80,Spring!$A:$A,FALSE),MATCH(AC$1,Spring!$1:$1,FALSE))),"")</f>
        <v>1A</v>
      </c>
      <c r="AD80" t="str">
        <f>IFERROR(IF(INDEX(Spring!$1:$1048576,MATCH($A80,Spring!$A:$A,FALSE),MATCH(AD$1,Spring!$1:$1,FALSE))="","",INDEX(Spring!$1:$1048576,MATCH($A80,Spring!$A:$A,FALSE),MATCH(AD$1,Spring!$1:$1,FALSE))),"")</f>
        <v>1A</v>
      </c>
    </row>
    <row r="81" spans="1:30" ht="15.75" thickBot="1" x14ac:dyDescent="0.3">
      <c r="A81" s="48" t="s">
        <v>99</v>
      </c>
      <c r="B81" s="49">
        <v>465</v>
      </c>
      <c r="C81" s="50"/>
      <c r="D81" s="50"/>
      <c r="E81" s="50"/>
      <c r="F81" s="45"/>
      <c r="G81" s="45"/>
      <c r="H81" s="44"/>
      <c r="J81" t="str">
        <f>IFERROR(IF(INDEX(Fall!$1:$1048576,MATCH($A81,Fall!$A:$A,FALSE),MATCH(J$1,Fall!$1:$1,FALSE))="","",INDEX(Fall!$1:$1048576,MATCH($A81,Fall!$A:$A,FALSE),MATCH(J$1,Fall!$1:$1,FALSE))),"")</f>
        <v>1A</v>
      </c>
      <c r="K81" t="str">
        <f>IFERROR(IF(INDEX(Fall!$1:$1048576,MATCH($A81,Fall!$A:$A,FALSE),MATCH(K$1,Fall!$1:$1,FALSE))="","",INDEX(Fall!$1:$1048576,MATCH($A81,Fall!$A:$A,FALSE),MATCH(K$1,Fall!$1:$1,FALSE))),"")</f>
        <v>1A</v>
      </c>
      <c r="L81" t="str">
        <f>IFERROR(IF(INDEX(Fall!$1:$1048576,MATCH($A81,Fall!$A:$A,FALSE),MATCH(L$1,Fall!$1:$1,FALSE))="","",INDEX(Fall!$1:$1048576,MATCH($A81,Fall!$A:$A,FALSE),MATCH(L$1,Fall!$1:$1,FALSE))),"")</f>
        <v>1A</v>
      </c>
      <c r="M81" t="str">
        <f>IFERROR(IF(INDEX(Fall!$1:$1048576,MATCH($A81,Fall!$A:$A,FALSE),MATCH(M$1,Fall!$1:$1,FALSE))="","",INDEX(Fall!$1:$1048576,MATCH($A81,Fall!$A:$A,FALSE),MATCH(M$1,Fall!$1:$1,FALSE))),"")</f>
        <v>1A</v>
      </c>
      <c r="N81" t="str">
        <f>IFERROR(IF(INDEX(Fall!$1:$1048576,MATCH($A81,Fall!$A:$A,FALSE),MATCH(N$1,Fall!$1:$1,FALSE))="","",INDEX(Fall!$1:$1048576,MATCH($A81,Fall!$A:$A,FALSE),MATCH(N$1,Fall!$1:$1,FALSE))),"")</f>
        <v>1A</v>
      </c>
      <c r="O81" t="str">
        <f>IFERROR(IF(INDEX(Fall!$1:$1048576,MATCH($A81,Fall!$A:$A,FALSE),MATCH(O$1,Fall!$1:$1,FALSE))="","",INDEX(Fall!$1:$1048576,MATCH($A81,Fall!$A:$A,FALSE),MATCH(O$1,Fall!$1:$1,FALSE))),"")</f>
        <v/>
      </c>
      <c r="P81" t="str">
        <f>IFERROR(IF(INDEX(Fall!$1:$1048576,MATCH($A81,Fall!$A:$A,FALSE),MATCH(P$1,Fall!$1:$1,FALSE))="","",INDEX(Fall!$1:$1048576,MATCH($A81,Fall!$A:$A,FALSE),MATCH(P$1,Fall!$1:$1,FALSE))),"")</f>
        <v>2A</v>
      </c>
      <c r="R81" t="str">
        <f>IFERROR(IF(INDEX(Winter!$1:$1048576,MATCH($A81,Winter!$A:$A,FALSE),MATCH(R$1,Winter!$1:$1,FALSE))="","",INDEX(Winter!$1:$1048576,MATCH($A81,Winter!$A:$A,FALSE),MATCH(R$1,Winter!$1:$1,FALSE))),"")</f>
        <v>2A</v>
      </c>
      <c r="S81" t="str">
        <f>IFERROR(IF(INDEX(Winter!$1:$1048576,MATCH($A81,Winter!$A:$A,FALSE),MATCH(S$1,Winter!$1:$1,FALSE))="","",INDEX(Winter!$1:$1048576,MATCH($A81,Winter!$A:$A,FALSE),MATCH(S$1,Winter!$1:$1,FALSE))),"")</f>
        <v>2A</v>
      </c>
      <c r="T81" t="str">
        <f>IFERROR(IF(INDEX(Winter!$1:$1048576,MATCH($A81,Winter!$A:$A,FALSE),MATCH(T$1,Winter!$1:$1,FALSE))="","",INDEX(Winter!$1:$1048576,MATCH($A81,Winter!$A:$A,FALSE),MATCH(T$1,Winter!$1:$1,FALSE))),"")</f>
        <v>1A</v>
      </c>
      <c r="U81" t="str">
        <f>IFERROR(IF(INDEX(Winter!$1:$1048576,MATCH($A81,Winter!$A:$A,FALSE),MATCH(U$1,Winter!$1:$1,FALSE))="","",INDEX(Winter!$1:$1048576,MATCH($A81,Winter!$A:$A,FALSE),MATCH(U$1,Winter!$1:$1,FALSE))),"")</f>
        <v/>
      </c>
      <c r="V81" t="str">
        <f>IFERROR(IF(INDEX(Winter!$1:$1048576,MATCH($A81,Winter!$A:$A,FALSE),MATCH(V$1,Winter!$1:$1,FALSE))="","",INDEX(Winter!$1:$1048576,MATCH($A81,Winter!$A:$A,FALSE),MATCH(V$1,Winter!$1:$1,FALSE))),"")</f>
        <v>2A</v>
      </c>
      <c r="W81" t="str">
        <f>IFERROR(IF(INDEX(Winter!$1:$1048576,MATCH($A81,Winter!$A:$A,FALSE),MATCH(W$1,Winter!$1:$1,FALSE))="","",INDEX(Winter!$1:$1048576,MATCH($A81,Winter!$A:$A,FALSE),MATCH(W$1,Winter!$1:$1,FALSE))),"")</f>
        <v>1A</v>
      </c>
      <c r="Y81" t="str">
        <f>IFERROR(IF(INDEX(Spring!$1:$1048576,MATCH($A81,Spring!$A:$A,FALSE),MATCH(Y$1,Spring!$1:$1,FALSE))="","",INDEX(Spring!$1:$1048576,MATCH($A81,Spring!$A:$A,FALSE),MATCH(Y$1,Spring!$1:$1,FALSE))),"")</f>
        <v>2A</v>
      </c>
      <c r="Z81" t="str">
        <f>IFERROR(IF(INDEX(Spring!$1:$1048576,MATCH($A81,Spring!$A:$A,FALSE),MATCH(Z$1,Spring!$1:$1,FALSE))="","",INDEX(Spring!$1:$1048576,MATCH($A81,Spring!$A:$A,FALSE),MATCH(Z$1,Spring!$1:$1,FALSE))),"")</f>
        <v>2A</v>
      </c>
      <c r="AA81" t="str">
        <f>IFERROR(IF(INDEX(Spring!$1:$1048576,MATCH($A81,Spring!$A:$A,FALSE),MATCH(AA$1,Spring!$1:$1,FALSE))="","",INDEX(Spring!$1:$1048576,MATCH($A81,Spring!$A:$A,FALSE),MATCH(AA$1,Spring!$1:$1,FALSE))),"")</f>
        <v>1A</v>
      </c>
      <c r="AB81" t="str">
        <f>IFERROR(IF(INDEX(Spring!$1:$1048576,MATCH($A81,Spring!$A:$A,FALSE),MATCH(AB$1,Spring!$1:$1,FALSE))="","",INDEX(Spring!$1:$1048576,MATCH($A81,Spring!$A:$A,FALSE),MATCH(AB$1,Spring!$1:$1,FALSE))),"")</f>
        <v/>
      </c>
      <c r="AC81" t="str">
        <f>IFERROR(IF(INDEX(Spring!$1:$1048576,MATCH($A81,Spring!$A:$A,FALSE),MATCH(AC$1,Spring!$1:$1,FALSE))="","",INDEX(Spring!$1:$1048576,MATCH($A81,Spring!$A:$A,FALSE),MATCH(AC$1,Spring!$1:$1,FALSE))),"")</f>
        <v>2A</v>
      </c>
      <c r="AD81" t="str">
        <f>IFERROR(IF(INDEX(Spring!$1:$1048576,MATCH($A81,Spring!$A:$A,FALSE),MATCH(AD$1,Spring!$1:$1,FALSE))="","",INDEX(Spring!$1:$1048576,MATCH($A81,Spring!$A:$A,FALSE),MATCH(AD$1,Spring!$1:$1,FALSE))),"")</f>
        <v>2A</v>
      </c>
    </row>
    <row r="82" spans="1:30" ht="15.75" thickBot="1" x14ac:dyDescent="0.3">
      <c r="A82" s="48" t="s">
        <v>100</v>
      </c>
      <c r="B82" s="49">
        <v>764</v>
      </c>
      <c r="C82" s="50"/>
      <c r="D82" s="50"/>
      <c r="E82" s="50"/>
      <c r="F82" s="45"/>
      <c r="G82" s="45"/>
      <c r="H82" s="44"/>
      <c r="J82" t="str">
        <f>IFERROR(IF(INDEX(Fall!$1:$1048576,MATCH($A82,Fall!$A:$A,FALSE),MATCH(J$1,Fall!$1:$1,FALSE))="","",INDEX(Fall!$1:$1048576,MATCH($A82,Fall!$A:$A,FALSE),MATCH(J$1,Fall!$1:$1,FALSE))),"")</f>
        <v>2A</v>
      </c>
      <c r="K82" t="str">
        <f>IFERROR(IF(INDEX(Fall!$1:$1048576,MATCH($A82,Fall!$A:$A,FALSE),MATCH(K$1,Fall!$1:$1,FALSE))="","",INDEX(Fall!$1:$1048576,MATCH($A82,Fall!$A:$A,FALSE),MATCH(K$1,Fall!$1:$1,FALSE))),"")</f>
        <v>2A</v>
      </c>
      <c r="L82" t="str">
        <f>IFERROR(IF(INDEX(Fall!$1:$1048576,MATCH($A82,Fall!$A:$A,FALSE),MATCH(L$1,Fall!$1:$1,FALSE))="","",INDEX(Fall!$1:$1048576,MATCH($A82,Fall!$A:$A,FALSE),MATCH(L$1,Fall!$1:$1,FALSE))),"")</f>
        <v/>
      </c>
      <c r="M82" t="str">
        <f>IFERROR(IF(INDEX(Fall!$1:$1048576,MATCH($A82,Fall!$A:$A,FALSE),MATCH(M$1,Fall!$1:$1,FALSE))="","",INDEX(Fall!$1:$1048576,MATCH($A82,Fall!$A:$A,FALSE),MATCH(M$1,Fall!$1:$1,FALSE))),"")</f>
        <v/>
      </c>
      <c r="N82" t="str">
        <f>IFERROR(IF(INDEX(Fall!$1:$1048576,MATCH($A82,Fall!$A:$A,FALSE),MATCH(N$1,Fall!$1:$1,FALSE))="","",INDEX(Fall!$1:$1048576,MATCH($A82,Fall!$A:$A,FALSE),MATCH(N$1,Fall!$1:$1,FALSE))),"")</f>
        <v/>
      </c>
      <c r="O82" t="str">
        <f>IFERROR(IF(INDEX(Fall!$1:$1048576,MATCH($A82,Fall!$A:$A,FALSE),MATCH(O$1,Fall!$1:$1,FALSE))="","",INDEX(Fall!$1:$1048576,MATCH($A82,Fall!$A:$A,FALSE),MATCH(O$1,Fall!$1:$1,FALSE))),"")</f>
        <v/>
      </c>
      <c r="P82" t="str">
        <f>IFERROR(IF(INDEX(Fall!$1:$1048576,MATCH($A82,Fall!$A:$A,FALSE),MATCH(P$1,Fall!$1:$1,FALSE))="","",INDEX(Fall!$1:$1048576,MATCH($A82,Fall!$A:$A,FALSE),MATCH(P$1,Fall!$1:$1,FALSE))),"")</f>
        <v>3A</v>
      </c>
      <c r="R82" t="str">
        <f>IFERROR(IF(INDEX(Winter!$1:$1048576,MATCH($A82,Winter!$A:$A,FALSE),MATCH(R$1,Winter!$1:$1,FALSE))="","",INDEX(Winter!$1:$1048576,MATCH($A82,Winter!$A:$A,FALSE),MATCH(R$1,Winter!$1:$1,FALSE))),"")</f>
        <v>3A</v>
      </c>
      <c r="S82" t="str">
        <f>IFERROR(IF(INDEX(Winter!$1:$1048576,MATCH($A82,Winter!$A:$A,FALSE),MATCH(S$1,Winter!$1:$1,FALSE))="","",INDEX(Winter!$1:$1048576,MATCH($A82,Winter!$A:$A,FALSE),MATCH(S$1,Winter!$1:$1,FALSE))),"")</f>
        <v>3A</v>
      </c>
      <c r="T82" t="str">
        <f>IFERROR(IF(INDEX(Winter!$1:$1048576,MATCH($A82,Winter!$A:$A,FALSE),MATCH(T$1,Winter!$1:$1,FALSE))="","",INDEX(Winter!$1:$1048576,MATCH($A82,Winter!$A:$A,FALSE),MATCH(T$1,Winter!$1:$1,FALSE))),"")</f>
        <v/>
      </c>
      <c r="U82" t="str">
        <f>IFERROR(IF(INDEX(Winter!$1:$1048576,MATCH($A82,Winter!$A:$A,FALSE),MATCH(U$1,Winter!$1:$1,FALSE))="","",INDEX(Winter!$1:$1048576,MATCH($A82,Winter!$A:$A,FALSE),MATCH(U$1,Winter!$1:$1,FALSE))),"")</f>
        <v>1A</v>
      </c>
      <c r="V82" t="str">
        <f>IFERROR(IF(INDEX(Winter!$1:$1048576,MATCH($A82,Winter!$A:$A,FALSE),MATCH(V$1,Winter!$1:$1,FALSE))="","",INDEX(Winter!$1:$1048576,MATCH($A82,Winter!$A:$A,FALSE),MATCH(V$1,Winter!$1:$1,FALSE))),"")</f>
        <v/>
      </c>
      <c r="W82" t="str">
        <f>IFERROR(IF(INDEX(Winter!$1:$1048576,MATCH($A82,Winter!$A:$A,FALSE),MATCH(W$1,Winter!$1:$1,FALSE))="","",INDEX(Winter!$1:$1048576,MATCH($A82,Winter!$A:$A,FALSE),MATCH(W$1,Winter!$1:$1,FALSE))),"")</f>
        <v>2A</v>
      </c>
      <c r="Y82" t="str">
        <f>IFERROR(IF(INDEX(Spring!$1:$1048576,MATCH($A82,Spring!$A:$A,FALSE),MATCH(Y$1,Spring!$1:$1,FALSE))="","",INDEX(Spring!$1:$1048576,MATCH($A82,Spring!$A:$A,FALSE),MATCH(Y$1,Spring!$1:$1,FALSE))),"")</f>
        <v>3A</v>
      </c>
      <c r="Z82" t="str">
        <f>IFERROR(IF(INDEX(Spring!$1:$1048576,MATCH($A82,Spring!$A:$A,FALSE),MATCH(Z$1,Spring!$1:$1,FALSE))="","",INDEX(Spring!$1:$1048576,MATCH($A82,Spring!$A:$A,FALSE),MATCH(Z$1,Spring!$1:$1,FALSE))),"")</f>
        <v>3A</v>
      </c>
      <c r="AA82" t="str">
        <f>IFERROR(IF(INDEX(Spring!$1:$1048576,MATCH($A82,Spring!$A:$A,FALSE),MATCH(AA$1,Spring!$1:$1,FALSE))="","",INDEX(Spring!$1:$1048576,MATCH($A82,Spring!$A:$A,FALSE),MATCH(AA$1,Spring!$1:$1,FALSE))),"")</f>
        <v/>
      </c>
      <c r="AB82" t="str">
        <f>IFERROR(IF(INDEX(Spring!$1:$1048576,MATCH($A82,Spring!$A:$A,FALSE),MATCH(AB$1,Spring!$1:$1,FALSE))="","",INDEX(Spring!$1:$1048576,MATCH($A82,Spring!$A:$A,FALSE),MATCH(AB$1,Spring!$1:$1,FALSE))),"")</f>
        <v/>
      </c>
      <c r="AC82" t="str">
        <f>IFERROR(IF(INDEX(Spring!$1:$1048576,MATCH($A82,Spring!$A:$A,FALSE),MATCH(AC$1,Spring!$1:$1,FALSE))="","",INDEX(Spring!$1:$1048576,MATCH($A82,Spring!$A:$A,FALSE),MATCH(AC$1,Spring!$1:$1,FALSE))),"")</f>
        <v>2A</v>
      </c>
      <c r="AD82" t="str">
        <f>IFERROR(IF(INDEX(Spring!$1:$1048576,MATCH($A82,Spring!$A:$A,FALSE),MATCH(AD$1,Spring!$1:$1,FALSE))="","",INDEX(Spring!$1:$1048576,MATCH($A82,Spring!$A:$A,FALSE),MATCH(AD$1,Spring!$1:$1,FALSE))),"")</f>
        <v>2A</v>
      </c>
    </row>
    <row r="83" spans="1:30" ht="15.75" thickBot="1" x14ac:dyDescent="0.3">
      <c r="A83" s="48" t="s">
        <v>101</v>
      </c>
      <c r="B83" s="49">
        <v>74</v>
      </c>
      <c r="C83" s="50"/>
      <c r="D83" s="50"/>
      <c r="E83" s="50"/>
      <c r="F83" s="45"/>
      <c r="G83" s="45"/>
      <c r="H83" s="44"/>
      <c r="J83" t="str">
        <f>IFERROR(IF(INDEX(Fall!$1:$1048576,MATCH($A83,Fall!$A:$A,FALSE),MATCH(J$1,Fall!$1:$1,FALSE))="","",INDEX(Fall!$1:$1048576,MATCH($A83,Fall!$A:$A,FALSE),MATCH(J$1,Fall!$1:$1,FALSE))),"")</f>
        <v/>
      </c>
      <c r="K83" t="str">
        <f>IFERROR(IF(INDEX(Fall!$1:$1048576,MATCH($A83,Fall!$A:$A,FALSE),MATCH(K$1,Fall!$1:$1,FALSE))="","",INDEX(Fall!$1:$1048576,MATCH($A83,Fall!$A:$A,FALSE),MATCH(K$1,Fall!$1:$1,FALSE))),"")</f>
        <v/>
      </c>
      <c r="L83" t="str">
        <f>IFERROR(IF(INDEX(Fall!$1:$1048576,MATCH($A83,Fall!$A:$A,FALSE),MATCH(L$1,Fall!$1:$1,FALSE))="","",INDEX(Fall!$1:$1048576,MATCH($A83,Fall!$A:$A,FALSE),MATCH(L$1,Fall!$1:$1,FALSE))),"")</f>
        <v/>
      </c>
      <c r="M83" t="str">
        <f>IFERROR(IF(INDEX(Fall!$1:$1048576,MATCH($A83,Fall!$A:$A,FALSE),MATCH(M$1,Fall!$1:$1,FALSE))="","",INDEX(Fall!$1:$1048576,MATCH($A83,Fall!$A:$A,FALSE),MATCH(M$1,Fall!$1:$1,FALSE))),"")</f>
        <v/>
      </c>
      <c r="N83" t="str">
        <f>IFERROR(IF(INDEX(Fall!$1:$1048576,MATCH($A83,Fall!$A:$A,FALSE),MATCH(N$1,Fall!$1:$1,FALSE))="","",INDEX(Fall!$1:$1048576,MATCH($A83,Fall!$A:$A,FALSE),MATCH(N$1,Fall!$1:$1,FALSE))),"")</f>
        <v/>
      </c>
      <c r="O83" t="str">
        <f>IFERROR(IF(INDEX(Fall!$1:$1048576,MATCH($A83,Fall!$A:$A,FALSE),MATCH(O$1,Fall!$1:$1,FALSE))="","",INDEX(Fall!$1:$1048576,MATCH($A83,Fall!$A:$A,FALSE),MATCH(O$1,Fall!$1:$1,FALSE))),"")</f>
        <v/>
      </c>
      <c r="P83" t="str">
        <f>IFERROR(IF(INDEX(Fall!$1:$1048576,MATCH($A83,Fall!$A:$A,FALSE),MATCH(P$1,Fall!$1:$1,FALSE))="","",INDEX(Fall!$1:$1048576,MATCH($A83,Fall!$A:$A,FALSE),MATCH(P$1,Fall!$1:$1,FALSE))),"")</f>
        <v>1A</v>
      </c>
      <c r="R83" t="str">
        <f>IFERROR(IF(INDEX(Winter!$1:$1048576,MATCH($A83,Winter!$A:$A,FALSE),MATCH(R$1,Winter!$1:$1,FALSE))="","",INDEX(Winter!$1:$1048576,MATCH($A83,Winter!$A:$A,FALSE),MATCH(R$1,Winter!$1:$1,FALSE))),"")</f>
        <v>1A</v>
      </c>
      <c r="S83" t="str">
        <f>IFERROR(IF(INDEX(Winter!$1:$1048576,MATCH($A83,Winter!$A:$A,FALSE),MATCH(S$1,Winter!$1:$1,FALSE))="","",INDEX(Winter!$1:$1048576,MATCH($A83,Winter!$A:$A,FALSE),MATCH(S$1,Winter!$1:$1,FALSE))),"")</f>
        <v>1A</v>
      </c>
      <c r="T83" t="str">
        <f>IFERROR(IF(INDEX(Winter!$1:$1048576,MATCH($A83,Winter!$A:$A,FALSE),MATCH(T$1,Winter!$1:$1,FALSE))="","",INDEX(Winter!$1:$1048576,MATCH($A83,Winter!$A:$A,FALSE),MATCH(T$1,Winter!$1:$1,FALSE))),"")</f>
        <v/>
      </c>
      <c r="U83" t="str">
        <f>IFERROR(IF(INDEX(Winter!$1:$1048576,MATCH($A83,Winter!$A:$A,FALSE),MATCH(U$1,Winter!$1:$1,FALSE))="","",INDEX(Winter!$1:$1048576,MATCH($A83,Winter!$A:$A,FALSE),MATCH(U$1,Winter!$1:$1,FALSE))),"")</f>
        <v/>
      </c>
      <c r="V83" t="str">
        <f>IFERROR(IF(INDEX(Winter!$1:$1048576,MATCH($A83,Winter!$A:$A,FALSE),MATCH(V$1,Winter!$1:$1,FALSE))="","",INDEX(Winter!$1:$1048576,MATCH($A83,Winter!$A:$A,FALSE),MATCH(V$1,Winter!$1:$1,FALSE))),"")</f>
        <v/>
      </c>
      <c r="W83" t="str">
        <f>IFERROR(IF(INDEX(Winter!$1:$1048576,MATCH($A83,Winter!$A:$A,FALSE),MATCH(W$1,Winter!$1:$1,FALSE))="","",INDEX(Winter!$1:$1048576,MATCH($A83,Winter!$A:$A,FALSE),MATCH(W$1,Winter!$1:$1,FALSE))),"")</f>
        <v/>
      </c>
      <c r="Y83" t="str">
        <f>IFERROR(IF(INDEX(Spring!$1:$1048576,MATCH($A83,Spring!$A:$A,FALSE),MATCH(Y$1,Spring!$1:$1,FALSE))="","",INDEX(Spring!$1:$1048576,MATCH($A83,Spring!$A:$A,FALSE),MATCH(Y$1,Spring!$1:$1,FALSE))),"")</f>
        <v/>
      </c>
      <c r="Z83" t="str">
        <f>IFERROR(IF(INDEX(Spring!$1:$1048576,MATCH($A83,Spring!$A:$A,FALSE),MATCH(Z$1,Spring!$1:$1,FALSE))="","",INDEX(Spring!$1:$1048576,MATCH($A83,Spring!$A:$A,FALSE),MATCH(Z$1,Spring!$1:$1,FALSE))),"")</f>
        <v/>
      </c>
      <c r="AA83" t="str">
        <f>IFERROR(IF(INDEX(Spring!$1:$1048576,MATCH($A83,Spring!$A:$A,FALSE),MATCH(AA$1,Spring!$1:$1,FALSE))="","",INDEX(Spring!$1:$1048576,MATCH($A83,Spring!$A:$A,FALSE),MATCH(AA$1,Spring!$1:$1,FALSE))),"")</f>
        <v/>
      </c>
      <c r="AB83" t="str">
        <f>IFERROR(IF(INDEX(Spring!$1:$1048576,MATCH($A83,Spring!$A:$A,FALSE),MATCH(AB$1,Spring!$1:$1,FALSE))="","",INDEX(Spring!$1:$1048576,MATCH($A83,Spring!$A:$A,FALSE),MATCH(AB$1,Spring!$1:$1,FALSE))),"")</f>
        <v/>
      </c>
      <c r="AC83" t="str">
        <f>IFERROR(IF(INDEX(Spring!$1:$1048576,MATCH($A83,Spring!$A:$A,FALSE),MATCH(AC$1,Spring!$1:$1,FALSE))="","",INDEX(Spring!$1:$1048576,MATCH($A83,Spring!$A:$A,FALSE),MATCH(AC$1,Spring!$1:$1,FALSE))),"")</f>
        <v>1A</v>
      </c>
      <c r="AD83" t="str">
        <f>IFERROR(IF(INDEX(Spring!$1:$1048576,MATCH($A83,Spring!$A:$A,FALSE),MATCH(AD$1,Spring!$1:$1,FALSE))="","",INDEX(Spring!$1:$1048576,MATCH($A83,Spring!$A:$A,FALSE),MATCH(AD$1,Spring!$1:$1,FALSE))),"")</f>
        <v>1A</v>
      </c>
    </row>
    <row r="84" spans="1:30" ht="15.75" thickBot="1" x14ac:dyDescent="0.3">
      <c r="A84" s="48" t="s">
        <v>102</v>
      </c>
      <c r="B84" s="49">
        <v>1425</v>
      </c>
      <c r="C84" s="50"/>
      <c r="D84" s="50"/>
      <c r="E84" s="50"/>
      <c r="F84" s="45"/>
      <c r="G84" s="45"/>
      <c r="H84" s="44"/>
      <c r="J84" t="str">
        <f>IFERROR(IF(INDEX(Fall!$1:$1048576,MATCH($A84,Fall!$A:$A,FALSE),MATCH(J$1,Fall!$1:$1,FALSE))="","",INDEX(Fall!$1:$1048576,MATCH($A84,Fall!$A:$A,FALSE),MATCH(J$1,Fall!$1:$1,FALSE))),"")</f>
        <v>2A</v>
      </c>
      <c r="K84" t="str">
        <f>IFERROR(IF(INDEX(Fall!$1:$1048576,MATCH($A84,Fall!$A:$A,FALSE),MATCH(K$1,Fall!$1:$1,FALSE))="","",INDEX(Fall!$1:$1048576,MATCH($A84,Fall!$A:$A,FALSE),MATCH(K$1,Fall!$1:$1,FALSE))),"")</f>
        <v>2A</v>
      </c>
      <c r="L84" t="str">
        <f>IFERROR(IF(INDEX(Fall!$1:$1048576,MATCH($A84,Fall!$A:$A,FALSE),MATCH(L$1,Fall!$1:$1,FALSE))="","",INDEX(Fall!$1:$1048576,MATCH($A84,Fall!$A:$A,FALSE),MATCH(L$1,Fall!$1:$1,FALSE))),"")</f>
        <v>2A</v>
      </c>
      <c r="M84" t="str">
        <f>IFERROR(IF(INDEX(Fall!$1:$1048576,MATCH($A84,Fall!$A:$A,FALSE),MATCH(M$1,Fall!$1:$1,FALSE))="","",INDEX(Fall!$1:$1048576,MATCH($A84,Fall!$A:$A,FALSE),MATCH(M$1,Fall!$1:$1,FALSE))),"")</f>
        <v/>
      </c>
      <c r="N84" t="str">
        <f>IFERROR(IF(INDEX(Fall!$1:$1048576,MATCH($A84,Fall!$A:$A,FALSE),MATCH(N$1,Fall!$1:$1,FALSE))="","",INDEX(Fall!$1:$1048576,MATCH($A84,Fall!$A:$A,FALSE),MATCH(N$1,Fall!$1:$1,FALSE))),"")</f>
        <v>3A</v>
      </c>
      <c r="O84" t="str">
        <f>IFERROR(IF(INDEX(Fall!$1:$1048576,MATCH($A84,Fall!$A:$A,FALSE),MATCH(O$1,Fall!$1:$1,FALSE))="","",INDEX(Fall!$1:$1048576,MATCH($A84,Fall!$A:$A,FALSE),MATCH(O$1,Fall!$1:$1,FALSE))),"")</f>
        <v>1A</v>
      </c>
      <c r="P84" t="str">
        <f>IFERROR(IF(INDEX(Fall!$1:$1048576,MATCH($A84,Fall!$A:$A,FALSE),MATCH(P$1,Fall!$1:$1,FALSE))="","",INDEX(Fall!$1:$1048576,MATCH($A84,Fall!$A:$A,FALSE),MATCH(P$1,Fall!$1:$1,FALSE))),"")</f>
        <v>3A</v>
      </c>
      <c r="R84" t="str">
        <f>IFERROR(IF(INDEX(Winter!$1:$1048576,MATCH($A84,Winter!$A:$A,FALSE),MATCH(R$1,Winter!$1:$1,FALSE))="","",INDEX(Winter!$1:$1048576,MATCH($A84,Winter!$A:$A,FALSE),MATCH(R$1,Winter!$1:$1,FALSE))),"")</f>
        <v>3A</v>
      </c>
      <c r="S84" t="str">
        <f>IFERROR(IF(INDEX(Winter!$1:$1048576,MATCH($A84,Winter!$A:$A,FALSE),MATCH(S$1,Winter!$1:$1,FALSE))="","",INDEX(Winter!$1:$1048576,MATCH($A84,Winter!$A:$A,FALSE),MATCH(S$1,Winter!$1:$1,FALSE))),"")</f>
        <v>3A</v>
      </c>
      <c r="T84" t="str">
        <f>IFERROR(IF(INDEX(Winter!$1:$1048576,MATCH($A84,Winter!$A:$A,FALSE),MATCH(T$1,Winter!$1:$1,FALSE))="","",INDEX(Winter!$1:$1048576,MATCH($A84,Winter!$A:$A,FALSE),MATCH(T$1,Winter!$1:$1,FALSE))),"")</f>
        <v/>
      </c>
      <c r="U84" t="str">
        <f>IFERROR(IF(INDEX(Winter!$1:$1048576,MATCH($A84,Winter!$A:$A,FALSE),MATCH(U$1,Winter!$1:$1,FALSE))="","",INDEX(Winter!$1:$1048576,MATCH($A84,Winter!$A:$A,FALSE),MATCH(U$1,Winter!$1:$1,FALSE))),"")</f>
        <v>2A</v>
      </c>
      <c r="V84" t="str">
        <f>IFERROR(IF(INDEX(Winter!$1:$1048576,MATCH($A84,Winter!$A:$A,FALSE),MATCH(V$1,Winter!$1:$1,FALSE))="","",INDEX(Winter!$1:$1048576,MATCH($A84,Winter!$A:$A,FALSE),MATCH(V$1,Winter!$1:$1,FALSE))),"")</f>
        <v>2A</v>
      </c>
      <c r="W84" t="str">
        <f>IFERROR(IF(INDEX(Winter!$1:$1048576,MATCH($A84,Winter!$A:$A,FALSE),MATCH(W$1,Winter!$1:$1,FALSE))="","",INDEX(Winter!$1:$1048576,MATCH($A84,Winter!$A:$A,FALSE),MATCH(W$1,Winter!$1:$1,FALSE))),"")</f>
        <v>2A</v>
      </c>
      <c r="Y84" t="str">
        <f>IFERROR(IF(INDEX(Spring!$1:$1048576,MATCH($A84,Spring!$A:$A,FALSE),MATCH(Y$1,Spring!$1:$1,FALSE))="","",INDEX(Spring!$1:$1048576,MATCH($A84,Spring!$A:$A,FALSE),MATCH(Y$1,Spring!$1:$1,FALSE))),"")</f>
        <v>3A</v>
      </c>
      <c r="Z84" t="str">
        <f>IFERROR(IF(INDEX(Spring!$1:$1048576,MATCH($A84,Spring!$A:$A,FALSE),MATCH(Z$1,Spring!$1:$1,FALSE))="","",INDEX(Spring!$1:$1048576,MATCH($A84,Spring!$A:$A,FALSE),MATCH(Z$1,Spring!$1:$1,FALSE))),"")</f>
        <v>3A</v>
      </c>
      <c r="AA84" t="str">
        <f>IFERROR(IF(INDEX(Spring!$1:$1048576,MATCH($A84,Spring!$A:$A,FALSE),MATCH(AA$1,Spring!$1:$1,FALSE))="","",INDEX(Spring!$1:$1048576,MATCH($A84,Spring!$A:$A,FALSE),MATCH(AA$1,Spring!$1:$1,FALSE))),"")</f>
        <v>3A</v>
      </c>
      <c r="AB84" t="str">
        <f>IFERROR(IF(INDEX(Spring!$1:$1048576,MATCH($A84,Spring!$A:$A,FALSE),MATCH(AB$1,Spring!$1:$1,FALSE))="","",INDEX(Spring!$1:$1048576,MATCH($A84,Spring!$A:$A,FALSE),MATCH(AB$1,Spring!$1:$1,FALSE))),"")</f>
        <v/>
      </c>
      <c r="AC84" t="str">
        <f>IFERROR(IF(INDEX(Spring!$1:$1048576,MATCH($A84,Spring!$A:$A,FALSE),MATCH(AC$1,Spring!$1:$1,FALSE))="","",INDEX(Spring!$1:$1048576,MATCH($A84,Spring!$A:$A,FALSE),MATCH(AC$1,Spring!$1:$1,FALSE))),"")</f>
        <v>3A</v>
      </c>
      <c r="AD84" t="str">
        <f>IFERROR(IF(INDEX(Spring!$1:$1048576,MATCH($A84,Spring!$A:$A,FALSE),MATCH(AD$1,Spring!$1:$1,FALSE))="","",INDEX(Spring!$1:$1048576,MATCH($A84,Spring!$A:$A,FALSE),MATCH(AD$1,Spring!$1:$1,FALSE))),"")</f>
        <v>3A</v>
      </c>
    </row>
    <row r="85" spans="1:30" ht="15.75" thickBot="1" x14ac:dyDescent="0.3">
      <c r="A85" s="48" t="s">
        <v>103</v>
      </c>
      <c r="B85" s="49">
        <v>116</v>
      </c>
      <c r="C85" s="50"/>
      <c r="D85" s="50"/>
      <c r="E85" s="50"/>
      <c r="F85" s="45"/>
      <c r="G85" s="45"/>
      <c r="H85" s="44"/>
      <c r="J85" t="str">
        <f>IFERROR(IF(INDEX(Fall!$1:$1048576,MATCH($A85,Fall!$A:$A,FALSE),MATCH(J$1,Fall!$1:$1,FALSE))="","",INDEX(Fall!$1:$1048576,MATCH($A85,Fall!$A:$A,FALSE),MATCH(J$1,Fall!$1:$1,FALSE))),"")</f>
        <v>1A</v>
      </c>
      <c r="K85" t="str">
        <f>IFERROR(IF(INDEX(Fall!$1:$1048576,MATCH($A85,Fall!$A:$A,FALSE),MATCH(K$1,Fall!$1:$1,FALSE))="","",INDEX(Fall!$1:$1048576,MATCH($A85,Fall!$A:$A,FALSE),MATCH(K$1,Fall!$1:$1,FALSE))),"")</f>
        <v>1A</v>
      </c>
      <c r="L85" t="str">
        <f>IFERROR(IF(INDEX(Fall!$1:$1048576,MATCH($A85,Fall!$A:$A,FALSE),MATCH(L$1,Fall!$1:$1,FALSE))="","",INDEX(Fall!$1:$1048576,MATCH($A85,Fall!$A:$A,FALSE),MATCH(L$1,Fall!$1:$1,FALSE))),"")</f>
        <v>1A</v>
      </c>
      <c r="M85" t="str">
        <f>IFERROR(IF(INDEX(Fall!$1:$1048576,MATCH($A85,Fall!$A:$A,FALSE),MATCH(M$1,Fall!$1:$1,FALSE))="","",INDEX(Fall!$1:$1048576,MATCH($A85,Fall!$A:$A,FALSE),MATCH(M$1,Fall!$1:$1,FALSE))),"")</f>
        <v>1A</v>
      </c>
      <c r="N85" t="str">
        <f>IFERROR(IF(INDEX(Fall!$1:$1048576,MATCH($A85,Fall!$A:$A,FALSE),MATCH(N$1,Fall!$1:$1,FALSE))="","",INDEX(Fall!$1:$1048576,MATCH($A85,Fall!$A:$A,FALSE),MATCH(N$1,Fall!$1:$1,FALSE))),"")</f>
        <v/>
      </c>
      <c r="O85" t="str">
        <f>IFERROR(IF(INDEX(Fall!$1:$1048576,MATCH($A85,Fall!$A:$A,FALSE),MATCH(O$1,Fall!$1:$1,FALSE))="","",INDEX(Fall!$1:$1048576,MATCH($A85,Fall!$A:$A,FALSE),MATCH(O$1,Fall!$1:$1,FALSE))),"")</f>
        <v/>
      </c>
      <c r="P85" t="str">
        <f>IFERROR(IF(INDEX(Fall!$1:$1048576,MATCH($A85,Fall!$A:$A,FALSE),MATCH(P$1,Fall!$1:$1,FALSE))="","",INDEX(Fall!$1:$1048576,MATCH($A85,Fall!$A:$A,FALSE),MATCH(P$1,Fall!$1:$1,FALSE))),"")</f>
        <v>1A</v>
      </c>
      <c r="R85" t="str">
        <f>IFERROR(IF(INDEX(Winter!$1:$1048576,MATCH($A85,Winter!$A:$A,FALSE),MATCH(R$1,Winter!$1:$1,FALSE))="","",INDEX(Winter!$1:$1048576,MATCH($A85,Winter!$A:$A,FALSE),MATCH(R$1,Winter!$1:$1,FALSE))),"")</f>
        <v/>
      </c>
      <c r="S85" t="str">
        <f>IFERROR(IF(INDEX(Winter!$1:$1048576,MATCH($A85,Winter!$A:$A,FALSE),MATCH(S$1,Winter!$1:$1,FALSE))="","",INDEX(Winter!$1:$1048576,MATCH($A85,Winter!$A:$A,FALSE),MATCH(S$1,Winter!$1:$1,FALSE))),"")</f>
        <v/>
      </c>
      <c r="T85" t="str">
        <f>IFERROR(IF(INDEX(Winter!$1:$1048576,MATCH($A85,Winter!$A:$A,FALSE),MATCH(T$1,Winter!$1:$1,FALSE))="","",INDEX(Winter!$1:$1048576,MATCH($A85,Winter!$A:$A,FALSE),MATCH(T$1,Winter!$1:$1,FALSE))),"")</f>
        <v/>
      </c>
      <c r="U85" t="str">
        <f>IFERROR(IF(INDEX(Winter!$1:$1048576,MATCH($A85,Winter!$A:$A,FALSE),MATCH(U$1,Winter!$1:$1,FALSE))="","",INDEX(Winter!$1:$1048576,MATCH($A85,Winter!$A:$A,FALSE),MATCH(U$1,Winter!$1:$1,FALSE))),"")</f>
        <v/>
      </c>
      <c r="V85" t="str">
        <f>IFERROR(IF(INDEX(Winter!$1:$1048576,MATCH($A85,Winter!$A:$A,FALSE),MATCH(V$1,Winter!$1:$1,FALSE))="","",INDEX(Winter!$1:$1048576,MATCH($A85,Winter!$A:$A,FALSE),MATCH(V$1,Winter!$1:$1,FALSE))),"")</f>
        <v/>
      </c>
      <c r="W85" t="str">
        <f>IFERROR(IF(INDEX(Winter!$1:$1048576,MATCH($A85,Winter!$A:$A,FALSE),MATCH(W$1,Winter!$1:$1,FALSE))="","",INDEX(Winter!$1:$1048576,MATCH($A85,Winter!$A:$A,FALSE),MATCH(W$1,Winter!$1:$1,FALSE))),"")</f>
        <v/>
      </c>
      <c r="Y85" t="str">
        <f>IFERROR(IF(INDEX(Spring!$1:$1048576,MATCH($A85,Spring!$A:$A,FALSE),MATCH(Y$1,Spring!$1:$1,FALSE))="","",INDEX(Spring!$1:$1048576,MATCH($A85,Spring!$A:$A,FALSE),MATCH(Y$1,Spring!$1:$1,FALSE))),"")</f>
        <v/>
      </c>
      <c r="Z85" t="str">
        <f>IFERROR(IF(INDEX(Spring!$1:$1048576,MATCH($A85,Spring!$A:$A,FALSE),MATCH(Z$1,Spring!$1:$1,FALSE))="","",INDEX(Spring!$1:$1048576,MATCH($A85,Spring!$A:$A,FALSE),MATCH(Z$1,Spring!$1:$1,FALSE))),"")</f>
        <v/>
      </c>
      <c r="AA85" t="str">
        <f>IFERROR(IF(INDEX(Spring!$1:$1048576,MATCH($A85,Spring!$A:$A,FALSE),MATCH(AA$1,Spring!$1:$1,FALSE))="","",INDEX(Spring!$1:$1048576,MATCH($A85,Spring!$A:$A,FALSE),MATCH(AA$1,Spring!$1:$1,FALSE))),"")</f>
        <v/>
      </c>
      <c r="AB85" t="str">
        <f>IFERROR(IF(INDEX(Spring!$1:$1048576,MATCH($A85,Spring!$A:$A,FALSE),MATCH(AB$1,Spring!$1:$1,FALSE))="","",INDEX(Spring!$1:$1048576,MATCH($A85,Spring!$A:$A,FALSE),MATCH(AB$1,Spring!$1:$1,FALSE))),"")</f>
        <v/>
      </c>
      <c r="AC85" t="str">
        <f>IFERROR(IF(INDEX(Spring!$1:$1048576,MATCH($A85,Spring!$A:$A,FALSE),MATCH(AC$1,Spring!$1:$1,FALSE))="","",INDEX(Spring!$1:$1048576,MATCH($A85,Spring!$A:$A,FALSE),MATCH(AC$1,Spring!$1:$1,FALSE))),"")</f>
        <v>1A</v>
      </c>
      <c r="AD85" t="str">
        <f>IFERROR(IF(INDEX(Spring!$1:$1048576,MATCH($A85,Spring!$A:$A,FALSE),MATCH(AD$1,Spring!$1:$1,FALSE))="","",INDEX(Spring!$1:$1048576,MATCH($A85,Spring!$A:$A,FALSE),MATCH(AD$1,Spring!$1:$1,FALSE))),"")</f>
        <v>1A</v>
      </c>
    </row>
    <row r="86" spans="1:30" ht="15.75" thickBot="1" x14ac:dyDescent="0.3">
      <c r="A86" s="48" t="s">
        <v>104</v>
      </c>
      <c r="B86" s="49">
        <v>227</v>
      </c>
      <c r="C86" s="50"/>
      <c r="D86" s="50"/>
      <c r="E86" s="50"/>
      <c r="F86" s="45"/>
      <c r="G86" s="45"/>
      <c r="H86" s="44"/>
      <c r="J86" t="str">
        <f>IFERROR(IF(INDEX(Fall!$1:$1048576,MATCH($A86,Fall!$A:$A,FALSE),MATCH(J$1,Fall!$1:$1,FALSE))="","",INDEX(Fall!$1:$1048576,MATCH($A86,Fall!$A:$A,FALSE),MATCH(J$1,Fall!$1:$1,FALSE))),"")</f>
        <v/>
      </c>
      <c r="K86" t="str">
        <f>IFERROR(IF(INDEX(Fall!$1:$1048576,MATCH($A86,Fall!$A:$A,FALSE),MATCH(K$1,Fall!$1:$1,FALSE))="","",INDEX(Fall!$1:$1048576,MATCH($A86,Fall!$A:$A,FALSE),MATCH(K$1,Fall!$1:$1,FALSE))),"")</f>
        <v/>
      </c>
      <c r="L86" t="str">
        <f>IFERROR(IF(INDEX(Fall!$1:$1048576,MATCH($A86,Fall!$A:$A,FALSE),MATCH(L$1,Fall!$1:$1,FALSE))="","",INDEX(Fall!$1:$1048576,MATCH($A86,Fall!$A:$A,FALSE),MATCH(L$1,Fall!$1:$1,FALSE))),"")</f>
        <v>1A</v>
      </c>
      <c r="M86" t="str">
        <f>IFERROR(IF(INDEX(Fall!$1:$1048576,MATCH($A86,Fall!$A:$A,FALSE),MATCH(M$1,Fall!$1:$1,FALSE))="","",INDEX(Fall!$1:$1048576,MATCH($A86,Fall!$A:$A,FALSE),MATCH(M$1,Fall!$1:$1,FALSE))),"")</f>
        <v/>
      </c>
      <c r="N86" t="str">
        <f>IFERROR(IF(INDEX(Fall!$1:$1048576,MATCH($A86,Fall!$A:$A,FALSE),MATCH(N$1,Fall!$1:$1,FALSE))="","",INDEX(Fall!$1:$1048576,MATCH($A86,Fall!$A:$A,FALSE),MATCH(N$1,Fall!$1:$1,FALSE))),"")</f>
        <v/>
      </c>
      <c r="O86" t="str">
        <f>IFERROR(IF(INDEX(Fall!$1:$1048576,MATCH($A86,Fall!$A:$A,FALSE),MATCH(O$1,Fall!$1:$1,FALSE))="","",INDEX(Fall!$1:$1048576,MATCH($A86,Fall!$A:$A,FALSE),MATCH(O$1,Fall!$1:$1,FALSE))),"")</f>
        <v/>
      </c>
      <c r="P86" t="str">
        <f>IFERROR(IF(INDEX(Fall!$1:$1048576,MATCH($A86,Fall!$A:$A,FALSE),MATCH(P$1,Fall!$1:$1,FALSE))="","",INDEX(Fall!$1:$1048576,MATCH($A86,Fall!$A:$A,FALSE),MATCH(P$1,Fall!$1:$1,FALSE))),"")</f>
        <v>1A</v>
      </c>
      <c r="R86" t="str">
        <f>IFERROR(IF(INDEX(Winter!$1:$1048576,MATCH($A86,Winter!$A:$A,FALSE),MATCH(R$1,Winter!$1:$1,FALSE))="","",INDEX(Winter!$1:$1048576,MATCH($A86,Winter!$A:$A,FALSE),MATCH(R$1,Winter!$1:$1,FALSE))),"")</f>
        <v>1A</v>
      </c>
      <c r="S86" t="str">
        <f>IFERROR(IF(INDEX(Winter!$1:$1048576,MATCH($A86,Winter!$A:$A,FALSE),MATCH(S$1,Winter!$1:$1,FALSE))="","",INDEX(Winter!$1:$1048576,MATCH($A86,Winter!$A:$A,FALSE),MATCH(S$1,Winter!$1:$1,FALSE))),"")</f>
        <v>1A</v>
      </c>
      <c r="T86" t="str">
        <f>IFERROR(IF(INDEX(Winter!$1:$1048576,MATCH($A86,Winter!$A:$A,FALSE),MATCH(T$1,Winter!$1:$1,FALSE))="","",INDEX(Winter!$1:$1048576,MATCH($A86,Winter!$A:$A,FALSE),MATCH(T$1,Winter!$1:$1,FALSE))),"")</f>
        <v/>
      </c>
      <c r="U86" t="str">
        <f>IFERROR(IF(INDEX(Winter!$1:$1048576,MATCH($A86,Winter!$A:$A,FALSE),MATCH(U$1,Winter!$1:$1,FALSE))="","",INDEX(Winter!$1:$1048576,MATCH($A86,Winter!$A:$A,FALSE),MATCH(U$1,Winter!$1:$1,FALSE))),"")</f>
        <v/>
      </c>
      <c r="V86" t="str">
        <f>IFERROR(IF(INDEX(Winter!$1:$1048576,MATCH($A86,Winter!$A:$A,FALSE),MATCH(V$1,Winter!$1:$1,FALSE))="","",INDEX(Winter!$1:$1048576,MATCH($A86,Winter!$A:$A,FALSE),MATCH(V$1,Winter!$1:$1,FALSE))),"")</f>
        <v/>
      </c>
      <c r="W86" t="str">
        <f>IFERROR(IF(INDEX(Winter!$1:$1048576,MATCH($A86,Winter!$A:$A,FALSE),MATCH(W$1,Winter!$1:$1,FALSE))="","",INDEX(Winter!$1:$1048576,MATCH($A86,Winter!$A:$A,FALSE),MATCH(W$1,Winter!$1:$1,FALSE))),"")</f>
        <v>1A</v>
      </c>
      <c r="Y86" t="str">
        <f>IFERROR(IF(INDEX(Spring!$1:$1048576,MATCH($A86,Spring!$A:$A,FALSE),MATCH(Y$1,Spring!$1:$1,FALSE))="","",INDEX(Spring!$1:$1048576,MATCH($A86,Spring!$A:$A,FALSE),MATCH(Y$1,Spring!$1:$1,FALSE))),"")</f>
        <v>1A</v>
      </c>
      <c r="Z86" t="str">
        <f>IFERROR(IF(INDEX(Spring!$1:$1048576,MATCH($A86,Spring!$A:$A,FALSE),MATCH(Z$1,Spring!$1:$1,FALSE))="","",INDEX(Spring!$1:$1048576,MATCH($A86,Spring!$A:$A,FALSE),MATCH(Z$1,Spring!$1:$1,FALSE))),"")</f>
        <v>1A</v>
      </c>
      <c r="AA86" t="str">
        <f>IFERROR(IF(INDEX(Spring!$1:$1048576,MATCH($A86,Spring!$A:$A,FALSE),MATCH(AA$1,Spring!$1:$1,FALSE))="","",INDEX(Spring!$1:$1048576,MATCH($A86,Spring!$A:$A,FALSE),MATCH(AA$1,Spring!$1:$1,FALSE))),"")</f>
        <v/>
      </c>
      <c r="AB86" t="str">
        <f>IFERROR(IF(INDEX(Spring!$1:$1048576,MATCH($A86,Spring!$A:$A,FALSE),MATCH(AB$1,Spring!$1:$1,FALSE))="","",INDEX(Spring!$1:$1048576,MATCH($A86,Spring!$A:$A,FALSE),MATCH(AB$1,Spring!$1:$1,FALSE))),"")</f>
        <v/>
      </c>
      <c r="AC86" t="str">
        <f>IFERROR(IF(INDEX(Spring!$1:$1048576,MATCH($A86,Spring!$A:$A,FALSE),MATCH(AC$1,Spring!$1:$1,FALSE))="","",INDEX(Spring!$1:$1048576,MATCH($A86,Spring!$A:$A,FALSE),MATCH(AC$1,Spring!$1:$1,FALSE))),"")</f>
        <v>1A</v>
      </c>
      <c r="AD86" t="str">
        <f>IFERROR(IF(INDEX(Spring!$1:$1048576,MATCH($A86,Spring!$A:$A,FALSE),MATCH(AD$1,Spring!$1:$1,FALSE))="","",INDEX(Spring!$1:$1048576,MATCH($A86,Spring!$A:$A,FALSE),MATCH(AD$1,Spring!$1:$1,FALSE))),"")</f>
        <v>1A</v>
      </c>
    </row>
    <row r="87" spans="1:30" ht="15.75" thickBot="1" x14ac:dyDescent="0.3">
      <c r="A87" s="48" t="s">
        <v>105</v>
      </c>
      <c r="B87" s="49">
        <v>222</v>
      </c>
      <c r="C87" s="50"/>
      <c r="D87" s="50"/>
      <c r="E87" s="50"/>
      <c r="F87" s="45"/>
      <c r="G87" s="45"/>
      <c r="H87" s="44"/>
      <c r="J87" t="str">
        <f>IFERROR(IF(INDEX(Fall!$1:$1048576,MATCH($A87,Fall!$A:$A,FALSE),MATCH(J$1,Fall!$1:$1,FALSE))="","",INDEX(Fall!$1:$1048576,MATCH($A87,Fall!$A:$A,FALSE),MATCH(J$1,Fall!$1:$1,FALSE))),"")</f>
        <v>1A</v>
      </c>
      <c r="K87" t="str">
        <f>IFERROR(IF(INDEX(Fall!$1:$1048576,MATCH($A87,Fall!$A:$A,FALSE),MATCH(K$1,Fall!$1:$1,FALSE))="","",INDEX(Fall!$1:$1048576,MATCH($A87,Fall!$A:$A,FALSE),MATCH(K$1,Fall!$1:$1,FALSE))),"")</f>
        <v/>
      </c>
      <c r="L87" t="str">
        <f>IFERROR(IF(INDEX(Fall!$1:$1048576,MATCH($A87,Fall!$A:$A,FALSE),MATCH(L$1,Fall!$1:$1,FALSE))="","",INDEX(Fall!$1:$1048576,MATCH($A87,Fall!$A:$A,FALSE),MATCH(L$1,Fall!$1:$1,FALSE))),"")</f>
        <v>1A</v>
      </c>
      <c r="M87" t="str">
        <f>IFERROR(IF(INDEX(Fall!$1:$1048576,MATCH($A87,Fall!$A:$A,FALSE),MATCH(M$1,Fall!$1:$1,FALSE))="","",INDEX(Fall!$1:$1048576,MATCH($A87,Fall!$A:$A,FALSE),MATCH(M$1,Fall!$1:$1,FALSE))),"")</f>
        <v>1A</v>
      </c>
      <c r="N87" t="str">
        <f>IFERROR(IF(INDEX(Fall!$1:$1048576,MATCH($A87,Fall!$A:$A,FALSE),MATCH(N$1,Fall!$1:$1,FALSE))="","",INDEX(Fall!$1:$1048576,MATCH($A87,Fall!$A:$A,FALSE),MATCH(N$1,Fall!$1:$1,FALSE))),"")</f>
        <v/>
      </c>
      <c r="O87" t="str">
        <f>IFERROR(IF(INDEX(Fall!$1:$1048576,MATCH($A87,Fall!$A:$A,FALSE),MATCH(O$1,Fall!$1:$1,FALSE))="","",INDEX(Fall!$1:$1048576,MATCH($A87,Fall!$A:$A,FALSE),MATCH(O$1,Fall!$1:$1,FALSE))),"")</f>
        <v/>
      </c>
      <c r="P87" t="str">
        <f>IFERROR(IF(INDEX(Fall!$1:$1048576,MATCH($A87,Fall!$A:$A,FALSE),MATCH(P$1,Fall!$1:$1,FALSE))="","",INDEX(Fall!$1:$1048576,MATCH($A87,Fall!$A:$A,FALSE),MATCH(P$1,Fall!$1:$1,FALSE))),"")</f>
        <v>1A</v>
      </c>
      <c r="R87" t="str">
        <f>IFERROR(IF(INDEX(Winter!$1:$1048576,MATCH($A87,Winter!$A:$A,FALSE),MATCH(R$1,Winter!$1:$1,FALSE))="","",INDEX(Winter!$1:$1048576,MATCH($A87,Winter!$A:$A,FALSE),MATCH(R$1,Winter!$1:$1,FALSE))),"")</f>
        <v>1A</v>
      </c>
      <c r="S87" t="str">
        <f>IFERROR(IF(INDEX(Winter!$1:$1048576,MATCH($A87,Winter!$A:$A,FALSE),MATCH(S$1,Winter!$1:$1,FALSE))="","",INDEX(Winter!$1:$1048576,MATCH($A87,Winter!$A:$A,FALSE),MATCH(S$1,Winter!$1:$1,FALSE))),"")</f>
        <v>1A</v>
      </c>
      <c r="T87" t="str">
        <f>IFERROR(IF(INDEX(Winter!$1:$1048576,MATCH($A87,Winter!$A:$A,FALSE),MATCH(T$1,Winter!$1:$1,FALSE))="","",INDEX(Winter!$1:$1048576,MATCH($A87,Winter!$A:$A,FALSE),MATCH(T$1,Winter!$1:$1,FALSE))),"")</f>
        <v/>
      </c>
      <c r="U87" t="str">
        <f>IFERROR(IF(INDEX(Winter!$1:$1048576,MATCH($A87,Winter!$A:$A,FALSE),MATCH(U$1,Winter!$1:$1,FALSE))="","",INDEX(Winter!$1:$1048576,MATCH($A87,Winter!$A:$A,FALSE),MATCH(U$1,Winter!$1:$1,FALSE))),"")</f>
        <v/>
      </c>
      <c r="V87" t="str">
        <f>IFERROR(IF(INDEX(Winter!$1:$1048576,MATCH($A87,Winter!$A:$A,FALSE),MATCH(V$1,Winter!$1:$1,FALSE))="","",INDEX(Winter!$1:$1048576,MATCH($A87,Winter!$A:$A,FALSE),MATCH(V$1,Winter!$1:$1,FALSE))),"")</f>
        <v>1A</v>
      </c>
      <c r="W87" t="str">
        <f>IFERROR(IF(INDEX(Winter!$1:$1048576,MATCH($A87,Winter!$A:$A,FALSE),MATCH(W$1,Winter!$1:$1,FALSE))="","",INDEX(Winter!$1:$1048576,MATCH($A87,Winter!$A:$A,FALSE),MATCH(W$1,Winter!$1:$1,FALSE))),"")</f>
        <v>1A</v>
      </c>
      <c r="Y87" t="str">
        <f>IFERROR(IF(INDEX(Spring!$1:$1048576,MATCH($A87,Spring!$A:$A,FALSE),MATCH(Y$1,Spring!$1:$1,FALSE))="","",INDEX(Spring!$1:$1048576,MATCH($A87,Spring!$A:$A,FALSE),MATCH(Y$1,Spring!$1:$1,FALSE))),"")</f>
        <v>1A</v>
      </c>
      <c r="Z87" t="str">
        <f>IFERROR(IF(INDEX(Spring!$1:$1048576,MATCH($A87,Spring!$A:$A,FALSE),MATCH(Z$1,Spring!$1:$1,FALSE))="","",INDEX(Spring!$1:$1048576,MATCH($A87,Spring!$A:$A,FALSE),MATCH(Z$1,Spring!$1:$1,FALSE))),"")</f>
        <v>1A</v>
      </c>
      <c r="AA87" t="str">
        <f>IFERROR(IF(INDEX(Spring!$1:$1048576,MATCH($A87,Spring!$A:$A,FALSE),MATCH(AA$1,Spring!$1:$1,FALSE))="","",INDEX(Spring!$1:$1048576,MATCH($A87,Spring!$A:$A,FALSE),MATCH(AA$1,Spring!$1:$1,FALSE))),"")</f>
        <v/>
      </c>
      <c r="AB87" t="str">
        <f>IFERROR(IF(INDEX(Spring!$1:$1048576,MATCH($A87,Spring!$A:$A,FALSE),MATCH(AB$1,Spring!$1:$1,FALSE))="","",INDEX(Spring!$1:$1048576,MATCH($A87,Spring!$A:$A,FALSE),MATCH(AB$1,Spring!$1:$1,FALSE))),"")</f>
        <v/>
      </c>
      <c r="AC87" t="str">
        <f>IFERROR(IF(INDEX(Spring!$1:$1048576,MATCH($A87,Spring!$A:$A,FALSE),MATCH(AC$1,Spring!$1:$1,FALSE))="","",INDEX(Spring!$1:$1048576,MATCH($A87,Spring!$A:$A,FALSE),MATCH(AC$1,Spring!$1:$1,FALSE))),"")</f>
        <v/>
      </c>
      <c r="AD87" t="str">
        <f>IFERROR(IF(INDEX(Spring!$1:$1048576,MATCH($A87,Spring!$A:$A,FALSE),MATCH(AD$1,Spring!$1:$1,FALSE))="","",INDEX(Spring!$1:$1048576,MATCH($A87,Spring!$A:$A,FALSE),MATCH(AD$1,Spring!$1:$1,FALSE))),"")</f>
        <v/>
      </c>
    </row>
    <row r="88" spans="1:30" ht="15.75" thickBot="1" x14ac:dyDescent="0.3">
      <c r="A88" s="48" t="s">
        <v>106</v>
      </c>
      <c r="B88" s="49">
        <v>590</v>
      </c>
      <c r="C88" s="50"/>
      <c r="D88" s="50"/>
      <c r="E88" s="50"/>
      <c r="F88" s="45"/>
      <c r="G88" s="45"/>
      <c r="H88" s="44"/>
      <c r="J88" t="str">
        <f>IFERROR(IF(INDEX(Fall!$1:$1048576,MATCH($A88,Fall!$A:$A,FALSE),MATCH(J$1,Fall!$1:$1,FALSE))="","",INDEX(Fall!$1:$1048576,MATCH($A88,Fall!$A:$A,FALSE),MATCH(J$1,Fall!$1:$1,FALSE))),"")</f>
        <v>1A</v>
      </c>
      <c r="K88" t="str">
        <f>IFERROR(IF(INDEX(Fall!$1:$1048576,MATCH($A88,Fall!$A:$A,FALSE),MATCH(K$1,Fall!$1:$1,FALSE))="","",INDEX(Fall!$1:$1048576,MATCH($A88,Fall!$A:$A,FALSE),MATCH(K$1,Fall!$1:$1,FALSE))),"")</f>
        <v>1A</v>
      </c>
      <c r="L88" t="str">
        <f>IFERROR(IF(INDEX(Fall!$1:$1048576,MATCH($A88,Fall!$A:$A,FALSE),MATCH(L$1,Fall!$1:$1,FALSE))="","",INDEX(Fall!$1:$1048576,MATCH($A88,Fall!$A:$A,FALSE),MATCH(L$1,Fall!$1:$1,FALSE))),"")</f>
        <v>2A</v>
      </c>
      <c r="M88" t="str">
        <f>IFERROR(IF(INDEX(Fall!$1:$1048576,MATCH($A88,Fall!$A:$A,FALSE),MATCH(M$1,Fall!$1:$1,FALSE))="","",INDEX(Fall!$1:$1048576,MATCH($A88,Fall!$A:$A,FALSE),MATCH(M$1,Fall!$1:$1,FALSE))),"")</f>
        <v>1A</v>
      </c>
      <c r="N88" t="str">
        <f>IFERROR(IF(INDEX(Fall!$1:$1048576,MATCH($A88,Fall!$A:$A,FALSE),MATCH(N$1,Fall!$1:$1,FALSE))="","",INDEX(Fall!$1:$1048576,MATCH($A88,Fall!$A:$A,FALSE),MATCH(N$1,Fall!$1:$1,FALSE))),"")</f>
        <v>1A</v>
      </c>
      <c r="O88" t="str">
        <f>IFERROR(IF(INDEX(Fall!$1:$1048576,MATCH($A88,Fall!$A:$A,FALSE),MATCH(O$1,Fall!$1:$1,FALSE))="","",INDEX(Fall!$1:$1048576,MATCH($A88,Fall!$A:$A,FALSE),MATCH(O$1,Fall!$1:$1,FALSE))),"")</f>
        <v/>
      </c>
      <c r="P88" t="str">
        <f>IFERROR(IF(INDEX(Fall!$1:$1048576,MATCH($A88,Fall!$A:$A,FALSE),MATCH(P$1,Fall!$1:$1,FALSE))="","",INDEX(Fall!$1:$1048576,MATCH($A88,Fall!$A:$A,FALSE),MATCH(P$1,Fall!$1:$1,FALSE))),"")</f>
        <v>2A</v>
      </c>
      <c r="R88" t="str">
        <f>IFERROR(IF(INDEX(Winter!$1:$1048576,MATCH($A88,Winter!$A:$A,FALSE),MATCH(R$1,Winter!$1:$1,FALSE))="","",INDEX(Winter!$1:$1048576,MATCH($A88,Winter!$A:$A,FALSE),MATCH(R$1,Winter!$1:$1,FALSE))),"")</f>
        <v>2A</v>
      </c>
      <c r="S88" t="str">
        <f>IFERROR(IF(INDEX(Winter!$1:$1048576,MATCH($A88,Winter!$A:$A,FALSE),MATCH(S$1,Winter!$1:$1,FALSE))="","",INDEX(Winter!$1:$1048576,MATCH($A88,Winter!$A:$A,FALSE),MATCH(S$1,Winter!$1:$1,FALSE))),"")</f>
        <v>2A</v>
      </c>
      <c r="T88" t="str">
        <f>IFERROR(IF(INDEX(Winter!$1:$1048576,MATCH($A88,Winter!$A:$A,FALSE),MATCH(T$1,Winter!$1:$1,FALSE))="","",INDEX(Winter!$1:$1048576,MATCH($A88,Winter!$A:$A,FALSE),MATCH(T$1,Winter!$1:$1,FALSE))),"")</f>
        <v/>
      </c>
      <c r="U88" t="str">
        <f>IFERROR(IF(INDEX(Winter!$1:$1048576,MATCH($A88,Winter!$A:$A,FALSE),MATCH(U$1,Winter!$1:$1,FALSE))="","",INDEX(Winter!$1:$1048576,MATCH($A88,Winter!$A:$A,FALSE),MATCH(U$1,Winter!$1:$1,FALSE))),"")</f>
        <v>1A</v>
      </c>
      <c r="V88" t="str">
        <f>IFERROR(IF(INDEX(Winter!$1:$1048576,MATCH($A88,Winter!$A:$A,FALSE),MATCH(V$1,Winter!$1:$1,FALSE))="","",INDEX(Winter!$1:$1048576,MATCH($A88,Winter!$A:$A,FALSE),MATCH(V$1,Winter!$1:$1,FALSE))),"")</f>
        <v>2A</v>
      </c>
      <c r="W88" t="str">
        <f>IFERROR(IF(INDEX(Winter!$1:$1048576,MATCH($A88,Winter!$A:$A,FALSE),MATCH(W$1,Winter!$1:$1,FALSE))="","",INDEX(Winter!$1:$1048576,MATCH($A88,Winter!$A:$A,FALSE),MATCH(W$1,Winter!$1:$1,FALSE))),"")</f>
        <v>1A</v>
      </c>
      <c r="Y88" t="str">
        <f>IFERROR(IF(INDEX(Spring!$1:$1048576,MATCH($A88,Spring!$A:$A,FALSE),MATCH(Y$1,Spring!$1:$1,FALSE))="","",INDEX(Spring!$1:$1048576,MATCH($A88,Spring!$A:$A,FALSE),MATCH(Y$1,Spring!$1:$1,FALSE))),"")</f>
        <v>2A</v>
      </c>
      <c r="Z88" t="str">
        <f>IFERROR(IF(INDEX(Spring!$1:$1048576,MATCH($A88,Spring!$A:$A,FALSE),MATCH(Z$1,Spring!$1:$1,FALSE))="","",INDEX(Spring!$1:$1048576,MATCH($A88,Spring!$A:$A,FALSE),MATCH(Z$1,Spring!$1:$1,FALSE))),"")</f>
        <v>2A</v>
      </c>
      <c r="AA88" t="str">
        <f>IFERROR(IF(INDEX(Spring!$1:$1048576,MATCH($A88,Spring!$A:$A,FALSE),MATCH(AA$1,Spring!$1:$1,FALSE))="","",INDEX(Spring!$1:$1048576,MATCH($A88,Spring!$A:$A,FALSE),MATCH(AA$1,Spring!$1:$1,FALSE))),"")</f>
        <v>1A</v>
      </c>
      <c r="AB88" t="str">
        <f>IFERROR(IF(INDEX(Spring!$1:$1048576,MATCH($A88,Spring!$A:$A,FALSE),MATCH(AB$1,Spring!$1:$1,FALSE))="","",INDEX(Spring!$1:$1048576,MATCH($A88,Spring!$A:$A,FALSE),MATCH(AB$1,Spring!$1:$1,FALSE))),"")</f>
        <v/>
      </c>
      <c r="AC88" t="str">
        <f>IFERROR(IF(INDEX(Spring!$1:$1048576,MATCH($A88,Spring!$A:$A,FALSE),MATCH(AC$1,Spring!$1:$1,FALSE))="","",INDEX(Spring!$1:$1048576,MATCH($A88,Spring!$A:$A,FALSE),MATCH(AC$1,Spring!$1:$1,FALSE))),"")</f>
        <v>2A</v>
      </c>
      <c r="AD88" t="str">
        <f>IFERROR(IF(INDEX(Spring!$1:$1048576,MATCH($A88,Spring!$A:$A,FALSE),MATCH(AD$1,Spring!$1:$1,FALSE))="","",INDEX(Spring!$1:$1048576,MATCH($A88,Spring!$A:$A,FALSE),MATCH(AD$1,Spring!$1:$1,FALSE))),"")</f>
        <v>2A</v>
      </c>
    </row>
    <row r="89" spans="1:30" ht="15.75" thickBot="1" x14ac:dyDescent="0.3">
      <c r="A89" s="48" t="s">
        <v>107</v>
      </c>
      <c r="B89" s="49">
        <v>1019</v>
      </c>
      <c r="C89" s="50"/>
      <c r="D89" s="50"/>
      <c r="E89" s="50"/>
      <c r="F89" s="45"/>
      <c r="G89" s="45"/>
      <c r="H89" s="44"/>
      <c r="J89" t="str">
        <f>IFERROR(IF(INDEX(Fall!$1:$1048576,MATCH($A89,Fall!$A:$A,FALSE),MATCH(J$1,Fall!$1:$1,FALSE))="","",INDEX(Fall!$1:$1048576,MATCH($A89,Fall!$A:$A,FALSE),MATCH(J$1,Fall!$1:$1,FALSE))),"")</f>
        <v>2A</v>
      </c>
      <c r="K89" t="str">
        <f>IFERROR(IF(INDEX(Fall!$1:$1048576,MATCH($A89,Fall!$A:$A,FALSE),MATCH(K$1,Fall!$1:$1,FALSE))="","",INDEX(Fall!$1:$1048576,MATCH($A89,Fall!$A:$A,FALSE),MATCH(K$1,Fall!$1:$1,FALSE))),"")</f>
        <v>2A</v>
      </c>
      <c r="L89" t="str">
        <f>IFERROR(IF(INDEX(Fall!$1:$1048576,MATCH($A89,Fall!$A:$A,FALSE),MATCH(L$1,Fall!$1:$1,FALSE))="","",INDEX(Fall!$1:$1048576,MATCH($A89,Fall!$A:$A,FALSE),MATCH(L$1,Fall!$1:$1,FALSE))),"")</f>
        <v>2A</v>
      </c>
      <c r="M89" t="str">
        <f>IFERROR(IF(INDEX(Fall!$1:$1048576,MATCH($A89,Fall!$A:$A,FALSE),MATCH(M$1,Fall!$1:$1,FALSE))="","",INDEX(Fall!$1:$1048576,MATCH($A89,Fall!$A:$A,FALSE),MATCH(M$1,Fall!$1:$1,FALSE))),"")</f>
        <v>2A</v>
      </c>
      <c r="N89" t="str">
        <f>IFERROR(IF(INDEX(Fall!$1:$1048576,MATCH($A89,Fall!$A:$A,FALSE),MATCH(N$1,Fall!$1:$1,FALSE))="","",INDEX(Fall!$1:$1048576,MATCH($A89,Fall!$A:$A,FALSE),MATCH(N$1,Fall!$1:$1,FALSE))),"")</f>
        <v>2A</v>
      </c>
      <c r="O89" t="str">
        <f>IFERROR(IF(INDEX(Fall!$1:$1048576,MATCH($A89,Fall!$A:$A,FALSE),MATCH(O$1,Fall!$1:$1,FALSE))="","",INDEX(Fall!$1:$1048576,MATCH($A89,Fall!$A:$A,FALSE),MATCH(O$1,Fall!$1:$1,FALSE))),"")</f>
        <v>1A</v>
      </c>
      <c r="P89" t="str">
        <f>IFERROR(IF(INDEX(Fall!$1:$1048576,MATCH($A89,Fall!$A:$A,FALSE),MATCH(P$1,Fall!$1:$1,FALSE))="","",INDEX(Fall!$1:$1048576,MATCH($A89,Fall!$A:$A,FALSE),MATCH(P$1,Fall!$1:$1,FALSE))),"")</f>
        <v>3A</v>
      </c>
      <c r="R89" t="str">
        <f>IFERROR(IF(INDEX(Winter!$1:$1048576,MATCH($A89,Winter!$A:$A,FALSE),MATCH(R$1,Winter!$1:$1,FALSE))="","",INDEX(Winter!$1:$1048576,MATCH($A89,Winter!$A:$A,FALSE),MATCH(R$1,Winter!$1:$1,FALSE))),"")</f>
        <v>3A</v>
      </c>
      <c r="S89" t="str">
        <f>IFERROR(IF(INDEX(Winter!$1:$1048576,MATCH($A89,Winter!$A:$A,FALSE),MATCH(S$1,Winter!$1:$1,FALSE))="","",INDEX(Winter!$1:$1048576,MATCH($A89,Winter!$A:$A,FALSE),MATCH(S$1,Winter!$1:$1,FALSE))),"")</f>
        <v>3A</v>
      </c>
      <c r="T89" t="str">
        <f>IFERROR(IF(INDEX(Winter!$1:$1048576,MATCH($A89,Winter!$A:$A,FALSE),MATCH(T$1,Winter!$1:$1,FALSE))="","",INDEX(Winter!$1:$1048576,MATCH($A89,Winter!$A:$A,FALSE),MATCH(T$1,Winter!$1:$1,FALSE))),"")</f>
        <v>2A</v>
      </c>
      <c r="U89" t="str">
        <f>IFERROR(IF(INDEX(Winter!$1:$1048576,MATCH($A89,Winter!$A:$A,FALSE),MATCH(U$1,Winter!$1:$1,FALSE))="","",INDEX(Winter!$1:$1048576,MATCH($A89,Winter!$A:$A,FALSE),MATCH(U$1,Winter!$1:$1,FALSE))),"")</f>
        <v/>
      </c>
      <c r="V89" t="str">
        <f>IFERROR(IF(INDEX(Winter!$1:$1048576,MATCH($A89,Winter!$A:$A,FALSE),MATCH(V$1,Winter!$1:$1,FALSE))="","",INDEX(Winter!$1:$1048576,MATCH($A89,Winter!$A:$A,FALSE),MATCH(V$1,Winter!$1:$1,FALSE))),"")</f>
        <v>2A</v>
      </c>
      <c r="W89" t="str">
        <f>IFERROR(IF(INDEX(Winter!$1:$1048576,MATCH($A89,Winter!$A:$A,FALSE),MATCH(W$1,Winter!$1:$1,FALSE))="","",INDEX(Winter!$1:$1048576,MATCH($A89,Winter!$A:$A,FALSE),MATCH(W$1,Winter!$1:$1,FALSE))),"")</f>
        <v>2A</v>
      </c>
      <c r="Y89" t="str">
        <f>IFERROR(IF(INDEX(Spring!$1:$1048576,MATCH($A89,Spring!$A:$A,FALSE),MATCH(Y$1,Spring!$1:$1,FALSE))="","",INDEX(Spring!$1:$1048576,MATCH($A89,Spring!$A:$A,FALSE),MATCH(Y$1,Spring!$1:$1,FALSE))),"")</f>
        <v>3A</v>
      </c>
      <c r="Z89" t="str">
        <f>IFERROR(IF(INDEX(Spring!$1:$1048576,MATCH($A89,Spring!$A:$A,FALSE),MATCH(Z$1,Spring!$1:$1,FALSE))="","",INDEX(Spring!$1:$1048576,MATCH($A89,Spring!$A:$A,FALSE),MATCH(Z$1,Spring!$1:$1,FALSE))),"")</f>
        <v>3A</v>
      </c>
      <c r="AA89" t="str">
        <f>IFERROR(IF(INDEX(Spring!$1:$1048576,MATCH($A89,Spring!$A:$A,FALSE),MATCH(AA$1,Spring!$1:$1,FALSE))="","",INDEX(Spring!$1:$1048576,MATCH($A89,Spring!$A:$A,FALSE),MATCH(AA$1,Spring!$1:$1,FALSE))),"")</f>
        <v>2A</v>
      </c>
      <c r="AB89" t="str">
        <f>IFERROR(IF(INDEX(Spring!$1:$1048576,MATCH($A89,Spring!$A:$A,FALSE),MATCH(AB$1,Spring!$1:$1,FALSE))="","",INDEX(Spring!$1:$1048576,MATCH($A89,Spring!$A:$A,FALSE),MATCH(AB$1,Spring!$1:$1,FALSE))),"")</f>
        <v>1A</v>
      </c>
      <c r="AC89" t="str">
        <f>IFERROR(IF(INDEX(Spring!$1:$1048576,MATCH($A89,Spring!$A:$A,FALSE),MATCH(AC$1,Spring!$1:$1,FALSE))="","",INDEX(Spring!$1:$1048576,MATCH($A89,Spring!$A:$A,FALSE),MATCH(AC$1,Spring!$1:$1,FALSE))),"")</f>
        <v>2A</v>
      </c>
      <c r="AD89" t="str">
        <f>IFERROR(IF(INDEX(Spring!$1:$1048576,MATCH($A89,Spring!$A:$A,FALSE),MATCH(AD$1,Spring!$1:$1,FALSE))="","",INDEX(Spring!$1:$1048576,MATCH($A89,Spring!$A:$A,FALSE),MATCH(AD$1,Spring!$1:$1,FALSE))),"")</f>
        <v>2A</v>
      </c>
    </row>
    <row r="90" spans="1:30" ht="15.75" thickBot="1" x14ac:dyDescent="0.3">
      <c r="A90" s="48" t="s">
        <v>108</v>
      </c>
      <c r="B90" s="49">
        <v>354</v>
      </c>
      <c r="C90" s="50"/>
      <c r="D90" s="50"/>
      <c r="E90" s="50"/>
      <c r="F90" s="45"/>
      <c r="G90" s="45"/>
      <c r="H90" s="44"/>
      <c r="J90" t="str">
        <f>IFERROR(IF(INDEX(Fall!$1:$1048576,MATCH($A90,Fall!$A:$A,FALSE),MATCH(J$1,Fall!$1:$1,FALSE))="","",INDEX(Fall!$1:$1048576,MATCH($A90,Fall!$A:$A,FALSE),MATCH(J$1,Fall!$1:$1,FALSE))),"")</f>
        <v>1A</v>
      </c>
      <c r="K90" t="str">
        <f>IFERROR(IF(INDEX(Fall!$1:$1048576,MATCH($A90,Fall!$A:$A,FALSE),MATCH(K$1,Fall!$1:$1,FALSE))="","",INDEX(Fall!$1:$1048576,MATCH($A90,Fall!$A:$A,FALSE),MATCH(K$1,Fall!$1:$1,FALSE))),"")</f>
        <v>1A</v>
      </c>
      <c r="L90" t="str">
        <f>IFERROR(IF(INDEX(Fall!$1:$1048576,MATCH($A90,Fall!$A:$A,FALSE),MATCH(L$1,Fall!$1:$1,FALSE))="","",INDEX(Fall!$1:$1048576,MATCH($A90,Fall!$A:$A,FALSE),MATCH(L$1,Fall!$1:$1,FALSE))),"")</f>
        <v>1A</v>
      </c>
      <c r="M90" t="str">
        <f>IFERROR(IF(INDEX(Fall!$1:$1048576,MATCH($A90,Fall!$A:$A,FALSE),MATCH(M$1,Fall!$1:$1,FALSE))="","",INDEX(Fall!$1:$1048576,MATCH($A90,Fall!$A:$A,FALSE),MATCH(M$1,Fall!$1:$1,FALSE))),"")</f>
        <v/>
      </c>
      <c r="N90" t="str">
        <f>IFERROR(IF(INDEX(Fall!$1:$1048576,MATCH($A90,Fall!$A:$A,FALSE),MATCH(N$1,Fall!$1:$1,FALSE))="","",INDEX(Fall!$1:$1048576,MATCH($A90,Fall!$A:$A,FALSE),MATCH(N$1,Fall!$1:$1,FALSE))),"")</f>
        <v>1A</v>
      </c>
      <c r="O90" t="str">
        <f>IFERROR(IF(INDEX(Fall!$1:$1048576,MATCH($A90,Fall!$A:$A,FALSE),MATCH(O$1,Fall!$1:$1,FALSE))="","",INDEX(Fall!$1:$1048576,MATCH($A90,Fall!$A:$A,FALSE),MATCH(O$1,Fall!$1:$1,FALSE))),"")</f>
        <v/>
      </c>
      <c r="P90" t="str">
        <f>IFERROR(IF(INDEX(Fall!$1:$1048576,MATCH($A90,Fall!$A:$A,FALSE),MATCH(P$1,Fall!$1:$1,FALSE))="","",INDEX(Fall!$1:$1048576,MATCH($A90,Fall!$A:$A,FALSE),MATCH(P$1,Fall!$1:$1,FALSE))),"")</f>
        <v>2A</v>
      </c>
      <c r="R90" t="str">
        <f>IFERROR(IF(INDEX(Winter!$1:$1048576,MATCH($A90,Winter!$A:$A,FALSE),MATCH(R$1,Winter!$1:$1,FALSE))="","",INDEX(Winter!$1:$1048576,MATCH($A90,Winter!$A:$A,FALSE),MATCH(R$1,Winter!$1:$1,FALSE))),"")</f>
        <v>2A</v>
      </c>
      <c r="S90" t="str">
        <f>IFERROR(IF(INDEX(Winter!$1:$1048576,MATCH($A90,Winter!$A:$A,FALSE),MATCH(S$1,Winter!$1:$1,FALSE))="","",INDEX(Winter!$1:$1048576,MATCH($A90,Winter!$A:$A,FALSE),MATCH(S$1,Winter!$1:$1,FALSE))),"")</f>
        <v>2A</v>
      </c>
      <c r="T90" t="str">
        <f>IFERROR(IF(INDEX(Winter!$1:$1048576,MATCH($A90,Winter!$A:$A,FALSE),MATCH(T$1,Winter!$1:$1,FALSE))="","",INDEX(Winter!$1:$1048576,MATCH($A90,Winter!$A:$A,FALSE),MATCH(T$1,Winter!$1:$1,FALSE))),"")</f>
        <v/>
      </c>
      <c r="U90" t="str">
        <f>IFERROR(IF(INDEX(Winter!$1:$1048576,MATCH($A90,Winter!$A:$A,FALSE),MATCH(U$1,Winter!$1:$1,FALSE))="","",INDEX(Winter!$1:$1048576,MATCH($A90,Winter!$A:$A,FALSE),MATCH(U$1,Winter!$1:$1,FALSE))),"")</f>
        <v/>
      </c>
      <c r="V90" t="str">
        <f>IFERROR(IF(INDEX(Winter!$1:$1048576,MATCH($A90,Winter!$A:$A,FALSE),MATCH(V$1,Winter!$1:$1,FALSE))="","",INDEX(Winter!$1:$1048576,MATCH($A90,Winter!$A:$A,FALSE),MATCH(V$1,Winter!$1:$1,FALSE))),"")</f>
        <v>1A</v>
      </c>
      <c r="W90" t="str">
        <f>IFERROR(IF(INDEX(Winter!$1:$1048576,MATCH($A90,Winter!$A:$A,FALSE),MATCH(W$1,Winter!$1:$1,FALSE))="","",INDEX(Winter!$1:$1048576,MATCH($A90,Winter!$A:$A,FALSE),MATCH(W$1,Winter!$1:$1,FALSE))),"")</f>
        <v>1A</v>
      </c>
      <c r="Y90" t="str">
        <f>IFERROR(IF(INDEX(Spring!$1:$1048576,MATCH($A90,Spring!$A:$A,FALSE),MATCH(Y$1,Spring!$1:$1,FALSE))="","",INDEX(Spring!$1:$1048576,MATCH($A90,Spring!$A:$A,FALSE),MATCH(Y$1,Spring!$1:$1,FALSE))),"")</f>
        <v>2A</v>
      </c>
      <c r="Z90" t="str">
        <f>IFERROR(IF(INDEX(Spring!$1:$1048576,MATCH($A90,Spring!$A:$A,FALSE),MATCH(Z$1,Spring!$1:$1,FALSE))="","",INDEX(Spring!$1:$1048576,MATCH($A90,Spring!$A:$A,FALSE),MATCH(Z$1,Spring!$1:$1,FALSE))),"")</f>
        <v>2A</v>
      </c>
      <c r="AA90" t="str">
        <f>IFERROR(IF(INDEX(Spring!$1:$1048576,MATCH($A90,Spring!$A:$A,FALSE),MATCH(AA$1,Spring!$1:$1,FALSE))="","",INDEX(Spring!$1:$1048576,MATCH($A90,Spring!$A:$A,FALSE),MATCH(AA$1,Spring!$1:$1,FALSE))),"")</f>
        <v>1A</v>
      </c>
      <c r="AB90" t="str">
        <f>IFERROR(IF(INDEX(Spring!$1:$1048576,MATCH($A90,Spring!$A:$A,FALSE),MATCH(AB$1,Spring!$1:$1,FALSE))="","",INDEX(Spring!$1:$1048576,MATCH($A90,Spring!$A:$A,FALSE),MATCH(AB$1,Spring!$1:$1,FALSE))),"")</f>
        <v/>
      </c>
      <c r="AC90" t="str">
        <f>IFERROR(IF(INDEX(Spring!$1:$1048576,MATCH($A90,Spring!$A:$A,FALSE),MATCH(AC$1,Spring!$1:$1,FALSE))="","",INDEX(Spring!$1:$1048576,MATCH($A90,Spring!$A:$A,FALSE),MATCH(AC$1,Spring!$1:$1,FALSE))),"")</f>
        <v>1A</v>
      </c>
      <c r="AD90" t="str">
        <f>IFERROR(IF(INDEX(Spring!$1:$1048576,MATCH($A90,Spring!$A:$A,FALSE),MATCH(AD$1,Spring!$1:$1,FALSE))="","",INDEX(Spring!$1:$1048576,MATCH($A90,Spring!$A:$A,FALSE),MATCH(AD$1,Spring!$1:$1,FALSE))),"")</f>
        <v>1A</v>
      </c>
    </row>
    <row r="91" spans="1:30" ht="15.75" thickBot="1" x14ac:dyDescent="0.3">
      <c r="A91" s="48" t="s">
        <v>109</v>
      </c>
      <c r="B91" s="49">
        <v>279</v>
      </c>
      <c r="C91" s="50"/>
      <c r="D91" s="50"/>
      <c r="E91" s="50"/>
      <c r="F91" s="45"/>
      <c r="G91" s="45"/>
      <c r="H91" s="44"/>
      <c r="J91" t="str">
        <f>IFERROR(IF(INDEX(Fall!$1:$1048576,MATCH($A91,Fall!$A:$A,FALSE),MATCH(J$1,Fall!$1:$1,FALSE))="","",INDEX(Fall!$1:$1048576,MATCH($A91,Fall!$A:$A,FALSE),MATCH(J$1,Fall!$1:$1,FALSE))),"")</f>
        <v>1A</v>
      </c>
      <c r="K91" t="str">
        <f>IFERROR(IF(INDEX(Fall!$1:$1048576,MATCH($A91,Fall!$A:$A,FALSE),MATCH(K$1,Fall!$1:$1,FALSE))="","",INDEX(Fall!$1:$1048576,MATCH($A91,Fall!$A:$A,FALSE),MATCH(K$1,Fall!$1:$1,FALSE))),"")</f>
        <v>1A</v>
      </c>
      <c r="L91" t="str">
        <f>IFERROR(IF(INDEX(Fall!$1:$1048576,MATCH($A91,Fall!$A:$A,FALSE),MATCH(L$1,Fall!$1:$1,FALSE))="","",INDEX(Fall!$1:$1048576,MATCH($A91,Fall!$A:$A,FALSE),MATCH(L$1,Fall!$1:$1,FALSE))),"")</f>
        <v>1A</v>
      </c>
      <c r="M91" t="str">
        <f>IFERROR(IF(INDEX(Fall!$1:$1048576,MATCH($A91,Fall!$A:$A,FALSE),MATCH(M$1,Fall!$1:$1,FALSE))="","",INDEX(Fall!$1:$1048576,MATCH($A91,Fall!$A:$A,FALSE),MATCH(M$1,Fall!$1:$1,FALSE))),"")</f>
        <v>1A</v>
      </c>
      <c r="N91" t="str">
        <f>IFERROR(IF(INDEX(Fall!$1:$1048576,MATCH($A91,Fall!$A:$A,FALSE),MATCH(N$1,Fall!$1:$1,FALSE))="","",INDEX(Fall!$1:$1048576,MATCH($A91,Fall!$A:$A,FALSE),MATCH(N$1,Fall!$1:$1,FALSE))),"")</f>
        <v>1A</v>
      </c>
      <c r="O91" t="str">
        <f>IFERROR(IF(INDEX(Fall!$1:$1048576,MATCH($A91,Fall!$A:$A,FALSE),MATCH(O$1,Fall!$1:$1,FALSE))="","",INDEX(Fall!$1:$1048576,MATCH($A91,Fall!$A:$A,FALSE),MATCH(O$1,Fall!$1:$1,FALSE))),"")</f>
        <v/>
      </c>
      <c r="P91" t="str">
        <f>IFERROR(IF(INDEX(Fall!$1:$1048576,MATCH($A91,Fall!$A:$A,FALSE),MATCH(P$1,Fall!$1:$1,FALSE))="","",INDEX(Fall!$1:$1048576,MATCH($A91,Fall!$A:$A,FALSE),MATCH(P$1,Fall!$1:$1,FALSE))),"")</f>
        <v>1A</v>
      </c>
      <c r="R91" t="str">
        <f>IFERROR(IF(INDEX(Winter!$1:$1048576,MATCH($A91,Winter!$A:$A,FALSE),MATCH(R$1,Winter!$1:$1,FALSE))="","",INDEX(Winter!$1:$1048576,MATCH($A91,Winter!$A:$A,FALSE),MATCH(R$1,Winter!$1:$1,FALSE))),"")</f>
        <v>1A</v>
      </c>
      <c r="S91" t="str">
        <f>IFERROR(IF(INDEX(Winter!$1:$1048576,MATCH($A91,Winter!$A:$A,FALSE),MATCH(S$1,Winter!$1:$1,FALSE))="","",INDEX(Winter!$1:$1048576,MATCH($A91,Winter!$A:$A,FALSE),MATCH(S$1,Winter!$1:$1,FALSE))),"")</f>
        <v>1A</v>
      </c>
      <c r="T91" t="str">
        <f>IFERROR(IF(INDEX(Winter!$1:$1048576,MATCH($A91,Winter!$A:$A,FALSE),MATCH(T$1,Winter!$1:$1,FALSE))="","",INDEX(Winter!$1:$1048576,MATCH($A91,Winter!$A:$A,FALSE),MATCH(T$1,Winter!$1:$1,FALSE))),"")</f>
        <v/>
      </c>
      <c r="U91" t="str">
        <f>IFERROR(IF(INDEX(Winter!$1:$1048576,MATCH($A91,Winter!$A:$A,FALSE),MATCH(U$1,Winter!$1:$1,FALSE))="","",INDEX(Winter!$1:$1048576,MATCH($A91,Winter!$A:$A,FALSE),MATCH(U$1,Winter!$1:$1,FALSE))),"")</f>
        <v/>
      </c>
      <c r="V91" t="str">
        <f>IFERROR(IF(INDEX(Winter!$1:$1048576,MATCH($A91,Winter!$A:$A,FALSE),MATCH(V$1,Winter!$1:$1,FALSE))="","",INDEX(Winter!$1:$1048576,MATCH($A91,Winter!$A:$A,FALSE),MATCH(V$1,Winter!$1:$1,FALSE))),"")</f>
        <v>1A</v>
      </c>
      <c r="W91" t="str">
        <f>IFERROR(IF(INDEX(Winter!$1:$1048576,MATCH($A91,Winter!$A:$A,FALSE),MATCH(W$1,Winter!$1:$1,FALSE))="","",INDEX(Winter!$1:$1048576,MATCH($A91,Winter!$A:$A,FALSE),MATCH(W$1,Winter!$1:$1,FALSE))),"")</f>
        <v/>
      </c>
      <c r="Y91" t="str">
        <f>IFERROR(IF(INDEX(Spring!$1:$1048576,MATCH($A91,Spring!$A:$A,FALSE),MATCH(Y$1,Spring!$1:$1,FALSE))="","",INDEX(Spring!$1:$1048576,MATCH($A91,Spring!$A:$A,FALSE),MATCH(Y$1,Spring!$1:$1,FALSE))),"")</f>
        <v>1A</v>
      </c>
      <c r="Z91" t="str">
        <f>IFERROR(IF(INDEX(Spring!$1:$1048576,MATCH($A91,Spring!$A:$A,FALSE),MATCH(Z$1,Spring!$1:$1,FALSE))="","",INDEX(Spring!$1:$1048576,MATCH($A91,Spring!$A:$A,FALSE),MATCH(Z$1,Spring!$1:$1,FALSE))),"")</f>
        <v>1A</v>
      </c>
      <c r="AA91" t="str">
        <f>IFERROR(IF(INDEX(Spring!$1:$1048576,MATCH($A91,Spring!$A:$A,FALSE),MATCH(AA$1,Spring!$1:$1,FALSE))="","",INDEX(Spring!$1:$1048576,MATCH($A91,Spring!$A:$A,FALSE),MATCH(AA$1,Spring!$1:$1,FALSE))),"")</f>
        <v/>
      </c>
      <c r="AB91" t="str">
        <f>IFERROR(IF(INDEX(Spring!$1:$1048576,MATCH($A91,Spring!$A:$A,FALSE),MATCH(AB$1,Spring!$1:$1,FALSE))="","",INDEX(Spring!$1:$1048576,MATCH($A91,Spring!$A:$A,FALSE),MATCH(AB$1,Spring!$1:$1,FALSE))),"")</f>
        <v/>
      </c>
      <c r="AC91" t="str">
        <f>IFERROR(IF(INDEX(Spring!$1:$1048576,MATCH($A91,Spring!$A:$A,FALSE),MATCH(AC$1,Spring!$1:$1,FALSE))="","",INDEX(Spring!$1:$1048576,MATCH($A91,Spring!$A:$A,FALSE),MATCH(AC$1,Spring!$1:$1,FALSE))),"")</f>
        <v>1A</v>
      </c>
      <c r="AD91" t="str">
        <f>IFERROR(IF(INDEX(Spring!$1:$1048576,MATCH($A91,Spring!$A:$A,FALSE),MATCH(AD$1,Spring!$1:$1,FALSE))="","",INDEX(Spring!$1:$1048576,MATCH($A91,Spring!$A:$A,FALSE),MATCH(AD$1,Spring!$1:$1,FALSE))),"")</f>
        <v>1A</v>
      </c>
    </row>
    <row r="92" spans="1:30" ht="15.75" thickBot="1" x14ac:dyDescent="0.3">
      <c r="A92" s="48" t="s">
        <v>110</v>
      </c>
      <c r="B92" s="49">
        <v>417</v>
      </c>
      <c r="C92" s="50"/>
      <c r="D92" s="50"/>
      <c r="E92" s="50"/>
      <c r="F92" s="45"/>
      <c r="G92" s="45"/>
      <c r="H92" s="44"/>
      <c r="J92" t="str">
        <f>IFERROR(IF(INDEX(Fall!$1:$1048576,MATCH($A92,Fall!$A:$A,FALSE),MATCH(J$1,Fall!$1:$1,FALSE))="","",INDEX(Fall!$1:$1048576,MATCH($A92,Fall!$A:$A,FALSE),MATCH(J$1,Fall!$1:$1,FALSE))),"")</f>
        <v>1A</v>
      </c>
      <c r="K92" t="str">
        <f>IFERROR(IF(INDEX(Fall!$1:$1048576,MATCH($A92,Fall!$A:$A,FALSE),MATCH(K$1,Fall!$1:$1,FALSE))="","",INDEX(Fall!$1:$1048576,MATCH($A92,Fall!$A:$A,FALSE),MATCH(K$1,Fall!$1:$1,FALSE))),"")</f>
        <v>1A</v>
      </c>
      <c r="L92" t="str">
        <f>IFERROR(IF(INDEX(Fall!$1:$1048576,MATCH($A92,Fall!$A:$A,FALSE),MATCH(L$1,Fall!$1:$1,FALSE))="","",INDEX(Fall!$1:$1048576,MATCH($A92,Fall!$A:$A,FALSE),MATCH(L$1,Fall!$1:$1,FALSE))),"")</f>
        <v>1A</v>
      </c>
      <c r="M92" t="str">
        <f>IFERROR(IF(INDEX(Fall!$1:$1048576,MATCH($A92,Fall!$A:$A,FALSE),MATCH(M$1,Fall!$1:$1,FALSE))="","",INDEX(Fall!$1:$1048576,MATCH($A92,Fall!$A:$A,FALSE),MATCH(M$1,Fall!$1:$1,FALSE))),"")</f>
        <v>1A</v>
      </c>
      <c r="N92" t="str">
        <f>IFERROR(IF(INDEX(Fall!$1:$1048576,MATCH($A92,Fall!$A:$A,FALSE),MATCH(N$1,Fall!$1:$1,FALSE))="","",INDEX(Fall!$1:$1048576,MATCH($A92,Fall!$A:$A,FALSE),MATCH(N$1,Fall!$1:$1,FALSE))),"")</f>
        <v/>
      </c>
      <c r="O92" t="str">
        <f>IFERROR(IF(INDEX(Fall!$1:$1048576,MATCH($A92,Fall!$A:$A,FALSE),MATCH(O$1,Fall!$1:$1,FALSE))="","",INDEX(Fall!$1:$1048576,MATCH($A92,Fall!$A:$A,FALSE),MATCH(O$1,Fall!$1:$1,FALSE))),"")</f>
        <v>1A</v>
      </c>
      <c r="P92" t="str">
        <f>IFERROR(IF(INDEX(Fall!$1:$1048576,MATCH($A92,Fall!$A:$A,FALSE),MATCH(P$1,Fall!$1:$1,FALSE))="","",INDEX(Fall!$1:$1048576,MATCH($A92,Fall!$A:$A,FALSE),MATCH(P$1,Fall!$1:$1,FALSE))),"")</f>
        <v>2A</v>
      </c>
      <c r="R92" t="str">
        <f>IFERROR(IF(INDEX(Winter!$1:$1048576,MATCH($A92,Winter!$A:$A,FALSE),MATCH(R$1,Winter!$1:$1,FALSE))="","",INDEX(Winter!$1:$1048576,MATCH($A92,Winter!$A:$A,FALSE),MATCH(R$1,Winter!$1:$1,FALSE))),"")</f>
        <v>2A</v>
      </c>
      <c r="S92" t="str">
        <f>IFERROR(IF(INDEX(Winter!$1:$1048576,MATCH($A92,Winter!$A:$A,FALSE),MATCH(S$1,Winter!$1:$1,FALSE))="","",INDEX(Winter!$1:$1048576,MATCH($A92,Winter!$A:$A,FALSE),MATCH(S$1,Winter!$1:$1,FALSE))),"")</f>
        <v>2A</v>
      </c>
      <c r="T92" t="str">
        <f>IFERROR(IF(INDEX(Winter!$1:$1048576,MATCH($A92,Winter!$A:$A,FALSE),MATCH(T$1,Winter!$1:$1,FALSE))="","",INDEX(Winter!$1:$1048576,MATCH($A92,Winter!$A:$A,FALSE),MATCH(T$1,Winter!$1:$1,FALSE))),"")</f>
        <v/>
      </c>
      <c r="U92" t="str">
        <f>IFERROR(IF(INDEX(Winter!$1:$1048576,MATCH($A92,Winter!$A:$A,FALSE),MATCH(U$1,Winter!$1:$1,FALSE))="","",INDEX(Winter!$1:$1048576,MATCH($A92,Winter!$A:$A,FALSE),MATCH(U$1,Winter!$1:$1,FALSE))),"")</f>
        <v/>
      </c>
      <c r="V92" t="str">
        <f>IFERROR(IF(INDEX(Winter!$1:$1048576,MATCH($A92,Winter!$A:$A,FALSE),MATCH(V$1,Winter!$1:$1,FALSE))="","",INDEX(Winter!$1:$1048576,MATCH($A92,Winter!$A:$A,FALSE),MATCH(V$1,Winter!$1:$1,FALSE))),"")</f>
        <v/>
      </c>
      <c r="W92" t="str">
        <f>IFERROR(IF(INDEX(Winter!$1:$1048576,MATCH($A92,Winter!$A:$A,FALSE),MATCH(W$1,Winter!$1:$1,FALSE))="","",INDEX(Winter!$1:$1048576,MATCH($A92,Winter!$A:$A,FALSE),MATCH(W$1,Winter!$1:$1,FALSE))),"")</f>
        <v>1A</v>
      </c>
      <c r="Y92" t="str">
        <f>IFERROR(IF(INDEX(Spring!$1:$1048576,MATCH($A92,Spring!$A:$A,FALSE),MATCH(Y$1,Spring!$1:$1,FALSE))="","",INDEX(Spring!$1:$1048576,MATCH($A92,Spring!$A:$A,FALSE),MATCH(Y$1,Spring!$1:$1,FALSE))),"")</f>
        <v>2A</v>
      </c>
      <c r="Z92" t="str">
        <f>IFERROR(IF(INDEX(Spring!$1:$1048576,MATCH($A92,Spring!$A:$A,FALSE),MATCH(Z$1,Spring!$1:$1,FALSE))="","",INDEX(Spring!$1:$1048576,MATCH($A92,Spring!$A:$A,FALSE),MATCH(Z$1,Spring!$1:$1,FALSE))),"")</f>
        <v>2A</v>
      </c>
      <c r="AA92" t="str">
        <f>IFERROR(IF(INDEX(Spring!$1:$1048576,MATCH($A92,Spring!$A:$A,FALSE),MATCH(AA$1,Spring!$1:$1,FALSE))="","",INDEX(Spring!$1:$1048576,MATCH($A92,Spring!$A:$A,FALSE),MATCH(AA$1,Spring!$1:$1,FALSE))),"")</f>
        <v/>
      </c>
      <c r="AB92" t="str">
        <f>IFERROR(IF(INDEX(Spring!$1:$1048576,MATCH($A92,Spring!$A:$A,FALSE),MATCH(AB$1,Spring!$1:$1,FALSE))="","",INDEX(Spring!$1:$1048576,MATCH($A92,Spring!$A:$A,FALSE),MATCH(AB$1,Spring!$1:$1,FALSE))),"")</f>
        <v>1A</v>
      </c>
      <c r="AC92" t="str">
        <f>IFERROR(IF(INDEX(Spring!$1:$1048576,MATCH($A92,Spring!$A:$A,FALSE),MATCH(AC$1,Spring!$1:$1,FALSE))="","",INDEX(Spring!$1:$1048576,MATCH($A92,Spring!$A:$A,FALSE),MATCH(AC$1,Spring!$1:$1,FALSE))),"")</f>
        <v>1A</v>
      </c>
      <c r="AD92" t="str">
        <f>IFERROR(IF(INDEX(Spring!$1:$1048576,MATCH($A92,Spring!$A:$A,FALSE),MATCH(AD$1,Spring!$1:$1,FALSE))="","",INDEX(Spring!$1:$1048576,MATCH($A92,Spring!$A:$A,FALSE),MATCH(AD$1,Spring!$1:$1,FALSE))),"")</f>
        <v>1A</v>
      </c>
    </row>
    <row r="93" spans="1:30" ht="15.75" thickBot="1" x14ac:dyDescent="0.3">
      <c r="A93" s="48" t="s">
        <v>111</v>
      </c>
      <c r="B93" s="49">
        <v>2079</v>
      </c>
      <c r="C93" s="50"/>
      <c r="D93" s="50"/>
      <c r="E93" s="50"/>
      <c r="F93" s="45"/>
      <c r="G93" s="45"/>
      <c r="H93" s="44"/>
      <c r="J93" t="str">
        <f>IFERROR(IF(INDEX(Fall!$1:$1048576,MATCH($A93,Fall!$A:$A,FALSE),MATCH(J$1,Fall!$1:$1,FALSE))="","",INDEX(Fall!$1:$1048576,MATCH($A93,Fall!$A:$A,FALSE),MATCH(J$1,Fall!$1:$1,FALSE))),"")</f>
        <v>3A</v>
      </c>
      <c r="K93" t="str">
        <f>IFERROR(IF(INDEX(Fall!$1:$1048576,MATCH($A93,Fall!$A:$A,FALSE),MATCH(K$1,Fall!$1:$1,FALSE))="","",INDEX(Fall!$1:$1048576,MATCH($A93,Fall!$A:$A,FALSE),MATCH(K$1,Fall!$1:$1,FALSE))),"")</f>
        <v>3A</v>
      </c>
      <c r="L93" t="str">
        <f>IFERROR(IF(INDEX(Fall!$1:$1048576,MATCH($A93,Fall!$A:$A,FALSE),MATCH(L$1,Fall!$1:$1,FALSE))="","",INDEX(Fall!$1:$1048576,MATCH($A93,Fall!$A:$A,FALSE),MATCH(L$1,Fall!$1:$1,FALSE))),"")</f>
        <v>3A</v>
      </c>
      <c r="M93" t="str">
        <f>IFERROR(IF(INDEX(Fall!$1:$1048576,MATCH($A93,Fall!$A:$A,FALSE),MATCH(M$1,Fall!$1:$1,FALSE))="","",INDEX(Fall!$1:$1048576,MATCH($A93,Fall!$A:$A,FALSE),MATCH(M$1,Fall!$1:$1,FALSE))),"")</f>
        <v>2A</v>
      </c>
      <c r="N93" t="str">
        <f>IFERROR(IF(INDEX(Fall!$1:$1048576,MATCH($A93,Fall!$A:$A,FALSE),MATCH(N$1,Fall!$1:$1,FALSE))="","",INDEX(Fall!$1:$1048576,MATCH($A93,Fall!$A:$A,FALSE),MATCH(N$1,Fall!$1:$1,FALSE))),"")</f>
        <v>3A</v>
      </c>
      <c r="O93" t="str">
        <f>IFERROR(IF(INDEX(Fall!$1:$1048576,MATCH($A93,Fall!$A:$A,FALSE),MATCH(O$1,Fall!$1:$1,FALSE))="","",INDEX(Fall!$1:$1048576,MATCH($A93,Fall!$A:$A,FALSE),MATCH(O$1,Fall!$1:$1,FALSE))),"")</f>
        <v>2A</v>
      </c>
      <c r="P93" t="str">
        <f>IFERROR(IF(INDEX(Fall!$1:$1048576,MATCH($A93,Fall!$A:$A,FALSE),MATCH(P$1,Fall!$1:$1,FALSE))="","",INDEX(Fall!$1:$1048576,MATCH($A93,Fall!$A:$A,FALSE),MATCH(P$1,Fall!$1:$1,FALSE))),"")</f>
        <v>4A</v>
      </c>
      <c r="R93" t="str">
        <f>IFERROR(IF(INDEX(Winter!$1:$1048576,MATCH($A93,Winter!$A:$A,FALSE),MATCH(R$1,Winter!$1:$1,FALSE))="","",INDEX(Winter!$1:$1048576,MATCH($A93,Winter!$A:$A,FALSE),MATCH(R$1,Winter!$1:$1,FALSE))),"")</f>
        <v>4A</v>
      </c>
      <c r="S93" t="str">
        <f>IFERROR(IF(INDEX(Winter!$1:$1048576,MATCH($A93,Winter!$A:$A,FALSE),MATCH(S$1,Winter!$1:$1,FALSE))="","",INDEX(Winter!$1:$1048576,MATCH($A93,Winter!$A:$A,FALSE),MATCH(S$1,Winter!$1:$1,FALSE))),"")</f>
        <v>4A</v>
      </c>
      <c r="T93" t="str">
        <f>IFERROR(IF(INDEX(Winter!$1:$1048576,MATCH($A93,Winter!$A:$A,FALSE),MATCH(T$1,Winter!$1:$1,FALSE))="","",INDEX(Winter!$1:$1048576,MATCH($A93,Winter!$A:$A,FALSE),MATCH(T$1,Winter!$1:$1,FALSE))),"")</f>
        <v>3A</v>
      </c>
      <c r="U93" t="str">
        <f>IFERROR(IF(INDEX(Winter!$1:$1048576,MATCH($A93,Winter!$A:$A,FALSE),MATCH(U$1,Winter!$1:$1,FALSE))="","",INDEX(Winter!$1:$1048576,MATCH($A93,Winter!$A:$A,FALSE),MATCH(U$1,Winter!$1:$1,FALSE))),"")</f>
        <v>3A</v>
      </c>
      <c r="V93" t="str">
        <f>IFERROR(IF(INDEX(Winter!$1:$1048576,MATCH($A93,Winter!$A:$A,FALSE),MATCH(V$1,Winter!$1:$1,FALSE))="","",INDEX(Winter!$1:$1048576,MATCH($A93,Winter!$A:$A,FALSE),MATCH(V$1,Winter!$1:$1,FALSE))),"")</f>
        <v>2A</v>
      </c>
      <c r="W93" t="str">
        <f>IFERROR(IF(INDEX(Winter!$1:$1048576,MATCH($A93,Winter!$A:$A,FALSE),MATCH(W$1,Winter!$1:$1,FALSE))="","",INDEX(Winter!$1:$1048576,MATCH($A93,Winter!$A:$A,FALSE),MATCH(W$1,Winter!$1:$1,FALSE))),"")</f>
        <v>3A</v>
      </c>
      <c r="Y93" t="str">
        <f>IFERROR(IF(INDEX(Spring!$1:$1048576,MATCH($A93,Spring!$A:$A,FALSE),MATCH(Y$1,Spring!$1:$1,FALSE))="","",INDEX(Spring!$1:$1048576,MATCH($A93,Spring!$A:$A,FALSE),MATCH(Y$1,Spring!$1:$1,FALSE))),"")</f>
        <v>4A</v>
      </c>
      <c r="Z93" t="str">
        <f>IFERROR(IF(INDEX(Spring!$1:$1048576,MATCH($A93,Spring!$A:$A,FALSE),MATCH(Z$1,Spring!$1:$1,FALSE))="","",INDEX(Spring!$1:$1048576,MATCH($A93,Spring!$A:$A,FALSE),MATCH(Z$1,Spring!$1:$1,FALSE))),"")</f>
        <v>4A</v>
      </c>
      <c r="AA93" t="str">
        <f>IFERROR(IF(INDEX(Spring!$1:$1048576,MATCH($A93,Spring!$A:$A,FALSE),MATCH(AA$1,Spring!$1:$1,FALSE))="","",INDEX(Spring!$1:$1048576,MATCH($A93,Spring!$A:$A,FALSE),MATCH(AA$1,Spring!$1:$1,FALSE))),"")</f>
        <v>3A</v>
      </c>
      <c r="AB93" t="str">
        <f>IFERROR(IF(INDEX(Spring!$1:$1048576,MATCH($A93,Spring!$A:$A,FALSE),MATCH(AB$1,Spring!$1:$1,FALSE))="","",INDEX(Spring!$1:$1048576,MATCH($A93,Spring!$A:$A,FALSE),MATCH(AB$1,Spring!$1:$1,FALSE))),"")</f>
        <v>2A</v>
      </c>
      <c r="AC93" t="str">
        <f>IFERROR(IF(INDEX(Spring!$1:$1048576,MATCH($A93,Spring!$A:$A,FALSE),MATCH(AC$1,Spring!$1:$1,FALSE))="","",INDEX(Spring!$1:$1048576,MATCH($A93,Spring!$A:$A,FALSE),MATCH(AC$1,Spring!$1:$1,FALSE))),"")</f>
        <v>3A</v>
      </c>
      <c r="AD93" t="str">
        <f>IFERROR(IF(INDEX(Spring!$1:$1048576,MATCH($A93,Spring!$A:$A,FALSE),MATCH(AD$1,Spring!$1:$1,FALSE))="","",INDEX(Spring!$1:$1048576,MATCH($A93,Spring!$A:$A,FALSE),MATCH(AD$1,Spring!$1:$1,FALSE))),"")</f>
        <v>3A</v>
      </c>
    </row>
    <row r="94" spans="1:30" ht="15.75" thickBot="1" x14ac:dyDescent="0.3">
      <c r="A94" s="48" t="s">
        <v>112</v>
      </c>
      <c r="B94" s="49">
        <v>2569</v>
      </c>
      <c r="C94" s="50"/>
      <c r="D94" s="50"/>
      <c r="E94" s="50"/>
      <c r="F94" s="45"/>
      <c r="G94" s="45"/>
      <c r="H94" s="44"/>
      <c r="J94" t="str">
        <f>IFERROR(IF(INDEX(Fall!$1:$1048576,MATCH($A94,Fall!$A:$A,FALSE),MATCH(J$1,Fall!$1:$1,FALSE))="","",INDEX(Fall!$1:$1048576,MATCH($A94,Fall!$A:$A,FALSE),MATCH(J$1,Fall!$1:$1,FALSE))),"")</f>
        <v>3A</v>
      </c>
      <c r="K94" t="str">
        <f>IFERROR(IF(INDEX(Fall!$1:$1048576,MATCH($A94,Fall!$A:$A,FALSE),MATCH(K$1,Fall!$1:$1,FALSE))="","",INDEX(Fall!$1:$1048576,MATCH($A94,Fall!$A:$A,FALSE),MATCH(K$1,Fall!$1:$1,FALSE))),"")</f>
        <v>3A</v>
      </c>
      <c r="L94" t="str">
        <f>IFERROR(IF(INDEX(Fall!$1:$1048576,MATCH($A94,Fall!$A:$A,FALSE),MATCH(L$1,Fall!$1:$1,FALSE))="","",INDEX(Fall!$1:$1048576,MATCH($A94,Fall!$A:$A,FALSE),MATCH(L$1,Fall!$1:$1,FALSE))),"")</f>
        <v>3A</v>
      </c>
      <c r="M94" t="str">
        <f>IFERROR(IF(INDEX(Fall!$1:$1048576,MATCH($A94,Fall!$A:$A,FALSE),MATCH(M$1,Fall!$1:$1,FALSE))="","",INDEX(Fall!$1:$1048576,MATCH($A94,Fall!$A:$A,FALSE),MATCH(M$1,Fall!$1:$1,FALSE))),"")</f>
        <v>2A</v>
      </c>
      <c r="N94" t="str">
        <f>IFERROR(IF(INDEX(Fall!$1:$1048576,MATCH($A94,Fall!$A:$A,FALSE),MATCH(N$1,Fall!$1:$1,FALSE))="","",INDEX(Fall!$1:$1048576,MATCH($A94,Fall!$A:$A,FALSE),MATCH(N$1,Fall!$1:$1,FALSE))),"")</f>
        <v>3A</v>
      </c>
      <c r="O94" t="str">
        <f>IFERROR(IF(INDEX(Fall!$1:$1048576,MATCH($A94,Fall!$A:$A,FALSE),MATCH(O$1,Fall!$1:$1,FALSE))="","",INDEX(Fall!$1:$1048576,MATCH($A94,Fall!$A:$A,FALSE),MATCH(O$1,Fall!$1:$1,FALSE))),"")</f>
        <v>2A</v>
      </c>
      <c r="P94" t="str">
        <f>IFERROR(IF(INDEX(Fall!$1:$1048576,MATCH($A94,Fall!$A:$A,FALSE),MATCH(P$1,Fall!$1:$1,FALSE))="","",INDEX(Fall!$1:$1048576,MATCH($A94,Fall!$A:$A,FALSE),MATCH(P$1,Fall!$1:$1,FALSE))),"")</f>
        <v>4A</v>
      </c>
      <c r="R94" t="str">
        <f>IFERROR(IF(INDEX(Winter!$1:$1048576,MATCH($A94,Winter!$A:$A,FALSE),MATCH(R$1,Winter!$1:$1,FALSE))="","",INDEX(Winter!$1:$1048576,MATCH($A94,Winter!$A:$A,FALSE),MATCH(R$1,Winter!$1:$1,FALSE))),"")</f>
        <v>4A</v>
      </c>
      <c r="S94" t="str">
        <f>IFERROR(IF(INDEX(Winter!$1:$1048576,MATCH($A94,Winter!$A:$A,FALSE),MATCH(S$1,Winter!$1:$1,FALSE))="","",INDEX(Winter!$1:$1048576,MATCH($A94,Winter!$A:$A,FALSE),MATCH(S$1,Winter!$1:$1,FALSE))),"")</f>
        <v>4A</v>
      </c>
      <c r="T94" t="str">
        <f>IFERROR(IF(INDEX(Winter!$1:$1048576,MATCH($A94,Winter!$A:$A,FALSE),MATCH(T$1,Winter!$1:$1,FALSE))="","",INDEX(Winter!$1:$1048576,MATCH($A94,Winter!$A:$A,FALSE),MATCH(T$1,Winter!$1:$1,FALSE))),"")</f>
        <v>3A</v>
      </c>
      <c r="U94" t="str">
        <f>IFERROR(IF(INDEX(Winter!$1:$1048576,MATCH($A94,Winter!$A:$A,FALSE),MATCH(U$1,Winter!$1:$1,FALSE))="","",INDEX(Winter!$1:$1048576,MATCH($A94,Winter!$A:$A,FALSE),MATCH(U$1,Winter!$1:$1,FALSE))),"")</f>
        <v>3A</v>
      </c>
      <c r="V94" t="str">
        <f>IFERROR(IF(INDEX(Winter!$1:$1048576,MATCH($A94,Winter!$A:$A,FALSE),MATCH(V$1,Winter!$1:$1,FALSE))="","",INDEX(Winter!$1:$1048576,MATCH($A94,Winter!$A:$A,FALSE),MATCH(V$1,Winter!$1:$1,FALSE))),"")</f>
        <v>2A</v>
      </c>
      <c r="W94" t="str">
        <f>IFERROR(IF(INDEX(Winter!$1:$1048576,MATCH($A94,Winter!$A:$A,FALSE),MATCH(W$1,Winter!$1:$1,FALSE))="","",INDEX(Winter!$1:$1048576,MATCH($A94,Winter!$A:$A,FALSE),MATCH(W$1,Winter!$1:$1,FALSE))),"")</f>
        <v>3A</v>
      </c>
      <c r="Y94" t="str">
        <f>IFERROR(IF(INDEX(Spring!$1:$1048576,MATCH($A94,Spring!$A:$A,FALSE),MATCH(Y$1,Spring!$1:$1,FALSE))="","",INDEX(Spring!$1:$1048576,MATCH($A94,Spring!$A:$A,FALSE),MATCH(Y$1,Spring!$1:$1,FALSE))),"")</f>
        <v>4A</v>
      </c>
      <c r="Z94" t="str">
        <f>IFERROR(IF(INDEX(Spring!$1:$1048576,MATCH($A94,Spring!$A:$A,FALSE),MATCH(Z$1,Spring!$1:$1,FALSE))="","",INDEX(Spring!$1:$1048576,MATCH($A94,Spring!$A:$A,FALSE),MATCH(Z$1,Spring!$1:$1,FALSE))),"")</f>
        <v>4A</v>
      </c>
      <c r="AA94" t="str">
        <f>IFERROR(IF(INDEX(Spring!$1:$1048576,MATCH($A94,Spring!$A:$A,FALSE),MATCH(AA$1,Spring!$1:$1,FALSE))="","",INDEX(Spring!$1:$1048576,MATCH($A94,Spring!$A:$A,FALSE),MATCH(AA$1,Spring!$1:$1,FALSE))),"")</f>
        <v>3A</v>
      </c>
      <c r="AB94" t="str">
        <f>IFERROR(IF(INDEX(Spring!$1:$1048576,MATCH($A94,Spring!$A:$A,FALSE),MATCH(AB$1,Spring!$1:$1,FALSE))="","",INDEX(Spring!$1:$1048576,MATCH($A94,Spring!$A:$A,FALSE),MATCH(AB$1,Spring!$1:$1,FALSE))),"")</f>
        <v>2A</v>
      </c>
      <c r="AC94" t="str">
        <f>IFERROR(IF(INDEX(Spring!$1:$1048576,MATCH($A94,Spring!$A:$A,FALSE),MATCH(AC$1,Spring!$1:$1,FALSE))="","",INDEX(Spring!$1:$1048576,MATCH($A94,Spring!$A:$A,FALSE),MATCH(AC$1,Spring!$1:$1,FALSE))),"")</f>
        <v>3A</v>
      </c>
      <c r="AD94" t="str">
        <f>IFERROR(IF(INDEX(Spring!$1:$1048576,MATCH($A94,Spring!$A:$A,FALSE),MATCH(AD$1,Spring!$1:$1,FALSE))="","",INDEX(Spring!$1:$1048576,MATCH($A94,Spring!$A:$A,FALSE),MATCH(AD$1,Spring!$1:$1,FALSE))),"")</f>
        <v>3A</v>
      </c>
    </row>
    <row r="95" spans="1:30" ht="15.75" thickBot="1" x14ac:dyDescent="0.3">
      <c r="A95" s="48" t="s">
        <v>113</v>
      </c>
      <c r="B95" s="49">
        <v>95</v>
      </c>
      <c r="C95" s="50"/>
      <c r="D95" s="50"/>
      <c r="E95" s="50"/>
      <c r="F95" s="45"/>
      <c r="G95" s="45"/>
      <c r="H95" s="44"/>
      <c r="J95" t="str">
        <f>IFERROR(IF(INDEX(Fall!$1:$1048576,MATCH($A95,Fall!$A:$A,FALSE),MATCH(J$1,Fall!$1:$1,FALSE))="","",INDEX(Fall!$1:$1048576,MATCH($A95,Fall!$A:$A,FALSE),MATCH(J$1,Fall!$1:$1,FALSE))),"")</f>
        <v>1A</v>
      </c>
      <c r="K95" t="str">
        <f>IFERROR(IF(INDEX(Fall!$1:$1048576,MATCH($A95,Fall!$A:$A,FALSE),MATCH(K$1,Fall!$1:$1,FALSE))="","",INDEX(Fall!$1:$1048576,MATCH($A95,Fall!$A:$A,FALSE),MATCH(K$1,Fall!$1:$1,FALSE))),"")</f>
        <v>1A</v>
      </c>
      <c r="L95" t="str">
        <f>IFERROR(IF(INDEX(Fall!$1:$1048576,MATCH($A95,Fall!$A:$A,FALSE),MATCH(L$1,Fall!$1:$1,FALSE))="","",INDEX(Fall!$1:$1048576,MATCH($A95,Fall!$A:$A,FALSE),MATCH(L$1,Fall!$1:$1,FALSE))),"")</f>
        <v/>
      </c>
      <c r="M95" t="str">
        <f>IFERROR(IF(INDEX(Fall!$1:$1048576,MATCH($A95,Fall!$A:$A,FALSE),MATCH(M$1,Fall!$1:$1,FALSE))="","",INDEX(Fall!$1:$1048576,MATCH($A95,Fall!$A:$A,FALSE),MATCH(M$1,Fall!$1:$1,FALSE))),"")</f>
        <v/>
      </c>
      <c r="N95" t="str">
        <f>IFERROR(IF(INDEX(Fall!$1:$1048576,MATCH($A95,Fall!$A:$A,FALSE),MATCH(N$1,Fall!$1:$1,FALSE))="","",INDEX(Fall!$1:$1048576,MATCH($A95,Fall!$A:$A,FALSE),MATCH(N$1,Fall!$1:$1,FALSE))),"")</f>
        <v/>
      </c>
      <c r="O95" t="str">
        <f>IFERROR(IF(INDEX(Fall!$1:$1048576,MATCH($A95,Fall!$A:$A,FALSE),MATCH(O$1,Fall!$1:$1,FALSE))="","",INDEX(Fall!$1:$1048576,MATCH($A95,Fall!$A:$A,FALSE),MATCH(O$1,Fall!$1:$1,FALSE))),"")</f>
        <v/>
      </c>
      <c r="P95" t="str">
        <f>IFERROR(IF(INDEX(Fall!$1:$1048576,MATCH($A95,Fall!$A:$A,FALSE),MATCH(P$1,Fall!$1:$1,FALSE))="","",INDEX(Fall!$1:$1048576,MATCH($A95,Fall!$A:$A,FALSE),MATCH(P$1,Fall!$1:$1,FALSE))),"")</f>
        <v>1A</v>
      </c>
      <c r="R95" t="str">
        <f>IFERROR(IF(INDEX(Winter!$1:$1048576,MATCH($A95,Winter!$A:$A,FALSE),MATCH(R$1,Winter!$1:$1,FALSE))="","",INDEX(Winter!$1:$1048576,MATCH($A95,Winter!$A:$A,FALSE),MATCH(R$1,Winter!$1:$1,FALSE))),"")</f>
        <v>1A</v>
      </c>
      <c r="S95" t="str">
        <f>IFERROR(IF(INDEX(Winter!$1:$1048576,MATCH($A95,Winter!$A:$A,FALSE),MATCH(S$1,Winter!$1:$1,FALSE))="","",INDEX(Winter!$1:$1048576,MATCH($A95,Winter!$A:$A,FALSE),MATCH(S$1,Winter!$1:$1,FALSE))),"")</f>
        <v/>
      </c>
      <c r="T95" t="str">
        <f>IFERROR(IF(INDEX(Winter!$1:$1048576,MATCH($A95,Winter!$A:$A,FALSE),MATCH(T$1,Winter!$1:$1,FALSE))="","",INDEX(Winter!$1:$1048576,MATCH($A95,Winter!$A:$A,FALSE),MATCH(T$1,Winter!$1:$1,FALSE))),"")</f>
        <v/>
      </c>
      <c r="U95" t="str">
        <f>IFERROR(IF(INDEX(Winter!$1:$1048576,MATCH($A95,Winter!$A:$A,FALSE),MATCH(U$1,Winter!$1:$1,FALSE))="","",INDEX(Winter!$1:$1048576,MATCH($A95,Winter!$A:$A,FALSE),MATCH(U$1,Winter!$1:$1,FALSE))),"")</f>
        <v/>
      </c>
      <c r="V95" t="str">
        <f>IFERROR(IF(INDEX(Winter!$1:$1048576,MATCH($A95,Winter!$A:$A,FALSE),MATCH(V$1,Winter!$1:$1,FALSE))="","",INDEX(Winter!$1:$1048576,MATCH($A95,Winter!$A:$A,FALSE),MATCH(V$1,Winter!$1:$1,FALSE))),"")</f>
        <v>1A</v>
      </c>
      <c r="W95" t="str">
        <f>IFERROR(IF(INDEX(Winter!$1:$1048576,MATCH($A95,Winter!$A:$A,FALSE),MATCH(W$1,Winter!$1:$1,FALSE))="","",INDEX(Winter!$1:$1048576,MATCH($A95,Winter!$A:$A,FALSE),MATCH(W$1,Winter!$1:$1,FALSE))),"")</f>
        <v/>
      </c>
      <c r="Y95" t="str">
        <f>IFERROR(IF(INDEX(Spring!$1:$1048576,MATCH($A95,Spring!$A:$A,FALSE),MATCH(Y$1,Spring!$1:$1,FALSE))="","",INDEX(Spring!$1:$1048576,MATCH($A95,Spring!$A:$A,FALSE),MATCH(Y$1,Spring!$1:$1,FALSE))),"")</f>
        <v>1A</v>
      </c>
      <c r="Z95" t="str">
        <f>IFERROR(IF(INDEX(Spring!$1:$1048576,MATCH($A95,Spring!$A:$A,FALSE),MATCH(Z$1,Spring!$1:$1,FALSE))="","",INDEX(Spring!$1:$1048576,MATCH($A95,Spring!$A:$A,FALSE),MATCH(Z$1,Spring!$1:$1,FALSE))),"")</f>
        <v>1A</v>
      </c>
      <c r="AA95" t="str">
        <f>IFERROR(IF(INDEX(Spring!$1:$1048576,MATCH($A95,Spring!$A:$A,FALSE),MATCH(AA$1,Spring!$1:$1,FALSE))="","",INDEX(Spring!$1:$1048576,MATCH($A95,Spring!$A:$A,FALSE),MATCH(AA$1,Spring!$1:$1,FALSE))),"")</f>
        <v/>
      </c>
      <c r="AB95" t="str">
        <f>IFERROR(IF(INDEX(Spring!$1:$1048576,MATCH($A95,Spring!$A:$A,FALSE),MATCH(AB$1,Spring!$1:$1,FALSE))="","",INDEX(Spring!$1:$1048576,MATCH($A95,Spring!$A:$A,FALSE),MATCH(AB$1,Spring!$1:$1,FALSE))),"")</f>
        <v/>
      </c>
      <c r="AC95" t="str">
        <f>IFERROR(IF(INDEX(Spring!$1:$1048576,MATCH($A95,Spring!$A:$A,FALSE),MATCH(AC$1,Spring!$1:$1,FALSE))="","",INDEX(Spring!$1:$1048576,MATCH($A95,Spring!$A:$A,FALSE),MATCH(AC$1,Spring!$1:$1,FALSE))),"")</f>
        <v/>
      </c>
      <c r="AD95" t="str">
        <f>IFERROR(IF(INDEX(Spring!$1:$1048576,MATCH($A95,Spring!$A:$A,FALSE),MATCH(AD$1,Spring!$1:$1,FALSE))="","",INDEX(Spring!$1:$1048576,MATCH($A95,Spring!$A:$A,FALSE),MATCH(AD$1,Spring!$1:$1,FALSE))),"")</f>
        <v/>
      </c>
    </row>
    <row r="96" spans="1:30" ht="15.75" thickBot="1" x14ac:dyDescent="0.3">
      <c r="A96" s="48" t="s">
        <v>114</v>
      </c>
      <c r="B96" s="49">
        <v>173</v>
      </c>
      <c r="C96" s="50"/>
      <c r="D96" s="50"/>
      <c r="E96" s="50"/>
      <c r="F96" s="45"/>
      <c r="G96" s="45"/>
      <c r="H96" s="44"/>
      <c r="J96" t="str">
        <f>IFERROR(IF(INDEX(Fall!$1:$1048576,MATCH($A96,Fall!$A:$A,FALSE),MATCH(J$1,Fall!$1:$1,FALSE))="","",INDEX(Fall!$1:$1048576,MATCH($A96,Fall!$A:$A,FALSE),MATCH(J$1,Fall!$1:$1,FALSE))),"")</f>
        <v>1A</v>
      </c>
      <c r="K96" t="str">
        <f>IFERROR(IF(INDEX(Fall!$1:$1048576,MATCH($A96,Fall!$A:$A,FALSE),MATCH(K$1,Fall!$1:$1,FALSE))="","",INDEX(Fall!$1:$1048576,MATCH($A96,Fall!$A:$A,FALSE),MATCH(K$1,Fall!$1:$1,FALSE))),"")</f>
        <v>1A</v>
      </c>
      <c r="L96" t="str">
        <f>IFERROR(IF(INDEX(Fall!$1:$1048576,MATCH($A96,Fall!$A:$A,FALSE),MATCH(L$1,Fall!$1:$1,FALSE))="","",INDEX(Fall!$1:$1048576,MATCH($A96,Fall!$A:$A,FALSE),MATCH(L$1,Fall!$1:$1,FALSE))),"")</f>
        <v/>
      </c>
      <c r="M96" t="str">
        <f>IFERROR(IF(INDEX(Fall!$1:$1048576,MATCH($A96,Fall!$A:$A,FALSE),MATCH(M$1,Fall!$1:$1,FALSE))="","",INDEX(Fall!$1:$1048576,MATCH($A96,Fall!$A:$A,FALSE),MATCH(M$1,Fall!$1:$1,FALSE))),"")</f>
        <v/>
      </c>
      <c r="N96" t="str">
        <f>IFERROR(IF(INDEX(Fall!$1:$1048576,MATCH($A96,Fall!$A:$A,FALSE),MATCH(N$1,Fall!$1:$1,FALSE))="","",INDEX(Fall!$1:$1048576,MATCH($A96,Fall!$A:$A,FALSE),MATCH(N$1,Fall!$1:$1,FALSE))),"")</f>
        <v/>
      </c>
      <c r="O96" t="str">
        <f>IFERROR(IF(INDEX(Fall!$1:$1048576,MATCH($A96,Fall!$A:$A,FALSE),MATCH(O$1,Fall!$1:$1,FALSE))="","",INDEX(Fall!$1:$1048576,MATCH($A96,Fall!$A:$A,FALSE),MATCH(O$1,Fall!$1:$1,FALSE))),"")</f>
        <v/>
      </c>
      <c r="P96" t="str">
        <f>IFERROR(IF(INDEX(Fall!$1:$1048576,MATCH($A96,Fall!$A:$A,FALSE),MATCH(P$1,Fall!$1:$1,FALSE))="","",INDEX(Fall!$1:$1048576,MATCH($A96,Fall!$A:$A,FALSE),MATCH(P$1,Fall!$1:$1,FALSE))),"")</f>
        <v>1A</v>
      </c>
      <c r="R96" t="str">
        <f>IFERROR(IF(INDEX(Winter!$1:$1048576,MATCH($A96,Winter!$A:$A,FALSE),MATCH(R$1,Winter!$1:$1,FALSE))="","",INDEX(Winter!$1:$1048576,MATCH($A96,Winter!$A:$A,FALSE),MATCH(R$1,Winter!$1:$1,FALSE))),"")</f>
        <v>1A</v>
      </c>
      <c r="S96" t="str">
        <f>IFERROR(IF(INDEX(Winter!$1:$1048576,MATCH($A96,Winter!$A:$A,FALSE),MATCH(S$1,Winter!$1:$1,FALSE))="","",INDEX(Winter!$1:$1048576,MATCH($A96,Winter!$A:$A,FALSE),MATCH(S$1,Winter!$1:$1,FALSE))),"")</f>
        <v>1A</v>
      </c>
      <c r="T96" t="str">
        <f>IFERROR(IF(INDEX(Winter!$1:$1048576,MATCH($A96,Winter!$A:$A,FALSE),MATCH(T$1,Winter!$1:$1,FALSE))="","",INDEX(Winter!$1:$1048576,MATCH($A96,Winter!$A:$A,FALSE),MATCH(T$1,Winter!$1:$1,FALSE))),"")</f>
        <v/>
      </c>
      <c r="U96" t="str">
        <f>IFERROR(IF(INDEX(Winter!$1:$1048576,MATCH($A96,Winter!$A:$A,FALSE),MATCH(U$1,Winter!$1:$1,FALSE))="","",INDEX(Winter!$1:$1048576,MATCH($A96,Winter!$A:$A,FALSE),MATCH(U$1,Winter!$1:$1,FALSE))),"")</f>
        <v/>
      </c>
      <c r="V96" t="str">
        <f>IFERROR(IF(INDEX(Winter!$1:$1048576,MATCH($A96,Winter!$A:$A,FALSE),MATCH(V$1,Winter!$1:$1,FALSE))="","",INDEX(Winter!$1:$1048576,MATCH($A96,Winter!$A:$A,FALSE),MATCH(V$1,Winter!$1:$1,FALSE))),"")</f>
        <v/>
      </c>
      <c r="W96" t="str">
        <f>IFERROR(IF(INDEX(Winter!$1:$1048576,MATCH($A96,Winter!$A:$A,FALSE),MATCH(W$1,Winter!$1:$1,FALSE))="","",INDEX(Winter!$1:$1048576,MATCH($A96,Winter!$A:$A,FALSE),MATCH(W$1,Winter!$1:$1,FALSE))),"")</f>
        <v/>
      </c>
      <c r="Y96" t="str">
        <f>IFERROR(IF(INDEX(Spring!$1:$1048576,MATCH($A96,Spring!$A:$A,FALSE),MATCH(Y$1,Spring!$1:$1,FALSE))="","",INDEX(Spring!$1:$1048576,MATCH($A96,Spring!$A:$A,FALSE),MATCH(Y$1,Spring!$1:$1,FALSE))),"")</f>
        <v>1A</v>
      </c>
      <c r="Z96" t="str">
        <f>IFERROR(IF(INDEX(Spring!$1:$1048576,MATCH($A96,Spring!$A:$A,FALSE),MATCH(Z$1,Spring!$1:$1,FALSE))="","",INDEX(Spring!$1:$1048576,MATCH($A96,Spring!$A:$A,FALSE),MATCH(Z$1,Spring!$1:$1,FALSE))),"")</f>
        <v>1A</v>
      </c>
      <c r="AA96" t="str">
        <f>IFERROR(IF(INDEX(Spring!$1:$1048576,MATCH($A96,Spring!$A:$A,FALSE),MATCH(AA$1,Spring!$1:$1,FALSE))="","",INDEX(Spring!$1:$1048576,MATCH($A96,Spring!$A:$A,FALSE),MATCH(AA$1,Spring!$1:$1,FALSE))),"")</f>
        <v/>
      </c>
      <c r="AB96" t="str">
        <f>IFERROR(IF(INDEX(Spring!$1:$1048576,MATCH($A96,Spring!$A:$A,FALSE),MATCH(AB$1,Spring!$1:$1,FALSE))="","",INDEX(Spring!$1:$1048576,MATCH($A96,Spring!$A:$A,FALSE),MATCH(AB$1,Spring!$1:$1,FALSE))),"")</f>
        <v/>
      </c>
      <c r="AC96" t="str">
        <f>IFERROR(IF(INDEX(Spring!$1:$1048576,MATCH($A96,Spring!$A:$A,FALSE),MATCH(AC$1,Spring!$1:$1,FALSE))="","",INDEX(Spring!$1:$1048576,MATCH($A96,Spring!$A:$A,FALSE),MATCH(AC$1,Spring!$1:$1,FALSE))),"")</f>
        <v>1A</v>
      </c>
      <c r="AD96" t="str">
        <f>IFERROR(IF(INDEX(Spring!$1:$1048576,MATCH($A96,Spring!$A:$A,FALSE),MATCH(AD$1,Spring!$1:$1,FALSE))="","",INDEX(Spring!$1:$1048576,MATCH($A96,Spring!$A:$A,FALSE),MATCH(AD$1,Spring!$1:$1,FALSE))),"")</f>
        <v>1A</v>
      </c>
    </row>
    <row r="97" spans="1:30" ht="15.75" thickBot="1" x14ac:dyDescent="0.3">
      <c r="A97" s="48" t="s">
        <v>115</v>
      </c>
      <c r="B97" s="49">
        <v>668</v>
      </c>
      <c r="C97" s="50"/>
      <c r="D97" s="50"/>
      <c r="E97" s="50"/>
      <c r="F97" s="45"/>
      <c r="G97" s="45"/>
      <c r="H97" s="44"/>
      <c r="J97" t="str">
        <f>IFERROR(IF(INDEX(Fall!$1:$1048576,MATCH($A97,Fall!$A:$A,FALSE),MATCH(J$1,Fall!$1:$1,FALSE))="","",INDEX(Fall!$1:$1048576,MATCH($A97,Fall!$A:$A,FALSE),MATCH(J$1,Fall!$1:$1,FALSE))),"")</f>
        <v>2A</v>
      </c>
      <c r="K97" t="str">
        <f>IFERROR(IF(INDEX(Fall!$1:$1048576,MATCH($A97,Fall!$A:$A,FALSE),MATCH(K$1,Fall!$1:$1,FALSE))="","",INDEX(Fall!$1:$1048576,MATCH($A97,Fall!$A:$A,FALSE),MATCH(K$1,Fall!$1:$1,FALSE))),"")</f>
        <v>2A</v>
      </c>
      <c r="L97" t="str">
        <f>IFERROR(IF(INDEX(Fall!$1:$1048576,MATCH($A97,Fall!$A:$A,FALSE),MATCH(L$1,Fall!$1:$1,FALSE))="","",INDEX(Fall!$1:$1048576,MATCH($A97,Fall!$A:$A,FALSE),MATCH(L$1,Fall!$1:$1,FALSE))),"")</f>
        <v>2A</v>
      </c>
      <c r="M97" t="str">
        <f>IFERROR(IF(INDEX(Fall!$1:$1048576,MATCH($A97,Fall!$A:$A,FALSE),MATCH(M$1,Fall!$1:$1,FALSE))="","",INDEX(Fall!$1:$1048576,MATCH($A97,Fall!$A:$A,FALSE),MATCH(M$1,Fall!$1:$1,FALSE))),"")</f>
        <v>1A</v>
      </c>
      <c r="N97" t="str">
        <f>IFERROR(IF(INDEX(Fall!$1:$1048576,MATCH($A97,Fall!$A:$A,FALSE),MATCH(N$1,Fall!$1:$1,FALSE))="","",INDEX(Fall!$1:$1048576,MATCH($A97,Fall!$A:$A,FALSE),MATCH(N$1,Fall!$1:$1,FALSE))),"")</f>
        <v>2A</v>
      </c>
      <c r="O97" t="str">
        <f>IFERROR(IF(INDEX(Fall!$1:$1048576,MATCH($A97,Fall!$A:$A,FALSE),MATCH(O$1,Fall!$1:$1,FALSE))="","",INDEX(Fall!$1:$1048576,MATCH($A97,Fall!$A:$A,FALSE),MATCH(O$1,Fall!$1:$1,FALSE))),"")</f>
        <v>1A</v>
      </c>
      <c r="P97" t="str">
        <f>IFERROR(IF(INDEX(Fall!$1:$1048576,MATCH($A97,Fall!$A:$A,FALSE),MATCH(P$1,Fall!$1:$1,FALSE))="","",INDEX(Fall!$1:$1048576,MATCH($A97,Fall!$A:$A,FALSE),MATCH(P$1,Fall!$1:$1,FALSE))),"")</f>
        <v>2A</v>
      </c>
      <c r="R97" t="str">
        <f>IFERROR(IF(INDEX(Winter!$1:$1048576,MATCH($A97,Winter!$A:$A,FALSE),MATCH(R$1,Winter!$1:$1,FALSE))="","",INDEX(Winter!$1:$1048576,MATCH($A97,Winter!$A:$A,FALSE),MATCH(R$1,Winter!$1:$1,FALSE))),"")</f>
        <v>2A</v>
      </c>
      <c r="S97" t="str">
        <f>IFERROR(IF(INDEX(Winter!$1:$1048576,MATCH($A97,Winter!$A:$A,FALSE),MATCH(S$1,Winter!$1:$1,FALSE))="","",INDEX(Winter!$1:$1048576,MATCH($A97,Winter!$A:$A,FALSE),MATCH(S$1,Winter!$1:$1,FALSE))),"")</f>
        <v>2A</v>
      </c>
      <c r="T97" t="str">
        <f>IFERROR(IF(INDEX(Winter!$1:$1048576,MATCH($A97,Winter!$A:$A,FALSE),MATCH(T$1,Winter!$1:$1,FALSE))="","",INDEX(Winter!$1:$1048576,MATCH($A97,Winter!$A:$A,FALSE),MATCH(T$1,Winter!$1:$1,FALSE))),"")</f>
        <v>1A</v>
      </c>
      <c r="U97" t="str">
        <f>IFERROR(IF(INDEX(Winter!$1:$1048576,MATCH($A97,Winter!$A:$A,FALSE),MATCH(U$1,Winter!$1:$1,FALSE))="","",INDEX(Winter!$1:$1048576,MATCH($A97,Winter!$A:$A,FALSE),MATCH(U$1,Winter!$1:$1,FALSE))),"")</f>
        <v>1A</v>
      </c>
      <c r="V97" t="str">
        <f>IFERROR(IF(INDEX(Winter!$1:$1048576,MATCH($A97,Winter!$A:$A,FALSE),MATCH(V$1,Winter!$1:$1,FALSE))="","",INDEX(Winter!$1:$1048576,MATCH($A97,Winter!$A:$A,FALSE),MATCH(V$1,Winter!$1:$1,FALSE))),"")</f>
        <v>2A</v>
      </c>
      <c r="W97" t="str">
        <f>IFERROR(IF(INDEX(Winter!$1:$1048576,MATCH($A97,Winter!$A:$A,FALSE),MATCH(W$1,Winter!$1:$1,FALSE))="","",INDEX(Winter!$1:$1048576,MATCH($A97,Winter!$A:$A,FALSE),MATCH(W$1,Winter!$1:$1,FALSE))),"")</f>
        <v>1A</v>
      </c>
      <c r="Y97" t="str">
        <f>IFERROR(IF(INDEX(Spring!$1:$1048576,MATCH($A97,Spring!$A:$A,FALSE),MATCH(Y$1,Spring!$1:$1,FALSE))="","",INDEX(Spring!$1:$1048576,MATCH($A97,Spring!$A:$A,FALSE),MATCH(Y$1,Spring!$1:$1,FALSE))),"")</f>
        <v>2A</v>
      </c>
      <c r="Z97" t="str">
        <f>IFERROR(IF(INDEX(Spring!$1:$1048576,MATCH($A97,Spring!$A:$A,FALSE),MATCH(Z$1,Spring!$1:$1,FALSE))="","",INDEX(Spring!$1:$1048576,MATCH($A97,Spring!$A:$A,FALSE),MATCH(Z$1,Spring!$1:$1,FALSE))),"")</f>
        <v>2A</v>
      </c>
      <c r="AA97" t="str">
        <f>IFERROR(IF(INDEX(Spring!$1:$1048576,MATCH($A97,Spring!$A:$A,FALSE),MATCH(AA$1,Spring!$1:$1,FALSE))="","",INDEX(Spring!$1:$1048576,MATCH($A97,Spring!$A:$A,FALSE),MATCH(AA$1,Spring!$1:$1,FALSE))),"")</f>
        <v>2A</v>
      </c>
      <c r="AB97" t="str">
        <f>IFERROR(IF(INDEX(Spring!$1:$1048576,MATCH($A97,Spring!$A:$A,FALSE),MATCH(AB$1,Spring!$1:$1,FALSE))="","",INDEX(Spring!$1:$1048576,MATCH($A97,Spring!$A:$A,FALSE),MATCH(AB$1,Spring!$1:$1,FALSE))),"")</f>
        <v>1A</v>
      </c>
      <c r="AC97" t="str">
        <f>IFERROR(IF(INDEX(Spring!$1:$1048576,MATCH($A97,Spring!$A:$A,FALSE),MATCH(AC$1,Spring!$1:$1,FALSE))="","",INDEX(Spring!$1:$1048576,MATCH($A97,Spring!$A:$A,FALSE),MATCH(AC$1,Spring!$1:$1,FALSE))),"")</f>
        <v>2A</v>
      </c>
      <c r="AD97" t="str">
        <f>IFERROR(IF(INDEX(Spring!$1:$1048576,MATCH($A97,Spring!$A:$A,FALSE),MATCH(AD$1,Spring!$1:$1,FALSE))="","",INDEX(Spring!$1:$1048576,MATCH($A97,Spring!$A:$A,FALSE),MATCH(AD$1,Spring!$1:$1,FALSE))),"")</f>
        <v>2A</v>
      </c>
    </row>
    <row r="98" spans="1:30" ht="15.75" thickBot="1" x14ac:dyDescent="0.3">
      <c r="A98" s="48" t="s">
        <v>116</v>
      </c>
      <c r="B98" s="49">
        <v>355</v>
      </c>
      <c r="C98" s="50"/>
      <c r="D98" s="50"/>
      <c r="E98" s="50"/>
      <c r="F98" s="45"/>
      <c r="G98" s="45"/>
      <c r="H98" s="44"/>
      <c r="J98" t="str">
        <f>IFERROR(IF(INDEX(Fall!$1:$1048576,MATCH($A98,Fall!$A:$A,FALSE),MATCH(J$1,Fall!$1:$1,FALSE))="","",INDEX(Fall!$1:$1048576,MATCH($A98,Fall!$A:$A,FALSE),MATCH(J$1,Fall!$1:$1,FALSE))),"")</f>
        <v>1A</v>
      </c>
      <c r="K98" t="str">
        <f>IFERROR(IF(INDEX(Fall!$1:$1048576,MATCH($A98,Fall!$A:$A,FALSE),MATCH(K$1,Fall!$1:$1,FALSE))="","",INDEX(Fall!$1:$1048576,MATCH($A98,Fall!$A:$A,FALSE),MATCH(K$1,Fall!$1:$1,FALSE))),"")</f>
        <v>1A</v>
      </c>
      <c r="L98" t="str">
        <f>IFERROR(IF(INDEX(Fall!$1:$1048576,MATCH($A98,Fall!$A:$A,FALSE),MATCH(L$1,Fall!$1:$1,FALSE))="","",INDEX(Fall!$1:$1048576,MATCH($A98,Fall!$A:$A,FALSE),MATCH(L$1,Fall!$1:$1,FALSE))),"")</f>
        <v>1A</v>
      </c>
      <c r="M98" t="str">
        <f>IFERROR(IF(INDEX(Fall!$1:$1048576,MATCH($A98,Fall!$A:$A,FALSE),MATCH(M$1,Fall!$1:$1,FALSE))="","",INDEX(Fall!$1:$1048576,MATCH($A98,Fall!$A:$A,FALSE),MATCH(M$1,Fall!$1:$1,FALSE))),"")</f>
        <v>1A</v>
      </c>
      <c r="N98" t="str">
        <f>IFERROR(IF(INDEX(Fall!$1:$1048576,MATCH($A98,Fall!$A:$A,FALSE),MATCH(N$1,Fall!$1:$1,FALSE))="","",INDEX(Fall!$1:$1048576,MATCH($A98,Fall!$A:$A,FALSE),MATCH(N$1,Fall!$1:$1,FALSE))),"")</f>
        <v/>
      </c>
      <c r="O98" t="str">
        <f>IFERROR(IF(INDEX(Fall!$1:$1048576,MATCH($A98,Fall!$A:$A,FALSE),MATCH(O$1,Fall!$1:$1,FALSE))="","",INDEX(Fall!$1:$1048576,MATCH($A98,Fall!$A:$A,FALSE),MATCH(O$1,Fall!$1:$1,FALSE))),"")</f>
        <v/>
      </c>
      <c r="P98" t="str">
        <f>IFERROR(IF(INDEX(Fall!$1:$1048576,MATCH($A98,Fall!$A:$A,FALSE),MATCH(P$1,Fall!$1:$1,FALSE))="","",INDEX(Fall!$1:$1048576,MATCH($A98,Fall!$A:$A,FALSE),MATCH(P$1,Fall!$1:$1,FALSE))),"")</f>
        <v>2A</v>
      </c>
      <c r="R98" t="str">
        <f>IFERROR(IF(INDEX(Winter!$1:$1048576,MATCH($A98,Winter!$A:$A,FALSE),MATCH(R$1,Winter!$1:$1,FALSE))="","",INDEX(Winter!$1:$1048576,MATCH($A98,Winter!$A:$A,FALSE),MATCH(R$1,Winter!$1:$1,FALSE))),"")</f>
        <v>2A</v>
      </c>
      <c r="S98" t="str">
        <f>IFERROR(IF(INDEX(Winter!$1:$1048576,MATCH($A98,Winter!$A:$A,FALSE),MATCH(S$1,Winter!$1:$1,FALSE))="","",INDEX(Winter!$1:$1048576,MATCH($A98,Winter!$A:$A,FALSE),MATCH(S$1,Winter!$1:$1,FALSE))),"")</f>
        <v>2A</v>
      </c>
      <c r="T98" t="str">
        <f>IFERROR(IF(INDEX(Winter!$1:$1048576,MATCH($A98,Winter!$A:$A,FALSE),MATCH(T$1,Winter!$1:$1,FALSE))="","",INDEX(Winter!$1:$1048576,MATCH($A98,Winter!$A:$A,FALSE),MATCH(T$1,Winter!$1:$1,FALSE))),"")</f>
        <v/>
      </c>
      <c r="U98" t="str">
        <f>IFERROR(IF(INDEX(Winter!$1:$1048576,MATCH($A98,Winter!$A:$A,FALSE),MATCH(U$1,Winter!$1:$1,FALSE))="","",INDEX(Winter!$1:$1048576,MATCH($A98,Winter!$A:$A,FALSE),MATCH(U$1,Winter!$1:$1,FALSE))),"")</f>
        <v>1A</v>
      </c>
      <c r="V98" t="str">
        <f>IFERROR(IF(INDEX(Winter!$1:$1048576,MATCH($A98,Winter!$A:$A,FALSE),MATCH(V$1,Winter!$1:$1,FALSE))="","",INDEX(Winter!$1:$1048576,MATCH($A98,Winter!$A:$A,FALSE),MATCH(V$1,Winter!$1:$1,FALSE))),"")</f>
        <v>1A</v>
      </c>
      <c r="W98" t="str">
        <f>IFERROR(IF(INDEX(Winter!$1:$1048576,MATCH($A98,Winter!$A:$A,FALSE),MATCH(W$1,Winter!$1:$1,FALSE))="","",INDEX(Winter!$1:$1048576,MATCH($A98,Winter!$A:$A,FALSE),MATCH(W$1,Winter!$1:$1,FALSE))),"")</f>
        <v>1A</v>
      </c>
      <c r="Y98" t="str">
        <f>IFERROR(IF(INDEX(Spring!$1:$1048576,MATCH($A98,Spring!$A:$A,FALSE),MATCH(Y$1,Spring!$1:$1,FALSE))="","",INDEX(Spring!$1:$1048576,MATCH($A98,Spring!$A:$A,FALSE),MATCH(Y$1,Spring!$1:$1,FALSE))),"")</f>
        <v>2A</v>
      </c>
      <c r="Z98" t="str">
        <f>IFERROR(IF(INDEX(Spring!$1:$1048576,MATCH($A98,Spring!$A:$A,FALSE),MATCH(Z$1,Spring!$1:$1,FALSE))="","",INDEX(Spring!$1:$1048576,MATCH($A98,Spring!$A:$A,FALSE),MATCH(Z$1,Spring!$1:$1,FALSE))),"")</f>
        <v>2A</v>
      </c>
      <c r="AA98" t="str">
        <f>IFERROR(IF(INDEX(Spring!$1:$1048576,MATCH($A98,Spring!$A:$A,FALSE),MATCH(AA$1,Spring!$1:$1,FALSE))="","",INDEX(Spring!$1:$1048576,MATCH($A98,Spring!$A:$A,FALSE),MATCH(AA$1,Spring!$1:$1,FALSE))),"")</f>
        <v/>
      </c>
      <c r="AB98" t="str">
        <f>IFERROR(IF(INDEX(Spring!$1:$1048576,MATCH($A98,Spring!$A:$A,FALSE),MATCH(AB$1,Spring!$1:$1,FALSE))="","",INDEX(Spring!$1:$1048576,MATCH($A98,Spring!$A:$A,FALSE),MATCH(AB$1,Spring!$1:$1,FALSE))),"")</f>
        <v/>
      </c>
      <c r="AC98" t="str">
        <f>IFERROR(IF(INDEX(Spring!$1:$1048576,MATCH($A98,Spring!$A:$A,FALSE),MATCH(AC$1,Spring!$1:$1,FALSE))="","",INDEX(Spring!$1:$1048576,MATCH($A98,Spring!$A:$A,FALSE),MATCH(AC$1,Spring!$1:$1,FALSE))),"")</f>
        <v>1A</v>
      </c>
      <c r="AD98" t="str">
        <f>IFERROR(IF(INDEX(Spring!$1:$1048576,MATCH($A98,Spring!$A:$A,FALSE),MATCH(AD$1,Spring!$1:$1,FALSE))="","",INDEX(Spring!$1:$1048576,MATCH($A98,Spring!$A:$A,FALSE),MATCH(AD$1,Spring!$1:$1,FALSE))),"")</f>
        <v>1A</v>
      </c>
    </row>
    <row r="99" spans="1:30" ht="15.75" thickBot="1" x14ac:dyDescent="0.3">
      <c r="A99" s="48" t="s">
        <v>117</v>
      </c>
      <c r="B99" s="49">
        <v>1326</v>
      </c>
      <c r="C99" s="50"/>
      <c r="D99" s="50"/>
      <c r="E99" s="50"/>
      <c r="F99" s="45"/>
      <c r="G99" s="45"/>
      <c r="H99" s="44"/>
      <c r="J99" t="str">
        <f>IFERROR(IF(INDEX(Fall!$1:$1048576,MATCH($A99,Fall!$A:$A,FALSE),MATCH(J$1,Fall!$1:$1,FALSE))="","",INDEX(Fall!$1:$1048576,MATCH($A99,Fall!$A:$A,FALSE),MATCH(J$1,Fall!$1:$1,FALSE))),"")</f>
        <v>2A</v>
      </c>
      <c r="K99" t="str">
        <f>IFERROR(IF(INDEX(Fall!$1:$1048576,MATCH($A99,Fall!$A:$A,FALSE),MATCH(K$1,Fall!$1:$1,FALSE))="","",INDEX(Fall!$1:$1048576,MATCH($A99,Fall!$A:$A,FALSE),MATCH(K$1,Fall!$1:$1,FALSE))),"")</f>
        <v>2A</v>
      </c>
      <c r="L99" t="str">
        <f>IFERROR(IF(INDEX(Fall!$1:$1048576,MATCH($A99,Fall!$A:$A,FALSE),MATCH(L$1,Fall!$1:$1,FALSE))="","",INDEX(Fall!$1:$1048576,MATCH($A99,Fall!$A:$A,FALSE),MATCH(L$1,Fall!$1:$1,FALSE))),"")</f>
        <v>2A</v>
      </c>
      <c r="M99" t="str">
        <f>IFERROR(IF(INDEX(Fall!$1:$1048576,MATCH($A99,Fall!$A:$A,FALSE),MATCH(M$1,Fall!$1:$1,FALSE))="","",INDEX(Fall!$1:$1048576,MATCH($A99,Fall!$A:$A,FALSE),MATCH(M$1,Fall!$1:$1,FALSE))),"")</f>
        <v/>
      </c>
      <c r="N99" t="str">
        <f>IFERROR(IF(INDEX(Fall!$1:$1048576,MATCH($A99,Fall!$A:$A,FALSE),MATCH(N$1,Fall!$1:$1,FALSE))="","",INDEX(Fall!$1:$1048576,MATCH($A99,Fall!$A:$A,FALSE),MATCH(N$1,Fall!$1:$1,FALSE))),"")</f>
        <v>2A</v>
      </c>
      <c r="O99" t="str">
        <f>IFERROR(IF(INDEX(Fall!$1:$1048576,MATCH($A99,Fall!$A:$A,FALSE),MATCH(O$1,Fall!$1:$1,FALSE))="","",INDEX(Fall!$1:$1048576,MATCH($A99,Fall!$A:$A,FALSE),MATCH(O$1,Fall!$1:$1,FALSE))),"")</f>
        <v>1A</v>
      </c>
      <c r="P99" t="str">
        <f>IFERROR(IF(INDEX(Fall!$1:$1048576,MATCH($A99,Fall!$A:$A,FALSE),MATCH(P$1,Fall!$1:$1,FALSE))="","",INDEX(Fall!$1:$1048576,MATCH($A99,Fall!$A:$A,FALSE),MATCH(P$1,Fall!$1:$1,FALSE))),"")</f>
        <v>3A</v>
      </c>
      <c r="R99" t="str">
        <f>IFERROR(IF(INDEX(Winter!$1:$1048576,MATCH($A99,Winter!$A:$A,FALSE),MATCH(R$1,Winter!$1:$1,FALSE))="","",INDEX(Winter!$1:$1048576,MATCH($A99,Winter!$A:$A,FALSE),MATCH(R$1,Winter!$1:$1,FALSE))),"")</f>
        <v>3A</v>
      </c>
      <c r="S99" t="str">
        <f>IFERROR(IF(INDEX(Winter!$1:$1048576,MATCH($A99,Winter!$A:$A,FALSE),MATCH(S$1,Winter!$1:$1,FALSE))="","",INDEX(Winter!$1:$1048576,MATCH($A99,Winter!$A:$A,FALSE),MATCH(S$1,Winter!$1:$1,FALSE))),"")</f>
        <v>3A</v>
      </c>
      <c r="T99" t="str">
        <f>IFERROR(IF(INDEX(Winter!$1:$1048576,MATCH($A99,Winter!$A:$A,FALSE),MATCH(T$1,Winter!$1:$1,FALSE))="","",INDEX(Winter!$1:$1048576,MATCH($A99,Winter!$A:$A,FALSE),MATCH(T$1,Winter!$1:$1,FALSE))),"")</f>
        <v>2A</v>
      </c>
      <c r="U99" t="str">
        <f>IFERROR(IF(INDEX(Winter!$1:$1048576,MATCH($A99,Winter!$A:$A,FALSE),MATCH(U$1,Winter!$1:$1,FALSE))="","",INDEX(Winter!$1:$1048576,MATCH($A99,Winter!$A:$A,FALSE),MATCH(U$1,Winter!$1:$1,FALSE))),"")</f>
        <v>2A</v>
      </c>
      <c r="V99" t="str">
        <f>IFERROR(IF(INDEX(Winter!$1:$1048576,MATCH($A99,Winter!$A:$A,FALSE),MATCH(V$1,Winter!$1:$1,FALSE))="","",INDEX(Winter!$1:$1048576,MATCH($A99,Winter!$A:$A,FALSE),MATCH(V$1,Winter!$1:$1,FALSE))),"")</f>
        <v>2A</v>
      </c>
      <c r="W99" t="str">
        <f>IFERROR(IF(INDEX(Winter!$1:$1048576,MATCH($A99,Winter!$A:$A,FALSE),MATCH(W$1,Winter!$1:$1,FALSE))="","",INDEX(Winter!$1:$1048576,MATCH($A99,Winter!$A:$A,FALSE),MATCH(W$1,Winter!$1:$1,FALSE))),"")</f>
        <v>2A</v>
      </c>
      <c r="Y99" t="str">
        <f>IFERROR(IF(INDEX(Spring!$1:$1048576,MATCH($A99,Spring!$A:$A,FALSE),MATCH(Y$1,Spring!$1:$1,FALSE))="","",INDEX(Spring!$1:$1048576,MATCH($A99,Spring!$A:$A,FALSE),MATCH(Y$1,Spring!$1:$1,FALSE))),"")</f>
        <v>3A</v>
      </c>
      <c r="Z99" t="str">
        <f>IFERROR(IF(INDEX(Spring!$1:$1048576,MATCH($A99,Spring!$A:$A,FALSE),MATCH(Z$1,Spring!$1:$1,FALSE))="","",INDEX(Spring!$1:$1048576,MATCH($A99,Spring!$A:$A,FALSE),MATCH(Z$1,Spring!$1:$1,FALSE))),"")</f>
        <v>3A</v>
      </c>
      <c r="AA99" t="str">
        <f>IFERROR(IF(INDEX(Spring!$1:$1048576,MATCH($A99,Spring!$A:$A,FALSE),MATCH(AA$1,Spring!$1:$1,FALSE))="","",INDEX(Spring!$1:$1048576,MATCH($A99,Spring!$A:$A,FALSE),MATCH(AA$1,Spring!$1:$1,FALSE))),"")</f>
        <v>2A</v>
      </c>
      <c r="AB99" t="str">
        <f>IFERROR(IF(INDEX(Spring!$1:$1048576,MATCH($A99,Spring!$A:$A,FALSE),MATCH(AB$1,Spring!$1:$1,FALSE))="","",INDEX(Spring!$1:$1048576,MATCH($A99,Spring!$A:$A,FALSE),MATCH(AB$1,Spring!$1:$1,FALSE))),"")</f>
        <v>1A</v>
      </c>
      <c r="AC99" t="str">
        <f>IFERROR(IF(INDEX(Spring!$1:$1048576,MATCH($A99,Spring!$A:$A,FALSE),MATCH(AC$1,Spring!$1:$1,FALSE))="","",INDEX(Spring!$1:$1048576,MATCH($A99,Spring!$A:$A,FALSE),MATCH(AC$1,Spring!$1:$1,FALSE))),"")</f>
        <v>3A</v>
      </c>
      <c r="AD99" t="str">
        <f>IFERROR(IF(INDEX(Spring!$1:$1048576,MATCH($A99,Spring!$A:$A,FALSE),MATCH(AD$1,Spring!$1:$1,FALSE))="","",INDEX(Spring!$1:$1048576,MATCH($A99,Spring!$A:$A,FALSE),MATCH(AD$1,Spring!$1:$1,FALSE))),"")</f>
        <v>3A</v>
      </c>
    </row>
    <row r="100" spans="1:30" ht="15.75" thickBot="1" x14ac:dyDescent="0.3">
      <c r="A100" s="48" t="s">
        <v>118</v>
      </c>
      <c r="B100" s="49">
        <v>239</v>
      </c>
      <c r="C100" s="50"/>
      <c r="D100" s="50"/>
      <c r="E100" s="50"/>
      <c r="F100" s="45"/>
      <c r="G100" s="45"/>
      <c r="H100" s="44"/>
      <c r="J100" t="str">
        <f>IFERROR(IF(INDEX(Fall!$1:$1048576,MATCH($A100,Fall!$A:$A,FALSE),MATCH(J$1,Fall!$1:$1,FALSE))="","",INDEX(Fall!$1:$1048576,MATCH($A100,Fall!$A:$A,FALSE),MATCH(J$1,Fall!$1:$1,FALSE))),"")</f>
        <v>1A</v>
      </c>
      <c r="K100" t="str">
        <f>IFERROR(IF(INDEX(Fall!$1:$1048576,MATCH($A100,Fall!$A:$A,FALSE),MATCH(K$1,Fall!$1:$1,FALSE))="","",INDEX(Fall!$1:$1048576,MATCH($A100,Fall!$A:$A,FALSE),MATCH(K$1,Fall!$1:$1,FALSE))),"")</f>
        <v>1A</v>
      </c>
      <c r="L100" t="str">
        <f>IFERROR(IF(INDEX(Fall!$1:$1048576,MATCH($A100,Fall!$A:$A,FALSE),MATCH(L$1,Fall!$1:$1,FALSE))="","",INDEX(Fall!$1:$1048576,MATCH($A100,Fall!$A:$A,FALSE),MATCH(L$1,Fall!$1:$1,FALSE))),"")</f>
        <v>1A</v>
      </c>
      <c r="M100" t="str">
        <f>IFERROR(IF(INDEX(Fall!$1:$1048576,MATCH($A100,Fall!$A:$A,FALSE),MATCH(M$1,Fall!$1:$1,FALSE))="","",INDEX(Fall!$1:$1048576,MATCH($A100,Fall!$A:$A,FALSE),MATCH(M$1,Fall!$1:$1,FALSE))),"")</f>
        <v/>
      </c>
      <c r="N100" t="str">
        <f>IFERROR(IF(INDEX(Fall!$1:$1048576,MATCH($A100,Fall!$A:$A,FALSE),MATCH(N$1,Fall!$1:$1,FALSE))="","",INDEX(Fall!$1:$1048576,MATCH($A100,Fall!$A:$A,FALSE),MATCH(N$1,Fall!$1:$1,FALSE))),"")</f>
        <v/>
      </c>
      <c r="O100" t="str">
        <f>IFERROR(IF(INDEX(Fall!$1:$1048576,MATCH($A100,Fall!$A:$A,FALSE),MATCH(O$1,Fall!$1:$1,FALSE))="","",INDEX(Fall!$1:$1048576,MATCH($A100,Fall!$A:$A,FALSE),MATCH(O$1,Fall!$1:$1,FALSE))),"")</f>
        <v>1A</v>
      </c>
      <c r="P100" t="str">
        <f>IFERROR(IF(INDEX(Fall!$1:$1048576,MATCH($A100,Fall!$A:$A,FALSE),MATCH(P$1,Fall!$1:$1,FALSE))="","",INDEX(Fall!$1:$1048576,MATCH($A100,Fall!$A:$A,FALSE),MATCH(P$1,Fall!$1:$1,FALSE))),"")</f>
        <v>1A</v>
      </c>
      <c r="R100" t="str">
        <f>IFERROR(IF(INDEX(Winter!$1:$1048576,MATCH($A100,Winter!$A:$A,FALSE),MATCH(R$1,Winter!$1:$1,FALSE))="","",INDEX(Winter!$1:$1048576,MATCH($A100,Winter!$A:$A,FALSE),MATCH(R$1,Winter!$1:$1,FALSE))),"")</f>
        <v>1A</v>
      </c>
      <c r="S100" t="str">
        <f>IFERROR(IF(INDEX(Winter!$1:$1048576,MATCH($A100,Winter!$A:$A,FALSE),MATCH(S$1,Winter!$1:$1,FALSE))="","",INDEX(Winter!$1:$1048576,MATCH($A100,Winter!$A:$A,FALSE),MATCH(S$1,Winter!$1:$1,FALSE))),"")</f>
        <v>1A</v>
      </c>
      <c r="T100" t="str">
        <f>IFERROR(IF(INDEX(Winter!$1:$1048576,MATCH($A100,Winter!$A:$A,FALSE),MATCH(T$1,Winter!$1:$1,FALSE))="","",INDEX(Winter!$1:$1048576,MATCH($A100,Winter!$A:$A,FALSE),MATCH(T$1,Winter!$1:$1,FALSE))),"")</f>
        <v/>
      </c>
      <c r="U100" t="str">
        <f>IFERROR(IF(INDEX(Winter!$1:$1048576,MATCH($A100,Winter!$A:$A,FALSE),MATCH(U$1,Winter!$1:$1,FALSE))="","",INDEX(Winter!$1:$1048576,MATCH($A100,Winter!$A:$A,FALSE),MATCH(U$1,Winter!$1:$1,FALSE))),"")</f>
        <v/>
      </c>
      <c r="V100" t="str">
        <f>IFERROR(IF(INDEX(Winter!$1:$1048576,MATCH($A100,Winter!$A:$A,FALSE),MATCH(V$1,Winter!$1:$1,FALSE))="","",INDEX(Winter!$1:$1048576,MATCH($A100,Winter!$A:$A,FALSE),MATCH(V$1,Winter!$1:$1,FALSE))),"")</f>
        <v>1A</v>
      </c>
      <c r="W100" t="str">
        <f>IFERROR(IF(INDEX(Winter!$1:$1048576,MATCH($A100,Winter!$A:$A,FALSE),MATCH(W$1,Winter!$1:$1,FALSE))="","",INDEX(Winter!$1:$1048576,MATCH($A100,Winter!$A:$A,FALSE),MATCH(W$1,Winter!$1:$1,FALSE))),"")</f>
        <v/>
      </c>
      <c r="Y100" t="str">
        <f>IFERROR(IF(INDEX(Spring!$1:$1048576,MATCH($A100,Spring!$A:$A,FALSE),MATCH(Y$1,Spring!$1:$1,FALSE))="","",INDEX(Spring!$1:$1048576,MATCH($A100,Spring!$A:$A,FALSE),MATCH(Y$1,Spring!$1:$1,FALSE))),"")</f>
        <v>1A</v>
      </c>
      <c r="Z100" t="str">
        <f>IFERROR(IF(INDEX(Spring!$1:$1048576,MATCH($A100,Spring!$A:$A,FALSE),MATCH(Z$1,Spring!$1:$1,FALSE))="","",INDEX(Spring!$1:$1048576,MATCH($A100,Spring!$A:$A,FALSE),MATCH(Z$1,Spring!$1:$1,FALSE))),"")</f>
        <v>1A</v>
      </c>
      <c r="AA100" t="str">
        <f>IFERROR(IF(INDEX(Spring!$1:$1048576,MATCH($A100,Spring!$A:$A,FALSE),MATCH(AA$1,Spring!$1:$1,FALSE))="","",INDEX(Spring!$1:$1048576,MATCH($A100,Spring!$A:$A,FALSE),MATCH(AA$1,Spring!$1:$1,FALSE))),"")</f>
        <v/>
      </c>
      <c r="AB100" t="str">
        <f>IFERROR(IF(INDEX(Spring!$1:$1048576,MATCH($A100,Spring!$A:$A,FALSE),MATCH(AB$1,Spring!$1:$1,FALSE))="","",INDEX(Spring!$1:$1048576,MATCH($A100,Spring!$A:$A,FALSE),MATCH(AB$1,Spring!$1:$1,FALSE))),"")</f>
        <v>1A</v>
      </c>
      <c r="AC100" t="str">
        <f>IFERROR(IF(INDEX(Spring!$1:$1048576,MATCH($A100,Spring!$A:$A,FALSE),MATCH(AC$1,Spring!$1:$1,FALSE))="","",INDEX(Spring!$1:$1048576,MATCH($A100,Spring!$A:$A,FALSE),MATCH(AC$1,Spring!$1:$1,FALSE))),"")</f>
        <v>1A</v>
      </c>
      <c r="AD100" t="str">
        <f>IFERROR(IF(INDEX(Spring!$1:$1048576,MATCH($A100,Spring!$A:$A,FALSE),MATCH(AD$1,Spring!$1:$1,FALSE))="","",INDEX(Spring!$1:$1048576,MATCH($A100,Spring!$A:$A,FALSE),MATCH(AD$1,Spring!$1:$1,FALSE))),"")</f>
        <v>1A</v>
      </c>
    </row>
    <row r="101" spans="1:30" ht="15.75" thickBot="1" x14ac:dyDescent="0.3">
      <c r="A101" s="48" t="s">
        <v>119</v>
      </c>
      <c r="B101" s="49">
        <v>248</v>
      </c>
      <c r="C101" s="50"/>
      <c r="D101" s="50"/>
      <c r="E101" s="50"/>
      <c r="F101" s="45"/>
      <c r="G101" s="45"/>
      <c r="H101" s="44"/>
      <c r="J101" t="str">
        <f>IFERROR(IF(INDEX(Fall!$1:$1048576,MATCH($A101,Fall!$A:$A,FALSE),MATCH(J$1,Fall!$1:$1,FALSE))="","",INDEX(Fall!$1:$1048576,MATCH($A101,Fall!$A:$A,FALSE),MATCH(J$1,Fall!$1:$1,FALSE))),"")</f>
        <v/>
      </c>
      <c r="K101" t="str">
        <f>IFERROR(IF(INDEX(Fall!$1:$1048576,MATCH($A101,Fall!$A:$A,FALSE),MATCH(K$1,Fall!$1:$1,FALSE))="","",INDEX(Fall!$1:$1048576,MATCH($A101,Fall!$A:$A,FALSE),MATCH(K$1,Fall!$1:$1,FALSE))),"")</f>
        <v/>
      </c>
      <c r="L101" t="str">
        <f>IFERROR(IF(INDEX(Fall!$1:$1048576,MATCH($A101,Fall!$A:$A,FALSE),MATCH(L$1,Fall!$1:$1,FALSE))="","",INDEX(Fall!$1:$1048576,MATCH($A101,Fall!$A:$A,FALSE),MATCH(L$1,Fall!$1:$1,FALSE))),"")</f>
        <v>1A</v>
      </c>
      <c r="M101" t="str">
        <f>IFERROR(IF(INDEX(Fall!$1:$1048576,MATCH($A101,Fall!$A:$A,FALSE),MATCH(M$1,Fall!$1:$1,FALSE))="","",INDEX(Fall!$1:$1048576,MATCH($A101,Fall!$A:$A,FALSE),MATCH(M$1,Fall!$1:$1,FALSE))),"")</f>
        <v/>
      </c>
      <c r="N101" t="str">
        <f>IFERROR(IF(INDEX(Fall!$1:$1048576,MATCH($A101,Fall!$A:$A,FALSE),MATCH(N$1,Fall!$1:$1,FALSE))="","",INDEX(Fall!$1:$1048576,MATCH($A101,Fall!$A:$A,FALSE),MATCH(N$1,Fall!$1:$1,FALSE))),"")</f>
        <v/>
      </c>
      <c r="O101" t="str">
        <f>IFERROR(IF(INDEX(Fall!$1:$1048576,MATCH($A101,Fall!$A:$A,FALSE),MATCH(O$1,Fall!$1:$1,FALSE))="","",INDEX(Fall!$1:$1048576,MATCH($A101,Fall!$A:$A,FALSE),MATCH(O$1,Fall!$1:$1,FALSE))),"")</f>
        <v/>
      </c>
      <c r="P101" t="str">
        <f>IFERROR(IF(INDEX(Fall!$1:$1048576,MATCH($A101,Fall!$A:$A,FALSE),MATCH(P$1,Fall!$1:$1,FALSE))="","",INDEX(Fall!$1:$1048576,MATCH($A101,Fall!$A:$A,FALSE),MATCH(P$1,Fall!$1:$1,FALSE))),"")</f>
        <v>1A</v>
      </c>
      <c r="R101" t="str">
        <f>IFERROR(IF(INDEX(Winter!$1:$1048576,MATCH($A101,Winter!$A:$A,FALSE),MATCH(R$1,Winter!$1:$1,FALSE))="","",INDEX(Winter!$1:$1048576,MATCH($A101,Winter!$A:$A,FALSE),MATCH(R$1,Winter!$1:$1,FALSE))),"")</f>
        <v>1A</v>
      </c>
      <c r="S101" t="str">
        <f>IFERROR(IF(INDEX(Winter!$1:$1048576,MATCH($A101,Winter!$A:$A,FALSE),MATCH(S$1,Winter!$1:$1,FALSE))="","",INDEX(Winter!$1:$1048576,MATCH($A101,Winter!$A:$A,FALSE),MATCH(S$1,Winter!$1:$1,FALSE))),"")</f>
        <v>1A</v>
      </c>
      <c r="T101" t="str">
        <f>IFERROR(IF(INDEX(Winter!$1:$1048576,MATCH($A101,Winter!$A:$A,FALSE),MATCH(T$1,Winter!$1:$1,FALSE))="","",INDEX(Winter!$1:$1048576,MATCH($A101,Winter!$A:$A,FALSE),MATCH(T$1,Winter!$1:$1,FALSE))),"")</f>
        <v>1A</v>
      </c>
      <c r="U101" t="str">
        <f>IFERROR(IF(INDEX(Winter!$1:$1048576,MATCH($A101,Winter!$A:$A,FALSE),MATCH(U$1,Winter!$1:$1,FALSE))="","",INDEX(Winter!$1:$1048576,MATCH($A101,Winter!$A:$A,FALSE),MATCH(U$1,Winter!$1:$1,FALSE))),"")</f>
        <v/>
      </c>
      <c r="V101" t="str">
        <f>IFERROR(IF(INDEX(Winter!$1:$1048576,MATCH($A101,Winter!$A:$A,FALSE),MATCH(V$1,Winter!$1:$1,FALSE))="","",INDEX(Winter!$1:$1048576,MATCH($A101,Winter!$A:$A,FALSE),MATCH(V$1,Winter!$1:$1,FALSE))),"")</f>
        <v>1A</v>
      </c>
      <c r="W101" t="str">
        <f>IFERROR(IF(INDEX(Winter!$1:$1048576,MATCH($A101,Winter!$A:$A,FALSE),MATCH(W$1,Winter!$1:$1,FALSE))="","",INDEX(Winter!$1:$1048576,MATCH($A101,Winter!$A:$A,FALSE),MATCH(W$1,Winter!$1:$1,FALSE))),"")</f>
        <v/>
      </c>
      <c r="Y101" t="str">
        <f>IFERROR(IF(INDEX(Spring!$1:$1048576,MATCH($A101,Spring!$A:$A,FALSE),MATCH(Y$1,Spring!$1:$1,FALSE))="","",INDEX(Spring!$1:$1048576,MATCH($A101,Spring!$A:$A,FALSE),MATCH(Y$1,Spring!$1:$1,FALSE))),"")</f>
        <v>1A</v>
      </c>
      <c r="Z101" t="str">
        <f>IFERROR(IF(INDEX(Spring!$1:$1048576,MATCH($A101,Spring!$A:$A,FALSE),MATCH(Z$1,Spring!$1:$1,FALSE))="","",INDEX(Spring!$1:$1048576,MATCH($A101,Spring!$A:$A,FALSE),MATCH(Z$1,Spring!$1:$1,FALSE))),"")</f>
        <v>1A</v>
      </c>
      <c r="AA101" t="str">
        <f>IFERROR(IF(INDEX(Spring!$1:$1048576,MATCH($A101,Spring!$A:$A,FALSE),MATCH(AA$1,Spring!$1:$1,FALSE))="","",INDEX(Spring!$1:$1048576,MATCH($A101,Spring!$A:$A,FALSE),MATCH(AA$1,Spring!$1:$1,FALSE))),"")</f>
        <v/>
      </c>
      <c r="AB101" t="str">
        <f>IFERROR(IF(INDEX(Spring!$1:$1048576,MATCH($A101,Spring!$A:$A,FALSE),MATCH(AB$1,Spring!$1:$1,FALSE))="","",INDEX(Spring!$1:$1048576,MATCH($A101,Spring!$A:$A,FALSE),MATCH(AB$1,Spring!$1:$1,FALSE))),"")</f>
        <v/>
      </c>
      <c r="AC101" t="str">
        <f>IFERROR(IF(INDEX(Spring!$1:$1048576,MATCH($A101,Spring!$A:$A,FALSE),MATCH(AC$1,Spring!$1:$1,FALSE))="","",INDEX(Spring!$1:$1048576,MATCH($A101,Spring!$A:$A,FALSE),MATCH(AC$1,Spring!$1:$1,FALSE))),"")</f>
        <v>1A</v>
      </c>
      <c r="AD101" t="str">
        <f>IFERROR(IF(INDEX(Spring!$1:$1048576,MATCH($A101,Spring!$A:$A,FALSE),MATCH(AD$1,Spring!$1:$1,FALSE))="","",INDEX(Spring!$1:$1048576,MATCH($A101,Spring!$A:$A,FALSE),MATCH(AD$1,Spring!$1:$1,FALSE))),"")</f>
        <v>1A</v>
      </c>
    </row>
    <row r="102" spans="1:30" ht="23.25" thickBot="1" x14ac:dyDescent="0.3">
      <c r="A102" s="48" t="s">
        <v>120</v>
      </c>
      <c r="B102" s="49" t="s">
        <v>121</v>
      </c>
      <c r="C102" s="49" t="s">
        <v>997</v>
      </c>
      <c r="D102" s="49">
        <v>7</v>
      </c>
      <c r="E102" s="49">
        <v>20</v>
      </c>
      <c r="F102" s="45"/>
      <c r="G102" s="45"/>
      <c r="H102" s="44"/>
      <c r="J102" t="str">
        <f>IFERROR(IF(INDEX(Fall!$1:$1048576,MATCH($A102,Fall!$A:$A,FALSE),MATCH(J$1,Fall!$1:$1,FALSE))="","",INDEX(Fall!$1:$1048576,MATCH($A102,Fall!$A:$A,FALSE),MATCH(J$1,Fall!$1:$1,FALSE))),"")</f>
        <v>1A</v>
      </c>
      <c r="K102" t="str">
        <f>IFERROR(IF(INDEX(Fall!$1:$1048576,MATCH($A102,Fall!$A:$A,FALSE),MATCH(K$1,Fall!$1:$1,FALSE))="","",INDEX(Fall!$1:$1048576,MATCH($A102,Fall!$A:$A,FALSE),MATCH(K$1,Fall!$1:$1,FALSE))),"")</f>
        <v/>
      </c>
      <c r="L102" t="str">
        <f>IFERROR(IF(INDEX(Fall!$1:$1048576,MATCH($A102,Fall!$A:$A,FALSE),MATCH(L$1,Fall!$1:$1,FALSE))="","",INDEX(Fall!$1:$1048576,MATCH($A102,Fall!$A:$A,FALSE),MATCH(L$1,Fall!$1:$1,FALSE))),"")</f>
        <v>1A</v>
      </c>
      <c r="M102" t="str">
        <f>IFERROR(IF(INDEX(Fall!$1:$1048576,MATCH($A102,Fall!$A:$A,FALSE),MATCH(M$1,Fall!$1:$1,FALSE))="","",INDEX(Fall!$1:$1048576,MATCH($A102,Fall!$A:$A,FALSE),MATCH(M$1,Fall!$1:$1,FALSE))),"")</f>
        <v/>
      </c>
      <c r="N102" t="str">
        <f>IFERROR(IF(INDEX(Fall!$1:$1048576,MATCH($A102,Fall!$A:$A,FALSE),MATCH(N$1,Fall!$1:$1,FALSE))="","",INDEX(Fall!$1:$1048576,MATCH($A102,Fall!$A:$A,FALSE),MATCH(N$1,Fall!$1:$1,FALSE))),"")</f>
        <v/>
      </c>
      <c r="O102" t="str">
        <f>IFERROR(IF(INDEX(Fall!$1:$1048576,MATCH($A102,Fall!$A:$A,FALSE),MATCH(O$1,Fall!$1:$1,FALSE))="","",INDEX(Fall!$1:$1048576,MATCH($A102,Fall!$A:$A,FALSE),MATCH(O$1,Fall!$1:$1,FALSE))),"")</f>
        <v/>
      </c>
      <c r="P102" t="str">
        <f>IFERROR(IF(INDEX(Fall!$1:$1048576,MATCH($A102,Fall!$A:$A,FALSE),MATCH(P$1,Fall!$1:$1,FALSE))="","",INDEX(Fall!$1:$1048576,MATCH($A102,Fall!$A:$A,FALSE),MATCH(P$1,Fall!$1:$1,FALSE))),"")</f>
        <v>1A</v>
      </c>
      <c r="R102" t="str">
        <f>IFERROR(IF(INDEX(Winter!$1:$1048576,MATCH($A102,Winter!$A:$A,FALSE),MATCH(R$1,Winter!$1:$1,FALSE))="","",INDEX(Winter!$1:$1048576,MATCH($A102,Winter!$A:$A,FALSE),MATCH(R$1,Winter!$1:$1,FALSE))),"")</f>
        <v>1A</v>
      </c>
      <c r="S102" t="str">
        <f>IFERROR(IF(INDEX(Winter!$1:$1048576,MATCH($A102,Winter!$A:$A,FALSE),MATCH(S$1,Winter!$1:$1,FALSE))="","",INDEX(Winter!$1:$1048576,MATCH($A102,Winter!$A:$A,FALSE),MATCH(S$1,Winter!$1:$1,FALSE))),"")</f>
        <v/>
      </c>
      <c r="T102" t="str">
        <f>IFERROR(IF(INDEX(Winter!$1:$1048576,MATCH($A102,Winter!$A:$A,FALSE),MATCH(T$1,Winter!$1:$1,FALSE))="","",INDEX(Winter!$1:$1048576,MATCH($A102,Winter!$A:$A,FALSE),MATCH(T$1,Winter!$1:$1,FALSE))),"")</f>
        <v/>
      </c>
      <c r="U102" t="str">
        <f>IFERROR(IF(INDEX(Winter!$1:$1048576,MATCH($A102,Winter!$A:$A,FALSE),MATCH(U$1,Winter!$1:$1,FALSE))="","",INDEX(Winter!$1:$1048576,MATCH($A102,Winter!$A:$A,FALSE),MATCH(U$1,Winter!$1:$1,FALSE))),"")</f>
        <v/>
      </c>
      <c r="V102" t="str">
        <f>IFERROR(IF(INDEX(Winter!$1:$1048576,MATCH($A102,Winter!$A:$A,FALSE),MATCH(V$1,Winter!$1:$1,FALSE))="","",INDEX(Winter!$1:$1048576,MATCH($A102,Winter!$A:$A,FALSE),MATCH(V$1,Winter!$1:$1,FALSE))),"")</f>
        <v/>
      </c>
      <c r="W102" t="str">
        <f>IFERROR(IF(INDEX(Winter!$1:$1048576,MATCH($A102,Winter!$A:$A,FALSE),MATCH(W$1,Winter!$1:$1,FALSE))="","",INDEX(Winter!$1:$1048576,MATCH($A102,Winter!$A:$A,FALSE),MATCH(W$1,Winter!$1:$1,FALSE))),"")</f>
        <v/>
      </c>
      <c r="Y102" t="str">
        <f>IFERROR(IF(INDEX(Spring!$1:$1048576,MATCH($A102,Spring!$A:$A,FALSE),MATCH(Y$1,Spring!$1:$1,FALSE))="","",INDEX(Spring!$1:$1048576,MATCH($A102,Spring!$A:$A,FALSE),MATCH(Y$1,Spring!$1:$1,FALSE))),"")</f>
        <v>1A</v>
      </c>
      <c r="Z102" t="str">
        <f>IFERROR(IF(INDEX(Spring!$1:$1048576,MATCH($A102,Spring!$A:$A,FALSE),MATCH(Z$1,Spring!$1:$1,FALSE))="","",INDEX(Spring!$1:$1048576,MATCH($A102,Spring!$A:$A,FALSE),MATCH(Z$1,Spring!$1:$1,FALSE))),"")</f>
        <v>1A</v>
      </c>
      <c r="AA102" t="str">
        <f>IFERROR(IF(INDEX(Spring!$1:$1048576,MATCH($A102,Spring!$A:$A,FALSE),MATCH(AA$1,Spring!$1:$1,FALSE))="","",INDEX(Spring!$1:$1048576,MATCH($A102,Spring!$A:$A,FALSE),MATCH(AA$1,Spring!$1:$1,FALSE))),"")</f>
        <v/>
      </c>
      <c r="AB102" t="str">
        <f>IFERROR(IF(INDEX(Spring!$1:$1048576,MATCH($A102,Spring!$A:$A,FALSE),MATCH(AB$1,Spring!$1:$1,FALSE))="","",INDEX(Spring!$1:$1048576,MATCH($A102,Spring!$A:$A,FALSE),MATCH(AB$1,Spring!$1:$1,FALSE))),"")</f>
        <v/>
      </c>
      <c r="AC102" t="str">
        <f>IFERROR(IF(INDEX(Spring!$1:$1048576,MATCH($A102,Spring!$A:$A,FALSE),MATCH(AC$1,Spring!$1:$1,FALSE))="","",INDEX(Spring!$1:$1048576,MATCH($A102,Spring!$A:$A,FALSE),MATCH(AC$1,Spring!$1:$1,FALSE))),"")</f>
        <v>1A</v>
      </c>
      <c r="AD102" t="str">
        <f>IFERROR(IF(INDEX(Spring!$1:$1048576,MATCH($A102,Spring!$A:$A,FALSE),MATCH(AD$1,Spring!$1:$1,FALSE))="","",INDEX(Spring!$1:$1048576,MATCH($A102,Spring!$A:$A,FALSE),MATCH(AD$1,Spring!$1:$1,FALSE))),"")</f>
        <v/>
      </c>
    </row>
    <row r="103" spans="1:30" ht="15.75" thickBot="1" x14ac:dyDescent="0.3">
      <c r="A103" s="48" t="s">
        <v>122</v>
      </c>
      <c r="B103" s="49">
        <v>887</v>
      </c>
      <c r="C103" s="50"/>
      <c r="D103" s="50"/>
      <c r="E103" s="50"/>
      <c r="F103" s="45"/>
      <c r="G103" s="45"/>
      <c r="H103" s="44"/>
      <c r="J103" t="str">
        <f>IFERROR(IF(INDEX(Fall!$1:$1048576,MATCH($A103,Fall!$A:$A,FALSE),MATCH(J$1,Fall!$1:$1,FALSE))="","",INDEX(Fall!$1:$1048576,MATCH($A103,Fall!$A:$A,FALSE),MATCH(J$1,Fall!$1:$1,FALSE))),"")</f>
        <v>2A</v>
      </c>
      <c r="K103" t="str">
        <f>IFERROR(IF(INDEX(Fall!$1:$1048576,MATCH($A103,Fall!$A:$A,FALSE),MATCH(K$1,Fall!$1:$1,FALSE))="","",INDEX(Fall!$1:$1048576,MATCH($A103,Fall!$A:$A,FALSE),MATCH(K$1,Fall!$1:$1,FALSE))),"")</f>
        <v>2A</v>
      </c>
      <c r="L103" t="str">
        <f>IFERROR(IF(INDEX(Fall!$1:$1048576,MATCH($A103,Fall!$A:$A,FALSE),MATCH(L$1,Fall!$1:$1,FALSE))="","",INDEX(Fall!$1:$1048576,MATCH($A103,Fall!$A:$A,FALSE),MATCH(L$1,Fall!$1:$1,FALSE))),"")</f>
        <v>2A</v>
      </c>
      <c r="M103" t="str">
        <f>IFERROR(IF(INDEX(Fall!$1:$1048576,MATCH($A103,Fall!$A:$A,FALSE),MATCH(M$1,Fall!$1:$1,FALSE))="","",INDEX(Fall!$1:$1048576,MATCH($A103,Fall!$A:$A,FALSE),MATCH(M$1,Fall!$1:$1,FALSE))),"")</f>
        <v>1A</v>
      </c>
      <c r="N103" t="str">
        <f>IFERROR(IF(INDEX(Fall!$1:$1048576,MATCH($A103,Fall!$A:$A,FALSE),MATCH(N$1,Fall!$1:$1,FALSE))="","",INDEX(Fall!$1:$1048576,MATCH($A103,Fall!$A:$A,FALSE),MATCH(N$1,Fall!$1:$1,FALSE))),"")</f>
        <v>2A</v>
      </c>
      <c r="O103" t="str">
        <f>IFERROR(IF(INDEX(Fall!$1:$1048576,MATCH($A103,Fall!$A:$A,FALSE),MATCH(O$1,Fall!$1:$1,FALSE))="","",INDEX(Fall!$1:$1048576,MATCH($A103,Fall!$A:$A,FALSE),MATCH(O$1,Fall!$1:$1,FALSE))),"")</f>
        <v>1A</v>
      </c>
      <c r="P103" t="str">
        <f>IFERROR(IF(INDEX(Fall!$1:$1048576,MATCH($A103,Fall!$A:$A,FALSE),MATCH(P$1,Fall!$1:$1,FALSE))="","",INDEX(Fall!$1:$1048576,MATCH($A103,Fall!$A:$A,FALSE),MATCH(P$1,Fall!$1:$1,FALSE))),"")</f>
        <v>3A</v>
      </c>
      <c r="R103" t="str">
        <f>IFERROR(IF(INDEX(Winter!$1:$1048576,MATCH($A103,Winter!$A:$A,FALSE),MATCH(R$1,Winter!$1:$1,FALSE))="","",INDEX(Winter!$1:$1048576,MATCH($A103,Winter!$A:$A,FALSE),MATCH(R$1,Winter!$1:$1,FALSE))),"")</f>
        <v>3A</v>
      </c>
      <c r="S103" t="str">
        <f>IFERROR(IF(INDEX(Winter!$1:$1048576,MATCH($A103,Winter!$A:$A,FALSE),MATCH(S$1,Winter!$1:$1,FALSE))="","",INDEX(Winter!$1:$1048576,MATCH($A103,Winter!$A:$A,FALSE),MATCH(S$1,Winter!$1:$1,FALSE))),"")</f>
        <v>3A</v>
      </c>
      <c r="T103" t="str">
        <f>IFERROR(IF(INDEX(Winter!$1:$1048576,MATCH($A103,Winter!$A:$A,FALSE),MATCH(T$1,Winter!$1:$1,FALSE))="","",INDEX(Winter!$1:$1048576,MATCH($A103,Winter!$A:$A,FALSE),MATCH(T$1,Winter!$1:$1,FALSE))),"")</f>
        <v>2A</v>
      </c>
      <c r="U103" t="str">
        <f>IFERROR(IF(INDEX(Winter!$1:$1048576,MATCH($A103,Winter!$A:$A,FALSE),MATCH(U$1,Winter!$1:$1,FALSE))="","",INDEX(Winter!$1:$1048576,MATCH($A103,Winter!$A:$A,FALSE),MATCH(U$1,Winter!$1:$1,FALSE))),"")</f>
        <v/>
      </c>
      <c r="V103" t="str">
        <f>IFERROR(IF(INDEX(Winter!$1:$1048576,MATCH($A103,Winter!$A:$A,FALSE),MATCH(V$1,Winter!$1:$1,FALSE))="","",INDEX(Winter!$1:$1048576,MATCH($A103,Winter!$A:$A,FALSE),MATCH(V$1,Winter!$1:$1,FALSE))),"")</f>
        <v>2A</v>
      </c>
      <c r="W103" t="str">
        <f>IFERROR(IF(INDEX(Winter!$1:$1048576,MATCH($A103,Winter!$A:$A,FALSE),MATCH(W$1,Winter!$1:$1,FALSE))="","",INDEX(Winter!$1:$1048576,MATCH($A103,Winter!$A:$A,FALSE),MATCH(W$1,Winter!$1:$1,FALSE))),"")</f>
        <v>2A</v>
      </c>
      <c r="Y103" t="str">
        <f>IFERROR(IF(INDEX(Spring!$1:$1048576,MATCH($A103,Spring!$A:$A,FALSE),MATCH(Y$1,Spring!$1:$1,FALSE))="","",INDEX(Spring!$1:$1048576,MATCH($A103,Spring!$A:$A,FALSE),MATCH(Y$1,Spring!$1:$1,FALSE))),"")</f>
        <v>3A</v>
      </c>
      <c r="Z103" t="str">
        <f>IFERROR(IF(INDEX(Spring!$1:$1048576,MATCH($A103,Spring!$A:$A,FALSE),MATCH(Z$1,Spring!$1:$1,FALSE))="","",INDEX(Spring!$1:$1048576,MATCH($A103,Spring!$A:$A,FALSE),MATCH(Z$1,Spring!$1:$1,FALSE))),"")</f>
        <v>3A</v>
      </c>
      <c r="AA103" t="str">
        <f>IFERROR(IF(INDEX(Spring!$1:$1048576,MATCH($A103,Spring!$A:$A,FALSE),MATCH(AA$1,Spring!$1:$1,FALSE))="","",INDEX(Spring!$1:$1048576,MATCH($A103,Spring!$A:$A,FALSE),MATCH(AA$1,Spring!$1:$1,FALSE))),"")</f>
        <v>2A</v>
      </c>
      <c r="AB103" t="str">
        <f>IFERROR(IF(INDEX(Spring!$1:$1048576,MATCH($A103,Spring!$A:$A,FALSE),MATCH(AB$1,Spring!$1:$1,FALSE))="","",INDEX(Spring!$1:$1048576,MATCH($A103,Spring!$A:$A,FALSE),MATCH(AB$1,Spring!$1:$1,FALSE))),"")</f>
        <v>1A</v>
      </c>
      <c r="AC103" t="str">
        <f>IFERROR(IF(INDEX(Spring!$1:$1048576,MATCH($A103,Spring!$A:$A,FALSE),MATCH(AC$1,Spring!$1:$1,FALSE))="","",INDEX(Spring!$1:$1048576,MATCH($A103,Spring!$A:$A,FALSE),MATCH(AC$1,Spring!$1:$1,FALSE))),"")</f>
        <v>2A</v>
      </c>
      <c r="AD103" t="str">
        <f>IFERROR(IF(INDEX(Spring!$1:$1048576,MATCH($A103,Spring!$A:$A,FALSE),MATCH(AD$1,Spring!$1:$1,FALSE))="","",INDEX(Spring!$1:$1048576,MATCH($A103,Spring!$A:$A,FALSE),MATCH(AD$1,Spring!$1:$1,FALSE))),"")</f>
        <v>2A</v>
      </c>
    </row>
    <row r="104" spans="1:30" ht="15.75" thickBot="1" x14ac:dyDescent="0.3">
      <c r="A104" s="48" t="s">
        <v>123</v>
      </c>
      <c r="B104" s="49">
        <v>129</v>
      </c>
      <c r="C104" s="50"/>
      <c r="D104" s="50"/>
      <c r="E104" s="50"/>
      <c r="F104" s="45"/>
      <c r="G104" s="45"/>
      <c r="H104" s="44"/>
      <c r="J104" t="str">
        <f>IFERROR(IF(INDEX(Fall!$1:$1048576,MATCH($A104,Fall!$A:$A,FALSE),MATCH(J$1,Fall!$1:$1,FALSE))="","",INDEX(Fall!$1:$1048576,MATCH($A104,Fall!$A:$A,FALSE),MATCH(J$1,Fall!$1:$1,FALSE))),"")</f>
        <v>1A</v>
      </c>
      <c r="K104" t="str">
        <f>IFERROR(IF(INDEX(Fall!$1:$1048576,MATCH($A104,Fall!$A:$A,FALSE),MATCH(K$1,Fall!$1:$1,FALSE))="","",INDEX(Fall!$1:$1048576,MATCH($A104,Fall!$A:$A,FALSE),MATCH(K$1,Fall!$1:$1,FALSE))),"")</f>
        <v>1A</v>
      </c>
      <c r="L104" t="str">
        <f>IFERROR(IF(INDEX(Fall!$1:$1048576,MATCH($A104,Fall!$A:$A,FALSE),MATCH(L$1,Fall!$1:$1,FALSE))="","",INDEX(Fall!$1:$1048576,MATCH($A104,Fall!$A:$A,FALSE),MATCH(L$1,Fall!$1:$1,FALSE))),"")</f>
        <v>1A</v>
      </c>
      <c r="M104" t="str">
        <f>IFERROR(IF(INDEX(Fall!$1:$1048576,MATCH($A104,Fall!$A:$A,FALSE),MATCH(M$1,Fall!$1:$1,FALSE))="","",INDEX(Fall!$1:$1048576,MATCH($A104,Fall!$A:$A,FALSE),MATCH(M$1,Fall!$1:$1,FALSE))),"")</f>
        <v/>
      </c>
      <c r="N104" t="str">
        <f>IFERROR(IF(INDEX(Fall!$1:$1048576,MATCH($A104,Fall!$A:$A,FALSE),MATCH(N$1,Fall!$1:$1,FALSE))="","",INDEX(Fall!$1:$1048576,MATCH($A104,Fall!$A:$A,FALSE),MATCH(N$1,Fall!$1:$1,FALSE))),"")</f>
        <v/>
      </c>
      <c r="O104" t="str">
        <f>IFERROR(IF(INDEX(Fall!$1:$1048576,MATCH($A104,Fall!$A:$A,FALSE),MATCH(O$1,Fall!$1:$1,FALSE))="","",INDEX(Fall!$1:$1048576,MATCH($A104,Fall!$A:$A,FALSE),MATCH(O$1,Fall!$1:$1,FALSE))),"")</f>
        <v/>
      </c>
      <c r="P104" t="str">
        <f>IFERROR(IF(INDEX(Fall!$1:$1048576,MATCH($A104,Fall!$A:$A,FALSE),MATCH(P$1,Fall!$1:$1,FALSE))="","",INDEX(Fall!$1:$1048576,MATCH($A104,Fall!$A:$A,FALSE),MATCH(P$1,Fall!$1:$1,FALSE))),"")</f>
        <v>1A</v>
      </c>
      <c r="R104" t="str">
        <f>IFERROR(IF(INDEX(Winter!$1:$1048576,MATCH($A104,Winter!$A:$A,FALSE),MATCH(R$1,Winter!$1:$1,FALSE))="","",INDEX(Winter!$1:$1048576,MATCH($A104,Winter!$A:$A,FALSE),MATCH(R$1,Winter!$1:$1,FALSE))),"")</f>
        <v>1A</v>
      </c>
      <c r="S104" t="str">
        <f>IFERROR(IF(INDEX(Winter!$1:$1048576,MATCH($A104,Winter!$A:$A,FALSE),MATCH(S$1,Winter!$1:$1,FALSE))="","",INDEX(Winter!$1:$1048576,MATCH($A104,Winter!$A:$A,FALSE),MATCH(S$1,Winter!$1:$1,FALSE))),"")</f>
        <v>1A</v>
      </c>
      <c r="T104" t="str">
        <f>IFERROR(IF(INDEX(Winter!$1:$1048576,MATCH($A104,Winter!$A:$A,FALSE),MATCH(T$1,Winter!$1:$1,FALSE))="","",INDEX(Winter!$1:$1048576,MATCH($A104,Winter!$A:$A,FALSE),MATCH(T$1,Winter!$1:$1,FALSE))),"")</f>
        <v/>
      </c>
      <c r="U104" t="str">
        <f>IFERROR(IF(INDEX(Winter!$1:$1048576,MATCH($A104,Winter!$A:$A,FALSE),MATCH(U$1,Winter!$1:$1,FALSE))="","",INDEX(Winter!$1:$1048576,MATCH($A104,Winter!$A:$A,FALSE),MATCH(U$1,Winter!$1:$1,FALSE))),"")</f>
        <v/>
      </c>
      <c r="V104" t="str">
        <f>IFERROR(IF(INDEX(Winter!$1:$1048576,MATCH($A104,Winter!$A:$A,FALSE),MATCH(V$1,Winter!$1:$1,FALSE))="","",INDEX(Winter!$1:$1048576,MATCH($A104,Winter!$A:$A,FALSE),MATCH(V$1,Winter!$1:$1,FALSE))),"")</f>
        <v>1A</v>
      </c>
      <c r="W104" t="str">
        <f>IFERROR(IF(INDEX(Winter!$1:$1048576,MATCH($A104,Winter!$A:$A,FALSE),MATCH(W$1,Winter!$1:$1,FALSE))="","",INDEX(Winter!$1:$1048576,MATCH($A104,Winter!$A:$A,FALSE),MATCH(W$1,Winter!$1:$1,FALSE))),"")</f>
        <v/>
      </c>
      <c r="Y104" t="str">
        <f>IFERROR(IF(INDEX(Spring!$1:$1048576,MATCH($A104,Spring!$A:$A,FALSE),MATCH(Y$1,Spring!$1:$1,FALSE))="","",INDEX(Spring!$1:$1048576,MATCH($A104,Spring!$A:$A,FALSE),MATCH(Y$1,Spring!$1:$1,FALSE))),"")</f>
        <v>1A</v>
      </c>
      <c r="Z104" t="str">
        <f>IFERROR(IF(INDEX(Spring!$1:$1048576,MATCH($A104,Spring!$A:$A,FALSE),MATCH(Z$1,Spring!$1:$1,FALSE))="","",INDEX(Spring!$1:$1048576,MATCH($A104,Spring!$A:$A,FALSE),MATCH(Z$1,Spring!$1:$1,FALSE))),"")</f>
        <v>1A</v>
      </c>
      <c r="AA104" t="str">
        <f>IFERROR(IF(INDEX(Spring!$1:$1048576,MATCH($A104,Spring!$A:$A,FALSE),MATCH(AA$1,Spring!$1:$1,FALSE))="","",INDEX(Spring!$1:$1048576,MATCH($A104,Spring!$A:$A,FALSE),MATCH(AA$1,Spring!$1:$1,FALSE))),"")</f>
        <v/>
      </c>
      <c r="AB104" t="str">
        <f>IFERROR(IF(INDEX(Spring!$1:$1048576,MATCH($A104,Spring!$A:$A,FALSE),MATCH(AB$1,Spring!$1:$1,FALSE))="","",INDEX(Spring!$1:$1048576,MATCH($A104,Spring!$A:$A,FALSE),MATCH(AB$1,Spring!$1:$1,FALSE))),"")</f>
        <v/>
      </c>
      <c r="AC104" t="str">
        <f>IFERROR(IF(INDEX(Spring!$1:$1048576,MATCH($A104,Spring!$A:$A,FALSE),MATCH(AC$1,Spring!$1:$1,FALSE))="","",INDEX(Spring!$1:$1048576,MATCH($A104,Spring!$A:$A,FALSE),MATCH(AC$1,Spring!$1:$1,FALSE))),"")</f>
        <v>1A</v>
      </c>
      <c r="AD104" t="str">
        <f>IFERROR(IF(INDEX(Spring!$1:$1048576,MATCH($A104,Spring!$A:$A,FALSE),MATCH(AD$1,Spring!$1:$1,FALSE))="","",INDEX(Spring!$1:$1048576,MATCH($A104,Spring!$A:$A,FALSE),MATCH(AD$1,Spring!$1:$1,FALSE))),"")</f>
        <v>1A</v>
      </c>
    </row>
    <row r="105" spans="1:30" ht="15.75" thickBot="1" x14ac:dyDescent="0.3">
      <c r="A105" s="48" t="s">
        <v>1003</v>
      </c>
      <c r="B105" s="49">
        <v>38</v>
      </c>
      <c r="C105" s="50"/>
      <c r="D105" s="50"/>
      <c r="E105" s="50"/>
      <c r="F105" s="45"/>
      <c r="G105" s="45"/>
      <c r="H105" s="44"/>
      <c r="J105" t="str">
        <f>IFERROR(IF(INDEX(Fall!$1:$1048576,MATCH($A105,Fall!$A:$A,FALSE),MATCH(J$1,Fall!$1:$1,FALSE))="","",INDEX(Fall!$1:$1048576,MATCH($A105,Fall!$A:$A,FALSE),MATCH(J$1,Fall!$1:$1,FALSE))),"")</f>
        <v/>
      </c>
      <c r="K105" t="str">
        <f>IFERROR(IF(INDEX(Fall!$1:$1048576,MATCH($A105,Fall!$A:$A,FALSE),MATCH(K$1,Fall!$1:$1,FALSE))="","",INDEX(Fall!$1:$1048576,MATCH($A105,Fall!$A:$A,FALSE),MATCH(K$1,Fall!$1:$1,FALSE))),"")</f>
        <v/>
      </c>
      <c r="L105" t="str">
        <f>IFERROR(IF(INDEX(Fall!$1:$1048576,MATCH($A105,Fall!$A:$A,FALSE),MATCH(L$1,Fall!$1:$1,FALSE))="","",INDEX(Fall!$1:$1048576,MATCH($A105,Fall!$A:$A,FALSE),MATCH(L$1,Fall!$1:$1,FALSE))),"")</f>
        <v/>
      </c>
      <c r="M105" t="str">
        <f>IFERROR(IF(INDEX(Fall!$1:$1048576,MATCH($A105,Fall!$A:$A,FALSE),MATCH(M$1,Fall!$1:$1,FALSE))="","",INDEX(Fall!$1:$1048576,MATCH($A105,Fall!$A:$A,FALSE),MATCH(M$1,Fall!$1:$1,FALSE))),"")</f>
        <v/>
      </c>
      <c r="N105" t="str">
        <f>IFERROR(IF(INDEX(Fall!$1:$1048576,MATCH($A105,Fall!$A:$A,FALSE),MATCH(N$1,Fall!$1:$1,FALSE))="","",INDEX(Fall!$1:$1048576,MATCH($A105,Fall!$A:$A,FALSE),MATCH(N$1,Fall!$1:$1,FALSE))),"")</f>
        <v/>
      </c>
      <c r="O105" t="str">
        <f>IFERROR(IF(INDEX(Fall!$1:$1048576,MATCH($A105,Fall!$A:$A,FALSE),MATCH(O$1,Fall!$1:$1,FALSE))="","",INDEX(Fall!$1:$1048576,MATCH($A105,Fall!$A:$A,FALSE),MATCH(O$1,Fall!$1:$1,FALSE))),"")</f>
        <v/>
      </c>
      <c r="P105" t="str">
        <f>IFERROR(IF(INDEX(Fall!$1:$1048576,MATCH($A105,Fall!$A:$A,FALSE),MATCH(P$1,Fall!$1:$1,FALSE))="","",INDEX(Fall!$1:$1048576,MATCH($A105,Fall!$A:$A,FALSE),MATCH(P$1,Fall!$1:$1,FALSE))),"")</f>
        <v/>
      </c>
      <c r="R105" t="str">
        <f>IFERROR(IF(INDEX(Winter!$1:$1048576,MATCH($A105,Winter!$A:$A,FALSE),MATCH(R$1,Winter!$1:$1,FALSE))="","",INDEX(Winter!$1:$1048576,MATCH($A105,Winter!$A:$A,FALSE),MATCH(R$1,Winter!$1:$1,FALSE))),"")</f>
        <v/>
      </c>
      <c r="S105" t="str">
        <f>IFERROR(IF(INDEX(Winter!$1:$1048576,MATCH($A105,Winter!$A:$A,FALSE),MATCH(S$1,Winter!$1:$1,FALSE))="","",INDEX(Winter!$1:$1048576,MATCH($A105,Winter!$A:$A,FALSE),MATCH(S$1,Winter!$1:$1,FALSE))),"")</f>
        <v/>
      </c>
      <c r="T105" t="str">
        <f>IFERROR(IF(INDEX(Winter!$1:$1048576,MATCH($A105,Winter!$A:$A,FALSE),MATCH(T$1,Winter!$1:$1,FALSE))="","",INDEX(Winter!$1:$1048576,MATCH($A105,Winter!$A:$A,FALSE),MATCH(T$1,Winter!$1:$1,FALSE))),"")</f>
        <v/>
      </c>
      <c r="U105" t="str">
        <f>IFERROR(IF(INDEX(Winter!$1:$1048576,MATCH($A105,Winter!$A:$A,FALSE),MATCH(U$1,Winter!$1:$1,FALSE))="","",INDEX(Winter!$1:$1048576,MATCH($A105,Winter!$A:$A,FALSE),MATCH(U$1,Winter!$1:$1,FALSE))),"")</f>
        <v/>
      </c>
      <c r="V105" t="str">
        <f>IFERROR(IF(INDEX(Winter!$1:$1048576,MATCH($A105,Winter!$A:$A,FALSE),MATCH(V$1,Winter!$1:$1,FALSE))="","",INDEX(Winter!$1:$1048576,MATCH($A105,Winter!$A:$A,FALSE),MATCH(V$1,Winter!$1:$1,FALSE))),"")</f>
        <v/>
      </c>
      <c r="W105" t="str">
        <f>IFERROR(IF(INDEX(Winter!$1:$1048576,MATCH($A105,Winter!$A:$A,FALSE),MATCH(W$1,Winter!$1:$1,FALSE))="","",INDEX(Winter!$1:$1048576,MATCH($A105,Winter!$A:$A,FALSE),MATCH(W$1,Winter!$1:$1,FALSE))),"")</f>
        <v/>
      </c>
      <c r="Y105" t="str">
        <f>IFERROR(IF(INDEX(Spring!$1:$1048576,MATCH($A105,Spring!$A:$A,FALSE),MATCH(Y$1,Spring!$1:$1,FALSE))="","",INDEX(Spring!$1:$1048576,MATCH($A105,Spring!$A:$A,FALSE),MATCH(Y$1,Spring!$1:$1,FALSE))),"")</f>
        <v/>
      </c>
      <c r="Z105" t="str">
        <f>IFERROR(IF(INDEX(Spring!$1:$1048576,MATCH($A105,Spring!$A:$A,FALSE),MATCH(Z$1,Spring!$1:$1,FALSE))="","",INDEX(Spring!$1:$1048576,MATCH($A105,Spring!$A:$A,FALSE),MATCH(Z$1,Spring!$1:$1,FALSE))),"")</f>
        <v/>
      </c>
      <c r="AA105" t="str">
        <f>IFERROR(IF(INDEX(Spring!$1:$1048576,MATCH($A105,Spring!$A:$A,FALSE),MATCH(AA$1,Spring!$1:$1,FALSE))="","",INDEX(Spring!$1:$1048576,MATCH($A105,Spring!$A:$A,FALSE),MATCH(AA$1,Spring!$1:$1,FALSE))),"")</f>
        <v/>
      </c>
      <c r="AB105" t="str">
        <f>IFERROR(IF(INDEX(Spring!$1:$1048576,MATCH($A105,Spring!$A:$A,FALSE),MATCH(AB$1,Spring!$1:$1,FALSE))="","",INDEX(Spring!$1:$1048576,MATCH($A105,Spring!$A:$A,FALSE),MATCH(AB$1,Spring!$1:$1,FALSE))),"")</f>
        <v/>
      </c>
      <c r="AC105" t="str">
        <f>IFERROR(IF(INDEX(Spring!$1:$1048576,MATCH($A105,Spring!$A:$A,FALSE),MATCH(AC$1,Spring!$1:$1,FALSE))="","",INDEX(Spring!$1:$1048576,MATCH($A105,Spring!$A:$A,FALSE),MATCH(AC$1,Spring!$1:$1,FALSE))),"")</f>
        <v/>
      </c>
      <c r="AD105" t="str">
        <f>IFERROR(IF(INDEX(Spring!$1:$1048576,MATCH($A105,Spring!$A:$A,FALSE),MATCH(AD$1,Spring!$1:$1,FALSE))="","",INDEX(Spring!$1:$1048576,MATCH($A105,Spring!$A:$A,FALSE),MATCH(AD$1,Spring!$1:$1,FALSE))),"")</f>
        <v/>
      </c>
    </row>
    <row r="106" spans="1:30" ht="15.75" thickBot="1" x14ac:dyDescent="0.3">
      <c r="A106" s="48" t="s">
        <v>124</v>
      </c>
      <c r="B106" s="49">
        <v>1340</v>
      </c>
      <c r="C106" s="50"/>
      <c r="D106" s="50"/>
      <c r="E106" s="50"/>
      <c r="F106" s="45"/>
      <c r="G106" s="45"/>
      <c r="H106" s="44"/>
      <c r="J106" t="str">
        <f>IFERROR(IF(INDEX(Fall!$1:$1048576,MATCH($A106,Fall!$A:$A,FALSE),MATCH(J$1,Fall!$1:$1,FALSE))="","",INDEX(Fall!$1:$1048576,MATCH($A106,Fall!$A:$A,FALSE),MATCH(J$1,Fall!$1:$1,FALSE))),"")</f>
        <v>2A</v>
      </c>
      <c r="K106" t="str">
        <f>IFERROR(IF(INDEX(Fall!$1:$1048576,MATCH($A106,Fall!$A:$A,FALSE),MATCH(K$1,Fall!$1:$1,FALSE))="","",INDEX(Fall!$1:$1048576,MATCH($A106,Fall!$A:$A,FALSE),MATCH(K$1,Fall!$1:$1,FALSE))),"")</f>
        <v>2A</v>
      </c>
      <c r="L106" t="str">
        <f>IFERROR(IF(INDEX(Fall!$1:$1048576,MATCH($A106,Fall!$A:$A,FALSE),MATCH(L$1,Fall!$1:$1,FALSE))="","",INDEX(Fall!$1:$1048576,MATCH($A106,Fall!$A:$A,FALSE),MATCH(L$1,Fall!$1:$1,FALSE))),"")</f>
        <v>2A</v>
      </c>
      <c r="M106" t="str">
        <f>IFERROR(IF(INDEX(Fall!$1:$1048576,MATCH($A106,Fall!$A:$A,FALSE),MATCH(M$1,Fall!$1:$1,FALSE))="","",INDEX(Fall!$1:$1048576,MATCH($A106,Fall!$A:$A,FALSE),MATCH(M$1,Fall!$1:$1,FALSE))),"")</f>
        <v>2A</v>
      </c>
      <c r="N106" t="str">
        <f>IFERROR(IF(INDEX(Fall!$1:$1048576,MATCH($A106,Fall!$A:$A,FALSE),MATCH(N$1,Fall!$1:$1,FALSE))="","",INDEX(Fall!$1:$1048576,MATCH($A106,Fall!$A:$A,FALSE),MATCH(N$1,Fall!$1:$1,FALSE))),"")</f>
        <v>2A</v>
      </c>
      <c r="O106" t="str">
        <f>IFERROR(IF(INDEX(Fall!$1:$1048576,MATCH($A106,Fall!$A:$A,FALSE),MATCH(O$1,Fall!$1:$1,FALSE))="","",INDEX(Fall!$1:$1048576,MATCH($A106,Fall!$A:$A,FALSE),MATCH(O$1,Fall!$1:$1,FALSE))),"")</f>
        <v>1A</v>
      </c>
      <c r="P106" t="str">
        <f>IFERROR(IF(INDEX(Fall!$1:$1048576,MATCH($A106,Fall!$A:$A,FALSE),MATCH(P$1,Fall!$1:$1,FALSE))="","",INDEX(Fall!$1:$1048576,MATCH($A106,Fall!$A:$A,FALSE),MATCH(P$1,Fall!$1:$1,FALSE))),"")</f>
        <v>3A</v>
      </c>
      <c r="R106" t="str">
        <f>IFERROR(IF(INDEX(Winter!$1:$1048576,MATCH($A106,Winter!$A:$A,FALSE),MATCH(R$1,Winter!$1:$1,FALSE))="","",INDEX(Winter!$1:$1048576,MATCH($A106,Winter!$A:$A,FALSE),MATCH(R$1,Winter!$1:$1,FALSE))),"")</f>
        <v>3A</v>
      </c>
      <c r="S106" t="str">
        <f>IFERROR(IF(INDEX(Winter!$1:$1048576,MATCH($A106,Winter!$A:$A,FALSE),MATCH(S$1,Winter!$1:$1,FALSE))="","",INDEX(Winter!$1:$1048576,MATCH($A106,Winter!$A:$A,FALSE),MATCH(S$1,Winter!$1:$1,FALSE))),"")</f>
        <v>3A</v>
      </c>
      <c r="T106" t="str">
        <f>IFERROR(IF(INDEX(Winter!$1:$1048576,MATCH($A106,Winter!$A:$A,FALSE),MATCH(T$1,Winter!$1:$1,FALSE))="","",INDEX(Winter!$1:$1048576,MATCH($A106,Winter!$A:$A,FALSE),MATCH(T$1,Winter!$1:$1,FALSE))),"")</f>
        <v>2A</v>
      </c>
      <c r="U106" t="str">
        <f>IFERROR(IF(INDEX(Winter!$1:$1048576,MATCH($A106,Winter!$A:$A,FALSE),MATCH(U$1,Winter!$1:$1,FALSE))="","",INDEX(Winter!$1:$1048576,MATCH($A106,Winter!$A:$A,FALSE),MATCH(U$1,Winter!$1:$1,FALSE))),"")</f>
        <v>2A</v>
      </c>
      <c r="V106" t="str">
        <f>IFERROR(IF(INDEX(Winter!$1:$1048576,MATCH($A106,Winter!$A:$A,FALSE),MATCH(V$1,Winter!$1:$1,FALSE))="","",INDEX(Winter!$1:$1048576,MATCH($A106,Winter!$A:$A,FALSE),MATCH(V$1,Winter!$1:$1,FALSE))),"")</f>
        <v>2A</v>
      </c>
      <c r="W106" t="str">
        <f>IFERROR(IF(INDEX(Winter!$1:$1048576,MATCH($A106,Winter!$A:$A,FALSE),MATCH(W$1,Winter!$1:$1,FALSE))="","",INDEX(Winter!$1:$1048576,MATCH($A106,Winter!$A:$A,FALSE),MATCH(W$1,Winter!$1:$1,FALSE))),"")</f>
        <v>2A</v>
      </c>
      <c r="Y106" t="str">
        <f>IFERROR(IF(INDEX(Spring!$1:$1048576,MATCH($A106,Spring!$A:$A,FALSE),MATCH(Y$1,Spring!$1:$1,FALSE))="","",INDEX(Spring!$1:$1048576,MATCH($A106,Spring!$A:$A,FALSE),MATCH(Y$1,Spring!$1:$1,FALSE))),"")</f>
        <v>3A</v>
      </c>
      <c r="Z106" t="str">
        <f>IFERROR(IF(INDEX(Spring!$1:$1048576,MATCH($A106,Spring!$A:$A,FALSE),MATCH(Z$1,Spring!$1:$1,FALSE))="","",INDEX(Spring!$1:$1048576,MATCH($A106,Spring!$A:$A,FALSE),MATCH(Z$1,Spring!$1:$1,FALSE))),"")</f>
        <v>3A</v>
      </c>
      <c r="AA106" t="str">
        <f>IFERROR(IF(INDEX(Spring!$1:$1048576,MATCH($A106,Spring!$A:$A,FALSE),MATCH(AA$1,Spring!$1:$1,FALSE))="","",INDEX(Spring!$1:$1048576,MATCH($A106,Spring!$A:$A,FALSE),MATCH(AA$1,Spring!$1:$1,FALSE))),"")</f>
        <v>2A</v>
      </c>
      <c r="AB106" t="str">
        <f>IFERROR(IF(INDEX(Spring!$1:$1048576,MATCH($A106,Spring!$A:$A,FALSE),MATCH(AB$1,Spring!$1:$1,FALSE))="","",INDEX(Spring!$1:$1048576,MATCH($A106,Spring!$A:$A,FALSE),MATCH(AB$1,Spring!$1:$1,FALSE))),"")</f>
        <v>1A</v>
      </c>
      <c r="AC106" t="str">
        <f>IFERROR(IF(INDEX(Spring!$1:$1048576,MATCH($A106,Spring!$A:$A,FALSE),MATCH(AC$1,Spring!$1:$1,FALSE))="","",INDEX(Spring!$1:$1048576,MATCH($A106,Spring!$A:$A,FALSE),MATCH(AC$1,Spring!$1:$1,FALSE))),"")</f>
        <v>3A</v>
      </c>
      <c r="AD106" t="str">
        <f>IFERROR(IF(INDEX(Spring!$1:$1048576,MATCH($A106,Spring!$A:$A,FALSE),MATCH(AD$1,Spring!$1:$1,FALSE))="","",INDEX(Spring!$1:$1048576,MATCH($A106,Spring!$A:$A,FALSE),MATCH(AD$1,Spring!$1:$1,FALSE))),"")</f>
        <v>3A</v>
      </c>
    </row>
    <row r="107" spans="1:30" ht="15.75" thickBot="1" x14ac:dyDescent="0.3">
      <c r="A107" s="48" t="s">
        <v>125</v>
      </c>
      <c r="B107" s="49">
        <v>1589</v>
      </c>
      <c r="C107" s="50"/>
      <c r="D107" s="50"/>
      <c r="E107" s="50"/>
      <c r="F107" s="45"/>
      <c r="G107" s="45"/>
      <c r="H107" s="44"/>
      <c r="J107" t="str">
        <f>IFERROR(IF(INDEX(Fall!$1:$1048576,MATCH($A107,Fall!$A:$A,FALSE),MATCH(J$1,Fall!$1:$1,FALSE))="","",INDEX(Fall!$1:$1048576,MATCH($A107,Fall!$A:$A,FALSE),MATCH(J$1,Fall!$1:$1,FALSE))),"")</f>
        <v>3A</v>
      </c>
      <c r="K107" t="str">
        <f>IFERROR(IF(INDEX(Fall!$1:$1048576,MATCH($A107,Fall!$A:$A,FALSE),MATCH(K$1,Fall!$1:$1,FALSE))="","",INDEX(Fall!$1:$1048576,MATCH($A107,Fall!$A:$A,FALSE),MATCH(K$1,Fall!$1:$1,FALSE))),"")</f>
        <v>3A</v>
      </c>
      <c r="L107" t="str">
        <f>IFERROR(IF(INDEX(Fall!$1:$1048576,MATCH($A107,Fall!$A:$A,FALSE),MATCH(L$1,Fall!$1:$1,FALSE))="","",INDEX(Fall!$1:$1048576,MATCH($A107,Fall!$A:$A,FALSE),MATCH(L$1,Fall!$1:$1,FALSE))),"")</f>
        <v>3A</v>
      </c>
      <c r="M107" t="str">
        <f>IFERROR(IF(INDEX(Fall!$1:$1048576,MATCH($A107,Fall!$A:$A,FALSE),MATCH(M$1,Fall!$1:$1,FALSE))="","",INDEX(Fall!$1:$1048576,MATCH($A107,Fall!$A:$A,FALSE),MATCH(M$1,Fall!$1:$1,FALSE))),"")</f>
        <v>2A</v>
      </c>
      <c r="N107" t="str">
        <f>IFERROR(IF(INDEX(Fall!$1:$1048576,MATCH($A107,Fall!$A:$A,FALSE),MATCH(N$1,Fall!$1:$1,FALSE))="","",INDEX(Fall!$1:$1048576,MATCH($A107,Fall!$A:$A,FALSE),MATCH(N$1,Fall!$1:$1,FALSE))),"")</f>
        <v>2A</v>
      </c>
      <c r="O107" t="str">
        <f>IFERROR(IF(INDEX(Fall!$1:$1048576,MATCH($A107,Fall!$A:$A,FALSE),MATCH(O$1,Fall!$1:$1,FALSE))="","",INDEX(Fall!$1:$1048576,MATCH($A107,Fall!$A:$A,FALSE),MATCH(O$1,Fall!$1:$1,FALSE))),"")</f>
        <v>2A</v>
      </c>
      <c r="P107" t="str">
        <f>IFERROR(IF(INDEX(Fall!$1:$1048576,MATCH($A107,Fall!$A:$A,FALSE),MATCH(P$1,Fall!$1:$1,FALSE))="","",INDEX(Fall!$1:$1048576,MATCH($A107,Fall!$A:$A,FALSE),MATCH(P$1,Fall!$1:$1,FALSE))),"")</f>
        <v>3A</v>
      </c>
      <c r="R107" t="str">
        <f>IFERROR(IF(INDEX(Winter!$1:$1048576,MATCH($A107,Winter!$A:$A,FALSE),MATCH(R$1,Winter!$1:$1,FALSE))="","",INDEX(Winter!$1:$1048576,MATCH($A107,Winter!$A:$A,FALSE),MATCH(R$1,Winter!$1:$1,FALSE))),"")</f>
        <v>3A</v>
      </c>
      <c r="S107" t="str">
        <f>IFERROR(IF(INDEX(Winter!$1:$1048576,MATCH($A107,Winter!$A:$A,FALSE),MATCH(S$1,Winter!$1:$1,FALSE))="","",INDEX(Winter!$1:$1048576,MATCH($A107,Winter!$A:$A,FALSE),MATCH(S$1,Winter!$1:$1,FALSE))),"")</f>
        <v>3A</v>
      </c>
      <c r="T107" t="str">
        <f>IFERROR(IF(INDEX(Winter!$1:$1048576,MATCH($A107,Winter!$A:$A,FALSE),MATCH(T$1,Winter!$1:$1,FALSE))="","",INDEX(Winter!$1:$1048576,MATCH($A107,Winter!$A:$A,FALSE),MATCH(T$1,Winter!$1:$1,FALSE))),"")</f>
        <v>2A</v>
      </c>
      <c r="U107" t="str">
        <f>IFERROR(IF(INDEX(Winter!$1:$1048576,MATCH($A107,Winter!$A:$A,FALSE),MATCH(U$1,Winter!$1:$1,FALSE))="","",INDEX(Winter!$1:$1048576,MATCH($A107,Winter!$A:$A,FALSE),MATCH(U$1,Winter!$1:$1,FALSE))),"")</f>
        <v>2A</v>
      </c>
      <c r="V107" t="str">
        <f>IFERROR(IF(INDEX(Winter!$1:$1048576,MATCH($A107,Winter!$A:$A,FALSE),MATCH(V$1,Winter!$1:$1,FALSE))="","",INDEX(Winter!$1:$1048576,MATCH($A107,Winter!$A:$A,FALSE),MATCH(V$1,Winter!$1:$1,FALSE))),"")</f>
        <v>2A</v>
      </c>
      <c r="W107" t="str">
        <f>IFERROR(IF(INDEX(Winter!$1:$1048576,MATCH($A107,Winter!$A:$A,FALSE),MATCH(W$1,Winter!$1:$1,FALSE))="","",INDEX(Winter!$1:$1048576,MATCH($A107,Winter!$A:$A,FALSE),MATCH(W$1,Winter!$1:$1,FALSE))),"")</f>
        <v>2A</v>
      </c>
      <c r="Y107" t="str">
        <f>IFERROR(IF(INDEX(Spring!$1:$1048576,MATCH($A107,Spring!$A:$A,FALSE),MATCH(Y$1,Spring!$1:$1,FALSE))="","",INDEX(Spring!$1:$1048576,MATCH($A107,Spring!$A:$A,FALSE),MATCH(Y$1,Spring!$1:$1,FALSE))),"")</f>
        <v>3A</v>
      </c>
      <c r="Z107" t="str">
        <f>IFERROR(IF(INDEX(Spring!$1:$1048576,MATCH($A107,Spring!$A:$A,FALSE),MATCH(Z$1,Spring!$1:$1,FALSE))="","",INDEX(Spring!$1:$1048576,MATCH($A107,Spring!$A:$A,FALSE),MATCH(Z$1,Spring!$1:$1,FALSE))),"")</f>
        <v>3A</v>
      </c>
      <c r="AA107" t="str">
        <f>IFERROR(IF(INDEX(Spring!$1:$1048576,MATCH($A107,Spring!$A:$A,FALSE),MATCH(AA$1,Spring!$1:$1,FALSE))="","",INDEX(Spring!$1:$1048576,MATCH($A107,Spring!$A:$A,FALSE),MATCH(AA$1,Spring!$1:$1,FALSE))),"")</f>
        <v>2A</v>
      </c>
      <c r="AB107" t="str">
        <f>IFERROR(IF(INDEX(Spring!$1:$1048576,MATCH($A107,Spring!$A:$A,FALSE),MATCH(AB$1,Spring!$1:$1,FALSE))="","",INDEX(Spring!$1:$1048576,MATCH($A107,Spring!$A:$A,FALSE),MATCH(AB$1,Spring!$1:$1,FALSE))),"")</f>
        <v>2A</v>
      </c>
      <c r="AC107" t="str">
        <f>IFERROR(IF(INDEX(Spring!$1:$1048576,MATCH($A107,Spring!$A:$A,FALSE),MATCH(AC$1,Spring!$1:$1,FALSE))="","",INDEX(Spring!$1:$1048576,MATCH($A107,Spring!$A:$A,FALSE),MATCH(AC$1,Spring!$1:$1,FALSE))),"")</f>
        <v>3A</v>
      </c>
      <c r="AD107" t="str">
        <f>IFERROR(IF(INDEX(Spring!$1:$1048576,MATCH($A107,Spring!$A:$A,FALSE),MATCH(AD$1,Spring!$1:$1,FALSE))="","",INDEX(Spring!$1:$1048576,MATCH($A107,Spring!$A:$A,FALSE),MATCH(AD$1,Spring!$1:$1,FALSE))),"")</f>
        <v>3A</v>
      </c>
    </row>
    <row r="108" spans="1:30" ht="15.75" thickBot="1" x14ac:dyDescent="0.3">
      <c r="A108" s="48" t="s">
        <v>126</v>
      </c>
      <c r="B108" s="49" t="s">
        <v>127</v>
      </c>
      <c r="C108" s="49" t="s">
        <v>997</v>
      </c>
      <c r="D108" s="49">
        <v>5</v>
      </c>
      <c r="E108" s="49">
        <v>13</v>
      </c>
      <c r="F108" s="45"/>
      <c r="G108" s="45"/>
      <c r="H108" s="44"/>
      <c r="J108" t="str">
        <f>IFERROR(IF(INDEX(Fall!$1:$1048576,MATCH($A108,Fall!$A:$A,FALSE),MATCH(J$1,Fall!$1:$1,FALSE))="","",INDEX(Fall!$1:$1048576,MATCH($A108,Fall!$A:$A,FALSE),MATCH(J$1,Fall!$1:$1,FALSE))),"")</f>
        <v/>
      </c>
      <c r="K108" t="str">
        <f>IFERROR(IF(INDEX(Fall!$1:$1048576,MATCH($A108,Fall!$A:$A,FALSE),MATCH(K$1,Fall!$1:$1,FALSE))="","",INDEX(Fall!$1:$1048576,MATCH($A108,Fall!$A:$A,FALSE),MATCH(K$1,Fall!$1:$1,FALSE))),"")</f>
        <v/>
      </c>
      <c r="L108" t="str">
        <f>IFERROR(IF(INDEX(Fall!$1:$1048576,MATCH($A108,Fall!$A:$A,FALSE),MATCH(L$1,Fall!$1:$1,FALSE))="","",INDEX(Fall!$1:$1048576,MATCH($A108,Fall!$A:$A,FALSE),MATCH(L$1,Fall!$1:$1,FALSE))),"")</f>
        <v/>
      </c>
      <c r="M108" t="str">
        <f>IFERROR(IF(INDEX(Fall!$1:$1048576,MATCH($A108,Fall!$A:$A,FALSE),MATCH(M$1,Fall!$1:$1,FALSE))="","",INDEX(Fall!$1:$1048576,MATCH($A108,Fall!$A:$A,FALSE),MATCH(M$1,Fall!$1:$1,FALSE))),"")</f>
        <v/>
      </c>
      <c r="N108" t="str">
        <f>IFERROR(IF(INDEX(Fall!$1:$1048576,MATCH($A108,Fall!$A:$A,FALSE),MATCH(N$1,Fall!$1:$1,FALSE))="","",INDEX(Fall!$1:$1048576,MATCH($A108,Fall!$A:$A,FALSE),MATCH(N$1,Fall!$1:$1,FALSE))),"")</f>
        <v>1A</v>
      </c>
      <c r="O108" t="str">
        <f>IFERROR(IF(INDEX(Fall!$1:$1048576,MATCH($A108,Fall!$A:$A,FALSE),MATCH(O$1,Fall!$1:$1,FALSE))="","",INDEX(Fall!$1:$1048576,MATCH($A108,Fall!$A:$A,FALSE),MATCH(O$1,Fall!$1:$1,FALSE))),"")</f>
        <v/>
      </c>
      <c r="P108" t="str">
        <f>IFERROR(IF(INDEX(Fall!$1:$1048576,MATCH($A108,Fall!$A:$A,FALSE),MATCH(P$1,Fall!$1:$1,FALSE))="","",INDEX(Fall!$1:$1048576,MATCH($A108,Fall!$A:$A,FALSE),MATCH(P$1,Fall!$1:$1,FALSE))),"")</f>
        <v>1A</v>
      </c>
      <c r="R108" t="str">
        <f>IFERROR(IF(INDEX(Winter!$1:$1048576,MATCH($A108,Winter!$A:$A,FALSE),MATCH(R$1,Winter!$1:$1,FALSE))="","",INDEX(Winter!$1:$1048576,MATCH($A108,Winter!$A:$A,FALSE),MATCH(R$1,Winter!$1:$1,FALSE))),"")</f>
        <v>1A</v>
      </c>
      <c r="S108" t="str">
        <f>IFERROR(IF(INDEX(Winter!$1:$1048576,MATCH($A108,Winter!$A:$A,FALSE),MATCH(S$1,Winter!$1:$1,FALSE))="","",INDEX(Winter!$1:$1048576,MATCH($A108,Winter!$A:$A,FALSE),MATCH(S$1,Winter!$1:$1,FALSE))),"")</f>
        <v>1A</v>
      </c>
      <c r="T108" t="str">
        <f>IFERROR(IF(INDEX(Winter!$1:$1048576,MATCH($A108,Winter!$A:$A,FALSE),MATCH(T$1,Winter!$1:$1,FALSE))="","",INDEX(Winter!$1:$1048576,MATCH($A108,Winter!$A:$A,FALSE),MATCH(T$1,Winter!$1:$1,FALSE))),"")</f>
        <v/>
      </c>
      <c r="U108" t="str">
        <f>IFERROR(IF(INDEX(Winter!$1:$1048576,MATCH($A108,Winter!$A:$A,FALSE),MATCH(U$1,Winter!$1:$1,FALSE))="","",INDEX(Winter!$1:$1048576,MATCH($A108,Winter!$A:$A,FALSE),MATCH(U$1,Winter!$1:$1,FALSE))),"")</f>
        <v/>
      </c>
      <c r="V108" t="str">
        <f>IFERROR(IF(INDEX(Winter!$1:$1048576,MATCH($A108,Winter!$A:$A,FALSE),MATCH(V$1,Winter!$1:$1,FALSE))="","",INDEX(Winter!$1:$1048576,MATCH($A108,Winter!$A:$A,FALSE),MATCH(V$1,Winter!$1:$1,FALSE))),"")</f>
        <v/>
      </c>
      <c r="W108" t="str">
        <f>IFERROR(IF(INDEX(Winter!$1:$1048576,MATCH($A108,Winter!$A:$A,FALSE),MATCH(W$1,Winter!$1:$1,FALSE))="","",INDEX(Winter!$1:$1048576,MATCH($A108,Winter!$A:$A,FALSE),MATCH(W$1,Winter!$1:$1,FALSE))),"")</f>
        <v/>
      </c>
      <c r="Y108" t="str">
        <f>IFERROR(IF(INDEX(Spring!$1:$1048576,MATCH($A108,Spring!$A:$A,FALSE),MATCH(Y$1,Spring!$1:$1,FALSE))="","",INDEX(Spring!$1:$1048576,MATCH($A108,Spring!$A:$A,FALSE),MATCH(Y$1,Spring!$1:$1,FALSE))),"")</f>
        <v/>
      </c>
      <c r="Z108" t="str">
        <f>IFERROR(IF(INDEX(Spring!$1:$1048576,MATCH($A108,Spring!$A:$A,FALSE),MATCH(Z$1,Spring!$1:$1,FALSE))="","",INDEX(Spring!$1:$1048576,MATCH($A108,Spring!$A:$A,FALSE),MATCH(Z$1,Spring!$1:$1,FALSE))),"")</f>
        <v/>
      </c>
      <c r="AA108" t="str">
        <f>IFERROR(IF(INDEX(Spring!$1:$1048576,MATCH($A108,Spring!$A:$A,FALSE),MATCH(AA$1,Spring!$1:$1,FALSE))="","",INDEX(Spring!$1:$1048576,MATCH($A108,Spring!$A:$A,FALSE),MATCH(AA$1,Spring!$1:$1,FALSE))),"")</f>
        <v/>
      </c>
      <c r="AB108" t="str">
        <f>IFERROR(IF(INDEX(Spring!$1:$1048576,MATCH($A108,Spring!$A:$A,FALSE),MATCH(AB$1,Spring!$1:$1,FALSE))="","",INDEX(Spring!$1:$1048576,MATCH($A108,Spring!$A:$A,FALSE),MATCH(AB$1,Spring!$1:$1,FALSE))),"")</f>
        <v/>
      </c>
      <c r="AC108" t="str">
        <f>IFERROR(IF(INDEX(Spring!$1:$1048576,MATCH($A108,Spring!$A:$A,FALSE),MATCH(AC$1,Spring!$1:$1,FALSE))="","",INDEX(Spring!$1:$1048576,MATCH($A108,Spring!$A:$A,FALSE),MATCH(AC$1,Spring!$1:$1,FALSE))),"")</f>
        <v>1A</v>
      </c>
      <c r="AD108" t="str">
        <f>IFERROR(IF(INDEX(Spring!$1:$1048576,MATCH($A108,Spring!$A:$A,FALSE),MATCH(AD$1,Spring!$1:$1,FALSE))="","",INDEX(Spring!$1:$1048576,MATCH($A108,Spring!$A:$A,FALSE),MATCH(AD$1,Spring!$1:$1,FALSE))),"")</f>
        <v>1A</v>
      </c>
    </row>
    <row r="109" spans="1:30" ht="23.25" thickBot="1" x14ac:dyDescent="0.3">
      <c r="A109" s="48" t="s">
        <v>128</v>
      </c>
      <c r="B109" s="49" t="s">
        <v>129</v>
      </c>
      <c r="C109" s="49" t="s">
        <v>997</v>
      </c>
      <c r="D109" s="49">
        <v>5</v>
      </c>
      <c r="E109" s="49">
        <v>13</v>
      </c>
      <c r="F109" s="44"/>
      <c r="G109" s="44"/>
      <c r="H109" s="44"/>
      <c r="J109" t="str">
        <f>IFERROR(IF(INDEX(Fall!$1:$1048576,MATCH($A109,Fall!$A:$A,FALSE),MATCH(J$1,Fall!$1:$1,FALSE))="","",INDEX(Fall!$1:$1048576,MATCH($A109,Fall!$A:$A,FALSE),MATCH(J$1,Fall!$1:$1,FALSE))),"")</f>
        <v>1A</v>
      </c>
      <c r="K109" t="str">
        <f>IFERROR(IF(INDEX(Fall!$1:$1048576,MATCH($A109,Fall!$A:$A,FALSE),MATCH(K$1,Fall!$1:$1,FALSE))="","",INDEX(Fall!$1:$1048576,MATCH($A109,Fall!$A:$A,FALSE),MATCH(K$1,Fall!$1:$1,FALSE))),"")</f>
        <v>1A</v>
      </c>
      <c r="L109" t="str">
        <f>IFERROR(IF(INDEX(Fall!$1:$1048576,MATCH($A109,Fall!$A:$A,FALSE),MATCH(L$1,Fall!$1:$1,FALSE))="","",INDEX(Fall!$1:$1048576,MATCH($A109,Fall!$A:$A,FALSE),MATCH(L$1,Fall!$1:$1,FALSE))),"")</f>
        <v>1A</v>
      </c>
      <c r="M109" t="str">
        <f>IFERROR(IF(INDEX(Fall!$1:$1048576,MATCH($A109,Fall!$A:$A,FALSE),MATCH(M$1,Fall!$1:$1,FALSE))="","",INDEX(Fall!$1:$1048576,MATCH($A109,Fall!$A:$A,FALSE),MATCH(M$1,Fall!$1:$1,FALSE))),"")</f>
        <v>1A</v>
      </c>
      <c r="N109" t="str">
        <f>IFERROR(IF(INDEX(Fall!$1:$1048576,MATCH($A109,Fall!$A:$A,FALSE),MATCH(N$1,Fall!$1:$1,FALSE))="","",INDEX(Fall!$1:$1048576,MATCH($A109,Fall!$A:$A,FALSE),MATCH(N$1,Fall!$1:$1,FALSE))),"")</f>
        <v>1A</v>
      </c>
      <c r="O109" t="str">
        <f>IFERROR(IF(INDEX(Fall!$1:$1048576,MATCH($A109,Fall!$A:$A,FALSE),MATCH(O$1,Fall!$1:$1,FALSE))="","",INDEX(Fall!$1:$1048576,MATCH($A109,Fall!$A:$A,FALSE),MATCH(O$1,Fall!$1:$1,FALSE))),"")</f>
        <v>1A</v>
      </c>
      <c r="P109" t="str">
        <f>IFERROR(IF(INDEX(Fall!$1:$1048576,MATCH($A109,Fall!$A:$A,FALSE),MATCH(P$1,Fall!$1:$1,FALSE))="","",INDEX(Fall!$1:$1048576,MATCH($A109,Fall!$A:$A,FALSE),MATCH(P$1,Fall!$1:$1,FALSE))),"")</f>
        <v>2A</v>
      </c>
      <c r="R109" t="str">
        <f>IFERROR(IF(INDEX(Winter!$1:$1048576,MATCH($A109,Winter!$A:$A,FALSE),MATCH(R$1,Winter!$1:$1,FALSE))="","",INDEX(Winter!$1:$1048576,MATCH($A109,Winter!$A:$A,FALSE),MATCH(R$1,Winter!$1:$1,FALSE))),"")</f>
        <v>1A</v>
      </c>
      <c r="S109" t="str">
        <f>IFERROR(IF(INDEX(Winter!$1:$1048576,MATCH($A109,Winter!$A:$A,FALSE),MATCH(S$1,Winter!$1:$1,FALSE))="","",INDEX(Winter!$1:$1048576,MATCH($A109,Winter!$A:$A,FALSE),MATCH(S$1,Winter!$1:$1,FALSE))),"")</f>
        <v>2A</v>
      </c>
      <c r="T109" t="str">
        <f>IFERROR(IF(INDEX(Winter!$1:$1048576,MATCH($A109,Winter!$A:$A,FALSE),MATCH(T$1,Winter!$1:$1,FALSE))="","",INDEX(Winter!$1:$1048576,MATCH($A109,Winter!$A:$A,FALSE),MATCH(T$1,Winter!$1:$1,FALSE))),"")</f>
        <v>1A</v>
      </c>
      <c r="U109" t="str">
        <f>IFERROR(IF(INDEX(Winter!$1:$1048576,MATCH($A109,Winter!$A:$A,FALSE),MATCH(U$1,Winter!$1:$1,FALSE))="","",INDEX(Winter!$1:$1048576,MATCH($A109,Winter!$A:$A,FALSE),MATCH(U$1,Winter!$1:$1,FALSE))),"")</f>
        <v/>
      </c>
      <c r="V109" t="str">
        <f>IFERROR(IF(INDEX(Winter!$1:$1048576,MATCH($A109,Winter!$A:$A,FALSE),MATCH(V$1,Winter!$1:$1,FALSE))="","",INDEX(Winter!$1:$1048576,MATCH($A109,Winter!$A:$A,FALSE),MATCH(V$1,Winter!$1:$1,FALSE))),"")</f>
        <v>1A</v>
      </c>
      <c r="W109" t="str">
        <f>IFERROR(IF(INDEX(Winter!$1:$1048576,MATCH($A109,Winter!$A:$A,FALSE),MATCH(W$1,Winter!$1:$1,FALSE))="","",INDEX(Winter!$1:$1048576,MATCH($A109,Winter!$A:$A,FALSE),MATCH(W$1,Winter!$1:$1,FALSE))),"")</f>
        <v>1A</v>
      </c>
      <c r="Y109" t="str">
        <f>IFERROR(IF(INDEX(Spring!$1:$1048576,MATCH($A109,Spring!$A:$A,FALSE),MATCH(Y$1,Spring!$1:$1,FALSE))="","",INDEX(Spring!$1:$1048576,MATCH($A109,Spring!$A:$A,FALSE),MATCH(Y$1,Spring!$1:$1,FALSE))),"")</f>
        <v>2A</v>
      </c>
      <c r="Z109" t="str">
        <f>IFERROR(IF(INDEX(Spring!$1:$1048576,MATCH($A109,Spring!$A:$A,FALSE),MATCH(Z$1,Spring!$1:$1,FALSE))="","",INDEX(Spring!$1:$1048576,MATCH($A109,Spring!$A:$A,FALSE),MATCH(Z$1,Spring!$1:$1,FALSE))),"")</f>
        <v>1A</v>
      </c>
      <c r="AA109" t="str">
        <f>IFERROR(IF(INDEX(Spring!$1:$1048576,MATCH($A109,Spring!$A:$A,FALSE),MATCH(AA$1,Spring!$1:$1,FALSE))="","",INDEX(Spring!$1:$1048576,MATCH($A109,Spring!$A:$A,FALSE),MATCH(AA$1,Spring!$1:$1,FALSE))),"")</f>
        <v>1A</v>
      </c>
      <c r="AB109" t="str">
        <f>IFERROR(IF(INDEX(Spring!$1:$1048576,MATCH($A109,Spring!$A:$A,FALSE),MATCH(AB$1,Spring!$1:$1,FALSE))="","",INDEX(Spring!$1:$1048576,MATCH($A109,Spring!$A:$A,FALSE),MATCH(AB$1,Spring!$1:$1,FALSE))),"")</f>
        <v>1A</v>
      </c>
      <c r="AC109" t="str">
        <f>IFERROR(IF(INDEX(Spring!$1:$1048576,MATCH($A109,Spring!$A:$A,FALSE),MATCH(AC$1,Spring!$1:$1,FALSE))="","",INDEX(Spring!$1:$1048576,MATCH($A109,Spring!$A:$A,FALSE),MATCH(AC$1,Spring!$1:$1,FALSE))),"")</f>
        <v>1A</v>
      </c>
      <c r="AD109" t="str">
        <f>IFERROR(IF(INDEX(Spring!$1:$1048576,MATCH($A109,Spring!$A:$A,FALSE),MATCH(AD$1,Spring!$1:$1,FALSE))="","",INDEX(Spring!$1:$1048576,MATCH($A109,Spring!$A:$A,FALSE),MATCH(AD$1,Spring!$1:$1,FALSE))),"")</f>
        <v>1A</v>
      </c>
    </row>
    <row r="110" spans="1:30" ht="15.75" thickBot="1" x14ac:dyDescent="0.3">
      <c r="A110" s="48" t="s">
        <v>130</v>
      </c>
      <c r="B110" s="49">
        <v>803</v>
      </c>
      <c r="C110" s="50"/>
      <c r="D110" s="50"/>
      <c r="E110" s="50"/>
      <c r="F110" s="43"/>
      <c r="G110" s="43"/>
      <c r="H110" s="43"/>
      <c r="J110" t="str">
        <f>IFERROR(IF(INDEX(Fall!$1:$1048576,MATCH($A110,Fall!$A:$A,FALSE),MATCH(J$1,Fall!$1:$1,FALSE))="","",INDEX(Fall!$1:$1048576,MATCH($A110,Fall!$A:$A,FALSE),MATCH(J$1,Fall!$1:$1,FALSE))),"")</f>
        <v>2A</v>
      </c>
      <c r="K110" t="str">
        <f>IFERROR(IF(INDEX(Fall!$1:$1048576,MATCH($A110,Fall!$A:$A,FALSE),MATCH(K$1,Fall!$1:$1,FALSE))="","",INDEX(Fall!$1:$1048576,MATCH($A110,Fall!$A:$A,FALSE),MATCH(K$1,Fall!$1:$1,FALSE))),"")</f>
        <v>2A</v>
      </c>
      <c r="L110" t="str">
        <f>IFERROR(IF(INDEX(Fall!$1:$1048576,MATCH($A110,Fall!$A:$A,FALSE),MATCH(L$1,Fall!$1:$1,FALSE))="","",INDEX(Fall!$1:$1048576,MATCH($A110,Fall!$A:$A,FALSE),MATCH(L$1,Fall!$1:$1,FALSE))),"")</f>
        <v>2A</v>
      </c>
      <c r="M110" t="str">
        <f>IFERROR(IF(INDEX(Fall!$1:$1048576,MATCH($A110,Fall!$A:$A,FALSE),MATCH(M$1,Fall!$1:$1,FALSE))="","",INDEX(Fall!$1:$1048576,MATCH($A110,Fall!$A:$A,FALSE),MATCH(M$1,Fall!$1:$1,FALSE))),"")</f>
        <v>1A</v>
      </c>
      <c r="N110" t="str">
        <f>IFERROR(IF(INDEX(Fall!$1:$1048576,MATCH($A110,Fall!$A:$A,FALSE),MATCH(N$1,Fall!$1:$1,FALSE))="","",INDEX(Fall!$1:$1048576,MATCH($A110,Fall!$A:$A,FALSE),MATCH(N$1,Fall!$1:$1,FALSE))),"")</f>
        <v>2A</v>
      </c>
      <c r="O110" t="str">
        <f>IFERROR(IF(INDEX(Fall!$1:$1048576,MATCH($A110,Fall!$A:$A,FALSE),MATCH(O$1,Fall!$1:$1,FALSE))="","",INDEX(Fall!$1:$1048576,MATCH($A110,Fall!$A:$A,FALSE),MATCH(O$1,Fall!$1:$1,FALSE))),"")</f>
        <v>1A</v>
      </c>
      <c r="P110" t="str">
        <f>IFERROR(IF(INDEX(Fall!$1:$1048576,MATCH($A110,Fall!$A:$A,FALSE),MATCH(P$1,Fall!$1:$1,FALSE))="","",INDEX(Fall!$1:$1048576,MATCH($A110,Fall!$A:$A,FALSE),MATCH(P$1,Fall!$1:$1,FALSE))),"")</f>
        <v>3A</v>
      </c>
      <c r="R110" t="str">
        <f>IFERROR(IF(INDEX(Winter!$1:$1048576,MATCH($A110,Winter!$A:$A,FALSE),MATCH(R$1,Winter!$1:$1,FALSE))="","",INDEX(Winter!$1:$1048576,MATCH($A110,Winter!$A:$A,FALSE),MATCH(R$1,Winter!$1:$1,FALSE))),"")</f>
        <v>3A</v>
      </c>
      <c r="S110" t="str">
        <f>IFERROR(IF(INDEX(Winter!$1:$1048576,MATCH($A110,Winter!$A:$A,FALSE),MATCH(S$1,Winter!$1:$1,FALSE))="","",INDEX(Winter!$1:$1048576,MATCH($A110,Winter!$A:$A,FALSE),MATCH(S$1,Winter!$1:$1,FALSE))),"")</f>
        <v>3A</v>
      </c>
      <c r="T110" t="str">
        <f>IFERROR(IF(INDEX(Winter!$1:$1048576,MATCH($A110,Winter!$A:$A,FALSE),MATCH(T$1,Winter!$1:$1,FALSE))="","",INDEX(Winter!$1:$1048576,MATCH($A110,Winter!$A:$A,FALSE),MATCH(T$1,Winter!$1:$1,FALSE))),"")</f>
        <v>C</v>
      </c>
      <c r="U110" t="str">
        <f>IFERROR(IF(INDEX(Winter!$1:$1048576,MATCH($A110,Winter!$A:$A,FALSE),MATCH(U$1,Winter!$1:$1,FALSE))="","",INDEX(Winter!$1:$1048576,MATCH($A110,Winter!$A:$A,FALSE),MATCH(U$1,Winter!$1:$1,FALSE))),"")</f>
        <v/>
      </c>
      <c r="V110" t="str">
        <f>IFERROR(IF(INDEX(Winter!$1:$1048576,MATCH($A110,Winter!$A:$A,FALSE),MATCH(V$1,Winter!$1:$1,FALSE))="","",INDEX(Winter!$1:$1048576,MATCH($A110,Winter!$A:$A,FALSE),MATCH(V$1,Winter!$1:$1,FALSE))),"")</f>
        <v>2A</v>
      </c>
      <c r="W110" t="str">
        <f>IFERROR(IF(INDEX(Winter!$1:$1048576,MATCH($A110,Winter!$A:$A,FALSE),MATCH(W$1,Winter!$1:$1,FALSE))="","",INDEX(Winter!$1:$1048576,MATCH($A110,Winter!$A:$A,FALSE),MATCH(W$1,Winter!$1:$1,FALSE))),"")</f>
        <v>2A</v>
      </c>
      <c r="Y110" t="str">
        <f>IFERROR(IF(INDEX(Spring!$1:$1048576,MATCH($A110,Spring!$A:$A,FALSE),MATCH(Y$1,Spring!$1:$1,FALSE))="","",INDEX(Spring!$1:$1048576,MATCH($A110,Spring!$A:$A,FALSE),MATCH(Y$1,Spring!$1:$1,FALSE))),"")</f>
        <v>3A</v>
      </c>
      <c r="Z110" t="str">
        <f>IFERROR(IF(INDEX(Spring!$1:$1048576,MATCH($A110,Spring!$A:$A,FALSE),MATCH(Z$1,Spring!$1:$1,FALSE))="","",INDEX(Spring!$1:$1048576,MATCH($A110,Spring!$A:$A,FALSE),MATCH(Z$1,Spring!$1:$1,FALSE))),"")</f>
        <v>3A</v>
      </c>
      <c r="AA110" t="str">
        <f>IFERROR(IF(INDEX(Spring!$1:$1048576,MATCH($A110,Spring!$A:$A,FALSE),MATCH(AA$1,Spring!$1:$1,FALSE))="","",INDEX(Spring!$1:$1048576,MATCH($A110,Spring!$A:$A,FALSE),MATCH(AA$1,Spring!$1:$1,FALSE))),"")</f>
        <v>1A</v>
      </c>
      <c r="AB110" t="str">
        <f>IFERROR(IF(INDEX(Spring!$1:$1048576,MATCH($A110,Spring!$A:$A,FALSE),MATCH(AB$1,Spring!$1:$1,FALSE))="","",INDEX(Spring!$1:$1048576,MATCH($A110,Spring!$A:$A,FALSE),MATCH(AB$1,Spring!$1:$1,FALSE))),"")</f>
        <v>1A</v>
      </c>
      <c r="AC110" t="str">
        <f>IFERROR(IF(INDEX(Spring!$1:$1048576,MATCH($A110,Spring!$A:$A,FALSE),MATCH(AC$1,Spring!$1:$1,FALSE))="","",INDEX(Spring!$1:$1048576,MATCH($A110,Spring!$A:$A,FALSE),MATCH(AC$1,Spring!$1:$1,FALSE))),"")</f>
        <v>2A</v>
      </c>
      <c r="AD110" t="str">
        <f>IFERROR(IF(INDEX(Spring!$1:$1048576,MATCH($A110,Spring!$A:$A,FALSE),MATCH(AD$1,Spring!$1:$1,FALSE))="","",INDEX(Spring!$1:$1048576,MATCH($A110,Spring!$A:$A,FALSE),MATCH(AD$1,Spring!$1:$1,FALSE))),"")</f>
        <v>2A</v>
      </c>
    </row>
    <row r="111" spans="1:30" ht="15.75" thickBot="1" x14ac:dyDescent="0.3">
      <c r="A111" s="48" t="s">
        <v>131</v>
      </c>
      <c r="B111" s="49">
        <v>1400</v>
      </c>
      <c r="C111" s="50"/>
      <c r="D111" s="50"/>
      <c r="E111" s="50"/>
      <c r="F111" s="45"/>
      <c r="G111" s="45"/>
      <c r="H111" s="45"/>
      <c r="J111" t="str">
        <f>IFERROR(IF(INDEX(Fall!$1:$1048576,MATCH($A111,Fall!$A:$A,FALSE),MATCH(J$1,Fall!$1:$1,FALSE))="","",INDEX(Fall!$1:$1048576,MATCH($A111,Fall!$A:$A,FALSE),MATCH(J$1,Fall!$1:$1,FALSE))),"")</f>
        <v>2A</v>
      </c>
      <c r="K111" t="str">
        <f>IFERROR(IF(INDEX(Fall!$1:$1048576,MATCH($A111,Fall!$A:$A,FALSE),MATCH(K$1,Fall!$1:$1,FALSE))="","",INDEX(Fall!$1:$1048576,MATCH($A111,Fall!$A:$A,FALSE),MATCH(K$1,Fall!$1:$1,FALSE))),"")</f>
        <v>2A</v>
      </c>
      <c r="L111" t="str">
        <f>IFERROR(IF(INDEX(Fall!$1:$1048576,MATCH($A111,Fall!$A:$A,FALSE),MATCH(L$1,Fall!$1:$1,FALSE))="","",INDEX(Fall!$1:$1048576,MATCH($A111,Fall!$A:$A,FALSE),MATCH(L$1,Fall!$1:$1,FALSE))),"")</f>
        <v>2A</v>
      </c>
      <c r="M111" t="str">
        <f>IFERROR(IF(INDEX(Fall!$1:$1048576,MATCH($A111,Fall!$A:$A,FALSE),MATCH(M$1,Fall!$1:$1,FALSE))="","",INDEX(Fall!$1:$1048576,MATCH($A111,Fall!$A:$A,FALSE),MATCH(M$1,Fall!$1:$1,FALSE))),"")</f>
        <v>2A</v>
      </c>
      <c r="N111" t="str">
        <f>IFERROR(IF(INDEX(Fall!$1:$1048576,MATCH($A111,Fall!$A:$A,FALSE),MATCH(N$1,Fall!$1:$1,FALSE))="","",INDEX(Fall!$1:$1048576,MATCH($A111,Fall!$A:$A,FALSE),MATCH(N$1,Fall!$1:$1,FALSE))),"")</f>
        <v>2A</v>
      </c>
      <c r="O111" t="str">
        <f>IFERROR(IF(INDEX(Fall!$1:$1048576,MATCH($A111,Fall!$A:$A,FALSE),MATCH(O$1,Fall!$1:$1,FALSE))="","",INDEX(Fall!$1:$1048576,MATCH($A111,Fall!$A:$A,FALSE),MATCH(O$1,Fall!$1:$1,FALSE))),"")</f>
        <v>1A</v>
      </c>
      <c r="P111" t="str">
        <f>IFERROR(IF(INDEX(Fall!$1:$1048576,MATCH($A111,Fall!$A:$A,FALSE),MATCH(P$1,Fall!$1:$1,FALSE))="","",INDEX(Fall!$1:$1048576,MATCH($A111,Fall!$A:$A,FALSE),MATCH(P$1,Fall!$1:$1,FALSE))),"")</f>
        <v>3A</v>
      </c>
      <c r="R111" t="str">
        <f>IFERROR(IF(INDEX(Winter!$1:$1048576,MATCH($A111,Winter!$A:$A,FALSE),MATCH(R$1,Winter!$1:$1,FALSE))="","",INDEX(Winter!$1:$1048576,MATCH($A111,Winter!$A:$A,FALSE),MATCH(R$1,Winter!$1:$1,FALSE))),"")</f>
        <v>3A</v>
      </c>
      <c r="S111" t="str">
        <f>IFERROR(IF(INDEX(Winter!$1:$1048576,MATCH($A111,Winter!$A:$A,FALSE),MATCH(S$1,Winter!$1:$1,FALSE))="","",INDEX(Winter!$1:$1048576,MATCH($A111,Winter!$A:$A,FALSE),MATCH(S$1,Winter!$1:$1,FALSE))),"")</f>
        <v>3A</v>
      </c>
      <c r="T111" t="str">
        <f>IFERROR(IF(INDEX(Winter!$1:$1048576,MATCH($A111,Winter!$A:$A,FALSE),MATCH(T$1,Winter!$1:$1,FALSE))="","",INDEX(Winter!$1:$1048576,MATCH($A111,Winter!$A:$A,FALSE),MATCH(T$1,Winter!$1:$1,FALSE))),"")</f>
        <v/>
      </c>
      <c r="U111" t="str">
        <f>IFERROR(IF(INDEX(Winter!$1:$1048576,MATCH($A111,Winter!$A:$A,FALSE),MATCH(U$1,Winter!$1:$1,FALSE))="","",INDEX(Winter!$1:$1048576,MATCH($A111,Winter!$A:$A,FALSE),MATCH(U$1,Winter!$1:$1,FALSE))),"")</f>
        <v/>
      </c>
      <c r="V111" t="str">
        <f>IFERROR(IF(INDEX(Winter!$1:$1048576,MATCH($A111,Winter!$A:$A,FALSE),MATCH(V$1,Winter!$1:$1,FALSE))="","",INDEX(Winter!$1:$1048576,MATCH($A111,Winter!$A:$A,FALSE),MATCH(V$1,Winter!$1:$1,FALSE))),"")</f>
        <v>2A</v>
      </c>
      <c r="W111" t="str">
        <f>IFERROR(IF(INDEX(Winter!$1:$1048576,MATCH($A111,Winter!$A:$A,FALSE),MATCH(W$1,Winter!$1:$1,FALSE))="","",INDEX(Winter!$1:$1048576,MATCH($A111,Winter!$A:$A,FALSE),MATCH(W$1,Winter!$1:$1,FALSE))),"")</f>
        <v>2A</v>
      </c>
      <c r="Y111" t="str">
        <f>IFERROR(IF(INDEX(Spring!$1:$1048576,MATCH($A111,Spring!$A:$A,FALSE),MATCH(Y$1,Spring!$1:$1,FALSE))="","",INDEX(Spring!$1:$1048576,MATCH($A111,Spring!$A:$A,FALSE),MATCH(Y$1,Spring!$1:$1,FALSE))),"")</f>
        <v>3A</v>
      </c>
      <c r="Z111" t="str">
        <f>IFERROR(IF(INDEX(Spring!$1:$1048576,MATCH($A111,Spring!$A:$A,FALSE),MATCH(Z$1,Spring!$1:$1,FALSE))="","",INDEX(Spring!$1:$1048576,MATCH($A111,Spring!$A:$A,FALSE),MATCH(Z$1,Spring!$1:$1,FALSE))),"")</f>
        <v>3A</v>
      </c>
      <c r="AA111" t="str">
        <f>IFERROR(IF(INDEX(Spring!$1:$1048576,MATCH($A111,Spring!$A:$A,FALSE),MATCH(AA$1,Spring!$1:$1,FALSE))="","",INDEX(Spring!$1:$1048576,MATCH($A111,Spring!$A:$A,FALSE),MATCH(AA$1,Spring!$1:$1,FALSE))),"")</f>
        <v>2A</v>
      </c>
      <c r="AB111" t="str">
        <f>IFERROR(IF(INDEX(Spring!$1:$1048576,MATCH($A111,Spring!$A:$A,FALSE),MATCH(AB$1,Spring!$1:$1,FALSE))="","",INDEX(Spring!$1:$1048576,MATCH($A111,Spring!$A:$A,FALSE),MATCH(AB$1,Spring!$1:$1,FALSE))),"")</f>
        <v>1A</v>
      </c>
      <c r="AC111" t="str">
        <f>IFERROR(IF(INDEX(Spring!$1:$1048576,MATCH($A111,Spring!$A:$A,FALSE),MATCH(AC$1,Spring!$1:$1,FALSE))="","",INDEX(Spring!$1:$1048576,MATCH($A111,Spring!$A:$A,FALSE),MATCH(AC$1,Spring!$1:$1,FALSE))),"")</f>
        <v>3A</v>
      </c>
      <c r="AD111" t="str">
        <f>IFERROR(IF(INDEX(Spring!$1:$1048576,MATCH($A111,Spring!$A:$A,FALSE),MATCH(AD$1,Spring!$1:$1,FALSE))="","",INDEX(Spring!$1:$1048576,MATCH($A111,Spring!$A:$A,FALSE),MATCH(AD$1,Spring!$1:$1,FALSE))),"")</f>
        <v>3A</v>
      </c>
    </row>
    <row r="112" spans="1:30" ht="15.75" thickBot="1" x14ac:dyDescent="0.3">
      <c r="A112" s="48" t="s">
        <v>132</v>
      </c>
      <c r="B112" s="49">
        <v>335</v>
      </c>
      <c r="C112" s="50"/>
      <c r="D112" s="50"/>
      <c r="E112" s="50"/>
      <c r="F112" s="45"/>
      <c r="G112" s="45"/>
      <c r="H112" s="44"/>
      <c r="J112" t="str">
        <f>IFERROR(IF(INDEX(Fall!$1:$1048576,MATCH($A112,Fall!$A:$A,FALSE),MATCH(J$1,Fall!$1:$1,FALSE))="","",INDEX(Fall!$1:$1048576,MATCH($A112,Fall!$A:$A,FALSE),MATCH(J$1,Fall!$1:$1,FALSE))),"")</f>
        <v>1A</v>
      </c>
      <c r="K112" t="str">
        <f>IFERROR(IF(INDEX(Fall!$1:$1048576,MATCH($A112,Fall!$A:$A,FALSE),MATCH(K$1,Fall!$1:$1,FALSE))="","",INDEX(Fall!$1:$1048576,MATCH($A112,Fall!$A:$A,FALSE),MATCH(K$1,Fall!$1:$1,FALSE))),"")</f>
        <v>1A</v>
      </c>
      <c r="L112" t="str">
        <f>IFERROR(IF(INDEX(Fall!$1:$1048576,MATCH($A112,Fall!$A:$A,FALSE),MATCH(L$1,Fall!$1:$1,FALSE))="","",INDEX(Fall!$1:$1048576,MATCH($A112,Fall!$A:$A,FALSE),MATCH(L$1,Fall!$1:$1,FALSE))),"")</f>
        <v>1A</v>
      </c>
      <c r="M112" t="str">
        <f>IFERROR(IF(INDEX(Fall!$1:$1048576,MATCH($A112,Fall!$A:$A,FALSE),MATCH(M$1,Fall!$1:$1,FALSE))="","",INDEX(Fall!$1:$1048576,MATCH($A112,Fall!$A:$A,FALSE),MATCH(M$1,Fall!$1:$1,FALSE))),"")</f>
        <v>1A</v>
      </c>
      <c r="N112" t="str">
        <f>IFERROR(IF(INDEX(Fall!$1:$1048576,MATCH($A112,Fall!$A:$A,FALSE),MATCH(N$1,Fall!$1:$1,FALSE))="","",INDEX(Fall!$1:$1048576,MATCH($A112,Fall!$A:$A,FALSE),MATCH(N$1,Fall!$1:$1,FALSE))),"")</f>
        <v/>
      </c>
      <c r="O112" t="str">
        <f>IFERROR(IF(INDEX(Fall!$1:$1048576,MATCH($A112,Fall!$A:$A,FALSE),MATCH(O$1,Fall!$1:$1,FALSE))="","",INDEX(Fall!$1:$1048576,MATCH($A112,Fall!$A:$A,FALSE),MATCH(O$1,Fall!$1:$1,FALSE))),"")</f>
        <v/>
      </c>
      <c r="P112" t="str">
        <f>IFERROR(IF(INDEX(Fall!$1:$1048576,MATCH($A112,Fall!$A:$A,FALSE),MATCH(P$1,Fall!$1:$1,FALSE))="","",INDEX(Fall!$1:$1048576,MATCH($A112,Fall!$A:$A,FALSE),MATCH(P$1,Fall!$1:$1,FALSE))),"")</f>
        <v>2A</v>
      </c>
      <c r="R112" t="str">
        <f>IFERROR(IF(INDEX(Winter!$1:$1048576,MATCH($A112,Winter!$A:$A,FALSE),MATCH(R$1,Winter!$1:$1,FALSE))="","",INDEX(Winter!$1:$1048576,MATCH($A112,Winter!$A:$A,FALSE),MATCH(R$1,Winter!$1:$1,FALSE))),"")</f>
        <v>2A</v>
      </c>
      <c r="S112" t="str">
        <f>IFERROR(IF(INDEX(Winter!$1:$1048576,MATCH($A112,Winter!$A:$A,FALSE),MATCH(S$1,Winter!$1:$1,FALSE))="","",INDEX(Winter!$1:$1048576,MATCH($A112,Winter!$A:$A,FALSE),MATCH(S$1,Winter!$1:$1,FALSE))),"")</f>
        <v>2A</v>
      </c>
      <c r="T112" t="str">
        <f>IFERROR(IF(INDEX(Winter!$1:$1048576,MATCH($A112,Winter!$A:$A,FALSE),MATCH(T$1,Winter!$1:$1,FALSE))="","",INDEX(Winter!$1:$1048576,MATCH($A112,Winter!$A:$A,FALSE),MATCH(T$1,Winter!$1:$1,FALSE))),"")</f>
        <v>1A</v>
      </c>
      <c r="U112" t="str">
        <f>IFERROR(IF(INDEX(Winter!$1:$1048576,MATCH($A112,Winter!$A:$A,FALSE),MATCH(U$1,Winter!$1:$1,FALSE))="","",INDEX(Winter!$1:$1048576,MATCH($A112,Winter!$A:$A,FALSE),MATCH(U$1,Winter!$1:$1,FALSE))),"")</f>
        <v>1A</v>
      </c>
      <c r="V112" t="str">
        <f>IFERROR(IF(INDEX(Winter!$1:$1048576,MATCH($A112,Winter!$A:$A,FALSE),MATCH(V$1,Winter!$1:$1,FALSE))="","",INDEX(Winter!$1:$1048576,MATCH($A112,Winter!$A:$A,FALSE),MATCH(V$1,Winter!$1:$1,FALSE))),"")</f>
        <v>1A</v>
      </c>
      <c r="W112" t="str">
        <f>IFERROR(IF(INDEX(Winter!$1:$1048576,MATCH($A112,Winter!$A:$A,FALSE),MATCH(W$1,Winter!$1:$1,FALSE))="","",INDEX(Winter!$1:$1048576,MATCH($A112,Winter!$A:$A,FALSE),MATCH(W$1,Winter!$1:$1,FALSE))),"")</f>
        <v/>
      </c>
      <c r="Y112" t="str">
        <f>IFERROR(IF(INDEX(Spring!$1:$1048576,MATCH($A112,Spring!$A:$A,FALSE),MATCH(Y$1,Spring!$1:$1,FALSE))="","",INDEX(Spring!$1:$1048576,MATCH($A112,Spring!$A:$A,FALSE),MATCH(Y$1,Spring!$1:$1,FALSE))),"")</f>
        <v>2A</v>
      </c>
      <c r="Z112" t="str">
        <f>IFERROR(IF(INDEX(Spring!$1:$1048576,MATCH($A112,Spring!$A:$A,FALSE),MATCH(Z$1,Spring!$1:$1,FALSE))="","",INDEX(Spring!$1:$1048576,MATCH($A112,Spring!$A:$A,FALSE),MATCH(Z$1,Spring!$1:$1,FALSE))),"")</f>
        <v>2A</v>
      </c>
      <c r="AA112" t="str">
        <f>IFERROR(IF(INDEX(Spring!$1:$1048576,MATCH($A112,Spring!$A:$A,FALSE),MATCH(AA$1,Spring!$1:$1,FALSE))="","",INDEX(Spring!$1:$1048576,MATCH($A112,Spring!$A:$A,FALSE),MATCH(AA$1,Spring!$1:$1,FALSE))),"")</f>
        <v/>
      </c>
      <c r="AB112" t="str">
        <f>IFERROR(IF(INDEX(Spring!$1:$1048576,MATCH($A112,Spring!$A:$A,FALSE),MATCH(AB$1,Spring!$1:$1,FALSE))="","",INDEX(Spring!$1:$1048576,MATCH($A112,Spring!$A:$A,FALSE),MATCH(AB$1,Spring!$1:$1,FALSE))),"")</f>
        <v/>
      </c>
      <c r="AC112" t="str">
        <f>IFERROR(IF(INDEX(Spring!$1:$1048576,MATCH($A112,Spring!$A:$A,FALSE),MATCH(AC$1,Spring!$1:$1,FALSE))="","",INDEX(Spring!$1:$1048576,MATCH($A112,Spring!$A:$A,FALSE),MATCH(AC$1,Spring!$1:$1,FALSE))),"")</f>
        <v>1A</v>
      </c>
      <c r="AD112" t="str">
        <f>IFERROR(IF(INDEX(Spring!$1:$1048576,MATCH($A112,Spring!$A:$A,FALSE),MATCH(AD$1,Spring!$1:$1,FALSE))="","",INDEX(Spring!$1:$1048576,MATCH($A112,Spring!$A:$A,FALSE),MATCH(AD$1,Spring!$1:$1,FALSE))),"")</f>
        <v>1A</v>
      </c>
    </row>
    <row r="113" spans="1:30" ht="23.25" thickBot="1" x14ac:dyDescent="0.3">
      <c r="A113" s="48" t="s">
        <v>912</v>
      </c>
      <c r="B113" s="49" t="s">
        <v>913</v>
      </c>
      <c r="C113" s="49" t="s">
        <v>1004</v>
      </c>
      <c r="D113" s="50"/>
      <c r="E113" s="50"/>
      <c r="F113" s="45"/>
      <c r="G113" s="45"/>
      <c r="H113" s="44"/>
      <c r="J113" t="str">
        <f>IFERROR(IF(INDEX(Fall!$1:$1048576,MATCH($A113,Fall!$A:$A,FALSE),MATCH(J$1,Fall!$1:$1,FALSE))="","",INDEX(Fall!$1:$1048576,MATCH($A113,Fall!$A:$A,FALSE),MATCH(J$1,Fall!$1:$1,FALSE))),"")</f>
        <v/>
      </c>
      <c r="K113" t="str">
        <f>IFERROR(IF(INDEX(Fall!$1:$1048576,MATCH($A113,Fall!$A:$A,FALSE),MATCH(K$1,Fall!$1:$1,FALSE))="","",INDEX(Fall!$1:$1048576,MATCH($A113,Fall!$A:$A,FALSE),MATCH(K$1,Fall!$1:$1,FALSE))),"")</f>
        <v/>
      </c>
      <c r="L113" t="str">
        <f>IFERROR(IF(INDEX(Fall!$1:$1048576,MATCH($A113,Fall!$A:$A,FALSE),MATCH(L$1,Fall!$1:$1,FALSE))="","",INDEX(Fall!$1:$1048576,MATCH($A113,Fall!$A:$A,FALSE),MATCH(L$1,Fall!$1:$1,FALSE))),"")</f>
        <v/>
      </c>
      <c r="M113" t="str">
        <f>IFERROR(IF(INDEX(Fall!$1:$1048576,MATCH($A113,Fall!$A:$A,FALSE),MATCH(M$1,Fall!$1:$1,FALSE))="","",INDEX(Fall!$1:$1048576,MATCH($A113,Fall!$A:$A,FALSE),MATCH(M$1,Fall!$1:$1,FALSE))),"")</f>
        <v/>
      </c>
      <c r="N113" t="str">
        <f>IFERROR(IF(INDEX(Fall!$1:$1048576,MATCH($A113,Fall!$A:$A,FALSE),MATCH(N$1,Fall!$1:$1,FALSE))="","",INDEX(Fall!$1:$1048576,MATCH($A113,Fall!$A:$A,FALSE),MATCH(N$1,Fall!$1:$1,FALSE))),"")</f>
        <v/>
      </c>
      <c r="O113" t="str">
        <f>IFERROR(IF(INDEX(Fall!$1:$1048576,MATCH($A113,Fall!$A:$A,FALSE),MATCH(O$1,Fall!$1:$1,FALSE))="","",INDEX(Fall!$1:$1048576,MATCH($A113,Fall!$A:$A,FALSE),MATCH(O$1,Fall!$1:$1,FALSE))),"")</f>
        <v/>
      </c>
      <c r="P113" t="str">
        <f>IFERROR(IF(INDEX(Fall!$1:$1048576,MATCH($A113,Fall!$A:$A,FALSE),MATCH(P$1,Fall!$1:$1,FALSE))="","",INDEX(Fall!$1:$1048576,MATCH($A113,Fall!$A:$A,FALSE),MATCH(P$1,Fall!$1:$1,FALSE))),"")</f>
        <v/>
      </c>
      <c r="R113" t="str">
        <f>IFERROR(IF(INDEX(Winter!$1:$1048576,MATCH($A113,Winter!$A:$A,FALSE),MATCH(R$1,Winter!$1:$1,FALSE))="","",INDEX(Winter!$1:$1048576,MATCH($A113,Winter!$A:$A,FALSE),MATCH(R$1,Winter!$1:$1,FALSE))),"")</f>
        <v>1A</v>
      </c>
      <c r="S113" t="str">
        <f>IFERROR(IF(INDEX(Winter!$1:$1048576,MATCH($A113,Winter!$A:$A,FALSE),MATCH(S$1,Winter!$1:$1,FALSE))="","",INDEX(Winter!$1:$1048576,MATCH($A113,Winter!$A:$A,FALSE),MATCH(S$1,Winter!$1:$1,FALSE))),"")</f>
        <v/>
      </c>
      <c r="T113" t="str">
        <f>IFERROR(IF(INDEX(Winter!$1:$1048576,MATCH($A113,Winter!$A:$A,FALSE),MATCH(T$1,Winter!$1:$1,FALSE))="","",INDEX(Winter!$1:$1048576,MATCH($A113,Winter!$A:$A,FALSE),MATCH(T$1,Winter!$1:$1,FALSE))),"")</f>
        <v/>
      </c>
      <c r="U113" t="str">
        <f>IFERROR(IF(INDEX(Winter!$1:$1048576,MATCH($A113,Winter!$A:$A,FALSE),MATCH(U$1,Winter!$1:$1,FALSE))="","",INDEX(Winter!$1:$1048576,MATCH($A113,Winter!$A:$A,FALSE),MATCH(U$1,Winter!$1:$1,FALSE))),"")</f>
        <v/>
      </c>
      <c r="V113" t="str">
        <f>IFERROR(IF(INDEX(Winter!$1:$1048576,MATCH($A113,Winter!$A:$A,FALSE),MATCH(V$1,Winter!$1:$1,FALSE))="","",INDEX(Winter!$1:$1048576,MATCH($A113,Winter!$A:$A,FALSE),MATCH(V$1,Winter!$1:$1,FALSE))),"")</f>
        <v/>
      </c>
      <c r="W113" t="str">
        <f>IFERROR(IF(INDEX(Winter!$1:$1048576,MATCH($A113,Winter!$A:$A,FALSE),MATCH(W$1,Winter!$1:$1,FALSE))="","",INDEX(Winter!$1:$1048576,MATCH($A113,Winter!$A:$A,FALSE),MATCH(W$1,Winter!$1:$1,FALSE))),"")</f>
        <v/>
      </c>
      <c r="Y113" t="str">
        <f>IFERROR(IF(INDEX(Spring!$1:$1048576,MATCH($A113,Spring!$A:$A,FALSE),MATCH(Y$1,Spring!$1:$1,FALSE))="","",INDEX(Spring!$1:$1048576,MATCH($A113,Spring!$A:$A,FALSE),MATCH(Y$1,Spring!$1:$1,FALSE))),"")</f>
        <v/>
      </c>
      <c r="Z113" t="str">
        <f>IFERROR(IF(INDEX(Spring!$1:$1048576,MATCH($A113,Spring!$A:$A,FALSE),MATCH(Z$1,Spring!$1:$1,FALSE))="","",INDEX(Spring!$1:$1048576,MATCH($A113,Spring!$A:$A,FALSE),MATCH(Z$1,Spring!$1:$1,FALSE))),"")</f>
        <v/>
      </c>
      <c r="AA113" t="str">
        <f>IFERROR(IF(INDEX(Spring!$1:$1048576,MATCH($A113,Spring!$A:$A,FALSE),MATCH(AA$1,Spring!$1:$1,FALSE))="","",INDEX(Spring!$1:$1048576,MATCH($A113,Spring!$A:$A,FALSE),MATCH(AA$1,Spring!$1:$1,FALSE))),"")</f>
        <v/>
      </c>
      <c r="AB113" t="str">
        <f>IFERROR(IF(INDEX(Spring!$1:$1048576,MATCH($A113,Spring!$A:$A,FALSE),MATCH(AB$1,Spring!$1:$1,FALSE))="","",INDEX(Spring!$1:$1048576,MATCH($A113,Spring!$A:$A,FALSE),MATCH(AB$1,Spring!$1:$1,FALSE))),"")</f>
        <v/>
      </c>
      <c r="AC113" t="str">
        <f>IFERROR(IF(INDEX(Spring!$1:$1048576,MATCH($A113,Spring!$A:$A,FALSE),MATCH(AC$1,Spring!$1:$1,FALSE))="","",INDEX(Spring!$1:$1048576,MATCH($A113,Spring!$A:$A,FALSE),MATCH(AC$1,Spring!$1:$1,FALSE))),"")</f>
        <v/>
      </c>
      <c r="AD113" t="str">
        <f>IFERROR(IF(INDEX(Spring!$1:$1048576,MATCH($A113,Spring!$A:$A,FALSE),MATCH(AD$1,Spring!$1:$1,FALSE))="","",INDEX(Spring!$1:$1048576,MATCH($A113,Spring!$A:$A,FALSE),MATCH(AD$1,Spring!$1:$1,FALSE))),"")</f>
        <v/>
      </c>
    </row>
    <row r="114" spans="1:30" ht="23.25" thickBot="1" x14ac:dyDescent="0.3">
      <c r="A114" s="48" t="s">
        <v>1005</v>
      </c>
      <c r="B114" s="49" t="s">
        <v>245</v>
      </c>
      <c r="C114" s="49" t="s">
        <v>1004</v>
      </c>
      <c r="D114" s="50"/>
      <c r="E114" s="50"/>
      <c r="F114" s="45"/>
      <c r="G114" s="45"/>
      <c r="H114" s="44"/>
      <c r="J114" t="str">
        <f>IFERROR(IF(INDEX(Fall!$1:$1048576,MATCH($A114,Fall!$A:$A,FALSE),MATCH(J$1,Fall!$1:$1,FALSE))="","",INDEX(Fall!$1:$1048576,MATCH($A114,Fall!$A:$A,FALSE),MATCH(J$1,Fall!$1:$1,FALSE))),"")</f>
        <v/>
      </c>
      <c r="K114" t="str">
        <f>IFERROR(IF(INDEX(Fall!$1:$1048576,MATCH($A114,Fall!$A:$A,FALSE),MATCH(K$1,Fall!$1:$1,FALSE))="","",INDEX(Fall!$1:$1048576,MATCH($A114,Fall!$A:$A,FALSE),MATCH(K$1,Fall!$1:$1,FALSE))),"")</f>
        <v/>
      </c>
      <c r="L114" t="str">
        <f>IFERROR(IF(INDEX(Fall!$1:$1048576,MATCH($A114,Fall!$A:$A,FALSE),MATCH(L$1,Fall!$1:$1,FALSE))="","",INDEX(Fall!$1:$1048576,MATCH($A114,Fall!$A:$A,FALSE),MATCH(L$1,Fall!$1:$1,FALSE))),"")</f>
        <v/>
      </c>
      <c r="M114" t="str">
        <f>IFERROR(IF(INDEX(Fall!$1:$1048576,MATCH($A114,Fall!$A:$A,FALSE),MATCH(M$1,Fall!$1:$1,FALSE))="","",INDEX(Fall!$1:$1048576,MATCH($A114,Fall!$A:$A,FALSE),MATCH(M$1,Fall!$1:$1,FALSE))),"")</f>
        <v/>
      </c>
      <c r="N114" t="str">
        <f>IFERROR(IF(INDEX(Fall!$1:$1048576,MATCH($A114,Fall!$A:$A,FALSE),MATCH(N$1,Fall!$1:$1,FALSE))="","",INDEX(Fall!$1:$1048576,MATCH($A114,Fall!$A:$A,FALSE),MATCH(N$1,Fall!$1:$1,FALSE))),"")</f>
        <v/>
      </c>
      <c r="O114" t="str">
        <f>IFERROR(IF(INDEX(Fall!$1:$1048576,MATCH($A114,Fall!$A:$A,FALSE),MATCH(O$1,Fall!$1:$1,FALSE))="","",INDEX(Fall!$1:$1048576,MATCH($A114,Fall!$A:$A,FALSE),MATCH(O$1,Fall!$1:$1,FALSE))),"")</f>
        <v/>
      </c>
      <c r="P114" t="str">
        <f>IFERROR(IF(INDEX(Fall!$1:$1048576,MATCH($A114,Fall!$A:$A,FALSE),MATCH(P$1,Fall!$1:$1,FALSE))="","",INDEX(Fall!$1:$1048576,MATCH($A114,Fall!$A:$A,FALSE),MATCH(P$1,Fall!$1:$1,FALSE))),"")</f>
        <v/>
      </c>
      <c r="R114" t="str">
        <f>IFERROR(IF(INDEX(Winter!$1:$1048576,MATCH($A114,Winter!$A:$A,FALSE),MATCH(R$1,Winter!$1:$1,FALSE))="","",INDEX(Winter!$1:$1048576,MATCH($A114,Winter!$A:$A,FALSE),MATCH(R$1,Winter!$1:$1,FALSE))),"")</f>
        <v/>
      </c>
      <c r="S114" t="str">
        <f>IFERROR(IF(INDEX(Winter!$1:$1048576,MATCH($A114,Winter!$A:$A,FALSE),MATCH(S$1,Winter!$1:$1,FALSE))="","",INDEX(Winter!$1:$1048576,MATCH($A114,Winter!$A:$A,FALSE),MATCH(S$1,Winter!$1:$1,FALSE))),"")</f>
        <v/>
      </c>
      <c r="T114" t="str">
        <f>IFERROR(IF(INDEX(Winter!$1:$1048576,MATCH($A114,Winter!$A:$A,FALSE),MATCH(T$1,Winter!$1:$1,FALSE))="","",INDEX(Winter!$1:$1048576,MATCH($A114,Winter!$A:$A,FALSE),MATCH(T$1,Winter!$1:$1,FALSE))),"")</f>
        <v/>
      </c>
      <c r="U114" t="str">
        <f>IFERROR(IF(INDEX(Winter!$1:$1048576,MATCH($A114,Winter!$A:$A,FALSE),MATCH(U$1,Winter!$1:$1,FALSE))="","",INDEX(Winter!$1:$1048576,MATCH($A114,Winter!$A:$A,FALSE),MATCH(U$1,Winter!$1:$1,FALSE))),"")</f>
        <v/>
      </c>
      <c r="V114" t="str">
        <f>IFERROR(IF(INDEX(Winter!$1:$1048576,MATCH($A114,Winter!$A:$A,FALSE),MATCH(V$1,Winter!$1:$1,FALSE))="","",INDEX(Winter!$1:$1048576,MATCH($A114,Winter!$A:$A,FALSE),MATCH(V$1,Winter!$1:$1,FALSE))),"")</f>
        <v/>
      </c>
      <c r="W114" t="str">
        <f>IFERROR(IF(INDEX(Winter!$1:$1048576,MATCH($A114,Winter!$A:$A,FALSE),MATCH(W$1,Winter!$1:$1,FALSE))="","",INDEX(Winter!$1:$1048576,MATCH($A114,Winter!$A:$A,FALSE),MATCH(W$1,Winter!$1:$1,FALSE))),"")</f>
        <v/>
      </c>
      <c r="Y114" t="str">
        <f>IFERROR(IF(INDEX(Spring!$1:$1048576,MATCH($A114,Spring!$A:$A,FALSE),MATCH(Y$1,Spring!$1:$1,FALSE))="","",INDEX(Spring!$1:$1048576,MATCH($A114,Spring!$A:$A,FALSE),MATCH(Y$1,Spring!$1:$1,FALSE))),"")</f>
        <v/>
      </c>
      <c r="Z114" t="str">
        <f>IFERROR(IF(INDEX(Spring!$1:$1048576,MATCH($A114,Spring!$A:$A,FALSE),MATCH(Z$1,Spring!$1:$1,FALSE))="","",INDEX(Spring!$1:$1048576,MATCH($A114,Spring!$A:$A,FALSE),MATCH(Z$1,Spring!$1:$1,FALSE))),"")</f>
        <v/>
      </c>
      <c r="AA114" t="str">
        <f>IFERROR(IF(INDEX(Spring!$1:$1048576,MATCH($A114,Spring!$A:$A,FALSE),MATCH(AA$1,Spring!$1:$1,FALSE))="","",INDEX(Spring!$1:$1048576,MATCH($A114,Spring!$A:$A,FALSE),MATCH(AA$1,Spring!$1:$1,FALSE))),"")</f>
        <v/>
      </c>
      <c r="AB114" t="str">
        <f>IFERROR(IF(INDEX(Spring!$1:$1048576,MATCH($A114,Spring!$A:$A,FALSE),MATCH(AB$1,Spring!$1:$1,FALSE))="","",INDEX(Spring!$1:$1048576,MATCH($A114,Spring!$A:$A,FALSE),MATCH(AB$1,Spring!$1:$1,FALSE))),"")</f>
        <v/>
      </c>
      <c r="AC114" t="str">
        <f>IFERROR(IF(INDEX(Spring!$1:$1048576,MATCH($A114,Spring!$A:$A,FALSE),MATCH(AC$1,Spring!$1:$1,FALSE))="","",INDEX(Spring!$1:$1048576,MATCH($A114,Spring!$A:$A,FALSE),MATCH(AC$1,Spring!$1:$1,FALSE))),"")</f>
        <v/>
      </c>
      <c r="AD114" t="str">
        <f>IFERROR(IF(INDEX(Spring!$1:$1048576,MATCH($A114,Spring!$A:$A,FALSE),MATCH(AD$1,Spring!$1:$1,FALSE))="","",INDEX(Spring!$1:$1048576,MATCH($A114,Spring!$A:$A,FALSE),MATCH(AD$1,Spring!$1:$1,FALSE))),"")</f>
        <v/>
      </c>
    </row>
    <row r="115" spans="1:30" ht="23.25" thickBot="1" x14ac:dyDescent="0.3">
      <c r="A115" s="48" t="s">
        <v>133</v>
      </c>
      <c r="B115" s="49" t="s">
        <v>1006</v>
      </c>
      <c r="C115" s="49" t="s">
        <v>1000</v>
      </c>
      <c r="D115" s="50"/>
      <c r="E115" s="50"/>
      <c r="F115" s="45"/>
      <c r="G115" s="45"/>
      <c r="H115" s="44"/>
      <c r="J115" t="str">
        <f>IFERROR(IF(INDEX(Fall!$1:$1048576,MATCH($A115,Fall!$A:$A,FALSE),MATCH(J$1,Fall!$1:$1,FALSE))="","",INDEX(Fall!$1:$1048576,MATCH($A115,Fall!$A:$A,FALSE),MATCH(J$1,Fall!$1:$1,FALSE))),"")</f>
        <v>2A</v>
      </c>
      <c r="K115" t="str">
        <f>IFERROR(IF(INDEX(Fall!$1:$1048576,MATCH($A115,Fall!$A:$A,FALSE),MATCH(K$1,Fall!$1:$1,FALSE))="","",INDEX(Fall!$1:$1048576,MATCH($A115,Fall!$A:$A,FALSE),MATCH(K$1,Fall!$1:$1,FALSE))),"")</f>
        <v>2A</v>
      </c>
      <c r="L115" t="str">
        <f>IFERROR(IF(INDEX(Fall!$1:$1048576,MATCH($A115,Fall!$A:$A,FALSE),MATCH(L$1,Fall!$1:$1,FALSE))="","",INDEX(Fall!$1:$1048576,MATCH($A115,Fall!$A:$A,FALSE),MATCH(L$1,Fall!$1:$1,FALSE))),"")</f>
        <v/>
      </c>
      <c r="M115" t="str">
        <f>IFERROR(IF(INDEX(Fall!$1:$1048576,MATCH($A115,Fall!$A:$A,FALSE),MATCH(M$1,Fall!$1:$1,FALSE))="","",INDEX(Fall!$1:$1048576,MATCH($A115,Fall!$A:$A,FALSE),MATCH(M$1,Fall!$1:$1,FALSE))),"")</f>
        <v/>
      </c>
      <c r="N115" t="str">
        <f>IFERROR(IF(INDEX(Fall!$1:$1048576,MATCH($A115,Fall!$A:$A,FALSE),MATCH(N$1,Fall!$1:$1,FALSE))="","",INDEX(Fall!$1:$1048576,MATCH($A115,Fall!$A:$A,FALSE),MATCH(N$1,Fall!$1:$1,FALSE))),"")</f>
        <v>2A</v>
      </c>
      <c r="O115" t="str">
        <f>IFERROR(IF(INDEX(Fall!$1:$1048576,MATCH($A115,Fall!$A:$A,FALSE),MATCH(O$1,Fall!$1:$1,FALSE))="","",INDEX(Fall!$1:$1048576,MATCH($A115,Fall!$A:$A,FALSE),MATCH(O$1,Fall!$1:$1,FALSE))),"")</f>
        <v/>
      </c>
      <c r="P115" t="str">
        <f>IFERROR(IF(INDEX(Fall!$1:$1048576,MATCH($A115,Fall!$A:$A,FALSE),MATCH(P$1,Fall!$1:$1,FALSE))="","",INDEX(Fall!$1:$1048576,MATCH($A115,Fall!$A:$A,FALSE),MATCH(P$1,Fall!$1:$1,FALSE))),"")</f>
        <v>3A</v>
      </c>
      <c r="R115" t="str">
        <f>IFERROR(IF(INDEX(Winter!$1:$1048576,MATCH($A115,Winter!$A:$A,FALSE),MATCH(R$1,Winter!$1:$1,FALSE))="","",INDEX(Winter!$1:$1048576,MATCH($A115,Winter!$A:$A,FALSE),MATCH(R$1,Winter!$1:$1,FALSE))),"")</f>
        <v>3A</v>
      </c>
      <c r="S115" t="str">
        <f>IFERROR(IF(INDEX(Winter!$1:$1048576,MATCH($A115,Winter!$A:$A,FALSE),MATCH(S$1,Winter!$1:$1,FALSE))="","",INDEX(Winter!$1:$1048576,MATCH($A115,Winter!$A:$A,FALSE),MATCH(S$1,Winter!$1:$1,FALSE))),"")</f>
        <v/>
      </c>
      <c r="T115" t="str">
        <f>IFERROR(IF(INDEX(Winter!$1:$1048576,MATCH($A115,Winter!$A:$A,FALSE),MATCH(T$1,Winter!$1:$1,FALSE))="","",INDEX(Winter!$1:$1048576,MATCH($A115,Winter!$A:$A,FALSE),MATCH(T$1,Winter!$1:$1,FALSE))),"")</f>
        <v/>
      </c>
      <c r="U115" t="str">
        <f>IFERROR(IF(INDEX(Winter!$1:$1048576,MATCH($A115,Winter!$A:$A,FALSE),MATCH(U$1,Winter!$1:$1,FALSE))="","",INDEX(Winter!$1:$1048576,MATCH($A115,Winter!$A:$A,FALSE),MATCH(U$1,Winter!$1:$1,FALSE))),"")</f>
        <v/>
      </c>
      <c r="V115" t="str">
        <f>IFERROR(IF(INDEX(Winter!$1:$1048576,MATCH($A115,Winter!$A:$A,FALSE),MATCH(V$1,Winter!$1:$1,FALSE))="","",INDEX(Winter!$1:$1048576,MATCH($A115,Winter!$A:$A,FALSE),MATCH(V$1,Winter!$1:$1,FALSE))),"")</f>
        <v/>
      </c>
      <c r="W115" t="str">
        <f>IFERROR(IF(INDEX(Winter!$1:$1048576,MATCH($A115,Winter!$A:$A,FALSE),MATCH(W$1,Winter!$1:$1,FALSE))="","",INDEX(Winter!$1:$1048576,MATCH($A115,Winter!$A:$A,FALSE),MATCH(W$1,Winter!$1:$1,FALSE))),"")</f>
        <v/>
      </c>
      <c r="Y115" t="str">
        <f>IFERROR(IF(INDEX(Spring!$1:$1048576,MATCH($A115,Spring!$A:$A,FALSE),MATCH(Y$1,Spring!$1:$1,FALSE))="","",INDEX(Spring!$1:$1048576,MATCH($A115,Spring!$A:$A,FALSE),MATCH(Y$1,Spring!$1:$1,FALSE))),"")</f>
        <v>3A</v>
      </c>
      <c r="Z115" t="str">
        <f>IFERROR(IF(INDEX(Spring!$1:$1048576,MATCH($A115,Spring!$A:$A,FALSE),MATCH(Z$1,Spring!$1:$1,FALSE))="","",INDEX(Spring!$1:$1048576,MATCH($A115,Spring!$A:$A,FALSE),MATCH(Z$1,Spring!$1:$1,FALSE))),"")</f>
        <v/>
      </c>
      <c r="AA115" t="str">
        <f>IFERROR(IF(INDEX(Spring!$1:$1048576,MATCH($A115,Spring!$A:$A,FALSE),MATCH(AA$1,Spring!$1:$1,FALSE))="","",INDEX(Spring!$1:$1048576,MATCH($A115,Spring!$A:$A,FALSE),MATCH(AA$1,Spring!$1:$1,FALSE))),"")</f>
        <v>2A</v>
      </c>
      <c r="AB115" t="str">
        <f>IFERROR(IF(INDEX(Spring!$1:$1048576,MATCH($A115,Spring!$A:$A,FALSE),MATCH(AB$1,Spring!$1:$1,FALSE))="","",INDEX(Spring!$1:$1048576,MATCH($A115,Spring!$A:$A,FALSE),MATCH(AB$1,Spring!$1:$1,FALSE))),"")</f>
        <v/>
      </c>
      <c r="AC115" t="str">
        <f>IFERROR(IF(INDEX(Spring!$1:$1048576,MATCH($A115,Spring!$A:$A,FALSE),MATCH(AC$1,Spring!$1:$1,FALSE))="","",INDEX(Spring!$1:$1048576,MATCH($A115,Spring!$A:$A,FALSE),MATCH(AC$1,Spring!$1:$1,FALSE))),"")</f>
        <v>2A</v>
      </c>
      <c r="AD115" t="str">
        <f>IFERROR(IF(INDEX(Spring!$1:$1048576,MATCH($A115,Spring!$A:$A,FALSE),MATCH(AD$1,Spring!$1:$1,FALSE))="","",INDEX(Spring!$1:$1048576,MATCH($A115,Spring!$A:$A,FALSE),MATCH(AD$1,Spring!$1:$1,FALSE))),"")</f>
        <v>2A</v>
      </c>
    </row>
    <row r="116" spans="1:30" ht="23.25" thickBot="1" x14ac:dyDescent="0.3">
      <c r="A116" s="48" t="s">
        <v>135</v>
      </c>
      <c r="B116" s="49" t="s">
        <v>1007</v>
      </c>
      <c r="C116" s="49" t="s">
        <v>1000</v>
      </c>
      <c r="D116" s="50"/>
      <c r="E116" s="50"/>
      <c r="F116" s="45"/>
      <c r="G116" s="45"/>
      <c r="H116" s="44"/>
      <c r="J116" t="str">
        <f>IFERROR(IF(INDEX(Fall!$1:$1048576,MATCH($A116,Fall!$A:$A,FALSE),MATCH(J$1,Fall!$1:$1,FALSE))="","",INDEX(Fall!$1:$1048576,MATCH($A116,Fall!$A:$A,FALSE),MATCH(J$1,Fall!$1:$1,FALSE))),"")</f>
        <v>1A</v>
      </c>
      <c r="K116" t="str">
        <f>IFERROR(IF(INDEX(Fall!$1:$1048576,MATCH($A116,Fall!$A:$A,FALSE),MATCH(K$1,Fall!$1:$1,FALSE))="","",INDEX(Fall!$1:$1048576,MATCH($A116,Fall!$A:$A,FALSE),MATCH(K$1,Fall!$1:$1,FALSE))),"")</f>
        <v>1A</v>
      </c>
      <c r="L116" t="str">
        <f>IFERROR(IF(INDEX(Fall!$1:$1048576,MATCH($A116,Fall!$A:$A,FALSE),MATCH(L$1,Fall!$1:$1,FALSE))="","",INDEX(Fall!$1:$1048576,MATCH($A116,Fall!$A:$A,FALSE),MATCH(L$1,Fall!$1:$1,FALSE))),"")</f>
        <v/>
      </c>
      <c r="M116" t="str">
        <f>IFERROR(IF(INDEX(Fall!$1:$1048576,MATCH($A116,Fall!$A:$A,FALSE),MATCH(M$1,Fall!$1:$1,FALSE))="","",INDEX(Fall!$1:$1048576,MATCH($A116,Fall!$A:$A,FALSE),MATCH(M$1,Fall!$1:$1,FALSE))),"")</f>
        <v/>
      </c>
      <c r="N116" t="str">
        <f>IFERROR(IF(INDEX(Fall!$1:$1048576,MATCH($A116,Fall!$A:$A,FALSE),MATCH(N$1,Fall!$1:$1,FALSE))="","",INDEX(Fall!$1:$1048576,MATCH($A116,Fall!$A:$A,FALSE),MATCH(N$1,Fall!$1:$1,FALSE))),"")</f>
        <v>2A</v>
      </c>
      <c r="O116" t="str">
        <f>IFERROR(IF(INDEX(Fall!$1:$1048576,MATCH($A116,Fall!$A:$A,FALSE),MATCH(O$1,Fall!$1:$1,FALSE))="","",INDEX(Fall!$1:$1048576,MATCH($A116,Fall!$A:$A,FALSE),MATCH(O$1,Fall!$1:$1,FALSE))),"")</f>
        <v/>
      </c>
      <c r="P116" t="str">
        <f>IFERROR(IF(INDEX(Fall!$1:$1048576,MATCH($A116,Fall!$A:$A,FALSE),MATCH(P$1,Fall!$1:$1,FALSE))="","",INDEX(Fall!$1:$1048576,MATCH($A116,Fall!$A:$A,FALSE),MATCH(P$1,Fall!$1:$1,FALSE))),"")</f>
        <v>2A</v>
      </c>
      <c r="R116" t="str">
        <f>IFERROR(IF(INDEX(Winter!$1:$1048576,MATCH($A116,Winter!$A:$A,FALSE),MATCH(R$1,Winter!$1:$1,FALSE))="","",INDEX(Winter!$1:$1048576,MATCH($A116,Winter!$A:$A,FALSE),MATCH(R$1,Winter!$1:$1,FALSE))),"")</f>
        <v>2A</v>
      </c>
      <c r="S116" t="str">
        <f>IFERROR(IF(INDEX(Winter!$1:$1048576,MATCH($A116,Winter!$A:$A,FALSE),MATCH(S$1,Winter!$1:$1,FALSE))="","",INDEX(Winter!$1:$1048576,MATCH($A116,Winter!$A:$A,FALSE),MATCH(S$1,Winter!$1:$1,FALSE))),"")</f>
        <v>2A</v>
      </c>
      <c r="T116" t="str">
        <f>IFERROR(IF(INDEX(Winter!$1:$1048576,MATCH($A116,Winter!$A:$A,FALSE),MATCH(T$1,Winter!$1:$1,FALSE))="","",INDEX(Winter!$1:$1048576,MATCH($A116,Winter!$A:$A,FALSE),MATCH(T$1,Winter!$1:$1,FALSE))),"")</f>
        <v/>
      </c>
      <c r="U116" t="str">
        <f>IFERROR(IF(INDEX(Winter!$1:$1048576,MATCH($A116,Winter!$A:$A,FALSE),MATCH(U$1,Winter!$1:$1,FALSE))="","",INDEX(Winter!$1:$1048576,MATCH($A116,Winter!$A:$A,FALSE),MATCH(U$1,Winter!$1:$1,FALSE))),"")</f>
        <v/>
      </c>
      <c r="V116" t="str">
        <f>IFERROR(IF(INDEX(Winter!$1:$1048576,MATCH($A116,Winter!$A:$A,FALSE),MATCH(V$1,Winter!$1:$1,FALSE))="","",INDEX(Winter!$1:$1048576,MATCH($A116,Winter!$A:$A,FALSE),MATCH(V$1,Winter!$1:$1,FALSE))),"")</f>
        <v/>
      </c>
      <c r="W116" t="str">
        <f>IFERROR(IF(INDEX(Winter!$1:$1048576,MATCH($A116,Winter!$A:$A,FALSE),MATCH(W$1,Winter!$1:$1,FALSE))="","",INDEX(Winter!$1:$1048576,MATCH($A116,Winter!$A:$A,FALSE),MATCH(W$1,Winter!$1:$1,FALSE))),"")</f>
        <v/>
      </c>
      <c r="Y116" t="str">
        <f>IFERROR(IF(INDEX(Spring!$1:$1048576,MATCH($A116,Spring!$A:$A,FALSE),MATCH(Y$1,Spring!$1:$1,FALSE))="","",INDEX(Spring!$1:$1048576,MATCH($A116,Spring!$A:$A,FALSE),MATCH(Y$1,Spring!$1:$1,FALSE))),"")</f>
        <v/>
      </c>
      <c r="Z116" t="str">
        <f>IFERROR(IF(INDEX(Spring!$1:$1048576,MATCH($A116,Spring!$A:$A,FALSE),MATCH(Z$1,Spring!$1:$1,FALSE))="","",INDEX(Spring!$1:$1048576,MATCH($A116,Spring!$A:$A,FALSE),MATCH(Z$1,Spring!$1:$1,FALSE))),"")</f>
        <v/>
      </c>
      <c r="AA116" t="str">
        <f>IFERROR(IF(INDEX(Spring!$1:$1048576,MATCH($A116,Spring!$A:$A,FALSE),MATCH(AA$1,Spring!$1:$1,FALSE))="","",INDEX(Spring!$1:$1048576,MATCH($A116,Spring!$A:$A,FALSE),MATCH(AA$1,Spring!$1:$1,FALSE))),"")</f>
        <v>2A</v>
      </c>
      <c r="AB116" t="str">
        <f>IFERROR(IF(INDEX(Spring!$1:$1048576,MATCH($A116,Spring!$A:$A,FALSE),MATCH(AB$1,Spring!$1:$1,FALSE))="","",INDEX(Spring!$1:$1048576,MATCH($A116,Spring!$A:$A,FALSE),MATCH(AB$1,Spring!$1:$1,FALSE))),"")</f>
        <v/>
      </c>
      <c r="AC116" t="str">
        <f>IFERROR(IF(INDEX(Spring!$1:$1048576,MATCH($A116,Spring!$A:$A,FALSE),MATCH(AC$1,Spring!$1:$1,FALSE))="","",INDEX(Spring!$1:$1048576,MATCH($A116,Spring!$A:$A,FALSE),MATCH(AC$1,Spring!$1:$1,FALSE))),"")</f>
        <v/>
      </c>
      <c r="AD116" t="str">
        <f>IFERROR(IF(INDEX(Spring!$1:$1048576,MATCH($A116,Spring!$A:$A,FALSE),MATCH(AD$1,Spring!$1:$1,FALSE))="","",INDEX(Spring!$1:$1048576,MATCH($A116,Spring!$A:$A,FALSE),MATCH(AD$1,Spring!$1:$1,FALSE))),"")</f>
        <v/>
      </c>
    </row>
    <row r="117" spans="1:30" ht="23.25" thickBot="1" x14ac:dyDescent="0.3">
      <c r="A117" s="48" t="s">
        <v>137</v>
      </c>
      <c r="B117" s="49" t="s">
        <v>1008</v>
      </c>
      <c r="C117" s="49" t="s">
        <v>1000</v>
      </c>
      <c r="D117" s="50"/>
      <c r="E117" s="50"/>
      <c r="F117" s="45"/>
      <c r="G117" s="45"/>
      <c r="H117" s="44"/>
      <c r="J117" t="str">
        <f>IFERROR(IF(INDEX(Fall!$1:$1048576,MATCH($A117,Fall!$A:$A,FALSE),MATCH(J$1,Fall!$1:$1,FALSE))="","",INDEX(Fall!$1:$1048576,MATCH($A117,Fall!$A:$A,FALSE),MATCH(J$1,Fall!$1:$1,FALSE))),"")</f>
        <v>2A</v>
      </c>
      <c r="K117" t="str">
        <f>IFERROR(IF(INDEX(Fall!$1:$1048576,MATCH($A117,Fall!$A:$A,FALSE),MATCH(K$1,Fall!$1:$1,FALSE))="","",INDEX(Fall!$1:$1048576,MATCH($A117,Fall!$A:$A,FALSE),MATCH(K$1,Fall!$1:$1,FALSE))),"")</f>
        <v>2A</v>
      </c>
      <c r="L117" t="str">
        <f>IFERROR(IF(INDEX(Fall!$1:$1048576,MATCH($A117,Fall!$A:$A,FALSE),MATCH(L$1,Fall!$1:$1,FALSE))="","",INDEX(Fall!$1:$1048576,MATCH($A117,Fall!$A:$A,FALSE),MATCH(L$1,Fall!$1:$1,FALSE))),"")</f>
        <v>2A</v>
      </c>
      <c r="M117" t="str">
        <f>IFERROR(IF(INDEX(Fall!$1:$1048576,MATCH($A117,Fall!$A:$A,FALSE),MATCH(M$1,Fall!$1:$1,FALSE))="","",INDEX(Fall!$1:$1048576,MATCH($A117,Fall!$A:$A,FALSE),MATCH(M$1,Fall!$1:$1,FALSE))),"")</f>
        <v/>
      </c>
      <c r="N117" t="str">
        <f>IFERROR(IF(INDEX(Fall!$1:$1048576,MATCH($A117,Fall!$A:$A,FALSE),MATCH(N$1,Fall!$1:$1,FALSE))="","",INDEX(Fall!$1:$1048576,MATCH($A117,Fall!$A:$A,FALSE),MATCH(N$1,Fall!$1:$1,FALSE))),"")</f>
        <v>2A</v>
      </c>
      <c r="O117" t="str">
        <f>IFERROR(IF(INDEX(Fall!$1:$1048576,MATCH($A117,Fall!$A:$A,FALSE),MATCH(O$1,Fall!$1:$1,FALSE))="","",INDEX(Fall!$1:$1048576,MATCH($A117,Fall!$A:$A,FALSE),MATCH(O$1,Fall!$1:$1,FALSE))),"")</f>
        <v/>
      </c>
      <c r="P117" t="str">
        <f>IFERROR(IF(INDEX(Fall!$1:$1048576,MATCH($A117,Fall!$A:$A,FALSE),MATCH(P$1,Fall!$1:$1,FALSE))="","",INDEX(Fall!$1:$1048576,MATCH($A117,Fall!$A:$A,FALSE),MATCH(P$1,Fall!$1:$1,FALSE))),"")</f>
        <v>3A</v>
      </c>
      <c r="R117" t="str">
        <f>IFERROR(IF(INDEX(Winter!$1:$1048576,MATCH($A117,Winter!$A:$A,FALSE),MATCH(R$1,Winter!$1:$1,FALSE))="","",INDEX(Winter!$1:$1048576,MATCH($A117,Winter!$A:$A,FALSE),MATCH(R$1,Winter!$1:$1,FALSE))),"")</f>
        <v>3A</v>
      </c>
      <c r="S117" t="str">
        <f>IFERROR(IF(INDEX(Winter!$1:$1048576,MATCH($A117,Winter!$A:$A,FALSE),MATCH(S$1,Winter!$1:$1,FALSE))="","",INDEX(Winter!$1:$1048576,MATCH($A117,Winter!$A:$A,FALSE),MATCH(S$1,Winter!$1:$1,FALSE))),"")</f>
        <v>3A</v>
      </c>
      <c r="T117" t="str">
        <f>IFERROR(IF(INDEX(Winter!$1:$1048576,MATCH($A117,Winter!$A:$A,FALSE),MATCH(T$1,Winter!$1:$1,FALSE))="","",INDEX(Winter!$1:$1048576,MATCH($A117,Winter!$A:$A,FALSE),MATCH(T$1,Winter!$1:$1,FALSE))),"")</f>
        <v/>
      </c>
      <c r="U117" t="str">
        <f>IFERROR(IF(INDEX(Winter!$1:$1048576,MATCH($A117,Winter!$A:$A,FALSE),MATCH(U$1,Winter!$1:$1,FALSE))="","",INDEX(Winter!$1:$1048576,MATCH($A117,Winter!$A:$A,FALSE),MATCH(U$1,Winter!$1:$1,FALSE))),"")</f>
        <v/>
      </c>
      <c r="V117" t="str">
        <f>IFERROR(IF(INDEX(Winter!$1:$1048576,MATCH($A117,Winter!$A:$A,FALSE),MATCH(V$1,Winter!$1:$1,FALSE))="","",INDEX(Winter!$1:$1048576,MATCH($A117,Winter!$A:$A,FALSE),MATCH(V$1,Winter!$1:$1,FALSE))),"")</f>
        <v/>
      </c>
      <c r="W117" t="str">
        <f>IFERROR(IF(INDEX(Winter!$1:$1048576,MATCH($A117,Winter!$A:$A,FALSE),MATCH(W$1,Winter!$1:$1,FALSE))="","",INDEX(Winter!$1:$1048576,MATCH($A117,Winter!$A:$A,FALSE),MATCH(W$1,Winter!$1:$1,FALSE))),"")</f>
        <v>2A</v>
      </c>
      <c r="Y117" t="str">
        <f>IFERROR(IF(INDEX(Spring!$1:$1048576,MATCH($A117,Spring!$A:$A,FALSE),MATCH(Y$1,Spring!$1:$1,FALSE))="","",INDEX(Spring!$1:$1048576,MATCH($A117,Spring!$A:$A,FALSE),MATCH(Y$1,Spring!$1:$1,FALSE))),"")</f>
        <v>3A</v>
      </c>
      <c r="Z117" t="str">
        <f>IFERROR(IF(INDEX(Spring!$1:$1048576,MATCH($A117,Spring!$A:$A,FALSE),MATCH(Z$1,Spring!$1:$1,FALSE))="","",INDEX(Spring!$1:$1048576,MATCH($A117,Spring!$A:$A,FALSE),MATCH(Z$1,Spring!$1:$1,FALSE))),"")</f>
        <v/>
      </c>
      <c r="AA117" t="str">
        <f>IFERROR(IF(INDEX(Spring!$1:$1048576,MATCH($A117,Spring!$A:$A,FALSE),MATCH(AA$1,Spring!$1:$1,FALSE))="","",INDEX(Spring!$1:$1048576,MATCH($A117,Spring!$A:$A,FALSE),MATCH(AA$1,Spring!$1:$1,FALSE))),"")</f>
        <v>2A</v>
      </c>
      <c r="AB117" t="str">
        <f>IFERROR(IF(INDEX(Spring!$1:$1048576,MATCH($A117,Spring!$A:$A,FALSE),MATCH(AB$1,Spring!$1:$1,FALSE))="","",INDEX(Spring!$1:$1048576,MATCH($A117,Spring!$A:$A,FALSE),MATCH(AB$1,Spring!$1:$1,FALSE))),"")</f>
        <v/>
      </c>
      <c r="AC117" t="str">
        <f>IFERROR(IF(INDEX(Spring!$1:$1048576,MATCH($A117,Spring!$A:$A,FALSE),MATCH(AC$1,Spring!$1:$1,FALSE))="","",INDEX(Spring!$1:$1048576,MATCH($A117,Spring!$A:$A,FALSE),MATCH(AC$1,Spring!$1:$1,FALSE))),"")</f>
        <v>3A</v>
      </c>
      <c r="AD117" t="str">
        <f>IFERROR(IF(INDEX(Spring!$1:$1048576,MATCH($A117,Spring!$A:$A,FALSE),MATCH(AD$1,Spring!$1:$1,FALSE))="","",INDEX(Spring!$1:$1048576,MATCH($A117,Spring!$A:$A,FALSE),MATCH(AD$1,Spring!$1:$1,FALSE))),"")</f>
        <v>3A</v>
      </c>
    </row>
    <row r="118" spans="1:30" ht="23.25" thickBot="1" x14ac:dyDescent="0.3">
      <c r="A118" s="48" t="s">
        <v>139</v>
      </c>
      <c r="B118" s="49" t="s">
        <v>1009</v>
      </c>
      <c r="C118" s="49" t="s">
        <v>1000</v>
      </c>
      <c r="D118" s="50"/>
      <c r="E118" s="50"/>
      <c r="F118" s="45"/>
      <c r="G118" s="45"/>
      <c r="H118" s="44"/>
      <c r="J118" t="str">
        <f>IFERROR(IF(INDEX(Fall!$1:$1048576,MATCH($A118,Fall!$A:$A,FALSE),MATCH(J$1,Fall!$1:$1,FALSE))="","",INDEX(Fall!$1:$1048576,MATCH($A118,Fall!$A:$A,FALSE),MATCH(J$1,Fall!$1:$1,FALSE))),"")</f>
        <v/>
      </c>
      <c r="K118" t="str">
        <f>IFERROR(IF(INDEX(Fall!$1:$1048576,MATCH($A118,Fall!$A:$A,FALSE),MATCH(K$1,Fall!$1:$1,FALSE))="","",INDEX(Fall!$1:$1048576,MATCH($A118,Fall!$A:$A,FALSE),MATCH(K$1,Fall!$1:$1,FALSE))),"")</f>
        <v/>
      </c>
      <c r="L118" t="str">
        <f>IFERROR(IF(INDEX(Fall!$1:$1048576,MATCH($A118,Fall!$A:$A,FALSE),MATCH(L$1,Fall!$1:$1,FALSE))="","",INDEX(Fall!$1:$1048576,MATCH($A118,Fall!$A:$A,FALSE),MATCH(L$1,Fall!$1:$1,FALSE))),"")</f>
        <v/>
      </c>
      <c r="M118" t="str">
        <f>IFERROR(IF(INDEX(Fall!$1:$1048576,MATCH($A118,Fall!$A:$A,FALSE),MATCH(M$1,Fall!$1:$1,FALSE))="","",INDEX(Fall!$1:$1048576,MATCH($A118,Fall!$A:$A,FALSE),MATCH(M$1,Fall!$1:$1,FALSE))),"")</f>
        <v/>
      </c>
      <c r="N118" t="str">
        <f>IFERROR(IF(INDEX(Fall!$1:$1048576,MATCH($A118,Fall!$A:$A,FALSE),MATCH(N$1,Fall!$1:$1,FALSE))="","",INDEX(Fall!$1:$1048576,MATCH($A118,Fall!$A:$A,FALSE),MATCH(N$1,Fall!$1:$1,FALSE))),"")</f>
        <v>1A</v>
      </c>
      <c r="O118" t="str">
        <f>IFERROR(IF(INDEX(Fall!$1:$1048576,MATCH($A118,Fall!$A:$A,FALSE),MATCH(O$1,Fall!$1:$1,FALSE))="","",INDEX(Fall!$1:$1048576,MATCH($A118,Fall!$A:$A,FALSE),MATCH(O$1,Fall!$1:$1,FALSE))),"")</f>
        <v/>
      </c>
      <c r="P118" t="str">
        <f>IFERROR(IF(INDEX(Fall!$1:$1048576,MATCH($A118,Fall!$A:$A,FALSE),MATCH(P$1,Fall!$1:$1,FALSE))="","",INDEX(Fall!$1:$1048576,MATCH($A118,Fall!$A:$A,FALSE),MATCH(P$1,Fall!$1:$1,FALSE))),"")</f>
        <v>1A</v>
      </c>
      <c r="R118" t="str">
        <f>IFERROR(IF(INDEX(Winter!$1:$1048576,MATCH($A118,Winter!$A:$A,FALSE),MATCH(R$1,Winter!$1:$1,FALSE))="","",INDEX(Winter!$1:$1048576,MATCH($A118,Winter!$A:$A,FALSE),MATCH(R$1,Winter!$1:$1,FALSE))),"")</f>
        <v>1A</v>
      </c>
      <c r="S118" t="str">
        <f>IFERROR(IF(INDEX(Winter!$1:$1048576,MATCH($A118,Winter!$A:$A,FALSE),MATCH(S$1,Winter!$1:$1,FALSE))="","",INDEX(Winter!$1:$1048576,MATCH($A118,Winter!$A:$A,FALSE),MATCH(S$1,Winter!$1:$1,FALSE))),"")</f>
        <v>1A</v>
      </c>
      <c r="T118" t="str">
        <f>IFERROR(IF(INDEX(Winter!$1:$1048576,MATCH($A118,Winter!$A:$A,FALSE),MATCH(T$1,Winter!$1:$1,FALSE))="","",INDEX(Winter!$1:$1048576,MATCH($A118,Winter!$A:$A,FALSE),MATCH(T$1,Winter!$1:$1,FALSE))),"")</f>
        <v/>
      </c>
      <c r="U118" t="str">
        <f>IFERROR(IF(INDEX(Winter!$1:$1048576,MATCH($A118,Winter!$A:$A,FALSE),MATCH(U$1,Winter!$1:$1,FALSE))="","",INDEX(Winter!$1:$1048576,MATCH($A118,Winter!$A:$A,FALSE),MATCH(U$1,Winter!$1:$1,FALSE))),"")</f>
        <v/>
      </c>
      <c r="V118" t="str">
        <f>IFERROR(IF(INDEX(Winter!$1:$1048576,MATCH($A118,Winter!$A:$A,FALSE),MATCH(V$1,Winter!$1:$1,FALSE))="","",INDEX(Winter!$1:$1048576,MATCH($A118,Winter!$A:$A,FALSE),MATCH(V$1,Winter!$1:$1,FALSE))),"")</f>
        <v/>
      </c>
      <c r="W118" t="str">
        <f>IFERROR(IF(INDEX(Winter!$1:$1048576,MATCH($A118,Winter!$A:$A,FALSE),MATCH(W$1,Winter!$1:$1,FALSE))="","",INDEX(Winter!$1:$1048576,MATCH($A118,Winter!$A:$A,FALSE),MATCH(W$1,Winter!$1:$1,FALSE))),"")</f>
        <v/>
      </c>
      <c r="Y118" t="str">
        <f>IFERROR(IF(INDEX(Spring!$1:$1048576,MATCH($A118,Spring!$A:$A,FALSE),MATCH(Y$1,Spring!$1:$1,FALSE))="","",INDEX(Spring!$1:$1048576,MATCH($A118,Spring!$A:$A,FALSE),MATCH(Y$1,Spring!$1:$1,FALSE))),"")</f>
        <v>1A</v>
      </c>
      <c r="Z118" t="str">
        <f>IFERROR(IF(INDEX(Spring!$1:$1048576,MATCH($A118,Spring!$A:$A,FALSE),MATCH(Z$1,Spring!$1:$1,FALSE))="","",INDEX(Spring!$1:$1048576,MATCH($A118,Spring!$A:$A,FALSE),MATCH(Z$1,Spring!$1:$1,FALSE))),"")</f>
        <v/>
      </c>
      <c r="AA118" t="str">
        <f>IFERROR(IF(INDEX(Spring!$1:$1048576,MATCH($A118,Spring!$A:$A,FALSE),MATCH(AA$1,Spring!$1:$1,FALSE))="","",INDEX(Spring!$1:$1048576,MATCH($A118,Spring!$A:$A,FALSE),MATCH(AA$1,Spring!$1:$1,FALSE))),"")</f>
        <v>1A</v>
      </c>
      <c r="AB118" t="str">
        <f>IFERROR(IF(INDEX(Spring!$1:$1048576,MATCH($A118,Spring!$A:$A,FALSE),MATCH(AB$1,Spring!$1:$1,FALSE))="","",INDEX(Spring!$1:$1048576,MATCH($A118,Spring!$A:$A,FALSE),MATCH(AB$1,Spring!$1:$1,FALSE))),"")</f>
        <v/>
      </c>
      <c r="AC118" t="str">
        <f>IFERROR(IF(INDEX(Spring!$1:$1048576,MATCH($A118,Spring!$A:$A,FALSE),MATCH(AC$1,Spring!$1:$1,FALSE))="","",INDEX(Spring!$1:$1048576,MATCH($A118,Spring!$A:$A,FALSE),MATCH(AC$1,Spring!$1:$1,FALSE))),"")</f>
        <v/>
      </c>
      <c r="AD118" t="str">
        <f>IFERROR(IF(INDEX(Spring!$1:$1048576,MATCH($A118,Spring!$A:$A,FALSE),MATCH(AD$1,Spring!$1:$1,FALSE))="","",INDEX(Spring!$1:$1048576,MATCH($A118,Spring!$A:$A,FALSE),MATCH(AD$1,Spring!$1:$1,FALSE))),"")</f>
        <v/>
      </c>
    </row>
    <row r="119" spans="1:30" ht="15.75" thickBot="1" x14ac:dyDescent="0.3">
      <c r="A119" s="48" t="s">
        <v>141</v>
      </c>
      <c r="B119" s="49">
        <v>1427</v>
      </c>
      <c r="C119" s="50"/>
      <c r="D119" s="50"/>
      <c r="E119" s="50"/>
      <c r="F119" s="45"/>
      <c r="G119" s="45"/>
      <c r="H119" s="44"/>
      <c r="J119" t="str">
        <f>IFERROR(IF(INDEX(Fall!$1:$1048576,MATCH($A119,Fall!$A:$A,FALSE),MATCH(J$1,Fall!$1:$1,FALSE))="","",INDEX(Fall!$1:$1048576,MATCH($A119,Fall!$A:$A,FALSE),MATCH(J$1,Fall!$1:$1,FALSE))),"")</f>
        <v>2A</v>
      </c>
      <c r="K119" t="str">
        <f>IFERROR(IF(INDEX(Fall!$1:$1048576,MATCH($A119,Fall!$A:$A,FALSE),MATCH(K$1,Fall!$1:$1,FALSE))="","",INDEX(Fall!$1:$1048576,MATCH($A119,Fall!$A:$A,FALSE),MATCH(K$1,Fall!$1:$1,FALSE))),"")</f>
        <v>2A</v>
      </c>
      <c r="L119" t="str">
        <f>IFERROR(IF(INDEX(Fall!$1:$1048576,MATCH($A119,Fall!$A:$A,FALSE),MATCH(L$1,Fall!$1:$1,FALSE))="","",INDEX(Fall!$1:$1048576,MATCH($A119,Fall!$A:$A,FALSE),MATCH(L$1,Fall!$1:$1,FALSE))),"")</f>
        <v>2A</v>
      </c>
      <c r="M119" t="str">
        <f>IFERROR(IF(INDEX(Fall!$1:$1048576,MATCH($A119,Fall!$A:$A,FALSE),MATCH(M$1,Fall!$1:$1,FALSE))="","",INDEX(Fall!$1:$1048576,MATCH($A119,Fall!$A:$A,FALSE),MATCH(M$1,Fall!$1:$1,FALSE))),"")</f>
        <v/>
      </c>
      <c r="N119" t="str">
        <f>IFERROR(IF(INDEX(Fall!$1:$1048576,MATCH($A119,Fall!$A:$A,FALSE),MATCH(N$1,Fall!$1:$1,FALSE))="","",INDEX(Fall!$1:$1048576,MATCH($A119,Fall!$A:$A,FALSE),MATCH(N$1,Fall!$1:$1,FALSE))),"")</f>
        <v>2A</v>
      </c>
      <c r="O119" t="str">
        <f>IFERROR(IF(INDEX(Fall!$1:$1048576,MATCH($A119,Fall!$A:$A,FALSE),MATCH(O$1,Fall!$1:$1,FALSE))="","",INDEX(Fall!$1:$1048576,MATCH($A119,Fall!$A:$A,FALSE),MATCH(O$1,Fall!$1:$1,FALSE))),"")</f>
        <v/>
      </c>
      <c r="P119" t="str">
        <f>IFERROR(IF(INDEX(Fall!$1:$1048576,MATCH($A119,Fall!$A:$A,FALSE),MATCH(P$1,Fall!$1:$1,FALSE))="","",INDEX(Fall!$1:$1048576,MATCH($A119,Fall!$A:$A,FALSE),MATCH(P$1,Fall!$1:$1,FALSE))),"")</f>
        <v>3A</v>
      </c>
      <c r="R119" t="str">
        <f>IFERROR(IF(INDEX(Winter!$1:$1048576,MATCH($A119,Winter!$A:$A,FALSE),MATCH(R$1,Winter!$1:$1,FALSE))="","",INDEX(Winter!$1:$1048576,MATCH($A119,Winter!$A:$A,FALSE),MATCH(R$1,Winter!$1:$1,FALSE))),"")</f>
        <v>3A</v>
      </c>
      <c r="S119" t="str">
        <f>IFERROR(IF(INDEX(Winter!$1:$1048576,MATCH($A119,Winter!$A:$A,FALSE),MATCH(S$1,Winter!$1:$1,FALSE))="","",INDEX(Winter!$1:$1048576,MATCH($A119,Winter!$A:$A,FALSE),MATCH(S$1,Winter!$1:$1,FALSE))),"")</f>
        <v>3A</v>
      </c>
      <c r="T119" t="str">
        <f>IFERROR(IF(INDEX(Winter!$1:$1048576,MATCH($A119,Winter!$A:$A,FALSE),MATCH(T$1,Winter!$1:$1,FALSE))="","",INDEX(Winter!$1:$1048576,MATCH($A119,Winter!$A:$A,FALSE),MATCH(T$1,Winter!$1:$1,FALSE))),"")</f>
        <v>2A</v>
      </c>
      <c r="U119" t="str">
        <f>IFERROR(IF(INDEX(Winter!$1:$1048576,MATCH($A119,Winter!$A:$A,FALSE),MATCH(U$1,Winter!$1:$1,FALSE))="","",INDEX(Winter!$1:$1048576,MATCH($A119,Winter!$A:$A,FALSE),MATCH(U$1,Winter!$1:$1,FALSE))),"")</f>
        <v/>
      </c>
      <c r="V119" t="str">
        <f>IFERROR(IF(INDEX(Winter!$1:$1048576,MATCH($A119,Winter!$A:$A,FALSE),MATCH(V$1,Winter!$1:$1,FALSE))="","",INDEX(Winter!$1:$1048576,MATCH($A119,Winter!$A:$A,FALSE),MATCH(V$1,Winter!$1:$1,FALSE))),"")</f>
        <v/>
      </c>
      <c r="W119" t="str">
        <f>IFERROR(IF(INDEX(Winter!$1:$1048576,MATCH($A119,Winter!$A:$A,FALSE),MATCH(W$1,Winter!$1:$1,FALSE))="","",INDEX(Winter!$1:$1048576,MATCH($A119,Winter!$A:$A,FALSE),MATCH(W$1,Winter!$1:$1,FALSE))),"")</f>
        <v>2A</v>
      </c>
      <c r="Y119" t="str">
        <f>IFERROR(IF(INDEX(Spring!$1:$1048576,MATCH($A119,Spring!$A:$A,FALSE),MATCH(Y$1,Spring!$1:$1,FALSE))="","",INDEX(Spring!$1:$1048576,MATCH($A119,Spring!$A:$A,FALSE),MATCH(Y$1,Spring!$1:$1,FALSE))),"")</f>
        <v>3A</v>
      </c>
      <c r="Z119" t="str">
        <f>IFERROR(IF(INDEX(Spring!$1:$1048576,MATCH($A119,Spring!$A:$A,FALSE),MATCH(Z$1,Spring!$1:$1,FALSE))="","",INDEX(Spring!$1:$1048576,MATCH($A119,Spring!$A:$A,FALSE),MATCH(Z$1,Spring!$1:$1,FALSE))),"")</f>
        <v>3A</v>
      </c>
      <c r="AA119" t="str">
        <f>IFERROR(IF(INDEX(Spring!$1:$1048576,MATCH($A119,Spring!$A:$A,FALSE),MATCH(AA$1,Spring!$1:$1,FALSE))="","",INDEX(Spring!$1:$1048576,MATCH($A119,Spring!$A:$A,FALSE),MATCH(AA$1,Spring!$1:$1,FALSE))),"")</f>
        <v>2A</v>
      </c>
      <c r="AB119" t="str">
        <f>IFERROR(IF(INDEX(Spring!$1:$1048576,MATCH($A119,Spring!$A:$A,FALSE),MATCH(AB$1,Spring!$1:$1,FALSE))="","",INDEX(Spring!$1:$1048576,MATCH($A119,Spring!$A:$A,FALSE),MATCH(AB$1,Spring!$1:$1,FALSE))),"")</f>
        <v/>
      </c>
      <c r="AC119" t="str">
        <f>IFERROR(IF(INDEX(Spring!$1:$1048576,MATCH($A119,Spring!$A:$A,FALSE),MATCH(AC$1,Spring!$1:$1,FALSE))="","",INDEX(Spring!$1:$1048576,MATCH($A119,Spring!$A:$A,FALSE),MATCH(AC$1,Spring!$1:$1,FALSE))),"")</f>
        <v>3A</v>
      </c>
      <c r="AD119" t="str">
        <f>IFERROR(IF(INDEX(Spring!$1:$1048576,MATCH($A119,Spring!$A:$A,FALSE),MATCH(AD$1,Spring!$1:$1,FALSE))="","",INDEX(Spring!$1:$1048576,MATCH($A119,Spring!$A:$A,FALSE),MATCH(AD$1,Spring!$1:$1,FALSE))),"")</f>
        <v>3A</v>
      </c>
    </row>
    <row r="120" spans="1:30" ht="23.25" thickBot="1" x14ac:dyDescent="0.3">
      <c r="A120" s="48" t="s">
        <v>983</v>
      </c>
      <c r="B120" s="49" t="s">
        <v>276</v>
      </c>
      <c r="C120" s="49" t="s">
        <v>1000</v>
      </c>
      <c r="D120" s="50"/>
      <c r="E120" s="50"/>
      <c r="F120" s="45"/>
      <c r="G120" s="45"/>
      <c r="H120" s="44"/>
      <c r="J120" t="str">
        <f>IFERROR(IF(INDEX(Fall!$1:$1048576,MATCH($A120,Fall!$A:$A,FALSE),MATCH(J$1,Fall!$1:$1,FALSE))="","",INDEX(Fall!$1:$1048576,MATCH($A120,Fall!$A:$A,FALSE),MATCH(J$1,Fall!$1:$1,FALSE))),"")</f>
        <v>2A</v>
      </c>
      <c r="K120" t="str">
        <f>IFERROR(IF(INDEX(Fall!$1:$1048576,MATCH($A120,Fall!$A:$A,FALSE),MATCH(K$1,Fall!$1:$1,FALSE))="","",INDEX(Fall!$1:$1048576,MATCH($A120,Fall!$A:$A,FALSE),MATCH(K$1,Fall!$1:$1,FALSE))),"")</f>
        <v>2A</v>
      </c>
      <c r="L120" t="str">
        <f>IFERROR(IF(INDEX(Fall!$1:$1048576,MATCH($A120,Fall!$A:$A,FALSE),MATCH(L$1,Fall!$1:$1,FALSE))="","",INDEX(Fall!$1:$1048576,MATCH($A120,Fall!$A:$A,FALSE),MATCH(L$1,Fall!$1:$1,FALSE))),"")</f>
        <v/>
      </c>
      <c r="M120" t="str">
        <f>IFERROR(IF(INDEX(Fall!$1:$1048576,MATCH($A120,Fall!$A:$A,FALSE),MATCH(M$1,Fall!$1:$1,FALSE))="","",INDEX(Fall!$1:$1048576,MATCH($A120,Fall!$A:$A,FALSE),MATCH(M$1,Fall!$1:$1,FALSE))),"")</f>
        <v/>
      </c>
      <c r="N120" t="str">
        <f>IFERROR(IF(INDEX(Fall!$1:$1048576,MATCH($A120,Fall!$A:$A,FALSE),MATCH(N$1,Fall!$1:$1,FALSE))="","",INDEX(Fall!$1:$1048576,MATCH($A120,Fall!$A:$A,FALSE),MATCH(N$1,Fall!$1:$1,FALSE))),"")</f>
        <v>1A</v>
      </c>
      <c r="O120" t="str">
        <f>IFERROR(IF(INDEX(Fall!$1:$1048576,MATCH($A120,Fall!$A:$A,FALSE),MATCH(O$1,Fall!$1:$1,FALSE))="","",INDEX(Fall!$1:$1048576,MATCH($A120,Fall!$A:$A,FALSE),MATCH(O$1,Fall!$1:$1,FALSE))),"")</f>
        <v/>
      </c>
      <c r="P120" t="str">
        <f>IFERROR(IF(INDEX(Fall!$1:$1048576,MATCH($A120,Fall!$A:$A,FALSE),MATCH(P$1,Fall!$1:$1,FALSE))="","",INDEX(Fall!$1:$1048576,MATCH($A120,Fall!$A:$A,FALSE),MATCH(P$1,Fall!$1:$1,FALSE))),"")</f>
        <v>3A</v>
      </c>
      <c r="R120" t="str">
        <f>IFERROR(IF(INDEX(Winter!$1:$1048576,MATCH($A120,Winter!$A:$A,FALSE),MATCH(R$1,Winter!$1:$1,FALSE))="","",INDEX(Winter!$1:$1048576,MATCH($A120,Winter!$A:$A,FALSE),MATCH(R$1,Winter!$1:$1,FALSE))),"")</f>
        <v/>
      </c>
      <c r="S120" t="str">
        <f>IFERROR(IF(INDEX(Winter!$1:$1048576,MATCH($A120,Winter!$A:$A,FALSE),MATCH(S$1,Winter!$1:$1,FALSE))="","",INDEX(Winter!$1:$1048576,MATCH($A120,Winter!$A:$A,FALSE),MATCH(S$1,Winter!$1:$1,FALSE))),"")</f>
        <v/>
      </c>
      <c r="T120" t="str">
        <f>IFERROR(IF(INDEX(Winter!$1:$1048576,MATCH($A120,Winter!$A:$A,FALSE),MATCH(T$1,Winter!$1:$1,FALSE))="","",INDEX(Winter!$1:$1048576,MATCH($A120,Winter!$A:$A,FALSE),MATCH(T$1,Winter!$1:$1,FALSE))),"")</f>
        <v/>
      </c>
      <c r="U120" t="str">
        <f>IFERROR(IF(INDEX(Winter!$1:$1048576,MATCH($A120,Winter!$A:$A,FALSE),MATCH(U$1,Winter!$1:$1,FALSE))="","",INDEX(Winter!$1:$1048576,MATCH($A120,Winter!$A:$A,FALSE),MATCH(U$1,Winter!$1:$1,FALSE))),"")</f>
        <v/>
      </c>
      <c r="V120" t="str">
        <f>IFERROR(IF(INDEX(Winter!$1:$1048576,MATCH($A120,Winter!$A:$A,FALSE),MATCH(V$1,Winter!$1:$1,FALSE))="","",INDEX(Winter!$1:$1048576,MATCH($A120,Winter!$A:$A,FALSE),MATCH(V$1,Winter!$1:$1,FALSE))),"")</f>
        <v/>
      </c>
      <c r="W120" t="str">
        <f>IFERROR(IF(INDEX(Winter!$1:$1048576,MATCH($A120,Winter!$A:$A,FALSE),MATCH(W$1,Winter!$1:$1,FALSE))="","",INDEX(Winter!$1:$1048576,MATCH($A120,Winter!$A:$A,FALSE),MATCH(W$1,Winter!$1:$1,FALSE))),"")</f>
        <v/>
      </c>
      <c r="Y120" t="str">
        <f>IFERROR(IF(INDEX(Spring!$1:$1048576,MATCH($A120,Spring!$A:$A,FALSE),MATCH(Y$1,Spring!$1:$1,FALSE))="","",INDEX(Spring!$1:$1048576,MATCH($A120,Spring!$A:$A,FALSE),MATCH(Y$1,Spring!$1:$1,FALSE))),"")</f>
        <v/>
      </c>
      <c r="Z120" t="str">
        <f>IFERROR(IF(INDEX(Spring!$1:$1048576,MATCH($A120,Spring!$A:$A,FALSE),MATCH(Z$1,Spring!$1:$1,FALSE))="","",INDEX(Spring!$1:$1048576,MATCH($A120,Spring!$A:$A,FALSE),MATCH(Z$1,Spring!$1:$1,FALSE))),"")</f>
        <v/>
      </c>
      <c r="AA120" t="str">
        <f>IFERROR(IF(INDEX(Spring!$1:$1048576,MATCH($A120,Spring!$A:$A,FALSE),MATCH(AA$1,Spring!$1:$1,FALSE))="","",INDEX(Spring!$1:$1048576,MATCH($A120,Spring!$A:$A,FALSE),MATCH(AA$1,Spring!$1:$1,FALSE))),"")</f>
        <v/>
      </c>
      <c r="AB120" t="str">
        <f>IFERROR(IF(INDEX(Spring!$1:$1048576,MATCH($A120,Spring!$A:$A,FALSE),MATCH(AB$1,Spring!$1:$1,FALSE))="","",INDEX(Spring!$1:$1048576,MATCH($A120,Spring!$A:$A,FALSE),MATCH(AB$1,Spring!$1:$1,FALSE))),"")</f>
        <v/>
      </c>
      <c r="AC120" t="str">
        <f>IFERROR(IF(INDEX(Spring!$1:$1048576,MATCH($A120,Spring!$A:$A,FALSE),MATCH(AC$1,Spring!$1:$1,FALSE))="","",INDEX(Spring!$1:$1048576,MATCH($A120,Spring!$A:$A,FALSE),MATCH(AC$1,Spring!$1:$1,FALSE))),"")</f>
        <v/>
      </c>
      <c r="AD120" t="str">
        <f>IFERROR(IF(INDEX(Spring!$1:$1048576,MATCH($A120,Spring!$A:$A,FALSE),MATCH(AD$1,Spring!$1:$1,FALSE))="","",INDEX(Spring!$1:$1048576,MATCH($A120,Spring!$A:$A,FALSE),MATCH(AD$1,Spring!$1:$1,FALSE))),"")</f>
        <v/>
      </c>
    </row>
    <row r="121" spans="1:30" ht="15.75" thickBot="1" x14ac:dyDescent="0.3">
      <c r="A121" s="48" t="s">
        <v>142</v>
      </c>
      <c r="B121" s="49">
        <v>140</v>
      </c>
      <c r="C121" s="50"/>
      <c r="D121" s="50"/>
      <c r="E121" s="50"/>
      <c r="F121" s="45"/>
      <c r="G121" s="45"/>
      <c r="H121" s="44"/>
      <c r="J121" t="str">
        <f>IFERROR(IF(INDEX(Fall!$1:$1048576,MATCH($A121,Fall!$A:$A,FALSE),MATCH(J$1,Fall!$1:$1,FALSE))="","",INDEX(Fall!$1:$1048576,MATCH($A121,Fall!$A:$A,FALSE),MATCH(J$1,Fall!$1:$1,FALSE))),"")</f>
        <v/>
      </c>
      <c r="K121" t="str">
        <f>IFERROR(IF(INDEX(Fall!$1:$1048576,MATCH($A121,Fall!$A:$A,FALSE),MATCH(K$1,Fall!$1:$1,FALSE))="","",INDEX(Fall!$1:$1048576,MATCH($A121,Fall!$A:$A,FALSE),MATCH(K$1,Fall!$1:$1,FALSE))),"")</f>
        <v/>
      </c>
      <c r="L121" t="str">
        <f>IFERROR(IF(INDEX(Fall!$1:$1048576,MATCH($A121,Fall!$A:$A,FALSE),MATCH(L$1,Fall!$1:$1,FALSE))="","",INDEX(Fall!$1:$1048576,MATCH($A121,Fall!$A:$A,FALSE),MATCH(L$1,Fall!$1:$1,FALSE))),"")</f>
        <v/>
      </c>
      <c r="M121" t="str">
        <f>IFERROR(IF(INDEX(Fall!$1:$1048576,MATCH($A121,Fall!$A:$A,FALSE),MATCH(M$1,Fall!$1:$1,FALSE))="","",INDEX(Fall!$1:$1048576,MATCH($A121,Fall!$A:$A,FALSE),MATCH(M$1,Fall!$1:$1,FALSE))),"")</f>
        <v/>
      </c>
      <c r="N121" t="str">
        <f>IFERROR(IF(INDEX(Fall!$1:$1048576,MATCH($A121,Fall!$A:$A,FALSE),MATCH(N$1,Fall!$1:$1,FALSE))="","",INDEX(Fall!$1:$1048576,MATCH($A121,Fall!$A:$A,FALSE),MATCH(N$1,Fall!$1:$1,FALSE))),"")</f>
        <v/>
      </c>
      <c r="O121" t="str">
        <f>IFERROR(IF(INDEX(Fall!$1:$1048576,MATCH($A121,Fall!$A:$A,FALSE),MATCH(O$1,Fall!$1:$1,FALSE))="","",INDEX(Fall!$1:$1048576,MATCH($A121,Fall!$A:$A,FALSE),MATCH(O$1,Fall!$1:$1,FALSE))),"")</f>
        <v/>
      </c>
      <c r="P121" t="str">
        <f>IFERROR(IF(INDEX(Fall!$1:$1048576,MATCH($A121,Fall!$A:$A,FALSE),MATCH(P$1,Fall!$1:$1,FALSE))="","",INDEX(Fall!$1:$1048576,MATCH($A121,Fall!$A:$A,FALSE),MATCH(P$1,Fall!$1:$1,FALSE))),"")</f>
        <v/>
      </c>
      <c r="R121" t="str">
        <f>IFERROR(IF(INDEX(Winter!$1:$1048576,MATCH($A121,Winter!$A:$A,FALSE),MATCH(R$1,Winter!$1:$1,FALSE))="","",INDEX(Winter!$1:$1048576,MATCH($A121,Winter!$A:$A,FALSE),MATCH(R$1,Winter!$1:$1,FALSE))),"")</f>
        <v>1A</v>
      </c>
      <c r="S121" t="str">
        <f>IFERROR(IF(INDEX(Winter!$1:$1048576,MATCH($A121,Winter!$A:$A,FALSE),MATCH(S$1,Winter!$1:$1,FALSE))="","",INDEX(Winter!$1:$1048576,MATCH($A121,Winter!$A:$A,FALSE),MATCH(S$1,Winter!$1:$1,FALSE))),"")</f>
        <v/>
      </c>
      <c r="T121" t="str">
        <f>IFERROR(IF(INDEX(Winter!$1:$1048576,MATCH($A121,Winter!$A:$A,FALSE),MATCH(T$1,Winter!$1:$1,FALSE))="","",INDEX(Winter!$1:$1048576,MATCH($A121,Winter!$A:$A,FALSE),MATCH(T$1,Winter!$1:$1,FALSE))),"")</f>
        <v/>
      </c>
      <c r="U121" t="str">
        <f>IFERROR(IF(INDEX(Winter!$1:$1048576,MATCH($A121,Winter!$A:$A,FALSE),MATCH(U$1,Winter!$1:$1,FALSE))="","",INDEX(Winter!$1:$1048576,MATCH($A121,Winter!$A:$A,FALSE),MATCH(U$1,Winter!$1:$1,FALSE))),"")</f>
        <v/>
      </c>
      <c r="V121" t="str">
        <f>IFERROR(IF(INDEX(Winter!$1:$1048576,MATCH($A121,Winter!$A:$A,FALSE),MATCH(V$1,Winter!$1:$1,FALSE))="","",INDEX(Winter!$1:$1048576,MATCH($A121,Winter!$A:$A,FALSE),MATCH(V$1,Winter!$1:$1,FALSE))),"")</f>
        <v/>
      </c>
      <c r="W121" t="str">
        <f>IFERROR(IF(INDEX(Winter!$1:$1048576,MATCH($A121,Winter!$A:$A,FALSE),MATCH(W$1,Winter!$1:$1,FALSE))="","",INDEX(Winter!$1:$1048576,MATCH($A121,Winter!$A:$A,FALSE),MATCH(W$1,Winter!$1:$1,FALSE))),"")</f>
        <v/>
      </c>
      <c r="Y121" t="str">
        <f>IFERROR(IF(INDEX(Spring!$1:$1048576,MATCH($A121,Spring!$A:$A,FALSE),MATCH(Y$1,Spring!$1:$1,FALSE))="","",INDEX(Spring!$1:$1048576,MATCH($A121,Spring!$A:$A,FALSE),MATCH(Y$1,Spring!$1:$1,FALSE))),"")</f>
        <v/>
      </c>
      <c r="Z121" t="str">
        <f>IFERROR(IF(INDEX(Spring!$1:$1048576,MATCH($A121,Spring!$A:$A,FALSE),MATCH(Z$1,Spring!$1:$1,FALSE))="","",INDEX(Spring!$1:$1048576,MATCH($A121,Spring!$A:$A,FALSE),MATCH(Z$1,Spring!$1:$1,FALSE))),"")</f>
        <v/>
      </c>
      <c r="AA121" t="str">
        <f>IFERROR(IF(INDEX(Spring!$1:$1048576,MATCH($A121,Spring!$A:$A,FALSE),MATCH(AA$1,Spring!$1:$1,FALSE))="","",INDEX(Spring!$1:$1048576,MATCH($A121,Spring!$A:$A,FALSE),MATCH(AA$1,Spring!$1:$1,FALSE))),"")</f>
        <v/>
      </c>
      <c r="AB121" t="str">
        <f>IFERROR(IF(INDEX(Spring!$1:$1048576,MATCH($A121,Spring!$A:$A,FALSE),MATCH(AB$1,Spring!$1:$1,FALSE))="","",INDEX(Spring!$1:$1048576,MATCH($A121,Spring!$A:$A,FALSE),MATCH(AB$1,Spring!$1:$1,FALSE))),"")</f>
        <v/>
      </c>
      <c r="AC121" t="str">
        <f>IFERROR(IF(INDEX(Spring!$1:$1048576,MATCH($A121,Spring!$A:$A,FALSE),MATCH(AC$1,Spring!$1:$1,FALSE))="","",INDEX(Spring!$1:$1048576,MATCH($A121,Spring!$A:$A,FALSE),MATCH(AC$1,Spring!$1:$1,FALSE))),"")</f>
        <v>1A</v>
      </c>
      <c r="AD121" t="str">
        <f>IFERROR(IF(INDEX(Spring!$1:$1048576,MATCH($A121,Spring!$A:$A,FALSE),MATCH(AD$1,Spring!$1:$1,FALSE))="","",INDEX(Spring!$1:$1048576,MATCH($A121,Spring!$A:$A,FALSE),MATCH(AD$1,Spring!$1:$1,FALSE))),"")</f>
        <v/>
      </c>
    </row>
    <row r="122" spans="1:30" ht="23.25" thickBot="1" x14ac:dyDescent="0.3">
      <c r="A122" s="48" t="s">
        <v>143</v>
      </c>
      <c r="B122" s="49" t="s">
        <v>1010</v>
      </c>
      <c r="C122" s="49" t="s">
        <v>1000</v>
      </c>
      <c r="D122" s="50"/>
      <c r="E122" s="50"/>
      <c r="F122" s="45"/>
      <c r="G122" s="45"/>
      <c r="H122" s="44"/>
      <c r="J122" t="str">
        <f>IFERROR(IF(INDEX(Fall!$1:$1048576,MATCH($A122,Fall!$A:$A,FALSE),MATCH(J$1,Fall!$1:$1,FALSE))="","",INDEX(Fall!$1:$1048576,MATCH($A122,Fall!$A:$A,FALSE),MATCH(J$1,Fall!$1:$1,FALSE))),"")</f>
        <v>3A</v>
      </c>
      <c r="K122" t="str">
        <f>IFERROR(IF(INDEX(Fall!$1:$1048576,MATCH($A122,Fall!$A:$A,FALSE),MATCH(K$1,Fall!$1:$1,FALSE))="","",INDEX(Fall!$1:$1048576,MATCH($A122,Fall!$A:$A,FALSE),MATCH(K$1,Fall!$1:$1,FALSE))),"")</f>
        <v>3A</v>
      </c>
      <c r="L122" t="str">
        <f>IFERROR(IF(INDEX(Fall!$1:$1048576,MATCH($A122,Fall!$A:$A,FALSE),MATCH(L$1,Fall!$1:$1,FALSE))="","",INDEX(Fall!$1:$1048576,MATCH($A122,Fall!$A:$A,FALSE),MATCH(L$1,Fall!$1:$1,FALSE))),"")</f>
        <v/>
      </c>
      <c r="M122" t="str">
        <f>IFERROR(IF(INDEX(Fall!$1:$1048576,MATCH($A122,Fall!$A:$A,FALSE),MATCH(M$1,Fall!$1:$1,FALSE))="","",INDEX(Fall!$1:$1048576,MATCH($A122,Fall!$A:$A,FALSE),MATCH(M$1,Fall!$1:$1,FALSE))),"")</f>
        <v/>
      </c>
      <c r="N122" t="str">
        <f>IFERROR(IF(INDEX(Fall!$1:$1048576,MATCH($A122,Fall!$A:$A,FALSE),MATCH(N$1,Fall!$1:$1,FALSE))="","",INDEX(Fall!$1:$1048576,MATCH($A122,Fall!$A:$A,FALSE),MATCH(N$1,Fall!$1:$1,FALSE))),"")</f>
        <v>2A</v>
      </c>
      <c r="O122" t="str">
        <f>IFERROR(IF(INDEX(Fall!$1:$1048576,MATCH($A122,Fall!$A:$A,FALSE),MATCH(O$1,Fall!$1:$1,FALSE))="","",INDEX(Fall!$1:$1048576,MATCH($A122,Fall!$A:$A,FALSE),MATCH(O$1,Fall!$1:$1,FALSE))),"")</f>
        <v/>
      </c>
      <c r="P122" t="str">
        <f>IFERROR(IF(INDEX(Fall!$1:$1048576,MATCH($A122,Fall!$A:$A,FALSE),MATCH(P$1,Fall!$1:$1,FALSE))="","",INDEX(Fall!$1:$1048576,MATCH($A122,Fall!$A:$A,FALSE),MATCH(P$1,Fall!$1:$1,FALSE))),"")</f>
        <v>3A</v>
      </c>
      <c r="R122" t="str">
        <f>IFERROR(IF(INDEX(Winter!$1:$1048576,MATCH($A122,Winter!$A:$A,FALSE),MATCH(R$1,Winter!$1:$1,FALSE))="","",INDEX(Winter!$1:$1048576,MATCH($A122,Winter!$A:$A,FALSE),MATCH(R$1,Winter!$1:$1,FALSE))),"")</f>
        <v>4A</v>
      </c>
      <c r="S122" t="str">
        <f>IFERROR(IF(INDEX(Winter!$1:$1048576,MATCH($A122,Winter!$A:$A,FALSE),MATCH(S$1,Winter!$1:$1,FALSE))="","",INDEX(Winter!$1:$1048576,MATCH($A122,Winter!$A:$A,FALSE),MATCH(S$1,Winter!$1:$1,FALSE))),"")</f>
        <v/>
      </c>
      <c r="T122" t="str">
        <f>IFERROR(IF(INDEX(Winter!$1:$1048576,MATCH($A122,Winter!$A:$A,FALSE),MATCH(T$1,Winter!$1:$1,FALSE))="","",INDEX(Winter!$1:$1048576,MATCH($A122,Winter!$A:$A,FALSE),MATCH(T$1,Winter!$1:$1,FALSE))),"")</f>
        <v>2A</v>
      </c>
      <c r="U122" t="str">
        <f>IFERROR(IF(INDEX(Winter!$1:$1048576,MATCH($A122,Winter!$A:$A,FALSE),MATCH(U$1,Winter!$1:$1,FALSE))="","",INDEX(Winter!$1:$1048576,MATCH($A122,Winter!$A:$A,FALSE),MATCH(U$1,Winter!$1:$1,FALSE))),"")</f>
        <v>1A</v>
      </c>
      <c r="V122" t="str">
        <f>IFERROR(IF(INDEX(Winter!$1:$1048576,MATCH($A122,Winter!$A:$A,FALSE),MATCH(V$1,Winter!$1:$1,FALSE))="","",INDEX(Winter!$1:$1048576,MATCH($A122,Winter!$A:$A,FALSE),MATCH(V$1,Winter!$1:$1,FALSE))),"")</f>
        <v/>
      </c>
      <c r="W122" t="str">
        <f>IFERROR(IF(INDEX(Winter!$1:$1048576,MATCH($A122,Winter!$A:$A,FALSE),MATCH(W$1,Winter!$1:$1,FALSE))="","",INDEX(Winter!$1:$1048576,MATCH($A122,Winter!$A:$A,FALSE),MATCH(W$1,Winter!$1:$1,FALSE))),"")</f>
        <v>2A</v>
      </c>
      <c r="Y122" t="str">
        <f>IFERROR(IF(INDEX(Spring!$1:$1048576,MATCH($A122,Spring!$A:$A,FALSE),MATCH(Y$1,Spring!$1:$1,FALSE))="","",INDEX(Spring!$1:$1048576,MATCH($A122,Spring!$A:$A,FALSE),MATCH(Y$1,Spring!$1:$1,FALSE))),"")</f>
        <v/>
      </c>
      <c r="Z122" t="str">
        <f>IFERROR(IF(INDEX(Spring!$1:$1048576,MATCH($A122,Spring!$A:$A,FALSE),MATCH(Z$1,Spring!$1:$1,FALSE))="","",INDEX(Spring!$1:$1048576,MATCH($A122,Spring!$A:$A,FALSE),MATCH(Z$1,Spring!$1:$1,FALSE))),"")</f>
        <v/>
      </c>
      <c r="AA122" t="str">
        <f>IFERROR(IF(INDEX(Spring!$1:$1048576,MATCH($A122,Spring!$A:$A,FALSE),MATCH(AA$1,Spring!$1:$1,FALSE))="","",INDEX(Spring!$1:$1048576,MATCH($A122,Spring!$A:$A,FALSE),MATCH(AA$1,Spring!$1:$1,FALSE))),"")</f>
        <v>2A</v>
      </c>
      <c r="AB122" t="str">
        <f>IFERROR(IF(INDEX(Spring!$1:$1048576,MATCH($A122,Spring!$A:$A,FALSE),MATCH(AB$1,Spring!$1:$1,FALSE))="","",INDEX(Spring!$1:$1048576,MATCH($A122,Spring!$A:$A,FALSE),MATCH(AB$1,Spring!$1:$1,FALSE))),"")</f>
        <v/>
      </c>
      <c r="AC122" t="str">
        <f>IFERROR(IF(INDEX(Spring!$1:$1048576,MATCH($A122,Spring!$A:$A,FALSE),MATCH(AC$1,Spring!$1:$1,FALSE))="","",INDEX(Spring!$1:$1048576,MATCH($A122,Spring!$A:$A,FALSE),MATCH(AC$1,Spring!$1:$1,FALSE))),"")</f>
        <v/>
      </c>
      <c r="AD122" t="str">
        <f>IFERROR(IF(INDEX(Spring!$1:$1048576,MATCH($A122,Spring!$A:$A,FALSE),MATCH(AD$1,Spring!$1:$1,FALSE))="","",INDEX(Spring!$1:$1048576,MATCH($A122,Spring!$A:$A,FALSE),MATCH(AD$1,Spring!$1:$1,FALSE))),"")</f>
        <v/>
      </c>
    </row>
    <row r="123" spans="1:30" ht="15.75" thickBot="1" x14ac:dyDescent="0.3">
      <c r="A123" s="48" t="s">
        <v>145</v>
      </c>
      <c r="B123" s="49">
        <v>608</v>
      </c>
      <c r="C123" s="50"/>
      <c r="D123" s="50"/>
      <c r="E123" s="50"/>
      <c r="F123" s="45"/>
      <c r="G123" s="45"/>
      <c r="H123" s="44"/>
      <c r="J123" t="str">
        <f>IFERROR(IF(INDEX(Fall!$1:$1048576,MATCH($A123,Fall!$A:$A,FALSE),MATCH(J$1,Fall!$1:$1,FALSE))="","",INDEX(Fall!$1:$1048576,MATCH($A123,Fall!$A:$A,FALSE),MATCH(J$1,Fall!$1:$1,FALSE))),"")</f>
        <v/>
      </c>
      <c r="K123" t="str">
        <f>IFERROR(IF(INDEX(Fall!$1:$1048576,MATCH($A123,Fall!$A:$A,FALSE),MATCH(K$1,Fall!$1:$1,FALSE))="","",INDEX(Fall!$1:$1048576,MATCH($A123,Fall!$A:$A,FALSE),MATCH(K$1,Fall!$1:$1,FALSE))),"")</f>
        <v/>
      </c>
      <c r="L123" t="str">
        <f>IFERROR(IF(INDEX(Fall!$1:$1048576,MATCH($A123,Fall!$A:$A,FALSE),MATCH(L$1,Fall!$1:$1,FALSE))="","",INDEX(Fall!$1:$1048576,MATCH($A123,Fall!$A:$A,FALSE),MATCH(L$1,Fall!$1:$1,FALSE))),"")</f>
        <v/>
      </c>
      <c r="M123" t="str">
        <f>IFERROR(IF(INDEX(Fall!$1:$1048576,MATCH($A123,Fall!$A:$A,FALSE),MATCH(M$1,Fall!$1:$1,FALSE))="","",INDEX(Fall!$1:$1048576,MATCH($A123,Fall!$A:$A,FALSE),MATCH(M$1,Fall!$1:$1,FALSE))),"")</f>
        <v/>
      </c>
      <c r="N123" t="str">
        <f>IFERROR(IF(INDEX(Fall!$1:$1048576,MATCH($A123,Fall!$A:$A,FALSE),MATCH(N$1,Fall!$1:$1,FALSE))="","",INDEX(Fall!$1:$1048576,MATCH($A123,Fall!$A:$A,FALSE),MATCH(N$1,Fall!$1:$1,FALSE))),"")</f>
        <v>1A</v>
      </c>
      <c r="O123" t="str">
        <f>IFERROR(IF(INDEX(Fall!$1:$1048576,MATCH($A123,Fall!$A:$A,FALSE),MATCH(O$1,Fall!$1:$1,FALSE))="","",INDEX(Fall!$1:$1048576,MATCH($A123,Fall!$A:$A,FALSE),MATCH(O$1,Fall!$1:$1,FALSE))),"")</f>
        <v/>
      </c>
      <c r="P123" t="str">
        <f>IFERROR(IF(INDEX(Fall!$1:$1048576,MATCH($A123,Fall!$A:$A,FALSE),MATCH(P$1,Fall!$1:$1,FALSE))="","",INDEX(Fall!$1:$1048576,MATCH($A123,Fall!$A:$A,FALSE),MATCH(P$1,Fall!$1:$1,FALSE))),"")</f>
        <v>2A</v>
      </c>
      <c r="R123" t="str">
        <f>IFERROR(IF(INDEX(Winter!$1:$1048576,MATCH($A123,Winter!$A:$A,FALSE),MATCH(R$1,Winter!$1:$1,FALSE))="","",INDEX(Winter!$1:$1048576,MATCH($A123,Winter!$A:$A,FALSE),MATCH(R$1,Winter!$1:$1,FALSE))),"")</f>
        <v>2A</v>
      </c>
      <c r="S123" t="str">
        <f>IFERROR(IF(INDEX(Winter!$1:$1048576,MATCH($A123,Winter!$A:$A,FALSE),MATCH(S$1,Winter!$1:$1,FALSE))="","",INDEX(Winter!$1:$1048576,MATCH($A123,Winter!$A:$A,FALSE),MATCH(S$1,Winter!$1:$1,FALSE))),"")</f>
        <v/>
      </c>
      <c r="T123" t="str">
        <f>IFERROR(IF(INDEX(Winter!$1:$1048576,MATCH($A123,Winter!$A:$A,FALSE),MATCH(T$1,Winter!$1:$1,FALSE))="","",INDEX(Winter!$1:$1048576,MATCH($A123,Winter!$A:$A,FALSE),MATCH(T$1,Winter!$1:$1,FALSE))),"")</f>
        <v/>
      </c>
      <c r="U123" t="str">
        <f>IFERROR(IF(INDEX(Winter!$1:$1048576,MATCH($A123,Winter!$A:$A,FALSE),MATCH(U$1,Winter!$1:$1,FALSE))="","",INDEX(Winter!$1:$1048576,MATCH($A123,Winter!$A:$A,FALSE),MATCH(U$1,Winter!$1:$1,FALSE))),"")</f>
        <v/>
      </c>
      <c r="V123" t="str">
        <f>IFERROR(IF(INDEX(Winter!$1:$1048576,MATCH($A123,Winter!$A:$A,FALSE),MATCH(V$1,Winter!$1:$1,FALSE))="","",INDEX(Winter!$1:$1048576,MATCH($A123,Winter!$A:$A,FALSE),MATCH(V$1,Winter!$1:$1,FALSE))),"")</f>
        <v/>
      </c>
      <c r="W123" t="str">
        <f>IFERROR(IF(INDEX(Winter!$1:$1048576,MATCH($A123,Winter!$A:$A,FALSE),MATCH(W$1,Winter!$1:$1,FALSE))="","",INDEX(Winter!$1:$1048576,MATCH($A123,Winter!$A:$A,FALSE),MATCH(W$1,Winter!$1:$1,FALSE))),"")</f>
        <v>1A</v>
      </c>
      <c r="Y123" t="str">
        <f>IFERROR(IF(INDEX(Spring!$1:$1048576,MATCH($A123,Spring!$A:$A,FALSE),MATCH(Y$1,Spring!$1:$1,FALSE))="","",INDEX(Spring!$1:$1048576,MATCH($A123,Spring!$A:$A,FALSE),MATCH(Y$1,Spring!$1:$1,FALSE))),"")</f>
        <v>2A</v>
      </c>
      <c r="Z123" t="str">
        <f>IFERROR(IF(INDEX(Spring!$1:$1048576,MATCH($A123,Spring!$A:$A,FALSE),MATCH(Z$1,Spring!$1:$1,FALSE))="","",INDEX(Spring!$1:$1048576,MATCH($A123,Spring!$A:$A,FALSE),MATCH(Z$1,Spring!$1:$1,FALSE))),"")</f>
        <v/>
      </c>
      <c r="AA123" t="str">
        <f>IFERROR(IF(INDEX(Spring!$1:$1048576,MATCH($A123,Spring!$A:$A,FALSE),MATCH(AA$1,Spring!$1:$1,FALSE))="","",INDEX(Spring!$1:$1048576,MATCH($A123,Spring!$A:$A,FALSE),MATCH(AA$1,Spring!$1:$1,FALSE))),"")</f>
        <v>1A</v>
      </c>
      <c r="AB123" t="str">
        <f>IFERROR(IF(INDEX(Spring!$1:$1048576,MATCH($A123,Spring!$A:$A,FALSE),MATCH(AB$1,Spring!$1:$1,FALSE))="","",INDEX(Spring!$1:$1048576,MATCH($A123,Spring!$A:$A,FALSE),MATCH(AB$1,Spring!$1:$1,FALSE))),"")</f>
        <v/>
      </c>
      <c r="AC123" t="str">
        <f>IFERROR(IF(INDEX(Spring!$1:$1048576,MATCH($A123,Spring!$A:$A,FALSE),MATCH(AC$1,Spring!$1:$1,FALSE))="","",INDEX(Spring!$1:$1048576,MATCH($A123,Spring!$A:$A,FALSE),MATCH(AC$1,Spring!$1:$1,FALSE))),"")</f>
        <v>2A</v>
      </c>
      <c r="AD123" t="str">
        <f>IFERROR(IF(INDEX(Spring!$1:$1048576,MATCH($A123,Spring!$A:$A,FALSE),MATCH(AD$1,Spring!$1:$1,FALSE))="","",INDEX(Spring!$1:$1048576,MATCH($A123,Spring!$A:$A,FALSE),MATCH(AD$1,Spring!$1:$1,FALSE))),"")</f>
        <v>2A</v>
      </c>
    </row>
    <row r="124" spans="1:30" ht="15.75" thickBot="1" x14ac:dyDescent="0.3">
      <c r="A124" s="48" t="s">
        <v>914</v>
      </c>
      <c r="B124" s="49">
        <v>200</v>
      </c>
      <c r="C124" s="50"/>
      <c r="D124" s="50"/>
      <c r="E124" s="50"/>
      <c r="F124" s="45"/>
      <c r="G124" s="45"/>
      <c r="H124" s="44"/>
      <c r="J124" t="str">
        <f>IFERROR(IF(INDEX(Fall!$1:$1048576,MATCH($A124,Fall!$A:$A,FALSE),MATCH(J$1,Fall!$1:$1,FALSE))="","",INDEX(Fall!$1:$1048576,MATCH($A124,Fall!$A:$A,FALSE),MATCH(J$1,Fall!$1:$1,FALSE))),"")</f>
        <v/>
      </c>
      <c r="K124" t="str">
        <f>IFERROR(IF(INDEX(Fall!$1:$1048576,MATCH($A124,Fall!$A:$A,FALSE),MATCH(K$1,Fall!$1:$1,FALSE))="","",INDEX(Fall!$1:$1048576,MATCH($A124,Fall!$A:$A,FALSE),MATCH(K$1,Fall!$1:$1,FALSE))),"")</f>
        <v/>
      </c>
      <c r="L124" t="str">
        <f>IFERROR(IF(INDEX(Fall!$1:$1048576,MATCH($A124,Fall!$A:$A,FALSE),MATCH(L$1,Fall!$1:$1,FALSE))="","",INDEX(Fall!$1:$1048576,MATCH($A124,Fall!$A:$A,FALSE),MATCH(L$1,Fall!$1:$1,FALSE))),"")</f>
        <v/>
      </c>
      <c r="M124" t="str">
        <f>IFERROR(IF(INDEX(Fall!$1:$1048576,MATCH($A124,Fall!$A:$A,FALSE),MATCH(M$1,Fall!$1:$1,FALSE))="","",INDEX(Fall!$1:$1048576,MATCH($A124,Fall!$A:$A,FALSE),MATCH(M$1,Fall!$1:$1,FALSE))),"")</f>
        <v/>
      </c>
      <c r="N124" t="str">
        <f>IFERROR(IF(INDEX(Fall!$1:$1048576,MATCH($A124,Fall!$A:$A,FALSE),MATCH(N$1,Fall!$1:$1,FALSE))="","",INDEX(Fall!$1:$1048576,MATCH($A124,Fall!$A:$A,FALSE),MATCH(N$1,Fall!$1:$1,FALSE))),"")</f>
        <v/>
      </c>
      <c r="O124" t="str">
        <f>IFERROR(IF(INDEX(Fall!$1:$1048576,MATCH($A124,Fall!$A:$A,FALSE),MATCH(O$1,Fall!$1:$1,FALSE))="","",INDEX(Fall!$1:$1048576,MATCH($A124,Fall!$A:$A,FALSE),MATCH(O$1,Fall!$1:$1,FALSE))),"")</f>
        <v/>
      </c>
      <c r="P124" t="str">
        <f>IFERROR(IF(INDEX(Fall!$1:$1048576,MATCH($A124,Fall!$A:$A,FALSE),MATCH(P$1,Fall!$1:$1,FALSE))="","",INDEX(Fall!$1:$1048576,MATCH($A124,Fall!$A:$A,FALSE),MATCH(P$1,Fall!$1:$1,FALSE))),"")</f>
        <v/>
      </c>
      <c r="R124" t="str">
        <f>IFERROR(IF(INDEX(Winter!$1:$1048576,MATCH($A124,Winter!$A:$A,FALSE),MATCH(R$1,Winter!$1:$1,FALSE))="","",INDEX(Winter!$1:$1048576,MATCH($A124,Winter!$A:$A,FALSE),MATCH(R$1,Winter!$1:$1,FALSE))),"")</f>
        <v>1A</v>
      </c>
      <c r="S124" t="str">
        <f>IFERROR(IF(INDEX(Winter!$1:$1048576,MATCH($A124,Winter!$A:$A,FALSE),MATCH(S$1,Winter!$1:$1,FALSE))="","",INDEX(Winter!$1:$1048576,MATCH($A124,Winter!$A:$A,FALSE),MATCH(S$1,Winter!$1:$1,FALSE))),"")</f>
        <v/>
      </c>
      <c r="T124" t="str">
        <f>IFERROR(IF(INDEX(Winter!$1:$1048576,MATCH($A124,Winter!$A:$A,FALSE),MATCH(T$1,Winter!$1:$1,FALSE))="","",INDEX(Winter!$1:$1048576,MATCH($A124,Winter!$A:$A,FALSE),MATCH(T$1,Winter!$1:$1,FALSE))),"")</f>
        <v/>
      </c>
      <c r="U124" t="str">
        <f>IFERROR(IF(INDEX(Winter!$1:$1048576,MATCH($A124,Winter!$A:$A,FALSE),MATCH(U$1,Winter!$1:$1,FALSE))="","",INDEX(Winter!$1:$1048576,MATCH($A124,Winter!$A:$A,FALSE),MATCH(U$1,Winter!$1:$1,FALSE))),"")</f>
        <v/>
      </c>
      <c r="V124" t="str">
        <f>IFERROR(IF(INDEX(Winter!$1:$1048576,MATCH($A124,Winter!$A:$A,FALSE),MATCH(V$1,Winter!$1:$1,FALSE))="","",INDEX(Winter!$1:$1048576,MATCH($A124,Winter!$A:$A,FALSE),MATCH(V$1,Winter!$1:$1,FALSE))),"")</f>
        <v/>
      </c>
      <c r="W124" t="str">
        <f>IFERROR(IF(INDEX(Winter!$1:$1048576,MATCH($A124,Winter!$A:$A,FALSE),MATCH(W$1,Winter!$1:$1,FALSE))="","",INDEX(Winter!$1:$1048576,MATCH($A124,Winter!$A:$A,FALSE),MATCH(W$1,Winter!$1:$1,FALSE))),"")</f>
        <v>1A</v>
      </c>
      <c r="Y124" t="str">
        <f>IFERROR(IF(INDEX(Spring!$1:$1048576,MATCH($A124,Spring!$A:$A,FALSE),MATCH(Y$1,Spring!$1:$1,FALSE))="","",INDEX(Spring!$1:$1048576,MATCH($A124,Spring!$A:$A,FALSE),MATCH(Y$1,Spring!$1:$1,FALSE))),"")</f>
        <v/>
      </c>
      <c r="Z124" t="str">
        <f>IFERROR(IF(INDEX(Spring!$1:$1048576,MATCH($A124,Spring!$A:$A,FALSE),MATCH(Z$1,Spring!$1:$1,FALSE))="","",INDEX(Spring!$1:$1048576,MATCH($A124,Spring!$A:$A,FALSE),MATCH(Z$1,Spring!$1:$1,FALSE))),"")</f>
        <v/>
      </c>
      <c r="AA124" t="str">
        <f>IFERROR(IF(INDEX(Spring!$1:$1048576,MATCH($A124,Spring!$A:$A,FALSE),MATCH(AA$1,Spring!$1:$1,FALSE))="","",INDEX(Spring!$1:$1048576,MATCH($A124,Spring!$A:$A,FALSE),MATCH(AA$1,Spring!$1:$1,FALSE))),"")</f>
        <v/>
      </c>
      <c r="AB124" t="str">
        <f>IFERROR(IF(INDEX(Spring!$1:$1048576,MATCH($A124,Spring!$A:$A,FALSE),MATCH(AB$1,Spring!$1:$1,FALSE))="","",INDEX(Spring!$1:$1048576,MATCH($A124,Spring!$A:$A,FALSE),MATCH(AB$1,Spring!$1:$1,FALSE))),"")</f>
        <v/>
      </c>
      <c r="AC124" t="str">
        <f>IFERROR(IF(INDEX(Spring!$1:$1048576,MATCH($A124,Spring!$A:$A,FALSE),MATCH(AC$1,Spring!$1:$1,FALSE))="","",INDEX(Spring!$1:$1048576,MATCH($A124,Spring!$A:$A,FALSE),MATCH(AC$1,Spring!$1:$1,FALSE))),"")</f>
        <v/>
      </c>
      <c r="AD124" t="str">
        <f>IFERROR(IF(INDEX(Spring!$1:$1048576,MATCH($A124,Spring!$A:$A,FALSE),MATCH(AD$1,Spring!$1:$1,FALSE))="","",INDEX(Spring!$1:$1048576,MATCH($A124,Spring!$A:$A,FALSE),MATCH(AD$1,Spring!$1:$1,FALSE))),"")</f>
        <v/>
      </c>
    </row>
    <row r="125" spans="1:30" ht="23.25" thickBot="1" x14ac:dyDescent="0.3">
      <c r="A125" s="48" t="s">
        <v>146</v>
      </c>
      <c r="B125" s="49" t="s">
        <v>1011</v>
      </c>
      <c r="C125" s="49" t="s">
        <v>1000</v>
      </c>
      <c r="D125" s="50"/>
      <c r="E125" s="50"/>
      <c r="F125" s="45"/>
      <c r="G125" s="45"/>
      <c r="H125" s="44"/>
      <c r="J125" t="str">
        <f>IFERROR(IF(INDEX(Fall!$1:$1048576,MATCH($A125,Fall!$A:$A,FALSE),MATCH(J$1,Fall!$1:$1,FALSE))="","",INDEX(Fall!$1:$1048576,MATCH($A125,Fall!$A:$A,FALSE),MATCH(J$1,Fall!$1:$1,FALSE))),"")</f>
        <v/>
      </c>
      <c r="K125" t="str">
        <f>IFERROR(IF(INDEX(Fall!$1:$1048576,MATCH($A125,Fall!$A:$A,FALSE),MATCH(K$1,Fall!$1:$1,FALSE))="","",INDEX(Fall!$1:$1048576,MATCH($A125,Fall!$A:$A,FALSE),MATCH(K$1,Fall!$1:$1,FALSE))),"")</f>
        <v/>
      </c>
      <c r="L125" t="str">
        <f>IFERROR(IF(INDEX(Fall!$1:$1048576,MATCH($A125,Fall!$A:$A,FALSE),MATCH(L$1,Fall!$1:$1,FALSE))="","",INDEX(Fall!$1:$1048576,MATCH($A125,Fall!$A:$A,FALSE),MATCH(L$1,Fall!$1:$1,FALSE))),"")</f>
        <v/>
      </c>
      <c r="M125" t="str">
        <f>IFERROR(IF(INDEX(Fall!$1:$1048576,MATCH($A125,Fall!$A:$A,FALSE),MATCH(M$1,Fall!$1:$1,FALSE))="","",INDEX(Fall!$1:$1048576,MATCH($A125,Fall!$A:$A,FALSE),MATCH(M$1,Fall!$1:$1,FALSE))),"")</f>
        <v/>
      </c>
      <c r="N125" t="str">
        <f>IFERROR(IF(INDEX(Fall!$1:$1048576,MATCH($A125,Fall!$A:$A,FALSE),MATCH(N$1,Fall!$1:$1,FALSE))="","",INDEX(Fall!$1:$1048576,MATCH($A125,Fall!$A:$A,FALSE),MATCH(N$1,Fall!$1:$1,FALSE))),"")</f>
        <v>2A</v>
      </c>
      <c r="O125" t="str">
        <f>IFERROR(IF(INDEX(Fall!$1:$1048576,MATCH($A125,Fall!$A:$A,FALSE),MATCH(O$1,Fall!$1:$1,FALSE))="","",INDEX(Fall!$1:$1048576,MATCH($A125,Fall!$A:$A,FALSE),MATCH(O$1,Fall!$1:$1,FALSE))),"")</f>
        <v>1A</v>
      </c>
      <c r="P125" t="str">
        <f>IFERROR(IF(INDEX(Fall!$1:$1048576,MATCH($A125,Fall!$A:$A,FALSE),MATCH(P$1,Fall!$1:$1,FALSE))="","",INDEX(Fall!$1:$1048576,MATCH($A125,Fall!$A:$A,FALSE),MATCH(P$1,Fall!$1:$1,FALSE))),"")</f>
        <v>3A</v>
      </c>
      <c r="R125" t="str">
        <f>IFERROR(IF(INDEX(Winter!$1:$1048576,MATCH($A125,Winter!$A:$A,FALSE),MATCH(R$1,Winter!$1:$1,FALSE))="","",INDEX(Winter!$1:$1048576,MATCH($A125,Winter!$A:$A,FALSE),MATCH(R$1,Winter!$1:$1,FALSE))),"")</f>
        <v>3A</v>
      </c>
      <c r="S125" t="str">
        <f>IFERROR(IF(INDEX(Winter!$1:$1048576,MATCH($A125,Winter!$A:$A,FALSE),MATCH(S$1,Winter!$1:$1,FALSE))="","",INDEX(Winter!$1:$1048576,MATCH($A125,Winter!$A:$A,FALSE),MATCH(S$1,Winter!$1:$1,FALSE))),"")</f>
        <v>3A</v>
      </c>
      <c r="T125" t="str">
        <f>IFERROR(IF(INDEX(Winter!$1:$1048576,MATCH($A125,Winter!$A:$A,FALSE),MATCH(T$1,Winter!$1:$1,FALSE))="","",INDEX(Winter!$1:$1048576,MATCH($A125,Winter!$A:$A,FALSE),MATCH(T$1,Winter!$1:$1,FALSE))),"")</f>
        <v>2A</v>
      </c>
      <c r="U125" t="str">
        <f>IFERROR(IF(INDEX(Winter!$1:$1048576,MATCH($A125,Winter!$A:$A,FALSE),MATCH(U$1,Winter!$1:$1,FALSE))="","",INDEX(Winter!$1:$1048576,MATCH($A125,Winter!$A:$A,FALSE),MATCH(U$1,Winter!$1:$1,FALSE))),"")</f>
        <v/>
      </c>
      <c r="V125" t="str">
        <f>IFERROR(IF(INDEX(Winter!$1:$1048576,MATCH($A125,Winter!$A:$A,FALSE),MATCH(V$1,Winter!$1:$1,FALSE))="","",INDEX(Winter!$1:$1048576,MATCH($A125,Winter!$A:$A,FALSE),MATCH(V$1,Winter!$1:$1,FALSE))),"")</f>
        <v/>
      </c>
      <c r="W125" t="str">
        <f>IFERROR(IF(INDEX(Winter!$1:$1048576,MATCH($A125,Winter!$A:$A,FALSE),MATCH(W$1,Winter!$1:$1,FALSE))="","",INDEX(Winter!$1:$1048576,MATCH($A125,Winter!$A:$A,FALSE),MATCH(W$1,Winter!$1:$1,FALSE))),"")</f>
        <v/>
      </c>
      <c r="Y125" t="str">
        <f>IFERROR(IF(INDEX(Spring!$1:$1048576,MATCH($A125,Spring!$A:$A,FALSE),MATCH(Y$1,Spring!$1:$1,FALSE))="","",INDEX(Spring!$1:$1048576,MATCH($A125,Spring!$A:$A,FALSE),MATCH(Y$1,Spring!$1:$1,FALSE))),"")</f>
        <v>3A</v>
      </c>
      <c r="Z125" t="str">
        <f>IFERROR(IF(INDEX(Spring!$1:$1048576,MATCH($A125,Spring!$A:$A,FALSE),MATCH(Z$1,Spring!$1:$1,FALSE))="","",INDEX(Spring!$1:$1048576,MATCH($A125,Spring!$A:$A,FALSE),MATCH(Z$1,Spring!$1:$1,FALSE))),"")</f>
        <v>3A</v>
      </c>
      <c r="AA125" t="str">
        <f>IFERROR(IF(INDEX(Spring!$1:$1048576,MATCH($A125,Spring!$A:$A,FALSE),MATCH(AA$1,Spring!$1:$1,FALSE))="","",INDEX(Spring!$1:$1048576,MATCH($A125,Spring!$A:$A,FALSE),MATCH(AA$1,Spring!$1:$1,FALSE))),"")</f>
        <v/>
      </c>
      <c r="AB125" t="str">
        <f>IFERROR(IF(INDEX(Spring!$1:$1048576,MATCH($A125,Spring!$A:$A,FALSE),MATCH(AB$1,Spring!$1:$1,FALSE))="","",INDEX(Spring!$1:$1048576,MATCH($A125,Spring!$A:$A,FALSE),MATCH(AB$1,Spring!$1:$1,FALSE))),"")</f>
        <v>1A</v>
      </c>
      <c r="AC125" t="str">
        <f>IFERROR(IF(INDEX(Spring!$1:$1048576,MATCH($A125,Spring!$A:$A,FALSE),MATCH(AC$1,Spring!$1:$1,FALSE))="","",INDEX(Spring!$1:$1048576,MATCH($A125,Spring!$A:$A,FALSE),MATCH(AC$1,Spring!$1:$1,FALSE))),"")</f>
        <v>3A</v>
      </c>
      <c r="AD125" t="str">
        <f>IFERROR(IF(INDEX(Spring!$1:$1048576,MATCH($A125,Spring!$A:$A,FALSE),MATCH(AD$1,Spring!$1:$1,FALSE))="","",INDEX(Spring!$1:$1048576,MATCH($A125,Spring!$A:$A,FALSE),MATCH(AD$1,Spring!$1:$1,FALSE))),"")</f>
        <v>3A</v>
      </c>
    </row>
    <row r="126" spans="1:30" ht="23.25" thickBot="1" x14ac:dyDescent="0.3">
      <c r="A126" s="48" t="s">
        <v>148</v>
      </c>
      <c r="B126" s="49" t="s">
        <v>1012</v>
      </c>
      <c r="C126" s="49" t="s">
        <v>997</v>
      </c>
      <c r="D126" s="49">
        <v>1</v>
      </c>
      <c r="E126" s="49">
        <v>3</v>
      </c>
      <c r="F126" s="45"/>
      <c r="G126" s="45"/>
      <c r="H126" s="44"/>
      <c r="J126" t="str">
        <f>IFERROR(IF(INDEX(Fall!$1:$1048576,MATCH($A126,Fall!$A:$A,FALSE),MATCH(J$1,Fall!$1:$1,FALSE))="","",INDEX(Fall!$1:$1048576,MATCH($A126,Fall!$A:$A,FALSE),MATCH(J$1,Fall!$1:$1,FALSE))),"")</f>
        <v>3A</v>
      </c>
      <c r="K126" t="str">
        <f>IFERROR(IF(INDEX(Fall!$1:$1048576,MATCH($A126,Fall!$A:$A,FALSE),MATCH(K$1,Fall!$1:$1,FALSE))="","",INDEX(Fall!$1:$1048576,MATCH($A126,Fall!$A:$A,FALSE),MATCH(K$1,Fall!$1:$1,FALSE))),"")</f>
        <v/>
      </c>
      <c r="L126" t="str">
        <f>IFERROR(IF(INDEX(Fall!$1:$1048576,MATCH($A126,Fall!$A:$A,FALSE),MATCH(L$1,Fall!$1:$1,FALSE))="","",INDEX(Fall!$1:$1048576,MATCH($A126,Fall!$A:$A,FALSE),MATCH(L$1,Fall!$1:$1,FALSE))),"")</f>
        <v>3A</v>
      </c>
      <c r="M126" t="str">
        <f>IFERROR(IF(INDEX(Fall!$1:$1048576,MATCH($A126,Fall!$A:$A,FALSE),MATCH(M$1,Fall!$1:$1,FALSE))="","",INDEX(Fall!$1:$1048576,MATCH($A126,Fall!$A:$A,FALSE),MATCH(M$1,Fall!$1:$1,FALSE))),"")</f>
        <v/>
      </c>
      <c r="N126" t="str">
        <f>IFERROR(IF(INDEX(Fall!$1:$1048576,MATCH($A126,Fall!$A:$A,FALSE),MATCH(N$1,Fall!$1:$1,FALSE))="","",INDEX(Fall!$1:$1048576,MATCH($A126,Fall!$A:$A,FALSE),MATCH(N$1,Fall!$1:$1,FALSE))),"")</f>
        <v>3A</v>
      </c>
      <c r="O126" t="str">
        <f>IFERROR(IF(INDEX(Fall!$1:$1048576,MATCH($A126,Fall!$A:$A,FALSE),MATCH(O$1,Fall!$1:$1,FALSE))="","",INDEX(Fall!$1:$1048576,MATCH($A126,Fall!$A:$A,FALSE),MATCH(O$1,Fall!$1:$1,FALSE))),"")</f>
        <v/>
      </c>
      <c r="P126" t="str">
        <f>IFERROR(IF(INDEX(Fall!$1:$1048576,MATCH($A126,Fall!$A:$A,FALSE),MATCH(P$1,Fall!$1:$1,FALSE))="","",INDEX(Fall!$1:$1048576,MATCH($A126,Fall!$A:$A,FALSE),MATCH(P$1,Fall!$1:$1,FALSE))),"")</f>
        <v/>
      </c>
      <c r="R126" t="str">
        <f>IFERROR(IF(INDEX(Winter!$1:$1048576,MATCH($A126,Winter!$A:$A,FALSE),MATCH(R$1,Winter!$1:$1,FALSE))="","",INDEX(Winter!$1:$1048576,MATCH($A126,Winter!$A:$A,FALSE),MATCH(R$1,Winter!$1:$1,FALSE))),"")</f>
        <v>4A</v>
      </c>
      <c r="S126" t="str">
        <f>IFERROR(IF(INDEX(Winter!$1:$1048576,MATCH($A126,Winter!$A:$A,FALSE),MATCH(S$1,Winter!$1:$1,FALSE))="","",INDEX(Winter!$1:$1048576,MATCH($A126,Winter!$A:$A,FALSE),MATCH(S$1,Winter!$1:$1,FALSE))),"")</f>
        <v/>
      </c>
      <c r="T126" t="str">
        <f>IFERROR(IF(INDEX(Winter!$1:$1048576,MATCH($A126,Winter!$A:$A,FALSE),MATCH(T$1,Winter!$1:$1,FALSE))="","",INDEX(Winter!$1:$1048576,MATCH($A126,Winter!$A:$A,FALSE),MATCH(T$1,Winter!$1:$1,FALSE))),"")</f>
        <v/>
      </c>
      <c r="U126" t="str">
        <f>IFERROR(IF(INDEX(Winter!$1:$1048576,MATCH($A126,Winter!$A:$A,FALSE),MATCH(U$1,Winter!$1:$1,FALSE))="","",INDEX(Winter!$1:$1048576,MATCH($A126,Winter!$A:$A,FALSE),MATCH(U$1,Winter!$1:$1,FALSE))),"")</f>
        <v/>
      </c>
      <c r="V126" t="str">
        <f>IFERROR(IF(INDEX(Winter!$1:$1048576,MATCH($A126,Winter!$A:$A,FALSE),MATCH(V$1,Winter!$1:$1,FALSE))="","",INDEX(Winter!$1:$1048576,MATCH($A126,Winter!$A:$A,FALSE),MATCH(V$1,Winter!$1:$1,FALSE))),"")</f>
        <v>2A</v>
      </c>
      <c r="W126" t="str">
        <f>IFERROR(IF(INDEX(Winter!$1:$1048576,MATCH($A126,Winter!$A:$A,FALSE),MATCH(W$1,Winter!$1:$1,FALSE))="","",INDEX(Winter!$1:$1048576,MATCH($A126,Winter!$A:$A,FALSE),MATCH(W$1,Winter!$1:$1,FALSE))),"")</f>
        <v>3A</v>
      </c>
      <c r="Y126" t="str">
        <f>IFERROR(IF(INDEX(Spring!$1:$1048576,MATCH($A126,Spring!$A:$A,FALSE),MATCH(Y$1,Spring!$1:$1,FALSE))="","",INDEX(Spring!$1:$1048576,MATCH($A126,Spring!$A:$A,FALSE),MATCH(Y$1,Spring!$1:$1,FALSE))),"")</f>
        <v>4A</v>
      </c>
      <c r="Z126" t="str">
        <f>IFERROR(IF(INDEX(Spring!$1:$1048576,MATCH($A126,Spring!$A:$A,FALSE),MATCH(Z$1,Spring!$1:$1,FALSE))="","",INDEX(Spring!$1:$1048576,MATCH($A126,Spring!$A:$A,FALSE),MATCH(Z$1,Spring!$1:$1,FALSE))),"")</f>
        <v/>
      </c>
      <c r="AA126" t="str">
        <f>IFERROR(IF(INDEX(Spring!$1:$1048576,MATCH($A126,Spring!$A:$A,FALSE),MATCH(AA$1,Spring!$1:$1,FALSE))="","",INDEX(Spring!$1:$1048576,MATCH($A126,Spring!$A:$A,FALSE),MATCH(AA$1,Spring!$1:$1,FALSE))),"")</f>
        <v/>
      </c>
      <c r="AB126" t="str">
        <f>IFERROR(IF(INDEX(Spring!$1:$1048576,MATCH($A126,Spring!$A:$A,FALSE),MATCH(AB$1,Spring!$1:$1,FALSE))="","",INDEX(Spring!$1:$1048576,MATCH($A126,Spring!$A:$A,FALSE),MATCH(AB$1,Spring!$1:$1,FALSE))),"")</f>
        <v>2A</v>
      </c>
      <c r="AC126" t="str">
        <f>IFERROR(IF(INDEX(Spring!$1:$1048576,MATCH($A126,Spring!$A:$A,FALSE),MATCH(AC$1,Spring!$1:$1,FALSE))="","",INDEX(Spring!$1:$1048576,MATCH($A126,Spring!$A:$A,FALSE),MATCH(AC$1,Spring!$1:$1,FALSE))),"")</f>
        <v>3A</v>
      </c>
      <c r="AD126" t="str">
        <f>IFERROR(IF(INDEX(Spring!$1:$1048576,MATCH($A126,Spring!$A:$A,FALSE),MATCH(AD$1,Spring!$1:$1,FALSE))="","",INDEX(Spring!$1:$1048576,MATCH($A126,Spring!$A:$A,FALSE),MATCH(AD$1,Spring!$1:$1,FALSE))),"")</f>
        <v/>
      </c>
    </row>
    <row r="127" spans="1:30" ht="23.25" thickBot="1" x14ac:dyDescent="0.3">
      <c r="A127" s="48" t="s">
        <v>150</v>
      </c>
      <c r="B127" s="49" t="s">
        <v>1013</v>
      </c>
      <c r="C127" s="49" t="s">
        <v>1000</v>
      </c>
      <c r="D127" s="50"/>
      <c r="E127" s="50"/>
      <c r="F127" s="45"/>
      <c r="G127" s="45"/>
      <c r="H127" s="44"/>
      <c r="J127" t="str">
        <f>IFERROR(IF(INDEX(Fall!$1:$1048576,MATCH($A127,Fall!$A:$A,FALSE),MATCH(J$1,Fall!$1:$1,FALSE))="","",INDEX(Fall!$1:$1048576,MATCH($A127,Fall!$A:$A,FALSE),MATCH(J$1,Fall!$1:$1,FALSE))),"")</f>
        <v>1A</v>
      </c>
      <c r="K127" t="str">
        <f>IFERROR(IF(INDEX(Fall!$1:$1048576,MATCH($A127,Fall!$A:$A,FALSE),MATCH(K$1,Fall!$1:$1,FALSE))="","",INDEX(Fall!$1:$1048576,MATCH($A127,Fall!$A:$A,FALSE),MATCH(K$1,Fall!$1:$1,FALSE))),"")</f>
        <v>1A</v>
      </c>
      <c r="L127" t="str">
        <f>IFERROR(IF(INDEX(Fall!$1:$1048576,MATCH($A127,Fall!$A:$A,FALSE),MATCH(L$1,Fall!$1:$1,FALSE))="","",INDEX(Fall!$1:$1048576,MATCH($A127,Fall!$A:$A,FALSE),MATCH(L$1,Fall!$1:$1,FALSE))),"")</f>
        <v/>
      </c>
      <c r="M127" t="str">
        <f>IFERROR(IF(INDEX(Fall!$1:$1048576,MATCH($A127,Fall!$A:$A,FALSE),MATCH(M$1,Fall!$1:$1,FALSE))="","",INDEX(Fall!$1:$1048576,MATCH($A127,Fall!$A:$A,FALSE),MATCH(M$1,Fall!$1:$1,FALSE))),"")</f>
        <v/>
      </c>
      <c r="N127" t="str">
        <f>IFERROR(IF(INDEX(Fall!$1:$1048576,MATCH($A127,Fall!$A:$A,FALSE),MATCH(N$1,Fall!$1:$1,FALSE))="","",INDEX(Fall!$1:$1048576,MATCH($A127,Fall!$A:$A,FALSE),MATCH(N$1,Fall!$1:$1,FALSE))),"")</f>
        <v>1A</v>
      </c>
      <c r="O127" t="str">
        <f>IFERROR(IF(INDEX(Fall!$1:$1048576,MATCH($A127,Fall!$A:$A,FALSE),MATCH(O$1,Fall!$1:$1,FALSE))="","",INDEX(Fall!$1:$1048576,MATCH($A127,Fall!$A:$A,FALSE),MATCH(O$1,Fall!$1:$1,FALSE))),"")</f>
        <v/>
      </c>
      <c r="P127" t="str">
        <f>IFERROR(IF(INDEX(Fall!$1:$1048576,MATCH($A127,Fall!$A:$A,FALSE),MATCH(P$1,Fall!$1:$1,FALSE))="","",INDEX(Fall!$1:$1048576,MATCH($A127,Fall!$A:$A,FALSE),MATCH(P$1,Fall!$1:$1,FALSE))),"")</f>
        <v>2A</v>
      </c>
      <c r="R127" t="str">
        <f>IFERROR(IF(INDEX(Winter!$1:$1048576,MATCH($A127,Winter!$A:$A,FALSE),MATCH(R$1,Winter!$1:$1,FALSE))="","",INDEX(Winter!$1:$1048576,MATCH($A127,Winter!$A:$A,FALSE),MATCH(R$1,Winter!$1:$1,FALSE))),"")</f>
        <v>2A</v>
      </c>
      <c r="S127" t="str">
        <f>IFERROR(IF(INDEX(Winter!$1:$1048576,MATCH($A127,Winter!$A:$A,FALSE),MATCH(S$1,Winter!$1:$1,FALSE))="","",INDEX(Winter!$1:$1048576,MATCH($A127,Winter!$A:$A,FALSE),MATCH(S$1,Winter!$1:$1,FALSE))),"")</f>
        <v>2A</v>
      </c>
      <c r="T127" t="str">
        <f>IFERROR(IF(INDEX(Winter!$1:$1048576,MATCH($A127,Winter!$A:$A,FALSE),MATCH(T$1,Winter!$1:$1,FALSE))="","",INDEX(Winter!$1:$1048576,MATCH($A127,Winter!$A:$A,FALSE),MATCH(T$1,Winter!$1:$1,FALSE))),"")</f>
        <v/>
      </c>
      <c r="U127" t="str">
        <f>IFERROR(IF(INDEX(Winter!$1:$1048576,MATCH($A127,Winter!$A:$A,FALSE),MATCH(U$1,Winter!$1:$1,FALSE))="","",INDEX(Winter!$1:$1048576,MATCH($A127,Winter!$A:$A,FALSE),MATCH(U$1,Winter!$1:$1,FALSE))),"")</f>
        <v>1A</v>
      </c>
      <c r="V127" t="str">
        <f>IFERROR(IF(INDEX(Winter!$1:$1048576,MATCH($A127,Winter!$A:$A,FALSE),MATCH(V$1,Winter!$1:$1,FALSE))="","",INDEX(Winter!$1:$1048576,MATCH($A127,Winter!$A:$A,FALSE),MATCH(V$1,Winter!$1:$1,FALSE))),"")</f>
        <v/>
      </c>
      <c r="W127" t="str">
        <f>IFERROR(IF(INDEX(Winter!$1:$1048576,MATCH($A127,Winter!$A:$A,FALSE),MATCH(W$1,Winter!$1:$1,FALSE))="","",INDEX(Winter!$1:$1048576,MATCH($A127,Winter!$A:$A,FALSE),MATCH(W$1,Winter!$1:$1,FALSE))),"")</f>
        <v>1A</v>
      </c>
      <c r="Y127" t="str">
        <f>IFERROR(IF(INDEX(Spring!$1:$1048576,MATCH($A127,Spring!$A:$A,FALSE),MATCH(Y$1,Spring!$1:$1,FALSE))="","",INDEX(Spring!$1:$1048576,MATCH($A127,Spring!$A:$A,FALSE),MATCH(Y$1,Spring!$1:$1,FALSE))),"")</f>
        <v>2A</v>
      </c>
      <c r="Z127" t="str">
        <f>IFERROR(IF(INDEX(Spring!$1:$1048576,MATCH($A127,Spring!$A:$A,FALSE),MATCH(Z$1,Spring!$1:$1,FALSE))="","",INDEX(Spring!$1:$1048576,MATCH($A127,Spring!$A:$A,FALSE),MATCH(Z$1,Spring!$1:$1,FALSE))),"")</f>
        <v/>
      </c>
      <c r="AA127" t="str">
        <f>IFERROR(IF(INDEX(Spring!$1:$1048576,MATCH($A127,Spring!$A:$A,FALSE),MATCH(AA$1,Spring!$1:$1,FALSE))="","",INDEX(Spring!$1:$1048576,MATCH($A127,Spring!$A:$A,FALSE),MATCH(AA$1,Spring!$1:$1,FALSE))),"")</f>
        <v>1A</v>
      </c>
      <c r="AB127" t="str">
        <f>IFERROR(IF(INDEX(Spring!$1:$1048576,MATCH($A127,Spring!$A:$A,FALSE),MATCH(AB$1,Spring!$1:$1,FALSE))="","",INDEX(Spring!$1:$1048576,MATCH($A127,Spring!$A:$A,FALSE),MATCH(AB$1,Spring!$1:$1,FALSE))),"")</f>
        <v/>
      </c>
      <c r="AC127" t="str">
        <f>IFERROR(IF(INDEX(Spring!$1:$1048576,MATCH($A127,Spring!$A:$A,FALSE),MATCH(AC$1,Spring!$1:$1,FALSE))="","",INDEX(Spring!$1:$1048576,MATCH($A127,Spring!$A:$A,FALSE),MATCH(AC$1,Spring!$1:$1,FALSE))),"")</f>
        <v>2A</v>
      </c>
      <c r="AD127" t="str">
        <f>IFERROR(IF(INDEX(Spring!$1:$1048576,MATCH($A127,Spring!$A:$A,FALSE),MATCH(AD$1,Spring!$1:$1,FALSE))="","",INDEX(Spring!$1:$1048576,MATCH($A127,Spring!$A:$A,FALSE),MATCH(AD$1,Spring!$1:$1,FALSE))),"")</f>
        <v>2A</v>
      </c>
    </row>
    <row r="128" spans="1:30" ht="23.25" thickBot="1" x14ac:dyDescent="0.3">
      <c r="A128" s="48" t="s">
        <v>152</v>
      </c>
      <c r="B128" s="49" t="s">
        <v>153</v>
      </c>
      <c r="C128" s="49" t="s">
        <v>1014</v>
      </c>
      <c r="D128" s="49">
        <v>1</v>
      </c>
      <c r="E128" s="49">
        <v>2</v>
      </c>
      <c r="F128" s="45"/>
      <c r="G128" s="45"/>
      <c r="H128" s="44"/>
      <c r="J128" t="str">
        <f>IFERROR(IF(INDEX(Fall!$1:$1048576,MATCH($A128,Fall!$A:$A,FALSE),MATCH(J$1,Fall!$1:$1,FALSE))="","",INDEX(Fall!$1:$1048576,MATCH($A128,Fall!$A:$A,FALSE),MATCH(J$1,Fall!$1:$1,FALSE))),"")</f>
        <v>1A</v>
      </c>
      <c r="K128" t="str">
        <f>IFERROR(IF(INDEX(Fall!$1:$1048576,MATCH($A128,Fall!$A:$A,FALSE),MATCH(K$1,Fall!$1:$1,FALSE))="","",INDEX(Fall!$1:$1048576,MATCH($A128,Fall!$A:$A,FALSE),MATCH(K$1,Fall!$1:$1,FALSE))),"")</f>
        <v>1A</v>
      </c>
      <c r="L128" t="str">
        <f>IFERROR(IF(INDEX(Fall!$1:$1048576,MATCH($A128,Fall!$A:$A,FALSE),MATCH(L$1,Fall!$1:$1,FALSE))="","",INDEX(Fall!$1:$1048576,MATCH($A128,Fall!$A:$A,FALSE),MATCH(L$1,Fall!$1:$1,FALSE))),"")</f>
        <v/>
      </c>
      <c r="M128" t="str">
        <f>IFERROR(IF(INDEX(Fall!$1:$1048576,MATCH($A128,Fall!$A:$A,FALSE),MATCH(M$1,Fall!$1:$1,FALSE))="","",INDEX(Fall!$1:$1048576,MATCH($A128,Fall!$A:$A,FALSE),MATCH(M$1,Fall!$1:$1,FALSE))),"")</f>
        <v/>
      </c>
      <c r="N128" t="str">
        <f>IFERROR(IF(INDEX(Fall!$1:$1048576,MATCH($A128,Fall!$A:$A,FALSE),MATCH(N$1,Fall!$1:$1,FALSE))="","",INDEX(Fall!$1:$1048576,MATCH($A128,Fall!$A:$A,FALSE),MATCH(N$1,Fall!$1:$1,FALSE))),"")</f>
        <v>1A</v>
      </c>
      <c r="O128" t="str">
        <f>IFERROR(IF(INDEX(Fall!$1:$1048576,MATCH($A128,Fall!$A:$A,FALSE),MATCH(O$1,Fall!$1:$1,FALSE))="","",INDEX(Fall!$1:$1048576,MATCH($A128,Fall!$A:$A,FALSE),MATCH(O$1,Fall!$1:$1,FALSE))),"")</f>
        <v/>
      </c>
      <c r="P128" t="str">
        <f>IFERROR(IF(INDEX(Fall!$1:$1048576,MATCH($A128,Fall!$A:$A,FALSE),MATCH(P$1,Fall!$1:$1,FALSE))="","",INDEX(Fall!$1:$1048576,MATCH($A128,Fall!$A:$A,FALSE),MATCH(P$1,Fall!$1:$1,FALSE))),"")</f>
        <v>1A</v>
      </c>
      <c r="R128" t="str">
        <f>IFERROR(IF(INDEX(Winter!$1:$1048576,MATCH($A128,Winter!$A:$A,FALSE),MATCH(R$1,Winter!$1:$1,FALSE))="","",INDEX(Winter!$1:$1048576,MATCH($A128,Winter!$A:$A,FALSE),MATCH(R$1,Winter!$1:$1,FALSE))),"")</f>
        <v>2A</v>
      </c>
      <c r="S128" t="str">
        <f>IFERROR(IF(INDEX(Winter!$1:$1048576,MATCH($A128,Winter!$A:$A,FALSE),MATCH(S$1,Winter!$1:$1,FALSE))="","",INDEX(Winter!$1:$1048576,MATCH($A128,Winter!$A:$A,FALSE),MATCH(S$1,Winter!$1:$1,FALSE))),"")</f>
        <v>2A</v>
      </c>
      <c r="T128" t="str">
        <f>IFERROR(IF(INDEX(Winter!$1:$1048576,MATCH($A128,Winter!$A:$A,FALSE),MATCH(T$1,Winter!$1:$1,FALSE))="","",INDEX(Winter!$1:$1048576,MATCH($A128,Winter!$A:$A,FALSE),MATCH(T$1,Winter!$1:$1,FALSE))),"")</f>
        <v/>
      </c>
      <c r="U128" t="str">
        <f>IFERROR(IF(INDEX(Winter!$1:$1048576,MATCH($A128,Winter!$A:$A,FALSE),MATCH(U$1,Winter!$1:$1,FALSE))="","",INDEX(Winter!$1:$1048576,MATCH($A128,Winter!$A:$A,FALSE),MATCH(U$1,Winter!$1:$1,FALSE))),"")</f>
        <v>1A</v>
      </c>
      <c r="V128" t="str">
        <f>IFERROR(IF(INDEX(Winter!$1:$1048576,MATCH($A128,Winter!$A:$A,FALSE),MATCH(V$1,Winter!$1:$1,FALSE))="","",INDEX(Winter!$1:$1048576,MATCH($A128,Winter!$A:$A,FALSE),MATCH(V$1,Winter!$1:$1,FALSE))),"")</f>
        <v/>
      </c>
      <c r="W128" t="str">
        <f>IFERROR(IF(INDEX(Winter!$1:$1048576,MATCH($A128,Winter!$A:$A,FALSE),MATCH(W$1,Winter!$1:$1,FALSE))="","",INDEX(Winter!$1:$1048576,MATCH($A128,Winter!$A:$A,FALSE),MATCH(W$1,Winter!$1:$1,FALSE))),"")</f>
        <v>1A</v>
      </c>
      <c r="Y128" t="str">
        <f>IFERROR(IF(INDEX(Spring!$1:$1048576,MATCH($A128,Spring!$A:$A,FALSE),MATCH(Y$1,Spring!$1:$1,FALSE))="","",INDEX(Spring!$1:$1048576,MATCH($A128,Spring!$A:$A,FALSE),MATCH(Y$1,Spring!$1:$1,FALSE))),"")</f>
        <v>2A</v>
      </c>
      <c r="Z128" t="str">
        <f>IFERROR(IF(INDEX(Spring!$1:$1048576,MATCH($A128,Spring!$A:$A,FALSE),MATCH(Z$1,Spring!$1:$1,FALSE))="","",INDEX(Spring!$1:$1048576,MATCH($A128,Spring!$A:$A,FALSE),MATCH(Z$1,Spring!$1:$1,FALSE))),"")</f>
        <v>2A</v>
      </c>
      <c r="AA128" t="str">
        <f>IFERROR(IF(INDEX(Spring!$1:$1048576,MATCH($A128,Spring!$A:$A,FALSE),MATCH(AA$1,Spring!$1:$1,FALSE))="","",INDEX(Spring!$1:$1048576,MATCH($A128,Spring!$A:$A,FALSE),MATCH(AA$1,Spring!$1:$1,FALSE))),"")</f>
        <v>1A</v>
      </c>
      <c r="AB128" t="str">
        <f>IFERROR(IF(INDEX(Spring!$1:$1048576,MATCH($A128,Spring!$A:$A,FALSE),MATCH(AB$1,Spring!$1:$1,FALSE))="","",INDEX(Spring!$1:$1048576,MATCH($A128,Spring!$A:$A,FALSE),MATCH(AB$1,Spring!$1:$1,FALSE))),"")</f>
        <v/>
      </c>
      <c r="AC128" t="str">
        <f>IFERROR(IF(INDEX(Spring!$1:$1048576,MATCH($A128,Spring!$A:$A,FALSE),MATCH(AC$1,Spring!$1:$1,FALSE))="","",INDEX(Spring!$1:$1048576,MATCH($A128,Spring!$A:$A,FALSE),MATCH(AC$1,Spring!$1:$1,FALSE))),"")</f>
        <v>2A</v>
      </c>
      <c r="AD128" t="str">
        <f>IFERROR(IF(INDEX(Spring!$1:$1048576,MATCH($A128,Spring!$A:$A,FALSE),MATCH(AD$1,Spring!$1:$1,FALSE))="","",INDEX(Spring!$1:$1048576,MATCH($A128,Spring!$A:$A,FALSE),MATCH(AD$1,Spring!$1:$1,FALSE))),"")</f>
        <v>2A</v>
      </c>
    </row>
    <row r="129" spans="1:30" ht="23.25" thickBot="1" x14ac:dyDescent="0.3">
      <c r="A129" s="48" t="s">
        <v>154</v>
      </c>
      <c r="B129" s="49" t="s">
        <v>155</v>
      </c>
      <c r="C129" s="49" t="s">
        <v>1004</v>
      </c>
      <c r="D129" s="50"/>
      <c r="E129" s="50"/>
      <c r="F129" s="45"/>
      <c r="G129" s="45"/>
      <c r="H129" s="44"/>
      <c r="J129" t="str">
        <f>IFERROR(IF(INDEX(Fall!$1:$1048576,MATCH($A129,Fall!$A:$A,FALSE),MATCH(J$1,Fall!$1:$1,FALSE))="","",INDEX(Fall!$1:$1048576,MATCH($A129,Fall!$A:$A,FALSE),MATCH(J$1,Fall!$1:$1,FALSE))),"")</f>
        <v/>
      </c>
      <c r="K129" t="str">
        <f>IFERROR(IF(INDEX(Fall!$1:$1048576,MATCH($A129,Fall!$A:$A,FALSE),MATCH(K$1,Fall!$1:$1,FALSE))="","",INDEX(Fall!$1:$1048576,MATCH($A129,Fall!$A:$A,FALSE),MATCH(K$1,Fall!$1:$1,FALSE))),"")</f>
        <v/>
      </c>
      <c r="L129" t="str">
        <f>IFERROR(IF(INDEX(Fall!$1:$1048576,MATCH($A129,Fall!$A:$A,FALSE),MATCH(L$1,Fall!$1:$1,FALSE))="","",INDEX(Fall!$1:$1048576,MATCH($A129,Fall!$A:$A,FALSE),MATCH(L$1,Fall!$1:$1,FALSE))),"")</f>
        <v/>
      </c>
      <c r="M129" t="str">
        <f>IFERROR(IF(INDEX(Fall!$1:$1048576,MATCH($A129,Fall!$A:$A,FALSE),MATCH(M$1,Fall!$1:$1,FALSE))="","",INDEX(Fall!$1:$1048576,MATCH($A129,Fall!$A:$A,FALSE),MATCH(M$1,Fall!$1:$1,FALSE))),"")</f>
        <v/>
      </c>
      <c r="N129" t="str">
        <f>IFERROR(IF(INDEX(Fall!$1:$1048576,MATCH($A129,Fall!$A:$A,FALSE),MATCH(N$1,Fall!$1:$1,FALSE))="","",INDEX(Fall!$1:$1048576,MATCH($A129,Fall!$A:$A,FALSE),MATCH(N$1,Fall!$1:$1,FALSE))),"")</f>
        <v>1A</v>
      </c>
      <c r="O129" t="str">
        <f>IFERROR(IF(INDEX(Fall!$1:$1048576,MATCH($A129,Fall!$A:$A,FALSE),MATCH(O$1,Fall!$1:$1,FALSE))="","",INDEX(Fall!$1:$1048576,MATCH($A129,Fall!$A:$A,FALSE),MATCH(O$1,Fall!$1:$1,FALSE))),"")</f>
        <v/>
      </c>
      <c r="P129" t="str">
        <f>IFERROR(IF(INDEX(Fall!$1:$1048576,MATCH($A129,Fall!$A:$A,FALSE),MATCH(P$1,Fall!$1:$1,FALSE))="","",INDEX(Fall!$1:$1048576,MATCH($A129,Fall!$A:$A,FALSE),MATCH(P$1,Fall!$1:$1,FALSE))),"")</f>
        <v>2A</v>
      </c>
      <c r="R129" t="str">
        <f>IFERROR(IF(INDEX(Winter!$1:$1048576,MATCH($A129,Winter!$A:$A,FALSE),MATCH(R$1,Winter!$1:$1,FALSE))="","",INDEX(Winter!$1:$1048576,MATCH($A129,Winter!$A:$A,FALSE),MATCH(R$1,Winter!$1:$1,FALSE))),"")</f>
        <v/>
      </c>
      <c r="S129" t="str">
        <f>IFERROR(IF(INDEX(Winter!$1:$1048576,MATCH($A129,Winter!$A:$A,FALSE),MATCH(S$1,Winter!$1:$1,FALSE))="","",INDEX(Winter!$1:$1048576,MATCH($A129,Winter!$A:$A,FALSE),MATCH(S$1,Winter!$1:$1,FALSE))),"")</f>
        <v/>
      </c>
      <c r="T129" t="str">
        <f>IFERROR(IF(INDEX(Winter!$1:$1048576,MATCH($A129,Winter!$A:$A,FALSE),MATCH(T$1,Winter!$1:$1,FALSE))="","",INDEX(Winter!$1:$1048576,MATCH($A129,Winter!$A:$A,FALSE),MATCH(T$1,Winter!$1:$1,FALSE))),"")</f>
        <v/>
      </c>
      <c r="U129" t="str">
        <f>IFERROR(IF(INDEX(Winter!$1:$1048576,MATCH($A129,Winter!$A:$A,FALSE),MATCH(U$1,Winter!$1:$1,FALSE))="","",INDEX(Winter!$1:$1048576,MATCH($A129,Winter!$A:$A,FALSE),MATCH(U$1,Winter!$1:$1,FALSE))),"")</f>
        <v/>
      </c>
      <c r="V129" t="str">
        <f>IFERROR(IF(INDEX(Winter!$1:$1048576,MATCH($A129,Winter!$A:$A,FALSE),MATCH(V$1,Winter!$1:$1,FALSE))="","",INDEX(Winter!$1:$1048576,MATCH($A129,Winter!$A:$A,FALSE),MATCH(V$1,Winter!$1:$1,FALSE))),"")</f>
        <v/>
      </c>
      <c r="W129" t="str">
        <f>IFERROR(IF(INDEX(Winter!$1:$1048576,MATCH($A129,Winter!$A:$A,FALSE),MATCH(W$1,Winter!$1:$1,FALSE))="","",INDEX(Winter!$1:$1048576,MATCH($A129,Winter!$A:$A,FALSE),MATCH(W$1,Winter!$1:$1,FALSE))),"")</f>
        <v/>
      </c>
      <c r="Y129" t="str">
        <f>IFERROR(IF(INDEX(Spring!$1:$1048576,MATCH($A129,Spring!$A:$A,FALSE),MATCH(Y$1,Spring!$1:$1,FALSE))="","",INDEX(Spring!$1:$1048576,MATCH($A129,Spring!$A:$A,FALSE),MATCH(Y$1,Spring!$1:$1,FALSE))),"")</f>
        <v/>
      </c>
      <c r="Z129" t="str">
        <f>IFERROR(IF(INDEX(Spring!$1:$1048576,MATCH($A129,Spring!$A:$A,FALSE),MATCH(Z$1,Spring!$1:$1,FALSE))="","",INDEX(Spring!$1:$1048576,MATCH($A129,Spring!$A:$A,FALSE),MATCH(Z$1,Spring!$1:$1,FALSE))),"")</f>
        <v/>
      </c>
      <c r="AA129" t="str">
        <f>IFERROR(IF(INDEX(Spring!$1:$1048576,MATCH($A129,Spring!$A:$A,FALSE),MATCH(AA$1,Spring!$1:$1,FALSE))="","",INDEX(Spring!$1:$1048576,MATCH($A129,Spring!$A:$A,FALSE),MATCH(AA$1,Spring!$1:$1,FALSE))),"")</f>
        <v/>
      </c>
      <c r="AB129" t="str">
        <f>IFERROR(IF(INDEX(Spring!$1:$1048576,MATCH($A129,Spring!$A:$A,FALSE),MATCH(AB$1,Spring!$1:$1,FALSE))="","",INDEX(Spring!$1:$1048576,MATCH($A129,Spring!$A:$A,FALSE),MATCH(AB$1,Spring!$1:$1,FALSE))),"")</f>
        <v/>
      </c>
      <c r="AC129" t="str">
        <f>IFERROR(IF(INDEX(Spring!$1:$1048576,MATCH($A129,Spring!$A:$A,FALSE),MATCH(AC$1,Spring!$1:$1,FALSE))="","",INDEX(Spring!$1:$1048576,MATCH($A129,Spring!$A:$A,FALSE),MATCH(AC$1,Spring!$1:$1,FALSE))),"")</f>
        <v>2A</v>
      </c>
      <c r="AD129" t="str">
        <f>IFERROR(IF(INDEX(Spring!$1:$1048576,MATCH($A129,Spring!$A:$A,FALSE),MATCH(AD$1,Spring!$1:$1,FALSE))="","",INDEX(Spring!$1:$1048576,MATCH($A129,Spring!$A:$A,FALSE),MATCH(AD$1,Spring!$1:$1,FALSE))),"")</f>
        <v>2A</v>
      </c>
    </row>
    <row r="130" spans="1:30" ht="23.25" thickBot="1" x14ac:dyDescent="0.3">
      <c r="A130" s="48" t="s">
        <v>156</v>
      </c>
      <c r="B130" s="49" t="s">
        <v>588</v>
      </c>
      <c r="C130" s="49" t="s">
        <v>1000</v>
      </c>
      <c r="D130" s="50"/>
      <c r="E130" s="50"/>
      <c r="F130" s="45"/>
      <c r="G130" s="45"/>
      <c r="H130" s="44"/>
      <c r="J130" t="str">
        <f>IFERROR(IF(INDEX(Fall!$1:$1048576,MATCH($A130,Fall!$A:$A,FALSE),MATCH(J$1,Fall!$1:$1,FALSE))="","",INDEX(Fall!$1:$1048576,MATCH($A130,Fall!$A:$A,FALSE),MATCH(J$1,Fall!$1:$1,FALSE))),"")</f>
        <v/>
      </c>
      <c r="K130" t="str">
        <f>IFERROR(IF(INDEX(Fall!$1:$1048576,MATCH($A130,Fall!$A:$A,FALSE),MATCH(K$1,Fall!$1:$1,FALSE))="","",INDEX(Fall!$1:$1048576,MATCH($A130,Fall!$A:$A,FALSE),MATCH(K$1,Fall!$1:$1,FALSE))),"")</f>
        <v/>
      </c>
      <c r="L130" t="str">
        <f>IFERROR(IF(INDEX(Fall!$1:$1048576,MATCH($A130,Fall!$A:$A,FALSE),MATCH(L$1,Fall!$1:$1,FALSE))="","",INDEX(Fall!$1:$1048576,MATCH($A130,Fall!$A:$A,FALSE),MATCH(L$1,Fall!$1:$1,FALSE))),"")</f>
        <v/>
      </c>
      <c r="M130" t="str">
        <f>IFERROR(IF(INDEX(Fall!$1:$1048576,MATCH($A130,Fall!$A:$A,FALSE),MATCH(M$1,Fall!$1:$1,FALSE))="","",INDEX(Fall!$1:$1048576,MATCH($A130,Fall!$A:$A,FALSE),MATCH(M$1,Fall!$1:$1,FALSE))),"")</f>
        <v/>
      </c>
      <c r="N130" t="str">
        <f>IFERROR(IF(INDEX(Fall!$1:$1048576,MATCH($A130,Fall!$A:$A,FALSE),MATCH(N$1,Fall!$1:$1,FALSE))="","",INDEX(Fall!$1:$1048576,MATCH($A130,Fall!$A:$A,FALSE),MATCH(N$1,Fall!$1:$1,FALSE))),"")</f>
        <v/>
      </c>
      <c r="O130" t="str">
        <f>IFERROR(IF(INDEX(Fall!$1:$1048576,MATCH($A130,Fall!$A:$A,FALSE),MATCH(O$1,Fall!$1:$1,FALSE))="","",INDEX(Fall!$1:$1048576,MATCH($A130,Fall!$A:$A,FALSE),MATCH(O$1,Fall!$1:$1,FALSE))),"")</f>
        <v/>
      </c>
      <c r="P130" t="str">
        <f>IFERROR(IF(INDEX(Fall!$1:$1048576,MATCH($A130,Fall!$A:$A,FALSE),MATCH(P$1,Fall!$1:$1,FALSE))="","",INDEX(Fall!$1:$1048576,MATCH($A130,Fall!$A:$A,FALSE),MATCH(P$1,Fall!$1:$1,FALSE))),"")</f>
        <v>2A</v>
      </c>
      <c r="R130" t="str">
        <f>IFERROR(IF(INDEX(Winter!$1:$1048576,MATCH($A130,Winter!$A:$A,FALSE),MATCH(R$1,Winter!$1:$1,FALSE))="","",INDEX(Winter!$1:$1048576,MATCH($A130,Winter!$A:$A,FALSE),MATCH(R$1,Winter!$1:$1,FALSE))),"")</f>
        <v>2A</v>
      </c>
      <c r="S130" t="str">
        <f>IFERROR(IF(INDEX(Winter!$1:$1048576,MATCH($A130,Winter!$A:$A,FALSE),MATCH(S$1,Winter!$1:$1,FALSE))="","",INDEX(Winter!$1:$1048576,MATCH($A130,Winter!$A:$A,FALSE),MATCH(S$1,Winter!$1:$1,FALSE))),"")</f>
        <v>2A</v>
      </c>
      <c r="T130" t="str">
        <f>IFERROR(IF(INDEX(Winter!$1:$1048576,MATCH($A130,Winter!$A:$A,FALSE),MATCH(T$1,Winter!$1:$1,FALSE))="","",INDEX(Winter!$1:$1048576,MATCH($A130,Winter!$A:$A,FALSE),MATCH(T$1,Winter!$1:$1,FALSE))),"")</f>
        <v/>
      </c>
      <c r="U130" t="str">
        <f>IFERROR(IF(INDEX(Winter!$1:$1048576,MATCH($A130,Winter!$A:$A,FALSE),MATCH(U$1,Winter!$1:$1,FALSE))="","",INDEX(Winter!$1:$1048576,MATCH($A130,Winter!$A:$A,FALSE),MATCH(U$1,Winter!$1:$1,FALSE))),"")</f>
        <v/>
      </c>
      <c r="V130" t="str">
        <f>IFERROR(IF(INDEX(Winter!$1:$1048576,MATCH($A130,Winter!$A:$A,FALSE),MATCH(V$1,Winter!$1:$1,FALSE))="","",INDEX(Winter!$1:$1048576,MATCH($A130,Winter!$A:$A,FALSE),MATCH(V$1,Winter!$1:$1,FALSE))),"")</f>
        <v/>
      </c>
      <c r="W130" t="str">
        <f>IFERROR(IF(INDEX(Winter!$1:$1048576,MATCH($A130,Winter!$A:$A,FALSE),MATCH(W$1,Winter!$1:$1,FALSE))="","",INDEX(Winter!$1:$1048576,MATCH($A130,Winter!$A:$A,FALSE),MATCH(W$1,Winter!$1:$1,FALSE))),"")</f>
        <v>1A</v>
      </c>
      <c r="Y130" t="str">
        <f>IFERROR(IF(INDEX(Spring!$1:$1048576,MATCH($A130,Spring!$A:$A,FALSE),MATCH(Y$1,Spring!$1:$1,FALSE))="","",INDEX(Spring!$1:$1048576,MATCH($A130,Spring!$A:$A,FALSE),MATCH(Y$1,Spring!$1:$1,FALSE))),"")</f>
        <v/>
      </c>
      <c r="Z130" t="str">
        <f>IFERROR(IF(INDEX(Spring!$1:$1048576,MATCH($A130,Spring!$A:$A,FALSE),MATCH(Z$1,Spring!$1:$1,FALSE))="","",INDEX(Spring!$1:$1048576,MATCH($A130,Spring!$A:$A,FALSE),MATCH(Z$1,Spring!$1:$1,FALSE))),"")</f>
        <v/>
      </c>
      <c r="AA130" t="str">
        <f>IFERROR(IF(INDEX(Spring!$1:$1048576,MATCH($A130,Spring!$A:$A,FALSE),MATCH(AA$1,Spring!$1:$1,FALSE))="","",INDEX(Spring!$1:$1048576,MATCH($A130,Spring!$A:$A,FALSE),MATCH(AA$1,Spring!$1:$1,FALSE))),"")</f>
        <v/>
      </c>
      <c r="AB130" t="str">
        <f>IFERROR(IF(INDEX(Spring!$1:$1048576,MATCH($A130,Spring!$A:$A,FALSE),MATCH(AB$1,Spring!$1:$1,FALSE))="","",INDEX(Spring!$1:$1048576,MATCH($A130,Spring!$A:$A,FALSE),MATCH(AB$1,Spring!$1:$1,FALSE))),"")</f>
        <v/>
      </c>
      <c r="AC130" t="str">
        <f>IFERROR(IF(INDEX(Spring!$1:$1048576,MATCH($A130,Spring!$A:$A,FALSE),MATCH(AC$1,Spring!$1:$1,FALSE))="","",INDEX(Spring!$1:$1048576,MATCH($A130,Spring!$A:$A,FALSE),MATCH(AC$1,Spring!$1:$1,FALSE))),"")</f>
        <v>1A</v>
      </c>
      <c r="AD130" t="str">
        <f>IFERROR(IF(INDEX(Spring!$1:$1048576,MATCH($A130,Spring!$A:$A,FALSE),MATCH(AD$1,Spring!$1:$1,FALSE))="","",INDEX(Spring!$1:$1048576,MATCH($A130,Spring!$A:$A,FALSE),MATCH(AD$1,Spring!$1:$1,FALSE))),"")</f>
        <v>1A</v>
      </c>
    </row>
    <row r="131" spans="1:30" ht="23.25" thickBot="1" x14ac:dyDescent="0.3">
      <c r="A131" s="48" t="s">
        <v>158</v>
      </c>
      <c r="B131" s="49" t="s">
        <v>1015</v>
      </c>
      <c r="C131" s="49" t="s">
        <v>1004</v>
      </c>
      <c r="D131" s="50"/>
      <c r="E131" s="50"/>
      <c r="F131" s="45"/>
      <c r="G131" s="45"/>
      <c r="H131" s="44"/>
      <c r="J131" t="str">
        <f>IFERROR(IF(INDEX(Fall!$1:$1048576,MATCH($A131,Fall!$A:$A,FALSE),MATCH(J$1,Fall!$1:$1,FALSE))="","",INDEX(Fall!$1:$1048576,MATCH($A131,Fall!$A:$A,FALSE),MATCH(J$1,Fall!$1:$1,FALSE))),"")</f>
        <v/>
      </c>
      <c r="K131" t="str">
        <f>IFERROR(IF(INDEX(Fall!$1:$1048576,MATCH($A131,Fall!$A:$A,FALSE),MATCH(K$1,Fall!$1:$1,FALSE))="","",INDEX(Fall!$1:$1048576,MATCH($A131,Fall!$A:$A,FALSE),MATCH(K$1,Fall!$1:$1,FALSE))),"")</f>
        <v/>
      </c>
      <c r="L131" t="str">
        <f>IFERROR(IF(INDEX(Fall!$1:$1048576,MATCH($A131,Fall!$A:$A,FALSE),MATCH(L$1,Fall!$1:$1,FALSE))="","",INDEX(Fall!$1:$1048576,MATCH($A131,Fall!$A:$A,FALSE),MATCH(L$1,Fall!$1:$1,FALSE))),"")</f>
        <v/>
      </c>
      <c r="M131" t="str">
        <f>IFERROR(IF(INDEX(Fall!$1:$1048576,MATCH($A131,Fall!$A:$A,FALSE),MATCH(M$1,Fall!$1:$1,FALSE))="","",INDEX(Fall!$1:$1048576,MATCH($A131,Fall!$A:$A,FALSE),MATCH(M$1,Fall!$1:$1,FALSE))),"")</f>
        <v/>
      </c>
      <c r="N131" t="str">
        <f>IFERROR(IF(INDEX(Fall!$1:$1048576,MATCH($A131,Fall!$A:$A,FALSE),MATCH(N$1,Fall!$1:$1,FALSE))="","",INDEX(Fall!$1:$1048576,MATCH($A131,Fall!$A:$A,FALSE),MATCH(N$1,Fall!$1:$1,FALSE))),"")</f>
        <v/>
      </c>
      <c r="O131" t="str">
        <f>IFERROR(IF(INDEX(Fall!$1:$1048576,MATCH($A131,Fall!$A:$A,FALSE),MATCH(O$1,Fall!$1:$1,FALSE))="","",INDEX(Fall!$1:$1048576,MATCH($A131,Fall!$A:$A,FALSE),MATCH(O$1,Fall!$1:$1,FALSE))),"")</f>
        <v/>
      </c>
      <c r="P131" t="str">
        <f>IFERROR(IF(INDEX(Fall!$1:$1048576,MATCH($A131,Fall!$A:$A,FALSE),MATCH(P$1,Fall!$1:$1,FALSE))="","",INDEX(Fall!$1:$1048576,MATCH($A131,Fall!$A:$A,FALSE),MATCH(P$1,Fall!$1:$1,FALSE))),"")</f>
        <v/>
      </c>
      <c r="R131" t="str">
        <f>IFERROR(IF(INDEX(Winter!$1:$1048576,MATCH($A131,Winter!$A:$A,FALSE),MATCH(R$1,Winter!$1:$1,FALSE))="","",INDEX(Winter!$1:$1048576,MATCH($A131,Winter!$A:$A,FALSE),MATCH(R$1,Winter!$1:$1,FALSE))),"")</f>
        <v>2A</v>
      </c>
      <c r="S131" t="str">
        <f>IFERROR(IF(INDEX(Winter!$1:$1048576,MATCH($A131,Winter!$A:$A,FALSE),MATCH(S$1,Winter!$1:$1,FALSE))="","",INDEX(Winter!$1:$1048576,MATCH($A131,Winter!$A:$A,FALSE),MATCH(S$1,Winter!$1:$1,FALSE))),"")</f>
        <v/>
      </c>
      <c r="T131" t="str">
        <f>IFERROR(IF(INDEX(Winter!$1:$1048576,MATCH($A131,Winter!$A:$A,FALSE),MATCH(T$1,Winter!$1:$1,FALSE))="","",INDEX(Winter!$1:$1048576,MATCH($A131,Winter!$A:$A,FALSE),MATCH(T$1,Winter!$1:$1,FALSE))),"")</f>
        <v/>
      </c>
      <c r="U131" t="str">
        <f>IFERROR(IF(INDEX(Winter!$1:$1048576,MATCH($A131,Winter!$A:$A,FALSE),MATCH(U$1,Winter!$1:$1,FALSE))="","",INDEX(Winter!$1:$1048576,MATCH($A131,Winter!$A:$A,FALSE),MATCH(U$1,Winter!$1:$1,FALSE))),"")</f>
        <v/>
      </c>
      <c r="V131" t="str">
        <f>IFERROR(IF(INDEX(Winter!$1:$1048576,MATCH($A131,Winter!$A:$A,FALSE),MATCH(V$1,Winter!$1:$1,FALSE))="","",INDEX(Winter!$1:$1048576,MATCH($A131,Winter!$A:$A,FALSE),MATCH(V$1,Winter!$1:$1,FALSE))),"")</f>
        <v/>
      </c>
      <c r="W131" t="str">
        <f>IFERROR(IF(INDEX(Winter!$1:$1048576,MATCH($A131,Winter!$A:$A,FALSE),MATCH(W$1,Winter!$1:$1,FALSE))="","",INDEX(Winter!$1:$1048576,MATCH($A131,Winter!$A:$A,FALSE),MATCH(W$1,Winter!$1:$1,FALSE))),"")</f>
        <v/>
      </c>
      <c r="Y131" t="str">
        <f>IFERROR(IF(INDEX(Spring!$1:$1048576,MATCH($A131,Spring!$A:$A,FALSE),MATCH(Y$1,Spring!$1:$1,FALSE))="","",INDEX(Spring!$1:$1048576,MATCH($A131,Spring!$A:$A,FALSE),MATCH(Y$1,Spring!$1:$1,FALSE))),"")</f>
        <v/>
      </c>
      <c r="Z131" t="str">
        <f>IFERROR(IF(INDEX(Spring!$1:$1048576,MATCH($A131,Spring!$A:$A,FALSE),MATCH(Z$1,Spring!$1:$1,FALSE))="","",INDEX(Spring!$1:$1048576,MATCH($A131,Spring!$A:$A,FALSE),MATCH(Z$1,Spring!$1:$1,FALSE))),"")</f>
        <v/>
      </c>
      <c r="AA131" t="str">
        <f>IFERROR(IF(INDEX(Spring!$1:$1048576,MATCH($A131,Spring!$A:$A,FALSE),MATCH(AA$1,Spring!$1:$1,FALSE))="","",INDEX(Spring!$1:$1048576,MATCH($A131,Spring!$A:$A,FALSE),MATCH(AA$1,Spring!$1:$1,FALSE))),"")</f>
        <v/>
      </c>
      <c r="AB131" t="str">
        <f>IFERROR(IF(INDEX(Spring!$1:$1048576,MATCH($A131,Spring!$A:$A,FALSE),MATCH(AB$1,Spring!$1:$1,FALSE))="","",INDEX(Spring!$1:$1048576,MATCH($A131,Spring!$A:$A,FALSE),MATCH(AB$1,Spring!$1:$1,FALSE))),"")</f>
        <v/>
      </c>
      <c r="AC131" t="str">
        <f>IFERROR(IF(INDEX(Spring!$1:$1048576,MATCH($A131,Spring!$A:$A,FALSE),MATCH(AC$1,Spring!$1:$1,FALSE))="","",INDEX(Spring!$1:$1048576,MATCH($A131,Spring!$A:$A,FALSE),MATCH(AC$1,Spring!$1:$1,FALSE))),"")</f>
        <v>2A</v>
      </c>
      <c r="AD131" t="str">
        <f>IFERROR(IF(INDEX(Spring!$1:$1048576,MATCH($A131,Spring!$A:$A,FALSE),MATCH(AD$1,Spring!$1:$1,FALSE))="","",INDEX(Spring!$1:$1048576,MATCH($A131,Spring!$A:$A,FALSE),MATCH(AD$1,Spring!$1:$1,FALSE))),"")</f>
        <v>2A</v>
      </c>
    </row>
    <row r="132" spans="1:30" ht="23.25" thickBot="1" x14ac:dyDescent="0.3">
      <c r="A132" s="48" t="s">
        <v>160</v>
      </c>
      <c r="B132" s="49" t="s">
        <v>1016</v>
      </c>
      <c r="C132" s="49" t="s">
        <v>1000</v>
      </c>
      <c r="D132" s="50"/>
      <c r="E132" s="50"/>
      <c r="F132" s="45"/>
      <c r="G132" s="45"/>
      <c r="H132" s="44"/>
      <c r="J132" t="str">
        <f>IFERROR(IF(INDEX(Fall!$1:$1048576,MATCH($A132,Fall!$A:$A,FALSE),MATCH(J$1,Fall!$1:$1,FALSE))="","",INDEX(Fall!$1:$1048576,MATCH($A132,Fall!$A:$A,FALSE),MATCH(J$1,Fall!$1:$1,FALSE))),"")</f>
        <v/>
      </c>
      <c r="K132" t="str">
        <f>IFERROR(IF(INDEX(Fall!$1:$1048576,MATCH($A132,Fall!$A:$A,FALSE),MATCH(K$1,Fall!$1:$1,FALSE))="","",INDEX(Fall!$1:$1048576,MATCH($A132,Fall!$A:$A,FALSE),MATCH(K$1,Fall!$1:$1,FALSE))),"")</f>
        <v/>
      </c>
      <c r="L132" t="str">
        <f>IFERROR(IF(INDEX(Fall!$1:$1048576,MATCH($A132,Fall!$A:$A,FALSE),MATCH(L$1,Fall!$1:$1,FALSE))="","",INDEX(Fall!$1:$1048576,MATCH($A132,Fall!$A:$A,FALSE),MATCH(L$1,Fall!$1:$1,FALSE))),"")</f>
        <v/>
      </c>
      <c r="M132" t="str">
        <f>IFERROR(IF(INDEX(Fall!$1:$1048576,MATCH($A132,Fall!$A:$A,FALSE),MATCH(M$1,Fall!$1:$1,FALSE))="","",INDEX(Fall!$1:$1048576,MATCH($A132,Fall!$A:$A,FALSE),MATCH(M$1,Fall!$1:$1,FALSE))),"")</f>
        <v/>
      </c>
      <c r="N132" t="str">
        <f>IFERROR(IF(INDEX(Fall!$1:$1048576,MATCH($A132,Fall!$A:$A,FALSE),MATCH(N$1,Fall!$1:$1,FALSE))="","",INDEX(Fall!$1:$1048576,MATCH($A132,Fall!$A:$A,FALSE),MATCH(N$1,Fall!$1:$1,FALSE))),"")</f>
        <v/>
      </c>
      <c r="O132" t="str">
        <f>IFERROR(IF(INDEX(Fall!$1:$1048576,MATCH($A132,Fall!$A:$A,FALSE),MATCH(O$1,Fall!$1:$1,FALSE))="","",INDEX(Fall!$1:$1048576,MATCH($A132,Fall!$A:$A,FALSE),MATCH(O$1,Fall!$1:$1,FALSE))),"")</f>
        <v/>
      </c>
      <c r="P132" t="str">
        <f>IFERROR(IF(INDEX(Fall!$1:$1048576,MATCH($A132,Fall!$A:$A,FALSE),MATCH(P$1,Fall!$1:$1,FALSE))="","",INDEX(Fall!$1:$1048576,MATCH($A132,Fall!$A:$A,FALSE),MATCH(P$1,Fall!$1:$1,FALSE))),"")</f>
        <v/>
      </c>
      <c r="R132" t="str">
        <f>IFERROR(IF(INDEX(Winter!$1:$1048576,MATCH($A132,Winter!$A:$A,FALSE),MATCH(R$1,Winter!$1:$1,FALSE))="","",INDEX(Winter!$1:$1048576,MATCH($A132,Winter!$A:$A,FALSE),MATCH(R$1,Winter!$1:$1,FALSE))),"")</f>
        <v>3A</v>
      </c>
      <c r="S132" t="str">
        <f>IFERROR(IF(INDEX(Winter!$1:$1048576,MATCH($A132,Winter!$A:$A,FALSE),MATCH(S$1,Winter!$1:$1,FALSE))="","",INDEX(Winter!$1:$1048576,MATCH($A132,Winter!$A:$A,FALSE),MATCH(S$1,Winter!$1:$1,FALSE))),"")</f>
        <v>3A</v>
      </c>
      <c r="T132" t="str">
        <f>IFERROR(IF(INDEX(Winter!$1:$1048576,MATCH($A132,Winter!$A:$A,FALSE),MATCH(T$1,Winter!$1:$1,FALSE))="","",INDEX(Winter!$1:$1048576,MATCH($A132,Winter!$A:$A,FALSE),MATCH(T$1,Winter!$1:$1,FALSE))),"")</f>
        <v/>
      </c>
      <c r="U132" t="str">
        <f>IFERROR(IF(INDEX(Winter!$1:$1048576,MATCH($A132,Winter!$A:$A,FALSE),MATCH(U$1,Winter!$1:$1,FALSE))="","",INDEX(Winter!$1:$1048576,MATCH($A132,Winter!$A:$A,FALSE),MATCH(U$1,Winter!$1:$1,FALSE))),"")</f>
        <v/>
      </c>
      <c r="V132" t="str">
        <f>IFERROR(IF(INDEX(Winter!$1:$1048576,MATCH($A132,Winter!$A:$A,FALSE),MATCH(V$1,Winter!$1:$1,FALSE))="","",INDEX(Winter!$1:$1048576,MATCH($A132,Winter!$A:$A,FALSE),MATCH(V$1,Winter!$1:$1,FALSE))),"")</f>
        <v/>
      </c>
      <c r="W132" t="str">
        <f>IFERROR(IF(INDEX(Winter!$1:$1048576,MATCH($A132,Winter!$A:$A,FALSE),MATCH(W$1,Winter!$1:$1,FALSE))="","",INDEX(Winter!$1:$1048576,MATCH($A132,Winter!$A:$A,FALSE),MATCH(W$1,Winter!$1:$1,FALSE))),"")</f>
        <v/>
      </c>
      <c r="Y132" t="str">
        <f>IFERROR(IF(INDEX(Spring!$1:$1048576,MATCH($A132,Spring!$A:$A,FALSE),MATCH(Y$1,Spring!$1:$1,FALSE))="","",INDEX(Spring!$1:$1048576,MATCH($A132,Spring!$A:$A,FALSE),MATCH(Y$1,Spring!$1:$1,FALSE))),"")</f>
        <v>3A</v>
      </c>
      <c r="Z132" t="str">
        <f>IFERROR(IF(INDEX(Spring!$1:$1048576,MATCH($A132,Spring!$A:$A,FALSE),MATCH(Z$1,Spring!$1:$1,FALSE))="","",INDEX(Spring!$1:$1048576,MATCH($A132,Spring!$A:$A,FALSE),MATCH(Z$1,Spring!$1:$1,FALSE))),"")</f>
        <v/>
      </c>
      <c r="AA132" t="str">
        <f>IFERROR(IF(INDEX(Spring!$1:$1048576,MATCH($A132,Spring!$A:$A,FALSE),MATCH(AA$1,Spring!$1:$1,FALSE))="","",INDEX(Spring!$1:$1048576,MATCH($A132,Spring!$A:$A,FALSE),MATCH(AA$1,Spring!$1:$1,FALSE))),"")</f>
        <v/>
      </c>
      <c r="AB132" t="str">
        <f>IFERROR(IF(INDEX(Spring!$1:$1048576,MATCH($A132,Spring!$A:$A,FALSE),MATCH(AB$1,Spring!$1:$1,FALSE))="","",INDEX(Spring!$1:$1048576,MATCH($A132,Spring!$A:$A,FALSE),MATCH(AB$1,Spring!$1:$1,FALSE))),"")</f>
        <v/>
      </c>
      <c r="AC132" t="str">
        <f>IFERROR(IF(INDEX(Spring!$1:$1048576,MATCH($A132,Spring!$A:$A,FALSE),MATCH(AC$1,Spring!$1:$1,FALSE))="","",INDEX(Spring!$1:$1048576,MATCH($A132,Spring!$A:$A,FALSE),MATCH(AC$1,Spring!$1:$1,FALSE))),"")</f>
        <v>2A</v>
      </c>
      <c r="AD132" t="str">
        <f>IFERROR(IF(INDEX(Spring!$1:$1048576,MATCH($A132,Spring!$A:$A,FALSE),MATCH(AD$1,Spring!$1:$1,FALSE))="","",INDEX(Spring!$1:$1048576,MATCH($A132,Spring!$A:$A,FALSE),MATCH(AD$1,Spring!$1:$1,FALSE))),"")</f>
        <v/>
      </c>
    </row>
    <row r="133" spans="1:30" ht="23.25" thickBot="1" x14ac:dyDescent="0.3">
      <c r="A133" s="48" t="s">
        <v>162</v>
      </c>
      <c r="B133" s="49" t="s">
        <v>155</v>
      </c>
      <c r="C133" s="49" t="s">
        <v>1000</v>
      </c>
      <c r="D133" s="50"/>
      <c r="E133" s="50"/>
      <c r="F133" s="45"/>
      <c r="G133" s="45"/>
      <c r="H133" s="44"/>
      <c r="J133" t="str">
        <f>IFERROR(IF(INDEX(Fall!$1:$1048576,MATCH($A133,Fall!$A:$A,FALSE),MATCH(J$1,Fall!$1:$1,FALSE))="","",INDEX(Fall!$1:$1048576,MATCH($A133,Fall!$A:$A,FALSE),MATCH(J$1,Fall!$1:$1,FALSE))),"")</f>
        <v>2A</v>
      </c>
      <c r="K133" t="str">
        <f>IFERROR(IF(INDEX(Fall!$1:$1048576,MATCH($A133,Fall!$A:$A,FALSE),MATCH(K$1,Fall!$1:$1,FALSE))="","",INDEX(Fall!$1:$1048576,MATCH($A133,Fall!$A:$A,FALSE),MATCH(K$1,Fall!$1:$1,FALSE))),"")</f>
        <v>1A</v>
      </c>
      <c r="L133" t="str">
        <f>IFERROR(IF(INDEX(Fall!$1:$1048576,MATCH($A133,Fall!$A:$A,FALSE),MATCH(L$1,Fall!$1:$1,FALSE))="","",INDEX(Fall!$1:$1048576,MATCH($A133,Fall!$A:$A,FALSE),MATCH(L$1,Fall!$1:$1,FALSE))),"")</f>
        <v/>
      </c>
      <c r="M133" t="str">
        <f>IFERROR(IF(INDEX(Fall!$1:$1048576,MATCH($A133,Fall!$A:$A,FALSE),MATCH(M$1,Fall!$1:$1,FALSE))="","",INDEX(Fall!$1:$1048576,MATCH($A133,Fall!$A:$A,FALSE),MATCH(M$1,Fall!$1:$1,FALSE))),"")</f>
        <v/>
      </c>
      <c r="N133" t="str">
        <f>IFERROR(IF(INDEX(Fall!$1:$1048576,MATCH($A133,Fall!$A:$A,FALSE),MATCH(N$1,Fall!$1:$1,FALSE))="","",INDEX(Fall!$1:$1048576,MATCH($A133,Fall!$A:$A,FALSE),MATCH(N$1,Fall!$1:$1,FALSE))),"")</f>
        <v>1A</v>
      </c>
      <c r="O133" t="str">
        <f>IFERROR(IF(INDEX(Fall!$1:$1048576,MATCH($A133,Fall!$A:$A,FALSE),MATCH(O$1,Fall!$1:$1,FALSE))="","",INDEX(Fall!$1:$1048576,MATCH($A133,Fall!$A:$A,FALSE),MATCH(O$1,Fall!$1:$1,FALSE))),"")</f>
        <v/>
      </c>
      <c r="P133" t="str">
        <f>IFERROR(IF(INDEX(Fall!$1:$1048576,MATCH($A133,Fall!$A:$A,FALSE),MATCH(P$1,Fall!$1:$1,FALSE))="","",INDEX(Fall!$1:$1048576,MATCH($A133,Fall!$A:$A,FALSE),MATCH(P$1,Fall!$1:$1,FALSE))),"")</f>
        <v/>
      </c>
      <c r="R133" t="str">
        <f>IFERROR(IF(INDEX(Winter!$1:$1048576,MATCH($A133,Winter!$A:$A,FALSE),MATCH(R$1,Winter!$1:$1,FALSE))="","",INDEX(Winter!$1:$1048576,MATCH($A133,Winter!$A:$A,FALSE),MATCH(R$1,Winter!$1:$1,FALSE))),"")</f>
        <v>2A</v>
      </c>
      <c r="S133" t="str">
        <f>IFERROR(IF(INDEX(Winter!$1:$1048576,MATCH($A133,Winter!$A:$A,FALSE),MATCH(S$1,Winter!$1:$1,FALSE))="","",INDEX(Winter!$1:$1048576,MATCH($A133,Winter!$A:$A,FALSE),MATCH(S$1,Winter!$1:$1,FALSE))),"")</f>
        <v/>
      </c>
      <c r="T133" t="str">
        <f>IFERROR(IF(INDEX(Winter!$1:$1048576,MATCH($A133,Winter!$A:$A,FALSE),MATCH(T$1,Winter!$1:$1,FALSE))="","",INDEX(Winter!$1:$1048576,MATCH($A133,Winter!$A:$A,FALSE),MATCH(T$1,Winter!$1:$1,FALSE))),"")</f>
        <v/>
      </c>
      <c r="U133" t="str">
        <f>IFERROR(IF(INDEX(Winter!$1:$1048576,MATCH($A133,Winter!$A:$A,FALSE),MATCH(U$1,Winter!$1:$1,FALSE))="","",INDEX(Winter!$1:$1048576,MATCH($A133,Winter!$A:$A,FALSE),MATCH(U$1,Winter!$1:$1,FALSE))),"")</f>
        <v/>
      </c>
      <c r="V133" t="str">
        <f>IFERROR(IF(INDEX(Winter!$1:$1048576,MATCH($A133,Winter!$A:$A,FALSE),MATCH(V$1,Winter!$1:$1,FALSE))="","",INDEX(Winter!$1:$1048576,MATCH($A133,Winter!$A:$A,FALSE),MATCH(V$1,Winter!$1:$1,FALSE))),"")</f>
        <v/>
      </c>
      <c r="W133" t="str">
        <f>IFERROR(IF(INDEX(Winter!$1:$1048576,MATCH($A133,Winter!$A:$A,FALSE),MATCH(W$1,Winter!$1:$1,FALSE))="","",INDEX(Winter!$1:$1048576,MATCH($A133,Winter!$A:$A,FALSE),MATCH(W$1,Winter!$1:$1,FALSE))),"")</f>
        <v/>
      </c>
      <c r="Y133" t="str">
        <f>IFERROR(IF(INDEX(Spring!$1:$1048576,MATCH($A133,Spring!$A:$A,FALSE),MATCH(Y$1,Spring!$1:$1,FALSE))="","",INDEX(Spring!$1:$1048576,MATCH($A133,Spring!$A:$A,FALSE),MATCH(Y$1,Spring!$1:$1,FALSE))),"")</f>
        <v>2A</v>
      </c>
      <c r="Z133" t="str">
        <f>IFERROR(IF(INDEX(Spring!$1:$1048576,MATCH($A133,Spring!$A:$A,FALSE),MATCH(Z$1,Spring!$1:$1,FALSE))="","",INDEX(Spring!$1:$1048576,MATCH($A133,Spring!$A:$A,FALSE),MATCH(Z$1,Spring!$1:$1,FALSE))),"")</f>
        <v/>
      </c>
      <c r="AA133" t="str">
        <f>IFERROR(IF(INDEX(Spring!$1:$1048576,MATCH($A133,Spring!$A:$A,FALSE),MATCH(AA$1,Spring!$1:$1,FALSE))="","",INDEX(Spring!$1:$1048576,MATCH($A133,Spring!$A:$A,FALSE),MATCH(AA$1,Spring!$1:$1,FALSE))),"")</f>
        <v/>
      </c>
      <c r="AB133" t="str">
        <f>IFERROR(IF(INDEX(Spring!$1:$1048576,MATCH($A133,Spring!$A:$A,FALSE),MATCH(AB$1,Spring!$1:$1,FALSE))="","",INDEX(Spring!$1:$1048576,MATCH($A133,Spring!$A:$A,FALSE),MATCH(AB$1,Spring!$1:$1,FALSE))),"")</f>
        <v/>
      </c>
      <c r="AC133" t="str">
        <f>IFERROR(IF(INDEX(Spring!$1:$1048576,MATCH($A133,Spring!$A:$A,FALSE),MATCH(AC$1,Spring!$1:$1,FALSE))="","",INDEX(Spring!$1:$1048576,MATCH($A133,Spring!$A:$A,FALSE),MATCH(AC$1,Spring!$1:$1,FALSE))),"")</f>
        <v>2A</v>
      </c>
      <c r="AD133" t="str">
        <f>IFERROR(IF(INDEX(Spring!$1:$1048576,MATCH($A133,Spring!$A:$A,FALSE),MATCH(AD$1,Spring!$1:$1,FALSE))="","",INDEX(Spring!$1:$1048576,MATCH($A133,Spring!$A:$A,FALSE),MATCH(AD$1,Spring!$1:$1,FALSE))),"")</f>
        <v>2A</v>
      </c>
    </row>
    <row r="134" spans="1:30" ht="23.25" thickBot="1" x14ac:dyDescent="0.3">
      <c r="A134" s="48" t="s">
        <v>164</v>
      </c>
      <c r="B134" s="49" t="s">
        <v>136</v>
      </c>
      <c r="C134" s="49" t="s">
        <v>1004</v>
      </c>
      <c r="D134" s="50"/>
      <c r="E134" s="50"/>
      <c r="F134" s="45"/>
      <c r="G134" s="45"/>
      <c r="H134" s="44"/>
      <c r="J134" t="str">
        <f>IFERROR(IF(INDEX(Fall!$1:$1048576,MATCH($A134,Fall!$A:$A,FALSE),MATCH(J$1,Fall!$1:$1,FALSE))="","",INDEX(Fall!$1:$1048576,MATCH($A134,Fall!$A:$A,FALSE),MATCH(J$1,Fall!$1:$1,FALSE))),"")</f>
        <v/>
      </c>
      <c r="K134" t="str">
        <f>IFERROR(IF(INDEX(Fall!$1:$1048576,MATCH($A134,Fall!$A:$A,FALSE),MATCH(K$1,Fall!$1:$1,FALSE))="","",INDEX(Fall!$1:$1048576,MATCH($A134,Fall!$A:$A,FALSE),MATCH(K$1,Fall!$1:$1,FALSE))),"")</f>
        <v/>
      </c>
      <c r="L134" t="str">
        <f>IFERROR(IF(INDEX(Fall!$1:$1048576,MATCH($A134,Fall!$A:$A,FALSE),MATCH(L$1,Fall!$1:$1,FALSE))="","",INDEX(Fall!$1:$1048576,MATCH($A134,Fall!$A:$A,FALSE),MATCH(L$1,Fall!$1:$1,FALSE))),"")</f>
        <v/>
      </c>
      <c r="M134" t="str">
        <f>IFERROR(IF(INDEX(Fall!$1:$1048576,MATCH($A134,Fall!$A:$A,FALSE),MATCH(M$1,Fall!$1:$1,FALSE))="","",INDEX(Fall!$1:$1048576,MATCH($A134,Fall!$A:$A,FALSE),MATCH(M$1,Fall!$1:$1,FALSE))),"")</f>
        <v/>
      </c>
      <c r="N134" t="str">
        <f>IFERROR(IF(INDEX(Fall!$1:$1048576,MATCH($A134,Fall!$A:$A,FALSE),MATCH(N$1,Fall!$1:$1,FALSE))="","",INDEX(Fall!$1:$1048576,MATCH($A134,Fall!$A:$A,FALSE),MATCH(N$1,Fall!$1:$1,FALSE))),"")</f>
        <v>1A</v>
      </c>
      <c r="O134" t="str">
        <f>IFERROR(IF(INDEX(Fall!$1:$1048576,MATCH($A134,Fall!$A:$A,FALSE),MATCH(O$1,Fall!$1:$1,FALSE))="","",INDEX(Fall!$1:$1048576,MATCH($A134,Fall!$A:$A,FALSE),MATCH(O$1,Fall!$1:$1,FALSE))),"")</f>
        <v/>
      </c>
      <c r="P134" t="str">
        <f>IFERROR(IF(INDEX(Fall!$1:$1048576,MATCH($A134,Fall!$A:$A,FALSE),MATCH(P$1,Fall!$1:$1,FALSE))="","",INDEX(Fall!$1:$1048576,MATCH($A134,Fall!$A:$A,FALSE),MATCH(P$1,Fall!$1:$1,FALSE))),"")</f>
        <v>2A</v>
      </c>
      <c r="R134" t="str">
        <f>IFERROR(IF(INDEX(Winter!$1:$1048576,MATCH($A134,Winter!$A:$A,FALSE),MATCH(R$1,Winter!$1:$1,FALSE))="","",INDEX(Winter!$1:$1048576,MATCH($A134,Winter!$A:$A,FALSE),MATCH(R$1,Winter!$1:$1,FALSE))),"")</f>
        <v>2A</v>
      </c>
      <c r="S134" t="str">
        <f>IFERROR(IF(INDEX(Winter!$1:$1048576,MATCH($A134,Winter!$A:$A,FALSE),MATCH(S$1,Winter!$1:$1,FALSE))="","",INDEX(Winter!$1:$1048576,MATCH($A134,Winter!$A:$A,FALSE),MATCH(S$1,Winter!$1:$1,FALSE))),"")</f>
        <v>2A</v>
      </c>
      <c r="T134" t="str">
        <f>IFERROR(IF(INDEX(Winter!$1:$1048576,MATCH($A134,Winter!$A:$A,FALSE),MATCH(T$1,Winter!$1:$1,FALSE))="","",INDEX(Winter!$1:$1048576,MATCH($A134,Winter!$A:$A,FALSE),MATCH(T$1,Winter!$1:$1,FALSE))),"")</f>
        <v/>
      </c>
      <c r="U134" t="str">
        <f>IFERROR(IF(INDEX(Winter!$1:$1048576,MATCH($A134,Winter!$A:$A,FALSE),MATCH(U$1,Winter!$1:$1,FALSE))="","",INDEX(Winter!$1:$1048576,MATCH($A134,Winter!$A:$A,FALSE),MATCH(U$1,Winter!$1:$1,FALSE))),"")</f>
        <v/>
      </c>
      <c r="V134" t="str">
        <f>IFERROR(IF(INDEX(Winter!$1:$1048576,MATCH($A134,Winter!$A:$A,FALSE),MATCH(V$1,Winter!$1:$1,FALSE))="","",INDEX(Winter!$1:$1048576,MATCH($A134,Winter!$A:$A,FALSE),MATCH(V$1,Winter!$1:$1,FALSE))),"")</f>
        <v/>
      </c>
      <c r="W134" t="str">
        <f>IFERROR(IF(INDEX(Winter!$1:$1048576,MATCH($A134,Winter!$A:$A,FALSE),MATCH(W$1,Winter!$1:$1,FALSE))="","",INDEX(Winter!$1:$1048576,MATCH($A134,Winter!$A:$A,FALSE),MATCH(W$1,Winter!$1:$1,FALSE))),"")</f>
        <v/>
      </c>
      <c r="Y134" t="str">
        <f>IFERROR(IF(INDEX(Spring!$1:$1048576,MATCH($A134,Spring!$A:$A,FALSE),MATCH(Y$1,Spring!$1:$1,FALSE))="","",INDEX(Spring!$1:$1048576,MATCH($A134,Spring!$A:$A,FALSE),MATCH(Y$1,Spring!$1:$1,FALSE))),"")</f>
        <v/>
      </c>
      <c r="Z134" t="str">
        <f>IFERROR(IF(INDEX(Spring!$1:$1048576,MATCH($A134,Spring!$A:$A,FALSE),MATCH(Z$1,Spring!$1:$1,FALSE))="","",INDEX(Spring!$1:$1048576,MATCH($A134,Spring!$A:$A,FALSE),MATCH(Z$1,Spring!$1:$1,FALSE))),"")</f>
        <v/>
      </c>
      <c r="AA134" t="str">
        <f>IFERROR(IF(INDEX(Spring!$1:$1048576,MATCH($A134,Spring!$A:$A,FALSE),MATCH(AA$1,Spring!$1:$1,FALSE))="","",INDEX(Spring!$1:$1048576,MATCH($A134,Spring!$A:$A,FALSE),MATCH(AA$1,Spring!$1:$1,FALSE))),"")</f>
        <v/>
      </c>
      <c r="AB134" t="str">
        <f>IFERROR(IF(INDEX(Spring!$1:$1048576,MATCH($A134,Spring!$A:$A,FALSE),MATCH(AB$1,Spring!$1:$1,FALSE))="","",INDEX(Spring!$1:$1048576,MATCH($A134,Spring!$A:$A,FALSE),MATCH(AB$1,Spring!$1:$1,FALSE))),"")</f>
        <v/>
      </c>
      <c r="AC134" t="str">
        <f>IFERROR(IF(INDEX(Spring!$1:$1048576,MATCH($A134,Spring!$A:$A,FALSE),MATCH(AC$1,Spring!$1:$1,FALSE))="","",INDEX(Spring!$1:$1048576,MATCH($A134,Spring!$A:$A,FALSE),MATCH(AC$1,Spring!$1:$1,FALSE))),"")</f>
        <v>2A</v>
      </c>
      <c r="AD134" t="str">
        <f>IFERROR(IF(INDEX(Spring!$1:$1048576,MATCH($A134,Spring!$A:$A,FALSE),MATCH(AD$1,Spring!$1:$1,FALSE))="","",INDEX(Spring!$1:$1048576,MATCH($A134,Spring!$A:$A,FALSE),MATCH(AD$1,Spring!$1:$1,FALSE))),"")</f>
        <v>2A</v>
      </c>
    </row>
    <row r="135" spans="1:30" ht="23.25" thickBot="1" x14ac:dyDescent="0.3">
      <c r="A135" s="48" t="s">
        <v>165</v>
      </c>
      <c r="B135" s="49" t="s">
        <v>166</v>
      </c>
      <c r="C135" s="49" t="s">
        <v>997</v>
      </c>
      <c r="D135" s="49">
        <v>1</v>
      </c>
      <c r="E135" s="49">
        <v>2</v>
      </c>
      <c r="F135" s="45"/>
      <c r="G135" s="45"/>
      <c r="H135" s="44"/>
      <c r="J135" t="str">
        <f>IFERROR(IF(INDEX(Fall!$1:$1048576,MATCH($A135,Fall!$A:$A,FALSE),MATCH(J$1,Fall!$1:$1,FALSE))="","",INDEX(Fall!$1:$1048576,MATCH($A135,Fall!$A:$A,FALSE),MATCH(J$1,Fall!$1:$1,FALSE))),"")</f>
        <v/>
      </c>
      <c r="K135" t="str">
        <f>IFERROR(IF(INDEX(Fall!$1:$1048576,MATCH($A135,Fall!$A:$A,FALSE),MATCH(K$1,Fall!$1:$1,FALSE))="","",INDEX(Fall!$1:$1048576,MATCH($A135,Fall!$A:$A,FALSE),MATCH(K$1,Fall!$1:$1,FALSE))),"")</f>
        <v/>
      </c>
      <c r="L135" t="str">
        <f>IFERROR(IF(INDEX(Fall!$1:$1048576,MATCH($A135,Fall!$A:$A,FALSE),MATCH(L$1,Fall!$1:$1,FALSE))="","",INDEX(Fall!$1:$1048576,MATCH($A135,Fall!$A:$A,FALSE),MATCH(L$1,Fall!$1:$1,FALSE))),"")</f>
        <v/>
      </c>
      <c r="M135" t="str">
        <f>IFERROR(IF(INDEX(Fall!$1:$1048576,MATCH($A135,Fall!$A:$A,FALSE),MATCH(M$1,Fall!$1:$1,FALSE))="","",INDEX(Fall!$1:$1048576,MATCH($A135,Fall!$A:$A,FALSE),MATCH(M$1,Fall!$1:$1,FALSE))),"")</f>
        <v/>
      </c>
      <c r="N135" t="str">
        <f>IFERROR(IF(INDEX(Fall!$1:$1048576,MATCH($A135,Fall!$A:$A,FALSE),MATCH(N$1,Fall!$1:$1,FALSE))="","",INDEX(Fall!$1:$1048576,MATCH($A135,Fall!$A:$A,FALSE),MATCH(N$1,Fall!$1:$1,FALSE))),"")</f>
        <v/>
      </c>
      <c r="O135" t="str">
        <f>IFERROR(IF(INDEX(Fall!$1:$1048576,MATCH($A135,Fall!$A:$A,FALSE),MATCH(O$1,Fall!$1:$1,FALSE))="","",INDEX(Fall!$1:$1048576,MATCH($A135,Fall!$A:$A,FALSE),MATCH(O$1,Fall!$1:$1,FALSE))),"")</f>
        <v/>
      </c>
      <c r="P135" t="str">
        <f>IFERROR(IF(INDEX(Fall!$1:$1048576,MATCH($A135,Fall!$A:$A,FALSE),MATCH(P$1,Fall!$1:$1,FALSE))="","",INDEX(Fall!$1:$1048576,MATCH($A135,Fall!$A:$A,FALSE),MATCH(P$1,Fall!$1:$1,FALSE))),"")</f>
        <v>2A</v>
      </c>
      <c r="R135" t="str">
        <f>IFERROR(IF(INDEX(Winter!$1:$1048576,MATCH($A135,Winter!$A:$A,FALSE),MATCH(R$1,Winter!$1:$1,FALSE))="","",INDEX(Winter!$1:$1048576,MATCH($A135,Winter!$A:$A,FALSE),MATCH(R$1,Winter!$1:$1,FALSE))),"")</f>
        <v>2A</v>
      </c>
      <c r="S135" t="str">
        <f>IFERROR(IF(INDEX(Winter!$1:$1048576,MATCH($A135,Winter!$A:$A,FALSE),MATCH(S$1,Winter!$1:$1,FALSE))="","",INDEX(Winter!$1:$1048576,MATCH($A135,Winter!$A:$A,FALSE),MATCH(S$1,Winter!$1:$1,FALSE))),"")</f>
        <v>2A</v>
      </c>
      <c r="T135" t="str">
        <f>IFERROR(IF(INDEX(Winter!$1:$1048576,MATCH($A135,Winter!$A:$A,FALSE),MATCH(T$1,Winter!$1:$1,FALSE))="","",INDEX(Winter!$1:$1048576,MATCH($A135,Winter!$A:$A,FALSE),MATCH(T$1,Winter!$1:$1,FALSE))),"")</f>
        <v>1A</v>
      </c>
      <c r="U135" t="str">
        <f>IFERROR(IF(INDEX(Winter!$1:$1048576,MATCH($A135,Winter!$A:$A,FALSE),MATCH(U$1,Winter!$1:$1,FALSE))="","",INDEX(Winter!$1:$1048576,MATCH($A135,Winter!$A:$A,FALSE),MATCH(U$1,Winter!$1:$1,FALSE))),"")</f>
        <v/>
      </c>
      <c r="V135" t="str">
        <f>IFERROR(IF(INDEX(Winter!$1:$1048576,MATCH($A135,Winter!$A:$A,FALSE),MATCH(V$1,Winter!$1:$1,FALSE))="","",INDEX(Winter!$1:$1048576,MATCH($A135,Winter!$A:$A,FALSE),MATCH(V$1,Winter!$1:$1,FALSE))),"")</f>
        <v/>
      </c>
      <c r="W135" t="str">
        <f>IFERROR(IF(INDEX(Winter!$1:$1048576,MATCH($A135,Winter!$A:$A,FALSE),MATCH(W$1,Winter!$1:$1,FALSE))="","",INDEX(Winter!$1:$1048576,MATCH($A135,Winter!$A:$A,FALSE),MATCH(W$1,Winter!$1:$1,FALSE))),"")</f>
        <v/>
      </c>
      <c r="Y135" t="str">
        <f>IFERROR(IF(INDEX(Spring!$1:$1048576,MATCH($A135,Spring!$A:$A,FALSE),MATCH(Y$1,Spring!$1:$1,FALSE))="","",INDEX(Spring!$1:$1048576,MATCH($A135,Spring!$A:$A,FALSE),MATCH(Y$1,Spring!$1:$1,FALSE))),"")</f>
        <v/>
      </c>
      <c r="Z135" t="str">
        <f>IFERROR(IF(INDEX(Spring!$1:$1048576,MATCH($A135,Spring!$A:$A,FALSE),MATCH(Z$1,Spring!$1:$1,FALSE))="","",INDEX(Spring!$1:$1048576,MATCH($A135,Spring!$A:$A,FALSE),MATCH(Z$1,Spring!$1:$1,FALSE))),"")</f>
        <v/>
      </c>
      <c r="AA135" t="str">
        <f>IFERROR(IF(INDEX(Spring!$1:$1048576,MATCH($A135,Spring!$A:$A,FALSE),MATCH(AA$1,Spring!$1:$1,FALSE))="","",INDEX(Spring!$1:$1048576,MATCH($A135,Spring!$A:$A,FALSE),MATCH(AA$1,Spring!$1:$1,FALSE))),"")</f>
        <v/>
      </c>
      <c r="AB135" t="str">
        <f>IFERROR(IF(INDEX(Spring!$1:$1048576,MATCH($A135,Spring!$A:$A,FALSE),MATCH(AB$1,Spring!$1:$1,FALSE))="","",INDEX(Spring!$1:$1048576,MATCH($A135,Spring!$A:$A,FALSE),MATCH(AB$1,Spring!$1:$1,FALSE))),"")</f>
        <v/>
      </c>
      <c r="AC135" t="str">
        <f>IFERROR(IF(INDEX(Spring!$1:$1048576,MATCH($A135,Spring!$A:$A,FALSE),MATCH(AC$1,Spring!$1:$1,FALSE))="","",INDEX(Spring!$1:$1048576,MATCH($A135,Spring!$A:$A,FALSE),MATCH(AC$1,Spring!$1:$1,FALSE))),"")</f>
        <v>1A</v>
      </c>
      <c r="AD135" t="str">
        <f>IFERROR(IF(INDEX(Spring!$1:$1048576,MATCH($A135,Spring!$A:$A,FALSE),MATCH(AD$1,Spring!$1:$1,FALSE))="","",INDEX(Spring!$1:$1048576,MATCH($A135,Spring!$A:$A,FALSE),MATCH(AD$1,Spring!$1:$1,FALSE))),"")</f>
        <v>1A</v>
      </c>
    </row>
    <row r="136" spans="1:30" ht="23.25" thickBot="1" x14ac:dyDescent="0.3">
      <c r="A136" s="48" t="s">
        <v>915</v>
      </c>
      <c r="B136" s="49" t="s">
        <v>1017</v>
      </c>
      <c r="C136" s="49" t="s">
        <v>1000</v>
      </c>
      <c r="D136" s="50"/>
      <c r="E136" s="50"/>
      <c r="F136" s="45"/>
      <c r="G136" s="45"/>
      <c r="H136" s="44"/>
      <c r="J136" t="str">
        <f>IFERROR(IF(INDEX(Fall!$1:$1048576,MATCH($A136,Fall!$A:$A,FALSE),MATCH(J$1,Fall!$1:$1,FALSE))="","",INDEX(Fall!$1:$1048576,MATCH($A136,Fall!$A:$A,FALSE),MATCH(J$1,Fall!$1:$1,FALSE))),"")</f>
        <v/>
      </c>
      <c r="K136" t="str">
        <f>IFERROR(IF(INDEX(Fall!$1:$1048576,MATCH($A136,Fall!$A:$A,FALSE),MATCH(K$1,Fall!$1:$1,FALSE))="","",INDEX(Fall!$1:$1048576,MATCH($A136,Fall!$A:$A,FALSE),MATCH(K$1,Fall!$1:$1,FALSE))),"")</f>
        <v/>
      </c>
      <c r="L136" t="str">
        <f>IFERROR(IF(INDEX(Fall!$1:$1048576,MATCH($A136,Fall!$A:$A,FALSE),MATCH(L$1,Fall!$1:$1,FALSE))="","",INDEX(Fall!$1:$1048576,MATCH($A136,Fall!$A:$A,FALSE),MATCH(L$1,Fall!$1:$1,FALSE))),"")</f>
        <v/>
      </c>
      <c r="M136" t="str">
        <f>IFERROR(IF(INDEX(Fall!$1:$1048576,MATCH($A136,Fall!$A:$A,FALSE),MATCH(M$1,Fall!$1:$1,FALSE))="","",INDEX(Fall!$1:$1048576,MATCH($A136,Fall!$A:$A,FALSE),MATCH(M$1,Fall!$1:$1,FALSE))),"")</f>
        <v/>
      </c>
      <c r="N136" t="str">
        <f>IFERROR(IF(INDEX(Fall!$1:$1048576,MATCH($A136,Fall!$A:$A,FALSE),MATCH(N$1,Fall!$1:$1,FALSE))="","",INDEX(Fall!$1:$1048576,MATCH($A136,Fall!$A:$A,FALSE),MATCH(N$1,Fall!$1:$1,FALSE))),"")</f>
        <v/>
      </c>
      <c r="O136" t="str">
        <f>IFERROR(IF(INDEX(Fall!$1:$1048576,MATCH($A136,Fall!$A:$A,FALSE),MATCH(O$1,Fall!$1:$1,FALSE))="","",INDEX(Fall!$1:$1048576,MATCH($A136,Fall!$A:$A,FALSE),MATCH(O$1,Fall!$1:$1,FALSE))),"")</f>
        <v/>
      </c>
      <c r="P136" t="str">
        <f>IFERROR(IF(INDEX(Fall!$1:$1048576,MATCH($A136,Fall!$A:$A,FALSE),MATCH(P$1,Fall!$1:$1,FALSE))="","",INDEX(Fall!$1:$1048576,MATCH($A136,Fall!$A:$A,FALSE),MATCH(P$1,Fall!$1:$1,FALSE))),"")</f>
        <v>1A</v>
      </c>
      <c r="R136" t="str">
        <f>IFERROR(IF(INDEX(Winter!$1:$1048576,MATCH($A136,Winter!$A:$A,FALSE),MATCH(R$1,Winter!$1:$1,FALSE))="","",INDEX(Winter!$1:$1048576,MATCH($A136,Winter!$A:$A,FALSE),MATCH(R$1,Winter!$1:$1,FALSE))),"")</f>
        <v>1A</v>
      </c>
      <c r="S136" t="str">
        <f>IFERROR(IF(INDEX(Winter!$1:$1048576,MATCH($A136,Winter!$A:$A,FALSE),MATCH(S$1,Winter!$1:$1,FALSE))="","",INDEX(Winter!$1:$1048576,MATCH($A136,Winter!$A:$A,FALSE),MATCH(S$1,Winter!$1:$1,FALSE))),"")</f>
        <v/>
      </c>
      <c r="T136" t="str">
        <f>IFERROR(IF(INDEX(Winter!$1:$1048576,MATCH($A136,Winter!$A:$A,FALSE),MATCH(T$1,Winter!$1:$1,FALSE))="","",INDEX(Winter!$1:$1048576,MATCH($A136,Winter!$A:$A,FALSE),MATCH(T$1,Winter!$1:$1,FALSE))),"")</f>
        <v/>
      </c>
      <c r="U136" t="str">
        <f>IFERROR(IF(INDEX(Winter!$1:$1048576,MATCH($A136,Winter!$A:$A,FALSE),MATCH(U$1,Winter!$1:$1,FALSE))="","",INDEX(Winter!$1:$1048576,MATCH($A136,Winter!$A:$A,FALSE),MATCH(U$1,Winter!$1:$1,FALSE))),"")</f>
        <v/>
      </c>
      <c r="V136" t="str">
        <f>IFERROR(IF(INDEX(Winter!$1:$1048576,MATCH($A136,Winter!$A:$A,FALSE),MATCH(V$1,Winter!$1:$1,FALSE))="","",INDEX(Winter!$1:$1048576,MATCH($A136,Winter!$A:$A,FALSE),MATCH(V$1,Winter!$1:$1,FALSE))),"")</f>
        <v/>
      </c>
      <c r="W136" t="str">
        <f>IFERROR(IF(INDEX(Winter!$1:$1048576,MATCH($A136,Winter!$A:$A,FALSE),MATCH(W$1,Winter!$1:$1,FALSE))="","",INDEX(Winter!$1:$1048576,MATCH($A136,Winter!$A:$A,FALSE),MATCH(W$1,Winter!$1:$1,FALSE))),"")</f>
        <v/>
      </c>
      <c r="Y136" t="str">
        <f>IFERROR(IF(INDEX(Spring!$1:$1048576,MATCH($A136,Spring!$A:$A,FALSE),MATCH(Y$1,Spring!$1:$1,FALSE))="","",INDEX(Spring!$1:$1048576,MATCH($A136,Spring!$A:$A,FALSE),MATCH(Y$1,Spring!$1:$1,FALSE))),"")</f>
        <v/>
      </c>
      <c r="Z136" t="str">
        <f>IFERROR(IF(INDEX(Spring!$1:$1048576,MATCH($A136,Spring!$A:$A,FALSE),MATCH(Z$1,Spring!$1:$1,FALSE))="","",INDEX(Spring!$1:$1048576,MATCH($A136,Spring!$A:$A,FALSE),MATCH(Z$1,Spring!$1:$1,FALSE))),"")</f>
        <v/>
      </c>
      <c r="AA136" t="str">
        <f>IFERROR(IF(INDEX(Spring!$1:$1048576,MATCH($A136,Spring!$A:$A,FALSE),MATCH(AA$1,Spring!$1:$1,FALSE))="","",INDEX(Spring!$1:$1048576,MATCH($A136,Spring!$A:$A,FALSE),MATCH(AA$1,Spring!$1:$1,FALSE))),"")</f>
        <v/>
      </c>
      <c r="AB136" t="str">
        <f>IFERROR(IF(INDEX(Spring!$1:$1048576,MATCH($A136,Spring!$A:$A,FALSE),MATCH(AB$1,Spring!$1:$1,FALSE))="","",INDEX(Spring!$1:$1048576,MATCH($A136,Spring!$A:$A,FALSE),MATCH(AB$1,Spring!$1:$1,FALSE))),"")</f>
        <v/>
      </c>
      <c r="AC136" t="str">
        <f>IFERROR(IF(INDEX(Spring!$1:$1048576,MATCH($A136,Spring!$A:$A,FALSE),MATCH(AC$1,Spring!$1:$1,FALSE))="","",INDEX(Spring!$1:$1048576,MATCH($A136,Spring!$A:$A,FALSE),MATCH(AC$1,Spring!$1:$1,FALSE))),"")</f>
        <v/>
      </c>
      <c r="AD136" t="str">
        <f>IFERROR(IF(INDEX(Spring!$1:$1048576,MATCH($A136,Spring!$A:$A,FALSE),MATCH(AD$1,Spring!$1:$1,FALSE))="","",INDEX(Spring!$1:$1048576,MATCH($A136,Spring!$A:$A,FALSE),MATCH(AD$1,Spring!$1:$1,FALSE))),"")</f>
        <v/>
      </c>
    </row>
    <row r="137" spans="1:30" ht="23.25" thickBot="1" x14ac:dyDescent="0.3">
      <c r="A137" s="48" t="s">
        <v>167</v>
      </c>
      <c r="B137" s="49" t="s">
        <v>168</v>
      </c>
      <c r="C137" s="49" t="s">
        <v>1000</v>
      </c>
      <c r="D137" s="50"/>
      <c r="E137" s="50"/>
      <c r="F137" s="45"/>
      <c r="G137" s="45"/>
      <c r="H137" s="44"/>
      <c r="J137" t="str">
        <f>IFERROR(IF(INDEX(Fall!$1:$1048576,MATCH($A137,Fall!$A:$A,FALSE),MATCH(J$1,Fall!$1:$1,FALSE))="","",INDEX(Fall!$1:$1048576,MATCH($A137,Fall!$A:$A,FALSE),MATCH(J$1,Fall!$1:$1,FALSE))),"")</f>
        <v/>
      </c>
      <c r="K137" t="str">
        <f>IFERROR(IF(INDEX(Fall!$1:$1048576,MATCH($A137,Fall!$A:$A,FALSE),MATCH(K$1,Fall!$1:$1,FALSE))="","",INDEX(Fall!$1:$1048576,MATCH($A137,Fall!$A:$A,FALSE),MATCH(K$1,Fall!$1:$1,FALSE))),"")</f>
        <v/>
      </c>
      <c r="L137" t="str">
        <f>IFERROR(IF(INDEX(Fall!$1:$1048576,MATCH($A137,Fall!$A:$A,FALSE),MATCH(L$1,Fall!$1:$1,FALSE))="","",INDEX(Fall!$1:$1048576,MATCH($A137,Fall!$A:$A,FALSE),MATCH(L$1,Fall!$1:$1,FALSE))),"")</f>
        <v/>
      </c>
      <c r="M137" t="str">
        <f>IFERROR(IF(INDEX(Fall!$1:$1048576,MATCH($A137,Fall!$A:$A,FALSE),MATCH(M$1,Fall!$1:$1,FALSE))="","",INDEX(Fall!$1:$1048576,MATCH($A137,Fall!$A:$A,FALSE),MATCH(M$1,Fall!$1:$1,FALSE))),"")</f>
        <v/>
      </c>
      <c r="N137" t="str">
        <f>IFERROR(IF(INDEX(Fall!$1:$1048576,MATCH($A137,Fall!$A:$A,FALSE),MATCH(N$1,Fall!$1:$1,FALSE))="","",INDEX(Fall!$1:$1048576,MATCH($A137,Fall!$A:$A,FALSE),MATCH(N$1,Fall!$1:$1,FALSE))),"")</f>
        <v/>
      </c>
      <c r="O137" t="str">
        <f>IFERROR(IF(INDEX(Fall!$1:$1048576,MATCH($A137,Fall!$A:$A,FALSE),MATCH(O$1,Fall!$1:$1,FALSE))="","",INDEX(Fall!$1:$1048576,MATCH($A137,Fall!$A:$A,FALSE),MATCH(O$1,Fall!$1:$1,FALSE))),"")</f>
        <v/>
      </c>
      <c r="P137" t="str">
        <f>IFERROR(IF(INDEX(Fall!$1:$1048576,MATCH($A137,Fall!$A:$A,FALSE),MATCH(P$1,Fall!$1:$1,FALSE))="","",INDEX(Fall!$1:$1048576,MATCH($A137,Fall!$A:$A,FALSE),MATCH(P$1,Fall!$1:$1,FALSE))),"")</f>
        <v>3A</v>
      </c>
      <c r="R137" t="str">
        <f>IFERROR(IF(INDEX(Winter!$1:$1048576,MATCH($A137,Winter!$A:$A,FALSE),MATCH(R$1,Winter!$1:$1,FALSE))="","",INDEX(Winter!$1:$1048576,MATCH($A137,Winter!$A:$A,FALSE),MATCH(R$1,Winter!$1:$1,FALSE))),"")</f>
        <v>3A</v>
      </c>
      <c r="S137" t="str">
        <f>IFERROR(IF(INDEX(Winter!$1:$1048576,MATCH($A137,Winter!$A:$A,FALSE),MATCH(S$1,Winter!$1:$1,FALSE))="","",INDEX(Winter!$1:$1048576,MATCH($A137,Winter!$A:$A,FALSE),MATCH(S$1,Winter!$1:$1,FALSE))),"")</f>
        <v>3A</v>
      </c>
      <c r="T137" t="str">
        <f>IFERROR(IF(INDEX(Winter!$1:$1048576,MATCH($A137,Winter!$A:$A,FALSE),MATCH(T$1,Winter!$1:$1,FALSE))="","",INDEX(Winter!$1:$1048576,MATCH($A137,Winter!$A:$A,FALSE),MATCH(T$1,Winter!$1:$1,FALSE))),"")</f>
        <v/>
      </c>
      <c r="U137" t="str">
        <f>IFERROR(IF(INDEX(Winter!$1:$1048576,MATCH($A137,Winter!$A:$A,FALSE),MATCH(U$1,Winter!$1:$1,FALSE))="","",INDEX(Winter!$1:$1048576,MATCH($A137,Winter!$A:$A,FALSE),MATCH(U$1,Winter!$1:$1,FALSE))),"")</f>
        <v/>
      </c>
      <c r="V137" t="str">
        <f>IFERROR(IF(INDEX(Winter!$1:$1048576,MATCH($A137,Winter!$A:$A,FALSE),MATCH(V$1,Winter!$1:$1,FALSE))="","",INDEX(Winter!$1:$1048576,MATCH($A137,Winter!$A:$A,FALSE),MATCH(V$1,Winter!$1:$1,FALSE))),"")</f>
        <v/>
      </c>
      <c r="W137" t="str">
        <f>IFERROR(IF(INDEX(Winter!$1:$1048576,MATCH($A137,Winter!$A:$A,FALSE),MATCH(W$1,Winter!$1:$1,FALSE))="","",INDEX(Winter!$1:$1048576,MATCH($A137,Winter!$A:$A,FALSE),MATCH(W$1,Winter!$1:$1,FALSE))),"")</f>
        <v/>
      </c>
      <c r="Y137" t="str">
        <f>IFERROR(IF(INDEX(Spring!$1:$1048576,MATCH($A137,Spring!$A:$A,FALSE),MATCH(Y$1,Spring!$1:$1,FALSE))="","",INDEX(Spring!$1:$1048576,MATCH($A137,Spring!$A:$A,FALSE),MATCH(Y$1,Spring!$1:$1,FALSE))),"")</f>
        <v/>
      </c>
      <c r="Z137" t="str">
        <f>IFERROR(IF(INDEX(Spring!$1:$1048576,MATCH($A137,Spring!$A:$A,FALSE),MATCH(Z$1,Spring!$1:$1,FALSE))="","",INDEX(Spring!$1:$1048576,MATCH($A137,Spring!$A:$A,FALSE),MATCH(Z$1,Spring!$1:$1,FALSE))),"")</f>
        <v/>
      </c>
      <c r="AA137" t="str">
        <f>IFERROR(IF(INDEX(Spring!$1:$1048576,MATCH($A137,Spring!$A:$A,FALSE),MATCH(AA$1,Spring!$1:$1,FALSE))="","",INDEX(Spring!$1:$1048576,MATCH($A137,Spring!$A:$A,FALSE),MATCH(AA$1,Spring!$1:$1,FALSE))),"")</f>
        <v/>
      </c>
      <c r="AB137" t="str">
        <f>IFERROR(IF(INDEX(Spring!$1:$1048576,MATCH($A137,Spring!$A:$A,FALSE),MATCH(AB$1,Spring!$1:$1,FALSE))="","",INDEX(Spring!$1:$1048576,MATCH($A137,Spring!$A:$A,FALSE),MATCH(AB$1,Spring!$1:$1,FALSE))),"")</f>
        <v/>
      </c>
      <c r="AC137" t="str">
        <f>IFERROR(IF(INDEX(Spring!$1:$1048576,MATCH($A137,Spring!$A:$A,FALSE),MATCH(AC$1,Spring!$1:$1,FALSE))="","",INDEX(Spring!$1:$1048576,MATCH($A137,Spring!$A:$A,FALSE),MATCH(AC$1,Spring!$1:$1,FALSE))),"")</f>
        <v>2A</v>
      </c>
      <c r="AD137" t="str">
        <f>IFERROR(IF(INDEX(Spring!$1:$1048576,MATCH($A137,Spring!$A:$A,FALSE),MATCH(AD$1,Spring!$1:$1,FALSE))="","",INDEX(Spring!$1:$1048576,MATCH($A137,Spring!$A:$A,FALSE),MATCH(AD$1,Spring!$1:$1,FALSE))),"")</f>
        <v>2A</v>
      </c>
    </row>
    <row r="138" spans="1:30" ht="23.25" thickBot="1" x14ac:dyDescent="0.3">
      <c r="A138" s="48" t="s">
        <v>169</v>
      </c>
      <c r="B138" s="49" t="s">
        <v>1018</v>
      </c>
      <c r="C138" s="49" t="s">
        <v>1000</v>
      </c>
      <c r="D138" s="50"/>
      <c r="E138" s="50"/>
      <c r="F138" s="45"/>
      <c r="G138" s="45"/>
      <c r="H138" s="44"/>
      <c r="J138" t="str">
        <f>IFERROR(IF(INDEX(Fall!$1:$1048576,MATCH($A138,Fall!$A:$A,FALSE),MATCH(J$1,Fall!$1:$1,FALSE))="","",INDEX(Fall!$1:$1048576,MATCH($A138,Fall!$A:$A,FALSE),MATCH(J$1,Fall!$1:$1,FALSE))),"")</f>
        <v/>
      </c>
      <c r="K138" t="str">
        <f>IFERROR(IF(INDEX(Fall!$1:$1048576,MATCH($A138,Fall!$A:$A,FALSE),MATCH(K$1,Fall!$1:$1,FALSE))="","",INDEX(Fall!$1:$1048576,MATCH($A138,Fall!$A:$A,FALSE),MATCH(K$1,Fall!$1:$1,FALSE))),"")</f>
        <v/>
      </c>
      <c r="L138" t="str">
        <f>IFERROR(IF(INDEX(Fall!$1:$1048576,MATCH($A138,Fall!$A:$A,FALSE),MATCH(L$1,Fall!$1:$1,FALSE))="","",INDEX(Fall!$1:$1048576,MATCH($A138,Fall!$A:$A,FALSE),MATCH(L$1,Fall!$1:$1,FALSE))),"")</f>
        <v/>
      </c>
      <c r="M138" t="str">
        <f>IFERROR(IF(INDEX(Fall!$1:$1048576,MATCH($A138,Fall!$A:$A,FALSE),MATCH(M$1,Fall!$1:$1,FALSE))="","",INDEX(Fall!$1:$1048576,MATCH($A138,Fall!$A:$A,FALSE),MATCH(M$1,Fall!$1:$1,FALSE))),"")</f>
        <v/>
      </c>
      <c r="N138" t="str">
        <f>IFERROR(IF(INDEX(Fall!$1:$1048576,MATCH($A138,Fall!$A:$A,FALSE),MATCH(N$1,Fall!$1:$1,FALSE))="","",INDEX(Fall!$1:$1048576,MATCH($A138,Fall!$A:$A,FALSE),MATCH(N$1,Fall!$1:$1,FALSE))),"")</f>
        <v>2A</v>
      </c>
      <c r="O138" t="str">
        <f>IFERROR(IF(INDEX(Fall!$1:$1048576,MATCH($A138,Fall!$A:$A,FALSE),MATCH(O$1,Fall!$1:$1,FALSE))="","",INDEX(Fall!$1:$1048576,MATCH($A138,Fall!$A:$A,FALSE),MATCH(O$1,Fall!$1:$1,FALSE))),"")</f>
        <v/>
      </c>
      <c r="P138" t="str">
        <f>IFERROR(IF(INDEX(Fall!$1:$1048576,MATCH($A138,Fall!$A:$A,FALSE),MATCH(P$1,Fall!$1:$1,FALSE))="","",INDEX(Fall!$1:$1048576,MATCH($A138,Fall!$A:$A,FALSE),MATCH(P$1,Fall!$1:$1,FALSE))),"")</f>
        <v>3A</v>
      </c>
      <c r="R138" t="str">
        <f>IFERROR(IF(INDEX(Winter!$1:$1048576,MATCH($A138,Winter!$A:$A,FALSE),MATCH(R$1,Winter!$1:$1,FALSE))="","",INDEX(Winter!$1:$1048576,MATCH($A138,Winter!$A:$A,FALSE),MATCH(R$1,Winter!$1:$1,FALSE))),"")</f>
        <v>3A</v>
      </c>
      <c r="S138" t="str">
        <f>IFERROR(IF(INDEX(Winter!$1:$1048576,MATCH($A138,Winter!$A:$A,FALSE),MATCH(S$1,Winter!$1:$1,FALSE))="","",INDEX(Winter!$1:$1048576,MATCH($A138,Winter!$A:$A,FALSE),MATCH(S$1,Winter!$1:$1,FALSE))),"")</f>
        <v>3A</v>
      </c>
      <c r="T138" t="str">
        <f>IFERROR(IF(INDEX(Winter!$1:$1048576,MATCH($A138,Winter!$A:$A,FALSE),MATCH(T$1,Winter!$1:$1,FALSE))="","",INDEX(Winter!$1:$1048576,MATCH($A138,Winter!$A:$A,FALSE),MATCH(T$1,Winter!$1:$1,FALSE))),"")</f>
        <v/>
      </c>
      <c r="U138" t="str">
        <f>IFERROR(IF(INDEX(Winter!$1:$1048576,MATCH($A138,Winter!$A:$A,FALSE),MATCH(U$1,Winter!$1:$1,FALSE))="","",INDEX(Winter!$1:$1048576,MATCH($A138,Winter!$A:$A,FALSE),MATCH(U$1,Winter!$1:$1,FALSE))),"")</f>
        <v/>
      </c>
      <c r="V138" t="str">
        <f>IFERROR(IF(INDEX(Winter!$1:$1048576,MATCH($A138,Winter!$A:$A,FALSE),MATCH(V$1,Winter!$1:$1,FALSE))="","",INDEX(Winter!$1:$1048576,MATCH($A138,Winter!$A:$A,FALSE),MATCH(V$1,Winter!$1:$1,FALSE))),"")</f>
        <v/>
      </c>
      <c r="W138" t="str">
        <f>IFERROR(IF(INDEX(Winter!$1:$1048576,MATCH($A138,Winter!$A:$A,FALSE),MATCH(W$1,Winter!$1:$1,FALSE))="","",INDEX(Winter!$1:$1048576,MATCH($A138,Winter!$A:$A,FALSE),MATCH(W$1,Winter!$1:$1,FALSE))),"")</f>
        <v/>
      </c>
      <c r="Y138" t="str">
        <f>IFERROR(IF(INDEX(Spring!$1:$1048576,MATCH($A138,Spring!$A:$A,FALSE),MATCH(Y$1,Spring!$1:$1,FALSE))="","",INDEX(Spring!$1:$1048576,MATCH($A138,Spring!$A:$A,FALSE),MATCH(Y$1,Spring!$1:$1,FALSE))),"")</f>
        <v>3A</v>
      </c>
      <c r="Z138" t="str">
        <f>IFERROR(IF(INDEX(Spring!$1:$1048576,MATCH($A138,Spring!$A:$A,FALSE),MATCH(Z$1,Spring!$1:$1,FALSE))="","",INDEX(Spring!$1:$1048576,MATCH($A138,Spring!$A:$A,FALSE),MATCH(Z$1,Spring!$1:$1,FALSE))),"")</f>
        <v>3A</v>
      </c>
      <c r="AA138" t="str">
        <f>IFERROR(IF(INDEX(Spring!$1:$1048576,MATCH($A138,Spring!$A:$A,FALSE),MATCH(AA$1,Spring!$1:$1,FALSE))="","",INDEX(Spring!$1:$1048576,MATCH($A138,Spring!$A:$A,FALSE),MATCH(AA$1,Spring!$1:$1,FALSE))),"")</f>
        <v>2A</v>
      </c>
      <c r="AB138" t="str">
        <f>IFERROR(IF(INDEX(Spring!$1:$1048576,MATCH($A138,Spring!$A:$A,FALSE),MATCH(AB$1,Spring!$1:$1,FALSE))="","",INDEX(Spring!$1:$1048576,MATCH($A138,Spring!$A:$A,FALSE),MATCH(AB$1,Spring!$1:$1,FALSE))),"")</f>
        <v/>
      </c>
      <c r="AC138" t="str">
        <f>IFERROR(IF(INDEX(Spring!$1:$1048576,MATCH($A138,Spring!$A:$A,FALSE),MATCH(AC$1,Spring!$1:$1,FALSE))="","",INDEX(Spring!$1:$1048576,MATCH($A138,Spring!$A:$A,FALSE),MATCH(AC$1,Spring!$1:$1,FALSE))),"")</f>
        <v>3A</v>
      </c>
      <c r="AD138" t="str">
        <f>IFERROR(IF(INDEX(Spring!$1:$1048576,MATCH($A138,Spring!$A:$A,FALSE),MATCH(AD$1,Spring!$1:$1,FALSE))="","",INDEX(Spring!$1:$1048576,MATCH($A138,Spring!$A:$A,FALSE),MATCH(AD$1,Spring!$1:$1,FALSE))),"")</f>
        <v>3A</v>
      </c>
    </row>
    <row r="139" spans="1:30" ht="23.25" thickBot="1" x14ac:dyDescent="0.3">
      <c r="A139" s="48" t="s">
        <v>170</v>
      </c>
      <c r="B139" s="49" t="s">
        <v>1019</v>
      </c>
      <c r="C139" s="49" t="s">
        <v>1000</v>
      </c>
      <c r="D139" s="50"/>
      <c r="E139" s="50"/>
      <c r="F139" s="45"/>
      <c r="G139" s="45"/>
      <c r="H139" s="44"/>
      <c r="J139" t="str">
        <f>IFERROR(IF(INDEX(Fall!$1:$1048576,MATCH($A139,Fall!$A:$A,FALSE),MATCH(J$1,Fall!$1:$1,FALSE))="","",INDEX(Fall!$1:$1048576,MATCH($A139,Fall!$A:$A,FALSE),MATCH(J$1,Fall!$1:$1,FALSE))),"")</f>
        <v/>
      </c>
      <c r="K139" t="str">
        <f>IFERROR(IF(INDEX(Fall!$1:$1048576,MATCH($A139,Fall!$A:$A,FALSE),MATCH(K$1,Fall!$1:$1,FALSE))="","",INDEX(Fall!$1:$1048576,MATCH($A139,Fall!$A:$A,FALSE),MATCH(K$1,Fall!$1:$1,FALSE))),"")</f>
        <v/>
      </c>
      <c r="L139" t="str">
        <f>IFERROR(IF(INDEX(Fall!$1:$1048576,MATCH($A139,Fall!$A:$A,FALSE),MATCH(L$1,Fall!$1:$1,FALSE))="","",INDEX(Fall!$1:$1048576,MATCH($A139,Fall!$A:$A,FALSE),MATCH(L$1,Fall!$1:$1,FALSE))),"")</f>
        <v/>
      </c>
      <c r="M139" t="str">
        <f>IFERROR(IF(INDEX(Fall!$1:$1048576,MATCH($A139,Fall!$A:$A,FALSE),MATCH(M$1,Fall!$1:$1,FALSE))="","",INDEX(Fall!$1:$1048576,MATCH($A139,Fall!$A:$A,FALSE),MATCH(M$1,Fall!$1:$1,FALSE))),"")</f>
        <v/>
      </c>
      <c r="N139" t="str">
        <f>IFERROR(IF(INDEX(Fall!$1:$1048576,MATCH($A139,Fall!$A:$A,FALSE),MATCH(N$1,Fall!$1:$1,FALSE))="","",INDEX(Fall!$1:$1048576,MATCH($A139,Fall!$A:$A,FALSE),MATCH(N$1,Fall!$1:$1,FALSE))),"")</f>
        <v/>
      </c>
      <c r="O139" t="str">
        <f>IFERROR(IF(INDEX(Fall!$1:$1048576,MATCH($A139,Fall!$A:$A,FALSE),MATCH(O$1,Fall!$1:$1,FALSE))="","",INDEX(Fall!$1:$1048576,MATCH($A139,Fall!$A:$A,FALSE),MATCH(O$1,Fall!$1:$1,FALSE))),"")</f>
        <v/>
      </c>
      <c r="P139" t="str">
        <f>IFERROR(IF(INDEX(Fall!$1:$1048576,MATCH($A139,Fall!$A:$A,FALSE),MATCH(P$1,Fall!$1:$1,FALSE))="","",INDEX(Fall!$1:$1048576,MATCH($A139,Fall!$A:$A,FALSE),MATCH(P$1,Fall!$1:$1,FALSE))),"")</f>
        <v/>
      </c>
      <c r="R139" t="str">
        <f>IFERROR(IF(INDEX(Winter!$1:$1048576,MATCH($A139,Winter!$A:$A,FALSE),MATCH(R$1,Winter!$1:$1,FALSE))="","",INDEX(Winter!$1:$1048576,MATCH($A139,Winter!$A:$A,FALSE),MATCH(R$1,Winter!$1:$1,FALSE))),"")</f>
        <v>2A</v>
      </c>
      <c r="S139" t="str">
        <f>IFERROR(IF(INDEX(Winter!$1:$1048576,MATCH($A139,Winter!$A:$A,FALSE),MATCH(S$1,Winter!$1:$1,FALSE))="","",INDEX(Winter!$1:$1048576,MATCH($A139,Winter!$A:$A,FALSE),MATCH(S$1,Winter!$1:$1,FALSE))),"")</f>
        <v>2A</v>
      </c>
      <c r="T139" t="str">
        <f>IFERROR(IF(INDEX(Winter!$1:$1048576,MATCH($A139,Winter!$A:$A,FALSE),MATCH(T$1,Winter!$1:$1,FALSE))="","",INDEX(Winter!$1:$1048576,MATCH($A139,Winter!$A:$A,FALSE),MATCH(T$1,Winter!$1:$1,FALSE))),"")</f>
        <v/>
      </c>
      <c r="U139" t="str">
        <f>IFERROR(IF(INDEX(Winter!$1:$1048576,MATCH($A139,Winter!$A:$A,FALSE),MATCH(U$1,Winter!$1:$1,FALSE))="","",INDEX(Winter!$1:$1048576,MATCH($A139,Winter!$A:$A,FALSE),MATCH(U$1,Winter!$1:$1,FALSE))),"")</f>
        <v/>
      </c>
      <c r="V139" t="str">
        <f>IFERROR(IF(INDEX(Winter!$1:$1048576,MATCH($A139,Winter!$A:$A,FALSE),MATCH(V$1,Winter!$1:$1,FALSE))="","",INDEX(Winter!$1:$1048576,MATCH($A139,Winter!$A:$A,FALSE),MATCH(V$1,Winter!$1:$1,FALSE))),"")</f>
        <v/>
      </c>
      <c r="W139" t="str">
        <f>IFERROR(IF(INDEX(Winter!$1:$1048576,MATCH($A139,Winter!$A:$A,FALSE),MATCH(W$1,Winter!$1:$1,FALSE))="","",INDEX(Winter!$1:$1048576,MATCH($A139,Winter!$A:$A,FALSE),MATCH(W$1,Winter!$1:$1,FALSE))),"")</f>
        <v>1A</v>
      </c>
      <c r="Y139" t="str">
        <f>IFERROR(IF(INDEX(Spring!$1:$1048576,MATCH($A139,Spring!$A:$A,FALSE),MATCH(Y$1,Spring!$1:$1,FALSE))="","",INDEX(Spring!$1:$1048576,MATCH($A139,Spring!$A:$A,FALSE),MATCH(Y$1,Spring!$1:$1,FALSE))),"")</f>
        <v>3A</v>
      </c>
      <c r="Z139" t="str">
        <f>IFERROR(IF(INDEX(Spring!$1:$1048576,MATCH($A139,Spring!$A:$A,FALSE),MATCH(Z$1,Spring!$1:$1,FALSE))="","",INDEX(Spring!$1:$1048576,MATCH($A139,Spring!$A:$A,FALSE),MATCH(Z$1,Spring!$1:$1,FALSE))),"")</f>
        <v/>
      </c>
      <c r="AA139" t="str">
        <f>IFERROR(IF(INDEX(Spring!$1:$1048576,MATCH($A139,Spring!$A:$A,FALSE),MATCH(AA$1,Spring!$1:$1,FALSE))="","",INDEX(Spring!$1:$1048576,MATCH($A139,Spring!$A:$A,FALSE),MATCH(AA$1,Spring!$1:$1,FALSE))),"")</f>
        <v/>
      </c>
      <c r="AB139" t="str">
        <f>IFERROR(IF(INDEX(Spring!$1:$1048576,MATCH($A139,Spring!$A:$A,FALSE),MATCH(AB$1,Spring!$1:$1,FALSE))="","",INDEX(Spring!$1:$1048576,MATCH($A139,Spring!$A:$A,FALSE),MATCH(AB$1,Spring!$1:$1,FALSE))),"")</f>
        <v/>
      </c>
      <c r="AC139" t="str">
        <f>IFERROR(IF(INDEX(Spring!$1:$1048576,MATCH($A139,Spring!$A:$A,FALSE),MATCH(AC$1,Spring!$1:$1,FALSE))="","",INDEX(Spring!$1:$1048576,MATCH($A139,Spring!$A:$A,FALSE),MATCH(AC$1,Spring!$1:$1,FALSE))),"")</f>
        <v>2A</v>
      </c>
      <c r="AD139" t="str">
        <f>IFERROR(IF(INDEX(Spring!$1:$1048576,MATCH($A139,Spring!$A:$A,FALSE),MATCH(AD$1,Spring!$1:$1,FALSE))="","",INDEX(Spring!$1:$1048576,MATCH($A139,Spring!$A:$A,FALSE),MATCH(AD$1,Spring!$1:$1,FALSE))),"")</f>
        <v>2A</v>
      </c>
    </row>
    <row r="140" spans="1:30" ht="15.75" thickBot="1" x14ac:dyDescent="0.3">
      <c r="A140" s="48" t="s">
        <v>172</v>
      </c>
      <c r="B140" s="49">
        <v>608</v>
      </c>
      <c r="C140" s="50"/>
      <c r="D140" s="50"/>
      <c r="E140" s="50"/>
      <c r="F140" s="45"/>
      <c r="G140" s="45"/>
      <c r="H140" s="44"/>
      <c r="J140" t="str">
        <f>IFERROR(IF(INDEX(Fall!$1:$1048576,MATCH($A140,Fall!$A:$A,FALSE),MATCH(J$1,Fall!$1:$1,FALSE))="","",INDEX(Fall!$1:$1048576,MATCH($A140,Fall!$A:$A,FALSE),MATCH(J$1,Fall!$1:$1,FALSE))),"")</f>
        <v/>
      </c>
      <c r="K140" t="str">
        <f>IFERROR(IF(INDEX(Fall!$1:$1048576,MATCH($A140,Fall!$A:$A,FALSE),MATCH(K$1,Fall!$1:$1,FALSE))="","",INDEX(Fall!$1:$1048576,MATCH($A140,Fall!$A:$A,FALSE),MATCH(K$1,Fall!$1:$1,FALSE))),"")</f>
        <v/>
      </c>
      <c r="L140" t="str">
        <f>IFERROR(IF(INDEX(Fall!$1:$1048576,MATCH($A140,Fall!$A:$A,FALSE),MATCH(L$1,Fall!$1:$1,FALSE))="","",INDEX(Fall!$1:$1048576,MATCH($A140,Fall!$A:$A,FALSE),MATCH(L$1,Fall!$1:$1,FALSE))),"")</f>
        <v/>
      </c>
      <c r="M140" t="str">
        <f>IFERROR(IF(INDEX(Fall!$1:$1048576,MATCH($A140,Fall!$A:$A,FALSE),MATCH(M$1,Fall!$1:$1,FALSE))="","",INDEX(Fall!$1:$1048576,MATCH($A140,Fall!$A:$A,FALSE),MATCH(M$1,Fall!$1:$1,FALSE))),"")</f>
        <v/>
      </c>
      <c r="N140" t="str">
        <f>IFERROR(IF(INDEX(Fall!$1:$1048576,MATCH($A140,Fall!$A:$A,FALSE),MATCH(N$1,Fall!$1:$1,FALSE))="","",INDEX(Fall!$1:$1048576,MATCH($A140,Fall!$A:$A,FALSE),MATCH(N$1,Fall!$1:$1,FALSE))),"")</f>
        <v>1A</v>
      </c>
      <c r="O140" t="str">
        <f>IFERROR(IF(INDEX(Fall!$1:$1048576,MATCH($A140,Fall!$A:$A,FALSE),MATCH(O$1,Fall!$1:$1,FALSE))="","",INDEX(Fall!$1:$1048576,MATCH($A140,Fall!$A:$A,FALSE),MATCH(O$1,Fall!$1:$1,FALSE))),"")</f>
        <v/>
      </c>
      <c r="P140" t="str">
        <f>IFERROR(IF(INDEX(Fall!$1:$1048576,MATCH($A140,Fall!$A:$A,FALSE),MATCH(P$1,Fall!$1:$1,FALSE))="","",INDEX(Fall!$1:$1048576,MATCH($A140,Fall!$A:$A,FALSE),MATCH(P$1,Fall!$1:$1,FALSE))),"")</f>
        <v>2A</v>
      </c>
      <c r="R140" t="str">
        <f>IFERROR(IF(INDEX(Winter!$1:$1048576,MATCH($A140,Winter!$A:$A,FALSE),MATCH(R$1,Winter!$1:$1,FALSE))="","",INDEX(Winter!$1:$1048576,MATCH($A140,Winter!$A:$A,FALSE),MATCH(R$1,Winter!$1:$1,FALSE))),"")</f>
        <v>2A</v>
      </c>
      <c r="S140" t="str">
        <f>IFERROR(IF(INDEX(Winter!$1:$1048576,MATCH($A140,Winter!$A:$A,FALSE),MATCH(S$1,Winter!$1:$1,FALSE))="","",INDEX(Winter!$1:$1048576,MATCH($A140,Winter!$A:$A,FALSE),MATCH(S$1,Winter!$1:$1,FALSE))),"")</f>
        <v/>
      </c>
      <c r="T140" t="str">
        <f>IFERROR(IF(INDEX(Winter!$1:$1048576,MATCH($A140,Winter!$A:$A,FALSE),MATCH(T$1,Winter!$1:$1,FALSE))="","",INDEX(Winter!$1:$1048576,MATCH($A140,Winter!$A:$A,FALSE),MATCH(T$1,Winter!$1:$1,FALSE))),"")</f>
        <v/>
      </c>
      <c r="U140" t="str">
        <f>IFERROR(IF(INDEX(Winter!$1:$1048576,MATCH($A140,Winter!$A:$A,FALSE),MATCH(U$1,Winter!$1:$1,FALSE))="","",INDEX(Winter!$1:$1048576,MATCH($A140,Winter!$A:$A,FALSE),MATCH(U$1,Winter!$1:$1,FALSE))),"")</f>
        <v/>
      </c>
      <c r="V140" t="str">
        <f>IFERROR(IF(INDEX(Winter!$1:$1048576,MATCH($A140,Winter!$A:$A,FALSE),MATCH(V$1,Winter!$1:$1,FALSE))="","",INDEX(Winter!$1:$1048576,MATCH($A140,Winter!$A:$A,FALSE),MATCH(V$1,Winter!$1:$1,FALSE))),"")</f>
        <v/>
      </c>
      <c r="W140" t="str">
        <f>IFERROR(IF(INDEX(Winter!$1:$1048576,MATCH($A140,Winter!$A:$A,FALSE),MATCH(W$1,Winter!$1:$1,FALSE))="","",INDEX(Winter!$1:$1048576,MATCH($A140,Winter!$A:$A,FALSE),MATCH(W$1,Winter!$1:$1,FALSE))),"")</f>
        <v>1A</v>
      </c>
      <c r="Y140" t="str">
        <f>IFERROR(IF(INDEX(Spring!$1:$1048576,MATCH($A140,Spring!$A:$A,FALSE),MATCH(Y$1,Spring!$1:$1,FALSE))="","",INDEX(Spring!$1:$1048576,MATCH($A140,Spring!$A:$A,FALSE),MATCH(Y$1,Spring!$1:$1,FALSE))),"")</f>
        <v>2A</v>
      </c>
      <c r="Z140" t="str">
        <f>IFERROR(IF(INDEX(Spring!$1:$1048576,MATCH($A140,Spring!$A:$A,FALSE),MATCH(Z$1,Spring!$1:$1,FALSE))="","",INDEX(Spring!$1:$1048576,MATCH($A140,Spring!$A:$A,FALSE),MATCH(Z$1,Spring!$1:$1,FALSE))),"")</f>
        <v/>
      </c>
      <c r="AA140" t="str">
        <f>IFERROR(IF(INDEX(Spring!$1:$1048576,MATCH($A140,Spring!$A:$A,FALSE),MATCH(AA$1,Spring!$1:$1,FALSE))="","",INDEX(Spring!$1:$1048576,MATCH($A140,Spring!$A:$A,FALSE),MATCH(AA$1,Spring!$1:$1,FALSE))),"")</f>
        <v/>
      </c>
      <c r="AB140" t="str">
        <f>IFERROR(IF(INDEX(Spring!$1:$1048576,MATCH($A140,Spring!$A:$A,FALSE),MATCH(AB$1,Spring!$1:$1,FALSE))="","",INDEX(Spring!$1:$1048576,MATCH($A140,Spring!$A:$A,FALSE),MATCH(AB$1,Spring!$1:$1,FALSE))),"")</f>
        <v/>
      </c>
      <c r="AC140" t="str">
        <f>IFERROR(IF(INDEX(Spring!$1:$1048576,MATCH($A140,Spring!$A:$A,FALSE),MATCH(AC$1,Spring!$1:$1,FALSE))="","",INDEX(Spring!$1:$1048576,MATCH($A140,Spring!$A:$A,FALSE),MATCH(AC$1,Spring!$1:$1,FALSE))),"")</f>
        <v/>
      </c>
      <c r="AD140" t="str">
        <f>IFERROR(IF(INDEX(Spring!$1:$1048576,MATCH($A140,Spring!$A:$A,FALSE),MATCH(AD$1,Spring!$1:$1,FALSE))="","",INDEX(Spring!$1:$1048576,MATCH($A140,Spring!$A:$A,FALSE),MATCH(AD$1,Spring!$1:$1,FALSE))),"")</f>
        <v/>
      </c>
    </row>
    <row r="141" spans="1:30" ht="23.25" thickBot="1" x14ac:dyDescent="0.3">
      <c r="A141" s="48" t="s">
        <v>173</v>
      </c>
      <c r="B141" s="49" t="s">
        <v>1020</v>
      </c>
      <c r="C141" s="49" t="s">
        <v>1000</v>
      </c>
      <c r="D141" s="50"/>
      <c r="E141" s="50"/>
      <c r="F141" s="45"/>
      <c r="G141" s="45"/>
      <c r="H141" s="44"/>
      <c r="J141" t="str">
        <f>IFERROR(IF(INDEX(Fall!$1:$1048576,MATCH($A141,Fall!$A:$A,FALSE),MATCH(J$1,Fall!$1:$1,FALSE))="","",INDEX(Fall!$1:$1048576,MATCH($A141,Fall!$A:$A,FALSE),MATCH(J$1,Fall!$1:$1,FALSE))),"")</f>
        <v/>
      </c>
      <c r="K141" t="str">
        <f>IFERROR(IF(INDEX(Fall!$1:$1048576,MATCH($A141,Fall!$A:$A,FALSE),MATCH(K$1,Fall!$1:$1,FALSE))="","",INDEX(Fall!$1:$1048576,MATCH($A141,Fall!$A:$A,FALSE),MATCH(K$1,Fall!$1:$1,FALSE))),"")</f>
        <v/>
      </c>
      <c r="L141" t="str">
        <f>IFERROR(IF(INDEX(Fall!$1:$1048576,MATCH($A141,Fall!$A:$A,FALSE),MATCH(L$1,Fall!$1:$1,FALSE))="","",INDEX(Fall!$1:$1048576,MATCH($A141,Fall!$A:$A,FALSE),MATCH(L$1,Fall!$1:$1,FALSE))),"")</f>
        <v/>
      </c>
      <c r="M141" t="str">
        <f>IFERROR(IF(INDEX(Fall!$1:$1048576,MATCH($A141,Fall!$A:$A,FALSE),MATCH(M$1,Fall!$1:$1,FALSE))="","",INDEX(Fall!$1:$1048576,MATCH($A141,Fall!$A:$A,FALSE),MATCH(M$1,Fall!$1:$1,FALSE))),"")</f>
        <v/>
      </c>
      <c r="N141" t="str">
        <f>IFERROR(IF(INDEX(Fall!$1:$1048576,MATCH($A141,Fall!$A:$A,FALSE),MATCH(N$1,Fall!$1:$1,FALSE))="","",INDEX(Fall!$1:$1048576,MATCH($A141,Fall!$A:$A,FALSE),MATCH(N$1,Fall!$1:$1,FALSE))),"")</f>
        <v/>
      </c>
      <c r="O141" t="str">
        <f>IFERROR(IF(INDEX(Fall!$1:$1048576,MATCH($A141,Fall!$A:$A,FALSE),MATCH(O$1,Fall!$1:$1,FALSE))="","",INDEX(Fall!$1:$1048576,MATCH($A141,Fall!$A:$A,FALSE),MATCH(O$1,Fall!$1:$1,FALSE))),"")</f>
        <v/>
      </c>
      <c r="P141" t="str">
        <f>IFERROR(IF(INDEX(Fall!$1:$1048576,MATCH($A141,Fall!$A:$A,FALSE),MATCH(P$1,Fall!$1:$1,FALSE))="","",INDEX(Fall!$1:$1048576,MATCH($A141,Fall!$A:$A,FALSE),MATCH(P$1,Fall!$1:$1,FALSE))),"")</f>
        <v>1A</v>
      </c>
      <c r="R141" t="str">
        <f>IFERROR(IF(INDEX(Winter!$1:$1048576,MATCH($A141,Winter!$A:$A,FALSE),MATCH(R$1,Winter!$1:$1,FALSE))="","",INDEX(Winter!$1:$1048576,MATCH($A141,Winter!$A:$A,FALSE),MATCH(R$1,Winter!$1:$1,FALSE))),"")</f>
        <v>1A</v>
      </c>
      <c r="S141" t="str">
        <f>IFERROR(IF(INDEX(Winter!$1:$1048576,MATCH($A141,Winter!$A:$A,FALSE),MATCH(S$1,Winter!$1:$1,FALSE))="","",INDEX(Winter!$1:$1048576,MATCH($A141,Winter!$A:$A,FALSE),MATCH(S$1,Winter!$1:$1,FALSE))),"")</f>
        <v>1A</v>
      </c>
      <c r="T141" t="str">
        <f>IFERROR(IF(INDEX(Winter!$1:$1048576,MATCH($A141,Winter!$A:$A,FALSE),MATCH(T$1,Winter!$1:$1,FALSE))="","",INDEX(Winter!$1:$1048576,MATCH($A141,Winter!$A:$A,FALSE),MATCH(T$1,Winter!$1:$1,FALSE))),"")</f>
        <v/>
      </c>
      <c r="U141" t="str">
        <f>IFERROR(IF(INDEX(Winter!$1:$1048576,MATCH($A141,Winter!$A:$A,FALSE),MATCH(U$1,Winter!$1:$1,FALSE))="","",INDEX(Winter!$1:$1048576,MATCH($A141,Winter!$A:$A,FALSE),MATCH(U$1,Winter!$1:$1,FALSE))),"")</f>
        <v/>
      </c>
      <c r="V141" t="str">
        <f>IFERROR(IF(INDEX(Winter!$1:$1048576,MATCH($A141,Winter!$A:$A,FALSE),MATCH(V$1,Winter!$1:$1,FALSE))="","",INDEX(Winter!$1:$1048576,MATCH($A141,Winter!$A:$A,FALSE),MATCH(V$1,Winter!$1:$1,FALSE))),"")</f>
        <v/>
      </c>
      <c r="W141" t="str">
        <f>IFERROR(IF(INDEX(Winter!$1:$1048576,MATCH($A141,Winter!$A:$A,FALSE),MATCH(W$1,Winter!$1:$1,FALSE))="","",INDEX(Winter!$1:$1048576,MATCH($A141,Winter!$A:$A,FALSE),MATCH(W$1,Winter!$1:$1,FALSE))),"")</f>
        <v/>
      </c>
      <c r="Y141" t="str">
        <f>IFERROR(IF(INDEX(Spring!$1:$1048576,MATCH($A141,Spring!$A:$A,FALSE),MATCH(Y$1,Spring!$1:$1,FALSE))="","",INDEX(Spring!$1:$1048576,MATCH($A141,Spring!$A:$A,FALSE),MATCH(Y$1,Spring!$1:$1,FALSE))),"")</f>
        <v/>
      </c>
      <c r="Z141" t="str">
        <f>IFERROR(IF(INDEX(Spring!$1:$1048576,MATCH($A141,Spring!$A:$A,FALSE),MATCH(Z$1,Spring!$1:$1,FALSE))="","",INDEX(Spring!$1:$1048576,MATCH($A141,Spring!$A:$A,FALSE),MATCH(Z$1,Spring!$1:$1,FALSE))),"")</f>
        <v/>
      </c>
      <c r="AA141" t="str">
        <f>IFERROR(IF(INDEX(Spring!$1:$1048576,MATCH($A141,Spring!$A:$A,FALSE),MATCH(AA$1,Spring!$1:$1,FALSE))="","",INDEX(Spring!$1:$1048576,MATCH($A141,Spring!$A:$A,FALSE),MATCH(AA$1,Spring!$1:$1,FALSE))),"")</f>
        <v/>
      </c>
      <c r="AB141" t="str">
        <f>IFERROR(IF(INDEX(Spring!$1:$1048576,MATCH($A141,Spring!$A:$A,FALSE),MATCH(AB$1,Spring!$1:$1,FALSE))="","",INDEX(Spring!$1:$1048576,MATCH($A141,Spring!$A:$A,FALSE),MATCH(AB$1,Spring!$1:$1,FALSE))),"")</f>
        <v/>
      </c>
      <c r="AC141" t="str">
        <f>IFERROR(IF(INDEX(Spring!$1:$1048576,MATCH($A141,Spring!$A:$A,FALSE),MATCH(AC$1,Spring!$1:$1,FALSE))="","",INDEX(Spring!$1:$1048576,MATCH($A141,Spring!$A:$A,FALSE),MATCH(AC$1,Spring!$1:$1,FALSE))),"")</f>
        <v>1A</v>
      </c>
      <c r="AD141" t="str">
        <f>IFERROR(IF(INDEX(Spring!$1:$1048576,MATCH($A141,Spring!$A:$A,FALSE),MATCH(AD$1,Spring!$1:$1,FALSE))="","",INDEX(Spring!$1:$1048576,MATCH($A141,Spring!$A:$A,FALSE),MATCH(AD$1,Spring!$1:$1,FALSE))),"")</f>
        <v>1A</v>
      </c>
    </row>
    <row r="142" spans="1:30" ht="15.75" thickBot="1" x14ac:dyDescent="0.3">
      <c r="A142" s="48" t="s">
        <v>175</v>
      </c>
      <c r="B142" s="49">
        <v>377</v>
      </c>
      <c r="C142" s="50"/>
      <c r="D142" s="50"/>
      <c r="E142" s="50"/>
      <c r="F142" s="45"/>
      <c r="G142" s="45"/>
      <c r="H142" s="44"/>
      <c r="J142" t="str">
        <f>IFERROR(IF(INDEX(Fall!$1:$1048576,MATCH($A142,Fall!$A:$A,FALSE),MATCH(J$1,Fall!$1:$1,FALSE))="","",INDEX(Fall!$1:$1048576,MATCH($A142,Fall!$A:$A,FALSE),MATCH(J$1,Fall!$1:$1,FALSE))),"")</f>
        <v/>
      </c>
      <c r="K142" t="str">
        <f>IFERROR(IF(INDEX(Fall!$1:$1048576,MATCH($A142,Fall!$A:$A,FALSE),MATCH(K$1,Fall!$1:$1,FALSE))="","",INDEX(Fall!$1:$1048576,MATCH($A142,Fall!$A:$A,FALSE),MATCH(K$1,Fall!$1:$1,FALSE))),"")</f>
        <v/>
      </c>
      <c r="L142" t="str">
        <f>IFERROR(IF(INDEX(Fall!$1:$1048576,MATCH($A142,Fall!$A:$A,FALSE),MATCH(L$1,Fall!$1:$1,FALSE))="","",INDEX(Fall!$1:$1048576,MATCH($A142,Fall!$A:$A,FALSE),MATCH(L$1,Fall!$1:$1,FALSE))),"")</f>
        <v/>
      </c>
      <c r="M142" t="str">
        <f>IFERROR(IF(INDEX(Fall!$1:$1048576,MATCH($A142,Fall!$A:$A,FALSE),MATCH(M$1,Fall!$1:$1,FALSE))="","",INDEX(Fall!$1:$1048576,MATCH($A142,Fall!$A:$A,FALSE),MATCH(M$1,Fall!$1:$1,FALSE))),"")</f>
        <v/>
      </c>
      <c r="N142" t="str">
        <f>IFERROR(IF(INDEX(Fall!$1:$1048576,MATCH($A142,Fall!$A:$A,FALSE),MATCH(N$1,Fall!$1:$1,FALSE))="","",INDEX(Fall!$1:$1048576,MATCH($A142,Fall!$A:$A,FALSE),MATCH(N$1,Fall!$1:$1,FALSE))),"")</f>
        <v/>
      </c>
      <c r="O142" t="str">
        <f>IFERROR(IF(INDEX(Fall!$1:$1048576,MATCH($A142,Fall!$A:$A,FALSE),MATCH(O$1,Fall!$1:$1,FALSE))="","",INDEX(Fall!$1:$1048576,MATCH($A142,Fall!$A:$A,FALSE),MATCH(O$1,Fall!$1:$1,FALSE))),"")</f>
        <v/>
      </c>
      <c r="P142" t="str">
        <f>IFERROR(IF(INDEX(Fall!$1:$1048576,MATCH($A142,Fall!$A:$A,FALSE),MATCH(P$1,Fall!$1:$1,FALSE))="","",INDEX(Fall!$1:$1048576,MATCH($A142,Fall!$A:$A,FALSE),MATCH(P$1,Fall!$1:$1,FALSE))),"")</f>
        <v>2A</v>
      </c>
      <c r="R142" t="str">
        <f>IFERROR(IF(INDEX(Winter!$1:$1048576,MATCH($A142,Winter!$A:$A,FALSE),MATCH(R$1,Winter!$1:$1,FALSE))="","",INDEX(Winter!$1:$1048576,MATCH($A142,Winter!$A:$A,FALSE),MATCH(R$1,Winter!$1:$1,FALSE))),"")</f>
        <v>2A</v>
      </c>
      <c r="S142" t="str">
        <f>IFERROR(IF(INDEX(Winter!$1:$1048576,MATCH($A142,Winter!$A:$A,FALSE),MATCH(S$1,Winter!$1:$1,FALSE))="","",INDEX(Winter!$1:$1048576,MATCH($A142,Winter!$A:$A,FALSE),MATCH(S$1,Winter!$1:$1,FALSE))),"")</f>
        <v>2A</v>
      </c>
      <c r="T142" t="str">
        <f>IFERROR(IF(INDEX(Winter!$1:$1048576,MATCH($A142,Winter!$A:$A,FALSE),MATCH(T$1,Winter!$1:$1,FALSE))="","",INDEX(Winter!$1:$1048576,MATCH($A142,Winter!$A:$A,FALSE),MATCH(T$1,Winter!$1:$1,FALSE))),"")</f>
        <v/>
      </c>
      <c r="U142" t="str">
        <f>IFERROR(IF(INDEX(Winter!$1:$1048576,MATCH($A142,Winter!$A:$A,FALSE),MATCH(U$1,Winter!$1:$1,FALSE))="","",INDEX(Winter!$1:$1048576,MATCH($A142,Winter!$A:$A,FALSE),MATCH(U$1,Winter!$1:$1,FALSE))),"")</f>
        <v/>
      </c>
      <c r="V142" t="str">
        <f>IFERROR(IF(INDEX(Winter!$1:$1048576,MATCH($A142,Winter!$A:$A,FALSE),MATCH(V$1,Winter!$1:$1,FALSE))="","",INDEX(Winter!$1:$1048576,MATCH($A142,Winter!$A:$A,FALSE),MATCH(V$1,Winter!$1:$1,FALSE))),"")</f>
        <v/>
      </c>
      <c r="W142" t="str">
        <f>IFERROR(IF(INDEX(Winter!$1:$1048576,MATCH($A142,Winter!$A:$A,FALSE),MATCH(W$1,Winter!$1:$1,FALSE))="","",INDEX(Winter!$1:$1048576,MATCH($A142,Winter!$A:$A,FALSE),MATCH(W$1,Winter!$1:$1,FALSE))),"")</f>
        <v>1A</v>
      </c>
      <c r="Y142" t="str">
        <f>IFERROR(IF(INDEX(Spring!$1:$1048576,MATCH($A142,Spring!$A:$A,FALSE),MATCH(Y$1,Spring!$1:$1,FALSE))="","",INDEX(Spring!$1:$1048576,MATCH($A142,Spring!$A:$A,FALSE),MATCH(Y$1,Spring!$1:$1,FALSE))),"")</f>
        <v/>
      </c>
      <c r="Z142" t="str">
        <f>IFERROR(IF(INDEX(Spring!$1:$1048576,MATCH($A142,Spring!$A:$A,FALSE),MATCH(Z$1,Spring!$1:$1,FALSE))="","",INDEX(Spring!$1:$1048576,MATCH($A142,Spring!$A:$A,FALSE),MATCH(Z$1,Spring!$1:$1,FALSE))),"")</f>
        <v/>
      </c>
      <c r="AA142" t="str">
        <f>IFERROR(IF(INDEX(Spring!$1:$1048576,MATCH($A142,Spring!$A:$A,FALSE),MATCH(AA$1,Spring!$1:$1,FALSE))="","",INDEX(Spring!$1:$1048576,MATCH($A142,Spring!$A:$A,FALSE),MATCH(AA$1,Spring!$1:$1,FALSE))),"")</f>
        <v/>
      </c>
      <c r="AB142" t="str">
        <f>IFERROR(IF(INDEX(Spring!$1:$1048576,MATCH($A142,Spring!$A:$A,FALSE),MATCH(AB$1,Spring!$1:$1,FALSE))="","",INDEX(Spring!$1:$1048576,MATCH($A142,Spring!$A:$A,FALSE),MATCH(AB$1,Spring!$1:$1,FALSE))),"")</f>
        <v/>
      </c>
      <c r="AC142" t="str">
        <f>IFERROR(IF(INDEX(Spring!$1:$1048576,MATCH($A142,Spring!$A:$A,FALSE),MATCH(AC$1,Spring!$1:$1,FALSE))="","",INDEX(Spring!$1:$1048576,MATCH($A142,Spring!$A:$A,FALSE),MATCH(AC$1,Spring!$1:$1,FALSE))),"")</f>
        <v>1A</v>
      </c>
      <c r="AD142" t="str">
        <f>IFERROR(IF(INDEX(Spring!$1:$1048576,MATCH($A142,Spring!$A:$A,FALSE),MATCH(AD$1,Spring!$1:$1,FALSE))="","",INDEX(Spring!$1:$1048576,MATCH($A142,Spring!$A:$A,FALSE),MATCH(AD$1,Spring!$1:$1,FALSE))),"")</f>
        <v>1A</v>
      </c>
    </row>
    <row r="143" spans="1:30" ht="23.25" thickBot="1" x14ac:dyDescent="0.3">
      <c r="A143" s="48" t="s">
        <v>176</v>
      </c>
      <c r="B143" s="49" t="s">
        <v>1021</v>
      </c>
      <c r="C143" s="49" t="s">
        <v>1000</v>
      </c>
      <c r="D143" s="50"/>
      <c r="E143" s="50"/>
      <c r="F143" s="45"/>
      <c r="G143" s="45"/>
      <c r="H143" s="44"/>
      <c r="J143" t="str">
        <f>IFERROR(IF(INDEX(Fall!$1:$1048576,MATCH($A143,Fall!$A:$A,FALSE),MATCH(J$1,Fall!$1:$1,FALSE))="","",INDEX(Fall!$1:$1048576,MATCH($A143,Fall!$A:$A,FALSE),MATCH(J$1,Fall!$1:$1,FALSE))),"")</f>
        <v/>
      </c>
      <c r="K143" t="str">
        <f>IFERROR(IF(INDEX(Fall!$1:$1048576,MATCH($A143,Fall!$A:$A,FALSE),MATCH(K$1,Fall!$1:$1,FALSE))="","",INDEX(Fall!$1:$1048576,MATCH($A143,Fall!$A:$A,FALSE),MATCH(K$1,Fall!$1:$1,FALSE))),"")</f>
        <v/>
      </c>
      <c r="L143" t="str">
        <f>IFERROR(IF(INDEX(Fall!$1:$1048576,MATCH($A143,Fall!$A:$A,FALSE),MATCH(L$1,Fall!$1:$1,FALSE))="","",INDEX(Fall!$1:$1048576,MATCH($A143,Fall!$A:$A,FALSE),MATCH(L$1,Fall!$1:$1,FALSE))),"")</f>
        <v/>
      </c>
      <c r="M143" t="str">
        <f>IFERROR(IF(INDEX(Fall!$1:$1048576,MATCH($A143,Fall!$A:$A,FALSE),MATCH(M$1,Fall!$1:$1,FALSE))="","",INDEX(Fall!$1:$1048576,MATCH($A143,Fall!$A:$A,FALSE),MATCH(M$1,Fall!$1:$1,FALSE))),"")</f>
        <v/>
      </c>
      <c r="N143" t="str">
        <f>IFERROR(IF(INDEX(Fall!$1:$1048576,MATCH($A143,Fall!$A:$A,FALSE),MATCH(N$1,Fall!$1:$1,FALSE))="","",INDEX(Fall!$1:$1048576,MATCH($A143,Fall!$A:$A,FALSE),MATCH(N$1,Fall!$1:$1,FALSE))),"")</f>
        <v/>
      </c>
      <c r="O143" t="str">
        <f>IFERROR(IF(INDEX(Fall!$1:$1048576,MATCH($A143,Fall!$A:$A,FALSE),MATCH(O$1,Fall!$1:$1,FALSE))="","",INDEX(Fall!$1:$1048576,MATCH($A143,Fall!$A:$A,FALSE),MATCH(O$1,Fall!$1:$1,FALSE))),"")</f>
        <v/>
      </c>
      <c r="P143" t="str">
        <f>IFERROR(IF(INDEX(Fall!$1:$1048576,MATCH($A143,Fall!$A:$A,FALSE),MATCH(P$1,Fall!$1:$1,FALSE))="","",INDEX(Fall!$1:$1048576,MATCH($A143,Fall!$A:$A,FALSE),MATCH(P$1,Fall!$1:$1,FALSE))),"")</f>
        <v>1A</v>
      </c>
      <c r="R143" t="str">
        <f>IFERROR(IF(INDEX(Winter!$1:$1048576,MATCH($A143,Winter!$A:$A,FALSE),MATCH(R$1,Winter!$1:$1,FALSE))="","",INDEX(Winter!$1:$1048576,MATCH($A143,Winter!$A:$A,FALSE),MATCH(R$1,Winter!$1:$1,FALSE))),"")</f>
        <v>2A</v>
      </c>
      <c r="S143" t="str">
        <f>IFERROR(IF(INDEX(Winter!$1:$1048576,MATCH($A143,Winter!$A:$A,FALSE),MATCH(S$1,Winter!$1:$1,FALSE))="","",INDEX(Winter!$1:$1048576,MATCH($A143,Winter!$A:$A,FALSE),MATCH(S$1,Winter!$1:$1,FALSE))),"")</f>
        <v>2A</v>
      </c>
      <c r="T143" t="str">
        <f>IFERROR(IF(INDEX(Winter!$1:$1048576,MATCH($A143,Winter!$A:$A,FALSE),MATCH(T$1,Winter!$1:$1,FALSE))="","",INDEX(Winter!$1:$1048576,MATCH($A143,Winter!$A:$A,FALSE),MATCH(T$1,Winter!$1:$1,FALSE))),"")</f>
        <v/>
      </c>
      <c r="U143" t="str">
        <f>IFERROR(IF(INDEX(Winter!$1:$1048576,MATCH($A143,Winter!$A:$A,FALSE),MATCH(U$1,Winter!$1:$1,FALSE))="","",INDEX(Winter!$1:$1048576,MATCH($A143,Winter!$A:$A,FALSE),MATCH(U$1,Winter!$1:$1,FALSE))),"")</f>
        <v/>
      </c>
      <c r="V143" t="str">
        <f>IFERROR(IF(INDEX(Winter!$1:$1048576,MATCH($A143,Winter!$A:$A,FALSE),MATCH(V$1,Winter!$1:$1,FALSE))="","",INDEX(Winter!$1:$1048576,MATCH($A143,Winter!$A:$A,FALSE),MATCH(V$1,Winter!$1:$1,FALSE))),"")</f>
        <v/>
      </c>
      <c r="W143" t="str">
        <f>IFERROR(IF(INDEX(Winter!$1:$1048576,MATCH($A143,Winter!$A:$A,FALSE),MATCH(W$1,Winter!$1:$1,FALSE))="","",INDEX(Winter!$1:$1048576,MATCH($A143,Winter!$A:$A,FALSE),MATCH(W$1,Winter!$1:$1,FALSE))),"")</f>
        <v>3A</v>
      </c>
      <c r="Y143" t="str">
        <f>IFERROR(IF(INDEX(Spring!$1:$1048576,MATCH($A143,Spring!$A:$A,FALSE),MATCH(Y$1,Spring!$1:$1,FALSE))="","",INDEX(Spring!$1:$1048576,MATCH($A143,Spring!$A:$A,FALSE),MATCH(Y$1,Spring!$1:$1,FALSE))),"")</f>
        <v/>
      </c>
      <c r="Z143" t="str">
        <f>IFERROR(IF(INDEX(Spring!$1:$1048576,MATCH($A143,Spring!$A:$A,FALSE),MATCH(Z$1,Spring!$1:$1,FALSE))="","",INDEX(Spring!$1:$1048576,MATCH($A143,Spring!$A:$A,FALSE),MATCH(Z$1,Spring!$1:$1,FALSE))),"")</f>
        <v/>
      </c>
      <c r="AA143" t="str">
        <f>IFERROR(IF(INDEX(Spring!$1:$1048576,MATCH($A143,Spring!$A:$A,FALSE),MATCH(AA$1,Spring!$1:$1,FALSE))="","",INDEX(Spring!$1:$1048576,MATCH($A143,Spring!$A:$A,FALSE),MATCH(AA$1,Spring!$1:$1,FALSE))),"")</f>
        <v/>
      </c>
      <c r="AB143" t="str">
        <f>IFERROR(IF(INDEX(Spring!$1:$1048576,MATCH($A143,Spring!$A:$A,FALSE),MATCH(AB$1,Spring!$1:$1,FALSE))="","",INDEX(Spring!$1:$1048576,MATCH($A143,Spring!$A:$A,FALSE),MATCH(AB$1,Spring!$1:$1,FALSE))),"")</f>
        <v/>
      </c>
      <c r="AC143" t="str">
        <f>IFERROR(IF(INDEX(Spring!$1:$1048576,MATCH($A143,Spring!$A:$A,FALSE),MATCH(AC$1,Spring!$1:$1,FALSE))="","",INDEX(Spring!$1:$1048576,MATCH($A143,Spring!$A:$A,FALSE),MATCH(AC$1,Spring!$1:$1,FALSE))),"")</f>
        <v>2A</v>
      </c>
      <c r="AD143" t="str">
        <f>IFERROR(IF(INDEX(Spring!$1:$1048576,MATCH($A143,Spring!$A:$A,FALSE),MATCH(AD$1,Spring!$1:$1,FALSE))="","",INDEX(Spring!$1:$1048576,MATCH($A143,Spring!$A:$A,FALSE),MATCH(AD$1,Spring!$1:$1,FALSE))),"")</f>
        <v>2A</v>
      </c>
    </row>
    <row r="144" spans="1:30" ht="23.25" thickBot="1" x14ac:dyDescent="0.3">
      <c r="A144" s="48" t="s">
        <v>178</v>
      </c>
      <c r="B144" s="49" t="s">
        <v>179</v>
      </c>
      <c r="C144" s="49" t="s">
        <v>997</v>
      </c>
      <c r="D144" s="49">
        <v>1</v>
      </c>
      <c r="E144" s="49">
        <v>2</v>
      </c>
      <c r="F144" s="45"/>
      <c r="G144" s="45"/>
      <c r="H144" s="44"/>
      <c r="J144" t="str">
        <f>IFERROR(IF(INDEX(Fall!$1:$1048576,MATCH($A144,Fall!$A:$A,FALSE),MATCH(J$1,Fall!$1:$1,FALSE))="","",INDEX(Fall!$1:$1048576,MATCH($A144,Fall!$A:$A,FALSE),MATCH(J$1,Fall!$1:$1,FALSE))),"")</f>
        <v>1A</v>
      </c>
      <c r="K144" t="str">
        <f>IFERROR(IF(INDEX(Fall!$1:$1048576,MATCH($A144,Fall!$A:$A,FALSE),MATCH(K$1,Fall!$1:$1,FALSE))="","",INDEX(Fall!$1:$1048576,MATCH($A144,Fall!$A:$A,FALSE),MATCH(K$1,Fall!$1:$1,FALSE))),"")</f>
        <v>1A</v>
      </c>
      <c r="L144" t="str">
        <f>IFERROR(IF(INDEX(Fall!$1:$1048576,MATCH($A144,Fall!$A:$A,FALSE),MATCH(L$1,Fall!$1:$1,FALSE))="","",INDEX(Fall!$1:$1048576,MATCH($A144,Fall!$A:$A,FALSE),MATCH(L$1,Fall!$1:$1,FALSE))),"")</f>
        <v/>
      </c>
      <c r="M144" t="str">
        <f>IFERROR(IF(INDEX(Fall!$1:$1048576,MATCH($A144,Fall!$A:$A,FALSE),MATCH(M$1,Fall!$1:$1,FALSE))="","",INDEX(Fall!$1:$1048576,MATCH($A144,Fall!$A:$A,FALSE),MATCH(M$1,Fall!$1:$1,FALSE))),"")</f>
        <v/>
      </c>
      <c r="N144" t="str">
        <f>IFERROR(IF(INDEX(Fall!$1:$1048576,MATCH($A144,Fall!$A:$A,FALSE),MATCH(N$1,Fall!$1:$1,FALSE))="","",INDEX(Fall!$1:$1048576,MATCH($A144,Fall!$A:$A,FALSE),MATCH(N$1,Fall!$1:$1,FALSE))),"")</f>
        <v>2A</v>
      </c>
      <c r="O144" t="str">
        <f>IFERROR(IF(INDEX(Fall!$1:$1048576,MATCH($A144,Fall!$A:$A,FALSE),MATCH(O$1,Fall!$1:$1,FALSE))="","",INDEX(Fall!$1:$1048576,MATCH($A144,Fall!$A:$A,FALSE),MATCH(O$1,Fall!$1:$1,FALSE))),"")</f>
        <v/>
      </c>
      <c r="P144" t="str">
        <f>IFERROR(IF(INDEX(Fall!$1:$1048576,MATCH($A144,Fall!$A:$A,FALSE),MATCH(P$1,Fall!$1:$1,FALSE))="","",INDEX(Fall!$1:$1048576,MATCH($A144,Fall!$A:$A,FALSE),MATCH(P$1,Fall!$1:$1,FALSE))),"")</f>
        <v>3A</v>
      </c>
      <c r="R144" t="str">
        <f>IFERROR(IF(INDEX(Winter!$1:$1048576,MATCH($A144,Winter!$A:$A,FALSE),MATCH(R$1,Winter!$1:$1,FALSE))="","",INDEX(Winter!$1:$1048576,MATCH($A144,Winter!$A:$A,FALSE),MATCH(R$1,Winter!$1:$1,FALSE))),"")</f>
        <v>2A</v>
      </c>
      <c r="S144" t="str">
        <f>IFERROR(IF(INDEX(Winter!$1:$1048576,MATCH($A144,Winter!$A:$A,FALSE),MATCH(S$1,Winter!$1:$1,FALSE))="","",INDEX(Winter!$1:$1048576,MATCH($A144,Winter!$A:$A,FALSE),MATCH(S$1,Winter!$1:$1,FALSE))),"")</f>
        <v>2A</v>
      </c>
      <c r="T144" t="str">
        <f>IFERROR(IF(INDEX(Winter!$1:$1048576,MATCH($A144,Winter!$A:$A,FALSE),MATCH(T$1,Winter!$1:$1,FALSE))="","",INDEX(Winter!$1:$1048576,MATCH($A144,Winter!$A:$A,FALSE),MATCH(T$1,Winter!$1:$1,FALSE))),"")</f>
        <v>1A</v>
      </c>
      <c r="U144" t="str">
        <f>IFERROR(IF(INDEX(Winter!$1:$1048576,MATCH($A144,Winter!$A:$A,FALSE),MATCH(U$1,Winter!$1:$1,FALSE))="","",INDEX(Winter!$1:$1048576,MATCH($A144,Winter!$A:$A,FALSE),MATCH(U$1,Winter!$1:$1,FALSE))),"")</f>
        <v/>
      </c>
      <c r="V144" t="str">
        <f>IFERROR(IF(INDEX(Winter!$1:$1048576,MATCH($A144,Winter!$A:$A,FALSE),MATCH(V$1,Winter!$1:$1,FALSE))="","",INDEX(Winter!$1:$1048576,MATCH($A144,Winter!$A:$A,FALSE),MATCH(V$1,Winter!$1:$1,FALSE))),"")</f>
        <v/>
      </c>
      <c r="W144" t="str">
        <f>IFERROR(IF(INDEX(Winter!$1:$1048576,MATCH($A144,Winter!$A:$A,FALSE),MATCH(W$1,Winter!$1:$1,FALSE))="","",INDEX(Winter!$1:$1048576,MATCH($A144,Winter!$A:$A,FALSE),MATCH(W$1,Winter!$1:$1,FALSE))),"")</f>
        <v/>
      </c>
      <c r="Y144" t="str">
        <f>IFERROR(IF(INDEX(Spring!$1:$1048576,MATCH($A144,Spring!$A:$A,FALSE),MATCH(Y$1,Spring!$1:$1,FALSE))="","",INDEX(Spring!$1:$1048576,MATCH($A144,Spring!$A:$A,FALSE),MATCH(Y$1,Spring!$1:$1,FALSE))),"")</f>
        <v>2A</v>
      </c>
      <c r="Z144" t="str">
        <f>IFERROR(IF(INDEX(Spring!$1:$1048576,MATCH($A144,Spring!$A:$A,FALSE),MATCH(Z$1,Spring!$1:$1,FALSE))="","",INDEX(Spring!$1:$1048576,MATCH($A144,Spring!$A:$A,FALSE),MATCH(Z$1,Spring!$1:$1,FALSE))),"")</f>
        <v>2A</v>
      </c>
      <c r="AA144" t="str">
        <f>IFERROR(IF(INDEX(Spring!$1:$1048576,MATCH($A144,Spring!$A:$A,FALSE),MATCH(AA$1,Spring!$1:$1,FALSE))="","",INDEX(Spring!$1:$1048576,MATCH($A144,Spring!$A:$A,FALSE),MATCH(AA$1,Spring!$1:$1,FALSE))),"")</f>
        <v>2A</v>
      </c>
      <c r="AB144" t="str">
        <f>IFERROR(IF(INDEX(Spring!$1:$1048576,MATCH($A144,Spring!$A:$A,FALSE),MATCH(AB$1,Spring!$1:$1,FALSE))="","",INDEX(Spring!$1:$1048576,MATCH($A144,Spring!$A:$A,FALSE),MATCH(AB$1,Spring!$1:$1,FALSE))),"")</f>
        <v/>
      </c>
      <c r="AC144" t="str">
        <f>IFERROR(IF(INDEX(Spring!$1:$1048576,MATCH($A144,Spring!$A:$A,FALSE),MATCH(AC$1,Spring!$1:$1,FALSE))="","",INDEX(Spring!$1:$1048576,MATCH($A144,Spring!$A:$A,FALSE),MATCH(AC$1,Spring!$1:$1,FALSE))),"")</f>
        <v/>
      </c>
      <c r="AD144" t="str">
        <f>IFERROR(IF(INDEX(Spring!$1:$1048576,MATCH($A144,Spring!$A:$A,FALSE),MATCH(AD$1,Spring!$1:$1,FALSE))="","",INDEX(Spring!$1:$1048576,MATCH($A144,Spring!$A:$A,FALSE),MATCH(AD$1,Spring!$1:$1,FALSE))),"")</f>
        <v/>
      </c>
    </row>
    <row r="145" spans="1:30" ht="23.25" thickBot="1" x14ac:dyDescent="0.3">
      <c r="A145" s="48" t="s">
        <v>180</v>
      </c>
      <c r="B145" s="49" t="s">
        <v>1022</v>
      </c>
      <c r="C145" s="49" t="s">
        <v>1000</v>
      </c>
      <c r="D145" s="50"/>
      <c r="E145" s="50"/>
      <c r="F145" s="45"/>
      <c r="G145" s="45"/>
      <c r="H145" s="44"/>
      <c r="J145" t="str">
        <f>IFERROR(IF(INDEX(Fall!$1:$1048576,MATCH($A145,Fall!$A:$A,FALSE),MATCH(J$1,Fall!$1:$1,FALSE))="","",INDEX(Fall!$1:$1048576,MATCH($A145,Fall!$A:$A,FALSE),MATCH(J$1,Fall!$1:$1,FALSE))),"")</f>
        <v/>
      </c>
      <c r="K145" t="str">
        <f>IFERROR(IF(INDEX(Fall!$1:$1048576,MATCH($A145,Fall!$A:$A,FALSE),MATCH(K$1,Fall!$1:$1,FALSE))="","",INDEX(Fall!$1:$1048576,MATCH($A145,Fall!$A:$A,FALSE),MATCH(K$1,Fall!$1:$1,FALSE))),"")</f>
        <v/>
      </c>
      <c r="L145" t="str">
        <f>IFERROR(IF(INDEX(Fall!$1:$1048576,MATCH($A145,Fall!$A:$A,FALSE),MATCH(L$1,Fall!$1:$1,FALSE))="","",INDEX(Fall!$1:$1048576,MATCH($A145,Fall!$A:$A,FALSE),MATCH(L$1,Fall!$1:$1,FALSE))),"")</f>
        <v/>
      </c>
      <c r="M145" t="str">
        <f>IFERROR(IF(INDEX(Fall!$1:$1048576,MATCH($A145,Fall!$A:$A,FALSE),MATCH(M$1,Fall!$1:$1,FALSE))="","",INDEX(Fall!$1:$1048576,MATCH($A145,Fall!$A:$A,FALSE),MATCH(M$1,Fall!$1:$1,FALSE))),"")</f>
        <v/>
      </c>
      <c r="N145" t="str">
        <f>IFERROR(IF(INDEX(Fall!$1:$1048576,MATCH($A145,Fall!$A:$A,FALSE),MATCH(N$1,Fall!$1:$1,FALSE))="","",INDEX(Fall!$1:$1048576,MATCH($A145,Fall!$A:$A,FALSE),MATCH(N$1,Fall!$1:$1,FALSE))),"")</f>
        <v>3A</v>
      </c>
      <c r="O145" t="str">
        <f>IFERROR(IF(INDEX(Fall!$1:$1048576,MATCH($A145,Fall!$A:$A,FALSE),MATCH(O$1,Fall!$1:$1,FALSE))="","",INDEX(Fall!$1:$1048576,MATCH($A145,Fall!$A:$A,FALSE),MATCH(O$1,Fall!$1:$1,FALSE))),"")</f>
        <v/>
      </c>
      <c r="P145" t="str">
        <f>IFERROR(IF(INDEX(Fall!$1:$1048576,MATCH($A145,Fall!$A:$A,FALSE),MATCH(P$1,Fall!$1:$1,FALSE))="","",INDEX(Fall!$1:$1048576,MATCH($A145,Fall!$A:$A,FALSE),MATCH(P$1,Fall!$1:$1,FALSE))),"")</f>
        <v>4A</v>
      </c>
      <c r="R145" t="str">
        <f>IFERROR(IF(INDEX(Winter!$1:$1048576,MATCH($A145,Winter!$A:$A,FALSE),MATCH(R$1,Winter!$1:$1,FALSE))="","",INDEX(Winter!$1:$1048576,MATCH($A145,Winter!$A:$A,FALSE),MATCH(R$1,Winter!$1:$1,FALSE))),"")</f>
        <v>4A</v>
      </c>
      <c r="S145" t="str">
        <f>IFERROR(IF(INDEX(Winter!$1:$1048576,MATCH($A145,Winter!$A:$A,FALSE),MATCH(S$1,Winter!$1:$1,FALSE))="","",INDEX(Winter!$1:$1048576,MATCH($A145,Winter!$A:$A,FALSE),MATCH(S$1,Winter!$1:$1,FALSE))),"")</f>
        <v>4A</v>
      </c>
      <c r="T145" t="str">
        <f>IFERROR(IF(INDEX(Winter!$1:$1048576,MATCH($A145,Winter!$A:$A,FALSE),MATCH(T$1,Winter!$1:$1,FALSE))="","",INDEX(Winter!$1:$1048576,MATCH($A145,Winter!$A:$A,FALSE),MATCH(T$1,Winter!$1:$1,FALSE))),"")</f>
        <v>3A</v>
      </c>
      <c r="U145" t="str">
        <f>IFERROR(IF(INDEX(Winter!$1:$1048576,MATCH($A145,Winter!$A:$A,FALSE),MATCH(U$1,Winter!$1:$1,FALSE))="","",INDEX(Winter!$1:$1048576,MATCH($A145,Winter!$A:$A,FALSE),MATCH(U$1,Winter!$1:$1,FALSE))),"")</f>
        <v/>
      </c>
      <c r="V145" t="str">
        <f>IFERROR(IF(INDEX(Winter!$1:$1048576,MATCH($A145,Winter!$A:$A,FALSE),MATCH(V$1,Winter!$1:$1,FALSE))="","",INDEX(Winter!$1:$1048576,MATCH($A145,Winter!$A:$A,FALSE),MATCH(V$1,Winter!$1:$1,FALSE))),"")</f>
        <v/>
      </c>
      <c r="W145" t="str">
        <f>IFERROR(IF(INDEX(Winter!$1:$1048576,MATCH($A145,Winter!$A:$A,FALSE),MATCH(W$1,Winter!$1:$1,FALSE))="","",INDEX(Winter!$1:$1048576,MATCH($A145,Winter!$A:$A,FALSE),MATCH(W$1,Winter!$1:$1,FALSE))),"")</f>
        <v>3A</v>
      </c>
      <c r="Y145" t="str">
        <f>IFERROR(IF(INDEX(Spring!$1:$1048576,MATCH($A145,Spring!$A:$A,FALSE),MATCH(Y$1,Spring!$1:$1,FALSE))="","",INDEX(Spring!$1:$1048576,MATCH($A145,Spring!$A:$A,FALSE),MATCH(Y$1,Spring!$1:$1,FALSE))),"")</f>
        <v/>
      </c>
      <c r="Z145" t="str">
        <f>IFERROR(IF(INDEX(Spring!$1:$1048576,MATCH($A145,Spring!$A:$A,FALSE),MATCH(Z$1,Spring!$1:$1,FALSE))="","",INDEX(Spring!$1:$1048576,MATCH($A145,Spring!$A:$A,FALSE),MATCH(Z$1,Spring!$1:$1,FALSE))),"")</f>
        <v/>
      </c>
      <c r="AA145" t="str">
        <f>IFERROR(IF(INDEX(Spring!$1:$1048576,MATCH($A145,Spring!$A:$A,FALSE),MATCH(AA$1,Spring!$1:$1,FALSE))="","",INDEX(Spring!$1:$1048576,MATCH($A145,Spring!$A:$A,FALSE),MATCH(AA$1,Spring!$1:$1,FALSE))),"")</f>
        <v/>
      </c>
      <c r="AB145" t="str">
        <f>IFERROR(IF(INDEX(Spring!$1:$1048576,MATCH($A145,Spring!$A:$A,FALSE),MATCH(AB$1,Spring!$1:$1,FALSE))="","",INDEX(Spring!$1:$1048576,MATCH($A145,Spring!$A:$A,FALSE),MATCH(AB$1,Spring!$1:$1,FALSE))),"")</f>
        <v/>
      </c>
      <c r="AC145" t="str">
        <f>IFERROR(IF(INDEX(Spring!$1:$1048576,MATCH($A145,Spring!$A:$A,FALSE),MATCH(AC$1,Spring!$1:$1,FALSE))="","",INDEX(Spring!$1:$1048576,MATCH($A145,Spring!$A:$A,FALSE),MATCH(AC$1,Spring!$1:$1,FALSE))),"")</f>
        <v>3A</v>
      </c>
      <c r="AD145" t="str">
        <f>IFERROR(IF(INDEX(Spring!$1:$1048576,MATCH($A145,Spring!$A:$A,FALSE),MATCH(AD$1,Spring!$1:$1,FALSE))="","",INDEX(Spring!$1:$1048576,MATCH($A145,Spring!$A:$A,FALSE),MATCH(AD$1,Spring!$1:$1,FALSE))),"")</f>
        <v>3A</v>
      </c>
    </row>
    <row r="146" spans="1:30" ht="15.75" thickBot="1" x14ac:dyDescent="0.3">
      <c r="A146" s="48" t="s">
        <v>917</v>
      </c>
      <c r="B146" s="49">
        <v>45</v>
      </c>
      <c r="C146" s="49" t="s">
        <v>997</v>
      </c>
      <c r="D146" s="50"/>
      <c r="E146" s="50"/>
      <c r="F146" s="45"/>
      <c r="G146" s="45"/>
      <c r="H146" s="44"/>
      <c r="J146" t="str">
        <f>IFERROR(IF(INDEX(Fall!$1:$1048576,MATCH($A146,Fall!$A:$A,FALSE),MATCH(J$1,Fall!$1:$1,FALSE))="","",INDEX(Fall!$1:$1048576,MATCH($A146,Fall!$A:$A,FALSE),MATCH(J$1,Fall!$1:$1,FALSE))),"")</f>
        <v/>
      </c>
      <c r="K146" t="str">
        <f>IFERROR(IF(INDEX(Fall!$1:$1048576,MATCH($A146,Fall!$A:$A,FALSE),MATCH(K$1,Fall!$1:$1,FALSE))="","",INDEX(Fall!$1:$1048576,MATCH($A146,Fall!$A:$A,FALSE),MATCH(K$1,Fall!$1:$1,FALSE))),"")</f>
        <v/>
      </c>
      <c r="L146" t="str">
        <f>IFERROR(IF(INDEX(Fall!$1:$1048576,MATCH($A146,Fall!$A:$A,FALSE),MATCH(L$1,Fall!$1:$1,FALSE))="","",INDEX(Fall!$1:$1048576,MATCH($A146,Fall!$A:$A,FALSE),MATCH(L$1,Fall!$1:$1,FALSE))),"")</f>
        <v/>
      </c>
      <c r="M146" t="str">
        <f>IFERROR(IF(INDEX(Fall!$1:$1048576,MATCH($A146,Fall!$A:$A,FALSE),MATCH(M$1,Fall!$1:$1,FALSE))="","",INDEX(Fall!$1:$1048576,MATCH($A146,Fall!$A:$A,FALSE),MATCH(M$1,Fall!$1:$1,FALSE))),"")</f>
        <v/>
      </c>
      <c r="N146" t="str">
        <f>IFERROR(IF(INDEX(Fall!$1:$1048576,MATCH($A146,Fall!$A:$A,FALSE),MATCH(N$1,Fall!$1:$1,FALSE))="","",INDEX(Fall!$1:$1048576,MATCH($A146,Fall!$A:$A,FALSE),MATCH(N$1,Fall!$1:$1,FALSE))),"")</f>
        <v>1A</v>
      </c>
      <c r="O146" t="str">
        <f>IFERROR(IF(INDEX(Fall!$1:$1048576,MATCH($A146,Fall!$A:$A,FALSE),MATCH(O$1,Fall!$1:$1,FALSE))="","",INDEX(Fall!$1:$1048576,MATCH($A146,Fall!$A:$A,FALSE),MATCH(O$1,Fall!$1:$1,FALSE))),"")</f>
        <v/>
      </c>
      <c r="P146" t="str">
        <f>IFERROR(IF(INDEX(Fall!$1:$1048576,MATCH($A146,Fall!$A:$A,FALSE),MATCH(P$1,Fall!$1:$1,FALSE))="","",INDEX(Fall!$1:$1048576,MATCH($A146,Fall!$A:$A,FALSE),MATCH(P$1,Fall!$1:$1,FALSE))),"")</f>
        <v/>
      </c>
      <c r="R146" t="str">
        <f>IFERROR(IF(INDEX(Winter!$1:$1048576,MATCH($A146,Winter!$A:$A,FALSE),MATCH(R$1,Winter!$1:$1,FALSE))="","",INDEX(Winter!$1:$1048576,MATCH($A146,Winter!$A:$A,FALSE),MATCH(R$1,Winter!$1:$1,FALSE))),"")</f>
        <v>1A</v>
      </c>
      <c r="S146" t="str">
        <f>IFERROR(IF(INDEX(Winter!$1:$1048576,MATCH($A146,Winter!$A:$A,FALSE),MATCH(S$1,Winter!$1:$1,FALSE))="","",INDEX(Winter!$1:$1048576,MATCH($A146,Winter!$A:$A,FALSE),MATCH(S$1,Winter!$1:$1,FALSE))),"")</f>
        <v/>
      </c>
      <c r="T146" t="str">
        <f>IFERROR(IF(INDEX(Winter!$1:$1048576,MATCH($A146,Winter!$A:$A,FALSE),MATCH(T$1,Winter!$1:$1,FALSE))="","",INDEX(Winter!$1:$1048576,MATCH($A146,Winter!$A:$A,FALSE),MATCH(T$1,Winter!$1:$1,FALSE))),"")</f>
        <v/>
      </c>
      <c r="U146" t="str">
        <f>IFERROR(IF(INDEX(Winter!$1:$1048576,MATCH($A146,Winter!$A:$A,FALSE),MATCH(U$1,Winter!$1:$1,FALSE))="","",INDEX(Winter!$1:$1048576,MATCH($A146,Winter!$A:$A,FALSE),MATCH(U$1,Winter!$1:$1,FALSE))),"")</f>
        <v/>
      </c>
      <c r="V146" t="str">
        <f>IFERROR(IF(INDEX(Winter!$1:$1048576,MATCH($A146,Winter!$A:$A,FALSE),MATCH(V$1,Winter!$1:$1,FALSE))="","",INDEX(Winter!$1:$1048576,MATCH($A146,Winter!$A:$A,FALSE),MATCH(V$1,Winter!$1:$1,FALSE))),"")</f>
        <v/>
      </c>
      <c r="W146" t="str">
        <f>IFERROR(IF(INDEX(Winter!$1:$1048576,MATCH($A146,Winter!$A:$A,FALSE),MATCH(W$1,Winter!$1:$1,FALSE))="","",INDEX(Winter!$1:$1048576,MATCH($A146,Winter!$A:$A,FALSE),MATCH(W$1,Winter!$1:$1,FALSE))),"")</f>
        <v/>
      </c>
      <c r="Y146" t="str">
        <f>IFERROR(IF(INDEX(Spring!$1:$1048576,MATCH($A146,Spring!$A:$A,FALSE),MATCH(Y$1,Spring!$1:$1,FALSE))="","",INDEX(Spring!$1:$1048576,MATCH($A146,Spring!$A:$A,FALSE),MATCH(Y$1,Spring!$1:$1,FALSE))),"")</f>
        <v/>
      </c>
      <c r="Z146" t="str">
        <f>IFERROR(IF(INDEX(Spring!$1:$1048576,MATCH($A146,Spring!$A:$A,FALSE),MATCH(Z$1,Spring!$1:$1,FALSE))="","",INDEX(Spring!$1:$1048576,MATCH($A146,Spring!$A:$A,FALSE),MATCH(Z$1,Spring!$1:$1,FALSE))),"")</f>
        <v/>
      </c>
      <c r="AA146" t="str">
        <f>IFERROR(IF(INDEX(Spring!$1:$1048576,MATCH($A146,Spring!$A:$A,FALSE),MATCH(AA$1,Spring!$1:$1,FALSE))="","",INDEX(Spring!$1:$1048576,MATCH($A146,Spring!$A:$A,FALSE),MATCH(AA$1,Spring!$1:$1,FALSE))),"")</f>
        <v/>
      </c>
      <c r="AB146" t="str">
        <f>IFERROR(IF(INDEX(Spring!$1:$1048576,MATCH($A146,Spring!$A:$A,FALSE),MATCH(AB$1,Spring!$1:$1,FALSE))="","",INDEX(Spring!$1:$1048576,MATCH($A146,Spring!$A:$A,FALSE),MATCH(AB$1,Spring!$1:$1,FALSE))),"")</f>
        <v/>
      </c>
      <c r="AC146" t="str">
        <f>IFERROR(IF(INDEX(Spring!$1:$1048576,MATCH($A146,Spring!$A:$A,FALSE),MATCH(AC$1,Spring!$1:$1,FALSE))="","",INDEX(Spring!$1:$1048576,MATCH($A146,Spring!$A:$A,FALSE),MATCH(AC$1,Spring!$1:$1,FALSE))),"")</f>
        <v/>
      </c>
      <c r="AD146" t="str">
        <f>IFERROR(IF(INDEX(Spring!$1:$1048576,MATCH($A146,Spring!$A:$A,FALSE),MATCH(AD$1,Spring!$1:$1,FALSE))="","",INDEX(Spring!$1:$1048576,MATCH($A146,Spring!$A:$A,FALSE),MATCH(AD$1,Spring!$1:$1,FALSE))),"")</f>
        <v/>
      </c>
    </row>
    <row r="147" spans="1:30" ht="23.25" thickBot="1" x14ac:dyDescent="0.3">
      <c r="A147" s="48" t="s">
        <v>182</v>
      </c>
      <c r="B147" s="49" t="s">
        <v>1023</v>
      </c>
      <c r="C147" s="49" t="s">
        <v>997</v>
      </c>
      <c r="D147" s="49">
        <v>1</v>
      </c>
      <c r="E147" s="49">
        <v>2</v>
      </c>
      <c r="F147" s="45"/>
      <c r="G147" s="45"/>
      <c r="H147" s="44"/>
      <c r="J147" t="str">
        <f>IFERROR(IF(INDEX(Fall!$1:$1048576,MATCH($A147,Fall!$A:$A,FALSE),MATCH(J$1,Fall!$1:$1,FALSE))="","",INDEX(Fall!$1:$1048576,MATCH($A147,Fall!$A:$A,FALSE),MATCH(J$1,Fall!$1:$1,FALSE))),"")</f>
        <v>2A</v>
      </c>
      <c r="K147" t="str">
        <f>IFERROR(IF(INDEX(Fall!$1:$1048576,MATCH($A147,Fall!$A:$A,FALSE),MATCH(K$1,Fall!$1:$1,FALSE))="","",INDEX(Fall!$1:$1048576,MATCH($A147,Fall!$A:$A,FALSE),MATCH(K$1,Fall!$1:$1,FALSE))),"")</f>
        <v>2A</v>
      </c>
      <c r="L147" t="str">
        <f>IFERROR(IF(INDEX(Fall!$1:$1048576,MATCH($A147,Fall!$A:$A,FALSE),MATCH(L$1,Fall!$1:$1,FALSE))="","",INDEX(Fall!$1:$1048576,MATCH($A147,Fall!$A:$A,FALSE),MATCH(L$1,Fall!$1:$1,FALSE))),"")</f>
        <v>2A</v>
      </c>
      <c r="M147" t="str">
        <f>IFERROR(IF(INDEX(Fall!$1:$1048576,MATCH($A147,Fall!$A:$A,FALSE),MATCH(M$1,Fall!$1:$1,FALSE))="","",INDEX(Fall!$1:$1048576,MATCH($A147,Fall!$A:$A,FALSE),MATCH(M$1,Fall!$1:$1,FALSE))),"")</f>
        <v>1A</v>
      </c>
      <c r="N147" t="str">
        <f>IFERROR(IF(INDEX(Fall!$1:$1048576,MATCH($A147,Fall!$A:$A,FALSE),MATCH(N$1,Fall!$1:$1,FALSE))="","",INDEX(Fall!$1:$1048576,MATCH($A147,Fall!$A:$A,FALSE),MATCH(N$1,Fall!$1:$1,FALSE))),"")</f>
        <v>2A</v>
      </c>
      <c r="O147" t="str">
        <f>IFERROR(IF(INDEX(Fall!$1:$1048576,MATCH($A147,Fall!$A:$A,FALSE),MATCH(O$1,Fall!$1:$1,FALSE))="","",INDEX(Fall!$1:$1048576,MATCH($A147,Fall!$A:$A,FALSE),MATCH(O$1,Fall!$1:$1,FALSE))),"")</f>
        <v>1A</v>
      </c>
      <c r="P147" t="str">
        <f>IFERROR(IF(INDEX(Fall!$1:$1048576,MATCH($A147,Fall!$A:$A,FALSE),MATCH(P$1,Fall!$1:$1,FALSE))="","",INDEX(Fall!$1:$1048576,MATCH($A147,Fall!$A:$A,FALSE),MATCH(P$1,Fall!$1:$1,FALSE))),"")</f>
        <v>3A</v>
      </c>
      <c r="R147" t="str">
        <f>IFERROR(IF(INDEX(Winter!$1:$1048576,MATCH($A147,Winter!$A:$A,FALSE),MATCH(R$1,Winter!$1:$1,FALSE))="","",INDEX(Winter!$1:$1048576,MATCH($A147,Winter!$A:$A,FALSE),MATCH(R$1,Winter!$1:$1,FALSE))),"")</f>
        <v>3A</v>
      </c>
      <c r="S147" t="str">
        <f>IFERROR(IF(INDEX(Winter!$1:$1048576,MATCH($A147,Winter!$A:$A,FALSE),MATCH(S$1,Winter!$1:$1,FALSE))="","",INDEX(Winter!$1:$1048576,MATCH($A147,Winter!$A:$A,FALSE),MATCH(S$1,Winter!$1:$1,FALSE))),"")</f>
        <v>3A</v>
      </c>
      <c r="T147" t="str">
        <f>IFERROR(IF(INDEX(Winter!$1:$1048576,MATCH($A147,Winter!$A:$A,FALSE),MATCH(T$1,Winter!$1:$1,FALSE))="","",INDEX(Winter!$1:$1048576,MATCH($A147,Winter!$A:$A,FALSE),MATCH(T$1,Winter!$1:$1,FALSE))),"")</f>
        <v/>
      </c>
      <c r="U147" t="str">
        <f>IFERROR(IF(INDEX(Winter!$1:$1048576,MATCH($A147,Winter!$A:$A,FALSE),MATCH(U$1,Winter!$1:$1,FALSE))="","",INDEX(Winter!$1:$1048576,MATCH($A147,Winter!$A:$A,FALSE),MATCH(U$1,Winter!$1:$1,FALSE))),"")</f>
        <v/>
      </c>
      <c r="V147" t="str">
        <f>IFERROR(IF(INDEX(Winter!$1:$1048576,MATCH($A147,Winter!$A:$A,FALSE),MATCH(V$1,Winter!$1:$1,FALSE))="","",INDEX(Winter!$1:$1048576,MATCH($A147,Winter!$A:$A,FALSE),MATCH(V$1,Winter!$1:$1,FALSE))),"")</f>
        <v/>
      </c>
      <c r="W147" t="str">
        <f>IFERROR(IF(INDEX(Winter!$1:$1048576,MATCH($A147,Winter!$A:$A,FALSE),MATCH(W$1,Winter!$1:$1,FALSE))="","",INDEX(Winter!$1:$1048576,MATCH($A147,Winter!$A:$A,FALSE),MATCH(W$1,Winter!$1:$1,FALSE))),"")</f>
        <v>2A</v>
      </c>
      <c r="Y147" t="str">
        <f>IFERROR(IF(INDEX(Spring!$1:$1048576,MATCH($A147,Spring!$A:$A,FALSE),MATCH(Y$1,Spring!$1:$1,FALSE))="","",INDEX(Spring!$1:$1048576,MATCH($A147,Spring!$A:$A,FALSE),MATCH(Y$1,Spring!$1:$1,FALSE))),"")</f>
        <v>3A</v>
      </c>
      <c r="Z147" t="str">
        <f>IFERROR(IF(INDEX(Spring!$1:$1048576,MATCH($A147,Spring!$A:$A,FALSE),MATCH(Z$1,Spring!$1:$1,FALSE))="","",INDEX(Spring!$1:$1048576,MATCH($A147,Spring!$A:$A,FALSE),MATCH(Z$1,Spring!$1:$1,FALSE))),"")</f>
        <v>3A</v>
      </c>
      <c r="AA147" t="str">
        <f>IFERROR(IF(INDEX(Spring!$1:$1048576,MATCH($A147,Spring!$A:$A,FALSE),MATCH(AA$1,Spring!$1:$1,FALSE))="","",INDEX(Spring!$1:$1048576,MATCH($A147,Spring!$A:$A,FALSE),MATCH(AA$1,Spring!$1:$1,FALSE))),"")</f>
        <v>2A</v>
      </c>
      <c r="AB147" t="str">
        <f>IFERROR(IF(INDEX(Spring!$1:$1048576,MATCH($A147,Spring!$A:$A,FALSE),MATCH(AB$1,Spring!$1:$1,FALSE))="","",INDEX(Spring!$1:$1048576,MATCH($A147,Spring!$A:$A,FALSE),MATCH(AB$1,Spring!$1:$1,FALSE))),"")</f>
        <v>1A</v>
      </c>
      <c r="AC147" t="str">
        <f>IFERROR(IF(INDEX(Spring!$1:$1048576,MATCH($A147,Spring!$A:$A,FALSE),MATCH(AC$1,Spring!$1:$1,FALSE))="","",INDEX(Spring!$1:$1048576,MATCH($A147,Spring!$A:$A,FALSE),MATCH(AC$1,Spring!$1:$1,FALSE))),"")</f>
        <v>2A</v>
      </c>
      <c r="AD147" t="str">
        <f>IFERROR(IF(INDEX(Spring!$1:$1048576,MATCH($A147,Spring!$A:$A,FALSE),MATCH(AD$1,Spring!$1:$1,FALSE))="","",INDEX(Spring!$1:$1048576,MATCH($A147,Spring!$A:$A,FALSE),MATCH(AD$1,Spring!$1:$1,FALSE))),"")</f>
        <v>2A</v>
      </c>
    </row>
    <row r="148" spans="1:30" ht="23.25" thickBot="1" x14ac:dyDescent="0.3">
      <c r="A148" s="48" t="s">
        <v>184</v>
      </c>
      <c r="B148" s="49" t="s">
        <v>1024</v>
      </c>
      <c r="C148" s="49" t="s">
        <v>997</v>
      </c>
      <c r="D148" s="49">
        <v>1</v>
      </c>
      <c r="E148" s="49">
        <v>1</v>
      </c>
      <c r="F148" s="45"/>
      <c r="G148" s="45"/>
      <c r="H148" s="44"/>
      <c r="J148" t="str">
        <f>IFERROR(IF(INDEX(Fall!$1:$1048576,MATCH($A148,Fall!$A:$A,FALSE),MATCH(J$1,Fall!$1:$1,FALSE))="","",INDEX(Fall!$1:$1048576,MATCH($A148,Fall!$A:$A,FALSE),MATCH(J$1,Fall!$1:$1,FALSE))),"")</f>
        <v>3A</v>
      </c>
      <c r="K148" t="str">
        <f>IFERROR(IF(INDEX(Fall!$1:$1048576,MATCH($A148,Fall!$A:$A,FALSE),MATCH(K$1,Fall!$1:$1,FALSE))="","",INDEX(Fall!$1:$1048576,MATCH($A148,Fall!$A:$A,FALSE),MATCH(K$1,Fall!$1:$1,FALSE))),"")</f>
        <v>3A</v>
      </c>
      <c r="L148" t="str">
        <f>IFERROR(IF(INDEX(Fall!$1:$1048576,MATCH($A148,Fall!$A:$A,FALSE),MATCH(L$1,Fall!$1:$1,FALSE))="","",INDEX(Fall!$1:$1048576,MATCH($A148,Fall!$A:$A,FALSE),MATCH(L$1,Fall!$1:$1,FALSE))),"")</f>
        <v>2A</v>
      </c>
      <c r="M148" t="str">
        <f>IFERROR(IF(INDEX(Fall!$1:$1048576,MATCH($A148,Fall!$A:$A,FALSE),MATCH(M$1,Fall!$1:$1,FALSE))="","",INDEX(Fall!$1:$1048576,MATCH($A148,Fall!$A:$A,FALSE),MATCH(M$1,Fall!$1:$1,FALSE))),"")</f>
        <v>2A</v>
      </c>
      <c r="N148" t="str">
        <f>IFERROR(IF(INDEX(Fall!$1:$1048576,MATCH($A148,Fall!$A:$A,FALSE),MATCH(N$1,Fall!$1:$1,FALSE))="","",INDEX(Fall!$1:$1048576,MATCH($A148,Fall!$A:$A,FALSE),MATCH(N$1,Fall!$1:$1,FALSE))),"")</f>
        <v>3A</v>
      </c>
      <c r="O148" t="str">
        <f>IFERROR(IF(INDEX(Fall!$1:$1048576,MATCH($A148,Fall!$A:$A,FALSE),MATCH(O$1,Fall!$1:$1,FALSE))="","",INDEX(Fall!$1:$1048576,MATCH($A148,Fall!$A:$A,FALSE),MATCH(O$1,Fall!$1:$1,FALSE))),"")</f>
        <v>2A</v>
      </c>
      <c r="P148" t="str">
        <f>IFERROR(IF(INDEX(Fall!$1:$1048576,MATCH($A148,Fall!$A:$A,FALSE),MATCH(P$1,Fall!$1:$1,FALSE))="","",INDEX(Fall!$1:$1048576,MATCH($A148,Fall!$A:$A,FALSE),MATCH(P$1,Fall!$1:$1,FALSE))),"")</f>
        <v>4A</v>
      </c>
      <c r="R148" t="str">
        <f>IFERROR(IF(INDEX(Winter!$1:$1048576,MATCH($A148,Winter!$A:$A,FALSE),MATCH(R$1,Winter!$1:$1,FALSE))="","",INDEX(Winter!$1:$1048576,MATCH($A148,Winter!$A:$A,FALSE),MATCH(R$1,Winter!$1:$1,FALSE))),"")</f>
        <v>4A</v>
      </c>
      <c r="S148" t="str">
        <f>IFERROR(IF(INDEX(Winter!$1:$1048576,MATCH($A148,Winter!$A:$A,FALSE),MATCH(S$1,Winter!$1:$1,FALSE))="","",INDEX(Winter!$1:$1048576,MATCH($A148,Winter!$A:$A,FALSE),MATCH(S$1,Winter!$1:$1,FALSE))),"")</f>
        <v>4A</v>
      </c>
      <c r="T148" t="str">
        <f>IFERROR(IF(INDEX(Winter!$1:$1048576,MATCH($A148,Winter!$A:$A,FALSE),MATCH(T$1,Winter!$1:$1,FALSE))="","",INDEX(Winter!$1:$1048576,MATCH($A148,Winter!$A:$A,FALSE),MATCH(T$1,Winter!$1:$1,FALSE))),"")</f>
        <v>2A</v>
      </c>
      <c r="U148" t="str">
        <f>IFERROR(IF(INDEX(Winter!$1:$1048576,MATCH($A148,Winter!$A:$A,FALSE),MATCH(U$1,Winter!$1:$1,FALSE))="","",INDEX(Winter!$1:$1048576,MATCH($A148,Winter!$A:$A,FALSE),MATCH(U$1,Winter!$1:$1,FALSE))),"")</f>
        <v/>
      </c>
      <c r="V148" t="str">
        <f>IFERROR(IF(INDEX(Winter!$1:$1048576,MATCH($A148,Winter!$A:$A,FALSE),MATCH(V$1,Winter!$1:$1,FALSE))="","",INDEX(Winter!$1:$1048576,MATCH($A148,Winter!$A:$A,FALSE),MATCH(V$1,Winter!$1:$1,FALSE))),"")</f>
        <v>2A</v>
      </c>
      <c r="W148" t="str">
        <f>IFERROR(IF(INDEX(Winter!$1:$1048576,MATCH($A148,Winter!$A:$A,FALSE),MATCH(W$1,Winter!$1:$1,FALSE))="","",INDEX(Winter!$1:$1048576,MATCH($A148,Winter!$A:$A,FALSE),MATCH(W$1,Winter!$1:$1,FALSE))),"")</f>
        <v>2A</v>
      </c>
      <c r="Y148" t="str">
        <f>IFERROR(IF(INDEX(Spring!$1:$1048576,MATCH($A148,Spring!$A:$A,FALSE),MATCH(Y$1,Spring!$1:$1,FALSE))="","",INDEX(Spring!$1:$1048576,MATCH($A148,Spring!$A:$A,FALSE),MATCH(Y$1,Spring!$1:$1,FALSE))),"")</f>
        <v>4A</v>
      </c>
      <c r="Z148" t="str">
        <f>IFERROR(IF(INDEX(Spring!$1:$1048576,MATCH($A148,Spring!$A:$A,FALSE),MATCH(Z$1,Spring!$1:$1,FALSE))="","",INDEX(Spring!$1:$1048576,MATCH($A148,Spring!$A:$A,FALSE),MATCH(Z$1,Spring!$1:$1,FALSE))),"")</f>
        <v>4A</v>
      </c>
      <c r="AA148" t="str">
        <f>IFERROR(IF(INDEX(Spring!$1:$1048576,MATCH($A148,Spring!$A:$A,FALSE),MATCH(AA$1,Spring!$1:$1,FALSE))="","",INDEX(Spring!$1:$1048576,MATCH($A148,Spring!$A:$A,FALSE),MATCH(AA$1,Spring!$1:$1,FALSE))),"")</f>
        <v>3A</v>
      </c>
      <c r="AB148" t="str">
        <f>IFERROR(IF(INDEX(Spring!$1:$1048576,MATCH($A148,Spring!$A:$A,FALSE),MATCH(AB$1,Spring!$1:$1,FALSE))="","",INDEX(Spring!$1:$1048576,MATCH($A148,Spring!$A:$A,FALSE),MATCH(AB$1,Spring!$1:$1,FALSE))),"")</f>
        <v>2A</v>
      </c>
      <c r="AC148" t="str">
        <f>IFERROR(IF(INDEX(Spring!$1:$1048576,MATCH($A148,Spring!$A:$A,FALSE),MATCH(AC$1,Spring!$1:$1,FALSE))="","",INDEX(Spring!$1:$1048576,MATCH($A148,Spring!$A:$A,FALSE),MATCH(AC$1,Spring!$1:$1,FALSE))),"")</f>
        <v>3A</v>
      </c>
      <c r="AD148" t="str">
        <f>IFERROR(IF(INDEX(Spring!$1:$1048576,MATCH($A148,Spring!$A:$A,FALSE),MATCH(AD$1,Spring!$1:$1,FALSE))="","",INDEX(Spring!$1:$1048576,MATCH($A148,Spring!$A:$A,FALSE),MATCH(AD$1,Spring!$1:$1,FALSE))),"")</f>
        <v>3A</v>
      </c>
    </row>
    <row r="149" spans="1:30" ht="23.25" thickBot="1" x14ac:dyDescent="0.3">
      <c r="A149" s="48" t="s">
        <v>186</v>
      </c>
      <c r="B149" s="49" t="s">
        <v>1025</v>
      </c>
      <c r="C149" s="49" t="s">
        <v>1000</v>
      </c>
      <c r="D149" s="50"/>
      <c r="E149" s="50"/>
      <c r="F149" s="45"/>
      <c r="G149" s="45"/>
      <c r="H149" s="44"/>
      <c r="J149" t="str">
        <f>IFERROR(IF(INDEX(Fall!$1:$1048576,MATCH($A149,Fall!$A:$A,FALSE),MATCH(J$1,Fall!$1:$1,FALSE))="","",INDEX(Fall!$1:$1048576,MATCH($A149,Fall!$A:$A,FALSE),MATCH(J$1,Fall!$1:$1,FALSE))),"")</f>
        <v/>
      </c>
      <c r="K149" t="str">
        <f>IFERROR(IF(INDEX(Fall!$1:$1048576,MATCH($A149,Fall!$A:$A,FALSE),MATCH(K$1,Fall!$1:$1,FALSE))="","",INDEX(Fall!$1:$1048576,MATCH($A149,Fall!$A:$A,FALSE),MATCH(K$1,Fall!$1:$1,FALSE))),"")</f>
        <v/>
      </c>
      <c r="L149" t="str">
        <f>IFERROR(IF(INDEX(Fall!$1:$1048576,MATCH($A149,Fall!$A:$A,FALSE),MATCH(L$1,Fall!$1:$1,FALSE))="","",INDEX(Fall!$1:$1048576,MATCH($A149,Fall!$A:$A,FALSE),MATCH(L$1,Fall!$1:$1,FALSE))),"")</f>
        <v/>
      </c>
      <c r="M149" t="str">
        <f>IFERROR(IF(INDEX(Fall!$1:$1048576,MATCH($A149,Fall!$A:$A,FALSE),MATCH(M$1,Fall!$1:$1,FALSE))="","",INDEX(Fall!$1:$1048576,MATCH($A149,Fall!$A:$A,FALSE),MATCH(M$1,Fall!$1:$1,FALSE))),"")</f>
        <v/>
      </c>
      <c r="N149" t="str">
        <f>IFERROR(IF(INDEX(Fall!$1:$1048576,MATCH($A149,Fall!$A:$A,FALSE),MATCH(N$1,Fall!$1:$1,FALSE))="","",INDEX(Fall!$1:$1048576,MATCH($A149,Fall!$A:$A,FALSE),MATCH(N$1,Fall!$1:$1,FALSE))),"")</f>
        <v>2A</v>
      </c>
      <c r="O149" t="str">
        <f>IFERROR(IF(INDEX(Fall!$1:$1048576,MATCH($A149,Fall!$A:$A,FALSE),MATCH(O$1,Fall!$1:$1,FALSE))="","",INDEX(Fall!$1:$1048576,MATCH($A149,Fall!$A:$A,FALSE),MATCH(O$1,Fall!$1:$1,FALSE))),"")</f>
        <v/>
      </c>
      <c r="P149" t="str">
        <f>IFERROR(IF(INDEX(Fall!$1:$1048576,MATCH($A149,Fall!$A:$A,FALSE),MATCH(P$1,Fall!$1:$1,FALSE))="","",INDEX(Fall!$1:$1048576,MATCH($A149,Fall!$A:$A,FALSE),MATCH(P$1,Fall!$1:$1,FALSE))),"")</f>
        <v>3A</v>
      </c>
      <c r="R149" t="str">
        <f>IFERROR(IF(INDEX(Winter!$1:$1048576,MATCH($A149,Winter!$A:$A,FALSE),MATCH(R$1,Winter!$1:$1,FALSE))="","",INDEX(Winter!$1:$1048576,MATCH($A149,Winter!$A:$A,FALSE),MATCH(R$1,Winter!$1:$1,FALSE))),"")</f>
        <v>3A</v>
      </c>
      <c r="S149" t="str">
        <f>IFERROR(IF(INDEX(Winter!$1:$1048576,MATCH($A149,Winter!$A:$A,FALSE),MATCH(S$1,Winter!$1:$1,FALSE))="","",INDEX(Winter!$1:$1048576,MATCH($A149,Winter!$A:$A,FALSE),MATCH(S$1,Winter!$1:$1,FALSE))),"")</f>
        <v>3A</v>
      </c>
      <c r="T149" t="str">
        <f>IFERROR(IF(INDEX(Winter!$1:$1048576,MATCH($A149,Winter!$A:$A,FALSE),MATCH(T$1,Winter!$1:$1,FALSE))="","",INDEX(Winter!$1:$1048576,MATCH($A149,Winter!$A:$A,FALSE),MATCH(T$1,Winter!$1:$1,FALSE))),"")</f>
        <v/>
      </c>
      <c r="U149" t="str">
        <f>IFERROR(IF(INDEX(Winter!$1:$1048576,MATCH($A149,Winter!$A:$A,FALSE),MATCH(U$1,Winter!$1:$1,FALSE))="","",INDEX(Winter!$1:$1048576,MATCH($A149,Winter!$A:$A,FALSE),MATCH(U$1,Winter!$1:$1,FALSE))),"")</f>
        <v/>
      </c>
      <c r="V149" t="str">
        <f>IFERROR(IF(INDEX(Winter!$1:$1048576,MATCH($A149,Winter!$A:$A,FALSE),MATCH(V$1,Winter!$1:$1,FALSE))="","",INDEX(Winter!$1:$1048576,MATCH($A149,Winter!$A:$A,FALSE),MATCH(V$1,Winter!$1:$1,FALSE))),"")</f>
        <v/>
      </c>
      <c r="W149" t="str">
        <f>IFERROR(IF(INDEX(Winter!$1:$1048576,MATCH($A149,Winter!$A:$A,FALSE),MATCH(W$1,Winter!$1:$1,FALSE))="","",INDEX(Winter!$1:$1048576,MATCH($A149,Winter!$A:$A,FALSE),MATCH(W$1,Winter!$1:$1,FALSE))),"")</f>
        <v/>
      </c>
      <c r="Y149" t="str">
        <f>IFERROR(IF(INDEX(Spring!$1:$1048576,MATCH($A149,Spring!$A:$A,FALSE),MATCH(Y$1,Spring!$1:$1,FALSE))="","",INDEX(Spring!$1:$1048576,MATCH($A149,Spring!$A:$A,FALSE),MATCH(Y$1,Spring!$1:$1,FALSE))),"")</f>
        <v>3A</v>
      </c>
      <c r="Z149" t="str">
        <f>IFERROR(IF(INDEX(Spring!$1:$1048576,MATCH($A149,Spring!$A:$A,FALSE),MATCH(Z$1,Spring!$1:$1,FALSE))="","",INDEX(Spring!$1:$1048576,MATCH($A149,Spring!$A:$A,FALSE),MATCH(Z$1,Spring!$1:$1,FALSE))),"")</f>
        <v>3A</v>
      </c>
      <c r="AA149" t="str">
        <f>IFERROR(IF(INDEX(Spring!$1:$1048576,MATCH($A149,Spring!$A:$A,FALSE),MATCH(AA$1,Spring!$1:$1,FALSE))="","",INDEX(Spring!$1:$1048576,MATCH($A149,Spring!$A:$A,FALSE),MATCH(AA$1,Spring!$1:$1,FALSE))),"")</f>
        <v>2A</v>
      </c>
      <c r="AB149" t="str">
        <f>IFERROR(IF(INDEX(Spring!$1:$1048576,MATCH($A149,Spring!$A:$A,FALSE),MATCH(AB$1,Spring!$1:$1,FALSE))="","",INDEX(Spring!$1:$1048576,MATCH($A149,Spring!$A:$A,FALSE),MATCH(AB$1,Spring!$1:$1,FALSE))),"")</f>
        <v/>
      </c>
      <c r="AC149" t="str">
        <f>IFERROR(IF(INDEX(Spring!$1:$1048576,MATCH($A149,Spring!$A:$A,FALSE),MATCH(AC$1,Spring!$1:$1,FALSE))="","",INDEX(Spring!$1:$1048576,MATCH($A149,Spring!$A:$A,FALSE),MATCH(AC$1,Spring!$1:$1,FALSE))),"")</f>
        <v>2A</v>
      </c>
      <c r="AD149" t="str">
        <f>IFERROR(IF(INDEX(Spring!$1:$1048576,MATCH($A149,Spring!$A:$A,FALSE),MATCH(AD$1,Spring!$1:$1,FALSE))="","",INDEX(Spring!$1:$1048576,MATCH($A149,Spring!$A:$A,FALSE),MATCH(AD$1,Spring!$1:$1,FALSE))),"")</f>
        <v>2A</v>
      </c>
    </row>
    <row r="150" spans="1:30" ht="23.25" thickBot="1" x14ac:dyDescent="0.3">
      <c r="A150" s="48" t="s">
        <v>919</v>
      </c>
      <c r="B150" s="49" t="s">
        <v>1026</v>
      </c>
      <c r="C150" s="49" t="s">
        <v>1000</v>
      </c>
      <c r="D150" s="50"/>
      <c r="E150" s="50"/>
      <c r="F150" s="45"/>
      <c r="G150" s="45"/>
      <c r="H150" s="44"/>
      <c r="J150" t="str">
        <f>IFERROR(IF(INDEX(Fall!$1:$1048576,MATCH($A150,Fall!$A:$A,FALSE),MATCH(J$1,Fall!$1:$1,FALSE))="","",INDEX(Fall!$1:$1048576,MATCH($A150,Fall!$A:$A,FALSE),MATCH(J$1,Fall!$1:$1,FALSE))),"")</f>
        <v/>
      </c>
      <c r="K150" t="str">
        <f>IFERROR(IF(INDEX(Fall!$1:$1048576,MATCH($A150,Fall!$A:$A,FALSE),MATCH(K$1,Fall!$1:$1,FALSE))="","",INDEX(Fall!$1:$1048576,MATCH($A150,Fall!$A:$A,FALSE),MATCH(K$1,Fall!$1:$1,FALSE))),"")</f>
        <v/>
      </c>
      <c r="L150" t="str">
        <f>IFERROR(IF(INDEX(Fall!$1:$1048576,MATCH($A150,Fall!$A:$A,FALSE),MATCH(L$1,Fall!$1:$1,FALSE))="","",INDEX(Fall!$1:$1048576,MATCH($A150,Fall!$A:$A,FALSE),MATCH(L$1,Fall!$1:$1,FALSE))),"")</f>
        <v/>
      </c>
      <c r="M150" t="str">
        <f>IFERROR(IF(INDEX(Fall!$1:$1048576,MATCH($A150,Fall!$A:$A,FALSE),MATCH(M$1,Fall!$1:$1,FALSE))="","",INDEX(Fall!$1:$1048576,MATCH($A150,Fall!$A:$A,FALSE),MATCH(M$1,Fall!$1:$1,FALSE))),"")</f>
        <v/>
      </c>
      <c r="N150" t="str">
        <f>IFERROR(IF(INDEX(Fall!$1:$1048576,MATCH($A150,Fall!$A:$A,FALSE),MATCH(N$1,Fall!$1:$1,FALSE))="","",INDEX(Fall!$1:$1048576,MATCH($A150,Fall!$A:$A,FALSE),MATCH(N$1,Fall!$1:$1,FALSE))),"")</f>
        <v/>
      </c>
      <c r="O150" t="str">
        <f>IFERROR(IF(INDEX(Fall!$1:$1048576,MATCH($A150,Fall!$A:$A,FALSE),MATCH(O$1,Fall!$1:$1,FALSE))="","",INDEX(Fall!$1:$1048576,MATCH($A150,Fall!$A:$A,FALSE),MATCH(O$1,Fall!$1:$1,FALSE))),"")</f>
        <v/>
      </c>
      <c r="P150" t="str">
        <f>IFERROR(IF(INDEX(Fall!$1:$1048576,MATCH($A150,Fall!$A:$A,FALSE),MATCH(P$1,Fall!$1:$1,FALSE))="","",INDEX(Fall!$1:$1048576,MATCH($A150,Fall!$A:$A,FALSE),MATCH(P$1,Fall!$1:$1,FALSE))),"")</f>
        <v/>
      </c>
      <c r="R150" t="str">
        <f>IFERROR(IF(INDEX(Winter!$1:$1048576,MATCH($A150,Winter!$A:$A,FALSE),MATCH(R$1,Winter!$1:$1,FALSE))="","",INDEX(Winter!$1:$1048576,MATCH($A150,Winter!$A:$A,FALSE),MATCH(R$1,Winter!$1:$1,FALSE))),"")</f>
        <v>2A</v>
      </c>
      <c r="S150" t="str">
        <f>IFERROR(IF(INDEX(Winter!$1:$1048576,MATCH($A150,Winter!$A:$A,FALSE),MATCH(S$1,Winter!$1:$1,FALSE))="","",INDEX(Winter!$1:$1048576,MATCH($A150,Winter!$A:$A,FALSE),MATCH(S$1,Winter!$1:$1,FALSE))),"")</f>
        <v/>
      </c>
      <c r="T150" t="str">
        <f>IFERROR(IF(INDEX(Winter!$1:$1048576,MATCH($A150,Winter!$A:$A,FALSE),MATCH(T$1,Winter!$1:$1,FALSE))="","",INDEX(Winter!$1:$1048576,MATCH($A150,Winter!$A:$A,FALSE),MATCH(T$1,Winter!$1:$1,FALSE))),"")</f>
        <v/>
      </c>
      <c r="U150" t="str">
        <f>IFERROR(IF(INDEX(Winter!$1:$1048576,MATCH($A150,Winter!$A:$A,FALSE),MATCH(U$1,Winter!$1:$1,FALSE))="","",INDEX(Winter!$1:$1048576,MATCH($A150,Winter!$A:$A,FALSE),MATCH(U$1,Winter!$1:$1,FALSE))),"")</f>
        <v/>
      </c>
      <c r="V150" t="str">
        <f>IFERROR(IF(INDEX(Winter!$1:$1048576,MATCH($A150,Winter!$A:$A,FALSE),MATCH(V$1,Winter!$1:$1,FALSE))="","",INDEX(Winter!$1:$1048576,MATCH($A150,Winter!$A:$A,FALSE),MATCH(V$1,Winter!$1:$1,FALSE))),"")</f>
        <v/>
      </c>
      <c r="W150" t="str">
        <f>IFERROR(IF(INDEX(Winter!$1:$1048576,MATCH($A150,Winter!$A:$A,FALSE),MATCH(W$1,Winter!$1:$1,FALSE))="","",INDEX(Winter!$1:$1048576,MATCH($A150,Winter!$A:$A,FALSE),MATCH(W$1,Winter!$1:$1,FALSE))),"")</f>
        <v/>
      </c>
      <c r="Y150" t="str">
        <f>IFERROR(IF(INDEX(Spring!$1:$1048576,MATCH($A150,Spring!$A:$A,FALSE),MATCH(Y$1,Spring!$1:$1,FALSE))="","",INDEX(Spring!$1:$1048576,MATCH($A150,Spring!$A:$A,FALSE),MATCH(Y$1,Spring!$1:$1,FALSE))),"")</f>
        <v/>
      </c>
      <c r="Z150" t="str">
        <f>IFERROR(IF(INDEX(Spring!$1:$1048576,MATCH($A150,Spring!$A:$A,FALSE),MATCH(Z$1,Spring!$1:$1,FALSE))="","",INDEX(Spring!$1:$1048576,MATCH($A150,Spring!$A:$A,FALSE),MATCH(Z$1,Spring!$1:$1,FALSE))),"")</f>
        <v/>
      </c>
      <c r="AA150" t="str">
        <f>IFERROR(IF(INDEX(Spring!$1:$1048576,MATCH($A150,Spring!$A:$A,FALSE),MATCH(AA$1,Spring!$1:$1,FALSE))="","",INDEX(Spring!$1:$1048576,MATCH($A150,Spring!$A:$A,FALSE),MATCH(AA$1,Spring!$1:$1,FALSE))),"")</f>
        <v/>
      </c>
      <c r="AB150" t="str">
        <f>IFERROR(IF(INDEX(Spring!$1:$1048576,MATCH($A150,Spring!$A:$A,FALSE),MATCH(AB$1,Spring!$1:$1,FALSE))="","",INDEX(Spring!$1:$1048576,MATCH($A150,Spring!$A:$A,FALSE),MATCH(AB$1,Spring!$1:$1,FALSE))),"")</f>
        <v/>
      </c>
      <c r="AC150" t="str">
        <f>IFERROR(IF(INDEX(Spring!$1:$1048576,MATCH($A150,Spring!$A:$A,FALSE),MATCH(AC$1,Spring!$1:$1,FALSE))="","",INDEX(Spring!$1:$1048576,MATCH($A150,Spring!$A:$A,FALSE),MATCH(AC$1,Spring!$1:$1,FALSE))),"")</f>
        <v/>
      </c>
      <c r="AD150" t="str">
        <f>IFERROR(IF(INDEX(Spring!$1:$1048576,MATCH($A150,Spring!$A:$A,FALSE),MATCH(AD$1,Spring!$1:$1,FALSE))="","",INDEX(Spring!$1:$1048576,MATCH($A150,Spring!$A:$A,FALSE),MATCH(AD$1,Spring!$1:$1,FALSE))),"")</f>
        <v/>
      </c>
    </row>
    <row r="151" spans="1:30" ht="15.75" thickBot="1" x14ac:dyDescent="0.3">
      <c r="A151" s="48" t="s">
        <v>188</v>
      </c>
      <c r="B151" s="49">
        <v>167</v>
      </c>
      <c r="C151" s="50"/>
      <c r="D151" s="50"/>
      <c r="E151" s="50"/>
      <c r="F151" s="45"/>
      <c r="G151" s="45"/>
      <c r="H151" s="44"/>
      <c r="J151" t="str">
        <f>IFERROR(IF(INDEX(Fall!$1:$1048576,MATCH($A151,Fall!$A:$A,FALSE),MATCH(J$1,Fall!$1:$1,FALSE))="","",INDEX(Fall!$1:$1048576,MATCH($A151,Fall!$A:$A,FALSE),MATCH(J$1,Fall!$1:$1,FALSE))),"")</f>
        <v/>
      </c>
      <c r="K151" t="str">
        <f>IFERROR(IF(INDEX(Fall!$1:$1048576,MATCH($A151,Fall!$A:$A,FALSE),MATCH(K$1,Fall!$1:$1,FALSE))="","",INDEX(Fall!$1:$1048576,MATCH($A151,Fall!$A:$A,FALSE),MATCH(K$1,Fall!$1:$1,FALSE))),"")</f>
        <v/>
      </c>
      <c r="L151" t="str">
        <f>IFERROR(IF(INDEX(Fall!$1:$1048576,MATCH($A151,Fall!$A:$A,FALSE),MATCH(L$1,Fall!$1:$1,FALSE))="","",INDEX(Fall!$1:$1048576,MATCH($A151,Fall!$A:$A,FALSE),MATCH(L$1,Fall!$1:$1,FALSE))),"")</f>
        <v/>
      </c>
      <c r="M151" t="str">
        <f>IFERROR(IF(INDEX(Fall!$1:$1048576,MATCH($A151,Fall!$A:$A,FALSE),MATCH(M$1,Fall!$1:$1,FALSE))="","",INDEX(Fall!$1:$1048576,MATCH($A151,Fall!$A:$A,FALSE),MATCH(M$1,Fall!$1:$1,FALSE))),"")</f>
        <v/>
      </c>
      <c r="N151" t="str">
        <f>IFERROR(IF(INDEX(Fall!$1:$1048576,MATCH($A151,Fall!$A:$A,FALSE),MATCH(N$1,Fall!$1:$1,FALSE))="","",INDEX(Fall!$1:$1048576,MATCH($A151,Fall!$A:$A,FALSE),MATCH(N$1,Fall!$1:$1,FALSE))),"")</f>
        <v/>
      </c>
      <c r="O151" t="str">
        <f>IFERROR(IF(INDEX(Fall!$1:$1048576,MATCH($A151,Fall!$A:$A,FALSE),MATCH(O$1,Fall!$1:$1,FALSE))="","",INDEX(Fall!$1:$1048576,MATCH($A151,Fall!$A:$A,FALSE),MATCH(O$1,Fall!$1:$1,FALSE))),"")</f>
        <v/>
      </c>
      <c r="P151" t="str">
        <f>IFERROR(IF(INDEX(Fall!$1:$1048576,MATCH($A151,Fall!$A:$A,FALSE),MATCH(P$1,Fall!$1:$1,FALSE))="","",INDEX(Fall!$1:$1048576,MATCH($A151,Fall!$A:$A,FALSE),MATCH(P$1,Fall!$1:$1,FALSE))),"")</f>
        <v/>
      </c>
      <c r="R151" t="str">
        <f>IFERROR(IF(INDEX(Winter!$1:$1048576,MATCH($A151,Winter!$A:$A,FALSE),MATCH(R$1,Winter!$1:$1,FALSE))="","",INDEX(Winter!$1:$1048576,MATCH($A151,Winter!$A:$A,FALSE),MATCH(R$1,Winter!$1:$1,FALSE))),"")</f>
        <v>1A</v>
      </c>
      <c r="S151" t="str">
        <f>IFERROR(IF(INDEX(Winter!$1:$1048576,MATCH($A151,Winter!$A:$A,FALSE),MATCH(S$1,Winter!$1:$1,FALSE))="","",INDEX(Winter!$1:$1048576,MATCH($A151,Winter!$A:$A,FALSE),MATCH(S$1,Winter!$1:$1,FALSE))),"")</f>
        <v/>
      </c>
      <c r="T151" t="str">
        <f>IFERROR(IF(INDEX(Winter!$1:$1048576,MATCH($A151,Winter!$A:$A,FALSE),MATCH(T$1,Winter!$1:$1,FALSE))="","",INDEX(Winter!$1:$1048576,MATCH($A151,Winter!$A:$A,FALSE),MATCH(T$1,Winter!$1:$1,FALSE))),"")</f>
        <v/>
      </c>
      <c r="U151" t="str">
        <f>IFERROR(IF(INDEX(Winter!$1:$1048576,MATCH($A151,Winter!$A:$A,FALSE),MATCH(U$1,Winter!$1:$1,FALSE))="","",INDEX(Winter!$1:$1048576,MATCH($A151,Winter!$A:$A,FALSE),MATCH(U$1,Winter!$1:$1,FALSE))),"")</f>
        <v>1A</v>
      </c>
      <c r="V151" t="str">
        <f>IFERROR(IF(INDEX(Winter!$1:$1048576,MATCH($A151,Winter!$A:$A,FALSE),MATCH(V$1,Winter!$1:$1,FALSE))="","",INDEX(Winter!$1:$1048576,MATCH($A151,Winter!$A:$A,FALSE),MATCH(V$1,Winter!$1:$1,FALSE))),"")</f>
        <v/>
      </c>
      <c r="W151" t="str">
        <f>IFERROR(IF(INDEX(Winter!$1:$1048576,MATCH($A151,Winter!$A:$A,FALSE),MATCH(W$1,Winter!$1:$1,FALSE))="","",INDEX(Winter!$1:$1048576,MATCH($A151,Winter!$A:$A,FALSE),MATCH(W$1,Winter!$1:$1,FALSE))),"")</f>
        <v>1A</v>
      </c>
      <c r="Y151" t="str">
        <f>IFERROR(IF(INDEX(Spring!$1:$1048576,MATCH($A151,Spring!$A:$A,FALSE),MATCH(Y$1,Spring!$1:$1,FALSE))="","",INDEX(Spring!$1:$1048576,MATCH($A151,Spring!$A:$A,FALSE),MATCH(Y$1,Spring!$1:$1,FALSE))),"")</f>
        <v/>
      </c>
      <c r="Z151" t="str">
        <f>IFERROR(IF(INDEX(Spring!$1:$1048576,MATCH($A151,Spring!$A:$A,FALSE),MATCH(Z$1,Spring!$1:$1,FALSE))="","",INDEX(Spring!$1:$1048576,MATCH($A151,Spring!$A:$A,FALSE),MATCH(Z$1,Spring!$1:$1,FALSE))),"")</f>
        <v/>
      </c>
      <c r="AA151" t="str">
        <f>IFERROR(IF(INDEX(Spring!$1:$1048576,MATCH($A151,Spring!$A:$A,FALSE),MATCH(AA$1,Spring!$1:$1,FALSE))="","",INDEX(Spring!$1:$1048576,MATCH($A151,Spring!$A:$A,FALSE),MATCH(AA$1,Spring!$1:$1,FALSE))),"")</f>
        <v/>
      </c>
      <c r="AB151" t="str">
        <f>IFERROR(IF(INDEX(Spring!$1:$1048576,MATCH($A151,Spring!$A:$A,FALSE),MATCH(AB$1,Spring!$1:$1,FALSE))="","",INDEX(Spring!$1:$1048576,MATCH($A151,Spring!$A:$A,FALSE),MATCH(AB$1,Spring!$1:$1,FALSE))),"")</f>
        <v/>
      </c>
      <c r="AC151" t="str">
        <f>IFERROR(IF(INDEX(Spring!$1:$1048576,MATCH($A151,Spring!$A:$A,FALSE),MATCH(AC$1,Spring!$1:$1,FALSE))="","",INDEX(Spring!$1:$1048576,MATCH($A151,Spring!$A:$A,FALSE),MATCH(AC$1,Spring!$1:$1,FALSE))),"")</f>
        <v>1A</v>
      </c>
      <c r="AD151" t="str">
        <f>IFERROR(IF(INDEX(Spring!$1:$1048576,MATCH($A151,Spring!$A:$A,FALSE),MATCH(AD$1,Spring!$1:$1,FALSE))="","",INDEX(Spring!$1:$1048576,MATCH($A151,Spring!$A:$A,FALSE),MATCH(AD$1,Spring!$1:$1,FALSE))),"")</f>
        <v>1A</v>
      </c>
    </row>
    <row r="152" spans="1:30" ht="15.75" thickBot="1" x14ac:dyDescent="0.3">
      <c r="A152" s="48" t="s">
        <v>189</v>
      </c>
      <c r="B152" s="49">
        <v>516</v>
      </c>
      <c r="C152" s="50"/>
      <c r="D152" s="50"/>
      <c r="E152" s="50"/>
      <c r="F152" s="45"/>
      <c r="G152" s="45"/>
      <c r="H152" s="44"/>
      <c r="J152" t="str">
        <f>IFERROR(IF(INDEX(Fall!$1:$1048576,MATCH($A152,Fall!$A:$A,FALSE),MATCH(J$1,Fall!$1:$1,FALSE))="","",INDEX(Fall!$1:$1048576,MATCH($A152,Fall!$A:$A,FALSE),MATCH(J$1,Fall!$1:$1,FALSE))),"")</f>
        <v/>
      </c>
      <c r="K152" t="str">
        <f>IFERROR(IF(INDEX(Fall!$1:$1048576,MATCH($A152,Fall!$A:$A,FALSE),MATCH(K$1,Fall!$1:$1,FALSE))="","",INDEX(Fall!$1:$1048576,MATCH($A152,Fall!$A:$A,FALSE),MATCH(K$1,Fall!$1:$1,FALSE))),"")</f>
        <v/>
      </c>
      <c r="L152" t="str">
        <f>IFERROR(IF(INDEX(Fall!$1:$1048576,MATCH($A152,Fall!$A:$A,FALSE),MATCH(L$1,Fall!$1:$1,FALSE))="","",INDEX(Fall!$1:$1048576,MATCH($A152,Fall!$A:$A,FALSE),MATCH(L$1,Fall!$1:$1,FALSE))),"")</f>
        <v/>
      </c>
      <c r="M152" t="str">
        <f>IFERROR(IF(INDEX(Fall!$1:$1048576,MATCH($A152,Fall!$A:$A,FALSE),MATCH(M$1,Fall!$1:$1,FALSE))="","",INDEX(Fall!$1:$1048576,MATCH($A152,Fall!$A:$A,FALSE),MATCH(M$1,Fall!$1:$1,FALSE))),"")</f>
        <v/>
      </c>
      <c r="N152" t="str">
        <f>IFERROR(IF(INDEX(Fall!$1:$1048576,MATCH($A152,Fall!$A:$A,FALSE),MATCH(N$1,Fall!$1:$1,FALSE))="","",INDEX(Fall!$1:$1048576,MATCH($A152,Fall!$A:$A,FALSE),MATCH(N$1,Fall!$1:$1,FALSE))),"")</f>
        <v/>
      </c>
      <c r="O152" t="str">
        <f>IFERROR(IF(INDEX(Fall!$1:$1048576,MATCH($A152,Fall!$A:$A,FALSE),MATCH(O$1,Fall!$1:$1,FALSE))="","",INDEX(Fall!$1:$1048576,MATCH($A152,Fall!$A:$A,FALSE),MATCH(O$1,Fall!$1:$1,FALSE))),"")</f>
        <v/>
      </c>
      <c r="P152" t="str">
        <f>IFERROR(IF(INDEX(Fall!$1:$1048576,MATCH($A152,Fall!$A:$A,FALSE),MATCH(P$1,Fall!$1:$1,FALSE))="","",INDEX(Fall!$1:$1048576,MATCH($A152,Fall!$A:$A,FALSE),MATCH(P$1,Fall!$1:$1,FALSE))),"")</f>
        <v>2A</v>
      </c>
      <c r="R152" t="str">
        <f>IFERROR(IF(INDEX(Winter!$1:$1048576,MATCH($A152,Winter!$A:$A,FALSE),MATCH(R$1,Winter!$1:$1,FALSE))="","",INDEX(Winter!$1:$1048576,MATCH($A152,Winter!$A:$A,FALSE),MATCH(R$1,Winter!$1:$1,FALSE))),"")</f>
        <v>2A</v>
      </c>
      <c r="S152" t="str">
        <f>IFERROR(IF(INDEX(Winter!$1:$1048576,MATCH($A152,Winter!$A:$A,FALSE),MATCH(S$1,Winter!$1:$1,FALSE))="","",INDEX(Winter!$1:$1048576,MATCH($A152,Winter!$A:$A,FALSE),MATCH(S$1,Winter!$1:$1,FALSE))),"")</f>
        <v>2A</v>
      </c>
      <c r="T152" t="str">
        <f>IFERROR(IF(INDEX(Winter!$1:$1048576,MATCH($A152,Winter!$A:$A,FALSE),MATCH(T$1,Winter!$1:$1,FALSE))="","",INDEX(Winter!$1:$1048576,MATCH($A152,Winter!$A:$A,FALSE),MATCH(T$1,Winter!$1:$1,FALSE))),"")</f>
        <v/>
      </c>
      <c r="U152" t="str">
        <f>IFERROR(IF(INDEX(Winter!$1:$1048576,MATCH($A152,Winter!$A:$A,FALSE),MATCH(U$1,Winter!$1:$1,FALSE))="","",INDEX(Winter!$1:$1048576,MATCH($A152,Winter!$A:$A,FALSE),MATCH(U$1,Winter!$1:$1,FALSE))),"")</f>
        <v>1A</v>
      </c>
      <c r="V152" t="str">
        <f>IFERROR(IF(INDEX(Winter!$1:$1048576,MATCH($A152,Winter!$A:$A,FALSE),MATCH(V$1,Winter!$1:$1,FALSE))="","",INDEX(Winter!$1:$1048576,MATCH($A152,Winter!$A:$A,FALSE),MATCH(V$1,Winter!$1:$1,FALSE))),"")</f>
        <v/>
      </c>
      <c r="W152" t="str">
        <f>IFERROR(IF(INDEX(Winter!$1:$1048576,MATCH($A152,Winter!$A:$A,FALSE),MATCH(W$1,Winter!$1:$1,FALSE))="","",INDEX(Winter!$1:$1048576,MATCH($A152,Winter!$A:$A,FALSE),MATCH(W$1,Winter!$1:$1,FALSE))),"")</f>
        <v>1A</v>
      </c>
      <c r="Y152" t="str">
        <f>IFERROR(IF(INDEX(Spring!$1:$1048576,MATCH($A152,Spring!$A:$A,FALSE),MATCH(Y$1,Spring!$1:$1,FALSE))="","",INDEX(Spring!$1:$1048576,MATCH($A152,Spring!$A:$A,FALSE),MATCH(Y$1,Spring!$1:$1,FALSE))),"")</f>
        <v/>
      </c>
      <c r="Z152" t="str">
        <f>IFERROR(IF(INDEX(Spring!$1:$1048576,MATCH($A152,Spring!$A:$A,FALSE),MATCH(Z$1,Spring!$1:$1,FALSE))="","",INDEX(Spring!$1:$1048576,MATCH($A152,Spring!$A:$A,FALSE),MATCH(Z$1,Spring!$1:$1,FALSE))),"")</f>
        <v/>
      </c>
      <c r="AA152" t="str">
        <f>IFERROR(IF(INDEX(Spring!$1:$1048576,MATCH($A152,Spring!$A:$A,FALSE),MATCH(AA$1,Spring!$1:$1,FALSE))="","",INDEX(Spring!$1:$1048576,MATCH($A152,Spring!$A:$A,FALSE),MATCH(AA$1,Spring!$1:$1,FALSE))),"")</f>
        <v/>
      </c>
      <c r="AB152" t="str">
        <f>IFERROR(IF(INDEX(Spring!$1:$1048576,MATCH($A152,Spring!$A:$A,FALSE),MATCH(AB$1,Spring!$1:$1,FALSE))="","",INDEX(Spring!$1:$1048576,MATCH($A152,Spring!$A:$A,FALSE),MATCH(AB$1,Spring!$1:$1,FALSE))),"")</f>
        <v/>
      </c>
      <c r="AC152" t="str">
        <f>IFERROR(IF(INDEX(Spring!$1:$1048576,MATCH($A152,Spring!$A:$A,FALSE),MATCH(AC$1,Spring!$1:$1,FALSE))="","",INDEX(Spring!$1:$1048576,MATCH($A152,Spring!$A:$A,FALSE),MATCH(AC$1,Spring!$1:$1,FALSE))),"")</f>
        <v>2A</v>
      </c>
      <c r="AD152" t="str">
        <f>IFERROR(IF(INDEX(Spring!$1:$1048576,MATCH($A152,Spring!$A:$A,FALSE),MATCH(AD$1,Spring!$1:$1,FALSE))="","",INDEX(Spring!$1:$1048576,MATCH($A152,Spring!$A:$A,FALSE),MATCH(AD$1,Spring!$1:$1,FALSE))),"")</f>
        <v>2A</v>
      </c>
    </row>
    <row r="153" spans="1:30" ht="15.75" thickBot="1" x14ac:dyDescent="0.3">
      <c r="A153" s="48" t="s">
        <v>190</v>
      </c>
      <c r="B153" s="49">
        <v>608</v>
      </c>
      <c r="C153" s="50"/>
      <c r="D153" s="50"/>
      <c r="E153" s="50"/>
      <c r="F153" s="45"/>
      <c r="G153" s="45"/>
      <c r="H153" s="44"/>
      <c r="J153" t="str">
        <f>IFERROR(IF(INDEX(Fall!$1:$1048576,MATCH($A153,Fall!$A:$A,FALSE),MATCH(J$1,Fall!$1:$1,FALSE))="","",INDEX(Fall!$1:$1048576,MATCH($A153,Fall!$A:$A,FALSE),MATCH(J$1,Fall!$1:$1,FALSE))),"")</f>
        <v/>
      </c>
      <c r="K153" t="str">
        <f>IFERROR(IF(INDEX(Fall!$1:$1048576,MATCH($A153,Fall!$A:$A,FALSE),MATCH(K$1,Fall!$1:$1,FALSE))="","",INDEX(Fall!$1:$1048576,MATCH($A153,Fall!$A:$A,FALSE),MATCH(K$1,Fall!$1:$1,FALSE))),"")</f>
        <v/>
      </c>
      <c r="L153" t="str">
        <f>IFERROR(IF(INDEX(Fall!$1:$1048576,MATCH($A153,Fall!$A:$A,FALSE),MATCH(L$1,Fall!$1:$1,FALSE))="","",INDEX(Fall!$1:$1048576,MATCH($A153,Fall!$A:$A,FALSE),MATCH(L$1,Fall!$1:$1,FALSE))),"")</f>
        <v/>
      </c>
      <c r="M153" t="str">
        <f>IFERROR(IF(INDEX(Fall!$1:$1048576,MATCH($A153,Fall!$A:$A,FALSE),MATCH(M$1,Fall!$1:$1,FALSE))="","",INDEX(Fall!$1:$1048576,MATCH($A153,Fall!$A:$A,FALSE),MATCH(M$1,Fall!$1:$1,FALSE))),"")</f>
        <v/>
      </c>
      <c r="N153" t="str">
        <f>IFERROR(IF(INDEX(Fall!$1:$1048576,MATCH($A153,Fall!$A:$A,FALSE),MATCH(N$1,Fall!$1:$1,FALSE))="","",INDEX(Fall!$1:$1048576,MATCH($A153,Fall!$A:$A,FALSE),MATCH(N$1,Fall!$1:$1,FALSE))),"")</f>
        <v/>
      </c>
      <c r="O153" t="str">
        <f>IFERROR(IF(INDEX(Fall!$1:$1048576,MATCH($A153,Fall!$A:$A,FALSE),MATCH(O$1,Fall!$1:$1,FALSE))="","",INDEX(Fall!$1:$1048576,MATCH($A153,Fall!$A:$A,FALSE),MATCH(O$1,Fall!$1:$1,FALSE))),"")</f>
        <v/>
      </c>
      <c r="P153" t="str">
        <f>IFERROR(IF(INDEX(Fall!$1:$1048576,MATCH($A153,Fall!$A:$A,FALSE),MATCH(P$1,Fall!$1:$1,FALSE))="","",INDEX(Fall!$1:$1048576,MATCH($A153,Fall!$A:$A,FALSE),MATCH(P$1,Fall!$1:$1,FALSE))),"")</f>
        <v>2A</v>
      </c>
      <c r="R153" t="str">
        <f>IFERROR(IF(INDEX(Winter!$1:$1048576,MATCH($A153,Winter!$A:$A,FALSE),MATCH(R$1,Winter!$1:$1,FALSE))="","",INDEX(Winter!$1:$1048576,MATCH($A153,Winter!$A:$A,FALSE),MATCH(R$1,Winter!$1:$1,FALSE))),"")</f>
        <v>2A</v>
      </c>
      <c r="S153" t="str">
        <f>IFERROR(IF(INDEX(Winter!$1:$1048576,MATCH($A153,Winter!$A:$A,FALSE),MATCH(S$1,Winter!$1:$1,FALSE))="","",INDEX(Winter!$1:$1048576,MATCH($A153,Winter!$A:$A,FALSE),MATCH(S$1,Winter!$1:$1,FALSE))),"")</f>
        <v>2A</v>
      </c>
      <c r="T153" t="str">
        <f>IFERROR(IF(INDEX(Winter!$1:$1048576,MATCH($A153,Winter!$A:$A,FALSE),MATCH(T$1,Winter!$1:$1,FALSE))="","",INDEX(Winter!$1:$1048576,MATCH($A153,Winter!$A:$A,FALSE),MATCH(T$1,Winter!$1:$1,FALSE))),"")</f>
        <v/>
      </c>
      <c r="U153" t="str">
        <f>IFERROR(IF(INDEX(Winter!$1:$1048576,MATCH($A153,Winter!$A:$A,FALSE),MATCH(U$1,Winter!$1:$1,FALSE))="","",INDEX(Winter!$1:$1048576,MATCH($A153,Winter!$A:$A,FALSE),MATCH(U$1,Winter!$1:$1,FALSE))),"")</f>
        <v/>
      </c>
      <c r="V153" t="str">
        <f>IFERROR(IF(INDEX(Winter!$1:$1048576,MATCH($A153,Winter!$A:$A,FALSE),MATCH(V$1,Winter!$1:$1,FALSE))="","",INDEX(Winter!$1:$1048576,MATCH($A153,Winter!$A:$A,FALSE),MATCH(V$1,Winter!$1:$1,FALSE))),"")</f>
        <v/>
      </c>
      <c r="W153" t="str">
        <f>IFERROR(IF(INDEX(Winter!$1:$1048576,MATCH($A153,Winter!$A:$A,FALSE),MATCH(W$1,Winter!$1:$1,FALSE))="","",INDEX(Winter!$1:$1048576,MATCH($A153,Winter!$A:$A,FALSE),MATCH(W$1,Winter!$1:$1,FALSE))),"")</f>
        <v>1A</v>
      </c>
      <c r="Y153" t="str">
        <f>IFERROR(IF(INDEX(Spring!$1:$1048576,MATCH($A153,Spring!$A:$A,FALSE),MATCH(Y$1,Spring!$1:$1,FALSE))="","",INDEX(Spring!$1:$1048576,MATCH($A153,Spring!$A:$A,FALSE),MATCH(Y$1,Spring!$1:$1,FALSE))),"")</f>
        <v/>
      </c>
      <c r="Z153" t="str">
        <f>IFERROR(IF(INDEX(Spring!$1:$1048576,MATCH($A153,Spring!$A:$A,FALSE),MATCH(Z$1,Spring!$1:$1,FALSE))="","",INDEX(Spring!$1:$1048576,MATCH($A153,Spring!$A:$A,FALSE),MATCH(Z$1,Spring!$1:$1,FALSE))),"")</f>
        <v/>
      </c>
      <c r="AA153" t="str">
        <f>IFERROR(IF(INDEX(Spring!$1:$1048576,MATCH($A153,Spring!$A:$A,FALSE),MATCH(AA$1,Spring!$1:$1,FALSE))="","",INDEX(Spring!$1:$1048576,MATCH($A153,Spring!$A:$A,FALSE),MATCH(AA$1,Spring!$1:$1,FALSE))),"")</f>
        <v>1A</v>
      </c>
      <c r="AB153" t="str">
        <f>IFERROR(IF(INDEX(Spring!$1:$1048576,MATCH($A153,Spring!$A:$A,FALSE),MATCH(AB$1,Spring!$1:$1,FALSE))="","",INDEX(Spring!$1:$1048576,MATCH($A153,Spring!$A:$A,FALSE),MATCH(AB$1,Spring!$1:$1,FALSE))),"")</f>
        <v/>
      </c>
      <c r="AC153" t="str">
        <f>IFERROR(IF(INDEX(Spring!$1:$1048576,MATCH($A153,Spring!$A:$A,FALSE),MATCH(AC$1,Spring!$1:$1,FALSE))="","",INDEX(Spring!$1:$1048576,MATCH($A153,Spring!$A:$A,FALSE),MATCH(AC$1,Spring!$1:$1,FALSE))),"")</f>
        <v>2A</v>
      </c>
      <c r="AD153" t="str">
        <f>IFERROR(IF(INDEX(Spring!$1:$1048576,MATCH($A153,Spring!$A:$A,FALSE),MATCH(AD$1,Spring!$1:$1,FALSE))="","",INDEX(Spring!$1:$1048576,MATCH($A153,Spring!$A:$A,FALSE),MATCH(AD$1,Spring!$1:$1,FALSE))),"")</f>
        <v>2A</v>
      </c>
    </row>
    <row r="154" spans="1:30" ht="23.25" thickBot="1" x14ac:dyDescent="0.3">
      <c r="A154" s="48" t="s">
        <v>921</v>
      </c>
      <c r="B154" s="49" t="s">
        <v>1027</v>
      </c>
      <c r="C154" s="49" t="s">
        <v>1004</v>
      </c>
      <c r="D154" s="50"/>
      <c r="E154" s="50"/>
      <c r="F154" s="45"/>
      <c r="G154" s="45"/>
      <c r="H154" s="44"/>
      <c r="J154" t="str">
        <f>IFERROR(IF(INDEX(Fall!$1:$1048576,MATCH($A154,Fall!$A:$A,FALSE),MATCH(J$1,Fall!$1:$1,FALSE))="","",INDEX(Fall!$1:$1048576,MATCH($A154,Fall!$A:$A,FALSE),MATCH(J$1,Fall!$1:$1,FALSE))),"")</f>
        <v/>
      </c>
      <c r="K154" t="str">
        <f>IFERROR(IF(INDEX(Fall!$1:$1048576,MATCH($A154,Fall!$A:$A,FALSE),MATCH(K$1,Fall!$1:$1,FALSE))="","",INDEX(Fall!$1:$1048576,MATCH($A154,Fall!$A:$A,FALSE),MATCH(K$1,Fall!$1:$1,FALSE))),"")</f>
        <v/>
      </c>
      <c r="L154" t="str">
        <f>IFERROR(IF(INDEX(Fall!$1:$1048576,MATCH($A154,Fall!$A:$A,FALSE),MATCH(L$1,Fall!$1:$1,FALSE))="","",INDEX(Fall!$1:$1048576,MATCH($A154,Fall!$A:$A,FALSE),MATCH(L$1,Fall!$1:$1,FALSE))),"")</f>
        <v/>
      </c>
      <c r="M154" t="str">
        <f>IFERROR(IF(INDEX(Fall!$1:$1048576,MATCH($A154,Fall!$A:$A,FALSE),MATCH(M$1,Fall!$1:$1,FALSE))="","",INDEX(Fall!$1:$1048576,MATCH($A154,Fall!$A:$A,FALSE),MATCH(M$1,Fall!$1:$1,FALSE))),"")</f>
        <v/>
      </c>
      <c r="N154" t="str">
        <f>IFERROR(IF(INDEX(Fall!$1:$1048576,MATCH($A154,Fall!$A:$A,FALSE),MATCH(N$1,Fall!$1:$1,FALSE))="","",INDEX(Fall!$1:$1048576,MATCH($A154,Fall!$A:$A,FALSE),MATCH(N$1,Fall!$1:$1,FALSE))),"")</f>
        <v/>
      </c>
      <c r="O154" t="str">
        <f>IFERROR(IF(INDEX(Fall!$1:$1048576,MATCH($A154,Fall!$A:$A,FALSE),MATCH(O$1,Fall!$1:$1,FALSE))="","",INDEX(Fall!$1:$1048576,MATCH($A154,Fall!$A:$A,FALSE),MATCH(O$1,Fall!$1:$1,FALSE))),"")</f>
        <v/>
      </c>
      <c r="P154" t="str">
        <f>IFERROR(IF(INDEX(Fall!$1:$1048576,MATCH($A154,Fall!$A:$A,FALSE),MATCH(P$1,Fall!$1:$1,FALSE))="","",INDEX(Fall!$1:$1048576,MATCH($A154,Fall!$A:$A,FALSE),MATCH(P$1,Fall!$1:$1,FALSE))),"")</f>
        <v/>
      </c>
      <c r="R154" t="str">
        <f>IFERROR(IF(INDEX(Winter!$1:$1048576,MATCH($A154,Winter!$A:$A,FALSE),MATCH(R$1,Winter!$1:$1,FALSE))="","",INDEX(Winter!$1:$1048576,MATCH($A154,Winter!$A:$A,FALSE),MATCH(R$1,Winter!$1:$1,FALSE))),"")</f>
        <v>2A</v>
      </c>
      <c r="S154" t="str">
        <f>IFERROR(IF(INDEX(Winter!$1:$1048576,MATCH($A154,Winter!$A:$A,FALSE),MATCH(S$1,Winter!$1:$1,FALSE))="","",INDEX(Winter!$1:$1048576,MATCH($A154,Winter!$A:$A,FALSE),MATCH(S$1,Winter!$1:$1,FALSE))),"")</f>
        <v/>
      </c>
      <c r="T154" t="str">
        <f>IFERROR(IF(INDEX(Winter!$1:$1048576,MATCH($A154,Winter!$A:$A,FALSE),MATCH(T$1,Winter!$1:$1,FALSE))="","",INDEX(Winter!$1:$1048576,MATCH($A154,Winter!$A:$A,FALSE),MATCH(T$1,Winter!$1:$1,FALSE))),"")</f>
        <v/>
      </c>
      <c r="U154" t="str">
        <f>IFERROR(IF(INDEX(Winter!$1:$1048576,MATCH($A154,Winter!$A:$A,FALSE),MATCH(U$1,Winter!$1:$1,FALSE))="","",INDEX(Winter!$1:$1048576,MATCH($A154,Winter!$A:$A,FALSE),MATCH(U$1,Winter!$1:$1,FALSE))),"")</f>
        <v/>
      </c>
      <c r="V154" t="str">
        <f>IFERROR(IF(INDEX(Winter!$1:$1048576,MATCH($A154,Winter!$A:$A,FALSE),MATCH(V$1,Winter!$1:$1,FALSE))="","",INDEX(Winter!$1:$1048576,MATCH($A154,Winter!$A:$A,FALSE),MATCH(V$1,Winter!$1:$1,FALSE))),"")</f>
        <v/>
      </c>
      <c r="W154" t="str">
        <f>IFERROR(IF(INDEX(Winter!$1:$1048576,MATCH($A154,Winter!$A:$A,FALSE),MATCH(W$1,Winter!$1:$1,FALSE))="","",INDEX(Winter!$1:$1048576,MATCH($A154,Winter!$A:$A,FALSE),MATCH(W$1,Winter!$1:$1,FALSE))),"")</f>
        <v/>
      </c>
      <c r="Y154" t="str">
        <f>IFERROR(IF(INDEX(Spring!$1:$1048576,MATCH($A154,Spring!$A:$A,FALSE),MATCH(Y$1,Spring!$1:$1,FALSE))="","",INDEX(Spring!$1:$1048576,MATCH($A154,Spring!$A:$A,FALSE),MATCH(Y$1,Spring!$1:$1,FALSE))),"")</f>
        <v/>
      </c>
      <c r="Z154" t="str">
        <f>IFERROR(IF(INDEX(Spring!$1:$1048576,MATCH($A154,Spring!$A:$A,FALSE),MATCH(Z$1,Spring!$1:$1,FALSE))="","",INDEX(Spring!$1:$1048576,MATCH($A154,Spring!$A:$A,FALSE),MATCH(Z$1,Spring!$1:$1,FALSE))),"")</f>
        <v/>
      </c>
      <c r="AA154" t="str">
        <f>IFERROR(IF(INDEX(Spring!$1:$1048576,MATCH($A154,Spring!$A:$A,FALSE),MATCH(AA$1,Spring!$1:$1,FALSE))="","",INDEX(Spring!$1:$1048576,MATCH($A154,Spring!$A:$A,FALSE),MATCH(AA$1,Spring!$1:$1,FALSE))),"")</f>
        <v/>
      </c>
      <c r="AB154" t="str">
        <f>IFERROR(IF(INDEX(Spring!$1:$1048576,MATCH($A154,Spring!$A:$A,FALSE),MATCH(AB$1,Spring!$1:$1,FALSE))="","",INDEX(Spring!$1:$1048576,MATCH($A154,Spring!$A:$A,FALSE),MATCH(AB$1,Spring!$1:$1,FALSE))),"")</f>
        <v/>
      </c>
      <c r="AC154" t="str">
        <f>IFERROR(IF(INDEX(Spring!$1:$1048576,MATCH($A154,Spring!$A:$A,FALSE),MATCH(AC$1,Spring!$1:$1,FALSE))="","",INDEX(Spring!$1:$1048576,MATCH($A154,Spring!$A:$A,FALSE),MATCH(AC$1,Spring!$1:$1,FALSE))),"")</f>
        <v/>
      </c>
      <c r="AD154" t="str">
        <f>IFERROR(IF(INDEX(Spring!$1:$1048576,MATCH($A154,Spring!$A:$A,FALSE),MATCH(AD$1,Spring!$1:$1,FALSE))="","",INDEX(Spring!$1:$1048576,MATCH($A154,Spring!$A:$A,FALSE),MATCH(AD$1,Spring!$1:$1,FALSE))),"")</f>
        <v/>
      </c>
    </row>
    <row r="155" spans="1:30" ht="23.25" thickBot="1" x14ac:dyDescent="0.3">
      <c r="A155" s="48" t="s">
        <v>923</v>
      </c>
      <c r="B155" s="49" t="s">
        <v>924</v>
      </c>
      <c r="C155" s="49" t="s">
        <v>1004</v>
      </c>
      <c r="D155" s="50"/>
      <c r="E155" s="50"/>
      <c r="F155" s="45"/>
      <c r="G155" s="45"/>
      <c r="H155" s="44"/>
      <c r="J155" t="str">
        <f>IFERROR(IF(INDEX(Fall!$1:$1048576,MATCH($A155,Fall!$A:$A,FALSE),MATCH(J$1,Fall!$1:$1,FALSE))="","",INDEX(Fall!$1:$1048576,MATCH($A155,Fall!$A:$A,FALSE),MATCH(J$1,Fall!$1:$1,FALSE))),"")</f>
        <v/>
      </c>
      <c r="K155" t="str">
        <f>IFERROR(IF(INDEX(Fall!$1:$1048576,MATCH($A155,Fall!$A:$A,FALSE),MATCH(K$1,Fall!$1:$1,FALSE))="","",INDEX(Fall!$1:$1048576,MATCH($A155,Fall!$A:$A,FALSE),MATCH(K$1,Fall!$1:$1,FALSE))),"")</f>
        <v/>
      </c>
      <c r="L155" t="str">
        <f>IFERROR(IF(INDEX(Fall!$1:$1048576,MATCH($A155,Fall!$A:$A,FALSE),MATCH(L$1,Fall!$1:$1,FALSE))="","",INDEX(Fall!$1:$1048576,MATCH($A155,Fall!$A:$A,FALSE),MATCH(L$1,Fall!$1:$1,FALSE))),"")</f>
        <v/>
      </c>
      <c r="M155" t="str">
        <f>IFERROR(IF(INDEX(Fall!$1:$1048576,MATCH($A155,Fall!$A:$A,FALSE),MATCH(M$1,Fall!$1:$1,FALSE))="","",INDEX(Fall!$1:$1048576,MATCH($A155,Fall!$A:$A,FALSE),MATCH(M$1,Fall!$1:$1,FALSE))),"")</f>
        <v/>
      </c>
      <c r="N155" t="str">
        <f>IFERROR(IF(INDEX(Fall!$1:$1048576,MATCH($A155,Fall!$A:$A,FALSE),MATCH(N$1,Fall!$1:$1,FALSE))="","",INDEX(Fall!$1:$1048576,MATCH($A155,Fall!$A:$A,FALSE),MATCH(N$1,Fall!$1:$1,FALSE))),"")</f>
        <v/>
      </c>
      <c r="O155" t="str">
        <f>IFERROR(IF(INDEX(Fall!$1:$1048576,MATCH($A155,Fall!$A:$A,FALSE),MATCH(O$1,Fall!$1:$1,FALSE))="","",INDEX(Fall!$1:$1048576,MATCH($A155,Fall!$A:$A,FALSE),MATCH(O$1,Fall!$1:$1,FALSE))),"")</f>
        <v/>
      </c>
      <c r="P155" t="str">
        <f>IFERROR(IF(INDEX(Fall!$1:$1048576,MATCH($A155,Fall!$A:$A,FALSE),MATCH(P$1,Fall!$1:$1,FALSE))="","",INDEX(Fall!$1:$1048576,MATCH($A155,Fall!$A:$A,FALSE),MATCH(P$1,Fall!$1:$1,FALSE))),"")</f>
        <v/>
      </c>
      <c r="R155" t="str">
        <f>IFERROR(IF(INDEX(Winter!$1:$1048576,MATCH($A155,Winter!$A:$A,FALSE),MATCH(R$1,Winter!$1:$1,FALSE))="","",INDEX(Winter!$1:$1048576,MATCH($A155,Winter!$A:$A,FALSE),MATCH(R$1,Winter!$1:$1,FALSE))),"")</f>
        <v>2A</v>
      </c>
      <c r="S155" t="str">
        <f>IFERROR(IF(INDEX(Winter!$1:$1048576,MATCH($A155,Winter!$A:$A,FALSE),MATCH(S$1,Winter!$1:$1,FALSE))="","",INDEX(Winter!$1:$1048576,MATCH($A155,Winter!$A:$A,FALSE),MATCH(S$1,Winter!$1:$1,FALSE))),"")</f>
        <v/>
      </c>
      <c r="T155" t="str">
        <f>IFERROR(IF(INDEX(Winter!$1:$1048576,MATCH($A155,Winter!$A:$A,FALSE),MATCH(T$1,Winter!$1:$1,FALSE))="","",INDEX(Winter!$1:$1048576,MATCH($A155,Winter!$A:$A,FALSE),MATCH(T$1,Winter!$1:$1,FALSE))),"")</f>
        <v/>
      </c>
      <c r="U155" t="str">
        <f>IFERROR(IF(INDEX(Winter!$1:$1048576,MATCH($A155,Winter!$A:$A,FALSE),MATCH(U$1,Winter!$1:$1,FALSE))="","",INDEX(Winter!$1:$1048576,MATCH($A155,Winter!$A:$A,FALSE),MATCH(U$1,Winter!$1:$1,FALSE))),"")</f>
        <v/>
      </c>
      <c r="V155" t="str">
        <f>IFERROR(IF(INDEX(Winter!$1:$1048576,MATCH($A155,Winter!$A:$A,FALSE),MATCH(V$1,Winter!$1:$1,FALSE))="","",INDEX(Winter!$1:$1048576,MATCH($A155,Winter!$A:$A,FALSE),MATCH(V$1,Winter!$1:$1,FALSE))),"")</f>
        <v/>
      </c>
      <c r="W155" t="str">
        <f>IFERROR(IF(INDEX(Winter!$1:$1048576,MATCH($A155,Winter!$A:$A,FALSE),MATCH(W$1,Winter!$1:$1,FALSE))="","",INDEX(Winter!$1:$1048576,MATCH($A155,Winter!$A:$A,FALSE),MATCH(W$1,Winter!$1:$1,FALSE))),"")</f>
        <v/>
      </c>
      <c r="Y155" t="str">
        <f>IFERROR(IF(INDEX(Spring!$1:$1048576,MATCH($A155,Spring!$A:$A,FALSE),MATCH(Y$1,Spring!$1:$1,FALSE))="","",INDEX(Spring!$1:$1048576,MATCH($A155,Spring!$A:$A,FALSE),MATCH(Y$1,Spring!$1:$1,FALSE))),"")</f>
        <v/>
      </c>
      <c r="Z155" t="str">
        <f>IFERROR(IF(INDEX(Spring!$1:$1048576,MATCH($A155,Spring!$A:$A,FALSE),MATCH(Z$1,Spring!$1:$1,FALSE))="","",INDEX(Spring!$1:$1048576,MATCH($A155,Spring!$A:$A,FALSE),MATCH(Z$1,Spring!$1:$1,FALSE))),"")</f>
        <v/>
      </c>
      <c r="AA155" t="str">
        <f>IFERROR(IF(INDEX(Spring!$1:$1048576,MATCH($A155,Spring!$A:$A,FALSE),MATCH(AA$1,Spring!$1:$1,FALSE))="","",INDEX(Spring!$1:$1048576,MATCH($A155,Spring!$A:$A,FALSE),MATCH(AA$1,Spring!$1:$1,FALSE))),"")</f>
        <v/>
      </c>
      <c r="AB155" t="str">
        <f>IFERROR(IF(INDEX(Spring!$1:$1048576,MATCH($A155,Spring!$A:$A,FALSE),MATCH(AB$1,Spring!$1:$1,FALSE))="","",INDEX(Spring!$1:$1048576,MATCH($A155,Spring!$A:$A,FALSE),MATCH(AB$1,Spring!$1:$1,FALSE))),"")</f>
        <v/>
      </c>
      <c r="AC155" t="str">
        <f>IFERROR(IF(INDEX(Spring!$1:$1048576,MATCH($A155,Spring!$A:$A,FALSE),MATCH(AC$1,Spring!$1:$1,FALSE))="","",INDEX(Spring!$1:$1048576,MATCH($A155,Spring!$A:$A,FALSE),MATCH(AC$1,Spring!$1:$1,FALSE))),"")</f>
        <v/>
      </c>
      <c r="AD155" t="str">
        <f>IFERROR(IF(INDEX(Spring!$1:$1048576,MATCH($A155,Spring!$A:$A,FALSE),MATCH(AD$1,Spring!$1:$1,FALSE))="","",INDEX(Spring!$1:$1048576,MATCH($A155,Spring!$A:$A,FALSE),MATCH(AD$1,Spring!$1:$1,FALSE))),"")</f>
        <v/>
      </c>
    </row>
    <row r="156" spans="1:30" ht="23.25" thickBot="1" x14ac:dyDescent="0.3">
      <c r="A156" s="48" t="s">
        <v>191</v>
      </c>
      <c r="B156" s="49" t="s">
        <v>192</v>
      </c>
      <c r="C156" s="49" t="s">
        <v>1004</v>
      </c>
      <c r="D156" s="50"/>
      <c r="E156" s="50"/>
      <c r="F156" s="45"/>
      <c r="G156" s="45"/>
      <c r="H156" s="44"/>
      <c r="J156" t="str">
        <f>IFERROR(IF(INDEX(Fall!$1:$1048576,MATCH($A156,Fall!$A:$A,FALSE),MATCH(J$1,Fall!$1:$1,FALSE))="","",INDEX(Fall!$1:$1048576,MATCH($A156,Fall!$A:$A,FALSE),MATCH(J$1,Fall!$1:$1,FALSE))),"")</f>
        <v/>
      </c>
      <c r="K156" t="str">
        <f>IFERROR(IF(INDEX(Fall!$1:$1048576,MATCH($A156,Fall!$A:$A,FALSE),MATCH(K$1,Fall!$1:$1,FALSE))="","",INDEX(Fall!$1:$1048576,MATCH($A156,Fall!$A:$A,FALSE),MATCH(K$1,Fall!$1:$1,FALSE))),"")</f>
        <v/>
      </c>
      <c r="L156" t="str">
        <f>IFERROR(IF(INDEX(Fall!$1:$1048576,MATCH($A156,Fall!$A:$A,FALSE),MATCH(L$1,Fall!$1:$1,FALSE))="","",INDEX(Fall!$1:$1048576,MATCH($A156,Fall!$A:$A,FALSE),MATCH(L$1,Fall!$1:$1,FALSE))),"")</f>
        <v/>
      </c>
      <c r="M156" t="str">
        <f>IFERROR(IF(INDEX(Fall!$1:$1048576,MATCH($A156,Fall!$A:$A,FALSE),MATCH(M$1,Fall!$1:$1,FALSE))="","",INDEX(Fall!$1:$1048576,MATCH($A156,Fall!$A:$A,FALSE),MATCH(M$1,Fall!$1:$1,FALSE))),"")</f>
        <v/>
      </c>
      <c r="N156" t="str">
        <f>IFERROR(IF(INDEX(Fall!$1:$1048576,MATCH($A156,Fall!$A:$A,FALSE),MATCH(N$1,Fall!$1:$1,FALSE))="","",INDEX(Fall!$1:$1048576,MATCH($A156,Fall!$A:$A,FALSE),MATCH(N$1,Fall!$1:$1,FALSE))),"")</f>
        <v/>
      </c>
      <c r="O156" t="str">
        <f>IFERROR(IF(INDEX(Fall!$1:$1048576,MATCH($A156,Fall!$A:$A,FALSE),MATCH(O$1,Fall!$1:$1,FALSE))="","",INDEX(Fall!$1:$1048576,MATCH($A156,Fall!$A:$A,FALSE),MATCH(O$1,Fall!$1:$1,FALSE))),"")</f>
        <v/>
      </c>
      <c r="P156" t="str">
        <f>IFERROR(IF(INDEX(Fall!$1:$1048576,MATCH($A156,Fall!$A:$A,FALSE),MATCH(P$1,Fall!$1:$1,FALSE))="","",INDEX(Fall!$1:$1048576,MATCH($A156,Fall!$A:$A,FALSE),MATCH(P$1,Fall!$1:$1,FALSE))),"")</f>
        <v/>
      </c>
      <c r="R156" t="str">
        <f>IFERROR(IF(INDEX(Winter!$1:$1048576,MATCH($A156,Winter!$A:$A,FALSE),MATCH(R$1,Winter!$1:$1,FALSE))="","",INDEX(Winter!$1:$1048576,MATCH($A156,Winter!$A:$A,FALSE),MATCH(R$1,Winter!$1:$1,FALSE))),"")</f>
        <v/>
      </c>
      <c r="S156" t="str">
        <f>IFERROR(IF(INDEX(Winter!$1:$1048576,MATCH($A156,Winter!$A:$A,FALSE),MATCH(S$1,Winter!$1:$1,FALSE))="","",INDEX(Winter!$1:$1048576,MATCH($A156,Winter!$A:$A,FALSE),MATCH(S$1,Winter!$1:$1,FALSE))),"")</f>
        <v/>
      </c>
      <c r="T156" t="str">
        <f>IFERROR(IF(INDEX(Winter!$1:$1048576,MATCH($A156,Winter!$A:$A,FALSE),MATCH(T$1,Winter!$1:$1,FALSE))="","",INDEX(Winter!$1:$1048576,MATCH($A156,Winter!$A:$A,FALSE),MATCH(T$1,Winter!$1:$1,FALSE))),"")</f>
        <v/>
      </c>
      <c r="U156" t="str">
        <f>IFERROR(IF(INDEX(Winter!$1:$1048576,MATCH($A156,Winter!$A:$A,FALSE),MATCH(U$1,Winter!$1:$1,FALSE))="","",INDEX(Winter!$1:$1048576,MATCH($A156,Winter!$A:$A,FALSE),MATCH(U$1,Winter!$1:$1,FALSE))),"")</f>
        <v/>
      </c>
      <c r="V156" t="str">
        <f>IFERROR(IF(INDEX(Winter!$1:$1048576,MATCH($A156,Winter!$A:$A,FALSE),MATCH(V$1,Winter!$1:$1,FALSE))="","",INDEX(Winter!$1:$1048576,MATCH($A156,Winter!$A:$A,FALSE),MATCH(V$1,Winter!$1:$1,FALSE))),"")</f>
        <v/>
      </c>
      <c r="W156" t="str">
        <f>IFERROR(IF(INDEX(Winter!$1:$1048576,MATCH($A156,Winter!$A:$A,FALSE),MATCH(W$1,Winter!$1:$1,FALSE))="","",INDEX(Winter!$1:$1048576,MATCH($A156,Winter!$A:$A,FALSE),MATCH(W$1,Winter!$1:$1,FALSE))),"")</f>
        <v/>
      </c>
      <c r="Y156" t="str">
        <f>IFERROR(IF(INDEX(Spring!$1:$1048576,MATCH($A156,Spring!$A:$A,FALSE),MATCH(Y$1,Spring!$1:$1,FALSE))="","",INDEX(Spring!$1:$1048576,MATCH($A156,Spring!$A:$A,FALSE),MATCH(Y$1,Spring!$1:$1,FALSE))),"")</f>
        <v/>
      </c>
      <c r="Z156" t="str">
        <f>IFERROR(IF(INDEX(Spring!$1:$1048576,MATCH($A156,Spring!$A:$A,FALSE),MATCH(Z$1,Spring!$1:$1,FALSE))="","",INDEX(Spring!$1:$1048576,MATCH($A156,Spring!$A:$A,FALSE),MATCH(Z$1,Spring!$1:$1,FALSE))),"")</f>
        <v/>
      </c>
      <c r="AA156" t="str">
        <f>IFERROR(IF(INDEX(Spring!$1:$1048576,MATCH($A156,Spring!$A:$A,FALSE),MATCH(AA$1,Spring!$1:$1,FALSE))="","",INDEX(Spring!$1:$1048576,MATCH($A156,Spring!$A:$A,FALSE),MATCH(AA$1,Spring!$1:$1,FALSE))),"")</f>
        <v/>
      </c>
      <c r="AB156" t="str">
        <f>IFERROR(IF(INDEX(Spring!$1:$1048576,MATCH($A156,Spring!$A:$A,FALSE),MATCH(AB$1,Spring!$1:$1,FALSE))="","",INDEX(Spring!$1:$1048576,MATCH($A156,Spring!$A:$A,FALSE),MATCH(AB$1,Spring!$1:$1,FALSE))),"")</f>
        <v/>
      </c>
      <c r="AC156" t="str">
        <f>IFERROR(IF(INDEX(Spring!$1:$1048576,MATCH($A156,Spring!$A:$A,FALSE),MATCH(AC$1,Spring!$1:$1,FALSE))="","",INDEX(Spring!$1:$1048576,MATCH($A156,Spring!$A:$A,FALSE),MATCH(AC$1,Spring!$1:$1,FALSE))),"")</f>
        <v>1A</v>
      </c>
      <c r="AD156" t="str">
        <f>IFERROR(IF(INDEX(Spring!$1:$1048576,MATCH($A156,Spring!$A:$A,FALSE),MATCH(AD$1,Spring!$1:$1,FALSE))="","",INDEX(Spring!$1:$1048576,MATCH($A156,Spring!$A:$A,FALSE),MATCH(AD$1,Spring!$1:$1,FALSE))),"")</f>
        <v/>
      </c>
    </row>
    <row r="157" spans="1:30" ht="23.25" thickBot="1" x14ac:dyDescent="0.3">
      <c r="A157" s="48" t="s">
        <v>925</v>
      </c>
      <c r="B157" s="49" t="s">
        <v>237</v>
      </c>
      <c r="C157" s="49" t="s">
        <v>1004</v>
      </c>
      <c r="D157" s="50"/>
      <c r="E157" s="50"/>
      <c r="F157" s="45"/>
      <c r="G157" s="45"/>
      <c r="H157" s="44"/>
      <c r="J157" t="str">
        <f>IFERROR(IF(INDEX(Fall!$1:$1048576,MATCH($A157,Fall!$A:$A,FALSE),MATCH(J$1,Fall!$1:$1,FALSE))="","",INDEX(Fall!$1:$1048576,MATCH($A157,Fall!$A:$A,FALSE),MATCH(J$1,Fall!$1:$1,FALSE))),"")</f>
        <v/>
      </c>
      <c r="K157" t="str">
        <f>IFERROR(IF(INDEX(Fall!$1:$1048576,MATCH($A157,Fall!$A:$A,FALSE),MATCH(K$1,Fall!$1:$1,FALSE))="","",INDEX(Fall!$1:$1048576,MATCH($A157,Fall!$A:$A,FALSE),MATCH(K$1,Fall!$1:$1,FALSE))),"")</f>
        <v/>
      </c>
      <c r="L157" t="str">
        <f>IFERROR(IF(INDEX(Fall!$1:$1048576,MATCH($A157,Fall!$A:$A,FALSE),MATCH(L$1,Fall!$1:$1,FALSE))="","",INDEX(Fall!$1:$1048576,MATCH($A157,Fall!$A:$A,FALSE),MATCH(L$1,Fall!$1:$1,FALSE))),"")</f>
        <v/>
      </c>
      <c r="M157" t="str">
        <f>IFERROR(IF(INDEX(Fall!$1:$1048576,MATCH($A157,Fall!$A:$A,FALSE),MATCH(M$1,Fall!$1:$1,FALSE))="","",INDEX(Fall!$1:$1048576,MATCH($A157,Fall!$A:$A,FALSE),MATCH(M$1,Fall!$1:$1,FALSE))),"")</f>
        <v/>
      </c>
      <c r="N157" t="str">
        <f>IFERROR(IF(INDEX(Fall!$1:$1048576,MATCH($A157,Fall!$A:$A,FALSE),MATCH(N$1,Fall!$1:$1,FALSE))="","",INDEX(Fall!$1:$1048576,MATCH($A157,Fall!$A:$A,FALSE),MATCH(N$1,Fall!$1:$1,FALSE))),"")</f>
        <v/>
      </c>
      <c r="O157" t="str">
        <f>IFERROR(IF(INDEX(Fall!$1:$1048576,MATCH($A157,Fall!$A:$A,FALSE),MATCH(O$1,Fall!$1:$1,FALSE))="","",INDEX(Fall!$1:$1048576,MATCH($A157,Fall!$A:$A,FALSE),MATCH(O$1,Fall!$1:$1,FALSE))),"")</f>
        <v/>
      </c>
      <c r="P157" t="str">
        <f>IFERROR(IF(INDEX(Fall!$1:$1048576,MATCH($A157,Fall!$A:$A,FALSE),MATCH(P$1,Fall!$1:$1,FALSE))="","",INDEX(Fall!$1:$1048576,MATCH($A157,Fall!$A:$A,FALSE),MATCH(P$1,Fall!$1:$1,FALSE))),"")</f>
        <v/>
      </c>
      <c r="R157" t="str">
        <f>IFERROR(IF(INDEX(Winter!$1:$1048576,MATCH($A157,Winter!$A:$A,FALSE),MATCH(R$1,Winter!$1:$1,FALSE))="","",INDEX(Winter!$1:$1048576,MATCH($A157,Winter!$A:$A,FALSE),MATCH(R$1,Winter!$1:$1,FALSE))),"")</f>
        <v>2A</v>
      </c>
      <c r="S157" t="str">
        <f>IFERROR(IF(INDEX(Winter!$1:$1048576,MATCH($A157,Winter!$A:$A,FALSE),MATCH(S$1,Winter!$1:$1,FALSE))="","",INDEX(Winter!$1:$1048576,MATCH($A157,Winter!$A:$A,FALSE),MATCH(S$1,Winter!$1:$1,FALSE))),"")</f>
        <v/>
      </c>
      <c r="T157" t="str">
        <f>IFERROR(IF(INDEX(Winter!$1:$1048576,MATCH($A157,Winter!$A:$A,FALSE),MATCH(T$1,Winter!$1:$1,FALSE))="","",INDEX(Winter!$1:$1048576,MATCH($A157,Winter!$A:$A,FALSE),MATCH(T$1,Winter!$1:$1,FALSE))),"")</f>
        <v/>
      </c>
      <c r="U157" t="str">
        <f>IFERROR(IF(INDEX(Winter!$1:$1048576,MATCH($A157,Winter!$A:$A,FALSE),MATCH(U$1,Winter!$1:$1,FALSE))="","",INDEX(Winter!$1:$1048576,MATCH($A157,Winter!$A:$A,FALSE),MATCH(U$1,Winter!$1:$1,FALSE))),"")</f>
        <v/>
      </c>
      <c r="V157" t="str">
        <f>IFERROR(IF(INDEX(Winter!$1:$1048576,MATCH($A157,Winter!$A:$A,FALSE),MATCH(V$1,Winter!$1:$1,FALSE))="","",INDEX(Winter!$1:$1048576,MATCH($A157,Winter!$A:$A,FALSE),MATCH(V$1,Winter!$1:$1,FALSE))),"")</f>
        <v/>
      </c>
      <c r="W157" t="str">
        <f>IFERROR(IF(INDEX(Winter!$1:$1048576,MATCH($A157,Winter!$A:$A,FALSE),MATCH(W$1,Winter!$1:$1,FALSE))="","",INDEX(Winter!$1:$1048576,MATCH($A157,Winter!$A:$A,FALSE),MATCH(W$1,Winter!$1:$1,FALSE))),"")</f>
        <v/>
      </c>
      <c r="Y157" t="str">
        <f>IFERROR(IF(INDEX(Spring!$1:$1048576,MATCH($A157,Spring!$A:$A,FALSE),MATCH(Y$1,Spring!$1:$1,FALSE))="","",INDEX(Spring!$1:$1048576,MATCH($A157,Spring!$A:$A,FALSE),MATCH(Y$1,Spring!$1:$1,FALSE))),"")</f>
        <v/>
      </c>
      <c r="Z157" t="str">
        <f>IFERROR(IF(INDEX(Spring!$1:$1048576,MATCH($A157,Spring!$A:$A,FALSE),MATCH(Z$1,Spring!$1:$1,FALSE))="","",INDEX(Spring!$1:$1048576,MATCH($A157,Spring!$A:$A,FALSE),MATCH(Z$1,Spring!$1:$1,FALSE))),"")</f>
        <v/>
      </c>
      <c r="AA157" t="str">
        <f>IFERROR(IF(INDEX(Spring!$1:$1048576,MATCH($A157,Spring!$A:$A,FALSE),MATCH(AA$1,Spring!$1:$1,FALSE))="","",INDEX(Spring!$1:$1048576,MATCH($A157,Spring!$A:$A,FALSE),MATCH(AA$1,Spring!$1:$1,FALSE))),"")</f>
        <v/>
      </c>
      <c r="AB157" t="str">
        <f>IFERROR(IF(INDEX(Spring!$1:$1048576,MATCH($A157,Spring!$A:$A,FALSE),MATCH(AB$1,Spring!$1:$1,FALSE))="","",INDEX(Spring!$1:$1048576,MATCH($A157,Spring!$A:$A,FALSE),MATCH(AB$1,Spring!$1:$1,FALSE))),"")</f>
        <v/>
      </c>
      <c r="AC157" t="str">
        <f>IFERROR(IF(INDEX(Spring!$1:$1048576,MATCH($A157,Spring!$A:$A,FALSE),MATCH(AC$1,Spring!$1:$1,FALSE))="","",INDEX(Spring!$1:$1048576,MATCH($A157,Spring!$A:$A,FALSE),MATCH(AC$1,Spring!$1:$1,FALSE))),"")</f>
        <v/>
      </c>
      <c r="AD157" t="str">
        <f>IFERROR(IF(INDEX(Spring!$1:$1048576,MATCH($A157,Spring!$A:$A,FALSE),MATCH(AD$1,Spring!$1:$1,FALSE))="","",INDEX(Spring!$1:$1048576,MATCH($A157,Spring!$A:$A,FALSE),MATCH(AD$1,Spring!$1:$1,FALSE))),"")</f>
        <v/>
      </c>
    </row>
    <row r="158" spans="1:30" ht="23.25" thickBot="1" x14ac:dyDescent="0.3">
      <c r="A158" s="48" t="s">
        <v>193</v>
      </c>
      <c r="B158" s="49" t="s">
        <v>194</v>
      </c>
      <c r="C158" s="49" t="s">
        <v>997</v>
      </c>
      <c r="D158" s="49">
        <v>1</v>
      </c>
      <c r="E158" s="49">
        <v>1</v>
      </c>
      <c r="F158" s="45"/>
      <c r="G158" s="45"/>
      <c r="H158" s="44"/>
      <c r="J158" t="str">
        <f>IFERROR(IF(INDEX(Fall!$1:$1048576,MATCH($A158,Fall!$A:$A,FALSE),MATCH(J$1,Fall!$1:$1,FALSE))="","",INDEX(Fall!$1:$1048576,MATCH($A158,Fall!$A:$A,FALSE),MATCH(J$1,Fall!$1:$1,FALSE))),"")</f>
        <v>1A</v>
      </c>
      <c r="K158" t="str">
        <f>IFERROR(IF(INDEX(Fall!$1:$1048576,MATCH($A158,Fall!$A:$A,FALSE),MATCH(K$1,Fall!$1:$1,FALSE))="","",INDEX(Fall!$1:$1048576,MATCH($A158,Fall!$A:$A,FALSE),MATCH(K$1,Fall!$1:$1,FALSE))),"")</f>
        <v>1A</v>
      </c>
      <c r="L158" t="str">
        <f>IFERROR(IF(INDEX(Fall!$1:$1048576,MATCH($A158,Fall!$A:$A,FALSE),MATCH(L$1,Fall!$1:$1,FALSE))="","",INDEX(Fall!$1:$1048576,MATCH($A158,Fall!$A:$A,FALSE),MATCH(L$1,Fall!$1:$1,FALSE))),"")</f>
        <v>2A</v>
      </c>
      <c r="M158" t="str">
        <f>IFERROR(IF(INDEX(Fall!$1:$1048576,MATCH($A158,Fall!$A:$A,FALSE),MATCH(M$1,Fall!$1:$1,FALSE))="","",INDEX(Fall!$1:$1048576,MATCH($A158,Fall!$A:$A,FALSE),MATCH(M$1,Fall!$1:$1,FALSE))),"")</f>
        <v>1A</v>
      </c>
      <c r="N158" t="str">
        <f>IFERROR(IF(INDEX(Fall!$1:$1048576,MATCH($A158,Fall!$A:$A,FALSE),MATCH(N$1,Fall!$1:$1,FALSE))="","",INDEX(Fall!$1:$1048576,MATCH($A158,Fall!$A:$A,FALSE),MATCH(N$1,Fall!$1:$1,FALSE))),"")</f>
        <v>1A</v>
      </c>
      <c r="O158" t="str">
        <f>IFERROR(IF(INDEX(Fall!$1:$1048576,MATCH($A158,Fall!$A:$A,FALSE),MATCH(O$1,Fall!$1:$1,FALSE))="","",INDEX(Fall!$1:$1048576,MATCH($A158,Fall!$A:$A,FALSE),MATCH(O$1,Fall!$1:$1,FALSE))),"")</f>
        <v>1A</v>
      </c>
      <c r="P158" t="str">
        <f>IFERROR(IF(INDEX(Fall!$1:$1048576,MATCH($A158,Fall!$A:$A,FALSE),MATCH(P$1,Fall!$1:$1,FALSE))="","",INDEX(Fall!$1:$1048576,MATCH($A158,Fall!$A:$A,FALSE),MATCH(P$1,Fall!$1:$1,FALSE))),"")</f>
        <v>2A</v>
      </c>
      <c r="R158" t="str">
        <f>IFERROR(IF(INDEX(Winter!$1:$1048576,MATCH($A158,Winter!$A:$A,FALSE),MATCH(R$1,Winter!$1:$1,FALSE))="","",INDEX(Winter!$1:$1048576,MATCH($A158,Winter!$A:$A,FALSE),MATCH(R$1,Winter!$1:$1,FALSE))),"")</f>
        <v>2A</v>
      </c>
      <c r="S158" t="str">
        <f>IFERROR(IF(INDEX(Winter!$1:$1048576,MATCH($A158,Winter!$A:$A,FALSE),MATCH(S$1,Winter!$1:$1,FALSE))="","",INDEX(Winter!$1:$1048576,MATCH($A158,Winter!$A:$A,FALSE),MATCH(S$1,Winter!$1:$1,FALSE))),"")</f>
        <v>2A</v>
      </c>
      <c r="T158" t="str">
        <f>IFERROR(IF(INDEX(Winter!$1:$1048576,MATCH($A158,Winter!$A:$A,FALSE),MATCH(T$1,Winter!$1:$1,FALSE))="","",INDEX(Winter!$1:$1048576,MATCH($A158,Winter!$A:$A,FALSE),MATCH(T$1,Winter!$1:$1,FALSE))),"")</f>
        <v/>
      </c>
      <c r="U158" t="str">
        <f>IFERROR(IF(INDEX(Winter!$1:$1048576,MATCH($A158,Winter!$A:$A,FALSE),MATCH(U$1,Winter!$1:$1,FALSE))="","",INDEX(Winter!$1:$1048576,MATCH($A158,Winter!$A:$A,FALSE),MATCH(U$1,Winter!$1:$1,FALSE))),"")</f>
        <v/>
      </c>
      <c r="V158" t="str">
        <f>IFERROR(IF(INDEX(Winter!$1:$1048576,MATCH($A158,Winter!$A:$A,FALSE),MATCH(V$1,Winter!$1:$1,FALSE))="","",INDEX(Winter!$1:$1048576,MATCH($A158,Winter!$A:$A,FALSE),MATCH(V$1,Winter!$1:$1,FALSE))),"")</f>
        <v>2A</v>
      </c>
      <c r="W158" t="str">
        <f>IFERROR(IF(INDEX(Winter!$1:$1048576,MATCH($A158,Winter!$A:$A,FALSE),MATCH(W$1,Winter!$1:$1,FALSE))="","",INDEX(Winter!$1:$1048576,MATCH($A158,Winter!$A:$A,FALSE),MATCH(W$1,Winter!$1:$1,FALSE))),"")</f>
        <v/>
      </c>
      <c r="Y158" t="str">
        <f>IFERROR(IF(INDEX(Spring!$1:$1048576,MATCH($A158,Spring!$A:$A,FALSE),MATCH(Y$1,Spring!$1:$1,FALSE))="","",INDEX(Spring!$1:$1048576,MATCH($A158,Spring!$A:$A,FALSE),MATCH(Y$1,Spring!$1:$1,FALSE))),"")</f>
        <v>2A</v>
      </c>
      <c r="Z158" t="str">
        <f>IFERROR(IF(INDEX(Spring!$1:$1048576,MATCH($A158,Spring!$A:$A,FALSE),MATCH(Z$1,Spring!$1:$1,FALSE))="","",INDEX(Spring!$1:$1048576,MATCH($A158,Spring!$A:$A,FALSE),MATCH(Z$1,Spring!$1:$1,FALSE))),"")</f>
        <v>2A</v>
      </c>
      <c r="AA158" t="str">
        <f>IFERROR(IF(INDEX(Spring!$1:$1048576,MATCH($A158,Spring!$A:$A,FALSE),MATCH(AA$1,Spring!$1:$1,FALSE))="","",INDEX(Spring!$1:$1048576,MATCH($A158,Spring!$A:$A,FALSE),MATCH(AA$1,Spring!$1:$1,FALSE))),"")</f>
        <v>1A</v>
      </c>
      <c r="AB158" t="str">
        <f>IFERROR(IF(INDEX(Spring!$1:$1048576,MATCH($A158,Spring!$A:$A,FALSE),MATCH(AB$1,Spring!$1:$1,FALSE))="","",INDEX(Spring!$1:$1048576,MATCH($A158,Spring!$A:$A,FALSE),MATCH(AB$1,Spring!$1:$1,FALSE))),"")</f>
        <v>1A</v>
      </c>
      <c r="AC158" t="str">
        <f>IFERROR(IF(INDEX(Spring!$1:$1048576,MATCH($A158,Spring!$A:$A,FALSE),MATCH(AC$1,Spring!$1:$1,FALSE))="","",INDEX(Spring!$1:$1048576,MATCH($A158,Spring!$A:$A,FALSE),MATCH(AC$1,Spring!$1:$1,FALSE))),"")</f>
        <v>2A</v>
      </c>
      <c r="AD158" t="str">
        <f>IFERROR(IF(INDEX(Spring!$1:$1048576,MATCH($A158,Spring!$A:$A,FALSE),MATCH(AD$1,Spring!$1:$1,FALSE))="","",INDEX(Spring!$1:$1048576,MATCH($A158,Spring!$A:$A,FALSE),MATCH(AD$1,Spring!$1:$1,FALSE))),"")</f>
        <v>2A</v>
      </c>
    </row>
    <row r="159" spans="1:30" ht="15.75" thickBot="1" x14ac:dyDescent="0.3">
      <c r="A159" s="48" t="s">
        <v>195</v>
      </c>
      <c r="B159" s="49">
        <v>435</v>
      </c>
      <c r="C159" s="50"/>
      <c r="D159" s="50"/>
      <c r="E159" s="50"/>
      <c r="F159" s="45"/>
      <c r="G159" s="45"/>
      <c r="H159" s="44"/>
      <c r="J159" t="str">
        <f>IFERROR(IF(INDEX(Fall!$1:$1048576,MATCH($A159,Fall!$A:$A,FALSE),MATCH(J$1,Fall!$1:$1,FALSE))="","",INDEX(Fall!$1:$1048576,MATCH($A159,Fall!$A:$A,FALSE),MATCH(J$1,Fall!$1:$1,FALSE))),"")</f>
        <v/>
      </c>
      <c r="K159" t="str">
        <f>IFERROR(IF(INDEX(Fall!$1:$1048576,MATCH($A159,Fall!$A:$A,FALSE),MATCH(K$1,Fall!$1:$1,FALSE))="","",INDEX(Fall!$1:$1048576,MATCH($A159,Fall!$A:$A,FALSE),MATCH(K$1,Fall!$1:$1,FALSE))),"")</f>
        <v/>
      </c>
      <c r="L159" t="str">
        <f>IFERROR(IF(INDEX(Fall!$1:$1048576,MATCH($A159,Fall!$A:$A,FALSE),MATCH(L$1,Fall!$1:$1,FALSE))="","",INDEX(Fall!$1:$1048576,MATCH($A159,Fall!$A:$A,FALSE),MATCH(L$1,Fall!$1:$1,FALSE))),"")</f>
        <v/>
      </c>
      <c r="M159" t="str">
        <f>IFERROR(IF(INDEX(Fall!$1:$1048576,MATCH($A159,Fall!$A:$A,FALSE),MATCH(M$1,Fall!$1:$1,FALSE))="","",INDEX(Fall!$1:$1048576,MATCH($A159,Fall!$A:$A,FALSE),MATCH(M$1,Fall!$1:$1,FALSE))),"")</f>
        <v/>
      </c>
      <c r="N159" t="str">
        <f>IFERROR(IF(INDEX(Fall!$1:$1048576,MATCH($A159,Fall!$A:$A,FALSE),MATCH(N$1,Fall!$1:$1,FALSE))="","",INDEX(Fall!$1:$1048576,MATCH($A159,Fall!$A:$A,FALSE),MATCH(N$1,Fall!$1:$1,FALSE))),"")</f>
        <v/>
      </c>
      <c r="O159" t="str">
        <f>IFERROR(IF(INDEX(Fall!$1:$1048576,MATCH($A159,Fall!$A:$A,FALSE),MATCH(O$1,Fall!$1:$1,FALSE))="","",INDEX(Fall!$1:$1048576,MATCH($A159,Fall!$A:$A,FALSE),MATCH(O$1,Fall!$1:$1,FALSE))),"")</f>
        <v/>
      </c>
      <c r="P159" t="str">
        <f>IFERROR(IF(INDEX(Fall!$1:$1048576,MATCH($A159,Fall!$A:$A,FALSE),MATCH(P$1,Fall!$1:$1,FALSE))="","",INDEX(Fall!$1:$1048576,MATCH($A159,Fall!$A:$A,FALSE),MATCH(P$1,Fall!$1:$1,FALSE))),"")</f>
        <v/>
      </c>
      <c r="R159" t="str">
        <f>IFERROR(IF(INDEX(Winter!$1:$1048576,MATCH($A159,Winter!$A:$A,FALSE),MATCH(R$1,Winter!$1:$1,FALSE))="","",INDEX(Winter!$1:$1048576,MATCH($A159,Winter!$A:$A,FALSE),MATCH(R$1,Winter!$1:$1,FALSE))),"")</f>
        <v>2A</v>
      </c>
      <c r="S159" t="str">
        <f>IFERROR(IF(INDEX(Winter!$1:$1048576,MATCH($A159,Winter!$A:$A,FALSE),MATCH(S$1,Winter!$1:$1,FALSE))="","",INDEX(Winter!$1:$1048576,MATCH($A159,Winter!$A:$A,FALSE),MATCH(S$1,Winter!$1:$1,FALSE))),"")</f>
        <v/>
      </c>
      <c r="T159" t="str">
        <f>IFERROR(IF(INDEX(Winter!$1:$1048576,MATCH($A159,Winter!$A:$A,FALSE),MATCH(T$1,Winter!$1:$1,FALSE))="","",INDEX(Winter!$1:$1048576,MATCH($A159,Winter!$A:$A,FALSE),MATCH(T$1,Winter!$1:$1,FALSE))),"")</f>
        <v/>
      </c>
      <c r="U159" t="str">
        <f>IFERROR(IF(INDEX(Winter!$1:$1048576,MATCH($A159,Winter!$A:$A,FALSE),MATCH(U$1,Winter!$1:$1,FALSE))="","",INDEX(Winter!$1:$1048576,MATCH($A159,Winter!$A:$A,FALSE),MATCH(U$1,Winter!$1:$1,FALSE))),"")</f>
        <v/>
      </c>
      <c r="V159" t="str">
        <f>IFERROR(IF(INDEX(Winter!$1:$1048576,MATCH($A159,Winter!$A:$A,FALSE),MATCH(V$1,Winter!$1:$1,FALSE))="","",INDEX(Winter!$1:$1048576,MATCH($A159,Winter!$A:$A,FALSE),MATCH(V$1,Winter!$1:$1,FALSE))),"")</f>
        <v/>
      </c>
      <c r="W159" t="str">
        <f>IFERROR(IF(INDEX(Winter!$1:$1048576,MATCH($A159,Winter!$A:$A,FALSE),MATCH(W$1,Winter!$1:$1,FALSE))="","",INDEX(Winter!$1:$1048576,MATCH($A159,Winter!$A:$A,FALSE),MATCH(W$1,Winter!$1:$1,FALSE))),"")</f>
        <v/>
      </c>
      <c r="Y159" t="str">
        <f>IFERROR(IF(INDEX(Spring!$1:$1048576,MATCH($A159,Spring!$A:$A,FALSE),MATCH(Y$1,Spring!$1:$1,FALSE))="","",INDEX(Spring!$1:$1048576,MATCH($A159,Spring!$A:$A,FALSE),MATCH(Y$1,Spring!$1:$1,FALSE))),"")</f>
        <v>2A</v>
      </c>
      <c r="Z159" t="str">
        <f>IFERROR(IF(INDEX(Spring!$1:$1048576,MATCH($A159,Spring!$A:$A,FALSE),MATCH(Z$1,Spring!$1:$1,FALSE))="","",INDEX(Spring!$1:$1048576,MATCH($A159,Spring!$A:$A,FALSE),MATCH(Z$1,Spring!$1:$1,FALSE))),"")</f>
        <v/>
      </c>
      <c r="AA159" t="str">
        <f>IFERROR(IF(INDEX(Spring!$1:$1048576,MATCH($A159,Spring!$A:$A,FALSE),MATCH(AA$1,Spring!$1:$1,FALSE))="","",INDEX(Spring!$1:$1048576,MATCH($A159,Spring!$A:$A,FALSE),MATCH(AA$1,Spring!$1:$1,FALSE))),"")</f>
        <v>1A</v>
      </c>
      <c r="AB159" t="str">
        <f>IFERROR(IF(INDEX(Spring!$1:$1048576,MATCH($A159,Spring!$A:$A,FALSE),MATCH(AB$1,Spring!$1:$1,FALSE))="","",INDEX(Spring!$1:$1048576,MATCH($A159,Spring!$A:$A,FALSE),MATCH(AB$1,Spring!$1:$1,FALSE))),"")</f>
        <v/>
      </c>
      <c r="AC159" t="str">
        <f>IFERROR(IF(INDEX(Spring!$1:$1048576,MATCH($A159,Spring!$A:$A,FALSE),MATCH(AC$1,Spring!$1:$1,FALSE))="","",INDEX(Spring!$1:$1048576,MATCH($A159,Spring!$A:$A,FALSE),MATCH(AC$1,Spring!$1:$1,FALSE))),"")</f>
        <v>1A</v>
      </c>
      <c r="AD159" t="str">
        <f>IFERROR(IF(INDEX(Spring!$1:$1048576,MATCH($A159,Spring!$A:$A,FALSE),MATCH(AD$1,Spring!$1:$1,FALSE))="","",INDEX(Spring!$1:$1048576,MATCH($A159,Spring!$A:$A,FALSE),MATCH(AD$1,Spring!$1:$1,FALSE))),"")</f>
        <v>1A</v>
      </c>
    </row>
    <row r="160" spans="1:30" ht="15.75" thickBot="1" x14ac:dyDescent="0.3">
      <c r="A160" s="48" t="s">
        <v>196</v>
      </c>
      <c r="B160" s="49">
        <v>214</v>
      </c>
      <c r="C160" s="50"/>
      <c r="D160" s="50"/>
      <c r="E160" s="50"/>
      <c r="F160" s="45"/>
      <c r="G160" s="45"/>
      <c r="H160" s="44"/>
      <c r="J160" t="str">
        <f>IFERROR(IF(INDEX(Fall!$1:$1048576,MATCH($A160,Fall!$A:$A,FALSE),MATCH(J$1,Fall!$1:$1,FALSE))="","",INDEX(Fall!$1:$1048576,MATCH($A160,Fall!$A:$A,FALSE),MATCH(J$1,Fall!$1:$1,FALSE))),"")</f>
        <v/>
      </c>
      <c r="K160" t="str">
        <f>IFERROR(IF(INDEX(Fall!$1:$1048576,MATCH($A160,Fall!$A:$A,FALSE),MATCH(K$1,Fall!$1:$1,FALSE))="","",INDEX(Fall!$1:$1048576,MATCH($A160,Fall!$A:$A,FALSE),MATCH(K$1,Fall!$1:$1,FALSE))),"")</f>
        <v/>
      </c>
      <c r="L160" t="str">
        <f>IFERROR(IF(INDEX(Fall!$1:$1048576,MATCH($A160,Fall!$A:$A,FALSE),MATCH(L$1,Fall!$1:$1,FALSE))="","",INDEX(Fall!$1:$1048576,MATCH($A160,Fall!$A:$A,FALSE),MATCH(L$1,Fall!$1:$1,FALSE))),"")</f>
        <v/>
      </c>
      <c r="M160" t="str">
        <f>IFERROR(IF(INDEX(Fall!$1:$1048576,MATCH($A160,Fall!$A:$A,FALSE),MATCH(M$1,Fall!$1:$1,FALSE))="","",INDEX(Fall!$1:$1048576,MATCH($A160,Fall!$A:$A,FALSE),MATCH(M$1,Fall!$1:$1,FALSE))),"")</f>
        <v/>
      </c>
      <c r="N160" t="str">
        <f>IFERROR(IF(INDEX(Fall!$1:$1048576,MATCH($A160,Fall!$A:$A,FALSE),MATCH(N$1,Fall!$1:$1,FALSE))="","",INDEX(Fall!$1:$1048576,MATCH($A160,Fall!$A:$A,FALSE),MATCH(N$1,Fall!$1:$1,FALSE))),"")</f>
        <v/>
      </c>
      <c r="O160" t="str">
        <f>IFERROR(IF(INDEX(Fall!$1:$1048576,MATCH($A160,Fall!$A:$A,FALSE),MATCH(O$1,Fall!$1:$1,FALSE))="","",INDEX(Fall!$1:$1048576,MATCH($A160,Fall!$A:$A,FALSE),MATCH(O$1,Fall!$1:$1,FALSE))),"")</f>
        <v/>
      </c>
      <c r="P160" t="str">
        <f>IFERROR(IF(INDEX(Fall!$1:$1048576,MATCH($A160,Fall!$A:$A,FALSE),MATCH(P$1,Fall!$1:$1,FALSE))="","",INDEX(Fall!$1:$1048576,MATCH($A160,Fall!$A:$A,FALSE),MATCH(P$1,Fall!$1:$1,FALSE))),"")</f>
        <v/>
      </c>
      <c r="R160" t="str">
        <f>IFERROR(IF(INDEX(Winter!$1:$1048576,MATCH($A160,Winter!$A:$A,FALSE),MATCH(R$1,Winter!$1:$1,FALSE))="","",INDEX(Winter!$1:$1048576,MATCH($A160,Winter!$A:$A,FALSE),MATCH(R$1,Winter!$1:$1,FALSE))),"")</f>
        <v>1A</v>
      </c>
      <c r="S160" t="str">
        <f>IFERROR(IF(INDEX(Winter!$1:$1048576,MATCH($A160,Winter!$A:$A,FALSE),MATCH(S$1,Winter!$1:$1,FALSE))="","",INDEX(Winter!$1:$1048576,MATCH($A160,Winter!$A:$A,FALSE),MATCH(S$1,Winter!$1:$1,FALSE))),"")</f>
        <v>1A</v>
      </c>
      <c r="T160" t="str">
        <f>IFERROR(IF(INDEX(Winter!$1:$1048576,MATCH($A160,Winter!$A:$A,FALSE),MATCH(T$1,Winter!$1:$1,FALSE))="","",INDEX(Winter!$1:$1048576,MATCH($A160,Winter!$A:$A,FALSE),MATCH(T$1,Winter!$1:$1,FALSE))),"")</f>
        <v/>
      </c>
      <c r="U160" t="str">
        <f>IFERROR(IF(INDEX(Winter!$1:$1048576,MATCH($A160,Winter!$A:$A,FALSE),MATCH(U$1,Winter!$1:$1,FALSE))="","",INDEX(Winter!$1:$1048576,MATCH($A160,Winter!$A:$A,FALSE),MATCH(U$1,Winter!$1:$1,FALSE))),"")</f>
        <v/>
      </c>
      <c r="V160" t="str">
        <f>IFERROR(IF(INDEX(Winter!$1:$1048576,MATCH($A160,Winter!$A:$A,FALSE),MATCH(V$1,Winter!$1:$1,FALSE))="","",INDEX(Winter!$1:$1048576,MATCH($A160,Winter!$A:$A,FALSE),MATCH(V$1,Winter!$1:$1,FALSE))),"")</f>
        <v/>
      </c>
      <c r="W160" t="str">
        <f>IFERROR(IF(INDEX(Winter!$1:$1048576,MATCH($A160,Winter!$A:$A,FALSE),MATCH(W$1,Winter!$1:$1,FALSE))="","",INDEX(Winter!$1:$1048576,MATCH($A160,Winter!$A:$A,FALSE),MATCH(W$1,Winter!$1:$1,FALSE))),"")</f>
        <v>1A</v>
      </c>
      <c r="Y160" t="str">
        <f>IFERROR(IF(INDEX(Spring!$1:$1048576,MATCH($A160,Spring!$A:$A,FALSE),MATCH(Y$1,Spring!$1:$1,FALSE))="","",INDEX(Spring!$1:$1048576,MATCH($A160,Spring!$A:$A,FALSE),MATCH(Y$1,Spring!$1:$1,FALSE))),"")</f>
        <v/>
      </c>
      <c r="Z160" t="str">
        <f>IFERROR(IF(INDEX(Spring!$1:$1048576,MATCH($A160,Spring!$A:$A,FALSE),MATCH(Z$1,Spring!$1:$1,FALSE))="","",INDEX(Spring!$1:$1048576,MATCH($A160,Spring!$A:$A,FALSE),MATCH(Z$1,Spring!$1:$1,FALSE))),"")</f>
        <v/>
      </c>
      <c r="AA160" t="str">
        <f>IFERROR(IF(INDEX(Spring!$1:$1048576,MATCH($A160,Spring!$A:$A,FALSE),MATCH(AA$1,Spring!$1:$1,FALSE))="","",INDEX(Spring!$1:$1048576,MATCH($A160,Spring!$A:$A,FALSE),MATCH(AA$1,Spring!$1:$1,FALSE))),"")</f>
        <v/>
      </c>
      <c r="AB160" t="str">
        <f>IFERROR(IF(INDEX(Spring!$1:$1048576,MATCH($A160,Spring!$A:$A,FALSE),MATCH(AB$1,Spring!$1:$1,FALSE))="","",INDEX(Spring!$1:$1048576,MATCH($A160,Spring!$A:$A,FALSE),MATCH(AB$1,Spring!$1:$1,FALSE))),"")</f>
        <v/>
      </c>
      <c r="AC160" t="str">
        <f>IFERROR(IF(INDEX(Spring!$1:$1048576,MATCH($A160,Spring!$A:$A,FALSE),MATCH(AC$1,Spring!$1:$1,FALSE))="","",INDEX(Spring!$1:$1048576,MATCH($A160,Spring!$A:$A,FALSE),MATCH(AC$1,Spring!$1:$1,FALSE))),"")</f>
        <v>1A</v>
      </c>
      <c r="AD160" t="str">
        <f>IFERROR(IF(INDEX(Spring!$1:$1048576,MATCH($A160,Spring!$A:$A,FALSE),MATCH(AD$1,Spring!$1:$1,FALSE))="","",INDEX(Spring!$1:$1048576,MATCH($A160,Spring!$A:$A,FALSE),MATCH(AD$1,Spring!$1:$1,FALSE))),"")</f>
        <v>1A</v>
      </c>
    </row>
    <row r="161" spans="1:30" ht="15.75" thickBot="1" x14ac:dyDescent="0.3">
      <c r="A161" s="48" t="s">
        <v>197</v>
      </c>
      <c r="B161" s="49">
        <v>584</v>
      </c>
      <c r="C161" s="50"/>
      <c r="D161" s="50"/>
      <c r="E161" s="50"/>
      <c r="F161" s="45"/>
      <c r="G161" s="45"/>
      <c r="H161" s="44"/>
      <c r="J161" t="str">
        <f>IFERROR(IF(INDEX(Fall!$1:$1048576,MATCH($A161,Fall!$A:$A,FALSE),MATCH(J$1,Fall!$1:$1,FALSE))="","",INDEX(Fall!$1:$1048576,MATCH($A161,Fall!$A:$A,FALSE),MATCH(J$1,Fall!$1:$1,FALSE))),"")</f>
        <v/>
      </c>
      <c r="K161" t="str">
        <f>IFERROR(IF(INDEX(Fall!$1:$1048576,MATCH($A161,Fall!$A:$A,FALSE),MATCH(K$1,Fall!$1:$1,FALSE))="","",INDEX(Fall!$1:$1048576,MATCH($A161,Fall!$A:$A,FALSE),MATCH(K$1,Fall!$1:$1,FALSE))),"")</f>
        <v/>
      </c>
      <c r="L161" t="str">
        <f>IFERROR(IF(INDEX(Fall!$1:$1048576,MATCH($A161,Fall!$A:$A,FALSE),MATCH(L$1,Fall!$1:$1,FALSE))="","",INDEX(Fall!$1:$1048576,MATCH($A161,Fall!$A:$A,FALSE),MATCH(L$1,Fall!$1:$1,FALSE))),"")</f>
        <v/>
      </c>
      <c r="M161" t="str">
        <f>IFERROR(IF(INDEX(Fall!$1:$1048576,MATCH($A161,Fall!$A:$A,FALSE),MATCH(M$1,Fall!$1:$1,FALSE))="","",INDEX(Fall!$1:$1048576,MATCH($A161,Fall!$A:$A,FALSE),MATCH(M$1,Fall!$1:$1,FALSE))),"")</f>
        <v/>
      </c>
      <c r="N161" t="str">
        <f>IFERROR(IF(INDEX(Fall!$1:$1048576,MATCH($A161,Fall!$A:$A,FALSE),MATCH(N$1,Fall!$1:$1,FALSE))="","",INDEX(Fall!$1:$1048576,MATCH($A161,Fall!$A:$A,FALSE),MATCH(N$1,Fall!$1:$1,FALSE))),"")</f>
        <v>1A</v>
      </c>
      <c r="O161" t="str">
        <f>IFERROR(IF(INDEX(Fall!$1:$1048576,MATCH($A161,Fall!$A:$A,FALSE),MATCH(O$1,Fall!$1:$1,FALSE))="","",INDEX(Fall!$1:$1048576,MATCH($A161,Fall!$A:$A,FALSE),MATCH(O$1,Fall!$1:$1,FALSE))),"")</f>
        <v/>
      </c>
      <c r="P161" t="str">
        <f>IFERROR(IF(INDEX(Fall!$1:$1048576,MATCH($A161,Fall!$A:$A,FALSE),MATCH(P$1,Fall!$1:$1,FALSE))="","",INDEX(Fall!$1:$1048576,MATCH($A161,Fall!$A:$A,FALSE),MATCH(P$1,Fall!$1:$1,FALSE))),"")</f>
        <v>2A</v>
      </c>
      <c r="R161" t="str">
        <f>IFERROR(IF(INDEX(Winter!$1:$1048576,MATCH($A161,Winter!$A:$A,FALSE),MATCH(R$1,Winter!$1:$1,FALSE))="","",INDEX(Winter!$1:$1048576,MATCH($A161,Winter!$A:$A,FALSE),MATCH(R$1,Winter!$1:$1,FALSE))),"")</f>
        <v>2A</v>
      </c>
      <c r="S161" t="str">
        <f>IFERROR(IF(INDEX(Winter!$1:$1048576,MATCH($A161,Winter!$A:$A,FALSE),MATCH(S$1,Winter!$1:$1,FALSE))="","",INDEX(Winter!$1:$1048576,MATCH($A161,Winter!$A:$A,FALSE),MATCH(S$1,Winter!$1:$1,FALSE))),"")</f>
        <v>2A</v>
      </c>
      <c r="T161" t="str">
        <f>IFERROR(IF(INDEX(Winter!$1:$1048576,MATCH($A161,Winter!$A:$A,FALSE),MATCH(T$1,Winter!$1:$1,FALSE))="","",INDEX(Winter!$1:$1048576,MATCH($A161,Winter!$A:$A,FALSE),MATCH(T$1,Winter!$1:$1,FALSE))),"")</f>
        <v/>
      </c>
      <c r="U161" t="str">
        <f>IFERROR(IF(INDEX(Winter!$1:$1048576,MATCH($A161,Winter!$A:$A,FALSE),MATCH(U$1,Winter!$1:$1,FALSE))="","",INDEX(Winter!$1:$1048576,MATCH($A161,Winter!$A:$A,FALSE),MATCH(U$1,Winter!$1:$1,FALSE))),"")</f>
        <v/>
      </c>
      <c r="V161" t="str">
        <f>IFERROR(IF(INDEX(Winter!$1:$1048576,MATCH($A161,Winter!$A:$A,FALSE),MATCH(V$1,Winter!$1:$1,FALSE))="","",INDEX(Winter!$1:$1048576,MATCH($A161,Winter!$A:$A,FALSE),MATCH(V$1,Winter!$1:$1,FALSE))),"")</f>
        <v/>
      </c>
      <c r="W161" t="str">
        <f>IFERROR(IF(INDEX(Winter!$1:$1048576,MATCH($A161,Winter!$A:$A,FALSE),MATCH(W$1,Winter!$1:$1,FALSE))="","",INDEX(Winter!$1:$1048576,MATCH($A161,Winter!$A:$A,FALSE),MATCH(W$1,Winter!$1:$1,FALSE))),"")</f>
        <v>1A</v>
      </c>
      <c r="Y161" t="str">
        <f>IFERROR(IF(INDEX(Spring!$1:$1048576,MATCH($A161,Spring!$A:$A,FALSE),MATCH(Y$1,Spring!$1:$1,FALSE))="","",INDEX(Spring!$1:$1048576,MATCH($A161,Spring!$A:$A,FALSE),MATCH(Y$1,Spring!$1:$1,FALSE))),"")</f>
        <v/>
      </c>
      <c r="Z161" t="str">
        <f>IFERROR(IF(INDEX(Spring!$1:$1048576,MATCH($A161,Spring!$A:$A,FALSE),MATCH(Z$1,Spring!$1:$1,FALSE))="","",INDEX(Spring!$1:$1048576,MATCH($A161,Spring!$A:$A,FALSE),MATCH(Z$1,Spring!$1:$1,FALSE))),"")</f>
        <v/>
      </c>
      <c r="AA161" t="str">
        <f>IFERROR(IF(INDEX(Spring!$1:$1048576,MATCH($A161,Spring!$A:$A,FALSE),MATCH(AA$1,Spring!$1:$1,FALSE))="","",INDEX(Spring!$1:$1048576,MATCH($A161,Spring!$A:$A,FALSE),MATCH(AA$1,Spring!$1:$1,FALSE))),"")</f>
        <v/>
      </c>
      <c r="AB161" t="str">
        <f>IFERROR(IF(INDEX(Spring!$1:$1048576,MATCH($A161,Spring!$A:$A,FALSE),MATCH(AB$1,Spring!$1:$1,FALSE))="","",INDEX(Spring!$1:$1048576,MATCH($A161,Spring!$A:$A,FALSE),MATCH(AB$1,Spring!$1:$1,FALSE))),"")</f>
        <v/>
      </c>
      <c r="AC161" t="str">
        <f>IFERROR(IF(INDEX(Spring!$1:$1048576,MATCH($A161,Spring!$A:$A,FALSE),MATCH(AC$1,Spring!$1:$1,FALSE))="","",INDEX(Spring!$1:$1048576,MATCH($A161,Spring!$A:$A,FALSE),MATCH(AC$1,Spring!$1:$1,FALSE))),"")</f>
        <v>2A</v>
      </c>
      <c r="AD161" t="str">
        <f>IFERROR(IF(INDEX(Spring!$1:$1048576,MATCH($A161,Spring!$A:$A,FALSE),MATCH(AD$1,Spring!$1:$1,FALSE))="","",INDEX(Spring!$1:$1048576,MATCH($A161,Spring!$A:$A,FALSE),MATCH(AD$1,Spring!$1:$1,FALSE))),"")</f>
        <v/>
      </c>
    </row>
    <row r="162" spans="1:30" ht="15.75" thickBot="1" x14ac:dyDescent="0.3">
      <c r="A162" s="48" t="s">
        <v>198</v>
      </c>
      <c r="B162" s="49">
        <v>326</v>
      </c>
      <c r="C162" s="49" t="s">
        <v>1004</v>
      </c>
      <c r="D162" s="50"/>
      <c r="E162" s="50"/>
      <c r="F162" s="45"/>
      <c r="G162" s="45"/>
      <c r="H162" s="44"/>
      <c r="J162" t="str">
        <f>IFERROR(IF(INDEX(Fall!$1:$1048576,MATCH($A162,Fall!$A:$A,FALSE),MATCH(J$1,Fall!$1:$1,FALSE))="","",INDEX(Fall!$1:$1048576,MATCH($A162,Fall!$A:$A,FALSE),MATCH(J$1,Fall!$1:$1,FALSE))),"")</f>
        <v/>
      </c>
      <c r="K162" t="str">
        <f>IFERROR(IF(INDEX(Fall!$1:$1048576,MATCH($A162,Fall!$A:$A,FALSE),MATCH(K$1,Fall!$1:$1,FALSE))="","",INDEX(Fall!$1:$1048576,MATCH($A162,Fall!$A:$A,FALSE),MATCH(K$1,Fall!$1:$1,FALSE))),"")</f>
        <v/>
      </c>
      <c r="L162" t="str">
        <f>IFERROR(IF(INDEX(Fall!$1:$1048576,MATCH($A162,Fall!$A:$A,FALSE),MATCH(L$1,Fall!$1:$1,FALSE))="","",INDEX(Fall!$1:$1048576,MATCH($A162,Fall!$A:$A,FALSE),MATCH(L$1,Fall!$1:$1,FALSE))),"")</f>
        <v/>
      </c>
      <c r="M162" t="str">
        <f>IFERROR(IF(INDEX(Fall!$1:$1048576,MATCH($A162,Fall!$A:$A,FALSE),MATCH(M$1,Fall!$1:$1,FALSE))="","",INDEX(Fall!$1:$1048576,MATCH($A162,Fall!$A:$A,FALSE),MATCH(M$1,Fall!$1:$1,FALSE))),"")</f>
        <v/>
      </c>
      <c r="N162" t="str">
        <f>IFERROR(IF(INDEX(Fall!$1:$1048576,MATCH($A162,Fall!$A:$A,FALSE),MATCH(N$1,Fall!$1:$1,FALSE))="","",INDEX(Fall!$1:$1048576,MATCH($A162,Fall!$A:$A,FALSE),MATCH(N$1,Fall!$1:$1,FALSE))),"")</f>
        <v/>
      </c>
      <c r="O162" t="str">
        <f>IFERROR(IF(INDEX(Fall!$1:$1048576,MATCH($A162,Fall!$A:$A,FALSE),MATCH(O$1,Fall!$1:$1,FALSE))="","",INDEX(Fall!$1:$1048576,MATCH($A162,Fall!$A:$A,FALSE),MATCH(O$1,Fall!$1:$1,FALSE))),"")</f>
        <v/>
      </c>
      <c r="P162" t="str">
        <f>IFERROR(IF(INDEX(Fall!$1:$1048576,MATCH($A162,Fall!$A:$A,FALSE),MATCH(P$1,Fall!$1:$1,FALSE))="","",INDEX(Fall!$1:$1048576,MATCH($A162,Fall!$A:$A,FALSE),MATCH(P$1,Fall!$1:$1,FALSE))),"")</f>
        <v/>
      </c>
      <c r="R162" t="str">
        <f>IFERROR(IF(INDEX(Winter!$1:$1048576,MATCH($A162,Winter!$A:$A,FALSE),MATCH(R$1,Winter!$1:$1,FALSE))="","",INDEX(Winter!$1:$1048576,MATCH($A162,Winter!$A:$A,FALSE),MATCH(R$1,Winter!$1:$1,FALSE))),"")</f>
        <v>2A</v>
      </c>
      <c r="S162" t="str">
        <f>IFERROR(IF(INDEX(Winter!$1:$1048576,MATCH($A162,Winter!$A:$A,FALSE),MATCH(S$1,Winter!$1:$1,FALSE))="","",INDEX(Winter!$1:$1048576,MATCH($A162,Winter!$A:$A,FALSE),MATCH(S$1,Winter!$1:$1,FALSE))),"")</f>
        <v/>
      </c>
      <c r="T162" t="str">
        <f>IFERROR(IF(INDEX(Winter!$1:$1048576,MATCH($A162,Winter!$A:$A,FALSE),MATCH(T$1,Winter!$1:$1,FALSE))="","",INDEX(Winter!$1:$1048576,MATCH($A162,Winter!$A:$A,FALSE),MATCH(T$1,Winter!$1:$1,FALSE))),"")</f>
        <v/>
      </c>
      <c r="U162" t="str">
        <f>IFERROR(IF(INDEX(Winter!$1:$1048576,MATCH($A162,Winter!$A:$A,FALSE),MATCH(U$1,Winter!$1:$1,FALSE))="","",INDEX(Winter!$1:$1048576,MATCH($A162,Winter!$A:$A,FALSE),MATCH(U$1,Winter!$1:$1,FALSE))),"")</f>
        <v/>
      </c>
      <c r="V162" t="str">
        <f>IFERROR(IF(INDEX(Winter!$1:$1048576,MATCH($A162,Winter!$A:$A,FALSE),MATCH(V$1,Winter!$1:$1,FALSE))="","",INDEX(Winter!$1:$1048576,MATCH($A162,Winter!$A:$A,FALSE),MATCH(V$1,Winter!$1:$1,FALSE))),"")</f>
        <v/>
      </c>
      <c r="W162" t="str">
        <f>IFERROR(IF(INDEX(Winter!$1:$1048576,MATCH($A162,Winter!$A:$A,FALSE),MATCH(W$1,Winter!$1:$1,FALSE))="","",INDEX(Winter!$1:$1048576,MATCH($A162,Winter!$A:$A,FALSE),MATCH(W$1,Winter!$1:$1,FALSE))),"")</f>
        <v/>
      </c>
      <c r="Y162" t="str">
        <f>IFERROR(IF(INDEX(Spring!$1:$1048576,MATCH($A162,Spring!$A:$A,FALSE),MATCH(Y$1,Spring!$1:$1,FALSE))="","",INDEX(Spring!$1:$1048576,MATCH($A162,Spring!$A:$A,FALSE),MATCH(Y$1,Spring!$1:$1,FALSE))),"")</f>
        <v>2A</v>
      </c>
      <c r="Z162" t="str">
        <f>IFERROR(IF(INDEX(Spring!$1:$1048576,MATCH($A162,Spring!$A:$A,FALSE),MATCH(Z$1,Spring!$1:$1,FALSE))="","",INDEX(Spring!$1:$1048576,MATCH($A162,Spring!$A:$A,FALSE),MATCH(Z$1,Spring!$1:$1,FALSE))),"")</f>
        <v/>
      </c>
      <c r="AA162" t="str">
        <f>IFERROR(IF(INDEX(Spring!$1:$1048576,MATCH($A162,Spring!$A:$A,FALSE),MATCH(AA$1,Spring!$1:$1,FALSE))="","",INDEX(Spring!$1:$1048576,MATCH($A162,Spring!$A:$A,FALSE),MATCH(AA$1,Spring!$1:$1,FALSE))),"")</f>
        <v>1A</v>
      </c>
      <c r="AB162" t="str">
        <f>IFERROR(IF(INDEX(Spring!$1:$1048576,MATCH($A162,Spring!$A:$A,FALSE),MATCH(AB$1,Spring!$1:$1,FALSE))="","",INDEX(Spring!$1:$1048576,MATCH($A162,Spring!$A:$A,FALSE),MATCH(AB$1,Spring!$1:$1,FALSE))),"")</f>
        <v/>
      </c>
      <c r="AC162" t="str">
        <f>IFERROR(IF(INDEX(Spring!$1:$1048576,MATCH($A162,Spring!$A:$A,FALSE),MATCH(AC$1,Spring!$1:$1,FALSE))="","",INDEX(Spring!$1:$1048576,MATCH($A162,Spring!$A:$A,FALSE),MATCH(AC$1,Spring!$1:$1,FALSE))),"")</f>
        <v>1A</v>
      </c>
      <c r="AD162" t="str">
        <f>IFERROR(IF(INDEX(Spring!$1:$1048576,MATCH($A162,Spring!$A:$A,FALSE),MATCH(AD$1,Spring!$1:$1,FALSE))="","",INDEX(Spring!$1:$1048576,MATCH($A162,Spring!$A:$A,FALSE),MATCH(AD$1,Spring!$1:$1,FALSE))),"")</f>
        <v/>
      </c>
    </row>
    <row r="163" spans="1:30" ht="23.25" thickBot="1" x14ac:dyDescent="0.3">
      <c r="A163" s="48" t="s">
        <v>199</v>
      </c>
      <c r="B163" s="49" t="s">
        <v>1028</v>
      </c>
      <c r="C163" s="49" t="s">
        <v>1000</v>
      </c>
      <c r="D163" s="50"/>
      <c r="E163" s="50"/>
      <c r="F163" s="45"/>
      <c r="G163" s="45"/>
      <c r="H163" s="44"/>
      <c r="J163" t="str">
        <f>IFERROR(IF(INDEX(Fall!$1:$1048576,MATCH($A163,Fall!$A:$A,FALSE),MATCH(J$1,Fall!$1:$1,FALSE))="","",INDEX(Fall!$1:$1048576,MATCH($A163,Fall!$A:$A,FALSE),MATCH(J$1,Fall!$1:$1,FALSE))),"")</f>
        <v>2A</v>
      </c>
      <c r="K163" t="str">
        <f>IFERROR(IF(INDEX(Fall!$1:$1048576,MATCH($A163,Fall!$A:$A,FALSE),MATCH(K$1,Fall!$1:$1,FALSE))="","",INDEX(Fall!$1:$1048576,MATCH($A163,Fall!$A:$A,FALSE),MATCH(K$1,Fall!$1:$1,FALSE))),"")</f>
        <v>2A</v>
      </c>
      <c r="L163" t="str">
        <f>IFERROR(IF(INDEX(Fall!$1:$1048576,MATCH($A163,Fall!$A:$A,FALSE),MATCH(L$1,Fall!$1:$1,FALSE))="","",INDEX(Fall!$1:$1048576,MATCH($A163,Fall!$A:$A,FALSE),MATCH(L$1,Fall!$1:$1,FALSE))),"")</f>
        <v/>
      </c>
      <c r="M163" t="str">
        <f>IFERROR(IF(INDEX(Fall!$1:$1048576,MATCH($A163,Fall!$A:$A,FALSE),MATCH(M$1,Fall!$1:$1,FALSE))="","",INDEX(Fall!$1:$1048576,MATCH($A163,Fall!$A:$A,FALSE),MATCH(M$1,Fall!$1:$1,FALSE))),"")</f>
        <v/>
      </c>
      <c r="N163" t="str">
        <f>IFERROR(IF(INDEX(Fall!$1:$1048576,MATCH($A163,Fall!$A:$A,FALSE),MATCH(N$1,Fall!$1:$1,FALSE))="","",INDEX(Fall!$1:$1048576,MATCH($A163,Fall!$A:$A,FALSE),MATCH(N$1,Fall!$1:$1,FALSE))),"")</f>
        <v>2A</v>
      </c>
      <c r="O163" t="str">
        <f>IFERROR(IF(INDEX(Fall!$1:$1048576,MATCH($A163,Fall!$A:$A,FALSE),MATCH(O$1,Fall!$1:$1,FALSE))="","",INDEX(Fall!$1:$1048576,MATCH($A163,Fall!$A:$A,FALSE),MATCH(O$1,Fall!$1:$1,FALSE))),"")</f>
        <v/>
      </c>
      <c r="P163" t="str">
        <f>IFERROR(IF(INDEX(Fall!$1:$1048576,MATCH($A163,Fall!$A:$A,FALSE),MATCH(P$1,Fall!$1:$1,FALSE))="","",INDEX(Fall!$1:$1048576,MATCH($A163,Fall!$A:$A,FALSE),MATCH(P$1,Fall!$1:$1,FALSE))),"")</f>
        <v/>
      </c>
      <c r="R163" t="str">
        <f>IFERROR(IF(INDEX(Winter!$1:$1048576,MATCH($A163,Winter!$A:$A,FALSE),MATCH(R$1,Winter!$1:$1,FALSE))="","",INDEX(Winter!$1:$1048576,MATCH($A163,Winter!$A:$A,FALSE),MATCH(R$1,Winter!$1:$1,FALSE))),"")</f>
        <v>3A</v>
      </c>
      <c r="S163" t="str">
        <f>IFERROR(IF(INDEX(Winter!$1:$1048576,MATCH($A163,Winter!$A:$A,FALSE),MATCH(S$1,Winter!$1:$1,FALSE))="","",INDEX(Winter!$1:$1048576,MATCH($A163,Winter!$A:$A,FALSE),MATCH(S$1,Winter!$1:$1,FALSE))),"")</f>
        <v>3A</v>
      </c>
      <c r="T163" t="str">
        <f>IFERROR(IF(INDEX(Winter!$1:$1048576,MATCH($A163,Winter!$A:$A,FALSE),MATCH(T$1,Winter!$1:$1,FALSE))="","",INDEX(Winter!$1:$1048576,MATCH($A163,Winter!$A:$A,FALSE),MATCH(T$1,Winter!$1:$1,FALSE))),"")</f>
        <v/>
      </c>
      <c r="U163" t="str">
        <f>IFERROR(IF(INDEX(Winter!$1:$1048576,MATCH($A163,Winter!$A:$A,FALSE),MATCH(U$1,Winter!$1:$1,FALSE))="","",INDEX(Winter!$1:$1048576,MATCH($A163,Winter!$A:$A,FALSE),MATCH(U$1,Winter!$1:$1,FALSE))),"")</f>
        <v/>
      </c>
      <c r="V163" t="str">
        <f>IFERROR(IF(INDEX(Winter!$1:$1048576,MATCH($A163,Winter!$A:$A,FALSE),MATCH(V$1,Winter!$1:$1,FALSE))="","",INDEX(Winter!$1:$1048576,MATCH($A163,Winter!$A:$A,FALSE),MATCH(V$1,Winter!$1:$1,FALSE))),"")</f>
        <v/>
      </c>
      <c r="W163" t="str">
        <f>IFERROR(IF(INDEX(Winter!$1:$1048576,MATCH($A163,Winter!$A:$A,FALSE),MATCH(W$1,Winter!$1:$1,FALSE))="","",INDEX(Winter!$1:$1048576,MATCH($A163,Winter!$A:$A,FALSE),MATCH(W$1,Winter!$1:$1,FALSE))),"")</f>
        <v>2A</v>
      </c>
      <c r="Y163" t="str">
        <f>IFERROR(IF(INDEX(Spring!$1:$1048576,MATCH($A163,Spring!$A:$A,FALSE),MATCH(Y$1,Spring!$1:$1,FALSE))="","",INDEX(Spring!$1:$1048576,MATCH($A163,Spring!$A:$A,FALSE),MATCH(Y$1,Spring!$1:$1,FALSE))),"")</f>
        <v>3A</v>
      </c>
      <c r="Z163" t="str">
        <f>IFERROR(IF(INDEX(Spring!$1:$1048576,MATCH($A163,Spring!$A:$A,FALSE),MATCH(Z$1,Spring!$1:$1,FALSE))="","",INDEX(Spring!$1:$1048576,MATCH($A163,Spring!$A:$A,FALSE),MATCH(Z$1,Spring!$1:$1,FALSE))),"")</f>
        <v/>
      </c>
      <c r="AA163" t="str">
        <f>IFERROR(IF(INDEX(Spring!$1:$1048576,MATCH($A163,Spring!$A:$A,FALSE),MATCH(AA$1,Spring!$1:$1,FALSE))="","",INDEX(Spring!$1:$1048576,MATCH($A163,Spring!$A:$A,FALSE),MATCH(AA$1,Spring!$1:$1,FALSE))),"")</f>
        <v>2A</v>
      </c>
      <c r="AB163" t="str">
        <f>IFERROR(IF(INDEX(Spring!$1:$1048576,MATCH($A163,Spring!$A:$A,FALSE),MATCH(AB$1,Spring!$1:$1,FALSE))="","",INDEX(Spring!$1:$1048576,MATCH($A163,Spring!$A:$A,FALSE),MATCH(AB$1,Spring!$1:$1,FALSE))),"")</f>
        <v/>
      </c>
      <c r="AC163" t="str">
        <f>IFERROR(IF(INDEX(Spring!$1:$1048576,MATCH($A163,Spring!$A:$A,FALSE),MATCH(AC$1,Spring!$1:$1,FALSE))="","",INDEX(Spring!$1:$1048576,MATCH($A163,Spring!$A:$A,FALSE),MATCH(AC$1,Spring!$1:$1,FALSE))),"")</f>
        <v>2A</v>
      </c>
      <c r="AD163" t="str">
        <f>IFERROR(IF(INDEX(Spring!$1:$1048576,MATCH($A163,Spring!$A:$A,FALSE),MATCH(AD$1,Spring!$1:$1,FALSE))="","",INDEX(Spring!$1:$1048576,MATCH($A163,Spring!$A:$A,FALSE),MATCH(AD$1,Spring!$1:$1,FALSE))),"")</f>
        <v>2A</v>
      </c>
    </row>
    <row r="164" spans="1:30" ht="23.25" thickBot="1" x14ac:dyDescent="0.3">
      <c r="A164" s="48" t="s">
        <v>201</v>
      </c>
      <c r="B164" s="49" t="s">
        <v>1029</v>
      </c>
      <c r="C164" s="49" t="s">
        <v>1000</v>
      </c>
      <c r="D164" s="50"/>
      <c r="E164" s="50"/>
      <c r="F164" s="45"/>
      <c r="G164" s="45"/>
      <c r="H164" s="44"/>
      <c r="J164" t="str">
        <f>IFERROR(IF(INDEX(Fall!$1:$1048576,MATCH($A164,Fall!$A:$A,FALSE),MATCH(J$1,Fall!$1:$1,FALSE))="","",INDEX(Fall!$1:$1048576,MATCH($A164,Fall!$A:$A,FALSE),MATCH(J$1,Fall!$1:$1,FALSE))),"")</f>
        <v>3A</v>
      </c>
      <c r="K164" t="str">
        <f>IFERROR(IF(INDEX(Fall!$1:$1048576,MATCH($A164,Fall!$A:$A,FALSE),MATCH(K$1,Fall!$1:$1,FALSE))="","",INDEX(Fall!$1:$1048576,MATCH($A164,Fall!$A:$A,FALSE),MATCH(K$1,Fall!$1:$1,FALSE))),"")</f>
        <v>3A</v>
      </c>
      <c r="L164" t="str">
        <f>IFERROR(IF(INDEX(Fall!$1:$1048576,MATCH($A164,Fall!$A:$A,FALSE),MATCH(L$1,Fall!$1:$1,FALSE))="","",INDEX(Fall!$1:$1048576,MATCH($A164,Fall!$A:$A,FALSE),MATCH(L$1,Fall!$1:$1,FALSE))),"")</f>
        <v/>
      </c>
      <c r="M164" t="str">
        <f>IFERROR(IF(INDEX(Fall!$1:$1048576,MATCH($A164,Fall!$A:$A,FALSE),MATCH(M$1,Fall!$1:$1,FALSE))="","",INDEX(Fall!$1:$1048576,MATCH($A164,Fall!$A:$A,FALSE),MATCH(M$1,Fall!$1:$1,FALSE))),"")</f>
        <v/>
      </c>
      <c r="N164" t="str">
        <f>IFERROR(IF(INDEX(Fall!$1:$1048576,MATCH($A164,Fall!$A:$A,FALSE),MATCH(N$1,Fall!$1:$1,FALSE))="","",INDEX(Fall!$1:$1048576,MATCH($A164,Fall!$A:$A,FALSE),MATCH(N$1,Fall!$1:$1,FALSE))),"")</f>
        <v>3A</v>
      </c>
      <c r="O164" t="str">
        <f>IFERROR(IF(INDEX(Fall!$1:$1048576,MATCH($A164,Fall!$A:$A,FALSE),MATCH(O$1,Fall!$1:$1,FALSE))="","",INDEX(Fall!$1:$1048576,MATCH($A164,Fall!$A:$A,FALSE),MATCH(O$1,Fall!$1:$1,FALSE))),"")</f>
        <v/>
      </c>
      <c r="P164" t="str">
        <f>IFERROR(IF(INDEX(Fall!$1:$1048576,MATCH($A164,Fall!$A:$A,FALSE),MATCH(P$1,Fall!$1:$1,FALSE))="","",INDEX(Fall!$1:$1048576,MATCH($A164,Fall!$A:$A,FALSE),MATCH(P$1,Fall!$1:$1,FALSE))),"")</f>
        <v>4A</v>
      </c>
      <c r="R164" t="str">
        <f>IFERROR(IF(INDEX(Winter!$1:$1048576,MATCH($A164,Winter!$A:$A,FALSE),MATCH(R$1,Winter!$1:$1,FALSE))="","",INDEX(Winter!$1:$1048576,MATCH($A164,Winter!$A:$A,FALSE),MATCH(R$1,Winter!$1:$1,FALSE))),"")</f>
        <v>4A</v>
      </c>
      <c r="S164" t="str">
        <f>IFERROR(IF(INDEX(Winter!$1:$1048576,MATCH($A164,Winter!$A:$A,FALSE),MATCH(S$1,Winter!$1:$1,FALSE))="","",INDEX(Winter!$1:$1048576,MATCH($A164,Winter!$A:$A,FALSE),MATCH(S$1,Winter!$1:$1,FALSE))),"")</f>
        <v>4A</v>
      </c>
      <c r="T164" t="str">
        <f>IFERROR(IF(INDEX(Winter!$1:$1048576,MATCH($A164,Winter!$A:$A,FALSE),MATCH(T$1,Winter!$1:$1,FALSE))="","",INDEX(Winter!$1:$1048576,MATCH($A164,Winter!$A:$A,FALSE),MATCH(T$1,Winter!$1:$1,FALSE))),"")</f>
        <v>C</v>
      </c>
      <c r="U164" t="str">
        <f>IFERROR(IF(INDEX(Winter!$1:$1048576,MATCH($A164,Winter!$A:$A,FALSE),MATCH(U$1,Winter!$1:$1,FALSE))="","",INDEX(Winter!$1:$1048576,MATCH($A164,Winter!$A:$A,FALSE),MATCH(U$1,Winter!$1:$1,FALSE))),"")</f>
        <v/>
      </c>
      <c r="V164" t="str">
        <f>IFERROR(IF(INDEX(Winter!$1:$1048576,MATCH($A164,Winter!$A:$A,FALSE),MATCH(V$1,Winter!$1:$1,FALSE))="","",INDEX(Winter!$1:$1048576,MATCH($A164,Winter!$A:$A,FALSE),MATCH(V$1,Winter!$1:$1,FALSE))),"")</f>
        <v/>
      </c>
      <c r="W164" t="str">
        <f>IFERROR(IF(INDEX(Winter!$1:$1048576,MATCH($A164,Winter!$A:$A,FALSE),MATCH(W$1,Winter!$1:$1,FALSE))="","",INDEX(Winter!$1:$1048576,MATCH($A164,Winter!$A:$A,FALSE),MATCH(W$1,Winter!$1:$1,FALSE))),"")</f>
        <v>3A</v>
      </c>
      <c r="Y164" t="str">
        <f>IFERROR(IF(INDEX(Spring!$1:$1048576,MATCH($A164,Spring!$A:$A,FALSE),MATCH(Y$1,Spring!$1:$1,FALSE))="","",INDEX(Spring!$1:$1048576,MATCH($A164,Spring!$A:$A,FALSE),MATCH(Y$1,Spring!$1:$1,FALSE))),"")</f>
        <v>3A</v>
      </c>
      <c r="Z164" t="str">
        <f>IFERROR(IF(INDEX(Spring!$1:$1048576,MATCH($A164,Spring!$A:$A,FALSE),MATCH(Z$1,Spring!$1:$1,FALSE))="","",INDEX(Spring!$1:$1048576,MATCH($A164,Spring!$A:$A,FALSE),MATCH(Z$1,Spring!$1:$1,FALSE))),"")</f>
        <v>3A</v>
      </c>
      <c r="AA164" t="str">
        <f>IFERROR(IF(INDEX(Spring!$1:$1048576,MATCH($A164,Spring!$A:$A,FALSE),MATCH(AA$1,Spring!$1:$1,FALSE))="","",INDEX(Spring!$1:$1048576,MATCH($A164,Spring!$A:$A,FALSE),MATCH(AA$1,Spring!$1:$1,FALSE))),"")</f>
        <v>2A</v>
      </c>
      <c r="AB164" t="str">
        <f>IFERROR(IF(INDEX(Spring!$1:$1048576,MATCH($A164,Spring!$A:$A,FALSE),MATCH(AB$1,Spring!$1:$1,FALSE))="","",INDEX(Spring!$1:$1048576,MATCH($A164,Spring!$A:$A,FALSE),MATCH(AB$1,Spring!$1:$1,FALSE))),"")</f>
        <v/>
      </c>
      <c r="AC164" t="str">
        <f>IFERROR(IF(INDEX(Spring!$1:$1048576,MATCH($A164,Spring!$A:$A,FALSE),MATCH(AC$1,Spring!$1:$1,FALSE))="","",INDEX(Spring!$1:$1048576,MATCH($A164,Spring!$A:$A,FALSE),MATCH(AC$1,Spring!$1:$1,FALSE))),"")</f>
        <v>2A</v>
      </c>
      <c r="AD164" t="str">
        <f>IFERROR(IF(INDEX(Spring!$1:$1048576,MATCH($A164,Spring!$A:$A,FALSE),MATCH(AD$1,Spring!$1:$1,FALSE))="","",INDEX(Spring!$1:$1048576,MATCH($A164,Spring!$A:$A,FALSE),MATCH(AD$1,Spring!$1:$1,FALSE))),"")</f>
        <v>2A</v>
      </c>
    </row>
    <row r="165" spans="1:30" ht="15.75" thickBot="1" x14ac:dyDescent="0.3">
      <c r="A165" s="48" t="s">
        <v>926</v>
      </c>
      <c r="B165" s="49">
        <v>171</v>
      </c>
      <c r="C165" s="50"/>
      <c r="D165" s="50"/>
      <c r="E165" s="50"/>
      <c r="F165" s="45"/>
      <c r="G165" s="45"/>
      <c r="H165" s="44"/>
      <c r="J165" t="str">
        <f>IFERROR(IF(INDEX(Fall!$1:$1048576,MATCH($A165,Fall!$A:$A,FALSE),MATCH(J$1,Fall!$1:$1,FALSE))="","",INDEX(Fall!$1:$1048576,MATCH($A165,Fall!$A:$A,FALSE),MATCH(J$1,Fall!$1:$1,FALSE))),"")</f>
        <v>1A</v>
      </c>
      <c r="K165" t="str">
        <f>IFERROR(IF(INDEX(Fall!$1:$1048576,MATCH($A165,Fall!$A:$A,FALSE),MATCH(K$1,Fall!$1:$1,FALSE))="","",INDEX(Fall!$1:$1048576,MATCH($A165,Fall!$A:$A,FALSE),MATCH(K$1,Fall!$1:$1,FALSE))),"")</f>
        <v/>
      </c>
      <c r="L165" t="str">
        <f>IFERROR(IF(INDEX(Fall!$1:$1048576,MATCH($A165,Fall!$A:$A,FALSE),MATCH(L$1,Fall!$1:$1,FALSE))="","",INDEX(Fall!$1:$1048576,MATCH($A165,Fall!$A:$A,FALSE),MATCH(L$1,Fall!$1:$1,FALSE))),"")</f>
        <v/>
      </c>
      <c r="M165" t="str">
        <f>IFERROR(IF(INDEX(Fall!$1:$1048576,MATCH($A165,Fall!$A:$A,FALSE),MATCH(M$1,Fall!$1:$1,FALSE))="","",INDEX(Fall!$1:$1048576,MATCH($A165,Fall!$A:$A,FALSE),MATCH(M$1,Fall!$1:$1,FALSE))),"")</f>
        <v/>
      </c>
      <c r="N165" t="str">
        <f>IFERROR(IF(INDEX(Fall!$1:$1048576,MATCH($A165,Fall!$A:$A,FALSE),MATCH(N$1,Fall!$1:$1,FALSE))="","",INDEX(Fall!$1:$1048576,MATCH($A165,Fall!$A:$A,FALSE),MATCH(N$1,Fall!$1:$1,FALSE))),"")</f>
        <v/>
      </c>
      <c r="O165" t="str">
        <f>IFERROR(IF(INDEX(Fall!$1:$1048576,MATCH($A165,Fall!$A:$A,FALSE),MATCH(O$1,Fall!$1:$1,FALSE))="","",INDEX(Fall!$1:$1048576,MATCH($A165,Fall!$A:$A,FALSE),MATCH(O$1,Fall!$1:$1,FALSE))),"")</f>
        <v/>
      </c>
      <c r="P165" t="str">
        <f>IFERROR(IF(INDEX(Fall!$1:$1048576,MATCH($A165,Fall!$A:$A,FALSE),MATCH(P$1,Fall!$1:$1,FALSE))="","",INDEX(Fall!$1:$1048576,MATCH($A165,Fall!$A:$A,FALSE),MATCH(P$1,Fall!$1:$1,FALSE))),"")</f>
        <v>1A</v>
      </c>
      <c r="R165" t="str">
        <f>IFERROR(IF(INDEX(Winter!$1:$1048576,MATCH($A165,Winter!$A:$A,FALSE),MATCH(R$1,Winter!$1:$1,FALSE))="","",INDEX(Winter!$1:$1048576,MATCH($A165,Winter!$A:$A,FALSE),MATCH(R$1,Winter!$1:$1,FALSE))),"")</f>
        <v>1A</v>
      </c>
      <c r="S165" t="str">
        <f>IFERROR(IF(INDEX(Winter!$1:$1048576,MATCH($A165,Winter!$A:$A,FALSE),MATCH(S$1,Winter!$1:$1,FALSE))="","",INDEX(Winter!$1:$1048576,MATCH($A165,Winter!$A:$A,FALSE),MATCH(S$1,Winter!$1:$1,FALSE))),"")</f>
        <v/>
      </c>
      <c r="T165" t="str">
        <f>IFERROR(IF(INDEX(Winter!$1:$1048576,MATCH($A165,Winter!$A:$A,FALSE),MATCH(T$1,Winter!$1:$1,FALSE))="","",INDEX(Winter!$1:$1048576,MATCH($A165,Winter!$A:$A,FALSE),MATCH(T$1,Winter!$1:$1,FALSE))),"")</f>
        <v/>
      </c>
      <c r="U165" t="str">
        <f>IFERROR(IF(INDEX(Winter!$1:$1048576,MATCH($A165,Winter!$A:$A,FALSE),MATCH(U$1,Winter!$1:$1,FALSE))="","",INDEX(Winter!$1:$1048576,MATCH($A165,Winter!$A:$A,FALSE),MATCH(U$1,Winter!$1:$1,FALSE))),"")</f>
        <v/>
      </c>
      <c r="V165" t="str">
        <f>IFERROR(IF(INDEX(Winter!$1:$1048576,MATCH($A165,Winter!$A:$A,FALSE),MATCH(V$1,Winter!$1:$1,FALSE))="","",INDEX(Winter!$1:$1048576,MATCH($A165,Winter!$A:$A,FALSE),MATCH(V$1,Winter!$1:$1,FALSE))),"")</f>
        <v/>
      </c>
      <c r="W165" t="str">
        <f>IFERROR(IF(INDEX(Winter!$1:$1048576,MATCH($A165,Winter!$A:$A,FALSE),MATCH(W$1,Winter!$1:$1,FALSE))="","",INDEX(Winter!$1:$1048576,MATCH($A165,Winter!$A:$A,FALSE),MATCH(W$1,Winter!$1:$1,FALSE))),"")</f>
        <v>1A</v>
      </c>
      <c r="Y165" t="str">
        <f>IFERROR(IF(INDEX(Spring!$1:$1048576,MATCH($A165,Spring!$A:$A,FALSE),MATCH(Y$1,Spring!$1:$1,FALSE))="","",INDEX(Spring!$1:$1048576,MATCH($A165,Spring!$A:$A,FALSE),MATCH(Y$1,Spring!$1:$1,FALSE))),"")</f>
        <v/>
      </c>
      <c r="Z165" t="str">
        <f>IFERROR(IF(INDEX(Spring!$1:$1048576,MATCH($A165,Spring!$A:$A,FALSE),MATCH(Z$1,Spring!$1:$1,FALSE))="","",INDEX(Spring!$1:$1048576,MATCH($A165,Spring!$A:$A,FALSE),MATCH(Z$1,Spring!$1:$1,FALSE))),"")</f>
        <v/>
      </c>
      <c r="AA165" t="str">
        <f>IFERROR(IF(INDEX(Spring!$1:$1048576,MATCH($A165,Spring!$A:$A,FALSE),MATCH(AA$1,Spring!$1:$1,FALSE))="","",INDEX(Spring!$1:$1048576,MATCH($A165,Spring!$A:$A,FALSE),MATCH(AA$1,Spring!$1:$1,FALSE))),"")</f>
        <v/>
      </c>
      <c r="AB165" t="str">
        <f>IFERROR(IF(INDEX(Spring!$1:$1048576,MATCH($A165,Spring!$A:$A,FALSE),MATCH(AB$1,Spring!$1:$1,FALSE))="","",INDEX(Spring!$1:$1048576,MATCH($A165,Spring!$A:$A,FALSE),MATCH(AB$1,Spring!$1:$1,FALSE))),"")</f>
        <v/>
      </c>
      <c r="AC165" t="str">
        <f>IFERROR(IF(INDEX(Spring!$1:$1048576,MATCH($A165,Spring!$A:$A,FALSE),MATCH(AC$1,Spring!$1:$1,FALSE))="","",INDEX(Spring!$1:$1048576,MATCH($A165,Spring!$A:$A,FALSE),MATCH(AC$1,Spring!$1:$1,FALSE))),"")</f>
        <v/>
      </c>
      <c r="AD165" t="str">
        <f>IFERROR(IF(INDEX(Spring!$1:$1048576,MATCH($A165,Spring!$A:$A,FALSE),MATCH(AD$1,Spring!$1:$1,FALSE))="","",INDEX(Spring!$1:$1048576,MATCH($A165,Spring!$A:$A,FALSE),MATCH(AD$1,Spring!$1:$1,FALSE))),"")</f>
        <v/>
      </c>
    </row>
    <row r="166" spans="1:30" ht="23.25" thickBot="1" x14ac:dyDescent="0.3">
      <c r="A166" s="48" t="s">
        <v>203</v>
      </c>
      <c r="B166" s="49" t="s">
        <v>204</v>
      </c>
      <c r="C166" s="49" t="s">
        <v>997</v>
      </c>
      <c r="D166" s="49">
        <v>1</v>
      </c>
      <c r="E166" s="49">
        <v>1</v>
      </c>
      <c r="F166" s="45"/>
      <c r="G166" s="45"/>
      <c r="H166" s="44"/>
      <c r="J166" t="str">
        <f>IFERROR(IF(INDEX(Fall!$1:$1048576,MATCH($A166,Fall!$A:$A,FALSE),MATCH(J$1,Fall!$1:$1,FALSE))="","",INDEX(Fall!$1:$1048576,MATCH($A166,Fall!$A:$A,FALSE),MATCH(J$1,Fall!$1:$1,FALSE))),"")</f>
        <v>1A</v>
      </c>
      <c r="K166" t="str">
        <f>IFERROR(IF(INDEX(Fall!$1:$1048576,MATCH($A166,Fall!$A:$A,FALSE),MATCH(K$1,Fall!$1:$1,FALSE))="","",INDEX(Fall!$1:$1048576,MATCH($A166,Fall!$A:$A,FALSE),MATCH(K$1,Fall!$1:$1,FALSE))),"")</f>
        <v>1A</v>
      </c>
      <c r="L166" t="str">
        <f>IFERROR(IF(INDEX(Fall!$1:$1048576,MATCH($A166,Fall!$A:$A,FALSE),MATCH(L$1,Fall!$1:$1,FALSE))="","",INDEX(Fall!$1:$1048576,MATCH($A166,Fall!$A:$A,FALSE),MATCH(L$1,Fall!$1:$1,FALSE))),"")</f>
        <v/>
      </c>
      <c r="M166" t="str">
        <f>IFERROR(IF(INDEX(Fall!$1:$1048576,MATCH($A166,Fall!$A:$A,FALSE),MATCH(M$1,Fall!$1:$1,FALSE))="","",INDEX(Fall!$1:$1048576,MATCH($A166,Fall!$A:$A,FALSE),MATCH(M$1,Fall!$1:$1,FALSE))),"")</f>
        <v/>
      </c>
      <c r="N166" t="str">
        <f>IFERROR(IF(INDEX(Fall!$1:$1048576,MATCH($A166,Fall!$A:$A,FALSE),MATCH(N$1,Fall!$1:$1,FALSE))="","",INDEX(Fall!$1:$1048576,MATCH($A166,Fall!$A:$A,FALSE),MATCH(N$1,Fall!$1:$1,FALSE))),"")</f>
        <v>1A</v>
      </c>
      <c r="O166" t="str">
        <f>IFERROR(IF(INDEX(Fall!$1:$1048576,MATCH($A166,Fall!$A:$A,FALSE),MATCH(O$1,Fall!$1:$1,FALSE))="","",INDEX(Fall!$1:$1048576,MATCH($A166,Fall!$A:$A,FALSE),MATCH(O$1,Fall!$1:$1,FALSE))),"")</f>
        <v/>
      </c>
      <c r="P166" t="str">
        <f>IFERROR(IF(INDEX(Fall!$1:$1048576,MATCH($A166,Fall!$A:$A,FALSE),MATCH(P$1,Fall!$1:$1,FALSE))="","",INDEX(Fall!$1:$1048576,MATCH($A166,Fall!$A:$A,FALSE),MATCH(P$1,Fall!$1:$1,FALSE))),"")</f>
        <v>2A</v>
      </c>
      <c r="R166" t="str">
        <f>IFERROR(IF(INDEX(Winter!$1:$1048576,MATCH($A166,Winter!$A:$A,FALSE),MATCH(R$1,Winter!$1:$1,FALSE))="","",INDEX(Winter!$1:$1048576,MATCH($A166,Winter!$A:$A,FALSE),MATCH(R$1,Winter!$1:$1,FALSE))),"")</f>
        <v>2A</v>
      </c>
      <c r="S166" t="str">
        <f>IFERROR(IF(INDEX(Winter!$1:$1048576,MATCH($A166,Winter!$A:$A,FALSE),MATCH(S$1,Winter!$1:$1,FALSE))="","",INDEX(Winter!$1:$1048576,MATCH($A166,Winter!$A:$A,FALSE),MATCH(S$1,Winter!$1:$1,FALSE))),"")</f>
        <v>2A</v>
      </c>
      <c r="T166" t="str">
        <f>IFERROR(IF(INDEX(Winter!$1:$1048576,MATCH($A166,Winter!$A:$A,FALSE),MATCH(T$1,Winter!$1:$1,FALSE))="","",INDEX(Winter!$1:$1048576,MATCH($A166,Winter!$A:$A,FALSE),MATCH(T$1,Winter!$1:$1,FALSE))),"")</f>
        <v/>
      </c>
      <c r="U166" t="str">
        <f>IFERROR(IF(INDEX(Winter!$1:$1048576,MATCH($A166,Winter!$A:$A,FALSE),MATCH(U$1,Winter!$1:$1,FALSE))="","",INDEX(Winter!$1:$1048576,MATCH($A166,Winter!$A:$A,FALSE),MATCH(U$1,Winter!$1:$1,FALSE))),"")</f>
        <v/>
      </c>
      <c r="V166" t="str">
        <f>IFERROR(IF(INDEX(Winter!$1:$1048576,MATCH($A166,Winter!$A:$A,FALSE),MATCH(V$1,Winter!$1:$1,FALSE))="","",INDEX(Winter!$1:$1048576,MATCH($A166,Winter!$A:$A,FALSE),MATCH(V$1,Winter!$1:$1,FALSE))),"")</f>
        <v/>
      </c>
      <c r="W166" t="str">
        <f>IFERROR(IF(INDEX(Winter!$1:$1048576,MATCH($A166,Winter!$A:$A,FALSE),MATCH(W$1,Winter!$1:$1,FALSE))="","",INDEX(Winter!$1:$1048576,MATCH($A166,Winter!$A:$A,FALSE),MATCH(W$1,Winter!$1:$1,FALSE))),"")</f>
        <v/>
      </c>
      <c r="Y166" t="str">
        <f>IFERROR(IF(INDEX(Spring!$1:$1048576,MATCH($A166,Spring!$A:$A,FALSE),MATCH(Y$1,Spring!$1:$1,FALSE))="","",INDEX(Spring!$1:$1048576,MATCH($A166,Spring!$A:$A,FALSE),MATCH(Y$1,Spring!$1:$1,FALSE))),"")</f>
        <v>2A</v>
      </c>
      <c r="Z166" t="str">
        <f>IFERROR(IF(INDEX(Spring!$1:$1048576,MATCH($A166,Spring!$A:$A,FALSE),MATCH(Z$1,Spring!$1:$1,FALSE))="","",INDEX(Spring!$1:$1048576,MATCH($A166,Spring!$A:$A,FALSE),MATCH(Z$1,Spring!$1:$1,FALSE))),"")</f>
        <v>1A</v>
      </c>
      <c r="AA166" t="str">
        <f>IFERROR(IF(INDEX(Spring!$1:$1048576,MATCH($A166,Spring!$A:$A,FALSE),MATCH(AA$1,Spring!$1:$1,FALSE))="","",INDEX(Spring!$1:$1048576,MATCH($A166,Spring!$A:$A,FALSE),MATCH(AA$1,Spring!$1:$1,FALSE))),"")</f>
        <v/>
      </c>
      <c r="AB166" t="str">
        <f>IFERROR(IF(INDEX(Spring!$1:$1048576,MATCH($A166,Spring!$A:$A,FALSE),MATCH(AB$1,Spring!$1:$1,FALSE))="","",INDEX(Spring!$1:$1048576,MATCH($A166,Spring!$A:$A,FALSE),MATCH(AB$1,Spring!$1:$1,FALSE))),"")</f>
        <v/>
      </c>
      <c r="AC166" t="str">
        <f>IFERROR(IF(INDEX(Spring!$1:$1048576,MATCH($A166,Spring!$A:$A,FALSE),MATCH(AC$1,Spring!$1:$1,FALSE))="","",INDEX(Spring!$1:$1048576,MATCH($A166,Spring!$A:$A,FALSE),MATCH(AC$1,Spring!$1:$1,FALSE))),"")</f>
        <v>1A</v>
      </c>
      <c r="AD166" t="str">
        <f>IFERROR(IF(INDEX(Spring!$1:$1048576,MATCH($A166,Spring!$A:$A,FALSE),MATCH(AD$1,Spring!$1:$1,FALSE))="","",INDEX(Spring!$1:$1048576,MATCH($A166,Spring!$A:$A,FALSE),MATCH(AD$1,Spring!$1:$1,FALSE))),"")</f>
        <v>1A</v>
      </c>
    </row>
    <row r="167" spans="1:30" ht="23.25" thickBot="1" x14ac:dyDescent="0.3">
      <c r="A167" s="48" t="s">
        <v>205</v>
      </c>
      <c r="B167" s="49" t="s">
        <v>174</v>
      </c>
      <c r="C167" s="49" t="s">
        <v>1004</v>
      </c>
      <c r="D167" s="50"/>
      <c r="E167" s="50"/>
      <c r="F167" s="45"/>
      <c r="G167" s="45"/>
      <c r="H167" s="44"/>
      <c r="J167" t="str">
        <f>IFERROR(IF(INDEX(Fall!$1:$1048576,MATCH($A167,Fall!$A:$A,FALSE),MATCH(J$1,Fall!$1:$1,FALSE))="","",INDEX(Fall!$1:$1048576,MATCH($A167,Fall!$A:$A,FALSE),MATCH(J$1,Fall!$1:$1,FALSE))),"")</f>
        <v>1A</v>
      </c>
      <c r="K167" t="str">
        <f>IFERROR(IF(INDEX(Fall!$1:$1048576,MATCH($A167,Fall!$A:$A,FALSE),MATCH(K$1,Fall!$1:$1,FALSE))="","",INDEX(Fall!$1:$1048576,MATCH($A167,Fall!$A:$A,FALSE),MATCH(K$1,Fall!$1:$1,FALSE))),"")</f>
        <v>1A</v>
      </c>
      <c r="L167" t="str">
        <f>IFERROR(IF(INDEX(Fall!$1:$1048576,MATCH($A167,Fall!$A:$A,FALSE),MATCH(L$1,Fall!$1:$1,FALSE))="","",INDEX(Fall!$1:$1048576,MATCH($A167,Fall!$A:$A,FALSE),MATCH(L$1,Fall!$1:$1,FALSE))),"")</f>
        <v/>
      </c>
      <c r="M167" t="str">
        <f>IFERROR(IF(INDEX(Fall!$1:$1048576,MATCH($A167,Fall!$A:$A,FALSE),MATCH(M$1,Fall!$1:$1,FALSE))="","",INDEX(Fall!$1:$1048576,MATCH($A167,Fall!$A:$A,FALSE),MATCH(M$1,Fall!$1:$1,FALSE))),"")</f>
        <v/>
      </c>
      <c r="N167" t="str">
        <f>IFERROR(IF(INDEX(Fall!$1:$1048576,MATCH($A167,Fall!$A:$A,FALSE),MATCH(N$1,Fall!$1:$1,FALSE))="","",INDEX(Fall!$1:$1048576,MATCH($A167,Fall!$A:$A,FALSE),MATCH(N$1,Fall!$1:$1,FALSE))),"")</f>
        <v/>
      </c>
      <c r="O167" t="str">
        <f>IFERROR(IF(INDEX(Fall!$1:$1048576,MATCH($A167,Fall!$A:$A,FALSE),MATCH(O$1,Fall!$1:$1,FALSE))="","",INDEX(Fall!$1:$1048576,MATCH($A167,Fall!$A:$A,FALSE),MATCH(O$1,Fall!$1:$1,FALSE))),"")</f>
        <v/>
      </c>
      <c r="P167" t="str">
        <f>IFERROR(IF(INDEX(Fall!$1:$1048576,MATCH($A167,Fall!$A:$A,FALSE),MATCH(P$1,Fall!$1:$1,FALSE))="","",INDEX(Fall!$1:$1048576,MATCH($A167,Fall!$A:$A,FALSE),MATCH(P$1,Fall!$1:$1,FALSE))),"")</f>
        <v/>
      </c>
      <c r="R167" t="str">
        <f>IFERROR(IF(INDEX(Winter!$1:$1048576,MATCH($A167,Winter!$A:$A,FALSE),MATCH(R$1,Winter!$1:$1,FALSE))="","",INDEX(Winter!$1:$1048576,MATCH($A167,Winter!$A:$A,FALSE),MATCH(R$1,Winter!$1:$1,FALSE))),"")</f>
        <v>2A</v>
      </c>
      <c r="S167" t="str">
        <f>IFERROR(IF(INDEX(Winter!$1:$1048576,MATCH($A167,Winter!$A:$A,FALSE),MATCH(S$1,Winter!$1:$1,FALSE))="","",INDEX(Winter!$1:$1048576,MATCH($A167,Winter!$A:$A,FALSE),MATCH(S$1,Winter!$1:$1,FALSE))),"")</f>
        <v/>
      </c>
      <c r="T167" t="str">
        <f>IFERROR(IF(INDEX(Winter!$1:$1048576,MATCH($A167,Winter!$A:$A,FALSE),MATCH(T$1,Winter!$1:$1,FALSE))="","",INDEX(Winter!$1:$1048576,MATCH($A167,Winter!$A:$A,FALSE),MATCH(T$1,Winter!$1:$1,FALSE))),"")</f>
        <v>1A</v>
      </c>
      <c r="U167" t="str">
        <f>IFERROR(IF(INDEX(Winter!$1:$1048576,MATCH($A167,Winter!$A:$A,FALSE),MATCH(U$1,Winter!$1:$1,FALSE))="","",INDEX(Winter!$1:$1048576,MATCH($A167,Winter!$A:$A,FALSE),MATCH(U$1,Winter!$1:$1,FALSE))),"")</f>
        <v/>
      </c>
      <c r="V167" t="str">
        <f>IFERROR(IF(INDEX(Winter!$1:$1048576,MATCH($A167,Winter!$A:$A,FALSE),MATCH(V$1,Winter!$1:$1,FALSE))="","",INDEX(Winter!$1:$1048576,MATCH($A167,Winter!$A:$A,FALSE),MATCH(V$1,Winter!$1:$1,FALSE))),"")</f>
        <v/>
      </c>
      <c r="W167" t="str">
        <f>IFERROR(IF(INDEX(Winter!$1:$1048576,MATCH($A167,Winter!$A:$A,FALSE),MATCH(W$1,Winter!$1:$1,FALSE))="","",INDEX(Winter!$1:$1048576,MATCH($A167,Winter!$A:$A,FALSE),MATCH(W$1,Winter!$1:$1,FALSE))),"")</f>
        <v/>
      </c>
      <c r="Y167" t="str">
        <f>IFERROR(IF(INDEX(Spring!$1:$1048576,MATCH($A167,Spring!$A:$A,FALSE),MATCH(Y$1,Spring!$1:$1,FALSE))="","",INDEX(Spring!$1:$1048576,MATCH($A167,Spring!$A:$A,FALSE),MATCH(Y$1,Spring!$1:$1,FALSE))),"")</f>
        <v/>
      </c>
      <c r="Z167" t="str">
        <f>IFERROR(IF(INDEX(Spring!$1:$1048576,MATCH($A167,Spring!$A:$A,FALSE),MATCH(Z$1,Spring!$1:$1,FALSE))="","",INDEX(Spring!$1:$1048576,MATCH($A167,Spring!$A:$A,FALSE),MATCH(Z$1,Spring!$1:$1,FALSE))),"")</f>
        <v/>
      </c>
      <c r="AA167" t="str">
        <f>IFERROR(IF(INDEX(Spring!$1:$1048576,MATCH($A167,Spring!$A:$A,FALSE),MATCH(AA$1,Spring!$1:$1,FALSE))="","",INDEX(Spring!$1:$1048576,MATCH($A167,Spring!$A:$A,FALSE),MATCH(AA$1,Spring!$1:$1,FALSE))),"")</f>
        <v/>
      </c>
      <c r="AB167" t="str">
        <f>IFERROR(IF(INDEX(Spring!$1:$1048576,MATCH($A167,Spring!$A:$A,FALSE),MATCH(AB$1,Spring!$1:$1,FALSE))="","",INDEX(Spring!$1:$1048576,MATCH($A167,Spring!$A:$A,FALSE),MATCH(AB$1,Spring!$1:$1,FALSE))),"")</f>
        <v/>
      </c>
      <c r="AC167" t="str">
        <f>IFERROR(IF(INDEX(Spring!$1:$1048576,MATCH($A167,Spring!$A:$A,FALSE),MATCH(AC$1,Spring!$1:$1,FALSE))="","",INDEX(Spring!$1:$1048576,MATCH($A167,Spring!$A:$A,FALSE),MATCH(AC$1,Spring!$1:$1,FALSE))),"")</f>
        <v>1A</v>
      </c>
      <c r="AD167" t="str">
        <f>IFERROR(IF(INDEX(Spring!$1:$1048576,MATCH($A167,Spring!$A:$A,FALSE),MATCH(AD$1,Spring!$1:$1,FALSE))="","",INDEX(Spring!$1:$1048576,MATCH($A167,Spring!$A:$A,FALSE),MATCH(AD$1,Spring!$1:$1,FALSE))),"")</f>
        <v>1A</v>
      </c>
    </row>
    <row r="168" spans="1:30" ht="23.25" thickBot="1" x14ac:dyDescent="0.3">
      <c r="A168" s="48" t="s">
        <v>206</v>
      </c>
      <c r="B168" s="49" t="s">
        <v>207</v>
      </c>
      <c r="C168" s="49" t="s">
        <v>1000</v>
      </c>
      <c r="D168" s="50"/>
      <c r="E168" s="50"/>
      <c r="F168" s="45"/>
      <c r="G168" s="45"/>
      <c r="H168" s="44"/>
      <c r="J168" t="str">
        <f>IFERROR(IF(INDEX(Fall!$1:$1048576,MATCH($A168,Fall!$A:$A,FALSE),MATCH(J$1,Fall!$1:$1,FALSE))="","",INDEX(Fall!$1:$1048576,MATCH($A168,Fall!$A:$A,FALSE),MATCH(J$1,Fall!$1:$1,FALSE))),"")</f>
        <v>1A</v>
      </c>
      <c r="K168" t="str">
        <f>IFERROR(IF(INDEX(Fall!$1:$1048576,MATCH($A168,Fall!$A:$A,FALSE),MATCH(K$1,Fall!$1:$1,FALSE))="","",INDEX(Fall!$1:$1048576,MATCH($A168,Fall!$A:$A,FALSE),MATCH(K$1,Fall!$1:$1,FALSE))),"")</f>
        <v>1A</v>
      </c>
      <c r="L168" t="str">
        <f>IFERROR(IF(INDEX(Fall!$1:$1048576,MATCH($A168,Fall!$A:$A,FALSE),MATCH(L$1,Fall!$1:$1,FALSE))="","",INDEX(Fall!$1:$1048576,MATCH($A168,Fall!$A:$A,FALSE),MATCH(L$1,Fall!$1:$1,FALSE))),"")</f>
        <v/>
      </c>
      <c r="M168" t="str">
        <f>IFERROR(IF(INDEX(Fall!$1:$1048576,MATCH($A168,Fall!$A:$A,FALSE),MATCH(M$1,Fall!$1:$1,FALSE))="","",INDEX(Fall!$1:$1048576,MATCH($A168,Fall!$A:$A,FALSE),MATCH(M$1,Fall!$1:$1,FALSE))),"")</f>
        <v/>
      </c>
      <c r="N168" t="str">
        <f>IFERROR(IF(INDEX(Fall!$1:$1048576,MATCH($A168,Fall!$A:$A,FALSE),MATCH(N$1,Fall!$1:$1,FALSE))="","",INDEX(Fall!$1:$1048576,MATCH($A168,Fall!$A:$A,FALSE),MATCH(N$1,Fall!$1:$1,FALSE))),"")</f>
        <v>1A</v>
      </c>
      <c r="O168" t="str">
        <f>IFERROR(IF(INDEX(Fall!$1:$1048576,MATCH($A168,Fall!$A:$A,FALSE),MATCH(O$1,Fall!$1:$1,FALSE))="","",INDEX(Fall!$1:$1048576,MATCH($A168,Fall!$A:$A,FALSE),MATCH(O$1,Fall!$1:$1,FALSE))),"")</f>
        <v/>
      </c>
      <c r="P168" t="str">
        <f>IFERROR(IF(INDEX(Fall!$1:$1048576,MATCH($A168,Fall!$A:$A,FALSE),MATCH(P$1,Fall!$1:$1,FALSE))="","",INDEX(Fall!$1:$1048576,MATCH($A168,Fall!$A:$A,FALSE),MATCH(P$1,Fall!$1:$1,FALSE))),"")</f>
        <v>1A</v>
      </c>
      <c r="R168" t="str">
        <f>IFERROR(IF(INDEX(Winter!$1:$1048576,MATCH($A168,Winter!$A:$A,FALSE),MATCH(R$1,Winter!$1:$1,FALSE))="","",INDEX(Winter!$1:$1048576,MATCH($A168,Winter!$A:$A,FALSE),MATCH(R$1,Winter!$1:$1,FALSE))),"")</f>
        <v>1A</v>
      </c>
      <c r="S168" t="str">
        <f>IFERROR(IF(INDEX(Winter!$1:$1048576,MATCH($A168,Winter!$A:$A,FALSE),MATCH(S$1,Winter!$1:$1,FALSE))="","",INDEX(Winter!$1:$1048576,MATCH($A168,Winter!$A:$A,FALSE),MATCH(S$1,Winter!$1:$1,FALSE))),"")</f>
        <v>1A</v>
      </c>
      <c r="T168" t="str">
        <f>IFERROR(IF(INDEX(Winter!$1:$1048576,MATCH($A168,Winter!$A:$A,FALSE),MATCH(T$1,Winter!$1:$1,FALSE))="","",INDEX(Winter!$1:$1048576,MATCH($A168,Winter!$A:$A,FALSE),MATCH(T$1,Winter!$1:$1,FALSE))),"")</f>
        <v/>
      </c>
      <c r="U168" t="str">
        <f>IFERROR(IF(INDEX(Winter!$1:$1048576,MATCH($A168,Winter!$A:$A,FALSE),MATCH(U$1,Winter!$1:$1,FALSE))="","",INDEX(Winter!$1:$1048576,MATCH($A168,Winter!$A:$A,FALSE),MATCH(U$1,Winter!$1:$1,FALSE))),"")</f>
        <v/>
      </c>
      <c r="V168" t="str">
        <f>IFERROR(IF(INDEX(Winter!$1:$1048576,MATCH($A168,Winter!$A:$A,FALSE),MATCH(V$1,Winter!$1:$1,FALSE))="","",INDEX(Winter!$1:$1048576,MATCH($A168,Winter!$A:$A,FALSE),MATCH(V$1,Winter!$1:$1,FALSE))),"")</f>
        <v/>
      </c>
      <c r="W168" t="str">
        <f>IFERROR(IF(INDEX(Winter!$1:$1048576,MATCH($A168,Winter!$A:$A,FALSE),MATCH(W$1,Winter!$1:$1,FALSE))="","",INDEX(Winter!$1:$1048576,MATCH($A168,Winter!$A:$A,FALSE),MATCH(W$1,Winter!$1:$1,FALSE))),"")</f>
        <v/>
      </c>
      <c r="Y168" t="str">
        <f>IFERROR(IF(INDEX(Spring!$1:$1048576,MATCH($A168,Spring!$A:$A,FALSE),MATCH(Y$1,Spring!$1:$1,FALSE))="","",INDEX(Spring!$1:$1048576,MATCH($A168,Spring!$A:$A,FALSE),MATCH(Y$1,Spring!$1:$1,FALSE))),"")</f>
        <v>1A</v>
      </c>
      <c r="Z168" t="str">
        <f>IFERROR(IF(INDEX(Spring!$1:$1048576,MATCH($A168,Spring!$A:$A,FALSE),MATCH(Z$1,Spring!$1:$1,FALSE))="","",INDEX(Spring!$1:$1048576,MATCH($A168,Spring!$A:$A,FALSE),MATCH(Z$1,Spring!$1:$1,FALSE))),"")</f>
        <v>2A</v>
      </c>
      <c r="AA168" t="str">
        <f>IFERROR(IF(INDEX(Spring!$1:$1048576,MATCH($A168,Spring!$A:$A,FALSE),MATCH(AA$1,Spring!$1:$1,FALSE))="","",INDEX(Spring!$1:$1048576,MATCH($A168,Spring!$A:$A,FALSE),MATCH(AA$1,Spring!$1:$1,FALSE))),"")</f>
        <v/>
      </c>
      <c r="AB168" t="str">
        <f>IFERROR(IF(INDEX(Spring!$1:$1048576,MATCH($A168,Spring!$A:$A,FALSE),MATCH(AB$1,Spring!$1:$1,FALSE))="","",INDEX(Spring!$1:$1048576,MATCH($A168,Spring!$A:$A,FALSE),MATCH(AB$1,Spring!$1:$1,FALSE))),"")</f>
        <v/>
      </c>
      <c r="AC168" t="str">
        <f>IFERROR(IF(INDEX(Spring!$1:$1048576,MATCH($A168,Spring!$A:$A,FALSE),MATCH(AC$1,Spring!$1:$1,FALSE))="","",INDEX(Spring!$1:$1048576,MATCH($A168,Spring!$A:$A,FALSE),MATCH(AC$1,Spring!$1:$1,FALSE))),"")</f>
        <v>1A</v>
      </c>
      <c r="AD168" t="str">
        <f>IFERROR(IF(INDEX(Spring!$1:$1048576,MATCH($A168,Spring!$A:$A,FALSE),MATCH(AD$1,Spring!$1:$1,FALSE))="","",INDEX(Spring!$1:$1048576,MATCH($A168,Spring!$A:$A,FALSE),MATCH(AD$1,Spring!$1:$1,FALSE))),"")</f>
        <v>1A</v>
      </c>
    </row>
    <row r="169" spans="1:30" ht="23.25" thickBot="1" x14ac:dyDescent="0.3">
      <c r="A169" s="48" t="s">
        <v>208</v>
      </c>
      <c r="B169" s="49" t="s">
        <v>209</v>
      </c>
      <c r="C169" s="49" t="s">
        <v>1000</v>
      </c>
      <c r="D169" s="50"/>
      <c r="E169" s="50"/>
      <c r="F169" s="45"/>
      <c r="G169" s="45"/>
      <c r="H169" s="44"/>
      <c r="J169" t="str">
        <f>IFERROR(IF(INDEX(Fall!$1:$1048576,MATCH($A169,Fall!$A:$A,FALSE),MATCH(J$1,Fall!$1:$1,FALSE))="","",INDEX(Fall!$1:$1048576,MATCH($A169,Fall!$A:$A,FALSE),MATCH(J$1,Fall!$1:$1,FALSE))),"")</f>
        <v/>
      </c>
      <c r="K169" t="str">
        <f>IFERROR(IF(INDEX(Fall!$1:$1048576,MATCH($A169,Fall!$A:$A,FALSE),MATCH(K$1,Fall!$1:$1,FALSE))="","",INDEX(Fall!$1:$1048576,MATCH($A169,Fall!$A:$A,FALSE),MATCH(K$1,Fall!$1:$1,FALSE))),"")</f>
        <v>1A</v>
      </c>
      <c r="L169" t="str">
        <f>IFERROR(IF(INDEX(Fall!$1:$1048576,MATCH($A169,Fall!$A:$A,FALSE),MATCH(L$1,Fall!$1:$1,FALSE))="","",INDEX(Fall!$1:$1048576,MATCH($A169,Fall!$A:$A,FALSE),MATCH(L$1,Fall!$1:$1,FALSE))),"")</f>
        <v/>
      </c>
      <c r="M169" t="str">
        <f>IFERROR(IF(INDEX(Fall!$1:$1048576,MATCH($A169,Fall!$A:$A,FALSE),MATCH(M$1,Fall!$1:$1,FALSE))="","",INDEX(Fall!$1:$1048576,MATCH($A169,Fall!$A:$A,FALSE),MATCH(M$1,Fall!$1:$1,FALSE))),"")</f>
        <v/>
      </c>
      <c r="N169" t="str">
        <f>IFERROR(IF(INDEX(Fall!$1:$1048576,MATCH($A169,Fall!$A:$A,FALSE),MATCH(N$1,Fall!$1:$1,FALSE))="","",INDEX(Fall!$1:$1048576,MATCH($A169,Fall!$A:$A,FALSE),MATCH(N$1,Fall!$1:$1,FALSE))),"")</f>
        <v>1A</v>
      </c>
      <c r="O169" t="str">
        <f>IFERROR(IF(INDEX(Fall!$1:$1048576,MATCH($A169,Fall!$A:$A,FALSE),MATCH(O$1,Fall!$1:$1,FALSE))="","",INDEX(Fall!$1:$1048576,MATCH($A169,Fall!$A:$A,FALSE),MATCH(O$1,Fall!$1:$1,FALSE))),"")</f>
        <v/>
      </c>
      <c r="P169" t="str">
        <f>IFERROR(IF(INDEX(Fall!$1:$1048576,MATCH($A169,Fall!$A:$A,FALSE),MATCH(P$1,Fall!$1:$1,FALSE))="","",INDEX(Fall!$1:$1048576,MATCH($A169,Fall!$A:$A,FALSE),MATCH(P$1,Fall!$1:$1,FALSE))),"")</f>
        <v>1A</v>
      </c>
      <c r="R169" t="str">
        <f>IFERROR(IF(INDEX(Winter!$1:$1048576,MATCH($A169,Winter!$A:$A,FALSE),MATCH(R$1,Winter!$1:$1,FALSE))="","",INDEX(Winter!$1:$1048576,MATCH($A169,Winter!$A:$A,FALSE),MATCH(R$1,Winter!$1:$1,FALSE))),"")</f>
        <v>1A</v>
      </c>
      <c r="S169" t="str">
        <f>IFERROR(IF(INDEX(Winter!$1:$1048576,MATCH($A169,Winter!$A:$A,FALSE),MATCH(S$1,Winter!$1:$1,FALSE))="","",INDEX(Winter!$1:$1048576,MATCH($A169,Winter!$A:$A,FALSE),MATCH(S$1,Winter!$1:$1,FALSE))),"")</f>
        <v>1A</v>
      </c>
      <c r="T169" t="str">
        <f>IFERROR(IF(INDEX(Winter!$1:$1048576,MATCH($A169,Winter!$A:$A,FALSE),MATCH(T$1,Winter!$1:$1,FALSE))="","",INDEX(Winter!$1:$1048576,MATCH($A169,Winter!$A:$A,FALSE),MATCH(T$1,Winter!$1:$1,FALSE))),"")</f>
        <v/>
      </c>
      <c r="U169" t="str">
        <f>IFERROR(IF(INDEX(Winter!$1:$1048576,MATCH($A169,Winter!$A:$A,FALSE),MATCH(U$1,Winter!$1:$1,FALSE))="","",INDEX(Winter!$1:$1048576,MATCH($A169,Winter!$A:$A,FALSE),MATCH(U$1,Winter!$1:$1,FALSE))),"")</f>
        <v/>
      </c>
      <c r="V169" t="str">
        <f>IFERROR(IF(INDEX(Winter!$1:$1048576,MATCH($A169,Winter!$A:$A,FALSE),MATCH(V$1,Winter!$1:$1,FALSE))="","",INDEX(Winter!$1:$1048576,MATCH($A169,Winter!$A:$A,FALSE),MATCH(V$1,Winter!$1:$1,FALSE))),"")</f>
        <v/>
      </c>
      <c r="W169" t="str">
        <f>IFERROR(IF(INDEX(Winter!$1:$1048576,MATCH($A169,Winter!$A:$A,FALSE),MATCH(W$1,Winter!$1:$1,FALSE))="","",INDEX(Winter!$1:$1048576,MATCH($A169,Winter!$A:$A,FALSE),MATCH(W$1,Winter!$1:$1,FALSE))),"")</f>
        <v>1A</v>
      </c>
      <c r="Y169" t="str">
        <f>IFERROR(IF(INDEX(Spring!$1:$1048576,MATCH($A169,Spring!$A:$A,FALSE),MATCH(Y$1,Spring!$1:$1,FALSE))="","",INDEX(Spring!$1:$1048576,MATCH($A169,Spring!$A:$A,FALSE),MATCH(Y$1,Spring!$1:$1,FALSE))),"")</f>
        <v/>
      </c>
      <c r="Z169" t="str">
        <f>IFERROR(IF(INDEX(Spring!$1:$1048576,MATCH($A169,Spring!$A:$A,FALSE),MATCH(Z$1,Spring!$1:$1,FALSE))="","",INDEX(Spring!$1:$1048576,MATCH($A169,Spring!$A:$A,FALSE),MATCH(Z$1,Spring!$1:$1,FALSE))),"")</f>
        <v/>
      </c>
      <c r="AA169" t="str">
        <f>IFERROR(IF(INDEX(Spring!$1:$1048576,MATCH($A169,Spring!$A:$A,FALSE),MATCH(AA$1,Spring!$1:$1,FALSE))="","",INDEX(Spring!$1:$1048576,MATCH($A169,Spring!$A:$A,FALSE),MATCH(AA$1,Spring!$1:$1,FALSE))),"")</f>
        <v>1A</v>
      </c>
      <c r="AB169" t="str">
        <f>IFERROR(IF(INDEX(Spring!$1:$1048576,MATCH($A169,Spring!$A:$A,FALSE),MATCH(AB$1,Spring!$1:$1,FALSE))="","",INDEX(Spring!$1:$1048576,MATCH($A169,Spring!$A:$A,FALSE),MATCH(AB$1,Spring!$1:$1,FALSE))),"")</f>
        <v/>
      </c>
      <c r="AC169" t="str">
        <f>IFERROR(IF(INDEX(Spring!$1:$1048576,MATCH($A169,Spring!$A:$A,FALSE),MATCH(AC$1,Spring!$1:$1,FALSE))="","",INDEX(Spring!$1:$1048576,MATCH($A169,Spring!$A:$A,FALSE),MATCH(AC$1,Spring!$1:$1,FALSE))),"")</f>
        <v>1A</v>
      </c>
      <c r="AD169" t="str">
        <f>IFERROR(IF(INDEX(Spring!$1:$1048576,MATCH($A169,Spring!$A:$A,FALSE),MATCH(AD$1,Spring!$1:$1,FALSE))="","",INDEX(Spring!$1:$1048576,MATCH($A169,Spring!$A:$A,FALSE),MATCH(AD$1,Spring!$1:$1,FALSE))),"")</f>
        <v>1A</v>
      </c>
    </row>
    <row r="170" spans="1:30" ht="15.75" thickBot="1" x14ac:dyDescent="0.3">
      <c r="A170" s="48" t="s">
        <v>210</v>
      </c>
      <c r="B170" s="49">
        <v>1576</v>
      </c>
      <c r="C170" s="50"/>
      <c r="D170" s="50"/>
      <c r="E170" s="50"/>
      <c r="F170" s="45"/>
      <c r="G170" s="45"/>
      <c r="H170" s="44"/>
      <c r="J170" t="str">
        <f>IFERROR(IF(INDEX(Fall!$1:$1048576,MATCH($A170,Fall!$A:$A,FALSE),MATCH(J$1,Fall!$1:$1,FALSE))="","",INDEX(Fall!$1:$1048576,MATCH($A170,Fall!$A:$A,FALSE),MATCH(J$1,Fall!$1:$1,FALSE))),"")</f>
        <v/>
      </c>
      <c r="K170" t="str">
        <f>IFERROR(IF(INDEX(Fall!$1:$1048576,MATCH($A170,Fall!$A:$A,FALSE),MATCH(K$1,Fall!$1:$1,FALSE))="","",INDEX(Fall!$1:$1048576,MATCH($A170,Fall!$A:$A,FALSE),MATCH(K$1,Fall!$1:$1,FALSE))),"")</f>
        <v/>
      </c>
      <c r="L170" t="str">
        <f>IFERROR(IF(INDEX(Fall!$1:$1048576,MATCH($A170,Fall!$A:$A,FALSE),MATCH(L$1,Fall!$1:$1,FALSE))="","",INDEX(Fall!$1:$1048576,MATCH($A170,Fall!$A:$A,FALSE),MATCH(L$1,Fall!$1:$1,FALSE))),"")</f>
        <v/>
      </c>
      <c r="M170" t="str">
        <f>IFERROR(IF(INDEX(Fall!$1:$1048576,MATCH($A170,Fall!$A:$A,FALSE),MATCH(M$1,Fall!$1:$1,FALSE))="","",INDEX(Fall!$1:$1048576,MATCH($A170,Fall!$A:$A,FALSE),MATCH(M$1,Fall!$1:$1,FALSE))),"")</f>
        <v/>
      </c>
      <c r="N170" t="str">
        <f>IFERROR(IF(INDEX(Fall!$1:$1048576,MATCH($A170,Fall!$A:$A,FALSE),MATCH(N$1,Fall!$1:$1,FALSE))="","",INDEX(Fall!$1:$1048576,MATCH($A170,Fall!$A:$A,FALSE),MATCH(N$1,Fall!$1:$1,FALSE))),"")</f>
        <v>2A</v>
      </c>
      <c r="O170" t="str">
        <f>IFERROR(IF(INDEX(Fall!$1:$1048576,MATCH($A170,Fall!$A:$A,FALSE),MATCH(O$1,Fall!$1:$1,FALSE))="","",INDEX(Fall!$1:$1048576,MATCH($A170,Fall!$A:$A,FALSE),MATCH(O$1,Fall!$1:$1,FALSE))),"")</f>
        <v/>
      </c>
      <c r="P170" t="str">
        <f>IFERROR(IF(INDEX(Fall!$1:$1048576,MATCH($A170,Fall!$A:$A,FALSE),MATCH(P$1,Fall!$1:$1,FALSE))="","",INDEX(Fall!$1:$1048576,MATCH($A170,Fall!$A:$A,FALSE),MATCH(P$1,Fall!$1:$1,FALSE))),"")</f>
        <v>3A</v>
      </c>
      <c r="R170" t="str">
        <f>IFERROR(IF(INDEX(Winter!$1:$1048576,MATCH($A170,Winter!$A:$A,FALSE),MATCH(R$1,Winter!$1:$1,FALSE))="","",INDEX(Winter!$1:$1048576,MATCH($A170,Winter!$A:$A,FALSE),MATCH(R$1,Winter!$1:$1,FALSE))),"")</f>
        <v/>
      </c>
      <c r="S170" t="str">
        <f>IFERROR(IF(INDEX(Winter!$1:$1048576,MATCH($A170,Winter!$A:$A,FALSE),MATCH(S$1,Winter!$1:$1,FALSE))="","",INDEX(Winter!$1:$1048576,MATCH($A170,Winter!$A:$A,FALSE),MATCH(S$1,Winter!$1:$1,FALSE))),"")</f>
        <v/>
      </c>
      <c r="T170" t="str">
        <f>IFERROR(IF(INDEX(Winter!$1:$1048576,MATCH($A170,Winter!$A:$A,FALSE),MATCH(T$1,Winter!$1:$1,FALSE))="","",INDEX(Winter!$1:$1048576,MATCH($A170,Winter!$A:$A,FALSE),MATCH(T$1,Winter!$1:$1,FALSE))),"")</f>
        <v/>
      </c>
      <c r="U170" t="str">
        <f>IFERROR(IF(INDEX(Winter!$1:$1048576,MATCH($A170,Winter!$A:$A,FALSE),MATCH(U$1,Winter!$1:$1,FALSE))="","",INDEX(Winter!$1:$1048576,MATCH($A170,Winter!$A:$A,FALSE),MATCH(U$1,Winter!$1:$1,FALSE))),"")</f>
        <v/>
      </c>
      <c r="V170" t="str">
        <f>IFERROR(IF(INDEX(Winter!$1:$1048576,MATCH($A170,Winter!$A:$A,FALSE),MATCH(V$1,Winter!$1:$1,FALSE))="","",INDEX(Winter!$1:$1048576,MATCH($A170,Winter!$A:$A,FALSE),MATCH(V$1,Winter!$1:$1,FALSE))),"")</f>
        <v/>
      </c>
      <c r="W170" t="str">
        <f>IFERROR(IF(INDEX(Winter!$1:$1048576,MATCH($A170,Winter!$A:$A,FALSE),MATCH(W$1,Winter!$1:$1,FALSE))="","",INDEX(Winter!$1:$1048576,MATCH($A170,Winter!$A:$A,FALSE),MATCH(W$1,Winter!$1:$1,FALSE))),"")</f>
        <v>2A</v>
      </c>
      <c r="Y170" t="str">
        <f>IFERROR(IF(INDEX(Spring!$1:$1048576,MATCH($A170,Spring!$A:$A,FALSE),MATCH(Y$1,Spring!$1:$1,FALSE))="","",INDEX(Spring!$1:$1048576,MATCH($A170,Spring!$A:$A,FALSE),MATCH(Y$1,Spring!$1:$1,FALSE))),"")</f>
        <v>3A</v>
      </c>
      <c r="Z170" t="str">
        <f>IFERROR(IF(INDEX(Spring!$1:$1048576,MATCH($A170,Spring!$A:$A,FALSE),MATCH(Z$1,Spring!$1:$1,FALSE))="","",INDEX(Spring!$1:$1048576,MATCH($A170,Spring!$A:$A,FALSE),MATCH(Z$1,Spring!$1:$1,FALSE))),"")</f>
        <v/>
      </c>
      <c r="AA170" t="str">
        <f>IFERROR(IF(INDEX(Spring!$1:$1048576,MATCH($A170,Spring!$A:$A,FALSE),MATCH(AA$1,Spring!$1:$1,FALSE))="","",INDEX(Spring!$1:$1048576,MATCH($A170,Spring!$A:$A,FALSE),MATCH(AA$1,Spring!$1:$1,FALSE))),"")</f>
        <v>2A</v>
      </c>
      <c r="AB170" t="str">
        <f>IFERROR(IF(INDEX(Spring!$1:$1048576,MATCH($A170,Spring!$A:$A,FALSE),MATCH(AB$1,Spring!$1:$1,FALSE))="","",INDEX(Spring!$1:$1048576,MATCH($A170,Spring!$A:$A,FALSE),MATCH(AB$1,Spring!$1:$1,FALSE))),"")</f>
        <v/>
      </c>
      <c r="AC170" t="str">
        <f>IFERROR(IF(INDEX(Spring!$1:$1048576,MATCH($A170,Spring!$A:$A,FALSE),MATCH(AC$1,Spring!$1:$1,FALSE))="","",INDEX(Spring!$1:$1048576,MATCH($A170,Spring!$A:$A,FALSE),MATCH(AC$1,Spring!$1:$1,FALSE))),"")</f>
        <v>3A</v>
      </c>
      <c r="AD170" t="str">
        <f>IFERROR(IF(INDEX(Spring!$1:$1048576,MATCH($A170,Spring!$A:$A,FALSE),MATCH(AD$1,Spring!$1:$1,FALSE))="","",INDEX(Spring!$1:$1048576,MATCH($A170,Spring!$A:$A,FALSE),MATCH(AD$1,Spring!$1:$1,FALSE))),"")</f>
        <v>3A</v>
      </c>
    </row>
    <row r="171" spans="1:30" ht="15.75" thickBot="1" x14ac:dyDescent="0.3">
      <c r="A171" s="48" t="s">
        <v>211</v>
      </c>
      <c r="B171" s="49">
        <v>714.5</v>
      </c>
      <c r="C171" s="50"/>
      <c r="D171" s="50"/>
      <c r="E171" s="50"/>
      <c r="F171" s="45"/>
      <c r="G171" s="45"/>
      <c r="H171" s="44"/>
      <c r="J171" t="str">
        <f>IFERROR(IF(INDEX(Fall!$1:$1048576,MATCH($A171,Fall!$A:$A,FALSE),MATCH(J$1,Fall!$1:$1,FALSE))="","",INDEX(Fall!$1:$1048576,MATCH($A171,Fall!$A:$A,FALSE),MATCH(J$1,Fall!$1:$1,FALSE))),"")</f>
        <v>2A</v>
      </c>
      <c r="K171" t="str">
        <f>IFERROR(IF(INDEX(Fall!$1:$1048576,MATCH($A171,Fall!$A:$A,FALSE),MATCH(K$1,Fall!$1:$1,FALSE))="","",INDEX(Fall!$1:$1048576,MATCH($A171,Fall!$A:$A,FALSE),MATCH(K$1,Fall!$1:$1,FALSE))),"")</f>
        <v/>
      </c>
      <c r="L171" t="str">
        <f>IFERROR(IF(INDEX(Fall!$1:$1048576,MATCH($A171,Fall!$A:$A,FALSE),MATCH(L$1,Fall!$1:$1,FALSE))="","",INDEX(Fall!$1:$1048576,MATCH($A171,Fall!$A:$A,FALSE),MATCH(L$1,Fall!$1:$1,FALSE))),"")</f>
        <v/>
      </c>
      <c r="M171" t="str">
        <f>IFERROR(IF(INDEX(Fall!$1:$1048576,MATCH($A171,Fall!$A:$A,FALSE),MATCH(M$1,Fall!$1:$1,FALSE))="","",INDEX(Fall!$1:$1048576,MATCH($A171,Fall!$A:$A,FALSE),MATCH(M$1,Fall!$1:$1,FALSE))),"")</f>
        <v/>
      </c>
      <c r="N171" t="str">
        <f>IFERROR(IF(INDEX(Fall!$1:$1048576,MATCH($A171,Fall!$A:$A,FALSE),MATCH(N$1,Fall!$1:$1,FALSE))="","",INDEX(Fall!$1:$1048576,MATCH($A171,Fall!$A:$A,FALSE),MATCH(N$1,Fall!$1:$1,FALSE))),"")</f>
        <v/>
      </c>
      <c r="O171" t="str">
        <f>IFERROR(IF(INDEX(Fall!$1:$1048576,MATCH($A171,Fall!$A:$A,FALSE),MATCH(O$1,Fall!$1:$1,FALSE))="","",INDEX(Fall!$1:$1048576,MATCH($A171,Fall!$A:$A,FALSE),MATCH(O$1,Fall!$1:$1,FALSE))),"")</f>
        <v/>
      </c>
      <c r="P171" t="str">
        <f>IFERROR(IF(INDEX(Fall!$1:$1048576,MATCH($A171,Fall!$A:$A,FALSE),MATCH(P$1,Fall!$1:$1,FALSE))="","",INDEX(Fall!$1:$1048576,MATCH($A171,Fall!$A:$A,FALSE),MATCH(P$1,Fall!$1:$1,FALSE))),"")</f>
        <v>3A</v>
      </c>
      <c r="R171" t="str">
        <f>IFERROR(IF(INDEX(Winter!$1:$1048576,MATCH($A171,Winter!$A:$A,FALSE),MATCH(R$1,Winter!$1:$1,FALSE))="","",INDEX(Winter!$1:$1048576,MATCH($A171,Winter!$A:$A,FALSE),MATCH(R$1,Winter!$1:$1,FALSE))),"")</f>
        <v>3A</v>
      </c>
      <c r="S171" t="str">
        <f>IFERROR(IF(INDEX(Winter!$1:$1048576,MATCH($A171,Winter!$A:$A,FALSE),MATCH(S$1,Winter!$1:$1,FALSE))="","",INDEX(Winter!$1:$1048576,MATCH($A171,Winter!$A:$A,FALSE),MATCH(S$1,Winter!$1:$1,FALSE))),"")</f>
        <v>3A</v>
      </c>
      <c r="T171" t="str">
        <f>IFERROR(IF(INDEX(Winter!$1:$1048576,MATCH($A171,Winter!$A:$A,FALSE),MATCH(T$1,Winter!$1:$1,FALSE))="","",INDEX(Winter!$1:$1048576,MATCH($A171,Winter!$A:$A,FALSE),MATCH(T$1,Winter!$1:$1,FALSE))),"")</f>
        <v/>
      </c>
      <c r="U171" t="str">
        <f>IFERROR(IF(INDEX(Winter!$1:$1048576,MATCH($A171,Winter!$A:$A,FALSE),MATCH(U$1,Winter!$1:$1,FALSE))="","",INDEX(Winter!$1:$1048576,MATCH($A171,Winter!$A:$A,FALSE),MATCH(U$1,Winter!$1:$1,FALSE))),"")</f>
        <v/>
      </c>
      <c r="V171" t="str">
        <f>IFERROR(IF(INDEX(Winter!$1:$1048576,MATCH($A171,Winter!$A:$A,FALSE),MATCH(V$1,Winter!$1:$1,FALSE))="","",INDEX(Winter!$1:$1048576,MATCH($A171,Winter!$A:$A,FALSE),MATCH(V$1,Winter!$1:$1,FALSE))),"")</f>
        <v/>
      </c>
      <c r="W171" t="str">
        <f>IFERROR(IF(INDEX(Winter!$1:$1048576,MATCH($A171,Winter!$A:$A,FALSE),MATCH(W$1,Winter!$1:$1,FALSE))="","",INDEX(Winter!$1:$1048576,MATCH($A171,Winter!$A:$A,FALSE),MATCH(W$1,Winter!$1:$1,FALSE))),"")</f>
        <v>2A</v>
      </c>
      <c r="Y171" t="str">
        <f>IFERROR(IF(INDEX(Spring!$1:$1048576,MATCH($A171,Spring!$A:$A,FALSE),MATCH(Y$1,Spring!$1:$1,FALSE))="","",INDEX(Spring!$1:$1048576,MATCH($A171,Spring!$A:$A,FALSE),MATCH(Y$1,Spring!$1:$1,FALSE))),"")</f>
        <v/>
      </c>
      <c r="Z171" t="str">
        <f>IFERROR(IF(INDEX(Spring!$1:$1048576,MATCH($A171,Spring!$A:$A,FALSE),MATCH(Z$1,Spring!$1:$1,FALSE))="","",INDEX(Spring!$1:$1048576,MATCH($A171,Spring!$A:$A,FALSE),MATCH(Z$1,Spring!$1:$1,FALSE))),"")</f>
        <v/>
      </c>
      <c r="AA171" t="str">
        <f>IFERROR(IF(INDEX(Spring!$1:$1048576,MATCH($A171,Spring!$A:$A,FALSE),MATCH(AA$1,Spring!$1:$1,FALSE))="","",INDEX(Spring!$1:$1048576,MATCH($A171,Spring!$A:$A,FALSE),MATCH(AA$1,Spring!$1:$1,FALSE))),"")</f>
        <v/>
      </c>
      <c r="AB171" t="str">
        <f>IFERROR(IF(INDEX(Spring!$1:$1048576,MATCH($A171,Spring!$A:$A,FALSE),MATCH(AB$1,Spring!$1:$1,FALSE))="","",INDEX(Spring!$1:$1048576,MATCH($A171,Spring!$A:$A,FALSE),MATCH(AB$1,Spring!$1:$1,FALSE))),"")</f>
        <v/>
      </c>
      <c r="AC171" t="str">
        <f>IFERROR(IF(INDEX(Spring!$1:$1048576,MATCH($A171,Spring!$A:$A,FALSE),MATCH(AC$1,Spring!$1:$1,FALSE))="","",INDEX(Spring!$1:$1048576,MATCH($A171,Spring!$A:$A,FALSE),MATCH(AC$1,Spring!$1:$1,FALSE))),"")</f>
        <v>2A</v>
      </c>
      <c r="AD171" t="str">
        <f>IFERROR(IF(INDEX(Spring!$1:$1048576,MATCH($A171,Spring!$A:$A,FALSE),MATCH(AD$1,Spring!$1:$1,FALSE))="","",INDEX(Spring!$1:$1048576,MATCH($A171,Spring!$A:$A,FALSE),MATCH(AD$1,Spring!$1:$1,FALSE))),"")</f>
        <v>2A</v>
      </c>
    </row>
    <row r="172" spans="1:30" ht="23.25" thickBot="1" x14ac:dyDescent="0.3">
      <c r="A172" s="48" t="s">
        <v>984</v>
      </c>
      <c r="B172" s="49" t="s">
        <v>985</v>
      </c>
      <c r="C172" s="49" t="s">
        <v>1000</v>
      </c>
      <c r="D172" s="50"/>
      <c r="E172" s="50"/>
      <c r="F172" s="45"/>
      <c r="G172" s="45"/>
      <c r="H172" s="44"/>
      <c r="J172" t="str">
        <f>IFERROR(IF(INDEX(Fall!$1:$1048576,MATCH($A172,Fall!$A:$A,FALSE),MATCH(J$1,Fall!$1:$1,FALSE))="","",INDEX(Fall!$1:$1048576,MATCH($A172,Fall!$A:$A,FALSE),MATCH(J$1,Fall!$1:$1,FALSE))),"")</f>
        <v/>
      </c>
      <c r="K172" t="str">
        <f>IFERROR(IF(INDEX(Fall!$1:$1048576,MATCH($A172,Fall!$A:$A,FALSE),MATCH(K$1,Fall!$1:$1,FALSE))="","",INDEX(Fall!$1:$1048576,MATCH($A172,Fall!$A:$A,FALSE),MATCH(K$1,Fall!$1:$1,FALSE))),"")</f>
        <v/>
      </c>
      <c r="L172" t="str">
        <f>IFERROR(IF(INDEX(Fall!$1:$1048576,MATCH($A172,Fall!$A:$A,FALSE),MATCH(L$1,Fall!$1:$1,FALSE))="","",INDEX(Fall!$1:$1048576,MATCH($A172,Fall!$A:$A,FALSE),MATCH(L$1,Fall!$1:$1,FALSE))),"")</f>
        <v/>
      </c>
      <c r="M172" t="str">
        <f>IFERROR(IF(INDEX(Fall!$1:$1048576,MATCH($A172,Fall!$A:$A,FALSE),MATCH(M$1,Fall!$1:$1,FALSE))="","",INDEX(Fall!$1:$1048576,MATCH($A172,Fall!$A:$A,FALSE),MATCH(M$1,Fall!$1:$1,FALSE))),"")</f>
        <v/>
      </c>
      <c r="N172" t="str">
        <f>IFERROR(IF(INDEX(Fall!$1:$1048576,MATCH($A172,Fall!$A:$A,FALSE),MATCH(N$1,Fall!$1:$1,FALSE))="","",INDEX(Fall!$1:$1048576,MATCH($A172,Fall!$A:$A,FALSE),MATCH(N$1,Fall!$1:$1,FALSE))),"")</f>
        <v>1A</v>
      </c>
      <c r="O172" t="str">
        <f>IFERROR(IF(INDEX(Fall!$1:$1048576,MATCH($A172,Fall!$A:$A,FALSE),MATCH(O$1,Fall!$1:$1,FALSE))="","",INDEX(Fall!$1:$1048576,MATCH($A172,Fall!$A:$A,FALSE),MATCH(O$1,Fall!$1:$1,FALSE))),"")</f>
        <v/>
      </c>
      <c r="P172" t="str">
        <f>IFERROR(IF(INDEX(Fall!$1:$1048576,MATCH($A172,Fall!$A:$A,FALSE),MATCH(P$1,Fall!$1:$1,FALSE))="","",INDEX(Fall!$1:$1048576,MATCH($A172,Fall!$A:$A,FALSE),MATCH(P$1,Fall!$1:$1,FALSE))),"")</f>
        <v>3A</v>
      </c>
      <c r="R172" t="str">
        <f>IFERROR(IF(INDEX(Winter!$1:$1048576,MATCH($A172,Winter!$A:$A,FALSE),MATCH(R$1,Winter!$1:$1,FALSE))="","",INDEX(Winter!$1:$1048576,MATCH($A172,Winter!$A:$A,FALSE),MATCH(R$1,Winter!$1:$1,FALSE))),"")</f>
        <v/>
      </c>
      <c r="S172" t="str">
        <f>IFERROR(IF(INDEX(Winter!$1:$1048576,MATCH($A172,Winter!$A:$A,FALSE),MATCH(S$1,Winter!$1:$1,FALSE))="","",INDEX(Winter!$1:$1048576,MATCH($A172,Winter!$A:$A,FALSE),MATCH(S$1,Winter!$1:$1,FALSE))),"")</f>
        <v/>
      </c>
      <c r="T172" t="str">
        <f>IFERROR(IF(INDEX(Winter!$1:$1048576,MATCH($A172,Winter!$A:$A,FALSE),MATCH(T$1,Winter!$1:$1,FALSE))="","",INDEX(Winter!$1:$1048576,MATCH($A172,Winter!$A:$A,FALSE),MATCH(T$1,Winter!$1:$1,FALSE))),"")</f>
        <v/>
      </c>
      <c r="U172" t="str">
        <f>IFERROR(IF(INDEX(Winter!$1:$1048576,MATCH($A172,Winter!$A:$A,FALSE),MATCH(U$1,Winter!$1:$1,FALSE))="","",INDEX(Winter!$1:$1048576,MATCH($A172,Winter!$A:$A,FALSE),MATCH(U$1,Winter!$1:$1,FALSE))),"")</f>
        <v/>
      </c>
      <c r="V172" t="str">
        <f>IFERROR(IF(INDEX(Winter!$1:$1048576,MATCH($A172,Winter!$A:$A,FALSE),MATCH(V$1,Winter!$1:$1,FALSE))="","",INDEX(Winter!$1:$1048576,MATCH($A172,Winter!$A:$A,FALSE),MATCH(V$1,Winter!$1:$1,FALSE))),"")</f>
        <v/>
      </c>
      <c r="W172" t="str">
        <f>IFERROR(IF(INDEX(Winter!$1:$1048576,MATCH($A172,Winter!$A:$A,FALSE),MATCH(W$1,Winter!$1:$1,FALSE))="","",INDEX(Winter!$1:$1048576,MATCH($A172,Winter!$A:$A,FALSE),MATCH(W$1,Winter!$1:$1,FALSE))),"")</f>
        <v/>
      </c>
      <c r="Y172" t="str">
        <f>IFERROR(IF(INDEX(Spring!$1:$1048576,MATCH($A172,Spring!$A:$A,FALSE),MATCH(Y$1,Spring!$1:$1,FALSE))="","",INDEX(Spring!$1:$1048576,MATCH($A172,Spring!$A:$A,FALSE),MATCH(Y$1,Spring!$1:$1,FALSE))),"")</f>
        <v/>
      </c>
      <c r="Z172" t="str">
        <f>IFERROR(IF(INDEX(Spring!$1:$1048576,MATCH($A172,Spring!$A:$A,FALSE),MATCH(Z$1,Spring!$1:$1,FALSE))="","",INDEX(Spring!$1:$1048576,MATCH($A172,Spring!$A:$A,FALSE),MATCH(Z$1,Spring!$1:$1,FALSE))),"")</f>
        <v/>
      </c>
      <c r="AA172" t="str">
        <f>IFERROR(IF(INDEX(Spring!$1:$1048576,MATCH($A172,Spring!$A:$A,FALSE),MATCH(AA$1,Spring!$1:$1,FALSE))="","",INDEX(Spring!$1:$1048576,MATCH($A172,Spring!$A:$A,FALSE),MATCH(AA$1,Spring!$1:$1,FALSE))),"")</f>
        <v/>
      </c>
      <c r="AB172" t="str">
        <f>IFERROR(IF(INDEX(Spring!$1:$1048576,MATCH($A172,Spring!$A:$A,FALSE),MATCH(AB$1,Spring!$1:$1,FALSE))="","",INDEX(Spring!$1:$1048576,MATCH($A172,Spring!$A:$A,FALSE),MATCH(AB$1,Spring!$1:$1,FALSE))),"")</f>
        <v/>
      </c>
      <c r="AC172" t="str">
        <f>IFERROR(IF(INDEX(Spring!$1:$1048576,MATCH($A172,Spring!$A:$A,FALSE),MATCH(AC$1,Spring!$1:$1,FALSE))="","",INDEX(Spring!$1:$1048576,MATCH($A172,Spring!$A:$A,FALSE),MATCH(AC$1,Spring!$1:$1,FALSE))),"")</f>
        <v/>
      </c>
      <c r="AD172" t="str">
        <f>IFERROR(IF(INDEX(Spring!$1:$1048576,MATCH($A172,Spring!$A:$A,FALSE),MATCH(AD$1,Spring!$1:$1,FALSE))="","",INDEX(Spring!$1:$1048576,MATCH($A172,Spring!$A:$A,FALSE),MATCH(AD$1,Spring!$1:$1,FALSE))),"")</f>
        <v/>
      </c>
    </row>
    <row r="173" spans="1:30" ht="23.25" thickBot="1" x14ac:dyDescent="0.3">
      <c r="A173" s="48" t="s">
        <v>214</v>
      </c>
      <c r="B173" s="49" t="s">
        <v>1030</v>
      </c>
      <c r="C173" s="49" t="s">
        <v>1000</v>
      </c>
      <c r="D173" s="50"/>
      <c r="E173" s="50"/>
      <c r="F173" s="45"/>
      <c r="G173" s="45"/>
      <c r="H173" s="44"/>
      <c r="J173" t="str">
        <f>IFERROR(IF(INDEX(Fall!$1:$1048576,MATCH($A173,Fall!$A:$A,FALSE),MATCH(J$1,Fall!$1:$1,FALSE))="","",INDEX(Fall!$1:$1048576,MATCH($A173,Fall!$A:$A,FALSE),MATCH(J$1,Fall!$1:$1,FALSE))),"")</f>
        <v>2A</v>
      </c>
      <c r="K173" t="str">
        <f>IFERROR(IF(INDEX(Fall!$1:$1048576,MATCH($A173,Fall!$A:$A,FALSE),MATCH(K$1,Fall!$1:$1,FALSE))="","",INDEX(Fall!$1:$1048576,MATCH($A173,Fall!$A:$A,FALSE),MATCH(K$1,Fall!$1:$1,FALSE))),"")</f>
        <v>2A</v>
      </c>
      <c r="L173" t="str">
        <f>IFERROR(IF(INDEX(Fall!$1:$1048576,MATCH($A173,Fall!$A:$A,FALSE),MATCH(L$1,Fall!$1:$1,FALSE))="","",INDEX(Fall!$1:$1048576,MATCH($A173,Fall!$A:$A,FALSE),MATCH(L$1,Fall!$1:$1,FALSE))),"")</f>
        <v/>
      </c>
      <c r="M173" t="str">
        <f>IFERROR(IF(INDEX(Fall!$1:$1048576,MATCH($A173,Fall!$A:$A,FALSE),MATCH(M$1,Fall!$1:$1,FALSE))="","",INDEX(Fall!$1:$1048576,MATCH($A173,Fall!$A:$A,FALSE),MATCH(M$1,Fall!$1:$1,FALSE))),"")</f>
        <v/>
      </c>
      <c r="N173" t="str">
        <f>IFERROR(IF(INDEX(Fall!$1:$1048576,MATCH($A173,Fall!$A:$A,FALSE),MATCH(N$1,Fall!$1:$1,FALSE))="","",INDEX(Fall!$1:$1048576,MATCH($A173,Fall!$A:$A,FALSE),MATCH(N$1,Fall!$1:$1,FALSE))),"")</f>
        <v>2A</v>
      </c>
      <c r="O173" t="str">
        <f>IFERROR(IF(INDEX(Fall!$1:$1048576,MATCH($A173,Fall!$A:$A,FALSE),MATCH(O$1,Fall!$1:$1,FALSE))="","",INDEX(Fall!$1:$1048576,MATCH($A173,Fall!$A:$A,FALSE),MATCH(O$1,Fall!$1:$1,FALSE))),"")</f>
        <v/>
      </c>
      <c r="P173" t="str">
        <f>IFERROR(IF(INDEX(Fall!$1:$1048576,MATCH($A173,Fall!$A:$A,FALSE),MATCH(P$1,Fall!$1:$1,FALSE))="","",INDEX(Fall!$1:$1048576,MATCH($A173,Fall!$A:$A,FALSE),MATCH(P$1,Fall!$1:$1,FALSE))),"")</f>
        <v>3A</v>
      </c>
      <c r="R173" t="str">
        <f>IFERROR(IF(INDEX(Winter!$1:$1048576,MATCH($A173,Winter!$A:$A,FALSE),MATCH(R$1,Winter!$1:$1,FALSE))="","",INDEX(Winter!$1:$1048576,MATCH($A173,Winter!$A:$A,FALSE),MATCH(R$1,Winter!$1:$1,FALSE))),"")</f>
        <v>3A</v>
      </c>
      <c r="S173" t="str">
        <f>IFERROR(IF(INDEX(Winter!$1:$1048576,MATCH($A173,Winter!$A:$A,FALSE),MATCH(S$1,Winter!$1:$1,FALSE))="","",INDEX(Winter!$1:$1048576,MATCH($A173,Winter!$A:$A,FALSE),MATCH(S$1,Winter!$1:$1,FALSE))),"")</f>
        <v>3A</v>
      </c>
      <c r="T173" t="str">
        <f>IFERROR(IF(INDEX(Winter!$1:$1048576,MATCH($A173,Winter!$A:$A,FALSE),MATCH(T$1,Winter!$1:$1,FALSE))="","",INDEX(Winter!$1:$1048576,MATCH($A173,Winter!$A:$A,FALSE),MATCH(T$1,Winter!$1:$1,FALSE))),"")</f>
        <v/>
      </c>
      <c r="U173" t="str">
        <f>IFERROR(IF(INDEX(Winter!$1:$1048576,MATCH($A173,Winter!$A:$A,FALSE),MATCH(U$1,Winter!$1:$1,FALSE))="","",INDEX(Winter!$1:$1048576,MATCH($A173,Winter!$A:$A,FALSE),MATCH(U$1,Winter!$1:$1,FALSE))),"")</f>
        <v/>
      </c>
      <c r="V173" t="str">
        <f>IFERROR(IF(INDEX(Winter!$1:$1048576,MATCH($A173,Winter!$A:$A,FALSE),MATCH(V$1,Winter!$1:$1,FALSE))="","",INDEX(Winter!$1:$1048576,MATCH($A173,Winter!$A:$A,FALSE),MATCH(V$1,Winter!$1:$1,FALSE))),"")</f>
        <v/>
      </c>
      <c r="W173" t="str">
        <f>IFERROR(IF(INDEX(Winter!$1:$1048576,MATCH($A173,Winter!$A:$A,FALSE),MATCH(W$1,Winter!$1:$1,FALSE))="","",INDEX(Winter!$1:$1048576,MATCH($A173,Winter!$A:$A,FALSE),MATCH(W$1,Winter!$1:$1,FALSE))),"")</f>
        <v>2A</v>
      </c>
      <c r="Y173" t="str">
        <f>IFERROR(IF(INDEX(Spring!$1:$1048576,MATCH($A173,Spring!$A:$A,FALSE),MATCH(Y$1,Spring!$1:$1,FALSE))="","",INDEX(Spring!$1:$1048576,MATCH($A173,Spring!$A:$A,FALSE),MATCH(Y$1,Spring!$1:$1,FALSE))),"")</f>
        <v>3A</v>
      </c>
      <c r="Z173" t="str">
        <f>IFERROR(IF(INDEX(Spring!$1:$1048576,MATCH($A173,Spring!$A:$A,FALSE),MATCH(Z$1,Spring!$1:$1,FALSE))="","",INDEX(Spring!$1:$1048576,MATCH($A173,Spring!$A:$A,FALSE),MATCH(Z$1,Spring!$1:$1,FALSE))),"")</f>
        <v>3A</v>
      </c>
      <c r="AA173" t="str">
        <f>IFERROR(IF(INDEX(Spring!$1:$1048576,MATCH($A173,Spring!$A:$A,FALSE),MATCH(AA$1,Spring!$1:$1,FALSE))="","",INDEX(Spring!$1:$1048576,MATCH($A173,Spring!$A:$A,FALSE),MATCH(AA$1,Spring!$1:$1,FALSE))),"")</f>
        <v>2A</v>
      </c>
      <c r="AB173" t="str">
        <f>IFERROR(IF(INDEX(Spring!$1:$1048576,MATCH($A173,Spring!$A:$A,FALSE),MATCH(AB$1,Spring!$1:$1,FALSE))="","",INDEX(Spring!$1:$1048576,MATCH($A173,Spring!$A:$A,FALSE),MATCH(AB$1,Spring!$1:$1,FALSE))),"")</f>
        <v/>
      </c>
      <c r="AC173" t="str">
        <f>IFERROR(IF(INDEX(Spring!$1:$1048576,MATCH($A173,Spring!$A:$A,FALSE),MATCH(AC$1,Spring!$1:$1,FALSE))="","",INDEX(Spring!$1:$1048576,MATCH($A173,Spring!$A:$A,FALSE),MATCH(AC$1,Spring!$1:$1,FALSE))),"")</f>
        <v>2A</v>
      </c>
      <c r="AD173" t="str">
        <f>IFERROR(IF(INDEX(Spring!$1:$1048576,MATCH($A173,Spring!$A:$A,FALSE),MATCH(AD$1,Spring!$1:$1,FALSE))="","",INDEX(Spring!$1:$1048576,MATCH($A173,Spring!$A:$A,FALSE),MATCH(AD$1,Spring!$1:$1,FALSE))),"")</f>
        <v>2A</v>
      </c>
    </row>
    <row r="174" spans="1:30" ht="23.25" thickBot="1" x14ac:dyDescent="0.3">
      <c r="A174" s="48" t="s">
        <v>212</v>
      </c>
      <c r="B174" s="49" t="s">
        <v>1031</v>
      </c>
      <c r="C174" s="49" t="s">
        <v>1000</v>
      </c>
      <c r="D174" s="50"/>
      <c r="E174" s="50"/>
      <c r="F174" s="45"/>
      <c r="G174" s="45"/>
      <c r="H174" s="44"/>
      <c r="J174" t="str">
        <f>IFERROR(IF(INDEX(Fall!$1:$1048576,MATCH($A174,Fall!$A:$A,FALSE),MATCH(J$1,Fall!$1:$1,FALSE))="","",INDEX(Fall!$1:$1048576,MATCH($A174,Fall!$A:$A,FALSE),MATCH(J$1,Fall!$1:$1,FALSE))),"")</f>
        <v/>
      </c>
      <c r="K174" t="str">
        <f>IFERROR(IF(INDEX(Fall!$1:$1048576,MATCH($A174,Fall!$A:$A,FALSE),MATCH(K$1,Fall!$1:$1,FALSE))="","",INDEX(Fall!$1:$1048576,MATCH($A174,Fall!$A:$A,FALSE),MATCH(K$1,Fall!$1:$1,FALSE))),"")</f>
        <v/>
      </c>
      <c r="L174" t="str">
        <f>IFERROR(IF(INDEX(Fall!$1:$1048576,MATCH($A174,Fall!$A:$A,FALSE),MATCH(L$1,Fall!$1:$1,FALSE))="","",INDEX(Fall!$1:$1048576,MATCH($A174,Fall!$A:$A,FALSE),MATCH(L$1,Fall!$1:$1,FALSE))),"")</f>
        <v/>
      </c>
      <c r="M174" t="str">
        <f>IFERROR(IF(INDEX(Fall!$1:$1048576,MATCH($A174,Fall!$A:$A,FALSE),MATCH(M$1,Fall!$1:$1,FALSE))="","",INDEX(Fall!$1:$1048576,MATCH($A174,Fall!$A:$A,FALSE),MATCH(M$1,Fall!$1:$1,FALSE))),"")</f>
        <v/>
      </c>
      <c r="N174" t="str">
        <f>IFERROR(IF(INDEX(Fall!$1:$1048576,MATCH($A174,Fall!$A:$A,FALSE),MATCH(N$1,Fall!$1:$1,FALSE))="","",INDEX(Fall!$1:$1048576,MATCH($A174,Fall!$A:$A,FALSE),MATCH(N$1,Fall!$1:$1,FALSE))),"")</f>
        <v>2A</v>
      </c>
      <c r="O174" t="str">
        <f>IFERROR(IF(INDEX(Fall!$1:$1048576,MATCH($A174,Fall!$A:$A,FALSE),MATCH(O$1,Fall!$1:$1,FALSE))="","",INDEX(Fall!$1:$1048576,MATCH($A174,Fall!$A:$A,FALSE),MATCH(O$1,Fall!$1:$1,FALSE))),"")</f>
        <v/>
      </c>
      <c r="P174" t="str">
        <f>IFERROR(IF(INDEX(Fall!$1:$1048576,MATCH($A174,Fall!$A:$A,FALSE),MATCH(P$1,Fall!$1:$1,FALSE))="","",INDEX(Fall!$1:$1048576,MATCH($A174,Fall!$A:$A,FALSE),MATCH(P$1,Fall!$1:$1,FALSE))),"")</f>
        <v>3A</v>
      </c>
      <c r="R174" t="str">
        <f>IFERROR(IF(INDEX(Winter!$1:$1048576,MATCH($A174,Winter!$A:$A,FALSE),MATCH(R$1,Winter!$1:$1,FALSE))="","",INDEX(Winter!$1:$1048576,MATCH($A174,Winter!$A:$A,FALSE),MATCH(R$1,Winter!$1:$1,FALSE))),"")</f>
        <v>3A</v>
      </c>
      <c r="S174" t="str">
        <f>IFERROR(IF(INDEX(Winter!$1:$1048576,MATCH($A174,Winter!$A:$A,FALSE),MATCH(S$1,Winter!$1:$1,FALSE))="","",INDEX(Winter!$1:$1048576,MATCH($A174,Winter!$A:$A,FALSE),MATCH(S$1,Winter!$1:$1,FALSE))),"")</f>
        <v>3A</v>
      </c>
      <c r="T174" t="str">
        <f>IFERROR(IF(INDEX(Winter!$1:$1048576,MATCH($A174,Winter!$A:$A,FALSE),MATCH(T$1,Winter!$1:$1,FALSE))="","",INDEX(Winter!$1:$1048576,MATCH($A174,Winter!$A:$A,FALSE),MATCH(T$1,Winter!$1:$1,FALSE))),"")</f>
        <v/>
      </c>
      <c r="U174" t="str">
        <f>IFERROR(IF(INDEX(Winter!$1:$1048576,MATCH($A174,Winter!$A:$A,FALSE),MATCH(U$1,Winter!$1:$1,FALSE))="","",INDEX(Winter!$1:$1048576,MATCH($A174,Winter!$A:$A,FALSE),MATCH(U$1,Winter!$1:$1,FALSE))),"")</f>
        <v>2A</v>
      </c>
      <c r="V174" t="str">
        <f>IFERROR(IF(INDEX(Winter!$1:$1048576,MATCH($A174,Winter!$A:$A,FALSE),MATCH(V$1,Winter!$1:$1,FALSE))="","",INDEX(Winter!$1:$1048576,MATCH($A174,Winter!$A:$A,FALSE),MATCH(V$1,Winter!$1:$1,FALSE))),"")</f>
        <v/>
      </c>
      <c r="W174" t="str">
        <f>IFERROR(IF(INDEX(Winter!$1:$1048576,MATCH($A174,Winter!$A:$A,FALSE),MATCH(W$1,Winter!$1:$1,FALSE))="","",INDEX(Winter!$1:$1048576,MATCH($A174,Winter!$A:$A,FALSE),MATCH(W$1,Winter!$1:$1,FALSE))),"")</f>
        <v/>
      </c>
      <c r="Y174" t="str">
        <f>IFERROR(IF(INDEX(Spring!$1:$1048576,MATCH($A174,Spring!$A:$A,FALSE),MATCH(Y$1,Spring!$1:$1,FALSE))="","",INDEX(Spring!$1:$1048576,MATCH($A174,Spring!$A:$A,FALSE),MATCH(Y$1,Spring!$1:$1,FALSE))),"")</f>
        <v>3A</v>
      </c>
      <c r="Z174" t="str">
        <f>IFERROR(IF(INDEX(Spring!$1:$1048576,MATCH($A174,Spring!$A:$A,FALSE),MATCH(Z$1,Spring!$1:$1,FALSE))="","",INDEX(Spring!$1:$1048576,MATCH($A174,Spring!$A:$A,FALSE),MATCH(Z$1,Spring!$1:$1,FALSE))),"")</f>
        <v>3A</v>
      </c>
      <c r="AA174" t="str">
        <f>IFERROR(IF(INDEX(Spring!$1:$1048576,MATCH($A174,Spring!$A:$A,FALSE),MATCH(AA$1,Spring!$1:$1,FALSE))="","",INDEX(Spring!$1:$1048576,MATCH($A174,Spring!$A:$A,FALSE),MATCH(AA$1,Spring!$1:$1,FALSE))),"")</f>
        <v>2A</v>
      </c>
      <c r="AB174" t="str">
        <f>IFERROR(IF(INDEX(Spring!$1:$1048576,MATCH($A174,Spring!$A:$A,FALSE),MATCH(AB$1,Spring!$1:$1,FALSE))="","",INDEX(Spring!$1:$1048576,MATCH($A174,Spring!$A:$A,FALSE),MATCH(AB$1,Spring!$1:$1,FALSE))),"")</f>
        <v/>
      </c>
      <c r="AC174" t="str">
        <f>IFERROR(IF(INDEX(Spring!$1:$1048576,MATCH($A174,Spring!$A:$A,FALSE),MATCH(AC$1,Spring!$1:$1,FALSE))="","",INDEX(Spring!$1:$1048576,MATCH($A174,Spring!$A:$A,FALSE),MATCH(AC$1,Spring!$1:$1,FALSE))),"")</f>
        <v/>
      </c>
      <c r="AD174" t="str">
        <f>IFERROR(IF(INDEX(Spring!$1:$1048576,MATCH($A174,Spring!$A:$A,FALSE),MATCH(AD$1,Spring!$1:$1,FALSE))="","",INDEX(Spring!$1:$1048576,MATCH($A174,Spring!$A:$A,FALSE),MATCH(AD$1,Spring!$1:$1,FALSE))),"")</f>
        <v/>
      </c>
    </row>
    <row r="175" spans="1:30" ht="23.25" thickBot="1" x14ac:dyDescent="0.3">
      <c r="A175" s="48" t="s">
        <v>216</v>
      </c>
      <c r="B175" s="49" t="s">
        <v>1032</v>
      </c>
      <c r="C175" s="49" t="s">
        <v>1000</v>
      </c>
      <c r="D175" s="50"/>
      <c r="E175" s="50"/>
      <c r="F175" s="45"/>
      <c r="G175" s="45"/>
      <c r="H175" s="44"/>
      <c r="J175" t="str">
        <f>IFERROR(IF(INDEX(Fall!$1:$1048576,MATCH($A175,Fall!$A:$A,FALSE),MATCH(J$1,Fall!$1:$1,FALSE))="","",INDEX(Fall!$1:$1048576,MATCH($A175,Fall!$A:$A,FALSE),MATCH(J$1,Fall!$1:$1,FALSE))),"")</f>
        <v>3A</v>
      </c>
      <c r="K175" t="str">
        <f>IFERROR(IF(INDEX(Fall!$1:$1048576,MATCH($A175,Fall!$A:$A,FALSE),MATCH(K$1,Fall!$1:$1,FALSE))="","",INDEX(Fall!$1:$1048576,MATCH($A175,Fall!$A:$A,FALSE),MATCH(K$1,Fall!$1:$1,FALSE))),"")</f>
        <v>3A</v>
      </c>
      <c r="L175" t="str">
        <f>IFERROR(IF(INDEX(Fall!$1:$1048576,MATCH($A175,Fall!$A:$A,FALSE),MATCH(L$1,Fall!$1:$1,FALSE))="","",INDEX(Fall!$1:$1048576,MATCH($A175,Fall!$A:$A,FALSE),MATCH(L$1,Fall!$1:$1,FALSE))),"")</f>
        <v/>
      </c>
      <c r="M175" t="str">
        <f>IFERROR(IF(INDEX(Fall!$1:$1048576,MATCH($A175,Fall!$A:$A,FALSE),MATCH(M$1,Fall!$1:$1,FALSE))="","",INDEX(Fall!$1:$1048576,MATCH($A175,Fall!$A:$A,FALSE),MATCH(M$1,Fall!$1:$1,FALSE))),"")</f>
        <v>2A</v>
      </c>
      <c r="N175" t="str">
        <f>IFERROR(IF(INDEX(Fall!$1:$1048576,MATCH($A175,Fall!$A:$A,FALSE),MATCH(N$1,Fall!$1:$1,FALSE))="","",INDEX(Fall!$1:$1048576,MATCH($A175,Fall!$A:$A,FALSE),MATCH(N$1,Fall!$1:$1,FALSE))),"")</f>
        <v>3A</v>
      </c>
      <c r="O175" t="str">
        <f>IFERROR(IF(INDEX(Fall!$1:$1048576,MATCH($A175,Fall!$A:$A,FALSE),MATCH(O$1,Fall!$1:$1,FALSE))="","",INDEX(Fall!$1:$1048576,MATCH($A175,Fall!$A:$A,FALSE),MATCH(O$1,Fall!$1:$1,FALSE))),"")</f>
        <v>2A</v>
      </c>
      <c r="P175" t="str">
        <f>IFERROR(IF(INDEX(Fall!$1:$1048576,MATCH($A175,Fall!$A:$A,FALSE),MATCH(P$1,Fall!$1:$1,FALSE))="","",INDEX(Fall!$1:$1048576,MATCH($A175,Fall!$A:$A,FALSE),MATCH(P$1,Fall!$1:$1,FALSE))),"")</f>
        <v>4A</v>
      </c>
      <c r="R175" t="str">
        <f>IFERROR(IF(INDEX(Winter!$1:$1048576,MATCH($A175,Winter!$A:$A,FALSE),MATCH(R$1,Winter!$1:$1,FALSE))="","",INDEX(Winter!$1:$1048576,MATCH($A175,Winter!$A:$A,FALSE),MATCH(R$1,Winter!$1:$1,FALSE))),"")</f>
        <v>4A</v>
      </c>
      <c r="S175" t="str">
        <f>IFERROR(IF(INDEX(Winter!$1:$1048576,MATCH($A175,Winter!$A:$A,FALSE),MATCH(S$1,Winter!$1:$1,FALSE))="","",INDEX(Winter!$1:$1048576,MATCH($A175,Winter!$A:$A,FALSE),MATCH(S$1,Winter!$1:$1,FALSE))),"")</f>
        <v>4A</v>
      </c>
      <c r="T175" t="str">
        <f>IFERROR(IF(INDEX(Winter!$1:$1048576,MATCH($A175,Winter!$A:$A,FALSE),MATCH(T$1,Winter!$1:$1,FALSE))="","",INDEX(Winter!$1:$1048576,MATCH($A175,Winter!$A:$A,FALSE),MATCH(T$1,Winter!$1:$1,FALSE))),"")</f>
        <v>C</v>
      </c>
      <c r="U175" t="str">
        <f>IFERROR(IF(INDEX(Winter!$1:$1048576,MATCH($A175,Winter!$A:$A,FALSE),MATCH(U$1,Winter!$1:$1,FALSE))="","",INDEX(Winter!$1:$1048576,MATCH($A175,Winter!$A:$A,FALSE),MATCH(U$1,Winter!$1:$1,FALSE))),"")</f>
        <v>3A</v>
      </c>
      <c r="V175" t="str">
        <f>IFERROR(IF(INDEX(Winter!$1:$1048576,MATCH($A175,Winter!$A:$A,FALSE),MATCH(V$1,Winter!$1:$1,FALSE))="","",INDEX(Winter!$1:$1048576,MATCH($A175,Winter!$A:$A,FALSE),MATCH(V$1,Winter!$1:$1,FALSE))),"")</f>
        <v>2A</v>
      </c>
      <c r="W175" t="str">
        <f>IFERROR(IF(INDEX(Winter!$1:$1048576,MATCH($A175,Winter!$A:$A,FALSE),MATCH(W$1,Winter!$1:$1,FALSE))="","",INDEX(Winter!$1:$1048576,MATCH($A175,Winter!$A:$A,FALSE),MATCH(W$1,Winter!$1:$1,FALSE))),"")</f>
        <v/>
      </c>
      <c r="Y175" t="str">
        <f>IFERROR(IF(INDEX(Spring!$1:$1048576,MATCH($A175,Spring!$A:$A,FALSE),MATCH(Y$1,Spring!$1:$1,FALSE))="","",INDEX(Spring!$1:$1048576,MATCH($A175,Spring!$A:$A,FALSE),MATCH(Y$1,Spring!$1:$1,FALSE))),"")</f>
        <v>4A</v>
      </c>
      <c r="Z175" t="str">
        <f>IFERROR(IF(INDEX(Spring!$1:$1048576,MATCH($A175,Spring!$A:$A,FALSE),MATCH(Z$1,Spring!$1:$1,FALSE))="","",INDEX(Spring!$1:$1048576,MATCH($A175,Spring!$A:$A,FALSE),MATCH(Z$1,Spring!$1:$1,FALSE))),"")</f>
        <v>4A</v>
      </c>
      <c r="AA175" t="str">
        <f>IFERROR(IF(INDEX(Spring!$1:$1048576,MATCH($A175,Spring!$A:$A,FALSE),MATCH(AA$1,Spring!$1:$1,FALSE))="","",INDEX(Spring!$1:$1048576,MATCH($A175,Spring!$A:$A,FALSE),MATCH(AA$1,Spring!$1:$1,FALSE))),"")</f>
        <v>3A</v>
      </c>
      <c r="AB175" t="str">
        <f>IFERROR(IF(INDEX(Spring!$1:$1048576,MATCH($A175,Spring!$A:$A,FALSE),MATCH(AB$1,Spring!$1:$1,FALSE))="","",INDEX(Spring!$1:$1048576,MATCH($A175,Spring!$A:$A,FALSE),MATCH(AB$1,Spring!$1:$1,FALSE))),"")</f>
        <v>2A</v>
      </c>
      <c r="AC175" t="str">
        <f>IFERROR(IF(INDEX(Spring!$1:$1048576,MATCH($A175,Spring!$A:$A,FALSE),MATCH(AC$1,Spring!$1:$1,FALSE))="","",INDEX(Spring!$1:$1048576,MATCH($A175,Spring!$A:$A,FALSE),MATCH(AC$1,Spring!$1:$1,FALSE))),"")</f>
        <v>3A</v>
      </c>
      <c r="AD175" t="str">
        <f>IFERROR(IF(INDEX(Spring!$1:$1048576,MATCH($A175,Spring!$A:$A,FALSE),MATCH(AD$1,Spring!$1:$1,FALSE))="","",INDEX(Spring!$1:$1048576,MATCH($A175,Spring!$A:$A,FALSE),MATCH(AD$1,Spring!$1:$1,FALSE))),"")</f>
        <v>3A</v>
      </c>
    </row>
    <row r="176" spans="1:30" ht="23.25" thickBot="1" x14ac:dyDescent="0.3">
      <c r="A176" s="48" t="s">
        <v>927</v>
      </c>
      <c r="B176" s="49" t="s">
        <v>928</v>
      </c>
      <c r="C176" s="49" t="s">
        <v>997</v>
      </c>
      <c r="D176" s="49">
        <v>1</v>
      </c>
      <c r="E176" s="49">
        <v>1</v>
      </c>
      <c r="F176" s="45"/>
      <c r="G176" s="45"/>
      <c r="H176" s="44"/>
      <c r="J176" t="str">
        <f>IFERROR(IF(INDEX(Fall!$1:$1048576,MATCH($A176,Fall!$A:$A,FALSE),MATCH(J$1,Fall!$1:$1,FALSE))="","",INDEX(Fall!$1:$1048576,MATCH($A176,Fall!$A:$A,FALSE),MATCH(J$1,Fall!$1:$1,FALSE))),"")</f>
        <v/>
      </c>
      <c r="K176" t="str">
        <f>IFERROR(IF(INDEX(Fall!$1:$1048576,MATCH($A176,Fall!$A:$A,FALSE),MATCH(K$1,Fall!$1:$1,FALSE))="","",INDEX(Fall!$1:$1048576,MATCH($A176,Fall!$A:$A,FALSE),MATCH(K$1,Fall!$1:$1,FALSE))),"")</f>
        <v>1A</v>
      </c>
      <c r="L176" t="str">
        <f>IFERROR(IF(INDEX(Fall!$1:$1048576,MATCH($A176,Fall!$A:$A,FALSE),MATCH(L$1,Fall!$1:$1,FALSE))="","",INDEX(Fall!$1:$1048576,MATCH($A176,Fall!$A:$A,FALSE),MATCH(L$1,Fall!$1:$1,FALSE))),"")</f>
        <v/>
      </c>
      <c r="M176" t="str">
        <f>IFERROR(IF(INDEX(Fall!$1:$1048576,MATCH($A176,Fall!$A:$A,FALSE),MATCH(M$1,Fall!$1:$1,FALSE))="","",INDEX(Fall!$1:$1048576,MATCH($A176,Fall!$A:$A,FALSE),MATCH(M$1,Fall!$1:$1,FALSE))),"")</f>
        <v/>
      </c>
      <c r="N176" t="str">
        <f>IFERROR(IF(INDEX(Fall!$1:$1048576,MATCH($A176,Fall!$A:$A,FALSE),MATCH(N$1,Fall!$1:$1,FALSE))="","",INDEX(Fall!$1:$1048576,MATCH($A176,Fall!$A:$A,FALSE),MATCH(N$1,Fall!$1:$1,FALSE))),"")</f>
        <v/>
      </c>
      <c r="O176" t="str">
        <f>IFERROR(IF(INDEX(Fall!$1:$1048576,MATCH($A176,Fall!$A:$A,FALSE),MATCH(O$1,Fall!$1:$1,FALSE))="","",INDEX(Fall!$1:$1048576,MATCH($A176,Fall!$A:$A,FALSE),MATCH(O$1,Fall!$1:$1,FALSE))),"")</f>
        <v/>
      </c>
      <c r="P176" t="str">
        <f>IFERROR(IF(INDEX(Fall!$1:$1048576,MATCH($A176,Fall!$A:$A,FALSE),MATCH(P$1,Fall!$1:$1,FALSE))="","",INDEX(Fall!$1:$1048576,MATCH($A176,Fall!$A:$A,FALSE),MATCH(P$1,Fall!$1:$1,FALSE))),"")</f>
        <v>2A</v>
      </c>
      <c r="R176" t="str">
        <f>IFERROR(IF(INDEX(Winter!$1:$1048576,MATCH($A176,Winter!$A:$A,FALSE),MATCH(R$1,Winter!$1:$1,FALSE))="","",INDEX(Winter!$1:$1048576,MATCH($A176,Winter!$A:$A,FALSE),MATCH(R$1,Winter!$1:$1,FALSE))),"")</f>
        <v/>
      </c>
      <c r="S176" t="str">
        <f>IFERROR(IF(INDEX(Winter!$1:$1048576,MATCH($A176,Winter!$A:$A,FALSE),MATCH(S$1,Winter!$1:$1,FALSE))="","",INDEX(Winter!$1:$1048576,MATCH($A176,Winter!$A:$A,FALSE),MATCH(S$1,Winter!$1:$1,FALSE))),"")</f>
        <v/>
      </c>
      <c r="T176" t="str">
        <f>IFERROR(IF(INDEX(Winter!$1:$1048576,MATCH($A176,Winter!$A:$A,FALSE),MATCH(T$1,Winter!$1:$1,FALSE))="","",INDEX(Winter!$1:$1048576,MATCH($A176,Winter!$A:$A,FALSE),MATCH(T$1,Winter!$1:$1,FALSE))),"")</f>
        <v/>
      </c>
      <c r="U176" t="str">
        <f>IFERROR(IF(INDEX(Winter!$1:$1048576,MATCH($A176,Winter!$A:$A,FALSE),MATCH(U$1,Winter!$1:$1,FALSE))="","",INDEX(Winter!$1:$1048576,MATCH($A176,Winter!$A:$A,FALSE),MATCH(U$1,Winter!$1:$1,FALSE))),"")</f>
        <v>1A</v>
      </c>
      <c r="V176" t="str">
        <f>IFERROR(IF(INDEX(Winter!$1:$1048576,MATCH($A176,Winter!$A:$A,FALSE),MATCH(V$1,Winter!$1:$1,FALSE))="","",INDEX(Winter!$1:$1048576,MATCH($A176,Winter!$A:$A,FALSE),MATCH(V$1,Winter!$1:$1,FALSE))),"")</f>
        <v/>
      </c>
      <c r="W176" t="str">
        <f>IFERROR(IF(INDEX(Winter!$1:$1048576,MATCH($A176,Winter!$A:$A,FALSE),MATCH(W$1,Winter!$1:$1,FALSE))="","",INDEX(Winter!$1:$1048576,MATCH($A176,Winter!$A:$A,FALSE),MATCH(W$1,Winter!$1:$1,FALSE))),"")</f>
        <v/>
      </c>
      <c r="Y176" t="str">
        <f>IFERROR(IF(INDEX(Spring!$1:$1048576,MATCH($A176,Spring!$A:$A,FALSE),MATCH(Y$1,Spring!$1:$1,FALSE))="","",INDEX(Spring!$1:$1048576,MATCH($A176,Spring!$A:$A,FALSE),MATCH(Y$1,Spring!$1:$1,FALSE))),"")</f>
        <v/>
      </c>
      <c r="Z176" t="str">
        <f>IFERROR(IF(INDEX(Spring!$1:$1048576,MATCH($A176,Spring!$A:$A,FALSE),MATCH(Z$1,Spring!$1:$1,FALSE))="","",INDEX(Spring!$1:$1048576,MATCH($A176,Spring!$A:$A,FALSE),MATCH(Z$1,Spring!$1:$1,FALSE))),"")</f>
        <v/>
      </c>
      <c r="AA176" t="str">
        <f>IFERROR(IF(INDEX(Spring!$1:$1048576,MATCH($A176,Spring!$A:$A,FALSE),MATCH(AA$1,Spring!$1:$1,FALSE))="","",INDEX(Spring!$1:$1048576,MATCH($A176,Spring!$A:$A,FALSE),MATCH(AA$1,Spring!$1:$1,FALSE))),"")</f>
        <v/>
      </c>
      <c r="AB176" t="str">
        <f>IFERROR(IF(INDEX(Spring!$1:$1048576,MATCH($A176,Spring!$A:$A,FALSE),MATCH(AB$1,Spring!$1:$1,FALSE))="","",INDEX(Spring!$1:$1048576,MATCH($A176,Spring!$A:$A,FALSE),MATCH(AB$1,Spring!$1:$1,FALSE))),"")</f>
        <v/>
      </c>
      <c r="AC176" t="str">
        <f>IFERROR(IF(INDEX(Spring!$1:$1048576,MATCH($A176,Spring!$A:$A,FALSE),MATCH(AC$1,Spring!$1:$1,FALSE))="","",INDEX(Spring!$1:$1048576,MATCH($A176,Spring!$A:$A,FALSE),MATCH(AC$1,Spring!$1:$1,FALSE))),"")</f>
        <v/>
      </c>
      <c r="AD176" t="str">
        <f>IFERROR(IF(INDEX(Spring!$1:$1048576,MATCH($A176,Spring!$A:$A,FALSE),MATCH(AD$1,Spring!$1:$1,FALSE))="","",INDEX(Spring!$1:$1048576,MATCH($A176,Spring!$A:$A,FALSE),MATCH(AD$1,Spring!$1:$1,FALSE))),"")</f>
        <v/>
      </c>
    </row>
    <row r="177" spans="1:30" ht="15.75" thickBot="1" x14ac:dyDescent="0.3">
      <c r="A177" s="51" t="s">
        <v>218</v>
      </c>
      <c r="B177" s="52">
        <v>1476</v>
      </c>
      <c r="C177" s="53"/>
      <c r="D177" s="53"/>
      <c r="E177" s="53"/>
      <c r="F177" s="45"/>
      <c r="G177" s="45"/>
      <c r="H177" s="44"/>
      <c r="J177" t="str">
        <f>IFERROR(IF(INDEX(Fall!$1:$1048576,MATCH($A177,Fall!$A:$A,FALSE),MATCH(J$1,Fall!$1:$1,FALSE))="","",INDEX(Fall!$1:$1048576,MATCH($A177,Fall!$A:$A,FALSE),MATCH(J$1,Fall!$1:$1,FALSE))),"")</f>
        <v/>
      </c>
      <c r="K177" t="str">
        <f>IFERROR(IF(INDEX(Fall!$1:$1048576,MATCH($A177,Fall!$A:$A,FALSE),MATCH(K$1,Fall!$1:$1,FALSE))="","",INDEX(Fall!$1:$1048576,MATCH($A177,Fall!$A:$A,FALSE),MATCH(K$1,Fall!$1:$1,FALSE))),"")</f>
        <v/>
      </c>
      <c r="L177" t="str">
        <f>IFERROR(IF(INDEX(Fall!$1:$1048576,MATCH($A177,Fall!$A:$A,FALSE),MATCH(L$1,Fall!$1:$1,FALSE))="","",INDEX(Fall!$1:$1048576,MATCH($A177,Fall!$A:$A,FALSE),MATCH(L$1,Fall!$1:$1,FALSE))),"")</f>
        <v/>
      </c>
      <c r="M177" t="str">
        <f>IFERROR(IF(INDEX(Fall!$1:$1048576,MATCH($A177,Fall!$A:$A,FALSE),MATCH(M$1,Fall!$1:$1,FALSE))="","",INDEX(Fall!$1:$1048576,MATCH($A177,Fall!$A:$A,FALSE),MATCH(M$1,Fall!$1:$1,FALSE))),"")</f>
        <v/>
      </c>
      <c r="N177" t="str">
        <f>IFERROR(IF(INDEX(Fall!$1:$1048576,MATCH($A177,Fall!$A:$A,FALSE),MATCH(N$1,Fall!$1:$1,FALSE))="","",INDEX(Fall!$1:$1048576,MATCH($A177,Fall!$A:$A,FALSE),MATCH(N$1,Fall!$1:$1,FALSE))),"")</f>
        <v>2A</v>
      </c>
      <c r="O177" t="str">
        <f>IFERROR(IF(INDEX(Fall!$1:$1048576,MATCH($A177,Fall!$A:$A,FALSE),MATCH(O$1,Fall!$1:$1,FALSE))="","",INDEX(Fall!$1:$1048576,MATCH($A177,Fall!$A:$A,FALSE),MATCH(O$1,Fall!$1:$1,FALSE))),"")</f>
        <v/>
      </c>
      <c r="P177" t="str">
        <f>IFERROR(IF(INDEX(Fall!$1:$1048576,MATCH($A177,Fall!$A:$A,FALSE),MATCH(P$1,Fall!$1:$1,FALSE))="","",INDEX(Fall!$1:$1048576,MATCH($A177,Fall!$A:$A,FALSE),MATCH(P$1,Fall!$1:$1,FALSE))),"")</f>
        <v>3A</v>
      </c>
      <c r="R177" t="str">
        <f>IFERROR(IF(INDEX(Winter!$1:$1048576,MATCH($A177,Winter!$A:$A,FALSE),MATCH(R$1,Winter!$1:$1,FALSE))="","",INDEX(Winter!$1:$1048576,MATCH($A177,Winter!$A:$A,FALSE),MATCH(R$1,Winter!$1:$1,FALSE))),"")</f>
        <v>3A</v>
      </c>
      <c r="S177" t="str">
        <f>IFERROR(IF(INDEX(Winter!$1:$1048576,MATCH($A177,Winter!$A:$A,FALSE),MATCH(S$1,Winter!$1:$1,FALSE))="","",INDEX(Winter!$1:$1048576,MATCH($A177,Winter!$A:$A,FALSE),MATCH(S$1,Winter!$1:$1,FALSE))),"")</f>
        <v/>
      </c>
      <c r="T177" t="str">
        <f>IFERROR(IF(INDEX(Winter!$1:$1048576,MATCH($A177,Winter!$A:$A,FALSE),MATCH(T$1,Winter!$1:$1,FALSE))="","",INDEX(Winter!$1:$1048576,MATCH($A177,Winter!$A:$A,FALSE),MATCH(T$1,Winter!$1:$1,FALSE))),"")</f>
        <v/>
      </c>
      <c r="U177" t="str">
        <f>IFERROR(IF(INDEX(Winter!$1:$1048576,MATCH($A177,Winter!$A:$A,FALSE),MATCH(U$1,Winter!$1:$1,FALSE))="","",INDEX(Winter!$1:$1048576,MATCH($A177,Winter!$A:$A,FALSE),MATCH(U$1,Winter!$1:$1,FALSE))),"")</f>
        <v/>
      </c>
      <c r="V177" t="str">
        <f>IFERROR(IF(INDEX(Winter!$1:$1048576,MATCH($A177,Winter!$A:$A,FALSE),MATCH(V$1,Winter!$1:$1,FALSE))="","",INDEX(Winter!$1:$1048576,MATCH($A177,Winter!$A:$A,FALSE),MATCH(V$1,Winter!$1:$1,FALSE))),"")</f>
        <v/>
      </c>
      <c r="W177" t="str">
        <f>IFERROR(IF(INDEX(Winter!$1:$1048576,MATCH($A177,Winter!$A:$A,FALSE),MATCH(W$1,Winter!$1:$1,FALSE))="","",INDEX(Winter!$1:$1048576,MATCH($A177,Winter!$A:$A,FALSE),MATCH(W$1,Winter!$1:$1,FALSE))),"")</f>
        <v/>
      </c>
      <c r="Y177" t="str">
        <f>IFERROR(IF(INDEX(Spring!$1:$1048576,MATCH($A177,Spring!$A:$A,FALSE),MATCH(Y$1,Spring!$1:$1,FALSE))="","",INDEX(Spring!$1:$1048576,MATCH($A177,Spring!$A:$A,FALSE),MATCH(Y$1,Spring!$1:$1,FALSE))),"")</f>
        <v>3A</v>
      </c>
      <c r="Z177" t="str">
        <f>IFERROR(IF(INDEX(Spring!$1:$1048576,MATCH($A177,Spring!$A:$A,FALSE),MATCH(Z$1,Spring!$1:$1,FALSE))="","",INDEX(Spring!$1:$1048576,MATCH($A177,Spring!$A:$A,FALSE),MATCH(Z$1,Spring!$1:$1,FALSE))),"")</f>
        <v>3A</v>
      </c>
      <c r="AA177" t="str">
        <f>IFERROR(IF(INDEX(Spring!$1:$1048576,MATCH($A177,Spring!$A:$A,FALSE),MATCH(AA$1,Spring!$1:$1,FALSE))="","",INDEX(Spring!$1:$1048576,MATCH($A177,Spring!$A:$A,FALSE),MATCH(AA$1,Spring!$1:$1,FALSE))),"")</f>
        <v>2A</v>
      </c>
      <c r="AB177" t="str">
        <f>IFERROR(IF(INDEX(Spring!$1:$1048576,MATCH($A177,Spring!$A:$A,FALSE),MATCH(AB$1,Spring!$1:$1,FALSE))="","",INDEX(Spring!$1:$1048576,MATCH($A177,Spring!$A:$A,FALSE),MATCH(AB$1,Spring!$1:$1,FALSE))),"")</f>
        <v/>
      </c>
      <c r="AC177" t="str">
        <f>IFERROR(IF(INDEX(Spring!$1:$1048576,MATCH($A177,Spring!$A:$A,FALSE),MATCH(AC$1,Spring!$1:$1,FALSE))="","",INDEX(Spring!$1:$1048576,MATCH($A177,Spring!$A:$A,FALSE),MATCH(AC$1,Spring!$1:$1,FALSE))),"")</f>
        <v>3A</v>
      </c>
      <c r="AD177" t="str">
        <f>IFERROR(IF(INDEX(Spring!$1:$1048576,MATCH($A177,Spring!$A:$A,FALSE),MATCH(AD$1,Spring!$1:$1,FALSE))="","",INDEX(Spring!$1:$1048576,MATCH($A177,Spring!$A:$A,FALSE),MATCH(AD$1,Spring!$1:$1,FALSE))),"")</f>
        <v>3A</v>
      </c>
    </row>
    <row r="178" spans="1:30" ht="15.75" thickBot="1" x14ac:dyDescent="0.3">
      <c r="A178" s="48" t="s">
        <v>219</v>
      </c>
      <c r="B178" s="49">
        <v>389</v>
      </c>
      <c r="C178" s="50"/>
      <c r="D178" s="50"/>
      <c r="E178" s="50"/>
      <c r="F178" s="45"/>
      <c r="G178" s="45"/>
      <c r="H178" s="44"/>
      <c r="J178" t="str">
        <f>IFERROR(IF(INDEX(Fall!$1:$1048576,MATCH($A178,Fall!$A:$A,FALSE),MATCH(J$1,Fall!$1:$1,FALSE))="","",INDEX(Fall!$1:$1048576,MATCH($A178,Fall!$A:$A,FALSE),MATCH(J$1,Fall!$1:$1,FALSE))),"")</f>
        <v/>
      </c>
      <c r="K178" t="str">
        <f>IFERROR(IF(INDEX(Fall!$1:$1048576,MATCH($A178,Fall!$A:$A,FALSE),MATCH(K$1,Fall!$1:$1,FALSE))="","",INDEX(Fall!$1:$1048576,MATCH($A178,Fall!$A:$A,FALSE),MATCH(K$1,Fall!$1:$1,FALSE))),"")</f>
        <v/>
      </c>
      <c r="L178" t="str">
        <f>IFERROR(IF(INDEX(Fall!$1:$1048576,MATCH($A178,Fall!$A:$A,FALSE),MATCH(L$1,Fall!$1:$1,FALSE))="","",INDEX(Fall!$1:$1048576,MATCH($A178,Fall!$A:$A,FALSE),MATCH(L$1,Fall!$1:$1,FALSE))),"")</f>
        <v/>
      </c>
      <c r="M178" t="str">
        <f>IFERROR(IF(INDEX(Fall!$1:$1048576,MATCH($A178,Fall!$A:$A,FALSE),MATCH(M$1,Fall!$1:$1,FALSE))="","",INDEX(Fall!$1:$1048576,MATCH($A178,Fall!$A:$A,FALSE),MATCH(M$1,Fall!$1:$1,FALSE))),"")</f>
        <v/>
      </c>
      <c r="N178" t="str">
        <f>IFERROR(IF(INDEX(Fall!$1:$1048576,MATCH($A178,Fall!$A:$A,FALSE),MATCH(N$1,Fall!$1:$1,FALSE))="","",INDEX(Fall!$1:$1048576,MATCH($A178,Fall!$A:$A,FALSE),MATCH(N$1,Fall!$1:$1,FALSE))),"")</f>
        <v/>
      </c>
      <c r="O178" t="str">
        <f>IFERROR(IF(INDEX(Fall!$1:$1048576,MATCH($A178,Fall!$A:$A,FALSE),MATCH(O$1,Fall!$1:$1,FALSE))="","",INDEX(Fall!$1:$1048576,MATCH($A178,Fall!$A:$A,FALSE),MATCH(O$1,Fall!$1:$1,FALSE))),"")</f>
        <v/>
      </c>
      <c r="P178" t="str">
        <f>IFERROR(IF(INDEX(Fall!$1:$1048576,MATCH($A178,Fall!$A:$A,FALSE),MATCH(P$1,Fall!$1:$1,FALSE))="","",INDEX(Fall!$1:$1048576,MATCH($A178,Fall!$A:$A,FALSE),MATCH(P$1,Fall!$1:$1,FALSE))),"")</f>
        <v>2A</v>
      </c>
      <c r="R178" t="str">
        <f>IFERROR(IF(INDEX(Winter!$1:$1048576,MATCH($A178,Winter!$A:$A,FALSE),MATCH(R$1,Winter!$1:$1,FALSE))="","",INDEX(Winter!$1:$1048576,MATCH($A178,Winter!$A:$A,FALSE),MATCH(R$1,Winter!$1:$1,FALSE))),"")</f>
        <v>2A</v>
      </c>
      <c r="S178" t="str">
        <f>IFERROR(IF(INDEX(Winter!$1:$1048576,MATCH($A178,Winter!$A:$A,FALSE),MATCH(S$1,Winter!$1:$1,FALSE))="","",INDEX(Winter!$1:$1048576,MATCH($A178,Winter!$A:$A,FALSE),MATCH(S$1,Winter!$1:$1,FALSE))),"")</f>
        <v>2A</v>
      </c>
      <c r="T178" t="str">
        <f>IFERROR(IF(INDEX(Winter!$1:$1048576,MATCH($A178,Winter!$A:$A,FALSE),MATCH(T$1,Winter!$1:$1,FALSE))="","",INDEX(Winter!$1:$1048576,MATCH($A178,Winter!$A:$A,FALSE),MATCH(T$1,Winter!$1:$1,FALSE))),"")</f>
        <v/>
      </c>
      <c r="U178" t="str">
        <f>IFERROR(IF(INDEX(Winter!$1:$1048576,MATCH($A178,Winter!$A:$A,FALSE),MATCH(U$1,Winter!$1:$1,FALSE))="","",INDEX(Winter!$1:$1048576,MATCH($A178,Winter!$A:$A,FALSE),MATCH(U$1,Winter!$1:$1,FALSE))),"")</f>
        <v/>
      </c>
      <c r="V178" t="str">
        <f>IFERROR(IF(INDEX(Winter!$1:$1048576,MATCH($A178,Winter!$A:$A,FALSE),MATCH(V$1,Winter!$1:$1,FALSE))="","",INDEX(Winter!$1:$1048576,MATCH($A178,Winter!$A:$A,FALSE),MATCH(V$1,Winter!$1:$1,FALSE))),"")</f>
        <v/>
      </c>
      <c r="W178" t="str">
        <f>IFERROR(IF(INDEX(Winter!$1:$1048576,MATCH($A178,Winter!$A:$A,FALSE),MATCH(W$1,Winter!$1:$1,FALSE))="","",INDEX(Winter!$1:$1048576,MATCH($A178,Winter!$A:$A,FALSE),MATCH(W$1,Winter!$1:$1,FALSE))),"")</f>
        <v/>
      </c>
      <c r="Y178" t="str">
        <f>IFERROR(IF(INDEX(Spring!$1:$1048576,MATCH($A178,Spring!$A:$A,FALSE),MATCH(Y$1,Spring!$1:$1,FALSE))="","",INDEX(Spring!$1:$1048576,MATCH($A178,Spring!$A:$A,FALSE),MATCH(Y$1,Spring!$1:$1,FALSE))),"")</f>
        <v/>
      </c>
      <c r="Z178" t="str">
        <f>IFERROR(IF(INDEX(Spring!$1:$1048576,MATCH($A178,Spring!$A:$A,FALSE),MATCH(Z$1,Spring!$1:$1,FALSE))="","",INDEX(Spring!$1:$1048576,MATCH($A178,Spring!$A:$A,FALSE),MATCH(Z$1,Spring!$1:$1,FALSE))),"")</f>
        <v/>
      </c>
      <c r="AA178" t="str">
        <f>IFERROR(IF(INDEX(Spring!$1:$1048576,MATCH($A178,Spring!$A:$A,FALSE),MATCH(AA$1,Spring!$1:$1,FALSE))="","",INDEX(Spring!$1:$1048576,MATCH($A178,Spring!$A:$A,FALSE),MATCH(AA$1,Spring!$1:$1,FALSE))),"")</f>
        <v/>
      </c>
      <c r="AB178" t="str">
        <f>IFERROR(IF(INDEX(Spring!$1:$1048576,MATCH($A178,Spring!$A:$A,FALSE),MATCH(AB$1,Spring!$1:$1,FALSE))="","",INDEX(Spring!$1:$1048576,MATCH($A178,Spring!$A:$A,FALSE),MATCH(AB$1,Spring!$1:$1,FALSE))),"")</f>
        <v/>
      </c>
      <c r="AC178" t="str">
        <f>IFERROR(IF(INDEX(Spring!$1:$1048576,MATCH($A178,Spring!$A:$A,FALSE),MATCH(AC$1,Spring!$1:$1,FALSE))="","",INDEX(Spring!$1:$1048576,MATCH($A178,Spring!$A:$A,FALSE),MATCH(AC$1,Spring!$1:$1,FALSE))),"")</f>
        <v>1A</v>
      </c>
      <c r="AD178" t="str">
        <f>IFERROR(IF(INDEX(Spring!$1:$1048576,MATCH($A178,Spring!$A:$A,FALSE),MATCH(AD$1,Spring!$1:$1,FALSE))="","",INDEX(Spring!$1:$1048576,MATCH($A178,Spring!$A:$A,FALSE),MATCH(AD$1,Spring!$1:$1,FALSE))),"")</f>
        <v>1A</v>
      </c>
    </row>
    <row r="179" spans="1:30" ht="15.75" thickBot="1" x14ac:dyDescent="0.3">
      <c r="A179" s="48" t="s">
        <v>220</v>
      </c>
      <c r="B179" s="49">
        <v>1594</v>
      </c>
      <c r="C179" s="50"/>
      <c r="D179" s="50"/>
      <c r="E179" s="50"/>
      <c r="F179" s="45"/>
      <c r="G179" s="45"/>
      <c r="H179" s="44"/>
      <c r="J179" t="str">
        <f>IFERROR(IF(INDEX(Fall!$1:$1048576,MATCH($A179,Fall!$A:$A,FALSE),MATCH(J$1,Fall!$1:$1,FALSE))="","",INDEX(Fall!$1:$1048576,MATCH($A179,Fall!$A:$A,FALSE),MATCH(J$1,Fall!$1:$1,FALSE))),"")</f>
        <v/>
      </c>
      <c r="K179" t="str">
        <f>IFERROR(IF(INDEX(Fall!$1:$1048576,MATCH($A179,Fall!$A:$A,FALSE),MATCH(K$1,Fall!$1:$1,FALSE))="","",INDEX(Fall!$1:$1048576,MATCH($A179,Fall!$A:$A,FALSE),MATCH(K$1,Fall!$1:$1,FALSE))),"")</f>
        <v/>
      </c>
      <c r="L179" t="str">
        <f>IFERROR(IF(INDEX(Fall!$1:$1048576,MATCH($A179,Fall!$A:$A,FALSE),MATCH(L$1,Fall!$1:$1,FALSE))="","",INDEX(Fall!$1:$1048576,MATCH($A179,Fall!$A:$A,FALSE),MATCH(L$1,Fall!$1:$1,FALSE))),"")</f>
        <v/>
      </c>
      <c r="M179" t="str">
        <f>IFERROR(IF(INDEX(Fall!$1:$1048576,MATCH($A179,Fall!$A:$A,FALSE),MATCH(M$1,Fall!$1:$1,FALSE))="","",INDEX(Fall!$1:$1048576,MATCH($A179,Fall!$A:$A,FALSE),MATCH(M$1,Fall!$1:$1,FALSE))),"")</f>
        <v/>
      </c>
      <c r="N179" t="str">
        <f>IFERROR(IF(INDEX(Fall!$1:$1048576,MATCH($A179,Fall!$A:$A,FALSE),MATCH(N$1,Fall!$1:$1,FALSE))="","",INDEX(Fall!$1:$1048576,MATCH($A179,Fall!$A:$A,FALSE),MATCH(N$1,Fall!$1:$1,FALSE))),"")</f>
        <v>2A</v>
      </c>
      <c r="O179" t="str">
        <f>IFERROR(IF(INDEX(Fall!$1:$1048576,MATCH($A179,Fall!$A:$A,FALSE),MATCH(O$1,Fall!$1:$1,FALSE))="","",INDEX(Fall!$1:$1048576,MATCH($A179,Fall!$A:$A,FALSE),MATCH(O$1,Fall!$1:$1,FALSE))),"")</f>
        <v/>
      </c>
      <c r="P179" t="str">
        <f>IFERROR(IF(INDEX(Fall!$1:$1048576,MATCH($A179,Fall!$A:$A,FALSE),MATCH(P$1,Fall!$1:$1,FALSE))="","",INDEX(Fall!$1:$1048576,MATCH($A179,Fall!$A:$A,FALSE),MATCH(P$1,Fall!$1:$1,FALSE))),"")</f>
        <v>3A</v>
      </c>
      <c r="R179" t="str">
        <f>IFERROR(IF(INDEX(Winter!$1:$1048576,MATCH($A179,Winter!$A:$A,FALSE),MATCH(R$1,Winter!$1:$1,FALSE))="","",INDEX(Winter!$1:$1048576,MATCH($A179,Winter!$A:$A,FALSE),MATCH(R$1,Winter!$1:$1,FALSE))),"")</f>
        <v>3A</v>
      </c>
      <c r="S179" t="str">
        <f>IFERROR(IF(INDEX(Winter!$1:$1048576,MATCH($A179,Winter!$A:$A,FALSE),MATCH(S$1,Winter!$1:$1,FALSE))="","",INDEX(Winter!$1:$1048576,MATCH($A179,Winter!$A:$A,FALSE),MATCH(S$1,Winter!$1:$1,FALSE))),"")</f>
        <v>3A</v>
      </c>
      <c r="T179" t="str">
        <f>IFERROR(IF(INDEX(Winter!$1:$1048576,MATCH($A179,Winter!$A:$A,FALSE),MATCH(T$1,Winter!$1:$1,FALSE))="","",INDEX(Winter!$1:$1048576,MATCH($A179,Winter!$A:$A,FALSE),MATCH(T$1,Winter!$1:$1,FALSE))),"")</f>
        <v/>
      </c>
      <c r="U179" t="str">
        <f>IFERROR(IF(INDEX(Winter!$1:$1048576,MATCH($A179,Winter!$A:$A,FALSE),MATCH(U$1,Winter!$1:$1,FALSE))="","",INDEX(Winter!$1:$1048576,MATCH($A179,Winter!$A:$A,FALSE),MATCH(U$1,Winter!$1:$1,FALSE))),"")</f>
        <v/>
      </c>
      <c r="V179" t="str">
        <f>IFERROR(IF(INDEX(Winter!$1:$1048576,MATCH($A179,Winter!$A:$A,FALSE),MATCH(V$1,Winter!$1:$1,FALSE))="","",INDEX(Winter!$1:$1048576,MATCH($A179,Winter!$A:$A,FALSE),MATCH(V$1,Winter!$1:$1,FALSE))),"")</f>
        <v/>
      </c>
      <c r="W179" t="str">
        <f>IFERROR(IF(INDEX(Winter!$1:$1048576,MATCH($A179,Winter!$A:$A,FALSE),MATCH(W$1,Winter!$1:$1,FALSE))="","",INDEX(Winter!$1:$1048576,MATCH($A179,Winter!$A:$A,FALSE),MATCH(W$1,Winter!$1:$1,FALSE))),"")</f>
        <v>2A</v>
      </c>
      <c r="Y179" t="str">
        <f>IFERROR(IF(INDEX(Spring!$1:$1048576,MATCH($A179,Spring!$A:$A,FALSE),MATCH(Y$1,Spring!$1:$1,FALSE))="","",INDEX(Spring!$1:$1048576,MATCH($A179,Spring!$A:$A,FALSE),MATCH(Y$1,Spring!$1:$1,FALSE))),"")</f>
        <v/>
      </c>
      <c r="Z179" t="str">
        <f>IFERROR(IF(INDEX(Spring!$1:$1048576,MATCH($A179,Spring!$A:$A,FALSE),MATCH(Z$1,Spring!$1:$1,FALSE))="","",INDEX(Spring!$1:$1048576,MATCH($A179,Spring!$A:$A,FALSE),MATCH(Z$1,Spring!$1:$1,FALSE))),"")</f>
        <v>3A</v>
      </c>
      <c r="AA179" t="str">
        <f>IFERROR(IF(INDEX(Spring!$1:$1048576,MATCH($A179,Spring!$A:$A,FALSE),MATCH(AA$1,Spring!$1:$1,FALSE))="","",INDEX(Spring!$1:$1048576,MATCH($A179,Spring!$A:$A,FALSE),MATCH(AA$1,Spring!$1:$1,FALSE))),"")</f>
        <v>2A</v>
      </c>
      <c r="AB179" t="str">
        <f>IFERROR(IF(INDEX(Spring!$1:$1048576,MATCH($A179,Spring!$A:$A,FALSE),MATCH(AB$1,Spring!$1:$1,FALSE))="","",INDEX(Spring!$1:$1048576,MATCH($A179,Spring!$A:$A,FALSE),MATCH(AB$1,Spring!$1:$1,FALSE))),"")</f>
        <v/>
      </c>
      <c r="AC179" t="str">
        <f>IFERROR(IF(INDEX(Spring!$1:$1048576,MATCH($A179,Spring!$A:$A,FALSE),MATCH(AC$1,Spring!$1:$1,FALSE))="","",INDEX(Spring!$1:$1048576,MATCH($A179,Spring!$A:$A,FALSE),MATCH(AC$1,Spring!$1:$1,FALSE))),"")</f>
        <v/>
      </c>
      <c r="AD179" t="str">
        <f>IFERROR(IF(INDEX(Spring!$1:$1048576,MATCH($A179,Spring!$A:$A,FALSE),MATCH(AD$1,Spring!$1:$1,FALSE))="","",INDEX(Spring!$1:$1048576,MATCH($A179,Spring!$A:$A,FALSE),MATCH(AD$1,Spring!$1:$1,FALSE))),"")</f>
        <v/>
      </c>
    </row>
    <row r="180" spans="1:30" ht="15.75" thickBot="1" x14ac:dyDescent="0.3">
      <c r="A180" s="48" t="s">
        <v>221</v>
      </c>
      <c r="B180" s="49">
        <v>1506</v>
      </c>
      <c r="C180" s="50"/>
      <c r="D180" s="50"/>
      <c r="E180" s="50"/>
      <c r="F180" s="44"/>
      <c r="G180" s="44"/>
      <c r="H180" s="44"/>
      <c r="J180" t="str">
        <f>IFERROR(IF(INDEX(Fall!$1:$1048576,MATCH($A180,Fall!$A:$A,FALSE),MATCH(J$1,Fall!$1:$1,FALSE))="","",INDEX(Fall!$1:$1048576,MATCH($A180,Fall!$A:$A,FALSE),MATCH(J$1,Fall!$1:$1,FALSE))),"")</f>
        <v>2A</v>
      </c>
      <c r="K180" t="str">
        <f>IFERROR(IF(INDEX(Fall!$1:$1048576,MATCH($A180,Fall!$A:$A,FALSE),MATCH(K$1,Fall!$1:$1,FALSE))="","",INDEX(Fall!$1:$1048576,MATCH($A180,Fall!$A:$A,FALSE),MATCH(K$1,Fall!$1:$1,FALSE))),"")</f>
        <v>2A</v>
      </c>
      <c r="L180" t="str">
        <f>IFERROR(IF(INDEX(Fall!$1:$1048576,MATCH($A180,Fall!$A:$A,FALSE),MATCH(L$1,Fall!$1:$1,FALSE))="","",INDEX(Fall!$1:$1048576,MATCH($A180,Fall!$A:$A,FALSE),MATCH(L$1,Fall!$1:$1,FALSE))),"")</f>
        <v/>
      </c>
      <c r="M180" t="str">
        <f>IFERROR(IF(INDEX(Fall!$1:$1048576,MATCH($A180,Fall!$A:$A,FALSE),MATCH(M$1,Fall!$1:$1,FALSE))="","",INDEX(Fall!$1:$1048576,MATCH($A180,Fall!$A:$A,FALSE),MATCH(M$1,Fall!$1:$1,FALSE))),"")</f>
        <v/>
      </c>
      <c r="N180" t="str">
        <f>IFERROR(IF(INDEX(Fall!$1:$1048576,MATCH($A180,Fall!$A:$A,FALSE),MATCH(N$1,Fall!$1:$1,FALSE))="","",INDEX(Fall!$1:$1048576,MATCH($A180,Fall!$A:$A,FALSE),MATCH(N$1,Fall!$1:$1,FALSE))),"")</f>
        <v>2A</v>
      </c>
      <c r="O180" t="str">
        <f>IFERROR(IF(INDEX(Fall!$1:$1048576,MATCH($A180,Fall!$A:$A,FALSE),MATCH(O$1,Fall!$1:$1,FALSE))="","",INDEX(Fall!$1:$1048576,MATCH($A180,Fall!$A:$A,FALSE),MATCH(O$1,Fall!$1:$1,FALSE))),"")</f>
        <v/>
      </c>
      <c r="P180" t="str">
        <f>IFERROR(IF(INDEX(Fall!$1:$1048576,MATCH($A180,Fall!$A:$A,FALSE),MATCH(P$1,Fall!$1:$1,FALSE))="","",INDEX(Fall!$1:$1048576,MATCH($A180,Fall!$A:$A,FALSE),MATCH(P$1,Fall!$1:$1,FALSE))),"")</f>
        <v>3A</v>
      </c>
      <c r="R180" t="str">
        <f>IFERROR(IF(INDEX(Winter!$1:$1048576,MATCH($A180,Winter!$A:$A,FALSE),MATCH(R$1,Winter!$1:$1,FALSE))="","",INDEX(Winter!$1:$1048576,MATCH($A180,Winter!$A:$A,FALSE),MATCH(R$1,Winter!$1:$1,FALSE))),"")</f>
        <v>3A</v>
      </c>
      <c r="S180" t="str">
        <f>IFERROR(IF(INDEX(Winter!$1:$1048576,MATCH($A180,Winter!$A:$A,FALSE),MATCH(S$1,Winter!$1:$1,FALSE))="","",INDEX(Winter!$1:$1048576,MATCH($A180,Winter!$A:$A,FALSE),MATCH(S$1,Winter!$1:$1,FALSE))),"")</f>
        <v>3A</v>
      </c>
      <c r="T180" t="str">
        <f>IFERROR(IF(INDEX(Winter!$1:$1048576,MATCH($A180,Winter!$A:$A,FALSE),MATCH(T$1,Winter!$1:$1,FALSE))="","",INDEX(Winter!$1:$1048576,MATCH($A180,Winter!$A:$A,FALSE),MATCH(T$1,Winter!$1:$1,FALSE))),"")</f>
        <v>2A</v>
      </c>
      <c r="U180" t="str">
        <f>IFERROR(IF(INDEX(Winter!$1:$1048576,MATCH($A180,Winter!$A:$A,FALSE),MATCH(U$1,Winter!$1:$1,FALSE))="","",INDEX(Winter!$1:$1048576,MATCH($A180,Winter!$A:$A,FALSE),MATCH(U$1,Winter!$1:$1,FALSE))),"")</f>
        <v/>
      </c>
      <c r="V180" t="str">
        <f>IFERROR(IF(INDEX(Winter!$1:$1048576,MATCH($A180,Winter!$A:$A,FALSE),MATCH(V$1,Winter!$1:$1,FALSE))="","",INDEX(Winter!$1:$1048576,MATCH($A180,Winter!$A:$A,FALSE),MATCH(V$1,Winter!$1:$1,FALSE))),"")</f>
        <v/>
      </c>
      <c r="W180" t="str">
        <f>IFERROR(IF(INDEX(Winter!$1:$1048576,MATCH($A180,Winter!$A:$A,FALSE),MATCH(W$1,Winter!$1:$1,FALSE))="","",INDEX(Winter!$1:$1048576,MATCH($A180,Winter!$A:$A,FALSE),MATCH(W$1,Winter!$1:$1,FALSE))),"")</f>
        <v>2A</v>
      </c>
      <c r="Y180" t="str">
        <f>IFERROR(IF(INDEX(Spring!$1:$1048576,MATCH($A180,Spring!$A:$A,FALSE),MATCH(Y$1,Spring!$1:$1,FALSE))="","",INDEX(Spring!$1:$1048576,MATCH($A180,Spring!$A:$A,FALSE),MATCH(Y$1,Spring!$1:$1,FALSE))),"")</f>
        <v>3A</v>
      </c>
      <c r="Z180" t="str">
        <f>IFERROR(IF(INDEX(Spring!$1:$1048576,MATCH($A180,Spring!$A:$A,FALSE),MATCH(Z$1,Spring!$1:$1,FALSE))="","",INDEX(Spring!$1:$1048576,MATCH($A180,Spring!$A:$A,FALSE),MATCH(Z$1,Spring!$1:$1,FALSE))),"")</f>
        <v>3A</v>
      </c>
      <c r="AA180" t="str">
        <f>IFERROR(IF(INDEX(Spring!$1:$1048576,MATCH($A180,Spring!$A:$A,FALSE),MATCH(AA$1,Spring!$1:$1,FALSE))="","",INDEX(Spring!$1:$1048576,MATCH($A180,Spring!$A:$A,FALSE),MATCH(AA$1,Spring!$1:$1,FALSE))),"")</f>
        <v>2A</v>
      </c>
      <c r="AB180" t="str">
        <f>IFERROR(IF(INDEX(Spring!$1:$1048576,MATCH($A180,Spring!$A:$A,FALSE),MATCH(AB$1,Spring!$1:$1,FALSE))="","",INDEX(Spring!$1:$1048576,MATCH($A180,Spring!$A:$A,FALSE),MATCH(AB$1,Spring!$1:$1,FALSE))),"")</f>
        <v/>
      </c>
      <c r="AC180" t="str">
        <f>IFERROR(IF(INDEX(Spring!$1:$1048576,MATCH($A180,Spring!$A:$A,FALSE),MATCH(AC$1,Spring!$1:$1,FALSE))="","",INDEX(Spring!$1:$1048576,MATCH($A180,Spring!$A:$A,FALSE),MATCH(AC$1,Spring!$1:$1,FALSE))),"")</f>
        <v>3A</v>
      </c>
      <c r="AD180" t="str">
        <f>IFERROR(IF(INDEX(Spring!$1:$1048576,MATCH($A180,Spring!$A:$A,FALSE),MATCH(AD$1,Spring!$1:$1,FALSE))="","",INDEX(Spring!$1:$1048576,MATCH($A180,Spring!$A:$A,FALSE),MATCH(AD$1,Spring!$1:$1,FALSE))),"")</f>
        <v>3A</v>
      </c>
    </row>
    <row r="181" spans="1:30" ht="15.75" thickBot="1" x14ac:dyDescent="0.3">
      <c r="A181" s="48" t="s">
        <v>222</v>
      </c>
      <c r="B181" s="49">
        <v>1900</v>
      </c>
      <c r="C181" s="50"/>
      <c r="D181" s="50"/>
      <c r="E181" s="50"/>
      <c r="F181" s="44"/>
      <c r="G181" s="44"/>
      <c r="H181" s="44"/>
      <c r="J181" t="str">
        <f>IFERROR(IF(INDEX(Fall!$1:$1048576,MATCH($A181,Fall!$A:$A,FALSE),MATCH(J$1,Fall!$1:$1,FALSE))="","",INDEX(Fall!$1:$1048576,MATCH($A181,Fall!$A:$A,FALSE),MATCH(J$1,Fall!$1:$1,FALSE))),"")</f>
        <v>3A</v>
      </c>
      <c r="K181" t="str">
        <f>IFERROR(IF(INDEX(Fall!$1:$1048576,MATCH($A181,Fall!$A:$A,FALSE),MATCH(K$1,Fall!$1:$1,FALSE))="","",INDEX(Fall!$1:$1048576,MATCH($A181,Fall!$A:$A,FALSE),MATCH(K$1,Fall!$1:$1,FALSE))),"")</f>
        <v>3A</v>
      </c>
      <c r="L181" t="str">
        <f>IFERROR(IF(INDEX(Fall!$1:$1048576,MATCH($A181,Fall!$A:$A,FALSE),MATCH(L$1,Fall!$1:$1,FALSE))="","",INDEX(Fall!$1:$1048576,MATCH($A181,Fall!$A:$A,FALSE),MATCH(L$1,Fall!$1:$1,FALSE))),"")</f>
        <v>3A</v>
      </c>
      <c r="M181" t="str">
        <f>IFERROR(IF(INDEX(Fall!$1:$1048576,MATCH($A181,Fall!$A:$A,FALSE),MATCH(M$1,Fall!$1:$1,FALSE))="","",INDEX(Fall!$1:$1048576,MATCH($A181,Fall!$A:$A,FALSE),MATCH(M$1,Fall!$1:$1,FALSE))),"")</f>
        <v>2A</v>
      </c>
      <c r="N181" t="str">
        <f>IFERROR(IF(INDEX(Fall!$1:$1048576,MATCH($A181,Fall!$A:$A,FALSE),MATCH(N$1,Fall!$1:$1,FALSE))="","",INDEX(Fall!$1:$1048576,MATCH($A181,Fall!$A:$A,FALSE),MATCH(N$1,Fall!$1:$1,FALSE))),"")</f>
        <v>3A</v>
      </c>
      <c r="O181" t="str">
        <f>IFERROR(IF(INDEX(Fall!$1:$1048576,MATCH($A181,Fall!$A:$A,FALSE),MATCH(O$1,Fall!$1:$1,FALSE))="","",INDEX(Fall!$1:$1048576,MATCH($A181,Fall!$A:$A,FALSE),MATCH(O$1,Fall!$1:$1,FALSE))),"")</f>
        <v>2A</v>
      </c>
      <c r="P181" t="str">
        <f>IFERROR(IF(INDEX(Fall!$1:$1048576,MATCH($A181,Fall!$A:$A,FALSE),MATCH(P$1,Fall!$1:$1,FALSE))="","",INDEX(Fall!$1:$1048576,MATCH($A181,Fall!$A:$A,FALSE),MATCH(P$1,Fall!$1:$1,FALSE))),"")</f>
        <v>4A</v>
      </c>
      <c r="R181" t="str">
        <f>IFERROR(IF(INDEX(Winter!$1:$1048576,MATCH($A181,Winter!$A:$A,FALSE),MATCH(R$1,Winter!$1:$1,FALSE))="","",INDEX(Winter!$1:$1048576,MATCH($A181,Winter!$A:$A,FALSE),MATCH(R$1,Winter!$1:$1,FALSE))),"")</f>
        <v>4A</v>
      </c>
      <c r="S181" t="str">
        <f>IFERROR(IF(INDEX(Winter!$1:$1048576,MATCH($A181,Winter!$A:$A,FALSE),MATCH(S$1,Winter!$1:$1,FALSE))="","",INDEX(Winter!$1:$1048576,MATCH($A181,Winter!$A:$A,FALSE),MATCH(S$1,Winter!$1:$1,FALSE))),"")</f>
        <v>4A</v>
      </c>
      <c r="T181" t="str">
        <f>IFERROR(IF(INDEX(Winter!$1:$1048576,MATCH($A181,Winter!$A:$A,FALSE),MATCH(T$1,Winter!$1:$1,FALSE))="","",INDEX(Winter!$1:$1048576,MATCH($A181,Winter!$A:$A,FALSE),MATCH(T$1,Winter!$1:$1,FALSE))),"")</f>
        <v>3A</v>
      </c>
      <c r="U181" t="str">
        <f>IFERROR(IF(INDEX(Winter!$1:$1048576,MATCH($A181,Winter!$A:$A,FALSE),MATCH(U$1,Winter!$1:$1,FALSE))="","",INDEX(Winter!$1:$1048576,MATCH($A181,Winter!$A:$A,FALSE),MATCH(U$1,Winter!$1:$1,FALSE))),"")</f>
        <v>2A</v>
      </c>
      <c r="V181" t="str">
        <f>IFERROR(IF(INDEX(Winter!$1:$1048576,MATCH($A181,Winter!$A:$A,FALSE),MATCH(V$1,Winter!$1:$1,FALSE))="","",INDEX(Winter!$1:$1048576,MATCH($A181,Winter!$A:$A,FALSE),MATCH(V$1,Winter!$1:$1,FALSE))),"")</f>
        <v/>
      </c>
      <c r="W181" t="str">
        <f>IFERROR(IF(INDEX(Winter!$1:$1048576,MATCH($A181,Winter!$A:$A,FALSE),MATCH(W$1,Winter!$1:$1,FALSE))="","",INDEX(Winter!$1:$1048576,MATCH($A181,Winter!$A:$A,FALSE),MATCH(W$1,Winter!$1:$1,FALSE))),"")</f>
        <v>3A</v>
      </c>
      <c r="Y181" t="str">
        <f>IFERROR(IF(INDEX(Spring!$1:$1048576,MATCH($A181,Spring!$A:$A,FALSE),MATCH(Y$1,Spring!$1:$1,FALSE))="","",INDEX(Spring!$1:$1048576,MATCH($A181,Spring!$A:$A,FALSE),MATCH(Y$1,Spring!$1:$1,FALSE))),"")</f>
        <v>4A</v>
      </c>
      <c r="Z181" t="str">
        <f>IFERROR(IF(INDEX(Spring!$1:$1048576,MATCH($A181,Spring!$A:$A,FALSE),MATCH(Z$1,Spring!$1:$1,FALSE))="","",INDEX(Spring!$1:$1048576,MATCH($A181,Spring!$A:$A,FALSE),MATCH(Z$1,Spring!$1:$1,FALSE))),"")</f>
        <v>4A</v>
      </c>
      <c r="AA181" t="str">
        <f>IFERROR(IF(INDEX(Spring!$1:$1048576,MATCH($A181,Spring!$A:$A,FALSE),MATCH(AA$1,Spring!$1:$1,FALSE))="","",INDEX(Spring!$1:$1048576,MATCH($A181,Spring!$A:$A,FALSE),MATCH(AA$1,Spring!$1:$1,FALSE))),"")</f>
        <v>3A</v>
      </c>
      <c r="AB181" t="str">
        <f>IFERROR(IF(INDEX(Spring!$1:$1048576,MATCH($A181,Spring!$A:$A,FALSE),MATCH(AB$1,Spring!$1:$1,FALSE))="","",INDEX(Spring!$1:$1048576,MATCH($A181,Spring!$A:$A,FALSE),MATCH(AB$1,Spring!$1:$1,FALSE))),"")</f>
        <v>2A</v>
      </c>
      <c r="AC181" t="str">
        <f>IFERROR(IF(INDEX(Spring!$1:$1048576,MATCH($A181,Spring!$A:$A,FALSE),MATCH(AC$1,Spring!$1:$1,FALSE))="","",INDEX(Spring!$1:$1048576,MATCH($A181,Spring!$A:$A,FALSE),MATCH(AC$1,Spring!$1:$1,FALSE))),"")</f>
        <v>3A</v>
      </c>
      <c r="AD181" t="str">
        <f>IFERROR(IF(INDEX(Spring!$1:$1048576,MATCH($A181,Spring!$A:$A,FALSE),MATCH(AD$1,Spring!$1:$1,FALSE))="","",INDEX(Spring!$1:$1048576,MATCH($A181,Spring!$A:$A,FALSE),MATCH(AD$1,Spring!$1:$1,FALSE))),"")</f>
        <v>3A</v>
      </c>
    </row>
    <row r="182" spans="1:30" ht="23.25" thickBot="1" x14ac:dyDescent="0.3">
      <c r="A182" s="48" t="s">
        <v>223</v>
      </c>
      <c r="B182" s="49" t="s">
        <v>1033</v>
      </c>
      <c r="C182" s="49" t="s">
        <v>1000</v>
      </c>
      <c r="D182" s="50"/>
      <c r="E182" s="50"/>
      <c r="F182" s="45"/>
      <c r="G182" s="45"/>
      <c r="H182" s="44"/>
      <c r="J182" t="str">
        <f>IFERROR(IF(INDEX(Fall!$1:$1048576,MATCH($A182,Fall!$A:$A,FALSE),MATCH(J$1,Fall!$1:$1,FALSE))="","",INDEX(Fall!$1:$1048576,MATCH($A182,Fall!$A:$A,FALSE),MATCH(J$1,Fall!$1:$1,FALSE))),"")</f>
        <v>2A</v>
      </c>
      <c r="K182" t="str">
        <f>IFERROR(IF(INDEX(Fall!$1:$1048576,MATCH($A182,Fall!$A:$A,FALSE),MATCH(K$1,Fall!$1:$1,FALSE))="","",INDEX(Fall!$1:$1048576,MATCH($A182,Fall!$A:$A,FALSE),MATCH(K$1,Fall!$1:$1,FALSE))),"")</f>
        <v>2A</v>
      </c>
      <c r="L182" t="str">
        <f>IFERROR(IF(INDEX(Fall!$1:$1048576,MATCH($A182,Fall!$A:$A,FALSE),MATCH(L$1,Fall!$1:$1,FALSE))="","",INDEX(Fall!$1:$1048576,MATCH($A182,Fall!$A:$A,FALSE),MATCH(L$1,Fall!$1:$1,FALSE))),"")</f>
        <v/>
      </c>
      <c r="M182" t="str">
        <f>IFERROR(IF(INDEX(Fall!$1:$1048576,MATCH($A182,Fall!$A:$A,FALSE),MATCH(M$1,Fall!$1:$1,FALSE))="","",INDEX(Fall!$1:$1048576,MATCH($A182,Fall!$A:$A,FALSE),MATCH(M$1,Fall!$1:$1,FALSE))),"")</f>
        <v/>
      </c>
      <c r="N182" t="str">
        <f>IFERROR(IF(INDEX(Fall!$1:$1048576,MATCH($A182,Fall!$A:$A,FALSE),MATCH(N$1,Fall!$1:$1,FALSE))="","",INDEX(Fall!$1:$1048576,MATCH($A182,Fall!$A:$A,FALSE),MATCH(N$1,Fall!$1:$1,FALSE))),"")</f>
        <v/>
      </c>
      <c r="O182" t="str">
        <f>IFERROR(IF(INDEX(Fall!$1:$1048576,MATCH($A182,Fall!$A:$A,FALSE),MATCH(O$1,Fall!$1:$1,FALSE))="","",INDEX(Fall!$1:$1048576,MATCH($A182,Fall!$A:$A,FALSE),MATCH(O$1,Fall!$1:$1,FALSE))),"")</f>
        <v/>
      </c>
      <c r="P182" t="str">
        <f>IFERROR(IF(INDEX(Fall!$1:$1048576,MATCH($A182,Fall!$A:$A,FALSE),MATCH(P$1,Fall!$1:$1,FALSE))="","",INDEX(Fall!$1:$1048576,MATCH($A182,Fall!$A:$A,FALSE),MATCH(P$1,Fall!$1:$1,FALSE))),"")</f>
        <v>3A</v>
      </c>
      <c r="R182" t="str">
        <f>IFERROR(IF(INDEX(Winter!$1:$1048576,MATCH($A182,Winter!$A:$A,FALSE),MATCH(R$1,Winter!$1:$1,FALSE))="","",INDEX(Winter!$1:$1048576,MATCH($A182,Winter!$A:$A,FALSE),MATCH(R$1,Winter!$1:$1,FALSE))),"")</f>
        <v>3A</v>
      </c>
      <c r="S182" t="str">
        <f>IFERROR(IF(INDEX(Winter!$1:$1048576,MATCH($A182,Winter!$A:$A,FALSE),MATCH(S$1,Winter!$1:$1,FALSE))="","",INDEX(Winter!$1:$1048576,MATCH($A182,Winter!$A:$A,FALSE),MATCH(S$1,Winter!$1:$1,FALSE))),"")</f>
        <v>3A</v>
      </c>
      <c r="T182" t="str">
        <f>IFERROR(IF(INDEX(Winter!$1:$1048576,MATCH($A182,Winter!$A:$A,FALSE),MATCH(T$1,Winter!$1:$1,FALSE))="","",INDEX(Winter!$1:$1048576,MATCH($A182,Winter!$A:$A,FALSE),MATCH(T$1,Winter!$1:$1,FALSE))),"")</f>
        <v/>
      </c>
      <c r="U182" t="str">
        <f>IFERROR(IF(INDEX(Winter!$1:$1048576,MATCH($A182,Winter!$A:$A,FALSE),MATCH(U$1,Winter!$1:$1,FALSE))="","",INDEX(Winter!$1:$1048576,MATCH($A182,Winter!$A:$A,FALSE),MATCH(U$1,Winter!$1:$1,FALSE))),"")</f>
        <v/>
      </c>
      <c r="V182" t="str">
        <f>IFERROR(IF(INDEX(Winter!$1:$1048576,MATCH($A182,Winter!$A:$A,FALSE),MATCH(V$1,Winter!$1:$1,FALSE))="","",INDEX(Winter!$1:$1048576,MATCH($A182,Winter!$A:$A,FALSE),MATCH(V$1,Winter!$1:$1,FALSE))),"")</f>
        <v/>
      </c>
      <c r="W182" t="str">
        <f>IFERROR(IF(INDEX(Winter!$1:$1048576,MATCH($A182,Winter!$A:$A,FALSE),MATCH(W$1,Winter!$1:$1,FALSE))="","",INDEX(Winter!$1:$1048576,MATCH($A182,Winter!$A:$A,FALSE),MATCH(W$1,Winter!$1:$1,FALSE))),"")</f>
        <v>2A</v>
      </c>
      <c r="Y182" t="str">
        <f>IFERROR(IF(INDEX(Spring!$1:$1048576,MATCH($A182,Spring!$A:$A,FALSE),MATCH(Y$1,Spring!$1:$1,FALSE))="","",INDEX(Spring!$1:$1048576,MATCH($A182,Spring!$A:$A,FALSE),MATCH(Y$1,Spring!$1:$1,FALSE))),"")</f>
        <v>3A</v>
      </c>
      <c r="Z182" t="str">
        <f>IFERROR(IF(INDEX(Spring!$1:$1048576,MATCH($A182,Spring!$A:$A,FALSE),MATCH(Z$1,Spring!$1:$1,FALSE))="","",INDEX(Spring!$1:$1048576,MATCH($A182,Spring!$A:$A,FALSE),MATCH(Z$1,Spring!$1:$1,FALSE))),"")</f>
        <v/>
      </c>
      <c r="AA182" t="str">
        <f>IFERROR(IF(INDEX(Spring!$1:$1048576,MATCH($A182,Spring!$A:$A,FALSE),MATCH(AA$1,Spring!$1:$1,FALSE))="","",INDEX(Spring!$1:$1048576,MATCH($A182,Spring!$A:$A,FALSE),MATCH(AA$1,Spring!$1:$1,FALSE))),"")</f>
        <v/>
      </c>
      <c r="AB182" t="str">
        <f>IFERROR(IF(INDEX(Spring!$1:$1048576,MATCH($A182,Spring!$A:$A,FALSE),MATCH(AB$1,Spring!$1:$1,FALSE))="","",INDEX(Spring!$1:$1048576,MATCH($A182,Spring!$A:$A,FALSE),MATCH(AB$1,Spring!$1:$1,FALSE))),"")</f>
        <v/>
      </c>
      <c r="AC182" t="str">
        <f>IFERROR(IF(INDEX(Spring!$1:$1048576,MATCH($A182,Spring!$A:$A,FALSE),MATCH(AC$1,Spring!$1:$1,FALSE))="","",INDEX(Spring!$1:$1048576,MATCH($A182,Spring!$A:$A,FALSE),MATCH(AC$1,Spring!$1:$1,FALSE))),"")</f>
        <v>2A</v>
      </c>
      <c r="AD182" t="str">
        <f>IFERROR(IF(INDEX(Spring!$1:$1048576,MATCH($A182,Spring!$A:$A,FALSE),MATCH(AD$1,Spring!$1:$1,FALSE))="","",INDEX(Spring!$1:$1048576,MATCH($A182,Spring!$A:$A,FALSE),MATCH(AD$1,Spring!$1:$1,FALSE))),"")</f>
        <v>2A</v>
      </c>
    </row>
    <row r="183" spans="1:30" ht="15.75" thickBot="1" x14ac:dyDescent="0.3">
      <c r="A183" s="48" t="s">
        <v>225</v>
      </c>
      <c r="B183" s="49">
        <v>1327</v>
      </c>
      <c r="C183" s="50"/>
      <c r="D183" s="50"/>
      <c r="E183" s="50"/>
      <c r="F183" s="45"/>
      <c r="G183" s="45"/>
      <c r="H183" s="44"/>
      <c r="J183" t="str">
        <f>IFERROR(IF(INDEX(Fall!$1:$1048576,MATCH($A183,Fall!$A:$A,FALSE),MATCH(J$1,Fall!$1:$1,FALSE))="","",INDEX(Fall!$1:$1048576,MATCH($A183,Fall!$A:$A,FALSE),MATCH(J$1,Fall!$1:$1,FALSE))),"")</f>
        <v>2A</v>
      </c>
      <c r="K183" t="str">
        <f>IFERROR(IF(INDEX(Fall!$1:$1048576,MATCH($A183,Fall!$A:$A,FALSE),MATCH(K$1,Fall!$1:$1,FALSE))="","",INDEX(Fall!$1:$1048576,MATCH($A183,Fall!$A:$A,FALSE),MATCH(K$1,Fall!$1:$1,FALSE))),"")</f>
        <v>2A</v>
      </c>
      <c r="L183" t="str">
        <f>IFERROR(IF(INDEX(Fall!$1:$1048576,MATCH($A183,Fall!$A:$A,FALSE),MATCH(L$1,Fall!$1:$1,FALSE))="","",INDEX(Fall!$1:$1048576,MATCH($A183,Fall!$A:$A,FALSE),MATCH(L$1,Fall!$1:$1,FALSE))),"")</f>
        <v/>
      </c>
      <c r="M183" t="str">
        <f>IFERROR(IF(INDEX(Fall!$1:$1048576,MATCH($A183,Fall!$A:$A,FALSE),MATCH(M$1,Fall!$1:$1,FALSE))="","",INDEX(Fall!$1:$1048576,MATCH($A183,Fall!$A:$A,FALSE),MATCH(M$1,Fall!$1:$1,FALSE))),"")</f>
        <v/>
      </c>
      <c r="N183" t="str">
        <f>IFERROR(IF(INDEX(Fall!$1:$1048576,MATCH($A183,Fall!$A:$A,FALSE),MATCH(N$1,Fall!$1:$1,FALSE))="","",INDEX(Fall!$1:$1048576,MATCH($A183,Fall!$A:$A,FALSE),MATCH(N$1,Fall!$1:$1,FALSE))),"")</f>
        <v>2A</v>
      </c>
      <c r="O183" t="str">
        <f>IFERROR(IF(INDEX(Fall!$1:$1048576,MATCH($A183,Fall!$A:$A,FALSE),MATCH(O$1,Fall!$1:$1,FALSE))="","",INDEX(Fall!$1:$1048576,MATCH($A183,Fall!$A:$A,FALSE),MATCH(O$1,Fall!$1:$1,FALSE))),"")</f>
        <v/>
      </c>
      <c r="P183" t="str">
        <f>IFERROR(IF(INDEX(Fall!$1:$1048576,MATCH($A183,Fall!$A:$A,FALSE),MATCH(P$1,Fall!$1:$1,FALSE))="","",INDEX(Fall!$1:$1048576,MATCH($A183,Fall!$A:$A,FALSE),MATCH(P$1,Fall!$1:$1,FALSE))),"")</f>
        <v>3A</v>
      </c>
      <c r="R183" t="str">
        <f>IFERROR(IF(INDEX(Winter!$1:$1048576,MATCH($A183,Winter!$A:$A,FALSE),MATCH(R$1,Winter!$1:$1,FALSE))="","",INDEX(Winter!$1:$1048576,MATCH($A183,Winter!$A:$A,FALSE),MATCH(R$1,Winter!$1:$1,FALSE))),"")</f>
        <v>3A</v>
      </c>
      <c r="S183" t="str">
        <f>IFERROR(IF(INDEX(Winter!$1:$1048576,MATCH($A183,Winter!$A:$A,FALSE),MATCH(S$1,Winter!$1:$1,FALSE))="","",INDEX(Winter!$1:$1048576,MATCH($A183,Winter!$A:$A,FALSE),MATCH(S$1,Winter!$1:$1,FALSE))),"")</f>
        <v>3A</v>
      </c>
      <c r="T183" t="str">
        <f>IFERROR(IF(INDEX(Winter!$1:$1048576,MATCH($A183,Winter!$A:$A,FALSE),MATCH(T$1,Winter!$1:$1,FALSE))="","",INDEX(Winter!$1:$1048576,MATCH($A183,Winter!$A:$A,FALSE),MATCH(T$1,Winter!$1:$1,FALSE))),"")</f>
        <v/>
      </c>
      <c r="U183" t="str">
        <f>IFERROR(IF(INDEX(Winter!$1:$1048576,MATCH($A183,Winter!$A:$A,FALSE),MATCH(U$1,Winter!$1:$1,FALSE))="","",INDEX(Winter!$1:$1048576,MATCH($A183,Winter!$A:$A,FALSE),MATCH(U$1,Winter!$1:$1,FALSE))),"")</f>
        <v/>
      </c>
      <c r="V183" t="str">
        <f>IFERROR(IF(INDEX(Winter!$1:$1048576,MATCH($A183,Winter!$A:$A,FALSE),MATCH(V$1,Winter!$1:$1,FALSE))="","",INDEX(Winter!$1:$1048576,MATCH($A183,Winter!$A:$A,FALSE),MATCH(V$1,Winter!$1:$1,FALSE))),"")</f>
        <v/>
      </c>
      <c r="W183" t="str">
        <f>IFERROR(IF(INDEX(Winter!$1:$1048576,MATCH($A183,Winter!$A:$A,FALSE),MATCH(W$1,Winter!$1:$1,FALSE))="","",INDEX(Winter!$1:$1048576,MATCH($A183,Winter!$A:$A,FALSE),MATCH(W$1,Winter!$1:$1,FALSE))),"")</f>
        <v>2A</v>
      </c>
      <c r="Y183" t="str">
        <f>IFERROR(IF(INDEX(Spring!$1:$1048576,MATCH($A183,Spring!$A:$A,FALSE),MATCH(Y$1,Spring!$1:$1,FALSE))="","",INDEX(Spring!$1:$1048576,MATCH($A183,Spring!$A:$A,FALSE),MATCH(Y$1,Spring!$1:$1,FALSE))),"")</f>
        <v>3A</v>
      </c>
      <c r="Z183" t="str">
        <f>IFERROR(IF(INDEX(Spring!$1:$1048576,MATCH($A183,Spring!$A:$A,FALSE),MATCH(Z$1,Spring!$1:$1,FALSE))="","",INDEX(Spring!$1:$1048576,MATCH($A183,Spring!$A:$A,FALSE),MATCH(Z$1,Spring!$1:$1,FALSE))),"")</f>
        <v/>
      </c>
      <c r="AA183" t="str">
        <f>IFERROR(IF(INDEX(Spring!$1:$1048576,MATCH($A183,Spring!$A:$A,FALSE),MATCH(AA$1,Spring!$1:$1,FALSE))="","",INDEX(Spring!$1:$1048576,MATCH($A183,Spring!$A:$A,FALSE),MATCH(AA$1,Spring!$1:$1,FALSE))),"")</f>
        <v>2A</v>
      </c>
      <c r="AB183" t="str">
        <f>IFERROR(IF(INDEX(Spring!$1:$1048576,MATCH($A183,Spring!$A:$A,FALSE),MATCH(AB$1,Spring!$1:$1,FALSE))="","",INDEX(Spring!$1:$1048576,MATCH($A183,Spring!$A:$A,FALSE),MATCH(AB$1,Spring!$1:$1,FALSE))),"")</f>
        <v/>
      </c>
      <c r="AC183" t="str">
        <f>IFERROR(IF(INDEX(Spring!$1:$1048576,MATCH($A183,Spring!$A:$A,FALSE),MATCH(AC$1,Spring!$1:$1,FALSE))="","",INDEX(Spring!$1:$1048576,MATCH($A183,Spring!$A:$A,FALSE),MATCH(AC$1,Spring!$1:$1,FALSE))),"")</f>
        <v>3A</v>
      </c>
      <c r="AD183" t="str">
        <f>IFERROR(IF(INDEX(Spring!$1:$1048576,MATCH($A183,Spring!$A:$A,FALSE),MATCH(AD$1,Spring!$1:$1,FALSE))="","",INDEX(Spring!$1:$1048576,MATCH($A183,Spring!$A:$A,FALSE),MATCH(AD$1,Spring!$1:$1,FALSE))),"")</f>
        <v>3A</v>
      </c>
    </row>
    <row r="184" spans="1:30" ht="23.25" thickBot="1" x14ac:dyDescent="0.3">
      <c r="A184" s="48" t="s">
        <v>226</v>
      </c>
      <c r="B184" s="49" t="s">
        <v>1034</v>
      </c>
      <c r="C184" s="49" t="s">
        <v>1000</v>
      </c>
      <c r="D184" s="50"/>
      <c r="E184" s="50"/>
      <c r="F184" s="45"/>
      <c r="G184" s="45"/>
      <c r="H184" s="44"/>
      <c r="J184" t="str">
        <f>IFERROR(IF(INDEX(Fall!$1:$1048576,MATCH($A184,Fall!$A:$A,FALSE),MATCH(J$1,Fall!$1:$1,FALSE))="","",INDEX(Fall!$1:$1048576,MATCH($A184,Fall!$A:$A,FALSE),MATCH(J$1,Fall!$1:$1,FALSE))),"")</f>
        <v>3A</v>
      </c>
      <c r="K184" t="str">
        <f>IFERROR(IF(INDEX(Fall!$1:$1048576,MATCH($A184,Fall!$A:$A,FALSE),MATCH(K$1,Fall!$1:$1,FALSE))="","",INDEX(Fall!$1:$1048576,MATCH($A184,Fall!$A:$A,FALSE),MATCH(K$1,Fall!$1:$1,FALSE))),"")</f>
        <v>3A</v>
      </c>
      <c r="L184" t="str">
        <f>IFERROR(IF(INDEX(Fall!$1:$1048576,MATCH($A184,Fall!$A:$A,FALSE),MATCH(L$1,Fall!$1:$1,FALSE))="","",INDEX(Fall!$1:$1048576,MATCH($A184,Fall!$A:$A,FALSE),MATCH(L$1,Fall!$1:$1,FALSE))),"")</f>
        <v>3A</v>
      </c>
      <c r="M184" t="str">
        <f>IFERROR(IF(INDEX(Fall!$1:$1048576,MATCH($A184,Fall!$A:$A,FALSE),MATCH(M$1,Fall!$1:$1,FALSE))="","",INDEX(Fall!$1:$1048576,MATCH($A184,Fall!$A:$A,FALSE),MATCH(M$1,Fall!$1:$1,FALSE))),"")</f>
        <v>2A</v>
      </c>
      <c r="N184" t="str">
        <f>IFERROR(IF(INDEX(Fall!$1:$1048576,MATCH($A184,Fall!$A:$A,FALSE),MATCH(N$1,Fall!$1:$1,FALSE))="","",INDEX(Fall!$1:$1048576,MATCH($A184,Fall!$A:$A,FALSE),MATCH(N$1,Fall!$1:$1,FALSE))),"")</f>
        <v>3A</v>
      </c>
      <c r="O184" t="str">
        <f>IFERROR(IF(INDEX(Fall!$1:$1048576,MATCH($A184,Fall!$A:$A,FALSE),MATCH(O$1,Fall!$1:$1,FALSE))="","",INDEX(Fall!$1:$1048576,MATCH($A184,Fall!$A:$A,FALSE),MATCH(O$1,Fall!$1:$1,FALSE))),"")</f>
        <v>2A</v>
      </c>
      <c r="P184" t="str">
        <f>IFERROR(IF(INDEX(Fall!$1:$1048576,MATCH($A184,Fall!$A:$A,FALSE),MATCH(P$1,Fall!$1:$1,FALSE))="","",INDEX(Fall!$1:$1048576,MATCH($A184,Fall!$A:$A,FALSE),MATCH(P$1,Fall!$1:$1,FALSE))),"")</f>
        <v>4A</v>
      </c>
      <c r="R184" t="str">
        <f>IFERROR(IF(INDEX(Winter!$1:$1048576,MATCH($A184,Winter!$A:$A,FALSE),MATCH(R$1,Winter!$1:$1,FALSE))="","",INDEX(Winter!$1:$1048576,MATCH($A184,Winter!$A:$A,FALSE),MATCH(R$1,Winter!$1:$1,FALSE))),"")</f>
        <v>4A</v>
      </c>
      <c r="S184" t="str">
        <f>IFERROR(IF(INDEX(Winter!$1:$1048576,MATCH($A184,Winter!$A:$A,FALSE),MATCH(S$1,Winter!$1:$1,FALSE))="","",INDEX(Winter!$1:$1048576,MATCH($A184,Winter!$A:$A,FALSE),MATCH(S$1,Winter!$1:$1,FALSE))),"")</f>
        <v>4A</v>
      </c>
      <c r="T184" t="str">
        <f>IFERROR(IF(INDEX(Winter!$1:$1048576,MATCH($A184,Winter!$A:$A,FALSE),MATCH(T$1,Winter!$1:$1,FALSE))="","",INDEX(Winter!$1:$1048576,MATCH($A184,Winter!$A:$A,FALSE),MATCH(T$1,Winter!$1:$1,FALSE))),"")</f>
        <v>3A</v>
      </c>
      <c r="U184" t="str">
        <f>IFERROR(IF(INDEX(Winter!$1:$1048576,MATCH($A184,Winter!$A:$A,FALSE),MATCH(U$1,Winter!$1:$1,FALSE))="","",INDEX(Winter!$1:$1048576,MATCH($A184,Winter!$A:$A,FALSE),MATCH(U$1,Winter!$1:$1,FALSE))),"")</f>
        <v>3A</v>
      </c>
      <c r="V184" t="str">
        <f>IFERROR(IF(INDEX(Winter!$1:$1048576,MATCH($A184,Winter!$A:$A,FALSE),MATCH(V$1,Winter!$1:$1,FALSE))="","",INDEX(Winter!$1:$1048576,MATCH($A184,Winter!$A:$A,FALSE),MATCH(V$1,Winter!$1:$1,FALSE))),"")</f>
        <v/>
      </c>
      <c r="W184" t="str">
        <f>IFERROR(IF(INDEX(Winter!$1:$1048576,MATCH($A184,Winter!$A:$A,FALSE),MATCH(W$1,Winter!$1:$1,FALSE))="","",INDEX(Winter!$1:$1048576,MATCH($A184,Winter!$A:$A,FALSE),MATCH(W$1,Winter!$1:$1,FALSE))),"")</f>
        <v>3A</v>
      </c>
      <c r="Y184" t="str">
        <f>IFERROR(IF(INDEX(Spring!$1:$1048576,MATCH($A184,Spring!$A:$A,FALSE),MATCH(Y$1,Spring!$1:$1,FALSE))="","",INDEX(Spring!$1:$1048576,MATCH($A184,Spring!$A:$A,FALSE),MATCH(Y$1,Spring!$1:$1,FALSE))),"")</f>
        <v>4A</v>
      </c>
      <c r="Z184" t="str">
        <f>IFERROR(IF(INDEX(Spring!$1:$1048576,MATCH($A184,Spring!$A:$A,FALSE),MATCH(Z$1,Spring!$1:$1,FALSE))="","",INDEX(Spring!$1:$1048576,MATCH($A184,Spring!$A:$A,FALSE),MATCH(Z$1,Spring!$1:$1,FALSE))),"")</f>
        <v>4A</v>
      </c>
      <c r="AA184" t="str">
        <f>IFERROR(IF(INDEX(Spring!$1:$1048576,MATCH($A184,Spring!$A:$A,FALSE),MATCH(AA$1,Spring!$1:$1,FALSE))="","",INDEX(Spring!$1:$1048576,MATCH($A184,Spring!$A:$A,FALSE),MATCH(AA$1,Spring!$1:$1,FALSE))),"")</f>
        <v>3A</v>
      </c>
      <c r="AB184" t="str">
        <f>IFERROR(IF(INDEX(Spring!$1:$1048576,MATCH($A184,Spring!$A:$A,FALSE),MATCH(AB$1,Spring!$1:$1,FALSE))="","",INDEX(Spring!$1:$1048576,MATCH($A184,Spring!$A:$A,FALSE),MATCH(AB$1,Spring!$1:$1,FALSE))),"")</f>
        <v>2A</v>
      </c>
      <c r="AC184" t="str">
        <f>IFERROR(IF(INDEX(Spring!$1:$1048576,MATCH($A184,Spring!$A:$A,FALSE),MATCH(AC$1,Spring!$1:$1,FALSE))="","",INDEX(Spring!$1:$1048576,MATCH($A184,Spring!$A:$A,FALSE),MATCH(AC$1,Spring!$1:$1,FALSE))),"")</f>
        <v>3A</v>
      </c>
      <c r="AD184" t="str">
        <f>IFERROR(IF(INDEX(Spring!$1:$1048576,MATCH($A184,Spring!$A:$A,FALSE),MATCH(AD$1,Spring!$1:$1,FALSE))="","",INDEX(Spring!$1:$1048576,MATCH($A184,Spring!$A:$A,FALSE),MATCH(AD$1,Spring!$1:$1,FALSE))),"")</f>
        <v>3A</v>
      </c>
    </row>
    <row r="185" spans="1:30" ht="23.25" thickBot="1" x14ac:dyDescent="0.3">
      <c r="A185" s="48" t="s">
        <v>228</v>
      </c>
      <c r="B185" s="49" t="s">
        <v>229</v>
      </c>
      <c r="C185" s="49" t="s">
        <v>997</v>
      </c>
      <c r="D185" s="49">
        <v>1</v>
      </c>
      <c r="E185" s="49">
        <v>1</v>
      </c>
      <c r="F185" s="44"/>
      <c r="G185" s="44"/>
      <c r="H185" s="44"/>
      <c r="J185" t="str">
        <f>IFERROR(IF(INDEX(Fall!$1:$1048576,MATCH($A185,Fall!$A:$A,FALSE),MATCH(J$1,Fall!$1:$1,FALSE))="","",INDEX(Fall!$1:$1048576,MATCH($A185,Fall!$A:$A,FALSE),MATCH(J$1,Fall!$1:$1,FALSE))),"")</f>
        <v>2A</v>
      </c>
      <c r="K185" t="str">
        <f>IFERROR(IF(INDEX(Fall!$1:$1048576,MATCH($A185,Fall!$A:$A,FALSE),MATCH(K$1,Fall!$1:$1,FALSE))="","",INDEX(Fall!$1:$1048576,MATCH($A185,Fall!$A:$A,FALSE),MATCH(K$1,Fall!$1:$1,FALSE))),"")</f>
        <v>2A</v>
      </c>
      <c r="L185" t="str">
        <f>IFERROR(IF(INDEX(Fall!$1:$1048576,MATCH($A185,Fall!$A:$A,FALSE),MATCH(L$1,Fall!$1:$1,FALSE))="","",INDEX(Fall!$1:$1048576,MATCH($A185,Fall!$A:$A,FALSE),MATCH(L$1,Fall!$1:$1,FALSE))),"")</f>
        <v>2A</v>
      </c>
      <c r="M185" t="str">
        <f>IFERROR(IF(INDEX(Fall!$1:$1048576,MATCH($A185,Fall!$A:$A,FALSE),MATCH(M$1,Fall!$1:$1,FALSE))="","",INDEX(Fall!$1:$1048576,MATCH($A185,Fall!$A:$A,FALSE),MATCH(M$1,Fall!$1:$1,FALSE))),"")</f>
        <v>1A</v>
      </c>
      <c r="N185" t="str">
        <f>IFERROR(IF(INDEX(Fall!$1:$1048576,MATCH($A185,Fall!$A:$A,FALSE),MATCH(N$1,Fall!$1:$1,FALSE))="","",INDEX(Fall!$1:$1048576,MATCH($A185,Fall!$A:$A,FALSE),MATCH(N$1,Fall!$1:$1,FALSE))),"")</f>
        <v>2A</v>
      </c>
      <c r="O185" t="str">
        <f>IFERROR(IF(INDEX(Fall!$1:$1048576,MATCH($A185,Fall!$A:$A,FALSE),MATCH(O$1,Fall!$1:$1,FALSE))="","",INDEX(Fall!$1:$1048576,MATCH($A185,Fall!$A:$A,FALSE),MATCH(O$1,Fall!$1:$1,FALSE))),"")</f>
        <v>1A</v>
      </c>
      <c r="P185" t="str">
        <f>IFERROR(IF(INDEX(Fall!$1:$1048576,MATCH($A185,Fall!$A:$A,FALSE),MATCH(P$1,Fall!$1:$1,FALSE))="","",INDEX(Fall!$1:$1048576,MATCH($A185,Fall!$A:$A,FALSE),MATCH(P$1,Fall!$1:$1,FALSE))),"")</f>
        <v>3A</v>
      </c>
    </row>
    <row r="186" spans="1:30" ht="23.25" thickBot="1" x14ac:dyDescent="0.3">
      <c r="A186" s="48" t="s">
        <v>929</v>
      </c>
      <c r="B186" s="49" t="s">
        <v>1035</v>
      </c>
      <c r="C186" s="49" t="s">
        <v>1004</v>
      </c>
      <c r="D186" s="50"/>
      <c r="E186" s="50"/>
      <c r="F186" s="44"/>
      <c r="G186" s="44"/>
      <c r="H186" s="44"/>
      <c r="J186" t="str">
        <f>IFERROR(IF(INDEX(Fall!$1:$1048576,MATCH($A186,Fall!$A:$A,FALSE),MATCH(J$1,Fall!$1:$1,FALSE))="","",INDEX(Fall!$1:$1048576,MATCH($A186,Fall!$A:$A,FALSE),MATCH(J$1,Fall!$1:$1,FALSE))),"")</f>
        <v/>
      </c>
      <c r="K186" t="str">
        <f>IFERROR(IF(INDEX(Fall!$1:$1048576,MATCH($A186,Fall!$A:$A,FALSE),MATCH(K$1,Fall!$1:$1,FALSE))="","",INDEX(Fall!$1:$1048576,MATCH($A186,Fall!$A:$A,FALSE),MATCH(K$1,Fall!$1:$1,FALSE))),"")</f>
        <v/>
      </c>
      <c r="L186" t="str">
        <f>IFERROR(IF(INDEX(Fall!$1:$1048576,MATCH($A186,Fall!$A:$A,FALSE),MATCH(L$1,Fall!$1:$1,FALSE))="","",INDEX(Fall!$1:$1048576,MATCH($A186,Fall!$A:$A,FALSE),MATCH(L$1,Fall!$1:$1,FALSE))),"")</f>
        <v/>
      </c>
      <c r="M186" t="str">
        <f>IFERROR(IF(INDEX(Fall!$1:$1048576,MATCH($A186,Fall!$A:$A,FALSE),MATCH(M$1,Fall!$1:$1,FALSE))="","",INDEX(Fall!$1:$1048576,MATCH($A186,Fall!$A:$A,FALSE),MATCH(M$1,Fall!$1:$1,FALSE))),"")</f>
        <v/>
      </c>
      <c r="N186" t="str">
        <f>IFERROR(IF(INDEX(Fall!$1:$1048576,MATCH($A186,Fall!$A:$A,FALSE),MATCH(N$1,Fall!$1:$1,FALSE))="","",INDEX(Fall!$1:$1048576,MATCH($A186,Fall!$A:$A,FALSE),MATCH(N$1,Fall!$1:$1,FALSE))),"")</f>
        <v/>
      </c>
      <c r="O186" t="str">
        <f>IFERROR(IF(INDEX(Fall!$1:$1048576,MATCH($A186,Fall!$A:$A,FALSE),MATCH(O$1,Fall!$1:$1,FALSE))="","",INDEX(Fall!$1:$1048576,MATCH($A186,Fall!$A:$A,FALSE),MATCH(O$1,Fall!$1:$1,FALSE))),"")</f>
        <v/>
      </c>
      <c r="P186" t="str">
        <f>IFERROR(IF(INDEX(Fall!$1:$1048576,MATCH($A186,Fall!$A:$A,FALSE),MATCH(P$1,Fall!$1:$1,FALSE))="","",INDEX(Fall!$1:$1048576,MATCH($A186,Fall!$A:$A,FALSE),MATCH(P$1,Fall!$1:$1,FALSE))),"")</f>
        <v/>
      </c>
    </row>
    <row r="187" spans="1:30" ht="23.25" thickBot="1" x14ac:dyDescent="0.3">
      <c r="A187" s="48" t="s">
        <v>230</v>
      </c>
      <c r="B187" s="49" t="s">
        <v>231</v>
      </c>
      <c r="C187" s="49" t="s">
        <v>997</v>
      </c>
      <c r="D187" s="49">
        <v>1</v>
      </c>
      <c r="E187" s="49">
        <v>3</v>
      </c>
      <c r="F187" s="44"/>
      <c r="G187" s="44"/>
      <c r="H187" s="44"/>
      <c r="J187" t="str">
        <f>IFERROR(IF(INDEX(Fall!$1:$1048576,MATCH($A187,Fall!$A:$A,FALSE),MATCH(J$1,Fall!$1:$1,FALSE))="","",INDEX(Fall!$1:$1048576,MATCH($A187,Fall!$A:$A,FALSE),MATCH(J$1,Fall!$1:$1,FALSE))),"")</f>
        <v>1A</v>
      </c>
      <c r="K187" t="str">
        <f>IFERROR(IF(INDEX(Fall!$1:$1048576,MATCH($A187,Fall!$A:$A,FALSE),MATCH(K$1,Fall!$1:$1,FALSE))="","",INDEX(Fall!$1:$1048576,MATCH($A187,Fall!$A:$A,FALSE),MATCH(K$1,Fall!$1:$1,FALSE))),"")</f>
        <v/>
      </c>
      <c r="L187" t="str">
        <f>IFERROR(IF(INDEX(Fall!$1:$1048576,MATCH($A187,Fall!$A:$A,FALSE),MATCH(L$1,Fall!$1:$1,FALSE))="","",INDEX(Fall!$1:$1048576,MATCH($A187,Fall!$A:$A,FALSE),MATCH(L$1,Fall!$1:$1,FALSE))),"")</f>
        <v/>
      </c>
      <c r="M187" t="str">
        <f>IFERROR(IF(INDEX(Fall!$1:$1048576,MATCH($A187,Fall!$A:$A,FALSE),MATCH(M$1,Fall!$1:$1,FALSE))="","",INDEX(Fall!$1:$1048576,MATCH($A187,Fall!$A:$A,FALSE),MATCH(M$1,Fall!$1:$1,FALSE))),"")</f>
        <v/>
      </c>
      <c r="N187" t="str">
        <f>IFERROR(IF(INDEX(Fall!$1:$1048576,MATCH($A187,Fall!$A:$A,FALSE),MATCH(N$1,Fall!$1:$1,FALSE))="","",INDEX(Fall!$1:$1048576,MATCH($A187,Fall!$A:$A,FALSE),MATCH(N$1,Fall!$1:$1,FALSE))),"")</f>
        <v/>
      </c>
      <c r="O187" t="str">
        <f>IFERROR(IF(INDEX(Fall!$1:$1048576,MATCH($A187,Fall!$A:$A,FALSE),MATCH(O$1,Fall!$1:$1,FALSE))="","",INDEX(Fall!$1:$1048576,MATCH($A187,Fall!$A:$A,FALSE),MATCH(O$1,Fall!$1:$1,FALSE))),"")</f>
        <v/>
      </c>
      <c r="P187" t="str">
        <f>IFERROR(IF(INDEX(Fall!$1:$1048576,MATCH($A187,Fall!$A:$A,FALSE),MATCH(P$1,Fall!$1:$1,FALSE))="","",INDEX(Fall!$1:$1048576,MATCH($A187,Fall!$A:$A,FALSE),MATCH(P$1,Fall!$1:$1,FALSE))),"")</f>
        <v/>
      </c>
    </row>
    <row r="188" spans="1:30" ht="15.75" thickBot="1" x14ac:dyDescent="0.3">
      <c r="A188" s="48" t="s">
        <v>232</v>
      </c>
      <c r="B188" s="49">
        <v>2057</v>
      </c>
      <c r="C188" s="50"/>
      <c r="D188" s="50"/>
      <c r="E188" s="50"/>
      <c r="F188" s="44"/>
      <c r="G188" s="44"/>
      <c r="H188" s="44"/>
      <c r="J188" t="str">
        <f>IFERROR(IF(INDEX(Fall!$1:$1048576,MATCH($A188,Fall!$A:$A,FALSE),MATCH(J$1,Fall!$1:$1,FALSE))="","",INDEX(Fall!$1:$1048576,MATCH($A188,Fall!$A:$A,FALSE),MATCH(J$1,Fall!$1:$1,FALSE))),"")</f>
        <v>3A</v>
      </c>
      <c r="K188" t="str">
        <f>IFERROR(IF(INDEX(Fall!$1:$1048576,MATCH($A188,Fall!$A:$A,FALSE),MATCH(K$1,Fall!$1:$1,FALSE))="","",INDEX(Fall!$1:$1048576,MATCH($A188,Fall!$A:$A,FALSE),MATCH(K$1,Fall!$1:$1,FALSE))),"")</f>
        <v>3A</v>
      </c>
      <c r="L188" t="str">
        <f>IFERROR(IF(INDEX(Fall!$1:$1048576,MATCH($A188,Fall!$A:$A,FALSE),MATCH(L$1,Fall!$1:$1,FALSE))="","",INDEX(Fall!$1:$1048576,MATCH($A188,Fall!$A:$A,FALSE),MATCH(L$1,Fall!$1:$1,FALSE))),"")</f>
        <v>3A</v>
      </c>
      <c r="M188" t="str">
        <f>IFERROR(IF(INDEX(Fall!$1:$1048576,MATCH($A188,Fall!$A:$A,FALSE),MATCH(M$1,Fall!$1:$1,FALSE))="","",INDEX(Fall!$1:$1048576,MATCH($A188,Fall!$A:$A,FALSE),MATCH(M$1,Fall!$1:$1,FALSE))),"")</f>
        <v>2A</v>
      </c>
      <c r="N188" t="str">
        <f>IFERROR(IF(INDEX(Fall!$1:$1048576,MATCH($A188,Fall!$A:$A,FALSE),MATCH(N$1,Fall!$1:$1,FALSE))="","",INDEX(Fall!$1:$1048576,MATCH($A188,Fall!$A:$A,FALSE),MATCH(N$1,Fall!$1:$1,FALSE))),"")</f>
        <v>3A</v>
      </c>
      <c r="O188" t="str">
        <f>IFERROR(IF(INDEX(Fall!$1:$1048576,MATCH($A188,Fall!$A:$A,FALSE),MATCH(O$1,Fall!$1:$1,FALSE))="","",INDEX(Fall!$1:$1048576,MATCH($A188,Fall!$A:$A,FALSE),MATCH(O$1,Fall!$1:$1,FALSE))),"")</f>
        <v>2A</v>
      </c>
      <c r="P188" t="str">
        <f>IFERROR(IF(INDEX(Fall!$1:$1048576,MATCH($A188,Fall!$A:$A,FALSE),MATCH(P$1,Fall!$1:$1,FALSE))="","",INDEX(Fall!$1:$1048576,MATCH($A188,Fall!$A:$A,FALSE),MATCH(P$1,Fall!$1:$1,FALSE))),"")</f>
        <v>4A</v>
      </c>
    </row>
    <row r="189" spans="1:30" ht="23.25" thickBot="1" x14ac:dyDescent="0.3">
      <c r="A189" s="48" t="s">
        <v>233</v>
      </c>
      <c r="B189" s="49" t="s">
        <v>1036</v>
      </c>
      <c r="C189" s="49" t="s">
        <v>1000</v>
      </c>
      <c r="D189" s="50"/>
      <c r="E189" s="50"/>
      <c r="F189" s="44"/>
      <c r="G189" s="44"/>
      <c r="H189" s="44"/>
      <c r="J189" t="str">
        <f>IFERROR(IF(INDEX(Fall!$1:$1048576,MATCH($A189,Fall!$A:$A,FALSE),MATCH(J$1,Fall!$1:$1,FALSE))="","",INDEX(Fall!$1:$1048576,MATCH($A189,Fall!$A:$A,FALSE),MATCH(J$1,Fall!$1:$1,FALSE))),"")</f>
        <v>3A</v>
      </c>
      <c r="K189" t="str">
        <f>IFERROR(IF(INDEX(Fall!$1:$1048576,MATCH($A189,Fall!$A:$A,FALSE),MATCH(K$1,Fall!$1:$1,FALSE))="","",INDEX(Fall!$1:$1048576,MATCH($A189,Fall!$A:$A,FALSE),MATCH(K$1,Fall!$1:$1,FALSE))),"")</f>
        <v>3A</v>
      </c>
      <c r="L189" t="str">
        <f>IFERROR(IF(INDEX(Fall!$1:$1048576,MATCH($A189,Fall!$A:$A,FALSE),MATCH(L$1,Fall!$1:$1,FALSE))="","",INDEX(Fall!$1:$1048576,MATCH($A189,Fall!$A:$A,FALSE),MATCH(L$1,Fall!$1:$1,FALSE))),"")</f>
        <v>3A</v>
      </c>
      <c r="M189" t="str">
        <f>IFERROR(IF(INDEX(Fall!$1:$1048576,MATCH($A189,Fall!$A:$A,FALSE),MATCH(M$1,Fall!$1:$1,FALSE))="","",INDEX(Fall!$1:$1048576,MATCH($A189,Fall!$A:$A,FALSE),MATCH(M$1,Fall!$1:$1,FALSE))),"")</f>
        <v>2A</v>
      </c>
      <c r="N189" t="str">
        <f>IFERROR(IF(INDEX(Fall!$1:$1048576,MATCH($A189,Fall!$A:$A,FALSE),MATCH(N$1,Fall!$1:$1,FALSE))="","",INDEX(Fall!$1:$1048576,MATCH($A189,Fall!$A:$A,FALSE),MATCH(N$1,Fall!$1:$1,FALSE))),"")</f>
        <v>3A</v>
      </c>
      <c r="O189" t="str">
        <f>IFERROR(IF(INDEX(Fall!$1:$1048576,MATCH($A189,Fall!$A:$A,FALSE),MATCH(O$1,Fall!$1:$1,FALSE))="","",INDEX(Fall!$1:$1048576,MATCH($A189,Fall!$A:$A,FALSE),MATCH(O$1,Fall!$1:$1,FALSE))),"")</f>
        <v/>
      </c>
      <c r="P189" t="str">
        <f>IFERROR(IF(INDEX(Fall!$1:$1048576,MATCH($A189,Fall!$A:$A,FALSE),MATCH(P$1,Fall!$1:$1,FALSE))="","",INDEX(Fall!$1:$1048576,MATCH($A189,Fall!$A:$A,FALSE),MATCH(P$1,Fall!$1:$1,FALSE))),"")</f>
        <v>4A</v>
      </c>
    </row>
    <row r="190" spans="1:30" ht="15.75" thickBot="1" x14ac:dyDescent="0.3">
      <c r="A190" s="48" t="s">
        <v>235</v>
      </c>
      <c r="B190" s="49">
        <v>1303</v>
      </c>
      <c r="C190" s="50"/>
      <c r="D190" s="50"/>
      <c r="E190" s="50"/>
      <c r="F190" s="44"/>
      <c r="G190" s="44"/>
      <c r="H190" s="44"/>
      <c r="J190" t="str">
        <f>IFERROR(IF(INDEX(Fall!$1:$1048576,MATCH($A190,Fall!$A:$A,FALSE),MATCH(J$1,Fall!$1:$1,FALSE))="","",INDEX(Fall!$1:$1048576,MATCH($A190,Fall!$A:$A,FALSE),MATCH(J$1,Fall!$1:$1,FALSE))),"")</f>
        <v/>
      </c>
      <c r="K190" t="str">
        <f>IFERROR(IF(INDEX(Fall!$1:$1048576,MATCH($A190,Fall!$A:$A,FALSE),MATCH(K$1,Fall!$1:$1,FALSE))="","",INDEX(Fall!$1:$1048576,MATCH($A190,Fall!$A:$A,FALSE),MATCH(K$1,Fall!$1:$1,FALSE))),"")</f>
        <v/>
      </c>
      <c r="L190" t="str">
        <f>IFERROR(IF(INDEX(Fall!$1:$1048576,MATCH($A190,Fall!$A:$A,FALSE),MATCH(L$1,Fall!$1:$1,FALSE))="","",INDEX(Fall!$1:$1048576,MATCH($A190,Fall!$A:$A,FALSE),MATCH(L$1,Fall!$1:$1,FALSE))),"")</f>
        <v/>
      </c>
      <c r="M190" t="str">
        <f>IFERROR(IF(INDEX(Fall!$1:$1048576,MATCH($A190,Fall!$A:$A,FALSE),MATCH(M$1,Fall!$1:$1,FALSE))="","",INDEX(Fall!$1:$1048576,MATCH($A190,Fall!$A:$A,FALSE),MATCH(M$1,Fall!$1:$1,FALSE))),"")</f>
        <v/>
      </c>
      <c r="N190" t="str">
        <f>IFERROR(IF(INDEX(Fall!$1:$1048576,MATCH($A190,Fall!$A:$A,FALSE),MATCH(N$1,Fall!$1:$1,FALSE))="","",INDEX(Fall!$1:$1048576,MATCH($A190,Fall!$A:$A,FALSE),MATCH(N$1,Fall!$1:$1,FALSE))),"")</f>
        <v>2A</v>
      </c>
      <c r="O190" t="str">
        <f>IFERROR(IF(INDEX(Fall!$1:$1048576,MATCH($A190,Fall!$A:$A,FALSE),MATCH(O$1,Fall!$1:$1,FALSE))="","",INDEX(Fall!$1:$1048576,MATCH($A190,Fall!$A:$A,FALSE),MATCH(O$1,Fall!$1:$1,FALSE))),"")</f>
        <v/>
      </c>
      <c r="P190" t="str">
        <f>IFERROR(IF(INDEX(Fall!$1:$1048576,MATCH($A190,Fall!$A:$A,FALSE),MATCH(P$1,Fall!$1:$1,FALSE))="","",INDEX(Fall!$1:$1048576,MATCH($A190,Fall!$A:$A,FALSE),MATCH(P$1,Fall!$1:$1,FALSE))),"")</f>
        <v/>
      </c>
    </row>
    <row r="191" spans="1:30" ht="23.25" thickBot="1" x14ac:dyDescent="0.3">
      <c r="A191" s="48" t="s">
        <v>1037</v>
      </c>
      <c r="B191" s="49" t="s">
        <v>237</v>
      </c>
      <c r="C191" s="49" t="s">
        <v>997</v>
      </c>
      <c r="D191" s="49">
        <v>1</v>
      </c>
      <c r="E191" s="49">
        <v>1</v>
      </c>
      <c r="F191" s="44"/>
      <c r="G191" s="44"/>
      <c r="H191" s="44"/>
    </row>
    <row r="192" spans="1:30" ht="15.75" thickBot="1" x14ac:dyDescent="0.3">
      <c r="A192" s="48" t="s">
        <v>238</v>
      </c>
      <c r="B192" s="49">
        <v>147</v>
      </c>
      <c r="C192" s="50"/>
      <c r="D192" s="50"/>
      <c r="E192" s="50"/>
      <c r="F192" s="44"/>
      <c r="G192" s="44"/>
      <c r="H192" s="44"/>
    </row>
    <row r="193" spans="1:8" ht="23.25" thickBot="1" x14ac:dyDescent="0.3">
      <c r="A193" s="48" t="s">
        <v>239</v>
      </c>
      <c r="B193" s="49" t="s">
        <v>240</v>
      </c>
      <c r="C193" s="49" t="s">
        <v>1000</v>
      </c>
      <c r="D193" s="50"/>
      <c r="E193" s="50"/>
      <c r="F193" s="44"/>
      <c r="G193" s="44"/>
      <c r="H193" s="44"/>
    </row>
    <row r="194" spans="1:8" ht="23.25" thickBot="1" x14ac:dyDescent="0.3">
      <c r="A194" s="48" t="s">
        <v>241</v>
      </c>
      <c r="B194" s="49" t="s">
        <v>1038</v>
      </c>
      <c r="C194" s="49" t="s">
        <v>997</v>
      </c>
      <c r="D194" s="49">
        <v>1</v>
      </c>
      <c r="E194" s="49">
        <v>3</v>
      </c>
      <c r="F194" s="44"/>
      <c r="G194" s="44"/>
      <c r="H194" s="44"/>
    </row>
    <row r="195" spans="1:8" ht="15.75" thickBot="1" x14ac:dyDescent="0.3">
      <c r="A195" s="48" t="s">
        <v>931</v>
      </c>
      <c r="B195" s="49">
        <v>208</v>
      </c>
      <c r="C195" s="50"/>
      <c r="D195" s="50"/>
      <c r="E195" s="50"/>
      <c r="F195" s="44"/>
      <c r="G195" s="44"/>
      <c r="H195" s="44"/>
    </row>
    <row r="196" spans="1:8" ht="15.75" thickBot="1" x14ac:dyDescent="0.3">
      <c r="A196" s="48" t="s">
        <v>243</v>
      </c>
      <c r="B196" s="49">
        <v>1616</v>
      </c>
      <c r="C196" s="50"/>
      <c r="D196" s="50"/>
      <c r="E196" s="50"/>
      <c r="F196" s="44"/>
      <c r="G196" s="44"/>
      <c r="H196" s="44"/>
    </row>
    <row r="197" spans="1:8" ht="23.25" thickBot="1" x14ac:dyDescent="0.3">
      <c r="A197" s="48" t="s">
        <v>244</v>
      </c>
      <c r="B197" s="49" t="s">
        <v>245</v>
      </c>
      <c r="C197" s="49" t="s">
        <v>997</v>
      </c>
      <c r="D197" s="49">
        <v>1</v>
      </c>
      <c r="E197" s="49">
        <v>3</v>
      </c>
      <c r="F197" s="44"/>
      <c r="G197" s="44"/>
      <c r="H197" s="44"/>
    </row>
    <row r="198" spans="1:8" ht="15.75" thickBot="1" x14ac:dyDescent="0.3">
      <c r="A198" s="48" t="s">
        <v>246</v>
      </c>
      <c r="B198" s="49">
        <v>1089</v>
      </c>
      <c r="C198" s="50"/>
      <c r="D198" s="50"/>
      <c r="E198" s="50"/>
      <c r="F198" s="44"/>
      <c r="G198" s="44"/>
      <c r="H198" s="44"/>
    </row>
    <row r="199" spans="1:8" ht="23.25" thickBot="1" x14ac:dyDescent="0.3">
      <c r="A199" s="48" t="s">
        <v>247</v>
      </c>
      <c r="B199" s="49" t="s">
        <v>1039</v>
      </c>
      <c r="C199" s="49" t="s">
        <v>997</v>
      </c>
      <c r="D199" s="49">
        <v>1</v>
      </c>
      <c r="E199" s="49">
        <v>3</v>
      </c>
      <c r="F199" s="44"/>
      <c r="G199" s="44"/>
      <c r="H199" s="44"/>
    </row>
    <row r="200" spans="1:8" ht="23.25" thickBot="1" x14ac:dyDescent="0.3">
      <c r="A200" s="48" t="s">
        <v>249</v>
      </c>
      <c r="B200" s="49" t="s">
        <v>1040</v>
      </c>
      <c r="C200" s="49" t="s">
        <v>997</v>
      </c>
      <c r="D200" s="49">
        <v>1</v>
      </c>
      <c r="E200" s="49">
        <v>3</v>
      </c>
      <c r="F200" s="44"/>
      <c r="G200" s="44"/>
      <c r="H200" s="44"/>
    </row>
    <row r="201" spans="1:8" ht="23.25" thickBot="1" x14ac:dyDescent="0.3">
      <c r="A201" s="48" t="s">
        <v>251</v>
      </c>
      <c r="B201" s="49" t="s">
        <v>1041</v>
      </c>
      <c r="C201" s="49" t="s">
        <v>1000</v>
      </c>
      <c r="D201" s="50"/>
      <c r="E201" s="50"/>
      <c r="F201" s="44"/>
      <c r="G201" s="44"/>
      <c r="H201" s="44"/>
    </row>
    <row r="202" spans="1:8" ht="23.25" thickBot="1" x14ac:dyDescent="0.3">
      <c r="A202" s="48" t="s">
        <v>255</v>
      </c>
      <c r="B202" s="49" t="s">
        <v>1042</v>
      </c>
      <c r="C202" s="49" t="s">
        <v>1000</v>
      </c>
      <c r="D202" s="50"/>
      <c r="E202" s="50"/>
      <c r="F202" s="44"/>
      <c r="G202" s="44"/>
      <c r="H202" s="44"/>
    </row>
    <row r="203" spans="1:8" ht="23.25" thickBot="1" x14ac:dyDescent="0.3">
      <c r="A203" s="48" t="s">
        <v>257</v>
      </c>
      <c r="B203" s="49" t="s">
        <v>1043</v>
      </c>
      <c r="C203" s="49" t="s">
        <v>1000</v>
      </c>
      <c r="D203" s="50"/>
      <c r="E203" s="50"/>
      <c r="F203" s="44"/>
      <c r="G203" s="44"/>
      <c r="H203" s="44"/>
    </row>
    <row r="204" spans="1:8" ht="23.25" thickBot="1" x14ac:dyDescent="0.3">
      <c r="A204" s="48" t="s">
        <v>258</v>
      </c>
      <c r="B204" s="49" t="s">
        <v>1044</v>
      </c>
      <c r="C204" s="49" t="s">
        <v>1000</v>
      </c>
      <c r="D204" s="50"/>
      <c r="E204" s="50"/>
      <c r="F204" s="44"/>
      <c r="G204" s="44"/>
      <c r="H204" s="44"/>
    </row>
    <row r="205" spans="1:8" ht="23.25" thickBot="1" x14ac:dyDescent="0.3">
      <c r="A205" s="48" t="s">
        <v>932</v>
      </c>
      <c r="B205" s="49" t="s">
        <v>1045</v>
      </c>
      <c r="C205" s="49" t="s">
        <v>1000</v>
      </c>
      <c r="D205" s="50"/>
      <c r="E205" s="50"/>
      <c r="F205" s="44"/>
      <c r="G205" s="44"/>
      <c r="H205" s="44"/>
    </row>
    <row r="206" spans="1:8" ht="23.25" thickBot="1" x14ac:dyDescent="0.3">
      <c r="A206" s="48" t="s">
        <v>260</v>
      </c>
      <c r="B206" s="49" t="s">
        <v>1046</v>
      </c>
      <c r="C206" s="49" t="s">
        <v>1000</v>
      </c>
      <c r="D206" s="50"/>
      <c r="E206" s="50"/>
      <c r="F206" s="44"/>
      <c r="G206" s="44"/>
      <c r="H206" s="44"/>
    </row>
    <row r="207" spans="1:8" ht="23.25" thickBot="1" x14ac:dyDescent="0.3">
      <c r="A207" s="48" t="s">
        <v>262</v>
      </c>
      <c r="B207" s="49" t="s">
        <v>1047</v>
      </c>
      <c r="C207" s="49" t="s">
        <v>1000</v>
      </c>
      <c r="D207" s="50"/>
      <c r="E207" s="50"/>
      <c r="F207" s="44"/>
      <c r="G207" s="44"/>
      <c r="H207" s="44"/>
    </row>
    <row r="208" spans="1:8" ht="23.25" thickBot="1" x14ac:dyDescent="0.3">
      <c r="A208" s="48" t="s">
        <v>263</v>
      </c>
      <c r="B208" s="49" t="s">
        <v>1048</v>
      </c>
      <c r="C208" s="49" t="s">
        <v>1000</v>
      </c>
      <c r="D208" s="50"/>
      <c r="E208" s="50"/>
      <c r="F208" s="44"/>
      <c r="G208" s="44"/>
      <c r="H208" s="44"/>
    </row>
    <row r="209" spans="1:8" ht="23.25" thickBot="1" x14ac:dyDescent="0.3">
      <c r="A209" s="48" t="s">
        <v>265</v>
      </c>
      <c r="B209" s="49" t="s">
        <v>1049</v>
      </c>
      <c r="C209" s="49" t="s">
        <v>1000</v>
      </c>
      <c r="D209" s="50"/>
      <c r="E209" s="50"/>
      <c r="F209" s="44"/>
      <c r="G209" s="44"/>
      <c r="H209" s="44"/>
    </row>
    <row r="210" spans="1:8" ht="23.25" thickBot="1" x14ac:dyDescent="0.3">
      <c r="A210" s="48" t="s">
        <v>267</v>
      </c>
      <c r="B210" s="49" t="s">
        <v>1050</v>
      </c>
      <c r="C210" s="49" t="s">
        <v>1000</v>
      </c>
      <c r="D210" s="50"/>
      <c r="E210" s="50"/>
      <c r="F210" s="44"/>
      <c r="G210" s="44"/>
      <c r="H210" s="44"/>
    </row>
    <row r="211" spans="1:8" ht="23.25" thickBot="1" x14ac:dyDescent="0.3">
      <c r="A211" s="48" t="s">
        <v>269</v>
      </c>
      <c r="B211" s="49" t="s">
        <v>1051</v>
      </c>
      <c r="C211" s="49" t="s">
        <v>1000</v>
      </c>
      <c r="D211" s="50"/>
      <c r="E211" s="50"/>
      <c r="F211" s="44"/>
      <c r="G211" s="44"/>
      <c r="H211" s="44"/>
    </row>
    <row r="212" spans="1:8" ht="23.25" thickBot="1" x14ac:dyDescent="0.3">
      <c r="A212" s="48" t="s">
        <v>271</v>
      </c>
      <c r="B212" s="49" t="s">
        <v>1052</v>
      </c>
      <c r="C212" s="49" t="s">
        <v>1000</v>
      </c>
      <c r="D212" s="50"/>
      <c r="E212" s="50"/>
      <c r="F212" s="44"/>
      <c r="G212" s="44"/>
      <c r="H212" s="44"/>
    </row>
    <row r="213" spans="1:8" ht="23.25" thickBot="1" x14ac:dyDescent="0.3">
      <c r="A213" s="48" t="s">
        <v>273</v>
      </c>
      <c r="B213" s="49" t="s">
        <v>1053</v>
      </c>
      <c r="C213" s="49" t="s">
        <v>1000</v>
      </c>
      <c r="D213" s="50"/>
      <c r="E213" s="50"/>
      <c r="F213" s="44"/>
      <c r="G213" s="44"/>
      <c r="H213" s="44"/>
    </row>
    <row r="214" spans="1:8" ht="23.25" thickBot="1" x14ac:dyDescent="0.3">
      <c r="A214" s="48" t="s">
        <v>275</v>
      </c>
      <c r="B214" s="49" t="s">
        <v>559</v>
      </c>
      <c r="C214" s="49" t="s">
        <v>1000</v>
      </c>
      <c r="D214" s="50"/>
      <c r="E214" s="50"/>
      <c r="F214" s="44"/>
      <c r="G214" s="44"/>
      <c r="H214" s="44"/>
    </row>
    <row r="215" spans="1:8" ht="23.25" thickBot="1" x14ac:dyDescent="0.3">
      <c r="A215" s="48" t="s">
        <v>933</v>
      </c>
      <c r="B215" s="49" t="s">
        <v>1054</v>
      </c>
      <c r="C215" s="49" t="s">
        <v>1000</v>
      </c>
      <c r="D215" s="50"/>
      <c r="E215" s="50"/>
      <c r="F215" s="44"/>
      <c r="G215" s="44"/>
      <c r="H215" s="44"/>
    </row>
    <row r="216" spans="1:8" ht="23.25" thickBot="1" x14ac:dyDescent="0.3">
      <c r="A216" s="48" t="s">
        <v>277</v>
      </c>
      <c r="B216" s="49" t="s">
        <v>1055</v>
      </c>
      <c r="C216" s="49" t="s">
        <v>1000</v>
      </c>
      <c r="D216" s="50"/>
      <c r="E216" s="50"/>
      <c r="F216" s="44"/>
      <c r="G216" s="44"/>
      <c r="H216" s="44"/>
    </row>
    <row r="217" spans="1:8" ht="15.75" thickBot="1" x14ac:dyDescent="0.3">
      <c r="A217" s="48" t="s">
        <v>986</v>
      </c>
      <c r="B217" s="49">
        <v>1015</v>
      </c>
      <c r="C217" s="50"/>
      <c r="D217" s="50"/>
      <c r="E217" s="50"/>
      <c r="F217" s="44"/>
      <c r="G217" s="44"/>
      <c r="H217" s="44"/>
    </row>
    <row r="218" spans="1:8" ht="23.25" thickBot="1" x14ac:dyDescent="0.3">
      <c r="A218" s="48" t="s">
        <v>279</v>
      </c>
      <c r="B218" s="49" t="s">
        <v>1056</v>
      </c>
      <c r="C218" s="49" t="s">
        <v>1000</v>
      </c>
      <c r="D218" s="50"/>
      <c r="E218" s="50"/>
      <c r="F218" s="44"/>
      <c r="G218" s="44"/>
      <c r="H218" s="44"/>
    </row>
    <row r="219" spans="1:8" ht="23.25" thickBot="1" x14ac:dyDescent="0.3">
      <c r="A219" s="48" t="s">
        <v>281</v>
      </c>
      <c r="B219" s="49" t="s">
        <v>1057</v>
      </c>
      <c r="C219" s="49" t="s">
        <v>1000</v>
      </c>
      <c r="D219" s="50"/>
      <c r="E219" s="50"/>
      <c r="F219" s="44"/>
      <c r="G219" s="44"/>
      <c r="H219" s="44"/>
    </row>
    <row r="220" spans="1:8" ht="23.25" thickBot="1" x14ac:dyDescent="0.3">
      <c r="A220" s="48" t="s">
        <v>283</v>
      </c>
      <c r="B220" s="49" t="s">
        <v>1058</v>
      </c>
      <c r="C220" s="49" t="s">
        <v>1000</v>
      </c>
      <c r="D220" s="50"/>
      <c r="E220" s="50"/>
      <c r="F220" s="44"/>
      <c r="G220" s="44"/>
      <c r="H220" s="44"/>
    </row>
    <row r="221" spans="1:8" ht="15.75" thickBot="1" x14ac:dyDescent="0.3">
      <c r="A221" s="48" t="s">
        <v>285</v>
      </c>
      <c r="B221" s="49">
        <v>305</v>
      </c>
      <c r="C221" s="50"/>
      <c r="D221" s="50"/>
      <c r="E221" s="50"/>
      <c r="F221" s="44"/>
      <c r="G221" s="44"/>
      <c r="H221" s="44"/>
    </row>
    <row r="222" spans="1:8" ht="23.25" thickBot="1" x14ac:dyDescent="0.3">
      <c r="A222" s="48" t="s">
        <v>286</v>
      </c>
      <c r="B222" s="49" t="s">
        <v>287</v>
      </c>
      <c r="C222" s="49" t="s">
        <v>997</v>
      </c>
      <c r="D222" s="49">
        <v>1</v>
      </c>
      <c r="E222" s="49">
        <v>2</v>
      </c>
      <c r="F222" s="44"/>
      <c r="G222" s="44"/>
      <c r="H222" s="44"/>
    </row>
    <row r="223" spans="1:8" ht="23.25" thickBot="1" x14ac:dyDescent="0.3">
      <c r="A223" s="48" t="s">
        <v>288</v>
      </c>
      <c r="B223" s="49" t="s">
        <v>1059</v>
      </c>
      <c r="C223" s="49" t="s">
        <v>1000</v>
      </c>
      <c r="D223" s="50"/>
      <c r="E223" s="50"/>
      <c r="F223" s="44"/>
      <c r="G223" s="44"/>
      <c r="H223" s="44"/>
    </row>
    <row r="224" spans="1:8" ht="23.25" thickBot="1" x14ac:dyDescent="0.3">
      <c r="A224" s="48" t="s">
        <v>935</v>
      </c>
      <c r="B224" s="49" t="s">
        <v>1060</v>
      </c>
      <c r="C224" s="49" t="s">
        <v>1000</v>
      </c>
      <c r="D224" s="50"/>
      <c r="E224" s="50"/>
      <c r="F224" s="44"/>
      <c r="G224" s="44"/>
      <c r="H224" s="44"/>
    </row>
    <row r="225" spans="1:8" ht="23.25" thickBot="1" x14ac:dyDescent="0.3">
      <c r="A225" s="48" t="s">
        <v>290</v>
      </c>
      <c r="B225" s="49" t="s">
        <v>1061</v>
      </c>
      <c r="C225" s="49" t="s">
        <v>1000</v>
      </c>
      <c r="D225" s="50"/>
      <c r="E225" s="50"/>
      <c r="F225" s="44"/>
      <c r="G225" s="44"/>
      <c r="H225" s="44"/>
    </row>
    <row r="226" spans="1:8" ht="15.75" thickBot="1" x14ac:dyDescent="0.3">
      <c r="A226" s="48" t="s">
        <v>292</v>
      </c>
      <c r="B226" s="49">
        <v>408</v>
      </c>
      <c r="C226" s="50"/>
      <c r="D226" s="50"/>
      <c r="E226" s="50"/>
      <c r="F226" s="44"/>
      <c r="G226" s="44"/>
      <c r="H226" s="44"/>
    </row>
    <row r="227" spans="1:8" ht="23.25" thickBot="1" x14ac:dyDescent="0.3">
      <c r="A227" s="48" t="s">
        <v>937</v>
      </c>
      <c r="B227" s="49" t="s">
        <v>1062</v>
      </c>
      <c r="C227" s="49" t="s">
        <v>1000</v>
      </c>
      <c r="D227" s="50"/>
      <c r="E227" s="50"/>
      <c r="F227" s="44"/>
      <c r="G227" s="44"/>
      <c r="H227" s="44"/>
    </row>
    <row r="228" spans="1:8" ht="23.25" thickBot="1" x14ac:dyDescent="0.3">
      <c r="A228" s="48" t="s">
        <v>293</v>
      </c>
      <c r="B228" s="49" t="s">
        <v>1063</v>
      </c>
      <c r="C228" s="49" t="s">
        <v>1000</v>
      </c>
      <c r="D228" s="50"/>
      <c r="E228" s="50"/>
      <c r="F228" s="44"/>
      <c r="G228" s="44"/>
      <c r="H228" s="44"/>
    </row>
    <row r="229" spans="1:8" ht="15.75" thickBot="1" x14ac:dyDescent="0.3">
      <c r="A229" s="48" t="s">
        <v>295</v>
      </c>
      <c r="B229" s="49" t="s">
        <v>296</v>
      </c>
      <c r="C229" s="49" t="s">
        <v>997</v>
      </c>
      <c r="D229" s="49">
        <v>1</v>
      </c>
      <c r="E229" s="49">
        <v>2</v>
      </c>
      <c r="F229" s="44"/>
      <c r="G229" s="44"/>
      <c r="H229" s="44"/>
    </row>
    <row r="230" spans="1:8" ht="23.25" thickBot="1" x14ac:dyDescent="0.3">
      <c r="A230" s="48" t="s">
        <v>297</v>
      </c>
      <c r="B230" s="49" t="s">
        <v>1064</v>
      </c>
      <c r="C230" s="49" t="s">
        <v>997</v>
      </c>
      <c r="D230" s="49">
        <v>1</v>
      </c>
      <c r="E230" s="49">
        <v>1</v>
      </c>
      <c r="F230" s="44"/>
      <c r="G230" s="44"/>
      <c r="H230" s="44"/>
    </row>
    <row r="231" spans="1:8" ht="15.75" thickBot="1" x14ac:dyDescent="0.3">
      <c r="A231" s="48" t="s">
        <v>299</v>
      </c>
      <c r="B231" s="49">
        <v>305</v>
      </c>
      <c r="C231" s="50"/>
      <c r="D231" s="50"/>
      <c r="E231" s="50"/>
      <c r="F231" s="44"/>
      <c r="G231" s="44"/>
      <c r="H231" s="44"/>
    </row>
    <row r="232" spans="1:8" ht="23.25" thickBot="1" x14ac:dyDescent="0.3">
      <c r="A232" s="48" t="s">
        <v>300</v>
      </c>
      <c r="B232" s="49" t="s">
        <v>1065</v>
      </c>
      <c r="C232" s="49" t="s">
        <v>1000</v>
      </c>
      <c r="D232" s="50"/>
      <c r="E232" s="50"/>
      <c r="F232" s="44"/>
      <c r="G232" s="44"/>
      <c r="H232" s="44"/>
    </row>
    <row r="233" spans="1:8" ht="15.75" thickBot="1" x14ac:dyDescent="0.3">
      <c r="A233" s="48" t="s">
        <v>302</v>
      </c>
      <c r="B233" s="49">
        <v>1040</v>
      </c>
      <c r="C233" s="50"/>
      <c r="D233" s="50"/>
      <c r="E233" s="50"/>
      <c r="F233" s="44"/>
      <c r="G233" s="44"/>
      <c r="H233" s="44"/>
    </row>
    <row r="234" spans="1:8" ht="15.75" thickBot="1" x14ac:dyDescent="0.3">
      <c r="A234" s="48" t="s">
        <v>303</v>
      </c>
      <c r="B234" s="49">
        <v>1124</v>
      </c>
      <c r="C234" s="50"/>
      <c r="D234" s="50"/>
      <c r="E234" s="50"/>
      <c r="F234" s="44"/>
      <c r="G234" s="44"/>
      <c r="H234" s="44"/>
    </row>
    <row r="235" spans="1:8" ht="15.75" thickBot="1" x14ac:dyDescent="0.3">
      <c r="A235" s="48" t="s">
        <v>304</v>
      </c>
      <c r="B235" s="49">
        <v>1476</v>
      </c>
      <c r="C235" s="50"/>
      <c r="D235" s="50"/>
      <c r="E235" s="50"/>
      <c r="F235" s="44"/>
      <c r="G235" s="44"/>
      <c r="H235" s="44"/>
    </row>
    <row r="236" spans="1:8" ht="23.25" thickBot="1" x14ac:dyDescent="0.3">
      <c r="A236" s="48" t="s">
        <v>305</v>
      </c>
      <c r="B236" s="49" t="s">
        <v>1066</v>
      </c>
      <c r="C236" s="49" t="s">
        <v>1000</v>
      </c>
      <c r="D236" s="50"/>
      <c r="E236" s="50"/>
      <c r="F236" s="44"/>
      <c r="G236" s="44"/>
      <c r="H236" s="44"/>
    </row>
    <row r="237" spans="1:8" ht="15.75" thickBot="1" x14ac:dyDescent="0.3">
      <c r="A237" s="48" t="s">
        <v>307</v>
      </c>
      <c r="B237" s="49">
        <v>1238</v>
      </c>
      <c r="C237" s="50"/>
      <c r="D237" s="50"/>
      <c r="E237" s="50"/>
      <c r="F237" s="44"/>
      <c r="G237" s="44"/>
      <c r="H237" s="44"/>
    </row>
    <row r="238" spans="1:8" ht="23.25" thickBot="1" x14ac:dyDescent="0.3">
      <c r="A238" s="48" t="s">
        <v>308</v>
      </c>
      <c r="B238" s="49" t="s">
        <v>1067</v>
      </c>
      <c r="C238" s="49" t="s">
        <v>1000</v>
      </c>
      <c r="D238" s="50"/>
      <c r="E238" s="50"/>
      <c r="F238" s="44"/>
      <c r="G238" s="44"/>
      <c r="H238" s="44"/>
    </row>
    <row r="239" spans="1:8" ht="15.75" thickBot="1" x14ac:dyDescent="0.3">
      <c r="A239" s="48" t="s">
        <v>987</v>
      </c>
      <c r="B239" s="49" t="s">
        <v>1068</v>
      </c>
      <c r="C239" s="49" t="s">
        <v>1000</v>
      </c>
      <c r="D239" s="50"/>
      <c r="E239" s="50"/>
      <c r="F239" s="44"/>
      <c r="G239" s="44"/>
      <c r="H239" s="44"/>
    </row>
    <row r="240" spans="1:8" ht="23.25" thickBot="1" x14ac:dyDescent="0.3">
      <c r="A240" s="48" t="s">
        <v>939</v>
      </c>
      <c r="B240" s="49" t="s">
        <v>940</v>
      </c>
      <c r="C240" s="49" t="s">
        <v>997</v>
      </c>
      <c r="D240" s="49">
        <v>1</v>
      </c>
      <c r="E240" s="49">
        <v>3</v>
      </c>
      <c r="F240" s="44"/>
      <c r="G240" s="44"/>
      <c r="H240" s="44"/>
    </row>
    <row r="241" spans="1:8" ht="23.25" thickBot="1" x14ac:dyDescent="0.3">
      <c r="A241" s="48" t="s">
        <v>310</v>
      </c>
      <c r="B241" s="49" t="s">
        <v>1069</v>
      </c>
      <c r="C241" s="49" t="s">
        <v>997</v>
      </c>
      <c r="D241" s="49">
        <v>1</v>
      </c>
      <c r="E241" s="49">
        <v>2</v>
      </c>
      <c r="F241" s="44"/>
      <c r="G241" s="44"/>
      <c r="H241" s="44"/>
    </row>
    <row r="242" spans="1:8" ht="23.25" thickBot="1" x14ac:dyDescent="0.3">
      <c r="A242" s="48" t="s">
        <v>312</v>
      </c>
      <c r="B242" s="49" t="s">
        <v>1070</v>
      </c>
      <c r="C242" s="49" t="s">
        <v>997</v>
      </c>
      <c r="D242" s="49">
        <v>1</v>
      </c>
      <c r="E242" s="49">
        <v>1</v>
      </c>
      <c r="F242" s="44"/>
      <c r="G242" s="44"/>
      <c r="H242" s="44"/>
    </row>
    <row r="243" spans="1:8" ht="23.25" thickBot="1" x14ac:dyDescent="0.3">
      <c r="A243" s="48" t="s">
        <v>314</v>
      </c>
      <c r="B243" s="49" t="s">
        <v>999</v>
      </c>
      <c r="C243" s="49" t="s">
        <v>997</v>
      </c>
      <c r="D243" s="49">
        <v>1</v>
      </c>
      <c r="E243" s="49">
        <v>3</v>
      </c>
      <c r="F243" s="44"/>
      <c r="G243" s="44"/>
      <c r="H243" s="44"/>
    </row>
    <row r="244" spans="1:8" ht="15.75" thickBot="1" x14ac:dyDescent="0.3">
      <c r="A244" s="48" t="s">
        <v>316</v>
      </c>
      <c r="B244" s="49">
        <v>717</v>
      </c>
      <c r="C244" s="50"/>
      <c r="D244" s="50"/>
      <c r="E244" s="50"/>
      <c r="F244" s="44"/>
      <c r="G244" s="44"/>
      <c r="H244" s="44"/>
    </row>
    <row r="245" spans="1:8" ht="15.75" thickBot="1" x14ac:dyDescent="0.3">
      <c r="A245" s="48" t="s">
        <v>317</v>
      </c>
      <c r="B245" s="49">
        <v>4037</v>
      </c>
      <c r="C245" s="50"/>
      <c r="D245" s="50"/>
      <c r="E245" s="50"/>
      <c r="F245" s="44"/>
      <c r="G245" s="44"/>
      <c r="H245" s="44"/>
    </row>
    <row r="246" spans="1:8" ht="15.75" thickBot="1" x14ac:dyDescent="0.3">
      <c r="A246" s="48" t="s">
        <v>941</v>
      </c>
      <c r="B246" s="49">
        <v>253</v>
      </c>
      <c r="C246" s="50"/>
      <c r="D246" s="50"/>
      <c r="E246" s="50"/>
      <c r="F246" s="44"/>
      <c r="G246" s="44"/>
      <c r="H246" s="44"/>
    </row>
    <row r="247" spans="1:8" ht="23.25" thickBot="1" x14ac:dyDescent="0.3">
      <c r="A247" s="48" t="s">
        <v>318</v>
      </c>
      <c r="B247" s="49" t="s">
        <v>319</v>
      </c>
      <c r="C247" s="49" t="s">
        <v>1004</v>
      </c>
      <c r="D247" s="50"/>
      <c r="E247" s="50"/>
      <c r="F247" s="44"/>
      <c r="G247" s="44"/>
      <c r="H247" s="44"/>
    </row>
    <row r="248" spans="1:8" ht="23.25" thickBot="1" x14ac:dyDescent="0.3">
      <c r="A248" s="48" t="s">
        <v>320</v>
      </c>
      <c r="B248" s="49" t="s">
        <v>1071</v>
      </c>
      <c r="C248" s="49" t="s">
        <v>997</v>
      </c>
      <c r="D248" s="49">
        <v>1</v>
      </c>
      <c r="E248" s="49">
        <v>3</v>
      </c>
      <c r="F248" s="44"/>
      <c r="G248" s="44"/>
      <c r="H248" s="44"/>
    </row>
    <row r="249" spans="1:8" ht="23.25" thickBot="1" x14ac:dyDescent="0.3">
      <c r="A249" s="48" t="s">
        <v>322</v>
      </c>
      <c r="B249" s="49" t="s">
        <v>1072</v>
      </c>
      <c r="C249" s="49" t="s">
        <v>1000</v>
      </c>
      <c r="D249" s="50"/>
      <c r="E249" s="50"/>
      <c r="F249" s="44"/>
      <c r="G249" s="44"/>
      <c r="H249" s="44"/>
    </row>
    <row r="250" spans="1:8" ht="23.25" thickBot="1" x14ac:dyDescent="0.3">
      <c r="A250" s="48" t="s">
        <v>324</v>
      </c>
      <c r="B250" s="49" t="s">
        <v>908</v>
      </c>
      <c r="C250" s="49" t="s">
        <v>1000</v>
      </c>
      <c r="D250" s="50"/>
      <c r="E250" s="50"/>
      <c r="F250" s="44"/>
      <c r="G250" s="44"/>
      <c r="H250" s="44"/>
    </row>
    <row r="251" spans="1:8" ht="23.25" thickBot="1" x14ac:dyDescent="0.3">
      <c r="A251" s="48" t="s">
        <v>326</v>
      </c>
      <c r="B251" s="49" t="s">
        <v>1073</v>
      </c>
      <c r="C251" s="49" t="s">
        <v>1000</v>
      </c>
      <c r="D251" s="50"/>
      <c r="E251" s="50"/>
      <c r="F251" s="44"/>
      <c r="G251" s="44"/>
      <c r="H251" s="44"/>
    </row>
    <row r="252" spans="1:8" ht="15.75" thickBot="1" x14ac:dyDescent="0.3">
      <c r="A252" s="48" t="s">
        <v>989</v>
      </c>
      <c r="B252" s="49" t="s">
        <v>990</v>
      </c>
      <c r="C252" s="49" t="s">
        <v>997</v>
      </c>
      <c r="D252" s="49">
        <v>1</v>
      </c>
      <c r="E252" s="49">
        <v>1</v>
      </c>
      <c r="F252" s="44"/>
      <c r="G252" s="44"/>
      <c r="H252" s="44"/>
    </row>
    <row r="253" spans="1:8" ht="15.75" thickBot="1" x14ac:dyDescent="0.3">
      <c r="A253" s="48" t="s">
        <v>328</v>
      </c>
      <c r="B253" s="49">
        <v>1464</v>
      </c>
      <c r="C253" s="50"/>
      <c r="D253" s="50"/>
      <c r="E253" s="50"/>
      <c r="F253" s="44"/>
      <c r="G253" s="44"/>
      <c r="H253" s="44"/>
    </row>
    <row r="254" spans="1:8" ht="15.75" thickBot="1" x14ac:dyDescent="0.3">
      <c r="A254" s="48" t="s">
        <v>942</v>
      </c>
      <c r="B254" s="49">
        <v>364</v>
      </c>
      <c r="C254" s="50"/>
      <c r="D254" s="50"/>
      <c r="E254" s="50"/>
      <c r="F254" s="44"/>
      <c r="G254" s="44"/>
      <c r="H254" s="44"/>
    </row>
    <row r="255" spans="1:8" ht="23.25" thickBot="1" x14ac:dyDescent="0.3">
      <c r="A255" s="48" t="s">
        <v>329</v>
      </c>
      <c r="B255" s="49" t="s">
        <v>1074</v>
      </c>
      <c r="C255" s="49" t="s">
        <v>1000</v>
      </c>
      <c r="D255" s="50"/>
      <c r="E255" s="50"/>
      <c r="F255" s="44"/>
      <c r="G255" s="44"/>
      <c r="H255" s="44"/>
    </row>
    <row r="256" spans="1:8" ht="23.25" thickBot="1" x14ac:dyDescent="0.3">
      <c r="A256" s="48" t="s">
        <v>331</v>
      </c>
      <c r="B256" s="49" t="s">
        <v>1075</v>
      </c>
      <c r="C256" s="49" t="s">
        <v>1000</v>
      </c>
      <c r="D256" s="50"/>
      <c r="E256" s="50"/>
      <c r="F256" s="44"/>
      <c r="G256" s="44"/>
      <c r="H256" s="44"/>
    </row>
    <row r="257" spans="1:8" ht="23.25" thickBot="1" x14ac:dyDescent="0.3">
      <c r="A257" s="48" t="s">
        <v>333</v>
      </c>
      <c r="B257" s="49" t="s">
        <v>334</v>
      </c>
      <c r="C257" s="49" t="s">
        <v>997</v>
      </c>
      <c r="D257" s="49">
        <v>1</v>
      </c>
      <c r="E257" s="49">
        <v>2</v>
      </c>
      <c r="F257" s="44"/>
      <c r="G257" s="44"/>
      <c r="H257" s="44"/>
    </row>
    <row r="258" spans="1:8" ht="15.75" thickBot="1" x14ac:dyDescent="0.3">
      <c r="A258" s="48" t="s">
        <v>335</v>
      </c>
      <c r="B258" s="49">
        <v>3041</v>
      </c>
      <c r="C258" s="50"/>
      <c r="D258" s="50"/>
      <c r="E258" s="50"/>
      <c r="F258" s="44"/>
      <c r="G258" s="44"/>
      <c r="H258" s="44"/>
    </row>
    <row r="259" spans="1:8" ht="23.25" thickBot="1" x14ac:dyDescent="0.3">
      <c r="A259" s="48" t="s">
        <v>336</v>
      </c>
      <c r="B259" s="49" t="s">
        <v>1076</v>
      </c>
      <c r="C259" s="49" t="s">
        <v>997</v>
      </c>
      <c r="D259" s="49">
        <v>3</v>
      </c>
      <c r="E259" s="49">
        <v>8</v>
      </c>
      <c r="F259" s="44"/>
      <c r="G259" s="44"/>
      <c r="H259" s="44"/>
    </row>
    <row r="260" spans="1:8" ht="15.75" thickBot="1" x14ac:dyDescent="0.3">
      <c r="A260" s="48" t="s">
        <v>338</v>
      </c>
      <c r="B260" s="49">
        <v>649</v>
      </c>
      <c r="C260" s="50"/>
      <c r="D260" s="50"/>
      <c r="E260" s="50"/>
      <c r="F260" s="44"/>
      <c r="G260" s="44"/>
      <c r="H260" s="44"/>
    </row>
    <row r="261" spans="1:8" ht="15.75" thickBot="1" x14ac:dyDescent="0.3">
      <c r="A261" s="48" t="s">
        <v>339</v>
      </c>
      <c r="B261" s="49">
        <v>92</v>
      </c>
      <c r="C261" s="50"/>
      <c r="D261" s="50"/>
      <c r="E261" s="50"/>
      <c r="F261" s="44"/>
      <c r="G261" s="44"/>
      <c r="H261" s="44"/>
    </row>
    <row r="262" spans="1:8" ht="15.75" thickBot="1" x14ac:dyDescent="0.3">
      <c r="A262" s="48" t="s">
        <v>340</v>
      </c>
      <c r="B262" s="49">
        <v>206</v>
      </c>
      <c r="C262" s="50"/>
      <c r="D262" s="50"/>
      <c r="E262" s="50"/>
      <c r="F262" s="44"/>
      <c r="G262" s="44"/>
      <c r="H262" s="44"/>
    </row>
    <row r="263" spans="1:8" ht="15.75" thickBot="1" x14ac:dyDescent="0.3">
      <c r="A263" s="48" t="s">
        <v>341</v>
      </c>
      <c r="B263" s="49">
        <v>103</v>
      </c>
      <c r="C263" s="50"/>
      <c r="D263" s="50"/>
      <c r="E263" s="50"/>
      <c r="F263" s="44"/>
      <c r="G263" s="44"/>
      <c r="H263" s="44"/>
    </row>
    <row r="264" spans="1:8" ht="15.75" thickBot="1" x14ac:dyDescent="0.3">
      <c r="A264" s="48" t="s">
        <v>342</v>
      </c>
      <c r="B264" s="49">
        <v>98</v>
      </c>
      <c r="C264" s="50"/>
      <c r="D264" s="50"/>
      <c r="E264" s="50"/>
      <c r="F264" s="44"/>
      <c r="G264" s="44"/>
      <c r="H264" s="44"/>
    </row>
    <row r="265" spans="1:8" ht="15.75" thickBot="1" x14ac:dyDescent="0.3">
      <c r="A265" s="48" t="s">
        <v>343</v>
      </c>
      <c r="B265" s="49">
        <v>278</v>
      </c>
      <c r="C265" s="50"/>
      <c r="D265" s="50"/>
      <c r="E265" s="50"/>
      <c r="F265" s="44"/>
      <c r="G265" s="44"/>
      <c r="H265" s="44"/>
    </row>
    <row r="266" spans="1:8" ht="15.75" thickBot="1" x14ac:dyDescent="0.3">
      <c r="A266" s="48" t="s">
        <v>344</v>
      </c>
      <c r="B266" s="49">
        <v>504</v>
      </c>
      <c r="C266" s="50"/>
      <c r="D266" s="50"/>
      <c r="E266" s="50"/>
      <c r="F266" s="44"/>
      <c r="G266" s="44"/>
      <c r="H266" s="44"/>
    </row>
    <row r="267" spans="1:8" ht="15.75" thickBot="1" x14ac:dyDescent="0.3">
      <c r="A267" s="48" t="s">
        <v>345</v>
      </c>
      <c r="B267" s="49">
        <v>642</v>
      </c>
      <c r="C267" s="50"/>
      <c r="D267" s="50"/>
      <c r="E267" s="50"/>
      <c r="F267" s="44"/>
      <c r="G267" s="44"/>
      <c r="H267" s="44"/>
    </row>
    <row r="268" spans="1:8" ht="15.75" thickBot="1" x14ac:dyDescent="0.3">
      <c r="A268" s="48" t="s">
        <v>346</v>
      </c>
      <c r="B268" s="49">
        <v>134</v>
      </c>
      <c r="C268" s="50"/>
      <c r="D268" s="50"/>
      <c r="E268" s="50"/>
      <c r="F268" s="44"/>
      <c r="G268" s="44"/>
      <c r="H268" s="44"/>
    </row>
    <row r="269" spans="1:8" ht="15.75" thickBot="1" x14ac:dyDescent="0.3">
      <c r="A269" s="48" t="s">
        <v>347</v>
      </c>
      <c r="B269" s="49">
        <v>166</v>
      </c>
      <c r="C269" s="50"/>
      <c r="D269" s="50"/>
      <c r="E269" s="50"/>
      <c r="F269" s="44"/>
      <c r="G269" s="44"/>
      <c r="H269" s="44"/>
    </row>
    <row r="270" spans="1:8" ht="15.75" thickBot="1" x14ac:dyDescent="0.3">
      <c r="A270" s="48" t="s">
        <v>348</v>
      </c>
      <c r="B270" s="49">
        <v>1947</v>
      </c>
      <c r="C270" s="50"/>
      <c r="D270" s="50"/>
      <c r="E270" s="50"/>
      <c r="F270" s="44"/>
      <c r="G270" s="44"/>
      <c r="H270" s="44"/>
    </row>
    <row r="271" spans="1:8" ht="15.75" thickBot="1" x14ac:dyDescent="0.3">
      <c r="A271" s="48" t="s">
        <v>349</v>
      </c>
      <c r="B271" s="49">
        <v>601</v>
      </c>
      <c r="C271" s="50"/>
      <c r="D271" s="50"/>
      <c r="E271" s="50"/>
      <c r="F271" s="44"/>
      <c r="G271" s="44"/>
      <c r="H271" s="44"/>
    </row>
    <row r="272" spans="1:8" ht="15.75" thickBot="1" x14ac:dyDescent="0.3">
      <c r="A272" s="48" t="s">
        <v>350</v>
      </c>
      <c r="B272" s="49">
        <v>120</v>
      </c>
      <c r="C272" s="50"/>
      <c r="D272" s="50"/>
      <c r="E272" s="50"/>
      <c r="F272" s="44"/>
      <c r="G272" s="44"/>
      <c r="H272" s="44"/>
    </row>
    <row r="273" spans="1:8" ht="15.75" thickBot="1" x14ac:dyDescent="0.3">
      <c r="A273" s="48" t="s">
        <v>351</v>
      </c>
      <c r="B273" s="49">
        <v>1035</v>
      </c>
      <c r="C273" s="50"/>
      <c r="D273" s="50"/>
      <c r="E273" s="50"/>
      <c r="F273" s="44"/>
      <c r="G273" s="44"/>
      <c r="H273" s="44"/>
    </row>
    <row r="274" spans="1:8" ht="15.75" thickBot="1" x14ac:dyDescent="0.3">
      <c r="A274" s="48" t="s">
        <v>352</v>
      </c>
      <c r="B274" s="49">
        <v>91</v>
      </c>
      <c r="C274" s="50"/>
      <c r="D274" s="50"/>
      <c r="E274" s="50"/>
      <c r="F274" s="44"/>
      <c r="G274" s="44"/>
      <c r="H274" s="44"/>
    </row>
    <row r="275" spans="1:8" ht="15.75" thickBot="1" x14ac:dyDescent="0.3">
      <c r="A275" s="48" t="s">
        <v>353</v>
      </c>
      <c r="B275" s="49">
        <v>1486</v>
      </c>
      <c r="C275" s="50"/>
      <c r="D275" s="50"/>
      <c r="E275" s="50"/>
      <c r="F275" s="44"/>
      <c r="G275" s="44"/>
      <c r="H275" s="44"/>
    </row>
    <row r="276" spans="1:8" ht="15.75" thickBot="1" x14ac:dyDescent="0.3">
      <c r="A276" s="48" t="s">
        <v>354</v>
      </c>
      <c r="B276" s="49" t="s">
        <v>355</v>
      </c>
      <c r="C276" s="49" t="s">
        <v>997</v>
      </c>
      <c r="D276" s="49">
        <v>3</v>
      </c>
      <c r="E276" s="49">
        <v>9</v>
      </c>
      <c r="F276" s="44"/>
      <c r="G276" s="44"/>
      <c r="H276" s="44"/>
    </row>
    <row r="277" spans="1:8" ht="15.75" thickBot="1" x14ac:dyDescent="0.3">
      <c r="A277" s="48" t="s">
        <v>356</v>
      </c>
      <c r="B277" s="49">
        <v>1404</v>
      </c>
      <c r="C277" s="50"/>
      <c r="D277" s="50"/>
      <c r="E277" s="50"/>
      <c r="F277" s="44"/>
      <c r="G277" s="44"/>
      <c r="H277" s="44"/>
    </row>
    <row r="278" spans="1:8" ht="15.75" thickBot="1" x14ac:dyDescent="0.3">
      <c r="A278" s="48" t="s">
        <v>357</v>
      </c>
      <c r="B278" s="49">
        <v>1101</v>
      </c>
      <c r="C278" s="50"/>
      <c r="D278" s="50"/>
      <c r="E278" s="50"/>
      <c r="F278" s="44"/>
      <c r="G278" s="44"/>
      <c r="H278" s="44"/>
    </row>
    <row r="279" spans="1:8" ht="15.75" thickBot="1" x14ac:dyDescent="0.3">
      <c r="A279" s="48" t="s">
        <v>358</v>
      </c>
      <c r="B279" s="49">
        <v>1255</v>
      </c>
      <c r="C279" s="50"/>
      <c r="D279" s="50"/>
      <c r="E279" s="50"/>
      <c r="F279" s="44"/>
      <c r="G279" s="44"/>
      <c r="H279" s="44"/>
    </row>
    <row r="280" spans="1:8" ht="15.75" thickBot="1" x14ac:dyDescent="0.3">
      <c r="A280" s="48" t="s">
        <v>359</v>
      </c>
      <c r="B280" s="49">
        <v>121</v>
      </c>
      <c r="C280" s="50"/>
      <c r="D280" s="50"/>
      <c r="E280" s="50"/>
      <c r="F280" s="44"/>
      <c r="G280" s="44"/>
      <c r="H280" s="44"/>
    </row>
    <row r="281" spans="1:8" ht="15.75" thickBot="1" x14ac:dyDescent="0.3">
      <c r="A281" s="48" t="s">
        <v>360</v>
      </c>
      <c r="B281" s="49">
        <v>97</v>
      </c>
      <c r="C281" s="50"/>
      <c r="D281" s="50"/>
      <c r="E281" s="50"/>
      <c r="F281" s="44"/>
      <c r="G281" s="44"/>
      <c r="H281" s="44"/>
    </row>
    <row r="282" spans="1:8" ht="15.75" thickBot="1" x14ac:dyDescent="0.3">
      <c r="A282" s="48" t="s">
        <v>361</v>
      </c>
      <c r="B282" s="49">
        <v>241</v>
      </c>
      <c r="C282" s="50"/>
      <c r="D282" s="50"/>
      <c r="E282" s="50"/>
      <c r="F282" s="44"/>
      <c r="G282" s="44"/>
      <c r="H282" s="44"/>
    </row>
    <row r="283" spans="1:8" ht="15.75" thickBot="1" x14ac:dyDescent="0.3">
      <c r="A283" s="48" t="s">
        <v>362</v>
      </c>
      <c r="B283" s="49">
        <v>1269</v>
      </c>
      <c r="C283" s="50"/>
      <c r="D283" s="50"/>
      <c r="E283" s="50"/>
      <c r="F283" s="44"/>
      <c r="G283" s="44"/>
      <c r="H283" s="44"/>
    </row>
    <row r="284" spans="1:8" ht="15.75" thickBot="1" x14ac:dyDescent="0.3">
      <c r="A284" s="48" t="s">
        <v>363</v>
      </c>
      <c r="B284" s="49" t="s">
        <v>364</v>
      </c>
      <c r="C284" s="49" t="s">
        <v>997</v>
      </c>
      <c r="D284" s="49">
        <v>5</v>
      </c>
      <c r="E284" s="49">
        <v>13</v>
      </c>
      <c r="F284" s="44"/>
      <c r="G284" s="44"/>
      <c r="H284" s="44"/>
    </row>
    <row r="285" spans="1:8" ht="15.75" thickBot="1" x14ac:dyDescent="0.3">
      <c r="A285" s="48" t="s">
        <v>365</v>
      </c>
      <c r="B285" s="49">
        <v>1341</v>
      </c>
      <c r="C285" s="50"/>
      <c r="D285" s="50"/>
      <c r="E285" s="50"/>
      <c r="F285" s="44"/>
      <c r="G285" s="44"/>
      <c r="H285" s="44"/>
    </row>
    <row r="286" spans="1:8" ht="15.75" thickBot="1" x14ac:dyDescent="0.3">
      <c r="A286" s="48" t="s">
        <v>366</v>
      </c>
      <c r="B286" s="49">
        <v>846</v>
      </c>
      <c r="C286" s="50"/>
      <c r="D286" s="50"/>
      <c r="E286" s="50"/>
      <c r="F286" s="44"/>
      <c r="G286" s="44"/>
      <c r="H286" s="44"/>
    </row>
    <row r="287" spans="1:8" ht="15.75" thickBot="1" x14ac:dyDescent="0.3">
      <c r="A287" s="48" t="s">
        <v>367</v>
      </c>
      <c r="B287" s="49">
        <v>1022</v>
      </c>
      <c r="C287" s="50"/>
      <c r="D287" s="50"/>
      <c r="E287" s="50"/>
      <c r="F287" s="44"/>
      <c r="G287" s="44"/>
      <c r="H287" s="44"/>
    </row>
    <row r="288" spans="1:8" ht="23.25" thickBot="1" x14ac:dyDescent="0.3">
      <c r="A288" s="48" t="s">
        <v>368</v>
      </c>
      <c r="B288" s="49" t="s">
        <v>369</v>
      </c>
      <c r="C288" s="49" t="s">
        <v>997</v>
      </c>
      <c r="D288" s="49">
        <v>5</v>
      </c>
      <c r="E288" s="49">
        <v>15</v>
      </c>
      <c r="F288" s="44"/>
      <c r="G288" s="44"/>
      <c r="H288" s="44"/>
    </row>
    <row r="289" spans="1:8" ht="23.25" thickBot="1" x14ac:dyDescent="0.3">
      <c r="A289" s="48" t="s">
        <v>370</v>
      </c>
      <c r="B289" s="49" t="s">
        <v>371</v>
      </c>
      <c r="C289" s="49" t="s">
        <v>997</v>
      </c>
      <c r="D289" s="49">
        <v>5</v>
      </c>
      <c r="E289" s="49">
        <v>15</v>
      </c>
      <c r="F289" s="44"/>
      <c r="G289" s="44"/>
      <c r="H289" s="44"/>
    </row>
    <row r="290" spans="1:8" ht="15.75" thickBot="1" x14ac:dyDescent="0.3">
      <c r="A290" s="48" t="s">
        <v>372</v>
      </c>
      <c r="B290" s="49">
        <v>1443</v>
      </c>
      <c r="C290" s="50"/>
      <c r="D290" s="50"/>
      <c r="E290" s="50"/>
      <c r="F290" s="44"/>
      <c r="G290" s="44"/>
      <c r="H290" s="44"/>
    </row>
    <row r="291" spans="1:8" ht="23.25" thickBot="1" x14ac:dyDescent="0.3">
      <c r="A291" s="48" t="s">
        <v>373</v>
      </c>
      <c r="B291" s="49" t="s">
        <v>374</v>
      </c>
      <c r="C291" s="49" t="s">
        <v>997</v>
      </c>
      <c r="D291" s="49">
        <v>2</v>
      </c>
      <c r="E291" s="49">
        <v>4</v>
      </c>
      <c r="F291" s="44"/>
      <c r="G291" s="44"/>
      <c r="H291" s="44"/>
    </row>
    <row r="292" spans="1:8" ht="15.75" thickBot="1" x14ac:dyDescent="0.3">
      <c r="A292" s="48" t="s">
        <v>375</v>
      </c>
      <c r="B292" s="49">
        <v>2117</v>
      </c>
      <c r="C292" s="50"/>
      <c r="D292" s="50"/>
      <c r="E292" s="50"/>
      <c r="F292" s="44"/>
      <c r="G292" s="44"/>
      <c r="H292" s="44"/>
    </row>
    <row r="293" spans="1:8" ht="15.75" thickBot="1" x14ac:dyDescent="0.3">
      <c r="A293" s="48" t="s">
        <v>376</v>
      </c>
      <c r="B293" s="49">
        <v>45</v>
      </c>
      <c r="C293" s="50"/>
      <c r="D293" s="50"/>
      <c r="E293" s="50"/>
      <c r="F293" s="44"/>
      <c r="G293" s="44"/>
      <c r="H293" s="44"/>
    </row>
    <row r="294" spans="1:8" ht="15.75" thickBot="1" x14ac:dyDescent="0.3">
      <c r="A294" s="48" t="s">
        <v>377</v>
      </c>
      <c r="B294" s="49">
        <v>130</v>
      </c>
      <c r="C294" s="50"/>
      <c r="D294" s="50"/>
      <c r="E294" s="50"/>
      <c r="F294" s="44"/>
      <c r="G294" s="44"/>
      <c r="H294" s="44"/>
    </row>
    <row r="295" spans="1:8" ht="15.75" thickBot="1" x14ac:dyDescent="0.3">
      <c r="A295" s="48" t="s">
        <v>378</v>
      </c>
      <c r="B295" s="49">
        <v>85</v>
      </c>
      <c r="C295" s="50"/>
      <c r="D295" s="50"/>
      <c r="E295" s="50"/>
      <c r="F295" s="44"/>
      <c r="G295" s="44"/>
      <c r="H295" s="44"/>
    </row>
    <row r="296" spans="1:8" ht="15.75" thickBot="1" x14ac:dyDescent="0.3">
      <c r="A296" s="48" t="s">
        <v>379</v>
      </c>
      <c r="B296" s="49">
        <v>1820</v>
      </c>
      <c r="C296" s="50"/>
      <c r="D296" s="50"/>
      <c r="E296" s="50"/>
      <c r="F296" s="44"/>
      <c r="G296" s="44"/>
      <c r="H296" s="44"/>
    </row>
    <row r="297" spans="1:8" ht="23.25" thickBot="1" x14ac:dyDescent="0.3">
      <c r="A297" s="48" t="s">
        <v>380</v>
      </c>
      <c r="B297" s="49" t="s">
        <v>381</v>
      </c>
      <c r="C297" s="49" t="s">
        <v>997</v>
      </c>
      <c r="D297" s="49">
        <v>2</v>
      </c>
      <c r="E297" s="49">
        <v>4</v>
      </c>
      <c r="F297" s="44"/>
      <c r="G297" s="44"/>
      <c r="H297" s="44"/>
    </row>
    <row r="298" spans="1:8" ht="15.75" thickBot="1" x14ac:dyDescent="0.3">
      <c r="A298" s="48" t="s">
        <v>382</v>
      </c>
      <c r="B298" s="49">
        <v>185</v>
      </c>
      <c r="C298" s="50"/>
      <c r="D298" s="50"/>
      <c r="E298" s="50"/>
      <c r="F298" s="44"/>
      <c r="G298" s="44"/>
      <c r="H298" s="44"/>
    </row>
    <row r="299" spans="1:8" ht="15.75" thickBot="1" x14ac:dyDescent="0.3">
      <c r="A299" s="48" t="s">
        <v>383</v>
      </c>
      <c r="B299" s="49">
        <v>772</v>
      </c>
      <c r="C299" s="50"/>
      <c r="D299" s="50"/>
      <c r="E299" s="50"/>
      <c r="F299" s="44"/>
      <c r="G299" s="44"/>
      <c r="H299" s="44"/>
    </row>
    <row r="300" spans="1:8" ht="15.75" thickBot="1" x14ac:dyDescent="0.3">
      <c r="A300" s="42" t="s">
        <v>1077</v>
      </c>
      <c r="B300" s="50"/>
      <c r="C300" s="50"/>
      <c r="D300" s="50"/>
      <c r="E300" s="50"/>
      <c r="F300" s="44"/>
      <c r="G300" s="44"/>
      <c r="H300" s="44"/>
    </row>
    <row r="301" spans="1:8" ht="15.75" thickBot="1" x14ac:dyDescent="0.3">
      <c r="A301" s="48" t="s">
        <v>384</v>
      </c>
      <c r="B301" s="49">
        <v>794</v>
      </c>
      <c r="C301" s="50"/>
      <c r="D301" s="50"/>
      <c r="E301" s="50"/>
      <c r="F301" s="44"/>
      <c r="G301" s="44"/>
      <c r="H301" s="44"/>
    </row>
    <row r="302" spans="1:8" ht="15.75" thickBot="1" x14ac:dyDescent="0.3">
      <c r="A302" s="48" t="s">
        <v>944</v>
      </c>
      <c r="B302" s="49">
        <v>58</v>
      </c>
      <c r="C302" s="50"/>
      <c r="D302" s="50"/>
      <c r="E302" s="50"/>
      <c r="F302" s="44"/>
      <c r="G302" s="44"/>
      <c r="H302" s="44"/>
    </row>
    <row r="303" spans="1:8" ht="15.75" thickBot="1" x14ac:dyDescent="0.3">
      <c r="A303" s="48" t="s">
        <v>385</v>
      </c>
      <c r="B303" s="49">
        <v>71</v>
      </c>
      <c r="C303" s="50"/>
      <c r="D303" s="50"/>
      <c r="E303" s="50"/>
      <c r="F303" s="44"/>
      <c r="G303" s="44"/>
      <c r="H303" s="44"/>
    </row>
    <row r="304" spans="1:8" ht="15.75" thickBot="1" x14ac:dyDescent="0.3">
      <c r="A304" s="48" t="s">
        <v>386</v>
      </c>
      <c r="B304" s="49">
        <v>2072</v>
      </c>
      <c r="C304" s="50"/>
      <c r="D304" s="50"/>
      <c r="E304" s="50"/>
      <c r="F304" s="44"/>
      <c r="G304" s="44"/>
      <c r="H304" s="44"/>
    </row>
    <row r="305" spans="1:8" ht="15.75" thickBot="1" x14ac:dyDescent="0.3">
      <c r="A305" s="48" t="s">
        <v>387</v>
      </c>
      <c r="B305" s="49">
        <v>2496</v>
      </c>
      <c r="C305" s="50"/>
      <c r="D305" s="50"/>
      <c r="E305" s="50"/>
      <c r="F305" s="44"/>
      <c r="G305" s="44"/>
      <c r="H305" s="44"/>
    </row>
    <row r="306" spans="1:8" ht="15.75" thickBot="1" x14ac:dyDescent="0.3">
      <c r="A306" s="48" t="s">
        <v>388</v>
      </c>
      <c r="B306" s="49">
        <v>324</v>
      </c>
      <c r="C306" s="50"/>
      <c r="D306" s="50"/>
      <c r="E306" s="50"/>
      <c r="F306" s="44"/>
      <c r="G306" s="44"/>
      <c r="H306" s="44"/>
    </row>
    <row r="307" spans="1:8" ht="15.75" thickBot="1" x14ac:dyDescent="0.3">
      <c r="A307" s="48" t="s">
        <v>389</v>
      </c>
      <c r="B307" s="49">
        <v>1397</v>
      </c>
      <c r="C307" s="50"/>
      <c r="D307" s="50"/>
      <c r="E307" s="50"/>
      <c r="F307" s="44"/>
      <c r="G307" s="44"/>
      <c r="H307" s="44"/>
    </row>
    <row r="308" spans="1:8" ht="15.75" thickBot="1" x14ac:dyDescent="0.3">
      <c r="A308" s="48" t="s">
        <v>390</v>
      </c>
      <c r="B308" s="49">
        <v>258</v>
      </c>
      <c r="C308" s="50"/>
      <c r="D308" s="50"/>
      <c r="E308" s="50"/>
      <c r="F308" s="44"/>
      <c r="G308" s="44"/>
      <c r="H308" s="44"/>
    </row>
    <row r="309" spans="1:8" ht="15.75" thickBot="1" x14ac:dyDescent="0.3">
      <c r="A309" s="48" t="s">
        <v>391</v>
      </c>
      <c r="B309" s="49">
        <v>369</v>
      </c>
      <c r="C309" s="50"/>
      <c r="D309" s="50"/>
      <c r="E309" s="50"/>
      <c r="F309" s="44"/>
      <c r="G309" s="44"/>
      <c r="H309" s="44"/>
    </row>
    <row r="310" spans="1:8" ht="15.75" thickBot="1" x14ac:dyDescent="0.3">
      <c r="A310" s="48" t="s">
        <v>392</v>
      </c>
      <c r="B310" s="49">
        <v>170</v>
      </c>
      <c r="C310" s="50"/>
      <c r="D310" s="50"/>
      <c r="E310" s="50"/>
      <c r="F310" s="44"/>
      <c r="G310" s="44"/>
      <c r="H310" s="44"/>
    </row>
    <row r="311" spans="1:8" ht="15.75" thickBot="1" x14ac:dyDescent="0.3">
      <c r="A311" s="48" t="s">
        <v>393</v>
      </c>
      <c r="B311" s="49">
        <v>207</v>
      </c>
      <c r="C311" s="50"/>
      <c r="D311" s="50"/>
      <c r="E311" s="50"/>
      <c r="F311" s="44"/>
      <c r="G311" s="44"/>
      <c r="H311" s="44"/>
    </row>
    <row r="312" spans="1:8" ht="15.75" thickBot="1" x14ac:dyDescent="0.3">
      <c r="A312" s="48" t="s">
        <v>394</v>
      </c>
      <c r="B312" s="49">
        <v>99</v>
      </c>
      <c r="C312" s="50"/>
      <c r="D312" s="50"/>
      <c r="E312" s="50"/>
      <c r="F312" s="44"/>
      <c r="G312" s="44"/>
      <c r="H312" s="44"/>
    </row>
    <row r="313" spans="1:8" ht="15.75" thickBot="1" x14ac:dyDescent="0.3">
      <c r="A313" s="48" t="s">
        <v>395</v>
      </c>
      <c r="B313" s="49">
        <v>180</v>
      </c>
      <c r="C313" s="50"/>
      <c r="D313" s="50"/>
      <c r="E313" s="50"/>
      <c r="F313" s="44"/>
      <c r="G313" s="44"/>
      <c r="H313" s="44"/>
    </row>
    <row r="314" spans="1:8" ht="15.75" thickBot="1" x14ac:dyDescent="0.3">
      <c r="A314" s="48" t="s">
        <v>396</v>
      </c>
      <c r="B314" s="49">
        <v>1869</v>
      </c>
      <c r="C314" s="50"/>
      <c r="D314" s="50"/>
      <c r="E314" s="50"/>
      <c r="F314" s="44"/>
      <c r="G314" s="44"/>
      <c r="H314" s="44"/>
    </row>
    <row r="315" spans="1:8" ht="15.75" thickBot="1" x14ac:dyDescent="0.3">
      <c r="A315" s="48" t="s">
        <v>397</v>
      </c>
      <c r="B315" s="49">
        <v>823</v>
      </c>
      <c r="C315" s="50"/>
      <c r="D315" s="50"/>
      <c r="E315" s="50"/>
      <c r="F315" s="44"/>
      <c r="G315" s="44"/>
      <c r="H315" s="44"/>
    </row>
    <row r="316" spans="1:8" ht="23.25" thickBot="1" x14ac:dyDescent="0.3">
      <c r="A316" s="48" t="s">
        <v>398</v>
      </c>
      <c r="B316" s="49" t="s">
        <v>1078</v>
      </c>
      <c r="C316" s="49" t="s">
        <v>1004</v>
      </c>
      <c r="D316" s="50"/>
      <c r="E316" s="50"/>
      <c r="F316" s="44"/>
      <c r="G316" s="44"/>
      <c r="H316" s="44"/>
    </row>
    <row r="317" spans="1:8" ht="15.75" thickBot="1" x14ac:dyDescent="0.3">
      <c r="A317" s="48" t="s">
        <v>400</v>
      </c>
      <c r="B317" s="49">
        <v>1121</v>
      </c>
      <c r="C317" s="50"/>
      <c r="D317" s="50"/>
      <c r="E317" s="50"/>
      <c r="F317" s="44"/>
      <c r="G317" s="44"/>
      <c r="H317" s="44"/>
    </row>
    <row r="318" spans="1:8" ht="15.75" thickBot="1" x14ac:dyDescent="0.3">
      <c r="A318" s="48" t="s">
        <v>401</v>
      </c>
      <c r="B318" s="49">
        <v>76</v>
      </c>
      <c r="C318" s="50"/>
      <c r="D318" s="50"/>
      <c r="E318" s="50"/>
      <c r="F318" s="44"/>
      <c r="G318" s="44"/>
      <c r="H318" s="44"/>
    </row>
    <row r="319" spans="1:8" ht="15.75" thickBot="1" x14ac:dyDescent="0.3">
      <c r="A319" s="48" t="s">
        <v>402</v>
      </c>
      <c r="B319" s="49">
        <v>2283</v>
      </c>
      <c r="C319" s="50"/>
      <c r="D319" s="50"/>
      <c r="E319" s="50"/>
      <c r="F319" s="44"/>
      <c r="G319" s="44"/>
      <c r="H319" s="44"/>
    </row>
    <row r="320" spans="1:8" ht="23.25" thickBot="1" x14ac:dyDescent="0.3">
      <c r="A320" s="48" t="s">
        <v>403</v>
      </c>
      <c r="B320" s="49" t="s">
        <v>404</v>
      </c>
      <c r="C320" s="49" t="s">
        <v>997</v>
      </c>
      <c r="D320" s="49">
        <v>7</v>
      </c>
      <c r="E320" s="49">
        <v>19</v>
      </c>
      <c r="F320" s="44"/>
      <c r="G320" s="44"/>
      <c r="H320" s="44"/>
    </row>
    <row r="321" spans="1:8" ht="15.75" thickBot="1" x14ac:dyDescent="0.3">
      <c r="A321" s="48" t="s">
        <v>405</v>
      </c>
      <c r="B321" s="49">
        <v>688</v>
      </c>
      <c r="C321" s="50"/>
      <c r="D321" s="50"/>
      <c r="E321" s="50"/>
      <c r="F321" s="44"/>
      <c r="G321" s="44"/>
      <c r="H321" s="44"/>
    </row>
    <row r="322" spans="1:8" ht="23.25" thickBot="1" x14ac:dyDescent="0.3">
      <c r="A322" s="48" t="s">
        <v>406</v>
      </c>
      <c r="B322" s="49" t="s">
        <v>407</v>
      </c>
      <c r="C322" s="49" t="s">
        <v>997</v>
      </c>
      <c r="D322" s="49">
        <v>5</v>
      </c>
      <c r="E322" s="49">
        <v>14</v>
      </c>
      <c r="F322" s="44"/>
      <c r="G322" s="44"/>
      <c r="H322" s="44"/>
    </row>
    <row r="323" spans="1:8" ht="15.75" thickBot="1" x14ac:dyDescent="0.3">
      <c r="A323" s="48" t="s">
        <v>408</v>
      </c>
      <c r="B323" s="49">
        <v>354</v>
      </c>
      <c r="C323" s="50"/>
      <c r="D323" s="50"/>
      <c r="E323" s="50"/>
      <c r="F323" s="44"/>
      <c r="G323" s="44"/>
      <c r="H323" s="44"/>
    </row>
    <row r="324" spans="1:8" ht="15.75" thickBot="1" x14ac:dyDescent="0.3">
      <c r="A324" s="48" t="s">
        <v>409</v>
      </c>
      <c r="B324" s="49">
        <v>310</v>
      </c>
      <c r="C324" s="50"/>
      <c r="D324" s="50"/>
      <c r="E324" s="50"/>
      <c r="F324" s="44"/>
      <c r="G324" s="44"/>
      <c r="H324" s="44"/>
    </row>
    <row r="325" spans="1:8" ht="15.75" thickBot="1" x14ac:dyDescent="0.3">
      <c r="A325" s="48" t="s">
        <v>410</v>
      </c>
      <c r="B325" s="49">
        <v>2321</v>
      </c>
      <c r="C325" s="50"/>
      <c r="D325" s="50"/>
      <c r="E325" s="50"/>
      <c r="F325" s="44"/>
      <c r="G325" s="44"/>
      <c r="H325" s="44"/>
    </row>
    <row r="326" spans="1:8" ht="23.25" thickBot="1" x14ac:dyDescent="0.3">
      <c r="A326" s="48" t="s">
        <v>1079</v>
      </c>
      <c r="B326" s="49" t="s">
        <v>1080</v>
      </c>
      <c r="C326" s="49" t="s">
        <v>997</v>
      </c>
      <c r="D326" s="54" t="s">
        <v>1081</v>
      </c>
      <c r="E326" s="55"/>
      <c r="F326" s="44"/>
      <c r="G326" s="44"/>
      <c r="H326" s="44"/>
    </row>
    <row r="327" spans="1:8" ht="15.75" thickBot="1" x14ac:dyDescent="0.3">
      <c r="A327" s="48" t="s">
        <v>411</v>
      </c>
      <c r="B327" s="49">
        <v>1951</v>
      </c>
      <c r="C327" s="50"/>
      <c r="D327" s="50"/>
      <c r="E327" s="50"/>
      <c r="F327" s="44"/>
      <c r="G327" s="44"/>
      <c r="H327" s="44"/>
    </row>
    <row r="328" spans="1:8" ht="23.25" thickBot="1" x14ac:dyDescent="0.3">
      <c r="A328" s="48" t="s">
        <v>414</v>
      </c>
      <c r="B328" s="49" t="s">
        <v>415</v>
      </c>
      <c r="C328" s="49" t="s">
        <v>997</v>
      </c>
      <c r="D328" s="49">
        <v>2</v>
      </c>
      <c r="E328" s="49">
        <v>5</v>
      </c>
      <c r="F328" s="44"/>
      <c r="G328" s="44"/>
      <c r="H328" s="44"/>
    </row>
    <row r="329" spans="1:8" ht="15.75" thickBot="1" x14ac:dyDescent="0.3">
      <c r="A329" s="48" t="s">
        <v>1082</v>
      </c>
      <c r="B329" s="49" t="s">
        <v>1083</v>
      </c>
      <c r="C329" s="49" t="s">
        <v>997</v>
      </c>
      <c r="D329" s="54" t="s">
        <v>1081</v>
      </c>
      <c r="E329" s="55"/>
      <c r="F329" s="44"/>
      <c r="G329" s="44"/>
      <c r="H329" s="44"/>
    </row>
    <row r="330" spans="1:8" ht="15.75" thickBot="1" x14ac:dyDescent="0.3">
      <c r="A330" s="48" t="s">
        <v>416</v>
      </c>
      <c r="B330" s="49">
        <v>175</v>
      </c>
      <c r="C330" s="50"/>
      <c r="D330" s="50"/>
      <c r="E330" s="50"/>
      <c r="F330" s="44"/>
      <c r="G330" s="44"/>
      <c r="H330" s="44"/>
    </row>
    <row r="331" spans="1:8" ht="15.75" thickBot="1" x14ac:dyDescent="0.3">
      <c r="A331" s="48" t="s">
        <v>417</v>
      </c>
      <c r="B331" s="49">
        <v>1765</v>
      </c>
      <c r="C331" s="50"/>
      <c r="D331" s="50"/>
      <c r="E331" s="50"/>
      <c r="F331" s="44"/>
      <c r="G331" s="44"/>
      <c r="H331" s="44"/>
    </row>
    <row r="332" spans="1:8" ht="15.75" thickBot="1" x14ac:dyDescent="0.3">
      <c r="A332" s="48" t="s">
        <v>418</v>
      </c>
      <c r="B332" s="49">
        <v>102</v>
      </c>
      <c r="C332" s="50"/>
      <c r="D332" s="50"/>
      <c r="E332" s="50"/>
      <c r="F332" s="44"/>
      <c r="G332" s="44"/>
      <c r="H332" s="44"/>
    </row>
    <row r="333" spans="1:8" ht="23.25" thickBot="1" x14ac:dyDescent="0.3">
      <c r="A333" s="48" t="s">
        <v>419</v>
      </c>
      <c r="B333" s="49" t="s">
        <v>420</v>
      </c>
      <c r="C333" s="49" t="s">
        <v>997</v>
      </c>
      <c r="D333" s="49">
        <v>3</v>
      </c>
      <c r="E333" s="49">
        <v>7</v>
      </c>
      <c r="F333" s="44"/>
      <c r="G333" s="44"/>
      <c r="H333" s="44"/>
    </row>
    <row r="334" spans="1:8" ht="23.25" thickBot="1" x14ac:dyDescent="0.3">
      <c r="A334" s="48" t="s">
        <v>421</v>
      </c>
      <c r="B334" s="49" t="s">
        <v>422</v>
      </c>
      <c r="C334" s="49" t="s">
        <v>997</v>
      </c>
      <c r="D334" s="49">
        <v>3</v>
      </c>
      <c r="E334" s="49">
        <v>7</v>
      </c>
      <c r="F334" s="44"/>
      <c r="G334" s="44"/>
      <c r="H334" s="44"/>
    </row>
    <row r="335" spans="1:8" ht="15.75" thickBot="1" x14ac:dyDescent="0.3">
      <c r="A335" s="48" t="s">
        <v>423</v>
      </c>
      <c r="B335" s="49">
        <v>2519</v>
      </c>
      <c r="C335" s="50"/>
      <c r="D335" s="50"/>
      <c r="E335" s="50"/>
      <c r="F335" s="44"/>
      <c r="G335" s="44"/>
      <c r="H335" s="44"/>
    </row>
    <row r="336" spans="1:8" ht="15.75" thickBot="1" x14ac:dyDescent="0.3">
      <c r="A336" s="48" t="s">
        <v>424</v>
      </c>
      <c r="B336" s="49">
        <v>198</v>
      </c>
      <c r="C336" s="50"/>
      <c r="D336" s="50"/>
      <c r="E336" s="50"/>
      <c r="F336" s="44"/>
      <c r="G336" s="44"/>
      <c r="H336" s="44"/>
    </row>
    <row r="337" spans="1:8" ht="15.75" thickBot="1" x14ac:dyDescent="0.3">
      <c r="A337" s="48" t="s">
        <v>425</v>
      </c>
      <c r="B337" s="49">
        <v>958</v>
      </c>
      <c r="C337" s="50"/>
      <c r="D337" s="50"/>
      <c r="E337" s="50"/>
      <c r="F337" s="44"/>
      <c r="G337" s="44"/>
      <c r="H337" s="44"/>
    </row>
    <row r="338" spans="1:8" ht="15.75" thickBot="1" x14ac:dyDescent="0.3">
      <c r="A338" s="48" t="s">
        <v>426</v>
      </c>
      <c r="B338" s="49">
        <v>190</v>
      </c>
      <c r="C338" s="50"/>
      <c r="D338" s="50"/>
      <c r="E338" s="50"/>
      <c r="F338" s="44"/>
      <c r="G338" s="44"/>
      <c r="H338" s="44"/>
    </row>
    <row r="339" spans="1:8" ht="15.75" thickBot="1" x14ac:dyDescent="0.3">
      <c r="A339" s="48" t="s">
        <v>427</v>
      </c>
      <c r="B339" s="49">
        <v>513</v>
      </c>
      <c r="C339" s="50"/>
      <c r="D339" s="50"/>
      <c r="E339" s="50"/>
      <c r="F339" s="44"/>
      <c r="G339" s="44"/>
      <c r="H339" s="44"/>
    </row>
    <row r="340" spans="1:8" ht="23.25" thickBot="1" x14ac:dyDescent="0.3">
      <c r="A340" s="48" t="s">
        <v>428</v>
      </c>
      <c r="B340" s="49" t="s">
        <v>429</v>
      </c>
      <c r="C340" s="49" t="s">
        <v>997</v>
      </c>
      <c r="D340" s="49">
        <v>2</v>
      </c>
      <c r="E340" s="49">
        <v>4</v>
      </c>
      <c r="F340" s="44"/>
      <c r="G340" s="44"/>
      <c r="H340" s="44"/>
    </row>
    <row r="341" spans="1:8" ht="15.75" thickBot="1" x14ac:dyDescent="0.3">
      <c r="A341" s="48" t="s">
        <v>430</v>
      </c>
      <c r="B341" s="49" t="s">
        <v>431</v>
      </c>
      <c r="C341" s="49" t="s">
        <v>997</v>
      </c>
      <c r="D341" s="49">
        <v>2</v>
      </c>
      <c r="E341" s="49">
        <v>4</v>
      </c>
      <c r="F341" s="44"/>
      <c r="G341" s="44"/>
      <c r="H341" s="44"/>
    </row>
    <row r="342" spans="1:8" ht="15.75" thickBot="1" x14ac:dyDescent="0.3">
      <c r="A342" s="48" t="s">
        <v>432</v>
      </c>
      <c r="B342" s="49">
        <v>3570</v>
      </c>
      <c r="C342" s="50"/>
      <c r="D342" s="50"/>
      <c r="E342" s="50"/>
      <c r="F342" s="44"/>
      <c r="G342" s="44"/>
      <c r="H342" s="44"/>
    </row>
    <row r="343" spans="1:8" ht="15.75" thickBot="1" x14ac:dyDescent="0.3">
      <c r="A343" s="48" t="s">
        <v>433</v>
      </c>
      <c r="B343" s="49">
        <v>897</v>
      </c>
      <c r="C343" s="50"/>
      <c r="D343" s="50"/>
      <c r="E343" s="50"/>
      <c r="F343" s="44"/>
      <c r="G343" s="44"/>
      <c r="H343" s="44"/>
    </row>
    <row r="344" spans="1:8" ht="15.75" thickBot="1" x14ac:dyDescent="0.3">
      <c r="A344" s="48" t="s">
        <v>434</v>
      </c>
      <c r="B344" s="49">
        <v>489</v>
      </c>
      <c r="C344" s="50"/>
      <c r="D344" s="50"/>
      <c r="E344" s="50"/>
      <c r="F344" s="44"/>
      <c r="G344" s="44"/>
      <c r="H344" s="44"/>
    </row>
    <row r="345" spans="1:8" ht="15.75" thickBot="1" x14ac:dyDescent="0.3">
      <c r="A345" s="48" t="s">
        <v>435</v>
      </c>
      <c r="B345" s="49">
        <v>443</v>
      </c>
      <c r="C345" s="50"/>
      <c r="D345" s="50"/>
      <c r="E345" s="50"/>
      <c r="F345" s="44"/>
      <c r="G345" s="44"/>
      <c r="H345" s="44"/>
    </row>
    <row r="346" spans="1:8" ht="15.75" thickBot="1" x14ac:dyDescent="0.3">
      <c r="A346" s="48" t="s">
        <v>436</v>
      </c>
      <c r="B346" s="49">
        <v>186</v>
      </c>
      <c r="C346" s="50"/>
      <c r="D346" s="50"/>
      <c r="E346" s="50"/>
      <c r="F346" s="44"/>
      <c r="G346" s="44"/>
      <c r="H346" s="44"/>
    </row>
    <row r="347" spans="1:8" ht="15.75" thickBot="1" x14ac:dyDescent="0.3">
      <c r="A347" s="48" t="s">
        <v>437</v>
      </c>
      <c r="B347" s="49">
        <v>155</v>
      </c>
      <c r="C347" s="50"/>
      <c r="D347" s="50"/>
      <c r="E347" s="50"/>
      <c r="F347" s="44"/>
      <c r="G347" s="44"/>
      <c r="H347" s="44"/>
    </row>
    <row r="348" spans="1:8" ht="15.75" thickBot="1" x14ac:dyDescent="0.3">
      <c r="A348" s="48" t="s">
        <v>438</v>
      </c>
      <c r="B348" s="49">
        <v>371</v>
      </c>
      <c r="C348" s="50"/>
      <c r="D348" s="50"/>
      <c r="E348" s="50"/>
      <c r="F348" s="44"/>
      <c r="G348" s="44"/>
      <c r="H348" s="44"/>
    </row>
    <row r="349" spans="1:8" ht="15.75" thickBot="1" x14ac:dyDescent="0.3">
      <c r="A349" s="48" t="s">
        <v>439</v>
      </c>
      <c r="B349" s="49">
        <v>197</v>
      </c>
      <c r="C349" s="50"/>
      <c r="D349" s="50"/>
      <c r="E349" s="50"/>
      <c r="F349" s="44"/>
      <c r="G349" s="44"/>
      <c r="H349" s="44"/>
    </row>
    <row r="350" spans="1:8" ht="15.75" thickBot="1" x14ac:dyDescent="0.3">
      <c r="A350" s="48" t="s">
        <v>440</v>
      </c>
      <c r="B350" s="49">
        <v>255</v>
      </c>
      <c r="C350" s="50"/>
      <c r="D350" s="50"/>
      <c r="E350" s="50"/>
      <c r="F350" s="44"/>
      <c r="G350" s="44"/>
      <c r="H350" s="44"/>
    </row>
    <row r="351" spans="1:8" ht="15.75" thickBot="1" x14ac:dyDescent="0.3">
      <c r="A351" s="48" t="s">
        <v>441</v>
      </c>
      <c r="B351" s="49">
        <v>106</v>
      </c>
      <c r="C351" s="50"/>
      <c r="D351" s="50"/>
      <c r="E351" s="50"/>
      <c r="F351" s="44"/>
      <c r="G351" s="44"/>
      <c r="H351" s="44"/>
    </row>
    <row r="352" spans="1:8" ht="15.75" thickBot="1" x14ac:dyDescent="0.3">
      <c r="A352" s="48" t="s">
        <v>442</v>
      </c>
      <c r="B352" s="49">
        <v>351</v>
      </c>
      <c r="C352" s="50"/>
      <c r="D352" s="50"/>
      <c r="E352" s="50"/>
      <c r="F352" s="44"/>
      <c r="G352" s="44"/>
      <c r="H352" s="44"/>
    </row>
    <row r="353" spans="1:8" ht="15.75" thickBot="1" x14ac:dyDescent="0.3">
      <c r="A353" s="48" t="s">
        <v>443</v>
      </c>
      <c r="B353" s="49">
        <v>2671</v>
      </c>
      <c r="C353" s="50"/>
      <c r="D353" s="50"/>
      <c r="E353" s="50"/>
      <c r="F353" s="44"/>
      <c r="G353" s="44"/>
      <c r="H353" s="44"/>
    </row>
    <row r="354" spans="1:8" ht="15.75" thickBot="1" x14ac:dyDescent="0.3">
      <c r="A354" s="48" t="s">
        <v>444</v>
      </c>
      <c r="B354" s="49">
        <v>242</v>
      </c>
      <c r="C354" s="50"/>
      <c r="D354" s="50"/>
      <c r="E354" s="50"/>
      <c r="F354" s="44"/>
      <c r="G354" s="44"/>
      <c r="H354" s="44"/>
    </row>
    <row r="355" spans="1:8" ht="15.75" thickBot="1" x14ac:dyDescent="0.3">
      <c r="A355" s="48" t="s">
        <v>445</v>
      </c>
      <c r="B355" s="49">
        <v>1737</v>
      </c>
      <c r="C355" s="50"/>
      <c r="D355" s="50"/>
      <c r="E355" s="50"/>
      <c r="F355" s="44"/>
      <c r="G355" s="44"/>
      <c r="H355" s="44"/>
    </row>
    <row r="356" spans="1:8" ht="15.75" thickBot="1" x14ac:dyDescent="0.3">
      <c r="A356" s="48" t="s">
        <v>446</v>
      </c>
      <c r="B356" s="49">
        <v>2678</v>
      </c>
      <c r="C356" s="50"/>
      <c r="D356" s="50"/>
      <c r="E356" s="50"/>
      <c r="F356" s="44"/>
      <c r="G356" s="44"/>
      <c r="H356" s="44"/>
    </row>
    <row r="357" spans="1:8" ht="15.75" thickBot="1" x14ac:dyDescent="0.3">
      <c r="A357" s="48" t="s">
        <v>945</v>
      </c>
      <c r="B357" s="49">
        <v>91</v>
      </c>
      <c r="C357" s="50"/>
      <c r="D357" s="50"/>
      <c r="E357" s="50"/>
      <c r="F357" s="44"/>
      <c r="G357" s="44"/>
      <c r="H357" s="44"/>
    </row>
    <row r="358" spans="1:8" ht="15.75" thickBot="1" x14ac:dyDescent="0.3">
      <c r="A358" s="48" t="s">
        <v>447</v>
      </c>
      <c r="B358" s="49">
        <v>3509</v>
      </c>
      <c r="C358" s="50"/>
      <c r="D358" s="50"/>
      <c r="E358" s="50"/>
      <c r="F358" s="44"/>
      <c r="G358" s="44"/>
      <c r="H358" s="44"/>
    </row>
    <row r="359" spans="1:8" ht="15.75" thickBot="1" x14ac:dyDescent="0.3">
      <c r="A359" s="48" t="s">
        <v>448</v>
      </c>
      <c r="B359" s="49">
        <v>689</v>
      </c>
      <c r="C359" s="50"/>
      <c r="D359" s="50"/>
      <c r="E359" s="50"/>
      <c r="F359" s="44"/>
      <c r="G359" s="44"/>
      <c r="H359" s="44"/>
    </row>
    <row r="360" spans="1:8" ht="15.75" thickBot="1" x14ac:dyDescent="0.3">
      <c r="A360" s="48" t="s">
        <v>449</v>
      </c>
      <c r="B360" s="49">
        <v>1168</v>
      </c>
      <c r="C360" s="50"/>
      <c r="D360" s="50"/>
      <c r="E360" s="50"/>
      <c r="F360" s="44"/>
      <c r="G360" s="44"/>
      <c r="H360" s="44"/>
    </row>
    <row r="361" spans="1:8" ht="15.75" thickBot="1" x14ac:dyDescent="0.3">
      <c r="A361" s="48" t="s">
        <v>450</v>
      </c>
      <c r="B361" s="49">
        <v>284</v>
      </c>
      <c r="C361" s="50"/>
      <c r="D361" s="50"/>
      <c r="E361" s="50"/>
      <c r="F361" s="44"/>
      <c r="G361" s="44"/>
      <c r="H361" s="44"/>
    </row>
    <row r="362" spans="1:8" ht="15.75" thickBot="1" x14ac:dyDescent="0.3">
      <c r="A362" s="48" t="s">
        <v>451</v>
      </c>
      <c r="B362" s="49">
        <v>115</v>
      </c>
      <c r="C362" s="50"/>
      <c r="D362" s="50"/>
      <c r="E362" s="50"/>
      <c r="F362" s="44"/>
      <c r="G362" s="44"/>
      <c r="H362" s="44"/>
    </row>
    <row r="363" spans="1:8" ht="15.75" thickBot="1" x14ac:dyDescent="0.3">
      <c r="A363" s="48" t="s">
        <v>452</v>
      </c>
      <c r="B363" s="49">
        <v>248</v>
      </c>
      <c r="C363" s="50"/>
      <c r="D363" s="50"/>
      <c r="E363" s="50"/>
      <c r="F363" s="44"/>
      <c r="G363" s="44"/>
      <c r="H363" s="44"/>
    </row>
    <row r="364" spans="1:8" ht="15.75" thickBot="1" x14ac:dyDescent="0.3">
      <c r="A364" s="48" t="s">
        <v>453</v>
      </c>
      <c r="B364" s="49">
        <v>1120</v>
      </c>
      <c r="C364" s="50"/>
      <c r="D364" s="50"/>
      <c r="E364" s="50"/>
      <c r="F364" s="44"/>
      <c r="G364" s="44"/>
      <c r="H364" s="44"/>
    </row>
    <row r="365" spans="1:8" ht="15.75" thickBot="1" x14ac:dyDescent="0.3">
      <c r="A365" s="48" t="s">
        <v>454</v>
      </c>
      <c r="B365" s="49">
        <v>138</v>
      </c>
      <c r="C365" s="50"/>
      <c r="D365" s="50"/>
      <c r="E365" s="50"/>
      <c r="F365" s="44"/>
      <c r="G365" s="44"/>
      <c r="H365" s="44"/>
    </row>
    <row r="366" spans="1:8" ht="15.75" thickBot="1" x14ac:dyDescent="0.3">
      <c r="A366" s="48" t="s">
        <v>455</v>
      </c>
      <c r="B366" s="49">
        <v>153</v>
      </c>
      <c r="C366" s="50"/>
      <c r="D366" s="50"/>
      <c r="E366" s="50"/>
      <c r="F366" s="44"/>
      <c r="G366" s="44"/>
      <c r="H366" s="44"/>
    </row>
    <row r="367" spans="1:8" ht="15.75" thickBot="1" x14ac:dyDescent="0.3">
      <c r="A367" s="48" t="s">
        <v>456</v>
      </c>
      <c r="B367" s="49">
        <v>794</v>
      </c>
      <c r="C367" s="50"/>
      <c r="D367" s="50"/>
      <c r="E367" s="50"/>
      <c r="F367" s="44"/>
      <c r="G367" s="44"/>
      <c r="H367" s="44"/>
    </row>
    <row r="368" spans="1:8" ht="15.75" thickBot="1" x14ac:dyDescent="0.3">
      <c r="A368" s="48" t="s">
        <v>457</v>
      </c>
      <c r="B368" s="49">
        <v>1646</v>
      </c>
      <c r="C368" s="50"/>
      <c r="D368" s="50"/>
      <c r="E368" s="50"/>
      <c r="F368" s="44"/>
      <c r="G368" s="44"/>
      <c r="H368" s="44"/>
    </row>
    <row r="369" spans="1:8" ht="15.75" thickBot="1" x14ac:dyDescent="0.3">
      <c r="A369" s="48" t="s">
        <v>458</v>
      </c>
      <c r="B369" s="49">
        <v>496</v>
      </c>
      <c r="C369" s="50"/>
      <c r="D369" s="50"/>
      <c r="E369" s="50"/>
      <c r="F369" s="44"/>
      <c r="G369" s="44"/>
      <c r="H369" s="44"/>
    </row>
    <row r="370" spans="1:8" ht="15.75" thickBot="1" x14ac:dyDescent="0.3">
      <c r="A370" s="48" t="s">
        <v>459</v>
      </c>
      <c r="B370" s="49">
        <v>247</v>
      </c>
      <c r="C370" s="50"/>
      <c r="D370" s="50"/>
      <c r="E370" s="50"/>
      <c r="F370" s="44"/>
      <c r="G370" s="44"/>
      <c r="H370" s="44"/>
    </row>
    <row r="371" spans="1:8" ht="23.25" thickBot="1" x14ac:dyDescent="0.3">
      <c r="A371" s="48" t="s">
        <v>946</v>
      </c>
      <c r="B371" s="49" t="s">
        <v>174</v>
      </c>
      <c r="C371" s="49" t="s">
        <v>997</v>
      </c>
      <c r="D371" s="49">
        <v>5</v>
      </c>
      <c r="E371" s="49">
        <v>13</v>
      </c>
      <c r="F371" s="44"/>
      <c r="G371" s="44"/>
      <c r="H371" s="44"/>
    </row>
    <row r="372" spans="1:8" ht="15.75" thickBot="1" x14ac:dyDescent="0.3">
      <c r="A372" s="48" t="s">
        <v>460</v>
      </c>
      <c r="B372" s="49">
        <v>275</v>
      </c>
      <c r="C372" s="50"/>
      <c r="D372" s="50"/>
      <c r="E372" s="50"/>
      <c r="F372" s="44"/>
      <c r="G372" s="44"/>
      <c r="H372" s="44"/>
    </row>
    <row r="373" spans="1:8" ht="15.75" thickBot="1" x14ac:dyDescent="0.3">
      <c r="A373" s="48" t="s">
        <v>461</v>
      </c>
      <c r="B373" s="49">
        <v>311</v>
      </c>
      <c r="C373" s="50"/>
      <c r="D373" s="50"/>
      <c r="E373" s="50"/>
      <c r="F373" s="44"/>
      <c r="G373" s="44"/>
      <c r="H373" s="44"/>
    </row>
    <row r="374" spans="1:8" ht="15.75" thickBot="1" x14ac:dyDescent="0.3">
      <c r="A374" s="48" t="s">
        <v>462</v>
      </c>
      <c r="B374" s="49">
        <v>256</v>
      </c>
      <c r="C374" s="50"/>
      <c r="D374" s="50"/>
      <c r="E374" s="50"/>
      <c r="F374" s="44"/>
      <c r="G374" s="44"/>
      <c r="H374" s="44"/>
    </row>
    <row r="375" spans="1:8" ht="15.75" thickBot="1" x14ac:dyDescent="0.3">
      <c r="A375" s="48" t="s">
        <v>463</v>
      </c>
      <c r="B375" s="49">
        <v>237</v>
      </c>
      <c r="C375" s="50"/>
      <c r="D375" s="50"/>
      <c r="E375" s="50"/>
      <c r="F375" s="44"/>
      <c r="G375" s="44"/>
      <c r="H375" s="44"/>
    </row>
    <row r="376" spans="1:8" ht="23.25" thickBot="1" x14ac:dyDescent="0.3">
      <c r="A376" s="48" t="s">
        <v>464</v>
      </c>
      <c r="B376" s="49" t="s">
        <v>465</v>
      </c>
      <c r="C376" s="49" t="s">
        <v>997</v>
      </c>
      <c r="D376" s="49">
        <v>7</v>
      </c>
      <c r="E376" s="49">
        <v>19</v>
      </c>
      <c r="F376" s="44"/>
      <c r="G376" s="44"/>
      <c r="H376" s="44"/>
    </row>
    <row r="377" spans="1:8" ht="15.75" thickBot="1" x14ac:dyDescent="0.3">
      <c r="A377" s="48" t="s">
        <v>466</v>
      </c>
      <c r="B377" s="49">
        <v>1090</v>
      </c>
      <c r="C377" s="50"/>
      <c r="D377" s="50"/>
      <c r="E377" s="50"/>
      <c r="F377" s="44"/>
      <c r="G377" s="44"/>
      <c r="H377" s="44"/>
    </row>
    <row r="378" spans="1:8" ht="15.75" thickBot="1" x14ac:dyDescent="0.3">
      <c r="A378" s="48" t="s">
        <v>467</v>
      </c>
      <c r="B378" s="49">
        <v>2330</v>
      </c>
      <c r="C378" s="50"/>
      <c r="D378" s="50"/>
      <c r="E378" s="50"/>
      <c r="F378" s="44"/>
      <c r="G378" s="44"/>
      <c r="H378" s="44"/>
    </row>
    <row r="379" spans="1:8" ht="15.75" thickBot="1" x14ac:dyDescent="0.3">
      <c r="A379" s="48" t="s">
        <v>468</v>
      </c>
      <c r="B379" s="49">
        <v>2923</v>
      </c>
      <c r="C379" s="50"/>
      <c r="D379" s="50"/>
      <c r="E379" s="50"/>
      <c r="F379" s="44"/>
      <c r="G379" s="44"/>
      <c r="H379" s="44"/>
    </row>
    <row r="380" spans="1:8" ht="15.75" thickBot="1" x14ac:dyDescent="0.3">
      <c r="A380" s="48" t="s">
        <v>469</v>
      </c>
      <c r="B380" s="49">
        <v>144</v>
      </c>
      <c r="C380" s="50"/>
      <c r="D380" s="50"/>
      <c r="E380" s="50"/>
      <c r="F380" s="44"/>
      <c r="G380" s="44"/>
      <c r="H380" s="44"/>
    </row>
    <row r="381" spans="1:8" ht="15.75" thickBot="1" x14ac:dyDescent="0.3">
      <c r="A381" s="48" t="s">
        <v>470</v>
      </c>
      <c r="B381" s="49">
        <v>168</v>
      </c>
      <c r="C381" s="50"/>
      <c r="D381" s="50"/>
      <c r="E381" s="50"/>
      <c r="F381" s="44"/>
      <c r="G381" s="44"/>
      <c r="H381" s="44"/>
    </row>
    <row r="382" spans="1:8" ht="15.75" thickBot="1" x14ac:dyDescent="0.3">
      <c r="A382" s="48" t="s">
        <v>471</v>
      </c>
      <c r="B382" s="49">
        <v>1711</v>
      </c>
      <c r="C382" s="50"/>
      <c r="D382" s="50"/>
      <c r="E382" s="50"/>
      <c r="F382" s="44"/>
      <c r="G382" s="44"/>
      <c r="H382" s="44"/>
    </row>
    <row r="383" spans="1:8" ht="15.75" thickBot="1" x14ac:dyDescent="0.3">
      <c r="A383" s="48" t="s">
        <v>472</v>
      </c>
      <c r="B383" s="49">
        <v>126</v>
      </c>
      <c r="C383" s="50"/>
      <c r="D383" s="50"/>
      <c r="E383" s="50"/>
      <c r="F383" s="44"/>
      <c r="G383" s="44"/>
      <c r="H383" s="44"/>
    </row>
    <row r="384" spans="1:8" ht="15.75" thickBot="1" x14ac:dyDescent="0.3">
      <c r="A384" s="48" t="s">
        <v>473</v>
      </c>
      <c r="B384" s="49">
        <v>244</v>
      </c>
      <c r="C384" s="50"/>
      <c r="D384" s="50"/>
      <c r="E384" s="50"/>
      <c r="F384" s="44"/>
      <c r="G384" s="44"/>
      <c r="H384" s="44"/>
    </row>
    <row r="385" spans="1:8" ht="15.75" thickBot="1" x14ac:dyDescent="0.3">
      <c r="A385" s="48" t="s">
        <v>474</v>
      </c>
      <c r="B385" s="49">
        <v>1326</v>
      </c>
      <c r="C385" s="50"/>
      <c r="D385" s="50"/>
      <c r="E385" s="50"/>
      <c r="F385" s="44"/>
      <c r="G385" s="44"/>
      <c r="H385" s="44"/>
    </row>
    <row r="386" spans="1:8" ht="15.75" thickBot="1" x14ac:dyDescent="0.3">
      <c r="A386" s="48" t="s">
        <v>475</v>
      </c>
      <c r="B386" s="49">
        <v>1177</v>
      </c>
      <c r="C386" s="50"/>
      <c r="D386" s="50"/>
      <c r="E386" s="50"/>
      <c r="F386" s="44"/>
      <c r="G386" s="44"/>
      <c r="H386" s="44"/>
    </row>
    <row r="387" spans="1:8" ht="15.75" thickBot="1" x14ac:dyDescent="0.3">
      <c r="A387" s="48" t="s">
        <v>476</v>
      </c>
      <c r="B387" s="49">
        <v>86</v>
      </c>
      <c r="C387" s="50"/>
      <c r="D387" s="50"/>
      <c r="E387" s="50"/>
      <c r="F387" s="44"/>
      <c r="G387" s="44"/>
      <c r="H387" s="44"/>
    </row>
    <row r="388" spans="1:8" ht="44.25" thickBot="1" x14ac:dyDescent="0.3">
      <c r="A388" s="42" t="s">
        <v>1084</v>
      </c>
      <c r="B388" s="50"/>
      <c r="C388" s="50"/>
      <c r="D388" s="50"/>
      <c r="E388" s="50"/>
      <c r="F388" s="44"/>
      <c r="G388" s="44"/>
      <c r="H388" s="44"/>
    </row>
    <row r="389" spans="1:8" ht="30" thickBot="1" x14ac:dyDescent="0.3">
      <c r="A389" s="56" t="s">
        <v>1085</v>
      </c>
      <c r="B389" s="50"/>
      <c r="C389" s="50"/>
      <c r="D389" s="50"/>
      <c r="E389" s="50"/>
      <c r="F389" s="44"/>
      <c r="G389" s="44"/>
      <c r="H389" s="44"/>
    </row>
    <row r="390" spans="1:8" ht="58.5" thickBot="1" x14ac:dyDescent="0.3">
      <c r="A390" s="42" t="s">
        <v>1086</v>
      </c>
      <c r="B390" s="57" t="s">
        <v>11</v>
      </c>
      <c r="C390" s="50"/>
      <c r="D390" s="50"/>
      <c r="E390" s="50"/>
      <c r="F390" s="44"/>
      <c r="G390" s="44"/>
      <c r="H390" s="44"/>
    </row>
    <row r="391" spans="1:8" ht="15.75" thickBot="1" x14ac:dyDescent="0.3">
      <c r="A391" s="48" t="s">
        <v>477</v>
      </c>
      <c r="B391" s="49">
        <v>105</v>
      </c>
      <c r="C391" s="50"/>
      <c r="D391" s="50"/>
      <c r="E391" s="50"/>
      <c r="F391" s="44"/>
      <c r="G391" s="44"/>
      <c r="H391" s="44"/>
    </row>
    <row r="392" spans="1:8" ht="15.75" thickBot="1" x14ac:dyDescent="0.3">
      <c r="A392" s="48" t="s">
        <v>478</v>
      </c>
      <c r="B392" s="49">
        <v>73</v>
      </c>
      <c r="C392" s="50"/>
      <c r="D392" s="50"/>
      <c r="E392" s="50"/>
      <c r="F392" s="44"/>
      <c r="G392" s="44"/>
      <c r="H392" s="44"/>
    </row>
    <row r="393" spans="1:8" ht="15.75" thickBot="1" x14ac:dyDescent="0.3">
      <c r="A393" s="48" t="s">
        <v>479</v>
      </c>
      <c r="B393" s="49">
        <v>484</v>
      </c>
      <c r="C393" s="50"/>
      <c r="D393" s="50"/>
      <c r="E393" s="50"/>
      <c r="F393" s="44"/>
      <c r="G393" s="44"/>
      <c r="H393" s="44"/>
    </row>
    <row r="394" spans="1:8" ht="15.75" thickBot="1" x14ac:dyDescent="0.3">
      <c r="A394" s="48" t="s">
        <v>480</v>
      </c>
      <c r="B394" s="49">
        <v>84</v>
      </c>
      <c r="C394" s="50"/>
      <c r="D394" s="50"/>
      <c r="E394" s="50"/>
      <c r="F394" s="44"/>
      <c r="G394" s="44"/>
      <c r="H394" s="44"/>
    </row>
    <row r="395" spans="1:8" ht="15.75" thickBot="1" x14ac:dyDescent="0.3">
      <c r="A395" s="48" t="s">
        <v>481</v>
      </c>
      <c r="B395" s="49">
        <v>3523</v>
      </c>
      <c r="C395" s="50"/>
      <c r="D395" s="50"/>
      <c r="E395" s="50"/>
      <c r="F395" s="44"/>
      <c r="G395" s="44"/>
      <c r="H395" s="44"/>
    </row>
    <row r="396" spans="1:8" ht="15.75" thickBot="1" x14ac:dyDescent="0.3">
      <c r="A396" s="48" t="s">
        <v>482</v>
      </c>
      <c r="B396" s="49">
        <v>192</v>
      </c>
      <c r="C396" s="50"/>
      <c r="D396" s="50"/>
      <c r="E396" s="50"/>
      <c r="F396" s="44"/>
      <c r="G396" s="44"/>
      <c r="H396" s="44"/>
    </row>
    <row r="397" spans="1:8" ht="15.75" thickBot="1" x14ac:dyDescent="0.3">
      <c r="A397" s="48" t="s">
        <v>483</v>
      </c>
      <c r="B397" s="49">
        <v>2054</v>
      </c>
      <c r="C397" s="50"/>
      <c r="D397" s="50"/>
      <c r="E397" s="50"/>
      <c r="F397" s="44"/>
      <c r="G397" s="44"/>
      <c r="H397" s="44"/>
    </row>
    <row r="398" spans="1:8" ht="15.75" thickBot="1" x14ac:dyDescent="0.3">
      <c r="A398" s="48" t="s">
        <v>484</v>
      </c>
      <c r="B398" s="49">
        <v>126</v>
      </c>
      <c r="C398" s="50"/>
      <c r="D398" s="50"/>
      <c r="E398" s="50"/>
      <c r="F398" s="44"/>
      <c r="G398" s="44"/>
      <c r="H398" s="44"/>
    </row>
    <row r="399" spans="1:8" ht="15.75" thickBot="1" x14ac:dyDescent="0.3">
      <c r="A399" s="48" t="s">
        <v>485</v>
      </c>
      <c r="B399" s="49">
        <v>171</v>
      </c>
      <c r="C399" s="50"/>
      <c r="D399" s="50"/>
      <c r="E399" s="50"/>
      <c r="F399" s="44"/>
      <c r="G399" s="44"/>
      <c r="H399" s="44"/>
    </row>
    <row r="400" spans="1:8" ht="15.75" thickBot="1" x14ac:dyDescent="0.3">
      <c r="A400" s="48" t="s">
        <v>486</v>
      </c>
      <c r="B400" s="49">
        <v>481</v>
      </c>
      <c r="C400" s="50"/>
      <c r="D400" s="50"/>
      <c r="E400" s="50"/>
      <c r="F400" s="44"/>
      <c r="G400" s="44"/>
      <c r="H400" s="44"/>
    </row>
    <row r="401" spans="1:8" ht="15.75" thickBot="1" x14ac:dyDescent="0.3">
      <c r="A401" s="48" t="s">
        <v>487</v>
      </c>
      <c r="B401" s="49">
        <v>52</v>
      </c>
      <c r="C401" s="50"/>
      <c r="D401" s="50"/>
      <c r="E401" s="50"/>
      <c r="F401" s="44"/>
      <c r="G401" s="44"/>
      <c r="H401" s="44"/>
    </row>
    <row r="402" spans="1:8" ht="15.75" thickBot="1" x14ac:dyDescent="0.3">
      <c r="A402" s="48" t="s">
        <v>488</v>
      </c>
      <c r="B402" s="49">
        <v>778</v>
      </c>
      <c r="C402" s="50"/>
      <c r="D402" s="50"/>
      <c r="E402" s="50"/>
      <c r="F402" s="44"/>
      <c r="G402" s="44"/>
      <c r="H402" s="44"/>
    </row>
    <row r="403" spans="1:8" ht="15.75" thickBot="1" x14ac:dyDescent="0.3">
      <c r="A403" s="48" t="s">
        <v>489</v>
      </c>
      <c r="B403" s="49">
        <v>1473</v>
      </c>
      <c r="C403" s="50"/>
      <c r="D403" s="50"/>
      <c r="E403" s="50"/>
      <c r="F403" s="44"/>
      <c r="G403" s="44"/>
      <c r="H403" s="44"/>
    </row>
    <row r="404" spans="1:8" ht="15.75" thickBot="1" x14ac:dyDescent="0.3">
      <c r="A404" s="48" t="s">
        <v>490</v>
      </c>
      <c r="B404" s="49">
        <v>251</v>
      </c>
      <c r="C404" s="50"/>
      <c r="D404" s="50"/>
      <c r="E404" s="50"/>
      <c r="F404" s="44"/>
      <c r="G404" s="44"/>
      <c r="H404" s="44"/>
    </row>
    <row r="405" spans="1:8" ht="15.75" thickBot="1" x14ac:dyDescent="0.3">
      <c r="A405" s="48" t="s">
        <v>491</v>
      </c>
      <c r="B405" s="49">
        <v>110</v>
      </c>
      <c r="C405" s="50"/>
      <c r="D405" s="50"/>
      <c r="E405" s="50"/>
      <c r="F405" s="44"/>
      <c r="G405" s="44"/>
      <c r="H405" s="44"/>
    </row>
    <row r="406" spans="1:8" ht="15.75" thickBot="1" x14ac:dyDescent="0.3">
      <c r="A406" s="48" t="s">
        <v>492</v>
      </c>
      <c r="B406" s="49">
        <v>147</v>
      </c>
      <c r="C406" s="50"/>
      <c r="D406" s="50"/>
      <c r="E406" s="50"/>
      <c r="F406" s="44"/>
      <c r="G406" s="44"/>
      <c r="H406" s="44"/>
    </row>
    <row r="407" spans="1:8" ht="15.75" thickBot="1" x14ac:dyDescent="0.3">
      <c r="A407" s="48" t="s">
        <v>493</v>
      </c>
      <c r="B407" s="49">
        <v>639</v>
      </c>
      <c r="C407" s="50"/>
      <c r="D407" s="50"/>
      <c r="E407" s="50"/>
      <c r="F407" s="44"/>
      <c r="G407" s="44"/>
      <c r="H407" s="44"/>
    </row>
    <row r="408" spans="1:8" ht="15.75" thickBot="1" x14ac:dyDescent="0.3">
      <c r="A408" s="48" t="s">
        <v>494</v>
      </c>
      <c r="B408" s="49">
        <v>542</v>
      </c>
      <c r="C408" s="50"/>
      <c r="D408" s="50"/>
      <c r="E408" s="50"/>
      <c r="F408" s="44"/>
      <c r="G408" s="44"/>
      <c r="H408" s="44"/>
    </row>
    <row r="409" spans="1:8" ht="15.75" thickBot="1" x14ac:dyDescent="0.3">
      <c r="A409" s="48" t="s">
        <v>495</v>
      </c>
      <c r="B409" s="49">
        <v>273</v>
      </c>
      <c r="C409" s="50"/>
      <c r="D409" s="50"/>
      <c r="E409" s="50"/>
      <c r="F409" s="44"/>
      <c r="G409" s="44"/>
      <c r="H409" s="44"/>
    </row>
    <row r="410" spans="1:8" ht="15.75" thickBot="1" x14ac:dyDescent="0.3">
      <c r="A410" s="48" t="s">
        <v>496</v>
      </c>
      <c r="B410" s="49">
        <v>832</v>
      </c>
      <c r="C410" s="50"/>
      <c r="D410" s="50"/>
      <c r="E410" s="50"/>
      <c r="F410" s="44"/>
      <c r="G410" s="44"/>
      <c r="H410" s="44"/>
    </row>
    <row r="411" spans="1:8" ht="15.75" thickBot="1" x14ac:dyDescent="0.3">
      <c r="A411" s="48" t="s">
        <v>497</v>
      </c>
      <c r="B411" s="49">
        <v>1674</v>
      </c>
      <c r="C411" s="50"/>
      <c r="D411" s="50"/>
      <c r="E411" s="50"/>
      <c r="F411" s="44"/>
      <c r="G411" s="44"/>
      <c r="H411" s="44"/>
    </row>
    <row r="412" spans="1:8" ht="15.75" thickBot="1" x14ac:dyDescent="0.3">
      <c r="A412" s="48" t="s">
        <v>498</v>
      </c>
      <c r="B412" s="49">
        <v>427</v>
      </c>
      <c r="C412" s="50"/>
      <c r="D412" s="50"/>
      <c r="E412" s="50"/>
      <c r="F412" s="44"/>
      <c r="G412" s="44"/>
      <c r="H412" s="44"/>
    </row>
    <row r="413" spans="1:8" ht="15.75" thickBot="1" x14ac:dyDescent="0.3">
      <c r="A413" s="48" t="s">
        <v>499</v>
      </c>
      <c r="B413" s="49">
        <v>2268.5</v>
      </c>
      <c r="C413" s="50"/>
      <c r="D413" s="50"/>
      <c r="E413" s="50"/>
      <c r="F413" s="44"/>
      <c r="G413" s="44"/>
      <c r="H413" s="44"/>
    </row>
    <row r="414" spans="1:8" ht="15.75" thickBot="1" x14ac:dyDescent="0.3">
      <c r="A414" s="48" t="s">
        <v>500</v>
      </c>
      <c r="B414" s="49">
        <v>218</v>
      </c>
      <c r="C414" s="50"/>
      <c r="D414" s="50"/>
      <c r="E414" s="50"/>
      <c r="F414" s="44"/>
      <c r="G414" s="44"/>
      <c r="H414" s="44"/>
    </row>
    <row r="415" spans="1:8" ht="15.75" thickBot="1" x14ac:dyDescent="0.3">
      <c r="A415" s="48" t="s">
        <v>501</v>
      </c>
      <c r="B415" s="49">
        <v>2401</v>
      </c>
      <c r="C415" s="50"/>
      <c r="D415" s="50"/>
      <c r="E415" s="50"/>
      <c r="F415" s="44"/>
      <c r="G415" s="44"/>
      <c r="H415" s="44"/>
    </row>
    <row r="416" spans="1:8" ht="15.75" thickBot="1" x14ac:dyDescent="0.3">
      <c r="A416" s="48" t="s">
        <v>502</v>
      </c>
      <c r="B416" s="49">
        <v>2559</v>
      </c>
      <c r="C416" s="50"/>
      <c r="D416" s="50"/>
      <c r="E416" s="50"/>
      <c r="F416" s="44"/>
      <c r="G416" s="44"/>
      <c r="H416" s="44"/>
    </row>
    <row r="417" spans="1:8" ht="15.75" thickBot="1" x14ac:dyDescent="0.3">
      <c r="A417" s="48" t="s">
        <v>503</v>
      </c>
      <c r="B417" s="49">
        <v>2185</v>
      </c>
      <c r="C417" s="50"/>
      <c r="D417" s="50"/>
      <c r="E417" s="50"/>
      <c r="F417" s="44"/>
      <c r="G417" s="44"/>
      <c r="H417" s="44"/>
    </row>
    <row r="418" spans="1:8" ht="15.75" thickBot="1" x14ac:dyDescent="0.3">
      <c r="A418" s="48" t="s">
        <v>504</v>
      </c>
      <c r="B418" s="49">
        <v>295</v>
      </c>
      <c r="C418" s="50"/>
      <c r="D418" s="50"/>
      <c r="E418" s="50"/>
      <c r="F418" s="44"/>
      <c r="G418" s="44"/>
      <c r="H418" s="44"/>
    </row>
    <row r="419" spans="1:8" ht="15.75" thickBot="1" x14ac:dyDescent="0.3">
      <c r="A419" s="48" t="s">
        <v>505</v>
      </c>
      <c r="B419" s="49">
        <v>115</v>
      </c>
      <c r="C419" s="50"/>
      <c r="D419" s="50"/>
      <c r="E419" s="50"/>
      <c r="F419" s="44"/>
      <c r="G419" s="44"/>
      <c r="H419" s="44"/>
    </row>
    <row r="420" spans="1:8" ht="15.75" thickBot="1" x14ac:dyDescent="0.3">
      <c r="A420" s="48" t="s">
        <v>506</v>
      </c>
      <c r="B420" s="49">
        <v>2695</v>
      </c>
      <c r="C420" s="50"/>
      <c r="D420" s="50"/>
      <c r="E420" s="50"/>
      <c r="F420" s="44"/>
      <c r="G420" s="44"/>
      <c r="H420" s="44"/>
    </row>
    <row r="421" spans="1:8" ht="15.75" thickBot="1" x14ac:dyDescent="0.3">
      <c r="A421" s="48" t="s">
        <v>507</v>
      </c>
      <c r="B421" s="49">
        <v>74</v>
      </c>
      <c r="C421" s="50"/>
      <c r="D421" s="50"/>
      <c r="E421" s="50"/>
      <c r="F421" s="44"/>
      <c r="G421" s="44"/>
      <c r="H421" s="44"/>
    </row>
    <row r="422" spans="1:8" ht="15.75" thickBot="1" x14ac:dyDescent="0.3">
      <c r="A422" s="48" t="s">
        <v>508</v>
      </c>
      <c r="B422" s="49">
        <v>859</v>
      </c>
      <c r="C422" s="50"/>
      <c r="D422" s="50"/>
      <c r="E422" s="50"/>
      <c r="F422" s="44"/>
      <c r="G422" s="44"/>
      <c r="H422" s="44"/>
    </row>
    <row r="423" spans="1:8" ht="15.75" thickBot="1" x14ac:dyDescent="0.3">
      <c r="A423" s="48" t="s">
        <v>509</v>
      </c>
      <c r="B423" s="49" t="s">
        <v>510</v>
      </c>
      <c r="C423" s="49" t="s">
        <v>1004</v>
      </c>
      <c r="D423" s="50"/>
      <c r="E423" s="50"/>
      <c r="F423" s="44"/>
      <c r="G423" s="44"/>
      <c r="H423" s="44"/>
    </row>
    <row r="424" spans="1:8" ht="15.75" thickBot="1" x14ac:dyDescent="0.3">
      <c r="A424" s="48" t="s">
        <v>947</v>
      </c>
      <c r="B424" s="49" t="s">
        <v>948</v>
      </c>
      <c r="C424" s="49" t="s">
        <v>1004</v>
      </c>
      <c r="D424" s="50"/>
      <c r="E424" s="50"/>
      <c r="F424" s="44"/>
      <c r="G424" s="44"/>
      <c r="H424" s="44"/>
    </row>
    <row r="425" spans="1:8" ht="23.25" thickBot="1" x14ac:dyDescent="0.3">
      <c r="A425" s="48" t="s">
        <v>511</v>
      </c>
      <c r="B425" s="49" t="s">
        <v>512</v>
      </c>
      <c r="C425" s="49" t="s">
        <v>997</v>
      </c>
      <c r="D425" s="49">
        <v>6</v>
      </c>
      <c r="E425" s="49">
        <v>17</v>
      </c>
      <c r="F425" s="44"/>
      <c r="G425" s="44"/>
      <c r="H425" s="44"/>
    </row>
    <row r="426" spans="1:8" ht="15.75" thickBot="1" x14ac:dyDescent="0.3">
      <c r="A426" s="48" t="s">
        <v>513</v>
      </c>
      <c r="B426" s="49">
        <v>799</v>
      </c>
      <c r="C426" s="50"/>
      <c r="D426" s="50"/>
      <c r="E426" s="50"/>
      <c r="F426" s="44"/>
      <c r="G426" s="44"/>
      <c r="H426" s="44"/>
    </row>
    <row r="427" spans="1:8" ht="15.75" thickBot="1" x14ac:dyDescent="0.3">
      <c r="A427" s="48" t="s">
        <v>514</v>
      </c>
      <c r="B427" s="49">
        <v>467</v>
      </c>
      <c r="C427" s="50"/>
      <c r="D427" s="50"/>
      <c r="E427" s="50"/>
      <c r="F427" s="44"/>
      <c r="G427" s="44"/>
      <c r="H427" s="44"/>
    </row>
    <row r="428" spans="1:8" ht="15.75" thickBot="1" x14ac:dyDescent="0.3">
      <c r="A428" s="48" t="s">
        <v>515</v>
      </c>
      <c r="B428" s="49">
        <v>321</v>
      </c>
      <c r="C428" s="50"/>
      <c r="D428" s="50"/>
      <c r="E428" s="50"/>
      <c r="F428" s="44"/>
      <c r="G428" s="44"/>
      <c r="H428" s="44"/>
    </row>
    <row r="429" spans="1:8" ht="23.25" thickBot="1" x14ac:dyDescent="0.3">
      <c r="A429" s="48" t="s">
        <v>516</v>
      </c>
      <c r="B429" s="49" t="s">
        <v>517</v>
      </c>
      <c r="C429" s="49" t="s">
        <v>997</v>
      </c>
      <c r="D429" s="49">
        <v>3</v>
      </c>
      <c r="E429" s="49">
        <v>9</v>
      </c>
      <c r="F429" s="44"/>
      <c r="G429" s="44"/>
      <c r="H429" s="44"/>
    </row>
    <row r="430" spans="1:8" ht="15.75" thickBot="1" x14ac:dyDescent="0.3">
      <c r="A430" s="48" t="s">
        <v>518</v>
      </c>
      <c r="B430" s="49">
        <v>3099</v>
      </c>
      <c r="C430" s="50"/>
      <c r="D430" s="50"/>
      <c r="E430" s="50"/>
      <c r="F430" s="44"/>
      <c r="G430" s="44"/>
      <c r="H430" s="44"/>
    </row>
    <row r="431" spans="1:8" ht="15.75" thickBot="1" x14ac:dyDescent="0.3">
      <c r="A431" s="48" t="s">
        <v>519</v>
      </c>
      <c r="B431" s="49">
        <v>3287</v>
      </c>
      <c r="C431" s="50"/>
      <c r="D431" s="50"/>
      <c r="E431" s="50"/>
      <c r="F431" s="44"/>
      <c r="G431" s="44"/>
      <c r="H431" s="44"/>
    </row>
    <row r="432" spans="1:8" ht="15.75" thickBot="1" x14ac:dyDescent="0.3">
      <c r="A432" s="48" t="s">
        <v>520</v>
      </c>
      <c r="B432" s="49">
        <v>48</v>
      </c>
      <c r="C432" s="50"/>
      <c r="D432" s="50"/>
      <c r="E432" s="50"/>
      <c r="F432" s="44"/>
      <c r="G432" s="44"/>
      <c r="H432" s="44"/>
    </row>
    <row r="433" spans="1:8" ht="15.75" thickBot="1" x14ac:dyDescent="0.3">
      <c r="A433" s="48" t="s">
        <v>521</v>
      </c>
      <c r="B433" s="49">
        <v>200</v>
      </c>
      <c r="C433" s="50"/>
      <c r="D433" s="50"/>
      <c r="E433" s="50"/>
      <c r="F433" s="44"/>
      <c r="G433" s="44"/>
      <c r="H433" s="44"/>
    </row>
    <row r="434" spans="1:8" ht="15.75" thickBot="1" x14ac:dyDescent="0.3">
      <c r="A434" s="48" t="s">
        <v>949</v>
      </c>
      <c r="B434" s="49" t="s">
        <v>1087</v>
      </c>
      <c r="C434" s="49" t="s">
        <v>997</v>
      </c>
      <c r="D434" s="49">
        <v>3</v>
      </c>
      <c r="E434" s="49">
        <v>9</v>
      </c>
      <c r="F434" s="44"/>
      <c r="G434" s="44"/>
      <c r="H434" s="44"/>
    </row>
    <row r="435" spans="1:8" ht="23.25" thickBot="1" x14ac:dyDescent="0.3">
      <c r="A435" s="48" t="s">
        <v>522</v>
      </c>
      <c r="B435" s="49" t="s">
        <v>523</v>
      </c>
      <c r="C435" s="49" t="s">
        <v>997</v>
      </c>
      <c r="D435" s="49">
        <v>3</v>
      </c>
      <c r="E435" s="49">
        <v>9</v>
      </c>
      <c r="F435" s="44"/>
      <c r="G435" s="44"/>
      <c r="H435" s="44"/>
    </row>
    <row r="436" spans="1:8" ht="15.75" thickBot="1" x14ac:dyDescent="0.3">
      <c r="A436" s="48" t="s">
        <v>524</v>
      </c>
      <c r="B436" s="49">
        <v>1386</v>
      </c>
      <c r="C436" s="50"/>
      <c r="D436" s="50"/>
      <c r="E436" s="50"/>
      <c r="F436" s="44"/>
      <c r="G436" s="44"/>
      <c r="H436" s="44"/>
    </row>
    <row r="437" spans="1:8" ht="15.75" thickBot="1" x14ac:dyDescent="0.3">
      <c r="A437" s="48" t="s">
        <v>525</v>
      </c>
      <c r="B437" s="49">
        <v>50</v>
      </c>
      <c r="C437" s="50"/>
      <c r="D437" s="50"/>
      <c r="E437" s="50"/>
      <c r="F437" s="44"/>
      <c r="G437" s="44"/>
      <c r="H437" s="44"/>
    </row>
    <row r="438" spans="1:8" ht="15.75" thickBot="1" x14ac:dyDescent="0.3">
      <c r="A438" s="48" t="s">
        <v>526</v>
      </c>
      <c r="B438" s="49">
        <v>575</v>
      </c>
      <c r="C438" s="50"/>
      <c r="D438" s="50"/>
      <c r="E438" s="50"/>
      <c r="F438" s="44"/>
      <c r="G438" s="44"/>
      <c r="H438" s="44"/>
    </row>
    <row r="439" spans="1:8" ht="15.75" thickBot="1" x14ac:dyDescent="0.3">
      <c r="A439" s="48" t="s">
        <v>527</v>
      </c>
      <c r="B439" s="49">
        <v>138</v>
      </c>
      <c r="C439" s="50"/>
      <c r="D439" s="50"/>
      <c r="E439" s="50"/>
      <c r="F439" s="44"/>
      <c r="G439" s="44"/>
      <c r="H439" s="44"/>
    </row>
    <row r="440" spans="1:8" ht="19.5" thickBot="1" x14ac:dyDescent="0.35">
      <c r="A440" s="58" t="s">
        <v>1088</v>
      </c>
      <c r="B440" s="57" t="s">
        <v>13</v>
      </c>
      <c r="C440" s="50"/>
      <c r="D440" s="50"/>
      <c r="E440" s="50"/>
      <c r="F440" s="44"/>
      <c r="G440" s="44"/>
      <c r="H440" s="44"/>
    </row>
    <row r="441" spans="1:8" ht="15.75" thickBot="1" x14ac:dyDescent="0.3">
      <c r="A441" s="48" t="s">
        <v>951</v>
      </c>
      <c r="B441" s="49">
        <v>73</v>
      </c>
      <c r="C441" s="50"/>
      <c r="D441" s="50"/>
      <c r="E441" s="50"/>
      <c r="F441" s="44"/>
      <c r="G441" s="44"/>
      <c r="H441" s="44"/>
    </row>
    <row r="442" spans="1:8" ht="15.75" thickBot="1" x14ac:dyDescent="0.3">
      <c r="A442" s="48" t="s">
        <v>528</v>
      </c>
      <c r="B442" s="49">
        <v>126</v>
      </c>
      <c r="C442" s="50"/>
      <c r="D442" s="50"/>
      <c r="E442" s="50"/>
      <c r="F442" s="44"/>
      <c r="G442" s="44"/>
      <c r="H442" s="44"/>
    </row>
    <row r="443" spans="1:8" ht="15.75" thickBot="1" x14ac:dyDescent="0.3">
      <c r="A443" s="48" t="s">
        <v>529</v>
      </c>
      <c r="B443" s="49">
        <v>279</v>
      </c>
      <c r="C443" s="50"/>
      <c r="D443" s="50"/>
      <c r="E443" s="50"/>
      <c r="F443" s="44"/>
      <c r="G443" s="44"/>
      <c r="H443" s="44"/>
    </row>
    <row r="444" spans="1:8" ht="15.75" thickBot="1" x14ac:dyDescent="0.3">
      <c r="A444" s="48" t="s">
        <v>530</v>
      </c>
      <c r="B444" s="49">
        <v>3706</v>
      </c>
      <c r="C444" s="50"/>
      <c r="D444" s="50"/>
      <c r="E444" s="50"/>
      <c r="F444" s="44"/>
      <c r="G444" s="44"/>
      <c r="H444" s="44"/>
    </row>
    <row r="445" spans="1:8" ht="23.25" thickBot="1" x14ac:dyDescent="0.3">
      <c r="A445" s="48" t="s">
        <v>531</v>
      </c>
      <c r="B445" s="49" t="s">
        <v>1089</v>
      </c>
      <c r="C445" s="49" t="s">
        <v>997</v>
      </c>
      <c r="D445" s="49">
        <v>3</v>
      </c>
      <c r="E445" s="49">
        <v>8</v>
      </c>
      <c r="F445" s="44"/>
      <c r="G445" s="44"/>
      <c r="H445" s="44"/>
    </row>
    <row r="446" spans="1:8" ht="15.75" thickBot="1" x14ac:dyDescent="0.3">
      <c r="A446" s="48" t="s">
        <v>533</v>
      </c>
      <c r="B446" s="49">
        <v>1348</v>
      </c>
      <c r="C446" s="50"/>
      <c r="D446" s="50"/>
      <c r="E446" s="50"/>
      <c r="F446" s="44"/>
      <c r="G446" s="44"/>
      <c r="H446" s="44"/>
    </row>
    <row r="447" spans="1:8" ht="23.25" thickBot="1" x14ac:dyDescent="0.3">
      <c r="A447" s="48" t="s">
        <v>534</v>
      </c>
      <c r="B447" s="49" t="s">
        <v>535</v>
      </c>
      <c r="C447" s="49" t="s">
        <v>997</v>
      </c>
      <c r="D447" s="49">
        <v>2</v>
      </c>
      <c r="E447" s="49">
        <v>6</v>
      </c>
      <c r="F447" s="44"/>
      <c r="G447" s="44"/>
      <c r="H447" s="44"/>
    </row>
    <row r="448" spans="1:8" ht="15.75" thickBot="1" x14ac:dyDescent="0.3">
      <c r="A448" s="48" t="s">
        <v>536</v>
      </c>
      <c r="B448" s="49">
        <v>1289</v>
      </c>
      <c r="C448" s="50"/>
      <c r="D448" s="50"/>
      <c r="E448" s="50"/>
      <c r="F448" s="44"/>
      <c r="G448" s="44"/>
      <c r="H448" s="44"/>
    </row>
    <row r="449" spans="1:8" ht="15.75" thickBot="1" x14ac:dyDescent="0.3">
      <c r="A449" s="48" t="s">
        <v>537</v>
      </c>
      <c r="B449" s="49">
        <v>1771</v>
      </c>
      <c r="C449" s="50"/>
      <c r="D449" s="50"/>
      <c r="E449" s="50"/>
      <c r="F449" s="44"/>
      <c r="G449" s="44"/>
      <c r="H449" s="44"/>
    </row>
    <row r="450" spans="1:8" ht="15.75" thickBot="1" x14ac:dyDescent="0.3">
      <c r="A450" s="48" t="s">
        <v>952</v>
      </c>
      <c r="B450" s="49">
        <v>56</v>
      </c>
      <c r="C450" s="50"/>
      <c r="D450" s="50"/>
      <c r="E450" s="50"/>
      <c r="F450" s="44"/>
      <c r="G450" s="44"/>
      <c r="H450" s="44"/>
    </row>
    <row r="451" spans="1:8" ht="15.75" thickBot="1" x14ac:dyDescent="0.3">
      <c r="A451" s="48" t="s">
        <v>538</v>
      </c>
      <c r="B451" s="49">
        <v>192</v>
      </c>
      <c r="C451" s="50"/>
      <c r="D451" s="50"/>
      <c r="E451" s="50"/>
      <c r="F451" s="44"/>
      <c r="G451" s="44"/>
      <c r="H451" s="44"/>
    </row>
    <row r="452" spans="1:8" ht="15.75" thickBot="1" x14ac:dyDescent="0.3">
      <c r="A452" s="48" t="s">
        <v>539</v>
      </c>
      <c r="B452" s="49">
        <v>1803</v>
      </c>
      <c r="C452" s="50"/>
      <c r="D452" s="50"/>
      <c r="E452" s="50"/>
      <c r="F452" s="44"/>
      <c r="G452" s="44"/>
      <c r="H452" s="44"/>
    </row>
    <row r="453" spans="1:8" ht="15.75" thickBot="1" x14ac:dyDescent="0.3">
      <c r="A453" s="48" t="s">
        <v>540</v>
      </c>
      <c r="B453" s="49">
        <v>1125</v>
      </c>
      <c r="C453" s="50"/>
      <c r="D453" s="50"/>
      <c r="E453" s="50"/>
      <c r="F453" s="44"/>
      <c r="G453" s="44"/>
      <c r="H453" s="44"/>
    </row>
    <row r="454" spans="1:8" ht="15.75" thickBot="1" x14ac:dyDescent="0.3">
      <c r="A454" s="48" t="s">
        <v>541</v>
      </c>
      <c r="B454" s="49">
        <v>292</v>
      </c>
      <c r="C454" s="50"/>
      <c r="D454" s="50"/>
      <c r="E454" s="50"/>
      <c r="F454" s="44"/>
      <c r="G454" s="44"/>
      <c r="H454" s="44"/>
    </row>
    <row r="455" spans="1:8" ht="15.75" thickBot="1" x14ac:dyDescent="0.3">
      <c r="A455" s="48" t="s">
        <v>542</v>
      </c>
      <c r="B455" s="49">
        <v>127</v>
      </c>
      <c r="C455" s="50"/>
      <c r="D455" s="50"/>
      <c r="E455" s="50"/>
      <c r="F455" s="44"/>
      <c r="G455" s="44"/>
      <c r="H455" s="44"/>
    </row>
    <row r="456" spans="1:8" ht="15.75" thickBot="1" x14ac:dyDescent="0.3">
      <c r="A456" s="48" t="s">
        <v>953</v>
      </c>
      <c r="B456" s="49">
        <v>88</v>
      </c>
      <c r="C456" s="50"/>
      <c r="D456" s="50"/>
      <c r="E456" s="50"/>
      <c r="F456" s="44"/>
      <c r="G456" s="44"/>
      <c r="H456" s="44"/>
    </row>
    <row r="457" spans="1:8" ht="15.75" thickBot="1" x14ac:dyDescent="0.3">
      <c r="A457" s="48" t="s">
        <v>543</v>
      </c>
      <c r="B457" s="49">
        <v>1290</v>
      </c>
      <c r="C457" s="50"/>
      <c r="D457" s="50"/>
      <c r="E457" s="50"/>
      <c r="F457" s="44"/>
      <c r="G457" s="44"/>
      <c r="H457" s="44"/>
    </row>
    <row r="458" spans="1:8" ht="15.75" thickBot="1" x14ac:dyDescent="0.3">
      <c r="A458" s="48" t="s">
        <v>544</v>
      </c>
      <c r="B458" s="49">
        <v>234</v>
      </c>
      <c r="C458" s="50"/>
      <c r="D458" s="50"/>
      <c r="E458" s="50"/>
      <c r="F458" s="44"/>
      <c r="G458" s="44"/>
      <c r="H458" s="44"/>
    </row>
    <row r="459" spans="1:8" ht="15.75" thickBot="1" x14ac:dyDescent="0.3">
      <c r="A459" s="48" t="s">
        <v>545</v>
      </c>
      <c r="B459" s="49">
        <v>232</v>
      </c>
      <c r="C459" s="50"/>
      <c r="D459" s="50"/>
      <c r="E459" s="50"/>
      <c r="F459" s="44"/>
      <c r="G459" s="44"/>
      <c r="H459" s="44"/>
    </row>
    <row r="460" spans="1:8" ht="15.75" thickBot="1" x14ac:dyDescent="0.3">
      <c r="A460" s="48" t="s">
        <v>546</v>
      </c>
      <c r="B460" s="49">
        <v>160</v>
      </c>
      <c r="C460" s="50"/>
      <c r="D460" s="50"/>
      <c r="E460" s="50"/>
      <c r="F460" s="44"/>
      <c r="G460" s="44"/>
      <c r="H460" s="44"/>
    </row>
    <row r="461" spans="1:8" ht="15.75" thickBot="1" x14ac:dyDescent="0.3">
      <c r="A461" s="48" t="s">
        <v>547</v>
      </c>
      <c r="B461" s="49">
        <v>163</v>
      </c>
      <c r="C461" s="50"/>
      <c r="D461" s="50"/>
      <c r="E461" s="50"/>
      <c r="F461" s="44"/>
      <c r="G461" s="44"/>
      <c r="H461" s="44"/>
    </row>
    <row r="462" spans="1:8" ht="15.75" thickBot="1" x14ac:dyDescent="0.3">
      <c r="A462" s="48" t="s">
        <v>548</v>
      </c>
      <c r="B462" s="49">
        <v>166</v>
      </c>
      <c r="C462" s="50"/>
      <c r="D462" s="50"/>
      <c r="E462" s="50"/>
      <c r="F462" s="44"/>
      <c r="G462" s="44"/>
      <c r="H462" s="44"/>
    </row>
    <row r="463" spans="1:8" ht="15.75" thickBot="1" x14ac:dyDescent="0.3">
      <c r="A463" s="48" t="s">
        <v>549</v>
      </c>
      <c r="B463" s="49">
        <v>1759</v>
      </c>
      <c r="C463" s="50"/>
      <c r="D463" s="50"/>
      <c r="E463" s="50"/>
      <c r="F463" s="44"/>
      <c r="G463" s="44"/>
      <c r="H463" s="44"/>
    </row>
    <row r="464" spans="1:8" ht="15.75" thickBot="1" x14ac:dyDescent="0.3">
      <c r="A464" s="48" t="s">
        <v>550</v>
      </c>
      <c r="B464" s="49">
        <v>758</v>
      </c>
      <c r="C464" s="50"/>
      <c r="D464" s="50"/>
      <c r="E464" s="50"/>
      <c r="F464" s="44"/>
      <c r="G464" s="44"/>
      <c r="H464" s="44"/>
    </row>
    <row r="465" spans="1:8" ht="15.75" thickBot="1" x14ac:dyDescent="0.3">
      <c r="A465" s="48" t="s">
        <v>551</v>
      </c>
      <c r="B465" s="49">
        <v>4684</v>
      </c>
      <c r="C465" s="50"/>
      <c r="D465" s="50"/>
      <c r="E465" s="50"/>
      <c r="F465" s="44"/>
      <c r="G465" s="44"/>
      <c r="H465" s="44"/>
    </row>
    <row r="466" spans="1:8" ht="23.25" thickBot="1" x14ac:dyDescent="0.3">
      <c r="A466" s="48" t="s">
        <v>552</v>
      </c>
      <c r="B466" s="49" t="s">
        <v>1090</v>
      </c>
      <c r="C466" s="49" t="s">
        <v>997</v>
      </c>
      <c r="D466" s="49">
        <v>3</v>
      </c>
      <c r="E466" s="49">
        <v>7</v>
      </c>
      <c r="F466" s="44"/>
      <c r="G466" s="44"/>
      <c r="H466" s="44"/>
    </row>
    <row r="467" spans="1:8" ht="15.75" thickBot="1" x14ac:dyDescent="0.3">
      <c r="A467" s="48" t="s">
        <v>554</v>
      </c>
      <c r="B467" s="49">
        <v>425</v>
      </c>
      <c r="C467" s="50"/>
      <c r="D467" s="50"/>
      <c r="E467" s="50"/>
      <c r="F467" s="44"/>
      <c r="G467" s="44"/>
      <c r="H467" s="44"/>
    </row>
    <row r="468" spans="1:8" ht="15.75" thickBot="1" x14ac:dyDescent="0.3">
      <c r="A468" s="48" t="s">
        <v>555</v>
      </c>
      <c r="B468" s="49">
        <v>373</v>
      </c>
      <c r="C468" s="50"/>
      <c r="D468" s="50"/>
      <c r="E468" s="50"/>
      <c r="F468" s="44"/>
      <c r="G468" s="44"/>
      <c r="H468" s="44"/>
    </row>
    <row r="469" spans="1:8" ht="15.75" thickBot="1" x14ac:dyDescent="0.3">
      <c r="A469" s="48" t="s">
        <v>556</v>
      </c>
      <c r="B469" s="49">
        <v>3678</v>
      </c>
      <c r="C469" s="50"/>
      <c r="D469" s="50"/>
      <c r="E469" s="50"/>
      <c r="F469" s="44"/>
      <c r="G469" s="44"/>
      <c r="H469" s="44"/>
    </row>
    <row r="470" spans="1:8" ht="23.25" thickBot="1" x14ac:dyDescent="0.3">
      <c r="A470" s="48" t="s">
        <v>954</v>
      </c>
      <c r="B470" s="49" t="s">
        <v>955</v>
      </c>
      <c r="C470" s="49" t="s">
        <v>997</v>
      </c>
      <c r="D470" s="49">
        <v>3</v>
      </c>
      <c r="E470" s="49">
        <v>7</v>
      </c>
      <c r="F470" s="44"/>
      <c r="G470" s="44"/>
      <c r="H470" s="44"/>
    </row>
    <row r="471" spans="1:8" ht="15.75" thickBot="1" x14ac:dyDescent="0.3">
      <c r="A471" s="48" t="s">
        <v>557</v>
      </c>
      <c r="B471" s="49">
        <v>2311</v>
      </c>
      <c r="C471" s="50"/>
      <c r="D471" s="50"/>
      <c r="E471" s="50"/>
      <c r="F471" s="44"/>
      <c r="G471" s="44"/>
      <c r="H471" s="44"/>
    </row>
    <row r="472" spans="1:8" ht="23.25" thickBot="1" x14ac:dyDescent="0.3">
      <c r="A472" s="48" t="s">
        <v>558</v>
      </c>
      <c r="B472" s="49" t="s">
        <v>559</v>
      </c>
      <c r="C472" s="49" t="s">
        <v>997</v>
      </c>
      <c r="D472" s="49">
        <v>3</v>
      </c>
      <c r="E472" s="49">
        <v>7</v>
      </c>
      <c r="F472" s="44"/>
      <c r="G472" s="44"/>
      <c r="H472" s="44"/>
    </row>
    <row r="473" spans="1:8" ht="15.75" thickBot="1" x14ac:dyDescent="0.3">
      <c r="A473" s="48" t="s">
        <v>560</v>
      </c>
      <c r="B473" s="49">
        <v>59</v>
      </c>
      <c r="C473" s="50"/>
      <c r="D473" s="50"/>
      <c r="E473" s="50"/>
      <c r="F473" s="44"/>
      <c r="G473" s="44"/>
      <c r="H473" s="44"/>
    </row>
    <row r="474" spans="1:8" ht="15.75" thickBot="1" x14ac:dyDescent="0.3">
      <c r="A474" s="48" t="s">
        <v>561</v>
      </c>
      <c r="B474" s="49">
        <v>169</v>
      </c>
      <c r="C474" s="50"/>
      <c r="D474" s="50"/>
      <c r="E474" s="50"/>
      <c r="F474" s="44"/>
      <c r="G474" s="44"/>
      <c r="H474" s="44"/>
    </row>
    <row r="475" spans="1:8" ht="15.75" thickBot="1" x14ac:dyDescent="0.3">
      <c r="A475" s="48" t="s">
        <v>562</v>
      </c>
      <c r="B475" s="49">
        <v>1863</v>
      </c>
      <c r="C475" s="50"/>
      <c r="D475" s="50"/>
      <c r="E475" s="50"/>
      <c r="F475" s="44"/>
      <c r="G475" s="44"/>
      <c r="H475" s="44"/>
    </row>
    <row r="476" spans="1:8" ht="15.75" thickBot="1" x14ac:dyDescent="0.3">
      <c r="A476" s="48" t="s">
        <v>563</v>
      </c>
      <c r="B476" s="49">
        <v>293</v>
      </c>
      <c r="C476" s="50"/>
      <c r="D476" s="50"/>
      <c r="E476" s="50"/>
      <c r="F476" s="44"/>
      <c r="G476" s="44"/>
      <c r="H476" s="44"/>
    </row>
    <row r="477" spans="1:8" ht="15.75" thickBot="1" x14ac:dyDescent="0.3">
      <c r="A477" s="48" t="s">
        <v>564</v>
      </c>
      <c r="B477" s="49">
        <v>660</v>
      </c>
      <c r="C477" s="50"/>
      <c r="D477" s="50"/>
      <c r="E477" s="50"/>
      <c r="F477" s="44"/>
      <c r="G477" s="44"/>
      <c r="H477" s="44"/>
    </row>
    <row r="478" spans="1:8" ht="15.75" thickBot="1" x14ac:dyDescent="0.3">
      <c r="A478" s="48" t="s">
        <v>565</v>
      </c>
      <c r="B478" s="49">
        <v>286</v>
      </c>
      <c r="C478" s="50"/>
      <c r="D478" s="50"/>
      <c r="E478" s="50"/>
      <c r="F478" s="44"/>
      <c r="G478" s="44"/>
      <c r="H478" s="44"/>
    </row>
    <row r="479" spans="1:8" ht="15.75" thickBot="1" x14ac:dyDescent="0.3">
      <c r="A479" s="48" t="s">
        <v>566</v>
      </c>
      <c r="B479" s="49">
        <v>130</v>
      </c>
      <c r="C479" s="50"/>
      <c r="D479" s="50"/>
      <c r="E479" s="50"/>
      <c r="F479" s="44"/>
      <c r="G479" s="44"/>
      <c r="H479" s="44"/>
    </row>
    <row r="480" spans="1:8" ht="15.75" thickBot="1" x14ac:dyDescent="0.3">
      <c r="A480" s="48" t="s">
        <v>567</v>
      </c>
      <c r="B480" s="49">
        <v>1056</v>
      </c>
      <c r="C480" s="50"/>
      <c r="D480" s="50"/>
      <c r="E480" s="50"/>
      <c r="F480" s="44"/>
      <c r="G480" s="44"/>
      <c r="H480" s="44"/>
    </row>
    <row r="481" spans="1:8" ht="15.75" thickBot="1" x14ac:dyDescent="0.3">
      <c r="A481" s="48" t="s">
        <v>568</v>
      </c>
      <c r="B481" s="49">
        <v>237</v>
      </c>
      <c r="C481" s="50"/>
      <c r="D481" s="50"/>
      <c r="E481" s="50"/>
      <c r="F481" s="44"/>
      <c r="G481" s="44"/>
      <c r="H481" s="44"/>
    </row>
    <row r="482" spans="1:8" ht="15.75" thickBot="1" x14ac:dyDescent="0.3">
      <c r="A482" s="48" t="s">
        <v>569</v>
      </c>
      <c r="B482" s="49">
        <v>295</v>
      </c>
      <c r="C482" s="50"/>
      <c r="D482" s="50"/>
      <c r="E482" s="50"/>
      <c r="F482" s="44"/>
      <c r="G482" s="44"/>
      <c r="H482" s="44"/>
    </row>
    <row r="483" spans="1:8" ht="15.75" thickBot="1" x14ac:dyDescent="0.3">
      <c r="A483" s="48" t="s">
        <v>570</v>
      </c>
      <c r="B483" s="49">
        <v>587</v>
      </c>
      <c r="C483" s="50"/>
      <c r="D483" s="50"/>
      <c r="E483" s="50"/>
      <c r="F483" s="44"/>
      <c r="G483" s="44"/>
      <c r="H483" s="44"/>
    </row>
    <row r="484" spans="1:8" ht="15.75" thickBot="1" x14ac:dyDescent="0.3">
      <c r="A484" s="48" t="s">
        <v>571</v>
      </c>
      <c r="B484" s="49">
        <v>1177</v>
      </c>
      <c r="C484" s="50"/>
      <c r="D484" s="50"/>
      <c r="E484" s="50"/>
      <c r="F484" s="44"/>
      <c r="G484" s="44"/>
      <c r="H484" s="44"/>
    </row>
    <row r="485" spans="1:8" ht="15.75" thickBot="1" x14ac:dyDescent="0.3">
      <c r="A485" s="48" t="s">
        <v>572</v>
      </c>
      <c r="B485" s="49">
        <v>661</v>
      </c>
      <c r="C485" s="50"/>
      <c r="D485" s="50"/>
      <c r="E485" s="50"/>
      <c r="F485" s="44"/>
      <c r="G485" s="44"/>
      <c r="H485" s="44"/>
    </row>
    <row r="486" spans="1:8" ht="15.75" thickBot="1" x14ac:dyDescent="0.3">
      <c r="A486" s="48" t="s">
        <v>573</v>
      </c>
      <c r="B486" s="49">
        <v>150</v>
      </c>
      <c r="C486" s="50"/>
      <c r="D486" s="50"/>
      <c r="E486" s="50"/>
      <c r="F486" s="44"/>
      <c r="G486" s="44"/>
      <c r="H486" s="44"/>
    </row>
    <row r="487" spans="1:8" ht="15.75" thickBot="1" x14ac:dyDescent="0.3">
      <c r="A487" s="48" t="s">
        <v>574</v>
      </c>
      <c r="B487" s="49">
        <v>1122</v>
      </c>
      <c r="C487" s="50"/>
      <c r="D487" s="50"/>
      <c r="E487" s="50"/>
      <c r="F487" s="44"/>
      <c r="G487" s="44"/>
      <c r="H487" s="44"/>
    </row>
    <row r="488" spans="1:8" ht="15.75" thickBot="1" x14ac:dyDescent="0.3">
      <c r="A488" s="48" t="s">
        <v>575</v>
      </c>
      <c r="B488" s="49">
        <v>167</v>
      </c>
      <c r="C488" s="50"/>
      <c r="D488" s="50"/>
      <c r="E488" s="50"/>
      <c r="F488" s="44"/>
      <c r="G488" s="44"/>
      <c r="H488" s="44"/>
    </row>
    <row r="489" spans="1:8" ht="15.75" thickBot="1" x14ac:dyDescent="0.3">
      <c r="A489" s="48" t="s">
        <v>576</v>
      </c>
      <c r="B489" s="49">
        <v>350</v>
      </c>
      <c r="C489" s="50"/>
      <c r="D489" s="50"/>
      <c r="E489" s="50"/>
      <c r="F489" s="44"/>
      <c r="G489" s="44"/>
      <c r="H489" s="44"/>
    </row>
    <row r="490" spans="1:8" ht="15.75" thickBot="1" x14ac:dyDescent="0.3">
      <c r="A490" s="48" t="s">
        <v>577</v>
      </c>
      <c r="B490" s="49">
        <v>357</v>
      </c>
      <c r="C490" s="50"/>
      <c r="D490" s="50"/>
      <c r="E490" s="50"/>
      <c r="F490" s="44"/>
      <c r="G490" s="44"/>
      <c r="H490" s="44"/>
    </row>
    <row r="491" spans="1:8" ht="15.75" thickBot="1" x14ac:dyDescent="0.3">
      <c r="A491" s="48" t="s">
        <v>578</v>
      </c>
      <c r="B491" s="49">
        <v>87</v>
      </c>
      <c r="C491" s="50"/>
      <c r="D491" s="50"/>
      <c r="E491" s="50"/>
      <c r="F491" s="44"/>
      <c r="G491" s="44"/>
      <c r="H491" s="44"/>
    </row>
    <row r="492" spans="1:8" ht="23.25" thickBot="1" x14ac:dyDescent="0.3">
      <c r="A492" s="48" t="s">
        <v>579</v>
      </c>
      <c r="B492" s="49" t="s">
        <v>580</v>
      </c>
      <c r="C492" s="49" t="s">
        <v>997</v>
      </c>
      <c r="D492" s="49">
        <v>7</v>
      </c>
      <c r="E492" s="49">
        <v>19</v>
      </c>
      <c r="F492" s="44"/>
      <c r="G492" s="44"/>
      <c r="H492" s="44"/>
    </row>
    <row r="493" spans="1:8" ht="15.75" thickBot="1" x14ac:dyDescent="0.3">
      <c r="A493" s="48" t="s">
        <v>581</v>
      </c>
      <c r="B493" s="49">
        <v>1246</v>
      </c>
      <c r="C493" s="50"/>
      <c r="D493" s="50"/>
      <c r="E493" s="50"/>
      <c r="F493" s="44"/>
      <c r="G493" s="44"/>
      <c r="H493" s="44"/>
    </row>
    <row r="494" spans="1:8" ht="15.75" thickBot="1" x14ac:dyDescent="0.3">
      <c r="A494" s="48" t="s">
        <v>582</v>
      </c>
      <c r="B494" s="49">
        <v>174</v>
      </c>
      <c r="C494" s="50"/>
      <c r="D494" s="50"/>
      <c r="E494" s="50"/>
      <c r="F494" s="44"/>
      <c r="G494" s="44"/>
      <c r="H494" s="44"/>
    </row>
    <row r="495" spans="1:8" ht="15.75" thickBot="1" x14ac:dyDescent="0.3">
      <c r="A495" s="48" t="s">
        <v>583</v>
      </c>
      <c r="B495" s="49">
        <v>888</v>
      </c>
      <c r="C495" s="50"/>
      <c r="D495" s="50"/>
      <c r="E495" s="50"/>
      <c r="F495" s="44"/>
      <c r="G495" s="44"/>
      <c r="H495" s="44"/>
    </row>
    <row r="496" spans="1:8" ht="15.75" thickBot="1" x14ac:dyDescent="0.3">
      <c r="A496" s="48" t="s">
        <v>1091</v>
      </c>
      <c r="B496" s="49" t="s">
        <v>1092</v>
      </c>
      <c r="C496" s="49" t="s">
        <v>1014</v>
      </c>
      <c r="D496" s="49">
        <v>5</v>
      </c>
      <c r="E496" s="49">
        <v>14</v>
      </c>
      <c r="F496" s="44"/>
      <c r="G496" s="44"/>
      <c r="H496" s="44"/>
    </row>
    <row r="497" spans="1:8" ht="15.75" thickBot="1" x14ac:dyDescent="0.3">
      <c r="A497" s="48" t="s">
        <v>584</v>
      </c>
      <c r="B497" s="49">
        <v>2001</v>
      </c>
      <c r="C497" s="50"/>
      <c r="D497" s="50"/>
      <c r="E497" s="50"/>
      <c r="F497" s="44"/>
      <c r="G497" s="44"/>
      <c r="H497" s="44"/>
    </row>
    <row r="498" spans="1:8" ht="15.75" thickBot="1" x14ac:dyDescent="0.3">
      <c r="A498" s="48" t="s">
        <v>585</v>
      </c>
      <c r="B498" s="49">
        <v>2185</v>
      </c>
      <c r="C498" s="50"/>
      <c r="D498" s="50"/>
      <c r="E498" s="50"/>
      <c r="F498" s="44"/>
      <c r="G498" s="44"/>
      <c r="H498" s="44"/>
    </row>
    <row r="499" spans="1:8" ht="15.75" thickBot="1" x14ac:dyDescent="0.3">
      <c r="A499" s="48" t="s">
        <v>586</v>
      </c>
      <c r="B499" s="49">
        <v>315</v>
      </c>
      <c r="C499" s="50"/>
      <c r="D499" s="50"/>
      <c r="E499" s="50"/>
      <c r="F499" s="44"/>
      <c r="G499" s="44"/>
      <c r="H499" s="44"/>
    </row>
    <row r="500" spans="1:8" ht="23.25" thickBot="1" x14ac:dyDescent="0.3">
      <c r="A500" s="48" t="s">
        <v>587</v>
      </c>
      <c r="B500" s="49" t="s">
        <v>588</v>
      </c>
      <c r="C500" s="49" t="s">
        <v>997</v>
      </c>
      <c r="D500" s="49">
        <v>3</v>
      </c>
      <c r="E500" s="49">
        <v>7</v>
      </c>
      <c r="F500" s="44"/>
      <c r="G500" s="44"/>
      <c r="H500" s="44"/>
    </row>
    <row r="501" spans="1:8" ht="15.75" thickBot="1" x14ac:dyDescent="0.3">
      <c r="A501" s="48" t="s">
        <v>589</v>
      </c>
      <c r="B501" s="49">
        <v>175</v>
      </c>
      <c r="C501" s="50"/>
      <c r="D501" s="50"/>
      <c r="E501" s="50"/>
      <c r="F501" s="44"/>
      <c r="G501" s="44"/>
      <c r="H501" s="44"/>
    </row>
    <row r="502" spans="1:8" ht="15.75" thickBot="1" x14ac:dyDescent="0.3">
      <c r="A502" s="48" t="s">
        <v>590</v>
      </c>
      <c r="B502" s="49">
        <v>491</v>
      </c>
      <c r="C502" s="50"/>
      <c r="D502" s="50"/>
      <c r="E502" s="50"/>
      <c r="F502" s="44"/>
      <c r="G502" s="44"/>
      <c r="H502" s="44"/>
    </row>
    <row r="503" spans="1:8" ht="15.75" thickBot="1" x14ac:dyDescent="0.3">
      <c r="A503" s="48" t="s">
        <v>592</v>
      </c>
      <c r="B503" s="49">
        <v>902</v>
      </c>
      <c r="C503" s="50"/>
      <c r="D503" s="50"/>
      <c r="E503" s="50"/>
      <c r="F503" s="44"/>
      <c r="G503" s="44"/>
      <c r="H503" s="44"/>
    </row>
    <row r="504" spans="1:8" ht="15.75" thickBot="1" x14ac:dyDescent="0.3">
      <c r="A504" s="48" t="s">
        <v>593</v>
      </c>
      <c r="B504" s="49">
        <v>498</v>
      </c>
      <c r="C504" s="50"/>
      <c r="D504" s="50"/>
      <c r="E504" s="50"/>
      <c r="F504" s="44"/>
      <c r="G504" s="44"/>
      <c r="H504" s="44"/>
    </row>
    <row r="505" spans="1:8" ht="15.75" thickBot="1" x14ac:dyDescent="0.3">
      <c r="A505" s="48" t="s">
        <v>594</v>
      </c>
      <c r="B505" s="49">
        <v>1414</v>
      </c>
      <c r="C505" s="50"/>
      <c r="D505" s="50"/>
      <c r="E505" s="50"/>
      <c r="F505" s="44"/>
      <c r="G505" s="44"/>
      <c r="H505" s="44"/>
    </row>
    <row r="506" spans="1:8" ht="15.75" thickBot="1" x14ac:dyDescent="0.3">
      <c r="A506" s="48" t="s">
        <v>595</v>
      </c>
      <c r="B506" s="49">
        <v>150</v>
      </c>
      <c r="C506" s="50"/>
      <c r="D506" s="50"/>
      <c r="E506" s="50"/>
      <c r="F506" s="44"/>
      <c r="G506" s="44"/>
      <c r="H506" s="44"/>
    </row>
    <row r="507" spans="1:8" ht="15.75" thickBot="1" x14ac:dyDescent="0.3">
      <c r="A507" s="48" t="s">
        <v>596</v>
      </c>
      <c r="B507" s="49">
        <v>95</v>
      </c>
      <c r="C507" s="50"/>
      <c r="D507" s="50"/>
      <c r="E507" s="50"/>
      <c r="F507" s="44"/>
      <c r="G507" s="44"/>
      <c r="H507" s="44"/>
    </row>
    <row r="508" spans="1:8" ht="15.75" thickBot="1" x14ac:dyDescent="0.3">
      <c r="A508" s="48" t="s">
        <v>597</v>
      </c>
      <c r="B508" s="49">
        <v>258</v>
      </c>
      <c r="C508" s="50"/>
      <c r="D508" s="50"/>
      <c r="E508" s="50"/>
      <c r="F508" s="44"/>
      <c r="G508" s="44"/>
      <c r="H508" s="44"/>
    </row>
    <row r="509" spans="1:8" ht="15.75" thickBot="1" x14ac:dyDescent="0.3">
      <c r="A509" s="48" t="s">
        <v>598</v>
      </c>
      <c r="B509" s="49">
        <v>2915</v>
      </c>
      <c r="C509" s="50"/>
      <c r="D509" s="50"/>
      <c r="E509" s="50"/>
      <c r="F509" s="44"/>
      <c r="G509" s="44"/>
      <c r="H509" s="44"/>
    </row>
    <row r="510" spans="1:8" ht="15.75" thickBot="1" x14ac:dyDescent="0.3">
      <c r="A510" s="48" t="s">
        <v>599</v>
      </c>
      <c r="B510" s="49">
        <v>1938</v>
      </c>
      <c r="C510" s="50"/>
      <c r="D510" s="50"/>
      <c r="E510" s="50"/>
      <c r="F510" s="44"/>
      <c r="G510" s="44"/>
      <c r="H510" s="44"/>
    </row>
    <row r="511" spans="1:8" ht="15.75" thickBot="1" x14ac:dyDescent="0.3">
      <c r="A511" s="48" t="s">
        <v>600</v>
      </c>
      <c r="B511" s="49">
        <v>302</v>
      </c>
      <c r="C511" s="50"/>
      <c r="D511" s="50"/>
      <c r="E511" s="50"/>
      <c r="F511" s="44"/>
      <c r="G511" s="44"/>
      <c r="H511" s="44"/>
    </row>
    <row r="512" spans="1:8" ht="15.75" thickBot="1" x14ac:dyDescent="0.3">
      <c r="A512" s="48" t="s">
        <v>601</v>
      </c>
      <c r="B512" s="49">
        <v>483</v>
      </c>
      <c r="C512" s="50"/>
      <c r="D512" s="50"/>
      <c r="E512" s="50"/>
      <c r="F512" s="44"/>
      <c r="G512" s="44"/>
      <c r="H512" s="44"/>
    </row>
    <row r="513" spans="1:8" ht="15.75" thickBot="1" x14ac:dyDescent="0.3">
      <c r="A513" s="48" t="s">
        <v>602</v>
      </c>
      <c r="B513" s="49">
        <v>294</v>
      </c>
      <c r="C513" s="50"/>
      <c r="D513" s="50"/>
      <c r="E513" s="50"/>
      <c r="F513" s="44"/>
      <c r="G513" s="44"/>
      <c r="H513" s="44"/>
    </row>
    <row r="514" spans="1:8" ht="15.75" thickBot="1" x14ac:dyDescent="0.3">
      <c r="A514" s="48" t="s">
        <v>603</v>
      </c>
      <c r="B514" s="49">
        <v>488</v>
      </c>
      <c r="C514" s="50"/>
      <c r="D514" s="50"/>
      <c r="E514" s="50"/>
      <c r="F514" s="44"/>
      <c r="G514" s="44"/>
      <c r="H514" s="44"/>
    </row>
    <row r="515" spans="1:8" ht="15.75" thickBot="1" x14ac:dyDescent="0.3">
      <c r="A515" s="48" t="s">
        <v>604</v>
      </c>
      <c r="B515" s="49" t="s">
        <v>605</v>
      </c>
      <c r="C515" s="49" t="s">
        <v>997</v>
      </c>
      <c r="D515" s="49">
        <v>2</v>
      </c>
      <c r="E515" s="49">
        <v>5</v>
      </c>
      <c r="F515" s="44"/>
      <c r="G515" s="44"/>
      <c r="H515" s="44"/>
    </row>
    <row r="516" spans="1:8" ht="15.75" thickBot="1" x14ac:dyDescent="0.3">
      <c r="A516" s="48" t="s">
        <v>606</v>
      </c>
      <c r="B516" s="49">
        <v>853</v>
      </c>
      <c r="C516" s="50"/>
      <c r="D516" s="50"/>
      <c r="E516" s="50"/>
      <c r="F516" s="44"/>
      <c r="G516" s="44"/>
      <c r="H516" s="44"/>
    </row>
    <row r="517" spans="1:8" ht="15.75" thickBot="1" x14ac:dyDescent="0.3">
      <c r="A517" s="48" t="s">
        <v>607</v>
      </c>
      <c r="B517" s="49">
        <v>295</v>
      </c>
      <c r="C517" s="50"/>
      <c r="D517" s="50"/>
      <c r="E517" s="50"/>
      <c r="F517" s="44"/>
      <c r="G517" s="44"/>
      <c r="H517" s="44"/>
    </row>
    <row r="518" spans="1:8" ht="15.75" thickBot="1" x14ac:dyDescent="0.3">
      <c r="A518" s="48" t="s">
        <v>609</v>
      </c>
      <c r="B518" s="49">
        <v>1045</v>
      </c>
      <c r="C518" s="50"/>
      <c r="D518" s="50"/>
      <c r="E518" s="50"/>
      <c r="F518" s="44"/>
      <c r="G518" s="44"/>
      <c r="H518" s="44"/>
    </row>
    <row r="519" spans="1:8" ht="15.75" thickBot="1" x14ac:dyDescent="0.3">
      <c r="A519" s="48" t="s">
        <v>957</v>
      </c>
      <c r="B519" s="49" t="s">
        <v>958</v>
      </c>
      <c r="C519" s="49" t="s">
        <v>997</v>
      </c>
      <c r="D519" s="49">
        <v>2</v>
      </c>
      <c r="E519" s="49">
        <v>4</v>
      </c>
      <c r="F519" s="44"/>
      <c r="G519" s="44"/>
      <c r="H519" s="44"/>
    </row>
    <row r="520" spans="1:8" ht="15.75" thickBot="1" x14ac:dyDescent="0.3">
      <c r="A520" s="48" t="s">
        <v>610</v>
      </c>
      <c r="B520" s="49">
        <v>123</v>
      </c>
      <c r="C520" s="50"/>
      <c r="D520" s="50"/>
      <c r="E520" s="50"/>
      <c r="F520" s="44"/>
      <c r="G520" s="44"/>
      <c r="H520" s="44"/>
    </row>
    <row r="521" spans="1:8" ht="15.75" thickBot="1" x14ac:dyDescent="0.3">
      <c r="A521" s="48" t="s">
        <v>612</v>
      </c>
      <c r="B521" s="49">
        <v>211</v>
      </c>
      <c r="C521" s="50"/>
      <c r="D521" s="50"/>
      <c r="E521" s="50"/>
      <c r="F521" s="44"/>
      <c r="G521" s="44"/>
      <c r="H521" s="44"/>
    </row>
    <row r="522" spans="1:8" ht="15.75" thickBot="1" x14ac:dyDescent="0.3">
      <c r="A522" s="48" t="s">
        <v>613</v>
      </c>
      <c r="B522" s="49">
        <v>452</v>
      </c>
      <c r="C522" s="50"/>
      <c r="D522" s="50"/>
      <c r="E522" s="50"/>
      <c r="F522" s="44"/>
      <c r="G522" s="44"/>
      <c r="H522" s="44"/>
    </row>
    <row r="523" spans="1:8" ht="15.75" thickBot="1" x14ac:dyDescent="0.3">
      <c r="A523" s="48" t="s">
        <v>614</v>
      </c>
      <c r="B523" s="49">
        <v>140</v>
      </c>
      <c r="C523" s="50"/>
      <c r="D523" s="50"/>
      <c r="E523" s="50"/>
      <c r="F523" s="44"/>
      <c r="G523" s="44"/>
      <c r="H523" s="44"/>
    </row>
    <row r="524" spans="1:8" ht="15.75" thickBot="1" x14ac:dyDescent="0.3">
      <c r="A524" s="48" t="s">
        <v>615</v>
      </c>
      <c r="B524" s="49">
        <v>2142</v>
      </c>
      <c r="C524" s="50"/>
      <c r="D524" s="50"/>
      <c r="E524" s="50"/>
      <c r="F524" s="44"/>
      <c r="G524" s="44"/>
      <c r="H524" s="44"/>
    </row>
    <row r="525" spans="1:8" ht="15.75" thickBot="1" x14ac:dyDescent="0.3">
      <c r="A525" s="48" t="s">
        <v>616</v>
      </c>
      <c r="B525" s="49">
        <v>173</v>
      </c>
      <c r="C525" s="50"/>
      <c r="D525" s="50"/>
      <c r="E525" s="50"/>
      <c r="F525" s="44"/>
      <c r="G525" s="44"/>
      <c r="H525" s="44"/>
    </row>
    <row r="526" spans="1:8" ht="15.75" thickBot="1" x14ac:dyDescent="0.3">
      <c r="A526" s="48" t="s">
        <v>617</v>
      </c>
      <c r="B526" s="49">
        <v>224</v>
      </c>
      <c r="C526" s="50"/>
      <c r="D526" s="50"/>
      <c r="E526" s="50"/>
      <c r="F526" s="44"/>
      <c r="G526" s="44"/>
      <c r="H526" s="44"/>
    </row>
    <row r="527" spans="1:8" ht="15.75" thickBot="1" x14ac:dyDescent="0.3">
      <c r="A527" s="48" t="s">
        <v>618</v>
      </c>
      <c r="B527" s="49">
        <v>1217</v>
      </c>
      <c r="C527" s="50"/>
      <c r="D527" s="50"/>
      <c r="E527" s="50"/>
      <c r="F527" s="44"/>
      <c r="G527" s="44"/>
      <c r="H527" s="44"/>
    </row>
    <row r="528" spans="1:8" ht="15.75" thickBot="1" x14ac:dyDescent="0.3">
      <c r="A528" s="48" t="s">
        <v>619</v>
      </c>
      <c r="B528" s="49">
        <v>752</v>
      </c>
      <c r="C528" s="50"/>
      <c r="D528" s="50"/>
      <c r="E528" s="50"/>
      <c r="F528" s="44"/>
      <c r="G528" s="44"/>
      <c r="H528" s="44"/>
    </row>
    <row r="529" spans="1:8" ht="15.75" thickBot="1" x14ac:dyDescent="0.3">
      <c r="A529" s="48" t="s">
        <v>620</v>
      </c>
      <c r="B529" s="49">
        <v>115</v>
      </c>
      <c r="C529" s="50"/>
      <c r="D529" s="50"/>
      <c r="E529" s="50"/>
      <c r="F529" s="44"/>
      <c r="G529" s="44"/>
      <c r="H529" s="44"/>
    </row>
    <row r="530" spans="1:8" ht="23.25" thickBot="1" x14ac:dyDescent="0.3">
      <c r="A530" s="48" t="s">
        <v>621</v>
      </c>
      <c r="B530" s="49" t="s">
        <v>1093</v>
      </c>
      <c r="C530" s="49" t="s">
        <v>997</v>
      </c>
      <c r="D530" s="49">
        <v>2</v>
      </c>
      <c r="E530" s="49">
        <v>6</v>
      </c>
      <c r="F530" s="44"/>
      <c r="G530" s="44"/>
      <c r="H530" s="44"/>
    </row>
    <row r="531" spans="1:8" ht="15.75" thickBot="1" x14ac:dyDescent="0.3">
      <c r="A531" s="48" t="s">
        <v>623</v>
      </c>
      <c r="B531" s="49">
        <v>2204</v>
      </c>
      <c r="C531" s="50"/>
      <c r="D531" s="50"/>
      <c r="E531" s="50"/>
      <c r="F531" s="44"/>
      <c r="G531" s="44"/>
      <c r="H531" s="44"/>
    </row>
    <row r="532" spans="1:8" ht="15.75" thickBot="1" x14ac:dyDescent="0.3">
      <c r="A532" s="48" t="s">
        <v>624</v>
      </c>
      <c r="B532" s="49">
        <v>565</v>
      </c>
      <c r="C532" s="50"/>
      <c r="D532" s="50"/>
      <c r="E532" s="50"/>
      <c r="F532" s="44"/>
      <c r="G532" s="44"/>
      <c r="H532" s="44"/>
    </row>
    <row r="533" spans="1:8" ht="15.75" thickBot="1" x14ac:dyDescent="0.3">
      <c r="A533" s="48" t="s">
        <v>627</v>
      </c>
      <c r="B533" s="49">
        <v>2454</v>
      </c>
      <c r="C533" s="50"/>
      <c r="D533" s="50"/>
      <c r="E533" s="50"/>
      <c r="F533" s="44"/>
      <c r="G533" s="44"/>
      <c r="H533" s="44"/>
    </row>
    <row r="534" spans="1:8" ht="15.75" thickBot="1" x14ac:dyDescent="0.3">
      <c r="A534" s="48" t="s">
        <v>628</v>
      </c>
      <c r="B534" s="49">
        <v>2978</v>
      </c>
      <c r="C534" s="50"/>
      <c r="D534" s="50"/>
      <c r="E534" s="50"/>
      <c r="F534" s="44"/>
      <c r="G534" s="44"/>
      <c r="H534" s="44"/>
    </row>
    <row r="535" spans="1:8" ht="15.75" thickBot="1" x14ac:dyDescent="0.3">
      <c r="A535" s="48" t="s">
        <v>629</v>
      </c>
      <c r="B535" s="49">
        <v>2454</v>
      </c>
      <c r="C535" s="50"/>
      <c r="D535" s="50"/>
      <c r="E535" s="50"/>
      <c r="F535" s="44"/>
      <c r="G535" s="44"/>
      <c r="H535" s="44"/>
    </row>
    <row r="536" spans="1:8" ht="15.75" thickBot="1" x14ac:dyDescent="0.3">
      <c r="A536" s="48" t="s">
        <v>630</v>
      </c>
      <c r="B536" s="49">
        <v>359</v>
      </c>
      <c r="C536" s="50"/>
      <c r="D536" s="50"/>
      <c r="E536" s="50"/>
      <c r="F536" s="44"/>
      <c r="G536" s="44"/>
      <c r="H536" s="44"/>
    </row>
    <row r="537" spans="1:8" ht="15.75" thickBot="1" x14ac:dyDescent="0.3">
      <c r="A537" s="48" t="s">
        <v>631</v>
      </c>
      <c r="B537" s="49">
        <v>174</v>
      </c>
      <c r="C537" s="50"/>
      <c r="D537" s="50"/>
      <c r="E537" s="50"/>
      <c r="F537" s="44"/>
      <c r="G537" s="44"/>
      <c r="H537" s="44"/>
    </row>
    <row r="538" spans="1:8" ht="15.75" thickBot="1" x14ac:dyDescent="0.3">
      <c r="A538" s="48" t="s">
        <v>632</v>
      </c>
      <c r="B538" s="49">
        <v>170</v>
      </c>
      <c r="C538" s="50"/>
      <c r="D538" s="50"/>
      <c r="E538" s="50"/>
      <c r="F538" s="44"/>
      <c r="G538" s="44"/>
      <c r="H538" s="44"/>
    </row>
    <row r="539" spans="1:8" ht="15.75" thickBot="1" x14ac:dyDescent="0.3">
      <c r="A539" s="48" t="s">
        <v>633</v>
      </c>
      <c r="B539" s="49">
        <v>258</v>
      </c>
      <c r="C539" s="50"/>
      <c r="D539" s="50"/>
      <c r="E539" s="50"/>
      <c r="F539" s="44"/>
      <c r="G539" s="44"/>
      <c r="H539" s="44"/>
    </row>
    <row r="540" spans="1:8" ht="15.75" thickBot="1" x14ac:dyDescent="0.3">
      <c r="A540" s="48" t="s">
        <v>634</v>
      </c>
      <c r="B540" s="49">
        <v>1970</v>
      </c>
      <c r="C540" s="50"/>
      <c r="D540" s="50"/>
      <c r="E540" s="50"/>
      <c r="F540" s="44"/>
      <c r="G540" s="44"/>
      <c r="H540" s="44"/>
    </row>
    <row r="541" spans="1:8" ht="15.75" thickBot="1" x14ac:dyDescent="0.3">
      <c r="A541" s="48" t="s">
        <v>635</v>
      </c>
      <c r="B541" s="49">
        <v>2047</v>
      </c>
      <c r="C541" s="50"/>
      <c r="D541" s="50"/>
      <c r="E541" s="50"/>
      <c r="F541" s="44"/>
      <c r="G541" s="44"/>
      <c r="H541" s="44"/>
    </row>
    <row r="542" spans="1:8" ht="23.25" thickBot="1" x14ac:dyDescent="0.3">
      <c r="A542" s="48" t="s">
        <v>636</v>
      </c>
      <c r="B542" s="49" t="s">
        <v>1094</v>
      </c>
      <c r="C542" s="49" t="s">
        <v>997</v>
      </c>
      <c r="D542" s="49">
        <v>3</v>
      </c>
      <c r="E542" s="49">
        <v>9</v>
      </c>
      <c r="F542" s="44"/>
      <c r="G542" s="44"/>
      <c r="H542" s="44"/>
    </row>
    <row r="543" spans="1:8" ht="15.75" thickBot="1" x14ac:dyDescent="0.3">
      <c r="A543" s="48" t="s">
        <v>638</v>
      </c>
      <c r="B543" s="49">
        <v>178</v>
      </c>
      <c r="C543" s="50"/>
      <c r="D543" s="50"/>
      <c r="E543" s="50"/>
      <c r="F543" s="44"/>
      <c r="G543" s="44"/>
      <c r="H543" s="44"/>
    </row>
    <row r="544" spans="1:8" ht="15.75" thickBot="1" x14ac:dyDescent="0.3">
      <c r="A544" s="48" t="s">
        <v>639</v>
      </c>
      <c r="B544" s="49">
        <v>403</v>
      </c>
      <c r="C544" s="50"/>
      <c r="D544" s="50"/>
      <c r="E544" s="50"/>
      <c r="F544" s="44"/>
      <c r="G544" s="44"/>
      <c r="H544" s="44"/>
    </row>
    <row r="545" spans="1:8" ht="15.75" thickBot="1" x14ac:dyDescent="0.3">
      <c r="A545" s="48" t="s">
        <v>640</v>
      </c>
      <c r="B545" s="49">
        <v>198</v>
      </c>
      <c r="C545" s="50"/>
      <c r="D545" s="50"/>
      <c r="E545" s="50"/>
      <c r="F545" s="44"/>
      <c r="G545" s="44"/>
      <c r="H545" s="44"/>
    </row>
    <row r="546" spans="1:8" ht="23.25" thickBot="1" x14ac:dyDescent="0.3">
      <c r="A546" s="48" t="s">
        <v>641</v>
      </c>
      <c r="B546" s="49" t="s">
        <v>642</v>
      </c>
      <c r="C546" s="49" t="s">
        <v>997</v>
      </c>
      <c r="D546" s="49">
        <v>2</v>
      </c>
      <c r="E546" s="49">
        <v>4</v>
      </c>
      <c r="F546" s="44"/>
      <c r="G546" s="44"/>
      <c r="H546" s="44"/>
    </row>
    <row r="547" spans="1:8" ht="23.25" thickBot="1" x14ac:dyDescent="0.3">
      <c r="A547" s="48" t="s">
        <v>643</v>
      </c>
      <c r="B547" s="49" t="s">
        <v>1095</v>
      </c>
      <c r="C547" s="49" t="s">
        <v>997</v>
      </c>
      <c r="D547" s="49">
        <v>2</v>
      </c>
      <c r="E547" s="49">
        <v>4</v>
      </c>
      <c r="F547" s="44"/>
      <c r="G547" s="44"/>
      <c r="H547" s="44"/>
    </row>
    <row r="548" spans="1:8" ht="15.75" thickBot="1" x14ac:dyDescent="0.3">
      <c r="A548" s="48" t="s">
        <v>645</v>
      </c>
      <c r="B548" s="49">
        <v>182</v>
      </c>
      <c r="C548" s="50"/>
      <c r="D548" s="50"/>
      <c r="E548" s="50"/>
      <c r="F548" s="44"/>
      <c r="G548" s="44"/>
      <c r="H548" s="44"/>
    </row>
    <row r="549" spans="1:8" ht="15.75" thickBot="1" x14ac:dyDescent="0.3">
      <c r="A549" s="48" t="s">
        <v>959</v>
      </c>
      <c r="B549" s="49" t="s">
        <v>960</v>
      </c>
      <c r="C549" s="49" t="s">
        <v>997</v>
      </c>
      <c r="D549" s="49">
        <v>5</v>
      </c>
      <c r="E549" s="49">
        <v>15</v>
      </c>
      <c r="F549" s="44"/>
      <c r="G549" s="44"/>
      <c r="H549" s="44"/>
    </row>
    <row r="550" spans="1:8" ht="15.75" thickBot="1" x14ac:dyDescent="0.3">
      <c r="A550" s="48" t="s">
        <v>646</v>
      </c>
      <c r="B550" s="49">
        <v>1442</v>
      </c>
      <c r="C550" s="50"/>
      <c r="D550" s="50"/>
      <c r="E550" s="50"/>
      <c r="F550" s="44"/>
      <c r="G550" s="44"/>
      <c r="H550" s="44"/>
    </row>
    <row r="551" spans="1:8" ht="15.75" thickBot="1" x14ac:dyDescent="0.3">
      <c r="A551" s="48" t="s">
        <v>647</v>
      </c>
      <c r="B551" s="49">
        <v>2057</v>
      </c>
      <c r="C551" s="50"/>
      <c r="D551" s="50"/>
      <c r="E551" s="50"/>
      <c r="F551" s="44"/>
      <c r="G551" s="44"/>
      <c r="H551" s="44"/>
    </row>
    <row r="552" spans="1:8" ht="23.25" thickBot="1" x14ac:dyDescent="0.3">
      <c r="A552" s="48" t="s">
        <v>648</v>
      </c>
      <c r="B552" s="49" t="s">
        <v>1071</v>
      </c>
      <c r="C552" s="49" t="s">
        <v>1000</v>
      </c>
      <c r="D552" s="50"/>
      <c r="E552" s="50"/>
      <c r="F552" s="44"/>
      <c r="G552" s="44"/>
      <c r="H552" s="44"/>
    </row>
    <row r="553" spans="1:8" ht="15.75" thickBot="1" x14ac:dyDescent="0.3">
      <c r="A553" s="48" t="s">
        <v>649</v>
      </c>
      <c r="B553" s="49">
        <v>988</v>
      </c>
      <c r="C553" s="50"/>
      <c r="D553" s="50"/>
      <c r="E553" s="50"/>
      <c r="F553" s="44"/>
      <c r="G553" s="44"/>
      <c r="H553" s="44"/>
    </row>
    <row r="554" spans="1:8" ht="15.75" thickBot="1" x14ac:dyDescent="0.3">
      <c r="A554" s="48" t="s">
        <v>650</v>
      </c>
      <c r="B554" s="49">
        <v>195</v>
      </c>
      <c r="C554" s="50"/>
      <c r="D554" s="50"/>
      <c r="E554" s="50"/>
      <c r="F554" s="44"/>
      <c r="G554" s="44"/>
      <c r="H554" s="44"/>
    </row>
    <row r="555" spans="1:8" ht="15.75" thickBot="1" x14ac:dyDescent="0.3">
      <c r="A555" s="48" t="s">
        <v>651</v>
      </c>
      <c r="B555" s="49">
        <v>818</v>
      </c>
      <c r="C555" s="50"/>
      <c r="D555" s="50"/>
      <c r="E555" s="50"/>
      <c r="F555" s="44"/>
      <c r="G555" s="44"/>
      <c r="H555" s="44"/>
    </row>
    <row r="556" spans="1:8" ht="15.75" thickBot="1" x14ac:dyDescent="0.3">
      <c r="A556" s="48" t="s">
        <v>652</v>
      </c>
      <c r="B556" s="49">
        <v>2111</v>
      </c>
      <c r="C556" s="50"/>
      <c r="D556" s="50"/>
      <c r="E556" s="50"/>
      <c r="F556" s="44"/>
      <c r="G556" s="44"/>
      <c r="H556" s="44"/>
    </row>
    <row r="557" spans="1:8" ht="15.75" thickBot="1" x14ac:dyDescent="0.3">
      <c r="A557" s="48" t="s">
        <v>653</v>
      </c>
      <c r="B557" s="49" t="s">
        <v>654</v>
      </c>
      <c r="C557" s="49" t="s">
        <v>997</v>
      </c>
      <c r="D557" s="49">
        <v>2</v>
      </c>
      <c r="E557" s="49">
        <v>4</v>
      </c>
      <c r="F557" s="44"/>
      <c r="G557" s="44"/>
      <c r="H557" s="44"/>
    </row>
    <row r="558" spans="1:8" ht="15.75" thickBot="1" x14ac:dyDescent="0.3">
      <c r="A558" s="48" t="s">
        <v>664</v>
      </c>
      <c r="B558" s="49" t="s">
        <v>665</v>
      </c>
      <c r="C558" s="49" t="s">
        <v>997</v>
      </c>
      <c r="D558" s="49">
        <v>7</v>
      </c>
      <c r="E558" s="49">
        <v>19</v>
      </c>
      <c r="F558" s="44"/>
      <c r="G558" s="44"/>
      <c r="H558" s="44"/>
    </row>
    <row r="559" spans="1:8" ht="15.75" thickBot="1" x14ac:dyDescent="0.3">
      <c r="A559" s="48" t="s">
        <v>666</v>
      </c>
      <c r="B559" s="49">
        <v>2543</v>
      </c>
      <c r="C559" s="50"/>
      <c r="D559" s="50"/>
      <c r="E559" s="50"/>
      <c r="F559" s="44"/>
      <c r="G559" s="44"/>
      <c r="H559" s="44"/>
    </row>
    <row r="560" spans="1:8" ht="15.75" thickBot="1" x14ac:dyDescent="0.3">
      <c r="A560" s="48" t="s">
        <v>655</v>
      </c>
      <c r="B560" s="49">
        <v>1329</v>
      </c>
      <c r="C560" s="50"/>
      <c r="D560" s="50"/>
      <c r="E560" s="50"/>
      <c r="F560" s="44"/>
      <c r="G560" s="44"/>
      <c r="H560" s="44"/>
    </row>
    <row r="561" spans="1:8" ht="15.75" thickBot="1" x14ac:dyDescent="0.3">
      <c r="A561" s="48" t="s">
        <v>656</v>
      </c>
      <c r="B561" s="49">
        <v>1792</v>
      </c>
      <c r="C561" s="50"/>
      <c r="D561" s="50"/>
      <c r="E561" s="50"/>
      <c r="F561" s="44"/>
      <c r="G561" s="44"/>
      <c r="H561" s="44"/>
    </row>
    <row r="562" spans="1:8" ht="15.75" thickBot="1" x14ac:dyDescent="0.3">
      <c r="A562" s="48" t="s">
        <v>657</v>
      </c>
      <c r="B562" s="49">
        <v>1606</v>
      </c>
      <c r="C562" s="50"/>
      <c r="D562" s="50"/>
      <c r="E562" s="50"/>
      <c r="F562" s="44"/>
      <c r="G562" s="44"/>
      <c r="H562" s="44"/>
    </row>
    <row r="563" spans="1:8" ht="23.25" thickBot="1" x14ac:dyDescent="0.3">
      <c r="A563" s="48" t="s">
        <v>658</v>
      </c>
      <c r="B563" s="49" t="s">
        <v>1096</v>
      </c>
      <c r="C563" s="49" t="s">
        <v>997</v>
      </c>
      <c r="D563" s="49">
        <v>3</v>
      </c>
      <c r="E563" s="49">
        <v>7</v>
      </c>
      <c r="F563" s="44"/>
      <c r="G563" s="44"/>
      <c r="H563" s="44"/>
    </row>
    <row r="564" spans="1:8" ht="15.75" thickBot="1" x14ac:dyDescent="0.3">
      <c r="A564" s="48" t="s">
        <v>660</v>
      </c>
      <c r="B564" s="49">
        <v>3289</v>
      </c>
      <c r="C564" s="50"/>
      <c r="D564" s="50"/>
      <c r="E564" s="50"/>
      <c r="F564" s="44"/>
      <c r="G564" s="44"/>
      <c r="H564" s="44"/>
    </row>
    <row r="565" spans="1:8" ht="15.75" thickBot="1" x14ac:dyDescent="0.3">
      <c r="A565" s="48" t="s">
        <v>661</v>
      </c>
      <c r="B565" s="49">
        <v>54</v>
      </c>
      <c r="C565" s="50"/>
      <c r="D565" s="50"/>
      <c r="E565" s="50"/>
      <c r="F565" s="44"/>
      <c r="G565" s="44"/>
      <c r="H565" s="44"/>
    </row>
    <row r="566" spans="1:8" ht="15.75" thickBot="1" x14ac:dyDescent="0.3">
      <c r="A566" s="48" t="s">
        <v>662</v>
      </c>
      <c r="B566" s="49">
        <v>155</v>
      </c>
      <c r="C566" s="50"/>
      <c r="D566" s="50"/>
      <c r="E566" s="50"/>
      <c r="F566" s="44"/>
      <c r="G566" s="44"/>
      <c r="H566" s="44"/>
    </row>
    <row r="567" spans="1:8" ht="15.75" thickBot="1" x14ac:dyDescent="0.3">
      <c r="A567" s="48" t="s">
        <v>667</v>
      </c>
      <c r="B567" s="49">
        <v>158</v>
      </c>
      <c r="C567" s="50"/>
      <c r="D567" s="50"/>
      <c r="E567" s="50"/>
      <c r="F567" s="44"/>
      <c r="G567" s="44"/>
      <c r="H567" s="44"/>
    </row>
    <row r="568" spans="1:8" ht="15.75" thickBot="1" x14ac:dyDescent="0.3">
      <c r="A568" s="48" t="s">
        <v>668</v>
      </c>
      <c r="B568" s="49">
        <v>668</v>
      </c>
      <c r="C568" s="50"/>
      <c r="D568" s="50"/>
      <c r="E568" s="50"/>
      <c r="F568" s="44"/>
      <c r="G568" s="44"/>
      <c r="H568" s="44"/>
    </row>
    <row r="569" spans="1:8" ht="15.75" thickBot="1" x14ac:dyDescent="0.3">
      <c r="A569" s="48" t="s">
        <v>669</v>
      </c>
      <c r="B569" s="49">
        <v>165</v>
      </c>
      <c r="C569" s="50"/>
      <c r="D569" s="50"/>
      <c r="E569" s="50"/>
      <c r="F569" s="44"/>
      <c r="G569" s="44"/>
      <c r="H569" s="44"/>
    </row>
    <row r="570" spans="1:8" ht="15.75" thickBot="1" x14ac:dyDescent="0.3">
      <c r="A570" s="48" t="s">
        <v>670</v>
      </c>
      <c r="B570" s="49">
        <v>103</v>
      </c>
      <c r="C570" s="50"/>
      <c r="D570" s="50"/>
      <c r="E570" s="50"/>
      <c r="F570" s="44"/>
      <c r="G570" s="44"/>
      <c r="H570" s="44"/>
    </row>
    <row r="571" spans="1:8" ht="15.75" thickBot="1" x14ac:dyDescent="0.3">
      <c r="A571" s="48" t="s">
        <v>671</v>
      </c>
      <c r="B571" s="49">
        <v>444</v>
      </c>
      <c r="C571" s="50"/>
      <c r="D571" s="50"/>
      <c r="E571" s="50"/>
      <c r="F571" s="44"/>
      <c r="G571" s="44"/>
      <c r="H571" s="44"/>
    </row>
    <row r="572" spans="1:8" ht="15.75" thickBot="1" x14ac:dyDescent="0.3">
      <c r="A572" s="48" t="s">
        <v>672</v>
      </c>
      <c r="B572" s="49">
        <v>281</v>
      </c>
      <c r="C572" s="50"/>
      <c r="D572" s="50"/>
      <c r="E572" s="50"/>
      <c r="F572" s="44"/>
      <c r="G572" s="44"/>
      <c r="H572" s="44"/>
    </row>
    <row r="573" spans="1:8" ht="15.75" thickBot="1" x14ac:dyDescent="0.3">
      <c r="A573" s="48" t="s">
        <v>673</v>
      </c>
      <c r="B573" s="49">
        <v>2880</v>
      </c>
      <c r="C573" s="50"/>
      <c r="D573" s="50"/>
      <c r="E573" s="50"/>
      <c r="F573" s="44"/>
      <c r="G573" s="44"/>
      <c r="H573" s="44"/>
    </row>
    <row r="574" spans="1:8" ht="15.75" thickBot="1" x14ac:dyDescent="0.3">
      <c r="A574" s="48" t="s">
        <v>674</v>
      </c>
      <c r="B574" s="49">
        <v>2659</v>
      </c>
      <c r="C574" s="50"/>
      <c r="D574" s="50"/>
      <c r="E574" s="50"/>
      <c r="F574" s="44"/>
      <c r="G574" s="44"/>
      <c r="H574" s="44"/>
    </row>
    <row r="575" spans="1:8" ht="15.75" thickBot="1" x14ac:dyDescent="0.3">
      <c r="A575" s="48" t="s">
        <v>675</v>
      </c>
      <c r="B575" s="49">
        <v>2726</v>
      </c>
      <c r="C575" s="50"/>
      <c r="D575" s="50"/>
      <c r="E575" s="50"/>
      <c r="F575" s="44"/>
      <c r="G575" s="44"/>
      <c r="H575" s="44"/>
    </row>
    <row r="576" spans="1:8" ht="23.25" thickBot="1" x14ac:dyDescent="0.3">
      <c r="A576" s="48" t="s">
        <v>676</v>
      </c>
      <c r="B576" s="49" t="s">
        <v>334</v>
      </c>
      <c r="C576" s="49" t="s">
        <v>997</v>
      </c>
      <c r="D576" s="49">
        <v>4</v>
      </c>
      <c r="E576" s="49">
        <v>12</v>
      </c>
      <c r="F576" s="44"/>
      <c r="G576" s="44"/>
      <c r="H576" s="44"/>
    </row>
    <row r="577" spans="1:8" ht="15.75" thickBot="1" x14ac:dyDescent="0.3">
      <c r="A577" s="48" t="s">
        <v>677</v>
      </c>
      <c r="B577" s="49">
        <v>1219</v>
      </c>
      <c r="C577" s="50"/>
      <c r="D577" s="50"/>
      <c r="E577" s="50"/>
      <c r="F577" s="44"/>
      <c r="G577" s="44"/>
      <c r="H577" s="44"/>
    </row>
    <row r="578" spans="1:8" ht="15.75" thickBot="1" x14ac:dyDescent="0.3">
      <c r="A578" s="48" t="s">
        <v>678</v>
      </c>
      <c r="B578" s="49">
        <v>2612</v>
      </c>
      <c r="C578" s="50"/>
      <c r="D578" s="50"/>
      <c r="E578" s="50"/>
      <c r="F578" s="44"/>
      <c r="G578" s="44"/>
      <c r="H578" s="44"/>
    </row>
    <row r="579" spans="1:8" ht="15.75" thickBot="1" x14ac:dyDescent="0.3">
      <c r="A579" s="48" t="s">
        <v>679</v>
      </c>
      <c r="B579" s="49">
        <v>2478</v>
      </c>
      <c r="C579" s="50"/>
      <c r="D579" s="50"/>
      <c r="E579" s="50"/>
      <c r="F579" s="44"/>
      <c r="G579" s="44"/>
      <c r="H579" s="44"/>
    </row>
    <row r="580" spans="1:8" ht="15.75" thickBot="1" x14ac:dyDescent="0.3">
      <c r="A580" s="48" t="s">
        <v>680</v>
      </c>
      <c r="B580" s="49">
        <v>79</v>
      </c>
      <c r="C580" s="50"/>
      <c r="D580" s="50"/>
      <c r="E580" s="50"/>
      <c r="F580" s="44"/>
      <c r="G580" s="44"/>
      <c r="H580" s="44"/>
    </row>
    <row r="581" spans="1:8" ht="15.75" thickBot="1" x14ac:dyDescent="0.3">
      <c r="A581" s="48" t="s">
        <v>991</v>
      </c>
      <c r="B581" s="49">
        <v>86</v>
      </c>
      <c r="C581" s="50"/>
      <c r="D581" s="50"/>
      <c r="E581" s="50"/>
      <c r="F581" s="44"/>
      <c r="G581" s="44"/>
      <c r="H581" s="44"/>
    </row>
    <row r="582" spans="1:8" ht="23.25" thickBot="1" x14ac:dyDescent="0.3">
      <c r="A582" s="48" t="s">
        <v>681</v>
      </c>
      <c r="B582" s="49" t="s">
        <v>682</v>
      </c>
      <c r="C582" s="49" t="s">
        <v>997</v>
      </c>
      <c r="D582" s="49">
        <v>3</v>
      </c>
      <c r="E582" s="49">
        <v>8</v>
      </c>
      <c r="F582" s="44"/>
      <c r="G582" s="44"/>
      <c r="H582" s="44"/>
    </row>
    <row r="583" spans="1:8" ht="15.75" thickBot="1" x14ac:dyDescent="0.3">
      <c r="A583" s="48" t="s">
        <v>683</v>
      </c>
      <c r="B583" s="49">
        <v>1786</v>
      </c>
      <c r="C583" s="50"/>
      <c r="D583" s="50"/>
      <c r="E583" s="50"/>
      <c r="F583" s="44"/>
      <c r="G583" s="44"/>
      <c r="H583" s="44"/>
    </row>
    <row r="584" spans="1:8" ht="15.75" thickBot="1" x14ac:dyDescent="0.3">
      <c r="A584" s="48" t="s">
        <v>684</v>
      </c>
      <c r="B584" s="49">
        <v>2578</v>
      </c>
      <c r="C584" s="50"/>
      <c r="D584" s="50"/>
      <c r="E584" s="50"/>
      <c r="F584" s="44"/>
      <c r="G584" s="44"/>
      <c r="H584" s="44"/>
    </row>
    <row r="585" spans="1:8" ht="15.75" thickBot="1" x14ac:dyDescent="0.3">
      <c r="A585" s="48" t="s">
        <v>685</v>
      </c>
      <c r="B585" s="49">
        <v>410</v>
      </c>
      <c r="C585" s="50"/>
      <c r="D585" s="50"/>
      <c r="E585" s="50"/>
      <c r="F585" s="44"/>
      <c r="G585" s="44"/>
      <c r="H585" s="44"/>
    </row>
    <row r="586" spans="1:8" ht="15.75" thickBot="1" x14ac:dyDescent="0.3">
      <c r="A586" s="48" t="s">
        <v>686</v>
      </c>
      <c r="B586" s="49">
        <v>548</v>
      </c>
      <c r="C586" s="50"/>
      <c r="D586" s="50"/>
      <c r="E586" s="50"/>
      <c r="F586" s="44"/>
      <c r="G586" s="44"/>
      <c r="H586" s="44"/>
    </row>
    <row r="587" spans="1:8" ht="15.75" thickBot="1" x14ac:dyDescent="0.3">
      <c r="A587" s="48" t="s">
        <v>687</v>
      </c>
      <c r="B587" s="49">
        <v>2002</v>
      </c>
      <c r="C587" s="50"/>
      <c r="D587" s="50"/>
      <c r="E587" s="50"/>
      <c r="F587" s="44"/>
      <c r="G587" s="44"/>
      <c r="H587" s="44"/>
    </row>
    <row r="588" spans="1:8" ht="15.75" thickBot="1" x14ac:dyDescent="0.3">
      <c r="A588" s="48" t="s">
        <v>688</v>
      </c>
      <c r="B588" s="49">
        <v>2471</v>
      </c>
      <c r="C588" s="50"/>
      <c r="D588" s="50"/>
      <c r="E588" s="50"/>
      <c r="F588" s="44"/>
      <c r="G588" s="44"/>
      <c r="H588" s="44"/>
    </row>
    <row r="589" spans="1:8" ht="15.75" thickBot="1" x14ac:dyDescent="0.3">
      <c r="A589" s="48" t="s">
        <v>689</v>
      </c>
      <c r="B589" s="49">
        <v>61</v>
      </c>
      <c r="C589" s="50"/>
      <c r="D589" s="50"/>
      <c r="E589" s="50"/>
      <c r="F589" s="44"/>
      <c r="G589" s="44"/>
      <c r="H589" s="44"/>
    </row>
    <row r="590" spans="1:8" ht="15.75" thickBot="1" x14ac:dyDescent="0.3">
      <c r="A590" s="48" t="s">
        <v>690</v>
      </c>
      <c r="B590" s="49">
        <v>166</v>
      </c>
      <c r="C590" s="50"/>
      <c r="D590" s="50"/>
      <c r="E590" s="50"/>
      <c r="F590" s="44"/>
      <c r="G590" s="44"/>
      <c r="H590" s="44"/>
    </row>
    <row r="591" spans="1:8" ht="15.75" thickBot="1" x14ac:dyDescent="0.3">
      <c r="A591" s="48" t="s">
        <v>691</v>
      </c>
      <c r="B591" s="49">
        <v>382</v>
      </c>
      <c r="C591" s="50"/>
      <c r="D591" s="50"/>
      <c r="E591" s="50"/>
      <c r="F591" s="44"/>
      <c r="G591" s="44"/>
      <c r="H591" s="44"/>
    </row>
    <row r="592" spans="1:8" ht="15.75" thickBot="1" x14ac:dyDescent="0.3">
      <c r="A592" s="48" t="s">
        <v>692</v>
      </c>
      <c r="B592" s="49">
        <v>144</v>
      </c>
      <c r="C592" s="50"/>
      <c r="D592" s="50"/>
      <c r="E592" s="50"/>
      <c r="F592" s="44"/>
      <c r="G592" s="44"/>
      <c r="H592" s="44"/>
    </row>
    <row r="593" spans="1:8" ht="15.75" thickBot="1" x14ac:dyDescent="0.3">
      <c r="A593" s="48" t="s">
        <v>693</v>
      </c>
      <c r="B593" s="49">
        <v>147</v>
      </c>
      <c r="C593" s="50"/>
      <c r="D593" s="50"/>
      <c r="E593" s="50"/>
      <c r="F593" s="44"/>
      <c r="G593" s="44"/>
      <c r="H593" s="44"/>
    </row>
    <row r="594" spans="1:8" ht="15.75" thickBot="1" x14ac:dyDescent="0.3">
      <c r="A594" s="48" t="s">
        <v>694</v>
      </c>
      <c r="B594" s="49">
        <v>314</v>
      </c>
      <c r="C594" s="50"/>
      <c r="D594" s="50"/>
      <c r="E594" s="50"/>
      <c r="F594" s="44"/>
      <c r="G594" s="44"/>
      <c r="H594" s="44"/>
    </row>
    <row r="595" spans="1:8" ht="15.75" thickBot="1" x14ac:dyDescent="0.3">
      <c r="A595" s="48" t="s">
        <v>695</v>
      </c>
      <c r="B595" s="49">
        <v>1636</v>
      </c>
      <c r="C595" s="50"/>
      <c r="D595" s="50"/>
      <c r="E595" s="50"/>
      <c r="F595" s="44"/>
      <c r="G595" s="44"/>
      <c r="H595" s="44"/>
    </row>
    <row r="596" spans="1:8" ht="15.75" thickBot="1" x14ac:dyDescent="0.3">
      <c r="A596" s="48" t="s">
        <v>696</v>
      </c>
      <c r="B596" s="49">
        <v>1293</v>
      </c>
      <c r="C596" s="50"/>
      <c r="D596" s="50"/>
      <c r="E596" s="50"/>
      <c r="F596" s="44"/>
      <c r="G596" s="44"/>
      <c r="H596" s="44"/>
    </row>
    <row r="597" spans="1:8" ht="15.75" thickBot="1" x14ac:dyDescent="0.3">
      <c r="A597" s="48" t="s">
        <v>697</v>
      </c>
      <c r="B597" s="49">
        <v>669</v>
      </c>
      <c r="C597" s="50"/>
      <c r="D597" s="50"/>
      <c r="E597" s="50"/>
      <c r="F597" s="44"/>
      <c r="G597" s="44"/>
      <c r="H597" s="44"/>
    </row>
    <row r="598" spans="1:8" ht="23.25" thickBot="1" x14ac:dyDescent="0.3">
      <c r="A598" s="48" t="s">
        <v>698</v>
      </c>
      <c r="B598" s="49" t="s">
        <v>699</v>
      </c>
      <c r="C598" s="49" t="s">
        <v>997</v>
      </c>
      <c r="D598" s="49">
        <v>4</v>
      </c>
      <c r="E598" s="49">
        <v>12</v>
      </c>
      <c r="F598" s="44"/>
      <c r="G598" s="44"/>
      <c r="H598" s="44"/>
    </row>
    <row r="599" spans="1:8" ht="23.25" thickBot="1" x14ac:dyDescent="0.3">
      <c r="A599" s="48" t="s">
        <v>700</v>
      </c>
      <c r="B599" s="49" t="s">
        <v>701</v>
      </c>
      <c r="C599" s="49" t="s">
        <v>997</v>
      </c>
      <c r="D599" s="49">
        <v>4</v>
      </c>
      <c r="E599" s="49">
        <v>12</v>
      </c>
      <c r="F599" s="44"/>
      <c r="G599" s="44"/>
      <c r="H599" s="44"/>
    </row>
    <row r="600" spans="1:8" ht="15.75" thickBot="1" x14ac:dyDescent="0.3">
      <c r="A600" s="48" t="s">
        <v>702</v>
      </c>
      <c r="B600" s="49">
        <v>1630</v>
      </c>
      <c r="C600" s="50"/>
      <c r="D600" s="50"/>
      <c r="E600" s="50"/>
      <c r="F600" s="44"/>
      <c r="G600" s="44"/>
      <c r="H600" s="44"/>
    </row>
    <row r="601" spans="1:8" ht="15.75" thickBot="1" x14ac:dyDescent="0.3">
      <c r="A601" s="48" t="s">
        <v>703</v>
      </c>
      <c r="B601" s="49">
        <v>215</v>
      </c>
      <c r="C601" s="50"/>
      <c r="D601" s="50"/>
      <c r="E601" s="50"/>
      <c r="F601" s="44"/>
      <c r="G601" s="44"/>
      <c r="H601" s="44"/>
    </row>
    <row r="602" spans="1:8" ht="15.75" thickBot="1" x14ac:dyDescent="0.3">
      <c r="A602" s="48" t="s">
        <v>704</v>
      </c>
      <c r="B602" s="49">
        <v>421</v>
      </c>
      <c r="C602" s="50"/>
      <c r="D602" s="50"/>
      <c r="E602" s="50"/>
      <c r="F602" s="44"/>
      <c r="G602" s="44"/>
      <c r="H602" s="44"/>
    </row>
    <row r="603" spans="1:8" ht="23.25" thickBot="1" x14ac:dyDescent="0.3">
      <c r="A603" s="48" t="s">
        <v>705</v>
      </c>
      <c r="B603" s="49" t="s">
        <v>706</v>
      </c>
      <c r="C603" s="49" t="s">
        <v>997</v>
      </c>
      <c r="D603" s="49">
        <v>4</v>
      </c>
      <c r="E603" s="49">
        <v>11</v>
      </c>
      <c r="F603" s="44"/>
      <c r="G603" s="44"/>
      <c r="H603" s="44"/>
    </row>
    <row r="604" spans="1:8" ht="15.75" thickBot="1" x14ac:dyDescent="0.3">
      <c r="A604" s="48" t="s">
        <v>707</v>
      </c>
      <c r="B604" s="49">
        <v>278</v>
      </c>
      <c r="C604" s="50"/>
      <c r="D604" s="50"/>
      <c r="E604" s="50"/>
      <c r="F604" s="44"/>
      <c r="G604" s="44"/>
      <c r="H604" s="44"/>
    </row>
    <row r="605" spans="1:8" ht="15.75" thickBot="1" x14ac:dyDescent="0.3">
      <c r="A605" s="48" t="s">
        <v>708</v>
      </c>
      <c r="B605" s="49">
        <v>370</v>
      </c>
      <c r="C605" s="50"/>
      <c r="D605" s="50"/>
      <c r="E605" s="50"/>
      <c r="F605" s="44"/>
      <c r="G605" s="44"/>
      <c r="H605" s="44"/>
    </row>
    <row r="606" spans="1:8" ht="15.75" thickBot="1" x14ac:dyDescent="0.3">
      <c r="A606" s="48" t="s">
        <v>709</v>
      </c>
      <c r="B606" s="49">
        <v>385</v>
      </c>
      <c r="C606" s="50"/>
      <c r="D606" s="50"/>
      <c r="E606" s="50"/>
      <c r="F606" s="44"/>
      <c r="G606" s="44"/>
      <c r="H606" s="44"/>
    </row>
    <row r="607" spans="1:8" ht="58.5" thickBot="1" x14ac:dyDescent="0.3">
      <c r="A607" s="42" t="s">
        <v>1097</v>
      </c>
      <c r="B607" s="50"/>
      <c r="C607" s="50"/>
      <c r="D607" s="50"/>
      <c r="E607" s="50"/>
      <c r="F607" s="44"/>
      <c r="G607" s="44"/>
      <c r="H607" s="44"/>
    </row>
    <row r="608" spans="1:8" ht="15.75" thickBot="1" x14ac:dyDescent="0.3">
      <c r="A608" s="48" t="s">
        <v>710</v>
      </c>
      <c r="B608" s="49">
        <v>349</v>
      </c>
      <c r="C608" s="50"/>
      <c r="D608" s="50"/>
      <c r="E608" s="50"/>
      <c r="F608" s="44"/>
      <c r="G608" s="44"/>
      <c r="H608" s="44"/>
    </row>
    <row r="609" spans="1:8" ht="15.75" thickBot="1" x14ac:dyDescent="0.3">
      <c r="A609" s="48" t="s">
        <v>711</v>
      </c>
      <c r="B609" s="49">
        <v>1767</v>
      </c>
      <c r="C609" s="50"/>
      <c r="D609" s="50"/>
      <c r="E609" s="50"/>
      <c r="F609" s="44"/>
      <c r="G609" s="44"/>
      <c r="H609" s="44"/>
    </row>
    <row r="610" spans="1:8" ht="15.75" thickBot="1" x14ac:dyDescent="0.3">
      <c r="A610" s="48" t="s">
        <v>712</v>
      </c>
      <c r="B610" s="49">
        <v>1773</v>
      </c>
      <c r="C610" s="50"/>
      <c r="D610" s="50"/>
      <c r="E610" s="50"/>
      <c r="F610" s="44"/>
      <c r="G610" s="44"/>
      <c r="H610" s="44"/>
    </row>
    <row r="611" spans="1:8" ht="15.75" thickBot="1" x14ac:dyDescent="0.3">
      <c r="A611" s="48" t="s">
        <v>713</v>
      </c>
      <c r="B611" s="49">
        <v>2343</v>
      </c>
      <c r="C611" s="50"/>
      <c r="D611" s="50"/>
      <c r="E611" s="50"/>
      <c r="F611" s="44"/>
      <c r="G611" s="44"/>
      <c r="H611" s="44"/>
    </row>
    <row r="612" spans="1:8" ht="15.75" thickBot="1" x14ac:dyDescent="0.3">
      <c r="A612" s="48" t="s">
        <v>714</v>
      </c>
      <c r="B612" s="49">
        <v>2323</v>
      </c>
      <c r="C612" s="50"/>
      <c r="D612" s="50"/>
      <c r="E612" s="50"/>
      <c r="F612" s="44"/>
      <c r="G612" s="44"/>
      <c r="H612" s="44"/>
    </row>
    <row r="613" spans="1:8" ht="15.75" thickBot="1" x14ac:dyDescent="0.3">
      <c r="A613" s="48" t="s">
        <v>715</v>
      </c>
      <c r="B613" s="49">
        <v>736</v>
      </c>
      <c r="C613" s="50"/>
      <c r="D613" s="50"/>
      <c r="E613" s="50"/>
      <c r="F613" s="44"/>
      <c r="G613" s="44"/>
      <c r="H613" s="44"/>
    </row>
    <row r="614" spans="1:8" ht="15.75" thickBot="1" x14ac:dyDescent="0.3">
      <c r="A614" s="48" t="s">
        <v>716</v>
      </c>
      <c r="B614" s="49">
        <v>96</v>
      </c>
      <c r="C614" s="50"/>
      <c r="D614" s="50"/>
      <c r="E614" s="50"/>
      <c r="F614" s="44"/>
      <c r="G614" s="44"/>
      <c r="H614" s="44"/>
    </row>
    <row r="615" spans="1:8" ht="15.75" thickBot="1" x14ac:dyDescent="0.3">
      <c r="A615" s="48" t="s">
        <v>717</v>
      </c>
      <c r="B615" s="49">
        <v>418</v>
      </c>
      <c r="C615" s="50"/>
      <c r="D615" s="50"/>
      <c r="E615" s="50"/>
      <c r="F615" s="44"/>
      <c r="G615" s="44"/>
      <c r="H615" s="44"/>
    </row>
    <row r="616" spans="1:8" ht="15.75" thickBot="1" x14ac:dyDescent="0.3">
      <c r="A616" s="48" t="s">
        <v>718</v>
      </c>
      <c r="B616" s="49">
        <v>176</v>
      </c>
      <c r="C616" s="50"/>
      <c r="D616" s="50"/>
      <c r="E616" s="50"/>
      <c r="F616" s="44"/>
      <c r="G616" s="44"/>
      <c r="H616" s="44"/>
    </row>
    <row r="617" spans="1:8" ht="15.75" thickBot="1" x14ac:dyDescent="0.3">
      <c r="A617" s="48" t="s">
        <v>719</v>
      </c>
      <c r="B617" s="49">
        <v>658</v>
      </c>
      <c r="C617" s="50"/>
      <c r="D617" s="50"/>
      <c r="E617" s="50"/>
      <c r="F617" s="44"/>
      <c r="G617" s="44"/>
      <c r="H617" s="44"/>
    </row>
    <row r="618" spans="1:8" ht="15.75" thickBot="1" x14ac:dyDescent="0.3">
      <c r="A618" s="48" t="s">
        <v>720</v>
      </c>
      <c r="B618" s="49">
        <v>495</v>
      </c>
      <c r="C618" s="50"/>
      <c r="D618" s="50"/>
      <c r="E618" s="50"/>
      <c r="F618" s="44"/>
      <c r="G618" s="44"/>
      <c r="H618" s="44"/>
    </row>
    <row r="619" spans="1:8" ht="15.75" thickBot="1" x14ac:dyDescent="0.3">
      <c r="A619" s="48" t="s">
        <v>721</v>
      </c>
      <c r="B619" s="49">
        <v>321</v>
      </c>
      <c r="C619" s="50"/>
      <c r="D619" s="50"/>
      <c r="E619" s="50"/>
      <c r="F619" s="44"/>
      <c r="G619" s="44"/>
      <c r="H619" s="44"/>
    </row>
    <row r="620" spans="1:8" ht="15.75" thickBot="1" x14ac:dyDescent="0.3">
      <c r="A620" s="48" t="s">
        <v>722</v>
      </c>
      <c r="B620" s="49">
        <v>479</v>
      </c>
      <c r="C620" s="50"/>
      <c r="D620" s="50"/>
      <c r="E620" s="50"/>
      <c r="F620" s="44"/>
      <c r="G620" s="44"/>
      <c r="H620" s="44"/>
    </row>
    <row r="621" spans="1:8" ht="15.75" thickBot="1" x14ac:dyDescent="0.3">
      <c r="A621" s="48" t="s">
        <v>723</v>
      </c>
      <c r="B621" s="49">
        <v>191</v>
      </c>
      <c r="C621" s="50"/>
      <c r="D621" s="50"/>
      <c r="E621" s="50"/>
      <c r="F621" s="44"/>
      <c r="G621" s="44"/>
      <c r="H621" s="44"/>
    </row>
    <row r="622" spans="1:8" ht="15.75" thickBot="1" x14ac:dyDescent="0.3">
      <c r="A622" s="48" t="s">
        <v>724</v>
      </c>
      <c r="B622" s="49">
        <v>221</v>
      </c>
      <c r="C622" s="50"/>
      <c r="D622" s="50"/>
      <c r="E622" s="50"/>
      <c r="F622" s="44"/>
      <c r="G622" s="44"/>
      <c r="H622" s="44"/>
    </row>
    <row r="623" spans="1:8" ht="23.25" thickBot="1" x14ac:dyDescent="0.3">
      <c r="A623" s="48" t="s">
        <v>725</v>
      </c>
      <c r="B623" s="49" t="s">
        <v>272</v>
      </c>
      <c r="C623" s="49" t="s">
        <v>997</v>
      </c>
      <c r="D623" s="49">
        <v>6</v>
      </c>
      <c r="E623" s="49">
        <v>16</v>
      </c>
      <c r="F623" s="44"/>
      <c r="G623" s="44"/>
      <c r="H623" s="44"/>
    </row>
    <row r="624" spans="1:8" ht="15.75" thickBot="1" x14ac:dyDescent="0.3">
      <c r="A624" s="48" t="s">
        <v>726</v>
      </c>
      <c r="B624" s="49">
        <v>1785</v>
      </c>
      <c r="C624" s="50"/>
      <c r="D624" s="50"/>
      <c r="E624" s="50"/>
      <c r="F624" s="44"/>
      <c r="G624" s="44"/>
      <c r="H624" s="44"/>
    </row>
    <row r="625" spans="1:8" ht="15.75" thickBot="1" x14ac:dyDescent="0.3">
      <c r="A625" s="48" t="s">
        <v>727</v>
      </c>
      <c r="B625" s="49">
        <v>101</v>
      </c>
      <c r="C625" s="50"/>
      <c r="D625" s="50"/>
      <c r="E625" s="50"/>
      <c r="F625" s="44"/>
      <c r="G625" s="44"/>
      <c r="H625" s="44"/>
    </row>
    <row r="626" spans="1:8" ht="15.75" thickBot="1" x14ac:dyDescent="0.3">
      <c r="A626" s="48" t="s">
        <v>728</v>
      </c>
      <c r="B626" s="49">
        <v>901</v>
      </c>
      <c r="C626" s="50"/>
      <c r="D626" s="50"/>
      <c r="E626" s="50"/>
      <c r="F626" s="44"/>
      <c r="G626" s="44"/>
      <c r="H626" s="44"/>
    </row>
    <row r="627" spans="1:8" ht="15.75" thickBot="1" x14ac:dyDescent="0.3">
      <c r="A627" s="48" t="s">
        <v>729</v>
      </c>
      <c r="B627" s="49">
        <v>137</v>
      </c>
      <c r="C627" s="50"/>
      <c r="D627" s="50"/>
      <c r="E627" s="50"/>
      <c r="F627" s="44"/>
      <c r="G627" s="44"/>
      <c r="H627" s="44"/>
    </row>
    <row r="628" spans="1:8" ht="15.75" thickBot="1" x14ac:dyDescent="0.3">
      <c r="A628" s="48" t="s">
        <v>730</v>
      </c>
      <c r="B628" s="49">
        <v>388</v>
      </c>
      <c r="C628" s="50"/>
      <c r="D628" s="50"/>
      <c r="E628" s="50"/>
      <c r="F628" s="44"/>
      <c r="G628" s="44"/>
      <c r="H628" s="44"/>
    </row>
    <row r="629" spans="1:8" ht="15.75" thickBot="1" x14ac:dyDescent="0.3">
      <c r="A629" s="48" t="s">
        <v>731</v>
      </c>
      <c r="B629" s="49">
        <v>524</v>
      </c>
      <c r="C629" s="50"/>
      <c r="D629" s="50"/>
      <c r="E629" s="50"/>
      <c r="F629" s="44"/>
      <c r="G629" s="44"/>
      <c r="H629" s="44"/>
    </row>
    <row r="630" spans="1:8" ht="15.75" thickBot="1" x14ac:dyDescent="0.3">
      <c r="A630" s="48" t="s">
        <v>732</v>
      </c>
      <c r="B630" s="49">
        <v>2476</v>
      </c>
      <c r="C630" s="50"/>
      <c r="D630" s="50"/>
      <c r="E630" s="50"/>
      <c r="F630" s="44"/>
      <c r="G630" s="44"/>
      <c r="H630" s="44"/>
    </row>
    <row r="631" spans="1:8" ht="23.25" thickBot="1" x14ac:dyDescent="0.3">
      <c r="A631" s="48" t="s">
        <v>733</v>
      </c>
      <c r="B631" s="49" t="s">
        <v>1098</v>
      </c>
      <c r="C631" s="49" t="s">
        <v>1000</v>
      </c>
      <c r="D631" s="50"/>
      <c r="E631" s="50"/>
      <c r="F631" s="44"/>
      <c r="G631" s="44"/>
      <c r="H631" s="44"/>
    </row>
    <row r="632" spans="1:8" ht="23.25" thickBot="1" x14ac:dyDescent="0.3">
      <c r="A632" s="48" t="s">
        <v>735</v>
      </c>
      <c r="B632" s="49" t="s">
        <v>1099</v>
      </c>
      <c r="C632" s="49" t="s">
        <v>997</v>
      </c>
      <c r="D632" s="49">
        <v>2</v>
      </c>
      <c r="E632" s="49">
        <v>4</v>
      </c>
      <c r="F632" s="44"/>
      <c r="G632" s="44"/>
      <c r="H632" s="44"/>
    </row>
    <row r="633" spans="1:8" ht="15.75" thickBot="1" x14ac:dyDescent="0.3">
      <c r="A633" s="48" t="s">
        <v>737</v>
      </c>
      <c r="B633" s="49">
        <v>1663</v>
      </c>
      <c r="C633" s="50"/>
      <c r="D633" s="50"/>
      <c r="E633" s="50"/>
      <c r="F633" s="44"/>
      <c r="G633" s="44"/>
      <c r="H633" s="44"/>
    </row>
    <row r="634" spans="1:8" ht="15.75" thickBot="1" x14ac:dyDescent="0.3">
      <c r="A634" s="48" t="s">
        <v>738</v>
      </c>
      <c r="B634" s="49">
        <v>386</v>
      </c>
      <c r="C634" s="50"/>
      <c r="D634" s="50"/>
      <c r="E634" s="50"/>
      <c r="F634" s="44"/>
      <c r="G634" s="44"/>
      <c r="H634" s="44"/>
    </row>
    <row r="635" spans="1:8" ht="15.75" thickBot="1" x14ac:dyDescent="0.3">
      <c r="A635" s="48" t="s">
        <v>739</v>
      </c>
      <c r="B635" s="49">
        <v>139</v>
      </c>
      <c r="C635" s="50"/>
      <c r="D635" s="50"/>
      <c r="E635" s="50"/>
      <c r="F635" s="44"/>
      <c r="G635" s="44"/>
      <c r="H635" s="44"/>
    </row>
    <row r="636" spans="1:8" ht="15.75" thickBot="1" x14ac:dyDescent="0.3">
      <c r="A636" s="48" t="s">
        <v>740</v>
      </c>
      <c r="B636" s="49">
        <v>453</v>
      </c>
      <c r="C636" s="50"/>
      <c r="D636" s="50"/>
      <c r="E636" s="50"/>
      <c r="F636" s="44"/>
      <c r="G636" s="44"/>
      <c r="H636" s="44"/>
    </row>
    <row r="637" spans="1:8" ht="15.75" thickBot="1" x14ac:dyDescent="0.3">
      <c r="A637" s="48" t="s">
        <v>741</v>
      </c>
      <c r="B637" s="49">
        <v>863</v>
      </c>
      <c r="C637" s="50"/>
      <c r="D637" s="50"/>
      <c r="E637" s="50"/>
      <c r="F637" s="44"/>
      <c r="G637" s="44"/>
      <c r="H637" s="44"/>
    </row>
    <row r="638" spans="1:8" ht="15.75" thickBot="1" x14ac:dyDescent="0.3">
      <c r="A638" s="48" t="s">
        <v>742</v>
      </c>
      <c r="B638" s="49">
        <v>681</v>
      </c>
      <c r="C638" s="50"/>
      <c r="D638" s="50"/>
      <c r="E638" s="50"/>
      <c r="F638" s="44"/>
      <c r="G638" s="44"/>
      <c r="H638" s="44"/>
    </row>
    <row r="639" spans="1:8" ht="15.75" thickBot="1" x14ac:dyDescent="0.3">
      <c r="A639" s="48" t="s">
        <v>743</v>
      </c>
      <c r="B639" s="49">
        <v>533</v>
      </c>
      <c r="C639" s="50"/>
      <c r="D639" s="50"/>
      <c r="E639" s="50"/>
      <c r="F639" s="44"/>
      <c r="G639" s="44"/>
      <c r="H639" s="44"/>
    </row>
    <row r="640" spans="1:8" ht="23.25" thickBot="1" x14ac:dyDescent="0.3">
      <c r="A640" s="48" t="s">
        <v>744</v>
      </c>
      <c r="B640" s="49" t="s">
        <v>745</v>
      </c>
      <c r="C640" s="49" t="s">
        <v>997</v>
      </c>
      <c r="D640" s="49">
        <v>4</v>
      </c>
      <c r="E640" s="49">
        <v>11</v>
      </c>
      <c r="F640" s="44"/>
      <c r="G640" s="44"/>
      <c r="H640" s="44"/>
    </row>
    <row r="641" spans="1:8" ht="15.75" thickBot="1" x14ac:dyDescent="0.3">
      <c r="A641" s="48" t="s">
        <v>746</v>
      </c>
      <c r="B641" s="49">
        <v>1704</v>
      </c>
      <c r="C641" s="50"/>
      <c r="D641" s="50"/>
      <c r="E641" s="50"/>
      <c r="F641" s="44"/>
      <c r="G641" s="44"/>
      <c r="H641" s="44"/>
    </row>
    <row r="642" spans="1:8" ht="15.75" thickBot="1" x14ac:dyDescent="0.3">
      <c r="A642" s="48" t="s">
        <v>747</v>
      </c>
      <c r="B642" s="49">
        <v>1789</v>
      </c>
      <c r="C642" s="50"/>
      <c r="D642" s="50"/>
      <c r="E642" s="50"/>
      <c r="F642" s="44"/>
      <c r="G642" s="44"/>
      <c r="H642" s="44"/>
    </row>
    <row r="643" spans="1:8" ht="23.25" thickBot="1" x14ac:dyDescent="0.3">
      <c r="A643" s="48" t="s">
        <v>748</v>
      </c>
      <c r="B643" s="49" t="s">
        <v>749</v>
      </c>
      <c r="C643" s="49" t="s">
        <v>997</v>
      </c>
      <c r="D643" s="49">
        <v>4</v>
      </c>
      <c r="E643" s="49">
        <v>10</v>
      </c>
      <c r="F643" s="44"/>
      <c r="G643" s="44"/>
      <c r="H643" s="44"/>
    </row>
    <row r="644" spans="1:8" ht="23.25" thickBot="1" x14ac:dyDescent="0.3">
      <c r="A644" s="48" t="s">
        <v>961</v>
      </c>
      <c r="B644" s="49" t="s">
        <v>962</v>
      </c>
      <c r="C644" s="49" t="s">
        <v>997</v>
      </c>
      <c r="D644" s="49">
        <v>4</v>
      </c>
      <c r="E644" s="49">
        <v>10</v>
      </c>
      <c r="F644" s="44"/>
      <c r="G644" s="44"/>
      <c r="H644" s="44"/>
    </row>
    <row r="645" spans="1:8" ht="15.75" thickBot="1" x14ac:dyDescent="0.3">
      <c r="A645" s="48" t="s">
        <v>750</v>
      </c>
      <c r="B645" s="49">
        <v>1526</v>
      </c>
      <c r="C645" s="50"/>
      <c r="D645" s="50"/>
      <c r="E645" s="50"/>
      <c r="F645" s="44"/>
      <c r="G645" s="44"/>
      <c r="H645" s="44"/>
    </row>
    <row r="646" spans="1:8" ht="15.75" thickBot="1" x14ac:dyDescent="0.3">
      <c r="A646" s="48" t="s">
        <v>751</v>
      </c>
      <c r="B646" s="49">
        <v>2027</v>
      </c>
      <c r="C646" s="50"/>
      <c r="D646" s="50"/>
      <c r="E646" s="50"/>
      <c r="F646" s="44"/>
      <c r="G646" s="44"/>
      <c r="H646" s="44"/>
    </row>
    <row r="647" spans="1:8" ht="15.75" thickBot="1" x14ac:dyDescent="0.3">
      <c r="A647" s="48" t="s">
        <v>752</v>
      </c>
      <c r="B647" s="49">
        <v>2200</v>
      </c>
      <c r="C647" s="50"/>
      <c r="D647" s="50"/>
      <c r="E647" s="50"/>
      <c r="F647" s="44"/>
      <c r="G647" s="44"/>
      <c r="H647" s="44"/>
    </row>
    <row r="648" spans="1:8" ht="15.75" thickBot="1" x14ac:dyDescent="0.3">
      <c r="A648" s="48" t="s">
        <v>963</v>
      </c>
      <c r="B648" s="49" t="s">
        <v>964</v>
      </c>
      <c r="C648" s="49" t="s">
        <v>997</v>
      </c>
      <c r="D648" s="49">
        <v>4</v>
      </c>
      <c r="E648" s="49">
        <v>10</v>
      </c>
      <c r="F648" s="44"/>
      <c r="G648" s="44"/>
      <c r="H648" s="44"/>
    </row>
    <row r="649" spans="1:8" ht="23.25" thickBot="1" x14ac:dyDescent="0.3">
      <c r="A649" s="48" t="s">
        <v>753</v>
      </c>
      <c r="B649" s="49" t="s">
        <v>754</v>
      </c>
      <c r="C649" s="49" t="s">
        <v>997</v>
      </c>
      <c r="D649" s="49">
        <v>4</v>
      </c>
      <c r="E649" s="49">
        <v>10</v>
      </c>
      <c r="F649" s="44"/>
      <c r="G649" s="44"/>
      <c r="H649" s="44"/>
    </row>
    <row r="650" spans="1:8" ht="15.75" thickBot="1" x14ac:dyDescent="0.3">
      <c r="A650" s="48" t="s">
        <v>965</v>
      </c>
      <c r="B650" s="49" t="s">
        <v>966</v>
      </c>
      <c r="C650" s="49" t="s">
        <v>997</v>
      </c>
      <c r="D650" s="49">
        <v>4</v>
      </c>
      <c r="E650" s="49">
        <v>10</v>
      </c>
      <c r="F650" s="44"/>
      <c r="G650" s="44"/>
      <c r="H650" s="44"/>
    </row>
    <row r="651" spans="1:8" ht="23.25" thickBot="1" x14ac:dyDescent="0.3">
      <c r="A651" s="48" t="s">
        <v>755</v>
      </c>
      <c r="B651" s="49" t="s">
        <v>756</v>
      </c>
      <c r="C651" s="49" t="s">
        <v>997</v>
      </c>
      <c r="D651" s="49">
        <v>4</v>
      </c>
      <c r="E651" s="49">
        <v>10</v>
      </c>
      <c r="F651" s="44"/>
      <c r="G651" s="44"/>
      <c r="H651" s="44"/>
    </row>
    <row r="652" spans="1:8" ht="15.75" thickBot="1" x14ac:dyDescent="0.3">
      <c r="A652" s="48" t="s">
        <v>757</v>
      </c>
      <c r="B652" s="49">
        <v>1800</v>
      </c>
      <c r="C652" s="50"/>
      <c r="D652" s="50"/>
      <c r="E652" s="50"/>
      <c r="F652" s="44"/>
      <c r="G652" s="44"/>
      <c r="H652" s="44"/>
    </row>
    <row r="653" spans="1:8" ht="15.75" thickBot="1" x14ac:dyDescent="0.3">
      <c r="A653" s="48" t="s">
        <v>758</v>
      </c>
      <c r="B653" s="49">
        <v>1774</v>
      </c>
      <c r="C653" s="50"/>
      <c r="D653" s="50"/>
      <c r="E653" s="50"/>
      <c r="F653" s="44"/>
      <c r="G653" s="44"/>
      <c r="H653" s="44"/>
    </row>
    <row r="654" spans="1:8" ht="15.75" thickBot="1" x14ac:dyDescent="0.3">
      <c r="A654" s="48" t="s">
        <v>759</v>
      </c>
      <c r="B654" s="49">
        <v>1727</v>
      </c>
      <c r="C654" s="50"/>
      <c r="D654" s="50"/>
      <c r="E654" s="50"/>
      <c r="F654" s="44"/>
      <c r="G654" s="44"/>
      <c r="H654" s="44"/>
    </row>
    <row r="655" spans="1:8" ht="15.75" thickBot="1" x14ac:dyDescent="0.3">
      <c r="A655" s="48" t="s">
        <v>760</v>
      </c>
      <c r="B655" s="49">
        <v>2490</v>
      </c>
      <c r="C655" s="50"/>
      <c r="D655" s="50"/>
      <c r="E655" s="50"/>
      <c r="F655" s="44"/>
      <c r="G655" s="44"/>
      <c r="H655" s="44"/>
    </row>
    <row r="656" spans="1:8" ht="15.75" thickBot="1" x14ac:dyDescent="0.3">
      <c r="A656" s="48" t="s">
        <v>761</v>
      </c>
      <c r="B656" s="49">
        <v>2164</v>
      </c>
      <c r="C656" s="50"/>
      <c r="D656" s="50"/>
      <c r="E656" s="50"/>
      <c r="F656" s="44"/>
      <c r="G656" s="44"/>
      <c r="H656" s="44"/>
    </row>
    <row r="657" spans="1:8" ht="15.75" thickBot="1" x14ac:dyDescent="0.3">
      <c r="A657" s="48" t="s">
        <v>762</v>
      </c>
      <c r="B657" s="49">
        <v>500</v>
      </c>
      <c r="C657" s="50"/>
      <c r="D657" s="50"/>
      <c r="E657" s="50"/>
      <c r="F657" s="44"/>
      <c r="G657" s="44"/>
      <c r="H657" s="44"/>
    </row>
    <row r="658" spans="1:8" ht="15.75" thickBot="1" x14ac:dyDescent="0.3">
      <c r="A658" s="48" t="s">
        <v>763</v>
      </c>
      <c r="B658" s="49">
        <v>296</v>
      </c>
      <c r="C658" s="50"/>
      <c r="D658" s="50"/>
      <c r="E658" s="50"/>
      <c r="F658" s="44"/>
      <c r="G658" s="44"/>
      <c r="H658" s="44"/>
    </row>
    <row r="659" spans="1:8" ht="15.75" thickBot="1" x14ac:dyDescent="0.3">
      <c r="A659" s="48" t="s">
        <v>764</v>
      </c>
      <c r="B659" s="49">
        <v>708</v>
      </c>
      <c r="C659" s="50"/>
      <c r="D659" s="50"/>
      <c r="E659" s="50"/>
      <c r="F659" s="44"/>
      <c r="G659" s="44"/>
      <c r="H659" s="44"/>
    </row>
    <row r="660" spans="1:8" ht="15.75" thickBot="1" x14ac:dyDescent="0.3">
      <c r="A660" s="48" t="s">
        <v>967</v>
      </c>
      <c r="B660" s="49">
        <v>126</v>
      </c>
      <c r="C660" s="50"/>
      <c r="D660" s="50"/>
      <c r="E660" s="50"/>
      <c r="F660" s="44"/>
      <c r="G660" s="44"/>
      <c r="H660" s="44"/>
    </row>
    <row r="661" spans="1:8" ht="15.75" thickBot="1" x14ac:dyDescent="0.3">
      <c r="A661" s="48" t="s">
        <v>765</v>
      </c>
      <c r="B661" s="49">
        <v>563</v>
      </c>
      <c r="C661" s="50"/>
      <c r="D661" s="50"/>
      <c r="E661" s="50"/>
      <c r="F661" s="44"/>
      <c r="G661" s="44"/>
      <c r="H661" s="44"/>
    </row>
    <row r="662" spans="1:8" ht="15.75" thickBot="1" x14ac:dyDescent="0.3">
      <c r="A662" s="48" t="s">
        <v>1100</v>
      </c>
      <c r="B662" s="49">
        <v>246</v>
      </c>
      <c r="C662" s="50"/>
      <c r="D662" s="50"/>
      <c r="E662" s="50"/>
      <c r="F662" s="44"/>
      <c r="G662" s="44"/>
      <c r="H662" s="44"/>
    </row>
    <row r="663" spans="1:8" ht="15.75" thickBot="1" x14ac:dyDescent="0.3">
      <c r="A663" s="48" t="s">
        <v>766</v>
      </c>
      <c r="B663" s="49">
        <v>66</v>
      </c>
      <c r="C663" s="50"/>
      <c r="D663" s="50"/>
      <c r="E663" s="50"/>
      <c r="F663" s="44"/>
      <c r="G663" s="44"/>
      <c r="H663" s="44"/>
    </row>
    <row r="664" spans="1:8" ht="15.75" thickBot="1" x14ac:dyDescent="0.3">
      <c r="A664" s="48" t="s">
        <v>767</v>
      </c>
      <c r="B664" s="49">
        <v>2325</v>
      </c>
      <c r="C664" s="50"/>
      <c r="D664" s="50"/>
      <c r="E664" s="50"/>
      <c r="F664" s="44"/>
      <c r="G664" s="44"/>
      <c r="H664" s="44"/>
    </row>
    <row r="665" spans="1:8" ht="23.25" thickBot="1" x14ac:dyDescent="0.3">
      <c r="A665" s="48" t="s">
        <v>768</v>
      </c>
      <c r="B665" s="49" t="s">
        <v>74</v>
      </c>
      <c r="C665" s="49" t="s">
        <v>997</v>
      </c>
      <c r="D665" s="49">
        <v>2</v>
      </c>
      <c r="E665" s="49">
        <v>4</v>
      </c>
      <c r="F665" s="44"/>
      <c r="G665" s="44"/>
      <c r="H665" s="44"/>
    </row>
    <row r="666" spans="1:8" ht="15.75" thickBot="1" x14ac:dyDescent="0.3">
      <c r="A666" s="48" t="s">
        <v>1101</v>
      </c>
      <c r="B666" s="49">
        <v>157.5</v>
      </c>
      <c r="C666" s="50"/>
      <c r="D666" s="50"/>
      <c r="E666" s="50"/>
      <c r="F666" s="44"/>
      <c r="G666" s="44"/>
      <c r="H666" s="44"/>
    </row>
    <row r="667" spans="1:8" ht="15.75" thickBot="1" x14ac:dyDescent="0.3">
      <c r="A667" s="48" t="s">
        <v>769</v>
      </c>
      <c r="B667" s="49">
        <v>378</v>
      </c>
      <c r="C667" s="50"/>
      <c r="D667" s="50"/>
      <c r="E667" s="50"/>
      <c r="F667" s="44"/>
      <c r="G667" s="44"/>
      <c r="H667" s="44"/>
    </row>
    <row r="668" spans="1:8" ht="15.75" thickBot="1" x14ac:dyDescent="0.3">
      <c r="A668" s="48" t="s">
        <v>770</v>
      </c>
      <c r="B668" s="49">
        <v>155</v>
      </c>
      <c r="C668" s="50"/>
      <c r="D668" s="50"/>
      <c r="E668" s="50"/>
      <c r="F668" s="44"/>
      <c r="G668" s="44"/>
      <c r="H668" s="44"/>
    </row>
    <row r="669" spans="1:8" ht="15.75" thickBot="1" x14ac:dyDescent="0.3">
      <c r="A669" s="48" t="s">
        <v>771</v>
      </c>
      <c r="B669" s="49">
        <v>175</v>
      </c>
      <c r="C669" s="50"/>
      <c r="D669" s="50"/>
      <c r="E669" s="50"/>
      <c r="F669" s="44"/>
      <c r="G669" s="44"/>
      <c r="H669" s="44"/>
    </row>
    <row r="670" spans="1:8" ht="15.75" thickBot="1" x14ac:dyDescent="0.3">
      <c r="A670" s="48" t="s">
        <v>772</v>
      </c>
      <c r="B670" s="49">
        <v>263</v>
      </c>
      <c r="C670" s="50"/>
      <c r="D670" s="50"/>
      <c r="E670" s="50"/>
      <c r="F670" s="44"/>
      <c r="G670" s="44"/>
      <c r="H670" s="44"/>
    </row>
    <row r="671" spans="1:8" ht="15.75" thickBot="1" x14ac:dyDescent="0.3">
      <c r="A671" s="48" t="s">
        <v>773</v>
      </c>
      <c r="B671" s="49">
        <v>335</v>
      </c>
      <c r="C671" s="50"/>
      <c r="D671" s="50"/>
      <c r="E671" s="50"/>
      <c r="F671" s="44"/>
      <c r="G671" s="44"/>
      <c r="H671" s="44"/>
    </row>
    <row r="672" spans="1:8" ht="15.75" thickBot="1" x14ac:dyDescent="0.3">
      <c r="A672" s="48" t="s">
        <v>774</v>
      </c>
      <c r="B672" s="49">
        <v>450</v>
      </c>
      <c r="C672" s="50"/>
      <c r="D672" s="50"/>
      <c r="E672" s="50"/>
      <c r="F672" s="44"/>
      <c r="G672" s="44"/>
      <c r="H672" s="44"/>
    </row>
    <row r="673" spans="1:8" ht="23.25" thickBot="1" x14ac:dyDescent="0.3">
      <c r="A673" s="48" t="s">
        <v>775</v>
      </c>
      <c r="B673" s="49" t="s">
        <v>776</v>
      </c>
      <c r="C673" s="49" t="s">
        <v>997</v>
      </c>
      <c r="D673" s="49">
        <v>2</v>
      </c>
      <c r="E673" s="49">
        <v>4</v>
      </c>
      <c r="F673" s="44"/>
      <c r="G673" s="44"/>
      <c r="H673" s="44"/>
    </row>
    <row r="674" spans="1:8" ht="15.75" thickBot="1" x14ac:dyDescent="0.3">
      <c r="A674" s="48" t="s">
        <v>777</v>
      </c>
      <c r="B674" s="49">
        <v>2001</v>
      </c>
      <c r="C674" s="50"/>
      <c r="D674" s="50"/>
      <c r="E674" s="50"/>
      <c r="F674" s="44"/>
      <c r="G674" s="44"/>
      <c r="H674" s="44"/>
    </row>
    <row r="675" spans="1:8" ht="15.75" thickBot="1" x14ac:dyDescent="0.3">
      <c r="A675" s="48" t="s">
        <v>778</v>
      </c>
      <c r="B675" s="49">
        <v>2650</v>
      </c>
      <c r="C675" s="50"/>
      <c r="D675" s="50"/>
      <c r="E675" s="50"/>
      <c r="F675" s="44"/>
      <c r="G675" s="44"/>
      <c r="H675" s="44"/>
    </row>
    <row r="676" spans="1:8" ht="23.25" thickBot="1" x14ac:dyDescent="0.3">
      <c r="A676" s="48" t="s">
        <v>779</v>
      </c>
      <c r="B676" s="49" t="s">
        <v>780</v>
      </c>
      <c r="C676" s="49" t="s">
        <v>997</v>
      </c>
      <c r="D676" s="49">
        <v>2</v>
      </c>
      <c r="E676" s="49">
        <v>4</v>
      </c>
      <c r="F676" s="44"/>
      <c r="G676" s="44"/>
      <c r="H676" s="44"/>
    </row>
    <row r="677" spans="1:8" ht="15.75" thickBot="1" x14ac:dyDescent="0.3">
      <c r="A677" s="48" t="s">
        <v>781</v>
      </c>
      <c r="B677" s="49">
        <v>208</v>
      </c>
      <c r="C677" s="50"/>
      <c r="D677" s="50"/>
      <c r="E677" s="50"/>
      <c r="F677" s="44"/>
      <c r="G677" s="44"/>
      <c r="H677" s="44"/>
    </row>
    <row r="678" spans="1:8" ht="15.75" thickBot="1" x14ac:dyDescent="0.3">
      <c r="A678" s="48" t="s">
        <v>782</v>
      </c>
      <c r="B678" s="49">
        <v>254</v>
      </c>
      <c r="C678" s="50"/>
      <c r="D678" s="50"/>
      <c r="E678" s="50"/>
      <c r="F678" s="44"/>
      <c r="G678" s="44"/>
      <c r="H678" s="44"/>
    </row>
    <row r="679" spans="1:8" ht="15.75" thickBot="1" x14ac:dyDescent="0.3">
      <c r="A679" s="48" t="s">
        <v>783</v>
      </c>
      <c r="B679" s="49">
        <v>2764</v>
      </c>
      <c r="C679" s="50"/>
      <c r="D679" s="50"/>
      <c r="E679" s="50"/>
      <c r="F679" s="44"/>
      <c r="G679" s="44"/>
      <c r="H679" s="44"/>
    </row>
    <row r="680" spans="1:8" ht="15.75" thickBot="1" x14ac:dyDescent="0.3">
      <c r="A680" s="48" t="s">
        <v>784</v>
      </c>
      <c r="B680" s="49">
        <v>1682</v>
      </c>
      <c r="C680" s="50"/>
      <c r="D680" s="50"/>
      <c r="E680" s="50"/>
      <c r="F680" s="44"/>
      <c r="G680" s="44"/>
      <c r="H680" s="44"/>
    </row>
    <row r="681" spans="1:8" ht="15.75" thickBot="1" x14ac:dyDescent="0.3">
      <c r="A681" s="48" t="s">
        <v>785</v>
      </c>
      <c r="B681" s="49">
        <v>114</v>
      </c>
      <c r="C681" s="54" t="s">
        <v>997</v>
      </c>
      <c r="D681" s="49">
        <v>3</v>
      </c>
      <c r="E681" s="49">
        <v>8</v>
      </c>
      <c r="F681" s="44"/>
      <c r="G681" s="44"/>
      <c r="H681" s="44"/>
    </row>
    <row r="682" spans="1:8" ht="15.75" thickBot="1" x14ac:dyDescent="0.3">
      <c r="A682" s="48" t="s">
        <v>787</v>
      </c>
      <c r="B682" s="49">
        <v>309</v>
      </c>
      <c r="C682" s="50"/>
      <c r="D682" s="50"/>
      <c r="E682" s="50"/>
      <c r="F682" s="44"/>
      <c r="G682" s="44"/>
      <c r="H682" s="44"/>
    </row>
    <row r="683" spans="1:8" ht="15.75" thickBot="1" x14ac:dyDescent="0.3">
      <c r="A683" s="48" t="s">
        <v>788</v>
      </c>
      <c r="B683" s="49">
        <v>384</v>
      </c>
      <c r="C683" s="50"/>
      <c r="D683" s="50"/>
      <c r="E683" s="50"/>
      <c r="F683" s="44"/>
      <c r="G683" s="44"/>
      <c r="H683" s="44"/>
    </row>
    <row r="684" spans="1:8" ht="15.75" thickBot="1" x14ac:dyDescent="0.3">
      <c r="A684" s="48" t="s">
        <v>968</v>
      </c>
      <c r="B684" s="49" t="s">
        <v>969</v>
      </c>
      <c r="C684" s="49" t="s">
        <v>997</v>
      </c>
      <c r="D684" s="49">
        <v>6</v>
      </c>
      <c r="E684" s="49">
        <v>18</v>
      </c>
      <c r="F684" s="44"/>
      <c r="G684" s="44"/>
      <c r="H684" s="44"/>
    </row>
    <row r="685" spans="1:8" ht="15.75" thickBot="1" x14ac:dyDescent="0.3">
      <c r="A685" s="48" t="s">
        <v>789</v>
      </c>
      <c r="B685" s="49">
        <v>1268</v>
      </c>
      <c r="C685" s="50"/>
      <c r="D685" s="50"/>
      <c r="E685" s="50"/>
      <c r="F685" s="44"/>
      <c r="G685" s="44"/>
      <c r="H685" s="44"/>
    </row>
    <row r="686" spans="1:8" ht="15.75" thickBot="1" x14ac:dyDescent="0.3">
      <c r="A686" s="48" t="s">
        <v>790</v>
      </c>
      <c r="B686" s="49">
        <v>1091</v>
      </c>
      <c r="C686" s="50"/>
      <c r="D686" s="50"/>
      <c r="E686" s="50"/>
      <c r="F686" s="44"/>
      <c r="G686" s="44"/>
      <c r="H686" s="44"/>
    </row>
    <row r="687" spans="1:8" ht="23.25" thickBot="1" x14ac:dyDescent="0.3">
      <c r="A687" s="48" t="s">
        <v>791</v>
      </c>
      <c r="B687" s="49" t="s">
        <v>792</v>
      </c>
      <c r="C687" s="49" t="s">
        <v>997</v>
      </c>
      <c r="D687" s="49">
        <v>6</v>
      </c>
      <c r="E687" s="49">
        <v>18</v>
      </c>
      <c r="F687" s="44"/>
      <c r="G687" s="44"/>
      <c r="H687" s="44"/>
    </row>
    <row r="688" spans="1:8" ht="23.25" thickBot="1" x14ac:dyDescent="0.3">
      <c r="A688" s="48" t="s">
        <v>793</v>
      </c>
      <c r="B688" s="49" t="s">
        <v>276</v>
      </c>
      <c r="C688" s="49" t="s">
        <v>997</v>
      </c>
      <c r="D688" s="49">
        <v>6</v>
      </c>
      <c r="E688" s="49">
        <v>18</v>
      </c>
      <c r="F688" s="44"/>
      <c r="G688" s="44"/>
      <c r="H688" s="44"/>
    </row>
    <row r="689" spans="1:8" ht="15.75" thickBot="1" x14ac:dyDescent="0.3">
      <c r="A689" s="48" t="s">
        <v>794</v>
      </c>
      <c r="B689" s="49">
        <v>1164</v>
      </c>
      <c r="C689" s="50"/>
      <c r="D689" s="50"/>
      <c r="E689" s="50"/>
      <c r="F689" s="44"/>
      <c r="G689" s="44"/>
      <c r="H689" s="44"/>
    </row>
    <row r="690" spans="1:8" ht="15.75" thickBot="1" x14ac:dyDescent="0.3">
      <c r="A690" s="48" t="s">
        <v>795</v>
      </c>
      <c r="B690" s="49">
        <v>206</v>
      </c>
      <c r="C690" s="50"/>
      <c r="D690" s="50"/>
      <c r="E690" s="50"/>
      <c r="F690" s="44"/>
      <c r="G690" s="44"/>
      <c r="H690" s="44"/>
    </row>
    <row r="691" spans="1:8" ht="15.75" thickBot="1" x14ac:dyDescent="0.3">
      <c r="A691" s="48" t="s">
        <v>796</v>
      </c>
      <c r="B691" s="49">
        <v>1909</v>
      </c>
      <c r="C691" s="50"/>
      <c r="D691" s="50"/>
      <c r="E691" s="50"/>
      <c r="F691" s="44"/>
      <c r="G691" s="44"/>
      <c r="H691" s="44"/>
    </row>
    <row r="692" spans="1:8" ht="15.75" thickBot="1" x14ac:dyDescent="0.3">
      <c r="A692" s="48" t="s">
        <v>797</v>
      </c>
      <c r="B692" s="49">
        <v>1890</v>
      </c>
      <c r="C692" s="50"/>
      <c r="D692" s="50"/>
      <c r="E692" s="50"/>
      <c r="F692" s="44"/>
      <c r="G692" s="44"/>
      <c r="H692" s="44"/>
    </row>
    <row r="693" spans="1:8" ht="15.75" thickBot="1" x14ac:dyDescent="0.3">
      <c r="A693" s="48" t="s">
        <v>798</v>
      </c>
      <c r="B693" s="49">
        <v>110</v>
      </c>
      <c r="C693" s="50"/>
      <c r="D693" s="50"/>
      <c r="E693" s="50"/>
      <c r="F693" s="44"/>
      <c r="G693" s="44"/>
      <c r="H693" s="44"/>
    </row>
    <row r="694" spans="1:8" ht="15.75" thickBot="1" x14ac:dyDescent="0.3">
      <c r="A694" s="48" t="s">
        <v>799</v>
      </c>
      <c r="B694" s="49">
        <v>457</v>
      </c>
      <c r="C694" s="50"/>
      <c r="D694" s="50"/>
      <c r="E694" s="50"/>
      <c r="F694" s="44"/>
      <c r="G694" s="44"/>
      <c r="H694" s="44"/>
    </row>
    <row r="695" spans="1:8" ht="15.75" thickBot="1" x14ac:dyDescent="0.3">
      <c r="A695" s="48" t="s">
        <v>800</v>
      </c>
      <c r="B695" s="49">
        <v>501</v>
      </c>
      <c r="C695" s="50"/>
      <c r="D695" s="50"/>
      <c r="E695" s="50"/>
      <c r="F695" s="44"/>
      <c r="G695" s="44"/>
      <c r="H695" s="44"/>
    </row>
    <row r="696" spans="1:8" ht="15.75" thickBot="1" x14ac:dyDescent="0.3">
      <c r="A696" s="48" t="s">
        <v>801</v>
      </c>
      <c r="B696" s="49">
        <v>362</v>
      </c>
      <c r="C696" s="50"/>
      <c r="D696" s="50"/>
      <c r="E696" s="50"/>
      <c r="F696" s="44"/>
      <c r="G696" s="44"/>
      <c r="H696" s="44"/>
    </row>
    <row r="697" spans="1:8" ht="15.75" thickBot="1" x14ac:dyDescent="0.3">
      <c r="A697" s="48" t="s">
        <v>802</v>
      </c>
      <c r="B697" s="49">
        <v>144</v>
      </c>
      <c r="C697" s="50"/>
      <c r="D697" s="50"/>
      <c r="E697" s="50"/>
      <c r="F697" s="44"/>
      <c r="G697" s="44"/>
      <c r="H697" s="44"/>
    </row>
    <row r="698" spans="1:8" ht="15.75" thickBot="1" x14ac:dyDescent="0.3">
      <c r="A698" s="48" t="s">
        <v>803</v>
      </c>
      <c r="B698" s="49">
        <v>941</v>
      </c>
      <c r="C698" s="50"/>
      <c r="D698" s="50"/>
      <c r="E698" s="50"/>
      <c r="F698" s="44"/>
      <c r="G698" s="44"/>
      <c r="H698" s="44"/>
    </row>
    <row r="699" spans="1:8" ht="23.25" thickBot="1" x14ac:dyDescent="0.3">
      <c r="A699" s="48" t="s">
        <v>804</v>
      </c>
      <c r="B699" s="49" t="s">
        <v>805</v>
      </c>
      <c r="C699" s="49" t="s">
        <v>997</v>
      </c>
      <c r="D699" s="49">
        <v>4</v>
      </c>
      <c r="E699" s="49">
        <v>11</v>
      </c>
      <c r="F699" s="44"/>
      <c r="G699" s="44"/>
      <c r="H699" s="44"/>
    </row>
    <row r="700" spans="1:8" ht="15.75" thickBot="1" x14ac:dyDescent="0.3">
      <c r="A700" s="48" t="s">
        <v>806</v>
      </c>
      <c r="B700" s="49">
        <v>433</v>
      </c>
      <c r="C700" s="50"/>
      <c r="D700" s="50"/>
      <c r="E700" s="50"/>
      <c r="F700" s="44"/>
      <c r="G700" s="44"/>
      <c r="H700" s="44"/>
    </row>
    <row r="701" spans="1:8" ht="15.75" thickBot="1" x14ac:dyDescent="0.3">
      <c r="A701" s="48" t="s">
        <v>807</v>
      </c>
      <c r="B701" s="49">
        <v>170</v>
      </c>
      <c r="C701" s="50"/>
      <c r="D701" s="50"/>
      <c r="E701" s="50"/>
      <c r="F701" s="44"/>
      <c r="G701" s="44"/>
      <c r="H701" s="44"/>
    </row>
    <row r="702" spans="1:8" ht="15.75" thickBot="1" x14ac:dyDescent="0.3">
      <c r="A702" s="48" t="s">
        <v>808</v>
      </c>
      <c r="B702" s="49">
        <v>141</v>
      </c>
      <c r="C702" s="50"/>
      <c r="D702" s="50"/>
      <c r="E702" s="50"/>
      <c r="F702" s="44"/>
      <c r="G702" s="44"/>
      <c r="H702" s="44"/>
    </row>
    <row r="703" spans="1:8" ht="15.75" thickBot="1" x14ac:dyDescent="0.3">
      <c r="A703" s="48" t="s">
        <v>809</v>
      </c>
      <c r="B703" s="49">
        <v>1561</v>
      </c>
      <c r="C703" s="50"/>
      <c r="D703" s="50"/>
      <c r="E703" s="50"/>
      <c r="F703" s="44"/>
      <c r="G703" s="44"/>
      <c r="H703" s="44"/>
    </row>
    <row r="704" spans="1:8" ht="15.75" thickBot="1" x14ac:dyDescent="0.3">
      <c r="A704" s="48" t="s">
        <v>810</v>
      </c>
      <c r="B704" s="49">
        <v>750</v>
      </c>
      <c r="C704" s="50"/>
      <c r="D704" s="50"/>
      <c r="E704" s="50"/>
      <c r="F704" s="44"/>
      <c r="G704" s="44"/>
      <c r="H704" s="44"/>
    </row>
    <row r="705" spans="1:8" ht="15.75" thickBot="1" x14ac:dyDescent="0.3">
      <c r="A705" s="48" t="s">
        <v>811</v>
      </c>
      <c r="B705" s="49">
        <v>137</v>
      </c>
      <c r="C705" s="50"/>
      <c r="D705" s="50"/>
      <c r="E705" s="50"/>
      <c r="F705" s="44"/>
      <c r="G705" s="44"/>
      <c r="H705" s="44"/>
    </row>
    <row r="706" spans="1:8" ht="15.75" thickBot="1" x14ac:dyDescent="0.3">
      <c r="A706" s="48" t="s">
        <v>812</v>
      </c>
      <c r="B706" s="49">
        <v>317</v>
      </c>
      <c r="C706" s="50"/>
      <c r="D706" s="50"/>
      <c r="E706" s="50"/>
      <c r="F706" s="44"/>
      <c r="G706" s="44"/>
      <c r="H706" s="44"/>
    </row>
    <row r="707" spans="1:8" ht="15.75" thickBot="1" x14ac:dyDescent="0.3">
      <c r="A707" s="48" t="s">
        <v>813</v>
      </c>
      <c r="B707" s="49">
        <v>1818</v>
      </c>
      <c r="C707" s="50"/>
      <c r="D707" s="50"/>
      <c r="E707" s="50"/>
      <c r="F707" s="44"/>
      <c r="G707" s="44"/>
      <c r="H707" s="44"/>
    </row>
    <row r="708" spans="1:8" ht="15.75" thickBot="1" x14ac:dyDescent="0.3">
      <c r="A708" s="48" t="s">
        <v>814</v>
      </c>
      <c r="B708" s="49">
        <v>1149</v>
      </c>
      <c r="C708" s="50"/>
      <c r="D708" s="50"/>
      <c r="E708" s="50"/>
      <c r="F708" s="44"/>
      <c r="G708" s="44"/>
      <c r="H708" s="44"/>
    </row>
    <row r="709" spans="1:8" ht="15.75" thickBot="1" x14ac:dyDescent="0.3">
      <c r="A709" s="48" t="s">
        <v>815</v>
      </c>
      <c r="B709" s="49">
        <v>84</v>
      </c>
      <c r="C709" s="50"/>
      <c r="D709" s="50"/>
      <c r="E709" s="50"/>
      <c r="F709" s="44"/>
      <c r="G709" s="44"/>
      <c r="H709" s="44"/>
    </row>
    <row r="710" spans="1:8" ht="15.75" thickBot="1" x14ac:dyDescent="0.3">
      <c r="A710" s="48" t="s">
        <v>816</v>
      </c>
      <c r="B710" s="49">
        <v>330</v>
      </c>
      <c r="C710" s="50"/>
      <c r="D710" s="50"/>
      <c r="E710" s="50"/>
      <c r="F710" s="44"/>
      <c r="G710" s="44"/>
      <c r="H710" s="44"/>
    </row>
    <row r="711" spans="1:8" ht="15.75" thickBot="1" x14ac:dyDescent="0.3">
      <c r="A711" s="48" t="s">
        <v>817</v>
      </c>
      <c r="B711" s="49">
        <v>743</v>
      </c>
      <c r="C711" s="50"/>
      <c r="D711" s="50"/>
      <c r="E711" s="50"/>
      <c r="F711" s="44"/>
      <c r="G711" s="44"/>
      <c r="H711" s="44"/>
    </row>
    <row r="712" spans="1:8" ht="15.75" thickBot="1" x14ac:dyDescent="0.3">
      <c r="A712" s="48" t="s">
        <v>818</v>
      </c>
      <c r="B712" s="49">
        <v>339</v>
      </c>
      <c r="C712" s="50"/>
      <c r="D712" s="50"/>
      <c r="E712" s="50"/>
      <c r="F712" s="44"/>
      <c r="G712" s="44"/>
      <c r="H712" s="44"/>
    </row>
    <row r="713" spans="1:8" ht="72.75" thickBot="1" x14ac:dyDescent="0.3">
      <c r="A713" s="42" t="s">
        <v>1102</v>
      </c>
      <c r="B713" s="50"/>
      <c r="C713" s="50"/>
      <c r="D713" s="50"/>
      <c r="E713" s="50"/>
      <c r="F713" s="44"/>
      <c r="G713" s="44"/>
      <c r="H713" s="44"/>
    </row>
    <row r="714" spans="1:8" ht="15.75" thickBot="1" x14ac:dyDescent="0.3">
      <c r="A714" s="48" t="s">
        <v>970</v>
      </c>
      <c r="B714" s="49">
        <v>88</v>
      </c>
      <c r="C714" s="50"/>
      <c r="D714" s="50"/>
      <c r="E714" s="50"/>
      <c r="F714" s="44"/>
      <c r="G714" s="44"/>
      <c r="H714" s="44"/>
    </row>
    <row r="715" spans="1:8" ht="15.75" thickBot="1" x14ac:dyDescent="0.3">
      <c r="A715" s="48" t="s">
        <v>819</v>
      </c>
      <c r="B715" s="49">
        <v>2226</v>
      </c>
      <c r="C715" s="50"/>
      <c r="D715" s="50"/>
      <c r="E715" s="50"/>
      <c r="F715" s="44"/>
      <c r="G715" s="44"/>
      <c r="H715" s="44"/>
    </row>
    <row r="716" spans="1:8" ht="15.75" thickBot="1" x14ac:dyDescent="0.3">
      <c r="A716" s="48" t="s">
        <v>820</v>
      </c>
      <c r="B716" s="49">
        <v>1042</v>
      </c>
      <c r="C716" s="50"/>
      <c r="D716" s="50"/>
      <c r="E716" s="50"/>
      <c r="F716" s="44"/>
      <c r="G716" s="44"/>
      <c r="H716" s="44"/>
    </row>
    <row r="717" spans="1:8" ht="15.75" thickBot="1" x14ac:dyDescent="0.3">
      <c r="A717" s="48" t="s">
        <v>821</v>
      </c>
      <c r="B717" s="49">
        <v>292</v>
      </c>
      <c r="C717" s="50"/>
      <c r="D717" s="50"/>
      <c r="E717" s="50"/>
      <c r="F717" s="44"/>
      <c r="G717" s="44"/>
      <c r="H717" s="44"/>
    </row>
    <row r="718" spans="1:8" ht="15.75" thickBot="1" x14ac:dyDescent="0.3">
      <c r="A718" s="48" t="s">
        <v>822</v>
      </c>
      <c r="B718" s="49">
        <v>480</v>
      </c>
      <c r="C718" s="50"/>
      <c r="D718" s="50"/>
      <c r="E718" s="50"/>
      <c r="F718" s="44"/>
      <c r="G718" s="44"/>
      <c r="H718" s="44"/>
    </row>
    <row r="719" spans="1:8" ht="15.75" thickBot="1" x14ac:dyDescent="0.3">
      <c r="A719" s="48" t="s">
        <v>823</v>
      </c>
      <c r="B719" s="49">
        <v>221</v>
      </c>
      <c r="C719" s="50"/>
      <c r="D719" s="50"/>
      <c r="E719" s="50"/>
      <c r="F719" s="44"/>
      <c r="G719" s="44"/>
      <c r="H719" s="44"/>
    </row>
    <row r="720" spans="1:8" ht="15.75" thickBot="1" x14ac:dyDescent="0.3">
      <c r="A720" s="48" t="s">
        <v>824</v>
      </c>
      <c r="B720" s="49">
        <v>281</v>
      </c>
      <c r="C720" s="50"/>
      <c r="D720" s="50"/>
      <c r="E720" s="50"/>
      <c r="F720" s="44"/>
      <c r="G720" s="44"/>
      <c r="H720" s="44"/>
    </row>
    <row r="721" spans="1:8" ht="15.75" thickBot="1" x14ac:dyDescent="0.3">
      <c r="A721" s="48" t="s">
        <v>825</v>
      </c>
      <c r="B721" s="49">
        <v>341</v>
      </c>
      <c r="C721" s="50"/>
      <c r="D721" s="50"/>
      <c r="E721" s="50"/>
      <c r="F721" s="44"/>
      <c r="G721" s="44"/>
      <c r="H721" s="44"/>
    </row>
    <row r="722" spans="1:8" ht="15.75" thickBot="1" x14ac:dyDescent="0.3">
      <c r="A722" s="48" t="s">
        <v>826</v>
      </c>
      <c r="B722" s="49">
        <v>1179</v>
      </c>
      <c r="C722" s="50"/>
      <c r="D722" s="50"/>
      <c r="E722" s="50"/>
      <c r="F722" s="44"/>
      <c r="G722" s="44"/>
      <c r="H722" s="44"/>
    </row>
    <row r="723" spans="1:8" ht="15.75" thickBot="1" x14ac:dyDescent="0.3">
      <c r="A723" s="48" t="s">
        <v>827</v>
      </c>
      <c r="B723" s="49">
        <v>293</v>
      </c>
      <c r="C723" s="50"/>
      <c r="D723" s="50"/>
      <c r="E723" s="50"/>
      <c r="F723" s="44"/>
      <c r="G723" s="44"/>
      <c r="H723" s="44"/>
    </row>
    <row r="724" spans="1:8" ht="15.75" thickBot="1" x14ac:dyDescent="0.3">
      <c r="A724" s="48" t="s">
        <v>828</v>
      </c>
      <c r="B724" s="49">
        <v>83</v>
      </c>
      <c r="C724" s="50"/>
      <c r="D724" s="50"/>
      <c r="E724" s="50"/>
      <c r="F724" s="44"/>
      <c r="G724" s="44"/>
      <c r="H724" s="44"/>
    </row>
    <row r="725" spans="1:8" ht="15.75" thickBot="1" x14ac:dyDescent="0.3">
      <c r="A725" s="48" t="s">
        <v>829</v>
      </c>
      <c r="B725" s="49">
        <v>1035</v>
      </c>
      <c r="C725" s="50"/>
      <c r="D725" s="50"/>
      <c r="E725" s="50"/>
      <c r="F725" s="44"/>
      <c r="G725" s="44"/>
      <c r="H725" s="44"/>
    </row>
    <row r="726" spans="1:8" ht="23.25" thickBot="1" x14ac:dyDescent="0.3">
      <c r="A726" s="48" t="s">
        <v>830</v>
      </c>
      <c r="B726" s="49" t="s">
        <v>831</v>
      </c>
      <c r="C726" s="49" t="s">
        <v>1000</v>
      </c>
      <c r="D726" s="50"/>
      <c r="E726" s="50"/>
      <c r="F726" s="44"/>
      <c r="G726" s="44"/>
      <c r="H726" s="44"/>
    </row>
    <row r="727" spans="1:8" ht="15.75" thickBot="1" x14ac:dyDescent="0.3">
      <c r="A727" s="48" t="s">
        <v>832</v>
      </c>
      <c r="B727" s="49">
        <v>106</v>
      </c>
      <c r="C727" s="50"/>
      <c r="D727" s="50"/>
      <c r="E727" s="50"/>
      <c r="F727" s="44"/>
      <c r="G727" s="44"/>
      <c r="H727" s="44"/>
    </row>
    <row r="728" spans="1:8" ht="15.75" thickBot="1" x14ac:dyDescent="0.3">
      <c r="A728" s="48" t="s">
        <v>833</v>
      </c>
      <c r="B728" s="49">
        <v>424</v>
      </c>
      <c r="C728" s="50"/>
      <c r="D728" s="50"/>
      <c r="E728" s="50"/>
      <c r="F728" s="44"/>
      <c r="G728" s="44"/>
      <c r="H728" s="44"/>
    </row>
    <row r="729" spans="1:8" ht="15.75" thickBot="1" x14ac:dyDescent="0.3">
      <c r="A729" s="48" t="s">
        <v>834</v>
      </c>
      <c r="B729" s="49">
        <v>205</v>
      </c>
      <c r="C729" s="50"/>
      <c r="D729" s="50"/>
      <c r="E729" s="50"/>
      <c r="F729" s="44"/>
      <c r="G729" s="44"/>
      <c r="H729" s="44"/>
    </row>
    <row r="730" spans="1:8" ht="15.75" thickBot="1" x14ac:dyDescent="0.3">
      <c r="A730" s="48" t="s">
        <v>835</v>
      </c>
      <c r="B730" s="49">
        <v>1418</v>
      </c>
      <c r="C730" s="50"/>
      <c r="D730" s="50"/>
      <c r="E730" s="50"/>
      <c r="F730" s="44"/>
      <c r="G730" s="44"/>
      <c r="H730" s="44"/>
    </row>
    <row r="731" spans="1:8" ht="15.75" thickBot="1" x14ac:dyDescent="0.3">
      <c r="A731" s="48" t="s">
        <v>836</v>
      </c>
      <c r="B731" s="49">
        <v>333</v>
      </c>
      <c r="C731" s="50"/>
      <c r="D731" s="50"/>
      <c r="E731" s="50"/>
      <c r="F731" s="44"/>
      <c r="G731" s="44"/>
      <c r="H731" s="44"/>
    </row>
    <row r="732" spans="1:8" ht="15.75" thickBot="1" x14ac:dyDescent="0.3">
      <c r="A732" s="48" t="s">
        <v>837</v>
      </c>
      <c r="B732" s="49">
        <v>192</v>
      </c>
      <c r="C732" s="50"/>
      <c r="D732" s="50"/>
      <c r="E732" s="50"/>
      <c r="F732" s="44"/>
      <c r="G732" s="44"/>
      <c r="H732" s="44"/>
    </row>
    <row r="733" spans="1:8" ht="23.25" thickBot="1" x14ac:dyDescent="0.3">
      <c r="A733" s="48" t="s">
        <v>838</v>
      </c>
      <c r="B733" s="49" t="s">
        <v>792</v>
      </c>
      <c r="C733" s="49" t="s">
        <v>997</v>
      </c>
      <c r="D733" s="49">
        <v>3</v>
      </c>
      <c r="E733" s="49">
        <v>7</v>
      </c>
      <c r="F733" s="44"/>
      <c r="G733" s="44"/>
      <c r="H733" s="44"/>
    </row>
    <row r="734" spans="1:8" ht="15.75" thickBot="1" x14ac:dyDescent="0.3">
      <c r="A734" s="48" t="s">
        <v>839</v>
      </c>
      <c r="B734" s="49">
        <v>1958</v>
      </c>
      <c r="C734" s="50"/>
      <c r="D734" s="50"/>
      <c r="E734" s="50"/>
      <c r="F734" s="44"/>
      <c r="G734" s="44"/>
      <c r="H734" s="44"/>
    </row>
    <row r="735" spans="1:8" ht="15.75" thickBot="1" x14ac:dyDescent="0.3">
      <c r="A735" s="48" t="s">
        <v>840</v>
      </c>
      <c r="B735" s="49">
        <v>356</v>
      </c>
      <c r="C735" s="50"/>
      <c r="D735" s="50"/>
      <c r="E735" s="50"/>
      <c r="F735" s="44"/>
      <c r="G735" s="44"/>
      <c r="H735" s="44"/>
    </row>
    <row r="736" spans="1:8" ht="15.75" thickBot="1" x14ac:dyDescent="0.3">
      <c r="A736" s="48" t="s">
        <v>841</v>
      </c>
      <c r="B736" s="49">
        <v>80</v>
      </c>
      <c r="C736" s="50"/>
      <c r="D736" s="50"/>
      <c r="E736" s="50"/>
      <c r="F736" s="44"/>
      <c r="G736" s="44"/>
      <c r="H736" s="44"/>
    </row>
    <row r="737" spans="1:8" ht="15.75" thickBot="1" x14ac:dyDescent="0.3">
      <c r="A737" s="48" t="s">
        <v>842</v>
      </c>
      <c r="B737" s="49">
        <v>97</v>
      </c>
      <c r="C737" s="50"/>
      <c r="D737" s="50"/>
      <c r="E737" s="50"/>
      <c r="F737" s="44"/>
      <c r="G737" s="44"/>
      <c r="H737" s="44"/>
    </row>
    <row r="738" spans="1:8" ht="15.75" thickBot="1" x14ac:dyDescent="0.3">
      <c r="A738" s="48" t="s">
        <v>843</v>
      </c>
      <c r="B738" s="49">
        <v>106</v>
      </c>
      <c r="C738" s="50"/>
      <c r="D738" s="50"/>
      <c r="E738" s="50"/>
      <c r="F738" s="44"/>
      <c r="G738" s="44"/>
      <c r="H738" s="44"/>
    </row>
    <row r="739" spans="1:8" ht="15.75" thickBot="1" x14ac:dyDescent="0.3">
      <c r="A739" s="48" t="s">
        <v>844</v>
      </c>
      <c r="B739" s="49">
        <v>341</v>
      </c>
      <c r="C739" s="50"/>
      <c r="D739" s="50"/>
      <c r="E739" s="50"/>
      <c r="F739" s="44"/>
      <c r="G739" s="44"/>
      <c r="H739" s="44"/>
    </row>
    <row r="740" spans="1:8" ht="15.75" thickBot="1" x14ac:dyDescent="0.3">
      <c r="A740" s="48" t="s">
        <v>845</v>
      </c>
      <c r="B740" s="49">
        <v>154</v>
      </c>
      <c r="C740" s="50"/>
      <c r="D740" s="50"/>
      <c r="E740" s="50"/>
      <c r="F740" s="44"/>
      <c r="G740" s="44"/>
      <c r="H740" s="44"/>
    </row>
    <row r="741" spans="1:8" ht="15.75" thickBot="1" x14ac:dyDescent="0.3">
      <c r="A741" s="48" t="s">
        <v>846</v>
      </c>
      <c r="B741" s="49">
        <v>73</v>
      </c>
      <c r="C741" s="50"/>
      <c r="D741" s="50"/>
      <c r="E741" s="50"/>
      <c r="F741" s="44"/>
      <c r="G741" s="44"/>
      <c r="H741" s="44"/>
    </row>
    <row r="742" spans="1:8" ht="15.75" thickBot="1" x14ac:dyDescent="0.3">
      <c r="A742" s="48" t="s">
        <v>847</v>
      </c>
      <c r="B742" s="49">
        <v>1400</v>
      </c>
      <c r="C742" s="50"/>
      <c r="D742" s="50"/>
      <c r="E742" s="50"/>
      <c r="F742" s="44"/>
      <c r="G742" s="44"/>
      <c r="H742" s="44"/>
    </row>
    <row r="743" spans="1:8" ht="23.25" thickBot="1" x14ac:dyDescent="0.3">
      <c r="A743" s="48" t="s">
        <v>848</v>
      </c>
      <c r="B743" s="49" t="s">
        <v>849</v>
      </c>
      <c r="C743" s="49" t="s">
        <v>997</v>
      </c>
      <c r="D743" s="49">
        <v>7</v>
      </c>
      <c r="E743" s="49">
        <v>19</v>
      </c>
      <c r="F743" s="44"/>
      <c r="G743" s="44"/>
      <c r="H743" s="44"/>
    </row>
    <row r="744" spans="1:8" ht="15.75" thickBot="1" x14ac:dyDescent="0.3">
      <c r="A744" s="48" t="s">
        <v>850</v>
      </c>
      <c r="B744" s="49">
        <v>831</v>
      </c>
      <c r="C744" s="50"/>
      <c r="D744" s="50"/>
      <c r="E744" s="50"/>
      <c r="F744" s="44"/>
      <c r="G744" s="44"/>
      <c r="H744" s="44"/>
    </row>
    <row r="745" spans="1:8" ht="15.75" thickBot="1" x14ac:dyDescent="0.3">
      <c r="A745" s="48" t="s">
        <v>851</v>
      </c>
      <c r="B745" s="49">
        <v>283</v>
      </c>
      <c r="C745" s="50"/>
      <c r="D745" s="50"/>
      <c r="E745" s="50"/>
      <c r="F745" s="44"/>
      <c r="G745" s="44"/>
      <c r="H745" s="44"/>
    </row>
    <row r="746" spans="1:8" ht="15.75" thickBot="1" x14ac:dyDescent="0.3">
      <c r="A746" s="48" t="s">
        <v>852</v>
      </c>
      <c r="B746" s="49">
        <v>1446</v>
      </c>
      <c r="C746" s="50"/>
      <c r="D746" s="50"/>
      <c r="E746" s="50"/>
      <c r="F746" s="44"/>
      <c r="G746" s="44"/>
      <c r="H746" s="44"/>
    </row>
    <row r="747" spans="1:8" ht="23.25" thickBot="1" x14ac:dyDescent="0.3">
      <c r="A747" s="48" t="s">
        <v>853</v>
      </c>
      <c r="B747" s="49" t="s">
        <v>854</v>
      </c>
      <c r="C747" s="49" t="s">
        <v>997</v>
      </c>
      <c r="D747" s="49">
        <v>2</v>
      </c>
      <c r="E747" s="49">
        <v>6</v>
      </c>
      <c r="F747" s="44"/>
      <c r="G747" s="44"/>
      <c r="H747" s="44"/>
    </row>
    <row r="748" spans="1:8" ht="15.75" thickBot="1" x14ac:dyDescent="0.3">
      <c r="A748" s="48" t="s">
        <v>855</v>
      </c>
      <c r="B748" s="49">
        <v>3982</v>
      </c>
      <c r="C748" s="50"/>
      <c r="D748" s="50"/>
      <c r="E748" s="50"/>
      <c r="F748" s="44"/>
      <c r="G748" s="44"/>
      <c r="H748" s="44"/>
    </row>
    <row r="749" spans="1:8" ht="15.75" thickBot="1" x14ac:dyDescent="0.3">
      <c r="A749" s="48" t="s">
        <v>856</v>
      </c>
      <c r="B749" s="49">
        <v>90</v>
      </c>
      <c r="C749" s="50"/>
      <c r="D749" s="50"/>
      <c r="E749" s="50"/>
      <c r="F749" s="44"/>
      <c r="G749" s="44"/>
      <c r="H749" s="44"/>
    </row>
    <row r="750" spans="1:8" ht="15.75" thickBot="1" x14ac:dyDescent="0.3">
      <c r="A750" s="48" t="s">
        <v>857</v>
      </c>
      <c r="B750" s="49">
        <v>135</v>
      </c>
      <c r="C750" s="50"/>
      <c r="D750" s="50"/>
      <c r="E750" s="50"/>
      <c r="F750" s="44"/>
      <c r="G750" s="44"/>
      <c r="H750" s="44"/>
    </row>
    <row r="751" spans="1:8" ht="15.75" thickBot="1" x14ac:dyDescent="0.3">
      <c r="A751" s="48" t="s">
        <v>858</v>
      </c>
      <c r="B751" s="49">
        <v>2042</v>
      </c>
      <c r="C751" s="50"/>
      <c r="D751" s="50"/>
      <c r="E751" s="50"/>
      <c r="F751" s="44"/>
      <c r="G751" s="44"/>
      <c r="H751" s="44"/>
    </row>
    <row r="752" spans="1:8" ht="23.25" thickBot="1" x14ac:dyDescent="0.3">
      <c r="A752" s="48" t="s">
        <v>859</v>
      </c>
      <c r="B752" s="49" t="s">
        <v>1031</v>
      </c>
      <c r="C752" s="49" t="s">
        <v>997</v>
      </c>
      <c r="D752" s="49">
        <v>3</v>
      </c>
      <c r="E752" s="49">
        <v>7</v>
      </c>
      <c r="F752" s="44"/>
      <c r="G752" s="44"/>
      <c r="H752" s="44"/>
    </row>
    <row r="753" spans="1:8" ht="15.75" thickBot="1" x14ac:dyDescent="0.3">
      <c r="A753" s="48" t="s">
        <v>861</v>
      </c>
      <c r="B753" s="49">
        <v>423</v>
      </c>
      <c r="C753" s="50"/>
      <c r="D753" s="50"/>
      <c r="E753" s="50"/>
      <c r="F753" s="44"/>
      <c r="G753" s="44"/>
      <c r="H753" s="44"/>
    </row>
    <row r="754" spans="1:8" ht="15.75" thickBot="1" x14ac:dyDescent="0.3">
      <c r="A754" s="48" t="s">
        <v>863</v>
      </c>
      <c r="B754" s="49">
        <v>378</v>
      </c>
      <c r="C754" s="50"/>
      <c r="D754" s="50"/>
      <c r="E754" s="50"/>
      <c r="F754" s="44"/>
      <c r="G754" s="44"/>
      <c r="H754" s="44"/>
    </row>
    <row r="755" spans="1:8" ht="15.75" thickBot="1" x14ac:dyDescent="0.3">
      <c r="A755" s="48" t="s">
        <v>864</v>
      </c>
      <c r="B755" s="49">
        <v>346</v>
      </c>
      <c r="C755" s="50"/>
      <c r="D755" s="50"/>
      <c r="E755" s="50"/>
      <c r="F755" s="44"/>
      <c r="G755" s="44"/>
      <c r="H755" s="44"/>
    </row>
    <row r="756" spans="1:8" ht="15.75" thickBot="1" x14ac:dyDescent="0.3">
      <c r="A756" s="48" t="s">
        <v>865</v>
      </c>
      <c r="B756" s="49">
        <v>1866</v>
      </c>
      <c r="C756" s="50"/>
      <c r="D756" s="50"/>
      <c r="E756" s="50"/>
      <c r="F756" s="44"/>
      <c r="G756" s="44"/>
      <c r="H756" s="44"/>
    </row>
    <row r="757" spans="1:8" ht="23.25" thickBot="1" x14ac:dyDescent="0.3">
      <c r="A757" s="48" t="s">
        <v>866</v>
      </c>
      <c r="B757" s="49" t="s">
        <v>1103</v>
      </c>
      <c r="C757" s="49" t="s">
        <v>997</v>
      </c>
      <c r="D757" s="49">
        <v>3</v>
      </c>
      <c r="E757" s="49">
        <v>7</v>
      </c>
      <c r="F757" s="44"/>
      <c r="G757" s="44"/>
      <c r="H757" s="44"/>
    </row>
    <row r="758" spans="1:8" ht="15.75" thickBot="1" x14ac:dyDescent="0.3">
      <c r="A758" s="48" t="s">
        <v>868</v>
      </c>
      <c r="B758" s="49">
        <v>1891</v>
      </c>
      <c r="C758" s="50"/>
      <c r="D758" s="50"/>
      <c r="E758" s="50"/>
      <c r="F758" s="44"/>
      <c r="G758" s="44"/>
      <c r="H758" s="44"/>
    </row>
    <row r="759" spans="1:8" ht="15.75" thickBot="1" x14ac:dyDescent="0.3">
      <c r="A759" s="48" t="s">
        <v>869</v>
      </c>
      <c r="B759" s="49">
        <v>1588</v>
      </c>
      <c r="C759" s="50"/>
      <c r="D759" s="50"/>
      <c r="E759" s="50"/>
      <c r="F759" s="44"/>
      <c r="G759" s="44"/>
      <c r="H759" s="44"/>
    </row>
    <row r="760" spans="1:8" ht="15.75" thickBot="1" x14ac:dyDescent="0.3">
      <c r="A760" s="48" t="s">
        <v>870</v>
      </c>
      <c r="B760" s="49">
        <v>239</v>
      </c>
      <c r="C760" s="50"/>
      <c r="D760" s="50"/>
      <c r="E760" s="50"/>
      <c r="F760" s="44"/>
      <c r="G760" s="44"/>
      <c r="H760" s="44"/>
    </row>
    <row r="761" spans="1:8" ht="15.75" thickBot="1" x14ac:dyDescent="0.3">
      <c r="A761" s="48" t="s">
        <v>871</v>
      </c>
      <c r="B761" s="49">
        <v>93</v>
      </c>
      <c r="C761" s="50"/>
      <c r="D761" s="50"/>
      <c r="E761" s="50"/>
      <c r="F761" s="44"/>
      <c r="G761" s="44"/>
      <c r="H761" s="44"/>
    </row>
    <row r="762" spans="1:8" ht="15.75" thickBot="1" x14ac:dyDescent="0.3">
      <c r="A762" s="48" t="s">
        <v>872</v>
      </c>
      <c r="B762" s="49">
        <v>462</v>
      </c>
      <c r="C762" s="50"/>
      <c r="D762" s="50"/>
      <c r="E762" s="50"/>
      <c r="F762" s="44"/>
      <c r="G762" s="44"/>
      <c r="H762" s="44"/>
    </row>
    <row r="763" spans="1:8" ht="23.25" thickBot="1" x14ac:dyDescent="0.3">
      <c r="A763" s="48" t="s">
        <v>873</v>
      </c>
      <c r="B763" s="49" t="s">
        <v>1104</v>
      </c>
      <c r="C763" s="49" t="s">
        <v>997</v>
      </c>
      <c r="D763" s="49">
        <v>2</v>
      </c>
      <c r="E763" s="49">
        <v>4</v>
      </c>
      <c r="F763" s="44"/>
      <c r="G763" s="44"/>
      <c r="H763" s="44"/>
    </row>
    <row r="764" spans="1:8" ht="23.25" thickBot="1" x14ac:dyDescent="0.3">
      <c r="A764" s="48" t="s">
        <v>875</v>
      </c>
      <c r="B764" s="49" t="s">
        <v>876</v>
      </c>
      <c r="C764" s="49" t="s">
        <v>997</v>
      </c>
      <c r="D764" s="49">
        <v>2</v>
      </c>
      <c r="E764" s="49">
        <v>4</v>
      </c>
      <c r="F764" s="44"/>
      <c r="G764" s="44"/>
      <c r="H764" s="44"/>
    </row>
    <row r="765" spans="1:8" ht="15.75" thickBot="1" x14ac:dyDescent="0.3">
      <c r="A765" s="48" t="s">
        <v>877</v>
      </c>
      <c r="B765" s="49">
        <v>432</v>
      </c>
      <c r="C765" s="50"/>
      <c r="D765" s="50"/>
      <c r="E765" s="50"/>
      <c r="F765" s="44"/>
      <c r="G765" s="44"/>
      <c r="H765" s="44"/>
    </row>
    <row r="766" spans="1:8" ht="15.75" thickBot="1" x14ac:dyDescent="0.3">
      <c r="A766" s="48" t="s">
        <v>878</v>
      </c>
      <c r="B766" s="49">
        <v>166</v>
      </c>
      <c r="C766" s="50"/>
      <c r="D766" s="50"/>
      <c r="E766" s="50"/>
      <c r="F766" s="44"/>
      <c r="G766" s="44"/>
      <c r="H766" s="44"/>
    </row>
    <row r="767" spans="1:8" ht="15.75" thickBot="1" x14ac:dyDescent="0.3">
      <c r="A767" s="48" t="s">
        <v>879</v>
      </c>
      <c r="B767" s="49">
        <v>90</v>
      </c>
      <c r="C767" s="50"/>
      <c r="D767" s="50"/>
      <c r="E767" s="50"/>
      <c r="F767" s="44"/>
      <c r="G767" s="44"/>
      <c r="H767" s="44"/>
    </row>
    <row r="768" spans="1:8" ht="15.75" thickBot="1" x14ac:dyDescent="0.3">
      <c r="A768" s="48" t="s">
        <v>880</v>
      </c>
      <c r="B768" s="49">
        <v>429</v>
      </c>
      <c r="C768" s="50"/>
      <c r="D768" s="50"/>
      <c r="E768" s="50"/>
      <c r="F768" s="44"/>
      <c r="G768" s="44"/>
      <c r="H768" s="44"/>
    </row>
    <row r="769" spans="1:8" ht="15.75" thickBot="1" x14ac:dyDescent="0.3">
      <c r="A769" s="48" t="s">
        <v>881</v>
      </c>
      <c r="B769" s="49">
        <v>3658</v>
      </c>
      <c r="C769" s="50"/>
      <c r="D769" s="50"/>
      <c r="E769" s="50"/>
      <c r="F769" s="44"/>
      <c r="G769" s="44"/>
      <c r="H769" s="44"/>
    </row>
    <row r="770" spans="1:8" ht="23.25" thickBot="1" x14ac:dyDescent="0.3">
      <c r="A770" s="48" t="s">
        <v>882</v>
      </c>
      <c r="B770" s="49" t="s">
        <v>883</v>
      </c>
      <c r="C770" s="49" t="s">
        <v>997</v>
      </c>
      <c r="D770" s="49">
        <v>2</v>
      </c>
      <c r="E770" s="49">
        <v>4</v>
      </c>
      <c r="F770" s="44"/>
      <c r="G770" s="44"/>
      <c r="H770" s="44"/>
    </row>
    <row r="771" spans="1:8" ht="15.75" thickBot="1" x14ac:dyDescent="0.3">
      <c r="A771" s="48" t="s">
        <v>884</v>
      </c>
      <c r="B771" s="49">
        <v>68</v>
      </c>
      <c r="C771" s="50"/>
      <c r="D771" s="50"/>
      <c r="E771" s="50"/>
      <c r="F771" s="44"/>
      <c r="G771" s="44"/>
      <c r="H771" s="44"/>
    </row>
    <row r="772" spans="1:8" ht="15.75" thickBot="1" x14ac:dyDescent="0.3">
      <c r="A772" s="48" t="s">
        <v>885</v>
      </c>
      <c r="B772" s="49">
        <v>540</v>
      </c>
      <c r="C772" s="50"/>
      <c r="D772" s="50"/>
      <c r="E772" s="50"/>
      <c r="F772" s="44"/>
      <c r="G772" s="44"/>
      <c r="H772" s="44"/>
    </row>
    <row r="773" spans="1:8" ht="15.75" thickBot="1" x14ac:dyDescent="0.3">
      <c r="A773" s="48" t="s">
        <v>886</v>
      </c>
      <c r="B773" s="49">
        <v>98</v>
      </c>
      <c r="C773" s="50"/>
      <c r="D773" s="50"/>
      <c r="E773" s="50"/>
      <c r="F773" s="44"/>
      <c r="G773" s="44"/>
      <c r="H773" s="44"/>
    </row>
    <row r="774" spans="1:8" ht="15.75" thickBot="1" x14ac:dyDescent="0.3">
      <c r="A774" s="48" t="s">
        <v>887</v>
      </c>
      <c r="B774" s="49">
        <v>174</v>
      </c>
      <c r="C774" s="50"/>
      <c r="D774" s="50"/>
      <c r="E774" s="50"/>
      <c r="F774" s="44"/>
      <c r="G774" s="44"/>
      <c r="H774" s="44"/>
    </row>
    <row r="775" spans="1:8" ht="15.75" thickBot="1" x14ac:dyDescent="0.3">
      <c r="A775" s="48" t="s">
        <v>888</v>
      </c>
      <c r="B775" s="49">
        <v>938</v>
      </c>
      <c r="C775" s="50"/>
      <c r="D775" s="50"/>
      <c r="E775" s="50"/>
      <c r="F775" s="44"/>
      <c r="G775" s="44"/>
      <c r="H775" s="44"/>
    </row>
    <row r="776" spans="1:8" ht="23.25" thickBot="1" x14ac:dyDescent="0.3">
      <c r="A776" s="48" t="s">
        <v>889</v>
      </c>
      <c r="B776" s="49" t="s">
        <v>890</v>
      </c>
      <c r="C776" s="49" t="s">
        <v>997</v>
      </c>
      <c r="D776" s="49">
        <v>2</v>
      </c>
      <c r="E776" s="49">
        <v>6</v>
      </c>
      <c r="F776" s="44"/>
      <c r="G776" s="44"/>
      <c r="H776" s="44"/>
    </row>
    <row r="777" spans="1:8" ht="15.75" thickBot="1" x14ac:dyDescent="0.3">
      <c r="A777" s="48" t="s">
        <v>891</v>
      </c>
      <c r="B777" s="49">
        <v>910</v>
      </c>
      <c r="C777" s="50"/>
      <c r="D777" s="50"/>
      <c r="E777" s="50"/>
      <c r="F777" s="44"/>
      <c r="G777" s="44"/>
      <c r="H777" s="44"/>
    </row>
    <row r="778" spans="1:8" ht="87" thickBot="1" x14ac:dyDescent="0.3">
      <c r="A778" s="42" t="s">
        <v>1105</v>
      </c>
      <c r="B778" s="57" t="s">
        <v>12</v>
      </c>
      <c r="C778" s="50"/>
      <c r="D778" s="50"/>
      <c r="E778" s="50"/>
      <c r="F778" s="44"/>
      <c r="G778" s="44"/>
      <c r="H778" s="44"/>
    </row>
    <row r="779" spans="1:8" ht="15.75" thickBot="1" x14ac:dyDescent="0.3">
      <c r="A779" s="48" t="s">
        <v>892</v>
      </c>
      <c r="B779" s="49">
        <v>2194</v>
      </c>
      <c r="C779" s="50"/>
      <c r="D779" s="50"/>
      <c r="E779" s="50"/>
      <c r="F779" s="44"/>
      <c r="G779" s="44"/>
      <c r="H779" s="44"/>
    </row>
    <row r="780" spans="1:8" ht="23.25" thickBot="1" x14ac:dyDescent="0.3">
      <c r="A780" s="48" t="s">
        <v>893</v>
      </c>
      <c r="B780" s="49" t="s">
        <v>894</v>
      </c>
      <c r="C780" s="49" t="s">
        <v>997</v>
      </c>
      <c r="D780" s="49">
        <v>3</v>
      </c>
      <c r="E780" s="49">
        <v>9</v>
      </c>
      <c r="F780" s="44"/>
      <c r="G780" s="44"/>
      <c r="H780" s="44"/>
    </row>
    <row r="781" spans="1:8" ht="23.25" thickBot="1" x14ac:dyDescent="0.3">
      <c r="A781" s="48" t="s">
        <v>895</v>
      </c>
      <c r="B781" s="49" t="s">
        <v>896</v>
      </c>
      <c r="C781" s="49" t="s">
        <v>997</v>
      </c>
      <c r="D781" s="49">
        <v>3</v>
      </c>
      <c r="E781" s="49">
        <v>9</v>
      </c>
      <c r="F781" s="44"/>
      <c r="G781" s="44"/>
      <c r="H781" s="44"/>
    </row>
    <row r="782" spans="1:8" ht="15.75" thickBot="1" x14ac:dyDescent="0.3">
      <c r="A782" s="48" t="s">
        <v>897</v>
      </c>
      <c r="B782" s="49">
        <v>131</v>
      </c>
      <c r="C782" s="50"/>
      <c r="D782" s="50"/>
      <c r="E782" s="50"/>
      <c r="F782" s="44"/>
      <c r="G782" s="44"/>
      <c r="H782" s="44"/>
    </row>
    <row r="783" spans="1:8" ht="15.75" thickBot="1" x14ac:dyDescent="0.3">
      <c r="A783" s="48" t="s">
        <v>898</v>
      </c>
      <c r="B783" s="49">
        <v>2535</v>
      </c>
      <c r="C783" s="50"/>
      <c r="D783" s="50"/>
      <c r="E783" s="50"/>
      <c r="F783" s="44"/>
      <c r="G783" s="44"/>
      <c r="H783" s="44"/>
    </row>
    <row r="784" spans="1:8" ht="15.75" thickBot="1" x14ac:dyDescent="0.3">
      <c r="A784" s="41"/>
      <c r="B784" s="50"/>
      <c r="C784" s="50"/>
      <c r="D784" s="50"/>
      <c r="E784" s="50"/>
      <c r="F784" s="44"/>
      <c r="G784" s="44"/>
      <c r="H784" s="44"/>
    </row>
    <row r="785" spans="1:8" ht="15.75" thickBot="1" x14ac:dyDescent="0.3">
      <c r="A785" s="41"/>
      <c r="B785" s="57" t="s">
        <v>9</v>
      </c>
      <c r="C785" s="50"/>
      <c r="D785" s="50"/>
      <c r="E785" s="50"/>
      <c r="F785" s="44"/>
      <c r="G785" s="44"/>
      <c r="H785" s="44"/>
    </row>
    <row r="786" spans="1:8" ht="15.75" thickBot="1" x14ac:dyDescent="0.3">
      <c r="A786" s="41"/>
      <c r="B786" s="50"/>
      <c r="C786" s="50"/>
      <c r="D786" s="50"/>
      <c r="E786" s="50"/>
      <c r="F786" s="44"/>
      <c r="G786" s="44"/>
      <c r="H786" s="44"/>
    </row>
    <row r="787" spans="1:8" ht="15.75" thickBot="1" x14ac:dyDescent="0.3">
      <c r="A787" s="41"/>
      <c r="B787" s="50"/>
      <c r="C787" s="50"/>
      <c r="D787" s="50"/>
      <c r="E787" s="50"/>
      <c r="F787" s="44"/>
      <c r="G787" s="44"/>
      <c r="H787" s="44"/>
    </row>
    <row r="788" spans="1:8" ht="15.75" thickBot="1" x14ac:dyDescent="0.3">
      <c r="A788" s="41"/>
      <c r="B788" s="50"/>
      <c r="C788" s="50"/>
      <c r="D788" s="50"/>
      <c r="E788" s="50"/>
      <c r="F788" s="44"/>
      <c r="G788" s="44"/>
      <c r="H788" s="44"/>
    </row>
    <row r="789" spans="1:8" ht="15.75" thickBot="1" x14ac:dyDescent="0.3">
      <c r="A789" s="41"/>
      <c r="B789" s="50"/>
      <c r="C789" s="50"/>
      <c r="D789" s="50"/>
      <c r="E789" s="50"/>
      <c r="F789" s="44"/>
      <c r="G789" s="44"/>
      <c r="H789" s="44"/>
    </row>
    <row r="790" spans="1:8" ht="15.75" thickBot="1" x14ac:dyDescent="0.3">
      <c r="A790" s="41"/>
      <c r="B790" s="50"/>
      <c r="C790" s="50"/>
      <c r="D790" s="50"/>
      <c r="E790" s="50"/>
      <c r="F790" s="44"/>
      <c r="G790" s="44"/>
      <c r="H790" s="44"/>
    </row>
    <row r="791" spans="1:8" ht="15.75" thickBot="1" x14ac:dyDescent="0.3">
      <c r="A791" s="41"/>
      <c r="B791" s="50"/>
      <c r="C791" s="50"/>
      <c r="D791" s="50"/>
      <c r="E791" s="50"/>
      <c r="F791" s="44"/>
      <c r="G791" s="44"/>
      <c r="H791" s="44"/>
    </row>
    <row r="792" spans="1:8" ht="15.75" thickBot="1" x14ac:dyDescent="0.3">
      <c r="A792" s="41"/>
      <c r="B792" s="50"/>
      <c r="C792" s="50"/>
      <c r="D792" s="50"/>
      <c r="E792" s="50"/>
      <c r="F792" s="44"/>
      <c r="G792" s="44"/>
      <c r="H792" s="44"/>
    </row>
    <row r="793" spans="1:8" ht="15.75" thickBot="1" x14ac:dyDescent="0.3">
      <c r="A793" s="41"/>
      <c r="B793" s="50"/>
      <c r="C793" s="50"/>
      <c r="D793" s="50"/>
      <c r="E793" s="50"/>
      <c r="F793" s="44"/>
      <c r="G793" s="44"/>
      <c r="H793" s="44"/>
    </row>
    <row r="794" spans="1:8" ht="15.75" thickBot="1" x14ac:dyDescent="0.3">
      <c r="A794" s="41"/>
      <c r="B794" s="50"/>
      <c r="C794" s="50"/>
      <c r="D794" s="50"/>
      <c r="E794" s="50"/>
      <c r="F794" s="44"/>
      <c r="G794" s="44"/>
      <c r="H794" s="44"/>
    </row>
    <row r="795" spans="1:8" ht="15.75" thickBot="1" x14ac:dyDescent="0.3">
      <c r="A795" s="41"/>
      <c r="B795" s="50"/>
      <c r="C795" s="50"/>
      <c r="D795" s="50"/>
      <c r="E795" s="50"/>
      <c r="F795" s="44"/>
      <c r="G795" s="44"/>
      <c r="H795" s="44"/>
    </row>
    <row r="796" spans="1:8" ht="15.75" thickBot="1" x14ac:dyDescent="0.3">
      <c r="A796" s="41"/>
      <c r="B796" s="50"/>
      <c r="C796" s="50"/>
      <c r="D796" s="50"/>
      <c r="E796" s="50"/>
      <c r="F796" s="44"/>
      <c r="G796" s="44"/>
      <c r="H796" s="44"/>
    </row>
    <row r="797" spans="1:8" ht="15.75" thickBot="1" x14ac:dyDescent="0.3">
      <c r="A797" s="41"/>
      <c r="B797" s="50"/>
      <c r="C797" s="50"/>
      <c r="D797" s="50"/>
      <c r="E797" s="50"/>
      <c r="F797" s="44"/>
      <c r="G797" s="44"/>
      <c r="H797" s="44"/>
    </row>
    <row r="798" spans="1:8" ht="15.75" thickBot="1" x14ac:dyDescent="0.3">
      <c r="A798" s="41"/>
      <c r="B798" s="50"/>
      <c r="C798" s="50"/>
      <c r="D798" s="50"/>
      <c r="E798" s="50"/>
      <c r="F798" s="44"/>
      <c r="G798" s="44"/>
      <c r="H798" s="44"/>
    </row>
    <row r="799" spans="1:8" ht="15.75" thickBot="1" x14ac:dyDescent="0.3">
      <c r="A799" s="41"/>
      <c r="B799" s="50"/>
      <c r="C799" s="50"/>
      <c r="D799" s="50"/>
      <c r="E799" s="50"/>
      <c r="F799" s="44"/>
      <c r="G799" s="44"/>
      <c r="H799" s="44"/>
    </row>
    <row r="800" spans="1:8" ht="15.75" thickBot="1" x14ac:dyDescent="0.3">
      <c r="A800" s="41"/>
      <c r="B800" s="50"/>
      <c r="C800" s="50"/>
      <c r="D800" s="50"/>
      <c r="E800" s="50"/>
      <c r="F800" s="44"/>
      <c r="G800" s="44"/>
      <c r="H800" s="44"/>
    </row>
    <row r="801" spans="1:8" ht="15.75" thickBot="1" x14ac:dyDescent="0.3">
      <c r="A801" s="41"/>
      <c r="B801" s="50"/>
      <c r="C801" s="50"/>
      <c r="D801" s="50"/>
      <c r="E801" s="50"/>
      <c r="F801" s="44"/>
      <c r="G801" s="44"/>
      <c r="H801" s="44"/>
    </row>
    <row r="802" spans="1:8" ht="15.75" thickBot="1" x14ac:dyDescent="0.3">
      <c r="A802" s="41"/>
      <c r="B802" s="50"/>
      <c r="C802" s="50"/>
      <c r="D802" s="50"/>
      <c r="E802" s="50"/>
      <c r="F802" s="44"/>
      <c r="G802" s="44"/>
      <c r="H802" s="44"/>
    </row>
    <row r="803" spans="1:8" ht="15.75" thickBot="1" x14ac:dyDescent="0.3">
      <c r="A803" s="41"/>
      <c r="B803" s="50"/>
      <c r="C803" s="50"/>
      <c r="D803" s="50"/>
      <c r="E803" s="50"/>
      <c r="F803" s="44"/>
      <c r="G803" s="44"/>
      <c r="H803" s="44"/>
    </row>
    <row r="804" spans="1:8" ht="15.75" thickBot="1" x14ac:dyDescent="0.3">
      <c r="A804" s="41"/>
      <c r="B804" s="50"/>
      <c r="C804" s="50"/>
      <c r="D804" s="50"/>
      <c r="E804" s="50"/>
      <c r="F804" s="44"/>
      <c r="G804" s="44"/>
      <c r="H804" s="44"/>
    </row>
    <row r="805" spans="1:8" ht="15.75" thickBot="1" x14ac:dyDescent="0.3">
      <c r="A805" s="41"/>
      <c r="B805" s="50"/>
      <c r="C805" s="50"/>
      <c r="D805" s="50"/>
      <c r="E805" s="50"/>
      <c r="F805" s="44"/>
      <c r="G805" s="44"/>
      <c r="H805" s="44"/>
    </row>
    <row r="806" spans="1:8" ht="15.75" thickBot="1" x14ac:dyDescent="0.3">
      <c r="A806" s="41"/>
      <c r="B806" s="50"/>
      <c r="C806" s="50"/>
      <c r="D806" s="50"/>
      <c r="E806" s="50"/>
      <c r="F806" s="44"/>
      <c r="G806" s="44"/>
      <c r="H806" s="44"/>
    </row>
    <row r="807" spans="1:8" ht="15.75" thickBot="1" x14ac:dyDescent="0.3">
      <c r="A807" s="41"/>
      <c r="B807" s="50"/>
      <c r="C807" s="50"/>
      <c r="D807" s="50"/>
      <c r="E807" s="50"/>
      <c r="F807" s="44"/>
      <c r="G807" s="44"/>
      <c r="H807" s="44"/>
    </row>
    <row r="808" spans="1:8" ht="15.75" thickBot="1" x14ac:dyDescent="0.3">
      <c r="A808" s="41"/>
      <c r="B808" s="50"/>
      <c r="C808" s="50"/>
      <c r="D808" s="50"/>
      <c r="E808" s="50"/>
      <c r="F808" s="44"/>
      <c r="G808" s="44"/>
      <c r="H808" s="44"/>
    </row>
    <row r="809" spans="1:8" ht="15.75" thickBot="1" x14ac:dyDescent="0.3">
      <c r="A809" s="41"/>
      <c r="B809" s="50"/>
      <c r="C809" s="50"/>
      <c r="D809" s="50"/>
      <c r="E809" s="50"/>
      <c r="F809" s="44"/>
      <c r="G809" s="44"/>
      <c r="H809" s="44"/>
    </row>
    <row r="810" spans="1:8" ht="15.75" thickBot="1" x14ac:dyDescent="0.3">
      <c r="A810" s="41"/>
      <c r="B810" s="50"/>
      <c r="C810" s="50"/>
      <c r="D810" s="50"/>
      <c r="E810" s="50"/>
      <c r="F810" s="44"/>
      <c r="G810" s="44"/>
      <c r="H810" s="44"/>
    </row>
    <row r="811" spans="1:8" ht="15.75" thickBot="1" x14ac:dyDescent="0.3">
      <c r="A811" s="41"/>
      <c r="B811" s="50"/>
      <c r="C811" s="50"/>
      <c r="D811" s="50"/>
      <c r="E811" s="50"/>
      <c r="F811" s="44"/>
      <c r="G811" s="44"/>
      <c r="H811" s="44"/>
    </row>
    <row r="812" spans="1:8" ht="15.75" thickBot="1" x14ac:dyDescent="0.3">
      <c r="A812" s="41"/>
      <c r="B812" s="50"/>
      <c r="C812" s="50"/>
      <c r="D812" s="50"/>
      <c r="E812" s="50"/>
      <c r="F812" s="44"/>
      <c r="G812" s="44"/>
      <c r="H812" s="44"/>
    </row>
    <row r="813" spans="1:8" ht="15.75" thickBot="1" x14ac:dyDescent="0.3">
      <c r="A813" s="41"/>
      <c r="B813" s="50"/>
      <c r="C813" s="50"/>
      <c r="D813" s="50"/>
      <c r="E813" s="50"/>
      <c r="F813" s="44"/>
      <c r="G813" s="44"/>
      <c r="H813" s="44"/>
    </row>
    <row r="814" spans="1:8" ht="15.75" thickBot="1" x14ac:dyDescent="0.3">
      <c r="A814" s="41"/>
      <c r="B814" s="50"/>
      <c r="C814" s="50"/>
      <c r="D814" s="50"/>
      <c r="E814" s="50"/>
      <c r="F814" s="44"/>
      <c r="G814" s="44"/>
      <c r="H814" s="44"/>
    </row>
    <row r="815" spans="1:8" ht="15.75" thickBot="1" x14ac:dyDescent="0.3">
      <c r="A815" s="41"/>
      <c r="B815" s="50"/>
      <c r="C815" s="50"/>
      <c r="D815" s="50"/>
      <c r="E815" s="50"/>
      <c r="F815" s="44"/>
      <c r="G815" s="44"/>
      <c r="H815" s="44"/>
    </row>
    <row r="816" spans="1:8" ht="15.75" thickBot="1" x14ac:dyDescent="0.3">
      <c r="A816" s="41"/>
      <c r="B816" s="50"/>
      <c r="C816" s="50"/>
      <c r="D816" s="50"/>
      <c r="E816" s="50"/>
      <c r="F816" s="44"/>
      <c r="G816" s="44"/>
      <c r="H816" s="44"/>
    </row>
    <row r="817" spans="1:8" ht="15.75" thickBot="1" x14ac:dyDescent="0.3">
      <c r="A817" s="41"/>
      <c r="B817" s="50"/>
      <c r="C817" s="50"/>
      <c r="D817" s="50"/>
      <c r="E817" s="50"/>
      <c r="F817" s="44"/>
      <c r="G817" s="44"/>
      <c r="H817" s="44"/>
    </row>
    <row r="818" spans="1:8" ht="15.75" thickBot="1" x14ac:dyDescent="0.3">
      <c r="A818" s="41"/>
      <c r="B818" s="50"/>
      <c r="C818" s="50"/>
      <c r="D818" s="50"/>
      <c r="E818" s="50"/>
      <c r="F818" s="44"/>
      <c r="G818" s="44"/>
      <c r="H818" s="44"/>
    </row>
    <row r="819" spans="1:8" ht="15.75" thickBot="1" x14ac:dyDescent="0.3">
      <c r="A819" s="41"/>
      <c r="B819" s="50"/>
      <c r="C819" s="50"/>
      <c r="D819" s="50"/>
      <c r="E819" s="50"/>
      <c r="F819" s="44"/>
      <c r="G819" s="44"/>
      <c r="H819" s="44"/>
    </row>
    <row r="820" spans="1:8" ht="15.75" thickBot="1" x14ac:dyDescent="0.3">
      <c r="A820" s="41"/>
      <c r="B820" s="50"/>
      <c r="C820" s="50"/>
      <c r="D820" s="50"/>
      <c r="E820" s="50"/>
      <c r="F820" s="44"/>
      <c r="G820" s="44"/>
      <c r="H820" s="44"/>
    </row>
    <row r="821" spans="1:8" ht="15.75" thickBot="1" x14ac:dyDescent="0.3">
      <c r="A821" s="41"/>
      <c r="B821" s="50"/>
      <c r="C821" s="50"/>
      <c r="D821" s="50"/>
      <c r="E821" s="50"/>
      <c r="F821" s="44"/>
      <c r="G821" s="44"/>
      <c r="H821" s="44"/>
    </row>
    <row r="822" spans="1:8" ht="15.75" thickBot="1" x14ac:dyDescent="0.3">
      <c r="A822" s="41"/>
      <c r="B822" s="50"/>
      <c r="C822" s="50"/>
      <c r="D822" s="50"/>
      <c r="E822" s="50"/>
      <c r="F822" s="44"/>
      <c r="G822" s="44"/>
      <c r="H822" s="44"/>
    </row>
    <row r="823" spans="1:8" ht="15.75" thickBot="1" x14ac:dyDescent="0.3">
      <c r="A823" s="41"/>
      <c r="B823" s="50"/>
      <c r="C823" s="50"/>
      <c r="D823" s="50"/>
      <c r="E823" s="50"/>
      <c r="F823" s="44"/>
      <c r="G823" s="44"/>
      <c r="H823" s="44"/>
    </row>
    <row r="824" spans="1:8" ht="15.75" thickBot="1" x14ac:dyDescent="0.3">
      <c r="A824" s="41"/>
      <c r="B824" s="50"/>
      <c r="C824" s="50"/>
      <c r="D824" s="50"/>
      <c r="E824" s="50"/>
      <c r="F824" s="44"/>
      <c r="G824" s="44"/>
      <c r="H824" s="44"/>
    </row>
    <row r="825" spans="1:8" ht="15.75" thickBot="1" x14ac:dyDescent="0.3">
      <c r="A825" s="41"/>
      <c r="B825" s="50"/>
      <c r="C825" s="50"/>
      <c r="D825" s="50"/>
      <c r="E825" s="50"/>
      <c r="F825" s="44"/>
      <c r="G825" s="44"/>
      <c r="H825" s="44"/>
    </row>
    <row r="826" spans="1:8" ht="15.75" thickBot="1" x14ac:dyDescent="0.3">
      <c r="A826" s="41"/>
      <c r="B826" s="50"/>
      <c r="C826" s="50"/>
      <c r="D826" s="50"/>
      <c r="E826" s="50"/>
      <c r="F826" s="44"/>
      <c r="G826" s="44"/>
      <c r="H826" s="44"/>
    </row>
    <row r="827" spans="1:8" ht="15.75" thickBot="1" x14ac:dyDescent="0.3">
      <c r="A827" s="41"/>
      <c r="B827" s="50"/>
      <c r="C827" s="50"/>
      <c r="D827" s="50"/>
      <c r="E827" s="50"/>
      <c r="F827" s="44"/>
      <c r="G827" s="44"/>
      <c r="H827" s="44"/>
    </row>
    <row r="828" spans="1:8" ht="15.75" thickBot="1" x14ac:dyDescent="0.3">
      <c r="A828" s="41"/>
      <c r="B828" s="50"/>
      <c r="C828" s="50"/>
      <c r="D828" s="50"/>
      <c r="E828" s="50"/>
      <c r="F828" s="44"/>
      <c r="G828" s="44"/>
      <c r="H828" s="44"/>
    </row>
    <row r="829" spans="1:8" ht="15.75" thickBot="1" x14ac:dyDescent="0.3">
      <c r="A829" s="41"/>
      <c r="B829" s="50"/>
      <c r="C829" s="50"/>
      <c r="D829" s="50"/>
      <c r="E829" s="50"/>
      <c r="F829" s="44"/>
      <c r="G829" s="44"/>
      <c r="H829" s="44"/>
    </row>
    <row r="830" spans="1:8" ht="15.75" thickBot="1" x14ac:dyDescent="0.3">
      <c r="A830" s="41"/>
      <c r="B830" s="50"/>
      <c r="C830" s="50"/>
      <c r="D830" s="50"/>
      <c r="E830" s="50"/>
      <c r="F830" s="44"/>
      <c r="G830" s="44"/>
      <c r="H830" s="44"/>
    </row>
    <row r="831" spans="1:8" ht="15.75" thickBot="1" x14ac:dyDescent="0.3">
      <c r="A831" s="41"/>
      <c r="B831" s="50"/>
      <c r="C831" s="50"/>
      <c r="D831" s="50"/>
      <c r="E831" s="50"/>
      <c r="F831" s="44"/>
      <c r="G831" s="44"/>
      <c r="H831" s="44"/>
    </row>
    <row r="832" spans="1:8" ht="15.75" thickBot="1" x14ac:dyDescent="0.3">
      <c r="A832" s="41"/>
      <c r="B832" s="50"/>
      <c r="C832" s="50"/>
      <c r="D832" s="50"/>
      <c r="E832" s="50"/>
      <c r="F832" s="44"/>
      <c r="G832" s="44"/>
      <c r="H832" s="44"/>
    </row>
    <row r="833" spans="1:8" ht="15.75" thickBot="1" x14ac:dyDescent="0.3">
      <c r="A833" s="41"/>
      <c r="B833" s="50"/>
      <c r="C833" s="50"/>
      <c r="D833" s="50"/>
      <c r="E833" s="50"/>
      <c r="F833" s="44"/>
      <c r="G833" s="44"/>
      <c r="H833" s="44"/>
    </row>
    <row r="834" spans="1:8" ht="15.75" thickBot="1" x14ac:dyDescent="0.3">
      <c r="A834" s="41"/>
      <c r="B834" s="50"/>
      <c r="C834" s="50"/>
      <c r="D834" s="50"/>
      <c r="E834" s="50"/>
      <c r="F834" s="44"/>
      <c r="G834" s="44"/>
      <c r="H834" s="44"/>
    </row>
    <row r="835" spans="1:8" ht="15.75" thickBot="1" x14ac:dyDescent="0.3">
      <c r="A835" s="41"/>
      <c r="B835" s="50"/>
      <c r="C835" s="50"/>
      <c r="D835" s="50"/>
      <c r="E835" s="50"/>
      <c r="F835" s="44"/>
      <c r="G835" s="44"/>
      <c r="H835" s="44"/>
    </row>
    <row r="836" spans="1:8" ht="15.75" thickBot="1" x14ac:dyDescent="0.3">
      <c r="A836" s="41"/>
      <c r="B836" s="50"/>
      <c r="C836" s="50"/>
      <c r="D836" s="50"/>
      <c r="E836" s="50"/>
      <c r="F836" s="44"/>
      <c r="G836" s="44"/>
      <c r="H836" s="44"/>
    </row>
    <row r="837" spans="1:8" ht="15.75" thickBot="1" x14ac:dyDescent="0.3">
      <c r="A837" s="41"/>
      <c r="B837" s="50"/>
      <c r="C837" s="50"/>
      <c r="D837" s="50"/>
      <c r="E837" s="50"/>
      <c r="F837" s="44"/>
      <c r="G837" s="44"/>
      <c r="H837" s="44"/>
    </row>
    <row r="838" spans="1:8" ht="15.75" thickBot="1" x14ac:dyDescent="0.3">
      <c r="A838" s="41"/>
      <c r="B838" s="50"/>
      <c r="C838" s="50"/>
      <c r="D838" s="50"/>
      <c r="E838" s="50"/>
      <c r="F838" s="44"/>
      <c r="G838" s="44"/>
      <c r="H838" s="44"/>
    </row>
    <row r="839" spans="1:8" ht="15.75" thickBot="1" x14ac:dyDescent="0.3">
      <c r="A839" s="41"/>
      <c r="B839" s="50"/>
      <c r="C839" s="50"/>
      <c r="D839" s="50"/>
      <c r="E839" s="50"/>
      <c r="F839" s="44"/>
      <c r="G839" s="44"/>
      <c r="H839" s="44"/>
    </row>
    <row r="840" spans="1:8" ht="15.75" thickBot="1" x14ac:dyDescent="0.3">
      <c r="A840" s="41"/>
      <c r="B840" s="50"/>
      <c r="C840" s="50"/>
      <c r="D840" s="50"/>
      <c r="E840" s="50"/>
      <c r="F840" s="44"/>
      <c r="G840" s="44"/>
      <c r="H840" s="44"/>
    </row>
    <row r="841" spans="1:8" ht="15.75" thickBot="1" x14ac:dyDescent="0.3">
      <c r="A841" s="41"/>
      <c r="B841" s="50"/>
      <c r="C841" s="50"/>
      <c r="D841" s="50"/>
      <c r="E841" s="50"/>
      <c r="F841" s="44"/>
      <c r="G841" s="44"/>
      <c r="H841" s="44"/>
    </row>
    <row r="842" spans="1:8" ht="15.75" thickBot="1" x14ac:dyDescent="0.3">
      <c r="A842" s="41"/>
      <c r="B842" s="50"/>
      <c r="C842" s="50"/>
      <c r="D842" s="50"/>
      <c r="E842" s="50"/>
      <c r="F842" s="44"/>
      <c r="G842" s="44"/>
      <c r="H842" s="44"/>
    </row>
    <row r="843" spans="1:8" ht="15.75" thickBot="1" x14ac:dyDescent="0.3">
      <c r="A843" s="41"/>
      <c r="B843" s="50"/>
      <c r="C843" s="50"/>
      <c r="D843" s="50"/>
      <c r="E843" s="50"/>
      <c r="F843" s="44"/>
      <c r="G843" s="44"/>
      <c r="H843" s="44"/>
    </row>
    <row r="844" spans="1:8" ht="15.75" thickBot="1" x14ac:dyDescent="0.3">
      <c r="A844" s="41"/>
      <c r="B844" s="50"/>
      <c r="C844" s="50"/>
      <c r="D844" s="50"/>
      <c r="E844" s="50"/>
      <c r="F844" s="44"/>
      <c r="G844" s="44"/>
      <c r="H844" s="44"/>
    </row>
    <row r="845" spans="1:8" ht="15.75" thickBot="1" x14ac:dyDescent="0.3">
      <c r="A845" s="41"/>
      <c r="B845" s="50"/>
      <c r="C845" s="50"/>
      <c r="D845" s="50"/>
      <c r="E845" s="50"/>
      <c r="F845" s="44"/>
      <c r="G845" s="44"/>
      <c r="H845" s="44"/>
    </row>
    <row r="846" spans="1:8" ht="15.75" thickBot="1" x14ac:dyDescent="0.3">
      <c r="A846" s="41"/>
      <c r="B846" s="50"/>
      <c r="C846" s="50"/>
      <c r="D846" s="50"/>
      <c r="E846" s="50"/>
      <c r="F846" s="44"/>
      <c r="G846" s="44"/>
      <c r="H846" s="44"/>
    </row>
    <row r="847" spans="1:8" ht="15.75" thickBot="1" x14ac:dyDescent="0.3">
      <c r="A847" s="41"/>
      <c r="B847" s="50"/>
      <c r="C847" s="50"/>
      <c r="D847" s="50"/>
      <c r="E847" s="50"/>
      <c r="F847" s="44"/>
      <c r="G847" s="44"/>
      <c r="H847" s="44"/>
    </row>
    <row r="848" spans="1:8" ht="15.75" thickBot="1" x14ac:dyDescent="0.3">
      <c r="A848" s="41"/>
      <c r="B848" s="50"/>
      <c r="C848" s="50"/>
      <c r="D848" s="50"/>
      <c r="E848" s="50"/>
      <c r="F848" s="44"/>
      <c r="G848" s="44"/>
      <c r="H848" s="44"/>
    </row>
    <row r="849" spans="1:8" ht="15.75" thickBot="1" x14ac:dyDescent="0.3">
      <c r="A849" s="41"/>
      <c r="B849" s="50"/>
      <c r="C849" s="50"/>
      <c r="D849" s="50"/>
      <c r="E849" s="50"/>
      <c r="F849" s="44"/>
      <c r="G849" s="44"/>
      <c r="H849" s="44"/>
    </row>
    <row r="850" spans="1:8" ht="15.75" thickBot="1" x14ac:dyDescent="0.3">
      <c r="A850" s="41"/>
      <c r="B850" s="50"/>
      <c r="C850" s="50"/>
      <c r="D850" s="50"/>
      <c r="E850" s="50"/>
      <c r="F850" s="44"/>
      <c r="G850" s="44"/>
      <c r="H850" s="44"/>
    </row>
    <row r="851" spans="1:8" ht="15.75" thickBot="1" x14ac:dyDescent="0.3">
      <c r="A851" s="41"/>
      <c r="B851" s="50"/>
      <c r="C851" s="50"/>
      <c r="D851" s="50"/>
      <c r="E851" s="50"/>
      <c r="F851" s="44"/>
      <c r="G851" s="44"/>
      <c r="H851" s="44"/>
    </row>
    <row r="852" spans="1:8" ht="15.75" thickBot="1" x14ac:dyDescent="0.3">
      <c r="A852" s="41"/>
      <c r="B852" s="50"/>
      <c r="C852" s="50"/>
      <c r="D852" s="50"/>
      <c r="E852" s="50"/>
      <c r="F852" s="44"/>
      <c r="G852" s="44"/>
      <c r="H852" s="44"/>
    </row>
    <row r="853" spans="1:8" ht="15.75" thickBot="1" x14ac:dyDescent="0.3">
      <c r="A853" s="41"/>
      <c r="B853" s="50"/>
      <c r="C853" s="50"/>
      <c r="D853" s="50"/>
      <c r="E853" s="50"/>
      <c r="F853" s="44"/>
      <c r="G853" s="44"/>
      <c r="H853" s="44"/>
    </row>
    <row r="854" spans="1:8" ht="15.75" thickBot="1" x14ac:dyDescent="0.3">
      <c r="A854" s="41"/>
      <c r="B854" s="50"/>
      <c r="C854" s="50"/>
      <c r="D854" s="50"/>
      <c r="E854" s="50"/>
      <c r="F854" s="44"/>
      <c r="G854" s="44"/>
      <c r="H854" s="44"/>
    </row>
    <row r="855" spans="1:8" ht="15.75" thickBot="1" x14ac:dyDescent="0.3">
      <c r="A855" s="41"/>
      <c r="B855" s="50"/>
      <c r="C855" s="50"/>
      <c r="D855" s="50"/>
      <c r="E855" s="50"/>
      <c r="F855" s="44"/>
      <c r="G855" s="44"/>
      <c r="H855" s="44"/>
    </row>
    <row r="856" spans="1:8" ht="15.75" thickBot="1" x14ac:dyDescent="0.3">
      <c r="A856" s="41"/>
      <c r="B856" s="50"/>
      <c r="C856" s="50"/>
      <c r="D856" s="50"/>
      <c r="E856" s="50"/>
      <c r="F856" s="44"/>
      <c r="G856" s="44"/>
      <c r="H856" s="44"/>
    </row>
    <row r="857" spans="1:8" ht="15.75" thickBot="1" x14ac:dyDescent="0.3">
      <c r="A857" s="41"/>
      <c r="B857" s="50"/>
      <c r="C857" s="50"/>
      <c r="D857" s="50"/>
      <c r="E857" s="50"/>
      <c r="F857" s="44"/>
      <c r="G857" s="44"/>
      <c r="H857" s="44"/>
    </row>
    <row r="858" spans="1:8" ht="15.75" thickBot="1" x14ac:dyDescent="0.3">
      <c r="A858" s="41"/>
      <c r="B858" s="50"/>
      <c r="C858" s="50"/>
      <c r="D858" s="50"/>
      <c r="E858" s="50"/>
      <c r="F858" s="44"/>
      <c r="G858" s="44"/>
      <c r="H858" s="44"/>
    </row>
    <row r="859" spans="1:8" ht="15.75" thickBot="1" x14ac:dyDescent="0.3">
      <c r="A859" s="41"/>
      <c r="B859" s="50"/>
      <c r="C859" s="50"/>
      <c r="D859" s="50"/>
      <c r="E859" s="50"/>
      <c r="F859" s="44"/>
      <c r="G859" s="44"/>
      <c r="H859" s="44"/>
    </row>
    <row r="860" spans="1:8" ht="15.75" thickBot="1" x14ac:dyDescent="0.3">
      <c r="A860" s="41"/>
      <c r="B860" s="50"/>
      <c r="C860" s="50"/>
      <c r="D860" s="50"/>
      <c r="E860" s="50"/>
      <c r="F860" s="44"/>
      <c r="G860" s="44"/>
      <c r="H860" s="44"/>
    </row>
    <row r="861" spans="1:8" ht="15.75" thickBot="1" x14ac:dyDescent="0.3">
      <c r="A861" s="41"/>
      <c r="B861" s="50"/>
      <c r="C861" s="50"/>
      <c r="D861" s="50"/>
      <c r="E861" s="50"/>
      <c r="F861" s="44"/>
      <c r="G861" s="44"/>
      <c r="H861" s="44"/>
    </row>
    <row r="862" spans="1:8" ht="15.75" thickBot="1" x14ac:dyDescent="0.3">
      <c r="A862" s="41"/>
      <c r="B862" s="50"/>
      <c r="C862" s="50"/>
      <c r="D862" s="50"/>
      <c r="E862" s="50"/>
      <c r="F862" s="44"/>
      <c r="G862" s="44"/>
      <c r="H862" s="44"/>
    </row>
    <row r="863" spans="1:8" ht="15.75" thickBot="1" x14ac:dyDescent="0.3">
      <c r="A863" s="41"/>
      <c r="B863" s="50"/>
      <c r="C863" s="50"/>
      <c r="D863" s="50"/>
      <c r="E863" s="50"/>
      <c r="F863" s="44"/>
      <c r="G863" s="44"/>
      <c r="H863" s="44"/>
    </row>
    <row r="864" spans="1:8" ht="15.75" thickBot="1" x14ac:dyDescent="0.3">
      <c r="A864" s="41"/>
      <c r="B864" s="50"/>
      <c r="C864" s="50"/>
      <c r="D864" s="50"/>
      <c r="E864" s="50"/>
      <c r="F864" s="44"/>
      <c r="G864" s="44"/>
      <c r="H864" s="44"/>
    </row>
    <row r="865" spans="1:8" ht="15.75" thickBot="1" x14ac:dyDescent="0.3">
      <c r="A865" s="41"/>
      <c r="B865" s="50"/>
      <c r="C865" s="50"/>
      <c r="D865" s="50"/>
      <c r="E865" s="50"/>
      <c r="F865" s="44"/>
      <c r="G865" s="44"/>
      <c r="H865" s="44"/>
    </row>
    <row r="866" spans="1:8" ht="15.75" thickBot="1" x14ac:dyDescent="0.3">
      <c r="A866" s="41"/>
      <c r="B866" s="50"/>
      <c r="C866" s="50"/>
      <c r="D866" s="50"/>
      <c r="E866" s="50"/>
      <c r="F866" s="44"/>
      <c r="G866" s="44"/>
      <c r="H866" s="44"/>
    </row>
    <row r="867" spans="1:8" ht="15.75" thickBot="1" x14ac:dyDescent="0.3">
      <c r="A867" s="41"/>
      <c r="B867" s="50"/>
      <c r="C867" s="50"/>
      <c r="D867" s="50"/>
      <c r="E867" s="50"/>
      <c r="F867" s="44"/>
      <c r="G867" s="44"/>
      <c r="H867" s="44"/>
    </row>
    <row r="868" spans="1:8" ht="15.75" thickBot="1" x14ac:dyDescent="0.3">
      <c r="A868" s="41"/>
      <c r="B868" s="50"/>
      <c r="C868" s="50"/>
      <c r="D868" s="50"/>
      <c r="E868" s="50"/>
      <c r="F868" s="44"/>
      <c r="G868" s="44"/>
      <c r="H868" s="44"/>
    </row>
    <row r="869" spans="1:8" ht="15.75" thickBot="1" x14ac:dyDescent="0.3">
      <c r="A869" s="41"/>
      <c r="B869" s="50"/>
      <c r="C869" s="50"/>
      <c r="D869" s="50"/>
      <c r="E869" s="50"/>
      <c r="F869" s="44"/>
      <c r="G869" s="44"/>
      <c r="H869" s="44"/>
    </row>
    <row r="870" spans="1:8" ht="15.75" thickBot="1" x14ac:dyDescent="0.3">
      <c r="A870" s="41"/>
      <c r="B870" s="50"/>
      <c r="C870" s="50"/>
      <c r="D870" s="50"/>
      <c r="E870" s="50"/>
      <c r="F870" s="44"/>
      <c r="G870" s="44"/>
      <c r="H870" s="44"/>
    </row>
    <row r="871" spans="1:8" ht="15.75" thickBot="1" x14ac:dyDescent="0.3">
      <c r="A871" s="41"/>
      <c r="B871" s="50"/>
      <c r="C871" s="50"/>
      <c r="D871" s="50"/>
      <c r="E871" s="50"/>
      <c r="F871" s="44"/>
      <c r="G871" s="44"/>
      <c r="H871" s="44"/>
    </row>
    <row r="872" spans="1:8" ht="15.75" thickBot="1" x14ac:dyDescent="0.3">
      <c r="A872" s="41"/>
      <c r="B872" s="50"/>
      <c r="C872" s="50"/>
      <c r="D872" s="50"/>
      <c r="E872" s="50"/>
      <c r="F872" s="44"/>
      <c r="G872" s="44"/>
      <c r="H872" s="44"/>
    </row>
    <row r="873" spans="1:8" ht="15.75" thickBot="1" x14ac:dyDescent="0.3">
      <c r="A873" s="41"/>
      <c r="B873" s="50"/>
      <c r="C873" s="50"/>
      <c r="D873" s="50"/>
      <c r="E873" s="50"/>
      <c r="F873" s="44"/>
      <c r="G873" s="44"/>
      <c r="H873" s="44"/>
    </row>
    <row r="874" spans="1:8" ht="15.75" thickBot="1" x14ac:dyDescent="0.3">
      <c r="A874" s="41"/>
      <c r="B874" s="50"/>
      <c r="C874" s="50"/>
      <c r="D874" s="50"/>
      <c r="E874" s="50"/>
      <c r="F874" s="44"/>
      <c r="G874" s="44"/>
      <c r="H874" s="44"/>
    </row>
    <row r="875" spans="1:8" ht="15.75" thickBot="1" x14ac:dyDescent="0.3">
      <c r="A875" s="41"/>
      <c r="B875" s="50"/>
      <c r="C875" s="50"/>
      <c r="D875" s="50"/>
      <c r="E875" s="50"/>
      <c r="F875" s="44"/>
      <c r="G875" s="44"/>
      <c r="H875" s="44"/>
    </row>
    <row r="876" spans="1:8" ht="15.75" thickBot="1" x14ac:dyDescent="0.3">
      <c r="A876" s="41"/>
      <c r="B876" s="50"/>
      <c r="C876" s="50"/>
      <c r="D876" s="50"/>
      <c r="E876" s="50"/>
      <c r="F876" s="44"/>
      <c r="G876" s="44"/>
      <c r="H876" s="44"/>
    </row>
    <row r="877" spans="1:8" ht="15.75" thickBot="1" x14ac:dyDescent="0.3">
      <c r="A877" s="41"/>
      <c r="B877" s="50"/>
      <c r="C877" s="50"/>
      <c r="D877" s="50"/>
      <c r="E877" s="50"/>
      <c r="F877" s="44"/>
      <c r="G877" s="44"/>
      <c r="H877" s="44"/>
    </row>
    <row r="878" spans="1:8" ht="15.75" thickBot="1" x14ac:dyDescent="0.3">
      <c r="A878" s="41"/>
      <c r="B878" s="50"/>
      <c r="C878" s="50"/>
      <c r="D878" s="50"/>
      <c r="E878" s="50"/>
      <c r="F878" s="44"/>
      <c r="G878" s="44"/>
      <c r="H878" s="44"/>
    </row>
    <row r="879" spans="1:8" ht="15.75" thickBot="1" x14ac:dyDescent="0.3">
      <c r="A879" s="41"/>
      <c r="B879" s="50"/>
      <c r="C879" s="50"/>
      <c r="D879" s="50"/>
      <c r="E879" s="50"/>
      <c r="F879" s="44"/>
      <c r="G879" s="44"/>
      <c r="H879" s="44"/>
    </row>
    <row r="880" spans="1:8" ht="15.75" thickBot="1" x14ac:dyDescent="0.3">
      <c r="A880" s="41"/>
      <c r="B880" s="50"/>
      <c r="C880" s="50"/>
      <c r="D880" s="50"/>
      <c r="E880" s="50"/>
      <c r="F880" s="44"/>
      <c r="G880" s="44"/>
      <c r="H880" s="44"/>
    </row>
    <row r="881" spans="1:8" ht="15.75" thickBot="1" x14ac:dyDescent="0.3">
      <c r="A881" s="41"/>
      <c r="B881" s="50"/>
      <c r="C881" s="50"/>
      <c r="D881" s="50"/>
      <c r="E881" s="50"/>
      <c r="F881" s="44"/>
      <c r="G881" s="44"/>
      <c r="H881" s="44"/>
    </row>
    <row r="882" spans="1:8" ht="15.75" thickBot="1" x14ac:dyDescent="0.3">
      <c r="A882" s="41"/>
      <c r="B882" s="50"/>
      <c r="C882" s="50"/>
      <c r="D882" s="50"/>
      <c r="E882" s="50"/>
      <c r="F882" s="44"/>
      <c r="G882" s="44"/>
      <c r="H882" s="44"/>
    </row>
    <row r="883" spans="1:8" ht="15.75" thickBot="1" x14ac:dyDescent="0.3">
      <c r="A883" s="41"/>
      <c r="B883" s="50"/>
      <c r="C883" s="50"/>
      <c r="D883" s="50"/>
      <c r="E883" s="50"/>
      <c r="F883" s="44"/>
      <c r="G883" s="44"/>
      <c r="H883" s="44"/>
    </row>
    <row r="884" spans="1:8" ht="15.75" thickBot="1" x14ac:dyDescent="0.3">
      <c r="A884" s="41"/>
      <c r="B884" s="50"/>
      <c r="C884" s="50"/>
      <c r="D884" s="50"/>
      <c r="E884" s="50"/>
      <c r="F884" s="44"/>
      <c r="G884" s="44"/>
      <c r="H884" s="44"/>
    </row>
    <row r="885" spans="1:8" ht="15.75" thickBot="1" x14ac:dyDescent="0.3">
      <c r="A885" s="41"/>
      <c r="B885" s="50"/>
      <c r="C885" s="50"/>
      <c r="D885" s="50"/>
      <c r="E885" s="50"/>
      <c r="F885" s="44"/>
      <c r="G885" s="44"/>
      <c r="H885" s="44"/>
    </row>
    <row r="886" spans="1:8" ht="15.75" thickBot="1" x14ac:dyDescent="0.3">
      <c r="A886" s="41"/>
      <c r="B886" s="50"/>
      <c r="C886" s="50"/>
      <c r="D886" s="50"/>
      <c r="E886" s="50"/>
      <c r="F886" s="44"/>
      <c r="G886" s="44"/>
      <c r="H886" s="44"/>
    </row>
    <row r="887" spans="1:8" ht="15.75" thickBot="1" x14ac:dyDescent="0.3">
      <c r="A887" s="41"/>
      <c r="B887" s="50"/>
      <c r="C887" s="50"/>
      <c r="D887" s="50"/>
      <c r="E887" s="50"/>
      <c r="F887" s="44"/>
      <c r="G887" s="44"/>
      <c r="H887" s="44"/>
    </row>
    <row r="888" spans="1:8" ht="15.75" thickBot="1" x14ac:dyDescent="0.3">
      <c r="A888" s="41"/>
      <c r="B888" s="50"/>
      <c r="C888" s="50"/>
      <c r="D888" s="50"/>
      <c r="E888" s="50"/>
      <c r="F888" s="44"/>
      <c r="G888" s="44"/>
      <c r="H888" s="44"/>
    </row>
    <row r="889" spans="1:8" ht="15.75" thickBot="1" x14ac:dyDescent="0.3">
      <c r="A889" s="41"/>
      <c r="B889" s="50"/>
      <c r="C889" s="50"/>
      <c r="D889" s="50"/>
      <c r="E889" s="50"/>
      <c r="F889" s="44"/>
      <c r="G889" s="44"/>
      <c r="H889" s="44"/>
    </row>
    <row r="890" spans="1:8" ht="15.75" thickBot="1" x14ac:dyDescent="0.3">
      <c r="A890" s="41"/>
      <c r="B890" s="50"/>
      <c r="C890" s="50"/>
      <c r="D890" s="50"/>
      <c r="E890" s="50"/>
      <c r="F890" s="44"/>
      <c r="G890" s="44"/>
      <c r="H890" s="44"/>
    </row>
    <row r="891" spans="1:8" ht="15.75" thickBot="1" x14ac:dyDescent="0.3">
      <c r="A891" s="41"/>
      <c r="B891" s="50"/>
      <c r="C891" s="50"/>
      <c r="D891" s="50"/>
      <c r="E891" s="50"/>
      <c r="F891" s="44"/>
      <c r="G891" s="44"/>
      <c r="H891" s="44"/>
    </row>
    <row r="892" spans="1:8" ht="15.75" thickBot="1" x14ac:dyDescent="0.3">
      <c r="A892" s="41"/>
      <c r="B892" s="50"/>
      <c r="C892" s="50"/>
      <c r="D892" s="50"/>
      <c r="E892" s="50"/>
      <c r="F892" s="44"/>
      <c r="G892" s="44"/>
      <c r="H892" s="44"/>
    </row>
    <row r="893" spans="1:8" ht="15.75" thickBot="1" x14ac:dyDescent="0.3">
      <c r="A893" s="41"/>
      <c r="B893" s="50"/>
      <c r="C893" s="50"/>
      <c r="D893" s="50"/>
      <c r="E893" s="50"/>
      <c r="F893" s="44"/>
      <c r="G893" s="44"/>
      <c r="H893" s="44"/>
    </row>
    <row r="894" spans="1:8" ht="15.75" thickBot="1" x14ac:dyDescent="0.3">
      <c r="A894" s="41"/>
      <c r="B894" s="50"/>
      <c r="C894" s="50"/>
      <c r="D894" s="50"/>
      <c r="E894" s="50"/>
      <c r="F894" s="44"/>
      <c r="G894" s="44"/>
      <c r="H894" s="44"/>
    </row>
    <row r="895" spans="1:8" ht="15.75" thickBot="1" x14ac:dyDescent="0.3">
      <c r="A895" s="41"/>
      <c r="B895" s="50"/>
      <c r="C895" s="50"/>
      <c r="D895" s="50"/>
      <c r="E895" s="50"/>
      <c r="F895" s="44"/>
      <c r="G895" s="44"/>
      <c r="H895" s="44"/>
    </row>
    <row r="896" spans="1:8" ht="15.75" thickBot="1" x14ac:dyDescent="0.3">
      <c r="A896" s="41"/>
      <c r="B896" s="50"/>
      <c r="C896" s="50"/>
      <c r="D896" s="50"/>
      <c r="E896" s="50"/>
      <c r="F896" s="44"/>
      <c r="G896" s="44"/>
      <c r="H896" s="44"/>
    </row>
    <row r="897" spans="1:8" ht="15.75" thickBot="1" x14ac:dyDescent="0.3">
      <c r="A897" s="41"/>
      <c r="B897" s="50"/>
      <c r="C897" s="50"/>
      <c r="D897" s="50"/>
      <c r="E897" s="50"/>
      <c r="F897" s="44"/>
      <c r="G897" s="44"/>
      <c r="H897" s="44"/>
    </row>
    <row r="898" spans="1:8" ht="15.75" thickBot="1" x14ac:dyDescent="0.3">
      <c r="A898" s="41"/>
      <c r="B898" s="50"/>
      <c r="C898" s="50"/>
      <c r="D898" s="50"/>
      <c r="E898" s="50"/>
      <c r="F898" s="44"/>
      <c r="G898" s="44"/>
      <c r="H898" s="44"/>
    </row>
    <row r="899" spans="1:8" ht="15.75" thickBot="1" x14ac:dyDescent="0.3">
      <c r="A899" s="41"/>
      <c r="B899" s="50"/>
      <c r="C899" s="50"/>
      <c r="D899" s="50"/>
      <c r="E899" s="50"/>
      <c r="F899" s="44"/>
      <c r="G899" s="44"/>
      <c r="H899" s="44"/>
    </row>
    <row r="900" spans="1:8" ht="15.75" thickBot="1" x14ac:dyDescent="0.3">
      <c r="A900" s="41"/>
      <c r="B900" s="50"/>
      <c r="C900" s="50"/>
      <c r="D900" s="50"/>
      <c r="E900" s="50"/>
      <c r="F900" s="44"/>
      <c r="G900" s="44"/>
      <c r="H900" s="44"/>
    </row>
    <row r="901" spans="1:8" ht="15.75" thickBot="1" x14ac:dyDescent="0.3">
      <c r="A901" s="41"/>
      <c r="B901" s="50"/>
      <c r="C901" s="50"/>
      <c r="D901" s="50"/>
      <c r="E901" s="50"/>
      <c r="F901" s="44"/>
      <c r="G901" s="44"/>
      <c r="H901" s="44"/>
    </row>
    <row r="902" spans="1:8" ht="15.75" thickBot="1" x14ac:dyDescent="0.3">
      <c r="A902" s="41"/>
      <c r="B902" s="50"/>
      <c r="C902" s="50"/>
      <c r="D902" s="50"/>
      <c r="E902" s="50"/>
      <c r="F902" s="44"/>
      <c r="G902" s="44"/>
      <c r="H902" s="44"/>
    </row>
    <row r="903" spans="1:8" ht="15.75" thickBot="1" x14ac:dyDescent="0.3">
      <c r="A903" s="41"/>
      <c r="B903" s="50"/>
      <c r="C903" s="50"/>
      <c r="D903" s="50"/>
      <c r="E903" s="50"/>
      <c r="F903" s="44"/>
      <c r="G903" s="44"/>
      <c r="H903" s="44"/>
    </row>
    <row r="904" spans="1:8" ht="15.75" thickBot="1" x14ac:dyDescent="0.3">
      <c r="A904" s="41"/>
      <c r="B904" s="50"/>
      <c r="C904" s="50"/>
      <c r="D904" s="50"/>
      <c r="E904" s="50"/>
      <c r="F904" s="44"/>
      <c r="G904" s="44"/>
      <c r="H904" s="44"/>
    </row>
    <row r="905" spans="1:8" ht="15.75" thickBot="1" x14ac:dyDescent="0.3">
      <c r="A905" s="41"/>
      <c r="B905" s="50"/>
      <c r="C905" s="50"/>
      <c r="D905" s="50"/>
      <c r="E905" s="50"/>
      <c r="F905" s="44"/>
      <c r="G905" s="44"/>
      <c r="H905" s="44"/>
    </row>
    <row r="906" spans="1:8" ht="15.75" thickBot="1" x14ac:dyDescent="0.3">
      <c r="A906" s="41"/>
      <c r="B906" s="50"/>
      <c r="C906" s="50"/>
      <c r="D906" s="50"/>
      <c r="E906" s="50"/>
      <c r="F906" s="44"/>
      <c r="G906" s="44"/>
      <c r="H906" s="44"/>
    </row>
    <row r="907" spans="1:8" ht="15.75" thickBot="1" x14ac:dyDescent="0.3">
      <c r="A907" s="41"/>
      <c r="B907" s="50"/>
      <c r="C907" s="50"/>
      <c r="D907" s="50"/>
      <c r="E907" s="50"/>
      <c r="F907" s="44"/>
      <c r="G907" s="44"/>
      <c r="H907" s="44"/>
    </row>
    <row r="908" spans="1:8" ht="15.75" thickBot="1" x14ac:dyDescent="0.3">
      <c r="A908" s="41"/>
      <c r="B908" s="50"/>
      <c r="C908" s="50"/>
      <c r="D908" s="50"/>
      <c r="E908" s="50"/>
      <c r="F908" s="44"/>
      <c r="G908" s="44"/>
      <c r="H908" s="44"/>
    </row>
    <row r="909" spans="1:8" ht="15.75" thickBot="1" x14ac:dyDescent="0.3">
      <c r="A909" s="41"/>
      <c r="B909" s="50"/>
      <c r="C909" s="50"/>
      <c r="D909" s="50"/>
      <c r="E909" s="50"/>
      <c r="F909" s="44"/>
      <c r="G909" s="44"/>
      <c r="H909" s="44"/>
    </row>
    <row r="910" spans="1:8" ht="15.75" thickBot="1" x14ac:dyDescent="0.3">
      <c r="A910" s="41"/>
      <c r="B910" s="50"/>
      <c r="C910" s="50"/>
      <c r="D910" s="50"/>
      <c r="E910" s="50"/>
      <c r="F910" s="44"/>
      <c r="G910" s="44"/>
      <c r="H910" s="44"/>
    </row>
    <row r="911" spans="1:8" ht="15.75" thickBot="1" x14ac:dyDescent="0.3">
      <c r="A911" s="41"/>
      <c r="B911" s="50"/>
      <c r="C911" s="50"/>
      <c r="D911" s="50"/>
      <c r="E911" s="50"/>
      <c r="F911" s="44"/>
      <c r="G911" s="44"/>
      <c r="H911" s="44"/>
    </row>
    <row r="912" spans="1:8" ht="15.75" thickBot="1" x14ac:dyDescent="0.3">
      <c r="A912" s="41"/>
      <c r="B912" s="50"/>
      <c r="C912" s="50"/>
      <c r="D912" s="50"/>
      <c r="E912" s="50"/>
      <c r="F912" s="44"/>
      <c r="G912" s="44"/>
      <c r="H912" s="44"/>
    </row>
    <row r="913" spans="1:8" ht="15.75" thickBot="1" x14ac:dyDescent="0.3">
      <c r="A913" s="41"/>
      <c r="B913" s="50"/>
      <c r="C913" s="50"/>
      <c r="D913" s="50"/>
      <c r="E913" s="50"/>
      <c r="F913" s="44"/>
      <c r="G913" s="44"/>
      <c r="H913" s="44"/>
    </row>
    <row r="914" spans="1:8" ht="15.75" thickBot="1" x14ac:dyDescent="0.3">
      <c r="A914" s="41"/>
      <c r="B914" s="50"/>
      <c r="C914" s="50"/>
      <c r="D914" s="50"/>
      <c r="E914" s="50"/>
      <c r="F914" s="44"/>
      <c r="G914" s="44"/>
      <c r="H914" s="44"/>
    </row>
    <row r="915" spans="1:8" ht="15.75" thickBot="1" x14ac:dyDescent="0.3">
      <c r="A915" s="41"/>
      <c r="B915" s="50"/>
      <c r="C915" s="50"/>
      <c r="D915" s="50"/>
      <c r="E915" s="50"/>
      <c r="F915" s="44"/>
      <c r="G915" s="44"/>
      <c r="H915" s="44"/>
    </row>
    <row r="916" spans="1:8" ht="15.75" thickBot="1" x14ac:dyDescent="0.3">
      <c r="A916" s="41"/>
      <c r="B916" s="50"/>
      <c r="C916" s="50"/>
      <c r="D916" s="50"/>
      <c r="E916" s="50"/>
      <c r="F916" s="44"/>
      <c r="G916" s="44"/>
      <c r="H916" s="44"/>
    </row>
    <row r="917" spans="1:8" ht="15.75" thickBot="1" x14ac:dyDescent="0.3">
      <c r="A917" s="41"/>
      <c r="B917" s="50"/>
      <c r="C917" s="50"/>
      <c r="D917" s="50"/>
      <c r="E917" s="50"/>
      <c r="F917" s="44"/>
      <c r="G917" s="44"/>
      <c r="H917" s="44"/>
    </row>
    <row r="918" spans="1:8" ht="15.75" thickBot="1" x14ac:dyDescent="0.3">
      <c r="A918" s="41"/>
      <c r="B918" s="50"/>
      <c r="C918" s="50"/>
      <c r="D918" s="50"/>
      <c r="E918" s="50"/>
      <c r="F918" s="44"/>
      <c r="G918" s="44"/>
      <c r="H918" s="44"/>
    </row>
    <row r="919" spans="1:8" ht="15.75" thickBot="1" x14ac:dyDescent="0.3">
      <c r="A919" s="41"/>
      <c r="B919" s="50"/>
      <c r="C919" s="50"/>
      <c r="D919" s="50"/>
      <c r="E919" s="50"/>
      <c r="F919" s="44"/>
      <c r="G919" s="44"/>
      <c r="H919" s="44"/>
    </row>
    <row r="920" spans="1:8" ht="15.75" thickBot="1" x14ac:dyDescent="0.3">
      <c r="A920" s="41"/>
      <c r="B920" s="50"/>
      <c r="C920" s="50"/>
      <c r="D920" s="50"/>
      <c r="E920" s="50"/>
      <c r="F920" s="44"/>
      <c r="G920" s="44"/>
      <c r="H920" s="44"/>
    </row>
    <row r="921" spans="1:8" ht="15.75" thickBot="1" x14ac:dyDescent="0.3">
      <c r="A921" s="41"/>
      <c r="B921" s="50"/>
      <c r="C921" s="50"/>
      <c r="D921" s="50"/>
      <c r="E921" s="50"/>
      <c r="F921" s="44"/>
      <c r="G921" s="44"/>
      <c r="H921" s="44"/>
    </row>
    <row r="922" spans="1:8" ht="15.75" thickBot="1" x14ac:dyDescent="0.3">
      <c r="A922" s="41"/>
      <c r="B922" s="50"/>
      <c r="C922" s="50"/>
      <c r="D922" s="50"/>
      <c r="E922" s="50"/>
      <c r="F922" s="44"/>
      <c r="G922" s="44"/>
      <c r="H922" s="44"/>
    </row>
    <row r="923" spans="1:8" ht="15.75" thickBot="1" x14ac:dyDescent="0.3">
      <c r="A923" s="41"/>
      <c r="B923" s="50"/>
      <c r="C923" s="50"/>
      <c r="D923" s="50"/>
      <c r="E923" s="50"/>
      <c r="F923" s="44"/>
      <c r="G923" s="44"/>
      <c r="H923" s="44"/>
    </row>
    <row r="924" spans="1:8" ht="15.75" thickBot="1" x14ac:dyDescent="0.3">
      <c r="A924" s="41"/>
      <c r="B924" s="50"/>
      <c r="C924" s="50"/>
      <c r="D924" s="50"/>
      <c r="E924" s="50"/>
      <c r="F924" s="44"/>
      <c r="G924" s="44"/>
      <c r="H924" s="44"/>
    </row>
    <row r="925" spans="1:8" ht="15.75" thickBot="1" x14ac:dyDescent="0.3">
      <c r="A925" s="41"/>
      <c r="B925" s="50"/>
      <c r="C925" s="50"/>
      <c r="D925" s="50"/>
      <c r="E925" s="50"/>
      <c r="F925" s="44"/>
      <c r="G925" s="44"/>
      <c r="H925" s="44"/>
    </row>
    <row r="926" spans="1:8" ht="15.75" thickBot="1" x14ac:dyDescent="0.3">
      <c r="A926" s="41"/>
      <c r="B926" s="50"/>
      <c r="C926" s="50"/>
      <c r="D926" s="50"/>
      <c r="E926" s="50"/>
      <c r="F926" s="44"/>
      <c r="G926" s="44"/>
      <c r="H926" s="44"/>
    </row>
    <row r="927" spans="1:8" ht="15.75" thickBot="1" x14ac:dyDescent="0.3">
      <c r="A927" s="41"/>
      <c r="B927" s="50"/>
      <c r="C927" s="50"/>
      <c r="D927" s="50"/>
      <c r="E927" s="50"/>
      <c r="F927" s="44"/>
      <c r="G927" s="44"/>
      <c r="H927" s="44"/>
    </row>
    <row r="928" spans="1:8" ht="15.75" thickBot="1" x14ac:dyDescent="0.3">
      <c r="A928" s="41"/>
      <c r="B928" s="50"/>
      <c r="C928" s="50"/>
      <c r="D928" s="50"/>
      <c r="E928" s="50"/>
      <c r="F928" s="44"/>
      <c r="G928" s="44"/>
      <c r="H928" s="44"/>
    </row>
    <row r="929" spans="1:8" ht="15.75" thickBot="1" x14ac:dyDescent="0.3">
      <c r="A929" s="41"/>
      <c r="B929" s="50"/>
      <c r="C929" s="50"/>
      <c r="D929" s="50"/>
      <c r="E929" s="50"/>
      <c r="F929" s="44"/>
      <c r="G929" s="44"/>
      <c r="H929" s="44"/>
    </row>
    <row r="930" spans="1:8" ht="15.75" thickBot="1" x14ac:dyDescent="0.3">
      <c r="A930" s="41"/>
      <c r="B930" s="50"/>
      <c r="C930" s="50"/>
      <c r="D930" s="50"/>
      <c r="E930" s="50"/>
      <c r="F930" s="44"/>
      <c r="G930" s="44"/>
      <c r="H930" s="44"/>
    </row>
    <row r="931" spans="1:8" ht="15.75" thickBot="1" x14ac:dyDescent="0.3">
      <c r="A931" s="41"/>
      <c r="B931" s="50"/>
      <c r="C931" s="50"/>
      <c r="D931" s="50"/>
      <c r="E931" s="50"/>
      <c r="F931" s="44"/>
      <c r="G931" s="44"/>
      <c r="H931" s="44"/>
    </row>
    <row r="932" spans="1:8" ht="15.75" thickBot="1" x14ac:dyDescent="0.3">
      <c r="A932" s="41"/>
      <c r="B932" s="50"/>
      <c r="C932" s="50"/>
      <c r="D932" s="50"/>
      <c r="E932" s="50"/>
      <c r="F932" s="44"/>
      <c r="G932" s="44"/>
      <c r="H932" s="44"/>
    </row>
    <row r="933" spans="1:8" ht="15.75" thickBot="1" x14ac:dyDescent="0.3">
      <c r="A933" s="41"/>
      <c r="B933" s="50"/>
      <c r="C933" s="50"/>
      <c r="D933" s="50"/>
      <c r="E933" s="50"/>
      <c r="F933" s="44"/>
      <c r="G933" s="44"/>
      <c r="H933" s="44"/>
    </row>
    <row r="934" spans="1:8" ht="15.75" thickBot="1" x14ac:dyDescent="0.3">
      <c r="A934" s="41"/>
      <c r="B934" s="50"/>
      <c r="C934" s="50"/>
      <c r="D934" s="50"/>
      <c r="E934" s="50"/>
      <c r="F934" s="44"/>
      <c r="G934" s="44"/>
      <c r="H934" s="44"/>
    </row>
    <row r="935" spans="1:8" ht="15.75" thickBot="1" x14ac:dyDescent="0.3">
      <c r="A935" s="41"/>
      <c r="B935" s="50"/>
      <c r="C935" s="50"/>
      <c r="D935" s="50"/>
      <c r="E935" s="50"/>
      <c r="F935" s="44"/>
      <c r="G935" s="44"/>
      <c r="H935" s="44"/>
    </row>
    <row r="936" spans="1:8" ht="15.75" thickBot="1" x14ac:dyDescent="0.3">
      <c r="A936" s="41"/>
      <c r="B936" s="50"/>
      <c r="C936" s="50"/>
      <c r="D936" s="50"/>
      <c r="E936" s="50"/>
      <c r="F936" s="44"/>
      <c r="G936" s="44"/>
      <c r="H936" s="44"/>
    </row>
    <row r="937" spans="1:8" ht="15.75" thickBot="1" x14ac:dyDescent="0.3">
      <c r="A937" s="41"/>
      <c r="B937" s="50"/>
      <c r="C937" s="50"/>
      <c r="D937" s="50"/>
      <c r="E937" s="50"/>
      <c r="F937" s="44"/>
      <c r="G937" s="44"/>
      <c r="H937" s="44"/>
    </row>
    <row r="938" spans="1:8" ht="15.75" thickBot="1" x14ac:dyDescent="0.3">
      <c r="A938" s="41"/>
      <c r="B938" s="50"/>
      <c r="C938" s="50"/>
      <c r="D938" s="50"/>
      <c r="E938" s="50"/>
      <c r="F938" s="44"/>
      <c r="G938" s="44"/>
      <c r="H938" s="44"/>
    </row>
    <row r="939" spans="1:8" ht="15.75" thickBot="1" x14ac:dyDescent="0.3">
      <c r="A939" s="41"/>
      <c r="B939" s="50"/>
      <c r="C939" s="50"/>
      <c r="D939" s="50"/>
      <c r="E939" s="50"/>
      <c r="F939" s="44"/>
      <c r="G939" s="44"/>
      <c r="H939" s="44"/>
    </row>
    <row r="940" spans="1:8" ht="15.75" thickBot="1" x14ac:dyDescent="0.3">
      <c r="A940" s="41"/>
      <c r="B940" s="50"/>
      <c r="C940" s="50"/>
      <c r="D940" s="50"/>
      <c r="E940" s="50"/>
      <c r="F940" s="44"/>
      <c r="G940" s="44"/>
      <c r="H940" s="44"/>
    </row>
    <row r="941" spans="1:8" ht="15.75" thickBot="1" x14ac:dyDescent="0.3">
      <c r="A941" s="41"/>
      <c r="B941" s="50"/>
      <c r="C941" s="50"/>
      <c r="D941" s="50"/>
      <c r="E941" s="50"/>
      <c r="F941" s="44"/>
      <c r="G941" s="44"/>
      <c r="H941" s="44"/>
    </row>
    <row r="942" spans="1:8" ht="15.75" thickBot="1" x14ac:dyDescent="0.3">
      <c r="A942" s="41"/>
      <c r="B942" s="50"/>
      <c r="C942" s="50"/>
      <c r="D942" s="50"/>
      <c r="E942" s="50"/>
      <c r="F942" s="44"/>
      <c r="G942" s="44"/>
      <c r="H942" s="44"/>
    </row>
    <row r="943" spans="1:8" ht="15.75" thickBot="1" x14ac:dyDescent="0.3">
      <c r="A943" s="41"/>
      <c r="B943" s="50"/>
      <c r="C943" s="50"/>
      <c r="D943" s="50"/>
      <c r="E943" s="50"/>
      <c r="F943" s="44"/>
      <c r="G943" s="44"/>
      <c r="H943" s="44"/>
    </row>
    <row r="944" spans="1:8" ht="15.75" thickBot="1" x14ac:dyDescent="0.3">
      <c r="A944" s="41"/>
      <c r="B944" s="50"/>
      <c r="C944" s="50"/>
      <c r="D944" s="50"/>
      <c r="E944" s="50"/>
      <c r="F944" s="44"/>
      <c r="G944" s="44"/>
      <c r="H944" s="44"/>
    </row>
    <row r="945" spans="1:8" ht="15.75" thickBot="1" x14ac:dyDescent="0.3">
      <c r="A945" s="41"/>
      <c r="B945" s="50"/>
      <c r="C945" s="50"/>
      <c r="D945" s="50"/>
      <c r="E945" s="50"/>
      <c r="F945" s="44"/>
      <c r="G945" s="44"/>
      <c r="H945" s="44"/>
    </row>
    <row r="946" spans="1:8" ht="15.75" thickBot="1" x14ac:dyDescent="0.3">
      <c r="A946" s="41"/>
      <c r="B946" s="50"/>
      <c r="C946" s="50"/>
      <c r="D946" s="50"/>
      <c r="E946" s="50"/>
      <c r="F946" s="44"/>
      <c r="G946" s="44"/>
      <c r="H946" s="44"/>
    </row>
    <row r="947" spans="1:8" ht="15.75" thickBot="1" x14ac:dyDescent="0.3">
      <c r="A947" s="41"/>
      <c r="B947" s="50"/>
      <c r="C947" s="50"/>
      <c r="D947" s="50"/>
      <c r="E947" s="50"/>
      <c r="F947" s="44"/>
      <c r="G947" s="44"/>
      <c r="H947" s="44"/>
    </row>
    <row r="948" spans="1:8" ht="15.75" thickBot="1" x14ac:dyDescent="0.3">
      <c r="A948" s="41"/>
      <c r="B948" s="50"/>
      <c r="C948" s="50"/>
      <c r="D948" s="50"/>
      <c r="E948" s="50"/>
      <c r="F948" s="44"/>
      <c r="G948" s="44"/>
      <c r="H948" s="44"/>
    </row>
    <row r="949" spans="1:8" ht="15.75" thickBot="1" x14ac:dyDescent="0.3">
      <c r="A949" s="41"/>
      <c r="B949" s="50"/>
      <c r="C949" s="50"/>
      <c r="D949" s="50"/>
      <c r="E949" s="50"/>
      <c r="F949" s="44"/>
      <c r="G949" s="44"/>
      <c r="H949" s="44"/>
    </row>
    <row r="950" spans="1:8" ht="15.75" thickBot="1" x14ac:dyDescent="0.3">
      <c r="A950" s="41"/>
      <c r="B950" s="50"/>
      <c r="C950" s="50"/>
      <c r="D950" s="50"/>
      <c r="E950" s="50"/>
      <c r="F950" s="44"/>
      <c r="G950" s="44"/>
      <c r="H950" s="44"/>
    </row>
    <row r="951" spans="1:8" ht="15.75" thickBot="1" x14ac:dyDescent="0.3">
      <c r="A951" s="41"/>
      <c r="B951" s="50"/>
      <c r="C951" s="50"/>
      <c r="D951" s="50"/>
      <c r="E951" s="50"/>
      <c r="F951" s="44"/>
      <c r="G951" s="44"/>
      <c r="H951" s="44"/>
    </row>
    <row r="952" spans="1:8" ht="15.75" thickBot="1" x14ac:dyDescent="0.3">
      <c r="A952" s="41"/>
      <c r="B952" s="50"/>
      <c r="C952" s="50"/>
      <c r="D952" s="50"/>
      <c r="E952" s="50"/>
      <c r="F952" s="44"/>
      <c r="G952" s="44"/>
      <c r="H952" s="44"/>
    </row>
    <row r="953" spans="1:8" ht="15.75" thickBot="1" x14ac:dyDescent="0.3">
      <c r="A953" s="41"/>
      <c r="B953" s="50"/>
      <c r="C953" s="50"/>
      <c r="D953" s="50"/>
      <c r="E953" s="50"/>
      <c r="F953" s="44"/>
      <c r="G953" s="44"/>
      <c r="H953" s="44"/>
    </row>
    <row r="954" spans="1:8" ht="15.75" thickBot="1" x14ac:dyDescent="0.3">
      <c r="A954" s="41"/>
      <c r="B954" s="50"/>
      <c r="C954" s="50"/>
      <c r="D954" s="50"/>
      <c r="E954" s="50"/>
      <c r="F954" s="44"/>
      <c r="G954" s="44"/>
      <c r="H954" s="44"/>
    </row>
    <row r="955" spans="1:8" ht="15.75" thickBot="1" x14ac:dyDescent="0.3">
      <c r="A955" s="41"/>
      <c r="B955" s="50"/>
      <c r="C955" s="50"/>
      <c r="D955" s="50"/>
      <c r="E955" s="50"/>
      <c r="F955" s="44"/>
      <c r="G955" s="44"/>
      <c r="H955" s="44"/>
    </row>
    <row r="956" spans="1:8" ht="15.75" thickBot="1" x14ac:dyDescent="0.3">
      <c r="A956" s="41"/>
      <c r="B956" s="50"/>
      <c r="C956" s="50"/>
      <c r="D956" s="50"/>
      <c r="E956" s="50"/>
      <c r="F956" s="44"/>
      <c r="G956" s="44"/>
      <c r="H956" s="44"/>
    </row>
    <row r="957" spans="1:8" ht="15.75" thickBot="1" x14ac:dyDescent="0.3">
      <c r="A957" s="41"/>
      <c r="B957" s="50"/>
      <c r="C957" s="50"/>
      <c r="D957" s="50"/>
      <c r="E957" s="50"/>
      <c r="F957" s="44"/>
      <c r="G957" s="44"/>
      <c r="H957" s="44"/>
    </row>
    <row r="958" spans="1:8" ht="15.75" thickBot="1" x14ac:dyDescent="0.3">
      <c r="A958" s="41"/>
      <c r="B958" s="50"/>
      <c r="C958" s="50"/>
      <c r="D958" s="50"/>
      <c r="E958" s="50"/>
      <c r="F958" s="44"/>
      <c r="G958" s="44"/>
      <c r="H958" s="44"/>
    </row>
    <row r="959" spans="1:8" ht="15.75" thickBot="1" x14ac:dyDescent="0.3">
      <c r="A959" s="41"/>
      <c r="B959" s="50"/>
      <c r="C959" s="50"/>
      <c r="D959" s="50"/>
      <c r="E959" s="50"/>
      <c r="F959" s="44"/>
      <c r="G959" s="44"/>
      <c r="H959" s="44"/>
    </row>
    <row r="960" spans="1:8" ht="15.75" thickBot="1" x14ac:dyDescent="0.3">
      <c r="A960" s="41"/>
      <c r="B960" s="50"/>
      <c r="C960" s="50"/>
      <c r="D960" s="50"/>
      <c r="E960" s="50"/>
      <c r="F960" s="44"/>
      <c r="G960" s="44"/>
      <c r="H960" s="44"/>
    </row>
    <row r="961" spans="1:8" ht="15.75" thickBot="1" x14ac:dyDescent="0.3">
      <c r="A961" s="41"/>
      <c r="B961" s="50"/>
      <c r="C961" s="50"/>
      <c r="D961" s="50"/>
      <c r="E961" s="50"/>
      <c r="F961" s="44"/>
      <c r="G961" s="44"/>
      <c r="H961" s="44"/>
    </row>
    <row r="962" spans="1:8" ht="15.75" thickBot="1" x14ac:dyDescent="0.3">
      <c r="A962" s="41"/>
      <c r="B962" s="50"/>
      <c r="C962" s="50"/>
      <c r="D962" s="50"/>
      <c r="E962" s="50"/>
      <c r="F962" s="44"/>
      <c r="G962" s="44"/>
      <c r="H962" s="44"/>
    </row>
    <row r="963" spans="1:8" ht="15.75" thickBot="1" x14ac:dyDescent="0.3">
      <c r="A963" s="41"/>
      <c r="B963" s="50"/>
      <c r="C963" s="50"/>
      <c r="D963" s="50"/>
      <c r="E963" s="50"/>
      <c r="F963" s="44"/>
      <c r="G963" s="44"/>
      <c r="H963" s="44"/>
    </row>
    <row r="964" spans="1:8" ht="15.75" thickBot="1" x14ac:dyDescent="0.3">
      <c r="A964" s="41"/>
      <c r="B964" s="50"/>
      <c r="C964" s="50"/>
      <c r="D964" s="50"/>
      <c r="E964" s="50"/>
      <c r="F964" s="44"/>
      <c r="G964" s="44"/>
      <c r="H964" s="44"/>
    </row>
    <row r="965" spans="1:8" ht="15.75" thickBot="1" x14ac:dyDescent="0.3">
      <c r="A965" s="41"/>
      <c r="B965" s="50"/>
      <c r="C965" s="50"/>
      <c r="D965" s="50"/>
      <c r="E965" s="50"/>
      <c r="F965" s="44"/>
      <c r="G965" s="44"/>
      <c r="H965" s="44"/>
    </row>
    <row r="966" spans="1:8" ht="15.75" thickBot="1" x14ac:dyDescent="0.3">
      <c r="A966" s="41"/>
      <c r="B966" s="50"/>
      <c r="C966" s="50"/>
      <c r="D966" s="50"/>
      <c r="E966" s="50"/>
      <c r="F966" s="44"/>
      <c r="G966" s="44"/>
      <c r="H966" s="44"/>
    </row>
    <row r="967" spans="1:8" ht="15.75" thickBot="1" x14ac:dyDescent="0.3">
      <c r="A967" s="41"/>
      <c r="B967" s="50"/>
      <c r="C967" s="50"/>
      <c r="D967" s="50"/>
      <c r="E967" s="50"/>
      <c r="F967" s="44"/>
      <c r="G967" s="44"/>
      <c r="H967" s="44"/>
    </row>
    <row r="968" spans="1:8" ht="15.75" thickBot="1" x14ac:dyDescent="0.3">
      <c r="A968" s="41"/>
      <c r="B968" s="50"/>
      <c r="C968" s="50"/>
      <c r="D968" s="50"/>
      <c r="E968" s="50"/>
      <c r="F968" s="44"/>
      <c r="G968" s="44"/>
      <c r="H968" s="44"/>
    </row>
    <row r="969" spans="1:8" ht="15.75" thickBot="1" x14ac:dyDescent="0.3">
      <c r="A969" s="41"/>
      <c r="B969" s="50"/>
      <c r="C969" s="50"/>
      <c r="D969" s="50"/>
      <c r="E969" s="50"/>
      <c r="F969" s="44"/>
      <c r="G969" s="44"/>
      <c r="H969" s="44"/>
    </row>
    <row r="970" spans="1:8" ht="15.75" thickBot="1" x14ac:dyDescent="0.3">
      <c r="A970" s="41"/>
      <c r="B970" s="50"/>
      <c r="C970" s="50"/>
      <c r="D970" s="50"/>
      <c r="E970" s="50"/>
      <c r="F970" s="44"/>
      <c r="G970" s="44"/>
      <c r="H970" s="44"/>
    </row>
    <row r="971" spans="1:8" ht="15.75" thickBot="1" x14ac:dyDescent="0.3">
      <c r="A971" s="41"/>
      <c r="B971" s="50"/>
      <c r="C971" s="50"/>
      <c r="D971" s="50"/>
      <c r="E971" s="50"/>
      <c r="F971" s="44"/>
      <c r="G971" s="44"/>
      <c r="H971" s="44"/>
    </row>
    <row r="972" spans="1:8" ht="15.75" thickBot="1" x14ac:dyDescent="0.3">
      <c r="A972" s="41"/>
      <c r="B972" s="50"/>
      <c r="C972" s="50"/>
      <c r="D972" s="50"/>
      <c r="E972" s="50"/>
      <c r="F972" s="44"/>
      <c r="G972" s="44"/>
      <c r="H972" s="44"/>
    </row>
    <row r="973" spans="1:8" ht="15.75" thickBot="1" x14ac:dyDescent="0.3">
      <c r="A973" s="41"/>
      <c r="B973" s="50"/>
      <c r="C973" s="50"/>
      <c r="D973" s="50"/>
      <c r="E973" s="50"/>
      <c r="F973" s="44"/>
      <c r="G973" s="44"/>
      <c r="H973" s="44"/>
    </row>
    <row r="974" spans="1:8" ht="15.75" thickBot="1" x14ac:dyDescent="0.3">
      <c r="A974" s="41"/>
      <c r="B974" s="50"/>
      <c r="C974" s="50"/>
      <c r="D974" s="50"/>
      <c r="E974" s="50"/>
      <c r="F974" s="44"/>
      <c r="G974" s="44"/>
      <c r="H974" s="44"/>
    </row>
    <row r="975" spans="1:8" ht="15.75" thickBot="1" x14ac:dyDescent="0.3">
      <c r="A975" s="41"/>
      <c r="B975" s="50"/>
      <c r="C975" s="50"/>
      <c r="D975" s="50"/>
      <c r="E975" s="50"/>
      <c r="F975" s="44"/>
      <c r="G975" s="44"/>
      <c r="H975" s="44"/>
    </row>
    <row r="976" spans="1:8" ht="15.75" thickBot="1" x14ac:dyDescent="0.3">
      <c r="A976" s="41"/>
      <c r="B976" s="50"/>
      <c r="C976" s="50"/>
      <c r="D976" s="50"/>
      <c r="E976" s="50"/>
      <c r="F976" s="44"/>
      <c r="G976" s="44"/>
      <c r="H976" s="44"/>
    </row>
    <row r="977" spans="1:8" ht="15.75" thickBot="1" x14ac:dyDescent="0.3">
      <c r="A977" s="41"/>
      <c r="B977" s="50"/>
      <c r="C977" s="50"/>
      <c r="D977" s="50"/>
      <c r="E977" s="50"/>
      <c r="F977" s="44"/>
      <c r="G977" s="44"/>
      <c r="H977" s="44"/>
    </row>
    <row r="978" spans="1:8" ht="15.75" thickBot="1" x14ac:dyDescent="0.3">
      <c r="A978" s="41"/>
      <c r="B978" s="50"/>
      <c r="C978" s="50"/>
      <c r="D978" s="50"/>
      <c r="E978" s="50"/>
      <c r="F978" s="44"/>
      <c r="G978" s="44"/>
      <c r="H978" s="44"/>
    </row>
    <row r="979" spans="1:8" ht="15.75" thickBot="1" x14ac:dyDescent="0.3">
      <c r="A979" s="41"/>
      <c r="B979" s="50"/>
      <c r="C979" s="50"/>
      <c r="D979" s="50"/>
      <c r="E979" s="50"/>
      <c r="F979" s="44"/>
      <c r="G979" s="44"/>
      <c r="H979" s="44"/>
    </row>
    <row r="980" spans="1:8" ht="15.75" thickBot="1" x14ac:dyDescent="0.3">
      <c r="A980" s="41"/>
      <c r="B980" s="50"/>
      <c r="C980" s="50"/>
      <c r="D980" s="50"/>
      <c r="E980" s="50"/>
      <c r="F980" s="44"/>
      <c r="G980" s="44"/>
      <c r="H980" s="44"/>
    </row>
    <row r="981" spans="1:8" ht="15.75" thickBot="1" x14ac:dyDescent="0.3">
      <c r="A981" s="41"/>
      <c r="B981" s="50"/>
      <c r="C981" s="50"/>
      <c r="D981" s="50"/>
      <c r="E981" s="50"/>
      <c r="F981" s="44"/>
      <c r="G981" s="44"/>
      <c r="H981" s="44"/>
    </row>
    <row r="982" spans="1:8" ht="15.75" thickBot="1" x14ac:dyDescent="0.3">
      <c r="A982" s="41"/>
      <c r="B982" s="50"/>
      <c r="C982" s="50"/>
      <c r="D982" s="50"/>
      <c r="E982" s="50"/>
      <c r="F982" s="44"/>
      <c r="G982" s="44"/>
      <c r="H982" s="44"/>
    </row>
    <row r="983" spans="1:8" ht="15.75" thickBot="1" x14ac:dyDescent="0.3">
      <c r="A983" s="41"/>
      <c r="B983" s="50"/>
      <c r="C983" s="50"/>
      <c r="D983" s="50"/>
      <c r="E983" s="50"/>
      <c r="F983" s="44"/>
      <c r="G983" s="44"/>
      <c r="H983" s="44"/>
    </row>
    <row r="984" spans="1:8" ht="15.75" thickBot="1" x14ac:dyDescent="0.3">
      <c r="A984" s="41"/>
      <c r="B984" s="50"/>
      <c r="C984" s="50"/>
      <c r="D984" s="50"/>
      <c r="E984" s="50"/>
      <c r="F984" s="44"/>
      <c r="G984" s="44"/>
      <c r="H984" s="44"/>
    </row>
    <row r="985" spans="1:8" ht="15.75" thickBot="1" x14ac:dyDescent="0.3">
      <c r="A985" s="41"/>
      <c r="B985" s="50"/>
      <c r="C985" s="50"/>
      <c r="D985" s="50"/>
      <c r="E985" s="50"/>
      <c r="F985" s="44"/>
      <c r="G985" s="44"/>
      <c r="H985" s="44"/>
    </row>
    <row r="986" spans="1:8" ht="15.75" thickBot="1" x14ac:dyDescent="0.3">
      <c r="A986" s="41"/>
      <c r="B986" s="50"/>
      <c r="C986" s="50"/>
      <c r="D986" s="50"/>
      <c r="E986" s="50"/>
      <c r="F986" s="44"/>
      <c r="G986" s="44"/>
      <c r="H986" s="44"/>
    </row>
    <row r="987" spans="1:8" ht="15.75" thickBot="1" x14ac:dyDescent="0.3">
      <c r="A987" s="41"/>
      <c r="B987" s="50"/>
      <c r="C987" s="50"/>
      <c r="D987" s="50"/>
      <c r="E987" s="50"/>
      <c r="F987" s="44"/>
      <c r="G987" s="44"/>
      <c r="H987" s="44"/>
    </row>
    <row r="988" spans="1:8" ht="15.75" thickBot="1" x14ac:dyDescent="0.3">
      <c r="A988" s="41"/>
      <c r="B988" s="50"/>
      <c r="C988" s="50"/>
      <c r="D988" s="50"/>
      <c r="E988" s="50"/>
      <c r="F988" s="44"/>
      <c r="G988" s="44"/>
      <c r="H988" s="44"/>
    </row>
    <row r="989" spans="1:8" ht="15.75" thickBot="1" x14ac:dyDescent="0.3">
      <c r="A989" s="41"/>
      <c r="B989" s="50"/>
      <c r="C989" s="50"/>
      <c r="D989" s="50"/>
      <c r="E989" s="50"/>
      <c r="F989" s="44"/>
      <c r="G989" s="44"/>
      <c r="H989" s="44"/>
    </row>
    <row r="990" spans="1:8" ht="15.75" thickBot="1" x14ac:dyDescent="0.3">
      <c r="A990" s="41"/>
      <c r="B990" s="50"/>
      <c r="C990" s="50"/>
      <c r="D990" s="50"/>
      <c r="E990" s="50"/>
      <c r="F990" s="44"/>
      <c r="G990" s="44"/>
      <c r="H990" s="44"/>
    </row>
    <row r="991" spans="1:8" ht="15.75" thickBot="1" x14ac:dyDescent="0.3">
      <c r="A991" s="41"/>
      <c r="B991" s="50"/>
      <c r="C991" s="50"/>
      <c r="D991" s="50"/>
      <c r="E991" s="50"/>
      <c r="F991" s="44"/>
      <c r="G991" s="44"/>
      <c r="H991" s="44"/>
    </row>
    <row r="992" spans="1:8" ht="15.75" thickBot="1" x14ac:dyDescent="0.3">
      <c r="A992" s="41"/>
      <c r="B992" s="50"/>
      <c r="C992" s="50"/>
      <c r="D992" s="50"/>
      <c r="E992" s="50"/>
      <c r="F992" s="44"/>
      <c r="G992" s="44"/>
      <c r="H992" s="44"/>
    </row>
    <row r="993" spans="1:8" ht="15.75" thickBot="1" x14ac:dyDescent="0.3">
      <c r="A993" s="41"/>
      <c r="B993" s="50"/>
      <c r="C993" s="50"/>
      <c r="D993" s="50"/>
      <c r="E993" s="50"/>
      <c r="F993" s="44"/>
      <c r="G993" s="44"/>
      <c r="H993" s="44"/>
    </row>
    <row r="994" spans="1:8" ht="15.75" thickBot="1" x14ac:dyDescent="0.3">
      <c r="A994" s="41"/>
      <c r="B994" s="50"/>
      <c r="C994" s="50"/>
      <c r="D994" s="50"/>
      <c r="E994" s="50"/>
      <c r="F994" s="44"/>
      <c r="G994" s="44"/>
      <c r="H994" s="44"/>
    </row>
    <row r="995" spans="1:8" ht="15.75" thickBot="1" x14ac:dyDescent="0.3">
      <c r="A995" s="41"/>
      <c r="B995" s="50"/>
      <c r="C995" s="50"/>
      <c r="D995" s="50"/>
      <c r="E995" s="50"/>
      <c r="F995" s="44"/>
      <c r="G995" s="44"/>
      <c r="H995" s="44"/>
    </row>
    <row r="996" spans="1:8" ht="15.75" thickBot="1" x14ac:dyDescent="0.3">
      <c r="A996" s="41"/>
      <c r="B996" s="50"/>
      <c r="C996" s="50"/>
      <c r="D996" s="50"/>
      <c r="E996" s="50"/>
      <c r="F996" s="44"/>
      <c r="G996" s="44"/>
      <c r="H996" s="44"/>
    </row>
    <row r="997" spans="1:8" ht="15.75" thickBot="1" x14ac:dyDescent="0.3">
      <c r="A997" s="41"/>
      <c r="B997" s="50"/>
      <c r="C997" s="50"/>
      <c r="D997" s="50"/>
      <c r="E997" s="50"/>
      <c r="F997" s="44"/>
      <c r="G997" s="44"/>
      <c r="H997" s="44"/>
    </row>
    <row r="998" spans="1:8" ht="15.75" thickBot="1" x14ac:dyDescent="0.3">
      <c r="A998" s="41"/>
      <c r="B998" s="50"/>
      <c r="C998" s="50"/>
      <c r="D998" s="50"/>
      <c r="E998" s="50"/>
      <c r="F998" s="44"/>
      <c r="G998" s="44"/>
      <c r="H998" s="44"/>
    </row>
    <row r="999" spans="1:8" ht="15.75" thickBot="1" x14ac:dyDescent="0.3">
      <c r="A999" s="41"/>
      <c r="B999" s="50"/>
      <c r="C999" s="50"/>
      <c r="D999" s="50"/>
      <c r="E999" s="50"/>
      <c r="F999" s="44"/>
      <c r="G999" s="44"/>
      <c r="H999" s="44"/>
    </row>
    <row r="1000" spans="1:8" ht="15.75" thickBot="1" x14ac:dyDescent="0.3">
      <c r="A1000" s="41"/>
      <c r="B1000" s="50"/>
      <c r="C1000" s="50"/>
      <c r="D1000" s="50"/>
      <c r="E1000" s="50"/>
      <c r="F1000" s="44"/>
      <c r="G1000" s="44"/>
      <c r="H1000" s="44"/>
    </row>
    <row r="1001" spans="1:8" ht="15.75" thickBot="1" x14ac:dyDescent="0.3">
      <c r="A1001" s="41"/>
      <c r="B1001" s="50"/>
      <c r="C1001" s="50"/>
      <c r="D1001" s="50"/>
      <c r="E1001" s="50"/>
      <c r="F1001" s="44"/>
      <c r="G1001" s="44"/>
      <c r="H1001" s="44"/>
    </row>
    <row r="1002" spans="1:8" ht="15.75" thickBot="1" x14ac:dyDescent="0.3">
      <c r="A1002" s="41"/>
      <c r="B1002" s="50"/>
      <c r="C1002" s="50"/>
      <c r="D1002" s="50"/>
      <c r="E1002" s="50"/>
    </row>
    <row r="1003" spans="1:8" ht="15.75" thickBot="1" x14ac:dyDescent="0.3">
      <c r="A1003" s="41"/>
      <c r="B1003" s="50"/>
      <c r="C1003" s="50"/>
      <c r="D1003" s="50"/>
      <c r="E1003" s="50"/>
    </row>
    <row r="1004" spans="1:8" ht="15.75" thickBot="1" x14ac:dyDescent="0.3">
      <c r="A1004" s="41"/>
      <c r="B1004" s="50"/>
      <c r="C1004" s="50"/>
      <c r="D1004" s="50"/>
      <c r="E1004" s="50"/>
    </row>
    <row r="1005" spans="1:8" ht="15.75" thickBot="1" x14ac:dyDescent="0.3">
      <c r="A1005" s="41"/>
      <c r="B1005" s="50"/>
      <c r="C1005" s="50"/>
      <c r="D1005" s="50"/>
      <c r="E1005" s="50"/>
    </row>
    <row r="1006" spans="1:8" ht="15.75" thickBot="1" x14ac:dyDescent="0.3">
      <c r="A1006" s="41"/>
      <c r="B1006" s="50"/>
      <c r="C1006" s="50"/>
      <c r="D1006" s="50"/>
      <c r="E1006" s="50"/>
    </row>
    <row r="1007" spans="1:8" ht="15.75" thickBot="1" x14ac:dyDescent="0.3">
      <c r="A1007" s="41"/>
      <c r="B1007" s="50"/>
      <c r="C1007" s="50"/>
      <c r="D1007" s="50"/>
      <c r="E1007" s="50"/>
    </row>
    <row r="1008" spans="1:8" ht="15.75" thickBot="1" x14ac:dyDescent="0.3">
      <c r="A1008" s="41"/>
      <c r="B1008" s="50"/>
      <c r="C1008" s="50"/>
      <c r="D1008" s="50"/>
      <c r="E1008" s="50"/>
    </row>
    <row r="1009" spans="1:5" ht="15.75" thickBot="1" x14ac:dyDescent="0.3">
      <c r="A1009" s="41"/>
      <c r="B1009" s="50"/>
      <c r="C1009" s="50"/>
      <c r="D1009" s="50"/>
      <c r="E1009" s="50"/>
    </row>
    <row r="1010" spans="1:5" ht="15.75" thickBot="1" x14ac:dyDescent="0.3">
      <c r="A1010" s="41"/>
      <c r="B1010" s="50"/>
      <c r="C1010" s="50"/>
      <c r="D1010" s="50"/>
      <c r="E1010" s="50"/>
    </row>
    <row r="1011" spans="1:5" ht="15.75" thickBot="1" x14ac:dyDescent="0.3">
      <c r="A1011" s="41"/>
      <c r="B1011" s="50"/>
      <c r="C1011" s="50"/>
      <c r="D1011" s="50"/>
      <c r="E1011" s="50"/>
    </row>
    <row r="1012" spans="1:5" ht="15.75" thickBot="1" x14ac:dyDescent="0.3">
      <c r="A1012" s="41"/>
      <c r="B1012" s="50"/>
      <c r="C1012" s="50"/>
      <c r="D1012" s="50"/>
      <c r="E1012" s="50"/>
    </row>
    <row r="1013" spans="1:5" ht="15.75" thickBot="1" x14ac:dyDescent="0.3">
      <c r="A1013" s="41"/>
      <c r="B1013" s="50"/>
      <c r="C1013" s="50"/>
      <c r="D1013" s="50"/>
      <c r="E1013" s="50"/>
    </row>
    <row r="1014" spans="1:5" ht="15.75" thickBot="1" x14ac:dyDescent="0.3">
      <c r="A1014" s="41"/>
      <c r="B1014" s="50"/>
      <c r="C1014" s="50"/>
      <c r="D1014" s="50"/>
      <c r="E1014" s="50"/>
    </row>
    <row r="1015" spans="1:5" ht="15.75" thickBot="1" x14ac:dyDescent="0.3">
      <c r="A1015" s="41"/>
      <c r="B1015" s="50"/>
      <c r="C1015" s="50"/>
      <c r="D1015" s="50"/>
      <c r="E1015" s="50"/>
    </row>
    <row r="1016" spans="1:5" ht="15.75" thickBot="1" x14ac:dyDescent="0.3">
      <c r="A1016" s="41"/>
      <c r="B1016" s="50"/>
      <c r="C1016" s="50"/>
      <c r="D1016" s="50"/>
      <c r="E1016" s="50"/>
    </row>
    <row r="1017" spans="1:5" ht="15.75" thickBot="1" x14ac:dyDescent="0.3">
      <c r="A1017" s="41"/>
      <c r="B1017" s="50"/>
      <c r="C1017" s="50"/>
      <c r="D1017" s="50"/>
      <c r="E1017" s="50"/>
    </row>
    <row r="1018" spans="1:5" ht="15.75" thickBot="1" x14ac:dyDescent="0.3">
      <c r="A1018" s="41"/>
      <c r="B1018" s="50"/>
      <c r="C1018" s="50"/>
      <c r="D1018" s="50"/>
      <c r="E1018" s="50"/>
    </row>
    <row r="1019" spans="1:5" ht="15.75" thickBot="1" x14ac:dyDescent="0.3">
      <c r="A1019" s="41"/>
      <c r="B1019" s="50"/>
      <c r="C1019" s="50"/>
      <c r="D1019" s="50"/>
      <c r="E1019" s="50"/>
    </row>
    <row r="1020" spans="1:5" ht="15.75" thickBot="1" x14ac:dyDescent="0.3">
      <c r="A1020" s="41"/>
      <c r="B1020" s="50"/>
      <c r="C1020" s="50"/>
      <c r="D1020" s="50"/>
      <c r="E1020" s="50"/>
    </row>
    <row r="1021" spans="1:5" ht="15.75" thickBot="1" x14ac:dyDescent="0.3">
      <c r="A1021" s="41"/>
      <c r="B1021" s="50"/>
      <c r="C1021" s="50"/>
      <c r="D1021" s="50"/>
      <c r="E1021" s="50"/>
    </row>
    <row r="1022" spans="1:5" ht="15.75" thickBot="1" x14ac:dyDescent="0.3">
      <c r="A1022" s="41"/>
      <c r="B1022" s="50"/>
      <c r="C1022" s="50"/>
      <c r="D1022" s="50"/>
      <c r="E1022" s="50"/>
    </row>
    <row r="1023" spans="1:5" ht="15.75" thickBot="1" x14ac:dyDescent="0.3">
      <c r="A1023" s="41"/>
      <c r="B1023" s="50"/>
      <c r="C1023" s="50"/>
      <c r="D1023" s="50"/>
      <c r="E1023" s="50"/>
    </row>
    <row r="1024" spans="1:5" ht="15.75" thickBot="1" x14ac:dyDescent="0.3">
      <c r="A1024" s="41"/>
      <c r="B1024" s="50"/>
      <c r="C1024" s="50"/>
      <c r="D1024" s="50"/>
      <c r="E1024" s="50"/>
    </row>
    <row r="1025" spans="1:5" ht="15.75" thickBot="1" x14ac:dyDescent="0.3">
      <c r="A1025" s="41"/>
      <c r="B1025" s="50"/>
      <c r="C1025" s="50"/>
      <c r="D1025" s="50"/>
      <c r="E1025" s="50"/>
    </row>
    <row r="1026" spans="1:5" ht="15.75" thickBot="1" x14ac:dyDescent="0.3">
      <c r="A1026" s="41"/>
      <c r="B1026" s="50"/>
      <c r="C1026" s="50"/>
      <c r="D1026" s="50"/>
      <c r="E1026" s="50"/>
    </row>
    <row r="1027" spans="1:5" ht="15.75" thickBot="1" x14ac:dyDescent="0.3">
      <c r="A1027" s="41"/>
      <c r="B1027" s="50"/>
      <c r="C1027" s="50"/>
      <c r="D1027" s="50"/>
      <c r="E1027" s="50"/>
    </row>
    <row r="1028" spans="1:5" ht="15.75" thickBot="1" x14ac:dyDescent="0.3">
      <c r="A1028" s="41"/>
      <c r="B1028" s="50"/>
      <c r="C1028" s="50"/>
      <c r="D1028" s="50"/>
      <c r="E1028" s="50"/>
    </row>
    <row r="1029" spans="1:5" ht="15.75" thickBot="1" x14ac:dyDescent="0.3">
      <c r="A1029" s="41"/>
      <c r="B1029" s="50"/>
      <c r="C1029" s="50"/>
      <c r="D1029" s="50"/>
      <c r="E1029" s="50"/>
    </row>
    <row r="1030" spans="1:5" ht="15.75" thickBot="1" x14ac:dyDescent="0.3">
      <c r="A1030" s="41"/>
      <c r="B1030" s="50"/>
      <c r="C1030" s="50"/>
      <c r="D1030" s="50"/>
      <c r="E1030" s="50"/>
    </row>
    <row r="1031" spans="1:5" ht="15.75" thickBot="1" x14ac:dyDescent="0.3">
      <c r="A1031" s="41"/>
      <c r="B1031" s="50"/>
      <c r="C1031" s="50"/>
      <c r="D1031" s="50"/>
      <c r="E1031" s="50"/>
    </row>
    <row r="1032" spans="1:5" ht="15.75" thickBot="1" x14ac:dyDescent="0.3">
      <c r="A1032" s="41"/>
      <c r="B1032" s="50"/>
      <c r="C1032" s="50"/>
      <c r="D1032" s="50"/>
      <c r="E1032" s="50"/>
    </row>
    <row r="1033" spans="1:5" ht="15.75" thickBot="1" x14ac:dyDescent="0.3">
      <c r="A1033" s="41"/>
      <c r="B1033" s="50"/>
      <c r="C1033" s="50"/>
      <c r="D1033" s="50"/>
      <c r="E1033" s="50"/>
    </row>
    <row r="1034" spans="1:5" ht="15.75" thickBot="1" x14ac:dyDescent="0.3">
      <c r="A1034" s="41"/>
      <c r="B1034" s="50"/>
      <c r="C1034" s="50"/>
      <c r="D1034" s="50"/>
      <c r="E1034" s="50"/>
    </row>
    <row r="1035" spans="1:5" ht="15.75" thickBot="1" x14ac:dyDescent="0.3">
      <c r="A1035" s="41"/>
      <c r="B1035" s="50"/>
      <c r="C1035" s="50"/>
      <c r="D1035" s="50"/>
      <c r="E1035" s="50"/>
    </row>
    <row r="1036" spans="1:5" ht="15.75" thickBot="1" x14ac:dyDescent="0.3">
      <c r="A1036" s="41"/>
      <c r="B1036" s="50"/>
      <c r="C1036" s="50"/>
      <c r="D1036" s="50"/>
      <c r="E1036" s="50"/>
    </row>
    <row r="1037" spans="1:5" ht="15.75" thickBot="1" x14ac:dyDescent="0.3">
      <c r="A1037" s="41"/>
      <c r="B1037" s="50"/>
      <c r="C1037" s="50"/>
      <c r="D1037" s="50"/>
      <c r="E1037" s="50"/>
    </row>
    <row r="1038" spans="1:5" ht="15.75" thickBot="1" x14ac:dyDescent="0.3">
      <c r="A1038" s="41"/>
      <c r="B1038" s="50"/>
      <c r="C1038" s="50"/>
      <c r="D1038" s="50"/>
      <c r="E1038" s="50"/>
    </row>
    <row r="1039" spans="1:5" ht="15.75" thickBot="1" x14ac:dyDescent="0.3">
      <c r="A1039" s="41"/>
      <c r="B1039" s="50"/>
      <c r="C1039" s="50"/>
      <c r="D1039" s="50"/>
      <c r="E1039" s="50"/>
    </row>
    <row r="1040" spans="1:5" ht="15.75" thickBot="1" x14ac:dyDescent="0.3">
      <c r="A1040" s="41"/>
      <c r="B1040" s="50"/>
      <c r="C1040" s="50"/>
      <c r="D1040" s="50"/>
      <c r="E1040" s="50"/>
    </row>
    <row r="1041" spans="1:5" ht="15.75" thickBot="1" x14ac:dyDescent="0.3">
      <c r="A1041" s="41"/>
      <c r="B1041" s="50"/>
      <c r="C1041" s="50"/>
      <c r="D1041" s="50"/>
      <c r="E1041" s="50"/>
    </row>
    <row r="1042" spans="1:5" ht="15.75" thickBot="1" x14ac:dyDescent="0.3">
      <c r="A1042" s="41"/>
      <c r="B1042" s="41"/>
      <c r="C1042" s="41"/>
      <c r="D1042" s="41"/>
      <c r="E1042" s="41"/>
    </row>
    <row r="1043" spans="1:5" ht="15.75" thickBot="1" x14ac:dyDescent="0.3">
      <c r="A1043" s="41"/>
      <c r="B1043" s="41"/>
      <c r="C1043" s="41"/>
      <c r="D1043" s="41"/>
      <c r="E1043" s="41"/>
    </row>
    <row r="1044" spans="1:5" ht="15.75" thickBot="1" x14ac:dyDescent="0.3">
      <c r="A1044" s="41"/>
      <c r="B1044" s="41"/>
      <c r="C1044" s="41"/>
      <c r="D1044" s="41"/>
      <c r="E1044" s="41"/>
    </row>
    <row r="1045" spans="1:5" ht="15.75" thickBot="1" x14ac:dyDescent="0.3">
      <c r="A1045" s="41"/>
      <c r="B1045" s="41"/>
      <c r="C1045" s="41"/>
      <c r="D1045" s="41"/>
      <c r="E1045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A3F1-A8E8-45B4-BAAB-4975A5D54D00}">
  <dimension ref="A1:J770"/>
  <sheetViews>
    <sheetView workbookViewId="0">
      <selection activeCell="E1" sqref="B1:E1048576"/>
    </sheetView>
  </sheetViews>
  <sheetFormatPr defaultRowHeight="15" x14ac:dyDescent="0.25"/>
  <cols>
    <col min="1" max="1" width="47.85546875" bestFit="1" customWidth="1"/>
    <col min="2" max="2" width="19.28515625" bestFit="1" customWidth="1"/>
    <col min="3" max="3" width="5.7109375" bestFit="1" customWidth="1"/>
    <col min="4" max="4" width="5.85546875" bestFit="1" customWidth="1"/>
    <col min="5" max="5" width="6" bestFit="1" customWidth="1"/>
    <col min="6" max="6" width="6.140625" bestFit="1" customWidth="1"/>
    <col min="7" max="8" width="5.7109375" bestFit="1" customWidth="1"/>
    <col min="9" max="9" width="5.5703125" bestFit="1" customWidth="1"/>
  </cols>
  <sheetData>
    <row r="1" spans="1:10" ht="15.75" thickBot="1" x14ac:dyDescent="0.3">
      <c r="A1" s="14" t="s">
        <v>0</v>
      </c>
      <c r="B1" s="15" t="s">
        <v>1</v>
      </c>
      <c r="C1" s="16" t="s">
        <v>971</v>
      </c>
      <c r="D1" s="16" t="s">
        <v>972</v>
      </c>
      <c r="E1" s="16" t="s">
        <v>973</v>
      </c>
      <c r="F1" s="16" t="s">
        <v>974</v>
      </c>
      <c r="G1" s="16" t="s">
        <v>975</v>
      </c>
      <c r="H1" s="16" t="s">
        <v>976</v>
      </c>
      <c r="I1" s="17" t="s">
        <v>977</v>
      </c>
    </row>
    <row r="2" spans="1:10" ht="15.75" thickBot="1" x14ac:dyDescent="0.3">
      <c r="A2" s="18" t="s">
        <v>8</v>
      </c>
      <c r="B2" s="3">
        <v>270</v>
      </c>
      <c r="C2" s="4" t="s">
        <v>9</v>
      </c>
      <c r="D2" s="4" t="s">
        <v>9</v>
      </c>
      <c r="E2" s="4" t="s">
        <v>9</v>
      </c>
      <c r="F2" s="4"/>
      <c r="G2" s="4" t="s">
        <v>9</v>
      </c>
      <c r="H2" s="4"/>
      <c r="I2" s="19" t="s">
        <v>9</v>
      </c>
      <c r="J2" t="str">
        <f>VLOOKUP(A2,All!A:A,1,FALSE)</f>
        <v>Abingdon (A.-Avon)</v>
      </c>
    </row>
    <row r="3" spans="1:10" ht="15.75" thickBot="1" x14ac:dyDescent="0.3">
      <c r="A3" s="20" t="s">
        <v>10</v>
      </c>
      <c r="B3" s="5">
        <v>1840</v>
      </c>
      <c r="C3" s="6" t="s">
        <v>12</v>
      </c>
      <c r="D3" s="6" t="s">
        <v>12</v>
      </c>
      <c r="E3" s="6" t="s">
        <v>12</v>
      </c>
      <c r="F3" s="6" t="s">
        <v>13</v>
      </c>
      <c r="G3" s="6" t="s">
        <v>12</v>
      </c>
      <c r="H3" s="6" t="s">
        <v>13</v>
      </c>
      <c r="I3" s="21" t="s">
        <v>11</v>
      </c>
      <c r="J3" t="str">
        <f>VLOOKUP(A3,All!A:A,1,FALSE)</f>
        <v>Addison (A. Trail)</v>
      </c>
    </row>
    <row r="4" spans="1:10" ht="15.75" thickBot="1" x14ac:dyDescent="0.3">
      <c r="A4" s="18" t="s">
        <v>14</v>
      </c>
      <c r="B4" s="3">
        <v>215</v>
      </c>
      <c r="C4" s="4"/>
      <c r="D4" s="4"/>
      <c r="E4" s="4" t="s">
        <v>9</v>
      </c>
      <c r="F4" s="4" t="s">
        <v>9</v>
      </c>
      <c r="G4" s="4"/>
      <c r="H4" s="4"/>
      <c r="I4" s="19" t="s">
        <v>9</v>
      </c>
      <c r="J4" t="str">
        <f>VLOOKUP(A4,All!A:A,1,FALSE)</f>
        <v>Albion (Edwards County)</v>
      </c>
    </row>
    <row r="5" spans="1:10" ht="15.75" thickBot="1" x14ac:dyDescent="0.3">
      <c r="A5" s="20" t="s">
        <v>15</v>
      </c>
      <c r="B5" s="7">
        <v>399</v>
      </c>
      <c r="C5" s="6" t="s">
        <v>9</v>
      </c>
      <c r="D5" s="6" t="s">
        <v>9</v>
      </c>
      <c r="E5" s="6" t="s">
        <v>9</v>
      </c>
      <c r="F5" s="6" t="s">
        <v>9</v>
      </c>
      <c r="G5" s="6"/>
      <c r="H5" s="6"/>
      <c r="I5" s="21" t="s">
        <v>13</v>
      </c>
      <c r="J5" t="str">
        <f>VLOOKUP(A5,All!A:A,1,FALSE)</f>
        <v>Aledo (Mercer County)</v>
      </c>
    </row>
    <row r="6" spans="1:10" ht="15.75" thickBot="1" x14ac:dyDescent="0.3">
      <c r="A6" s="18" t="s">
        <v>16</v>
      </c>
      <c r="B6" s="8">
        <v>2048</v>
      </c>
      <c r="C6" s="4" t="s">
        <v>12</v>
      </c>
      <c r="D6" s="4" t="s">
        <v>12</v>
      </c>
      <c r="E6" s="4" t="s">
        <v>12</v>
      </c>
      <c r="F6" s="4" t="s">
        <v>13</v>
      </c>
      <c r="G6" s="4" t="s">
        <v>12</v>
      </c>
      <c r="H6" s="4" t="s">
        <v>13</v>
      </c>
      <c r="I6" s="19" t="s">
        <v>11</v>
      </c>
      <c r="J6" t="str">
        <f>VLOOKUP(A6,All!A:A,1,FALSE)</f>
        <v>Algonquin (Jacobs)</v>
      </c>
    </row>
    <row r="7" spans="1:10" ht="15.75" thickBot="1" x14ac:dyDescent="0.3">
      <c r="A7" s="20" t="s">
        <v>17</v>
      </c>
      <c r="B7" s="7">
        <v>228</v>
      </c>
      <c r="C7" s="6" t="s">
        <v>9</v>
      </c>
      <c r="D7" s="6" t="s">
        <v>9</v>
      </c>
      <c r="E7" s="9" t="s">
        <v>9</v>
      </c>
      <c r="F7" s="6" t="s">
        <v>9</v>
      </c>
      <c r="G7" s="9" t="s">
        <v>9</v>
      </c>
      <c r="H7" s="6"/>
      <c r="I7" s="21" t="s">
        <v>9</v>
      </c>
      <c r="J7" t="str">
        <f>VLOOKUP(A7,All!A:A,1,FALSE)</f>
        <v>Altamont</v>
      </c>
    </row>
    <row r="8" spans="1:10" ht="15.75" thickBot="1" x14ac:dyDescent="0.3">
      <c r="A8" s="18" t="s">
        <v>18</v>
      </c>
      <c r="B8" s="3" t="s">
        <v>19</v>
      </c>
      <c r="C8" s="10" t="s">
        <v>13</v>
      </c>
      <c r="D8" s="10" t="s">
        <v>13</v>
      </c>
      <c r="E8" s="10" t="s">
        <v>13</v>
      </c>
      <c r="F8" s="10" t="s">
        <v>9</v>
      </c>
      <c r="G8" s="10" t="s">
        <v>9</v>
      </c>
      <c r="H8" s="10" t="s">
        <v>9</v>
      </c>
      <c r="I8" s="23" t="s">
        <v>13</v>
      </c>
      <c r="J8" t="str">
        <f>VLOOKUP(A8,All!A:A,1,FALSE)</f>
        <v>Alton (Marquette)</v>
      </c>
    </row>
    <row r="9" spans="1:10" ht="15.75" thickBot="1" x14ac:dyDescent="0.3">
      <c r="A9" s="20" t="s">
        <v>20</v>
      </c>
      <c r="B9" s="5">
        <v>1759</v>
      </c>
      <c r="C9" s="6" t="s">
        <v>12</v>
      </c>
      <c r="D9" s="6" t="s">
        <v>12</v>
      </c>
      <c r="E9" s="6" t="s">
        <v>12</v>
      </c>
      <c r="F9" s="6"/>
      <c r="G9" s="6" t="s">
        <v>12</v>
      </c>
      <c r="H9" s="6" t="s">
        <v>13</v>
      </c>
      <c r="I9" s="21" t="s">
        <v>11</v>
      </c>
      <c r="J9" t="str">
        <f>VLOOKUP(A9,All!A:A,1,FALSE)</f>
        <v>Alton (Sr.)</v>
      </c>
    </row>
    <row r="10" spans="1:10" ht="15.75" thickBot="1" x14ac:dyDescent="0.3">
      <c r="A10" s="18" t="s">
        <v>21</v>
      </c>
      <c r="B10" s="3">
        <v>222</v>
      </c>
      <c r="C10" s="9" t="s">
        <v>9</v>
      </c>
      <c r="D10" s="9" t="s">
        <v>9</v>
      </c>
      <c r="E10" s="9" t="s">
        <v>9</v>
      </c>
      <c r="F10" s="4"/>
      <c r="G10" s="4"/>
      <c r="H10" s="4"/>
      <c r="I10" s="22" t="s">
        <v>9</v>
      </c>
      <c r="J10" t="str">
        <f>VLOOKUP(A10,All!A:A,1,FALSE)</f>
        <v>Amboy</v>
      </c>
    </row>
    <row r="11" spans="1:10" ht="15.75" thickBot="1" x14ac:dyDescent="0.3">
      <c r="A11" s="20" t="s">
        <v>22</v>
      </c>
      <c r="B11" s="7">
        <v>453</v>
      </c>
      <c r="C11" s="6" t="s">
        <v>9</v>
      </c>
      <c r="D11" s="6" t="s">
        <v>9</v>
      </c>
      <c r="E11" s="6" t="s">
        <v>9</v>
      </c>
      <c r="F11" s="6" t="s">
        <v>9</v>
      </c>
      <c r="G11" s="9" t="s">
        <v>9</v>
      </c>
      <c r="H11" s="6"/>
      <c r="I11" s="21" t="s">
        <v>13</v>
      </c>
      <c r="J11" t="str">
        <f>VLOOKUP(A11,All!A:A,1,FALSE)</f>
        <v>Anna (A.-Jonesboro)</v>
      </c>
    </row>
    <row r="12" spans="1:10" ht="15.75" thickBot="1" x14ac:dyDescent="0.3">
      <c r="A12" s="18" t="s">
        <v>906</v>
      </c>
      <c r="B12" s="3">
        <v>94</v>
      </c>
      <c r="C12" s="4"/>
      <c r="D12" s="4"/>
      <c r="E12" s="4"/>
      <c r="F12" s="4"/>
      <c r="G12" s="4"/>
      <c r="H12" s="4"/>
      <c r="I12" s="19" t="s">
        <v>9</v>
      </c>
      <c r="J12" t="str">
        <f>VLOOKUP(A12,All!A:A,1,FALSE)</f>
        <v>Annawan</v>
      </c>
    </row>
    <row r="13" spans="1:10" ht="15.75" thickBot="1" x14ac:dyDescent="0.3">
      <c r="A13" s="20" t="s">
        <v>23</v>
      </c>
      <c r="B13" s="5">
        <v>1296</v>
      </c>
      <c r="C13" s="6" t="s">
        <v>13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9</v>
      </c>
      <c r="I13" s="21" t="s">
        <v>12</v>
      </c>
      <c r="J13" t="str">
        <f>VLOOKUP(A13,All!A:A,1,FALSE)</f>
        <v>Antioch</v>
      </c>
    </row>
    <row r="14" spans="1:10" ht="15.75" thickBot="1" x14ac:dyDescent="0.3">
      <c r="A14" s="18" t="s">
        <v>24</v>
      </c>
      <c r="B14" s="3">
        <v>194</v>
      </c>
      <c r="C14" s="4"/>
      <c r="D14" s="4"/>
      <c r="E14" s="9" t="s">
        <v>9</v>
      </c>
      <c r="F14" s="9" t="s">
        <v>9</v>
      </c>
      <c r="G14" s="4"/>
      <c r="H14" s="4"/>
      <c r="I14" s="19" t="s">
        <v>9</v>
      </c>
      <c r="J14" t="str">
        <f>VLOOKUP(A14,All!A:A,1,FALSE)</f>
        <v>Arcola</v>
      </c>
    </row>
    <row r="15" spans="1:10" ht="15.75" thickBot="1" x14ac:dyDescent="0.3">
      <c r="A15" s="20" t="s">
        <v>25</v>
      </c>
      <c r="B15" s="7">
        <v>258</v>
      </c>
      <c r="C15" s="9" t="s">
        <v>9</v>
      </c>
      <c r="D15" s="9" t="s">
        <v>9</v>
      </c>
      <c r="E15" s="6" t="s">
        <v>9</v>
      </c>
      <c r="F15" s="6"/>
      <c r="G15" s="6" t="s">
        <v>9</v>
      </c>
      <c r="H15" s="6"/>
      <c r="I15" s="21" t="s">
        <v>9</v>
      </c>
      <c r="J15" t="str">
        <f>VLOOKUP(A15,All!A:A,1,FALSE)</f>
        <v>Argenta (A.-Oreana)</v>
      </c>
    </row>
    <row r="16" spans="1:10" ht="15.75" thickBot="1" x14ac:dyDescent="0.3">
      <c r="A16" s="18" t="s">
        <v>26</v>
      </c>
      <c r="B16" s="8">
        <v>2046</v>
      </c>
      <c r="C16" s="4" t="s">
        <v>12</v>
      </c>
      <c r="D16" s="4" t="s">
        <v>12</v>
      </c>
      <c r="E16" s="4" t="s">
        <v>12</v>
      </c>
      <c r="F16" s="4" t="s">
        <v>13</v>
      </c>
      <c r="G16" s="4" t="s">
        <v>12</v>
      </c>
      <c r="H16" s="4" t="s">
        <v>13</v>
      </c>
      <c r="I16" s="19" t="s">
        <v>11</v>
      </c>
      <c r="J16" t="str">
        <f>VLOOKUP(A16,All!A:A,1,FALSE)</f>
        <v>Arlington Heights (Hersey)</v>
      </c>
    </row>
    <row r="17" spans="1:10" ht="15.75" thickBot="1" x14ac:dyDescent="0.3">
      <c r="A17" s="20" t="s">
        <v>27</v>
      </c>
      <c r="B17" s="7" t="s">
        <v>28</v>
      </c>
      <c r="C17" s="10" t="s">
        <v>13</v>
      </c>
      <c r="D17" s="10" t="s">
        <v>13</v>
      </c>
      <c r="E17" s="10" t="s">
        <v>13</v>
      </c>
      <c r="F17" s="10" t="s">
        <v>13</v>
      </c>
      <c r="G17" s="10" t="s">
        <v>13</v>
      </c>
      <c r="H17" s="10" t="s">
        <v>9</v>
      </c>
      <c r="I17" s="23" t="s">
        <v>12</v>
      </c>
      <c r="J17" t="str">
        <f>VLOOKUP(A17,All!A:A,1,FALSE)</f>
        <v>Arlington Heights (St. Viator)</v>
      </c>
    </row>
    <row r="18" spans="1:10" ht="15.75" thickBot="1" x14ac:dyDescent="0.3">
      <c r="A18" s="18" t="s">
        <v>29</v>
      </c>
      <c r="B18" s="3">
        <v>114</v>
      </c>
      <c r="C18" s="4" t="s">
        <v>9</v>
      </c>
      <c r="D18" s="4" t="s">
        <v>9</v>
      </c>
      <c r="E18" s="4" t="s">
        <v>9</v>
      </c>
      <c r="F18" s="4"/>
      <c r="G18" s="4"/>
      <c r="H18" s="4"/>
      <c r="I18" s="19" t="s">
        <v>9</v>
      </c>
      <c r="J18" t="str">
        <f>VLOOKUP(A18,All!A:A,1,FALSE)</f>
        <v>Armstrong</v>
      </c>
    </row>
    <row r="19" spans="1:10" ht="15.75" thickBot="1" x14ac:dyDescent="0.3">
      <c r="A19" s="20" t="s">
        <v>30</v>
      </c>
      <c r="B19" s="7">
        <v>296</v>
      </c>
      <c r="C19" s="6" t="s">
        <v>9</v>
      </c>
      <c r="D19" s="6" t="s">
        <v>9</v>
      </c>
      <c r="E19" s="6"/>
      <c r="F19" s="6"/>
      <c r="G19" s="6" t="s">
        <v>9</v>
      </c>
      <c r="H19" s="6"/>
      <c r="I19" s="21" t="s">
        <v>9</v>
      </c>
      <c r="J19" t="str">
        <f>VLOOKUP(A19,All!A:A,1,FALSE)</f>
        <v>Arthur (A.-Lovington-Atwood-Hammond)</v>
      </c>
    </row>
    <row r="20" spans="1:10" ht="15.75" thickBot="1" x14ac:dyDescent="0.3">
      <c r="A20" s="18" t="s">
        <v>31</v>
      </c>
      <c r="B20" s="3">
        <v>132</v>
      </c>
      <c r="C20" s="4"/>
      <c r="D20" s="4"/>
      <c r="E20" s="4"/>
      <c r="F20" s="4"/>
      <c r="G20" s="4"/>
      <c r="H20" s="4"/>
      <c r="I20" s="19" t="s">
        <v>9</v>
      </c>
      <c r="J20" t="str">
        <f>VLOOKUP(A20,All!A:A,1,FALSE)</f>
        <v>Ashton (A.-Franklin Center)</v>
      </c>
    </row>
    <row r="21" spans="1:10" ht="15.75" thickBot="1" x14ac:dyDescent="0.3">
      <c r="A21" s="20" t="s">
        <v>32</v>
      </c>
      <c r="B21" s="7">
        <v>84</v>
      </c>
      <c r="C21" s="9" t="s">
        <v>9</v>
      </c>
      <c r="D21" s="9" t="s">
        <v>9</v>
      </c>
      <c r="E21" s="6"/>
      <c r="F21" s="6"/>
      <c r="G21" s="6"/>
      <c r="H21" s="6"/>
      <c r="I21" s="22" t="s">
        <v>9</v>
      </c>
      <c r="J21" t="str">
        <f>VLOOKUP(A21,All!A:A,1,FALSE)</f>
        <v>Astoria</v>
      </c>
    </row>
    <row r="22" spans="1:10" ht="15.75" thickBot="1" x14ac:dyDescent="0.3">
      <c r="A22" s="18" t="s">
        <v>33</v>
      </c>
      <c r="B22" s="3">
        <v>289</v>
      </c>
      <c r="C22" s="4" t="s">
        <v>9</v>
      </c>
      <c r="D22" s="4"/>
      <c r="E22" s="4"/>
      <c r="F22" s="4"/>
      <c r="G22" s="9" t="s">
        <v>9</v>
      </c>
      <c r="H22" s="4"/>
      <c r="I22" s="19" t="s">
        <v>9</v>
      </c>
      <c r="J22" t="str">
        <f>VLOOKUP(A22,All!A:A,1,FALSE)</f>
        <v>Athens</v>
      </c>
    </row>
    <row r="23" spans="1:10" ht="15.75" thickBot="1" x14ac:dyDescent="0.3">
      <c r="A23" s="20" t="s">
        <v>34</v>
      </c>
      <c r="B23" s="7">
        <v>317</v>
      </c>
      <c r="C23" s="6" t="s">
        <v>9</v>
      </c>
      <c r="D23" s="6" t="s">
        <v>9</v>
      </c>
      <c r="E23" s="6" t="s">
        <v>9</v>
      </c>
      <c r="F23" s="6" t="s">
        <v>9</v>
      </c>
      <c r="G23" s="6"/>
      <c r="H23" s="6"/>
      <c r="I23" s="21" t="s">
        <v>13</v>
      </c>
      <c r="J23" t="str">
        <f>VLOOKUP(A23,All!A:A,1,FALSE)</f>
        <v>Auburn</v>
      </c>
    </row>
    <row r="24" spans="1:10" ht="15.75" thickBot="1" x14ac:dyDescent="0.3">
      <c r="A24" s="18" t="s">
        <v>35</v>
      </c>
      <c r="B24" s="3">
        <v>117</v>
      </c>
      <c r="C24" s="4"/>
      <c r="D24" s="4"/>
      <c r="E24" s="4" t="s">
        <v>9</v>
      </c>
      <c r="F24" s="4"/>
      <c r="G24" s="4"/>
      <c r="H24" s="4"/>
      <c r="I24" s="19" t="s">
        <v>9</v>
      </c>
      <c r="J24" t="str">
        <f>VLOOKUP(A24,All!A:A,1,FALSE)</f>
        <v>Augusta (Southeastern)</v>
      </c>
    </row>
    <row r="25" spans="1:10" ht="15.75" thickBot="1" x14ac:dyDescent="0.3">
      <c r="A25" s="20" t="s">
        <v>36</v>
      </c>
      <c r="B25" s="7" t="s">
        <v>37</v>
      </c>
      <c r="C25" s="10" t="s">
        <v>9</v>
      </c>
      <c r="D25" s="10" t="s">
        <v>9</v>
      </c>
      <c r="E25" s="10" t="s">
        <v>9</v>
      </c>
      <c r="F25" s="6"/>
      <c r="G25" s="6"/>
      <c r="H25" s="6"/>
      <c r="I25" s="24" t="s">
        <v>9</v>
      </c>
      <c r="J25" t="str">
        <f>VLOOKUP(A25,All!A:A,1,FALSE)</f>
        <v>Aurora (A. Christian)</v>
      </c>
    </row>
    <row r="26" spans="1:10" ht="15.75" thickBot="1" x14ac:dyDescent="0.3">
      <c r="A26" s="18" t="s">
        <v>38</v>
      </c>
      <c r="B26" s="3" t="s">
        <v>39</v>
      </c>
      <c r="C26" s="10" t="s">
        <v>13</v>
      </c>
      <c r="D26" s="10" t="s">
        <v>13</v>
      </c>
      <c r="E26" s="10" t="s">
        <v>13</v>
      </c>
      <c r="F26" s="10" t="s">
        <v>9</v>
      </c>
      <c r="G26" s="10" t="s">
        <v>13</v>
      </c>
      <c r="H26" s="10" t="s">
        <v>9</v>
      </c>
      <c r="I26" s="24" t="s">
        <v>13</v>
      </c>
      <c r="J26" t="str">
        <f>VLOOKUP(A26,All!A:A,1,FALSE)</f>
        <v>Aurora (Central Catholic)</v>
      </c>
    </row>
    <row r="27" spans="1:10" ht="15.75" thickBot="1" x14ac:dyDescent="0.3">
      <c r="A27" s="25" t="s">
        <v>0</v>
      </c>
      <c r="B27" s="1" t="s">
        <v>1</v>
      </c>
      <c r="C27" s="2" t="s">
        <v>971</v>
      </c>
      <c r="D27" s="2" t="s">
        <v>972</v>
      </c>
      <c r="E27" s="2" t="s">
        <v>973</v>
      </c>
      <c r="F27" s="2" t="s">
        <v>974</v>
      </c>
      <c r="G27" s="2" t="s">
        <v>975</v>
      </c>
      <c r="H27" s="2" t="s">
        <v>976</v>
      </c>
      <c r="I27" s="26" t="s">
        <v>977</v>
      </c>
      <c r="J27" t="str">
        <f>VLOOKUP(A27,All!A:A,1,FALSE)</f>
        <v>School</v>
      </c>
    </row>
    <row r="28" spans="1:10" ht="15.75" thickBot="1" x14ac:dyDescent="0.3">
      <c r="A28" s="20" t="s">
        <v>40</v>
      </c>
      <c r="B28" s="5">
        <v>3941</v>
      </c>
      <c r="C28" s="6" t="s">
        <v>12</v>
      </c>
      <c r="D28" s="6" t="s">
        <v>12</v>
      </c>
      <c r="E28" s="6" t="s">
        <v>12</v>
      </c>
      <c r="F28" s="6"/>
      <c r="G28" s="6" t="s">
        <v>12</v>
      </c>
      <c r="H28" s="6" t="s">
        <v>13</v>
      </c>
      <c r="I28" s="21" t="s">
        <v>11</v>
      </c>
      <c r="J28" t="str">
        <f>VLOOKUP(A28,All!A:A,1,FALSE)</f>
        <v>Aurora (East)</v>
      </c>
    </row>
    <row r="29" spans="1:10" ht="15.75" thickBot="1" x14ac:dyDescent="0.3">
      <c r="A29" s="18" t="s">
        <v>41</v>
      </c>
      <c r="B29" s="3" t="s">
        <v>42</v>
      </c>
      <c r="C29" s="10" t="s">
        <v>13</v>
      </c>
      <c r="D29" s="10" t="s">
        <v>13</v>
      </c>
      <c r="E29" s="10" t="s">
        <v>13</v>
      </c>
      <c r="F29" s="11" t="s">
        <v>9</v>
      </c>
      <c r="G29" s="10" t="s">
        <v>13</v>
      </c>
      <c r="H29" s="10" t="s">
        <v>9</v>
      </c>
      <c r="I29" s="23" t="s">
        <v>12</v>
      </c>
      <c r="J29" t="str">
        <f>VLOOKUP(A29,All!A:A,1,FALSE)</f>
        <v>Aurora (Illinois Math and Science Academy)</v>
      </c>
    </row>
    <row r="30" spans="1:10" ht="15.75" thickBot="1" x14ac:dyDescent="0.3">
      <c r="A30" s="20" t="s">
        <v>43</v>
      </c>
      <c r="B30" s="7" t="s">
        <v>44</v>
      </c>
      <c r="C30" s="10" t="s">
        <v>13</v>
      </c>
      <c r="D30" s="6"/>
      <c r="E30" s="10" t="s">
        <v>13</v>
      </c>
      <c r="F30" s="6"/>
      <c r="G30" s="10" t="s">
        <v>13</v>
      </c>
      <c r="H30" s="6"/>
      <c r="I30" s="21"/>
      <c r="J30" t="str">
        <f>VLOOKUP(A30,All!A:A,1,FALSE)</f>
        <v>Aurora (Marmion Academy)</v>
      </c>
    </row>
    <row r="31" spans="1:10" ht="15.75" thickBot="1" x14ac:dyDescent="0.3">
      <c r="A31" s="18" t="s">
        <v>45</v>
      </c>
      <c r="B31" s="8">
        <v>2726</v>
      </c>
      <c r="C31" s="4" t="s">
        <v>12</v>
      </c>
      <c r="D31" s="4" t="s">
        <v>12</v>
      </c>
      <c r="E31" s="4" t="s">
        <v>12</v>
      </c>
      <c r="F31" s="4" t="s">
        <v>13</v>
      </c>
      <c r="G31" s="4" t="s">
        <v>12</v>
      </c>
      <c r="H31" s="4" t="s">
        <v>13</v>
      </c>
      <c r="I31" s="19" t="s">
        <v>11</v>
      </c>
      <c r="J31" t="str">
        <f>VLOOKUP(A31,All!A:A,1,FALSE)</f>
        <v>Aurora (Metea Valley)</v>
      </c>
    </row>
    <row r="32" spans="1:10" ht="15.75" thickBot="1" x14ac:dyDescent="0.3">
      <c r="A32" s="20" t="s">
        <v>46</v>
      </c>
      <c r="B32" s="7" t="s">
        <v>47</v>
      </c>
      <c r="C32" s="6"/>
      <c r="D32" s="10" t="s">
        <v>13</v>
      </c>
      <c r="E32" s="6"/>
      <c r="F32" s="10" t="s">
        <v>9</v>
      </c>
      <c r="G32" s="6"/>
      <c r="H32" s="10" t="s">
        <v>9</v>
      </c>
      <c r="I32" s="23" t="s">
        <v>13</v>
      </c>
      <c r="J32" t="str">
        <f>VLOOKUP(A32,All!A:A,1,FALSE)</f>
        <v>Aurora (Rosary)</v>
      </c>
    </row>
    <row r="33" spans="1:10" ht="15.75" thickBot="1" x14ac:dyDescent="0.3">
      <c r="A33" s="18" t="s">
        <v>48</v>
      </c>
      <c r="B33" s="8">
        <v>2717</v>
      </c>
      <c r="C33" s="4" t="s">
        <v>12</v>
      </c>
      <c r="D33" s="4" t="s">
        <v>12</v>
      </c>
      <c r="E33" s="4" t="s">
        <v>12</v>
      </c>
      <c r="F33" s="4" t="s">
        <v>13</v>
      </c>
      <c r="G33" s="4" t="s">
        <v>12</v>
      </c>
      <c r="H33" s="4" t="s">
        <v>13</v>
      </c>
      <c r="I33" s="19" t="s">
        <v>11</v>
      </c>
      <c r="J33" t="str">
        <f>VLOOKUP(A33,All!A:A,1,FALSE)</f>
        <v>Aurora (Waubonsie Valley)</v>
      </c>
    </row>
    <row r="34" spans="1:10" ht="15.75" thickBot="1" x14ac:dyDescent="0.3">
      <c r="A34" s="20" t="s">
        <v>49</v>
      </c>
      <c r="B34" s="5">
        <v>3559</v>
      </c>
      <c r="C34" s="6" t="s">
        <v>12</v>
      </c>
      <c r="D34" s="6" t="s">
        <v>12</v>
      </c>
      <c r="E34" s="6" t="s">
        <v>12</v>
      </c>
      <c r="F34" s="6" t="s">
        <v>13</v>
      </c>
      <c r="G34" s="6" t="s">
        <v>12</v>
      </c>
      <c r="H34" s="6" t="s">
        <v>13</v>
      </c>
      <c r="I34" s="21" t="s">
        <v>11</v>
      </c>
      <c r="J34" t="str">
        <f>VLOOKUP(A34,All!A:A,1,FALSE)</f>
        <v>Aurora (West Aurora)</v>
      </c>
    </row>
    <row r="35" spans="1:10" ht="15.75" thickBot="1" x14ac:dyDescent="0.3">
      <c r="A35" s="18" t="s">
        <v>50</v>
      </c>
      <c r="B35" s="8">
        <v>2692</v>
      </c>
      <c r="C35" s="4" t="s">
        <v>12</v>
      </c>
      <c r="D35" s="4" t="s">
        <v>12</v>
      </c>
      <c r="E35" s="4" t="s">
        <v>12</v>
      </c>
      <c r="F35" s="4" t="s">
        <v>13</v>
      </c>
      <c r="G35" s="4" t="s">
        <v>12</v>
      </c>
      <c r="H35" s="4" t="s">
        <v>13</v>
      </c>
      <c r="I35" s="19" t="s">
        <v>11</v>
      </c>
      <c r="J35" t="str">
        <f>VLOOKUP(A35,All!A:A,1,FALSE)</f>
        <v>Barrington</v>
      </c>
    </row>
    <row r="36" spans="1:10" ht="15.75" thickBot="1" x14ac:dyDescent="0.3">
      <c r="A36" s="20" t="s">
        <v>51</v>
      </c>
      <c r="B36" s="7">
        <v>140</v>
      </c>
      <c r="C36" s="6"/>
      <c r="D36" s="6"/>
      <c r="E36" s="6" t="s">
        <v>9</v>
      </c>
      <c r="F36" s="6"/>
      <c r="G36" s="6"/>
      <c r="H36" s="6"/>
      <c r="I36" s="21" t="s">
        <v>9</v>
      </c>
      <c r="J36" t="str">
        <f>VLOOKUP(A36,All!A:A,1,FALSE)</f>
        <v>Barry (Western)</v>
      </c>
    </row>
    <row r="37" spans="1:10" ht="15.75" thickBot="1" x14ac:dyDescent="0.3">
      <c r="A37" s="18" t="s">
        <v>52</v>
      </c>
      <c r="B37" s="8">
        <v>2223</v>
      </c>
      <c r="C37" s="4" t="s">
        <v>12</v>
      </c>
      <c r="D37" s="4" t="s">
        <v>12</v>
      </c>
      <c r="E37" s="4" t="s">
        <v>12</v>
      </c>
      <c r="F37" s="4"/>
      <c r="G37" s="4" t="s">
        <v>12</v>
      </c>
      <c r="H37" s="4" t="s">
        <v>13</v>
      </c>
      <c r="I37" s="19" t="s">
        <v>11</v>
      </c>
      <c r="J37" t="str">
        <f>VLOOKUP(A37,All!A:A,1,FALSE)</f>
        <v>Bartlett</v>
      </c>
    </row>
    <row r="38" spans="1:10" ht="15.75" thickBot="1" x14ac:dyDescent="0.3">
      <c r="A38" s="20" t="s">
        <v>53</v>
      </c>
      <c r="B38" s="7">
        <v>856</v>
      </c>
      <c r="C38" s="6" t="s">
        <v>13</v>
      </c>
      <c r="D38" s="6" t="s">
        <v>13</v>
      </c>
      <c r="E38" s="6" t="s">
        <v>13</v>
      </c>
      <c r="F38" s="6" t="s">
        <v>9</v>
      </c>
      <c r="G38" s="6" t="s">
        <v>13</v>
      </c>
      <c r="H38" s="6" t="s">
        <v>9</v>
      </c>
      <c r="I38" s="21" t="s">
        <v>12</v>
      </c>
      <c r="J38" t="str">
        <f>VLOOKUP(A38,All!A:A,1,FALSE)</f>
        <v>Bartonville (Limestone)</v>
      </c>
    </row>
    <row r="39" spans="1:10" ht="15.75" thickBot="1" x14ac:dyDescent="0.3">
      <c r="A39" s="18" t="s">
        <v>54</v>
      </c>
      <c r="B39" s="8">
        <v>1632</v>
      </c>
      <c r="C39" s="4" t="s">
        <v>12</v>
      </c>
      <c r="D39" s="4" t="s">
        <v>12</v>
      </c>
      <c r="E39" s="4" t="s">
        <v>12</v>
      </c>
      <c r="F39" s="4" t="s">
        <v>13</v>
      </c>
      <c r="G39" s="4" t="s">
        <v>13</v>
      </c>
      <c r="H39" s="4" t="s">
        <v>13</v>
      </c>
      <c r="I39" s="19" t="s">
        <v>11</v>
      </c>
      <c r="J39" t="str">
        <f>VLOOKUP(A39,All!A:A,1,FALSE)</f>
        <v>Batavia</v>
      </c>
    </row>
    <row r="40" spans="1:10" ht="15.75" thickBot="1" x14ac:dyDescent="0.3">
      <c r="A40" s="20" t="s">
        <v>55</v>
      </c>
      <c r="B40" s="7">
        <v>423</v>
      </c>
      <c r="C40" s="6" t="s">
        <v>9</v>
      </c>
      <c r="D40" s="6" t="s">
        <v>9</v>
      </c>
      <c r="E40" s="6" t="s">
        <v>9</v>
      </c>
      <c r="F40" s="6"/>
      <c r="G40" s="6" t="s">
        <v>9</v>
      </c>
      <c r="H40" s="6"/>
      <c r="I40" s="21" t="s">
        <v>13</v>
      </c>
      <c r="J40" t="str">
        <f>VLOOKUP(A40,All!A:A,1,FALSE)</f>
        <v>Beardstown (H.S.)</v>
      </c>
    </row>
    <row r="41" spans="1:10" ht="15.75" thickBot="1" x14ac:dyDescent="0.3">
      <c r="A41" s="18" t="s">
        <v>56</v>
      </c>
      <c r="B41" s="3">
        <v>334</v>
      </c>
      <c r="C41" s="4" t="s">
        <v>9</v>
      </c>
      <c r="D41" s="4" t="s">
        <v>9</v>
      </c>
      <c r="E41" s="4" t="s">
        <v>9</v>
      </c>
      <c r="F41" s="4" t="s">
        <v>9</v>
      </c>
      <c r="G41" s="4" t="s">
        <v>9</v>
      </c>
      <c r="H41" s="4"/>
      <c r="I41" s="19" t="s">
        <v>13</v>
      </c>
      <c r="J41" t="str">
        <f>VLOOKUP(A41,All!A:A,1,FALSE)</f>
        <v>Beecher</v>
      </c>
    </row>
    <row r="42" spans="1:10" ht="15.75" thickBot="1" x14ac:dyDescent="0.3">
      <c r="A42" s="20" t="s">
        <v>58</v>
      </c>
      <c r="B42" s="7" t="s">
        <v>59</v>
      </c>
      <c r="C42" s="10" t="s">
        <v>9</v>
      </c>
      <c r="D42" s="10" t="s">
        <v>9</v>
      </c>
      <c r="E42" s="10" t="s">
        <v>13</v>
      </c>
      <c r="F42" s="10" t="s">
        <v>9</v>
      </c>
      <c r="G42" s="12" t="s">
        <v>13</v>
      </c>
      <c r="H42" s="10" t="s">
        <v>9</v>
      </c>
      <c r="I42" s="23" t="s">
        <v>13</v>
      </c>
      <c r="J42" t="str">
        <f>VLOOKUP(A42,All!A:A,1,FALSE)</f>
        <v>Belleville (Althoff Catholic)</v>
      </c>
    </row>
    <row r="43" spans="1:10" ht="15.75" thickBot="1" x14ac:dyDescent="0.3">
      <c r="A43" s="18" t="s">
        <v>60</v>
      </c>
      <c r="B43" s="8">
        <v>2352</v>
      </c>
      <c r="C43" s="4" t="s">
        <v>12</v>
      </c>
      <c r="D43" s="4" t="s">
        <v>12</v>
      </c>
      <c r="E43" s="4" t="s">
        <v>12</v>
      </c>
      <c r="F43" s="4" t="s">
        <v>13</v>
      </c>
      <c r="G43" s="4" t="s">
        <v>12</v>
      </c>
      <c r="H43" s="4" t="s">
        <v>13</v>
      </c>
      <c r="I43" s="19" t="s">
        <v>11</v>
      </c>
      <c r="J43" t="str">
        <f>VLOOKUP(A43,All!A:A,1,FALSE)</f>
        <v>Belleville (East)</v>
      </c>
    </row>
    <row r="44" spans="1:10" ht="15.75" thickBot="1" x14ac:dyDescent="0.3">
      <c r="A44" s="20" t="s">
        <v>61</v>
      </c>
      <c r="B44" s="5">
        <v>1990</v>
      </c>
      <c r="C44" s="6" t="s">
        <v>12</v>
      </c>
      <c r="D44" s="6" t="s">
        <v>12</v>
      </c>
      <c r="E44" s="6" t="s">
        <v>12</v>
      </c>
      <c r="F44" s="6" t="s">
        <v>13</v>
      </c>
      <c r="G44" s="6" t="s">
        <v>12</v>
      </c>
      <c r="H44" s="6" t="s">
        <v>13</v>
      </c>
      <c r="I44" s="21" t="s">
        <v>11</v>
      </c>
      <c r="J44" t="str">
        <f>VLOOKUP(A44,All!A:A,1,FALSE)</f>
        <v>Belleville (West)</v>
      </c>
    </row>
    <row r="45" spans="1:10" ht="15.75" thickBot="1" x14ac:dyDescent="0.3">
      <c r="A45" s="18" t="s">
        <v>62</v>
      </c>
      <c r="B45" s="8">
        <v>1113</v>
      </c>
      <c r="C45" s="4" t="s">
        <v>13</v>
      </c>
      <c r="D45" s="4" t="s">
        <v>13</v>
      </c>
      <c r="E45" s="4" t="s">
        <v>13</v>
      </c>
      <c r="F45" s="9" t="s">
        <v>13</v>
      </c>
      <c r="G45" s="4" t="s">
        <v>13</v>
      </c>
      <c r="H45" s="4" t="s">
        <v>9</v>
      </c>
      <c r="I45" s="19" t="s">
        <v>12</v>
      </c>
      <c r="J45" t="str">
        <f>VLOOKUP(A45,All!A:A,1,FALSE)</f>
        <v>Belvidere (H.S.)</v>
      </c>
    </row>
    <row r="46" spans="1:10" ht="15.75" thickBot="1" x14ac:dyDescent="0.3">
      <c r="A46" s="20" t="s">
        <v>63</v>
      </c>
      <c r="B46" s="5">
        <v>1304</v>
      </c>
      <c r="C46" s="6" t="s">
        <v>13</v>
      </c>
      <c r="D46" s="6" t="s">
        <v>13</v>
      </c>
      <c r="E46" s="6" t="s">
        <v>13</v>
      </c>
      <c r="F46" s="6"/>
      <c r="G46" s="6" t="s">
        <v>13</v>
      </c>
      <c r="H46" s="6" t="s">
        <v>9</v>
      </c>
      <c r="I46" s="21" t="s">
        <v>12</v>
      </c>
      <c r="J46" t="str">
        <f>VLOOKUP(A46,All!A:A,1,FALSE)</f>
        <v>Belvidere (North)</v>
      </c>
    </row>
    <row r="47" spans="1:10" ht="15.75" thickBot="1" x14ac:dyDescent="0.3">
      <c r="A47" s="18" t="s">
        <v>978</v>
      </c>
      <c r="B47" s="3">
        <v>82</v>
      </c>
      <c r="C47" s="4" t="s">
        <v>9</v>
      </c>
      <c r="D47" s="4" t="s">
        <v>9</v>
      </c>
      <c r="E47" s="4"/>
      <c r="F47" s="4"/>
      <c r="G47" s="4"/>
      <c r="H47" s="4"/>
      <c r="I47" s="19"/>
      <c r="J47" t="str">
        <f>VLOOKUP(A47,All!A:A,1,FALSE)</f>
        <v>Bement</v>
      </c>
    </row>
    <row r="48" spans="1:10" ht="15.75" thickBot="1" x14ac:dyDescent="0.3">
      <c r="A48" s="20" t="s">
        <v>64</v>
      </c>
      <c r="B48" s="5">
        <v>1347</v>
      </c>
      <c r="C48" s="6" t="s">
        <v>13</v>
      </c>
      <c r="D48" s="6" t="s">
        <v>13</v>
      </c>
      <c r="E48" s="6" t="s">
        <v>13</v>
      </c>
      <c r="F48" s="6"/>
      <c r="G48" s="6" t="s">
        <v>13</v>
      </c>
      <c r="H48" s="6" t="s">
        <v>9</v>
      </c>
      <c r="I48" s="21" t="s">
        <v>12</v>
      </c>
      <c r="J48" t="str">
        <f>VLOOKUP(A48,All!A:A,1,FALSE)</f>
        <v>Bensenville (Fenton)</v>
      </c>
    </row>
    <row r="49" spans="1:10" ht="15.75" thickBot="1" x14ac:dyDescent="0.3">
      <c r="A49" s="18" t="s">
        <v>65</v>
      </c>
      <c r="B49" s="3">
        <v>594</v>
      </c>
      <c r="C49" s="4" t="s">
        <v>9</v>
      </c>
      <c r="D49" s="4" t="s">
        <v>9</v>
      </c>
      <c r="E49" s="4" t="s">
        <v>13</v>
      </c>
      <c r="F49" s="4" t="s">
        <v>9</v>
      </c>
      <c r="G49" s="4"/>
      <c r="H49" s="4" t="s">
        <v>9</v>
      </c>
      <c r="I49" s="19" t="s">
        <v>13</v>
      </c>
      <c r="J49" t="str">
        <f>VLOOKUP(A49,All!A:A,1,FALSE)</f>
        <v>Benton</v>
      </c>
    </row>
    <row r="50" spans="1:10" ht="15.75" thickBot="1" x14ac:dyDescent="0.3">
      <c r="A50" s="20" t="s">
        <v>66</v>
      </c>
      <c r="B50" s="5">
        <v>7552</v>
      </c>
      <c r="C50" s="6" t="s">
        <v>12</v>
      </c>
      <c r="D50" s="6" t="s">
        <v>12</v>
      </c>
      <c r="E50" s="6" t="s">
        <v>12</v>
      </c>
      <c r="F50" s="6"/>
      <c r="G50" s="6" t="s">
        <v>12</v>
      </c>
      <c r="H50" s="6" t="s">
        <v>13</v>
      </c>
      <c r="I50" s="21" t="s">
        <v>11</v>
      </c>
      <c r="J50" t="str">
        <f>VLOOKUP(A50,All!A:A,1,FALSE)</f>
        <v>Berwyn-Cicero (Morton)</v>
      </c>
    </row>
    <row r="51" spans="1:10" ht="15.75" thickBot="1" x14ac:dyDescent="0.3">
      <c r="A51" s="18" t="s">
        <v>67</v>
      </c>
      <c r="B51" s="3">
        <v>754</v>
      </c>
      <c r="C51" s="4" t="s">
        <v>13</v>
      </c>
      <c r="D51" s="4" t="s">
        <v>13</v>
      </c>
      <c r="E51" s="4" t="s">
        <v>13</v>
      </c>
      <c r="F51" s="4" t="s">
        <v>9</v>
      </c>
      <c r="G51" s="4" t="s">
        <v>13</v>
      </c>
      <c r="H51" s="4" t="s">
        <v>9</v>
      </c>
      <c r="I51" s="19" t="s">
        <v>12</v>
      </c>
      <c r="J51" t="str">
        <f>VLOOKUP(A51,All!A:A,1,FALSE)</f>
        <v>Bethalto (Civic Memorial)</v>
      </c>
    </row>
    <row r="52" spans="1:10" ht="15.75" thickBot="1" x14ac:dyDescent="0.3">
      <c r="A52" s="20" t="s">
        <v>68</v>
      </c>
      <c r="B52" s="7">
        <v>155</v>
      </c>
      <c r="C52" s="6"/>
      <c r="D52" s="6"/>
      <c r="E52" s="6" t="s">
        <v>9</v>
      </c>
      <c r="F52" s="6" t="s">
        <v>9</v>
      </c>
      <c r="G52" s="6"/>
      <c r="H52" s="6"/>
      <c r="I52" s="21" t="s">
        <v>9</v>
      </c>
      <c r="J52" t="str">
        <f>VLOOKUP(A52,All!A:A,1,FALSE)</f>
        <v>Bethany (Okaw Valley)</v>
      </c>
    </row>
    <row r="53" spans="1:10" ht="15.75" thickBot="1" x14ac:dyDescent="0.3">
      <c r="A53" s="25" t="s">
        <v>0</v>
      </c>
      <c r="B53" s="1" t="s">
        <v>1</v>
      </c>
      <c r="C53" s="2" t="s">
        <v>971</v>
      </c>
      <c r="D53" s="2" t="s">
        <v>972</v>
      </c>
      <c r="E53" s="2" t="s">
        <v>973</v>
      </c>
      <c r="F53" s="2" t="s">
        <v>974</v>
      </c>
      <c r="G53" s="2" t="s">
        <v>975</v>
      </c>
      <c r="H53" s="2" t="s">
        <v>976</v>
      </c>
      <c r="I53" s="26" t="s">
        <v>977</v>
      </c>
      <c r="J53" t="str">
        <f>VLOOKUP(A53,All!A:A,1,FALSE)</f>
        <v>School</v>
      </c>
    </row>
    <row r="54" spans="1:10" ht="15.75" thickBot="1" x14ac:dyDescent="0.3">
      <c r="A54" s="18" t="s">
        <v>69</v>
      </c>
      <c r="B54" s="3">
        <v>202</v>
      </c>
      <c r="C54" s="4" t="s">
        <v>9</v>
      </c>
      <c r="D54" s="4" t="s">
        <v>9</v>
      </c>
      <c r="E54" s="4" t="s">
        <v>9</v>
      </c>
      <c r="F54" s="4"/>
      <c r="G54" s="4"/>
      <c r="H54" s="4"/>
      <c r="I54" s="19" t="s">
        <v>9</v>
      </c>
      <c r="J54" t="str">
        <f>VLOOKUP(A54,All!A:A,1,FALSE)</f>
        <v>Biggsville (West Central)</v>
      </c>
    </row>
    <row r="55" spans="1:10" ht="15.75" thickBot="1" x14ac:dyDescent="0.3">
      <c r="A55" s="20" t="s">
        <v>70</v>
      </c>
      <c r="B55" s="7">
        <v>354</v>
      </c>
      <c r="C55" s="6" t="s">
        <v>9</v>
      </c>
      <c r="D55" s="6" t="s">
        <v>9</v>
      </c>
      <c r="E55" s="6" t="s">
        <v>9</v>
      </c>
      <c r="F55" s="6"/>
      <c r="G55" s="6" t="s">
        <v>9</v>
      </c>
      <c r="H55" s="6"/>
      <c r="I55" s="21" t="s">
        <v>13</v>
      </c>
      <c r="J55" t="str">
        <f>VLOOKUP(A55,All!A:A,1,FALSE)</f>
        <v>Bismarck (B.-Henning-Rossville-Alvin)</v>
      </c>
    </row>
    <row r="56" spans="1:10" ht="15.75" thickBot="1" x14ac:dyDescent="0.3">
      <c r="A56" s="18" t="s">
        <v>71</v>
      </c>
      <c r="B56" s="3" t="s">
        <v>72</v>
      </c>
      <c r="C56" s="10" t="s">
        <v>9</v>
      </c>
      <c r="D56" s="10" t="s">
        <v>9</v>
      </c>
      <c r="E56" s="10" t="s">
        <v>13</v>
      </c>
      <c r="F56" s="10" t="s">
        <v>9</v>
      </c>
      <c r="G56" s="10" t="s">
        <v>9</v>
      </c>
      <c r="H56" s="10" t="s">
        <v>9</v>
      </c>
      <c r="I56" s="23" t="s">
        <v>13</v>
      </c>
      <c r="J56" t="str">
        <f>VLOOKUP(A56,All!A:A,1,FALSE)</f>
        <v>Bloomington (Central Catholic)</v>
      </c>
    </row>
    <row r="57" spans="1:10" ht="15.75" thickBot="1" x14ac:dyDescent="0.3">
      <c r="A57" s="20" t="s">
        <v>73</v>
      </c>
      <c r="B57" s="7" t="s">
        <v>74</v>
      </c>
      <c r="C57" s="10" t="s">
        <v>9</v>
      </c>
      <c r="D57" s="6"/>
      <c r="E57" s="9" t="s">
        <v>9</v>
      </c>
      <c r="F57" s="6"/>
      <c r="G57" s="10" t="s">
        <v>9</v>
      </c>
      <c r="H57" s="10" t="s">
        <v>9</v>
      </c>
      <c r="I57" s="23" t="s">
        <v>9</v>
      </c>
      <c r="J57" t="str">
        <f>VLOOKUP(A57,All!A:A,1,FALSE)</f>
        <v>Bloomington (Cornerstone Christian Academy)</v>
      </c>
    </row>
    <row r="58" spans="1:10" ht="15.75" thickBot="1" x14ac:dyDescent="0.3">
      <c r="A58" s="18" t="s">
        <v>75</v>
      </c>
      <c r="B58" s="8">
        <v>1280</v>
      </c>
      <c r="C58" s="4" t="s">
        <v>13</v>
      </c>
      <c r="D58" s="4" t="s">
        <v>13</v>
      </c>
      <c r="E58" s="4" t="s">
        <v>13</v>
      </c>
      <c r="F58" s="4" t="s">
        <v>13</v>
      </c>
      <c r="G58" s="4" t="s">
        <v>13</v>
      </c>
      <c r="H58" s="4" t="s">
        <v>9</v>
      </c>
      <c r="I58" s="19" t="s">
        <v>12</v>
      </c>
      <c r="J58" t="str">
        <f>VLOOKUP(A58,All!A:A,1,FALSE)</f>
        <v>Bloomington (H.S.)</v>
      </c>
    </row>
    <row r="59" spans="1:10" ht="15.75" thickBot="1" x14ac:dyDescent="0.3">
      <c r="A59" s="20" t="s">
        <v>76</v>
      </c>
      <c r="B59" s="5">
        <v>1770</v>
      </c>
      <c r="C59" s="6" t="s">
        <v>12</v>
      </c>
      <c r="D59" s="6" t="s">
        <v>12</v>
      </c>
      <c r="E59" s="6" t="s">
        <v>12</v>
      </c>
      <c r="F59" s="6"/>
      <c r="G59" s="6" t="s">
        <v>12</v>
      </c>
      <c r="H59" s="6" t="s">
        <v>13</v>
      </c>
      <c r="I59" s="21" t="s">
        <v>11</v>
      </c>
      <c r="J59" t="str">
        <f>VLOOKUP(A59,All!A:A,1,FALSE)</f>
        <v>Blue Island (Eisenhower)</v>
      </c>
    </row>
    <row r="60" spans="1:10" ht="15.75" thickBot="1" x14ac:dyDescent="0.3">
      <c r="A60" s="18" t="s">
        <v>77</v>
      </c>
      <c r="B60" s="3">
        <v>51</v>
      </c>
      <c r="C60" s="4"/>
      <c r="D60" s="4"/>
      <c r="E60" s="9" t="s">
        <v>9</v>
      </c>
      <c r="F60" s="4"/>
      <c r="G60" s="4"/>
      <c r="H60" s="4"/>
      <c r="I60" s="22" t="s">
        <v>9</v>
      </c>
      <c r="J60" t="str">
        <f>VLOOKUP(A60,All!A:A,1,FALSE)</f>
        <v>Bluffs</v>
      </c>
    </row>
    <row r="61" spans="1:10" ht="15.75" thickBot="1" x14ac:dyDescent="0.3">
      <c r="A61" s="20" t="s">
        <v>78</v>
      </c>
      <c r="B61" s="7">
        <v>132</v>
      </c>
      <c r="C61" s="6" t="s">
        <v>9</v>
      </c>
      <c r="D61" s="6" t="s">
        <v>9</v>
      </c>
      <c r="E61" s="6"/>
      <c r="F61" s="6"/>
      <c r="G61" s="6"/>
      <c r="H61" s="6"/>
      <c r="I61" s="21" t="s">
        <v>9</v>
      </c>
      <c r="J61" t="str">
        <f>VLOOKUP(A61,All!A:A,1,FALSE)</f>
        <v>Bluford (Webber)</v>
      </c>
    </row>
    <row r="62" spans="1:10" ht="15.75" thickBot="1" x14ac:dyDescent="0.3">
      <c r="A62" s="18" t="s">
        <v>79</v>
      </c>
      <c r="B62" s="8">
        <v>3244</v>
      </c>
      <c r="C62" s="4" t="s">
        <v>12</v>
      </c>
      <c r="D62" s="4" t="s">
        <v>12</v>
      </c>
      <c r="E62" s="4" t="s">
        <v>12</v>
      </c>
      <c r="F62" s="4" t="s">
        <v>13</v>
      </c>
      <c r="G62" s="4" t="s">
        <v>12</v>
      </c>
      <c r="H62" s="4" t="s">
        <v>13</v>
      </c>
      <c r="I62" s="19" t="s">
        <v>11</v>
      </c>
      <c r="J62" t="str">
        <f>VLOOKUP(A62,All!A:A,1,FALSE)</f>
        <v>Bolingbrook</v>
      </c>
    </row>
    <row r="63" spans="1:10" ht="15.75" thickBot="1" x14ac:dyDescent="0.3">
      <c r="A63" s="20" t="s">
        <v>80</v>
      </c>
      <c r="B63" s="5">
        <v>1817</v>
      </c>
      <c r="C63" s="6" t="s">
        <v>12</v>
      </c>
      <c r="D63" s="6" t="s">
        <v>12</v>
      </c>
      <c r="E63" s="6" t="s">
        <v>12</v>
      </c>
      <c r="F63" s="6" t="s">
        <v>13</v>
      </c>
      <c r="G63" s="6" t="s">
        <v>12</v>
      </c>
      <c r="H63" s="6" t="s">
        <v>13</v>
      </c>
      <c r="I63" s="21" t="s">
        <v>11</v>
      </c>
      <c r="J63" t="str">
        <f>VLOOKUP(A63,All!A:A,1,FALSE)</f>
        <v>Bradley (B.-Bourbonnais)</v>
      </c>
    </row>
    <row r="64" spans="1:10" ht="15.75" thickBot="1" x14ac:dyDescent="0.3">
      <c r="A64" s="18" t="s">
        <v>81</v>
      </c>
      <c r="B64" s="3">
        <v>375</v>
      </c>
      <c r="C64" s="4"/>
      <c r="D64" s="4"/>
      <c r="E64" s="4" t="s">
        <v>9</v>
      </c>
      <c r="F64" s="4" t="s">
        <v>9</v>
      </c>
      <c r="G64" s="9" t="s">
        <v>9</v>
      </c>
      <c r="H64" s="4"/>
      <c r="I64" s="19" t="s">
        <v>13</v>
      </c>
      <c r="J64" t="str">
        <f>VLOOKUP(A64,All!A:A,1,FALSE)</f>
        <v>Braidwood (Reed-Custer)</v>
      </c>
    </row>
    <row r="65" spans="1:10" ht="15.75" thickBot="1" x14ac:dyDescent="0.3">
      <c r="A65" s="20" t="s">
        <v>82</v>
      </c>
      <c r="B65" s="7">
        <v>628</v>
      </c>
      <c r="C65" s="6" t="s">
        <v>13</v>
      </c>
      <c r="D65" s="6" t="s">
        <v>13</v>
      </c>
      <c r="E65" s="6" t="s">
        <v>13</v>
      </c>
      <c r="F65" s="6" t="s">
        <v>9</v>
      </c>
      <c r="G65" s="6" t="s">
        <v>9</v>
      </c>
      <c r="H65" s="6"/>
      <c r="I65" s="21" t="s">
        <v>13</v>
      </c>
      <c r="J65" t="str">
        <f>VLOOKUP(A65,All!A:A,1,FALSE)</f>
        <v>Breese (Central)</v>
      </c>
    </row>
    <row r="66" spans="1:10" ht="15.75" thickBot="1" x14ac:dyDescent="0.3">
      <c r="A66" s="18" t="s">
        <v>83</v>
      </c>
      <c r="B66" s="3" t="s">
        <v>84</v>
      </c>
      <c r="C66" s="10" t="s">
        <v>9</v>
      </c>
      <c r="D66" s="10" t="s">
        <v>9</v>
      </c>
      <c r="E66" s="10" t="s">
        <v>13</v>
      </c>
      <c r="F66" s="10" t="s">
        <v>9</v>
      </c>
      <c r="G66" s="10" t="s">
        <v>9</v>
      </c>
      <c r="H66" s="4"/>
      <c r="I66" s="27" t="s">
        <v>12</v>
      </c>
      <c r="J66" t="str">
        <f>VLOOKUP(A66,All!A:A,1,FALSE)</f>
        <v>Breese (Mater Dei)</v>
      </c>
    </row>
    <row r="67" spans="1:10" ht="15.75" thickBot="1" x14ac:dyDescent="0.3">
      <c r="A67" s="20" t="s">
        <v>85</v>
      </c>
      <c r="B67" s="7">
        <v>242</v>
      </c>
      <c r="C67" s="6"/>
      <c r="D67" s="6"/>
      <c r="E67" s="9" t="s">
        <v>13</v>
      </c>
      <c r="F67" s="6"/>
      <c r="G67" s="6"/>
      <c r="H67" s="6"/>
      <c r="I67" s="21" t="s">
        <v>9</v>
      </c>
      <c r="J67" t="str">
        <f>VLOOKUP(A67,All!A:A,1,FALSE)</f>
        <v>Bridgeport (Red Hill)</v>
      </c>
    </row>
    <row r="68" spans="1:10" ht="15.75" thickBot="1" x14ac:dyDescent="0.3">
      <c r="A68" s="18" t="s">
        <v>979</v>
      </c>
      <c r="B68" s="3" t="s">
        <v>980</v>
      </c>
      <c r="C68" s="4"/>
      <c r="D68" s="4"/>
      <c r="E68" s="4"/>
      <c r="F68" s="4"/>
      <c r="G68" s="4"/>
      <c r="H68" s="4"/>
      <c r="I68" s="23" t="s">
        <v>9</v>
      </c>
      <c r="J68" t="str">
        <f>VLOOKUP(A68,All!A:A,1,FALSE)</f>
        <v>Bridgeview (Aqsa)</v>
      </c>
    </row>
    <row r="69" spans="1:10" ht="15.75" thickBot="1" x14ac:dyDescent="0.3">
      <c r="A69" s="20" t="s">
        <v>907</v>
      </c>
      <c r="B69" s="7" t="s">
        <v>908</v>
      </c>
      <c r="C69" s="6"/>
      <c r="D69" s="6"/>
      <c r="E69" s="6"/>
      <c r="F69" s="6"/>
      <c r="G69" s="10" t="s">
        <v>9</v>
      </c>
      <c r="H69" s="6"/>
      <c r="I69" s="21"/>
      <c r="J69" t="str">
        <f>VLOOKUP(A69,All!A:A,1,FALSE)</f>
        <v>Bridgeview (Universal)</v>
      </c>
    </row>
    <row r="70" spans="1:10" ht="15.75" thickBot="1" x14ac:dyDescent="0.3">
      <c r="A70" s="18" t="s">
        <v>86</v>
      </c>
      <c r="B70" s="3">
        <v>184</v>
      </c>
      <c r="C70" s="4"/>
      <c r="D70" s="4"/>
      <c r="E70" s="4" t="s">
        <v>9</v>
      </c>
      <c r="F70" s="4" t="s">
        <v>9</v>
      </c>
      <c r="G70" s="4"/>
      <c r="H70" s="4"/>
      <c r="I70" s="19" t="s">
        <v>9</v>
      </c>
      <c r="J70" t="str">
        <f>VLOOKUP(A70,All!A:A,1,FALSE)</f>
        <v>Brimfield</v>
      </c>
    </row>
    <row r="71" spans="1:10" ht="15.75" thickBot="1" x14ac:dyDescent="0.3">
      <c r="A71" s="20" t="s">
        <v>87</v>
      </c>
      <c r="B71" s="7">
        <v>120</v>
      </c>
      <c r="C71" s="6" t="s">
        <v>9</v>
      </c>
      <c r="D71" s="6"/>
      <c r="E71" s="6" t="s">
        <v>9</v>
      </c>
      <c r="F71" s="6"/>
      <c r="G71" s="6"/>
      <c r="H71" s="6"/>
      <c r="I71" s="22" t="s">
        <v>9</v>
      </c>
      <c r="J71" t="str">
        <f>VLOOKUP(A71,All!A:A,1,FALSE)</f>
        <v>Broadlands (Heritage)</v>
      </c>
    </row>
    <row r="72" spans="1:10" ht="15.75" thickBot="1" x14ac:dyDescent="0.3">
      <c r="A72" s="18" t="s">
        <v>909</v>
      </c>
      <c r="B72" s="3">
        <v>40</v>
      </c>
      <c r="C72" s="4"/>
      <c r="D72" s="4"/>
      <c r="E72" s="9" t="s">
        <v>9</v>
      </c>
      <c r="F72" s="4"/>
      <c r="G72" s="4"/>
      <c r="H72" s="4"/>
      <c r="I72" s="19"/>
      <c r="J72" t="str">
        <f>VLOOKUP(A72,All!A:A,1,FALSE)</f>
        <v>Brussels</v>
      </c>
    </row>
    <row r="73" spans="1:10" ht="15.75" thickBot="1" x14ac:dyDescent="0.3">
      <c r="A73" s="20" t="s">
        <v>91</v>
      </c>
      <c r="B73" s="7">
        <v>149</v>
      </c>
      <c r="C73" s="6"/>
      <c r="D73" s="6"/>
      <c r="E73" s="6"/>
      <c r="F73" s="6"/>
      <c r="G73" s="6"/>
      <c r="H73" s="6"/>
      <c r="I73" s="22" t="s">
        <v>13</v>
      </c>
      <c r="J73" t="str">
        <f>VLOOKUP(A73,All!A:A,1,FALSE)</f>
        <v>Buffalo (Tri-City)</v>
      </c>
    </row>
    <row r="74" spans="1:10" ht="15.75" thickBot="1" x14ac:dyDescent="0.3">
      <c r="A74" s="18" t="s">
        <v>92</v>
      </c>
      <c r="B74" s="8">
        <v>1955</v>
      </c>
      <c r="C74" s="4" t="s">
        <v>12</v>
      </c>
      <c r="D74" s="4" t="s">
        <v>12</v>
      </c>
      <c r="E74" s="4" t="s">
        <v>12</v>
      </c>
      <c r="F74" s="4" t="s">
        <v>13</v>
      </c>
      <c r="G74" s="4" t="s">
        <v>12</v>
      </c>
      <c r="H74" s="4" t="s">
        <v>13</v>
      </c>
      <c r="I74" s="19" t="s">
        <v>11</v>
      </c>
      <c r="J74" t="str">
        <f>VLOOKUP(A74,All!A:A,1,FALSE)</f>
        <v>Buffalo Grove</v>
      </c>
    </row>
    <row r="75" spans="1:10" ht="15.75" thickBot="1" x14ac:dyDescent="0.3">
      <c r="A75" s="20" t="s">
        <v>93</v>
      </c>
      <c r="B75" s="7">
        <v>164</v>
      </c>
      <c r="C75" s="6"/>
      <c r="D75" s="6"/>
      <c r="E75" s="6"/>
      <c r="F75" s="6"/>
      <c r="G75" s="6"/>
      <c r="H75" s="9" t="s">
        <v>9</v>
      </c>
      <c r="I75" s="21" t="s">
        <v>9</v>
      </c>
      <c r="J75" t="str">
        <f>VLOOKUP(A75,All!A:A,1,FALSE)</f>
        <v>Bunker Hill</v>
      </c>
    </row>
    <row r="76" spans="1:10" ht="15.75" thickBot="1" x14ac:dyDescent="0.3">
      <c r="A76" s="18" t="s">
        <v>94</v>
      </c>
      <c r="B76" s="8">
        <v>1865</v>
      </c>
      <c r="C76" s="4" t="s">
        <v>12</v>
      </c>
      <c r="D76" s="4" t="s">
        <v>12</v>
      </c>
      <c r="E76" s="4" t="s">
        <v>12</v>
      </c>
      <c r="F76" s="4" t="s">
        <v>13</v>
      </c>
      <c r="G76" s="4" t="s">
        <v>12</v>
      </c>
      <c r="H76" s="4" t="s">
        <v>13</v>
      </c>
      <c r="I76" s="19" t="s">
        <v>11</v>
      </c>
      <c r="J76" t="str">
        <f>VLOOKUP(A76,All!A:A,1,FALSE)</f>
        <v>Burbank (Reavis)</v>
      </c>
    </row>
    <row r="77" spans="1:10" ht="15.75" thickBot="1" x14ac:dyDescent="0.3">
      <c r="A77" s="20" t="s">
        <v>95</v>
      </c>
      <c r="B77" s="7" t="s">
        <v>96</v>
      </c>
      <c r="C77" s="10" t="s">
        <v>12</v>
      </c>
      <c r="D77" s="10" t="s">
        <v>12</v>
      </c>
      <c r="E77" s="11" t="s">
        <v>13</v>
      </c>
      <c r="F77" s="10" t="s">
        <v>13</v>
      </c>
      <c r="G77" s="10" t="s">
        <v>12</v>
      </c>
      <c r="H77" s="11" t="s">
        <v>9</v>
      </c>
      <c r="I77" s="23" t="s">
        <v>11</v>
      </c>
      <c r="J77" t="str">
        <f>VLOOKUP(A77,All!A:A,1,FALSE)</f>
        <v>Burbank (St. Laurence)</v>
      </c>
    </row>
    <row r="78" spans="1:10" ht="15.75" thickBot="1" x14ac:dyDescent="0.3">
      <c r="A78" s="18" t="s">
        <v>97</v>
      </c>
      <c r="B78" s="8">
        <v>1556</v>
      </c>
      <c r="C78" s="4" t="s">
        <v>12</v>
      </c>
      <c r="D78" s="4" t="s">
        <v>12</v>
      </c>
      <c r="E78" s="4" t="s">
        <v>12</v>
      </c>
      <c r="F78" s="4" t="s">
        <v>13</v>
      </c>
      <c r="G78" s="4" t="s">
        <v>13</v>
      </c>
      <c r="H78" s="4"/>
      <c r="I78" s="19" t="s">
        <v>12</v>
      </c>
      <c r="J78" t="str">
        <f>VLOOKUP(A78,All!A:A,1,FALSE)</f>
        <v>Burlington (Central)</v>
      </c>
    </row>
    <row r="79" spans="1:10" ht="15.75" thickBot="1" x14ac:dyDescent="0.3">
      <c r="A79" s="25" t="s">
        <v>0</v>
      </c>
      <c r="B79" s="1" t="s">
        <v>1</v>
      </c>
      <c r="C79" s="2" t="s">
        <v>971</v>
      </c>
      <c r="D79" s="2" t="s">
        <v>972</v>
      </c>
      <c r="E79" s="2" t="s">
        <v>973</v>
      </c>
      <c r="F79" s="2" t="s">
        <v>974</v>
      </c>
      <c r="G79" s="2" t="s">
        <v>975</v>
      </c>
      <c r="H79" s="2" t="s">
        <v>976</v>
      </c>
      <c r="I79" s="26" t="s">
        <v>977</v>
      </c>
      <c r="J79" t="str">
        <f>VLOOKUP(A79,All!A:A,1,FALSE)</f>
        <v>School</v>
      </c>
    </row>
    <row r="80" spans="1:10" ht="15.75" thickBot="1" x14ac:dyDescent="0.3">
      <c r="A80" s="20" t="s">
        <v>98</v>
      </c>
      <c r="B80" s="7">
        <v>168</v>
      </c>
      <c r="C80" s="6" t="s">
        <v>9</v>
      </c>
      <c r="D80" s="6" t="s">
        <v>9</v>
      </c>
      <c r="E80" s="6"/>
      <c r="F80" s="6"/>
      <c r="G80" s="6"/>
      <c r="H80" s="6"/>
      <c r="I80" s="21" t="s">
        <v>9</v>
      </c>
      <c r="J80" t="str">
        <f>VLOOKUP(A80,All!A:A,1,FALSE)</f>
        <v>Bushnell (B.-Prairie City)</v>
      </c>
    </row>
    <row r="81" spans="1:10" ht="15.75" thickBot="1" x14ac:dyDescent="0.3">
      <c r="A81" s="18" t="s">
        <v>99</v>
      </c>
      <c r="B81" s="3">
        <v>477</v>
      </c>
      <c r="C81" s="4" t="s">
        <v>9</v>
      </c>
      <c r="D81" s="4" t="s">
        <v>9</v>
      </c>
      <c r="E81" s="4" t="s">
        <v>9</v>
      </c>
      <c r="F81" s="4" t="s">
        <v>9</v>
      </c>
      <c r="G81" s="4" t="s">
        <v>9</v>
      </c>
      <c r="H81" s="4"/>
      <c r="I81" s="19" t="s">
        <v>13</v>
      </c>
      <c r="J81" t="str">
        <f>VLOOKUP(A81,All!A:A,1,FALSE)</f>
        <v>Byron</v>
      </c>
    </row>
    <row r="82" spans="1:10" ht="15.75" thickBot="1" x14ac:dyDescent="0.3">
      <c r="A82" s="20" t="s">
        <v>100</v>
      </c>
      <c r="B82" s="7">
        <v>827</v>
      </c>
      <c r="C82" s="6" t="s">
        <v>13</v>
      </c>
      <c r="D82" s="6" t="s">
        <v>13</v>
      </c>
      <c r="E82" s="6"/>
      <c r="F82" s="6"/>
      <c r="G82" s="6"/>
      <c r="H82" s="6"/>
      <c r="I82" s="21" t="s">
        <v>12</v>
      </c>
      <c r="J82" t="str">
        <f>VLOOKUP(A82,All!A:A,1,FALSE)</f>
        <v>Cahokia (H.S.)</v>
      </c>
    </row>
    <row r="83" spans="1:10" ht="15.75" thickBot="1" x14ac:dyDescent="0.3">
      <c r="A83" s="18" t="s">
        <v>101</v>
      </c>
      <c r="B83" s="3">
        <v>77</v>
      </c>
      <c r="C83" s="4"/>
      <c r="D83" s="4"/>
      <c r="E83" s="4"/>
      <c r="F83" s="4"/>
      <c r="G83" s="4"/>
      <c r="H83" s="4"/>
      <c r="I83" s="19" t="s">
        <v>9</v>
      </c>
      <c r="J83" t="str">
        <f>VLOOKUP(A83,All!A:A,1,FALSE)</f>
        <v>Cairo</v>
      </c>
    </row>
    <row r="84" spans="1:10" ht="15.75" thickBot="1" x14ac:dyDescent="0.3">
      <c r="A84" s="20" t="s">
        <v>102</v>
      </c>
      <c r="B84" s="5">
        <v>1285</v>
      </c>
      <c r="C84" s="6" t="s">
        <v>13</v>
      </c>
      <c r="D84" s="6" t="s">
        <v>13</v>
      </c>
      <c r="E84" s="6" t="s">
        <v>13</v>
      </c>
      <c r="F84" s="6"/>
      <c r="G84" s="9" t="s">
        <v>12</v>
      </c>
      <c r="H84" s="6" t="s">
        <v>9</v>
      </c>
      <c r="I84" s="21" t="s">
        <v>12</v>
      </c>
      <c r="J84" t="str">
        <f>VLOOKUP(A84,All!A:A,1,FALSE)</f>
        <v>Calumet City (Thornton Fractional North)</v>
      </c>
    </row>
    <row r="85" spans="1:10" ht="15.75" thickBot="1" x14ac:dyDescent="0.3">
      <c r="A85" s="18" t="s">
        <v>103</v>
      </c>
      <c r="B85" s="3">
        <v>118</v>
      </c>
      <c r="C85" s="9" t="s">
        <v>9</v>
      </c>
      <c r="D85" s="9" t="s">
        <v>9</v>
      </c>
      <c r="E85" s="9" t="s">
        <v>9</v>
      </c>
      <c r="F85" s="9" t="s">
        <v>9</v>
      </c>
      <c r="G85" s="4"/>
      <c r="H85" s="4"/>
      <c r="I85" s="22" t="s">
        <v>9</v>
      </c>
      <c r="J85" t="str">
        <f>VLOOKUP(A85,All!A:A,1,FALSE)</f>
        <v>Cambridge</v>
      </c>
    </row>
    <row r="86" spans="1:10" ht="15.75" thickBot="1" x14ac:dyDescent="0.3">
      <c r="A86" s="20" t="s">
        <v>104</v>
      </c>
      <c r="B86" s="7">
        <v>220</v>
      </c>
      <c r="C86" s="6"/>
      <c r="D86" s="6"/>
      <c r="E86" s="6" t="s">
        <v>9</v>
      </c>
      <c r="F86" s="6"/>
      <c r="G86" s="6"/>
      <c r="H86" s="6"/>
      <c r="I86" s="21" t="s">
        <v>9</v>
      </c>
      <c r="J86" t="str">
        <f>VLOOKUP(A86,All!A:A,1,FALSE)</f>
        <v>Camp Point (Central)</v>
      </c>
    </row>
    <row r="87" spans="1:10" ht="15.75" thickBot="1" x14ac:dyDescent="0.3">
      <c r="A87" s="18" t="s">
        <v>105</v>
      </c>
      <c r="B87" s="3">
        <v>217</v>
      </c>
      <c r="C87" s="4" t="s">
        <v>9</v>
      </c>
      <c r="D87" s="4"/>
      <c r="E87" s="4" t="s">
        <v>9</v>
      </c>
      <c r="F87" s="4" t="s">
        <v>9</v>
      </c>
      <c r="G87" s="4"/>
      <c r="H87" s="4"/>
      <c r="I87" s="19" t="s">
        <v>9</v>
      </c>
      <c r="J87" t="str">
        <f>VLOOKUP(A87,All!A:A,1,FALSE)</f>
        <v>Campbell Hill (Trico)</v>
      </c>
    </row>
    <row r="88" spans="1:10" ht="15.75" thickBot="1" x14ac:dyDescent="0.3">
      <c r="A88" s="20" t="s">
        <v>106</v>
      </c>
      <c r="B88" s="7">
        <v>585</v>
      </c>
      <c r="C88" s="6" t="s">
        <v>9</v>
      </c>
      <c r="D88" s="6" t="s">
        <v>9</v>
      </c>
      <c r="E88" s="6" t="s">
        <v>13</v>
      </c>
      <c r="F88" s="6" t="s">
        <v>9</v>
      </c>
      <c r="G88" s="6" t="s">
        <v>9</v>
      </c>
      <c r="H88" s="6"/>
      <c r="I88" s="21" t="s">
        <v>13</v>
      </c>
      <c r="J88" t="str">
        <f>VLOOKUP(A88,All!A:A,1,FALSE)</f>
        <v>Canton</v>
      </c>
    </row>
    <row r="89" spans="1:10" ht="15.75" thickBot="1" x14ac:dyDescent="0.3">
      <c r="A89" s="18" t="s">
        <v>107</v>
      </c>
      <c r="B89" s="3">
        <v>978</v>
      </c>
      <c r="C89" s="4" t="s">
        <v>13</v>
      </c>
      <c r="D89" s="4" t="s">
        <v>13</v>
      </c>
      <c r="E89" s="4" t="s">
        <v>13</v>
      </c>
      <c r="F89" s="4" t="s">
        <v>13</v>
      </c>
      <c r="G89" s="4" t="s">
        <v>13</v>
      </c>
      <c r="H89" s="4" t="s">
        <v>9</v>
      </c>
      <c r="I89" s="19" t="s">
        <v>12</v>
      </c>
      <c r="J89" t="str">
        <f>VLOOKUP(A89,All!A:A,1,FALSE)</f>
        <v>Carbondale (H.S.)</v>
      </c>
    </row>
    <row r="90" spans="1:10" ht="15.75" thickBot="1" x14ac:dyDescent="0.3">
      <c r="A90" s="20" t="s">
        <v>108</v>
      </c>
      <c r="B90" s="7">
        <v>351</v>
      </c>
      <c r="C90" s="6" t="s">
        <v>9</v>
      </c>
      <c r="D90" s="6" t="s">
        <v>9</v>
      </c>
      <c r="E90" s="6" t="s">
        <v>9</v>
      </c>
      <c r="F90" s="6"/>
      <c r="G90" s="6" t="s">
        <v>9</v>
      </c>
      <c r="H90" s="6"/>
      <c r="I90" s="21" t="s">
        <v>13</v>
      </c>
      <c r="J90" t="str">
        <f>VLOOKUP(A90,All!A:A,1,FALSE)</f>
        <v>Carlinville</v>
      </c>
    </row>
    <row r="91" spans="1:10" ht="15.75" thickBot="1" x14ac:dyDescent="0.3">
      <c r="A91" s="18" t="s">
        <v>109</v>
      </c>
      <c r="B91" s="3">
        <v>281</v>
      </c>
      <c r="C91" s="4" t="s">
        <v>9</v>
      </c>
      <c r="D91" s="4" t="s">
        <v>9</v>
      </c>
      <c r="E91" s="4" t="s">
        <v>9</v>
      </c>
      <c r="F91" s="4" t="s">
        <v>9</v>
      </c>
      <c r="G91" s="4" t="s">
        <v>9</v>
      </c>
      <c r="H91" s="4"/>
      <c r="I91" s="19" t="s">
        <v>9</v>
      </c>
      <c r="J91" t="str">
        <f>VLOOKUP(A91,All!A:A,1,FALSE)</f>
        <v>Carlyle</v>
      </c>
    </row>
    <row r="92" spans="1:10" ht="15.75" thickBot="1" x14ac:dyDescent="0.3">
      <c r="A92" s="20" t="s">
        <v>110</v>
      </c>
      <c r="B92" s="7">
        <v>403</v>
      </c>
      <c r="C92" s="6" t="s">
        <v>9</v>
      </c>
      <c r="D92" s="6" t="s">
        <v>9</v>
      </c>
      <c r="E92" s="6" t="s">
        <v>9</v>
      </c>
      <c r="F92" s="6" t="s">
        <v>9</v>
      </c>
      <c r="G92" s="6"/>
      <c r="H92" s="6" t="s">
        <v>9</v>
      </c>
      <c r="I92" s="21" t="s">
        <v>13</v>
      </c>
      <c r="J92" t="str">
        <f>VLOOKUP(A92,All!A:A,1,FALSE)</f>
        <v>Carmi (C.-White County)</v>
      </c>
    </row>
    <row r="93" spans="1:10" ht="15.75" thickBot="1" x14ac:dyDescent="0.3">
      <c r="A93" s="18" t="s">
        <v>111</v>
      </c>
      <c r="B93" s="8">
        <v>2043</v>
      </c>
      <c r="C93" s="4" t="s">
        <v>12</v>
      </c>
      <c r="D93" s="4" t="s">
        <v>12</v>
      </c>
      <c r="E93" s="4" t="s">
        <v>12</v>
      </c>
      <c r="F93" s="4" t="s">
        <v>13</v>
      </c>
      <c r="G93" s="4" t="s">
        <v>12</v>
      </c>
      <c r="H93" s="4" t="s">
        <v>13</v>
      </c>
      <c r="I93" s="19" t="s">
        <v>11</v>
      </c>
      <c r="J93" t="str">
        <f>VLOOKUP(A93,All!A:A,1,FALSE)</f>
        <v>Carol Stream (Glenbard North)</v>
      </c>
    </row>
    <row r="94" spans="1:10" ht="15.75" thickBot="1" x14ac:dyDescent="0.3">
      <c r="A94" s="20" t="s">
        <v>112</v>
      </c>
      <c r="B94" s="5">
        <v>2405</v>
      </c>
      <c r="C94" s="6" t="s">
        <v>12</v>
      </c>
      <c r="D94" s="6" t="s">
        <v>12</v>
      </c>
      <c r="E94" s="6" t="s">
        <v>12</v>
      </c>
      <c r="F94" s="6" t="s">
        <v>13</v>
      </c>
      <c r="G94" s="6" t="s">
        <v>12</v>
      </c>
      <c r="H94" s="6" t="s">
        <v>13</v>
      </c>
      <c r="I94" s="21" t="s">
        <v>11</v>
      </c>
      <c r="J94" t="str">
        <f>VLOOKUP(A94,All!A:A,1,FALSE)</f>
        <v>Carpentersville (Dundee-Crown)</v>
      </c>
    </row>
    <row r="95" spans="1:10" ht="15.75" thickBot="1" x14ac:dyDescent="0.3">
      <c r="A95" s="18" t="s">
        <v>113</v>
      </c>
      <c r="B95" s="3">
        <v>90</v>
      </c>
      <c r="C95" s="4" t="s">
        <v>9</v>
      </c>
      <c r="D95" s="4" t="s">
        <v>9</v>
      </c>
      <c r="E95" s="4"/>
      <c r="F95" s="4"/>
      <c r="G95" s="4"/>
      <c r="H95" s="4"/>
      <c r="I95" s="19" t="s">
        <v>9</v>
      </c>
      <c r="J95" t="str">
        <f>VLOOKUP(A95,All!A:A,1,FALSE)</f>
        <v>Carrier Mills (C.M.-Stonefort)</v>
      </c>
    </row>
    <row r="96" spans="1:10" ht="15.75" thickBot="1" x14ac:dyDescent="0.3">
      <c r="A96" s="20" t="s">
        <v>114</v>
      </c>
      <c r="B96" s="7">
        <v>168</v>
      </c>
      <c r="C96" s="6" t="s">
        <v>9</v>
      </c>
      <c r="D96" s="6" t="s">
        <v>9</v>
      </c>
      <c r="E96" s="6"/>
      <c r="F96" s="6"/>
      <c r="G96" s="6"/>
      <c r="H96" s="6"/>
      <c r="I96" s="21" t="s">
        <v>9</v>
      </c>
      <c r="J96" t="str">
        <f>VLOOKUP(A96,All!A:A,1,FALSE)</f>
        <v>Carrollton</v>
      </c>
    </row>
    <row r="97" spans="1:10" ht="15.75" thickBot="1" x14ac:dyDescent="0.3">
      <c r="A97" s="18" t="s">
        <v>115</v>
      </c>
      <c r="B97" s="3">
        <v>652</v>
      </c>
      <c r="C97" s="4" t="s">
        <v>13</v>
      </c>
      <c r="D97" s="4" t="s">
        <v>13</v>
      </c>
      <c r="E97" s="4" t="s">
        <v>13</v>
      </c>
      <c r="F97" s="4" t="s">
        <v>9</v>
      </c>
      <c r="G97" s="9" t="s">
        <v>13</v>
      </c>
      <c r="H97" s="4" t="s">
        <v>9</v>
      </c>
      <c r="I97" s="19" t="s">
        <v>13</v>
      </c>
      <c r="J97" t="str">
        <f>VLOOKUP(A97,All!A:A,1,FALSE)</f>
        <v>Carterville</v>
      </c>
    </row>
    <row r="98" spans="1:10" ht="15.75" thickBot="1" x14ac:dyDescent="0.3">
      <c r="A98" s="20" t="s">
        <v>116</v>
      </c>
      <c r="B98" s="7">
        <v>345</v>
      </c>
      <c r="C98" s="6" t="s">
        <v>9</v>
      </c>
      <c r="D98" s="6" t="s">
        <v>9</v>
      </c>
      <c r="E98" s="6" t="s">
        <v>9</v>
      </c>
      <c r="F98" s="6" t="s">
        <v>9</v>
      </c>
      <c r="G98" s="6"/>
      <c r="H98" s="6"/>
      <c r="I98" s="21" t="s">
        <v>13</v>
      </c>
      <c r="J98" t="str">
        <f>VLOOKUP(A98,All!A:A,1,FALSE)</f>
        <v>Carthage (Illini West)</v>
      </c>
    </row>
    <row r="99" spans="1:10" ht="15.75" thickBot="1" x14ac:dyDescent="0.3">
      <c r="A99" s="18" t="s">
        <v>117</v>
      </c>
      <c r="B99" s="8">
        <v>1310</v>
      </c>
      <c r="C99" s="4" t="s">
        <v>13</v>
      </c>
      <c r="D99" s="4" t="s">
        <v>13</v>
      </c>
      <c r="E99" s="4" t="s">
        <v>13</v>
      </c>
      <c r="F99" s="4"/>
      <c r="G99" s="4" t="s">
        <v>13</v>
      </c>
      <c r="H99" s="4" t="s">
        <v>9</v>
      </c>
      <c r="I99" s="19" t="s">
        <v>12</v>
      </c>
      <c r="J99" t="str">
        <f>VLOOKUP(A99,All!A:A,1,FALSE)</f>
        <v>Cary (C.-Grove)</v>
      </c>
    </row>
    <row r="100" spans="1:10" ht="15.75" thickBot="1" x14ac:dyDescent="0.3">
      <c r="A100" s="20" t="s">
        <v>910</v>
      </c>
      <c r="B100" s="7" t="s">
        <v>911</v>
      </c>
      <c r="C100" s="6"/>
      <c r="D100" s="6"/>
      <c r="E100" s="6"/>
      <c r="F100" s="6"/>
      <c r="G100" s="6"/>
      <c r="H100" s="6"/>
      <c r="I100" s="21" t="s">
        <v>9</v>
      </c>
      <c r="J100" t="str">
        <f>VLOOKUP(A100,All!A:A,1,FALSE)</f>
        <v>Cary (Trinity Oaks Christian Academy)</v>
      </c>
    </row>
    <row r="101" spans="1:10" ht="15.75" thickBot="1" x14ac:dyDescent="0.3">
      <c r="A101" s="18" t="s">
        <v>118</v>
      </c>
      <c r="B101" s="3">
        <v>235</v>
      </c>
      <c r="C101" s="4" t="s">
        <v>9</v>
      </c>
      <c r="D101" s="4" t="s">
        <v>9</v>
      </c>
      <c r="E101" s="4" t="s">
        <v>9</v>
      </c>
      <c r="F101" s="4"/>
      <c r="G101" s="4"/>
      <c r="H101" s="4" t="s">
        <v>9</v>
      </c>
      <c r="I101" s="19" t="s">
        <v>9</v>
      </c>
      <c r="J101" t="str">
        <f>VLOOKUP(A101,All!A:A,1,FALSE)</f>
        <v>Casey (C.-Westfield)</v>
      </c>
    </row>
    <row r="102" spans="1:10" ht="15.75" thickBot="1" x14ac:dyDescent="0.3">
      <c r="A102" s="20" t="s">
        <v>119</v>
      </c>
      <c r="B102" s="7">
        <v>243</v>
      </c>
      <c r="C102" s="6"/>
      <c r="D102" s="6"/>
      <c r="E102" s="6" t="s">
        <v>9</v>
      </c>
      <c r="F102" s="6"/>
      <c r="G102" s="6"/>
      <c r="H102" s="6"/>
      <c r="I102" s="21" t="s">
        <v>9</v>
      </c>
      <c r="J102" t="str">
        <f>VLOOKUP(A102,All!A:A,1,FALSE)</f>
        <v>Catlin (Salt Fork)</v>
      </c>
    </row>
    <row r="103" spans="1:10" ht="15.75" thickBot="1" x14ac:dyDescent="0.3">
      <c r="A103" s="18" t="s">
        <v>120</v>
      </c>
      <c r="B103" s="3" t="s">
        <v>121</v>
      </c>
      <c r="C103" s="10" t="s">
        <v>9</v>
      </c>
      <c r="D103" s="4"/>
      <c r="E103" s="10" t="s">
        <v>9</v>
      </c>
      <c r="F103" s="4"/>
      <c r="G103" s="4"/>
      <c r="H103" s="4"/>
      <c r="I103" s="23" t="s">
        <v>9</v>
      </c>
      <c r="J103" t="str">
        <f>VLOOKUP(A103,All!A:A,1,FALSE)</f>
        <v>Centralia (Christ Our Rock Lutheran)</v>
      </c>
    </row>
    <row r="104" spans="1:10" ht="15.75" thickBot="1" x14ac:dyDescent="0.3">
      <c r="A104" s="20" t="s">
        <v>122</v>
      </c>
      <c r="B104" s="7">
        <v>868</v>
      </c>
      <c r="C104" s="6" t="s">
        <v>13</v>
      </c>
      <c r="D104" s="6" t="s">
        <v>13</v>
      </c>
      <c r="E104" s="6" t="s">
        <v>13</v>
      </c>
      <c r="F104" s="6" t="s">
        <v>9</v>
      </c>
      <c r="G104" s="6" t="s">
        <v>13</v>
      </c>
      <c r="H104" s="6" t="s">
        <v>9</v>
      </c>
      <c r="I104" s="21" t="s">
        <v>12</v>
      </c>
      <c r="J104" t="str">
        <f>VLOOKUP(A104,All!A:A,1,FALSE)</f>
        <v>Centralia (H.S.)</v>
      </c>
    </row>
    <row r="105" spans="1:10" ht="15.75" thickBot="1" x14ac:dyDescent="0.3">
      <c r="A105" s="25" t="s">
        <v>0</v>
      </c>
      <c r="B105" s="1" t="s">
        <v>1</v>
      </c>
      <c r="C105" s="2" t="s">
        <v>971</v>
      </c>
      <c r="D105" s="2" t="s">
        <v>972</v>
      </c>
      <c r="E105" s="2" t="s">
        <v>973</v>
      </c>
      <c r="F105" s="2" t="s">
        <v>974</v>
      </c>
      <c r="G105" s="2" t="s">
        <v>975</v>
      </c>
      <c r="H105" s="2" t="s">
        <v>976</v>
      </c>
      <c r="I105" s="26" t="s">
        <v>977</v>
      </c>
      <c r="J105" t="str">
        <f>VLOOKUP(A105,All!A:A,1,FALSE)</f>
        <v>School</v>
      </c>
    </row>
    <row r="106" spans="1:10" ht="15.75" thickBot="1" x14ac:dyDescent="0.3">
      <c r="A106" s="18" t="s">
        <v>123</v>
      </c>
      <c r="B106" s="3">
        <v>114</v>
      </c>
      <c r="C106" s="9" t="s">
        <v>9</v>
      </c>
      <c r="D106" s="9" t="s">
        <v>9</v>
      </c>
      <c r="E106" s="4" t="s">
        <v>9</v>
      </c>
      <c r="F106" s="4"/>
      <c r="G106" s="4"/>
      <c r="H106" s="4"/>
      <c r="I106" s="22" t="s">
        <v>9</v>
      </c>
      <c r="J106" t="str">
        <f>VLOOKUP(A106,All!A:A,1,FALSE)</f>
        <v>Cerro Gordo</v>
      </c>
    </row>
    <row r="107" spans="1:10" ht="15.75" thickBot="1" x14ac:dyDescent="0.3">
      <c r="A107" s="20" t="s">
        <v>124</v>
      </c>
      <c r="B107" s="5">
        <v>1389</v>
      </c>
      <c r="C107" s="6" t="s">
        <v>13</v>
      </c>
      <c r="D107" s="6" t="s">
        <v>13</v>
      </c>
      <c r="E107" s="6" t="s">
        <v>13</v>
      </c>
      <c r="F107" s="6" t="s">
        <v>13</v>
      </c>
      <c r="G107" s="6" t="s">
        <v>13</v>
      </c>
      <c r="H107" s="6" t="s">
        <v>9</v>
      </c>
      <c r="I107" s="21" t="s">
        <v>12</v>
      </c>
      <c r="J107" t="str">
        <f>VLOOKUP(A107,All!A:A,1,FALSE)</f>
        <v>Champaign (Centennial)</v>
      </c>
    </row>
    <row r="108" spans="1:10" ht="15.75" thickBot="1" x14ac:dyDescent="0.3">
      <c r="A108" s="18" t="s">
        <v>125</v>
      </c>
      <c r="B108" s="8">
        <v>1598</v>
      </c>
      <c r="C108" s="4" t="s">
        <v>12</v>
      </c>
      <c r="D108" s="4" t="s">
        <v>12</v>
      </c>
      <c r="E108" s="4" t="s">
        <v>12</v>
      </c>
      <c r="F108" s="4" t="s">
        <v>13</v>
      </c>
      <c r="G108" s="4" t="s">
        <v>13</v>
      </c>
      <c r="H108" s="4" t="s">
        <v>13</v>
      </c>
      <c r="I108" s="19" t="s">
        <v>12</v>
      </c>
      <c r="J108" t="str">
        <f>VLOOKUP(A108,All!A:A,1,FALSE)</f>
        <v>Champaign (Central)</v>
      </c>
    </row>
    <row r="109" spans="1:10" ht="15.75" thickBot="1" x14ac:dyDescent="0.3">
      <c r="A109" s="20" t="s">
        <v>126</v>
      </c>
      <c r="B109" s="7" t="s">
        <v>127</v>
      </c>
      <c r="C109" s="6"/>
      <c r="D109" s="6"/>
      <c r="E109" s="6"/>
      <c r="F109" s="6"/>
      <c r="G109" s="10" t="s">
        <v>9</v>
      </c>
      <c r="H109" s="6"/>
      <c r="I109" s="23" t="s">
        <v>9</v>
      </c>
      <c r="J109" t="str">
        <f>VLOOKUP(A109,All!A:A,1,FALSE)</f>
        <v>Champaign (Judah Christian)</v>
      </c>
    </row>
    <row r="110" spans="1:10" ht="15.75" thickBot="1" x14ac:dyDescent="0.3">
      <c r="A110" s="18" t="s">
        <v>128</v>
      </c>
      <c r="B110" s="3" t="s">
        <v>129</v>
      </c>
      <c r="C110" s="10" t="s">
        <v>9</v>
      </c>
      <c r="D110" s="10" t="s">
        <v>9</v>
      </c>
      <c r="E110" s="10" t="s">
        <v>9</v>
      </c>
      <c r="F110" s="10" t="s">
        <v>9</v>
      </c>
      <c r="G110" s="10" t="s">
        <v>9</v>
      </c>
      <c r="H110" s="10" t="s">
        <v>9</v>
      </c>
      <c r="I110" s="23" t="s">
        <v>13</v>
      </c>
      <c r="J110" t="str">
        <f>VLOOKUP(A110,All!A:A,1,FALSE)</f>
        <v>Champaign (St. Thomas More)</v>
      </c>
    </row>
    <row r="111" spans="1:10" ht="15.75" thickBot="1" x14ac:dyDescent="0.3">
      <c r="A111" s="20" t="s">
        <v>130</v>
      </c>
      <c r="B111" s="7">
        <v>761</v>
      </c>
      <c r="C111" s="6" t="s">
        <v>13</v>
      </c>
      <c r="D111" s="6" t="s">
        <v>13</v>
      </c>
      <c r="E111" s="6" t="s">
        <v>13</v>
      </c>
      <c r="F111" s="6" t="s">
        <v>9</v>
      </c>
      <c r="G111" s="6" t="s">
        <v>13</v>
      </c>
      <c r="H111" s="6" t="s">
        <v>9</v>
      </c>
      <c r="I111" s="21" t="s">
        <v>12</v>
      </c>
      <c r="J111" t="str">
        <f>VLOOKUP(A111,All!A:A,1,FALSE)</f>
        <v>Charleston</v>
      </c>
    </row>
    <row r="112" spans="1:10" ht="15.75" thickBot="1" x14ac:dyDescent="0.3">
      <c r="A112" s="18" t="s">
        <v>131</v>
      </c>
      <c r="B112" s="8">
        <v>1435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9</v>
      </c>
      <c r="I112" s="19" t="s">
        <v>12</v>
      </c>
      <c r="J112" t="str">
        <f>VLOOKUP(A112,All!A:A,1,FALSE)</f>
        <v>Chatham (Glenwood)</v>
      </c>
    </row>
    <row r="113" spans="1:10" ht="15.75" thickBot="1" x14ac:dyDescent="0.3">
      <c r="A113" s="20" t="s">
        <v>132</v>
      </c>
      <c r="B113" s="7">
        <v>319</v>
      </c>
      <c r="C113" s="6" t="s">
        <v>9</v>
      </c>
      <c r="D113" s="6" t="s">
        <v>9</v>
      </c>
      <c r="E113" s="6" t="s">
        <v>9</v>
      </c>
      <c r="F113" s="6" t="s">
        <v>9</v>
      </c>
      <c r="G113" s="6"/>
      <c r="H113" s="6"/>
      <c r="I113" s="21" t="s">
        <v>13</v>
      </c>
      <c r="J113" t="str">
        <f>VLOOKUP(A113,All!A:A,1,FALSE)</f>
        <v>Chester</v>
      </c>
    </row>
    <row r="114" spans="1:10" ht="15.75" thickBot="1" x14ac:dyDescent="0.3">
      <c r="A114" s="18" t="s">
        <v>133</v>
      </c>
      <c r="B114" s="3" t="s">
        <v>134</v>
      </c>
      <c r="C114" s="10" t="s">
        <v>13</v>
      </c>
      <c r="D114" s="10" t="s">
        <v>13</v>
      </c>
      <c r="E114" s="4"/>
      <c r="F114" s="4"/>
      <c r="G114" s="10" t="s">
        <v>13</v>
      </c>
      <c r="H114" s="4"/>
      <c r="I114" s="23" t="s">
        <v>12</v>
      </c>
      <c r="J114" t="str">
        <f>VLOOKUP(A114,All!A:A,1,FALSE)</f>
        <v>Chicago (Acero/Garcia)</v>
      </c>
    </row>
    <row r="115" spans="1:10" ht="15.75" thickBot="1" x14ac:dyDescent="0.3">
      <c r="A115" s="20" t="s">
        <v>135</v>
      </c>
      <c r="B115" s="7" t="s">
        <v>136</v>
      </c>
      <c r="C115" s="11" t="s">
        <v>9</v>
      </c>
      <c r="D115" s="11" t="s">
        <v>9</v>
      </c>
      <c r="E115" s="6"/>
      <c r="F115" s="6"/>
      <c r="G115" s="10" t="s">
        <v>13</v>
      </c>
      <c r="H115" s="6"/>
      <c r="I115" s="24" t="s">
        <v>13</v>
      </c>
      <c r="J115" t="str">
        <f>VLOOKUP(A115,All!A:A,1,FALSE)</f>
        <v>Chicago (Acero/Soto)</v>
      </c>
    </row>
    <row r="116" spans="1:10" ht="15.75" thickBot="1" x14ac:dyDescent="0.3">
      <c r="A116" s="18" t="s">
        <v>137</v>
      </c>
      <c r="B116" s="3" t="s">
        <v>138</v>
      </c>
      <c r="C116" s="10" t="s">
        <v>13</v>
      </c>
      <c r="D116" s="10" t="s">
        <v>13</v>
      </c>
      <c r="E116" s="10" t="s">
        <v>13</v>
      </c>
      <c r="F116" s="4"/>
      <c r="G116" s="10" t="s">
        <v>13</v>
      </c>
      <c r="H116" s="4"/>
      <c r="I116" s="23" t="s">
        <v>12</v>
      </c>
      <c r="J116" t="str">
        <f>VLOOKUP(A116,All!A:A,1,FALSE)</f>
        <v>Chicago (Agricultural Science)</v>
      </c>
    </row>
    <row r="117" spans="1:10" ht="15.75" thickBot="1" x14ac:dyDescent="0.3">
      <c r="A117" s="20" t="s">
        <v>139</v>
      </c>
      <c r="B117" s="7" t="s">
        <v>140</v>
      </c>
      <c r="C117" s="6"/>
      <c r="D117" s="6"/>
      <c r="E117" s="6"/>
      <c r="F117" s="6"/>
      <c r="G117" s="10" t="s">
        <v>9</v>
      </c>
      <c r="H117" s="6"/>
      <c r="I117" s="23" t="s">
        <v>9</v>
      </c>
      <c r="J117" t="str">
        <f>VLOOKUP(A117,All!A:A,1,FALSE)</f>
        <v>Chicago (Air Force Academy)</v>
      </c>
    </row>
    <row r="118" spans="1:10" ht="15.75" thickBot="1" x14ac:dyDescent="0.3">
      <c r="A118" s="18" t="s">
        <v>981</v>
      </c>
      <c r="B118" s="3" t="s">
        <v>982</v>
      </c>
      <c r="C118" s="4"/>
      <c r="D118" s="4"/>
      <c r="E118" s="4"/>
      <c r="F118" s="4"/>
      <c r="G118" s="4"/>
      <c r="H118" s="4"/>
      <c r="I118" s="22" t="s">
        <v>13</v>
      </c>
      <c r="J118" t="str">
        <f>VLOOKUP(A118,All!A:A,1,FALSE)</f>
        <v>Chicago (Alcott)</v>
      </c>
    </row>
    <row r="119" spans="1:10" ht="15.75" thickBot="1" x14ac:dyDescent="0.3">
      <c r="A119" s="20" t="s">
        <v>141</v>
      </c>
      <c r="B119" s="5">
        <v>1420</v>
      </c>
      <c r="C119" s="6" t="s">
        <v>13</v>
      </c>
      <c r="D119" s="6" t="s">
        <v>13</v>
      </c>
      <c r="E119" s="6" t="s">
        <v>13</v>
      </c>
      <c r="F119" s="6"/>
      <c r="G119" s="6" t="s">
        <v>13</v>
      </c>
      <c r="H119" s="6"/>
      <c r="I119" s="21" t="s">
        <v>12</v>
      </c>
      <c r="J119" t="str">
        <f>VLOOKUP(A119,All!A:A,1,FALSE)</f>
        <v>Chicago (Amundsen)</v>
      </c>
    </row>
    <row r="120" spans="1:10" ht="15.75" thickBot="1" x14ac:dyDescent="0.3">
      <c r="A120" s="18" t="s">
        <v>983</v>
      </c>
      <c r="B120" s="3" t="s">
        <v>155</v>
      </c>
      <c r="C120" s="10" t="s">
        <v>13</v>
      </c>
      <c r="D120" s="10" t="s">
        <v>13</v>
      </c>
      <c r="E120" s="4"/>
      <c r="F120" s="4"/>
      <c r="G120" s="10" t="s">
        <v>9</v>
      </c>
      <c r="H120" s="4"/>
      <c r="I120" s="22" t="s">
        <v>12</v>
      </c>
      <c r="J120" t="str">
        <f>VLOOKUP(A120,All!A:A,1,FALSE)</f>
        <v>Chicago (ASPIRA/Business and Finance)</v>
      </c>
    </row>
    <row r="121" spans="1:10" ht="15.75" thickBot="1" x14ac:dyDescent="0.3">
      <c r="A121" s="20" t="s">
        <v>143</v>
      </c>
      <c r="B121" s="7" t="s">
        <v>144</v>
      </c>
      <c r="C121" s="10" t="s">
        <v>12</v>
      </c>
      <c r="D121" s="10" t="s">
        <v>12</v>
      </c>
      <c r="E121" s="6"/>
      <c r="F121" s="6"/>
      <c r="G121" s="10" t="s">
        <v>13</v>
      </c>
      <c r="H121" s="6"/>
      <c r="I121" s="24" t="s">
        <v>12</v>
      </c>
      <c r="J121" t="str">
        <f>VLOOKUP(A121,All!A:A,1,FALSE)</f>
        <v>Chicago (Back of the Yards)</v>
      </c>
    </row>
    <row r="122" spans="1:10" ht="15.75" thickBot="1" x14ac:dyDescent="0.3">
      <c r="A122" s="18" t="s">
        <v>145</v>
      </c>
      <c r="B122" s="3">
        <v>599</v>
      </c>
      <c r="C122" s="4"/>
      <c r="D122" s="4"/>
      <c r="E122" s="4"/>
      <c r="F122" s="4"/>
      <c r="G122" s="4" t="s">
        <v>9</v>
      </c>
      <c r="H122" s="4"/>
      <c r="I122" s="19" t="s">
        <v>13</v>
      </c>
      <c r="J122" t="str">
        <f>VLOOKUP(A122,All!A:A,1,FALSE)</f>
        <v>Chicago (Bogan)</v>
      </c>
    </row>
    <row r="123" spans="1:10" ht="15.75" thickBot="1" x14ac:dyDescent="0.3">
      <c r="A123" s="20" t="s">
        <v>146</v>
      </c>
      <c r="B123" s="7" t="s">
        <v>147</v>
      </c>
      <c r="C123" s="6"/>
      <c r="D123" s="6"/>
      <c r="E123" s="6"/>
      <c r="F123" s="6"/>
      <c r="G123" s="10" t="s">
        <v>13</v>
      </c>
      <c r="H123" s="10" t="s">
        <v>9</v>
      </c>
      <c r="I123" s="23" t="s">
        <v>12</v>
      </c>
      <c r="J123" t="str">
        <f>VLOOKUP(A123,All!A:A,1,FALSE)</f>
        <v>Chicago (Brooks)</v>
      </c>
    </row>
    <row r="124" spans="1:10" ht="15.75" thickBot="1" x14ac:dyDescent="0.3">
      <c r="A124" s="18" t="s">
        <v>148</v>
      </c>
      <c r="B124" s="3" t="s">
        <v>149</v>
      </c>
      <c r="C124" s="10" t="s">
        <v>12</v>
      </c>
      <c r="D124" s="4"/>
      <c r="E124" s="10" t="s">
        <v>12</v>
      </c>
      <c r="F124" s="4"/>
      <c r="G124" s="10" t="s">
        <v>12</v>
      </c>
      <c r="H124" s="4"/>
      <c r="I124" s="19"/>
      <c r="J124" t="str">
        <f>VLOOKUP(A124,All!A:A,1,FALSE)</f>
        <v>Chicago (Brother Rice)</v>
      </c>
    </row>
    <row r="125" spans="1:10" ht="15.75" thickBot="1" x14ac:dyDescent="0.3">
      <c r="A125" s="20" t="s">
        <v>150</v>
      </c>
      <c r="B125" s="7" t="s">
        <v>151</v>
      </c>
      <c r="C125" s="11" t="s">
        <v>9</v>
      </c>
      <c r="D125" s="11" t="s">
        <v>9</v>
      </c>
      <c r="E125" s="6"/>
      <c r="F125" s="6"/>
      <c r="G125" s="11" t="s">
        <v>9</v>
      </c>
      <c r="H125" s="6"/>
      <c r="I125" s="24" t="s">
        <v>13</v>
      </c>
      <c r="J125" t="str">
        <f>VLOOKUP(A125,All!A:A,1,FALSE)</f>
        <v>Chicago (C. Academy)</v>
      </c>
    </row>
    <row r="126" spans="1:10" ht="15.75" thickBot="1" x14ac:dyDescent="0.3">
      <c r="A126" s="18" t="s">
        <v>152</v>
      </c>
      <c r="B126" s="3" t="s">
        <v>153</v>
      </c>
      <c r="C126" s="10" t="s">
        <v>9</v>
      </c>
      <c r="D126" s="10" t="s">
        <v>9</v>
      </c>
      <c r="E126" s="4"/>
      <c r="F126" s="4"/>
      <c r="G126" s="10" t="s">
        <v>9</v>
      </c>
      <c r="H126" s="4"/>
      <c r="I126" s="24" t="s">
        <v>9</v>
      </c>
      <c r="J126" t="str">
        <f>VLOOKUP(A126,All!A:A,1,FALSE)</f>
        <v>Chicago (C. Hope Academy)</v>
      </c>
    </row>
    <row r="127" spans="1:10" ht="15.75" thickBot="1" x14ac:dyDescent="0.3">
      <c r="A127" s="20" t="s">
        <v>154</v>
      </c>
      <c r="B127" s="7" t="s">
        <v>155</v>
      </c>
      <c r="C127" s="6"/>
      <c r="D127" s="6"/>
      <c r="E127" s="6"/>
      <c r="F127" s="6"/>
      <c r="G127" s="10" t="s">
        <v>9</v>
      </c>
      <c r="H127" s="6"/>
      <c r="I127" s="23" t="s">
        <v>13</v>
      </c>
      <c r="J127" t="str">
        <f>VLOOKUP(A127,All!A:A,1,FALSE)</f>
        <v>Chicago (C. Math and Science Charter)</v>
      </c>
    </row>
    <row r="128" spans="1:10" ht="15.75" thickBot="1" x14ac:dyDescent="0.3">
      <c r="A128" s="18" t="s">
        <v>156</v>
      </c>
      <c r="B128" s="3" t="s">
        <v>157</v>
      </c>
      <c r="C128" s="4"/>
      <c r="D128" s="4"/>
      <c r="E128" s="4"/>
      <c r="F128" s="4"/>
      <c r="G128" s="4"/>
      <c r="H128" s="4"/>
      <c r="I128" s="23" t="s">
        <v>13</v>
      </c>
      <c r="J128" t="str">
        <f>VLOOKUP(A128,All!A:A,1,FALSE)</f>
        <v>Chicago (C. Military Academy-Bronzeville)</v>
      </c>
    </row>
    <row r="129" spans="1:10" ht="15.75" thickBot="1" x14ac:dyDescent="0.3">
      <c r="A129" s="20" t="s">
        <v>162</v>
      </c>
      <c r="B129" s="7" t="s">
        <v>163</v>
      </c>
      <c r="C129" s="10" t="s">
        <v>13</v>
      </c>
      <c r="D129" s="11" t="s">
        <v>9</v>
      </c>
      <c r="E129" s="6"/>
      <c r="F129" s="6"/>
      <c r="G129" s="10" t="s">
        <v>9</v>
      </c>
      <c r="H129" s="6"/>
      <c r="I129" s="21"/>
      <c r="J129" t="str">
        <f>VLOOKUP(A129,All!A:A,1,FALSE)</f>
        <v>Chicago (Carver Military Academy)</v>
      </c>
    </row>
    <row r="130" spans="1:10" ht="15.75" thickBot="1" x14ac:dyDescent="0.3">
      <c r="A130" s="18" t="s">
        <v>164</v>
      </c>
      <c r="B130" s="3" t="s">
        <v>136</v>
      </c>
      <c r="C130" s="4"/>
      <c r="D130" s="4"/>
      <c r="E130" s="4"/>
      <c r="F130" s="4"/>
      <c r="G130" s="11" t="s">
        <v>9</v>
      </c>
      <c r="H130" s="4"/>
      <c r="I130" s="24" t="s">
        <v>13</v>
      </c>
      <c r="J130" t="str">
        <f>VLOOKUP(A130,All!A:A,1,FALSE)</f>
        <v>Chicago (Catalyst/Maria)</v>
      </c>
    </row>
    <row r="131" spans="1:10" ht="15.75" thickBot="1" x14ac:dyDescent="0.3">
      <c r="A131" s="25" t="s">
        <v>0</v>
      </c>
      <c r="B131" s="1" t="s">
        <v>1</v>
      </c>
      <c r="C131" s="2" t="s">
        <v>971</v>
      </c>
      <c r="D131" s="2" t="s">
        <v>972</v>
      </c>
      <c r="E131" s="2" t="s">
        <v>973</v>
      </c>
      <c r="F131" s="2" t="s">
        <v>974</v>
      </c>
      <c r="G131" s="2" t="s">
        <v>975</v>
      </c>
      <c r="H131" s="2" t="s">
        <v>976</v>
      </c>
      <c r="I131" s="26" t="s">
        <v>977</v>
      </c>
      <c r="J131" t="str">
        <f>VLOOKUP(A131,All!A:A,1,FALSE)</f>
        <v>School</v>
      </c>
    </row>
    <row r="132" spans="1:10" ht="15.75" thickBot="1" x14ac:dyDescent="0.3">
      <c r="A132" s="20" t="s">
        <v>165</v>
      </c>
      <c r="B132" s="7" t="s">
        <v>166</v>
      </c>
      <c r="C132" s="6"/>
      <c r="D132" s="6"/>
      <c r="E132" s="6"/>
      <c r="F132" s="6"/>
      <c r="G132" s="6"/>
      <c r="H132" s="6"/>
      <c r="I132" s="23" t="s">
        <v>13</v>
      </c>
      <c r="J132" t="str">
        <f>VLOOKUP(A132,All!A:A,1,FALSE)</f>
        <v>Chicago (Christ the King)</v>
      </c>
    </row>
    <row r="133" spans="1:10" ht="15.75" thickBot="1" x14ac:dyDescent="0.3">
      <c r="A133" s="18" t="s">
        <v>915</v>
      </c>
      <c r="B133" s="3" t="s">
        <v>916</v>
      </c>
      <c r="C133" s="4"/>
      <c r="D133" s="4"/>
      <c r="E133" s="4"/>
      <c r="F133" s="4"/>
      <c r="G133" s="4"/>
      <c r="H133" s="4"/>
      <c r="I133" s="24" t="s">
        <v>9</v>
      </c>
      <c r="J133" t="str">
        <f>VLOOKUP(A133,All!A:A,1,FALSE)</f>
        <v>Chicago (CICS/Ellison)</v>
      </c>
    </row>
    <row r="134" spans="1:10" ht="15.75" thickBot="1" x14ac:dyDescent="0.3">
      <c r="A134" s="20" t="s">
        <v>167</v>
      </c>
      <c r="B134" s="7" t="s">
        <v>168</v>
      </c>
      <c r="C134" s="6"/>
      <c r="D134" s="6"/>
      <c r="E134" s="6"/>
      <c r="F134" s="6"/>
      <c r="G134" s="6"/>
      <c r="H134" s="6"/>
      <c r="I134" s="23" t="s">
        <v>12</v>
      </c>
      <c r="J134" t="str">
        <f>VLOOKUP(A134,All!A:A,1,FALSE)</f>
        <v>Chicago (CICS/Longwood)</v>
      </c>
    </row>
    <row r="135" spans="1:10" ht="15.75" thickBot="1" x14ac:dyDescent="0.3">
      <c r="A135" s="18" t="s">
        <v>169</v>
      </c>
      <c r="B135" s="3" t="s">
        <v>42</v>
      </c>
      <c r="C135" s="4"/>
      <c r="D135" s="4"/>
      <c r="E135" s="4"/>
      <c r="F135" s="4"/>
      <c r="G135" s="10" t="s">
        <v>13</v>
      </c>
      <c r="H135" s="4"/>
      <c r="I135" s="23" t="s">
        <v>12</v>
      </c>
      <c r="J135" t="str">
        <f>VLOOKUP(A135,All!A:A,1,FALSE)</f>
        <v>Chicago (CICS/Northtown)</v>
      </c>
    </row>
    <row r="136" spans="1:10" ht="15.75" thickBot="1" x14ac:dyDescent="0.3">
      <c r="A136" s="20" t="s">
        <v>172</v>
      </c>
      <c r="B136" s="7">
        <v>671</v>
      </c>
      <c r="C136" s="6"/>
      <c r="D136" s="6"/>
      <c r="E136" s="6"/>
      <c r="F136" s="6"/>
      <c r="G136" s="6" t="s">
        <v>9</v>
      </c>
      <c r="H136" s="6"/>
      <c r="I136" s="21" t="s">
        <v>13</v>
      </c>
      <c r="J136" t="str">
        <f>VLOOKUP(A136,All!A:A,1,FALSE)</f>
        <v>Chicago (Clemente)</v>
      </c>
    </row>
    <row r="137" spans="1:10" ht="15.75" thickBot="1" x14ac:dyDescent="0.3">
      <c r="A137" s="18" t="s">
        <v>173</v>
      </c>
      <c r="B137" s="3" t="s">
        <v>174</v>
      </c>
      <c r="C137" s="4"/>
      <c r="D137" s="4"/>
      <c r="E137" s="4"/>
      <c r="F137" s="4"/>
      <c r="G137" s="4"/>
      <c r="H137" s="4"/>
      <c r="I137" s="24" t="s">
        <v>9</v>
      </c>
      <c r="J137" t="str">
        <f>VLOOKUP(A137,All!A:A,1,FALSE)</f>
        <v>Chicago (Collins Academy)</v>
      </c>
    </row>
    <row r="138" spans="1:10" ht="15.75" thickBot="1" x14ac:dyDescent="0.3">
      <c r="A138" s="20" t="s">
        <v>175</v>
      </c>
      <c r="B138" s="7">
        <v>365</v>
      </c>
      <c r="C138" s="6"/>
      <c r="D138" s="6"/>
      <c r="E138" s="6"/>
      <c r="F138" s="6"/>
      <c r="G138" s="6"/>
      <c r="H138" s="6"/>
      <c r="I138" s="21" t="s">
        <v>13</v>
      </c>
      <c r="J138" t="str">
        <f>VLOOKUP(A138,All!A:A,1,FALSE)</f>
        <v>Chicago (Corliss)</v>
      </c>
    </row>
    <row r="139" spans="1:10" ht="15.75" thickBot="1" x14ac:dyDescent="0.3">
      <c r="A139" s="18" t="s">
        <v>176</v>
      </c>
      <c r="B139" s="3" t="s">
        <v>177</v>
      </c>
      <c r="C139" s="4"/>
      <c r="D139" s="4"/>
      <c r="E139" s="4"/>
      <c r="F139" s="4"/>
      <c r="G139" s="4"/>
      <c r="H139" s="4"/>
      <c r="I139" s="24" t="s">
        <v>9</v>
      </c>
      <c r="J139" t="str">
        <f>VLOOKUP(A139,All!A:A,1,FALSE)</f>
        <v>Chicago (Crane Medical Prep)</v>
      </c>
    </row>
    <row r="140" spans="1:10" ht="15.75" thickBot="1" x14ac:dyDescent="0.3">
      <c r="A140" s="20" t="s">
        <v>178</v>
      </c>
      <c r="B140" s="7" t="s">
        <v>179</v>
      </c>
      <c r="C140" s="11" t="s">
        <v>9</v>
      </c>
      <c r="D140" s="11" t="s">
        <v>9</v>
      </c>
      <c r="E140" s="6"/>
      <c r="F140" s="6"/>
      <c r="G140" s="10" t="s">
        <v>13</v>
      </c>
      <c r="H140" s="6"/>
      <c r="I140" s="23" t="s">
        <v>12</v>
      </c>
      <c r="J140" t="str">
        <f>VLOOKUP(A140,All!A:A,1,FALSE)</f>
        <v>Chicago (Cristo Rey Jesuit)</v>
      </c>
    </row>
    <row r="141" spans="1:10" ht="15.75" thickBot="1" x14ac:dyDescent="0.3">
      <c r="A141" s="18" t="s">
        <v>180</v>
      </c>
      <c r="B141" s="3" t="s">
        <v>181</v>
      </c>
      <c r="C141" s="4"/>
      <c r="D141" s="4"/>
      <c r="E141" s="4"/>
      <c r="F141" s="4"/>
      <c r="G141" s="10" t="s">
        <v>12</v>
      </c>
      <c r="H141" s="4"/>
      <c r="I141" s="23" t="s">
        <v>11</v>
      </c>
      <c r="J141" t="str">
        <f>VLOOKUP(A141,All!A:A,1,FALSE)</f>
        <v>Chicago (Curie)</v>
      </c>
    </row>
    <row r="142" spans="1:10" ht="15.75" thickBot="1" x14ac:dyDescent="0.3">
      <c r="A142" s="20" t="s">
        <v>917</v>
      </c>
      <c r="B142" s="7" t="s">
        <v>918</v>
      </c>
      <c r="C142" s="6"/>
      <c r="D142" s="6"/>
      <c r="E142" s="6"/>
      <c r="F142" s="6"/>
      <c r="G142" s="6" t="s">
        <v>9</v>
      </c>
      <c r="H142" s="6"/>
      <c r="I142" s="21"/>
      <c r="J142" t="str">
        <f>VLOOKUP(A142,All!A:A,1,FALSE)</f>
        <v>Chicago (Daystar Academy)</v>
      </c>
    </row>
    <row r="143" spans="1:10" ht="15.75" thickBot="1" x14ac:dyDescent="0.3">
      <c r="A143" s="18" t="s">
        <v>182</v>
      </c>
      <c r="B143" s="3" t="s">
        <v>183</v>
      </c>
      <c r="C143" s="10" t="s">
        <v>13</v>
      </c>
      <c r="D143" s="10" t="s">
        <v>13</v>
      </c>
      <c r="E143" s="10" t="s">
        <v>13</v>
      </c>
      <c r="F143" s="11" t="s">
        <v>9</v>
      </c>
      <c r="G143" s="10" t="s">
        <v>13</v>
      </c>
      <c r="H143" s="10" t="s">
        <v>9</v>
      </c>
      <c r="I143" s="23" t="s">
        <v>12</v>
      </c>
      <c r="J143" t="str">
        <f>VLOOKUP(A143,All!A:A,1,FALSE)</f>
        <v>Chicago (De La Salle)</v>
      </c>
    </row>
    <row r="144" spans="1:10" ht="15.75" thickBot="1" x14ac:dyDescent="0.3">
      <c r="A144" s="20" t="s">
        <v>184</v>
      </c>
      <c r="B144" s="7" t="s">
        <v>185</v>
      </c>
      <c r="C144" s="10" t="s">
        <v>12</v>
      </c>
      <c r="D144" s="12" t="s">
        <v>12</v>
      </c>
      <c r="E144" s="11" t="s">
        <v>13</v>
      </c>
      <c r="F144" s="10" t="s">
        <v>13</v>
      </c>
      <c r="G144" s="10" t="s">
        <v>12</v>
      </c>
      <c r="H144" s="10" t="s">
        <v>13</v>
      </c>
      <c r="I144" s="23" t="s">
        <v>11</v>
      </c>
      <c r="J144" t="str">
        <f>VLOOKUP(A144,All!A:A,1,FALSE)</f>
        <v>Chicago (DePaul College Prep)</v>
      </c>
    </row>
    <row r="145" spans="1:10" ht="15.75" thickBot="1" x14ac:dyDescent="0.3">
      <c r="A145" s="18" t="s">
        <v>186</v>
      </c>
      <c r="B145" s="3" t="s">
        <v>187</v>
      </c>
      <c r="C145" s="4"/>
      <c r="D145" s="4"/>
      <c r="E145" s="4"/>
      <c r="F145" s="4"/>
      <c r="G145" s="10" t="s">
        <v>13</v>
      </c>
      <c r="H145" s="4"/>
      <c r="I145" s="23" t="s">
        <v>12</v>
      </c>
      <c r="J145" t="str">
        <f>VLOOKUP(A145,All!A:A,1,FALSE)</f>
        <v>Chicago (Disney II)</v>
      </c>
    </row>
    <row r="146" spans="1:10" ht="15.75" thickBot="1" x14ac:dyDescent="0.3">
      <c r="A146" s="20" t="s">
        <v>189</v>
      </c>
      <c r="B146" s="7">
        <v>508</v>
      </c>
      <c r="C146" s="6"/>
      <c r="D146" s="6"/>
      <c r="E146" s="6"/>
      <c r="F146" s="6"/>
      <c r="G146" s="6"/>
      <c r="H146" s="6"/>
      <c r="I146" s="21" t="s">
        <v>13</v>
      </c>
      <c r="J146" t="str">
        <f>VLOOKUP(A146,All!A:A,1,FALSE)</f>
        <v>Chicago (Dyett)</v>
      </c>
    </row>
    <row r="147" spans="1:10" ht="15.75" thickBot="1" x14ac:dyDescent="0.3">
      <c r="A147" s="18" t="s">
        <v>190</v>
      </c>
      <c r="B147" s="3">
        <v>625</v>
      </c>
      <c r="C147" s="4"/>
      <c r="D147" s="4"/>
      <c r="E147" s="4"/>
      <c r="F147" s="4"/>
      <c r="G147" s="4"/>
      <c r="H147" s="4"/>
      <c r="I147" s="19" t="s">
        <v>13</v>
      </c>
      <c r="J147" t="str">
        <f>VLOOKUP(A147,All!A:A,1,FALSE)</f>
        <v>Chicago (Englewood STEM)</v>
      </c>
    </row>
    <row r="148" spans="1:10" ht="15.75" thickBot="1" x14ac:dyDescent="0.3">
      <c r="A148" s="20" t="s">
        <v>193</v>
      </c>
      <c r="B148" s="7" t="s">
        <v>194</v>
      </c>
      <c r="C148" s="10" t="s">
        <v>9</v>
      </c>
      <c r="D148" s="10" t="s">
        <v>9</v>
      </c>
      <c r="E148" s="10" t="s">
        <v>13</v>
      </c>
      <c r="F148" s="10" t="s">
        <v>9</v>
      </c>
      <c r="G148" s="10" t="s">
        <v>9</v>
      </c>
      <c r="H148" s="10" t="s">
        <v>9</v>
      </c>
      <c r="I148" s="23" t="s">
        <v>13</v>
      </c>
      <c r="J148" t="str">
        <f>VLOOKUP(A148,All!A:A,1,FALSE)</f>
        <v>Chicago (F.W. Parker)</v>
      </c>
    </row>
    <row r="149" spans="1:10" ht="15.75" thickBot="1" x14ac:dyDescent="0.3">
      <c r="A149" s="18" t="s">
        <v>197</v>
      </c>
      <c r="B149" s="3">
        <v>568</v>
      </c>
      <c r="C149" s="4"/>
      <c r="D149" s="4"/>
      <c r="E149" s="4"/>
      <c r="F149" s="4"/>
      <c r="G149" s="4" t="s">
        <v>9</v>
      </c>
      <c r="H149" s="4"/>
      <c r="I149" s="19" t="s">
        <v>13</v>
      </c>
      <c r="J149" t="str">
        <f>VLOOKUP(A149,All!A:A,1,FALSE)</f>
        <v>Chicago (Foreman)</v>
      </c>
    </row>
    <row r="150" spans="1:10" ht="15.75" thickBot="1" x14ac:dyDescent="0.3">
      <c r="A150" s="20" t="s">
        <v>199</v>
      </c>
      <c r="B150" s="7" t="s">
        <v>200</v>
      </c>
      <c r="C150" s="6" t="s">
        <v>13</v>
      </c>
      <c r="D150" s="6" t="s">
        <v>13</v>
      </c>
      <c r="E150" s="6"/>
      <c r="F150" s="6"/>
      <c r="G150" s="10" t="s">
        <v>13</v>
      </c>
      <c r="H150" s="6"/>
      <c r="I150" s="21"/>
      <c r="J150" t="str">
        <f>VLOOKUP(A150,All!A:A,1,FALSE)</f>
        <v>Chicago (Goode STEM Academy)</v>
      </c>
    </row>
    <row r="151" spans="1:10" ht="15.75" thickBot="1" x14ac:dyDescent="0.3">
      <c r="A151" s="18" t="s">
        <v>201</v>
      </c>
      <c r="B151" s="3" t="s">
        <v>202</v>
      </c>
      <c r="C151" s="10" t="s">
        <v>12</v>
      </c>
      <c r="D151" s="10" t="s">
        <v>12</v>
      </c>
      <c r="E151" s="4"/>
      <c r="F151" s="4"/>
      <c r="G151" s="10" t="s">
        <v>12</v>
      </c>
      <c r="H151" s="4"/>
      <c r="I151" s="23" t="s">
        <v>11</v>
      </c>
      <c r="J151" t="str">
        <f>VLOOKUP(A151,All!A:A,1,FALSE)</f>
        <v>Chicago (Hancock)</v>
      </c>
    </row>
    <row r="152" spans="1:10" ht="15.75" thickBot="1" x14ac:dyDescent="0.3">
      <c r="A152" s="20" t="s">
        <v>926</v>
      </c>
      <c r="B152" s="7">
        <v>161</v>
      </c>
      <c r="C152" s="6" t="s">
        <v>9</v>
      </c>
      <c r="D152" s="6"/>
      <c r="E152" s="6"/>
      <c r="F152" s="6"/>
      <c r="G152" s="6"/>
      <c r="H152" s="6"/>
      <c r="I152" s="21" t="s">
        <v>9</v>
      </c>
      <c r="J152" t="str">
        <f>VLOOKUP(A152,All!A:A,1,FALSE)</f>
        <v>Chicago (Harlan)</v>
      </c>
    </row>
    <row r="153" spans="1:10" ht="15.75" thickBot="1" x14ac:dyDescent="0.3">
      <c r="A153" s="18" t="s">
        <v>203</v>
      </c>
      <c r="B153" s="3" t="s">
        <v>204</v>
      </c>
      <c r="C153" s="10" t="s">
        <v>9</v>
      </c>
      <c r="D153" s="10" t="s">
        <v>9</v>
      </c>
      <c r="E153" s="4"/>
      <c r="F153" s="4"/>
      <c r="G153" s="10" t="s">
        <v>9</v>
      </c>
      <c r="H153" s="4"/>
      <c r="I153" s="23" t="s">
        <v>13</v>
      </c>
      <c r="J153" t="str">
        <f>VLOOKUP(A153,All!A:A,1,FALSE)</f>
        <v>Chicago (Holy Trinity)</v>
      </c>
    </row>
    <row r="154" spans="1:10" ht="15.75" thickBot="1" x14ac:dyDescent="0.3">
      <c r="A154" s="20" t="s">
        <v>205</v>
      </c>
      <c r="B154" s="7" t="s">
        <v>174</v>
      </c>
      <c r="C154" s="6" t="s">
        <v>9</v>
      </c>
      <c r="D154" s="6" t="s">
        <v>9</v>
      </c>
      <c r="E154" s="6"/>
      <c r="F154" s="6"/>
      <c r="G154" s="6"/>
      <c r="H154" s="6"/>
      <c r="I154" s="21"/>
      <c r="J154" t="str">
        <f>VLOOKUP(A154,All!A:A,1,FALSE)</f>
        <v>Chicago (Horizon/Belmont)</v>
      </c>
    </row>
    <row r="155" spans="1:10" ht="15.75" thickBot="1" x14ac:dyDescent="0.3">
      <c r="A155" s="18" t="s">
        <v>206</v>
      </c>
      <c r="B155" s="3" t="s">
        <v>207</v>
      </c>
      <c r="C155" s="10" t="s">
        <v>9</v>
      </c>
      <c r="D155" s="10" t="s">
        <v>9</v>
      </c>
      <c r="E155" s="4"/>
      <c r="F155" s="4"/>
      <c r="G155" s="10" t="s">
        <v>9</v>
      </c>
      <c r="H155" s="4"/>
      <c r="I155" s="24" t="s">
        <v>9</v>
      </c>
      <c r="J155" t="str">
        <f>VLOOKUP(A155,All!A:A,1,FALSE)</f>
        <v>Chicago (Horizon/McKinley)</v>
      </c>
    </row>
    <row r="156" spans="1:10" ht="15.75" thickBot="1" x14ac:dyDescent="0.3">
      <c r="A156" s="20" t="s">
        <v>208</v>
      </c>
      <c r="B156" s="7" t="s">
        <v>209</v>
      </c>
      <c r="C156" s="6"/>
      <c r="D156" s="10" t="s">
        <v>9</v>
      </c>
      <c r="E156" s="6"/>
      <c r="F156" s="6"/>
      <c r="G156" s="10" t="s">
        <v>9</v>
      </c>
      <c r="H156" s="6"/>
      <c r="I156" s="24" t="s">
        <v>9</v>
      </c>
      <c r="J156" t="str">
        <f>VLOOKUP(A156,All!A:A,1,FALSE)</f>
        <v>Chicago (Horizon/Southwest Chicago)</v>
      </c>
    </row>
    <row r="157" spans="1:10" ht="15.75" thickBot="1" x14ac:dyDescent="0.3">
      <c r="A157" s="25" t="s">
        <v>0</v>
      </c>
      <c r="B157" s="1" t="s">
        <v>1</v>
      </c>
      <c r="C157" s="2" t="s">
        <v>971</v>
      </c>
      <c r="D157" s="2" t="s">
        <v>972</v>
      </c>
      <c r="E157" s="2" t="s">
        <v>973</v>
      </c>
      <c r="F157" s="2" t="s">
        <v>974</v>
      </c>
      <c r="G157" s="2" t="s">
        <v>975</v>
      </c>
      <c r="H157" s="2" t="s">
        <v>976</v>
      </c>
      <c r="I157" s="26" t="s">
        <v>977</v>
      </c>
      <c r="J157" t="str">
        <f>VLOOKUP(A157,All!A:A,1,FALSE)</f>
        <v>School</v>
      </c>
    </row>
    <row r="158" spans="1:10" ht="15.75" thickBot="1" x14ac:dyDescent="0.3">
      <c r="A158" s="18" t="s">
        <v>210</v>
      </c>
      <c r="B158" s="8">
        <v>1565</v>
      </c>
      <c r="C158" s="4"/>
      <c r="D158" s="4"/>
      <c r="E158" s="4"/>
      <c r="F158" s="4"/>
      <c r="G158" s="4" t="s">
        <v>13</v>
      </c>
      <c r="H158" s="4"/>
      <c r="I158" s="19" t="s">
        <v>12</v>
      </c>
      <c r="J158" t="str">
        <f>VLOOKUP(A158,All!A:A,1,FALSE)</f>
        <v>Chicago (Hubbard)</v>
      </c>
    </row>
    <row r="159" spans="1:10" ht="15.75" thickBot="1" x14ac:dyDescent="0.3">
      <c r="A159" s="20" t="s">
        <v>211</v>
      </c>
      <c r="B159" s="7">
        <v>755</v>
      </c>
      <c r="C159" s="6" t="s">
        <v>13</v>
      </c>
      <c r="D159" s="6"/>
      <c r="E159" s="6"/>
      <c r="F159" s="6"/>
      <c r="G159" s="6"/>
      <c r="H159" s="6"/>
      <c r="I159" s="21" t="s">
        <v>12</v>
      </c>
      <c r="J159" t="str">
        <f>VLOOKUP(A159,All!A:A,1,FALSE)</f>
        <v>Chicago (Hyde Park)</v>
      </c>
    </row>
    <row r="160" spans="1:10" ht="15.75" thickBot="1" x14ac:dyDescent="0.3">
      <c r="A160" s="18" t="s">
        <v>984</v>
      </c>
      <c r="B160" s="3" t="s">
        <v>985</v>
      </c>
      <c r="C160" s="4"/>
      <c r="D160" s="4"/>
      <c r="E160" s="4"/>
      <c r="F160" s="4"/>
      <c r="G160" s="4" t="s">
        <v>9</v>
      </c>
      <c r="H160" s="4"/>
      <c r="I160" s="23" t="s">
        <v>12</v>
      </c>
      <c r="J160" t="str">
        <f>VLOOKUP(A160,All!A:A,1,FALSE)</f>
        <v>Chicago (Instituto Health Science Charter)</v>
      </c>
    </row>
    <row r="161" spans="1:10" ht="15.75" thickBot="1" x14ac:dyDescent="0.3">
      <c r="A161" s="20" t="s">
        <v>212</v>
      </c>
      <c r="B161" s="7" t="s">
        <v>213</v>
      </c>
      <c r="C161" s="6"/>
      <c r="D161" s="6"/>
      <c r="E161" s="6"/>
      <c r="F161" s="6"/>
      <c r="G161" s="10" t="s">
        <v>13</v>
      </c>
      <c r="H161" s="6"/>
      <c r="I161" s="23" t="s">
        <v>12</v>
      </c>
      <c r="J161" t="str">
        <f>VLOOKUP(A161,All!A:A,1,FALSE)</f>
        <v>Chicago (Intrinsic Charter)</v>
      </c>
    </row>
    <row r="162" spans="1:10" ht="15.75" thickBot="1" x14ac:dyDescent="0.3">
      <c r="A162" s="18" t="s">
        <v>214</v>
      </c>
      <c r="B162" s="3" t="s">
        <v>215</v>
      </c>
      <c r="C162" s="10" t="s">
        <v>13</v>
      </c>
      <c r="D162" s="10" t="s">
        <v>13</v>
      </c>
      <c r="E162" s="4"/>
      <c r="F162" s="4"/>
      <c r="G162" s="10" t="s">
        <v>13</v>
      </c>
      <c r="H162" s="4"/>
      <c r="I162" s="23" t="s">
        <v>12</v>
      </c>
      <c r="J162" t="str">
        <f>VLOOKUP(A162,All!A:A,1,FALSE)</f>
        <v>Chicago (Intrinsic Charter-Downtown Campus)</v>
      </c>
    </row>
    <row r="163" spans="1:10" ht="15.75" thickBot="1" x14ac:dyDescent="0.3">
      <c r="A163" s="20" t="s">
        <v>216</v>
      </c>
      <c r="B163" s="7" t="s">
        <v>217</v>
      </c>
      <c r="C163" s="10" t="s">
        <v>12</v>
      </c>
      <c r="D163" s="10" t="s">
        <v>12</v>
      </c>
      <c r="E163" s="6"/>
      <c r="F163" s="10" t="s">
        <v>13</v>
      </c>
      <c r="G163" s="10" t="s">
        <v>12</v>
      </c>
      <c r="H163" s="10" t="s">
        <v>13</v>
      </c>
      <c r="I163" s="23" t="s">
        <v>11</v>
      </c>
      <c r="J163" t="str">
        <f>VLOOKUP(A163,All!A:A,1,FALSE)</f>
        <v>Chicago (Jones)</v>
      </c>
    </row>
    <row r="164" spans="1:10" ht="15.75" thickBot="1" x14ac:dyDescent="0.3">
      <c r="A164" s="18" t="s">
        <v>927</v>
      </c>
      <c r="B164" s="3" t="s">
        <v>928</v>
      </c>
      <c r="C164" s="4"/>
      <c r="D164" s="10" t="s">
        <v>9</v>
      </c>
      <c r="E164" s="4"/>
      <c r="F164" s="4"/>
      <c r="G164" s="4"/>
      <c r="H164" s="4"/>
      <c r="I164" s="23" t="s">
        <v>13</v>
      </c>
      <c r="J164" t="str">
        <f>VLOOKUP(A164,All!A:A,1,FALSE)</f>
        <v>Chicago (Josephinum)</v>
      </c>
    </row>
    <row r="165" spans="1:10" ht="15.75" thickBot="1" x14ac:dyDescent="0.3">
      <c r="A165" s="20" t="s">
        <v>218</v>
      </c>
      <c r="B165" s="5">
        <v>1518</v>
      </c>
      <c r="C165" s="6"/>
      <c r="D165" s="6"/>
      <c r="E165" s="6"/>
      <c r="F165" s="6"/>
      <c r="G165" s="6" t="s">
        <v>13</v>
      </c>
      <c r="H165" s="6"/>
      <c r="I165" s="21" t="s">
        <v>12</v>
      </c>
      <c r="J165" t="str">
        <f>VLOOKUP(A165,All!A:A,1,FALSE)</f>
        <v>Chicago (Juarez)</v>
      </c>
    </row>
    <row r="166" spans="1:10" ht="15.75" thickBot="1" x14ac:dyDescent="0.3">
      <c r="A166" s="18" t="s">
        <v>219</v>
      </c>
      <c r="B166" s="3">
        <v>400</v>
      </c>
      <c r="C166" s="4"/>
      <c r="D166" s="4"/>
      <c r="E166" s="4"/>
      <c r="F166" s="4"/>
      <c r="G166" s="4"/>
      <c r="H166" s="4"/>
      <c r="I166" s="19" t="s">
        <v>13</v>
      </c>
      <c r="J166" t="str">
        <f>VLOOKUP(A166,All!A:A,1,FALSE)</f>
        <v>Chicago (Julian)</v>
      </c>
    </row>
    <row r="167" spans="1:10" ht="15.75" thickBot="1" x14ac:dyDescent="0.3">
      <c r="A167" s="20" t="s">
        <v>220</v>
      </c>
      <c r="B167" s="5">
        <v>1594</v>
      </c>
      <c r="C167" s="6"/>
      <c r="D167" s="6"/>
      <c r="E167" s="6"/>
      <c r="F167" s="6"/>
      <c r="G167" s="6" t="s">
        <v>13</v>
      </c>
      <c r="H167" s="6"/>
      <c r="I167" s="21" t="s">
        <v>12</v>
      </c>
      <c r="J167" t="str">
        <f>VLOOKUP(A167,All!A:A,1,FALSE)</f>
        <v>Chicago (Kelly)</v>
      </c>
    </row>
    <row r="168" spans="1:10" ht="15.75" thickBot="1" x14ac:dyDescent="0.3">
      <c r="A168" s="18" t="s">
        <v>221</v>
      </c>
      <c r="B168" s="8">
        <v>1543</v>
      </c>
      <c r="C168" s="4" t="s">
        <v>13</v>
      </c>
      <c r="D168" s="4" t="s">
        <v>13</v>
      </c>
      <c r="E168" s="4"/>
      <c r="F168" s="4"/>
      <c r="G168" s="4" t="s">
        <v>13</v>
      </c>
      <c r="H168" s="4"/>
      <c r="I168" s="19" t="s">
        <v>12</v>
      </c>
      <c r="J168" t="str">
        <f>VLOOKUP(A168,All!A:A,1,FALSE)</f>
        <v>Chicago (Kennedy)</v>
      </c>
    </row>
    <row r="169" spans="1:10" ht="15.75" thickBot="1" x14ac:dyDescent="0.3">
      <c r="A169" s="20" t="s">
        <v>222</v>
      </c>
      <c r="B169" s="5">
        <v>1918</v>
      </c>
      <c r="C169" s="6" t="s">
        <v>12</v>
      </c>
      <c r="D169" s="6" t="s">
        <v>12</v>
      </c>
      <c r="E169" s="6" t="s">
        <v>12</v>
      </c>
      <c r="F169" s="6" t="s">
        <v>13</v>
      </c>
      <c r="G169" s="6" t="s">
        <v>12</v>
      </c>
      <c r="H169" s="6" t="s">
        <v>13</v>
      </c>
      <c r="I169" s="21" t="s">
        <v>11</v>
      </c>
      <c r="J169" t="str">
        <f>VLOOKUP(A169,All!A:A,1,FALSE)</f>
        <v>Chicago (Kenwood)</v>
      </c>
    </row>
    <row r="170" spans="1:10" ht="15.75" thickBot="1" x14ac:dyDescent="0.3">
      <c r="A170" s="18" t="s">
        <v>223</v>
      </c>
      <c r="B170" s="3" t="s">
        <v>224</v>
      </c>
      <c r="C170" s="10" t="s">
        <v>13</v>
      </c>
      <c r="D170" s="10" t="s">
        <v>13</v>
      </c>
      <c r="E170" s="4"/>
      <c r="F170" s="4"/>
      <c r="G170" s="4"/>
      <c r="H170" s="4"/>
      <c r="I170" s="23" t="s">
        <v>12</v>
      </c>
      <c r="J170" t="str">
        <f>VLOOKUP(A170,All!A:A,1,FALSE)</f>
        <v>Chicago (King)</v>
      </c>
    </row>
    <row r="171" spans="1:10" ht="15.75" thickBot="1" x14ac:dyDescent="0.3">
      <c r="A171" s="20" t="s">
        <v>225</v>
      </c>
      <c r="B171" s="5">
        <v>1364</v>
      </c>
      <c r="C171" s="6" t="s">
        <v>13</v>
      </c>
      <c r="D171" s="6" t="s">
        <v>13</v>
      </c>
      <c r="E171" s="6"/>
      <c r="F171" s="6"/>
      <c r="G171" s="6" t="s">
        <v>13</v>
      </c>
      <c r="H171" s="6"/>
      <c r="I171" s="21" t="s">
        <v>12</v>
      </c>
      <c r="J171" t="str">
        <f>VLOOKUP(A171,All!A:A,1,FALSE)</f>
        <v>Chicago (Lake View)</v>
      </c>
    </row>
    <row r="172" spans="1:10" ht="15.75" thickBot="1" x14ac:dyDescent="0.3">
      <c r="A172" s="18" t="s">
        <v>226</v>
      </c>
      <c r="B172" s="3" t="s">
        <v>227</v>
      </c>
      <c r="C172" s="10" t="s">
        <v>12</v>
      </c>
      <c r="D172" s="10" t="s">
        <v>12</v>
      </c>
      <c r="E172" s="10" t="s">
        <v>12</v>
      </c>
      <c r="F172" s="10" t="s">
        <v>13</v>
      </c>
      <c r="G172" s="10" t="s">
        <v>12</v>
      </c>
      <c r="H172" s="10" t="s">
        <v>13</v>
      </c>
      <c r="I172" s="23" t="s">
        <v>11</v>
      </c>
      <c r="J172" t="str">
        <f>VLOOKUP(A172,All!A:A,1,FALSE)</f>
        <v>Chicago (Lane)</v>
      </c>
    </row>
    <row r="173" spans="1:10" ht="15.75" thickBot="1" x14ac:dyDescent="0.3">
      <c r="A173" s="20" t="s">
        <v>228</v>
      </c>
      <c r="B173" s="7" t="s">
        <v>229</v>
      </c>
      <c r="C173" s="12" t="s">
        <v>13</v>
      </c>
      <c r="D173" s="10" t="s">
        <v>13</v>
      </c>
      <c r="E173" s="10" t="s">
        <v>13</v>
      </c>
      <c r="F173" s="10" t="s">
        <v>9</v>
      </c>
      <c r="G173" s="10" t="s">
        <v>13</v>
      </c>
      <c r="H173" s="10" t="s">
        <v>9</v>
      </c>
      <c r="I173" s="23" t="s">
        <v>12</v>
      </c>
      <c r="J173" t="str">
        <f>VLOOKUP(A173,All!A:A,1,FALSE)</f>
        <v>Chicago (Latin)</v>
      </c>
    </row>
    <row r="174" spans="1:10" ht="15.75" thickBot="1" x14ac:dyDescent="0.3">
      <c r="A174" s="18" t="s">
        <v>230</v>
      </c>
      <c r="B174" s="3" t="s">
        <v>231</v>
      </c>
      <c r="C174" s="11" t="s">
        <v>9</v>
      </c>
      <c r="D174" s="4"/>
      <c r="E174" s="4"/>
      <c r="F174" s="4"/>
      <c r="G174" s="4"/>
      <c r="H174" s="4"/>
      <c r="I174" s="19"/>
      <c r="J174" t="str">
        <f>VLOOKUP(A174,All!A:A,1,FALSE)</f>
        <v>Chicago (Leo)</v>
      </c>
    </row>
    <row r="175" spans="1:10" ht="15.75" thickBot="1" x14ac:dyDescent="0.3">
      <c r="A175" s="20" t="s">
        <v>232</v>
      </c>
      <c r="B175" s="5">
        <v>2178</v>
      </c>
      <c r="C175" s="6" t="s">
        <v>12</v>
      </c>
      <c r="D175" s="6" t="s">
        <v>12</v>
      </c>
      <c r="E175" s="6" t="s">
        <v>12</v>
      </c>
      <c r="F175" s="6" t="s">
        <v>13</v>
      </c>
      <c r="G175" s="6" t="s">
        <v>12</v>
      </c>
      <c r="H175" s="6" t="s">
        <v>13</v>
      </c>
      <c r="I175" s="21" t="s">
        <v>11</v>
      </c>
      <c r="J175" t="str">
        <f>VLOOKUP(A175,All!A:A,1,FALSE)</f>
        <v>Chicago (Lincoln Park)</v>
      </c>
    </row>
    <row r="176" spans="1:10" ht="15.75" thickBot="1" x14ac:dyDescent="0.3">
      <c r="A176" s="18" t="s">
        <v>233</v>
      </c>
      <c r="B176" s="3" t="s">
        <v>234</v>
      </c>
      <c r="C176" s="10" t="s">
        <v>12</v>
      </c>
      <c r="D176" s="10" t="s">
        <v>12</v>
      </c>
      <c r="E176" s="10" t="s">
        <v>12</v>
      </c>
      <c r="F176" s="10" t="s">
        <v>13</v>
      </c>
      <c r="G176" s="10" t="s">
        <v>12</v>
      </c>
      <c r="H176" s="4"/>
      <c r="I176" s="23" t="s">
        <v>11</v>
      </c>
      <c r="J176" t="str">
        <f>VLOOKUP(A176,All!A:A,1,FALSE)</f>
        <v>Chicago (Lindblom)</v>
      </c>
    </row>
    <row r="177" spans="1:10" ht="15.75" thickBot="1" x14ac:dyDescent="0.3">
      <c r="A177" s="20" t="s">
        <v>235</v>
      </c>
      <c r="B177" s="5">
        <v>1064</v>
      </c>
      <c r="C177" s="6"/>
      <c r="D177" s="6"/>
      <c r="E177" s="6"/>
      <c r="F177" s="6"/>
      <c r="G177" s="6" t="s">
        <v>13</v>
      </c>
      <c r="H177" s="6"/>
      <c r="I177" s="21"/>
      <c r="J177" t="str">
        <f>VLOOKUP(A177,All!A:A,1,FALSE)</f>
        <v>Chicago (Little Village)</v>
      </c>
    </row>
    <row r="178" spans="1:10" ht="15.75" thickBot="1" x14ac:dyDescent="0.3">
      <c r="A178" s="18" t="s">
        <v>236</v>
      </c>
      <c r="B178" s="3" t="s">
        <v>237</v>
      </c>
      <c r="C178" s="4"/>
      <c r="D178" s="4"/>
      <c r="E178" s="10" t="s">
        <v>9</v>
      </c>
      <c r="F178" s="4"/>
      <c r="G178" s="10" t="s">
        <v>9</v>
      </c>
      <c r="H178" s="4"/>
      <c r="I178" s="24" t="s">
        <v>9</v>
      </c>
      <c r="J178" t="str">
        <f>VLOOKUP(A178,All!A:A,1,FALSE)</f>
        <v>Chicago (Lycée Français de Chicago)</v>
      </c>
    </row>
    <row r="179" spans="1:10" ht="15.75" thickBot="1" x14ac:dyDescent="0.3">
      <c r="A179" s="20" t="s">
        <v>239</v>
      </c>
      <c r="B179" s="7" t="s">
        <v>240</v>
      </c>
      <c r="C179" s="11" t="s">
        <v>9</v>
      </c>
      <c r="D179" s="11" t="s">
        <v>9</v>
      </c>
      <c r="E179" s="6"/>
      <c r="F179" s="6"/>
      <c r="G179" s="10" t="s">
        <v>9</v>
      </c>
      <c r="H179" s="6"/>
      <c r="I179" s="21"/>
      <c r="J179" t="str">
        <f>VLOOKUP(A179,All!A:A,1,FALSE)</f>
        <v>Chicago (Marine Leadership Academy)</v>
      </c>
    </row>
    <row r="180" spans="1:10" ht="15.75" thickBot="1" x14ac:dyDescent="0.3">
      <c r="A180" s="18" t="s">
        <v>241</v>
      </c>
      <c r="B180" s="3" t="s">
        <v>242</v>
      </c>
      <c r="C180" s="10" t="s">
        <v>12</v>
      </c>
      <c r="D180" s="10" t="s">
        <v>12</v>
      </c>
      <c r="E180" s="10" t="s">
        <v>12</v>
      </c>
      <c r="F180" s="10" t="s">
        <v>13</v>
      </c>
      <c r="G180" s="10" t="s">
        <v>12</v>
      </c>
      <c r="H180" s="10" t="s">
        <v>13</v>
      </c>
      <c r="I180" s="23" t="s">
        <v>11</v>
      </c>
      <c r="J180" t="str">
        <f>VLOOKUP(A180,All!A:A,1,FALSE)</f>
        <v>Chicago (Marist)</v>
      </c>
    </row>
    <row r="181" spans="1:10" ht="15.75" thickBot="1" x14ac:dyDescent="0.3">
      <c r="A181" s="20" t="s">
        <v>243</v>
      </c>
      <c r="B181" s="5">
        <v>1657</v>
      </c>
      <c r="C181" s="6" t="s">
        <v>12</v>
      </c>
      <c r="D181" s="6" t="s">
        <v>12</v>
      </c>
      <c r="E181" s="6"/>
      <c r="F181" s="6"/>
      <c r="G181" s="6" t="s">
        <v>13</v>
      </c>
      <c r="H181" s="6" t="s">
        <v>13</v>
      </c>
      <c r="I181" s="21"/>
      <c r="J181" t="str">
        <f>VLOOKUP(A181,All!A:A,1,FALSE)</f>
        <v>Chicago (Mather)</v>
      </c>
    </row>
    <row r="182" spans="1:10" ht="15.75" thickBot="1" x14ac:dyDescent="0.3">
      <c r="A182" s="18" t="s">
        <v>244</v>
      </c>
      <c r="B182" s="3" t="s">
        <v>245</v>
      </c>
      <c r="C182" s="4"/>
      <c r="D182" s="4"/>
      <c r="E182" s="4"/>
      <c r="F182" s="4"/>
      <c r="G182" s="10" t="s">
        <v>9</v>
      </c>
      <c r="H182" s="10" t="s">
        <v>9</v>
      </c>
      <c r="I182" s="23" t="s">
        <v>9</v>
      </c>
      <c r="J182" t="str">
        <f>VLOOKUP(A182,All!A:A,1,FALSE)</f>
        <v>Chicago (Morgan Park Academy)</v>
      </c>
    </row>
    <row r="183" spans="1:10" ht="15.75" thickBot="1" x14ac:dyDescent="0.3">
      <c r="A183" s="25" t="s">
        <v>0</v>
      </c>
      <c r="B183" s="1" t="s">
        <v>1</v>
      </c>
      <c r="C183" s="2" t="s">
        <v>971</v>
      </c>
      <c r="D183" s="2" t="s">
        <v>972</v>
      </c>
      <c r="E183" s="2" t="s">
        <v>973</v>
      </c>
      <c r="F183" s="2" t="s">
        <v>974</v>
      </c>
      <c r="G183" s="2" t="s">
        <v>975</v>
      </c>
      <c r="H183" s="2" t="s">
        <v>976</v>
      </c>
      <c r="I183" s="26" t="s">
        <v>977</v>
      </c>
      <c r="J183" t="str">
        <f>VLOOKUP(A183,All!A:A,1,FALSE)</f>
        <v>School</v>
      </c>
    </row>
    <row r="184" spans="1:10" ht="15.75" thickBot="1" x14ac:dyDescent="0.3">
      <c r="A184" s="20" t="s">
        <v>246</v>
      </c>
      <c r="B184" s="5">
        <v>1114</v>
      </c>
      <c r="C184" s="6" t="s">
        <v>13</v>
      </c>
      <c r="D184" s="6" t="s">
        <v>13</v>
      </c>
      <c r="E184" s="6"/>
      <c r="F184" s="6"/>
      <c r="G184" s="6" t="s">
        <v>13</v>
      </c>
      <c r="H184" s="6"/>
      <c r="I184" s="21" t="s">
        <v>12</v>
      </c>
      <c r="J184" t="str">
        <f>VLOOKUP(A184,All!A:A,1,FALSE)</f>
        <v>Chicago (Morgan Park)</v>
      </c>
    </row>
    <row r="185" spans="1:10" ht="15.75" thickBot="1" x14ac:dyDescent="0.3">
      <c r="A185" s="18" t="s">
        <v>247</v>
      </c>
      <c r="B185" s="3" t="s">
        <v>248</v>
      </c>
      <c r="C185" s="4"/>
      <c r="D185" s="10" t="s">
        <v>12</v>
      </c>
      <c r="E185" s="4"/>
      <c r="F185" s="10" t="s">
        <v>13</v>
      </c>
      <c r="G185" s="4"/>
      <c r="H185" s="10" t="s">
        <v>13</v>
      </c>
      <c r="I185" s="27" t="s">
        <v>11</v>
      </c>
      <c r="J185" t="str">
        <f>VLOOKUP(A185,All!A:A,1,FALSE)</f>
        <v>Chicago (Mother McAuley)</v>
      </c>
    </row>
    <row r="186" spans="1:10" ht="15.75" thickBot="1" x14ac:dyDescent="0.3">
      <c r="A186" s="20" t="s">
        <v>249</v>
      </c>
      <c r="B186" s="7" t="s">
        <v>250</v>
      </c>
      <c r="C186" s="11" t="s">
        <v>13</v>
      </c>
      <c r="D186" s="6"/>
      <c r="E186" s="10" t="s">
        <v>12</v>
      </c>
      <c r="F186" s="6"/>
      <c r="G186" s="10" t="s">
        <v>12</v>
      </c>
      <c r="H186" s="6"/>
      <c r="I186" s="21"/>
      <c r="J186" t="str">
        <f>VLOOKUP(A186,All!A:A,1,FALSE)</f>
        <v>Chicago (Mt. Carmel)</v>
      </c>
    </row>
    <row r="187" spans="1:10" ht="15.75" thickBot="1" x14ac:dyDescent="0.3">
      <c r="A187" s="18" t="s">
        <v>251</v>
      </c>
      <c r="B187" s="3" t="s">
        <v>252</v>
      </c>
      <c r="C187" s="10" t="s">
        <v>13</v>
      </c>
      <c r="D187" s="10" t="s">
        <v>13</v>
      </c>
      <c r="E187" s="4"/>
      <c r="F187" s="4"/>
      <c r="G187" s="11" t="s">
        <v>9</v>
      </c>
      <c r="H187" s="4"/>
      <c r="I187" s="24" t="s">
        <v>13</v>
      </c>
      <c r="J187" t="str">
        <f>VLOOKUP(A187,All!A:A,1,FALSE)</f>
        <v>Chicago (Noble Street Charter)</v>
      </c>
    </row>
    <row r="188" spans="1:10" ht="15.75" thickBot="1" x14ac:dyDescent="0.3">
      <c r="A188" s="20" t="s">
        <v>255</v>
      </c>
      <c r="B188" s="7" t="s">
        <v>256</v>
      </c>
      <c r="C188" s="11" t="s">
        <v>13</v>
      </c>
      <c r="D188" s="11" t="s">
        <v>13</v>
      </c>
      <c r="E188" s="6"/>
      <c r="F188" s="6"/>
      <c r="G188" s="11" t="s">
        <v>13</v>
      </c>
      <c r="H188" s="6"/>
      <c r="I188" s="24" t="s">
        <v>12</v>
      </c>
      <c r="J188" t="str">
        <f>VLOOKUP(A188,All!A:A,1,FALSE)</f>
        <v>Chicago (Noble/Bulls)</v>
      </c>
    </row>
    <row r="189" spans="1:10" ht="15.75" thickBot="1" x14ac:dyDescent="0.3">
      <c r="A189" s="18" t="s">
        <v>257</v>
      </c>
      <c r="B189" s="3" t="s">
        <v>213</v>
      </c>
      <c r="C189" s="10" t="s">
        <v>13</v>
      </c>
      <c r="D189" s="4"/>
      <c r="E189" s="4"/>
      <c r="F189" s="4"/>
      <c r="G189" s="4"/>
      <c r="H189" s="4"/>
      <c r="I189" s="24" t="s">
        <v>13</v>
      </c>
      <c r="J189" t="str">
        <f>VLOOKUP(A189,All!A:A,1,FALSE)</f>
        <v>Chicago (Noble/Butler)</v>
      </c>
    </row>
    <row r="190" spans="1:10" ht="15.75" thickBot="1" x14ac:dyDescent="0.3">
      <c r="A190" s="20" t="s">
        <v>258</v>
      </c>
      <c r="B190" s="7" t="s">
        <v>259</v>
      </c>
      <c r="C190" s="6"/>
      <c r="D190" s="6"/>
      <c r="E190" s="6"/>
      <c r="F190" s="6"/>
      <c r="G190" s="6"/>
      <c r="H190" s="6"/>
      <c r="I190" s="23" t="s">
        <v>12</v>
      </c>
      <c r="J190" t="str">
        <f>VLOOKUP(A190,All!A:A,1,FALSE)</f>
        <v>Chicago (Noble/Comer)</v>
      </c>
    </row>
    <row r="191" spans="1:10" ht="15.75" thickBot="1" x14ac:dyDescent="0.3">
      <c r="A191" s="18" t="s">
        <v>932</v>
      </c>
      <c r="B191" s="3" t="s">
        <v>159</v>
      </c>
      <c r="C191" s="4"/>
      <c r="D191" s="4"/>
      <c r="E191" s="4"/>
      <c r="F191" s="4"/>
      <c r="G191" s="4"/>
      <c r="H191" s="4"/>
      <c r="I191" s="24" t="s">
        <v>13</v>
      </c>
      <c r="J191" t="str">
        <f>VLOOKUP(A191,All!A:A,1,FALSE)</f>
        <v>Chicago (Noble/DRW Trading)</v>
      </c>
    </row>
    <row r="192" spans="1:10" ht="15.75" thickBot="1" x14ac:dyDescent="0.3">
      <c r="A192" s="20" t="s">
        <v>260</v>
      </c>
      <c r="B192" s="7" t="s">
        <v>261</v>
      </c>
      <c r="C192" s="6" t="s">
        <v>13</v>
      </c>
      <c r="D192" s="6" t="s">
        <v>13</v>
      </c>
      <c r="E192" s="6"/>
      <c r="F192" s="6"/>
      <c r="G192" s="11" t="s">
        <v>9</v>
      </c>
      <c r="H192" s="6"/>
      <c r="I192" s="24" t="s">
        <v>13</v>
      </c>
      <c r="J192" t="str">
        <f>VLOOKUP(A192,All!A:A,1,FALSE)</f>
        <v>Chicago (Noble/Golder)</v>
      </c>
    </row>
    <row r="193" spans="1:10" ht="15.75" thickBot="1" x14ac:dyDescent="0.3">
      <c r="A193" s="18" t="s">
        <v>262</v>
      </c>
      <c r="B193" s="3" t="s">
        <v>179</v>
      </c>
      <c r="C193" s="4"/>
      <c r="D193" s="4"/>
      <c r="E193" s="4"/>
      <c r="F193" s="4"/>
      <c r="G193" s="4"/>
      <c r="H193" s="4"/>
      <c r="I193" s="19" t="s">
        <v>13</v>
      </c>
      <c r="J193" t="str">
        <f>VLOOKUP(A193,All!A:A,1,FALSE)</f>
        <v>Chicago (Noble/Hansberry)</v>
      </c>
    </row>
    <row r="194" spans="1:10" ht="15.75" thickBot="1" x14ac:dyDescent="0.3">
      <c r="A194" s="20" t="s">
        <v>263</v>
      </c>
      <c r="B194" s="7" t="s">
        <v>264</v>
      </c>
      <c r="C194" s="11" t="s">
        <v>13</v>
      </c>
      <c r="D194" s="11" t="s">
        <v>13</v>
      </c>
      <c r="E194" s="6"/>
      <c r="F194" s="6"/>
      <c r="G194" s="10" t="s">
        <v>12</v>
      </c>
      <c r="H194" s="6"/>
      <c r="I194" s="24" t="s">
        <v>12</v>
      </c>
      <c r="J194" t="str">
        <f>VLOOKUP(A194,All!A:A,1,FALSE)</f>
        <v>Chicago (Noble/ITW Speer)</v>
      </c>
    </row>
    <row r="195" spans="1:10" ht="15.75" thickBot="1" x14ac:dyDescent="0.3">
      <c r="A195" s="18" t="s">
        <v>265</v>
      </c>
      <c r="B195" s="3" t="s">
        <v>266</v>
      </c>
      <c r="C195" s="4"/>
      <c r="D195" s="4"/>
      <c r="E195" s="4"/>
      <c r="F195" s="4"/>
      <c r="G195" s="4"/>
      <c r="H195" s="4"/>
      <c r="I195" s="24" t="s">
        <v>13</v>
      </c>
      <c r="J195" t="str">
        <f>VLOOKUP(A195,All!A:A,1,FALSE)</f>
        <v>Chicago (Noble/Johnson)</v>
      </c>
    </row>
    <row r="196" spans="1:10" ht="15.75" thickBot="1" x14ac:dyDescent="0.3">
      <c r="A196" s="20" t="s">
        <v>267</v>
      </c>
      <c r="B196" s="7" t="s">
        <v>268</v>
      </c>
      <c r="C196" s="11" t="s">
        <v>13</v>
      </c>
      <c r="D196" s="11" t="s">
        <v>13</v>
      </c>
      <c r="E196" s="6"/>
      <c r="F196" s="6"/>
      <c r="G196" s="11" t="s">
        <v>13</v>
      </c>
      <c r="H196" s="6"/>
      <c r="I196" s="24" t="s">
        <v>12</v>
      </c>
      <c r="J196" t="str">
        <f>VLOOKUP(A196,All!A:A,1,FALSE)</f>
        <v>Chicago (Noble/Mansueto)</v>
      </c>
    </row>
    <row r="197" spans="1:10" ht="15.75" thickBot="1" x14ac:dyDescent="0.3">
      <c r="A197" s="18" t="s">
        <v>269</v>
      </c>
      <c r="B197" s="3" t="s">
        <v>270</v>
      </c>
      <c r="C197" s="10" t="s">
        <v>13</v>
      </c>
      <c r="D197" s="10" t="s">
        <v>13</v>
      </c>
      <c r="E197" s="4"/>
      <c r="F197" s="4"/>
      <c r="G197" s="10" t="s">
        <v>13</v>
      </c>
      <c r="H197" s="4"/>
      <c r="I197" s="23" t="s">
        <v>12</v>
      </c>
      <c r="J197" t="str">
        <f>VLOOKUP(A197,All!A:A,1,FALSE)</f>
        <v>Chicago (Noble/Muchin)</v>
      </c>
    </row>
    <row r="198" spans="1:10" ht="15.75" thickBot="1" x14ac:dyDescent="0.3">
      <c r="A198" s="20" t="s">
        <v>271</v>
      </c>
      <c r="B198" s="7" t="s">
        <v>272</v>
      </c>
      <c r="C198" s="6"/>
      <c r="D198" s="6"/>
      <c r="E198" s="6"/>
      <c r="F198" s="6"/>
      <c r="G198" s="6"/>
      <c r="H198" s="6"/>
      <c r="I198" s="23" t="s">
        <v>13</v>
      </c>
      <c r="J198" t="str">
        <f>VLOOKUP(A198,All!A:A,1,FALSE)</f>
        <v>Chicago (Noble/Noble Academy)</v>
      </c>
    </row>
    <row r="199" spans="1:10" ht="15.75" thickBot="1" x14ac:dyDescent="0.3">
      <c r="A199" s="18" t="s">
        <v>273</v>
      </c>
      <c r="B199" s="3" t="s">
        <v>274</v>
      </c>
      <c r="C199" s="11" t="s">
        <v>13</v>
      </c>
      <c r="D199" s="11" t="s">
        <v>13</v>
      </c>
      <c r="E199" s="4"/>
      <c r="F199" s="4"/>
      <c r="G199" s="10" t="s">
        <v>13</v>
      </c>
      <c r="H199" s="4"/>
      <c r="I199" s="24" t="s">
        <v>12</v>
      </c>
      <c r="J199" t="str">
        <f>VLOOKUP(A199,All!A:A,1,FALSE)</f>
        <v>Chicago (Noble/Pritzker)</v>
      </c>
    </row>
    <row r="200" spans="1:10" ht="15.75" thickBot="1" x14ac:dyDescent="0.3">
      <c r="A200" s="20" t="s">
        <v>275</v>
      </c>
      <c r="B200" s="7" t="s">
        <v>276</v>
      </c>
      <c r="C200" s="6"/>
      <c r="D200" s="6"/>
      <c r="E200" s="6"/>
      <c r="F200" s="6"/>
      <c r="G200" s="11" t="s">
        <v>9</v>
      </c>
      <c r="H200" s="6"/>
      <c r="I200" s="24" t="s">
        <v>13</v>
      </c>
      <c r="J200" t="str">
        <f>VLOOKUP(A200,All!A:A,1,FALSE)</f>
        <v>Chicago (Noble/Rauner)</v>
      </c>
    </row>
    <row r="201" spans="1:10" ht="15.75" thickBot="1" x14ac:dyDescent="0.3">
      <c r="A201" s="18" t="s">
        <v>933</v>
      </c>
      <c r="B201" s="3" t="s">
        <v>934</v>
      </c>
      <c r="C201" s="4"/>
      <c r="D201" s="4"/>
      <c r="E201" s="4"/>
      <c r="F201" s="4"/>
      <c r="G201" s="4"/>
      <c r="H201" s="4"/>
      <c r="I201" s="23" t="s">
        <v>13</v>
      </c>
      <c r="J201" t="str">
        <f>VLOOKUP(A201,All!A:A,1,FALSE)</f>
        <v>Chicago (Noble/Rowe-Clark)</v>
      </c>
    </row>
    <row r="202" spans="1:10" ht="15.75" thickBot="1" x14ac:dyDescent="0.3">
      <c r="A202" s="20" t="s">
        <v>277</v>
      </c>
      <c r="B202" s="7" t="s">
        <v>278</v>
      </c>
      <c r="C202" s="10" t="s">
        <v>12</v>
      </c>
      <c r="D202" s="10" t="s">
        <v>12</v>
      </c>
      <c r="E202" s="6"/>
      <c r="F202" s="6"/>
      <c r="G202" s="10" t="s">
        <v>13</v>
      </c>
      <c r="H202" s="6"/>
      <c r="I202" s="21"/>
      <c r="J202" t="str">
        <f>VLOOKUP(A202,All!A:A,1,FALSE)</f>
        <v>Chicago (Noble/UIC)</v>
      </c>
    </row>
    <row r="203" spans="1:10" ht="15.75" thickBot="1" x14ac:dyDescent="0.3">
      <c r="A203" s="18" t="s">
        <v>986</v>
      </c>
      <c r="B203" s="8">
        <v>1013</v>
      </c>
      <c r="C203" s="4"/>
      <c r="D203" s="4"/>
      <c r="E203" s="4"/>
      <c r="F203" s="4"/>
      <c r="G203" s="4" t="s">
        <v>13</v>
      </c>
      <c r="H203" s="4"/>
      <c r="I203" s="19" t="s">
        <v>12</v>
      </c>
      <c r="J203" t="str">
        <f>VLOOKUP(A203,All!A:A,1,FALSE)</f>
        <v>Chicago (North Grand)</v>
      </c>
    </row>
    <row r="204" spans="1:10" ht="15.75" thickBot="1" x14ac:dyDescent="0.3">
      <c r="A204" s="20" t="s">
        <v>279</v>
      </c>
      <c r="B204" s="7" t="s">
        <v>280</v>
      </c>
      <c r="C204" s="6"/>
      <c r="D204" s="6"/>
      <c r="E204" s="6"/>
      <c r="F204" s="6"/>
      <c r="G204" s="6"/>
      <c r="H204" s="6"/>
      <c r="I204" s="23" t="s">
        <v>13</v>
      </c>
      <c r="J204" t="str">
        <f>VLOOKUP(A204,All!A:A,1,FALSE)</f>
        <v>Chicago (North Lawndale Charter)</v>
      </c>
    </row>
    <row r="205" spans="1:10" ht="15.75" thickBot="1" x14ac:dyDescent="0.3">
      <c r="A205" s="18" t="s">
        <v>281</v>
      </c>
      <c r="B205" s="3" t="s">
        <v>282</v>
      </c>
      <c r="C205" s="11" t="s">
        <v>13</v>
      </c>
      <c r="D205" s="11" t="s">
        <v>13</v>
      </c>
      <c r="E205" s="11" t="s">
        <v>13</v>
      </c>
      <c r="F205" s="4"/>
      <c r="G205" s="11" t="s">
        <v>13</v>
      </c>
      <c r="H205" s="11" t="s">
        <v>9</v>
      </c>
      <c r="I205" s="24" t="s">
        <v>12</v>
      </c>
      <c r="J205" t="str">
        <f>VLOOKUP(A205,All!A:A,1,FALSE)</f>
        <v>Chicago (Northside)</v>
      </c>
    </row>
    <row r="206" spans="1:10" ht="15.75" thickBot="1" x14ac:dyDescent="0.3">
      <c r="A206" s="20" t="s">
        <v>283</v>
      </c>
      <c r="B206" s="7" t="s">
        <v>284</v>
      </c>
      <c r="C206" s="6"/>
      <c r="D206" s="6"/>
      <c r="E206" s="6"/>
      <c r="F206" s="6"/>
      <c r="G206" s="10" t="s">
        <v>13</v>
      </c>
      <c r="H206" s="6"/>
      <c r="I206" s="23" t="s">
        <v>12</v>
      </c>
      <c r="J206" t="str">
        <f>VLOOKUP(A206,All!A:A,1,FALSE)</f>
        <v>Chicago (Ogden International)</v>
      </c>
    </row>
    <row r="207" spans="1:10" ht="15.75" thickBot="1" x14ac:dyDescent="0.3">
      <c r="A207" s="18" t="s">
        <v>286</v>
      </c>
      <c r="B207" s="3" t="s">
        <v>287</v>
      </c>
      <c r="C207" s="4"/>
      <c r="D207" s="4"/>
      <c r="E207" s="4"/>
      <c r="F207" s="4"/>
      <c r="G207" s="4"/>
      <c r="H207" s="4"/>
      <c r="I207" s="24" t="s">
        <v>9</v>
      </c>
      <c r="J207" t="str">
        <f>VLOOKUP(A207,All!A:A,1,FALSE)</f>
        <v>Chicago (Our Lady of Tepeyac)</v>
      </c>
    </row>
    <row r="208" spans="1:10" ht="15.75" thickBot="1" x14ac:dyDescent="0.3">
      <c r="A208" s="20" t="s">
        <v>288</v>
      </c>
      <c r="B208" s="7" t="s">
        <v>289</v>
      </c>
      <c r="C208" s="12" t="s">
        <v>12</v>
      </c>
      <c r="D208" s="10" t="s">
        <v>12</v>
      </c>
      <c r="E208" s="9" t="s">
        <v>12</v>
      </c>
      <c r="F208" s="10" t="s">
        <v>13</v>
      </c>
      <c r="G208" s="11" t="s">
        <v>13</v>
      </c>
      <c r="H208" s="11" t="s">
        <v>9</v>
      </c>
      <c r="I208" s="24" t="s">
        <v>12</v>
      </c>
      <c r="J208" t="str">
        <f>VLOOKUP(A208,All!A:A,1,FALSE)</f>
        <v>Chicago (Payton)</v>
      </c>
    </row>
    <row r="209" spans="1:10" ht="15.75" thickBot="1" x14ac:dyDescent="0.3">
      <c r="A209" s="25" t="s">
        <v>0</v>
      </c>
      <c r="B209" s="1" t="s">
        <v>1</v>
      </c>
      <c r="C209" s="2" t="s">
        <v>971</v>
      </c>
      <c r="D209" s="2" t="s">
        <v>972</v>
      </c>
      <c r="E209" s="2" t="s">
        <v>973</v>
      </c>
      <c r="F209" s="2" t="s">
        <v>974</v>
      </c>
      <c r="G209" s="2" t="s">
        <v>975</v>
      </c>
      <c r="H209" s="2" t="s">
        <v>976</v>
      </c>
      <c r="I209" s="26" t="s">
        <v>977</v>
      </c>
      <c r="J209" t="str">
        <f>VLOOKUP(A209,All!A:A,1,FALSE)</f>
        <v>School</v>
      </c>
    </row>
    <row r="210" spans="1:10" ht="15.75" thickBot="1" x14ac:dyDescent="0.3">
      <c r="A210" s="18" t="s">
        <v>935</v>
      </c>
      <c r="B210" s="3" t="s">
        <v>936</v>
      </c>
      <c r="C210" s="4"/>
      <c r="D210" s="4"/>
      <c r="E210" s="4"/>
      <c r="F210" s="4"/>
      <c r="G210" s="4"/>
      <c r="H210" s="4"/>
      <c r="I210" s="22" t="s">
        <v>12</v>
      </c>
      <c r="J210" t="str">
        <f>VLOOKUP(A210,All!A:A,1,FALSE)</f>
        <v>Chicago (Perspectives/IIT Math &amp; Science)</v>
      </c>
    </row>
    <row r="211" spans="1:10" ht="15.75" thickBot="1" x14ac:dyDescent="0.3">
      <c r="A211" s="20" t="s">
        <v>290</v>
      </c>
      <c r="B211" s="7" t="s">
        <v>291</v>
      </c>
      <c r="C211" s="6"/>
      <c r="D211" s="6"/>
      <c r="E211" s="6"/>
      <c r="F211" s="6"/>
      <c r="G211" s="6"/>
      <c r="H211" s="6"/>
      <c r="I211" s="22" t="s">
        <v>12</v>
      </c>
      <c r="J211" t="str">
        <f>VLOOKUP(A211,All!A:A,1,FALSE)</f>
        <v>Chicago (Perspectives/Leadership)</v>
      </c>
    </row>
    <row r="212" spans="1:10" ht="15.75" thickBot="1" x14ac:dyDescent="0.3">
      <c r="A212" s="18" t="s">
        <v>292</v>
      </c>
      <c r="B212" s="3">
        <v>397</v>
      </c>
      <c r="C212" s="4"/>
      <c r="D212" s="4"/>
      <c r="E212" s="4"/>
      <c r="F212" s="4"/>
      <c r="G212" s="4"/>
      <c r="H212" s="4"/>
      <c r="I212" s="19" t="s">
        <v>13</v>
      </c>
      <c r="J212" t="str">
        <f>VLOOKUP(A212,All!A:A,1,FALSE)</f>
        <v>Chicago (Phillips)</v>
      </c>
    </row>
    <row r="213" spans="1:10" ht="15.75" thickBot="1" x14ac:dyDescent="0.3">
      <c r="A213" s="20" t="s">
        <v>937</v>
      </c>
      <c r="B213" s="7" t="s">
        <v>938</v>
      </c>
      <c r="C213" s="6"/>
      <c r="D213" s="6"/>
      <c r="E213" s="6"/>
      <c r="F213" s="6"/>
      <c r="G213" s="10" t="s">
        <v>9</v>
      </c>
      <c r="H213" s="6"/>
      <c r="I213" s="21"/>
      <c r="J213" t="str">
        <f>VLOOKUP(A213,All!A:A,1,FALSE)</f>
        <v>Chicago (Phoenix Military Academy)</v>
      </c>
    </row>
    <row r="214" spans="1:10" ht="15.75" thickBot="1" x14ac:dyDescent="0.3">
      <c r="A214" s="18" t="s">
        <v>293</v>
      </c>
      <c r="B214" s="3" t="s">
        <v>294</v>
      </c>
      <c r="C214" s="10" t="s">
        <v>12</v>
      </c>
      <c r="D214" s="10" t="s">
        <v>12</v>
      </c>
      <c r="E214" s="4"/>
      <c r="F214" s="4"/>
      <c r="G214" s="10" t="s">
        <v>12</v>
      </c>
      <c r="H214" s="4"/>
      <c r="I214" s="23" t="s">
        <v>11</v>
      </c>
      <c r="J214" t="str">
        <f>VLOOKUP(A214,All!A:A,1,FALSE)</f>
        <v>Chicago (Prosser)</v>
      </c>
    </row>
    <row r="215" spans="1:10" ht="15.75" thickBot="1" x14ac:dyDescent="0.3">
      <c r="A215" s="20" t="s">
        <v>295</v>
      </c>
      <c r="B215" s="7" t="s">
        <v>296</v>
      </c>
      <c r="C215" s="10" t="s">
        <v>9</v>
      </c>
      <c r="D215" s="6"/>
      <c r="E215" s="6"/>
      <c r="F215" s="6"/>
      <c r="G215" s="6"/>
      <c r="H215" s="6"/>
      <c r="I215" s="23" t="s">
        <v>9</v>
      </c>
      <c r="J215" t="str">
        <f>VLOOKUP(A215,All!A:A,1,FALSE)</f>
        <v>Chicago (Providence St. Mel)</v>
      </c>
    </row>
    <row r="216" spans="1:10" ht="15.75" thickBot="1" x14ac:dyDescent="0.3">
      <c r="A216" s="18" t="s">
        <v>297</v>
      </c>
      <c r="B216" s="3" t="s">
        <v>298</v>
      </c>
      <c r="C216" s="4"/>
      <c r="D216" s="10" t="s">
        <v>13</v>
      </c>
      <c r="E216" s="4"/>
      <c r="F216" s="10" t="s">
        <v>13</v>
      </c>
      <c r="G216" s="4"/>
      <c r="H216" s="11" t="s">
        <v>9</v>
      </c>
      <c r="I216" s="23" t="s">
        <v>12</v>
      </c>
      <c r="J216" t="str">
        <f>VLOOKUP(A216,All!A:A,1,FALSE)</f>
        <v>Chicago (Resurrection)</v>
      </c>
    </row>
    <row r="217" spans="1:10" ht="15.75" thickBot="1" x14ac:dyDescent="0.3">
      <c r="A217" s="20" t="s">
        <v>299</v>
      </c>
      <c r="B217" s="7">
        <v>304</v>
      </c>
      <c r="C217" s="6"/>
      <c r="D217" s="6"/>
      <c r="E217" s="6"/>
      <c r="F217" s="6"/>
      <c r="G217" s="6" t="s">
        <v>9</v>
      </c>
      <c r="H217" s="6"/>
      <c r="I217" s="21"/>
      <c r="J217" t="str">
        <f>VLOOKUP(A217,All!A:A,1,FALSE)</f>
        <v>Chicago (Richards)</v>
      </c>
    </row>
    <row r="218" spans="1:10" ht="15.75" thickBot="1" x14ac:dyDescent="0.3">
      <c r="A218" s="18" t="s">
        <v>300</v>
      </c>
      <c r="B218" s="3" t="s">
        <v>301</v>
      </c>
      <c r="C218" s="11" t="s">
        <v>9</v>
      </c>
      <c r="D218" s="11" t="s">
        <v>9</v>
      </c>
      <c r="E218" s="4"/>
      <c r="F218" s="10" t="s">
        <v>9</v>
      </c>
      <c r="G218" s="11" t="s">
        <v>9</v>
      </c>
      <c r="H218" s="4"/>
      <c r="I218" s="24" t="s">
        <v>13</v>
      </c>
      <c r="J218" t="str">
        <f>VLOOKUP(A218,All!A:A,1,FALSE)</f>
        <v>Chicago (Rickover Naval Academy)</v>
      </c>
    </row>
    <row r="219" spans="1:10" ht="15.75" thickBot="1" x14ac:dyDescent="0.3">
      <c r="A219" s="20" t="s">
        <v>302</v>
      </c>
      <c r="B219" s="5">
        <v>1057</v>
      </c>
      <c r="C219" s="6"/>
      <c r="D219" s="6"/>
      <c r="E219" s="6"/>
      <c r="F219" s="6"/>
      <c r="G219" s="6" t="s">
        <v>13</v>
      </c>
      <c r="H219" s="6"/>
      <c r="I219" s="21" t="s">
        <v>12</v>
      </c>
      <c r="J219" t="str">
        <f>VLOOKUP(A219,All!A:A,1,FALSE)</f>
        <v>Chicago (Roosevelt)</v>
      </c>
    </row>
    <row r="220" spans="1:10" ht="15.75" thickBot="1" x14ac:dyDescent="0.3">
      <c r="A220" s="18" t="s">
        <v>303</v>
      </c>
      <c r="B220" s="8">
        <v>1123</v>
      </c>
      <c r="C220" s="4"/>
      <c r="D220" s="4"/>
      <c r="E220" s="4"/>
      <c r="F220" s="4"/>
      <c r="G220" s="4" t="s">
        <v>13</v>
      </c>
      <c r="H220" s="4"/>
      <c r="I220" s="19" t="s">
        <v>12</v>
      </c>
      <c r="J220" t="str">
        <f>VLOOKUP(A220,All!A:A,1,FALSE)</f>
        <v>Chicago (Schurz)</v>
      </c>
    </row>
    <row r="221" spans="1:10" ht="15.75" thickBot="1" x14ac:dyDescent="0.3">
      <c r="A221" s="20" t="s">
        <v>304</v>
      </c>
      <c r="B221" s="5">
        <v>1494</v>
      </c>
      <c r="C221" s="6" t="s">
        <v>13</v>
      </c>
      <c r="D221" s="6" t="s">
        <v>13</v>
      </c>
      <c r="E221" s="6"/>
      <c r="F221" s="6"/>
      <c r="G221" s="6" t="s">
        <v>13</v>
      </c>
      <c r="H221" s="6" t="s">
        <v>13</v>
      </c>
      <c r="I221" s="21" t="s">
        <v>12</v>
      </c>
      <c r="J221" t="str">
        <f>VLOOKUP(A221,All!A:A,1,FALSE)</f>
        <v>Chicago (Senn)</v>
      </c>
    </row>
    <row r="222" spans="1:10" ht="15.75" thickBot="1" x14ac:dyDescent="0.3">
      <c r="A222" s="18" t="s">
        <v>305</v>
      </c>
      <c r="B222" s="3" t="s">
        <v>306</v>
      </c>
      <c r="C222" s="4"/>
      <c r="D222" s="4"/>
      <c r="E222" s="4"/>
      <c r="F222" s="4"/>
      <c r="G222" s="4"/>
      <c r="H222" s="4"/>
      <c r="I222" s="23" t="s">
        <v>11</v>
      </c>
      <c r="J222" t="str">
        <f>VLOOKUP(A222,All!A:A,1,FALSE)</f>
        <v>Chicago (Simeon)</v>
      </c>
    </row>
    <row r="223" spans="1:10" ht="15.75" thickBot="1" x14ac:dyDescent="0.3">
      <c r="A223" s="20" t="s">
        <v>307</v>
      </c>
      <c r="B223" s="5">
        <v>1245</v>
      </c>
      <c r="C223" s="6" t="s">
        <v>13</v>
      </c>
      <c r="D223" s="6" t="s">
        <v>13</v>
      </c>
      <c r="E223" s="6"/>
      <c r="F223" s="6"/>
      <c r="G223" s="6" t="s">
        <v>13</v>
      </c>
      <c r="H223" s="6"/>
      <c r="I223" s="21" t="s">
        <v>12</v>
      </c>
      <c r="J223" t="str">
        <f>VLOOKUP(A223,All!A:A,1,FALSE)</f>
        <v>Chicago (Solorio Academy)</v>
      </c>
    </row>
    <row r="224" spans="1:10" ht="15.75" thickBot="1" x14ac:dyDescent="0.3">
      <c r="A224" s="18" t="s">
        <v>308</v>
      </c>
      <c r="B224" s="3" t="s">
        <v>309</v>
      </c>
      <c r="C224" s="4"/>
      <c r="D224" s="4"/>
      <c r="E224" s="4"/>
      <c r="F224" s="4"/>
      <c r="G224" s="11" t="s">
        <v>9</v>
      </c>
      <c r="H224" s="4"/>
      <c r="I224" s="19" t="s">
        <v>13</v>
      </c>
      <c r="J224" t="str">
        <f>VLOOKUP(A224,All!A:A,1,FALSE)</f>
        <v>Chicago (South Shore International College Prep)</v>
      </c>
    </row>
    <row r="225" spans="1:10" ht="15.75" thickBot="1" x14ac:dyDescent="0.3">
      <c r="A225" s="20" t="s">
        <v>987</v>
      </c>
      <c r="B225" s="7" t="s">
        <v>988</v>
      </c>
      <c r="C225" s="6"/>
      <c r="D225" s="6"/>
      <c r="E225" s="6"/>
      <c r="F225" s="6"/>
      <c r="G225" s="10" t="s">
        <v>9</v>
      </c>
      <c r="H225" s="6"/>
      <c r="I225" s="21"/>
      <c r="J225" t="str">
        <f>VLOOKUP(A225,All!A:A,1,FALSE)</f>
        <v>Chicago (Spry Community Links)</v>
      </c>
    </row>
    <row r="226" spans="1:10" ht="15.75" thickBot="1" x14ac:dyDescent="0.3">
      <c r="A226" s="18" t="s">
        <v>310</v>
      </c>
      <c r="B226" s="3" t="s">
        <v>311</v>
      </c>
      <c r="C226" s="10" t="s">
        <v>12</v>
      </c>
      <c r="D226" s="12" t="s">
        <v>12</v>
      </c>
      <c r="E226" s="10" t="s">
        <v>12</v>
      </c>
      <c r="F226" s="10" t="s">
        <v>13</v>
      </c>
      <c r="G226" s="10" t="s">
        <v>12</v>
      </c>
      <c r="H226" s="10" t="s">
        <v>13</v>
      </c>
      <c r="I226" s="23" t="s">
        <v>11</v>
      </c>
      <c r="J226" t="str">
        <f>VLOOKUP(A226,All!A:A,1,FALSE)</f>
        <v>Chicago (St. Ignatius College Prep)</v>
      </c>
    </row>
    <row r="227" spans="1:10" ht="15.75" thickBot="1" x14ac:dyDescent="0.3">
      <c r="A227" s="20" t="s">
        <v>312</v>
      </c>
      <c r="B227" s="7" t="s">
        <v>313</v>
      </c>
      <c r="C227" s="11" t="s">
        <v>13</v>
      </c>
      <c r="D227" s="6"/>
      <c r="E227" s="10" t="s">
        <v>12</v>
      </c>
      <c r="F227" s="6"/>
      <c r="G227" s="11" t="s">
        <v>13</v>
      </c>
      <c r="H227" s="6"/>
      <c r="I227" s="21"/>
      <c r="J227" t="str">
        <f>VLOOKUP(A227,All!A:A,1,FALSE)</f>
        <v>Chicago (St. Patrick)</v>
      </c>
    </row>
    <row r="228" spans="1:10" ht="15.75" thickBot="1" x14ac:dyDescent="0.3">
      <c r="A228" s="18" t="s">
        <v>314</v>
      </c>
      <c r="B228" s="3" t="s">
        <v>42</v>
      </c>
      <c r="C228" s="10" t="s">
        <v>13</v>
      </c>
      <c r="D228" s="4"/>
      <c r="E228" s="10" t="s">
        <v>13</v>
      </c>
      <c r="F228" s="4"/>
      <c r="G228" s="10" t="s">
        <v>13</v>
      </c>
      <c r="H228" s="4"/>
      <c r="I228" s="19"/>
      <c r="J228" t="str">
        <f>VLOOKUP(A228,All!A:A,1,FALSE)</f>
        <v>Chicago (St. Rita)</v>
      </c>
    </row>
    <row r="229" spans="1:10" ht="15.75" thickBot="1" x14ac:dyDescent="0.3">
      <c r="A229" s="20" t="s">
        <v>316</v>
      </c>
      <c r="B229" s="7">
        <v>711</v>
      </c>
      <c r="C229" s="6" t="s">
        <v>13</v>
      </c>
      <c r="D229" s="6" t="s">
        <v>13</v>
      </c>
      <c r="E229" s="6"/>
      <c r="F229" s="6"/>
      <c r="G229" s="6" t="s">
        <v>13</v>
      </c>
      <c r="H229" s="6"/>
      <c r="I229" s="21" t="s">
        <v>12</v>
      </c>
      <c r="J229" t="str">
        <f>VLOOKUP(A229,All!A:A,1,FALSE)</f>
        <v>Chicago (Sullivan)</v>
      </c>
    </row>
    <row r="230" spans="1:10" ht="15.75" thickBot="1" x14ac:dyDescent="0.3">
      <c r="A230" s="18" t="s">
        <v>317</v>
      </c>
      <c r="B230" s="8">
        <v>4114</v>
      </c>
      <c r="C230" s="4" t="s">
        <v>12</v>
      </c>
      <c r="D230" s="4" t="s">
        <v>12</v>
      </c>
      <c r="E230" s="4" t="s">
        <v>12</v>
      </c>
      <c r="F230" s="4" t="s">
        <v>13</v>
      </c>
      <c r="G230" s="4" t="s">
        <v>12</v>
      </c>
      <c r="H230" s="4" t="s">
        <v>13</v>
      </c>
      <c r="I230" s="19" t="s">
        <v>11</v>
      </c>
      <c r="J230" t="str">
        <f>VLOOKUP(A230,All!A:A,1,FALSE)</f>
        <v>Chicago (Taft)</v>
      </c>
    </row>
    <row r="231" spans="1:10" ht="15.75" thickBot="1" x14ac:dyDescent="0.3">
      <c r="A231" s="20" t="s">
        <v>941</v>
      </c>
      <c r="B231" s="7">
        <v>246</v>
      </c>
      <c r="C231" s="6"/>
      <c r="D231" s="6"/>
      <c r="E231" s="6"/>
      <c r="F231" s="6"/>
      <c r="G231" s="6" t="s">
        <v>9</v>
      </c>
      <c r="H231" s="6"/>
      <c r="I231" s="21" t="s">
        <v>9</v>
      </c>
      <c r="J231" t="str">
        <f>VLOOKUP(A231,All!A:A,1,FALSE)</f>
        <v>Chicago (Tilden)</v>
      </c>
    </row>
    <row r="232" spans="1:10" ht="15.75" thickBot="1" x14ac:dyDescent="0.3">
      <c r="A232" s="18" t="s">
        <v>318</v>
      </c>
      <c r="B232" s="3" t="s">
        <v>319</v>
      </c>
      <c r="C232" s="4"/>
      <c r="D232" s="4"/>
      <c r="E232" s="4"/>
      <c r="F232" s="4"/>
      <c r="G232" s="4"/>
      <c r="H232" s="4"/>
      <c r="I232" s="23" t="s">
        <v>13</v>
      </c>
      <c r="J232" t="str">
        <f>VLOOKUP(A232,All!A:A,1,FALSE)</f>
        <v>Chicago (UCCS/Woodlawn)</v>
      </c>
    </row>
    <row r="233" spans="1:10" ht="15.75" thickBot="1" x14ac:dyDescent="0.3">
      <c r="A233" s="20" t="s">
        <v>320</v>
      </c>
      <c r="B233" s="7" t="s">
        <v>321</v>
      </c>
      <c r="C233" s="10" t="s">
        <v>13</v>
      </c>
      <c r="D233" s="10" t="s">
        <v>13</v>
      </c>
      <c r="E233" s="10" t="s">
        <v>13</v>
      </c>
      <c r="F233" s="10" t="s">
        <v>13</v>
      </c>
      <c r="G233" s="10" t="s">
        <v>13</v>
      </c>
      <c r="H233" s="10" t="s">
        <v>9</v>
      </c>
      <c r="I233" s="23" t="s">
        <v>12</v>
      </c>
      <c r="J233" t="str">
        <f>VLOOKUP(A233,All!A:A,1,FALSE)</f>
        <v>Chicago (University)</v>
      </c>
    </row>
    <row r="234" spans="1:10" ht="15.75" thickBot="1" x14ac:dyDescent="0.3">
      <c r="A234" s="18" t="s">
        <v>322</v>
      </c>
      <c r="B234" s="3" t="s">
        <v>323</v>
      </c>
      <c r="C234" s="4"/>
      <c r="D234" s="4"/>
      <c r="E234" s="4"/>
      <c r="F234" s="4"/>
      <c r="G234" s="4"/>
      <c r="H234" s="4"/>
      <c r="I234" s="24" t="s">
        <v>9</v>
      </c>
      <c r="J234" t="str">
        <f>VLOOKUP(A234,All!A:A,1,FALSE)</f>
        <v>Chicago (Uplift)</v>
      </c>
    </row>
    <row r="235" spans="1:10" ht="15.75" thickBot="1" x14ac:dyDescent="0.3">
      <c r="A235" s="25" t="s">
        <v>0</v>
      </c>
      <c r="B235" s="1" t="s">
        <v>1</v>
      </c>
      <c r="C235" s="2" t="s">
        <v>971</v>
      </c>
      <c r="D235" s="2" t="s">
        <v>972</v>
      </c>
      <c r="E235" s="2" t="s">
        <v>973</v>
      </c>
      <c r="F235" s="2" t="s">
        <v>974</v>
      </c>
      <c r="G235" s="2" t="s">
        <v>975</v>
      </c>
      <c r="H235" s="2" t="s">
        <v>976</v>
      </c>
      <c r="I235" s="26" t="s">
        <v>977</v>
      </c>
      <c r="J235" t="str">
        <f>VLOOKUP(A235,All!A:A,1,FALSE)</f>
        <v>School</v>
      </c>
    </row>
    <row r="236" spans="1:10" ht="15.75" thickBot="1" x14ac:dyDescent="0.3">
      <c r="A236" s="20" t="s">
        <v>326</v>
      </c>
      <c r="B236" s="7" t="s">
        <v>327</v>
      </c>
      <c r="C236" s="10" t="s">
        <v>12</v>
      </c>
      <c r="D236" s="10" t="s">
        <v>12</v>
      </c>
      <c r="E236" s="6"/>
      <c r="F236" s="6"/>
      <c r="G236" s="11" t="s">
        <v>13</v>
      </c>
      <c r="H236" s="6"/>
      <c r="I236" s="23" t="s">
        <v>11</v>
      </c>
      <c r="J236" t="str">
        <f>VLOOKUP(A236,All!A:A,1,FALSE)</f>
        <v>Chicago (Von Steuben)</v>
      </c>
    </row>
    <row r="237" spans="1:10" ht="15.75" thickBot="1" x14ac:dyDescent="0.3">
      <c r="A237" s="18" t="s">
        <v>989</v>
      </c>
      <c r="B237" s="3" t="s">
        <v>990</v>
      </c>
      <c r="C237" s="4"/>
      <c r="D237" s="4"/>
      <c r="E237" s="4"/>
      <c r="F237" s="4"/>
      <c r="G237" s="4"/>
      <c r="H237" s="4"/>
      <c r="I237" s="23" t="s">
        <v>9</v>
      </c>
      <c r="J237" t="str">
        <f>VLOOKUP(A237,All!A:A,1,FALSE)</f>
        <v>Chicago (Waldorf)</v>
      </c>
    </row>
    <row r="238" spans="1:10" ht="15.75" thickBot="1" x14ac:dyDescent="0.3">
      <c r="A238" s="20" t="s">
        <v>328</v>
      </c>
      <c r="B238" s="5">
        <v>1464</v>
      </c>
      <c r="C238" s="6" t="s">
        <v>13</v>
      </c>
      <c r="D238" s="6" t="s">
        <v>13</v>
      </c>
      <c r="E238" s="6"/>
      <c r="F238" s="6"/>
      <c r="G238" s="6" t="s">
        <v>13</v>
      </c>
      <c r="H238" s="6"/>
      <c r="I238" s="21" t="s">
        <v>12</v>
      </c>
      <c r="J238" t="str">
        <f>VLOOKUP(A238,All!A:A,1,FALSE)</f>
        <v>Chicago (Washington)</v>
      </c>
    </row>
    <row r="239" spans="1:10" ht="15.75" thickBot="1" x14ac:dyDescent="0.3">
      <c r="A239" s="18" t="s">
        <v>329</v>
      </c>
      <c r="B239" s="3" t="s">
        <v>330</v>
      </c>
      <c r="C239" s="4" t="s">
        <v>13</v>
      </c>
      <c r="D239" s="11" t="s">
        <v>13</v>
      </c>
      <c r="E239" s="4"/>
      <c r="F239" s="4"/>
      <c r="G239" s="11" t="s">
        <v>13</v>
      </c>
      <c r="H239" s="4"/>
      <c r="I239" s="24" t="s">
        <v>12</v>
      </c>
      <c r="J239" t="str">
        <f>VLOOKUP(A239,All!A:A,1,FALSE)</f>
        <v>Chicago (Westinghouse College Prep)</v>
      </c>
    </row>
    <row r="240" spans="1:10" ht="15.75" thickBot="1" x14ac:dyDescent="0.3">
      <c r="A240" s="20" t="s">
        <v>331</v>
      </c>
      <c r="B240" s="7" t="s">
        <v>332</v>
      </c>
      <c r="C240" s="10" t="s">
        <v>12</v>
      </c>
      <c r="D240" s="10" t="s">
        <v>12</v>
      </c>
      <c r="E240" s="10" t="s">
        <v>12</v>
      </c>
      <c r="F240" s="10" t="s">
        <v>13</v>
      </c>
      <c r="G240" s="10" t="s">
        <v>12</v>
      </c>
      <c r="H240" s="10" t="s">
        <v>13</v>
      </c>
      <c r="I240" s="23" t="s">
        <v>11</v>
      </c>
      <c r="J240" t="str">
        <f>VLOOKUP(A240,All!A:A,1,FALSE)</f>
        <v>Chicago (Whitney Young)</v>
      </c>
    </row>
    <row r="241" spans="1:10" ht="15.75" thickBot="1" x14ac:dyDescent="0.3">
      <c r="A241" s="18" t="s">
        <v>333</v>
      </c>
      <c r="B241" s="3" t="s">
        <v>334</v>
      </c>
      <c r="C241" s="10" t="s">
        <v>9</v>
      </c>
      <c r="D241" s="4"/>
      <c r="E241" s="4"/>
      <c r="F241" s="4"/>
      <c r="G241" s="4"/>
      <c r="H241" s="4"/>
      <c r="I241" s="23" t="s">
        <v>9</v>
      </c>
      <c r="J241" t="str">
        <f>VLOOKUP(A241,All!A:A,1,FALSE)</f>
        <v>Chicago (Wolcott)</v>
      </c>
    </row>
    <row r="242" spans="1:10" ht="15.75" thickBot="1" x14ac:dyDescent="0.3">
      <c r="A242" s="20" t="s">
        <v>335</v>
      </c>
      <c r="B242" s="5">
        <v>2964</v>
      </c>
      <c r="C242" s="6" t="s">
        <v>12</v>
      </c>
      <c r="D242" s="6" t="s">
        <v>12</v>
      </c>
      <c r="E242" s="6" t="s">
        <v>12</v>
      </c>
      <c r="F242" s="6"/>
      <c r="G242" s="6" t="s">
        <v>12</v>
      </c>
      <c r="H242" s="6" t="s">
        <v>13</v>
      </c>
      <c r="I242" s="21" t="s">
        <v>11</v>
      </c>
      <c r="J242" t="str">
        <f>VLOOKUP(A242,All!A:A,1,FALSE)</f>
        <v>Chicago Heights (Bloom Twp.)</v>
      </c>
    </row>
    <row r="243" spans="1:10" ht="15.75" thickBot="1" x14ac:dyDescent="0.3">
      <c r="A243" s="18" t="s">
        <v>336</v>
      </c>
      <c r="B243" s="3" t="s">
        <v>337</v>
      </c>
      <c r="C243" s="10" t="s">
        <v>13</v>
      </c>
      <c r="D243" s="10" t="s">
        <v>13</v>
      </c>
      <c r="E243" s="10" t="s">
        <v>13</v>
      </c>
      <c r="F243" s="4"/>
      <c r="G243" s="10" t="s">
        <v>13</v>
      </c>
      <c r="H243" s="10" t="s">
        <v>9</v>
      </c>
      <c r="I243" s="23" t="s">
        <v>12</v>
      </c>
      <c r="J243" t="str">
        <f>VLOOKUP(A243,All!A:A,1,FALSE)</f>
        <v>Chicago Heights (Marian)</v>
      </c>
    </row>
    <row r="244" spans="1:10" ht="15.75" thickBot="1" x14ac:dyDescent="0.3">
      <c r="A244" s="20" t="s">
        <v>338</v>
      </c>
      <c r="B244" s="7">
        <v>624</v>
      </c>
      <c r="C244" s="6" t="s">
        <v>13</v>
      </c>
      <c r="D244" s="6" t="s">
        <v>13</v>
      </c>
      <c r="E244" s="6" t="s">
        <v>13</v>
      </c>
      <c r="F244" s="6"/>
      <c r="G244" s="6" t="s">
        <v>9</v>
      </c>
      <c r="H244" s="6"/>
      <c r="I244" s="21" t="s">
        <v>13</v>
      </c>
      <c r="J244" t="str">
        <f>VLOOKUP(A244,All!A:A,1,FALSE)</f>
        <v>Chillicothe (Illinois Valley Central)</v>
      </c>
    </row>
    <row r="245" spans="1:10" ht="15.75" thickBot="1" x14ac:dyDescent="0.3">
      <c r="A245" s="18" t="s">
        <v>339</v>
      </c>
      <c r="B245" s="3">
        <v>90</v>
      </c>
      <c r="C245" s="9" t="s">
        <v>9</v>
      </c>
      <c r="D245" s="4"/>
      <c r="E245" s="9" t="s">
        <v>9</v>
      </c>
      <c r="F245" s="4"/>
      <c r="G245" s="4"/>
      <c r="H245" s="4"/>
      <c r="I245" s="19" t="s">
        <v>9</v>
      </c>
      <c r="J245" t="str">
        <f>VLOOKUP(A245,All!A:A,1,FALSE)</f>
        <v>Chrisman</v>
      </c>
    </row>
    <row r="246" spans="1:10" ht="15.75" thickBot="1" x14ac:dyDescent="0.3">
      <c r="A246" s="20" t="s">
        <v>340</v>
      </c>
      <c r="B246" s="7">
        <v>202</v>
      </c>
      <c r="C246" s="9" t="s">
        <v>9</v>
      </c>
      <c r="D246" s="9" t="s">
        <v>9</v>
      </c>
      <c r="E246" s="6"/>
      <c r="F246" s="6"/>
      <c r="G246" s="6"/>
      <c r="H246" s="6"/>
      <c r="I246" s="21" t="s">
        <v>9</v>
      </c>
      <c r="J246" t="str">
        <f>VLOOKUP(A246,All!A:A,1,FALSE)</f>
        <v>Christopher</v>
      </c>
    </row>
    <row r="247" spans="1:10" ht="15.75" thickBot="1" x14ac:dyDescent="0.3">
      <c r="A247" s="18" t="s">
        <v>341</v>
      </c>
      <c r="B247" s="3">
        <v>104</v>
      </c>
      <c r="C247" s="4"/>
      <c r="D247" s="4"/>
      <c r="E247" s="4"/>
      <c r="F247" s="4"/>
      <c r="G247" s="4"/>
      <c r="H247" s="4"/>
      <c r="I247" s="19" t="s">
        <v>9</v>
      </c>
      <c r="J247" t="str">
        <f>VLOOKUP(A247,All!A:A,1,FALSE)</f>
        <v>Cisne</v>
      </c>
    </row>
    <row r="248" spans="1:10" ht="15.75" thickBot="1" x14ac:dyDescent="0.3">
      <c r="A248" s="20" t="s">
        <v>342</v>
      </c>
      <c r="B248" s="7">
        <v>100</v>
      </c>
      <c r="C248" s="6"/>
      <c r="D248" s="6"/>
      <c r="E248" s="6"/>
      <c r="F248" s="6"/>
      <c r="G248" s="6"/>
      <c r="H248" s="6"/>
      <c r="I248" s="22" t="s">
        <v>9</v>
      </c>
      <c r="J248" t="str">
        <f>VLOOKUP(A248,All!A:A,1,FALSE)</f>
        <v>Cissna Park</v>
      </c>
    </row>
    <row r="249" spans="1:10" ht="15.75" thickBot="1" x14ac:dyDescent="0.3">
      <c r="A249" s="18" t="s">
        <v>943</v>
      </c>
      <c r="B249" s="3">
        <v>73</v>
      </c>
      <c r="C249" s="9" t="s">
        <v>9</v>
      </c>
      <c r="D249" s="4"/>
      <c r="E249" s="4"/>
      <c r="F249" s="4"/>
      <c r="G249" s="4"/>
      <c r="H249" s="4"/>
      <c r="I249" s="19"/>
      <c r="J249" t="str">
        <f>VLOOKUP(A249,All!A:A,1,FALSE)</f>
        <v>Clay City</v>
      </c>
    </row>
    <row r="250" spans="1:10" ht="15.75" thickBot="1" x14ac:dyDescent="0.3">
      <c r="A250" s="20" t="s">
        <v>343</v>
      </c>
      <c r="B250" s="7">
        <v>277</v>
      </c>
      <c r="C250" s="6" t="s">
        <v>9</v>
      </c>
      <c r="D250" s="6"/>
      <c r="E250" s="6"/>
      <c r="F250" s="6"/>
      <c r="G250" s="6" t="s">
        <v>9</v>
      </c>
      <c r="H250" s="6"/>
      <c r="I250" s="21" t="s">
        <v>9</v>
      </c>
      <c r="J250" t="str">
        <f>VLOOKUP(A250,All!A:A,1,FALSE)</f>
        <v>Clifton (Central)</v>
      </c>
    </row>
    <row r="251" spans="1:10" ht="15.75" thickBot="1" x14ac:dyDescent="0.3">
      <c r="A251" s="18" t="s">
        <v>344</v>
      </c>
      <c r="B251" s="3">
        <v>485</v>
      </c>
      <c r="C251" s="4" t="s">
        <v>9</v>
      </c>
      <c r="D251" s="4" t="s">
        <v>9</v>
      </c>
      <c r="E251" s="4" t="s">
        <v>9</v>
      </c>
      <c r="F251" s="4" t="s">
        <v>9</v>
      </c>
      <c r="G251" s="4"/>
      <c r="H251" s="4"/>
      <c r="I251" s="19" t="s">
        <v>13</v>
      </c>
      <c r="J251" t="str">
        <f>VLOOKUP(A251,All!A:A,1,FALSE)</f>
        <v>Clinton</v>
      </c>
    </row>
    <row r="252" spans="1:10" ht="15.75" thickBot="1" x14ac:dyDescent="0.3">
      <c r="A252" s="20" t="s">
        <v>345</v>
      </c>
      <c r="B252" s="7">
        <v>640</v>
      </c>
      <c r="C252" s="6"/>
      <c r="D252" s="6"/>
      <c r="E252" s="6" t="s">
        <v>13</v>
      </c>
      <c r="F252" s="6" t="s">
        <v>9</v>
      </c>
      <c r="G252" s="6" t="s">
        <v>9</v>
      </c>
      <c r="H252" s="6" t="s">
        <v>9</v>
      </c>
      <c r="I252" s="21" t="s">
        <v>13</v>
      </c>
      <c r="J252" t="str">
        <f>VLOOKUP(A252,All!A:A,1,FALSE)</f>
        <v>Coal City</v>
      </c>
    </row>
    <row r="253" spans="1:10" ht="15.75" thickBot="1" x14ac:dyDescent="0.3">
      <c r="A253" s="18" t="s">
        <v>346</v>
      </c>
      <c r="B253" s="3">
        <v>133</v>
      </c>
      <c r="C253" s="4" t="s">
        <v>9</v>
      </c>
      <c r="D253" s="4" t="s">
        <v>9</v>
      </c>
      <c r="E253" s="4" t="s">
        <v>9</v>
      </c>
      <c r="F253" s="4" t="s">
        <v>9</v>
      </c>
      <c r="G253" s="4"/>
      <c r="H253" s="4"/>
      <c r="I253" s="19" t="s">
        <v>9</v>
      </c>
      <c r="J253" t="str">
        <f>VLOOKUP(A253,All!A:A,1,FALSE)</f>
        <v>Cobden</v>
      </c>
    </row>
    <row r="254" spans="1:10" ht="15.75" thickBot="1" x14ac:dyDescent="0.3">
      <c r="A254" s="20" t="s">
        <v>347</v>
      </c>
      <c r="B254" s="7">
        <v>162</v>
      </c>
      <c r="C254" s="6"/>
      <c r="D254" s="6"/>
      <c r="E254" s="6" t="s">
        <v>9</v>
      </c>
      <c r="F254" s="6"/>
      <c r="G254" s="6"/>
      <c r="H254" s="6"/>
      <c r="I254" s="21" t="s">
        <v>9</v>
      </c>
      <c r="J254" t="str">
        <f>VLOOKUP(A254,All!A:A,1,FALSE)</f>
        <v>Colfax (Ridgeview)</v>
      </c>
    </row>
    <row r="255" spans="1:10" ht="15.75" thickBot="1" x14ac:dyDescent="0.3">
      <c r="A255" s="18" t="s">
        <v>348</v>
      </c>
      <c r="B255" s="8">
        <v>1917</v>
      </c>
      <c r="C255" s="4" t="s">
        <v>12</v>
      </c>
      <c r="D255" s="4" t="s">
        <v>12</v>
      </c>
      <c r="E255" s="4" t="s">
        <v>12</v>
      </c>
      <c r="F255" s="4" t="s">
        <v>13</v>
      </c>
      <c r="G255" s="4" t="s">
        <v>12</v>
      </c>
      <c r="H255" s="4" t="s">
        <v>13</v>
      </c>
      <c r="I255" s="19" t="s">
        <v>11</v>
      </c>
      <c r="J255" t="str">
        <f>VLOOKUP(A255,All!A:A,1,FALSE)</f>
        <v>Collinsville</v>
      </c>
    </row>
    <row r="256" spans="1:10" ht="15.75" thickBot="1" x14ac:dyDescent="0.3">
      <c r="A256" s="20" t="s">
        <v>349</v>
      </c>
      <c r="B256" s="7">
        <v>600</v>
      </c>
      <c r="C256" s="6" t="s">
        <v>9</v>
      </c>
      <c r="D256" s="6" t="s">
        <v>9</v>
      </c>
      <c r="E256" s="6" t="s">
        <v>13</v>
      </c>
      <c r="F256" s="6" t="s">
        <v>9</v>
      </c>
      <c r="G256" s="6" t="s">
        <v>9</v>
      </c>
      <c r="H256" s="6"/>
      <c r="I256" s="21" t="s">
        <v>13</v>
      </c>
      <c r="J256" t="str">
        <f>VLOOKUP(A256,All!A:A,1,FALSE)</f>
        <v>Columbia</v>
      </c>
    </row>
    <row r="257" spans="1:10" ht="15.75" thickBot="1" x14ac:dyDescent="0.3">
      <c r="A257" s="18" t="s">
        <v>350</v>
      </c>
      <c r="B257" s="3">
        <v>120</v>
      </c>
      <c r="C257" s="4"/>
      <c r="D257" s="4"/>
      <c r="E257" s="4"/>
      <c r="F257" s="4"/>
      <c r="G257" s="4"/>
      <c r="H257" s="4"/>
      <c r="I257" s="22" t="s">
        <v>9</v>
      </c>
      <c r="J257" t="str">
        <f>VLOOKUP(A257,All!A:A,1,FALSE)</f>
        <v>Concord (Triopia)</v>
      </c>
    </row>
    <row r="258" spans="1:10" ht="15.75" thickBot="1" x14ac:dyDescent="0.3">
      <c r="A258" s="20" t="s">
        <v>351</v>
      </c>
      <c r="B258" s="5">
        <v>1001</v>
      </c>
      <c r="C258" s="6" t="s">
        <v>13</v>
      </c>
      <c r="D258" s="6" t="s">
        <v>13</v>
      </c>
      <c r="E258" s="6"/>
      <c r="F258" s="6"/>
      <c r="G258" s="6"/>
      <c r="H258" s="6" t="s">
        <v>9</v>
      </c>
      <c r="I258" s="21" t="s">
        <v>12</v>
      </c>
      <c r="J258" t="str">
        <f>VLOOKUP(A258,All!A:A,1,FALSE)</f>
        <v>Country Club Hills (Hillcrest)</v>
      </c>
    </row>
    <row r="259" spans="1:10" ht="15.75" thickBot="1" x14ac:dyDescent="0.3">
      <c r="A259" s="18" t="s">
        <v>352</v>
      </c>
      <c r="B259" s="3">
        <v>98</v>
      </c>
      <c r="C259" s="9" t="s">
        <v>9</v>
      </c>
      <c r="D259" s="9" t="s">
        <v>9</v>
      </c>
      <c r="E259" s="4"/>
      <c r="F259" s="4"/>
      <c r="G259" s="4"/>
      <c r="H259" s="4"/>
      <c r="I259" s="22" t="s">
        <v>9</v>
      </c>
      <c r="J259" t="str">
        <f>VLOOKUP(A259,All!A:A,1,FALSE)</f>
        <v>Cowden (C.-Herrick)</v>
      </c>
    </row>
    <row r="260" spans="1:10" ht="15.75" thickBot="1" x14ac:dyDescent="0.3">
      <c r="A260" s="20" t="s">
        <v>353</v>
      </c>
      <c r="B260" s="5">
        <v>1461</v>
      </c>
      <c r="C260" s="6" t="s">
        <v>13</v>
      </c>
      <c r="D260" s="6" t="s">
        <v>13</v>
      </c>
      <c r="E260" s="6" t="s">
        <v>12</v>
      </c>
      <c r="F260" s="6"/>
      <c r="G260" s="6" t="s">
        <v>13</v>
      </c>
      <c r="H260" s="6" t="s">
        <v>13</v>
      </c>
      <c r="I260" s="21" t="s">
        <v>12</v>
      </c>
      <c r="J260" t="str">
        <f>VLOOKUP(A260,All!A:A,1,FALSE)</f>
        <v>Crete (C.-Monee)</v>
      </c>
    </row>
    <row r="261" spans="1:10" ht="15.75" thickBot="1" x14ac:dyDescent="0.3">
      <c r="A261" s="25" t="s">
        <v>0</v>
      </c>
      <c r="B261" s="1" t="s">
        <v>1</v>
      </c>
      <c r="C261" s="2" t="s">
        <v>971</v>
      </c>
      <c r="D261" s="2" t="s">
        <v>972</v>
      </c>
      <c r="E261" s="2" t="s">
        <v>973</v>
      </c>
      <c r="F261" s="2" t="s">
        <v>974</v>
      </c>
      <c r="G261" s="2" t="s">
        <v>975</v>
      </c>
      <c r="H261" s="2" t="s">
        <v>976</v>
      </c>
      <c r="I261" s="26" t="s">
        <v>977</v>
      </c>
      <c r="J261" t="str">
        <f>VLOOKUP(A261,All!A:A,1,FALSE)</f>
        <v>School</v>
      </c>
    </row>
    <row r="262" spans="1:10" ht="15.75" thickBot="1" x14ac:dyDescent="0.3">
      <c r="A262" s="18" t="s">
        <v>354</v>
      </c>
      <c r="B262" s="3" t="s">
        <v>355</v>
      </c>
      <c r="C262" s="4"/>
      <c r="D262" s="4"/>
      <c r="E262" s="10" t="s">
        <v>9</v>
      </c>
      <c r="F262" s="4"/>
      <c r="G262" s="10" t="s">
        <v>9</v>
      </c>
      <c r="H262" s="4"/>
      <c r="I262" s="23" t="s">
        <v>9</v>
      </c>
      <c r="J262" t="str">
        <f>VLOOKUP(A262,All!A:A,1,FALSE)</f>
        <v>Crete (Illinois Lutheran)</v>
      </c>
    </row>
    <row r="263" spans="1:10" ht="15.75" thickBot="1" x14ac:dyDescent="0.3">
      <c r="A263" s="20" t="s">
        <v>356</v>
      </c>
      <c r="B263" s="5">
        <v>1447</v>
      </c>
      <c r="C263" s="6" t="s">
        <v>13</v>
      </c>
      <c r="D263" s="6" t="s">
        <v>13</v>
      </c>
      <c r="E263" s="6" t="s">
        <v>13</v>
      </c>
      <c r="F263" s="9" t="s">
        <v>13</v>
      </c>
      <c r="G263" s="6" t="s">
        <v>13</v>
      </c>
      <c r="H263" s="6" t="s">
        <v>9</v>
      </c>
      <c r="I263" s="21" t="s">
        <v>12</v>
      </c>
      <c r="J263" t="str">
        <f>VLOOKUP(A263,All!A:A,1,FALSE)</f>
        <v>Crystal Lake (Central)</v>
      </c>
    </row>
    <row r="264" spans="1:10" ht="15.75" thickBot="1" x14ac:dyDescent="0.3">
      <c r="A264" s="18" t="s">
        <v>357</v>
      </c>
      <c r="B264" s="8">
        <v>1175</v>
      </c>
      <c r="C264" s="4" t="s">
        <v>13</v>
      </c>
      <c r="D264" s="4" t="s">
        <v>13</v>
      </c>
      <c r="E264" s="4" t="s">
        <v>13</v>
      </c>
      <c r="F264" s="4" t="s">
        <v>13</v>
      </c>
      <c r="G264" s="4" t="s">
        <v>13</v>
      </c>
      <c r="H264" s="4" t="s">
        <v>9</v>
      </c>
      <c r="I264" s="19" t="s">
        <v>12</v>
      </c>
      <c r="J264" t="str">
        <f>VLOOKUP(A264,All!A:A,1,FALSE)</f>
        <v>Crystal Lake (Prairie Ridge)</v>
      </c>
    </row>
    <row r="265" spans="1:10" ht="15.75" thickBot="1" x14ac:dyDescent="0.3">
      <c r="A265" s="20" t="s">
        <v>358</v>
      </c>
      <c r="B265" s="5">
        <v>1224</v>
      </c>
      <c r="C265" s="6" t="s">
        <v>13</v>
      </c>
      <c r="D265" s="6" t="s">
        <v>13</v>
      </c>
      <c r="E265" s="6" t="s">
        <v>13</v>
      </c>
      <c r="F265" s="6"/>
      <c r="G265" s="6" t="s">
        <v>13</v>
      </c>
      <c r="H265" s="6" t="s">
        <v>9</v>
      </c>
      <c r="I265" s="21" t="s">
        <v>12</v>
      </c>
      <c r="J265" t="str">
        <f>VLOOKUP(A265,All!A:A,1,FALSE)</f>
        <v>Crystal Lake (South)</v>
      </c>
    </row>
    <row r="266" spans="1:10" ht="15.75" thickBot="1" x14ac:dyDescent="0.3">
      <c r="A266" s="18" t="s">
        <v>359</v>
      </c>
      <c r="B266" s="3">
        <v>114</v>
      </c>
      <c r="C266" s="4"/>
      <c r="D266" s="4"/>
      <c r="E266" s="9" t="s">
        <v>9</v>
      </c>
      <c r="F266" s="9" t="s">
        <v>9</v>
      </c>
      <c r="G266" s="4"/>
      <c r="H266" s="4"/>
      <c r="I266" s="19"/>
      <c r="J266" t="str">
        <f>VLOOKUP(A266,All!A:A,1,FALSE)</f>
        <v>Cuba</v>
      </c>
    </row>
    <row r="267" spans="1:10" ht="15.75" thickBot="1" x14ac:dyDescent="0.3">
      <c r="A267" s="20" t="s">
        <v>360</v>
      </c>
      <c r="B267" s="7">
        <v>91</v>
      </c>
      <c r="C267" s="6" t="s">
        <v>9</v>
      </c>
      <c r="D267" s="6"/>
      <c r="E267" s="6"/>
      <c r="F267" s="6"/>
      <c r="G267" s="6"/>
      <c r="H267" s="6"/>
      <c r="I267" s="21" t="s">
        <v>9</v>
      </c>
      <c r="J267" t="str">
        <f>VLOOKUP(A267,All!A:A,1,FALSE)</f>
        <v>Cullom (Tri-Point)</v>
      </c>
    </row>
    <row r="268" spans="1:10" ht="15.75" thickBot="1" x14ac:dyDescent="0.3">
      <c r="A268" s="18" t="s">
        <v>361</v>
      </c>
      <c r="B268" s="3">
        <v>237</v>
      </c>
      <c r="C268" s="4" t="s">
        <v>9</v>
      </c>
      <c r="D268" s="4" t="s">
        <v>9</v>
      </c>
      <c r="E268" s="4" t="s">
        <v>9</v>
      </c>
      <c r="F268" s="4"/>
      <c r="G268" s="4"/>
      <c r="H268" s="4"/>
      <c r="I268" s="19" t="s">
        <v>9</v>
      </c>
      <c r="J268" t="str">
        <f>VLOOKUP(A268,All!A:A,1,FALSE)</f>
        <v>Dakota</v>
      </c>
    </row>
    <row r="269" spans="1:10" ht="15.75" thickBot="1" x14ac:dyDescent="0.3">
      <c r="A269" s="20" t="s">
        <v>362</v>
      </c>
      <c r="B269" s="5">
        <v>1159</v>
      </c>
      <c r="C269" s="6" t="s">
        <v>13</v>
      </c>
      <c r="D269" s="6"/>
      <c r="E269" s="6" t="s">
        <v>13</v>
      </c>
      <c r="F269" s="6"/>
      <c r="G269" s="6" t="s">
        <v>13</v>
      </c>
      <c r="H269" s="6" t="s">
        <v>9</v>
      </c>
      <c r="I269" s="21" t="s">
        <v>12</v>
      </c>
      <c r="J269" t="str">
        <f>VLOOKUP(A269,All!A:A,1,FALSE)</f>
        <v>Danville (H.S.)</v>
      </c>
    </row>
    <row r="270" spans="1:10" ht="15.75" thickBot="1" x14ac:dyDescent="0.3">
      <c r="A270" s="18" t="s">
        <v>363</v>
      </c>
      <c r="B270" s="3" t="s">
        <v>364</v>
      </c>
      <c r="C270" s="4"/>
      <c r="D270" s="4"/>
      <c r="E270" s="10" t="s">
        <v>9</v>
      </c>
      <c r="F270" s="4"/>
      <c r="G270" s="10" t="s">
        <v>9</v>
      </c>
      <c r="H270" s="10" t="s">
        <v>9</v>
      </c>
      <c r="I270" s="23" t="s">
        <v>9</v>
      </c>
      <c r="J270" t="str">
        <f>VLOOKUP(A270,All!A:A,1,FALSE)</f>
        <v>Danville (Schlarman)</v>
      </c>
    </row>
    <row r="271" spans="1:10" ht="15.75" thickBot="1" x14ac:dyDescent="0.3">
      <c r="A271" s="20" t="s">
        <v>365</v>
      </c>
      <c r="B271" s="5">
        <v>1340</v>
      </c>
      <c r="C271" s="6" t="s">
        <v>13</v>
      </c>
      <c r="D271" s="6" t="s">
        <v>13</v>
      </c>
      <c r="E271" s="6" t="s">
        <v>13</v>
      </c>
      <c r="F271" s="6" t="s">
        <v>13</v>
      </c>
      <c r="G271" s="6" t="s">
        <v>13</v>
      </c>
      <c r="H271" s="6" t="s">
        <v>9</v>
      </c>
      <c r="I271" s="21" t="s">
        <v>12</v>
      </c>
      <c r="J271" t="str">
        <f>VLOOKUP(A271,All!A:A,1,FALSE)</f>
        <v>Darien (Hinsdale South)</v>
      </c>
    </row>
    <row r="272" spans="1:10" ht="15.75" thickBot="1" x14ac:dyDescent="0.3">
      <c r="A272" s="18" t="s">
        <v>366</v>
      </c>
      <c r="B272" s="3">
        <v>860</v>
      </c>
      <c r="C272" s="9" t="s">
        <v>12</v>
      </c>
      <c r="D272" s="9" t="s">
        <v>12</v>
      </c>
      <c r="E272" s="4"/>
      <c r="F272" s="4"/>
      <c r="G272" s="4" t="s">
        <v>13</v>
      </c>
      <c r="H272" s="4"/>
      <c r="I272" s="19" t="s">
        <v>12</v>
      </c>
      <c r="J272" t="str">
        <f>VLOOKUP(A272,All!A:A,1,FALSE)</f>
        <v>Decatur (Eisenhower)</v>
      </c>
    </row>
    <row r="273" spans="1:10" ht="15.75" thickBot="1" x14ac:dyDescent="0.3">
      <c r="A273" s="20" t="s">
        <v>367</v>
      </c>
      <c r="B273" s="5">
        <v>1009</v>
      </c>
      <c r="C273" s="6" t="s">
        <v>13</v>
      </c>
      <c r="D273" s="6" t="s">
        <v>13</v>
      </c>
      <c r="E273" s="6"/>
      <c r="F273" s="6"/>
      <c r="G273" s="9" t="s">
        <v>12</v>
      </c>
      <c r="H273" s="6"/>
      <c r="I273" s="21" t="s">
        <v>12</v>
      </c>
      <c r="J273" t="str">
        <f>VLOOKUP(A273,All!A:A,1,FALSE)</f>
        <v>Decatur (MacArthur)</v>
      </c>
    </row>
    <row r="274" spans="1:10" ht="15.75" thickBot="1" x14ac:dyDescent="0.3">
      <c r="A274" s="18" t="s">
        <v>368</v>
      </c>
      <c r="B274" s="3" t="s">
        <v>369</v>
      </c>
      <c r="C274" s="10" t="s">
        <v>9</v>
      </c>
      <c r="D274" s="10" t="s">
        <v>9</v>
      </c>
      <c r="E274" s="10" t="s">
        <v>9</v>
      </c>
      <c r="F274" s="4"/>
      <c r="G274" s="10" t="s">
        <v>9</v>
      </c>
      <c r="H274" s="10" t="s">
        <v>9</v>
      </c>
      <c r="I274" s="24" t="s">
        <v>9</v>
      </c>
      <c r="J274" t="str">
        <f>VLOOKUP(A274,All!A:A,1,FALSE)</f>
        <v>Decatur (St. Teresa)</v>
      </c>
    </row>
    <row r="275" spans="1:10" ht="15.75" thickBot="1" x14ac:dyDescent="0.3">
      <c r="A275" s="20" t="s">
        <v>370</v>
      </c>
      <c r="B275" s="7" t="s">
        <v>371</v>
      </c>
      <c r="C275" s="6"/>
      <c r="D275" s="6"/>
      <c r="E275" s="6"/>
      <c r="F275" s="6"/>
      <c r="G275" s="6"/>
      <c r="H275" s="6"/>
      <c r="I275" s="23" t="s">
        <v>9</v>
      </c>
      <c r="J275" t="str">
        <f>VLOOKUP(A275,All!A:A,1,FALSE)</f>
        <v>Decatur (Unity Christian)</v>
      </c>
    </row>
    <row r="276" spans="1:10" ht="15.75" thickBot="1" x14ac:dyDescent="0.3">
      <c r="A276" s="18" t="s">
        <v>372</v>
      </c>
      <c r="B276" s="8">
        <v>1397</v>
      </c>
      <c r="C276" s="4" t="s">
        <v>13</v>
      </c>
      <c r="D276" s="4" t="s">
        <v>13</v>
      </c>
      <c r="E276" s="4" t="s">
        <v>13</v>
      </c>
      <c r="F276" s="4" t="s">
        <v>13</v>
      </c>
      <c r="G276" s="4" t="s">
        <v>13</v>
      </c>
      <c r="H276" s="4" t="s">
        <v>9</v>
      </c>
      <c r="I276" s="19" t="s">
        <v>12</v>
      </c>
      <c r="J276" t="str">
        <f>VLOOKUP(A276,All!A:A,1,FALSE)</f>
        <v>Deerfield (H.S.)</v>
      </c>
    </row>
    <row r="277" spans="1:10" ht="15.75" thickBot="1" x14ac:dyDescent="0.3">
      <c r="A277" s="20" t="s">
        <v>373</v>
      </c>
      <c r="B277" s="7" t="s">
        <v>374</v>
      </c>
      <c r="C277" s="10" t="s">
        <v>9</v>
      </c>
      <c r="D277" s="6"/>
      <c r="E277" s="6"/>
      <c r="F277" s="6"/>
      <c r="G277" s="10" t="s">
        <v>9</v>
      </c>
      <c r="H277" s="6"/>
      <c r="I277" s="23" t="s">
        <v>9</v>
      </c>
      <c r="J277" t="str">
        <f>VLOOKUP(A277,All!A:A,1,FALSE)</f>
        <v>Deerfield (Rochelle Zell)</v>
      </c>
    </row>
    <row r="278" spans="1:10" ht="15.75" thickBot="1" x14ac:dyDescent="0.3">
      <c r="A278" s="18" t="s">
        <v>375</v>
      </c>
      <c r="B278" s="8">
        <v>1992</v>
      </c>
      <c r="C278" s="4" t="s">
        <v>12</v>
      </c>
      <c r="D278" s="4" t="s">
        <v>12</v>
      </c>
      <c r="E278" s="4" t="s">
        <v>12</v>
      </c>
      <c r="F278" s="4"/>
      <c r="G278" s="4" t="s">
        <v>12</v>
      </c>
      <c r="H278" s="4" t="s">
        <v>13</v>
      </c>
      <c r="I278" s="19" t="s">
        <v>11</v>
      </c>
      <c r="J278" t="str">
        <f>VLOOKUP(A278,All!A:A,1,FALSE)</f>
        <v>DeKalb</v>
      </c>
    </row>
    <row r="279" spans="1:10" ht="15.75" thickBot="1" x14ac:dyDescent="0.3">
      <c r="A279" s="20" t="s">
        <v>376</v>
      </c>
      <c r="B279" s="7">
        <v>45</v>
      </c>
      <c r="C279" s="6"/>
      <c r="D279" s="6"/>
      <c r="E279" s="6"/>
      <c r="F279" s="6"/>
      <c r="G279" s="6"/>
      <c r="H279" s="6"/>
      <c r="I279" s="21" t="s">
        <v>9</v>
      </c>
      <c r="J279" t="str">
        <f>VLOOKUP(A279,All!A:A,1,FALSE)</f>
        <v>DeLand (D.-Weldon)</v>
      </c>
    </row>
    <row r="280" spans="1:10" ht="15.75" thickBot="1" x14ac:dyDescent="0.3">
      <c r="A280" s="18" t="s">
        <v>377</v>
      </c>
      <c r="B280" s="3">
        <v>129</v>
      </c>
      <c r="C280" s="9" t="s">
        <v>9</v>
      </c>
      <c r="D280" s="9" t="s">
        <v>9</v>
      </c>
      <c r="E280" s="4" t="s">
        <v>9</v>
      </c>
      <c r="F280" s="4"/>
      <c r="G280" s="4"/>
      <c r="H280" s="4"/>
      <c r="I280" s="19" t="s">
        <v>9</v>
      </c>
      <c r="J280" t="str">
        <f>VLOOKUP(A280,All!A:A,1,FALSE)</f>
        <v>Delavan</v>
      </c>
    </row>
    <row r="281" spans="1:10" ht="15.75" thickBot="1" x14ac:dyDescent="0.3">
      <c r="A281" s="20" t="s">
        <v>378</v>
      </c>
      <c r="B281" s="7">
        <v>83</v>
      </c>
      <c r="C281" s="6"/>
      <c r="D281" s="6"/>
      <c r="E281" s="6"/>
      <c r="F281" s="6"/>
      <c r="G281" s="9" t="s">
        <v>9</v>
      </c>
      <c r="H281" s="6"/>
      <c r="I281" s="21" t="s">
        <v>9</v>
      </c>
      <c r="J281" t="str">
        <f>VLOOKUP(A281,All!A:A,1,FALSE)</f>
        <v>DePue</v>
      </c>
    </row>
    <row r="282" spans="1:10" ht="15.75" thickBot="1" x14ac:dyDescent="0.3">
      <c r="A282" s="18" t="s">
        <v>379</v>
      </c>
      <c r="B282" s="8">
        <v>1817</v>
      </c>
      <c r="C282" s="4" t="s">
        <v>12</v>
      </c>
      <c r="D282" s="4" t="s">
        <v>12</v>
      </c>
      <c r="E282" s="4" t="s">
        <v>12</v>
      </c>
      <c r="F282" s="4" t="s">
        <v>13</v>
      </c>
      <c r="G282" s="4" t="s">
        <v>12</v>
      </c>
      <c r="H282" s="4" t="s">
        <v>13</v>
      </c>
      <c r="I282" s="19" t="s">
        <v>11</v>
      </c>
      <c r="J282" t="str">
        <f>VLOOKUP(A282,All!A:A,1,FALSE)</f>
        <v>Des Plaines (Maine West)</v>
      </c>
    </row>
    <row r="283" spans="1:10" ht="15.75" thickBot="1" x14ac:dyDescent="0.3">
      <c r="A283" s="20" t="s">
        <v>380</v>
      </c>
      <c r="B283" s="7" t="s">
        <v>381</v>
      </c>
      <c r="C283" s="6"/>
      <c r="D283" s="10" t="s">
        <v>9</v>
      </c>
      <c r="E283" s="6"/>
      <c r="F283" s="6"/>
      <c r="G283" s="6"/>
      <c r="H283" s="10" t="s">
        <v>9</v>
      </c>
      <c r="I283" s="24" t="s">
        <v>9</v>
      </c>
      <c r="J283" t="str">
        <f>VLOOKUP(A283,All!A:A,1,FALSE)</f>
        <v>Des Plaines (Willows Academy)</v>
      </c>
    </row>
    <row r="284" spans="1:10" ht="15.75" thickBot="1" x14ac:dyDescent="0.3">
      <c r="A284" s="18" t="s">
        <v>382</v>
      </c>
      <c r="B284" s="3">
        <v>189</v>
      </c>
      <c r="C284" s="4" t="s">
        <v>9</v>
      </c>
      <c r="D284" s="4" t="s">
        <v>9</v>
      </c>
      <c r="E284" s="4" t="s">
        <v>9</v>
      </c>
      <c r="F284" s="4"/>
      <c r="G284" s="4"/>
      <c r="H284" s="4"/>
      <c r="I284" s="19" t="s">
        <v>9</v>
      </c>
      <c r="J284" t="str">
        <f>VLOOKUP(A284,All!A:A,1,FALSE)</f>
        <v>Dieterich</v>
      </c>
    </row>
    <row r="285" spans="1:10" ht="15.75" thickBot="1" x14ac:dyDescent="0.3">
      <c r="A285" s="20" t="s">
        <v>383</v>
      </c>
      <c r="B285" s="7">
        <v>712</v>
      </c>
      <c r="C285" s="6" t="s">
        <v>13</v>
      </c>
      <c r="D285" s="6" t="s">
        <v>13</v>
      </c>
      <c r="E285" s="6" t="s">
        <v>13</v>
      </c>
      <c r="F285" s="6" t="s">
        <v>9</v>
      </c>
      <c r="G285" s="6" t="s">
        <v>13</v>
      </c>
      <c r="H285" s="6" t="s">
        <v>9</v>
      </c>
      <c r="I285" s="21" t="s">
        <v>12</v>
      </c>
      <c r="J285" t="str">
        <f>VLOOKUP(A285,All!A:A,1,FALSE)</f>
        <v>Dixon (H.S.)</v>
      </c>
    </row>
    <row r="286" spans="1:10" ht="15.75" thickBot="1" x14ac:dyDescent="0.3">
      <c r="A286" s="18" t="s">
        <v>384</v>
      </c>
      <c r="B286" s="3">
        <v>797</v>
      </c>
      <c r="C286" s="4" t="s">
        <v>13</v>
      </c>
      <c r="D286" s="4" t="s">
        <v>13</v>
      </c>
      <c r="E286" s="4"/>
      <c r="F286" s="4"/>
      <c r="G286" s="4"/>
      <c r="H286" s="4"/>
      <c r="I286" s="19" t="s">
        <v>12</v>
      </c>
      <c r="J286" t="str">
        <f>VLOOKUP(A286,All!A:A,1,FALSE)</f>
        <v>Dolton (Thornridge)</v>
      </c>
    </row>
    <row r="287" spans="1:10" ht="15.75" thickBot="1" x14ac:dyDescent="0.3">
      <c r="A287" s="25" t="s">
        <v>0</v>
      </c>
      <c r="B287" s="1" t="s">
        <v>1</v>
      </c>
      <c r="C287" s="2" t="s">
        <v>971</v>
      </c>
      <c r="D287" s="2" t="s">
        <v>972</v>
      </c>
      <c r="E287" s="2" t="s">
        <v>973</v>
      </c>
      <c r="F287" s="2" t="s">
        <v>974</v>
      </c>
      <c r="G287" s="2" t="s">
        <v>975</v>
      </c>
      <c r="H287" s="2" t="s">
        <v>976</v>
      </c>
      <c r="I287" s="26" t="s">
        <v>977</v>
      </c>
      <c r="J287" t="str">
        <f>VLOOKUP(A287,All!A:A,1,FALSE)</f>
        <v>School</v>
      </c>
    </row>
    <row r="288" spans="1:10" ht="15.75" thickBot="1" x14ac:dyDescent="0.3">
      <c r="A288" s="20" t="s">
        <v>944</v>
      </c>
      <c r="B288" s="7">
        <v>20</v>
      </c>
      <c r="C288" s="6" t="s">
        <v>9</v>
      </c>
      <c r="D288" s="6"/>
      <c r="E288" s="6"/>
      <c r="F288" s="6"/>
      <c r="G288" s="6"/>
      <c r="H288" s="6"/>
      <c r="I288" s="21" t="s">
        <v>9</v>
      </c>
      <c r="J288" t="str">
        <f>VLOOKUP(A288,All!A:A,1,FALSE)</f>
        <v>Dongola</v>
      </c>
    </row>
    <row r="289" spans="1:10" ht="15.75" thickBot="1" x14ac:dyDescent="0.3">
      <c r="A289" s="18" t="s">
        <v>385</v>
      </c>
      <c r="B289" s="3">
        <v>70</v>
      </c>
      <c r="C289" s="4"/>
      <c r="D289" s="4"/>
      <c r="E289" s="4" t="s">
        <v>9</v>
      </c>
      <c r="F289" s="4"/>
      <c r="G289" s="4"/>
      <c r="H289" s="4"/>
      <c r="I289" s="19" t="s">
        <v>9</v>
      </c>
      <c r="J289" t="str">
        <f>VLOOKUP(A289,All!A:A,1,FALSE)</f>
        <v>Donovan</v>
      </c>
    </row>
    <row r="290" spans="1:10" ht="15.75" thickBot="1" x14ac:dyDescent="0.3">
      <c r="A290" s="20" t="s">
        <v>386</v>
      </c>
      <c r="B290" s="5">
        <v>2046</v>
      </c>
      <c r="C290" s="6" t="s">
        <v>12</v>
      </c>
      <c r="D290" s="6" t="s">
        <v>12</v>
      </c>
      <c r="E290" s="6" t="s">
        <v>12</v>
      </c>
      <c r="F290" s="6" t="s">
        <v>13</v>
      </c>
      <c r="G290" s="6" t="s">
        <v>12</v>
      </c>
      <c r="H290" s="6" t="s">
        <v>13</v>
      </c>
      <c r="I290" s="21" t="s">
        <v>11</v>
      </c>
      <c r="J290" t="str">
        <f>VLOOKUP(A290,All!A:A,1,FALSE)</f>
        <v>Downers Grove (North)</v>
      </c>
    </row>
    <row r="291" spans="1:10" ht="15.75" thickBot="1" x14ac:dyDescent="0.3">
      <c r="A291" s="18" t="s">
        <v>387</v>
      </c>
      <c r="B291" s="8">
        <v>2551</v>
      </c>
      <c r="C291" s="4" t="s">
        <v>12</v>
      </c>
      <c r="D291" s="4" t="s">
        <v>12</v>
      </c>
      <c r="E291" s="4" t="s">
        <v>12</v>
      </c>
      <c r="F291" s="4" t="s">
        <v>13</v>
      </c>
      <c r="G291" s="4" t="s">
        <v>12</v>
      </c>
      <c r="H291" s="4" t="s">
        <v>13</v>
      </c>
      <c r="I291" s="19" t="s">
        <v>11</v>
      </c>
      <c r="J291" t="str">
        <f>VLOOKUP(A291,All!A:A,1,FALSE)</f>
        <v>Downers Grove (South)</v>
      </c>
    </row>
    <row r="292" spans="1:10" ht="15.75" thickBot="1" x14ac:dyDescent="0.3">
      <c r="A292" s="20" t="s">
        <v>388</v>
      </c>
      <c r="B292" s="7">
        <v>323</v>
      </c>
      <c r="C292" s="9" t="s">
        <v>9</v>
      </c>
      <c r="D292" s="9" t="s">
        <v>9</v>
      </c>
      <c r="E292" s="6" t="s">
        <v>9</v>
      </c>
      <c r="F292" s="6" t="s">
        <v>9</v>
      </c>
      <c r="G292" s="6"/>
      <c r="H292" s="6"/>
      <c r="I292" s="21" t="s">
        <v>13</v>
      </c>
      <c r="J292" t="str">
        <f>VLOOKUP(A292,All!A:A,1,FALSE)</f>
        <v>Downs (Tri-Valley)</v>
      </c>
    </row>
    <row r="293" spans="1:10" ht="15.75" thickBot="1" x14ac:dyDescent="0.3">
      <c r="A293" s="18" t="s">
        <v>389</v>
      </c>
      <c r="B293" s="8">
        <v>1416</v>
      </c>
      <c r="C293" s="4" t="s">
        <v>13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9</v>
      </c>
      <c r="I293" s="19" t="s">
        <v>12</v>
      </c>
      <c r="J293" t="str">
        <f>VLOOKUP(A293,All!A:A,1,FALSE)</f>
        <v>Dunlap</v>
      </c>
    </row>
    <row r="294" spans="1:10" ht="15.75" thickBot="1" x14ac:dyDescent="0.3">
      <c r="A294" s="20" t="s">
        <v>390</v>
      </c>
      <c r="B294" s="7">
        <v>244</v>
      </c>
      <c r="C294" s="6" t="s">
        <v>9</v>
      </c>
      <c r="D294" s="6" t="s">
        <v>9</v>
      </c>
      <c r="E294" s="6" t="s">
        <v>9</v>
      </c>
      <c r="F294" s="6" t="s">
        <v>9</v>
      </c>
      <c r="G294" s="6"/>
      <c r="H294" s="6"/>
      <c r="I294" s="21" t="s">
        <v>9</v>
      </c>
      <c r="J294" t="str">
        <f>VLOOKUP(A294,All!A:A,1,FALSE)</f>
        <v>Dupo</v>
      </c>
    </row>
    <row r="295" spans="1:10" ht="15.75" thickBot="1" x14ac:dyDescent="0.3">
      <c r="A295" s="18" t="s">
        <v>391</v>
      </c>
      <c r="B295" s="3">
        <v>384</v>
      </c>
      <c r="C295" s="4" t="s">
        <v>9</v>
      </c>
      <c r="D295" s="4" t="s">
        <v>9</v>
      </c>
      <c r="E295" s="4" t="s">
        <v>9</v>
      </c>
      <c r="F295" s="4" t="s">
        <v>9</v>
      </c>
      <c r="G295" s="4"/>
      <c r="H295" s="4"/>
      <c r="I295" s="19" t="s">
        <v>13</v>
      </c>
      <c r="J295" t="str">
        <f>VLOOKUP(A295,All!A:A,1,FALSE)</f>
        <v>DuQuoin (H.S.)</v>
      </c>
    </row>
    <row r="296" spans="1:10" ht="15.75" thickBot="1" x14ac:dyDescent="0.3">
      <c r="A296" s="20" t="s">
        <v>392</v>
      </c>
      <c r="B296" s="7">
        <v>160</v>
      </c>
      <c r="C296" s="9" t="s">
        <v>9</v>
      </c>
      <c r="D296" s="9" t="s">
        <v>9</v>
      </c>
      <c r="E296" s="6"/>
      <c r="F296" s="6"/>
      <c r="G296" s="6"/>
      <c r="H296" s="6"/>
      <c r="I296" s="21" t="s">
        <v>9</v>
      </c>
      <c r="J296" t="str">
        <f>VLOOKUP(A296,All!A:A,1,FALSE)</f>
        <v>Durand</v>
      </c>
    </row>
    <row r="297" spans="1:10" ht="15.75" thickBot="1" x14ac:dyDescent="0.3">
      <c r="A297" s="18" t="s">
        <v>393</v>
      </c>
      <c r="B297" s="3">
        <v>210</v>
      </c>
      <c r="C297" s="9" t="s">
        <v>9</v>
      </c>
      <c r="D297" s="9" t="s">
        <v>9</v>
      </c>
      <c r="E297" s="9" t="s">
        <v>9</v>
      </c>
      <c r="F297" s="9" t="s">
        <v>9</v>
      </c>
      <c r="G297" s="4"/>
      <c r="H297" s="4"/>
      <c r="I297" s="19" t="s">
        <v>9</v>
      </c>
      <c r="J297" t="str">
        <f>VLOOKUP(A297,All!A:A,1,FALSE)</f>
        <v>Dwight</v>
      </c>
    </row>
    <row r="298" spans="1:10" ht="15.75" thickBot="1" x14ac:dyDescent="0.3">
      <c r="A298" s="20" t="s">
        <v>394</v>
      </c>
      <c r="B298" s="7">
        <v>98</v>
      </c>
      <c r="C298" s="6"/>
      <c r="D298" s="6"/>
      <c r="E298" s="6" t="s">
        <v>9</v>
      </c>
      <c r="F298" s="6"/>
      <c r="G298" s="6" t="s">
        <v>9</v>
      </c>
      <c r="H298" s="6"/>
      <c r="I298" s="21" t="s">
        <v>9</v>
      </c>
      <c r="J298" t="str">
        <f>VLOOKUP(A298,All!A:A,1,FALSE)</f>
        <v>Earlville</v>
      </c>
    </row>
    <row r="299" spans="1:10" ht="15.75" thickBot="1" x14ac:dyDescent="0.3">
      <c r="A299" s="18" t="s">
        <v>395</v>
      </c>
      <c r="B299" s="3">
        <v>179</v>
      </c>
      <c r="C299" s="9" t="s">
        <v>9</v>
      </c>
      <c r="D299" s="9" t="s">
        <v>9</v>
      </c>
      <c r="E299" s="4" t="s">
        <v>9</v>
      </c>
      <c r="F299" s="4"/>
      <c r="G299" s="4"/>
      <c r="H299" s="4"/>
      <c r="I299" s="19" t="s">
        <v>9</v>
      </c>
      <c r="J299" t="str">
        <f>VLOOKUP(A299,All!A:A,1,FALSE)</f>
        <v>East Dubuque</v>
      </c>
    </row>
    <row r="300" spans="1:10" ht="15.75" thickBot="1" x14ac:dyDescent="0.3">
      <c r="A300" s="20" t="s">
        <v>396</v>
      </c>
      <c r="B300" s="5">
        <v>1839</v>
      </c>
      <c r="C300" s="6" t="s">
        <v>12</v>
      </c>
      <c r="D300" s="6" t="s">
        <v>12</v>
      </c>
      <c r="E300" s="6" t="s">
        <v>12</v>
      </c>
      <c r="F300" s="6"/>
      <c r="G300" s="6" t="s">
        <v>12</v>
      </c>
      <c r="H300" s="6" t="s">
        <v>13</v>
      </c>
      <c r="I300" s="21" t="s">
        <v>11</v>
      </c>
      <c r="J300" t="str">
        <f>VLOOKUP(A300,All!A:A,1,FALSE)</f>
        <v>East Moline (United)</v>
      </c>
    </row>
    <row r="301" spans="1:10" ht="15.75" thickBot="1" x14ac:dyDescent="0.3">
      <c r="A301" s="18" t="s">
        <v>397</v>
      </c>
      <c r="B301" s="3">
        <v>802</v>
      </c>
      <c r="C301" s="4" t="s">
        <v>13</v>
      </c>
      <c r="D301" s="4" t="s">
        <v>13</v>
      </c>
      <c r="E301" s="4" t="s">
        <v>13</v>
      </c>
      <c r="F301" s="4" t="s">
        <v>9</v>
      </c>
      <c r="G301" s="9" t="s">
        <v>13</v>
      </c>
      <c r="H301" s="4" t="s">
        <v>9</v>
      </c>
      <c r="I301" s="19" t="s">
        <v>12</v>
      </c>
      <c r="J301" t="str">
        <f>VLOOKUP(A301,All!A:A,1,FALSE)</f>
        <v>East Peoria</v>
      </c>
    </row>
    <row r="302" spans="1:10" ht="15.75" thickBot="1" x14ac:dyDescent="0.3">
      <c r="A302" s="20" t="s">
        <v>400</v>
      </c>
      <c r="B302" s="5">
        <v>1146</v>
      </c>
      <c r="C302" s="6" t="s">
        <v>13</v>
      </c>
      <c r="D302" s="6" t="s">
        <v>13</v>
      </c>
      <c r="E302" s="6"/>
      <c r="F302" s="6"/>
      <c r="G302" s="6"/>
      <c r="H302" s="6"/>
      <c r="I302" s="21" t="s">
        <v>12</v>
      </c>
      <c r="J302" t="str">
        <f>VLOOKUP(A302,All!A:A,1,FALSE)</f>
        <v>East St. Louis (Sr.)</v>
      </c>
    </row>
    <row r="303" spans="1:10" ht="15.75" thickBot="1" x14ac:dyDescent="0.3">
      <c r="A303" s="18" t="s">
        <v>401</v>
      </c>
      <c r="B303" s="3">
        <v>72</v>
      </c>
      <c r="C303" s="4"/>
      <c r="D303" s="4"/>
      <c r="E303" s="4"/>
      <c r="F303" s="4"/>
      <c r="G303" s="4"/>
      <c r="H303" s="4"/>
      <c r="I303" s="22" t="s">
        <v>9</v>
      </c>
      <c r="J303" t="str">
        <f>VLOOKUP(A303,All!A:A,1,FALSE)</f>
        <v>Edinburg</v>
      </c>
    </row>
    <row r="304" spans="1:10" ht="15.75" thickBot="1" x14ac:dyDescent="0.3">
      <c r="A304" s="20" t="s">
        <v>402</v>
      </c>
      <c r="B304" s="5">
        <v>2331</v>
      </c>
      <c r="C304" s="6" t="s">
        <v>12</v>
      </c>
      <c r="D304" s="6" t="s">
        <v>12</v>
      </c>
      <c r="E304" s="6" t="s">
        <v>12</v>
      </c>
      <c r="F304" s="6" t="s">
        <v>13</v>
      </c>
      <c r="G304" s="6" t="s">
        <v>12</v>
      </c>
      <c r="H304" s="6" t="s">
        <v>13</v>
      </c>
      <c r="I304" s="21" t="s">
        <v>11</v>
      </c>
      <c r="J304" t="str">
        <f>VLOOKUP(A304,All!A:A,1,FALSE)</f>
        <v>Edwardsville (H.S.)</v>
      </c>
    </row>
    <row r="305" spans="1:10" ht="15.75" thickBot="1" x14ac:dyDescent="0.3">
      <c r="A305" s="18" t="s">
        <v>403</v>
      </c>
      <c r="B305" s="3" t="s">
        <v>404</v>
      </c>
      <c r="C305" s="10" t="s">
        <v>9</v>
      </c>
      <c r="D305" s="10" t="s">
        <v>9</v>
      </c>
      <c r="E305" s="10" t="s">
        <v>9</v>
      </c>
      <c r="F305" s="4"/>
      <c r="G305" s="10" t="s">
        <v>9</v>
      </c>
      <c r="H305" s="10" t="s">
        <v>9</v>
      </c>
      <c r="I305" s="23" t="s">
        <v>13</v>
      </c>
      <c r="J305" t="str">
        <f>VLOOKUP(A305,All!A:A,1,FALSE)</f>
        <v>Edwardsville (Metro-East Lutheran)</v>
      </c>
    </row>
    <row r="306" spans="1:10" ht="15.75" thickBot="1" x14ac:dyDescent="0.3">
      <c r="A306" s="20" t="s">
        <v>405</v>
      </c>
      <c r="B306" s="7">
        <v>676</v>
      </c>
      <c r="C306" s="6" t="s">
        <v>13</v>
      </c>
      <c r="D306" s="6" t="s">
        <v>13</v>
      </c>
      <c r="E306" s="6" t="s">
        <v>13</v>
      </c>
      <c r="F306" s="6" t="s">
        <v>9</v>
      </c>
      <c r="G306" s="6" t="s">
        <v>9</v>
      </c>
      <c r="H306" s="6" t="s">
        <v>9</v>
      </c>
      <c r="I306" s="21" t="s">
        <v>13</v>
      </c>
      <c r="J306" t="str">
        <f>VLOOKUP(A306,All!A:A,1,FALSE)</f>
        <v>Effingham (H.S.)</v>
      </c>
    </row>
    <row r="307" spans="1:10" ht="15.75" thickBot="1" x14ac:dyDescent="0.3">
      <c r="A307" s="18" t="s">
        <v>406</v>
      </c>
      <c r="B307" s="3" t="s">
        <v>407</v>
      </c>
      <c r="C307" s="10" t="s">
        <v>9</v>
      </c>
      <c r="D307" s="10" t="s">
        <v>9</v>
      </c>
      <c r="E307" s="12" t="s">
        <v>13</v>
      </c>
      <c r="F307" s="10" t="s">
        <v>9</v>
      </c>
      <c r="G307" s="10" t="s">
        <v>9</v>
      </c>
      <c r="H307" s="10" t="s">
        <v>9</v>
      </c>
      <c r="I307" s="23" t="s">
        <v>13</v>
      </c>
      <c r="J307" t="str">
        <f>VLOOKUP(A307,All!A:A,1,FALSE)</f>
        <v>Effingham (St. Anthony)</v>
      </c>
    </row>
    <row r="308" spans="1:10" ht="15.75" thickBot="1" x14ac:dyDescent="0.3">
      <c r="A308" s="20" t="s">
        <v>408</v>
      </c>
      <c r="B308" s="7">
        <v>355</v>
      </c>
      <c r="C308" s="6" t="s">
        <v>9</v>
      </c>
      <c r="D308" s="6" t="s">
        <v>9</v>
      </c>
      <c r="E308" s="6" t="s">
        <v>9</v>
      </c>
      <c r="F308" s="6" t="s">
        <v>9</v>
      </c>
      <c r="G308" s="6"/>
      <c r="H308" s="6"/>
      <c r="I308" s="21" t="s">
        <v>13</v>
      </c>
      <c r="J308" t="str">
        <f>VLOOKUP(A308,All!A:A,1,FALSE)</f>
        <v>El Paso (E.P.-Gridley)</v>
      </c>
    </row>
    <row r="309" spans="1:10" ht="15.75" thickBot="1" x14ac:dyDescent="0.3">
      <c r="A309" s="18" t="s">
        <v>409</v>
      </c>
      <c r="B309" s="3">
        <v>307</v>
      </c>
      <c r="C309" s="4" t="s">
        <v>9</v>
      </c>
      <c r="D309" s="4" t="s">
        <v>9</v>
      </c>
      <c r="E309" s="4" t="s">
        <v>9</v>
      </c>
      <c r="F309" s="9" t="s">
        <v>9</v>
      </c>
      <c r="G309" s="4"/>
      <c r="H309" s="4"/>
      <c r="I309" s="19" t="s">
        <v>13</v>
      </c>
      <c r="J309" t="str">
        <f>VLOOKUP(A309,All!A:A,1,FALSE)</f>
        <v>Eldorado</v>
      </c>
    </row>
    <row r="310" spans="1:10" ht="15.75" thickBot="1" x14ac:dyDescent="0.3">
      <c r="A310" s="20" t="s">
        <v>410</v>
      </c>
      <c r="B310" s="5">
        <v>2383</v>
      </c>
      <c r="C310" s="6" t="s">
        <v>12</v>
      </c>
      <c r="D310" s="6" t="s">
        <v>12</v>
      </c>
      <c r="E310" s="6" t="s">
        <v>12</v>
      </c>
      <c r="F310" s="6"/>
      <c r="G310" s="6" t="s">
        <v>12</v>
      </c>
      <c r="H310" s="6" t="s">
        <v>13</v>
      </c>
      <c r="I310" s="21" t="s">
        <v>11</v>
      </c>
      <c r="J310" t="str">
        <f>VLOOKUP(A310,All!A:A,1,FALSE)</f>
        <v>Elgin (H.S.)</v>
      </c>
    </row>
    <row r="311" spans="1:10" ht="15.75" thickBot="1" x14ac:dyDescent="0.3">
      <c r="A311" s="18" t="s">
        <v>411</v>
      </c>
      <c r="B311" s="8">
        <v>2021</v>
      </c>
      <c r="C311" s="4" t="s">
        <v>12</v>
      </c>
      <c r="D311" s="4" t="s">
        <v>12</v>
      </c>
      <c r="E311" s="4"/>
      <c r="F311" s="4"/>
      <c r="G311" s="4" t="s">
        <v>12</v>
      </c>
      <c r="H311" s="4" t="s">
        <v>13</v>
      </c>
      <c r="I311" s="19" t="s">
        <v>11</v>
      </c>
      <c r="J311" t="str">
        <f>VLOOKUP(A311,All!A:A,1,FALSE)</f>
        <v>Elgin (Larkin)</v>
      </c>
    </row>
    <row r="312" spans="1:10" ht="15.75" thickBot="1" x14ac:dyDescent="0.3">
      <c r="A312" s="20" t="s">
        <v>412</v>
      </c>
      <c r="B312" s="7" t="s">
        <v>413</v>
      </c>
      <c r="C312" s="6" t="s">
        <v>9</v>
      </c>
      <c r="D312" s="6" t="s">
        <v>9</v>
      </c>
      <c r="E312" s="6" t="s">
        <v>9</v>
      </c>
      <c r="F312" s="6"/>
      <c r="G312" s="6" t="s">
        <v>9</v>
      </c>
      <c r="H312" s="6"/>
      <c r="I312" s="23" t="s">
        <v>13</v>
      </c>
      <c r="J312" t="str">
        <f>VLOOKUP(A312,All!A:A,1,FALSE)</f>
        <v>Elgin (River Valley Christian)</v>
      </c>
    </row>
    <row r="313" spans="1:10" ht="15.75" thickBot="1" x14ac:dyDescent="0.3">
      <c r="A313" s="25" t="s">
        <v>0</v>
      </c>
      <c r="B313" s="1" t="s">
        <v>1</v>
      </c>
      <c r="C313" s="2" t="s">
        <v>971</v>
      </c>
      <c r="D313" s="2" t="s">
        <v>972</v>
      </c>
      <c r="E313" s="2" t="s">
        <v>973</v>
      </c>
      <c r="F313" s="2" t="s">
        <v>974</v>
      </c>
      <c r="G313" s="2" t="s">
        <v>975</v>
      </c>
      <c r="H313" s="2" t="s">
        <v>976</v>
      </c>
      <c r="I313" s="26" t="s">
        <v>977</v>
      </c>
      <c r="J313" t="str">
        <f>VLOOKUP(A313,All!A:A,1,FALSE)</f>
        <v>School</v>
      </c>
    </row>
    <row r="314" spans="1:10" ht="15.75" thickBot="1" x14ac:dyDescent="0.3">
      <c r="A314" s="18" t="s">
        <v>414</v>
      </c>
      <c r="B314" s="3" t="s">
        <v>415</v>
      </c>
      <c r="C314" s="10" t="s">
        <v>9</v>
      </c>
      <c r="D314" s="10" t="s">
        <v>9</v>
      </c>
      <c r="E314" s="10" t="s">
        <v>9</v>
      </c>
      <c r="F314" s="10" t="s">
        <v>9</v>
      </c>
      <c r="G314" s="10" t="s">
        <v>9</v>
      </c>
      <c r="H314" s="4"/>
      <c r="I314" s="23" t="s">
        <v>13</v>
      </c>
      <c r="J314" t="str">
        <f>VLOOKUP(A314,All!A:A,1,FALSE)</f>
        <v>Elgin (St. Edward)</v>
      </c>
    </row>
    <row r="315" spans="1:10" ht="15.75" thickBot="1" x14ac:dyDescent="0.3">
      <c r="A315" s="20" t="s">
        <v>416</v>
      </c>
      <c r="B315" s="7">
        <v>173</v>
      </c>
      <c r="C315" s="6"/>
      <c r="D315" s="6"/>
      <c r="E315" s="6" t="s">
        <v>9</v>
      </c>
      <c r="F315" s="6"/>
      <c r="G315" s="6"/>
      <c r="H315" s="6"/>
      <c r="I315" s="21" t="s">
        <v>9</v>
      </c>
      <c r="J315" t="str">
        <f>VLOOKUP(A315,All!A:A,1,FALSE)</f>
        <v>Elizabethtown (Hardin County)</v>
      </c>
    </row>
    <row r="316" spans="1:10" ht="15.75" thickBot="1" x14ac:dyDescent="0.3">
      <c r="A316" s="18" t="s">
        <v>417</v>
      </c>
      <c r="B316" s="8">
        <v>1784</v>
      </c>
      <c r="C316" s="4" t="s">
        <v>12</v>
      </c>
      <c r="D316" s="4" t="s">
        <v>12</v>
      </c>
      <c r="E316" s="4" t="s">
        <v>12</v>
      </c>
      <c r="F316" s="4" t="s">
        <v>13</v>
      </c>
      <c r="G316" s="4" t="s">
        <v>12</v>
      </c>
      <c r="H316" s="4" t="s">
        <v>13</v>
      </c>
      <c r="I316" s="19" t="s">
        <v>11</v>
      </c>
      <c r="J316" t="str">
        <f>VLOOKUP(A316,All!A:A,1,FALSE)</f>
        <v>Elk Grove Village (E.G.)</v>
      </c>
    </row>
    <row r="317" spans="1:10" ht="15.75" thickBot="1" x14ac:dyDescent="0.3">
      <c r="A317" s="20" t="s">
        <v>418</v>
      </c>
      <c r="B317" s="7">
        <v>98</v>
      </c>
      <c r="C317" s="6"/>
      <c r="D317" s="6"/>
      <c r="E317" s="6"/>
      <c r="F317" s="6"/>
      <c r="G317" s="6"/>
      <c r="H317" s="6"/>
      <c r="I317" s="21" t="s">
        <v>9</v>
      </c>
      <c r="J317" t="str">
        <f>VLOOKUP(A317,All!A:A,1,FALSE)</f>
        <v>Elkville (Elverado)</v>
      </c>
    </row>
    <row r="318" spans="1:10" ht="15.75" thickBot="1" x14ac:dyDescent="0.3">
      <c r="A318" s="18" t="s">
        <v>419</v>
      </c>
      <c r="B318" s="3" t="s">
        <v>420</v>
      </c>
      <c r="C318" s="10" t="s">
        <v>9</v>
      </c>
      <c r="D318" s="10" t="s">
        <v>9</v>
      </c>
      <c r="E318" s="10" t="s">
        <v>13</v>
      </c>
      <c r="F318" s="10" t="s">
        <v>9</v>
      </c>
      <c r="G318" s="10" t="s">
        <v>9</v>
      </c>
      <c r="H318" s="10" t="s">
        <v>9</v>
      </c>
      <c r="I318" s="27" t="s">
        <v>12</v>
      </c>
      <c r="J318" t="str">
        <f>VLOOKUP(A318,All!A:A,1,FALSE)</f>
        <v>Elmhurst (IC Catholic)</v>
      </c>
    </row>
    <row r="319" spans="1:10" ht="15.75" thickBot="1" x14ac:dyDescent="0.3">
      <c r="A319" s="20" t="s">
        <v>421</v>
      </c>
      <c r="B319" s="7" t="s">
        <v>422</v>
      </c>
      <c r="C319" s="10" t="s">
        <v>13</v>
      </c>
      <c r="D319" s="11" t="s">
        <v>9</v>
      </c>
      <c r="E319" s="11" t="s">
        <v>9</v>
      </c>
      <c r="F319" s="10" t="s">
        <v>9</v>
      </c>
      <c r="G319" s="10" t="s">
        <v>13</v>
      </c>
      <c r="H319" s="10" t="s">
        <v>9</v>
      </c>
      <c r="I319" s="23" t="s">
        <v>12</v>
      </c>
      <c r="J319" t="str">
        <f>VLOOKUP(A319,All!A:A,1,FALSE)</f>
        <v>Elmhurst (Timothy Christian)</v>
      </c>
    </row>
    <row r="320" spans="1:10" ht="15.75" thickBot="1" x14ac:dyDescent="0.3">
      <c r="A320" s="18" t="s">
        <v>423</v>
      </c>
      <c r="B320" s="8">
        <v>2571</v>
      </c>
      <c r="C320" s="4" t="s">
        <v>12</v>
      </c>
      <c r="D320" s="4" t="s">
        <v>12</v>
      </c>
      <c r="E320" s="4" t="s">
        <v>12</v>
      </c>
      <c r="F320" s="4" t="s">
        <v>13</v>
      </c>
      <c r="G320" s="4" t="s">
        <v>12</v>
      </c>
      <c r="H320" s="4" t="s">
        <v>13</v>
      </c>
      <c r="I320" s="19" t="s">
        <v>11</v>
      </c>
      <c r="J320" t="str">
        <f>VLOOKUP(A320,All!A:A,1,FALSE)</f>
        <v>Elmhurst (York)</v>
      </c>
    </row>
    <row r="321" spans="1:10" ht="15.75" thickBot="1" x14ac:dyDescent="0.3">
      <c r="A321" s="20" t="s">
        <v>424</v>
      </c>
      <c r="B321" s="7">
        <v>201</v>
      </c>
      <c r="C321" s="9" t="s">
        <v>9</v>
      </c>
      <c r="D321" s="9" t="s">
        <v>9</v>
      </c>
      <c r="E321" s="6" t="s">
        <v>9</v>
      </c>
      <c r="F321" s="6" t="s">
        <v>9</v>
      </c>
      <c r="G321" s="6"/>
      <c r="H321" s="6"/>
      <c r="I321" s="21" t="s">
        <v>9</v>
      </c>
      <c r="J321" t="str">
        <f>VLOOKUP(A321,All!A:A,1,FALSE)</f>
        <v>Elmwood</v>
      </c>
    </row>
    <row r="322" spans="1:10" ht="15.75" thickBot="1" x14ac:dyDescent="0.3">
      <c r="A322" s="18" t="s">
        <v>425</v>
      </c>
      <c r="B322" s="3">
        <v>998</v>
      </c>
      <c r="C322" s="4" t="s">
        <v>13</v>
      </c>
      <c r="D322" s="4" t="s">
        <v>13</v>
      </c>
      <c r="E322" s="4" t="s">
        <v>13</v>
      </c>
      <c r="F322" s="4"/>
      <c r="G322" s="4" t="s">
        <v>13</v>
      </c>
      <c r="H322" s="4" t="s">
        <v>9</v>
      </c>
      <c r="I322" s="19" t="s">
        <v>12</v>
      </c>
      <c r="J322" t="str">
        <f>VLOOKUP(A322,All!A:A,1,FALSE)</f>
        <v>Elmwood Park</v>
      </c>
    </row>
    <row r="323" spans="1:10" ht="15.75" thickBot="1" x14ac:dyDescent="0.3">
      <c r="A323" s="20" t="s">
        <v>426</v>
      </c>
      <c r="B323" s="7">
        <v>186</v>
      </c>
      <c r="C323" s="6"/>
      <c r="D323" s="6"/>
      <c r="E323" s="9" t="s">
        <v>9</v>
      </c>
      <c r="F323" s="9" t="s">
        <v>9</v>
      </c>
      <c r="G323" s="6"/>
      <c r="H323" s="6"/>
      <c r="I323" s="21"/>
      <c r="J323" t="str">
        <f>VLOOKUP(A323,All!A:A,1,FALSE)</f>
        <v>Erie</v>
      </c>
    </row>
    <row r="324" spans="1:10" ht="15.75" thickBot="1" x14ac:dyDescent="0.3">
      <c r="A324" s="18" t="s">
        <v>427</v>
      </c>
      <c r="B324" s="3">
        <v>506</v>
      </c>
      <c r="C324" s="4" t="s">
        <v>9</v>
      </c>
      <c r="D324" s="4" t="s">
        <v>9</v>
      </c>
      <c r="E324" s="4" t="s">
        <v>13</v>
      </c>
      <c r="F324" s="4" t="s">
        <v>9</v>
      </c>
      <c r="G324" s="4"/>
      <c r="H324" s="4"/>
      <c r="I324" s="19" t="s">
        <v>13</v>
      </c>
      <c r="J324" t="str">
        <f>VLOOKUP(A324,All!A:A,1,FALSE)</f>
        <v>Eureka</v>
      </c>
    </row>
    <row r="325" spans="1:10" ht="15.75" thickBot="1" x14ac:dyDescent="0.3">
      <c r="A325" s="20" t="s">
        <v>428</v>
      </c>
      <c r="B325" s="7" t="s">
        <v>429</v>
      </c>
      <c r="C325" s="10" t="s">
        <v>9</v>
      </c>
      <c r="D325" s="10" t="s">
        <v>9</v>
      </c>
      <c r="E325" s="6"/>
      <c r="F325" s="6"/>
      <c r="G325" s="10" t="s">
        <v>9</v>
      </c>
      <c r="H325" s="6"/>
      <c r="I325" s="23" t="s">
        <v>9</v>
      </c>
      <c r="J325" t="str">
        <f>VLOOKUP(A325,All!A:A,1,FALSE)</f>
        <v>Evanston (Beacon Academy)</v>
      </c>
    </row>
    <row r="326" spans="1:10" ht="15.75" thickBot="1" x14ac:dyDescent="0.3">
      <c r="A326" s="18" t="s">
        <v>430</v>
      </c>
      <c r="B326" s="3" t="s">
        <v>431</v>
      </c>
      <c r="C326" s="4"/>
      <c r="D326" s="4"/>
      <c r="E326" s="4"/>
      <c r="F326" s="4"/>
      <c r="G326" s="4"/>
      <c r="H326" s="4"/>
      <c r="I326" s="23" t="s">
        <v>9</v>
      </c>
      <c r="J326" t="str">
        <f>VLOOKUP(A326,All!A:A,1,FALSE)</f>
        <v>Evanston (Roycemore)</v>
      </c>
    </row>
    <row r="327" spans="1:10" ht="15.75" thickBot="1" x14ac:dyDescent="0.3">
      <c r="A327" s="20" t="s">
        <v>432</v>
      </c>
      <c r="B327" s="5">
        <v>3465</v>
      </c>
      <c r="C327" s="6" t="s">
        <v>12</v>
      </c>
      <c r="D327" s="6" t="s">
        <v>12</v>
      </c>
      <c r="E327" s="6" t="s">
        <v>12</v>
      </c>
      <c r="F327" s="6" t="s">
        <v>13</v>
      </c>
      <c r="G327" s="6" t="s">
        <v>12</v>
      </c>
      <c r="H327" s="6" t="s">
        <v>13</v>
      </c>
      <c r="I327" s="21" t="s">
        <v>11</v>
      </c>
      <c r="J327" t="str">
        <f>VLOOKUP(A327,All!A:A,1,FALSE)</f>
        <v>Evanston (Twp.)</v>
      </c>
    </row>
    <row r="328" spans="1:10" ht="15.75" thickBot="1" x14ac:dyDescent="0.3">
      <c r="A328" s="18" t="s">
        <v>433</v>
      </c>
      <c r="B328" s="3">
        <v>917</v>
      </c>
      <c r="C328" s="4" t="s">
        <v>13</v>
      </c>
      <c r="D328" s="4" t="s">
        <v>13</v>
      </c>
      <c r="E328" s="4" t="s">
        <v>13</v>
      </c>
      <c r="F328" s="4" t="s">
        <v>13</v>
      </c>
      <c r="G328" s="4" t="s">
        <v>13</v>
      </c>
      <c r="H328" s="4"/>
      <c r="I328" s="19" t="s">
        <v>12</v>
      </c>
      <c r="J328" t="str">
        <f>VLOOKUP(A328,All!A:A,1,FALSE)</f>
        <v>Evergreen Park</v>
      </c>
    </row>
    <row r="329" spans="1:10" ht="15.75" thickBot="1" x14ac:dyDescent="0.3">
      <c r="A329" s="20" t="s">
        <v>434</v>
      </c>
      <c r="B329" s="7">
        <v>475</v>
      </c>
      <c r="C329" s="6" t="s">
        <v>9</v>
      </c>
      <c r="D329" s="6" t="s">
        <v>9</v>
      </c>
      <c r="E329" s="6" t="s">
        <v>9</v>
      </c>
      <c r="F329" s="6" t="s">
        <v>9</v>
      </c>
      <c r="G329" s="6"/>
      <c r="H329" s="6"/>
      <c r="I329" s="21" t="s">
        <v>13</v>
      </c>
      <c r="J329" t="str">
        <f>VLOOKUP(A329,All!A:A,1,FALSE)</f>
        <v>Fairbury (Prairie Central)</v>
      </c>
    </row>
    <row r="330" spans="1:10" ht="15.75" thickBot="1" x14ac:dyDescent="0.3">
      <c r="A330" s="18" t="s">
        <v>435</v>
      </c>
      <c r="B330" s="3">
        <v>435</v>
      </c>
      <c r="C330" s="4" t="s">
        <v>9</v>
      </c>
      <c r="D330" s="4" t="s">
        <v>9</v>
      </c>
      <c r="E330" s="4" t="s">
        <v>9</v>
      </c>
      <c r="F330" s="4" t="s">
        <v>9</v>
      </c>
      <c r="G330" s="4"/>
      <c r="H330" s="4" t="s">
        <v>9</v>
      </c>
      <c r="I330" s="19" t="s">
        <v>13</v>
      </c>
      <c r="J330" t="str">
        <f>VLOOKUP(A330,All!A:A,1,FALSE)</f>
        <v>Fairfield</v>
      </c>
    </row>
    <row r="331" spans="1:10" ht="15.75" thickBot="1" x14ac:dyDescent="0.3">
      <c r="A331" s="20" t="s">
        <v>436</v>
      </c>
      <c r="B331" s="7">
        <v>180</v>
      </c>
      <c r="C331" s="6"/>
      <c r="D331" s="6"/>
      <c r="E331" s="6"/>
      <c r="F331" s="6"/>
      <c r="G331" s="6"/>
      <c r="H331" s="6"/>
      <c r="I331" s="21" t="s">
        <v>9</v>
      </c>
      <c r="J331" t="str">
        <f>VLOOKUP(A331,All!A:A,1,FALSE)</f>
        <v>Farina (South Central)</v>
      </c>
    </row>
    <row r="332" spans="1:10" ht="15.75" thickBot="1" x14ac:dyDescent="0.3">
      <c r="A332" s="18" t="s">
        <v>437</v>
      </c>
      <c r="B332" s="3">
        <v>154</v>
      </c>
      <c r="C332" s="4"/>
      <c r="D332" s="4"/>
      <c r="E332" s="9" t="s">
        <v>9</v>
      </c>
      <c r="F332" s="9" t="s">
        <v>9</v>
      </c>
      <c r="G332" s="9" t="s">
        <v>9</v>
      </c>
      <c r="H332" s="4"/>
      <c r="I332" s="19" t="s">
        <v>9</v>
      </c>
      <c r="J332" t="str">
        <f>VLOOKUP(A332,All!A:A,1,FALSE)</f>
        <v>Farmer City (Blue Ridge)</v>
      </c>
    </row>
    <row r="333" spans="1:10" ht="15.75" thickBot="1" x14ac:dyDescent="0.3">
      <c r="A333" s="20" t="s">
        <v>438</v>
      </c>
      <c r="B333" s="7">
        <v>364</v>
      </c>
      <c r="C333" s="6" t="s">
        <v>9</v>
      </c>
      <c r="D333" s="6" t="s">
        <v>9</v>
      </c>
      <c r="E333" s="6" t="s">
        <v>9</v>
      </c>
      <c r="F333" s="6" t="s">
        <v>9</v>
      </c>
      <c r="G333" s="6"/>
      <c r="H333" s="6"/>
      <c r="I333" s="21" t="s">
        <v>13</v>
      </c>
      <c r="J333" t="str">
        <f>VLOOKUP(A333,All!A:A,1,FALSE)</f>
        <v>Farmington</v>
      </c>
    </row>
    <row r="334" spans="1:10" ht="15.75" thickBot="1" x14ac:dyDescent="0.3">
      <c r="A334" s="18" t="s">
        <v>439</v>
      </c>
      <c r="B334" s="3">
        <v>195</v>
      </c>
      <c r="C334" s="4"/>
      <c r="D334" s="4"/>
      <c r="E334" s="4" t="s">
        <v>9</v>
      </c>
      <c r="F334" s="4"/>
      <c r="G334" s="9" t="s">
        <v>9</v>
      </c>
      <c r="H334" s="4"/>
      <c r="I334" s="19" t="s">
        <v>9</v>
      </c>
      <c r="J334" t="str">
        <f>VLOOKUP(A334,All!A:A,1,FALSE)</f>
        <v>Fisher</v>
      </c>
    </row>
    <row r="335" spans="1:10" ht="15.75" thickBot="1" x14ac:dyDescent="0.3">
      <c r="A335" s="20" t="s">
        <v>440</v>
      </c>
      <c r="B335" s="7">
        <v>249</v>
      </c>
      <c r="C335" s="9" t="s">
        <v>9</v>
      </c>
      <c r="D335" s="9" t="s">
        <v>9</v>
      </c>
      <c r="E335" s="6" t="s">
        <v>9</v>
      </c>
      <c r="F335" s="6" t="s">
        <v>9</v>
      </c>
      <c r="G335" s="9" t="s">
        <v>9</v>
      </c>
      <c r="H335" s="6"/>
      <c r="I335" s="21" t="s">
        <v>9</v>
      </c>
      <c r="J335" t="str">
        <f>VLOOKUP(A335,All!A:A,1,FALSE)</f>
        <v>Fithian (Oakwood)</v>
      </c>
    </row>
    <row r="336" spans="1:10" ht="15.75" thickBot="1" x14ac:dyDescent="0.3">
      <c r="A336" s="18" t="s">
        <v>441</v>
      </c>
      <c r="B336" s="3">
        <v>104</v>
      </c>
      <c r="C336" s="4"/>
      <c r="D336" s="4"/>
      <c r="E336" s="4" t="s">
        <v>9</v>
      </c>
      <c r="F336" s="4"/>
      <c r="G336" s="4"/>
      <c r="H336" s="4"/>
      <c r="I336" s="19" t="s">
        <v>9</v>
      </c>
      <c r="J336" t="str">
        <f>VLOOKUP(A336,All!A:A,1,FALSE)</f>
        <v>Flanagan (F.-Cornell)</v>
      </c>
    </row>
    <row r="337" spans="1:10" ht="15.75" thickBot="1" x14ac:dyDescent="0.3">
      <c r="A337" s="20" t="s">
        <v>442</v>
      </c>
      <c r="B337" s="7">
        <v>350</v>
      </c>
      <c r="C337" s="6"/>
      <c r="D337" s="6"/>
      <c r="E337" s="6" t="s">
        <v>9</v>
      </c>
      <c r="F337" s="6" t="s">
        <v>9</v>
      </c>
      <c r="G337" s="6"/>
      <c r="H337" s="6" t="s">
        <v>9</v>
      </c>
      <c r="I337" s="21" t="s">
        <v>13</v>
      </c>
      <c r="J337" t="str">
        <f>VLOOKUP(A337,All!A:A,1,FALSE)</f>
        <v>Flora</v>
      </c>
    </row>
    <row r="338" spans="1:10" ht="15.75" thickBot="1" x14ac:dyDescent="0.3">
      <c r="A338" s="18" t="s">
        <v>443</v>
      </c>
      <c r="B338" s="8">
        <v>2657</v>
      </c>
      <c r="C338" s="4" t="s">
        <v>12</v>
      </c>
      <c r="D338" s="4" t="s">
        <v>12</v>
      </c>
      <c r="E338" s="4" t="s">
        <v>12</v>
      </c>
      <c r="F338" s="4" t="s">
        <v>13</v>
      </c>
      <c r="G338" s="4" t="s">
        <v>12</v>
      </c>
      <c r="H338" s="4" t="s">
        <v>13</v>
      </c>
      <c r="I338" s="19" t="s">
        <v>11</v>
      </c>
      <c r="J338" t="str">
        <f>VLOOKUP(A338,All!A:A,1,FALSE)</f>
        <v>Flossmoor (Homewood-F.)</v>
      </c>
    </row>
    <row r="339" spans="1:10" ht="15.75" thickBot="1" x14ac:dyDescent="0.3">
      <c r="A339" s="25" t="s">
        <v>0</v>
      </c>
      <c r="B339" s="1" t="s">
        <v>1</v>
      </c>
      <c r="C339" s="2" t="s">
        <v>971</v>
      </c>
      <c r="D339" s="2" t="s">
        <v>972</v>
      </c>
      <c r="E339" s="2" t="s">
        <v>973</v>
      </c>
      <c r="F339" s="2" t="s">
        <v>974</v>
      </c>
      <c r="G339" s="2" t="s">
        <v>975</v>
      </c>
      <c r="H339" s="2" t="s">
        <v>976</v>
      </c>
      <c r="I339" s="26" t="s">
        <v>977</v>
      </c>
      <c r="J339" t="str">
        <f>VLOOKUP(A339,All!A:A,1,FALSE)</f>
        <v>School</v>
      </c>
    </row>
    <row r="340" spans="1:10" ht="15.75" thickBot="1" x14ac:dyDescent="0.3">
      <c r="A340" s="20" t="s">
        <v>444</v>
      </c>
      <c r="B340" s="7">
        <v>234</v>
      </c>
      <c r="C340" s="9" t="s">
        <v>9</v>
      </c>
      <c r="D340" s="9" t="s">
        <v>9</v>
      </c>
      <c r="E340" s="6" t="s">
        <v>9</v>
      </c>
      <c r="F340" s="6"/>
      <c r="G340" s="6"/>
      <c r="H340" s="6"/>
      <c r="I340" s="21" t="s">
        <v>9</v>
      </c>
      <c r="J340" t="str">
        <f>VLOOKUP(A340,All!A:A,1,FALSE)</f>
        <v>Forreston</v>
      </c>
    </row>
    <row r="341" spans="1:10" ht="15.75" thickBot="1" x14ac:dyDescent="0.3">
      <c r="A341" s="18" t="s">
        <v>445</v>
      </c>
      <c r="B341" s="8">
        <v>1723</v>
      </c>
      <c r="C341" s="4" t="s">
        <v>12</v>
      </c>
      <c r="D341" s="4" t="s">
        <v>12</v>
      </c>
      <c r="E341" s="4" t="s">
        <v>12</v>
      </c>
      <c r="F341" s="4" t="s">
        <v>13</v>
      </c>
      <c r="G341" s="4" t="s">
        <v>12</v>
      </c>
      <c r="H341" s="4" t="s">
        <v>13</v>
      </c>
      <c r="I341" s="19" t="s">
        <v>11</v>
      </c>
      <c r="J341" t="str">
        <f>VLOOKUP(A341,All!A:A,1,FALSE)</f>
        <v>Fox Lake (Grant)</v>
      </c>
    </row>
    <row r="342" spans="1:10" ht="15.75" thickBot="1" x14ac:dyDescent="0.3">
      <c r="A342" s="20" t="s">
        <v>446</v>
      </c>
      <c r="B342" s="5">
        <v>2676</v>
      </c>
      <c r="C342" s="6" t="s">
        <v>12</v>
      </c>
      <c r="D342" s="6" t="s">
        <v>12</v>
      </c>
      <c r="E342" s="6" t="s">
        <v>12</v>
      </c>
      <c r="F342" s="6" t="s">
        <v>13</v>
      </c>
      <c r="G342" s="6" t="s">
        <v>12</v>
      </c>
      <c r="H342" s="6" t="s">
        <v>13</v>
      </c>
      <c r="I342" s="21" t="s">
        <v>11</v>
      </c>
      <c r="J342" t="str">
        <f>VLOOKUP(A342,All!A:A,1,FALSE)</f>
        <v>Frankfort (Lincoln-Way East)</v>
      </c>
    </row>
    <row r="343" spans="1:10" ht="15.75" thickBot="1" x14ac:dyDescent="0.3">
      <c r="A343" s="18" t="s">
        <v>945</v>
      </c>
      <c r="B343" s="3">
        <v>124</v>
      </c>
      <c r="C343" s="9" t="s">
        <v>9</v>
      </c>
      <c r="D343" s="9" t="s">
        <v>9</v>
      </c>
      <c r="E343" s="4"/>
      <c r="F343" s="4"/>
      <c r="G343" s="4"/>
      <c r="H343" s="4"/>
      <c r="I343" s="22" t="s">
        <v>9</v>
      </c>
      <c r="J343" t="str">
        <f>VLOOKUP(A343,All!A:A,1,FALSE)</f>
        <v>Franklin</v>
      </c>
    </row>
    <row r="344" spans="1:10" ht="15.75" thickBot="1" x14ac:dyDescent="0.3">
      <c r="A344" s="20" t="s">
        <v>447</v>
      </c>
      <c r="B344" s="5">
        <v>3396</v>
      </c>
      <c r="C344" s="6" t="s">
        <v>12</v>
      </c>
      <c r="D344" s="6" t="s">
        <v>12</v>
      </c>
      <c r="E344" s="6" t="s">
        <v>12</v>
      </c>
      <c r="F344" s="6"/>
      <c r="G344" s="6" t="s">
        <v>12</v>
      </c>
      <c r="H344" s="6" t="s">
        <v>13</v>
      </c>
      <c r="I344" s="21" t="s">
        <v>11</v>
      </c>
      <c r="J344" t="str">
        <f>VLOOKUP(A344,All!A:A,1,FALSE)</f>
        <v>Franklin Park-Northlake (Leyden)</v>
      </c>
    </row>
    <row r="345" spans="1:10" ht="15.75" thickBot="1" x14ac:dyDescent="0.3">
      <c r="A345" s="18" t="s">
        <v>448</v>
      </c>
      <c r="B345" s="3">
        <v>664</v>
      </c>
      <c r="C345" s="4" t="s">
        <v>13</v>
      </c>
      <c r="D345" s="4" t="s">
        <v>13</v>
      </c>
      <c r="E345" s="4" t="s">
        <v>13</v>
      </c>
      <c r="F345" s="4" t="s">
        <v>9</v>
      </c>
      <c r="G345" s="4" t="s">
        <v>9</v>
      </c>
      <c r="H345" s="4"/>
      <c r="I345" s="19" t="s">
        <v>13</v>
      </c>
      <c r="J345" t="str">
        <f>VLOOKUP(A345,All!A:A,1,FALSE)</f>
        <v>Freeburg</v>
      </c>
    </row>
    <row r="346" spans="1:10" ht="15.75" thickBot="1" x14ac:dyDescent="0.3">
      <c r="A346" s="20" t="s">
        <v>449</v>
      </c>
      <c r="B346" s="5">
        <v>1100</v>
      </c>
      <c r="C346" s="6" t="s">
        <v>13</v>
      </c>
      <c r="D346" s="6" t="s">
        <v>13</v>
      </c>
      <c r="E346" s="6" t="s">
        <v>13</v>
      </c>
      <c r="F346" s="6"/>
      <c r="G346" s="6" t="s">
        <v>13</v>
      </c>
      <c r="H346" s="6" t="s">
        <v>9</v>
      </c>
      <c r="I346" s="21" t="s">
        <v>12</v>
      </c>
      <c r="J346" t="str">
        <f>VLOOKUP(A346,All!A:A,1,FALSE)</f>
        <v>Freeport (H.S.)</v>
      </c>
    </row>
    <row r="347" spans="1:10" ht="15.75" thickBot="1" x14ac:dyDescent="0.3">
      <c r="A347" s="18" t="s">
        <v>450</v>
      </c>
      <c r="B347" s="3">
        <v>278</v>
      </c>
      <c r="C347" s="4"/>
      <c r="D347" s="4"/>
      <c r="E347" s="4" t="s">
        <v>9</v>
      </c>
      <c r="F347" s="4"/>
      <c r="G347" s="4"/>
      <c r="H347" s="4"/>
      <c r="I347" s="19" t="s">
        <v>9</v>
      </c>
      <c r="J347" t="str">
        <f>VLOOKUP(A347,All!A:A,1,FALSE)</f>
        <v>Fulton (H.S.)</v>
      </c>
    </row>
    <row r="348" spans="1:10" ht="15.75" thickBot="1" x14ac:dyDescent="0.3">
      <c r="A348" s="20" t="s">
        <v>451</v>
      </c>
      <c r="B348" s="7">
        <v>115</v>
      </c>
      <c r="C348" s="6" t="s">
        <v>9</v>
      </c>
      <c r="D348" s="6"/>
      <c r="E348" s="6"/>
      <c r="F348" s="6"/>
      <c r="G348" s="6"/>
      <c r="H348" s="6"/>
      <c r="I348" s="21" t="s">
        <v>9</v>
      </c>
      <c r="J348" t="str">
        <f>VLOOKUP(A348,All!A:A,1,FALSE)</f>
        <v>Galatia</v>
      </c>
    </row>
    <row r="349" spans="1:10" ht="15.75" thickBot="1" x14ac:dyDescent="0.3">
      <c r="A349" s="18" t="s">
        <v>452</v>
      </c>
      <c r="B349" s="3">
        <v>258</v>
      </c>
      <c r="C349" s="4"/>
      <c r="D349" s="4"/>
      <c r="E349" s="4" t="s">
        <v>9</v>
      </c>
      <c r="F349" s="4" t="s">
        <v>9</v>
      </c>
      <c r="G349" s="4"/>
      <c r="H349" s="4"/>
      <c r="I349" s="19" t="s">
        <v>9</v>
      </c>
      <c r="J349" t="str">
        <f>VLOOKUP(A349,All!A:A,1,FALSE)</f>
        <v>Galena (H.S.)</v>
      </c>
    </row>
    <row r="350" spans="1:10" ht="15.75" thickBot="1" x14ac:dyDescent="0.3">
      <c r="A350" s="20" t="s">
        <v>453</v>
      </c>
      <c r="B350" s="5">
        <v>1127</v>
      </c>
      <c r="C350" s="6" t="s">
        <v>13</v>
      </c>
      <c r="D350" s="6" t="s">
        <v>13</v>
      </c>
      <c r="E350" s="6" t="s">
        <v>13</v>
      </c>
      <c r="F350" s="6" t="s">
        <v>13</v>
      </c>
      <c r="G350" s="6" t="s">
        <v>13</v>
      </c>
      <c r="H350" s="6" t="s">
        <v>9</v>
      </c>
      <c r="I350" s="21" t="s">
        <v>12</v>
      </c>
      <c r="J350" t="str">
        <f>VLOOKUP(A350,All!A:A,1,FALSE)</f>
        <v>Galesburg (H.S.)</v>
      </c>
    </row>
    <row r="351" spans="1:10" ht="15.75" thickBot="1" x14ac:dyDescent="0.3">
      <c r="A351" s="18" t="s">
        <v>454</v>
      </c>
      <c r="B351" s="3">
        <v>133</v>
      </c>
      <c r="C351" s="4" t="s">
        <v>9</v>
      </c>
      <c r="D351" s="4" t="s">
        <v>9</v>
      </c>
      <c r="E351" s="4" t="s">
        <v>9</v>
      </c>
      <c r="F351" s="4"/>
      <c r="G351" s="4"/>
      <c r="H351" s="4"/>
      <c r="I351" s="19" t="s">
        <v>9</v>
      </c>
      <c r="J351" t="str">
        <f>VLOOKUP(A351,All!A:A,1,FALSE)</f>
        <v>Galva</v>
      </c>
    </row>
    <row r="352" spans="1:10" ht="15.75" thickBot="1" x14ac:dyDescent="0.3">
      <c r="A352" s="20" t="s">
        <v>455</v>
      </c>
      <c r="B352" s="7">
        <v>155</v>
      </c>
      <c r="C352" s="6"/>
      <c r="D352" s="6"/>
      <c r="E352" s="6"/>
      <c r="F352" s="6"/>
      <c r="G352" s="6"/>
      <c r="H352" s="6"/>
      <c r="I352" s="21" t="s">
        <v>9</v>
      </c>
      <c r="J352" t="str">
        <f>VLOOKUP(A352,All!A:A,1,FALSE)</f>
        <v>Gardner (G.-South Wilmington)</v>
      </c>
    </row>
    <row r="353" spans="1:10" ht="15.75" thickBot="1" x14ac:dyDescent="0.3">
      <c r="A353" s="18" t="s">
        <v>456</v>
      </c>
      <c r="B353" s="3">
        <v>792</v>
      </c>
      <c r="C353" s="4" t="s">
        <v>13</v>
      </c>
      <c r="D353" s="4" t="s">
        <v>13</v>
      </c>
      <c r="E353" s="4" t="s">
        <v>13</v>
      </c>
      <c r="F353" s="4" t="s">
        <v>9</v>
      </c>
      <c r="G353" s="4" t="s">
        <v>13</v>
      </c>
      <c r="H353" s="4" t="s">
        <v>9</v>
      </c>
      <c r="I353" s="19" t="s">
        <v>12</v>
      </c>
      <c r="J353" t="str">
        <f>VLOOKUP(A353,All!A:A,1,FALSE)</f>
        <v>Geneseo</v>
      </c>
    </row>
    <row r="354" spans="1:10" ht="15.75" thickBot="1" x14ac:dyDescent="0.3">
      <c r="A354" s="20" t="s">
        <v>457</v>
      </c>
      <c r="B354" s="5">
        <v>1594</v>
      </c>
      <c r="C354" s="6" t="s">
        <v>12</v>
      </c>
      <c r="D354" s="6" t="s">
        <v>12</v>
      </c>
      <c r="E354" s="6" t="s">
        <v>12</v>
      </c>
      <c r="F354" s="6" t="s">
        <v>13</v>
      </c>
      <c r="G354" s="6" t="s">
        <v>13</v>
      </c>
      <c r="H354" s="6" t="s">
        <v>13</v>
      </c>
      <c r="I354" s="21" t="s">
        <v>12</v>
      </c>
      <c r="J354" t="str">
        <f>VLOOKUP(A354,All!A:A,1,FALSE)</f>
        <v>Geneva</v>
      </c>
    </row>
    <row r="355" spans="1:10" ht="15.75" thickBot="1" x14ac:dyDescent="0.3">
      <c r="A355" s="18" t="s">
        <v>458</v>
      </c>
      <c r="B355" s="3">
        <v>477</v>
      </c>
      <c r="C355" s="4" t="s">
        <v>9</v>
      </c>
      <c r="D355" s="4" t="s">
        <v>9</v>
      </c>
      <c r="E355" s="4" t="s">
        <v>9</v>
      </c>
      <c r="F355" s="4" t="s">
        <v>9</v>
      </c>
      <c r="G355" s="4" t="s">
        <v>9</v>
      </c>
      <c r="H355" s="4"/>
      <c r="I355" s="19" t="s">
        <v>13</v>
      </c>
      <c r="J355" t="str">
        <f>VLOOKUP(A355,All!A:A,1,FALSE)</f>
        <v>Genoa (G.-Kingston)</v>
      </c>
    </row>
    <row r="356" spans="1:10" ht="15.75" thickBot="1" x14ac:dyDescent="0.3">
      <c r="A356" s="20" t="s">
        <v>459</v>
      </c>
      <c r="B356" s="7">
        <v>230</v>
      </c>
      <c r="C356" s="6"/>
      <c r="D356" s="6"/>
      <c r="E356" s="6"/>
      <c r="F356" s="6"/>
      <c r="G356" s="6" t="s">
        <v>9</v>
      </c>
      <c r="H356" s="6"/>
      <c r="I356" s="21" t="s">
        <v>9</v>
      </c>
      <c r="J356" t="str">
        <f>VLOOKUP(A356,All!A:A,1,FALSE)</f>
        <v>Georgetown (G.-Ridge Farm)</v>
      </c>
    </row>
    <row r="357" spans="1:10" ht="15.75" thickBot="1" x14ac:dyDescent="0.3">
      <c r="A357" s="18" t="s">
        <v>946</v>
      </c>
      <c r="B357" s="3" t="s">
        <v>174</v>
      </c>
      <c r="C357" s="10" t="s">
        <v>9</v>
      </c>
      <c r="D357" s="4"/>
      <c r="E357" s="4"/>
      <c r="F357" s="4"/>
      <c r="G357" s="4"/>
      <c r="H357" s="4"/>
      <c r="I357" s="19"/>
      <c r="J357" t="str">
        <f>VLOOKUP(A357,All!A:A,1,FALSE)</f>
        <v>Georgetown (La Salette)</v>
      </c>
    </row>
    <row r="358" spans="1:10" ht="15.75" thickBot="1" x14ac:dyDescent="0.3">
      <c r="A358" s="20" t="s">
        <v>460</v>
      </c>
      <c r="B358" s="7">
        <v>269</v>
      </c>
      <c r="C358" s="6"/>
      <c r="D358" s="6"/>
      <c r="E358" s="6" t="s">
        <v>9</v>
      </c>
      <c r="F358" s="6" t="s">
        <v>9</v>
      </c>
      <c r="G358" s="6"/>
      <c r="H358" s="6" t="s">
        <v>9</v>
      </c>
      <c r="I358" s="21" t="s">
        <v>9</v>
      </c>
      <c r="J358" t="str">
        <f>VLOOKUP(A358,All!A:A,1,FALSE)</f>
        <v>Gibson City (G.C.-Melvin-Sibley)</v>
      </c>
    </row>
    <row r="359" spans="1:10" ht="15.75" thickBot="1" x14ac:dyDescent="0.3">
      <c r="A359" s="18" t="s">
        <v>461</v>
      </c>
      <c r="B359" s="3">
        <v>327</v>
      </c>
      <c r="C359" s="4" t="s">
        <v>9</v>
      </c>
      <c r="D359" s="4" t="s">
        <v>9</v>
      </c>
      <c r="E359" s="4" t="s">
        <v>9</v>
      </c>
      <c r="F359" s="4"/>
      <c r="G359" s="4"/>
      <c r="H359" s="4"/>
      <c r="I359" s="19" t="s">
        <v>13</v>
      </c>
      <c r="J359" t="str">
        <f>VLOOKUP(A359,All!A:A,1,FALSE)</f>
        <v>Gillespie</v>
      </c>
    </row>
    <row r="360" spans="1:10" ht="15.75" thickBot="1" x14ac:dyDescent="0.3">
      <c r="A360" s="20" t="s">
        <v>462</v>
      </c>
      <c r="B360" s="7">
        <v>243</v>
      </c>
      <c r="C360" s="6" t="s">
        <v>9</v>
      </c>
      <c r="D360" s="6"/>
      <c r="E360" s="6" t="s">
        <v>9</v>
      </c>
      <c r="F360" s="6" t="s">
        <v>9</v>
      </c>
      <c r="G360" s="6" t="s">
        <v>9</v>
      </c>
      <c r="H360" s="6"/>
      <c r="I360" s="21" t="s">
        <v>9</v>
      </c>
      <c r="J360" t="str">
        <f>VLOOKUP(A360,All!A:A,1,FALSE)</f>
        <v>Gilman (Iroquois West)</v>
      </c>
    </row>
    <row r="361" spans="1:10" ht="15.75" thickBot="1" x14ac:dyDescent="0.3">
      <c r="A361" s="18" t="s">
        <v>463</v>
      </c>
      <c r="B361" s="3">
        <v>237</v>
      </c>
      <c r="C361" s="4" t="s">
        <v>9</v>
      </c>
      <c r="D361" s="4" t="s">
        <v>9</v>
      </c>
      <c r="E361" s="4" t="s">
        <v>9</v>
      </c>
      <c r="F361" s="4" t="s">
        <v>9</v>
      </c>
      <c r="G361" s="9" t="s">
        <v>9</v>
      </c>
      <c r="H361" s="4"/>
      <c r="I361" s="19" t="s">
        <v>9</v>
      </c>
      <c r="J361" t="str">
        <f>VLOOKUP(A361,All!A:A,1,FALSE)</f>
        <v>Glasford (Illini Bluffs)</v>
      </c>
    </row>
    <row r="362" spans="1:10" ht="15.75" thickBot="1" x14ac:dyDescent="0.3">
      <c r="A362" s="20" t="s">
        <v>464</v>
      </c>
      <c r="B362" s="7" t="s">
        <v>465</v>
      </c>
      <c r="C362" s="10" t="s">
        <v>9</v>
      </c>
      <c r="D362" s="10" t="s">
        <v>9</v>
      </c>
      <c r="E362" s="11" t="s">
        <v>9</v>
      </c>
      <c r="F362" s="10" t="s">
        <v>9</v>
      </c>
      <c r="G362" s="10" t="s">
        <v>9</v>
      </c>
      <c r="H362" s="10" t="s">
        <v>9</v>
      </c>
      <c r="I362" s="23" t="s">
        <v>13</v>
      </c>
      <c r="J362" t="str">
        <f>VLOOKUP(A362,All!A:A,1,FALSE)</f>
        <v>Glen Carbon (Father McGivney)</v>
      </c>
    </row>
    <row r="363" spans="1:10" ht="15.75" thickBot="1" x14ac:dyDescent="0.3">
      <c r="A363" s="18" t="s">
        <v>466</v>
      </c>
      <c r="B363" s="8">
        <v>1091</v>
      </c>
      <c r="C363" s="4" t="s">
        <v>13</v>
      </c>
      <c r="D363" s="4" t="s">
        <v>13</v>
      </c>
      <c r="E363" s="4" t="s">
        <v>13</v>
      </c>
      <c r="F363" s="4" t="s">
        <v>13</v>
      </c>
      <c r="G363" s="4" t="s">
        <v>13</v>
      </c>
      <c r="H363" s="4" t="s">
        <v>9</v>
      </c>
      <c r="I363" s="19" t="s">
        <v>12</v>
      </c>
      <c r="J363" t="str">
        <f>VLOOKUP(A363,All!A:A,1,FALSE)</f>
        <v>Glen Ellyn (Glenbard South)</v>
      </c>
    </row>
    <row r="364" spans="1:10" ht="15.75" thickBot="1" x14ac:dyDescent="0.3">
      <c r="A364" s="20" t="s">
        <v>467</v>
      </c>
      <c r="B364" s="5">
        <v>2299</v>
      </c>
      <c r="C364" s="6" t="s">
        <v>12</v>
      </c>
      <c r="D364" s="6" t="s">
        <v>12</v>
      </c>
      <c r="E364" s="6" t="s">
        <v>12</v>
      </c>
      <c r="F364" s="6" t="s">
        <v>13</v>
      </c>
      <c r="G364" s="6" t="s">
        <v>12</v>
      </c>
      <c r="H364" s="6" t="s">
        <v>13</v>
      </c>
      <c r="I364" s="21" t="s">
        <v>11</v>
      </c>
      <c r="J364" t="str">
        <f>VLOOKUP(A364,All!A:A,1,FALSE)</f>
        <v>Glen Ellyn (Glenbard West)</v>
      </c>
    </row>
    <row r="365" spans="1:10" ht="15.75" thickBot="1" x14ac:dyDescent="0.3">
      <c r="A365" s="25" t="s">
        <v>0</v>
      </c>
      <c r="B365" s="1" t="s">
        <v>1</v>
      </c>
      <c r="C365" s="2" t="s">
        <v>971</v>
      </c>
      <c r="D365" s="2" t="s">
        <v>972</v>
      </c>
      <c r="E365" s="2" t="s">
        <v>973</v>
      </c>
      <c r="F365" s="2" t="s">
        <v>974</v>
      </c>
      <c r="G365" s="2" t="s">
        <v>975</v>
      </c>
      <c r="H365" s="2" t="s">
        <v>976</v>
      </c>
      <c r="I365" s="26" t="s">
        <v>977</v>
      </c>
      <c r="J365" t="str">
        <f>VLOOKUP(A365,All!A:A,1,FALSE)</f>
        <v>School</v>
      </c>
    </row>
    <row r="366" spans="1:10" ht="15.75" thickBot="1" x14ac:dyDescent="0.3">
      <c r="A366" s="18" t="s">
        <v>468</v>
      </c>
      <c r="B366" s="8">
        <v>2921</v>
      </c>
      <c r="C366" s="4" t="s">
        <v>12</v>
      </c>
      <c r="D366" s="4" t="s">
        <v>12</v>
      </c>
      <c r="E366" s="4" t="s">
        <v>12</v>
      </c>
      <c r="F366" s="4" t="s">
        <v>13</v>
      </c>
      <c r="G366" s="4" t="s">
        <v>12</v>
      </c>
      <c r="H366" s="4" t="s">
        <v>13</v>
      </c>
      <c r="I366" s="19" t="s">
        <v>11</v>
      </c>
      <c r="J366" t="str">
        <f>VLOOKUP(A366,All!A:A,1,FALSE)</f>
        <v>Glenview (Glenbrook South)</v>
      </c>
    </row>
    <row r="367" spans="1:10" ht="15.75" thickBot="1" x14ac:dyDescent="0.3">
      <c r="A367" s="20" t="s">
        <v>469</v>
      </c>
      <c r="B367" s="7">
        <v>140</v>
      </c>
      <c r="C367" s="6" t="s">
        <v>9</v>
      </c>
      <c r="D367" s="6" t="s">
        <v>9</v>
      </c>
      <c r="E367" s="6"/>
      <c r="F367" s="6"/>
      <c r="G367" s="6"/>
      <c r="H367" s="6"/>
      <c r="I367" s="21" t="s">
        <v>9</v>
      </c>
      <c r="J367" t="str">
        <f>VLOOKUP(A367,All!A:A,1,FALSE)</f>
        <v>Golconda (Pope County)</v>
      </c>
    </row>
    <row r="368" spans="1:10" ht="15.75" thickBot="1" x14ac:dyDescent="0.3">
      <c r="A368" s="18" t="s">
        <v>470</v>
      </c>
      <c r="B368" s="3">
        <v>165</v>
      </c>
      <c r="C368" s="4"/>
      <c r="D368" s="4"/>
      <c r="E368" s="4" t="s">
        <v>9</v>
      </c>
      <c r="F368" s="4" t="s">
        <v>9</v>
      </c>
      <c r="G368" s="4"/>
      <c r="H368" s="4"/>
      <c r="I368" s="19" t="s">
        <v>9</v>
      </c>
      <c r="J368" t="str">
        <f>VLOOKUP(A368,All!A:A,1,FALSE)</f>
        <v>Goreville</v>
      </c>
    </row>
    <row r="369" spans="1:10" ht="15.75" thickBot="1" x14ac:dyDescent="0.3">
      <c r="A369" s="20" t="s">
        <v>471</v>
      </c>
      <c r="B369" s="5">
        <v>1652</v>
      </c>
      <c r="C369" s="6" t="s">
        <v>12</v>
      </c>
      <c r="D369" s="6" t="s">
        <v>12</v>
      </c>
      <c r="E369" s="6" t="s">
        <v>12</v>
      </c>
      <c r="F369" s="6" t="s">
        <v>13</v>
      </c>
      <c r="G369" s="6" t="s">
        <v>13</v>
      </c>
      <c r="H369" s="6" t="s">
        <v>13</v>
      </c>
      <c r="I369" s="21" t="s">
        <v>11</v>
      </c>
      <c r="J369" t="str">
        <f>VLOOKUP(A369,All!A:A,1,FALSE)</f>
        <v>Granite City</v>
      </c>
    </row>
    <row r="370" spans="1:10" ht="15.75" thickBot="1" x14ac:dyDescent="0.3">
      <c r="A370" s="18" t="s">
        <v>472</v>
      </c>
      <c r="B370" s="3">
        <v>125</v>
      </c>
      <c r="C370" s="4"/>
      <c r="D370" s="4"/>
      <c r="E370" s="4" t="s">
        <v>9</v>
      </c>
      <c r="F370" s="4" t="s">
        <v>9</v>
      </c>
      <c r="G370" s="4" t="s">
        <v>9</v>
      </c>
      <c r="H370" s="4"/>
      <c r="I370" s="19" t="s">
        <v>9</v>
      </c>
      <c r="J370" t="str">
        <f>VLOOKUP(A370,All!A:A,1,FALSE)</f>
        <v>Grant Park</v>
      </c>
    </row>
    <row r="371" spans="1:10" ht="15.75" thickBot="1" x14ac:dyDescent="0.3">
      <c r="A371" s="20" t="s">
        <v>473</v>
      </c>
      <c r="B371" s="7">
        <v>236</v>
      </c>
      <c r="C371" s="6"/>
      <c r="D371" s="6"/>
      <c r="E371" s="6" t="s">
        <v>9</v>
      </c>
      <c r="F371" s="6"/>
      <c r="G371" s="6"/>
      <c r="H371" s="6"/>
      <c r="I371" s="21" t="s">
        <v>9</v>
      </c>
      <c r="J371" t="str">
        <f>VLOOKUP(A371,All!A:A,1,FALSE)</f>
        <v>Granville (Putnam County)</v>
      </c>
    </row>
    <row r="372" spans="1:10" ht="15.75" thickBot="1" x14ac:dyDescent="0.3">
      <c r="A372" s="18" t="s">
        <v>474</v>
      </c>
      <c r="B372" s="8">
        <v>1325</v>
      </c>
      <c r="C372" s="4" t="s">
        <v>13</v>
      </c>
      <c r="D372" s="4" t="s">
        <v>13</v>
      </c>
      <c r="E372" s="4" t="s">
        <v>13</v>
      </c>
      <c r="F372" s="4" t="s">
        <v>13</v>
      </c>
      <c r="G372" s="4" t="s">
        <v>13</v>
      </c>
      <c r="H372" s="4" t="s">
        <v>9</v>
      </c>
      <c r="I372" s="19" t="s">
        <v>12</v>
      </c>
      <c r="J372" t="str">
        <f>VLOOKUP(A372,All!A:A,1,FALSE)</f>
        <v>Grayslake (Central)</v>
      </c>
    </row>
    <row r="373" spans="1:10" ht="15.75" thickBot="1" x14ac:dyDescent="0.3">
      <c r="A373" s="20" t="s">
        <v>475</v>
      </c>
      <c r="B373" s="5">
        <v>1164</v>
      </c>
      <c r="C373" s="6" t="s">
        <v>13</v>
      </c>
      <c r="D373" s="6" t="s">
        <v>13</v>
      </c>
      <c r="E373" s="6" t="s">
        <v>13</v>
      </c>
      <c r="F373" s="6" t="s">
        <v>13</v>
      </c>
      <c r="G373" s="6" t="s">
        <v>13</v>
      </c>
      <c r="H373" s="6" t="s">
        <v>9</v>
      </c>
      <c r="I373" s="21" t="s">
        <v>12</v>
      </c>
      <c r="J373" t="str">
        <f>VLOOKUP(A373,All!A:A,1,FALSE)</f>
        <v>Grayslake (North)</v>
      </c>
    </row>
    <row r="374" spans="1:10" ht="15.75" thickBot="1" x14ac:dyDescent="0.3">
      <c r="A374" s="18" t="s">
        <v>476</v>
      </c>
      <c r="B374" s="3">
        <v>84</v>
      </c>
      <c r="C374" s="4" t="s">
        <v>9</v>
      </c>
      <c r="D374" s="4"/>
      <c r="E374" s="4"/>
      <c r="F374" s="4"/>
      <c r="G374" s="4"/>
      <c r="H374" s="4"/>
      <c r="I374" s="19" t="s">
        <v>9</v>
      </c>
      <c r="J374" t="str">
        <f>VLOOKUP(A374,All!A:A,1,FALSE)</f>
        <v>Grayville</v>
      </c>
    </row>
    <row r="375" spans="1:10" ht="15.75" thickBot="1" x14ac:dyDescent="0.3">
      <c r="A375" s="20" t="s">
        <v>477</v>
      </c>
      <c r="B375" s="7">
        <v>105</v>
      </c>
      <c r="C375" s="6"/>
      <c r="D375" s="6"/>
      <c r="E375" s="6"/>
      <c r="F375" s="6"/>
      <c r="G375" s="6"/>
      <c r="H375" s="6"/>
      <c r="I375" s="21" t="s">
        <v>9</v>
      </c>
      <c r="J375" t="str">
        <f>VLOOKUP(A375,All!A:A,1,FALSE)</f>
        <v>Greenfield</v>
      </c>
    </row>
    <row r="376" spans="1:10" ht="15.75" thickBot="1" x14ac:dyDescent="0.3">
      <c r="A376" s="18" t="s">
        <v>478</v>
      </c>
      <c r="B376" s="3">
        <v>69</v>
      </c>
      <c r="C376" s="4"/>
      <c r="D376" s="4" t="s">
        <v>9</v>
      </c>
      <c r="E376" s="9" t="s">
        <v>9</v>
      </c>
      <c r="F376" s="9" t="s">
        <v>9</v>
      </c>
      <c r="G376" s="4"/>
      <c r="H376" s="4"/>
      <c r="I376" s="19" t="s">
        <v>9</v>
      </c>
      <c r="J376" t="str">
        <f>VLOOKUP(A376,All!A:A,1,FALSE)</f>
        <v>Greenview</v>
      </c>
    </row>
    <row r="377" spans="1:10" ht="15.75" thickBot="1" x14ac:dyDescent="0.3">
      <c r="A377" s="20" t="s">
        <v>479</v>
      </c>
      <c r="B377" s="7">
        <v>471</v>
      </c>
      <c r="C377" s="6" t="s">
        <v>9</v>
      </c>
      <c r="D377" s="6" t="s">
        <v>9</v>
      </c>
      <c r="E377" s="6" t="s">
        <v>9</v>
      </c>
      <c r="F377" s="6" t="s">
        <v>9</v>
      </c>
      <c r="G377" s="6" t="s">
        <v>9</v>
      </c>
      <c r="H377" s="6" t="s">
        <v>9</v>
      </c>
      <c r="I377" s="21" t="s">
        <v>13</v>
      </c>
      <c r="J377" t="str">
        <f>VLOOKUP(A377,All!A:A,1,FALSE)</f>
        <v>Greenville</v>
      </c>
    </row>
    <row r="378" spans="1:10" ht="15.75" thickBot="1" x14ac:dyDescent="0.3">
      <c r="A378" s="18" t="s">
        <v>480</v>
      </c>
      <c r="B378" s="3">
        <v>87</v>
      </c>
      <c r="C378" s="4"/>
      <c r="D378" s="4"/>
      <c r="E378" s="4" t="s">
        <v>9</v>
      </c>
      <c r="F378" s="4"/>
      <c r="G378" s="4"/>
      <c r="H378" s="4"/>
      <c r="I378" s="22" t="s">
        <v>9</v>
      </c>
      <c r="J378" t="str">
        <f>VLOOKUP(A378,All!A:A,1,FALSE)</f>
        <v>Griggsville (G.-Perry)</v>
      </c>
    </row>
    <row r="379" spans="1:10" ht="15.75" thickBot="1" x14ac:dyDescent="0.3">
      <c r="A379" s="20" t="s">
        <v>481</v>
      </c>
      <c r="B379" s="5">
        <v>3398</v>
      </c>
      <c r="C379" s="6" t="s">
        <v>12</v>
      </c>
      <c r="D379" s="6" t="s">
        <v>12</v>
      </c>
      <c r="E379" s="6" t="s">
        <v>12</v>
      </c>
      <c r="F379" s="6" t="s">
        <v>13</v>
      </c>
      <c r="G379" s="6" t="s">
        <v>12</v>
      </c>
      <c r="H379" s="6" t="s">
        <v>13</v>
      </c>
      <c r="I379" s="21" t="s">
        <v>11</v>
      </c>
      <c r="J379" t="str">
        <f>VLOOKUP(A379,All!A:A,1,FALSE)</f>
        <v>Gurnee (Warren)</v>
      </c>
    </row>
    <row r="380" spans="1:10" ht="15.75" thickBot="1" x14ac:dyDescent="0.3">
      <c r="A380" s="18" t="s">
        <v>482</v>
      </c>
      <c r="B380" s="3">
        <v>189</v>
      </c>
      <c r="C380" s="9" t="s">
        <v>9</v>
      </c>
      <c r="D380" s="9" t="s">
        <v>9</v>
      </c>
      <c r="E380" s="9" t="s">
        <v>9</v>
      </c>
      <c r="F380" s="9" t="s">
        <v>9</v>
      </c>
      <c r="G380" s="4"/>
      <c r="H380" s="4"/>
      <c r="I380" s="19"/>
      <c r="J380" t="str">
        <f>VLOOKUP(A380,All!A:A,1,FALSE)</f>
        <v>Hamilton</v>
      </c>
    </row>
    <row r="381" spans="1:10" ht="15.75" thickBot="1" x14ac:dyDescent="0.3">
      <c r="A381" s="20" t="s">
        <v>483</v>
      </c>
      <c r="B381" s="5">
        <v>1994</v>
      </c>
      <c r="C381" s="6" t="s">
        <v>12</v>
      </c>
      <c r="D381" s="6" t="s">
        <v>12</v>
      </c>
      <c r="E381" s="6" t="s">
        <v>12</v>
      </c>
      <c r="F381" s="6" t="s">
        <v>13</v>
      </c>
      <c r="G381" s="6" t="s">
        <v>12</v>
      </c>
      <c r="H381" s="6" t="s">
        <v>13</v>
      </c>
      <c r="I381" s="21" t="s">
        <v>11</v>
      </c>
      <c r="J381" t="str">
        <f>VLOOKUP(A381,All!A:A,1,FALSE)</f>
        <v>Hampshire</v>
      </c>
    </row>
    <row r="382" spans="1:10" ht="15.75" thickBot="1" x14ac:dyDescent="0.3">
      <c r="A382" s="18" t="s">
        <v>484</v>
      </c>
      <c r="B382" s="3">
        <v>126</v>
      </c>
      <c r="C382" s="4"/>
      <c r="D382" s="4"/>
      <c r="E382" s="9" t="s">
        <v>9</v>
      </c>
      <c r="F382" s="9" t="s">
        <v>9</v>
      </c>
      <c r="G382" s="4"/>
      <c r="H382" s="4"/>
      <c r="I382" s="19" t="s">
        <v>9</v>
      </c>
      <c r="J382" t="str">
        <f>VLOOKUP(A382,All!A:A,1,FALSE)</f>
        <v>Hanover (River Ridge)</v>
      </c>
    </row>
    <row r="383" spans="1:10" ht="15.75" thickBot="1" x14ac:dyDescent="0.3">
      <c r="A383" s="20" t="s">
        <v>485</v>
      </c>
      <c r="B383" s="7">
        <v>170</v>
      </c>
      <c r="C383" s="6"/>
      <c r="D383" s="6"/>
      <c r="E383" s="6"/>
      <c r="F383" s="6"/>
      <c r="G383" s="6"/>
      <c r="H383" s="6"/>
      <c r="I383" s="22" t="s">
        <v>9</v>
      </c>
      <c r="J383" t="str">
        <f>VLOOKUP(A383,All!A:A,1,FALSE)</f>
        <v>Hardin (Calhoun)</v>
      </c>
    </row>
    <row r="384" spans="1:10" ht="15.75" thickBot="1" x14ac:dyDescent="0.3">
      <c r="A384" s="18" t="s">
        <v>486</v>
      </c>
      <c r="B384" s="3">
        <v>482</v>
      </c>
      <c r="C384" s="4" t="s">
        <v>9</v>
      </c>
      <c r="D384" s="4" t="s">
        <v>9</v>
      </c>
      <c r="E384" s="4" t="s">
        <v>9</v>
      </c>
      <c r="F384" s="4" t="s">
        <v>9</v>
      </c>
      <c r="G384" s="9" t="s">
        <v>9</v>
      </c>
      <c r="H384" s="4"/>
      <c r="I384" s="19" t="s">
        <v>13</v>
      </c>
      <c r="J384" t="str">
        <f>VLOOKUP(A384,All!A:A,1,FALSE)</f>
        <v>Harrisburg</v>
      </c>
    </row>
    <row r="385" spans="1:10" ht="15.75" thickBot="1" x14ac:dyDescent="0.3">
      <c r="A385" s="20" t="s">
        <v>487</v>
      </c>
      <c r="B385" s="7">
        <v>51</v>
      </c>
      <c r="C385" s="6"/>
      <c r="D385" s="6"/>
      <c r="E385" s="6"/>
      <c r="F385" s="6"/>
      <c r="G385" s="6"/>
      <c r="H385" s="6"/>
      <c r="I385" s="21" t="s">
        <v>9</v>
      </c>
      <c r="J385" t="str">
        <f>VLOOKUP(A385,All!A:A,1,FALSE)</f>
        <v>Hartsburg (H.-Emden)</v>
      </c>
    </row>
    <row r="386" spans="1:10" ht="15.75" thickBot="1" x14ac:dyDescent="0.3">
      <c r="A386" s="18" t="s">
        <v>488</v>
      </c>
      <c r="B386" s="3">
        <v>803</v>
      </c>
      <c r="C386" s="4" t="s">
        <v>13</v>
      </c>
      <c r="D386" s="4" t="s">
        <v>13</v>
      </c>
      <c r="E386" s="4" t="s">
        <v>13</v>
      </c>
      <c r="F386" s="4"/>
      <c r="G386" s="4" t="s">
        <v>13</v>
      </c>
      <c r="H386" s="4"/>
      <c r="I386" s="19" t="s">
        <v>12</v>
      </c>
      <c r="J386" t="str">
        <f>VLOOKUP(A386,All!A:A,1,FALSE)</f>
        <v>Harvard</v>
      </c>
    </row>
    <row r="387" spans="1:10" ht="15.75" thickBot="1" x14ac:dyDescent="0.3">
      <c r="A387" s="20" t="s">
        <v>489</v>
      </c>
      <c r="B387" s="5">
        <v>1530</v>
      </c>
      <c r="C387" s="6" t="s">
        <v>13</v>
      </c>
      <c r="D387" s="6" t="s">
        <v>13</v>
      </c>
      <c r="E387" s="6"/>
      <c r="F387" s="6"/>
      <c r="G387" s="9" t="s">
        <v>12</v>
      </c>
      <c r="H387" s="6"/>
      <c r="I387" s="21" t="s">
        <v>12</v>
      </c>
      <c r="J387" t="str">
        <f>VLOOKUP(A387,All!A:A,1,FALSE)</f>
        <v>Harvey (Thornton)</v>
      </c>
    </row>
    <row r="388" spans="1:10" ht="15.75" thickBot="1" x14ac:dyDescent="0.3">
      <c r="A388" s="18" t="s">
        <v>490</v>
      </c>
      <c r="B388" s="3">
        <v>242</v>
      </c>
      <c r="C388" s="4" t="s">
        <v>9</v>
      </c>
      <c r="D388" s="4" t="s">
        <v>9</v>
      </c>
      <c r="E388" s="4" t="s">
        <v>9</v>
      </c>
      <c r="F388" s="4" t="s">
        <v>9</v>
      </c>
      <c r="G388" s="4"/>
      <c r="H388" s="4"/>
      <c r="I388" s="19" t="s">
        <v>9</v>
      </c>
      <c r="J388" t="str">
        <f>VLOOKUP(A388,All!A:A,1,FALSE)</f>
        <v>Havana</v>
      </c>
    </row>
    <row r="389" spans="1:10" ht="15.75" thickBot="1" x14ac:dyDescent="0.3">
      <c r="A389" s="20" t="s">
        <v>491</v>
      </c>
      <c r="B389" s="7">
        <v>109</v>
      </c>
      <c r="C389" s="6"/>
      <c r="D389" s="6"/>
      <c r="E389" s="6"/>
      <c r="F389" s="6"/>
      <c r="G389" s="6"/>
      <c r="H389" s="6"/>
      <c r="I389" s="21" t="s">
        <v>9</v>
      </c>
      <c r="J389" t="str">
        <f>VLOOKUP(A389,All!A:A,1,FALSE)</f>
        <v>Hebron (Alden-H.)</v>
      </c>
    </row>
    <row r="390" spans="1:10" ht="15.75" thickBot="1" x14ac:dyDescent="0.3">
      <c r="A390" s="18" t="s">
        <v>492</v>
      </c>
      <c r="B390" s="3">
        <v>141</v>
      </c>
      <c r="C390" s="9" t="s">
        <v>9</v>
      </c>
      <c r="D390" s="9" t="s">
        <v>9</v>
      </c>
      <c r="E390" s="4" t="s">
        <v>9</v>
      </c>
      <c r="F390" s="4" t="s">
        <v>9</v>
      </c>
      <c r="G390" s="4"/>
      <c r="H390" s="4"/>
      <c r="I390" s="19" t="s">
        <v>9</v>
      </c>
      <c r="J390" t="str">
        <f>VLOOKUP(A390,All!A:A,1,FALSE)</f>
        <v>Henry (H.-Senachwine)</v>
      </c>
    </row>
    <row r="391" spans="1:10" ht="15.75" thickBot="1" x14ac:dyDescent="0.3">
      <c r="A391" s="25" t="s">
        <v>0</v>
      </c>
      <c r="B391" s="1" t="s">
        <v>1</v>
      </c>
      <c r="C391" s="2" t="s">
        <v>971</v>
      </c>
      <c r="D391" s="2" t="s">
        <v>972</v>
      </c>
      <c r="E391" s="2" t="s">
        <v>973</v>
      </c>
      <c r="F391" s="2" t="s">
        <v>974</v>
      </c>
      <c r="G391" s="2" t="s">
        <v>975</v>
      </c>
      <c r="H391" s="2" t="s">
        <v>976</v>
      </c>
      <c r="I391" s="26" t="s">
        <v>977</v>
      </c>
      <c r="J391" t="str">
        <f>VLOOKUP(A391,All!A:A,1,FALSE)</f>
        <v>School</v>
      </c>
    </row>
    <row r="392" spans="1:10" ht="15.75" thickBot="1" x14ac:dyDescent="0.3">
      <c r="A392" s="20" t="s">
        <v>493</v>
      </c>
      <c r="B392" s="7">
        <v>635</v>
      </c>
      <c r="C392" s="6" t="s">
        <v>13</v>
      </c>
      <c r="D392" s="6" t="s">
        <v>13</v>
      </c>
      <c r="E392" s="6" t="s">
        <v>13</v>
      </c>
      <c r="F392" s="6" t="s">
        <v>9</v>
      </c>
      <c r="G392" s="6"/>
      <c r="H392" s="6" t="s">
        <v>9</v>
      </c>
      <c r="I392" s="21" t="s">
        <v>13</v>
      </c>
      <c r="J392" t="str">
        <f>VLOOKUP(A392,All!A:A,1,FALSE)</f>
        <v>Herrin (H.S.)</v>
      </c>
    </row>
    <row r="393" spans="1:10" ht="15.75" thickBot="1" x14ac:dyDescent="0.3">
      <c r="A393" s="18" t="s">
        <v>494</v>
      </c>
      <c r="B393" s="3">
        <v>516</v>
      </c>
      <c r="C393" s="4" t="s">
        <v>9</v>
      </c>
      <c r="D393" s="4" t="s">
        <v>9</v>
      </c>
      <c r="E393" s="4" t="s">
        <v>13</v>
      </c>
      <c r="F393" s="4"/>
      <c r="G393" s="4" t="s">
        <v>9</v>
      </c>
      <c r="H393" s="4"/>
      <c r="I393" s="19" t="s">
        <v>13</v>
      </c>
      <c r="J393" t="str">
        <f>VLOOKUP(A393,All!A:A,1,FALSE)</f>
        <v>Herscher</v>
      </c>
    </row>
    <row r="394" spans="1:10" ht="15.75" thickBot="1" x14ac:dyDescent="0.3">
      <c r="A394" s="20" t="s">
        <v>495</v>
      </c>
      <c r="B394" s="7">
        <v>260</v>
      </c>
      <c r="C394" s="6" t="s">
        <v>9</v>
      </c>
      <c r="D394" s="6" t="s">
        <v>9</v>
      </c>
      <c r="E394" s="6" t="s">
        <v>9</v>
      </c>
      <c r="F394" s="6" t="s">
        <v>9</v>
      </c>
      <c r="G394" s="6"/>
      <c r="H394" s="6"/>
      <c r="I394" s="21" t="s">
        <v>9</v>
      </c>
      <c r="J394" t="str">
        <f>VLOOKUP(A394,All!A:A,1,FALSE)</f>
        <v>Heyworth</v>
      </c>
    </row>
    <row r="395" spans="1:10" ht="15.75" thickBot="1" x14ac:dyDescent="0.3">
      <c r="A395" s="18" t="s">
        <v>496</v>
      </c>
      <c r="B395" s="3">
        <v>838</v>
      </c>
      <c r="C395" s="4" t="s">
        <v>13</v>
      </c>
      <c r="D395" s="4" t="s">
        <v>13</v>
      </c>
      <c r="E395" s="4" t="s">
        <v>13</v>
      </c>
      <c r="F395" s="4" t="s">
        <v>9</v>
      </c>
      <c r="G395" s="4" t="s">
        <v>13</v>
      </c>
      <c r="H395" s="4" t="s">
        <v>9</v>
      </c>
      <c r="I395" s="19" t="s">
        <v>12</v>
      </c>
      <c r="J395" t="str">
        <f>VLOOKUP(A395,All!A:A,1,FALSE)</f>
        <v>Highland</v>
      </c>
    </row>
    <row r="396" spans="1:10" ht="15.75" thickBot="1" x14ac:dyDescent="0.3">
      <c r="A396" s="20" t="s">
        <v>497</v>
      </c>
      <c r="B396" s="5">
        <v>1609</v>
      </c>
      <c r="C396" s="6" t="s">
        <v>12</v>
      </c>
      <c r="D396" s="6" t="s">
        <v>12</v>
      </c>
      <c r="E396" s="6" t="s">
        <v>12</v>
      </c>
      <c r="F396" s="6" t="s">
        <v>13</v>
      </c>
      <c r="G396" s="6" t="s">
        <v>13</v>
      </c>
      <c r="H396" s="6" t="s">
        <v>13</v>
      </c>
      <c r="I396" s="21" t="s">
        <v>11</v>
      </c>
      <c r="J396" t="str">
        <f>VLOOKUP(A396,All!A:A,1,FALSE)</f>
        <v>Highland Park</v>
      </c>
    </row>
    <row r="397" spans="1:10" ht="15.75" thickBot="1" x14ac:dyDescent="0.3">
      <c r="A397" s="18" t="s">
        <v>498</v>
      </c>
      <c r="B397" s="3">
        <v>427</v>
      </c>
      <c r="C397" s="4"/>
      <c r="D397" s="4"/>
      <c r="E397" s="4" t="s">
        <v>9</v>
      </c>
      <c r="F397" s="4" t="s">
        <v>9</v>
      </c>
      <c r="G397" s="4" t="s">
        <v>9</v>
      </c>
      <c r="H397" s="4" t="s">
        <v>9</v>
      </c>
      <c r="I397" s="19" t="s">
        <v>13</v>
      </c>
      <c r="J397" t="str">
        <f>VLOOKUP(A397,All!A:A,1,FALSE)</f>
        <v>Hillsboro</v>
      </c>
    </row>
    <row r="398" spans="1:10" ht="15.75" thickBot="1" x14ac:dyDescent="0.3">
      <c r="A398" s="20" t="s">
        <v>499</v>
      </c>
      <c r="B398" s="5">
        <v>2166</v>
      </c>
      <c r="C398" s="6" t="s">
        <v>12</v>
      </c>
      <c r="D398" s="6" t="s">
        <v>12</v>
      </c>
      <c r="E398" s="6" t="s">
        <v>12</v>
      </c>
      <c r="F398" s="6"/>
      <c r="G398" s="6" t="s">
        <v>12</v>
      </c>
      <c r="H398" s="6" t="s">
        <v>13</v>
      </c>
      <c r="I398" s="21" t="s">
        <v>11</v>
      </c>
      <c r="J398" t="str">
        <f>VLOOKUP(A398,All!A:A,1,FALSE)</f>
        <v>Hillside (Proviso West)</v>
      </c>
    </row>
    <row r="399" spans="1:10" ht="15.75" thickBot="1" x14ac:dyDescent="0.3">
      <c r="A399" s="18" t="s">
        <v>500</v>
      </c>
      <c r="B399" s="3">
        <v>209</v>
      </c>
      <c r="C399" s="4" t="s">
        <v>9</v>
      </c>
      <c r="D399" s="4" t="s">
        <v>9</v>
      </c>
      <c r="E399" s="4" t="s">
        <v>9</v>
      </c>
      <c r="F399" s="4" t="s">
        <v>9</v>
      </c>
      <c r="G399" s="4" t="s">
        <v>9</v>
      </c>
      <c r="H399" s="4"/>
      <c r="I399" s="19" t="s">
        <v>9</v>
      </c>
      <c r="J399" t="str">
        <f>VLOOKUP(A399,All!A:A,1,FALSE)</f>
        <v>Hinckley (H.-Big Rock)</v>
      </c>
    </row>
    <row r="400" spans="1:10" ht="15.75" thickBot="1" x14ac:dyDescent="0.3">
      <c r="A400" s="20" t="s">
        <v>501</v>
      </c>
      <c r="B400" s="5">
        <v>2401</v>
      </c>
      <c r="C400" s="6" t="s">
        <v>12</v>
      </c>
      <c r="D400" s="6" t="s">
        <v>12</v>
      </c>
      <c r="E400" s="6" t="s">
        <v>12</v>
      </c>
      <c r="F400" s="6" t="s">
        <v>13</v>
      </c>
      <c r="G400" s="6" t="s">
        <v>12</v>
      </c>
      <c r="H400" s="6" t="s">
        <v>13</v>
      </c>
      <c r="I400" s="21" t="s">
        <v>11</v>
      </c>
      <c r="J400" t="str">
        <f>VLOOKUP(A400,All!A:A,1,FALSE)</f>
        <v>Hinsdale (Central)</v>
      </c>
    </row>
    <row r="401" spans="1:10" ht="15.75" thickBot="1" x14ac:dyDescent="0.3">
      <c r="A401" s="18" t="s">
        <v>502</v>
      </c>
      <c r="B401" s="8">
        <v>2610</v>
      </c>
      <c r="C401" s="4" t="s">
        <v>12</v>
      </c>
      <c r="D401" s="4" t="s">
        <v>12</v>
      </c>
      <c r="E401" s="4" t="s">
        <v>12</v>
      </c>
      <c r="F401" s="4" t="s">
        <v>13</v>
      </c>
      <c r="G401" s="4" t="s">
        <v>12</v>
      </c>
      <c r="H401" s="4" t="s">
        <v>13</v>
      </c>
      <c r="I401" s="19" t="s">
        <v>11</v>
      </c>
      <c r="J401" t="str">
        <f>VLOOKUP(A401,All!A:A,1,FALSE)</f>
        <v>Hoffman Estates (Conant)</v>
      </c>
    </row>
    <row r="402" spans="1:10" ht="15.75" thickBot="1" x14ac:dyDescent="0.3">
      <c r="A402" s="20" t="s">
        <v>503</v>
      </c>
      <c r="B402" s="5">
        <v>2168</v>
      </c>
      <c r="C402" s="6" t="s">
        <v>12</v>
      </c>
      <c r="D402" s="6" t="s">
        <v>12</v>
      </c>
      <c r="E402" s="6" t="s">
        <v>12</v>
      </c>
      <c r="F402" s="6" t="s">
        <v>13</v>
      </c>
      <c r="G402" s="6" t="s">
        <v>12</v>
      </c>
      <c r="H402" s="6" t="s">
        <v>13</v>
      </c>
      <c r="I402" s="21" t="s">
        <v>11</v>
      </c>
      <c r="J402" t="str">
        <f>VLOOKUP(A402,All!A:A,1,FALSE)</f>
        <v>Hoffman Estates (H.S.)</v>
      </c>
    </row>
    <row r="403" spans="1:10" ht="15.75" thickBot="1" x14ac:dyDescent="0.3">
      <c r="A403" s="18" t="s">
        <v>504</v>
      </c>
      <c r="B403" s="3">
        <v>299</v>
      </c>
      <c r="C403" s="4" t="s">
        <v>9</v>
      </c>
      <c r="D403" s="4" t="s">
        <v>9</v>
      </c>
      <c r="E403" s="4" t="s">
        <v>9</v>
      </c>
      <c r="F403" s="4" t="s">
        <v>9</v>
      </c>
      <c r="G403" s="9" t="s">
        <v>9</v>
      </c>
      <c r="H403" s="4"/>
      <c r="I403" s="19" t="s">
        <v>9</v>
      </c>
      <c r="J403" t="str">
        <f>VLOOKUP(A403,All!A:A,1,FALSE)</f>
        <v>Hoopeston (H. Area)</v>
      </c>
    </row>
    <row r="404" spans="1:10" ht="15.75" thickBot="1" x14ac:dyDescent="0.3">
      <c r="A404" s="20" t="s">
        <v>506</v>
      </c>
      <c r="B404" s="5">
        <v>2746</v>
      </c>
      <c r="C404" s="6" t="s">
        <v>12</v>
      </c>
      <c r="D404" s="6" t="s">
        <v>12</v>
      </c>
      <c r="E404" s="6" t="s">
        <v>12</v>
      </c>
      <c r="F404" s="6" t="s">
        <v>13</v>
      </c>
      <c r="G404" s="6" t="s">
        <v>12</v>
      </c>
      <c r="H404" s="6" t="s">
        <v>13</v>
      </c>
      <c r="I404" s="21" t="s">
        <v>11</v>
      </c>
      <c r="J404" t="str">
        <f>VLOOKUP(A404,All!A:A,1,FALSE)</f>
        <v>Huntley</v>
      </c>
    </row>
    <row r="405" spans="1:10" ht="15.75" thickBot="1" x14ac:dyDescent="0.3">
      <c r="A405" s="18" t="s">
        <v>507</v>
      </c>
      <c r="B405" s="3">
        <v>77</v>
      </c>
      <c r="C405" s="4"/>
      <c r="D405" s="4"/>
      <c r="E405" s="4"/>
      <c r="F405" s="4"/>
      <c r="G405" s="4"/>
      <c r="H405" s="4"/>
      <c r="I405" s="22" t="s">
        <v>9</v>
      </c>
      <c r="J405" t="str">
        <f>VLOOKUP(A405,All!A:A,1,FALSE)</f>
        <v>Hutsonville</v>
      </c>
    </row>
    <row r="406" spans="1:10" ht="15.75" thickBot="1" x14ac:dyDescent="0.3">
      <c r="A406" s="20" t="s">
        <v>508</v>
      </c>
      <c r="B406" s="7">
        <v>840</v>
      </c>
      <c r="C406" s="6" t="s">
        <v>13</v>
      </c>
      <c r="D406" s="6" t="s">
        <v>13</v>
      </c>
      <c r="E406" s="6" t="s">
        <v>13</v>
      </c>
      <c r="F406" s="6" t="s">
        <v>9</v>
      </c>
      <c r="G406" s="6" t="s">
        <v>13</v>
      </c>
      <c r="H406" s="6" t="s">
        <v>9</v>
      </c>
      <c r="I406" s="21" t="s">
        <v>12</v>
      </c>
      <c r="J406" t="str">
        <f>VLOOKUP(A406,All!A:A,1,FALSE)</f>
        <v>Jacksonville (H.S.)</v>
      </c>
    </row>
    <row r="407" spans="1:10" ht="15.75" thickBot="1" x14ac:dyDescent="0.3">
      <c r="A407" s="18" t="s">
        <v>511</v>
      </c>
      <c r="B407" s="3" t="s">
        <v>512</v>
      </c>
      <c r="C407" s="4"/>
      <c r="D407" s="4"/>
      <c r="E407" s="10" t="s">
        <v>9</v>
      </c>
      <c r="F407" s="4"/>
      <c r="G407" s="4"/>
      <c r="H407" s="4"/>
      <c r="I407" s="23" t="s">
        <v>9</v>
      </c>
      <c r="J407" t="str">
        <f>VLOOKUP(A407,All!A:A,1,FALSE)</f>
        <v>Jacksonville (Routt)</v>
      </c>
    </row>
    <row r="408" spans="1:10" ht="15.75" thickBot="1" x14ac:dyDescent="0.3">
      <c r="A408" s="20" t="s">
        <v>513</v>
      </c>
      <c r="B408" s="7">
        <v>780</v>
      </c>
      <c r="C408" s="6" t="s">
        <v>13</v>
      </c>
      <c r="D408" s="6" t="s">
        <v>13</v>
      </c>
      <c r="E408" s="6" t="s">
        <v>13</v>
      </c>
      <c r="F408" s="6"/>
      <c r="G408" s="6" t="s">
        <v>13</v>
      </c>
      <c r="H408" s="6" t="s">
        <v>9</v>
      </c>
      <c r="I408" s="21" t="s">
        <v>12</v>
      </c>
      <c r="J408" t="str">
        <f>VLOOKUP(A408,All!A:A,1,FALSE)</f>
        <v>Jerseyville (Jersey)</v>
      </c>
    </row>
    <row r="409" spans="1:10" ht="15.75" thickBot="1" x14ac:dyDescent="0.3">
      <c r="A409" s="18" t="s">
        <v>514</v>
      </c>
      <c r="B409" s="3">
        <v>488</v>
      </c>
      <c r="C409" s="4" t="s">
        <v>9</v>
      </c>
      <c r="D409" s="4" t="s">
        <v>9</v>
      </c>
      <c r="E409" s="4" t="s">
        <v>9</v>
      </c>
      <c r="F409" s="4" t="s">
        <v>9</v>
      </c>
      <c r="G409" s="4" t="s">
        <v>9</v>
      </c>
      <c r="H409" s="4" t="s">
        <v>9</v>
      </c>
      <c r="I409" s="19" t="s">
        <v>13</v>
      </c>
      <c r="J409" t="str">
        <f>VLOOKUP(A409,All!A:A,1,FALSE)</f>
        <v>Johnsburg</v>
      </c>
    </row>
    <row r="410" spans="1:10" ht="15.75" thickBot="1" x14ac:dyDescent="0.3">
      <c r="A410" s="20" t="s">
        <v>515</v>
      </c>
      <c r="B410" s="7">
        <v>326</v>
      </c>
      <c r="C410" s="6"/>
      <c r="D410" s="6"/>
      <c r="E410" s="6" t="s">
        <v>9</v>
      </c>
      <c r="F410" s="6" t="s">
        <v>9</v>
      </c>
      <c r="G410" s="6"/>
      <c r="H410" s="6"/>
      <c r="I410" s="21" t="s">
        <v>13</v>
      </c>
      <c r="J410" t="str">
        <f>VLOOKUP(A410,All!A:A,1,FALSE)</f>
        <v>Johnston City</v>
      </c>
    </row>
    <row r="411" spans="1:10" ht="15.75" thickBot="1" x14ac:dyDescent="0.3">
      <c r="A411" s="18" t="s">
        <v>516</v>
      </c>
      <c r="B411" s="3" t="s">
        <v>517</v>
      </c>
      <c r="C411" s="10" t="s">
        <v>13</v>
      </c>
      <c r="D411" s="10" t="s">
        <v>13</v>
      </c>
      <c r="E411" s="10" t="s">
        <v>13</v>
      </c>
      <c r="F411" s="11" t="s">
        <v>9</v>
      </c>
      <c r="G411" s="11" t="s">
        <v>9</v>
      </c>
      <c r="H411" s="10" t="s">
        <v>9</v>
      </c>
      <c r="I411" s="23" t="s">
        <v>12</v>
      </c>
      <c r="J411" t="str">
        <f>VLOOKUP(A411,All!A:A,1,FALSE)</f>
        <v>Joliet (Catholic Academy)</v>
      </c>
    </row>
    <row r="412" spans="1:10" ht="15.75" thickBot="1" x14ac:dyDescent="0.3">
      <c r="A412" s="20" t="s">
        <v>518</v>
      </c>
      <c r="B412" s="5">
        <v>3259</v>
      </c>
      <c r="C412" s="6" t="s">
        <v>12</v>
      </c>
      <c r="D412" s="6" t="s">
        <v>12</v>
      </c>
      <c r="E412" s="9" t="s">
        <v>12</v>
      </c>
      <c r="F412" s="9" t="s">
        <v>13</v>
      </c>
      <c r="G412" s="6" t="s">
        <v>12</v>
      </c>
      <c r="H412" s="6"/>
      <c r="I412" s="21" t="s">
        <v>11</v>
      </c>
      <c r="J412" t="str">
        <f>VLOOKUP(A412,All!A:A,1,FALSE)</f>
        <v>Joliet (Central)</v>
      </c>
    </row>
    <row r="413" spans="1:10" ht="15.75" thickBot="1" x14ac:dyDescent="0.3">
      <c r="A413" s="18" t="s">
        <v>519</v>
      </c>
      <c r="B413" s="8">
        <v>3293</v>
      </c>
      <c r="C413" s="4" t="s">
        <v>12</v>
      </c>
      <c r="D413" s="4" t="s">
        <v>12</v>
      </c>
      <c r="E413" s="4"/>
      <c r="F413" s="4"/>
      <c r="G413" s="4" t="s">
        <v>12</v>
      </c>
      <c r="H413" s="9" t="s">
        <v>13</v>
      </c>
      <c r="I413" s="19" t="s">
        <v>11</v>
      </c>
      <c r="J413" t="str">
        <f>VLOOKUP(A413,All!A:A,1,FALSE)</f>
        <v>Joliet (West)</v>
      </c>
    </row>
    <row r="414" spans="1:10" ht="15.75" thickBot="1" x14ac:dyDescent="0.3">
      <c r="A414" s="20" t="s">
        <v>520</v>
      </c>
      <c r="B414" s="7">
        <v>46</v>
      </c>
      <c r="C414" s="6"/>
      <c r="D414" s="6"/>
      <c r="E414" s="6"/>
      <c r="F414" s="6"/>
      <c r="G414" s="6"/>
      <c r="H414" s="6"/>
      <c r="I414" s="21" t="s">
        <v>9</v>
      </c>
      <c r="J414" t="str">
        <f>VLOOKUP(A414,All!A:A,1,FALSE)</f>
        <v>Joppa (J.-Maple Grove)</v>
      </c>
    </row>
    <row r="415" spans="1:10" ht="15.75" thickBot="1" x14ac:dyDescent="0.3">
      <c r="A415" s="18" t="s">
        <v>521</v>
      </c>
      <c r="B415" s="3">
        <v>199</v>
      </c>
      <c r="C415" s="4"/>
      <c r="D415" s="4"/>
      <c r="E415" s="4" t="s">
        <v>9</v>
      </c>
      <c r="F415" s="4"/>
      <c r="G415" s="4"/>
      <c r="H415" s="4"/>
      <c r="I415" s="19" t="s">
        <v>9</v>
      </c>
      <c r="J415" t="str">
        <f>VLOOKUP(A415,All!A:A,1,FALSE)</f>
        <v>Junction (Gallatin County)</v>
      </c>
    </row>
    <row r="416" spans="1:10" ht="15.75" thickBot="1" x14ac:dyDescent="0.3">
      <c r="A416" s="20" t="s">
        <v>949</v>
      </c>
      <c r="B416" s="7" t="s">
        <v>950</v>
      </c>
      <c r="C416" s="6"/>
      <c r="D416" s="6"/>
      <c r="E416" s="6"/>
      <c r="F416" s="6"/>
      <c r="G416" s="6"/>
      <c r="H416" s="6"/>
      <c r="I416" s="21" t="s">
        <v>9</v>
      </c>
      <c r="J416" t="str">
        <f>VLOOKUP(A416,All!A:A,1,FALSE)</f>
        <v>Kankakee (Grace Christian Academy)</v>
      </c>
    </row>
    <row r="417" spans="1:10" ht="15.75" thickBot="1" x14ac:dyDescent="0.3">
      <c r="A417" s="25" t="s">
        <v>0</v>
      </c>
      <c r="B417" s="1" t="s">
        <v>1</v>
      </c>
      <c r="C417" s="2" t="s">
        <v>971</v>
      </c>
      <c r="D417" s="2" t="s">
        <v>972</v>
      </c>
      <c r="E417" s="2" t="s">
        <v>973</v>
      </c>
      <c r="F417" s="2" t="s">
        <v>974</v>
      </c>
      <c r="G417" s="2" t="s">
        <v>975</v>
      </c>
      <c r="H417" s="2" t="s">
        <v>976</v>
      </c>
      <c r="I417" s="26" t="s">
        <v>977</v>
      </c>
      <c r="J417" t="str">
        <f>VLOOKUP(A417,All!A:A,1,FALSE)</f>
        <v>School</v>
      </c>
    </row>
    <row r="418" spans="1:10" ht="15.75" thickBot="1" x14ac:dyDescent="0.3">
      <c r="A418" s="18" t="s">
        <v>522</v>
      </c>
      <c r="B418" s="3" t="s">
        <v>523</v>
      </c>
      <c r="C418" s="10" t="s">
        <v>9</v>
      </c>
      <c r="D418" s="10" t="s">
        <v>9</v>
      </c>
      <c r="E418" s="11" t="s">
        <v>9</v>
      </c>
      <c r="F418" s="10" t="s">
        <v>9</v>
      </c>
      <c r="G418" s="10" t="s">
        <v>9</v>
      </c>
      <c r="H418" s="10" t="s">
        <v>9</v>
      </c>
      <c r="I418" s="23" t="s">
        <v>13</v>
      </c>
      <c r="J418" t="str">
        <f>VLOOKUP(A418,All!A:A,1,FALSE)</f>
        <v>Kankakee (McNamara)</v>
      </c>
    </row>
    <row r="419" spans="1:10" ht="15.75" thickBot="1" x14ac:dyDescent="0.3">
      <c r="A419" s="20" t="s">
        <v>524</v>
      </c>
      <c r="B419" s="5">
        <v>1297</v>
      </c>
      <c r="C419" s="6" t="s">
        <v>13</v>
      </c>
      <c r="D419" s="6" t="s">
        <v>13</v>
      </c>
      <c r="E419" s="6" t="s">
        <v>13</v>
      </c>
      <c r="F419" s="6"/>
      <c r="G419" s="6" t="s">
        <v>13</v>
      </c>
      <c r="H419" s="9" t="s">
        <v>13</v>
      </c>
      <c r="I419" s="21" t="s">
        <v>12</v>
      </c>
      <c r="J419" t="str">
        <f>VLOOKUP(A419,All!A:A,1,FALSE)</f>
        <v>Kankakee (Sr.)</v>
      </c>
    </row>
    <row r="420" spans="1:10" ht="15.75" thickBot="1" x14ac:dyDescent="0.3">
      <c r="A420" s="18" t="s">
        <v>525</v>
      </c>
      <c r="B420" s="3">
        <v>51</v>
      </c>
      <c r="C420" s="4"/>
      <c r="D420" s="4"/>
      <c r="E420" s="4"/>
      <c r="F420" s="4"/>
      <c r="G420" s="4"/>
      <c r="H420" s="4"/>
      <c r="I420" s="22" t="s">
        <v>9</v>
      </c>
      <c r="J420" t="str">
        <f>VLOOKUP(A420,All!A:A,1,FALSE)</f>
        <v>Kansas</v>
      </c>
    </row>
    <row r="421" spans="1:10" ht="15.75" thickBot="1" x14ac:dyDescent="0.3">
      <c r="A421" s="20" t="s">
        <v>526</v>
      </c>
      <c r="B421" s="7">
        <v>579</v>
      </c>
      <c r="C421" s="6" t="s">
        <v>9</v>
      </c>
      <c r="D421" s="6"/>
      <c r="E421" s="6" t="s">
        <v>13</v>
      </c>
      <c r="F421" s="6"/>
      <c r="G421" s="6" t="s">
        <v>9</v>
      </c>
      <c r="H421" s="6" t="s">
        <v>9</v>
      </c>
      <c r="I421" s="21" t="s">
        <v>13</v>
      </c>
      <c r="J421" t="str">
        <f>VLOOKUP(A421,All!A:A,1,FALSE)</f>
        <v>Kewanee (H.S.)</v>
      </c>
    </row>
    <row r="422" spans="1:10" ht="15.75" thickBot="1" x14ac:dyDescent="0.3">
      <c r="A422" s="18" t="s">
        <v>527</v>
      </c>
      <c r="B422" s="3">
        <v>138</v>
      </c>
      <c r="C422" s="9" t="s">
        <v>9</v>
      </c>
      <c r="D422" s="9" t="s">
        <v>9</v>
      </c>
      <c r="E422" s="9" t="s">
        <v>9</v>
      </c>
      <c r="F422" s="9" t="s">
        <v>9</v>
      </c>
      <c r="G422" s="4"/>
      <c r="H422" s="4"/>
      <c r="I422" s="19" t="s">
        <v>9</v>
      </c>
      <c r="J422" t="str">
        <f>VLOOKUP(A422,All!A:A,1,FALSE)</f>
        <v>Kewanee (Wethersfield)</v>
      </c>
    </row>
    <row r="423" spans="1:10" ht="15.75" thickBot="1" x14ac:dyDescent="0.3">
      <c r="A423" s="20" t="s">
        <v>528</v>
      </c>
      <c r="B423" s="7">
        <v>119</v>
      </c>
      <c r="C423" s="6"/>
      <c r="D423" s="6"/>
      <c r="E423" s="6"/>
      <c r="F423" s="6"/>
      <c r="G423" s="6"/>
      <c r="H423" s="6"/>
      <c r="I423" s="21" t="s">
        <v>9</v>
      </c>
      <c r="J423" t="str">
        <f>VLOOKUP(A423,All!A:A,1,FALSE)</f>
        <v>Kirkland (Hiawatha)</v>
      </c>
    </row>
    <row r="424" spans="1:10" ht="15.75" thickBot="1" x14ac:dyDescent="0.3">
      <c r="A424" s="18" t="s">
        <v>529</v>
      </c>
      <c r="B424" s="3">
        <v>275</v>
      </c>
      <c r="C424" s="4" t="s">
        <v>9</v>
      </c>
      <c r="D424" s="4" t="s">
        <v>9</v>
      </c>
      <c r="E424" s="4" t="s">
        <v>9</v>
      </c>
      <c r="F424" s="4"/>
      <c r="G424" s="4"/>
      <c r="H424" s="4"/>
      <c r="I424" s="19" t="s">
        <v>9</v>
      </c>
      <c r="J424" t="str">
        <f>VLOOKUP(A424,All!A:A,1,FALSE)</f>
        <v>Knoxville</v>
      </c>
    </row>
    <row r="425" spans="1:10" ht="15.75" thickBot="1" x14ac:dyDescent="0.3">
      <c r="A425" s="20" t="s">
        <v>530</v>
      </c>
      <c r="B425" s="5">
        <v>3653</v>
      </c>
      <c r="C425" s="6" t="s">
        <v>12</v>
      </c>
      <c r="D425" s="6" t="s">
        <v>12</v>
      </c>
      <c r="E425" s="6" t="s">
        <v>12</v>
      </c>
      <c r="F425" s="6" t="s">
        <v>13</v>
      </c>
      <c r="G425" s="6" t="s">
        <v>12</v>
      </c>
      <c r="H425" s="6" t="s">
        <v>13</v>
      </c>
      <c r="I425" s="21" t="s">
        <v>11</v>
      </c>
      <c r="J425" t="str">
        <f>VLOOKUP(A425,All!A:A,1,FALSE)</f>
        <v>LaGrange (Lyons)</v>
      </c>
    </row>
    <row r="426" spans="1:10" ht="15.75" thickBot="1" x14ac:dyDescent="0.3">
      <c r="A426" s="18" t="s">
        <v>531</v>
      </c>
      <c r="B426" s="3" t="s">
        <v>532</v>
      </c>
      <c r="C426" s="10" t="s">
        <v>13</v>
      </c>
      <c r="D426" s="10" t="s">
        <v>13</v>
      </c>
      <c r="E426" s="10" t="s">
        <v>13</v>
      </c>
      <c r="F426" s="10" t="s">
        <v>13</v>
      </c>
      <c r="G426" s="10" t="s">
        <v>13</v>
      </c>
      <c r="H426" s="10" t="s">
        <v>9</v>
      </c>
      <c r="I426" s="23" t="s">
        <v>12</v>
      </c>
      <c r="J426" t="str">
        <f>VLOOKUP(A426,All!A:A,1,FALSE)</f>
        <v>LaGrange Park (Nazareth Academy)</v>
      </c>
    </row>
    <row r="427" spans="1:10" ht="15.75" thickBot="1" x14ac:dyDescent="0.3">
      <c r="A427" s="20" t="s">
        <v>533</v>
      </c>
      <c r="B427" s="5">
        <v>1349</v>
      </c>
      <c r="C427" s="6" t="s">
        <v>13</v>
      </c>
      <c r="D427" s="6" t="s">
        <v>13</v>
      </c>
      <c r="E427" s="6" t="s">
        <v>13</v>
      </c>
      <c r="F427" s="6" t="s">
        <v>13</v>
      </c>
      <c r="G427" s="6" t="s">
        <v>13</v>
      </c>
      <c r="H427" s="6" t="s">
        <v>9</v>
      </c>
      <c r="I427" s="21" t="s">
        <v>12</v>
      </c>
      <c r="J427" t="str">
        <f>VLOOKUP(A427,All!A:A,1,FALSE)</f>
        <v>Lake Forest (H.S.)</v>
      </c>
    </row>
    <row r="428" spans="1:10" ht="15.75" thickBot="1" x14ac:dyDescent="0.3">
      <c r="A428" s="18" t="s">
        <v>534</v>
      </c>
      <c r="B428" s="3" t="s">
        <v>535</v>
      </c>
      <c r="C428" s="4"/>
      <c r="D428" s="4"/>
      <c r="E428" s="4"/>
      <c r="F428" s="4"/>
      <c r="G428" s="4"/>
      <c r="H428" s="10" t="s">
        <v>9</v>
      </c>
      <c r="I428" s="23" t="s">
        <v>9</v>
      </c>
      <c r="J428" t="str">
        <f>VLOOKUP(A428,All!A:A,1,FALSE)</f>
        <v>Lake Forest (Woodlands Academy)</v>
      </c>
    </row>
    <row r="429" spans="1:10" ht="15.75" thickBot="1" x14ac:dyDescent="0.3">
      <c r="A429" s="20" t="s">
        <v>536</v>
      </c>
      <c r="B429" s="5">
        <v>1270</v>
      </c>
      <c r="C429" s="6" t="s">
        <v>13</v>
      </c>
      <c r="D429" s="6" t="s">
        <v>13</v>
      </c>
      <c r="E429" s="6" t="s">
        <v>13</v>
      </c>
      <c r="F429" s="6" t="s">
        <v>13</v>
      </c>
      <c r="G429" s="6" t="s">
        <v>13</v>
      </c>
      <c r="H429" s="6" t="s">
        <v>9</v>
      </c>
      <c r="I429" s="21" t="s">
        <v>12</v>
      </c>
      <c r="J429" t="str">
        <f>VLOOKUP(A429,All!A:A,1,FALSE)</f>
        <v>Lake Villa (Lakes)</v>
      </c>
    </row>
    <row r="430" spans="1:10" ht="15.75" thickBot="1" x14ac:dyDescent="0.3">
      <c r="A430" s="18" t="s">
        <v>537</v>
      </c>
      <c r="B430" s="8">
        <v>1794</v>
      </c>
      <c r="C430" s="4" t="s">
        <v>12</v>
      </c>
      <c r="D430" s="4" t="s">
        <v>12</v>
      </c>
      <c r="E430" s="4" t="s">
        <v>12</v>
      </c>
      <c r="F430" s="4" t="s">
        <v>13</v>
      </c>
      <c r="G430" s="4" t="s">
        <v>12</v>
      </c>
      <c r="H430" s="4" t="s">
        <v>13</v>
      </c>
      <c r="I430" s="19" t="s">
        <v>11</v>
      </c>
      <c r="J430" t="str">
        <f>VLOOKUP(A430,All!A:A,1,FALSE)</f>
        <v>Lake Zurich</v>
      </c>
    </row>
    <row r="431" spans="1:10" ht="15.75" thickBot="1" x14ac:dyDescent="0.3">
      <c r="A431" s="20" t="s">
        <v>952</v>
      </c>
      <c r="B431" s="7">
        <v>60</v>
      </c>
      <c r="C431" s="6"/>
      <c r="D431" s="6"/>
      <c r="E431" s="6"/>
      <c r="F431" s="6"/>
      <c r="G431" s="6"/>
      <c r="H431" s="6"/>
      <c r="I431" s="21" t="s">
        <v>9</v>
      </c>
      <c r="J431" t="str">
        <f>VLOOKUP(A431,All!A:A,1,FALSE)</f>
        <v>LaMoille</v>
      </c>
    </row>
    <row r="432" spans="1:10" ht="15.75" thickBot="1" x14ac:dyDescent="0.3">
      <c r="A432" s="18" t="s">
        <v>538</v>
      </c>
      <c r="B432" s="3">
        <v>187</v>
      </c>
      <c r="C432" s="4"/>
      <c r="D432" s="9" t="s">
        <v>9</v>
      </c>
      <c r="E432" s="9" t="s">
        <v>9</v>
      </c>
      <c r="F432" s="9" t="s">
        <v>9</v>
      </c>
      <c r="G432" s="4"/>
      <c r="H432" s="4"/>
      <c r="I432" s="19" t="s">
        <v>9</v>
      </c>
      <c r="J432" t="str">
        <f>VLOOKUP(A432,All!A:A,1,FALSE)</f>
        <v>Lanark (Eastland)</v>
      </c>
    </row>
    <row r="433" spans="1:10" ht="15.75" thickBot="1" x14ac:dyDescent="0.3">
      <c r="A433" s="20" t="s">
        <v>539</v>
      </c>
      <c r="B433" s="5">
        <v>1645</v>
      </c>
      <c r="C433" s="6" t="s">
        <v>12</v>
      </c>
      <c r="D433" s="6" t="s">
        <v>12</v>
      </c>
      <c r="E433" s="6" t="s">
        <v>12</v>
      </c>
      <c r="F433" s="6"/>
      <c r="G433" s="6"/>
      <c r="H433" s="6" t="s">
        <v>13</v>
      </c>
      <c r="I433" s="21" t="s">
        <v>11</v>
      </c>
      <c r="J433" t="str">
        <f>VLOOKUP(A433,All!A:A,1,FALSE)</f>
        <v>Lansing (Thornton Fractional South)</v>
      </c>
    </row>
    <row r="434" spans="1:10" ht="15.75" thickBot="1" x14ac:dyDescent="0.3">
      <c r="A434" s="18" t="s">
        <v>540</v>
      </c>
      <c r="B434" s="8">
        <v>1137</v>
      </c>
      <c r="C434" s="4" t="s">
        <v>13</v>
      </c>
      <c r="D434" s="4" t="s">
        <v>13</v>
      </c>
      <c r="E434" s="4" t="s">
        <v>13</v>
      </c>
      <c r="F434" s="4" t="s">
        <v>13</v>
      </c>
      <c r="G434" s="4" t="s">
        <v>13</v>
      </c>
      <c r="H434" s="4" t="s">
        <v>9</v>
      </c>
      <c r="I434" s="19" t="s">
        <v>12</v>
      </c>
      <c r="J434" t="str">
        <f>VLOOKUP(A434,All!A:A,1,FALSE)</f>
        <v>LaSalle (L.-Peru)</v>
      </c>
    </row>
    <row r="435" spans="1:10" ht="15.75" thickBot="1" x14ac:dyDescent="0.3">
      <c r="A435" s="20" t="s">
        <v>541</v>
      </c>
      <c r="B435" s="7">
        <v>291</v>
      </c>
      <c r="C435" s="9" t="s">
        <v>9</v>
      </c>
      <c r="D435" s="9" t="s">
        <v>9</v>
      </c>
      <c r="E435" s="6" t="s">
        <v>9</v>
      </c>
      <c r="F435" s="6"/>
      <c r="G435" s="6"/>
      <c r="H435" s="6"/>
      <c r="I435" s="21" t="s">
        <v>9</v>
      </c>
      <c r="J435" t="str">
        <f>VLOOKUP(A435,All!A:A,1,FALSE)</f>
        <v>Lawrenceville</v>
      </c>
    </row>
    <row r="436" spans="1:10" ht="15.75" thickBot="1" x14ac:dyDescent="0.3">
      <c r="A436" s="18" t="s">
        <v>542</v>
      </c>
      <c r="B436" s="3">
        <v>123</v>
      </c>
      <c r="C436" s="4" t="s">
        <v>9</v>
      </c>
      <c r="D436" s="4" t="s">
        <v>9</v>
      </c>
      <c r="E436" s="4"/>
      <c r="F436" s="4"/>
      <c r="G436" s="4" t="s">
        <v>9</v>
      </c>
      <c r="H436" s="4"/>
      <c r="I436" s="19" t="s">
        <v>9</v>
      </c>
      <c r="J436" t="str">
        <f>VLOOKUP(A436,All!A:A,1,FALSE)</f>
        <v>Lebanon</v>
      </c>
    </row>
    <row r="437" spans="1:10" ht="15.75" thickBot="1" x14ac:dyDescent="0.3">
      <c r="A437" s="20" t="s">
        <v>953</v>
      </c>
      <c r="B437" s="7">
        <v>84</v>
      </c>
      <c r="C437" s="6"/>
      <c r="D437" s="6"/>
      <c r="E437" s="6"/>
      <c r="F437" s="6"/>
      <c r="G437" s="6"/>
      <c r="H437" s="6"/>
      <c r="I437" s="21" t="s">
        <v>9</v>
      </c>
      <c r="J437" t="str">
        <f>VLOOKUP(A437,All!A:A,1,FALSE)</f>
        <v>Leland</v>
      </c>
    </row>
    <row r="438" spans="1:10" ht="15.75" thickBot="1" x14ac:dyDescent="0.3">
      <c r="A438" s="18" t="s">
        <v>543</v>
      </c>
      <c r="B438" s="8">
        <v>1279</v>
      </c>
      <c r="C438" s="4" t="s">
        <v>13</v>
      </c>
      <c r="D438" s="4" t="s">
        <v>13</v>
      </c>
      <c r="E438" s="4" t="s">
        <v>13</v>
      </c>
      <c r="F438" s="4" t="s">
        <v>13</v>
      </c>
      <c r="G438" s="4" t="s">
        <v>13</v>
      </c>
      <c r="H438" s="4" t="s">
        <v>9</v>
      </c>
      <c r="I438" s="19" t="s">
        <v>12</v>
      </c>
      <c r="J438" t="str">
        <f>VLOOKUP(A438,All!A:A,1,FALSE)</f>
        <v>Lemont (H.S.)</v>
      </c>
    </row>
    <row r="439" spans="1:10" ht="15.75" thickBot="1" x14ac:dyDescent="0.3">
      <c r="A439" s="20" t="s">
        <v>544</v>
      </c>
      <c r="B439" s="7">
        <v>230</v>
      </c>
      <c r="C439" s="6"/>
      <c r="D439" s="6"/>
      <c r="E439" s="6"/>
      <c r="F439" s="6"/>
      <c r="G439" s="6"/>
      <c r="H439" s="6"/>
      <c r="I439" s="21" t="s">
        <v>9</v>
      </c>
      <c r="J439" t="str">
        <f>VLOOKUP(A439,All!A:A,1,FALSE)</f>
        <v>Lena (L.-Winslow)</v>
      </c>
    </row>
    <row r="440" spans="1:10" ht="15.75" thickBot="1" x14ac:dyDescent="0.3">
      <c r="A440" s="18" t="s">
        <v>545</v>
      </c>
      <c r="B440" s="3">
        <v>233</v>
      </c>
      <c r="C440" s="4"/>
      <c r="D440" s="4"/>
      <c r="E440" s="4" t="s">
        <v>9</v>
      </c>
      <c r="F440" s="4" t="s">
        <v>9</v>
      </c>
      <c r="G440" s="4"/>
      <c r="H440" s="4"/>
      <c r="I440" s="19" t="s">
        <v>9</v>
      </c>
      <c r="J440" t="str">
        <f>VLOOKUP(A440,All!A:A,1,FALSE)</f>
        <v>LeRoy</v>
      </c>
    </row>
    <row r="441" spans="1:10" ht="15.75" thickBot="1" x14ac:dyDescent="0.3">
      <c r="A441" s="20" t="s">
        <v>546</v>
      </c>
      <c r="B441" s="7">
        <v>160</v>
      </c>
      <c r="C441" s="9" t="s">
        <v>9</v>
      </c>
      <c r="D441" s="9" t="s">
        <v>9</v>
      </c>
      <c r="E441" s="6"/>
      <c r="F441" s="6"/>
      <c r="G441" s="6"/>
      <c r="H441" s="6"/>
      <c r="I441" s="21" t="s">
        <v>9</v>
      </c>
      <c r="J441" t="str">
        <f>VLOOKUP(A441,All!A:A,1,FALSE)</f>
        <v>Lewistown</v>
      </c>
    </row>
    <row r="442" spans="1:10" ht="15.75" thickBot="1" x14ac:dyDescent="0.3">
      <c r="A442" s="18" t="s">
        <v>547</v>
      </c>
      <c r="B442" s="3">
        <v>161</v>
      </c>
      <c r="C442" s="4"/>
      <c r="D442" s="4"/>
      <c r="E442" s="4" t="s">
        <v>9</v>
      </c>
      <c r="F442" s="4"/>
      <c r="G442" s="4"/>
      <c r="H442" s="4"/>
      <c r="I442" s="19" t="s">
        <v>9</v>
      </c>
      <c r="J442" t="str">
        <f>VLOOKUP(A442,All!A:A,1,FALSE)</f>
        <v>Lexington</v>
      </c>
    </row>
    <row r="443" spans="1:10" ht="15.75" thickBot="1" x14ac:dyDescent="0.3">
      <c r="A443" s="25" t="s">
        <v>0</v>
      </c>
      <c r="B443" s="1" t="s">
        <v>1</v>
      </c>
      <c r="C443" s="2" t="s">
        <v>971</v>
      </c>
      <c r="D443" s="2" t="s">
        <v>972</v>
      </c>
      <c r="E443" s="2" t="s">
        <v>973</v>
      </c>
      <c r="F443" s="2" t="s">
        <v>974</v>
      </c>
      <c r="G443" s="2" t="s">
        <v>975</v>
      </c>
      <c r="H443" s="2" t="s">
        <v>976</v>
      </c>
      <c r="I443" s="26" t="s">
        <v>977</v>
      </c>
      <c r="J443" t="str">
        <f>VLOOKUP(A443,All!A:A,1,FALSE)</f>
        <v>School</v>
      </c>
    </row>
    <row r="444" spans="1:10" ht="15.75" thickBot="1" x14ac:dyDescent="0.3">
      <c r="A444" s="20" t="s">
        <v>548</v>
      </c>
      <c r="B444" s="7">
        <v>168</v>
      </c>
      <c r="C444" s="6" t="s">
        <v>9</v>
      </c>
      <c r="D444" s="6" t="s">
        <v>9</v>
      </c>
      <c r="E444" s="6" t="s">
        <v>9</v>
      </c>
      <c r="F444" s="6" t="s">
        <v>9</v>
      </c>
      <c r="G444" s="6"/>
      <c r="H444" s="6"/>
      <c r="I444" s="21" t="s">
        <v>9</v>
      </c>
      <c r="J444" t="str">
        <f>VLOOKUP(A444,All!A:A,1,FALSE)</f>
        <v>Liberty</v>
      </c>
    </row>
    <row r="445" spans="1:10" ht="15.75" thickBot="1" x14ac:dyDescent="0.3">
      <c r="A445" s="18" t="s">
        <v>549</v>
      </c>
      <c r="B445" s="8">
        <v>1736</v>
      </c>
      <c r="C445" s="4" t="s">
        <v>12</v>
      </c>
      <c r="D445" s="4" t="s">
        <v>12</v>
      </c>
      <c r="E445" s="4" t="s">
        <v>12</v>
      </c>
      <c r="F445" s="4" t="s">
        <v>13</v>
      </c>
      <c r="G445" s="4" t="s">
        <v>12</v>
      </c>
      <c r="H445" s="4" t="s">
        <v>13</v>
      </c>
      <c r="I445" s="19" t="s">
        <v>11</v>
      </c>
      <c r="J445" t="str">
        <f>VLOOKUP(A445,All!A:A,1,FALSE)</f>
        <v>Libertyville</v>
      </c>
    </row>
    <row r="446" spans="1:10" ht="15.75" thickBot="1" x14ac:dyDescent="0.3">
      <c r="A446" s="20" t="s">
        <v>550</v>
      </c>
      <c r="B446" s="7">
        <v>751</v>
      </c>
      <c r="C446" s="6" t="s">
        <v>13</v>
      </c>
      <c r="D446" s="6" t="s">
        <v>13</v>
      </c>
      <c r="E446" s="6" t="s">
        <v>13</v>
      </c>
      <c r="F446" s="6" t="s">
        <v>9</v>
      </c>
      <c r="G446" s="6" t="s">
        <v>13</v>
      </c>
      <c r="H446" s="6" t="s">
        <v>9</v>
      </c>
      <c r="I446" s="21" t="s">
        <v>12</v>
      </c>
      <c r="J446" t="str">
        <f>VLOOKUP(A446,All!A:A,1,FALSE)</f>
        <v>Lincoln</v>
      </c>
    </row>
    <row r="447" spans="1:10" ht="15.75" thickBot="1" x14ac:dyDescent="0.3">
      <c r="A447" s="18" t="s">
        <v>551</v>
      </c>
      <c r="B447" s="8">
        <v>4720</v>
      </c>
      <c r="C447" s="4" t="s">
        <v>12</v>
      </c>
      <c r="D447" s="4" t="s">
        <v>12</v>
      </c>
      <c r="E447" s="4" t="s">
        <v>12</v>
      </c>
      <c r="F447" s="4" t="s">
        <v>13</v>
      </c>
      <c r="G447" s="4" t="s">
        <v>12</v>
      </c>
      <c r="H447" s="4" t="s">
        <v>13</v>
      </c>
      <c r="I447" s="19" t="s">
        <v>11</v>
      </c>
      <c r="J447" t="str">
        <f>VLOOKUP(A447,All!A:A,1,FALSE)</f>
        <v>Lincolnshire (Stevenson)</v>
      </c>
    </row>
    <row r="448" spans="1:10" ht="15.75" thickBot="1" x14ac:dyDescent="0.3">
      <c r="A448" s="20" t="s">
        <v>552</v>
      </c>
      <c r="B448" s="7" t="s">
        <v>553</v>
      </c>
      <c r="C448" s="10" t="s">
        <v>12</v>
      </c>
      <c r="D448" s="10" t="s">
        <v>12</v>
      </c>
      <c r="E448" s="10" t="s">
        <v>12</v>
      </c>
      <c r="F448" s="10" t="s">
        <v>13</v>
      </c>
      <c r="G448" s="10" t="s">
        <v>12</v>
      </c>
      <c r="H448" s="12" t="s">
        <v>13</v>
      </c>
      <c r="I448" s="27" t="s">
        <v>11</v>
      </c>
      <c r="J448" t="str">
        <f>VLOOKUP(A448,All!A:A,1,FALSE)</f>
        <v>Lisle (Benet Academy)</v>
      </c>
    </row>
    <row r="449" spans="1:10" ht="15.75" thickBot="1" x14ac:dyDescent="0.3">
      <c r="A449" s="18" t="s">
        <v>554</v>
      </c>
      <c r="B449" s="3">
        <v>421</v>
      </c>
      <c r="C449" s="4" t="s">
        <v>9</v>
      </c>
      <c r="D449" s="4" t="s">
        <v>9</v>
      </c>
      <c r="E449" s="4" t="s">
        <v>9</v>
      </c>
      <c r="F449" s="4" t="s">
        <v>9</v>
      </c>
      <c r="G449" s="4" t="s">
        <v>9</v>
      </c>
      <c r="H449" s="4" t="s">
        <v>9</v>
      </c>
      <c r="I449" s="19" t="s">
        <v>13</v>
      </c>
      <c r="J449" t="str">
        <f>VLOOKUP(A449,All!A:A,1,FALSE)</f>
        <v>Lisle (Sr.)</v>
      </c>
    </row>
    <row r="450" spans="1:10" ht="15.75" thickBot="1" x14ac:dyDescent="0.3">
      <c r="A450" s="20" t="s">
        <v>555</v>
      </c>
      <c r="B450" s="7">
        <v>373</v>
      </c>
      <c r="C450" s="6" t="s">
        <v>9</v>
      </c>
      <c r="D450" s="6" t="s">
        <v>9</v>
      </c>
      <c r="E450" s="6" t="s">
        <v>9</v>
      </c>
      <c r="F450" s="6" t="s">
        <v>9</v>
      </c>
      <c r="G450" s="6" t="s">
        <v>9</v>
      </c>
      <c r="H450" s="6"/>
      <c r="I450" s="21" t="s">
        <v>13</v>
      </c>
      <c r="J450" t="str">
        <f>VLOOKUP(A450,All!A:A,1,FALSE)</f>
        <v>Litchfield</v>
      </c>
    </row>
    <row r="451" spans="1:10" ht="15.75" thickBot="1" x14ac:dyDescent="0.3">
      <c r="A451" s="18" t="s">
        <v>556</v>
      </c>
      <c r="B451" s="8">
        <v>3637</v>
      </c>
      <c r="C451" s="4" t="s">
        <v>12</v>
      </c>
      <c r="D451" s="4" t="s">
        <v>12</v>
      </c>
      <c r="E451" s="4" t="s">
        <v>12</v>
      </c>
      <c r="F451" s="4" t="s">
        <v>13</v>
      </c>
      <c r="G451" s="4" t="s">
        <v>12</v>
      </c>
      <c r="H451" s="4" t="s">
        <v>13</v>
      </c>
      <c r="I451" s="19" t="s">
        <v>11</v>
      </c>
      <c r="J451" t="str">
        <f>VLOOKUP(A451,All!A:A,1,FALSE)</f>
        <v>Lockport (Twp.)</v>
      </c>
    </row>
    <row r="452" spans="1:10" ht="15.75" thickBot="1" x14ac:dyDescent="0.3">
      <c r="A452" s="20" t="s">
        <v>954</v>
      </c>
      <c r="B452" s="7" t="s">
        <v>955</v>
      </c>
      <c r="C452" s="6"/>
      <c r="D452" s="6"/>
      <c r="E452" s="6"/>
      <c r="F452" s="6"/>
      <c r="G452" s="10" t="s">
        <v>9</v>
      </c>
      <c r="H452" s="6"/>
      <c r="I452" s="23" t="s">
        <v>9</v>
      </c>
      <c r="J452" t="str">
        <f>VLOOKUP(A452,All!A:A,1,FALSE)</f>
        <v>Lombard (College Prep)</v>
      </c>
    </row>
    <row r="453" spans="1:10" ht="15.75" thickBot="1" x14ac:dyDescent="0.3">
      <c r="A453" s="18" t="s">
        <v>557</v>
      </c>
      <c r="B453" s="8">
        <v>2215</v>
      </c>
      <c r="C453" s="4" t="s">
        <v>12</v>
      </c>
      <c r="D453" s="4" t="s">
        <v>12</v>
      </c>
      <c r="E453" s="4" t="s">
        <v>12</v>
      </c>
      <c r="F453" s="4" t="s">
        <v>13</v>
      </c>
      <c r="G453" s="4" t="s">
        <v>12</v>
      </c>
      <c r="H453" s="4" t="s">
        <v>13</v>
      </c>
      <c r="I453" s="19" t="s">
        <v>11</v>
      </c>
      <c r="J453" t="str">
        <f>VLOOKUP(A453,All!A:A,1,FALSE)</f>
        <v>Lombard (Glenbard East)</v>
      </c>
    </row>
    <row r="454" spans="1:10" ht="15.75" thickBot="1" x14ac:dyDescent="0.3">
      <c r="A454" s="20" t="s">
        <v>558</v>
      </c>
      <c r="B454" s="7" t="s">
        <v>559</v>
      </c>
      <c r="C454" s="10" t="s">
        <v>13</v>
      </c>
      <c r="D454" s="10" t="s">
        <v>13</v>
      </c>
      <c r="E454" s="10" t="s">
        <v>13</v>
      </c>
      <c r="F454" s="11" t="s">
        <v>9</v>
      </c>
      <c r="G454" s="11" t="s">
        <v>9</v>
      </c>
      <c r="H454" s="10" t="s">
        <v>9</v>
      </c>
      <c r="I454" s="24" t="s">
        <v>13</v>
      </c>
      <c r="J454" t="str">
        <f>VLOOKUP(A454,All!A:A,1,FALSE)</f>
        <v>Lombard (Montini)</v>
      </c>
    </row>
    <row r="455" spans="1:10" ht="15.75" thickBot="1" x14ac:dyDescent="0.3">
      <c r="A455" s="18" t="s">
        <v>560</v>
      </c>
      <c r="B455" s="3">
        <v>60</v>
      </c>
      <c r="C455" s="4"/>
      <c r="D455" s="4"/>
      <c r="E455" s="4"/>
      <c r="F455" s="4"/>
      <c r="G455" s="4"/>
      <c r="H455" s="4"/>
      <c r="I455" s="22" t="s">
        <v>9</v>
      </c>
      <c r="J455" t="str">
        <f>VLOOKUP(A455,All!A:A,1,FALSE)</f>
        <v>London Mills (Spoon River Valley)</v>
      </c>
    </row>
    <row r="456" spans="1:10" ht="15.75" thickBot="1" x14ac:dyDescent="0.3">
      <c r="A456" s="20" t="s">
        <v>561</v>
      </c>
      <c r="B456" s="7">
        <v>174</v>
      </c>
      <c r="C456" s="6" t="s">
        <v>9</v>
      </c>
      <c r="D456" s="6" t="s">
        <v>9</v>
      </c>
      <c r="E456" s="6" t="s">
        <v>9</v>
      </c>
      <c r="F456" s="6"/>
      <c r="G456" s="6"/>
      <c r="H456" s="6"/>
      <c r="I456" s="22" t="s">
        <v>9</v>
      </c>
      <c r="J456" t="str">
        <f>VLOOKUP(A456,All!A:A,1,FALSE)</f>
        <v>Louisville (North Clay)</v>
      </c>
    </row>
    <row r="457" spans="1:10" ht="15.75" thickBot="1" x14ac:dyDescent="0.3">
      <c r="A457" s="18" t="s">
        <v>562</v>
      </c>
      <c r="B457" s="8">
        <v>1836</v>
      </c>
      <c r="C457" s="4" t="s">
        <v>12</v>
      </c>
      <c r="D457" s="4" t="s">
        <v>12</v>
      </c>
      <c r="E457" s="4" t="s">
        <v>12</v>
      </c>
      <c r="F457" s="4" t="s">
        <v>13</v>
      </c>
      <c r="G457" s="4" t="s">
        <v>12</v>
      </c>
      <c r="H457" s="4" t="s">
        <v>13</v>
      </c>
      <c r="I457" s="19" t="s">
        <v>11</v>
      </c>
      <c r="J457" t="str">
        <f>VLOOKUP(A457,All!A:A,1,FALSE)</f>
        <v>Machesney Park (Harlem)</v>
      </c>
    </row>
    <row r="458" spans="1:10" ht="15.75" thickBot="1" x14ac:dyDescent="0.3">
      <c r="A458" s="20" t="s">
        <v>563</v>
      </c>
      <c r="B458" s="7">
        <v>291</v>
      </c>
      <c r="C458" s="6" t="s">
        <v>9</v>
      </c>
      <c r="D458" s="6" t="s">
        <v>9</v>
      </c>
      <c r="E458" s="6" t="s">
        <v>9</v>
      </c>
      <c r="F458" s="6" t="s">
        <v>9</v>
      </c>
      <c r="G458" s="6"/>
      <c r="H458" s="6"/>
      <c r="I458" s="21" t="s">
        <v>9</v>
      </c>
      <c r="J458" t="str">
        <f>VLOOKUP(A458,All!A:A,1,FALSE)</f>
        <v>Mackinaw (Deer Creek-M.)</v>
      </c>
    </row>
    <row r="459" spans="1:10" ht="15.75" thickBot="1" x14ac:dyDescent="0.3">
      <c r="A459" s="18" t="s">
        <v>564</v>
      </c>
      <c r="B459" s="3">
        <v>610</v>
      </c>
      <c r="C459" s="4" t="s">
        <v>13</v>
      </c>
      <c r="D459" s="4" t="s">
        <v>13</v>
      </c>
      <c r="E459" s="4" t="s">
        <v>13</v>
      </c>
      <c r="F459" s="4" t="s">
        <v>9</v>
      </c>
      <c r="G459" s="4" t="s">
        <v>9</v>
      </c>
      <c r="H459" s="4" t="s">
        <v>9</v>
      </c>
      <c r="I459" s="19" t="s">
        <v>13</v>
      </c>
      <c r="J459" t="str">
        <f>VLOOKUP(A459,All!A:A,1,FALSE)</f>
        <v>Macomb</v>
      </c>
    </row>
    <row r="460" spans="1:10" ht="15.75" thickBot="1" x14ac:dyDescent="0.3">
      <c r="A460" s="20" t="s">
        <v>565</v>
      </c>
      <c r="B460" s="7">
        <v>268</v>
      </c>
      <c r="C460" s="6"/>
      <c r="D460" s="6"/>
      <c r="E460" s="6" t="s">
        <v>9</v>
      </c>
      <c r="F460" s="6" t="s">
        <v>9</v>
      </c>
      <c r="G460" s="9" t="s">
        <v>9</v>
      </c>
      <c r="H460" s="6"/>
      <c r="I460" s="21" t="s">
        <v>9</v>
      </c>
      <c r="J460" t="str">
        <f>VLOOKUP(A460,All!A:A,1,FALSE)</f>
        <v>Macon (Meridian)</v>
      </c>
    </row>
    <row r="461" spans="1:10" ht="15.75" thickBot="1" x14ac:dyDescent="0.3">
      <c r="A461" s="18" t="s">
        <v>566</v>
      </c>
      <c r="B461" s="3">
        <v>135</v>
      </c>
      <c r="C461" s="4" t="s">
        <v>9</v>
      </c>
      <c r="D461" s="4"/>
      <c r="E461" s="4"/>
      <c r="F461" s="4"/>
      <c r="G461" s="4"/>
      <c r="H461" s="4"/>
      <c r="I461" s="19" t="s">
        <v>9</v>
      </c>
      <c r="J461" t="str">
        <f>VLOOKUP(A461,All!A:A,1,FALSE)</f>
        <v>Madison</v>
      </c>
    </row>
    <row r="462" spans="1:10" ht="15.75" thickBot="1" x14ac:dyDescent="0.3">
      <c r="A462" s="20" t="s">
        <v>567</v>
      </c>
      <c r="B462" s="5">
        <v>1043</v>
      </c>
      <c r="C462" s="6" t="s">
        <v>13</v>
      </c>
      <c r="D462" s="6" t="s">
        <v>13</v>
      </c>
      <c r="E462" s="6" t="s">
        <v>13</v>
      </c>
      <c r="F462" s="6" t="s">
        <v>13</v>
      </c>
      <c r="G462" s="6" t="s">
        <v>13</v>
      </c>
      <c r="H462" s="6" t="s">
        <v>9</v>
      </c>
      <c r="I462" s="21" t="s">
        <v>12</v>
      </c>
      <c r="J462" t="str">
        <f>VLOOKUP(A462,All!A:A,1,FALSE)</f>
        <v>Mahomet (M.-Seymour)</v>
      </c>
    </row>
    <row r="463" spans="1:10" ht="15.75" thickBot="1" x14ac:dyDescent="0.3">
      <c r="A463" s="18" t="s">
        <v>568</v>
      </c>
      <c r="B463" s="3">
        <v>232</v>
      </c>
      <c r="C463" s="4" t="s">
        <v>9</v>
      </c>
      <c r="D463" s="4" t="s">
        <v>9</v>
      </c>
      <c r="E463" s="4" t="s">
        <v>9</v>
      </c>
      <c r="F463" s="4"/>
      <c r="G463" s="4"/>
      <c r="H463" s="4"/>
      <c r="I463" s="19" t="s">
        <v>9</v>
      </c>
      <c r="J463" t="str">
        <f>VLOOKUP(A463,All!A:A,1,FALSE)</f>
        <v>Manito (Midwest Central)</v>
      </c>
    </row>
    <row r="464" spans="1:10" ht="15.75" thickBot="1" x14ac:dyDescent="0.3">
      <c r="A464" s="20" t="s">
        <v>569</v>
      </c>
      <c r="B464" s="7">
        <v>281</v>
      </c>
      <c r="C464" s="6" t="s">
        <v>9</v>
      </c>
      <c r="D464" s="6" t="s">
        <v>9</v>
      </c>
      <c r="E464" s="6" t="s">
        <v>9</v>
      </c>
      <c r="F464" s="6" t="s">
        <v>9</v>
      </c>
      <c r="G464" s="6"/>
      <c r="H464" s="6"/>
      <c r="I464" s="21" t="s">
        <v>9</v>
      </c>
      <c r="J464" t="str">
        <f>VLOOKUP(A464,All!A:A,1,FALSE)</f>
        <v>Manlius (Bureau Valley)</v>
      </c>
    </row>
    <row r="465" spans="1:10" ht="15.75" thickBot="1" x14ac:dyDescent="0.3">
      <c r="A465" s="18" t="s">
        <v>570</v>
      </c>
      <c r="B465" s="3">
        <v>538</v>
      </c>
      <c r="C465" s="4" t="s">
        <v>9</v>
      </c>
      <c r="D465" s="4" t="s">
        <v>9</v>
      </c>
      <c r="E465" s="4" t="s">
        <v>13</v>
      </c>
      <c r="F465" s="4" t="s">
        <v>9</v>
      </c>
      <c r="G465" s="4" t="s">
        <v>9</v>
      </c>
      <c r="H465" s="4"/>
      <c r="I465" s="19" t="s">
        <v>13</v>
      </c>
      <c r="J465" t="str">
        <f>VLOOKUP(A465,All!A:A,1,FALSE)</f>
        <v>Manteno</v>
      </c>
    </row>
    <row r="466" spans="1:10" ht="15.75" thickBot="1" x14ac:dyDescent="0.3">
      <c r="A466" s="20" t="s">
        <v>571</v>
      </c>
      <c r="B466" s="5">
        <v>1170</v>
      </c>
      <c r="C466" s="6" t="s">
        <v>13</v>
      </c>
      <c r="D466" s="6" t="s">
        <v>13</v>
      </c>
      <c r="E466" s="6" t="s">
        <v>13</v>
      </c>
      <c r="F466" s="6" t="s">
        <v>13</v>
      </c>
      <c r="G466" s="6" t="s">
        <v>13</v>
      </c>
      <c r="H466" s="6" t="s">
        <v>9</v>
      </c>
      <c r="I466" s="21" t="s">
        <v>12</v>
      </c>
      <c r="J466" t="str">
        <f>VLOOKUP(A466,All!A:A,1,FALSE)</f>
        <v>Maple Park (Kaneland)</v>
      </c>
    </row>
    <row r="467" spans="1:10" ht="15.75" thickBot="1" x14ac:dyDescent="0.3">
      <c r="A467" s="18" t="s">
        <v>572</v>
      </c>
      <c r="B467" s="3">
        <v>662</v>
      </c>
      <c r="C467" s="4" t="s">
        <v>13</v>
      </c>
      <c r="D467" s="4" t="s">
        <v>13</v>
      </c>
      <c r="E467" s="4" t="s">
        <v>13</v>
      </c>
      <c r="F467" s="4" t="s">
        <v>9</v>
      </c>
      <c r="G467" s="4" t="s">
        <v>9</v>
      </c>
      <c r="H467" s="4" t="s">
        <v>9</v>
      </c>
      <c r="I467" s="19" t="s">
        <v>13</v>
      </c>
      <c r="J467" t="str">
        <f>VLOOKUP(A467,All!A:A,1,FALSE)</f>
        <v>Marengo</v>
      </c>
    </row>
    <row r="468" spans="1:10" ht="15.75" thickBot="1" x14ac:dyDescent="0.3">
      <c r="A468" s="20" t="s">
        <v>573</v>
      </c>
      <c r="B468" s="7">
        <v>152</v>
      </c>
      <c r="C468" s="6" t="s">
        <v>9</v>
      </c>
      <c r="D468" s="6" t="s">
        <v>9</v>
      </c>
      <c r="E468" s="6"/>
      <c r="F468" s="6"/>
      <c r="G468" s="6"/>
      <c r="H468" s="6"/>
      <c r="I468" s="21" t="s">
        <v>9</v>
      </c>
      <c r="J468" t="str">
        <f>VLOOKUP(A468,All!A:A,1,FALSE)</f>
        <v>Marion (Crab Orchard)</v>
      </c>
    </row>
    <row r="469" spans="1:10" ht="15.75" thickBot="1" x14ac:dyDescent="0.3">
      <c r="A469" s="25" t="s">
        <v>0</v>
      </c>
      <c r="B469" s="1" t="s">
        <v>1</v>
      </c>
      <c r="C469" s="2" t="s">
        <v>971</v>
      </c>
      <c r="D469" s="2" t="s">
        <v>972</v>
      </c>
      <c r="E469" s="2" t="s">
        <v>973</v>
      </c>
      <c r="F469" s="2" t="s">
        <v>974</v>
      </c>
      <c r="G469" s="2" t="s">
        <v>975</v>
      </c>
      <c r="H469" s="2" t="s">
        <v>976</v>
      </c>
      <c r="I469" s="26" t="s">
        <v>977</v>
      </c>
      <c r="J469" t="str">
        <f>VLOOKUP(A469,All!A:A,1,FALSE)</f>
        <v>School</v>
      </c>
    </row>
    <row r="470" spans="1:10" ht="15.75" thickBot="1" x14ac:dyDescent="0.3">
      <c r="A470" s="18" t="s">
        <v>574</v>
      </c>
      <c r="B470" s="8">
        <v>1050</v>
      </c>
      <c r="C470" s="4" t="s">
        <v>13</v>
      </c>
      <c r="D470" s="4" t="s">
        <v>13</v>
      </c>
      <c r="E470" s="4" t="s">
        <v>13</v>
      </c>
      <c r="F470" s="4" t="s">
        <v>13</v>
      </c>
      <c r="G470" s="4" t="s">
        <v>13</v>
      </c>
      <c r="H470" s="4" t="s">
        <v>9</v>
      </c>
      <c r="I470" s="19" t="s">
        <v>12</v>
      </c>
      <c r="J470" t="str">
        <f>VLOOKUP(A470,All!A:A,1,FALSE)</f>
        <v>Marion (H.S.)</v>
      </c>
    </row>
    <row r="471" spans="1:10" ht="15.75" thickBot="1" x14ac:dyDescent="0.3">
      <c r="A471" s="20" t="s">
        <v>575</v>
      </c>
      <c r="B471" s="7">
        <v>160</v>
      </c>
      <c r="C471" s="9" t="s">
        <v>9</v>
      </c>
      <c r="D471" s="9" t="s">
        <v>9</v>
      </c>
      <c r="E471" s="9" t="s">
        <v>9</v>
      </c>
      <c r="F471" s="9" t="s">
        <v>9</v>
      </c>
      <c r="G471" s="6"/>
      <c r="H471" s="6"/>
      <c r="I471" s="22" t="s">
        <v>9</v>
      </c>
      <c r="J471" t="str">
        <f>VLOOKUP(A471,All!A:A,1,FALSE)</f>
        <v>Marissa</v>
      </c>
    </row>
    <row r="472" spans="1:10" ht="15.75" thickBot="1" x14ac:dyDescent="0.3">
      <c r="A472" s="18" t="s">
        <v>576</v>
      </c>
      <c r="B472" s="3">
        <v>333</v>
      </c>
      <c r="C472" s="4" t="s">
        <v>9</v>
      </c>
      <c r="D472" s="4" t="s">
        <v>9</v>
      </c>
      <c r="E472" s="9" t="s">
        <v>13</v>
      </c>
      <c r="F472" s="4"/>
      <c r="G472" s="4"/>
      <c r="H472" s="9" t="s">
        <v>9</v>
      </c>
      <c r="I472" s="19" t="s">
        <v>13</v>
      </c>
      <c r="J472" t="str">
        <f>VLOOKUP(A472,All!A:A,1,FALSE)</f>
        <v>Maroa (M.-Forsyth)</v>
      </c>
    </row>
    <row r="473" spans="1:10" ht="15.75" thickBot="1" x14ac:dyDescent="0.3">
      <c r="A473" s="20" t="s">
        <v>577</v>
      </c>
      <c r="B473" s="7">
        <v>346</v>
      </c>
      <c r="C473" s="6" t="s">
        <v>9</v>
      </c>
      <c r="D473" s="6" t="s">
        <v>9</v>
      </c>
      <c r="E473" s="6" t="s">
        <v>9</v>
      </c>
      <c r="F473" s="6" t="s">
        <v>9</v>
      </c>
      <c r="G473" s="6"/>
      <c r="H473" s="6"/>
      <c r="I473" s="21" t="s">
        <v>13</v>
      </c>
      <c r="J473" t="str">
        <f>VLOOKUP(A473,All!A:A,1,FALSE)</f>
        <v>Marshall</v>
      </c>
    </row>
    <row r="474" spans="1:10" ht="15.75" thickBot="1" x14ac:dyDescent="0.3">
      <c r="A474" s="18" t="s">
        <v>578</v>
      </c>
      <c r="B474" s="3">
        <v>83</v>
      </c>
      <c r="C474" s="4"/>
      <c r="D474" s="4"/>
      <c r="E474" s="4"/>
      <c r="F474" s="4"/>
      <c r="G474" s="4"/>
      <c r="H474" s="4"/>
      <c r="I474" s="19" t="s">
        <v>9</v>
      </c>
      <c r="J474" t="str">
        <f>VLOOKUP(A474,All!A:A,1,FALSE)</f>
        <v>Martinsville</v>
      </c>
    </row>
    <row r="475" spans="1:10" ht="15.75" thickBot="1" x14ac:dyDescent="0.3">
      <c r="A475" s="20" t="s">
        <v>579</v>
      </c>
      <c r="B475" s="7" t="s">
        <v>580</v>
      </c>
      <c r="C475" s="6"/>
      <c r="D475" s="6"/>
      <c r="E475" s="10" t="s">
        <v>9</v>
      </c>
      <c r="F475" s="6"/>
      <c r="G475" s="10" t="s">
        <v>9</v>
      </c>
      <c r="H475" s="6"/>
      <c r="I475" s="23" t="s">
        <v>9</v>
      </c>
      <c r="J475" t="str">
        <f>VLOOKUP(A475,All!A:A,1,FALSE)</f>
        <v>Maryville (M. Christian)</v>
      </c>
    </row>
    <row r="476" spans="1:10" ht="15.75" thickBot="1" x14ac:dyDescent="0.3">
      <c r="A476" s="18" t="s">
        <v>581</v>
      </c>
      <c r="B476" s="8">
        <v>1231</v>
      </c>
      <c r="C476" s="4" t="s">
        <v>13</v>
      </c>
      <c r="D476" s="4" t="s">
        <v>13</v>
      </c>
      <c r="E476" s="4" t="s">
        <v>13</v>
      </c>
      <c r="F476" s="4" t="s">
        <v>13</v>
      </c>
      <c r="G476" s="4" t="s">
        <v>13</v>
      </c>
      <c r="H476" s="4" t="s">
        <v>9</v>
      </c>
      <c r="I476" s="19" t="s">
        <v>12</v>
      </c>
      <c r="J476" t="str">
        <f>VLOOKUP(A476,All!A:A,1,FALSE)</f>
        <v>Mascoutah</v>
      </c>
    </row>
    <row r="477" spans="1:10" ht="15.75" thickBot="1" x14ac:dyDescent="0.3">
      <c r="A477" s="20" t="s">
        <v>582</v>
      </c>
      <c r="B477" s="7">
        <v>171</v>
      </c>
      <c r="C477" s="6"/>
      <c r="D477" s="6"/>
      <c r="E477" s="6" t="s">
        <v>9</v>
      </c>
      <c r="F477" s="6"/>
      <c r="G477" s="6"/>
      <c r="H477" s="6"/>
      <c r="I477" s="21" t="s">
        <v>9</v>
      </c>
      <c r="J477" t="str">
        <f>VLOOKUP(A477,All!A:A,1,FALSE)</f>
        <v>Mason City (Illini Central)</v>
      </c>
    </row>
    <row r="478" spans="1:10" ht="15.75" thickBot="1" x14ac:dyDescent="0.3">
      <c r="A478" s="18" t="s">
        <v>583</v>
      </c>
      <c r="B478" s="3">
        <v>858</v>
      </c>
      <c r="C478" s="4" t="s">
        <v>13</v>
      </c>
      <c r="D478" s="4" t="s">
        <v>13</v>
      </c>
      <c r="E478" s="4" t="s">
        <v>13</v>
      </c>
      <c r="F478" s="4" t="s">
        <v>9</v>
      </c>
      <c r="G478" s="4" t="s">
        <v>13</v>
      </c>
      <c r="H478" s="4" t="s">
        <v>9</v>
      </c>
      <c r="I478" s="19" t="s">
        <v>12</v>
      </c>
      <c r="J478" t="str">
        <f>VLOOKUP(A478,All!A:A,1,FALSE)</f>
        <v>Mattoon</v>
      </c>
    </row>
    <row r="479" spans="1:10" ht="15.75" thickBot="1" x14ac:dyDescent="0.3">
      <c r="A479" s="20" t="s">
        <v>584</v>
      </c>
      <c r="B479" s="5">
        <v>2006</v>
      </c>
      <c r="C479" s="6" t="s">
        <v>12</v>
      </c>
      <c r="D479" s="6" t="s">
        <v>12</v>
      </c>
      <c r="E479" s="6" t="s">
        <v>12</v>
      </c>
      <c r="F479" s="6"/>
      <c r="G479" s="6" t="s">
        <v>12</v>
      </c>
      <c r="H479" s="6" t="s">
        <v>13</v>
      </c>
      <c r="I479" s="21" t="s">
        <v>11</v>
      </c>
      <c r="J479" t="str">
        <f>VLOOKUP(A479,All!A:A,1,FALSE)</f>
        <v>Maywood (Proviso East)</v>
      </c>
    </row>
    <row r="480" spans="1:10" ht="15.75" thickBot="1" x14ac:dyDescent="0.3">
      <c r="A480" s="18" t="s">
        <v>585</v>
      </c>
      <c r="B480" s="8">
        <v>2187</v>
      </c>
      <c r="C480" s="4" t="s">
        <v>12</v>
      </c>
      <c r="D480" s="4" t="s">
        <v>12</v>
      </c>
      <c r="E480" s="4" t="s">
        <v>12</v>
      </c>
      <c r="F480" s="4" t="s">
        <v>13</v>
      </c>
      <c r="G480" s="4" t="s">
        <v>12</v>
      </c>
      <c r="H480" s="4" t="s">
        <v>13</v>
      </c>
      <c r="I480" s="19" t="s">
        <v>11</v>
      </c>
      <c r="J480" t="str">
        <f>VLOOKUP(A480,All!A:A,1,FALSE)</f>
        <v>McHenry</v>
      </c>
    </row>
    <row r="481" spans="1:10" ht="15.75" thickBot="1" x14ac:dyDescent="0.3">
      <c r="A481" s="20" t="s">
        <v>586</v>
      </c>
      <c r="B481" s="7">
        <v>307</v>
      </c>
      <c r="C481" s="6" t="s">
        <v>9</v>
      </c>
      <c r="D481" s="6" t="s">
        <v>9</v>
      </c>
      <c r="E481" s="6" t="s">
        <v>9</v>
      </c>
      <c r="F481" s="6" t="s">
        <v>9</v>
      </c>
      <c r="G481" s="6"/>
      <c r="H481" s="6"/>
      <c r="I481" s="21" t="s">
        <v>13</v>
      </c>
      <c r="J481" t="str">
        <f>VLOOKUP(A481,All!A:A,1,FALSE)</f>
        <v>McLeansboro (Hamilton County)</v>
      </c>
    </row>
    <row r="482" spans="1:10" ht="15.75" thickBot="1" x14ac:dyDescent="0.3">
      <c r="A482" s="18" t="s">
        <v>587</v>
      </c>
      <c r="B482" s="3" t="s">
        <v>588</v>
      </c>
      <c r="C482" s="10" t="s">
        <v>9</v>
      </c>
      <c r="D482" s="10" t="s">
        <v>9</v>
      </c>
      <c r="E482" s="4"/>
      <c r="F482" s="4"/>
      <c r="G482" s="4"/>
      <c r="H482" s="4"/>
      <c r="I482" s="24" t="s">
        <v>9</v>
      </c>
      <c r="J482" t="str">
        <f>VLOOKUP(A482,All!A:A,1,FALSE)</f>
        <v>Melrose Park (Walther Christian)</v>
      </c>
    </row>
    <row r="483" spans="1:10" ht="15.75" thickBot="1" x14ac:dyDescent="0.3">
      <c r="A483" s="20" t="s">
        <v>589</v>
      </c>
      <c r="B483" s="7">
        <v>175</v>
      </c>
      <c r="C483" s="6"/>
      <c r="D483" s="6"/>
      <c r="E483" s="6" t="s">
        <v>9</v>
      </c>
      <c r="F483" s="6"/>
      <c r="G483" s="6"/>
      <c r="H483" s="6"/>
      <c r="I483" s="21" t="s">
        <v>9</v>
      </c>
      <c r="J483" t="str">
        <f>VLOOKUP(A483,All!A:A,1,FALSE)</f>
        <v>Mendon (Unity)</v>
      </c>
    </row>
    <row r="484" spans="1:10" ht="15.75" thickBot="1" x14ac:dyDescent="0.3">
      <c r="A484" s="18" t="s">
        <v>590</v>
      </c>
      <c r="B484" s="3">
        <v>485</v>
      </c>
      <c r="C484" s="4" t="s">
        <v>9</v>
      </c>
      <c r="D484" s="4" t="s">
        <v>9</v>
      </c>
      <c r="E484" s="4" t="s">
        <v>9</v>
      </c>
      <c r="F484" s="4" t="s">
        <v>9</v>
      </c>
      <c r="G484" s="4" t="s">
        <v>9</v>
      </c>
      <c r="H484" s="4" t="s">
        <v>9</v>
      </c>
      <c r="I484" s="19" t="s">
        <v>13</v>
      </c>
      <c r="J484" t="str">
        <f>VLOOKUP(A484,All!A:A,1,FALSE)</f>
        <v>Mendota</v>
      </c>
    </row>
    <row r="485" spans="1:10" ht="15.75" thickBot="1" x14ac:dyDescent="0.3">
      <c r="A485" s="20" t="s">
        <v>592</v>
      </c>
      <c r="B485" s="7">
        <v>876</v>
      </c>
      <c r="C485" s="6" t="s">
        <v>13</v>
      </c>
      <c r="D485" s="6" t="s">
        <v>13</v>
      </c>
      <c r="E485" s="6" t="s">
        <v>13</v>
      </c>
      <c r="F485" s="6" t="s">
        <v>9</v>
      </c>
      <c r="G485" s="6" t="s">
        <v>13</v>
      </c>
      <c r="H485" s="6" t="s">
        <v>9</v>
      </c>
      <c r="I485" s="21" t="s">
        <v>12</v>
      </c>
      <c r="J485" t="str">
        <f>VLOOKUP(A485,All!A:A,1,FALSE)</f>
        <v>Metamora</v>
      </c>
    </row>
    <row r="486" spans="1:10" ht="15.75" thickBot="1" x14ac:dyDescent="0.3">
      <c r="A486" s="18" t="s">
        <v>593</v>
      </c>
      <c r="B486" s="3">
        <v>498</v>
      </c>
      <c r="C486" s="4" t="s">
        <v>9</v>
      </c>
      <c r="D486" s="4" t="s">
        <v>9</v>
      </c>
      <c r="E486" s="4" t="s">
        <v>9</v>
      </c>
      <c r="F486" s="4" t="s">
        <v>9</v>
      </c>
      <c r="G486" s="4" t="s">
        <v>9</v>
      </c>
      <c r="H486" s="4"/>
      <c r="I486" s="19" t="s">
        <v>13</v>
      </c>
      <c r="J486" t="str">
        <f>VLOOKUP(A486,All!A:A,1,FALSE)</f>
        <v>Metropolis (Massac County)</v>
      </c>
    </row>
    <row r="487" spans="1:10" ht="15.75" thickBot="1" x14ac:dyDescent="0.3">
      <c r="A487" s="20" t="s">
        <v>594</v>
      </c>
      <c r="B487" s="5">
        <v>1412</v>
      </c>
      <c r="C487" s="6" t="s">
        <v>13</v>
      </c>
      <c r="D487" s="6" t="s">
        <v>13</v>
      </c>
      <c r="E487" s="6" t="s">
        <v>13</v>
      </c>
      <c r="F487" s="6"/>
      <c r="G487" s="6" t="s">
        <v>13</v>
      </c>
      <c r="H487" s="6" t="s">
        <v>9</v>
      </c>
      <c r="I487" s="21" t="s">
        <v>12</v>
      </c>
      <c r="J487" t="str">
        <f>VLOOKUP(A487,All!A:A,1,FALSE)</f>
        <v>Midlothian (Bremen)</v>
      </c>
    </row>
    <row r="488" spans="1:10" ht="15.75" thickBot="1" x14ac:dyDescent="0.3">
      <c r="A488" s="18" t="s">
        <v>595</v>
      </c>
      <c r="B488" s="3">
        <v>138</v>
      </c>
      <c r="C488" s="4"/>
      <c r="D488" s="4"/>
      <c r="E488" s="4" t="s">
        <v>9</v>
      </c>
      <c r="F488" s="4"/>
      <c r="G488" s="4"/>
      <c r="H488" s="4"/>
      <c r="I488" s="19" t="s">
        <v>9</v>
      </c>
      <c r="J488" t="str">
        <f>VLOOKUP(A488,All!A:A,1,FALSE)</f>
        <v>Milford</v>
      </c>
    </row>
    <row r="489" spans="1:10" ht="15.75" thickBot="1" x14ac:dyDescent="0.3">
      <c r="A489" s="20" t="s">
        <v>596</v>
      </c>
      <c r="B489" s="7">
        <v>95</v>
      </c>
      <c r="C489" s="6"/>
      <c r="D489" s="6"/>
      <c r="E489" s="6"/>
      <c r="F489" s="6"/>
      <c r="G489" s="6"/>
      <c r="H489" s="6"/>
      <c r="I489" s="21" t="s">
        <v>9</v>
      </c>
      <c r="J489" t="str">
        <f>VLOOKUP(A489,All!A:A,1,FALSE)</f>
        <v>Milledgeville</v>
      </c>
    </row>
    <row r="490" spans="1:10" ht="15.75" thickBot="1" x14ac:dyDescent="0.3">
      <c r="A490" s="18" t="s">
        <v>597</v>
      </c>
      <c r="B490" s="3">
        <v>244</v>
      </c>
      <c r="C490" s="4" t="s">
        <v>9</v>
      </c>
      <c r="D490" s="4" t="s">
        <v>9</v>
      </c>
      <c r="E490" s="4" t="s">
        <v>9</v>
      </c>
      <c r="F490" s="4" t="s">
        <v>9</v>
      </c>
      <c r="G490" s="4"/>
      <c r="H490" s="4"/>
      <c r="I490" s="19" t="s">
        <v>9</v>
      </c>
      <c r="J490" t="str">
        <f>VLOOKUP(A490,All!A:A,1,FALSE)</f>
        <v>Minonk (Fieldcrest)</v>
      </c>
    </row>
    <row r="491" spans="1:10" ht="15.75" thickBot="1" x14ac:dyDescent="0.3">
      <c r="A491" s="20" t="s">
        <v>598</v>
      </c>
      <c r="B491" s="5">
        <v>2851</v>
      </c>
      <c r="C491" s="6" t="s">
        <v>12</v>
      </c>
      <c r="D491" s="6" t="s">
        <v>12</v>
      </c>
      <c r="E491" s="6" t="s">
        <v>12</v>
      </c>
      <c r="F491" s="6" t="s">
        <v>13</v>
      </c>
      <c r="G491" s="6" t="s">
        <v>12</v>
      </c>
      <c r="H491" s="6" t="s">
        <v>13</v>
      </c>
      <c r="I491" s="21" t="s">
        <v>11</v>
      </c>
      <c r="J491" t="str">
        <f>VLOOKUP(A491,All!A:A,1,FALSE)</f>
        <v>Minooka</v>
      </c>
    </row>
    <row r="492" spans="1:10" ht="15.75" thickBot="1" x14ac:dyDescent="0.3">
      <c r="A492" s="18" t="s">
        <v>599</v>
      </c>
      <c r="B492" s="8">
        <v>2190</v>
      </c>
      <c r="C492" s="4" t="s">
        <v>12</v>
      </c>
      <c r="D492" s="4" t="s">
        <v>12</v>
      </c>
      <c r="E492" s="4" t="s">
        <v>12</v>
      </c>
      <c r="F492" s="4" t="s">
        <v>13</v>
      </c>
      <c r="G492" s="4" t="s">
        <v>12</v>
      </c>
      <c r="H492" s="4" t="s">
        <v>13</v>
      </c>
      <c r="I492" s="19" t="s">
        <v>11</v>
      </c>
      <c r="J492" t="str">
        <f>VLOOKUP(A492,All!A:A,1,FALSE)</f>
        <v>Moline (H.S.)</v>
      </c>
    </row>
    <row r="493" spans="1:10" ht="15.75" thickBot="1" x14ac:dyDescent="0.3">
      <c r="A493" s="20" t="s">
        <v>600</v>
      </c>
      <c r="B493" s="7">
        <v>298</v>
      </c>
      <c r="C493" s="6"/>
      <c r="D493" s="6"/>
      <c r="E493" s="6" t="s">
        <v>9</v>
      </c>
      <c r="F493" s="6"/>
      <c r="G493" s="6" t="s">
        <v>9</v>
      </c>
      <c r="H493" s="6"/>
      <c r="I493" s="21" t="s">
        <v>9</v>
      </c>
      <c r="J493" t="str">
        <f>VLOOKUP(A493,All!A:A,1,FALSE)</f>
        <v>Momence</v>
      </c>
    </row>
    <row r="494" spans="1:10" ht="15.75" thickBot="1" x14ac:dyDescent="0.3">
      <c r="A494" s="18" t="s">
        <v>601</v>
      </c>
      <c r="B494" s="3">
        <v>482</v>
      </c>
      <c r="C494" s="4" t="s">
        <v>9</v>
      </c>
      <c r="D494" s="4" t="s">
        <v>9</v>
      </c>
      <c r="E494" s="4" t="s">
        <v>9</v>
      </c>
      <c r="F494" s="4"/>
      <c r="G494" s="4" t="s">
        <v>9</v>
      </c>
      <c r="H494" s="4"/>
      <c r="I494" s="19" t="s">
        <v>13</v>
      </c>
      <c r="J494" t="str">
        <f>VLOOKUP(A494,All!A:A,1,FALSE)</f>
        <v>Monmouth (M.-Roseville)</v>
      </c>
    </row>
    <row r="495" spans="1:10" ht="15.75" thickBot="1" x14ac:dyDescent="0.3">
      <c r="A495" s="25" t="s">
        <v>0</v>
      </c>
      <c r="B495" s="1" t="s">
        <v>1</v>
      </c>
      <c r="C495" s="2" t="s">
        <v>971</v>
      </c>
      <c r="D495" s="2" t="s">
        <v>972</v>
      </c>
      <c r="E495" s="2" t="s">
        <v>973</v>
      </c>
      <c r="F495" s="2" t="s">
        <v>974</v>
      </c>
      <c r="G495" s="2" t="s">
        <v>975</v>
      </c>
      <c r="H495" s="2" t="s">
        <v>976</v>
      </c>
      <c r="I495" s="26" t="s">
        <v>977</v>
      </c>
      <c r="J495" t="str">
        <f>VLOOKUP(A495,All!A:A,1,FALSE)</f>
        <v>School</v>
      </c>
    </row>
    <row r="496" spans="1:10" ht="15.75" thickBot="1" x14ac:dyDescent="0.3">
      <c r="A496" s="20" t="s">
        <v>602</v>
      </c>
      <c r="B496" s="7">
        <v>291</v>
      </c>
      <c r="C496" s="6" t="s">
        <v>9</v>
      </c>
      <c r="D496" s="6"/>
      <c r="E496" s="6" t="s">
        <v>9</v>
      </c>
      <c r="F496" s="6" t="s">
        <v>9</v>
      </c>
      <c r="G496" s="6"/>
      <c r="H496" s="6"/>
      <c r="I496" s="21" t="s">
        <v>9</v>
      </c>
      <c r="J496" t="str">
        <f>VLOOKUP(A496,All!A:A,1,FALSE)</f>
        <v>Monmouth (United)</v>
      </c>
    </row>
    <row r="497" spans="1:10" ht="15.75" thickBot="1" x14ac:dyDescent="0.3">
      <c r="A497" s="18" t="s">
        <v>603</v>
      </c>
      <c r="B497" s="3">
        <v>484</v>
      </c>
      <c r="C497" s="4" t="s">
        <v>9</v>
      </c>
      <c r="D497" s="4" t="s">
        <v>9</v>
      </c>
      <c r="E497" s="4" t="s">
        <v>9</v>
      </c>
      <c r="F497" s="4" t="s">
        <v>9</v>
      </c>
      <c r="G497" s="4" t="s">
        <v>9</v>
      </c>
      <c r="H497" s="4"/>
      <c r="I497" s="19" t="s">
        <v>13</v>
      </c>
      <c r="J497" t="str">
        <f>VLOOKUP(A497,All!A:A,1,FALSE)</f>
        <v>Monticello</v>
      </c>
    </row>
    <row r="498" spans="1:10" ht="15.75" thickBot="1" x14ac:dyDescent="0.3">
      <c r="A498" s="20" t="s">
        <v>604</v>
      </c>
      <c r="B498" s="7" t="s">
        <v>605</v>
      </c>
      <c r="C498" s="6"/>
      <c r="D498" s="6"/>
      <c r="E498" s="6"/>
      <c r="F498" s="6"/>
      <c r="G498" s="10" t="s">
        <v>9</v>
      </c>
      <c r="H498" s="6"/>
      <c r="I498" s="23" t="s">
        <v>9</v>
      </c>
      <c r="J498" t="str">
        <f>VLOOKUP(A498,All!A:A,1,FALSE)</f>
        <v>Mooseheart</v>
      </c>
    </row>
    <row r="499" spans="1:10" ht="15.75" thickBot="1" x14ac:dyDescent="0.3">
      <c r="A499" s="18" t="s">
        <v>606</v>
      </c>
      <c r="B499" s="3">
        <v>853</v>
      </c>
      <c r="C499" s="4" t="s">
        <v>13</v>
      </c>
      <c r="D499" s="4" t="s">
        <v>13</v>
      </c>
      <c r="E499" s="4" t="s">
        <v>13</v>
      </c>
      <c r="F499" s="4"/>
      <c r="G499" s="9" t="s">
        <v>13</v>
      </c>
      <c r="H499" s="4" t="s">
        <v>9</v>
      </c>
      <c r="I499" s="19" t="s">
        <v>12</v>
      </c>
      <c r="J499" t="str">
        <f>VLOOKUP(A499,All!A:A,1,FALSE)</f>
        <v>Morris</v>
      </c>
    </row>
    <row r="500" spans="1:10" ht="15.75" thickBot="1" x14ac:dyDescent="0.3">
      <c r="A500" s="20" t="s">
        <v>607</v>
      </c>
      <c r="B500" s="7">
        <v>276</v>
      </c>
      <c r="C500" s="6"/>
      <c r="D500" s="6"/>
      <c r="E500" s="6"/>
      <c r="F500" s="6"/>
      <c r="G500" s="6"/>
      <c r="H500" s="6"/>
      <c r="I500" s="21" t="s">
        <v>9</v>
      </c>
      <c r="J500" t="str">
        <f>VLOOKUP(A500,All!A:A,1,FALSE)</f>
        <v>Morrison</v>
      </c>
    </row>
    <row r="501" spans="1:10" ht="15.75" thickBot="1" x14ac:dyDescent="0.3">
      <c r="A501" s="18" t="s">
        <v>609</v>
      </c>
      <c r="B501" s="8">
        <v>1050</v>
      </c>
      <c r="C501" s="4" t="s">
        <v>13</v>
      </c>
      <c r="D501" s="4" t="s">
        <v>13</v>
      </c>
      <c r="E501" s="4" t="s">
        <v>13</v>
      </c>
      <c r="F501" s="4" t="s">
        <v>13</v>
      </c>
      <c r="G501" s="4" t="s">
        <v>13</v>
      </c>
      <c r="H501" s="4" t="s">
        <v>9</v>
      </c>
      <c r="I501" s="19" t="s">
        <v>12</v>
      </c>
      <c r="J501" t="str">
        <f>VLOOKUP(A501,All!A:A,1,FALSE)</f>
        <v>Morton</v>
      </c>
    </row>
    <row r="502" spans="1:10" ht="15.75" thickBot="1" x14ac:dyDescent="0.3">
      <c r="A502" s="20" t="s">
        <v>957</v>
      </c>
      <c r="B502" s="7" t="s">
        <v>958</v>
      </c>
      <c r="C502" s="6"/>
      <c r="D502" s="6"/>
      <c r="E502" s="6"/>
      <c r="F502" s="6"/>
      <c r="G502" s="10" t="s">
        <v>9</v>
      </c>
      <c r="H502" s="6"/>
      <c r="I502" s="23" t="s">
        <v>9</v>
      </c>
      <c r="J502" t="str">
        <f>VLOOKUP(A502,All!A:A,1,FALSE)</f>
        <v>Morton Grove (MCC Academy)</v>
      </c>
    </row>
    <row r="503" spans="1:10" ht="15.75" thickBot="1" x14ac:dyDescent="0.3">
      <c r="A503" s="18" t="s">
        <v>610</v>
      </c>
      <c r="B503" s="3">
        <v>121</v>
      </c>
      <c r="C503" s="4"/>
      <c r="D503" s="4"/>
      <c r="E503" s="4"/>
      <c r="F503" s="4"/>
      <c r="G503" s="4"/>
      <c r="H503" s="4"/>
      <c r="I503" s="19" t="s">
        <v>9</v>
      </c>
      <c r="J503" t="str">
        <f>VLOOKUP(A503,All!A:A,1,FALSE)</f>
        <v>Mounds (Meridian)</v>
      </c>
    </row>
    <row r="504" spans="1:10" ht="15.75" thickBot="1" x14ac:dyDescent="0.3">
      <c r="A504" s="20" t="s">
        <v>611</v>
      </c>
      <c r="B504" s="7">
        <v>236</v>
      </c>
      <c r="C504" s="6" t="s">
        <v>9</v>
      </c>
      <c r="D504" s="6"/>
      <c r="E504" s="6" t="s">
        <v>9</v>
      </c>
      <c r="F504" s="6" t="s">
        <v>9</v>
      </c>
      <c r="G504" s="6"/>
      <c r="H504" s="6"/>
      <c r="I504" s="21" t="s">
        <v>9</v>
      </c>
      <c r="J504" t="str">
        <f>VLOOKUP(A504,All!A:A,1,FALSE)</f>
        <v>Mount Carroll (West Carroll)</v>
      </c>
    </row>
    <row r="505" spans="1:10" ht="15.75" thickBot="1" x14ac:dyDescent="0.3">
      <c r="A505" s="18" t="s">
        <v>612</v>
      </c>
      <c r="B505" s="3">
        <v>206</v>
      </c>
      <c r="C505" s="4" t="s">
        <v>9</v>
      </c>
      <c r="D505" s="4" t="s">
        <v>9</v>
      </c>
      <c r="E505" s="4" t="s">
        <v>9</v>
      </c>
      <c r="F505" s="4" t="s">
        <v>9</v>
      </c>
      <c r="G505" s="4"/>
      <c r="H505" s="4"/>
      <c r="I505" s="19" t="s">
        <v>9</v>
      </c>
      <c r="J505" t="str">
        <f>VLOOKUP(A505,All!A:A,1,FALSE)</f>
        <v>Moweaqua (Central A &amp; M)</v>
      </c>
    </row>
    <row r="506" spans="1:10" ht="15.75" thickBot="1" x14ac:dyDescent="0.3">
      <c r="A506" s="20" t="s">
        <v>613</v>
      </c>
      <c r="B506" s="7">
        <v>452</v>
      </c>
      <c r="C506" s="6" t="s">
        <v>9</v>
      </c>
      <c r="D506" s="6" t="s">
        <v>9</v>
      </c>
      <c r="E506" s="6" t="s">
        <v>9</v>
      </c>
      <c r="F506" s="6" t="s">
        <v>9</v>
      </c>
      <c r="G506" s="6" t="s">
        <v>9</v>
      </c>
      <c r="H506" s="6" t="s">
        <v>9</v>
      </c>
      <c r="I506" s="21" t="s">
        <v>13</v>
      </c>
      <c r="J506" t="str">
        <f>VLOOKUP(A506,All!A:A,1,FALSE)</f>
        <v>Mt. Carmel</v>
      </c>
    </row>
    <row r="507" spans="1:10" ht="15.75" thickBot="1" x14ac:dyDescent="0.3">
      <c r="A507" s="18" t="s">
        <v>614</v>
      </c>
      <c r="B507" s="3">
        <v>163</v>
      </c>
      <c r="C507" s="4"/>
      <c r="D507" s="4"/>
      <c r="E507" s="4" t="s">
        <v>9</v>
      </c>
      <c r="F507" s="4" t="s">
        <v>9</v>
      </c>
      <c r="G507" s="4"/>
      <c r="H507" s="4"/>
      <c r="I507" s="19" t="s">
        <v>9</v>
      </c>
      <c r="J507" t="str">
        <f>VLOOKUP(A507,All!A:A,1,FALSE)</f>
        <v>Mt. Olive</v>
      </c>
    </row>
    <row r="508" spans="1:10" ht="15.75" thickBot="1" x14ac:dyDescent="0.3">
      <c r="A508" s="20" t="s">
        <v>615</v>
      </c>
      <c r="B508" s="5">
        <v>2152</v>
      </c>
      <c r="C508" s="6" t="s">
        <v>12</v>
      </c>
      <c r="D508" s="6" t="s">
        <v>12</v>
      </c>
      <c r="E508" s="6" t="s">
        <v>12</v>
      </c>
      <c r="F508" s="6" t="s">
        <v>13</v>
      </c>
      <c r="G508" s="6" t="s">
        <v>12</v>
      </c>
      <c r="H508" s="6" t="s">
        <v>13</v>
      </c>
      <c r="I508" s="21" t="s">
        <v>11</v>
      </c>
      <c r="J508" t="str">
        <f>VLOOKUP(A508,All!A:A,1,FALSE)</f>
        <v>Mt. Prospect (Prospect)</v>
      </c>
    </row>
    <row r="509" spans="1:10" ht="15.75" thickBot="1" x14ac:dyDescent="0.3">
      <c r="A509" s="18" t="s">
        <v>616</v>
      </c>
      <c r="B509" s="3">
        <v>174</v>
      </c>
      <c r="C509" s="4" t="s">
        <v>9</v>
      </c>
      <c r="D509" s="4" t="s">
        <v>9</v>
      </c>
      <c r="E509" s="4" t="s">
        <v>9</v>
      </c>
      <c r="F509" s="4"/>
      <c r="G509" s="4" t="s">
        <v>9</v>
      </c>
      <c r="H509" s="4"/>
      <c r="I509" s="19" t="s">
        <v>9</v>
      </c>
      <c r="J509" t="str">
        <f>VLOOKUP(A509,All!A:A,1,FALSE)</f>
        <v>Mt. Pulaski</v>
      </c>
    </row>
    <row r="510" spans="1:10" ht="15.75" thickBot="1" x14ac:dyDescent="0.3">
      <c r="A510" s="20" t="s">
        <v>617</v>
      </c>
      <c r="B510" s="7">
        <v>222</v>
      </c>
      <c r="C510" s="6"/>
      <c r="D510" s="6"/>
      <c r="E510" s="6" t="s">
        <v>9</v>
      </c>
      <c r="F510" s="6" t="s">
        <v>9</v>
      </c>
      <c r="G510" s="6"/>
      <c r="H510" s="6"/>
      <c r="I510" s="21" t="s">
        <v>9</v>
      </c>
      <c r="J510" t="str">
        <f>VLOOKUP(A510,All!A:A,1,FALSE)</f>
        <v>Mt. Sterling (Brown County)</v>
      </c>
    </row>
    <row r="511" spans="1:10" ht="15.75" thickBot="1" x14ac:dyDescent="0.3">
      <c r="A511" s="18" t="s">
        <v>618</v>
      </c>
      <c r="B511" s="8">
        <v>1152</v>
      </c>
      <c r="C511" s="4" t="s">
        <v>13</v>
      </c>
      <c r="D511" s="4" t="s">
        <v>13</v>
      </c>
      <c r="E511" s="4" t="s">
        <v>13</v>
      </c>
      <c r="F511" s="4" t="s">
        <v>13</v>
      </c>
      <c r="G511" s="4" t="s">
        <v>13</v>
      </c>
      <c r="H511" s="4" t="s">
        <v>9</v>
      </c>
      <c r="I511" s="19" t="s">
        <v>12</v>
      </c>
      <c r="J511" t="str">
        <f>VLOOKUP(A511,All!A:A,1,FALSE)</f>
        <v>Mt. Vernon (H.S.)</v>
      </c>
    </row>
    <row r="512" spans="1:10" ht="15.75" thickBot="1" x14ac:dyDescent="0.3">
      <c r="A512" s="20" t="s">
        <v>619</v>
      </c>
      <c r="B512" s="7">
        <v>748</v>
      </c>
      <c r="C512" s="6" t="s">
        <v>13</v>
      </c>
      <c r="D512" s="6" t="s">
        <v>13</v>
      </c>
      <c r="E512" s="6" t="s">
        <v>13</v>
      </c>
      <c r="F512" s="6" t="s">
        <v>9</v>
      </c>
      <c r="G512" s="6" t="s">
        <v>13</v>
      </c>
      <c r="H512" s="6" t="s">
        <v>9</v>
      </c>
      <c r="I512" s="21" t="s">
        <v>12</v>
      </c>
      <c r="J512" t="str">
        <f>VLOOKUP(A512,All!A:A,1,FALSE)</f>
        <v>Mt. Zion</v>
      </c>
    </row>
    <row r="513" spans="1:10" ht="15.75" thickBot="1" x14ac:dyDescent="0.3">
      <c r="A513" s="18" t="s">
        <v>620</v>
      </c>
      <c r="B513" s="3">
        <v>100</v>
      </c>
      <c r="C513" s="4"/>
      <c r="D513" s="4"/>
      <c r="E513" s="4"/>
      <c r="F513" s="4"/>
      <c r="G513" s="4"/>
      <c r="H513" s="4"/>
      <c r="I513" s="19" t="s">
        <v>9</v>
      </c>
      <c r="J513" t="str">
        <f>VLOOKUP(A513,All!A:A,1,FALSE)</f>
        <v>Mulberry Grove</v>
      </c>
    </row>
    <row r="514" spans="1:10" ht="15.75" thickBot="1" x14ac:dyDescent="0.3">
      <c r="A514" s="20" t="s">
        <v>621</v>
      </c>
      <c r="B514" s="7" t="s">
        <v>622</v>
      </c>
      <c r="C514" s="11" t="s">
        <v>13</v>
      </c>
      <c r="D514" s="10" t="s">
        <v>12</v>
      </c>
      <c r="E514" s="10" t="s">
        <v>12</v>
      </c>
      <c r="F514" s="10" t="s">
        <v>13</v>
      </c>
      <c r="G514" s="11" t="s">
        <v>13</v>
      </c>
      <c r="H514" s="11" t="s">
        <v>9</v>
      </c>
      <c r="I514" s="24" t="s">
        <v>12</v>
      </c>
      <c r="J514" t="str">
        <f>VLOOKUP(A514,All!A:A,1,FALSE)</f>
        <v>Mundelein (Carmel)</v>
      </c>
    </row>
    <row r="515" spans="1:10" ht="15.75" thickBot="1" x14ac:dyDescent="0.3">
      <c r="A515" s="18" t="s">
        <v>623</v>
      </c>
      <c r="B515" s="8">
        <v>2254</v>
      </c>
      <c r="C515" s="4" t="s">
        <v>12</v>
      </c>
      <c r="D515" s="4" t="s">
        <v>12</v>
      </c>
      <c r="E515" s="4" t="s">
        <v>12</v>
      </c>
      <c r="F515" s="4" t="s">
        <v>13</v>
      </c>
      <c r="G515" s="4" t="s">
        <v>12</v>
      </c>
      <c r="H515" s="4" t="s">
        <v>13</v>
      </c>
      <c r="I515" s="19" t="s">
        <v>11</v>
      </c>
      <c r="J515" t="str">
        <f>VLOOKUP(A515,All!A:A,1,FALSE)</f>
        <v>Mundelein (H.S.)</v>
      </c>
    </row>
    <row r="516" spans="1:10" ht="15.75" thickBot="1" x14ac:dyDescent="0.3">
      <c r="A516" s="20" t="s">
        <v>624</v>
      </c>
      <c r="B516" s="7">
        <v>546</v>
      </c>
      <c r="C516" s="6" t="s">
        <v>9</v>
      </c>
      <c r="D516" s="6" t="s">
        <v>9</v>
      </c>
      <c r="E516" s="6" t="s">
        <v>13</v>
      </c>
      <c r="F516" s="6" t="s">
        <v>9</v>
      </c>
      <c r="G516" s="6" t="s">
        <v>9</v>
      </c>
      <c r="H516" s="6"/>
      <c r="I516" s="21" t="s">
        <v>13</v>
      </c>
      <c r="J516" t="str">
        <f>VLOOKUP(A516,All!A:A,1,FALSE)</f>
        <v>Murphysboro</v>
      </c>
    </row>
    <row r="517" spans="1:10" ht="15.75" thickBot="1" x14ac:dyDescent="0.3">
      <c r="A517" s="18" t="s">
        <v>625</v>
      </c>
      <c r="B517" s="3" t="s">
        <v>626</v>
      </c>
      <c r="C517" s="4"/>
      <c r="D517" s="4"/>
      <c r="E517" s="4"/>
      <c r="F517" s="4"/>
      <c r="G517" s="4"/>
      <c r="H517" s="4"/>
      <c r="I517" s="19" t="s">
        <v>9</v>
      </c>
      <c r="J517" t="str">
        <f>VLOOKUP(A517,All!A:A,1,FALSE)</f>
        <v>Naperville (Calvary Christian)</v>
      </c>
    </row>
    <row r="518" spans="1:10" ht="15.75" thickBot="1" x14ac:dyDescent="0.3">
      <c r="A518" s="20" t="s">
        <v>627</v>
      </c>
      <c r="B518" s="5">
        <v>2501</v>
      </c>
      <c r="C518" s="6" t="s">
        <v>12</v>
      </c>
      <c r="D518" s="6" t="s">
        <v>12</v>
      </c>
      <c r="E518" s="6" t="s">
        <v>12</v>
      </c>
      <c r="F518" s="6" t="s">
        <v>13</v>
      </c>
      <c r="G518" s="6" t="s">
        <v>12</v>
      </c>
      <c r="H518" s="6" t="s">
        <v>13</v>
      </c>
      <c r="I518" s="21" t="s">
        <v>11</v>
      </c>
      <c r="J518" t="str">
        <f>VLOOKUP(A518,All!A:A,1,FALSE)</f>
        <v>Naperville (Central)</v>
      </c>
    </row>
    <row r="519" spans="1:10" ht="15.75" thickBot="1" x14ac:dyDescent="0.3">
      <c r="A519" s="18" t="s">
        <v>628</v>
      </c>
      <c r="B519" s="8">
        <v>2977</v>
      </c>
      <c r="C519" s="4" t="s">
        <v>12</v>
      </c>
      <c r="D519" s="4" t="s">
        <v>12</v>
      </c>
      <c r="E519" s="4" t="s">
        <v>12</v>
      </c>
      <c r="F519" s="4" t="s">
        <v>13</v>
      </c>
      <c r="G519" s="4" t="s">
        <v>12</v>
      </c>
      <c r="H519" s="4" t="s">
        <v>13</v>
      </c>
      <c r="I519" s="19" t="s">
        <v>11</v>
      </c>
      <c r="J519" t="str">
        <f>VLOOKUP(A519,All!A:A,1,FALSE)</f>
        <v>Naperville (Neuqua Valley)</v>
      </c>
    </row>
    <row r="520" spans="1:10" ht="15.75" thickBot="1" x14ac:dyDescent="0.3">
      <c r="A520" s="20" t="s">
        <v>629</v>
      </c>
      <c r="B520" s="5">
        <v>2480</v>
      </c>
      <c r="C520" s="6" t="s">
        <v>12</v>
      </c>
      <c r="D520" s="6" t="s">
        <v>12</v>
      </c>
      <c r="E520" s="6" t="s">
        <v>12</v>
      </c>
      <c r="F520" s="6" t="s">
        <v>13</v>
      </c>
      <c r="G520" s="6" t="s">
        <v>12</v>
      </c>
      <c r="H520" s="6" t="s">
        <v>13</v>
      </c>
      <c r="I520" s="21" t="s">
        <v>11</v>
      </c>
      <c r="J520" t="str">
        <f>VLOOKUP(A520,All!A:A,1,FALSE)</f>
        <v>Naperville (North)</v>
      </c>
    </row>
    <row r="521" spans="1:10" ht="15.75" thickBot="1" x14ac:dyDescent="0.3">
      <c r="A521" s="25" t="s">
        <v>0</v>
      </c>
      <c r="B521" s="1" t="s">
        <v>1</v>
      </c>
      <c r="C521" s="2" t="s">
        <v>971</v>
      </c>
      <c r="D521" s="2" t="s">
        <v>972</v>
      </c>
      <c r="E521" s="2" t="s">
        <v>973</v>
      </c>
      <c r="F521" s="2" t="s">
        <v>974</v>
      </c>
      <c r="G521" s="2" t="s">
        <v>975</v>
      </c>
      <c r="H521" s="2" t="s">
        <v>976</v>
      </c>
      <c r="I521" s="26" t="s">
        <v>977</v>
      </c>
      <c r="J521" t="str">
        <f>VLOOKUP(A521,All!A:A,1,FALSE)</f>
        <v>School</v>
      </c>
    </row>
    <row r="522" spans="1:10" ht="15.75" thickBot="1" x14ac:dyDescent="0.3">
      <c r="A522" s="18" t="s">
        <v>630</v>
      </c>
      <c r="B522" s="3">
        <v>332</v>
      </c>
      <c r="C522" s="4" t="s">
        <v>9</v>
      </c>
      <c r="D522" s="4" t="s">
        <v>9</v>
      </c>
      <c r="E522" s="4" t="s">
        <v>9</v>
      </c>
      <c r="F522" s="4" t="s">
        <v>9</v>
      </c>
      <c r="G522" s="4"/>
      <c r="H522" s="4"/>
      <c r="I522" s="19" t="s">
        <v>13</v>
      </c>
      <c r="J522" t="str">
        <f>VLOOKUP(A522,All!A:A,1,FALSE)</f>
        <v>Nashville</v>
      </c>
    </row>
    <row r="523" spans="1:10" ht="15.75" thickBot="1" x14ac:dyDescent="0.3">
      <c r="A523" s="20" t="s">
        <v>631</v>
      </c>
      <c r="B523" s="7">
        <v>169</v>
      </c>
      <c r="C523" s="6"/>
      <c r="D523" s="9" t="s">
        <v>9</v>
      </c>
      <c r="E523" s="6"/>
      <c r="F523" s="6"/>
      <c r="G523" s="6"/>
      <c r="H523" s="6"/>
      <c r="I523" s="21" t="s">
        <v>9</v>
      </c>
      <c r="J523" t="str">
        <f>VLOOKUP(A523,All!A:A,1,FALSE)</f>
        <v>Neoga</v>
      </c>
    </row>
    <row r="524" spans="1:10" ht="15.75" thickBot="1" x14ac:dyDescent="0.3">
      <c r="A524" s="18" t="s">
        <v>632</v>
      </c>
      <c r="B524" s="3">
        <v>156</v>
      </c>
      <c r="C524" s="4" t="s">
        <v>9</v>
      </c>
      <c r="D524" s="4"/>
      <c r="E524" s="4" t="s">
        <v>9</v>
      </c>
      <c r="F524" s="4"/>
      <c r="G524" s="4"/>
      <c r="H524" s="4"/>
      <c r="I524" s="19" t="s">
        <v>9</v>
      </c>
      <c r="J524" t="str">
        <f>VLOOKUP(A524,All!A:A,1,FALSE)</f>
        <v>New Athens</v>
      </c>
    </row>
    <row r="525" spans="1:10" ht="15.75" thickBot="1" x14ac:dyDescent="0.3">
      <c r="A525" s="20" t="s">
        <v>633</v>
      </c>
      <c r="B525" s="7">
        <v>246</v>
      </c>
      <c r="C525" s="6"/>
      <c r="D525" s="6"/>
      <c r="E525" s="6"/>
      <c r="F525" s="6"/>
      <c r="G525" s="6"/>
      <c r="H525" s="6"/>
      <c r="I525" s="21" t="s">
        <v>9</v>
      </c>
      <c r="J525" t="str">
        <f>VLOOKUP(A525,All!A:A,1,FALSE)</f>
        <v>New Berlin</v>
      </c>
    </row>
    <row r="526" spans="1:10" ht="15.75" thickBot="1" x14ac:dyDescent="0.3">
      <c r="A526" s="18" t="s">
        <v>634</v>
      </c>
      <c r="B526" s="8">
        <v>1970</v>
      </c>
      <c r="C526" s="4" t="s">
        <v>12</v>
      </c>
      <c r="D526" s="4" t="s">
        <v>12</v>
      </c>
      <c r="E526" s="4" t="s">
        <v>12</v>
      </c>
      <c r="F526" s="4" t="s">
        <v>13</v>
      </c>
      <c r="G526" s="4" t="s">
        <v>12</v>
      </c>
      <c r="H526" s="4" t="s">
        <v>13</v>
      </c>
      <c r="I526" s="19" t="s">
        <v>11</v>
      </c>
      <c r="J526" t="str">
        <f>VLOOKUP(A526,All!A:A,1,FALSE)</f>
        <v>New Lenox (Lincoln-Way Central)</v>
      </c>
    </row>
    <row r="527" spans="1:10" ht="15.75" thickBot="1" x14ac:dyDescent="0.3">
      <c r="A527" s="20" t="s">
        <v>635</v>
      </c>
      <c r="B527" s="5">
        <v>1994</v>
      </c>
      <c r="C527" s="6" t="s">
        <v>12</v>
      </c>
      <c r="D527" s="6" t="s">
        <v>12</v>
      </c>
      <c r="E527" s="6" t="s">
        <v>12</v>
      </c>
      <c r="F527" s="6" t="s">
        <v>13</v>
      </c>
      <c r="G527" s="6" t="s">
        <v>12</v>
      </c>
      <c r="H527" s="6" t="s">
        <v>13</v>
      </c>
      <c r="I527" s="21" t="s">
        <v>11</v>
      </c>
      <c r="J527" t="str">
        <f>VLOOKUP(A527,All!A:A,1,FALSE)</f>
        <v>New Lenox (Lincoln-Way West)</v>
      </c>
    </row>
    <row r="528" spans="1:10" ht="15.75" thickBot="1" x14ac:dyDescent="0.3">
      <c r="A528" s="18" t="s">
        <v>636</v>
      </c>
      <c r="B528" s="3" t="s">
        <v>637</v>
      </c>
      <c r="C528" s="10" t="s">
        <v>13</v>
      </c>
      <c r="D528" s="10" t="s">
        <v>13</v>
      </c>
      <c r="E528" s="10" t="s">
        <v>13</v>
      </c>
      <c r="F528" s="11" t="s">
        <v>9</v>
      </c>
      <c r="G528" s="10" t="s">
        <v>13</v>
      </c>
      <c r="H528" s="10" t="s">
        <v>9</v>
      </c>
      <c r="I528" s="23" t="s">
        <v>12</v>
      </c>
      <c r="J528" t="str">
        <f>VLOOKUP(A528,All!A:A,1,FALSE)</f>
        <v>New Lenox (Providence Catholic)</v>
      </c>
    </row>
    <row r="529" spans="1:10" ht="15.75" thickBot="1" x14ac:dyDescent="0.3">
      <c r="A529" s="20" t="s">
        <v>638</v>
      </c>
      <c r="B529" s="7">
        <v>173</v>
      </c>
      <c r="C529" s="6"/>
      <c r="D529" s="6"/>
      <c r="E529" s="6" t="s">
        <v>9</v>
      </c>
      <c r="F529" s="6"/>
      <c r="G529" s="6"/>
      <c r="H529" s="6"/>
      <c r="I529" s="21" t="s">
        <v>9</v>
      </c>
      <c r="J529" t="str">
        <f>VLOOKUP(A529,All!A:A,1,FALSE)</f>
        <v>Newark</v>
      </c>
    </row>
    <row r="530" spans="1:10" ht="15.75" thickBot="1" x14ac:dyDescent="0.3">
      <c r="A530" s="18" t="s">
        <v>639</v>
      </c>
      <c r="B530" s="3">
        <v>401</v>
      </c>
      <c r="C530" s="4" t="s">
        <v>9</v>
      </c>
      <c r="D530" s="4" t="s">
        <v>9</v>
      </c>
      <c r="E530" s="4" t="s">
        <v>9</v>
      </c>
      <c r="F530" s="4"/>
      <c r="G530" s="4" t="s">
        <v>9</v>
      </c>
      <c r="H530" s="4" t="s">
        <v>9</v>
      </c>
      <c r="I530" s="19" t="s">
        <v>13</v>
      </c>
      <c r="J530" t="str">
        <f>VLOOKUP(A530,All!A:A,1,FALSE)</f>
        <v>Newton</v>
      </c>
    </row>
    <row r="531" spans="1:10" ht="15.75" thickBot="1" x14ac:dyDescent="0.3">
      <c r="A531" s="20" t="s">
        <v>641</v>
      </c>
      <c r="B531" s="7" t="s">
        <v>642</v>
      </c>
      <c r="C531" s="10" t="s">
        <v>13</v>
      </c>
      <c r="D531" s="6"/>
      <c r="E531" s="11" t="s">
        <v>9</v>
      </c>
      <c r="F531" s="6"/>
      <c r="G531" s="10" t="s">
        <v>13</v>
      </c>
      <c r="H531" s="6"/>
      <c r="I531" s="21"/>
      <c r="J531" t="str">
        <f>VLOOKUP(A531,All!A:A,1,FALSE)</f>
        <v>Niles (Northridge Prep)</v>
      </c>
    </row>
    <row r="532" spans="1:10" ht="15.75" thickBot="1" x14ac:dyDescent="0.3">
      <c r="A532" s="18" t="s">
        <v>643</v>
      </c>
      <c r="B532" s="3" t="s">
        <v>644</v>
      </c>
      <c r="C532" s="10" t="s">
        <v>12</v>
      </c>
      <c r="D532" s="4"/>
      <c r="E532" s="10" t="s">
        <v>12</v>
      </c>
      <c r="F532" s="4"/>
      <c r="G532" s="10" t="s">
        <v>12</v>
      </c>
      <c r="H532" s="4"/>
      <c r="I532" s="19"/>
      <c r="J532" t="str">
        <f>VLOOKUP(A532,All!A:A,1,FALSE)</f>
        <v>Niles (Notre Dame)</v>
      </c>
    </row>
    <row r="533" spans="1:10" ht="15.75" thickBot="1" x14ac:dyDescent="0.3">
      <c r="A533" s="20" t="s">
        <v>645</v>
      </c>
      <c r="B533" s="7">
        <v>187</v>
      </c>
      <c r="C533" s="6"/>
      <c r="D533" s="6"/>
      <c r="E533" s="6"/>
      <c r="F533" s="6"/>
      <c r="G533" s="6"/>
      <c r="H533" s="6"/>
      <c r="I533" s="21" t="s">
        <v>9</v>
      </c>
      <c r="J533" t="str">
        <f>VLOOKUP(A533,All!A:A,1,FALSE)</f>
        <v>Nokomis</v>
      </c>
    </row>
    <row r="534" spans="1:10" ht="15.75" thickBot="1" x14ac:dyDescent="0.3">
      <c r="A534" s="18" t="s">
        <v>959</v>
      </c>
      <c r="B534" s="3" t="s">
        <v>960</v>
      </c>
      <c r="C534" s="4"/>
      <c r="D534" s="4"/>
      <c r="E534" s="4"/>
      <c r="F534" s="4"/>
      <c r="G534" s="10" t="s">
        <v>9</v>
      </c>
      <c r="H534" s="4"/>
      <c r="I534" s="23" t="s">
        <v>9</v>
      </c>
      <c r="J534" t="str">
        <f>VLOOKUP(A534,All!A:A,1,FALSE)</f>
        <v>Normal (Calvary Christian Academy)</v>
      </c>
    </row>
    <row r="535" spans="1:10" ht="15.75" thickBot="1" x14ac:dyDescent="0.3">
      <c r="A535" s="20" t="s">
        <v>646</v>
      </c>
      <c r="B535" s="5">
        <v>1520</v>
      </c>
      <c r="C535" s="6" t="s">
        <v>13</v>
      </c>
      <c r="D535" s="6" t="s">
        <v>13</v>
      </c>
      <c r="E535" s="6" t="s">
        <v>12</v>
      </c>
      <c r="F535" s="6" t="s">
        <v>13</v>
      </c>
      <c r="G535" s="6" t="s">
        <v>13</v>
      </c>
      <c r="H535" s="6" t="s">
        <v>13</v>
      </c>
      <c r="I535" s="21" t="s">
        <v>12</v>
      </c>
      <c r="J535" t="str">
        <f>VLOOKUP(A535,All!A:A,1,FALSE)</f>
        <v>Normal (Community West)</v>
      </c>
    </row>
    <row r="536" spans="1:10" ht="15.75" thickBot="1" x14ac:dyDescent="0.3">
      <c r="A536" s="18" t="s">
        <v>647</v>
      </c>
      <c r="B536" s="8">
        <v>2021</v>
      </c>
      <c r="C536" s="4" t="s">
        <v>12</v>
      </c>
      <c r="D536" s="4" t="s">
        <v>12</v>
      </c>
      <c r="E536" s="4" t="s">
        <v>12</v>
      </c>
      <c r="F536" s="4" t="s">
        <v>13</v>
      </c>
      <c r="G536" s="4" t="s">
        <v>12</v>
      </c>
      <c r="H536" s="4" t="s">
        <v>13</v>
      </c>
      <c r="I536" s="19" t="s">
        <v>11</v>
      </c>
      <c r="J536" t="str">
        <f>VLOOKUP(A536,All!A:A,1,FALSE)</f>
        <v>Normal (Community)</v>
      </c>
    </row>
    <row r="537" spans="1:10" ht="15.75" thickBot="1" x14ac:dyDescent="0.3">
      <c r="A537" s="20" t="s">
        <v>648</v>
      </c>
      <c r="B537" s="7" t="s">
        <v>321</v>
      </c>
      <c r="C537" s="10" t="s">
        <v>13</v>
      </c>
      <c r="D537" s="10" t="s">
        <v>13</v>
      </c>
      <c r="E537" s="10" t="s">
        <v>13</v>
      </c>
      <c r="F537" s="10" t="s">
        <v>13</v>
      </c>
      <c r="G537" s="12" t="s">
        <v>13</v>
      </c>
      <c r="H537" s="10" t="s">
        <v>9</v>
      </c>
      <c r="I537" s="23" t="s">
        <v>12</v>
      </c>
      <c r="J537" t="str">
        <f>VLOOKUP(A537,All!A:A,1,FALSE)</f>
        <v>Normal (University)</v>
      </c>
    </row>
    <row r="538" spans="1:10" ht="15.75" thickBot="1" x14ac:dyDescent="0.3">
      <c r="A538" s="18" t="s">
        <v>649</v>
      </c>
      <c r="B538" s="3">
        <v>955</v>
      </c>
      <c r="C538" s="4" t="s">
        <v>13</v>
      </c>
      <c r="D538" s="4" t="s">
        <v>13</v>
      </c>
      <c r="E538" s="4"/>
      <c r="F538" s="4"/>
      <c r="G538" s="4" t="s">
        <v>13</v>
      </c>
      <c r="H538" s="4" t="s">
        <v>9</v>
      </c>
      <c r="I538" s="19" t="s">
        <v>12</v>
      </c>
      <c r="J538" t="str">
        <f>VLOOKUP(A538,All!A:A,1,FALSE)</f>
        <v>Norridge (Ridgewood)</v>
      </c>
    </row>
    <row r="539" spans="1:10" ht="15.75" thickBot="1" x14ac:dyDescent="0.3">
      <c r="A539" s="20" t="s">
        <v>650</v>
      </c>
      <c r="B539" s="7">
        <v>184</v>
      </c>
      <c r="C539" s="6" t="s">
        <v>9</v>
      </c>
      <c r="D539" s="6"/>
      <c r="E539" s="6" t="s">
        <v>9</v>
      </c>
      <c r="F539" s="6" t="s">
        <v>9</v>
      </c>
      <c r="G539" s="6"/>
      <c r="H539" s="6"/>
      <c r="I539" s="21" t="s">
        <v>9</v>
      </c>
      <c r="J539" t="str">
        <f>VLOOKUP(A539,All!A:A,1,FALSE)</f>
        <v>Norris City (N.C.-Omaha-Enfield)</v>
      </c>
    </row>
    <row r="540" spans="1:10" ht="15.75" thickBot="1" x14ac:dyDescent="0.3">
      <c r="A540" s="18" t="s">
        <v>651</v>
      </c>
      <c r="B540" s="3">
        <v>848</v>
      </c>
      <c r="C540" s="4"/>
      <c r="D540" s="4"/>
      <c r="E540" s="4"/>
      <c r="F540" s="4"/>
      <c r="G540" s="4" t="s">
        <v>13</v>
      </c>
      <c r="H540" s="4" t="s">
        <v>9</v>
      </c>
      <c r="I540" s="19" t="s">
        <v>12</v>
      </c>
      <c r="J540" t="str">
        <f>VLOOKUP(A540,All!A:A,1,FALSE)</f>
        <v>North Chicago</v>
      </c>
    </row>
    <row r="541" spans="1:10" ht="15.75" thickBot="1" x14ac:dyDescent="0.3">
      <c r="A541" s="20" t="s">
        <v>652</v>
      </c>
      <c r="B541" s="5">
        <v>2140</v>
      </c>
      <c r="C541" s="6" t="s">
        <v>12</v>
      </c>
      <c r="D541" s="6" t="s">
        <v>12</v>
      </c>
      <c r="E541" s="6" t="s">
        <v>12</v>
      </c>
      <c r="F541" s="6" t="s">
        <v>13</v>
      </c>
      <c r="G541" s="6" t="s">
        <v>12</v>
      </c>
      <c r="H541" s="6" t="s">
        <v>13</v>
      </c>
      <c r="I541" s="21" t="s">
        <v>11</v>
      </c>
      <c r="J541" t="str">
        <f>VLOOKUP(A541,All!A:A,1,FALSE)</f>
        <v>Northbrook (Glenbrook North)</v>
      </c>
    </row>
    <row r="542" spans="1:10" ht="15.75" thickBot="1" x14ac:dyDescent="0.3">
      <c r="A542" s="18" t="s">
        <v>653</v>
      </c>
      <c r="B542" s="3" t="s">
        <v>654</v>
      </c>
      <c r="C542" s="4"/>
      <c r="D542" s="4"/>
      <c r="E542" s="4"/>
      <c r="F542" s="4"/>
      <c r="G542" s="10" t="s">
        <v>9</v>
      </c>
      <c r="H542" s="4"/>
      <c r="I542" s="23" t="s">
        <v>9</v>
      </c>
      <c r="J542" t="str">
        <f>VLOOKUP(A542,All!A:A,1,FALSE)</f>
        <v>Northfield (Christian Heritage Academy)</v>
      </c>
    </row>
    <row r="543" spans="1:10" ht="15.75" thickBot="1" x14ac:dyDescent="0.3">
      <c r="A543" s="20" t="s">
        <v>655</v>
      </c>
      <c r="B543" s="5">
        <v>1320</v>
      </c>
      <c r="C543" s="6" t="s">
        <v>13</v>
      </c>
      <c r="D543" s="6" t="s">
        <v>13</v>
      </c>
      <c r="E543" s="6" t="s">
        <v>13</v>
      </c>
      <c r="F543" s="6" t="s">
        <v>13</v>
      </c>
      <c r="G543" s="6" t="s">
        <v>13</v>
      </c>
      <c r="H543" s="6" t="s">
        <v>9</v>
      </c>
      <c r="I543" s="21" t="s">
        <v>12</v>
      </c>
      <c r="J543" t="str">
        <f>VLOOKUP(A543,All!A:A,1,FALSE)</f>
        <v>Oak Forest</v>
      </c>
    </row>
    <row r="544" spans="1:10" ht="15.75" thickBot="1" x14ac:dyDescent="0.3">
      <c r="A544" s="18" t="s">
        <v>656</v>
      </c>
      <c r="B544" s="8">
        <v>1793</v>
      </c>
      <c r="C544" s="4" t="s">
        <v>12</v>
      </c>
      <c r="D544" s="4" t="s">
        <v>12</v>
      </c>
      <c r="E544" s="4" t="s">
        <v>12</v>
      </c>
      <c r="F544" s="4" t="s">
        <v>13</v>
      </c>
      <c r="G544" s="4" t="s">
        <v>12</v>
      </c>
      <c r="H544" s="4" t="s">
        <v>13</v>
      </c>
      <c r="I544" s="19" t="s">
        <v>11</v>
      </c>
      <c r="J544" t="str">
        <f>VLOOKUP(A544,All!A:A,1,FALSE)</f>
        <v>Oak Lawn (Community)</v>
      </c>
    </row>
    <row r="545" spans="1:10" ht="15.75" thickBot="1" x14ac:dyDescent="0.3">
      <c r="A545" s="20" t="s">
        <v>657</v>
      </c>
      <c r="B545" s="5">
        <v>1604</v>
      </c>
      <c r="C545" s="6" t="s">
        <v>12</v>
      </c>
      <c r="D545" s="6" t="s">
        <v>12</v>
      </c>
      <c r="E545" s="6" t="s">
        <v>12</v>
      </c>
      <c r="F545" s="6" t="s">
        <v>13</v>
      </c>
      <c r="G545" s="6" t="s">
        <v>13</v>
      </c>
      <c r="H545" s="6" t="s">
        <v>13</v>
      </c>
      <c r="I545" s="21" t="s">
        <v>11</v>
      </c>
      <c r="J545" t="str">
        <f>VLOOKUP(A545,All!A:A,1,FALSE)</f>
        <v>Oak Lawn (Richards)</v>
      </c>
    </row>
    <row r="546" spans="1:10" ht="15.75" thickBot="1" x14ac:dyDescent="0.3">
      <c r="A546" s="18" t="s">
        <v>658</v>
      </c>
      <c r="B546" s="3" t="s">
        <v>659</v>
      </c>
      <c r="C546" s="10" t="s">
        <v>12</v>
      </c>
      <c r="D546" s="10" t="s">
        <v>12</v>
      </c>
      <c r="E546" s="10" t="s">
        <v>12</v>
      </c>
      <c r="F546" s="10" t="s">
        <v>13</v>
      </c>
      <c r="G546" s="10" t="s">
        <v>13</v>
      </c>
      <c r="H546" s="10" t="s">
        <v>13</v>
      </c>
      <c r="I546" s="23" t="s">
        <v>12</v>
      </c>
      <c r="J546" t="str">
        <f>VLOOKUP(A546,All!A:A,1,FALSE)</f>
        <v>Oak Park (Fenwick)</v>
      </c>
    </row>
    <row r="547" spans="1:10" ht="15.75" thickBot="1" x14ac:dyDescent="0.3">
      <c r="A547" s="25" t="s">
        <v>0</v>
      </c>
      <c r="B547" s="1" t="s">
        <v>1</v>
      </c>
      <c r="C547" s="2" t="s">
        <v>971</v>
      </c>
      <c r="D547" s="2" t="s">
        <v>972</v>
      </c>
      <c r="E547" s="2" t="s">
        <v>973</v>
      </c>
      <c r="F547" s="2" t="s">
        <v>974</v>
      </c>
      <c r="G547" s="2" t="s">
        <v>975</v>
      </c>
      <c r="H547" s="2" t="s">
        <v>976</v>
      </c>
      <c r="I547" s="26" t="s">
        <v>977</v>
      </c>
      <c r="J547" t="str">
        <f>VLOOKUP(A547,All!A:A,1,FALSE)</f>
        <v>School</v>
      </c>
    </row>
    <row r="548" spans="1:10" ht="15.75" thickBot="1" x14ac:dyDescent="0.3">
      <c r="A548" s="20" t="s">
        <v>660</v>
      </c>
      <c r="B548" s="5">
        <v>3285</v>
      </c>
      <c r="C548" s="6" t="s">
        <v>12</v>
      </c>
      <c r="D548" s="6" t="s">
        <v>12</v>
      </c>
      <c r="E548" s="6" t="s">
        <v>12</v>
      </c>
      <c r="F548" s="6" t="s">
        <v>13</v>
      </c>
      <c r="G548" s="6" t="s">
        <v>12</v>
      </c>
      <c r="H548" s="6" t="s">
        <v>13</v>
      </c>
      <c r="I548" s="21" t="s">
        <v>11</v>
      </c>
      <c r="J548" t="str">
        <f>VLOOKUP(A548,All!A:A,1,FALSE)</f>
        <v>Oak Park (O.P.-River Forest)</v>
      </c>
    </row>
    <row r="549" spans="1:10" ht="15.75" thickBot="1" x14ac:dyDescent="0.3">
      <c r="A549" s="18" t="s">
        <v>661</v>
      </c>
      <c r="B549" s="3">
        <v>59</v>
      </c>
      <c r="C549" s="9" t="s">
        <v>9</v>
      </c>
      <c r="D549" s="4"/>
      <c r="E549" s="4"/>
      <c r="F549" s="4"/>
      <c r="G549" s="4"/>
      <c r="H549" s="4"/>
      <c r="I549" s="19"/>
      <c r="J549" t="str">
        <f>VLOOKUP(A549,All!A:A,1,FALSE)</f>
        <v>Oakland</v>
      </c>
    </row>
    <row r="550" spans="1:10" ht="15.75" thickBot="1" x14ac:dyDescent="0.3">
      <c r="A550" s="20" t="s">
        <v>662</v>
      </c>
      <c r="B550" s="7">
        <v>165</v>
      </c>
      <c r="C550" s="6" t="s">
        <v>9</v>
      </c>
      <c r="D550" s="6" t="s">
        <v>9</v>
      </c>
      <c r="E550" s="9" t="s">
        <v>9</v>
      </c>
      <c r="F550" s="9" t="s">
        <v>9</v>
      </c>
      <c r="G550" s="6"/>
      <c r="H550" s="6"/>
      <c r="I550" s="21" t="s">
        <v>9</v>
      </c>
      <c r="J550" t="str">
        <f>VLOOKUP(A550,All!A:A,1,FALSE)</f>
        <v>Oblong</v>
      </c>
    </row>
    <row r="551" spans="1:10" ht="15.75" thickBot="1" x14ac:dyDescent="0.3">
      <c r="A551" s="18" t="s">
        <v>664</v>
      </c>
      <c r="B551" s="3" t="s">
        <v>665</v>
      </c>
      <c r="C551" s="10" t="s">
        <v>9</v>
      </c>
      <c r="D551" s="10" t="s">
        <v>9</v>
      </c>
      <c r="E551" s="4"/>
      <c r="F551" s="4"/>
      <c r="G551" s="4"/>
      <c r="H551" s="4"/>
      <c r="I551" s="19" t="s">
        <v>9</v>
      </c>
      <c r="J551" t="str">
        <f>VLOOKUP(A551,All!A:A,1,FALSE)</f>
        <v>O'Fallon (First Baptist Academy)</v>
      </c>
    </row>
    <row r="552" spans="1:10" ht="15.75" thickBot="1" x14ac:dyDescent="0.3">
      <c r="A552" s="20" t="s">
        <v>666</v>
      </c>
      <c r="B552" s="5">
        <v>2499</v>
      </c>
      <c r="C552" s="6" t="s">
        <v>12</v>
      </c>
      <c r="D552" s="6" t="s">
        <v>12</v>
      </c>
      <c r="E552" s="6" t="s">
        <v>12</v>
      </c>
      <c r="F552" s="6" t="s">
        <v>13</v>
      </c>
      <c r="G552" s="6" t="s">
        <v>12</v>
      </c>
      <c r="H552" s="6" t="s">
        <v>13</v>
      </c>
      <c r="I552" s="21" t="s">
        <v>11</v>
      </c>
      <c r="J552" t="str">
        <f>VLOOKUP(A552,All!A:A,1,FALSE)</f>
        <v>O'Fallon (H.S.)</v>
      </c>
    </row>
    <row r="553" spans="1:10" ht="15.75" thickBot="1" x14ac:dyDescent="0.3">
      <c r="A553" s="18" t="s">
        <v>667</v>
      </c>
      <c r="B553" s="3">
        <v>156</v>
      </c>
      <c r="C553" s="4" t="s">
        <v>9</v>
      </c>
      <c r="D553" s="4" t="s">
        <v>9</v>
      </c>
      <c r="E553" s="4" t="s">
        <v>9</v>
      </c>
      <c r="F553" s="4" t="s">
        <v>9</v>
      </c>
      <c r="G553" s="4"/>
      <c r="H553" s="4"/>
      <c r="I553" s="19" t="s">
        <v>9</v>
      </c>
      <c r="J553" t="str">
        <f>VLOOKUP(A553,All!A:A,1,FALSE)</f>
        <v>Okawville</v>
      </c>
    </row>
    <row r="554" spans="1:10" ht="15.75" thickBot="1" x14ac:dyDescent="0.3">
      <c r="A554" s="20" t="s">
        <v>668</v>
      </c>
      <c r="B554" s="7">
        <v>660</v>
      </c>
      <c r="C554" s="6" t="s">
        <v>13</v>
      </c>
      <c r="D554" s="6" t="s">
        <v>13</v>
      </c>
      <c r="E554" s="6" t="s">
        <v>13</v>
      </c>
      <c r="F554" s="6" t="s">
        <v>9</v>
      </c>
      <c r="G554" s="6" t="s">
        <v>9</v>
      </c>
      <c r="H554" s="6" t="s">
        <v>9</v>
      </c>
      <c r="I554" s="21" t="s">
        <v>13</v>
      </c>
      <c r="J554" t="str">
        <f>VLOOKUP(A554,All!A:A,1,FALSE)</f>
        <v>Olney (Richland County)</v>
      </c>
    </row>
    <row r="555" spans="1:10" ht="15.75" thickBot="1" x14ac:dyDescent="0.3">
      <c r="A555" s="18" t="s">
        <v>669</v>
      </c>
      <c r="B555" s="3">
        <v>161</v>
      </c>
      <c r="C555" s="9" t="s">
        <v>9</v>
      </c>
      <c r="D555" s="9" t="s">
        <v>9</v>
      </c>
      <c r="E555" s="4"/>
      <c r="F555" s="4"/>
      <c r="G555" s="4"/>
      <c r="H555" s="4"/>
      <c r="I555" s="19"/>
      <c r="J555" t="str">
        <f>VLOOKUP(A555,All!A:A,1,FALSE)</f>
        <v>Oneida (ROWVA)</v>
      </c>
    </row>
    <row r="556" spans="1:10" ht="15.75" thickBot="1" x14ac:dyDescent="0.3">
      <c r="A556" s="20" t="s">
        <v>670</v>
      </c>
      <c r="B556" s="7">
        <v>109</v>
      </c>
      <c r="C556" s="6"/>
      <c r="D556" s="6"/>
      <c r="E556" s="6"/>
      <c r="F556" s="6"/>
      <c r="G556" s="6"/>
      <c r="H556" s="6"/>
      <c r="I556" s="21" t="s">
        <v>9</v>
      </c>
      <c r="J556" t="str">
        <f>VLOOKUP(A556,All!A:A,1,FALSE)</f>
        <v>Orangeville</v>
      </c>
    </row>
    <row r="557" spans="1:10" ht="15.75" thickBot="1" x14ac:dyDescent="0.3">
      <c r="A557" s="18" t="s">
        <v>671</v>
      </c>
      <c r="B557" s="3">
        <v>428</v>
      </c>
      <c r="C557" s="4" t="s">
        <v>9</v>
      </c>
      <c r="D557" s="4" t="s">
        <v>9</v>
      </c>
      <c r="E557" s="4" t="s">
        <v>9</v>
      </c>
      <c r="F557" s="4" t="s">
        <v>9</v>
      </c>
      <c r="G557" s="4" t="s">
        <v>9</v>
      </c>
      <c r="H557" s="4"/>
      <c r="I557" s="19" t="s">
        <v>13</v>
      </c>
      <c r="J557" t="str">
        <f>VLOOKUP(A557,All!A:A,1,FALSE)</f>
        <v>Oregon</v>
      </c>
    </row>
    <row r="558" spans="1:10" ht="15.75" thickBot="1" x14ac:dyDescent="0.3">
      <c r="A558" s="20" t="s">
        <v>672</v>
      </c>
      <c r="B558" s="7">
        <v>282</v>
      </c>
      <c r="C558" s="6" t="s">
        <v>9</v>
      </c>
      <c r="D558" s="6" t="s">
        <v>9</v>
      </c>
      <c r="E558" s="6" t="s">
        <v>9</v>
      </c>
      <c r="F558" s="6" t="s">
        <v>9</v>
      </c>
      <c r="G558" s="9" t="s">
        <v>13</v>
      </c>
      <c r="H558" s="6"/>
      <c r="I558" s="21" t="s">
        <v>9</v>
      </c>
      <c r="J558" t="str">
        <f>VLOOKUP(A558,All!A:A,1,FALSE)</f>
        <v>Orion</v>
      </c>
    </row>
    <row r="559" spans="1:10" ht="15.75" thickBot="1" x14ac:dyDescent="0.3">
      <c r="A559" s="18" t="s">
        <v>673</v>
      </c>
      <c r="B559" s="8">
        <v>2773</v>
      </c>
      <c r="C559" s="4" t="s">
        <v>12</v>
      </c>
      <c r="D559" s="4" t="s">
        <v>12</v>
      </c>
      <c r="E559" s="4" t="s">
        <v>12</v>
      </c>
      <c r="F559" s="4" t="s">
        <v>13</v>
      </c>
      <c r="G559" s="4" t="s">
        <v>12</v>
      </c>
      <c r="H559" s="4" t="s">
        <v>13</v>
      </c>
      <c r="I559" s="19" t="s">
        <v>11</v>
      </c>
      <c r="J559" t="str">
        <f>VLOOKUP(A559,All!A:A,1,FALSE)</f>
        <v>Orland Park (Sandburg)</v>
      </c>
    </row>
    <row r="560" spans="1:10" ht="15.75" thickBot="1" x14ac:dyDescent="0.3">
      <c r="A560" s="20" t="s">
        <v>674</v>
      </c>
      <c r="B560" s="5">
        <v>2659</v>
      </c>
      <c r="C560" s="6" t="s">
        <v>12</v>
      </c>
      <c r="D560" s="6" t="s">
        <v>12</v>
      </c>
      <c r="E560" s="6" t="s">
        <v>12</v>
      </c>
      <c r="F560" s="9" t="s">
        <v>13</v>
      </c>
      <c r="G560" s="6" t="s">
        <v>12</v>
      </c>
      <c r="H560" s="6" t="s">
        <v>13</v>
      </c>
      <c r="I560" s="21" t="s">
        <v>11</v>
      </c>
      <c r="J560" t="str">
        <f>VLOOKUP(A560,All!A:A,1,FALSE)</f>
        <v>Oswego (East)</v>
      </c>
    </row>
    <row r="561" spans="1:10" ht="15.75" thickBot="1" x14ac:dyDescent="0.3">
      <c r="A561" s="18" t="s">
        <v>675</v>
      </c>
      <c r="B561" s="8">
        <v>2863</v>
      </c>
      <c r="C561" s="4" t="s">
        <v>12</v>
      </c>
      <c r="D561" s="4" t="s">
        <v>12</v>
      </c>
      <c r="E561" s="4" t="s">
        <v>12</v>
      </c>
      <c r="F561" s="4"/>
      <c r="G561" s="4" t="s">
        <v>12</v>
      </c>
      <c r="H561" s="4" t="s">
        <v>13</v>
      </c>
      <c r="I561" s="19" t="s">
        <v>11</v>
      </c>
      <c r="J561" t="str">
        <f>VLOOKUP(A561,All!A:A,1,FALSE)</f>
        <v>Oswego (H.S.)</v>
      </c>
    </row>
    <row r="562" spans="1:10" ht="15.75" thickBot="1" x14ac:dyDescent="0.3">
      <c r="A562" s="20" t="s">
        <v>676</v>
      </c>
      <c r="B562" s="7" t="s">
        <v>334</v>
      </c>
      <c r="C562" s="10" t="s">
        <v>9</v>
      </c>
      <c r="D562" s="10" t="s">
        <v>9</v>
      </c>
      <c r="E562" s="10" t="s">
        <v>9</v>
      </c>
      <c r="F562" s="10" t="s">
        <v>9</v>
      </c>
      <c r="G562" s="6"/>
      <c r="H562" s="6"/>
      <c r="I562" s="23" t="s">
        <v>9</v>
      </c>
      <c r="J562" t="str">
        <f>VLOOKUP(A562,All!A:A,1,FALSE)</f>
        <v>Ottawa (Marquette)</v>
      </c>
    </row>
    <row r="563" spans="1:10" ht="15.75" thickBot="1" x14ac:dyDescent="0.3">
      <c r="A563" s="18" t="s">
        <v>677</v>
      </c>
      <c r="B563" s="8">
        <v>1193</v>
      </c>
      <c r="C563" s="4" t="s">
        <v>13</v>
      </c>
      <c r="D563" s="4" t="s">
        <v>13</v>
      </c>
      <c r="E563" s="4" t="s">
        <v>13</v>
      </c>
      <c r="F563" s="4" t="s">
        <v>13</v>
      </c>
      <c r="G563" s="4" t="s">
        <v>13</v>
      </c>
      <c r="H563" s="4" t="s">
        <v>9</v>
      </c>
      <c r="I563" s="19" t="s">
        <v>12</v>
      </c>
      <c r="J563" t="str">
        <f>VLOOKUP(A563,All!A:A,1,FALSE)</f>
        <v>Ottawa (Twp.)</v>
      </c>
    </row>
    <row r="564" spans="1:10" ht="15.75" thickBot="1" x14ac:dyDescent="0.3">
      <c r="A564" s="20" t="s">
        <v>678</v>
      </c>
      <c r="B564" s="5">
        <v>2610</v>
      </c>
      <c r="C564" s="6" t="s">
        <v>12</v>
      </c>
      <c r="D564" s="6" t="s">
        <v>12</v>
      </c>
      <c r="E564" s="6" t="s">
        <v>12</v>
      </c>
      <c r="F564" s="6" t="s">
        <v>13</v>
      </c>
      <c r="G564" s="6" t="s">
        <v>12</v>
      </c>
      <c r="H564" s="6" t="s">
        <v>13</v>
      </c>
      <c r="I564" s="21" t="s">
        <v>11</v>
      </c>
      <c r="J564" t="str">
        <f>VLOOKUP(A564,All!A:A,1,FALSE)</f>
        <v>Palatine (Fremd)</v>
      </c>
    </row>
    <row r="565" spans="1:10" ht="15.75" thickBot="1" x14ac:dyDescent="0.3">
      <c r="A565" s="18" t="s">
        <v>679</v>
      </c>
      <c r="B565" s="8">
        <v>2519</v>
      </c>
      <c r="C565" s="4" t="s">
        <v>12</v>
      </c>
      <c r="D565" s="4" t="s">
        <v>12</v>
      </c>
      <c r="E565" s="4" t="s">
        <v>12</v>
      </c>
      <c r="F565" s="4" t="s">
        <v>13</v>
      </c>
      <c r="G565" s="4" t="s">
        <v>12</v>
      </c>
      <c r="H565" s="4" t="s">
        <v>13</v>
      </c>
      <c r="I565" s="19" t="s">
        <v>11</v>
      </c>
      <c r="J565" t="str">
        <f>VLOOKUP(A565,All!A:A,1,FALSE)</f>
        <v>Palatine (H.S.)</v>
      </c>
    </row>
    <row r="566" spans="1:10" ht="15.75" thickBot="1" x14ac:dyDescent="0.3">
      <c r="A566" s="20" t="s">
        <v>991</v>
      </c>
      <c r="B566" s="7">
        <v>93</v>
      </c>
      <c r="C566" s="6"/>
      <c r="D566" s="6"/>
      <c r="E566" s="9" t="s">
        <v>9</v>
      </c>
      <c r="F566" s="9" t="s">
        <v>9</v>
      </c>
      <c r="G566" s="6"/>
      <c r="H566" s="6"/>
      <c r="I566" s="21"/>
      <c r="J566" t="str">
        <f>VLOOKUP(A566,All!A:A,1,FALSE)</f>
        <v>Palmyra (Northwestern)</v>
      </c>
    </row>
    <row r="567" spans="1:10" ht="15.75" thickBot="1" x14ac:dyDescent="0.3">
      <c r="A567" s="18" t="s">
        <v>681</v>
      </c>
      <c r="B567" s="3" t="s">
        <v>682</v>
      </c>
      <c r="C567" s="10" t="s">
        <v>9</v>
      </c>
      <c r="D567" s="10" t="s">
        <v>9</v>
      </c>
      <c r="E567" s="10" t="s">
        <v>9</v>
      </c>
      <c r="F567" s="4"/>
      <c r="G567" s="10" t="s">
        <v>9</v>
      </c>
      <c r="H567" s="10" t="s">
        <v>9</v>
      </c>
      <c r="I567" s="23" t="s">
        <v>13</v>
      </c>
      <c r="J567" t="str">
        <f>VLOOKUP(A567,All!A:A,1,FALSE)</f>
        <v>Palos Heights (Chicago Christian)</v>
      </c>
    </row>
    <row r="568" spans="1:10" ht="15.75" thickBot="1" x14ac:dyDescent="0.3">
      <c r="A568" s="20" t="s">
        <v>683</v>
      </c>
      <c r="B568" s="5">
        <v>1809</v>
      </c>
      <c r="C568" s="6" t="s">
        <v>12</v>
      </c>
      <c r="D568" s="6" t="s">
        <v>12</v>
      </c>
      <c r="E568" s="6" t="s">
        <v>12</v>
      </c>
      <c r="F568" s="6" t="s">
        <v>13</v>
      </c>
      <c r="G568" s="6" t="s">
        <v>12</v>
      </c>
      <c r="H568" s="6" t="s">
        <v>13</v>
      </c>
      <c r="I568" s="21" t="s">
        <v>11</v>
      </c>
      <c r="J568" t="str">
        <f>VLOOKUP(A568,All!A:A,1,FALSE)</f>
        <v>Palos Heights (Shepard)</v>
      </c>
    </row>
    <row r="569" spans="1:10" ht="15.75" thickBot="1" x14ac:dyDescent="0.3">
      <c r="A569" s="18" t="s">
        <v>684</v>
      </c>
      <c r="B569" s="8">
        <v>2517</v>
      </c>
      <c r="C569" s="4" t="s">
        <v>12</v>
      </c>
      <c r="D569" s="4" t="s">
        <v>12</v>
      </c>
      <c r="E569" s="4" t="s">
        <v>12</v>
      </c>
      <c r="F569" s="4" t="s">
        <v>13</v>
      </c>
      <c r="G569" s="4" t="s">
        <v>12</v>
      </c>
      <c r="H569" s="4" t="s">
        <v>13</v>
      </c>
      <c r="I569" s="19" t="s">
        <v>11</v>
      </c>
      <c r="J569" t="str">
        <f>VLOOKUP(A569,All!A:A,1,FALSE)</f>
        <v>Palos Hills (Stagg)</v>
      </c>
    </row>
    <row r="570" spans="1:10" ht="15.75" thickBot="1" x14ac:dyDescent="0.3">
      <c r="A570" s="20" t="s">
        <v>685</v>
      </c>
      <c r="B570" s="7">
        <v>385</v>
      </c>
      <c r="C570" s="6"/>
      <c r="D570" s="6"/>
      <c r="E570" s="6" t="s">
        <v>9</v>
      </c>
      <c r="F570" s="6" t="s">
        <v>9</v>
      </c>
      <c r="G570" s="9" t="s">
        <v>9</v>
      </c>
      <c r="H570" s="6"/>
      <c r="I570" s="21" t="s">
        <v>13</v>
      </c>
      <c r="J570" t="str">
        <f>VLOOKUP(A570,All!A:A,1,FALSE)</f>
        <v>Pana</v>
      </c>
    </row>
    <row r="571" spans="1:10" ht="15.75" thickBot="1" x14ac:dyDescent="0.3">
      <c r="A571" s="18" t="s">
        <v>686</v>
      </c>
      <c r="B571" s="3">
        <v>528</v>
      </c>
      <c r="C571" s="4" t="s">
        <v>9</v>
      </c>
      <c r="D571" s="4" t="s">
        <v>9</v>
      </c>
      <c r="E571" s="4" t="s">
        <v>13</v>
      </c>
      <c r="F571" s="4"/>
      <c r="G571" s="4"/>
      <c r="H571" s="4" t="s">
        <v>9</v>
      </c>
      <c r="I571" s="19" t="s">
        <v>13</v>
      </c>
      <c r="J571" t="str">
        <f>VLOOKUP(A571,All!A:A,1,FALSE)</f>
        <v>Paris</v>
      </c>
    </row>
    <row r="572" spans="1:10" ht="15.75" thickBot="1" x14ac:dyDescent="0.3">
      <c r="A572" s="20" t="s">
        <v>687</v>
      </c>
      <c r="B572" s="5">
        <v>1952</v>
      </c>
      <c r="C572" s="6" t="s">
        <v>12</v>
      </c>
      <c r="D572" s="6" t="s">
        <v>12</v>
      </c>
      <c r="E572" s="6" t="s">
        <v>12</v>
      </c>
      <c r="F572" s="6"/>
      <c r="G572" s="6" t="s">
        <v>12</v>
      </c>
      <c r="H572" s="6" t="s">
        <v>13</v>
      </c>
      <c r="I572" s="21" t="s">
        <v>11</v>
      </c>
      <c r="J572" t="str">
        <f>VLOOKUP(A572,All!A:A,1,FALSE)</f>
        <v>Park Ridge (Maine East)</v>
      </c>
    </row>
    <row r="573" spans="1:10" ht="15.75" thickBot="1" x14ac:dyDescent="0.3">
      <c r="A573" s="25" t="s">
        <v>0</v>
      </c>
      <c r="B573" s="1" t="s">
        <v>1</v>
      </c>
      <c r="C573" s="2" t="s">
        <v>971</v>
      </c>
      <c r="D573" s="2" t="s">
        <v>972</v>
      </c>
      <c r="E573" s="2" t="s">
        <v>973</v>
      </c>
      <c r="F573" s="2" t="s">
        <v>974</v>
      </c>
      <c r="G573" s="2" t="s">
        <v>975</v>
      </c>
      <c r="H573" s="2" t="s">
        <v>976</v>
      </c>
      <c r="I573" s="26" t="s">
        <v>977</v>
      </c>
      <c r="J573" t="str">
        <f>VLOOKUP(A573,All!A:A,1,FALSE)</f>
        <v>School</v>
      </c>
    </row>
    <row r="574" spans="1:10" ht="15.75" thickBot="1" x14ac:dyDescent="0.3">
      <c r="A574" s="18" t="s">
        <v>688</v>
      </c>
      <c r="B574" s="8">
        <v>2476</v>
      </c>
      <c r="C574" s="4" t="s">
        <v>12</v>
      </c>
      <c r="D574" s="4" t="s">
        <v>12</v>
      </c>
      <c r="E574" s="4" t="s">
        <v>12</v>
      </c>
      <c r="F574" s="4" t="s">
        <v>13</v>
      </c>
      <c r="G574" s="4" t="s">
        <v>12</v>
      </c>
      <c r="H574" s="4" t="s">
        <v>13</v>
      </c>
      <c r="I574" s="19" t="s">
        <v>11</v>
      </c>
      <c r="J574" t="str">
        <f>VLOOKUP(A574,All!A:A,1,FALSE)</f>
        <v>Park Ridge (Maine South)</v>
      </c>
    </row>
    <row r="575" spans="1:10" ht="15.75" thickBot="1" x14ac:dyDescent="0.3">
      <c r="A575" s="20" t="s">
        <v>689</v>
      </c>
      <c r="B575" s="7">
        <v>59</v>
      </c>
      <c r="C575" s="6"/>
      <c r="D575" s="6"/>
      <c r="E575" s="6"/>
      <c r="F575" s="6"/>
      <c r="G575" s="6"/>
      <c r="H575" s="6"/>
      <c r="I575" s="22" t="s">
        <v>9</v>
      </c>
      <c r="J575" t="str">
        <f>VLOOKUP(A575,All!A:A,1,FALSE)</f>
        <v>Patoka</v>
      </c>
    </row>
    <row r="576" spans="1:10" ht="15.75" thickBot="1" x14ac:dyDescent="0.3">
      <c r="A576" s="18" t="s">
        <v>690</v>
      </c>
      <c r="B576" s="3">
        <v>160</v>
      </c>
      <c r="C576" s="4"/>
      <c r="D576" s="4"/>
      <c r="E576" s="4"/>
      <c r="F576" s="4"/>
      <c r="G576" s="4"/>
      <c r="H576" s="4"/>
      <c r="I576" s="19" t="s">
        <v>9</v>
      </c>
      <c r="J576" t="str">
        <f>VLOOKUP(A576,All!A:A,1,FALSE)</f>
        <v>Pawnee</v>
      </c>
    </row>
    <row r="577" spans="1:10" ht="15.75" thickBot="1" x14ac:dyDescent="0.3">
      <c r="A577" s="20" t="s">
        <v>691</v>
      </c>
      <c r="B577" s="7">
        <v>373</v>
      </c>
      <c r="C577" s="6" t="s">
        <v>9</v>
      </c>
      <c r="D577" s="6" t="s">
        <v>9</v>
      </c>
      <c r="E577" s="6"/>
      <c r="F577" s="6"/>
      <c r="G577" s="6"/>
      <c r="H577" s="6"/>
      <c r="I577" s="21" t="s">
        <v>13</v>
      </c>
      <c r="J577" t="str">
        <f>VLOOKUP(A577,All!A:A,1,FALSE)</f>
        <v>Paxton (P.-Buckley-Loda)</v>
      </c>
    </row>
    <row r="578" spans="1:10" ht="15.75" thickBot="1" x14ac:dyDescent="0.3">
      <c r="A578" s="18" t="s">
        <v>692</v>
      </c>
      <c r="B578" s="3">
        <v>146</v>
      </c>
      <c r="C578" s="4"/>
      <c r="D578" s="4"/>
      <c r="E578" s="4" t="s">
        <v>9</v>
      </c>
      <c r="F578" s="4"/>
      <c r="G578" s="4"/>
      <c r="H578" s="4"/>
      <c r="I578" s="19" t="s">
        <v>9</v>
      </c>
      <c r="J578" t="str">
        <f>VLOOKUP(A578,All!A:A,1,FALSE)</f>
        <v>Payson (Seymour)</v>
      </c>
    </row>
    <row r="579" spans="1:10" ht="15.75" thickBot="1" x14ac:dyDescent="0.3">
      <c r="A579" s="20" t="s">
        <v>693</v>
      </c>
      <c r="B579" s="7">
        <v>146</v>
      </c>
      <c r="C579" s="6"/>
      <c r="D579" s="6"/>
      <c r="E579" s="9" t="s">
        <v>9</v>
      </c>
      <c r="F579" s="9" t="s">
        <v>9</v>
      </c>
      <c r="G579" s="6"/>
      <c r="H579" s="6"/>
      <c r="I579" s="21" t="s">
        <v>9</v>
      </c>
      <c r="J579" t="str">
        <f>VLOOKUP(A579,All!A:A,1,FALSE)</f>
        <v>Pearl City</v>
      </c>
    </row>
    <row r="580" spans="1:10" ht="15.75" thickBot="1" x14ac:dyDescent="0.3">
      <c r="A580" s="18" t="s">
        <v>694</v>
      </c>
      <c r="B580" s="3">
        <v>299</v>
      </c>
      <c r="C580" s="4"/>
      <c r="D580" s="4"/>
      <c r="E580" s="9" t="s">
        <v>9</v>
      </c>
      <c r="F580" s="9" t="s">
        <v>9</v>
      </c>
      <c r="G580" s="9" t="s">
        <v>9</v>
      </c>
      <c r="H580" s="4"/>
      <c r="I580" s="19" t="s">
        <v>9</v>
      </c>
      <c r="J580" t="str">
        <f>VLOOKUP(A580,All!A:A,1,FALSE)</f>
        <v>Pecatonica</v>
      </c>
    </row>
    <row r="581" spans="1:10" ht="15.75" thickBot="1" x14ac:dyDescent="0.3">
      <c r="A581" s="20" t="s">
        <v>695</v>
      </c>
      <c r="B581" s="5">
        <v>1675</v>
      </c>
      <c r="C581" s="6" t="s">
        <v>12</v>
      </c>
      <c r="D581" s="6" t="s">
        <v>12</v>
      </c>
      <c r="E581" s="6" t="s">
        <v>12</v>
      </c>
      <c r="F581" s="6" t="s">
        <v>13</v>
      </c>
      <c r="G581" s="6" t="s">
        <v>13</v>
      </c>
      <c r="H581" s="6" t="s">
        <v>13</v>
      </c>
      <c r="I581" s="21" t="s">
        <v>11</v>
      </c>
      <c r="J581" t="str">
        <f>VLOOKUP(A581,All!A:A,1,FALSE)</f>
        <v>Pekin</v>
      </c>
    </row>
    <row r="582" spans="1:10" ht="15.75" thickBot="1" x14ac:dyDescent="0.3">
      <c r="A582" s="18" t="s">
        <v>696</v>
      </c>
      <c r="B582" s="8">
        <v>1287</v>
      </c>
      <c r="C582" s="4" t="s">
        <v>13</v>
      </c>
      <c r="D582" s="4"/>
      <c r="E582" s="4"/>
      <c r="F582" s="4"/>
      <c r="G582" s="4" t="s">
        <v>13</v>
      </c>
      <c r="H582" s="4"/>
      <c r="I582" s="19" t="s">
        <v>12</v>
      </c>
      <c r="J582" t="str">
        <f>VLOOKUP(A582,All!A:A,1,FALSE)</f>
        <v>Peoria (H.S.)</v>
      </c>
    </row>
    <row r="583" spans="1:10" ht="15.75" thickBot="1" x14ac:dyDescent="0.3">
      <c r="A583" s="20" t="s">
        <v>697</v>
      </c>
      <c r="B583" s="7">
        <v>668</v>
      </c>
      <c r="C583" s="6"/>
      <c r="D583" s="6"/>
      <c r="E583" s="6"/>
      <c r="F583" s="6"/>
      <c r="G583" s="6" t="s">
        <v>9</v>
      </c>
      <c r="H583" s="6"/>
      <c r="I583" s="21" t="s">
        <v>13</v>
      </c>
      <c r="J583" t="str">
        <f>VLOOKUP(A583,All!A:A,1,FALSE)</f>
        <v>Peoria (Manual)</v>
      </c>
    </row>
    <row r="584" spans="1:10" ht="15.75" thickBot="1" x14ac:dyDescent="0.3">
      <c r="A584" s="18" t="s">
        <v>698</v>
      </c>
      <c r="B584" s="3" t="s">
        <v>699</v>
      </c>
      <c r="C584" s="10" t="s">
        <v>13</v>
      </c>
      <c r="D584" s="10" t="s">
        <v>13</v>
      </c>
      <c r="E584" s="10" t="s">
        <v>13</v>
      </c>
      <c r="F584" s="10" t="s">
        <v>9</v>
      </c>
      <c r="G584" s="12" t="s">
        <v>12</v>
      </c>
      <c r="H584" s="10" t="s">
        <v>9</v>
      </c>
      <c r="I584" s="24" t="s">
        <v>13</v>
      </c>
      <c r="J584" t="str">
        <f>VLOOKUP(A584,All!A:A,1,FALSE)</f>
        <v>Peoria (Notre Dame)</v>
      </c>
    </row>
    <row r="585" spans="1:10" ht="15.75" thickBot="1" x14ac:dyDescent="0.3">
      <c r="A585" s="20" t="s">
        <v>700</v>
      </c>
      <c r="B585" s="7" t="s">
        <v>701</v>
      </c>
      <c r="C585" s="10" t="s">
        <v>9</v>
      </c>
      <c r="D585" s="10" t="s">
        <v>9</v>
      </c>
      <c r="E585" s="10" t="s">
        <v>9</v>
      </c>
      <c r="F585" s="6"/>
      <c r="G585" s="10" t="s">
        <v>9</v>
      </c>
      <c r="H585" s="10" t="s">
        <v>9</v>
      </c>
      <c r="I585" s="24" t="s">
        <v>9</v>
      </c>
      <c r="J585" t="str">
        <f>VLOOKUP(A585,All!A:A,1,FALSE)</f>
        <v>Peoria (P. Christian)</v>
      </c>
    </row>
    <row r="586" spans="1:10" ht="15.75" thickBot="1" x14ac:dyDescent="0.3">
      <c r="A586" s="18" t="s">
        <v>702</v>
      </c>
      <c r="B586" s="8">
        <v>1629</v>
      </c>
      <c r="C586" s="4" t="s">
        <v>12</v>
      </c>
      <c r="D586" s="4" t="s">
        <v>12</v>
      </c>
      <c r="E586" s="4" t="s">
        <v>12</v>
      </c>
      <c r="F586" s="4" t="s">
        <v>13</v>
      </c>
      <c r="G586" s="4" t="s">
        <v>13</v>
      </c>
      <c r="H586" s="4" t="s">
        <v>13</v>
      </c>
      <c r="I586" s="19" t="s">
        <v>11</v>
      </c>
      <c r="J586" t="str">
        <f>VLOOKUP(A586,All!A:A,1,FALSE)</f>
        <v>Peoria (Richwoods)</v>
      </c>
    </row>
    <row r="587" spans="1:10" ht="15.75" thickBot="1" x14ac:dyDescent="0.3">
      <c r="A587" s="20" t="s">
        <v>703</v>
      </c>
      <c r="B587" s="7">
        <v>208</v>
      </c>
      <c r="C587" s="6"/>
      <c r="D587" s="6"/>
      <c r="E587" s="6" t="s">
        <v>9</v>
      </c>
      <c r="F587" s="6"/>
      <c r="G587" s="6"/>
      <c r="H587" s="6"/>
      <c r="I587" s="21" t="s">
        <v>9</v>
      </c>
      <c r="J587" t="str">
        <f>VLOOKUP(A587,All!A:A,1,FALSE)</f>
        <v>Peoria Heights</v>
      </c>
    </row>
    <row r="588" spans="1:10" ht="15.75" thickBot="1" x14ac:dyDescent="0.3">
      <c r="A588" s="18" t="s">
        <v>704</v>
      </c>
      <c r="B588" s="3">
        <v>410</v>
      </c>
      <c r="C588" s="4" t="s">
        <v>9</v>
      </c>
      <c r="D588" s="4" t="s">
        <v>9</v>
      </c>
      <c r="E588" s="4" t="s">
        <v>9</v>
      </c>
      <c r="F588" s="4"/>
      <c r="G588" s="4" t="s">
        <v>9</v>
      </c>
      <c r="H588" s="4"/>
      <c r="I588" s="19" t="s">
        <v>13</v>
      </c>
      <c r="J588" t="str">
        <f>VLOOKUP(A588,All!A:A,1,FALSE)</f>
        <v>Peotone</v>
      </c>
    </row>
    <row r="589" spans="1:10" ht="15.75" thickBot="1" x14ac:dyDescent="0.3">
      <c r="A589" s="20" t="s">
        <v>705</v>
      </c>
      <c r="B589" s="7" t="s">
        <v>706</v>
      </c>
      <c r="C589" s="10" t="s">
        <v>9</v>
      </c>
      <c r="D589" s="10" t="s">
        <v>9</v>
      </c>
      <c r="E589" s="10" t="s">
        <v>9</v>
      </c>
      <c r="F589" s="10" t="s">
        <v>9</v>
      </c>
      <c r="G589" s="6" t="s">
        <v>9</v>
      </c>
      <c r="H589" s="10" t="s">
        <v>9</v>
      </c>
      <c r="I589" s="24" t="s">
        <v>9</v>
      </c>
      <c r="J589" t="str">
        <f>VLOOKUP(A589,All!A:A,1,FALSE)</f>
        <v>Peru (St. Bede)</v>
      </c>
    </row>
    <row r="590" spans="1:10" ht="15.75" thickBot="1" x14ac:dyDescent="0.3">
      <c r="A590" s="18" t="s">
        <v>707</v>
      </c>
      <c r="B590" s="3">
        <v>276</v>
      </c>
      <c r="C590" s="9" t="s">
        <v>9</v>
      </c>
      <c r="D590" s="9" t="s">
        <v>9</v>
      </c>
      <c r="E590" s="9" t="s">
        <v>9</v>
      </c>
      <c r="F590" s="9" t="s">
        <v>9</v>
      </c>
      <c r="G590" s="4"/>
      <c r="H590" s="4"/>
      <c r="I590" s="22" t="s">
        <v>13</v>
      </c>
      <c r="J590" t="str">
        <f>VLOOKUP(A590,All!A:A,1,FALSE)</f>
        <v>Petersburg (PORTA)</v>
      </c>
    </row>
    <row r="591" spans="1:10" ht="15.75" thickBot="1" x14ac:dyDescent="0.3">
      <c r="A591" s="20" t="s">
        <v>708</v>
      </c>
      <c r="B591" s="7">
        <v>365</v>
      </c>
      <c r="C591" s="6" t="s">
        <v>9</v>
      </c>
      <c r="D591" s="6" t="s">
        <v>9</v>
      </c>
      <c r="E591" s="6" t="s">
        <v>9</v>
      </c>
      <c r="F591" s="6"/>
      <c r="G591" s="6" t="s">
        <v>9</v>
      </c>
      <c r="H591" s="6"/>
      <c r="I591" s="21" t="s">
        <v>13</v>
      </c>
      <c r="J591" t="str">
        <f>VLOOKUP(A591,All!A:A,1,FALSE)</f>
        <v>Piasa (Southwestern)</v>
      </c>
    </row>
    <row r="592" spans="1:10" ht="15.75" thickBot="1" x14ac:dyDescent="0.3">
      <c r="A592" s="18" t="s">
        <v>709</v>
      </c>
      <c r="B592" s="3">
        <v>378</v>
      </c>
      <c r="C592" s="4" t="s">
        <v>9</v>
      </c>
      <c r="D592" s="4" t="s">
        <v>9</v>
      </c>
      <c r="E592" s="4" t="s">
        <v>9</v>
      </c>
      <c r="F592" s="4" t="s">
        <v>9</v>
      </c>
      <c r="G592" s="4" t="s">
        <v>9</v>
      </c>
      <c r="H592" s="4"/>
      <c r="I592" s="19" t="s">
        <v>13</v>
      </c>
      <c r="J592" t="str">
        <f>VLOOKUP(A592,All!A:A,1,FALSE)</f>
        <v>Pinckneyville</v>
      </c>
    </row>
    <row r="593" spans="1:10" ht="15.75" thickBot="1" x14ac:dyDescent="0.3">
      <c r="A593" s="20" t="s">
        <v>710</v>
      </c>
      <c r="B593" s="7">
        <v>367</v>
      </c>
      <c r="C593" s="6" t="s">
        <v>9</v>
      </c>
      <c r="D593" s="6" t="s">
        <v>9</v>
      </c>
      <c r="E593" s="6" t="s">
        <v>9</v>
      </c>
      <c r="F593" s="6" t="s">
        <v>9</v>
      </c>
      <c r="G593" s="6"/>
      <c r="H593" s="6"/>
      <c r="I593" s="21" t="s">
        <v>13</v>
      </c>
      <c r="J593" t="str">
        <f>VLOOKUP(A593,All!A:A,1,FALSE)</f>
        <v>Pittsfield</v>
      </c>
    </row>
    <row r="594" spans="1:10" ht="15.75" thickBot="1" x14ac:dyDescent="0.3">
      <c r="A594" s="18" t="s">
        <v>711</v>
      </c>
      <c r="B594" s="8">
        <v>1767</v>
      </c>
      <c r="C594" s="4" t="s">
        <v>12</v>
      </c>
      <c r="D594" s="4" t="s">
        <v>12</v>
      </c>
      <c r="E594" s="4" t="s">
        <v>12</v>
      </c>
      <c r="F594" s="4" t="s">
        <v>13</v>
      </c>
      <c r="G594" s="4" t="s">
        <v>12</v>
      </c>
      <c r="H594" s="4" t="s">
        <v>13</v>
      </c>
      <c r="I594" s="19" t="s">
        <v>11</v>
      </c>
      <c r="J594" t="str">
        <f>VLOOKUP(A594,All!A:A,1,FALSE)</f>
        <v>Plainfield (Central)</v>
      </c>
    </row>
    <row r="595" spans="1:10" ht="15.75" thickBot="1" x14ac:dyDescent="0.3">
      <c r="A595" s="20" t="s">
        <v>712</v>
      </c>
      <c r="B595" s="5">
        <v>1772</v>
      </c>
      <c r="C595" s="6" t="s">
        <v>12</v>
      </c>
      <c r="D595" s="6" t="s">
        <v>12</v>
      </c>
      <c r="E595" s="6" t="s">
        <v>12</v>
      </c>
      <c r="F595" s="6" t="s">
        <v>13</v>
      </c>
      <c r="G595" s="6" t="s">
        <v>12</v>
      </c>
      <c r="H595" s="6" t="s">
        <v>13</v>
      </c>
      <c r="I595" s="21" t="s">
        <v>11</v>
      </c>
      <c r="J595" t="str">
        <f>VLOOKUP(A595,All!A:A,1,FALSE)</f>
        <v>Plainfield (East)</v>
      </c>
    </row>
    <row r="596" spans="1:10" ht="15.75" thickBot="1" x14ac:dyDescent="0.3">
      <c r="A596" s="18" t="s">
        <v>713</v>
      </c>
      <c r="B596" s="8">
        <v>2343</v>
      </c>
      <c r="C596" s="4" t="s">
        <v>12</v>
      </c>
      <c r="D596" s="4" t="s">
        <v>12</v>
      </c>
      <c r="E596" s="4" t="s">
        <v>12</v>
      </c>
      <c r="F596" s="4" t="s">
        <v>13</v>
      </c>
      <c r="G596" s="4" t="s">
        <v>12</v>
      </c>
      <c r="H596" s="4" t="s">
        <v>13</v>
      </c>
      <c r="I596" s="19" t="s">
        <v>11</v>
      </c>
      <c r="J596" t="str">
        <f>VLOOKUP(A596,All!A:A,1,FALSE)</f>
        <v>Plainfield (North)</v>
      </c>
    </row>
    <row r="597" spans="1:10" ht="15.75" thickBot="1" x14ac:dyDescent="0.3">
      <c r="A597" s="20" t="s">
        <v>714</v>
      </c>
      <c r="B597" s="5">
        <v>2229</v>
      </c>
      <c r="C597" s="6" t="s">
        <v>12</v>
      </c>
      <c r="D597" s="6" t="s">
        <v>12</v>
      </c>
      <c r="E597" s="6" t="s">
        <v>12</v>
      </c>
      <c r="F597" s="6" t="s">
        <v>13</v>
      </c>
      <c r="G597" s="6" t="s">
        <v>12</v>
      </c>
      <c r="H597" s="6" t="s">
        <v>13</v>
      </c>
      <c r="I597" s="21" t="s">
        <v>11</v>
      </c>
      <c r="J597" t="str">
        <f>VLOOKUP(A597,All!A:A,1,FALSE)</f>
        <v>Plainfield (South)</v>
      </c>
    </row>
    <row r="598" spans="1:10" ht="15.75" thickBot="1" x14ac:dyDescent="0.3">
      <c r="A598" s="18" t="s">
        <v>715</v>
      </c>
      <c r="B598" s="3">
        <v>747</v>
      </c>
      <c r="C598" s="4" t="s">
        <v>13</v>
      </c>
      <c r="D598" s="4" t="s">
        <v>13</v>
      </c>
      <c r="E598" s="4" t="s">
        <v>13</v>
      </c>
      <c r="F598" s="4" t="s">
        <v>9</v>
      </c>
      <c r="G598" s="4" t="s">
        <v>13</v>
      </c>
      <c r="H598" s="4"/>
      <c r="I598" s="19" t="s">
        <v>12</v>
      </c>
      <c r="J598" t="str">
        <f>VLOOKUP(A598,All!A:A,1,FALSE)</f>
        <v>Plano</v>
      </c>
    </row>
    <row r="599" spans="1:10" ht="15.75" thickBot="1" x14ac:dyDescent="0.3">
      <c r="A599" s="25" t="s">
        <v>0</v>
      </c>
      <c r="B599" s="1" t="s">
        <v>1</v>
      </c>
      <c r="C599" s="2" t="s">
        <v>971</v>
      </c>
      <c r="D599" s="2" t="s">
        <v>972</v>
      </c>
      <c r="E599" s="2" t="s">
        <v>973</v>
      </c>
      <c r="F599" s="2" t="s">
        <v>974</v>
      </c>
      <c r="G599" s="2" t="s">
        <v>975</v>
      </c>
      <c r="H599" s="2" t="s">
        <v>976</v>
      </c>
      <c r="I599" s="26" t="s">
        <v>977</v>
      </c>
      <c r="J599" t="str">
        <f>VLOOKUP(A599,All!A:A,1,FALSE)</f>
        <v>School</v>
      </c>
    </row>
    <row r="600" spans="1:10" ht="15.75" thickBot="1" x14ac:dyDescent="0.3">
      <c r="A600" s="20" t="s">
        <v>716</v>
      </c>
      <c r="B600" s="7">
        <v>96</v>
      </c>
      <c r="C600" s="6" t="s">
        <v>9</v>
      </c>
      <c r="D600" s="6" t="s">
        <v>9</v>
      </c>
      <c r="E600" s="6"/>
      <c r="F600" s="6"/>
      <c r="G600" s="6"/>
      <c r="H600" s="6"/>
      <c r="I600" s="21" t="s">
        <v>9</v>
      </c>
      <c r="J600" t="str">
        <f>VLOOKUP(A600,All!A:A,1,FALSE)</f>
        <v>Pleasant Hill</v>
      </c>
    </row>
    <row r="601" spans="1:10" ht="15.75" thickBot="1" x14ac:dyDescent="0.3">
      <c r="A601" s="18" t="s">
        <v>717</v>
      </c>
      <c r="B601" s="3">
        <v>409</v>
      </c>
      <c r="C601" s="4" t="s">
        <v>9</v>
      </c>
      <c r="D601" s="4" t="s">
        <v>9</v>
      </c>
      <c r="E601" s="4" t="s">
        <v>9</v>
      </c>
      <c r="F601" s="4" t="s">
        <v>9</v>
      </c>
      <c r="G601" s="4" t="s">
        <v>9</v>
      </c>
      <c r="H601" s="4"/>
      <c r="I601" s="19" t="s">
        <v>13</v>
      </c>
      <c r="J601" t="str">
        <f>VLOOKUP(A601,All!A:A,1,FALSE)</f>
        <v>Pleasant Plains</v>
      </c>
    </row>
    <row r="602" spans="1:10" ht="15.75" thickBot="1" x14ac:dyDescent="0.3">
      <c r="A602" s="20" t="s">
        <v>718</v>
      </c>
      <c r="B602" s="7">
        <v>180</v>
      </c>
      <c r="C602" s="6"/>
      <c r="D602" s="6"/>
      <c r="E602" s="6" t="s">
        <v>9</v>
      </c>
      <c r="F602" s="6"/>
      <c r="G602" s="6"/>
      <c r="H602" s="6"/>
      <c r="I602" s="21" t="s">
        <v>9</v>
      </c>
      <c r="J602" t="str">
        <f>VLOOKUP(A602,All!A:A,1,FALSE)</f>
        <v>Polo</v>
      </c>
    </row>
    <row r="603" spans="1:10" ht="15.75" thickBot="1" x14ac:dyDescent="0.3">
      <c r="A603" s="18" t="s">
        <v>719</v>
      </c>
      <c r="B603" s="3">
        <v>639</v>
      </c>
      <c r="C603" s="4" t="s">
        <v>13</v>
      </c>
      <c r="D603" s="4" t="s">
        <v>13</v>
      </c>
      <c r="E603" s="4" t="s">
        <v>13</v>
      </c>
      <c r="F603" s="4" t="s">
        <v>9</v>
      </c>
      <c r="G603" s="4"/>
      <c r="H603" s="4" t="s">
        <v>9</v>
      </c>
      <c r="I603" s="19" t="s">
        <v>13</v>
      </c>
      <c r="J603" t="str">
        <f>VLOOKUP(A603,All!A:A,1,FALSE)</f>
        <v>Pontiac</v>
      </c>
    </row>
    <row r="604" spans="1:10" ht="15.75" thickBot="1" x14ac:dyDescent="0.3">
      <c r="A604" s="20" t="s">
        <v>720</v>
      </c>
      <c r="B604" s="7">
        <v>484</v>
      </c>
      <c r="C604" s="6" t="s">
        <v>9</v>
      </c>
      <c r="D604" s="6"/>
      <c r="E604" s="6" t="s">
        <v>9</v>
      </c>
      <c r="F604" s="6" t="s">
        <v>9</v>
      </c>
      <c r="G604" s="6" t="s">
        <v>9</v>
      </c>
      <c r="H604" s="6"/>
      <c r="I604" s="21" t="s">
        <v>13</v>
      </c>
      <c r="J604" t="str">
        <f>VLOOKUP(A604,All!A:A,1,FALSE)</f>
        <v>Poplar Grove (North Boone)</v>
      </c>
    </row>
    <row r="605" spans="1:10" ht="15.75" thickBot="1" x14ac:dyDescent="0.3">
      <c r="A605" s="18" t="s">
        <v>721</v>
      </c>
      <c r="B605" s="3">
        <v>320</v>
      </c>
      <c r="C605" s="4" t="s">
        <v>9</v>
      </c>
      <c r="D605" s="4" t="s">
        <v>9</v>
      </c>
      <c r="E605" s="4" t="s">
        <v>9</v>
      </c>
      <c r="F605" s="4" t="s">
        <v>9</v>
      </c>
      <c r="G605" s="4" t="s">
        <v>9</v>
      </c>
      <c r="H605" s="4"/>
      <c r="I605" s="19" t="s">
        <v>13</v>
      </c>
      <c r="J605" t="str">
        <f>VLOOKUP(A605,All!A:A,1,FALSE)</f>
        <v>Port Byron (Riverdale)</v>
      </c>
    </row>
    <row r="606" spans="1:10" ht="15.75" thickBot="1" x14ac:dyDescent="0.3">
      <c r="A606" s="20" t="s">
        <v>722</v>
      </c>
      <c r="B606" s="7">
        <v>472</v>
      </c>
      <c r="C606" s="6" t="s">
        <v>9</v>
      </c>
      <c r="D606" s="6" t="s">
        <v>9</v>
      </c>
      <c r="E606" s="6" t="s">
        <v>9</v>
      </c>
      <c r="F606" s="6" t="s">
        <v>9</v>
      </c>
      <c r="G606" s="6" t="s">
        <v>9</v>
      </c>
      <c r="H606" s="6" t="s">
        <v>9</v>
      </c>
      <c r="I606" s="21" t="s">
        <v>13</v>
      </c>
      <c r="J606" t="str">
        <f>VLOOKUP(A606,All!A:A,1,FALSE)</f>
        <v>Princeton</v>
      </c>
    </row>
    <row r="607" spans="1:10" ht="15.75" thickBot="1" x14ac:dyDescent="0.3">
      <c r="A607" s="18" t="s">
        <v>723</v>
      </c>
      <c r="B607" s="3">
        <v>185</v>
      </c>
      <c r="C607" s="4" t="s">
        <v>9</v>
      </c>
      <c r="D607" s="4" t="s">
        <v>9</v>
      </c>
      <c r="E607" s="4" t="s">
        <v>9</v>
      </c>
      <c r="F607" s="4" t="s">
        <v>9</v>
      </c>
      <c r="G607" s="4"/>
      <c r="H607" s="4"/>
      <c r="I607" s="19" t="s">
        <v>9</v>
      </c>
      <c r="J607" t="str">
        <f>VLOOKUP(A607,All!A:A,1,FALSE)</f>
        <v>Princeville</v>
      </c>
    </row>
    <row r="608" spans="1:10" ht="15.75" thickBot="1" x14ac:dyDescent="0.3">
      <c r="A608" s="20" t="s">
        <v>724</v>
      </c>
      <c r="B608" s="7">
        <v>198</v>
      </c>
      <c r="C608" s="9" t="s">
        <v>9</v>
      </c>
      <c r="D608" s="9" t="s">
        <v>9</v>
      </c>
      <c r="E608" s="6"/>
      <c r="F608" s="6"/>
      <c r="G608" s="6"/>
      <c r="H608" s="6"/>
      <c r="I608" s="22" t="s">
        <v>13</v>
      </c>
      <c r="J608" t="str">
        <f>VLOOKUP(A608,All!A:A,1,FALSE)</f>
        <v>Prophetstown</v>
      </c>
    </row>
    <row r="609" spans="1:10" ht="15.75" thickBot="1" x14ac:dyDescent="0.3">
      <c r="A609" s="18" t="s">
        <v>725</v>
      </c>
      <c r="B609" s="3" t="s">
        <v>272</v>
      </c>
      <c r="C609" s="10" t="s">
        <v>13</v>
      </c>
      <c r="D609" s="10" t="s">
        <v>13</v>
      </c>
      <c r="E609" s="10" t="s">
        <v>13</v>
      </c>
      <c r="F609" s="10" t="s">
        <v>9</v>
      </c>
      <c r="G609" s="10" t="s">
        <v>9</v>
      </c>
      <c r="H609" s="10" t="s">
        <v>9</v>
      </c>
      <c r="I609" s="23" t="s">
        <v>13</v>
      </c>
      <c r="J609" t="str">
        <f>VLOOKUP(A609,All!A:A,1,FALSE)</f>
        <v>Quincy (Notre Dame)</v>
      </c>
    </row>
    <row r="610" spans="1:10" ht="15.75" thickBot="1" x14ac:dyDescent="0.3">
      <c r="A610" s="20" t="s">
        <v>726</v>
      </c>
      <c r="B610" s="5">
        <v>1743</v>
      </c>
      <c r="C610" s="6" t="s">
        <v>12</v>
      </c>
      <c r="D610" s="6" t="s">
        <v>12</v>
      </c>
      <c r="E610" s="6" t="s">
        <v>12</v>
      </c>
      <c r="F610" s="6" t="s">
        <v>13</v>
      </c>
      <c r="G610" s="6" t="s">
        <v>12</v>
      </c>
      <c r="H610" s="6" t="s">
        <v>13</v>
      </c>
      <c r="I610" s="21" t="s">
        <v>11</v>
      </c>
      <c r="J610" t="str">
        <f>VLOOKUP(A610,All!A:A,1,FALSE)</f>
        <v>Quincy (Sr.)</v>
      </c>
    </row>
    <row r="611" spans="1:10" ht="15.75" thickBot="1" x14ac:dyDescent="0.3">
      <c r="A611" s="18" t="s">
        <v>727</v>
      </c>
      <c r="B611" s="3">
        <v>96</v>
      </c>
      <c r="C611" s="4"/>
      <c r="D611" s="4"/>
      <c r="E611" s="9" t="s">
        <v>9</v>
      </c>
      <c r="F611" s="9" t="s">
        <v>9</v>
      </c>
      <c r="G611" s="4"/>
      <c r="H611" s="4"/>
      <c r="I611" s="22" t="s">
        <v>9</v>
      </c>
      <c r="J611" t="str">
        <f>VLOOKUP(A611,All!A:A,1,FALSE)</f>
        <v>Ramsey</v>
      </c>
    </row>
    <row r="612" spans="1:10" ht="15.75" thickBot="1" x14ac:dyDescent="0.3">
      <c r="A612" s="20" t="s">
        <v>728</v>
      </c>
      <c r="B612" s="7">
        <v>880</v>
      </c>
      <c r="C612" s="6" t="s">
        <v>13</v>
      </c>
      <c r="D612" s="6" t="s">
        <v>13</v>
      </c>
      <c r="E612" s="9" t="s">
        <v>13</v>
      </c>
      <c r="F612" s="9" t="s">
        <v>13</v>
      </c>
      <c r="G612" s="9" t="s">
        <v>13</v>
      </c>
      <c r="H612" s="6"/>
      <c r="I612" s="21" t="s">
        <v>12</v>
      </c>
      <c r="J612" t="str">
        <f>VLOOKUP(A612,All!A:A,1,FALSE)</f>
        <v>Rantoul</v>
      </c>
    </row>
    <row r="613" spans="1:10" ht="15.75" thickBot="1" x14ac:dyDescent="0.3">
      <c r="A613" s="18" t="s">
        <v>729</v>
      </c>
      <c r="B613" s="3">
        <v>155</v>
      </c>
      <c r="C613" s="4"/>
      <c r="D613" s="4"/>
      <c r="E613" s="9" t="s">
        <v>9</v>
      </c>
      <c r="F613" s="9" t="s">
        <v>9</v>
      </c>
      <c r="G613" s="9" t="s">
        <v>9</v>
      </c>
      <c r="H613" s="4"/>
      <c r="I613" s="22" t="s">
        <v>9</v>
      </c>
      <c r="J613" t="str">
        <f>VLOOKUP(A613,All!A:A,1,FALSE)</f>
        <v>Raymond (Lincolnwood)</v>
      </c>
    </row>
    <row r="614" spans="1:10" ht="15.75" thickBot="1" x14ac:dyDescent="0.3">
      <c r="A614" s="20" t="s">
        <v>730</v>
      </c>
      <c r="B614" s="7">
        <v>365</v>
      </c>
      <c r="C614" s="6" t="s">
        <v>9</v>
      </c>
      <c r="D614" s="6" t="s">
        <v>9</v>
      </c>
      <c r="E614" s="6" t="s">
        <v>9</v>
      </c>
      <c r="F614" s="6" t="s">
        <v>9</v>
      </c>
      <c r="G614" s="6"/>
      <c r="H614" s="6"/>
      <c r="I614" s="21" t="s">
        <v>13</v>
      </c>
      <c r="J614" t="str">
        <f>VLOOKUP(A614,All!A:A,1,FALSE)</f>
        <v>Red Bud</v>
      </c>
    </row>
    <row r="615" spans="1:10" ht="15.75" thickBot="1" x14ac:dyDescent="0.3">
      <c r="A615" s="18" t="s">
        <v>731</v>
      </c>
      <c r="B615" s="3">
        <v>515</v>
      </c>
      <c r="C615" s="4" t="s">
        <v>9</v>
      </c>
      <c r="D615" s="4" t="s">
        <v>9</v>
      </c>
      <c r="E615" s="4" t="s">
        <v>13</v>
      </c>
      <c r="F615" s="4" t="s">
        <v>9</v>
      </c>
      <c r="G615" s="4" t="s">
        <v>9</v>
      </c>
      <c r="H615" s="4"/>
      <c r="I615" s="19" t="s">
        <v>13</v>
      </c>
      <c r="J615" t="str">
        <f>VLOOKUP(A615,All!A:A,1,FALSE)</f>
        <v>Richmond (R.-Burton)</v>
      </c>
    </row>
    <row r="616" spans="1:10" ht="15.75" thickBot="1" x14ac:dyDescent="0.3">
      <c r="A616" s="20" t="s">
        <v>732</v>
      </c>
      <c r="B616" s="5">
        <v>2286</v>
      </c>
      <c r="C616" s="6" t="s">
        <v>12</v>
      </c>
      <c r="D616" s="6" t="s">
        <v>12</v>
      </c>
      <c r="E616" s="6" t="s">
        <v>12</v>
      </c>
      <c r="F616" s="6" t="s">
        <v>13</v>
      </c>
      <c r="G616" s="6" t="s">
        <v>12</v>
      </c>
      <c r="H616" s="6" t="s">
        <v>13</v>
      </c>
      <c r="I616" s="21" t="s">
        <v>11</v>
      </c>
      <c r="J616" t="str">
        <f>VLOOKUP(A616,All!A:A,1,FALSE)</f>
        <v>Richton Park (Rich Township)</v>
      </c>
    </row>
    <row r="617" spans="1:10" ht="15.75" thickBot="1" x14ac:dyDescent="0.3">
      <c r="A617" s="18" t="s">
        <v>733</v>
      </c>
      <c r="B617" s="3" t="s">
        <v>734</v>
      </c>
      <c r="C617" s="10" t="s">
        <v>13</v>
      </c>
      <c r="D617" s="10" t="s">
        <v>13</v>
      </c>
      <c r="E617" s="10" t="s">
        <v>13</v>
      </c>
      <c r="F617" s="10" t="s">
        <v>13</v>
      </c>
      <c r="G617" s="4"/>
      <c r="H617" s="10" t="s">
        <v>9</v>
      </c>
      <c r="I617" s="23" t="s">
        <v>12</v>
      </c>
      <c r="J617" t="str">
        <f>VLOOKUP(A617,All!A:A,1,FALSE)</f>
        <v>Richton Park (Southland College Prep Charter)</v>
      </c>
    </row>
    <row r="618" spans="1:10" ht="15.75" thickBot="1" x14ac:dyDescent="0.3">
      <c r="A618" s="20" t="s">
        <v>735</v>
      </c>
      <c r="B618" s="7" t="s">
        <v>736</v>
      </c>
      <c r="C618" s="6"/>
      <c r="D618" s="10" t="s">
        <v>13</v>
      </c>
      <c r="E618" s="6"/>
      <c r="F618" s="11" t="s">
        <v>9</v>
      </c>
      <c r="G618" s="6"/>
      <c r="H618" s="10" t="s">
        <v>9</v>
      </c>
      <c r="I618" s="24" t="s">
        <v>13</v>
      </c>
      <c r="J618" t="str">
        <f>VLOOKUP(A618,All!A:A,1,FALSE)</f>
        <v>River Forest (Trinity)</v>
      </c>
    </row>
    <row r="619" spans="1:10" ht="15.75" thickBot="1" x14ac:dyDescent="0.3">
      <c r="A619" s="18" t="s">
        <v>737</v>
      </c>
      <c r="B619" s="8">
        <v>1639</v>
      </c>
      <c r="C619" s="4" t="s">
        <v>12</v>
      </c>
      <c r="D619" s="4" t="s">
        <v>12</v>
      </c>
      <c r="E619" s="4" t="s">
        <v>12</v>
      </c>
      <c r="F619" s="4" t="s">
        <v>13</v>
      </c>
      <c r="G619" s="4" t="s">
        <v>13</v>
      </c>
      <c r="H619" s="4" t="s">
        <v>13</v>
      </c>
      <c r="I619" s="19" t="s">
        <v>11</v>
      </c>
      <c r="J619" t="str">
        <f>VLOOKUP(A619,All!A:A,1,FALSE)</f>
        <v>Riverside (R.-Brookfield)</v>
      </c>
    </row>
    <row r="620" spans="1:10" ht="15.75" thickBot="1" x14ac:dyDescent="0.3">
      <c r="A620" s="20" t="s">
        <v>738</v>
      </c>
      <c r="B620" s="7">
        <v>343</v>
      </c>
      <c r="C620" s="6"/>
      <c r="D620" s="6"/>
      <c r="E620" s="6"/>
      <c r="F620" s="6"/>
      <c r="G620" s="9" t="s">
        <v>9</v>
      </c>
      <c r="H620" s="6"/>
      <c r="I620" s="21" t="s">
        <v>13</v>
      </c>
      <c r="J620" t="str">
        <f>VLOOKUP(A620,All!A:A,1,FALSE)</f>
        <v>Riverton</v>
      </c>
    </row>
    <row r="621" spans="1:10" ht="15.75" thickBot="1" x14ac:dyDescent="0.3">
      <c r="A621" s="18" t="s">
        <v>739</v>
      </c>
      <c r="B621" s="3">
        <v>142</v>
      </c>
      <c r="C621" s="4"/>
      <c r="D621" s="4"/>
      <c r="E621" s="4" t="s">
        <v>9</v>
      </c>
      <c r="F621" s="4"/>
      <c r="G621" s="9" t="s">
        <v>9</v>
      </c>
      <c r="H621" s="4"/>
      <c r="I621" s="19" t="s">
        <v>9</v>
      </c>
      <c r="J621" t="str">
        <f>VLOOKUP(A621,All!A:A,1,FALSE)</f>
        <v>Roanoke (R.-Benson)</v>
      </c>
    </row>
    <row r="622" spans="1:10" ht="15.75" thickBot="1" x14ac:dyDescent="0.3">
      <c r="A622" s="20" t="s">
        <v>740</v>
      </c>
      <c r="B622" s="7">
        <v>439</v>
      </c>
      <c r="C622" s="6" t="s">
        <v>9</v>
      </c>
      <c r="D622" s="6" t="s">
        <v>9</v>
      </c>
      <c r="E622" s="6" t="s">
        <v>9</v>
      </c>
      <c r="F622" s="6" t="s">
        <v>9</v>
      </c>
      <c r="G622" s="6" t="s">
        <v>9</v>
      </c>
      <c r="H622" s="6" t="s">
        <v>9</v>
      </c>
      <c r="I622" s="21" t="s">
        <v>13</v>
      </c>
      <c r="J622" t="str">
        <f>VLOOKUP(A622,All!A:A,1,FALSE)</f>
        <v>Robinson</v>
      </c>
    </row>
    <row r="623" spans="1:10" ht="15.75" thickBot="1" x14ac:dyDescent="0.3">
      <c r="A623" s="18" t="s">
        <v>741</v>
      </c>
      <c r="B623" s="3">
        <v>824</v>
      </c>
      <c r="C623" s="4" t="s">
        <v>13</v>
      </c>
      <c r="D623" s="4" t="s">
        <v>13</v>
      </c>
      <c r="E623" s="4" t="s">
        <v>13</v>
      </c>
      <c r="F623" s="4"/>
      <c r="G623" s="4" t="s">
        <v>13</v>
      </c>
      <c r="H623" s="9" t="s">
        <v>9</v>
      </c>
      <c r="I623" s="19" t="s">
        <v>12</v>
      </c>
      <c r="J623" t="str">
        <f>VLOOKUP(A623,All!A:A,1,FALSE)</f>
        <v>Rochelle</v>
      </c>
    </row>
    <row r="624" spans="1:10" ht="15.75" thickBot="1" x14ac:dyDescent="0.3">
      <c r="A624" s="20" t="s">
        <v>742</v>
      </c>
      <c r="B624" s="7">
        <v>682</v>
      </c>
      <c r="C624" s="6" t="s">
        <v>13</v>
      </c>
      <c r="D624" s="6" t="s">
        <v>13</v>
      </c>
      <c r="E624" s="6" t="s">
        <v>13</v>
      </c>
      <c r="F624" s="6" t="s">
        <v>9</v>
      </c>
      <c r="G624" s="6" t="s">
        <v>9</v>
      </c>
      <c r="H624" s="6" t="s">
        <v>9</v>
      </c>
      <c r="I624" s="21" t="s">
        <v>13</v>
      </c>
      <c r="J624" t="str">
        <f>VLOOKUP(A624,All!A:A,1,FALSE)</f>
        <v>Rochester</v>
      </c>
    </row>
    <row r="625" spans="1:10" ht="15.75" thickBot="1" x14ac:dyDescent="0.3">
      <c r="A625" s="25" t="s">
        <v>0</v>
      </c>
      <c r="B625" s="1" t="s">
        <v>1</v>
      </c>
      <c r="C625" s="2" t="s">
        <v>971</v>
      </c>
      <c r="D625" s="2" t="s">
        <v>972</v>
      </c>
      <c r="E625" s="2" t="s">
        <v>973</v>
      </c>
      <c r="F625" s="2" t="s">
        <v>974</v>
      </c>
      <c r="G625" s="2" t="s">
        <v>975</v>
      </c>
      <c r="H625" s="2" t="s">
        <v>976</v>
      </c>
      <c r="I625" s="26" t="s">
        <v>977</v>
      </c>
      <c r="J625" t="str">
        <f>VLOOKUP(A625,All!A:A,1,FALSE)</f>
        <v>School</v>
      </c>
    </row>
    <row r="626" spans="1:10" ht="15.75" thickBot="1" x14ac:dyDescent="0.3">
      <c r="A626" s="18" t="s">
        <v>743</v>
      </c>
      <c r="B626" s="3">
        <v>500</v>
      </c>
      <c r="C626" s="4" t="s">
        <v>9</v>
      </c>
      <c r="D626" s="4" t="s">
        <v>9</v>
      </c>
      <c r="E626" s="4" t="s">
        <v>9</v>
      </c>
      <c r="F626" s="4"/>
      <c r="G626" s="4"/>
      <c r="H626" s="4"/>
      <c r="I626" s="19" t="s">
        <v>13</v>
      </c>
      <c r="J626" t="str">
        <f>VLOOKUP(A626,All!A:A,1,FALSE)</f>
        <v>Rock Falls</v>
      </c>
    </row>
    <row r="627" spans="1:10" ht="15.75" thickBot="1" x14ac:dyDescent="0.3">
      <c r="A627" s="20" t="s">
        <v>744</v>
      </c>
      <c r="B627" s="7" t="s">
        <v>745</v>
      </c>
      <c r="C627" s="10" t="s">
        <v>9</v>
      </c>
      <c r="D627" s="10" t="s">
        <v>9</v>
      </c>
      <c r="E627" s="10" t="s">
        <v>9</v>
      </c>
      <c r="F627" s="6"/>
      <c r="G627" s="10" t="s">
        <v>9</v>
      </c>
      <c r="H627" s="10" t="s">
        <v>9</v>
      </c>
      <c r="I627" s="24" t="s">
        <v>9</v>
      </c>
      <c r="J627" t="str">
        <f>VLOOKUP(A627,All!A:A,1,FALSE)</f>
        <v>Rock Island (Alleman)</v>
      </c>
    </row>
    <row r="628" spans="1:10" ht="15.75" thickBot="1" x14ac:dyDescent="0.3">
      <c r="A628" s="18" t="s">
        <v>746</v>
      </c>
      <c r="B628" s="8">
        <v>1700</v>
      </c>
      <c r="C628" s="4" t="s">
        <v>12</v>
      </c>
      <c r="D628" s="4" t="s">
        <v>12</v>
      </c>
      <c r="E628" s="4" t="s">
        <v>12</v>
      </c>
      <c r="F628" s="4" t="s">
        <v>13</v>
      </c>
      <c r="G628" s="4" t="s">
        <v>13</v>
      </c>
      <c r="H628" s="4" t="s">
        <v>13</v>
      </c>
      <c r="I628" s="19" t="s">
        <v>11</v>
      </c>
      <c r="J628" t="str">
        <f>VLOOKUP(A628,All!A:A,1,FALSE)</f>
        <v>Rock Island (H.S.)</v>
      </c>
    </row>
    <row r="629" spans="1:10" ht="15.75" thickBot="1" x14ac:dyDescent="0.3">
      <c r="A629" s="20" t="s">
        <v>747</v>
      </c>
      <c r="B629" s="5">
        <v>1747</v>
      </c>
      <c r="C629" s="6" t="s">
        <v>12</v>
      </c>
      <c r="D629" s="6" t="s">
        <v>12</v>
      </c>
      <c r="E629" s="6" t="s">
        <v>12</v>
      </c>
      <c r="F629" s="6"/>
      <c r="G629" s="6" t="s">
        <v>12</v>
      </c>
      <c r="H629" s="6" t="s">
        <v>13</v>
      </c>
      <c r="I629" s="21" t="s">
        <v>11</v>
      </c>
      <c r="J629" t="str">
        <f>VLOOKUP(A629,All!A:A,1,FALSE)</f>
        <v>Rockford (Auburn)</v>
      </c>
    </row>
    <row r="630" spans="1:10" ht="15.75" thickBot="1" x14ac:dyDescent="0.3">
      <c r="A630" s="18" t="s">
        <v>748</v>
      </c>
      <c r="B630" s="3" t="s">
        <v>749</v>
      </c>
      <c r="C630" s="11" t="s">
        <v>9</v>
      </c>
      <c r="D630" s="10" t="s">
        <v>13</v>
      </c>
      <c r="E630" s="10" t="s">
        <v>13</v>
      </c>
      <c r="F630" s="10" t="s">
        <v>13</v>
      </c>
      <c r="G630" s="10" t="s">
        <v>13</v>
      </c>
      <c r="H630" s="10" t="s">
        <v>9</v>
      </c>
      <c r="I630" s="24" t="s">
        <v>13</v>
      </c>
      <c r="J630" t="str">
        <f>VLOOKUP(A630,All!A:A,1,FALSE)</f>
        <v>Rockford (Boylan Catholic)</v>
      </c>
    </row>
    <row r="631" spans="1:10" ht="15.75" thickBot="1" x14ac:dyDescent="0.3">
      <c r="A631" s="20" t="s">
        <v>961</v>
      </c>
      <c r="B631" s="7" t="s">
        <v>962</v>
      </c>
      <c r="C631" s="10" t="s">
        <v>9</v>
      </c>
      <c r="D631" s="10" t="s">
        <v>9</v>
      </c>
      <c r="E631" s="9" t="s">
        <v>9</v>
      </c>
      <c r="F631" s="6"/>
      <c r="G631" s="6"/>
      <c r="H631" s="6"/>
      <c r="I631" s="22" t="s">
        <v>9</v>
      </c>
      <c r="J631" t="str">
        <f>VLOOKUP(A631,All!A:A,1,FALSE)</f>
        <v>Rockford (Christian Life)</v>
      </c>
    </row>
    <row r="632" spans="1:10" ht="15.75" thickBot="1" x14ac:dyDescent="0.3">
      <c r="A632" s="18" t="s">
        <v>750</v>
      </c>
      <c r="B632" s="8">
        <v>1597</v>
      </c>
      <c r="C632" s="4" t="s">
        <v>12</v>
      </c>
      <c r="D632" s="4" t="s">
        <v>12</v>
      </c>
      <c r="E632" s="4" t="s">
        <v>12</v>
      </c>
      <c r="F632" s="4"/>
      <c r="G632" s="4" t="s">
        <v>13</v>
      </c>
      <c r="H632" s="4" t="s">
        <v>13</v>
      </c>
      <c r="I632" s="19" t="s">
        <v>12</v>
      </c>
      <c r="J632" t="str">
        <f>VLOOKUP(A632,All!A:A,1,FALSE)</f>
        <v>Rockford (East)</v>
      </c>
    </row>
    <row r="633" spans="1:10" ht="15.75" thickBot="1" x14ac:dyDescent="0.3">
      <c r="A633" s="20" t="s">
        <v>751</v>
      </c>
      <c r="B633" s="5">
        <v>2026</v>
      </c>
      <c r="C633" s="6" t="s">
        <v>12</v>
      </c>
      <c r="D633" s="6" t="s">
        <v>12</v>
      </c>
      <c r="E633" s="6" t="s">
        <v>12</v>
      </c>
      <c r="F633" s="9" t="s">
        <v>13</v>
      </c>
      <c r="G633" s="6" t="s">
        <v>12</v>
      </c>
      <c r="H633" s="6" t="s">
        <v>13</v>
      </c>
      <c r="I633" s="21" t="s">
        <v>11</v>
      </c>
      <c r="J633" t="str">
        <f>VLOOKUP(A633,All!A:A,1,FALSE)</f>
        <v>Rockford (Guilford)</v>
      </c>
    </row>
    <row r="634" spans="1:10" ht="15.75" thickBot="1" x14ac:dyDescent="0.3">
      <c r="A634" s="18" t="s">
        <v>752</v>
      </c>
      <c r="B634" s="8">
        <v>2020</v>
      </c>
      <c r="C634" s="4" t="s">
        <v>12</v>
      </c>
      <c r="D634" s="4" t="s">
        <v>12</v>
      </c>
      <c r="E634" s="4" t="s">
        <v>12</v>
      </c>
      <c r="F634" s="4"/>
      <c r="G634" s="4" t="s">
        <v>12</v>
      </c>
      <c r="H634" s="4" t="s">
        <v>13</v>
      </c>
      <c r="I634" s="19" t="s">
        <v>11</v>
      </c>
      <c r="J634" t="str">
        <f>VLOOKUP(A634,All!A:A,1,FALSE)</f>
        <v>Rockford (Jefferson)</v>
      </c>
    </row>
    <row r="635" spans="1:10" ht="15.75" thickBot="1" x14ac:dyDescent="0.3">
      <c r="A635" s="20" t="s">
        <v>753</v>
      </c>
      <c r="B635" s="7" t="s">
        <v>754</v>
      </c>
      <c r="C635" s="10" t="s">
        <v>9</v>
      </c>
      <c r="D635" s="10" t="s">
        <v>9</v>
      </c>
      <c r="E635" s="10" t="s">
        <v>9</v>
      </c>
      <c r="F635" s="10" t="s">
        <v>9</v>
      </c>
      <c r="G635" s="10" t="s">
        <v>9</v>
      </c>
      <c r="H635" s="10" t="s">
        <v>9</v>
      </c>
      <c r="I635" s="23" t="s">
        <v>13</v>
      </c>
      <c r="J635" t="str">
        <f>VLOOKUP(A635,All!A:A,1,FALSE)</f>
        <v>Rockford (Lutheran)</v>
      </c>
    </row>
    <row r="636" spans="1:10" ht="15.75" thickBot="1" x14ac:dyDescent="0.3">
      <c r="A636" s="18" t="s">
        <v>965</v>
      </c>
      <c r="B636" s="3" t="s">
        <v>966</v>
      </c>
      <c r="C636" s="10" t="s">
        <v>9</v>
      </c>
      <c r="D636" s="10" t="s">
        <v>9</v>
      </c>
      <c r="E636" s="4"/>
      <c r="F636" s="4"/>
      <c r="G636" s="4"/>
      <c r="H636" s="4"/>
      <c r="I636" s="19"/>
      <c r="J636" t="str">
        <f>VLOOKUP(A636,All!A:A,1,FALSE)</f>
        <v>Rockford (Our Lady of the Sacred Heart)</v>
      </c>
    </row>
    <row r="637" spans="1:10" ht="15.75" thickBot="1" x14ac:dyDescent="0.3">
      <c r="A637" s="20" t="s">
        <v>755</v>
      </c>
      <c r="B637" s="7" t="s">
        <v>756</v>
      </c>
      <c r="C637" s="10" t="s">
        <v>9</v>
      </c>
      <c r="D637" s="10" t="s">
        <v>9</v>
      </c>
      <c r="E637" s="10" t="s">
        <v>9</v>
      </c>
      <c r="F637" s="10" t="s">
        <v>9</v>
      </c>
      <c r="G637" s="10" t="s">
        <v>9</v>
      </c>
      <c r="H637" s="10" t="s">
        <v>9</v>
      </c>
      <c r="I637" s="23" t="s">
        <v>13</v>
      </c>
      <c r="J637" t="str">
        <f>VLOOKUP(A637,All!A:A,1,FALSE)</f>
        <v>Rockford (R. Christian)</v>
      </c>
    </row>
    <row r="638" spans="1:10" ht="15.75" thickBot="1" x14ac:dyDescent="0.3">
      <c r="A638" s="18" t="s">
        <v>757</v>
      </c>
      <c r="B638" s="8">
        <v>1786</v>
      </c>
      <c r="C638" s="4" t="s">
        <v>12</v>
      </c>
      <c r="D638" s="4" t="s">
        <v>12</v>
      </c>
      <c r="E638" s="4" t="s">
        <v>12</v>
      </c>
      <c r="F638" s="4" t="s">
        <v>13</v>
      </c>
      <c r="G638" s="4" t="s">
        <v>12</v>
      </c>
      <c r="H638" s="4" t="s">
        <v>13</v>
      </c>
      <c r="I638" s="19" t="s">
        <v>11</v>
      </c>
      <c r="J638" t="str">
        <f>VLOOKUP(A638,All!A:A,1,FALSE)</f>
        <v>Rockton (Hononegah)</v>
      </c>
    </row>
    <row r="639" spans="1:10" ht="15.75" thickBot="1" x14ac:dyDescent="0.3">
      <c r="A639" s="20" t="s">
        <v>758</v>
      </c>
      <c r="B639" s="5">
        <v>1793</v>
      </c>
      <c r="C639" s="6" t="s">
        <v>12</v>
      </c>
      <c r="D639" s="6" t="s">
        <v>12</v>
      </c>
      <c r="E639" s="6" t="s">
        <v>12</v>
      </c>
      <c r="F639" s="6" t="s">
        <v>13</v>
      </c>
      <c r="G639" s="6" t="s">
        <v>12</v>
      </c>
      <c r="H639" s="6" t="s">
        <v>13</v>
      </c>
      <c r="I639" s="21" t="s">
        <v>11</v>
      </c>
      <c r="J639" t="str">
        <f>VLOOKUP(A639,All!A:A,1,FALSE)</f>
        <v>Rolling Meadows</v>
      </c>
    </row>
    <row r="640" spans="1:10" ht="15.75" thickBot="1" x14ac:dyDescent="0.3">
      <c r="A640" s="18" t="s">
        <v>759</v>
      </c>
      <c r="B640" s="8">
        <v>1798</v>
      </c>
      <c r="C640" s="4" t="s">
        <v>12</v>
      </c>
      <c r="D640" s="4" t="s">
        <v>12</v>
      </c>
      <c r="E640" s="4" t="s">
        <v>12</v>
      </c>
      <c r="F640" s="4" t="s">
        <v>13</v>
      </c>
      <c r="G640" s="4" t="s">
        <v>12</v>
      </c>
      <c r="H640" s="4" t="s">
        <v>13</v>
      </c>
      <c r="I640" s="19" t="s">
        <v>11</v>
      </c>
      <c r="J640" t="str">
        <f>VLOOKUP(A640,All!A:A,1,FALSE)</f>
        <v>Romeoville (H.S.)</v>
      </c>
    </row>
    <row r="641" spans="1:10" ht="15.75" thickBot="1" x14ac:dyDescent="0.3">
      <c r="A641" s="20" t="s">
        <v>760</v>
      </c>
      <c r="B641" s="5">
        <v>2484</v>
      </c>
      <c r="C641" s="6" t="s">
        <v>12</v>
      </c>
      <c r="D641" s="6" t="s">
        <v>12</v>
      </c>
      <c r="E641" s="6" t="s">
        <v>12</v>
      </c>
      <c r="F641" s="6" t="s">
        <v>13</v>
      </c>
      <c r="G641" s="6" t="s">
        <v>12</v>
      </c>
      <c r="H641" s="6" t="s">
        <v>13</v>
      </c>
      <c r="I641" s="21" t="s">
        <v>11</v>
      </c>
      <c r="J641" t="str">
        <f>VLOOKUP(A641,All!A:A,1,FALSE)</f>
        <v>Roselle (Lake Park)</v>
      </c>
    </row>
    <row r="642" spans="1:10" ht="15.75" thickBot="1" x14ac:dyDescent="0.3">
      <c r="A642" s="18" t="s">
        <v>761</v>
      </c>
      <c r="B642" s="8">
        <v>2112</v>
      </c>
      <c r="C642" s="4" t="s">
        <v>12</v>
      </c>
      <c r="D642" s="4" t="s">
        <v>12</v>
      </c>
      <c r="E642" s="4"/>
      <c r="F642" s="4"/>
      <c r="G642" s="4" t="s">
        <v>12</v>
      </c>
      <c r="H642" s="4" t="s">
        <v>13</v>
      </c>
      <c r="I642" s="19" t="s">
        <v>11</v>
      </c>
      <c r="J642" t="str">
        <f>VLOOKUP(A642,All!A:A,1,FALSE)</f>
        <v>Round Lake</v>
      </c>
    </row>
    <row r="643" spans="1:10" ht="15.75" thickBot="1" x14ac:dyDescent="0.3">
      <c r="A643" s="20" t="s">
        <v>762</v>
      </c>
      <c r="B643" s="7">
        <v>492</v>
      </c>
      <c r="C643" s="6" t="s">
        <v>9</v>
      </c>
      <c r="D643" s="6" t="s">
        <v>9</v>
      </c>
      <c r="E643" s="6" t="s">
        <v>9</v>
      </c>
      <c r="F643" s="6" t="s">
        <v>9</v>
      </c>
      <c r="G643" s="6" t="s">
        <v>9</v>
      </c>
      <c r="H643" s="6" t="s">
        <v>9</v>
      </c>
      <c r="I643" s="21" t="s">
        <v>13</v>
      </c>
      <c r="J643" t="str">
        <f>VLOOKUP(A643,All!A:A,1,FALSE)</f>
        <v>Roxana</v>
      </c>
    </row>
    <row r="644" spans="1:10" ht="15.75" thickBot="1" x14ac:dyDescent="0.3">
      <c r="A644" s="18" t="s">
        <v>763</v>
      </c>
      <c r="B644" s="3">
        <v>288</v>
      </c>
      <c r="C644" s="4" t="s">
        <v>9</v>
      </c>
      <c r="D644" s="4" t="s">
        <v>9</v>
      </c>
      <c r="E644" s="4" t="s">
        <v>9</v>
      </c>
      <c r="F644" s="4" t="s">
        <v>9</v>
      </c>
      <c r="G644" s="4"/>
      <c r="H644" s="4"/>
      <c r="I644" s="19" t="s">
        <v>9</v>
      </c>
      <c r="J644" t="str">
        <f>VLOOKUP(A644,All!A:A,1,FALSE)</f>
        <v>Rushville (R.-Industry)</v>
      </c>
    </row>
    <row r="645" spans="1:10" ht="15.75" thickBot="1" x14ac:dyDescent="0.3">
      <c r="A645" s="20" t="s">
        <v>764</v>
      </c>
      <c r="B645" s="7">
        <v>691</v>
      </c>
      <c r="C645" s="6" t="s">
        <v>13</v>
      </c>
      <c r="D645" s="6" t="s">
        <v>13</v>
      </c>
      <c r="E645" s="6" t="s">
        <v>13</v>
      </c>
      <c r="F645" s="6" t="s">
        <v>9</v>
      </c>
      <c r="G645" s="6" t="s">
        <v>9</v>
      </c>
      <c r="H645" s="6" t="s">
        <v>9</v>
      </c>
      <c r="I645" s="21" t="s">
        <v>13</v>
      </c>
      <c r="J645" t="str">
        <f>VLOOKUP(A645,All!A:A,1,FALSE)</f>
        <v>Salem</v>
      </c>
    </row>
    <row r="646" spans="1:10" ht="15.75" thickBot="1" x14ac:dyDescent="0.3">
      <c r="A646" s="18" t="s">
        <v>967</v>
      </c>
      <c r="B646" s="3">
        <v>126</v>
      </c>
      <c r="C646" s="4"/>
      <c r="D646" s="4"/>
      <c r="E646" s="9" t="s">
        <v>9</v>
      </c>
      <c r="F646" s="9" t="s">
        <v>9</v>
      </c>
      <c r="G646" s="4"/>
      <c r="H646" s="4"/>
      <c r="I646" s="19" t="s">
        <v>9</v>
      </c>
      <c r="J646" t="str">
        <f>VLOOKUP(A646,All!A:A,1,FALSE)</f>
        <v>Sandoval</v>
      </c>
    </row>
    <row r="647" spans="1:10" ht="15.75" thickBot="1" x14ac:dyDescent="0.3">
      <c r="A647" s="20" t="s">
        <v>765</v>
      </c>
      <c r="B647" s="7">
        <v>544</v>
      </c>
      <c r="C647" s="6" t="s">
        <v>9</v>
      </c>
      <c r="D647" s="6" t="s">
        <v>9</v>
      </c>
      <c r="E647" s="6" t="s">
        <v>13</v>
      </c>
      <c r="F647" s="6" t="s">
        <v>9</v>
      </c>
      <c r="G647" s="6" t="s">
        <v>9</v>
      </c>
      <c r="H647" s="6"/>
      <c r="I647" s="21" t="s">
        <v>13</v>
      </c>
      <c r="J647" t="str">
        <f>VLOOKUP(A647,All!A:A,1,FALSE)</f>
        <v>Sandwich</v>
      </c>
    </row>
    <row r="648" spans="1:10" ht="15.75" thickBot="1" x14ac:dyDescent="0.3">
      <c r="A648" s="18" t="s">
        <v>766</v>
      </c>
      <c r="B648" s="3">
        <v>68</v>
      </c>
      <c r="C648" s="4"/>
      <c r="D648" s="4"/>
      <c r="E648" s="4"/>
      <c r="F648" s="4"/>
      <c r="G648" s="4"/>
      <c r="H648" s="4"/>
      <c r="I648" s="19" t="s">
        <v>9</v>
      </c>
      <c r="J648" t="str">
        <f>VLOOKUP(A648,All!A:A,1,FALSE)</f>
        <v>Scales Mound</v>
      </c>
    </row>
    <row r="649" spans="1:10" ht="15.75" thickBot="1" x14ac:dyDescent="0.3">
      <c r="A649" s="20" t="s">
        <v>767</v>
      </c>
      <c r="B649" s="5">
        <v>2324</v>
      </c>
      <c r="C649" s="6" t="s">
        <v>12</v>
      </c>
      <c r="D649" s="6" t="s">
        <v>12</v>
      </c>
      <c r="E649" s="6" t="s">
        <v>12</v>
      </c>
      <c r="F649" s="6" t="s">
        <v>13</v>
      </c>
      <c r="G649" s="6" t="s">
        <v>12</v>
      </c>
      <c r="H649" s="6" t="s">
        <v>13</v>
      </c>
      <c r="I649" s="21" t="s">
        <v>11</v>
      </c>
      <c r="J649" t="str">
        <f>VLOOKUP(A649,All!A:A,1,FALSE)</f>
        <v>Schaumburg (H.S.)</v>
      </c>
    </row>
    <row r="650" spans="1:10" ht="15.75" thickBot="1" x14ac:dyDescent="0.3">
      <c r="A650" s="18" t="s">
        <v>768</v>
      </c>
      <c r="B650" s="3" t="s">
        <v>74</v>
      </c>
      <c r="C650" s="10" t="s">
        <v>9</v>
      </c>
      <c r="D650" s="4"/>
      <c r="E650" s="10" t="s">
        <v>9</v>
      </c>
      <c r="F650" s="4"/>
      <c r="G650" s="10" t="s">
        <v>9</v>
      </c>
      <c r="H650" s="4"/>
      <c r="I650" s="23" t="s">
        <v>9</v>
      </c>
      <c r="J650" t="str">
        <f>VLOOKUP(A650,All!A:A,1,FALSE)</f>
        <v>Schaumburg (S. Christian)</v>
      </c>
    </row>
    <row r="651" spans="1:10" ht="15.75" thickBot="1" x14ac:dyDescent="0.3">
      <c r="A651" s="25" t="s">
        <v>0</v>
      </c>
      <c r="B651" s="1" t="s">
        <v>1</v>
      </c>
      <c r="C651" s="2" t="s">
        <v>971</v>
      </c>
      <c r="D651" s="2" t="s">
        <v>972</v>
      </c>
      <c r="E651" s="2" t="s">
        <v>973</v>
      </c>
      <c r="F651" s="2" t="s">
        <v>974</v>
      </c>
      <c r="G651" s="2" t="s">
        <v>975</v>
      </c>
      <c r="H651" s="2" t="s">
        <v>976</v>
      </c>
      <c r="I651" s="26" t="s">
        <v>977</v>
      </c>
      <c r="J651" t="str">
        <f>VLOOKUP(A651,All!A:A,1,FALSE)</f>
        <v>School</v>
      </c>
    </row>
    <row r="652" spans="1:10" ht="15.75" thickBot="1" x14ac:dyDescent="0.3">
      <c r="A652" s="20" t="s">
        <v>769</v>
      </c>
      <c r="B652" s="7">
        <v>372</v>
      </c>
      <c r="C652" s="6" t="s">
        <v>9</v>
      </c>
      <c r="D652" s="6" t="s">
        <v>9</v>
      </c>
      <c r="E652" s="6" t="s">
        <v>9</v>
      </c>
      <c r="F652" s="6" t="s">
        <v>9</v>
      </c>
      <c r="G652" s="6"/>
      <c r="H652" s="6"/>
      <c r="I652" s="21" t="s">
        <v>13</v>
      </c>
      <c r="J652" t="str">
        <f>VLOOKUP(A652,All!A:A,1,FALSE)</f>
        <v>Seneca</v>
      </c>
    </row>
    <row r="653" spans="1:10" ht="15.75" thickBot="1" x14ac:dyDescent="0.3">
      <c r="A653" s="18" t="s">
        <v>770</v>
      </c>
      <c r="B653" s="3">
        <v>156</v>
      </c>
      <c r="C653" s="4"/>
      <c r="D653" s="4"/>
      <c r="E653" s="4" t="s">
        <v>9</v>
      </c>
      <c r="F653" s="4"/>
      <c r="G653" s="4" t="s">
        <v>9</v>
      </c>
      <c r="H653" s="4"/>
      <c r="I653" s="19" t="s">
        <v>9</v>
      </c>
      <c r="J653" t="str">
        <f>VLOOKUP(A653,All!A:A,1,FALSE)</f>
        <v>Serena</v>
      </c>
    </row>
    <row r="654" spans="1:10" ht="15.75" thickBot="1" x14ac:dyDescent="0.3">
      <c r="A654" s="20" t="s">
        <v>771</v>
      </c>
      <c r="B654" s="7">
        <v>171</v>
      </c>
      <c r="C654" s="6"/>
      <c r="D654" s="6"/>
      <c r="E654" s="6"/>
      <c r="F654" s="6"/>
      <c r="G654" s="6"/>
      <c r="H654" s="6"/>
      <c r="I654" s="22" t="s">
        <v>9</v>
      </c>
      <c r="J654" t="str">
        <f>VLOOKUP(A654,All!A:A,1,FALSE)</f>
        <v>Sesser (S.-Valier)</v>
      </c>
    </row>
    <row r="655" spans="1:10" ht="15.75" thickBot="1" x14ac:dyDescent="0.3">
      <c r="A655" s="18" t="s">
        <v>772</v>
      </c>
      <c r="B655" s="3">
        <v>260</v>
      </c>
      <c r="C655" s="4"/>
      <c r="D655" s="4"/>
      <c r="E655" s="4" t="s">
        <v>9</v>
      </c>
      <c r="F655" s="4"/>
      <c r="G655" s="4" t="s">
        <v>9</v>
      </c>
      <c r="H655" s="4"/>
      <c r="I655" s="19" t="s">
        <v>9</v>
      </c>
      <c r="J655" t="str">
        <f>VLOOKUP(A655,All!A:A,1,FALSE)</f>
        <v>Shabbona (Indian Creek)</v>
      </c>
    </row>
    <row r="656" spans="1:10" ht="15.75" thickBot="1" x14ac:dyDescent="0.3">
      <c r="A656" s="20" t="s">
        <v>773</v>
      </c>
      <c r="B656" s="7">
        <v>343</v>
      </c>
      <c r="C656" s="6" t="s">
        <v>9</v>
      </c>
      <c r="D656" s="6" t="s">
        <v>9</v>
      </c>
      <c r="E656" s="6" t="s">
        <v>9</v>
      </c>
      <c r="F656" s="6" t="s">
        <v>9</v>
      </c>
      <c r="G656" s="6"/>
      <c r="H656" s="6" t="s">
        <v>9</v>
      </c>
      <c r="I656" s="21" t="s">
        <v>13</v>
      </c>
      <c r="J656" t="str">
        <f>VLOOKUP(A656,All!A:A,1,FALSE)</f>
        <v>Shelbyville</v>
      </c>
    </row>
    <row r="657" spans="1:10" ht="15.75" thickBot="1" x14ac:dyDescent="0.3">
      <c r="A657" s="18" t="s">
        <v>774</v>
      </c>
      <c r="B657" s="3">
        <v>441</v>
      </c>
      <c r="C657" s="4" t="s">
        <v>9</v>
      </c>
      <c r="D657" s="4" t="s">
        <v>9</v>
      </c>
      <c r="E657" s="4" t="s">
        <v>9</v>
      </c>
      <c r="F657" s="4" t="s">
        <v>9</v>
      </c>
      <c r="G657" s="4"/>
      <c r="H657" s="4"/>
      <c r="I657" s="19" t="s">
        <v>13</v>
      </c>
      <c r="J657" t="str">
        <f>VLOOKUP(A657,All!A:A,1,FALSE)</f>
        <v>Sherrard</v>
      </c>
    </row>
    <row r="658" spans="1:10" ht="15.75" thickBot="1" x14ac:dyDescent="0.3">
      <c r="A658" s="20" t="s">
        <v>775</v>
      </c>
      <c r="B658" s="7" t="s">
        <v>776</v>
      </c>
      <c r="C658" s="10" t="s">
        <v>9</v>
      </c>
      <c r="D658" s="10" t="s">
        <v>9</v>
      </c>
      <c r="E658" s="6"/>
      <c r="F658" s="6"/>
      <c r="G658" s="10" t="s">
        <v>9</v>
      </c>
      <c r="H658" s="6"/>
      <c r="I658" s="21"/>
      <c r="J658" t="str">
        <f>VLOOKUP(A658,All!A:A,1,FALSE)</f>
        <v>Skokie (Ida Crown)</v>
      </c>
    </row>
    <row r="659" spans="1:10" ht="15.75" thickBot="1" x14ac:dyDescent="0.3">
      <c r="A659" s="18" t="s">
        <v>777</v>
      </c>
      <c r="B659" s="8">
        <v>1908</v>
      </c>
      <c r="C659" s="4" t="s">
        <v>12</v>
      </c>
      <c r="D659" s="4" t="s">
        <v>12</v>
      </c>
      <c r="E659" s="4" t="s">
        <v>12</v>
      </c>
      <c r="F659" s="4" t="s">
        <v>13</v>
      </c>
      <c r="G659" s="4" t="s">
        <v>12</v>
      </c>
      <c r="H659" s="4" t="s">
        <v>13</v>
      </c>
      <c r="I659" s="19" t="s">
        <v>11</v>
      </c>
      <c r="J659" t="str">
        <f>VLOOKUP(A659,All!A:A,1,FALSE)</f>
        <v>Skokie (Niles North)</v>
      </c>
    </row>
    <row r="660" spans="1:10" ht="15.75" thickBot="1" x14ac:dyDescent="0.3">
      <c r="A660" s="20" t="s">
        <v>778</v>
      </c>
      <c r="B660" s="5">
        <v>2550</v>
      </c>
      <c r="C660" s="6" t="s">
        <v>12</v>
      </c>
      <c r="D660" s="6" t="s">
        <v>12</v>
      </c>
      <c r="E660" s="6" t="s">
        <v>12</v>
      </c>
      <c r="F660" s="6" t="s">
        <v>13</v>
      </c>
      <c r="G660" s="6" t="s">
        <v>12</v>
      </c>
      <c r="H660" s="6" t="s">
        <v>13</v>
      </c>
      <c r="I660" s="21" t="s">
        <v>11</v>
      </c>
      <c r="J660" t="str">
        <f>VLOOKUP(A660,All!A:A,1,FALSE)</f>
        <v>Skokie (Niles West)</v>
      </c>
    </row>
    <row r="661" spans="1:10" ht="15.75" thickBot="1" x14ac:dyDescent="0.3">
      <c r="A661" s="18" t="s">
        <v>779</v>
      </c>
      <c r="B661" s="3" t="s">
        <v>780</v>
      </c>
      <c r="C661" s="4"/>
      <c r="D661" s="4"/>
      <c r="E661" s="4"/>
      <c r="F661" s="4"/>
      <c r="G661" s="10" t="s">
        <v>9</v>
      </c>
      <c r="H661" s="4"/>
      <c r="I661" s="19"/>
      <c r="J661" t="str">
        <f>VLOOKUP(A661,All!A:A,1,FALSE)</f>
        <v>Skokie (Yeshiva)</v>
      </c>
    </row>
    <row r="662" spans="1:10" ht="15.75" thickBot="1" x14ac:dyDescent="0.3">
      <c r="A662" s="20" t="s">
        <v>781</v>
      </c>
      <c r="B662" s="7">
        <v>236</v>
      </c>
      <c r="C662" s="9" t="s">
        <v>9</v>
      </c>
      <c r="D662" s="9" t="s">
        <v>9</v>
      </c>
      <c r="E662" s="9" t="s">
        <v>9</v>
      </c>
      <c r="F662" s="9" t="s">
        <v>9</v>
      </c>
      <c r="G662" s="9" t="s">
        <v>9</v>
      </c>
      <c r="H662" s="6"/>
      <c r="I662" s="21" t="s">
        <v>9</v>
      </c>
      <c r="J662" t="str">
        <f>VLOOKUP(A662,All!A:A,1,FALSE)</f>
        <v>Somonauk</v>
      </c>
    </row>
    <row r="663" spans="1:10" ht="15.75" thickBot="1" x14ac:dyDescent="0.3">
      <c r="A663" s="18" t="s">
        <v>782</v>
      </c>
      <c r="B663" s="3">
        <v>238</v>
      </c>
      <c r="C663" s="4"/>
      <c r="D663" s="4"/>
      <c r="E663" s="4"/>
      <c r="F663" s="4"/>
      <c r="G663" s="4" t="s">
        <v>9</v>
      </c>
      <c r="H663" s="4"/>
      <c r="I663" s="19" t="s">
        <v>9</v>
      </c>
      <c r="J663" t="str">
        <f>VLOOKUP(A663,All!A:A,1,FALSE)</f>
        <v>South Beloit</v>
      </c>
    </row>
    <row r="664" spans="1:10" ht="15.75" thickBot="1" x14ac:dyDescent="0.3">
      <c r="A664" s="20" t="s">
        <v>783</v>
      </c>
      <c r="B664" s="5">
        <v>2711</v>
      </c>
      <c r="C664" s="6" t="s">
        <v>12</v>
      </c>
      <c r="D664" s="6" t="s">
        <v>12</v>
      </c>
      <c r="E664" s="6" t="s">
        <v>12</v>
      </c>
      <c r="F664" s="9" t="s">
        <v>13</v>
      </c>
      <c r="G664" s="6" t="s">
        <v>12</v>
      </c>
      <c r="H664" s="6" t="s">
        <v>13</v>
      </c>
      <c r="I664" s="21" t="s">
        <v>11</v>
      </c>
      <c r="J664" t="str">
        <f>VLOOKUP(A664,All!A:A,1,FALSE)</f>
        <v>South Elgin</v>
      </c>
    </row>
    <row r="665" spans="1:10" ht="15.75" thickBot="1" x14ac:dyDescent="0.3">
      <c r="A665" s="18" t="s">
        <v>784</v>
      </c>
      <c r="B665" s="8">
        <v>1691</v>
      </c>
      <c r="C665" s="4" t="s">
        <v>12</v>
      </c>
      <c r="D665" s="4" t="s">
        <v>12</v>
      </c>
      <c r="E665" s="4"/>
      <c r="F665" s="4"/>
      <c r="G665" s="4"/>
      <c r="H665" s="9" t="s">
        <v>13</v>
      </c>
      <c r="I665" s="19" t="s">
        <v>11</v>
      </c>
      <c r="J665" t="str">
        <f>VLOOKUP(A665,All!A:A,1,FALSE)</f>
        <v>South Holland (Thornwood)</v>
      </c>
    </row>
    <row r="666" spans="1:10" ht="15.75" thickBot="1" x14ac:dyDescent="0.3">
      <c r="A666" s="20" t="s">
        <v>785</v>
      </c>
      <c r="B666" s="7" t="s">
        <v>786</v>
      </c>
      <c r="C666" s="6"/>
      <c r="D666" s="6"/>
      <c r="E666" s="6"/>
      <c r="F666" s="6"/>
      <c r="G666" s="6" t="s">
        <v>9</v>
      </c>
      <c r="H666" s="6"/>
      <c r="I666" s="21" t="s">
        <v>9</v>
      </c>
      <c r="J666" t="str">
        <f>VLOOKUP(A666,All!A:A,1,FALSE)</f>
        <v>South Holland (Unity Christian Academy)</v>
      </c>
    </row>
    <row r="667" spans="1:10" ht="15.75" thickBot="1" x14ac:dyDescent="0.3">
      <c r="A667" s="18" t="s">
        <v>787</v>
      </c>
      <c r="B667" s="3">
        <v>293</v>
      </c>
      <c r="C667" s="4" t="s">
        <v>9</v>
      </c>
      <c r="D667" s="4" t="s">
        <v>9</v>
      </c>
      <c r="E667" s="4" t="s">
        <v>9</v>
      </c>
      <c r="F667" s="4" t="s">
        <v>9</v>
      </c>
      <c r="G667" s="4"/>
      <c r="H667" s="4"/>
      <c r="I667" s="19" t="s">
        <v>9</v>
      </c>
      <c r="J667" t="str">
        <f>VLOOKUP(A667,All!A:A,1,FALSE)</f>
        <v>Sparta</v>
      </c>
    </row>
    <row r="668" spans="1:10" ht="15.75" thickBot="1" x14ac:dyDescent="0.3">
      <c r="A668" s="20" t="s">
        <v>788</v>
      </c>
      <c r="B668" s="7">
        <v>382</v>
      </c>
      <c r="C668" s="6" t="s">
        <v>9</v>
      </c>
      <c r="D668" s="6"/>
      <c r="E668" s="6" t="s">
        <v>9</v>
      </c>
      <c r="F668" s="6"/>
      <c r="G668" s="6"/>
      <c r="H668" s="6"/>
      <c r="I668" s="21" t="s">
        <v>13</v>
      </c>
      <c r="J668" t="str">
        <f>VLOOKUP(A668,All!A:A,1,FALSE)</f>
        <v>Spring Valley (Hall)</v>
      </c>
    </row>
    <row r="669" spans="1:10" ht="15.75" thickBot="1" x14ac:dyDescent="0.3">
      <c r="A669" s="18" t="s">
        <v>968</v>
      </c>
      <c r="B669" s="3" t="s">
        <v>969</v>
      </c>
      <c r="C669" s="4"/>
      <c r="D669" s="4"/>
      <c r="E669" s="4"/>
      <c r="F669" s="4"/>
      <c r="G669" s="4"/>
      <c r="H669" s="4"/>
      <c r="I669" s="23" t="s">
        <v>9</v>
      </c>
      <c r="J669" t="str">
        <f>VLOOKUP(A669,All!A:A,1,FALSE)</f>
        <v>Springfield (Calvary)</v>
      </c>
    </row>
    <row r="670" spans="1:10" ht="15.75" thickBot="1" x14ac:dyDescent="0.3">
      <c r="A670" s="20" t="s">
        <v>789</v>
      </c>
      <c r="B670" s="5">
        <v>1267</v>
      </c>
      <c r="C670" s="6" t="s">
        <v>13</v>
      </c>
      <c r="D670" s="6" t="s">
        <v>13</v>
      </c>
      <c r="E670" s="6" t="s">
        <v>13</v>
      </c>
      <c r="F670" s="6" t="s">
        <v>13</v>
      </c>
      <c r="G670" s="6" t="s">
        <v>13</v>
      </c>
      <c r="H670" s="6" t="s">
        <v>9</v>
      </c>
      <c r="I670" s="21" t="s">
        <v>12</v>
      </c>
      <c r="J670" t="str">
        <f>VLOOKUP(A670,All!A:A,1,FALSE)</f>
        <v>Springfield (H.S.)</v>
      </c>
    </row>
    <row r="671" spans="1:10" ht="15.75" thickBot="1" x14ac:dyDescent="0.3">
      <c r="A671" s="18" t="s">
        <v>790</v>
      </c>
      <c r="B671" s="8">
        <v>1050</v>
      </c>
      <c r="C671" s="4" t="s">
        <v>13</v>
      </c>
      <c r="D671" s="4" t="s">
        <v>13</v>
      </c>
      <c r="E671" s="9" t="s">
        <v>12</v>
      </c>
      <c r="F671" s="4"/>
      <c r="G671" s="4"/>
      <c r="H671" s="4"/>
      <c r="I671" s="19" t="s">
        <v>12</v>
      </c>
      <c r="J671" t="str">
        <f>VLOOKUP(A671,All!A:A,1,FALSE)</f>
        <v>Springfield (Lanphier)</v>
      </c>
    </row>
    <row r="672" spans="1:10" ht="15.75" thickBot="1" x14ac:dyDescent="0.3">
      <c r="A672" s="20" t="s">
        <v>791</v>
      </c>
      <c r="B672" s="7" t="s">
        <v>792</v>
      </c>
      <c r="C672" s="9" t="s">
        <v>9</v>
      </c>
      <c r="D672" s="9" t="s">
        <v>9</v>
      </c>
      <c r="E672" s="10" t="s">
        <v>9</v>
      </c>
      <c r="F672" s="6"/>
      <c r="G672" s="9" t="s">
        <v>9</v>
      </c>
      <c r="H672" s="6"/>
      <c r="I672" s="23" t="s">
        <v>9</v>
      </c>
      <c r="J672" t="str">
        <f>VLOOKUP(A672,All!A:A,1,FALSE)</f>
        <v>Springfield (Lutheran)</v>
      </c>
    </row>
    <row r="673" spans="1:10" ht="15.75" thickBot="1" x14ac:dyDescent="0.3">
      <c r="A673" s="18" t="s">
        <v>793</v>
      </c>
      <c r="B673" s="3" t="s">
        <v>276</v>
      </c>
      <c r="C673" s="11" t="s">
        <v>9</v>
      </c>
      <c r="D673" s="10" t="s">
        <v>13</v>
      </c>
      <c r="E673" s="10" t="s">
        <v>13</v>
      </c>
      <c r="F673" s="12" t="s">
        <v>13</v>
      </c>
      <c r="G673" s="10" t="s">
        <v>13</v>
      </c>
      <c r="H673" s="10" t="s">
        <v>9</v>
      </c>
      <c r="I673" s="23" t="s">
        <v>12</v>
      </c>
      <c r="J673" t="str">
        <f>VLOOKUP(A673,All!A:A,1,FALSE)</f>
        <v>Springfield (Sacred Heart-Griffin)</v>
      </c>
    </row>
    <row r="674" spans="1:10" ht="15.75" thickBot="1" x14ac:dyDescent="0.3">
      <c r="A674" s="20" t="s">
        <v>794</v>
      </c>
      <c r="B674" s="5">
        <v>1160</v>
      </c>
      <c r="C674" s="6" t="s">
        <v>13</v>
      </c>
      <c r="D674" s="6" t="s">
        <v>13</v>
      </c>
      <c r="E674" s="6"/>
      <c r="F674" s="6"/>
      <c r="G674" s="9" t="s">
        <v>12</v>
      </c>
      <c r="H674" s="6"/>
      <c r="I674" s="21" t="s">
        <v>12</v>
      </c>
      <c r="J674" t="str">
        <f>VLOOKUP(A674,All!A:A,1,FALSE)</f>
        <v>Springfield (Southeast)</v>
      </c>
    </row>
    <row r="675" spans="1:10" ht="15.75" thickBot="1" x14ac:dyDescent="0.3">
      <c r="A675" s="18" t="s">
        <v>795</v>
      </c>
      <c r="B675" s="3">
        <v>196</v>
      </c>
      <c r="C675" s="4"/>
      <c r="D675" s="4"/>
      <c r="E675" s="9" t="s">
        <v>9</v>
      </c>
      <c r="F675" s="9" t="s">
        <v>9</v>
      </c>
      <c r="G675" s="4" t="s">
        <v>9</v>
      </c>
      <c r="H675" s="4"/>
      <c r="I675" s="19" t="s">
        <v>9</v>
      </c>
      <c r="J675" t="str">
        <f>VLOOKUP(A675,All!A:A,1,FALSE)</f>
        <v>St. Anne</v>
      </c>
    </row>
    <row r="676" spans="1:10" ht="15.75" thickBot="1" x14ac:dyDescent="0.3">
      <c r="A676" s="20" t="s">
        <v>796</v>
      </c>
      <c r="B676" s="5">
        <v>1865</v>
      </c>
      <c r="C676" s="6" t="s">
        <v>12</v>
      </c>
      <c r="D676" s="6" t="s">
        <v>12</v>
      </c>
      <c r="E676" s="6" t="s">
        <v>12</v>
      </c>
      <c r="F676" s="6" t="s">
        <v>13</v>
      </c>
      <c r="G676" s="6" t="s">
        <v>12</v>
      </c>
      <c r="H676" s="6" t="s">
        <v>13</v>
      </c>
      <c r="I676" s="21" t="s">
        <v>11</v>
      </c>
      <c r="J676" t="str">
        <f>VLOOKUP(A676,All!A:A,1,FALSE)</f>
        <v>St. Charles (East)</v>
      </c>
    </row>
    <row r="677" spans="1:10" ht="15.75" thickBot="1" x14ac:dyDescent="0.3">
      <c r="A677" s="25" t="s">
        <v>0</v>
      </c>
      <c r="B677" s="1" t="s">
        <v>1</v>
      </c>
      <c r="C677" s="2" t="s">
        <v>971</v>
      </c>
      <c r="D677" s="2" t="s">
        <v>972</v>
      </c>
      <c r="E677" s="2" t="s">
        <v>973</v>
      </c>
      <c r="F677" s="2" t="s">
        <v>974</v>
      </c>
      <c r="G677" s="2" t="s">
        <v>975</v>
      </c>
      <c r="H677" s="2" t="s">
        <v>976</v>
      </c>
      <c r="I677" s="26" t="s">
        <v>977</v>
      </c>
      <c r="J677" t="str">
        <f>VLOOKUP(A677,All!A:A,1,FALSE)</f>
        <v>School</v>
      </c>
    </row>
    <row r="678" spans="1:10" ht="15.75" thickBot="1" x14ac:dyDescent="0.3">
      <c r="A678" s="18" t="s">
        <v>797</v>
      </c>
      <c r="B678" s="8">
        <v>1851</v>
      </c>
      <c r="C678" s="4" t="s">
        <v>12</v>
      </c>
      <c r="D678" s="4" t="s">
        <v>12</v>
      </c>
      <c r="E678" s="4" t="s">
        <v>12</v>
      </c>
      <c r="F678" s="4" t="s">
        <v>13</v>
      </c>
      <c r="G678" s="4" t="s">
        <v>12</v>
      </c>
      <c r="H678" s="4" t="s">
        <v>13</v>
      </c>
      <c r="I678" s="19" t="s">
        <v>11</v>
      </c>
      <c r="J678" t="str">
        <f>VLOOKUP(A678,All!A:A,1,FALSE)</f>
        <v>St. Charles (North)</v>
      </c>
    </row>
    <row r="679" spans="1:10" ht="15.75" thickBot="1" x14ac:dyDescent="0.3">
      <c r="A679" s="20" t="s">
        <v>798</v>
      </c>
      <c r="B679" s="7">
        <v>105</v>
      </c>
      <c r="C679" s="6"/>
      <c r="D679" s="6"/>
      <c r="E679" s="6"/>
      <c r="F679" s="6"/>
      <c r="G679" s="6"/>
      <c r="H679" s="6"/>
      <c r="I679" s="22" t="s">
        <v>9</v>
      </c>
      <c r="J679" t="str">
        <f>VLOOKUP(A679,All!A:A,1,FALSE)</f>
        <v>St. Elmo</v>
      </c>
    </row>
    <row r="680" spans="1:10" ht="15.75" thickBot="1" x14ac:dyDescent="0.3">
      <c r="A680" s="18" t="s">
        <v>799</v>
      </c>
      <c r="B680" s="3">
        <v>453</v>
      </c>
      <c r="C680" s="4" t="s">
        <v>9</v>
      </c>
      <c r="D680" s="4" t="s">
        <v>9</v>
      </c>
      <c r="E680" s="4" t="s">
        <v>9</v>
      </c>
      <c r="F680" s="4"/>
      <c r="G680" s="4" t="s">
        <v>9</v>
      </c>
      <c r="H680" s="4" t="s">
        <v>9</v>
      </c>
      <c r="I680" s="19" t="s">
        <v>13</v>
      </c>
      <c r="J680" t="str">
        <f>VLOOKUP(A680,All!A:A,1,FALSE)</f>
        <v>St. Joseph (S.J.-Ogden)</v>
      </c>
    </row>
    <row r="681" spans="1:10" ht="15.75" thickBot="1" x14ac:dyDescent="0.3">
      <c r="A681" s="20" t="s">
        <v>800</v>
      </c>
      <c r="B681" s="7">
        <v>491</v>
      </c>
      <c r="C681" s="6" t="s">
        <v>9</v>
      </c>
      <c r="D681" s="6" t="s">
        <v>9</v>
      </c>
      <c r="E681" s="6" t="s">
        <v>9</v>
      </c>
      <c r="F681" s="6" t="s">
        <v>9</v>
      </c>
      <c r="G681" s="6" t="s">
        <v>9</v>
      </c>
      <c r="H681" s="6"/>
      <c r="I681" s="21" t="s">
        <v>13</v>
      </c>
      <c r="J681" t="str">
        <f>VLOOKUP(A681,All!A:A,1,FALSE)</f>
        <v>Stanford (Olympia)</v>
      </c>
    </row>
    <row r="682" spans="1:10" ht="15.75" thickBot="1" x14ac:dyDescent="0.3">
      <c r="A682" s="18" t="s">
        <v>801</v>
      </c>
      <c r="B682" s="3">
        <v>369</v>
      </c>
      <c r="C682" s="9" t="s">
        <v>9</v>
      </c>
      <c r="D682" s="9" t="s">
        <v>9</v>
      </c>
      <c r="E682" s="4" t="s">
        <v>9</v>
      </c>
      <c r="F682" s="4" t="s">
        <v>9</v>
      </c>
      <c r="G682" s="9" t="s">
        <v>9</v>
      </c>
      <c r="H682" s="4"/>
      <c r="I682" s="19" t="s">
        <v>13</v>
      </c>
      <c r="J682" t="str">
        <f>VLOOKUP(A682,All!A:A,1,FALSE)</f>
        <v>Staunton</v>
      </c>
    </row>
    <row r="683" spans="1:10" ht="15.75" thickBot="1" x14ac:dyDescent="0.3">
      <c r="A683" s="20" t="s">
        <v>802</v>
      </c>
      <c r="B683" s="7">
        <v>144</v>
      </c>
      <c r="C683" s="6" t="s">
        <v>9</v>
      </c>
      <c r="D683" s="6"/>
      <c r="E683" s="6" t="s">
        <v>9</v>
      </c>
      <c r="F683" s="6" t="s">
        <v>9</v>
      </c>
      <c r="G683" s="6"/>
      <c r="H683" s="6"/>
      <c r="I683" s="21" t="s">
        <v>9</v>
      </c>
      <c r="J683" t="str">
        <f>VLOOKUP(A683,All!A:A,1,FALSE)</f>
        <v>Steeleville</v>
      </c>
    </row>
    <row r="684" spans="1:10" ht="15.75" thickBot="1" x14ac:dyDescent="0.3">
      <c r="A684" s="18" t="s">
        <v>803</v>
      </c>
      <c r="B684" s="3">
        <v>944</v>
      </c>
      <c r="C684" s="4" t="s">
        <v>13</v>
      </c>
      <c r="D684" s="4" t="s">
        <v>13</v>
      </c>
      <c r="E684" s="4" t="s">
        <v>13</v>
      </c>
      <c r="F684" s="4" t="s">
        <v>13</v>
      </c>
      <c r="G684" s="4" t="s">
        <v>13</v>
      </c>
      <c r="H684" s="4" t="s">
        <v>9</v>
      </c>
      <c r="I684" s="19" t="s">
        <v>12</v>
      </c>
      <c r="J684" t="str">
        <f>VLOOKUP(A684,All!A:A,1,FALSE)</f>
        <v>Sterling (H.S.)</v>
      </c>
    </row>
    <row r="685" spans="1:10" ht="15.75" thickBot="1" x14ac:dyDescent="0.3">
      <c r="A685" s="20" t="s">
        <v>804</v>
      </c>
      <c r="B685" s="7" t="s">
        <v>805</v>
      </c>
      <c r="C685" s="6"/>
      <c r="D685" s="6"/>
      <c r="E685" s="10" t="s">
        <v>9</v>
      </c>
      <c r="F685" s="10" t="s">
        <v>9</v>
      </c>
      <c r="G685" s="6"/>
      <c r="H685" s="10" t="s">
        <v>9</v>
      </c>
      <c r="I685" s="23" t="s">
        <v>13</v>
      </c>
      <c r="J685" t="str">
        <f>VLOOKUP(A685,All!A:A,1,FALSE)</f>
        <v>Sterling (Newman Central Catholic)</v>
      </c>
    </row>
    <row r="686" spans="1:10" ht="15.75" thickBot="1" x14ac:dyDescent="0.3">
      <c r="A686" s="18" t="s">
        <v>806</v>
      </c>
      <c r="B686" s="3">
        <v>419</v>
      </c>
      <c r="C686" s="4" t="s">
        <v>9</v>
      </c>
      <c r="D686" s="4" t="s">
        <v>9</v>
      </c>
      <c r="E686" s="4" t="s">
        <v>9</v>
      </c>
      <c r="F686" s="4" t="s">
        <v>9</v>
      </c>
      <c r="G686" s="4" t="s">
        <v>9</v>
      </c>
      <c r="H686" s="4"/>
      <c r="I686" s="19" t="s">
        <v>13</v>
      </c>
      <c r="J686" t="str">
        <f>VLOOKUP(A686,All!A:A,1,FALSE)</f>
        <v>Stillman Valley</v>
      </c>
    </row>
    <row r="687" spans="1:10" ht="15.75" thickBot="1" x14ac:dyDescent="0.3">
      <c r="A687" s="20" t="s">
        <v>807</v>
      </c>
      <c r="B687" s="7">
        <v>165</v>
      </c>
      <c r="C687" s="9" t="s">
        <v>9</v>
      </c>
      <c r="D687" s="9" t="s">
        <v>9</v>
      </c>
      <c r="E687" s="6" t="s">
        <v>9</v>
      </c>
      <c r="F687" s="6"/>
      <c r="G687" s="6"/>
      <c r="H687" s="6"/>
      <c r="I687" s="21" t="s">
        <v>9</v>
      </c>
      <c r="J687" t="str">
        <f>VLOOKUP(A687,All!A:A,1,FALSE)</f>
        <v>Stockton</v>
      </c>
    </row>
    <row r="688" spans="1:10" ht="15.75" thickBot="1" x14ac:dyDescent="0.3">
      <c r="A688" s="18" t="s">
        <v>808</v>
      </c>
      <c r="B688" s="3">
        <v>140</v>
      </c>
      <c r="C688" s="9" t="s">
        <v>9</v>
      </c>
      <c r="D688" s="9" t="s">
        <v>9</v>
      </c>
      <c r="E688" s="4"/>
      <c r="F688" s="4"/>
      <c r="G688" s="4"/>
      <c r="H688" s="4"/>
      <c r="I688" s="19"/>
      <c r="J688" t="str">
        <f>VLOOKUP(A688,All!A:A,1,FALSE)</f>
        <v>Strasburg (Stewardson-S.)</v>
      </c>
    </row>
    <row r="689" spans="1:10" ht="15.75" thickBot="1" x14ac:dyDescent="0.3">
      <c r="A689" s="20" t="s">
        <v>809</v>
      </c>
      <c r="B689" s="5">
        <v>1598</v>
      </c>
      <c r="C689" s="6" t="s">
        <v>12</v>
      </c>
      <c r="D689" s="6" t="s">
        <v>12</v>
      </c>
      <c r="E689" s="6" t="s">
        <v>12</v>
      </c>
      <c r="F689" s="6"/>
      <c r="G689" s="6" t="s">
        <v>13</v>
      </c>
      <c r="H689" s="6" t="s">
        <v>13</v>
      </c>
      <c r="I689" s="21" t="s">
        <v>12</v>
      </c>
      <c r="J689" t="str">
        <f>VLOOKUP(A689,All!A:A,1,FALSE)</f>
        <v>Streamwood</v>
      </c>
    </row>
    <row r="690" spans="1:10" ht="15.75" thickBot="1" x14ac:dyDescent="0.3">
      <c r="A690" s="18" t="s">
        <v>810</v>
      </c>
      <c r="B690" s="3">
        <v>742</v>
      </c>
      <c r="C690" s="4" t="s">
        <v>13</v>
      </c>
      <c r="D690" s="4" t="s">
        <v>13</v>
      </c>
      <c r="E690" s="4" t="s">
        <v>13</v>
      </c>
      <c r="F690" s="4"/>
      <c r="G690" s="9" t="s">
        <v>13</v>
      </c>
      <c r="H690" s="9" t="s">
        <v>9</v>
      </c>
      <c r="I690" s="19" t="s">
        <v>12</v>
      </c>
      <c r="J690" t="str">
        <f>VLOOKUP(A690,All!A:A,1,FALSE)</f>
        <v>Streator (Twp.)</v>
      </c>
    </row>
    <row r="691" spans="1:10" ht="15.75" thickBot="1" x14ac:dyDescent="0.3">
      <c r="A691" s="20" t="s">
        <v>811</v>
      </c>
      <c r="B691" s="7">
        <v>133</v>
      </c>
      <c r="C691" s="6"/>
      <c r="D691" s="6"/>
      <c r="E691" s="6" t="s">
        <v>9</v>
      </c>
      <c r="F691" s="6"/>
      <c r="G691" s="6"/>
      <c r="H691" s="6"/>
      <c r="I691" s="21" t="s">
        <v>9</v>
      </c>
      <c r="J691" t="str">
        <f>VLOOKUP(A691,All!A:A,1,FALSE)</f>
        <v>Streator (Woodland)</v>
      </c>
    </row>
    <row r="692" spans="1:10" ht="15.75" thickBot="1" x14ac:dyDescent="0.3">
      <c r="A692" s="18" t="s">
        <v>812</v>
      </c>
      <c r="B692" s="3">
        <v>310</v>
      </c>
      <c r="C692" s="4" t="s">
        <v>9</v>
      </c>
      <c r="D692" s="4" t="s">
        <v>9</v>
      </c>
      <c r="E692" s="4" t="s">
        <v>9</v>
      </c>
      <c r="F692" s="4" t="s">
        <v>9</v>
      </c>
      <c r="G692" s="4"/>
      <c r="H692" s="4"/>
      <c r="I692" s="19" t="s">
        <v>13</v>
      </c>
      <c r="J692" t="str">
        <f>VLOOKUP(A692,All!A:A,1,FALSE)</f>
        <v>Sullivan</v>
      </c>
    </row>
    <row r="693" spans="1:10" ht="15.75" thickBot="1" x14ac:dyDescent="0.3">
      <c r="A693" s="20" t="s">
        <v>813</v>
      </c>
      <c r="B693" s="5">
        <v>1740</v>
      </c>
      <c r="C693" s="6" t="s">
        <v>12</v>
      </c>
      <c r="D693" s="6" t="s">
        <v>12</v>
      </c>
      <c r="E693" s="6" t="s">
        <v>12</v>
      </c>
      <c r="F693" s="6"/>
      <c r="G693" s="6" t="s">
        <v>12</v>
      </c>
      <c r="H693" s="6" t="s">
        <v>13</v>
      </c>
      <c r="I693" s="21" t="s">
        <v>11</v>
      </c>
      <c r="J693" t="str">
        <f>VLOOKUP(A693,All!A:A,1,FALSE)</f>
        <v>Summit (Argo)</v>
      </c>
    </row>
    <row r="694" spans="1:10" ht="15.75" thickBot="1" x14ac:dyDescent="0.3">
      <c r="A694" s="18" t="s">
        <v>814</v>
      </c>
      <c r="B694" s="8">
        <v>1121</v>
      </c>
      <c r="C694" s="4" t="s">
        <v>13</v>
      </c>
      <c r="D694" s="4" t="s">
        <v>13</v>
      </c>
      <c r="E694" s="4" t="s">
        <v>13</v>
      </c>
      <c r="F694" s="9" t="s">
        <v>13</v>
      </c>
      <c r="G694" s="4" t="s">
        <v>13</v>
      </c>
      <c r="H694" s="4" t="s">
        <v>9</v>
      </c>
      <c r="I694" s="19" t="s">
        <v>12</v>
      </c>
      <c r="J694" t="str">
        <f>VLOOKUP(A694,All!A:A,1,FALSE)</f>
        <v>Sycamore (H.S.)</v>
      </c>
    </row>
    <row r="695" spans="1:10" ht="15.75" thickBot="1" x14ac:dyDescent="0.3">
      <c r="A695" s="20" t="s">
        <v>815</v>
      </c>
      <c r="B695" s="7">
        <v>82</v>
      </c>
      <c r="C695" s="6"/>
      <c r="D695" s="6"/>
      <c r="E695" s="6" t="s">
        <v>9</v>
      </c>
      <c r="F695" s="6"/>
      <c r="G695" s="6"/>
      <c r="H695" s="6"/>
      <c r="I695" s="21" t="s">
        <v>9</v>
      </c>
      <c r="J695" t="str">
        <f>VLOOKUP(A695,All!A:A,1,FALSE)</f>
        <v>Tamms (Egyptian)</v>
      </c>
    </row>
    <row r="696" spans="1:10" ht="15.75" thickBot="1" x14ac:dyDescent="0.3">
      <c r="A696" s="18" t="s">
        <v>816</v>
      </c>
      <c r="B696" s="3">
        <v>322</v>
      </c>
      <c r="C696" s="4" t="s">
        <v>9</v>
      </c>
      <c r="D696" s="4" t="s">
        <v>9</v>
      </c>
      <c r="E696" s="4" t="s">
        <v>9</v>
      </c>
      <c r="F696" s="4" t="s">
        <v>9</v>
      </c>
      <c r="G696" s="4"/>
      <c r="H696" s="4"/>
      <c r="I696" s="19" t="s">
        <v>13</v>
      </c>
      <c r="J696" t="str">
        <f>VLOOKUP(A696,All!A:A,1,FALSE)</f>
        <v>Taylor Ridge (Rockridge)</v>
      </c>
    </row>
    <row r="697" spans="1:10" ht="15.75" thickBot="1" x14ac:dyDescent="0.3">
      <c r="A697" s="20" t="s">
        <v>817</v>
      </c>
      <c r="B697" s="7">
        <v>726</v>
      </c>
      <c r="C697" s="6" t="s">
        <v>13</v>
      </c>
      <c r="D697" s="6" t="s">
        <v>13</v>
      </c>
      <c r="E697" s="6" t="s">
        <v>13</v>
      </c>
      <c r="F697" s="6" t="s">
        <v>9</v>
      </c>
      <c r="G697" s="6" t="s">
        <v>13</v>
      </c>
      <c r="H697" s="6" t="s">
        <v>9</v>
      </c>
      <c r="I697" s="21" t="s">
        <v>12</v>
      </c>
      <c r="J697" t="str">
        <f>VLOOKUP(A697,All!A:A,1,FALSE)</f>
        <v>Taylorville</v>
      </c>
    </row>
    <row r="698" spans="1:10" ht="15.75" thickBot="1" x14ac:dyDescent="0.3">
      <c r="A698" s="18" t="s">
        <v>818</v>
      </c>
      <c r="B698" s="3">
        <v>337</v>
      </c>
      <c r="C698" s="4" t="s">
        <v>9</v>
      </c>
      <c r="D698" s="4" t="s">
        <v>9</v>
      </c>
      <c r="E698" s="4" t="s">
        <v>9</v>
      </c>
      <c r="F698" s="4" t="s">
        <v>9</v>
      </c>
      <c r="G698" s="4" t="s">
        <v>9</v>
      </c>
      <c r="H698" s="4" t="s">
        <v>9</v>
      </c>
      <c r="I698" s="19" t="s">
        <v>13</v>
      </c>
      <c r="J698" t="str">
        <f>VLOOKUP(A698,All!A:A,1,FALSE)</f>
        <v>Teutopolis</v>
      </c>
    </row>
    <row r="699" spans="1:10" ht="15.75" thickBot="1" x14ac:dyDescent="0.3">
      <c r="A699" s="20" t="s">
        <v>970</v>
      </c>
      <c r="B699" s="7">
        <v>89</v>
      </c>
      <c r="C699" s="6" t="s">
        <v>9</v>
      </c>
      <c r="D699" s="6"/>
      <c r="E699" s="6"/>
      <c r="F699" s="6"/>
      <c r="G699" s="6"/>
      <c r="H699" s="6"/>
      <c r="I699" s="21" t="s">
        <v>9</v>
      </c>
      <c r="J699" t="str">
        <f>VLOOKUP(A699,All!A:A,1,FALSE)</f>
        <v>Thompsonville</v>
      </c>
    </row>
    <row r="700" spans="1:10" ht="15.75" thickBot="1" x14ac:dyDescent="0.3">
      <c r="A700" s="18" t="s">
        <v>819</v>
      </c>
      <c r="B700" s="8">
        <v>2201</v>
      </c>
      <c r="C700" s="4" t="s">
        <v>12</v>
      </c>
      <c r="D700" s="4" t="s">
        <v>12</v>
      </c>
      <c r="E700" s="4" t="s">
        <v>12</v>
      </c>
      <c r="F700" s="4" t="s">
        <v>13</v>
      </c>
      <c r="G700" s="4" t="s">
        <v>12</v>
      </c>
      <c r="H700" s="4" t="s">
        <v>13</v>
      </c>
      <c r="I700" s="19" t="s">
        <v>11</v>
      </c>
      <c r="J700" t="str">
        <f>VLOOKUP(A700,All!A:A,1,FALSE)</f>
        <v>Tinley Park (Andrew)</v>
      </c>
    </row>
    <row r="701" spans="1:10" ht="15.75" thickBot="1" x14ac:dyDescent="0.3">
      <c r="A701" s="20" t="s">
        <v>820</v>
      </c>
      <c r="B701" s="7">
        <v>981</v>
      </c>
      <c r="C701" s="6" t="s">
        <v>13</v>
      </c>
      <c r="D701" s="6" t="s">
        <v>13</v>
      </c>
      <c r="E701" s="6" t="s">
        <v>13</v>
      </c>
      <c r="F701" s="6" t="s">
        <v>13</v>
      </c>
      <c r="G701" s="6" t="s">
        <v>13</v>
      </c>
      <c r="H701" s="6" t="s">
        <v>9</v>
      </c>
      <c r="I701" s="21" t="s">
        <v>12</v>
      </c>
      <c r="J701" t="str">
        <f>VLOOKUP(A701,All!A:A,1,FALSE)</f>
        <v>Tinley Park (H.S.)</v>
      </c>
    </row>
    <row r="702" spans="1:10" ht="15.75" thickBot="1" x14ac:dyDescent="0.3">
      <c r="A702" s="18" t="s">
        <v>821</v>
      </c>
      <c r="B702" s="3">
        <v>292</v>
      </c>
      <c r="C702" s="9" t="s">
        <v>9</v>
      </c>
      <c r="D702" s="4"/>
      <c r="E702" s="4"/>
      <c r="F702" s="4"/>
      <c r="G702" s="4"/>
      <c r="H702" s="4"/>
      <c r="I702" s="19" t="s">
        <v>9</v>
      </c>
      <c r="J702" t="str">
        <f>VLOOKUP(A702,All!A:A,1,FALSE)</f>
        <v>Toledo (Cumberland)</v>
      </c>
    </row>
    <row r="703" spans="1:10" ht="15.75" thickBot="1" x14ac:dyDescent="0.3">
      <c r="A703" s="25" t="s">
        <v>0</v>
      </c>
      <c r="B703" s="1" t="s">
        <v>1</v>
      </c>
      <c r="C703" s="2" t="s">
        <v>971</v>
      </c>
      <c r="D703" s="2" t="s">
        <v>972</v>
      </c>
      <c r="E703" s="2" t="s">
        <v>973</v>
      </c>
      <c r="F703" s="2" t="s">
        <v>974</v>
      </c>
      <c r="G703" s="2" t="s">
        <v>975</v>
      </c>
      <c r="H703" s="2" t="s">
        <v>976</v>
      </c>
      <c r="I703" s="26" t="s">
        <v>977</v>
      </c>
      <c r="J703" t="str">
        <f>VLOOKUP(A703,All!A:A,1,FALSE)</f>
        <v>School</v>
      </c>
    </row>
    <row r="704" spans="1:10" ht="15.75" thickBot="1" x14ac:dyDescent="0.3">
      <c r="A704" s="20" t="s">
        <v>822</v>
      </c>
      <c r="B704" s="7">
        <v>470</v>
      </c>
      <c r="C704" s="6" t="s">
        <v>9</v>
      </c>
      <c r="D704" s="6" t="s">
        <v>9</v>
      </c>
      <c r="E704" s="6" t="s">
        <v>9</v>
      </c>
      <c r="F704" s="6" t="s">
        <v>9</v>
      </c>
      <c r="G704" s="6" t="s">
        <v>9</v>
      </c>
      <c r="H704" s="6"/>
      <c r="I704" s="21" t="s">
        <v>13</v>
      </c>
      <c r="J704" t="str">
        <f>VLOOKUP(A704,All!A:A,1,FALSE)</f>
        <v>Tolono (Unity)</v>
      </c>
    </row>
    <row r="705" spans="1:10" ht="15.75" thickBot="1" x14ac:dyDescent="0.3">
      <c r="A705" s="18" t="s">
        <v>823</v>
      </c>
      <c r="B705" s="3">
        <v>221</v>
      </c>
      <c r="C705" s="4" t="s">
        <v>9</v>
      </c>
      <c r="D705" s="4" t="s">
        <v>9</v>
      </c>
      <c r="E705" s="4" t="s">
        <v>9</v>
      </c>
      <c r="F705" s="4" t="s">
        <v>9</v>
      </c>
      <c r="G705" s="4"/>
      <c r="H705" s="4"/>
      <c r="I705" s="19" t="s">
        <v>9</v>
      </c>
      <c r="J705" t="str">
        <f>VLOOKUP(A705,All!A:A,1,FALSE)</f>
        <v>Toulon (Stark County)</v>
      </c>
    </row>
    <row r="706" spans="1:10" ht="15.75" thickBot="1" x14ac:dyDescent="0.3">
      <c r="A706" s="20" t="s">
        <v>824</v>
      </c>
      <c r="B706" s="7">
        <v>285</v>
      </c>
      <c r="C706" s="6" t="s">
        <v>9</v>
      </c>
      <c r="D706" s="6" t="s">
        <v>9</v>
      </c>
      <c r="E706" s="6" t="s">
        <v>9</v>
      </c>
      <c r="F706" s="6"/>
      <c r="G706" s="6"/>
      <c r="H706" s="6"/>
      <c r="I706" s="21" t="s">
        <v>9</v>
      </c>
      <c r="J706" t="str">
        <f>VLOOKUP(A706,All!A:A,1,FALSE)</f>
        <v>Tremont</v>
      </c>
    </row>
    <row r="707" spans="1:10" ht="15.75" thickBot="1" x14ac:dyDescent="0.3">
      <c r="A707" s="18" t="s">
        <v>825</v>
      </c>
      <c r="B707" s="3">
        <v>339</v>
      </c>
      <c r="C707" s="4" t="s">
        <v>9</v>
      </c>
      <c r="D707" s="4" t="s">
        <v>9</v>
      </c>
      <c r="E707" s="4" t="s">
        <v>9</v>
      </c>
      <c r="F707" s="4"/>
      <c r="G707" s="4" t="s">
        <v>9</v>
      </c>
      <c r="H707" s="4"/>
      <c r="I707" s="19" t="s">
        <v>13</v>
      </c>
      <c r="J707" t="str">
        <f>VLOOKUP(A707,All!A:A,1,FALSE)</f>
        <v>Trenton (Wesclin)</v>
      </c>
    </row>
    <row r="708" spans="1:10" ht="15.75" thickBot="1" x14ac:dyDescent="0.3">
      <c r="A708" s="20" t="s">
        <v>826</v>
      </c>
      <c r="B708" s="5">
        <v>1210</v>
      </c>
      <c r="C708" s="6" t="s">
        <v>13</v>
      </c>
      <c r="D708" s="6" t="s">
        <v>13</v>
      </c>
      <c r="E708" s="6" t="s">
        <v>13</v>
      </c>
      <c r="F708" s="6" t="s">
        <v>13</v>
      </c>
      <c r="G708" s="6" t="s">
        <v>13</v>
      </c>
      <c r="H708" s="6" t="s">
        <v>9</v>
      </c>
      <c r="I708" s="21" t="s">
        <v>12</v>
      </c>
      <c r="J708" t="str">
        <f>VLOOKUP(A708,All!A:A,1,FALSE)</f>
        <v>Troy (Triad)</v>
      </c>
    </row>
    <row r="709" spans="1:10" ht="15.75" thickBot="1" x14ac:dyDescent="0.3">
      <c r="A709" s="18" t="s">
        <v>827</v>
      </c>
      <c r="B709" s="3">
        <v>289</v>
      </c>
      <c r="C709" s="4" t="s">
        <v>9</v>
      </c>
      <c r="D709" s="4" t="s">
        <v>9</v>
      </c>
      <c r="E709" s="4" t="s">
        <v>9</v>
      </c>
      <c r="F709" s="4"/>
      <c r="G709" s="4"/>
      <c r="H709" s="4"/>
      <c r="I709" s="19" t="s">
        <v>9</v>
      </c>
      <c r="J709" t="str">
        <f>VLOOKUP(A709,All!A:A,1,FALSE)</f>
        <v>Tuscola</v>
      </c>
    </row>
    <row r="710" spans="1:10" ht="15.75" thickBot="1" x14ac:dyDescent="0.3">
      <c r="A710" s="20" t="s">
        <v>828</v>
      </c>
      <c r="B710" s="7">
        <v>82</v>
      </c>
      <c r="C710" s="6"/>
      <c r="D710" s="6"/>
      <c r="E710" s="6"/>
      <c r="F710" s="6"/>
      <c r="G710" s="6"/>
      <c r="H710" s="6"/>
      <c r="I710" s="21" t="s">
        <v>9</v>
      </c>
      <c r="J710" t="str">
        <f>VLOOKUP(A710,All!A:A,1,FALSE)</f>
        <v>Ullin (Century)</v>
      </c>
    </row>
    <row r="711" spans="1:10" ht="15.75" thickBot="1" x14ac:dyDescent="0.3">
      <c r="A711" s="18" t="s">
        <v>829</v>
      </c>
      <c r="B711" s="8">
        <v>1132</v>
      </c>
      <c r="C711" s="4" t="s">
        <v>13</v>
      </c>
      <c r="D711" s="4" t="s">
        <v>13</v>
      </c>
      <c r="E711" s="4" t="s">
        <v>13</v>
      </c>
      <c r="F711" s="4"/>
      <c r="G711" s="4" t="s">
        <v>13</v>
      </c>
      <c r="H711" s="4" t="s">
        <v>9</v>
      </c>
      <c r="I711" s="19" t="s">
        <v>12</v>
      </c>
      <c r="J711" t="str">
        <f>VLOOKUP(A711,All!A:A,1,FALSE)</f>
        <v>Urbana (H.S.)</v>
      </c>
    </row>
    <row r="712" spans="1:10" ht="15.75" thickBot="1" x14ac:dyDescent="0.3">
      <c r="A712" s="20" t="s">
        <v>830</v>
      </c>
      <c r="B712" s="7" t="s">
        <v>831</v>
      </c>
      <c r="C712" s="10" t="s">
        <v>9</v>
      </c>
      <c r="D712" s="10" t="s">
        <v>9</v>
      </c>
      <c r="E712" s="6"/>
      <c r="F712" s="6"/>
      <c r="G712" s="10" t="s">
        <v>9</v>
      </c>
      <c r="H712" s="6"/>
      <c r="I712" s="24" t="s">
        <v>9</v>
      </c>
      <c r="J712" t="str">
        <f>VLOOKUP(A712,All!A:A,1,FALSE)</f>
        <v>Urbana (University)</v>
      </c>
    </row>
    <row r="713" spans="1:10" ht="15.75" thickBot="1" x14ac:dyDescent="0.3">
      <c r="A713" s="18" t="s">
        <v>832</v>
      </c>
      <c r="B713" s="3">
        <v>103</v>
      </c>
      <c r="C713" s="4"/>
      <c r="D713" s="4"/>
      <c r="E713" s="4"/>
      <c r="F713" s="4"/>
      <c r="G713" s="4" t="s">
        <v>9</v>
      </c>
      <c r="H713" s="4"/>
      <c r="I713" s="19" t="s">
        <v>9</v>
      </c>
      <c r="J713" t="str">
        <f>VLOOKUP(A713,All!A:A,1,FALSE)</f>
        <v>Valmeyer</v>
      </c>
    </row>
    <row r="714" spans="1:10" ht="15.75" thickBot="1" x14ac:dyDescent="0.3">
      <c r="A714" s="20" t="s">
        <v>833</v>
      </c>
      <c r="B714" s="7">
        <v>402</v>
      </c>
      <c r="C714" s="6"/>
      <c r="D714" s="6"/>
      <c r="E714" s="6" t="s">
        <v>9</v>
      </c>
      <c r="F714" s="6" t="s">
        <v>9</v>
      </c>
      <c r="G714" s="6" t="s">
        <v>9</v>
      </c>
      <c r="H714" s="6" t="s">
        <v>9</v>
      </c>
      <c r="I714" s="21" t="s">
        <v>13</v>
      </c>
      <c r="J714" t="str">
        <f>VLOOKUP(A714,All!A:A,1,FALSE)</f>
        <v>Vandalia</v>
      </c>
    </row>
    <row r="715" spans="1:10" ht="15.75" thickBot="1" x14ac:dyDescent="0.3">
      <c r="A715" s="18" t="s">
        <v>834</v>
      </c>
      <c r="B715" s="3">
        <v>200</v>
      </c>
      <c r="C715" s="4"/>
      <c r="D715" s="4"/>
      <c r="E715" s="4" t="s">
        <v>9</v>
      </c>
      <c r="F715" s="4"/>
      <c r="G715" s="4"/>
      <c r="H715" s="4"/>
      <c r="I715" s="19" t="s">
        <v>9</v>
      </c>
      <c r="J715" t="str">
        <f>VLOOKUP(A715,All!A:A,1,FALSE)</f>
        <v>Varna (Midland)</v>
      </c>
    </row>
    <row r="716" spans="1:10" ht="15.75" thickBot="1" x14ac:dyDescent="0.3">
      <c r="A716" s="20" t="s">
        <v>835</v>
      </c>
      <c r="B716" s="5">
        <v>1387</v>
      </c>
      <c r="C716" s="6" t="s">
        <v>13</v>
      </c>
      <c r="D716" s="6" t="s">
        <v>13</v>
      </c>
      <c r="E716" s="6" t="s">
        <v>13</v>
      </c>
      <c r="F716" s="6" t="s">
        <v>13</v>
      </c>
      <c r="G716" s="6" t="s">
        <v>13</v>
      </c>
      <c r="H716" s="6" t="s">
        <v>9</v>
      </c>
      <c r="I716" s="21" t="s">
        <v>12</v>
      </c>
      <c r="J716" t="str">
        <f>VLOOKUP(A716,All!A:A,1,FALSE)</f>
        <v>Vernon Hills</v>
      </c>
    </row>
    <row r="717" spans="1:10" ht="15.75" thickBot="1" x14ac:dyDescent="0.3">
      <c r="A717" s="18" t="s">
        <v>836</v>
      </c>
      <c r="B717" s="3">
        <v>371</v>
      </c>
      <c r="C717" s="9" t="s">
        <v>9</v>
      </c>
      <c r="D717" s="9" t="s">
        <v>9</v>
      </c>
      <c r="E717" s="9" t="s">
        <v>9</v>
      </c>
      <c r="F717" s="4"/>
      <c r="G717" s="9" t="s">
        <v>9</v>
      </c>
      <c r="H717" s="4"/>
      <c r="I717" s="19" t="s">
        <v>13</v>
      </c>
      <c r="J717" t="str">
        <f>VLOOKUP(A717,All!A:A,1,FALSE)</f>
        <v>Vienna</v>
      </c>
    </row>
    <row r="718" spans="1:10" ht="15.75" thickBot="1" x14ac:dyDescent="0.3">
      <c r="A718" s="20" t="s">
        <v>837</v>
      </c>
      <c r="B718" s="7">
        <v>189</v>
      </c>
      <c r="C718" s="6" t="s">
        <v>9</v>
      </c>
      <c r="D718" s="6"/>
      <c r="E718" s="6" t="s">
        <v>9</v>
      </c>
      <c r="F718" s="6" t="s">
        <v>9</v>
      </c>
      <c r="G718" s="6"/>
      <c r="H718" s="6"/>
      <c r="I718" s="21" t="s">
        <v>9</v>
      </c>
      <c r="J718" t="str">
        <f>VLOOKUP(A718,All!A:A,1,FALSE)</f>
        <v>Villa Grove</v>
      </c>
    </row>
    <row r="719" spans="1:10" ht="15.75" thickBot="1" x14ac:dyDescent="0.3">
      <c r="A719" s="18" t="s">
        <v>838</v>
      </c>
      <c r="B719" s="3" t="s">
        <v>792</v>
      </c>
      <c r="C719" s="4"/>
      <c r="D719" s="4"/>
      <c r="E719" s="4"/>
      <c r="F719" s="4"/>
      <c r="G719" s="10" t="s">
        <v>9</v>
      </c>
      <c r="H719" s="4"/>
      <c r="I719" s="23" t="s">
        <v>9</v>
      </c>
      <c r="J719" t="str">
        <f>VLOOKUP(A719,All!A:A,1,FALSE)</f>
        <v>Villa Park (Islamic Foundation)</v>
      </c>
    </row>
    <row r="720" spans="1:10" ht="15.75" thickBot="1" x14ac:dyDescent="0.3">
      <c r="A720" s="20" t="s">
        <v>839</v>
      </c>
      <c r="B720" s="5">
        <v>1902</v>
      </c>
      <c r="C720" s="6" t="s">
        <v>12</v>
      </c>
      <c r="D720" s="6" t="s">
        <v>12</v>
      </c>
      <c r="E720" s="6" t="s">
        <v>12</v>
      </c>
      <c r="F720" s="6" t="s">
        <v>13</v>
      </c>
      <c r="G720" s="6" t="s">
        <v>12</v>
      </c>
      <c r="H720" s="6" t="s">
        <v>13</v>
      </c>
      <c r="I720" s="21" t="s">
        <v>11</v>
      </c>
      <c r="J720" t="str">
        <f>VLOOKUP(A720,All!A:A,1,FALSE)</f>
        <v>Villa Park (Willowbrook)</v>
      </c>
    </row>
    <row r="721" spans="1:10" ht="15.75" thickBot="1" x14ac:dyDescent="0.3">
      <c r="A721" s="18" t="s">
        <v>840</v>
      </c>
      <c r="B721" s="3">
        <v>344</v>
      </c>
      <c r="C721" s="4"/>
      <c r="D721" s="4" t="s">
        <v>9</v>
      </c>
      <c r="E721" s="4" t="s">
        <v>9</v>
      </c>
      <c r="F721" s="4" t="s">
        <v>9</v>
      </c>
      <c r="G721" s="9" t="s">
        <v>9</v>
      </c>
      <c r="H721" s="4"/>
      <c r="I721" s="19" t="s">
        <v>13</v>
      </c>
      <c r="J721" t="str">
        <f>VLOOKUP(A721,All!A:A,1,FALSE)</f>
        <v>Virden (North Mac)</v>
      </c>
    </row>
    <row r="722" spans="1:10" ht="15.75" thickBot="1" x14ac:dyDescent="0.3">
      <c r="A722" s="20" t="s">
        <v>841</v>
      </c>
      <c r="B722" s="7">
        <v>78</v>
      </c>
      <c r="C722" s="9" t="s">
        <v>9</v>
      </c>
      <c r="D722" s="9" t="s">
        <v>9</v>
      </c>
      <c r="E722" s="9" t="s">
        <v>9</v>
      </c>
      <c r="F722" s="6"/>
      <c r="G722" s="6"/>
      <c r="H722" s="6"/>
      <c r="I722" s="21"/>
      <c r="J722" t="str">
        <f>VLOOKUP(A722,All!A:A,1,FALSE)</f>
        <v>Virginia</v>
      </c>
    </row>
    <row r="723" spans="1:10" ht="15.75" thickBot="1" x14ac:dyDescent="0.3">
      <c r="A723" s="18" t="s">
        <v>842</v>
      </c>
      <c r="B723" s="3">
        <v>95</v>
      </c>
      <c r="C723" s="4"/>
      <c r="D723" s="4"/>
      <c r="E723" s="9" t="s">
        <v>9</v>
      </c>
      <c r="F723" s="9" t="s">
        <v>9</v>
      </c>
      <c r="G723" s="4"/>
      <c r="H723" s="4"/>
      <c r="I723" s="19"/>
      <c r="J723" t="str">
        <f>VLOOKUP(A723,All!A:A,1,FALSE)</f>
        <v>Waltonville</v>
      </c>
    </row>
    <row r="724" spans="1:10" ht="15.75" thickBot="1" x14ac:dyDescent="0.3">
      <c r="A724" s="20" t="s">
        <v>843</v>
      </c>
      <c r="B724" s="7">
        <v>105</v>
      </c>
      <c r="C724" s="6"/>
      <c r="D724" s="6"/>
      <c r="E724" s="6" t="s">
        <v>9</v>
      </c>
      <c r="F724" s="6"/>
      <c r="G724" s="6"/>
      <c r="H724" s="6"/>
      <c r="I724" s="21" t="s">
        <v>9</v>
      </c>
      <c r="J724" t="str">
        <f>VLOOKUP(A724,All!A:A,1,FALSE)</f>
        <v>Warren</v>
      </c>
    </row>
    <row r="725" spans="1:10" ht="15.75" thickBot="1" x14ac:dyDescent="0.3">
      <c r="A725" s="18" t="s">
        <v>844</v>
      </c>
      <c r="B725" s="3">
        <v>328</v>
      </c>
      <c r="C725" s="4"/>
      <c r="D725" s="4"/>
      <c r="E725" s="4"/>
      <c r="F725" s="4"/>
      <c r="G725" s="9" t="s">
        <v>9</v>
      </c>
      <c r="H725" s="4"/>
      <c r="I725" s="19" t="s">
        <v>13</v>
      </c>
      <c r="J725" t="str">
        <f>VLOOKUP(A725,All!A:A,1,FALSE)</f>
        <v>Warrensburg (W.-Latham)</v>
      </c>
    </row>
    <row r="726" spans="1:10" ht="15.75" thickBot="1" x14ac:dyDescent="0.3">
      <c r="A726" s="20" t="s">
        <v>845</v>
      </c>
      <c r="B726" s="7">
        <v>178</v>
      </c>
      <c r="C726" s="6"/>
      <c r="D726" s="6"/>
      <c r="E726" s="6"/>
      <c r="F726" s="6"/>
      <c r="G726" s="6"/>
      <c r="H726" s="6"/>
      <c r="I726" s="22" t="s">
        <v>13</v>
      </c>
      <c r="J726" t="str">
        <f>VLOOKUP(A726,All!A:A,1,FALSE)</f>
        <v>Warsaw</v>
      </c>
    </row>
    <row r="727" spans="1:10" ht="15.75" thickBot="1" x14ac:dyDescent="0.3">
      <c r="A727" s="18" t="s">
        <v>846</v>
      </c>
      <c r="B727" s="3">
        <v>68</v>
      </c>
      <c r="C727" s="9" t="s">
        <v>9</v>
      </c>
      <c r="D727" s="9" t="s">
        <v>9</v>
      </c>
      <c r="E727" s="4"/>
      <c r="F727" s="4"/>
      <c r="G727" s="4"/>
      <c r="H727" s="4"/>
      <c r="I727" s="19" t="s">
        <v>9</v>
      </c>
      <c r="J727" t="str">
        <f>VLOOKUP(A727,All!A:A,1,FALSE)</f>
        <v>Washburn (Lowpoint-W.)</v>
      </c>
    </row>
    <row r="728" spans="1:10" ht="15.75" thickBot="1" x14ac:dyDescent="0.3">
      <c r="A728" s="20" t="s">
        <v>847</v>
      </c>
      <c r="B728" s="5">
        <v>1383</v>
      </c>
      <c r="C728" s="6" t="s">
        <v>13</v>
      </c>
      <c r="D728" s="6" t="s">
        <v>13</v>
      </c>
      <c r="E728" s="6" t="s">
        <v>13</v>
      </c>
      <c r="F728" s="6" t="s">
        <v>13</v>
      </c>
      <c r="G728" s="6" t="s">
        <v>13</v>
      </c>
      <c r="H728" s="6" t="s">
        <v>9</v>
      </c>
      <c r="I728" s="21" t="s">
        <v>12</v>
      </c>
      <c r="J728" t="str">
        <f>VLOOKUP(A728,All!A:A,1,FALSE)</f>
        <v>Washington</v>
      </c>
    </row>
    <row r="729" spans="1:10" ht="15.75" thickBot="1" x14ac:dyDescent="0.3">
      <c r="A729" s="25" t="s">
        <v>0</v>
      </c>
      <c r="B729" s="1" t="s">
        <v>1</v>
      </c>
      <c r="C729" s="2" t="s">
        <v>971</v>
      </c>
      <c r="D729" s="2" t="s">
        <v>972</v>
      </c>
      <c r="E729" s="2" t="s">
        <v>973</v>
      </c>
      <c r="F729" s="2" t="s">
        <v>974</v>
      </c>
      <c r="G729" s="2" t="s">
        <v>975</v>
      </c>
      <c r="H729" s="2" t="s">
        <v>976</v>
      </c>
      <c r="I729" s="26" t="s">
        <v>977</v>
      </c>
      <c r="J729" t="str">
        <f>VLOOKUP(A729,All!A:A,1,FALSE)</f>
        <v>School</v>
      </c>
    </row>
    <row r="730" spans="1:10" ht="15.75" thickBot="1" x14ac:dyDescent="0.3">
      <c r="A730" s="18" t="s">
        <v>848</v>
      </c>
      <c r="B730" s="3" t="s">
        <v>849</v>
      </c>
      <c r="C730" s="4"/>
      <c r="D730" s="10" t="s">
        <v>9</v>
      </c>
      <c r="E730" s="10" t="s">
        <v>9</v>
      </c>
      <c r="F730" s="10" t="s">
        <v>9</v>
      </c>
      <c r="G730" s="10" t="s">
        <v>9</v>
      </c>
      <c r="H730" s="10" t="s">
        <v>9</v>
      </c>
      <c r="I730" s="23" t="s">
        <v>9</v>
      </c>
      <c r="J730" t="str">
        <f>VLOOKUP(A730,All!A:A,1,FALSE)</f>
        <v>Waterloo (Gibault Catholic)</v>
      </c>
    </row>
    <row r="731" spans="1:10" ht="15.75" thickBot="1" x14ac:dyDescent="0.3">
      <c r="A731" s="20" t="s">
        <v>850</v>
      </c>
      <c r="B731" s="7">
        <v>845</v>
      </c>
      <c r="C731" s="6" t="s">
        <v>13</v>
      </c>
      <c r="D731" s="6" t="s">
        <v>13</v>
      </c>
      <c r="E731" s="6" t="s">
        <v>13</v>
      </c>
      <c r="F731" s="6" t="s">
        <v>9</v>
      </c>
      <c r="G731" s="6" t="s">
        <v>13</v>
      </c>
      <c r="H731" s="6" t="s">
        <v>9</v>
      </c>
      <c r="I731" s="21" t="s">
        <v>12</v>
      </c>
      <c r="J731" t="str">
        <f>VLOOKUP(A731,All!A:A,1,FALSE)</f>
        <v>Waterloo (H.S.)</v>
      </c>
    </row>
    <row r="732" spans="1:10" ht="15.75" thickBot="1" x14ac:dyDescent="0.3">
      <c r="A732" s="18" t="s">
        <v>851</v>
      </c>
      <c r="B732" s="3">
        <v>282</v>
      </c>
      <c r="C732" s="4" t="s">
        <v>9</v>
      </c>
      <c r="D732" s="4"/>
      <c r="E732" s="4" t="s">
        <v>9</v>
      </c>
      <c r="F732" s="4" t="s">
        <v>9</v>
      </c>
      <c r="G732" s="9" t="s">
        <v>9</v>
      </c>
      <c r="H732" s="4" t="s">
        <v>9</v>
      </c>
      <c r="I732" s="19" t="s">
        <v>9</v>
      </c>
      <c r="J732" t="str">
        <f>VLOOKUP(A732,All!A:A,1,FALSE)</f>
        <v>Watseka</v>
      </c>
    </row>
    <row r="733" spans="1:10" ht="15.75" thickBot="1" x14ac:dyDescent="0.3">
      <c r="A733" s="20" t="s">
        <v>852</v>
      </c>
      <c r="B733" s="5">
        <v>1396</v>
      </c>
      <c r="C733" s="6" t="s">
        <v>13</v>
      </c>
      <c r="D733" s="6" t="s">
        <v>13</v>
      </c>
      <c r="E733" s="6" t="s">
        <v>13</v>
      </c>
      <c r="F733" s="6" t="s">
        <v>13</v>
      </c>
      <c r="G733" s="6" t="s">
        <v>13</v>
      </c>
      <c r="H733" s="6" t="s">
        <v>9</v>
      </c>
      <c r="I733" s="21" t="s">
        <v>12</v>
      </c>
      <c r="J733" t="str">
        <f>VLOOKUP(A733,All!A:A,1,FALSE)</f>
        <v>Wauconda</v>
      </c>
    </row>
    <row r="734" spans="1:10" ht="15.75" thickBot="1" x14ac:dyDescent="0.3">
      <c r="A734" s="18" t="s">
        <v>853</v>
      </c>
      <c r="B734" s="3" t="s">
        <v>854</v>
      </c>
      <c r="C734" s="4"/>
      <c r="D734" s="4"/>
      <c r="E734" s="4"/>
      <c r="F734" s="4"/>
      <c r="G734" s="10" t="s">
        <v>13</v>
      </c>
      <c r="H734" s="4"/>
      <c r="I734" s="23" t="s">
        <v>12</v>
      </c>
      <c r="J734" t="str">
        <f>VLOOKUP(A734,All!A:A,1,FALSE)</f>
        <v>Waukegan (Cristo Rey St. Martin)</v>
      </c>
    </row>
    <row r="735" spans="1:10" ht="15.75" thickBot="1" x14ac:dyDescent="0.3">
      <c r="A735" s="20" t="s">
        <v>855</v>
      </c>
      <c r="B735" s="5">
        <v>4119</v>
      </c>
      <c r="C735" s="6" t="s">
        <v>12</v>
      </c>
      <c r="D735" s="6" t="s">
        <v>12</v>
      </c>
      <c r="E735" s="6" t="s">
        <v>12</v>
      </c>
      <c r="F735" s="6"/>
      <c r="G735" s="6" t="s">
        <v>12</v>
      </c>
      <c r="H735" s="6" t="s">
        <v>13</v>
      </c>
      <c r="I735" s="21" t="s">
        <v>11</v>
      </c>
      <c r="J735" t="str">
        <f>VLOOKUP(A735,All!A:A,1,FALSE)</f>
        <v>Waukegan (H.S.)</v>
      </c>
    </row>
    <row r="736" spans="1:10" ht="15.75" thickBot="1" x14ac:dyDescent="0.3">
      <c r="A736" s="18" t="s">
        <v>856</v>
      </c>
      <c r="B736" s="3">
        <v>96</v>
      </c>
      <c r="C736" s="4"/>
      <c r="D736" s="4"/>
      <c r="E736" s="9" t="s">
        <v>9</v>
      </c>
      <c r="F736" s="9" t="s">
        <v>9</v>
      </c>
      <c r="G736" s="4"/>
      <c r="H736" s="4"/>
      <c r="I736" s="19"/>
      <c r="J736" t="str">
        <f>VLOOKUP(A736,All!A:A,1,FALSE)</f>
        <v>Waverly</v>
      </c>
    </row>
    <row r="737" spans="1:10" ht="15.75" thickBot="1" x14ac:dyDescent="0.3">
      <c r="A737" s="20" t="s">
        <v>857</v>
      </c>
      <c r="B737" s="7">
        <v>134</v>
      </c>
      <c r="C737" s="6"/>
      <c r="D737" s="6"/>
      <c r="E737" s="6" t="s">
        <v>9</v>
      </c>
      <c r="F737" s="6"/>
      <c r="G737" s="6"/>
      <c r="H737" s="6"/>
      <c r="I737" s="21" t="s">
        <v>9</v>
      </c>
      <c r="J737" t="str">
        <f>VLOOKUP(A737,All!A:A,1,FALSE)</f>
        <v>Wayne City</v>
      </c>
    </row>
    <row r="738" spans="1:10" ht="15.75" thickBot="1" x14ac:dyDescent="0.3">
      <c r="A738" s="18" t="s">
        <v>858</v>
      </c>
      <c r="B738" s="8">
        <v>1973</v>
      </c>
      <c r="C738" s="4" t="s">
        <v>12</v>
      </c>
      <c r="D738" s="4" t="s">
        <v>12</v>
      </c>
      <c r="E738" s="4" t="s">
        <v>12</v>
      </c>
      <c r="F738" s="4" t="s">
        <v>13</v>
      </c>
      <c r="G738" s="4" t="s">
        <v>12</v>
      </c>
      <c r="H738" s="4" t="s">
        <v>13</v>
      </c>
      <c r="I738" s="19" t="s">
        <v>11</v>
      </c>
      <c r="J738" t="str">
        <f>VLOOKUP(A738,All!A:A,1,FALSE)</f>
        <v>West Chicago (H.S.)</v>
      </c>
    </row>
    <row r="739" spans="1:10" ht="15.75" thickBot="1" x14ac:dyDescent="0.3">
      <c r="A739" s="20" t="s">
        <v>859</v>
      </c>
      <c r="B739" s="7" t="s">
        <v>860</v>
      </c>
      <c r="C739" s="10" t="s">
        <v>13</v>
      </c>
      <c r="D739" s="10" t="s">
        <v>13</v>
      </c>
      <c r="E739" s="10" t="s">
        <v>13</v>
      </c>
      <c r="F739" s="11" t="s">
        <v>9</v>
      </c>
      <c r="G739" s="10" t="s">
        <v>13</v>
      </c>
      <c r="H739" s="10" t="s">
        <v>9</v>
      </c>
      <c r="I739" s="23" t="s">
        <v>12</v>
      </c>
      <c r="J739" t="str">
        <f>VLOOKUP(A739,All!A:A,1,FALSE)</f>
        <v>West Chicago (Wheaton Academy)</v>
      </c>
    </row>
    <row r="740" spans="1:10" ht="15.75" thickBot="1" x14ac:dyDescent="0.3">
      <c r="A740" s="18" t="s">
        <v>861</v>
      </c>
      <c r="B740" s="3">
        <v>411</v>
      </c>
      <c r="C740" s="4" t="s">
        <v>9</v>
      </c>
      <c r="D740" s="4" t="s">
        <v>9</v>
      </c>
      <c r="E740" s="4" t="s">
        <v>9</v>
      </c>
      <c r="F740" s="4" t="s">
        <v>9</v>
      </c>
      <c r="G740" s="4"/>
      <c r="H740" s="4"/>
      <c r="I740" s="19" t="s">
        <v>13</v>
      </c>
      <c r="J740" t="str">
        <f>VLOOKUP(A740,All!A:A,1,FALSE)</f>
        <v>West Frankfort (Frankfort)</v>
      </c>
    </row>
    <row r="741" spans="1:10" ht="15.75" thickBot="1" x14ac:dyDescent="0.3">
      <c r="A741" s="20" t="s">
        <v>862</v>
      </c>
      <c r="B741" s="7">
        <v>160</v>
      </c>
      <c r="C741" s="6" t="s">
        <v>9</v>
      </c>
      <c r="D741" s="6"/>
      <c r="E741" s="6"/>
      <c r="F741" s="6"/>
      <c r="G741" s="6"/>
      <c r="H741" s="6"/>
      <c r="I741" s="21" t="s">
        <v>9</v>
      </c>
      <c r="J741" t="str">
        <f>VLOOKUP(A741,All!A:A,1,FALSE)</f>
        <v>West Prairie</v>
      </c>
    </row>
    <row r="742" spans="1:10" ht="15.75" thickBot="1" x14ac:dyDescent="0.3">
      <c r="A742" s="18" t="s">
        <v>863</v>
      </c>
      <c r="B742" s="3">
        <v>376</v>
      </c>
      <c r="C742" s="4" t="s">
        <v>9</v>
      </c>
      <c r="D742" s="4" t="s">
        <v>9</v>
      </c>
      <c r="E742" s="4" t="s">
        <v>9</v>
      </c>
      <c r="F742" s="4" t="s">
        <v>9</v>
      </c>
      <c r="G742" s="4" t="s">
        <v>9</v>
      </c>
      <c r="H742" s="4"/>
      <c r="I742" s="19" t="s">
        <v>13</v>
      </c>
      <c r="J742" t="str">
        <f>VLOOKUP(A742,All!A:A,1,FALSE)</f>
        <v>Westmont</v>
      </c>
    </row>
    <row r="743" spans="1:10" ht="15.75" thickBot="1" x14ac:dyDescent="0.3">
      <c r="A743" s="20" t="s">
        <v>864</v>
      </c>
      <c r="B743" s="7">
        <v>326</v>
      </c>
      <c r="C743" s="6" t="s">
        <v>9</v>
      </c>
      <c r="D743" s="6"/>
      <c r="E743" s="6" t="s">
        <v>9</v>
      </c>
      <c r="F743" s="6" t="s">
        <v>9</v>
      </c>
      <c r="G743" s="6"/>
      <c r="H743" s="6"/>
      <c r="I743" s="21" t="s">
        <v>13</v>
      </c>
      <c r="J743" t="str">
        <f>VLOOKUP(A743,All!A:A,1,FALSE)</f>
        <v>Westville</v>
      </c>
    </row>
    <row r="744" spans="1:10" ht="15.75" thickBot="1" x14ac:dyDescent="0.3">
      <c r="A744" s="18" t="s">
        <v>865</v>
      </c>
      <c r="B744" s="8">
        <v>1844</v>
      </c>
      <c r="C744" s="4" t="s">
        <v>12</v>
      </c>
      <c r="D744" s="4" t="s">
        <v>12</v>
      </c>
      <c r="E744" s="4" t="s">
        <v>12</v>
      </c>
      <c r="F744" s="4" t="s">
        <v>13</v>
      </c>
      <c r="G744" s="4" t="s">
        <v>12</v>
      </c>
      <c r="H744" s="4" t="s">
        <v>13</v>
      </c>
      <c r="I744" s="19" t="s">
        <v>11</v>
      </c>
      <c r="J744" t="str">
        <f>VLOOKUP(A744,All!A:A,1,FALSE)</f>
        <v>Wheaton (North)</v>
      </c>
    </row>
    <row r="745" spans="1:10" ht="15.75" thickBot="1" x14ac:dyDescent="0.3">
      <c r="A745" s="20" t="s">
        <v>866</v>
      </c>
      <c r="B745" s="7" t="s">
        <v>867</v>
      </c>
      <c r="C745" s="10" t="s">
        <v>13</v>
      </c>
      <c r="D745" s="10" t="s">
        <v>13</v>
      </c>
      <c r="E745" s="10" t="s">
        <v>13</v>
      </c>
      <c r="F745" s="10" t="s">
        <v>13</v>
      </c>
      <c r="G745" s="10" t="s">
        <v>13</v>
      </c>
      <c r="H745" s="10" t="s">
        <v>9</v>
      </c>
      <c r="I745" s="27" t="s">
        <v>11</v>
      </c>
      <c r="J745" t="str">
        <f>VLOOKUP(A745,All!A:A,1,FALSE)</f>
        <v>Wheaton (St. Francis)</v>
      </c>
    </row>
    <row r="746" spans="1:10" ht="15.75" thickBot="1" x14ac:dyDescent="0.3">
      <c r="A746" s="18" t="s">
        <v>868</v>
      </c>
      <c r="B746" s="8">
        <v>1824</v>
      </c>
      <c r="C746" s="4" t="s">
        <v>12</v>
      </c>
      <c r="D746" s="4" t="s">
        <v>12</v>
      </c>
      <c r="E746" s="4" t="s">
        <v>12</v>
      </c>
      <c r="F746" s="4" t="s">
        <v>13</v>
      </c>
      <c r="G746" s="4" t="s">
        <v>12</v>
      </c>
      <c r="H746" s="4" t="s">
        <v>13</v>
      </c>
      <c r="I746" s="19" t="s">
        <v>11</v>
      </c>
      <c r="J746" t="str">
        <f>VLOOKUP(A746,All!A:A,1,FALSE)</f>
        <v>Wheaton (W. Warrenville South)</v>
      </c>
    </row>
    <row r="747" spans="1:10" ht="15.75" thickBot="1" x14ac:dyDescent="0.3">
      <c r="A747" s="20" t="s">
        <v>869</v>
      </c>
      <c r="B747" s="5">
        <v>1658</v>
      </c>
      <c r="C747" s="6" t="s">
        <v>12</v>
      </c>
      <c r="D747" s="6" t="s">
        <v>12</v>
      </c>
      <c r="E747" s="6" t="s">
        <v>12</v>
      </c>
      <c r="F747" s="6"/>
      <c r="G747" s="6" t="s">
        <v>13</v>
      </c>
      <c r="H747" s="6" t="s">
        <v>13</v>
      </c>
      <c r="I747" s="21" t="s">
        <v>11</v>
      </c>
      <c r="J747" t="str">
        <f>VLOOKUP(A747,All!A:A,1,FALSE)</f>
        <v>Wheeling</v>
      </c>
    </row>
    <row r="748" spans="1:10" ht="15.75" thickBot="1" x14ac:dyDescent="0.3">
      <c r="A748" s="18" t="s">
        <v>870</v>
      </c>
      <c r="B748" s="3">
        <v>239</v>
      </c>
      <c r="C748" s="4"/>
      <c r="D748" s="4"/>
      <c r="E748" s="4"/>
      <c r="F748" s="4"/>
      <c r="G748" s="4"/>
      <c r="H748" s="4"/>
      <c r="I748" s="19" t="s">
        <v>9</v>
      </c>
      <c r="J748" t="str">
        <f>VLOOKUP(A748,All!A:A,1,FALSE)</f>
        <v>White Hall (North Greene)</v>
      </c>
    </row>
    <row r="749" spans="1:10" ht="15.75" thickBot="1" x14ac:dyDescent="0.3">
      <c r="A749" s="20" t="s">
        <v>871</v>
      </c>
      <c r="B749" s="7">
        <v>95</v>
      </c>
      <c r="C749" s="6"/>
      <c r="D749" s="6"/>
      <c r="E749" s="9" t="s">
        <v>9</v>
      </c>
      <c r="F749" s="9" t="s">
        <v>9</v>
      </c>
      <c r="G749" s="6"/>
      <c r="H749" s="6"/>
      <c r="I749" s="22" t="s">
        <v>9</v>
      </c>
      <c r="J749" t="str">
        <f>VLOOKUP(A749,All!A:A,1,FALSE)</f>
        <v>Williamsfield</v>
      </c>
    </row>
    <row r="750" spans="1:10" ht="15.75" thickBot="1" x14ac:dyDescent="0.3">
      <c r="A750" s="18" t="s">
        <v>872</v>
      </c>
      <c r="B750" s="3">
        <v>454</v>
      </c>
      <c r="C750" s="4" t="s">
        <v>9</v>
      </c>
      <c r="D750" s="4" t="s">
        <v>9</v>
      </c>
      <c r="E750" s="4" t="s">
        <v>9</v>
      </c>
      <c r="F750" s="4" t="s">
        <v>9</v>
      </c>
      <c r="G750" s="4" t="s">
        <v>9</v>
      </c>
      <c r="H750" s="4"/>
      <c r="I750" s="19" t="s">
        <v>13</v>
      </c>
      <c r="J750" t="str">
        <f>VLOOKUP(A750,All!A:A,1,FALSE)</f>
        <v>Williamsville</v>
      </c>
    </row>
    <row r="751" spans="1:10" ht="15.75" thickBot="1" x14ac:dyDescent="0.3">
      <c r="A751" s="20" t="s">
        <v>873</v>
      </c>
      <c r="B751" s="7" t="s">
        <v>874</v>
      </c>
      <c r="C751" s="10" t="s">
        <v>12</v>
      </c>
      <c r="D751" s="10" t="s">
        <v>12</v>
      </c>
      <c r="E751" s="10" t="s">
        <v>12</v>
      </c>
      <c r="F751" s="10" t="s">
        <v>13</v>
      </c>
      <c r="G751" s="10" t="s">
        <v>12</v>
      </c>
      <c r="H751" s="10" t="s">
        <v>13</v>
      </c>
      <c r="I751" s="23" t="s">
        <v>11</v>
      </c>
      <c r="J751" t="str">
        <f>VLOOKUP(A751,All!A:A,1,FALSE)</f>
        <v>Wilmette (Loyola Academy)</v>
      </c>
    </row>
    <row r="752" spans="1:10" ht="15.75" thickBot="1" x14ac:dyDescent="0.3">
      <c r="A752" s="18" t="s">
        <v>875</v>
      </c>
      <c r="B752" s="3" t="s">
        <v>876</v>
      </c>
      <c r="C752" s="4"/>
      <c r="D752" s="10" t="s">
        <v>13</v>
      </c>
      <c r="E752" s="4"/>
      <c r="F752" s="10" t="s">
        <v>9</v>
      </c>
      <c r="G752" s="4"/>
      <c r="H752" s="10" t="s">
        <v>9</v>
      </c>
      <c r="I752" s="23" t="s">
        <v>13</v>
      </c>
      <c r="J752" t="str">
        <f>VLOOKUP(A752,All!A:A,1,FALSE)</f>
        <v>Wilmette (Regina Dominican)</v>
      </c>
    </row>
    <row r="753" spans="1:10" ht="15.75" thickBot="1" x14ac:dyDescent="0.3">
      <c r="A753" s="20" t="s">
        <v>877</v>
      </c>
      <c r="B753" s="7">
        <v>400</v>
      </c>
      <c r="C753" s="6"/>
      <c r="D753" s="6"/>
      <c r="E753" s="6" t="s">
        <v>9</v>
      </c>
      <c r="F753" s="6" t="s">
        <v>9</v>
      </c>
      <c r="G753" s="6"/>
      <c r="H753" s="6"/>
      <c r="I753" s="21" t="s">
        <v>13</v>
      </c>
      <c r="J753" t="str">
        <f>VLOOKUP(A753,All!A:A,1,FALSE)</f>
        <v>Wilmington</v>
      </c>
    </row>
    <row r="754" spans="1:10" ht="15.75" thickBot="1" x14ac:dyDescent="0.3">
      <c r="A754" s="18" t="s">
        <v>878</v>
      </c>
      <c r="B754" s="3">
        <v>167</v>
      </c>
      <c r="C754" s="4" t="s">
        <v>9</v>
      </c>
      <c r="D754" s="4" t="s">
        <v>9</v>
      </c>
      <c r="E754" s="4"/>
      <c r="F754" s="4"/>
      <c r="G754" s="4"/>
      <c r="H754" s="4"/>
      <c r="I754" s="19"/>
      <c r="J754" t="str">
        <f>VLOOKUP(A754,All!A:A,1,FALSE)</f>
        <v>Winchester</v>
      </c>
    </row>
    <row r="755" spans="1:10" ht="15.75" thickBot="1" x14ac:dyDescent="0.3">
      <c r="A755" s="25" t="s">
        <v>0</v>
      </c>
      <c r="B755" s="1" t="s">
        <v>1</v>
      </c>
      <c r="C755" s="2" t="s">
        <v>971</v>
      </c>
      <c r="D755" s="2" t="s">
        <v>972</v>
      </c>
      <c r="E755" s="2" t="s">
        <v>973</v>
      </c>
      <c r="F755" s="2" t="s">
        <v>974</v>
      </c>
      <c r="G755" s="2" t="s">
        <v>975</v>
      </c>
      <c r="H755" s="2" t="s">
        <v>976</v>
      </c>
      <c r="I755" s="26" t="s">
        <v>977</v>
      </c>
      <c r="J755" t="str">
        <f>VLOOKUP(A755,All!A:A,1,FALSE)</f>
        <v>School</v>
      </c>
    </row>
    <row r="756" spans="1:10" ht="15.75" thickBot="1" x14ac:dyDescent="0.3">
      <c r="A756" s="20" t="s">
        <v>879</v>
      </c>
      <c r="B756" s="7">
        <v>78</v>
      </c>
      <c r="C756" s="6"/>
      <c r="D756" s="6"/>
      <c r="E756" s="9" t="s">
        <v>9</v>
      </c>
      <c r="F756" s="9" t="s">
        <v>9</v>
      </c>
      <c r="G756" s="6"/>
      <c r="H756" s="6"/>
      <c r="I756" s="22" t="s">
        <v>9</v>
      </c>
      <c r="J756" t="str">
        <f>VLOOKUP(A756,All!A:A,1,FALSE)</f>
        <v>Windsor</v>
      </c>
    </row>
    <row r="757" spans="1:10" ht="15.75" thickBot="1" x14ac:dyDescent="0.3">
      <c r="A757" s="18" t="s">
        <v>880</v>
      </c>
      <c r="B757" s="3">
        <v>399</v>
      </c>
      <c r="C757" s="4" t="s">
        <v>9</v>
      </c>
      <c r="D757" s="4" t="s">
        <v>9</v>
      </c>
      <c r="E757" s="4" t="s">
        <v>9</v>
      </c>
      <c r="F757" s="4" t="s">
        <v>9</v>
      </c>
      <c r="G757" s="4" t="s">
        <v>9</v>
      </c>
      <c r="H757" s="4"/>
      <c r="I757" s="19" t="s">
        <v>13</v>
      </c>
      <c r="J757" t="str">
        <f>VLOOKUP(A757,All!A:A,1,FALSE)</f>
        <v>Winnebago</v>
      </c>
    </row>
    <row r="758" spans="1:10" ht="15.75" thickBot="1" x14ac:dyDescent="0.3">
      <c r="A758" s="20" t="s">
        <v>881</v>
      </c>
      <c r="B758" s="5">
        <v>3613</v>
      </c>
      <c r="C758" s="6" t="s">
        <v>12</v>
      </c>
      <c r="D758" s="6" t="s">
        <v>12</v>
      </c>
      <c r="E758" s="6" t="s">
        <v>12</v>
      </c>
      <c r="F758" s="6" t="s">
        <v>13</v>
      </c>
      <c r="G758" s="6" t="s">
        <v>12</v>
      </c>
      <c r="H758" s="6" t="s">
        <v>13</v>
      </c>
      <c r="I758" s="21" t="s">
        <v>11</v>
      </c>
      <c r="J758" t="str">
        <f>VLOOKUP(A758,All!A:A,1,FALSE)</f>
        <v>Winnetka (New Trier)</v>
      </c>
    </row>
    <row r="759" spans="1:10" ht="15.75" thickBot="1" x14ac:dyDescent="0.3">
      <c r="A759" s="18" t="s">
        <v>882</v>
      </c>
      <c r="B759" s="3" t="s">
        <v>883</v>
      </c>
      <c r="C759" s="10" t="s">
        <v>9</v>
      </c>
      <c r="D759" s="10" t="s">
        <v>9</v>
      </c>
      <c r="E759" s="10" t="s">
        <v>9</v>
      </c>
      <c r="F759" s="10" t="s">
        <v>9</v>
      </c>
      <c r="G759" s="10" t="s">
        <v>9</v>
      </c>
      <c r="H759" s="10" t="s">
        <v>9</v>
      </c>
      <c r="I759" s="24" t="s">
        <v>9</v>
      </c>
      <c r="J759" t="str">
        <f>VLOOKUP(A759,All!A:A,1,FALSE)</f>
        <v>Winnetka (North Shore Country Day)</v>
      </c>
    </row>
    <row r="760" spans="1:10" ht="15.75" thickBot="1" x14ac:dyDescent="0.3">
      <c r="A760" s="20" t="s">
        <v>884</v>
      </c>
      <c r="B760" s="7">
        <v>69</v>
      </c>
      <c r="C760" s="6"/>
      <c r="D760" s="6"/>
      <c r="E760" s="6"/>
      <c r="F760" s="6"/>
      <c r="G760" s="6"/>
      <c r="H760" s="6"/>
      <c r="I760" s="21" t="s">
        <v>9</v>
      </c>
      <c r="J760" t="str">
        <f>VLOOKUP(A760,All!A:A,1,FALSE)</f>
        <v>Wolf Lake (Shawnee)</v>
      </c>
    </row>
    <row r="761" spans="1:10" ht="15.75" thickBot="1" x14ac:dyDescent="0.3">
      <c r="A761" s="18" t="s">
        <v>885</v>
      </c>
      <c r="B761" s="3">
        <v>515</v>
      </c>
      <c r="C761" s="4" t="s">
        <v>9</v>
      </c>
      <c r="D761" s="4" t="s">
        <v>9</v>
      </c>
      <c r="E761" s="4" t="s">
        <v>13</v>
      </c>
      <c r="F761" s="4"/>
      <c r="G761" s="4" t="s">
        <v>9</v>
      </c>
      <c r="H761" s="4" t="s">
        <v>9</v>
      </c>
      <c r="I761" s="19" t="s">
        <v>13</v>
      </c>
      <c r="J761" t="str">
        <f>VLOOKUP(A761,All!A:A,1,FALSE)</f>
        <v>Wood River (East Alton-W.R.)</v>
      </c>
    </row>
    <row r="762" spans="1:10" ht="15.75" thickBot="1" x14ac:dyDescent="0.3">
      <c r="A762" s="20" t="s">
        <v>887</v>
      </c>
      <c r="B762" s="7">
        <v>173</v>
      </c>
      <c r="C762" s="6"/>
      <c r="D762" s="6"/>
      <c r="E762" s="6" t="s">
        <v>9</v>
      </c>
      <c r="F762" s="6"/>
      <c r="G762" s="6"/>
      <c r="H762" s="6"/>
      <c r="I762" s="21" t="s">
        <v>9</v>
      </c>
      <c r="J762" t="str">
        <f>VLOOKUP(A762,All!A:A,1,FALSE)</f>
        <v>Woodlawn</v>
      </c>
    </row>
    <row r="763" spans="1:10" ht="15.75" thickBot="1" x14ac:dyDescent="0.3">
      <c r="A763" s="18" t="s">
        <v>888</v>
      </c>
      <c r="B763" s="3">
        <v>986</v>
      </c>
      <c r="C763" s="4" t="s">
        <v>13</v>
      </c>
      <c r="D763" s="4" t="s">
        <v>13</v>
      </c>
      <c r="E763" s="4" t="s">
        <v>13</v>
      </c>
      <c r="F763" s="9" t="s">
        <v>13</v>
      </c>
      <c r="G763" s="4" t="s">
        <v>13</v>
      </c>
      <c r="H763" s="4" t="s">
        <v>9</v>
      </c>
      <c r="I763" s="19" t="s">
        <v>12</v>
      </c>
      <c r="J763" t="str">
        <f>VLOOKUP(A763,All!A:A,1,FALSE)</f>
        <v>Woodstock (H.S.)</v>
      </c>
    </row>
    <row r="764" spans="1:10" ht="15.75" thickBot="1" x14ac:dyDescent="0.3">
      <c r="A764" s="20" t="s">
        <v>889</v>
      </c>
      <c r="B764" s="7" t="s">
        <v>890</v>
      </c>
      <c r="C764" s="10" t="s">
        <v>9</v>
      </c>
      <c r="D764" s="10" t="s">
        <v>9</v>
      </c>
      <c r="E764" s="10" t="s">
        <v>9</v>
      </c>
      <c r="F764" s="10" t="s">
        <v>9</v>
      </c>
      <c r="G764" s="10" t="s">
        <v>9</v>
      </c>
      <c r="H764" s="10" t="s">
        <v>9</v>
      </c>
      <c r="I764" s="24" t="s">
        <v>9</v>
      </c>
      <c r="J764" t="str">
        <f>VLOOKUP(A764,All!A:A,1,FALSE)</f>
        <v>Woodstock (Marian)</v>
      </c>
    </row>
    <row r="765" spans="1:10" ht="15.75" thickBot="1" x14ac:dyDescent="0.3">
      <c r="A765" s="18" t="s">
        <v>891</v>
      </c>
      <c r="B765" s="3">
        <v>935</v>
      </c>
      <c r="C765" s="4" t="s">
        <v>13</v>
      </c>
      <c r="D765" s="4" t="s">
        <v>13</v>
      </c>
      <c r="E765" s="4" t="s">
        <v>13</v>
      </c>
      <c r="F765" s="4" t="s">
        <v>13</v>
      </c>
      <c r="G765" s="4" t="s">
        <v>13</v>
      </c>
      <c r="H765" s="4" t="s">
        <v>9</v>
      </c>
      <c r="I765" s="19" t="s">
        <v>12</v>
      </c>
      <c r="J765" t="str">
        <f>VLOOKUP(A765,All!A:A,1,FALSE)</f>
        <v>Woodstock (North)</v>
      </c>
    </row>
    <row r="766" spans="1:10" ht="15.75" thickBot="1" x14ac:dyDescent="0.3">
      <c r="A766" s="20" t="s">
        <v>892</v>
      </c>
      <c r="B766" s="5">
        <v>2188</v>
      </c>
      <c r="C766" s="6" t="s">
        <v>12</v>
      </c>
      <c r="D766" s="6" t="s">
        <v>12</v>
      </c>
      <c r="E766" s="6" t="s">
        <v>12</v>
      </c>
      <c r="F766" s="6" t="s">
        <v>13</v>
      </c>
      <c r="G766" s="6" t="s">
        <v>12</v>
      </c>
      <c r="H766" s="6" t="s">
        <v>13</v>
      </c>
      <c r="I766" s="21" t="s">
        <v>11</v>
      </c>
      <c r="J766" t="str">
        <f>VLOOKUP(A766,All!A:A,1,FALSE)</f>
        <v>Yorkville (H.S.)</v>
      </c>
    </row>
    <row r="767" spans="1:10" ht="15.75" thickBot="1" x14ac:dyDescent="0.3">
      <c r="A767" s="18" t="s">
        <v>893</v>
      </c>
      <c r="B767" s="3" t="s">
        <v>894</v>
      </c>
      <c r="C767" s="4"/>
      <c r="D767" s="4"/>
      <c r="E767" s="10" t="s">
        <v>9</v>
      </c>
      <c r="F767" s="4"/>
      <c r="G767" s="10" t="s">
        <v>9</v>
      </c>
      <c r="H767" s="4"/>
      <c r="I767" s="23" t="s">
        <v>9</v>
      </c>
      <c r="J767" t="str">
        <f>VLOOKUP(A767,All!A:A,1,FALSE)</f>
        <v>Yorkville (Parkview Christian Academy)</v>
      </c>
    </row>
    <row r="768" spans="1:10" ht="15.75" thickBot="1" x14ac:dyDescent="0.3">
      <c r="A768" s="20" t="s">
        <v>895</v>
      </c>
      <c r="B768" s="7" t="s">
        <v>896</v>
      </c>
      <c r="C768" s="6"/>
      <c r="D768" s="6"/>
      <c r="E768" s="10" t="s">
        <v>9</v>
      </c>
      <c r="F768" s="6"/>
      <c r="G768" s="10" t="s">
        <v>9</v>
      </c>
      <c r="H768" s="6"/>
      <c r="I768" s="24" t="s">
        <v>9</v>
      </c>
      <c r="J768" t="str">
        <f>VLOOKUP(A768,All!A:A,1,FALSE)</f>
        <v>Yorkville (Y. Christian)</v>
      </c>
    </row>
    <row r="769" spans="1:10" ht="15.75" thickBot="1" x14ac:dyDescent="0.3">
      <c r="A769" s="18" t="s">
        <v>897</v>
      </c>
      <c r="B769" s="3">
        <v>130</v>
      </c>
      <c r="C769" s="4"/>
      <c r="D769" s="4"/>
      <c r="E769" s="9" t="s">
        <v>9</v>
      </c>
      <c r="F769" s="9" t="s">
        <v>9</v>
      </c>
      <c r="G769" s="4"/>
      <c r="H769" s="4"/>
      <c r="I769" s="19" t="s">
        <v>9</v>
      </c>
      <c r="J769" t="str">
        <f>VLOOKUP(A769,All!A:A,1,FALSE)</f>
        <v>Zeigler (Z.-Royalton)</v>
      </c>
    </row>
    <row r="770" spans="1:10" ht="15.75" thickBot="1" x14ac:dyDescent="0.3">
      <c r="A770" s="33" t="s">
        <v>898</v>
      </c>
      <c r="B770" s="34">
        <v>2060</v>
      </c>
      <c r="C770" s="35" t="s">
        <v>12</v>
      </c>
      <c r="D770" s="35" t="s">
        <v>12</v>
      </c>
      <c r="E770" s="35" t="s">
        <v>12</v>
      </c>
      <c r="F770" s="35"/>
      <c r="G770" s="35" t="s">
        <v>12</v>
      </c>
      <c r="H770" s="35" t="s">
        <v>13</v>
      </c>
      <c r="I770" s="36" t="s">
        <v>11</v>
      </c>
      <c r="J770" t="str">
        <f>VLOOKUP(A770,All!A:A,1,FALSE)</f>
        <v>Zion (Z.-Benton)</v>
      </c>
    </row>
  </sheetData>
  <autoFilter ref="A1:J770" xr:uid="{5D0BA3F1-A8E8-45B4-BAAB-4975A5D54D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FF2F-1A60-468E-A678-FB92F081DA3D}">
  <dimension ref="A1:I791"/>
  <sheetViews>
    <sheetView workbookViewId="0">
      <selection activeCell="E1" sqref="B1:E1048576"/>
    </sheetView>
  </sheetViews>
  <sheetFormatPr defaultRowHeight="15" x14ac:dyDescent="0.25"/>
  <cols>
    <col min="1" max="1" width="50.7109375" bestFit="1" customWidth="1"/>
    <col min="9" max="9" width="44.7109375" bestFit="1" customWidth="1"/>
  </cols>
  <sheetData>
    <row r="1" spans="1:9" ht="15.75" thickBot="1" x14ac:dyDescent="0.3">
      <c r="A1" s="14" t="s">
        <v>0</v>
      </c>
      <c r="B1" s="15" t="s">
        <v>1</v>
      </c>
      <c r="C1" s="16" t="s">
        <v>899</v>
      </c>
      <c r="D1" s="16" t="s">
        <v>900</v>
      </c>
      <c r="E1" s="16" t="s">
        <v>901</v>
      </c>
      <c r="F1" s="16" t="s">
        <v>902</v>
      </c>
      <c r="G1" s="16" t="s">
        <v>903</v>
      </c>
      <c r="H1" s="17" t="s">
        <v>904</v>
      </c>
    </row>
    <row r="2" spans="1:9" ht="15.75" thickBot="1" x14ac:dyDescent="0.3">
      <c r="A2" s="18" t="s">
        <v>8</v>
      </c>
      <c r="B2" s="3">
        <v>270</v>
      </c>
      <c r="C2" s="4" t="s">
        <v>9</v>
      </c>
      <c r="D2" s="4" t="s">
        <v>9</v>
      </c>
      <c r="E2" s="4"/>
      <c r="F2" s="4"/>
      <c r="G2" s="4" t="s">
        <v>9</v>
      </c>
      <c r="H2" s="19" t="s">
        <v>9</v>
      </c>
      <c r="I2" t="str">
        <f>VLOOKUP(A2,All!A:A,1,FALSE)</f>
        <v>Abingdon (A.-Avon)</v>
      </c>
    </row>
    <row r="3" spans="1:9" ht="15.75" thickBot="1" x14ac:dyDescent="0.3">
      <c r="A3" s="20" t="s">
        <v>10</v>
      </c>
      <c r="B3" s="5">
        <v>1840</v>
      </c>
      <c r="C3" s="6" t="s">
        <v>11</v>
      </c>
      <c r="D3" s="6" t="s">
        <v>11</v>
      </c>
      <c r="E3" s="6" t="s">
        <v>905</v>
      </c>
      <c r="F3" s="6" t="s">
        <v>13</v>
      </c>
      <c r="G3" s="6" t="s">
        <v>13</v>
      </c>
      <c r="H3" s="21" t="s">
        <v>12</v>
      </c>
      <c r="I3" t="str">
        <f>VLOOKUP(A3,All!A:A,1,FALSE)</f>
        <v>Addison (A. Trail)</v>
      </c>
    </row>
    <row r="4" spans="1:9" ht="15.75" thickBot="1" x14ac:dyDescent="0.3">
      <c r="A4" s="18" t="s">
        <v>14</v>
      </c>
      <c r="B4" s="3">
        <v>215</v>
      </c>
      <c r="C4" s="4" t="s">
        <v>9</v>
      </c>
      <c r="D4" s="4" t="s">
        <v>9</v>
      </c>
      <c r="E4" s="4"/>
      <c r="F4" s="4"/>
      <c r="G4" s="4" t="s">
        <v>9</v>
      </c>
      <c r="H4" s="19"/>
      <c r="I4" t="str">
        <f>VLOOKUP(A4,All!A:A,1,FALSE)</f>
        <v>Albion (Edwards County)</v>
      </c>
    </row>
    <row r="5" spans="1:9" ht="15.75" thickBot="1" x14ac:dyDescent="0.3">
      <c r="A5" s="20" t="s">
        <v>15</v>
      </c>
      <c r="B5" s="7">
        <v>399</v>
      </c>
      <c r="C5" s="6" t="s">
        <v>13</v>
      </c>
      <c r="D5" s="6" t="s">
        <v>13</v>
      </c>
      <c r="E5" s="6"/>
      <c r="F5" s="6"/>
      <c r="G5" s="6" t="s">
        <v>9</v>
      </c>
      <c r="H5" s="21" t="s">
        <v>9</v>
      </c>
      <c r="I5" t="str">
        <f>VLOOKUP(A5,All!A:A,1,FALSE)</f>
        <v>Aledo (Mercer County)</v>
      </c>
    </row>
    <row r="6" spans="1:9" ht="15.75" thickBot="1" x14ac:dyDescent="0.3">
      <c r="A6" s="18" t="s">
        <v>16</v>
      </c>
      <c r="B6" s="8">
        <v>2048</v>
      </c>
      <c r="C6" s="4" t="s">
        <v>11</v>
      </c>
      <c r="D6" s="4" t="s">
        <v>11</v>
      </c>
      <c r="E6" s="4" t="s">
        <v>12</v>
      </c>
      <c r="F6" s="4" t="s">
        <v>12</v>
      </c>
      <c r="G6" s="4" t="s">
        <v>13</v>
      </c>
      <c r="H6" s="19" t="s">
        <v>12</v>
      </c>
      <c r="I6" t="str">
        <f>VLOOKUP(A6,All!A:A,1,FALSE)</f>
        <v>Algonquin (Jacobs)</v>
      </c>
    </row>
    <row r="7" spans="1:9" ht="15.75" thickBot="1" x14ac:dyDescent="0.3">
      <c r="A7" s="20" t="s">
        <v>17</v>
      </c>
      <c r="B7" s="7">
        <v>228</v>
      </c>
      <c r="C7" s="6" t="s">
        <v>9</v>
      </c>
      <c r="D7" s="6" t="s">
        <v>9</v>
      </c>
      <c r="E7" s="6"/>
      <c r="F7" s="6"/>
      <c r="G7" s="6" t="s">
        <v>9</v>
      </c>
      <c r="H7" s="21"/>
      <c r="I7" t="str">
        <f>VLOOKUP(A7,All!A:A,1,FALSE)</f>
        <v>Altamont</v>
      </c>
    </row>
    <row r="8" spans="1:9" ht="15.75" thickBot="1" x14ac:dyDescent="0.3">
      <c r="A8" s="18" t="s">
        <v>18</v>
      </c>
      <c r="B8" s="3" t="s">
        <v>19</v>
      </c>
      <c r="C8" s="10" t="s">
        <v>13</v>
      </c>
      <c r="D8" s="10" t="s">
        <v>13</v>
      </c>
      <c r="E8" s="4"/>
      <c r="F8" s="10" t="s">
        <v>9</v>
      </c>
      <c r="G8" s="10" t="s">
        <v>13</v>
      </c>
      <c r="H8" s="19"/>
      <c r="I8" t="str">
        <f>VLOOKUP(A8,All!A:A,1,FALSE)</f>
        <v>Alton (Marquette)</v>
      </c>
    </row>
    <row r="9" spans="1:9" ht="15.75" thickBot="1" x14ac:dyDescent="0.3">
      <c r="A9" s="20" t="s">
        <v>20</v>
      </c>
      <c r="B9" s="5">
        <v>1759</v>
      </c>
      <c r="C9" s="6" t="s">
        <v>11</v>
      </c>
      <c r="D9" s="6" t="s">
        <v>11</v>
      </c>
      <c r="E9" s="6" t="s">
        <v>905</v>
      </c>
      <c r="F9" s="6" t="s">
        <v>13</v>
      </c>
      <c r="G9" s="6" t="s">
        <v>13</v>
      </c>
      <c r="H9" s="21" t="s">
        <v>12</v>
      </c>
      <c r="I9" t="str">
        <f>VLOOKUP(A9,All!A:A,1,FALSE)</f>
        <v>Alton (Sr.)</v>
      </c>
    </row>
    <row r="10" spans="1:9" ht="15.75" thickBot="1" x14ac:dyDescent="0.3">
      <c r="A10" s="18" t="s">
        <v>21</v>
      </c>
      <c r="B10" s="3">
        <v>222</v>
      </c>
      <c r="C10" s="9" t="s">
        <v>9</v>
      </c>
      <c r="D10" s="9" t="s">
        <v>9</v>
      </c>
      <c r="E10" s="4"/>
      <c r="F10" s="4"/>
      <c r="G10" s="4" t="s">
        <v>9</v>
      </c>
      <c r="H10" s="22" t="s">
        <v>9</v>
      </c>
      <c r="I10" t="str">
        <f>VLOOKUP(A10,All!A:A,1,FALSE)</f>
        <v>Amboy</v>
      </c>
    </row>
    <row r="11" spans="1:9" ht="15.75" thickBot="1" x14ac:dyDescent="0.3">
      <c r="A11" s="20" t="s">
        <v>22</v>
      </c>
      <c r="B11" s="7">
        <v>453</v>
      </c>
      <c r="C11" s="6" t="s">
        <v>13</v>
      </c>
      <c r="D11" s="6" t="s">
        <v>13</v>
      </c>
      <c r="E11" s="6"/>
      <c r="F11" s="6"/>
      <c r="G11" s="6" t="s">
        <v>13</v>
      </c>
      <c r="H11" s="21" t="s">
        <v>9</v>
      </c>
      <c r="I11" t="str">
        <f>VLOOKUP(A11,All!A:A,1,FALSE)</f>
        <v>Anna (A.-Jonesboro)</v>
      </c>
    </row>
    <row r="12" spans="1:9" ht="15.75" thickBot="1" x14ac:dyDescent="0.3">
      <c r="A12" s="18" t="s">
        <v>906</v>
      </c>
      <c r="B12" s="3">
        <v>94</v>
      </c>
      <c r="C12" s="4" t="s">
        <v>9</v>
      </c>
      <c r="D12" s="4" t="s">
        <v>9</v>
      </c>
      <c r="E12" s="4"/>
      <c r="F12" s="4"/>
      <c r="G12" s="4" t="s">
        <v>9</v>
      </c>
      <c r="H12" s="19"/>
      <c r="I12" t="str">
        <f>VLOOKUP(A12,All!A:A,1,FALSE)</f>
        <v>Annawan</v>
      </c>
    </row>
    <row r="13" spans="1:9" ht="15.75" thickBot="1" x14ac:dyDescent="0.3">
      <c r="A13" s="20" t="s">
        <v>23</v>
      </c>
      <c r="B13" s="5">
        <v>1296</v>
      </c>
      <c r="C13" s="6" t="s">
        <v>12</v>
      </c>
      <c r="D13" s="6" t="s">
        <v>12</v>
      </c>
      <c r="E13" s="6" t="s">
        <v>13</v>
      </c>
      <c r="F13" s="6" t="s">
        <v>13</v>
      </c>
      <c r="G13" s="6" t="s">
        <v>13</v>
      </c>
      <c r="H13" s="21" t="s">
        <v>13</v>
      </c>
      <c r="I13" t="str">
        <f>VLOOKUP(A13,All!A:A,1,FALSE)</f>
        <v>Antioch</v>
      </c>
    </row>
    <row r="14" spans="1:9" ht="15.75" thickBot="1" x14ac:dyDescent="0.3">
      <c r="A14" s="18" t="s">
        <v>24</v>
      </c>
      <c r="B14" s="3">
        <v>194</v>
      </c>
      <c r="C14" s="4" t="s">
        <v>9</v>
      </c>
      <c r="D14" s="4" t="s">
        <v>9</v>
      </c>
      <c r="E14" s="4"/>
      <c r="F14" s="4"/>
      <c r="G14" s="4" t="s">
        <v>9</v>
      </c>
      <c r="H14" s="19"/>
      <c r="I14" t="str">
        <f>VLOOKUP(A14,All!A:A,1,FALSE)</f>
        <v>Arcola</v>
      </c>
    </row>
    <row r="15" spans="1:9" ht="15.75" thickBot="1" x14ac:dyDescent="0.3">
      <c r="A15" s="20" t="s">
        <v>25</v>
      </c>
      <c r="B15" s="7">
        <v>258</v>
      </c>
      <c r="C15" s="6" t="s">
        <v>9</v>
      </c>
      <c r="D15" s="6" t="s">
        <v>9</v>
      </c>
      <c r="E15" s="6"/>
      <c r="F15" s="6"/>
      <c r="G15" s="6" t="s">
        <v>9</v>
      </c>
      <c r="H15" s="21"/>
      <c r="I15" t="str">
        <f>VLOOKUP(A15,All!A:A,1,FALSE)</f>
        <v>Argenta (A.-Oreana)</v>
      </c>
    </row>
    <row r="16" spans="1:9" ht="15.75" thickBot="1" x14ac:dyDescent="0.3">
      <c r="A16" s="18" t="s">
        <v>26</v>
      </c>
      <c r="B16" s="8">
        <v>2046</v>
      </c>
      <c r="C16" s="4" t="s">
        <v>11</v>
      </c>
      <c r="D16" s="4" t="s">
        <v>11</v>
      </c>
      <c r="E16" s="4" t="s">
        <v>905</v>
      </c>
      <c r="F16" s="4" t="s">
        <v>12</v>
      </c>
      <c r="G16" s="4" t="s">
        <v>13</v>
      </c>
      <c r="H16" s="19" t="s">
        <v>12</v>
      </c>
      <c r="I16" t="str">
        <f>VLOOKUP(A16,All!A:A,1,FALSE)</f>
        <v>Arlington Heights (Hersey)</v>
      </c>
    </row>
    <row r="17" spans="1:9" ht="15.75" thickBot="1" x14ac:dyDescent="0.3">
      <c r="A17" s="20" t="s">
        <v>27</v>
      </c>
      <c r="B17" s="7" t="s">
        <v>28</v>
      </c>
      <c r="C17" s="10" t="s">
        <v>12</v>
      </c>
      <c r="D17" s="10" t="s">
        <v>12</v>
      </c>
      <c r="E17" s="10" t="s">
        <v>13</v>
      </c>
      <c r="F17" s="10" t="s">
        <v>13</v>
      </c>
      <c r="G17" s="10" t="s">
        <v>13</v>
      </c>
      <c r="H17" s="23" t="s">
        <v>13</v>
      </c>
      <c r="I17" t="str">
        <f>VLOOKUP(A17,All!A:A,1,FALSE)</f>
        <v>Arlington Heights (St. Viator)</v>
      </c>
    </row>
    <row r="18" spans="1:9" ht="15.75" thickBot="1" x14ac:dyDescent="0.3">
      <c r="A18" s="18" t="s">
        <v>29</v>
      </c>
      <c r="B18" s="3">
        <v>114</v>
      </c>
      <c r="C18" s="4" t="s">
        <v>9</v>
      </c>
      <c r="D18" s="4" t="s">
        <v>9</v>
      </c>
      <c r="E18" s="4"/>
      <c r="F18" s="4"/>
      <c r="G18" s="4" t="s">
        <v>9</v>
      </c>
      <c r="H18" s="19"/>
      <c r="I18" t="str">
        <f>VLOOKUP(A18,All!A:A,1,FALSE)</f>
        <v>Armstrong</v>
      </c>
    </row>
    <row r="19" spans="1:9" ht="15.75" thickBot="1" x14ac:dyDescent="0.3">
      <c r="A19" s="20" t="s">
        <v>30</v>
      </c>
      <c r="B19" s="7">
        <v>296</v>
      </c>
      <c r="C19" s="6" t="s">
        <v>9</v>
      </c>
      <c r="D19" s="6" t="s">
        <v>9</v>
      </c>
      <c r="E19" s="6"/>
      <c r="F19" s="6"/>
      <c r="G19" s="6" t="s">
        <v>9</v>
      </c>
      <c r="H19" s="21"/>
      <c r="I19" t="str">
        <f>VLOOKUP(A19,All!A:A,1,FALSE)</f>
        <v>Arthur (A.-Lovington-Atwood-Hammond)</v>
      </c>
    </row>
    <row r="20" spans="1:9" ht="15.75" thickBot="1" x14ac:dyDescent="0.3">
      <c r="A20" s="18" t="s">
        <v>31</v>
      </c>
      <c r="B20" s="3">
        <v>132</v>
      </c>
      <c r="C20" s="4" t="s">
        <v>9</v>
      </c>
      <c r="D20" s="4" t="s">
        <v>9</v>
      </c>
      <c r="E20" s="4"/>
      <c r="F20" s="4"/>
      <c r="G20" s="4" t="s">
        <v>9</v>
      </c>
      <c r="H20" s="19"/>
      <c r="I20" t="str">
        <f>VLOOKUP(A20,All!A:A,1,FALSE)</f>
        <v>Ashton (A.-Franklin Center)</v>
      </c>
    </row>
    <row r="21" spans="1:9" ht="15.75" thickBot="1" x14ac:dyDescent="0.3">
      <c r="A21" s="20" t="s">
        <v>32</v>
      </c>
      <c r="B21" s="7">
        <v>84</v>
      </c>
      <c r="C21" s="9" t="s">
        <v>9</v>
      </c>
      <c r="D21" s="9" t="s">
        <v>9</v>
      </c>
      <c r="E21" s="6"/>
      <c r="F21" s="6"/>
      <c r="G21" s="6"/>
      <c r="H21" s="21"/>
      <c r="I21" t="str">
        <f>VLOOKUP(A21,All!A:A,1,FALSE)</f>
        <v>Astoria</v>
      </c>
    </row>
    <row r="22" spans="1:9" ht="15.75" thickBot="1" x14ac:dyDescent="0.3">
      <c r="A22" s="18" t="s">
        <v>33</v>
      </c>
      <c r="B22" s="3">
        <v>289</v>
      </c>
      <c r="C22" s="4" t="s">
        <v>9</v>
      </c>
      <c r="D22" s="4" t="s">
        <v>9</v>
      </c>
      <c r="E22" s="4"/>
      <c r="F22" s="4"/>
      <c r="G22" s="4" t="s">
        <v>9</v>
      </c>
      <c r="H22" s="19"/>
      <c r="I22" t="str">
        <f>VLOOKUP(A22,All!A:A,1,FALSE)</f>
        <v>Athens</v>
      </c>
    </row>
    <row r="23" spans="1:9" ht="15.75" thickBot="1" x14ac:dyDescent="0.3">
      <c r="A23" s="20" t="s">
        <v>34</v>
      </c>
      <c r="B23" s="7">
        <v>317</v>
      </c>
      <c r="C23" s="6" t="s">
        <v>13</v>
      </c>
      <c r="D23" s="6" t="s">
        <v>13</v>
      </c>
      <c r="E23" s="6"/>
      <c r="F23" s="6"/>
      <c r="G23" s="6" t="s">
        <v>9</v>
      </c>
      <c r="H23" s="22" t="s">
        <v>9</v>
      </c>
      <c r="I23" t="str">
        <f>VLOOKUP(A23,All!A:A,1,FALSE)</f>
        <v>Auburn</v>
      </c>
    </row>
    <row r="24" spans="1:9" ht="15.75" thickBot="1" x14ac:dyDescent="0.3">
      <c r="A24" s="18" t="s">
        <v>35</v>
      </c>
      <c r="B24" s="3">
        <v>117</v>
      </c>
      <c r="C24" s="4" t="s">
        <v>9</v>
      </c>
      <c r="D24" s="4"/>
      <c r="E24" s="4"/>
      <c r="F24" s="4"/>
      <c r="G24" s="4" t="s">
        <v>9</v>
      </c>
      <c r="H24" s="19"/>
      <c r="I24" t="str">
        <f>VLOOKUP(A24,All!A:A,1,FALSE)</f>
        <v>Augusta (Southeastern)</v>
      </c>
    </row>
    <row r="25" spans="1:9" ht="15.75" thickBot="1" x14ac:dyDescent="0.3">
      <c r="A25" s="20" t="s">
        <v>36</v>
      </c>
      <c r="B25" s="7" t="s">
        <v>37</v>
      </c>
      <c r="C25" s="10" t="s">
        <v>13</v>
      </c>
      <c r="D25" s="11" t="s">
        <v>9</v>
      </c>
      <c r="E25" s="6"/>
      <c r="F25" s="6"/>
      <c r="G25" s="6"/>
      <c r="H25" s="21"/>
      <c r="I25" t="str">
        <f>VLOOKUP(A25,All!A:A,1,FALSE)</f>
        <v>Aurora (A. Christian)</v>
      </c>
    </row>
    <row r="26" spans="1:9" ht="15.75" thickBot="1" x14ac:dyDescent="0.3">
      <c r="A26" s="18" t="s">
        <v>38</v>
      </c>
      <c r="B26" s="3" t="s">
        <v>39</v>
      </c>
      <c r="C26" s="11" t="s">
        <v>13</v>
      </c>
      <c r="D26" s="10" t="s">
        <v>12</v>
      </c>
      <c r="E26" s="4"/>
      <c r="F26" s="10" t="s">
        <v>9</v>
      </c>
      <c r="G26" s="4"/>
      <c r="H26" s="23" t="s">
        <v>9</v>
      </c>
      <c r="I26" t="str">
        <f>VLOOKUP(A26,All!A:A,1,FALSE)</f>
        <v>Aurora (Central Catholic)</v>
      </c>
    </row>
    <row r="27" spans="1:9" ht="15.75" thickBot="1" x14ac:dyDescent="0.3">
      <c r="A27" s="25" t="s">
        <v>0</v>
      </c>
      <c r="B27" s="1" t="s">
        <v>1</v>
      </c>
      <c r="C27" s="2" t="s">
        <v>899</v>
      </c>
      <c r="D27" s="2" t="s">
        <v>900</v>
      </c>
      <c r="E27" s="2" t="s">
        <v>901</v>
      </c>
      <c r="F27" s="2" t="s">
        <v>902</v>
      </c>
      <c r="G27" s="2" t="s">
        <v>903</v>
      </c>
      <c r="H27" s="26" t="s">
        <v>904</v>
      </c>
      <c r="I27" t="str">
        <f>VLOOKUP(A27,All!A:A,1,FALSE)</f>
        <v>School</v>
      </c>
    </row>
    <row r="28" spans="1:9" ht="15.75" thickBot="1" x14ac:dyDescent="0.3">
      <c r="A28" s="20" t="s">
        <v>40</v>
      </c>
      <c r="B28" s="5">
        <v>3941</v>
      </c>
      <c r="C28" s="6" t="s">
        <v>11</v>
      </c>
      <c r="D28" s="6" t="s">
        <v>11</v>
      </c>
      <c r="E28" s="6" t="s">
        <v>905</v>
      </c>
      <c r="F28" s="6" t="s">
        <v>12</v>
      </c>
      <c r="G28" s="6" t="s">
        <v>13</v>
      </c>
      <c r="H28" s="21" t="s">
        <v>12</v>
      </c>
      <c r="I28" t="str">
        <f>VLOOKUP(A28,All!A:A,1,FALSE)</f>
        <v>Aurora (East)</v>
      </c>
    </row>
    <row r="29" spans="1:9" ht="15.75" thickBot="1" x14ac:dyDescent="0.3">
      <c r="A29" s="18" t="s">
        <v>41</v>
      </c>
      <c r="B29" s="3" t="s">
        <v>42</v>
      </c>
      <c r="C29" s="10" t="s">
        <v>12</v>
      </c>
      <c r="D29" s="10" t="s">
        <v>12</v>
      </c>
      <c r="E29" s="4"/>
      <c r="F29" s="11" t="s">
        <v>9</v>
      </c>
      <c r="G29" s="10" t="s">
        <v>13</v>
      </c>
      <c r="H29" s="19"/>
      <c r="I29" t="str">
        <f>VLOOKUP(A29,All!A:A,1,FALSE)</f>
        <v>Aurora (Illinois Math and Science Academy)</v>
      </c>
    </row>
    <row r="30" spans="1:9" ht="15.75" thickBot="1" x14ac:dyDescent="0.3">
      <c r="A30" s="20" t="s">
        <v>43</v>
      </c>
      <c r="B30" s="7" t="s">
        <v>44</v>
      </c>
      <c r="C30" s="10" t="s">
        <v>12</v>
      </c>
      <c r="D30" s="6"/>
      <c r="E30" s="6"/>
      <c r="F30" s="6"/>
      <c r="G30" s="6"/>
      <c r="H30" s="27" t="s">
        <v>12</v>
      </c>
      <c r="I30" t="str">
        <f>VLOOKUP(A30,All!A:A,1,FALSE)</f>
        <v>Aurora (Marmion Academy)</v>
      </c>
    </row>
    <row r="31" spans="1:9" ht="15.75" thickBot="1" x14ac:dyDescent="0.3">
      <c r="A31" s="18" t="s">
        <v>45</v>
      </c>
      <c r="B31" s="8">
        <v>2726</v>
      </c>
      <c r="C31" s="4" t="s">
        <v>11</v>
      </c>
      <c r="D31" s="4" t="s">
        <v>11</v>
      </c>
      <c r="E31" s="4" t="s">
        <v>12</v>
      </c>
      <c r="F31" s="4" t="s">
        <v>12</v>
      </c>
      <c r="G31" s="4" t="s">
        <v>13</v>
      </c>
      <c r="H31" s="19" t="s">
        <v>12</v>
      </c>
      <c r="I31" t="str">
        <f>VLOOKUP(A31,All!A:A,1,FALSE)</f>
        <v>Aurora (Metea Valley)</v>
      </c>
    </row>
    <row r="32" spans="1:9" ht="15.75" thickBot="1" x14ac:dyDescent="0.3">
      <c r="A32" s="20" t="s">
        <v>46</v>
      </c>
      <c r="B32" s="7" t="s">
        <v>47</v>
      </c>
      <c r="C32" s="6"/>
      <c r="D32" s="10" t="s">
        <v>13</v>
      </c>
      <c r="E32" s="6"/>
      <c r="F32" s="6"/>
      <c r="G32" s="6"/>
      <c r="H32" s="21"/>
      <c r="I32" t="str">
        <f>VLOOKUP(A32,All!A:A,1,FALSE)</f>
        <v>Aurora (Rosary)</v>
      </c>
    </row>
    <row r="33" spans="1:9" ht="15.75" thickBot="1" x14ac:dyDescent="0.3">
      <c r="A33" s="18" t="s">
        <v>48</v>
      </c>
      <c r="B33" s="8">
        <v>2717</v>
      </c>
      <c r="C33" s="4" t="s">
        <v>11</v>
      </c>
      <c r="D33" s="4" t="s">
        <v>11</v>
      </c>
      <c r="E33" s="4" t="s">
        <v>12</v>
      </c>
      <c r="F33" s="4" t="s">
        <v>12</v>
      </c>
      <c r="G33" s="4" t="s">
        <v>13</v>
      </c>
      <c r="H33" s="19" t="s">
        <v>12</v>
      </c>
      <c r="I33" t="str">
        <f>VLOOKUP(A33,All!A:A,1,FALSE)</f>
        <v>Aurora (Waubonsie Valley)</v>
      </c>
    </row>
    <row r="34" spans="1:9" ht="15.75" thickBot="1" x14ac:dyDescent="0.3">
      <c r="A34" s="20" t="s">
        <v>49</v>
      </c>
      <c r="B34" s="5">
        <v>3559</v>
      </c>
      <c r="C34" s="6" t="s">
        <v>11</v>
      </c>
      <c r="D34" s="6" t="s">
        <v>11</v>
      </c>
      <c r="E34" s="6" t="s">
        <v>12</v>
      </c>
      <c r="F34" s="6" t="s">
        <v>12</v>
      </c>
      <c r="G34" s="6" t="s">
        <v>13</v>
      </c>
      <c r="H34" s="21" t="s">
        <v>12</v>
      </c>
      <c r="I34" t="str">
        <f>VLOOKUP(A34,All!A:A,1,FALSE)</f>
        <v>Aurora (West Aurora)</v>
      </c>
    </row>
    <row r="35" spans="1:9" ht="15.75" thickBot="1" x14ac:dyDescent="0.3">
      <c r="A35" s="18" t="s">
        <v>50</v>
      </c>
      <c r="B35" s="8">
        <v>2692</v>
      </c>
      <c r="C35" s="4" t="s">
        <v>11</v>
      </c>
      <c r="D35" s="4" t="s">
        <v>11</v>
      </c>
      <c r="E35" s="4" t="s">
        <v>12</v>
      </c>
      <c r="F35" s="4" t="s">
        <v>12</v>
      </c>
      <c r="G35" s="4" t="s">
        <v>13</v>
      </c>
      <c r="H35" s="19" t="s">
        <v>12</v>
      </c>
      <c r="I35" t="str">
        <f>VLOOKUP(A35,All!A:A,1,FALSE)</f>
        <v>Barrington</v>
      </c>
    </row>
    <row r="36" spans="1:9" ht="15.75" thickBot="1" x14ac:dyDescent="0.3">
      <c r="A36" s="20" t="s">
        <v>51</v>
      </c>
      <c r="B36" s="7">
        <v>140</v>
      </c>
      <c r="C36" s="6" t="s">
        <v>9</v>
      </c>
      <c r="D36" s="6" t="s">
        <v>9</v>
      </c>
      <c r="E36" s="6"/>
      <c r="F36" s="6"/>
      <c r="G36" s="6" t="s">
        <v>9</v>
      </c>
      <c r="H36" s="21"/>
      <c r="I36" t="str">
        <f>VLOOKUP(A36,All!A:A,1,FALSE)</f>
        <v>Barry (Western)</v>
      </c>
    </row>
    <row r="37" spans="1:9" ht="15.75" thickBot="1" x14ac:dyDescent="0.3">
      <c r="A37" s="18" t="s">
        <v>52</v>
      </c>
      <c r="B37" s="8">
        <v>2223</v>
      </c>
      <c r="C37" s="4" t="s">
        <v>11</v>
      </c>
      <c r="D37" s="4" t="s">
        <v>11</v>
      </c>
      <c r="E37" s="4" t="s">
        <v>12</v>
      </c>
      <c r="F37" s="4" t="s">
        <v>12</v>
      </c>
      <c r="G37" s="4" t="s">
        <v>13</v>
      </c>
      <c r="H37" s="19" t="s">
        <v>12</v>
      </c>
      <c r="I37" t="str">
        <f>VLOOKUP(A37,All!A:A,1,FALSE)</f>
        <v>Bartlett</v>
      </c>
    </row>
    <row r="38" spans="1:9" ht="15.75" thickBot="1" x14ac:dyDescent="0.3">
      <c r="A38" s="20" t="s">
        <v>53</v>
      </c>
      <c r="B38" s="7">
        <v>856</v>
      </c>
      <c r="C38" s="6" t="s">
        <v>12</v>
      </c>
      <c r="D38" s="6" t="s">
        <v>12</v>
      </c>
      <c r="E38" s="6" t="s">
        <v>13</v>
      </c>
      <c r="F38" s="6"/>
      <c r="G38" s="6" t="s">
        <v>13</v>
      </c>
      <c r="H38" s="21" t="s">
        <v>13</v>
      </c>
      <c r="I38" t="str">
        <f>VLOOKUP(A38,All!A:A,1,FALSE)</f>
        <v>Bartonville (Limestone)</v>
      </c>
    </row>
    <row r="39" spans="1:9" ht="15.75" thickBot="1" x14ac:dyDescent="0.3">
      <c r="A39" s="18" t="s">
        <v>54</v>
      </c>
      <c r="B39" s="8">
        <v>1632</v>
      </c>
      <c r="C39" s="4" t="s">
        <v>11</v>
      </c>
      <c r="D39" s="4" t="s">
        <v>11</v>
      </c>
      <c r="E39" s="4" t="s">
        <v>12</v>
      </c>
      <c r="F39" s="4" t="s">
        <v>13</v>
      </c>
      <c r="G39" s="4" t="s">
        <v>13</v>
      </c>
      <c r="H39" s="19" t="s">
        <v>13</v>
      </c>
      <c r="I39" t="str">
        <f>VLOOKUP(A39,All!A:A,1,FALSE)</f>
        <v>Batavia</v>
      </c>
    </row>
    <row r="40" spans="1:9" ht="15.75" thickBot="1" x14ac:dyDescent="0.3">
      <c r="A40" s="20" t="s">
        <v>55</v>
      </c>
      <c r="B40" s="7">
        <v>423</v>
      </c>
      <c r="C40" s="6" t="s">
        <v>13</v>
      </c>
      <c r="D40" s="6" t="s">
        <v>13</v>
      </c>
      <c r="E40" s="6"/>
      <c r="F40" s="6"/>
      <c r="G40" s="6" t="s">
        <v>9</v>
      </c>
      <c r="H40" s="21" t="s">
        <v>9</v>
      </c>
      <c r="I40" t="str">
        <f>VLOOKUP(A40,All!A:A,1,FALSE)</f>
        <v>Beardstown (H.S.)</v>
      </c>
    </row>
    <row r="41" spans="1:9" ht="15.75" thickBot="1" x14ac:dyDescent="0.3">
      <c r="A41" s="18" t="s">
        <v>56</v>
      </c>
      <c r="B41" s="3">
        <v>334</v>
      </c>
      <c r="C41" s="4" t="s">
        <v>13</v>
      </c>
      <c r="D41" s="4" t="s">
        <v>13</v>
      </c>
      <c r="E41" s="4"/>
      <c r="F41" s="4"/>
      <c r="G41" s="4" t="s">
        <v>9</v>
      </c>
      <c r="H41" s="19"/>
      <c r="I41" t="str">
        <f>VLOOKUP(A41,All!A:A,1,FALSE)</f>
        <v>Beecher</v>
      </c>
    </row>
    <row r="42" spans="1:9" ht="15.75" thickBot="1" x14ac:dyDescent="0.3">
      <c r="A42" s="20" t="s">
        <v>57</v>
      </c>
      <c r="B42" s="7">
        <v>89</v>
      </c>
      <c r="C42" s="9" t="s">
        <v>9</v>
      </c>
      <c r="D42" s="6"/>
      <c r="E42" s="6"/>
      <c r="F42" s="6"/>
      <c r="G42" s="9" t="s">
        <v>9</v>
      </c>
      <c r="H42" s="21"/>
      <c r="I42" t="str">
        <f>VLOOKUP(A42,All!A:A,1,FALSE)</f>
        <v>Beecher City</v>
      </c>
    </row>
    <row r="43" spans="1:9" ht="15.75" thickBot="1" x14ac:dyDescent="0.3">
      <c r="A43" s="18" t="s">
        <v>58</v>
      </c>
      <c r="B43" s="3" t="s">
        <v>59</v>
      </c>
      <c r="C43" s="10" t="s">
        <v>13</v>
      </c>
      <c r="D43" s="10" t="s">
        <v>13</v>
      </c>
      <c r="E43" s="4"/>
      <c r="F43" s="4"/>
      <c r="G43" s="10" t="s">
        <v>13</v>
      </c>
      <c r="H43" s="23" t="s">
        <v>9</v>
      </c>
      <c r="I43" t="str">
        <f>VLOOKUP(A43,All!A:A,1,FALSE)</f>
        <v>Belleville (Althoff Catholic)</v>
      </c>
    </row>
    <row r="44" spans="1:9" ht="15.75" thickBot="1" x14ac:dyDescent="0.3">
      <c r="A44" s="20" t="s">
        <v>60</v>
      </c>
      <c r="B44" s="5">
        <v>2352</v>
      </c>
      <c r="C44" s="6" t="s">
        <v>11</v>
      </c>
      <c r="D44" s="6" t="s">
        <v>11</v>
      </c>
      <c r="E44" s="6" t="s">
        <v>12</v>
      </c>
      <c r="F44" s="6"/>
      <c r="G44" s="6" t="s">
        <v>13</v>
      </c>
      <c r="H44" s="21" t="s">
        <v>12</v>
      </c>
      <c r="I44" t="str">
        <f>VLOOKUP(A44,All!A:A,1,FALSE)</f>
        <v>Belleville (East)</v>
      </c>
    </row>
    <row r="45" spans="1:9" ht="15.75" thickBot="1" x14ac:dyDescent="0.3">
      <c r="A45" s="18" t="s">
        <v>61</v>
      </c>
      <c r="B45" s="8">
        <v>1990</v>
      </c>
      <c r="C45" s="4" t="s">
        <v>11</v>
      </c>
      <c r="D45" s="4" t="s">
        <v>11</v>
      </c>
      <c r="E45" s="4" t="s">
        <v>12</v>
      </c>
      <c r="F45" s="4" t="s">
        <v>12</v>
      </c>
      <c r="G45" s="4" t="s">
        <v>13</v>
      </c>
      <c r="H45" s="19" t="s">
        <v>12</v>
      </c>
      <c r="I45" t="str">
        <f>VLOOKUP(A45,All!A:A,1,FALSE)</f>
        <v>Belleville (West)</v>
      </c>
    </row>
    <row r="46" spans="1:9" ht="15.75" thickBot="1" x14ac:dyDescent="0.3">
      <c r="A46" s="20" t="s">
        <v>62</v>
      </c>
      <c r="B46" s="5">
        <v>1113</v>
      </c>
      <c r="C46" s="6" t="s">
        <v>12</v>
      </c>
      <c r="D46" s="6" t="s">
        <v>12</v>
      </c>
      <c r="E46" s="6" t="s">
        <v>13</v>
      </c>
      <c r="F46" s="6" t="s">
        <v>13</v>
      </c>
      <c r="G46" s="6" t="s">
        <v>13</v>
      </c>
      <c r="H46" s="21" t="s">
        <v>13</v>
      </c>
      <c r="I46" t="str">
        <f>VLOOKUP(A46,All!A:A,1,FALSE)</f>
        <v>Belvidere (H.S.)</v>
      </c>
    </row>
    <row r="47" spans="1:9" ht="15.75" thickBot="1" x14ac:dyDescent="0.3">
      <c r="A47" s="18" t="s">
        <v>63</v>
      </c>
      <c r="B47" s="8">
        <v>1304</v>
      </c>
      <c r="C47" s="4" t="s">
        <v>12</v>
      </c>
      <c r="D47" s="4" t="s">
        <v>12</v>
      </c>
      <c r="E47" s="4" t="s">
        <v>905</v>
      </c>
      <c r="F47" s="4" t="s">
        <v>13</v>
      </c>
      <c r="G47" s="4" t="s">
        <v>13</v>
      </c>
      <c r="H47" s="19" t="s">
        <v>13</v>
      </c>
      <c r="I47" t="str">
        <f>VLOOKUP(A47,All!A:A,1,FALSE)</f>
        <v>Belvidere (North)</v>
      </c>
    </row>
    <row r="48" spans="1:9" ht="15.75" thickBot="1" x14ac:dyDescent="0.3">
      <c r="A48" s="20" t="s">
        <v>64</v>
      </c>
      <c r="B48" s="5">
        <v>1347</v>
      </c>
      <c r="C48" s="6" t="s">
        <v>12</v>
      </c>
      <c r="D48" s="6" t="s">
        <v>12</v>
      </c>
      <c r="E48" s="6" t="s">
        <v>13</v>
      </c>
      <c r="F48" s="6" t="s">
        <v>13</v>
      </c>
      <c r="G48" s="6" t="s">
        <v>13</v>
      </c>
      <c r="H48" s="21" t="s">
        <v>13</v>
      </c>
      <c r="I48" t="str">
        <f>VLOOKUP(A48,All!A:A,1,FALSE)</f>
        <v>Bensenville (Fenton)</v>
      </c>
    </row>
    <row r="49" spans="1:9" ht="15.75" thickBot="1" x14ac:dyDescent="0.3">
      <c r="A49" s="18" t="s">
        <v>65</v>
      </c>
      <c r="B49" s="3">
        <v>594</v>
      </c>
      <c r="C49" s="4" t="s">
        <v>13</v>
      </c>
      <c r="D49" s="4" t="s">
        <v>13</v>
      </c>
      <c r="E49" s="4" t="s">
        <v>9</v>
      </c>
      <c r="F49" s="4" t="s">
        <v>9</v>
      </c>
      <c r="G49" s="4" t="s">
        <v>13</v>
      </c>
      <c r="H49" s="19" t="s">
        <v>9</v>
      </c>
      <c r="I49" t="str">
        <f>VLOOKUP(A49,All!A:A,1,FALSE)</f>
        <v>Benton</v>
      </c>
    </row>
    <row r="50" spans="1:9" ht="15.75" thickBot="1" x14ac:dyDescent="0.3">
      <c r="A50" s="20" t="s">
        <v>66</v>
      </c>
      <c r="B50" s="5">
        <v>7552</v>
      </c>
      <c r="C50" s="6" t="s">
        <v>11</v>
      </c>
      <c r="D50" s="6" t="s">
        <v>11</v>
      </c>
      <c r="E50" s="6" t="s">
        <v>905</v>
      </c>
      <c r="F50" s="6" t="s">
        <v>12</v>
      </c>
      <c r="G50" s="6"/>
      <c r="H50" s="21" t="s">
        <v>12</v>
      </c>
      <c r="I50" t="str">
        <f>VLOOKUP(A50,All!A:A,1,FALSE)</f>
        <v>Berwyn-Cicero (Morton)</v>
      </c>
    </row>
    <row r="51" spans="1:9" ht="15.75" thickBot="1" x14ac:dyDescent="0.3">
      <c r="A51" s="18" t="s">
        <v>67</v>
      </c>
      <c r="B51" s="3">
        <v>754</v>
      </c>
      <c r="C51" s="4" t="s">
        <v>12</v>
      </c>
      <c r="D51" s="4" t="s">
        <v>12</v>
      </c>
      <c r="E51" s="4" t="s">
        <v>13</v>
      </c>
      <c r="F51" s="4" t="s">
        <v>9</v>
      </c>
      <c r="G51" s="4" t="s">
        <v>13</v>
      </c>
      <c r="H51" s="32" t="s">
        <v>13</v>
      </c>
      <c r="I51" t="str">
        <f>VLOOKUP(A51,All!A:A,1,FALSE)</f>
        <v>Bethalto (Civic Memorial)</v>
      </c>
    </row>
    <row r="52" spans="1:9" ht="15.75" thickBot="1" x14ac:dyDescent="0.3">
      <c r="A52" s="20" t="s">
        <v>68</v>
      </c>
      <c r="B52" s="7">
        <v>155</v>
      </c>
      <c r="C52" s="6" t="s">
        <v>9</v>
      </c>
      <c r="D52" s="6" t="s">
        <v>9</v>
      </c>
      <c r="E52" s="6"/>
      <c r="F52" s="6"/>
      <c r="G52" s="6" t="s">
        <v>9</v>
      </c>
      <c r="H52" s="21"/>
      <c r="I52" t="str">
        <f>VLOOKUP(A52,All!A:A,1,FALSE)</f>
        <v>Bethany (Okaw Valley)</v>
      </c>
    </row>
    <row r="53" spans="1:9" ht="15.75" thickBot="1" x14ac:dyDescent="0.3">
      <c r="A53" s="25" t="s">
        <v>0</v>
      </c>
      <c r="B53" s="1" t="s">
        <v>1</v>
      </c>
      <c r="C53" s="2" t="s">
        <v>899</v>
      </c>
      <c r="D53" s="2" t="s">
        <v>900</v>
      </c>
      <c r="E53" s="2" t="s">
        <v>901</v>
      </c>
      <c r="F53" s="2" t="s">
        <v>902</v>
      </c>
      <c r="G53" s="2" t="s">
        <v>903</v>
      </c>
      <c r="H53" s="26" t="s">
        <v>904</v>
      </c>
      <c r="I53" t="str">
        <f>VLOOKUP(A53,All!A:A,1,FALSE)</f>
        <v>School</v>
      </c>
    </row>
    <row r="54" spans="1:9" ht="15.75" thickBot="1" x14ac:dyDescent="0.3">
      <c r="A54" s="18" t="s">
        <v>69</v>
      </c>
      <c r="B54" s="3">
        <v>202</v>
      </c>
      <c r="C54" s="4" t="s">
        <v>9</v>
      </c>
      <c r="D54" s="4" t="s">
        <v>9</v>
      </c>
      <c r="E54" s="4"/>
      <c r="F54" s="4"/>
      <c r="G54" s="4" t="s">
        <v>9</v>
      </c>
      <c r="H54" s="19"/>
      <c r="I54" t="str">
        <f>VLOOKUP(A54,All!A:A,1,FALSE)</f>
        <v>Biggsville (West Central)</v>
      </c>
    </row>
    <row r="55" spans="1:9" ht="15.75" thickBot="1" x14ac:dyDescent="0.3">
      <c r="A55" s="20" t="s">
        <v>70</v>
      </c>
      <c r="B55" s="7">
        <v>354</v>
      </c>
      <c r="C55" s="6" t="s">
        <v>13</v>
      </c>
      <c r="D55" s="6" t="s">
        <v>13</v>
      </c>
      <c r="E55" s="6"/>
      <c r="F55" s="6"/>
      <c r="G55" s="6" t="s">
        <v>9</v>
      </c>
      <c r="H55" s="22" t="s">
        <v>9</v>
      </c>
      <c r="I55" t="str">
        <f>VLOOKUP(A55,All!A:A,1,FALSE)</f>
        <v>Bismarck (B.-Henning-Rossville-Alvin)</v>
      </c>
    </row>
    <row r="56" spans="1:9" ht="15.75" thickBot="1" x14ac:dyDescent="0.3">
      <c r="A56" s="18" t="s">
        <v>71</v>
      </c>
      <c r="B56" s="3" t="s">
        <v>72</v>
      </c>
      <c r="C56" s="10" t="s">
        <v>13</v>
      </c>
      <c r="D56" s="10" t="s">
        <v>13</v>
      </c>
      <c r="E56" s="4"/>
      <c r="F56" s="4"/>
      <c r="G56" s="10" t="s">
        <v>13</v>
      </c>
      <c r="H56" s="19"/>
      <c r="I56" t="str">
        <f>VLOOKUP(A56,All!A:A,1,FALSE)</f>
        <v>Bloomington (Central Catholic)</v>
      </c>
    </row>
    <row r="57" spans="1:9" ht="15.75" thickBot="1" x14ac:dyDescent="0.3">
      <c r="A57" s="20" t="s">
        <v>73</v>
      </c>
      <c r="B57" s="7" t="s">
        <v>74</v>
      </c>
      <c r="C57" s="10" t="s">
        <v>9</v>
      </c>
      <c r="D57" s="10" t="s">
        <v>9</v>
      </c>
      <c r="E57" s="6"/>
      <c r="F57" s="6"/>
      <c r="G57" s="10" t="s">
        <v>9</v>
      </c>
      <c r="H57" s="21"/>
      <c r="I57" t="str">
        <f>VLOOKUP(A57,All!A:A,1,FALSE)</f>
        <v>Bloomington (Cornerstone Christian Academy)</v>
      </c>
    </row>
    <row r="58" spans="1:9" ht="15.75" thickBot="1" x14ac:dyDescent="0.3">
      <c r="A58" s="18" t="s">
        <v>75</v>
      </c>
      <c r="B58" s="8">
        <v>1280</v>
      </c>
      <c r="C58" s="4" t="s">
        <v>12</v>
      </c>
      <c r="D58" s="4" t="s">
        <v>12</v>
      </c>
      <c r="E58" s="4" t="s">
        <v>13</v>
      </c>
      <c r="F58" s="4" t="s">
        <v>13</v>
      </c>
      <c r="G58" s="4" t="s">
        <v>13</v>
      </c>
      <c r="H58" s="19" t="s">
        <v>13</v>
      </c>
      <c r="I58" t="str">
        <f>VLOOKUP(A58,All!A:A,1,FALSE)</f>
        <v>Bloomington (H.S.)</v>
      </c>
    </row>
    <row r="59" spans="1:9" ht="15.75" thickBot="1" x14ac:dyDescent="0.3">
      <c r="A59" s="20" t="s">
        <v>76</v>
      </c>
      <c r="B59" s="5">
        <v>1770</v>
      </c>
      <c r="C59" s="6" t="s">
        <v>11</v>
      </c>
      <c r="D59" s="6" t="s">
        <v>11</v>
      </c>
      <c r="E59" s="6" t="s">
        <v>12</v>
      </c>
      <c r="F59" s="6" t="s">
        <v>13</v>
      </c>
      <c r="G59" s="6"/>
      <c r="H59" s="21" t="s">
        <v>12</v>
      </c>
      <c r="I59" t="str">
        <f>VLOOKUP(A59,All!A:A,1,FALSE)</f>
        <v>Blue Island (Eisenhower)</v>
      </c>
    </row>
    <row r="60" spans="1:9" ht="15.75" thickBot="1" x14ac:dyDescent="0.3">
      <c r="A60" s="18" t="s">
        <v>77</v>
      </c>
      <c r="B60" s="3">
        <v>51</v>
      </c>
      <c r="C60" s="4"/>
      <c r="D60" s="9" t="s">
        <v>9</v>
      </c>
      <c r="E60" s="4"/>
      <c r="F60" s="4"/>
      <c r="G60" s="4"/>
      <c r="H60" s="19"/>
      <c r="I60" t="str">
        <f>VLOOKUP(A60,All!A:A,1,FALSE)</f>
        <v>Bluffs</v>
      </c>
    </row>
    <row r="61" spans="1:9" ht="15.75" thickBot="1" x14ac:dyDescent="0.3">
      <c r="A61" s="20" t="s">
        <v>78</v>
      </c>
      <c r="B61" s="7">
        <v>132</v>
      </c>
      <c r="C61" s="6" t="s">
        <v>9</v>
      </c>
      <c r="D61" s="6" t="s">
        <v>9</v>
      </c>
      <c r="E61" s="6"/>
      <c r="F61" s="6"/>
      <c r="G61" s="6" t="s">
        <v>9</v>
      </c>
      <c r="H61" s="21"/>
      <c r="I61" t="str">
        <f>VLOOKUP(A61,All!A:A,1,FALSE)</f>
        <v>Bluford (Webber)</v>
      </c>
    </row>
    <row r="62" spans="1:9" ht="15.75" thickBot="1" x14ac:dyDescent="0.3">
      <c r="A62" s="18" t="s">
        <v>79</v>
      </c>
      <c r="B62" s="8">
        <v>3244</v>
      </c>
      <c r="C62" s="4" t="s">
        <v>11</v>
      </c>
      <c r="D62" s="4" t="s">
        <v>11</v>
      </c>
      <c r="E62" s="4" t="s">
        <v>905</v>
      </c>
      <c r="F62" s="4" t="s">
        <v>12</v>
      </c>
      <c r="G62" s="4" t="s">
        <v>13</v>
      </c>
      <c r="H62" s="19" t="s">
        <v>12</v>
      </c>
      <c r="I62" t="str">
        <f>VLOOKUP(A62,All!A:A,1,FALSE)</f>
        <v>Bolingbrook</v>
      </c>
    </row>
    <row r="63" spans="1:9" ht="15.75" thickBot="1" x14ac:dyDescent="0.3">
      <c r="A63" s="20" t="s">
        <v>80</v>
      </c>
      <c r="B63" s="5">
        <v>1817</v>
      </c>
      <c r="C63" s="6" t="s">
        <v>11</v>
      </c>
      <c r="D63" s="6" t="s">
        <v>11</v>
      </c>
      <c r="E63" s="6" t="s">
        <v>905</v>
      </c>
      <c r="F63" s="6" t="s">
        <v>13</v>
      </c>
      <c r="G63" s="6" t="s">
        <v>13</v>
      </c>
      <c r="H63" s="21" t="s">
        <v>12</v>
      </c>
      <c r="I63" t="str">
        <f>VLOOKUP(A63,All!A:A,1,FALSE)</f>
        <v>Bradley (B.-Bourbonnais)</v>
      </c>
    </row>
    <row r="64" spans="1:9" ht="15.75" thickBot="1" x14ac:dyDescent="0.3">
      <c r="A64" s="18" t="s">
        <v>81</v>
      </c>
      <c r="B64" s="3">
        <v>375</v>
      </c>
      <c r="C64" s="4" t="s">
        <v>13</v>
      </c>
      <c r="D64" s="4" t="s">
        <v>13</v>
      </c>
      <c r="E64" s="4" t="s">
        <v>9</v>
      </c>
      <c r="F64" s="4"/>
      <c r="G64" s="4" t="s">
        <v>9</v>
      </c>
      <c r="H64" s="19" t="s">
        <v>9</v>
      </c>
      <c r="I64" t="str">
        <f>VLOOKUP(A64,All!A:A,1,FALSE)</f>
        <v>Braidwood (Reed-Custer)</v>
      </c>
    </row>
    <row r="65" spans="1:9" ht="15.75" thickBot="1" x14ac:dyDescent="0.3">
      <c r="A65" s="20" t="s">
        <v>82</v>
      </c>
      <c r="B65" s="7">
        <v>628</v>
      </c>
      <c r="C65" s="6" t="s">
        <v>13</v>
      </c>
      <c r="D65" s="6" t="s">
        <v>13</v>
      </c>
      <c r="E65" s="6" t="s">
        <v>9</v>
      </c>
      <c r="F65" s="6"/>
      <c r="G65" s="6" t="s">
        <v>13</v>
      </c>
      <c r="H65" s="21" t="s">
        <v>9</v>
      </c>
      <c r="I65" t="str">
        <f>VLOOKUP(A65,All!A:A,1,FALSE)</f>
        <v>Breese (Central)</v>
      </c>
    </row>
    <row r="66" spans="1:9" ht="15.75" thickBot="1" x14ac:dyDescent="0.3">
      <c r="A66" s="18" t="s">
        <v>83</v>
      </c>
      <c r="B66" s="3" t="s">
        <v>84</v>
      </c>
      <c r="C66" s="10" t="s">
        <v>13</v>
      </c>
      <c r="D66" s="10" t="s">
        <v>13</v>
      </c>
      <c r="E66" s="10" t="s">
        <v>9</v>
      </c>
      <c r="F66" s="4"/>
      <c r="G66" s="10" t="s">
        <v>13</v>
      </c>
      <c r="H66" s="19"/>
      <c r="I66" t="str">
        <f>VLOOKUP(A66,All!A:A,1,FALSE)</f>
        <v>Breese (Mater Dei)</v>
      </c>
    </row>
    <row r="67" spans="1:9" ht="15.75" thickBot="1" x14ac:dyDescent="0.3">
      <c r="A67" s="20" t="s">
        <v>85</v>
      </c>
      <c r="B67" s="7">
        <v>242</v>
      </c>
      <c r="C67" s="6" t="s">
        <v>9</v>
      </c>
      <c r="D67" s="6" t="s">
        <v>9</v>
      </c>
      <c r="E67" s="6"/>
      <c r="F67" s="6"/>
      <c r="G67" s="6" t="s">
        <v>9</v>
      </c>
      <c r="H67" s="21"/>
      <c r="I67" t="str">
        <f>VLOOKUP(A67,All!A:A,1,FALSE)</f>
        <v>Bridgeport (Red Hill)</v>
      </c>
    </row>
    <row r="68" spans="1:9" ht="15.75" thickBot="1" x14ac:dyDescent="0.3">
      <c r="A68" s="18" t="s">
        <v>907</v>
      </c>
      <c r="B68" s="3" t="s">
        <v>908</v>
      </c>
      <c r="C68" s="10" t="s">
        <v>13</v>
      </c>
      <c r="D68" s="4"/>
      <c r="E68" s="4"/>
      <c r="F68" s="4"/>
      <c r="G68" s="4"/>
      <c r="H68" s="23" t="s">
        <v>9</v>
      </c>
      <c r="I68" t="str">
        <f>VLOOKUP(A68,All!A:A,1,FALSE)</f>
        <v>Bridgeview (Universal)</v>
      </c>
    </row>
    <row r="69" spans="1:9" ht="15.75" thickBot="1" x14ac:dyDescent="0.3">
      <c r="A69" s="20" t="s">
        <v>86</v>
      </c>
      <c r="B69" s="7">
        <v>184</v>
      </c>
      <c r="C69" s="6" t="s">
        <v>9</v>
      </c>
      <c r="D69" s="6" t="s">
        <v>9</v>
      </c>
      <c r="E69" s="6" t="s">
        <v>9</v>
      </c>
      <c r="F69" s="6"/>
      <c r="G69" s="6" t="s">
        <v>9</v>
      </c>
      <c r="H69" s="21"/>
      <c r="I69" t="str">
        <f>VLOOKUP(A69,All!A:A,1,FALSE)</f>
        <v>Brimfield</v>
      </c>
    </row>
    <row r="70" spans="1:9" ht="15.75" thickBot="1" x14ac:dyDescent="0.3">
      <c r="A70" s="18" t="s">
        <v>87</v>
      </c>
      <c r="B70" s="3">
        <v>120</v>
      </c>
      <c r="C70" s="4" t="s">
        <v>9</v>
      </c>
      <c r="D70" s="9" t="s">
        <v>9</v>
      </c>
      <c r="E70" s="4"/>
      <c r="F70" s="4"/>
      <c r="G70" s="4" t="s">
        <v>9</v>
      </c>
      <c r="H70" s="19"/>
      <c r="I70" t="str">
        <f>VLOOKUP(A70,All!A:A,1,FALSE)</f>
        <v>Broadlands (Heritage)</v>
      </c>
    </row>
    <row r="71" spans="1:9" ht="15.75" thickBot="1" x14ac:dyDescent="0.3">
      <c r="A71" s="20" t="s">
        <v>88</v>
      </c>
      <c r="B71" s="7">
        <v>94</v>
      </c>
      <c r="C71" s="6"/>
      <c r="D71" s="9" t="s">
        <v>9</v>
      </c>
      <c r="E71" s="6"/>
      <c r="F71" s="6"/>
      <c r="G71" s="6"/>
      <c r="H71" s="21"/>
      <c r="I71" t="str">
        <f>VLOOKUP(A71,All!A:A,1,FALSE)</f>
        <v>Brownstown</v>
      </c>
    </row>
    <row r="72" spans="1:9" ht="15.75" thickBot="1" x14ac:dyDescent="0.3">
      <c r="A72" s="18" t="s">
        <v>909</v>
      </c>
      <c r="B72" s="3">
        <v>40</v>
      </c>
      <c r="C72" s="4"/>
      <c r="D72" s="4"/>
      <c r="E72" s="4"/>
      <c r="F72" s="4"/>
      <c r="G72" s="4" t="s">
        <v>9</v>
      </c>
      <c r="H72" s="19"/>
      <c r="I72" t="str">
        <f>VLOOKUP(A72,All!A:A,1,FALSE)</f>
        <v>Brussels</v>
      </c>
    </row>
    <row r="73" spans="1:9" ht="15.75" thickBot="1" x14ac:dyDescent="0.3">
      <c r="A73" s="20" t="s">
        <v>89</v>
      </c>
      <c r="B73" s="7" t="s">
        <v>90</v>
      </c>
      <c r="C73" s="6"/>
      <c r="D73" s="6"/>
      <c r="E73" s="6"/>
      <c r="F73" s="6"/>
      <c r="G73" s="10" t="s">
        <v>9</v>
      </c>
      <c r="H73" s="21"/>
      <c r="I73" t="str">
        <f>VLOOKUP(A73,All!A:A,1,FALSE)</f>
        <v>Buckley (Christ Lutheran)</v>
      </c>
    </row>
    <row r="74" spans="1:9" ht="15.75" thickBot="1" x14ac:dyDescent="0.3">
      <c r="A74" s="18" t="s">
        <v>91</v>
      </c>
      <c r="B74" s="3">
        <v>149</v>
      </c>
      <c r="C74" s="9" t="s">
        <v>13</v>
      </c>
      <c r="D74" s="4"/>
      <c r="E74" s="4"/>
      <c r="F74" s="4"/>
      <c r="G74" s="4" t="s">
        <v>9</v>
      </c>
      <c r="H74" s="19"/>
      <c r="I74" t="str">
        <f>VLOOKUP(A74,All!A:A,1,FALSE)</f>
        <v>Buffalo (Tri-City)</v>
      </c>
    </row>
    <row r="75" spans="1:9" ht="15.75" thickBot="1" x14ac:dyDescent="0.3">
      <c r="A75" s="20" t="s">
        <v>92</v>
      </c>
      <c r="B75" s="5">
        <v>1955</v>
      </c>
      <c r="C75" s="6" t="s">
        <v>11</v>
      </c>
      <c r="D75" s="6" t="s">
        <v>11</v>
      </c>
      <c r="E75" s="6" t="s">
        <v>905</v>
      </c>
      <c r="F75" s="6" t="s">
        <v>12</v>
      </c>
      <c r="G75" s="6" t="s">
        <v>13</v>
      </c>
      <c r="H75" s="21" t="s">
        <v>12</v>
      </c>
      <c r="I75" t="str">
        <f>VLOOKUP(A75,All!A:A,1,FALSE)</f>
        <v>Buffalo Grove</v>
      </c>
    </row>
    <row r="76" spans="1:9" ht="15.75" thickBot="1" x14ac:dyDescent="0.3">
      <c r="A76" s="18" t="s">
        <v>93</v>
      </c>
      <c r="B76" s="3">
        <v>164</v>
      </c>
      <c r="C76" s="4" t="s">
        <v>9</v>
      </c>
      <c r="D76" s="4" t="s">
        <v>9</v>
      </c>
      <c r="E76" s="4"/>
      <c r="F76" s="4"/>
      <c r="G76" s="4" t="s">
        <v>9</v>
      </c>
      <c r="H76" s="19"/>
      <c r="I76" t="str">
        <f>VLOOKUP(A76,All!A:A,1,FALSE)</f>
        <v>Bunker Hill</v>
      </c>
    </row>
    <row r="77" spans="1:9" ht="15.75" thickBot="1" x14ac:dyDescent="0.3">
      <c r="A77" s="20" t="s">
        <v>94</v>
      </c>
      <c r="B77" s="5">
        <v>1865</v>
      </c>
      <c r="C77" s="6" t="s">
        <v>11</v>
      </c>
      <c r="D77" s="6" t="s">
        <v>11</v>
      </c>
      <c r="E77" s="6" t="s">
        <v>905</v>
      </c>
      <c r="F77" s="6" t="s">
        <v>13</v>
      </c>
      <c r="G77" s="6" t="s">
        <v>13</v>
      </c>
      <c r="H77" s="21" t="s">
        <v>12</v>
      </c>
      <c r="I77" t="str">
        <f>VLOOKUP(A77,All!A:A,1,FALSE)</f>
        <v>Burbank (Reavis)</v>
      </c>
    </row>
    <row r="78" spans="1:9" ht="15.75" thickBot="1" x14ac:dyDescent="0.3">
      <c r="A78" s="18" t="s">
        <v>95</v>
      </c>
      <c r="B78" s="3" t="s">
        <v>96</v>
      </c>
      <c r="C78" s="10" t="s">
        <v>11</v>
      </c>
      <c r="D78" s="10" t="s">
        <v>11</v>
      </c>
      <c r="E78" s="11" t="s">
        <v>13</v>
      </c>
      <c r="F78" s="10" t="s">
        <v>13</v>
      </c>
      <c r="G78" s="10" t="s">
        <v>13</v>
      </c>
      <c r="H78" s="23" t="s">
        <v>12</v>
      </c>
      <c r="I78" t="str">
        <f>VLOOKUP(A78,All!A:A,1,FALSE)</f>
        <v>Burbank (St. Laurence)</v>
      </c>
    </row>
    <row r="79" spans="1:9" ht="15.75" thickBot="1" x14ac:dyDescent="0.3">
      <c r="A79" s="25" t="s">
        <v>0</v>
      </c>
      <c r="B79" s="1" t="s">
        <v>1</v>
      </c>
      <c r="C79" s="2" t="s">
        <v>899</v>
      </c>
      <c r="D79" s="2" t="s">
        <v>900</v>
      </c>
      <c r="E79" s="2" t="s">
        <v>901</v>
      </c>
      <c r="F79" s="2" t="s">
        <v>902</v>
      </c>
      <c r="G79" s="2" t="s">
        <v>903</v>
      </c>
      <c r="H79" s="26" t="s">
        <v>904</v>
      </c>
      <c r="I79" t="str">
        <f>VLOOKUP(A79,All!A:A,1,FALSE)</f>
        <v>School</v>
      </c>
    </row>
    <row r="80" spans="1:9" ht="15.75" thickBot="1" x14ac:dyDescent="0.3">
      <c r="A80" s="20" t="s">
        <v>97</v>
      </c>
      <c r="B80" s="5">
        <v>1556</v>
      </c>
      <c r="C80" s="6" t="s">
        <v>12</v>
      </c>
      <c r="D80" s="6" t="s">
        <v>12</v>
      </c>
      <c r="E80" s="6" t="s">
        <v>13</v>
      </c>
      <c r="F80" s="6" t="s">
        <v>13</v>
      </c>
      <c r="G80" s="6" t="s">
        <v>13</v>
      </c>
      <c r="H80" s="21" t="s">
        <v>13</v>
      </c>
      <c r="I80" t="str">
        <f>VLOOKUP(A80,All!A:A,1,FALSE)</f>
        <v>Burlington (Central)</v>
      </c>
    </row>
    <row r="81" spans="1:9" ht="15.75" thickBot="1" x14ac:dyDescent="0.3">
      <c r="A81" s="18" t="s">
        <v>98</v>
      </c>
      <c r="B81" s="3">
        <v>168</v>
      </c>
      <c r="C81" s="4" t="s">
        <v>9</v>
      </c>
      <c r="D81" s="4" t="s">
        <v>9</v>
      </c>
      <c r="E81" s="4"/>
      <c r="F81" s="4"/>
      <c r="G81" s="4" t="s">
        <v>9</v>
      </c>
      <c r="H81" s="19"/>
      <c r="I81" t="str">
        <f>VLOOKUP(A81,All!A:A,1,FALSE)</f>
        <v>Bushnell (B.-Prairie City)</v>
      </c>
    </row>
    <row r="82" spans="1:9" ht="15.75" thickBot="1" x14ac:dyDescent="0.3">
      <c r="A82" s="20" t="s">
        <v>99</v>
      </c>
      <c r="B82" s="7">
        <v>477</v>
      </c>
      <c r="C82" s="6" t="s">
        <v>13</v>
      </c>
      <c r="D82" s="6" t="s">
        <v>13</v>
      </c>
      <c r="E82" s="6" t="s">
        <v>9</v>
      </c>
      <c r="F82" s="6"/>
      <c r="G82" s="6" t="s">
        <v>13</v>
      </c>
      <c r="H82" s="21" t="s">
        <v>9</v>
      </c>
      <c r="I82" t="str">
        <f>VLOOKUP(A82,All!A:A,1,FALSE)</f>
        <v>Byron</v>
      </c>
    </row>
    <row r="83" spans="1:9" ht="15.75" thickBot="1" x14ac:dyDescent="0.3">
      <c r="A83" s="18" t="s">
        <v>100</v>
      </c>
      <c r="B83" s="3">
        <v>827</v>
      </c>
      <c r="C83" s="4" t="s">
        <v>12</v>
      </c>
      <c r="D83" s="4" t="s">
        <v>12</v>
      </c>
      <c r="E83" s="4"/>
      <c r="F83" s="4" t="s">
        <v>9</v>
      </c>
      <c r="G83" s="4"/>
      <c r="H83" s="19" t="s">
        <v>13</v>
      </c>
      <c r="I83" t="str">
        <f>VLOOKUP(A83,All!A:A,1,FALSE)</f>
        <v>Cahokia (H.S.)</v>
      </c>
    </row>
    <row r="84" spans="1:9" ht="15.75" thickBot="1" x14ac:dyDescent="0.3">
      <c r="A84" s="20" t="s">
        <v>101</v>
      </c>
      <c r="B84" s="7">
        <v>77</v>
      </c>
      <c r="C84" s="6" t="s">
        <v>9</v>
      </c>
      <c r="D84" s="6" t="s">
        <v>9</v>
      </c>
      <c r="E84" s="6"/>
      <c r="F84" s="6"/>
      <c r="G84" s="6"/>
      <c r="H84" s="21"/>
      <c r="I84" t="str">
        <f>VLOOKUP(A84,All!A:A,1,FALSE)</f>
        <v>Cairo</v>
      </c>
    </row>
    <row r="85" spans="1:9" ht="15.75" thickBot="1" x14ac:dyDescent="0.3">
      <c r="A85" s="18" t="s">
        <v>102</v>
      </c>
      <c r="B85" s="8">
        <v>1285</v>
      </c>
      <c r="C85" s="4" t="s">
        <v>12</v>
      </c>
      <c r="D85" s="4" t="s">
        <v>12</v>
      </c>
      <c r="E85" s="4"/>
      <c r="F85" s="4" t="s">
        <v>13</v>
      </c>
      <c r="G85" s="4" t="s">
        <v>13</v>
      </c>
      <c r="H85" s="19" t="s">
        <v>13</v>
      </c>
      <c r="I85" t="str">
        <f>VLOOKUP(A85,All!A:A,1,FALSE)</f>
        <v>Calumet City (Thornton Fractional North)</v>
      </c>
    </row>
    <row r="86" spans="1:9" ht="15.75" thickBot="1" x14ac:dyDescent="0.3">
      <c r="A86" s="20" t="s">
        <v>104</v>
      </c>
      <c r="B86" s="7">
        <v>220</v>
      </c>
      <c r="C86" s="6" t="s">
        <v>9</v>
      </c>
      <c r="D86" s="6" t="s">
        <v>9</v>
      </c>
      <c r="E86" s="6"/>
      <c r="F86" s="6"/>
      <c r="G86" s="6"/>
      <c r="H86" s="22" t="s">
        <v>9</v>
      </c>
      <c r="I86" t="str">
        <f>VLOOKUP(A86,All!A:A,1,FALSE)</f>
        <v>Camp Point (Central)</v>
      </c>
    </row>
    <row r="87" spans="1:9" ht="15.75" thickBot="1" x14ac:dyDescent="0.3">
      <c r="A87" s="18" t="s">
        <v>105</v>
      </c>
      <c r="B87" s="3">
        <v>217</v>
      </c>
      <c r="C87" s="4" t="s">
        <v>9</v>
      </c>
      <c r="D87" s="4" t="s">
        <v>9</v>
      </c>
      <c r="E87" s="4"/>
      <c r="F87" s="4"/>
      <c r="G87" s="4" t="s">
        <v>9</v>
      </c>
      <c r="H87" s="19" t="s">
        <v>9</v>
      </c>
      <c r="I87" t="str">
        <f>VLOOKUP(A87,All!A:A,1,FALSE)</f>
        <v>Campbell Hill (Trico)</v>
      </c>
    </row>
    <row r="88" spans="1:9" ht="15.75" thickBot="1" x14ac:dyDescent="0.3">
      <c r="A88" s="20" t="s">
        <v>106</v>
      </c>
      <c r="B88" s="7">
        <v>585</v>
      </c>
      <c r="C88" s="6" t="s">
        <v>13</v>
      </c>
      <c r="D88" s="6" t="s">
        <v>13</v>
      </c>
      <c r="E88" s="6"/>
      <c r="F88" s="6" t="s">
        <v>9</v>
      </c>
      <c r="G88" s="6" t="s">
        <v>13</v>
      </c>
      <c r="H88" s="21" t="s">
        <v>9</v>
      </c>
      <c r="I88" t="str">
        <f>VLOOKUP(A88,All!A:A,1,FALSE)</f>
        <v>Canton</v>
      </c>
    </row>
    <row r="89" spans="1:9" ht="15.75" thickBot="1" x14ac:dyDescent="0.3">
      <c r="A89" s="18" t="s">
        <v>107</v>
      </c>
      <c r="B89" s="3">
        <v>978</v>
      </c>
      <c r="C89" s="4" t="s">
        <v>12</v>
      </c>
      <c r="D89" s="4" t="s">
        <v>12</v>
      </c>
      <c r="E89" s="4" t="s">
        <v>13</v>
      </c>
      <c r="F89" s="4"/>
      <c r="G89" s="4" t="s">
        <v>13</v>
      </c>
      <c r="H89" s="19" t="s">
        <v>13</v>
      </c>
      <c r="I89" t="str">
        <f>VLOOKUP(A89,All!A:A,1,FALSE)</f>
        <v>Carbondale (H.S.)</v>
      </c>
    </row>
    <row r="90" spans="1:9" ht="15.75" thickBot="1" x14ac:dyDescent="0.3">
      <c r="A90" s="20" t="s">
        <v>108</v>
      </c>
      <c r="B90" s="7">
        <v>351</v>
      </c>
      <c r="C90" s="6" t="s">
        <v>13</v>
      </c>
      <c r="D90" s="6" t="s">
        <v>13</v>
      </c>
      <c r="E90" s="6"/>
      <c r="F90" s="6"/>
      <c r="G90" s="6" t="s">
        <v>9</v>
      </c>
      <c r="H90" s="21" t="s">
        <v>9</v>
      </c>
      <c r="I90" t="str">
        <f>VLOOKUP(A90,All!A:A,1,FALSE)</f>
        <v>Carlinville</v>
      </c>
    </row>
    <row r="91" spans="1:9" ht="15.75" thickBot="1" x14ac:dyDescent="0.3">
      <c r="A91" s="18" t="s">
        <v>109</v>
      </c>
      <c r="B91" s="3">
        <v>281</v>
      </c>
      <c r="C91" s="4" t="s">
        <v>9</v>
      </c>
      <c r="D91" s="4" t="s">
        <v>9</v>
      </c>
      <c r="E91" s="4"/>
      <c r="F91" s="4"/>
      <c r="G91" s="4" t="s">
        <v>9</v>
      </c>
      <c r="H91" s="19"/>
      <c r="I91" t="str">
        <f>VLOOKUP(A91,All!A:A,1,FALSE)</f>
        <v>Carlyle</v>
      </c>
    </row>
    <row r="92" spans="1:9" ht="15.75" thickBot="1" x14ac:dyDescent="0.3">
      <c r="A92" s="20" t="s">
        <v>110</v>
      </c>
      <c r="B92" s="7">
        <v>403</v>
      </c>
      <c r="C92" s="6" t="s">
        <v>13</v>
      </c>
      <c r="D92" s="6" t="s">
        <v>13</v>
      </c>
      <c r="E92" s="6"/>
      <c r="F92" s="6"/>
      <c r="G92" s="6"/>
      <c r="H92" s="21" t="s">
        <v>9</v>
      </c>
      <c r="I92" t="str">
        <f>VLOOKUP(A92,All!A:A,1,FALSE)</f>
        <v>Carmi (C.-White County)</v>
      </c>
    </row>
    <row r="93" spans="1:9" ht="15.75" thickBot="1" x14ac:dyDescent="0.3">
      <c r="A93" s="18" t="s">
        <v>111</v>
      </c>
      <c r="B93" s="8">
        <v>2043</v>
      </c>
      <c r="C93" s="4" t="s">
        <v>11</v>
      </c>
      <c r="D93" s="4" t="s">
        <v>11</v>
      </c>
      <c r="E93" s="4" t="s">
        <v>12</v>
      </c>
      <c r="F93" s="4" t="s">
        <v>12</v>
      </c>
      <c r="G93" s="4" t="s">
        <v>13</v>
      </c>
      <c r="H93" s="19" t="s">
        <v>12</v>
      </c>
      <c r="I93" t="str">
        <f>VLOOKUP(A93,All!A:A,1,FALSE)</f>
        <v>Carol Stream (Glenbard North)</v>
      </c>
    </row>
    <row r="94" spans="1:9" ht="15.75" thickBot="1" x14ac:dyDescent="0.3">
      <c r="A94" s="20" t="s">
        <v>112</v>
      </c>
      <c r="B94" s="5">
        <v>2405</v>
      </c>
      <c r="C94" s="6" t="s">
        <v>11</v>
      </c>
      <c r="D94" s="6" t="s">
        <v>11</v>
      </c>
      <c r="E94" s="6" t="s">
        <v>12</v>
      </c>
      <c r="F94" s="6" t="s">
        <v>12</v>
      </c>
      <c r="G94" s="6" t="s">
        <v>13</v>
      </c>
      <c r="H94" s="21" t="s">
        <v>12</v>
      </c>
      <c r="I94" t="str">
        <f>VLOOKUP(A94,All!A:A,1,FALSE)</f>
        <v>Carpentersville (Dundee-Crown)</v>
      </c>
    </row>
    <row r="95" spans="1:9" ht="15.75" thickBot="1" x14ac:dyDescent="0.3">
      <c r="A95" s="18" t="s">
        <v>113</v>
      </c>
      <c r="B95" s="3">
        <v>90</v>
      </c>
      <c r="C95" s="4" t="s">
        <v>9</v>
      </c>
      <c r="D95" s="4"/>
      <c r="E95" s="4"/>
      <c r="F95" s="4"/>
      <c r="G95" s="4" t="s">
        <v>9</v>
      </c>
      <c r="H95" s="19"/>
      <c r="I95" t="str">
        <f>VLOOKUP(A95,All!A:A,1,FALSE)</f>
        <v>Carrier Mills (C.M.-Stonefort)</v>
      </c>
    </row>
    <row r="96" spans="1:9" ht="15.75" thickBot="1" x14ac:dyDescent="0.3">
      <c r="A96" s="20" t="s">
        <v>114</v>
      </c>
      <c r="B96" s="7">
        <v>168</v>
      </c>
      <c r="C96" s="6" t="s">
        <v>9</v>
      </c>
      <c r="D96" s="6" t="s">
        <v>9</v>
      </c>
      <c r="E96" s="6"/>
      <c r="F96" s="6"/>
      <c r="G96" s="6"/>
      <c r="H96" s="21"/>
      <c r="I96" t="str">
        <f>VLOOKUP(A96,All!A:A,1,FALSE)</f>
        <v>Carrollton</v>
      </c>
    </row>
    <row r="97" spans="1:9" ht="15.75" thickBot="1" x14ac:dyDescent="0.3">
      <c r="A97" s="18" t="s">
        <v>115</v>
      </c>
      <c r="B97" s="3">
        <v>652</v>
      </c>
      <c r="C97" s="4" t="s">
        <v>13</v>
      </c>
      <c r="D97" s="4" t="s">
        <v>13</v>
      </c>
      <c r="E97" s="4" t="s">
        <v>9</v>
      </c>
      <c r="F97" s="4" t="s">
        <v>9</v>
      </c>
      <c r="G97" s="4" t="s">
        <v>13</v>
      </c>
      <c r="H97" s="19" t="s">
        <v>9</v>
      </c>
      <c r="I97" t="str">
        <f>VLOOKUP(A97,All!A:A,1,FALSE)</f>
        <v>Carterville</v>
      </c>
    </row>
    <row r="98" spans="1:9" ht="15.75" thickBot="1" x14ac:dyDescent="0.3">
      <c r="A98" s="20" t="s">
        <v>116</v>
      </c>
      <c r="B98" s="7">
        <v>345</v>
      </c>
      <c r="C98" s="6" t="s">
        <v>13</v>
      </c>
      <c r="D98" s="6" t="s">
        <v>13</v>
      </c>
      <c r="E98" s="6"/>
      <c r="F98" s="6" t="s">
        <v>9</v>
      </c>
      <c r="G98" s="6" t="s">
        <v>9</v>
      </c>
      <c r="H98" s="21" t="s">
        <v>9</v>
      </c>
      <c r="I98" t="str">
        <f>VLOOKUP(A98,All!A:A,1,FALSE)</f>
        <v>Carthage (Illini West)</v>
      </c>
    </row>
    <row r="99" spans="1:9" ht="15.75" thickBot="1" x14ac:dyDescent="0.3">
      <c r="A99" s="18" t="s">
        <v>117</v>
      </c>
      <c r="B99" s="8">
        <v>1310</v>
      </c>
      <c r="C99" s="4" t="s">
        <v>12</v>
      </c>
      <c r="D99" s="4" t="s">
        <v>12</v>
      </c>
      <c r="E99" s="4" t="s">
        <v>13</v>
      </c>
      <c r="F99" s="4" t="s">
        <v>13</v>
      </c>
      <c r="G99" s="4" t="s">
        <v>13</v>
      </c>
      <c r="H99" s="19" t="s">
        <v>13</v>
      </c>
      <c r="I99" t="str">
        <f>VLOOKUP(A99,All!A:A,1,FALSE)</f>
        <v>Cary (C.-Grove)</v>
      </c>
    </row>
    <row r="100" spans="1:9" ht="15.75" thickBot="1" x14ac:dyDescent="0.3">
      <c r="A100" s="20" t="s">
        <v>910</v>
      </c>
      <c r="B100" s="7" t="s">
        <v>911</v>
      </c>
      <c r="C100" s="10" t="s">
        <v>9</v>
      </c>
      <c r="D100" s="6"/>
      <c r="E100" s="6"/>
      <c r="F100" s="6"/>
      <c r="G100" s="6"/>
      <c r="H100" s="21"/>
      <c r="I100" t="str">
        <f>VLOOKUP(A100,All!A:A,1,FALSE)</f>
        <v>Cary (Trinity Oaks Christian Academy)</v>
      </c>
    </row>
    <row r="101" spans="1:9" ht="15.75" thickBot="1" x14ac:dyDescent="0.3">
      <c r="A101" s="18" t="s">
        <v>118</v>
      </c>
      <c r="B101" s="3">
        <v>235</v>
      </c>
      <c r="C101" s="4" t="s">
        <v>9</v>
      </c>
      <c r="D101" s="4" t="s">
        <v>9</v>
      </c>
      <c r="E101" s="4"/>
      <c r="F101" s="4"/>
      <c r="G101" s="4" t="s">
        <v>9</v>
      </c>
      <c r="H101" s="19"/>
      <c r="I101" t="str">
        <f>VLOOKUP(A101,All!A:A,1,FALSE)</f>
        <v>Casey (C.-Westfield)</v>
      </c>
    </row>
    <row r="102" spans="1:9" ht="15.75" thickBot="1" x14ac:dyDescent="0.3">
      <c r="A102" s="20" t="s">
        <v>119</v>
      </c>
      <c r="B102" s="7">
        <v>243</v>
      </c>
      <c r="C102" s="6" t="s">
        <v>9</v>
      </c>
      <c r="D102" s="6" t="s">
        <v>9</v>
      </c>
      <c r="E102" s="6" t="s">
        <v>9</v>
      </c>
      <c r="F102" s="6"/>
      <c r="G102" s="6" t="s">
        <v>9</v>
      </c>
      <c r="H102" s="21"/>
      <c r="I102" t="str">
        <f>VLOOKUP(A102,All!A:A,1,FALSE)</f>
        <v>Catlin (Salt Fork)</v>
      </c>
    </row>
    <row r="103" spans="1:9" ht="15.75" thickBot="1" x14ac:dyDescent="0.3">
      <c r="A103" s="18" t="s">
        <v>120</v>
      </c>
      <c r="B103" s="3" t="s">
        <v>121</v>
      </c>
      <c r="C103" s="10" t="s">
        <v>9</v>
      </c>
      <c r="D103" s="4"/>
      <c r="E103" s="4"/>
      <c r="F103" s="4"/>
      <c r="G103" s="4"/>
      <c r="H103" s="19"/>
      <c r="I103" t="str">
        <f>VLOOKUP(A103,All!A:A,1,FALSE)</f>
        <v>Centralia (Christ Our Rock Lutheran)</v>
      </c>
    </row>
    <row r="104" spans="1:9" ht="15.75" thickBot="1" x14ac:dyDescent="0.3">
      <c r="A104" s="20" t="s">
        <v>122</v>
      </c>
      <c r="B104" s="7">
        <v>868</v>
      </c>
      <c r="C104" s="6" t="s">
        <v>12</v>
      </c>
      <c r="D104" s="6" t="s">
        <v>12</v>
      </c>
      <c r="E104" s="6" t="s">
        <v>13</v>
      </c>
      <c r="F104" s="6"/>
      <c r="G104" s="6" t="s">
        <v>13</v>
      </c>
      <c r="H104" s="21" t="s">
        <v>13</v>
      </c>
      <c r="I104" t="str">
        <f>VLOOKUP(A104,All!A:A,1,FALSE)</f>
        <v>Centralia (H.S.)</v>
      </c>
    </row>
    <row r="105" spans="1:9" ht="15.75" thickBot="1" x14ac:dyDescent="0.3">
      <c r="A105" s="25" t="s">
        <v>0</v>
      </c>
      <c r="B105" s="1" t="s">
        <v>1</v>
      </c>
      <c r="C105" s="2" t="s">
        <v>899</v>
      </c>
      <c r="D105" s="2" t="s">
        <v>900</v>
      </c>
      <c r="E105" s="2" t="s">
        <v>901</v>
      </c>
      <c r="F105" s="2" t="s">
        <v>902</v>
      </c>
      <c r="G105" s="2" t="s">
        <v>903</v>
      </c>
      <c r="H105" s="26" t="s">
        <v>904</v>
      </c>
      <c r="I105" t="str">
        <f>VLOOKUP(A105,All!A:A,1,FALSE)</f>
        <v>School</v>
      </c>
    </row>
    <row r="106" spans="1:9" ht="15.75" thickBot="1" x14ac:dyDescent="0.3">
      <c r="A106" s="18" t="s">
        <v>123</v>
      </c>
      <c r="B106" s="3">
        <v>114</v>
      </c>
      <c r="C106" s="9" t="s">
        <v>9</v>
      </c>
      <c r="D106" s="9" t="s">
        <v>9</v>
      </c>
      <c r="E106" s="4"/>
      <c r="F106" s="4"/>
      <c r="G106" s="4" t="s">
        <v>9</v>
      </c>
      <c r="H106" s="19"/>
      <c r="I106" t="str">
        <f>VLOOKUP(A106,All!A:A,1,FALSE)</f>
        <v>Cerro Gordo</v>
      </c>
    </row>
    <row r="107" spans="1:9" ht="15.75" thickBot="1" x14ac:dyDescent="0.3">
      <c r="A107" s="20" t="s">
        <v>124</v>
      </c>
      <c r="B107" s="5">
        <v>1389</v>
      </c>
      <c r="C107" s="6" t="s">
        <v>12</v>
      </c>
      <c r="D107" s="6" t="s">
        <v>12</v>
      </c>
      <c r="E107" s="6" t="s">
        <v>13</v>
      </c>
      <c r="F107" s="6" t="s">
        <v>13</v>
      </c>
      <c r="G107" s="6" t="s">
        <v>13</v>
      </c>
      <c r="H107" s="21" t="s">
        <v>13</v>
      </c>
      <c r="I107" t="str">
        <f>VLOOKUP(A107,All!A:A,1,FALSE)</f>
        <v>Champaign (Centennial)</v>
      </c>
    </row>
    <row r="108" spans="1:9" ht="15.75" thickBot="1" x14ac:dyDescent="0.3">
      <c r="A108" s="18" t="s">
        <v>125</v>
      </c>
      <c r="B108" s="8">
        <v>1598</v>
      </c>
      <c r="C108" s="4" t="s">
        <v>12</v>
      </c>
      <c r="D108" s="4" t="s">
        <v>12</v>
      </c>
      <c r="E108" s="4" t="s">
        <v>13</v>
      </c>
      <c r="F108" s="4" t="s">
        <v>13</v>
      </c>
      <c r="G108" s="4" t="s">
        <v>13</v>
      </c>
      <c r="H108" s="19" t="s">
        <v>13</v>
      </c>
      <c r="I108" t="str">
        <f>VLOOKUP(A108,All!A:A,1,FALSE)</f>
        <v>Champaign (Central)</v>
      </c>
    </row>
    <row r="109" spans="1:9" ht="15.75" thickBot="1" x14ac:dyDescent="0.3">
      <c r="A109" s="20" t="s">
        <v>126</v>
      </c>
      <c r="B109" s="7" t="s">
        <v>127</v>
      </c>
      <c r="C109" s="10" t="s">
        <v>9</v>
      </c>
      <c r="D109" s="10" t="s">
        <v>9</v>
      </c>
      <c r="E109" s="6"/>
      <c r="F109" s="6"/>
      <c r="G109" s="6"/>
      <c r="H109" s="21"/>
      <c r="I109" t="str">
        <f>VLOOKUP(A109,All!A:A,1,FALSE)</f>
        <v>Champaign (Judah Christian)</v>
      </c>
    </row>
    <row r="110" spans="1:9" ht="15.75" thickBot="1" x14ac:dyDescent="0.3">
      <c r="A110" s="18" t="s">
        <v>128</v>
      </c>
      <c r="B110" s="3" t="s">
        <v>129</v>
      </c>
      <c r="C110" s="11" t="s">
        <v>9</v>
      </c>
      <c r="D110" s="10" t="s">
        <v>13</v>
      </c>
      <c r="E110" s="10" t="s">
        <v>9</v>
      </c>
      <c r="F110" s="4"/>
      <c r="G110" s="10" t="s">
        <v>9</v>
      </c>
      <c r="H110" s="23" t="s">
        <v>9</v>
      </c>
      <c r="I110" t="str">
        <f>VLOOKUP(A110,All!A:A,1,FALSE)</f>
        <v>Champaign (St. Thomas More)</v>
      </c>
    </row>
    <row r="111" spans="1:9" ht="15.75" thickBot="1" x14ac:dyDescent="0.3">
      <c r="A111" s="20" t="s">
        <v>130</v>
      </c>
      <c r="B111" s="7">
        <v>761</v>
      </c>
      <c r="C111" s="6" t="s">
        <v>12</v>
      </c>
      <c r="D111" s="6" t="s">
        <v>12</v>
      </c>
      <c r="E111" s="6" t="s">
        <v>905</v>
      </c>
      <c r="F111" s="6"/>
      <c r="G111" s="6" t="s">
        <v>13</v>
      </c>
      <c r="H111" s="21" t="s">
        <v>13</v>
      </c>
      <c r="I111" t="str">
        <f>VLOOKUP(A111,All!A:A,1,FALSE)</f>
        <v>Charleston</v>
      </c>
    </row>
    <row r="112" spans="1:9" ht="15.75" thickBot="1" x14ac:dyDescent="0.3">
      <c r="A112" s="18" t="s">
        <v>131</v>
      </c>
      <c r="B112" s="8">
        <v>1435</v>
      </c>
      <c r="C112" s="4" t="s">
        <v>12</v>
      </c>
      <c r="D112" s="4" t="s">
        <v>12</v>
      </c>
      <c r="E112" s="4"/>
      <c r="F112" s="4"/>
      <c r="G112" s="4" t="s">
        <v>13</v>
      </c>
      <c r="H112" s="19" t="s">
        <v>13</v>
      </c>
      <c r="I112" t="str">
        <f>VLOOKUP(A112,All!A:A,1,FALSE)</f>
        <v>Chatham (Glenwood)</v>
      </c>
    </row>
    <row r="113" spans="1:9" ht="15.75" thickBot="1" x14ac:dyDescent="0.3">
      <c r="A113" s="20" t="s">
        <v>132</v>
      </c>
      <c r="B113" s="7">
        <v>319</v>
      </c>
      <c r="C113" s="6" t="s">
        <v>13</v>
      </c>
      <c r="D113" s="6" t="s">
        <v>13</v>
      </c>
      <c r="E113" s="6" t="s">
        <v>9</v>
      </c>
      <c r="F113" s="6" t="s">
        <v>9</v>
      </c>
      <c r="G113" s="6" t="s">
        <v>9</v>
      </c>
      <c r="H113" s="21"/>
      <c r="I113" t="str">
        <f>VLOOKUP(A113,All!A:A,1,FALSE)</f>
        <v>Chester</v>
      </c>
    </row>
    <row r="114" spans="1:9" ht="15.75" thickBot="1" x14ac:dyDescent="0.3">
      <c r="A114" s="18" t="s">
        <v>912</v>
      </c>
      <c r="B114" s="3" t="s">
        <v>913</v>
      </c>
      <c r="C114" s="10" t="s">
        <v>9</v>
      </c>
      <c r="D114" s="4"/>
      <c r="E114" s="4"/>
      <c r="F114" s="4"/>
      <c r="G114" s="4"/>
      <c r="H114" s="19"/>
      <c r="I114" t="str">
        <f>VLOOKUP(A114,All!A:A,1,FALSE)</f>
        <v>Chicago (ACE Amandla Charter)</v>
      </c>
    </row>
    <row r="115" spans="1:9" ht="15.75" thickBot="1" x14ac:dyDescent="0.3">
      <c r="A115" s="20" t="s">
        <v>133</v>
      </c>
      <c r="B115" s="7" t="s">
        <v>134</v>
      </c>
      <c r="C115" s="10" t="s">
        <v>12</v>
      </c>
      <c r="D115" s="6"/>
      <c r="E115" s="6"/>
      <c r="F115" s="6"/>
      <c r="G115" s="6"/>
      <c r="H115" s="21"/>
      <c r="I115" t="str">
        <f>VLOOKUP(A115,All!A:A,1,FALSE)</f>
        <v>Chicago (Acero/Garcia)</v>
      </c>
    </row>
    <row r="116" spans="1:9" ht="15.75" thickBot="1" x14ac:dyDescent="0.3">
      <c r="A116" s="18" t="s">
        <v>135</v>
      </c>
      <c r="B116" s="3" t="s">
        <v>136</v>
      </c>
      <c r="C116" s="11" t="s">
        <v>13</v>
      </c>
      <c r="D116" s="11" t="s">
        <v>13</v>
      </c>
      <c r="E116" s="4"/>
      <c r="F116" s="4"/>
      <c r="G116" s="4"/>
      <c r="H116" s="19"/>
      <c r="I116" t="str">
        <f>VLOOKUP(A116,All!A:A,1,FALSE)</f>
        <v>Chicago (Acero/Soto)</v>
      </c>
    </row>
    <row r="117" spans="1:9" ht="15.75" thickBot="1" x14ac:dyDescent="0.3">
      <c r="A117" s="20" t="s">
        <v>137</v>
      </c>
      <c r="B117" s="7" t="s">
        <v>138</v>
      </c>
      <c r="C117" s="10" t="s">
        <v>12</v>
      </c>
      <c r="D117" s="10" t="s">
        <v>12</v>
      </c>
      <c r="E117" s="6"/>
      <c r="F117" s="6"/>
      <c r="G117" s="6"/>
      <c r="H117" s="23" t="s">
        <v>13</v>
      </c>
      <c r="I117" t="str">
        <f>VLOOKUP(A117,All!A:A,1,FALSE)</f>
        <v>Chicago (Agricultural Science)</v>
      </c>
    </row>
    <row r="118" spans="1:9" ht="15.75" thickBot="1" x14ac:dyDescent="0.3">
      <c r="A118" s="18" t="s">
        <v>139</v>
      </c>
      <c r="B118" s="3" t="s">
        <v>140</v>
      </c>
      <c r="C118" s="10" t="s">
        <v>9</v>
      </c>
      <c r="D118" s="10" t="s">
        <v>9</v>
      </c>
      <c r="E118" s="4"/>
      <c r="F118" s="4"/>
      <c r="G118" s="4"/>
      <c r="H118" s="19"/>
      <c r="I118" t="str">
        <f>VLOOKUP(A118,All!A:A,1,FALSE)</f>
        <v>Chicago (Air Force Academy)</v>
      </c>
    </row>
    <row r="119" spans="1:9" ht="15.75" thickBot="1" x14ac:dyDescent="0.3">
      <c r="A119" s="20" t="s">
        <v>141</v>
      </c>
      <c r="B119" s="5">
        <v>1420</v>
      </c>
      <c r="C119" s="6" t="s">
        <v>12</v>
      </c>
      <c r="D119" s="6" t="s">
        <v>12</v>
      </c>
      <c r="E119" s="6" t="s">
        <v>13</v>
      </c>
      <c r="F119" s="6"/>
      <c r="G119" s="6"/>
      <c r="H119" s="21" t="s">
        <v>13</v>
      </c>
      <c r="I119" t="str">
        <f>VLOOKUP(A119,All!A:A,1,FALSE)</f>
        <v>Chicago (Amundsen)</v>
      </c>
    </row>
    <row r="120" spans="1:9" ht="15.75" thickBot="1" x14ac:dyDescent="0.3">
      <c r="A120" s="18" t="s">
        <v>142</v>
      </c>
      <c r="B120" s="3">
        <v>145</v>
      </c>
      <c r="C120" s="4" t="s">
        <v>9</v>
      </c>
      <c r="D120" s="4"/>
      <c r="E120" s="4"/>
      <c r="F120" s="4"/>
      <c r="G120" s="4"/>
      <c r="H120" s="19"/>
      <c r="I120" t="str">
        <f>VLOOKUP(A120,All!A:A,1,FALSE)</f>
        <v>Chicago (Austin)</v>
      </c>
    </row>
    <row r="121" spans="1:9" ht="15.75" thickBot="1" x14ac:dyDescent="0.3">
      <c r="A121" s="20" t="s">
        <v>143</v>
      </c>
      <c r="B121" s="7" t="s">
        <v>144</v>
      </c>
      <c r="C121" s="10" t="s">
        <v>11</v>
      </c>
      <c r="D121" s="6"/>
      <c r="E121" s="11" t="s">
        <v>13</v>
      </c>
      <c r="F121" s="11" t="s">
        <v>9</v>
      </c>
      <c r="G121" s="6"/>
      <c r="H121" s="23" t="s">
        <v>13</v>
      </c>
      <c r="I121" t="str">
        <f>VLOOKUP(A121,All!A:A,1,FALSE)</f>
        <v>Chicago (Back of the Yards)</v>
      </c>
    </row>
    <row r="122" spans="1:9" ht="15.75" thickBot="1" x14ac:dyDescent="0.3">
      <c r="A122" s="18" t="s">
        <v>145</v>
      </c>
      <c r="B122" s="3">
        <v>599</v>
      </c>
      <c r="C122" s="4" t="s">
        <v>13</v>
      </c>
      <c r="D122" s="4"/>
      <c r="E122" s="4"/>
      <c r="F122" s="4"/>
      <c r="G122" s="4"/>
      <c r="H122" s="19" t="s">
        <v>9</v>
      </c>
      <c r="I122" t="str">
        <f>VLOOKUP(A122,All!A:A,1,FALSE)</f>
        <v>Chicago (Bogan)</v>
      </c>
    </row>
    <row r="123" spans="1:9" ht="15.75" thickBot="1" x14ac:dyDescent="0.3">
      <c r="A123" s="20" t="s">
        <v>914</v>
      </c>
      <c r="B123" s="7">
        <v>229</v>
      </c>
      <c r="C123" s="6" t="s">
        <v>9</v>
      </c>
      <c r="D123" s="6"/>
      <c r="E123" s="6"/>
      <c r="F123" s="6"/>
      <c r="G123" s="6"/>
      <c r="H123" s="21" t="s">
        <v>9</v>
      </c>
      <c r="I123" t="str">
        <f>VLOOKUP(A123,All!A:A,1,FALSE)</f>
        <v>Chicago (Bowen)</v>
      </c>
    </row>
    <row r="124" spans="1:9" ht="15.75" thickBot="1" x14ac:dyDescent="0.3">
      <c r="A124" s="18" t="s">
        <v>146</v>
      </c>
      <c r="B124" s="3" t="s">
        <v>147</v>
      </c>
      <c r="C124" s="10" t="s">
        <v>12</v>
      </c>
      <c r="D124" s="10" t="s">
        <v>12</v>
      </c>
      <c r="E124" s="10" t="s">
        <v>13</v>
      </c>
      <c r="F124" s="4"/>
      <c r="G124" s="4"/>
      <c r="H124" s="19"/>
      <c r="I124" t="str">
        <f>VLOOKUP(A124,All!A:A,1,FALSE)</f>
        <v>Chicago (Brooks)</v>
      </c>
    </row>
    <row r="125" spans="1:9" ht="15.75" thickBot="1" x14ac:dyDescent="0.3">
      <c r="A125" s="20" t="s">
        <v>148</v>
      </c>
      <c r="B125" s="7" t="s">
        <v>149</v>
      </c>
      <c r="C125" s="10" t="s">
        <v>11</v>
      </c>
      <c r="D125" s="6"/>
      <c r="E125" s="6"/>
      <c r="F125" s="6"/>
      <c r="G125" s="10" t="s">
        <v>13</v>
      </c>
      <c r="H125" s="23" t="s">
        <v>12</v>
      </c>
      <c r="I125" t="str">
        <f>VLOOKUP(A125,All!A:A,1,FALSE)</f>
        <v>Chicago (Brother Rice)</v>
      </c>
    </row>
    <row r="126" spans="1:9" ht="15.75" thickBot="1" x14ac:dyDescent="0.3">
      <c r="A126" s="18" t="s">
        <v>150</v>
      </c>
      <c r="B126" s="3" t="s">
        <v>151</v>
      </c>
      <c r="C126" s="11" t="s">
        <v>13</v>
      </c>
      <c r="D126" s="11" t="s">
        <v>13</v>
      </c>
      <c r="E126" s="4"/>
      <c r="F126" s="10" t="s">
        <v>9</v>
      </c>
      <c r="G126" s="4"/>
      <c r="H126" s="24" t="s">
        <v>9</v>
      </c>
      <c r="I126" t="str">
        <f>VLOOKUP(A126,All!A:A,1,FALSE)</f>
        <v>Chicago (C. Academy)</v>
      </c>
    </row>
    <row r="127" spans="1:9" ht="15.75" thickBot="1" x14ac:dyDescent="0.3">
      <c r="A127" s="20" t="s">
        <v>152</v>
      </c>
      <c r="B127" s="7" t="s">
        <v>153</v>
      </c>
      <c r="C127" s="12" t="s">
        <v>13</v>
      </c>
      <c r="D127" s="10" t="s">
        <v>13</v>
      </c>
      <c r="E127" s="6"/>
      <c r="F127" s="10" t="s">
        <v>9</v>
      </c>
      <c r="G127" s="6"/>
      <c r="H127" s="23" t="s">
        <v>9</v>
      </c>
      <c r="I127" t="str">
        <f>VLOOKUP(A127,All!A:A,1,FALSE)</f>
        <v>Chicago (C. Hope Academy)</v>
      </c>
    </row>
    <row r="128" spans="1:9" ht="15.75" thickBot="1" x14ac:dyDescent="0.3">
      <c r="A128" s="18" t="s">
        <v>156</v>
      </c>
      <c r="B128" s="3" t="s">
        <v>157</v>
      </c>
      <c r="C128" s="10" t="s">
        <v>13</v>
      </c>
      <c r="D128" s="10" t="s">
        <v>13</v>
      </c>
      <c r="E128" s="4"/>
      <c r="F128" s="4"/>
      <c r="G128" s="4"/>
      <c r="H128" s="23" t="s">
        <v>9</v>
      </c>
      <c r="I128" t="str">
        <f>VLOOKUP(A128,All!A:A,1,FALSE)</f>
        <v>Chicago (C. Military Academy-Bronzeville)</v>
      </c>
    </row>
    <row r="129" spans="1:9" ht="15.75" thickBot="1" x14ac:dyDescent="0.3">
      <c r="A129" s="20" t="s">
        <v>158</v>
      </c>
      <c r="B129" s="7" t="s">
        <v>159</v>
      </c>
      <c r="C129" s="10" t="s">
        <v>13</v>
      </c>
      <c r="D129" s="6"/>
      <c r="E129" s="6"/>
      <c r="F129" s="6"/>
      <c r="G129" s="6"/>
      <c r="H129" s="21"/>
      <c r="I129" t="str">
        <f>VLOOKUP(A129,All!A:A,1,FALSE)</f>
        <v>Chicago (C. Tech Academy Charter)</v>
      </c>
    </row>
    <row r="130" spans="1:9" ht="15.75" thickBot="1" x14ac:dyDescent="0.3">
      <c r="A130" s="18" t="s">
        <v>160</v>
      </c>
      <c r="B130" s="3" t="s">
        <v>161</v>
      </c>
      <c r="C130" s="10" t="s">
        <v>12</v>
      </c>
      <c r="D130" s="10" t="s">
        <v>12</v>
      </c>
      <c r="E130" s="4"/>
      <c r="F130" s="4"/>
      <c r="G130" s="4"/>
      <c r="H130" s="19"/>
      <c r="I130" t="str">
        <f>VLOOKUP(A130,All!A:A,1,FALSE)</f>
        <v>Chicago (C. Vocational)</v>
      </c>
    </row>
    <row r="131" spans="1:9" ht="15.75" thickBot="1" x14ac:dyDescent="0.3">
      <c r="A131" s="25" t="s">
        <v>0</v>
      </c>
      <c r="B131" s="1" t="s">
        <v>1</v>
      </c>
      <c r="C131" s="2" t="s">
        <v>899</v>
      </c>
      <c r="D131" s="2" t="s">
        <v>900</v>
      </c>
      <c r="E131" s="2" t="s">
        <v>901</v>
      </c>
      <c r="F131" s="2" t="s">
        <v>902</v>
      </c>
      <c r="G131" s="2" t="s">
        <v>903</v>
      </c>
      <c r="H131" s="26" t="s">
        <v>904</v>
      </c>
      <c r="I131" t="str">
        <f>VLOOKUP(A131,All!A:A,1,FALSE)</f>
        <v>School</v>
      </c>
    </row>
    <row r="132" spans="1:9" ht="15.75" thickBot="1" x14ac:dyDescent="0.3">
      <c r="A132" s="20" t="s">
        <v>162</v>
      </c>
      <c r="B132" s="7" t="s">
        <v>163</v>
      </c>
      <c r="C132" s="10" t="s">
        <v>13</v>
      </c>
      <c r="D132" s="6"/>
      <c r="E132" s="6"/>
      <c r="F132" s="6"/>
      <c r="G132" s="6"/>
      <c r="H132" s="21"/>
      <c r="I132" t="str">
        <f>VLOOKUP(A132,All!A:A,1,FALSE)</f>
        <v>Chicago (Carver Military Academy)</v>
      </c>
    </row>
    <row r="133" spans="1:9" ht="15.75" thickBot="1" x14ac:dyDescent="0.3">
      <c r="A133" s="18" t="s">
        <v>164</v>
      </c>
      <c r="B133" s="3" t="s">
        <v>136</v>
      </c>
      <c r="C133" s="11" t="s">
        <v>13</v>
      </c>
      <c r="D133" s="11" t="s">
        <v>13</v>
      </c>
      <c r="E133" s="4"/>
      <c r="F133" s="4"/>
      <c r="G133" s="4"/>
      <c r="H133" s="19"/>
      <c r="I133" t="str">
        <f>VLOOKUP(A133,All!A:A,1,FALSE)</f>
        <v>Chicago (Catalyst/Maria)</v>
      </c>
    </row>
    <row r="134" spans="1:9" ht="15.75" thickBot="1" x14ac:dyDescent="0.3">
      <c r="A134" s="20" t="s">
        <v>165</v>
      </c>
      <c r="B134" s="7" t="s">
        <v>166</v>
      </c>
      <c r="C134" s="10" t="s">
        <v>13</v>
      </c>
      <c r="D134" s="10" t="s">
        <v>13</v>
      </c>
      <c r="E134" s="10" t="s">
        <v>9</v>
      </c>
      <c r="F134" s="6"/>
      <c r="G134" s="6"/>
      <c r="H134" s="21"/>
      <c r="I134" t="str">
        <f>VLOOKUP(A134,All!A:A,1,FALSE)</f>
        <v>Chicago (Christ the King)</v>
      </c>
    </row>
    <row r="135" spans="1:9" ht="15.75" thickBot="1" x14ac:dyDescent="0.3">
      <c r="A135" s="18" t="s">
        <v>915</v>
      </c>
      <c r="B135" s="3" t="s">
        <v>916</v>
      </c>
      <c r="C135" s="11" t="s">
        <v>9</v>
      </c>
      <c r="D135" s="4"/>
      <c r="E135" s="4"/>
      <c r="F135" s="4"/>
      <c r="G135" s="4"/>
      <c r="H135" s="19"/>
      <c r="I135" t="str">
        <f>VLOOKUP(A135,All!A:A,1,FALSE)</f>
        <v>Chicago (CICS/Ellison)</v>
      </c>
    </row>
    <row r="136" spans="1:9" ht="15.75" thickBot="1" x14ac:dyDescent="0.3">
      <c r="A136" s="20" t="s">
        <v>167</v>
      </c>
      <c r="B136" s="7" t="s">
        <v>168</v>
      </c>
      <c r="C136" s="10" t="s">
        <v>12</v>
      </c>
      <c r="D136" s="10" t="s">
        <v>12</v>
      </c>
      <c r="E136" s="6"/>
      <c r="F136" s="6"/>
      <c r="G136" s="6"/>
      <c r="H136" s="21"/>
      <c r="I136" t="str">
        <f>VLOOKUP(A136,All!A:A,1,FALSE)</f>
        <v>Chicago (CICS/Longwood)</v>
      </c>
    </row>
    <row r="137" spans="1:9" ht="15.75" thickBot="1" x14ac:dyDescent="0.3">
      <c r="A137" s="18" t="s">
        <v>169</v>
      </c>
      <c r="B137" s="3" t="s">
        <v>42</v>
      </c>
      <c r="C137" s="10" t="s">
        <v>12</v>
      </c>
      <c r="D137" s="10" t="s">
        <v>12</v>
      </c>
      <c r="E137" s="4"/>
      <c r="F137" s="4"/>
      <c r="G137" s="4"/>
      <c r="H137" s="19"/>
      <c r="I137" t="str">
        <f>VLOOKUP(A137,All!A:A,1,FALSE)</f>
        <v>Chicago (CICS/Northtown)</v>
      </c>
    </row>
    <row r="138" spans="1:9" ht="15.75" thickBot="1" x14ac:dyDescent="0.3">
      <c r="A138" s="20" t="s">
        <v>170</v>
      </c>
      <c r="B138" s="7" t="s">
        <v>171</v>
      </c>
      <c r="C138" s="11" t="s">
        <v>13</v>
      </c>
      <c r="D138" s="11" t="s">
        <v>13</v>
      </c>
      <c r="E138" s="6"/>
      <c r="F138" s="6"/>
      <c r="G138" s="6"/>
      <c r="H138" s="23" t="s">
        <v>9</v>
      </c>
      <c r="I138" t="str">
        <f>VLOOKUP(A138,All!A:A,1,FALSE)</f>
        <v>Chicago (Clark)</v>
      </c>
    </row>
    <row r="139" spans="1:9" ht="15.75" thickBot="1" x14ac:dyDescent="0.3">
      <c r="A139" s="18" t="s">
        <v>172</v>
      </c>
      <c r="B139" s="3">
        <v>671</v>
      </c>
      <c r="C139" s="4" t="s">
        <v>13</v>
      </c>
      <c r="D139" s="4"/>
      <c r="E139" s="4"/>
      <c r="F139" s="4"/>
      <c r="G139" s="4"/>
      <c r="H139" s="19" t="s">
        <v>9</v>
      </c>
      <c r="I139" t="str">
        <f>VLOOKUP(A139,All!A:A,1,FALSE)</f>
        <v>Chicago (Clemente)</v>
      </c>
    </row>
    <row r="140" spans="1:9" ht="15.75" thickBot="1" x14ac:dyDescent="0.3">
      <c r="A140" s="20" t="s">
        <v>173</v>
      </c>
      <c r="B140" s="7" t="s">
        <v>174</v>
      </c>
      <c r="C140" s="11" t="s">
        <v>9</v>
      </c>
      <c r="D140" s="11" t="s">
        <v>9</v>
      </c>
      <c r="E140" s="6"/>
      <c r="F140" s="6"/>
      <c r="G140" s="6"/>
      <c r="H140" s="21"/>
      <c r="I140" t="str">
        <f>VLOOKUP(A140,All!A:A,1,FALSE)</f>
        <v>Chicago (Collins Academy)</v>
      </c>
    </row>
    <row r="141" spans="1:9" ht="15.75" thickBot="1" x14ac:dyDescent="0.3">
      <c r="A141" s="18" t="s">
        <v>175</v>
      </c>
      <c r="B141" s="3">
        <v>365</v>
      </c>
      <c r="C141" s="4" t="s">
        <v>13</v>
      </c>
      <c r="D141" s="4" t="s">
        <v>13</v>
      </c>
      <c r="E141" s="4"/>
      <c r="F141" s="4"/>
      <c r="G141" s="4"/>
      <c r="H141" s="19" t="s">
        <v>9</v>
      </c>
      <c r="I141" t="str">
        <f>VLOOKUP(A141,All!A:A,1,FALSE)</f>
        <v>Chicago (Corliss)</v>
      </c>
    </row>
    <row r="142" spans="1:9" ht="15.75" thickBot="1" x14ac:dyDescent="0.3">
      <c r="A142" s="20" t="s">
        <v>176</v>
      </c>
      <c r="B142" s="7" t="s">
        <v>177</v>
      </c>
      <c r="C142" s="10" t="s">
        <v>13</v>
      </c>
      <c r="D142" s="10" t="s">
        <v>13</v>
      </c>
      <c r="E142" s="6"/>
      <c r="F142" s="6"/>
      <c r="G142" s="6"/>
      <c r="H142" s="22" t="s">
        <v>12</v>
      </c>
      <c r="I142" t="str">
        <f>VLOOKUP(A142,All!A:A,1,FALSE)</f>
        <v>Chicago (Crane Medical Prep)</v>
      </c>
    </row>
    <row r="143" spans="1:9" ht="15.75" thickBot="1" x14ac:dyDescent="0.3">
      <c r="A143" s="18" t="s">
        <v>178</v>
      </c>
      <c r="B143" s="3" t="s">
        <v>179</v>
      </c>
      <c r="C143" s="11" t="s">
        <v>13</v>
      </c>
      <c r="D143" s="11" t="s">
        <v>13</v>
      </c>
      <c r="E143" s="11" t="s">
        <v>9</v>
      </c>
      <c r="F143" s="4"/>
      <c r="G143" s="4"/>
      <c r="H143" s="19"/>
      <c r="I143" t="str">
        <f>VLOOKUP(A143,All!A:A,1,FALSE)</f>
        <v>Chicago (Cristo Rey Jesuit)</v>
      </c>
    </row>
    <row r="144" spans="1:9" ht="15.75" thickBot="1" x14ac:dyDescent="0.3">
      <c r="A144" s="20" t="s">
        <v>180</v>
      </c>
      <c r="B144" s="7" t="s">
        <v>181</v>
      </c>
      <c r="C144" s="10" t="s">
        <v>11</v>
      </c>
      <c r="D144" s="10" t="s">
        <v>11</v>
      </c>
      <c r="E144" s="10" t="s">
        <v>12</v>
      </c>
      <c r="F144" s="6"/>
      <c r="G144" s="6"/>
      <c r="H144" s="23" t="s">
        <v>12</v>
      </c>
      <c r="I144" t="str">
        <f>VLOOKUP(A144,All!A:A,1,FALSE)</f>
        <v>Chicago (Curie)</v>
      </c>
    </row>
    <row r="145" spans="1:9" ht="15.75" thickBot="1" x14ac:dyDescent="0.3">
      <c r="A145" s="18" t="s">
        <v>917</v>
      </c>
      <c r="B145" s="3" t="s">
        <v>918</v>
      </c>
      <c r="C145" s="4" t="s">
        <v>9</v>
      </c>
      <c r="D145" s="4"/>
      <c r="E145" s="4"/>
      <c r="F145" s="4"/>
      <c r="G145" s="4"/>
      <c r="H145" s="19"/>
      <c r="I145" t="str">
        <f>VLOOKUP(A145,All!A:A,1,FALSE)</f>
        <v>Chicago (Daystar Academy)</v>
      </c>
    </row>
    <row r="146" spans="1:9" ht="15.75" thickBot="1" x14ac:dyDescent="0.3">
      <c r="A146" s="20" t="s">
        <v>182</v>
      </c>
      <c r="B146" s="7" t="s">
        <v>183</v>
      </c>
      <c r="C146" s="10" t="s">
        <v>12</v>
      </c>
      <c r="D146" s="10" t="s">
        <v>12</v>
      </c>
      <c r="E146" s="6"/>
      <c r="F146" s="6"/>
      <c r="G146" s="6"/>
      <c r="H146" s="23" t="s">
        <v>13</v>
      </c>
      <c r="I146" t="str">
        <f>VLOOKUP(A146,All!A:A,1,FALSE)</f>
        <v>Chicago (De La Salle)</v>
      </c>
    </row>
    <row r="147" spans="1:9" ht="15.75" thickBot="1" x14ac:dyDescent="0.3">
      <c r="A147" s="18" t="s">
        <v>184</v>
      </c>
      <c r="B147" s="3" t="s">
        <v>185</v>
      </c>
      <c r="C147" s="12" t="s">
        <v>11</v>
      </c>
      <c r="D147" s="10" t="s">
        <v>11</v>
      </c>
      <c r="E147" s="11" t="s">
        <v>13</v>
      </c>
      <c r="F147" s="4"/>
      <c r="G147" s="10" t="s">
        <v>13</v>
      </c>
      <c r="H147" s="24" t="s">
        <v>13</v>
      </c>
      <c r="I147" t="str">
        <f>VLOOKUP(A147,All!A:A,1,FALSE)</f>
        <v>Chicago (DePaul College Prep)</v>
      </c>
    </row>
    <row r="148" spans="1:9" ht="15.75" thickBot="1" x14ac:dyDescent="0.3">
      <c r="A148" s="20" t="s">
        <v>186</v>
      </c>
      <c r="B148" s="7" t="s">
        <v>187</v>
      </c>
      <c r="C148" s="10" t="s">
        <v>12</v>
      </c>
      <c r="D148" s="10" t="s">
        <v>12</v>
      </c>
      <c r="E148" s="6"/>
      <c r="F148" s="6"/>
      <c r="G148" s="6"/>
      <c r="H148" s="21"/>
      <c r="I148" t="str">
        <f>VLOOKUP(A148,All!A:A,1,FALSE)</f>
        <v>Chicago (Disney II)</v>
      </c>
    </row>
    <row r="149" spans="1:9" ht="15.75" thickBot="1" x14ac:dyDescent="0.3">
      <c r="A149" s="18" t="s">
        <v>919</v>
      </c>
      <c r="B149" s="3" t="s">
        <v>920</v>
      </c>
      <c r="C149" s="10" t="s">
        <v>13</v>
      </c>
      <c r="D149" s="4"/>
      <c r="E149" s="4"/>
      <c r="F149" s="4"/>
      <c r="G149" s="4"/>
      <c r="H149" s="19"/>
      <c r="I149" t="str">
        <f>VLOOKUP(A149,All!A:A,1,FALSE)</f>
        <v>Chicago (Dunbar)</v>
      </c>
    </row>
    <row r="150" spans="1:9" ht="15.75" thickBot="1" x14ac:dyDescent="0.3">
      <c r="A150" s="20" t="s">
        <v>188</v>
      </c>
      <c r="B150" s="7">
        <v>192</v>
      </c>
      <c r="C150" s="6" t="s">
        <v>9</v>
      </c>
      <c r="D150" s="6"/>
      <c r="E150" s="6"/>
      <c r="F150" s="6" t="s">
        <v>9</v>
      </c>
      <c r="G150" s="6"/>
      <c r="H150" s="21" t="s">
        <v>9</v>
      </c>
      <c r="I150" t="str">
        <f>VLOOKUP(A150,All!A:A,1,FALSE)</f>
        <v>Chicago (DuSable)</v>
      </c>
    </row>
    <row r="151" spans="1:9" ht="15.75" thickBot="1" x14ac:dyDescent="0.3">
      <c r="A151" s="18" t="s">
        <v>189</v>
      </c>
      <c r="B151" s="3">
        <v>508</v>
      </c>
      <c r="C151" s="4" t="s">
        <v>13</v>
      </c>
      <c r="D151" s="4" t="s">
        <v>13</v>
      </c>
      <c r="E151" s="4"/>
      <c r="F151" s="4" t="s">
        <v>9</v>
      </c>
      <c r="G151" s="4"/>
      <c r="H151" s="19" t="s">
        <v>9</v>
      </c>
      <c r="I151" t="str">
        <f>VLOOKUP(A151,All!A:A,1,FALSE)</f>
        <v>Chicago (Dyett)</v>
      </c>
    </row>
    <row r="152" spans="1:9" ht="15.75" thickBot="1" x14ac:dyDescent="0.3">
      <c r="A152" s="20" t="s">
        <v>190</v>
      </c>
      <c r="B152" s="7">
        <v>625</v>
      </c>
      <c r="C152" s="6" t="s">
        <v>13</v>
      </c>
      <c r="D152" s="6" t="s">
        <v>13</v>
      </c>
      <c r="E152" s="6"/>
      <c r="F152" s="6"/>
      <c r="G152" s="6"/>
      <c r="H152" s="21" t="s">
        <v>9</v>
      </c>
      <c r="I152" t="str">
        <f>VLOOKUP(A152,All!A:A,1,FALSE)</f>
        <v>Chicago (Englewood STEM)</v>
      </c>
    </row>
    <row r="153" spans="1:9" ht="15.75" thickBot="1" x14ac:dyDescent="0.3">
      <c r="A153" s="18" t="s">
        <v>921</v>
      </c>
      <c r="B153" s="3" t="s">
        <v>922</v>
      </c>
      <c r="C153" s="10" t="s">
        <v>13</v>
      </c>
      <c r="D153" s="4"/>
      <c r="E153" s="4"/>
      <c r="F153" s="4"/>
      <c r="G153" s="4"/>
      <c r="H153" s="19"/>
      <c r="I153" t="str">
        <f>VLOOKUP(A153,All!A:A,1,FALSE)</f>
        <v>Chicago (EPIC Academy Charter)</v>
      </c>
    </row>
    <row r="154" spans="1:9" ht="15.75" thickBot="1" x14ac:dyDescent="0.3">
      <c r="A154" s="20" t="s">
        <v>923</v>
      </c>
      <c r="B154" s="7" t="s">
        <v>924</v>
      </c>
      <c r="C154" s="10" t="s">
        <v>13</v>
      </c>
      <c r="D154" s="6"/>
      <c r="E154" s="6"/>
      <c r="F154" s="6"/>
      <c r="G154" s="6"/>
      <c r="H154" s="21"/>
      <c r="I154" t="str">
        <f>VLOOKUP(A154,All!A:A,1,FALSE)</f>
        <v>Chicago (Excel Academy/Englewood)</v>
      </c>
    </row>
    <row r="155" spans="1:9" ht="15.75" thickBot="1" x14ac:dyDescent="0.3">
      <c r="A155" s="18" t="s">
        <v>925</v>
      </c>
      <c r="B155" s="3" t="s">
        <v>237</v>
      </c>
      <c r="C155" s="10" t="s">
        <v>13</v>
      </c>
      <c r="D155" s="4"/>
      <c r="E155" s="4"/>
      <c r="F155" s="4"/>
      <c r="G155" s="4"/>
      <c r="H155" s="19"/>
      <c r="I155" t="str">
        <f>VLOOKUP(A155,All!A:A,1,FALSE)</f>
        <v>Chicago (Excel Academy/South Shore)</v>
      </c>
    </row>
    <row r="156" spans="1:9" ht="15.75" thickBot="1" x14ac:dyDescent="0.3">
      <c r="A156" s="20" t="s">
        <v>193</v>
      </c>
      <c r="B156" s="7" t="s">
        <v>194</v>
      </c>
      <c r="C156" s="10" t="s">
        <v>13</v>
      </c>
      <c r="D156" s="10" t="s">
        <v>13</v>
      </c>
      <c r="E156" s="6"/>
      <c r="F156" s="6"/>
      <c r="G156" s="10" t="s">
        <v>13</v>
      </c>
      <c r="H156" s="21"/>
      <c r="I156" t="str">
        <f>VLOOKUP(A156,All!A:A,1,FALSE)</f>
        <v>Chicago (F.W. Parker)</v>
      </c>
    </row>
    <row r="157" spans="1:9" ht="15.75" thickBot="1" x14ac:dyDescent="0.3">
      <c r="A157" s="25" t="s">
        <v>0</v>
      </c>
      <c r="B157" s="1" t="s">
        <v>1</v>
      </c>
      <c r="C157" s="2" t="s">
        <v>899</v>
      </c>
      <c r="D157" s="2" t="s">
        <v>900</v>
      </c>
      <c r="E157" s="2" t="s">
        <v>901</v>
      </c>
      <c r="F157" s="2" t="s">
        <v>902</v>
      </c>
      <c r="G157" s="2" t="s">
        <v>903</v>
      </c>
      <c r="H157" s="26" t="s">
        <v>904</v>
      </c>
      <c r="I157" t="str">
        <f>VLOOKUP(A157,All!A:A,1,FALSE)</f>
        <v>School</v>
      </c>
    </row>
    <row r="158" spans="1:9" ht="15.75" thickBot="1" x14ac:dyDescent="0.3">
      <c r="A158" s="18" t="s">
        <v>195</v>
      </c>
      <c r="B158" s="3">
        <v>423</v>
      </c>
      <c r="C158" s="4" t="s">
        <v>13</v>
      </c>
      <c r="D158" s="4"/>
      <c r="E158" s="4"/>
      <c r="F158" s="4"/>
      <c r="G158" s="4"/>
      <c r="H158" s="19"/>
      <c r="I158" t="str">
        <f>VLOOKUP(A158,All!A:A,1,FALSE)</f>
        <v>Chicago (Farragut)</v>
      </c>
    </row>
    <row r="159" spans="1:9" ht="15.75" thickBot="1" x14ac:dyDescent="0.3">
      <c r="A159" s="20" t="s">
        <v>196</v>
      </c>
      <c r="B159" s="7">
        <v>201</v>
      </c>
      <c r="C159" s="6" t="s">
        <v>9</v>
      </c>
      <c r="D159" s="6" t="s">
        <v>9</v>
      </c>
      <c r="E159" s="6"/>
      <c r="F159" s="6"/>
      <c r="G159" s="6"/>
      <c r="H159" s="21" t="s">
        <v>9</v>
      </c>
      <c r="I159" t="str">
        <f>VLOOKUP(A159,All!A:A,1,FALSE)</f>
        <v>Chicago (Fenger)</v>
      </c>
    </row>
    <row r="160" spans="1:9" ht="15.75" thickBot="1" x14ac:dyDescent="0.3">
      <c r="A160" s="18" t="s">
        <v>197</v>
      </c>
      <c r="B160" s="3">
        <v>568</v>
      </c>
      <c r="C160" s="4" t="s">
        <v>13</v>
      </c>
      <c r="D160" s="4" t="s">
        <v>13</v>
      </c>
      <c r="E160" s="4"/>
      <c r="F160" s="4"/>
      <c r="G160" s="4"/>
      <c r="H160" s="19" t="s">
        <v>9</v>
      </c>
      <c r="I160" t="str">
        <f>VLOOKUP(A160,All!A:A,1,FALSE)</f>
        <v>Chicago (Foreman)</v>
      </c>
    </row>
    <row r="161" spans="1:9" ht="15.75" thickBot="1" x14ac:dyDescent="0.3">
      <c r="A161" s="20" t="s">
        <v>198</v>
      </c>
      <c r="B161" s="7">
        <v>326</v>
      </c>
      <c r="C161" s="6" t="s">
        <v>13</v>
      </c>
      <c r="D161" s="6"/>
      <c r="E161" s="6"/>
      <c r="F161" s="6"/>
      <c r="G161" s="6"/>
      <c r="H161" s="21"/>
      <c r="I161" t="str">
        <f>VLOOKUP(A161,All!A:A,1,FALSE)</f>
        <v>Chicago (Gage Park)</v>
      </c>
    </row>
    <row r="162" spans="1:9" ht="15.75" thickBot="1" x14ac:dyDescent="0.3">
      <c r="A162" s="18" t="s">
        <v>199</v>
      </c>
      <c r="B162" s="3" t="s">
        <v>200</v>
      </c>
      <c r="C162" s="10" t="s">
        <v>12</v>
      </c>
      <c r="D162" s="10" t="s">
        <v>12</v>
      </c>
      <c r="E162" s="4"/>
      <c r="F162" s="4"/>
      <c r="G162" s="4"/>
      <c r="H162" s="23" t="s">
        <v>13</v>
      </c>
      <c r="I162" t="str">
        <f>VLOOKUP(A162,All!A:A,1,FALSE)</f>
        <v>Chicago (Goode STEM Academy)</v>
      </c>
    </row>
    <row r="163" spans="1:9" ht="15.75" thickBot="1" x14ac:dyDescent="0.3">
      <c r="A163" s="20" t="s">
        <v>201</v>
      </c>
      <c r="B163" s="7" t="s">
        <v>202</v>
      </c>
      <c r="C163" s="10" t="s">
        <v>11</v>
      </c>
      <c r="D163" s="10" t="s">
        <v>11</v>
      </c>
      <c r="E163" s="6" t="s">
        <v>905</v>
      </c>
      <c r="F163" s="6"/>
      <c r="G163" s="6"/>
      <c r="H163" s="23" t="s">
        <v>12</v>
      </c>
      <c r="I163" t="str">
        <f>VLOOKUP(A163,All!A:A,1,FALSE)</f>
        <v>Chicago (Hancock)</v>
      </c>
    </row>
    <row r="164" spans="1:9" ht="15.75" thickBot="1" x14ac:dyDescent="0.3">
      <c r="A164" s="18" t="s">
        <v>926</v>
      </c>
      <c r="B164" s="3">
        <v>161</v>
      </c>
      <c r="C164" s="4" t="s">
        <v>9</v>
      </c>
      <c r="D164" s="4"/>
      <c r="E164" s="4"/>
      <c r="F164" s="4"/>
      <c r="G164" s="4"/>
      <c r="H164" s="19" t="s">
        <v>9</v>
      </c>
      <c r="I164" t="str">
        <f>VLOOKUP(A164,All!A:A,1,FALSE)</f>
        <v>Chicago (Harlan)</v>
      </c>
    </row>
    <row r="165" spans="1:9" ht="15.75" thickBot="1" x14ac:dyDescent="0.3">
      <c r="A165" s="20" t="s">
        <v>203</v>
      </c>
      <c r="B165" s="7" t="s">
        <v>204</v>
      </c>
      <c r="C165" s="10" t="s">
        <v>13</v>
      </c>
      <c r="D165" s="10" t="s">
        <v>13</v>
      </c>
      <c r="E165" s="6"/>
      <c r="F165" s="6"/>
      <c r="G165" s="6"/>
      <c r="H165" s="21"/>
      <c r="I165" t="str">
        <f>VLOOKUP(A165,All!A:A,1,FALSE)</f>
        <v>Chicago (Holy Trinity)</v>
      </c>
    </row>
    <row r="166" spans="1:9" ht="15.75" thickBot="1" x14ac:dyDescent="0.3">
      <c r="A166" s="18" t="s">
        <v>205</v>
      </c>
      <c r="B166" s="3" t="s">
        <v>174</v>
      </c>
      <c r="C166" s="10" t="s">
        <v>13</v>
      </c>
      <c r="D166" s="4"/>
      <c r="E166" s="10" t="s">
        <v>9</v>
      </c>
      <c r="F166" s="4"/>
      <c r="G166" s="4"/>
      <c r="H166" s="19"/>
      <c r="I166" t="str">
        <f>VLOOKUP(A166,All!A:A,1,FALSE)</f>
        <v>Chicago (Horizon/Belmont)</v>
      </c>
    </row>
    <row r="167" spans="1:9" ht="15.75" thickBot="1" x14ac:dyDescent="0.3">
      <c r="A167" s="20" t="s">
        <v>206</v>
      </c>
      <c r="B167" s="7" t="s">
        <v>207</v>
      </c>
      <c r="C167" s="11" t="s">
        <v>9</v>
      </c>
      <c r="D167" s="11" t="s">
        <v>9</v>
      </c>
      <c r="E167" s="6"/>
      <c r="F167" s="6"/>
      <c r="G167" s="6"/>
      <c r="H167" s="21"/>
      <c r="I167" t="str">
        <f>VLOOKUP(A167,All!A:A,1,FALSE)</f>
        <v>Chicago (Horizon/McKinley)</v>
      </c>
    </row>
    <row r="168" spans="1:9" ht="15.75" thickBot="1" x14ac:dyDescent="0.3">
      <c r="A168" s="18" t="s">
        <v>208</v>
      </c>
      <c r="B168" s="3" t="s">
        <v>209</v>
      </c>
      <c r="C168" s="11" t="s">
        <v>9</v>
      </c>
      <c r="D168" s="11" t="s">
        <v>9</v>
      </c>
      <c r="E168" s="4"/>
      <c r="F168" s="4"/>
      <c r="G168" s="4"/>
      <c r="H168" s="23" t="s">
        <v>9</v>
      </c>
      <c r="I168" t="str">
        <f>VLOOKUP(A168,All!A:A,1,FALSE)</f>
        <v>Chicago (Horizon/Southwest Chicago)</v>
      </c>
    </row>
    <row r="169" spans="1:9" ht="15.75" thickBot="1" x14ac:dyDescent="0.3">
      <c r="A169" s="20" t="s">
        <v>210</v>
      </c>
      <c r="B169" s="5">
        <v>1565</v>
      </c>
      <c r="C169" s="6"/>
      <c r="D169" s="6"/>
      <c r="E169" s="6"/>
      <c r="F169" s="6"/>
      <c r="G169" s="6"/>
      <c r="H169" s="21" t="s">
        <v>13</v>
      </c>
      <c r="I169" t="str">
        <f>VLOOKUP(A169,All!A:A,1,FALSE)</f>
        <v>Chicago (Hubbard)</v>
      </c>
    </row>
    <row r="170" spans="1:9" ht="15.75" thickBot="1" x14ac:dyDescent="0.3">
      <c r="A170" s="18" t="s">
        <v>211</v>
      </c>
      <c r="B170" s="3">
        <v>755</v>
      </c>
      <c r="C170" s="4" t="s">
        <v>12</v>
      </c>
      <c r="D170" s="4" t="s">
        <v>12</v>
      </c>
      <c r="E170" s="4"/>
      <c r="F170" s="4"/>
      <c r="G170" s="4"/>
      <c r="H170" s="19" t="s">
        <v>13</v>
      </c>
      <c r="I170" t="str">
        <f>VLOOKUP(A170,All!A:A,1,FALSE)</f>
        <v>Chicago (Hyde Park)</v>
      </c>
    </row>
    <row r="171" spans="1:9" ht="15.75" thickBot="1" x14ac:dyDescent="0.3">
      <c r="A171" s="20" t="s">
        <v>212</v>
      </c>
      <c r="B171" s="7" t="s">
        <v>213</v>
      </c>
      <c r="C171" s="10" t="s">
        <v>12</v>
      </c>
      <c r="D171" s="10" t="s">
        <v>12</v>
      </c>
      <c r="E171" s="6"/>
      <c r="F171" s="10" t="s">
        <v>13</v>
      </c>
      <c r="G171" s="6"/>
      <c r="H171" s="21"/>
      <c r="I171" t="str">
        <f>VLOOKUP(A171,All!A:A,1,FALSE)</f>
        <v>Chicago (Intrinsic Charter)</v>
      </c>
    </row>
    <row r="172" spans="1:9" ht="15.75" thickBot="1" x14ac:dyDescent="0.3">
      <c r="A172" s="18" t="s">
        <v>214</v>
      </c>
      <c r="B172" s="3" t="s">
        <v>215</v>
      </c>
      <c r="C172" s="10" t="s">
        <v>12</v>
      </c>
      <c r="D172" s="10" t="s">
        <v>12</v>
      </c>
      <c r="E172" s="4"/>
      <c r="F172" s="4"/>
      <c r="G172" s="4"/>
      <c r="H172" s="23" t="s">
        <v>13</v>
      </c>
      <c r="I172" t="str">
        <f>VLOOKUP(A172,All!A:A,1,FALSE)</f>
        <v>Chicago (Intrinsic Charter-Downtown Campus)</v>
      </c>
    </row>
    <row r="173" spans="1:9" ht="15.75" thickBot="1" x14ac:dyDescent="0.3">
      <c r="A173" s="20" t="s">
        <v>216</v>
      </c>
      <c r="B173" s="7" t="s">
        <v>217</v>
      </c>
      <c r="C173" s="10" t="s">
        <v>11</v>
      </c>
      <c r="D173" s="10" t="s">
        <v>11</v>
      </c>
      <c r="E173" s="6" t="s">
        <v>905</v>
      </c>
      <c r="F173" s="10" t="s">
        <v>12</v>
      </c>
      <c r="G173" s="10" t="s">
        <v>13</v>
      </c>
      <c r="H173" s="21"/>
      <c r="I173" t="str">
        <f>VLOOKUP(A173,All!A:A,1,FALSE)</f>
        <v>Chicago (Jones)</v>
      </c>
    </row>
    <row r="174" spans="1:9" ht="15.75" thickBot="1" x14ac:dyDescent="0.3">
      <c r="A174" s="18" t="s">
        <v>927</v>
      </c>
      <c r="B174" s="3" t="s">
        <v>928</v>
      </c>
      <c r="C174" s="4"/>
      <c r="D174" s="4"/>
      <c r="E174" s="4"/>
      <c r="F174" s="10" t="s">
        <v>9</v>
      </c>
      <c r="G174" s="4"/>
      <c r="H174" s="19"/>
      <c r="I174" t="str">
        <f>VLOOKUP(A174,All!A:A,1,FALSE)</f>
        <v>Chicago (Josephinum)</v>
      </c>
    </row>
    <row r="175" spans="1:9" ht="15.75" thickBot="1" x14ac:dyDescent="0.3">
      <c r="A175" s="20" t="s">
        <v>218</v>
      </c>
      <c r="B175" s="5">
        <v>1518</v>
      </c>
      <c r="C175" s="6" t="s">
        <v>12</v>
      </c>
      <c r="D175" s="6"/>
      <c r="E175" s="6"/>
      <c r="F175" s="6"/>
      <c r="G175" s="6"/>
      <c r="H175" s="21"/>
      <c r="I175" t="str">
        <f>VLOOKUP(A175,All!A:A,1,FALSE)</f>
        <v>Chicago (Juarez)</v>
      </c>
    </row>
    <row r="176" spans="1:9" ht="15.75" thickBot="1" x14ac:dyDescent="0.3">
      <c r="A176" s="18" t="s">
        <v>219</v>
      </c>
      <c r="B176" s="3">
        <v>400</v>
      </c>
      <c r="C176" s="4" t="s">
        <v>13</v>
      </c>
      <c r="D176" s="4" t="s">
        <v>13</v>
      </c>
      <c r="E176" s="4"/>
      <c r="F176" s="4"/>
      <c r="G176" s="4"/>
      <c r="H176" s="19"/>
      <c r="I176" t="str">
        <f>VLOOKUP(A176,All!A:A,1,FALSE)</f>
        <v>Chicago (Julian)</v>
      </c>
    </row>
    <row r="177" spans="1:9" ht="15.75" thickBot="1" x14ac:dyDescent="0.3">
      <c r="A177" s="20" t="s">
        <v>220</v>
      </c>
      <c r="B177" s="5">
        <v>1594</v>
      </c>
      <c r="C177" s="6" t="s">
        <v>12</v>
      </c>
      <c r="D177" s="6" t="s">
        <v>12</v>
      </c>
      <c r="E177" s="6"/>
      <c r="F177" s="6"/>
      <c r="G177" s="6"/>
      <c r="H177" s="21" t="s">
        <v>13</v>
      </c>
      <c r="I177" t="str">
        <f>VLOOKUP(A177,All!A:A,1,FALSE)</f>
        <v>Chicago (Kelly)</v>
      </c>
    </row>
    <row r="178" spans="1:9" ht="15.75" thickBot="1" x14ac:dyDescent="0.3">
      <c r="A178" s="18" t="s">
        <v>221</v>
      </c>
      <c r="B178" s="8">
        <v>1543</v>
      </c>
      <c r="C178" s="4" t="s">
        <v>12</v>
      </c>
      <c r="D178" s="4" t="s">
        <v>12</v>
      </c>
      <c r="E178" s="4" t="s">
        <v>13</v>
      </c>
      <c r="F178" s="4"/>
      <c r="G178" s="4"/>
      <c r="H178" s="19" t="s">
        <v>13</v>
      </c>
      <c r="I178" t="str">
        <f>VLOOKUP(A178,All!A:A,1,FALSE)</f>
        <v>Chicago (Kennedy)</v>
      </c>
    </row>
    <row r="179" spans="1:9" ht="15.75" thickBot="1" x14ac:dyDescent="0.3">
      <c r="A179" s="20" t="s">
        <v>222</v>
      </c>
      <c r="B179" s="5">
        <v>1918</v>
      </c>
      <c r="C179" s="6" t="s">
        <v>11</v>
      </c>
      <c r="D179" s="6" t="s">
        <v>11</v>
      </c>
      <c r="E179" s="6" t="s">
        <v>12</v>
      </c>
      <c r="F179" s="6" t="s">
        <v>13</v>
      </c>
      <c r="G179" s="6"/>
      <c r="H179" s="21" t="s">
        <v>12</v>
      </c>
      <c r="I179" t="str">
        <f>VLOOKUP(A179,All!A:A,1,FALSE)</f>
        <v>Chicago (Kenwood)</v>
      </c>
    </row>
    <row r="180" spans="1:9" ht="15.75" thickBot="1" x14ac:dyDescent="0.3">
      <c r="A180" s="18" t="s">
        <v>223</v>
      </c>
      <c r="B180" s="3" t="s">
        <v>224</v>
      </c>
      <c r="C180" s="10" t="s">
        <v>12</v>
      </c>
      <c r="D180" s="10" t="s">
        <v>12</v>
      </c>
      <c r="E180" s="4"/>
      <c r="F180" s="4"/>
      <c r="G180" s="4"/>
      <c r="H180" s="23" t="s">
        <v>13</v>
      </c>
      <c r="I180" t="str">
        <f>VLOOKUP(A180,All!A:A,1,FALSE)</f>
        <v>Chicago (King)</v>
      </c>
    </row>
    <row r="181" spans="1:9" ht="15.75" thickBot="1" x14ac:dyDescent="0.3">
      <c r="A181" s="20" t="s">
        <v>225</v>
      </c>
      <c r="B181" s="5">
        <v>1364</v>
      </c>
      <c r="C181" s="6" t="s">
        <v>12</v>
      </c>
      <c r="D181" s="6" t="s">
        <v>12</v>
      </c>
      <c r="E181" s="6"/>
      <c r="F181" s="6"/>
      <c r="G181" s="6"/>
      <c r="H181" s="21" t="s">
        <v>13</v>
      </c>
      <c r="I181" t="str">
        <f>VLOOKUP(A181,All!A:A,1,FALSE)</f>
        <v>Chicago (Lake View)</v>
      </c>
    </row>
    <row r="182" spans="1:9" ht="15.75" thickBot="1" x14ac:dyDescent="0.3">
      <c r="A182" s="18" t="s">
        <v>226</v>
      </c>
      <c r="B182" s="3" t="s">
        <v>227</v>
      </c>
      <c r="C182" s="10" t="s">
        <v>11</v>
      </c>
      <c r="D182" s="10" t="s">
        <v>11</v>
      </c>
      <c r="E182" s="10" t="s">
        <v>12</v>
      </c>
      <c r="F182" s="10" t="s">
        <v>12</v>
      </c>
      <c r="G182" s="4"/>
      <c r="H182" s="23" t="s">
        <v>12</v>
      </c>
      <c r="I182" t="str">
        <f>VLOOKUP(A182,All!A:A,1,FALSE)</f>
        <v>Chicago (Lane)</v>
      </c>
    </row>
    <row r="183" spans="1:9" ht="15.75" thickBot="1" x14ac:dyDescent="0.3">
      <c r="A183" s="25" t="s">
        <v>0</v>
      </c>
      <c r="B183" s="1" t="s">
        <v>1</v>
      </c>
      <c r="C183" s="2" t="s">
        <v>899</v>
      </c>
      <c r="D183" s="2" t="s">
        <v>900</v>
      </c>
      <c r="E183" s="2" t="s">
        <v>901</v>
      </c>
      <c r="F183" s="2" t="s">
        <v>902</v>
      </c>
      <c r="G183" s="2" t="s">
        <v>903</v>
      </c>
      <c r="H183" s="26" t="s">
        <v>904</v>
      </c>
      <c r="I183" t="str">
        <f>VLOOKUP(A183,All!A:A,1,FALSE)</f>
        <v>School</v>
      </c>
    </row>
    <row r="184" spans="1:9" ht="15.75" thickBot="1" x14ac:dyDescent="0.3">
      <c r="A184" s="20" t="s">
        <v>228</v>
      </c>
      <c r="B184" s="7" t="s">
        <v>229</v>
      </c>
      <c r="C184" s="10" t="s">
        <v>12</v>
      </c>
      <c r="D184" s="10" t="s">
        <v>12</v>
      </c>
      <c r="E184" s="6"/>
      <c r="F184" s="6"/>
      <c r="G184" s="6"/>
      <c r="H184" s="21"/>
      <c r="I184" t="str">
        <f>VLOOKUP(A184,All!A:A,1,FALSE)</f>
        <v>Chicago (Latin)</v>
      </c>
    </row>
    <row r="185" spans="1:9" ht="15.75" thickBot="1" x14ac:dyDescent="0.3">
      <c r="A185" s="18" t="s">
        <v>929</v>
      </c>
      <c r="B185" s="3" t="s">
        <v>930</v>
      </c>
      <c r="C185" s="10" t="s">
        <v>13</v>
      </c>
      <c r="D185" s="4"/>
      <c r="E185" s="4"/>
      <c r="F185" s="4"/>
      <c r="G185" s="4"/>
      <c r="H185" s="19"/>
      <c r="I185" t="str">
        <f>VLOOKUP(A185,All!A:A,1,FALSE)</f>
        <v>Chicago (Legal Prep Charter)</v>
      </c>
    </row>
    <row r="186" spans="1:9" ht="15.75" thickBot="1" x14ac:dyDescent="0.3">
      <c r="A186" s="20" t="s">
        <v>230</v>
      </c>
      <c r="B186" s="7" t="s">
        <v>231</v>
      </c>
      <c r="C186" s="10" t="s">
        <v>12</v>
      </c>
      <c r="D186" s="6"/>
      <c r="E186" s="6"/>
      <c r="F186" s="6"/>
      <c r="G186" s="10" t="s">
        <v>13</v>
      </c>
      <c r="H186" s="24" t="s">
        <v>9</v>
      </c>
      <c r="I186" t="str">
        <f>VLOOKUP(A186,All!A:A,1,FALSE)</f>
        <v>Chicago (Leo)</v>
      </c>
    </row>
    <row r="187" spans="1:9" ht="15.75" thickBot="1" x14ac:dyDescent="0.3">
      <c r="A187" s="18" t="s">
        <v>232</v>
      </c>
      <c r="B187" s="8">
        <v>2178</v>
      </c>
      <c r="C187" s="4" t="s">
        <v>11</v>
      </c>
      <c r="D187" s="4" t="s">
        <v>11</v>
      </c>
      <c r="E187" s="4" t="s">
        <v>905</v>
      </c>
      <c r="F187" s="4" t="s">
        <v>12</v>
      </c>
      <c r="G187" s="4"/>
      <c r="H187" s="19" t="s">
        <v>12</v>
      </c>
      <c r="I187" t="str">
        <f>VLOOKUP(A187,All!A:A,1,FALSE)</f>
        <v>Chicago (Lincoln Park)</v>
      </c>
    </row>
    <row r="188" spans="1:9" ht="15.75" thickBot="1" x14ac:dyDescent="0.3">
      <c r="A188" s="20" t="s">
        <v>233</v>
      </c>
      <c r="B188" s="7" t="s">
        <v>234</v>
      </c>
      <c r="C188" s="10" t="s">
        <v>11</v>
      </c>
      <c r="D188" s="10" t="s">
        <v>11</v>
      </c>
      <c r="E188" s="10" t="s">
        <v>12</v>
      </c>
      <c r="F188" s="6"/>
      <c r="G188" s="6"/>
      <c r="H188" s="23" t="s">
        <v>12</v>
      </c>
      <c r="I188" t="str">
        <f>VLOOKUP(A188,All!A:A,1,FALSE)</f>
        <v>Chicago (Lindblom)</v>
      </c>
    </row>
    <row r="189" spans="1:9" ht="15.75" thickBot="1" x14ac:dyDescent="0.3">
      <c r="A189" s="18" t="s">
        <v>235</v>
      </c>
      <c r="B189" s="8">
        <v>1064</v>
      </c>
      <c r="C189" s="4" t="s">
        <v>12</v>
      </c>
      <c r="D189" s="4"/>
      <c r="E189" s="4"/>
      <c r="F189" s="4"/>
      <c r="G189" s="4"/>
      <c r="H189" s="19" t="s">
        <v>13</v>
      </c>
      <c r="I189" t="str">
        <f>VLOOKUP(A189,All!A:A,1,FALSE)</f>
        <v>Chicago (Little Village)</v>
      </c>
    </row>
    <row r="190" spans="1:9" ht="15.75" thickBot="1" x14ac:dyDescent="0.3">
      <c r="A190" s="20" t="s">
        <v>236</v>
      </c>
      <c r="B190" s="7" t="s">
        <v>237</v>
      </c>
      <c r="C190" s="11" t="s">
        <v>9</v>
      </c>
      <c r="D190" s="11" t="s">
        <v>9</v>
      </c>
      <c r="E190" s="6"/>
      <c r="F190" s="6"/>
      <c r="G190" s="6"/>
      <c r="H190" s="21"/>
      <c r="I190" t="str">
        <f>VLOOKUP(A190,All!A:A,1,FALSE)</f>
        <v>Chicago (Lycée Français de Chicago)</v>
      </c>
    </row>
    <row r="191" spans="1:9" ht="15.75" thickBot="1" x14ac:dyDescent="0.3">
      <c r="A191" s="18" t="s">
        <v>238</v>
      </c>
      <c r="B191" s="3">
        <v>123</v>
      </c>
      <c r="C191" s="4" t="s">
        <v>9</v>
      </c>
      <c r="D191" s="9" t="s">
        <v>9</v>
      </c>
      <c r="E191" s="4"/>
      <c r="F191" s="4"/>
      <c r="G191" s="4"/>
      <c r="H191" s="19"/>
      <c r="I191" t="str">
        <f>VLOOKUP(A191,All!A:A,1,FALSE)</f>
        <v>Chicago (Manley)</v>
      </c>
    </row>
    <row r="192" spans="1:9" ht="15.75" thickBot="1" x14ac:dyDescent="0.3">
      <c r="A192" s="20" t="s">
        <v>241</v>
      </c>
      <c r="B192" s="7" t="s">
        <v>242</v>
      </c>
      <c r="C192" s="10" t="s">
        <v>11</v>
      </c>
      <c r="D192" s="10" t="s">
        <v>11</v>
      </c>
      <c r="E192" s="10" t="s">
        <v>12</v>
      </c>
      <c r="F192" s="10" t="s">
        <v>12</v>
      </c>
      <c r="G192" s="10" t="s">
        <v>13</v>
      </c>
      <c r="H192" s="23" t="s">
        <v>12</v>
      </c>
      <c r="I192" t="str">
        <f>VLOOKUP(A192,All!A:A,1,FALSE)</f>
        <v>Chicago (Marist)</v>
      </c>
    </row>
    <row r="193" spans="1:9" ht="15.75" thickBot="1" x14ac:dyDescent="0.3">
      <c r="A193" s="18" t="s">
        <v>931</v>
      </c>
      <c r="B193" s="3">
        <v>197</v>
      </c>
      <c r="C193" s="4" t="s">
        <v>9</v>
      </c>
      <c r="D193" s="9" t="s">
        <v>13</v>
      </c>
      <c r="E193" s="4"/>
      <c r="F193" s="4"/>
      <c r="G193" s="4"/>
      <c r="H193" s="19" t="s">
        <v>9</v>
      </c>
      <c r="I193" t="str">
        <f>VLOOKUP(A193,All!A:A,1,FALSE)</f>
        <v>Chicago (Marshall)</v>
      </c>
    </row>
    <row r="194" spans="1:9" ht="15.75" thickBot="1" x14ac:dyDescent="0.3">
      <c r="A194" s="20" t="s">
        <v>243</v>
      </c>
      <c r="B194" s="5">
        <v>1657</v>
      </c>
      <c r="C194" s="6" t="s">
        <v>11</v>
      </c>
      <c r="D194" s="6" t="s">
        <v>11</v>
      </c>
      <c r="E194" s="6"/>
      <c r="F194" s="6"/>
      <c r="G194" s="6"/>
      <c r="H194" s="22" t="s">
        <v>12</v>
      </c>
      <c r="I194" t="str">
        <f>VLOOKUP(A194,All!A:A,1,FALSE)</f>
        <v>Chicago (Mather)</v>
      </c>
    </row>
    <row r="195" spans="1:9" ht="15.75" thickBot="1" x14ac:dyDescent="0.3">
      <c r="A195" s="18" t="s">
        <v>244</v>
      </c>
      <c r="B195" s="3" t="s">
        <v>245</v>
      </c>
      <c r="C195" s="10" t="s">
        <v>9</v>
      </c>
      <c r="D195" s="10" t="s">
        <v>9</v>
      </c>
      <c r="E195" s="4"/>
      <c r="F195" s="4"/>
      <c r="G195" s="4"/>
      <c r="H195" s="19"/>
      <c r="I195" t="str">
        <f>VLOOKUP(A195,All!A:A,1,FALSE)</f>
        <v>Chicago (Morgan Park Academy)</v>
      </c>
    </row>
    <row r="196" spans="1:9" ht="15.75" thickBot="1" x14ac:dyDescent="0.3">
      <c r="A196" s="20" t="s">
        <v>246</v>
      </c>
      <c r="B196" s="5">
        <v>1114</v>
      </c>
      <c r="C196" s="6" t="s">
        <v>12</v>
      </c>
      <c r="D196" s="6" t="s">
        <v>12</v>
      </c>
      <c r="E196" s="6" t="s">
        <v>13</v>
      </c>
      <c r="F196" s="6" t="s">
        <v>13</v>
      </c>
      <c r="G196" s="6"/>
      <c r="H196" s="21" t="s">
        <v>13</v>
      </c>
      <c r="I196" t="str">
        <f>VLOOKUP(A196,All!A:A,1,FALSE)</f>
        <v>Chicago (Morgan Park)</v>
      </c>
    </row>
    <row r="197" spans="1:9" ht="15.75" thickBot="1" x14ac:dyDescent="0.3">
      <c r="A197" s="18" t="s">
        <v>247</v>
      </c>
      <c r="B197" s="3" t="s">
        <v>248</v>
      </c>
      <c r="C197" s="4"/>
      <c r="D197" s="10" t="s">
        <v>11</v>
      </c>
      <c r="E197" s="10" t="s">
        <v>12</v>
      </c>
      <c r="F197" s="4"/>
      <c r="G197" s="10" t="s">
        <v>13</v>
      </c>
      <c r="H197" s="19"/>
      <c r="I197" t="str">
        <f>VLOOKUP(A197,All!A:A,1,FALSE)</f>
        <v>Chicago (Mother McAuley)</v>
      </c>
    </row>
    <row r="198" spans="1:9" ht="15.75" thickBot="1" x14ac:dyDescent="0.3">
      <c r="A198" s="20" t="s">
        <v>249</v>
      </c>
      <c r="B198" s="7" t="s">
        <v>250</v>
      </c>
      <c r="C198" s="10" t="s">
        <v>11</v>
      </c>
      <c r="D198" s="6"/>
      <c r="E198" s="6"/>
      <c r="F198" s="6"/>
      <c r="G198" s="10" t="s">
        <v>13</v>
      </c>
      <c r="H198" s="23" t="s">
        <v>12</v>
      </c>
      <c r="I198" t="str">
        <f>VLOOKUP(A198,All!A:A,1,FALSE)</f>
        <v>Chicago (Mt. Carmel)</v>
      </c>
    </row>
    <row r="199" spans="1:9" ht="15.75" thickBot="1" x14ac:dyDescent="0.3">
      <c r="A199" s="18" t="s">
        <v>251</v>
      </c>
      <c r="B199" s="3" t="s">
        <v>252</v>
      </c>
      <c r="C199" s="11" t="s">
        <v>13</v>
      </c>
      <c r="D199" s="4"/>
      <c r="E199" s="4"/>
      <c r="F199" s="4"/>
      <c r="G199" s="4"/>
      <c r="H199" s="23" t="s">
        <v>13</v>
      </c>
      <c r="I199" t="str">
        <f>VLOOKUP(A199,All!A:A,1,FALSE)</f>
        <v>Chicago (Noble Street Charter)</v>
      </c>
    </row>
    <row r="200" spans="1:9" ht="15.75" thickBot="1" x14ac:dyDescent="0.3">
      <c r="A200" s="20" t="s">
        <v>255</v>
      </c>
      <c r="B200" s="7" t="s">
        <v>256</v>
      </c>
      <c r="C200" s="11" t="s">
        <v>12</v>
      </c>
      <c r="D200" s="11" t="s">
        <v>12</v>
      </c>
      <c r="E200" s="6"/>
      <c r="F200" s="6"/>
      <c r="G200" s="6"/>
      <c r="H200" s="21"/>
      <c r="I200" t="str">
        <f>VLOOKUP(A200,All!A:A,1,FALSE)</f>
        <v>Chicago (Noble/Bulls)</v>
      </c>
    </row>
    <row r="201" spans="1:9" ht="15.75" thickBot="1" x14ac:dyDescent="0.3">
      <c r="A201" s="18" t="s">
        <v>257</v>
      </c>
      <c r="B201" s="3" t="s">
        <v>213</v>
      </c>
      <c r="C201" s="11" t="s">
        <v>13</v>
      </c>
      <c r="D201" s="10" t="s">
        <v>12</v>
      </c>
      <c r="E201" s="4"/>
      <c r="F201" s="11" t="s">
        <v>9</v>
      </c>
      <c r="G201" s="4"/>
      <c r="H201" s="19"/>
      <c r="I201" t="str">
        <f>VLOOKUP(A201,All!A:A,1,FALSE)</f>
        <v>Chicago (Noble/Butler)</v>
      </c>
    </row>
    <row r="202" spans="1:9" ht="15.75" thickBot="1" x14ac:dyDescent="0.3">
      <c r="A202" s="20" t="s">
        <v>258</v>
      </c>
      <c r="B202" s="7" t="s">
        <v>259</v>
      </c>
      <c r="C202" s="10" t="s">
        <v>12</v>
      </c>
      <c r="D202" s="10" t="s">
        <v>12</v>
      </c>
      <c r="E202" s="6"/>
      <c r="F202" s="6"/>
      <c r="G202" s="6"/>
      <c r="H202" s="23" t="s">
        <v>13</v>
      </c>
      <c r="I202" t="str">
        <f>VLOOKUP(A202,All!A:A,1,FALSE)</f>
        <v>Chicago (Noble/Comer)</v>
      </c>
    </row>
    <row r="203" spans="1:9" ht="15.75" thickBot="1" x14ac:dyDescent="0.3">
      <c r="A203" s="18" t="s">
        <v>932</v>
      </c>
      <c r="B203" s="3" t="s">
        <v>159</v>
      </c>
      <c r="C203" s="11" t="s">
        <v>13</v>
      </c>
      <c r="D203" s="4"/>
      <c r="E203" s="4"/>
      <c r="F203" s="4"/>
      <c r="G203" s="4"/>
      <c r="H203" s="19"/>
      <c r="I203" t="str">
        <f>VLOOKUP(A203,All!A:A,1,FALSE)</f>
        <v>Chicago (Noble/DRW Trading)</v>
      </c>
    </row>
    <row r="204" spans="1:9" ht="15.75" thickBot="1" x14ac:dyDescent="0.3">
      <c r="A204" s="20" t="s">
        <v>260</v>
      </c>
      <c r="B204" s="7" t="s">
        <v>261</v>
      </c>
      <c r="C204" s="11" t="s">
        <v>13</v>
      </c>
      <c r="D204" s="11" t="s">
        <v>13</v>
      </c>
      <c r="E204" s="6"/>
      <c r="F204" s="6"/>
      <c r="G204" s="6"/>
      <c r="H204" s="24" t="s">
        <v>9</v>
      </c>
      <c r="I204" t="str">
        <f>VLOOKUP(A204,All!A:A,1,FALSE)</f>
        <v>Chicago (Noble/Golder)</v>
      </c>
    </row>
    <row r="205" spans="1:9" ht="15.75" thickBot="1" x14ac:dyDescent="0.3">
      <c r="A205" s="18" t="s">
        <v>262</v>
      </c>
      <c r="B205" s="3" t="s">
        <v>179</v>
      </c>
      <c r="C205" s="10" t="s">
        <v>12</v>
      </c>
      <c r="D205" s="11" t="s">
        <v>13</v>
      </c>
      <c r="E205" s="4"/>
      <c r="F205" s="10" t="s">
        <v>9</v>
      </c>
      <c r="G205" s="4"/>
      <c r="H205" s="19"/>
      <c r="I205" t="str">
        <f>VLOOKUP(A205,All!A:A,1,FALSE)</f>
        <v>Chicago (Noble/Hansberry)</v>
      </c>
    </row>
    <row r="206" spans="1:9" ht="15.75" thickBot="1" x14ac:dyDescent="0.3">
      <c r="A206" s="20" t="s">
        <v>263</v>
      </c>
      <c r="B206" s="7" t="s">
        <v>264</v>
      </c>
      <c r="C206" s="11" t="s">
        <v>12</v>
      </c>
      <c r="D206" s="11" t="s">
        <v>12</v>
      </c>
      <c r="E206" s="6"/>
      <c r="F206" s="6"/>
      <c r="G206" s="6"/>
      <c r="H206" s="24" t="s">
        <v>13</v>
      </c>
      <c r="I206" t="str">
        <f>VLOOKUP(A206,All!A:A,1,FALSE)</f>
        <v>Chicago (Noble/ITW Speer)</v>
      </c>
    </row>
    <row r="207" spans="1:9" ht="15.75" thickBot="1" x14ac:dyDescent="0.3">
      <c r="A207" s="18" t="s">
        <v>265</v>
      </c>
      <c r="B207" s="3" t="s">
        <v>266</v>
      </c>
      <c r="C207" s="11" t="s">
        <v>13</v>
      </c>
      <c r="D207" s="11" t="s">
        <v>13</v>
      </c>
      <c r="E207" s="4"/>
      <c r="F207" s="4"/>
      <c r="G207" s="4"/>
      <c r="H207" s="19"/>
      <c r="I207" t="str">
        <f>VLOOKUP(A207,All!A:A,1,FALSE)</f>
        <v>Chicago (Noble/Johnson)</v>
      </c>
    </row>
    <row r="208" spans="1:9" ht="15.75" thickBot="1" x14ac:dyDescent="0.3">
      <c r="A208" s="20" t="s">
        <v>267</v>
      </c>
      <c r="B208" s="7" t="s">
        <v>268</v>
      </c>
      <c r="C208" s="11" t="s">
        <v>12</v>
      </c>
      <c r="D208" s="11" t="s">
        <v>12</v>
      </c>
      <c r="E208" s="6"/>
      <c r="F208" s="6"/>
      <c r="G208" s="6"/>
      <c r="H208" s="23" t="s">
        <v>12</v>
      </c>
      <c r="I208" t="str">
        <f>VLOOKUP(A208,All!A:A,1,FALSE)</f>
        <v>Chicago (Noble/Mansueto)</v>
      </c>
    </row>
    <row r="209" spans="1:9" ht="15.75" thickBot="1" x14ac:dyDescent="0.3">
      <c r="A209" s="25" t="s">
        <v>0</v>
      </c>
      <c r="B209" s="1" t="s">
        <v>1</v>
      </c>
      <c r="C209" s="2" t="s">
        <v>899</v>
      </c>
      <c r="D209" s="2" t="s">
        <v>900</v>
      </c>
      <c r="E209" s="2" t="s">
        <v>901</v>
      </c>
      <c r="F209" s="2" t="s">
        <v>902</v>
      </c>
      <c r="G209" s="2" t="s">
        <v>903</v>
      </c>
      <c r="H209" s="26" t="s">
        <v>904</v>
      </c>
      <c r="I209" t="str">
        <f>VLOOKUP(A209,All!A:A,1,FALSE)</f>
        <v>School</v>
      </c>
    </row>
    <row r="210" spans="1:9" ht="15.75" thickBot="1" x14ac:dyDescent="0.3">
      <c r="A210" s="18" t="s">
        <v>269</v>
      </c>
      <c r="B210" s="3" t="s">
        <v>270</v>
      </c>
      <c r="C210" s="10" t="s">
        <v>12</v>
      </c>
      <c r="D210" s="10" t="s">
        <v>12</v>
      </c>
      <c r="E210" s="4"/>
      <c r="F210" s="4"/>
      <c r="G210" s="4"/>
      <c r="H210" s="19"/>
      <c r="I210" t="str">
        <f>VLOOKUP(A210,All!A:A,1,FALSE)</f>
        <v>Chicago (Noble/Muchin)</v>
      </c>
    </row>
    <row r="211" spans="1:9" ht="15.75" thickBot="1" x14ac:dyDescent="0.3">
      <c r="A211" s="20" t="s">
        <v>271</v>
      </c>
      <c r="B211" s="7" t="s">
        <v>272</v>
      </c>
      <c r="C211" s="10" t="s">
        <v>13</v>
      </c>
      <c r="D211" s="10" t="s">
        <v>13</v>
      </c>
      <c r="E211" s="6"/>
      <c r="F211" s="6"/>
      <c r="G211" s="6"/>
      <c r="H211" s="23" t="s">
        <v>9</v>
      </c>
      <c r="I211" t="str">
        <f>VLOOKUP(A211,All!A:A,1,FALSE)</f>
        <v>Chicago (Noble/Noble Academy)</v>
      </c>
    </row>
    <row r="212" spans="1:9" ht="15.75" thickBot="1" x14ac:dyDescent="0.3">
      <c r="A212" s="18" t="s">
        <v>273</v>
      </c>
      <c r="B212" s="3" t="s">
        <v>274</v>
      </c>
      <c r="C212" s="11" t="s">
        <v>12</v>
      </c>
      <c r="D212" s="11" t="s">
        <v>12</v>
      </c>
      <c r="E212" s="4" t="s">
        <v>905</v>
      </c>
      <c r="F212" s="11" t="s">
        <v>9</v>
      </c>
      <c r="G212" s="4"/>
      <c r="H212" s="19"/>
      <c r="I212" t="str">
        <f>VLOOKUP(A212,All!A:A,1,FALSE)</f>
        <v>Chicago (Noble/Pritzker)</v>
      </c>
    </row>
    <row r="213" spans="1:9" ht="15.75" thickBot="1" x14ac:dyDescent="0.3">
      <c r="A213" s="20" t="s">
        <v>275</v>
      </c>
      <c r="B213" s="7" t="s">
        <v>276</v>
      </c>
      <c r="C213" s="11" t="s">
        <v>13</v>
      </c>
      <c r="D213" s="11" t="s">
        <v>13</v>
      </c>
      <c r="E213" s="6"/>
      <c r="F213" s="6"/>
      <c r="G213" s="6"/>
      <c r="H213" s="21"/>
      <c r="I213" t="str">
        <f>VLOOKUP(A213,All!A:A,1,FALSE)</f>
        <v>Chicago (Noble/Rauner)</v>
      </c>
    </row>
    <row r="214" spans="1:9" ht="15.75" thickBot="1" x14ac:dyDescent="0.3">
      <c r="A214" s="18" t="s">
        <v>933</v>
      </c>
      <c r="B214" s="3" t="s">
        <v>934</v>
      </c>
      <c r="C214" s="10" t="s">
        <v>13</v>
      </c>
      <c r="D214" s="4"/>
      <c r="E214" s="4"/>
      <c r="F214" s="4"/>
      <c r="G214" s="4"/>
      <c r="H214" s="19"/>
      <c r="I214" t="str">
        <f>VLOOKUP(A214,All!A:A,1,FALSE)</f>
        <v>Chicago (Noble/Rowe-Clark)</v>
      </c>
    </row>
    <row r="215" spans="1:9" ht="15.75" thickBot="1" x14ac:dyDescent="0.3">
      <c r="A215" s="20" t="s">
        <v>277</v>
      </c>
      <c r="B215" s="7" t="s">
        <v>278</v>
      </c>
      <c r="C215" s="10" t="s">
        <v>12</v>
      </c>
      <c r="D215" s="6"/>
      <c r="E215" s="10" t="s">
        <v>13</v>
      </c>
      <c r="F215" s="11" t="s">
        <v>9</v>
      </c>
      <c r="G215" s="6"/>
      <c r="H215" s="23" t="s">
        <v>13</v>
      </c>
      <c r="I215" t="str">
        <f>VLOOKUP(A215,All!A:A,1,FALSE)</f>
        <v>Chicago (Noble/UIC)</v>
      </c>
    </row>
    <row r="216" spans="1:9" ht="15.75" thickBot="1" x14ac:dyDescent="0.3">
      <c r="A216" s="18" t="s">
        <v>279</v>
      </c>
      <c r="B216" s="3" t="s">
        <v>280</v>
      </c>
      <c r="C216" s="10" t="s">
        <v>13</v>
      </c>
      <c r="D216" s="10" t="s">
        <v>13</v>
      </c>
      <c r="E216" s="4"/>
      <c r="F216" s="4"/>
      <c r="G216" s="4"/>
      <c r="H216" s="19"/>
      <c r="I216" t="str">
        <f>VLOOKUP(A216,All!A:A,1,FALSE)</f>
        <v>Chicago (North Lawndale Charter)</v>
      </c>
    </row>
    <row r="217" spans="1:9" ht="15.75" thickBot="1" x14ac:dyDescent="0.3">
      <c r="A217" s="20" t="s">
        <v>281</v>
      </c>
      <c r="B217" s="7" t="s">
        <v>282</v>
      </c>
      <c r="C217" s="11" t="s">
        <v>12</v>
      </c>
      <c r="D217" s="11" t="s">
        <v>12</v>
      </c>
      <c r="E217" s="6"/>
      <c r="F217" s="10" t="s">
        <v>13</v>
      </c>
      <c r="G217" s="10" t="s">
        <v>13</v>
      </c>
      <c r="H217" s="21"/>
      <c r="I217" t="str">
        <f>VLOOKUP(A217,All!A:A,1,FALSE)</f>
        <v>Chicago (Northside)</v>
      </c>
    </row>
    <row r="218" spans="1:9" ht="15.75" thickBot="1" x14ac:dyDescent="0.3">
      <c r="A218" s="18" t="s">
        <v>283</v>
      </c>
      <c r="B218" s="3" t="s">
        <v>284</v>
      </c>
      <c r="C218" s="10" t="s">
        <v>12</v>
      </c>
      <c r="D218" s="10" t="s">
        <v>12</v>
      </c>
      <c r="E218" s="4"/>
      <c r="F218" s="4"/>
      <c r="G218" s="4"/>
      <c r="H218" s="19"/>
      <c r="I218" t="str">
        <f>VLOOKUP(A218,All!A:A,1,FALSE)</f>
        <v>Chicago (Ogden International)</v>
      </c>
    </row>
    <row r="219" spans="1:9" ht="15.75" thickBot="1" x14ac:dyDescent="0.3">
      <c r="A219" s="20" t="s">
        <v>285</v>
      </c>
      <c r="B219" s="7">
        <v>302</v>
      </c>
      <c r="C219" s="6" t="s">
        <v>13</v>
      </c>
      <c r="D219" s="6" t="s">
        <v>13</v>
      </c>
      <c r="E219" s="6"/>
      <c r="F219" s="6"/>
      <c r="G219" s="6"/>
      <c r="H219" s="21"/>
      <c r="I219" t="str">
        <f>VLOOKUP(A219,All!A:A,1,FALSE)</f>
        <v>Chicago (Orr)</v>
      </c>
    </row>
    <row r="220" spans="1:9" ht="15.75" thickBot="1" x14ac:dyDescent="0.3">
      <c r="A220" s="18" t="s">
        <v>286</v>
      </c>
      <c r="B220" s="3" t="s">
        <v>287</v>
      </c>
      <c r="C220" s="4"/>
      <c r="D220" s="11" t="s">
        <v>9</v>
      </c>
      <c r="E220" s="4"/>
      <c r="F220" s="4"/>
      <c r="G220" s="4"/>
      <c r="H220" s="19"/>
      <c r="I220" t="str">
        <f>VLOOKUP(A220,All!A:A,1,FALSE)</f>
        <v>Chicago (Our Lady of Tepeyac)</v>
      </c>
    </row>
    <row r="221" spans="1:9" ht="15.75" thickBot="1" x14ac:dyDescent="0.3">
      <c r="A221" s="20" t="s">
        <v>288</v>
      </c>
      <c r="B221" s="7" t="s">
        <v>289</v>
      </c>
      <c r="C221" s="10" t="s">
        <v>11</v>
      </c>
      <c r="D221" s="11" t="s">
        <v>12</v>
      </c>
      <c r="E221" s="11" t="s">
        <v>13</v>
      </c>
      <c r="F221" s="11" t="s">
        <v>13</v>
      </c>
      <c r="G221" s="10" t="s">
        <v>13</v>
      </c>
      <c r="H221" s="22" t="s">
        <v>12</v>
      </c>
      <c r="I221" t="str">
        <f>VLOOKUP(A221,All!A:A,1,FALSE)</f>
        <v>Chicago (Payton)</v>
      </c>
    </row>
    <row r="222" spans="1:9" ht="15.75" thickBot="1" x14ac:dyDescent="0.3">
      <c r="A222" s="18" t="s">
        <v>935</v>
      </c>
      <c r="B222" s="3" t="s">
        <v>936</v>
      </c>
      <c r="C222" s="9" t="s">
        <v>13</v>
      </c>
      <c r="D222" s="9" t="s">
        <v>12</v>
      </c>
      <c r="E222" s="4"/>
      <c r="F222" s="4"/>
      <c r="G222" s="4"/>
      <c r="H222" s="19"/>
      <c r="I222" t="str">
        <f>VLOOKUP(A222,All!A:A,1,FALSE)</f>
        <v>Chicago (Perspectives/IIT Math &amp; Science)</v>
      </c>
    </row>
    <row r="223" spans="1:9" ht="15.75" thickBot="1" x14ac:dyDescent="0.3">
      <c r="A223" s="20" t="s">
        <v>290</v>
      </c>
      <c r="B223" s="7" t="s">
        <v>291</v>
      </c>
      <c r="C223" s="9" t="s">
        <v>11</v>
      </c>
      <c r="D223" s="9" t="s">
        <v>11</v>
      </c>
      <c r="E223" s="6"/>
      <c r="F223" s="6"/>
      <c r="G223" s="6"/>
      <c r="H223" s="22" t="s">
        <v>13</v>
      </c>
      <c r="I223" t="str">
        <f>VLOOKUP(A223,All!A:A,1,FALSE)</f>
        <v>Chicago (Perspectives/Leadership)</v>
      </c>
    </row>
    <row r="224" spans="1:9" ht="15.75" thickBot="1" x14ac:dyDescent="0.3">
      <c r="A224" s="18" t="s">
        <v>292</v>
      </c>
      <c r="B224" s="3">
        <v>397</v>
      </c>
      <c r="C224" s="4" t="s">
        <v>13</v>
      </c>
      <c r="D224" s="4" t="s">
        <v>13</v>
      </c>
      <c r="E224" s="4" t="s">
        <v>9</v>
      </c>
      <c r="F224" s="4"/>
      <c r="G224" s="4"/>
      <c r="H224" s="19" t="s">
        <v>9</v>
      </c>
      <c r="I224" t="str">
        <f>VLOOKUP(A224,All!A:A,1,FALSE)</f>
        <v>Chicago (Phillips)</v>
      </c>
    </row>
    <row r="225" spans="1:9" ht="15.75" thickBot="1" x14ac:dyDescent="0.3">
      <c r="A225" s="20" t="s">
        <v>937</v>
      </c>
      <c r="B225" s="7" t="s">
        <v>938</v>
      </c>
      <c r="C225" s="6"/>
      <c r="D225" s="6"/>
      <c r="E225" s="6"/>
      <c r="F225" s="6"/>
      <c r="G225" s="6"/>
      <c r="H225" s="23" t="s">
        <v>9</v>
      </c>
      <c r="I225" t="str">
        <f>VLOOKUP(A225,All!A:A,1,FALSE)</f>
        <v>Chicago (Phoenix Military Academy)</v>
      </c>
    </row>
    <row r="226" spans="1:9" ht="15.75" thickBot="1" x14ac:dyDescent="0.3">
      <c r="A226" s="18" t="s">
        <v>293</v>
      </c>
      <c r="B226" s="3" t="s">
        <v>294</v>
      </c>
      <c r="C226" s="10" t="s">
        <v>11</v>
      </c>
      <c r="D226" s="10" t="s">
        <v>11</v>
      </c>
      <c r="E226" s="4"/>
      <c r="F226" s="4"/>
      <c r="G226" s="4"/>
      <c r="H226" s="19"/>
      <c r="I226" t="str">
        <f>VLOOKUP(A226,All!A:A,1,FALSE)</f>
        <v>Chicago (Prosser)</v>
      </c>
    </row>
    <row r="227" spans="1:9" ht="15.75" thickBot="1" x14ac:dyDescent="0.3">
      <c r="A227" s="20" t="s">
        <v>295</v>
      </c>
      <c r="B227" s="7" t="s">
        <v>296</v>
      </c>
      <c r="C227" s="10" t="s">
        <v>9</v>
      </c>
      <c r="D227" s="6"/>
      <c r="E227" s="6"/>
      <c r="F227" s="6"/>
      <c r="G227" s="6"/>
      <c r="H227" s="21"/>
      <c r="I227" t="str">
        <f>VLOOKUP(A227,All!A:A,1,FALSE)</f>
        <v>Chicago (Providence St. Mel)</v>
      </c>
    </row>
    <row r="228" spans="1:9" ht="15.75" thickBot="1" x14ac:dyDescent="0.3">
      <c r="A228" s="18" t="s">
        <v>297</v>
      </c>
      <c r="B228" s="3" t="s">
        <v>298</v>
      </c>
      <c r="C228" s="4"/>
      <c r="D228" s="10" t="s">
        <v>12</v>
      </c>
      <c r="E228" s="4"/>
      <c r="F228" s="4"/>
      <c r="G228" s="4"/>
      <c r="H228" s="19"/>
      <c r="I228" t="str">
        <f>VLOOKUP(A228,All!A:A,1,FALSE)</f>
        <v>Chicago (Resurrection)</v>
      </c>
    </row>
    <row r="229" spans="1:9" ht="15.75" thickBot="1" x14ac:dyDescent="0.3">
      <c r="A229" s="20" t="s">
        <v>299</v>
      </c>
      <c r="B229" s="7">
        <v>304</v>
      </c>
      <c r="C229" s="6" t="s">
        <v>13</v>
      </c>
      <c r="D229" s="6"/>
      <c r="E229" s="6"/>
      <c r="F229" s="6"/>
      <c r="G229" s="6"/>
      <c r="H229" s="21"/>
      <c r="I229" t="str">
        <f>VLOOKUP(A229,All!A:A,1,FALSE)</f>
        <v>Chicago (Richards)</v>
      </c>
    </row>
    <row r="230" spans="1:9" ht="15.75" thickBot="1" x14ac:dyDescent="0.3">
      <c r="A230" s="18" t="s">
        <v>300</v>
      </c>
      <c r="B230" s="3" t="s">
        <v>301</v>
      </c>
      <c r="C230" s="4"/>
      <c r="D230" s="4"/>
      <c r="E230" s="4" t="s">
        <v>905</v>
      </c>
      <c r="F230" s="4"/>
      <c r="G230" s="4"/>
      <c r="H230" s="23" t="s">
        <v>13</v>
      </c>
      <c r="I230" t="str">
        <f>VLOOKUP(A230,All!A:A,1,FALSE)</f>
        <v>Chicago (Rickover Naval Academy)</v>
      </c>
    </row>
    <row r="231" spans="1:9" ht="15.75" thickBot="1" x14ac:dyDescent="0.3">
      <c r="A231" s="20" t="s">
        <v>302</v>
      </c>
      <c r="B231" s="5">
        <v>1057</v>
      </c>
      <c r="C231" s="6" t="s">
        <v>12</v>
      </c>
      <c r="D231" s="6"/>
      <c r="E231" s="6"/>
      <c r="F231" s="6"/>
      <c r="G231" s="6"/>
      <c r="H231" s="21"/>
      <c r="I231" t="str">
        <f>VLOOKUP(A231,All!A:A,1,FALSE)</f>
        <v>Chicago (Roosevelt)</v>
      </c>
    </row>
    <row r="232" spans="1:9" ht="15.75" thickBot="1" x14ac:dyDescent="0.3">
      <c r="A232" s="18" t="s">
        <v>303</v>
      </c>
      <c r="B232" s="8">
        <v>1123</v>
      </c>
      <c r="C232" s="4" t="s">
        <v>12</v>
      </c>
      <c r="D232" s="4" t="s">
        <v>12</v>
      </c>
      <c r="E232" s="4"/>
      <c r="F232" s="4"/>
      <c r="G232" s="4"/>
      <c r="H232" s="19" t="s">
        <v>13</v>
      </c>
      <c r="I232" t="str">
        <f>VLOOKUP(A232,All!A:A,1,FALSE)</f>
        <v>Chicago (Schurz)</v>
      </c>
    </row>
    <row r="233" spans="1:9" ht="15.75" thickBot="1" x14ac:dyDescent="0.3">
      <c r="A233" s="20" t="s">
        <v>304</v>
      </c>
      <c r="B233" s="5">
        <v>1494</v>
      </c>
      <c r="C233" s="6" t="s">
        <v>12</v>
      </c>
      <c r="D233" s="6" t="s">
        <v>12</v>
      </c>
      <c r="E233" s="6"/>
      <c r="F233" s="6"/>
      <c r="G233" s="6"/>
      <c r="H233" s="21" t="s">
        <v>13</v>
      </c>
      <c r="I233" t="str">
        <f>VLOOKUP(A233,All!A:A,1,FALSE)</f>
        <v>Chicago (Senn)</v>
      </c>
    </row>
    <row r="234" spans="1:9" ht="15.75" thickBot="1" x14ac:dyDescent="0.3">
      <c r="A234" s="18" t="s">
        <v>305</v>
      </c>
      <c r="B234" s="3" t="s">
        <v>306</v>
      </c>
      <c r="C234" s="10" t="s">
        <v>11</v>
      </c>
      <c r="D234" s="10" t="s">
        <v>11</v>
      </c>
      <c r="E234" s="4"/>
      <c r="F234" s="4"/>
      <c r="G234" s="4"/>
      <c r="H234" s="23" t="s">
        <v>12</v>
      </c>
      <c r="I234" t="str">
        <f>VLOOKUP(A234,All!A:A,1,FALSE)</f>
        <v>Chicago (Simeon)</v>
      </c>
    </row>
    <row r="235" spans="1:9" ht="15.75" thickBot="1" x14ac:dyDescent="0.3">
      <c r="A235" s="25" t="s">
        <v>0</v>
      </c>
      <c r="B235" s="1" t="s">
        <v>1</v>
      </c>
      <c r="C235" s="2" t="s">
        <v>899</v>
      </c>
      <c r="D235" s="2" t="s">
        <v>900</v>
      </c>
      <c r="E235" s="2" t="s">
        <v>901</v>
      </c>
      <c r="F235" s="2" t="s">
        <v>902</v>
      </c>
      <c r="G235" s="2" t="s">
        <v>903</v>
      </c>
      <c r="H235" s="26" t="s">
        <v>904</v>
      </c>
      <c r="I235" t="str">
        <f>VLOOKUP(A235,All!A:A,1,FALSE)</f>
        <v>School</v>
      </c>
    </row>
    <row r="236" spans="1:9" ht="15.75" thickBot="1" x14ac:dyDescent="0.3">
      <c r="A236" s="20" t="s">
        <v>307</v>
      </c>
      <c r="B236" s="5">
        <v>1245</v>
      </c>
      <c r="C236" s="6" t="s">
        <v>12</v>
      </c>
      <c r="D236" s="6"/>
      <c r="E236" s="6"/>
      <c r="F236" s="6"/>
      <c r="G236" s="6"/>
      <c r="H236" s="21" t="s">
        <v>13</v>
      </c>
      <c r="I236" t="str">
        <f>VLOOKUP(A236,All!A:A,1,FALSE)</f>
        <v>Chicago (Solorio Academy)</v>
      </c>
    </row>
    <row r="237" spans="1:9" ht="15.75" thickBot="1" x14ac:dyDescent="0.3">
      <c r="A237" s="18" t="s">
        <v>308</v>
      </c>
      <c r="B237" s="3" t="s">
        <v>309</v>
      </c>
      <c r="C237" s="11" t="s">
        <v>13</v>
      </c>
      <c r="D237" s="11" t="s">
        <v>13</v>
      </c>
      <c r="E237" s="4"/>
      <c r="F237" s="4"/>
      <c r="G237" s="4"/>
      <c r="H237" s="23" t="s">
        <v>13</v>
      </c>
      <c r="I237" t="str">
        <f>VLOOKUP(A237,All!A:A,1,FALSE)</f>
        <v>Chicago (South Shore International College Prep)</v>
      </c>
    </row>
    <row r="238" spans="1:9" ht="15.75" thickBot="1" x14ac:dyDescent="0.3">
      <c r="A238" s="20" t="s">
        <v>939</v>
      </c>
      <c r="B238" s="7" t="s">
        <v>940</v>
      </c>
      <c r="C238" s="10" t="s">
        <v>9</v>
      </c>
      <c r="D238" s="6"/>
      <c r="E238" s="6"/>
      <c r="F238" s="6"/>
      <c r="G238" s="6"/>
      <c r="H238" s="21"/>
      <c r="I238" t="str">
        <f>VLOOKUP(A238,All!A:A,1,FALSE)</f>
        <v>Chicago (St. Francis de Sales)</v>
      </c>
    </row>
    <row r="239" spans="1:9" ht="15.75" thickBot="1" x14ac:dyDescent="0.3">
      <c r="A239" s="18" t="s">
        <v>310</v>
      </c>
      <c r="B239" s="3" t="s">
        <v>311</v>
      </c>
      <c r="C239" s="10" t="s">
        <v>11</v>
      </c>
      <c r="D239" s="10" t="s">
        <v>11</v>
      </c>
      <c r="E239" s="11" t="s">
        <v>13</v>
      </c>
      <c r="F239" s="11" t="s">
        <v>13</v>
      </c>
      <c r="G239" s="10" t="s">
        <v>13</v>
      </c>
      <c r="H239" s="24" t="s">
        <v>13</v>
      </c>
      <c r="I239" t="str">
        <f>VLOOKUP(A239,All!A:A,1,FALSE)</f>
        <v>Chicago (St. Ignatius College Prep)</v>
      </c>
    </row>
    <row r="240" spans="1:9" ht="15.75" thickBot="1" x14ac:dyDescent="0.3">
      <c r="A240" s="20" t="s">
        <v>312</v>
      </c>
      <c r="B240" s="7" t="s">
        <v>313</v>
      </c>
      <c r="C240" s="10" t="s">
        <v>11</v>
      </c>
      <c r="D240" s="6"/>
      <c r="E240" s="6"/>
      <c r="F240" s="6"/>
      <c r="G240" s="10" t="s">
        <v>13</v>
      </c>
      <c r="H240" s="23" t="s">
        <v>12</v>
      </c>
      <c r="I240" t="str">
        <f>VLOOKUP(A240,All!A:A,1,FALSE)</f>
        <v>Chicago (St. Patrick)</v>
      </c>
    </row>
    <row r="241" spans="1:9" ht="15.75" thickBot="1" x14ac:dyDescent="0.3">
      <c r="A241" s="18" t="s">
        <v>314</v>
      </c>
      <c r="B241" s="3" t="s">
        <v>42</v>
      </c>
      <c r="C241" s="10" t="s">
        <v>12</v>
      </c>
      <c r="D241" s="4"/>
      <c r="E241" s="4"/>
      <c r="F241" s="4"/>
      <c r="G241" s="10" t="s">
        <v>13</v>
      </c>
      <c r="H241" s="23" t="s">
        <v>13</v>
      </c>
      <c r="I241" t="str">
        <f>VLOOKUP(A241,All!A:A,1,FALSE)</f>
        <v>Chicago (St. Rita)</v>
      </c>
    </row>
    <row r="242" spans="1:9" ht="15.75" thickBot="1" x14ac:dyDescent="0.3">
      <c r="A242" s="20" t="s">
        <v>316</v>
      </c>
      <c r="B242" s="7">
        <v>711</v>
      </c>
      <c r="C242" s="6" t="s">
        <v>12</v>
      </c>
      <c r="D242" s="6" t="s">
        <v>12</v>
      </c>
      <c r="E242" s="6"/>
      <c r="F242" s="6"/>
      <c r="G242" s="6"/>
      <c r="H242" s="21" t="s">
        <v>9</v>
      </c>
      <c r="I242" t="str">
        <f>VLOOKUP(A242,All!A:A,1,FALSE)</f>
        <v>Chicago (Sullivan)</v>
      </c>
    </row>
    <row r="243" spans="1:9" ht="15.75" thickBot="1" x14ac:dyDescent="0.3">
      <c r="A243" s="18" t="s">
        <v>317</v>
      </c>
      <c r="B243" s="8">
        <v>4114</v>
      </c>
      <c r="C243" s="4" t="s">
        <v>11</v>
      </c>
      <c r="D243" s="4" t="s">
        <v>11</v>
      </c>
      <c r="E243" s="4" t="s">
        <v>12</v>
      </c>
      <c r="F243" s="4" t="s">
        <v>12</v>
      </c>
      <c r="G243" s="4"/>
      <c r="H243" s="19" t="s">
        <v>12</v>
      </c>
      <c r="I243" t="str">
        <f>VLOOKUP(A243,All!A:A,1,FALSE)</f>
        <v>Chicago (Taft)</v>
      </c>
    </row>
    <row r="244" spans="1:9" ht="15.75" thickBot="1" x14ac:dyDescent="0.3">
      <c r="A244" s="20" t="s">
        <v>941</v>
      </c>
      <c r="B244" s="7">
        <v>246</v>
      </c>
      <c r="C244" s="6" t="s">
        <v>9</v>
      </c>
      <c r="D244" s="6"/>
      <c r="E244" s="6"/>
      <c r="F244" s="6"/>
      <c r="G244" s="6"/>
      <c r="H244" s="21"/>
      <c r="I244" t="str">
        <f>VLOOKUP(A244,All!A:A,1,FALSE)</f>
        <v>Chicago (Tilden)</v>
      </c>
    </row>
    <row r="245" spans="1:9" ht="15.75" thickBot="1" x14ac:dyDescent="0.3">
      <c r="A245" s="18" t="s">
        <v>318</v>
      </c>
      <c r="B245" s="3" t="s">
        <v>319</v>
      </c>
      <c r="C245" s="10" t="s">
        <v>13</v>
      </c>
      <c r="D245" s="4"/>
      <c r="E245" s="4"/>
      <c r="F245" s="4"/>
      <c r="G245" s="4"/>
      <c r="H245" s="19"/>
      <c r="I245" t="str">
        <f>VLOOKUP(A245,All!A:A,1,FALSE)</f>
        <v>Chicago (UCCS/Woodlawn)</v>
      </c>
    </row>
    <row r="246" spans="1:9" ht="15.75" thickBot="1" x14ac:dyDescent="0.3">
      <c r="A246" s="20" t="s">
        <v>320</v>
      </c>
      <c r="B246" s="7" t="s">
        <v>321</v>
      </c>
      <c r="C246" s="11" t="s">
        <v>13</v>
      </c>
      <c r="D246" s="11" t="s">
        <v>13</v>
      </c>
      <c r="E246" s="6"/>
      <c r="F246" s="6"/>
      <c r="G246" s="6"/>
      <c r="H246" s="21"/>
      <c r="I246" t="str">
        <f>VLOOKUP(A246,All!A:A,1,FALSE)</f>
        <v>Chicago (University)</v>
      </c>
    </row>
    <row r="247" spans="1:9" ht="15.75" thickBot="1" x14ac:dyDescent="0.3">
      <c r="A247" s="18" t="s">
        <v>322</v>
      </c>
      <c r="B247" s="3" t="s">
        <v>323</v>
      </c>
      <c r="C247" s="11" t="s">
        <v>9</v>
      </c>
      <c r="D247" s="11" t="s">
        <v>9</v>
      </c>
      <c r="E247" s="4"/>
      <c r="F247" s="4"/>
      <c r="G247" s="4"/>
      <c r="H247" s="19"/>
      <c r="I247" t="str">
        <f>VLOOKUP(A247,All!A:A,1,FALSE)</f>
        <v>Chicago (Uplift)</v>
      </c>
    </row>
    <row r="248" spans="1:9" ht="15.75" thickBot="1" x14ac:dyDescent="0.3">
      <c r="A248" s="20" t="s">
        <v>324</v>
      </c>
      <c r="B248" s="7" t="s">
        <v>325</v>
      </c>
      <c r="C248" s="9" t="s">
        <v>13</v>
      </c>
      <c r="D248" s="6"/>
      <c r="E248" s="6"/>
      <c r="F248" s="6"/>
      <c r="G248" s="6"/>
      <c r="H248" s="21"/>
      <c r="I248" t="str">
        <f>VLOOKUP(A248,All!A:A,1,FALSE)</f>
        <v>Chicago (Urban Prep/Bronzeville)</v>
      </c>
    </row>
    <row r="249" spans="1:9" ht="15.75" thickBot="1" x14ac:dyDescent="0.3">
      <c r="A249" s="18" t="s">
        <v>326</v>
      </c>
      <c r="B249" s="3" t="s">
        <v>327</v>
      </c>
      <c r="C249" s="10" t="s">
        <v>11</v>
      </c>
      <c r="D249" s="4"/>
      <c r="E249" s="4"/>
      <c r="F249" s="4"/>
      <c r="G249" s="4"/>
      <c r="H249" s="19"/>
      <c r="I249" t="str">
        <f>VLOOKUP(A249,All!A:A,1,FALSE)</f>
        <v>Chicago (Von Steuben)</v>
      </c>
    </row>
    <row r="250" spans="1:9" ht="15.75" thickBot="1" x14ac:dyDescent="0.3">
      <c r="A250" s="20" t="s">
        <v>328</v>
      </c>
      <c r="B250" s="5">
        <v>1464</v>
      </c>
      <c r="C250" s="6" t="s">
        <v>12</v>
      </c>
      <c r="D250" s="6" t="s">
        <v>12</v>
      </c>
      <c r="E250" s="6"/>
      <c r="F250" s="6"/>
      <c r="G250" s="6"/>
      <c r="H250" s="21" t="s">
        <v>13</v>
      </c>
      <c r="I250" t="str">
        <f>VLOOKUP(A250,All!A:A,1,FALSE)</f>
        <v>Chicago (Washington)</v>
      </c>
    </row>
    <row r="251" spans="1:9" ht="15.75" thickBot="1" x14ac:dyDescent="0.3">
      <c r="A251" s="18" t="s">
        <v>942</v>
      </c>
      <c r="B251" s="3">
        <v>358</v>
      </c>
      <c r="C251" s="4" t="s">
        <v>13</v>
      </c>
      <c r="D251" s="4"/>
      <c r="E251" s="4"/>
      <c r="F251" s="4"/>
      <c r="G251" s="4"/>
      <c r="H251" s="19"/>
      <c r="I251" t="str">
        <f>VLOOKUP(A251,All!A:A,1,FALSE)</f>
        <v>Chicago (Wells)</v>
      </c>
    </row>
    <row r="252" spans="1:9" ht="15.75" thickBot="1" x14ac:dyDescent="0.3">
      <c r="A252" s="20" t="s">
        <v>329</v>
      </c>
      <c r="B252" s="7" t="s">
        <v>330</v>
      </c>
      <c r="C252" s="11" t="s">
        <v>12</v>
      </c>
      <c r="D252" s="11" t="s">
        <v>12</v>
      </c>
      <c r="E252" s="6"/>
      <c r="F252" s="6"/>
      <c r="G252" s="6"/>
      <c r="H252" s="24" t="s">
        <v>13</v>
      </c>
      <c r="I252" t="str">
        <f>VLOOKUP(A252,All!A:A,1,FALSE)</f>
        <v>Chicago (Westinghouse College Prep)</v>
      </c>
    </row>
    <row r="253" spans="1:9" ht="15.75" thickBot="1" x14ac:dyDescent="0.3">
      <c r="A253" s="18" t="s">
        <v>331</v>
      </c>
      <c r="B253" s="3" t="s">
        <v>332</v>
      </c>
      <c r="C253" s="10" t="s">
        <v>11</v>
      </c>
      <c r="D253" s="10" t="s">
        <v>11</v>
      </c>
      <c r="E253" s="10" t="s">
        <v>12</v>
      </c>
      <c r="F253" s="10" t="s">
        <v>12</v>
      </c>
      <c r="G253" s="4"/>
      <c r="H253" s="19"/>
      <c r="I253" t="str">
        <f>VLOOKUP(A253,All!A:A,1,FALSE)</f>
        <v>Chicago (Whitney Young)</v>
      </c>
    </row>
    <row r="254" spans="1:9" ht="15.75" thickBot="1" x14ac:dyDescent="0.3">
      <c r="A254" s="20" t="s">
        <v>333</v>
      </c>
      <c r="B254" s="7" t="s">
        <v>334</v>
      </c>
      <c r="C254" s="10" t="s">
        <v>9</v>
      </c>
      <c r="D254" s="10" t="s">
        <v>9</v>
      </c>
      <c r="E254" s="6"/>
      <c r="F254" s="6"/>
      <c r="G254" s="6"/>
      <c r="H254" s="21"/>
      <c r="I254" t="str">
        <f>VLOOKUP(A254,All!A:A,1,FALSE)</f>
        <v>Chicago (Wolcott)</v>
      </c>
    </row>
    <row r="255" spans="1:9" ht="15.75" thickBot="1" x14ac:dyDescent="0.3">
      <c r="A255" s="18" t="s">
        <v>335</v>
      </c>
      <c r="B255" s="8">
        <v>2964</v>
      </c>
      <c r="C255" s="4" t="s">
        <v>11</v>
      </c>
      <c r="D255" s="4" t="s">
        <v>11</v>
      </c>
      <c r="E255" s="4"/>
      <c r="F255" s="4"/>
      <c r="G255" s="4"/>
      <c r="H255" s="19" t="s">
        <v>12</v>
      </c>
      <c r="I255" t="str">
        <f>VLOOKUP(A255,All!A:A,1,FALSE)</f>
        <v>Chicago Heights (Bloom Twp.)</v>
      </c>
    </row>
    <row r="256" spans="1:9" ht="15.75" thickBot="1" x14ac:dyDescent="0.3">
      <c r="A256" s="20" t="s">
        <v>336</v>
      </c>
      <c r="B256" s="7" t="s">
        <v>337</v>
      </c>
      <c r="C256" s="10" t="s">
        <v>12</v>
      </c>
      <c r="D256" s="10" t="s">
        <v>12</v>
      </c>
      <c r="E256" s="10" t="s">
        <v>13</v>
      </c>
      <c r="F256" s="6"/>
      <c r="G256" s="6"/>
      <c r="H256" s="23" t="s">
        <v>13</v>
      </c>
      <c r="I256" t="str">
        <f>VLOOKUP(A256,All!A:A,1,FALSE)</f>
        <v>Chicago Heights (Marian)</v>
      </c>
    </row>
    <row r="257" spans="1:9" ht="15.75" thickBot="1" x14ac:dyDescent="0.3">
      <c r="A257" s="18" t="s">
        <v>338</v>
      </c>
      <c r="B257" s="3">
        <v>624</v>
      </c>
      <c r="C257" s="4" t="s">
        <v>13</v>
      </c>
      <c r="D257" s="4" t="s">
        <v>13</v>
      </c>
      <c r="E257" s="4" t="s">
        <v>9</v>
      </c>
      <c r="F257" s="4"/>
      <c r="G257" s="4" t="s">
        <v>13</v>
      </c>
      <c r="H257" s="19" t="s">
        <v>9</v>
      </c>
      <c r="I257" t="str">
        <f>VLOOKUP(A257,All!A:A,1,FALSE)</f>
        <v>Chillicothe (Illinois Valley Central)</v>
      </c>
    </row>
    <row r="258" spans="1:9" ht="15.75" thickBot="1" x14ac:dyDescent="0.3">
      <c r="A258" s="20" t="s">
        <v>339</v>
      </c>
      <c r="B258" s="7">
        <v>90</v>
      </c>
      <c r="C258" s="6" t="s">
        <v>9</v>
      </c>
      <c r="D258" s="6" t="s">
        <v>9</v>
      </c>
      <c r="E258" s="6"/>
      <c r="F258" s="6"/>
      <c r="G258" s="6" t="s">
        <v>9</v>
      </c>
      <c r="H258" s="21"/>
      <c r="I258" t="str">
        <f>VLOOKUP(A258,All!A:A,1,FALSE)</f>
        <v>Chrisman</v>
      </c>
    </row>
    <row r="259" spans="1:9" ht="15.75" thickBot="1" x14ac:dyDescent="0.3">
      <c r="A259" s="18" t="s">
        <v>340</v>
      </c>
      <c r="B259" s="3">
        <v>202</v>
      </c>
      <c r="C259" s="4" t="s">
        <v>9</v>
      </c>
      <c r="D259" s="4" t="s">
        <v>9</v>
      </c>
      <c r="E259" s="4"/>
      <c r="F259" s="4"/>
      <c r="G259" s="4" t="s">
        <v>9</v>
      </c>
      <c r="H259" s="19"/>
      <c r="I259" t="str">
        <f>VLOOKUP(A259,All!A:A,1,FALSE)</f>
        <v>Christopher</v>
      </c>
    </row>
    <row r="260" spans="1:9" ht="15.75" thickBot="1" x14ac:dyDescent="0.3">
      <c r="A260" s="20" t="s">
        <v>341</v>
      </c>
      <c r="B260" s="7">
        <v>104</v>
      </c>
      <c r="C260" s="6" t="s">
        <v>9</v>
      </c>
      <c r="D260" s="6"/>
      <c r="E260" s="6"/>
      <c r="F260" s="6"/>
      <c r="G260" s="6" t="s">
        <v>9</v>
      </c>
      <c r="H260" s="21"/>
      <c r="I260" t="str">
        <f>VLOOKUP(A260,All!A:A,1,FALSE)</f>
        <v>Cisne</v>
      </c>
    </row>
    <row r="261" spans="1:9" ht="15.75" thickBot="1" x14ac:dyDescent="0.3">
      <c r="A261" s="25" t="s">
        <v>0</v>
      </c>
      <c r="B261" s="1" t="s">
        <v>1</v>
      </c>
      <c r="C261" s="2" t="s">
        <v>899</v>
      </c>
      <c r="D261" s="2" t="s">
        <v>900</v>
      </c>
      <c r="E261" s="2" t="s">
        <v>901</v>
      </c>
      <c r="F261" s="2" t="s">
        <v>902</v>
      </c>
      <c r="G261" s="2" t="s">
        <v>903</v>
      </c>
      <c r="H261" s="26" t="s">
        <v>904</v>
      </c>
      <c r="I261" t="str">
        <f>VLOOKUP(A261,All!A:A,1,FALSE)</f>
        <v>School</v>
      </c>
    </row>
    <row r="262" spans="1:9" ht="15.75" thickBot="1" x14ac:dyDescent="0.3">
      <c r="A262" s="18" t="s">
        <v>342</v>
      </c>
      <c r="B262" s="3">
        <v>100</v>
      </c>
      <c r="C262" s="9" t="s">
        <v>9</v>
      </c>
      <c r="D262" s="9" t="s">
        <v>9</v>
      </c>
      <c r="E262" s="4"/>
      <c r="F262" s="4"/>
      <c r="G262" s="4" t="s">
        <v>9</v>
      </c>
      <c r="H262" s="19"/>
      <c r="I262" t="str">
        <f>VLOOKUP(A262,All!A:A,1,FALSE)</f>
        <v>Cissna Park</v>
      </c>
    </row>
    <row r="263" spans="1:9" ht="15.75" thickBot="1" x14ac:dyDescent="0.3">
      <c r="A263" s="20" t="s">
        <v>943</v>
      </c>
      <c r="B263" s="7">
        <v>73</v>
      </c>
      <c r="C263" s="6"/>
      <c r="D263" s="6"/>
      <c r="E263" s="6"/>
      <c r="F263" s="6"/>
      <c r="G263" s="6" t="s">
        <v>9</v>
      </c>
      <c r="H263" s="21"/>
      <c r="I263" t="str">
        <f>VLOOKUP(A263,All!A:A,1,FALSE)</f>
        <v>Clay City</v>
      </c>
    </row>
    <row r="264" spans="1:9" ht="15.75" thickBot="1" x14ac:dyDescent="0.3">
      <c r="A264" s="18" t="s">
        <v>343</v>
      </c>
      <c r="B264" s="3">
        <v>277</v>
      </c>
      <c r="C264" s="4" t="s">
        <v>9</v>
      </c>
      <c r="D264" s="4" t="s">
        <v>9</v>
      </c>
      <c r="E264" s="4" t="s">
        <v>9</v>
      </c>
      <c r="F264" s="4"/>
      <c r="G264" s="4"/>
      <c r="H264" s="22" t="s">
        <v>9</v>
      </c>
      <c r="I264" t="str">
        <f>VLOOKUP(A264,All!A:A,1,FALSE)</f>
        <v>Clifton (Central)</v>
      </c>
    </row>
    <row r="265" spans="1:9" ht="15.75" thickBot="1" x14ac:dyDescent="0.3">
      <c r="A265" s="20" t="s">
        <v>344</v>
      </c>
      <c r="B265" s="7">
        <v>485</v>
      </c>
      <c r="C265" s="6" t="s">
        <v>13</v>
      </c>
      <c r="D265" s="6" t="s">
        <v>13</v>
      </c>
      <c r="E265" s="6"/>
      <c r="F265" s="6" t="s">
        <v>9</v>
      </c>
      <c r="G265" s="6" t="s">
        <v>13</v>
      </c>
      <c r="H265" s="21" t="s">
        <v>9</v>
      </c>
      <c r="I265" t="str">
        <f>VLOOKUP(A265,All!A:A,1,FALSE)</f>
        <v>Clinton</v>
      </c>
    </row>
    <row r="266" spans="1:9" ht="15.75" thickBot="1" x14ac:dyDescent="0.3">
      <c r="A266" s="18" t="s">
        <v>345</v>
      </c>
      <c r="B266" s="3">
        <v>640</v>
      </c>
      <c r="C266" s="4" t="s">
        <v>13</v>
      </c>
      <c r="D266" s="4" t="s">
        <v>13</v>
      </c>
      <c r="E266" s="4" t="s">
        <v>9</v>
      </c>
      <c r="F266" s="4"/>
      <c r="G266" s="4" t="s">
        <v>13</v>
      </c>
      <c r="H266" s="19" t="s">
        <v>9</v>
      </c>
      <c r="I266" t="str">
        <f>VLOOKUP(A266,All!A:A,1,FALSE)</f>
        <v>Coal City</v>
      </c>
    </row>
    <row r="267" spans="1:9" ht="15.75" thickBot="1" x14ac:dyDescent="0.3">
      <c r="A267" s="20" t="s">
        <v>346</v>
      </c>
      <c r="B267" s="7">
        <v>133</v>
      </c>
      <c r="C267" s="6" t="s">
        <v>9</v>
      </c>
      <c r="D267" s="9" t="s">
        <v>9</v>
      </c>
      <c r="E267" s="6"/>
      <c r="F267" s="6"/>
      <c r="G267" s="6" t="s">
        <v>9</v>
      </c>
      <c r="H267" s="21"/>
      <c r="I267" t="str">
        <f>VLOOKUP(A267,All!A:A,1,FALSE)</f>
        <v>Cobden</v>
      </c>
    </row>
    <row r="268" spans="1:9" ht="15.75" thickBot="1" x14ac:dyDescent="0.3">
      <c r="A268" s="18" t="s">
        <v>347</v>
      </c>
      <c r="B268" s="3">
        <v>162</v>
      </c>
      <c r="C268" s="4" t="s">
        <v>9</v>
      </c>
      <c r="D268" s="4" t="s">
        <v>9</v>
      </c>
      <c r="E268" s="4"/>
      <c r="F268" s="4"/>
      <c r="G268" s="4" t="s">
        <v>9</v>
      </c>
      <c r="H268" s="22" t="s">
        <v>9</v>
      </c>
      <c r="I268" t="str">
        <f>VLOOKUP(A268,All!A:A,1,FALSE)</f>
        <v>Colfax (Ridgeview)</v>
      </c>
    </row>
    <row r="269" spans="1:9" ht="15.75" thickBot="1" x14ac:dyDescent="0.3">
      <c r="A269" s="20" t="s">
        <v>348</v>
      </c>
      <c r="B269" s="5">
        <v>1917</v>
      </c>
      <c r="C269" s="6" t="s">
        <v>11</v>
      </c>
      <c r="D269" s="6" t="s">
        <v>11</v>
      </c>
      <c r="E269" s="6" t="s">
        <v>12</v>
      </c>
      <c r="F269" s="6" t="s">
        <v>13</v>
      </c>
      <c r="G269" s="6" t="s">
        <v>13</v>
      </c>
      <c r="H269" s="21" t="s">
        <v>12</v>
      </c>
      <c r="I269" t="str">
        <f>VLOOKUP(A269,All!A:A,1,FALSE)</f>
        <v>Collinsville</v>
      </c>
    </row>
    <row r="270" spans="1:9" ht="15.75" thickBot="1" x14ac:dyDescent="0.3">
      <c r="A270" s="18" t="s">
        <v>349</v>
      </c>
      <c r="B270" s="3">
        <v>600</v>
      </c>
      <c r="C270" s="4" t="s">
        <v>13</v>
      </c>
      <c r="D270" s="4" t="s">
        <v>13</v>
      </c>
      <c r="E270" s="4" t="s">
        <v>9</v>
      </c>
      <c r="F270" s="4"/>
      <c r="G270" s="4" t="s">
        <v>13</v>
      </c>
      <c r="H270" s="19"/>
      <c r="I270" t="str">
        <f>VLOOKUP(A270,All!A:A,1,FALSE)</f>
        <v>Columbia</v>
      </c>
    </row>
    <row r="271" spans="1:9" ht="15.75" thickBot="1" x14ac:dyDescent="0.3">
      <c r="A271" s="20" t="s">
        <v>350</v>
      </c>
      <c r="B271" s="7">
        <v>120</v>
      </c>
      <c r="C271" s="9" t="s">
        <v>9</v>
      </c>
      <c r="D271" s="9" t="s">
        <v>9</v>
      </c>
      <c r="E271" s="6"/>
      <c r="F271" s="6"/>
      <c r="G271" s="6" t="s">
        <v>9</v>
      </c>
      <c r="H271" s="21"/>
      <c r="I271" t="str">
        <f>VLOOKUP(A271,All!A:A,1,FALSE)</f>
        <v>Concord (Triopia)</v>
      </c>
    </row>
    <row r="272" spans="1:9" ht="15.75" thickBot="1" x14ac:dyDescent="0.3">
      <c r="A272" s="18" t="s">
        <v>351</v>
      </c>
      <c r="B272" s="8">
        <v>1001</v>
      </c>
      <c r="C272" s="4" t="s">
        <v>12</v>
      </c>
      <c r="D272" s="4" t="s">
        <v>12</v>
      </c>
      <c r="E272" s="4" t="s">
        <v>13</v>
      </c>
      <c r="F272" s="4" t="s">
        <v>9</v>
      </c>
      <c r="G272" s="4" t="s">
        <v>13</v>
      </c>
      <c r="H272" s="19" t="s">
        <v>13</v>
      </c>
      <c r="I272" t="str">
        <f>VLOOKUP(A272,All!A:A,1,FALSE)</f>
        <v>Country Club Hills (Hillcrest)</v>
      </c>
    </row>
    <row r="273" spans="1:9" ht="15.75" thickBot="1" x14ac:dyDescent="0.3">
      <c r="A273" s="20" t="s">
        <v>352</v>
      </c>
      <c r="B273" s="7">
        <v>98</v>
      </c>
      <c r="C273" s="6"/>
      <c r="D273" s="9" t="s">
        <v>9</v>
      </c>
      <c r="E273" s="6"/>
      <c r="F273" s="6"/>
      <c r="G273" s="6"/>
      <c r="H273" s="21"/>
      <c r="I273" t="str">
        <f>VLOOKUP(A273,All!A:A,1,FALSE)</f>
        <v>Cowden (C.-Herrick)</v>
      </c>
    </row>
    <row r="274" spans="1:9" ht="15.75" thickBot="1" x14ac:dyDescent="0.3">
      <c r="A274" s="18" t="s">
        <v>353</v>
      </c>
      <c r="B274" s="8">
        <v>1461</v>
      </c>
      <c r="C274" s="4" t="s">
        <v>12</v>
      </c>
      <c r="D274" s="4" t="s">
        <v>12</v>
      </c>
      <c r="E274" s="4" t="s">
        <v>13</v>
      </c>
      <c r="F274" s="4" t="s">
        <v>13</v>
      </c>
      <c r="G274" s="4" t="s">
        <v>13</v>
      </c>
      <c r="H274" s="19" t="s">
        <v>13</v>
      </c>
      <c r="I274" t="str">
        <f>VLOOKUP(A274,All!A:A,1,FALSE)</f>
        <v>Crete (C.-Monee)</v>
      </c>
    </row>
    <row r="275" spans="1:9" ht="15.75" thickBot="1" x14ac:dyDescent="0.3">
      <c r="A275" s="20" t="s">
        <v>354</v>
      </c>
      <c r="B275" s="7" t="s">
        <v>355</v>
      </c>
      <c r="C275" s="10" t="s">
        <v>9</v>
      </c>
      <c r="D275" s="10" t="s">
        <v>9</v>
      </c>
      <c r="E275" s="6"/>
      <c r="F275" s="6"/>
      <c r="G275" s="10" t="s">
        <v>9</v>
      </c>
      <c r="H275" s="21"/>
      <c r="I275" t="str">
        <f>VLOOKUP(A275,All!A:A,1,FALSE)</f>
        <v>Crete (Illinois Lutheran)</v>
      </c>
    </row>
    <row r="276" spans="1:9" ht="15.75" thickBot="1" x14ac:dyDescent="0.3">
      <c r="A276" s="18" t="s">
        <v>356</v>
      </c>
      <c r="B276" s="8">
        <v>1447</v>
      </c>
      <c r="C276" s="4" t="s">
        <v>12</v>
      </c>
      <c r="D276" s="4" t="s">
        <v>12</v>
      </c>
      <c r="E276" s="4" t="s">
        <v>13</v>
      </c>
      <c r="F276" s="4" t="s">
        <v>13</v>
      </c>
      <c r="G276" s="4" t="s">
        <v>13</v>
      </c>
      <c r="H276" s="19" t="s">
        <v>13</v>
      </c>
      <c r="I276" t="str">
        <f>VLOOKUP(A276,All!A:A,1,FALSE)</f>
        <v>Crystal Lake (Central)</v>
      </c>
    </row>
    <row r="277" spans="1:9" ht="15.75" thickBot="1" x14ac:dyDescent="0.3">
      <c r="A277" s="20" t="s">
        <v>357</v>
      </c>
      <c r="B277" s="5">
        <v>1175</v>
      </c>
      <c r="C277" s="6" t="s">
        <v>12</v>
      </c>
      <c r="D277" s="6" t="s">
        <v>12</v>
      </c>
      <c r="E277" s="6" t="s">
        <v>13</v>
      </c>
      <c r="F277" s="6" t="s">
        <v>13</v>
      </c>
      <c r="G277" s="6" t="s">
        <v>13</v>
      </c>
      <c r="H277" s="21" t="s">
        <v>13</v>
      </c>
      <c r="I277" t="str">
        <f>VLOOKUP(A277,All!A:A,1,FALSE)</f>
        <v>Crystal Lake (Prairie Ridge)</v>
      </c>
    </row>
    <row r="278" spans="1:9" ht="15.75" thickBot="1" x14ac:dyDescent="0.3">
      <c r="A278" s="18" t="s">
        <v>358</v>
      </c>
      <c r="B278" s="8">
        <v>1224</v>
      </c>
      <c r="C278" s="4" t="s">
        <v>12</v>
      </c>
      <c r="D278" s="4" t="s">
        <v>12</v>
      </c>
      <c r="E278" s="4" t="s">
        <v>13</v>
      </c>
      <c r="F278" s="4" t="s">
        <v>13</v>
      </c>
      <c r="G278" s="4" t="s">
        <v>13</v>
      </c>
      <c r="H278" s="19" t="s">
        <v>13</v>
      </c>
      <c r="I278" t="str">
        <f>VLOOKUP(A278,All!A:A,1,FALSE)</f>
        <v>Crystal Lake (South)</v>
      </c>
    </row>
    <row r="279" spans="1:9" ht="15.75" thickBot="1" x14ac:dyDescent="0.3">
      <c r="A279" s="20" t="s">
        <v>359</v>
      </c>
      <c r="B279" s="7">
        <v>114</v>
      </c>
      <c r="C279" s="9" t="s">
        <v>9</v>
      </c>
      <c r="D279" s="6"/>
      <c r="E279" s="6"/>
      <c r="F279" s="6"/>
      <c r="G279" s="6" t="s">
        <v>9</v>
      </c>
      <c r="H279" s="21"/>
      <c r="I279" t="str">
        <f>VLOOKUP(A279,All!A:A,1,FALSE)</f>
        <v>Cuba</v>
      </c>
    </row>
    <row r="280" spans="1:9" ht="15.75" thickBot="1" x14ac:dyDescent="0.3">
      <c r="A280" s="18" t="s">
        <v>360</v>
      </c>
      <c r="B280" s="3">
        <v>91</v>
      </c>
      <c r="C280" s="4" t="s">
        <v>9</v>
      </c>
      <c r="D280" s="4" t="s">
        <v>9</v>
      </c>
      <c r="E280" s="4"/>
      <c r="F280" s="4"/>
      <c r="G280" s="4" t="s">
        <v>9</v>
      </c>
      <c r="H280" s="19"/>
      <c r="I280" t="str">
        <f>VLOOKUP(A280,All!A:A,1,FALSE)</f>
        <v>Cullom (Tri-Point)</v>
      </c>
    </row>
    <row r="281" spans="1:9" ht="15.75" thickBot="1" x14ac:dyDescent="0.3">
      <c r="A281" s="20" t="s">
        <v>361</v>
      </c>
      <c r="B281" s="7">
        <v>237</v>
      </c>
      <c r="C281" s="6" t="s">
        <v>9</v>
      </c>
      <c r="D281" s="6" t="s">
        <v>9</v>
      </c>
      <c r="E281" s="6"/>
      <c r="F281" s="6"/>
      <c r="G281" s="6" t="s">
        <v>9</v>
      </c>
      <c r="H281" s="22" t="s">
        <v>9</v>
      </c>
      <c r="I281" t="str">
        <f>VLOOKUP(A281,All!A:A,1,FALSE)</f>
        <v>Dakota</v>
      </c>
    </row>
    <row r="282" spans="1:9" ht="15.75" thickBot="1" x14ac:dyDescent="0.3">
      <c r="A282" s="18" t="s">
        <v>362</v>
      </c>
      <c r="B282" s="8">
        <v>1159</v>
      </c>
      <c r="C282" s="4" t="s">
        <v>12</v>
      </c>
      <c r="D282" s="4" t="s">
        <v>12</v>
      </c>
      <c r="E282" s="4"/>
      <c r="F282" s="4" t="s">
        <v>13</v>
      </c>
      <c r="G282" s="4"/>
      <c r="H282" s="19" t="s">
        <v>13</v>
      </c>
      <c r="I282" t="str">
        <f>VLOOKUP(A282,All!A:A,1,FALSE)</f>
        <v>Danville (H.S.)</v>
      </c>
    </row>
    <row r="283" spans="1:9" ht="15.75" thickBot="1" x14ac:dyDescent="0.3">
      <c r="A283" s="20" t="s">
        <v>363</v>
      </c>
      <c r="B283" s="7" t="s">
        <v>364</v>
      </c>
      <c r="C283" s="10" t="s">
        <v>9</v>
      </c>
      <c r="D283" s="10" t="s">
        <v>9</v>
      </c>
      <c r="E283" s="6"/>
      <c r="F283" s="6"/>
      <c r="G283" s="10" t="s">
        <v>9</v>
      </c>
      <c r="H283" s="21"/>
      <c r="I283" t="str">
        <f>VLOOKUP(A283,All!A:A,1,FALSE)</f>
        <v>Danville (Schlarman)</v>
      </c>
    </row>
    <row r="284" spans="1:9" ht="15.75" thickBot="1" x14ac:dyDescent="0.3">
      <c r="A284" s="18" t="s">
        <v>365</v>
      </c>
      <c r="B284" s="8">
        <v>1340</v>
      </c>
      <c r="C284" s="4" t="s">
        <v>12</v>
      </c>
      <c r="D284" s="4" t="s">
        <v>12</v>
      </c>
      <c r="E284" s="4" t="s">
        <v>13</v>
      </c>
      <c r="F284" s="4" t="s">
        <v>13</v>
      </c>
      <c r="G284" s="4" t="s">
        <v>13</v>
      </c>
      <c r="H284" s="19" t="s">
        <v>13</v>
      </c>
      <c r="I284" t="str">
        <f>VLOOKUP(A284,All!A:A,1,FALSE)</f>
        <v>Darien (Hinsdale South)</v>
      </c>
    </row>
    <row r="285" spans="1:9" ht="15.75" thickBot="1" x14ac:dyDescent="0.3">
      <c r="A285" s="20" t="s">
        <v>366</v>
      </c>
      <c r="B285" s="7">
        <v>860</v>
      </c>
      <c r="C285" s="6" t="s">
        <v>12</v>
      </c>
      <c r="D285" s="6" t="s">
        <v>12</v>
      </c>
      <c r="E285" s="6"/>
      <c r="F285" s="6"/>
      <c r="G285" s="6" t="s">
        <v>13</v>
      </c>
      <c r="H285" s="21" t="s">
        <v>13</v>
      </c>
      <c r="I285" t="str">
        <f>VLOOKUP(A285,All!A:A,1,FALSE)</f>
        <v>Decatur (Eisenhower)</v>
      </c>
    </row>
    <row r="286" spans="1:9" ht="15.75" thickBot="1" x14ac:dyDescent="0.3">
      <c r="A286" s="18" t="s">
        <v>367</v>
      </c>
      <c r="B286" s="8">
        <v>1009</v>
      </c>
      <c r="C286" s="4" t="s">
        <v>12</v>
      </c>
      <c r="D286" s="4" t="s">
        <v>12</v>
      </c>
      <c r="E286" s="4"/>
      <c r="F286" s="4"/>
      <c r="G286" s="4" t="s">
        <v>13</v>
      </c>
      <c r="H286" s="19" t="s">
        <v>13</v>
      </c>
      <c r="I286" t="str">
        <f>VLOOKUP(A286,All!A:A,1,FALSE)</f>
        <v>Decatur (MacArthur)</v>
      </c>
    </row>
    <row r="287" spans="1:9" ht="15.75" thickBot="1" x14ac:dyDescent="0.3">
      <c r="A287" s="25" t="s">
        <v>0</v>
      </c>
      <c r="B287" s="1" t="s">
        <v>1</v>
      </c>
      <c r="C287" s="2" t="s">
        <v>899</v>
      </c>
      <c r="D287" s="2" t="s">
        <v>900</v>
      </c>
      <c r="E287" s="2" t="s">
        <v>901</v>
      </c>
      <c r="F287" s="2" t="s">
        <v>902</v>
      </c>
      <c r="G287" s="2" t="s">
        <v>903</v>
      </c>
      <c r="H287" s="26" t="s">
        <v>904</v>
      </c>
      <c r="I287" t="str">
        <f>VLOOKUP(A287,All!A:A,1,FALSE)</f>
        <v>School</v>
      </c>
    </row>
    <row r="288" spans="1:9" ht="15.75" thickBot="1" x14ac:dyDescent="0.3">
      <c r="A288" s="20" t="s">
        <v>368</v>
      </c>
      <c r="B288" s="7" t="s">
        <v>369</v>
      </c>
      <c r="C288" s="11" t="s">
        <v>9</v>
      </c>
      <c r="D288" s="10" t="s">
        <v>13</v>
      </c>
      <c r="E288" s="6"/>
      <c r="F288" s="6"/>
      <c r="G288" s="10" t="s">
        <v>9</v>
      </c>
      <c r="H288" s="23" t="s">
        <v>9</v>
      </c>
      <c r="I288" t="str">
        <f>VLOOKUP(A288,All!A:A,1,FALSE)</f>
        <v>Decatur (St. Teresa)</v>
      </c>
    </row>
    <row r="289" spans="1:9" ht="15.75" thickBot="1" x14ac:dyDescent="0.3">
      <c r="A289" s="18" t="s">
        <v>370</v>
      </c>
      <c r="B289" s="3" t="s">
        <v>371</v>
      </c>
      <c r="C289" s="10" t="s">
        <v>9</v>
      </c>
      <c r="D289" s="9" t="s">
        <v>9</v>
      </c>
      <c r="E289" s="4"/>
      <c r="F289" s="4"/>
      <c r="G289" s="4"/>
      <c r="H289" s="22" t="s">
        <v>9</v>
      </c>
      <c r="I289" t="str">
        <f>VLOOKUP(A289,All!A:A,1,FALSE)</f>
        <v>Decatur (Unity Christian)</v>
      </c>
    </row>
    <row r="290" spans="1:9" ht="15.75" thickBot="1" x14ac:dyDescent="0.3">
      <c r="A290" s="20" t="s">
        <v>372</v>
      </c>
      <c r="B290" s="5">
        <v>1397</v>
      </c>
      <c r="C290" s="6" t="s">
        <v>12</v>
      </c>
      <c r="D290" s="6" t="s">
        <v>12</v>
      </c>
      <c r="E290" s="6"/>
      <c r="F290" s="6" t="s">
        <v>13</v>
      </c>
      <c r="G290" s="6" t="s">
        <v>13</v>
      </c>
      <c r="H290" s="21" t="s">
        <v>13</v>
      </c>
      <c r="I290" t="str">
        <f>VLOOKUP(A290,All!A:A,1,FALSE)</f>
        <v>Deerfield (H.S.)</v>
      </c>
    </row>
    <row r="291" spans="1:9" ht="15.75" thickBot="1" x14ac:dyDescent="0.3">
      <c r="A291" s="18" t="s">
        <v>373</v>
      </c>
      <c r="B291" s="3" t="s">
        <v>374</v>
      </c>
      <c r="C291" s="10" t="s">
        <v>9</v>
      </c>
      <c r="D291" s="10" t="s">
        <v>9</v>
      </c>
      <c r="E291" s="4"/>
      <c r="F291" s="4"/>
      <c r="G291" s="4"/>
      <c r="H291" s="19"/>
      <c r="I291" t="str">
        <f>VLOOKUP(A291,All!A:A,1,FALSE)</f>
        <v>Deerfield (Rochelle Zell)</v>
      </c>
    </row>
    <row r="292" spans="1:9" ht="15.75" thickBot="1" x14ac:dyDescent="0.3">
      <c r="A292" s="20" t="s">
        <v>375</v>
      </c>
      <c r="B292" s="5">
        <v>1992</v>
      </c>
      <c r="C292" s="6" t="s">
        <v>11</v>
      </c>
      <c r="D292" s="6" t="s">
        <v>11</v>
      </c>
      <c r="E292" s="6" t="s">
        <v>12</v>
      </c>
      <c r="F292" s="6" t="s">
        <v>12</v>
      </c>
      <c r="G292" s="6" t="s">
        <v>13</v>
      </c>
      <c r="H292" s="21" t="s">
        <v>12</v>
      </c>
      <c r="I292" t="str">
        <f>VLOOKUP(A292,All!A:A,1,FALSE)</f>
        <v>DeKalb</v>
      </c>
    </row>
    <row r="293" spans="1:9" ht="15.75" thickBot="1" x14ac:dyDescent="0.3">
      <c r="A293" s="18" t="s">
        <v>376</v>
      </c>
      <c r="B293" s="3">
        <v>45</v>
      </c>
      <c r="C293" s="4" t="s">
        <v>9</v>
      </c>
      <c r="D293" s="4"/>
      <c r="E293" s="4"/>
      <c r="F293" s="4"/>
      <c r="G293" s="4"/>
      <c r="H293" s="22" t="s">
        <v>9</v>
      </c>
      <c r="I293" t="str">
        <f>VLOOKUP(A293,All!A:A,1,FALSE)</f>
        <v>DeLand (D.-Weldon)</v>
      </c>
    </row>
    <row r="294" spans="1:9" ht="15.75" thickBot="1" x14ac:dyDescent="0.3">
      <c r="A294" s="20" t="s">
        <v>377</v>
      </c>
      <c r="B294" s="7">
        <v>129</v>
      </c>
      <c r="C294" s="6" t="s">
        <v>9</v>
      </c>
      <c r="D294" s="6"/>
      <c r="E294" s="6"/>
      <c r="F294" s="6"/>
      <c r="G294" s="6" t="s">
        <v>9</v>
      </c>
      <c r="H294" s="21"/>
      <c r="I294" t="str">
        <f>VLOOKUP(A294,All!A:A,1,FALSE)</f>
        <v>Delavan</v>
      </c>
    </row>
    <row r="295" spans="1:9" ht="15.75" thickBot="1" x14ac:dyDescent="0.3">
      <c r="A295" s="18" t="s">
        <v>378</v>
      </c>
      <c r="B295" s="3">
        <v>83</v>
      </c>
      <c r="C295" s="4" t="s">
        <v>9</v>
      </c>
      <c r="D295" s="4"/>
      <c r="E295" s="4"/>
      <c r="F295" s="4"/>
      <c r="G295" s="4"/>
      <c r="H295" s="19"/>
      <c r="I295" t="str">
        <f>VLOOKUP(A295,All!A:A,1,FALSE)</f>
        <v>DePue</v>
      </c>
    </row>
    <row r="296" spans="1:9" ht="15.75" thickBot="1" x14ac:dyDescent="0.3">
      <c r="A296" s="20" t="s">
        <v>379</v>
      </c>
      <c r="B296" s="5">
        <v>1817</v>
      </c>
      <c r="C296" s="6" t="s">
        <v>11</v>
      </c>
      <c r="D296" s="6" t="s">
        <v>11</v>
      </c>
      <c r="E296" s="6" t="s">
        <v>905</v>
      </c>
      <c r="F296" s="6" t="s">
        <v>13</v>
      </c>
      <c r="G296" s="6" t="s">
        <v>13</v>
      </c>
      <c r="H296" s="21" t="s">
        <v>12</v>
      </c>
      <c r="I296" t="str">
        <f>VLOOKUP(A296,All!A:A,1,FALSE)</f>
        <v>Des Plaines (Maine West)</v>
      </c>
    </row>
    <row r="297" spans="1:9" ht="15.75" thickBot="1" x14ac:dyDescent="0.3">
      <c r="A297" s="18" t="s">
        <v>380</v>
      </c>
      <c r="B297" s="3" t="s">
        <v>381</v>
      </c>
      <c r="C297" s="4"/>
      <c r="D297" s="10" t="s">
        <v>13</v>
      </c>
      <c r="E297" s="4"/>
      <c r="F297" s="10" t="s">
        <v>9</v>
      </c>
      <c r="G297" s="4"/>
      <c r="H297" s="19"/>
      <c r="I297" t="str">
        <f>VLOOKUP(A297,All!A:A,1,FALSE)</f>
        <v>Des Plaines (Willows Academy)</v>
      </c>
    </row>
    <row r="298" spans="1:9" ht="15.75" thickBot="1" x14ac:dyDescent="0.3">
      <c r="A298" s="20" t="s">
        <v>382</v>
      </c>
      <c r="B298" s="7">
        <v>189</v>
      </c>
      <c r="C298" s="6" t="s">
        <v>9</v>
      </c>
      <c r="D298" s="6" t="s">
        <v>9</v>
      </c>
      <c r="E298" s="6"/>
      <c r="F298" s="6"/>
      <c r="G298" s="6" t="s">
        <v>9</v>
      </c>
      <c r="H298" s="21"/>
      <c r="I298" t="str">
        <f>VLOOKUP(A298,All!A:A,1,FALSE)</f>
        <v>Dieterich</v>
      </c>
    </row>
    <row r="299" spans="1:9" ht="15.75" thickBot="1" x14ac:dyDescent="0.3">
      <c r="A299" s="18" t="s">
        <v>383</v>
      </c>
      <c r="B299" s="3">
        <v>712</v>
      </c>
      <c r="C299" s="4" t="s">
        <v>12</v>
      </c>
      <c r="D299" s="4" t="s">
        <v>12</v>
      </c>
      <c r="E299" s="4"/>
      <c r="F299" s="4"/>
      <c r="G299" s="4" t="s">
        <v>13</v>
      </c>
      <c r="H299" s="19" t="s">
        <v>9</v>
      </c>
      <c r="I299" t="str">
        <f>VLOOKUP(A299,All!A:A,1,FALSE)</f>
        <v>Dixon (H.S.)</v>
      </c>
    </row>
    <row r="300" spans="1:9" ht="15.75" thickBot="1" x14ac:dyDescent="0.3">
      <c r="A300" s="20" t="s">
        <v>384</v>
      </c>
      <c r="B300" s="7">
        <v>797</v>
      </c>
      <c r="C300" s="6" t="s">
        <v>12</v>
      </c>
      <c r="D300" s="6" t="s">
        <v>12</v>
      </c>
      <c r="E300" s="6" t="s">
        <v>13</v>
      </c>
      <c r="F300" s="6" t="s">
        <v>9</v>
      </c>
      <c r="G300" s="6" t="s">
        <v>13</v>
      </c>
      <c r="H300" s="21"/>
      <c r="I300" t="str">
        <f>VLOOKUP(A300,All!A:A,1,FALSE)</f>
        <v>Dolton (Thornridge)</v>
      </c>
    </row>
    <row r="301" spans="1:9" ht="15.75" thickBot="1" x14ac:dyDescent="0.3">
      <c r="A301" s="18" t="s">
        <v>944</v>
      </c>
      <c r="B301" s="3">
        <v>20</v>
      </c>
      <c r="C301" s="4" t="s">
        <v>9</v>
      </c>
      <c r="D301" s="4"/>
      <c r="E301" s="4"/>
      <c r="F301" s="4"/>
      <c r="G301" s="4"/>
      <c r="H301" s="19"/>
      <c r="I301" t="str">
        <f>VLOOKUP(A301,All!A:A,1,FALSE)</f>
        <v>Dongola</v>
      </c>
    </row>
    <row r="302" spans="1:9" ht="15.75" thickBot="1" x14ac:dyDescent="0.3">
      <c r="A302" s="20" t="s">
        <v>385</v>
      </c>
      <c r="B302" s="7">
        <v>70</v>
      </c>
      <c r="C302" s="6" t="s">
        <v>9</v>
      </c>
      <c r="D302" s="9" t="s">
        <v>9</v>
      </c>
      <c r="E302" s="6"/>
      <c r="F302" s="6"/>
      <c r="G302" s="6" t="s">
        <v>9</v>
      </c>
      <c r="H302" s="21"/>
      <c r="I302" t="str">
        <f>VLOOKUP(A302,All!A:A,1,FALSE)</f>
        <v>Donovan</v>
      </c>
    </row>
    <row r="303" spans="1:9" ht="15.75" thickBot="1" x14ac:dyDescent="0.3">
      <c r="A303" s="18" t="s">
        <v>386</v>
      </c>
      <c r="B303" s="8">
        <v>2046</v>
      </c>
      <c r="C303" s="4" t="s">
        <v>11</v>
      </c>
      <c r="D303" s="4" t="s">
        <v>11</v>
      </c>
      <c r="E303" s="4" t="s">
        <v>12</v>
      </c>
      <c r="F303" s="4" t="s">
        <v>12</v>
      </c>
      <c r="G303" s="4" t="s">
        <v>13</v>
      </c>
      <c r="H303" s="19" t="s">
        <v>12</v>
      </c>
      <c r="I303" t="str">
        <f>VLOOKUP(A303,All!A:A,1,FALSE)</f>
        <v>Downers Grove (North)</v>
      </c>
    </row>
    <row r="304" spans="1:9" ht="15.75" thickBot="1" x14ac:dyDescent="0.3">
      <c r="A304" s="20" t="s">
        <v>387</v>
      </c>
      <c r="B304" s="5">
        <v>2551</v>
      </c>
      <c r="C304" s="6" t="s">
        <v>11</v>
      </c>
      <c r="D304" s="6" t="s">
        <v>11</v>
      </c>
      <c r="E304" s="6" t="s">
        <v>12</v>
      </c>
      <c r="F304" s="6" t="s">
        <v>12</v>
      </c>
      <c r="G304" s="6" t="s">
        <v>13</v>
      </c>
      <c r="H304" s="21" t="s">
        <v>12</v>
      </c>
      <c r="I304" t="str">
        <f>VLOOKUP(A304,All!A:A,1,FALSE)</f>
        <v>Downers Grove (South)</v>
      </c>
    </row>
    <row r="305" spans="1:9" ht="15.75" thickBot="1" x14ac:dyDescent="0.3">
      <c r="A305" s="18" t="s">
        <v>388</v>
      </c>
      <c r="B305" s="3">
        <v>323</v>
      </c>
      <c r="C305" s="4" t="s">
        <v>13</v>
      </c>
      <c r="D305" s="4" t="s">
        <v>13</v>
      </c>
      <c r="E305" s="4"/>
      <c r="F305" s="4"/>
      <c r="G305" s="4" t="s">
        <v>9</v>
      </c>
      <c r="H305" s="19"/>
      <c r="I305" t="str">
        <f>VLOOKUP(A305,All!A:A,1,FALSE)</f>
        <v>Downs (Tri-Valley)</v>
      </c>
    </row>
    <row r="306" spans="1:9" ht="15.75" thickBot="1" x14ac:dyDescent="0.3">
      <c r="A306" s="20" t="s">
        <v>389</v>
      </c>
      <c r="B306" s="5">
        <v>1416</v>
      </c>
      <c r="C306" s="6" t="s">
        <v>12</v>
      </c>
      <c r="D306" s="6" t="s">
        <v>12</v>
      </c>
      <c r="E306" s="6"/>
      <c r="F306" s="6" t="s">
        <v>13</v>
      </c>
      <c r="G306" s="6" t="s">
        <v>13</v>
      </c>
      <c r="H306" s="21" t="s">
        <v>13</v>
      </c>
      <c r="I306" t="str">
        <f>VLOOKUP(A306,All!A:A,1,FALSE)</f>
        <v>Dunlap</v>
      </c>
    </row>
    <row r="307" spans="1:9" ht="15.75" thickBot="1" x14ac:dyDescent="0.3">
      <c r="A307" s="18" t="s">
        <v>390</v>
      </c>
      <c r="B307" s="3">
        <v>244</v>
      </c>
      <c r="C307" s="4" t="s">
        <v>9</v>
      </c>
      <c r="D307" s="4" t="s">
        <v>9</v>
      </c>
      <c r="E307" s="4"/>
      <c r="F307" s="4" t="s">
        <v>9</v>
      </c>
      <c r="G307" s="4" t="s">
        <v>9</v>
      </c>
      <c r="H307" s="19" t="s">
        <v>9</v>
      </c>
      <c r="I307" t="str">
        <f>VLOOKUP(A307,All!A:A,1,FALSE)</f>
        <v>Dupo</v>
      </c>
    </row>
    <row r="308" spans="1:9" ht="15.75" thickBot="1" x14ac:dyDescent="0.3">
      <c r="A308" s="20" t="s">
        <v>391</v>
      </c>
      <c r="B308" s="7">
        <v>384</v>
      </c>
      <c r="C308" s="6" t="s">
        <v>13</v>
      </c>
      <c r="D308" s="6" t="s">
        <v>13</v>
      </c>
      <c r="E308" s="6" t="s">
        <v>9</v>
      </c>
      <c r="F308" s="6" t="s">
        <v>9</v>
      </c>
      <c r="G308" s="6" t="s">
        <v>9</v>
      </c>
      <c r="H308" s="21"/>
      <c r="I308" t="str">
        <f>VLOOKUP(A308,All!A:A,1,FALSE)</f>
        <v>DuQuoin (H.S.)</v>
      </c>
    </row>
    <row r="309" spans="1:9" ht="15.75" thickBot="1" x14ac:dyDescent="0.3">
      <c r="A309" s="18" t="s">
        <v>392</v>
      </c>
      <c r="B309" s="3">
        <v>160</v>
      </c>
      <c r="C309" s="4" t="s">
        <v>9</v>
      </c>
      <c r="D309" s="4" t="s">
        <v>9</v>
      </c>
      <c r="E309" s="4"/>
      <c r="F309" s="4"/>
      <c r="G309" s="4"/>
      <c r="H309" s="22" t="s">
        <v>9</v>
      </c>
      <c r="I309" t="str">
        <f>VLOOKUP(A309,All!A:A,1,FALSE)</f>
        <v>Durand</v>
      </c>
    </row>
    <row r="310" spans="1:9" ht="15.75" thickBot="1" x14ac:dyDescent="0.3">
      <c r="A310" s="20" t="s">
        <v>393</v>
      </c>
      <c r="B310" s="7">
        <v>210</v>
      </c>
      <c r="C310" s="6" t="s">
        <v>9</v>
      </c>
      <c r="D310" s="6" t="s">
        <v>9</v>
      </c>
      <c r="E310" s="6"/>
      <c r="F310" s="6"/>
      <c r="G310" s="6" t="s">
        <v>9</v>
      </c>
      <c r="H310" s="22" t="s">
        <v>9</v>
      </c>
      <c r="I310" t="str">
        <f>VLOOKUP(A310,All!A:A,1,FALSE)</f>
        <v>Dwight</v>
      </c>
    </row>
    <row r="311" spans="1:9" ht="15.75" thickBot="1" x14ac:dyDescent="0.3">
      <c r="A311" s="18" t="s">
        <v>394</v>
      </c>
      <c r="B311" s="3">
        <v>98</v>
      </c>
      <c r="C311" s="4" t="s">
        <v>9</v>
      </c>
      <c r="D311" s="4" t="s">
        <v>9</v>
      </c>
      <c r="E311" s="4"/>
      <c r="F311" s="4"/>
      <c r="G311" s="4"/>
      <c r="H311" s="19"/>
      <c r="I311" t="str">
        <f>VLOOKUP(A311,All!A:A,1,FALSE)</f>
        <v>Earlville</v>
      </c>
    </row>
    <row r="312" spans="1:9" ht="15.75" thickBot="1" x14ac:dyDescent="0.3">
      <c r="A312" s="20" t="s">
        <v>395</v>
      </c>
      <c r="B312" s="7">
        <v>179</v>
      </c>
      <c r="C312" s="6" t="s">
        <v>9</v>
      </c>
      <c r="D312" s="6" t="s">
        <v>9</v>
      </c>
      <c r="E312" s="6"/>
      <c r="F312" s="6"/>
      <c r="G312" s="6" t="s">
        <v>9</v>
      </c>
      <c r="H312" s="21"/>
      <c r="I312" t="str">
        <f>VLOOKUP(A312,All!A:A,1,FALSE)</f>
        <v>East Dubuque</v>
      </c>
    </row>
    <row r="313" spans="1:9" ht="15.75" thickBot="1" x14ac:dyDescent="0.3">
      <c r="A313" s="25" t="s">
        <v>0</v>
      </c>
      <c r="B313" s="1" t="s">
        <v>1</v>
      </c>
      <c r="C313" s="2" t="s">
        <v>899</v>
      </c>
      <c r="D313" s="2" t="s">
        <v>900</v>
      </c>
      <c r="E313" s="2" t="s">
        <v>901</v>
      </c>
      <c r="F313" s="2" t="s">
        <v>902</v>
      </c>
      <c r="G313" s="2" t="s">
        <v>903</v>
      </c>
      <c r="H313" s="26" t="s">
        <v>904</v>
      </c>
      <c r="I313" t="str">
        <f>VLOOKUP(A313,All!A:A,1,FALSE)</f>
        <v>School</v>
      </c>
    </row>
    <row r="314" spans="1:9" ht="15.75" thickBot="1" x14ac:dyDescent="0.3">
      <c r="A314" s="18" t="s">
        <v>396</v>
      </c>
      <c r="B314" s="8">
        <v>1839</v>
      </c>
      <c r="C314" s="4" t="s">
        <v>11</v>
      </c>
      <c r="D314" s="4" t="s">
        <v>11</v>
      </c>
      <c r="E314" s="4"/>
      <c r="F314" s="4"/>
      <c r="G314" s="4" t="s">
        <v>13</v>
      </c>
      <c r="H314" s="19" t="s">
        <v>12</v>
      </c>
      <c r="I314" t="str">
        <f>VLOOKUP(A314,All!A:A,1,FALSE)</f>
        <v>East Moline (United)</v>
      </c>
    </row>
    <row r="315" spans="1:9" ht="15.75" thickBot="1" x14ac:dyDescent="0.3">
      <c r="A315" s="20" t="s">
        <v>397</v>
      </c>
      <c r="B315" s="7">
        <v>802</v>
      </c>
      <c r="C315" s="6" t="s">
        <v>12</v>
      </c>
      <c r="D315" s="6" t="s">
        <v>12</v>
      </c>
      <c r="E315" s="6"/>
      <c r="F315" s="6"/>
      <c r="G315" s="6" t="s">
        <v>13</v>
      </c>
      <c r="H315" s="21" t="s">
        <v>13</v>
      </c>
      <c r="I315" t="str">
        <f>VLOOKUP(A315,All!A:A,1,FALSE)</f>
        <v>East Peoria</v>
      </c>
    </row>
    <row r="316" spans="1:9" ht="15.75" thickBot="1" x14ac:dyDescent="0.3">
      <c r="A316" s="18" t="s">
        <v>398</v>
      </c>
      <c r="B316" s="3" t="s">
        <v>399</v>
      </c>
      <c r="C316" s="10" t="s">
        <v>9</v>
      </c>
      <c r="D316" s="4"/>
      <c r="E316" s="4"/>
      <c r="F316" s="4"/>
      <c r="G316" s="4"/>
      <c r="H316" s="19"/>
      <c r="I316" t="str">
        <f>VLOOKUP(A316,All!A:A,1,FALSE)</f>
        <v>East St. Louis (SIUE Charter)</v>
      </c>
    </row>
    <row r="317" spans="1:9" ht="15.75" thickBot="1" x14ac:dyDescent="0.3">
      <c r="A317" s="20" t="s">
        <v>400</v>
      </c>
      <c r="B317" s="5">
        <v>1146</v>
      </c>
      <c r="C317" s="6" t="s">
        <v>12</v>
      </c>
      <c r="D317" s="6" t="s">
        <v>12</v>
      </c>
      <c r="E317" s="6"/>
      <c r="F317" s="6"/>
      <c r="G317" s="6"/>
      <c r="H317" s="21" t="s">
        <v>13</v>
      </c>
      <c r="I317" t="str">
        <f>VLOOKUP(A317,All!A:A,1,FALSE)</f>
        <v>East St. Louis (Sr.)</v>
      </c>
    </row>
    <row r="318" spans="1:9" ht="15.75" thickBot="1" x14ac:dyDescent="0.3">
      <c r="A318" s="18" t="s">
        <v>401</v>
      </c>
      <c r="B318" s="3">
        <v>72</v>
      </c>
      <c r="C318" s="9" t="s">
        <v>9</v>
      </c>
      <c r="D318" s="4"/>
      <c r="E318" s="4"/>
      <c r="F318" s="4"/>
      <c r="G318" s="9" t="s">
        <v>9</v>
      </c>
      <c r="H318" s="19"/>
      <c r="I318" t="str">
        <f>VLOOKUP(A318,All!A:A,1,FALSE)</f>
        <v>Edinburg</v>
      </c>
    </row>
    <row r="319" spans="1:9" ht="15.75" thickBot="1" x14ac:dyDescent="0.3">
      <c r="A319" s="20" t="s">
        <v>402</v>
      </c>
      <c r="B319" s="5">
        <v>2331</v>
      </c>
      <c r="C319" s="6" t="s">
        <v>11</v>
      </c>
      <c r="D319" s="6" t="s">
        <v>11</v>
      </c>
      <c r="E319" s="6" t="s">
        <v>12</v>
      </c>
      <c r="F319" s="6" t="s">
        <v>12</v>
      </c>
      <c r="G319" s="6"/>
      <c r="H319" s="21" t="s">
        <v>12</v>
      </c>
      <c r="I319" t="str">
        <f>VLOOKUP(A319,All!A:A,1,FALSE)</f>
        <v>Edwardsville (H.S.)</v>
      </c>
    </row>
    <row r="320" spans="1:9" ht="15.75" thickBot="1" x14ac:dyDescent="0.3">
      <c r="A320" s="18" t="s">
        <v>403</v>
      </c>
      <c r="B320" s="3" t="s">
        <v>404</v>
      </c>
      <c r="C320" s="10" t="s">
        <v>13</v>
      </c>
      <c r="D320" s="10" t="s">
        <v>13</v>
      </c>
      <c r="E320" s="4"/>
      <c r="F320" s="4"/>
      <c r="G320" s="12" t="s">
        <v>13</v>
      </c>
      <c r="H320" s="23" t="s">
        <v>9</v>
      </c>
      <c r="I320" t="str">
        <f>VLOOKUP(A320,All!A:A,1,FALSE)</f>
        <v>Edwardsville (Metro-East Lutheran)</v>
      </c>
    </row>
    <row r="321" spans="1:9" ht="15.75" thickBot="1" x14ac:dyDescent="0.3">
      <c r="A321" s="20" t="s">
        <v>405</v>
      </c>
      <c r="B321" s="7">
        <v>676</v>
      </c>
      <c r="C321" s="6" t="s">
        <v>13</v>
      </c>
      <c r="D321" s="6" t="s">
        <v>13</v>
      </c>
      <c r="E321" s="6" t="s">
        <v>9</v>
      </c>
      <c r="F321" s="6"/>
      <c r="G321" s="6" t="s">
        <v>13</v>
      </c>
      <c r="H321" s="21" t="s">
        <v>9</v>
      </c>
      <c r="I321" t="str">
        <f>VLOOKUP(A321,All!A:A,1,FALSE)</f>
        <v>Effingham (H.S.)</v>
      </c>
    </row>
    <row r="322" spans="1:9" ht="15.75" thickBot="1" x14ac:dyDescent="0.3">
      <c r="A322" s="18" t="s">
        <v>406</v>
      </c>
      <c r="B322" s="3" t="s">
        <v>407</v>
      </c>
      <c r="C322" s="10" t="s">
        <v>13</v>
      </c>
      <c r="D322" s="10" t="s">
        <v>13</v>
      </c>
      <c r="E322" s="4"/>
      <c r="F322" s="10" t="s">
        <v>9</v>
      </c>
      <c r="G322" s="10" t="s">
        <v>9</v>
      </c>
      <c r="H322" s="19"/>
      <c r="I322" t="str">
        <f>VLOOKUP(A322,All!A:A,1,FALSE)</f>
        <v>Effingham (St. Anthony)</v>
      </c>
    </row>
    <row r="323" spans="1:9" ht="15.75" thickBot="1" x14ac:dyDescent="0.3">
      <c r="A323" s="20" t="s">
        <v>408</v>
      </c>
      <c r="B323" s="7">
        <v>355</v>
      </c>
      <c r="C323" s="6" t="s">
        <v>13</v>
      </c>
      <c r="D323" s="6" t="s">
        <v>13</v>
      </c>
      <c r="E323" s="6"/>
      <c r="F323" s="6"/>
      <c r="G323" s="6" t="s">
        <v>9</v>
      </c>
      <c r="H323" s="21" t="s">
        <v>9</v>
      </c>
      <c r="I323" t="str">
        <f>VLOOKUP(A323,All!A:A,1,FALSE)</f>
        <v>El Paso (E.P.-Gridley)</v>
      </c>
    </row>
    <row r="324" spans="1:9" ht="15.75" thickBot="1" x14ac:dyDescent="0.3">
      <c r="A324" s="18" t="s">
        <v>409</v>
      </c>
      <c r="B324" s="3">
        <v>307</v>
      </c>
      <c r="C324" s="4" t="s">
        <v>13</v>
      </c>
      <c r="D324" s="4" t="s">
        <v>13</v>
      </c>
      <c r="E324" s="4"/>
      <c r="F324" s="4"/>
      <c r="G324" s="4" t="s">
        <v>9</v>
      </c>
      <c r="H324" s="19"/>
      <c r="I324" t="str">
        <f>VLOOKUP(A324,All!A:A,1,FALSE)</f>
        <v>Eldorado</v>
      </c>
    </row>
    <row r="325" spans="1:9" ht="15.75" thickBot="1" x14ac:dyDescent="0.3">
      <c r="A325" s="20" t="s">
        <v>410</v>
      </c>
      <c r="B325" s="5">
        <v>2383</v>
      </c>
      <c r="C325" s="6" t="s">
        <v>11</v>
      </c>
      <c r="D325" s="6" t="s">
        <v>11</v>
      </c>
      <c r="E325" s="6" t="s">
        <v>905</v>
      </c>
      <c r="F325" s="6" t="s">
        <v>12</v>
      </c>
      <c r="G325" s="6" t="s">
        <v>13</v>
      </c>
      <c r="H325" s="21" t="s">
        <v>12</v>
      </c>
      <c r="I325" t="str">
        <f>VLOOKUP(A325,All!A:A,1,FALSE)</f>
        <v>Elgin (H.S.)</v>
      </c>
    </row>
    <row r="326" spans="1:9" ht="15.75" thickBot="1" x14ac:dyDescent="0.3">
      <c r="A326" s="18" t="s">
        <v>411</v>
      </c>
      <c r="B326" s="8">
        <v>2021</v>
      </c>
      <c r="C326" s="4" t="s">
        <v>11</v>
      </c>
      <c r="D326" s="4" t="s">
        <v>11</v>
      </c>
      <c r="E326" s="4" t="s">
        <v>12</v>
      </c>
      <c r="F326" s="4" t="s">
        <v>12</v>
      </c>
      <c r="G326" s="4"/>
      <c r="H326" s="19" t="s">
        <v>12</v>
      </c>
      <c r="I326" t="str">
        <f>VLOOKUP(A326,All!A:A,1,FALSE)</f>
        <v>Elgin (Larkin)</v>
      </c>
    </row>
    <row r="327" spans="1:9" ht="15.75" thickBot="1" x14ac:dyDescent="0.3">
      <c r="A327" s="20" t="s">
        <v>412</v>
      </c>
      <c r="B327" s="7" t="s">
        <v>413</v>
      </c>
      <c r="C327" s="10" t="s">
        <v>13</v>
      </c>
      <c r="D327" s="10" t="s">
        <v>13</v>
      </c>
      <c r="E327" s="6"/>
      <c r="F327" s="6"/>
      <c r="G327" s="6"/>
      <c r="H327" s="23" t="s">
        <v>9</v>
      </c>
      <c r="I327" t="str">
        <f>VLOOKUP(A327,All!A:A,1,FALSE)</f>
        <v>Elgin (River Valley Christian)</v>
      </c>
    </row>
    <row r="328" spans="1:9" ht="15.75" thickBot="1" x14ac:dyDescent="0.3">
      <c r="A328" s="18" t="s">
        <v>414</v>
      </c>
      <c r="B328" s="3" t="s">
        <v>415</v>
      </c>
      <c r="C328" s="11" t="s">
        <v>9</v>
      </c>
      <c r="D328" s="10" t="s">
        <v>13</v>
      </c>
      <c r="E328" s="10" t="s">
        <v>9</v>
      </c>
      <c r="F328" s="4"/>
      <c r="G328" s="4"/>
      <c r="H328" s="23" t="s">
        <v>9</v>
      </c>
      <c r="I328" t="str">
        <f>VLOOKUP(A328,All!A:A,1,FALSE)</f>
        <v>Elgin (St. Edward)</v>
      </c>
    </row>
    <row r="329" spans="1:9" ht="15.75" thickBot="1" x14ac:dyDescent="0.3">
      <c r="A329" s="20" t="s">
        <v>416</v>
      </c>
      <c r="B329" s="7">
        <v>173</v>
      </c>
      <c r="C329" s="6" t="s">
        <v>9</v>
      </c>
      <c r="D329" s="6" t="s">
        <v>9</v>
      </c>
      <c r="E329" s="6"/>
      <c r="F329" s="6"/>
      <c r="G329" s="6" t="s">
        <v>9</v>
      </c>
      <c r="H329" s="21"/>
      <c r="I329" t="str">
        <f>VLOOKUP(A329,All!A:A,1,FALSE)</f>
        <v>Elizabethtown (Hardin County)</v>
      </c>
    </row>
    <row r="330" spans="1:9" ht="15.75" thickBot="1" x14ac:dyDescent="0.3">
      <c r="A330" s="18" t="s">
        <v>417</v>
      </c>
      <c r="B330" s="8">
        <v>1784</v>
      </c>
      <c r="C330" s="4" t="s">
        <v>11</v>
      </c>
      <c r="D330" s="4" t="s">
        <v>11</v>
      </c>
      <c r="E330" s="4" t="s">
        <v>905</v>
      </c>
      <c r="F330" s="4" t="s">
        <v>13</v>
      </c>
      <c r="G330" s="4" t="s">
        <v>13</v>
      </c>
      <c r="H330" s="19" t="s">
        <v>12</v>
      </c>
      <c r="I330" t="str">
        <f>VLOOKUP(A330,All!A:A,1,FALSE)</f>
        <v>Elk Grove Village (E.G.)</v>
      </c>
    </row>
    <row r="331" spans="1:9" ht="15.75" thickBot="1" x14ac:dyDescent="0.3">
      <c r="A331" s="20" t="s">
        <v>418</v>
      </c>
      <c r="B331" s="7">
        <v>98</v>
      </c>
      <c r="C331" s="6" t="s">
        <v>9</v>
      </c>
      <c r="D331" s="9" t="s">
        <v>9</v>
      </c>
      <c r="E331" s="6"/>
      <c r="F331" s="6"/>
      <c r="G331" s="6"/>
      <c r="H331" s="21"/>
      <c r="I331" t="str">
        <f>VLOOKUP(A331,All!A:A,1,FALSE)</f>
        <v>Elkville (Elverado)</v>
      </c>
    </row>
    <row r="332" spans="1:9" ht="15.75" thickBot="1" x14ac:dyDescent="0.3">
      <c r="A332" s="18" t="s">
        <v>419</v>
      </c>
      <c r="B332" s="3" t="s">
        <v>420</v>
      </c>
      <c r="C332" s="10" t="s">
        <v>13</v>
      </c>
      <c r="D332" s="10" t="s">
        <v>13</v>
      </c>
      <c r="E332" s="4"/>
      <c r="F332" s="10" t="s">
        <v>9</v>
      </c>
      <c r="G332" s="4"/>
      <c r="H332" s="32" t="s">
        <v>13</v>
      </c>
      <c r="I332" t="str">
        <f>VLOOKUP(A332,All!A:A,1,FALSE)</f>
        <v>Elmhurst (IC Catholic)</v>
      </c>
    </row>
    <row r="333" spans="1:9" ht="15.75" thickBot="1" x14ac:dyDescent="0.3">
      <c r="A333" s="20" t="s">
        <v>421</v>
      </c>
      <c r="B333" s="7" t="s">
        <v>422</v>
      </c>
      <c r="C333" s="11" t="s">
        <v>13</v>
      </c>
      <c r="D333" s="11" t="s">
        <v>13</v>
      </c>
      <c r="E333" s="10" t="s">
        <v>13</v>
      </c>
      <c r="F333" s="6"/>
      <c r="G333" s="10" t="s">
        <v>13</v>
      </c>
      <c r="H333" s="21"/>
      <c r="I333" t="str">
        <f>VLOOKUP(A333,All!A:A,1,FALSE)</f>
        <v>Elmhurst (Timothy Christian)</v>
      </c>
    </row>
    <row r="334" spans="1:9" ht="15.75" thickBot="1" x14ac:dyDescent="0.3">
      <c r="A334" s="18" t="s">
        <v>423</v>
      </c>
      <c r="B334" s="8">
        <v>2571</v>
      </c>
      <c r="C334" s="4" t="s">
        <v>11</v>
      </c>
      <c r="D334" s="4" t="s">
        <v>11</v>
      </c>
      <c r="E334" s="4" t="s">
        <v>12</v>
      </c>
      <c r="F334" s="4" t="s">
        <v>12</v>
      </c>
      <c r="G334" s="4" t="s">
        <v>13</v>
      </c>
      <c r="H334" s="19" t="s">
        <v>12</v>
      </c>
      <c r="I334" t="str">
        <f>VLOOKUP(A334,All!A:A,1,FALSE)</f>
        <v>Elmhurst (York)</v>
      </c>
    </row>
    <row r="335" spans="1:9" ht="15.75" thickBot="1" x14ac:dyDescent="0.3">
      <c r="A335" s="20" t="s">
        <v>424</v>
      </c>
      <c r="B335" s="7">
        <v>201</v>
      </c>
      <c r="C335" s="6" t="s">
        <v>9</v>
      </c>
      <c r="D335" s="6" t="s">
        <v>9</v>
      </c>
      <c r="E335" s="6"/>
      <c r="F335" s="6" t="s">
        <v>9</v>
      </c>
      <c r="G335" s="6" t="s">
        <v>9</v>
      </c>
      <c r="H335" s="21"/>
      <c r="I335" t="str">
        <f>VLOOKUP(A335,All!A:A,1,FALSE)</f>
        <v>Elmwood</v>
      </c>
    </row>
    <row r="336" spans="1:9" ht="15.75" thickBot="1" x14ac:dyDescent="0.3">
      <c r="A336" s="18" t="s">
        <v>425</v>
      </c>
      <c r="B336" s="3">
        <v>998</v>
      </c>
      <c r="C336" s="4" t="s">
        <v>12</v>
      </c>
      <c r="D336" s="4" t="s">
        <v>12</v>
      </c>
      <c r="E336" s="4" t="s">
        <v>13</v>
      </c>
      <c r="F336" s="4" t="s">
        <v>9</v>
      </c>
      <c r="G336" s="4" t="s">
        <v>13</v>
      </c>
      <c r="H336" s="19" t="s">
        <v>13</v>
      </c>
      <c r="I336" t="str">
        <f>VLOOKUP(A336,All!A:A,1,FALSE)</f>
        <v>Elmwood Park</v>
      </c>
    </row>
    <row r="337" spans="1:9" ht="15.75" thickBot="1" x14ac:dyDescent="0.3">
      <c r="A337" s="20" t="s">
        <v>426</v>
      </c>
      <c r="B337" s="7">
        <v>186</v>
      </c>
      <c r="C337" s="6"/>
      <c r="D337" s="9" t="s">
        <v>13</v>
      </c>
      <c r="E337" s="6"/>
      <c r="F337" s="6"/>
      <c r="G337" s="9" t="s">
        <v>9</v>
      </c>
      <c r="H337" s="22" t="s">
        <v>9</v>
      </c>
      <c r="I337" t="str">
        <f>VLOOKUP(A337,All!A:A,1,FALSE)</f>
        <v>Erie</v>
      </c>
    </row>
    <row r="338" spans="1:9" ht="15.75" thickBot="1" x14ac:dyDescent="0.3">
      <c r="A338" s="18" t="s">
        <v>427</v>
      </c>
      <c r="B338" s="3">
        <v>506</v>
      </c>
      <c r="C338" s="4" t="s">
        <v>13</v>
      </c>
      <c r="D338" s="4" t="s">
        <v>13</v>
      </c>
      <c r="E338" s="4" t="s">
        <v>9</v>
      </c>
      <c r="F338" s="4" t="s">
        <v>9</v>
      </c>
      <c r="G338" s="4" t="s">
        <v>13</v>
      </c>
      <c r="H338" s="19" t="s">
        <v>9</v>
      </c>
      <c r="I338" t="str">
        <f>VLOOKUP(A338,All!A:A,1,FALSE)</f>
        <v>Eureka</v>
      </c>
    </row>
    <row r="339" spans="1:9" ht="15.75" thickBot="1" x14ac:dyDescent="0.3">
      <c r="A339" s="25" t="s">
        <v>0</v>
      </c>
      <c r="B339" s="1" t="s">
        <v>1</v>
      </c>
      <c r="C339" s="2" t="s">
        <v>899</v>
      </c>
      <c r="D339" s="2" t="s">
        <v>900</v>
      </c>
      <c r="E339" s="2" t="s">
        <v>901</v>
      </c>
      <c r="F339" s="2" t="s">
        <v>902</v>
      </c>
      <c r="G339" s="2" t="s">
        <v>903</v>
      </c>
      <c r="H339" s="26" t="s">
        <v>904</v>
      </c>
      <c r="I339" t="str">
        <f>VLOOKUP(A339,All!A:A,1,FALSE)</f>
        <v>School</v>
      </c>
    </row>
    <row r="340" spans="1:9" ht="15.75" thickBot="1" x14ac:dyDescent="0.3">
      <c r="A340" s="20" t="s">
        <v>428</v>
      </c>
      <c r="B340" s="7" t="s">
        <v>429</v>
      </c>
      <c r="C340" s="10" t="s">
        <v>9</v>
      </c>
      <c r="D340" s="10" t="s">
        <v>9</v>
      </c>
      <c r="E340" s="6"/>
      <c r="F340" s="6"/>
      <c r="G340" s="6"/>
      <c r="H340" s="21"/>
      <c r="I340" t="str">
        <f>VLOOKUP(A340,All!A:A,1,FALSE)</f>
        <v>Evanston (Beacon Academy)</v>
      </c>
    </row>
    <row r="341" spans="1:9" ht="15.75" thickBot="1" x14ac:dyDescent="0.3">
      <c r="A341" s="18" t="s">
        <v>430</v>
      </c>
      <c r="B341" s="3" t="s">
        <v>431</v>
      </c>
      <c r="C341" s="4"/>
      <c r="D341" s="4"/>
      <c r="E341" s="4"/>
      <c r="F341" s="4"/>
      <c r="G341" s="10" t="s">
        <v>9</v>
      </c>
      <c r="H341" s="19"/>
      <c r="I341" t="str">
        <f>VLOOKUP(A341,All!A:A,1,FALSE)</f>
        <v>Evanston (Roycemore)</v>
      </c>
    </row>
    <row r="342" spans="1:9" ht="15.75" thickBot="1" x14ac:dyDescent="0.3">
      <c r="A342" s="20" t="s">
        <v>432</v>
      </c>
      <c r="B342" s="5">
        <v>3465</v>
      </c>
      <c r="C342" s="6" t="s">
        <v>11</v>
      </c>
      <c r="D342" s="6" t="s">
        <v>11</v>
      </c>
      <c r="E342" s="6" t="s">
        <v>12</v>
      </c>
      <c r="F342" s="6" t="s">
        <v>12</v>
      </c>
      <c r="G342" s="6" t="s">
        <v>13</v>
      </c>
      <c r="H342" s="21" t="s">
        <v>12</v>
      </c>
      <c r="I342" t="str">
        <f>VLOOKUP(A342,All!A:A,1,FALSE)</f>
        <v>Evanston (Twp.)</v>
      </c>
    </row>
    <row r="343" spans="1:9" ht="15.75" thickBot="1" x14ac:dyDescent="0.3">
      <c r="A343" s="18" t="s">
        <v>433</v>
      </c>
      <c r="B343" s="3">
        <v>917</v>
      </c>
      <c r="C343" s="4" t="s">
        <v>12</v>
      </c>
      <c r="D343" s="4" t="s">
        <v>12</v>
      </c>
      <c r="E343" s="4" t="s">
        <v>13</v>
      </c>
      <c r="F343" s="4" t="s">
        <v>9</v>
      </c>
      <c r="G343" s="4" t="s">
        <v>13</v>
      </c>
      <c r="H343" s="19" t="s">
        <v>13</v>
      </c>
      <c r="I343" t="str">
        <f>VLOOKUP(A343,All!A:A,1,FALSE)</f>
        <v>Evergreen Park</v>
      </c>
    </row>
    <row r="344" spans="1:9" ht="15.75" thickBot="1" x14ac:dyDescent="0.3">
      <c r="A344" s="20" t="s">
        <v>434</v>
      </c>
      <c r="B344" s="7">
        <v>475</v>
      </c>
      <c r="C344" s="6" t="s">
        <v>13</v>
      </c>
      <c r="D344" s="6" t="s">
        <v>13</v>
      </c>
      <c r="E344" s="6" t="s">
        <v>9</v>
      </c>
      <c r="F344" s="6"/>
      <c r="G344" s="6" t="s">
        <v>13</v>
      </c>
      <c r="H344" s="21" t="s">
        <v>9</v>
      </c>
      <c r="I344" t="str">
        <f>VLOOKUP(A344,All!A:A,1,FALSE)</f>
        <v>Fairbury (Prairie Central)</v>
      </c>
    </row>
    <row r="345" spans="1:9" ht="15.75" thickBot="1" x14ac:dyDescent="0.3">
      <c r="A345" s="18" t="s">
        <v>435</v>
      </c>
      <c r="B345" s="3">
        <v>435</v>
      </c>
      <c r="C345" s="4" t="s">
        <v>13</v>
      </c>
      <c r="D345" s="4" t="s">
        <v>13</v>
      </c>
      <c r="E345" s="4" t="s">
        <v>9</v>
      </c>
      <c r="F345" s="4"/>
      <c r="G345" s="4" t="s">
        <v>9</v>
      </c>
      <c r="H345" s="19" t="s">
        <v>9</v>
      </c>
      <c r="I345" t="str">
        <f>VLOOKUP(A345,All!A:A,1,FALSE)</f>
        <v>Fairfield</v>
      </c>
    </row>
    <row r="346" spans="1:9" ht="15.75" thickBot="1" x14ac:dyDescent="0.3">
      <c r="A346" s="20" t="s">
        <v>436</v>
      </c>
      <c r="B346" s="7">
        <v>180</v>
      </c>
      <c r="C346" s="6" t="s">
        <v>9</v>
      </c>
      <c r="D346" s="6" t="s">
        <v>9</v>
      </c>
      <c r="E346" s="6"/>
      <c r="F346" s="6"/>
      <c r="G346" s="6" t="s">
        <v>9</v>
      </c>
      <c r="H346" s="21"/>
      <c r="I346" t="str">
        <f>VLOOKUP(A346,All!A:A,1,FALSE)</f>
        <v>Farina (South Central)</v>
      </c>
    </row>
    <row r="347" spans="1:9" ht="15.75" thickBot="1" x14ac:dyDescent="0.3">
      <c r="A347" s="18" t="s">
        <v>437</v>
      </c>
      <c r="B347" s="3">
        <v>154</v>
      </c>
      <c r="C347" s="9" t="s">
        <v>9</v>
      </c>
      <c r="D347" s="9" t="s">
        <v>9</v>
      </c>
      <c r="E347" s="4"/>
      <c r="F347" s="4"/>
      <c r="G347" s="9" t="s">
        <v>9</v>
      </c>
      <c r="H347" s="19"/>
      <c r="I347" t="str">
        <f>VLOOKUP(A347,All!A:A,1,FALSE)</f>
        <v>Farmer City (Blue Ridge)</v>
      </c>
    </row>
    <row r="348" spans="1:9" ht="15.75" thickBot="1" x14ac:dyDescent="0.3">
      <c r="A348" s="20" t="s">
        <v>438</v>
      </c>
      <c r="B348" s="7">
        <v>364</v>
      </c>
      <c r="C348" s="6" t="s">
        <v>13</v>
      </c>
      <c r="D348" s="6" t="s">
        <v>13</v>
      </c>
      <c r="E348" s="6" t="s">
        <v>9</v>
      </c>
      <c r="F348" s="6"/>
      <c r="G348" s="6" t="s">
        <v>9</v>
      </c>
      <c r="H348" s="22" t="s">
        <v>9</v>
      </c>
      <c r="I348" t="str">
        <f>VLOOKUP(A348,All!A:A,1,FALSE)</f>
        <v>Farmington</v>
      </c>
    </row>
    <row r="349" spans="1:9" ht="15.75" thickBot="1" x14ac:dyDescent="0.3">
      <c r="A349" s="18" t="s">
        <v>439</v>
      </c>
      <c r="B349" s="3">
        <v>195</v>
      </c>
      <c r="C349" s="4" t="s">
        <v>9</v>
      </c>
      <c r="D349" s="4" t="s">
        <v>9</v>
      </c>
      <c r="E349" s="4" t="s">
        <v>9</v>
      </c>
      <c r="F349" s="4"/>
      <c r="G349" s="4" t="s">
        <v>9</v>
      </c>
      <c r="H349" s="19"/>
      <c r="I349" t="str">
        <f>VLOOKUP(A349,All!A:A,1,FALSE)</f>
        <v>Fisher</v>
      </c>
    </row>
    <row r="350" spans="1:9" ht="15.75" thickBot="1" x14ac:dyDescent="0.3">
      <c r="A350" s="20" t="s">
        <v>440</v>
      </c>
      <c r="B350" s="7">
        <v>249</v>
      </c>
      <c r="C350" s="6" t="s">
        <v>9</v>
      </c>
      <c r="D350" s="6" t="s">
        <v>9</v>
      </c>
      <c r="E350" s="6" t="s">
        <v>9</v>
      </c>
      <c r="F350" s="6" t="s">
        <v>9</v>
      </c>
      <c r="G350" s="6" t="s">
        <v>9</v>
      </c>
      <c r="H350" s="22" t="s">
        <v>9</v>
      </c>
      <c r="I350" t="str">
        <f>VLOOKUP(A350,All!A:A,1,FALSE)</f>
        <v>Fithian (Oakwood)</v>
      </c>
    </row>
    <row r="351" spans="1:9" ht="15.75" thickBot="1" x14ac:dyDescent="0.3">
      <c r="A351" s="18" t="s">
        <v>441</v>
      </c>
      <c r="B351" s="3">
        <v>104</v>
      </c>
      <c r="C351" s="4" t="s">
        <v>9</v>
      </c>
      <c r="D351" s="9" t="s">
        <v>9</v>
      </c>
      <c r="E351" s="4"/>
      <c r="F351" s="4"/>
      <c r="G351" s="4" t="s">
        <v>9</v>
      </c>
      <c r="H351" s="19"/>
      <c r="I351" t="str">
        <f>VLOOKUP(A351,All!A:A,1,FALSE)</f>
        <v>Flanagan (F.-Cornell)</v>
      </c>
    </row>
    <row r="352" spans="1:9" ht="15.75" thickBot="1" x14ac:dyDescent="0.3">
      <c r="A352" s="20" t="s">
        <v>442</v>
      </c>
      <c r="B352" s="7">
        <v>350</v>
      </c>
      <c r="C352" s="6" t="s">
        <v>13</v>
      </c>
      <c r="D352" s="6" t="s">
        <v>13</v>
      </c>
      <c r="E352" s="6" t="s">
        <v>9</v>
      </c>
      <c r="F352" s="6"/>
      <c r="G352" s="6" t="s">
        <v>9</v>
      </c>
      <c r="H352" s="21"/>
      <c r="I352" t="str">
        <f>VLOOKUP(A352,All!A:A,1,FALSE)</f>
        <v>Flora</v>
      </c>
    </row>
    <row r="353" spans="1:9" ht="15.75" thickBot="1" x14ac:dyDescent="0.3">
      <c r="A353" s="18" t="s">
        <v>443</v>
      </c>
      <c r="B353" s="8">
        <v>2657</v>
      </c>
      <c r="C353" s="4" t="s">
        <v>11</v>
      </c>
      <c r="D353" s="4" t="s">
        <v>11</v>
      </c>
      <c r="E353" s="4" t="s">
        <v>905</v>
      </c>
      <c r="F353" s="4" t="s">
        <v>12</v>
      </c>
      <c r="G353" s="4" t="s">
        <v>13</v>
      </c>
      <c r="H353" s="19" t="s">
        <v>12</v>
      </c>
      <c r="I353" t="str">
        <f>VLOOKUP(A353,All!A:A,1,FALSE)</f>
        <v>Flossmoor (Homewood-F.)</v>
      </c>
    </row>
    <row r="354" spans="1:9" ht="15.75" thickBot="1" x14ac:dyDescent="0.3">
      <c r="A354" s="20" t="s">
        <v>444</v>
      </c>
      <c r="B354" s="7">
        <v>234</v>
      </c>
      <c r="C354" s="6" t="s">
        <v>9</v>
      </c>
      <c r="D354" s="6" t="s">
        <v>9</v>
      </c>
      <c r="E354" s="6"/>
      <c r="F354" s="6"/>
      <c r="G354" s="6" t="s">
        <v>9</v>
      </c>
      <c r="H354" s="21"/>
      <c r="I354" t="str">
        <f>VLOOKUP(A354,All!A:A,1,FALSE)</f>
        <v>Forreston</v>
      </c>
    </row>
    <row r="355" spans="1:9" ht="15.75" thickBot="1" x14ac:dyDescent="0.3">
      <c r="A355" s="18" t="s">
        <v>445</v>
      </c>
      <c r="B355" s="8">
        <v>1723</v>
      </c>
      <c r="C355" s="4" t="s">
        <v>11</v>
      </c>
      <c r="D355" s="4" t="s">
        <v>11</v>
      </c>
      <c r="E355" s="4" t="s">
        <v>12</v>
      </c>
      <c r="F355" s="4" t="s">
        <v>13</v>
      </c>
      <c r="G355" s="4" t="s">
        <v>13</v>
      </c>
      <c r="H355" s="19" t="s">
        <v>12</v>
      </c>
      <c r="I355" t="str">
        <f>VLOOKUP(A355,All!A:A,1,FALSE)</f>
        <v>Fox Lake (Grant)</v>
      </c>
    </row>
    <row r="356" spans="1:9" ht="15.75" thickBot="1" x14ac:dyDescent="0.3">
      <c r="A356" s="20" t="s">
        <v>446</v>
      </c>
      <c r="B356" s="5">
        <v>2676</v>
      </c>
      <c r="C356" s="6" t="s">
        <v>11</v>
      </c>
      <c r="D356" s="6" t="s">
        <v>11</v>
      </c>
      <c r="E356" s="6" t="s">
        <v>12</v>
      </c>
      <c r="F356" s="6" t="s">
        <v>12</v>
      </c>
      <c r="G356" s="6" t="s">
        <v>13</v>
      </c>
      <c r="H356" s="21" t="s">
        <v>12</v>
      </c>
      <c r="I356" t="str">
        <f>VLOOKUP(A356,All!A:A,1,FALSE)</f>
        <v>Frankfort (Lincoln-Way East)</v>
      </c>
    </row>
    <row r="357" spans="1:9" ht="15.75" thickBot="1" x14ac:dyDescent="0.3">
      <c r="A357" s="18" t="s">
        <v>945</v>
      </c>
      <c r="B357" s="3">
        <v>124</v>
      </c>
      <c r="C357" s="9" t="s">
        <v>9</v>
      </c>
      <c r="D357" s="4"/>
      <c r="E357" s="4"/>
      <c r="F357" s="4"/>
      <c r="G357" s="4"/>
      <c r="H357" s="19"/>
      <c r="I357" t="str">
        <f>VLOOKUP(A357,All!A:A,1,FALSE)</f>
        <v>Franklin</v>
      </c>
    </row>
    <row r="358" spans="1:9" ht="15.75" thickBot="1" x14ac:dyDescent="0.3">
      <c r="A358" s="20" t="s">
        <v>447</v>
      </c>
      <c r="B358" s="5">
        <v>3396</v>
      </c>
      <c r="C358" s="6" t="s">
        <v>11</v>
      </c>
      <c r="D358" s="6" t="s">
        <v>11</v>
      </c>
      <c r="E358" s="6" t="s">
        <v>12</v>
      </c>
      <c r="F358" s="6" t="s">
        <v>12</v>
      </c>
      <c r="G358" s="6" t="s">
        <v>13</v>
      </c>
      <c r="H358" s="21" t="s">
        <v>12</v>
      </c>
      <c r="I358" t="str">
        <f>VLOOKUP(A358,All!A:A,1,FALSE)</f>
        <v>Franklin Park-Northlake (Leyden)</v>
      </c>
    </row>
    <row r="359" spans="1:9" ht="15.75" thickBot="1" x14ac:dyDescent="0.3">
      <c r="A359" s="18" t="s">
        <v>448</v>
      </c>
      <c r="B359" s="3">
        <v>664</v>
      </c>
      <c r="C359" s="4" t="s">
        <v>13</v>
      </c>
      <c r="D359" s="4" t="s">
        <v>13</v>
      </c>
      <c r="E359" s="4"/>
      <c r="F359" s="4" t="s">
        <v>9</v>
      </c>
      <c r="G359" s="4" t="s">
        <v>13</v>
      </c>
      <c r="H359" s="19" t="s">
        <v>9</v>
      </c>
      <c r="I359" t="str">
        <f>VLOOKUP(A359,All!A:A,1,FALSE)</f>
        <v>Freeburg</v>
      </c>
    </row>
    <row r="360" spans="1:9" ht="15.75" thickBot="1" x14ac:dyDescent="0.3">
      <c r="A360" s="20" t="s">
        <v>449</v>
      </c>
      <c r="B360" s="5">
        <v>1100</v>
      </c>
      <c r="C360" s="6" t="s">
        <v>12</v>
      </c>
      <c r="D360" s="6" t="s">
        <v>12</v>
      </c>
      <c r="E360" s="6" t="s">
        <v>13</v>
      </c>
      <c r="F360" s="6" t="s">
        <v>13</v>
      </c>
      <c r="G360" s="6"/>
      <c r="H360" s="21" t="s">
        <v>13</v>
      </c>
      <c r="I360" t="str">
        <f>VLOOKUP(A360,All!A:A,1,FALSE)</f>
        <v>Freeport (H.S.)</v>
      </c>
    </row>
    <row r="361" spans="1:9" ht="15.75" thickBot="1" x14ac:dyDescent="0.3">
      <c r="A361" s="18" t="s">
        <v>450</v>
      </c>
      <c r="B361" s="3">
        <v>278</v>
      </c>
      <c r="C361" s="4" t="s">
        <v>9</v>
      </c>
      <c r="D361" s="4" t="s">
        <v>9</v>
      </c>
      <c r="E361" s="4" t="s">
        <v>9</v>
      </c>
      <c r="F361" s="4"/>
      <c r="G361" s="4" t="s">
        <v>9</v>
      </c>
      <c r="H361" s="19" t="s">
        <v>9</v>
      </c>
      <c r="I361" t="str">
        <f>VLOOKUP(A361,All!A:A,1,FALSE)</f>
        <v>Fulton (H.S.)</v>
      </c>
    </row>
    <row r="362" spans="1:9" ht="15.75" thickBot="1" x14ac:dyDescent="0.3">
      <c r="A362" s="20" t="s">
        <v>451</v>
      </c>
      <c r="B362" s="7">
        <v>115</v>
      </c>
      <c r="C362" s="6" t="s">
        <v>9</v>
      </c>
      <c r="D362" s="6"/>
      <c r="E362" s="6"/>
      <c r="F362" s="6"/>
      <c r="G362" s="6" t="s">
        <v>9</v>
      </c>
      <c r="H362" s="21"/>
      <c r="I362" t="str">
        <f>VLOOKUP(A362,All!A:A,1,FALSE)</f>
        <v>Galatia</v>
      </c>
    </row>
    <row r="363" spans="1:9" ht="15.75" thickBot="1" x14ac:dyDescent="0.3">
      <c r="A363" s="18" t="s">
        <v>452</v>
      </c>
      <c r="B363" s="3">
        <v>258</v>
      </c>
      <c r="C363" s="4" t="s">
        <v>9</v>
      </c>
      <c r="D363" s="4" t="s">
        <v>9</v>
      </c>
      <c r="E363" s="4"/>
      <c r="F363" s="4"/>
      <c r="G363" s="4" t="s">
        <v>9</v>
      </c>
      <c r="H363" s="22" t="s">
        <v>9</v>
      </c>
      <c r="I363" t="str">
        <f>VLOOKUP(A363,All!A:A,1,FALSE)</f>
        <v>Galena (H.S.)</v>
      </c>
    </row>
    <row r="364" spans="1:9" ht="15.75" thickBot="1" x14ac:dyDescent="0.3">
      <c r="A364" s="20" t="s">
        <v>453</v>
      </c>
      <c r="B364" s="5">
        <v>1127</v>
      </c>
      <c r="C364" s="6" t="s">
        <v>12</v>
      </c>
      <c r="D364" s="6" t="s">
        <v>12</v>
      </c>
      <c r="E364" s="6" t="s">
        <v>13</v>
      </c>
      <c r="F364" s="6"/>
      <c r="G364" s="6" t="s">
        <v>13</v>
      </c>
      <c r="H364" s="21" t="s">
        <v>13</v>
      </c>
      <c r="I364" t="str">
        <f>VLOOKUP(A364,All!A:A,1,FALSE)</f>
        <v>Galesburg (H.S.)</v>
      </c>
    </row>
    <row r="365" spans="1:9" ht="15.75" thickBot="1" x14ac:dyDescent="0.3">
      <c r="A365" s="25" t="s">
        <v>0</v>
      </c>
      <c r="B365" s="1" t="s">
        <v>1</v>
      </c>
      <c r="C365" s="2" t="s">
        <v>899</v>
      </c>
      <c r="D365" s="2" t="s">
        <v>900</v>
      </c>
      <c r="E365" s="2" t="s">
        <v>901</v>
      </c>
      <c r="F365" s="2" t="s">
        <v>902</v>
      </c>
      <c r="G365" s="2" t="s">
        <v>903</v>
      </c>
      <c r="H365" s="26" t="s">
        <v>904</v>
      </c>
      <c r="I365" t="str">
        <f>VLOOKUP(A365,All!A:A,1,FALSE)</f>
        <v>School</v>
      </c>
    </row>
    <row r="366" spans="1:9" ht="15.75" thickBot="1" x14ac:dyDescent="0.3">
      <c r="A366" s="18" t="s">
        <v>454</v>
      </c>
      <c r="B366" s="3">
        <v>133</v>
      </c>
      <c r="C366" s="4" t="s">
        <v>9</v>
      </c>
      <c r="D366" s="4" t="s">
        <v>9</v>
      </c>
      <c r="E366" s="4"/>
      <c r="F366" s="4" t="s">
        <v>9</v>
      </c>
      <c r="G366" s="4" t="s">
        <v>9</v>
      </c>
      <c r="H366" s="19"/>
      <c r="I366" t="str">
        <f>VLOOKUP(A366,All!A:A,1,FALSE)</f>
        <v>Galva</v>
      </c>
    </row>
    <row r="367" spans="1:9" ht="15.75" thickBot="1" x14ac:dyDescent="0.3">
      <c r="A367" s="20" t="s">
        <v>455</v>
      </c>
      <c r="B367" s="7">
        <v>155</v>
      </c>
      <c r="C367" s="6" t="s">
        <v>9</v>
      </c>
      <c r="D367" s="6" t="s">
        <v>9</v>
      </c>
      <c r="E367" s="6"/>
      <c r="F367" s="6" t="s">
        <v>9</v>
      </c>
      <c r="G367" s="6" t="s">
        <v>9</v>
      </c>
      <c r="H367" s="21"/>
      <c r="I367" t="str">
        <f>VLOOKUP(A367,All!A:A,1,FALSE)</f>
        <v>Gardner (G.-South Wilmington)</v>
      </c>
    </row>
    <row r="368" spans="1:9" ht="15.75" thickBot="1" x14ac:dyDescent="0.3">
      <c r="A368" s="18" t="s">
        <v>456</v>
      </c>
      <c r="B368" s="3">
        <v>792</v>
      </c>
      <c r="C368" s="4" t="s">
        <v>12</v>
      </c>
      <c r="D368" s="4" t="s">
        <v>12</v>
      </c>
      <c r="E368" s="4"/>
      <c r="F368" s="4"/>
      <c r="G368" s="4" t="s">
        <v>13</v>
      </c>
      <c r="H368" s="19" t="s">
        <v>13</v>
      </c>
      <c r="I368" t="str">
        <f>VLOOKUP(A368,All!A:A,1,FALSE)</f>
        <v>Geneseo</v>
      </c>
    </row>
    <row r="369" spans="1:9" ht="15.75" thickBot="1" x14ac:dyDescent="0.3">
      <c r="A369" s="20" t="s">
        <v>457</v>
      </c>
      <c r="B369" s="5">
        <v>1594</v>
      </c>
      <c r="C369" s="6" t="s">
        <v>12</v>
      </c>
      <c r="D369" s="6" t="s">
        <v>12</v>
      </c>
      <c r="E369" s="6" t="s">
        <v>13</v>
      </c>
      <c r="F369" s="6" t="s">
        <v>13</v>
      </c>
      <c r="G369" s="6" t="s">
        <v>13</v>
      </c>
      <c r="H369" s="21" t="s">
        <v>13</v>
      </c>
      <c r="I369" t="str">
        <f>VLOOKUP(A369,All!A:A,1,FALSE)</f>
        <v>Geneva</v>
      </c>
    </row>
    <row r="370" spans="1:9" ht="15.75" thickBot="1" x14ac:dyDescent="0.3">
      <c r="A370" s="18" t="s">
        <v>458</v>
      </c>
      <c r="B370" s="3">
        <v>477</v>
      </c>
      <c r="C370" s="4" t="s">
        <v>13</v>
      </c>
      <c r="D370" s="4" t="s">
        <v>13</v>
      </c>
      <c r="E370" s="4" t="s">
        <v>9</v>
      </c>
      <c r="F370" s="4"/>
      <c r="G370" s="4"/>
      <c r="H370" s="19" t="s">
        <v>9</v>
      </c>
      <c r="I370" t="str">
        <f>VLOOKUP(A370,All!A:A,1,FALSE)</f>
        <v>Genoa (G.-Kingston)</v>
      </c>
    </row>
    <row r="371" spans="1:9" ht="15.75" thickBot="1" x14ac:dyDescent="0.3">
      <c r="A371" s="20" t="s">
        <v>459</v>
      </c>
      <c r="B371" s="7">
        <v>230</v>
      </c>
      <c r="C371" s="6" t="s">
        <v>9</v>
      </c>
      <c r="D371" s="6" t="s">
        <v>9</v>
      </c>
      <c r="E371" s="6"/>
      <c r="F371" s="6"/>
      <c r="G371" s="6" t="s">
        <v>9</v>
      </c>
      <c r="H371" s="21"/>
      <c r="I371" t="str">
        <f>VLOOKUP(A371,All!A:A,1,FALSE)</f>
        <v>Georgetown (G.-Ridge Farm)</v>
      </c>
    </row>
    <row r="372" spans="1:9" ht="15.75" thickBot="1" x14ac:dyDescent="0.3">
      <c r="A372" s="18" t="s">
        <v>946</v>
      </c>
      <c r="B372" s="3" t="s">
        <v>174</v>
      </c>
      <c r="C372" s="11" t="s">
        <v>9</v>
      </c>
      <c r="D372" s="4"/>
      <c r="E372" s="4"/>
      <c r="F372" s="4"/>
      <c r="G372" s="4"/>
      <c r="H372" s="19"/>
      <c r="I372" t="str">
        <f>VLOOKUP(A372,All!A:A,1,FALSE)</f>
        <v>Georgetown (La Salette)</v>
      </c>
    </row>
    <row r="373" spans="1:9" ht="15.75" thickBot="1" x14ac:dyDescent="0.3">
      <c r="A373" s="20" t="s">
        <v>460</v>
      </c>
      <c r="B373" s="7">
        <v>269</v>
      </c>
      <c r="C373" s="6" t="s">
        <v>9</v>
      </c>
      <c r="D373" s="6" t="s">
        <v>9</v>
      </c>
      <c r="E373" s="6"/>
      <c r="F373" s="6"/>
      <c r="G373" s="6" t="s">
        <v>9</v>
      </c>
      <c r="H373" s="22" t="s">
        <v>9</v>
      </c>
      <c r="I373" t="str">
        <f>VLOOKUP(A373,All!A:A,1,FALSE)</f>
        <v>Gibson City (G.C.-Melvin-Sibley)</v>
      </c>
    </row>
    <row r="374" spans="1:9" ht="15.75" thickBot="1" x14ac:dyDescent="0.3">
      <c r="A374" s="18" t="s">
        <v>461</v>
      </c>
      <c r="B374" s="3">
        <v>327</v>
      </c>
      <c r="C374" s="4" t="s">
        <v>13</v>
      </c>
      <c r="D374" s="4" t="s">
        <v>13</v>
      </c>
      <c r="E374" s="4"/>
      <c r="F374" s="4"/>
      <c r="G374" s="4" t="s">
        <v>9</v>
      </c>
      <c r="H374" s="19"/>
      <c r="I374" t="str">
        <f>VLOOKUP(A374,All!A:A,1,FALSE)</f>
        <v>Gillespie</v>
      </c>
    </row>
    <row r="375" spans="1:9" ht="15.75" thickBot="1" x14ac:dyDescent="0.3">
      <c r="A375" s="20" t="s">
        <v>462</v>
      </c>
      <c r="B375" s="7">
        <v>243</v>
      </c>
      <c r="C375" s="6" t="s">
        <v>9</v>
      </c>
      <c r="D375" s="6" t="s">
        <v>9</v>
      </c>
      <c r="E375" s="6"/>
      <c r="F375" s="6"/>
      <c r="G375" s="6" t="s">
        <v>9</v>
      </c>
      <c r="H375" s="21"/>
      <c r="I375" t="str">
        <f>VLOOKUP(A375,All!A:A,1,FALSE)</f>
        <v>Gilman (Iroquois West)</v>
      </c>
    </row>
    <row r="376" spans="1:9" ht="15.75" thickBot="1" x14ac:dyDescent="0.3">
      <c r="A376" s="18" t="s">
        <v>463</v>
      </c>
      <c r="B376" s="3">
        <v>237</v>
      </c>
      <c r="C376" s="4" t="s">
        <v>9</v>
      </c>
      <c r="D376" s="4" t="s">
        <v>9</v>
      </c>
      <c r="E376" s="4" t="s">
        <v>9</v>
      </c>
      <c r="F376" s="4"/>
      <c r="G376" s="4" t="s">
        <v>9</v>
      </c>
      <c r="H376" s="19" t="s">
        <v>9</v>
      </c>
      <c r="I376" t="str">
        <f>VLOOKUP(A376,All!A:A,1,FALSE)</f>
        <v>Glasford (Illini Bluffs)</v>
      </c>
    </row>
    <row r="377" spans="1:9" ht="15.75" thickBot="1" x14ac:dyDescent="0.3">
      <c r="A377" s="20" t="s">
        <v>464</v>
      </c>
      <c r="B377" s="7" t="s">
        <v>465</v>
      </c>
      <c r="C377" s="10" t="s">
        <v>13</v>
      </c>
      <c r="D377" s="10" t="s">
        <v>13</v>
      </c>
      <c r="E377" s="6"/>
      <c r="F377" s="6"/>
      <c r="G377" s="11" t="s">
        <v>9</v>
      </c>
      <c r="H377" s="21"/>
      <c r="I377" t="str">
        <f>VLOOKUP(A377,All!A:A,1,FALSE)</f>
        <v>Glen Carbon (Father McGivney)</v>
      </c>
    </row>
    <row r="378" spans="1:9" ht="15.75" thickBot="1" x14ac:dyDescent="0.3">
      <c r="A378" s="18" t="s">
        <v>466</v>
      </c>
      <c r="B378" s="8">
        <v>1091</v>
      </c>
      <c r="C378" s="4" t="s">
        <v>12</v>
      </c>
      <c r="D378" s="4" t="s">
        <v>12</v>
      </c>
      <c r="E378" s="4" t="s">
        <v>905</v>
      </c>
      <c r="F378" s="4" t="s">
        <v>13</v>
      </c>
      <c r="G378" s="4" t="s">
        <v>13</v>
      </c>
      <c r="H378" s="19" t="s">
        <v>13</v>
      </c>
      <c r="I378" t="str">
        <f>VLOOKUP(A378,All!A:A,1,FALSE)</f>
        <v>Glen Ellyn (Glenbard South)</v>
      </c>
    </row>
    <row r="379" spans="1:9" ht="15.75" thickBot="1" x14ac:dyDescent="0.3">
      <c r="A379" s="20" t="s">
        <v>467</v>
      </c>
      <c r="B379" s="5">
        <v>2299</v>
      </c>
      <c r="C379" s="6" t="s">
        <v>11</v>
      </c>
      <c r="D379" s="6" t="s">
        <v>11</v>
      </c>
      <c r="E379" s="6" t="s">
        <v>905</v>
      </c>
      <c r="F379" s="6" t="s">
        <v>12</v>
      </c>
      <c r="G379" s="6" t="s">
        <v>13</v>
      </c>
      <c r="H379" s="21" t="s">
        <v>12</v>
      </c>
      <c r="I379" t="str">
        <f>VLOOKUP(A379,All!A:A,1,FALSE)</f>
        <v>Glen Ellyn (Glenbard West)</v>
      </c>
    </row>
    <row r="380" spans="1:9" ht="15.75" thickBot="1" x14ac:dyDescent="0.3">
      <c r="A380" s="18" t="s">
        <v>468</v>
      </c>
      <c r="B380" s="8">
        <v>2921</v>
      </c>
      <c r="C380" s="4" t="s">
        <v>11</v>
      </c>
      <c r="D380" s="4" t="s">
        <v>11</v>
      </c>
      <c r="E380" s="4" t="s">
        <v>12</v>
      </c>
      <c r="F380" s="4" t="s">
        <v>12</v>
      </c>
      <c r="G380" s="4" t="s">
        <v>13</v>
      </c>
      <c r="H380" s="19" t="s">
        <v>12</v>
      </c>
      <c r="I380" t="str">
        <f>VLOOKUP(A380,All!A:A,1,FALSE)</f>
        <v>Glenview (Glenbrook South)</v>
      </c>
    </row>
    <row r="381" spans="1:9" ht="15.75" thickBot="1" x14ac:dyDescent="0.3">
      <c r="A381" s="20" t="s">
        <v>469</v>
      </c>
      <c r="B381" s="7">
        <v>140</v>
      </c>
      <c r="C381" s="6" t="s">
        <v>9</v>
      </c>
      <c r="D381" s="6" t="s">
        <v>9</v>
      </c>
      <c r="E381" s="6"/>
      <c r="F381" s="6"/>
      <c r="G381" s="6"/>
      <c r="H381" s="21"/>
      <c r="I381" t="str">
        <f>VLOOKUP(A381,All!A:A,1,FALSE)</f>
        <v>Golconda (Pope County)</v>
      </c>
    </row>
    <row r="382" spans="1:9" ht="15.75" thickBot="1" x14ac:dyDescent="0.3">
      <c r="A382" s="18" t="s">
        <v>470</v>
      </c>
      <c r="B382" s="3">
        <v>165</v>
      </c>
      <c r="C382" s="4" t="s">
        <v>9</v>
      </c>
      <c r="D382" s="4" t="s">
        <v>9</v>
      </c>
      <c r="E382" s="4"/>
      <c r="F382" s="4"/>
      <c r="G382" s="4" t="s">
        <v>9</v>
      </c>
      <c r="H382" s="22" t="s">
        <v>9</v>
      </c>
      <c r="I382" t="str">
        <f>VLOOKUP(A382,All!A:A,1,FALSE)</f>
        <v>Goreville</v>
      </c>
    </row>
    <row r="383" spans="1:9" ht="15.75" thickBot="1" x14ac:dyDescent="0.3">
      <c r="A383" s="20" t="s">
        <v>471</v>
      </c>
      <c r="B383" s="5">
        <v>1652</v>
      </c>
      <c r="C383" s="6" t="s">
        <v>11</v>
      </c>
      <c r="D383" s="6" t="s">
        <v>11</v>
      </c>
      <c r="E383" s="6" t="s">
        <v>905</v>
      </c>
      <c r="F383" s="6"/>
      <c r="G383" s="6" t="s">
        <v>13</v>
      </c>
      <c r="H383" s="21" t="s">
        <v>13</v>
      </c>
      <c r="I383" t="str">
        <f>VLOOKUP(A383,All!A:A,1,FALSE)</f>
        <v>Granite City</v>
      </c>
    </row>
    <row r="384" spans="1:9" ht="15.75" thickBot="1" x14ac:dyDescent="0.3">
      <c r="A384" s="18" t="s">
        <v>472</v>
      </c>
      <c r="B384" s="3">
        <v>125</v>
      </c>
      <c r="C384" s="4" t="s">
        <v>9</v>
      </c>
      <c r="D384" s="4" t="s">
        <v>9</v>
      </c>
      <c r="E384" s="4"/>
      <c r="F384" s="4"/>
      <c r="G384" s="4" t="s">
        <v>9</v>
      </c>
      <c r="H384" s="19"/>
      <c r="I384" t="str">
        <f>VLOOKUP(A384,All!A:A,1,FALSE)</f>
        <v>Grant Park</v>
      </c>
    </row>
    <row r="385" spans="1:9" ht="15.75" thickBot="1" x14ac:dyDescent="0.3">
      <c r="A385" s="20" t="s">
        <v>473</v>
      </c>
      <c r="B385" s="7">
        <v>236</v>
      </c>
      <c r="C385" s="6" t="s">
        <v>9</v>
      </c>
      <c r="D385" s="6" t="s">
        <v>9</v>
      </c>
      <c r="E385" s="6"/>
      <c r="F385" s="6" t="s">
        <v>9</v>
      </c>
      <c r="G385" s="6" t="s">
        <v>9</v>
      </c>
      <c r="H385" s="22" t="s">
        <v>9</v>
      </c>
      <c r="I385" t="str">
        <f>VLOOKUP(A385,All!A:A,1,FALSE)</f>
        <v>Granville (Putnam County)</v>
      </c>
    </row>
    <row r="386" spans="1:9" ht="15.75" thickBot="1" x14ac:dyDescent="0.3">
      <c r="A386" s="18" t="s">
        <v>474</v>
      </c>
      <c r="B386" s="8">
        <v>1325</v>
      </c>
      <c r="C386" s="4" t="s">
        <v>12</v>
      </c>
      <c r="D386" s="4" t="s">
        <v>12</v>
      </c>
      <c r="E386" s="4" t="s">
        <v>13</v>
      </c>
      <c r="F386" s="4" t="s">
        <v>13</v>
      </c>
      <c r="G386" s="4" t="s">
        <v>13</v>
      </c>
      <c r="H386" s="19" t="s">
        <v>13</v>
      </c>
      <c r="I386" t="str">
        <f>VLOOKUP(A386,All!A:A,1,FALSE)</f>
        <v>Grayslake (Central)</v>
      </c>
    </row>
    <row r="387" spans="1:9" ht="15.75" thickBot="1" x14ac:dyDescent="0.3">
      <c r="A387" s="20" t="s">
        <v>475</v>
      </c>
      <c r="B387" s="5">
        <v>1164</v>
      </c>
      <c r="C387" s="6" t="s">
        <v>12</v>
      </c>
      <c r="D387" s="6" t="s">
        <v>12</v>
      </c>
      <c r="E387" s="6" t="s">
        <v>13</v>
      </c>
      <c r="F387" s="6" t="s">
        <v>13</v>
      </c>
      <c r="G387" s="6" t="s">
        <v>13</v>
      </c>
      <c r="H387" s="21" t="s">
        <v>13</v>
      </c>
      <c r="I387" t="str">
        <f>VLOOKUP(A387,All!A:A,1,FALSE)</f>
        <v>Grayslake (North)</v>
      </c>
    </row>
    <row r="388" spans="1:9" ht="15.75" thickBot="1" x14ac:dyDescent="0.3">
      <c r="A388" s="18" t="s">
        <v>476</v>
      </c>
      <c r="B388" s="3">
        <v>84</v>
      </c>
      <c r="C388" s="4" t="s">
        <v>9</v>
      </c>
      <c r="D388" s="4"/>
      <c r="E388" s="4"/>
      <c r="F388" s="4"/>
      <c r="G388" s="4" t="s">
        <v>9</v>
      </c>
      <c r="H388" s="19"/>
      <c r="I388" t="str">
        <f>VLOOKUP(A388,All!A:A,1,FALSE)</f>
        <v>Grayville</v>
      </c>
    </row>
    <row r="389" spans="1:9" ht="15.75" thickBot="1" x14ac:dyDescent="0.3">
      <c r="A389" s="20" t="s">
        <v>477</v>
      </c>
      <c r="B389" s="7">
        <v>105</v>
      </c>
      <c r="C389" s="6" t="s">
        <v>9</v>
      </c>
      <c r="D389" s="6" t="s">
        <v>9</v>
      </c>
      <c r="E389" s="6"/>
      <c r="F389" s="6"/>
      <c r="G389" s="6" t="s">
        <v>9</v>
      </c>
      <c r="H389" s="21"/>
      <c r="I389" t="str">
        <f>VLOOKUP(A389,All!A:A,1,FALSE)</f>
        <v>Greenfield</v>
      </c>
    </row>
    <row r="390" spans="1:9" ht="15.75" thickBot="1" x14ac:dyDescent="0.3">
      <c r="A390" s="18" t="s">
        <v>478</v>
      </c>
      <c r="B390" s="3">
        <v>69</v>
      </c>
      <c r="C390" s="4" t="s">
        <v>9</v>
      </c>
      <c r="D390" s="4"/>
      <c r="E390" s="4"/>
      <c r="F390" s="4"/>
      <c r="G390" s="4" t="s">
        <v>9</v>
      </c>
      <c r="H390" s="19"/>
      <c r="I390" t="str">
        <f>VLOOKUP(A390,All!A:A,1,FALSE)</f>
        <v>Greenview</v>
      </c>
    </row>
    <row r="391" spans="1:9" ht="15.75" thickBot="1" x14ac:dyDescent="0.3">
      <c r="A391" s="25" t="s">
        <v>0</v>
      </c>
      <c r="B391" s="1" t="s">
        <v>1</v>
      </c>
      <c r="C391" s="2" t="s">
        <v>899</v>
      </c>
      <c r="D391" s="2" t="s">
        <v>900</v>
      </c>
      <c r="E391" s="2" t="s">
        <v>901</v>
      </c>
      <c r="F391" s="2" t="s">
        <v>902</v>
      </c>
      <c r="G391" s="2" t="s">
        <v>903</v>
      </c>
      <c r="H391" s="26" t="s">
        <v>904</v>
      </c>
      <c r="I391" t="str">
        <f>VLOOKUP(A391,All!A:A,1,FALSE)</f>
        <v>School</v>
      </c>
    </row>
    <row r="392" spans="1:9" ht="15.75" thickBot="1" x14ac:dyDescent="0.3">
      <c r="A392" s="20" t="s">
        <v>479</v>
      </c>
      <c r="B392" s="7">
        <v>471</v>
      </c>
      <c r="C392" s="6" t="s">
        <v>13</v>
      </c>
      <c r="D392" s="6" t="s">
        <v>13</v>
      </c>
      <c r="E392" s="6" t="s">
        <v>9</v>
      </c>
      <c r="F392" s="6"/>
      <c r="G392" s="6" t="s">
        <v>13</v>
      </c>
      <c r="H392" s="21"/>
      <c r="I392" t="str">
        <f>VLOOKUP(A392,All!A:A,1,FALSE)</f>
        <v>Greenville</v>
      </c>
    </row>
    <row r="393" spans="1:9" ht="15.75" thickBot="1" x14ac:dyDescent="0.3">
      <c r="A393" s="18" t="s">
        <v>480</v>
      </c>
      <c r="B393" s="3">
        <v>87</v>
      </c>
      <c r="C393" s="9" t="s">
        <v>9</v>
      </c>
      <c r="D393" s="4"/>
      <c r="E393" s="4"/>
      <c r="F393" s="4"/>
      <c r="G393" s="4"/>
      <c r="H393" s="19"/>
      <c r="I393" t="str">
        <f>VLOOKUP(A393,All!A:A,1,FALSE)</f>
        <v>Griggsville (G.-Perry)</v>
      </c>
    </row>
    <row r="394" spans="1:9" ht="15.75" thickBot="1" x14ac:dyDescent="0.3">
      <c r="A394" s="20" t="s">
        <v>481</v>
      </c>
      <c r="B394" s="5">
        <v>3398</v>
      </c>
      <c r="C394" s="6" t="s">
        <v>11</v>
      </c>
      <c r="D394" s="6" t="s">
        <v>11</v>
      </c>
      <c r="E394" s="6" t="s">
        <v>905</v>
      </c>
      <c r="F394" s="6" t="s">
        <v>12</v>
      </c>
      <c r="G394" s="6" t="s">
        <v>13</v>
      </c>
      <c r="H394" s="21" t="s">
        <v>12</v>
      </c>
      <c r="I394" t="str">
        <f>VLOOKUP(A394,All!A:A,1,FALSE)</f>
        <v>Gurnee (Warren)</v>
      </c>
    </row>
    <row r="395" spans="1:9" ht="15.75" thickBot="1" x14ac:dyDescent="0.3">
      <c r="A395" s="18" t="s">
        <v>482</v>
      </c>
      <c r="B395" s="3">
        <v>189</v>
      </c>
      <c r="C395" s="4"/>
      <c r="D395" s="9" t="s">
        <v>13</v>
      </c>
      <c r="E395" s="4"/>
      <c r="F395" s="4"/>
      <c r="G395" s="4" t="s">
        <v>9</v>
      </c>
      <c r="H395" s="19"/>
      <c r="I395" t="str">
        <f>VLOOKUP(A395,All!A:A,1,FALSE)</f>
        <v>Hamilton</v>
      </c>
    </row>
    <row r="396" spans="1:9" ht="15.75" thickBot="1" x14ac:dyDescent="0.3">
      <c r="A396" s="20" t="s">
        <v>483</v>
      </c>
      <c r="B396" s="5">
        <v>1994</v>
      </c>
      <c r="C396" s="6" t="s">
        <v>11</v>
      </c>
      <c r="D396" s="6" t="s">
        <v>11</v>
      </c>
      <c r="E396" s="6" t="s">
        <v>12</v>
      </c>
      <c r="F396" s="6" t="s">
        <v>12</v>
      </c>
      <c r="G396" s="6" t="s">
        <v>13</v>
      </c>
      <c r="H396" s="21" t="s">
        <v>12</v>
      </c>
      <c r="I396" t="str">
        <f>VLOOKUP(A396,All!A:A,1,FALSE)</f>
        <v>Hampshire</v>
      </c>
    </row>
    <row r="397" spans="1:9" ht="15.75" thickBot="1" x14ac:dyDescent="0.3">
      <c r="A397" s="18" t="s">
        <v>484</v>
      </c>
      <c r="B397" s="3">
        <v>126</v>
      </c>
      <c r="C397" s="4" t="s">
        <v>9</v>
      </c>
      <c r="D397" s="9" t="s">
        <v>9</v>
      </c>
      <c r="E397" s="4"/>
      <c r="F397" s="4"/>
      <c r="G397" s="4" t="s">
        <v>9</v>
      </c>
      <c r="H397" s="19"/>
      <c r="I397" t="str">
        <f>VLOOKUP(A397,All!A:A,1,FALSE)</f>
        <v>Hanover (River Ridge)</v>
      </c>
    </row>
    <row r="398" spans="1:9" ht="15.75" thickBot="1" x14ac:dyDescent="0.3">
      <c r="A398" s="20" t="s">
        <v>485</v>
      </c>
      <c r="B398" s="7">
        <v>170</v>
      </c>
      <c r="C398" s="9" t="s">
        <v>9</v>
      </c>
      <c r="D398" s="9" t="s">
        <v>9</v>
      </c>
      <c r="E398" s="6"/>
      <c r="F398" s="6"/>
      <c r="G398" s="6" t="s">
        <v>9</v>
      </c>
      <c r="H398" s="21"/>
      <c r="I398" t="str">
        <f>VLOOKUP(A398,All!A:A,1,FALSE)</f>
        <v>Hardin (Calhoun)</v>
      </c>
    </row>
    <row r="399" spans="1:9" ht="15.75" thickBot="1" x14ac:dyDescent="0.3">
      <c r="A399" s="18" t="s">
        <v>486</v>
      </c>
      <c r="B399" s="3">
        <v>482</v>
      </c>
      <c r="C399" s="4" t="s">
        <v>13</v>
      </c>
      <c r="D399" s="4" t="s">
        <v>13</v>
      </c>
      <c r="E399" s="4" t="s">
        <v>9</v>
      </c>
      <c r="F399" s="4"/>
      <c r="G399" s="4" t="s">
        <v>13</v>
      </c>
      <c r="H399" s="19" t="s">
        <v>9</v>
      </c>
      <c r="I399" t="str">
        <f>VLOOKUP(A399,All!A:A,1,FALSE)</f>
        <v>Harrisburg</v>
      </c>
    </row>
    <row r="400" spans="1:9" ht="15.75" thickBot="1" x14ac:dyDescent="0.3">
      <c r="A400" s="20" t="s">
        <v>487</v>
      </c>
      <c r="B400" s="7">
        <v>51</v>
      </c>
      <c r="C400" s="6" t="s">
        <v>9</v>
      </c>
      <c r="D400" s="6"/>
      <c r="E400" s="6"/>
      <c r="F400" s="6"/>
      <c r="G400" s="6"/>
      <c r="H400" s="21"/>
      <c r="I400" t="str">
        <f>VLOOKUP(A400,All!A:A,1,FALSE)</f>
        <v>Hartsburg (H.-Emden)</v>
      </c>
    </row>
    <row r="401" spans="1:9" ht="15.75" thickBot="1" x14ac:dyDescent="0.3">
      <c r="A401" s="18" t="s">
        <v>488</v>
      </c>
      <c r="B401" s="3">
        <v>803</v>
      </c>
      <c r="C401" s="4" t="s">
        <v>12</v>
      </c>
      <c r="D401" s="4" t="s">
        <v>12</v>
      </c>
      <c r="E401" s="4" t="s">
        <v>13</v>
      </c>
      <c r="F401" s="4"/>
      <c r="G401" s="4" t="s">
        <v>13</v>
      </c>
      <c r="H401" s="19" t="s">
        <v>13</v>
      </c>
      <c r="I401" t="str">
        <f>VLOOKUP(A401,All!A:A,1,FALSE)</f>
        <v>Harvard</v>
      </c>
    </row>
    <row r="402" spans="1:9" ht="15.75" thickBot="1" x14ac:dyDescent="0.3">
      <c r="A402" s="20" t="s">
        <v>489</v>
      </c>
      <c r="B402" s="5">
        <v>1530</v>
      </c>
      <c r="C402" s="6" t="s">
        <v>12</v>
      </c>
      <c r="D402" s="6" t="s">
        <v>12</v>
      </c>
      <c r="E402" s="6" t="s">
        <v>905</v>
      </c>
      <c r="F402" s="6"/>
      <c r="G402" s="6" t="s">
        <v>13</v>
      </c>
      <c r="H402" s="22" t="s">
        <v>12</v>
      </c>
      <c r="I402" t="str">
        <f>VLOOKUP(A402,All!A:A,1,FALSE)</f>
        <v>Harvey (Thornton)</v>
      </c>
    </row>
    <row r="403" spans="1:9" ht="15.75" thickBot="1" x14ac:dyDescent="0.3">
      <c r="A403" s="18" t="s">
        <v>490</v>
      </c>
      <c r="B403" s="3">
        <v>242</v>
      </c>
      <c r="C403" s="4" t="s">
        <v>9</v>
      </c>
      <c r="D403" s="4" t="s">
        <v>9</v>
      </c>
      <c r="E403" s="4"/>
      <c r="F403" s="4"/>
      <c r="G403" s="4" t="s">
        <v>9</v>
      </c>
      <c r="H403" s="19"/>
      <c r="I403" t="str">
        <f>VLOOKUP(A403,All!A:A,1,FALSE)</f>
        <v>Havana</v>
      </c>
    </row>
    <row r="404" spans="1:9" ht="15.75" thickBot="1" x14ac:dyDescent="0.3">
      <c r="A404" s="20" t="s">
        <v>491</v>
      </c>
      <c r="B404" s="7">
        <v>109</v>
      </c>
      <c r="C404" s="6" t="s">
        <v>9</v>
      </c>
      <c r="D404" s="6" t="s">
        <v>9</v>
      </c>
      <c r="E404" s="6"/>
      <c r="F404" s="6"/>
      <c r="G404" s="6"/>
      <c r="H404" s="21" t="s">
        <v>9</v>
      </c>
      <c r="I404" t="str">
        <f>VLOOKUP(A404,All!A:A,1,FALSE)</f>
        <v>Hebron (Alden-H.)</v>
      </c>
    </row>
    <row r="405" spans="1:9" ht="15.75" thickBot="1" x14ac:dyDescent="0.3">
      <c r="A405" s="18" t="s">
        <v>492</v>
      </c>
      <c r="B405" s="3">
        <v>141</v>
      </c>
      <c r="C405" s="4" t="s">
        <v>9</v>
      </c>
      <c r="D405" s="4" t="s">
        <v>9</v>
      </c>
      <c r="E405" s="4"/>
      <c r="F405" s="4"/>
      <c r="G405" s="4" t="s">
        <v>9</v>
      </c>
      <c r="H405" s="19"/>
      <c r="I405" t="str">
        <f>VLOOKUP(A405,All!A:A,1,FALSE)</f>
        <v>Henry (H.-Senachwine)</v>
      </c>
    </row>
    <row r="406" spans="1:9" ht="15.75" thickBot="1" x14ac:dyDescent="0.3">
      <c r="A406" s="20" t="s">
        <v>493</v>
      </c>
      <c r="B406" s="7">
        <v>635</v>
      </c>
      <c r="C406" s="6" t="s">
        <v>13</v>
      </c>
      <c r="D406" s="6" t="s">
        <v>13</v>
      </c>
      <c r="E406" s="6" t="s">
        <v>9</v>
      </c>
      <c r="F406" s="6" t="s">
        <v>9</v>
      </c>
      <c r="G406" s="6" t="s">
        <v>13</v>
      </c>
      <c r="H406" s="21" t="s">
        <v>9</v>
      </c>
      <c r="I406" t="str">
        <f>VLOOKUP(A406,All!A:A,1,FALSE)</f>
        <v>Herrin (H.S.)</v>
      </c>
    </row>
    <row r="407" spans="1:9" ht="15.75" thickBot="1" x14ac:dyDescent="0.3">
      <c r="A407" s="18" t="s">
        <v>494</v>
      </c>
      <c r="B407" s="3">
        <v>516</v>
      </c>
      <c r="C407" s="4" t="s">
        <v>13</v>
      </c>
      <c r="D407" s="4" t="s">
        <v>13</v>
      </c>
      <c r="E407" s="4" t="s">
        <v>9</v>
      </c>
      <c r="F407" s="4"/>
      <c r="G407" s="4" t="s">
        <v>13</v>
      </c>
      <c r="H407" s="19" t="s">
        <v>9</v>
      </c>
      <c r="I407" t="str">
        <f>VLOOKUP(A407,All!A:A,1,FALSE)</f>
        <v>Herscher</v>
      </c>
    </row>
    <row r="408" spans="1:9" ht="15.75" thickBot="1" x14ac:dyDescent="0.3">
      <c r="A408" s="20" t="s">
        <v>495</v>
      </c>
      <c r="B408" s="7">
        <v>260</v>
      </c>
      <c r="C408" s="6" t="s">
        <v>9</v>
      </c>
      <c r="D408" s="6" t="s">
        <v>9</v>
      </c>
      <c r="E408" s="6" t="s">
        <v>9</v>
      </c>
      <c r="F408" s="6"/>
      <c r="G408" s="6" t="s">
        <v>9</v>
      </c>
      <c r="H408" s="21" t="s">
        <v>9</v>
      </c>
      <c r="I408" t="str">
        <f>VLOOKUP(A408,All!A:A,1,FALSE)</f>
        <v>Heyworth</v>
      </c>
    </row>
    <row r="409" spans="1:9" ht="15.75" thickBot="1" x14ac:dyDescent="0.3">
      <c r="A409" s="18" t="s">
        <v>496</v>
      </c>
      <c r="B409" s="3">
        <v>838</v>
      </c>
      <c r="C409" s="4" t="s">
        <v>12</v>
      </c>
      <c r="D409" s="4" t="s">
        <v>12</v>
      </c>
      <c r="E409" s="4" t="s">
        <v>13</v>
      </c>
      <c r="F409" s="4" t="s">
        <v>9</v>
      </c>
      <c r="G409" s="4" t="s">
        <v>13</v>
      </c>
      <c r="H409" s="19" t="s">
        <v>13</v>
      </c>
      <c r="I409" t="str">
        <f>VLOOKUP(A409,All!A:A,1,FALSE)</f>
        <v>Highland</v>
      </c>
    </row>
    <row r="410" spans="1:9" ht="15.75" thickBot="1" x14ac:dyDescent="0.3">
      <c r="A410" s="20" t="s">
        <v>497</v>
      </c>
      <c r="B410" s="5">
        <v>1609</v>
      </c>
      <c r="C410" s="6" t="s">
        <v>11</v>
      </c>
      <c r="D410" s="6" t="s">
        <v>11</v>
      </c>
      <c r="E410" s="6"/>
      <c r="F410" s="6"/>
      <c r="G410" s="6" t="s">
        <v>13</v>
      </c>
      <c r="H410" s="21" t="s">
        <v>13</v>
      </c>
      <c r="I410" t="str">
        <f>VLOOKUP(A410,All!A:A,1,FALSE)</f>
        <v>Highland Park</v>
      </c>
    </row>
    <row r="411" spans="1:9" ht="15.75" thickBot="1" x14ac:dyDescent="0.3">
      <c r="A411" s="18" t="s">
        <v>498</v>
      </c>
      <c r="B411" s="3">
        <v>427</v>
      </c>
      <c r="C411" s="4" t="s">
        <v>13</v>
      </c>
      <c r="D411" s="4" t="s">
        <v>13</v>
      </c>
      <c r="E411" s="4" t="s">
        <v>9</v>
      </c>
      <c r="F411" s="4"/>
      <c r="G411" s="4" t="s">
        <v>9</v>
      </c>
      <c r="H411" s="19" t="s">
        <v>9</v>
      </c>
      <c r="I411" t="str">
        <f>VLOOKUP(A411,All!A:A,1,FALSE)</f>
        <v>Hillsboro</v>
      </c>
    </row>
    <row r="412" spans="1:9" ht="15.75" thickBot="1" x14ac:dyDescent="0.3">
      <c r="A412" s="20" t="s">
        <v>499</v>
      </c>
      <c r="B412" s="5">
        <v>2166</v>
      </c>
      <c r="C412" s="6" t="s">
        <v>11</v>
      </c>
      <c r="D412" s="6" t="s">
        <v>11</v>
      </c>
      <c r="E412" s="6"/>
      <c r="F412" s="6"/>
      <c r="G412" s="6" t="s">
        <v>13</v>
      </c>
      <c r="H412" s="21" t="s">
        <v>12</v>
      </c>
      <c r="I412" t="str">
        <f>VLOOKUP(A412,All!A:A,1,FALSE)</f>
        <v>Hillside (Proviso West)</v>
      </c>
    </row>
    <row r="413" spans="1:9" ht="15.75" thickBot="1" x14ac:dyDescent="0.3">
      <c r="A413" s="18" t="s">
        <v>500</v>
      </c>
      <c r="B413" s="3">
        <v>209</v>
      </c>
      <c r="C413" s="4" t="s">
        <v>9</v>
      </c>
      <c r="D413" s="4" t="s">
        <v>9</v>
      </c>
      <c r="E413" s="4"/>
      <c r="F413" s="4"/>
      <c r="G413" s="4"/>
      <c r="H413" s="19"/>
      <c r="I413" t="str">
        <f>VLOOKUP(A413,All!A:A,1,FALSE)</f>
        <v>Hinckley (H.-Big Rock)</v>
      </c>
    </row>
    <row r="414" spans="1:9" ht="15.75" thickBot="1" x14ac:dyDescent="0.3">
      <c r="A414" s="20" t="s">
        <v>501</v>
      </c>
      <c r="B414" s="5">
        <v>2401</v>
      </c>
      <c r="C414" s="6" t="s">
        <v>11</v>
      </c>
      <c r="D414" s="6" t="s">
        <v>11</v>
      </c>
      <c r="E414" s="6" t="s">
        <v>12</v>
      </c>
      <c r="F414" s="6"/>
      <c r="G414" s="6" t="s">
        <v>13</v>
      </c>
      <c r="H414" s="21" t="s">
        <v>12</v>
      </c>
      <c r="I414" t="str">
        <f>VLOOKUP(A414,All!A:A,1,FALSE)</f>
        <v>Hinsdale (Central)</v>
      </c>
    </row>
    <row r="415" spans="1:9" ht="15.75" thickBot="1" x14ac:dyDescent="0.3">
      <c r="A415" s="18" t="s">
        <v>502</v>
      </c>
      <c r="B415" s="8">
        <v>2610</v>
      </c>
      <c r="C415" s="4" t="s">
        <v>11</v>
      </c>
      <c r="D415" s="4" t="s">
        <v>11</v>
      </c>
      <c r="E415" s="4" t="s">
        <v>905</v>
      </c>
      <c r="F415" s="4" t="s">
        <v>12</v>
      </c>
      <c r="G415" s="4" t="s">
        <v>13</v>
      </c>
      <c r="H415" s="19" t="s">
        <v>12</v>
      </c>
      <c r="I415" t="str">
        <f>VLOOKUP(A415,All!A:A,1,FALSE)</f>
        <v>Hoffman Estates (Conant)</v>
      </c>
    </row>
    <row r="416" spans="1:9" ht="15.75" thickBot="1" x14ac:dyDescent="0.3">
      <c r="A416" s="20" t="s">
        <v>503</v>
      </c>
      <c r="B416" s="5">
        <v>2168</v>
      </c>
      <c r="C416" s="6" t="s">
        <v>11</v>
      </c>
      <c r="D416" s="6" t="s">
        <v>11</v>
      </c>
      <c r="E416" s="6" t="s">
        <v>12</v>
      </c>
      <c r="F416" s="6" t="s">
        <v>12</v>
      </c>
      <c r="G416" s="6" t="s">
        <v>13</v>
      </c>
      <c r="H416" s="21" t="s">
        <v>12</v>
      </c>
      <c r="I416" t="str">
        <f>VLOOKUP(A416,All!A:A,1,FALSE)</f>
        <v>Hoffman Estates (H.S.)</v>
      </c>
    </row>
    <row r="417" spans="1:9" ht="15.75" thickBot="1" x14ac:dyDescent="0.3">
      <c r="A417" s="25" t="s">
        <v>0</v>
      </c>
      <c r="B417" s="1" t="s">
        <v>1</v>
      </c>
      <c r="C417" s="2" t="s">
        <v>899</v>
      </c>
      <c r="D417" s="2" t="s">
        <v>900</v>
      </c>
      <c r="E417" s="2" t="s">
        <v>901</v>
      </c>
      <c r="F417" s="2" t="s">
        <v>902</v>
      </c>
      <c r="G417" s="2" t="s">
        <v>903</v>
      </c>
      <c r="H417" s="26" t="s">
        <v>904</v>
      </c>
      <c r="I417" t="str">
        <f>VLOOKUP(A417,All!A:A,1,FALSE)</f>
        <v>School</v>
      </c>
    </row>
    <row r="418" spans="1:9" ht="15.75" thickBot="1" x14ac:dyDescent="0.3">
      <c r="A418" s="18" t="s">
        <v>504</v>
      </c>
      <c r="B418" s="3">
        <v>299</v>
      </c>
      <c r="C418" s="4" t="s">
        <v>9</v>
      </c>
      <c r="D418" s="4" t="s">
        <v>9</v>
      </c>
      <c r="E418" s="4"/>
      <c r="F418" s="4"/>
      <c r="G418" s="4" t="s">
        <v>9</v>
      </c>
      <c r="H418" s="22" t="s">
        <v>9</v>
      </c>
      <c r="I418" t="str">
        <f>VLOOKUP(A418,All!A:A,1,FALSE)</f>
        <v>Hoopeston (H. Area)</v>
      </c>
    </row>
    <row r="419" spans="1:9" ht="15.75" thickBot="1" x14ac:dyDescent="0.3">
      <c r="A419" s="20" t="s">
        <v>505</v>
      </c>
      <c r="B419" s="7">
        <v>109</v>
      </c>
      <c r="C419" s="9" t="s">
        <v>9</v>
      </c>
      <c r="D419" s="9" t="s">
        <v>9</v>
      </c>
      <c r="E419" s="6"/>
      <c r="F419" s="6"/>
      <c r="G419" s="6"/>
      <c r="H419" s="21"/>
      <c r="I419" t="str">
        <f>VLOOKUP(A419,All!A:A,1,FALSE)</f>
        <v>Hume (Shiloh)</v>
      </c>
    </row>
    <row r="420" spans="1:9" ht="15.75" thickBot="1" x14ac:dyDescent="0.3">
      <c r="A420" s="18" t="s">
        <v>506</v>
      </c>
      <c r="B420" s="8">
        <v>2746</v>
      </c>
      <c r="C420" s="4" t="s">
        <v>11</v>
      </c>
      <c r="D420" s="4" t="s">
        <v>11</v>
      </c>
      <c r="E420" s="4" t="s">
        <v>12</v>
      </c>
      <c r="F420" s="4" t="s">
        <v>12</v>
      </c>
      <c r="G420" s="4" t="s">
        <v>13</v>
      </c>
      <c r="H420" s="19" t="s">
        <v>12</v>
      </c>
      <c r="I420" t="str">
        <f>VLOOKUP(A420,All!A:A,1,FALSE)</f>
        <v>Huntley</v>
      </c>
    </row>
    <row r="421" spans="1:9" ht="15.75" thickBot="1" x14ac:dyDescent="0.3">
      <c r="A421" s="20" t="s">
        <v>507</v>
      </c>
      <c r="B421" s="7">
        <v>77</v>
      </c>
      <c r="C421" s="9" t="s">
        <v>13</v>
      </c>
      <c r="D421" s="6"/>
      <c r="E421" s="6"/>
      <c r="F421" s="6"/>
      <c r="G421" s="6"/>
      <c r="H421" s="21"/>
      <c r="I421" t="str">
        <f>VLOOKUP(A421,All!A:A,1,FALSE)</f>
        <v>Hutsonville</v>
      </c>
    </row>
    <row r="422" spans="1:9" ht="15.75" thickBot="1" x14ac:dyDescent="0.3">
      <c r="A422" s="18" t="s">
        <v>508</v>
      </c>
      <c r="B422" s="3">
        <v>840</v>
      </c>
      <c r="C422" s="4" t="s">
        <v>12</v>
      </c>
      <c r="D422" s="4" t="s">
        <v>12</v>
      </c>
      <c r="E422" s="4" t="s">
        <v>13</v>
      </c>
      <c r="F422" s="4" t="s">
        <v>9</v>
      </c>
      <c r="G422" s="4" t="s">
        <v>13</v>
      </c>
      <c r="H422" s="19" t="s">
        <v>13</v>
      </c>
      <c r="I422" t="str">
        <f>VLOOKUP(A422,All!A:A,1,FALSE)</f>
        <v>Jacksonville (H.S.)</v>
      </c>
    </row>
    <row r="423" spans="1:9" ht="15.75" thickBot="1" x14ac:dyDescent="0.3">
      <c r="A423" s="20" t="s">
        <v>509</v>
      </c>
      <c r="B423" s="7" t="s">
        <v>510</v>
      </c>
      <c r="C423" s="10" t="s">
        <v>9</v>
      </c>
      <c r="D423" s="6"/>
      <c r="E423" s="6"/>
      <c r="F423" s="6"/>
      <c r="G423" s="6"/>
      <c r="H423" s="21"/>
      <c r="I423" t="str">
        <f>VLOOKUP(A423,All!A:A,1,FALSE)</f>
        <v>Jacksonville (Illinois School for the Deaf)</v>
      </c>
    </row>
    <row r="424" spans="1:9" ht="15.75" thickBot="1" x14ac:dyDescent="0.3">
      <c r="A424" s="18" t="s">
        <v>947</v>
      </c>
      <c r="B424" s="3" t="s">
        <v>948</v>
      </c>
      <c r="C424" s="4"/>
      <c r="D424" s="4"/>
      <c r="E424" s="4"/>
      <c r="F424" s="4"/>
      <c r="G424" s="4"/>
      <c r="H424" s="22" t="s">
        <v>9</v>
      </c>
      <c r="I424" t="str">
        <f>VLOOKUP(A424,All!A:A,1,FALSE)</f>
        <v>Jacksonville (Illinois School for the Visually Impaired)</v>
      </c>
    </row>
    <row r="425" spans="1:9" ht="15.75" thickBot="1" x14ac:dyDescent="0.3">
      <c r="A425" s="20" t="s">
        <v>511</v>
      </c>
      <c r="B425" s="7" t="s">
        <v>512</v>
      </c>
      <c r="C425" s="10" t="s">
        <v>9</v>
      </c>
      <c r="D425" s="6"/>
      <c r="E425" s="6"/>
      <c r="F425" s="6"/>
      <c r="G425" s="10" t="s">
        <v>9</v>
      </c>
      <c r="H425" s="21"/>
      <c r="I425" t="str">
        <f>VLOOKUP(A425,All!A:A,1,FALSE)</f>
        <v>Jacksonville (Routt)</v>
      </c>
    </row>
    <row r="426" spans="1:9" ht="15.75" thickBot="1" x14ac:dyDescent="0.3">
      <c r="A426" s="18" t="s">
        <v>513</v>
      </c>
      <c r="B426" s="3">
        <v>780</v>
      </c>
      <c r="C426" s="4" t="s">
        <v>12</v>
      </c>
      <c r="D426" s="4" t="s">
        <v>12</v>
      </c>
      <c r="E426" s="4" t="s">
        <v>13</v>
      </c>
      <c r="F426" s="4" t="s">
        <v>9</v>
      </c>
      <c r="G426" s="4" t="s">
        <v>13</v>
      </c>
      <c r="H426" s="19" t="s">
        <v>13</v>
      </c>
      <c r="I426" t="str">
        <f>VLOOKUP(A426,All!A:A,1,FALSE)</f>
        <v>Jerseyville (Jersey)</v>
      </c>
    </row>
    <row r="427" spans="1:9" ht="15.75" thickBot="1" x14ac:dyDescent="0.3">
      <c r="A427" s="20" t="s">
        <v>514</v>
      </c>
      <c r="B427" s="7">
        <v>488</v>
      </c>
      <c r="C427" s="6" t="s">
        <v>13</v>
      </c>
      <c r="D427" s="6" t="s">
        <v>13</v>
      </c>
      <c r="E427" s="6" t="s">
        <v>9</v>
      </c>
      <c r="F427" s="6" t="s">
        <v>9</v>
      </c>
      <c r="G427" s="6" t="s">
        <v>13</v>
      </c>
      <c r="H427" s="21" t="s">
        <v>9</v>
      </c>
      <c r="I427" t="str">
        <f>VLOOKUP(A427,All!A:A,1,FALSE)</f>
        <v>Johnsburg</v>
      </c>
    </row>
    <row r="428" spans="1:9" ht="15.75" thickBot="1" x14ac:dyDescent="0.3">
      <c r="A428" s="18" t="s">
        <v>515</v>
      </c>
      <c r="B428" s="3">
        <v>326</v>
      </c>
      <c r="C428" s="4" t="s">
        <v>13</v>
      </c>
      <c r="D428" s="4" t="s">
        <v>13</v>
      </c>
      <c r="E428" s="4"/>
      <c r="F428" s="4"/>
      <c r="G428" s="4" t="s">
        <v>9</v>
      </c>
      <c r="H428" s="19" t="s">
        <v>9</v>
      </c>
      <c r="I428" t="str">
        <f>VLOOKUP(A428,All!A:A,1,FALSE)</f>
        <v>Johnston City</v>
      </c>
    </row>
    <row r="429" spans="1:9" ht="15.75" thickBot="1" x14ac:dyDescent="0.3">
      <c r="A429" s="20" t="s">
        <v>516</v>
      </c>
      <c r="B429" s="7" t="s">
        <v>517</v>
      </c>
      <c r="C429" s="10" t="s">
        <v>12</v>
      </c>
      <c r="D429" s="11" t="s">
        <v>13</v>
      </c>
      <c r="E429" s="10" t="s">
        <v>13</v>
      </c>
      <c r="F429" s="10" t="s">
        <v>9</v>
      </c>
      <c r="G429" s="10" t="s">
        <v>13</v>
      </c>
      <c r="H429" s="27" t="s">
        <v>12</v>
      </c>
      <c r="I429" t="str">
        <f>VLOOKUP(A429,All!A:A,1,FALSE)</f>
        <v>Joliet (Catholic Academy)</v>
      </c>
    </row>
    <row r="430" spans="1:9" ht="15.75" thickBot="1" x14ac:dyDescent="0.3">
      <c r="A430" s="18" t="s">
        <v>518</v>
      </c>
      <c r="B430" s="8">
        <v>3259</v>
      </c>
      <c r="C430" s="4" t="s">
        <v>11</v>
      </c>
      <c r="D430" s="4" t="s">
        <v>11</v>
      </c>
      <c r="E430" s="4" t="s">
        <v>905</v>
      </c>
      <c r="F430" s="4" t="s">
        <v>12</v>
      </c>
      <c r="G430" s="4" t="s">
        <v>13</v>
      </c>
      <c r="H430" s="19" t="s">
        <v>12</v>
      </c>
      <c r="I430" t="str">
        <f>VLOOKUP(A430,All!A:A,1,FALSE)</f>
        <v>Joliet (Central)</v>
      </c>
    </row>
    <row r="431" spans="1:9" ht="15.75" thickBot="1" x14ac:dyDescent="0.3">
      <c r="A431" s="20" t="s">
        <v>519</v>
      </c>
      <c r="B431" s="5">
        <v>3293</v>
      </c>
      <c r="C431" s="6" t="s">
        <v>11</v>
      </c>
      <c r="D431" s="6" t="s">
        <v>11</v>
      </c>
      <c r="E431" s="6" t="s">
        <v>12</v>
      </c>
      <c r="F431" s="6" t="s">
        <v>12</v>
      </c>
      <c r="G431" s="6" t="s">
        <v>13</v>
      </c>
      <c r="H431" s="21" t="s">
        <v>12</v>
      </c>
      <c r="I431" t="str">
        <f>VLOOKUP(A431,All!A:A,1,FALSE)</f>
        <v>Joliet (West)</v>
      </c>
    </row>
    <row r="432" spans="1:9" ht="15.75" thickBot="1" x14ac:dyDescent="0.3">
      <c r="A432" s="18" t="s">
        <v>520</v>
      </c>
      <c r="B432" s="3">
        <v>46</v>
      </c>
      <c r="C432" s="4" t="s">
        <v>9</v>
      </c>
      <c r="D432" s="4" t="s">
        <v>9</v>
      </c>
      <c r="E432" s="4"/>
      <c r="F432" s="4"/>
      <c r="G432" s="4" t="s">
        <v>9</v>
      </c>
      <c r="H432" s="19"/>
      <c r="I432" t="str">
        <f>VLOOKUP(A432,All!A:A,1,FALSE)</f>
        <v>Joppa (J.-Maple Grove)</v>
      </c>
    </row>
    <row r="433" spans="1:9" ht="15.75" thickBot="1" x14ac:dyDescent="0.3">
      <c r="A433" s="20" t="s">
        <v>521</v>
      </c>
      <c r="B433" s="7">
        <v>199</v>
      </c>
      <c r="C433" s="6" t="s">
        <v>9</v>
      </c>
      <c r="D433" s="6" t="s">
        <v>9</v>
      </c>
      <c r="E433" s="6"/>
      <c r="F433" s="6"/>
      <c r="G433" s="6" t="s">
        <v>9</v>
      </c>
      <c r="H433" s="21"/>
      <c r="I433" t="str">
        <f>VLOOKUP(A433,All!A:A,1,FALSE)</f>
        <v>Junction (Gallatin County)</v>
      </c>
    </row>
    <row r="434" spans="1:9" ht="15.75" thickBot="1" x14ac:dyDescent="0.3">
      <c r="A434" s="18" t="s">
        <v>949</v>
      </c>
      <c r="B434" s="3" t="s">
        <v>950</v>
      </c>
      <c r="C434" s="10" t="s">
        <v>9</v>
      </c>
      <c r="D434" s="10" t="s">
        <v>9</v>
      </c>
      <c r="E434" s="4"/>
      <c r="F434" s="4"/>
      <c r="G434" s="4"/>
      <c r="H434" s="19"/>
      <c r="I434" t="str">
        <f>VLOOKUP(A434,All!A:A,1,FALSE)</f>
        <v>Kankakee (Grace Christian Academy)</v>
      </c>
    </row>
    <row r="435" spans="1:9" ht="15.75" thickBot="1" x14ac:dyDescent="0.3">
      <c r="A435" s="20" t="s">
        <v>522</v>
      </c>
      <c r="B435" s="7" t="s">
        <v>523</v>
      </c>
      <c r="C435" s="10" t="s">
        <v>13</v>
      </c>
      <c r="D435" s="10" t="s">
        <v>13</v>
      </c>
      <c r="E435" s="10" t="s">
        <v>9</v>
      </c>
      <c r="F435" s="10" t="s">
        <v>9</v>
      </c>
      <c r="G435" s="6"/>
      <c r="H435" s="23" t="s">
        <v>9</v>
      </c>
      <c r="I435" t="str">
        <f>VLOOKUP(A435,All!A:A,1,FALSE)</f>
        <v>Kankakee (McNamara)</v>
      </c>
    </row>
    <row r="436" spans="1:9" ht="15.75" thickBot="1" x14ac:dyDescent="0.3">
      <c r="A436" s="18" t="s">
        <v>524</v>
      </c>
      <c r="B436" s="8">
        <v>1297</v>
      </c>
      <c r="C436" s="4" t="s">
        <v>12</v>
      </c>
      <c r="D436" s="4" t="s">
        <v>12</v>
      </c>
      <c r="E436" s="4" t="s">
        <v>13</v>
      </c>
      <c r="F436" s="4" t="s">
        <v>13</v>
      </c>
      <c r="G436" s="4" t="s">
        <v>13</v>
      </c>
      <c r="H436" s="19" t="s">
        <v>13</v>
      </c>
      <c r="I436" t="str">
        <f>VLOOKUP(A436,All!A:A,1,FALSE)</f>
        <v>Kankakee (Sr.)</v>
      </c>
    </row>
    <row r="437" spans="1:9" ht="15.75" thickBot="1" x14ac:dyDescent="0.3">
      <c r="A437" s="20" t="s">
        <v>525</v>
      </c>
      <c r="B437" s="7">
        <v>51</v>
      </c>
      <c r="C437" s="6"/>
      <c r="D437" s="6"/>
      <c r="E437" s="6"/>
      <c r="F437" s="6"/>
      <c r="G437" s="9" t="s">
        <v>9</v>
      </c>
      <c r="H437" s="21"/>
      <c r="I437" t="str">
        <f>VLOOKUP(A437,All!A:A,1,FALSE)</f>
        <v>Kansas</v>
      </c>
    </row>
    <row r="438" spans="1:9" ht="15.75" thickBot="1" x14ac:dyDescent="0.3">
      <c r="A438" s="18" t="s">
        <v>526</v>
      </c>
      <c r="B438" s="3">
        <v>579</v>
      </c>
      <c r="C438" s="4" t="s">
        <v>13</v>
      </c>
      <c r="D438" s="4" t="s">
        <v>13</v>
      </c>
      <c r="E438" s="4"/>
      <c r="F438" s="4" t="s">
        <v>9</v>
      </c>
      <c r="G438" s="4" t="s">
        <v>13</v>
      </c>
      <c r="H438" s="19" t="s">
        <v>9</v>
      </c>
      <c r="I438" t="str">
        <f>VLOOKUP(A438,All!A:A,1,FALSE)</f>
        <v>Kewanee (H.S.)</v>
      </c>
    </row>
    <row r="439" spans="1:9" ht="15.75" thickBot="1" x14ac:dyDescent="0.3">
      <c r="A439" s="20" t="s">
        <v>527</v>
      </c>
      <c r="B439" s="7">
        <v>138</v>
      </c>
      <c r="C439" s="6" t="s">
        <v>9</v>
      </c>
      <c r="D439" s="6" t="s">
        <v>9</v>
      </c>
      <c r="E439" s="6"/>
      <c r="F439" s="6"/>
      <c r="G439" s="6" t="s">
        <v>9</v>
      </c>
      <c r="H439" s="21"/>
      <c r="I439" t="str">
        <f>VLOOKUP(A439,All!A:A,1,FALSE)</f>
        <v>Kewanee (Wethersfield)</v>
      </c>
    </row>
    <row r="440" spans="1:9" ht="15.75" thickBot="1" x14ac:dyDescent="0.3">
      <c r="A440" s="18" t="s">
        <v>951</v>
      </c>
      <c r="B440" s="3">
        <v>73</v>
      </c>
      <c r="C440" s="4"/>
      <c r="D440" s="9" t="s">
        <v>9</v>
      </c>
      <c r="E440" s="9" t="s">
        <v>9</v>
      </c>
      <c r="F440" s="4"/>
      <c r="G440" s="4"/>
      <c r="H440" s="19"/>
      <c r="I440" t="str">
        <f>VLOOKUP(A440,All!A:A,1,FALSE)</f>
        <v>Kincaid (South Fork)</v>
      </c>
    </row>
    <row r="441" spans="1:9" ht="15.75" thickBot="1" x14ac:dyDescent="0.3">
      <c r="A441" s="20" t="s">
        <v>528</v>
      </c>
      <c r="B441" s="7">
        <v>119</v>
      </c>
      <c r="C441" s="6" t="s">
        <v>9</v>
      </c>
      <c r="D441" s="6" t="s">
        <v>9</v>
      </c>
      <c r="E441" s="6"/>
      <c r="F441" s="6"/>
      <c r="G441" s="6" t="s">
        <v>9</v>
      </c>
      <c r="H441" s="21"/>
      <c r="I441" t="str">
        <f>VLOOKUP(A441,All!A:A,1,FALSE)</f>
        <v>Kirkland (Hiawatha)</v>
      </c>
    </row>
    <row r="442" spans="1:9" ht="15.75" thickBot="1" x14ac:dyDescent="0.3">
      <c r="A442" s="18" t="s">
        <v>529</v>
      </c>
      <c r="B442" s="3">
        <v>275</v>
      </c>
      <c r="C442" s="4" t="s">
        <v>9</v>
      </c>
      <c r="D442" s="4" t="s">
        <v>9</v>
      </c>
      <c r="E442" s="4" t="s">
        <v>9</v>
      </c>
      <c r="F442" s="4" t="s">
        <v>9</v>
      </c>
      <c r="G442" s="4" t="s">
        <v>9</v>
      </c>
      <c r="H442" s="19" t="s">
        <v>9</v>
      </c>
      <c r="I442" t="str">
        <f>VLOOKUP(A442,All!A:A,1,FALSE)</f>
        <v>Knoxville</v>
      </c>
    </row>
    <row r="443" spans="1:9" ht="15.75" thickBot="1" x14ac:dyDescent="0.3">
      <c r="A443" s="25" t="s">
        <v>0</v>
      </c>
      <c r="B443" s="1" t="s">
        <v>1</v>
      </c>
      <c r="C443" s="2" t="s">
        <v>899</v>
      </c>
      <c r="D443" s="2" t="s">
        <v>900</v>
      </c>
      <c r="E443" s="2" t="s">
        <v>901</v>
      </c>
      <c r="F443" s="2" t="s">
        <v>902</v>
      </c>
      <c r="G443" s="2" t="s">
        <v>903</v>
      </c>
      <c r="H443" s="26" t="s">
        <v>904</v>
      </c>
      <c r="I443" t="str">
        <f>VLOOKUP(A443,All!A:A,1,FALSE)</f>
        <v>School</v>
      </c>
    </row>
    <row r="444" spans="1:9" ht="15.75" thickBot="1" x14ac:dyDescent="0.3">
      <c r="A444" s="20" t="s">
        <v>530</v>
      </c>
      <c r="B444" s="5">
        <v>3653</v>
      </c>
      <c r="C444" s="6" t="s">
        <v>11</v>
      </c>
      <c r="D444" s="6" t="s">
        <v>11</v>
      </c>
      <c r="E444" s="6" t="s">
        <v>905</v>
      </c>
      <c r="F444" s="6" t="s">
        <v>12</v>
      </c>
      <c r="G444" s="6" t="s">
        <v>13</v>
      </c>
      <c r="H444" s="21" t="s">
        <v>12</v>
      </c>
      <c r="I444" t="str">
        <f>VLOOKUP(A444,All!A:A,1,FALSE)</f>
        <v>LaGrange (Lyons)</v>
      </c>
    </row>
    <row r="445" spans="1:9" ht="15.75" thickBot="1" x14ac:dyDescent="0.3">
      <c r="A445" s="18" t="s">
        <v>531</v>
      </c>
      <c r="B445" s="3" t="s">
        <v>532</v>
      </c>
      <c r="C445" s="10" t="s">
        <v>12</v>
      </c>
      <c r="D445" s="12" t="s">
        <v>11</v>
      </c>
      <c r="E445" s="10" t="s">
        <v>13</v>
      </c>
      <c r="F445" s="10" t="s">
        <v>13</v>
      </c>
      <c r="G445" s="4"/>
      <c r="H445" s="23" t="s">
        <v>13</v>
      </c>
      <c r="I445" t="str">
        <f>VLOOKUP(A445,All!A:A,1,FALSE)</f>
        <v>LaGrange Park (Nazareth Academy)</v>
      </c>
    </row>
    <row r="446" spans="1:9" ht="15.75" thickBot="1" x14ac:dyDescent="0.3">
      <c r="A446" s="20" t="s">
        <v>533</v>
      </c>
      <c r="B446" s="5">
        <v>1349</v>
      </c>
      <c r="C446" s="6" t="s">
        <v>12</v>
      </c>
      <c r="D446" s="6" t="s">
        <v>12</v>
      </c>
      <c r="E446" s="6" t="s">
        <v>13</v>
      </c>
      <c r="F446" s="6" t="s">
        <v>13</v>
      </c>
      <c r="G446" s="6" t="s">
        <v>13</v>
      </c>
      <c r="H446" s="21" t="s">
        <v>13</v>
      </c>
      <c r="I446" t="str">
        <f>VLOOKUP(A446,All!A:A,1,FALSE)</f>
        <v>Lake Forest (H.S.)</v>
      </c>
    </row>
    <row r="447" spans="1:9" ht="15.75" thickBot="1" x14ac:dyDescent="0.3">
      <c r="A447" s="18" t="s">
        <v>534</v>
      </c>
      <c r="B447" s="3" t="s">
        <v>535</v>
      </c>
      <c r="C447" s="4"/>
      <c r="D447" s="10" t="s">
        <v>9</v>
      </c>
      <c r="E447" s="4"/>
      <c r="F447" s="4"/>
      <c r="G447" s="10" t="s">
        <v>9</v>
      </c>
      <c r="H447" s="19"/>
      <c r="I447" t="str">
        <f>VLOOKUP(A447,All!A:A,1,FALSE)</f>
        <v>Lake Forest (Woodlands Academy)</v>
      </c>
    </row>
    <row r="448" spans="1:9" ht="15.75" thickBot="1" x14ac:dyDescent="0.3">
      <c r="A448" s="20" t="s">
        <v>536</v>
      </c>
      <c r="B448" s="5">
        <v>1270</v>
      </c>
      <c r="C448" s="6" t="s">
        <v>12</v>
      </c>
      <c r="D448" s="6" t="s">
        <v>12</v>
      </c>
      <c r="E448" s="6" t="s">
        <v>13</v>
      </c>
      <c r="F448" s="6" t="s">
        <v>13</v>
      </c>
      <c r="G448" s="6" t="s">
        <v>13</v>
      </c>
      <c r="H448" s="21" t="s">
        <v>13</v>
      </c>
      <c r="I448" t="str">
        <f>VLOOKUP(A448,All!A:A,1,FALSE)</f>
        <v>Lake Villa (Lakes)</v>
      </c>
    </row>
    <row r="449" spans="1:9" ht="15.75" thickBot="1" x14ac:dyDescent="0.3">
      <c r="A449" s="18" t="s">
        <v>537</v>
      </c>
      <c r="B449" s="8">
        <v>1794</v>
      </c>
      <c r="C449" s="4" t="s">
        <v>11</v>
      </c>
      <c r="D449" s="4" t="s">
        <v>11</v>
      </c>
      <c r="E449" s="4" t="s">
        <v>12</v>
      </c>
      <c r="F449" s="4" t="s">
        <v>13</v>
      </c>
      <c r="G449" s="4" t="s">
        <v>13</v>
      </c>
      <c r="H449" s="19" t="s">
        <v>12</v>
      </c>
      <c r="I449" t="str">
        <f>VLOOKUP(A449,All!A:A,1,FALSE)</f>
        <v>Lake Zurich</v>
      </c>
    </row>
    <row r="450" spans="1:9" ht="15.75" thickBot="1" x14ac:dyDescent="0.3">
      <c r="A450" s="20" t="s">
        <v>952</v>
      </c>
      <c r="B450" s="7">
        <v>60</v>
      </c>
      <c r="C450" s="6" t="s">
        <v>9</v>
      </c>
      <c r="D450" s="6"/>
      <c r="E450" s="6"/>
      <c r="F450" s="6"/>
      <c r="G450" s="6"/>
      <c r="H450" s="21"/>
      <c r="I450" t="str">
        <f>VLOOKUP(A450,All!A:A,1,FALSE)</f>
        <v>LaMoille</v>
      </c>
    </row>
    <row r="451" spans="1:9" ht="15.75" thickBot="1" x14ac:dyDescent="0.3">
      <c r="A451" s="18" t="s">
        <v>538</v>
      </c>
      <c r="B451" s="3">
        <v>187</v>
      </c>
      <c r="C451" s="4" t="s">
        <v>9</v>
      </c>
      <c r="D451" s="4" t="s">
        <v>9</v>
      </c>
      <c r="E451" s="4"/>
      <c r="F451" s="4"/>
      <c r="G451" s="4" t="s">
        <v>9</v>
      </c>
      <c r="H451" s="19"/>
      <c r="I451" t="str">
        <f>VLOOKUP(A451,All!A:A,1,FALSE)</f>
        <v>Lanark (Eastland)</v>
      </c>
    </row>
    <row r="452" spans="1:9" ht="15.75" thickBot="1" x14ac:dyDescent="0.3">
      <c r="A452" s="20" t="s">
        <v>539</v>
      </c>
      <c r="B452" s="5">
        <v>1645</v>
      </c>
      <c r="C452" s="6" t="s">
        <v>11</v>
      </c>
      <c r="D452" s="6" t="s">
        <v>11</v>
      </c>
      <c r="E452" s="6" t="s">
        <v>12</v>
      </c>
      <c r="F452" s="6" t="s">
        <v>13</v>
      </c>
      <c r="G452" s="6" t="s">
        <v>13</v>
      </c>
      <c r="H452" s="21" t="s">
        <v>13</v>
      </c>
      <c r="I452" t="str">
        <f>VLOOKUP(A452,All!A:A,1,FALSE)</f>
        <v>Lansing (Thornton Fractional South)</v>
      </c>
    </row>
    <row r="453" spans="1:9" ht="15.75" thickBot="1" x14ac:dyDescent="0.3">
      <c r="A453" s="18" t="s">
        <v>540</v>
      </c>
      <c r="B453" s="8">
        <v>1137</v>
      </c>
      <c r="C453" s="4" t="s">
        <v>12</v>
      </c>
      <c r="D453" s="4" t="s">
        <v>12</v>
      </c>
      <c r="E453" s="4" t="s">
        <v>13</v>
      </c>
      <c r="F453" s="4" t="s">
        <v>13</v>
      </c>
      <c r="G453" s="4" t="s">
        <v>13</v>
      </c>
      <c r="H453" s="19" t="s">
        <v>13</v>
      </c>
      <c r="I453" t="str">
        <f>VLOOKUP(A453,All!A:A,1,FALSE)</f>
        <v>LaSalle (L.-Peru)</v>
      </c>
    </row>
    <row r="454" spans="1:9" ht="15.75" thickBot="1" x14ac:dyDescent="0.3">
      <c r="A454" s="20" t="s">
        <v>541</v>
      </c>
      <c r="B454" s="7">
        <v>291</v>
      </c>
      <c r="C454" s="6" t="s">
        <v>9</v>
      </c>
      <c r="D454" s="6" t="s">
        <v>9</v>
      </c>
      <c r="E454" s="6" t="s">
        <v>9</v>
      </c>
      <c r="F454" s="6"/>
      <c r="G454" s="6" t="s">
        <v>9</v>
      </c>
      <c r="H454" s="22" t="s">
        <v>9</v>
      </c>
      <c r="I454" t="str">
        <f>VLOOKUP(A454,All!A:A,1,FALSE)</f>
        <v>Lawrenceville</v>
      </c>
    </row>
    <row r="455" spans="1:9" ht="15.75" thickBot="1" x14ac:dyDescent="0.3">
      <c r="A455" s="18" t="s">
        <v>542</v>
      </c>
      <c r="B455" s="3">
        <v>123</v>
      </c>
      <c r="C455" s="4" t="s">
        <v>9</v>
      </c>
      <c r="D455" s="4"/>
      <c r="E455" s="4"/>
      <c r="F455" s="4"/>
      <c r="G455" s="4"/>
      <c r="H455" s="19"/>
      <c r="I455" t="str">
        <f>VLOOKUP(A455,All!A:A,1,FALSE)</f>
        <v>Lebanon</v>
      </c>
    </row>
    <row r="456" spans="1:9" ht="15.75" thickBot="1" x14ac:dyDescent="0.3">
      <c r="A456" s="20" t="s">
        <v>953</v>
      </c>
      <c r="B456" s="7">
        <v>84</v>
      </c>
      <c r="C456" s="6" t="s">
        <v>9</v>
      </c>
      <c r="D456" s="6"/>
      <c r="E456" s="6"/>
      <c r="F456" s="6"/>
      <c r="G456" s="6"/>
      <c r="H456" s="21"/>
      <c r="I456" t="str">
        <f>VLOOKUP(A456,All!A:A,1,FALSE)</f>
        <v>Leland</v>
      </c>
    </row>
    <row r="457" spans="1:9" ht="15.75" thickBot="1" x14ac:dyDescent="0.3">
      <c r="A457" s="18" t="s">
        <v>543</v>
      </c>
      <c r="B457" s="8">
        <v>1279</v>
      </c>
      <c r="C457" s="4" t="s">
        <v>12</v>
      </c>
      <c r="D457" s="4" t="s">
        <v>12</v>
      </c>
      <c r="E457" s="4" t="s">
        <v>13</v>
      </c>
      <c r="F457" s="4" t="s">
        <v>13</v>
      </c>
      <c r="G457" s="4" t="s">
        <v>13</v>
      </c>
      <c r="H457" s="19" t="s">
        <v>13</v>
      </c>
      <c r="I457" t="str">
        <f>VLOOKUP(A457,All!A:A,1,FALSE)</f>
        <v>Lemont (H.S.)</v>
      </c>
    </row>
    <row r="458" spans="1:9" ht="15.75" thickBot="1" x14ac:dyDescent="0.3">
      <c r="A458" s="20" t="s">
        <v>544</v>
      </c>
      <c r="B458" s="7">
        <v>230</v>
      </c>
      <c r="C458" s="6" t="s">
        <v>9</v>
      </c>
      <c r="D458" s="6" t="s">
        <v>9</v>
      </c>
      <c r="E458" s="6"/>
      <c r="F458" s="6"/>
      <c r="G458" s="6" t="s">
        <v>9</v>
      </c>
      <c r="H458" s="22" t="s">
        <v>9</v>
      </c>
      <c r="I458" t="str">
        <f>VLOOKUP(A458,All!A:A,1,FALSE)</f>
        <v>Lena (L.-Winslow)</v>
      </c>
    </row>
    <row r="459" spans="1:9" ht="15.75" thickBot="1" x14ac:dyDescent="0.3">
      <c r="A459" s="18" t="s">
        <v>545</v>
      </c>
      <c r="B459" s="3">
        <v>233</v>
      </c>
      <c r="C459" s="4" t="s">
        <v>9</v>
      </c>
      <c r="D459" s="4" t="s">
        <v>9</v>
      </c>
      <c r="E459" s="4"/>
      <c r="F459" s="4"/>
      <c r="G459" s="4" t="s">
        <v>9</v>
      </c>
      <c r="H459" s="22" t="s">
        <v>9</v>
      </c>
      <c r="I459" t="str">
        <f>VLOOKUP(A459,All!A:A,1,FALSE)</f>
        <v>LeRoy</v>
      </c>
    </row>
    <row r="460" spans="1:9" ht="15.75" thickBot="1" x14ac:dyDescent="0.3">
      <c r="A460" s="20" t="s">
        <v>546</v>
      </c>
      <c r="B460" s="7">
        <v>160</v>
      </c>
      <c r="C460" s="6" t="s">
        <v>9</v>
      </c>
      <c r="D460" s="6" t="s">
        <v>9</v>
      </c>
      <c r="E460" s="6"/>
      <c r="F460" s="6"/>
      <c r="G460" s="6" t="s">
        <v>9</v>
      </c>
      <c r="H460" s="21"/>
      <c r="I460" t="str">
        <f>VLOOKUP(A460,All!A:A,1,FALSE)</f>
        <v>Lewistown</v>
      </c>
    </row>
    <row r="461" spans="1:9" ht="15.75" thickBot="1" x14ac:dyDescent="0.3">
      <c r="A461" s="18" t="s">
        <v>547</v>
      </c>
      <c r="B461" s="3">
        <v>161</v>
      </c>
      <c r="C461" s="4" t="s">
        <v>9</v>
      </c>
      <c r="D461" s="4" t="s">
        <v>9</v>
      </c>
      <c r="E461" s="9" t="s">
        <v>9</v>
      </c>
      <c r="F461" s="4"/>
      <c r="G461" s="4" t="s">
        <v>9</v>
      </c>
      <c r="H461" s="19"/>
      <c r="I461" t="str">
        <f>VLOOKUP(A461,All!A:A,1,FALSE)</f>
        <v>Lexington</v>
      </c>
    </row>
    <row r="462" spans="1:9" ht="15.75" thickBot="1" x14ac:dyDescent="0.3">
      <c r="A462" s="20" t="s">
        <v>548</v>
      </c>
      <c r="B462" s="7">
        <v>168</v>
      </c>
      <c r="C462" s="6" t="s">
        <v>9</v>
      </c>
      <c r="D462" s="6" t="s">
        <v>9</v>
      </c>
      <c r="E462" s="6"/>
      <c r="F462" s="6"/>
      <c r="G462" s="6" t="s">
        <v>9</v>
      </c>
      <c r="H462" s="21"/>
      <c r="I462" t="str">
        <f>VLOOKUP(A462,All!A:A,1,FALSE)</f>
        <v>Liberty</v>
      </c>
    </row>
    <row r="463" spans="1:9" ht="15.75" thickBot="1" x14ac:dyDescent="0.3">
      <c r="A463" s="18" t="s">
        <v>549</v>
      </c>
      <c r="B463" s="8">
        <v>1736</v>
      </c>
      <c r="C463" s="4" t="s">
        <v>11</v>
      </c>
      <c r="D463" s="4" t="s">
        <v>11</v>
      </c>
      <c r="E463" s="4" t="s">
        <v>905</v>
      </c>
      <c r="F463" s="4" t="s">
        <v>13</v>
      </c>
      <c r="G463" s="4" t="s">
        <v>13</v>
      </c>
      <c r="H463" s="19" t="s">
        <v>12</v>
      </c>
      <c r="I463" t="str">
        <f>VLOOKUP(A463,All!A:A,1,FALSE)</f>
        <v>Libertyville</v>
      </c>
    </row>
    <row r="464" spans="1:9" ht="15.75" thickBot="1" x14ac:dyDescent="0.3">
      <c r="A464" s="20" t="s">
        <v>550</v>
      </c>
      <c r="B464" s="7">
        <v>751</v>
      </c>
      <c r="C464" s="6" t="s">
        <v>12</v>
      </c>
      <c r="D464" s="6" t="s">
        <v>12</v>
      </c>
      <c r="E464" s="6" t="s">
        <v>13</v>
      </c>
      <c r="F464" s="6" t="s">
        <v>9</v>
      </c>
      <c r="G464" s="6" t="s">
        <v>13</v>
      </c>
      <c r="H464" s="21" t="s">
        <v>13</v>
      </c>
      <c r="I464" t="str">
        <f>VLOOKUP(A464,All!A:A,1,FALSE)</f>
        <v>Lincoln</v>
      </c>
    </row>
    <row r="465" spans="1:9" ht="15.75" thickBot="1" x14ac:dyDescent="0.3">
      <c r="A465" s="18" t="s">
        <v>551</v>
      </c>
      <c r="B465" s="8">
        <v>4720</v>
      </c>
      <c r="C465" s="4" t="s">
        <v>11</v>
      </c>
      <c r="D465" s="4" t="s">
        <v>11</v>
      </c>
      <c r="E465" s="4" t="s">
        <v>905</v>
      </c>
      <c r="F465" s="4" t="s">
        <v>12</v>
      </c>
      <c r="G465" s="4" t="s">
        <v>13</v>
      </c>
      <c r="H465" s="19" t="s">
        <v>12</v>
      </c>
      <c r="I465" t="str">
        <f>VLOOKUP(A465,All!A:A,1,FALSE)</f>
        <v>Lincolnshire (Stevenson)</v>
      </c>
    </row>
    <row r="466" spans="1:9" ht="15.75" thickBot="1" x14ac:dyDescent="0.3">
      <c r="A466" s="20" t="s">
        <v>552</v>
      </c>
      <c r="B466" s="7" t="s">
        <v>553</v>
      </c>
      <c r="C466" s="12" t="s">
        <v>11</v>
      </c>
      <c r="D466" s="10" t="s">
        <v>11</v>
      </c>
      <c r="E466" s="10" t="s">
        <v>12</v>
      </c>
      <c r="F466" s="10" t="s">
        <v>12</v>
      </c>
      <c r="G466" s="10" t="s">
        <v>13</v>
      </c>
      <c r="H466" s="21"/>
      <c r="I466" t="str">
        <f>VLOOKUP(A466,All!A:A,1,FALSE)</f>
        <v>Lisle (Benet Academy)</v>
      </c>
    </row>
    <row r="467" spans="1:9" ht="15.75" thickBot="1" x14ac:dyDescent="0.3">
      <c r="A467" s="18" t="s">
        <v>554</v>
      </c>
      <c r="B467" s="3">
        <v>421</v>
      </c>
      <c r="C467" s="4" t="s">
        <v>13</v>
      </c>
      <c r="D467" s="4" t="s">
        <v>13</v>
      </c>
      <c r="E467" s="4" t="s">
        <v>9</v>
      </c>
      <c r="F467" s="4" t="s">
        <v>9</v>
      </c>
      <c r="G467" s="4" t="s">
        <v>9</v>
      </c>
      <c r="H467" s="19" t="s">
        <v>9</v>
      </c>
      <c r="I467" t="str">
        <f>VLOOKUP(A467,All!A:A,1,FALSE)</f>
        <v>Lisle (Sr.)</v>
      </c>
    </row>
    <row r="468" spans="1:9" ht="15.75" thickBot="1" x14ac:dyDescent="0.3">
      <c r="A468" s="20" t="s">
        <v>555</v>
      </c>
      <c r="B468" s="7">
        <v>373</v>
      </c>
      <c r="C468" s="6" t="s">
        <v>13</v>
      </c>
      <c r="D468" s="6" t="s">
        <v>13</v>
      </c>
      <c r="E468" s="6" t="s">
        <v>9</v>
      </c>
      <c r="F468" s="6"/>
      <c r="G468" s="6" t="s">
        <v>9</v>
      </c>
      <c r="H468" s="22" t="s">
        <v>9</v>
      </c>
      <c r="I468" t="str">
        <f>VLOOKUP(A468,All!A:A,1,FALSE)</f>
        <v>Litchfield</v>
      </c>
    </row>
    <row r="469" spans="1:9" ht="15.75" thickBot="1" x14ac:dyDescent="0.3">
      <c r="A469" s="25" t="s">
        <v>0</v>
      </c>
      <c r="B469" s="1" t="s">
        <v>1</v>
      </c>
      <c r="C469" s="2" t="s">
        <v>899</v>
      </c>
      <c r="D469" s="2" t="s">
        <v>900</v>
      </c>
      <c r="E469" s="2" t="s">
        <v>901</v>
      </c>
      <c r="F469" s="2" t="s">
        <v>902</v>
      </c>
      <c r="G469" s="2" t="s">
        <v>903</v>
      </c>
      <c r="H469" s="26" t="s">
        <v>904</v>
      </c>
      <c r="I469" t="str">
        <f>VLOOKUP(A469,All!A:A,1,FALSE)</f>
        <v>School</v>
      </c>
    </row>
    <row r="470" spans="1:9" ht="15.75" thickBot="1" x14ac:dyDescent="0.3">
      <c r="A470" s="18" t="s">
        <v>556</v>
      </c>
      <c r="B470" s="8">
        <v>3637</v>
      </c>
      <c r="C470" s="4" t="s">
        <v>11</v>
      </c>
      <c r="D470" s="4" t="s">
        <v>11</v>
      </c>
      <c r="E470" s="4" t="s">
        <v>12</v>
      </c>
      <c r="F470" s="4" t="s">
        <v>12</v>
      </c>
      <c r="G470" s="4" t="s">
        <v>13</v>
      </c>
      <c r="H470" s="19" t="s">
        <v>12</v>
      </c>
      <c r="I470" t="str">
        <f>VLOOKUP(A470,All!A:A,1,FALSE)</f>
        <v>Lockport (Twp.)</v>
      </c>
    </row>
    <row r="471" spans="1:9" ht="15.75" thickBot="1" x14ac:dyDescent="0.3">
      <c r="A471" s="20" t="s">
        <v>954</v>
      </c>
      <c r="B471" s="7" t="s">
        <v>955</v>
      </c>
      <c r="C471" s="10" t="s">
        <v>9</v>
      </c>
      <c r="D471" s="10" t="s">
        <v>9</v>
      </c>
      <c r="E471" s="6"/>
      <c r="F471" s="6"/>
      <c r="G471" s="6"/>
      <c r="H471" s="21"/>
      <c r="I471" t="str">
        <f>VLOOKUP(A471,All!A:A,1,FALSE)</f>
        <v>Lombard (College Prep)</v>
      </c>
    </row>
    <row r="472" spans="1:9" ht="15.75" thickBot="1" x14ac:dyDescent="0.3">
      <c r="A472" s="18" t="s">
        <v>557</v>
      </c>
      <c r="B472" s="8">
        <v>2215</v>
      </c>
      <c r="C472" s="4" t="s">
        <v>11</v>
      </c>
      <c r="D472" s="4" t="s">
        <v>11</v>
      </c>
      <c r="E472" s="4" t="s">
        <v>905</v>
      </c>
      <c r="F472" s="4" t="s">
        <v>12</v>
      </c>
      <c r="G472" s="4" t="s">
        <v>13</v>
      </c>
      <c r="H472" s="19" t="s">
        <v>12</v>
      </c>
      <c r="I472" t="str">
        <f>VLOOKUP(A472,All!A:A,1,FALSE)</f>
        <v>Lombard (Glenbard East)</v>
      </c>
    </row>
    <row r="473" spans="1:9" ht="15.75" thickBot="1" x14ac:dyDescent="0.3">
      <c r="A473" s="20" t="s">
        <v>558</v>
      </c>
      <c r="B473" s="7" t="s">
        <v>559</v>
      </c>
      <c r="C473" s="10" t="s">
        <v>12</v>
      </c>
      <c r="D473" s="12" t="s">
        <v>11</v>
      </c>
      <c r="E473" s="11" t="s">
        <v>9</v>
      </c>
      <c r="F473" s="10" t="s">
        <v>9</v>
      </c>
      <c r="G473" s="6"/>
      <c r="H473" s="27" t="s">
        <v>12</v>
      </c>
      <c r="I473" t="str">
        <f>VLOOKUP(A473,All!A:A,1,FALSE)</f>
        <v>Lombard (Montini)</v>
      </c>
    </row>
    <row r="474" spans="1:9" ht="15.75" thickBot="1" x14ac:dyDescent="0.3">
      <c r="A474" s="18" t="s">
        <v>560</v>
      </c>
      <c r="B474" s="3">
        <v>60</v>
      </c>
      <c r="C474" s="4"/>
      <c r="D474" s="9" t="s">
        <v>9</v>
      </c>
      <c r="E474" s="4"/>
      <c r="F474" s="4"/>
      <c r="G474" s="4" t="s">
        <v>9</v>
      </c>
      <c r="H474" s="19"/>
      <c r="I474" t="str">
        <f>VLOOKUP(A474,All!A:A,1,FALSE)</f>
        <v>London Mills (Spoon River Valley)</v>
      </c>
    </row>
    <row r="475" spans="1:9" ht="15.75" thickBot="1" x14ac:dyDescent="0.3">
      <c r="A475" s="20" t="s">
        <v>561</v>
      </c>
      <c r="B475" s="7">
        <v>174</v>
      </c>
      <c r="C475" s="9" t="s">
        <v>9</v>
      </c>
      <c r="D475" s="9" t="s">
        <v>9</v>
      </c>
      <c r="E475" s="6"/>
      <c r="F475" s="6"/>
      <c r="G475" s="6" t="s">
        <v>9</v>
      </c>
      <c r="H475" s="21"/>
      <c r="I475" t="str">
        <f>VLOOKUP(A475,All!A:A,1,FALSE)</f>
        <v>Louisville (North Clay)</v>
      </c>
    </row>
    <row r="476" spans="1:9" ht="15.75" thickBot="1" x14ac:dyDescent="0.3">
      <c r="A476" s="18" t="s">
        <v>562</v>
      </c>
      <c r="B476" s="8">
        <v>1836</v>
      </c>
      <c r="C476" s="4" t="s">
        <v>11</v>
      </c>
      <c r="D476" s="4" t="s">
        <v>11</v>
      </c>
      <c r="E476" s="4" t="s">
        <v>12</v>
      </c>
      <c r="F476" s="4" t="s">
        <v>13</v>
      </c>
      <c r="G476" s="4" t="s">
        <v>13</v>
      </c>
      <c r="H476" s="19" t="s">
        <v>12</v>
      </c>
      <c r="I476" t="str">
        <f>VLOOKUP(A476,All!A:A,1,FALSE)</f>
        <v>Machesney Park (Harlem)</v>
      </c>
    </row>
    <row r="477" spans="1:9" ht="15.75" thickBot="1" x14ac:dyDescent="0.3">
      <c r="A477" s="20" t="s">
        <v>563</v>
      </c>
      <c r="B477" s="7">
        <v>291</v>
      </c>
      <c r="C477" s="6" t="s">
        <v>9</v>
      </c>
      <c r="D477" s="6" t="s">
        <v>9</v>
      </c>
      <c r="E477" s="6"/>
      <c r="F477" s="6"/>
      <c r="G477" s="6" t="s">
        <v>9</v>
      </c>
      <c r="H477" s="21" t="s">
        <v>9</v>
      </c>
      <c r="I477" t="str">
        <f>VLOOKUP(A477,All!A:A,1,FALSE)</f>
        <v>Mackinaw (Deer Creek-M.)</v>
      </c>
    </row>
    <row r="478" spans="1:9" ht="15.75" thickBot="1" x14ac:dyDescent="0.3">
      <c r="A478" s="18" t="s">
        <v>564</v>
      </c>
      <c r="B478" s="3">
        <v>610</v>
      </c>
      <c r="C478" s="4" t="s">
        <v>13</v>
      </c>
      <c r="D478" s="4" t="s">
        <v>13</v>
      </c>
      <c r="E478" s="4" t="s">
        <v>9</v>
      </c>
      <c r="F478" s="4" t="s">
        <v>9</v>
      </c>
      <c r="G478" s="4" t="s">
        <v>13</v>
      </c>
      <c r="H478" s="19" t="s">
        <v>9</v>
      </c>
      <c r="I478" t="str">
        <f>VLOOKUP(A478,All!A:A,1,FALSE)</f>
        <v>Macomb</v>
      </c>
    </row>
    <row r="479" spans="1:9" ht="15.75" thickBot="1" x14ac:dyDescent="0.3">
      <c r="A479" s="20" t="s">
        <v>565</v>
      </c>
      <c r="B479" s="7">
        <v>268</v>
      </c>
      <c r="C479" s="6" t="s">
        <v>9</v>
      </c>
      <c r="D479" s="6" t="s">
        <v>9</v>
      </c>
      <c r="E479" s="6"/>
      <c r="F479" s="6"/>
      <c r="G479" s="6" t="s">
        <v>9</v>
      </c>
      <c r="H479" s="21" t="s">
        <v>9</v>
      </c>
      <c r="I479" t="str">
        <f>VLOOKUP(A479,All!A:A,1,FALSE)</f>
        <v>Macon (Meridian)</v>
      </c>
    </row>
    <row r="480" spans="1:9" ht="15.75" thickBot="1" x14ac:dyDescent="0.3">
      <c r="A480" s="18" t="s">
        <v>566</v>
      </c>
      <c r="B480" s="3">
        <v>135</v>
      </c>
      <c r="C480" s="4" t="s">
        <v>9</v>
      </c>
      <c r="D480" s="4" t="s">
        <v>9</v>
      </c>
      <c r="E480" s="4"/>
      <c r="F480" s="4"/>
      <c r="G480" s="4" t="s">
        <v>9</v>
      </c>
      <c r="H480" s="19"/>
      <c r="I480" t="str">
        <f>VLOOKUP(A480,All!A:A,1,FALSE)</f>
        <v>Madison</v>
      </c>
    </row>
    <row r="481" spans="1:9" ht="15.75" thickBot="1" x14ac:dyDescent="0.3">
      <c r="A481" s="20" t="s">
        <v>567</v>
      </c>
      <c r="B481" s="5">
        <v>1043</v>
      </c>
      <c r="C481" s="6" t="s">
        <v>12</v>
      </c>
      <c r="D481" s="6" t="s">
        <v>12</v>
      </c>
      <c r="E481" s="6"/>
      <c r="F481" s="6" t="s">
        <v>9</v>
      </c>
      <c r="G481" s="6" t="s">
        <v>13</v>
      </c>
      <c r="H481" s="21" t="s">
        <v>13</v>
      </c>
      <c r="I481" t="str">
        <f>VLOOKUP(A481,All!A:A,1,FALSE)</f>
        <v>Mahomet (M.-Seymour)</v>
      </c>
    </row>
    <row r="482" spans="1:9" ht="15.75" thickBot="1" x14ac:dyDescent="0.3">
      <c r="A482" s="18" t="s">
        <v>568</v>
      </c>
      <c r="B482" s="3">
        <v>232</v>
      </c>
      <c r="C482" s="4" t="s">
        <v>9</v>
      </c>
      <c r="D482" s="4" t="s">
        <v>9</v>
      </c>
      <c r="E482" s="4"/>
      <c r="F482" s="4"/>
      <c r="G482" s="4" t="s">
        <v>9</v>
      </c>
      <c r="H482" s="22" t="s">
        <v>9</v>
      </c>
      <c r="I482" t="str">
        <f>VLOOKUP(A482,All!A:A,1,FALSE)</f>
        <v>Manito (Midwest Central)</v>
      </c>
    </row>
    <row r="483" spans="1:9" ht="15.75" thickBot="1" x14ac:dyDescent="0.3">
      <c r="A483" s="20" t="s">
        <v>569</v>
      </c>
      <c r="B483" s="7">
        <v>281</v>
      </c>
      <c r="C483" s="6" t="s">
        <v>9</v>
      </c>
      <c r="D483" s="6" t="s">
        <v>9</v>
      </c>
      <c r="E483" s="6"/>
      <c r="F483" s="6"/>
      <c r="G483" s="6" t="s">
        <v>9</v>
      </c>
      <c r="H483" s="21"/>
      <c r="I483" t="str">
        <f>VLOOKUP(A483,All!A:A,1,FALSE)</f>
        <v>Manlius (Bureau Valley)</v>
      </c>
    </row>
    <row r="484" spans="1:9" ht="15.75" thickBot="1" x14ac:dyDescent="0.3">
      <c r="A484" s="18" t="s">
        <v>570</v>
      </c>
      <c r="B484" s="3">
        <v>538</v>
      </c>
      <c r="C484" s="4" t="s">
        <v>13</v>
      </c>
      <c r="D484" s="4" t="s">
        <v>13</v>
      </c>
      <c r="E484" s="4" t="s">
        <v>9</v>
      </c>
      <c r="F484" s="4"/>
      <c r="G484" s="4" t="s">
        <v>13</v>
      </c>
      <c r="H484" s="19" t="s">
        <v>9</v>
      </c>
      <c r="I484" t="str">
        <f>VLOOKUP(A484,All!A:A,1,FALSE)</f>
        <v>Manteno</v>
      </c>
    </row>
    <row r="485" spans="1:9" ht="15.75" thickBot="1" x14ac:dyDescent="0.3">
      <c r="A485" s="20" t="s">
        <v>571</v>
      </c>
      <c r="B485" s="5">
        <v>1170</v>
      </c>
      <c r="C485" s="6" t="s">
        <v>12</v>
      </c>
      <c r="D485" s="6" t="s">
        <v>12</v>
      </c>
      <c r="E485" s="6" t="s">
        <v>13</v>
      </c>
      <c r="F485" s="6"/>
      <c r="G485" s="6" t="s">
        <v>13</v>
      </c>
      <c r="H485" s="21" t="s">
        <v>13</v>
      </c>
      <c r="I485" t="str">
        <f>VLOOKUP(A485,All!A:A,1,FALSE)</f>
        <v>Maple Park (Kaneland)</v>
      </c>
    </row>
    <row r="486" spans="1:9" ht="15.75" thickBot="1" x14ac:dyDescent="0.3">
      <c r="A486" s="18" t="s">
        <v>572</v>
      </c>
      <c r="B486" s="3">
        <v>662</v>
      </c>
      <c r="C486" s="4" t="s">
        <v>13</v>
      </c>
      <c r="D486" s="4" t="s">
        <v>13</v>
      </c>
      <c r="E486" s="4" t="s">
        <v>9</v>
      </c>
      <c r="F486" s="4"/>
      <c r="G486" s="4" t="s">
        <v>13</v>
      </c>
      <c r="H486" s="19" t="s">
        <v>9</v>
      </c>
      <c r="I486" t="str">
        <f>VLOOKUP(A486,All!A:A,1,FALSE)</f>
        <v>Marengo</v>
      </c>
    </row>
    <row r="487" spans="1:9" ht="15.75" thickBot="1" x14ac:dyDescent="0.3">
      <c r="A487" s="20" t="s">
        <v>573</v>
      </c>
      <c r="B487" s="7">
        <v>152</v>
      </c>
      <c r="C487" s="6" t="s">
        <v>9</v>
      </c>
      <c r="D487" s="6"/>
      <c r="E487" s="6"/>
      <c r="F487" s="6"/>
      <c r="G487" s="6" t="s">
        <v>9</v>
      </c>
      <c r="H487" s="21"/>
      <c r="I487" t="str">
        <f>VLOOKUP(A487,All!A:A,1,FALSE)</f>
        <v>Marion (Crab Orchard)</v>
      </c>
    </row>
    <row r="488" spans="1:9" ht="15.75" thickBot="1" x14ac:dyDescent="0.3">
      <c r="A488" s="18" t="s">
        <v>574</v>
      </c>
      <c r="B488" s="8">
        <v>1050</v>
      </c>
      <c r="C488" s="4" t="s">
        <v>12</v>
      </c>
      <c r="D488" s="4" t="s">
        <v>12</v>
      </c>
      <c r="E488" s="4" t="s">
        <v>13</v>
      </c>
      <c r="F488" s="4" t="s">
        <v>9</v>
      </c>
      <c r="G488" s="4" t="s">
        <v>13</v>
      </c>
      <c r="H488" s="19" t="s">
        <v>13</v>
      </c>
      <c r="I488" t="str">
        <f>VLOOKUP(A488,All!A:A,1,FALSE)</f>
        <v>Marion (H.S.)</v>
      </c>
    </row>
    <row r="489" spans="1:9" ht="15.75" thickBot="1" x14ac:dyDescent="0.3">
      <c r="A489" s="20" t="s">
        <v>575</v>
      </c>
      <c r="B489" s="7">
        <v>160</v>
      </c>
      <c r="C489" s="9" t="s">
        <v>9</v>
      </c>
      <c r="D489" s="9" t="s">
        <v>9</v>
      </c>
      <c r="E489" s="6"/>
      <c r="F489" s="6"/>
      <c r="G489" s="9" t="s">
        <v>9</v>
      </c>
      <c r="H489" s="21"/>
      <c r="I489" t="str">
        <f>VLOOKUP(A489,All!A:A,1,FALSE)</f>
        <v>Marissa</v>
      </c>
    </row>
    <row r="490" spans="1:9" ht="15.75" thickBot="1" x14ac:dyDescent="0.3">
      <c r="A490" s="18" t="s">
        <v>576</v>
      </c>
      <c r="B490" s="3">
        <v>333</v>
      </c>
      <c r="C490" s="4" t="s">
        <v>13</v>
      </c>
      <c r="D490" s="4" t="s">
        <v>13</v>
      </c>
      <c r="E490" s="4" t="s">
        <v>9</v>
      </c>
      <c r="F490" s="4" t="s">
        <v>9</v>
      </c>
      <c r="G490" s="4" t="s">
        <v>9</v>
      </c>
      <c r="H490" s="19"/>
      <c r="I490" t="str">
        <f>VLOOKUP(A490,All!A:A,1,FALSE)</f>
        <v>Maroa (M.-Forsyth)</v>
      </c>
    </row>
    <row r="491" spans="1:9" ht="15.75" thickBot="1" x14ac:dyDescent="0.3">
      <c r="A491" s="20" t="s">
        <v>577</v>
      </c>
      <c r="B491" s="7">
        <v>346</v>
      </c>
      <c r="C491" s="6" t="s">
        <v>13</v>
      </c>
      <c r="D491" s="6" t="s">
        <v>13</v>
      </c>
      <c r="E491" s="6"/>
      <c r="F491" s="6"/>
      <c r="G491" s="6" t="s">
        <v>9</v>
      </c>
      <c r="H491" s="21" t="s">
        <v>9</v>
      </c>
      <c r="I491" t="str">
        <f>VLOOKUP(A491,All!A:A,1,FALSE)</f>
        <v>Marshall</v>
      </c>
    </row>
    <row r="492" spans="1:9" ht="15.75" thickBot="1" x14ac:dyDescent="0.3">
      <c r="A492" s="18" t="s">
        <v>578</v>
      </c>
      <c r="B492" s="3">
        <v>83</v>
      </c>
      <c r="C492" s="4" t="s">
        <v>9</v>
      </c>
      <c r="D492" s="4" t="s">
        <v>9</v>
      </c>
      <c r="E492" s="4"/>
      <c r="F492" s="4"/>
      <c r="G492" s="4"/>
      <c r="H492" s="19"/>
      <c r="I492" t="str">
        <f>VLOOKUP(A492,All!A:A,1,FALSE)</f>
        <v>Martinsville</v>
      </c>
    </row>
    <row r="493" spans="1:9" ht="15.75" thickBot="1" x14ac:dyDescent="0.3">
      <c r="A493" s="20" t="s">
        <v>579</v>
      </c>
      <c r="B493" s="7" t="s">
        <v>580</v>
      </c>
      <c r="C493" s="10" t="s">
        <v>9</v>
      </c>
      <c r="D493" s="10" t="s">
        <v>9</v>
      </c>
      <c r="E493" s="6"/>
      <c r="F493" s="6"/>
      <c r="G493" s="6"/>
      <c r="H493" s="21"/>
      <c r="I493" t="str">
        <f>VLOOKUP(A493,All!A:A,1,FALSE)</f>
        <v>Maryville (M. Christian)</v>
      </c>
    </row>
    <row r="494" spans="1:9" ht="15.75" thickBot="1" x14ac:dyDescent="0.3">
      <c r="A494" s="18" t="s">
        <v>581</v>
      </c>
      <c r="B494" s="8">
        <v>1231</v>
      </c>
      <c r="C494" s="4" t="s">
        <v>12</v>
      </c>
      <c r="D494" s="4" t="s">
        <v>12</v>
      </c>
      <c r="E494" s="4" t="s">
        <v>13</v>
      </c>
      <c r="F494" s="4" t="s">
        <v>13</v>
      </c>
      <c r="G494" s="4" t="s">
        <v>13</v>
      </c>
      <c r="H494" s="19" t="s">
        <v>13</v>
      </c>
      <c r="I494" t="str">
        <f>VLOOKUP(A494,All!A:A,1,FALSE)</f>
        <v>Mascoutah</v>
      </c>
    </row>
    <row r="495" spans="1:9" ht="15.75" thickBot="1" x14ac:dyDescent="0.3">
      <c r="A495" s="25" t="s">
        <v>0</v>
      </c>
      <c r="B495" s="1" t="s">
        <v>1</v>
      </c>
      <c r="C495" s="2" t="s">
        <v>899</v>
      </c>
      <c r="D495" s="2" t="s">
        <v>900</v>
      </c>
      <c r="E495" s="2" t="s">
        <v>901</v>
      </c>
      <c r="F495" s="2" t="s">
        <v>902</v>
      </c>
      <c r="G495" s="2" t="s">
        <v>903</v>
      </c>
      <c r="H495" s="26" t="s">
        <v>904</v>
      </c>
      <c r="I495" t="str">
        <f>VLOOKUP(A495,All!A:A,1,FALSE)</f>
        <v>School</v>
      </c>
    </row>
    <row r="496" spans="1:9" ht="15.75" thickBot="1" x14ac:dyDescent="0.3">
      <c r="A496" s="20" t="s">
        <v>582</v>
      </c>
      <c r="B496" s="7">
        <v>171</v>
      </c>
      <c r="C496" s="6" t="s">
        <v>9</v>
      </c>
      <c r="D496" s="9" t="s">
        <v>9</v>
      </c>
      <c r="E496" s="6"/>
      <c r="F496" s="6"/>
      <c r="G496" s="6" t="s">
        <v>9</v>
      </c>
      <c r="H496" s="21"/>
      <c r="I496" t="str">
        <f>VLOOKUP(A496,All!A:A,1,FALSE)</f>
        <v>Mason City (Illini Central)</v>
      </c>
    </row>
    <row r="497" spans="1:9" ht="15.75" thickBot="1" x14ac:dyDescent="0.3">
      <c r="A497" s="18" t="s">
        <v>583</v>
      </c>
      <c r="B497" s="3">
        <v>858</v>
      </c>
      <c r="C497" s="4" t="s">
        <v>12</v>
      </c>
      <c r="D497" s="4" t="s">
        <v>12</v>
      </c>
      <c r="E497" s="4"/>
      <c r="F497" s="4" t="s">
        <v>9</v>
      </c>
      <c r="G497" s="4" t="s">
        <v>13</v>
      </c>
      <c r="H497" s="19" t="s">
        <v>13</v>
      </c>
      <c r="I497" t="str">
        <f>VLOOKUP(A497,All!A:A,1,FALSE)</f>
        <v>Mattoon</v>
      </c>
    </row>
    <row r="498" spans="1:9" ht="15.75" thickBot="1" x14ac:dyDescent="0.3">
      <c r="A498" s="20" t="s">
        <v>584</v>
      </c>
      <c r="B498" s="5">
        <v>2006</v>
      </c>
      <c r="C498" s="6" t="s">
        <v>11</v>
      </c>
      <c r="D498" s="6" t="s">
        <v>11</v>
      </c>
      <c r="E498" s="6" t="s">
        <v>12</v>
      </c>
      <c r="F498" s="6" t="s">
        <v>12</v>
      </c>
      <c r="G498" s="6"/>
      <c r="H498" s="21" t="s">
        <v>12</v>
      </c>
      <c r="I498" t="str">
        <f>VLOOKUP(A498,All!A:A,1,FALSE)</f>
        <v>Maywood (Proviso East)</v>
      </c>
    </row>
    <row r="499" spans="1:9" ht="15.75" thickBot="1" x14ac:dyDescent="0.3">
      <c r="A499" s="18" t="s">
        <v>585</v>
      </c>
      <c r="B499" s="8">
        <v>2187</v>
      </c>
      <c r="C499" s="4" t="s">
        <v>11</v>
      </c>
      <c r="D499" s="4" t="s">
        <v>11</v>
      </c>
      <c r="E499" s="4" t="s">
        <v>905</v>
      </c>
      <c r="F499" s="4" t="s">
        <v>12</v>
      </c>
      <c r="G499" s="4" t="s">
        <v>13</v>
      </c>
      <c r="H499" s="19" t="s">
        <v>12</v>
      </c>
      <c r="I499" t="str">
        <f>VLOOKUP(A499,All!A:A,1,FALSE)</f>
        <v>McHenry</v>
      </c>
    </row>
    <row r="500" spans="1:9" ht="15.75" thickBot="1" x14ac:dyDescent="0.3">
      <c r="A500" s="20" t="s">
        <v>586</v>
      </c>
      <c r="B500" s="7">
        <v>307</v>
      </c>
      <c r="C500" s="6" t="s">
        <v>13</v>
      </c>
      <c r="D500" s="6" t="s">
        <v>13</v>
      </c>
      <c r="E500" s="6"/>
      <c r="F500" s="6"/>
      <c r="G500" s="6" t="s">
        <v>9</v>
      </c>
      <c r="H500" s="21"/>
      <c r="I500" t="str">
        <f>VLOOKUP(A500,All!A:A,1,FALSE)</f>
        <v>McLeansboro (Hamilton County)</v>
      </c>
    </row>
    <row r="501" spans="1:9" ht="15.75" thickBot="1" x14ac:dyDescent="0.3">
      <c r="A501" s="18" t="s">
        <v>587</v>
      </c>
      <c r="B501" s="3" t="s">
        <v>588</v>
      </c>
      <c r="C501" s="11" t="s">
        <v>9</v>
      </c>
      <c r="D501" s="11" t="s">
        <v>9</v>
      </c>
      <c r="E501" s="4"/>
      <c r="F501" s="4"/>
      <c r="G501" s="4"/>
      <c r="H501" s="23" t="s">
        <v>9</v>
      </c>
      <c r="I501" t="str">
        <f>VLOOKUP(A501,All!A:A,1,FALSE)</f>
        <v>Melrose Park (Walther Christian)</v>
      </c>
    </row>
    <row r="502" spans="1:9" ht="15.75" thickBot="1" x14ac:dyDescent="0.3">
      <c r="A502" s="20" t="s">
        <v>589</v>
      </c>
      <c r="B502" s="7">
        <v>175</v>
      </c>
      <c r="C502" s="6" t="s">
        <v>9</v>
      </c>
      <c r="D502" s="6" t="s">
        <v>9</v>
      </c>
      <c r="E502" s="6"/>
      <c r="F502" s="6"/>
      <c r="G502" s="6" t="s">
        <v>9</v>
      </c>
      <c r="H502" s="21"/>
      <c r="I502" t="str">
        <f>VLOOKUP(A502,All!A:A,1,FALSE)</f>
        <v>Mendon (Unity)</v>
      </c>
    </row>
    <row r="503" spans="1:9" ht="15.75" thickBot="1" x14ac:dyDescent="0.3">
      <c r="A503" s="18" t="s">
        <v>590</v>
      </c>
      <c r="B503" s="3">
        <v>485</v>
      </c>
      <c r="C503" s="4" t="s">
        <v>13</v>
      </c>
      <c r="D503" s="4" t="s">
        <v>13</v>
      </c>
      <c r="E503" s="4"/>
      <c r="F503" s="4"/>
      <c r="G503" s="4" t="s">
        <v>13</v>
      </c>
      <c r="H503" s="19" t="s">
        <v>9</v>
      </c>
      <c r="I503" t="str">
        <f>VLOOKUP(A503,All!A:A,1,FALSE)</f>
        <v>Mendota</v>
      </c>
    </row>
    <row r="504" spans="1:9" ht="15.75" thickBot="1" x14ac:dyDescent="0.3">
      <c r="A504" s="20" t="s">
        <v>592</v>
      </c>
      <c r="B504" s="7">
        <v>876</v>
      </c>
      <c r="C504" s="6" t="s">
        <v>12</v>
      </c>
      <c r="D504" s="6" t="s">
        <v>12</v>
      </c>
      <c r="E504" s="6"/>
      <c r="F504" s="6"/>
      <c r="G504" s="6" t="s">
        <v>13</v>
      </c>
      <c r="H504" s="21" t="s">
        <v>13</v>
      </c>
      <c r="I504" t="str">
        <f>VLOOKUP(A504,All!A:A,1,FALSE)</f>
        <v>Metamora</v>
      </c>
    </row>
    <row r="505" spans="1:9" ht="15.75" thickBot="1" x14ac:dyDescent="0.3">
      <c r="A505" s="18" t="s">
        <v>593</v>
      </c>
      <c r="B505" s="3">
        <v>498</v>
      </c>
      <c r="C505" s="4" t="s">
        <v>13</v>
      </c>
      <c r="D505" s="4" t="s">
        <v>13</v>
      </c>
      <c r="E505" s="4"/>
      <c r="F505" s="4"/>
      <c r="G505" s="4" t="s">
        <v>13</v>
      </c>
      <c r="H505" s="19"/>
      <c r="I505" t="str">
        <f>VLOOKUP(A505,All!A:A,1,FALSE)</f>
        <v>Metropolis (Massac County)</v>
      </c>
    </row>
    <row r="506" spans="1:9" ht="15.75" thickBot="1" x14ac:dyDescent="0.3">
      <c r="A506" s="20" t="s">
        <v>594</v>
      </c>
      <c r="B506" s="5">
        <v>1412</v>
      </c>
      <c r="C506" s="6" t="s">
        <v>12</v>
      </c>
      <c r="D506" s="6" t="s">
        <v>12</v>
      </c>
      <c r="E506" s="6" t="s">
        <v>13</v>
      </c>
      <c r="F506" s="6" t="s">
        <v>13</v>
      </c>
      <c r="G506" s="6" t="s">
        <v>13</v>
      </c>
      <c r="H506" s="21" t="s">
        <v>13</v>
      </c>
      <c r="I506" t="str">
        <f>VLOOKUP(A506,All!A:A,1,FALSE)</f>
        <v>Midlothian (Bremen)</v>
      </c>
    </row>
    <row r="507" spans="1:9" ht="15.75" thickBot="1" x14ac:dyDescent="0.3">
      <c r="A507" s="18" t="s">
        <v>595</v>
      </c>
      <c r="B507" s="3">
        <v>138</v>
      </c>
      <c r="C507" s="4" t="s">
        <v>9</v>
      </c>
      <c r="D507" s="4"/>
      <c r="E507" s="4"/>
      <c r="F507" s="4"/>
      <c r="G507" s="4" t="s">
        <v>9</v>
      </c>
      <c r="H507" s="19"/>
      <c r="I507" t="str">
        <f>VLOOKUP(A507,All!A:A,1,FALSE)</f>
        <v>Milford</v>
      </c>
    </row>
    <row r="508" spans="1:9" ht="15.75" thickBot="1" x14ac:dyDescent="0.3">
      <c r="A508" s="20" t="s">
        <v>596</v>
      </c>
      <c r="B508" s="7">
        <v>95</v>
      </c>
      <c r="C508" s="6" t="s">
        <v>9</v>
      </c>
      <c r="D508" s="6" t="s">
        <v>9</v>
      </c>
      <c r="E508" s="6"/>
      <c r="F508" s="6"/>
      <c r="G508" s="6" t="s">
        <v>9</v>
      </c>
      <c r="H508" s="21"/>
      <c r="I508" t="str">
        <f>VLOOKUP(A508,All!A:A,1,FALSE)</f>
        <v>Milledgeville</v>
      </c>
    </row>
    <row r="509" spans="1:9" ht="15.75" thickBot="1" x14ac:dyDescent="0.3">
      <c r="A509" s="18" t="s">
        <v>597</v>
      </c>
      <c r="B509" s="3">
        <v>244</v>
      </c>
      <c r="C509" s="4" t="s">
        <v>9</v>
      </c>
      <c r="D509" s="4" t="s">
        <v>9</v>
      </c>
      <c r="E509" s="4"/>
      <c r="F509" s="4" t="s">
        <v>9</v>
      </c>
      <c r="G509" s="4" t="s">
        <v>9</v>
      </c>
      <c r="H509" s="19"/>
      <c r="I509" t="str">
        <f>VLOOKUP(A509,All!A:A,1,FALSE)</f>
        <v>Minonk (Fieldcrest)</v>
      </c>
    </row>
    <row r="510" spans="1:9" ht="15.75" thickBot="1" x14ac:dyDescent="0.3">
      <c r="A510" s="20" t="s">
        <v>598</v>
      </c>
      <c r="B510" s="5">
        <v>2851</v>
      </c>
      <c r="C510" s="6" t="s">
        <v>11</v>
      </c>
      <c r="D510" s="6" t="s">
        <v>11</v>
      </c>
      <c r="E510" s="6" t="s">
        <v>12</v>
      </c>
      <c r="F510" s="6" t="s">
        <v>12</v>
      </c>
      <c r="G510" s="6" t="s">
        <v>13</v>
      </c>
      <c r="H510" s="21" t="s">
        <v>12</v>
      </c>
      <c r="I510" t="str">
        <f>VLOOKUP(A510,All!A:A,1,FALSE)</f>
        <v>Minooka</v>
      </c>
    </row>
    <row r="511" spans="1:9" ht="15.75" thickBot="1" x14ac:dyDescent="0.3">
      <c r="A511" s="18" t="s">
        <v>599</v>
      </c>
      <c r="B511" s="8">
        <v>2190</v>
      </c>
      <c r="C511" s="4" t="s">
        <v>11</v>
      </c>
      <c r="D511" s="4" t="s">
        <v>11</v>
      </c>
      <c r="E511" s="4" t="s">
        <v>12</v>
      </c>
      <c r="F511" s="4"/>
      <c r="G511" s="4" t="s">
        <v>13</v>
      </c>
      <c r="H511" s="19" t="s">
        <v>12</v>
      </c>
      <c r="I511" t="str">
        <f>VLOOKUP(A511,All!A:A,1,FALSE)</f>
        <v>Moline (H.S.)</v>
      </c>
    </row>
    <row r="512" spans="1:9" ht="15.75" thickBot="1" x14ac:dyDescent="0.3">
      <c r="A512" s="20" t="s">
        <v>956</v>
      </c>
      <c r="B512" s="7" t="s">
        <v>355</v>
      </c>
      <c r="C512" s="6"/>
      <c r="D512" s="6"/>
      <c r="E512" s="6"/>
      <c r="F512" s="6"/>
      <c r="G512" s="6"/>
      <c r="H512" s="23" t="s">
        <v>9</v>
      </c>
      <c r="I512" t="str">
        <f>VLOOKUP(A512,All!A:A,1,FALSE)</f>
        <v>Moline (Quad Cities Christian School)</v>
      </c>
    </row>
    <row r="513" spans="1:9" ht="15.75" thickBot="1" x14ac:dyDescent="0.3">
      <c r="A513" s="18" t="s">
        <v>600</v>
      </c>
      <c r="B513" s="3">
        <v>298</v>
      </c>
      <c r="C513" s="4" t="s">
        <v>9</v>
      </c>
      <c r="D513" s="4" t="s">
        <v>9</v>
      </c>
      <c r="E513" s="4"/>
      <c r="F513" s="4"/>
      <c r="G513" s="4" t="s">
        <v>9</v>
      </c>
      <c r="H513" s="19"/>
      <c r="I513" t="str">
        <f>VLOOKUP(A513,All!A:A,1,FALSE)</f>
        <v>Momence</v>
      </c>
    </row>
    <row r="514" spans="1:9" ht="15.75" thickBot="1" x14ac:dyDescent="0.3">
      <c r="A514" s="20" t="s">
        <v>601</v>
      </c>
      <c r="B514" s="7">
        <v>482</v>
      </c>
      <c r="C514" s="6" t="s">
        <v>13</v>
      </c>
      <c r="D514" s="6" t="s">
        <v>13</v>
      </c>
      <c r="E514" s="6" t="s">
        <v>9</v>
      </c>
      <c r="F514" s="6"/>
      <c r="G514" s="6" t="s">
        <v>13</v>
      </c>
      <c r="H514" s="21" t="s">
        <v>9</v>
      </c>
      <c r="I514" t="str">
        <f>VLOOKUP(A514,All!A:A,1,FALSE)</f>
        <v>Monmouth (M.-Roseville)</v>
      </c>
    </row>
    <row r="515" spans="1:9" ht="15.75" thickBot="1" x14ac:dyDescent="0.3">
      <c r="A515" s="18" t="s">
        <v>602</v>
      </c>
      <c r="B515" s="3">
        <v>291</v>
      </c>
      <c r="C515" s="4" t="s">
        <v>9</v>
      </c>
      <c r="D515" s="4" t="s">
        <v>9</v>
      </c>
      <c r="E515" s="4"/>
      <c r="F515" s="4"/>
      <c r="G515" s="4" t="s">
        <v>9</v>
      </c>
      <c r="H515" s="19" t="s">
        <v>9</v>
      </c>
      <c r="I515" t="str">
        <f>VLOOKUP(A515,All!A:A,1,FALSE)</f>
        <v>Monmouth (United)</v>
      </c>
    </row>
    <row r="516" spans="1:9" ht="15.75" thickBot="1" x14ac:dyDescent="0.3">
      <c r="A516" s="20" t="s">
        <v>603</v>
      </c>
      <c r="B516" s="7">
        <v>484</v>
      </c>
      <c r="C516" s="6" t="s">
        <v>13</v>
      </c>
      <c r="D516" s="6" t="s">
        <v>13</v>
      </c>
      <c r="E516" s="6"/>
      <c r="F516" s="6"/>
      <c r="G516" s="6" t="s">
        <v>13</v>
      </c>
      <c r="H516" s="21" t="s">
        <v>9</v>
      </c>
      <c r="I516" t="str">
        <f>VLOOKUP(A516,All!A:A,1,FALSE)</f>
        <v>Monticello</v>
      </c>
    </row>
    <row r="517" spans="1:9" ht="15.75" thickBot="1" x14ac:dyDescent="0.3">
      <c r="A517" s="18" t="s">
        <v>604</v>
      </c>
      <c r="B517" s="3" t="s">
        <v>605</v>
      </c>
      <c r="C517" s="10" t="s">
        <v>9</v>
      </c>
      <c r="D517" s="10" t="s">
        <v>9</v>
      </c>
      <c r="E517" s="4"/>
      <c r="F517" s="4"/>
      <c r="G517" s="4"/>
      <c r="H517" s="19"/>
      <c r="I517" t="str">
        <f>VLOOKUP(A517,All!A:A,1,FALSE)</f>
        <v>Mooseheart</v>
      </c>
    </row>
    <row r="518" spans="1:9" ht="15.75" thickBot="1" x14ac:dyDescent="0.3">
      <c r="A518" s="20" t="s">
        <v>606</v>
      </c>
      <c r="B518" s="7">
        <v>853</v>
      </c>
      <c r="C518" s="6" t="s">
        <v>12</v>
      </c>
      <c r="D518" s="6" t="s">
        <v>12</v>
      </c>
      <c r="E518" s="6" t="s">
        <v>13</v>
      </c>
      <c r="F518" s="6" t="s">
        <v>9</v>
      </c>
      <c r="G518" s="6" t="s">
        <v>13</v>
      </c>
      <c r="H518" s="21" t="s">
        <v>13</v>
      </c>
      <c r="I518" t="str">
        <f>VLOOKUP(A518,All!A:A,1,FALSE)</f>
        <v>Morris</v>
      </c>
    </row>
    <row r="519" spans="1:9" ht="15.75" thickBot="1" x14ac:dyDescent="0.3">
      <c r="A519" s="18" t="s">
        <v>607</v>
      </c>
      <c r="B519" s="3">
        <v>276</v>
      </c>
      <c r="C519" s="4" t="s">
        <v>9</v>
      </c>
      <c r="D519" s="4" t="s">
        <v>9</v>
      </c>
      <c r="E519" s="4"/>
      <c r="F519" s="4"/>
      <c r="G519" s="4" t="s">
        <v>9</v>
      </c>
      <c r="H519" s="19" t="s">
        <v>9</v>
      </c>
      <c r="I519" t="str">
        <f>VLOOKUP(A519,All!A:A,1,FALSE)</f>
        <v>Morrison</v>
      </c>
    </row>
    <row r="520" spans="1:9" ht="15.75" thickBot="1" x14ac:dyDescent="0.3">
      <c r="A520" s="20" t="s">
        <v>609</v>
      </c>
      <c r="B520" s="5">
        <v>1050</v>
      </c>
      <c r="C520" s="6" t="s">
        <v>12</v>
      </c>
      <c r="D520" s="6" t="s">
        <v>12</v>
      </c>
      <c r="E520" s="6" t="s">
        <v>13</v>
      </c>
      <c r="F520" s="6" t="s">
        <v>9</v>
      </c>
      <c r="G520" s="6" t="s">
        <v>13</v>
      </c>
      <c r="H520" s="21" t="s">
        <v>13</v>
      </c>
      <c r="I520" t="str">
        <f>VLOOKUP(A520,All!A:A,1,FALSE)</f>
        <v>Morton</v>
      </c>
    </row>
    <row r="521" spans="1:9" ht="15.75" thickBot="1" x14ac:dyDescent="0.3">
      <c r="A521" s="25" t="s">
        <v>0</v>
      </c>
      <c r="B521" s="1" t="s">
        <v>1</v>
      </c>
      <c r="C521" s="2" t="s">
        <v>899</v>
      </c>
      <c r="D521" s="2" t="s">
        <v>900</v>
      </c>
      <c r="E521" s="2" t="s">
        <v>901</v>
      </c>
      <c r="F521" s="2" t="s">
        <v>902</v>
      </c>
      <c r="G521" s="2" t="s">
        <v>903</v>
      </c>
      <c r="H521" s="26" t="s">
        <v>904</v>
      </c>
      <c r="I521" t="str">
        <f>VLOOKUP(A521,All!A:A,1,FALSE)</f>
        <v>School</v>
      </c>
    </row>
    <row r="522" spans="1:9" ht="15.75" thickBot="1" x14ac:dyDescent="0.3">
      <c r="A522" s="18" t="s">
        <v>957</v>
      </c>
      <c r="B522" s="3" t="s">
        <v>958</v>
      </c>
      <c r="C522" s="10" t="s">
        <v>9</v>
      </c>
      <c r="D522" s="10" t="s">
        <v>9</v>
      </c>
      <c r="E522" s="4"/>
      <c r="F522" s="4"/>
      <c r="G522" s="4"/>
      <c r="H522" s="19"/>
      <c r="I522" t="str">
        <f>VLOOKUP(A522,All!A:A,1,FALSE)</f>
        <v>Morton Grove (MCC Academy)</v>
      </c>
    </row>
    <row r="523" spans="1:9" ht="15.75" thickBot="1" x14ac:dyDescent="0.3">
      <c r="A523" s="20" t="s">
        <v>610</v>
      </c>
      <c r="B523" s="7">
        <v>121</v>
      </c>
      <c r="C523" s="6" t="s">
        <v>9</v>
      </c>
      <c r="D523" s="6" t="s">
        <v>9</v>
      </c>
      <c r="E523" s="6"/>
      <c r="F523" s="6"/>
      <c r="G523" s="6"/>
      <c r="H523" s="21"/>
      <c r="I523" t="str">
        <f>VLOOKUP(A523,All!A:A,1,FALSE)</f>
        <v>Mounds (Meridian)</v>
      </c>
    </row>
    <row r="524" spans="1:9" ht="15.75" thickBot="1" x14ac:dyDescent="0.3">
      <c r="A524" s="18" t="s">
        <v>611</v>
      </c>
      <c r="B524" s="3">
        <v>236</v>
      </c>
      <c r="C524" s="4" t="s">
        <v>9</v>
      </c>
      <c r="D524" s="4" t="s">
        <v>9</v>
      </c>
      <c r="E524" s="4"/>
      <c r="F524" s="4"/>
      <c r="G524" s="4" t="s">
        <v>9</v>
      </c>
      <c r="H524" s="19" t="s">
        <v>9</v>
      </c>
      <c r="I524" t="str">
        <f>VLOOKUP(A524,All!A:A,1,FALSE)</f>
        <v>Mount Carroll (West Carroll)</v>
      </c>
    </row>
    <row r="525" spans="1:9" ht="15.75" thickBot="1" x14ac:dyDescent="0.3">
      <c r="A525" s="20" t="s">
        <v>612</v>
      </c>
      <c r="B525" s="7">
        <v>206</v>
      </c>
      <c r="C525" s="6" t="s">
        <v>9</v>
      </c>
      <c r="D525" s="6" t="s">
        <v>9</v>
      </c>
      <c r="E525" s="6"/>
      <c r="F525" s="6"/>
      <c r="G525" s="6" t="s">
        <v>9</v>
      </c>
      <c r="H525" s="21"/>
      <c r="I525" t="str">
        <f>VLOOKUP(A525,All!A:A,1,FALSE)</f>
        <v>Moweaqua (Central A &amp; M)</v>
      </c>
    </row>
    <row r="526" spans="1:9" ht="15.75" thickBot="1" x14ac:dyDescent="0.3">
      <c r="A526" s="18" t="s">
        <v>613</v>
      </c>
      <c r="B526" s="3">
        <v>452</v>
      </c>
      <c r="C526" s="4" t="s">
        <v>13</v>
      </c>
      <c r="D526" s="4" t="s">
        <v>13</v>
      </c>
      <c r="E526" s="4"/>
      <c r="F526" s="4"/>
      <c r="G526" s="4"/>
      <c r="H526" s="19" t="s">
        <v>9</v>
      </c>
      <c r="I526" t="str">
        <f>VLOOKUP(A526,All!A:A,1,FALSE)</f>
        <v>Mt. Carmel</v>
      </c>
    </row>
    <row r="527" spans="1:9" ht="15.75" thickBot="1" x14ac:dyDescent="0.3">
      <c r="A527" s="20" t="s">
        <v>614</v>
      </c>
      <c r="B527" s="7">
        <v>163</v>
      </c>
      <c r="C527" s="6" t="s">
        <v>9</v>
      </c>
      <c r="D527" s="6" t="s">
        <v>9</v>
      </c>
      <c r="E527" s="6"/>
      <c r="F527" s="6"/>
      <c r="G527" s="6" t="s">
        <v>9</v>
      </c>
      <c r="H527" s="21"/>
      <c r="I527" t="str">
        <f>VLOOKUP(A527,All!A:A,1,FALSE)</f>
        <v>Mt. Olive</v>
      </c>
    </row>
    <row r="528" spans="1:9" ht="15.75" thickBot="1" x14ac:dyDescent="0.3">
      <c r="A528" s="18" t="s">
        <v>615</v>
      </c>
      <c r="B528" s="8">
        <v>2152</v>
      </c>
      <c r="C528" s="4" t="s">
        <v>11</v>
      </c>
      <c r="D528" s="4" t="s">
        <v>11</v>
      </c>
      <c r="E528" s="4" t="s">
        <v>12</v>
      </c>
      <c r="F528" s="4" t="s">
        <v>12</v>
      </c>
      <c r="G528" s="4" t="s">
        <v>13</v>
      </c>
      <c r="H528" s="19" t="s">
        <v>12</v>
      </c>
      <c r="I528" t="str">
        <f>VLOOKUP(A528,All!A:A,1,FALSE)</f>
        <v>Mt. Prospect (Prospect)</v>
      </c>
    </row>
    <row r="529" spans="1:9" ht="15.75" thickBot="1" x14ac:dyDescent="0.3">
      <c r="A529" s="20" t="s">
        <v>616</v>
      </c>
      <c r="B529" s="7">
        <v>174</v>
      </c>
      <c r="C529" s="6" t="s">
        <v>9</v>
      </c>
      <c r="D529" s="6" t="s">
        <v>9</v>
      </c>
      <c r="E529" s="6"/>
      <c r="F529" s="6"/>
      <c r="G529" s="6" t="s">
        <v>9</v>
      </c>
      <c r="H529" s="21"/>
      <c r="I529" t="str">
        <f>VLOOKUP(A529,All!A:A,1,FALSE)</f>
        <v>Mt. Pulaski</v>
      </c>
    </row>
    <row r="530" spans="1:9" ht="15.75" thickBot="1" x14ac:dyDescent="0.3">
      <c r="A530" s="18" t="s">
        <v>617</v>
      </c>
      <c r="B530" s="3">
        <v>222</v>
      </c>
      <c r="C530" s="4" t="s">
        <v>9</v>
      </c>
      <c r="D530" s="4" t="s">
        <v>9</v>
      </c>
      <c r="E530" s="4"/>
      <c r="F530" s="4"/>
      <c r="G530" s="4" t="s">
        <v>9</v>
      </c>
      <c r="H530" s="19"/>
      <c r="I530" t="str">
        <f>VLOOKUP(A530,All!A:A,1,FALSE)</f>
        <v>Mt. Sterling (Brown County)</v>
      </c>
    </row>
    <row r="531" spans="1:9" ht="15.75" thickBot="1" x14ac:dyDescent="0.3">
      <c r="A531" s="20" t="s">
        <v>618</v>
      </c>
      <c r="B531" s="5">
        <v>1152</v>
      </c>
      <c r="C531" s="6" t="s">
        <v>12</v>
      </c>
      <c r="D531" s="6" t="s">
        <v>12</v>
      </c>
      <c r="E531" s="6" t="s">
        <v>13</v>
      </c>
      <c r="F531" s="6"/>
      <c r="G531" s="6" t="s">
        <v>13</v>
      </c>
      <c r="H531" s="21" t="s">
        <v>13</v>
      </c>
      <c r="I531" t="str">
        <f>VLOOKUP(A531,All!A:A,1,FALSE)</f>
        <v>Mt. Vernon (H.S.)</v>
      </c>
    </row>
    <row r="532" spans="1:9" ht="15.75" thickBot="1" x14ac:dyDescent="0.3">
      <c r="A532" s="18" t="s">
        <v>619</v>
      </c>
      <c r="B532" s="3">
        <v>748</v>
      </c>
      <c r="C532" s="4" t="s">
        <v>12</v>
      </c>
      <c r="D532" s="4" t="s">
        <v>12</v>
      </c>
      <c r="E532" s="4"/>
      <c r="F532" s="4"/>
      <c r="G532" s="4" t="s">
        <v>13</v>
      </c>
      <c r="H532" s="19" t="s">
        <v>9</v>
      </c>
      <c r="I532" t="str">
        <f>VLOOKUP(A532,All!A:A,1,FALSE)</f>
        <v>Mt. Zion</v>
      </c>
    </row>
    <row r="533" spans="1:9" ht="15.75" thickBot="1" x14ac:dyDescent="0.3">
      <c r="A533" s="20" t="s">
        <v>620</v>
      </c>
      <c r="B533" s="7">
        <v>100</v>
      </c>
      <c r="C533" s="6" t="s">
        <v>9</v>
      </c>
      <c r="D533" s="6"/>
      <c r="E533" s="6"/>
      <c r="F533" s="6"/>
      <c r="G533" s="6" t="s">
        <v>9</v>
      </c>
      <c r="H533" s="21"/>
      <c r="I533" t="str">
        <f>VLOOKUP(A533,All!A:A,1,FALSE)</f>
        <v>Mulberry Grove</v>
      </c>
    </row>
    <row r="534" spans="1:9" ht="15.75" thickBot="1" x14ac:dyDescent="0.3">
      <c r="A534" s="18" t="s">
        <v>621</v>
      </c>
      <c r="B534" s="3" t="s">
        <v>622</v>
      </c>
      <c r="C534" s="11" t="s">
        <v>12</v>
      </c>
      <c r="D534" s="10" t="s">
        <v>11</v>
      </c>
      <c r="E534" s="11" t="s">
        <v>13</v>
      </c>
      <c r="F534" s="10" t="s">
        <v>13</v>
      </c>
      <c r="G534" s="4"/>
      <c r="H534" s="24" t="s">
        <v>13</v>
      </c>
      <c r="I534" t="str">
        <f>VLOOKUP(A534,All!A:A,1,FALSE)</f>
        <v>Mundelein (Carmel)</v>
      </c>
    </row>
    <row r="535" spans="1:9" ht="15.75" thickBot="1" x14ac:dyDescent="0.3">
      <c r="A535" s="20" t="s">
        <v>623</v>
      </c>
      <c r="B535" s="5">
        <v>2254</v>
      </c>
      <c r="C535" s="6" t="s">
        <v>11</v>
      </c>
      <c r="D535" s="6" t="s">
        <v>11</v>
      </c>
      <c r="E535" s="6" t="s">
        <v>12</v>
      </c>
      <c r="F535" s="6" t="s">
        <v>12</v>
      </c>
      <c r="G535" s="6" t="s">
        <v>13</v>
      </c>
      <c r="H535" s="21" t="s">
        <v>12</v>
      </c>
      <c r="I535" t="str">
        <f>VLOOKUP(A535,All!A:A,1,FALSE)</f>
        <v>Mundelein (H.S.)</v>
      </c>
    </row>
    <row r="536" spans="1:9" ht="15.75" thickBot="1" x14ac:dyDescent="0.3">
      <c r="A536" s="18" t="s">
        <v>624</v>
      </c>
      <c r="B536" s="3">
        <v>546</v>
      </c>
      <c r="C536" s="4" t="s">
        <v>13</v>
      </c>
      <c r="D536" s="4" t="s">
        <v>13</v>
      </c>
      <c r="E536" s="4"/>
      <c r="F536" s="4" t="s">
        <v>9</v>
      </c>
      <c r="G536" s="4"/>
      <c r="H536" s="19" t="s">
        <v>9</v>
      </c>
      <c r="I536" t="str">
        <f>VLOOKUP(A536,All!A:A,1,FALSE)</f>
        <v>Murphysboro</v>
      </c>
    </row>
    <row r="537" spans="1:9" ht="15.75" thickBot="1" x14ac:dyDescent="0.3">
      <c r="A537" s="20" t="s">
        <v>627</v>
      </c>
      <c r="B537" s="5">
        <v>2501</v>
      </c>
      <c r="C537" s="6" t="s">
        <v>11</v>
      </c>
      <c r="D537" s="6" t="s">
        <v>11</v>
      </c>
      <c r="E537" s="6" t="s">
        <v>12</v>
      </c>
      <c r="F537" s="6" t="s">
        <v>12</v>
      </c>
      <c r="G537" s="6" t="s">
        <v>13</v>
      </c>
      <c r="H537" s="21" t="s">
        <v>12</v>
      </c>
      <c r="I537" t="str">
        <f>VLOOKUP(A537,All!A:A,1,FALSE)</f>
        <v>Naperville (Central)</v>
      </c>
    </row>
    <row r="538" spans="1:9" ht="15.75" thickBot="1" x14ac:dyDescent="0.3">
      <c r="A538" s="18" t="s">
        <v>628</v>
      </c>
      <c r="B538" s="8">
        <v>2977</v>
      </c>
      <c r="C538" s="4" t="s">
        <v>11</v>
      </c>
      <c r="D538" s="4" t="s">
        <v>11</v>
      </c>
      <c r="E538" s="4" t="s">
        <v>12</v>
      </c>
      <c r="F538" s="4" t="s">
        <v>12</v>
      </c>
      <c r="G538" s="4" t="s">
        <v>13</v>
      </c>
      <c r="H538" s="19" t="s">
        <v>12</v>
      </c>
      <c r="I538" t="str">
        <f>VLOOKUP(A538,All!A:A,1,FALSE)</f>
        <v>Naperville (Neuqua Valley)</v>
      </c>
    </row>
    <row r="539" spans="1:9" ht="15.75" thickBot="1" x14ac:dyDescent="0.3">
      <c r="A539" s="20" t="s">
        <v>629</v>
      </c>
      <c r="B539" s="5">
        <v>2480</v>
      </c>
      <c r="C539" s="6" t="s">
        <v>11</v>
      </c>
      <c r="D539" s="6" t="s">
        <v>11</v>
      </c>
      <c r="E539" s="6" t="s">
        <v>12</v>
      </c>
      <c r="F539" s="6" t="s">
        <v>12</v>
      </c>
      <c r="G539" s="6" t="s">
        <v>13</v>
      </c>
      <c r="H539" s="21" t="s">
        <v>12</v>
      </c>
      <c r="I539" t="str">
        <f>VLOOKUP(A539,All!A:A,1,FALSE)</f>
        <v>Naperville (North)</v>
      </c>
    </row>
    <row r="540" spans="1:9" ht="15.75" thickBot="1" x14ac:dyDescent="0.3">
      <c r="A540" s="18" t="s">
        <v>630</v>
      </c>
      <c r="B540" s="3">
        <v>332</v>
      </c>
      <c r="C540" s="4" t="s">
        <v>13</v>
      </c>
      <c r="D540" s="4" t="s">
        <v>13</v>
      </c>
      <c r="E540" s="4" t="s">
        <v>9</v>
      </c>
      <c r="F540" s="4" t="s">
        <v>9</v>
      </c>
      <c r="G540" s="4" t="s">
        <v>9</v>
      </c>
      <c r="H540" s="19"/>
      <c r="I540" t="str">
        <f>VLOOKUP(A540,All!A:A,1,FALSE)</f>
        <v>Nashville</v>
      </c>
    </row>
    <row r="541" spans="1:9" ht="15.75" thickBot="1" x14ac:dyDescent="0.3">
      <c r="A541" s="20" t="s">
        <v>631</v>
      </c>
      <c r="B541" s="7">
        <v>169</v>
      </c>
      <c r="C541" s="6" t="s">
        <v>9</v>
      </c>
      <c r="D541" s="6" t="s">
        <v>9</v>
      </c>
      <c r="E541" s="6"/>
      <c r="F541" s="6"/>
      <c r="G541" s="6" t="s">
        <v>9</v>
      </c>
      <c r="H541" s="21"/>
      <c r="I541" t="str">
        <f>VLOOKUP(A541,All!A:A,1,FALSE)</f>
        <v>Neoga</v>
      </c>
    </row>
    <row r="542" spans="1:9" ht="15.75" thickBot="1" x14ac:dyDescent="0.3">
      <c r="A542" s="18" t="s">
        <v>632</v>
      </c>
      <c r="B542" s="3">
        <v>156</v>
      </c>
      <c r="C542" s="4" t="s">
        <v>9</v>
      </c>
      <c r="D542" s="4" t="s">
        <v>9</v>
      </c>
      <c r="E542" s="4"/>
      <c r="F542" s="4"/>
      <c r="G542" s="4" t="s">
        <v>9</v>
      </c>
      <c r="H542" s="19"/>
      <c r="I542" t="str">
        <f>VLOOKUP(A542,All!A:A,1,FALSE)</f>
        <v>New Athens</v>
      </c>
    </row>
    <row r="543" spans="1:9" ht="15.75" thickBot="1" x14ac:dyDescent="0.3">
      <c r="A543" s="20" t="s">
        <v>633</v>
      </c>
      <c r="B543" s="7">
        <v>246</v>
      </c>
      <c r="C543" s="6" t="s">
        <v>9</v>
      </c>
      <c r="D543" s="6"/>
      <c r="E543" s="6" t="s">
        <v>9</v>
      </c>
      <c r="F543" s="6"/>
      <c r="G543" s="6" t="s">
        <v>9</v>
      </c>
      <c r="H543" s="21"/>
      <c r="I543" t="str">
        <f>VLOOKUP(A543,All!A:A,1,FALSE)</f>
        <v>New Berlin</v>
      </c>
    </row>
    <row r="544" spans="1:9" ht="15.75" thickBot="1" x14ac:dyDescent="0.3">
      <c r="A544" s="18" t="s">
        <v>634</v>
      </c>
      <c r="B544" s="8">
        <v>1970</v>
      </c>
      <c r="C544" s="4" t="s">
        <v>11</v>
      </c>
      <c r="D544" s="4" t="s">
        <v>11</v>
      </c>
      <c r="E544" s="4" t="s">
        <v>12</v>
      </c>
      <c r="F544" s="4" t="s">
        <v>12</v>
      </c>
      <c r="G544" s="4" t="s">
        <v>13</v>
      </c>
      <c r="H544" s="19" t="s">
        <v>12</v>
      </c>
      <c r="I544" t="str">
        <f>VLOOKUP(A544,All!A:A,1,FALSE)</f>
        <v>New Lenox (Lincoln-Way Central)</v>
      </c>
    </row>
    <row r="545" spans="1:9" ht="15.75" thickBot="1" x14ac:dyDescent="0.3">
      <c r="A545" s="20" t="s">
        <v>635</v>
      </c>
      <c r="B545" s="5">
        <v>1994</v>
      </c>
      <c r="C545" s="6" t="s">
        <v>11</v>
      </c>
      <c r="D545" s="6" t="s">
        <v>11</v>
      </c>
      <c r="E545" s="6" t="s">
        <v>12</v>
      </c>
      <c r="F545" s="6" t="s">
        <v>12</v>
      </c>
      <c r="G545" s="6" t="s">
        <v>13</v>
      </c>
      <c r="H545" s="21" t="s">
        <v>12</v>
      </c>
      <c r="I545" t="str">
        <f>VLOOKUP(A545,All!A:A,1,FALSE)</f>
        <v>New Lenox (Lincoln-Way West)</v>
      </c>
    </row>
    <row r="546" spans="1:9" ht="15.75" thickBot="1" x14ac:dyDescent="0.3">
      <c r="A546" s="18" t="s">
        <v>636</v>
      </c>
      <c r="B546" s="3" t="s">
        <v>637</v>
      </c>
      <c r="C546" s="10" t="s">
        <v>12</v>
      </c>
      <c r="D546" s="10" t="s">
        <v>12</v>
      </c>
      <c r="E546" s="10" t="s">
        <v>13</v>
      </c>
      <c r="F546" s="10" t="s">
        <v>13</v>
      </c>
      <c r="G546" s="10" t="s">
        <v>13</v>
      </c>
      <c r="H546" s="23" t="s">
        <v>13</v>
      </c>
      <c r="I546" t="str">
        <f>VLOOKUP(A546,All!A:A,1,FALSE)</f>
        <v>New Lenox (Providence Catholic)</v>
      </c>
    </row>
    <row r="547" spans="1:9" ht="15.75" thickBot="1" x14ac:dyDescent="0.3">
      <c r="A547" s="25" t="s">
        <v>0</v>
      </c>
      <c r="B547" s="1" t="s">
        <v>1</v>
      </c>
      <c r="C547" s="2" t="s">
        <v>899</v>
      </c>
      <c r="D547" s="2" t="s">
        <v>900</v>
      </c>
      <c r="E547" s="2" t="s">
        <v>901</v>
      </c>
      <c r="F547" s="2" t="s">
        <v>902</v>
      </c>
      <c r="G547" s="2" t="s">
        <v>903</v>
      </c>
      <c r="H547" s="26" t="s">
        <v>904</v>
      </c>
      <c r="I547" t="str">
        <f>VLOOKUP(A547,All!A:A,1,FALSE)</f>
        <v>School</v>
      </c>
    </row>
    <row r="548" spans="1:9" ht="15.75" thickBot="1" x14ac:dyDescent="0.3">
      <c r="A548" s="20" t="s">
        <v>638</v>
      </c>
      <c r="B548" s="7">
        <v>173</v>
      </c>
      <c r="C548" s="6" t="s">
        <v>9</v>
      </c>
      <c r="D548" s="6" t="s">
        <v>9</v>
      </c>
      <c r="E548" s="6"/>
      <c r="F548" s="6"/>
      <c r="G548" s="6" t="s">
        <v>9</v>
      </c>
      <c r="H548" s="21"/>
      <c r="I548" t="str">
        <f>VLOOKUP(A548,All!A:A,1,FALSE)</f>
        <v>Newark</v>
      </c>
    </row>
    <row r="549" spans="1:9" ht="15.75" thickBot="1" x14ac:dyDescent="0.3">
      <c r="A549" s="18" t="s">
        <v>639</v>
      </c>
      <c r="B549" s="3">
        <v>401</v>
      </c>
      <c r="C549" s="4" t="s">
        <v>13</v>
      </c>
      <c r="D549" s="4" t="s">
        <v>13</v>
      </c>
      <c r="E549" s="4"/>
      <c r="F549" s="4"/>
      <c r="G549" s="4" t="s">
        <v>9</v>
      </c>
      <c r="H549" s="19"/>
      <c r="I549" t="str">
        <f>VLOOKUP(A549,All!A:A,1,FALSE)</f>
        <v>Newton</v>
      </c>
    </row>
    <row r="550" spans="1:9" ht="15.75" thickBot="1" x14ac:dyDescent="0.3">
      <c r="A550" s="20" t="s">
        <v>640</v>
      </c>
      <c r="B550" s="7">
        <v>195</v>
      </c>
      <c r="C550" s="6"/>
      <c r="D550" s="9" t="s">
        <v>13</v>
      </c>
      <c r="E550" s="6"/>
      <c r="F550" s="6"/>
      <c r="G550" s="6" t="s">
        <v>9</v>
      </c>
      <c r="H550" s="21"/>
      <c r="I550" t="str">
        <f>VLOOKUP(A550,All!A:A,1,FALSE)</f>
        <v>Niantic (Sangamon Valley)</v>
      </c>
    </row>
    <row r="551" spans="1:9" ht="15.75" thickBot="1" x14ac:dyDescent="0.3">
      <c r="A551" s="18" t="s">
        <v>641</v>
      </c>
      <c r="B551" s="3" t="s">
        <v>642</v>
      </c>
      <c r="C551" s="11" t="s">
        <v>13</v>
      </c>
      <c r="D551" s="4"/>
      <c r="E551" s="4"/>
      <c r="F551" s="4"/>
      <c r="G551" s="10" t="s">
        <v>13</v>
      </c>
      <c r="H551" s="23" t="s">
        <v>13</v>
      </c>
      <c r="I551" t="str">
        <f>VLOOKUP(A551,All!A:A,1,FALSE)</f>
        <v>Niles (Northridge Prep)</v>
      </c>
    </row>
    <row r="552" spans="1:9" ht="15.75" thickBot="1" x14ac:dyDescent="0.3">
      <c r="A552" s="20" t="s">
        <v>643</v>
      </c>
      <c r="B552" s="7" t="s">
        <v>644</v>
      </c>
      <c r="C552" s="10" t="s">
        <v>11</v>
      </c>
      <c r="D552" s="6"/>
      <c r="E552" s="6"/>
      <c r="F552" s="6"/>
      <c r="G552" s="10" t="s">
        <v>13</v>
      </c>
      <c r="H552" s="23" t="s">
        <v>12</v>
      </c>
      <c r="I552" t="str">
        <f>VLOOKUP(A552,All!A:A,1,FALSE)</f>
        <v>Niles (Notre Dame)</v>
      </c>
    </row>
    <row r="553" spans="1:9" ht="15.75" thickBot="1" x14ac:dyDescent="0.3">
      <c r="A553" s="18" t="s">
        <v>645</v>
      </c>
      <c r="B553" s="3">
        <v>187</v>
      </c>
      <c r="C553" s="4" t="s">
        <v>9</v>
      </c>
      <c r="D553" s="4" t="s">
        <v>9</v>
      </c>
      <c r="E553" s="4"/>
      <c r="F553" s="4"/>
      <c r="G553" s="4" t="s">
        <v>9</v>
      </c>
      <c r="H553" s="19"/>
      <c r="I553" t="str">
        <f>VLOOKUP(A553,All!A:A,1,FALSE)</f>
        <v>Nokomis</v>
      </c>
    </row>
    <row r="554" spans="1:9" ht="15.75" thickBot="1" x14ac:dyDescent="0.3">
      <c r="A554" s="20" t="s">
        <v>959</v>
      </c>
      <c r="B554" s="7" t="s">
        <v>960</v>
      </c>
      <c r="C554" s="10" t="s">
        <v>9</v>
      </c>
      <c r="D554" s="10" t="s">
        <v>9</v>
      </c>
      <c r="E554" s="6"/>
      <c r="F554" s="6"/>
      <c r="G554" s="6"/>
      <c r="H554" s="21"/>
      <c r="I554" t="str">
        <f>VLOOKUP(A554,All!A:A,1,FALSE)</f>
        <v>Normal (Calvary Christian Academy)</v>
      </c>
    </row>
    <row r="555" spans="1:9" ht="15.75" thickBot="1" x14ac:dyDescent="0.3">
      <c r="A555" s="18" t="s">
        <v>646</v>
      </c>
      <c r="B555" s="8">
        <v>1520</v>
      </c>
      <c r="C555" s="4" t="s">
        <v>12</v>
      </c>
      <c r="D555" s="4" t="s">
        <v>12</v>
      </c>
      <c r="E555" s="4" t="s">
        <v>13</v>
      </c>
      <c r="F555" s="4" t="s">
        <v>13</v>
      </c>
      <c r="G555" s="4"/>
      <c r="H555" s="19" t="s">
        <v>13</v>
      </c>
      <c r="I555" t="str">
        <f>VLOOKUP(A555,All!A:A,1,FALSE)</f>
        <v>Normal (Community West)</v>
      </c>
    </row>
    <row r="556" spans="1:9" ht="15.75" thickBot="1" x14ac:dyDescent="0.3">
      <c r="A556" s="20" t="s">
        <v>647</v>
      </c>
      <c r="B556" s="5">
        <v>2021</v>
      </c>
      <c r="C556" s="6" t="s">
        <v>11</v>
      </c>
      <c r="D556" s="6" t="s">
        <v>11</v>
      </c>
      <c r="E556" s="6" t="s">
        <v>12</v>
      </c>
      <c r="F556" s="6" t="s">
        <v>12</v>
      </c>
      <c r="G556" s="6" t="s">
        <v>13</v>
      </c>
      <c r="H556" s="21" t="s">
        <v>12</v>
      </c>
      <c r="I556" t="str">
        <f>VLOOKUP(A556,All!A:A,1,FALSE)</f>
        <v>Normal (Community)</v>
      </c>
    </row>
    <row r="557" spans="1:9" ht="15.75" thickBot="1" x14ac:dyDescent="0.3">
      <c r="A557" s="18" t="s">
        <v>648</v>
      </c>
      <c r="B557" s="3" t="s">
        <v>321</v>
      </c>
      <c r="C557" s="10" t="s">
        <v>12</v>
      </c>
      <c r="D557" s="11" t="s">
        <v>13</v>
      </c>
      <c r="E557" s="10" t="s">
        <v>13</v>
      </c>
      <c r="F557" s="4"/>
      <c r="G557" s="10" t="s">
        <v>13</v>
      </c>
      <c r="H557" s="24" t="s">
        <v>9</v>
      </c>
      <c r="I557" t="str">
        <f>VLOOKUP(A557,All!A:A,1,FALSE)</f>
        <v>Normal (University)</v>
      </c>
    </row>
    <row r="558" spans="1:9" ht="15.75" thickBot="1" x14ac:dyDescent="0.3">
      <c r="A558" s="20" t="s">
        <v>649</v>
      </c>
      <c r="B558" s="7">
        <v>955</v>
      </c>
      <c r="C558" s="6" t="s">
        <v>12</v>
      </c>
      <c r="D558" s="6" t="s">
        <v>12</v>
      </c>
      <c r="E558" s="6" t="s">
        <v>13</v>
      </c>
      <c r="F558" s="6" t="s">
        <v>9</v>
      </c>
      <c r="G558" s="6"/>
      <c r="H558" s="21" t="s">
        <v>13</v>
      </c>
      <c r="I558" t="str">
        <f>VLOOKUP(A558,All!A:A,1,FALSE)</f>
        <v>Norridge (Ridgewood)</v>
      </c>
    </row>
    <row r="559" spans="1:9" ht="15.75" thickBot="1" x14ac:dyDescent="0.3">
      <c r="A559" s="18" t="s">
        <v>650</v>
      </c>
      <c r="B559" s="3">
        <v>184</v>
      </c>
      <c r="C559" s="4" t="s">
        <v>9</v>
      </c>
      <c r="D559" s="4"/>
      <c r="E559" s="4"/>
      <c r="F559" s="4"/>
      <c r="G559" s="4" t="s">
        <v>9</v>
      </c>
      <c r="H559" s="19"/>
      <c r="I559" t="str">
        <f>VLOOKUP(A559,All!A:A,1,FALSE)</f>
        <v>Norris City (N.C.-Omaha-Enfield)</v>
      </c>
    </row>
    <row r="560" spans="1:9" ht="15.75" thickBot="1" x14ac:dyDescent="0.3">
      <c r="A560" s="20" t="s">
        <v>651</v>
      </c>
      <c r="B560" s="7">
        <v>848</v>
      </c>
      <c r="C560" s="6" t="s">
        <v>12</v>
      </c>
      <c r="D560" s="6" t="s">
        <v>12</v>
      </c>
      <c r="E560" s="6" t="s">
        <v>13</v>
      </c>
      <c r="F560" s="6"/>
      <c r="G560" s="6"/>
      <c r="H560" s="21" t="s">
        <v>13</v>
      </c>
      <c r="I560" t="str">
        <f>VLOOKUP(A560,All!A:A,1,FALSE)</f>
        <v>North Chicago</v>
      </c>
    </row>
    <row r="561" spans="1:9" ht="15.75" thickBot="1" x14ac:dyDescent="0.3">
      <c r="A561" s="18" t="s">
        <v>652</v>
      </c>
      <c r="B561" s="8">
        <v>2140</v>
      </c>
      <c r="C561" s="4" t="s">
        <v>11</v>
      </c>
      <c r="D561" s="4" t="s">
        <v>11</v>
      </c>
      <c r="E561" s="4" t="s">
        <v>905</v>
      </c>
      <c r="F561" s="4" t="s">
        <v>12</v>
      </c>
      <c r="G561" s="4" t="s">
        <v>13</v>
      </c>
      <c r="H561" s="19" t="s">
        <v>12</v>
      </c>
      <c r="I561" t="str">
        <f>VLOOKUP(A561,All!A:A,1,FALSE)</f>
        <v>Northbrook (Glenbrook North)</v>
      </c>
    </row>
    <row r="562" spans="1:9" ht="15.75" thickBot="1" x14ac:dyDescent="0.3">
      <c r="A562" s="20" t="s">
        <v>653</v>
      </c>
      <c r="B562" s="7" t="s">
        <v>654</v>
      </c>
      <c r="C562" s="10" t="s">
        <v>9</v>
      </c>
      <c r="D562" s="10" t="s">
        <v>9</v>
      </c>
      <c r="E562" s="6"/>
      <c r="F562" s="6"/>
      <c r="G562" s="6"/>
      <c r="H562" s="23" t="s">
        <v>9</v>
      </c>
      <c r="I562" t="str">
        <f>VLOOKUP(A562,All!A:A,1,FALSE)</f>
        <v>Northfield (Christian Heritage Academy)</v>
      </c>
    </row>
    <row r="563" spans="1:9" ht="15.75" thickBot="1" x14ac:dyDescent="0.3">
      <c r="A563" s="18" t="s">
        <v>655</v>
      </c>
      <c r="B563" s="8">
        <v>1320</v>
      </c>
      <c r="C563" s="4" t="s">
        <v>12</v>
      </c>
      <c r="D563" s="4" t="s">
        <v>12</v>
      </c>
      <c r="E563" s="4" t="s">
        <v>13</v>
      </c>
      <c r="F563" s="4" t="s">
        <v>13</v>
      </c>
      <c r="G563" s="4" t="s">
        <v>13</v>
      </c>
      <c r="H563" s="19" t="s">
        <v>13</v>
      </c>
      <c r="I563" t="str">
        <f>VLOOKUP(A563,All!A:A,1,FALSE)</f>
        <v>Oak Forest</v>
      </c>
    </row>
    <row r="564" spans="1:9" ht="15.75" thickBot="1" x14ac:dyDescent="0.3">
      <c r="A564" s="20" t="s">
        <v>656</v>
      </c>
      <c r="B564" s="5">
        <v>1793</v>
      </c>
      <c r="C564" s="6" t="s">
        <v>11</v>
      </c>
      <c r="D564" s="6" t="s">
        <v>11</v>
      </c>
      <c r="E564" s="6" t="s">
        <v>12</v>
      </c>
      <c r="F564" s="6" t="s">
        <v>13</v>
      </c>
      <c r="G564" s="6" t="s">
        <v>13</v>
      </c>
      <c r="H564" s="21" t="s">
        <v>12</v>
      </c>
      <c r="I564" t="str">
        <f>VLOOKUP(A564,All!A:A,1,FALSE)</f>
        <v>Oak Lawn (Community)</v>
      </c>
    </row>
    <row r="565" spans="1:9" ht="15.75" thickBot="1" x14ac:dyDescent="0.3">
      <c r="A565" s="18" t="s">
        <v>657</v>
      </c>
      <c r="B565" s="8">
        <v>1604</v>
      </c>
      <c r="C565" s="4" t="s">
        <v>11</v>
      </c>
      <c r="D565" s="4" t="s">
        <v>11</v>
      </c>
      <c r="E565" s="4" t="s">
        <v>12</v>
      </c>
      <c r="F565" s="4" t="s">
        <v>13</v>
      </c>
      <c r="G565" s="4" t="s">
        <v>13</v>
      </c>
      <c r="H565" s="19" t="s">
        <v>13</v>
      </c>
      <c r="I565" t="str">
        <f>VLOOKUP(A565,All!A:A,1,FALSE)</f>
        <v>Oak Lawn (Richards)</v>
      </c>
    </row>
    <row r="566" spans="1:9" ht="15.75" thickBot="1" x14ac:dyDescent="0.3">
      <c r="A566" s="20" t="s">
        <v>658</v>
      </c>
      <c r="B566" s="7" t="s">
        <v>659</v>
      </c>
      <c r="C566" s="10" t="s">
        <v>12</v>
      </c>
      <c r="D566" s="10" t="s">
        <v>12</v>
      </c>
      <c r="E566" s="10" t="s">
        <v>13</v>
      </c>
      <c r="F566" s="10" t="s">
        <v>13</v>
      </c>
      <c r="G566" s="10" t="s">
        <v>13</v>
      </c>
      <c r="H566" s="23" t="s">
        <v>13</v>
      </c>
      <c r="I566" t="str">
        <f>VLOOKUP(A566,All!A:A,1,FALSE)</f>
        <v>Oak Park (Fenwick)</v>
      </c>
    </row>
    <row r="567" spans="1:9" ht="15.75" thickBot="1" x14ac:dyDescent="0.3">
      <c r="A567" s="18" t="s">
        <v>660</v>
      </c>
      <c r="B567" s="8">
        <v>3285</v>
      </c>
      <c r="C567" s="4" t="s">
        <v>11</v>
      </c>
      <c r="D567" s="4" t="s">
        <v>11</v>
      </c>
      <c r="E567" s="4" t="s">
        <v>12</v>
      </c>
      <c r="F567" s="4" t="s">
        <v>12</v>
      </c>
      <c r="G567" s="4" t="s">
        <v>13</v>
      </c>
      <c r="H567" s="19" t="s">
        <v>12</v>
      </c>
      <c r="I567" t="str">
        <f>VLOOKUP(A567,All!A:A,1,FALSE)</f>
        <v>Oak Park (O.P.-River Forest)</v>
      </c>
    </row>
    <row r="568" spans="1:9" ht="15.75" thickBot="1" x14ac:dyDescent="0.3">
      <c r="A568" s="20" t="s">
        <v>661</v>
      </c>
      <c r="B568" s="7">
        <v>59</v>
      </c>
      <c r="C568" s="6" t="s">
        <v>9</v>
      </c>
      <c r="D568" s="6" t="s">
        <v>9</v>
      </c>
      <c r="E568" s="6"/>
      <c r="F568" s="6"/>
      <c r="G568" s="6"/>
      <c r="H568" s="21"/>
      <c r="I568" t="str">
        <f>VLOOKUP(A568,All!A:A,1,FALSE)</f>
        <v>Oakland</v>
      </c>
    </row>
    <row r="569" spans="1:9" ht="15.75" thickBot="1" x14ac:dyDescent="0.3">
      <c r="A569" s="18" t="s">
        <v>662</v>
      </c>
      <c r="B569" s="3">
        <v>165</v>
      </c>
      <c r="C569" s="4"/>
      <c r="D569" s="4"/>
      <c r="E569" s="4"/>
      <c r="F569" s="4"/>
      <c r="G569" s="4" t="s">
        <v>9</v>
      </c>
      <c r="H569" s="22" t="s">
        <v>9</v>
      </c>
      <c r="I569" t="str">
        <f>VLOOKUP(A569,All!A:A,1,FALSE)</f>
        <v>Oblong</v>
      </c>
    </row>
    <row r="570" spans="1:9" ht="15.75" thickBot="1" x14ac:dyDescent="0.3">
      <c r="A570" s="20" t="s">
        <v>663</v>
      </c>
      <c r="B570" s="7">
        <v>63</v>
      </c>
      <c r="C570" s="6"/>
      <c r="D570" s="6"/>
      <c r="E570" s="6"/>
      <c r="F570" s="6"/>
      <c r="G570" s="6" t="s">
        <v>9</v>
      </c>
      <c r="H570" s="21"/>
      <c r="I570" t="str">
        <f>VLOOKUP(A570,All!A:A,1,FALSE)</f>
        <v>Odin</v>
      </c>
    </row>
    <row r="571" spans="1:9" ht="15.75" thickBot="1" x14ac:dyDescent="0.3">
      <c r="A571" s="18" t="s">
        <v>666</v>
      </c>
      <c r="B571" s="8">
        <v>2499</v>
      </c>
      <c r="C571" s="4" t="s">
        <v>11</v>
      </c>
      <c r="D571" s="4" t="s">
        <v>11</v>
      </c>
      <c r="E571" s="4" t="s">
        <v>12</v>
      </c>
      <c r="F571" s="4" t="s">
        <v>12</v>
      </c>
      <c r="G571" s="4" t="s">
        <v>13</v>
      </c>
      <c r="H571" s="19" t="s">
        <v>12</v>
      </c>
      <c r="I571" t="str">
        <f>VLOOKUP(A571,All!A:A,1,FALSE)</f>
        <v>O'Fallon (H.S.)</v>
      </c>
    </row>
    <row r="572" spans="1:9" ht="15.75" thickBot="1" x14ac:dyDescent="0.3">
      <c r="A572" s="20" t="s">
        <v>667</v>
      </c>
      <c r="B572" s="7">
        <v>156</v>
      </c>
      <c r="C572" s="6" t="s">
        <v>9</v>
      </c>
      <c r="D572" s="6" t="s">
        <v>9</v>
      </c>
      <c r="E572" s="6"/>
      <c r="F572" s="6"/>
      <c r="G572" s="6"/>
      <c r="H572" s="21"/>
      <c r="I572" t="str">
        <f>VLOOKUP(A572,All!A:A,1,FALSE)</f>
        <v>Okawville</v>
      </c>
    </row>
    <row r="573" spans="1:9" ht="15.75" thickBot="1" x14ac:dyDescent="0.3">
      <c r="A573" s="25" t="s">
        <v>0</v>
      </c>
      <c r="B573" s="1" t="s">
        <v>1</v>
      </c>
      <c r="C573" s="2" t="s">
        <v>899</v>
      </c>
      <c r="D573" s="2" t="s">
        <v>900</v>
      </c>
      <c r="E573" s="2" t="s">
        <v>901</v>
      </c>
      <c r="F573" s="2" t="s">
        <v>902</v>
      </c>
      <c r="G573" s="2" t="s">
        <v>903</v>
      </c>
      <c r="H573" s="26" t="s">
        <v>904</v>
      </c>
      <c r="I573" t="str">
        <f>VLOOKUP(A573,All!A:A,1,FALSE)</f>
        <v>School</v>
      </c>
    </row>
    <row r="574" spans="1:9" ht="15.75" thickBot="1" x14ac:dyDescent="0.3">
      <c r="A574" s="18" t="s">
        <v>668</v>
      </c>
      <c r="B574" s="3">
        <v>660</v>
      </c>
      <c r="C574" s="4" t="s">
        <v>13</v>
      </c>
      <c r="D574" s="4" t="s">
        <v>13</v>
      </c>
      <c r="E574" s="4" t="s">
        <v>9</v>
      </c>
      <c r="F574" s="4"/>
      <c r="G574" s="4" t="s">
        <v>13</v>
      </c>
      <c r="H574" s="19" t="s">
        <v>9</v>
      </c>
      <c r="I574" t="str">
        <f>VLOOKUP(A574,All!A:A,1,FALSE)</f>
        <v>Olney (Richland County)</v>
      </c>
    </row>
    <row r="575" spans="1:9" ht="15.75" thickBot="1" x14ac:dyDescent="0.3">
      <c r="A575" s="20" t="s">
        <v>669</v>
      </c>
      <c r="B575" s="7">
        <v>161</v>
      </c>
      <c r="C575" s="9" t="s">
        <v>9</v>
      </c>
      <c r="D575" s="9" t="s">
        <v>9</v>
      </c>
      <c r="E575" s="9" t="s">
        <v>9</v>
      </c>
      <c r="F575" s="6"/>
      <c r="G575" s="6" t="s">
        <v>9</v>
      </c>
      <c r="H575" s="22" t="s">
        <v>9</v>
      </c>
      <c r="I575" t="str">
        <f>VLOOKUP(A575,All!A:A,1,FALSE)</f>
        <v>Oneida (ROWVA)</v>
      </c>
    </row>
    <row r="576" spans="1:9" ht="15.75" thickBot="1" x14ac:dyDescent="0.3">
      <c r="A576" s="18" t="s">
        <v>670</v>
      </c>
      <c r="B576" s="3">
        <v>109</v>
      </c>
      <c r="C576" s="4" t="s">
        <v>9</v>
      </c>
      <c r="D576" s="4" t="s">
        <v>9</v>
      </c>
      <c r="E576" s="4"/>
      <c r="F576" s="4"/>
      <c r="G576" s="4"/>
      <c r="H576" s="19"/>
      <c r="I576" t="str">
        <f>VLOOKUP(A576,All!A:A,1,FALSE)</f>
        <v>Orangeville</v>
      </c>
    </row>
    <row r="577" spans="1:9" ht="15.75" thickBot="1" x14ac:dyDescent="0.3">
      <c r="A577" s="20" t="s">
        <v>671</v>
      </c>
      <c r="B577" s="7">
        <v>428</v>
      </c>
      <c r="C577" s="6" t="s">
        <v>13</v>
      </c>
      <c r="D577" s="6" t="s">
        <v>13</v>
      </c>
      <c r="E577" s="6" t="s">
        <v>9</v>
      </c>
      <c r="F577" s="6"/>
      <c r="G577" s="6" t="s">
        <v>9</v>
      </c>
      <c r="H577" s="21" t="s">
        <v>9</v>
      </c>
      <c r="I577" t="str">
        <f>VLOOKUP(A577,All!A:A,1,FALSE)</f>
        <v>Oregon</v>
      </c>
    </row>
    <row r="578" spans="1:9" ht="15.75" thickBot="1" x14ac:dyDescent="0.3">
      <c r="A578" s="18" t="s">
        <v>672</v>
      </c>
      <c r="B578" s="3">
        <v>282</v>
      </c>
      <c r="C578" s="4" t="s">
        <v>9</v>
      </c>
      <c r="D578" s="4" t="s">
        <v>9</v>
      </c>
      <c r="E578" s="4"/>
      <c r="F578" s="4"/>
      <c r="G578" s="4" t="s">
        <v>9</v>
      </c>
      <c r="H578" s="19" t="s">
        <v>9</v>
      </c>
      <c r="I578" t="str">
        <f>VLOOKUP(A578,All!A:A,1,FALSE)</f>
        <v>Orion</v>
      </c>
    </row>
    <row r="579" spans="1:9" ht="15.75" thickBot="1" x14ac:dyDescent="0.3">
      <c r="A579" s="20" t="s">
        <v>673</v>
      </c>
      <c r="B579" s="5">
        <v>2773</v>
      </c>
      <c r="C579" s="6" t="s">
        <v>11</v>
      </c>
      <c r="D579" s="6" t="s">
        <v>11</v>
      </c>
      <c r="E579" s="6" t="s">
        <v>12</v>
      </c>
      <c r="F579" s="6" t="s">
        <v>12</v>
      </c>
      <c r="G579" s="6" t="s">
        <v>13</v>
      </c>
      <c r="H579" s="21" t="s">
        <v>12</v>
      </c>
      <c r="I579" t="str">
        <f>VLOOKUP(A579,All!A:A,1,FALSE)</f>
        <v>Orland Park (Sandburg)</v>
      </c>
    </row>
    <row r="580" spans="1:9" ht="15.75" thickBot="1" x14ac:dyDescent="0.3">
      <c r="A580" s="18" t="s">
        <v>674</v>
      </c>
      <c r="B580" s="8">
        <v>2659</v>
      </c>
      <c r="C580" s="4" t="s">
        <v>11</v>
      </c>
      <c r="D580" s="4" t="s">
        <v>11</v>
      </c>
      <c r="E580" s="4" t="s">
        <v>12</v>
      </c>
      <c r="F580" s="4" t="s">
        <v>12</v>
      </c>
      <c r="G580" s="4" t="s">
        <v>13</v>
      </c>
      <c r="H580" s="19" t="s">
        <v>12</v>
      </c>
      <c r="I580" t="str">
        <f>VLOOKUP(A580,All!A:A,1,FALSE)</f>
        <v>Oswego (East)</v>
      </c>
    </row>
    <row r="581" spans="1:9" ht="15.75" thickBot="1" x14ac:dyDescent="0.3">
      <c r="A581" s="20" t="s">
        <v>675</v>
      </c>
      <c r="B581" s="5">
        <v>2863</v>
      </c>
      <c r="C581" s="6" t="s">
        <v>11</v>
      </c>
      <c r="D581" s="6" t="s">
        <v>11</v>
      </c>
      <c r="E581" s="6" t="s">
        <v>905</v>
      </c>
      <c r="F581" s="6" t="s">
        <v>12</v>
      </c>
      <c r="G581" s="6" t="s">
        <v>13</v>
      </c>
      <c r="H581" s="21" t="s">
        <v>12</v>
      </c>
      <c r="I581" t="str">
        <f>VLOOKUP(A581,All!A:A,1,FALSE)</f>
        <v>Oswego (H.S.)</v>
      </c>
    </row>
    <row r="582" spans="1:9" ht="15.75" thickBot="1" x14ac:dyDescent="0.3">
      <c r="A582" s="18" t="s">
        <v>676</v>
      </c>
      <c r="B582" s="3" t="s">
        <v>334</v>
      </c>
      <c r="C582" s="10" t="s">
        <v>9</v>
      </c>
      <c r="D582" s="10" t="s">
        <v>9</v>
      </c>
      <c r="E582" s="4"/>
      <c r="F582" s="4"/>
      <c r="G582" s="4"/>
      <c r="H582" s="23" t="s">
        <v>9</v>
      </c>
      <c r="I582" t="str">
        <f>VLOOKUP(A582,All!A:A,1,FALSE)</f>
        <v>Ottawa (Marquette)</v>
      </c>
    </row>
    <row r="583" spans="1:9" ht="15.75" thickBot="1" x14ac:dyDescent="0.3">
      <c r="A583" s="20" t="s">
        <v>677</v>
      </c>
      <c r="B583" s="5">
        <v>1193</v>
      </c>
      <c r="C583" s="6" t="s">
        <v>12</v>
      </c>
      <c r="D583" s="6" t="s">
        <v>12</v>
      </c>
      <c r="E583" s="6" t="s">
        <v>905</v>
      </c>
      <c r="F583" s="6" t="s">
        <v>13</v>
      </c>
      <c r="G583" s="6" t="s">
        <v>13</v>
      </c>
      <c r="H583" s="21" t="s">
        <v>13</v>
      </c>
      <c r="I583" t="str">
        <f>VLOOKUP(A583,All!A:A,1,FALSE)</f>
        <v>Ottawa (Twp.)</v>
      </c>
    </row>
    <row r="584" spans="1:9" ht="15.75" thickBot="1" x14ac:dyDescent="0.3">
      <c r="A584" s="18" t="s">
        <v>678</v>
      </c>
      <c r="B584" s="8">
        <v>2610</v>
      </c>
      <c r="C584" s="4" t="s">
        <v>11</v>
      </c>
      <c r="D584" s="4" t="s">
        <v>11</v>
      </c>
      <c r="E584" s="4" t="s">
        <v>12</v>
      </c>
      <c r="F584" s="4" t="s">
        <v>12</v>
      </c>
      <c r="G584" s="4" t="s">
        <v>13</v>
      </c>
      <c r="H584" s="19" t="s">
        <v>12</v>
      </c>
      <c r="I584" t="str">
        <f>VLOOKUP(A584,All!A:A,1,FALSE)</f>
        <v>Palatine (Fremd)</v>
      </c>
    </row>
    <row r="585" spans="1:9" ht="15.75" thickBot="1" x14ac:dyDescent="0.3">
      <c r="A585" s="20" t="s">
        <v>679</v>
      </c>
      <c r="B585" s="5">
        <v>2519</v>
      </c>
      <c r="C585" s="6" t="s">
        <v>11</v>
      </c>
      <c r="D585" s="6" t="s">
        <v>11</v>
      </c>
      <c r="E585" s="6" t="s">
        <v>12</v>
      </c>
      <c r="F585" s="6" t="s">
        <v>12</v>
      </c>
      <c r="G585" s="6" t="s">
        <v>13</v>
      </c>
      <c r="H585" s="21" t="s">
        <v>12</v>
      </c>
      <c r="I585" t="str">
        <f>VLOOKUP(A585,All!A:A,1,FALSE)</f>
        <v>Palatine (H.S.)</v>
      </c>
    </row>
    <row r="586" spans="1:9" ht="15.75" thickBot="1" x14ac:dyDescent="0.3">
      <c r="A586" s="18" t="s">
        <v>680</v>
      </c>
      <c r="B586" s="3">
        <v>80</v>
      </c>
      <c r="C586" s="4"/>
      <c r="D586" s="9" t="s">
        <v>13</v>
      </c>
      <c r="E586" s="4"/>
      <c r="F586" s="4"/>
      <c r="G586" s="9" t="s">
        <v>9</v>
      </c>
      <c r="H586" s="19"/>
      <c r="I586" t="str">
        <f>VLOOKUP(A586,All!A:A,1,FALSE)</f>
        <v>Palestine</v>
      </c>
    </row>
    <row r="587" spans="1:9" ht="15.75" thickBot="1" x14ac:dyDescent="0.3">
      <c r="A587" s="20" t="s">
        <v>681</v>
      </c>
      <c r="B587" s="7" t="s">
        <v>682</v>
      </c>
      <c r="C587" s="10" t="s">
        <v>13</v>
      </c>
      <c r="D587" s="10" t="s">
        <v>13</v>
      </c>
      <c r="E587" s="10" t="s">
        <v>9</v>
      </c>
      <c r="F587" s="6"/>
      <c r="G587" s="11" t="s">
        <v>9</v>
      </c>
      <c r="H587" s="23" t="s">
        <v>9</v>
      </c>
      <c r="I587" t="str">
        <f>VLOOKUP(A587,All!A:A,1,FALSE)</f>
        <v>Palos Heights (Chicago Christian)</v>
      </c>
    </row>
    <row r="588" spans="1:9" ht="15.75" thickBot="1" x14ac:dyDescent="0.3">
      <c r="A588" s="18" t="s">
        <v>683</v>
      </c>
      <c r="B588" s="8">
        <v>1809</v>
      </c>
      <c r="C588" s="4" t="s">
        <v>11</v>
      </c>
      <c r="D588" s="4" t="s">
        <v>11</v>
      </c>
      <c r="E588" s="4" t="s">
        <v>905</v>
      </c>
      <c r="F588" s="4" t="s">
        <v>13</v>
      </c>
      <c r="G588" s="4" t="s">
        <v>13</v>
      </c>
      <c r="H588" s="19" t="s">
        <v>12</v>
      </c>
      <c r="I588" t="str">
        <f>VLOOKUP(A588,All!A:A,1,FALSE)</f>
        <v>Palos Heights (Shepard)</v>
      </c>
    </row>
    <row r="589" spans="1:9" ht="15.75" thickBot="1" x14ac:dyDescent="0.3">
      <c r="A589" s="20" t="s">
        <v>684</v>
      </c>
      <c r="B589" s="5">
        <v>2517</v>
      </c>
      <c r="C589" s="6" t="s">
        <v>11</v>
      </c>
      <c r="D589" s="6" t="s">
        <v>11</v>
      </c>
      <c r="E589" s="6" t="s">
        <v>905</v>
      </c>
      <c r="F589" s="6" t="s">
        <v>12</v>
      </c>
      <c r="G589" s="6" t="s">
        <v>13</v>
      </c>
      <c r="H589" s="21" t="s">
        <v>12</v>
      </c>
      <c r="I589" t="str">
        <f>VLOOKUP(A589,All!A:A,1,FALSE)</f>
        <v>Palos Hills (Stagg)</v>
      </c>
    </row>
    <row r="590" spans="1:9" ht="15.75" thickBot="1" x14ac:dyDescent="0.3">
      <c r="A590" s="18" t="s">
        <v>685</v>
      </c>
      <c r="B590" s="3">
        <v>385</v>
      </c>
      <c r="C590" s="4" t="s">
        <v>13</v>
      </c>
      <c r="D590" s="4" t="s">
        <v>13</v>
      </c>
      <c r="E590" s="4" t="s">
        <v>9</v>
      </c>
      <c r="F590" s="4"/>
      <c r="G590" s="4" t="s">
        <v>9</v>
      </c>
      <c r="H590" s="19"/>
      <c r="I590" t="str">
        <f>VLOOKUP(A590,All!A:A,1,FALSE)</f>
        <v>Pana</v>
      </c>
    </row>
    <row r="591" spans="1:9" ht="15.75" thickBot="1" x14ac:dyDescent="0.3">
      <c r="A591" s="20" t="s">
        <v>686</v>
      </c>
      <c r="B591" s="7">
        <v>528</v>
      </c>
      <c r="C591" s="6" t="s">
        <v>13</v>
      </c>
      <c r="D591" s="6" t="s">
        <v>13</v>
      </c>
      <c r="E591" s="6" t="s">
        <v>9</v>
      </c>
      <c r="F591" s="6"/>
      <c r="G591" s="6" t="s">
        <v>13</v>
      </c>
      <c r="H591" s="21" t="s">
        <v>9</v>
      </c>
      <c r="I591" t="str">
        <f>VLOOKUP(A591,All!A:A,1,FALSE)</f>
        <v>Paris</v>
      </c>
    </row>
    <row r="592" spans="1:9" ht="15.75" thickBot="1" x14ac:dyDescent="0.3">
      <c r="A592" s="18" t="s">
        <v>687</v>
      </c>
      <c r="B592" s="8">
        <v>1952</v>
      </c>
      <c r="C592" s="4" t="s">
        <v>11</v>
      </c>
      <c r="D592" s="4" t="s">
        <v>11</v>
      </c>
      <c r="E592" s="4" t="s">
        <v>12</v>
      </c>
      <c r="F592" s="4" t="s">
        <v>12</v>
      </c>
      <c r="G592" s="4" t="s">
        <v>13</v>
      </c>
      <c r="H592" s="19" t="s">
        <v>12</v>
      </c>
      <c r="I592" t="str">
        <f>VLOOKUP(A592,All!A:A,1,FALSE)</f>
        <v>Park Ridge (Maine East)</v>
      </c>
    </row>
    <row r="593" spans="1:9" ht="15.75" thickBot="1" x14ac:dyDescent="0.3">
      <c r="A593" s="20" t="s">
        <v>688</v>
      </c>
      <c r="B593" s="5">
        <v>2476</v>
      </c>
      <c r="C593" s="6" t="s">
        <v>11</v>
      </c>
      <c r="D593" s="6" t="s">
        <v>11</v>
      </c>
      <c r="E593" s="6" t="s">
        <v>12</v>
      </c>
      <c r="F593" s="6" t="s">
        <v>12</v>
      </c>
      <c r="G593" s="6" t="s">
        <v>13</v>
      </c>
      <c r="H593" s="21" t="s">
        <v>12</v>
      </c>
      <c r="I593" t="str">
        <f>VLOOKUP(A593,All!A:A,1,FALSE)</f>
        <v>Park Ridge (Maine South)</v>
      </c>
    </row>
    <row r="594" spans="1:9" ht="15.75" thickBot="1" x14ac:dyDescent="0.3">
      <c r="A594" s="18" t="s">
        <v>689</v>
      </c>
      <c r="B594" s="3">
        <v>59</v>
      </c>
      <c r="C594" s="9" t="s">
        <v>9</v>
      </c>
      <c r="D594" s="4"/>
      <c r="E594" s="4"/>
      <c r="F594" s="4"/>
      <c r="G594" s="4"/>
      <c r="H594" s="19"/>
      <c r="I594" t="str">
        <f>VLOOKUP(A594,All!A:A,1,FALSE)</f>
        <v>Patoka</v>
      </c>
    </row>
    <row r="595" spans="1:9" ht="15.75" thickBot="1" x14ac:dyDescent="0.3">
      <c r="A595" s="20" t="s">
        <v>690</v>
      </c>
      <c r="B595" s="7">
        <v>160</v>
      </c>
      <c r="C595" s="6" t="s">
        <v>9</v>
      </c>
      <c r="D595" s="9" t="s">
        <v>13</v>
      </c>
      <c r="E595" s="6"/>
      <c r="F595" s="6"/>
      <c r="G595" s="6" t="s">
        <v>9</v>
      </c>
      <c r="H595" s="21"/>
      <c r="I595" t="str">
        <f>VLOOKUP(A595,All!A:A,1,FALSE)</f>
        <v>Pawnee</v>
      </c>
    </row>
    <row r="596" spans="1:9" ht="15.75" thickBot="1" x14ac:dyDescent="0.3">
      <c r="A596" s="18" t="s">
        <v>691</v>
      </c>
      <c r="B596" s="3">
        <v>373</v>
      </c>
      <c r="C596" s="4" t="s">
        <v>13</v>
      </c>
      <c r="D596" s="4" t="s">
        <v>13</v>
      </c>
      <c r="E596" s="4" t="s">
        <v>9</v>
      </c>
      <c r="F596" s="4"/>
      <c r="G596" s="4" t="s">
        <v>9</v>
      </c>
      <c r="H596" s="19"/>
      <c r="I596" t="str">
        <f>VLOOKUP(A596,All!A:A,1,FALSE)</f>
        <v>Paxton (P.-Buckley-Loda)</v>
      </c>
    </row>
    <row r="597" spans="1:9" ht="15.75" thickBot="1" x14ac:dyDescent="0.3">
      <c r="A597" s="20" t="s">
        <v>692</v>
      </c>
      <c r="B597" s="7">
        <v>146</v>
      </c>
      <c r="C597" s="6" t="s">
        <v>9</v>
      </c>
      <c r="D597" s="6" t="s">
        <v>9</v>
      </c>
      <c r="E597" s="6"/>
      <c r="F597" s="6"/>
      <c r="G597" s="6" t="s">
        <v>9</v>
      </c>
      <c r="H597" s="21" t="s">
        <v>9</v>
      </c>
      <c r="I597" t="str">
        <f>VLOOKUP(A597,All!A:A,1,FALSE)</f>
        <v>Payson (Seymour)</v>
      </c>
    </row>
    <row r="598" spans="1:9" ht="15.75" thickBot="1" x14ac:dyDescent="0.3">
      <c r="A598" s="18" t="s">
        <v>693</v>
      </c>
      <c r="B598" s="3">
        <v>146</v>
      </c>
      <c r="C598" s="4" t="s">
        <v>9</v>
      </c>
      <c r="D598" s="4" t="s">
        <v>9</v>
      </c>
      <c r="E598" s="4"/>
      <c r="F598" s="4"/>
      <c r="G598" s="4" t="s">
        <v>9</v>
      </c>
      <c r="H598" s="19"/>
      <c r="I598" t="str">
        <f>VLOOKUP(A598,All!A:A,1,FALSE)</f>
        <v>Pearl City</v>
      </c>
    </row>
    <row r="599" spans="1:9" ht="15.75" thickBot="1" x14ac:dyDescent="0.3">
      <c r="A599" s="25" t="s">
        <v>0</v>
      </c>
      <c r="B599" s="1" t="s">
        <v>1</v>
      </c>
      <c r="C599" s="2" t="s">
        <v>899</v>
      </c>
      <c r="D599" s="2" t="s">
        <v>900</v>
      </c>
      <c r="E599" s="2" t="s">
        <v>901</v>
      </c>
      <c r="F599" s="2" t="s">
        <v>902</v>
      </c>
      <c r="G599" s="2" t="s">
        <v>903</v>
      </c>
      <c r="H599" s="26" t="s">
        <v>904</v>
      </c>
      <c r="I599" t="str">
        <f>VLOOKUP(A599,All!A:A,1,FALSE)</f>
        <v>School</v>
      </c>
    </row>
    <row r="600" spans="1:9" ht="15.75" thickBot="1" x14ac:dyDescent="0.3">
      <c r="A600" s="20" t="s">
        <v>694</v>
      </c>
      <c r="B600" s="7">
        <v>299</v>
      </c>
      <c r="C600" s="6" t="s">
        <v>9</v>
      </c>
      <c r="D600" s="6" t="s">
        <v>9</v>
      </c>
      <c r="E600" s="6"/>
      <c r="F600" s="6"/>
      <c r="G600" s="6" t="s">
        <v>9</v>
      </c>
      <c r="H600" s="21"/>
      <c r="I600" t="str">
        <f>VLOOKUP(A600,All!A:A,1,FALSE)</f>
        <v>Pecatonica</v>
      </c>
    </row>
    <row r="601" spans="1:9" ht="15.75" thickBot="1" x14ac:dyDescent="0.3">
      <c r="A601" s="18" t="s">
        <v>695</v>
      </c>
      <c r="B601" s="8">
        <v>1675</v>
      </c>
      <c r="C601" s="4" t="s">
        <v>11</v>
      </c>
      <c r="D601" s="4" t="s">
        <v>11</v>
      </c>
      <c r="E601" s="4" t="s">
        <v>12</v>
      </c>
      <c r="F601" s="4" t="s">
        <v>13</v>
      </c>
      <c r="G601" s="4" t="s">
        <v>13</v>
      </c>
      <c r="H601" s="19" t="s">
        <v>13</v>
      </c>
      <c r="I601" t="str">
        <f>VLOOKUP(A601,All!A:A,1,FALSE)</f>
        <v>Pekin</v>
      </c>
    </row>
    <row r="602" spans="1:9" ht="15.75" thickBot="1" x14ac:dyDescent="0.3">
      <c r="A602" s="20" t="s">
        <v>696</v>
      </c>
      <c r="B602" s="5">
        <v>1287</v>
      </c>
      <c r="C602" s="6" t="s">
        <v>12</v>
      </c>
      <c r="D602" s="6" t="s">
        <v>12</v>
      </c>
      <c r="E602" s="6" t="s">
        <v>13</v>
      </c>
      <c r="F602" s="6"/>
      <c r="G602" s="6"/>
      <c r="H602" s="21" t="s">
        <v>13</v>
      </c>
      <c r="I602" t="str">
        <f>VLOOKUP(A602,All!A:A,1,FALSE)</f>
        <v>Peoria (H.S.)</v>
      </c>
    </row>
    <row r="603" spans="1:9" ht="15.75" thickBot="1" x14ac:dyDescent="0.3">
      <c r="A603" s="18" t="s">
        <v>697</v>
      </c>
      <c r="B603" s="3">
        <v>668</v>
      </c>
      <c r="C603" s="4" t="s">
        <v>13</v>
      </c>
      <c r="D603" s="4" t="s">
        <v>13</v>
      </c>
      <c r="E603" s="4"/>
      <c r="F603" s="4"/>
      <c r="G603" s="4"/>
      <c r="H603" s="19" t="s">
        <v>9</v>
      </c>
      <c r="I603" t="str">
        <f>VLOOKUP(A603,All!A:A,1,FALSE)</f>
        <v>Peoria (Manual)</v>
      </c>
    </row>
    <row r="604" spans="1:9" ht="15.75" thickBot="1" x14ac:dyDescent="0.3">
      <c r="A604" s="20" t="s">
        <v>698</v>
      </c>
      <c r="B604" s="7" t="s">
        <v>699</v>
      </c>
      <c r="C604" s="11" t="s">
        <v>13</v>
      </c>
      <c r="D604" s="12" t="s">
        <v>12</v>
      </c>
      <c r="E604" s="11" t="s">
        <v>9</v>
      </c>
      <c r="F604" s="10" t="s">
        <v>9</v>
      </c>
      <c r="G604" s="10" t="s">
        <v>13</v>
      </c>
      <c r="H604" s="23" t="s">
        <v>13</v>
      </c>
      <c r="I604" t="str">
        <f>VLOOKUP(A604,All!A:A,1,FALSE)</f>
        <v>Peoria (Notre Dame)</v>
      </c>
    </row>
    <row r="605" spans="1:9" ht="15.75" thickBot="1" x14ac:dyDescent="0.3">
      <c r="A605" s="18" t="s">
        <v>700</v>
      </c>
      <c r="B605" s="3" t="s">
        <v>701</v>
      </c>
      <c r="C605" s="10" t="s">
        <v>13</v>
      </c>
      <c r="D605" s="11" t="s">
        <v>9</v>
      </c>
      <c r="E605" s="10" t="s">
        <v>9</v>
      </c>
      <c r="F605" s="4"/>
      <c r="G605" s="10" t="s">
        <v>9</v>
      </c>
      <c r="H605" s="19"/>
      <c r="I605" t="str">
        <f>VLOOKUP(A605,All!A:A,1,FALSE)</f>
        <v>Peoria (P. Christian)</v>
      </c>
    </row>
    <row r="606" spans="1:9" ht="15.75" thickBot="1" x14ac:dyDescent="0.3">
      <c r="A606" s="20" t="s">
        <v>702</v>
      </c>
      <c r="B606" s="5">
        <v>1629</v>
      </c>
      <c r="C606" s="6" t="s">
        <v>11</v>
      </c>
      <c r="D606" s="6" t="s">
        <v>11</v>
      </c>
      <c r="E606" s="6"/>
      <c r="F606" s="6" t="s">
        <v>13</v>
      </c>
      <c r="G606" s="6" t="s">
        <v>13</v>
      </c>
      <c r="H606" s="21" t="s">
        <v>13</v>
      </c>
      <c r="I606" t="str">
        <f>VLOOKUP(A606,All!A:A,1,FALSE)</f>
        <v>Peoria (Richwoods)</v>
      </c>
    </row>
    <row r="607" spans="1:9" ht="15.75" thickBot="1" x14ac:dyDescent="0.3">
      <c r="A607" s="18" t="s">
        <v>703</v>
      </c>
      <c r="B607" s="3">
        <v>208</v>
      </c>
      <c r="C607" s="4" t="s">
        <v>9</v>
      </c>
      <c r="D607" s="4" t="s">
        <v>9</v>
      </c>
      <c r="E607" s="4"/>
      <c r="F607" s="4"/>
      <c r="G607" s="4" t="s">
        <v>9</v>
      </c>
      <c r="H607" s="22" t="s">
        <v>9</v>
      </c>
      <c r="I607" t="str">
        <f>VLOOKUP(A607,All!A:A,1,FALSE)</f>
        <v>Peoria Heights</v>
      </c>
    </row>
    <row r="608" spans="1:9" ht="15.75" thickBot="1" x14ac:dyDescent="0.3">
      <c r="A608" s="20" t="s">
        <v>704</v>
      </c>
      <c r="B608" s="7">
        <v>410</v>
      </c>
      <c r="C608" s="6" t="s">
        <v>13</v>
      </c>
      <c r="D608" s="6" t="s">
        <v>13</v>
      </c>
      <c r="E608" s="6"/>
      <c r="F608" s="6"/>
      <c r="G608" s="6" t="s">
        <v>9</v>
      </c>
      <c r="H608" s="21" t="s">
        <v>9</v>
      </c>
      <c r="I608" t="str">
        <f>VLOOKUP(A608,All!A:A,1,FALSE)</f>
        <v>Peotone</v>
      </c>
    </row>
    <row r="609" spans="1:9" ht="15.75" thickBot="1" x14ac:dyDescent="0.3">
      <c r="A609" s="18" t="s">
        <v>705</v>
      </c>
      <c r="B609" s="3" t="s">
        <v>706</v>
      </c>
      <c r="C609" s="11" t="s">
        <v>9</v>
      </c>
      <c r="D609" s="10" t="s">
        <v>13</v>
      </c>
      <c r="E609" s="4"/>
      <c r="F609" s="4"/>
      <c r="G609" s="10" t="s">
        <v>9</v>
      </c>
      <c r="H609" s="23" t="s">
        <v>9</v>
      </c>
      <c r="I609" t="str">
        <f>VLOOKUP(A609,All!A:A,1,FALSE)</f>
        <v>Peru (St. Bede)</v>
      </c>
    </row>
    <row r="610" spans="1:9" ht="15.75" thickBot="1" x14ac:dyDescent="0.3">
      <c r="A610" s="20" t="s">
        <v>707</v>
      </c>
      <c r="B610" s="7">
        <v>276</v>
      </c>
      <c r="C610" s="9" t="s">
        <v>13</v>
      </c>
      <c r="D610" s="9" t="s">
        <v>13</v>
      </c>
      <c r="E610" s="6"/>
      <c r="F610" s="6"/>
      <c r="G610" s="6" t="s">
        <v>9</v>
      </c>
      <c r="H610" s="22" t="s">
        <v>9</v>
      </c>
      <c r="I610" t="str">
        <f>VLOOKUP(A610,All!A:A,1,FALSE)</f>
        <v>Petersburg (PORTA)</v>
      </c>
    </row>
    <row r="611" spans="1:9" ht="15.75" thickBot="1" x14ac:dyDescent="0.3">
      <c r="A611" s="18" t="s">
        <v>708</v>
      </c>
      <c r="B611" s="3">
        <v>365</v>
      </c>
      <c r="C611" s="4" t="s">
        <v>13</v>
      </c>
      <c r="D611" s="4" t="s">
        <v>13</v>
      </c>
      <c r="E611" s="4"/>
      <c r="F611" s="4"/>
      <c r="G611" s="4" t="s">
        <v>9</v>
      </c>
      <c r="H611" s="19" t="s">
        <v>9</v>
      </c>
      <c r="I611" t="str">
        <f>VLOOKUP(A611,All!A:A,1,FALSE)</f>
        <v>Piasa (Southwestern)</v>
      </c>
    </row>
    <row r="612" spans="1:9" ht="15.75" thickBot="1" x14ac:dyDescent="0.3">
      <c r="A612" s="20" t="s">
        <v>709</v>
      </c>
      <c r="B612" s="7">
        <v>378</v>
      </c>
      <c r="C612" s="6" t="s">
        <v>13</v>
      </c>
      <c r="D612" s="6" t="s">
        <v>13</v>
      </c>
      <c r="E612" s="6" t="s">
        <v>9</v>
      </c>
      <c r="F612" s="6" t="s">
        <v>9</v>
      </c>
      <c r="G612" s="6"/>
      <c r="H612" s="22" t="s">
        <v>9</v>
      </c>
      <c r="I612" t="str">
        <f>VLOOKUP(A612,All!A:A,1,FALSE)</f>
        <v>Pinckneyville</v>
      </c>
    </row>
    <row r="613" spans="1:9" ht="15.75" thickBot="1" x14ac:dyDescent="0.3">
      <c r="A613" s="18" t="s">
        <v>710</v>
      </c>
      <c r="B613" s="3">
        <v>367</v>
      </c>
      <c r="C613" s="4" t="s">
        <v>13</v>
      </c>
      <c r="D613" s="9" t="s">
        <v>13</v>
      </c>
      <c r="E613" s="4"/>
      <c r="F613" s="4"/>
      <c r="G613" s="4" t="s">
        <v>9</v>
      </c>
      <c r="H613" s="22" t="s">
        <v>9</v>
      </c>
      <c r="I613" t="str">
        <f>VLOOKUP(A613,All!A:A,1,FALSE)</f>
        <v>Pittsfield</v>
      </c>
    </row>
    <row r="614" spans="1:9" ht="15.75" thickBot="1" x14ac:dyDescent="0.3">
      <c r="A614" s="20" t="s">
        <v>711</v>
      </c>
      <c r="B614" s="5">
        <v>1767</v>
      </c>
      <c r="C614" s="6" t="s">
        <v>11</v>
      </c>
      <c r="D614" s="6" t="s">
        <v>11</v>
      </c>
      <c r="E614" s="6" t="s">
        <v>12</v>
      </c>
      <c r="F614" s="6" t="s">
        <v>13</v>
      </c>
      <c r="G614" s="6" t="s">
        <v>13</v>
      </c>
      <c r="H614" s="21" t="s">
        <v>12</v>
      </c>
      <c r="I614" t="str">
        <f>VLOOKUP(A614,All!A:A,1,FALSE)</f>
        <v>Plainfield (Central)</v>
      </c>
    </row>
    <row r="615" spans="1:9" ht="15.75" thickBot="1" x14ac:dyDescent="0.3">
      <c r="A615" s="18" t="s">
        <v>712</v>
      </c>
      <c r="B615" s="8">
        <v>1772</v>
      </c>
      <c r="C615" s="4" t="s">
        <v>11</v>
      </c>
      <c r="D615" s="4" t="s">
        <v>11</v>
      </c>
      <c r="E615" s="4" t="s">
        <v>905</v>
      </c>
      <c r="F615" s="4" t="s">
        <v>13</v>
      </c>
      <c r="G615" s="4" t="s">
        <v>13</v>
      </c>
      <c r="H615" s="19" t="s">
        <v>12</v>
      </c>
      <c r="I615" t="str">
        <f>VLOOKUP(A615,All!A:A,1,FALSE)</f>
        <v>Plainfield (East)</v>
      </c>
    </row>
    <row r="616" spans="1:9" ht="15.75" thickBot="1" x14ac:dyDescent="0.3">
      <c r="A616" s="20" t="s">
        <v>713</v>
      </c>
      <c r="B616" s="5">
        <v>2343</v>
      </c>
      <c r="C616" s="6" t="s">
        <v>11</v>
      </c>
      <c r="D616" s="6" t="s">
        <v>11</v>
      </c>
      <c r="E616" s="6" t="s">
        <v>12</v>
      </c>
      <c r="F616" s="6" t="s">
        <v>12</v>
      </c>
      <c r="G616" s="6" t="s">
        <v>13</v>
      </c>
      <c r="H616" s="21" t="s">
        <v>12</v>
      </c>
      <c r="I616" t="str">
        <f>VLOOKUP(A616,All!A:A,1,FALSE)</f>
        <v>Plainfield (North)</v>
      </c>
    </row>
    <row r="617" spans="1:9" ht="15.75" thickBot="1" x14ac:dyDescent="0.3">
      <c r="A617" s="18" t="s">
        <v>714</v>
      </c>
      <c r="B617" s="8">
        <v>2229</v>
      </c>
      <c r="C617" s="4" t="s">
        <v>11</v>
      </c>
      <c r="D617" s="4" t="s">
        <v>11</v>
      </c>
      <c r="E617" s="4" t="s">
        <v>12</v>
      </c>
      <c r="F617" s="4" t="s">
        <v>12</v>
      </c>
      <c r="G617" s="4" t="s">
        <v>13</v>
      </c>
      <c r="H617" s="19" t="s">
        <v>12</v>
      </c>
      <c r="I617" t="str">
        <f>VLOOKUP(A617,All!A:A,1,FALSE)</f>
        <v>Plainfield (South)</v>
      </c>
    </row>
    <row r="618" spans="1:9" ht="15.75" thickBot="1" x14ac:dyDescent="0.3">
      <c r="A618" s="20" t="s">
        <v>715</v>
      </c>
      <c r="B618" s="7">
        <v>747</v>
      </c>
      <c r="C618" s="6" t="s">
        <v>12</v>
      </c>
      <c r="D618" s="6" t="s">
        <v>12</v>
      </c>
      <c r="E618" s="6" t="s">
        <v>13</v>
      </c>
      <c r="F618" s="6"/>
      <c r="G618" s="6" t="s">
        <v>13</v>
      </c>
      <c r="H618" s="21" t="s">
        <v>9</v>
      </c>
      <c r="I618" t="str">
        <f>VLOOKUP(A618,All!A:A,1,FALSE)</f>
        <v>Plano</v>
      </c>
    </row>
    <row r="619" spans="1:9" ht="15.75" thickBot="1" x14ac:dyDescent="0.3">
      <c r="A619" s="18" t="s">
        <v>716</v>
      </c>
      <c r="B619" s="3">
        <v>96</v>
      </c>
      <c r="C619" s="4" t="s">
        <v>9</v>
      </c>
      <c r="D619" s="4" t="s">
        <v>9</v>
      </c>
      <c r="E619" s="4"/>
      <c r="F619" s="4"/>
      <c r="G619" s="4"/>
      <c r="H619" s="19"/>
      <c r="I619" t="str">
        <f>VLOOKUP(A619,All!A:A,1,FALSE)</f>
        <v>Pleasant Hill</v>
      </c>
    </row>
    <row r="620" spans="1:9" ht="15.75" thickBot="1" x14ac:dyDescent="0.3">
      <c r="A620" s="20" t="s">
        <v>717</v>
      </c>
      <c r="B620" s="7">
        <v>409</v>
      </c>
      <c r="C620" s="6" t="s">
        <v>13</v>
      </c>
      <c r="D620" s="6" t="s">
        <v>13</v>
      </c>
      <c r="E620" s="6"/>
      <c r="F620" s="6"/>
      <c r="G620" s="6" t="s">
        <v>9</v>
      </c>
      <c r="H620" s="22" t="s">
        <v>9</v>
      </c>
      <c r="I620" t="str">
        <f>VLOOKUP(A620,All!A:A,1,FALSE)</f>
        <v>Pleasant Plains</v>
      </c>
    </row>
    <row r="621" spans="1:9" ht="15.75" thickBot="1" x14ac:dyDescent="0.3">
      <c r="A621" s="18" t="s">
        <v>718</v>
      </c>
      <c r="B621" s="3">
        <v>180</v>
      </c>
      <c r="C621" s="4" t="s">
        <v>9</v>
      </c>
      <c r="D621" s="4" t="s">
        <v>9</v>
      </c>
      <c r="E621" s="4"/>
      <c r="F621" s="4"/>
      <c r="G621" s="4" t="s">
        <v>9</v>
      </c>
      <c r="H621" s="22" t="s">
        <v>9</v>
      </c>
      <c r="I621" t="str">
        <f>VLOOKUP(A621,All!A:A,1,FALSE)</f>
        <v>Polo</v>
      </c>
    </row>
    <row r="622" spans="1:9" ht="15.75" thickBot="1" x14ac:dyDescent="0.3">
      <c r="A622" s="20" t="s">
        <v>719</v>
      </c>
      <c r="B622" s="7">
        <v>639</v>
      </c>
      <c r="C622" s="6" t="s">
        <v>13</v>
      </c>
      <c r="D622" s="6" t="s">
        <v>13</v>
      </c>
      <c r="E622" s="6" t="s">
        <v>9</v>
      </c>
      <c r="F622" s="6"/>
      <c r="G622" s="6" t="s">
        <v>13</v>
      </c>
      <c r="H622" s="21" t="s">
        <v>9</v>
      </c>
      <c r="I622" t="str">
        <f>VLOOKUP(A622,All!A:A,1,FALSE)</f>
        <v>Pontiac</v>
      </c>
    </row>
    <row r="623" spans="1:9" ht="15.75" thickBot="1" x14ac:dyDescent="0.3">
      <c r="A623" s="18" t="s">
        <v>720</v>
      </c>
      <c r="B623" s="3">
        <v>484</v>
      </c>
      <c r="C623" s="4" t="s">
        <v>13</v>
      </c>
      <c r="D623" s="4" t="s">
        <v>13</v>
      </c>
      <c r="E623" s="4" t="s">
        <v>9</v>
      </c>
      <c r="F623" s="4"/>
      <c r="G623" s="4" t="s">
        <v>13</v>
      </c>
      <c r="H623" s="19" t="s">
        <v>9</v>
      </c>
      <c r="I623" t="str">
        <f>VLOOKUP(A623,All!A:A,1,FALSE)</f>
        <v>Poplar Grove (North Boone)</v>
      </c>
    </row>
    <row r="624" spans="1:9" ht="15.75" thickBot="1" x14ac:dyDescent="0.3">
      <c r="A624" s="20" t="s">
        <v>721</v>
      </c>
      <c r="B624" s="7">
        <v>320</v>
      </c>
      <c r="C624" s="6" t="s">
        <v>13</v>
      </c>
      <c r="D624" s="6" t="s">
        <v>13</v>
      </c>
      <c r="E624" s="6"/>
      <c r="F624" s="6"/>
      <c r="G624" s="6" t="s">
        <v>9</v>
      </c>
      <c r="H624" s="21" t="s">
        <v>9</v>
      </c>
      <c r="I624" t="str">
        <f>VLOOKUP(A624,All!A:A,1,FALSE)</f>
        <v>Port Byron (Riverdale)</v>
      </c>
    </row>
    <row r="625" spans="1:9" ht="15.75" thickBot="1" x14ac:dyDescent="0.3">
      <c r="A625" s="25" t="s">
        <v>0</v>
      </c>
      <c r="B625" s="1" t="s">
        <v>1</v>
      </c>
      <c r="C625" s="2" t="s">
        <v>899</v>
      </c>
      <c r="D625" s="2" t="s">
        <v>900</v>
      </c>
      <c r="E625" s="2" t="s">
        <v>901</v>
      </c>
      <c r="F625" s="2" t="s">
        <v>902</v>
      </c>
      <c r="G625" s="2" t="s">
        <v>903</v>
      </c>
      <c r="H625" s="26" t="s">
        <v>904</v>
      </c>
      <c r="I625" t="str">
        <f>VLOOKUP(A625,All!A:A,1,FALSE)</f>
        <v>School</v>
      </c>
    </row>
    <row r="626" spans="1:9" ht="15.75" thickBot="1" x14ac:dyDescent="0.3">
      <c r="A626" s="18" t="s">
        <v>722</v>
      </c>
      <c r="B626" s="3">
        <v>472</v>
      </c>
      <c r="C626" s="4" t="s">
        <v>13</v>
      </c>
      <c r="D626" s="4" t="s">
        <v>13</v>
      </c>
      <c r="E626" s="4"/>
      <c r="F626" s="4"/>
      <c r="G626" s="4" t="s">
        <v>13</v>
      </c>
      <c r="H626" s="19" t="s">
        <v>9</v>
      </c>
      <c r="I626" t="str">
        <f>VLOOKUP(A626,All!A:A,1,FALSE)</f>
        <v>Princeton</v>
      </c>
    </row>
    <row r="627" spans="1:9" ht="15.75" thickBot="1" x14ac:dyDescent="0.3">
      <c r="A627" s="20" t="s">
        <v>723</v>
      </c>
      <c r="B627" s="7">
        <v>185</v>
      </c>
      <c r="C627" s="6" t="s">
        <v>9</v>
      </c>
      <c r="D627" s="6" t="s">
        <v>9</v>
      </c>
      <c r="E627" s="6"/>
      <c r="F627" s="6"/>
      <c r="G627" s="6" t="s">
        <v>9</v>
      </c>
      <c r="H627" s="21"/>
      <c r="I627" t="str">
        <f>VLOOKUP(A627,All!A:A,1,FALSE)</f>
        <v>Princeville</v>
      </c>
    </row>
    <row r="628" spans="1:9" ht="15.75" thickBot="1" x14ac:dyDescent="0.3">
      <c r="A628" s="18" t="s">
        <v>724</v>
      </c>
      <c r="B628" s="3">
        <v>198</v>
      </c>
      <c r="C628" s="9" t="s">
        <v>13</v>
      </c>
      <c r="D628" s="4"/>
      <c r="E628" s="4"/>
      <c r="F628" s="4"/>
      <c r="G628" s="4"/>
      <c r="H628" s="19"/>
      <c r="I628" t="str">
        <f>VLOOKUP(A628,All!A:A,1,FALSE)</f>
        <v>Prophetstown</v>
      </c>
    </row>
    <row r="629" spans="1:9" ht="15.75" thickBot="1" x14ac:dyDescent="0.3">
      <c r="A629" s="20" t="s">
        <v>725</v>
      </c>
      <c r="B629" s="7" t="s">
        <v>272</v>
      </c>
      <c r="C629" s="10" t="s">
        <v>13</v>
      </c>
      <c r="D629" s="12" t="s">
        <v>12</v>
      </c>
      <c r="E629" s="6"/>
      <c r="F629" s="10" t="s">
        <v>9</v>
      </c>
      <c r="G629" s="10" t="s">
        <v>13</v>
      </c>
      <c r="H629" s="23" t="s">
        <v>9</v>
      </c>
      <c r="I629" t="str">
        <f>VLOOKUP(A629,All!A:A,1,FALSE)</f>
        <v>Quincy (Notre Dame)</v>
      </c>
    </row>
    <row r="630" spans="1:9" ht="15.75" thickBot="1" x14ac:dyDescent="0.3">
      <c r="A630" s="18" t="s">
        <v>726</v>
      </c>
      <c r="B630" s="8">
        <v>1743</v>
      </c>
      <c r="C630" s="4" t="s">
        <v>11</v>
      </c>
      <c r="D630" s="4" t="s">
        <v>11</v>
      </c>
      <c r="E630" s="4"/>
      <c r="F630" s="4" t="s">
        <v>13</v>
      </c>
      <c r="G630" s="4" t="s">
        <v>13</v>
      </c>
      <c r="H630" s="19" t="s">
        <v>12</v>
      </c>
      <c r="I630" t="str">
        <f>VLOOKUP(A630,All!A:A,1,FALSE)</f>
        <v>Quincy (Sr.)</v>
      </c>
    </row>
    <row r="631" spans="1:9" ht="15.75" thickBot="1" x14ac:dyDescent="0.3">
      <c r="A631" s="20" t="s">
        <v>727</v>
      </c>
      <c r="B631" s="7">
        <v>96</v>
      </c>
      <c r="C631" s="9" t="s">
        <v>9</v>
      </c>
      <c r="D631" s="9" t="s">
        <v>9</v>
      </c>
      <c r="E631" s="6"/>
      <c r="F631" s="6"/>
      <c r="G631" s="9" t="s">
        <v>9</v>
      </c>
      <c r="H631" s="21"/>
      <c r="I631" t="str">
        <f>VLOOKUP(A631,All!A:A,1,FALSE)</f>
        <v>Ramsey</v>
      </c>
    </row>
    <row r="632" spans="1:9" ht="15.75" thickBot="1" x14ac:dyDescent="0.3">
      <c r="A632" s="18" t="s">
        <v>728</v>
      </c>
      <c r="B632" s="3">
        <v>880</v>
      </c>
      <c r="C632" s="4" t="s">
        <v>12</v>
      </c>
      <c r="D632" s="4" t="s">
        <v>12</v>
      </c>
      <c r="E632" s="4" t="s">
        <v>13</v>
      </c>
      <c r="F632" s="4" t="s">
        <v>9</v>
      </c>
      <c r="G632" s="4" t="s">
        <v>13</v>
      </c>
      <c r="H632" s="19" t="s">
        <v>13</v>
      </c>
      <c r="I632" t="str">
        <f>VLOOKUP(A632,All!A:A,1,FALSE)</f>
        <v>Rantoul</v>
      </c>
    </row>
    <row r="633" spans="1:9" ht="15.75" thickBot="1" x14ac:dyDescent="0.3">
      <c r="A633" s="20" t="s">
        <v>729</v>
      </c>
      <c r="B633" s="7">
        <v>155</v>
      </c>
      <c r="C633" s="9" t="s">
        <v>9</v>
      </c>
      <c r="D633" s="9" t="s">
        <v>9</v>
      </c>
      <c r="E633" s="6"/>
      <c r="F633" s="6"/>
      <c r="G633" s="6" t="s">
        <v>9</v>
      </c>
      <c r="H633" s="21"/>
      <c r="I633" t="str">
        <f>VLOOKUP(A633,All!A:A,1,FALSE)</f>
        <v>Raymond (Lincolnwood)</v>
      </c>
    </row>
    <row r="634" spans="1:9" ht="15.75" thickBot="1" x14ac:dyDescent="0.3">
      <c r="A634" s="18" t="s">
        <v>730</v>
      </c>
      <c r="B634" s="3">
        <v>365</v>
      </c>
      <c r="C634" s="4" t="s">
        <v>13</v>
      </c>
      <c r="D634" s="4" t="s">
        <v>13</v>
      </c>
      <c r="E634" s="4" t="s">
        <v>9</v>
      </c>
      <c r="F634" s="4"/>
      <c r="G634" s="4"/>
      <c r="H634" s="19" t="s">
        <v>9</v>
      </c>
      <c r="I634" t="str">
        <f>VLOOKUP(A634,All!A:A,1,FALSE)</f>
        <v>Red Bud</v>
      </c>
    </row>
    <row r="635" spans="1:9" ht="15.75" thickBot="1" x14ac:dyDescent="0.3">
      <c r="A635" s="20" t="s">
        <v>731</v>
      </c>
      <c r="B635" s="7">
        <v>515</v>
      </c>
      <c r="C635" s="6" t="s">
        <v>13</v>
      </c>
      <c r="D635" s="6" t="s">
        <v>13</v>
      </c>
      <c r="E635" s="6" t="s">
        <v>9</v>
      </c>
      <c r="F635" s="6"/>
      <c r="G635" s="6" t="s">
        <v>13</v>
      </c>
      <c r="H635" s="21" t="s">
        <v>9</v>
      </c>
      <c r="I635" t="str">
        <f>VLOOKUP(A635,All!A:A,1,FALSE)</f>
        <v>Richmond (R.-Burton)</v>
      </c>
    </row>
    <row r="636" spans="1:9" ht="15.75" thickBot="1" x14ac:dyDescent="0.3">
      <c r="A636" s="18" t="s">
        <v>732</v>
      </c>
      <c r="B636" s="8">
        <v>2286</v>
      </c>
      <c r="C636" s="4" t="s">
        <v>11</v>
      </c>
      <c r="D636" s="4" t="s">
        <v>11</v>
      </c>
      <c r="E636" s="4" t="s">
        <v>905</v>
      </c>
      <c r="F636" s="4" t="s">
        <v>12</v>
      </c>
      <c r="G636" s="4" t="s">
        <v>13</v>
      </c>
      <c r="H636" s="19" t="s">
        <v>12</v>
      </c>
      <c r="I636" t="str">
        <f>VLOOKUP(A636,All!A:A,1,FALSE)</f>
        <v>Richton Park (Rich Township)</v>
      </c>
    </row>
    <row r="637" spans="1:9" ht="15.75" thickBot="1" x14ac:dyDescent="0.3">
      <c r="A637" s="20" t="s">
        <v>733</v>
      </c>
      <c r="B637" s="7" t="s">
        <v>734</v>
      </c>
      <c r="C637" s="10" t="s">
        <v>12</v>
      </c>
      <c r="D637" s="10" t="s">
        <v>12</v>
      </c>
      <c r="E637" s="10" t="s">
        <v>13</v>
      </c>
      <c r="F637" s="10" t="s">
        <v>9</v>
      </c>
      <c r="G637" s="6"/>
      <c r="H637" s="21"/>
      <c r="I637" t="str">
        <f>VLOOKUP(A637,All!A:A,1,FALSE)</f>
        <v>Richton Park (Southland College Prep Charter)</v>
      </c>
    </row>
    <row r="638" spans="1:9" ht="15.75" thickBot="1" x14ac:dyDescent="0.3">
      <c r="A638" s="18" t="s">
        <v>735</v>
      </c>
      <c r="B638" s="3" t="s">
        <v>736</v>
      </c>
      <c r="C638" s="4"/>
      <c r="D638" s="10" t="s">
        <v>12</v>
      </c>
      <c r="E638" s="10" t="s">
        <v>13</v>
      </c>
      <c r="F638" s="4"/>
      <c r="G638" s="4"/>
      <c r="H638" s="19"/>
      <c r="I638" t="str">
        <f>VLOOKUP(A638,All!A:A,1,FALSE)</f>
        <v>River Forest (Trinity)</v>
      </c>
    </row>
    <row r="639" spans="1:9" ht="15.75" thickBot="1" x14ac:dyDescent="0.3">
      <c r="A639" s="20" t="s">
        <v>737</v>
      </c>
      <c r="B639" s="5">
        <v>1639</v>
      </c>
      <c r="C639" s="6" t="s">
        <v>11</v>
      </c>
      <c r="D639" s="6" t="s">
        <v>11</v>
      </c>
      <c r="E639" s="6" t="s">
        <v>905</v>
      </c>
      <c r="F639" s="6"/>
      <c r="G639" s="6" t="s">
        <v>13</v>
      </c>
      <c r="H639" s="21" t="s">
        <v>13</v>
      </c>
      <c r="I639" t="str">
        <f>VLOOKUP(A639,All!A:A,1,FALSE)</f>
        <v>Riverside (R.-Brookfield)</v>
      </c>
    </row>
    <row r="640" spans="1:9" ht="15.75" thickBot="1" x14ac:dyDescent="0.3">
      <c r="A640" s="18" t="s">
        <v>738</v>
      </c>
      <c r="B640" s="3">
        <v>343</v>
      </c>
      <c r="C640" s="4" t="s">
        <v>13</v>
      </c>
      <c r="D640" s="4" t="s">
        <v>13</v>
      </c>
      <c r="E640" s="4"/>
      <c r="F640" s="4"/>
      <c r="G640" s="4" t="s">
        <v>9</v>
      </c>
      <c r="H640" s="19" t="s">
        <v>9</v>
      </c>
      <c r="I640" t="str">
        <f>VLOOKUP(A640,All!A:A,1,FALSE)</f>
        <v>Riverton</v>
      </c>
    </row>
    <row r="641" spans="1:9" ht="15.75" thickBot="1" x14ac:dyDescent="0.3">
      <c r="A641" s="20" t="s">
        <v>739</v>
      </c>
      <c r="B641" s="7">
        <v>142</v>
      </c>
      <c r="C641" s="6" t="s">
        <v>9</v>
      </c>
      <c r="D641" s="9" t="s">
        <v>9</v>
      </c>
      <c r="E641" s="6"/>
      <c r="F641" s="6"/>
      <c r="G641" s="6" t="s">
        <v>9</v>
      </c>
      <c r="H641" s="21"/>
      <c r="I641" t="str">
        <f>VLOOKUP(A641,All!A:A,1,FALSE)</f>
        <v>Roanoke (R.-Benson)</v>
      </c>
    </row>
    <row r="642" spans="1:9" ht="15.75" thickBot="1" x14ac:dyDescent="0.3">
      <c r="A642" s="18" t="s">
        <v>740</v>
      </c>
      <c r="B642" s="3">
        <v>439</v>
      </c>
      <c r="C642" s="4" t="s">
        <v>13</v>
      </c>
      <c r="D642" s="4" t="s">
        <v>13</v>
      </c>
      <c r="E642" s="4" t="s">
        <v>9</v>
      </c>
      <c r="F642" s="4"/>
      <c r="G642" s="4" t="s">
        <v>9</v>
      </c>
      <c r="H642" s="19" t="s">
        <v>9</v>
      </c>
      <c r="I642" t="str">
        <f>VLOOKUP(A642,All!A:A,1,FALSE)</f>
        <v>Robinson</v>
      </c>
    </row>
    <row r="643" spans="1:9" ht="15.75" thickBot="1" x14ac:dyDescent="0.3">
      <c r="A643" s="20" t="s">
        <v>741</v>
      </c>
      <c r="B643" s="7">
        <v>824</v>
      </c>
      <c r="C643" s="6" t="s">
        <v>12</v>
      </c>
      <c r="D643" s="6" t="s">
        <v>12</v>
      </c>
      <c r="E643" s="6" t="s">
        <v>13</v>
      </c>
      <c r="F643" s="6"/>
      <c r="G643" s="6" t="s">
        <v>13</v>
      </c>
      <c r="H643" s="21" t="s">
        <v>13</v>
      </c>
      <c r="I643" t="str">
        <f>VLOOKUP(A643,All!A:A,1,FALSE)</f>
        <v>Rochelle</v>
      </c>
    </row>
    <row r="644" spans="1:9" ht="15.75" thickBot="1" x14ac:dyDescent="0.3">
      <c r="A644" s="18" t="s">
        <v>742</v>
      </c>
      <c r="B644" s="3">
        <v>682</v>
      </c>
      <c r="C644" s="4" t="s">
        <v>13</v>
      </c>
      <c r="D644" s="4" t="s">
        <v>13</v>
      </c>
      <c r="E644" s="4"/>
      <c r="F644" s="4"/>
      <c r="G644" s="4" t="s">
        <v>13</v>
      </c>
      <c r="H644" s="19" t="s">
        <v>9</v>
      </c>
      <c r="I644" t="str">
        <f>VLOOKUP(A644,All!A:A,1,FALSE)</f>
        <v>Rochester</v>
      </c>
    </row>
    <row r="645" spans="1:9" ht="15.75" thickBot="1" x14ac:dyDescent="0.3">
      <c r="A645" s="20" t="s">
        <v>743</v>
      </c>
      <c r="B645" s="7">
        <v>500</v>
      </c>
      <c r="C645" s="6" t="s">
        <v>13</v>
      </c>
      <c r="D645" s="6" t="s">
        <v>13</v>
      </c>
      <c r="E645" s="6"/>
      <c r="F645" s="6"/>
      <c r="G645" s="6" t="s">
        <v>13</v>
      </c>
      <c r="H645" s="21" t="s">
        <v>9</v>
      </c>
      <c r="I645" t="str">
        <f>VLOOKUP(A645,All!A:A,1,FALSE)</f>
        <v>Rock Falls</v>
      </c>
    </row>
    <row r="646" spans="1:9" ht="15.75" thickBot="1" x14ac:dyDescent="0.3">
      <c r="A646" s="18" t="s">
        <v>744</v>
      </c>
      <c r="B646" s="3" t="s">
        <v>745</v>
      </c>
      <c r="C646" s="11" t="s">
        <v>9</v>
      </c>
      <c r="D646" s="10" t="s">
        <v>13</v>
      </c>
      <c r="E646" s="4"/>
      <c r="F646" s="4"/>
      <c r="G646" s="4"/>
      <c r="H646" s="23" t="s">
        <v>9</v>
      </c>
      <c r="I646" t="str">
        <f>VLOOKUP(A646,All!A:A,1,FALSE)</f>
        <v>Rock Island (Alleman)</v>
      </c>
    </row>
    <row r="647" spans="1:9" ht="15.75" thickBot="1" x14ac:dyDescent="0.3">
      <c r="A647" s="20" t="s">
        <v>746</v>
      </c>
      <c r="B647" s="5">
        <v>1700</v>
      </c>
      <c r="C647" s="6" t="s">
        <v>11</v>
      </c>
      <c r="D647" s="6" t="s">
        <v>11</v>
      </c>
      <c r="E647" s="6" t="s">
        <v>12</v>
      </c>
      <c r="F647" s="6"/>
      <c r="G647" s="6"/>
      <c r="H647" s="21" t="s">
        <v>13</v>
      </c>
      <c r="I647" t="str">
        <f>VLOOKUP(A647,All!A:A,1,FALSE)</f>
        <v>Rock Island (H.S.)</v>
      </c>
    </row>
    <row r="648" spans="1:9" ht="15.75" thickBot="1" x14ac:dyDescent="0.3">
      <c r="A648" s="18" t="s">
        <v>747</v>
      </c>
      <c r="B648" s="8">
        <v>1747</v>
      </c>
      <c r="C648" s="4" t="s">
        <v>11</v>
      </c>
      <c r="D648" s="4" t="s">
        <v>11</v>
      </c>
      <c r="E648" s="4" t="s">
        <v>12</v>
      </c>
      <c r="F648" s="4" t="s">
        <v>13</v>
      </c>
      <c r="G648" s="4" t="s">
        <v>13</v>
      </c>
      <c r="H648" s="19" t="s">
        <v>12</v>
      </c>
      <c r="I648" t="str">
        <f>VLOOKUP(A648,All!A:A,1,FALSE)</f>
        <v>Rockford (Auburn)</v>
      </c>
    </row>
    <row r="649" spans="1:9" ht="15.75" thickBot="1" x14ac:dyDescent="0.3">
      <c r="A649" s="20" t="s">
        <v>748</v>
      </c>
      <c r="B649" s="7" t="s">
        <v>749</v>
      </c>
      <c r="C649" s="10" t="s">
        <v>12</v>
      </c>
      <c r="D649" s="10" t="s">
        <v>12</v>
      </c>
      <c r="E649" s="11" t="s">
        <v>9</v>
      </c>
      <c r="F649" s="10" t="s">
        <v>9</v>
      </c>
      <c r="G649" s="10" t="s">
        <v>13</v>
      </c>
      <c r="H649" s="24" t="s">
        <v>9</v>
      </c>
      <c r="I649" t="str">
        <f>VLOOKUP(A649,All!A:A,1,FALSE)</f>
        <v>Rockford (Boylan Catholic)</v>
      </c>
    </row>
    <row r="650" spans="1:9" ht="15.75" thickBot="1" x14ac:dyDescent="0.3">
      <c r="A650" s="18" t="s">
        <v>961</v>
      </c>
      <c r="B650" s="3" t="s">
        <v>962</v>
      </c>
      <c r="C650" s="10" t="s">
        <v>9</v>
      </c>
      <c r="D650" s="10" t="s">
        <v>9</v>
      </c>
      <c r="E650" s="4"/>
      <c r="F650" s="4"/>
      <c r="G650" s="10" t="s">
        <v>9</v>
      </c>
      <c r="H650" s="19"/>
      <c r="I650" t="str">
        <f>VLOOKUP(A650,All!A:A,1,FALSE)</f>
        <v>Rockford (Christian Life)</v>
      </c>
    </row>
    <row r="651" spans="1:9" ht="15.75" thickBot="1" x14ac:dyDescent="0.3">
      <c r="A651" s="25" t="s">
        <v>0</v>
      </c>
      <c r="B651" s="1" t="s">
        <v>1</v>
      </c>
      <c r="C651" s="2" t="s">
        <v>899</v>
      </c>
      <c r="D651" s="2" t="s">
        <v>900</v>
      </c>
      <c r="E651" s="2" t="s">
        <v>901</v>
      </c>
      <c r="F651" s="2" t="s">
        <v>902</v>
      </c>
      <c r="G651" s="2" t="s">
        <v>903</v>
      </c>
      <c r="H651" s="26" t="s">
        <v>904</v>
      </c>
      <c r="I651" t="str">
        <f>VLOOKUP(A651,All!A:A,1,FALSE)</f>
        <v>School</v>
      </c>
    </row>
    <row r="652" spans="1:9" ht="15.75" thickBot="1" x14ac:dyDescent="0.3">
      <c r="A652" s="20" t="s">
        <v>750</v>
      </c>
      <c r="B652" s="5">
        <v>1597</v>
      </c>
      <c r="C652" s="6" t="s">
        <v>12</v>
      </c>
      <c r="D652" s="6" t="s">
        <v>12</v>
      </c>
      <c r="E652" s="6" t="s">
        <v>905</v>
      </c>
      <c r="F652" s="6" t="s">
        <v>13</v>
      </c>
      <c r="G652" s="6"/>
      <c r="H652" s="21" t="s">
        <v>13</v>
      </c>
      <c r="I652" t="str">
        <f>VLOOKUP(A652,All!A:A,1,FALSE)</f>
        <v>Rockford (East)</v>
      </c>
    </row>
    <row r="653" spans="1:9" ht="15.75" thickBot="1" x14ac:dyDescent="0.3">
      <c r="A653" s="18" t="s">
        <v>751</v>
      </c>
      <c r="B653" s="8">
        <v>2026</v>
      </c>
      <c r="C653" s="4" t="s">
        <v>11</v>
      </c>
      <c r="D653" s="4" t="s">
        <v>11</v>
      </c>
      <c r="E653" s="4" t="s">
        <v>12</v>
      </c>
      <c r="F653" s="4" t="s">
        <v>12</v>
      </c>
      <c r="G653" s="4" t="s">
        <v>13</v>
      </c>
      <c r="H653" s="19" t="s">
        <v>12</v>
      </c>
      <c r="I653" t="str">
        <f>VLOOKUP(A653,All!A:A,1,FALSE)</f>
        <v>Rockford (Guilford)</v>
      </c>
    </row>
    <row r="654" spans="1:9" ht="15.75" thickBot="1" x14ac:dyDescent="0.3">
      <c r="A654" s="20" t="s">
        <v>752</v>
      </c>
      <c r="B654" s="5">
        <v>2020</v>
      </c>
      <c r="C654" s="6" t="s">
        <v>11</v>
      </c>
      <c r="D654" s="6" t="s">
        <v>11</v>
      </c>
      <c r="E654" s="6" t="s">
        <v>905</v>
      </c>
      <c r="F654" s="6" t="s">
        <v>12</v>
      </c>
      <c r="G654" s="6"/>
      <c r="H654" s="21" t="s">
        <v>12</v>
      </c>
      <c r="I654" t="str">
        <f>VLOOKUP(A654,All!A:A,1,FALSE)</f>
        <v>Rockford (Jefferson)</v>
      </c>
    </row>
    <row r="655" spans="1:9" ht="15.75" thickBot="1" x14ac:dyDescent="0.3">
      <c r="A655" s="18" t="s">
        <v>963</v>
      </c>
      <c r="B655" s="3" t="s">
        <v>964</v>
      </c>
      <c r="C655" s="4"/>
      <c r="D655" s="4"/>
      <c r="E655" s="4"/>
      <c r="F655" s="4"/>
      <c r="G655" s="10" t="s">
        <v>9</v>
      </c>
      <c r="H655" s="19"/>
      <c r="I655" t="str">
        <f>VLOOKUP(A655,All!A:A,1,FALSE)</f>
        <v>Rockford (Keith Country Day)</v>
      </c>
    </row>
    <row r="656" spans="1:9" ht="15.75" thickBot="1" x14ac:dyDescent="0.3">
      <c r="A656" s="20" t="s">
        <v>753</v>
      </c>
      <c r="B656" s="7" t="s">
        <v>754</v>
      </c>
      <c r="C656" s="10" t="s">
        <v>13</v>
      </c>
      <c r="D656" s="10" t="s">
        <v>13</v>
      </c>
      <c r="E656" s="6"/>
      <c r="F656" s="6"/>
      <c r="G656" s="10" t="s">
        <v>13</v>
      </c>
      <c r="H656" s="21"/>
      <c r="I656" t="str">
        <f>VLOOKUP(A656,All!A:A,1,FALSE)</f>
        <v>Rockford (Lutheran)</v>
      </c>
    </row>
    <row r="657" spans="1:9" ht="15.75" thickBot="1" x14ac:dyDescent="0.3">
      <c r="A657" s="18" t="s">
        <v>965</v>
      </c>
      <c r="B657" s="3" t="s">
        <v>966</v>
      </c>
      <c r="C657" s="9" t="s">
        <v>9</v>
      </c>
      <c r="D657" s="9" t="s">
        <v>9</v>
      </c>
      <c r="E657" s="4"/>
      <c r="F657" s="4"/>
      <c r="G657" s="4"/>
      <c r="H657" s="19"/>
      <c r="I657" t="str">
        <f>VLOOKUP(A657,All!A:A,1,FALSE)</f>
        <v>Rockford (Our Lady of the Sacred Heart)</v>
      </c>
    </row>
    <row r="658" spans="1:9" ht="15.75" thickBot="1" x14ac:dyDescent="0.3">
      <c r="A658" s="20" t="s">
        <v>755</v>
      </c>
      <c r="B658" s="7" t="s">
        <v>756</v>
      </c>
      <c r="C658" s="10" t="s">
        <v>13</v>
      </c>
      <c r="D658" s="11" t="s">
        <v>9</v>
      </c>
      <c r="E658" s="6"/>
      <c r="F658" s="6"/>
      <c r="G658" s="6"/>
      <c r="H658" s="21"/>
      <c r="I658" t="str">
        <f>VLOOKUP(A658,All!A:A,1,FALSE)</f>
        <v>Rockford (R. Christian)</v>
      </c>
    </row>
    <row r="659" spans="1:9" ht="15.75" thickBot="1" x14ac:dyDescent="0.3">
      <c r="A659" s="18" t="s">
        <v>757</v>
      </c>
      <c r="B659" s="8">
        <v>1786</v>
      </c>
      <c r="C659" s="4" t="s">
        <v>11</v>
      </c>
      <c r="D659" s="4" t="s">
        <v>11</v>
      </c>
      <c r="E659" s="4" t="s">
        <v>12</v>
      </c>
      <c r="F659" s="4"/>
      <c r="G659" s="4" t="s">
        <v>13</v>
      </c>
      <c r="H659" s="19" t="s">
        <v>12</v>
      </c>
      <c r="I659" t="str">
        <f>VLOOKUP(A659,All!A:A,1,FALSE)</f>
        <v>Rockton (Hononegah)</v>
      </c>
    </row>
    <row r="660" spans="1:9" ht="15.75" thickBot="1" x14ac:dyDescent="0.3">
      <c r="A660" s="20" t="s">
        <v>758</v>
      </c>
      <c r="B660" s="5">
        <v>1793</v>
      </c>
      <c r="C660" s="6" t="s">
        <v>11</v>
      </c>
      <c r="D660" s="6" t="s">
        <v>11</v>
      </c>
      <c r="E660" s="6" t="s">
        <v>12</v>
      </c>
      <c r="F660" s="6" t="s">
        <v>13</v>
      </c>
      <c r="G660" s="6" t="s">
        <v>13</v>
      </c>
      <c r="H660" s="21" t="s">
        <v>12</v>
      </c>
      <c r="I660" t="str">
        <f>VLOOKUP(A660,All!A:A,1,FALSE)</f>
        <v>Rolling Meadows</v>
      </c>
    </row>
    <row r="661" spans="1:9" ht="15.75" thickBot="1" x14ac:dyDescent="0.3">
      <c r="A661" s="18" t="s">
        <v>759</v>
      </c>
      <c r="B661" s="8">
        <v>1798</v>
      </c>
      <c r="C661" s="4" t="s">
        <v>11</v>
      </c>
      <c r="D661" s="4" t="s">
        <v>11</v>
      </c>
      <c r="E661" s="4" t="s">
        <v>905</v>
      </c>
      <c r="F661" s="4"/>
      <c r="G661" s="4" t="s">
        <v>13</v>
      </c>
      <c r="H661" s="19" t="s">
        <v>12</v>
      </c>
      <c r="I661" t="str">
        <f>VLOOKUP(A661,All!A:A,1,FALSE)</f>
        <v>Romeoville (H.S.)</v>
      </c>
    </row>
    <row r="662" spans="1:9" ht="15.75" thickBot="1" x14ac:dyDescent="0.3">
      <c r="A662" s="20" t="s">
        <v>760</v>
      </c>
      <c r="B662" s="5">
        <v>2484</v>
      </c>
      <c r="C662" s="6" t="s">
        <v>11</v>
      </c>
      <c r="D662" s="6" t="s">
        <v>11</v>
      </c>
      <c r="E662" s="6" t="s">
        <v>905</v>
      </c>
      <c r="F662" s="6" t="s">
        <v>12</v>
      </c>
      <c r="G662" s="6" t="s">
        <v>13</v>
      </c>
      <c r="H662" s="21" t="s">
        <v>12</v>
      </c>
      <c r="I662" t="str">
        <f>VLOOKUP(A662,All!A:A,1,FALSE)</f>
        <v>Roselle (Lake Park)</v>
      </c>
    </row>
    <row r="663" spans="1:9" ht="15.75" thickBot="1" x14ac:dyDescent="0.3">
      <c r="A663" s="18" t="s">
        <v>761</v>
      </c>
      <c r="B663" s="8">
        <v>2112</v>
      </c>
      <c r="C663" s="4" t="s">
        <v>11</v>
      </c>
      <c r="D663" s="4" t="s">
        <v>11</v>
      </c>
      <c r="E663" s="4" t="s">
        <v>12</v>
      </c>
      <c r="F663" s="4"/>
      <c r="G663" s="4" t="s">
        <v>13</v>
      </c>
      <c r="H663" s="19" t="s">
        <v>12</v>
      </c>
      <c r="I663" t="str">
        <f>VLOOKUP(A663,All!A:A,1,FALSE)</f>
        <v>Round Lake</v>
      </c>
    </row>
    <row r="664" spans="1:9" ht="15.75" thickBot="1" x14ac:dyDescent="0.3">
      <c r="A664" s="20" t="s">
        <v>762</v>
      </c>
      <c r="B664" s="7">
        <v>492</v>
      </c>
      <c r="C664" s="6" t="s">
        <v>13</v>
      </c>
      <c r="D664" s="6" t="s">
        <v>13</v>
      </c>
      <c r="E664" s="6" t="s">
        <v>9</v>
      </c>
      <c r="F664" s="6" t="s">
        <v>9</v>
      </c>
      <c r="G664" s="6"/>
      <c r="H664" s="21" t="s">
        <v>9</v>
      </c>
      <c r="I664" t="str">
        <f>VLOOKUP(A664,All!A:A,1,FALSE)</f>
        <v>Roxana</v>
      </c>
    </row>
    <row r="665" spans="1:9" ht="15.75" thickBot="1" x14ac:dyDescent="0.3">
      <c r="A665" s="18" t="s">
        <v>763</v>
      </c>
      <c r="B665" s="3">
        <v>288</v>
      </c>
      <c r="C665" s="4" t="s">
        <v>9</v>
      </c>
      <c r="D665" s="4" t="s">
        <v>9</v>
      </c>
      <c r="E665" s="4"/>
      <c r="F665" s="4"/>
      <c r="G665" s="4" t="s">
        <v>9</v>
      </c>
      <c r="H665" s="19"/>
      <c r="I665" t="str">
        <f>VLOOKUP(A665,All!A:A,1,FALSE)</f>
        <v>Rushville (R.-Industry)</v>
      </c>
    </row>
    <row r="666" spans="1:9" ht="15.75" thickBot="1" x14ac:dyDescent="0.3">
      <c r="A666" s="20" t="s">
        <v>764</v>
      </c>
      <c r="B666" s="7">
        <v>691</v>
      </c>
      <c r="C666" s="6" t="s">
        <v>13</v>
      </c>
      <c r="D666" s="6" t="s">
        <v>13</v>
      </c>
      <c r="E666" s="6" t="s">
        <v>9</v>
      </c>
      <c r="F666" s="6"/>
      <c r="G666" s="6" t="s">
        <v>13</v>
      </c>
      <c r="H666" s="21" t="s">
        <v>9</v>
      </c>
      <c r="I666" t="str">
        <f>VLOOKUP(A666,All!A:A,1,FALSE)</f>
        <v>Salem</v>
      </c>
    </row>
    <row r="667" spans="1:9" ht="15.75" thickBot="1" x14ac:dyDescent="0.3">
      <c r="A667" s="18" t="s">
        <v>967</v>
      </c>
      <c r="B667" s="3">
        <v>126</v>
      </c>
      <c r="C667" s="4" t="s">
        <v>9</v>
      </c>
      <c r="D667" s="9" t="s">
        <v>9</v>
      </c>
      <c r="E667" s="4"/>
      <c r="F667" s="4"/>
      <c r="G667" s="4" t="s">
        <v>9</v>
      </c>
      <c r="H667" s="19"/>
      <c r="I667" t="str">
        <f>VLOOKUP(A667,All!A:A,1,FALSE)</f>
        <v>Sandoval</v>
      </c>
    </row>
    <row r="668" spans="1:9" ht="15.75" thickBot="1" x14ac:dyDescent="0.3">
      <c r="A668" s="20" t="s">
        <v>765</v>
      </c>
      <c r="B668" s="7">
        <v>544</v>
      </c>
      <c r="C668" s="6" t="s">
        <v>13</v>
      </c>
      <c r="D668" s="6" t="s">
        <v>13</v>
      </c>
      <c r="E668" s="6" t="s">
        <v>9</v>
      </c>
      <c r="F668" s="6"/>
      <c r="G668" s="6" t="s">
        <v>13</v>
      </c>
      <c r="H668" s="21" t="s">
        <v>9</v>
      </c>
      <c r="I668" t="str">
        <f>VLOOKUP(A668,All!A:A,1,FALSE)</f>
        <v>Sandwich</v>
      </c>
    </row>
    <row r="669" spans="1:9" ht="15.75" thickBot="1" x14ac:dyDescent="0.3">
      <c r="A669" s="18" t="s">
        <v>766</v>
      </c>
      <c r="B669" s="3">
        <v>68</v>
      </c>
      <c r="C669" s="4" t="s">
        <v>9</v>
      </c>
      <c r="D669" s="4"/>
      <c r="E669" s="4"/>
      <c r="F669" s="4"/>
      <c r="G669" s="4" t="s">
        <v>9</v>
      </c>
      <c r="H669" s="19"/>
      <c r="I669" t="str">
        <f>VLOOKUP(A669,All!A:A,1,FALSE)</f>
        <v>Scales Mound</v>
      </c>
    </row>
    <row r="670" spans="1:9" ht="15.75" thickBot="1" x14ac:dyDescent="0.3">
      <c r="A670" s="20" t="s">
        <v>767</v>
      </c>
      <c r="B670" s="5">
        <v>2324</v>
      </c>
      <c r="C670" s="6" t="s">
        <v>11</v>
      </c>
      <c r="D670" s="6" t="s">
        <v>11</v>
      </c>
      <c r="E670" s="6" t="s">
        <v>12</v>
      </c>
      <c r="F670" s="6" t="s">
        <v>12</v>
      </c>
      <c r="G670" s="6"/>
      <c r="H670" s="21" t="s">
        <v>12</v>
      </c>
      <c r="I670" t="str">
        <f>VLOOKUP(A670,All!A:A,1,FALSE)</f>
        <v>Schaumburg (H.S.)</v>
      </c>
    </row>
    <row r="671" spans="1:9" ht="15.75" thickBot="1" x14ac:dyDescent="0.3">
      <c r="A671" s="18" t="s">
        <v>768</v>
      </c>
      <c r="B671" s="3" t="s">
        <v>74</v>
      </c>
      <c r="C671" s="10" t="s">
        <v>9</v>
      </c>
      <c r="D671" s="10" t="s">
        <v>9</v>
      </c>
      <c r="E671" s="4"/>
      <c r="F671" s="4"/>
      <c r="G671" s="4"/>
      <c r="H671" s="23" t="s">
        <v>9</v>
      </c>
      <c r="I671" t="str">
        <f>VLOOKUP(A671,All!A:A,1,FALSE)</f>
        <v>Schaumburg (S. Christian)</v>
      </c>
    </row>
    <row r="672" spans="1:9" ht="15.75" thickBot="1" x14ac:dyDescent="0.3">
      <c r="A672" s="20" t="s">
        <v>769</v>
      </c>
      <c r="B672" s="7">
        <v>372</v>
      </c>
      <c r="C672" s="6" t="s">
        <v>13</v>
      </c>
      <c r="D672" s="6" t="s">
        <v>13</v>
      </c>
      <c r="E672" s="6"/>
      <c r="F672" s="6"/>
      <c r="G672" s="6" t="s">
        <v>9</v>
      </c>
      <c r="H672" s="21" t="s">
        <v>9</v>
      </c>
      <c r="I672" t="str">
        <f>VLOOKUP(A672,All!A:A,1,FALSE)</f>
        <v>Seneca</v>
      </c>
    </row>
    <row r="673" spans="1:9" ht="15.75" thickBot="1" x14ac:dyDescent="0.3">
      <c r="A673" s="18" t="s">
        <v>770</v>
      </c>
      <c r="B673" s="3">
        <v>156</v>
      </c>
      <c r="C673" s="4" t="s">
        <v>9</v>
      </c>
      <c r="D673" s="4" t="s">
        <v>9</v>
      </c>
      <c r="E673" s="4"/>
      <c r="F673" s="4"/>
      <c r="G673" s="4"/>
      <c r="H673" s="19"/>
      <c r="I673" t="str">
        <f>VLOOKUP(A673,All!A:A,1,FALSE)</f>
        <v>Serena</v>
      </c>
    </row>
    <row r="674" spans="1:9" ht="15.75" thickBot="1" x14ac:dyDescent="0.3">
      <c r="A674" s="20" t="s">
        <v>771</v>
      </c>
      <c r="B674" s="7">
        <v>171</v>
      </c>
      <c r="C674" s="6" t="s">
        <v>9</v>
      </c>
      <c r="D674" s="9" t="s">
        <v>9</v>
      </c>
      <c r="E674" s="6" t="s">
        <v>9</v>
      </c>
      <c r="F674" s="6"/>
      <c r="G674" s="6" t="s">
        <v>9</v>
      </c>
      <c r="H674" s="21"/>
      <c r="I674" t="str">
        <f>VLOOKUP(A674,All!A:A,1,FALSE)</f>
        <v>Sesser (S.-Valier)</v>
      </c>
    </row>
    <row r="675" spans="1:9" ht="15.75" thickBot="1" x14ac:dyDescent="0.3">
      <c r="A675" s="18" t="s">
        <v>772</v>
      </c>
      <c r="B675" s="3">
        <v>260</v>
      </c>
      <c r="C675" s="4" t="s">
        <v>9</v>
      </c>
      <c r="D675" s="4" t="s">
        <v>9</v>
      </c>
      <c r="E675" s="4"/>
      <c r="F675" s="4"/>
      <c r="G675" s="4" t="s">
        <v>9</v>
      </c>
      <c r="H675" s="19"/>
      <c r="I675" t="str">
        <f>VLOOKUP(A675,All!A:A,1,FALSE)</f>
        <v>Shabbona (Indian Creek)</v>
      </c>
    </row>
    <row r="676" spans="1:9" ht="15.75" thickBot="1" x14ac:dyDescent="0.3">
      <c r="A676" s="20" t="s">
        <v>773</v>
      </c>
      <c r="B676" s="7">
        <v>343</v>
      </c>
      <c r="C676" s="6" t="s">
        <v>13</v>
      </c>
      <c r="D676" s="6" t="s">
        <v>13</v>
      </c>
      <c r="E676" s="6" t="s">
        <v>9</v>
      </c>
      <c r="F676" s="6"/>
      <c r="G676" s="6"/>
      <c r="H676" s="21" t="s">
        <v>9</v>
      </c>
      <c r="I676" t="str">
        <f>VLOOKUP(A676,All!A:A,1,FALSE)</f>
        <v>Shelbyville</v>
      </c>
    </row>
    <row r="677" spans="1:9" ht="15.75" thickBot="1" x14ac:dyDescent="0.3">
      <c r="A677" s="25" t="s">
        <v>0</v>
      </c>
      <c r="B677" s="1" t="s">
        <v>1</v>
      </c>
      <c r="C677" s="2" t="s">
        <v>899</v>
      </c>
      <c r="D677" s="2" t="s">
        <v>900</v>
      </c>
      <c r="E677" s="2" t="s">
        <v>901</v>
      </c>
      <c r="F677" s="2" t="s">
        <v>902</v>
      </c>
      <c r="G677" s="2" t="s">
        <v>903</v>
      </c>
      <c r="H677" s="26" t="s">
        <v>904</v>
      </c>
      <c r="I677" t="str">
        <f>VLOOKUP(A677,All!A:A,1,FALSE)</f>
        <v>School</v>
      </c>
    </row>
    <row r="678" spans="1:9" ht="15.75" thickBot="1" x14ac:dyDescent="0.3">
      <c r="A678" s="18" t="s">
        <v>774</v>
      </c>
      <c r="B678" s="3">
        <v>441</v>
      </c>
      <c r="C678" s="4" t="s">
        <v>13</v>
      </c>
      <c r="D678" s="4" t="s">
        <v>13</v>
      </c>
      <c r="E678" s="4" t="s">
        <v>9</v>
      </c>
      <c r="F678" s="4"/>
      <c r="G678" s="4" t="s">
        <v>9</v>
      </c>
      <c r="H678" s="19" t="s">
        <v>9</v>
      </c>
      <c r="I678" t="str">
        <f>VLOOKUP(A678,All!A:A,1,FALSE)</f>
        <v>Sherrard</v>
      </c>
    </row>
    <row r="679" spans="1:9" ht="15.75" thickBot="1" x14ac:dyDescent="0.3">
      <c r="A679" s="20" t="s">
        <v>775</v>
      </c>
      <c r="B679" s="7" t="s">
        <v>776</v>
      </c>
      <c r="C679" s="11" t="s">
        <v>9</v>
      </c>
      <c r="D679" s="10" t="s">
        <v>13</v>
      </c>
      <c r="E679" s="6"/>
      <c r="F679" s="6"/>
      <c r="G679" s="6"/>
      <c r="H679" s="23" t="s">
        <v>9</v>
      </c>
      <c r="I679" t="str">
        <f>VLOOKUP(A679,All!A:A,1,FALSE)</f>
        <v>Skokie (Ida Crown)</v>
      </c>
    </row>
    <row r="680" spans="1:9" ht="15.75" thickBot="1" x14ac:dyDescent="0.3">
      <c r="A680" s="18" t="s">
        <v>777</v>
      </c>
      <c r="B680" s="8">
        <v>1908</v>
      </c>
      <c r="C680" s="4" t="s">
        <v>11</v>
      </c>
      <c r="D680" s="4" t="s">
        <v>11</v>
      </c>
      <c r="E680" s="4" t="s">
        <v>905</v>
      </c>
      <c r="F680" s="4" t="s">
        <v>13</v>
      </c>
      <c r="G680" s="4"/>
      <c r="H680" s="19" t="s">
        <v>12</v>
      </c>
      <c r="I680" t="str">
        <f>VLOOKUP(A680,All!A:A,1,FALSE)</f>
        <v>Skokie (Niles North)</v>
      </c>
    </row>
    <row r="681" spans="1:9" ht="15.75" thickBot="1" x14ac:dyDescent="0.3">
      <c r="A681" s="20" t="s">
        <v>778</v>
      </c>
      <c r="B681" s="5">
        <v>2550</v>
      </c>
      <c r="C681" s="6" t="s">
        <v>11</v>
      </c>
      <c r="D681" s="6" t="s">
        <v>11</v>
      </c>
      <c r="E681" s="6" t="s">
        <v>905</v>
      </c>
      <c r="F681" s="6" t="s">
        <v>12</v>
      </c>
      <c r="G681" s="6" t="s">
        <v>13</v>
      </c>
      <c r="H681" s="21" t="s">
        <v>12</v>
      </c>
      <c r="I681" t="str">
        <f>VLOOKUP(A681,All!A:A,1,FALSE)</f>
        <v>Skokie (Niles West)</v>
      </c>
    </row>
    <row r="682" spans="1:9" ht="15.75" thickBot="1" x14ac:dyDescent="0.3">
      <c r="A682" s="18" t="s">
        <v>779</v>
      </c>
      <c r="B682" s="3" t="s">
        <v>780</v>
      </c>
      <c r="C682" s="11" t="s">
        <v>9</v>
      </c>
      <c r="D682" s="4"/>
      <c r="E682" s="4"/>
      <c r="F682" s="4"/>
      <c r="G682" s="4"/>
      <c r="H682" s="19"/>
      <c r="I682" t="str">
        <f>VLOOKUP(A682,All!A:A,1,FALSE)</f>
        <v>Skokie (Yeshiva)</v>
      </c>
    </row>
    <row r="683" spans="1:9" ht="15.75" thickBot="1" x14ac:dyDescent="0.3">
      <c r="A683" s="20" t="s">
        <v>781</v>
      </c>
      <c r="B683" s="7">
        <v>236</v>
      </c>
      <c r="C683" s="6" t="s">
        <v>9</v>
      </c>
      <c r="D683" s="9" t="s">
        <v>13</v>
      </c>
      <c r="E683" s="6" t="s">
        <v>9</v>
      </c>
      <c r="F683" s="6"/>
      <c r="G683" s="6"/>
      <c r="H683" s="22" t="s">
        <v>9</v>
      </c>
      <c r="I683" t="str">
        <f>VLOOKUP(A683,All!A:A,1,FALSE)</f>
        <v>Somonauk</v>
      </c>
    </row>
    <row r="684" spans="1:9" ht="15.75" thickBot="1" x14ac:dyDescent="0.3">
      <c r="A684" s="18" t="s">
        <v>782</v>
      </c>
      <c r="B684" s="3">
        <v>238</v>
      </c>
      <c r="C684" s="4" t="s">
        <v>9</v>
      </c>
      <c r="D684" s="4" t="s">
        <v>9</v>
      </c>
      <c r="E684" s="4"/>
      <c r="F684" s="4"/>
      <c r="G684" s="4" t="s">
        <v>9</v>
      </c>
      <c r="H684" s="19"/>
      <c r="I684" t="str">
        <f>VLOOKUP(A684,All!A:A,1,FALSE)</f>
        <v>South Beloit</v>
      </c>
    </row>
    <row r="685" spans="1:9" ht="15.75" thickBot="1" x14ac:dyDescent="0.3">
      <c r="A685" s="20" t="s">
        <v>783</v>
      </c>
      <c r="B685" s="5">
        <v>2711</v>
      </c>
      <c r="C685" s="6" t="s">
        <v>11</v>
      </c>
      <c r="D685" s="6" t="s">
        <v>11</v>
      </c>
      <c r="E685" s="6" t="s">
        <v>905</v>
      </c>
      <c r="F685" s="6" t="s">
        <v>12</v>
      </c>
      <c r="G685" s="6"/>
      <c r="H685" s="21" t="s">
        <v>12</v>
      </c>
      <c r="I685" t="str">
        <f>VLOOKUP(A685,All!A:A,1,FALSE)</f>
        <v>South Elgin</v>
      </c>
    </row>
    <row r="686" spans="1:9" ht="15.75" thickBot="1" x14ac:dyDescent="0.3">
      <c r="A686" s="18" t="s">
        <v>784</v>
      </c>
      <c r="B686" s="8">
        <v>1691</v>
      </c>
      <c r="C686" s="4" t="s">
        <v>11</v>
      </c>
      <c r="D686" s="4" t="s">
        <v>11</v>
      </c>
      <c r="E686" s="4" t="s">
        <v>905</v>
      </c>
      <c r="F686" s="4" t="s">
        <v>13</v>
      </c>
      <c r="G686" s="4" t="s">
        <v>13</v>
      </c>
      <c r="H686" s="19"/>
      <c r="I686" t="str">
        <f>VLOOKUP(A686,All!A:A,1,FALSE)</f>
        <v>South Holland (Thornwood)</v>
      </c>
    </row>
    <row r="687" spans="1:9" ht="15.75" thickBot="1" x14ac:dyDescent="0.3">
      <c r="A687" s="20" t="s">
        <v>785</v>
      </c>
      <c r="B687" s="7" t="s">
        <v>786</v>
      </c>
      <c r="C687" s="10" t="s">
        <v>9</v>
      </c>
      <c r="D687" s="10" t="s">
        <v>9</v>
      </c>
      <c r="E687" s="6"/>
      <c r="F687" s="6"/>
      <c r="G687" s="6"/>
      <c r="H687" s="21"/>
      <c r="I687" t="str">
        <f>VLOOKUP(A687,All!A:A,1,FALSE)</f>
        <v>South Holland (Unity Christian Academy)</v>
      </c>
    </row>
    <row r="688" spans="1:9" ht="15.75" thickBot="1" x14ac:dyDescent="0.3">
      <c r="A688" s="18" t="s">
        <v>787</v>
      </c>
      <c r="B688" s="3">
        <v>293</v>
      </c>
      <c r="C688" s="4" t="s">
        <v>9</v>
      </c>
      <c r="D688" s="4" t="s">
        <v>9</v>
      </c>
      <c r="E688" s="4"/>
      <c r="F688" s="4"/>
      <c r="G688" s="4" t="s">
        <v>9</v>
      </c>
      <c r="H688" s="22" t="s">
        <v>9</v>
      </c>
      <c r="I688" t="str">
        <f>VLOOKUP(A688,All!A:A,1,FALSE)</f>
        <v>Sparta</v>
      </c>
    </row>
    <row r="689" spans="1:9" ht="15.75" thickBot="1" x14ac:dyDescent="0.3">
      <c r="A689" s="20" t="s">
        <v>788</v>
      </c>
      <c r="B689" s="7">
        <v>382</v>
      </c>
      <c r="C689" s="6" t="s">
        <v>13</v>
      </c>
      <c r="D689" s="6" t="s">
        <v>13</v>
      </c>
      <c r="E689" s="6"/>
      <c r="F689" s="6"/>
      <c r="G689" s="6"/>
      <c r="H689" s="21"/>
      <c r="I689" t="str">
        <f>VLOOKUP(A689,All!A:A,1,FALSE)</f>
        <v>Spring Valley (Hall)</v>
      </c>
    </row>
    <row r="690" spans="1:9" ht="15.75" thickBot="1" x14ac:dyDescent="0.3">
      <c r="A690" s="18" t="s">
        <v>968</v>
      </c>
      <c r="B690" s="3" t="s">
        <v>969</v>
      </c>
      <c r="C690" s="10" t="s">
        <v>9</v>
      </c>
      <c r="D690" s="4"/>
      <c r="E690" s="4"/>
      <c r="F690" s="4"/>
      <c r="G690" s="4"/>
      <c r="H690" s="19"/>
      <c r="I690" t="str">
        <f>VLOOKUP(A690,All!A:A,1,FALSE)</f>
        <v>Springfield (Calvary)</v>
      </c>
    </row>
    <row r="691" spans="1:9" ht="15.75" thickBot="1" x14ac:dyDescent="0.3">
      <c r="A691" s="20" t="s">
        <v>789</v>
      </c>
      <c r="B691" s="5">
        <v>1267</v>
      </c>
      <c r="C691" s="6" t="s">
        <v>12</v>
      </c>
      <c r="D691" s="6" t="s">
        <v>12</v>
      </c>
      <c r="E691" s="6"/>
      <c r="F691" s="6"/>
      <c r="G691" s="6" t="s">
        <v>13</v>
      </c>
      <c r="H691" s="21" t="s">
        <v>13</v>
      </c>
      <c r="I691" t="str">
        <f>VLOOKUP(A691,All!A:A,1,FALSE)</f>
        <v>Springfield (H.S.)</v>
      </c>
    </row>
    <row r="692" spans="1:9" ht="15.75" thickBot="1" x14ac:dyDescent="0.3">
      <c r="A692" s="18" t="s">
        <v>790</v>
      </c>
      <c r="B692" s="8">
        <v>1050</v>
      </c>
      <c r="C692" s="4" t="s">
        <v>12</v>
      </c>
      <c r="D692" s="4" t="s">
        <v>12</v>
      </c>
      <c r="E692" s="4"/>
      <c r="F692" s="4"/>
      <c r="G692" s="4" t="s">
        <v>13</v>
      </c>
      <c r="H692" s="19" t="s">
        <v>13</v>
      </c>
      <c r="I692" t="str">
        <f>VLOOKUP(A692,All!A:A,1,FALSE)</f>
        <v>Springfield (Lanphier)</v>
      </c>
    </row>
    <row r="693" spans="1:9" ht="15.75" thickBot="1" x14ac:dyDescent="0.3">
      <c r="A693" s="20" t="s">
        <v>791</v>
      </c>
      <c r="B693" s="7" t="s">
        <v>792</v>
      </c>
      <c r="C693" s="10" t="s">
        <v>9</v>
      </c>
      <c r="D693" s="6"/>
      <c r="E693" s="6"/>
      <c r="F693" s="6"/>
      <c r="G693" s="10" t="s">
        <v>9</v>
      </c>
      <c r="H693" s="21"/>
      <c r="I693" t="str">
        <f>VLOOKUP(A693,All!A:A,1,FALSE)</f>
        <v>Springfield (Lutheran)</v>
      </c>
    </row>
    <row r="694" spans="1:9" ht="15.75" thickBot="1" x14ac:dyDescent="0.3">
      <c r="A694" s="18" t="s">
        <v>793</v>
      </c>
      <c r="B694" s="3" t="s">
        <v>276</v>
      </c>
      <c r="C694" s="10" t="s">
        <v>12</v>
      </c>
      <c r="D694" s="11" t="s">
        <v>13</v>
      </c>
      <c r="E694" s="4"/>
      <c r="F694" s="4"/>
      <c r="G694" s="10" t="s">
        <v>13</v>
      </c>
      <c r="H694" s="24" t="s">
        <v>9</v>
      </c>
      <c r="I694" t="str">
        <f>VLOOKUP(A694,All!A:A,1,FALSE)</f>
        <v>Springfield (Sacred Heart-Griffin)</v>
      </c>
    </row>
    <row r="695" spans="1:9" ht="15.75" thickBot="1" x14ac:dyDescent="0.3">
      <c r="A695" s="20" t="s">
        <v>794</v>
      </c>
      <c r="B695" s="5">
        <v>1160</v>
      </c>
      <c r="C695" s="6" t="s">
        <v>12</v>
      </c>
      <c r="D695" s="6" t="s">
        <v>12</v>
      </c>
      <c r="E695" s="6"/>
      <c r="F695" s="6"/>
      <c r="G695" s="6" t="s">
        <v>13</v>
      </c>
      <c r="H695" s="21" t="s">
        <v>13</v>
      </c>
      <c r="I695" t="str">
        <f>VLOOKUP(A695,All!A:A,1,FALSE)</f>
        <v>Springfield (Southeast)</v>
      </c>
    </row>
    <row r="696" spans="1:9" ht="15.75" thickBot="1" x14ac:dyDescent="0.3">
      <c r="A696" s="18" t="s">
        <v>795</v>
      </c>
      <c r="B696" s="3">
        <v>196</v>
      </c>
      <c r="C696" s="4" t="s">
        <v>9</v>
      </c>
      <c r="D696" s="4"/>
      <c r="E696" s="4"/>
      <c r="F696" s="4"/>
      <c r="G696" s="4" t="s">
        <v>9</v>
      </c>
      <c r="H696" s="19"/>
      <c r="I696" t="str">
        <f>VLOOKUP(A696,All!A:A,1,FALSE)</f>
        <v>St. Anne</v>
      </c>
    </row>
    <row r="697" spans="1:9" ht="15.75" thickBot="1" x14ac:dyDescent="0.3">
      <c r="A697" s="20" t="s">
        <v>796</v>
      </c>
      <c r="B697" s="5">
        <v>1865</v>
      </c>
      <c r="C697" s="6" t="s">
        <v>11</v>
      </c>
      <c r="D697" s="6" t="s">
        <v>11</v>
      </c>
      <c r="E697" s="6" t="s">
        <v>12</v>
      </c>
      <c r="F697" s="6" t="s">
        <v>13</v>
      </c>
      <c r="G697" s="6"/>
      <c r="H697" s="21" t="s">
        <v>12</v>
      </c>
      <c r="I697" t="str">
        <f>VLOOKUP(A697,All!A:A,1,FALSE)</f>
        <v>St. Charles (East)</v>
      </c>
    </row>
    <row r="698" spans="1:9" ht="15.75" thickBot="1" x14ac:dyDescent="0.3">
      <c r="A698" s="18" t="s">
        <v>797</v>
      </c>
      <c r="B698" s="8">
        <v>1851</v>
      </c>
      <c r="C698" s="4" t="s">
        <v>11</v>
      </c>
      <c r="D698" s="4" t="s">
        <v>11</v>
      </c>
      <c r="E698" s="4" t="s">
        <v>905</v>
      </c>
      <c r="F698" s="4" t="s">
        <v>13</v>
      </c>
      <c r="G698" s="4" t="s">
        <v>13</v>
      </c>
      <c r="H698" s="19" t="s">
        <v>12</v>
      </c>
      <c r="I698" t="str">
        <f>VLOOKUP(A698,All!A:A,1,FALSE)</f>
        <v>St. Charles (North)</v>
      </c>
    </row>
    <row r="699" spans="1:9" ht="15.75" thickBot="1" x14ac:dyDescent="0.3">
      <c r="A699" s="20" t="s">
        <v>798</v>
      </c>
      <c r="B699" s="7">
        <v>105</v>
      </c>
      <c r="C699" s="9" t="s">
        <v>9</v>
      </c>
      <c r="D699" s="6"/>
      <c r="E699" s="6"/>
      <c r="F699" s="6"/>
      <c r="G699" s="6"/>
      <c r="H699" s="21"/>
      <c r="I699" t="str">
        <f>VLOOKUP(A699,All!A:A,1,FALSE)</f>
        <v>St. Elmo</v>
      </c>
    </row>
    <row r="700" spans="1:9" ht="15.75" thickBot="1" x14ac:dyDescent="0.3">
      <c r="A700" s="18" t="s">
        <v>799</v>
      </c>
      <c r="B700" s="3">
        <v>453</v>
      </c>
      <c r="C700" s="4" t="s">
        <v>13</v>
      </c>
      <c r="D700" s="4" t="s">
        <v>13</v>
      </c>
      <c r="E700" s="4" t="s">
        <v>9</v>
      </c>
      <c r="F700" s="4" t="s">
        <v>9</v>
      </c>
      <c r="G700" s="4" t="s">
        <v>13</v>
      </c>
      <c r="H700" s="19" t="s">
        <v>9</v>
      </c>
      <c r="I700" t="str">
        <f>VLOOKUP(A700,All!A:A,1,FALSE)</f>
        <v>St. Joseph (S.J.-Ogden)</v>
      </c>
    </row>
    <row r="701" spans="1:9" ht="15.75" thickBot="1" x14ac:dyDescent="0.3">
      <c r="A701" s="20" t="s">
        <v>800</v>
      </c>
      <c r="B701" s="7">
        <v>491</v>
      </c>
      <c r="C701" s="6" t="s">
        <v>13</v>
      </c>
      <c r="D701" s="6" t="s">
        <v>13</v>
      </c>
      <c r="E701" s="6"/>
      <c r="F701" s="6"/>
      <c r="G701" s="6" t="s">
        <v>13</v>
      </c>
      <c r="H701" s="21" t="s">
        <v>9</v>
      </c>
      <c r="I701" t="str">
        <f>VLOOKUP(A701,All!A:A,1,FALSE)</f>
        <v>Stanford (Olympia)</v>
      </c>
    </row>
    <row r="702" spans="1:9" ht="15.75" thickBot="1" x14ac:dyDescent="0.3">
      <c r="A702" s="18" t="s">
        <v>801</v>
      </c>
      <c r="B702" s="3">
        <v>369</v>
      </c>
      <c r="C702" s="4" t="s">
        <v>13</v>
      </c>
      <c r="D702" s="4" t="s">
        <v>13</v>
      </c>
      <c r="E702" s="4"/>
      <c r="F702" s="4"/>
      <c r="G702" s="4" t="s">
        <v>9</v>
      </c>
      <c r="H702" s="19"/>
      <c r="I702" t="str">
        <f>VLOOKUP(A702,All!A:A,1,FALSE)</f>
        <v>Staunton</v>
      </c>
    </row>
    <row r="703" spans="1:9" ht="15.75" thickBot="1" x14ac:dyDescent="0.3">
      <c r="A703" s="25" t="s">
        <v>0</v>
      </c>
      <c r="B703" s="1" t="s">
        <v>1</v>
      </c>
      <c r="C703" s="2" t="s">
        <v>899</v>
      </c>
      <c r="D703" s="2" t="s">
        <v>900</v>
      </c>
      <c r="E703" s="2" t="s">
        <v>901</v>
      </c>
      <c r="F703" s="2" t="s">
        <v>902</v>
      </c>
      <c r="G703" s="2" t="s">
        <v>903</v>
      </c>
      <c r="H703" s="26" t="s">
        <v>904</v>
      </c>
      <c r="I703" t="str">
        <f>VLOOKUP(A703,All!A:A,1,FALSE)</f>
        <v>School</v>
      </c>
    </row>
    <row r="704" spans="1:9" ht="15.75" thickBot="1" x14ac:dyDescent="0.3">
      <c r="A704" s="20" t="s">
        <v>802</v>
      </c>
      <c r="B704" s="7">
        <v>144</v>
      </c>
      <c r="C704" s="6" t="s">
        <v>9</v>
      </c>
      <c r="D704" s="6" t="s">
        <v>9</v>
      </c>
      <c r="E704" s="6"/>
      <c r="F704" s="6"/>
      <c r="G704" s="6"/>
      <c r="H704" s="21"/>
      <c r="I704" t="str">
        <f>VLOOKUP(A704,All!A:A,1,FALSE)</f>
        <v>Steeleville</v>
      </c>
    </row>
    <row r="705" spans="1:9" ht="15.75" thickBot="1" x14ac:dyDescent="0.3">
      <c r="A705" s="18" t="s">
        <v>803</v>
      </c>
      <c r="B705" s="3">
        <v>944</v>
      </c>
      <c r="C705" s="4" t="s">
        <v>12</v>
      </c>
      <c r="D705" s="4" t="s">
        <v>12</v>
      </c>
      <c r="E705" s="4" t="s">
        <v>13</v>
      </c>
      <c r="F705" s="4" t="s">
        <v>9</v>
      </c>
      <c r="G705" s="4" t="s">
        <v>13</v>
      </c>
      <c r="H705" s="19" t="s">
        <v>13</v>
      </c>
      <c r="I705" t="str">
        <f>VLOOKUP(A705,All!A:A,1,FALSE)</f>
        <v>Sterling (H.S.)</v>
      </c>
    </row>
    <row r="706" spans="1:9" ht="15.75" thickBot="1" x14ac:dyDescent="0.3">
      <c r="A706" s="20" t="s">
        <v>804</v>
      </c>
      <c r="B706" s="7" t="s">
        <v>805</v>
      </c>
      <c r="C706" s="11" t="s">
        <v>9</v>
      </c>
      <c r="D706" s="11" t="s">
        <v>9</v>
      </c>
      <c r="E706" s="6"/>
      <c r="F706" s="6"/>
      <c r="G706" s="10" t="s">
        <v>9</v>
      </c>
      <c r="H706" s="23" t="s">
        <v>9</v>
      </c>
      <c r="I706" t="str">
        <f>VLOOKUP(A706,All!A:A,1,FALSE)</f>
        <v>Sterling (Newman Central Catholic)</v>
      </c>
    </row>
    <row r="707" spans="1:9" ht="15.75" thickBot="1" x14ac:dyDescent="0.3">
      <c r="A707" s="18" t="s">
        <v>806</v>
      </c>
      <c r="B707" s="3">
        <v>419</v>
      </c>
      <c r="C707" s="4" t="s">
        <v>13</v>
      </c>
      <c r="D707" s="4" t="s">
        <v>13</v>
      </c>
      <c r="E707" s="4" t="s">
        <v>9</v>
      </c>
      <c r="F707" s="4"/>
      <c r="G707" s="4" t="s">
        <v>9</v>
      </c>
      <c r="H707" s="19" t="s">
        <v>9</v>
      </c>
      <c r="I707" t="str">
        <f>VLOOKUP(A707,All!A:A,1,FALSE)</f>
        <v>Stillman Valley</v>
      </c>
    </row>
    <row r="708" spans="1:9" ht="15.75" thickBot="1" x14ac:dyDescent="0.3">
      <c r="A708" s="20" t="s">
        <v>807</v>
      </c>
      <c r="B708" s="7">
        <v>165</v>
      </c>
      <c r="C708" s="6" t="s">
        <v>9</v>
      </c>
      <c r="D708" s="6" t="s">
        <v>9</v>
      </c>
      <c r="E708" s="6"/>
      <c r="F708" s="6"/>
      <c r="G708" s="6" t="s">
        <v>9</v>
      </c>
      <c r="H708" s="21"/>
      <c r="I708" t="str">
        <f>VLOOKUP(A708,All!A:A,1,FALSE)</f>
        <v>Stockton</v>
      </c>
    </row>
    <row r="709" spans="1:9" ht="15.75" thickBot="1" x14ac:dyDescent="0.3">
      <c r="A709" s="18" t="s">
        <v>808</v>
      </c>
      <c r="B709" s="3">
        <v>140</v>
      </c>
      <c r="C709" s="9" t="s">
        <v>9</v>
      </c>
      <c r="D709" s="9" t="s">
        <v>9</v>
      </c>
      <c r="E709" s="4"/>
      <c r="F709" s="4"/>
      <c r="G709" s="4" t="s">
        <v>9</v>
      </c>
      <c r="H709" s="19"/>
      <c r="I709" t="str">
        <f>VLOOKUP(A709,All!A:A,1,FALSE)</f>
        <v>Strasburg (Stewardson-S.)</v>
      </c>
    </row>
    <row r="710" spans="1:9" ht="15.75" thickBot="1" x14ac:dyDescent="0.3">
      <c r="A710" s="20" t="s">
        <v>809</v>
      </c>
      <c r="B710" s="5">
        <v>1598</v>
      </c>
      <c r="C710" s="6" t="s">
        <v>12</v>
      </c>
      <c r="D710" s="6" t="s">
        <v>12</v>
      </c>
      <c r="E710" s="6" t="s">
        <v>13</v>
      </c>
      <c r="F710" s="6" t="s">
        <v>13</v>
      </c>
      <c r="G710" s="6"/>
      <c r="H710" s="21" t="s">
        <v>13</v>
      </c>
      <c r="I710" t="str">
        <f>VLOOKUP(A710,All!A:A,1,FALSE)</f>
        <v>Streamwood</v>
      </c>
    </row>
    <row r="711" spans="1:9" ht="15.75" thickBot="1" x14ac:dyDescent="0.3">
      <c r="A711" s="18" t="s">
        <v>810</v>
      </c>
      <c r="B711" s="3">
        <v>742</v>
      </c>
      <c r="C711" s="4" t="s">
        <v>12</v>
      </c>
      <c r="D711" s="4" t="s">
        <v>12</v>
      </c>
      <c r="E711" s="4"/>
      <c r="F711" s="4" t="s">
        <v>9</v>
      </c>
      <c r="G711" s="9" t="s">
        <v>13</v>
      </c>
      <c r="H711" s="22" t="s">
        <v>13</v>
      </c>
      <c r="I711" t="str">
        <f>VLOOKUP(A711,All!A:A,1,FALSE)</f>
        <v>Streator (Twp.)</v>
      </c>
    </row>
    <row r="712" spans="1:9" ht="15.75" thickBot="1" x14ac:dyDescent="0.3">
      <c r="A712" s="20" t="s">
        <v>811</v>
      </c>
      <c r="B712" s="7">
        <v>133</v>
      </c>
      <c r="C712" s="6" t="s">
        <v>9</v>
      </c>
      <c r="D712" s="6"/>
      <c r="E712" s="6"/>
      <c r="F712" s="6"/>
      <c r="G712" s="6"/>
      <c r="H712" s="21"/>
      <c r="I712" t="str">
        <f>VLOOKUP(A712,All!A:A,1,FALSE)</f>
        <v>Streator (Woodland)</v>
      </c>
    </row>
    <row r="713" spans="1:9" ht="15.75" thickBot="1" x14ac:dyDescent="0.3">
      <c r="A713" s="18" t="s">
        <v>812</v>
      </c>
      <c r="B713" s="3">
        <v>310</v>
      </c>
      <c r="C713" s="4" t="s">
        <v>13</v>
      </c>
      <c r="D713" s="4" t="s">
        <v>13</v>
      </c>
      <c r="E713" s="4"/>
      <c r="F713" s="4"/>
      <c r="G713" s="4" t="s">
        <v>9</v>
      </c>
      <c r="H713" s="19"/>
      <c r="I713" t="str">
        <f>VLOOKUP(A713,All!A:A,1,FALSE)</f>
        <v>Sullivan</v>
      </c>
    </row>
    <row r="714" spans="1:9" ht="15.75" thickBot="1" x14ac:dyDescent="0.3">
      <c r="A714" s="20" t="s">
        <v>813</v>
      </c>
      <c r="B714" s="5">
        <v>1740</v>
      </c>
      <c r="C714" s="6" t="s">
        <v>11</v>
      </c>
      <c r="D714" s="6" t="s">
        <v>11</v>
      </c>
      <c r="E714" s="6" t="s">
        <v>12</v>
      </c>
      <c r="F714" s="6" t="s">
        <v>13</v>
      </c>
      <c r="G714" s="6" t="s">
        <v>13</v>
      </c>
      <c r="H714" s="21" t="s">
        <v>12</v>
      </c>
      <c r="I714" t="str">
        <f>VLOOKUP(A714,All!A:A,1,FALSE)</f>
        <v>Summit (Argo)</v>
      </c>
    </row>
    <row r="715" spans="1:9" ht="15.75" thickBot="1" x14ac:dyDescent="0.3">
      <c r="A715" s="18" t="s">
        <v>814</v>
      </c>
      <c r="B715" s="8">
        <v>1121</v>
      </c>
      <c r="C715" s="4" t="s">
        <v>12</v>
      </c>
      <c r="D715" s="4" t="s">
        <v>12</v>
      </c>
      <c r="E715" s="4" t="s">
        <v>13</v>
      </c>
      <c r="F715" s="4" t="s">
        <v>13</v>
      </c>
      <c r="G715" s="4"/>
      <c r="H715" s="19" t="s">
        <v>13</v>
      </c>
      <c r="I715" t="str">
        <f>VLOOKUP(A715,All!A:A,1,FALSE)</f>
        <v>Sycamore (H.S.)</v>
      </c>
    </row>
    <row r="716" spans="1:9" ht="15.75" thickBot="1" x14ac:dyDescent="0.3">
      <c r="A716" s="20" t="s">
        <v>815</v>
      </c>
      <c r="B716" s="7">
        <v>82</v>
      </c>
      <c r="C716" s="6" t="s">
        <v>9</v>
      </c>
      <c r="D716" s="6" t="s">
        <v>9</v>
      </c>
      <c r="E716" s="6"/>
      <c r="F716" s="6"/>
      <c r="G716" s="6"/>
      <c r="H716" s="21"/>
      <c r="I716" t="str">
        <f>VLOOKUP(A716,All!A:A,1,FALSE)</f>
        <v>Tamms (Egyptian)</v>
      </c>
    </row>
    <row r="717" spans="1:9" ht="15.75" thickBot="1" x14ac:dyDescent="0.3">
      <c r="A717" s="18" t="s">
        <v>816</v>
      </c>
      <c r="B717" s="3">
        <v>322</v>
      </c>
      <c r="C717" s="4" t="s">
        <v>13</v>
      </c>
      <c r="D717" s="4" t="s">
        <v>13</v>
      </c>
      <c r="E717" s="4" t="s">
        <v>9</v>
      </c>
      <c r="F717" s="4" t="s">
        <v>9</v>
      </c>
      <c r="G717" s="4" t="s">
        <v>9</v>
      </c>
      <c r="H717" s="19" t="s">
        <v>9</v>
      </c>
      <c r="I717" t="str">
        <f>VLOOKUP(A717,All!A:A,1,FALSE)</f>
        <v>Taylor Ridge (Rockridge)</v>
      </c>
    </row>
    <row r="718" spans="1:9" ht="15.75" thickBot="1" x14ac:dyDescent="0.3">
      <c r="A718" s="20" t="s">
        <v>817</v>
      </c>
      <c r="B718" s="7">
        <v>726</v>
      </c>
      <c r="C718" s="6" t="s">
        <v>12</v>
      </c>
      <c r="D718" s="6" t="s">
        <v>12</v>
      </c>
      <c r="E718" s="6"/>
      <c r="F718" s="6"/>
      <c r="G718" s="6" t="s">
        <v>13</v>
      </c>
      <c r="H718" s="21" t="s">
        <v>9</v>
      </c>
      <c r="I718" t="str">
        <f>VLOOKUP(A718,All!A:A,1,FALSE)</f>
        <v>Taylorville</v>
      </c>
    </row>
    <row r="719" spans="1:9" ht="15.75" thickBot="1" x14ac:dyDescent="0.3">
      <c r="A719" s="18" t="s">
        <v>818</v>
      </c>
      <c r="B719" s="3">
        <v>337</v>
      </c>
      <c r="C719" s="4" t="s">
        <v>13</v>
      </c>
      <c r="D719" s="4" t="s">
        <v>13</v>
      </c>
      <c r="E719" s="4"/>
      <c r="F719" s="4"/>
      <c r="G719" s="4" t="s">
        <v>9</v>
      </c>
      <c r="H719" s="19"/>
      <c r="I719" t="str">
        <f>VLOOKUP(A719,All!A:A,1,FALSE)</f>
        <v>Teutopolis</v>
      </c>
    </row>
    <row r="720" spans="1:9" ht="15.75" thickBot="1" x14ac:dyDescent="0.3">
      <c r="A720" s="20" t="s">
        <v>970</v>
      </c>
      <c r="B720" s="7">
        <v>89</v>
      </c>
      <c r="C720" s="6" t="s">
        <v>9</v>
      </c>
      <c r="D720" s="6"/>
      <c r="E720" s="6"/>
      <c r="F720" s="6"/>
      <c r="G720" s="6" t="s">
        <v>9</v>
      </c>
      <c r="H720" s="21"/>
      <c r="I720" t="str">
        <f>VLOOKUP(A720,All!A:A,1,FALSE)</f>
        <v>Thompsonville</v>
      </c>
    </row>
    <row r="721" spans="1:9" ht="15.75" thickBot="1" x14ac:dyDescent="0.3">
      <c r="A721" s="18" t="s">
        <v>819</v>
      </c>
      <c r="B721" s="8">
        <v>2201</v>
      </c>
      <c r="C721" s="4" t="s">
        <v>11</v>
      </c>
      <c r="D721" s="4" t="s">
        <v>11</v>
      </c>
      <c r="E721" s="4" t="s">
        <v>12</v>
      </c>
      <c r="F721" s="4" t="s">
        <v>12</v>
      </c>
      <c r="G721" s="4" t="s">
        <v>13</v>
      </c>
      <c r="H721" s="19" t="s">
        <v>12</v>
      </c>
      <c r="I721" t="str">
        <f>VLOOKUP(A721,All!A:A,1,FALSE)</f>
        <v>Tinley Park (Andrew)</v>
      </c>
    </row>
    <row r="722" spans="1:9" ht="15.75" thickBot="1" x14ac:dyDescent="0.3">
      <c r="A722" s="20" t="s">
        <v>820</v>
      </c>
      <c r="B722" s="7">
        <v>981</v>
      </c>
      <c r="C722" s="6" t="s">
        <v>12</v>
      </c>
      <c r="D722" s="6" t="s">
        <v>12</v>
      </c>
      <c r="E722" s="6" t="s">
        <v>13</v>
      </c>
      <c r="F722" s="6" t="s">
        <v>9</v>
      </c>
      <c r="G722" s="6" t="s">
        <v>13</v>
      </c>
      <c r="H722" s="21" t="s">
        <v>13</v>
      </c>
      <c r="I722" t="str">
        <f>VLOOKUP(A722,All!A:A,1,FALSE)</f>
        <v>Tinley Park (H.S.)</v>
      </c>
    </row>
    <row r="723" spans="1:9" ht="15.75" thickBot="1" x14ac:dyDescent="0.3">
      <c r="A723" s="18" t="s">
        <v>821</v>
      </c>
      <c r="B723" s="3">
        <v>292</v>
      </c>
      <c r="C723" s="4" t="s">
        <v>9</v>
      </c>
      <c r="D723" s="4" t="s">
        <v>9</v>
      </c>
      <c r="E723" s="4"/>
      <c r="F723" s="4"/>
      <c r="G723" s="4" t="s">
        <v>9</v>
      </c>
      <c r="H723" s="19" t="s">
        <v>9</v>
      </c>
      <c r="I723" t="str">
        <f>VLOOKUP(A723,All!A:A,1,FALSE)</f>
        <v>Toledo (Cumberland)</v>
      </c>
    </row>
    <row r="724" spans="1:9" ht="15.75" thickBot="1" x14ac:dyDescent="0.3">
      <c r="A724" s="20" t="s">
        <v>822</v>
      </c>
      <c r="B724" s="7">
        <v>470</v>
      </c>
      <c r="C724" s="6" t="s">
        <v>13</v>
      </c>
      <c r="D724" s="6" t="s">
        <v>13</v>
      </c>
      <c r="E724" s="6"/>
      <c r="F724" s="6" t="s">
        <v>9</v>
      </c>
      <c r="G724" s="6" t="s">
        <v>13</v>
      </c>
      <c r="H724" s="21" t="s">
        <v>9</v>
      </c>
      <c r="I724" t="str">
        <f>VLOOKUP(A724,All!A:A,1,FALSE)</f>
        <v>Tolono (Unity)</v>
      </c>
    </row>
    <row r="725" spans="1:9" ht="15.75" thickBot="1" x14ac:dyDescent="0.3">
      <c r="A725" s="18" t="s">
        <v>823</v>
      </c>
      <c r="B725" s="3">
        <v>221</v>
      </c>
      <c r="C725" s="4" t="s">
        <v>9</v>
      </c>
      <c r="D725" s="4" t="s">
        <v>9</v>
      </c>
      <c r="E725" s="4"/>
      <c r="F725" s="4"/>
      <c r="G725" s="4"/>
      <c r="H725" s="19"/>
      <c r="I725" t="str">
        <f>VLOOKUP(A725,All!A:A,1,FALSE)</f>
        <v>Toulon (Stark County)</v>
      </c>
    </row>
    <row r="726" spans="1:9" ht="15.75" thickBot="1" x14ac:dyDescent="0.3">
      <c r="A726" s="20" t="s">
        <v>824</v>
      </c>
      <c r="B726" s="7">
        <v>285</v>
      </c>
      <c r="C726" s="6" t="s">
        <v>9</v>
      </c>
      <c r="D726" s="6" t="s">
        <v>9</v>
      </c>
      <c r="E726" s="6"/>
      <c r="F726" s="6"/>
      <c r="G726" s="6" t="s">
        <v>9</v>
      </c>
      <c r="H726" s="21" t="s">
        <v>9</v>
      </c>
      <c r="I726" t="str">
        <f>VLOOKUP(A726,All!A:A,1,FALSE)</f>
        <v>Tremont</v>
      </c>
    </row>
    <row r="727" spans="1:9" ht="15.75" thickBot="1" x14ac:dyDescent="0.3">
      <c r="A727" s="18" t="s">
        <v>825</v>
      </c>
      <c r="B727" s="3">
        <v>339</v>
      </c>
      <c r="C727" s="4" t="s">
        <v>13</v>
      </c>
      <c r="D727" s="9" t="s">
        <v>13</v>
      </c>
      <c r="E727" s="4" t="s">
        <v>9</v>
      </c>
      <c r="F727" s="4" t="s">
        <v>9</v>
      </c>
      <c r="G727" s="4" t="s">
        <v>9</v>
      </c>
      <c r="H727" s="19"/>
      <c r="I727" t="str">
        <f>VLOOKUP(A727,All!A:A,1,FALSE)</f>
        <v>Trenton (Wesclin)</v>
      </c>
    </row>
    <row r="728" spans="1:9" ht="15.75" thickBot="1" x14ac:dyDescent="0.3">
      <c r="A728" s="20" t="s">
        <v>826</v>
      </c>
      <c r="B728" s="5">
        <v>1210</v>
      </c>
      <c r="C728" s="6" t="s">
        <v>12</v>
      </c>
      <c r="D728" s="6" t="s">
        <v>12</v>
      </c>
      <c r="E728" s="6" t="s">
        <v>13</v>
      </c>
      <c r="F728" s="6" t="s">
        <v>13</v>
      </c>
      <c r="G728" s="6" t="s">
        <v>13</v>
      </c>
      <c r="H728" s="21" t="s">
        <v>13</v>
      </c>
      <c r="I728" t="str">
        <f>VLOOKUP(A728,All!A:A,1,FALSE)</f>
        <v>Troy (Triad)</v>
      </c>
    </row>
    <row r="729" spans="1:9" ht="15.75" thickBot="1" x14ac:dyDescent="0.3">
      <c r="A729" s="25" t="s">
        <v>0</v>
      </c>
      <c r="B729" s="1" t="s">
        <v>1</v>
      </c>
      <c r="C729" s="2" t="s">
        <v>899</v>
      </c>
      <c r="D729" s="2" t="s">
        <v>900</v>
      </c>
      <c r="E729" s="2" t="s">
        <v>901</v>
      </c>
      <c r="F729" s="2" t="s">
        <v>902</v>
      </c>
      <c r="G729" s="2" t="s">
        <v>903</v>
      </c>
      <c r="H729" s="26" t="s">
        <v>904</v>
      </c>
      <c r="I729" t="str">
        <f>VLOOKUP(A729,All!A:A,1,FALSE)</f>
        <v>School</v>
      </c>
    </row>
    <row r="730" spans="1:9" ht="15.75" thickBot="1" x14ac:dyDescent="0.3">
      <c r="A730" s="18" t="s">
        <v>827</v>
      </c>
      <c r="B730" s="3">
        <v>289</v>
      </c>
      <c r="C730" s="4" t="s">
        <v>9</v>
      </c>
      <c r="D730" s="4" t="s">
        <v>9</v>
      </c>
      <c r="E730" s="4"/>
      <c r="F730" s="4"/>
      <c r="G730" s="4" t="s">
        <v>9</v>
      </c>
      <c r="H730" s="19"/>
      <c r="I730" t="str">
        <f>VLOOKUP(A730,All!A:A,1,FALSE)</f>
        <v>Tuscola</v>
      </c>
    </row>
    <row r="731" spans="1:9" ht="15.75" thickBot="1" x14ac:dyDescent="0.3">
      <c r="A731" s="20" t="s">
        <v>828</v>
      </c>
      <c r="B731" s="7">
        <v>82</v>
      </c>
      <c r="C731" s="6" t="s">
        <v>9</v>
      </c>
      <c r="D731" s="6" t="s">
        <v>9</v>
      </c>
      <c r="E731" s="6"/>
      <c r="F731" s="6"/>
      <c r="G731" s="6" t="s">
        <v>9</v>
      </c>
      <c r="H731" s="21"/>
      <c r="I731" t="str">
        <f>VLOOKUP(A731,All!A:A,1,FALSE)</f>
        <v>Ullin (Century)</v>
      </c>
    </row>
    <row r="732" spans="1:9" ht="15.75" thickBot="1" x14ac:dyDescent="0.3">
      <c r="A732" s="18" t="s">
        <v>829</v>
      </c>
      <c r="B732" s="8">
        <v>1132</v>
      </c>
      <c r="C732" s="4" t="s">
        <v>12</v>
      </c>
      <c r="D732" s="4" t="s">
        <v>12</v>
      </c>
      <c r="E732" s="4"/>
      <c r="F732" s="4"/>
      <c r="G732" s="4"/>
      <c r="H732" s="19" t="s">
        <v>13</v>
      </c>
      <c r="I732" t="str">
        <f>VLOOKUP(A732,All!A:A,1,FALSE)</f>
        <v>Urbana (H.S.)</v>
      </c>
    </row>
    <row r="733" spans="1:9" ht="15.75" thickBot="1" x14ac:dyDescent="0.3">
      <c r="A733" s="20" t="s">
        <v>830</v>
      </c>
      <c r="B733" s="7" t="s">
        <v>831</v>
      </c>
      <c r="C733" s="11" t="s">
        <v>9</v>
      </c>
      <c r="D733" s="11" t="s">
        <v>9</v>
      </c>
      <c r="E733" s="6"/>
      <c r="F733" s="6"/>
      <c r="G733" s="12" t="s">
        <v>13</v>
      </c>
      <c r="H733" s="21"/>
      <c r="I733" t="str">
        <f>VLOOKUP(A733,All!A:A,1,FALSE)</f>
        <v>Urbana (University)</v>
      </c>
    </row>
    <row r="734" spans="1:9" ht="15.75" thickBot="1" x14ac:dyDescent="0.3">
      <c r="A734" s="18" t="s">
        <v>832</v>
      </c>
      <c r="B734" s="3">
        <v>103</v>
      </c>
      <c r="C734" s="4" t="s">
        <v>9</v>
      </c>
      <c r="D734" s="4" t="s">
        <v>9</v>
      </c>
      <c r="E734" s="4"/>
      <c r="F734" s="4"/>
      <c r="G734" s="4"/>
      <c r="H734" s="19"/>
      <c r="I734" t="str">
        <f>VLOOKUP(A734,All!A:A,1,FALSE)</f>
        <v>Valmeyer</v>
      </c>
    </row>
    <row r="735" spans="1:9" ht="15.75" thickBot="1" x14ac:dyDescent="0.3">
      <c r="A735" s="20" t="s">
        <v>833</v>
      </c>
      <c r="B735" s="7">
        <v>402</v>
      </c>
      <c r="C735" s="6" t="s">
        <v>13</v>
      </c>
      <c r="D735" s="6" t="s">
        <v>13</v>
      </c>
      <c r="E735" s="6" t="s">
        <v>9</v>
      </c>
      <c r="F735" s="6"/>
      <c r="G735" s="6" t="s">
        <v>9</v>
      </c>
      <c r="H735" s="21" t="s">
        <v>9</v>
      </c>
      <c r="I735" t="str">
        <f>VLOOKUP(A735,All!A:A,1,FALSE)</f>
        <v>Vandalia</v>
      </c>
    </row>
    <row r="736" spans="1:9" ht="15.75" thickBot="1" x14ac:dyDescent="0.3">
      <c r="A736" s="18" t="s">
        <v>834</v>
      </c>
      <c r="B736" s="3">
        <v>200</v>
      </c>
      <c r="C736" s="4" t="s">
        <v>9</v>
      </c>
      <c r="D736" s="4" t="s">
        <v>9</v>
      </c>
      <c r="E736" s="4"/>
      <c r="F736" s="4"/>
      <c r="G736" s="4" t="s">
        <v>9</v>
      </c>
      <c r="H736" s="19"/>
      <c r="I736" t="str">
        <f>VLOOKUP(A736,All!A:A,1,FALSE)</f>
        <v>Varna (Midland)</v>
      </c>
    </row>
    <row r="737" spans="1:9" ht="15.75" thickBot="1" x14ac:dyDescent="0.3">
      <c r="A737" s="20" t="s">
        <v>835</v>
      </c>
      <c r="B737" s="5">
        <v>1387</v>
      </c>
      <c r="C737" s="6" t="s">
        <v>12</v>
      </c>
      <c r="D737" s="6" t="s">
        <v>12</v>
      </c>
      <c r="E737" s="6" t="s">
        <v>13</v>
      </c>
      <c r="F737" s="6" t="s">
        <v>13</v>
      </c>
      <c r="G737" s="6" t="s">
        <v>13</v>
      </c>
      <c r="H737" s="21" t="s">
        <v>13</v>
      </c>
      <c r="I737" t="str">
        <f>VLOOKUP(A737,All!A:A,1,FALSE)</f>
        <v>Vernon Hills</v>
      </c>
    </row>
    <row r="738" spans="1:9" ht="15.75" thickBot="1" x14ac:dyDescent="0.3">
      <c r="A738" s="18" t="s">
        <v>836</v>
      </c>
      <c r="B738" s="3">
        <v>371</v>
      </c>
      <c r="C738" s="4" t="s">
        <v>13</v>
      </c>
      <c r="D738" s="4" t="s">
        <v>13</v>
      </c>
      <c r="E738" s="4" t="s">
        <v>9</v>
      </c>
      <c r="F738" s="4"/>
      <c r="G738" s="9" t="s">
        <v>9</v>
      </c>
      <c r="H738" s="19"/>
      <c r="I738" t="str">
        <f>VLOOKUP(A738,All!A:A,1,FALSE)</f>
        <v>Vienna</v>
      </c>
    </row>
    <row r="739" spans="1:9" ht="15.75" thickBot="1" x14ac:dyDescent="0.3">
      <c r="A739" s="20" t="s">
        <v>837</v>
      </c>
      <c r="B739" s="7">
        <v>189</v>
      </c>
      <c r="C739" s="6" t="s">
        <v>9</v>
      </c>
      <c r="D739" s="6" t="s">
        <v>9</v>
      </c>
      <c r="E739" s="6"/>
      <c r="F739" s="6" t="s">
        <v>9</v>
      </c>
      <c r="G739" s="6" t="s">
        <v>9</v>
      </c>
      <c r="H739" s="21"/>
      <c r="I739" t="str">
        <f>VLOOKUP(A739,All!A:A,1,FALSE)</f>
        <v>Villa Grove</v>
      </c>
    </row>
    <row r="740" spans="1:9" ht="15.75" thickBot="1" x14ac:dyDescent="0.3">
      <c r="A740" s="18" t="s">
        <v>838</v>
      </c>
      <c r="B740" s="3" t="s">
        <v>792</v>
      </c>
      <c r="C740" s="10" t="s">
        <v>9</v>
      </c>
      <c r="D740" s="10" t="s">
        <v>9</v>
      </c>
      <c r="E740" s="4"/>
      <c r="F740" s="4"/>
      <c r="G740" s="4"/>
      <c r="H740" s="19"/>
      <c r="I740" t="str">
        <f>VLOOKUP(A740,All!A:A,1,FALSE)</f>
        <v>Villa Park (Islamic Foundation)</v>
      </c>
    </row>
    <row r="741" spans="1:9" ht="15.75" thickBot="1" x14ac:dyDescent="0.3">
      <c r="A741" s="20" t="s">
        <v>839</v>
      </c>
      <c r="B741" s="5">
        <v>1902</v>
      </c>
      <c r="C741" s="6" t="s">
        <v>11</v>
      </c>
      <c r="D741" s="6" t="s">
        <v>11</v>
      </c>
      <c r="E741" s="6" t="s">
        <v>12</v>
      </c>
      <c r="F741" s="6" t="s">
        <v>13</v>
      </c>
      <c r="G741" s="6" t="s">
        <v>13</v>
      </c>
      <c r="H741" s="21" t="s">
        <v>12</v>
      </c>
      <c r="I741" t="str">
        <f>VLOOKUP(A741,All!A:A,1,FALSE)</f>
        <v>Villa Park (Willowbrook)</v>
      </c>
    </row>
    <row r="742" spans="1:9" ht="15.75" thickBot="1" x14ac:dyDescent="0.3">
      <c r="A742" s="18" t="s">
        <v>840</v>
      </c>
      <c r="B742" s="3">
        <v>344</v>
      </c>
      <c r="C742" s="4" t="s">
        <v>13</v>
      </c>
      <c r="D742" s="4" t="s">
        <v>13</v>
      </c>
      <c r="E742" s="4"/>
      <c r="F742" s="4"/>
      <c r="G742" s="4" t="s">
        <v>9</v>
      </c>
      <c r="H742" s="22" t="s">
        <v>9</v>
      </c>
      <c r="I742" t="str">
        <f>VLOOKUP(A742,All!A:A,1,FALSE)</f>
        <v>Virden (North Mac)</v>
      </c>
    </row>
    <row r="743" spans="1:9" ht="15.75" thickBot="1" x14ac:dyDescent="0.3">
      <c r="A743" s="20" t="s">
        <v>841</v>
      </c>
      <c r="B743" s="7">
        <v>78</v>
      </c>
      <c r="C743" s="6"/>
      <c r="D743" s="6"/>
      <c r="E743" s="6"/>
      <c r="F743" s="6"/>
      <c r="G743" s="6" t="s">
        <v>9</v>
      </c>
      <c r="H743" s="21"/>
      <c r="I743" t="str">
        <f>VLOOKUP(A743,All!A:A,1,FALSE)</f>
        <v>Virginia</v>
      </c>
    </row>
    <row r="744" spans="1:9" ht="15.75" thickBot="1" x14ac:dyDescent="0.3">
      <c r="A744" s="18" t="s">
        <v>842</v>
      </c>
      <c r="B744" s="3">
        <v>95</v>
      </c>
      <c r="C744" s="4" t="s">
        <v>9</v>
      </c>
      <c r="D744" s="4"/>
      <c r="E744" s="4"/>
      <c r="F744" s="4"/>
      <c r="G744" s="4"/>
      <c r="H744" s="19"/>
      <c r="I744" t="str">
        <f>VLOOKUP(A744,All!A:A,1,FALSE)</f>
        <v>Waltonville</v>
      </c>
    </row>
    <row r="745" spans="1:9" ht="15.75" thickBot="1" x14ac:dyDescent="0.3">
      <c r="A745" s="20" t="s">
        <v>843</v>
      </c>
      <c r="B745" s="7">
        <v>105</v>
      </c>
      <c r="C745" s="6" t="s">
        <v>9</v>
      </c>
      <c r="D745" s="6" t="s">
        <v>9</v>
      </c>
      <c r="E745" s="6"/>
      <c r="F745" s="6"/>
      <c r="G745" s="6" t="s">
        <v>9</v>
      </c>
      <c r="H745" s="21"/>
      <c r="I745" t="str">
        <f>VLOOKUP(A745,All!A:A,1,FALSE)</f>
        <v>Warren</v>
      </c>
    </row>
    <row r="746" spans="1:9" ht="15.75" thickBot="1" x14ac:dyDescent="0.3">
      <c r="A746" s="18" t="s">
        <v>844</v>
      </c>
      <c r="B746" s="3">
        <v>328</v>
      </c>
      <c r="C746" s="4" t="s">
        <v>13</v>
      </c>
      <c r="D746" s="4" t="s">
        <v>13</v>
      </c>
      <c r="E746" s="4" t="s">
        <v>9</v>
      </c>
      <c r="F746" s="4"/>
      <c r="G746" s="4" t="s">
        <v>9</v>
      </c>
      <c r="H746" s="22" t="s">
        <v>9</v>
      </c>
      <c r="I746" t="str">
        <f>VLOOKUP(A746,All!A:A,1,FALSE)</f>
        <v>Warrensburg (W.-Latham)</v>
      </c>
    </row>
    <row r="747" spans="1:9" ht="15.75" thickBot="1" x14ac:dyDescent="0.3">
      <c r="A747" s="20" t="s">
        <v>845</v>
      </c>
      <c r="B747" s="7">
        <v>178</v>
      </c>
      <c r="C747" s="9" t="s">
        <v>13</v>
      </c>
      <c r="D747" s="6"/>
      <c r="E747" s="6"/>
      <c r="F747" s="6"/>
      <c r="G747" s="6" t="s">
        <v>9</v>
      </c>
      <c r="H747" s="22" t="s">
        <v>9</v>
      </c>
      <c r="I747" t="str">
        <f>VLOOKUP(A747,All!A:A,1,FALSE)</f>
        <v>Warsaw</v>
      </c>
    </row>
    <row r="748" spans="1:9" ht="15.75" thickBot="1" x14ac:dyDescent="0.3">
      <c r="A748" s="18" t="s">
        <v>846</v>
      </c>
      <c r="B748" s="3">
        <v>68</v>
      </c>
      <c r="C748" s="4" t="s">
        <v>9</v>
      </c>
      <c r="D748" s="4" t="s">
        <v>9</v>
      </c>
      <c r="E748" s="4"/>
      <c r="F748" s="4"/>
      <c r="G748" s="4" t="s">
        <v>9</v>
      </c>
      <c r="H748" s="19"/>
      <c r="I748" t="str">
        <f>VLOOKUP(A748,All!A:A,1,FALSE)</f>
        <v>Washburn (Lowpoint-W.)</v>
      </c>
    </row>
    <row r="749" spans="1:9" ht="15.75" thickBot="1" x14ac:dyDescent="0.3">
      <c r="A749" s="20" t="s">
        <v>847</v>
      </c>
      <c r="B749" s="5">
        <v>1383</v>
      </c>
      <c r="C749" s="6" t="s">
        <v>12</v>
      </c>
      <c r="D749" s="6" t="s">
        <v>12</v>
      </c>
      <c r="E749" s="6" t="s">
        <v>13</v>
      </c>
      <c r="F749" s="6" t="s">
        <v>13</v>
      </c>
      <c r="G749" s="6" t="s">
        <v>13</v>
      </c>
      <c r="H749" s="21" t="s">
        <v>13</v>
      </c>
      <c r="I749" t="str">
        <f>VLOOKUP(A749,All!A:A,1,FALSE)</f>
        <v>Washington</v>
      </c>
    </row>
    <row r="750" spans="1:9" ht="15.75" thickBot="1" x14ac:dyDescent="0.3">
      <c r="A750" s="18" t="s">
        <v>848</v>
      </c>
      <c r="B750" s="3" t="s">
        <v>849</v>
      </c>
      <c r="C750" s="10" t="s">
        <v>9</v>
      </c>
      <c r="D750" s="10" t="s">
        <v>9</v>
      </c>
      <c r="E750" s="4"/>
      <c r="F750" s="4"/>
      <c r="G750" s="10" t="s">
        <v>9</v>
      </c>
      <c r="H750" s="19"/>
      <c r="I750" t="str">
        <f>VLOOKUP(A750,All!A:A,1,FALSE)</f>
        <v>Waterloo (Gibault Catholic)</v>
      </c>
    </row>
    <row r="751" spans="1:9" ht="15.75" thickBot="1" x14ac:dyDescent="0.3">
      <c r="A751" s="20" t="s">
        <v>850</v>
      </c>
      <c r="B751" s="7">
        <v>845</v>
      </c>
      <c r="C751" s="6" t="s">
        <v>12</v>
      </c>
      <c r="D751" s="6" t="s">
        <v>12</v>
      </c>
      <c r="E751" s="6" t="s">
        <v>13</v>
      </c>
      <c r="F751" s="6"/>
      <c r="G751" s="6" t="s">
        <v>13</v>
      </c>
      <c r="H751" s="21" t="s">
        <v>13</v>
      </c>
      <c r="I751" t="str">
        <f>VLOOKUP(A751,All!A:A,1,FALSE)</f>
        <v>Waterloo (H.S.)</v>
      </c>
    </row>
    <row r="752" spans="1:9" ht="15.75" thickBot="1" x14ac:dyDescent="0.3">
      <c r="A752" s="18" t="s">
        <v>851</v>
      </c>
      <c r="B752" s="3">
        <v>282</v>
      </c>
      <c r="C752" s="4" t="s">
        <v>9</v>
      </c>
      <c r="D752" s="9" t="s">
        <v>13</v>
      </c>
      <c r="E752" s="4"/>
      <c r="F752" s="4"/>
      <c r="G752" s="4" t="s">
        <v>9</v>
      </c>
      <c r="H752" s="19"/>
      <c r="I752" t="str">
        <f>VLOOKUP(A752,All!A:A,1,FALSE)</f>
        <v>Watseka</v>
      </c>
    </row>
    <row r="753" spans="1:9" ht="15.75" thickBot="1" x14ac:dyDescent="0.3">
      <c r="A753" s="20" t="s">
        <v>852</v>
      </c>
      <c r="B753" s="5">
        <v>1396</v>
      </c>
      <c r="C753" s="6" t="s">
        <v>12</v>
      </c>
      <c r="D753" s="6" t="s">
        <v>12</v>
      </c>
      <c r="E753" s="6" t="s">
        <v>13</v>
      </c>
      <c r="F753" s="6" t="s">
        <v>13</v>
      </c>
      <c r="G753" s="6" t="s">
        <v>13</v>
      </c>
      <c r="H753" s="21" t="s">
        <v>13</v>
      </c>
      <c r="I753" t="str">
        <f>VLOOKUP(A753,All!A:A,1,FALSE)</f>
        <v>Wauconda</v>
      </c>
    </row>
    <row r="754" spans="1:9" ht="15.75" thickBot="1" x14ac:dyDescent="0.3">
      <c r="A754" s="18" t="s">
        <v>853</v>
      </c>
      <c r="B754" s="3" t="s">
        <v>854</v>
      </c>
      <c r="C754" s="10" t="s">
        <v>12</v>
      </c>
      <c r="D754" s="10" t="s">
        <v>12</v>
      </c>
      <c r="E754" s="4"/>
      <c r="F754" s="4"/>
      <c r="G754" s="4"/>
      <c r="H754" s="19"/>
      <c r="I754" t="str">
        <f>VLOOKUP(A754,All!A:A,1,FALSE)</f>
        <v>Waukegan (Cristo Rey St. Martin)</v>
      </c>
    </row>
    <row r="755" spans="1:9" ht="15.75" thickBot="1" x14ac:dyDescent="0.3">
      <c r="A755" s="25" t="s">
        <v>0</v>
      </c>
      <c r="B755" s="1" t="s">
        <v>1</v>
      </c>
      <c r="C755" s="2" t="s">
        <v>899</v>
      </c>
      <c r="D755" s="2" t="s">
        <v>900</v>
      </c>
      <c r="E755" s="2" t="s">
        <v>901</v>
      </c>
      <c r="F755" s="2" t="s">
        <v>902</v>
      </c>
      <c r="G755" s="2" t="s">
        <v>903</v>
      </c>
      <c r="H755" s="26" t="s">
        <v>904</v>
      </c>
      <c r="I755" t="str">
        <f>VLOOKUP(A755,All!A:A,1,FALSE)</f>
        <v>School</v>
      </c>
    </row>
    <row r="756" spans="1:9" ht="15.75" thickBot="1" x14ac:dyDescent="0.3">
      <c r="A756" s="20" t="s">
        <v>855</v>
      </c>
      <c r="B756" s="5">
        <v>4119</v>
      </c>
      <c r="C756" s="6" t="s">
        <v>11</v>
      </c>
      <c r="D756" s="6" t="s">
        <v>11</v>
      </c>
      <c r="E756" s="6" t="s">
        <v>12</v>
      </c>
      <c r="F756" s="6" t="s">
        <v>12</v>
      </c>
      <c r="G756" s="6" t="s">
        <v>13</v>
      </c>
      <c r="H756" s="21" t="s">
        <v>12</v>
      </c>
      <c r="I756" t="str">
        <f>VLOOKUP(A756,All!A:A,1,FALSE)</f>
        <v>Waukegan (H.S.)</v>
      </c>
    </row>
    <row r="757" spans="1:9" ht="15.75" thickBot="1" x14ac:dyDescent="0.3">
      <c r="A757" s="18" t="s">
        <v>856</v>
      </c>
      <c r="B757" s="3">
        <v>96</v>
      </c>
      <c r="C757" s="4"/>
      <c r="D757" s="9" t="s">
        <v>13</v>
      </c>
      <c r="E757" s="4"/>
      <c r="F757" s="4"/>
      <c r="G757" s="9" t="s">
        <v>9</v>
      </c>
      <c r="H757" s="19"/>
      <c r="I757" t="str">
        <f>VLOOKUP(A757,All!A:A,1,FALSE)</f>
        <v>Waverly</v>
      </c>
    </row>
    <row r="758" spans="1:9" ht="15.75" thickBot="1" x14ac:dyDescent="0.3">
      <c r="A758" s="20" t="s">
        <v>857</v>
      </c>
      <c r="B758" s="7">
        <v>134</v>
      </c>
      <c r="C758" s="6" t="s">
        <v>9</v>
      </c>
      <c r="D758" s="9" t="s">
        <v>9</v>
      </c>
      <c r="E758" s="6"/>
      <c r="F758" s="6"/>
      <c r="G758" s="6" t="s">
        <v>9</v>
      </c>
      <c r="H758" s="21"/>
      <c r="I758" t="str">
        <f>VLOOKUP(A758,All!A:A,1,FALSE)</f>
        <v>Wayne City</v>
      </c>
    </row>
    <row r="759" spans="1:9" ht="15.75" thickBot="1" x14ac:dyDescent="0.3">
      <c r="A759" s="18" t="s">
        <v>858</v>
      </c>
      <c r="B759" s="8">
        <v>1973</v>
      </c>
      <c r="C759" s="4" t="s">
        <v>11</v>
      </c>
      <c r="D759" s="4" t="s">
        <v>11</v>
      </c>
      <c r="E759" s="4" t="s">
        <v>12</v>
      </c>
      <c r="F759" s="4" t="s">
        <v>12</v>
      </c>
      <c r="G759" s="4" t="s">
        <v>13</v>
      </c>
      <c r="H759" s="19" t="s">
        <v>12</v>
      </c>
      <c r="I759" t="str">
        <f>VLOOKUP(A759,All!A:A,1,FALSE)</f>
        <v>West Chicago (H.S.)</v>
      </c>
    </row>
    <row r="760" spans="1:9" ht="15.75" thickBot="1" x14ac:dyDescent="0.3">
      <c r="A760" s="20" t="s">
        <v>859</v>
      </c>
      <c r="B760" s="7" t="s">
        <v>860</v>
      </c>
      <c r="C760" s="10" t="s">
        <v>12</v>
      </c>
      <c r="D760" s="11" t="s">
        <v>13</v>
      </c>
      <c r="E760" s="11" t="s">
        <v>9</v>
      </c>
      <c r="F760" s="6"/>
      <c r="G760" s="10" t="s">
        <v>13</v>
      </c>
      <c r="H760" s="24" t="s">
        <v>9</v>
      </c>
      <c r="I760" t="str">
        <f>VLOOKUP(A760,All!A:A,1,FALSE)</f>
        <v>West Chicago (Wheaton Academy)</v>
      </c>
    </row>
    <row r="761" spans="1:9" ht="15.75" thickBot="1" x14ac:dyDescent="0.3">
      <c r="A761" s="18" t="s">
        <v>861</v>
      </c>
      <c r="B761" s="3">
        <v>411</v>
      </c>
      <c r="C761" s="4" t="s">
        <v>13</v>
      </c>
      <c r="D761" s="4" t="s">
        <v>13</v>
      </c>
      <c r="E761" s="4"/>
      <c r="F761" s="4"/>
      <c r="G761" s="4" t="s">
        <v>9</v>
      </c>
      <c r="H761" s="22" t="s">
        <v>9</v>
      </c>
      <c r="I761" t="str">
        <f>VLOOKUP(A761,All!A:A,1,FALSE)</f>
        <v>West Frankfort (Frankfort)</v>
      </c>
    </row>
    <row r="762" spans="1:9" ht="15.75" thickBot="1" x14ac:dyDescent="0.3">
      <c r="A762" s="20" t="s">
        <v>862</v>
      </c>
      <c r="B762" s="7">
        <v>160</v>
      </c>
      <c r="C762" s="6" t="s">
        <v>9</v>
      </c>
      <c r="D762" s="9" t="s">
        <v>9</v>
      </c>
      <c r="E762" s="6"/>
      <c r="F762" s="6"/>
      <c r="G762" s="6" t="s">
        <v>9</v>
      </c>
      <c r="H762" s="21"/>
      <c r="I762" t="str">
        <f>VLOOKUP(A762,All!A:A,1,FALSE)</f>
        <v>West Prairie</v>
      </c>
    </row>
    <row r="763" spans="1:9" ht="15.75" thickBot="1" x14ac:dyDescent="0.3">
      <c r="A763" s="18" t="s">
        <v>863</v>
      </c>
      <c r="B763" s="3">
        <v>376</v>
      </c>
      <c r="C763" s="4" t="s">
        <v>13</v>
      </c>
      <c r="D763" s="4" t="s">
        <v>13</v>
      </c>
      <c r="E763" s="4"/>
      <c r="F763" s="4"/>
      <c r="G763" s="4" t="s">
        <v>9</v>
      </c>
      <c r="H763" s="19" t="s">
        <v>9</v>
      </c>
      <c r="I763" t="str">
        <f>VLOOKUP(A763,All!A:A,1,FALSE)</f>
        <v>Westmont</v>
      </c>
    </row>
    <row r="764" spans="1:9" ht="15.75" thickBot="1" x14ac:dyDescent="0.3">
      <c r="A764" s="20" t="s">
        <v>864</v>
      </c>
      <c r="B764" s="7">
        <v>326</v>
      </c>
      <c r="C764" s="6" t="s">
        <v>13</v>
      </c>
      <c r="D764" s="6" t="s">
        <v>13</v>
      </c>
      <c r="E764" s="6"/>
      <c r="F764" s="6"/>
      <c r="G764" s="6" t="s">
        <v>9</v>
      </c>
      <c r="H764" s="22" t="s">
        <v>9</v>
      </c>
      <c r="I764" t="str">
        <f>VLOOKUP(A764,All!A:A,1,FALSE)</f>
        <v>Westville</v>
      </c>
    </row>
    <row r="765" spans="1:9" ht="15.75" thickBot="1" x14ac:dyDescent="0.3">
      <c r="A765" s="18" t="s">
        <v>865</v>
      </c>
      <c r="B765" s="8">
        <v>1844</v>
      </c>
      <c r="C765" s="4" t="s">
        <v>11</v>
      </c>
      <c r="D765" s="4" t="s">
        <v>11</v>
      </c>
      <c r="E765" s="4" t="s">
        <v>905</v>
      </c>
      <c r="F765" s="4" t="s">
        <v>13</v>
      </c>
      <c r="G765" s="4" t="s">
        <v>13</v>
      </c>
      <c r="H765" s="19" t="s">
        <v>12</v>
      </c>
      <c r="I765" t="str">
        <f>VLOOKUP(A765,All!A:A,1,FALSE)</f>
        <v>Wheaton (North)</v>
      </c>
    </row>
    <row r="766" spans="1:9" ht="15.75" thickBot="1" x14ac:dyDescent="0.3">
      <c r="A766" s="20" t="s">
        <v>866</v>
      </c>
      <c r="B766" s="7" t="s">
        <v>867</v>
      </c>
      <c r="C766" s="10" t="s">
        <v>12</v>
      </c>
      <c r="D766" s="10" t="s">
        <v>12</v>
      </c>
      <c r="E766" s="10" t="s">
        <v>13</v>
      </c>
      <c r="F766" s="10" t="s">
        <v>13</v>
      </c>
      <c r="G766" s="10" t="s">
        <v>13</v>
      </c>
      <c r="H766" s="24" t="s">
        <v>9</v>
      </c>
      <c r="I766" t="str">
        <f>VLOOKUP(A766,All!A:A,1,FALSE)</f>
        <v>Wheaton (St. Francis)</v>
      </c>
    </row>
    <row r="767" spans="1:9" ht="15.75" thickBot="1" x14ac:dyDescent="0.3">
      <c r="A767" s="18" t="s">
        <v>868</v>
      </c>
      <c r="B767" s="8">
        <v>1824</v>
      </c>
      <c r="C767" s="4" t="s">
        <v>11</v>
      </c>
      <c r="D767" s="4" t="s">
        <v>11</v>
      </c>
      <c r="E767" s="4" t="s">
        <v>12</v>
      </c>
      <c r="F767" s="4" t="s">
        <v>13</v>
      </c>
      <c r="G767" s="4" t="s">
        <v>13</v>
      </c>
      <c r="H767" s="19" t="s">
        <v>12</v>
      </c>
      <c r="I767" t="str">
        <f>VLOOKUP(A767,All!A:A,1,FALSE)</f>
        <v>Wheaton (W. Warrenville South)</v>
      </c>
    </row>
    <row r="768" spans="1:9" ht="15.75" thickBot="1" x14ac:dyDescent="0.3">
      <c r="A768" s="20" t="s">
        <v>869</v>
      </c>
      <c r="B768" s="5">
        <v>1658</v>
      </c>
      <c r="C768" s="6" t="s">
        <v>11</v>
      </c>
      <c r="D768" s="6" t="s">
        <v>11</v>
      </c>
      <c r="E768" s="6" t="s">
        <v>905</v>
      </c>
      <c r="F768" s="6" t="s">
        <v>13</v>
      </c>
      <c r="G768" s="6" t="s">
        <v>13</v>
      </c>
      <c r="H768" s="21" t="s">
        <v>13</v>
      </c>
      <c r="I768" t="str">
        <f>VLOOKUP(A768,All!A:A,1,FALSE)</f>
        <v>Wheeling</v>
      </c>
    </row>
    <row r="769" spans="1:9" ht="15.75" thickBot="1" x14ac:dyDescent="0.3">
      <c r="A769" s="18" t="s">
        <v>870</v>
      </c>
      <c r="B769" s="3">
        <v>239</v>
      </c>
      <c r="C769" s="4" t="s">
        <v>9</v>
      </c>
      <c r="D769" s="4" t="s">
        <v>9</v>
      </c>
      <c r="E769" s="4"/>
      <c r="F769" s="4"/>
      <c r="G769" s="4" t="s">
        <v>9</v>
      </c>
      <c r="H769" s="19"/>
      <c r="I769" t="str">
        <f>VLOOKUP(A769,All!A:A,1,FALSE)</f>
        <v>White Hall (North Greene)</v>
      </c>
    </row>
    <row r="770" spans="1:9" ht="15.75" thickBot="1" x14ac:dyDescent="0.3">
      <c r="A770" s="20" t="s">
        <v>872</v>
      </c>
      <c r="B770" s="7">
        <v>454</v>
      </c>
      <c r="C770" s="6" t="s">
        <v>13</v>
      </c>
      <c r="D770" s="6" t="s">
        <v>13</v>
      </c>
      <c r="E770" s="6" t="s">
        <v>9</v>
      </c>
      <c r="F770" s="6"/>
      <c r="G770" s="6" t="s">
        <v>13</v>
      </c>
      <c r="H770" s="21" t="s">
        <v>9</v>
      </c>
      <c r="I770" t="str">
        <f>VLOOKUP(A770,All!A:A,1,FALSE)</f>
        <v>Williamsville</v>
      </c>
    </row>
    <row r="771" spans="1:9" ht="15.75" thickBot="1" x14ac:dyDescent="0.3">
      <c r="A771" s="18" t="s">
        <v>873</v>
      </c>
      <c r="B771" s="3" t="s">
        <v>874</v>
      </c>
      <c r="C771" s="10" t="s">
        <v>11</v>
      </c>
      <c r="D771" s="12" t="s">
        <v>11</v>
      </c>
      <c r="E771" s="10" t="s">
        <v>12</v>
      </c>
      <c r="F771" s="10" t="s">
        <v>12</v>
      </c>
      <c r="G771" s="10" t="s">
        <v>13</v>
      </c>
      <c r="H771" s="23" t="s">
        <v>12</v>
      </c>
      <c r="I771" t="str">
        <f>VLOOKUP(A771,All!A:A,1,FALSE)</f>
        <v>Wilmette (Loyola Academy)</v>
      </c>
    </row>
    <row r="772" spans="1:9" ht="15.75" thickBot="1" x14ac:dyDescent="0.3">
      <c r="A772" s="20" t="s">
        <v>875</v>
      </c>
      <c r="B772" s="7" t="s">
        <v>876</v>
      </c>
      <c r="C772" s="6"/>
      <c r="D772" s="10" t="s">
        <v>13</v>
      </c>
      <c r="E772" s="6"/>
      <c r="F772" s="6"/>
      <c r="G772" s="6"/>
      <c r="H772" s="21"/>
      <c r="I772" t="str">
        <f>VLOOKUP(A772,All!A:A,1,FALSE)</f>
        <v>Wilmette (Regina Dominican)</v>
      </c>
    </row>
    <row r="773" spans="1:9" ht="15.75" thickBot="1" x14ac:dyDescent="0.3">
      <c r="A773" s="18" t="s">
        <v>877</v>
      </c>
      <c r="B773" s="3">
        <v>400</v>
      </c>
      <c r="C773" s="4" t="s">
        <v>13</v>
      </c>
      <c r="D773" s="4" t="s">
        <v>13</v>
      </c>
      <c r="E773" s="4" t="s">
        <v>9</v>
      </c>
      <c r="F773" s="4"/>
      <c r="G773" s="4" t="s">
        <v>9</v>
      </c>
      <c r="H773" s="19" t="s">
        <v>9</v>
      </c>
      <c r="I773" t="str">
        <f>VLOOKUP(A773,All!A:A,1,FALSE)</f>
        <v>Wilmington</v>
      </c>
    </row>
    <row r="774" spans="1:9" ht="15.75" thickBot="1" x14ac:dyDescent="0.3">
      <c r="A774" s="20" t="s">
        <v>878</v>
      </c>
      <c r="B774" s="7">
        <v>167</v>
      </c>
      <c r="C774" s="9" t="s">
        <v>9</v>
      </c>
      <c r="D774" s="6"/>
      <c r="E774" s="6"/>
      <c r="F774" s="6"/>
      <c r="G774" s="6" t="s">
        <v>9</v>
      </c>
      <c r="H774" s="21"/>
      <c r="I774" t="str">
        <f>VLOOKUP(A774,All!A:A,1,FALSE)</f>
        <v>Winchester</v>
      </c>
    </row>
    <row r="775" spans="1:9" ht="15.75" thickBot="1" x14ac:dyDescent="0.3">
      <c r="A775" s="18" t="s">
        <v>879</v>
      </c>
      <c r="B775" s="3">
        <v>78</v>
      </c>
      <c r="C775" s="4"/>
      <c r="D775" s="4"/>
      <c r="E775" s="4"/>
      <c r="F775" s="4"/>
      <c r="G775" s="4" t="s">
        <v>9</v>
      </c>
      <c r="H775" s="19"/>
      <c r="I775" t="str">
        <f>VLOOKUP(A775,All!A:A,1,FALSE)</f>
        <v>Windsor</v>
      </c>
    </row>
    <row r="776" spans="1:9" ht="15.75" thickBot="1" x14ac:dyDescent="0.3">
      <c r="A776" s="20" t="s">
        <v>880</v>
      </c>
      <c r="B776" s="7">
        <v>399</v>
      </c>
      <c r="C776" s="6" t="s">
        <v>13</v>
      </c>
      <c r="D776" s="6" t="s">
        <v>13</v>
      </c>
      <c r="E776" s="6" t="s">
        <v>9</v>
      </c>
      <c r="F776" s="6"/>
      <c r="G776" s="6" t="s">
        <v>9</v>
      </c>
      <c r="H776" s="21" t="s">
        <v>9</v>
      </c>
      <c r="I776" t="str">
        <f>VLOOKUP(A776,All!A:A,1,FALSE)</f>
        <v>Winnebago</v>
      </c>
    </row>
    <row r="777" spans="1:9" ht="15.75" thickBot="1" x14ac:dyDescent="0.3">
      <c r="A777" s="18" t="s">
        <v>881</v>
      </c>
      <c r="B777" s="8">
        <v>3613</v>
      </c>
      <c r="C777" s="4" t="s">
        <v>11</v>
      </c>
      <c r="D777" s="4" t="s">
        <v>11</v>
      </c>
      <c r="E777" s="4" t="s">
        <v>905</v>
      </c>
      <c r="F777" s="4" t="s">
        <v>12</v>
      </c>
      <c r="G777" s="4" t="s">
        <v>13</v>
      </c>
      <c r="H777" s="19" t="s">
        <v>12</v>
      </c>
      <c r="I777" t="str">
        <f>VLOOKUP(A777,All!A:A,1,FALSE)</f>
        <v>Winnetka (New Trier)</v>
      </c>
    </row>
    <row r="778" spans="1:9" ht="15.75" thickBot="1" x14ac:dyDescent="0.3">
      <c r="A778" s="20" t="s">
        <v>882</v>
      </c>
      <c r="B778" s="7" t="s">
        <v>883</v>
      </c>
      <c r="C778" s="11" t="s">
        <v>9</v>
      </c>
      <c r="D778" s="11" t="s">
        <v>9</v>
      </c>
      <c r="E778" s="6"/>
      <c r="F778" s="6"/>
      <c r="G778" s="6"/>
      <c r="H778" s="21"/>
      <c r="I778" t="str">
        <f>VLOOKUP(A778,All!A:A,1,FALSE)</f>
        <v>Winnetka (North Shore Country Day)</v>
      </c>
    </row>
    <row r="779" spans="1:9" ht="15.75" thickBot="1" x14ac:dyDescent="0.3">
      <c r="A779" s="18" t="s">
        <v>884</v>
      </c>
      <c r="B779" s="3">
        <v>69</v>
      </c>
      <c r="C779" s="4" t="s">
        <v>9</v>
      </c>
      <c r="D779" s="4" t="s">
        <v>9</v>
      </c>
      <c r="E779" s="4"/>
      <c r="F779" s="4"/>
      <c r="G779" s="4"/>
      <c r="H779" s="19"/>
      <c r="I779" t="str">
        <f>VLOOKUP(A779,All!A:A,1,FALSE)</f>
        <v>Wolf Lake (Shawnee)</v>
      </c>
    </row>
    <row r="780" spans="1:9" ht="15.75" thickBot="1" x14ac:dyDescent="0.3">
      <c r="A780" s="20" t="s">
        <v>885</v>
      </c>
      <c r="B780" s="7">
        <v>515</v>
      </c>
      <c r="C780" s="6" t="s">
        <v>13</v>
      </c>
      <c r="D780" s="6" t="s">
        <v>13</v>
      </c>
      <c r="E780" s="6" t="s">
        <v>9</v>
      </c>
      <c r="F780" s="6"/>
      <c r="G780" s="6" t="s">
        <v>13</v>
      </c>
      <c r="H780" s="21" t="s">
        <v>9</v>
      </c>
      <c r="I780" t="str">
        <f>VLOOKUP(A780,All!A:A,1,FALSE)</f>
        <v>Wood River (East Alton-W.R.)</v>
      </c>
    </row>
    <row r="781" spans="1:9" ht="15.75" thickBot="1" x14ac:dyDescent="0.3">
      <c r="A781" s="25" t="s">
        <v>0</v>
      </c>
      <c r="B781" s="1" t="s">
        <v>1</v>
      </c>
      <c r="C781" s="2" t="s">
        <v>899</v>
      </c>
      <c r="D781" s="2" t="s">
        <v>900</v>
      </c>
      <c r="E781" s="2" t="s">
        <v>901</v>
      </c>
      <c r="F781" s="2" t="s">
        <v>902</v>
      </c>
      <c r="G781" s="2" t="s">
        <v>903</v>
      </c>
      <c r="H781" s="26" t="s">
        <v>904</v>
      </c>
      <c r="I781" t="str">
        <f>VLOOKUP(A781,All!A:A,1,FALSE)</f>
        <v>School</v>
      </c>
    </row>
    <row r="782" spans="1:9" ht="15.75" thickBot="1" x14ac:dyDescent="0.3">
      <c r="A782" s="18" t="s">
        <v>886</v>
      </c>
      <c r="B782" s="3">
        <v>96</v>
      </c>
      <c r="C782" s="9" t="s">
        <v>9</v>
      </c>
      <c r="D782" s="9" t="s">
        <v>9</v>
      </c>
      <c r="E782" s="4"/>
      <c r="F782" s="4"/>
      <c r="G782" s="4" t="s">
        <v>9</v>
      </c>
      <c r="H782" s="19"/>
      <c r="I782" t="str">
        <f>VLOOKUP(A782,All!A:A,1,FALSE)</f>
        <v>Woodhull (AlWood)</v>
      </c>
    </row>
    <row r="783" spans="1:9" ht="15.75" thickBot="1" x14ac:dyDescent="0.3">
      <c r="A783" s="20" t="s">
        <v>887</v>
      </c>
      <c r="B783" s="7">
        <v>173</v>
      </c>
      <c r="C783" s="6" t="s">
        <v>9</v>
      </c>
      <c r="D783" s="6" t="s">
        <v>9</v>
      </c>
      <c r="E783" s="6"/>
      <c r="F783" s="6"/>
      <c r="G783" s="6" t="s">
        <v>9</v>
      </c>
      <c r="H783" s="21"/>
      <c r="I783" t="str">
        <f>VLOOKUP(A783,All!A:A,1,FALSE)</f>
        <v>Woodlawn</v>
      </c>
    </row>
    <row r="784" spans="1:9" ht="15.75" thickBot="1" x14ac:dyDescent="0.3">
      <c r="A784" s="18" t="s">
        <v>888</v>
      </c>
      <c r="B784" s="3">
        <v>986</v>
      </c>
      <c r="C784" s="4" t="s">
        <v>12</v>
      </c>
      <c r="D784" s="4" t="s">
        <v>12</v>
      </c>
      <c r="E784" s="4" t="s">
        <v>13</v>
      </c>
      <c r="F784" s="4" t="s">
        <v>9</v>
      </c>
      <c r="G784" s="4"/>
      <c r="H784" s="19" t="s">
        <v>13</v>
      </c>
      <c r="I784" t="str">
        <f>VLOOKUP(A784,All!A:A,1,FALSE)</f>
        <v>Woodstock (H.S.)</v>
      </c>
    </row>
    <row r="785" spans="1:9" ht="15.75" thickBot="1" x14ac:dyDescent="0.3">
      <c r="A785" s="20" t="s">
        <v>889</v>
      </c>
      <c r="B785" s="7" t="s">
        <v>890</v>
      </c>
      <c r="C785" s="11" t="s">
        <v>9</v>
      </c>
      <c r="D785" s="11" t="s">
        <v>9</v>
      </c>
      <c r="E785" s="6"/>
      <c r="F785" s="10" t="s">
        <v>9</v>
      </c>
      <c r="G785" s="6"/>
      <c r="H785" s="27" t="s">
        <v>13</v>
      </c>
      <c r="I785" t="str">
        <f>VLOOKUP(A785,All!A:A,1,FALSE)</f>
        <v>Woodstock (Marian)</v>
      </c>
    </row>
    <row r="786" spans="1:9" ht="15.75" thickBot="1" x14ac:dyDescent="0.3">
      <c r="A786" s="18" t="s">
        <v>891</v>
      </c>
      <c r="B786" s="3">
        <v>935</v>
      </c>
      <c r="C786" s="4" t="s">
        <v>12</v>
      </c>
      <c r="D786" s="4" t="s">
        <v>12</v>
      </c>
      <c r="E786" s="4" t="s">
        <v>13</v>
      </c>
      <c r="F786" s="4" t="s">
        <v>9</v>
      </c>
      <c r="G786" s="4"/>
      <c r="H786" s="19" t="s">
        <v>13</v>
      </c>
      <c r="I786" t="str">
        <f>VLOOKUP(A786,All!A:A,1,FALSE)</f>
        <v>Woodstock (North)</v>
      </c>
    </row>
    <row r="787" spans="1:9" ht="15.75" thickBot="1" x14ac:dyDescent="0.3">
      <c r="A787" s="20" t="s">
        <v>892</v>
      </c>
      <c r="B787" s="5">
        <v>2188</v>
      </c>
      <c r="C787" s="6" t="s">
        <v>11</v>
      </c>
      <c r="D787" s="6" t="s">
        <v>11</v>
      </c>
      <c r="E787" s="6" t="s">
        <v>12</v>
      </c>
      <c r="F787" s="6" t="s">
        <v>12</v>
      </c>
      <c r="G787" s="6"/>
      <c r="H787" s="21" t="s">
        <v>12</v>
      </c>
      <c r="I787" t="str">
        <f>VLOOKUP(A787,All!A:A,1,FALSE)</f>
        <v>Yorkville (H.S.)</v>
      </c>
    </row>
    <row r="788" spans="1:9" ht="15.75" thickBot="1" x14ac:dyDescent="0.3">
      <c r="A788" s="18" t="s">
        <v>893</v>
      </c>
      <c r="B788" s="3" t="s">
        <v>894</v>
      </c>
      <c r="C788" s="10" t="s">
        <v>9</v>
      </c>
      <c r="D788" s="10" t="s">
        <v>9</v>
      </c>
      <c r="E788" s="4"/>
      <c r="F788" s="4"/>
      <c r="G788" s="4"/>
      <c r="H788" s="19"/>
      <c r="I788" t="str">
        <f>VLOOKUP(A788,All!A:A,1,FALSE)</f>
        <v>Yorkville (Parkview Christian Academy)</v>
      </c>
    </row>
    <row r="789" spans="1:9" ht="15.75" thickBot="1" x14ac:dyDescent="0.3">
      <c r="A789" s="20" t="s">
        <v>895</v>
      </c>
      <c r="B789" s="7" t="s">
        <v>896</v>
      </c>
      <c r="C789" s="10" t="s">
        <v>13</v>
      </c>
      <c r="D789" s="11" t="s">
        <v>9</v>
      </c>
      <c r="E789" s="6"/>
      <c r="F789" s="6"/>
      <c r="G789" s="6"/>
      <c r="H789" s="23" t="s">
        <v>9</v>
      </c>
      <c r="I789" t="str">
        <f>VLOOKUP(A789,All!A:A,1,FALSE)</f>
        <v>Yorkville (Y. Christian)</v>
      </c>
    </row>
    <row r="790" spans="1:9" ht="15.75" thickBot="1" x14ac:dyDescent="0.3">
      <c r="A790" s="18" t="s">
        <v>897</v>
      </c>
      <c r="B790" s="3">
        <v>130</v>
      </c>
      <c r="C790" s="4" t="s">
        <v>9</v>
      </c>
      <c r="D790" s="4"/>
      <c r="E790" s="4" t="s">
        <v>9</v>
      </c>
      <c r="F790" s="4"/>
      <c r="G790" s="4"/>
      <c r="H790" s="19"/>
      <c r="I790" t="str">
        <f>VLOOKUP(A790,All!A:A,1,FALSE)</f>
        <v>Zeigler (Z.-Royalton)</v>
      </c>
    </row>
    <row r="791" spans="1:9" ht="15.75" thickBot="1" x14ac:dyDescent="0.3">
      <c r="A791" s="33" t="s">
        <v>898</v>
      </c>
      <c r="B791" s="34">
        <v>2060</v>
      </c>
      <c r="C791" s="35" t="s">
        <v>11</v>
      </c>
      <c r="D791" s="35" t="s">
        <v>11</v>
      </c>
      <c r="E791" s="35" t="s">
        <v>905</v>
      </c>
      <c r="F791" s="35"/>
      <c r="G791" s="35" t="s">
        <v>13</v>
      </c>
      <c r="H791" s="36" t="s">
        <v>12</v>
      </c>
      <c r="I791" t="str">
        <f>VLOOKUP(A791,All!A:A,1,FALSE)</f>
        <v>Zion (Z.-Benton)</v>
      </c>
    </row>
  </sheetData>
  <autoFilter ref="A1:I791" xr:uid="{BFC7FF2F-1A60-468E-A678-FB92F081DA3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EC5A-4A65-440C-8E21-59CB7A45C872}">
  <dimension ref="A1:I759"/>
  <sheetViews>
    <sheetView workbookViewId="0">
      <selection activeCell="E1" sqref="B1:E1048576"/>
    </sheetView>
  </sheetViews>
  <sheetFormatPr defaultColWidth="9" defaultRowHeight="15" x14ac:dyDescent="0.25"/>
  <cols>
    <col min="1" max="1" width="47.85546875" bestFit="1" customWidth="1"/>
    <col min="2" max="2" width="19.28515625" bestFit="1" customWidth="1"/>
    <col min="3" max="3" width="3.85546875" bestFit="1" customWidth="1"/>
    <col min="4" max="4" width="5.7109375" bestFit="1" customWidth="1"/>
    <col min="5" max="5" width="5.85546875" bestFit="1" customWidth="1"/>
    <col min="6" max="7" width="5.5703125" bestFit="1" customWidth="1"/>
    <col min="8" max="8" width="5.7109375" bestFit="1" customWidth="1"/>
  </cols>
  <sheetData>
    <row r="1" spans="1:9" ht="15.75" thickBot="1" x14ac:dyDescent="0.3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 spans="1:9" ht="15.75" thickBot="1" x14ac:dyDescent="0.3">
      <c r="A2" s="18" t="s">
        <v>8</v>
      </c>
      <c r="B2" s="3">
        <v>270</v>
      </c>
      <c r="C2" s="4" t="s">
        <v>9</v>
      </c>
      <c r="D2" s="4" t="s">
        <v>9</v>
      </c>
      <c r="E2" s="4"/>
      <c r="F2" s="4"/>
      <c r="G2" s="4" t="s">
        <v>9</v>
      </c>
      <c r="H2" s="19" t="s">
        <v>9</v>
      </c>
      <c r="I2" t="str">
        <f>VLOOKUP(A2,All!A:A,1,FALSE)</f>
        <v>Abingdon (A.-Avon)</v>
      </c>
    </row>
    <row r="3" spans="1:9" ht="15.75" thickBot="1" x14ac:dyDescent="0.3">
      <c r="A3" s="20" t="s">
        <v>10</v>
      </c>
      <c r="B3" s="5">
        <v>1840</v>
      </c>
      <c r="C3" s="6" t="s">
        <v>11</v>
      </c>
      <c r="D3" s="6" t="s">
        <v>11</v>
      </c>
      <c r="E3" s="6" t="s">
        <v>12</v>
      </c>
      <c r="F3" s="6" t="s">
        <v>13</v>
      </c>
      <c r="G3" s="6" t="s">
        <v>12</v>
      </c>
      <c r="H3" s="21" t="s">
        <v>12</v>
      </c>
      <c r="I3" t="str">
        <f>VLOOKUP(A3,All!A:A,1,FALSE)</f>
        <v>Addison (A. Trail)</v>
      </c>
    </row>
    <row r="4" spans="1:9" ht="15.75" thickBot="1" x14ac:dyDescent="0.3">
      <c r="A4" s="18" t="s">
        <v>14</v>
      </c>
      <c r="B4" s="3">
        <v>215</v>
      </c>
      <c r="C4" s="4" t="s">
        <v>9</v>
      </c>
      <c r="D4" s="4" t="s">
        <v>9</v>
      </c>
      <c r="E4" s="4"/>
      <c r="F4" s="4"/>
      <c r="G4" s="4"/>
      <c r="H4" s="19"/>
      <c r="I4" t="str">
        <f>VLOOKUP(A4,All!A:A,1,FALSE)</f>
        <v>Albion (Edwards County)</v>
      </c>
    </row>
    <row r="5" spans="1:9" ht="15.75" thickBot="1" x14ac:dyDescent="0.3">
      <c r="A5" s="20" t="s">
        <v>15</v>
      </c>
      <c r="B5" s="7">
        <v>399</v>
      </c>
      <c r="C5" s="6" t="s">
        <v>13</v>
      </c>
      <c r="D5" s="6" t="s">
        <v>13</v>
      </c>
      <c r="E5" s="6"/>
      <c r="F5" s="6"/>
      <c r="G5" s="6" t="s">
        <v>9</v>
      </c>
      <c r="H5" s="21" t="s">
        <v>9</v>
      </c>
      <c r="I5" t="str">
        <f>VLOOKUP(A5,All!A:A,1,FALSE)</f>
        <v>Aledo (Mercer County)</v>
      </c>
    </row>
    <row r="6" spans="1:9" ht="15.75" thickBot="1" x14ac:dyDescent="0.3">
      <c r="A6" s="18" t="s">
        <v>16</v>
      </c>
      <c r="B6" s="8">
        <v>2048</v>
      </c>
      <c r="C6" s="4" t="s">
        <v>11</v>
      </c>
      <c r="D6" s="4" t="s">
        <v>11</v>
      </c>
      <c r="E6" s="4" t="s">
        <v>12</v>
      </c>
      <c r="F6" s="4" t="s">
        <v>13</v>
      </c>
      <c r="G6" s="4" t="s">
        <v>12</v>
      </c>
      <c r="H6" s="19" t="s">
        <v>12</v>
      </c>
      <c r="I6" t="str">
        <f>VLOOKUP(A6,All!A:A,1,FALSE)</f>
        <v>Algonquin (Jacobs)</v>
      </c>
    </row>
    <row r="7" spans="1:9" ht="15.75" thickBot="1" x14ac:dyDescent="0.3">
      <c r="A7" s="20" t="s">
        <v>17</v>
      </c>
      <c r="B7" s="7">
        <v>228</v>
      </c>
      <c r="C7" s="6" t="s">
        <v>9</v>
      </c>
      <c r="D7" s="6" t="s">
        <v>9</v>
      </c>
      <c r="E7" s="6"/>
      <c r="F7" s="6"/>
      <c r="G7" s="9" t="s">
        <v>9</v>
      </c>
      <c r="H7" s="22" t="s">
        <v>9</v>
      </c>
      <c r="I7" t="str">
        <f>VLOOKUP(A7,All!A:A,1,FALSE)</f>
        <v>Altamont</v>
      </c>
    </row>
    <row r="8" spans="1:9" ht="15.75" thickBot="1" x14ac:dyDescent="0.3">
      <c r="A8" s="18" t="s">
        <v>18</v>
      </c>
      <c r="B8" s="3" t="s">
        <v>19</v>
      </c>
      <c r="C8" s="10" t="s">
        <v>13</v>
      </c>
      <c r="D8" s="10" t="s">
        <v>13</v>
      </c>
      <c r="E8" s="10" t="s">
        <v>9</v>
      </c>
      <c r="F8" s="10" t="s">
        <v>9</v>
      </c>
      <c r="G8" s="10" t="s">
        <v>13</v>
      </c>
      <c r="H8" s="23" t="s">
        <v>13</v>
      </c>
      <c r="I8" t="str">
        <f>VLOOKUP(A8,All!A:A,1,FALSE)</f>
        <v>Alton (Marquette)</v>
      </c>
    </row>
    <row r="9" spans="1:9" ht="15.75" thickBot="1" x14ac:dyDescent="0.3">
      <c r="A9" s="20" t="s">
        <v>20</v>
      </c>
      <c r="B9" s="5">
        <v>1759</v>
      </c>
      <c r="C9" s="6" t="s">
        <v>11</v>
      </c>
      <c r="D9" s="6" t="s">
        <v>11</v>
      </c>
      <c r="E9" s="6" t="s">
        <v>13</v>
      </c>
      <c r="F9" s="6" t="s">
        <v>13</v>
      </c>
      <c r="G9" s="6" t="s">
        <v>12</v>
      </c>
      <c r="H9" s="21" t="s">
        <v>12</v>
      </c>
      <c r="I9" t="str">
        <f>VLOOKUP(A9,All!A:A,1,FALSE)</f>
        <v>Alton (Sr.)</v>
      </c>
    </row>
    <row r="10" spans="1:9" ht="15.75" thickBot="1" x14ac:dyDescent="0.3">
      <c r="A10" s="18" t="s">
        <v>21</v>
      </c>
      <c r="B10" s="3">
        <v>222</v>
      </c>
      <c r="C10" s="9" t="s">
        <v>9</v>
      </c>
      <c r="D10" s="9" t="s">
        <v>9</v>
      </c>
      <c r="E10" s="4"/>
      <c r="F10" s="4"/>
      <c r="G10" s="9" t="s">
        <v>9</v>
      </c>
      <c r="H10" s="22" t="s">
        <v>9</v>
      </c>
      <c r="I10" t="str">
        <f>VLOOKUP(A10,All!A:A,1,FALSE)</f>
        <v>Amboy</v>
      </c>
    </row>
    <row r="11" spans="1:9" ht="15.75" thickBot="1" x14ac:dyDescent="0.3">
      <c r="A11" s="20" t="s">
        <v>22</v>
      </c>
      <c r="B11" s="7">
        <v>453</v>
      </c>
      <c r="C11" s="6" t="s">
        <v>13</v>
      </c>
      <c r="D11" s="6" t="s">
        <v>13</v>
      </c>
      <c r="E11" s="9" t="s">
        <v>9</v>
      </c>
      <c r="F11" s="6"/>
      <c r="G11" s="6" t="s">
        <v>13</v>
      </c>
      <c r="H11" s="21" t="s">
        <v>13</v>
      </c>
      <c r="I11" t="str">
        <f>VLOOKUP(A11,All!A:A,1,FALSE)</f>
        <v>Anna (A.-Jonesboro)</v>
      </c>
    </row>
    <row r="12" spans="1:9" ht="15.75" thickBot="1" x14ac:dyDescent="0.3">
      <c r="A12" s="18" t="s">
        <v>23</v>
      </c>
      <c r="B12" s="8">
        <v>1296</v>
      </c>
      <c r="C12" s="4" t="s">
        <v>12</v>
      </c>
      <c r="D12" s="4" t="s">
        <v>12</v>
      </c>
      <c r="E12" s="4" t="s">
        <v>13</v>
      </c>
      <c r="F12" s="4" t="s">
        <v>9</v>
      </c>
      <c r="G12" s="4" t="s">
        <v>12</v>
      </c>
      <c r="H12" s="19" t="s">
        <v>12</v>
      </c>
      <c r="I12" t="str">
        <f>VLOOKUP(A12,All!A:A,1,FALSE)</f>
        <v>Antioch</v>
      </c>
    </row>
    <row r="13" spans="1:9" ht="15.75" thickBot="1" x14ac:dyDescent="0.3">
      <c r="A13" s="20" t="s">
        <v>24</v>
      </c>
      <c r="B13" s="7">
        <v>194</v>
      </c>
      <c r="C13" s="6" t="s">
        <v>9</v>
      </c>
      <c r="D13" s="6" t="s">
        <v>9</v>
      </c>
      <c r="E13" s="6"/>
      <c r="F13" s="6"/>
      <c r="G13" s="6" t="s">
        <v>9</v>
      </c>
      <c r="H13" s="21" t="s">
        <v>9</v>
      </c>
      <c r="I13" t="str">
        <f>VLOOKUP(A13,All!A:A,1,FALSE)</f>
        <v>Arcola</v>
      </c>
    </row>
    <row r="14" spans="1:9" ht="15.75" thickBot="1" x14ac:dyDescent="0.3">
      <c r="A14" s="18" t="s">
        <v>25</v>
      </c>
      <c r="B14" s="3">
        <v>258</v>
      </c>
      <c r="C14" s="4" t="s">
        <v>9</v>
      </c>
      <c r="D14" s="4" t="s">
        <v>9</v>
      </c>
      <c r="E14" s="4"/>
      <c r="F14" s="4"/>
      <c r="G14" s="9" t="s">
        <v>13</v>
      </c>
      <c r="H14" s="22" t="s">
        <v>13</v>
      </c>
      <c r="I14" t="str">
        <f>VLOOKUP(A14,All!A:A,1,FALSE)</f>
        <v>Argenta (A.-Oreana)</v>
      </c>
    </row>
    <row r="15" spans="1:9" ht="15.75" thickBot="1" x14ac:dyDescent="0.3">
      <c r="A15" s="20" t="s">
        <v>26</v>
      </c>
      <c r="B15" s="5">
        <v>2046</v>
      </c>
      <c r="C15" s="6" t="s">
        <v>11</v>
      </c>
      <c r="D15" s="6" t="s">
        <v>11</v>
      </c>
      <c r="E15" s="6" t="s">
        <v>12</v>
      </c>
      <c r="F15" s="6" t="s">
        <v>13</v>
      </c>
      <c r="G15" s="6" t="s">
        <v>12</v>
      </c>
      <c r="H15" s="21" t="s">
        <v>12</v>
      </c>
      <c r="I15" t="str">
        <f>VLOOKUP(A15,All!A:A,1,FALSE)</f>
        <v>Arlington Heights (Hersey)</v>
      </c>
    </row>
    <row r="16" spans="1:9" ht="15.75" thickBot="1" x14ac:dyDescent="0.3">
      <c r="A16" s="18" t="s">
        <v>27</v>
      </c>
      <c r="B16" s="3" t="s">
        <v>28</v>
      </c>
      <c r="C16" s="10" t="s">
        <v>12</v>
      </c>
      <c r="D16" s="10" t="s">
        <v>12</v>
      </c>
      <c r="E16" s="10" t="s">
        <v>13</v>
      </c>
      <c r="F16" s="10" t="s">
        <v>9</v>
      </c>
      <c r="G16" s="11" t="s">
        <v>13</v>
      </c>
      <c r="H16" s="24" t="s">
        <v>13</v>
      </c>
      <c r="I16" t="str">
        <f>VLOOKUP(A16,All!A:A,1,FALSE)</f>
        <v>Arlington Heights (St. Viator)</v>
      </c>
    </row>
    <row r="17" spans="1:9" ht="15.75" thickBot="1" x14ac:dyDescent="0.3">
      <c r="A17" s="20" t="s">
        <v>29</v>
      </c>
      <c r="B17" s="7">
        <v>114</v>
      </c>
      <c r="C17" s="6" t="s">
        <v>9</v>
      </c>
      <c r="D17" s="6" t="s">
        <v>9</v>
      </c>
      <c r="E17" s="6"/>
      <c r="F17" s="6"/>
      <c r="G17" s="6" t="s">
        <v>9</v>
      </c>
      <c r="H17" s="21" t="s">
        <v>9</v>
      </c>
      <c r="I17" t="str">
        <f>VLOOKUP(A17,All!A:A,1,FALSE)</f>
        <v>Armstrong</v>
      </c>
    </row>
    <row r="18" spans="1:9" ht="15.75" thickBot="1" x14ac:dyDescent="0.3">
      <c r="A18" s="18" t="s">
        <v>30</v>
      </c>
      <c r="B18" s="3">
        <v>296</v>
      </c>
      <c r="C18" s="4" t="s">
        <v>9</v>
      </c>
      <c r="D18" s="4" t="s">
        <v>9</v>
      </c>
      <c r="E18" s="4"/>
      <c r="F18" s="4"/>
      <c r="G18" s="4" t="s">
        <v>9</v>
      </c>
      <c r="H18" s="19" t="s">
        <v>9</v>
      </c>
      <c r="I18" t="str">
        <f>VLOOKUP(A18,All!A:A,1,FALSE)</f>
        <v>Arthur (A.-Lovington-Atwood-Hammond)</v>
      </c>
    </row>
    <row r="19" spans="1:9" ht="15.75" thickBot="1" x14ac:dyDescent="0.3">
      <c r="A19" s="20" t="s">
        <v>31</v>
      </c>
      <c r="B19" s="7">
        <v>132</v>
      </c>
      <c r="C19" s="6" t="s">
        <v>9</v>
      </c>
      <c r="D19" s="6" t="s">
        <v>9</v>
      </c>
      <c r="E19" s="6"/>
      <c r="F19" s="6"/>
      <c r="G19" s="6"/>
      <c r="H19" s="21" t="s">
        <v>9</v>
      </c>
      <c r="I19" t="str">
        <f>VLOOKUP(A19,All!A:A,1,FALSE)</f>
        <v>Ashton (A.-Franklin Center)</v>
      </c>
    </row>
    <row r="20" spans="1:9" ht="15.75" thickBot="1" x14ac:dyDescent="0.3">
      <c r="A20" s="18" t="s">
        <v>32</v>
      </c>
      <c r="B20" s="3">
        <v>84</v>
      </c>
      <c r="C20" s="9" t="s">
        <v>9</v>
      </c>
      <c r="D20" s="9" t="s">
        <v>9</v>
      </c>
      <c r="E20" s="4"/>
      <c r="F20" s="4"/>
      <c r="G20" s="9" t="s">
        <v>9</v>
      </c>
      <c r="H20" s="22" t="s">
        <v>9</v>
      </c>
      <c r="I20" t="str">
        <f>VLOOKUP(A20,All!A:A,1,FALSE)</f>
        <v>Astoria</v>
      </c>
    </row>
    <row r="21" spans="1:9" ht="15.75" thickBot="1" x14ac:dyDescent="0.3">
      <c r="A21" s="20" t="s">
        <v>33</v>
      </c>
      <c r="B21" s="7">
        <v>289</v>
      </c>
      <c r="C21" s="6" t="s">
        <v>9</v>
      </c>
      <c r="D21" s="6" t="s">
        <v>9</v>
      </c>
      <c r="E21" s="9" t="s">
        <v>9</v>
      </c>
      <c r="F21" s="6"/>
      <c r="G21" s="6" t="s">
        <v>9</v>
      </c>
      <c r="H21" s="21" t="s">
        <v>9</v>
      </c>
      <c r="I21" t="str">
        <f>VLOOKUP(A21,All!A:A,1,FALSE)</f>
        <v>Athens</v>
      </c>
    </row>
    <row r="22" spans="1:9" ht="15.75" thickBot="1" x14ac:dyDescent="0.3">
      <c r="A22" s="18" t="s">
        <v>34</v>
      </c>
      <c r="B22" s="3">
        <v>317</v>
      </c>
      <c r="C22" s="4" t="s">
        <v>13</v>
      </c>
      <c r="D22" s="9" t="s">
        <v>13</v>
      </c>
      <c r="E22" s="9" t="s">
        <v>9</v>
      </c>
      <c r="F22" s="4"/>
      <c r="G22" s="4" t="s">
        <v>9</v>
      </c>
      <c r="H22" s="19" t="s">
        <v>9</v>
      </c>
      <c r="I22" t="str">
        <f>VLOOKUP(A22,All!A:A,1,FALSE)</f>
        <v>Auburn</v>
      </c>
    </row>
    <row r="23" spans="1:9" ht="15.75" thickBot="1" x14ac:dyDescent="0.3">
      <c r="A23" s="20" t="s">
        <v>35</v>
      </c>
      <c r="B23" s="7">
        <v>117</v>
      </c>
      <c r="C23" s="6" t="s">
        <v>9</v>
      </c>
      <c r="D23" s="6" t="s">
        <v>9</v>
      </c>
      <c r="E23" s="6"/>
      <c r="F23" s="6"/>
      <c r="G23" s="6"/>
      <c r="H23" s="21"/>
      <c r="I23" t="str">
        <f>VLOOKUP(A23,All!A:A,1,FALSE)</f>
        <v>Augusta (Southeastern)</v>
      </c>
    </row>
    <row r="24" spans="1:9" ht="15.75" thickBot="1" x14ac:dyDescent="0.3">
      <c r="A24" s="18" t="s">
        <v>36</v>
      </c>
      <c r="B24" s="3" t="s">
        <v>37</v>
      </c>
      <c r="C24" s="10" t="s">
        <v>13</v>
      </c>
      <c r="D24" s="11" t="s">
        <v>9</v>
      </c>
      <c r="E24" s="4"/>
      <c r="F24" s="4"/>
      <c r="G24" s="10" t="s">
        <v>9</v>
      </c>
      <c r="H24" s="23" t="s">
        <v>9</v>
      </c>
      <c r="I24" t="str">
        <f>VLOOKUP(A24,All!A:A,1,FALSE)</f>
        <v>Aurora (A. Christian)</v>
      </c>
    </row>
    <row r="25" spans="1:9" ht="15.75" thickBot="1" x14ac:dyDescent="0.3">
      <c r="A25" s="20" t="s">
        <v>38</v>
      </c>
      <c r="B25" s="7" t="s">
        <v>39</v>
      </c>
      <c r="C25" s="11" t="s">
        <v>13</v>
      </c>
      <c r="D25" s="11" t="s">
        <v>13</v>
      </c>
      <c r="E25" s="10" t="s">
        <v>9</v>
      </c>
      <c r="F25" s="10" t="s">
        <v>9</v>
      </c>
      <c r="G25" s="10" t="s">
        <v>13</v>
      </c>
      <c r="H25" s="23" t="s">
        <v>13</v>
      </c>
      <c r="I25" t="str">
        <f>VLOOKUP(A25,All!A:A,1,FALSE)</f>
        <v>Aurora (Central Catholic)</v>
      </c>
    </row>
    <row r="26" spans="1:9" ht="15.75" thickBot="1" x14ac:dyDescent="0.3">
      <c r="A26" s="18" t="s">
        <v>40</v>
      </c>
      <c r="B26" s="8">
        <v>3941</v>
      </c>
      <c r="C26" s="4" t="s">
        <v>11</v>
      </c>
      <c r="D26" s="4" t="s">
        <v>11</v>
      </c>
      <c r="E26" s="4" t="s">
        <v>12</v>
      </c>
      <c r="F26" s="4" t="s">
        <v>13</v>
      </c>
      <c r="G26" s="4" t="s">
        <v>12</v>
      </c>
      <c r="H26" s="19" t="s">
        <v>12</v>
      </c>
      <c r="I26" t="str">
        <f>VLOOKUP(A26,All!A:A,1,FALSE)</f>
        <v>Aurora (East)</v>
      </c>
    </row>
    <row r="27" spans="1:9" ht="15.75" thickBot="1" x14ac:dyDescent="0.3">
      <c r="A27" s="25" t="s">
        <v>0</v>
      </c>
      <c r="B27" s="1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6" t="s">
        <v>7</v>
      </c>
      <c r="I27" t="str">
        <f>VLOOKUP(A27,All!A:A,1,FALSE)</f>
        <v>School</v>
      </c>
    </row>
    <row r="28" spans="1:9" ht="15.75" thickBot="1" x14ac:dyDescent="0.3">
      <c r="A28" s="20" t="s">
        <v>41</v>
      </c>
      <c r="B28" s="7" t="s">
        <v>42</v>
      </c>
      <c r="C28" s="6"/>
      <c r="D28" s="6"/>
      <c r="E28" s="10" t="s">
        <v>13</v>
      </c>
      <c r="F28" s="10" t="s">
        <v>9</v>
      </c>
      <c r="G28" s="11" t="s">
        <v>13</v>
      </c>
      <c r="H28" s="24" t="s">
        <v>13</v>
      </c>
      <c r="I28" t="str">
        <f>VLOOKUP(A28,All!A:A,1,FALSE)</f>
        <v>Aurora (Illinois Math and Science Academy)</v>
      </c>
    </row>
    <row r="29" spans="1:9" ht="15.75" thickBot="1" x14ac:dyDescent="0.3">
      <c r="A29" s="18" t="s">
        <v>43</v>
      </c>
      <c r="B29" s="3" t="s">
        <v>44</v>
      </c>
      <c r="C29" s="10" t="s">
        <v>12</v>
      </c>
      <c r="D29" s="4"/>
      <c r="E29" s="4"/>
      <c r="F29" s="10" t="s">
        <v>9</v>
      </c>
      <c r="G29" s="11" t="s">
        <v>13</v>
      </c>
      <c r="H29" s="19"/>
      <c r="I29" t="str">
        <f>VLOOKUP(A29,All!A:A,1,FALSE)</f>
        <v>Aurora (Marmion Academy)</v>
      </c>
    </row>
    <row r="30" spans="1:9" ht="15.75" thickBot="1" x14ac:dyDescent="0.3">
      <c r="A30" s="20" t="s">
        <v>45</v>
      </c>
      <c r="B30" s="5">
        <v>2726</v>
      </c>
      <c r="C30" s="6" t="s">
        <v>11</v>
      </c>
      <c r="D30" s="6" t="s">
        <v>11</v>
      </c>
      <c r="E30" s="6" t="s">
        <v>12</v>
      </c>
      <c r="F30" s="6" t="s">
        <v>13</v>
      </c>
      <c r="G30" s="6" t="s">
        <v>12</v>
      </c>
      <c r="H30" s="21" t="s">
        <v>12</v>
      </c>
      <c r="I30" t="str">
        <f>VLOOKUP(A30,All!A:A,1,FALSE)</f>
        <v>Aurora (Metea Valley)</v>
      </c>
    </row>
    <row r="31" spans="1:9" ht="15.75" thickBot="1" x14ac:dyDescent="0.3">
      <c r="A31" s="18" t="s">
        <v>46</v>
      </c>
      <c r="B31" s="3" t="s">
        <v>47</v>
      </c>
      <c r="C31" s="4"/>
      <c r="D31" s="4"/>
      <c r="E31" s="10" t="s">
        <v>9</v>
      </c>
      <c r="F31" s="4"/>
      <c r="G31" s="4"/>
      <c r="H31" s="23" t="s">
        <v>13</v>
      </c>
      <c r="I31" t="str">
        <f>VLOOKUP(A31,All!A:A,1,FALSE)</f>
        <v>Aurora (Rosary)</v>
      </c>
    </row>
    <row r="32" spans="1:9" ht="15.75" thickBot="1" x14ac:dyDescent="0.3">
      <c r="A32" s="20" t="s">
        <v>48</v>
      </c>
      <c r="B32" s="5">
        <v>2717</v>
      </c>
      <c r="C32" s="6" t="s">
        <v>11</v>
      </c>
      <c r="D32" s="6" t="s">
        <v>11</v>
      </c>
      <c r="E32" s="6" t="s">
        <v>12</v>
      </c>
      <c r="F32" s="6" t="s">
        <v>13</v>
      </c>
      <c r="G32" s="6" t="s">
        <v>12</v>
      </c>
      <c r="H32" s="21" t="s">
        <v>12</v>
      </c>
      <c r="I32" t="str">
        <f>VLOOKUP(A32,All!A:A,1,FALSE)</f>
        <v>Aurora (Waubonsie Valley)</v>
      </c>
    </row>
    <row r="33" spans="1:9" ht="15.75" thickBot="1" x14ac:dyDescent="0.3">
      <c r="A33" s="18" t="s">
        <v>49</v>
      </c>
      <c r="B33" s="8">
        <v>3559</v>
      </c>
      <c r="C33" s="4" t="s">
        <v>11</v>
      </c>
      <c r="D33" s="4" t="s">
        <v>11</v>
      </c>
      <c r="E33" s="4" t="s">
        <v>12</v>
      </c>
      <c r="F33" s="4" t="s">
        <v>13</v>
      </c>
      <c r="G33" s="4" t="s">
        <v>12</v>
      </c>
      <c r="H33" s="19" t="s">
        <v>12</v>
      </c>
      <c r="I33" t="str">
        <f>VLOOKUP(A33,All!A:A,1,FALSE)</f>
        <v>Aurora (West Aurora)</v>
      </c>
    </row>
    <row r="34" spans="1:9" ht="15.75" thickBot="1" x14ac:dyDescent="0.3">
      <c r="A34" s="20" t="s">
        <v>50</v>
      </c>
      <c r="B34" s="5">
        <v>2692</v>
      </c>
      <c r="C34" s="6" t="s">
        <v>11</v>
      </c>
      <c r="D34" s="6" t="s">
        <v>11</v>
      </c>
      <c r="E34" s="6" t="s">
        <v>12</v>
      </c>
      <c r="F34" s="6" t="s">
        <v>13</v>
      </c>
      <c r="G34" s="6" t="s">
        <v>12</v>
      </c>
      <c r="H34" s="21" t="s">
        <v>12</v>
      </c>
      <c r="I34" t="str">
        <f>VLOOKUP(A34,All!A:A,1,FALSE)</f>
        <v>Barrington</v>
      </c>
    </row>
    <row r="35" spans="1:9" ht="15.75" thickBot="1" x14ac:dyDescent="0.3">
      <c r="A35" s="18" t="s">
        <v>51</v>
      </c>
      <c r="B35" s="3">
        <v>140</v>
      </c>
      <c r="C35" s="4" t="s">
        <v>9</v>
      </c>
      <c r="D35" s="4" t="s">
        <v>9</v>
      </c>
      <c r="E35" s="4"/>
      <c r="F35" s="4"/>
      <c r="G35" s="4" t="s">
        <v>9</v>
      </c>
      <c r="H35" s="19" t="s">
        <v>9</v>
      </c>
      <c r="I35" t="str">
        <f>VLOOKUP(A35,All!A:A,1,FALSE)</f>
        <v>Barry (Western)</v>
      </c>
    </row>
    <row r="36" spans="1:9" ht="15.75" thickBot="1" x14ac:dyDescent="0.3">
      <c r="A36" s="20" t="s">
        <v>52</v>
      </c>
      <c r="B36" s="5">
        <v>2223</v>
      </c>
      <c r="C36" s="6" t="s">
        <v>11</v>
      </c>
      <c r="D36" s="6" t="s">
        <v>11</v>
      </c>
      <c r="E36" s="6" t="s">
        <v>12</v>
      </c>
      <c r="F36" s="6" t="s">
        <v>13</v>
      </c>
      <c r="G36" s="6" t="s">
        <v>12</v>
      </c>
      <c r="H36" s="21" t="s">
        <v>12</v>
      </c>
      <c r="I36" t="str">
        <f>VLOOKUP(A36,All!A:A,1,FALSE)</f>
        <v>Bartlett</v>
      </c>
    </row>
    <row r="37" spans="1:9" ht="15.75" thickBot="1" x14ac:dyDescent="0.3">
      <c r="A37" s="18" t="s">
        <v>53</v>
      </c>
      <c r="B37" s="3">
        <v>856</v>
      </c>
      <c r="C37" s="4" t="s">
        <v>12</v>
      </c>
      <c r="D37" s="4" t="s">
        <v>12</v>
      </c>
      <c r="E37" s="4" t="s">
        <v>13</v>
      </c>
      <c r="F37" s="4" t="s">
        <v>9</v>
      </c>
      <c r="G37" s="4" t="s">
        <v>13</v>
      </c>
      <c r="H37" s="19" t="s">
        <v>13</v>
      </c>
      <c r="I37" t="str">
        <f>VLOOKUP(A37,All!A:A,1,FALSE)</f>
        <v>Bartonville (Limestone)</v>
      </c>
    </row>
    <row r="38" spans="1:9" ht="15.75" thickBot="1" x14ac:dyDescent="0.3">
      <c r="A38" s="20" t="s">
        <v>54</v>
      </c>
      <c r="B38" s="5">
        <v>1632</v>
      </c>
      <c r="C38" s="6" t="s">
        <v>11</v>
      </c>
      <c r="D38" s="6" t="s">
        <v>11</v>
      </c>
      <c r="E38" s="6" t="s">
        <v>13</v>
      </c>
      <c r="F38" s="6" t="s">
        <v>13</v>
      </c>
      <c r="G38" s="6" t="s">
        <v>12</v>
      </c>
      <c r="H38" s="21" t="s">
        <v>12</v>
      </c>
      <c r="I38" t="str">
        <f>VLOOKUP(A38,All!A:A,1,FALSE)</f>
        <v>Batavia</v>
      </c>
    </row>
    <row r="39" spans="1:9" ht="15.75" thickBot="1" x14ac:dyDescent="0.3">
      <c r="A39" s="18" t="s">
        <v>55</v>
      </c>
      <c r="B39" s="3">
        <v>423</v>
      </c>
      <c r="C39" s="4" t="s">
        <v>13</v>
      </c>
      <c r="D39" s="4" t="s">
        <v>13</v>
      </c>
      <c r="E39" s="4" t="s">
        <v>9</v>
      </c>
      <c r="F39" s="4"/>
      <c r="G39" s="4" t="s">
        <v>9</v>
      </c>
      <c r="H39" s="19" t="s">
        <v>9</v>
      </c>
      <c r="I39" t="str">
        <f>VLOOKUP(A39,All!A:A,1,FALSE)</f>
        <v>Beardstown (H.S.)</v>
      </c>
    </row>
    <row r="40" spans="1:9" ht="15.75" thickBot="1" x14ac:dyDescent="0.3">
      <c r="A40" s="20" t="s">
        <v>56</v>
      </c>
      <c r="B40" s="7">
        <v>334</v>
      </c>
      <c r="C40" s="6" t="s">
        <v>13</v>
      </c>
      <c r="D40" s="6" t="s">
        <v>13</v>
      </c>
      <c r="E40" s="6" t="s">
        <v>9</v>
      </c>
      <c r="F40" s="6"/>
      <c r="G40" s="6" t="s">
        <v>9</v>
      </c>
      <c r="H40" s="21" t="s">
        <v>9</v>
      </c>
      <c r="I40" t="str">
        <f>VLOOKUP(A40,All!A:A,1,FALSE)</f>
        <v>Beecher</v>
      </c>
    </row>
    <row r="41" spans="1:9" ht="15.75" thickBot="1" x14ac:dyDescent="0.3">
      <c r="A41" s="18" t="s">
        <v>57</v>
      </c>
      <c r="B41" s="3">
        <v>89</v>
      </c>
      <c r="C41" s="9" t="s">
        <v>9</v>
      </c>
      <c r="D41" s="9" t="s">
        <v>9</v>
      </c>
      <c r="E41" s="4"/>
      <c r="F41" s="4"/>
      <c r="G41" s="4"/>
      <c r="H41" s="19"/>
      <c r="I41" t="str">
        <f>VLOOKUP(A41,All!A:A,1,FALSE)</f>
        <v>Beecher City</v>
      </c>
    </row>
    <row r="42" spans="1:9" ht="15.75" thickBot="1" x14ac:dyDescent="0.3">
      <c r="A42" s="20" t="s">
        <v>58</v>
      </c>
      <c r="B42" s="7" t="s">
        <v>59</v>
      </c>
      <c r="C42" s="10" t="s">
        <v>13</v>
      </c>
      <c r="D42" s="10" t="s">
        <v>13</v>
      </c>
      <c r="E42" s="10" t="s">
        <v>9</v>
      </c>
      <c r="F42" s="10" t="s">
        <v>9</v>
      </c>
      <c r="G42" s="10" t="s">
        <v>13</v>
      </c>
      <c r="H42" s="23" t="s">
        <v>13</v>
      </c>
      <c r="I42" t="str">
        <f>VLOOKUP(A42,All!A:A,1,FALSE)</f>
        <v>Belleville (Althoff Catholic)</v>
      </c>
    </row>
    <row r="43" spans="1:9" ht="15.75" thickBot="1" x14ac:dyDescent="0.3">
      <c r="A43" s="18" t="s">
        <v>60</v>
      </c>
      <c r="B43" s="8">
        <v>2352</v>
      </c>
      <c r="C43" s="4" t="s">
        <v>11</v>
      </c>
      <c r="D43" s="4" t="s">
        <v>11</v>
      </c>
      <c r="E43" s="4" t="s">
        <v>12</v>
      </c>
      <c r="F43" s="4" t="s">
        <v>13</v>
      </c>
      <c r="G43" s="4" t="s">
        <v>12</v>
      </c>
      <c r="H43" s="19" t="s">
        <v>12</v>
      </c>
      <c r="I43" t="str">
        <f>VLOOKUP(A43,All!A:A,1,FALSE)</f>
        <v>Belleville (East)</v>
      </c>
    </row>
    <row r="44" spans="1:9" ht="15.75" thickBot="1" x14ac:dyDescent="0.3">
      <c r="A44" s="20" t="s">
        <v>61</v>
      </c>
      <c r="B44" s="5">
        <v>1990</v>
      </c>
      <c r="C44" s="6" t="s">
        <v>11</v>
      </c>
      <c r="D44" s="6" t="s">
        <v>11</v>
      </c>
      <c r="E44" s="6" t="s">
        <v>12</v>
      </c>
      <c r="F44" s="6" t="s">
        <v>13</v>
      </c>
      <c r="G44" s="6" t="s">
        <v>12</v>
      </c>
      <c r="H44" s="21" t="s">
        <v>12</v>
      </c>
      <c r="I44" t="str">
        <f>VLOOKUP(A44,All!A:A,1,FALSE)</f>
        <v>Belleville (West)</v>
      </c>
    </row>
    <row r="45" spans="1:9" ht="15.75" thickBot="1" x14ac:dyDescent="0.3">
      <c r="A45" s="18" t="s">
        <v>62</v>
      </c>
      <c r="B45" s="8">
        <v>1113</v>
      </c>
      <c r="C45" s="4" t="s">
        <v>12</v>
      </c>
      <c r="D45" s="4" t="s">
        <v>12</v>
      </c>
      <c r="E45" s="4" t="s">
        <v>13</v>
      </c>
      <c r="F45" s="4" t="s">
        <v>9</v>
      </c>
      <c r="G45" s="4" t="s">
        <v>13</v>
      </c>
      <c r="H45" s="19" t="s">
        <v>13</v>
      </c>
      <c r="I45" t="str">
        <f>VLOOKUP(A45,All!A:A,1,FALSE)</f>
        <v>Belvidere (H.S.)</v>
      </c>
    </row>
    <row r="46" spans="1:9" ht="15.75" thickBot="1" x14ac:dyDescent="0.3">
      <c r="A46" s="20" t="s">
        <v>63</v>
      </c>
      <c r="B46" s="5">
        <v>1304</v>
      </c>
      <c r="C46" s="6" t="s">
        <v>12</v>
      </c>
      <c r="D46" s="6" t="s">
        <v>12</v>
      </c>
      <c r="E46" s="6" t="s">
        <v>13</v>
      </c>
      <c r="F46" s="6" t="s">
        <v>9</v>
      </c>
      <c r="G46" s="6" t="s">
        <v>12</v>
      </c>
      <c r="H46" s="21" t="s">
        <v>12</v>
      </c>
      <c r="I46" t="str">
        <f>VLOOKUP(A46,All!A:A,1,FALSE)</f>
        <v>Belvidere (North)</v>
      </c>
    </row>
    <row r="47" spans="1:9" ht="15.75" thickBot="1" x14ac:dyDescent="0.3">
      <c r="A47" s="18" t="s">
        <v>64</v>
      </c>
      <c r="B47" s="8">
        <v>1347</v>
      </c>
      <c r="C47" s="4" t="s">
        <v>12</v>
      </c>
      <c r="D47" s="4" t="s">
        <v>12</v>
      </c>
      <c r="E47" s="4" t="s">
        <v>13</v>
      </c>
      <c r="F47" s="4" t="s">
        <v>9</v>
      </c>
      <c r="G47" s="4" t="s">
        <v>12</v>
      </c>
      <c r="H47" s="19" t="s">
        <v>12</v>
      </c>
      <c r="I47" t="str">
        <f>VLOOKUP(A47,All!A:A,1,FALSE)</f>
        <v>Bensenville (Fenton)</v>
      </c>
    </row>
    <row r="48" spans="1:9" ht="15.75" thickBot="1" x14ac:dyDescent="0.3">
      <c r="A48" s="20" t="s">
        <v>65</v>
      </c>
      <c r="B48" s="7">
        <v>594</v>
      </c>
      <c r="C48" s="6" t="s">
        <v>13</v>
      </c>
      <c r="D48" s="6" t="s">
        <v>13</v>
      </c>
      <c r="E48" s="6"/>
      <c r="F48" s="6"/>
      <c r="G48" s="6" t="s">
        <v>13</v>
      </c>
      <c r="H48" s="21" t="s">
        <v>13</v>
      </c>
      <c r="I48" t="str">
        <f>VLOOKUP(A48,All!A:A,1,FALSE)</f>
        <v>Benton</v>
      </c>
    </row>
    <row r="49" spans="1:9" ht="15.75" thickBot="1" x14ac:dyDescent="0.3">
      <c r="A49" s="18" t="s">
        <v>66</v>
      </c>
      <c r="B49" s="8">
        <v>7552</v>
      </c>
      <c r="C49" s="4" t="s">
        <v>11</v>
      </c>
      <c r="D49" s="4" t="s">
        <v>11</v>
      </c>
      <c r="E49" s="4" t="s">
        <v>12</v>
      </c>
      <c r="F49" s="4" t="s">
        <v>13</v>
      </c>
      <c r="G49" s="4" t="s">
        <v>12</v>
      </c>
      <c r="H49" s="19" t="s">
        <v>12</v>
      </c>
      <c r="I49" t="str">
        <f>VLOOKUP(A49,All!A:A,1,FALSE)</f>
        <v>Berwyn-Cicero (Morton)</v>
      </c>
    </row>
    <row r="50" spans="1:9" ht="15.75" thickBot="1" x14ac:dyDescent="0.3">
      <c r="A50" s="20" t="s">
        <v>67</v>
      </c>
      <c r="B50" s="7">
        <v>754</v>
      </c>
      <c r="C50" s="6" t="s">
        <v>12</v>
      </c>
      <c r="D50" s="6" t="s">
        <v>12</v>
      </c>
      <c r="E50" s="6" t="s">
        <v>9</v>
      </c>
      <c r="F50" s="6" t="s">
        <v>9</v>
      </c>
      <c r="G50" s="6" t="s">
        <v>13</v>
      </c>
      <c r="H50" s="21" t="s">
        <v>13</v>
      </c>
      <c r="I50" t="str">
        <f>VLOOKUP(A50,All!A:A,1,FALSE)</f>
        <v>Bethalto (Civic Memorial)</v>
      </c>
    </row>
    <row r="51" spans="1:9" ht="15.75" thickBot="1" x14ac:dyDescent="0.3">
      <c r="A51" s="18" t="s">
        <v>68</v>
      </c>
      <c r="B51" s="3">
        <v>155</v>
      </c>
      <c r="C51" s="4" t="s">
        <v>9</v>
      </c>
      <c r="D51" s="4" t="s">
        <v>9</v>
      </c>
      <c r="E51" s="4"/>
      <c r="F51" s="4"/>
      <c r="G51" s="4" t="s">
        <v>9</v>
      </c>
      <c r="H51" s="19" t="s">
        <v>9</v>
      </c>
      <c r="I51" t="str">
        <f>VLOOKUP(A51,All!A:A,1,FALSE)</f>
        <v>Bethany (Okaw Valley)</v>
      </c>
    </row>
    <row r="52" spans="1:9" ht="15.75" thickBot="1" x14ac:dyDescent="0.3">
      <c r="A52" s="20" t="s">
        <v>69</v>
      </c>
      <c r="B52" s="7">
        <v>202</v>
      </c>
      <c r="C52" s="6" t="s">
        <v>9</v>
      </c>
      <c r="D52" s="6" t="s">
        <v>9</v>
      </c>
      <c r="E52" s="6"/>
      <c r="F52" s="6"/>
      <c r="G52" s="6" t="s">
        <v>9</v>
      </c>
      <c r="H52" s="21" t="s">
        <v>9</v>
      </c>
      <c r="I52" t="str">
        <f>VLOOKUP(A52,All!A:A,1,FALSE)</f>
        <v>Biggsville (West Central)</v>
      </c>
    </row>
    <row r="53" spans="1:9" ht="15.75" thickBot="1" x14ac:dyDescent="0.3">
      <c r="A53" s="25" t="s">
        <v>0</v>
      </c>
      <c r="B53" s="1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6</v>
      </c>
      <c r="H53" s="26" t="s">
        <v>7</v>
      </c>
      <c r="I53" t="str">
        <f>VLOOKUP(A53,All!A:A,1,FALSE)</f>
        <v>School</v>
      </c>
    </row>
    <row r="54" spans="1:9" ht="15.75" thickBot="1" x14ac:dyDescent="0.3">
      <c r="A54" s="18" t="s">
        <v>70</v>
      </c>
      <c r="B54" s="3">
        <v>354</v>
      </c>
      <c r="C54" s="4" t="s">
        <v>13</v>
      </c>
      <c r="D54" s="4" t="s">
        <v>13</v>
      </c>
      <c r="E54" s="4"/>
      <c r="F54" s="4"/>
      <c r="G54" s="4" t="s">
        <v>9</v>
      </c>
      <c r="H54" s="19" t="s">
        <v>9</v>
      </c>
      <c r="I54" t="str">
        <f>VLOOKUP(A54,All!A:A,1,FALSE)</f>
        <v>Bismarck (B.-Henning-Rossville-Alvin)</v>
      </c>
    </row>
    <row r="55" spans="1:9" ht="15.75" thickBot="1" x14ac:dyDescent="0.3">
      <c r="A55" s="20" t="s">
        <v>71</v>
      </c>
      <c r="B55" s="7" t="s">
        <v>72</v>
      </c>
      <c r="C55" s="10" t="s">
        <v>13</v>
      </c>
      <c r="D55" s="10" t="s">
        <v>13</v>
      </c>
      <c r="E55" s="10" t="s">
        <v>9</v>
      </c>
      <c r="F55" s="10" t="s">
        <v>9</v>
      </c>
      <c r="G55" s="10" t="s">
        <v>13</v>
      </c>
      <c r="H55" s="24" t="s">
        <v>9</v>
      </c>
      <c r="I55" t="str">
        <f>VLOOKUP(A55,All!A:A,1,FALSE)</f>
        <v>Bloomington (Central Catholic)</v>
      </c>
    </row>
    <row r="56" spans="1:9" ht="15.75" thickBot="1" x14ac:dyDescent="0.3">
      <c r="A56" s="18" t="s">
        <v>73</v>
      </c>
      <c r="B56" s="3" t="s">
        <v>74</v>
      </c>
      <c r="C56" s="9" t="s">
        <v>13</v>
      </c>
      <c r="D56" s="4"/>
      <c r="E56" s="9" t="s">
        <v>9</v>
      </c>
      <c r="F56" s="10" t="s">
        <v>9</v>
      </c>
      <c r="G56" s="9" t="s">
        <v>9</v>
      </c>
      <c r="H56" s="22" t="s">
        <v>9</v>
      </c>
      <c r="I56" t="str">
        <f>VLOOKUP(A56,All!A:A,1,FALSE)</f>
        <v>Bloomington (Cornerstone Christian Academy)</v>
      </c>
    </row>
    <row r="57" spans="1:9" ht="15.75" thickBot="1" x14ac:dyDescent="0.3">
      <c r="A57" s="20" t="s">
        <v>75</v>
      </c>
      <c r="B57" s="5">
        <v>1280</v>
      </c>
      <c r="C57" s="6" t="s">
        <v>12</v>
      </c>
      <c r="D57" s="6" t="s">
        <v>12</v>
      </c>
      <c r="E57" s="6" t="s">
        <v>13</v>
      </c>
      <c r="F57" s="6" t="s">
        <v>9</v>
      </c>
      <c r="G57" s="6" t="s">
        <v>12</v>
      </c>
      <c r="H57" s="21" t="s">
        <v>12</v>
      </c>
      <c r="I57" t="str">
        <f>VLOOKUP(A57,All!A:A,1,FALSE)</f>
        <v>Bloomington (H.S.)</v>
      </c>
    </row>
    <row r="58" spans="1:9" ht="15.75" thickBot="1" x14ac:dyDescent="0.3">
      <c r="A58" s="18" t="s">
        <v>76</v>
      </c>
      <c r="B58" s="8">
        <v>1770</v>
      </c>
      <c r="C58" s="4" t="s">
        <v>11</v>
      </c>
      <c r="D58" s="4" t="s">
        <v>11</v>
      </c>
      <c r="E58" s="4" t="s">
        <v>13</v>
      </c>
      <c r="F58" s="4" t="s">
        <v>13</v>
      </c>
      <c r="G58" s="4" t="s">
        <v>12</v>
      </c>
      <c r="H58" s="19" t="s">
        <v>12</v>
      </c>
      <c r="I58" t="str">
        <f>VLOOKUP(A58,All!A:A,1,FALSE)</f>
        <v>Blue Island (Eisenhower)</v>
      </c>
    </row>
    <row r="59" spans="1:9" ht="15.75" thickBot="1" x14ac:dyDescent="0.3">
      <c r="A59" s="20" t="s">
        <v>77</v>
      </c>
      <c r="B59" s="7">
        <v>51</v>
      </c>
      <c r="C59" s="9" t="s">
        <v>9</v>
      </c>
      <c r="D59" s="6"/>
      <c r="E59" s="6"/>
      <c r="F59" s="6"/>
      <c r="G59" s="6"/>
      <c r="H59" s="21"/>
      <c r="I59" t="str">
        <f>VLOOKUP(A59,All!A:A,1,FALSE)</f>
        <v>Bluffs</v>
      </c>
    </row>
    <row r="60" spans="1:9" ht="15.75" thickBot="1" x14ac:dyDescent="0.3">
      <c r="A60" s="18" t="s">
        <v>78</v>
      </c>
      <c r="B60" s="3">
        <v>132</v>
      </c>
      <c r="C60" s="4" t="s">
        <v>9</v>
      </c>
      <c r="D60" s="4" t="s">
        <v>9</v>
      </c>
      <c r="E60" s="4"/>
      <c r="F60" s="4"/>
      <c r="G60" s="9" t="s">
        <v>9</v>
      </c>
      <c r="H60" s="22" t="s">
        <v>9</v>
      </c>
      <c r="I60" t="str">
        <f>VLOOKUP(A60,All!A:A,1,FALSE)</f>
        <v>Bluford (Webber)</v>
      </c>
    </row>
    <row r="61" spans="1:9" ht="15.75" thickBot="1" x14ac:dyDescent="0.3">
      <c r="A61" s="20" t="s">
        <v>79</v>
      </c>
      <c r="B61" s="5">
        <v>3244</v>
      </c>
      <c r="C61" s="6" t="s">
        <v>11</v>
      </c>
      <c r="D61" s="6" t="s">
        <v>11</v>
      </c>
      <c r="E61" s="6" t="s">
        <v>12</v>
      </c>
      <c r="F61" s="6" t="s">
        <v>13</v>
      </c>
      <c r="G61" s="6" t="s">
        <v>12</v>
      </c>
      <c r="H61" s="21" t="s">
        <v>12</v>
      </c>
      <c r="I61" t="str">
        <f>VLOOKUP(A61,All!A:A,1,FALSE)</f>
        <v>Bolingbrook</v>
      </c>
    </row>
    <row r="62" spans="1:9" ht="15.75" thickBot="1" x14ac:dyDescent="0.3">
      <c r="A62" s="18" t="s">
        <v>80</v>
      </c>
      <c r="B62" s="8">
        <v>1817</v>
      </c>
      <c r="C62" s="4" t="s">
        <v>11</v>
      </c>
      <c r="D62" s="4" t="s">
        <v>11</v>
      </c>
      <c r="E62" s="4" t="s">
        <v>12</v>
      </c>
      <c r="F62" s="4" t="s">
        <v>13</v>
      </c>
      <c r="G62" s="4" t="s">
        <v>12</v>
      </c>
      <c r="H62" s="19" t="s">
        <v>12</v>
      </c>
      <c r="I62" t="str">
        <f>VLOOKUP(A62,All!A:A,1,FALSE)</f>
        <v>Bradley (B.-Bourbonnais)</v>
      </c>
    </row>
    <row r="63" spans="1:9" ht="15.75" thickBot="1" x14ac:dyDescent="0.3">
      <c r="A63" s="20" t="s">
        <v>81</v>
      </c>
      <c r="B63" s="7">
        <v>375</v>
      </c>
      <c r="C63" s="6" t="s">
        <v>13</v>
      </c>
      <c r="D63" s="6" t="s">
        <v>13</v>
      </c>
      <c r="E63" s="9" t="s">
        <v>9</v>
      </c>
      <c r="F63" s="6"/>
      <c r="G63" s="6" t="s">
        <v>9</v>
      </c>
      <c r="H63" s="21" t="s">
        <v>9</v>
      </c>
      <c r="I63" t="str">
        <f>VLOOKUP(A63,All!A:A,1,FALSE)</f>
        <v>Braidwood (Reed-Custer)</v>
      </c>
    </row>
    <row r="64" spans="1:9" ht="15.75" thickBot="1" x14ac:dyDescent="0.3">
      <c r="A64" s="18" t="s">
        <v>82</v>
      </c>
      <c r="B64" s="3">
        <v>628</v>
      </c>
      <c r="C64" s="4" t="s">
        <v>13</v>
      </c>
      <c r="D64" s="4" t="s">
        <v>13</v>
      </c>
      <c r="E64" s="4" t="s">
        <v>9</v>
      </c>
      <c r="F64" s="4"/>
      <c r="G64" s="4" t="s">
        <v>13</v>
      </c>
      <c r="H64" s="19" t="s">
        <v>13</v>
      </c>
      <c r="I64" t="str">
        <f>VLOOKUP(A64,All!A:A,1,FALSE)</f>
        <v>Breese (Central)</v>
      </c>
    </row>
    <row r="65" spans="1:9" ht="15.75" thickBot="1" x14ac:dyDescent="0.3">
      <c r="A65" s="20" t="s">
        <v>83</v>
      </c>
      <c r="B65" s="7" t="s">
        <v>84</v>
      </c>
      <c r="C65" s="10" t="s">
        <v>13</v>
      </c>
      <c r="D65" s="10" t="s">
        <v>13</v>
      </c>
      <c r="E65" s="10" t="s">
        <v>9</v>
      </c>
      <c r="F65" s="6"/>
      <c r="G65" s="11" t="s">
        <v>9</v>
      </c>
      <c r="H65" s="24" t="s">
        <v>9</v>
      </c>
      <c r="I65" t="str">
        <f>VLOOKUP(A65,All!A:A,1,FALSE)</f>
        <v>Breese (Mater Dei)</v>
      </c>
    </row>
    <row r="66" spans="1:9" ht="15.75" thickBot="1" x14ac:dyDescent="0.3">
      <c r="A66" s="18" t="s">
        <v>85</v>
      </c>
      <c r="B66" s="3">
        <v>242</v>
      </c>
      <c r="C66" s="4" t="s">
        <v>9</v>
      </c>
      <c r="D66" s="4" t="s">
        <v>9</v>
      </c>
      <c r="E66" s="4"/>
      <c r="F66" s="4"/>
      <c r="G66" s="4" t="s">
        <v>9</v>
      </c>
      <c r="H66" s="19" t="s">
        <v>9</v>
      </c>
      <c r="I66" t="str">
        <f>VLOOKUP(A66,All!A:A,1,FALSE)</f>
        <v>Bridgeport (Red Hill)</v>
      </c>
    </row>
    <row r="67" spans="1:9" ht="15.75" thickBot="1" x14ac:dyDescent="0.3">
      <c r="A67" s="20" t="s">
        <v>86</v>
      </c>
      <c r="B67" s="7">
        <v>184</v>
      </c>
      <c r="C67" s="9" t="s">
        <v>13</v>
      </c>
      <c r="D67" s="9" t="s">
        <v>13</v>
      </c>
      <c r="E67" s="6"/>
      <c r="F67" s="6"/>
      <c r="G67" s="6"/>
      <c r="H67" s="21"/>
      <c r="I67" t="str">
        <f>VLOOKUP(A67,All!A:A,1,FALSE)</f>
        <v>Brimfield</v>
      </c>
    </row>
    <row r="68" spans="1:9" ht="15.75" thickBot="1" x14ac:dyDescent="0.3">
      <c r="A68" s="18" t="s">
        <v>87</v>
      </c>
      <c r="B68" s="3">
        <v>120</v>
      </c>
      <c r="C68" s="4" t="s">
        <v>9</v>
      </c>
      <c r="D68" s="9" t="s">
        <v>9</v>
      </c>
      <c r="E68" s="4"/>
      <c r="F68" s="4"/>
      <c r="G68" s="4" t="s">
        <v>9</v>
      </c>
      <c r="H68" s="19" t="s">
        <v>9</v>
      </c>
      <c r="I68" t="str">
        <f>VLOOKUP(A68,All!A:A,1,FALSE)</f>
        <v>Broadlands (Heritage)</v>
      </c>
    </row>
    <row r="69" spans="1:9" ht="15.75" thickBot="1" x14ac:dyDescent="0.3">
      <c r="A69" s="20" t="s">
        <v>88</v>
      </c>
      <c r="B69" s="7">
        <v>94</v>
      </c>
      <c r="C69" s="9" t="s">
        <v>9</v>
      </c>
      <c r="D69" s="6"/>
      <c r="E69" s="6"/>
      <c r="F69" s="6"/>
      <c r="G69" s="9" t="s">
        <v>9</v>
      </c>
      <c r="H69" s="22" t="s">
        <v>9</v>
      </c>
      <c r="I69" t="str">
        <f>VLOOKUP(A69,All!A:A,1,FALSE)</f>
        <v>Brownstown</v>
      </c>
    </row>
    <row r="70" spans="1:9" ht="15.75" thickBot="1" x14ac:dyDescent="0.3">
      <c r="A70" s="18" t="s">
        <v>89</v>
      </c>
      <c r="B70" s="3" t="s">
        <v>90</v>
      </c>
      <c r="C70" s="4"/>
      <c r="D70" s="4"/>
      <c r="E70" s="4"/>
      <c r="F70" s="4"/>
      <c r="G70" s="10" t="s">
        <v>9</v>
      </c>
      <c r="H70" s="23" t="s">
        <v>9</v>
      </c>
      <c r="I70" t="str">
        <f>VLOOKUP(A70,All!A:A,1,FALSE)</f>
        <v>Buckley (Christ Lutheran)</v>
      </c>
    </row>
    <row r="71" spans="1:9" ht="15.75" thickBot="1" x14ac:dyDescent="0.3">
      <c r="A71" s="20" t="s">
        <v>91</v>
      </c>
      <c r="B71" s="7">
        <v>149</v>
      </c>
      <c r="C71" s="9" t="s">
        <v>13</v>
      </c>
      <c r="D71" s="9" t="s">
        <v>13</v>
      </c>
      <c r="E71" s="6"/>
      <c r="F71" s="6"/>
      <c r="G71" s="6"/>
      <c r="H71" s="21"/>
      <c r="I71" t="str">
        <f>VLOOKUP(A71,All!A:A,1,FALSE)</f>
        <v>Buffalo (Tri-City)</v>
      </c>
    </row>
    <row r="72" spans="1:9" ht="15.75" thickBot="1" x14ac:dyDescent="0.3">
      <c r="A72" s="18" t="s">
        <v>92</v>
      </c>
      <c r="B72" s="8">
        <v>1955</v>
      </c>
      <c r="C72" s="4" t="s">
        <v>11</v>
      </c>
      <c r="D72" s="4" t="s">
        <v>11</v>
      </c>
      <c r="E72" s="4" t="s">
        <v>12</v>
      </c>
      <c r="F72" s="4" t="s">
        <v>13</v>
      </c>
      <c r="G72" s="4" t="s">
        <v>12</v>
      </c>
      <c r="H72" s="19" t="s">
        <v>12</v>
      </c>
      <c r="I72" t="str">
        <f>VLOOKUP(A72,All!A:A,1,FALSE)</f>
        <v>Buffalo Grove</v>
      </c>
    </row>
    <row r="73" spans="1:9" ht="15.75" thickBot="1" x14ac:dyDescent="0.3">
      <c r="A73" s="20" t="s">
        <v>93</v>
      </c>
      <c r="B73" s="7">
        <v>164</v>
      </c>
      <c r="C73" s="6" t="s">
        <v>9</v>
      </c>
      <c r="D73" s="6"/>
      <c r="E73" s="6"/>
      <c r="F73" s="9" t="s">
        <v>9</v>
      </c>
      <c r="G73" s="6" t="s">
        <v>9</v>
      </c>
      <c r="H73" s="21" t="s">
        <v>9</v>
      </c>
      <c r="I73" t="str">
        <f>VLOOKUP(A73,All!A:A,1,FALSE)</f>
        <v>Bunker Hill</v>
      </c>
    </row>
    <row r="74" spans="1:9" ht="15.75" thickBot="1" x14ac:dyDescent="0.3">
      <c r="A74" s="18" t="s">
        <v>94</v>
      </c>
      <c r="B74" s="8">
        <v>1865</v>
      </c>
      <c r="C74" s="4" t="s">
        <v>11</v>
      </c>
      <c r="D74" s="4" t="s">
        <v>11</v>
      </c>
      <c r="E74" s="4" t="s">
        <v>12</v>
      </c>
      <c r="F74" s="4" t="s">
        <v>13</v>
      </c>
      <c r="G74" s="4" t="s">
        <v>12</v>
      </c>
      <c r="H74" s="19" t="s">
        <v>12</v>
      </c>
      <c r="I74" t="str">
        <f>VLOOKUP(A74,All!A:A,1,FALSE)</f>
        <v>Burbank (Reavis)</v>
      </c>
    </row>
    <row r="75" spans="1:9" ht="15.75" thickBot="1" x14ac:dyDescent="0.3">
      <c r="A75" s="20" t="s">
        <v>95</v>
      </c>
      <c r="B75" s="7" t="s">
        <v>96</v>
      </c>
      <c r="C75" s="10" t="s">
        <v>11</v>
      </c>
      <c r="D75" s="10" t="s">
        <v>11</v>
      </c>
      <c r="E75" s="10" t="s">
        <v>12</v>
      </c>
      <c r="F75" s="11" t="s">
        <v>9</v>
      </c>
      <c r="G75" s="10" t="s">
        <v>12</v>
      </c>
      <c r="H75" s="24" t="s">
        <v>13</v>
      </c>
      <c r="I75" t="str">
        <f>VLOOKUP(A75,All!A:A,1,FALSE)</f>
        <v>Burbank (St. Laurence)</v>
      </c>
    </row>
    <row r="76" spans="1:9" ht="15.75" thickBot="1" x14ac:dyDescent="0.3">
      <c r="A76" s="18" t="s">
        <v>97</v>
      </c>
      <c r="B76" s="8">
        <v>1556</v>
      </c>
      <c r="C76" s="4" t="s">
        <v>12</v>
      </c>
      <c r="D76" s="4" t="s">
        <v>12</v>
      </c>
      <c r="E76" s="4" t="s">
        <v>13</v>
      </c>
      <c r="F76" s="4"/>
      <c r="G76" s="4" t="s">
        <v>12</v>
      </c>
      <c r="H76" s="19" t="s">
        <v>12</v>
      </c>
      <c r="I76" t="str">
        <f>VLOOKUP(A76,All!A:A,1,FALSE)</f>
        <v>Burlington (Central)</v>
      </c>
    </row>
    <row r="77" spans="1:9" ht="15.75" thickBot="1" x14ac:dyDescent="0.3">
      <c r="A77" s="20" t="s">
        <v>98</v>
      </c>
      <c r="B77" s="7">
        <v>168</v>
      </c>
      <c r="C77" s="6" t="s">
        <v>9</v>
      </c>
      <c r="D77" s="6" t="s">
        <v>9</v>
      </c>
      <c r="E77" s="6"/>
      <c r="F77" s="6"/>
      <c r="G77" s="6" t="s">
        <v>9</v>
      </c>
      <c r="H77" s="21" t="s">
        <v>9</v>
      </c>
      <c r="I77" t="str">
        <f>VLOOKUP(A77,All!A:A,1,FALSE)</f>
        <v>Bushnell (B.-Prairie City)</v>
      </c>
    </row>
    <row r="78" spans="1:9" ht="15.75" thickBot="1" x14ac:dyDescent="0.3">
      <c r="A78" s="18" t="s">
        <v>99</v>
      </c>
      <c r="B78" s="3">
        <v>477</v>
      </c>
      <c r="C78" s="4" t="s">
        <v>13</v>
      </c>
      <c r="D78" s="4" t="s">
        <v>13</v>
      </c>
      <c r="E78" s="4" t="s">
        <v>9</v>
      </c>
      <c r="F78" s="4"/>
      <c r="G78" s="4" t="s">
        <v>13</v>
      </c>
      <c r="H78" s="19" t="s">
        <v>13</v>
      </c>
      <c r="I78" t="str">
        <f>VLOOKUP(A78,All!A:A,1,FALSE)</f>
        <v>Byron</v>
      </c>
    </row>
    <row r="79" spans="1:9" ht="15.75" thickBot="1" x14ac:dyDescent="0.3">
      <c r="A79" s="25" t="s">
        <v>0</v>
      </c>
      <c r="B79" s="1" t="s">
        <v>1</v>
      </c>
      <c r="C79" s="2" t="s">
        <v>2</v>
      </c>
      <c r="D79" s="2" t="s">
        <v>3</v>
      </c>
      <c r="E79" s="2" t="s">
        <v>4</v>
      </c>
      <c r="F79" s="2" t="s">
        <v>5</v>
      </c>
      <c r="G79" s="2" t="s">
        <v>6</v>
      </c>
      <c r="H79" s="26" t="s">
        <v>7</v>
      </c>
      <c r="I79" t="str">
        <f>VLOOKUP(A79,All!A:A,1,FALSE)</f>
        <v>School</v>
      </c>
    </row>
    <row r="80" spans="1:9" ht="15.75" thickBot="1" x14ac:dyDescent="0.3">
      <c r="A80" s="20" t="s">
        <v>100</v>
      </c>
      <c r="B80" s="7">
        <v>827</v>
      </c>
      <c r="C80" s="6" t="s">
        <v>12</v>
      </c>
      <c r="D80" s="6" t="s">
        <v>12</v>
      </c>
      <c r="E80" s="6"/>
      <c r="F80" s="6"/>
      <c r="G80" s="6" t="s">
        <v>13</v>
      </c>
      <c r="H80" s="21" t="s">
        <v>13</v>
      </c>
      <c r="I80" t="str">
        <f>VLOOKUP(A80,All!A:A,1,FALSE)</f>
        <v>Cahokia (H.S.)</v>
      </c>
    </row>
    <row r="81" spans="1:9" ht="15.75" thickBot="1" x14ac:dyDescent="0.3">
      <c r="A81" s="18" t="s">
        <v>101</v>
      </c>
      <c r="B81" s="3">
        <v>77</v>
      </c>
      <c r="C81" s="4"/>
      <c r="D81" s="4"/>
      <c r="E81" s="4"/>
      <c r="F81" s="4"/>
      <c r="G81" s="4" t="s">
        <v>9</v>
      </c>
      <c r="H81" s="19" t="s">
        <v>9</v>
      </c>
      <c r="I81" t="str">
        <f>VLOOKUP(A81,All!A:A,1,FALSE)</f>
        <v>Cairo</v>
      </c>
    </row>
    <row r="82" spans="1:9" ht="15.75" thickBot="1" x14ac:dyDescent="0.3">
      <c r="A82" s="20" t="s">
        <v>102</v>
      </c>
      <c r="B82" s="5">
        <v>1285</v>
      </c>
      <c r="C82" s="6" t="s">
        <v>12</v>
      </c>
      <c r="D82" s="6" t="s">
        <v>12</v>
      </c>
      <c r="E82" s="9" t="s">
        <v>12</v>
      </c>
      <c r="F82" s="6"/>
      <c r="G82" s="6" t="s">
        <v>12</v>
      </c>
      <c r="H82" s="21" t="s">
        <v>12</v>
      </c>
      <c r="I82" t="str">
        <f>VLOOKUP(A82,All!A:A,1,FALSE)</f>
        <v>Calumet City (Thornton Fractional North)</v>
      </c>
    </row>
    <row r="83" spans="1:9" ht="15.75" thickBot="1" x14ac:dyDescent="0.3">
      <c r="A83" s="18" t="s">
        <v>103</v>
      </c>
      <c r="B83" s="3">
        <v>118</v>
      </c>
      <c r="C83" s="4"/>
      <c r="D83" s="4"/>
      <c r="E83" s="4"/>
      <c r="F83" s="4"/>
      <c r="G83" s="9" t="s">
        <v>9</v>
      </c>
      <c r="H83" s="22" t="s">
        <v>9</v>
      </c>
      <c r="I83" t="str">
        <f>VLOOKUP(A83,All!A:A,1,FALSE)</f>
        <v>Cambridge</v>
      </c>
    </row>
    <row r="84" spans="1:9" ht="15.75" thickBot="1" x14ac:dyDescent="0.3">
      <c r="A84" s="20" t="s">
        <v>104</v>
      </c>
      <c r="B84" s="7">
        <v>220</v>
      </c>
      <c r="C84" s="6" t="s">
        <v>9</v>
      </c>
      <c r="D84" s="6" t="s">
        <v>9</v>
      </c>
      <c r="E84" s="6"/>
      <c r="F84" s="6"/>
      <c r="G84" s="6" t="s">
        <v>9</v>
      </c>
      <c r="H84" s="21" t="s">
        <v>9</v>
      </c>
      <c r="I84" t="str">
        <f>VLOOKUP(A84,All!A:A,1,FALSE)</f>
        <v>Camp Point (Central)</v>
      </c>
    </row>
    <row r="85" spans="1:9" ht="15.75" thickBot="1" x14ac:dyDescent="0.3">
      <c r="A85" s="18" t="s">
        <v>105</v>
      </c>
      <c r="B85" s="3">
        <v>217</v>
      </c>
      <c r="C85" s="4" t="s">
        <v>9</v>
      </c>
      <c r="D85" s="4" t="s">
        <v>9</v>
      </c>
      <c r="E85" s="4"/>
      <c r="F85" s="4"/>
      <c r="G85" s="4"/>
      <c r="H85" s="19"/>
      <c r="I85" t="str">
        <f>VLOOKUP(A85,All!A:A,1,FALSE)</f>
        <v>Campbell Hill (Trico)</v>
      </c>
    </row>
    <row r="86" spans="1:9" ht="15.75" thickBot="1" x14ac:dyDescent="0.3">
      <c r="A86" s="20" t="s">
        <v>106</v>
      </c>
      <c r="B86" s="7">
        <v>585</v>
      </c>
      <c r="C86" s="6" t="s">
        <v>13</v>
      </c>
      <c r="D86" s="6" t="s">
        <v>13</v>
      </c>
      <c r="E86" s="6" t="s">
        <v>9</v>
      </c>
      <c r="F86" s="6"/>
      <c r="G86" s="6" t="s">
        <v>13</v>
      </c>
      <c r="H86" s="21" t="s">
        <v>13</v>
      </c>
      <c r="I86" t="str">
        <f>VLOOKUP(A86,All!A:A,1,FALSE)</f>
        <v>Canton</v>
      </c>
    </row>
    <row r="87" spans="1:9" ht="15.75" thickBot="1" x14ac:dyDescent="0.3">
      <c r="A87" s="18" t="s">
        <v>107</v>
      </c>
      <c r="B87" s="3">
        <v>978</v>
      </c>
      <c r="C87" s="4" t="s">
        <v>12</v>
      </c>
      <c r="D87" s="4" t="s">
        <v>12</v>
      </c>
      <c r="E87" s="4" t="s">
        <v>13</v>
      </c>
      <c r="F87" s="4" t="s">
        <v>9</v>
      </c>
      <c r="G87" s="4" t="s">
        <v>13</v>
      </c>
      <c r="H87" s="19" t="s">
        <v>13</v>
      </c>
      <c r="I87" t="str">
        <f>VLOOKUP(A87,All!A:A,1,FALSE)</f>
        <v>Carbondale (H.S.)</v>
      </c>
    </row>
    <row r="88" spans="1:9" ht="15.75" thickBot="1" x14ac:dyDescent="0.3">
      <c r="A88" s="20" t="s">
        <v>108</v>
      </c>
      <c r="B88" s="7">
        <v>351</v>
      </c>
      <c r="C88" s="6" t="s">
        <v>13</v>
      </c>
      <c r="D88" s="6" t="s">
        <v>13</v>
      </c>
      <c r="E88" s="9" t="s">
        <v>9</v>
      </c>
      <c r="F88" s="6"/>
      <c r="G88" s="6" t="s">
        <v>9</v>
      </c>
      <c r="H88" s="21" t="s">
        <v>9</v>
      </c>
      <c r="I88" t="str">
        <f>VLOOKUP(A88,All!A:A,1,FALSE)</f>
        <v>Carlinville</v>
      </c>
    </row>
    <row r="89" spans="1:9" ht="15.75" thickBot="1" x14ac:dyDescent="0.3">
      <c r="A89" s="18" t="s">
        <v>109</v>
      </c>
      <c r="B89" s="3">
        <v>281</v>
      </c>
      <c r="C89" s="4" t="s">
        <v>9</v>
      </c>
      <c r="D89" s="4" t="s">
        <v>9</v>
      </c>
      <c r="E89" s="4"/>
      <c r="F89" s="4"/>
      <c r="G89" s="4" t="s">
        <v>9</v>
      </c>
      <c r="H89" s="19" t="s">
        <v>9</v>
      </c>
      <c r="I89" t="str">
        <f>VLOOKUP(A89,All!A:A,1,FALSE)</f>
        <v>Carlyle</v>
      </c>
    </row>
    <row r="90" spans="1:9" ht="15.75" thickBot="1" x14ac:dyDescent="0.3">
      <c r="A90" s="20" t="s">
        <v>110</v>
      </c>
      <c r="B90" s="7">
        <v>403</v>
      </c>
      <c r="C90" s="6" t="s">
        <v>13</v>
      </c>
      <c r="D90" s="6" t="s">
        <v>13</v>
      </c>
      <c r="E90" s="6"/>
      <c r="F90" s="6" t="s">
        <v>9</v>
      </c>
      <c r="G90" s="6" t="s">
        <v>9</v>
      </c>
      <c r="H90" s="21" t="s">
        <v>9</v>
      </c>
      <c r="I90" t="str">
        <f>VLOOKUP(A90,All!A:A,1,FALSE)</f>
        <v>Carmi (C.-White County)</v>
      </c>
    </row>
    <row r="91" spans="1:9" ht="15.75" thickBot="1" x14ac:dyDescent="0.3">
      <c r="A91" s="18" t="s">
        <v>111</v>
      </c>
      <c r="B91" s="8">
        <v>2043</v>
      </c>
      <c r="C91" s="4" t="s">
        <v>11</v>
      </c>
      <c r="D91" s="4" t="s">
        <v>11</v>
      </c>
      <c r="E91" s="4" t="s">
        <v>12</v>
      </c>
      <c r="F91" s="4" t="s">
        <v>13</v>
      </c>
      <c r="G91" s="4" t="s">
        <v>12</v>
      </c>
      <c r="H91" s="19" t="s">
        <v>12</v>
      </c>
      <c r="I91" t="str">
        <f>VLOOKUP(A91,All!A:A,1,FALSE)</f>
        <v>Carol Stream (Glenbard North)</v>
      </c>
    </row>
    <row r="92" spans="1:9" ht="15.75" thickBot="1" x14ac:dyDescent="0.3">
      <c r="A92" s="20" t="s">
        <v>112</v>
      </c>
      <c r="B92" s="5">
        <v>2405</v>
      </c>
      <c r="C92" s="6" t="s">
        <v>11</v>
      </c>
      <c r="D92" s="6" t="s">
        <v>11</v>
      </c>
      <c r="E92" s="6" t="s">
        <v>12</v>
      </c>
      <c r="F92" s="6" t="s">
        <v>13</v>
      </c>
      <c r="G92" s="6" t="s">
        <v>12</v>
      </c>
      <c r="H92" s="21" t="s">
        <v>12</v>
      </c>
      <c r="I92" t="str">
        <f>VLOOKUP(A92,All!A:A,1,FALSE)</f>
        <v>Carpentersville (Dundee-Crown)</v>
      </c>
    </row>
    <row r="93" spans="1:9" ht="15.75" thickBot="1" x14ac:dyDescent="0.3">
      <c r="A93" s="18" t="s">
        <v>113</v>
      </c>
      <c r="B93" s="3">
        <v>90</v>
      </c>
      <c r="C93" s="4" t="s">
        <v>9</v>
      </c>
      <c r="D93" s="4" t="s">
        <v>9</v>
      </c>
      <c r="E93" s="4"/>
      <c r="F93" s="4"/>
      <c r="G93" s="4"/>
      <c r="H93" s="19"/>
      <c r="I93" t="str">
        <f>VLOOKUP(A93,All!A:A,1,FALSE)</f>
        <v>Carrier Mills (C.M.-Stonefort)</v>
      </c>
    </row>
    <row r="94" spans="1:9" ht="15.75" thickBot="1" x14ac:dyDescent="0.3">
      <c r="A94" s="20" t="s">
        <v>114</v>
      </c>
      <c r="B94" s="7">
        <v>168</v>
      </c>
      <c r="C94" s="6" t="s">
        <v>9</v>
      </c>
      <c r="D94" s="6" t="s">
        <v>9</v>
      </c>
      <c r="E94" s="6"/>
      <c r="F94" s="6"/>
      <c r="G94" s="6" t="s">
        <v>9</v>
      </c>
      <c r="H94" s="21" t="s">
        <v>9</v>
      </c>
      <c r="I94" t="str">
        <f>VLOOKUP(A94,All!A:A,1,FALSE)</f>
        <v>Carrollton</v>
      </c>
    </row>
    <row r="95" spans="1:9" ht="15.75" thickBot="1" x14ac:dyDescent="0.3">
      <c r="A95" s="18" t="s">
        <v>115</v>
      </c>
      <c r="B95" s="3">
        <v>652</v>
      </c>
      <c r="C95" s="4" t="s">
        <v>13</v>
      </c>
      <c r="D95" s="4" t="s">
        <v>13</v>
      </c>
      <c r="E95" s="9" t="s">
        <v>13</v>
      </c>
      <c r="F95" s="4" t="s">
        <v>9</v>
      </c>
      <c r="G95" s="4" t="s">
        <v>13</v>
      </c>
      <c r="H95" s="19" t="s">
        <v>13</v>
      </c>
      <c r="I95" t="str">
        <f>VLOOKUP(A95,All!A:A,1,FALSE)</f>
        <v>Carterville</v>
      </c>
    </row>
    <row r="96" spans="1:9" ht="15.75" thickBot="1" x14ac:dyDescent="0.3">
      <c r="A96" s="20" t="s">
        <v>116</v>
      </c>
      <c r="B96" s="7">
        <v>345</v>
      </c>
      <c r="C96" s="6" t="s">
        <v>13</v>
      </c>
      <c r="D96" s="6" t="s">
        <v>13</v>
      </c>
      <c r="E96" s="6"/>
      <c r="F96" s="6"/>
      <c r="G96" s="6" t="s">
        <v>9</v>
      </c>
      <c r="H96" s="21" t="s">
        <v>9</v>
      </c>
      <c r="I96" t="str">
        <f>VLOOKUP(A96,All!A:A,1,FALSE)</f>
        <v>Carthage (Illini West)</v>
      </c>
    </row>
    <row r="97" spans="1:9" ht="15.75" thickBot="1" x14ac:dyDescent="0.3">
      <c r="A97" s="18" t="s">
        <v>117</v>
      </c>
      <c r="B97" s="8">
        <v>1310</v>
      </c>
      <c r="C97" s="4" t="s">
        <v>12</v>
      </c>
      <c r="D97" s="4" t="s">
        <v>12</v>
      </c>
      <c r="E97" s="4" t="s">
        <v>13</v>
      </c>
      <c r="F97" s="4" t="s">
        <v>9</v>
      </c>
      <c r="G97" s="4" t="s">
        <v>12</v>
      </c>
      <c r="H97" s="19" t="s">
        <v>12</v>
      </c>
      <c r="I97" t="str">
        <f>VLOOKUP(A97,All!A:A,1,FALSE)</f>
        <v>Cary (C.-Grove)</v>
      </c>
    </row>
    <row r="98" spans="1:9" ht="15.75" thickBot="1" x14ac:dyDescent="0.3">
      <c r="A98" s="20" t="s">
        <v>118</v>
      </c>
      <c r="B98" s="7">
        <v>235</v>
      </c>
      <c r="C98" s="6" t="s">
        <v>9</v>
      </c>
      <c r="D98" s="6" t="s">
        <v>9</v>
      </c>
      <c r="E98" s="6"/>
      <c r="F98" s="6" t="s">
        <v>9</v>
      </c>
      <c r="G98" s="6" t="s">
        <v>9</v>
      </c>
      <c r="H98" s="21" t="s">
        <v>9</v>
      </c>
      <c r="I98" t="str">
        <f>VLOOKUP(A98,All!A:A,1,FALSE)</f>
        <v>Casey (C.-Westfield)</v>
      </c>
    </row>
    <row r="99" spans="1:9" ht="15.75" thickBot="1" x14ac:dyDescent="0.3">
      <c r="A99" s="18" t="s">
        <v>119</v>
      </c>
      <c r="B99" s="3">
        <v>243</v>
      </c>
      <c r="C99" s="4" t="s">
        <v>9</v>
      </c>
      <c r="D99" s="4" t="s">
        <v>9</v>
      </c>
      <c r="E99" s="4"/>
      <c r="F99" s="4"/>
      <c r="G99" s="4" t="s">
        <v>9</v>
      </c>
      <c r="H99" s="19" t="s">
        <v>9</v>
      </c>
      <c r="I99" t="str">
        <f>VLOOKUP(A99,All!A:A,1,FALSE)</f>
        <v>Catlin (Salt Fork)</v>
      </c>
    </row>
    <row r="100" spans="1:9" ht="15.75" thickBot="1" x14ac:dyDescent="0.3">
      <c r="A100" s="20" t="s">
        <v>120</v>
      </c>
      <c r="B100" s="7" t="s">
        <v>121</v>
      </c>
      <c r="C100" s="10" t="s">
        <v>9</v>
      </c>
      <c r="D100" s="10" t="s">
        <v>9</v>
      </c>
      <c r="E100" s="6"/>
      <c r="F100" s="6"/>
      <c r="G100" s="10" t="s">
        <v>9</v>
      </c>
      <c r="H100" s="21"/>
      <c r="I100" t="str">
        <f>VLOOKUP(A100,All!A:A,1,FALSE)</f>
        <v>Centralia (Christ Our Rock Lutheran)</v>
      </c>
    </row>
    <row r="101" spans="1:9" ht="15.75" thickBot="1" x14ac:dyDescent="0.3">
      <c r="A101" s="18" t="s">
        <v>122</v>
      </c>
      <c r="B101" s="3">
        <v>868</v>
      </c>
      <c r="C101" s="4" t="s">
        <v>12</v>
      </c>
      <c r="D101" s="4" t="s">
        <v>12</v>
      </c>
      <c r="E101" s="4" t="s">
        <v>13</v>
      </c>
      <c r="F101" s="4" t="s">
        <v>9</v>
      </c>
      <c r="G101" s="4" t="s">
        <v>13</v>
      </c>
      <c r="H101" s="19" t="s">
        <v>13</v>
      </c>
      <c r="I101" t="str">
        <f>VLOOKUP(A101,All!A:A,1,FALSE)</f>
        <v>Centralia (H.S.)</v>
      </c>
    </row>
    <row r="102" spans="1:9" ht="15.75" thickBot="1" x14ac:dyDescent="0.3">
      <c r="A102" s="20" t="s">
        <v>123</v>
      </c>
      <c r="B102" s="7">
        <v>114</v>
      </c>
      <c r="C102" s="9" t="s">
        <v>9</v>
      </c>
      <c r="D102" s="9" t="s">
        <v>9</v>
      </c>
      <c r="E102" s="6"/>
      <c r="F102" s="6"/>
      <c r="G102" s="9" t="s">
        <v>9</v>
      </c>
      <c r="H102" s="22" t="s">
        <v>9</v>
      </c>
      <c r="I102" t="str">
        <f>VLOOKUP(A102,All!A:A,1,FALSE)</f>
        <v>Cerro Gordo</v>
      </c>
    </row>
    <row r="103" spans="1:9" ht="15.75" thickBot="1" x14ac:dyDescent="0.3">
      <c r="A103" s="18" t="s">
        <v>124</v>
      </c>
      <c r="B103" s="8">
        <v>1389</v>
      </c>
      <c r="C103" s="4" t="s">
        <v>12</v>
      </c>
      <c r="D103" s="4" t="s">
        <v>12</v>
      </c>
      <c r="E103" s="4" t="s">
        <v>13</v>
      </c>
      <c r="F103" s="4" t="s">
        <v>9</v>
      </c>
      <c r="G103" s="4" t="s">
        <v>12</v>
      </c>
      <c r="H103" s="19" t="s">
        <v>12</v>
      </c>
      <c r="I103" t="str">
        <f>VLOOKUP(A103,All!A:A,1,FALSE)</f>
        <v>Champaign (Centennial)</v>
      </c>
    </row>
    <row r="104" spans="1:9" ht="15.75" thickBot="1" x14ac:dyDescent="0.3">
      <c r="A104" s="20" t="s">
        <v>125</v>
      </c>
      <c r="B104" s="5">
        <v>1598</v>
      </c>
      <c r="C104" s="6" t="s">
        <v>12</v>
      </c>
      <c r="D104" s="6" t="s">
        <v>12</v>
      </c>
      <c r="E104" s="6" t="s">
        <v>13</v>
      </c>
      <c r="F104" s="6" t="s">
        <v>13</v>
      </c>
      <c r="G104" s="6" t="s">
        <v>12</v>
      </c>
      <c r="H104" s="21" t="s">
        <v>12</v>
      </c>
      <c r="I104" t="str">
        <f>VLOOKUP(A104,All!A:A,1,FALSE)</f>
        <v>Champaign (Central)</v>
      </c>
    </row>
    <row r="105" spans="1:9" ht="15.75" thickBot="1" x14ac:dyDescent="0.3">
      <c r="A105" s="25" t="s">
        <v>0</v>
      </c>
      <c r="B105" s="1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6" t="s">
        <v>7</v>
      </c>
      <c r="I105" t="str">
        <f>VLOOKUP(A105,All!A:A,1,FALSE)</f>
        <v>School</v>
      </c>
    </row>
    <row r="106" spans="1:9" ht="15.75" thickBot="1" x14ac:dyDescent="0.3">
      <c r="A106" s="18" t="s">
        <v>126</v>
      </c>
      <c r="B106" s="3" t="s">
        <v>127</v>
      </c>
      <c r="C106" s="4"/>
      <c r="D106" s="4"/>
      <c r="E106" s="4"/>
      <c r="F106" s="4"/>
      <c r="G106" s="10" t="s">
        <v>9</v>
      </c>
      <c r="H106" s="23" t="s">
        <v>9</v>
      </c>
      <c r="I106" t="str">
        <f>VLOOKUP(A106,All!A:A,1,FALSE)</f>
        <v>Champaign (Judah Christian)</v>
      </c>
    </row>
    <row r="107" spans="1:9" ht="15.75" thickBot="1" x14ac:dyDescent="0.3">
      <c r="A107" s="20" t="s">
        <v>128</v>
      </c>
      <c r="B107" s="7" t="s">
        <v>129</v>
      </c>
      <c r="C107" s="10" t="s">
        <v>13</v>
      </c>
      <c r="D107" s="11" t="s">
        <v>9</v>
      </c>
      <c r="E107" s="10" t="s">
        <v>9</v>
      </c>
      <c r="F107" s="10" t="s">
        <v>9</v>
      </c>
      <c r="G107" s="10" t="s">
        <v>9</v>
      </c>
      <c r="H107" s="23" t="s">
        <v>9</v>
      </c>
      <c r="I107" t="str">
        <f>VLOOKUP(A107,All!A:A,1,FALSE)</f>
        <v>Champaign (St. Thomas More)</v>
      </c>
    </row>
    <row r="108" spans="1:9" ht="15.75" thickBot="1" x14ac:dyDescent="0.3">
      <c r="A108" s="18" t="s">
        <v>130</v>
      </c>
      <c r="B108" s="3">
        <v>761</v>
      </c>
      <c r="C108" s="4" t="s">
        <v>12</v>
      </c>
      <c r="D108" s="4" t="s">
        <v>12</v>
      </c>
      <c r="E108" s="4" t="s">
        <v>9</v>
      </c>
      <c r="F108" s="4" t="s">
        <v>9</v>
      </c>
      <c r="G108" s="4" t="s">
        <v>13</v>
      </c>
      <c r="H108" s="19" t="s">
        <v>13</v>
      </c>
      <c r="I108" t="str">
        <f>VLOOKUP(A108,All!A:A,1,FALSE)</f>
        <v>Charleston</v>
      </c>
    </row>
    <row r="109" spans="1:9" ht="15.75" thickBot="1" x14ac:dyDescent="0.3">
      <c r="A109" s="20" t="s">
        <v>131</v>
      </c>
      <c r="B109" s="5">
        <v>1435</v>
      </c>
      <c r="C109" s="6" t="s">
        <v>12</v>
      </c>
      <c r="D109" s="6" t="s">
        <v>12</v>
      </c>
      <c r="E109" s="6" t="s">
        <v>13</v>
      </c>
      <c r="F109" s="6" t="s">
        <v>9</v>
      </c>
      <c r="G109" s="6" t="s">
        <v>12</v>
      </c>
      <c r="H109" s="21" t="s">
        <v>12</v>
      </c>
      <c r="I109" t="str">
        <f>VLOOKUP(A109,All!A:A,1,FALSE)</f>
        <v>Chatham (Glenwood)</v>
      </c>
    </row>
    <row r="110" spans="1:9" ht="15.75" thickBot="1" x14ac:dyDescent="0.3">
      <c r="A110" s="18" t="s">
        <v>132</v>
      </c>
      <c r="B110" s="3">
        <v>319</v>
      </c>
      <c r="C110" s="4" t="s">
        <v>13</v>
      </c>
      <c r="D110" s="4" t="s">
        <v>13</v>
      </c>
      <c r="E110" s="4"/>
      <c r="F110" s="4"/>
      <c r="G110" s="4" t="s">
        <v>9</v>
      </c>
      <c r="H110" s="19" t="s">
        <v>9</v>
      </c>
      <c r="I110" t="str">
        <f>VLOOKUP(A110,All!A:A,1,FALSE)</f>
        <v>Chester</v>
      </c>
    </row>
    <row r="111" spans="1:9" ht="15.75" thickBot="1" x14ac:dyDescent="0.3">
      <c r="A111" s="20" t="s">
        <v>133</v>
      </c>
      <c r="B111" s="7" t="s">
        <v>134</v>
      </c>
      <c r="C111" s="10" t="s">
        <v>12</v>
      </c>
      <c r="D111" s="6"/>
      <c r="E111" s="10" t="s">
        <v>13</v>
      </c>
      <c r="F111" s="6"/>
      <c r="G111" s="10" t="s">
        <v>13</v>
      </c>
      <c r="H111" s="23" t="s">
        <v>13</v>
      </c>
      <c r="I111" t="str">
        <f>VLOOKUP(A111,All!A:A,1,FALSE)</f>
        <v>Chicago (Acero/Garcia)</v>
      </c>
    </row>
    <row r="112" spans="1:9" ht="15.75" thickBot="1" x14ac:dyDescent="0.3">
      <c r="A112" s="18" t="s">
        <v>135</v>
      </c>
      <c r="B112" s="3" t="s">
        <v>136</v>
      </c>
      <c r="C112" s="4"/>
      <c r="D112" s="4"/>
      <c r="E112" s="10" t="s">
        <v>13</v>
      </c>
      <c r="F112" s="4"/>
      <c r="G112" s="4"/>
      <c r="H112" s="19"/>
      <c r="I112" t="str">
        <f>VLOOKUP(A112,All!A:A,1,FALSE)</f>
        <v>Chicago (Acero/Soto)</v>
      </c>
    </row>
    <row r="113" spans="1:9" ht="15.75" thickBot="1" x14ac:dyDescent="0.3">
      <c r="A113" s="20" t="s">
        <v>137</v>
      </c>
      <c r="B113" s="7" t="s">
        <v>138</v>
      </c>
      <c r="C113" s="10" t="s">
        <v>12</v>
      </c>
      <c r="D113" s="6"/>
      <c r="E113" s="10" t="s">
        <v>13</v>
      </c>
      <c r="F113" s="6"/>
      <c r="G113" s="10" t="s">
        <v>12</v>
      </c>
      <c r="H113" s="23" t="s">
        <v>12</v>
      </c>
      <c r="I113" t="str">
        <f>VLOOKUP(A113,All!A:A,1,FALSE)</f>
        <v>Chicago (Agricultural Science)</v>
      </c>
    </row>
    <row r="114" spans="1:9" ht="15.75" thickBot="1" x14ac:dyDescent="0.3">
      <c r="A114" s="18" t="s">
        <v>139</v>
      </c>
      <c r="B114" s="3" t="s">
        <v>140</v>
      </c>
      <c r="C114" s="10" t="s">
        <v>9</v>
      </c>
      <c r="D114" s="4"/>
      <c r="E114" s="10" t="s">
        <v>9</v>
      </c>
      <c r="F114" s="4"/>
      <c r="G114" s="4"/>
      <c r="H114" s="19"/>
      <c r="I114" t="str">
        <f>VLOOKUP(A114,All!A:A,1,FALSE)</f>
        <v>Chicago (Air Force Academy)</v>
      </c>
    </row>
    <row r="115" spans="1:9" ht="15.75" thickBot="1" x14ac:dyDescent="0.3">
      <c r="A115" s="20" t="s">
        <v>141</v>
      </c>
      <c r="B115" s="5">
        <v>1420</v>
      </c>
      <c r="C115" s="6" t="s">
        <v>12</v>
      </c>
      <c r="D115" s="6" t="s">
        <v>12</v>
      </c>
      <c r="E115" s="6" t="s">
        <v>13</v>
      </c>
      <c r="F115" s="6"/>
      <c r="G115" s="6" t="s">
        <v>12</v>
      </c>
      <c r="H115" s="21" t="s">
        <v>12</v>
      </c>
      <c r="I115" t="str">
        <f>VLOOKUP(A115,All!A:A,1,FALSE)</f>
        <v>Chicago (Amundsen)</v>
      </c>
    </row>
    <row r="116" spans="1:9" ht="15.75" thickBot="1" x14ac:dyDescent="0.3">
      <c r="A116" s="18" t="s">
        <v>142</v>
      </c>
      <c r="B116" s="3">
        <v>145</v>
      </c>
      <c r="C116" s="4"/>
      <c r="D116" s="4"/>
      <c r="E116" s="4"/>
      <c r="F116" s="4"/>
      <c r="G116" s="4" t="s">
        <v>9</v>
      </c>
      <c r="H116" s="19"/>
      <c r="I116" t="str">
        <f>VLOOKUP(A116,All!A:A,1,FALSE)</f>
        <v>Chicago (Austin)</v>
      </c>
    </row>
    <row r="117" spans="1:9" ht="15.75" thickBot="1" x14ac:dyDescent="0.3">
      <c r="A117" s="20" t="s">
        <v>143</v>
      </c>
      <c r="B117" s="7" t="s">
        <v>144</v>
      </c>
      <c r="C117" s="6"/>
      <c r="D117" s="6"/>
      <c r="E117" s="10" t="s">
        <v>13</v>
      </c>
      <c r="F117" s="6"/>
      <c r="G117" s="6"/>
      <c r="H117" s="21"/>
      <c r="I117" t="str">
        <f>VLOOKUP(A117,All!A:A,1,FALSE)</f>
        <v>Chicago (Back of the Yards)</v>
      </c>
    </row>
    <row r="118" spans="1:9" ht="15.75" thickBot="1" x14ac:dyDescent="0.3">
      <c r="A118" s="18" t="s">
        <v>145</v>
      </c>
      <c r="B118" s="3">
        <v>599</v>
      </c>
      <c r="C118" s="4" t="s">
        <v>13</v>
      </c>
      <c r="D118" s="4"/>
      <c r="E118" s="4" t="s">
        <v>9</v>
      </c>
      <c r="F118" s="4"/>
      <c r="G118" s="4" t="s">
        <v>13</v>
      </c>
      <c r="H118" s="19" t="s">
        <v>13</v>
      </c>
      <c r="I118" t="str">
        <f>VLOOKUP(A118,All!A:A,1,FALSE)</f>
        <v>Chicago (Bogan)</v>
      </c>
    </row>
    <row r="119" spans="1:9" ht="15.75" thickBot="1" x14ac:dyDescent="0.3">
      <c r="A119" s="20" t="s">
        <v>146</v>
      </c>
      <c r="B119" s="7" t="s">
        <v>147</v>
      </c>
      <c r="C119" s="10" t="s">
        <v>12</v>
      </c>
      <c r="D119" s="10" t="s">
        <v>12</v>
      </c>
      <c r="E119" s="6"/>
      <c r="F119" s="10" t="s">
        <v>9</v>
      </c>
      <c r="G119" s="10" t="s">
        <v>12</v>
      </c>
      <c r="H119" s="23" t="s">
        <v>12</v>
      </c>
      <c r="I119" t="str">
        <f>VLOOKUP(A119,All!A:A,1,FALSE)</f>
        <v>Chicago (Brooks)</v>
      </c>
    </row>
    <row r="120" spans="1:9" ht="15.75" thickBot="1" x14ac:dyDescent="0.3">
      <c r="A120" s="18" t="s">
        <v>148</v>
      </c>
      <c r="B120" s="3" t="s">
        <v>149</v>
      </c>
      <c r="C120" s="12" t="s">
        <v>11</v>
      </c>
      <c r="D120" s="4"/>
      <c r="E120" s="4"/>
      <c r="F120" s="10" t="s">
        <v>13</v>
      </c>
      <c r="G120" s="10" t="s">
        <v>12</v>
      </c>
      <c r="H120" s="19"/>
      <c r="I120" t="str">
        <f>VLOOKUP(A120,All!A:A,1,FALSE)</f>
        <v>Chicago (Brother Rice)</v>
      </c>
    </row>
    <row r="121" spans="1:9" ht="15.75" thickBot="1" x14ac:dyDescent="0.3">
      <c r="A121" s="20" t="s">
        <v>150</v>
      </c>
      <c r="B121" s="7" t="s">
        <v>151</v>
      </c>
      <c r="C121" s="11" t="s">
        <v>13</v>
      </c>
      <c r="D121" s="6"/>
      <c r="E121" s="11" t="s">
        <v>9</v>
      </c>
      <c r="F121" s="6"/>
      <c r="G121" s="10" t="s">
        <v>13</v>
      </c>
      <c r="H121" s="23" t="s">
        <v>13</v>
      </c>
      <c r="I121" t="str">
        <f>VLOOKUP(A121,All!A:A,1,FALSE)</f>
        <v>Chicago (C. Academy)</v>
      </c>
    </row>
    <row r="122" spans="1:9" ht="15.75" thickBot="1" x14ac:dyDescent="0.3">
      <c r="A122" s="18" t="s">
        <v>152</v>
      </c>
      <c r="B122" s="3" t="s">
        <v>153</v>
      </c>
      <c r="C122" s="10" t="s">
        <v>13</v>
      </c>
      <c r="D122" s="10" t="s">
        <v>13</v>
      </c>
      <c r="E122" s="10" t="s">
        <v>9</v>
      </c>
      <c r="F122" s="4"/>
      <c r="G122" s="10" t="s">
        <v>13</v>
      </c>
      <c r="H122" s="23" t="s">
        <v>13</v>
      </c>
      <c r="I122" t="str">
        <f>VLOOKUP(A122,All!A:A,1,FALSE)</f>
        <v>Chicago (C. Hope Academy)</v>
      </c>
    </row>
    <row r="123" spans="1:9" ht="15.75" thickBot="1" x14ac:dyDescent="0.3">
      <c r="A123" s="20" t="s">
        <v>154</v>
      </c>
      <c r="B123" s="7" t="s">
        <v>155</v>
      </c>
      <c r="C123" s="6"/>
      <c r="D123" s="6"/>
      <c r="E123" s="6"/>
      <c r="F123" s="6"/>
      <c r="G123" s="10" t="s">
        <v>13</v>
      </c>
      <c r="H123" s="23" t="s">
        <v>13</v>
      </c>
      <c r="I123" t="str">
        <f>VLOOKUP(A123,All!A:A,1,FALSE)</f>
        <v>Chicago (C. Math and Science Charter)</v>
      </c>
    </row>
    <row r="124" spans="1:9" ht="15.75" thickBot="1" x14ac:dyDescent="0.3">
      <c r="A124" s="18" t="s">
        <v>156</v>
      </c>
      <c r="B124" s="3" t="s">
        <v>157</v>
      </c>
      <c r="C124" s="4"/>
      <c r="D124" s="4"/>
      <c r="E124" s="4"/>
      <c r="F124" s="4"/>
      <c r="G124" s="10" t="s">
        <v>9</v>
      </c>
      <c r="H124" s="23" t="s">
        <v>9</v>
      </c>
      <c r="I124" t="str">
        <f>VLOOKUP(A124,All!A:A,1,FALSE)</f>
        <v>Chicago (C. Military Academy-Bronzeville)</v>
      </c>
    </row>
    <row r="125" spans="1:9" ht="15.75" thickBot="1" x14ac:dyDescent="0.3">
      <c r="A125" s="20" t="s">
        <v>158</v>
      </c>
      <c r="B125" s="7" t="s">
        <v>159</v>
      </c>
      <c r="C125" s="6"/>
      <c r="D125" s="6"/>
      <c r="E125" s="6"/>
      <c r="F125" s="6"/>
      <c r="G125" s="10" t="s">
        <v>13</v>
      </c>
      <c r="H125" s="23" t="s">
        <v>13</v>
      </c>
      <c r="I125" t="str">
        <f>VLOOKUP(A125,All!A:A,1,FALSE)</f>
        <v>Chicago (C. Tech Academy Charter)</v>
      </c>
    </row>
    <row r="126" spans="1:9" ht="15.75" thickBot="1" x14ac:dyDescent="0.3">
      <c r="A126" s="18" t="s">
        <v>160</v>
      </c>
      <c r="B126" s="3" t="s">
        <v>161</v>
      </c>
      <c r="C126" s="10" t="s">
        <v>12</v>
      </c>
      <c r="D126" s="4"/>
      <c r="E126" s="4"/>
      <c r="F126" s="4"/>
      <c r="G126" s="10" t="s">
        <v>13</v>
      </c>
      <c r="H126" s="19"/>
      <c r="I126" t="str">
        <f>VLOOKUP(A126,All!A:A,1,FALSE)</f>
        <v>Chicago (C. Vocational)</v>
      </c>
    </row>
    <row r="127" spans="1:9" ht="15.75" thickBot="1" x14ac:dyDescent="0.3">
      <c r="A127" s="20" t="s">
        <v>162</v>
      </c>
      <c r="B127" s="7" t="s">
        <v>163</v>
      </c>
      <c r="C127" s="10" t="s">
        <v>13</v>
      </c>
      <c r="D127" s="6"/>
      <c r="E127" s="6"/>
      <c r="F127" s="6"/>
      <c r="G127" s="10" t="s">
        <v>13</v>
      </c>
      <c r="H127" s="23" t="s">
        <v>13</v>
      </c>
      <c r="I127" t="str">
        <f>VLOOKUP(A127,All!A:A,1,FALSE)</f>
        <v>Chicago (Carver Military Academy)</v>
      </c>
    </row>
    <row r="128" spans="1:9" ht="15.75" thickBot="1" x14ac:dyDescent="0.3">
      <c r="A128" s="18" t="s">
        <v>164</v>
      </c>
      <c r="B128" s="3" t="s">
        <v>136</v>
      </c>
      <c r="C128" s="4"/>
      <c r="D128" s="4"/>
      <c r="E128" s="4"/>
      <c r="F128" s="4"/>
      <c r="G128" s="10" t="s">
        <v>13</v>
      </c>
      <c r="H128" s="23" t="s">
        <v>13</v>
      </c>
      <c r="I128" t="str">
        <f>VLOOKUP(A128,All!A:A,1,FALSE)</f>
        <v>Chicago (Catalyst/Maria)</v>
      </c>
    </row>
    <row r="129" spans="1:9" ht="15.75" thickBot="1" x14ac:dyDescent="0.3">
      <c r="A129" s="20" t="s">
        <v>165</v>
      </c>
      <c r="B129" s="7" t="s">
        <v>166</v>
      </c>
      <c r="C129" s="6"/>
      <c r="D129" s="6"/>
      <c r="E129" s="6"/>
      <c r="F129" s="6"/>
      <c r="G129" s="11" t="s">
        <v>9</v>
      </c>
      <c r="H129" s="24" t="s">
        <v>9</v>
      </c>
      <c r="I129" t="str">
        <f>VLOOKUP(A129,All!A:A,1,FALSE)</f>
        <v>Chicago (Christ the King)</v>
      </c>
    </row>
    <row r="130" spans="1:9" ht="15.75" thickBot="1" x14ac:dyDescent="0.3">
      <c r="A130" s="18" t="s">
        <v>167</v>
      </c>
      <c r="B130" s="3" t="s">
        <v>168</v>
      </c>
      <c r="C130" s="4"/>
      <c r="D130" s="4"/>
      <c r="E130" s="4"/>
      <c r="F130" s="4"/>
      <c r="G130" s="10" t="s">
        <v>13</v>
      </c>
      <c r="H130" s="23" t="s">
        <v>13</v>
      </c>
      <c r="I130" t="str">
        <f>VLOOKUP(A130,All!A:A,1,FALSE)</f>
        <v>Chicago (CICS/Longwood)</v>
      </c>
    </row>
    <row r="131" spans="1:9" ht="15.75" thickBot="1" x14ac:dyDescent="0.3">
      <c r="A131" s="25" t="s">
        <v>0</v>
      </c>
      <c r="B131" s="1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2" t="s">
        <v>6</v>
      </c>
      <c r="H131" s="26" t="s">
        <v>7</v>
      </c>
      <c r="I131" t="str">
        <f>VLOOKUP(A131,All!A:A,1,FALSE)</f>
        <v>School</v>
      </c>
    </row>
    <row r="132" spans="1:9" ht="15.75" thickBot="1" x14ac:dyDescent="0.3">
      <c r="A132" s="20" t="s">
        <v>169</v>
      </c>
      <c r="B132" s="7" t="s">
        <v>42</v>
      </c>
      <c r="C132" s="10" t="s">
        <v>12</v>
      </c>
      <c r="D132" s="10" t="s">
        <v>12</v>
      </c>
      <c r="E132" s="10" t="s">
        <v>13</v>
      </c>
      <c r="F132" s="6"/>
      <c r="G132" s="10" t="s">
        <v>12</v>
      </c>
      <c r="H132" s="23" t="s">
        <v>12</v>
      </c>
      <c r="I132" t="str">
        <f>VLOOKUP(A132,All!A:A,1,FALSE)</f>
        <v>Chicago (CICS/Northtown)</v>
      </c>
    </row>
    <row r="133" spans="1:9" ht="15.75" thickBot="1" x14ac:dyDescent="0.3">
      <c r="A133" s="18" t="s">
        <v>170</v>
      </c>
      <c r="B133" s="3" t="s">
        <v>171</v>
      </c>
      <c r="C133" s="10" t="s">
        <v>12</v>
      </c>
      <c r="D133" s="4"/>
      <c r="E133" s="4"/>
      <c r="F133" s="4"/>
      <c r="G133" s="10" t="s">
        <v>13</v>
      </c>
      <c r="H133" s="23" t="s">
        <v>13</v>
      </c>
      <c r="I133" t="str">
        <f>VLOOKUP(A133,All!A:A,1,FALSE)</f>
        <v>Chicago (Clark)</v>
      </c>
    </row>
    <row r="134" spans="1:9" ht="15.75" thickBot="1" x14ac:dyDescent="0.3">
      <c r="A134" s="20" t="s">
        <v>172</v>
      </c>
      <c r="B134" s="7">
        <v>671</v>
      </c>
      <c r="C134" s="6" t="s">
        <v>13</v>
      </c>
      <c r="D134" s="6"/>
      <c r="E134" s="6"/>
      <c r="F134" s="6"/>
      <c r="G134" s="6"/>
      <c r="H134" s="21"/>
      <c r="I134" t="str">
        <f>VLOOKUP(A134,All!A:A,1,FALSE)</f>
        <v>Chicago (Clemente)</v>
      </c>
    </row>
    <row r="135" spans="1:9" ht="15.75" thickBot="1" x14ac:dyDescent="0.3">
      <c r="A135" s="18" t="s">
        <v>173</v>
      </c>
      <c r="B135" s="3" t="s">
        <v>174</v>
      </c>
      <c r="C135" s="4"/>
      <c r="D135" s="4"/>
      <c r="E135" s="4"/>
      <c r="F135" s="4"/>
      <c r="G135" s="10" t="s">
        <v>9</v>
      </c>
      <c r="H135" s="23" t="s">
        <v>9</v>
      </c>
      <c r="I135" t="str">
        <f>VLOOKUP(A135,All!A:A,1,FALSE)</f>
        <v>Chicago (Collins Academy)</v>
      </c>
    </row>
    <row r="136" spans="1:9" ht="15.75" thickBot="1" x14ac:dyDescent="0.3">
      <c r="A136" s="20" t="s">
        <v>175</v>
      </c>
      <c r="B136" s="7">
        <v>365</v>
      </c>
      <c r="C136" s="6"/>
      <c r="D136" s="6"/>
      <c r="E136" s="6"/>
      <c r="F136" s="6"/>
      <c r="G136" s="6" t="s">
        <v>9</v>
      </c>
      <c r="H136" s="21" t="s">
        <v>9</v>
      </c>
      <c r="I136" t="str">
        <f>VLOOKUP(A136,All!A:A,1,FALSE)</f>
        <v>Chicago (Corliss)</v>
      </c>
    </row>
    <row r="137" spans="1:9" ht="15.75" thickBot="1" x14ac:dyDescent="0.3">
      <c r="A137" s="18" t="s">
        <v>176</v>
      </c>
      <c r="B137" s="3" t="s">
        <v>177</v>
      </c>
      <c r="C137" s="4"/>
      <c r="D137" s="4"/>
      <c r="E137" s="4"/>
      <c r="F137" s="4"/>
      <c r="G137" s="10" t="s">
        <v>13</v>
      </c>
      <c r="H137" s="23" t="s">
        <v>13</v>
      </c>
      <c r="I137" t="str">
        <f>VLOOKUP(A137,All!A:A,1,FALSE)</f>
        <v>Chicago (Crane Medical Prep)</v>
      </c>
    </row>
    <row r="138" spans="1:9" ht="15.75" thickBot="1" x14ac:dyDescent="0.3">
      <c r="A138" s="20" t="s">
        <v>178</v>
      </c>
      <c r="B138" s="7" t="s">
        <v>179</v>
      </c>
      <c r="C138" s="11" t="s">
        <v>13</v>
      </c>
      <c r="D138" s="11" t="s">
        <v>13</v>
      </c>
      <c r="E138" s="10" t="s">
        <v>13</v>
      </c>
      <c r="F138" s="6"/>
      <c r="G138" s="6"/>
      <c r="H138" s="21"/>
      <c r="I138" t="str">
        <f>VLOOKUP(A138,All!A:A,1,FALSE)</f>
        <v>Chicago (Cristo Rey Jesuit)</v>
      </c>
    </row>
    <row r="139" spans="1:9" ht="15.75" thickBot="1" x14ac:dyDescent="0.3">
      <c r="A139" s="18" t="s">
        <v>180</v>
      </c>
      <c r="B139" s="3" t="s">
        <v>181</v>
      </c>
      <c r="C139" s="4"/>
      <c r="D139" s="4"/>
      <c r="E139" s="4"/>
      <c r="F139" s="4"/>
      <c r="G139" s="10" t="s">
        <v>12</v>
      </c>
      <c r="H139" s="23" t="s">
        <v>12</v>
      </c>
      <c r="I139" t="str">
        <f>VLOOKUP(A139,All!A:A,1,FALSE)</f>
        <v>Chicago (Curie)</v>
      </c>
    </row>
    <row r="140" spans="1:9" ht="15.75" thickBot="1" x14ac:dyDescent="0.3">
      <c r="A140" s="20" t="s">
        <v>182</v>
      </c>
      <c r="B140" s="7" t="s">
        <v>183</v>
      </c>
      <c r="C140" s="10" t="s">
        <v>12</v>
      </c>
      <c r="D140" s="10" t="s">
        <v>12</v>
      </c>
      <c r="E140" s="10" t="s">
        <v>13</v>
      </c>
      <c r="F140" s="10" t="s">
        <v>9</v>
      </c>
      <c r="G140" s="10" t="s">
        <v>13</v>
      </c>
      <c r="H140" s="23" t="s">
        <v>13</v>
      </c>
      <c r="I140" t="str">
        <f>VLOOKUP(A140,All!A:A,1,FALSE)</f>
        <v>Chicago (De La Salle)</v>
      </c>
    </row>
    <row r="141" spans="1:9" ht="15.75" thickBot="1" x14ac:dyDescent="0.3">
      <c r="A141" s="18" t="s">
        <v>184</v>
      </c>
      <c r="B141" s="3" t="s">
        <v>185</v>
      </c>
      <c r="C141" s="10" t="s">
        <v>11</v>
      </c>
      <c r="D141" s="10" t="s">
        <v>11</v>
      </c>
      <c r="E141" s="10" t="s">
        <v>12</v>
      </c>
      <c r="F141" s="10" t="s">
        <v>13</v>
      </c>
      <c r="G141" s="10" t="s">
        <v>12</v>
      </c>
      <c r="H141" s="23" t="s">
        <v>12</v>
      </c>
      <c r="I141" t="str">
        <f>VLOOKUP(A141,All!A:A,1,FALSE)</f>
        <v>Chicago (DePaul College Prep)</v>
      </c>
    </row>
    <row r="142" spans="1:9" ht="15.75" thickBot="1" x14ac:dyDescent="0.3">
      <c r="A142" s="20" t="s">
        <v>186</v>
      </c>
      <c r="B142" s="7" t="s">
        <v>187</v>
      </c>
      <c r="C142" s="10" t="s">
        <v>12</v>
      </c>
      <c r="D142" s="10" t="s">
        <v>12</v>
      </c>
      <c r="E142" s="10" t="s">
        <v>13</v>
      </c>
      <c r="F142" s="6"/>
      <c r="G142" s="10" t="s">
        <v>13</v>
      </c>
      <c r="H142" s="23" t="s">
        <v>13</v>
      </c>
      <c r="I142" t="str">
        <f>VLOOKUP(A142,All!A:A,1,FALSE)</f>
        <v>Chicago (Disney II)</v>
      </c>
    </row>
    <row r="143" spans="1:9" ht="15.75" thickBot="1" x14ac:dyDescent="0.3">
      <c r="A143" s="18" t="s">
        <v>188</v>
      </c>
      <c r="B143" s="3">
        <v>192</v>
      </c>
      <c r="C143" s="4"/>
      <c r="D143" s="4"/>
      <c r="E143" s="4"/>
      <c r="F143" s="4"/>
      <c r="G143" s="4" t="s">
        <v>9</v>
      </c>
      <c r="H143" s="19" t="s">
        <v>9</v>
      </c>
      <c r="I143" t="str">
        <f>VLOOKUP(A143,All!A:A,1,FALSE)</f>
        <v>Chicago (DuSable)</v>
      </c>
    </row>
    <row r="144" spans="1:9" ht="15.75" thickBot="1" x14ac:dyDescent="0.3">
      <c r="A144" s="20" t="s">
        <v>189</v>
      </c>
      <c r="B144" s="7">
        <v>508</v>
      </c>
      <c r="C144" s="6"/>
      <c r="D144" s="6"/>
      <c r="E144" s="6"/>
      <c r="F144" s="6"/>
      <c r="G144" s="6" t="s">
        <v>13</v>
      </c>
      <c r="H144" s="21" t="s">
        <v>13</v>
      </c>
      <c r="I144" t="str">
        <f>VLOOKUP(A144,All!A:A,1,FALSE)</f>
        <v>Chicago (Dyett)</v>
      </c>
    </row>
    <row r="145" spans="1:9" ht="15.75" thickBot="1" x14ac:dyDescent="0.3">
      <c r="A145" s="18" t="s">
        <v>190</v>
      </c>
      <c r="B145" s="3">
        <v>625</v>
      </c>
      <c r="C145" s="4"/>
      <c r="D145" s="4"/>
      <c r="E145" s="4" t="s">
        <v>9</v>
      </c>
      <c r="F145" s="4"/>
      <c r="G145" s="4" t="s">
        <v>13</v>
      </c>
      <c r="H145" s="19" t="s">
        <v>13</v>
      </c>
      <c r="I145" t="str">
        <f>VLOOKUP(A145,All!A:A,1,FALSE)</f>
        <v>Chicago (Englewood STEM)</v>
      </c>
    </row>
    <row r="146" spans="1:9" ht="15.75" thickBot="1" x14ac:dyDescent="0.3">
      <c r="A146" s="20" t="s">
        <v>191</v>
      </c>
      <c r="B146" s="7" t="s">
        <v>192</v>
      </c>
      <c r="C146" s="6"/>
      <c r="D146" s="6"/>
      <c r="E146" s="6"/>
      <c r="F146" s="6"/>
      <c r="G146" s="10" t="s">
        <v>9</v>
      </c>
      <c r="H146" s="21"/>
      <c r="I146" t="str">
        <f>VLOOKUP(A146,All!A:A,1,FALSE)</f>
        <v>Chicago (Excel Academy/Roseland)</v>
      </c>
    </row>
    <row r="147" spans="1:9" ht="15.75" thickBot="1" x14ac:dyDescent="0.3">
      <c r="A147" s="18" t="s">
        <v>193</v>
      </c>
      <c r="B147" s="3" t="s">
        <v>194</v>
      </c>
      <c r="C147" s="10" t="s">
        <v>13</v>
      </c>
      <c r="D147" s="10" t="s">
        <v>13</v>
      </c>
      <c r="E147" s="10" t="s">
        <v>9</v>
      </c>
      <c r="F147" s="10" t="s">
        <v>9</v>
      </c>
      <c r="G147" s="10" t="s">
        <v>13</v>
      </c>
      <c r="H147" s="23" t="s">
        <v>13</v>
      </c>
      <c r="I147" t="str">
        <f>VLOOKUP(A147,All!A:A,1,FALSE)</f>
        <v>Chicago (F.W. Parker)</v>
      </c>
    </row>
    <row r="148" spans="1:9" ht="15.75" thickBot="1" x14ac:dyDescent="0.3">
      <c r="A148" s="20" t="s">
        <v>195</v>
      </c>
      <c r="B148" s="7">
        <v>423</v>
      </c>
      <c r="C148" s="6" t="s">
        <v>13</v>
      </c>
      <c r="D148" s="6"/>
      <c r="E148" s="6" t="s">
        <v>9</v>
      </c>
      <c r="F148" s="6"/>
      <c r="G148" s="6" t="s">
        <v>9</v>
      </c>
      <c r="H148" s="21" t="s">
        <v>9</v>
      </c>
      <c r="I148" t="str">
        <f>VLOOKUP(A148,All!A:A,1,FALSE)</f>
        <v>Chicago (Farragut)</v>
      </c>
    </row>
    <row r="149" spans="1:9" ht="15.75" thickBot="1" x14ac:dyDescent="0.3">
      <c r="A149" s="18" t="s">
        <v>196</v>
      </c>
      <c r="B149" s="3">
        <v>201</v>
      </c>
      <c r="C149" s="4"/>
      <c r="D149" s="4"/>
      <c r="E149" s="4"/>
      <c r="F149" s="4"/>
      <c r="G149" s="4" t="s">
        <v>9</v>
      </c>
      <c r="H149" s="19" t="s">
        <v>9</v>
      </c>
      <c r="I149" t="str">
        <f>VLOOKUP(A149,All!A:A,1,FALSE)</f>
        <v>Chicago (Fenger)</v>
      </c>
    </row>
    <row r="150" spans="1:9" ht="15.75" thickBot="1" x14ac:dyDescent="0.3">
      <c r="A150" s="20" t="s">
        <v>197</v>
      </c>
      <c r="B150" s="7">
        <v>568</v>
      </c>
      <c r="C150" s="6"/>
      <c r="D150" s="6"/>
      <c r="E150" s="6"/>
      <c r="F150" s="6"/>
      <c r="G150" s="6" t="s">
        <v>13</v>
      </c>
      <c r="H150" s="21"/>
      <c r="I150" t="str">
        <f>VLOOKUP(A150,All!A:A,1,FALSE)</f>
        <v>Chicago (Foreman)</v>
      </c>
    </row>
    <row r="151" spans="1:9" ht="15.75" thickBot="1" x14ac:dyDescent="0.3">
      <c r="A151" s="18" t="s">
        <v>198</v>
      </c>
      <c r="B151" s="3">
        <v>326</v>
      </c>
      <c r="C151" s="4" t="s">
        <v>13</v>
      </c>
      <c r="D151" s="4"/>
      <c r="E151" s="4" t="s">
        <v>9</v>
      </c>
      <c r="F151" s="4"/>
      <c r="G151" s="4" t="s">
        <v>9</v>
      </c>
      <c r="H151" s="19"/>
      <c r="I151" t="str">
        <f>VLOOKUP(A151,All!A:A,1,FALSE)</f>
        <v>Chicago (Gage Park)</v>
      </c>
    </row>
    <row r="152" spans="1:9" ht="15.75" thickBot="1" x14ac:dyDescent="0.3">
      <c r="A152" s="20" t="s">
        <v>199</v>
      </c>
      <c r="B152" s="7" t="s">
        <v>200</v>
      </c>
      <c r="C152" s="10" t="s">
        <v>12</v>
      </c>
      <c r="D152" s="6"/>
      <c r="E152" s="10" t="s">
        <v>13</v>
      </c>
      <c r="F152" s="6"/>
      <c r="G152" s="11" t="s">
        <v>13</v>
      </c>
      <c r="H152" s="24" t="s">
        <v>13</v>
      </c>
      <c r="I152" t="str">
        <f>VLOOKUP(A152,All!A:A,1,FALSE)</f>
        <v>Chicago (Goode STEM Academy)</v>
      </c>
    </row>
    <row r="153" spans="1:9" ht="15.75" thickBot="1" x14ac:dyDescent="0.3">
      <c r="A153" s="18" t="s">
        <v>201</v>
      </c>
      <c r="B153" s="3" t="s">
        <v>202</v>
      </c>
      <c r="C153" s="11" t="s">
        <v>12</v>
      </c>
      <c r="D153" s="11" t="s">
        <v>12</v>
      </c>
      <c r="E153" s="10" t="s">
        <v>13</v>
      </c>
      <c r="F153" s="4"/>
      <c r="G153" s="11" t="s">
        <v>13</v>
      </c>
      <c r="H153" s="24" t="s">
        <v>13</v>
      </c>
      <c r="I153" t="str">
        <f>VLOOKUP(A153,All!A:A,1,FALSE)</f>
        <v>Chicago (Hancock)</v>
      </c>
    </row>
    <row r="154" spans="1:9" ht="15.75" thickBot="1" x14ac:dyDescent="0.3">
      <c r="A154" s="20" t="s">
        <v>203</v>
      </c>
      <c r="B154" s="7" t="s">
        <v>204</v>
      </c>
      <c r="C154" s="10" t="s">
        <v>13</v>
      </c>
      <c r="D154" s="11" t="s">
        <v>9</v>
      </c>
      <c r="E154" s="6"/>
      <c r="F154" s="6"/>
      <c r="G154" s="11" t="s">
        <v>9</v>
      </c>
      <c r="H154" s="24" t="s">
        <v>9</v>
      </c>
      <c r="I154" t="str">
        <f>VLOOKUP(A154,All!A:A,1,FALSE)</f>
        <v>Chicago (Holy Trinity)</v>
      </c>
    </row>
    <row r="155" spans="1:9" ht="15.75" thickBot="1" x14ac:dyDescent="0.3">
      <c r="A155" s="18" t="s">
        <v>205</v>
      </c>
      <c r="B155" s="3" t="s">
        <v>174</v>
      </c>
      <c r="C155" s="4"/>
      <c r="D155" s="4"/>
      <c r="E155" s="4"/>
      <c r="F155" s="4"/>
      <c r="G155" s="10" t="s">
        <v>9</v>
      </c>
      <c r="H155" s="23" t="s">
        <v>9</v>
      </c>
      <c r="I155" t="str">
        <f>VLOOKUP(A155,All!A:A,1,FALSE)</f>
        <v>Chicago (Horizon/Belmont)</v>
      </c>
    </row>
    <row r="156" spans="1:9" ht="15.75" thickBot="1" x14ac:dyDescent="0.3">
      <c r="A156" s="20" t="s">
        <v>206</v>
      </c>
      <c r="B156" s="7" t="s">
        <v>207</v>
      </c>
      <c r="C156" s="11" t="s">
        <v>9</v>
      </c>
      <c r="D156" s="13" t="s">
        <v>13</v>
      </c>
      <c r="E156" s="6"/>
      <c r="F156" s="6"/>
      <c r="G156" s="11" t="s">
        <v>9</v>
      </c>
      <c r="H156" s="24" t="s">
        <v>9</v>
      </c>
      <c r="I156" t="str">
        <f>VLOOKUP(A156,All!A:A,1,FALSE)</f>
        <v>Chicago (Horizon/McKinley)</v>
      </c>
    </row>
    <row r="157" spans="1:9" ht="15.75" thickBot="1" x14ac:dyDescent="0.3">
      <c r="A157" s="25" t="s">
        <v>0</v>
      </c>
      <c r="B157" s="1" t="s">
        <v>1</v>
      </c>
      <c r="C157" s="2" t="s">
        <v>2</v>
      </c>
      <c r="D157" s="2" t="s">
        <v>3</v>
      </c>
      <c r="E157" s="2" t="s">
        <v>4</v>
      </c>
      <c r="F157" s="2" t="s">
        <v>5</v>
      </c>
      <c r="G157" s="2" t="s">
        <v>6</v>
      </c>
      <c r="H157" s="26" t="s">
        <v>7</v>
      </c>
      <c r="I157" t="str">
        <f>VLOOKUP(A157,All!A:A,1,FALSE)</f>
        <v>School</v>
      </c>
    </row>
    <row r="158" spans="1:9" ht="15.75" thickBot="1" x14ac:dyDescent="0.3">
      <c r="A158" s="18" t="s">
        <v>208</v>
      </c>
      <c r="B158" s="3" t="s">
        <v>209</v>
      </c>
      <c r="C158" s="4"/>
      <c r="D158" s="4"/>
      <c r="E158" s="10" t="s">
        <v>9</v>
      </c>
      <c r="F158" s="4"/>
      <c r="G158" s="10" t="s">
        <v>9</v>
      </c>
      <c r="H158" s="23" t="s">
        <v>9</v>
      </c>
      <c r="I158" t="str">
        <f>VLOOKUP(A158,All!A:A,1,FALSE)</f>
        <v>Chicago (Horizon/Southwest Chicago)</v>
      </c>
    </row>
    <row r="159" spans="1:9" ht="15.75" thickBot="1" x14ac:dyDescent="0.3">
      <c r="A159" s="20" t="s">
        <v>210</v>
      </c>
      <c r="B159" s="5">
        <v>1565</v>
      </c>
      <c r="C159" s="6" t="s">
        <v>12</v>
      </c>
      <c r="D159" s="6"/>
      <c r="E159" s="6" t="s">
        <v>13</v>
      </c>
      <c r="F159" s="6"/>
      <c r="G159" s="6" t="s">
        <v>12</v>
      </c>
      <c r="H159" s="21" t="s">
        <v>12</v>
      </c>
      <c r="I159" t="str">
        <f>VLOOKUP(A159,All!A:A,1,FALSE)</f>
        <v>Chicago (Hubbard)</v>
      </c>
    </row>
    <row r="160" spans="1:9" ht="15.75" thickBot="1" x14ac:dyDescent="0.3">
      <c r="A160" s="18" t="s">
        <v>211</v>
      </c>
      <c r="B160" s="3">
        <v>755</v>
      </c>
      <c r="C160" s="4"/>
      <c r="D160" s="4"/>
      <c r="E160" s="4"/>
      <c r="F160" s="4"/>
      <c r="G160" s="4" t="s">
        <v>13</v>
      </c>
      <c r="H160" s="19" t="s">
        <v>13</v>
      </c>
      <c r="I160" t="str">
        <f>VLOOKUP(A160,All!A:A,1,FALSE)</f>
        <v>Chicago (Hyde Park)</v>
      </c>
    </row>
    <row r="161" spans="1:9" ht="15.75" thickBot="1" x14ac:dyDescent="0.3">
      <c r="A161" s="20" t="s">
        <v>212</v>
      </c>
      <c r="B161" s="7" t="s">
        <v>213</v>
      </c>
      <c r="C161" s="10" t="s">
        <v>12</v>
      </c>
      <c r="D161" s="10" t="s">
        <v>12</v>
      </c>
      <c r="E161" s="10" t="s">
        <v>13</v>
      </c>
      <c r="F161" s="6"/>
      <c r="G161" s="6"/>
      <c r="H161" s="21"/>
      <c r="I161" t="str">
        <f>VLOOKUP(A161,All!A:A,1,FALSE)</f>
        <v>Chicago (Intrinsic Charter)</v>
      </c>
    </row>
    <row r="162" spans="1:9" ht="15.75" thickBot="1" x14ac:dyDescent="0.3">
      <c r="A162" s="18" t="s">
        <v>214</v>
      </c>
      <c r="B162" s="3" t="s">
        <v>215</v>
      </c>
      <c r="C162" s="10" t="s">
        <v>12</v>
      </c>
      <c r="D162" s="10" t="s">
        <v>12</v>
      </c>
      <c r="E162" s="10" t="s">
        <v>13</v>
      </c>
      <c r="F162" s="4"/>
      <c r="G162" s="10" t="s">
        <v>13</v>
      </c>
      <c r="H162" s="23" t="s">
        <v>13</v>
      </c>
      <c r="I162" t="str">
        <f>VLOOKUP(A162,All!A:A,1,FALSE)</f>
        <v>Chicago (Intrinsic Charter-Downtown Campus)</v>
      </c>
    </row>
    <row r="163" spans="1:9" ht="15.75" thickBot="1" x14ac:dyDescent="0.3">
      <c r="A163" s="20" t="s">
        <v>216</v>
      </c>
      <c r="B163" s="7" t="s">
        <v>217</v>
      </c>
      <c r="C163" s="10" t="s">
        <v>11</v>
      </c>
      <c r="D163" s="10" t="s">
        <v>11</v>
      </c>
      <c r="E163" s="10" t="s">
        <v>12</v>
      </c>
      <c r="F163" s="10" t="s">
        <v>13</v>
      </c>
      <c r="G163" s="10" t="s">
        <v>12</v>
      </c>
      <c r="H163" s="23" t="s">
        <v>12</v>
      </c>
      <c r="I163" t="str">
        <f>VLOOKUP(A163,All!A:A,1,FALSE)</f>
        <v>Chicago (Jones)</v>
      </c>
    </row>
    <row r="164" spans="1:9" ht="15.75" thickBot="1" x14ac:dyDescent="0.3">
      <c r="A164" s="18" t="s">
        <v>218</v>
      </c>
      <c r="B164" s="8">
        <v>1518</v>
      </c>
      <c r="C164" s="4" t="s">
        <v>12</v>
      </c>
      <c r="D164" s="4" t="s">
        <v>12</v>
      </c>
      <c r="E164" s="4" t="s">
        <v>13</v>
      </c>
      <c r="F164" s="4"/>
      <c r="G164" s="4" t="s">
        <v>12</v>
      </c>
      <c r="H164" s="19" t="s">
        <v>12</v>
      </c>
      <c r="I164" t="str">
        <f>VLOOKUP(A164,All!A:A,1,FALSE)</f>
        <v>Chicago (Juarez)</v>
      </c>
    </row>
    <row r="165" spans="1:9" ht="15.75" thickBot="1" x14ac:dyDescent="0.3">
      <c r="A165" s="20" t="s">
        <v>219</v>
      </c>
      <c r="B165" s="7">
        <v>400</v>
      </c>
      <c r="C165" s="6"/>
      <c r="D165" s="6"/>
      <c r="E165" s="6"/>
      <c r="F165" s="6"/>
      <c r="G165" s="6" t="s">
        <v>9</v>
      </c>
      <c r="H165" s="21" t="s">
        <v>9</v>
      </c>
      <c r="I165" t="str">
        <f>VLOOKUP(A165,All!A:A,1,FALSE)</f>
        <v>Chicago (Julian)</v>
      </c>
    </row>
    <row r="166" spans="1:9" ht="15.75" thickBot="1" x14ac:dyDescent="0.3">
      <c r="A166" s="18" t="s">
        <v>220</v>
      </c>
      <c r="B166" s="8">
        <v>1594</v>
      </c>
      <c r="C166" s="4"/>
      <c r="D166" s="4" t="s">
        <v>12</v>
      </c>
      <c r="E166" s="4" t="s">
        <v>13</v>
      </c>
      <c r="F166" s="4"/>
      <c r="G166" s="4"/>
      <c r="H166" s="19"/>
      <c r="I166" t="str">
        <f>VLOOKUP(A166,All!A:A,1,FALSE)</f>
        <v>Chicago (Kelly)</v>
      </c>
    </row>
    <row r="167" spans="1:9" ht="15.75" thickBot="1" x14ac:dyDescent="0.3">
      <c r="A167" s="20" t="s">
        <v>221</v>
      </c>
      <c r="B167" s="5">
        <v>1543</v>
      </c>
      <c r="C167" s="6" t="s">
        <v>12</v>
      </c>
      <c r="D167" s="6" t="s">
        <v>12</v>
      </c>
      <c r="E167" s="6" t="s">
        <v>13</v>
      </c>
      <c r="F167" s="6"/>
      <c r="G167" s="6" t="s">
        <v>12</v>
      </c>
      <c r="H167" s="21" t="s">
        <v>12</v>
      </c>
      <c r="I167" t="str">
        <f>VLOOKUP(A167,All!A:A,1,FALSE)</f>
        <v>Chicago (Kennedy)</v>
      </c>
    </row>
    <row r="168" spans="1:9" ht="15.75" thickBot="1" x14ac:dyDescent="0.3">
      <c r="A168" s="18" t="s">
        <v>222</v>
      </c>
      <c r="B168" s="8">
        <v>1918</v>
      </c>
      <c r="C168" s="4" t="s">
        <v>11</v>
      </c>
      <c r="D168" s="4" t="s">
        <v>11</v>
      </c>
      <c r="E168" s="4" t="s">
        <v>12</v>
      </c>
      <c r="F168" s="4" t="s">
        <v>13</v>
      </c>
      <c r="G168" s="4" t="s">
        <v>12</v>
      </c>
      <c r="H168" s="19" t="s">
        <v>12</v>
      </c>
      <c r="I168" t="str">
        <f>VLOOKUP(A168,All!A:A,1,FALSE)</f>
        <v>Chicago (Kenwood)</v>
      </c>
    </row>
    <row r="169" spans="1:9" ht="15.75" thickBot="1" x14ac:dyDescent="0.3">
      <c r="A169" s="20" t="s">
        <v>223</v>
      </c>
      <c r="B169" s="7" t="s">
        <v>224</v>
      </c>
      <c r="C169" s="10" t="s">
        <v>12</v>
      </c>
      <c r="D169" s="6"/>
      <c r="E169" s="6"/>
      <c r="F169" s="6"/>
      <c r="G169" s="11" t="s">
        <v>13</v>
      </c>
      <c r="H169" s="24" t="s">
        <v>13</v>
      </c>
      <c r="I169" t="str">
        <f>VLOOKUP(A169,All!A:A,1,FALSE)</f>
        <v>Chicago (King)</v>
      </c>
    </row>
    <row r="170" spans="1:9" ht="15.75" thickBot="1" x14ac:dyDescent="0.3">
      <c r="A170" s="18" t="s">
        <v>225</v>
      </c>
      <c r="B170" s="8">
        <v>1364</v>
      </c>
      <c r="C170" s="4" t="s">
        <v>12</v>
      </c>
      <c r="D170" s="4"/>
      <c r="E170" s="4" t="s">
        <v>13</v>
      </c>
      <c r="F170" s="4"/>
      <c r="G170" s="4" t="s">
        <v>12</v>
      </c>
      <c r="H170" s="19" t="s">
        <v>12</v>
      </c>
      <c r="I170" t="str">
        <f>VLOOKUP(A170,All!A:A,1,FALSE)</f>
        <v>Chicago (Lake View)</v>
      </c>
    </row>
    <row r="171" spans="1:9" ht="15.75" thickBot="1" x14ac:dyDescent="0.3">
      <c r="A171" s="20" t="s">
        <v>226</v>
      </c>
      <c r="B171" s="7" t="s">
        <v>227</v>
      </c>
      <c r="C171" s="10" t="s">
        <v>11</v>
      </c>
      <c r="D171" s="10" t="s">
        <v>11</v>
      </c>
      <c r="E171" s="10" t="s">
        <v>12</v>
      </c>
      <c r="F171" s="10" t="s">
        <v>13</v>
      </c>
      <c r="G171" s="10" t="s">
        <v>12</v>
      </c>
      <c r="H171" s="23" t="s">
        <v>12</v>
      </c>
      <c r="I171" t="str">
        <f>VLOOKUP(A171,All!A:A,1,FALSE)</f>
        <v>Chicago (Lane)</v>
      </c>
    </row>
    <row r="172" spans="1:9" ht="15.75" thickBot="1" x14ac:dyDescent="0.3">
      <c r="A172" s="18" t="s">
        <v>228</v>
      </c>
      <c r="B172" s="3" t="s">
        <v>229</v>
      </c>
      <c r="C172" s="10" t="s">
        <v>12</v>
      </c>
      <c r="D172" s="11" t="s">
        <v>13</v>
      </c>
      <c r="E172" s="10" t="s">
        <v>13</v>
      </c>
      <c r="F172" s="10" t="s">
        <v>9</v>
      </c>
      <c r="G172" s="10" t="s">
        <v>13</v>
      </c>
      <c r="H172" s="23" t="s">
        <v>13</v>
      </c>
      <c r="I172" t="str">
        <f>VLOOKUP(A172,All!A:A,1,FALSE)</f>
        <v>Chicago (Latin)</v>
      </c>
    </row>
    <row r="173" spans="1:9" ht="15.75" thickBot="1" x14ac:dyDescent="0.3">
      <c r="A173" s="20" t="s">
        <v>230</v>
      </c>
      <c r="B173" s="7" t="s">
        <v>231</v>
      </c>
      <c r="C173" s="10" t="s">
        <v>12</v>
      </c>
      <c r="D173" s="6"/>
      <c r="E173" s="6"/>
      <c r="F173" s="6"/>
      <c r="G173" s="10" t="s">
        <v>13</v>
      </c>
      <c r="H173" s="21"/>
      <c r="I173" t="str">
        <f>VLOOKUP(A173,All!A:A,1,FALSE)</f>
        <v>Chicago (Leo)</v>
      </c>
    </row>
    <row r="174" spans="1:9" ht="15.75" thickBot="1" x14ac:dyDescent="0.3">
      <c r="A174" s="18" t="s">
        <v>232</v>
      </c>
      <c r="B174" s="8">
        <v>2178</v>
      </c>
      <c r="C174" s="4" t="s">
        <v>11</v>
      </c>
      <c r="D174" s="4" t="s">
        <v>11</v>
      </c>
      <c r="E174" s="4" t="s">
        <v>12</v>
      </c>
      <c r="F174" s="4" t="s">
        <v>13</v>
      </c>
      <c r="G174" s="4" t="s">
        <v>12</v>
      </c>
      <c r="H174" s="19" t="s">
        <v>12</v>
      </c>
      <c r="I174" t="str">
        <f>VLOOKUP(A174,All!A:A,1,FALSE)</f>
        <v>Chicago (Lincoln Park)</v>
      </c>
    </row>
    <row r="175" spans="1:9" ht="15.75" thickBot="1" x14ac:dyDescent="0.3">
      <c r="A175" s="20" t="s">
        <v>233</v>
      </c>
      <c r="B175" s="7" t="s">
        <v>234</v>
      </c>
      <c r="C175" s="10" t="s">
        <v>11</v>
      </c>
      <c r="D175" s="6"/>
      <c r="E175" s="10" t="s">
        <v>13</v>
      </c>
      <c r="F175" s="6"/>
      <c r="G175" s="10" t="s">
        <v>12</v>
      </c>
      <c r="H175" s="23" t="s">
        <v>12</v>
      </c>
      <c r="I175" t="str">
        <f>VLOOKUP(A175,All!A:A,1,FALSE)</f>
        <v>Chicago (Lindblom)</v>
      </c>
    </row>
    <row r="176" spans="1:9" ht="15.75" thickBot="1" x14ac:dyDescent="0.3">
      <c r="A176" s="18" t="s">
        <v>235</v>
      </c>
      <c r="B176" s="8">
        <v>1064</v>
      </c>
      <c r="C176" s="4"/>
      <c r="D176" s="4"/>
      <c r="E176" s="4"/>
      <c r="F176" s="4"/>
      <c r="G176" s="4" t="s">
        <v>13</v>
      </c>
      <c r="H176" s="19" t="s">
        <v>13</v>
      </c>
      <c r="I176" t="str">
        <f>VLOOKUP(A176,All!A:A,1,FALSE)</f>
        <v>Chicago (Little Village)</v>
      </c>
    </row>
    <row r="177" spans="1:9" ht="15.75" thickBot="1" x14ac:dyDescent="0.3">
      <c r="A177" s="20" t="s">
        <v>236</v>
      </c>
      <c r="B177" s="7" t="s">
        <v>237</v>
      </c>
      <c r="C177" s="6"/>
      <c r="D177" s="6"/>
      <c r="E177" s="10" t="s">
        <v>9</v>
      </c>
      <c r="F177" s="6"/>
      <c r="G177" s="6"/>
      <c r="H177" s="21"/>
      <c r="I177" t="str">
        <f>VLOOKUP(A177,All!A:A,1,FALSE)</f>
        <v>Chicago (Lycée Français de Chicago)</v>
      </c>
    </row>
    <row r="178" spans="1:9" ht="15.75" thickBot="1" x14ac:dyDescent="0.3">
      <c r="A178" s="18" t="s">
        <v>238</v>
      </c>
      <c r="B178" s="3">
        <v>123</v>
      </c>
      <c r="C178" s="4"/>
      <c r="D178" s="4"/>
      <c r="E178" s="4"/>
      <c r="F178" s="4"/>
      <c r="G178" s="4" t="s">
        <v>9</v>
      </c>
      <c r="H178" s="19" t="s">
        <v>9</v>
      </c>
      <c r="I178" t="str">
        <f>VLOOKUP(A178,All!A:A,1,FALSE)</f>
        <v>Chicago (Manley)</v>
      </c>
    </row>
    <row r="179" spans="1:9" ht="15.75" thickBot="1" x14ac:dyDescent="0.3">
      <c r="A179" s="20" t="s">
        <v>239</v>
      </c>
      <c r="B179" s="7" t="s">
        <v>240</v>
      </c>
      <c r="C179" s="6"/>
      <c r="D179" s="6"/>
      <c r="E179" s="10" t="s">
        <v>9</v>
      </c>
      <c r="F179" s="6"/>
      <c r="G179" s="11" t="s">
        <v>9</v>
      </c>
      <c r="H179" s="24" t="s">
        <v>9</v>
      </c>
      <c r="I179" t="str">
        <f>VLOOKUP(A179,All!A:A,1,FALSE)</f>
        <v>Chicago (Marine Leadership Academy)</v>
      </c>
    </row>
    <row r="180" spans="1:9" ht="15.75" thickBot="1" x14ac:dyDescent="0.3">
      <c r="A180" s="18" t="s">
        <v>241</v>
      </c>
      <c r="B180" s="3" t="s">
        <v>242</v>
      </c>
      <c r="C180" s="10" t="s">
        <v>11</v>
      </c>
      <c r="D180" s="12" t="s">
        <v>11</v>
      </c>
      <c r="E180" s="10" t="s">
        <v>12</v>
      </c>
      <c r="F180" s="10" t="s">
        <v>13</v>
      </c>
      <c r="G180" s="10" t="s">
        <v>12</v>
      </c>
      <c r="H180" s="23" t="s">
        <v>12</v>
      </c>
      <c r="I180" t="str">
        <f>VLOOKUP(A180,All!A:A,1,FALSE)</f>
        <v>Chicago (Marist)</v>
      </c>
    </row>
    <row r="181" spans="1:9" ht="15.75" thickBot="1" x14ac:dyDescent="0.3">
      <c r="A181" s="20" t="s">
        <v>243</v>
      </c>
      <c r="B181" s="5">
        <v>1657</v>
      </c>
      <c r="C181" s="6" t="s">
        <v>11</v>
      </c>
      <c r="D181" s="6"/>
      <c r="E181" s="6"/>
      <c r="F181" s="6" t="s">
        <v>13</v>
      </c>
      <c r="G181" s="6" t="s">
        <v>12</v>
      </c>
      <c r="H181" s="21" t="s">
        <v>12</v>
      </c>
      <c r="I181" t="str">
        <f>VLOOKUP(A181,All!A:A,1,FALSE)</f>
        <v>Chicago (Mather)</v>
      </c>
    </row>
    <row r="182" spans="1:9" ht="15.75" thickBot="1" x14ac:dyDescent="0.3">
      <c r="A182" s="18" t="s">
        <v>244</v>
      </c>
      <c r="B182" s="3" t="s">
        <v>245</v>
      </c>
      <c r="C182" s="10" t="s">
        <v>9</v>
      </c>
      <c r="D182" s="4"/>
      <c r="E182" s="10" t="s">
        <v>9</v>
      </c>
      <c r="F182" s="10" t="s">
        <v>9</v>
      </c>
      <c r="G182" s="10" t="s">
        <v>9</v>
      </c>
      <c r="H182" s="23" t="s">
        <v>9</v>
      </c>
      <c r="I182" t="str">
        <f>VLOOKUP(A182,All!A:A,1,FALSE)</f>
        <v>Chicago (Morgan Park Academy)</v>
      </c>
    </row>
    <row r="183" spans="1:9" ht="15.75" thickBot="1" x14ac:dyDescent="0.3">
      <c r="A183" s="25" t="s">
        <v>0</v>
      </c>
      <c r="B183" s="1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2" t="s">
        <v>6</v>
      </c>
      <c r="H183" s="26" t="s">
        <v>7</v>
      </c>
      <c r="I183" t="str">
        <f>VLOOKUP(A183,All!A:A,1,FALSE)</f>
        <v>School</v>
      </c>
    </row>
    <row r="184" spans="1:9" ht="15.75" thickBot="1" x14ac:dyDescent="0.3">
      <c r="A184" s="20" t="s">
        <v>246</v>
      </c>
      <c r="B184" s="5">
        <v>1114</v>
      </c>
      <c r="C184" s="6" t="s">
        <v>12</v>
      </c>
      <c r="D184" s="6"/>
      <c r="E184" s="6" t="s">
        <v>13</v>
      </c>
      <c r="F184" s="6"/>
      <c r="G184" s="6" t="s">
        <v>13</v>
      </c>
      <c r="H184" s="21" t="s">
        <v>13</v>
      </c>
      <c r="I184" t="str">
        <f>VLOOKUP(A184,All!A:A,1,FALSE)</f>
        <v>Chicago (Morgan Park)</v>
      </c>
    </row>
    <row r="185" spans="1:9" ht="15.75" thickBot="1" x14ac:dyDescent="0.3">
      <c r="A185" s="18" t="s">
        <v>247</v>
      </c>
      <c r="B185" s="3" t="s">
        <v>248</v>
      </c>
      <c r="C185" s="4"/>
      <c r="D185" s="11" t="s">
        <v>12</v>
      </c>
      <c r="E185" s="11" t="s">
        <v>13</v>
      </c>
      <c r="F185" s="4"/>
      <c r="G185" s="4"/>
      <c r="H185" s="23" t="s">
        <v>12</v>
      </c>
      <c r="I185" t="str">
        <f>VLOOKUP(A185,All!A:A,1,FALSE)</f>
        <v>Chicago (Mother McAuley)</v>
      </c>
    </row>
    <row r="186" spans="1:9" ht="15.75" thickBot="1" x14ac:dyDescent="0.3">
      <c r="A186" s="20" t="s">
        <v>249</v>
      </c>
      <c r="B186" s="7" t="s">
        <v>250</v>
      </c>
      <c r="C186" s="10" t="s">
        <v>11</v>
      </c>
      <c r="D186" s="6"/>
      <c r="E186" s="6"/>
      <c r="F186" s="10" t="s">
        <v>13</v>
      </c>
      <c r="G186" s="10" t="s">
        <v>12</v>
      </c>
      <c r="H186" s="21"/>
      <c r="I186" t="str">
        <f>VLOOKUP(A186,All!A:A,1,FALSE)</f>
        <v>Chicago (Mt. Carmel)</v>
      </c>
    </row>
    <row r="187" spans="1:9" ht="15.75" thickBot="1" x14ac:dyDescent="0.3">
      <c r="A187" s="18" t="s">
        <v>251</v>
      </c>
      <c r="B187" s="3" t="s">
        <v>252</v>
      </c>
      <c r="C187" s="11" t="s">
        <v>13</v>
      </c>
      <c r="D187" s="4"/>
      <c r="E187" s="11" t="s">
        <v>9</v>
      </c>
      <c r="F187" s="4"/>
      <c r="G187" s="10" t="s">
        <v>13</v>
      </c>
      <c r="H187" s="23" t="s">
        <v>13</v>
      </c>
      <c r="I187" t="str">
        <f>VLOOKUP(A187,All!A:A,1,FALSE)</f>
        <v>Chicago (Noble Street Charter)</v>
      </c>
    </row>
    <row r="188" spans="1:9" ht="15.75" thickBot="1" x14ac:dyDescent="0.3">
      <c r="A188" s="20" t="s">
        <v>253</v>
      </c>
      <c r="B188" s="7" t="s">
        <v>254</v>
      </c>
      <c r="C188" s="6"/>
      <c r="D188" s="6"/>
      <c r="E188" s="6"/>
      <c r="F188" s="6"/>
      <c r="G188" s="10" t="s">
        <v>13</v>
      </c>
      <c r="H188" s="23" t="s">
        <v>13</v>
      </c>
      <c r="I188" t="str">
        <f>VLOOKUP(A188,All!A:A,1,FALSE)</f>
        <v>Chicago (Noble/Baker)</v>
      </c>
    </row>
    <row r="189" spans="1:9" ht="15.75" thickBot="1" x14ac:dyDescent="0.3">
      <c r="A189" s="18" t="s">
        <v>255</v>
      </c>
      <c r="B189" s="3" t="s">
        <v>256</v>
      </c>
      <c r="C189" s="10" t="s">
        <v>11</v>
      </c>
      <c r="D189" s="10" t="s">
        <v>11</v>
      </c>
      <c r="E189" s="10" t="s">
        <v>13</v>
      </c>
      <c r="F189" s="4"/>
      <c r="G189" s="10" t="s">
        <v>12</v>
      </c>
      <c r="H189" s="23" t="s">
        <v>12</v>
      </c>
      <c r="I189" t="str">
        <f>VLOOKUP(A189,All!A:A,1,FALSE)</f>
        <v>Chicago (Noble/Bulls)</v>
      </c>
    </row>
    <row r="190" spans="1:9" ht="15.75" thickBot="1" x14ac:dyDescent="0.3">
      <c r="A190" s="20" t="s">
        <v>257</v>
      </c>
      <c r="B190" s="7" t="s">
        <v>213</v>
      </c>
      <c r="C190" s="6"/>
      <c r="D190" s="6"/>
      <c r="E190" s="6"/>
      <c r="F190" s="6"/>
      <c r="G190" s="10" t="s">
        <v>13</v>
      </c>
      <c r="H190" s="23" t="s">
        <v>13</v>
      </c>
      <c r="I190" t="str">
        <f>VLOOKUP(A190,All!A:A,1,FALSE)</f>
        <v>Chicago (Noble/Butler)</v>
      </c>
    </row>
    <row r="191" spans="1:9" ht="15.75" thickBot="1" x14ac:dyDescent="0.3">
      <c r="A191" s="18" t="s">
        <v>258</v>
      </c>
      <c r="B191" s="3" t="s">
        <v>259</v>
      </c>
      <c r="C191" s="4"/>
      <c r="D191" s="4"/>
      <c r="E191" s="4"/>
      <c r="F191" s="4"/>
      <c r="G191" s="10" t="s">
        <v>13</v>
      </c>
      <c r="H191" s="23" t="s">
        <v>13</v>
      </c>
      <c r="I191" t="str">
        <f>VLOOKUP(A191,All!A:A,1,FALSE)</f>
        <v>Chicago (Noble/Comer)</v>
      </c>
    </row>
    <row r="192" spans="1:9" ht="15.75" thickBot="1" x14ac:dyDescent="0.3">
      <c r="A192" s="20" t="s">
        <v>260</v>
      </c>
      <c r="B192" s="7" t="s">
        <v>261</v>
      </c>
      <c r="C192" s="10" t="s">
        <v>12</v>
      </c>
      <c r="D192" s="10" t="s">
        <v>12</v>
      </c>
      <c r="E192" s="10" t="s">
        <v>13</v>
      </c>
      <c r="F192" s="6"/>
      <c r="G192" s="10" t="s">
        <v>13</v>
      </c>
      <c r="H192" s="23" t="s">
        <v>13</v>
      </c>
      <c r="I192" t="str">
        <f>VLOOKUP(A192,All!A:A,1,FALSE)</f>
        <v>Chicago (Noble/Golder)</v>
      </c>
    </row>
    <row r="193" spans="1:9" ht="15.75" thickBot="1" x14ac:dyDescent="0.3">
      <c r="A193" s="18" t="s">
        <v>262</v>
      </c>
      <c r="B193" s="3" t="s">
        <v>179</v>
      </c>
      <c r="C193" s="4"/>
      <c r="D193" s="4"/>
      <c r="E193" s="4"/>
      <c r="F193" s="4"/>
      <c r="G193" s="10" t="s">
        <v>13</v>
      </c>
      <c r="H193" s="23" t="s">
        <v>13</v>
      </c>
      <c r="I193" t="str">
        <f>VLOOKUP(A193,All!A:A,1,FALSE)</f>
        <v>Chicago (Noble/Hansberry)</v>
      </c>
    </row>
    <row r="194" spans="1:9" ht="15.75" thickBot="1" x14ac:dyDescent="0.3">
      <c r="A194" s="20" t="s">
        <v>263</v>
      </c>
      <c r="B194" s="7" t="s">
        <v>264</v>
      </c>
      <c r="C194" s="10" t="s">
        <v>11</v>
      </c>
      <c r="D194" s="10" t="s">
        <v>11</v>
      </c>
      <c r="E194" s="10" t="s">
        <v>12</v>
      </c>
      <c r="F194" s="6"/>
      <c r="G194" s="10" t="s">
        <v>12</v>
      </c>
      <c r="H194" s="23" t="s">
        <v>12</v>
      </c>
      <c r="I194" t="str">
        <f>VLOOKUP(A194,All!A:A,1,FALSE)</f>
        <v>Chicago (Noble/ITW Speer)</v>
      </c>
    </row>
    <row r="195" spans="1:9" ht="15.75" thickBot="1" x14ac:dyDescent="0.3">
      <c r="A195" s="18" t="s">
        <v>265</v>
      </c>
      <c r="B195" s="3" t="s">
        <v>266</v>
      </c>
      <c r="C195" s="4"/>
      <c r="D195" s="4"/>
      <c r="E195" s="4"/>
      <c r="F195" s="4"/>
      <c r="G195" s="10" t="s">
        <v>13</v>
      </c>
      <c r="H195" s="23" t="s">
        <v>13</v>
      </c>
      <c r="I195" t="str">
        <f>VLOOKUP(A195,All!A:A,1,FALSE)</f>
        <v>Chicago (Noble/Johnson)</v>
      </c>
    </row>
    <row r="196" spans="1:9" ht="15.75" thickBot="1" x14ac:dyDescent="0.3">
      <c r="A196" s="20" t="s">
        <v>267</v>
      </c>
      <c r="B196" s="7" t="s">
        <v>268</v>
      </c>
      <c r="C196" s="10" t="s">
        <v>11</v>
      </c>
      <c r="D196" s="10" t="s">
        <v>11</v>
      </c>
      <c r="E196" s="10" t="s">
        <v>13</v>
      </c>
      <c r="F196" s="6"/>
      <c r="G196" s="6"/>
      <c r="H196" s="21"/>
      <c r="I196" t="str">
        <f>VLOOKUP(A196,All!A:A,1,FALSE)</f>
        <v>Chicago (Noble/Mansueto)</v>
      </c>
    </row>
    <row r="197" spans="1:9" ht="15.75" thickBot="1" x14ac:dyDescent="0.3">
      <c r="A197" s="18" t="s">
        <v>269</v>
      </c>
      <c r="B197" s="3" t="s">
        <v>270</v>
      </c>
      <c r="C197" s="10" t="s">
        <v>12</v>
      </c>
      <c r="D197" s="4"/>
      <c r="E197" s="10" t="s">
        <v>13</v>
      </c>
      <c r="F197" s="4"/>
      <c r="G197" s="10" t="s">
        <v>12</v>
      </c>
      <c r="H197" s="23" t="s">
        <v>12</v>
      </c>
      <c r="I197" t="str">
        <f>VLOOKUP(A197,All!A:A,1,FALSE)</f>
        <v>Chicago (Noble/Muchin)</v>
      </c>
    </row>
    <row r="198" spans="1:9" ht="15.75" thickBot="1" x14ac:dyDescent="0.3">
      <c r="A198" s="20" t="s">
        <v>271</v>
      </c>
      <c r="B198" s="7" t="s">
        <v>272</v>
      </c>
      <c r="C198" s="6"/>
      <c r="D198" s="6"/>
      <c r="E198" s="10" t="s">
        <v>9</v>
      </c>
      <c r="F198" s="6"/>
      <c r="G198" s="6"/>
      <c r="H198" s="21"/>
      <c r="I198" t="str">
        <f>VLOOKUP(A198,All!A:A,1,FALSE)</f>
        <v>Chicago (Noble/Noble Academy)</v>
      </c>
    </row>
    <row r="199" spans="1:9" ht="15.75" thickBot="1" x14ac:dyDescent="0.3">
      <c r="A199" s="18" t="s">
        <v>273</v>
      </c>
      <c r="B199" s="3" t="s">
        <v>274</v>
      </c>
      <c r="C199" s="10" t="s">
        <v>11</v>
      </c>
      <c r="D199" s="10" t="s">
        <v>11</v>
      </c>
      <c r="E199" s="10" t="s">
        <v>13</v>
      </c>
      <c r="F199" s="4"/>
      <c r="G199" s="10" t="s">
        <v>12</v>
      </c>
      <c r="H199" s="19"/>
      <c r="I199" t="str">
        <f>VLOOKUP(A199,All!A:A,1,FALSE)</f>
        <v>Chicago (Noble/Pritzker)</v>
      </c>
    </row>
    <row r="200" spans="1:9" ht="15.75" thickBot="1" x14ac:dyDescent="0.3">
      <c r="A200" s="20" t="s">
        <v>275</v>
      </c>
      <c r="B200" s="7" t="s">
        <v>276</v>
      </c>
      <c r="C200" s="10" t="s">
        <v>12</v>
      </c>
      <c r="D200" s="6"/>
      <c r="E200" s="6"/>
      <c r="F200" s="6"/>
      <c r="G200" s="10" t="s">
        <v>13</v>
      </c>
      <c r="H200" s="23" t="s">
        <v>13</v>
      </c>
      <c r="I200" t="str">
        <f>VLOOKUP(A200,All!A:A,1,FALSE)</f>
        <v>Chicago (Noble/Rauner)</v>
      </c>
    </row>
    <row r="201" spans="1:9" ht="15.75" thickBot="1" x14ac:dyDescent="0.3">
      <c r="A201" s="18" t="s">
        <v>277</v>
      </c>
      <c r="B201" s="3" t="s">
        <v>278</v>
      </c>
      <c r="C201" s="4"/>
      <c r="D201" s="4"/>
      <c r="E201" s="4"/>
      <c r="F201" s="4"/>
      <c r="G201" s="10" t="s">
        <v>12</v>
      </c>
      <c r="H201" s="23" t="s">
        <v>12</v>
      </c>
      <c r="I201" t="str">
        <f>VLOOKUP(A201,All!A:A,1,FALSE)</f>
        <v>Chicago (Noble/UIC)</v>
      </c>
    </row>
    <row r="202" spans="1:9" ht="15.75" thickBot="1" x14ac:dyDescent="0.3">
      <c r="A202" s="20" t="s">
        <v>279</v>
      </c>
      <c r="B202" s="7" t="s">
        <v>280</v>
      </c>
      <c r="C202" s="6"/>
      <c r="D202" s="6"/>
      <c r="E202" s="6"/>
      <c r="F202" s="6"/>
      <c r="G202" s="10" t="s">
        <v>9</v>
      </c>
      <c r="H202" s="23" t="s">
        <v>9</v>
      </c>
      <c r="I202" t="str">
        <f>VLOOKUP(A202,All!A:A,1,FALSE)</f>
        <v>Chicago (North Lawndale Charter)</v>
      </c>
    </row>
    <row r="203" spans="1:9" ht="15.75" thickBot="1" x14ac:dyDescent="0.3">
      <c r="A203" s="18" t="s">
        <v>281</v>
      </c>
      <c r="B203" s="3" t="s">
        <v>282</v>
      </c>
      <c r="C203" s="10" t="s">
        <v>11</v>
      </c>
      <c r="D203" s="10" t="s">
        <v>11</v>
      </c>
      <c r="E203" s="10" t="s">
        <v>13</v>
      </c>
      <c r="F203" s="10" t="s">
        <v>13</v>
      </c>
      <c r="G203" s="10" t="s">
        <v>12</v>
      </c>
      <c r="H203" s="23" t="s">
        <v>12</v>
      </c>
      <c r="I203" t="str">
        <f>VLOOKUP(A203,All!A:A,1,FALSE)</f>
        <v>Chicago (Northside)</v>
      </c>
    </row>
    <row r="204" spans="1:9" ht="15.75" thickBot="1" x14ac:dyDescent="0.3">
      <c r="A204" s="20" t="s">
        <v>283</v>
      </c>
      <c r="B204" s="7" t="s">
        <v>284</v>
      </c>
      <c r="C204" s="10" t="s">
        <v>12</v>
      </c>
      <c r="D204" s="6"/>
      <c r="E204" s="6"/>
      <c r="F204" s="6"/>
      <c r="G204" s="10" t="s">
        <v>13</v>
      </c>
      <c r="H204" s="23" t="s">
        <v>13</v>
      </c>
      <c r="I204" t="str">
        <f>VLOOKUP(A204,All!A:A,1,FALSE)</f>
        <v>Chicago (Ogden International)</v>
      </c>
    </row>
    <row r="205" spans="1:9" ht="15.75" thickBot="1" x14ac:dyDescent="0.3">
      <c r="A205" s="18" t="s">
        <v>285</v>
      </c>
      <c r="B205" s="3">
        <v>302</v>
      </c>
      <c r="C205" s="4"/>
      <c r="D205" s="4"/>
      <c r="E205" s="4"/>
      <c r="F205" s="4"/>
      <c r="G205" s="4" t="s">
        <v>9</v>
      </c>
      <c r="H205" s="19" t="s">
        <v>9</v>
      </c>
      <c r="I205" t="str">
        <f>VLOOKUP(A205,All!A:A,1,FALSE)</f>
        <v>Chicago (Orr)</v>
      </c>
    </row>
    <row r="206" spans="1:9" ht="15.75" thickBot="1" x14ac:dyDescent="0.3">
      <c r="A206" s="20" t="s">
        <v>286</v>
      </c>
      <c r="B206" s="7" t="s">
        <v>287</v>
      </c>
      <c r="C206" s="6"/>
      <c r="D206" s="11" t="s">
        <v>9</v>
      </c>
      <c r="E206" s="10" t="s">
        <v>9</v>
      </c>
      <c r="F206" s="6"/>
      <c r="G206" s="6"/>
      <c r="H206" s="21"/>
      <c r="I206" t="str">
        <f>VLOOKUP(A206,All!A:A,1,FALSE)</f>
        <v>Chicago (Our Lady of Tepeyac)</v>
      </c>
    </row>
    <row r="207" spans="1:9" ht="15.75" thickBot="1" x14ac:dyDescent="0.3">
      <c r="A207" s="18" t="s">
        <v>288</v>
      </c>
      <c r="B207" s="3" t="s">
        <v>289</v>
      </c>
      <c r="C207" s="10" t="s">
        <v>11</v>
      </c>
      <c r="D207" s="10" t="s">
        <v>11</v>
      </c>
      <c r="E207" s="10" t="s">
        <v>12</v>
      </c>
      <c r="F207" s="10" t="s">
        <v>13</v>
      </c>
      <c r="G207" s="10" t="s">
        <v>12</v>
      </c>
      <c r="H207" s="23" t="s">
        <v>12</v>
      </c>
      <c r="I207" t="str">
        <f>VLOOKUP(A207,All!A:A,1,FALSE)</f>
        <v>Chicago (Payton)</v>
      </c>
    </row>
    <row r="208" spans="1:9" ht="15.75" thickBot="1" x14ac:dyDescent="0.3">
      <c r="A208" s="20" t="s">
        <v>290</v>
      </c>
      <c r="B208" s="7" t="s">
        <v>291</v>
      </c>
      <c r="C208" s="6"/>
      <c r="D208" s="6"/>
      <c r="E208" s="6"/>
      <c r="F208" s="6"/>
      <c r="G208" s="9" t="s">
        <v>12</v>
      </c>
      <c r="H208" s="22" t="s">
        <v>12</v>
      </c>
      <c r="I208" t="str">
        <f>VLOOKUP(A208,All!A:A,1,FALSE)</f>
        <v>Chicago (Perspectives/Leadership)</v>
      </c>
    </row>
    <row r="209" spans="1:9" ht="15.75" thickBot="1" x14ac:dyDescent="0.3">
      <c r="A209" s="25" t="s">
        <v>0</v>
      </c>
      <c r="B209" s="1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  <c r="H209" s="26" t="s">
        <v>7</v>
      </c>
      <c r="I209" t="str">
        <f>VLOOKUP(A209,All!A:A,1,FALSE)</f>
        <v>School</v>
      </c>
    </row>
    <row r="210" spans="1:9" ht="15.75" thickBot="1" x14ac:dyDescent="0.3">
      <c r="A210" s="18" t="s">
        <v>292</v>
      </c>
      <c r="B210" s="3">
        <v>397</v>
      </c>
      <c r="C210" s="4"/>
      <c r="D210" s="4" t="s">
        <v>13</v>
      </c>
      <c r="E210" s="4"/>
      <c r="F210" s="4"/>
      <c r="G210" s="4" t="s">
        <v>9</v>
      </c>
      <c r="H210" s="19" t="s">
        <v>9</v>
      </c>
      <c r="I210" t="str">
        <f>VLOOKUP(A210,All!A:A,1,FALSE)</f>
        <v>Chicago (Phillips)</v>
      </c>
    </row>
    <row r="211" spans="1:9" ht="15.75" thickBot="1" x14ac:dyDescent="0.3">
      <c r="A211" s="20" t="s">
        <v>293</v>
      </c>
      <c r="B211" s="7" t="s">
        <v>294</v>
      </c>
      <c r="C211" s="11" t="s">
        <v>12</v>
      </c>
      <c r="D211" s="11" t="s">
        <v>12</v>
      </c>
      <c r="E211" s="11" t="s">
        <v>13</v>
      </c>
      <c r="F211" s="6"/>
      <c r="G211" s="11" t="s">
        <v>13</v>
      </c>
      <c r="H211" s="24" t="s">
        <v>13</v>
      </c>
      <c r="I211" t="str">
        <f>VLOOKUP(A211,All!A:A,1,FALSE)</f>
        <v>Chicago (Prosser)</v>
      </c>
    </row>
    <row r="212" spans="1:9" ht="15.75" thickBot="1" x14ac:dyDescent="0.3">
      <c r="A212" s="18" t="s">
        <v>295</v>
      </c>
      <c r="B212" s="3" t="s">
        <v>296</v>
      </c>
      <c r="C212" s="4"/>
      <c r="D212" s="4"/>
      <c r="E212" s="4"/>
      <c r="F212" s="4"/>
      <c r="G212" s="10" t="s">
        <v>9</v>
      </c>
      <c r="H212" s="23" t="s">
        <v>9</v>
      </c>
      <c r="I212" t="str">
        <f>VLOOKUP(A212,All!A:A,1,FALSE)</f>
        <v>Chicago (Providence St. Mel)</v>
      </c>
    </row>
    <row r="213" spans="1:9" ht="15.75" thickBot="1" x14ac:dyDescent="0.3">
      <c r="A213" s="20" t="s">
        <v>297</v>
      </c>
      <c r="B213" s="7" t="s">
        <v>298</v>
      </c>
      <c r="C213" s="6"/>
      <c r="D213" s="10" t="s">
        <v>12</v>
      </c>
      <c r="E213" s="10" t="s">
        <v>13</v>
      </c>
      <c r="F213" s="6"/>
      <c r="G213" s="6"/>
      <c r="H213" s="24" t="s">
        <v>13</v>
      </c>
      <c r="I213" t="str">
        <f>VLOOKUP(A213,All!A:A,1,FALSE)</f>
        <v>Chicago (Resurrection)</v>
      </c>
    </row>
    <row r="214" spans="1:9" ht="15.75" thickBot="1" x14ac:dyDescent="0.3">
      <c r="A214" s="18" t="s">
        <v>299</v>
      </c>
      <c r="B214" s="3">
        <v>304</v>
      </c>
      <c r="C214" s="4"/>
      <c r="D214" s="4"/>
      <c r="E214" s="4"/>
      <c r="F214" s="4"/>
      <c r="G214" s="4" t="s">
        <v>9</v>
      </c>
      <c r="H214" s="19"/>
      <c r="I214" t="str">
        <f>VLOOKUP(A214,All!A:A,1,FALSE)</f>
        <v>Chicago (Richards)</v>
      </c>
    </row>
    <row r="215" spans="1:9" ht="15.75" thickBot="1" x14ac:dyDescent="0.3">
      <c r="A215" s="20" t="s">
        <v>300</v>
      </c>
      <c r="B215" s="7" t="s">
        <v>301</v>
      </c>
      <c r="C215" s="11" t="s">
        <v>13</v>
      </c>
      <c r="D215" s="11" t="s">
        <v>13</v>
      </c>
      <c r="E215" s="11" t="s">
        <v>9</v>
      </c>
      <c r="F215" s="6"/>
      <c r="G215" s="10" t="s">
        <v>13</v>
      </c>
      <c r="H215" s="23" t="s">
        <v>13</v>
      </c>
      <c r="I215" t="str">
        <f>VLOOKUP(A215,All!A:A,1,FALSE)</f>
        <v>Chicago (Rickover Naval Academy)</v>
      </c>
    </row>
    <row r="216" spans="1:9" ht="15.75" thickBot="1" x14ac:dyDescent="0.3">
      <c r="A216" s="18" t="s">
        <v>302</v>
      </c>
      <c r="B216" s="8">
        <v>1057</v>
      </c>
      <c r="C216" s="4"/>
      <c r="D216" s="4"/>
      <c r="E216" s="4" t="s">
        <v>13</v>
      </c>
      <c r="F216" s="4"/>
      <c r="G216" s="4"/>
      <c r="H216" s="19"/>
      <c r="I216" t="str">
        <f>VLOOKUP(A216,All!A:A,1,FALSE)</f>
        <v>Chicago (Roosevelt)</v>
      </c>
    </row>
    <row r="217" spans="1:9" ht="15.75" thickBot="1" x14ac:dyDescent="0.3">
      <c r="A217" s="20" t="s">
        <v>303</v>
      </c>
      <c r="B217" s="5">
        <v>1123</v>
      </c>
      <c r="C217" s="6"/>
      <c r="D217" s="6" t="s">
        <v>12</v>
      </c>
      <c r="E217" s="6" t="s">
        <v>13</v>
      </c>
      <c r="F217" s="6"/>
      <c r="G217" s="6" t="s">
        <v>13</v>
      </c>
      <c r="H217" s="21" t="s">
        <v>13</v>
      </c>
      <c r="I217" t="str">
        <f>VLOOKUP(A217,All!A:A,1,FALSE)</f>
        <v>Chicago (Schurz)</v>
      </c>
    </row>
    <row r="218" spans="1:9" ht="15.75" thickBot="1" x14ac:dyDescent="0.3">
      <c r="A218" s="18" t="s">
        <v>304</v>
      </c>
      <c r="B218" s="8">
        <v>1494</v>
      </c>
      <c r="C218" s="4"/>
      <c r="D218" s="4" t="s">
        <v>12</v>
      </c>
      <c r="E218" s="4" t="s">
        <v>13</v>
      </c>
      <c r="F218" s="9" t="s">
        <v>13</v>
      </c>
      <c r="G218" s="4" t="s">
        <v>12</v>
      </c>
      <c r="H218" s="19" t="s">
        <v>12</v>
      </c>
      <c r="I218" t="str">
        <f>VLOOKUP(A218,All!A:A,1,FALSE)</f>
        <v>Chicago (Senn)</v>
      </c>
    </row>
    <row r="219" spans="1:9" ht="15.75" thickBot="1" x14ac:dyDescent="0.3">
      <c r="A219" s="20" t="s">
        <v>305</v>
      </c>
      <c r="B219" s="7" t="s">
        <v>306</v>
      </c>
      <c r="C219" s="10" t="s">
        <v>11</v>
      </c>
      <c r="D219" s="6"/>
      <c r="E219" s="6"/>
      <c r="F219" s="6"/>
      <c r="G219" s="11" t="s">
        <v>13</v>
      </c>
      <c r="H219" s="24" t="s">
        <v>13</v>
      </c>
      <c r="I219" t="str">
        <f>VLOOKUP(A219,All!A:A,1,FALSE)</f>
        <v>Chicago (Simeon)</v>
      </c>
    </row>
    <row r="220" spans="1:9" ht="15.75" thickBot="1" x14ac:dyDescent="0.3">
      <c r="A220" s="18" t="s">
        <v>307</v>
      </c>
      <c r="B220" s="8">
        <v>1245</v>
      </c>
      <c r="C220" s="4" t="s">
        <v>12</v>
      </c>
      <c r="D220" s="4"/>
      <c r="E220" s="4" t="s">
        <v>13</v>
      </c>
      <c r="F220" s="4"/>
      <c r="G220" s="4" t="s">
        <v>13</v>
      </c>
      <c r="H220" s="19" t="s">
        <v>13</v>
      </c>
      <c r="I220" t="str">
        <f>VLOOKUP(A220,All!A:A,1,FALSE)</f>
        <v>Chicago (Solorio Academy)</v>
      </c>
    </row>
    <row r="221" spans="1:9" ht="15.75" thickBot="1" x14ac:dyDescent="0.3">
      <c r="A221" s="20" t="s">
        <v>308</v>
      </c>
      <c r="B221" s="7" t="s">
        <v>309</v>
      </c>
      <c r="C221" s="6"/>
      <c r="D221" s="6"/>
      <c r="E221" s="6"/>
      <c r="F221" s="6"/>
      <c r="G221" s="10" t="s">
        <v>13</v>
      </c>
      <c r="H221" s="23" t="s">
        <v>13</v>
      </c>
      <c r="I221" t="str">
        <f>VLOOKUP(A221,All!A:A,1,FALSE)</f>
        <v>Chicago (South Shore International College Prep)</v>
      </c>
    </row>
    <row r="222" spans="1:9" ht="15.75" thickBot="1" x14ac:dyDescent="0.3">
      <c r="A222" s="18" t="s">
        <v>310</v>
      </c>
      <c r="B222" s="3" t="s">
        <v>311</v>
      </c>
      <c r="C222" s="10" t="s">
        <v>11</v>
      </c>
      <c r="D222" s="10" t="s">
        <v>11</v>
      </c>
      <c r="E222" s="10" t="s">
        <v>12</v>
      </c>
      <c r="F222" s="11" t="s">
        <v>9</v>
      </c>
      <c r="G222" s="10" t="s">
        <v>12</v>
      </c>
      <c r="H222" s="23" t="s">
        <v>12</v>
      </c>
      <c r="I222" t="str">
        <f>VLOOKUP(A222,All!A:A,1,FALSE)</f>
        <v>Chicago (St. Ignatius College Prep)</v>
      </c>
    </row>
    <row r="223" spans="1:9" ht="15.75" thickBot="1" x14ac:dyDescent="0.3">
      <c r="A223" s="20" t="s">
        <v>312</v>
      </c>
      <c r="B223" s="7" t="s">
        <v>313</v>
      </c>
      <c r="C223" s="10" t="s">
        <v>11</v>
      </c>
      <c r="D223" s="6"/>
      <c r="E223" s="6"/>
      <c r="F223" s="6"/>
      <c r="G223" s="11" t="s">
        <v>13</v>
      </c>
      <c r="H223" s="21"/>
      <c r="I223" t="str">
        <f>VLOOKUP(A223,All!A:A,1,FALSE)</f>
        <v>Chicago (St. Patrick)</v>
      </c>
    </row>
    <row r="224" spans="1:9" ht="15.75" thickBot="1" x14ac:dyDescent="0.3">
      <c r="A224" s="18" t="s">
        <v>314</v>
      </c>
      <c r="B224" s="3" t="s">
        <v>42</v>
      </c>
      <c r="C224" s="10" t="s">
        <v>12</v>
      </c>
      <c r="D224" s="4"/>
      <c r="E224" s="4"/>
      <c r="F224" s="4"/>
      <c r="G224" s="10" t="s">
        <v>12</v>
      </c>
      <c r="H224" s="19"/>
      <c r="I224" t="str">
        <f>VLOOKUP(A224,All!A:A,1,FALSE)</f>
        <v>Chicago (St. Rita)</v>
      </c>
    </row>
    <row r="225" spans="1:9" ht="15.75" thickBot="1" x14ac:dyDescent="0.3">
      <c r="A225" s="20" t="s">
        <v>315</v>
      </c>
      <c r="B225" s="5">
        <v>1062</v>
      </c>
      <c r="C225" s="6" t="s">
        <v>12</v>
      </c>
      <c r="D225" s="6" t="s">
        <v>12</v>
      </c>
      <c r="E225" s="6"/>
      <c r="F225" s="6"/>
      <c r="G225" s="6" t="s">
        <v>13</v>
      </c>
      <c r="H225" s="21" t="s">
        <v>13</v>
      </c>
      <c r="I225" t="str">
        <f>VLOOKUP(A225,All!A:A,1,FALSE)</f>
        <v>Chicago (Steinmetz)</v>
      </c>
    </row>
    <row r="226" spans="1:9" ht="15.75" thickBot="1" x14ac:dyDescent="0.3">
      <c r="A226" s="18" t="s">
        <v>316</v>
      </c>
      <c r="B226" s="3">
        <v>711</v>
      </c>
      <c r="C226" s="4"/>
      <c r="D226" s="4"/>
      <c r="E226" s="4"/>
      <c r="F226" s="4"/>
      <c r="G226" s="4" t="s">
        <v>13</v>
      </c>
      <c r="H226" s="19" t="s">
        <v>13</v>
      </c>
      <c r="I226" t="str">
        <f>VLOOKUP(A226,All!A:A,1,FALSE)</f>
        <v>Chicago (Sullivan)</v>
      </c>
    </row>
    <row r="227" spans="1:9" ht="15.75" thickBot="1" x14ac:dyDescent="0.3">
      <c r="A227" s="20" t="s">
        <v>317</v>
      </c>
      <c r="B227" s="5">
        <v>4114</v>
      </c>
      <c r="C227" s="6" t="s">
        <v>11</v>
      </c>
      <c r="D227" s="6" t="s">
        <v>11</v>
      </c>
      <c r="E227" s="6" t="s">
        <v>12</v>
      </c>
      <c r="F227" s="6" t="s">
        <v>13</v>
      </c>
      <c r="G227" s="6" t="s">
        <v>12</v>
      </c>
      <c r="H227" s="21" t="s">
        <v>12</v>
      </c>
      <c r="I227" t="str">
        <f>VLOOKUP(A227,All!A:A,1,FALSE)</f>
        <v>Chicago (Taft)</v>
      </c>
    </row>
    <row r="228" spans="1:9" ht="15.75" thickBot="1" x14ac:dyDescent="0.3">
      <c r="A228" s="18" t="s">
        <v>318</v>
      </c>
      <c r="B228" s="3" t="s">
        <v>319</v>
      </c>
      <c r="C228" s="4"/>
      <c r="D228" s="4"/>
      <c r="E228" s="4"/>
      <c r="F228" s="4"/>
      <c r="G228" s="10" t="s">
        <v>13</v>
      </c>
      <c r="H228" s="23" t="s">
        <v>13</v>
      </c>
      <c r="I228" t="str">
        <f>VLOOKUP(A228,All!A:A,1,FALSE)</f>
        <v>Chicago (UCCS/Woodlawn)</v>
      </c>
    </row>
    <row r="229" spans="1:9" ht="15.75" thickBot="1" x14ac:dyDescent="0.3">
      <c r="A229" s="20" t="s">
        <v>320</v>
      </c>
      <c r="B229" s="7" t="s">
        <v>321</v>
      </c>
      <c r="C229" s="11" t="s">
        <v>13</v>
      </c>
      <c r="D229" s="6"/>
      <c r="E229" s="10" t="s">
        <v>13</v>
      </c>
      <c r="F229" s="12" t="s">
        <v>13</v>
      </c>
      <c r="G229" s="10" t="s">
        <v>13</v>
      </c>
      <c r="H229" s="23" t="s">
        <v>13</v>
      </c>
      <c r="I229" t="str">
        <f>VLOOKUP(A229,All!A:A,1,FALSE)</f>
        <v>Chicago (University)</v>
      </c>
    </row>
    <row r="230" spans="1:9" ht="15.75" thickBot="1" x14ac:dyDescent="0.3">
      <c r="A230" s="18" t="s">
        <v>322</v>
      </c>
      <c r="B230" s="3" t="s">
        <v>323</v>
      </c>
      <c r="C230" s="4"/>
      <c r="D230" s="4"/>
      <c r="E230" s="4"/>
      <c r="F230" s="4"/>
      <c r="G230" s="10" t="s">
        <v>9</v>
      </c>
      <c r="H230" s="23" t="s">
        <v>9</v>
      </c>
      <c r="I230" t="str">
        <f>VLOOKUP(A230,All!A:A,1,FALSE)</f>
        <v>Chicago (Uplift)</v>
      </c>
    </row>
    <row r="231" spans="1:9" ht="15.75" thickBot="1" x14ac:dyDescent="0.3">
      <c r="A231" s="20" t="s">
        <v>324</v>
      </c>
      <c r="B231" s="7" t="s">
        <v>325</v>
      </c>
      <c r="C231" s="6"/>
      <c r="D231" s="6"/>
      <c r="E231" s="6"/>
      <c r="F231" s="6"/>
      <c r="G231" s="9" t="s">
        <v>13</v>
      </c>
      <c r="H231" s="21"/>
      <c r="I231" t="str">
        <f>VLOOKUP(A231,All!A:A,1,FALSE)</f>
        <v>Chicago (Urban Prep/Bronzeville)</v>
      </c>
    </row>
    <row r="232" spans="1:9" ht="15.75" thickBot="1" x14ac:dyDescent="0.3">
      <c r="A232" s="18" t="s">
        <v>326</v>
      </c>
      <c r="B232" s="3" t="s">
        <v>327</v>
      </c>
      <c r="C232" s="10" t="s">
        <v>11</v>
      </c>
      <c r="D232" s="4"/>
      <c r="E232" s="10" t="s">
        <v>12</v>
      </c>
      <c r="F232" s="4"/>
      <c r="G232" s="9" t="s">
        <v>12</v>
      </c>
      <c r="H232" s="22" t="s">
        <v>12</v>
      </c>
      <c r="I232" t="str">
        <f>VLOOKUP(A232,All!A:A,1,FALSE)</f>
        <v>Chicago (Von Steuben)</v>
      </c>
    </row>
    <row r="233" spans="1:9" ht="15.75" thickBot="1" x14ac:dyDescent="0.3">
      <c r="A233" s="20" t="s">
        <v>328</v>
      </c>
      <c r="B233" s="5">
        <v>1464</v>
      </c>
      <c r="C233" s="6" t="s">
        <v>12</v>
      </c>
      <c r="D233" s="6" t="s">
        <v>12</v>
      </c>
      <c r="E233" s="6" t="s">
        <v>13</v>
      </c>
      <c r="F233" s="6"/>
      <c r="G233" s="6" t="s">
        <v>12</v>
      </c>
      <c r="H233" s="21" t="s">
        <v>12</v>
      </c>
      <c r="I233" t="str">
        <f>VLOOKUP(A233,All!A:A,1,FALSE)</f>
        <v>Chicago (Washington)</v>
      </c>
    </row>
    <row r="234" spans="1:9" ht="15.75" thickBot="1" x14ac:dyDescent="0.3">
      <c r="A234" s="18" t="s">
        <v>329</v>
      </c>
      <c r="B234" s="3" t="s">
        <v>330</v>
      </c>
      <c r="C234" s="4"/>
      <c r="D234" s="4"/>
      <c r="E234" s="10" t="s">
        <v>12</v>
      </c>
      <c r="F234" s="4"/>
      <c r="G234" s="10" t="s">
        <v>12</v>
      </c>
      <c r="H234" s="23" t="s">
        <v>12</v>
      </c>
      <c r="I234" t="str">
        <f>VLOOKUP(A234,All!A:A,1,FALSE)</f>
        <v>Chicago (Westinghouse College Prep)</v>
      </c>
    </row>
    <row r="235" spans="1:9" ht="15.75" thickBot="1" x14ac:dyDescent="0.3">
      <c r="A235" s="25" t="s">
        <v>0</v>
      </c>
      <c r="B235" s="1" t="s">
        <v>1</v>
      </c>
      <c r="C235" s="2" t="s">
        <v>2</v>
      </c>
      <c r="D235" s="2" t="s">
        <v>3</v>
      </c>
      <c r="E235" s="2" t="s">
        <v>4</v>
      </c>
      <c r="F235" s="2" t="s">
        <v>5</v>
      </c>
      <c r="G235" s="2" t="s">
        <v>6</v>
      </c>
      <c r="H235" s="26" t="s">
        <v>7</v>
      </c>
      <c r="I235" t="str">
        <f>VLOOKUP(A235,All!A:A,1,FALSE)</f>
        <v>School</v>
      </c>
    </row>
    <row r="236" spans="1:9" ht="15.75" thickBot="1" x14ac:dyDescent="0.3">
      <c r="A236" s="20" t="s">
        <v>331</v>
      </c>
      <c r="B236" s="7" t="s">
        <v>332</v>
      </c>
      <c r="C236" s="10" t="s">
        <v>11</v>
      </c>
      <c r="D236" s="10" t="s">
        <v>11</v>
      </c>
      <c r="E236" s="10" t="s">
        <v>12</v>
      </c>
      <c r="F236" s="10" t="s">
        <v>13</v>
      </c>
      <c r="G236" s="10" t="s">
        <v>12</v>
      </c>
      <c r="H236" s="23" t="s">
        <v>12</v>
      </c>
      <c r="I236" t="str">
        <f>VLOOKUP(A236,All!A:A,1,FALSE)</f>
        <v>Chicago (Whitney Young)</v>
      </c>
    </row>
    <row r="237" spans="1:9" ht="15.75" thickBot="1" x14ac:dyDescent="0.3">
      <c r="A237" s="18" t="s">
        <v>333</v>
      </c>
      <c r="B237" s="3" t="s">
        <v>334</v>
      </c>
      <c r="C237" s="4"/>
      <c r="D237" s="4"/>
      <c r="E237" s="4"/>
      <c r="F237" s="4"/>
      <c r="G237" s="10" t="s">
        <v>9</v>
      </c>
      <c r="H237" s="23" t="s">
        <v>9</v>
      </c>
      <c r="I237" t="str">
        <f>VLOOKUP(A237,All!A:A,1,FALSE)</f>
        <v>Chicago (Wolcott)</v>
      </c>
    </row>
    <row r="238" spans="1:9" ht="15.75" thickBot="1" x14ac:dyDescent="0.3">
      <c r="A238" s="20" t="s">
        <v>335</v>
      </c>
      <c r="B238" s="5">
        <v>2964</v>
      </c>
      <c r="C238" s="6" t="s">
        <v>11</v>
      </c>
      <c r="D238" s="6" t="s">
        <v>11</v>
      </c>
      <c r="E238" s="6" t="s">
        <v>12</v>
      </c>
      <c r="F238" s="6"/>
      <c r="G238" s="6" t="s">
        <v>12</v>
      </c>
      <c r="H238" s="21" t="s">
        <v>12</v>
      </c>
      <c r="I238" t="str">
        <f>VLOOKUP(A238,All!A:A,1,FALSE)</f>
        <v>Chicago Heights (Bloom Twp.)</v>
      </c>
    </row>
    <row r="239" spans="1:9" ht="15.75" thickBot="1" x14ac:dyDescent="0.3">
      <c r="A239" s="18" t="s">
        <v>336</v>
      </c>
      <c r="B239" s="3" t="s">
        <v>337</v>
      </c>
      <c r="C239" s="10" t="s">
        <v>12</v>
      </c>
      <c r="D239" s="10" t="s">
        <v>12</v>
      </c>
      <c r="E239" s="10" t="s">
        <v>13</v>
      </c>
      <c r="F239" s="10" t="s">
        <v>9</v>
      </c>
      <c r="G239" s="10" t="s">
        <v>13</v>
      </c>
      <c r="H239" s="23" t="s">
        <v>13</v>
      </c>
      <c r="I239" t="str">
        <f>VLOOKUP(A239,All!A:A,1,FALSE)</f>
        <v>Chicago Heights (Marian)</v>
      </c>
    </row>
    <row r="240" spans="1:9" ht="15.75" thickBot="1" x14ac:dyDescent="0.3">
      <c r="A240" s="20" t="s">
        <v>338</v>
      </c>
      <c r="B240" s="7">
        <v>624</v>
      </c>
      <c r="C240" s="6" t="s">
        <v>13</v>
      </c>
      <c r="D240" s="6" t="s">
        <v>13</v>
      </c>
      <c r="E240" s="6" t="s">
        <v>9</v>
      </c>
      <c r="F240" s="6"/>
      <c r="G240" s="6" t="s">
        <v>13</v>
      </c>
      <c r="H240" s="21" t="s">
        <v>13</v>
      </c>
      <c r="I240" t="str">
        <f>VLOOKUP(A240,All!A:A,1,FALSE)</f>
        <v>Chillicothe (Illinois Valley Central)</v>
      </c>
    </row>
    <row r="241" spans="1:9" ht="15.75" thickBot="1" x14ac:dyDescent="0.3">
      <c r="A241" s="18" t="s">
        <v>339</v>
      </c>
      <c r="B241" s="3">
        <v>90</v>
      </c>
      <c r="C241" s="4"/>
      <c r="D241" s="4" t="s">
        <v>9</v>
      </c>
      <c r="E241" s="4"/>
      <c r="F241" s="4"/>
      <c r="G241" s="4"/>
      <c r="H241" s="19"/>
      <c r="I241" t="str">
        <f>VLOOKUP(A241,All!A:A,1,FALSE)</f>
        <v>Chrisman</v>
      </c>
    </row>
    <row r="242" spans="1:9" ht="15.75" thickBot="1" x14ac:dyDescent="0.3">
      <c r="A242" s="20" t="s">
        <v>340</v>
      </c>
      <c r="B242" s="7">
        <v>202</v>
      </c>
      <c r="C242" s="6"/>
      <c r="D242" s="6"/>
      <c r="E242" s="6"/>
      <c r="F242" s="6"/>
      <c r="G242" s="9" t="s">
        <v>9</v>
      </c>
      <c r="H242" s="22" t="s">
        <v>9</v>
      </c>
      <c r="I242" t="str">
        <f>VLOOKUP(A242,All!A:A,1,FALSE)</f>
        <v>Christopher</v>
      </c>
    </row>
    <row r="243" spans="1:9" ht="15.75" thickBot="1" x14ac:dyDescent="0.3">
      <c r="A243" s="18" t="s">
        <v>341</v>
      </c>
      <c r="B243" s="3">
        <v>104</v>
      </c>
      <c r="C243" s="4" t="s">
        <v>9</v>
      </c>
      <c r="D243" s="4" t="s">
        <v>9</v>
      </c>
      <c r="E243" s="4"/>
      <c r="F243" s="4"/>
      <c r="G243" s="4" t="s">
        <v>9</v>
      </c>
      <c r="H243" s="19" t="s">
        <v>9</v>
      </c>
      <c r="I243" t="str">
        <f>VLOOKUP(A243,All!A:A,1,FALSE)</f>
        <v>Cisne</v>
      </c>
    </row>
    <row r="244" spans="1:9" ht="15.75" thickBot="1" x14ac:dyDescent="0.3">
      <c r="A244" s="20" t="s">
        <v>342</v>
      </c>
      <c r="B244" s="7">
        <v>100</v>
      </c>
      <c r="C244" s="9" t="s">
        <v>9</v>
      </c>
      <c r="D244" s="6"/>
      <c r="E244" s="6"/>
      <c r="F244" s="6"/>
      <c r="G244" s="6"/>
      <c r="H244" s="21"/>
      <c r="I244" t="str">
        <f>VLOOKUP(A244,All!A:A,1,FALSE)</f>
        <v>Cissna Park</v>
      </c>
    </row>
    <row r="245" spans="1:9" ht="15.75" thickBot="1" x14ac:dyDescent="0.3">
      <c r="A245" s="18" t="s">
        <v>343</v>
      </c>
      <c r="B245" s="3">
        <v>277</v>
      </c>
      <c r="C245" s="4" t="s">
        <v>9</v>
      </c>
      <c r="D245" s="4" t="s">
        <v>9</v>
      </c>
      <c r="E245" s="4"/>
      <c r="F245" s="4"/>
      <c r="G245" s="4" t="s">
        <v>9</v>
      </c>
      <c r="H245" s="19" t="s">
        <v>9</v>
      </c>
      <c r="I245" t="str">
        <f>VLOOKUP(A245,All!A:A,1,FALSE)</f>
        <v>Clifton (Central)</v>
      </c>
    </row>
    <row r="246" spans="1:9" ht="15.75" thickBot="1" x14ac:dyDescent="0.3">
      <c r="A246" s="20" t="s">
        <v>344</v>
      </c>
      <c r="B246" s="7">
        <v>485</v>
      </c>
      <c r="C246" s="6" t="s">
        <v>13</v>
      </c>
      <c r="D246" s="6" t="s">
        <v>13</v>
      </c>
      <c r="E246" s="6"/>
      <c r="F246" s="6"/>
      <c r="G246" s="6" t="s">
        <v>13</v>
      </c>
      <c r="H246" s="21" t="s">
        <v>13</v>
      </c>
      <c r="I246" t="str">
        <f>VLOOKUP(A246,All!A:A,1,FALSE)</f>
        <v>Clinton</v>
      </c>
    </row>
    <row r="247" spans="1:9" ht="15.75" thickBot="1" x14ac:dyDescent="0.3">
      <c r="A247" s="18" t="s">
        <v>345</v>
      </c>
      <c r="B247" s="3">
        <v>640</v>
      </c>
      <c r="C247" s="4" t="s">
        <v>13</v>
      </c>
      <c r="D247" s="4" t="s">
        <v>13</v>
      </c>
      <c r="E247" s="4" t="s">
        <v>9</v>
      </c>
      <c r="F247" s="4" t="s">
        <v>9</v>
      </c>
      <c r="G247" s="4" t="s">
        <v>13</v>
      </c>
      <c r="H247" s="19" t="s">
        <v>13</v>
      </c>
      <c r="I247" t="str">
        <f>VLOOKUP(A247,All!A:A,1,FALSE)</f>
        <v>Coal City</v>
      </c>
    </row>
    <row r="248" spans="1:9" ht="15.75" thickBot="1" x14ac:dyDescent="0.3">
      <c r="A248" s="20" t="s">
        <v>346</v>
      </c>
      <c r="B248" s="7">
        <v>133</v>
      </c>
      <c r="C248" s="6" t="s">
        <v>9</v>
      </c>
      <c r="D248" s="6" t="s">
        <v>9</v>
      </c>
      <c r="E248" s="6"/>
      <c r="F248" s="6"/>
      <c r="G248" s="6" t="s">
        <v>9</v>
      </c>
      <c r="H248" s="21" t="s">
        <v>9</v>
      </c>
      <c r="I248" t="str">
        <f>VLOOKUP(A248,All!A:A,1,FALSE)</f>
        <v>Cobden</v>
      </c>
    </row>
    <row r="249" spans="1:9" ht="15.75" thickBot="1" x14ac:dyDescent="0.3">
      <c r="A249" s="18" t="s">
        <v>347</v>
      </c>
      <c r="B249" s="3">
        <v>162</v>
      </c>
      <c r="C249" s="4" t="s">
        <v>9</v>
      </c>
      <c r="D249" s="4"/>
      <c r="E249" s="4"/>
      <c r="F249" s="4"/>
      <c r="G249" s="9" t="s">
        <v>9</v>
      </c>
      <c r="H249" s="22" t="s">
        <v>9</v>
      </c>
      <c r="I249" t="str">
        <f>VLOOKUP(A249,All!A:A,1,FALSE)</f>
        <v>Colfax (Ridgeview)</v>
      </c>
    </row>
    <row r="250" spans="1:9" ht="15.75" thickBot="1" x14ac:dyDescent="0.3">
      <c r="A250" s="20" t="s">
        <v>348</v>
      </c>
      <c r="B250" s="5">
        <v>1917</v>
      </c>
      <c r="C250" s="6" t="s">
        <v>11</v>
      </c>
      <c r="D250" s="6" t="s">
        <v>11</v>
      </c>
      <c r="E250" s="6" t="s">
        <v>12</v>
      </c>
      <c r="F250" s="6" t="s">
        <v>13</v>
      </c>
      <c r="G250" s="6" t="s">
        <v>12</v>
      </c>
      <c r="H250" s="21" t="s">
        <v>12</v>
      </c>
      <c r="I250" t="str">
        <f>VLOOKUP(A250,All!A:A,1,FALSE)</f>
        <v>Collinsville</v>
      </c>
    </row>
    <row r="251" spans="1:9" ht="15.75" thickBot="1" x14ac:dyDescent="0.3">
      <c r="A251" s="18" t="s">
        <v>349</v>
      </c>
      <c r="B251" s="3">
        <v>600</v>
      </c>
      <c r="C251" s="4" t="s">
        <v>13</v>
      </c>
      <c r="D251" s="4" t="s">
        <v>13</v>
      </c>
      <c r="E251" s="4" t="s">
        <v>9</v>
      </c>
      <c r="F251" s="4"/>
      <c r="G251" s="4" t="s">
        <v>13</v>
      </c>
      <c r="H251" s="19" t="s">
        <v>13</v>
      </c>
      <c r="I251" t="str">
        <f>VLOOKUP(A251,All!A:A,1,FALSE)</f>
        <v>Columbia</v>
      </c>
    </row>
    <row r="252" spans="1:9" ht="15.75" thickBot="1" x14ac:dyDescent="0.3">
      <c r="A252" s="20" t="s">
        <v>350</v>
      </c>
      <c r="B252" s="7">
        <v>120</v>
      </c>
      <c r="C252" s="9" t="s">
        <v>9</v>
      </c>
      <c r="D252" s="9" t="s">
        <v>9</v>
      </c>
      <c r="E252" s="6"/>
      <c r="F252" s="6"/>
      <c r="G252" s="6"/>
      <c r="H252" s="21"/>
      <c r="I252" t="str">
        <f>VLOOKUP(A252,All!A:A,1,FALSE)</f>
        <v>Concord (Triopia)</v>
      </c>
    </row>
    <row r="253" spans="1:9" ht="15.75" thickBot="1" x14ac:dyDescent="0.3">
      <c r="A253" s="18" t="s">
        <v>351</v>
      </c>
      <c r="B253" s="8">
        <v>1001</v>
      </c>
      <c r="C253" s="4" t="s">
        <v>12</v>
      </c>
      <c r="D253" s="4" t="s">
        <v>12</v>
      </c>
      <c r="E253" s="4"/>
      <c r="F253" s="4" t="s">
        <v>9</v>
      </c>
      <c r="G253" s="4" t="s">
        <v>13</v>
      </c>
      <c r="H253" s="19" t="s">
        <v>13</v>
      </c>
      <c r="I253" t="str">
        <f>VLOOKUP(A253,All!A:A,1,FALSE)</f>
        <v>Country Club Hills (Hillcrest)</v>
      </c>
    </row>
    <row r="254" spans="1:9" ht="15.75" thickBot="1" x14ac:dyDescent="0.3">
      <c r="A254" s="20" t="s">
        <v>352</v>
      </c>
      <c r="B254" s="7">
        <v>98</v>
      </c>
      <c r="C254" s="6"/>
      <c r="D254" s="6"/>
      <c r="E254" s="6"/>
      <c r="F254" s="6"/>
      <c r="G254" s="9" t="s">
        <v>9</v>
      </c>
      <c r="H254" s="22" t="s">
        <v>9</v>
      </c>
      <c r="I254" t="str">
        <f>VLOOKUP(A254,All!A:A,1,FALSE)</f>
        <v>Cowden (C.-Herrick)</v>
      </c>
    </row>
    <row r="255" spans="1:9" ht="15.75" thickBot="1" x14ac:dyDescent="0.3">
      <c r="A255" s="18" t="s">
        <v>353</v>
      </c>
      <c r="B255" s="8">
        <v>1461</v>
      </c>
      <c r="C255" s="4" t="s">
        <v>12</v>
      </c>
      <c r="D255" s="4" t="s">
        <v>12</v>
      </c>
      <c r="E255" s="4" t="s">
        <v>13</v>
      </c>
      <c r="F255" s="4" t="s">
        <v>9</v>
      </c>
      <c r="G255" s="4" t="s">
        <v>12</v>
      </c>
      <c r="H255" s="19" t="s">
        <v>12</v>
      </c>
      <c r="I255" t="str">
        <f>VLOOKUP(A255,All!A:A,1,FALSE)</f>
        <v>Crete (C.-Monee)</v>
      </c>
    </row>
    <row r="256" spans="1:9" ht="15.75" thickBot="1" x14ac:dyDescent="0.3">
      <c r="A256" s="20" t="s">
        <v>354</v>
      </c>
      <c r="B256" s="7" t="s">
        <v>355</v>
      </c>
      <c r="C256" s="6"/>
      <c r="D256" s="10" t="s">
        <v>9</v>
      </c>
      <c r="E256" s="6"/>
      <c r="F256" s="6"/>
      <c r="G256" s="10" t="s">
        <v>9</v>
      </c>
      <c r="H256" s="23" t="s">
        <v>9</v>
      </c>
      <c r="I256" t="str">
        <f>VLOOKUP(A256,All!A:A,1,FALSE)</f>
        <v>Crete (Illinois Lutheran)</v>
      </c>
    </row>
    <row r="257" spans="1:9" ht="15.75" thickBot="1" x14ac:dyDescent="0.3">
      <c r="A257" s="18" t="s">
        <v>356</v>
      </c>
      <c r="B257" s="8">
        <v>1447</v>
      </c>
      <c r="C257" s="4" t="s">
        <v>12</v>
      </c>
      <c r="D257" s="4" t="s">
        <v>12</v>
      </c>
      <c r="E257" s="4" t="s">
        <v>13</v>
      </c>
      <c r="F257" s="4" t="s">
        <v>9</v>
      </c>
      <c r="G257" s="4" t="s">
        <v>12</v>
      </c>
      <c r="H257" s="19" t="s">
        <v>12</v>
      </c>
      <c r="I257" t="str">
        <f>VLOOKUP(A257,All!A:A,1,FALSE)</f>
        <v>Crystal Lake (Central)</v>
      </c>
    </row>
    <row r="258" spans="1:9" ht="15.75" thickBot="1" x14ac:dyDescent="0.3">
      <c r="A258" s="20" t="s">
        <v>357</v>
      </c>
      <c r="B258" s="5">
        <v>1175</v>
      </c>
      <c r="C258" s="6" t="s">
        <v>12</v>
      </c>
      <c r="D258" s="6" t="s">
        <v>12</v>
      </c>
      <c r="E258" s="6" t="s">
        <v>13</v>
      </c>
      <c r="F258" s="6" t="s">
        <v>9</v>
      </c>
      <c r="G258" s="6" t="s">
        <v>13</v>
      </c>
      <c r="H258" s="21" t="s">
        <v>13</v>
      </c>
      <c r="I258" t="str">
        <f>VLOOKUP(A258,All!A:A,1,FALSE)</f>
        <v>Crystal Lake (Prairie Ridge)</v>
      </c>
    </row>
    <row r="259" spans="1:9" ht="15.75" thickBot="1" x14ac:dyDescent="0.3">
      <c r="A259" s="18" t="s">
        <v>358</v>
      </c>
      <c r="B259" s="8">
        <v>1224</v>
      </c>
      <c r="C259" s="4" t="s">
        <v>12</v>
      </c>
      <c r="D259" s="4" t="s">
        <v>12</v>
      </c>
      <c r="E259" s="4" t="s">
        <v>13</v>
      </c>
      <c r="F259" s="4" t="s">
        <v>9</v>
      </c>
      <c r="G259" s="4" t="s">
        <v>13</v>
      </c>
      <c r="H259" s="19" t="s">
        <v>13</v>
      </c>
      <c r="I259" t="str">
        <f>VLOOKUP(A259,All!A:A,1,FALSE)</f>
        <v>Crystal Lake (South)</v>
      </c>
    </row>
    <row r="260" spans="1:9" ht="15.75" thickBot="1" x14ac:dyDescent="0.3">
      <c r="A260" s="20" t="s">
        <v>359</v>
      </c>
      <c r="B260" s="7">
        <v>114</v>
      </c>
      <c r="C260" s="9" t="s">
        <v>13</v>
      </c>
      <c r="D260" s="6"/>
      <c r="E260" s="6"/>
      <c r="F260" s="6"/>
      <c r="G260" s="6"/>
      <c r="H260" s="21"/>
      <c r="I260" t="str">
        <f>VLOOKUP(A260,All!A:A,1,FALSE)</f>
        <v>Cuba</v>
      </c>
    </row>
    <row r="261" spans="1:9" ht="15.75" thickBot="1" x14ac:dyDescent="0.3">
      <c r="A261" s="25" t="s">
        <v>0</v>
      </c>
      <c r="B261" s="1" t="s">
        <v>1</v>
      </c>
      <c r="C261" s="2" t="s">
        <v>2</v>
      </c>
      <c r="D261" s="2" t="s">
        <v>3</v>
      </c>
      <c r="E261" s="2" t="s">
        <v>4</v>
      </c>
      <c r="F261" s="2" t="s">
        <v>5</v>
      </c>
      <c r="G261" s="2" t="s">
        <v>6</v>
      </c>
      <c r="H261" s="26" t="s">
        <v>7</v>
      </c>
      <c r="I261" t="str">
        <f>VLOOKUP(A261,All!A:A,1,FALSE)</f>
        <v>School</v>
      </c>
    </row>
    <row r="262" spans="1:9" ht="15.75" thickBot="1" x14ac:dyDescent="0.3">
      <c r="A262" s="18" t="s">
        <v>360</v>
      </c>
      <c r="B262" s="3">
        <v>91</v>
      </c>
      <c r="C262" s="4"/>
      <c r="D262" s="4"/>
      <c r="E262" s="4"/>
      <c r="F262" s="4"/>
      <c r="G262" s="4" t="s">
        <v>9</v>
      </c>
      <c r="H262" s="19" t="s">
        <v>9</v>
      </c>
      <c r="I262" t="str">
        <f>VLOOKUP(A262,All!A:A,1,FALSE)</f>
        <v>Cullom (Tri-Point)</v>
      </c>
    </row>
    <row r="263" spans="1:9" ht="15.75" thickBot="1" x14ac:dyDescent="0.3">
      <c r="A263" s="20" t="s">
        <v>361</v>
      </c>
      <c r="B263" s="7">
        <v>237</v>
      </c>
      <c r="C263" s="6" t="s">
        <v>9</v>
      </c>
      <c r="D263" s="6" t="s">
        <v>9</v>
      </c>
      <c r="E263" s="6"/>
      <c r="F263" s="6"/>
      <c r="G263" s="6" t="s">
        <v>9</v>
      </c>
      <c r="H263" s="21" t="s">
        <v>9</v>
      </c>
      <c r="I263" t="str">
        <f>VLOOKUP(A263,All!A:A,1,FALSE)</f>
        <v>Dakota</v>
      </c>
    </row>
    <row r="264" spans="1:9" ht="15.75" thickBot="1" x14ac:dyDescent="0.3">
      <c r="A264" s="18" t="s">
        <v>362</v>
      </c>
      <c r="B264" s="8">
        <v>1159</v>
      </c>
      <c r="C264" s="4" t="s">
        <v>12</v>
      </c>
      <c r="D264" s="4" t="s">
        <v>12</v>
      </c>
      <c r="E264" s="4" t="s">
        <v>13</v>
      </c>
      <c r="F264" s="4" t="s">
        <v>9</v>
      </c>
      <c r="G264" s="4" t="s">
        <v>13</v>
      </c>
      <c r="H264" s="19" t="s">
        <v>13</v>
      </c>
      <c r="I264" t="str">
        <f>VLOOKUP(A264,All!A:A,1,FALSE)</f>
        <v>Danville (H.S.)</v>
      </c>
    </row>
    <row r="265" spans="1:9" ht="15.75" thickBot="1" x14ac:dyDescent="0.3">
      <c r="A265" s="20" t="s">
        <v>363</v>
      </c>
      <c r="B265" s="7" t="s">
        <v>364</v>
      </c>
      <c r="C265" s="10" t="s">
        <v>9</v>
      </c>
      <c r="D265" s="6"/>
      <c r="E265" s="6"/>
      <c r="F265" s="6"/>
      <c r="G265" s="10" t="s">
        <v>9</v>
      </c>
      <c r="H265" s="23" t="s">
        <v>9</v>
      </c>
      <c r="I265" t="str">
        <f>VLOOKUP(A265,All!A:A,1,FALSE)</f>
        <v>Danville (Schlarman)</v>
      </c>
    </row>
    <row r="266" spans="1:9" ht="15.75" thickBot="1" x14ac:dyDescent="0.3">
      <c r="A266" s="18" t="s">
        <v>365</v>
      </c>
      <c r="B266" s="8">
        <v>1340</v>
      </c>
      <c r="C266" s="4" t="s">
        <v>12</v>
      </c>
      <c r="D266" s="4" t="s">
        <v>12</v>
      </c>
      <c r="E266" s="4" t="s">
        <v>13</v>
      </c>
      <c r="F266" s="4" t="s">
        <v>9</v>
      </c>
      <c r="G266" s="4" t="s">
        <v>12</v>
      </c>
      <c r="H266" s="19" t="s">
        <v>12</v>
      </c>
      <c r="I266" t="str">
        <f>VLOOKUP(A266,All!A:A,1,FALSE)</f>
        <v>Darien (Hinsdale South)</v>
      </c>
    </row>
    <row r="267" spans="1:9" ht="15.75" thickBot="1" x14ac:dyDescent="0.3">
      <c r="A267" s="20" t="s">
        <v>366</v>
      </c>
      <c r="B267" s="7">
        <v>860</v>
      </c>
      <c r="C267" s="6"/>
      <c r="D267" s="6" t="s">
        <v>12</v>
      </c>
      <c r="E267" s="6" t="s">
        <v>13</v>
      </c>
      <c r="F267" s="6"/>
      <c r="G267" s="6" t="s">
        <v>13</v>
      </c>
      <c r="H267" s="21" t="s">
        <v>13</v>
      </c>
      <c r="I267" t="str">
        <f>VLOOKUP(A267,All!A:A,1,FALSE)</f>
        <v>Decatur (Eisenhower)</v>
      </c>
    </row>
    <row r="268" spans="1:9" ht="15.75" thickBot="1" x14ac:dyDescent="0.3">
      <c r="A268" s="18" t="s">
        <v>367</v>
      </c>
      <c r="B268" s="8">
        <v>1009</v>
      </c>
      <c r="C268" s="9" t="s">
        <v>11</v>
      </c>
      <c r="D268" s="4" t="s">
        <v>12</v>
      </c>
      <c r="E268" s="4"/>
      <c r="F268" s="4"/>
      <c r="G268" s="4" t="s">
        <v>13</v>
      </c>
      <c r="H268" s="19" t="s">
        <v>13</v>
      </c>
      <c r="I268" t="str">
        <f>VLOOKUP(A268,All!A:A,1,FALSE)</f>
        <v>Decatur (MacArthur)</v>
      </c>
    </row>
    <row r="269" spans="1:9" ht="15.75" thickBot="1" x14ac:dyDescent="0.3">
      <c r="A269" s="20" t="s">
        <v>368</v>
      </c>
      <c r="B269" s="7" t="s">
        <v>369</v>
      </c>
      <c r="C269" s="11" t="s">
        <v>9</v>
      </c>
      <c r="D269" s="11" t="s">
        <v>9</v>
      </c>
      <c r="E269" s="10" t="s">
        <v>9</v>
      </c>
      <c r="F269" s="10" t="s">
        <v>9</v>
      </c>
      <c r="G269" s="10" t="s">
        <v>9</v>
      </c>
      <c r="H269" s="23" t="s">
        <v>9</v>
      </c>
      <c r="I269" t="str">
        <f>VLOOKUP(A269,All!A:A,1,FALSE)</f>
        <v>Decatur (St. Teresa)</v>
      </c>
    </row>
    <row r="270" spans="1:9" ht="15.75" thickBot="1" x14ac:dyDescent="0.3">
      <c r="A270" s="18" t="s">
        <v>370</v>
      </c>
      <c r="B270" s="3" t="s">
        <v>371</v>
      </c>
      <c r="C270" s="10" t="s">
        <v>9</v>
      </c>
      <c r="D270" s="4"/>
      <c r="E270" s="9" t="s">
        <v>9</v>
      </c>
      <c r="F270" s="4"/>
      <c r="G270" s="4"/>
      <c r="H270" s="19"/>
      <c r="I270" t="str">
        <f>VLOOKUP(A270,All!A:A,1,FALSE)</f>
        <v>Decatur (Unity Christian)</v>
      </c>
    </row>
    <row r="271" spans="1:9" ht="15.75" thickBot="1" x14ac:dyDescent="0.3">
      <c r="A271" s="20" t="s">
        <v>372</v>
      </c>
      <c r="B271" s="5">
        <v>1397</v>
      </c>
      <c r="C271" s="6" t="s">
        <v>12</v>
      </c>
      <c r="D271" s="6"/>
      <c r="E271" s="6" t="s">
        <v>13</v>
      </c>
      <c r="F271" s="6" t="s">
        <v>9</v>
      </c>
      <c r="G271" s="6" t="s">
        <v>12</v>
      </c>
      <c r="H271" s="21" t="s">
        <v>12</v>
      </c>
      <c r="I271" t="str">
        <f>VLOOKUP(A271,All!A:A,1,FALSE)</f>
        <v>Deerfield (H.S.)</v>
      </c>
    </row>
    <row r="272" spans="1:9" ht="15.75" thickBot="1" x14ac:dyDescent="0.3">
      <c r="A272" s="18" t="s">
        <v>373</v>
      </c>
      <c r="B272" s="3" t="s">
        <v>374</v>
      </c>
      <c r="C272" s="10" t="s">
        <v>9</v>
      </c>
      <c r="D272" s="4"/>
      <c r="E272" s="10" t="s">
        <v>9</v>
      </c>
      <c r="F272" s="4"/>
      <c r="G272" s="10" t="s">
        <v>9</v>
      </c>
      <c r="H272" s="19"/>
      <c r="I272" t="str">
        <f>VLOOKUP(A272,All!A:A,1,FALSE)</f>
        <v>Deerfield (Rochelle Zell)</v>
      </c>
    </row>
    <row r="273" spans="1:9" ht="15.75" thickBot="1" x14ac:dyDescent="0.3">
      <c r="A273" s="20" t="s">
        <v>375</v>
      </c>
      <c r="B273" s="5">
        <v>1992</v>
      </c>
      <c r="C273" s="6" t="s">
        <v>11</v>
      </c>
      <c r="D273" s="6" t="s">
        <v>11</v>
      </c>
      <c r="E273" s="6" t="s">
        <v>12</v>
      </c>
      <c r="F273" s="6" t="s">
        <v>13</v>
      </c>
      <c r="G273" s="6" t="s">
        <v>12</v>
      </c>
      <c r="H273" s="21" t="s">
        <v>12</v>
      </c>
      <c r="I273" t="str">
        <f>VLOOKUP(A273,All!A:A,1,FALSE)</f>
        <v>DeKalb</v>
      </c>
    </row>
    <row r="274" spans="1:9" ht="15.75" thickBot="1" x14ac:dyDescent="0.3">
      <c r="A274" s="18" t="s">
        <v>376</v>
      </c>
      <c r="B274" s="3">
        <v>45</v>
      </c>
      <c r="C274" s="4"/>
      <c r="D274" s="4"/>
      <c r="E274" s="4"/>
      <c r="F274" s="4"/>
      <c r="G274" s="4" t="s">
        <v>9</v>
      </c>
      <c r="H274" s="19" t="s">
        <v>9</v>
      </c>
      <c r="I274" t="str">
        <f>VLOOKUP(A274,All!A:A,1,FALSE)</f>
        <v>DeLand (D.-Weldon)</v>
      </c>
    </row>
    <row r="275" spans="1:9" ht="15.75" thickBot="1" x14ac:dyDescent="0.3">
      <c r="A275" s="20" t="s">
        <v>377</v>
      </c>
      <c r="B275" s="7">
        <v>129</v>
      </c>
      <c r="C275" s="6" t="s">
        <v>9</v>
      </c>
      <c r="D275" s="9" t="s">
        <v>9</v>
      </c>
      <c r="E275" s="6"/>
      <c r="F275" s="6"/>
      <c r="G275" s="6" t="s">
        <v>9</v>
      </c>
      <c r="H275" s="21" t="s">
        <v>9</v>
      </c>
      <c r="I275" t="str">
        <f>VLOOKUP(A275,All!A:A,1,FALSE)</f>
        <v>Delavan</v>
      </c>
    </row>
    <row r="276" spans="1:9" ht="15.75" thickBot="1" x14ac:dyDescent="0.3">
      <c r="A276" s="18" t="s">
        <v>378</v>
      </c>
      <c r="B276" s="3">
        <v>83</v>
      </c>
      <c r="C276" s="4"/>
      <c r="D276" s="4"/>
      <c r="E276" s="9" t="s">
        <v>9</v>
      </c>
      <c r="F276" s="4"/>
      <c r="G276" s="4" t="s">
        <v>9</v>
      </c>
      <c r="H276" s="19" t="s">
        <v>9</v>
      </c>
      <c r="I276" t="str">
        <f>VLOOKUP(A276,All!A:A,1,FALSE)</f>
        <v>DePue</v>
      </c>
    </row>
    <row r="277" spans="1:9" ht="15.75" thickBot="1" x14ac:dyDescent="0.3">
      <c r="A277" s="20" t="s">
        <v>379</v>
      </c>
      <c r="B277" s="5">
        <v>1817</v>
      </c>
      <c r="C277" s="6" t="s">
        <v>11</v>
      </c>
      <c r="D277" s="6" t="s">
        <v>11</v>
      </c>
      <c r="E277" s="6" t="s">
        <v>12</v>
      </c>
      <c r="F277" s="6" t="s">
        <v>13</v>
      </c>
      <c r="G277" s="6" t="s">
        <v>12</v>
      </c>
      <c r="H277" s="21" t="s">
        <v>12</v>
      </c>
      <c r="I277" t="str">
        <f>VLOOKUP(A277,All!A:A,1,FALSE)</f>
        <v>Des Plaines (Maine West)</v>
      </c>
    </row>
    <row r="278" spans="1:9" ht="15.75" thickBot="1" x14ac:dyDescent="0.3">
      <c r="A278" s="18" t="s">
        <v>380</v>
      </c>
      <c r="B278" s="3" t="s">
        <v>381</v>
      </c>
      <c r="C278" s="4"/>
      <c r="D278" s="4"/>
      <c r="E278" s="10" t="s">
        <v>9</v>
      </c>
      <c r="F278" s="4"/>
      <c r="G278" s="4"/>
      <c r="H278" s="23" t="s">
        <v>9</v>
      </c>
      <c r="I278" t="str">
        <f>VLOOKUP(A278,All!A:A,1,FALSE)</f>
        <v>Des Plaines (Willows Academy)</v>
      </c>
    </row>
    <row r="279" spans="1:9" ht="15.75" thickBot="1" x14ac:dyDescent="0.3">
      <c r="A279" s="20" t="s">
        <v>382</v>
      </c>
      <c r="B279" s="7">
        <v>189</v>
      </c>
      <c r="C279" s="6" t="s">
        <v>9</v>
      </c>
      <c r="D279" s="6" t="s">
        <v>9</v>
      </c>
      <c r="E279" s="6"/>
      <c r="F279" s="6"/>
      <c r="G279" s="6"/>
      <c r="H279" s="21"/>
      <c r="I279" t="str">
        <f>VLOOKUP(A279,All!A:A,1,FALSE)</f>
        <v>Dieterich</v>
      </c>
    </row>
    <row r="280" spans="1:9" ht="15.75" thickBot="1" x14ac:dyDescent="0.3">
      <c r="A280" s="18" t="s">
        <v>383</v>
      </c>
      <c r="B280" s="3">
        <v>712</v>
      </c>
      <c r="C280" s="4" t="s">
        <v>12</v>
      </c>
      <c r="D280" s="4" t="s">
        <v>12</v>
      </c>
      <c r="E280" s="4" t="s">
        <v>9</v>
      </c>
      <c r="F280" s="4" t="s">
        <v>9</v>
      </c>
      <c r="G280" s="4" t="s">
        <v>13</v>
      </c>
      <c r="H280" s="19" t="s">
        <v>13</v>
      </c>
      <c r="I280" t="str">
        <f>VLOOKUP(A280,All!A:A,1,FALSE)</f>
        <v>Dixon (H.S.)</v>
      </c>
    </row>
    <row r="281" spans="1:9" ht="15.75" thickBot="1" x14ac:dyDescent="0.3">
      <c r="A281" s="20" t="s">
        <v>384</v>
      </c>
      <c r="B281" s="7">
        <v>797</v>
      </c>
      <c r="C281" s="6" t="s">
        <v>12</v>
      </c>
      <c r="D281" s="6" t="s">
        <v>12</v>
      </c>
      <c r="E281" s="6"/>
      <c r="F281" s="6"/>
      <c r="G281" s="6" t="s">
        <v>13</v>
      </c>
      <c r="H281" s="21" t="s">
        <v>13</v>
      </c>
      <c r="I281" t="str">
        <f>VLOOKUP(A281,All!A:A,1,FALSE)</f>
        <v>Dolton (Thornridge)</v>
      </c>
    </row>
    <row r="282" spans="1:9" ht="15.75" thickBot="1" x14ac:dyDescent="0.3">
      <c r="A282" s="18" t="s">
        <v>385</v>
      </c>
      <c r="B282" s="3">
        <v>70</v>
      </c>
      <c r="C282" s="4"/>
      <c r="D282" s="4" t="s">
        <v>9</v>
      </c>
      <c r="E282" s="4"/>
      <c r="F282" s="4"/>
      <c r="G282" s="4"/>
      <c r="H282" s="19"/>
      <c r="I282" t="str">
        <f>VLOOKUP(A282,All!A:A,1,FALSE)</f>
        <v>Donovan</v>
      </c>
    </row>
    <row r="283" spans="1:9" ht="15.75" thickBot="1" x14ac:dyDescent="0.3">
      <c r="A283" s="20" t="s">
        <v>386</v>
      </c>
      <c r="B283" s="5">
        <v>2046</v>
      </c>
      <c r="C283" s="6" t="s">
        <v>11</v>
      </c>
      <c r="D283" s="6" t="s">
        <v>11</v>
      </c>
      <c r="E283" s="6" t="s">
        <v>12</v>
      </c>
      <c r="F283" s="6" t="s">
        <v>13</v>
      </c>
      <c r="G283" s="6" t="s">
        <v>12</v>
      </c>
      <c r="H283" s="21" t="s">
        <v>12</v>
      </c>
      <c r="I283" t="str">
        <f>VLOOKUP(A283,All!A:A,1,FALSE)</f>
        <v>Downers Grove (North)</v>
      </c>
    </row>
    <row r="284" spans="1:9" ht="15.75" thickBot="1" x14ac:dyDescent="0.3">
      <c r="A284" s="18" t="s">
        <v>387</v>
      </c>
      <c r="B284" s="8">
        <v>2551</v>
      </c>
      <c r="C284" s="4" t="s">
        <v>11</v>
      </c>
      <c r="D284" s="4" t="s">
        <v>11</v>
      </c>
      <c r="E284" s="4" t="s">
        <v>12</v>
      </c>
      <c r="F284" s="4" t="s">
        <v>13</v>
      </c>
      <c r="G284" s="4" t="s">
        <v>12</v>
      </c>
      <c r="H284" s="19" t="s">
        <v>12</v>
      </c>
      <c r="I284" t="str">
        <f>VLOOKUP(A284,All!A:A,1,FALSE)</f>
        <v>Downers Grove (South)</v>
      </c>
    </row>
    <row r="285" spans="1:9" ht="15.75" thickBot="1" x14ac:dyDescent="0.3">
      <c r="A285" s="20" t="s">
        <v>388</v>
      </c>
      <c r="B285" s="7">
        <v>323</v>
      </c>
      <c r="C285" s="6" t="s">
        <v>13</v>
      </c>
      <c r="D285" s="6" t="s">
        <v>13</v>
      </c>
      <c r="E285" s="6"/>
      <c r="F285" s="6"/>
      <c r="G285" s="6" t="s">
        <v>9</v>
      </c>
      <c r="H285" s="21" t="s">
        <v>9</v>
      </c>
      <c r="I285" t="str">
        <f>VLOOKUP(A285,All!A:A,1,FALSE)</f>
        <v>Downs (Tri-Valley)</v>
      </c>
    </row>
    <row r="286" spans="1:9" ht="15.75" thickBot="1" x14ac:dyDescent="0.3">
      <c r="A286" s="18" t="s">
        <v>389</v>
      </c>
      <c r="B286" s="8">
        <v>1416</v>
      </c>
      <c r="C286" s="4" t="s">
        <v>12</v>
      </c>
      <c r="D286" s="4" t="s">
        <v>12</v>
      </c>
      <c r="E286" s="4" t="s">
        <v>13</v>
      </c>
      <c r="F286" s="4" t="s">
        <v>9</v>
      </c>
      <c r="G286" s="4" t="s">
        <v>12</v>
      </c>
      <c r="H286" s="19" t="s">
        <v>12</v>
      </c>
      <c r="I286" t="str">
        <f>VLOOKUP(A286,All!A:A,1,FALSE)</f>
        <v>Dunlap</v>
      </c>
    </row>
    <row r="287" spans="1:9" ht="15.75" thickBot="1" x14ac:dyDescent="0.3">
      <c r="A287" s="25" t="s">
        <v>0</v>
      </c>
      <c r="B287" s="1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6" t="s">
        <v>7</v>
      </c>
      <c r="I287" t="str">
        <f>VLOOKUP(A287,All!A:A,1,FALSE)</f>
        <v>School</v>
      </c>
    </row>
    <row r="288" spans="1:9" ht="15.75" thickBot="1" x14ac:dyDescent="0.3">
      <c r="A288" s="20" t="s">
        <v>390</v>
      </c>
      <c r="B288" s="7">
        <v>244</v>
      </c>
      <c r="C288" s="6" t="s">
        <v>9</v>
      </c>
      <c r="D288" s="6" t="s">
        <v>9</v>
      </c>
      <c r="E288" s="6"/>
      <c r="F288" s="6"/>
      <c r="G288" s="6" t="s">
        <v>9</v>
      </c>
      <c r="H288" s="21" t="s">
        <v>9</v>
      </c>
      <c r="I288" t="str">
        <f>VLOOKUP(A288,All!A:A,1,FALSE)</f>
        <v>Dupo</v>
      </c>
    </row>
    <row r="289" spans="1:9" ht="15.75" thickBot="1" x14ac:dyDescent="0.3">
      <c r="A289" s="18" t="s">
        <v>391</v>
      </c>
      <c r="B289" s="3">
        <v>384</v>
      </c>
      <c r="C289" s="4" t="s">
        <v>13</v>
      </c>
      <c r="D289" s="4" t="s">
        <v>13</v>
      </c>
      <c r="E289" s="4" t="s">
        <v>9</v>
      </c>
      <c r="F289" s="4"/>
      <c r="G289" s="4" t="s">
        <v>9</v>
      </c>
      <c r="H289" s="19" t="s">
        <v>9</v>
      </c>
      <c r="I289" t="str">
        <f>VLOOKUP(A289,All!A:A,1,FALSE)</f>
        <v>DuQuoin (H.S.)</v>
      </c>
    </row>
    <row r="290" spans="1:9" ht="15.75" thickBot="1" x14ac:dyDescent="0.3">
      <c r="A290" s="20" t="s">
        <v>392</v>
      </c>
      <c r="B290" s="7">
        <v>160</v>
      </c>
      <c r="C290" s="6"/>
      <c r="D290" s="6" t="s">
        <v>9</v>
      </c>
      <c r="E290" s="6"/>
      <c r="F290" s="6"/>
      <c r="G290" s="6"/>
      <c r="H290" s="21"/>
      <c r="I290" t="str">
        <f>VLOOKUP(A290,All!A:A,1,FALSE)</f>
        <v>Durand</v>
      </c>
    </row>
    <row r="291" spans="1:9" ht="15.75" thickBot="1" x14ac:dyDescent="0.3">
      <c r="A291" s="18" t="s">
        <v>393</v>
      </c>
      <c r="B291" s="3">
        <v>210</v>
      </c>
      <c r="C291" s="4" t="s">
        <v>9</v>
      </c>
      <c r="D291" s="4" t="s">
        <v>9</v>
      </c>
      <c r="E291" s="4"/>
      <c r="F291" s="4"/>
      <c r="G291" s="9" t="s">
        <v>9</v>
      </c>
      <c r="H291" s="22" t="s">
        <v>9</v>
      </c>
      <c r="I291" t="str">
        <f>VLOOKUP(A291,All!A:A,1,FALSE)</f>
        <v>Dwight</v>
      </c>
    </row>
    <row r="292" spans="1:9" ht="15.75" thickBot="1" x14ac:dyDescent="0.3">
      <c r="A292" s="20" t="s">
        <v>394</v>
      </c>
      <c r="B292" s="7">
        <v>98</v>
      </c>
      <c r="C292" s="9" t="s">
        <v>9</v>
      </c>
      <c r="D292" s="6" t="s">
        <v>9</v>
      </c>
      <c r="E292" s="6"/>
      <c r="F292" s="6"/>
      <c r="G292" s="6"/>
      <c r="H292" s="21"/>
      <c r="I292" t="str">
        <f>VLOOKUP(A292,All!A:A,1,FALSE)</f>
        <v>Earlville</v>
      </c>
    </row>
    <row r="293" spans="1:9" ht="15.75" thickBot="1" x14ac:dyDescent="0.3">
      <c r="A293" s="18" t="s">
        <v>395</v>
      </c>
      <c r="B293" s="3">
        <v>179</v>
      </c>
      <c r="C293" s="4" t="s">
        <v>9</v>
      </c>
      <c r="D293" s="4" t="s">
        <v>9</v>
      </c>
      <c r="E293" s="4"/>
      <c r="F293" s="4"/>
      <c r="G293" s="4"/>
      <c r="H293" s="19"/>
      <c r="I293" t="str">
        <f>VLOOKUP(A293,All!A:A,1,FALSE)</f>
        <v>East Dubuque</v>
      </c>
    </row>
    <row r="294" spans="1:9" ht="15.75" thickBot="1" x14ac:dyDescent="0.3">
      <c r="A294" s="20" t="s">
        <v>396</v>
      </c>
      <c r="B294" s="5">
        <v>1839</v>
      </c>
      <c r="C294" s="6" t="s">
        <v>11</v>
      </c>
      <c r="D294" s="6" t="s">
        <v>11</v>
      </c>
      <c r="E294" s="6" t="s">
        <v>12</v>
      </c>
      <c r="F294" s="6" t="s">
        <v>13</v>
      </c>
      <c r="G294" s="6" t="s">
        <v>12</v>
      </c>
      <c r="H294" s="21" t="s">
        <v>12</v>
      </c>
      <c r="I294" t="str">
        <f>VLOOKUP(A294,All!A:A,1,FALSE)</f>
        <v>East Moline (United)</v>
      </c>
    </row>
    <row r="295" spans="1:9" ht="15.75" thickBot="1" x14ac:dyDescent="0.3">
      <c r="A295" s="18" t="s">
        <v>397</v>
      </c>
      <c r="B295" s="3">
        <v>802</v>
      </c>
      <c r="C295" s="4" t="s">
        <v>12</v>
      </c>
      <c r="D295" s="4" t="s">
        <v>12</v>
      </c>
      <c r="E295" s="4" t="s">
        <v>13</v>
      </c>
      <c r="F295" s="4" t="s">
        <v>9</v>
      </c>
      <c r="G295" s="4" t="s">
        <v>13</v>
      </c>
      <c r="H295" s="19" t="s">
        <v>13</v>
      </c>
      <c r="I295" t="str">
        <f>VLOOKUP(A295,All!A:A,1,FALSE)</f>
        <v>East Peoria</v>
      </c>
    </row>
    <row r="296" spans="1:9" ht="15.75" thickBot="1" x14ac:dyDescent="0.3">
      <c r="A296" s="20" t="s">
        <v>398</v>
      </c>
      <c r="B296" s="7" t="s">
        <v>399</v>
      </c>
      <c r="C296" s="6"/>
      <c r="D296" s="6"/>
      <c r="E296" s="6"/>
      <c r="F296" s="6"/>
      <c r="G296" s="10" t="s">
        <v>9</v>
      </c>
      <c r="H296" s="23" t="s">
        <v>9</v>
      </c>
      <c r="I296" t="str">
        <f>VLOOKUP(A296,All!A:A,1,FALSE)</f>
        <v>East St. Louis (SIUE Charter)</v>
      </c>
    </row>
    <row r="297" spans="1:9" ht="15.75" thickBot="1" x14ac:dyDescent="0.3">
      <c r="A297" s="18" t="s">
        <v>400</v>
      </c>
      <c r="B297" s="8">
        <v>1146</v>
      </c>
      <c r="C297" s="4" t="s">
        <v>12</v>
      </c>
      <c r="D297" s="4" t="s">
        <v>12</v>
      </c>
      <c r="E297" s="4"/>
      <c r="F297" s="4"/>
      <c r="G297" s="4" t="s">
        <v>13</v>
      </c>
      <c r="H297" s="19" t="s">
        <v>13</v>
      </c>
      <c r="I297" t="str">
        <f>VLOOKUP(A297,All!A:A,1,FALSE)</f>
        <v>East St. Louis (Sr.)</v>
      </c>
    </row>
    <row r="298" spans="1:9" ht="15.75" thickBot="1" x14ac:dyDescent="0.3">
      <c r="A298" s="20" t="s">
        <v>401</v>
      </c>
      <c r="B298" s="7">
        <v>72</v>
      </c>
      <c r="C298" s="9" t="s">
        <v>9</v>
      </c>
      <c r="D298" s="6"/>
      <c r="E298" s="6"/>
      <c r="F298" s="6"/>
      <c r="G298" s="9" t="s">
        <v>9</v>
      </c>
      <c r="H298" s="22" t="s">
        <v>9</v>
      </c>
      <c r="I298" t="str">
        <f>VLOOKUP(A298,All!A:A,1,FALSE)</f>
        <v>Edinburg</v>
      </c>
    </row>
    <row r="299" spans="1:9" ht="15.75" thickBot="1" x14ac:dyDescent="0.3">
      <c r="A299" s="18" t="s">
        <v>402</v>
      </c>
      <c r="B299" s="8">
        <v>2331</v>
      </c>
      <c r="C299" s="4" t="s">
        <v>11</v>
      </c>
      <c r="D299" s="4" t="s">
        <v>11</v>
      </c>
      <c r="E299" s="4" t="s">
        <v>12</v>
      </c>
      <c r="F299" s="4" t="s">
        <v>13</v>
      </c>
      <c r="G299" s="4" t="s">
        <v>12</v>
      </c>
      <c r="H299" s="19" t="s">
        <v>12</v>
      </c>
      <c r="I299" t="str">
        <f>VLOOKUP(A299,All!A:A,1,FALSE)</f>
        <v>Edwardsville (H.S.)</v>
      </c>
    </row>
    <row r="300" spans="1:9" ht="15.75" thickBot="1" x14ac:dyDescent="0.3">
      <c r="A300" s="20" t="s">
        <v>403</v>
      </c>
      <c r="B300" s="7" t="s">
        <v>404</v>
      </c>
      <c r="C300" s="10" t="s">
        <v>13</v>
      </c>
      <c r="D300" s="6"/>
      <c r="E300" s="10" t="s">
        <v>9</v>
      </c>
      <c r="F300" s="10" t="s">
        <v>9</v>
      </c>
      <c r="G300" s="10" t="s">
        <v>9</v>
      </c>
      <c r="H300" s="23" t="s">
        <v>9</v>
      </c>
      <c r="I300" t="str">
        <f>VLOOKUP(A300,All!A:A,1,FALSE)</f>
        <v>Edwardsville (Metro-East Lutheran)</v>
      </c>
    </row>
    <row r="301" spans="1:9" ht="15.75" thickBot="1" x14ac:dyDescent="0.3">
      <c r="A301" s="18" t="s">
        <v>405</v>
      </c>
      <c r="B301" s="3">
        <v>676</v>
      </c>
      <c r="C301" s="4" t="s">
        <v>13</v>
      </c>
      <c r="D301" s="4" t="s">
        <v>13</v>
      </c>
      <c r="E301" s="4"/>
      <c r="F301" s="4" t="s">
        <v>9</v>
      </c>
      <c r="G301" s="4" t="s">
        <v>13</v>
      </c>
      <c r="H301" s="19" t="s">
        <v>13</v>
      </c>
      <c r="I301" t="str">
        <f>VLOOKUP(A301,All!A:A,1,FALSE)</f>
        <v>Effingham (H.S.)</v>
      </c>
    </row>
    <row r="302" spans="1:9" ht="15.75" thickBot="1" x14ac:dyDescent="0.3">
      <c r="A302" s="20" t="s">
        <v>406</v>
      </c>
      <c r="B302" s="7" t="s">
        <v>407</v>
      </c>
      <c r="C302" s="10" t="s">
        <v>13</v>
      </c>
      <c r="D302" s="10" t="s">
        <v>13</v>
      </c>
      <c r="E302" s="6"/>
      <c r="F302" s="10" t="s">
        <v>9</v>
      </c>
      <c r="G302" s="10" t="s">
        <v>9</v>
      </c>
      <c r="H302" s="23" t="s">
        <v>9</v>
      </c>
      <c r="I302" t="str">
        <f>VLOOKUP(A302,All!A:A,1,FALSE)</f>
        <v>Effingham (St. Anthony)</v>
      </c>
    </row>
    <row r="303" spans="1:9" ht="15.75" thickBot="1" x14ac:dyDescent="0.3">
      <c r="A303" s="18" t="s">
        <v>408</v>
      </c>
      <c r="B303" s="3">
        <v>355</v>
      </c>
      <c r="C303" s="4" t="s">
        <v>13</v>
      </c>
      <c r="D303" s="4" t="s">
        <v>13</v>
      </c>
      <c r="E303" s="4"/>
      <c r="F303" s="4"/>
      <c r="G303" s="4" t="s">
        <v>9</v>
      </c>
      <c r="H303" s="19" t="s">
        <v>9</v>
      </c>
      <c r="I303" t="str">
        <f>VLOOKUP(A303,All!A:A,1,FALSE)</f>
        <v>El Paso (E.P.-Gridley)</v>
      </c>
    </row>
    <row r="304" spans="1:9" ht="15.75" thickBot="1" x14ac:dyDescent="0.3">
      <c r="A304" s="20" t="s">
        <v>409</v>
      </c>
      <c r="B304" s="7">
        <v>307</v>
      </c>
      <c r="C304" s="6" t="s">
        <v>13</v>
      </c>
      <c r="D304" s="6" t="s">
        <v>13</v>
      </c>
      <c r="E304" s="6"/>
      <c r="F304" s="6"/>
      <c r="G304" s="6" t="s">
        <v>9</v>
      </c>
      <c r="H304" s="22" t="s">
        <v>9</v>
      </c>
      <c r="I304" t="str">
        <f>VLOOKUP(A304,All!A:A,1,FALSE)</f>
        <v>Eldorado</v>
      </c>
    </row>
    <row r="305" spans="1:9" ht="15.75" thickBot="1" x14ac:dyDescent="0.3">
      <c r="A305" s="18" t="s">
        <v>410</v>
      </c>
      <c r="B305" s="8">
        <v>2383</v>
      </c>
      <c r="C305" s="4" t="s">
        <v>11</v>
      </c>
      <c r="D305" s="4" t="s">
        <v>11</v>
      </c>
      <c r="E305" s="4" t="s">
        <v>12</v>
      </c>
      <c r="F305" s="4" t="s">
        <v>13</v>
      </c>
      <c r="G305" s="4" t="s">
        <v>12</v>
      </c>
      <c r="H305" s="19" t="s">
        <v>12</v>
      </c>
      <c r="I305" t="str">
        <f>VLOOKUP(A305,All!A:A,1,FALSE)</f>
        <v>Elgin (H.S.)</v>
      </c>
    </row>
    <row r="306" spans="1:9" ht="15.75" thickBot="1" x14ac:dyDescent="0.3">
      <c r="A306" s="20" t="s">
        <v>411</v>
      </c>
      <c r="B306" s="5">
        <v>2021</v>
      </c>
      <c r="C306" s="6" t="s">
        <v>11</v>
      </c>
      <c r="D306" s="6" t="s">
        <v>11</v>
      </c>
      <c r="E306" s="6" t="s">
        <v>12</v>
      </c>
      <c r="F306" s="6" t="s">
        <v>13</v>
      </c>
      <c r="G306" s="6" t="s">
        <v>12</v>
      </c>
      <c r="H306" s="21" t="s">
        <v>12</v>
      </c>
      <c r="I306" t="str">
        <f>VLOOKUP(A306,All!A:A,1,FALSE)</f>
        <v>Elgin (Larkin)</v>
      </c>
    </row>
    <row r="307" spans="1:9" ht="15.75" thickBot="1" x14ac:dyDescent="0.3">
      <c r="A307" s="18" t="s">
        <v>412</v>
      </c>
      <c r="B307" s="3" t="s">
        <v>413</v>
      </c>
      <c r="C307" s="10" t="s">
        <v>13</v>
      </c>
      <c r="D307" s="11" t="s">
        <v>9</v>
      </c>
      <c r="E307" s="10" t="s">
        <v>9</v>
      </c>
      <c r="F307" s="4"/>
      <c r="G307" s="10" t="s">
        <v>9</v>
      </c>
      <c r="H307" s="23" t="s">
        <v>9</v>
      </c>
      <c r="I307" t="str">
        <f>VLOOKUP(A307,All!A:A,1,FALSE)</f>
        <v>Elgin (River Valley Christian)</v>
      </c>
    </row>
    <row r="308" spans="1:9" ht="15.75" thickBot="1" x14ac:dyDescent="0.3">
      <c r="A308" s="20" t="s">
        <v>414</v>
      </c>
      <c r="B308" s="7" t="s">
        <v>415</v>
      </c>
      <c r="C308" s="11" t="s">
        <v>9</v>
      </c>
      <c r="D308" s="11" t="s">
        <v>9</v>
      </c>
      <c r="E308" s="10" t="s">
        <v>9</v>
      </c>
      <c r="F308" s="6"/>
      <c r="G308" s="10" t="s">
        <v>9</v>
      </c>
      <c r="H308" s="23" t="s">
        <v>9</v>
      </c>
      <c r="I308" t="str">
        <f>VLOOKUP(A308,All!A:A,1,FALSE)</f>
        <v>Elgin (St. Edward)</v>
      </c>
    </row>
    <row r="309" spans="1:9" ht="15.75" thickBot="1" x14ac:dyDescent="0.3">
      <c r="A309" s="18" t="s">
        <v>416</v>
      </c>
      <c r="B309" s="3">
        <v>173</v>
      </c>
      <c r="C309" s="4" t="s">
        <v>9</v>
      </c>
      <c r="D309" s="4" t="s">
        <v>9</v>
      </c>
      <c r="E309" s="4"/>
      <c r="F309" s="4"/>
      <c r="G309" s="4"/>
      <c r="H309" s="19"/>
      <c r="I309" t="str">
        <f>VLOOKUP(A309,All!A:A,1,FALSE)</f>
        <v>Elizabethtown (Hardin County)</v>
      </c>
    </row>
    <row r="310" spans="1:9" ht="15.75" thickBot="1" x14ac:dyDescent="0.3">
      <c r="A310" s="20" t="s">
        <v>417</v>
      </c>
      <c r="B310" s="5">
        <v>1784</v>
      </c>
      <c r="C310" s="6" t="s">
        <v>11</v>
      </c>
      <c r="D310" s="6" t="s">
        <v>11</v>
      </c>
      <c r="E310" s="6" t="s">
        <v>13</v>
      </c>
      <c r="F310" s="6" t="s">
        <v>13</v>
      </c>
      <c r="G310" s="6" t="s">
        <v>12</v>
      </c>
      <c r="H310" s="21" t="s">
        <v>12</v>
      </c>
      <c r="I310" t="str">
        <f>VLOOKUP(A310,All!A:A,1,FALSE)</f>
        <v>Elk Grove Village (E.G.)</v>
      </c>
    </row>
    <row r="311" spans="1:9" ht="15.75" thickBot="1" x14ac:dyDescent="0.3">
      <c r="A311" s="18" t="s">
        <v>418</v>
      </c>
      <c r="B311" s="3">
        <v>98</v>
      </c>
      <c r="C311" s="4" t="s">
        <v>9</v>
      </c>
      <c r="D311" s="4" t="s">
        <v>9</v>
      </c>
      <c r="E311" s="4"/>
      <c r="F311" s="4"/>
      <c r="G311" s="4"/>
      <c r="H311" s="19"/>
      <c r="I311" t="str">
        <f>VLOOKUP(A311,All!A:A,1,FALSE)</f>
        <v>Elkville (Elverado)</v>
      </c>
    </row>
    <row r="312" spans="1:9" ht="15.75" thickBot="1" x14ac:dyDescent="0.3">
      <c r="A312" s="20" t="s">
        <v>419</v>
      </c>
      <c r="B312" s="7" t="s">
        <v>420</v>
      </c>
      <c r="C312" s="10" t="s">
        <v>13</v>
      </c>
      <c r="D312" s="10" t="s">
        <v>13</v>
      </c>
      <c r="E312" s="10" t="s">
        <v>9</v>
      </c>
      <c r="F312" s="6"/>
      <c r="G312" s="11" t="s">
        <v>9</v>
      </c>
      <c r="H312" s="24" t="s">
        <v>9</v>
      </c>
      <c r="I312" t="str">
        <f>VLOOKUP(A312,All!A:A,1,FALSE)</f>
        <v>Elmhurst (IC Catholic)</v>
      </c>
    </row>
    <row r="313" spans="1:9" ht="15.75" thickBot="1" x14ac:dyDescent="0.3">
      <c r="A313" s="25" t="s">
        <v>0</v>
      </c>
      <c r="B313" s="1" t="s">
        <v>1</v>
      </c>
      <c r="C313" s="2" t="s">
        <v>2</v>
      </c>
      <c r="D313" s="2" t="s">
        <v>3</v>
      </c>
      <c r="E313" s="2" t="s">
        <v>4</v>
      </c>
      <c r="F313" s="2" t="s">
        <v>5</v>
      </c>
      <c r="G313" s="2" t="s">
        <v>6</v>
      </c>
      <c r="H313" s="26" t="s">
        <v>7</v>
      </c>
      <c r="I313" t="str">
        <f>VLOOKUP(A313,All!A:A,1,FALSE)</f>
        <v>School</v>
      </c>
    </row>
    <row r="314" spans="1:9" ht="15.75" thickBot="1" x14ac:dyDescent="0.3">
      <c r="A314" s="18" t="s">
        <v>421</v>
      </c>
      <c r="B314" s="3" t="s">
        <v>422</v>
      </c>
      <c r="C314" s="10" t="s">
        <v>12</v>
      </c>
      <c r="D314" s="10" t="s">
        <v>12</v>
      </c>
      <c r="E314" s="10" t="s">
        <v>9</v>
      </c>
      <c r="F314" s="10" t="s">
        <v>9</v>
      </c>
      <c r="G314" s="11" t="s">
        <v>9</v>
      </c>
      <c r="H314" s="23" t="s">
        <v>13</v>
      </c>
      <c r="I314" t="str">
        <f>VLOOKUP(A314,All!A:A,1,FALSE)</f>
        <v>Elmhurst (Timothy Christian)</v>
      </c>
    </row>
    <row r="315" spans="1:9" ht="15.75" thickBot="1" x14ac:dyDescent="0.3">
      <c r="A315" s="20" t="s">
        <v>423</v>
      </c>
      <c r="B315" s="5">
        <v>2571</v>
      </c>
      <c r="C315" s="6" t="s">
        <v>11</v>
      </c>
      <c r="D315" s="6" t="s">
        <v>11</v>
      </c>
      <c r="E315" s="6" t="s">
        <v>12</v>
      </c>
      <c r="F315" s="6" t="s">
        <v>13</v>
      </c>
      <c r="G315" s="6" t="s">
        <v>12</v>
      </c>
      <c r="H315" s="21" t="s">
        <v>12</v>
      </c>
      <c r="I315" t="str">
        <f>VLOOKUP(A315,All!A:A,1,FALSE)</f>
        <v>Elmhurst (York)</v>
      </c>
    </row>
    <row r="316" spans="1:9" ht="15.75" thickBot="1" x14ac:dyDescent="0.3">
      <c r="A316" s="18" t="s">
        <v>424</v>
      </c>
      <c r="B316" s="3">
        <v>201</v>
      </c>
      <c r="C316" s="4"/>
      <c r="D316" s="4"/>
      <c r="E316" s="4"/>
      <c r="F316" s="4"/>
      <c r="G316" s="9" t="s">
        <v>9</v>
      </c>
      <c r="H316" s="22" t="s">
        <v>9</v>
      </c>
      <c r="I316" t="str">
        <f>VLOOKUP(A316,All!A:A,1,FALSE)</f>
        <v>Elmwood</v>
      </c>
    </row>
    <row r="317" spans="1:9" ht="15.75" thickBot="1" x14ac:dyDescent="0.3">
      <c r="A317" s="20" t="s">
        <v>425</v>
      </c>
      <c r="B317" s="7">
        <v>998</v>
      </c>
      <c r="C317" s="6" t="s">
        <v>12</v>
      </c>
      <c r="D317" s="6" t="s">
        <v>12</v>
      </c>
      <c r="E317" s="6" t="s">
        <v>13</v>
      </c>
      <c r="F317" s="6"/>
      <c r="G317" s="6" t="s">
        <v>13</v>
      </c>
      <c r="H317" s="21" t="s">
        <v>13</v>
      </c>
      <c r="I317" t="str">
        <f>VLOOKUP(A317,All!A:A,1,FALSE)</f>
        <v>Elmwood Park</v>
      </c>
    </row>
    <row r="318" spans="1:9" ht="15.75" thickBot="1" x14ac:dyDescent="0.3">
      <c r="A318" s="18" t="s">
        <v>426</v>
      </c>
      <c r="B318" s="3">
        <v>186</v>
      </c>
      <c r="C318" s="4"/>
      <c r="D318" s="4"/>
      <c r="E318" s="4"/>
      <c r="F318" s="4"/>
      <c r="G318" s="9" t="s">
        <v>9</v>
      </c>
      <c r="H318" s="22" t="s">
        <v>9</v>
      </c>
      <c r="I318" t="str">
        <f>VLOOKUP(A318,All!A:A,1,FALSE)</f>
        <v>Erie</v>
      </c>
    </row>
    <row r="319" spans="1:9" ht="15.75" thickBot="1" x14ac:dyDescent="0.3">
      <c r="A319" s="20" t="s">
        <v>427</v>
      </c>
      <c r="B319" s="7">
        <v>506</v>
      </c>
      <c r="C319" s="6" t="s">
        <v>13</v>
      </c>
      <c r="D319" s="6" t="s">
        <v>13</v>
      </c>
      <c r="E319" s="6"/>
      <c r="F319" s="6"/>
      <c r="G319" s="6" t="s">
        <v>13</v>
      </c>
      <c r="H319" s="21" t="s">
        <v>13</v>
      </c>
      <c r="I319" t="str">
        <f>VLOOKUP(A319,All!A:A,1,FALSE)</f>
        <v>Eureka</v>
      </c>
    </row>
    <row r="320" spans="1:9" ht="15.75" thickBot="1" x14ac:dyDescent="0.3">
      <c r="A320" s="18" t="s">
        <v>428</v>
      </c>
      <c r="B320" s="3" t="s">
        <v>429</v>
      </c>
      <c r="C320" s="4"/>
      <c r="D320" s="4"/>
      <c r="E320" s="10" t="s">
        <v>9</v>
      </c>
      <c r="F320" s="4"/>
      <c r="G320" s="10" t="s">
        <v>9</v>
      </c>
      <c r="H320" s="19"/>
      <c r="I320" t="str">
        <f>VLOOKUP(A320,All!A:A,1,FALSE)</f>
        <v>Evanston (Beacon Academy)</v>
      </c>
    </row>
    <row r="321" spans="1:9" ht="15.75" thickBot="1" x14ac:dyDescent="0.3">
      <c r="A321" s="20" t="s">
        <v>430</v>
      </c>
      <c r="B321" s="7" t="s">
        <v>431</v>
      </c>
      <c r="C321" s="6"/>
      <c r="D321" s="6"/>
      <c r="E321" s="6"/>
      <c r="F321" s="6"/>
      <c r="G321" s="6"/>
      <c r="H321" s="23" t="s">
        <v>9</v>
      </c>
      <c r="I321" t="str">
        <f>VLOOKUP(A321,All!A:A,1,FALSE)</f>
        <v>Evanston (Roycemore)</v>
      </c>
    </row>
    <row r="322" spans="1:9" ht="15.75" thickBot="1" x14ac:dyDescent="0.3">
      <c r="A322" s="18" t="s">
        <v>432</v>
      </c>
      <c r="B322" s="8">
        <v>3465</v>
      </c>
      <c r="C322" s="4" t="s">
        <v>11</v>
      </c>
      <c r="D322" s="4" t="s">
        <v>11</v>
      </c>
      <c r="E322" s="4" t="s">
        <v>12</v>
      </c>
      <c r="F322" s="4" t="s">
        <v>13</v>
      </c>
      <c r="G322" s="4" t="s">
        <v>12</v>
      </c>
      <c r="H322" s="19" t="s">
        <v>12</v>
      </c>
      <c r="I322" t="str">
        <f>VLOOKUP(A322,All!A:A,1,FALSE)</f>
        <v>Evanston (Twp.)</v>
      </c>
    </row>
    <row r="323" spans="1:9" ht="15.75" thickBot="1" x14ac:dyDescent="0.3">
      <c r="A323" s="20" t="s">
        <v>433</v>
      </c>
      <c r="B323" s="7">
        <v>917</v>
      </c>
      <c r="C323" s="6" t="s">
        <v>12</v>
      </c>
      <c r="D323" s="6" t="s">
        <v>12</v>
      </c>
      <c r="E323" s="6" t="s">
        <v>13</v>
      </c>
      <c r="F323" s="6"/>
      <c r="G323" s="6" t="s">
        <v>13</v>
      </c>
      <c r="H323" s="21" t="s">
        <v>13</v>
      </c>
      <c r="I323" t="str">
        <f>VLOOKUP(A323,All!A:A,1,FALSE)</f>
        <v>Evergreen Park</v>
      </c>
    </row>
    <row r="324" spans="1:9" ht="15.75" thickBot="1" x14ac:dyDescent="0.3">
      <c r="A324" s="18" t="s">
        <v>434</v>
      </c>
      <c r="B324" s="3">
        <v>475</v>
      </c>
      <c r="C324" s="4" t="s">
        <v>13</v>
      </c>
      <c r="D324" s="4" t="s">
        <v>13</v>
      </c>
      <c r="E324" s="4"/>
      <c r="F324" s="4"/>
      <c r="G324" s="4" t="s">
        <v>13</v>
      </c>
      <c r="H324" s="19" t="s">
        <v>13</v>
      </c>
      <c r="I324" t="str">
        <f>VLOOKUP(A324,All!A:A,1,FALSE)</f>
        <v>Fairbury (Prairie Central)</v>
      </c>
    </row>
    <row r="325" spans="1:9" ht="15.75" thickBot="1" x14ac:dyDescent="0.3">
      <c r="A325" s="20" t="s">
        <v>435</v>
      </c>
      <c r="B325" s="7">
        <v>435</v>
      </c>
      <c r="C325" s="6" t="s">
        <v>13</v>
      </c>
      <c r="D325" s="6" t="s">
        <v>13</v>
      </c>
      <c r="E325" s="6"/>
      <c r="F325" s="6" t="s">
        <v>9</v>
      </c>
      <c r="G325" s="6" t="s">
        <v>9</v>
      </c>
      <c r="H325" s="21" t="s">
        <v>9</v>
      </c>
      <c r="I325" t="str">
        <f>VLOOKUP(A325,All!A:A,1,FALSE)</f>
        <v>Fairfield</v>
      </c>
    </row>
    <row r="326" spans="1:9" ht="15.75" thickBot="1" x14ac:dyDescent="0.3">
      <c r="A326" s="18" t="s">
        <v>436</v>
      </c>
      <c r="B326" s="3">
        <v>180</v>
      </c>
      <c r="C326" s="4" t="s">
        <v>9</v>
      </c>
      <c r="D326" s="4" t="s">
        <v>9</v>
      </c>
      <c r="E326" s="4"/>
      <c r="F326" s="4"/>
      <c r="G326" s="4"/>
      <c r="H326" s="19"/>
      <c r="I326" t="str">
        <f>VLOOKUP(A326,All!A:A,1,FALSE)</f>
        <v>Farina (South Central)</v>
      </c>
    </row>
    <row r="327" spans="1:9" ht="15.75" thickBot="1" x14ac:dyDescent="0.3">
      <c r="A327" s="20" t="s">
        <v>437</v>
      </c>
      <c r="B327" s="7">
        <v>154</v>
      </c>
      <c r="C327" s="9" t="s">
        <v>9</v>
      </c>
      <c r="D327" s="9" t="s">
        <v>9</v>
      </c>
      <c r="E327" s="6"/>
      <c r="F327" s="6"/>
      <c r="G327" s="6" t="s">
        <v>9</v>
      </c>
      <c r="H327" s="21" t="s">
        <v>9</v>
      </c>
      <c r="I327" t="str">
        <f>VLOOKUP(A327,All!A:A,1,FALSE)</f>
        <v>Farmer City (Blue Ridge)</v>
      </c>
    </row>
    <row r="328" spans="1:9" ht="15.75" thickBot="1" x14ac:dyDescent="0.3">
      <c r="A328" s="18" t="s">
        <v>438</v>
      </c>
      <c r="B328" s="3">
        <v>364</v>
      </c>
      <c r="C328" s="4" t="s">
        <v>13</v>
      </c>
      <c r="D328" s="4" t="s">
        <v>13</v>
      </c>
      <c r="E328" s="4"/>
      <c r="F328" s="4"/>
      <c r="G328" s="4" t="s">
        <v>9</v>
      </c>
      <c r="H328" s="19" t="s">
        <v>9</v>
      </c>
      <c r="I328" t="str">
        <f>VLOOKUP(A328,All!A:A,1,FALSE)</f>
        <v>Farmington</v>
      </c>
    </row>
    <row r="329" spans="1:9" ht="15.75" thickBot="1" x14ac:dyDescent="0.3">
      <c r="A329" s="20" t="s">
        <v>439</v>
      </c>
      <c r="B329" s="7">
        <v>195</v>
      </c>
      <c r="C329" s="6" t="s">
        <v>9</v>
      </c>
      <c r="D329" s="6" t="s">
        <v>9</v>
      </c>
      <c r="E329" s="6"/>
      <c r="F329" s="6"/>
      <c r="G329" s="6" t="s">
        <v>9</v>
      </c>
      <c r="H329" s="21" t="s">
        <v>9</v>
      </c>
      <c r="I329" t="str">
        <f>VLOOKUP(A329,All!A:A,1,FALSE)</f>
        <v>Fisher</v>
      </c>
    </row>
    <row r="330" spans="1:9" ht="15.75" thickBot="1" x14ac:dyDescent="0.3">
      <c r="A330" s="18" t="s">
        <v>440</v>
      </c>
      <c r="B330" s="3">
        <v>249</v>
      </c>
      <c r="C330" s="4" t="s">
        <v>9</v>
      </c>
      <c r="D330" s="9" t="s">
        <v>13</v>
      </c>
      <c r="E330" s="4"/>
      <c r="F330" s="4"/>
      <c r="G330" s="4" t="s">
        <v>9</v>
      </c>
      <c r="H330" s="19" t="s">
        <v>9</v>
      </c>
      <c r="I330" t="str">
        <f>VLOOKUP(A330,All!A:A,1,FALSE)</f>
        <v>Fithian (Oakwood)</v>
      </c>
    </row>
    <row r="331" spans="1:9" ht="15.75" thickBot="1" x14ac:dyDescent="0.3">
      <c r="A331" s="20" t="s">
        <v>441</v>
      </c>
      <c r="B331" s="7">
        <v>104</v>
      </c>
      <c r="C331" s="6"/>
      <c r="D331" s="6"/>
      <c r="E331" s="6"/>
      <c r="F331" s="6"/>
      <c r="G331" s="9" t="s">
        <v>9</v>
      </c>
      <c r="H331" s="22" t="s">
        <v>9</v>
      </c>
      <c r="I331" t="str">
        <f>VLOOKUP(A331,All!A:A,1,FALSE)</f>
        <v>Flanagan (F.-Cornell)</v>
      </c>
    </row>
    <row r="332" spans="1:9" ht="15.75" thickBot="1" x14ac:dyDescent="0.3">
      <c r="A332" s="18" t="s">
        <v>442</v>
      </c>
      <c r="B332" s="3">
        <v>350</v>
      </c>
      <c r="C332" s="4" t="s">
        <v>13</v>
      </c>
      <c r="D332" s="4" t="s">
        <v>13</v>
      </c>
      <c r="E332" s="4"/>
      <c r="F332" s="4" t="s">
        <v>9</v>
      </c>
      <c r="G332" s="4" t="s">
        <v>9</v>
      </c>
      <c r="H332" s="19" t="s">
        <v>9</v>
      </c>
      <c r="I332" t="str">
        <f>VLOOKUP(A332,All!A:A,1,FALSE)</f>
        <v>Flora</v>
      </c>
    </row>
    <row r="333" spans="1:9" ht="15.75" thickBot="1" x14ac:dyDescent="0.3">
      <c r="A333" s="20" t="s">
        <v>443</v>
      </c>
      <c r="B333" s="5">
        <v>2657</v>
      </c>
      <c r="C333" s="6" t="s">
        <v>11</v>
      </c>
      <c r="D333" s="6" t="s">
        <v>11</v>
      </c>
      <c r="E333" s="6" t="s">
        <v>12</v>
      </c>
      <c r="F333" s="6" t="s">
        <v>13</v>
      </c>
      <c r="G333" s="6" t="s">
        <v>12</v>
      </c>
      <c r="H333" s="21" t="s">
        <v>12</v>
      </c>
      <c r="I333" t="str">
        <f>VLOOKUP(A333,All!A:A,1,FALSE)</f>
        <v>Flossmoor (Homewood-F.)</v>
      </c>
    </row>
    <row r="334" spans="1:9" ht="15.75" thickBot="1" x14ac:dyDescent="0.3">
      <c r="A334" s="18" t="s">
        <v>444</v>
      </c>
      <c r="B334" s="3">
        <v>234</v>
      </c>
      <c r="C334" s="4" t="s">
        <v>9</v>
      </c>
      <c r="D334" s="4" t="s">
        <v>9</v>
      </c>
      <c r="E334" s="4"/>
      <c r="F334" s="4"/>
      <c r="G334" s="9" t="s">
        <v>9</v>
      </c>
      <c r="H334" s="22" t="s">
        <v>9</v>
      </c>
      <c r="I334" t="str">
        <f>VLOOKUP(A334,All!A:A,1,FALSE)</f>
        <v>Forreston</v>
      </c>
    </row>
    <row r="335" spans="1:9" ht="15.75" thickBot="1" x14ac:dyDescent="0.3">
      <c r="A335" s="20" t="s">
        <v>445</v>
      </c>
      <c r="B335" s="5">
        <v>1723</v>
      </c>
      <c r="C335" s="6" t="s">
        <v>11</v>
      </c>
      <c r="D335" s="6" t="s">
        <v>11</v>
      </c>
      <c r="E335" s="6" t="s">
        <v>13</v>
      </c>
      <c r="F335" s="6" t="s">
        <v>13</v>
      </c>
      <c r="G335" s="6" t="s">
        <v>12</v>
      </c>
      <c r="H335" s="21" t="s">
        <v>12</v>
      </c>
      <c r="I335" t="str">
        <f>VLOOKUP(A335,All!A:A,1,FALSE)</f>
        <v>Fox Lake (Grant)</v>
      </c>
    </row>
    <row r="336" spans="1:9" ht="15.75" thickBot="1" x14ac:dyDescent="0.3">
      <c r="A336" s="18" t="s">
        <v>446</v>
      </c>
      <c r="B336" s="8">
        <v>2676</v>
      </c>
      <c r="C336" s="4" t="s">
        <v>11</v>
      </c>
      <c r="D336" s="4" t="s">
        <v>11</v>
      </c>
      <c r="E336" s="4" t="s">
        <v>12</v>
      </c>
      <c r="F336" s="4" t="s">
        <v>13</v>
      </c>
      <c r="G336" s="4" t="s">
        <v>12</v>
      </c>
      <c r="H336" s="19" t="s">
        <v>12</v>
      </c>
      <c r="I336" t="str">
        <f>VLOOKUP(A336,All!A:A,1,FALSE)</f>
        <v>Frankfort (Lincoln-Way East)</v>
      </c>
    </row>
    <row r="337" spans="1:9" ht="15.75" thickBot="1" x14ac:dyDescent="0.3">
      <c r="A337" s="20" t="s">
        <v>447</v>
      </c>
      <c r="B337" s="5">
        <v>3396</v>
      </c>
      <c r="C337" s="6" t="s">
        <v>11</v>
      </c>
      <c r="D337" s="6" t="s">
        <v>11</v>
      </c>
      <c r="E337" s="6" t="s">
        <v>12</v>
      </c>
      <c r="F337" s="6" t="s">
        <v>13</v>
      </c>
      <c r="G337" s="6" t="s">
        <v>12</v>
      </c>
      <c r="H337" s="21" t="s">
        <v>12</v>
      </c>
      <c r="I337" t="str">
        <f>VLOOKUP(A337,All!A:A,1,FALSE)</f>
        <v>Franklin Park-Northlake (Leyden)</v>
      </c>
    </row>
    <row r="338" spans="1:9" ht="15.75" thickBot="1" x14ac:dyDescent="0.3">
      <c r="A338" s="18" t="s">
        <v>448</v>
      </c>
      <c r="B338" s="3">
        <v>664</v>
      </c>
      <c r="C338" s="4" t="s">
        <v>13</v>
      </c>
      <c r="D338" s="4" t="s">
        <v>13</v>
      </c>
      <c r="E338" s="4" t="s">
        <v>9</v>
      </c>
      <c r="F338" s="4"/>
      <c r="G338" s="4" t="s">
        <v>13</v>
      </c>
      <c r="H338" s="19" t="s">
        <v>13</v>
      </c>
      <c r="I338" t="str">
        <f>VLOOKUP(A338,All!A:A,1,FALSE)</f>
        <v>Freeburg</v>
      </c>
    </row>
    <row r="339" spans="1:9" ht="15.75" thickBot="1" x14ac:dyDescent="0.3">
      <c r="A339" s="25" t="s">
        <v>0</v>
      </c>
      <c r="B339" s="1" t="s">
        <v>1</v>
      </c>
      <c r="C339" s="2" t="s">
        <v>2</v>
      </c>
      <c r="D339" s="2" t="s">
        <v>3</v>
      </c>
      <c r="E339" s="2" t="s">
        <v>4</v>
      </c>
      <c r="F339" s="2" t="s">
        <v>5</v>
      </c>
      <c r="G339" s="2" t="s">
        <v>6</v>
      </c>
      <c r="H339" s="26" t="s">
        <v>7</v>
      </c>
      <c r="I339" t="str">
        <f>VLOOKUP(A339,All!A:A,1,FALSE)</f>
        <v>School</v>
      </c>
    </row>
    <row r="340" spans="1:9" ht="15.75" thickBot="1" x14ac:dyDescent="0.3">
      <c r="A340" s="20" t="s">
        <v>449</v>
      </c>
      <c r="B340" s="5">
        <v>1100</v>
      </c>
      <c r="C340" s="6" t="s">
        <v>12</v>
      </c>
      <c r="D340" s="6" t="s">
        <v>12</v>
      </c>
      <c r="E340" s="6" t="s">
        <v>13</v>
      </c>
      <c r="F340" s="6" t="s">
        <v>9</v>
      </c>
      <c r="G340" s="6" t="s">
        <v>13</v>
      </c>
      <c r="H340" s="21" t="s">
        <v>13</v>
      </c>
      <c r="I340" t="str">
        <f>VLOOKUP(A340,All!A:A,1,FALSE)</f>
        <v>Freeport (H.S.)</v>
      </c>
    </row>
    <row r="341" spans="1:9" ht="15.75" thickBot="1" x14ac:dyDescent="0.3">
      <c r="A341" s="18" t="s">
        <v>450</v>
      </c>
      <c r="B341" s="3">
        <v>278</v>
      </c>
      <c r="C341" s="4" t="s">
        <v>9</v>
      </c>
      <c r="D341" s="4" t="s">
        <v>9</v>
      </c>
      <c r="E341" s="4"/>
      <c r="F341" s="4"/>
      <c r="G341" s="4" t="s">
        <v>9</v>
      </c>
      <c r="H341" s="19" t="s">
        <v>9</v>
      </c>
      <c r="I341" t="str">
        <f>VLOOKUP(A341,All!A:A,1,FALSE)</f>
        <v>Fulton (H.S.)</v>
      </c>
    </row>
    <row r="342" spans="1:9" ht="15.75" thickBot="1" x14ac:dyDescent="0.3">
      <c r="A342" s="20" t="s">
        <v>451</v>
      </c>
      <c r="B342" s="7">
        <v>115</v>
      </c>
      <c r="C342" s="9" t="s">
        <v>9</v>
      </c>
      <c r="D342" s="9" t="s">
        <v>9</v>
      </c>
      <c r="E342" s="6"/>
      <c r="F342" s="6"/>
      <c r="G342" s="6"/>
      <c r="H342" s="21"/>
      <c r="I342" t="str">
        <f>VLOOKUP(A342,All!A:A,1,FALSE)</f>
        <v>Galatia</v>
      </c>
    </row>
    <row r="343" spans="1:9" ht="15.75" thickBot="1" x14ac:dyDescent="0.3">
      <c r="A343" s="18" t="s">
        <v>452</v>
      </c>
      <c r="B343" s="3">
        <v>258</v>
      </c>
      <c r="C343" s="4" t="s">
        <v>9</v>
      </c>
      <c r="D343" s="4" t="s">
        <v>9</v>
      </c>
      <c r="E343" s="9" t="s">
        <v>9</v>
      </c>
      <c r="F343" s="4"/>
      <c r="G343" s="9" t="s">
        <v>13</v>
      </c>
      <c r="H343" s="22" t="s">
        <v>13</v>
      </c>
      <c r="I343" t="str">
        <f>VLOOKUP(A343,All!A:A,1,FALSE)</f>
        <v>Galena (H.S.)</v>
      </c>
    </row>
    <row r="344" spans="1:9" ht="15.75" thickBot="1" x14ac:dyDescent="0.3">
      <c r="A344" s="20" t="s">
        <v>453</v>
      </c>
      <c r="B344" s="5">
        <v>1127</v>
      </c>
      <c r="C344" s="6" t="s">
        <v>12</v>
      </c>
      <c r="D344" s="6" t="s">
        <v>12</v>
      </c>
      <c r="E344" s="6" t="s">
        <v>13</v>
      </c>
      <c r="F344" s="6" t="s">
        <v>9</v>
      </c>
      <c r="G344" s="6" t="s">
        <v>13</v>
      </c>
      <c r="H344" s="21" t="s">
        <v>13</v>
      </c>
      <c r="I344" t="str">
        <f>VLOOKUP(A344,All!A:A,1,FALSE)</f>
        <v>Galesburg (H.S.)</v>
      </c>
    </row>
    <row r="345" spans="1:9" ht="15.75" thickBot="1" x14ac:dyDescent="0.3">
      <c r="A345" s="18" t="s">
        <v>454</v>
      </c>
      <c r="B345" s="3">
        <v>133</v>
      </c>
      <c r="C345" s="4" t="s">
        <v>9</v>
      </c>
      <c r="D345" s="4" t="s">
        <v>9</v>
      </c>
      <c r="E345" s="4"/>
      <c r="F345" s="4"/>
      <c r="G345" s="4" t="s">
        <v>9</v>
      </c>
      <c r="H345" s="19" t="s">
        <v>9</v>
      </c>
      <c r="I345" t="str">
        <f>VLOOKUP(A345,All!A:A,1,FALSE)</f>
        <v>Galva</v>
      </c>
    </row>
    <row r="346" spans="1:9" ht="15.75" thickBot="1" x14ac:dyDescent="0.3">
      <c r="A346" s="20" t="s">
        <v>455</v>
      </c>
      <c r="B346" s="7">
        <v>155</v>
      </c>
      <c r="C346" s="6" t="s">
        <v>9</v>
      </c>
      <c r="D346" s="6" t="s">
        <v>9</v>
      </c>
      <c r="E346" s="6"/>
      <c r="F346" s="6"/>
      <c r="G346" s="6"/>
      <c r="H346" s="21"/>
      <c r="I346" t="str">
        <f>VLOOKUP(A346,All!A:A,1,FALSE)</f>
        <v>Gardner (G.-South Wilmington)</v>
      </c>
    </row>
    <row r="347" spans="1:9" ht="15.75" thickBot="1" x14ac:dyDescent="0.3">
      <c r="A347" s="18" t="s">
        <v>456</v>
      </c>
      <c r="B347" s="3">
        <v>792</v>
      </c>
      <c r="C347" s="4" t="s">
        <v>12</v>
      </c>
      <c r="D347" s="4" t="s">
        <v>12</v>
      </c>
      <c r="E347" s="4" t="s">
        <v>9</v>
      </c>
      <c r="F347" s="4" t="s">
        <v>9</v>
      </c>
      <c r="G347" s="4" t="s">
        <v>13</v>
      </c>
      <c r="H347" s="19" t="s">
        <v>13</v>
      </c>
      <c r="I347" t="str">
        <f>VLOOKUP(A347,All!A:A,1,FALSE)</f>
        <v>Geneseo</v>
      </c>
    </row>
    <row r="348" spans="1:9" ht="15.75" thickBot="1" x14ac:dyDescent="0.3">
      <c r="A348" s="20" t="s">
        <v>457</v>
      </c>
      <c r="B348" s="5">
        <v>1594</v>
      </c>
      <c r="C348" s="6" t="s">
        <v>12</v>
      </c>
      <c r="D348" s="6" t="s">
        <v>12</v>
      </c>
      <c r="E348" s="6" t="s">
        <v>13</v>
      </c>
      <c r="F348" s="6" t="s">
        <v>13</v>
      </c>
      <c r="G348" s="6" t="s">
        <v>12</v>
      </c>
      <c r="H348" s="21" t="s">
        <v>12</v>
      </c>
      <c r="I348" t="str">
        <f>VLOOKUP(A348,All!A:A,1,FALSE)</f>
        <v>Geneva</v>
      </c>
    </row>
    <row r="349" spans="1:9" ht="15.75" thickBot="1" x14ac:dyDescent="0.3">
      <c r="A349" s="18" t="s">
        <v>458</v>
      </c>
      <c r="B349" s="3">
        <v>477</v>
      </c>
      <c r="C349" s="4" t="s">
        <v>13</v>
      </c>
      <c r="D349" s="4" t="s">
        <v>13</v>
      </c>
      <c r="E349" s="4" t="s">
        <v>9</v>
      </c>
      <c r="F349" s="4"/>
      <c r="G349" s="4" t="s">
        <v>13</v>
      </c>
      <c r="H349" s="19" t="s">
        <v>13</v>
      </c>
      <c r="I349" t="str">
        <f>VLOOKUP(A349,All!A:A,1,FALSE)</f>
        <v>Genoa (G.-Kingston)</v>
      </c>
    </row>
    <row r="350" spans="1:9" ht="15.75" thickBot="1" x14ac:dyDescent="0.3">
      <c r="A350" s="20" t="s">
        <v>459</v>
      </c>
      <c r="B350" s="7">
        <v>230</v>
      </c>
      <c r="C350" s="9" t="s">
        <v>13</v>
      </c>
      <c r="D350" s="6" t="s">
        <v>9</v>
      </c>
      <c r="E350" s="6"/>
      <c r="F350" s="6"/>
      <c r="G350" s="9" t="s">
        <v>9</v>
      </c>
      <c r="H350" s="22" t="s">
        <v>9</v>
      </c>
      <c r="I350" t="str">
        <f>VLOOKUP(A350,All!A:A,1,FALSE)</f>
        <v>Georgetown (G.-Ridge Farm)</v>
      </c>
    </row>
    <row r="351" spans="1:9" ht="15.75" thickBot="1" x14ac:dyDescent="0.3">
      <c r="A351" s="18" t="s">
        <v>460</v>
      </c>
      <c r="B351" s="3">
        <v>269</v>
      </c>
      <c r="C351" s="4" t="s">
        <v>9</v>
      </c>
      <c r="D351" s="4" t="s">
        <v>9</v>
      </c>
      <c r="E351" s="4"/>
      <c r="F351" s="4"/>
      <c r="G351" s="4" t="s">
        <v>9</v>
      </c>
      <c r="H351" s="19" t="s">
        <v>9</v>
      </c>
      <c r="I351" t="str">
        <f>VLOOKUP(A351,All!A:A,1,FALSE)</f>
        <v>Gibson City (G.C.-Melvin-Sibley)</v>
      </c>
    </row>
    <row r="352" spans="1:9" ht="15.75" thickBot="1" x14ac:dyDescent="0.3">
      <c r="A352" s="20" t="s">
        <v>461</v>
      </c>
      <c r="B352" s="7">
        <v>327</v>
      </c>
      <c r="C352" s="6" t="s">
        <v>13</v>
      </c>
      <c r="D352" s="6" t="s">
        <v>13</v>
      </c>
      <c r="E352" s="6" t="s">
        <v>9</v>
      </c>
      <c r="F352" s="6"/>
      <c r="G352" s="6" t="s">
        <v>9</v>
      </c>
      <c r="H352" s="21" t="s">
        <v>9</v>
      </c>
      <c r="I352" t="str">
        <f>VLOOKUP(A352,All!A:A,1,FALSE)</f>
        <v>Gillespie</v>
      </c>
    </row>
    <row r="353" spans="1:9" ht="15.75" thickBot="1" x14ac:dyDescent="0.3">
      <c r="A353" s="18" t="s">
        <v>462</v>
      </c>
      <c r="B353" s="3">
        <v>243</v>
      </c>
      <c r="C353" s="4" t="s">
        <v>9</v>
      </c>
      <c r="D353" s="4" t="s">
        <v>9</v>
      </c>
      <c r="E353" s="4"/>
      <c r="F353" s="4"/>
      <c r="G353" s="4" t="s">
        <v>9</v>
      </c>
      <c r="H353" s="19" t="s">
        <v>9</v>
      </c>
      <c r="I353" t="str">
        <f>VLOOKUP(A353,All!A:A,1,FALSE)</f>
        <v>Gilman (Iroquois West)</v>
      </c>
    </row>
    <row r="354" spans="1:9" ht="15.75" thickBot="1" x14ac:dyDescent="0.3">
      <c r="A354" s="20" t="s">
        <v>463</v>
      </c>
      <c r="B354" s="7">
        <v>237</v>
      </c>
      <c r="C354" s="6" t="s">
        <v>9</v>
      </c>
      <c r="D354" s="6" t="s">
        <v>9</v>
      </c>
      <c r="E354" s="6"/>
      <c r="F354" s="6"/>
      <c r="G354" s="6" t="s">
        <v>9</v>
      </c>
      <c r="H354" s="21" t="s">
        <v>9</v>
      </c>
      <c r="I354" t="str">
        <f>VLOOKUP(A354,All!A:A,1,FALSE)</f>
        <v>Glasford (Illini Bluffs)</v>
      </c>
    </row>
    <row r="355" spans="1:9" ht="15.75" thickBot="1" x14ac:dyDescent="0.3">
      <c r="A355" s="18" t="s">
        <v>464</v>
      </c>
      <c r="B355" s="3" t="s">
        <v>465</v>
      </c>
      <c r="C355" s="10" t="s">
        <v>13</v>
      </c>
      <c r="D355" s="10" t="s">
        <v>13</v>
      </c>
      <c r="E355" s="10" t="s">
        <v>9</v>
      </c>
      <c r="F355" s="4"/>
      <c r="G355" s="11" t="s">
        <v>9</v>
      </c>
      <c r="H355" s="27" t="s">
        <v>13</v>
      </c>
      <c r="I355" t="str">
        <f>VLOOKUP(A355,All!A:A,1,FALSE)</f>
        <v>Glen Carbon (Father McGivney)</v>
      </c>
    </row>
    <row r="356" spans="1:9" ht="15.75" thickBot="1" x14ac:dyDescent="0.3">
      <c r="A356" s="20" t="s">
        <v>466</v>
      </c>
      <c r="B356" s="5">
        <v>1091</v>
      </c>
      <c r="C356" s="6" t="s">
        <v>12</v>
      </c>
      <c r="D356" s="6" t="s">
        <v>12</v>
      </c>
      <c r="E356" s="6" t="s">
        <v>13</v>
      </c>
      <c r="F356" s="6" t="s">
        <v>9</v>
      </c>
      <c r="G356" s="6" t="s">
        <v>13</v>
      </c>
      <c r="H356" s="21" t="s">
        <v>13</v>
      </c>
      <c r="I356" t="str">
        <f>VLOOKUP(A356,All!A:A,1,FALSE)</f>
        <v>Glen Ellyn (Glenbard South)</v>
      </c>
    </row>
    <row r="357" spans="1:9" ht="15.75" thickBot="1" x14ac:dyDescent="0.3">
      <c r="A357" s="18" t="s">
        <v>467</v>
      </c>
      <c r="B357" s="8">
        <v>2299</v>
      </c>
      <c r="C357" s="4" t="s">
        <v>11</v>
      </c>
      <c r="D357" s="4" t="s">
        <v>11</v>
      </c>
      <c r="E357" s="4" t="s">
        <v>12</v>
      </c>
      <c r="F357" s="4" t="s">
        <v>13</v>
      </c>
      <c r="G357" s="4" t="s">
        <v>12</v>
      </c>
      <c r="H357" s="19" t="s">
        <v>12</v>
      </c>
      <c r="I357" t="str">
        <f>VLOOKUP(A357,All!A:A,1,FALSE)</f>
        <v>Glen Ellyn (Glenbard West)</v>
      </c>
    </row>
    <row r="358" spans="1:9" ht="15.75" thickBot="1" x14ac:dyDescent="0.3">
      <c r="A358" s="20" t="s">
        <v>468</v>
      </c>
      <c r="B358" s="5">
        <v>2921</v>
      </c>
      <c r="C358" s="6" t="s">
        <v>11</v>
      </c>
      <c r="D358" s="6" t="s">
        <v>11</v>
      </c>
      <c r="E358" s="6" t="s">
        <v>12</v>
      </c>
      <c r="F358" s="6" t="s">
        <v>13</v>
      </c>
      <c r="G358" s="6" t="s">
        <v>12</v>
      </c>
      <c r="H358" s="21" t="s">
        <v>12</v>
      </c>
      <c r="I358" t="str">
        <f>VLOOKUP(A358,All!A:A,1,FALSE)</f>
        <v>Glenview (Glenbrook South)</v>
      </c>
    </row>
    <row r="359" spans="1:9" ht="15.75" thickBot="1" x14ac:dyDescent="0.3">
      <c r="A359" s="18" t="s">
        <v>469</v>
      </c>
      <c r="B359" s="3">
        <v>140</v>
      </c>
      <c r="C359" s="4" t="s">
        <v>9</v>
      </c>
      <c r="D359" s="4" t="s">
        <v>9</v>
      </c>
      <c r="E359" s="4"/>
      <c r="F359" s="4"/>
      <c r="G359" s="4" t="s">
        <v>9</v>
      </c>
      <c r="H359" s="19" t="s">
        <v>9</v>
      </c>
      <c r="I359" t="str">
        <f>VLOOKUP(A359,All!A:A,1,FALSE)</f>
        <v>Golconda (Pope County)</v>
      </c>
    </row>
    <row r="360" spans="1:9" ht="15.75" thickBot="1" x14ac:dyDescent="0.3">
      <c r="A360" s="20" t="s">
        <v>470</v>
      </c>
      <c r="B360" s="7">
        <v>165</v>
      </c>
      <c r="C360" s="6" t="s">
        <v>9</v>
      </c>
      <c r="D360" s="6" t="s">
        <v>9</v>
      </c>
      <c r="E360" s="6"/>
      <c r="F360" s="6"/>
      <c r="G360" s="6" t="s">
        <v>9</v>
      </c>
      <c r="H360" s="21" t="s">
        <v>9</v>
      </c>
      <c r="I360" t="str">
        <f>VLOOKUP(A360,All!A:A,1,FALSE)</f>
        <v>Goreville</v>
      </c>
    </row>
    <row r="361" spans="1:9" ht="15.75" thickBot="1" x14ac:dyDescent="0.3">
      <c r="A361" s="18" t="s">
        <v>471</v>
      </c>
      <c r="B361" s="8">
        <v>1652</v>
      </c>
      <c r="C361" s="4" t="s">
        <v>11</v>
      </c>
      <c r="D361" s="4" t="s">
        <v>11</v>
      </c>
      <c r="E361" s="4" t="s">
        <v>13</v>
      </c>
      <c r="F361" s="4" t="s">
        <v>13</v>
      </c>
      <c r="G361" s="4" t="s">
        <v>12</v>
      </c>
      <c r="H361" s="19" t="s">
        <v>12</v>
      </c>
      <c r="I361" t="str">
        <f>VLOOKUP(A361,All!A:A,1,FALSE)</f>
        <v>Granite City</v>
      </c>
    </row>
    <row r="362" spans="1:9" ht="15.75" thickBot="1" x14ac:dyDescent="0.3">
      <c r="A362" s="20" t="s">
        <v>472</v>
      </c>
      <c r="B362" s="7">
        <v>125</v>
      </c>
      <c r="C362" s="6" t="s">
        <v>9</v>
      </c>
      <c r="D362" s="6" t="s">
        <v>9</v>
      </c>
      <c r="E362" s="6"/>
      <c r="F362" s="6"/>
      <c r="G362" s="6"/>
      <c r="H362" s="21"/>
      <c r="I362" t="str">
        <f>VLOOKUP(A362,All!A:A,1,FALSE)</f>
        <v>Grant Park</v>
      </c>
    </row>
    <row r="363" spans="1:9" ht="15.75" thickBot="1" x14ac:dyDescent="0.3">
      <c r="A363" s="18" t="s">
        <v>473</v>
      </c>
      <c r="B363" s="3">
        <v>236</v>
      </c>
      <c r="C363" s="4" t="s">
        <v>9</v>
      </c>
      <c r="D363" s="4" t="s">
        <v>9</v>
      </c>
      <c r="E363" s="4"/>
      <c r="F363" s="4"/>
      <c r="G363" s="4" t="s">
        <v>9</v>
      </c>
      <c r="H363" s="19" t="s">
        <v>9</v>
      </c>
      <c r="I363" t="str">
        <f>VLOOKUP(A363,All!A:A,1,FALSE)</f>
        <v>Granville (Putnam County)</v>
      </c>
    </row>
    <row r="364" spans="1:9" ht="15.75" thickBot="1" x14ac:dyDescent="0.3">
      <c r="A364" s="20" t="s">
        <v>474</v>
      </c>
      <c r="B364" s="5">
        <v>1325</v>
      </c>
      <c r="C364" s="6" t="s">
        <v>12</v>
      </c>
      <c r="D364" s="6" t="s">
        <v>12</v>
      </c>
      <c r="E364" s="6" t="s">
        <v>13</v>
      </c>
      <c r="F364" s="6" t="s">
        <v>9</v>
      </c>
      <c r="G364" s="6" t="s">
        <v>12</v>
      </c>
      <c r="H364" s="21" t="s">
        <v>12</v>
      </c>
      <c r="I364" t="str">
        <f>VLOOKUP(A364,All!A:A,1,FALSE)</f>
        <v>Grayslake (Central)</v>
      </c>
    </row>
    <row r="365" spans="1:9" ht="15.75" thickBot="1" x14ac:dyDescent="0.3">
      <c r="A365" s="25" t="s">
        <v>0</v>
      </c>
      <c r="B365" s="1" t="s">
        <v>1</v>
      </c>
      <c r="C365" s="2" t="s">
        <v>2</v>
      </c>
      <c r="D365" s="2" t="s">
        <v>3</v>
      </c>
      <c r="E365" s="2" t="s">
        <v>4</v>
      </c>
      <c r="F365" s="2" t="s">
        <v>5</v>
      </c>
      <c r="G365" s="2" t="s">
        <v>6</v>
      </c>
      <c r="H365" s="26" t="s">
        <v>7</v>
      </c>
      <c r="I365" t="str">
        <f>VLOOKUP(A365,All!A:A,1,FALSE)</f>
        <v>School</v>
      </c>
    </row>
    <row r="366" spans="1:9" ht="15.75" thickBot="1" x14ac:dyDescent="0.3">
      <c r="A366" s="18" t="s">
        <v>475</v>
      </c>
      <c r="B366" s="8">
        <v>1164</v>
      </c>
      <c r="C366" s="4" t="s">
        <v>12</v>
      </c>
      <c r="D366" s="4" t="s">
        <v>12</v>
      </c>
      <c r="E366" s="4" t="s">
        <v>13</v>
      </c>
      <c r="F366" s="4" t="s">
        <v>9</v>
      </c>
      <c r="G366" s="4" t="s">
        <v>13</v>
      </c>
      <c r="H366" s="19" t="s">
        <v>13</v>
      </c>
      <c r="I366" t="str">
        <f>VLOOKUP(A366,All!A:A,1,FALSE)</f>
        <v>Grayslake (North)</v>
      </c>
    </row>
    <row r="367" spans="1:9" ht="15.75" thickBot="1" x14ac:dyDescent="0.3">
      <c r="A367" s="20" t="s">
        <v>476</v>
      </c>
      <c r="B367" s="7">
        <v>84</v>
      </c>
      <c r="C367" s="6"/>
      <c r="D367" s="6" t="s">
        <v>9</v>
      </c>
      <c r="E367" s="6"/>
      <c r="F367" s="6"/>
      <c r="G367" s="6" t="s">
        <v>9</v>
      </c>
      <c r="H367" s="21" t="s">
        <v>9</v>
      </c>
      <c r="I367" t="str">
        <f>VLOOKUP(A367,All!A:A,1,FALSE)</f>
        <v>Grayville</v>
      </c>
    </row>
    <row r="368" spans="1:9" ht="15.75" thickBot="1" x14ac:dyDescent="0.3">
      <c r="A368" s="18" t="s">
        <v>477</v>
      </c>
      <c r="B368" s="3">
        <v>105</v>
      </c>
      <c r="C368" s="4" t="s">
        <v>9</v>
      </c>
      <c r="D368" s="9" t="s">
        <v>9</v>
      </c>
      <c r="E368" s="4"/>
      <c r="F368" s="4"/>
      <c r="G368" s="4" t="s">
        <v>9</v>
      </c>
      <c r="H368" s="19" t="s">
        <v>9</v>
      </c>
      <c r="I368" t="str">
        <f>VLOOKUP(A368,All!A:A,1,FALSE)</f>
        <v>Greenfield</v>
      </c>
    </row>
    <row r="369" spans="1:9" ht="15.75" thickBot="1" x14ac:dyDescent="0.3">
      <c r="A369" s="20" t="s">
        <v>478</v>
      </c>
      <c r="B369" s="7">
        <v>69</v>
      </c>
      <c r="C369" s="6"/>
      <c r="D369" s="6"/>
      <c r="E369" s="6"/>
      <c r="F369" s="6"/>
      <c r="G369" s="6" t="s">
        <v>9</v>
      </c>
      <c r="H369" s="21" t="s">
        <v>9</v>
      </c>
      <c r="I369" t="str">
        <f>VLOOKUP(A369,All!A:A,1,FALSE)</f>
        <v>Greenview</v>
      </c>
    </row>
    <row r="370" spans="1:9" ht="15.75" thickBot="1" x14ac:dyDescent="0.3">
      <c r="A370" s="18" t="s">
        <v>479</v>
      </c>
      <c r="B370" s="3">
        <v>471</v>
      </c>
      <c r="C370" s="4" t="s">
        <v>13</v>
      </c>
      <c r="D370" s="4" t="s">
        <v>13</v>
      </c>
      <c r="E370" s="4" t="s">
        <v>9</v>
      </c>
      <c r="F370" s="4" t="s">
        <v>9</v>
      </c>
      <c r="G370" s="4" t="s">
        <v>13</v>
      </c>
      <c r="H370" s="19" t="s">
        <v>13</v>
      </c>
      <c r="I370" t="str">
        <f>VLOOKUP(A370,All!A:A,1,FALSE)</f>
        <v>Greenville</v>
      </c>
    </row>
    <row r="371" spans="1:9" ht="15.75" thickBot="1" x14ac:dyDescent="0.3">
      <c r="A371" s="20" t="s">
        <v>480</v>
      </c>
      <c r="B371" s="7">
        <v>87</v>
      </c>
      <c r="C371" s="6"/>
      <c r="D371" s="6" t="s">
        <v>9</v>
      </c>
      <c r="E371" s="6"/>
      <c r="F371" s="6"/>
      <c r="G371" s="6"/>
      <c r="H371" s="21"/>
      <c r="I371" t="str">
        <f>VLOOKUP(A371,All!A:A,1,FALSE)</f>
        <v>Griggsville (G.-Perry)</v>
      </c>
    </row>
    <row r="372" spans="1:9" ht="15.75" thickBot="1" x14ac:dyDescent="0.3">
      <c r="A372" s="18" t="s">
        <v>481</v>
      </c>
      <c r="B372" s="8">
        <v>3398</v>
      </c>
      <c r="C372" s="4" t="s">
        <v>11</v>
      </c>
      <c r="D372" s="4" t="s">
        <v>11</v>
      </c>
      <c r="E372" s="4" t="s">
        <v>12</v>
      </c>
      <c r="F372" s="4" t="s">
        <v>13</v>
      </c>
      <c r="G372" s="4" t="s">
        <v>12</v>
      </c>
      <c r="H372" s="19" t="s">
        <v>12</v>
      </c>
      <c r="I372" t="str">
        <f>VLOOKUP(A372,All!A:A,1,FALSE)</f>
        <v>Gurnee (Warren)</v>
      </c>
    </row>
    <row r="373" spans="1:9" ht="15.75" thickBot="1" x14ac:dyDescent="0.3">
      <c r="A373" s="20" t="s">
        <v>482</v>
      </c>
      <c r="B373" s="7">
        <v>189</v>
      </c>
      <c r="C373" s="9" t="s">
        <v>13</v>
      </c>
      <c r="D373" s="6"/>
      <c r="E373" s="6"/>
      <c r="F373" s="6"/>
      <c r="G373" s="6"/>
      <c r="H373" s="21"/>
      <c r="I373" t="str">
        <f>VLOOKUP(A373,All!A:A,1,FALSE)</f>
        <v>Hamilton</v>
      </c>
    </row>
    <row r="374" spans="1:9" ht="15.75" thickBot="1" x14ac:dyDescent="0.3">
      <c r="A374" s="18" t="s">
        <v>483</v>
      </c>
      <c r="B374" s="8">
        <v>1994</v>
      </c>
      <c r="C374" s="4" t="s">
        <v>11</v>
      </c>
      <c r="D374" s="4" t="s">
        <v>11</v>
      </c>
      <c r="E374" s="4" t="s">
        <v>12</v>
      </c>
      <c r="F374" s="4" t="s">
        <v>13</v>
      </c>
      <c r="G374" s="4" t="s">
        <v>12</v>
      </c>
      <c r="H374" s="19" t="s">
        <v>12</v>
      </c>
      <c r="I374" t="str">
        <f>VLOOKUP(A374,All!A:A,1,FALSE)</f>
        <v>Hampshire</v>
      </c>
    </row>
    <row r="375" spans="1:9" ht="15.75" thickBot="1" x14ac:dyDescent="0.3">
      <c r="A375" s="20" t="s">
        <v>484</v>
      </c>
      <c r="B375" s="7">
        <v>126</v>
      </c>
      <c r="C375" s="9" t="s">
        <v>9</v>
      </c>
      <c r="D375" s="6"/>
      <c r="E375" s="6"/>
      <c r="F375" s="6"/>
      <c r="G375" s="6"/>
      <c r="H375" s="21"/>
      <c r="I375" t="str">
        <f>VLOOKUP(A375,All!A:A,1,FALSE)</f>
        <v>Hanover (River Ridge)</v>
      </c>
    </row>
    <row r="376" spans="1:9" ht="15.75" thickBot="1" x14ac:dyDescent="0.3">
      <c r="A376" s="18" t="s">
        <v>485</v>
      </c>
      <c r="B376" s="3">
        <v>170</v>
      </c>
      <c r="C376" s="9" t="s">
        <v>9</v>
      </c>
      <c r="D376" s="9" t="s">
        <v>9</v>
      </c>
      <c r="E376" s="4"/>
      <c r="F376" s="4"/>
      <c r="G376" s="4"/>
      <c r="H376" s="19"/>
      <c r="I376" t="str">
        <f>VLOOKUP(A376,All!A:A,1,FALSE)</f>
        <v>Hardin (Calhoun)</v>
      </c>
    </row>
    <row r="377" spans="1:9" ht="15.75" thickBot="1" x14ac:dyDescent="0.3">
      <c r="A377" s="20" t="s">
        <v>486</v>
      </c>
      <c r="B377" s="7">
        <v>482</v>
      </c>
      <c r="C377" s="6" t="s">
        <v>13</v>
      </c>
      <c r="D377" s="6" t="s">
        <v>13</v>
      </c>
      <c r="E377" s="9" t="s">
        <v>13</v>
      </c>
      <c r="F377" s="6"/>
      <c r="G377" s="6" t="s">
        <v>13</v>
      </c>
      <c r="H377" s="21" t="s">
        <v>13</v>
      </c>
      <c r="I377" t="str">
        <f>VLOOKUP(A377,All!A:A,1,FALSE)</f>
        <v>Harrisburg</v>
      </c>
    </row>
    <row r="378" spans="1:9" ht="15.75" thickBot="1" x14ac:dyDescent="0.3">
      <c r="A378" s="18" t="s">
        <v>487</v>
      </c>
      <c r="B378" s="3">
        <v>51</v>
      </c>
      <c r="C378" s="4"/>
      <c r="D378" s="4" t="s">
        <v>9</v>
      </c>
      <c r="E378" s="4"/>
      <c r="F378" s="4"/>
      <c r="G378" s="4"/>
      <c r="H378" s="19"/>
      <c r="I378" t="str">
        <f>VLOOKUP(A378,All!A:A,1,FALSE)</f>
        <v>Hartsburg (H.-Emden)</v>
      </c>
    </row>
    <row r="379" spans="1:9" ht="15.75" thickBot="1" x14ac:dyDescent="0.3">
      <c r="A379" s="20" t="s">
        <v>488</v>
      </c>
      <c r="B379" s="7">
        <v>803</v>
      </c>
      <c r="C379" s="6" t="s">
        <v>12</v>
      </c>
      <c r="D379" s="6" t="s">
        <v>12</v>
      </c>
      <c r="E379" s="6" t="s">
        <v>13</v>
      </c>
      <c r="F379" s="6"/>
      <c r="G379" s="6" t="s">
        <v>13</v>
      </c>
      <c r="H379" s="21" t="s">
        <v>13</v>
      </c>
      <c r="I379" t="str">
        <f>VLOOKUP(A379,All!A:A,1,FALSE)</f>
        <v>Harvard</v>
      </c>
    </row>
    <row r="380" spans="1:9" ht="15.75" thickBot="1" x14ac:dyDescent="0.3">
      <c r="A380" s="18" t="s">
        <v>489</v>
      </c>
      <c r="B380" s="8">
        <v>1530</v>
      </c>
      <c r="C380" s="4" t="s">
        <v>12</v>
      </c>
      <c r="D380" s="4" t="s">
        <v>12</v>
      </c>
      <c r="E380" s="4"/>
      <c r="F380" s="4"/>
      <c r="G380" s="4" t="s">
        <v>12</v>
      </c>
      <c r="H380" s="19" t="s">
        <v>12</v>
      </c>
      <c r="I380" t="str">
        <f>VLOOKUP(A380,All!A:A,1,FALSE)</f>
        <v>Harvey (Thornton)</v>
      </c>
    </row>
    <row r="381" spans="1:9" ht="15.75" thickBot="1" x14ac:dyDescent="0.3">
      <c r="A381" s="20" t="s">
        <v>490</v>
      </c>
      <c r="B381" s="7">
        <v>242</v>
      </c>
      <c r="C381" s="6" t="s">
        <v>9</v>
      </c>
      <c r="D381" s="6" t="s">
        <v>9</v>
      </c>
      <c r="E381" s="6"/>
      <c r="F381" s="6"/>
      <c r="G381" s="6" t="s">
        <v>9</v>
      </c>
      <c r="H381" s="21" t="s">
        <v>9</v>
      </c>
      <c r="I381" t="str">
        <f>VLOOKUP(A381,All!A:A,1,FALSE)</f>
        <v>Havana</v>
      </c>
    </row>
    <row r="382" spans="1:9" ht="15.75" thickBot="1" x14ac:dyDescent="0.3">
      <c r="A382" s="18" t="s">
        <v>491</v>
      </c>
      <c r="B382" s="3">
        <v>109</v>
      </c>
      <c r="C382" s="4" t="s">
        <v>9</v>
      </c>
      <c r="D382" s="4" t="s">
        <v>9</v>
      </c>
      <c r="E382" s="4"/>
      <c r="F382" s="4"/>
      <c r="G382" s="4" t="s">
        <v>9</v>
      </c>
      <c r="H382" s="19" t="s">
        <v>9</v>
      </c>
      <c r="I382" t="str">
        <f>VLOOKUP(A382,All!A:A,1,FALSE)</f>
        <v>Hebron (Alden-H.)</v>
      </c>
    </row>
    <row r="383" spans="1:9" ht="15.75" thickBot="1" x14ac:dyDescent="0.3">
      <c r="A383" s="20" t="s">
        <v>492</v>
      </c>
      <c r="B383" s="7">
        <v>141</v>
      </c>
      <c r="C383" s="6" t="s">
        <v>9</v>
      </c>
      <c r="D383" s="6" t="s">
        <v>9</v>
      </c>
      <c r="E383" s="6"/>
      <c r="F383" s="6"/>
      <c r="G383" s="9" t="s">
        <v>9</v>
      </c>
      <c r="H383" s="22" t="s">
        <v>9</v>
      </c>
      <c r="I383" t="str">
        <f>VLOOKUP(A383,All!A:A,1,FALSE)</f>
        <v>Henry (H.-Senachwine)</v>
      </c>
    </row>
    <row r="384" spans="1:9" ht="15.75" thickBot="1" x14ac:dyDescent="0.3">
      <c r="A384" s="18" t="s">
        <v>493</v>
      </c>
      <c r="B384" s="3">
        <v>635</v>
      </c>
      <c r="C384" s="4" t="s">
        <v>13</v>
      </c>
      <c r="D384" s="4" t="s">
        <v>13</v>
      </c>
      <c r="E384" s="4"/>
      <c r="F384" s="4" t="s">
        <v>9</v>
      </c>
      <c r="G384" s="4" t="s">
        <v>13</v>
      </c>
      <c r="H384" s="19" t="s">
        <v>13</v>
      </c>
      <c r="I384" t="str">
        <f>VLOOKUP(A384,All!A:A,1,FALSE)</f>
        <v>Herrin (H.S.)</v>
      </c>
    </row>
    <row r="385" spans="1:9" ht="15.75" thickBot="1" x14ac:dyDescent="0.3">
      <c r="A385" s="20" t="s">
        <v>494</v>
      </c>
      <c r="B385" s="7">
        <v>516</v>
      </c>
      <c r="C385" s="6" t="s">
        <v>13</v>
      </c>
      <c r="D385" s="6" t="s">
        <v>13</v>
      </c>
      <c r="E385" s="6" t="s">
        <v>9</v>
      </c>
      <c r="F385" s="6"/>
      <c r="G385" s="6" t="s">
        <v>13</v>
      </c>
      <c r="H385" s="21" t="s">
        <v>13</v>
      </c>
      <c r="I385" t="str">
        <f>VLOOKUP(A385,All!A:A,1,FALSE)</f>
        <v>Herscher</v>
      </c>
    </row>
    <row r="386" spans="1:9" ht="15.75" thickBot="1" x14ac:dyDescent="0.3">
      <c r="A386" s="18" t="s">
        <v>495</v>
      </c>
      <c r="B386" s="3">
        <v>260</v>
      </c>
      <c r="C386" s="4" t="s">
        <v>9</v>
      </c>
      <c r="D386" s="4" t="s">
        <v>9</v>
      </c>
      <c r="E386" s="4"/>
      <c r="F386" s="4"/>
      <c r="G386" s="4" t="s">
        <v>9</v>
      </c>
      <c r="H386" s="19" t="s">
        <v>9</v>
      </c>
      <c r="I386" t="str">
        <f>VLOOKUP(A386,All!A:A,1,FALSE)</f>
        <v>Heyworth</v>
      </c>
    </row>
    <row r="387" spans="1:9" ht="15.75" thickBot="1" x14ac:dyDescent="0.3">
      <c r="A387" s="20" t="s">
        <v>496</v>
      </c>
      <c r="B387" s="7">
        <v>838</v>
      </c>
      <c r="C387" s="6" t="s">
        <v>12</v>
      </c>
      <c r="D387" s="6" t="s">
        <v>12</v>
      </c>
      <c r="E387" s="6" t="s">
        <v>13</v>
      </c>
      <c r="F387" s="6" t="s">
        <v>9</v>
      </c>
      <c r="G387" s="6" t="s">
        <v>13</v>
      </c>
      <c r="H387" s="21" t="s">
        <v>13</v>
      </c>
      <c r="I387" t="str">
        <f>VLOOKUP(A387,All!A:A,1,FALSE)</f>
        <v>Highland</v>
      </c>
    </row>
    <row r="388" spans="1:9" ht="15.75" thickBot="1" x14ac:dyDescent="0.3">
      <c r="A388" s="18" t="s">
        <v>497</v>
      </c>
      <c r="B388" s="8">
        <v>1609</v>
      </c>
      <c r="C388" s="4" t="s">
        <v>11</v>
      </c>
      <c r="D388" s="9" t="s">
        <v>11</v>
      </c>
      <c r="E388" s="4" t="s">
        <v>13</v>
      </c>
      <c r="F388" s="4" t="s">
        <v>13</v>
      </c>
      <c r="G388" s="4" t="s">
        <v>12</v>
      </c>
      <c r="H388" s="19" t="s">
        <v>12</v>
      </c>
      <c r="I388" t="str">
        <f>VLOOKUP(A388,All!A:A,1,FALSE)</f>
        <v>Highland Park</v>
      </c>
    </row>
    <row r="389" spans="1:9" ht="15.75" thickBot="1" x14ac:dyDescent="0.3">
      <c r="A389" s="20" t="s">
        <v>498</v>
      </c>
      <c r="B389" s="7">
        <v>427</v>
      </c>
      <c r="C389" s="6" t="s">
        <v>13</v>
      </c>
      <c r="D389" s="6" t="s">
        <v>13</v>
      </c>
      <c r="E389" s="6" t="s">
        <v>9</v>
      </c>
      <c r="F389" s="6" t="s">
        <v>9</v>
      </c>
      <c r="G389" s="6" t="s">
        <v>9</v>
      </c>
      <c r="H389" s="21" t="s">
        <v>9</v>
      </c>
      <c r="I389" t="str">
        <f>VLOOKUP(A389,All!A:A,1,FALSE)</f>
        <v>Hillsboro</v>
      </c>
    </row>
    <row r="390" spans="1:9" ht="15.75" thickBot="1" x14ac:dyDescent="0.3">
      <c r="A390" s="18" t="s">
        <v>499</v>
      </c>
      <c r="B390" s="8">
        <v>2166</v>
      </c>
      <c r="C390" s="4" t="s">
        <v>11</v>
      </c>
      <c r="D390" s="4"/>
      <c r="E390" s="4" t="s">
        <v>12</v>
      </c>
      <c r="F390" s="4" t="s">
        <v>13</v>
      </c>
      <c r="G390" s="4" t="s">
        <v>12</v>
      </c>
      <c r="H390" s="19" t="s">
        <v>12</v>
      </c>
      <c r="I390" t="str">
        <f>VLOOKUP(A390,All!A:A,1,FALSE)</f>
        <v>Hillside (Proviso West)</v>
      </c>
    </row>
    <row r="391" spans="1:9" ht="15.75" thickBot="1" x14ac:dyDescent="0.3">
      <c r="A391" s="25" t="s">
        <v>0</v>
      </c>
      <c r="B391" s="1" t="s">
        <v>1</v>
      </c>
      <c r="C391" s="2" t="s">
        <v>2</v>
      </c>
      <c r="D391" s="2" t="s">
        <v>3</v>
      </c>
      <c r="E391" s="2" t="s">
        <v>4</v>
      </c>
      <c r="F391" s="2" t="s">
        <v>5</v>
      </c>
      <c r="G391" s="2" t="s">
        <v>6</v>
      </c>
      <c r="H391" s="26" t="s">
        <v>7</v>
      </c>
      <c r="I391" t="str">
        <f>VLOOKUP(A391,All!A:A,1,FALSE)</f>
        <v>School</v>
      </c>
    </row>
    <row r="392" spans="1:9" ht="15.75" thickBot="1" x14ac:dyDescent="0.3">
      <c r="A392" s="20" t="s">
        <v>500</v>
      </c>
      <c r="B392" s="7">
        <v>209</v>
      </c>
      <c r="C392" s="6" t="s">
        <v>9</v>
      </c>
      <c r="D392" s="6" t="s">
        <v>9</v>
      </c>
      <c r="E392" s="9" t="s">
        <v>9</v>
      </c>
      <c r="F392" s="6"/>
      <c r="G392" s="6" t="s">
        <v>9</v>
      </c>
      <c r="H392" s="21" t="s">
        <v>9</v>
      </c>
      <c r="I392" t="str">
        <f>VLOOKUP(A392,All!A:A,1,FALSE)</f>
        <v>Hinckley (H.-Big Rock)</v>
      </c>
    </row>
    <row r="393" spans="1:9" ht="15.75" thickBot="1" x14ac:dyDescent="0.3">
      <c r="A393" s="18" t="s">
        <v>501</v>
      </c>
      <c r="B393" s="8">
        <v>2401</v>
      </c>
      <c r="C393" s="4" t="s">
        <v>11</v>
      </c>
      <c r="D393" s="4" t="s">
        <v>11</v>
      </c>
      <c r="E393" s="4" t="s">
        <v>12</v>
      </c>
      <c r="F393" s="4" t="s">
        <v>13</v>
      </c>
      <c r="G393" s="4" t="s">
        <v>12</v>
      </c>
      <c r="H393" s="19" t="s">
        <v>12</v>
      </c>
      <c r="I393" t="str">
        <f>VLOOKUP(A393,All!A:A,1,FALSE)</f>
        <v>Hinsdale (Central)</v>
      </c>
    </row>
    <row r="394" spans="1:9" ht="15.75" thickBot="1" x14ac:dyDescent="0.3">
      <c r="A394" s="20" t="s">
        <v>502</v>
      </c>
      <c r="B394" s="5">
        <v>2610</v>
      </c>
      <c r="C394" s="6" t="s">
        <v>11</v>
      </c>
      <c r="D394" s="6" t="s">
        <v>11</v>
      </c>
      <c r="E394" s="6" t="s">
        <v>12</v>
      </c>
      <c r="F394" s="6" t="s">
        <v>13</v>
      </c>
      <c r="G394" s="6" t="s">
        <v>12</v>
      </c>
      <c r="H394" s="21" t="s">
        <v>12</v>
      </c>
      <c r="I394" t="str">
        <f>VLOOKUP(A394,All!A:A,1,FALSE)</f>
        <v>Hoffman Estates (Conant)</v>
      </c>
    </row>
    <row r="395" spans="1:9" ht="15.75" thickBot="1" x14ac:dyDescent="0.3">
      <c r="A395" s="18" t="s">
        <v>503</v>
      </c>
      <c r="B395" s="8">
        <v>2168</v>
      </c>
      <c r="C395" s="4" t="s">
        <v>11</v>
      </c>
      <c r="D395" s="4" t="s">
        <v>11</v>
      </c>
      <c r="E395" s="4" t="s">
        <v>12</v>
      </c>
      <c r="F395" s="4" t="s">
        <v>13</v>
      </c>
      <c r="G395" s="4" t="s">
        <v>12</v>
      </c>
      <c r="H395" s="19" t="s">
        <v>12</v>
      </c>
      <c r="I395" t="str">
        <f>VLOOKUP(A395,All!A:A,1,FALSE)</f>
        <v>Hoffman Estates (H.S.)</v>
      </c>
    </row>
    <row r="396" spans="1:9" ht="15.75" thickBot="1" x14ac:dyDescent="0.3">
      <c r="A396" s="20" t="s">
        <v>504</v>
      </c>
      <c r="B396" s="7">
        <v>299</v>
      </c>
      <c r="C396" s="6" t="s">
        <v>9</v>
      </c>
      <c r="D396" s="6" t="s">
        <v>9</v>
      </c>
      <c r="E396" s="6"/>
      <c r="F396" s="6"/>
      <c r="G396" s="6" t="s">
        <v>9</v>
      </c>
      <c r="H396" s="21" t="s">
        <v>9</v>
      </c>
      <c r="I396" t="str">
        <f>VLOOKUP(A396,All!A:A,1,FALSE)</f>
        <v>Hoopeston (H. Area)</v>
      </c>
    </row>
    <row r="397" spans="1:9" ht="15.75" thickBot="1" x14ac:dyDescent="0.3">
      <c r="A397" s="18" t="s">
        <v>505</v>
      </c>
      <c r="B397" s="3">
        <v>109</v>
      </c>
      <c r="C397" s="4"/>
      <c r="D397" s="9" t="s">
        <v>9</v>
      </c>
      <c r="E397" s="4"/>
      <c r="F397" s="4"/>
      <c r="G397" s="9" t="s">
        <v>9</v>
      </c>
      <c r="H397" s="22" t="s">
        <v>9</v>
      </c>
      <c r="I397" t="str">
        <f>VLOOKUP(A397,All!A:A,1,FALSE)</f>
        <v>Hume (Shiloh)</v>
      </c>
    </row>
    <row r="398" spans="1:9" ht="15.75" thickBot="1" x14ac:dyDescent="0.3">
      <c r="A398" s="20" t="s">
        <v>506</v>
      </c>
      <c r="B398" s="5">
        <v>2746</v>
      </c>
      <c r="C398" s="6" t="s">
        <v>11</v>
      </c>
      <c r="D398" s="6" t="s">
        <v>11</v>
      </c>
      <c r="E398" s="6" t="s">
        <v>12</v>
      </c>
      <c r="F398" s="6" t="s">
        <v>13</v>
      </c>
      <c r="G398" s="6" t="s">
        <v>12</v>
      </c>
      <c r="H398" s="21" t="s">
        <v>12</v>
      </c>
      <c r="I398" t="str">
        <f>VLOOKUP(A398,All!A:A,1,FALSE)</f>
        <v>Huntley</v>
      </c>
    </row>
    <row r="399" spans="1:9" ht="15.75" thickBot="1" x14ac:dyDescent="0.3">
      <c r="A399" s="18" t="s">
        <v>507</v>
      </c>
      <c r="B399" s="3">
        <v>77</v>
      </c>
      <c r="C399" s="4"/>
      <c r="D399" s="9" t="s">
        <v>9</v>
      </c>
      <c r="E399" s="4"/>
      <c r="F399" s="4"/>
      <c r="G399" s="4"/>
      <c r="H399" s="19"/>
      <c r="I399" t="str">
        <f>VLOOKUP(A399,All!A:A,1,FALSE)</f>
        <v>Hutsonville</v>
      </c>
    </row>
    <row r="400" spans="1:9" ht="15.75" thickBot="1" x14ac:dyDescent="0.3">
      <c r="A400" s="20" t="s">
        <v>508</v>
      </c>
      <c r="B400" s="7">
        <v>840</v>
      </c>
      <c r="C400" s="6" t="s">
        <v>12</v>
      </c>
      <c r="D400" s="6" t="s">
        <v>12</v>
      </c>
      <c r="E400" s="6" t="s">
        <v>13</v>
      </c>
      <c r="F400" s="6" t="s">
        <v>9</v>
      </c>
      <c r="G400" s="6" t="s">
        <v>13</v>
      </c>
      <c r="H400" s="21" t="s">
        <v>13</v>
      </c>
      <c r="I400" t="str">
        <f>VLOOKUP(A400,All!A:A,1,FALSE)</f>
        <v>Jacksonville (H.S.)</v>
      </c>
    </row>
    <row r="401" spans="1:9" ht="15.75" thickBot="1" x14ac:dyDescent="0.3">
      <c r="A401" s="18" t="s">
        <v>509</v>
      </c>
      <c r="B401" s="3" t="s">
        <v>510</v>
      </c>
      <c r="C401" s="4"/>
      <c r="D401" s="4"/>
      <c r="E401" s="4"/>
      <c r="F401" s="4"/>
      <c r="G401" s="9" t="s">
        <v>9</v>
      </c>
      <c r="H401" s="22" t="s">
        <v>9</v>
      </c>
      <c r="I401" t="str">
        <f>VLOOKUP(A401,All!A:A,1,FALSE)</f>
        <v>Jacksonville (Illinois School for the Deaf)</v>
      </c>
    </row>
    <row r="402" spans="1:9" ht="15.75" thickBot="1" x14ac:dyDescent="0.3">
      <c r="A402" s="20" t="s">
        <v>511</v>
      </c>
      <c r="B402" s="7" t="s">
        <v>512</v>
      </c>
      <c r="C402" s="10" t="s">
        <v>9</v>
      </c>
      <c r="D402" s="10" t="s">
        <v>9</v>
      </c>
      <c r="E402" s="6"/>
      <c r="F402" s="6"/>
      <c r="G402" s="10" t="s">
        <v>9</v>
      </c>
      <c r="H402" s="23" t="s">
        <v>9</v>
      </c>
      <c r="I402" t="str">
        <f>VLOOKUP(A402,All!A:A,1,FALSE)</f>
        <v>Jacksonville (Routt)</v>
      </c>
    </row>
    <row r="403" spans="1:9" ht="15.75" thickBot="1" x14ac:dyDescent="0.3">
      <c r="A403" s="18" t="s">
        <v>513</v>
      </c>
      <c r="B403" s="3">
        <v>780</v>
      </c>
      <c r="C403" s="4" t="s">
        <v>12</v>
      </c>
      <c r="D403" s="4" t="s">
        <v>12</v>
      </c>
      <c r="E403" s="4" t="s">
        <v>9</v>
      </c>
      <c r="F403" s="4" t="s">
        <v>9</v>
      </c>
      <c r="G403" s="4" t="s">
        <v>13</v>
      </c>
      <c r="H403" s="19" t="s">
        <v>13</v>
      </c>
      <c r="I403" t="str">
        <f>VLOOKUP(A403,All!A:A,1,FALSE)</f>
        <v>Jerseyville (Jersey)</v>
      </c>
    </row>
    <row r="404" spans="1:9" ht="15.75" thickBot="1" x14ac:dyDescent="0.3">
      <c r="A404" s="20" t="s">
        <v>514</v>
      </c>
      <c r="B404" s="7">
        <v>488</v>
      </c>
      <c r="C404" s="6" t="s">
        <v>13</v>
      </c>
      <c r="D404" s="6" t="s">
        <v>13</v>
      </c>
      <c r="E404" s="6" t="s">
        <v>9</v>
      </c>
      <c r="F404" s="6" t="s">
        <v>9</v>
      </c>
      <c r="G404" s="6" t="s">
        <v>13</v>
      </c>
      <c r="H404" s="21" t="s">
        <v>13</v>
      </c>
      <c r="I404" t="str">
        <f>VLOOKUP(A404,All!A:A,1,FALSE)</f>
        <v>Johnsburg</v>
      </c>
    </row>
    <row r="405" spans="1:9" ht="15.75" thickBot="1" x14ac:dyDescent="0.3">
      <c r="A405" s="18" t="s">
        <v>515</v>
      </c>
      <c r="B405" s="3">
        <v>326</v>
      </c>
      <c r="C405" s="4" t="s">
        <v>13</v>
      </c>
      <c r="D405" s="4" t="s">
        <v>13</v>
      </c>
      <c r="E405" s="4"/>
      <c r="F405" s="4"/>
      <c r="G405" s="4" t="s">
        <v>9</v>
      </c>
      <c r="H405" s="19" t="s">
        <v>9</v>
      </c>
      <c r="I405" t="str">
        <f>VLOOKUP(A405,All!A:A,1,FALSE)</f>
        <v>Johnston City</v>
      </c>
    </row>
    <row r="406" spans="1:9" ht="15.75" thickBot="1" x14ac:dyDescent="0.3">
      <c r="A406" s="20" t="s">
        <v>516</v>
      </c>
      <c r="B406" s="7" t="s">
        <v>517</v>
      </c>
      <c r="C406" s="10" t="s">
        <v>12</v>
      </c>
      <c r="D406" s="10" t="s">
        <v>12</v>
      </c>
      <c r="E406" s="10" t="s">
        <v>13</v>
      </c>
      <c r="F406" s="10" t="s">
        <v>9</v>
      </c>
      <c r="G406" s="10" t="s">
        <v>13</v>
      </c>
      <c r="H406" s="23" t="s">
        <v>13</v>
      </c>
      <c r="I406" t="str">
        <f>VLOOKUP(A406,All!A:A,1,FALSE)</f>
        <v>Joliet (Catholic Academy)</v>
      </c>
    </row>
    <row r="407" spans="1:9" ht="15.75" thickBot="1" x14ac:dyDescent="0.3">
      <c r="A407" s="18" t="s">
        <v>518</v>
      </c>
      <c r="B407" s="8">
        <v>3259</v>
      </c>
      <c r="C407" s="4" t="s">
        <v>11</v>
      </c>
      <c r="D407" s="4" t="s">
        <v>11</v>
      </c>
      <c r="E407" s="4" t="s">
        <v>12</v>
      </c>
      <c r="F407" s="4"/>
      <c r="G407" s="4" t="s">
        <v>12</v>
      </c>
      <c r="H407" s="19" t="s">
        <v>12</v>
      </c>
      <c r="I407" t="str">
        <f>VLOOKUP(A407,All!A:A,1,FALSE)</f>
        <v>Joliet (Central)</v>
      </c>
    </row>
    <row r="408" spans="1:9" ht="15.75" thickBot="1" x14ac:dyDescent="0.3">
      <c r="A408" s="20" t="s">
        <v>519</v>
      </c>
      <c r="B408" s="5">
        <v>3293</v>
      </c>
      <c r="C408" s="6" t="s">
        <v>11</v>
      </c>
      <c r="D408" s="6" t="s">
        <v>11</v>
      </c>
      <c r="E408" s="6" t="s">
        <v>12</v>
      </c>
      <c r="F408" s="9" t="s">
        <v>13</v>
      </c>
      <c r="G408" s="6" t="s">
        <v>12</v>
      </c>
      <c r="H408" s="21" t="s">
        <v>12</v>
      </c>
      <c r="I408" t="str">
        <f>VLOOKUP(A408,All!A:A,1,FALSE)</f>
        <v>Joliet (West)</v>
      </c>
    </row>
    <row r="409" spans="1:9" ht="15.75" thickBot="1" x14ac:dyDescent="0.3">
      <c r="A409" s="18" t="s">
        <v>520</v>
      </c>
      <c r="B409" s="3">
        <v>46</v>
      </c>
      <c r="C409" s="4"/>
      <c r="D409" s="4" t="s">
        <v>9</v>
      </c>
      <c r="E409" s="4"/>
      <c r="F409" s="4"/>
      <c r="G409" s="4"/>
      <c r="H409" s="19"/>
      <c r="I409" t="str">
        <f>VLOOKUP(A409,All!A:A,1,FALSE)</f>
        <v>Joppa (J.-Maple Grove)</v>
      </c>
    </row>
    <row r="410" spans="1:9" ht="15.75" thickBot="1" x14ac:dyDescent="0.3">
      <c r="A410" s="20" t="s">
        <v>521</v>
      </c>
      <c r="B410" s="7">
        <v>199</v>
      </c>
      <c r="C410" s="6" t="s">
        <v>9</v>
      </c>
      <c r="D410" s="6" t="s">
        <v>9</v>
      </c>
      <c r="E410" s="6"/>
      <c r="F410" s="6"/>
      <c r="G410" s="6"/>
      <c r="H410" s="21"/>
      <c r="I410" t="str">
        <f>VLOOKUP(A410,All!A:A,1,FALSE)</f>
        <v>Junction (Gallatin County)</v>
      </c>
    </row>
    <row r="411" spans="1:9" ht="15.75" thickBot="1" x14ac:dyDescent="0.3">
      <c r="A411" s="18" t="s">
        <v>522</v>
      </c>
      <c r="B411" s="3" t="s">
        <v>523</v>
      </c>
      <c r="C411" s="10" t="s">
        <v>13</v>
      </c>
      <c r="D411" s="10" t="s">
        <v>13</v>
      </c>
      <c r="E411" s="10" t="s">
        <v>9</v>
      </c>
      <c r="F411" s="4"/>
      <c r="G411" s="11" t="s">
        <v>9</v>
      </c>
      <c r="H411" s="24" t="s">
        <v>9</v>
      </c>
      <c r="I411" t="str">
        <f>VLOOKUP(A411,All!A:A,1,FALSE)</f>
        <v>Kankakee (McNamara)</v>
      </c>
    </row>
    <row r="412" spans="1:9" ht="15.75" thickBot="1" x14ac:dyDescent="0.3">
      <c r="A412" s="20" t="s">
        <v>524</v>
      </c>
      <c r="B412" s="5">
        <v>1297</v>
      </c>
      <c r="C412" s="6" t="s">
        <v>12</v>
      </c>
      <c r="D412" s="6" t="s">
        <v>12</v>
      </c>
      <c r="E412" s="6" t="s">
        <v>13</v>
      </c>
      <c r="F412" s="9" t="s">
        <v>13</v>
      </c>
      <c r="G412" s="6" t="s">
        <v>12</v>
      </c>
      <c r="H412" s="21" t="s">
        <v>12</v>
      </c>
      <c r="I412" t="str">
        <f>VLOOKUP(A412,All!A:A,1,FALSE)</f>
        <v>Kankakee (Sr.)</v>
      </c>
    </row>
    <row r="413" spans="1:9" ht="15.75" thickBot="1" x14ac:dyDescent="0.3">
      <c r="A413" s="18" t="s">
        <v>525</v>
      </c>
      <c r="B413" s="3">
        <v>51</v>
      </c>
      <c r="C413" s="9" t="s">
        <v>9</v>
      </c>
      <c r="D413" s="4"/>
      <c r="E413" s="4"/>
      <c r="F413" s="4"/>
      <c r="G413" s="4"/>
      <c r="H413" s="19"/>
      <c r="I413" t="str">
        <f>VLOOKUP(A413,All!A:A,1,FALSE)</f>
        <v>Kansas</v>
      </c>
    </row>
    <row r="414" spans="1:9" ht="15.75" thickBot="1" x14ac:dyDescent="0.3">
      <c r="A414" s="20" t="s">
        <v>526</v>
      </c>
      <c r="B414" s="7">
        <v>579</v>
      </c>
      <c r="C414" s="6" t="s">
        <v>13</v>
      </c>
      <c r="D414" s="6" t="s">
        <v>13</v>
      </c>
      <c r="E414" s="6"/>
      <c r="F414" s="6"/>
      <c r="G414" s="6" t="s">
        <v>13</v>
      </c>
      <c r="H414" s="21" t="s">
        <v>13</v>
      </c>
      <c r="I414" t="str">
        <f>VLOOKUP(A414,All!A:A,1,FALSE)</f>
        <v>Kewanee (H.S.)</v>
      </c>
    </row>
    <row r="415" spans="1:9" ht="15.75" thickBot="1" x14ac:dyDescent="0.3">
      <c r="A415" s="18" t="s">
        <v>527</v>
      </c>
      <c r="B415" s="3">
        <v>138</v>
      </c>
      <c r="C415" s="9" t="s">
        <v>9</v>
      </c>
      <c r="D415" s="9" t="s">
        <v>9</v>
      </c>
      <c r="E415" s="4"/>
      <c r="F415" s="4"/>
      <c r="G415" s="9" t="s">
        <v>9</v>
      </c>
      <c r="H415" s="22" t="s">
        <v>9</v>
      </c>
      <c r="I415" t="str">
        <f>VLOOKUP(A415,All!A:A,1,FALSE)</f>
        <v>Kewanee (Wethersfield)</v>
      </c>
    </row>
    <row r="416" spans="1:9" ht="15.75" thickBot="1" x14ac:dyDescent="0.3">
      <c r="A416" s="20" t="s">
        <v>528</v>
      </c>
      <c r="B416" s="7">
        <v>119</v>
      </c>
      <c r="C416" s="6" t="s">
        <v>9</v>
      </c>
      <c r="D416" s="6" t="s">
        <v>9</v>
      </c>
      <c r="E416" s="6"/>
      <c r="F416" s="6"/>
      <c r="G416" s="6"/>
      <c r="H416" s="21"/>
      <c r="I416" t="str">
        <f>VLOOKUP(A416,All!A:A,1,FALSE)</f>
        <v>Kirkland (Hiawatha)</v>
      </c>
    </row>
    <row r="417" spans="1:9" ht="15.75" thickBot="1" x14ac:dyDescent="0.3">
      <c r="A417" s="25" t="s">
        <v>0</v>
      </c>
      <c r="B417" s="1" t="s">
        <v>1</v>
      </c>
      <c r="C417" s="2" t="s">
        <v>2</v>
      </c>
      <c r="D417" s="2" t="s">
        <v>3</v>
      </c>
      <c r="E417" s="2" t="s">
        <v>4</v>
      </c>
      <c r="F417" s="2" t="s">
        <v>5</v>
      </c>
      <c r="G417" s="2" t="s">
        <v>6</v>
      </c>
      <c r="H417" s="26" t="s">
        <v>7</v>
      </c>
      <c r="I417" t="str">
        <f>VLOOKUP(A417,All!A:A,1,FALSE)</f>
        <v>School</v>
      </c>
    </row>
    <row r="418" spans="1:9" ht="15.75" thickBot="1" x14ac:dyDescent="0.3">
      <c r="A418" s="18" t="s">
        <v>529</v>
      </c>
      <c r="B418" s="3">
        <v>275</v>
      </c>
      <c r="C418" s="4" t="s">
        <v>9</v>
      </c>
      <c r="D418" s="4" t="s">
        <v>9</v>
      </c>
      <c r="E418" s="4"/>
      <c r="F418" s="4"/>
      <c r="G418" s="4" t="s">
        <v>9</v>
      </c>
      <c r="H418" s="19" t="s">
        <v>9</v>
      </c>
      <c r="I418" t="str">
        <f>VLOOKUP(A418,All!A:A,1,FALSE)</f>
        <v>Knoxville</v>
      </c>
    </row>
    <row r="419" spans="1:9" ht="15.75" thickBot="1" x14ac:dyDescent="0.3">
      <c r="A419" s="20" t="s">
        <v>530</v>
      </c>
      <c r="B419" s="5">
        <v>3653</v>
      </c>
      <c r="C419" s="6" t="s">
        <v>11</v>
      </c>
      <c r="D419" s="6" t="s">
        <v>11</v>
      </c>
      <c r="E419" s="6" t="s">
        <v>12</v>
      </c>
      <c r="F419" s="6" t="s">
        <v>13</v>
      </c>
      <c r="G419" s="6" t="s">
        <v>12</v>
      </c>
      <c r="H419" s="21" t="s">
        <v>12</v>
      </c>
      <c r="I419" t="str">
        <f>VLOOKUP(A419,All!A:A,1,FALSE)</f>
        <v>LaGrange (Lyons)</v>
      </c>
    </row>
    <row r="420" spans="1:9" ht="15.75" thickBot="1" x14ac:dyDescent="0.3">
      <c r="A420" s="18" t="s">
        <v>531</v>
      </c>
      <c r="B420" s="3" t="s">
        <v>532</v>
      </c>
      <c r="C420" s="10" t="s">
        <v>12</v>
      </c>
      <c r="D420" s="10" t="s">
        <v>12</v>
      </c>
      <c r="E420" s="10" t="s">
        <v>13</v>
      </c>
      <c r="F420" s="10" t="s">
        <v>9</v>
      </c>
      <c r="G420" s="10" t="s">
        <v>12</v>
      </c>
      <c r="H420" s="23" t="s">
        <v>12</v>
      </c>
      <c r="I420" t="str">
        <f>VLOOKUP(A420,All!A:A,1,FALSE)</f>
        <v>LaGrange Park (Nazareth Academy)</v>
      </c>
    </row>
    <row r="421" spans="1:9" ht="15.75" thickBot="1" x14ac:dyDescent="0.3">
      <c r="A421" s="20" t="s">
        <v>533</v>
      </c>
      <c r="B421" s="5">
        <v>1349</v>
      </c>
      <c r="C421" s="6" t="s">
        <v>12</v>
      </c>
      <c r="D421" s="6" t="s">
        <v>12</v>
      </c>
      <c r="E421" s="6" t="s">
        <v>13</v>
      </c>
      <c r="F421" s="6" t="s">
        <v>9</v>
      </c>
      <c r="G421" s="6" t="s">
        <v>12</v>
      </c>
      <c r="H421" s="21" t="s">
        <v>12</v>
      </c>
      <c r="I421" t="str">
        <f>VLOOKUP(A421,All!A:A,1,FALSE)</f>
        <v>Lake Forest (H.S.)</v>
      </c>
    </row>
    <row r="422" spans="1:9" ht="15.75" thickBot="1" x14ac:dyDescent="0.3">
      <c r="A422" s="18" t="s">
        <v>534</v>
      </c>
      <c r="B422" s="3" t="s">
        <v>535</v>
      </c>
      <c r="C422" s="4"/>
      <c r="D422" s="10" t="s">
        <v>9</v>
      </c>
      <c r="E422" s="10" t="s">
        <v>9</v>
      </c>
      <c r="F422" s="4"/>
      <c r="G422" s="4"/>
      <c r="H422" s="19"/>
      <c r="I422" t="str">
        <f>VLOOKUP(A422,All!A:A,1,FALSE)</f>
        <v>Lake Forest (Woodlands Academy)</v>
      </c>
    </row>
    <row r="423" spans="1:9" ht="15.75" thickBot="1" x14ac:dyDescent="0.3">
      <c r="A423" s="20" t="s">
        <v>536</v>
      </c>
      <c r="B423" s="5">
        <v>1270</v>
      </c>
      <c r="C423" s="6" t="s">
        <v>12</v>
      </c>
      <c r="D423" s="6" t="s">
        <v>12</v>
      </c>
      <c r="E423" s="6" t="s">
        <v>13</v>
      </c>
      <c r="F423" s="6" t="s">
        <v>9</v>
      </c>
      <c r="G423" s="6" t="s">
        <v>12</v>
      </c>
      <c r="H423" s="21" t="s">
        <v>12</v>
      </c>
      <c r="I423" t="str">
        <f>VLOOKUP(A423,All!A:A,1,FALSE)</f>
        <v>Lake Villa (Lakes)</v>
      </c>
    </row>
    <row r="424" spans="1:9" ht="15.75" thickBot="1" x14ac:dyDescent="0.3">
      <c r="A424" s="18" t="s">
        <v>537</v>
      </c>
      <c r="B424" s="8">
        <v>1794</v>
      </c>
      <c r="C424" s="4" t="s">
        <v>11</v>
      </c>
      <c r="D424" s="4" t="s">
        <v>11</v>
      </c>
      <c r="E424" s="4" t="s">
        <v>13</v>
      </c>
      <c r="F424" s="4" t="s">
        <v>13</v>
      </c>
      <c r="G424" s="4" t="s">
        <v>12</v>
      </c>
      <c r="H424" s="19" t="s">
        <v>12</v>
      </c>
      <c r="I424" t="str">
        <f>VLOOKUP(A424,All!A:A,1,FALSE)</f>
        <v>Lake Zurich</v>
      </c>
    </row>
    <row r="425" spans="1:9" ht="15.75" thickBot="1" x14ac:dyDescent="0.3">
      <c r="A425" s="20" t="s">
        <v>538</v>
      </c>
      <c r="B425" s="7">
        <v>187</v>
      </c>
      <c r="C425" s="6" t="s">
        <v>9</v>
      </c>
      <c r="D425" s="6" t="s">
        <v>9</v>
      </c>
      <c r="E425" s="6"/>
      <c r="F425" s="6"/>
      <c r="G425" s="6"/>
      <c r="H425" s="21"/>
      <c r="I425" t="str">
        <f>VLOOKUP(A425,All!A:A,1,FALSE)</f>
        <v>Lanark (Eastland)</v>
      </c>
    </row>
    <row r="426" spans="1:9" ht="15.75" thickBot="1" x14ac:dyDescent="0.3">
      <c r="A426" s="18" t="s">
        <v>539</v>
      </c>
      <c r="B426" s="8">
        <v>1645</v>
      </c>
      <c r="C426" s="4" t="s">
        <v>11</v>
      </c>
      <c r="D426" s="4" t="s">
        <v>11</v>
      </c>
      <c r="E426" s="4"/>
      <c r="F426" s="9" t="s">
        <v>13</v>
      </c>
      <c r="G426" s="4" t="s">
        <v>12</v>
      </c>
      <c r="H426" s="19" t="s">
        <v>12</v>
      </c>
      <c r="I426" t="str">
        <f>VLOOKUP(A426,All!A:A,1,FALSE)</f>
        <v>Lansing (Thornton Fractional South)</v>
      </c>
    </row>
    <row r="427" spans="1:9" ht="15.75" thickBot="1" x14ac:dyDescent="0.3">
      <c r="A427" s="20" t="s">
        <v>540</v>
      </c>
      <c r="B427" s="5">
        <v>1137</v>
      </c>
      <c r="C427" s="6" t="s">
        <v>12</v>
      </c>
      <c r="D427" s="6" t="s">
        <v>12</v>
      </c>
      <c r="E427" s="6" t="s">
        <v>13</v>
      </c>
      <c r="F427" s="6" t="s">
        <v>9</v>
      </c>
      <c r="G427" s="6" t="s">
        <v>13</v>
      </c>
      <c r="H427" s="21" t="s">
        <v>13</v>
      </c>
      <c r="I427" t="str">
        <f>VLOOKUP(A427,All!A:A,1,FALSE)</f>
        <v>LaSalle (L.-Peru)</v>
      </c>
    </row>
    <row r="428" spans="1:9" ht="15.75" thickBot="1" x14ac:dyDescent="0.3">
      <c r="A428" s="18" t="s">
        <v>541</v>
      </c>
      <c r="B428" s="3">
        <v>291</v>
      </c>
      <c r="C428" s="4" t="s">
        <v>9</v>
      </c>
      <c r="D428" s="4" t="s">
        <v>9</v>
      </c>
      <c r="E428" s="4"/>
      <c r="F428" s="4"/>
      <c r="G428" s="4" t="s">
        <v>9</v>
      </c>
      <c r="H428" s="19" t="s">
        <v>9</v>
      </c>
      <c r="I428" t="str">
        <f>VLOOKUP(A428,All!A:A,1,FALSE)</f>
        <v>Lawrenceville</v>
      </c>
    </row>
    <row r="429" spans="1:9" ht="15.75" thickBot="1" x14ac:dyDescent="0.3">
      <c r="A429" s="20" t="s">
        <v>542</v>
      </c>
      <c r="B429" s="7">
        <v>123</v>
      </c>
      <c r="C429" s="6" t="s">
        <v>9</v>
      </c>
      <c r="D429" s="6"/>
      <c r="E429" s="6"/>
      <c r="F429" s="6"/>
      <c r="G429" s="6" t="s">
        <v>9</v>
      </c>
      <c r="H429" s="21" t="s">
        <v>9</v>
      </c>
      <c r="I429" t="str">
        <f>VLOOKUP(A429,All!A:A,1,FALSE)</f>
        <v>Lebanon</v>
      </c>
    </row>
    <row r="430" spans="1:9" ht="15.75" thickBot="1" x14ac:dyDescent="0.3">
      <c r="A430" s="18" t="s">
        <v>543</v>
      </c>
      <c r="B430" s="8">
        <v>1279</v>
      </c>
      <c r="C430" s="4" t="s">
        <v>12</v>
      </c>
      <c r="D430" s="4" t="s">
        <v>12</v>
      </c>
      <c r="E430" s="4" t="s">
        <v>13</v>
      </c>
      <c r="F430" s="4" t="s">
        <v>9</v>
      </c>
      <c r="G430" s="4" t="s">
        <v>12</v>
      </c>
      <c r="H430" s="19" t="s">
        <v>12</v>
      </c>
      <c r="I430" t="str">
        <f>VLOOKUP(A430,All!A:A,1,FALSE)</f>
        <v>Lemont (H.S.)</v>
      </c>
    </row>
    <row r="431" spans="1:9" ht="15.75" thickBot="1" x14ac:dyDescent="0.3">
      <c r="A431" s="20" t="s">
        <v>544</v>
      </c>
      <c r="B431" s="7">
        <v>230</v>
      </c>
      <c r="C431" s="6" t="s">
        <v>9</v>
      </c>
      <c r="D431" s="6" t="s">
        <v>9</v>
      </c>
      <c r="E431" s="6"/>
      <c r="F431" s="6"/>
      <c r="G431" s="6" t="s">
        <v>9</v>
      </c>
      <c r="H431" s="22" t="s">
        <v>9</v>
      </c>
      <c r="I431" t="str">
        <f>VLOOKUP(A431,All!A:A,1,FALSE)</f>
        <v>Lena (L.-Winslow)</v>
      </c>
    </row>
    <row r="432" spans="1:9" ht="15.75" thickBot="1" x14ac:dyDescent="0.3">
      <c r="A432" s="18" t="s">
        <v>545</v>
      </c>
      <c r="B432" s="3">
        <v>233</v>
      </c>
      <c r="C432" s="4" t="s">
        <v>9</v>
      </c>
      <c r="D432" s="4" t="s">
        <v>9</v>
      </c>
      <c r="E432" s="4"/>
      <c r="F432" s="4"/>
      <c r="G432" s="4" t="s">
        <v>9</v>
      </c>
      <c r="H432" s="19" t="s">
        <v>9</v>
      </c>
      <c r="I432" t="str">
        <f>VLOOKUP(A432,All!A:A,1,FALSE)</f>
        <v>LeRoy</v>
      </c>
    </row>
    <row r="433" spans="1:9" ht="15.75" thickBot="1" x14ac:dyDescent="0.3">
      <c r="A433" s="20" t="s">
        <v>546</v>
      </c>
      <c r="B433" s="7">
        <v>160</v>
      </c>
      <c r="C433" s="6"/>
      <c r="D433" s="6"/>
      <c r="E433" s="6"/>
      <c r="F433" s="6"/>
      <c r="G433" s="9" t="s">
        <v>9</v>
      </c>
      <c r="H433" s="22" t="s">
        <v>9</v>
      </c>
      <c r="I433" t="str">
        <f>VLOOKUP(A433,All!A:A,1,FALSE)</f>
        <v>Lewistown</v>
      </c>
    </row>
    <row r="434" spans="1:9" ht="15.75" thickBot="1" x14ac:dyDescent="0.3">
      <c r="A434" s="18" t="s">
        <v>547</v>
      </c>
      <c r="B434" s="3">
        <v>161</v>
      </c>
      <c r="C434" s="4" t="s">
        <v>9</v>
      </c>
      <c r="D434" s="9" t="s">
        <v>13</v>
      </c>
      <c r="E434" s="4"/>
      <c r="F434" s="4"/>
      <c r="G434" s="4"/>
      <c r="H434" s="19"/>
      <c r="I434" t="str">
        <f>VLOOKUP(A434,All!A:A,1,FALSE)</f>
        <v>Lexington</v>
      </c>
    </row>
    <row r="435" spans="1:9" ht="15.75" thickBot="1" x14ac:dyDescent="0.3">
      <c r="A435" s="20" t="s">
        <v>548</v>
      </c>
      <c r="B435" s="7">
        <v>168</v>
      </c>
      <c r="C435" s="6" t="s">
        <v>9</v>
      </c>
      <c r="D435" s="6" t="s">
        <v>9</v>
      </c>
      <c r="E435" s="6"/>
      <c r="F435" s="6"/>
      <c r="G435" s="6" t="s">
        <v>9</v>
      </c>
      <c r="H435" s="21" t="s">
        <v>9</v>
      </c>
      <c r="I435" t="str">
        <f>VLOOKUP(A435,All!A:A,1,FALSE)</f>
        <v>Liberty</v>
      </c>
    </row>
    <row r="436" spans="1:9" ht="15.75" thickBot="1" x14ac:dyDescent="0.3">
      <c r="A436" s="18" t="s">
        <v>549</v>
      </c>
      <c r="B436" s="8">
        <v>1736</v>
      </c>
      <c r="C436" s="4" t="s">
        <v>11</v>
      </c>
      <c r="D436" s="4" t="s">
        <v>11</v>
      </c>
      <c r="E436" s="4" t="s">
        <v>13</v>
      </c>
      <c r="F436" s="4" t="s">
        <v>13</v>
      </c>
      <c r="G436" s="4" t="s">
        <v>12</v>
      </c>
      <c r="H436" s="19" t="s">
        <v>12</v>
      </c>
      <c r="I436" t="str">
        <f>VLOOKUP(A436,All!A:A,1,FALSE)</f>
        <v>Libertyville</v>
      </c>
    </row>
    <row r="437" spans="1:9" ht="15.75" thickBot="1" x14ac:dyDescent="0.3">
      <c r="A437" s="20" t="s">
        <v>550</v>
      </c>
      <c r="B437" s="7">
        <v>751</v>
      </c>
      <c r="C437" s="6" t="s">
        <v>12</v>
      </c>
      <c r="D437" s="6" t="s">
        <v>12</v>
      </c>
      <c r="E437" s="6" t="s">
        <v>9</v>
      </c>
      <c r="F437" s="6" t="s">
        <v>9</v>
      </c>
      <c r="G437" s="6" t="s">
        <v>13</v>
      </c>
      <c r="H437" s="21" t="s">
        <v>13</v>
      </c>
      <c r="I437" t="str">
        <f>VLOOKUP(A437,All!A:A,1,FALSE)</f>
        <v>Lincoln</v>
      </c>
    </row>
    <row r="438" spans="1:9" ht="15.75" thickBot="1" x14ac:dyDescent="0.3">
      <c r="A438" s="18" t="s">
        <v>551</v>
      </c>
      <c r="B438" s="8">
        <v>4720</v>
      </c>
      <c r="C438" s="4" t="s">
        <v>11</v>
      </c>
      <c r="D438" s="4" t="s">
        <v>11</v>
      </c>
      <c r="E438" s="4" t="s">
        <v>12</v>
      </c>
      <c r="F438" s="4" t="s">
        <v>13</v>
      </c>
      <c r="G438" s="4" t="s">
        <v>12</v>
      </c>
      <c r="H438" s="19" t="s">
        <v>12</v>
      </c>
      <c r="I438" t="str">
        <f>VLOOKUP(A438,All!A:A,1,FALSE)</f>
        <v>Lincolnshire (Stevenson)</v>
      </c>
    </row>
    <row r="439" spans="1:9" ht="15.75" thickBot="1" x14ac:dyDescent="0.3">
      <c r="A439" s="20" t="s">
        <v>552</v>
      </c>
      <c r="B439" s="7" t="s">
        <v>553</v>
      </c>
      <c r="C439" s="10" t="s">
        <v>11</v>
      </c>
      <c r="D439" s="10" t="s">
        <v>11</v>
      </c>
      <c r="E439" s="10" t="s">
        <v>12</v>
      </c>
      <c r="F439" s="10" t="s">
        <v>13</v>
      </c>
      <c r="G439" s="10" t="s">
        <v>12</v>
      </c>
      <c r="H439" s="23" t="s">
        <v>12</v>
      </c>
      <c r="I439" t="str">
        <f>VLOOKUP(A439,All!A:A,1,FALSE)</f>
        <v>Lisle (Benet Academy)</v>
      </c>
    </row>
    <row r="440" spans="1:9" ht="15.75" thickBot="1" x14ac:dyDescent="0.3">
      <c r="A440" s="18" t="s">
        <v>554</v>
      </c>
      <c r="B440" s="3">
        <v>421</v>
      </c>
      <c r="C440" s="4" t="s">
        <v>13</v>
      </c>
      <c r="D440" s="4" t="s">
        <v>13</v>
      </c>
      <c r="E440" s="4" t="s">
        <v>9</v>
      </c>
      <c r="F440" s="4" t="s">
        <v>9</v>
      </c>
      <c r="G440" s="4" t="s">
        <v>9</v>
      </c>
      <c r="H440" s="19" t="s">
        <v>9</v>
      </c>
      <c r="I440" t="str">
        <f>VLOOKUP(A440,All!A:A,1,FALSE)</f>
        <v>Lisle (Sr.)</v>
      </c>
    </row>
    <row r="441" spans="1:9" ht="15.75" thickBot="1" x14ac:dyDescent="0.3">
      <c r="A441" s="20" t="s">
        <v>555</v>
      </c>
      <c r="B441" s="7">
        <v>373</v>
      </c>
      <c r="C441" s="9" t="s">
        <v>13</v>
      </c>
      <c r="D441" s="9" t="s">
        <v>13</v>
      </c>
      <c r="E441" s="9" t="s">
        <v>9</v>
      </c>
      <c r="F441" s="6"/>
      <c r="G441" s="6" t="s">
        <v>9</v>
      </c>
      <c r="H441" s="21" t="s">
        <v>9</v>
      </c>
      <c r="I441" t="str">
        <f>VLOOKUP(A441,All!A:A,1,FALSE)</f>
        <v>Litchfield</v>
      </c>
    </row>
    <row r="442" spans="1:9" ht="15.75" thickBot="1" x14ac:dyDescent="0.3">
      <c r="A442" s="18" t="s">
        <v>556</v>
      </c>
      <c r="B442" s="8">
        <v>3637</v>
      </c>
      <c r="C442" s="4" t="s">
        <v>11</v>
      </c>
      <c r="D442" s="4" t="s">
        <v>11</v>
      </c>
      <c r="E442" s="4" t="s">
        <v>12</v>
      </c>
      <c r="F442" s="4" t="s">
        <v>13</v>
      </c>
      <c r="G442" s="4" t="s">
        <v>12</v>
      </c>
      <c r="H442" s="19" t="s">
        <v>12</v>
      </c>
      <c r="I442" t="str">
        <f>VLOOKUP(A442,All!A:A,1,FALSE)</f>
        <v>Lockport (Twp.)</v>
      </c>
    </row>
    <row r="443" spans="1:9" ht="15.75" thickBot="1" x14ac:dyDescent="0.3">
      <c r="A443" s="25" t="s">
        <v>0</v>
      </c>
      <c r="B443" s="1" t="s">
        <v>1</v>
      </c>
      <c r="C443" s="2" t="s">
        <v>2</v>
      </c>
      <c r="D443" s="2" t="s">
        <v>3</v>
      </c>
      <c r="E443" s="2" t="s">
        <v>4</v>
      </c>
      <c r="F443" s="2" t="s">
        <v>5</v>
      </c>
      <c r="G443" s="2" t="s">
        <v>6</v>
      </c>
      <c r="H443" s="26" t="s">
        <v>7</v>
      </c>
      <c r="I443" t="str">
        <f>VLOOKUP(A443,All!A:A,1,FALSE)</f>
        <v>School</v>
      </c>
    </row>
    <row r="444" spans="1:9" ht="15.75" thickBot="1" x14ac:dyDescent="0.3">
      <c r="A444" s="20" t="s">
        <v>557</v>
      </c>
      <c r="B444" s="5">
        <v>2215</v>
      </c>
      <c r="C444" s="6" t="s">
        <v>11</v>
      </c>
      <c r="D444" s="6" t="s">
        <v>11</v>
      </c>
      <c r="E444" s="6" t="s">
        <v>12</v>
      </c>
      <c r="F444" s="6" t="s">
        <v>13</v>
      </c>
      <c r="G444" s="6" t="s">
        <v>12</v>
      </c>
      <c r="H444" s="21" t="s">
        <v>12</v>
      </c>
      <c r="I444" t="str">
        <f>VLOOKUP(A444,All!A:A,1,FALSE)</f>
        <v>Lombard (Glenbard East)</v>
      </c>
    </row>
    <row r="445" spans="1:9" ht="15.75" thickBot="1" x14ac:dyDescent="0.3">
      <c r="A445" s="18" t="s">
        <v>558</v>
      </c>
      <c r="B445" s="3" t="s">
        <v>559</v>
      </c>
      <c r="C445" s="10" t="s">
        <v>12</v>
      </c>
      <c r="D445" s="10" t="s">
        <v>12</v>
      </c>
      <c r="E445" s="10" t="s">
        <v>13</v>
      </c>
      <c r="F445" s="4"/>
      <c r="G445" s="10" t="s">
        <v>13</v>
      </c>
      <c r="H445" s="23" t="s">
        <v>13</v>
      </c>
      <c r="I445" t="str">
        <f>VLOOKUP(A445,All!A:A,1,FALSE)</f>
        <v>Lombard (Montini)</v>
      </c>
    </row>
    <row r="446" spans="1:9" ht="15.75" thickBot="1" x14ac:dyDescent="0.3">
      <c r="A446" s="20" t="s">
        <v>560</v>
      </c>
      <c r="B446" s="7">
        <v>60</v>
      </c>
      <c r="C446" s="6"/>
      <c r="D446" s="9" t="s">
        <v>13</v>
      </c>
      <c r="E446" s="6"/>
      <c r="F446" s="6"/>
      <c r="G446" s="6"/>
      <c r="H446" s="21"/>
      <c r="I446" t="str">
        <f>VLOOKUP(A446,All!A:A,1,FALSE)</f>
        <v>London Mills (Spoon River Valley)</v>
      </c>
    </row>
    <row r="447" spans="1:9" ht="15.75" thickBot="1" x14ac:dyDescent="0.3">
      <c r="A447" s="18" t="s">
        <v>561</v>
      </c>
      <c r="B447" s="3">
        <v>174</v>
      </c>
      <c r="C447" s="9" t="s">
        <v>9</v>
      </c>
      <c r="D447" s="9" t="s">
        <v>9</v>
      </c>
      <c r="E447" s="4"/>
      <c r="F447" s="4"/>
      <c r="G447" s="9" t="s">
        <v>9</v>
      </c>
      <c r="H447" s="22" t="s">
        <v>9</v>
      </c>
      <c r="I447" t="str">
        <f>VLOOKUP(A447,All!A:A,1,FALSE)</f>
        <v>Louisville (North Clay)</v>
      </c>
    </row>
    <row r="448" spans="1:9" ht="15.75" thickBot="1" x14ac:dyDescent="0.3">
      <c r="A448" s="20" t="s">
        <v>562</v>
      </c>
      <c r="B448" s="5">
        <v>1836</v>
      </c>
      <c r="C448" s="6" t="s">
        <v>11</v>
      </c>
      <c r="D448" s="6" t="s">
        <v>11</v>
      </c>
      <c r="E448" s="6" t="s">
        <v>12</v>
      </c>
      <c r="F448" s="6" t="s">
        <v>13</v>
      </c>
      <c r="G448" s="6" t="s">
        <v>12</v>
      </c>
      <c r="H448" s="21" t="s">
        <v>12</v>
      </c>
      <c r="I448" t="str">
        <f>VLOOKUP(A448,All!A:A,1,FALSE)</f>
        <v>Machesney Park (Harlem)</v>
      </c>
    </row>
    <row r="449" spans="1:9" ht="15.75" thickBot="1" x14ac:dyDescent="0.3">
      <c r="A449" s="18" t="s">
        <v>563</v>
      </c>
      <c r="B449" s="3">
        <v>291</v>
      </c>
      <c r="C449" s="4" t="s">
        <v>9</v>
      </c>
      <c r="D449" s="4" t="s">
        <v>9</v>
      </c>
      <c r="E449" s="4"/>
      <c r="F449" s="4"/>
      <c r="G449" s="4" t="s">
        <v>9</v>
      </c>
      <c r="H449" s="19" t="s">
        <v>9</v>
      </c>
      <c r="I449" t="str">
        <f>VLOOKUP(A449,All!A:A,1,FALSE)</f>
        <v>Mackinaw (Deer Creek-M.)</v>
      </c>
    </row>
    <row r="450" spans="1:9" ht="15.75" thickBot="1" x14ac:dyDescent="0.3">
      <c r="A450" s="20" t="s">
        <v>564</v>
      </c>
      <c r="B450" s="7">
        <v>610</v>
      </c>
      <c r="C450" s="6" t="s">
        <v>13</v>
      </c>
      <c r="D450" s="6" t="s">
        <v>13</v>
      </c>
      <c r="E450" s="6" t="s">
        <v>9</v>
      </c>
      <c r="F450" s="6" t="s">
        <v>9</v>
      </c>
      <c r="G450" s="6" t="s">
        <v>13</v>
      </c>
      <c r="H450" s="21" t="s">
        <v>13</v>
      </c>
      <c r="I450" t="str">
        <f>VLOOKUP(A450,All!A:A,1,FALSE)</f>
        <v>Macomb</v>
      </c>
    </row>
    <row r="451" spans="1:9" ht="15.75" thickBot="1" x14ac:dyDescent="0.3">
      <c r="A451" s="18" t="s">
        <v>565</v>
      </c>
      <c r="B451" s="3">
        <v>268</v>
      </c>
      <c r="C451" s="4" t="s">
        <v>9</v>
      </c>
      <c r="D451" s="4" t="s">
        <v>9</v>
      </c>
      <c r="E451" s="9" t="s">
        <v>9</v>
      </c>
      <c r="F451" s="4"/>
      <c r="G451" s="4" t="s">
        <v>9</v>
      </c>
      <c r="H451" s="19" t="s">
        <v>9</v>
      </c>
      <c r="I451" t="str">
        <f>VLOOKUP(A451,All!A:A,1,FALSE)</f>
        <v>Macon (Meridian)</v>
      </c>
    </row>
    <row r="452" spans="1:9" ht="15.75" thickBot="1" x14ac:dyDescent="0.3">
      <c r="A452" s="20" t="s">
        <v>566</v>
      </c>
      <c r="B452" s="7">
        <v>135</v>
      </c>
      <c r="C452" s="6"/>
      <c r="D452" s="6"/>
      <c r="E452" s="6"/>
      <c r="F452" s="6"/>
      <c r="G452" s="6" t="s">
        <v>9</v>
      </c>
      <c r="H452" s="21" t="s">
        <v>9</v>
      </c>
      <c r="I452" t="str">
        <f>VLOOKUP(A452,All!A:A,1,FALSE)</f>
        <v>Madison</v>
      </c>
    </row>
    <row r="453" spans="1:9" ht="15.75" thickBot="1" x14ac:dyDescent="0.3">
      <c r="A453" s="18" t="s">
        <v>567</v>
      </c>
      <c r="B453" s="8">
        <v>1043</v>
      </c>
      <c r="C453" s="4" t="s">
        <v>12</v>
      </c>
      <c r="D453" s="4" t="s">
        <v>12</v>
      </c>
      <c r="E453" s="4" t="s">
        <v>13</v>
      </c>
      <c r="F453" s="4" t="s">
        <v>9</v>
      </c>
      <c r="G453" s="4" t="s">
        <v>13</v>
      </c>
      <c r="H453" s="19" t="s">
        <v>13</v>
      </c>
      <c r="I453" t="str">
        <f>VLOOKUP(A453,All!A:A,1,FALSE)</f>
        <v>Mahomet (M.-Seymour)</v>
      </c>
    </row>
    <row r="454" spans="1:9" ht="15.75" thickBot="1" x14ac:dyDescent="0.3">
      <c r="A454" s="20" t="s">
        <v>568</v>
      </c>
      <c r="B454" s="7">
        <v>232</v>
      </c>
      <c r="C454" s="6" t="s">
        <v>9</v>
      </c>
      <c r="D454" s="6" t="s">
        <v>9</v>
      </c>
      <c r="E454" s="6"/>
      <c r="F454" s="6"/>
      <c r="G454" s="6" t="s">
        <v>9</v>
      </c>
      <c r="H454" s="21" t="s">
        <v>9</v>
      </c>
      <c r="I454" t="str">
        <f>VLOOKUP(A454,All!A:A,1,FALSE)</f>
        <v>Manito (Midwest Central)</v>
      </c>
    </row>
    <row r="455" spans="1:9" ht="15.75" thickBot="1" x14ac:dyDescent="0.3">
      <c r="A455" s="18" t="s">
        <v>569</v>
      </c>
      <c r="B455" s="3">
        <v>281</v>
      </c>
      <c r="C455" s="4" t="s">
        <v>9</v>
      </c>
      <c r="D455" s="4" t="s">
        <v>9</v>
      </c>
      <c r="E455" s="4"/>
      <c r="F455" s="4"/>
      <c r="G455" s="4" t="s">
        <v>9</v>
      </c>
      <c r="H455" s="19" t="s">
        <v>9</v>
      </c>
      <c r="I455" t="str">
        <f>VLOOKUP(A455,All!A:A,1,FALSE)</f>
        <v>Manlius (Bureau Valley)</v>
      </c>
    </row>
    <row r="456" spans="1:9" ht="15.75" thickBot="1" x14ac:dyDescent="0.3">
      <c r="A456" s="20" t="s">
        <v>570</v>
      </c>
      <c r="B456" s="7">
        <v>538</v>
      </c>
      <c r="C456" s="6" t="s">
        <v>13</v>
      </c>
      <c r="D456" s="6" t="s">
        <v>13</v>
      </c>
      <c r="E456" s="6" t="s">
        <v>9</v>
      </c>
      <c r="F456" s="6"/>
      <c r="G456" s="6" t="s">
        <v>13</v>
      </c>
      <c r="H456" s="21" t="s">
        <v>13</v>
      </c>
      <c r="I456" t="str">
        <f>VLOOKUP(A456,All!A:A,1,FALSE)</f>
        <v>Manteno</v>
      </c>
    </row>
    <row r="457" spans="1:9" ht="15.75" thickBot="1" x14ac:dyDescent="0.3">
      <c r="A457" s="18" t="s">
        <v>571</v>
      </c>
      <c r="B457" s="8">
        <v>1170</v>
      </c>
      <c r="C457" s="4" t="s">
        <v>12</v>
      </c>
      <c r="D457" s="4" t="s">
        <v>12</v>
      </c>
      <c r="E457" s="4" t="s">
        <v>13</v>
      </c>
      <c r="F457" s="4" t="s">
        <v>9</v>
      </c>
      <c r="G457" s="4" t="s">
        <v>13</v>
      </c>
      <c r="H457" s="19" t="s">
        <v>13</v>
      </c>
      <c r="I457" t="str">
        <f>VLOOKUP(A457,All!A:A,1,FALSE)</f>
        <v>Maple Park (Kaneland)</v>
      </c>
    </row>
    <row r="458" spans="1:9" ht="15.75" thickBot="1" x14ac:dyDescent="0.3">
      <c r="A458" s="20" t="s">
        <v>572</v>
      </c>
      <c r="B458" s="7">
        <v>662</v>
      </c>
      <c r="C458" s="6" t="s">
        <v>13</v>
      </c>
      <c r="D458" s="6" t="s">
        <v>13</v>
      </c>
      <c r="E458" s="6" t="s">
        <v>9</v>
      </c>
      <c r="F458" s="6" t="s">
        <v>9</v>
      </c>
      <c r="G458" s="6" t="s">
        <v>13</v>
      </c>
      <c r="H458" s="21" t="s">
        <v>13</v>
      </c>
      <c r="I458" t="str">
        <f>VLOOKUP(A458,All!A:A,1,FALSE)</f>
        <v>Marengo</v>
      </c>
    </row>
    <row r="459" spans="1:9" ht="15.75" thickBot="1" x14ac:dyDescent="0.3">
      <c r="A459" s="18" t="s">
        <v>573</v>
      </c>
      <c r="B459" s="3">
        <v>152</v>
      </c>
      <c r="C459" s="4" t="s">
        <v>9</v>
      </c>
      <c r="D459" s="4" t="s">
        <v>9</v>
      </c>
      <c r="E459" s="4"/>
      <c r="F459" s="4"/>
      <c r="G459" s="4"/>
      <c r="H459" s="19"/>
      <c r="I459" t="str">
        <f>VLOOKUP(A459,All!A:A,1,FALSE)</f>
        <v>Marion (Crab Orchard)</v>
      </c>
    </row>
    <row r="460" spans="1:9" ht="15.75" thickBot="1" x14ac:dyDescent="0.3">
      <c r="A460" s="20" t="s">
        <v>574</v>
      </c>
      <c r="B460" s="5">
        <v>1050</v>
      </c>
      <c r="C460" s="6" t="s">
        <v>12</v>
      </c>
      <c r="D460" s="6" t="s">
        <v>12</v>
      </c>
      <c r="E460" s="6" t="s">
        <v>13</v>
      </c>
      <c r="F460" s="6" t="s">
        <v>9</v>
      </c>
      <c r="G460" s="6" t="s">
        <v>13</v>
      </c>
      <c r="H460" s="21" t="s">
        <v>13</v>
      </c>
      <c r="I460" t="str">
        <f>VLOOKUP(A460,All!A:A,1,FALSE)</f>
        <v>Marion (H.S.)</v>
      </c>
    </row>
    <row r="461" spans="1:9" ht="15.75" thickBot="1" x14ac:dyDescent="0.3">
      <c r="A461" s="18" t="s">
        <v>575</v>
      </c>
      <c r="B461" s="3">
        <v>160</v>
      </c>
      <c r="C461" s="9" t="s">
        <v>9</v>
      </c>
      <c r="D461" s="9" t="s">
        <v>9</v>
      </c>
      <c r="E461" s="4"/>
      <c r="F461" s="4"/>
      <c r="G461" s="4" t="s">
        <v>9</v>
      </c>
      <c r="H461" s="19" t="s">
        <v>9</v>
      </c>
      <c r="I461" t="str">
        <f>VLOOKUP(A461,All!A:A,1,FALSE)</f>
        <v>Marissa</v>
      </c>
    </row>
    <row r="462" spans="1:9" ht="15.75" thickBot="1" x14ac:dyDescent="0.3">
      <c r="A462" s="20" t="s">
        <v>576</v>
      </c>
      <c r="B462" s="7">
        <v>333</v>
      </c>
      <c r="C462" s="6" t="s">
        <v>13</v>
      </c>
      <c r="D462" s="6" t="s">
        <v>13</v>
      </c>
      <c r="E462" s="6"/>
      <c r="F462" s="9" t="s">
        <v>9</v>
      </c>
      <c r="G462" s="6" t="s">
        <v>9</v>
      </c>
      <c r="H462" s="21" t="s">
        <v>9</v>
      </c>
      <c r="I462" t="str">
        <f>VLOOKUP(A462,All!A:A,1,FALSE)</f>
        <v>Maroa (M.-Forsyth)</v>
      </c>
    </row>
    <row r="463" spans="1:9" ht="15.75" thickBot="1" x14ac:dyDescent="0.3">
      <c r="A463" s="18" t="s">
        <v>577</v>
      </c>
      <c r="B463" s="3">
        <v>346</v>
      </c>
      <c r="C463" s="4" t="s">
        <v>13</v>
      </c>
      <c r="D463" s="4" t="s">
        <v>13</v>
      </c>
      <c r="E463" s="4"/>
      <c r="F463" s="4"/>
      <c r="G463" s="4" t="s">
        <v>9</v>
      </c>
      <c r="H463" s="19" t="s">
        <v>9</v>
      </c>
      <c r="I463" t="str">
        <f>VLOOKUP(A463,All!A:A,1,FALSE)</f>
        <v>Marshall</v>
      </c>
    </row>
    <row r="464" spans="1:9" ht="15.75" thickBot="1" x14ac:dyDescent="0.3">
      <c r="A464" s="20" t="s">
        <v>578</v>
      </c>
      <c r="B464" s="7">
        <v>83</v>
      </c>
      <c r="C464" s="6" t="s">
        <v>9</v>
      </c>
      <c r="D464" s="6" t="s">
        <v>9</v>
      </c>
      <c r="E464" s="6"/>
      <c r="F464" s="6"/>
      <c r="G464" s="6"/>
      <c r="H464" s="21"/>
      <c r="I464" t="str">
        <f>VLOOKUP(A464,All!A:A,1,FALSE)</f>
        <v>Martinsville</v>
      </c>
    </row>
    <row r="465" spans="1:9" ht="15.75" thickBot="1" x14ac:dyDescent="0.3">
      <c r="A465" s="18" t="s">
        <v>579</v>
      </c>
      <c r="B465" s="3" t="s">
        <v>580</v>
      </c>
      <c r="C465" s="10" t="s">
        <v>9</v>
      </c>
      <c r="D465" s="10" t="s">
        <v>9</v>
      </c>
      <c r="E465" s="10" t="s">
        <v>9</v>
      </c>
      <c r="F465" s="4"/>
      <c r="G465" s="10" t="s">
        <v>9</v>
      </c>
      <c r="H465" s="19"/>
      <c r="I465" t="str">
        <f>VLOOKUP(A465,All!A:A,1,FALSE)</f>
        <v>Maryville (M. Christian)</v>
      </c>
    </row>
    <row r="466" spans="1:9" ht="15.75" thickBot="1" x14ac:dyDescent="0.3">
      <c r="A466" s="20" t="s">
        <v>581</v>
      </c>
      <c r="B466" s="5">
        <v>1231</v>
      </c>
      <c r="C466" s="6" t="s">
        <v>12</v>
      </c>
      <c r="D466" s="6" t="s">
        <v>12</v>
      </c>
      <c r="E466" s="6" t="s">
        <v>13</v>
      </c>
      <c r="F466" s="6" t="s">
        <v>9</v>
      </c>
      <c r="G466" s="6" t="s">
        <v>13</v>
      </c>
      <c r="H466" s="21" t="s">
        <v>13</v>
      </c>
      <c r="I466" t="str">
        <f>VLOOKUP(A466,All!A:A,1,FALSE)</f>
        <v>Mascoutah</v>
      </c>
    </row>
    <row r="467" spans="1:9" ht="15.75" thickBot="1" x14ac:dyDescent="0.3">
      <c r="A467" s="18" t="s">
        <v>582</v>
      </c>
      <c r="B467" s="3">
        <v>171</v>
      </c>
      <c r="C467" s="9" t="s">
        <v>9</v>
      </c>
      <c r="D467" s="4"/>
      <c r="E467" s="4"/>
      <c r="F467" s="4"/>
      <c r="G467" s="9" t="s">
        <v>9</v>
      </c>
      <c r="H467" s="22" t="s">
        <v>9</v>
      </c>
      <c r="I467" t="str">
        <f>VLOOKUP(A467,All!A:A,1,FALSE)</f>
        <v>Mason City (Illini Central)</v>
      </c>
    </row>
    <row r="468" spans="1:9" ht="15.75" thickBot="1" x14ac:dyDescent="0.3">
      <c r="A468" s="20" t="s">
        <v>583</v>
      </c>
      <c r="B468" s="7">
        <v>858</v>
      </c>
      <c r="C468" s="6" t="s">
        <v>12</v>
      </c>
      <c r="D468" s="6" t="s">
        <v>12</v>
      </c>
      <c r="E468" s="6" t="s">
        <v>13</v>
      </c>
      <c r="F468" s="6" t="s">
        <v>9</v>
      </c>
      <c r="G468" s="6" t="s">
        <v>13</v>
      </c>
      <c r="H468" s="21" t="s">
        <v>13</v>
      </c>
      <c r="I468" t="str">
        <f>VLOOKUP(A468,All!A:A,1,FALSE)</f>
        <v>Mattoon</v>
      </c>
    </row>
    <row r="469" spans="1:9" ht="15.75" thickBot="1" x14ac:dyDescent="0.3">
      <c r="A469" s="25" t="s">
        <v>0</v>
      </c>
      <c r="B469" s="1" t="s">
        <v>1</v>
      </c>
      <c r="C469" s="2" t="s">
        <v>2</v>
      </c>
      <c r="D469" s="2" t="s">
        <v>3</v>
      </c>
      <c r="E469" s="2" t="s">
        <v>4</v>
      </c>
      <c r="F469" s="2" t="s">
        <v>5</v>
      </c>
      <c r="G469" s="2" t="s">
        <v>6</v>
      </c>
      <c r="H469" s="26" t="s">
        <v>7</v>
      </c>
      <c r="I469" t="str">
        <f>VLOOKUP(A469,All!A:A,1,FALSE)</f>
        <v>School</v>
      </c>
    </row>
    <row r="470" spans="1:9" ht="15.75" thickBot="1" x14ac:dyDescent="0.3">
      <c r="A470" s="18" t="s">
        <v>584</v>
      </c>
      <c r="B470" s="8">
        <v>2006</v>
      </c>
      <c r="C470" s="4" t="s">
        <v>11</v>
      </c>
      <c r="D470" s="4" t="s">
        <v>11</v>
      </c>
      <c r="E470" s="4" t="s">
        <v>12</v>
      </c>
      <c r="F470" s="4" t="s">
        <v>13</v>
      </c>
      <c r="G470" s="4" t="s">
        <v>12</v>
      </c>
      <c r="H470" s="19" t="s">
        <v>12</v>
      </c>
      <c r="I470" t="str">
        <f>VLOOKUP(A470,All!A:A,1,FALSE)</f>
        <v>Maywood (Proviso East)</v>
      </c>
    </row>
    <row r="471" spans="1:9" ht="15.75" thickBot="1" x14ac:dyDescent="0.3">
      <c r="A471" s="20" t="s">
        <v>585</v>
      </c>
      <c r="B471" s="5">
        <v>2187</v>
      </c>
      <c r="C471" s="6" t="s">
        <v>11</v>
      </c>
      <c r="D471" s="6" t="s">
        <v>11</v>
      </c>
      <c r="E471" s="6" t="s">
        <v>12</v>
      </c>
      <c r="F471" s="6" t="s">
        <v>13</v>
      </c>
      <c r="G471" s="6" t="s">
        <v>12</v>
      </c>
      <c r="H471" s="21" t="s">
        <v>12</v>
      </c>
      <c r="I471" t="str">
        <f>VLOOKUP(A471,All!A:A,1,FALSE)</f>
        <v>McHenry</v>
      </c>
    </row>
    <row r="472" spans="1:9" ht="15.75" thickBot="1" x14ac:dyDescent="0.3">
      <c r="A472" s="18" t="s">
        <v>586</v>
      </c>
      <c r="B472" s="3">
        <v>307</v>
      </c>
      <c r="C472" s="4" t="s">
        <v>13</v>
      </c>
      <c r="D472" s="4" t="s">
        <v>13</v>
      </c>
      <c r="E472" s="4"/>
      <c r="F472" s="4"/>
      <c r="G472" s="4" t="s">
        <v>9</v>
      </c>
      <c r="H472" s="19" t="s">
        <v>9</v>
      </c>
      <c r="I472" t="str">
        <f>VLOOKUP(A472,All!A:A,1,FALSE)</f>
        <v>McLeansboro (Hamilton County)</v>
      </c>
    </row>
    <row r="473" spans="1:9" ht="15.75" thickBot="1" x14ac:dyDescent="0.3">
      <c r="A473" s="20" t="s">
        <v>587</v>
      </c>
      <c r="B473" s="7" t="s">
        <v>588</v>
      </c>
      <c r="C473" s="11" t="s">
        <v>9</v>
      </c>
      <c r="D473" s="11" t="s">
        <v>9</v>
      </c>
      <c r="E473" s="10" t="s">
        <v>9</v>
      </c>
      <c r="F473" s="6"/>
      <c r="G473" s="10" t="s">
        <v>9</v>
      </c>
      <c r="H473" s="23" t="s">
        <v>9</v>
      </c>
      <c r="I473" t="str">
        <f>VLOOKUP(A473,All!A:A,1,FALSE)</f>
        <v>Melrose Park (Walther Christian)</v>
      </c>
    </row>
    <row r="474" spans="1:9" ht="15.75" thickBot="1" x14ac:dyDescent="0.3">
      <c r="A474" s="18" t="s">
        <v>589</v>
      </c>
      <c r="B474" s="3">
        <v>175</v>
      </c>
      <c r="C474" s="4" t="s">
        <v>9</v>
      </c>
      <c r="D474" s="4" t="s">
        <v>9</v>
      </c>
      <c r="E474" s="4"/>
      <c r="F474" s="4"/>
      <c r="G474" s="4" t="s">
        <v>9</v>
      </c>
      <c r="H474" s="19" t="s">
        <v>9</v>
      </c>
      <c r="I474" t="str">
        <f>VLOOKUP(A474,All!A:A,1,FALSE)</f>
        <v>Mendon (Unity)</v>
      </c>
    </row>
    <row r="475" spans="1:9" ht="15.75" thickBot="1" x14ac:dyDescent="0.3">
      <c r="A475" s="20" t="s">
        <v>590</v>
      </c>
      <c r="B475" s="7">
        <v>485</v>
      </c>
      <c r="C475" s="6" t="s">
        <v>13</v>
      </c>
      <c r="D475" s="6" t="s">
        <v>13</v>
      </c>
      <c r="E475" s="6" t="s">
        <v>9</v>
      </c>
      <c r="F475" s="6" t="s">
        <v>9</v>
      </c>
      <c r="G475" s="6" t="s">
        <v>13</v>
      </c>
      <c r="H475" s="21" t="s">
        <v>13</v>
      </c>
      <c r="I475" t="str">
        <f>VLOOKUP(A475,All!A:A,1,FALSE)</f>
        <v>Mendota</v>
      </c>
    </row>
    <row r="476" spans="1:9" ht="15.75" thickBot="1" x14ac:dyDescent="0.3">
      <c r="A476" s="18" t="s">
        <v>591</v>
      </c>
      <c r="B476" s="3">
        <v>48</v>
      </c>
      <c r="C476" s="4"/>
      <c r="D476" s="4"/>
      <c r="E476" s="4"/>
      <c r="F476" s="4"/>
      <c r="G476" s="9" t="s">
        <v>9</v>
      </c>
      <c r="H476" s="22" t="s">
        <v>9</v>
      </c>
      <c r="I476" t="str">
        <f>VLOOKUP(A476,All!A:A,1,FALSE)</f>
        <v>Meredosia (M.-Chambersburg)</v>
      </c>
    </row>
    <row r="477" spans="1:9" ht="15.75" thickBot="1" x14ac:dyDescent="0.3">
      <c r="A477" s="20" t="s">
        <v>592</v>
      </c>
      <c r="B477" s="7">
        <v>876</v>
      </c>
      <c r="C477" s="6" t="s">
        <v>12</v>
      </c>
      <c r="D477" s="6" t="s">
        <v>12</v>
      </c>
      <c r="E477" s="6" t="s">
        <v>13</v>
      </c>
      <c r="F477" s="6" t="s">
        <v>9</v>
      </c>
      <c r="G477" s="6" t="s">
        <v>13</v>
      </c>
      <c r="H477" s="21" t="s">
        <v>13</v>
      </c>
      <c r="I477" t="str">
        <f>VLOOKUP(A477,All!A:A,1,FALSE)</f>
        <v>Metamora</v>
      </c>
    </row>
    <row r="478" spans="1:9" ht="15.75" thickBot="1" x14ac:dyDescent="0.3">
      <c r="A478" s="18" t="s">
        <v>593</v>
      </c>
      <c r="B478" s="3">
        <v>498</v>
      </c>
      <c r="C478" s="4" t="s">
        <v>13</v>
      </c>
      <c r="D478" s="4" t="s">
        <v>13</v>
      </c>
      <c r="E478" s="4" t="s">
        <v>9</v>
      </c>
      <c r="F478" s="4"/>
      <c r="G478" s="4" t="s">
        <v>13</v>
      </c>
      <c r="H478" s="19" t="s">
        <v>13</v>
      </c>
      <c r="I478" t="str">
        <f>VLOOKUP(A478,All!A:A,1,FALSE)</f>
        <v>Metropolis (Massac County)</v>
      </c>
    </row>
    <row r="479" spans="1:9" ht="15.75" thickBot="1" x14ac:dyDescent="0.3">
      <c r="A479" s="20" t="s">
        <v>594</v>
      </c>
      <c r="B479" s="5">
        <v>1412</v>
      </c>
      <c r="C479" s="6" t="s">
        <v>12</v>
      </c>
      <c r="D479" s="6" t="s">
        <v>12</v>
      </c>
      <c r="E479" s="6" t="s">
        <v>13</v>
      </c>
      <c r="F479" s="6" t="s">
        <v>9</v>
      </c>
      <c r="G479" s="6" t="s">
        <v>12</v>
      </c>
      <c r="H479" s="21" t="s">
        <v>12</v>
      </c>
      <c r="I479" t="str">
        <f>VLOOKUP(A479,All!A:A,1,FALSE)</f>
        <v>Midlothian (Bremen)</v>
      </c>
    </row>
    <row r="480" spans="1:9" ht="15.75" thickBot="1" x14ac:dyDescent="0.3">
      <c r="A480" s="18" t="s">
        <v>595</v>
      </c>
      <c r="B480" s="3">
        <v>138</v>
      </c>
      <c r="C480" s="4" t="s">
        <v>9</v>
      </c>
      <c r="D480" s="9" t="s">
        <v>9</v>
      </c>
      <c r="E480" s="4"/>
      <c r="F480" s="4"/>
      <c r="G480" s="9" t="s">
        <v>9</v>
      </c>
      <c r="H480" s="22" t="s">
        <v>9</v>
      </c>
      <c r="I480" t="str">
        <f>VLOOKUP(A480,All!A:A,1,FALSE)</f>
        <v>Milford</v>
      </c>
    </row>
    <row r="481" spans="1:9" ht="15.75" thickBot="1" x14ac:dyDescent="0.3">
      <c r="A481" s="20" t="s">
        <v>596</v>
      </c>
      <c r="B481" s="7">
        <v>95</v>
      </c>
      <c r="C481" s="6" t="s">
        <v>9</v>
      </c>
      <c r="D481" s="6" t="s">
        <v>9</v>
      </c>
      <c r="E481" s="6"/>
      <c r="F481" s="6"/>
      <c r="G481" s="9" t="s">
        <v>9</v>
      </c>
      <c r="H481" s="22" t="s">
        <v>9</v>
      </c>
      <c r="I481" t="str">
        <f>VLOOKUP(A481,All!A:A,1,FALSE)</f>
        <v>Milledgeville</v>
      </c>
    </row>
    <row r="482" spans="1:9" ht="15.75" thickBot="1" x14ac:dyDescent="0.3">
      <c r="A482" s="18" t="s">
        <v>597</v>
      </c>
      <c r="B482" s="3">
        <v>244</v>
      </c>
      <c r="C482" s="4" t="s">
        <v>9</v>
      </c>
      <c r="D482" s="4" t="s">
        <v>9</v>
      </c>
      <c r="E482" s="4"/>
      <c r="F482" s="4"/>
      <c r="G482" s="4" t="s">
        <v>9</v>
      </c>
      <c r="H482" s="19" t="s">
        <v>9</v>
      </c>
      <c r="I482" t="str">
        <f>VLOOKUP(A482,All!A:A,1,FALSE)</f>
        <v>Minonk (Fieldcrest)</v>
      </c>
    </row>
    <row r="483" spans="1:9" ht="15.75" thickBot="1" x14ac:dyDescent="0.3">
      <c r="A483" s="20" t="s">
        <v>598</v>
      </c>
      <c r="B483" s="5">
        <v>2851</v>
      </c>
      <c r="C483" s="6" t="s">
        <v>11</v>
      </c>
      <c r="D483" s="6" t="s">
        <v>11</v>
      </c>
      <c r="E483" s="6" t="s">
        <v>12</v>
      </c>
      <c r="F483" s="6" t="s">
        <v>13</v>
      </c>
      <c r="G483" s="6" t="s">
        <v>12</v>
      </c>
      <c r="H483" s="21" t="s">
        <v>12</v>
      </c>
      <c r="I483" t="str">
        <f>VLOOKUP(A483,All!A:A,1,FALSE)</f>
        <v>Minooka</v>
      </c>
    </row>
    <row r="484" spans="1:9" ht="15.75" thickBot="1" x14ac:dyDescent="0.3">
      <c r="A484" s="18" t="s">
        <v>599</v>
      </c>
      <c r="B484" s="8">
        <v>2190</v>
      </c>
      <c r="C484" s="4" t="s">
        <v>11</v>
      </c>
      <c r="D484" s="4" t="s">
        <v>11</v>
      </c>
      <c r="E484" s="4" t="s">
        <v>12</v>
      </c>
      <c r="F484" s="4" t="s">
        <v>13</v>
      </c>
      <c r="G484" s="4" t="s">
        <v>12</v>
      </c>
      <c r="H484" s="19" t="s">
        <v>12</v>
      </c>
      <c r="I484" t="str">
        <f>VLOOKUP(A484,All!A:A,1,FALSE)</f>
        <v>Moline (H.S.)</v>
      </c>
    </row>
    <row r="485" spans="1:9" ht="15.75" thickBot="1" x14ac:dyDescent="0.3">
      <c r="A485" s="20" t="s">
        <v>600</v>
      </c>
      <c r="B485" s="7">
        <v>298</v>
      </c>
      <c r="C485" s="6" t="s">
        <v>9</v>
      </c>
      <c r="D485" s="6" t="s">
        <v>9</v>
      </c>
      <c r="E485" s="6" t="s">
        <v>9</v>
      </c>
      <c r="F485" s="6"/>
      <c r="G485" s="6" t="s">
        <v>9</v>
      </c>
      <c r="H485" s="21" t="s">
        <v>9</v>
      </c>
      <c r="I485" t="str">
        <f>VLOOKUP(A485,All!A:A,1,FALSE)</f>
        <v>Momence</v>
      </c>
    </row>
    <row r="486" spans="1:9" ht="15.75" thickBot="1" x14ac:dyDescent="0.3">
      <c r="A486" s="18" t="s">
        <v>601</v>
      </c>
      <c r="B486" s="3">
        <v>482</v>
      </c>
      <c r="C486" s="4" t="s">
        <v>13</v>
      </c>
      <c r="D486" s="4" t="s">
        <v>13</v>
      </c>
      <c r="E486" s="4" t="s">
        <v>9</v>
      </c>
      <c r="F486" s="4"/>
      <c r="G486" s="4" t="s">
        <v>13</v>
      </c>
      <c r="H486" s="19" t="s">
        <v>13</v>
      </c>
      <c r="I486" t="str">
        <f>VLOOKUP(A486,All!A:A,1,FALSE)</f>
        <v>Monmouth (M.-Roseville)</v>
      </c>
    </row>
    <row r="487" spans="1:9" ht="15.75" thickBot="1" x14ac:dyDescent="0.3">
      <c r="A487" s="20" t="s">
        <v>602</v>
      </c>
      <c r="B487" s="7">
        <v>291</v>
      </c>
      <c r="C487" s="6" t="s">
        <v>9</v>
      </c>
      <c r="D487" s="6" t="s">
        <v>9</v>
      </c>
      <c r="E487" s="6"/>
      <c r="F487" s="6"/>
      <c r="G487" s="6" t="s">
        <v>9</v>
      </c>
      <c r="H487" s="21" t="s">
        <v>9</v>
      </c>
      <c r="I487" t="str">
        <f>VLOOKUP(A487,All!A:A,1,FALSE)</f>
        <v>Monmouth (United)</v>
      </c>
    </row>
    <row r="488" spans="1:9" ht="15.75" thickBot="1" x14ac:dyDescent="0.3">
      <c r="A488" s="18" t="s">
        <v>603</v>
      </c>
      <c r="B488" s="3">
        <v>484</v>
      </c>
      <c r="C488" s="4" t="s">
        <v>13</v>
      </c>
      <c r="D488" s="4" t="s">
        <v>13</v>
      </c>
      <c r="E488" s="4" t="s">
        <v>9</v>
      </c>
      <c r="F488" s="4"/>
      <c r="G488" s="4" t="s">
        <v>13</v>
      </c>
      <c r="H488" s="19" t="s">
        <v>13</v>
      </c>
      <c r="I488" t="str">
        <f>VLOOKUP(A488,All!A:A,1,FALSE)</f>
        <v>Monticello</v>
      </c>
    </row>
    <row r="489" spans="1:9" ht="15.75" thickBot="1" x14ac:dyDescent="0.3">
      <c r="A489" s="20" t="s">
        <v>604</v>
      </c>
      <c r="B489" s="7" t="s">
        <v>605</v>
      </c>
      <c r="C489" s="6"/>
      <c r="D489" s="6"/>
      <c r="E489" s="6"/>
      <c r="F489" s="6"/>
      <c r="G489" s="10" t="s">
        <v>9</v>
      </c>
      <c r="H489" s="23" t="s">
        <v>9</v>
      </c>
      <c r="I489" t="str">
        <f>VLOOKUP(A489,All!A:A,1,FALSE)</f>
        <v>Mooseheart</v>
      </c>
    </row>
    <row r="490" spans="1:9" ht="15.75" thickBot="1" x14ac:dyDescent="0.3">
      <c r="A490" s="18" t="s">
        <v>606</v>
      </c>
      <c r="B490" s="3">
        <v>853</v>
      </c>
      <c r="C490" s="4" t="s">
        <v>12</v>
      </c>
      <c r="D490" s="4" t="s">
        <v>12</v>
      </c>
      <c r="E490" s="9" t="s">
        <v>13</v>
      </c>
      <c r="F490" s="4" t="s">
        <v>9</v>
      </c>
      <c r="G490" s="4" t="s">
        <v>13</v>
      </c>
      <c r="H490" s="19" t="s">
        <v>13</v>
      </c>
      <c r="I490" t="str">
        <f>VLOOKUP(A490,All!A:A,1,FALSE)</f>
        <v>Morris</v>
      </c>
    </row>
    <row r="491" spans="1:9" ht="15.75" thickBot="1" x14ac:dyDescent="0.3">
      <c r="A491" s="20" t="s">
        <v>607</v>
      </c>
      <c r="B491" s="7">
        <v>276</v>
      </c>
      <c r="C491" s="6" t="s">
        <v>9</v>
      </c>
      <c r="D491" s="6" t="s">
        <v>9</v>
      </c>
      <c r="E491" s="6"/>
      <c r="F491" s="6"/>
      <c r="G491" s="6" t="s">
        <v>9</v>
      </c>
      <c r="H491" s="21" t="s">
        <v>9</v>
      </c>
      <c r="I491" t="str">
        <f>VLOOKUP(A491,All!A:A,1,FALSE)</f>
        <v>Morrison</v>
      </c>
    </row>
    <row r="492" spans="1:9" ht="15.75" thickBot="1" x14ac:dyDescent="0.3">
      <c r="A492" s="18" t="s">
        <v>608</v>
      </c>
      <c r="B492" s="3">
        <v>84</v>
      </c>
      <c r="C492" s="9" t="s">
        <v>9</v>
      </c>
      <c r="D492" s="4"/>
      <c r="E492" s="4"/>
      <c r="F492" s="4"/>
      <c r="G492" s="4"/>
      <c r="H492" s="19"/>
      <c r="I492" t="str">
        <f>VLOOKUP(A492,All!A:A,1,FALSE)</f>
        <v>Morrisonville</v>
      </c>
    </row>
    <row r="493" spans="1:9" ht="15.75" thickBot="1" x14ac:dyDescent="0.3">
      <c r="A493" s="20" t="s">
        <v>609</v>
      </c>
      <c r="B493" s="5">
        <v>1050</v>
      </c>
      <c r="C493" s="6" t="s">
        <v>12</v>
      </c>
      <c r="D493" s="6" t="s">
        <v>12</v>
      </c>
      <c r="E493" s="6" t="s">
        <v>13</v>
      </c>
      <c r="F493" s="6" t="s">
        <v>9</v>
      </c>
      <c r="G493" s="6" t="s">
        <v>13</v>
      </c>
      <c r="H493" s="21" t="s">
        <v>13</v>
      </c>
      <c r="I493" t="str">
        <f>VLOOKUP(A493,All!A:A,1,FALSE)</f>
        <v>Morton</v>
      </c>
    </row>
    <row r="494" spans="1:9" ht="15.75" thickBot="1" x14ac:dyDescent="0.3">
      <c r="A494" s="18" t="s">
        <v>610</v>
      </c>
      <c r="B494" s="3">
        <v>121</v>
      </c>
      <c r="C494" s="4"/>
      <c r="D494" s="4" t="s">
        <v>9</v>
      </c>
      <c r="E494" s="4"/>
      <c r="F494" s="4"/>
      <c r="G494" s="4" t="s">
        <v>9</v>
      </c>
      <c r="H494" s="19" t="s">
        <v>9</v>
      </c>
      <c r="I494" t="str">
        <f>VLOOKUP(A494,All!A:A,1,FALSE)</f>
        <v>Mounds (Meridian)</v>
      </c>
    </row>
    <row r="495" spans="1:9" ht="15.75" thickBot="1" x14ac:dyDescent="0.3">
      <c r="A495" s="25" t="s">
        <v>0</v>
      </c>
      <c r="B495" s="1" t="s">
        <v>1</v>
      </c>
      <c r="C495" s="2" t="s">
        <v>2</v>
      </c>
      <c r="D495" s="2" t="s">
        <v>3</v>
      </c>
      <c r="E495" s="2" t="s">
        <v>4</v>
      </c>
      <c r="F495" s="2" t="s">
        <v>5</v>
      </c>
      <c r="G495" s="2" t="s">
        <v>6</v>
      </c>
      <c r="H495" s="26" t="s">
        <v>7</v>
      </c>
      <c r="I495" t="str">
        <f>VLOOKUP(A495,All!A:A,1,FALSE)</f>
        <v>School</v>
      </c>
    </row>
    <row r="496" spans="1:9" ht="15.75" thickBot="1" x14ac:dyDescent="0.3">
      <c r="A496" s="20" t="s">
        <v>611</v>
      </c>
      <c r="B496" s="7">
        <v>236</v>
      </c>
      <c r="C496" s="6" t="s">
        <v>9</v>
      </c>
      <c r="D496" s="6" t="s">
        <v>9</v>
      </c>
      <c r="E496" s="6"/>
      <c r="F496" s="6"/>
      <c r="G496" s="6" t="s">
        <v>9</v>
      </c>
      <c r="H496" s="21" t="s">
        <v>9</v>
      </c>
      <c r="I496" t="str">
        <f>VLOOKUP(A496,All!A:A,1,FALSE)</f>
        <v>Mount Carroll (West Carroll)</v>
      </c>
    </row>
    <row r="497" spans="1:9" ht="15.75" thickBot="1" x14ac:dyDescent="0.3">
      <c r="A497" s="18" t="s">
        <v>612</v>
      </c>
      <c r="B497" s="3">
        <v>206</v>
      </c>
      <c r="C497" s="4" t="s">
        <v>9</v>
      </c>
      <c r="D497" s="4" t="s">
        <v>9</v>
      </c>
      <c r="E497" s="4"/>
      <c r="F497" s="4"/>
      <c r="G497" s="4" t="s">
        <v>9</v>
      </c>
      <c r="H497" s="19" t="s">
        <v>9</v>
      </c>
      <c r="I497" t="str">
        <f>VLOOKUP(A497,All!A:A,1,FALSE)</f>
        <v>Moweaqua (Central A &amp; M)</v>
      </c>
    </row>
    <row r="498" spans="1:9" ht="15.75" thickBot="1" x14ac:dyDescent="0.3">
      <c r="A498" s="20" t="s">
        <v>613</v>
      </c>
      <c r="B498" s="7">
        <v>452</v>
      </c>
      <c r="C498" s="6" t="s">
        <v>13</v>
      </c>
      <c r="D498" s="6" t="s">
        <v>13</v>
      </c>
      <c r="E498" s="6" t="s">
        <v>9</v>
      </c>
      <c r="F498" s="6" t="s">
        <v>9</v>
      </c>
      <c r="G498" s="6" t="s">
        <v>13</v>
      </c>
      <c r="H498" s="21" t="s">
        <v>13</v>
      </c>
      <c r="I498" t="str">
        <f>VLOOKUP(A498,All!A:A,1,FALSE)</f>
        <v>Mt. Carmel</v>
      </c>
    </row>
    <row r="499" spans="1:9" ht="15.75" thickBot="1" x14ac:dyDescent="0.3">
      <c r="A499" s="18" t="s">
        <v>614</v>
      </c>
      <c r="B499" s="3">
        <v>163</v>
      </c>
      <c r="C499" s="4"/>
      <c r="D499" s="4"/>
      <c r="E499" s="4"/>
      <c r="F499" s="4"/>
      <c r="G499" s="4" t="s">
        <v>9</v>
      </c>
      <c r="H499" s="19" t="s">
        <v>9</v>
      </c>
      <c r="I499" t="str">
        <f>VLOOKUP(A499,All!A:A,1,FALSE)</f>
        <v>Mt. Olive</v>
      </c>
    </row>
    <row r="500" spans="1:9" ht="15.75" thickBot="1" x14ac:dyDescent="0.3">
      <c r="A500" s="20" t="s">
        <v>615</v>
      </c>
      <c r="B500" s="5">
        <v>2152</v>
      </c>
      <c r="C500" s="6" t="s">
        <v>11</v>
      </c>
      <c r="D500" s="6" t="s">
        <v>11</v>
      </c>
      <c r="E500" s="6" t="s">
        <v>12</v>
      </c>
      <c r="F500" s="6" t="s">
        <v>13</v>
      </c>
      <c r="G500" s="6" t="s">
        <v>12</v>
      </c>
      <c r="H500" s="21" t="s">
        <v>12</v>
      </c>
      <c r="I500" t="str">
        <f>VLOOKUP(A500,All!A:A,1,FALSE)</f>
        <v>Mt. Prospect (Prospect)</v>
      </c>
    </row>
    <row r="501" spans="1:9" ht="15.75" thickBot="1" x14ac:dyDescent="0.3">
      <c r="A501" s="18" t="s">
        <v>616</v>
      </c>
      <c r="B501" s="3">
        <v>174</v>
      </c>
      <c r="C501" s="4" t="s">
        <v>9</v>
      </c>
      <c r="D501" s="4"/>
      <c r="E501" s="4"/>
      <c r="F501" s="4"/>
      <c r="G501" s="4" t="s">
        <v>9</v>
      </c>
      <c r="H501" s="19" t="s">
        <v>9</v>
      </c>
      <c r="I501" t="str">
        <f>VLOOKUP(A501,All!A:A,1,FALSE)</f>
        <v>Mt. Pulaski</v>
      </c>
    </row>
    <row r="502" spans="1:9" ht="15.75" thickBot="1" x14ac:dyDescent="0.3">
      <c r="A502" s="20" t="s">
        <v>617</v>
      </c>
      <c r="B502" s="7">
        <v>222</v>
      </c>
      <c r="C502" s="6" t="s">
        <v>9</v>
      </c>
      <c r="D502" s="6" t="s">
        <v>9</v>
      </c>
      <c r="E502" s="6"/>
      <c r="F502" s="6"/>
      <c r="G502" s="6" t="s">
        <v>9</v>
      </c>
      <c r="H502" s="21" t="s">
        <v>9</v>
      </c>
      <c r="I502" t="str">
        <f>VLOOKUP(A502,All!A:A,1,FALSE)</f>
        <v>Mt. Sterling (Brown County)</v>
      </c>
    </row>
    <row r="503" spans="1:9" ht="15.75" thickBot="1" x14ac:dyDescent="0.3">
      <c r="A503" s="18" t="s">
        <v>618</v>
      </c>
      <c r="B503" s="8">
        <v>1152</v>
      </c>
      <c r="C503" s="4" t="s">
        <v>12</v>
      </c>
      <c r="D503" s="4" t="s">
        <v>12</v>
      </c>
      <c r="E503" s="4" t="s">
        <v>13</v>
      </c>
      <c r="F503" s="4" t="s">
        <v>9</v>
      </c>
      <c r="G503" s="4" t="s">
        <v>13</v>
      </c>
      <c r="H503" s="19" t="s">
        <v>13</v>
      </c>
      <c r="I503" t="str">
        <f>VLOOKUP(A503,All!A:A,1,FALSE)</f>
        <v>Mt. Vernon (H.S.)</v>
      </c>
    </row>
    <row r="504" spans="1:9" ht="15.75" thickBot="1" x14ac:dyDescent="0.3">
      <c r="A504" s="20" t="s">
        <v>619</v>
      </c>
      <c r="B504" s="7">
        <v>748</v>
      </c>
      <c r="C504" s="6" t="s">
        <v>12</v>
      </c>
      <c r="D504" s="6" t="s">
        <v>12</v>
      </c>
      <c r="E504" s="6" t="s">
        <v>9</v>
      </c>
      <c r="F504" s="6" t="s">
        <v>9</v>
      </c>
      <c r="G504" s="6" t="s">
        <v>13</v>
      </c>
      <c r="H504" s="21" t="s">
        <v>13</v>
      </c>
      <c r="I504" t="str">
        <f>VLOOKUP(A504,All!A:A,1,FALSE)</f>
        <v>Mt. Zion</v>
      </c>
    </row>
    <row r="505" spans="1:9" ht="15.75" thickBot="1" x14ac:dyDescent="0.3">
      <c r="A505" s="18" t="s">
        <v>620</v>
      </c>
      <c r="B505" s="3">
        <v>100</v>
      </c>
      <c r="C505" s="4" t="s">
        <v>9</v>
      </c>
      <c r="D505" s="4" t="s">
        <v>9</v>
      </c>
      <c r="E505" s="4"/>
      <c r="F505" s="4"/>
      <c r="G505" s="4"/>
      <c r="H505" s="19"/>
      <c r="I505" t="str">
        <f>VLOOKUP(A505,All!A:A,1,FALSE)</f>
        <v>Mulberry Grove</v>
      </c>
    </row>
    <row r="506" spans="1:9" ht="15.75" thickBot="1" x14ac:dyDescent="0.3">
      <c r="A506" s="20" t="s">
        <v>621</v>
      </c>
      <c r="B506" s="7" t="s">
        <v>622</v>
      </c>
      <c r="C506" s="11" t="s">
        <v>12</v>
      </c>
      <c r="D506" s="10" t="s">
        <v>11</v>
      </c>
      <c r="E506" s="10" t="s">
        <v>12</v>
      </c>
      <c r="F506" s="10" t="s">
        <v>13</v>
      </c>
      <c r="G506" s="11" t="s">
        <v>13</v>
      </c>
      <c r="H506" s="24" t="s">
        <v>13</v>
      </c>
      <c r="I506" t="str">
        <f>VLOOKUP(A506,All!A:A,1,FALSE)</f>
        <v>Mundelein (Carmel)</v>
      </c>
    </row>
    <row r="507" spans="1:9" ht="15.75" thickBot="1" x14ac:dyDescent="0.3">
      <c r="A507" s="18" t="s">
        <v>623</v>
      </c>
      <c r="B507" s="8">
        <v>2254</v>
      </c>
      <c r="C507" s="4" t="s">
        <v>11</v>
      </c>
      <c r="D507" s="4" t="s">
        <v>11</v>
      </c>
      <c r="E507" s="4" t="s">
        <v>12</v>
      </c>
      <c r="F507" s="4" t="s">
        <v>13</v>
      </c>
      <c r="G507" s="4" t="s">
        <v>12</v>
      </c>
      <c r="H507" s="19" t="s">
        <v>12</v>
      </c>
      <c r="I507" t="str">
        <f>VLOOKUP(A507,All!A:A,1,FALSE)</f>
        <v>Mundelein (H.S.)</v>
      </c>
    </row>
    <row r="508" spans="1:9" ht="15.75" thickBot="1" x14ac:dyDescent="0.3">
      <c r="A508" s="20" t="s">
        <v>624</v>
      </c>
      <c r="B508" s="7">
        <v>546</v>
      </c>
      <c r="C508" s="6" t="s">
        <v>13</v>
      </c>
      <c r="D508" s="6" t="s">
        <v>13</v>
      </c>
      <c r="E508" s="6" t="s">
        <v>9</v>
      </c>
      <c r="F508" s="6"/>
      <c r="G508" s="6" t="s">
        <v>13</v>
      </c>
      <c r="H508" s="21" t="s">
        <v>13</v>
      </c>
      <c r="I508" t="str">
        <f>VLOOKUP(A508,All!A:A,1,FALSE)</f>
        <v>Murphysboro</v>
      </c>
    </row>
    <row r="509" spans="1:9" ht="15.75" thickBot="1" x14ac:dyDescent="0.3">
      <c r="A509" s="18" t="s">
        <v>625</v>
      </c>
      <c r="B509" s="3" t="s">
        <v>626</v>
      </c>
      <c r="C509" s="4"/>
      <c r="D509" s="4"/>
      <c r="E509" s="4"/>
      <c r="F509" s="4"/>
      <c r="G509" s="10" t="s">
        <v>9</v>
      </c>
      <c r="H509" s="23" t="s">
        <v>9</v>
      </c>
      <c r="I509" t="str">
        <f>VLOOKUP(A509,All!A:A,1,FALSE)</f>
        <v>Naperville (Calvary Christian)</v>
      </c>
    </row>
    <row r="510" spans="1:9" ht="15.75" thickBot="1" x14ac:dyDescent="0.3">
      <c r="A510" s="20" t="s">
        <v>627</v>
      </c>
      <c r="B510" s="5">
        <v>2501</v>
      </c>
      <c r="C510" s="6" t="s">
        <v>11</v>
      </c>
      <c r="D510" s="6" t="s">
        <v>11</v>
      </c>
      <c r="E510" s="6" t="s">
        <v>12</v>
      </c>
      <c r="F510" s="6" t="s">
        <v>13</v>
      </c>
      <c r="G510" s="6" t="s">
        <v>12</v>
      </c>
      <c r="H510" s="21" t="s">
        <v>12</v>
      </c>
      <c r="I510" t="str">
        <f>VLOOKUP(A510,All!A:A,1,FALSE)</f>
        <v>Naperville (Central)</v>
      </c>
    </row>
    <row r="511" spans="1:9" ht="15.75" thickBot="1" x14ac:dyDescent="0.3">
      <c r="A511" s="18" t="s">
        <v>628</v>
      </c>
      <c r="B511" s="8">
        <v>2977</v>
      </c>
      <c r="C511" s="4" t="s">
        <v>11</v>
      </c>
      <c r="D511" s="4" t="s">
        <v>11</v>
      </c>
      <c r="E511" s="4" t="s">
        <v>12</v>
      </c>
      <c r="F511" s="4" t="s">
        <v>13</v>
      </c>
      <c r="G511" s="4" t="s">
        <v>12</v>
      </c>
      <c r="H511" s="19" t="s">
        <v>12</v>
      </c>
      <c r="I511" t="str">
        <f>VLOOKUP(A511,All!A:A,1,FALSE)</f>
        <v>Naperville (Neuqua Valley)</v>
      </c>
    </row>
    <row r="512" spans="1:9" ht="15.75" thickBot="1" x14ac:dyDescent="0.3">
      <c r="A512" s="20" t="s">
        <v>629</v>
      </c>
      <c r="B512" s="5">
        <v>2480</v>
      </c>
      <c r="C512" s="6" t="s">
        <v>11</v>
      </c>
      <c r="D512" s="6" t="s">
        <v>11</v>
      </c>
      <c r="E512" s="6" t="s">
        <v>12</v>
      </c>
      <c r="F512" s="6" t="s">
        <v>13</v>
      </c>
      <c r="G512" s="6" t="s">
        <v>12</v>
      </c>
      <c r="H512" s="21" t="s">
        <v>12</v>
      </c>
      <c r="I512" t="str">
        <f>VLOOKUP(A512,All!A:A,1,FALSE)</f>
        <v>Naperville (North)</v>
      </c>
    </row>
    <row r="513" spans="1:9" ht="15.75" thickBot="1" x14ac:dyDescent="0.3">
      <c r="A513" s="18" t="s">
        <v>630</v>
      </c>
      <c r="B513" s="3">
        <v>332</v>
      </c>
      <c r="C513" s="4" t="s">
        <v>13</v>
      </c>
      <c r="D513" s="4" t="s">
        <v>13</v>
      </c>
      <c r="E513" s="4"/>
      <c r="F513" s="4"/>
      <c r="G513" s="4" t="s">
        <v>9</v>
      </c>
      <c r="H513" s="19" t="s">
        <v>9</v>
      </c>
      <c r="I513" t="str">
        <f>VLOOKUP(A513,All!A:A,1,FALSE)</f>
        <v>Nashville</v>
      </c>
    </row>
    <row r="514" spans="1:9" ht="15.75" thickBot="1" x14ac:dyDescent="0.3">
      <c r="A514" s="20" t="s">
        <v>631</v>
      </c>
      <c r="B514" s="7">
        <v>169</v>
      </c>
      <c r="C514" s="6" t="s">
        <v>9</v>
      </c>
      <c r="D514" s="6" t="s">
        <v>9</v>
      </c>
      <c r="E514" s="6"/>
      <c r="F514" s="6"/>
      <c r="G514" s="6" t="s">
        <v>9</v>
      </c>
      <c r="H514" s="21" t="s">
        <v>9</v>
      </c>
      <c r="I514" t="str">
        <f>VLOOKUP(A514,All!A:A,1,FALSE)</f>
        <v>Neoga</v>
      </c>
    </row>
    <row r="515" spans="1:9" ht="15.75" thickBot="1" x14ac:dyDescent="0.3">
      <c r="A515" s="18" t="s">
        <v>632</v>
      </c>
      <c r="B515" s="3">
        <v>156</v>
      </c>
      <c r="C515" s="4" t="s">
        <v>9</v>
      </c>
      <c r="D515" s="4" t="s">
        <v>9</v>
      </c>
      <c r="E515" s="4"/>
      <c r="F515" s="4"/>
      <c r="G515" s="4" t="s">
        <v>9</v>
      </c>
      <c r="H515" s="19" t="s">
        <v>9</v>
      </c>
      <c r="I515" t="str">
        <f>VLOOKUP(A515,All!A:A,1,FALSE)</f>
        <v>New Athens</v>
      </c>
    </row>
    <row r="516" spans="1:9" ht="15.75" thickBot="1" x14ac:dyDescent="0.3">
      <c r="A516" s="20" t="s">
        <v>633</v>
      </c>
      <c r="B516" s="7">
        <v>246</v>
      </c>
      <c r="C516" s="9" t="s">
        <v>13</v>
      </c>
      <c r="D516" s="9" t="s">
        <v>13</v>
      </c>
      <c r="E516" s="6"/>
      <c r="F516" s="6"/>
      <c r="G516" s="6" t="s">
        <v>9</v>
      </c>
      <c r="H516" s="21" t="s">
        <v>9</v>
      </c>
      <c r="I516" t="str">
        <f>VLOOKUP(A516,All!A:A,1,FALSE)</f>
        <v>New Berlin</v>
      </c>
    </row>
    <row r="517" spans="1:9" ht="15.75" thickBot="1" x14ac:dyDescent="0.3">
      <c r="A517" s="18" t="s">
        <v>634</v>
      </c>
      <c r="B517" s="8">
        <v>1970</v>
      </c>
      <c r="C517" s="4" t="s">
        <v>11</v>
      </c>
      <c r="D517" s="4" t="s">
        <v>11</v>
      </c>
      <c r="E517" s="4" t="s">
        <v>12</v>
      </c>
      <c r="F517" s="4" t="s">
        <v>13</v>
      </c>
      <c r="G517" s="4" t="s">
        <v>12</v>
      </c>
      <c r="H517" s="19" t="s">
        <v>12</v>
      </c>
      <c r="I517" t="str">
        <f>VLOOKUP(A517,All!A:A,1,FALSE)</f>
        <v>New Lenox (Lincoln-Way Central)</v>
      </c>
    </row>
    <row r="518" spans="1:9" ht="15.75" thickBot="1" x14ac:dyDescent="0.3">
      <c r="A518" s="20" t="s">
        <v>635</v>
      </c>
      <c r="B518" s="5">
        <v>1994</v>
      </c>
      <c r="C518" s="6" t="s">
        <v>11</v>
      </c>
      <c r="D518" s="6" t="s">
        <v>11</v>
      </c>
      <c r="E518" s="6" t="s">
        <v>12</v>
      </c>
      <c r="F518" s="6" t="s">
        <v>13</v>
      </c>
      <c r="G518" s="6" t="s">
        <v>12</v>
      </c>
      <c r="H518" s="21" t="s">
        <v>12</v>
      </c>
      <c r="I518" t="str">
        <f>VLOOKUP(A518,All!A:A,1,FALSE)</f>
        <v>New Lenox (Lincoln-Way West)</v>
      </c>
    </row>
    <row r="519" spans="1:9" ht="15.75" thickBot="1" x14ac:dyDescent="0.3">
      <c r="A519" s="18" t="s">
        <v>636</v>
      </c>
      <c r="B519" s="3" t="s">
        <v>637</v>
      </c>
      <c r="C519" s="13" t="s">
        <v>11</v>
      </c>
      <c r="D519" s="10" t="s">
        <v>12</v>
      </c>
      <c r="E519" s="10" t="s">
        <v>13</v>
      </c>
      <c r="F519" s="10" t="s">
        <v>9</v>
      </c>
      <c r="G519" s="10" t="s">
        <v>13</v>
      </c>
      <c r="H519" s="23" t="s">
        <v>13</v>
      </c>
      <c r="I519" t="str">
        <f>VLOOKUP(A519,All!A:A,1,FALSE)</f>
        <v>New Lenox (Providence Catholic)</v>
      </c>
    </row>
    <row r="520" spans="1:9" ht="15.75" thickBot="1" x14ac:dyDescent="0.3">
      <c r="A520" s="20" t="s">
        <v>638</v>
      </c>
      <c r="B520" s="7">
        <v>173</v>
      </c>
      <c r="C520" s="6" t="s">
        <v>9</v>
      </c>
      <c r="D520" s="6" t="s">
        <v>9</v>
      </c>
      <c r="E520" s="6"/>
      <c r="F520" s="6"/>
      <c r="G520" s="6" t="s">
        <v>9</v>
      </c>
      <c r="H520" s="21" t="s">
        <v>9</v>
      </c>
      <c r="I520" t="str">
        <f>VLOOKUP(A520,All!A:A,1,FALSE)</f>
        <v>Newark</v>
      </c>
    </row>
    <row r="521" spans="1:9" ht="15.75" thickBot="1" x14ac:dyDescent="0.3">
      <c r="A521" s="25" t="s">
        <v>0</v>
      </c>
      <c r="B521" s="1" t="s">
        <v>1</v>
      </c>
      <c r="C521" s="2" t="s">
        <v>2</v>
      </c>
      <c r="D521" s="2" t="s">
        <v>3</v>
      </c>
      <c r="E521" s="2" t="s">
        <v>4</v>
      </c>
      <c r="F521" s="2" t="s">
        <v>5</v>
      </c>
      <c r="G521" s="2" t="s">
        <v>6</v>
      </c>
      <c r="H521" s="26" t="s">
        <v>7</v>
      </c>
      <c r="I521" t="str">
        <f>VLOOKUP(A521,All!A:A,1,FALSE)</f>
        <v>School</v>
      </c>
    </row>
    <row r="522" spans="1:9" ht="15.75" thickBot="1" x14ac:dyDescent="0.3">
      <c r="A522" s="18" t="s">
        <v>639</v>
      </c>
      <c r="B522" s="3">
        <v>401</v>
      </c>
      <c r="C522" s="4" t="s">
        <v>13</v>
      </c>
      <c r="D522" s="4" t="s">
        <v>13</v>
      </c>
      <c r="E522" s="4"/>
      <c r="F522" s="4" t="s">
        <v>9</v>
      </c>
      <c r="G522" s="4" t="s">
        <v>9</v>
      </c>
      <c r="H522" s="19" t="s">
        <v>9</v>
      </c>
      <c r="I522" t="str">
        <f>VLOOKUP(A522,All!A:A,1,FALSE)</f>
        <v>Newton</v>
      </c>
    </row>
    <row r="523" spans="1:9" ht="15.75" thickBot="1" x14ac:dyDescent="0.3">
      <c r="A523" s="20" t="s">
        <v>640</v>
      </c>
      <c r="B523" s="7">
        <v>195</v>
      </c>
      <c r="C523" s="6"/>
      <c r="D523" s="6"/>
      <c r="E523" s="6"/>
      <c r="F523" s="6"/>
      <c r="G523" s="9" t="s">
        <v>9</v>
      </c>
      <c r="H523" s="22" t="s">
        <v>9</v>
      </c>
      <c r="I523" t="str">
        <f>VLOOKUP(A523,All!A:A,1,FALSE)</f>
        <v>Niantic (Sangamon Valley)</v>
      </c>
    </row>
    <row r="524" spans="1:9" ht="15.75" thickBot="1" x14ac:dyDescent="0.3">
      <c r="A524" s="18" t="s">
        <v>641</v>
      </c>
      <c r="B524" s="3" t="s">
        <v>642</v>
      </c>
      <c r="C524" s="11" t="s">
        <v>13</v>
      </c>
      <c r="D524" s="4"/>
      <c r="E524" s="4"/>
      <c r="F524" s="10" t="s">
        <v>9</v>
      </c>
      <c r="G524" s="10" t="s">
        <v>13</v>
      </c>
      <c r="H524" s="19"/>
      <c r="I524" t="str">
        <f>VLOOKUP(A524,All!A:A,1,FALSE)</f>
        <v>Niles (Northridge Prep)</v>
      </c>
    </row>
    <row r="525" spans="1:9" ht="15.75" thickBot="1" x14ac:dyDescent="0.3">
      <c r="A525" s="20" t="s">
        <v>643</v>
      </c>
      <c r="B525" s="7" t="s">
        <v>644</v>
      </c>
      <c r="C525" s="10" t="s">
        <v>11</v>
      </c>
      <c r="D525" s="6"/>
      <c r="E525" s="6"/>
      <c r="F525" s="10" t="s">
        <v>13</v>
      </c>
      <c r="G525" s="10" t="s">
        <v>12</v>
      </c>
      <c r="H525" s="21"/>
      <c r="I525" t="str">
        <f>VLOOKUP(A525,All!A:A,1,FALSE)</f>
        <v>Niles (Notre Dame)</v>
      </c>
    </row>
    <row r="526" spans="1:9" ht="15.75" thickBot="1" x14ac:dyDescent="0.3">
      <c r="A526" s="18" t="s">
        <v>645</v>
      </c>
      <c r="B526" s="3">
        <v>187</v>
      </c>
      <c r="C526" s="4" t="s">
        <v>9</v>
      </c>
      <c r="D526" s="4" t="s">
        <v>9</v>
      </c>
      <c r="E526" s="4"/>
      <c r="F526" s="4"/>
      <c r="G526" s="4" t="s">
        <v>9</v>
      </c>
      <c r="H526" s="19" t="s">
        <v>9</v>
      </c>
      <c r="I526" t="str">
        <f>VLOOKUP(A526,All!A:A,1,FALSE)</f>
        <v>Nokomis</v>
      </c>
    </row>
    <row r="527" spans="1:9" ht="15.75" thickBot="1" x14ac:dyDescent="0.3">
      <c r="A527" s="20" t="s">
        <v>646</v>
      </c>
      <c r="B527" s="5">
        <v>1520</v>
      </c>
      <c r="C527" s="6" t="s">
        <v>12</v>
      </c>
      <c r="D527" s="6" t="s">
        <v>12</v>
      </c>
      <c r="E527" s="6" t="s">
        <v>13</v>
      </c>
      <c r="F527" s="6" t="s">
        <v>13</v>
      </c>
      <c r="G527" s="6" t="s">
        <v>12</v>
      </c>
      <c r="H527" s="21" t="s">
        <v>12</v>
      </c>
      <c r="I527" t="str">
        <f>VLOOKUP(A527,All!A:A,1,FALSE)</f>
        <v>Normal (Community West)</v>
      </c>
    </row>
    <row r="528" spans="1:9" ht="15.75" thickBot="1" x14ac:dyDescent="0.3">
      <c r="A528" s="18" t="s">
        <v>647</v>
      </c>
      <c r="B528" s="8">
        <v>2021</v>
      </c>
      <c r="C528" s="4" t="s">
        <v>11</v>
      </c>
      <c r="D528" s="4" t="s">
        <v>11</v>
      </c>
      <c r="E528" s="4" t="s">
        <v>12</v>
      </c>
      <c r="F528" s="4" t="s">
        <v>13</v>
      </c>
      <c r="G528" s="4" t="s">
        <v>12</v>
      </c>
      <c r="H528" s="19" t="s">
        <v>12</v>
      </c>
      <c r="I528" t="str">
        <f>VLOOKUP(A528,All!A:A,1,FALSE)</f>
        <v>Normal (Community)</v>
      </c>
    </row>
    <row r="529" spans="1:9" ht="15.75" thickBot="1" x14ac:dyDescent="0.3">
      <c r="A529" s="20" t="s">
        <v>648</v>
      </c>
      <c r="B529" s="7" t="s">
        <v>321</v>
      </c>
      <c r="C529" s="10" t="s">
        <v>12</v>
      </c>
      <c r="D529" s="10" t="s">
        <v>12</v>
      </c>
      <c r="E529" s="10" t="s">
        <v>13</v>
      </c>
      <c r="F529" s="10" t="s">
        <v>9</v>
      </c>
      <c r="G529" s="10" t="s">
        <v>13</v>
      </c>
      <c r="H529" s="27" t="s">
        <v>12</v>
      </c>
      <c r="I529" t="str">
        <f>VLOOKUP(A529,All!A:A,1,FALSE)</f>
        <v>Normal (University)</v>
      </c>
    </row>
    <row r="530" spans="1:9" ht="15.75" thickBot="1" x14ac:dyDescent="0.3">
      <c r="A530" s="18" t="s">
        <v>649</v>
      </c>
      <c r="B530" s="3">
        <v>955</v>
      </c>
      <c r="C530" s="4" t="s">
        <v>12</v>
      </c>
      <c r="D530" s="4" t="s">
        <v>12</v>
      </c>
      <c r="E530" s="4" t="s">
        <v>13</v>
      </c>
      <c r="F530" s="4"/>
      <c r="G530" s="4" t="s">
        <v>13</v>
      </c>
      <c r="H530" s="19" t="s">
        <v>13</v>
      </c>
      <c r="I530" t="str">
        <f>VLOOKUP(A530,All!A:A,1,FALSE)</f>
        <v>Norridge (Ridgewood)</v>
      </c>
    </row>
    <row r="531" spans="1:9" ht="15.75" thickBot="1" x14ac:dyDescent="0.3">
      <c r="A531" s="20" t="s">
        <v>650</v>
      </c>
      <c r="B531" s="7">
        <v>184</v>
      </c>
      <c r="C531" s="6" t="s">
        <v>9</v>
      </c>
      <c r="D531" s="6" t="s">
        <v>9</v>
      </c>
      <c r="E531" s="6"/>
      <c r="F531" s="6"/>
      <c r="G531" s="6" t="s">
        <v>9</v>
      </c>
      <c r="H531" s="21" t="s">
        <v>9</v>
      </c>
      <c r="I531" t="str">
        <f>VLOOKUP(A531,All!A:A,1,FALSE)</f>
        <v>Norris City (N.C.-Omaha-Enfield)</v>
      </c>
    </row>
    <row r="532" spans="1:9" ht="15.75" thickBot="1" x14ac:dyDescent="0.3">
      <c r="A532" s="18" t="s">
        <v>651</v>
      </c>
      <c r="B532" s="3">
        <v>848</v>
      </c>
      <c r="C532" s="4"/>
      <c r="D532" s="4"/>
      <c r="E532" s="4" t="s">
        <v>13</v>
      </c>
      <c r="F532" s="4" t="s">
        <v>9</v>
      </c>
      <c r="G532" s="4" t="s">
        <v>13</v>
      </c>
      <c r="H532" s="19" t="s">
        <v>13</v>
      </c>
      <c r="I532" t="str">
        <f>VLOOKUP(A532,All!A:A,1,FALSE)</f>
        <v>North Chicago</v>
      </c>
    </row>
    <row r="533" spans="1:9" ht="15.75" thickBot="1" x14ac:dyDescent="0.3">
      <c r="A533" s="20" t="s">
        <v>652</v>
      </c>
      <c r="B533" s="5">
        <v>2140</v>
      </c>
      <c r="C533" s="6" t="s">
        <v>11</v>
      </c>
      <c r="D533" s="6" t="s">
        <v>11</v>
      </c>
      <c r="E533" s="6" t="s">
        <v>12</v>
      </c>
      <c r="F533" s="6" t="s">
        <v>13</v>
      </c>
      <c r="G533" s="6" t="s">
        <v>12</v>
      </c>
      <c r="H533" s="21" t="s">
        <v>12</v>
      </c>
      <c r="I533" t="str">
        <f>VLOOKUP(A533,All!A:A,1,FALSE)</f>
        <v>Northbrook (Glenbrook North)</v>
      </c>
    </row>
    <row r="534" spans="1:9" ht="15.75" thickBot="1" x14ac:dyDescent="0.3">
      <c r="A534" s="18" t="s">
        <v>653</v>
      </c>
      <c r="B534" s="3" t="s">
        <v>654</v>
      </c>
      <c r="C534" s="4"/>
      <c r="D534" s="4"/>
      <c r="E534" s="10" t="s">
        <v>9</v>
      </c>
      <c r="F534" s="4"/>
      <c r="G534" s="4"/>
      <c r="H534" s="19"/>
      <c r="I534" t="str">
        <f>VLOOKUP(A534,All!A:A,1,FALSE)</f>
        <v>Northfield (Christian Heritage Academy)</v>
      </c>
    </row>
    <row r="535" spans="1:9" ht="15.75" thickBot="1" x14ac:dyDescent="0.3">
      <c r="A535" s="20" t="s">
        <v>655</v>
      </c>
      <c r="B535" s="5">
        <v>1320</v>
      </c>
      <c r="C535" s="6" t="s">
        <v>12</v>
      </c>
      <c r="D535" s="6" t="s">
        <v>12</v>
      </c>
      <c r="E535" s="6" t="s">
        <v>13</v>
      </c>
      <c r="F535" s="6" t="s">
        <v>9</v>
      </c>
      <c r="G535" s="6" t="s">
        <v>12</v>
      </c>
      <c r="H535" s="21" t="s">
        <v>12</v>
      </c>
      <c r="I535" t="str">
        <f>VLOOKUP(A535,All!A:A,1,FALSE)</f>
        <v>Oak Forest</v>
      </c>
    </row>
    <row r="536" spans="1:9" ht="15.75" thickBot="1" x14ac:dyDescent="0.3">
      <c r="A536" s="18" t="s">
        <v>656</v>
      </c>
      <c r="B536" s="8">
        <v>1793</v>
      </c>
      <c r="C536" s="4" t="s">
        <v>11</v>
      </c>
      <c r="D536" s="4" t="s">
        <v>11</v>
      </c>
      <c r="E536" s="4" t="s">
        <v>13</v>
      </c>
      <c r="F536" s="4" t="s">
        <v>13</v>
      </c>
      <c r="G536" s="4" t="s">
        <v>12</v>
      </c>
      <c r="H536" s="19" t="s">
        <v>12</v>
      </c>
      <c r="I536" t="str">
        <f>VLOOKUP(A536,All!A:A,1,FALSE)</f>
        <v>Oak Lawn (Community)</v>
      </c>
    </row>
    <row r="537" spans="1:9" ht="15.75" thickBot="1" x14ac:dyDescent="0.3">
      <c r="A537" s="20" t="s">
        <v>657</v>
      </c>
      <c r="B537" s="5">
        <v>1604</v>
      </c>
      <c r="C537" s="6" t="s">
        <v>11</v>
      </c>
      <c r="D537" s="6" t="s">
        <v>11</v>
      </c>
      <c r="E537" s="6" t="s">
        <v>13</v>
      </c>
      <c r="F537" s="6" t="s">
        <v>13</v>
      </c>
      <c r="G537" s="6" t="s">
        <v>12</v>
      </c>
      <c r="H537" s="21" t="s">
        <v>12</v>
      </c>
      <c r="I537" t="str">
        <f>VLOOKUP(A537,All!A:A,1,FALSE)</f>
        <v>Oak Lawn (Richards)</v>
      </c>
    </row>
    <row r="538" spans="1:9" ht="15.75" thickBot="1" x14ac:dyDescent="0.3">
      <c r="A538" s="18" t="s">
        <v>658</v>
      </c>
      <c r="B538" s="3" t="s">
        <v>659</v>
      </c>
      <c r="C538" s="10" t="s">
        <v>12</v>
      </c>
      <c r="D538" s="10" t="s">
        <v>12</v>
      </c>
      <c r="E538" s="10" t="s">
        <v>13</v>
      </c>
      <c r="F538" s="11" t="s">
        <v>9</v>
      </c>
      <c r="G538" s="11" t="s">
        <v>13</v>
      </c>
      <c r="H538" s="24" t="s">
        <v>13</v>
      </c>
      <c r="I538" t="str">
        <f>VLOOKUP(A538,All!A:A,1,FALSE)</f>
        <v>Oak Park (Fenwick)</v>
      </c>
    </row>
    <row r="539" spans="1:9" ht="15.75" thickBot="1" x14ac:dyDescent="0.3">
      <c r="A539" s="20" t="s">
        <v>660</v>
      </c>
      <c r="B539" s="5">
        <v>3285</v>
      </c>
      <c r="C539" s="6" t="s">
        <v>11</v>
      </c>
      <c r="D539" s="6" t="s">
        <v>11</v>
      </c>
      <c r="E539" s="6" t="s">
        <v>12</v>
      </c>
      <c r="F539" s="6" t="s">
        <v>13</v>
      </c>
      <c r="G539" s="6" t="s">
        <v>12</v>
      </c>
      <c r="H539" s="21" t="s">
        <v>12</v>
      </c>
      <c r="I539" t="str">
        <f>VLOOKUP(A539,All!A:A,1,FALSE)</f>
        <v>Oak Park (O.P.-River Forest)</v>
      </c>
    </row>
    <row r="540" spans="1:9" ht="15.75" thickBot="1" x14ac:dyDescent="0.3">
      <c r="A540" s="18" t="s">
        <v>661</v>
      </c>
      <c r="B540" s="3">
        <v>59</v>
      </c>
      <c r="C540" s="4"/>
      <c r="D540" s="4" t="s">
        <v>9</v>
      </c>
      <c r="E540" s="4"/>
      <c r="F540" s="4"/>
      <c r="G540" s="4" t="s">
        <v>9</v>
      </c>
      <c r="H540" s="19" t="s">
        <v>9</v>
      </c>
      <c r="I540" t="str">
        <f>VLOOKUP(A540,All!A:A,1,FALSE)</f>
        <v>Oakland</v>
      </c>
    </row>
    <row r="541" spans="1:9" ht="15.75" thickBot="1" x14ac:dyDescent="0.3">
      <c r="A541" s="20" t="s">
        <v>662</v>
      </c>
      <c r="B541" s="7">
        <v>165</v>
      </c>
      <c r="C541" s="9" t="s">
        <v>13</v>
      </c>
      <c r="D541" s="6" t="s">
        <v>9</v>
      </c>
      <c r="E541" s="6"/>
      <c r="F541" s="6"/>
      <c r="G541" s="6"/>
      <c r="H541" s="21"/>
      <c r="I541" t="str">
        <f>VLOOKUP(A541,All!A:A,1,FALSE)</f>
        <v>Oblong</v>
      </c>
    </row>
    <row r="542" spans="1:9" ht="15.75" thickBot="1" x14ac:dyDescent="0.3">
      <c r="A542" s="18" t="s">
        <v>663</v>
      </c>
      <c r="B542" s="3">
        <v>63</v>
      </c>
      <c r="C542" s="9" t="s">
        <v>9</v>
      </c>
      <c r="D542" s="9" t="s">
        <v>9</v>
      </c>
      <c r="E542" s="4"/>
      <c r="F542" s="4"/>
      <c r="G542" s="4"/>
      <c r="H542" s="19"/>
      <c r="I542" t="str">
        <f>VLOOKUP(A542,All!A:A,1,FALSE)</f>
        <v>Odin</v>
      </c>
    </row>
    <row r="543" spans="1:9" ht="15.75" thickBot="1" x14ac:dyDescent="0.3">
      <c r="A543" s="20" t="s">
        <v>664</v>
      </c>
      <c r="B543" s="7" t="s">
        <v>665</v>
      </c>
      <c r="C543" s="6"/>
      <c r="D543" s="6"/>
      <c r="E543" s="6"/>
      <c r="F543" s="6"/>
      <c r="G543" s="10" t="s">
        <v>9</v>
      </c>
      <c r="H543" s="23" t="s">
        <v>9</v>
      </c>
      <c r="I543" t="str">
        <f>VLOOKUP(A543,All!A:A,1,FALSE)</f>
        <v>O'Fallon (First Baptist Academy)</v>
      </c>
    </row>
    <row r="544" spans="1:9" ht="15.75" thickBot="1" x14ac:dyDescent="0.3">
      <c r="A544" s="18" t="s">
        <v>666</v>
      </c>
      <c r="B544" s="8">
        <v>2499</v>
      </c>
      <c r="C544" s="4" t="s">
        <v>11</v>
      </c>
      <c r="D544" s="4" t="s">
        <v>11</v>
      </c>
      <c r="E544" s="4" t="s">
        <v>12</v>
      </c>
      <c r="F544" s="4" t="s">
        <v>13</v>
      </c>
      <c r="G544" s="4" t="s">
        <v>12</v>
      </c>
      <c r="H544" s="19" t="s">
        <v>12</v>
      </c>
      <c r="I544" t="str">
        <f>VLOOKUP(A544,All!A:A,1,FALSE)</f>
        <v>O'Fallon (H.S.)</v>
      </c>
    </row>
    <row r="545" spans="1:9" ht="15.75" thickBot="1" x14ac:dyDescent="0.3">
      <c r="A545" s="20" t="s">
        <v>667</v>
      </c>
      <c r="B545" s="7">
        <v>156</v>
      </c>
      <c r="C545" s="6" t="s">
        <v>9</v>
      </c>
      <c r="D545" s="6" t="s">
        <v>9</v>
      </c>
      <c r="E545" s="6"/>
      <c r="F545" s="6"/>
      <c r="G545" s="6" t="s">
        <v>9</v>
      </c>
      <c r="H545" s="21" t="s">
        <v>9</v>
      </c>
      <c r="I545" t="str">
        <f>VLOOKUP(A545,All!A:A,1,FALSE)</f>
        <v>Okawville</v>
      </c>
    </row>
    <row r="546" spans="1:9" ht="15.75" thickBot="1" x14ac:dyDescent="0.3">
      <c r="A546" s="18" t="s">
        <v>668</v>
      </c>
      <c r="B546" s="3">
        <v>660</v>
      </c>
      <c r="C546" s="4" t="s">
        <v>13</v>
      </c>
      <c r="D546" s="4" t="s">
        <v>13</v>
      </c>
      <c r="E546" s="4" t="s">
        <v>9</v>
      </c>
      <c r="F546" s="4" t="s">
        <v>9</v>
      </c>
      <c r="G546" s="4" t="s">
        <v>13</v>
      </c>
      <c r="H546" s="19" t="s">
        <v>13</v>
      </c>
      <c r="I546" t="str">
        <f>VLOOKUP(A546,All!A:A,1,FALSE)</f>
        <v>Olney (Richland County)</v>
      </c>
    </row>
    <row r="547" spans="1:9" ht="15.75" thickBot="1" x14ac:dyDescent="0.3">
      <c r="A547" s="25" t="s">
        <v>0</v>
      </c>
      <c r="B547" s="1" t="s">
        <v>1</v>
      </c>
      <c r="C547" s="2" t="s">
        <v>2</v>
      </c>
      <c r="D547" s="2" t="s">
        <v>3</v>
      </c>
      <c r="E547" s="2" t="s">
        <v>4</v>
      </c>
      <c r="F547" s="2" t="s">
        <v>5</v>
      </c>
      <c r="G547" s="2" t="s">
        <v>6</v>
      </c>
      <c r="H547" s="26" t="s">
        <v>7</v>
      </c>
      <c r="I547" t="str">
        <f>VLOOKUP(A547,All!A:A,1,FALSE)</f>
        <v>School</v>
      </c>
    </row>
    <row r="548" spans="1:9" ht="15.75" thickBot="1" x14ac:dyDescent="0.3">
      <c r="A548" s="20" t="s">
        <v>669</v>
      </c>
      <c r="B548" s="7">
        <v>161</v>
      </c>
      <c r="C548" s="6"/>
      <c r="D548" s="6"/>
      <c r="E548" s="6"/>
      <c r="F548" s="6"/>
      <c r="G548" s="9" t="s">
        <v>9</v>
      </c>
      <c r="H548" s="22" t="s">
        <v>9</v>
      </c>
      <c r="I548" t="str">
        <f>VLOOKUP(A548,All!A:A,1,FALSE)</f>
        <v>Oneida (ROWVA)</v>
      </c>
    </row>
    <row r="549" spans="1:9" ht="15.75" thickBot="1" x14ac:dyDescent="0.3">
      <c r="A549" s="18" t="s">
        <v>670</v>
      </c>
      <c r="B549" s="3">
        <v>109</v>
      </c>
      <c r="C549" s="4" t="s">
        <v>9</v>
      </c>
      <c r="D549" s="4" t="s">
        <v>9</v>
      </c>
      <c r="E549" s="4"/>
      <c r="F549" s="4"/>
      <c r="G549" s="4"/>
      <c r="H549" s="19"/>
      <c r="I549" t="str">
        <f>VLOOKUP(A549,All!A:A,1,FALSE)</f>
        <v>Orangeville</v>
      </c>
    </row>
    <row r="550" spans="1:9" ht="15.75" thickBot="1" x14ac:dyDescent="0.3">
      <c r="A550" s="20" t="s">
        <v>671</v>
      </c>
      <c r="B550" s="7">
        <v>428</v>
      </c>
      <c r="C550" s="6" t="s">
        <v>13</v>
      </c>
      <c r="D550" s="6" t="s">
        <v>13</v>
      </c>
      <c r="E550" s="6" t="s">
        <v>9</v>
      </c>
      <c r="F550" s="6"/>
      <c r="G550" s="6" t="s">
        <v>9</v>
      </c>
      <c r="H550" s="21" t="s">
        <v>9</v>
      </c>
      <c r="I550" t="str">
        <f>VLOOKUP(A550,All!A:A,1,FALSE)</f>
        <v>Oregon</v>
      </c>
    </row>
    <row r="551" spans="1:9" ht="15.75" thickBot="1" x14ac:dyDescent="0.3">
      <c r="A551" s="18" t="s">
        <v>672</v>
      </c>
      <c r="B551" s="3">
        <v>282</v>
      </c>
      <c r="C551" s="4" t="s">
        <v>9</v>
      </c>
      <c r="D551" s="4" t="s">
        <v>9</v>
      </c>
      <c r="E551" s="9" t="s">
        <v>13</v>
      </c>
      <c r="F551" s="4"/>
      <c r="G551" s="4" t="s">
        <v>9</v>
      </c>
      <c r="H551" s="19" t="s">
        <v>9</v>
      </c>
      <c r="I551" t="str">
        <f>VLOOKUP(A551,All!A:A,1,FALSE)</f>
        <v>Orion</v>
      </c>
    </row>
    <row r="552" spans="1:9" ht="15.75" thickBot="1" x14ac:dyDescent="0.3">
      <c r="A552" s="20" t="s">
        <v>673</v>
      </c>
      <c r="B552" s="5">
        <v>2773</v>
      </c>
      <c r="C552" s="6" t="s">
        <v>11</v>
      </c>
      <c r="D552" s="6" t="s">
        <v>11</v>
      </c>
      <c r="E552" s="6" t="s">
        <v>12</v>
      </c>
      <c r="F552" s="6" t="s">
        <v>13</v>
      </c>
      <c r="G552" s="6" t="s">
        <v>12</v>
      </c>
      <c r="H552" s="21" t="s">
        <v>12</v>
      </c>
      <c r="I552" t="str">
        <f>VLOOKUP(A552,All!A:A,1,FALSE)</f>
        <v>Orland Park (Sandburg)</v>
      </c>
    </row>
    <row r="553" spans="1:9" ht="15.75" thickBot="1" x14ac:dyDescent="0.3">
      <c r="A553" s="18" t="s">
        <v>674</v>
      </c>
      <c r="B553" s="8">
        <v>2659</v>
      </c>
      <c r="C553" s="4" t="s">
        <v>11</v>
      </c>
      <c r="D553" s="4" t="s">
        <v>11</v>
      </c>
      <c r="E553" s="4" t="s">
        <v>12</v>
      </c>
      <c r="F553" s="4" t="s">
        <v>13</v>
      </c>
      <c r="G553" s="4" t="s">
        <v>12</v>
      </c>
      <c r="H553" s="19" t="s">
        <v>12</v>
      </c>
      <c r="I553" t="str">
        <f>VLOOKUP(A553,All!A:A,1,FALSE)</f>
        <v>Oswego (East)</v>
      </c>
    </row>
    <row r="554" spans="1:9" ht="15.75" thickBot="1" x14ac:dyDescent="0.3">
      <c r="A554" s="20" t="s">
        <v>675</v>
      </c>
      <c r="B554" s="5">
        <v>2863</v>
      </c>
      <c r="C554" s="6" t="s">
        <v>11</v>
      </c>
      <c r="D554" s="6" t="s">
        <v>11</v>
      </c>
      <c r="E554" s="6" t="s">
        <v>12</v>
      </c>
      <c r="F554" s="6" t="s">
        <v>13</v>
      </c>
      <c r="G554" s="6" t="s">
        <v>12</v>
      </c>
      <c r="H554" s="21" t="s">
        <v>12</v>
      </c>
      <c r="I554" t="str">
        <f>VLOOKUP(A554,All!A:A,1,FALSE)</f>
        <v>Oswego (H.S.)</v>
      </c>
    </row>
    <row r="555" spans="1:9" ht="15.75" thickBot="1" x14ac:dyDescent="0.3">
      <c r="A555" s="18" t="s">
        <v>676</v>
      </c>
      <c r="B555" s="3" t="s">
        <v>334</v>
      </c>
      <c r="C555" s="12" t="s">
        <v>13</v>
      </c>
      <c r="D555" s="10" t="s">
        <v>9</v>
      </c>
      <c r="E555" s="4"/>
      <c r="F555" s="4"/>
      <c r="G555" s="10" t="s">
        <v>9</v>
      </c>
      <c r="H555" s="23" t="s">
        <v>9</v>
      </c>
      <c r="I555" t="str">
        <f>VLOOKUP(A555,All!A:A,1,FALSE)</f>
        <v>Ottawa (Marquette)</v>
      </c>
    </row>
    <row r="556" spans="1:9" ht="15.75" thickBot="1" x14ac:dyDescent="0.3">
      <c r="A556" s="20" t="s">
        <v>677</v>
      </c>
      <c r="B556" s="5">
        <v>1193</v>
      </c>
      <c r="C556" s="6" t="s">
        <v>12</v>
      </c>
      <c r="D556" s="6" t="s">
        <v>12</v>
      </c>
      <c r="E556" s="6" t="s">
        <v>13</v>
      </c>
      <c r="F556" s="6" t="s">
        <v>9</v>
      </c>
      <c r="G556" s="6" t="s">
        <v>13</v>
      </c>
      <c r="H556" s="21" t="s">
        <v>13</v>
      </c>
      <c r="I556" t="str">
        <f>VLOOKUP(A556,All!A:A,1,FALSE)</f>
        <v>Ottawa (Twp.)</v>
      </c>
    </row>
    <row r="557" spans="1:9" ht="15.75" thickBot="1" x14ac:dyDescent="0.3">
      <c r="A557" s="18" t="s">
        <v>678</v>
      </c>
      <c r="B557" s="8">
        <v>2610</v>
      </c>
      <c r="C557" s="4" t="s">
        <v>11</v>
      </c>
      <c r="D557" s="4" t="s">
        <v>11</v>
      </c>
      <c r="E557" s="4" t="s">
        <v>12</v>
      </c>
      <c r="F557" s="4" t="s">
        <v>13</v>
      </c>
      <c r="G557" s="4" t="s">
        <v>12</v>
      </c>
      <c r="H557" s="19" t="s">
        <v>12</v>
      </c>
      <c r="I557" t="str">
        <f>VLOOKUP(A557,All!A:A,1,FALSE)</f>
        <v>Palatine (Fremd)</v>
      </c>
    </row>
    <row r="558" spans="1:9" ht="15.75" thickBot="1" x14ac:dyDescent="0.3">
      <c r="A558" s="20" t="s">
        <v>679</v>
      </c>
      <c r="B558" s="5">
        <v>2519</v>
      </c>
      <c r="C558" s="6" t="s">
        <v>11</v>
      </c>
      <c r="D558" s="6" t="s">
        <v>11</v>
      </c>
      <c r="E558" s="6" t="s">
        <v>12</v>
      </c>
      <c r="F558" s="6" t="s">
        <v>13</v>
      </c>
      <c r="G558" s="6" t="s">
        <v>12</v>
      </c>
      <c r="H558" s="21" t="s">
        <v>12</v>
      </c>
      <c r="I558" t="str">
        <f>VLOOKUP(A558,All!A:A,1,FALSE)</f>
        <v>Palatine (H.S.)</v>
      </c>
    </row>
    <row r="559" spans="1:9" ht="15.75" thickBot="1" x14ac:dyDescent="0.3">
      <c r="A559" s="18" t="s">
        <v>680</v>
      </c>
      <c r="B559" s="3">
        <v>80</v>
      </c>
      <c r="C559" s="4"/>
      <c r="D559" s="4"/>
      <c r="E559" s="4"/>
      <c r="F559" s="4"/>
      <c r="G559" s="9" t="s">
        <v>9</v>
      </c>
      <c r="H559" s="22" t="s">
        <v>9</v>
      </c>
      <c r="I559" t="str">
        <f>VLOOKUP(A559,All!A:A,1,FALSE)</f>
        <v>Palestine</v>
      </c>
    </row>
    <row r="560" spans="1:9" ht="15.75" thickBot="1" x14ac:dyDescent="0.3">
      <c r="A560" s="20" t="s">
        <v>681</v>
      </c>
      <c r="B560" s="7" t="s">
        <v>682</v>
      </c>
      <c r="C560" s="10" t="s">
        <v>13</v>
      </c>
      <c r="D560" s="10" t="s">
        <v>13</v>
      </c>
      <c r="E560" s="10" t="s">
        <v>9</v>
      </c>
      <c r="F560" s="6"/>
      <c r="G560" s="10" t="s">
        <v>13</v>
      </c>
      <c r="H560" s="24" t="s">
        <v>9</v>
      </c>
      <c r="I560" t="str">
        <f>VLOOKUP(A560,All!A:A,1,FALSE)</f>
        <v>Palos Heights (Chicago Christian)</v>
      </c>
    </row>
    <row r="561" spans="1:9" ht="15.75" thickBot="1" x14ac:dyDescent="0.3">
      <c r="A561" s="18" t="s">
        <v>683</v>
      </c>
      <c r="B561" s="8">
        <v>1809</v>
      </c>
      <c r="C561" s="4" t="s">
        <v>11</v>
      </c>
      <c r="D561" s="4" t="s">
        <v>11</v>
      </c>
      <c r="E561" s="4" t="s">
        <v>12</v>
      </c>
      <c r="F561" s="4" t="s">
        <v>13</v>
      </c>
      <c r="G561" s="4" t="s">
        <v>12</v>
      </c>
      <c r="H561" s="19" t="s">
        <v>12</v>
      </c>
      <c r="I561" t="str">
        <f>VLOOKUP(A561,All!A:A,1,FALSE)</f>
        <v>Palos Heights (Shepard)</v>
      </c>
    </row>
    <row r="562" spans="1:9" ht="15.75" thickBot="1" x14ac:dyDescent="0.3">
      <c r="A562" s="20" t="s">
        <v>684</v>
      </c>
      <c r="B562" s="5">
        <v>2517</v>
      </c>
      <c r="C562" s="6" t="s">
        <v>11</v>
      </c>
      <c r="D562" s="6" t="s">
        <v>11</v>
      </c>
      <c r="E562" s="6" t="s">
        <v>12</v>
      </c>
      <c r="F562" s="6" t="s">
        <v>13</v>
      </c>
      <c r="G562" s="6" t="s">
        <v>12</v>
      </c>
      <c r="H562" s="21" t="s">
        <v>12</v>
      </c>
      <c r="I562" t="str">
        <f>VLOOKUP(A562,All!A:A,1,FALSE)</f>
        <v>Palos Hills (Stagg)</v>
      </c>
    </row>
    <row r="563" spans="1:9" ht="15.75" thickBot="1" x14ac:dyDescent="0.3">
      <c r="A563" s="18" t="s">
        <v>685</v>
      </c>
      <c r="B563" s="3">
        <v>385</v>
      </c>
      <c r="C563" s="4" t="s">
        <v>13</v>
      </c>
      <c r="D563" s="4" t="s">
        <v>13</v>
      </c>
      <c r="E563" s="4" t="s">
        <v>9</v>
      </c>
      <c r="F563" s="4"/>
      <c r="G563" s="4" t="s">
        <v>9</v>
      </c>
      <c r="H563" s="19" t="s">
        <v>9</v>
      </c>
      <c r="I563" t="str">
        <f>VLOOKUP(A563,All!A:A,1,FALSE)</f>
        <v>Pana</v>
      </c>
    </row>
    <row r="564" spans="1:9" ht="15.75" thickBot="1" x14ac:dyDescent="0.3">
      <c r="A564" s="20" t="s">
        <v>686</v>
      </c>
      <c r="B564" s="7">
        <v>528</v>
      </c>
      <c r="C564" s="6" t="s">
        <v>13</v>
      </c>
      <c r="D564" s="6" t="s">
        <v>13</v>
      </c>
      <c r="E564" s="6"/>
      <c r="F564" s="6" t="s">
        <v>9</v>
      </c>
      <c r="G564" s="6" t="s">
        <v>13</v>
      </c>
      <c r="H564" s="21" t="s">
        <v>13</v>
      </c>
      <c r="I564" t="str">
        <f>VLOOKUP(A564,All!A:A,1,FALSE)</f>
        <v>Paris</v>
      </c>
    </row>
    <row r="565" spans="1:9" ht="15.75" thickBot="1" x14ac:dyDescent="0.3">
      <c r="A565" s="18" t="s">
        <v>687</v>
      </c>
      <c r="B565" s="8">
        <v>1952</v>
      </c>
      <c r="C565" s="4" t="s">
        <v>11</v>
      </c>
      <c r="D565" s="4" t="s">
        <v>11</v>
      </c>
      <c r="E565" s="4" t="s">
        <v>12</v>
      </c>
      <c r="F565" s="4" t="s">
        <v>13</v>
      </c>
      <c r="G565" s="4" t="s">
        <v>12</v>
      </c>
      <c r="H565" s="19" t="s">
        <v>12</v>
      </c>
      <c r="I565" t="str">
        <f>VLOOKUP(A565,All!A:A,1,FALSE)</f>
        <v>Park Ridge (Maine East)</v>
      </c>
    </row>
    <row r="566" spans="1:9" ht="15.75" thickBot="1" x14ac:dyDescent="0.3">
      <c r="A566" s="20" t="s">
        <v>688</v>
      </c>
      <c r="B566" s="5">
        <v>2476</v>
      </c>
      <c r="C566" s="6" t="s">
        <v>11</v>
      </c>
      <c r="D566" s="6" t="s">
        <v>11</v>
      </c>
      <c r="E566" s="6" t="s">
        <v>12</v>
      </c>
      <c r="F566" s="6" t="s">
        <v>13</v>
      </c>
      <c r="G566" s="6" t="s">
        <v>12</v>
      </c>
      <c r="H566" s="21" t="s">
        <v>12</v>
      </c>
      <c r="I566" t="str">
        <f>VLOOKUP(A566,All!A:A,1,FALSE)</f>
        <v>Park Ridge (Maine South)</v>
      </c>
    </row>
    <row r="567" spans="1:9" ht="15.75" thickBot="1" x14ac:dyDescent="0.3">
      <c r="A567" s="18" t="s">
        <v>689</v>
      </c>
      <c r="B567" s="3">
        <v>59</v>
      </c>
      <c r="C567" s="4"/>
      <c r="D567" s="4"/>
      <c r="E567" s="4"/>
      <c r="F567" s="4"/>
      <c r="G567" s="9" t="s">
        <v>9</v>
      </c>
      <c r="H567" s="22" t="s">
        <v>9</v>
      </c>
      <c r="I567" t="str">
        <f>VLOOKUP(A567,All!A:A,1,FALSE)</f>
        <v>Patoka</v>
      </c>
    </row>
    <row r="568" spans="1:9" ht="15.75" thickBot="1" x14ac:dyDescent="0.3">
      <c r="A568" s="20" t="s">
        <v>690</v>
      </c>
      <c r="B568" s="7">
        <v>160</v>
      </c>
      <c r="C568" s="6" t="s">
        <v>9</v>
      </c>
      <c r="D568" s="6" t="s">
        <v>9</v>
      </c>
      <c r="E568" s="6"/>
      <c r="F568" s="6"/>
      <c r="G568" s="9" t="s">
        <v>9</v>
      </c>
      <c r="H568" s="22" t="s">
        <v>9</v>
      </c>
      <c r="I568" t="str">
        <f>VLOOKUP(A568,All!A:A,1,FALSE)</f>
        <v>Pawnee</v>
      </c>
    </row>
    <row r="569" spans="1:9" ht="15.75" thickBot="1" x14ac:dyDescent="0.3">
      <c r="A569" s="18" t="s">
        <v>691</v>
      </c>
      <c r="B569" s="3">
        <v>373</v>
      </c>
      <c r="C569" s="4" t="s">
        <v>13</v>
      </c>
      <c r="D569" s="4" t="s">
        <v>13</v>
      </c>
      <c r="E569" s="4"/>
      <c r="F569" s="4"/>
      <c r="G569" s="4" t="s">
        <v>9</v>
      </c>
      <c r="H569" s="19" t="s">
        <v>9</v>
      </c>
      <c r="I569" t="str">
        <f>VLOOKUP(A569,All!A:A,1,FALSE)</f>
        <v>Paxton (P.-Buckley-Loda)</v>
      </c>
    </row>
    <row r="570" spans="1:9" ht="15.75" thickBot="1" x14ac:dyDescent="0.3">
      <c r="A570" s="20" t="s">
        <v>692</v>
      </c>
      <c r="B570" s="7">
        <v>146</v>
      </c>
      <c r="C570" s="6" t="s">
        <v>9</v>
      </c>
      <c r="D570" s="6" t="s">
        <v>9</v>
      </c>
      <c r="E570" s="6"/>
      <c r="F570" s="6"/>
      <c r="G570" s="6" t="s">
        <v>9</v>
      </c>
      <c r="H570" s="21" t="s">
        <v>9</v>
      </c>
      <c r="I570" t="str">
        <f>VLOOKUP(A570,All!A:A,1,FALSE)</f>
        <v>Payson (Seymour)</v>
      </c>
    </row>
    <row r="571" spans="1:9" ht="15.75" thickBot="1" x14ac:dyDescent="0.3">
      <c r="A571" s="18" t="s">
        <v>693</v>
      </c>
      <c r="B571" s="3">
        <v>146</v>
      </c>
      <c r="C571" s="4" t="s">
        <v>9</v>
      </c>
      <c r="D571" s="4" t="s">
        <v>9</v>
      </c>
      <c r="E571" s="4"/>
      <c r="F571" s="4"/>
      <c r="G571" s="4" t="s">
        <v>9</v>
      </c>
      <c r="H571" s="19"/>
      <c r="I571" t="str">
        <f>VLOOKUP(A571,All!A:A,1,FALSE)</f>
        <v>Pearl City</v>
      </c>
    </row>
    <row r="572" spans="1:9" ht="15.75" thickBot="1" x14ac:dyDescent="0.3">
      <c r="A572" s="20" t="s">
        <v>694</v>
      </c>
      <c r="B572" s="7">
        <v>299</v>
      </c>
      <c r="C572" s="9" t="s">
        <v>13</v>
      </c>
      <c r="D572" s="6" t="s">
        <v>9</v>
      </c>
      <c r="E572" s="9" t="s">
        <v>9</v>
      </c>
      <c r="F572" s="6"/>
      <c r="G572" s="9" t="s">
        <v>13</v>
      </c>
      <c r="H572" s="22" t="s">
        <v>13</v>
      </c>
      <c r="I572" t="str">
        <f>VLOOKUP(A572,All!A:A,1,FALSE)</f>
        <v>Pecatonica</v>
      </c>
    </row>
    <row r="573" spans="1:9" ht="15.75" thickBot="1" x14ac:dyDescent="0.3">
      <c r="A573" s="25" t="s">
        <v>0</v>
      </c>
      <c r="B573" s="1" t="s">
        <v>1</v>
      </c>
      <c r="C573" s="2" t="s">
        <v>2</v>
      </c>
      <c r="D573" s="2" t="s">
        <v>3</v>
      </c>
      <c r="E573" s="2" t="s">
        <v>4</v>
      </c>
      <c r="F573" s="2" t="s">
        <v>5</v>
      </c>
      <c r="G573" s="2" t="s">
        <v>6</v>
      </c>
      <c r="H573" s="26" t="s">
        <v>7</v>
      </c>
      <c r="I573" t="str">
        <f>VLOOKUP(A573,All!A:A,1,FALSE)</f>
        <v>School</v>
      </c>
    </row>
    <row r="574" spans="1:9" ht="15.75" thickBot="1" x14ac:dyDescent="0.3">
      <c r="A574" s="18" t="s">
        <v>695</v>
      </c>
      <c r="B574" s="8">
        <v>1675</v>
      </c>
      <c r="C574" s="4" t="s">
        <v>11</v>
      </c>
      <c r="D574" s="4" t="s">
        <v>11</v>
      </c>
      <c r="E574" s="4" t="s">
        <v>13</v>
      </c>
      <c r="F574" s="4" t="s">
        <v>13</v>
      </c>
      <c r="G574" s="4" t="s">
        <v>12</v>
      </c>
      <c r="H574" s="19" t="s">
        <v>12</v>
      </c>
      <c r="I574" t="str">
        <f>VLOOKUP(A574,All!A:A,1,FALSE)</f>
        <v>Pekin</v>
      </c>
    </row>
    <row r="575" spans="1:9" ht="15.75" thickBot="1" x14ac:dyDescent="0.3">
      <c r="A575" s="20" t="s">
        <v>696</v>
      </c>
      <c r="B575" s="5">
        <v>1287</v>
      </c>
      <c r="C575" s="6" t="s">
        <v>12</v>
      </c>
      <c r="D575" s="6"/>
      <c r="E575" s="6"/>
      <c r="F575" s="6"/>
      <c r="G575" s="6" t="s">
        <v>12</v>
      </c>
      <c r="H575" s="21" t="s">
        <v>12</v>
      </c>
      <c r="I575" t="str">
        <f>VLOOKUP(A575,All!A:A,1,FALSE)</f>
        <v>Peoria (H.S.)</v>
      </c>
    </row>
    <row r="576" spans="1:9" ht="15.75" thickBot="1" x14ac:dyDescent="0.3">
      <c r="A576" s="18" t="s">
        <v>697</v>
      </c>
      <c r="B576" s="3">
        <v>668</v>
      </c>
      <c r="C576" s="4"/>
      <c r="D576" s="4"/>
      <c r="E576" s="4" t="s">
        <v>9</v>
      </c>
      <c r="F576" s="4"/>
      <c r="G576" s="4" t="s">
        <v>13</v>
      </c>
      <c r="H576" s="19" t="s">
        <v>13</v>
      </c>
      <c r="I576" t="str">
        <f>VLOOKUP(A576,All!A:A,1,FALSE)</f>
        <v>Peoria (Manual)</v>
      </c>
    </row>
    <row r="577" spans="1:9" ht="15.75" thickBot="1" x14ac:dyDescent="0.3">
      <c r="A577" s="20" t="s">
        <v>698</v>
      </c>
      <c r="B577" s="7" t="s">
        <v>699</v>
      </c>
      <c r="C577" s="10" t="s">
        <v>12</v>
      </c>
      <c r="D577" s="11" t="s">
        <v>13</v>
      </c>
      <c r="E577" s="12" t="s">
        <v>12</v>
      </c>
      <c r="F577" s="10" t="s">
        <v>9</v>
      </c>
      <c r="G577" s="10" t="s">
        <v>13</v>
      </c>
      <c r="H577" s="23" t="s">
        <v>13</v>
      </c>
      <c r="I577" t="str">
        <f>VLOOKUP(A577,All!A:A,1,FALSE)</f>
        <v>Peoria (Notre Dame)</v>
      </c>
    </row>
    <row r="578" spans="1:9" ht="15.75" thickBot="1" x14ac:dyDescent="0.3">
      <c r="A578" s="18" t="s">
        <v>700</v>
      </c>
      <c r="B578" s="3" t="s">
        <v>701</v>
      </c>
      <c r="C578" s="10" t="s">
        <v>13</v>
      </c>
      <c r="D578" s="4"/>
      <c r="E578" s="10" t="s">
        <v>9</v>
      </c>
      <c r="F578" s="10" t="s">
        <v>9</v>
      </c>
      <c r="G578" s="10" t="s">
        <v>9</v>
      </c>
      <c r="H578" s="23" t="s">
        <v>9</v>
      </c>
      <c r="I578" t="str">
        <f>VLOOKUP(A578,All!A:A,1,FALSE)</f>
        <v>Peoria (P. Christian)</v>
      </c>
    </row>
    <row r="579" spans="1:9" ht="15.75" thickBot="1" x14ac:dyDescent="0.3">
      <c r="A579" s="20" t="s">
        <v>702</v>
      </c>
      <c r="B579" s="5">
        <v>1629</v>
      </c>
      <c r="C579" s="6" t="s">
        <v>11</v>
      </c>
      <c r="D579" s="6" t="s">
        <v>11</v>
      </c>
      <c r="E579" s="6" t="s">
        <v>13</v>
      </c>
      <c r="F579" s="6" t="s">
        <v>13</v>
      </c>
      <c r="G579" s="6" t="s">
        <v>12</v>
      </c>
      <c r="H579" s="21" t="s">
        <v>12</v>
      </c>
      <c r="I579" t="str">
        <f>VLOOKUP(A579,All!A:A,1,FALSE)</f>
        <v>Peoria (Richwoods)</v>
      </c>
    </row>
    <row r="580" spans="1:9" ht="15.75" thickBot="1" x14ac:dyDescent="0.3">
      <c r="A580" s="18" t="s">
        <v>703</v>
      </c>
      <c r="B580" s="3">
        <v>208</v>
      </c>
      <c r="C580" s="4" t="s">
        <v>9</v>
      </c>
      <c r="D580" s="4" t="s">
        <v>9</v>
      </c>
      <c r="E580" s="4"/>
      <c r="F580" s="4"/>
      <c r="G580" s="4" t="s">
        <v>9</v>
      </c>
      <c r="H580" s="19" t="s">
        <v>9</v>
      </c>
      <c r="I580" t="str">
        <f>VLOOKUP(A580,All!A:A,1,FALSE)</f>
        <v>Peoria Heights</v>
      </c>
    </row>
    <row r="581" spans="1:9" ht="15.75" thickBot="1" x14ac:dyDescent="0.3">
      <c r="A581" s="20" t="s">
        <v>704</v>
      </c>
      <c r="B581" s="7">
        <v>410</v>
      </c>
      <c r="C581" s="6" t="s">
        <v>13</v>
      </c>
      <c r="D581" s="6" t="s">
        <v>13</v>
      </c>
      <c r="E581" s="6" t="s">
        <v>9</v>
      </c>
      <c r="F581" s="6"/>
      <c r="G581" s="6" t="s">
        <v>9</v>
      </c>
      <c r="H581" s="21" t="s">
        <v>9</v>
      </c>
      <c r="I581" t="str">
        <f>VLOOKUP(A581,All!A:A,1,FALSE)</f>
        <v>Peotone</v>
      </c>
    </row>
    <row r="582" spans="1:9" ht="15.75" thickBot="1" x14ac:dyDescent="0.3">
      <c r="A582" s="18" t="s">
        <v>705</v>
      </c>
      <c r="B582" s="3" t="s">
        <v>706</v>
      </c>
      <c r="C582" s="10" t="s">
        <v>13</v>
      </c>
      <c r="D582" s="10" t="s">
        <v>13</v>
      </c>
      <c r="E582" s="4"/>
      <c r="F582" s="10" t="s">
        <v>9</v>
      </c>
      <c r="G582" s="10" t="s">
        <v>9</v>
      </c>
      <c r="H582" s="23" t="s">
        <v>9</v>
      </c>
      <c r="I582" t="str">
        <f>VLOOKUP(A582,All!A:A,1,FALSE)</f>
        <v>Peru (St. Bede)</v>
      </c>
    </row>
    <row r="583" spans="1:9" ht="15.75" thickBot="1" x14ac:dyDescent="0.3">
      <c r="A583" s="20" t="s">
        <v>707</v>
      </c>
      <c r="B583" s="7">
        <v>276</v>
      </c>
      <c r="C583" s="9" t="s">
        <v>13</v>
      </c>
      <c r="D583" s="9" t="s">
        <v>13</v>
      </c>
      <c r="E583" s="6"/>
      <c r="F583" s="6"/>
      <c r="G583" s="9" t="s">
        <v>9</v>
      </c>
      <c r="H583" s="22" t="s">
        <v>9</v>
      </c>
      <c r="I583" t="str">
        <f>VLOOKUP(A583,All!A:A,1,FALSE)</f>
        <v>Petersburg (PORTA)</v>
      </c>
    </row>
    <row r="584" spans="1:9" ht="15.75" thickBot="1" x14ac:dyDescent="0.3">
      <c r="A584" s="18" t="s">
        <v>708</v>
      </c>
      <c r="B584" s="3">
        <v>365</v>
      </c>
      <c r="C584" s="4" t="s">
        <v>13</v>
      </c>
      <c r="D584" s="4" t="s">
        <v>13</v>
      </c>
      <c r="E584" s="4" t="s">
        <v>9</v>
      </c>
      <c r="F584" s="4"/>
      <c r="G584" s="4" t="s">
        <v>9</v>
      </c>
      <c r="H584" s="19" t="s">
        <v>9</v>
      </c>
      <c r="I584" t="str">
        <f>VLOOKUP(A584,All!A:A,1,FALSE)</f>
        <v>Piasa (Southwestern)</v>
      </c>
    </row>
    <row r="585" spans="1:9" ht="15.75" thickBot="1" x14ac:dyDescent="0.3">
      <c r="A585" s="20" t="s">
        <v>709</v>
      </c>
      <c r="B585" s="7">
        <v>378</v>
      </c>
      <c r="C585" s="6" t="s">
        <v>13</v>
      </c>
      <c r="D585" s="6" t="s">
        <v>13</v>
      </c>
      <c r="E585" s="6" t="s">
        <v>9</v>
      </c>
      <c r="F585" s="6"/>
      <c r="G585" s="6" t="s">
        <v>9</v>
      </c>
      <c r="H585" s="21" t="s">
        <v>9</v>
      </c>
      <c r="I585" t="str">
        <f>VLOOKUP(A585,All!A:A,1,FALSE)</f>
        <v>Pinckneyville</v>
      </c>
    </row>
    <row r="586" spans="1:9" ht="15.75" thickBot="1" x14ac:dyDescent="0.3">
      <c r="A586" s="18" t="s">
        <v>710</v>
      </c>
      <c r="B586" s="3">
        <v>367</v>
      </c>
      <c r="C586" s="9" t="s">
        <v>13</v>
      </c>
      <c r="D586" s="4" t="s">
        <v>13</v>
      </c>
      <c r="E586" s="4"/>
      <c r="F586" s="4"/>
      <c r="G586" s="4" t="s">
        <v>9</v>
      </c>
      <c r="H586" s="19" t="s">
        <v>9</v>
      </c>
      <c r="I586" t="str">
        <f>VLOOKUP(A586,All!A:A,1,FALSE)</f>
        <v>Pittsfield</v>
      </c>
    </row>
    <row r="587" spans="1:9" ht="15.75" thickBot="1" x14ac:dyDescent="0.3">
      <c r="A587" s="20" t="s">
        <v>711</v>
      </c>
      <c r="B587" s="5">
        <v>1767</v>
      </c>
      <c r="C587" s="6" t="s">
        <v>11</v>
      </c>
      <c r="D587" s="6" t="s">
        <v>11</v>
      </c>
      <c r="E587" s="6" t="s">
        <v>13</v>
      </c>
      <c r="F587" s="6" t="s">
        <v>13</v>
      </c>
      <c r="G587" s="6" t="s">
        <v>12</v>
      </c>
      <c r="H587" s="21" t="s">
        <v>12</v>
      </c>
      <c r="I587" t="str">
        <f>VLOOKUP(A587,All!A:A,1,FALSE)</f>
        <v>Plainfield (Central)</v>
      </c>
    </row>
    <row r="588" spans="1:9" ht="15.75" thickBot="1" x14ac:dyDescent="0.3">
      <c r="A588" s="18" t="s">
        <v>712</v>
      </c>
      <c r="B588" s="8">
        <v>1772</v>
      </c>
      <c r="C588" s="4" t="s">
        <v>11</v>
      </c>
      <c r="D588" s="4" t="s">
        <v>11</v>
      </c>
      <c r="E588" s="4" t="s">
        <v>13</v>
      </c>
      <c r="F588" s="4" t="s">
        <v>13</v>
      </c>
      <c r="G588" s="4" t="s">
        <v>12</v>
      </c>
      <c r="H588" s="19" t="s">
        <v>12</v>
      </c>
      <c r="I588" t="str">
        <f>VLOOKUP(A588,All!A:A,1,FALSE)</f>
        <v>Plainfield (East)</v>
      </c>
    </row>
    <row r="589" spans="1:9" ht="15.75" thickBot="1" x14ac:dyDescent="0.3">
      <c r="A589" s="20" t="s">
        <v>713</v>
      </c>
      <c r="B589" s="5">
        <v>2343</v>
      </c>
      <c r="C589" s="6" t="s">
        <v>11</v>
      </c>
      <c r="D589" s="6" t="s">
        <v>11</v>
      </c>
      <c r="E589" s="6" t="s">
        <v>12</v>
      </c>
      <c r="F589" s="6" t="s">
        <v>13</v>
      </c>
      <c r="G589" s="6" t="s">
        <v>12</v>
      </c>
      <c r="H589" s="21" t="s">
        <v>12</v>
      </c>
      <c r="I589" t="str">
        <f>VLOOKUP(A589,All!A:A,1,FALSE)</f>
        <v>Plainfield (North)</v>
      </c>
    </row>
    <row r="590" spans="1:9" ht="15.75" thickBot="1" x14ac:dyDescent="0.3">
      <c r="A590" s="18" t="s">
        <v>714</v>
      </c>
      <c r="B590" s="8">
        <v>2229</v>
      </c>
      <c r="C590" s="4" t="s">
        <v>11</v>
      </c>
      <c r="D590" s="4" t="s">
        <v>11</v>
      </c>
      <c r="E590" s="4" t="s">
        <v>12</v>
      </c>
      <c r="F590" s="4" t="s">
        <v>13</v>
      </c>
      <c r="G590" s="4" t="s">
        <v>12</v>
      </c>
      <c r="H590" s="19" t="s">
        <v>12</v>
      </c>
      <c r="I590" t="str">
        <f>VLOOKUP(A590,All!A:A,1,FALSE)</f>
        <v>Plainfield (South)</v>
      </c>
    </row>
    <row r="591" spans="1:9" ht="15.75" thickBot="1" x14ac:dyDescent="0.3">
      <c r="A591" s="20" t="s">
        <v>715</v>
      </c>
      <c r="B591" s="7">
        <v>747</v>
      </c>
      <c r="C591" s="6" t="s">
        <v>12</v>
      </c>
      <c r="D591" s="6" t="s">
        <v>12</v>
      </c>
      <c r="E591" s="6" t="s">
        <v>9</v>
      </c>
      <c r="F591" s="6"/>
      <c r="G591" s="6" t="s">
        <v>13</v>
      </c>
      <c r="H591" s="21" t="s">
        <v>13</v>
      </c>
      <c r="I591" t="str">
        <f>VLOOKUP(A591,All!A:A,1,FALSE)</f>
        <v>Plano</v>
      </c>
    </row>
    <row r="592" spans="1:9" ht="15.75" thickBot="1" x14ac:dyDescent="0.3">
      <c r="A592" s="18" t="s">
        <v>716</v>
      </c>
      <c r="B592" s="3">
        <v>96</v>
      </c>
      <c r="C592" s="4" t="s">
        <v>9</v>
      </c>
      <c r="D592" s="4" t="s">
        <v>9</v>
      </c>
      <c r="E592" s="4"/>
      <c r="F592" s="4"/>
      <c r="G592" s="9" t="s">
        <v>9</v>
      </c>
      <c r="H592" s="22" t="s">
        <v>9</v>
      </c>
      <c r="I592" t="str">
        <f>VLOOKUP(A592,All!A:A,1,FALSE)</f>
        <v>Pleasant Hill</v>
      </c>
    </row>
    <row r="593" spans="1:9" ht="15.75" thickBot="1" x14ac:dyDescent="0.3">
      <c r="A593" s="20" t="s">
        <v>717</v>
      </c>
      <c r="B593" s="7">
        <v>409</v>
      </c>
      <c r="C593" s="6" t="s">
        <v>13</v>
      </c>
      <c r="D593" s="6" t="s">
        <v>13</v>
      </c>
      <c r="E593" s="9" t="s">
        <v>9</v>
      </c>
      <c r="F593" s="6"/>
      <c r="G593" s="6" t="s">
        <v>9</v>
      </c>
      <c r="H593" s="21" t="s">
        <v>9</v>
      </c>
      <c r="I593" t="str">
        <f>VLOOKUP(A593,All!A:A,1,FALSE)</f>
        <v>Pleasant Plains</v>
      </c>
    </row>
    <row r="594" spans="1:9" ht="15.75" thickBot="1" x14ac:dyDescent="0.3">
      <c r="A594" s="18" t="s">
        <v>718</v>
      </c>
      <c r="B594" s="3">
        <v>180</v>
      </c>
      <c r="C594" s="4" t="s">
        <v>9</v>
      </c>
      <c r="D594" s="4" t="s">
        <v>9</v>
      </c>
      <c r="E594" s="4"/>
      <c r="F594" s="4"/>
      <c r="G594" s="4"/>
      <c r="H594" s="19"/>
      <c r="I594" t="str">
        <f>VLOOKUP(A594,All!A:A,1,FALSE)</f>
        <v>Polo</v>
      </c>
    </row>
    <row r="595" spans="1:9" ht="15.75" thickBot="1" x14ac:dyDescent="0.3">
      <c r="A595" s="20" t="s">
        <v>719</v>
      </c>
      <c r="B595" s="7">
        <v>639</v>
      </c>
      <c r="C595" s="6" t="s">
        <v>13</v>
      </c>
      <c r="D595" s="6" t="s">
        <v>13</v>
      </c>
      <c r="E595" s="6"/>
      <c r="F595" s="6" t="s">
        <v>9</v>
      </c>
      <c r="G595" s="6" t="s">
        <v>13</v>
      </c>
      <c r="H595" s="21" t="s">
        <v>13</v>
      </c>
      <c r="I595" t="str">
        <f>VLOOKUP(A595,All!A:A,1,FALSE)</f>
        <v>Pontiac</v>
      </c>
    </row>
    <row r="596" spans="1:9" ht="15.75" thickBot="1" x14ac:dyDescent="0.3">
      <c r="A596" s="18" t="s">
        <v>720</v>
      </c>
      <c r="B596" s="3">
        <v>484</v>
      </c>
      <c r="C596" s="4" t="s">
        <v>13</v>
      </c>
      <c r="D596" s="4" t="s">
        <v>13</v>
      </c>
      <c r="E596" s="4" t="s">
        <v>9</v>
      </c>
      <c r="F596" s="4"/>
      <c r="G596" s="4" t="s">
        <v>13</v>
      </c>
      <c r="H596" s="19" t="s">
        <v>13</v>
      </c>
      <c r="I596" t="str">
        <f>VLOOKUP(A596,All!A:A,1,FALSE)</f>
        <v>Poplar Grove (North Boone)</v>
      </c>
    </row>
    <row r="597" spans="1:9" ht="15.75" thickBot="1" x14ac:dyDescent="0.3">
      <c r="A597" s="20" t="s">
        <v>721</v>
      </c>
      <c r="B597" s="7">
        <v>320</v>
      </c>
      <c r="C597" s="6" t="s">
        <v>13</v>
      </c>
      <c r="D597" s="6" t="s">
        <v>13</v>
      </c>
      <c r="E597" s="6"/>
      <c r="F597" s="6"/>
      <c r="G597" s="6" t="s">
        <v>9</v>
      </c>
      <c r="H597" s="21" t="s">
        <v>9</v>
      </c>
      <c r="I597" t="str">
        <f>VLOOKUP(A597,All!A:A,1,FALSE)</f>
        <v>Port Byron (Riverdale)</v>
      </c>
    </row>
    <row r="598" spans="1:9" ht="15.75" thickBot="1" x14ac:dyDescent="0.3">
      <c r="A598" s="18" t="s">
        <v>722</v>
      </c>
      <c r="B598" s="3">
        <v>472</v>
      </c>
      <c r="C598" s="4" t="s">
        <v>13</v>
      </c>
      <c r="D598" s="4" t="s">
        <v>13</v>
      </c>
      <c r="E598" s="4" t="s">
        <v>9</v>
      </c>
      <c r="F598" s="4" t="s">
        <v>9</v>
      </c>
      <c r="G598" s="4" t="s">
        <v>13</v>
      </c>
      <c r="H598" s="19" t="s">
        <v>13</v>
      </c>
      <c r="I598" t="str">
        <f>VLOOKUP(A598,All!A:A,1,FALSE)</f>
        <v>Princeton</v>
      </c>
    </row>
    <row r="599" spans="1:9" ht="15.75" thickBot="1" x14ac:dyDescent="0.3">
      <c r="A599" s="25" t="s">
        <v>0</v>
      </c>
      <c r="B599" s="1" t="s">
        <v>1</v>
      </c>
      <c r="C599" s="2" t="s">
        <v>2</v>
      </c>
      <c r="D599" s="2" t="s">
        <v>3</v>
      </c>
      <c r="E599" s="2" t="s">
        <v>4</v>
      </c>
      <c r="F599" s="2" t="s">
        <v>5</v>
      </c>
      <c r="G599" s="2" t="s">
        <v>6</v>
      </c>
      <c r="H599" s="26" t="s">
        <v>7</v>
      </c>
      <c r="I599" t="str">
        <f>VLOOKUP(A599,All!A:A,1,FALSE)</f>
        <v>School</v>
      </c>
    </row>
    <row r="600" spans="1:9" ht="15.75" thickBot="1" x14ac:dyDescent="0.3">
      <c r="A600" s="20" t="s">
        <v>723</v>
      </c>
      <c r="B600" s="7">
        <v>185</v>
      </c>
      <c r="C600" s="6" t="s">
        <v>9</v>
      </c>
      <c r="D600" s="6" t="s">
        <v>9</v>
      </c>
      <c r="E600" s="6"/>
      <c r="F600" s="6"/>
      <c r="G600" s="6" t="s">
        <v>9</v>
      </c>
      <c r="H600" s="21" t="s">
        <v>9</v>
      </c>
      <c r="I600" t="str">
        <f>VLOOKUP(A600,All!A:A,1,FALSE)</f>
        <v>Princeville</v>
      </c>
    </row>
    <row r="601" spans="1:9" ht="15.75" thickBot="1" x14ac:dyDescent="0.3">
      <c r="A601" s="18" t="s">
        <v>724</v>
      </c>
      <c r="B601" s="3">
        <v>198</v>
      </c>
      <c r="C601" s="9" t="s">
        <v>13</v>
      </c>
      <c r="D601" s="9" t="s">
        <v>13</v>
      </c>
      <c r="E601" s="4"/>
      <c r="F601" s="4"/>
      <c r="G601" s="4"/>
      <c r="H601" s="19"/>
      <c r="I601" t="str">
        <f>VLOOKUP(A601,All!A:A,1,FALSE)</f>
        <v>Prophetstown</v>
      </c>
    </row>
    <row r="602" spans="1:9" ht="15.75" thickBot="1" x14ac:dyDescent="0.3">
      <c r="A602" s="20" t="s">
        <v>725</v>
      </c>
      <c r="B602" s="7" t="s">
        <v>272</v>
      </c>
      <c r="C602" s="10" t="s">
        <v>13</v>
      </c>
      <c r="D602" s="10" t="s">
        <v>13</v>
      </c>
      <c r="E602" s="10" t="s">
        <v>9</v>
      </c>
      <c r="F602" s="10" t="s">
        <v>9</v>
      </c>
      <c r="G602" s="6"/>
      <c r="H602" s="21"/>
      <c r="I602" t="str">
        <f>VLOOKUP(A602,All!A:A,1,FALSE)</f>
        <v>Quincy (Notre Dame)</v>
      </c>
    </row>
    <row r="603" spans="1:9" ht="15.75" thickBot="1" x14ac:dyDescent="0.3">
      <c r="A603" s="18" t="s">
        <v>726</v>
      </c>
      <c r="B603" s="8">
        <v>1743</v>
      </c>
      <c r="C603" s="4" t="s">
        <v>11</v>
      </c>
      <c r="D603" s="4" t="s">
        <v>11</v>
      </c>
      <c r="E603" s="4" t="s">
        <v>13</v>
      </c>
      <c r="F603" s="4" t="s">
        <v>13</v>
      </c>
      <c r="G603" s="4" t="s">
        <v>12</v>
      </c>
      <c r="H603" s="19" t="s">
        <v>12</v>
      </c>
      <c r="I603" t="str">
        <f>VLOOKUP(A603,All!A:A,1,FALSE)</f>
        <v>Quincy (Sr.)</v>
      </c>
    </row>
    <row r="604" spans="1:9" ht="15.75" thickBot="1" x14ac:dyDescent="0.3">
      <c r="A604" s="20" t="s">
        <v>727</v>
      </c>
      <c r="B604" s="7">
        <v>96</v>
      </c>
      <c r="C604" s="9" t="s">
        <v>9</v>
      </c>
      <c r="D604" s="9" t="s">
        <v>9</v>
      </c>
      <c r="E604" s="6"/>
      <c r="F604" s="6"/>
      <c r="G604" s="6"/>
      <c r="H604" s="21"/>
      <c r="I604" t="str">
        <f>VLOOKUP(A604,All!A:A,1,FALSE)</f>
        <v>Ramsey</v>
      </c>
    </row>
    <row r="605" spans="1:9" ht="15.75" thickBot="1" x14ac:dyDescent="0.3">
      <c r="A605" s="18" t="s">
        <v>728</v>
      </c>
      <c r="B605" s="3">
        <v>880</v>
      </c>
      <c r="C605" s="4" t="s">
        <v>12</v>
      </c>
      <c r="D605" s="4" t="s">
        <v>12</v>
      </c>
      <c r="E605" s="4" t="s">
        <v>13</v>
      </c>
      <c r="F605" s="4"/>
      <c r="G605" s="4" t="s">
        <v>13</v>
      </c>
      <c r="H605" s="19" t="s">
        <v>13</v>
      </c>
      <c r="I605" t="str">
        <f>VLOOKUP(A605,All!A:A,1,FALSE)</f>
        <v>Rantoul</v>
      </c>
    </row>
    <row r="606" spans="1:9" ht="15.75" thickBot="1" x14ac:dyDescent="0.3">
      <c r="A606" s="20" t="s">
        <v>729</v>
      </c>
      <c r="B606" s="7">
        <v>155</v>
      </c>
      <c r="C606" s="6" t="s">
        <v>9</v>
      </c>
      <c r="D606" s="9" t="s">
        <v>9</v>
      </c>
      <c r="E606" s="6"/>
      <c r="F606" s="6"/>
      <c r="G606" s="6"/>
      <c r="H606" s="21"/>
      <c r="I606" t="str">
        <f>VLOOKUP(A606,All!A:A,1,FALSE)</f>
        <v>Raymond (Lincolnwood)</v>
      </c>
    </row>
    <row r="607" spans="1:9" ht="15.75" thickBot="1" x14ac:dyDescent="0.3">
      <c r="A607" s="18" t="s">
        <v>730</v>
      </c>
      <c r="B607" s="3">
        <v>365</v>
      </c>
      <c r="C607" s="4" t="s">
        <v>13</v>
      </c>
      <c r="D607" s="4" t="s">
        <v>13</v>
      </c>
      <c r="E607" s="4"/>
      <c r="F607" s="4"/>
      <c r="G607" s="4" t="s">
        <v>9</v>
      </c>
      <c r="H607" s="19" t="s">
        <v>9</v>
      </c>
      <c r="I607" t="str">
        <f>VLOOKUP(A607,All!A:A,1,FALSE)</f>
        <v>Red Bud</v>
      </c>
    </row>
    <row r="608" spans="1:9" ht="15.75" thickBot="1" x14ac:dyDescent="0.3">
      <c r="A608" s="20" t="s">
        <v>731</v>
      </c>
      <c r="B608" s="7">
        <v>515</v>
      </c>
      <c r="C608" s="6" t="s">
        <v>13</v>
      </c>
      <c r="D608" s="6" t="s">
        <v>13</v>
      </c>
      <c r="E608" s="6" t="s">
        <v>9</v>
      </c>
      <c r="F608" s="6"/>
      <c r="G608" s="6" t="s">
        <v>13</v>
      </c>
      <c r="H608" s="21" t="s">
        <v>13</v>
      </c>
      <c r="I608" t="str">
        <f>VLOOKUP(A608,All!A:A,1,FALSE)</f>
        <v>Richmond (R.-Burton)</v>
      </c>
    </row>
    <row r="609" spans="1:9" ht="15.75" thickBot="1" x14ac:dyDescent="0.3">
      <c r="A609" s="18" t="s">
        <v>732</v>
      </c>
      <c r="B609" s="8">
        <v>2286</v>
      </c>
      <c r="C609" s="4" t="s">
        <v>11</v>
      </c>
      <c r="D609" s="4" t="s">
        <v>11</v>
      </c>
      <c r="E609" s="4" t="s">
        <v>12</v>
      </c>
      <c r="F609" s="4" t="s">
        <v>13</v>
      </c>
      <c r="G609" s="4" t="s">
        <v>12</v>
      </c>
      <c r="H609" s="19" t="s">
        <v>12</v>
      </c>
      <c r="I609" t="str">
        <f>VLOOKUP(A609,All!A:A,1,FALSE)</f>
        <v>Richton Park (Rich Township)</v>
      </c>
    </row>
    <row r="610" spans="1:9" ht="15.75" thickBot="1" x14ac:dyDescent="0.3">
      <c r="A610" s="20" t="s">
        <v>733</v>
      </c>
      <c r="B610" s="7" t="s">
        <v>734</v>
      </c>
      <c r="C610" s="6"/>
      <c r="D610" s="6"/>
      <c r="E610" s="6"/>
      <c r="F610" s="6"/>
      <c r="G610" s="10" t="s">
        <v>13</v>
      </c>
      <c r="H610" s="23" t="s">
        <v>13</v>
      </c>
      <c r="I610" t="str">
        <f>VLOOKUP(A610,All!A:A,1,FALSE)</f>
        <v>Richton Park (Southland College Prep Charter)</v>
      </c>
    </row>
    <row r="611" spans="1:9" ht="15.75" thickBot="1" x14ac:dyDescent="0.3">
      <c r="A611" s="18" t="s">
        <v>735</v>
      </c>
      <c r="B611" s="3" t="s">
        <v>736</v>
      </c>
      <c r="C611" s="4"/>
      <c r="D611" s="11" t="s">
        <v>13</v>
      </c>
      <c r="E611" s="11" t="s">
        <v>9</v>
      </c>
      <c r="F611" s="4"/>
      <c r="G611" s="4"/>
      <c r="H611" s="23" t="s">
        <v>13</v>
      </c>
      <c r="I611" t="str">
        <f>VLOOKUP(A611,All!A:A,1,FALSE)</f>
        <v>River Forest (Trinity)</v>
      </c>
    </row>
    <row r="612" spans="1:9" ht="15.75" thickBot="1" x14ac:dyDescent="0.3">
      <c r="A612" s="20" t="s">
        <v>737</v>
      </c>
      <c r="B612" s="5">
        <v>1639</v>
      </c>
      <c r="C612" s="6" t="s">
        <v>11</v>
      </c>
      <c r="D612" s="6" t="s">
        <v>11</v>
      </c>
      <c r="E612" s="6" t="s">
        <v>13</v>
      </c>
      <c r="F612" s="6" t="s">
        <v>13</v>
      </c>
      <c r="G612" s="6" t="s">
        <v>12</v>
      </c>
      <c r="H612" s="21" t="s">
        <v>12</v>
      </c>
      <c r="I612" t="str">
        <f>VLOOKUP(A612,All!A:A,1,FALSE)</f>
        <v>Riverside (R.-Brookfield)</v>
      </c>
    </row>
    <row r="613" spans="1:9" ht="15.75" thickBot="1" x14ac:dyDescent="0.3">
      <c r="A613" s="18" t="s">
        <v>738</v>
      </c>
      <c r="B613" s="3">
        <v>343</v>
      </c>
      <c r="C613" s="4" t="s">
        <v>13</v>
      </c>
      <c r="D613" s="4" t="s">
        <v>13</v>
      </c>
      <c r="E613" s="9" t="s">
        <v>9</v>
      </c>
      <c r="F613" s="4"/>
      <c r="G613" s="4" t="s">
        <v>9</v>
      </c>
      <c r="H613" s="19" t="s">
        <v>9</v>
      </c>
      <c r="I613" t="str">
        <f>VLOOKUP(A613,All!A:A,1,FALSE)</f>
        <v>Riverton</v>
      </c>
    </row>
    <row r="614" spans="1:9" ht="15.75" thickBot="1" x14ac:dyDescent="0.3">
      <c r="A614" s="20" t="s">
        <v>739</v>
      </c>
      <c r="B614" s="7">
        <v>142</v>
      </c>
      <c r="C614" s="9" t="s">
        <v>9</v>
      </c>
      <c r="D614" s="6"/>
      <c r="E614" s="6"/>
      <c r="F614" s="6"/>
      <c r="G614" s="6"/>
      <c r="H614" s="21"/>
      <c r="I614" t="str">
        <f>VLOOKUP(A614,All!A:A,1,FALSE)</f>
        <v>Roanoke (R.-Benson)</v>
      </c>
    </row>
    <row r="615" spans="1:9" ht="15.75" thickBot="1" x14ac:dyDescent="0.3">
      <c r="A615" s="18" t="s">
        <v>740</v>
      </c>
      <c r="B615" s="3">
        <v>439</v>
      </c>
      <c r="C615" s="4" t="s">
        <v>13</v>
      </c>
      <c r="D615" s="4" t="s">
        <v>13</v>
      </c>
      <c r="E615" s="4"/>
      <c r="F615" s="4" t="s">
        <v>9</v>
      </c>
      <c r="G615" s="4" t="s">
        <v>9</v>
      </c>
      <c r="H615" s="19" t="s">
        <v>9</v>
      </c>
      <c r="I615" t="str">
        <f>VLOOKUP(A615,All!A:A,1,FALSE)</f>
        <v>Robinson</v>
      </c>
    </row>
    <row r="616" spans="1:9" ht="15.75" thickBot="1" x14ac:dyDescent="0.3">
      <c r="A616" s="20" t="s">
        <v>741</v>
      </c>
      <c r="B616" s="7">
        <v>824</v>
      </c>
      <c r="C616" s="6" t="s">
        <v>12</v>
      </c>
      <c r="D616" s="6" t="s">
        <v>12</v>
      </c>
      <c r="E616" s="6" t="s">
        <v>13</v>
      </c>
      <c r="F616" s="9" t="s">
        <v>9</v>
      </c>
      <c r="G616" s="6" t="s">
        <v>13</v>
      </c>
      <c r="H616" s="21" t="s">
        <v>13</v>
      </c>
      <c r="I616" t="str">
        <f>VLOOKUP(A616,All!A:A,1,FALSE)</f>
        <v>Rochelle</v>
      </c>
    </row>
    <row r="617" spans="1:9" ht="15.75" thickBot="1" x14ac:dyDescent="0.3">
      <c r="A617" s="18" t="s">
        <v>742</v>
      </c>
      <c r="B617" s="3">
        <v>682</v>
      </c>
      <c r="C617" s="4" t="s">
        <v>13</v>
      </c>
      <c r="D617" s="4" t="s">
        <v>13</v>
      </c>
      <c r="E617" s="4" t="s">
        <v>9</v>
      </c>
      <c r="F617" s="4" t="s">
        <v>9</v>
      </c>
      <c r="G617" s="4" t="s">
        <v>13</v>
      </c>
      <c r="H617" s="19" t="s">
        <v>13</v>
      </c>
      <c r="I617" t="str">
        <f>VLOOKUP(A617,All!A:A,1,FALSE)</f>
        <v>Rochester</v>
      </c>
    </row>
    <row r="618" spans="1:9" ht="15.75" thickBot="1" x14ac:dyDescent="0.3">
      <c r="A618" s="20" t="s">
        <v>743</v>
      </c>
      <c r="B618" s="7">
        <v>500</v>
      </c>
      <c r="C618" s="6" t="s">
        <v>13</v>
      </c>
      <c r="D618" s="6" t="s">
        <v>13</v>
      </c>
      <c r="E618" s="6"/>
      <c r="F618" s="6"/>
      <c r="G618" s="6" t="s">
        <v>13</v>
      </c>
      <c r="H618" s="21" t="s">
        <v>13</v>
      </c>
      <c r="I618" t="str">
        <f>VLOOKUP(A618,All!A:A,1,FALSE)</f>
        <v>Rock Falls</v>
      </c>
    </row>
    <row r="619" spans="1:9" ht="15.75" thickBot="1" x14ac:dyDescent="0.3">
      <c r="A619" s="18" t="s">
        <v>744</v>
      </c>
      <c r="B619" s="3" t="s">
        <v>745</v>
      </c>
      <c r="C619" s="10" t="s">
        <v>13</v>
      </c>
      <c r="D619" s="10" t="s">
        <v>13</v>
      </c>
      <c r="E619" s="10" t="s">
        <v>9</v>
      </c>
      <c r="F619" s="10" t="s">
        <v>9</v>
      </c>
      <c r="G619" s="11" t="s">
        <v>9</v>
      </c>
      <c r="H619" s="24" t="s">
        <v>9</v>
      </c>
      <c r="I619" t="str">
        <f>VLOOKUP(A619,All!A:A,1,FALSE)</f>
        <v>Rock Island (Alleman)</v>
      </c>
    </row>
    <row r="620" spans="1:9" ht="15.75" thickBot="1" x14ac:dyDescent="0.3">
      <c r="A620" s="20" t="s">
        <v>746</v>
      </c>
      <c r="B620" s="5">
        <v>1700</v>
      </c>
      <c r="C620" s="6" t="s">
        <v>11</v>
      </c>
      <c r="D620" s="6" t="s">
        <v>11</v>
      </c>
      <c r="E620" s="6" t="s">
        <v>13</v>
      </c>
      <c r="F620" s="6" t="s">
        <v>13</v>
      </c>
      <c r="G620" s="6" t="s">
        <v>12</v>
      </c>
      <c r="H620" s="21" t="s">
        <v>12</v>
      </c>
      <c r="I620" t="str">
        <f>VLOOKUP(A620,All!A:A,1,FALSE)</f>
        <v>Rock Island (H.S.)</v>
      </c>
    </row>
    <row r="621" spans="1:9" ht="15.75" thickBot="1" x14ac:dyDescent="0.3">
      <c r="A621" s="18" t="s">
        <v>747</v>
      </c>
      <c r="B621" s="8">
        <v>1747</v>
      </c>
      <c r="C621" s="4" t="s">
        <v>11</v>
      </c>
      <c r="D621" s="4" t="s">
        <v>11</v>
      </c>
      <c r="E621" s="4" t="s">
        <v>13</v>
      </c>
      <c r="F621" s="4" t="s">
        <v>13</v>
      </c>
      <c r="G621" s="4" t="s">
        <v>12</v>
      </c>
      <c r="H621" s="19" t="s">
        <v>12</v>
      </c>
      <c r="I621" t="str">
        <f>VLOOKUP(A621,All!A:A,1,FALSE)</f>
        <v>Rockford (Auburn)</v>
      </c>
    </row>
    <row r="622" spans="1:9" ht="15.75" thickBot="1" x14ac:dyDescent="0.3">
      <c r="A622" s="20" t="s">
        <v>748</v>
      </c>
      <c r="B622" s="7" t="s">
        <v>749</v>
      </c>
      <c r="C622" s="10" t="s">
        <v>12</v>
      </c>
      <c r="D622" s="11" t="s">
        <v>13</v>
      </c>
      <c r="E622" s="10" t="s">
        <v>13</v>
      </c>
      <c r="F622" s="10" t="s">
        <v>9</v>
      </c>
      <c r="G622" s="10" t="s">
        <v>13</v>
      </c>
      <c r="H622" s="23" t="s">
        <v>13</v>
      </c>
      <c r="I622" t="str">
        <f>VLOOKUP(A622,All!A:A,1,FALSE)</f>
        <v>Rockford (Boylan Catholic)</v>
      </c>
    </row>
    <row r="623" spans="1:9" ht="15.75" thickBot="1" x14ac:dyDescent="0.3">
      <c r="A623" s="18" t="s">
        <v>750</v>
      </c>
      <c r="B623" s="8">
        <v>1597</v>
      </c>
      <c r="C623" s="4" t="s">
        <v>12</v>
      </c>
      <c r="D623" s="4"/>
      <c r="E623" s="4" t="s">
        <v>13</v>
      </c>
      <c r="F623" s="4" t="s">
        <v>13</v>
      </c>
      <c r="G623" s="4" t="s">
        <v>12</v>
      </c>
      <c r="H623" s="19" t="s">
        <v>12</v>
      </c>
      <c r="I623" t="str">
        <f>VLOOKUP(A623,All!A:A,1,FALSE)</f>
        <v>Rockford (East)</v>
      </c>
    </row>
    <row r="624" spans="1:9" ht="15.75" thickBot="1" x14ac:dyDescent="0.3">
      <c r="A624" s="20" t="s">
        <v>751</v>
      </c>
      <c r="B624" s="5">
        <v>2026</v>
      </c>
      <c r="C624" s="6" t="s">
        <v>11</v>
      </c>
      <c r="D624" s="6" t="s">
        <v>11</v>
      </c>
      <c r="E624" s="6" t="s">
        <v>12</v>
      </c>
      <c r="F624" s="6" t="s">
        <v>13</v>
      </c>
      <c r="G624" s="6" t="s">
        <v>12</v>
      </c>
      <c r="H624" s="21" t="s">
        <v>12</v>
      </c>
      <c r="I624" t="str">
        <f>VLOOKUP(A624,All!A:A,1,FALSE)</f>
        <v>Rockford (Guilford)</v>
      </c>
    </row>
    <row r="625" spans="1:9" ht="15.75" thickBot="1" x14ac:dyDescent="0.3">
      <c r="A625" s="25" t="s">
        <v>0</v>
      </c>
      <c r="B625" s="1" t="s">
        <v>1</v>
      </c>
      <c r="C625" s="2" t="s">
        <v>2</v>
      </c>
      <c r="D625" s="2" t="s">
        <v>3</v>
      </c>
      <c r="E625" s="2" t="s">
        <v>4</v>
      </c>
      <c r="F625" s="2" t="s">
        <v>5</v>
      </c>
      <c r="G625" s="2" t="s">
        <v>6</v>
      </c>
      <c r="H625" s="26" t="s">
        <v>7</v>
      </c>
      <c r="I625" t="str">
        <f>VLOOKUP(A625,All!A:A,1,FALSE)</f>
        <v>School</v>
      </c>
    </row>
    <row r="626" spans="1:9" ht="15.75" thickBot="1" x14ac:dyDescent="0.3">
      <c r="A626" s="18" t="s">
        <v>752</v>
      </c>
      <c r="B626" s="8">
        <v>2020</v>
      </c>
      <c r="C626" s="4" t="s">
        <v>11</v>
      </c>
      <c r="D626" s="4" t="s">
        <v>11</v>
      </c>
      <c r="E626" s="4" t="s">
        <v>12</v>
      </c>
      <c r="F626" s="4" t="s">
        <v>13</v>
      </c>
      <c r="G626" s="4" t="s">
        <v>12</v>
      </c>
      <c r="H626" s="19" t="s">
        <v>12</v>
      </c>
      <c r="I626" t="str">
        <f>VLOOKUP(A626,All!A:A,1,FALSE)</f>
        <v>Rockford (Jefferson)</v>
      </c>
    </row>
    <row r="627" spans="1:9" ht="15.75" thickBot="1" x14ac:dyDescent="0.3">
      <c r="A627" s="20" t="s">
        <v>753</v>
      </c>
      <c r="B627" s="7" t="s">
        <v>754</v>
      </c>
      <c r="C627" s="10" t="s">
        <v>13</v>
      </c>
      <c r="D627" s="10" t="s">
        <v>13</v>
      </c>
      <c r="E627" s="10" t="s">
        <v>9</v>
      </c>
      <c r="F627" s="10" t="s">
        <v>9</v>
      </c>
      <c r="G627" s="10" t="s">
        <v>13</v>
      </c>
      <c r="H627" s="23" t="s">
        <v>13</v>
      </c>
      <c r="I627" t="str">
        <f>VLOOKUP(A627,All!A:A,1,FALSE)</f>
        <v>Rockford (Lutheran)</v>
      </c>
    </row>
    <row r="628" spans="1:9" ht="15.75" thickBot="1" x14ac:dyDescent="0.3">
      <c r="A628" s="18" t="s">
        <v>755</v>
      </c>
      <c r="B628" s="3" t="s">
        <v>756</v>
      </c>
      <c r="C628" s="10" t="s">
        <v>13</v>
      </c>
      <c r="D628" s="4"/>
      <c r="E628" s="10" t="s">
        <v>9</v>
      </c>
      <c r="F628" s="10" t="s">
        <v>9</v>
      </c>
      <c r="G628" s="10" t="s">
        <v>9</v>
      </c>
      <c r="H628" s="23" t="s">
        <v>9</v>
      </c>
      <c r="I628" t="str">
        <f>VLOOKUP(A628,All!A:A,1,FALSE)</f>
        <v>Rockford (R. Christian)</v>
      </c>
    </row>
    <row r="629" spans="1:9" ht="15.75" thickBot="1" x14ac:dyDescent="0.3">
      <c r="A629" s="20" t="s">
        <v>757</v>
      </c>
      <c r="B629" s="5">
        <v>1786</v>
      </c>
      <c r="C629" s="6" t="s">
        <v>11</v>
      </c>
      <c r="D629" s="6" t="s">
        <v>11</v>
      </c>
      <c r="E629" s="6" t="s">
        <v>13</v>
      </c>
      <c r="F629" s="6" t="s">
        <v>13</v>
      </c>
      <c r="G629" s="6" t="s">
        <v>12</v>
      </c>
      <c r="H629" s="21" t="s">
        <v>12</v>
      </c>
      <c r="I629" t="str">
        <f>VLOOKUP(A629,All!A:A,1,FALSE)</f>
        <v>Rockton (Hononegah)</v>
      </c>
    </row>
    <row r="630" spans="1:9" ht="15.75" thickBot="1" x14ac:dyDescent="0.3">
      <c r="A630" s="18" t="s">
        <v>758</v>
      </c>
      <c r="B630" s="8">
        <v>1793</v>
      </c>
      <c r="C630" s="4" t="s">
        <v>11</v>
      </c>
      <c r="D630" s="4" t="s">
        <v>11</v>
      </c>
      <c r="E630" s="4" t="s">
        <v>13</v>
      </c>
      <c r="F630" s="4" t="s">
        <v>13</v>
      </c>
      <c r="G630" s="4" t="s">
        <v>12</v>
      </c>
      <c r="H630" s="19" t="s">
        <v>12</v>
      </c>
      <c r="I630" t="str">
        <f>VLOOKUP(A630,All!A:A,1,FALSE)</f>
        <v>Rolling Meadows</v>
      </c>
    </row>
    <row r="631" spans="1:9" ht="15.75" thickBot="1" x14ac:dyDescent="0.3">
      <c r="A631" s="20" t="s">
        <v>759</v>
      </c>
      <c r="B631" s="5">
        <v>1798</v>
      </c>
      <c r="C631" s="6" t="s">
        <v>11</v>
      </c>
      <c r="D631" s="6" t="s">
        <v>11</v>
      </c>
      <c r="E631" s="6" t="s">
        <v>13</v>
      </c>
      <c r="F631" s="6" t="s">
        <v>13</v>
      </c>
      <c r="G631" s="6" t="s">
        <v>12</v>
      </c>
      <c r="H631" s="21" t="s">
        <v>12</v>
      </c>
      <c r="I631" t="str">
        <f>VLOOKUP(A631,All!A:A,1,FALSE)</f>
        <v>Romeoville (H.S.)</v>
      </c>
    </row>
    <row r="632" spans="1:9" ht="15.75" thickBot="1" x14ac:dyDescent="0.3">
      <c r="A632" s="18" t="s">
        <v>760</v>
      </c>
      <c r="B632" s="8">
        <v>2484</v>
      </c>
      <c r="C632" s="4" t="s">
        <v>11</v>
      </c>
      <c r="D632" s="4" t="s">
        <v>11</v>
      </c>
      <c r="E632" s="4" t="s">
        <v>12</v>
      </c>
      <c r="F632" s="4" t="s">
        <v>13</v>
      </c>
      <c r="G632" s="4" t="s">
        <v>12</v>
      </c>
      <c r="H632" s="19" t="s">
        <v>12</v>
      </c>
      <c r="I632" t="str">
        <f>VLOOKUP(A632,All!A:A,1,FALSE)</f>
        <v>Roselle (Lake Park)</v>
      </c>
    </row>
    <row r="633" spans="1:9" ht="15.75" thickBot="1" x14ac:dyDescent="0.3">
      <c r="A633" s="20" t="s">
        <v>761</v>
      </c>
      <c r="B633" s="5">
        <v>2112</v>
      </c>
      <c r="C633" s="6" t="s">
        <v>11</v>
      </c>
      <c r="D633" s="6" t="s">
        <v>11</v>
      </c>
      <c r="E633" s="6" t="s">
        <v>12</v>
      </c>
      <c r="F633" s="6" t="s">
        <v>13</v>
      </c>
      <c r="G633" s="6" t="s">
        <v>12</v>
      </c>
      <c r="H633" s="21" t="s">
        <v>12</v>
      </c>
      <c r="I633" t="str">
        <f>VLOOKUP(A633,All!A:A,1,FALSE)</f>
        <v>Round Lake</v>
      </c>
    </row>
    <row r="634" spans="1:9" ht="15.75" thickBot="1" x14ac:dyDescent="0.3">
      <c r="A634" s="18" t="s">
        <v>762</v>
      </c>
      <c r="B634" s="3">
        <v>492</v>
      </c>
      <c r="C634" s="4" t="s">
        <v>13</v>
      </c>
      <c r="D634" s="4" t="s">
        <v>13</v>
      </c>
      <c r="E634" s="4" t="s">
        <v>9</v>
      </c>
      <c r="F634" s="4" t="s">
        <v>9</v>
      </c>
      <c r="G634" s="4" t="s">
        <v>13</v>
      </c>
      <c r="H634" s="19" t="s">
        <v>13</v>
      </c>
      <c r="I634" t="str">
        <f>VLOOKUP(A634,All!A:A,1,FALSE)</f>
        <v>Roxana</v>
      </c>
    </row>
    <row r="635" spans="1:9" ht="15.75" thickBot="1" x14ac:dyDescent="0.3">
      <c r="A635" s="20" t="s">
        <v>763</v>
      </c>
      <c r="B635" s="7">
        <v>288</v>
      </c>
      <c r="C635" s="6" t="s">
        <v>9</v>
      </c>
      <c r="D635" s="6" t="s">
        <v>9</v>
      </c>
      <c r="E635" s="6"/>
      <c r="F635" s="6"/>
      <c r="G635" s="6" t="s">
        <v>9</v>
      </c>
      <c r="H635" s="21" t="s">
        <v>9</v>
      </c>
      <c r="I635" t="str">
        <f>VLOOKUP(A635,All!A:A,1,FALSE)</f>
        <v>Rushville (R.-Industry)</v>
      </c>
    </row>
    <row r="636" spans="1:9" ht="15.75" thickBot="1" x14ac:dyDescent="0.3">
      <c r="A636" s="18" t="s">
        <v>764</v>
      </c>
      <c r="B636" s="3">
        <v>691</v>
      </c>
      <c r="C636" s="4" t="s">
        <v>13</v>
      </c>
      <c r="D636" s="4" t="s">
        <v>13</v>
      </c>
      <c r="E636" s="4" t="s">
        <v>9</v>
      </c>
      <c r="F636" s="4" t="s">
        <v>9</v>
      </c>
      <c r="G636" s="4" t="s">
        <v>13</v>
      </c>
      <c r="H636" s="19" t="s">
        <v>13</v>
      </c>
      <c r="I636" t="str">
        <f>VLOOKUP(A636,All!A:A,1,FALSE)</f>
        <v>Salem</v>
      </c>
    </row>
    <row r="637" spans="1:9" ht="15.75" thickBot="1" x14ac:dyDescent="0.3">
      <c r="A637" s="20" t="s">
        <v>765</v>
      </c>
      <c r="B637" s="7">
        <v>544</v>
      </c>
      <c r="C637" s="6" t="s">
        <v>13</v>
      </c>
      <c r="D637" s="6" t="s">
        <v>13</v>
      </c>
      <c r="E637" s="6" t="s">
        <v>9</v>
      </c>
      <c r="F637" s="6"/>
      <c r="G637" s="6" t="s">
        <v>13</v>
      </c>
      <c r="H637" s="21" t="s">
        <v>13</v>
      </c>
      <c r="I637" t="str">
        <f>VLOOKUP(A637,All!A:A,1,FALSE)</f>
        <v>Sandwich</v>
      </c>
    </row>
    <row r="638" spans="1:9" ht="15.75" thickBot="1" x14ac:dyDescent="0.3">
      <c r="A638" s="18" t="s">
        <v>766</v>
      </c>
      <c r="B638" s="3">
        <v>68</v>
      </c>
      <c r="C638" s="4"/>
      <c r="D638" s="9" t="s">
        <v>9</v>
      </c>
      <c r="E638" s="4"/>
      <c r="F638" s="4"/>
      <c r="G638" s="4"/>
      <c r="H638" s="19"/>
      <c r="I638" t="str">
        <f>VLOOKUP(A638,All!A:A,1,FALSE)</f>
        <v>Scales Mound</v>
      </c>
    </row>
    <row r="639" spans="1:9" ht="15.75" thickBot="1" x14ac:dyDescent="0.3">
      <c r="A639" s="20" t="s">
        <v>767</v>
      </c>
      <c r="B639" s="5">
        <v>2324</v>
      </c>
      <c r="C639" s="6" t="s">
        <v>11</v>
      </c>
      <c r="D639" s="6" t="s">
        <v>11</v>
      </c>
      <c r="E639" s="6" t="s">
        <v>12</v>
      </c>
      <c r="F639" s="6" t="s">
        <v>13</v>
      </c>
      <c r="G639" s="6" t="s">
        <v>12</v>
      </c>
      <c r="H639" s="21" t="s">
        <v>12</v>
      </c>
      <c r="I639" t="str">
        <f>VLOOKUP(A639,All!A:A,1,FALSE)</f>
        <v>Schaumburg (H.S.)</v>
      </c>
    </row>
    <row r="640" spans="1:9" ht="15.75" thickBot="1" x14ac:dyDescent="0.3">
      <c r="A640" s="18" t="s">
        <v>768</v>
      </c>
      <c r="B640" s="3" t="s">
        <v>74</v>
      </c>
      <c r="C640" s="10" t="s">
        <v>9</v>
      </c>
      <c r="D640" s="4"/>
      <c r="E640" s="10" t="s">
        <v>9</v>
      </c>
      <c r="F640" s="4"/>
      <c r="G640" s="10" t="s">
        <v>9</v>
      </c>
      <c r="H640" s="23" t="s">
        <v>9</v>
      </c>
      <c r="I640" t="str">
        <f>VLOOKUP(A640,All!A:A,1,FALSE)</f>
        <v>Schaumburg (S. Christian)</v>
      </c>
    </row>
    <row r="641" spans="1:9" ht="15.75" thickBot="1" x14ac:dyDescent="0.3">
      <c r="A641" s="20" t="s">
        <v>769</v>
      </c>
      <c r="B641" s="7">
        <v>372</v>
      </c>
      <c r="C641" s="6" t="s">
        <v>13</v>
      </c>
      <c r="D641" s="6" t="s">
        <v>13</v>
      </c>
      <c r="E641" s="6"/>
      <c r="F641" s="6"/>
      <c r="G641" s="6" t="s">
        <v>9</v>
      </c>
      <c r="H641" s="21" t="s">
        <v>9</v>
      </c>
      <c r="I641" t="str">
        <f>VLOOKUP(A641,All!A:A,1,FALSE)</f>
        <v>Seneca</v>
      </c>
    </row>
    <row r="642" spans="1:9" ht="15.75" thickBot="1" x14ac:dyDescent="0.3">
      <c r="A642" s="18" t="s">
        <v>770</v>
      </c>
      <c r="B642" s="3">
        <v>156</v>
      </c>
      <c r="C642" s="4" t="s">
        <v>9</v>
      </c>
      <c r="D642" s="4" t="s">
        <v>9</v>
      </c>
      <c r="E642" s="9" t="s">
        <v>9</v>
      </c>
      <c r="F642" s="4"/>
      <c r="G642" s="4" t="s">
        <v>9</v>
      </c>
      <c r="H642" s="19" t="s">
        <v>9</v>
      </c>
      <c r="I642" t="str">
        <f>VLOOKUP(A642,All!A:A,1,FALSE)</f>
        <v>Serena</v>
      </c>
    </row>
    <row r="643" spans="1:9" ht="15.75" thickBot="1" x14ac:dyDescent="0.3">
      <c r="A643" s="20" t="s">
        <v>771</v>
      </c>
      <c r="B643" s="7">
        <v>171</v>
      </c>
      <c r="C643" s="6"/>
      <c r="D643" s="6"/>
      <c r="E643" s="6"/>
      <c r="F643" s="6"/>
      <c r="G643" s="9" t="s">
        <v>9</v>
      </c>
      <c r="H643" s="22" t="s">
        <v>9</v>
      </c>
      <c r="I643" t="str">
        <f>VLOOKUP(A643,All!A:A,1,FALSE)</f>
        <v>Sesser (S.-Valier)</v>
      </c>
    </row>
    <row r="644" spans="1:9" ht="15.75" thickBot="1" x14ac:dyDescent="0.3">
      <c r="A644" s="18" t="s">
        <v>772</v>
      </c>
      <c r="B644" s="3">
        <v>260</v>
      </c>
      <c r="C644" s="4" t="s">
        <v>9</v>
      </c>
      <c r="D644" s="4" t="s">
        <v>9</v>
      </c>
      <c r="E644" s="4" t="s">
        <v>9</v>
      </c>
      <c r="F644" s="4"/>
      <c r="G644" s="4" t="s">
        <v>9</v>
      </c>
      <c r="H644" s="19" t="s">
        <v>9</v>
      </c>
      <c r="I644" t="str">
        <f>VLOOKUP(A644,All!A:A,1,FALSE)</f>
        <v>Shabbona (Indian Creek)</v>
      </c>
    </row>
    <row r="645" spans="1:9" ht="15.75" thickBot="1" x14ac:dyDescent="0.3">
      <c r="A645" s="20" t="s">
        <v>773</v>
      </c>
      <c r="B645" s="7">
        <v>343</v>
      </c>
      <c r="C645" s="6" t="s">
        <v>13</v>
      </c>
      <c r="D645" s="6" t="s">
        <v>13</v>
      </c>
      <c r="E645" s="6"/>
      <c r="F645" s="6" t="s">
        <v>9</v>
      </c>
      <c r="G645" s="6" t="s">
        <v>9</v>
      </c>
      <c r="H645" s="21" t="s">
        <v>9</v>
      </c>
      <c r="I645" t="str">
        <f>VLOOKUP(A645,All!A:A,1,FALSE)</f>
        <v>Shelbyville</v>
      </c>
    </row>
    <row r="646" spans="1:9" ht="15.75" thickBot="1" x14ac:dyDescent="0.3">
      <c r="A646" s="18" t="s">
        <v>774</v>
      </c>
      <c r="B646" s="3">
        <v>441</v>
      </c>
      <c r="C646" s="4" t="s">
        <v>13</v>
      </c>
      <c r="D646" s="4" t="s">
        <v>13</v>
      </c>
      <c r="E646" s="4"/>
      <c r="F646" s="4"/>
      <c r="G646" s="4" t="s">
        <v>9</v>
      </c>
      <c r="H646" s="19" t="s">
        <v>9</v>
      </c>
      <c r="I646" t="str">
        <f>VLOOKUP(A646,All!A:A,1,FALSE)</f>
        <v>Sherrard</v>
      </c>
    </row>
    <row r="647" spans="1:9" ht="15.75" thickBot="1" x14ac:dyDescent="0.3">
      <c r="A647" s="20" t="s">
        <v>775</v>
      </c>
      <c r="B647" s="7" t="s">
        <v>776</v>
      </c>
      <c r="C647" s="10" t="s">
        <v>13</v>
      </c>
      <c r="D647" s="6"/>
      <c r="E647" s="10" t="s">
        <v>9</v>
      </c>
      <c r="F647" s="6"/>
      <c r="G647" s="6"/>
      <c r="H647" s="21"/>
      <c r="I647" t="str">
        <f>VLOOKUP(A647,All!A:A,1,FALSE)</f>
        <v>Skokie (Ida Crown)</v>
      </c>
    </row>
    <row r="648" spans="1:9" ht="15.75" thickBot="1" x14ac:dyDescent="0.3">
      <c r="A648" s="18" t="s">
        <v>777</v>
      </c>
      <c r="B648" s="8">
        <v>1908</v>
      </c>
      <c r="C648" s="4" t="s">
        <v>11</v>
      </c>
      <c r="D648" s="4" t="s">
        <v>11</v>
      </c>
      <c r="E648" s="4" t="s">
        <v>12</v>
      </c>
      <c r="F648" s="4" t="s">
        <v>13</v>
      </c>
      <c r="G648" s="4" t="s">
        <v>12</v>
      </c>
      <c r="H648" s="19" t="s">
        <v>12</v>
      </c>
      <c r="I648" t="str">
        <f>VLOOKUP(A648,All!A:A,1,FALSE)</f>
        <v>Skokie (Niles North)</v>
      </c>
    </row>
    <row r="649" spans="1:9" ht="15.75" thickBot="1" x14ac:dyDescent="0.3">
      <c r="A649" s="20" t="s">
        <v>778</v>
      </c>
      <c r="B649" s="5">
        <v>2550</v>
      </c>
      <c r="C649" s="6" t="s">
        <v>11</v>
      </c>
      <c r="D649" s="6" t="s">
        <v>11</v>
      </c>
      <c r="E649" s="6" t="s">
        <v>12</v>
      </c>
      <c r="F649" s="6" t="s">
        <v>13</v>
      </c>
      <c r="G649" s="6" t="s">
        <v>12</v>
      </c>
      <c r="H649" s="21" t="s">
        <v>12</v>
      </c>
      <c r="I649" t="str">
        <f>VLOOKUP(A649,All!A:A,1,FALSE)</f>
        <v>Skokie (Niles West)</v>
      </c>
    </row>
    <row r="650" spans="1:9" ht="15.75" thickBot="1" x14ac:dyDescent="0.3">
      <c r="A650" s="18" t="s">
        <v>779</v>
      </c>
      <c r="B650" s="3" t="s">
        <v>780</v>
      </c>
      <c r="C650" s="10" t="s">
        <v>13</v>
      </c>
      <c r="D650" s="4"/>
      <c r="E650" s="4"/>
      <c r="F650" s="4"/>
      <c r="G650" s="4"/>
      <c r="H650" s="19"/>
      <c r="I650" t="str">
        <f>VLOOKUP(A650,All!A:A,1,FALSE)</f>
        <v>Skokie (Yeshiva)</v>
      </c>
    </row>
    <row r="651" spans="1:9" ht="15.75" thickBot="1" x14ac:dyDescent="0.3">
      <c r="A651" s="25" t="s">
        <v>0</v>
      </c>
      <c r="B651" s="1" t="s">
        <v>1</v>
      </c>
      <c r="C651" s="2" t="s">
        <v>2</v>
      </c>
      <c r="D651" s="2" t="s">
        <v>3</v>
      </c>
      <c r="E651" s="2" t="s">
        <v>4</v>
      </c>
      <c r="F651" s="2" t="s">
        <v>5</v>
      </c>
      <c r="G651" s="2" t="s">
        <v>6</v>
      </c>
      <c r="H651" s="26" t="s">
        <v>7</v>
      </c>
      <c r="I651" t="str">
        <f>VLOOKUP(A651,All!A:A,1,FALSE)</f>
        <v>School</v>
      </c>
    </row>
    <row r="652" spans="1:9" ht="15.75" thickBot="1" x14ac:dyDescent="0.3">
      <c r="A652" s="20" t="s">
        <v>781</v>
      </c>
      <c r="B652" s="7">
        <v>236</v>
      </c>
      <c r="C652" s="6" t="s">
        <v>9</v>
      </c>
      <c r="D652" s="9" t="s">
        <v>13</v>
      </c>
      <c r="E652" s="6"/>
      <c r="F652" s="6"/>
      <c r="G652" s="9" t="s">
        <v>9</v>
      </c>
      <c r="H652" s="22" t="s">
        <v>9</v>
      </c>
      <c r="I652" t="str">
        <f>VLOOKUP(A652,All!A:A,1,FALSE)</f>
        <v>Somonauk</v>
      </c>
    </row>
    <row r="653" spans="1:9" ht="15.75" thickBot="1" x14ac:dyDescent="0.3">
      <c r="A653" s="18" t="s">
        <v>782</v>
      </c>
      <c r="B653" s="3">
        <v>238</v>
      </c>
      <c r="C653" s="4" t="s">
        <v>9</v>
      </c>
      <c r="D653" s="4" t="s">
        <v>9</v>
      </c>
      <c r="E653" s="4"/>
      <c r="F653" s="4"/>
      <c r="G653" s="4" t="s">
        <v>9</v>
      </c>
      <c r="H653" s="19" t="s">
        <v>9</v>
      </c>
      <c r="I653" t="str">
        <f>VLOOKUP(A653,All!A:A,1,FALSE)</f>
        <v>South Beloit</v>
      </c>
    </row>
    <row r="654" spans="1:9" ht="15.75" thickBot="1" x14ac:dyDescent="0.3">
      <c r="A654" s="20" t="s">
        <v>783</v>
      </c>
      <c r="B654" s="5">
        <v>2711</v>
      </c>
      <c r="C654" s="6" t="s">
        <v>11</v>
      </c>
      <c r="D654" s="6" t="s">
        <v>11</v>
      </c>
      <c r="E654" s="6" t="s">
        <v>12</v>
      </c>
      <c r="F654" s="6" t="s">
        <v>13</v>
      </c>
      <c r="G654" s="6" t="s">
        <v>12</v>
      </c>
      <c r="H654" s="21" t="s">
        <v>12</v>
      </c>
      <c r="I654" t="str">
        <f>VLOOKUP(A654,All!A:A,1,FALSE)</f>
        <v>South Elgin</v>
      </c>
    </row>
    <row r="655" spans="1:9" ht="15.75" thickBot="1" x14ac:dyDescent="0.3">
      <c r="A655" s="18" t="s">
        <v>784</v>
      </c>
      <c r="B655" s="8">
        <v>1691</v>
      </c>
      <c r="C655" s="4" t="s">
        <v>11</v>
      </c>
      <c r="D655" s="4" t="s">
        <v>11</v>
      </c>
      <c r="E655" s="9" t="s">
        <v>12</v>
      </c>
      <c r="F655" s="9" t="s">
        <v>13</v>
      </c>
      <c r="G655" s="4" t="s">
        <v>12</v>
      </c>
      <c r="H655" s="19" t="s">
        <v>12</v>
      </c>
      <c r="I655" t="str">
        <f>VLOOKUP(A655,All!A:A,1,FALSE)</f>
        <v>South Holland (Thornwood)</v>
      </c>
    </row>
    <row r="656" spans="1:9" ht="15.75" thickBot="1" x14ac:dyDescent="0.3">
      <c r="A656" s="20" t="s">
        <v>785</v>
      </c>
      <c r="B656" s="7" t="s">
        <v>786</v>
      </c>
      <c r="C656" s="6"/>
      <c r="D656" s="6"/>
      <c r="E656" s="6"/>
      <c r="F656" s="6"/>
      <c r="G656" s="10" t="s">
        <v>9</v>
      </c>
      <c r="H656" s="23" t="s">
        <v>9</v>
      </c>
      <c r="I656" t="str">
        <f>VLOOKUP(A656,All!A:A,1,FALSE)</f>
        <v>South Holland (Unity Christian Academy)</v>
      </c>
    </row>
    <row r="657" spans="1:9" ht="15.75" thickBot="1" x14ac:dyDescent="0.3">
      <c r="A657" s="18" t="s">
        <v>787</v>
      </c>
      <c r="B657" s="3">
        <v>293</v>
      </c>
      <c r="C657" s="4" t="s">
        <v>9</v>
      </c>
      <c r="D657" s="4" t="s">
        <v>9</v>
      </c>
      <c r="E657" s="4"/>
      <c r="F657" s="4"/>
      <c r="G657" s="4" t="s">
        <v>9</v>
      </c>
      <c r="H657" s="19" t="s">
        <v>9</v>
      </c>
      <c r="I657" t="str">
        <f>VLOOKUP(A657,All!A:A,1,FALSE)</f>
        <v>Sparta</v>
      </c>
    </row>
    <row r="658" spans="1:9" ht="15.75" thickBot="1" x14ac:dyDescent="0.3">
      <c r="A658" s="20" t="s">
        <v>788</v>
      </c>
      <c r="B658" s="7">
        <v>382</v>
      </c>
      <c r="C658" s="6" t="s">
        <v>13</v>
      </c>
      <c r="D658" s="6" t="s">
        <v>13</v>
      </c>
      <c r="E658" s="6"/>
      <c r="F658" s="6"/>
      <c r="G658" s="6" t="s">
        <v>9</v>
      </c>
      <c r="H658" s="21" t="s">
        <v>9</v>
      </c>
      <c r="I658" t="str">
        <f>VLOOKUP(A658,All!A:A,1,FALSE)</f>
        <v>Spring Valley (Hall)</v>
      </c>
    </row>
    <row r="659" spans="1:9" ht="15.75" thickBot="1" x14ac:dyDescent="0.3">
      <c r="A659" s="18" t="s">
        <v>789</v>
      </c>
      <c r="B659" s="8">
        <v>1267</v>
      </c>
      <c r="C659" s="4" t="s">
        <v>12</v>
      </c>
      <c r="D659" s="9" t="s">
        <v>11</v>
      </c>
      <c r="E659" s="4" t="s">
        <v>13</v>
      </c>
      <c r="F659" s="4" t="s">
        <v>9</v>
      </c>
      <c r="G659" s="4" t="s">
        <v>12</v>
      </c>
      <c r="H659" s="19" t="s">
        <v>12</v>
      </c>
      <c r="I659" t="str">
        <f>VLOOKUP(A659,All!A:A,1,FALSE)</f>
        <v>Springfield (H.S.)</v>
      </c>
    </row>
    <row r="660" spans="1:9" ht="15.75" thickBot="1" x14ac:dyDescent="0.3">
      <c r="A660" s="20" t="s">
        <v>790</v>
      </c>
      <c r="B660" s="5">
        <v>1050</v>
      </c>
      <c r="C660" s="6" t="s">
        <v>12</v>
      </c>
      <c r="D660" s="6"/>
      <c r="E660" s="6"/>
      <c r="F660" s="6"/>
      <c r="G660" s="6" t="s">
        <v>13</v>
      </c>
      <c r="H660" s="21" t="s">
        <v>13</v>
      </c>
      <c r="I660" t="str">
        <f>VLOOKUP(A660,All!A:A,1,FALSE)</f>
        <v>Springfield (Lanphier)</v>
      </c>
    </row>
    <row r="661" spans="1:9" ht="15.75" thickBot="1" x14ac:dyDescent="0.3">
      <c r="A661" s="18" t="s">
        <v>791</v>
      </c>
      <c r="B661" s="3" t="s">
        <v>792</v>
      </c>
      <c r="C661" s="9" t="s">
        <v>9</v>
      </c>
      <c r="D661" s="4"/>
      <c r="E661" s="9" t="s">
        <v>9</v>
      </c>
      <c r="F661" s="4"/>
      <c r="G661" s="9" t="s">
        <v>9</v>
      </c>
      <c r="H661" s="22" t="s">
        <v>9</v>
      </c>
      <c r="I661" t="str">
        <f>VLOOKUP(A661,All!A:A,1,FALSE)</f>
        <v>Springfield (Lutheran)</v>
      </c>
    </row>
    <row r="662" spans="1:9" ht="15.75" thickBot="1" x14ac:dyDescent="0.3">
      <c r="A662" s="20" t="s">
        <v>793</v>
      </c>
      <c r="B662" s="7" t="s">
        <v>276</v>
      </c>
      <c r="C662" s="10" t="s">
        <v>12</v>
      </c>
      <c r="D662" s="11" t="s">
        <v>13</v>
      </c>
      <c r="E662" s="10" t="s">
        <v>13</v>
      </c>
      <c r="F662" s="10" t="s">
        <v>9</v>
      </c>
      <c r="G662" s="10" t="s">
        <v>13</v>
      </c>
      <c r="H662" s="23" t="s">
        <v>13</v>
      </c>
      <c r="I662" t="str">
        <f>VLOOKUP(A662,All!A:A,1,FALSE)</f>
        <v>Springfield (Sacred Heart-Griffin)</v>
      </c>
    </row>
    <row r="663" spans="1:9" ht="15.75" thickBot="1" x14ac:dyDescent="0.3">
      <c r="A663" s="18" t="s">
        <v>794</v>
      </c>
      <c r="B663" s="8">
        <v>1160</v>
      </c>
      <c r="C663" s="4" t="s">
        <v>12</v>
      </c>
      <c r="D663" s="4"/>
      <c r="E663" s="9" t="s">
        <v>12</v>
      </c>
      <c r="F663" s="4"/>
      <c r="G663" s="4" t="s">
        <v>13</v>
      </c>
      <c r="H663" s="19" t="s">
        <v>13</v>
      </c>
      <c r="I663" t="str">
        <f>VLOOKUP(A663,All!A:A,1,FALSE)</f>
        <v>Springfield (Southeast)</v>
      </c>
    </row>
    <row r="664" spans="1:9" ht="15.75" thickBot="1" x14ac:dyDescent="0.3">
      <c r="A664" s="20" t="s">
        <v>795</v>
      </c>
      <c r="B664" s="7">
        <v>196</v>
      </c>
      <c r="C664" s="9" t="s">
        <v>9</v>
      </c>
      <c r="D664" s="6" t="s">
        <v>9</v>
      </c>
      <c r="E664" s="6"/>
      <c r="F664" s="6"/>
      <c r="G664" s="9" t="s">
        <v>9</v>
      </c>
      <c r="H664" s="22" t="s">
        <v>9</v>
      </c>
      <c r="I664" t="str">
        <f>VLOOKUP(A664,All!A:A,1,FALSE)</f>
        <v>St. Anne</v>
      </c>
    </row>
    <row r="665" spans="1:9" ht="15.75" thickBot="1" x14ac:dyDescent="0.3">
      <c r="A665" s="18" t="s">
        <v>796</v>
      </c>
      <c r="B665" s="8">
        <v>1865</v>
      </c>
      <c r="C665" s="4" t="s">
        <v>11</v>
      </c>
      <c r="D665" s="4" t="s">
        <v>11</v>
      </c>
      <c r="E665" s="4" t="s">
        <v>12</v>
      </c>
      <c r="F665" s="4" t="s">
        <v>13</v>
      </c>
      <c r="G665" s="4" t="s">
        <v>12</v>
      </c>
      <c r="H665" s="19" t="s">
        <v>12</v>
      </c>
      <c r="I665" t="str">
        <f>VLOOKUP(A665,All!A:A,1,FALSE)</f>
        <v>St. Charles (East)</v>
      </c>
    </row>
    <row r="666" spans="1:9" ht="15.75" thickBot="1" x14ac:dyDescent="0.3">
      <c r="A666" s="20" t="s">
        <v>797</v>
      </c>
      <c r="B666" s="5">
        <v>1851</v>
      </c>
      <c r="C666" s="6" t="s">
        <v>11</v>
      </c>
      <c r="D666" s="6" t="s">
        <v>11</v>
      </c>
      <c r="E666" s="6" t="s">
        <v>12</v>
      </c>
      <c r="F666" s="6" t="s">
        <v>13</v>
      </c>
      <c r="G666" s="6" t="s">
        <v>12</v>
      </c>
      <c r="H666" s="21" t="s">
        <v>12</v>
      </c>
      <c r="I666" t="str">
        <f>VLOOKUP(A666,All!A:A,1,FALSE)</f>
        <v>St. Charles (North)</v>
      </c>
    </row>
    <row r="667" spans="1:9" ht="15.75" thickBot="1" x14ac:dyDescent="0.3">
      <c r="A667" s="18" t="s">
        <v>798</v>
      </c>
      <c r="B667" s="3">
        <v>105</v>
      </c>
      <c r="C667" s="4"/>
      <c r="D667" s="9" t="s">
        <v>9</v>
      </c>
      <c r="E667" s="4"/>
      <c r="F667" s="4"/>
      <c r="G667" s="4"/>
      <c r="H667" s="19"/>
      <c r="I667" t="str">
        <f>VLOOKUP(A667,All!A:A,1,FALSE)</f>
        <v>St. Elmo</v>
      </c>
    </row>
    <row r="668" spans="1:9" ht="15.75" thickBot="1" x14ac:dyDescent="0.3">
      <c r="A668" s="20" t="s">
        <v>799</v>
      </c>
      <c r="B668" s="7">
        <v>453</v>
      </c>
      <c r="C668" s="6" t="s">
        <v>13</v>
      </c>
      <c r="D668" s="6" t="s">
        <v>13</v>
      </c>
      <c r="E668" s="6"/>
      <c r="F668" s="6"/>
      <c r="G668" s="6" t="s">
        <v>13</v>
      </c>
      <c r="H668" s="21" t="s">
        <v>13</v>
      </c>
      <c r="I668" t="str">
        <f>VLOOKUP(A668,All!A:A,1,FALSE)</f>
        <v>St. Joseph (S.J.-Ogden)</v>
      </c>
    </row>
    <row r="669" spans="1:9" ht="15.75" thickBot="1" x14ac:dyDescent="0.3">
      <c r="A669" s="18" t="s">
        <v>800</v>
      </c>
      <c r="B669" s="3">
        <v>491</v>
      </c>
      <c r="C669" s="4" t="s">
        <v>13</v>
      </c>
      <c r="D669" s="4" t="s">
        <v>13</v>
      </c>
      <c r="E669" s="4" t="s">
        <v>9</v>
      </c>
      <c r="F669" s="4"/>
      <c r="G669" s="4" t="s">
        <v>13</v>
      </c>
      <c r="H669" s="19" t="s">
        <v>13</v>
      </c>
      <c r="I669" t="str">
        <f>VLOOKUP(A669,All!A:A,1,FALSE)</f>
        <v>Stanford (Olympia)</v>
      </c>
    </row>
    <row r="670" spans="1:9" ht="15.75" thickBot="1" x14ac:dyDescent="0.3">
      <c r="A670" s="20" t="s">
        <v>801</v>
      </c>
      <c r="B670" s="7">
        <v>369</v>
      </c>
      <c r="C670" s="6" t="s">
        <v>13</v>
      </c>
      <c r="D670" s="9" t="s">
        <v>13</v>
      </c>
      <c r="E670" s="9" t="s">
        <v>9</v>
      </c>
      <c r="F670" s="6"/>
      <c r="G670" s="6" t="s">
        <v>9</v>
      </c>
      <c r="H670" s="21" t="s">
        <v>9</v>
      </c>
      <c r="I670" t="str">
        <f>VLOOKUP(A670,All!A:A,1,FALSE)</f>
        <v>Staunton</v>
      </c>
    </row>
    <row r="671" spans="1:9" ht="15.75" thickBot="1" x14ac:dyDescent="0.3">
      <c r="A671" s="18" t="s">
        <v>802</v>
      </c>
      <c r="B671" s="3">
        <v>144</v>
      </c>
      <c r="C671" s="4" t="s">
        <v>9</v>
      </c>
      <c r="D671" s="4" t="s">
        <v>9</v>
      </c>
      <c r="E671" s="4"/>
      <c r="F671" s="4"/>
      <c r="G671" s="4" t="s">
        <v>9</v>
      </c>
      <c r="H671" s="19" t="s">
        <v>9</v>
      </c>
      <c r="I671" t="str">
        <f>VLOOKUP(A671,All!A:A,1,FALSE)</f>
        <v>Steeleville</v>
      </c>
    </row>
    <row r="672" spans="1:9" ht="15.75" thickBot="1" x14ac:dyDescent="0.3">
      <c r="A672" s="20" t="s">
        <v>803</v>
      </c>
      <c r="B672" s="7">
        <v>944</v>
      </c>
      <c r="C672" s="6" t="s">
        <v>12</v>
      </c>
      <c r="D672" s="6" t="s">
        <v>12</v>
      </c>
      <c r="E672" s="6" t="s">
        <v>13</v>
      </c>
      <c r="F672" s="6" t="s">
        <v>9</v>
      </c>
      <c r="G672" s="6" t="s">
        <v>13</v>
      </c>
      <c r="H672" s="21" t="s">
        <v>13</v>
      </c>
      <c r="I672" t="str">
        <f>VLOOKUP(A672,All!A:A,1,FALSE)</f>
        <v>Sterling (H.S.)</v>
      </c>
    </row>
    <row r="673" spans="1:9" ht="15.75" thickBot="1" x14ac:dyDescent="0.3">
      <c r="A673" s="18" t="s">
        <v>804</v>
      </c>
      <c r="B673" s="3" t="s">
        <v>805</v>
      </c>
      <c r="C673" s="12" t="s">
        <v>12</v>
      </c>
      <c r="D673" s="11" t="s">
        <v>9</v>
      </c>
      <c r="E673" s="4"/>
      <c r="F673" s="10" t="s">
        <v>9</v>
      </c>
      <c r="G673" s="10" t="s">
        <v>9</v>
      </c>
      <c r="H673" s="23" t="s">
        <v>9</v>
      </c>
      <c r="I673" t="str">
        <f>VLOOKUP(A673,All!A:A,1,FALSE)</f>
        <v>Sterling (Newman Central Catholic)</v>
      </c>
    </row>
    <row r="674" spans="1:9" ht="15.75" thickBot="1" x14ac:dyDescent="0.3">
      <c r="A674" s="20" t="s">
        <v>806</v>
      </c>
      <c r="B674" s="7">
        <v>419</v>
      </c>
      <c r="C674" s="6" t="s">
        <v>13</v>
      </c>
      <c r="D674" s="6" t="s">
        <v>13</v>
      </c>
      <c r="E674" s="6" t="s">
        <v>9</v>
      </c>
      <c r="F674" s="6"/>
      <c r="G674" s="6" t="s">
        <v>9</v>
      </c>
      <c r="H674" s="21" t="s">
        <v>9</v>
      </c>
      <c r="I674" t="str">
        <f>VLOOKUP(A674,All!A:A,1,FALSE)</f>
        <v>Stillman Valley</v>
      </c>
    </row>
    <row r="675" spans="1:9" ht="15.75" thickBot="1" x14ac:dyDescent="0.3">
      <c r="A675" s="18" t="s">
        <v>807</v>
      </c>
      <c r="B675" s="3">
        <v>165</v>
      </c>
      <c r="C675" s="4"/>
      <c r="D675" s="9" t="s">
        <v>9</v>
      </c>
      <c r="E675" s="4"/>
      <c r="F675" s="4"/>
      <c r="G675" s="9" t="s">
        <v>9</v>
      </c>
      <c r="H675" s="22" t="s">
        <v>9</v>
      </c>
      <c r="I675" t="str">
        <f>VLOOKUP(A675,All!A:A,1,FALSE)</f>
        <v>Stockton</v>
      </c>
    </row>
    <row r="676" spans="1:9" ht="15.75" thickBot="1" x14ac:dyDescent="0.3">
      <c r="A676" s="20" t="s">
        <v>808</v>
      </c>
      <c r="B676" s="7">
        <v>140</v>
      </c>
      <c r="C676" s="9" t="s">
        <v>9</v>
      </c>
      <c r="D676" s="6"/>
      <c r="E676" s="6"/>
      <c r="F676" s="6"/>
      <c r="G676" s="9" t="s">
        <v>9</v>
      </c>
      <c r="H676" s="22" t="s">
        <v>9</v>
      </c>
      <c r="I676" t="str">
        <f>VLOOKUP(A676,All!A:A,1,FALSE)</f>
        <v>Strasburg (Stewardson-S.)</v>
      </c>
    </row>
    <row r="677" spans="1:9" ht="15.75" thickBot="1" x14ac:dyDescent="0.3">
      <c r="A677" s="25" t="s">
        <v>0</v>
      </c>
      <c r="B677" s="1" t="s">
        <v>1</v>
      </c>
      <c r="C677" s="2" t="s">
        <v>2</v>
      </c>
      <c r="D677" s="2" t="s">
        <v>3</v>
      </c>
      <c r="E677" s="2" t="s">
        <v>4</v>
      </c>
      <c r="F677" s="2" t="s">
        <v>5</v>
      </c>
      <c r="G677" s="2" t="s">
        <v>6</v>
      </c>
      <c r="H677" s="26" t="s">
        <v>7</v>
      </c>
      <c r="I677" t="str">
        <f>VLOOKUP(A677,All!A:A,1,FALSE)</f>
        <v>School</v>
      </c>
    </row>
    <row r="678" spans="1:9" ht="15.75" thickBot="1" x14ac:dyDescent="0.3">
      <c r="A678" s="18" t="s">
        <v>809</v>
      </c>
      <c r="B678" s="8">
        <v>1598</v>
      </c>
      <c r="C678" s="4" t="s">
        <v>12</v>
      </c>
      <c r="D678" s="4" t="s">
        <v>12</v>
      </c>
      <c r="E678" s="4" t="s">
        <v>13</v>
      </c>
      <c r="F678" s="4" t="s">
        <v>13</v>
      </c>
      <c r="G678" s="4" t="s">
        <v>12</v>
      </c>
      <c r="H678" s="19" t="s">
        <v>12</v>
      </c>
      <c r="I678" t="str">
        <f>VLOOKUP(A678,All!A:A,1,FALSE)</f>
        <v>Streamwood</v>
      </c>
    </row>
    <row r="679" spans="1:9" ht="15.75" thickBot="1" x14ac:dyDescent="0.3">
      <c r="A679" s="20" t="s">
        <v>810</v>
      </c>
      <c r="B679" s="7">
        <v>742</v>
      </c>
      <c r="C679" s="6" t="s">
        <v>12</v>
      </c>
      <c r="D679" s="6" t="s">
        <v>12</v>
      </c>
      <c r="E679" s="9" t="s">
        <v>13</v>
      </c>
      <c r="F679" s="6" t="s">
        <v>9</v>
      </c>
      <c r="G679" s="6" t="s">
        <v>13</v>
      </c>
      <c r="H679" s="21" t="s">
        <v>13</v>
      </c>
      <c r="I679" t="str">
        <f>VLOOKUP(A679,All!A:A,1,FALSE)</f>
        <v>Streator (Twp.)</v>
      </c>
    </row>
    <row r="680" spans="1:9" ht="15.75" thickBot="1" x14ac:dyDescent="0.3">
      <c r="A680" s="18" t="s">
        <v>811</v>
      </c>
      <c r="B680" s="3">
        <v>133</v>
      </c>
      <c r="C680" s="9" t="s">
        <v>9</v>
      </c>
      <c r="D680" s="9" t="s">
        <v>9</v>
      </c>
      <c r="E680" s="4"/>
      <c r="F680" s="4"/>
      <c r="G680" s="4"/>
      <c r="H680" s="19"/>
      <c r="I680" t="str">
        <f>VLOOKUP(A680,All!A:A,1,FALSE)</f>
        <v>Streator (Woodland)</v>
      </c>
    </row>
    <row r="681" spans="1:9" ht="15.75" thickBot="1" x14ac:dyDescent="0.3">
      <c r="A681" s="20" t="s">
        <v>812</v>
      </c>
      <c r="B681" s="7">
        <v>310</v>
      </c>
      <c r="C681" s="6" t="s">
        <v>13</v>
      </c>
      <c r="D681" s="6" t="s">
        <v>13</v>
      </c>
      <c r="E681" s="6"/>
      <c r="F681" s="6"/>
      <c r="G681" s="6" t="s">
        <v>9</v>
      </c>
      <c r="H681" s="21" t="s">
        <v>9</v>
      </c>
      <c r="I681" t="str">
        <f>VLOOKUP(A681,All!A:A,1,FALSE)</f>
        <v>Sullivan</v>
      </c>
    </row>
    <row r="682" spans="1:9" ht="15.75" thickBot="1" x14ac:dyDescent="0.3">
      <c r="A682" s="18" t="s">
        <v>813</v>
      </c>
      <c r="B682" s="8">
        <v>1740</v>
      </c>
      <c r="C682" s="4" t="s">
        <v>11</v>
      </c>
      <c r="D682" s="4" t="s">
        <v>11</v>
      </c>
      <c r="E682" s="4" t="s">
        <v>13</v>
      </c>
      <c r="F682" s="4" t="s">
        <v>13</v>
      </c>
      <c r="G682" s="4" t="s">
        <v>12</v>
      </c>
      <c r="H682" s="19" t="s">
        <v>12</v>
      </c>
      <c r="I682" t="str">
        <f>VLOOKUP(A682,All!A:A,1,FALSE)</f>
        <v>Summit (Argo)</v>
      </c>
    </row>
    <row r="683" spans="1:9" ht="15.75" thickBot="1" x14ac:dyDescent="0.3">
      <c r="A683" s="20" t="s">
        <v>814</v>
      </c>
      <c r="B683" s="5">
        <v>1121</v>
      </c>
      <c r="C683" s="6" t="s">
        <v>12</v>
      </c>
      <c r="D683" s="6" t="s">
        <v>12</v>
      </c>
      <c r="E683" s="6" t="s">
        <v>13</v>
      </c>
      <c r="F683" s="6" t="s">
        <v>9</v>
      </c>
      <c r="G683" s="6" t="s">
        <v>13</v>
      </c>
      <c r="H683" s="21" t="s">
        <v>13</v>
      </c>
      <c r="I683" t="str">
        <f>VLOOKUP(A683,All!A:A,1,FALSE)</f>
        <v>Sycamore (H.S.)</v>
      </c>
    </row>
    <row r="684" spans="1:9" ht="15.75" thickBot="1" x14ac:dyDescent="0.3">
      <c r="A684" s="18" t="s">
        <v>815</v>
      </c>
      <c r="B684" s="3">
        <v>82</v>
      </c>
      <c r="C684" s="4"/>
      <c r="D684" s="4" t="s">
        <v>9</v>
      </c>
      <c r="E684" s="4"/>
      <c r="F684" s="4"/>
      <c r="G684" s="4" t="s">
        <v>9</v>
      </c>
      <c r="H684" s="19" t="s">
        <v>9</v>
      </c>
      <c r="I684" t="str">
        <f>VLOOKUP(A684,All!A:A,1,FALSE)</f>
        <v>Tamms (Egyptian)</v>
      </c>
    </row>
    <row r="685" spans="1:9" ht="15.75" thickBot="1" x14ac:dyDescent="0.3">
      <c r="A685" s="20" t="s">
        <v>816</v>
      </c>
      <c r="B685" s="7">
        <v>322</v>
      </c>
      <c r="C685" s="6" t="s">
        <v>13</v>
      </c>
      <c r="D685" s="6" t="s">
        <v>13</v>
      </c>
      <c r="E685" s="6"/>
      <c r="F685" s="6"/>
      <c r="G685" s="6" t="s">
        <v>9</v>
      </c>
      <c r="H685" s="21" t="s">
        <v>9</v>
      </c>
      <c r="I685" t="str">
        <f>VLOOKUP(A685,All!A:A,1,FALSE)</f>
        <v>Taylor Ridge (Rockridge)</v>
      </c>
    </row>
    <row r="686" spans="1:9" ht="15.75" thickBot="1" x14ac:dyDescent="0.3">
      <c r="A686" s="18" t="s">
        <v>817</v>
      </c>
      <c r="B686" s="3">
        <v>726</v>
      </c>
      <c r="C686" s="4" t="s">
        <v>12</v>
      </c>
      <c r="D686" s="4" t="s">
        <v>12</v>
      </c>
      <c r="E686" s="4" t="s">
        <v>9</v>
      </c>
      <c r="F686" s="4" t="s">
        <v>9</v>
      </c>
      <c r="G686" s="4" t="s">
        <v>13</v>
      </c>
      <c r="H686" s="19" t="s">
        <v>13</v>
      </c>
      <c r="I686" t="str">
        <f>VLOOKUP(A686,All!A:A,1,FALSE)</f>
        <v>Taylorville</v>
      </c>
    </row>
    <row r="687" spans="1:9" ht="15.75" thickBot="1" x14ac:dyDescent="0.3">
      <c r="A687" s="20" t="s">
        <v>818</v>
      </c>
      <c r="B687" s="7">
        <v>337</v>
      </c>
      <c r="C687" s="6" t="s">
        <v>13</v>
      </c>
      <c r="D687" s="6" t="s">
        <v>13</v>
      </c>
      <c r="E687" s="6"/>
      <c r="F687" s="6" t="s">
        <v>9</v>
      </c>
      <c r="G687" s="6" t="s">
        <v>9</v>
      </c>
      <c r="H687" s="21" t="s">
        <v>9</v>
      </c>
      <c r="I687" t="str">
        <f>VLOOKUP(A687,All!A:A,1,FALSE)</f>
        <v>Teutopolis</v>
      </c>
    </row>
    <row r="688" spans="1:9" ht="15.75" thickBot="1" x14ac:dyDescent="0.3">
      <c r="A688" s="18" t="s">
        <v>819</v>
      </c>
      <c r="B688" s="8">
        <v>2201</v>
      </c>
      <c r="C688" s="4" t="s">
        <v>11</v>
      </c>
      <c r="D688" s="4" t="s">
        <v>11</v>
      </c>
      <c r="E688" s="4" t="s">
        <v>12</v>
      </c>
      <c r="F688" s="4" t="s">
        <v>13</v>
      </c>
      <c r="G688" s="4" t="s">
        <v>12</v>
      </c>
      <c r="H688" s="19" t="s">
        <v>12</v>
      </c>
      <c r="I688" t="str">
        <f>VLOOKUP(A688,All!A:A,1,FALSE)</f>
        <v>Tinley Park (Andrew)</v>
      </c>
    </row>
    <row r="689" spans="1:9" ht="15.75" thickBot="1" x14ac:dyDescent="0.3">
      <c r="A689" s="20" t="s">
        <v>820</v>
      </c>
      <c r="B689" s="7">
        <v>981</v>
      </c>
      <c r="C689" s="6" t="s">
        <v>12</v>
      </c>
      <c r="D689" s="6" t="s">
        <v>12</v>
      </c>
      <c r="E689" s="6" t="s">
        <v>13</v>
      </c>
      <c r="F689" s="6" t="s">
        <v>9</v>
      </c>
      <c r="G689" s="6" t="s">
        <v>13</v>
      </c>
      <c r="H689" s="21" t="s">
        <v>13</v>
      </c>
      <c r="I689" t="str">
        <f>VLOOKUP(A689,All!A:A,1,FALSE)</f>
        <v>Tinley Park (H.S.)</v>
      </c>
    </row>
    <row r="690" spans="1:9" ht="15.75" thickBot="1" x14ac:dyDescent="0.3">
      <c r="A690" s="18" t="s">
        <v>821</v>
      </c>
      <c r="B690" s="3">
        <v>292</v>
      </c>
      <c r="C690" s="4" t="s">
        <v>9</v>
      </c>
      <c r="D690" s="4" t="s">
        <v>9</v>
      </c>
      <c r="E690" s="4"/>
      <c r="F690" s="4"/>
      <c r="G690" s="4" t="s">
        <v>9</v>
      </c>
      <c r="H690" s="19" t="s">
        <v>9</v>
      </c>
      <c r="I690" t="str">
        <f>VLOOKUP(A690,All!A:A,1,FALSE)</f>
        <v>Toledo (Cumberland)</v>
      </c>
    </row>
    <row r="691" spans="1:9" ht="15.75" thickBot="1" x14ac:dyDescent="0.3">
      <c r="A691" s="20" t="s">
        <v>822</v>
      </c>
      <c r="B691" s="7">
        <v>470</v>
      </c>
      <c r="C691" s="6" t="s">
        <v>13</v>
      </c>
      <c r="D691" s="6" t="s">
        <v>13</v>
      </c>
      <c r="E691" s="6"/>
      <c r="F691" s="6"/>
      <c r="G691" s="6" t="s">
        <v>13</v>
      </c>
      <c r="H691" s="21" t="s">
        <v>13</v>
      </c>
      <c r="I691" t="str">
        <f>VLOOKUP(A691,All!A:A,1,FALSE)</f>
        <v>Tolono (Unity)</v>
      </c>
    </row>
    <row r="692" spans="1:9" ht="15.75" thickBot="1" x14ac:dyDescent="0.3">
      <c r="A692" s="18" t="s">
        <v>823</v>
      </c>
      <c r="B692" s="3">
        <v>221</v>
      </c>
      <c r="C692" s="4" t="s">
        <v>9</v>
      </c>
      <c r="D692" s="4" t="s">
        <v>9</v>
      </c>
      <c r="E692" s="4"/>
      <c r="F692" s="4"/>
      <c r="G692" s="4" t="s">
        <v>9</v>
      </c>
      <c r="H692" s="19" t="s">
        <v>9</v>
      </c>
      <c r="I692" t="str">
        <f>VLOOKUP(A692,All!A:A,1,FALSE)</f>
        <v>Toulon (Stark County)</v>
      </c>
    </row>
    <row r="693" spans="1:9" ht="15.75" thickBot="1" x14ac:dyDescent="0.3">
      <c r="A693" s="20" t="s">
        <v>824</v>
      </c>
      <c r="B693" s="7">
        <v>285</v>
      </c>
      <c r="C693" s="6" t="s">
        <v>9</v>
      </c>
      <c r="D693" s="6" t="s">
        <v>9</v>
      </c>
      <c r="E693" s="6"/>
      <c r="F693" s="6"/>
      <c r="G693" s="6" t="s">
        <v>9</v>
      </c>
      <c r="H693" s="21" t="s">
        <v>9</v>
      </c>
      <c r="I693" t="str">
        <f>VLOOKUP(A693,All!A:A,1,FALSE)</f>
        <v>Tremont</v>
      </c>
    </row>
    <row r="694" spans="1:9" ht="15.75" thickBot="1" x14ac:dyDescent="0.3">
      <c r="A694" s="18" t="s">
        <v>825</v>
      </c>
      <c r="B694" s="3">
        <v>339</v>
      </c>
      <c r="C694" s="4" t="s">
        <v>13</v>
      </c>
      <c r="D694" s="9" t="s">
        <v>13</v>
      </c>
      <c r="E694" s="9" t="s">
        <v>9</v>
      </c>
      <c r="F694" s="4"/>
      <c r="G694" s="4" t="s">
        <v>9</v>
      </c>
      <c r="H694" s="19" t="s">
        <v>9</v>
      </c>
      <c r="I694" t="str">
        <f>VLOOKUP(A694,All!A:A,1,FALSE)</f>
        <v>Trenton (Wesclin)</v>
      </c>
    </row>
    <row r="695" spans="1:9" ht="15.75" thickBot="1" x14ac:dyDescent="0.3">
      <c r="A695" s="20" t="s">
        <v>826</v>
      </c>
      <c r="B695" s="5">
        <v>1210</v>
      </c>
      <c r="C695" s="6" t="s">
        <v>12</v>
      </c>
      <c r="D695" s="6" t="s">
        <v>12</v>
      </c>
      <c r="E695" s="6" t="s">
        <v>13</v>
      </c>
      <c r="F695" s="6" t="s">
        <v>9</v>
      </c>
      <c r="G695" s="6" t="s">
        <v>13</v>
      </c>
      <c r="H695" s="21" t="s">
        <v>13</v>
      </c>
      <c r="I695" t="str">
        <f>VLOOKUP(A695,All!A:A,1,FALSE)</f>
        <v>Troy (Triad)</v>
      </c>
    </row>
    <row r="696" spans="1:9" ht="15.75" thickBot="1" x14ac:dyDescent="0.3">
      <c r="A696" s="18" t="s">
        <v>827</v>
      </c>
      <c r="B696" s="3">
        <v>289</v>
      </c>
      <c r="C696" s="4" t="s">
        <v>9</v>
      </c>
      <c r="D696" s="4" t="s">
        <v>9</v>
      </c>
      <c r="E696" s="4"/>
      <c r="F696" s="4"/>
      <c r="G696" s="4" t="s">
        <v>9</v>
      </c>
      <c r="H696" s="19" t="s">
        <v>9</v>
      </c>
      <c r="I696" t="str">
        <f>VLOOKUP(A696,All!A:A,1,FALSE)</f>
        <v>Tuscola</v>
      </c>
    </row>
    <row r="697" spans="1:9" ht="15.75" thickBot="1" x14ac:dyDescent="0.3">
      <c r="A697" s="20" t="s">
        <v>828</v>
      </c>
      <c r="B697" s="7">
        <v>82</v>
      </c>
      <c r="C697" s="9" t="s">
        <v>9</v>
      </c>
      <c r="D697" s="6" t="s">
        <v>9</v>
      </c>
      <c r="E697" s="6"/>
      <c r="F697" s="6"/>
      <c r="G697" s="6"/>
      <c r="H697" s="21"/>
      <c r="I697" t="str">
        <f>VLOOKUP(A697,All!A:A,1,FALSE)</f>
        <v>Ullin (Century)</v>
      </c>
    </row>
    <row r="698" spans="1:9" ht="15.75" thickBot="1" x14ac:dyDescent="0.3">
      <c r="A698" s="18" t="s">
        <v>829</v>
      </c>
      <c r="B698" s="8">
        <v>1132</v>
      </c>
      <c r="C698" s="4" t="s">
        <v>12</v>
      </c>
      <c r="D698" s="4" t="s">
        <v>12</v>
      </c>
      <c r="E698" s="4" t="s">
        <v>13</v>
      </c>
      <c r="F698" s="4" t="s">
        <v>9</v>
      </c>
      <c r="G698" s="4" t="s">
        <v>13</v>
      </c>
      <c r="H698" s="19" t="s">
        <v>13</v>
      </c>
      <c r="I698" t="str">
        <f>VLOOKUP(A698,All!A:A,1,FALSE)</f>
        <v>Urbana (H.S.)</v>
      </c>
    </row>
    <row r="699" spans="1:9" ht="15.75" thickBot="1" x14ac:dyDescent="0.3">
      <c r="A699" s="20" t="s">
        <v>830</v>
      </c>
      <c r="B699" s="7" t="s">
        <v>831</v>
      </c>
      <c r="C699" s="6"/>
      <c r="D699" s="6"/>
      <c r="E699" s="10" t="s">
        <v>9</v>
      </c>
      <c r="F699" s="10" t="s">
        <v>9</v>
      </c>
      <c r="G699" s="10" t="s">
        <v>9</v>
      </c>
      <c r="H699" s="23" t="s">
        <v>9</v>
      </c>
      <c r="I699" t="str">
        <f>VLOOKUP(A699,All!A:A,1,FALSE)</f>
        <v>Urbana (University)</v>
      </c>
    </row>
    <row r="700" spans="1:9" ht="15.75" thickBot="1" x14ac:dyDescent="0.3">
      <c r="A700" s="18" t="s">
        <v>832</v>
      </c>
      <c r="B700" s="3">
        <v>103</v>
      </c>
      <c r="C700" s="4" t="s">
        <v>9</v>
      </c>
      <c r="D700" s="4" t="s">
        <v>9</v>
      </c>
      <c r="E700" s="4"/>
      <c r="F700" s="4"/>
      <c r="G700" s="4" t="s">
        <v>9</v>
      </c>
      <c r="H700" s="19" t="s">
        <v>9</v>
      </c>
      <c r="I700" t="str">
        <f>VLOOKUP(A700,All!A:A,1,FALSE)</f>
        <v>Valmeyer</v>
      </c>
    </row>
    <row r="701" spans="1:9" ht="15.75" thickBot="1" x14ac:dyDescent="0.3">
      <c r="A701" s="20" t="s">
        <v>833</v>
      </c>
      <c r="B701" s="7">
        <v>402</v>
      </c>
      <c r="C701" s="6" t="s">
        <v>13</v>
      </c>
      <c r="D701" s="6" t="s">
        <v>13</v>
      </c>
      <c r="E701" s="6"/>
      <c r="F701" s="6"/>
      <c r="G701" s="6" t="s">
        <v>9</v>
      </c>
      <c r="H701" s="21" t="s">
        <v>9</v>
      </c>
      <c r="I701" t="str">
        <f>VLOOKUP(A701,All!A:A,1,FALSE)</f>
        <v>Vandalia</v>
      </c>
    </row>
    <row r="702" spans="1:9" ht="15.75" thickBot="1" x14ac:dyDescent="0.3">
      <c r="A702" s="18" t="s">
        <v>834</v>
      </c>
      <c r="B702" s="3">
        <v>200</v>
      </c>
      <c r="C702" s="4" t="s">
        <v>9</v>
      </c>
      <c r="D702" s="4" t="s">
        <v>9</v>
      </c>
      <c r="E702" s="4"/>
      <c r="F702" s="4"/>
      <c r="G702" s="4"/>
      <c r="H702" s="19"/>
      <c r="I702" t="str">
        <f>VLOOKUP(A702,All!A:A,1,FALSE)</f>
        <v>Varna (Midland)</v>
      </c>
    </row>
    <row r="703" spans="1:9" ht="15.75" thickBot="1" x14ac:dyDescent="0.3">
      <c r="A703" s="25" t="s">
        <v>0</v>
      </c>
      <c r="B703" s="1" t="s">
        <v>1</v>
      </c>
      <c r="C703" s="2" t="s">
        <v>2</v>
      </c>
      <c r="D703" s="2" t="s">
        <v>3</v>
      </c>
      <c r="E703" s="2" t="s">
        <v>4</v>
      </c>
      <c r="F703" s="2" t="s">
        <v>5</v>
      </c>
      <c r="G703" s="2" t="s">
        <v>6</v>
      </c>
      <c r="H703" s="26" t="s">
        <v>7</v>
      </c>
      <c r="I703" t="str">
        <f>VLOOKUP(A703,All!A:A,1,FALSE)</f>
        <v>School</v>
      </c>
    </row>
    <row r="704" spans="1:9" ht="15.75" thickBot="1" x14ac:dyDescent="0.3">
      <c r="A704" s="20" t="s">
        <v>835</v>
      </c>
      <c r="B704" s="5">
        <v>1387</v>
      </c>
      <c r="C704" s="6" t="s">
        <v>12</v>
      </c>
      <c r="D704" s="6" t="s">
        <v>12</v>
      </c>
      <c r="E704" s="6" t="s">
        <v>13</v>
      </c>
      <c r="F704" s="6" t="s">
        <v>9</v>
      </c>
      <c r="G704" s="6" t="s">
        <v>12</v>
      </c>
      <c r="H704" s="21" t="s">
        <v>12</v>
      </c>
      <c r="I704" t="str">
        <f>VLOOKUP(A704,All!A:A,1,FALSE)</f>
        <v>Vernon Hills</v>
      </c>
    </row>
    <row r="705" spans="1:9" ht="15.75" thickBot="1" x14ac:dyDescent="0.3">
      <c r="A705" s="18" t="s">
        <v>836</v>
      </c>
      <c r="B705" s="3">
        <v>371</v>
      </c>
      <c r="C705" s="9" t="s">
        <v>13</v>
      </c>
      <c r="D705" s="4" t="s">
        <v>13</v>
      </c>
      <c r="E705" s="9" t="s">
        <v>9</v>
      </c>
      <c r="F705" s="4"/>
      <c r="G705" s="9" t="s">
        <v>9</v>
      </c>
      <c r="H705" s="22" t="s">
        <v>9</v>
      </c>
      <c r="I705" t="str">
        <f>VLOOKUP(A705,All!A:A,1,FALSE)</f>
        <v>Vienna</v>
      </c>
    </row>
    <row r="706" spans="1:9" ht="15.75" thickBot="1" x14ac:dyDescent="0.3">
      <c r="A706" s="20" t="s">
        <v>837</v>
      </c>
      <c r="B706" s="7">
        <v>189</v>
      </c>
      <c r="C706" s="6" t="s">
        <v>9</v>
      </c>
      <c r="D706" s="6" t="s">
        <v>9</v>
      </c>
      <c r="E706" s="6"/>
      <c r="F706" s="6"/>
      <c r="G706" s="6" t="s">
        <v>9</v>
      </c>
      <c r="H706" s="21" t="s">
        <v>9</v>
      </c>
      <c r="I706" t="str">
        <f>VLOOKUP(A706,All!A:A,1,FALSE)</f>
        <v>Villa Grove</v>
      </c>
    </row>
    <row r="707" spans="1:9" ht="15.75" thickBot="1" x14ac:dyDescent="0.3">
      <c r="A707" s="18" t="s">
        <v>838</v>
      </c>
      <c r="B707" s="3" t="s">
        <v>792</v>
      </c>
      <c r="C707" s="4"/>
      <c r="D707" s="4"/>
      <c r="E707" s="10" t="s">
        <v>9</v>
      </c>
      <c r="F707" s="4"/>
      <c r="G707" s="4"/>
      <c r="H707" s="19"/>
      <c r="I707" t="str">
        <f>VLOOKUP(A707,All!A:A,1,FALSE)</f>
        <v>Villa Park (Islamic Foundation)</v>
      </c>
    </row>
    <row r="708" spans="1:9" ht="15.75" thickBot="1" x14ac:dyDescent="0.3">
      <c r="A708" s="20" t="s">
        <v>839</v>
      </c>
      <c r="B708" s="5">
        <v>1902</v>
      </c>
      <c r="C708" s="6" t="s">
        <v>11</v>
      </c>
      <c r="D708" s="6" t="s">
        <v>11</v>
      </c>
      <c r="E708" s="6" t="s">
        <v>12</v>
      </c>
      <c r="F708" s="6" t="s">
        <v>13</v>
      </c>
      <c r="G708" s="6" t="s">
        <v>12</v>
      </c>
      <c r="H708" s="21" t="s">
        <v>12</v>
      </c>
      <c r="I708" t="str">
        <f>VLOOKUP(A708,All!A:A,1,FALSE)</f>
        <v>Villa Park (Willowbrook)</v>
      </c>
    </row>
    <row r="709" spans="1:9" ht="15.75" thickBot="1" x14ac:dyDescent="0.3">
      <c r="A709" s="18" t="s">
        <v>840</v>
      </c>
      <c r="B709" s="3">
        <v>344</v>
      </c>
      <c r="C709" s="4" t="s">
        <v>13</v>
      </c>
      <c r="D709" s="4" t="s">
        <v>13</v>
      </c>
      <c r="E709" s="9" t="s">
        <v>9</v>
      </c>
      <c r="F709" s="4"/>
      <c r="G709" s="4" t="s">
        <v>9</v>
      </c>
      <c r="H709" s="19" t="s">
        <v>9</v>
      </c>
      <c r="I709" t="str">
        <f>VLOOKUP(A709,All!A:A,1,FALSE)</f>
        <v>Virden (North Mac)</v>
      </c>
    </row>
    <row r="710" spans="1:9" ht="15.75" thickBot="1" x14ac:dyDescent="0.3">
      <c r="A710" s="20" t="s">
        <v>841</v>
      </c>
      <c r="B710" s="7">
        <v>78</v>
      </c>
      <c r="C710" s="6"/>
      <c r="D710" s="6"/>
      <c r="E710" s="6"/>
      <c r="F710" s="6"/>
      <c r="G710" s="9" t="s">
        <v>9</v>
      </c>
      <c r="H710" s="22" t="s">
        <v>9</v>
      </c>
      <c r="I710" t="str">
        <f>VLOOKUP(A710,All!A:A,1,FALSE)</f>
        <v>Virginia</v>
      </c>
    </row>
    <row r="711" spans="1:9" ht="15.75" thickBot="1" x14ac:dyDescent="0.3">
      <c r="A711" s="18" t="s">
        <v>842</v>
      </c>
      <c r="B711" s="3">
        <v>95</v>
      </c>
      <c r="C711" s="9" t="s">
        <v>9</v>
      </c>
      <c r="D711" s="9" t="s">
        <v>9</v>
      </c>
      <c r="E711" s="4"/>
      <c r="F711" s="4"/>
      <c r="G711" s="4"/>
      <c r="H711" s="19"/>
      <c r="I711" t="str">
        <f>VLOOKUP(A711,All!A:A,1,FALSE)</f>
        <v>Waltonville</v>
      </c>
    </row>
    <row r="712" spans="1:9" ht="15.75" thickBot="1" x14ac:dyDescent="0.3">
      <c r="A712" s="20" t="s">
        <v>843</v>
      </c>
      <c r="B712" s="7">
        <v>105</v>
      </c>
      <c r="C712" s="9" t="s">
        <v>9</v>
      </c>
      <c r="D712" s="6"/>
      <c r="E712" s="6"/>
      <c r="F712" s="6"/>
      <c r="G712" s="6"/>
      <c r="H712" s="21"/>
      <c r="I712" t="str">
        <f>VLOOKUP(A712,All!A:A,1,FALSE)</f>
        <v>Warren</v>
      </c>
    </row>
    <row r="713" spans="1:9" ht="15.75" thickBot="1" x14ac:dyDescent="0.3">
      <c r="A713" s="18" t="s">
        <v>844</v>
      </c>
      <c r="B713" s="3">
        <v>328</v>
      </c>
      <c r="C713" s="4" t="s">
        <v>13</v>
      </c>
      <c r="D713" s="4" t="s">
        <v>13</v>
      </c>
      <c r="E713" s="9" t="s">
        <v>9</v>
      </c>
      <c r="F713" s="4"/>
      <c r="G713" s="4" t="s">
        <v>9</v>
      </c>
      <c r="H713" s="19" t="s">
        <v>9</v>
      </c>
      <c r="I713" t="str">
        <f>VLOOKUP(A713,All!A:A,1,FALSE)</f>
        <v>Warrensburg (W.-Latham)</v>
      </c>
    </row>
    <row r="714" spans="1:9" ht="15.75" thickBot="1" x14ac:dyDescent="0.3">
      <c r="A714" s="20" t="s">
        <v>845</v>
      </c>
      <c r="B714" s="7">
        <v>178</v>
      </c>
      <c r="C714" s="6"/>
      <c r="D714" s="9" t="s">
        <v>13</v>
      </c>
      <c r="E714" s="6"/>
      <c r="F714" s="6"/>
      <c r="G714" s="9" t="s">
        <v>9</v>
      </c>
      <c r="H714" s="22" t="s">
        <v>9</v>
      </c>
      <c r="I714" t="str">
        <f>VLOOKUP(A714,All!A:A,1,FALSE)</f>
        <v>Warsaw</v>
      </c>
    </row>
    <row r="715" spans="1:9" ht="15.75" thickBot="1" x14ac:dyDescent="0.3">
      <c r="A715" s="18" t="s">
        <v>846</v>
      </c>
      <c r="B715" s="3">
        <v>68</v>
      </c>
      <c r="C715" s="4"/>
      <c r="D715" s="9" t="s">
        <v>9</v>
      </c>
      <c r="E715" s="4"/>
      <c r="F715" s="4"/>
      <c r="G715" s="9" t="s">
        <v>9</v>
      </c>
      <c r="H715" s="22" t="s">
        <v>9</v>
      </c>
      <c r="I715" t="str">
        <f>VLOOKUP(A715,All!A:A,1,FALSE)</f>
        <v>Washburn (Lowpoint-W.)</v>
      </c>
    </row>
    <row r="716" spans="1:9" ht="15.75" thickBot="1" x14ac:dyDescent="0.3">
      <c r="A716" s="20" t="s">
        <v>847</v>
      </c>
      <c r="B716" s="5">
        <v>1383</v>
      </c>
      <c r="C716" s="6" t="s">
        <v>12</v>
      </c>
      <c r="D716" s="6" t="s">
        <v>12</v>
      </c>
      <c r="E716" s="6" t="s">
        <v>13</v>
      </c>
      <c r="F716" s="6" t="s">
        <v>9</v>
      </c>
      <c r="G716" s="6" t="s">
        <v>12</v>
      </c>
      <c r="H716" s="21" t="s">
        <v>12</v>
      </c>
      <c r="I716" t="str">
        <f>VLOOKUP(A716,All!A:A,1,FALSE)</f>
        <v>Washington</v>
      </c>
    </row>
    <row r="717" spans="1:9" ht="15.75" thickBot="1" x14ac:dyDescent="0.3">
      <c r="A717" s="18" t="s">
        <v>848</v>
      </c>
      <c r="B717" s="3" t="s">
        <v>849</v>
      </c>
      <c r="C717" s="10" t="s">
        <v>9</v>
      </c>
      <c r="D717" s="10" t="s">
        <v>9</v>
      </c>
      <c r="E717" s="10" t="s">
        <v>9</v>
      </c>
      <c r="F717" s="4"/>
      <c r="G717" s="10" t="s">
        <v>9</v>
      </c>
      <c r="H717" s="23" t="s">
        <v>9</v>
      </c>
      <c r="I717" t="str">
        <f>VLOOKUP(A717,All!A:A,1,FALSE)</f>
        <v>Waterloo (Gibault Catholic)</v>
      </c>
    </row>
    <row r="718" spans="1:9" ht="15.75" thickBot="1" x14ac:dyDescent="0.3">
      <c r="A718" s="20" t="s">
        <v>850</v>
      </c>
      <c r="B718" s="7">
        <v>845</v>
      </c>
      <c r="C718" s="6" t="s">
        <v>12</v>
      </c>
      <c r="D718" s="6" t="s">
        <v>12</v>
      </c>
      <c r="E718" s="6" t="s">
        <v>13</v>
      </c>
      <c r="F718" s="6" t="s">
        <v>9</v>
      </c>
      <c r="G718" s="6" t="s">
        <v>13</v>
      </c>
      <c r="H718" s="21" t="s">
        <v>13</v>
      </c>
      <c r="I718" t="str">
        <f>VLOOKUP(A718,All!A:A,1,FALSE)</f>
        <v>Waterloo (H.S.)</v>
      </c>
    </row>
    <row r="719" spans="1:9" ht="15.75" thickBot="1" x14ac:dyDescent="0.3">
      <c r="A719" s="18" t="s">
        <v>851</v>
      </c>
      <c r="B719" s="3">
        <v>282</v>
      </c>
      <c r="C719" s="4" t="s">
        <v>9</v>
      </c>
      <c r="D719" s="4" t="s">
        <v>9</v>
      </c>
      <c r="E719" s="4"/>
      <c r="F719" s="4"/>
      <c r="G719" s="4" t="s">
        <v>9</v>
      </c>
      <c r="H719" s="19" t="s">
        <v>9</v>
      </c>
      <c r="I719" t="str">
        <f>VLOOKUP(A719,All!A:A,1,FALSE)</f>
        <v>Watseka</v>
      </c>
    </row>
    <row r="720" spans="1:9" ht="15.75" thickBot="1" x14ac:dyDescent="0.3">
      <c r="A720" s="20" t="s">
        <v>852</v>
      </c>
      <c r="B720" s="5">
        <v>1396</v>
      </c>
      <c r="C720" s="6" t="s">
        <v>12</v>
      </c>
      <c r="D720" s="6" t="s">
        <v>12</v>
      </c>
      <c r="E720" s="6" t="s">
        <v>13</v>
      </c>
      <c r="F720" s="6" t="s">
        <v>9</v>
      </c>
      <c r="G720" s="6" t="s">
        <v>12</v>
      </c>
      <c r="H720" s="21" t="s">
        <v>12</v>
      </c>
      <c r="I720" t="str">
        <f>VLOOKUP(A720,All!A:A,1,FALSE)</f>
        <v>Wauconda</v>
      </c>
    </row>
    <row r="721" spans="1:9" ht="15.75" thickBot="1" x14ac:dyDescent="0.3">
      <c r="A721" s="18" t="s">
        <v>853</v>
      </c>
      <c r="B721" s="3" t="s">
        <v>854</v>
      </c>
      <c r="C721" s="4"/>
      <c r="D721" s="4"/>
      <c r="E721" s="10" t="s">
        <v>9</v>
      </c>
      <c r="F721" s="4"/>
      <c r="G721" s="4"/>
      <c r="H721" s="19"/>
      <c r="I721" t="str">
        <f>VLOOKUP(A721,All!A:A,1,FALSE)</f>
        <v>Waukegan (Cristo Rey St. Martin)</v>
      </c>
    </row>
    <row r="722" spans="1:9" ht="15.75" thickBot="1" x14ac:dyDescent="0.3">
      <c r="A722" s="20" t="s">
        <v>855</v>
      </c>
      <c r="B722" s="5">
        <v>4119</v>
      </c>
      <c r="C722" s="6" t="s">
        <v>11</v>
      </c>
      <c r="D722" s="6" t="s">
        <v>11</v>
      </c>
      <c r="E722" s="6" t="s">
        <v>12</v>
      </c>
      <c r="F722" s="6"/>
      <c r="G722" s="6" t="s">
        <v>12</v>
      </c>
      <c r="H722" s="21" t="s">
        <v>12</v>
      </c>
      <c r="I722" t="str">
        <f>VLOOKUP(A722,All!A:A,1,FALSE)</f>
        <v>Waukegan (H.S.)</v>
      </c>
    </row>
    <row r="723" spans="1:9" ht="15.75" thickBot="1" x14ac:dyDescent="0.3">
      <c r="A723" s="18" t="s">
        <v>856</v>
      </c>
      <c r="B723" s="3">
        <v>96</v>
      </c>
      <c r="C723" s="4"/>
      <c r="D723" s="4"/>
      <c r="E723" s="4"/>
      <c r="F723" s="4"/>
      <c r="G723" s="9" t="s">
        <v>9</v>
      </c>
      <c r="H723" s="22" t="s">
        <v>9</v>
      </c>
      <c r="I723" t="str">
        <f>VLOOKUP(A723,All!A:A,1,FALSE)</f>
        <v>Waverly</v>
      </c>
    </row>
    <row r="724" spans="1:9" ht="15.75" thickBot="1" x14ac:dyDescent="0.3">
      <c r="A724" s="20" t="s">
        <v>857</v>
      </c>
      <c r="B724" s="7">
        <v>134</v>
      </c>
      <c r="C724" s="6" t="s">
        <v>9</v>
      </c>
      <c r="D724" s="6" t="s">
        <v>9</v>
      </c>
      <c r="E724" s="6"/>
      <c r="F724" s="6"/>
      <c r="G724" s="6"/>
      <c r="H724" s="21"/>
      <c r="I724" t="str">
        <f>VLOOKUP(A724,All!A:A,1,FALSE)</f>
        <v>Wayne City</v>
      </c>
    </row>
    <row r="725" spans="1:9" ht="15.75" thickBot="1" x14ac:dyDescent="0.3">
      <c r="A725" s="18" t="s">
        <v>858</v>
      </c>
      <c r="B725" s="8">
        <v>1973</v>
      </c>
      <c r="C725" s="4" t="s">
        <v>11</v>
      </c>
      <c r="D725" s="4" t="s">
        <v>11</v>
      </c>
      <c r="E725" s="4" t="s">
        <v>12</v>
      </c>
      <c r="F725" s="4" t="s">
        <v>13</v>
      </c>
      <c r="G725" s="4" t="s">
        <v>12</v>
      </c>
      <c r="H725" s="19" t="s">
        <v>12</v>
      </c>
      <c r="I725" t="str">
        <f>VLOOKUP(A725,All!A:A,1,FALSE)</f>
        <v>West Chicago (H.S.)</v>
      </c>
    </row>
    <row r="726" spans="1:9" ht="15.75" thickBot="1" x14ac:dyDescent="0.3">
      <c r="A726" s="20" t="s">
        <v>859</v>
      </c>
      <c r="B726" s="7" t="s">
        <v>860</v>
      </c>
      <c r="C726" s="10" t="s">
        <v>12</v>
      </c>
      <c r="D726" s="11" t="s">
        <v>13</v>
      </c>
      <c r="E726" s="10" t="s">
        <v>13</v>
      </c>
      <c r="F726" s="10" t="s">
        <v>9</v>
      </c>
      <c r="G726" s="10" t="s">
        <v>13</v>
      </c>
      <c r="H726" s="23" t="s">
        <v>13</v>
      </c>
      <c r="I726" t="str">
        <f>VLOOKUP(A726,All!A:A,1,FALSE)</f>
        <v>West Chicago (Wheaton Academy)</v>
      </c>
    </row>
    <row r="727" spans="1:9" ht="15.75" thickBot="1" x14ac:dyDescent="0.3">
      <c r="A727" s="18" t="s">
        <v>861</v>
      </c>
      <c r="B727" s="3">
        <v>411</v>
      </c>
      <c r="C727" s="4" t="s">
        <v>13</v>
      </c>
      <c r="D727" s="4" t="s">
        <v>13</v>
      </c>
      <c r="E727" s="4"/>
      <c r="F727" s="4"/>
      <c r="G727" s="4" t="s">
        <v>9</v>
      </c>
      <c r="H727" s="19" t="s">
        <v>9</v>
      </c>
      <c r="I727" t="str">
        <f>VLOOKUP(A727,All!A:A,1,FALSE)</f>
        <v>West Frankfort (Frankfort)</v>
      </c>
    </row>
    <row r="728" spans="1:9" ht="15.75" thickBot="1" x14ac:dyDescent="0.3">
      <c r="A728" s="20" t="s">
        <v>862</v>
      </c>
      <c r="B728" s="7">
        <v>160</v>
      </c>
      <c r="C728" s="9" t="s">
        <v>9</v>
      </c>
      <c r="D728" s="9" t="s">
        <v>9</v>
      </c>
      <c r="E728" s="6"/>
      <c r="F728" s="6"/>
      <c r="G728" s="6" t="s">
        <v>9</v>
      </c>
      <c r="H728" s="21" t="s">
        <v>9</v>
      </c>
      <c r="I728" t="str">
        <f>VLOOKUP(A728,All!A:A,1,FALSE)</f>
        <v>West Prairie</v>
      </c>
    </row>
    <row r="729" spans="1:9" ht="15.75" thickBot="1" x14ac:dyDescent="0.3">
      <c r="A729" s="25" t="s">
        <v>0</v>
      </c>
      <c r="B729" s="1" t="s">
        <v>1</v>
      </c>
      <c r="C729" s="2" t="s">
        <v>2</v>
      </c>
      <c r="D729" s="2" t="s">
        <v>3</v>
      </c>
      <c r="E729" s="2" t="s">
        <v>4</v>
      </c>
      <c r="F729" s="2" t="s">
        <v>5</v>
      </c>
      <c r="G729" s="2" t="s">
        <v>6</v>
      </c>
      <c r="H729" s="26" t="s">
        <v>7</v>
      </c>
      <c r="I729" t="str">
        <f>VLOOKUP(A729,All!A:A,1,FALSE)</f>
        <v>School</v>
      </c>
    </row>
    <row r="730" spans="1:9" ht="15.75" thickBot="1" x14ac:dyDescent="0.3">
      <c r="A730" s="18" t="s">
        <v>863</v>
      </c>
      <c r="B730" s="3">
        <v>376</v>
      </c>
      <c r="C730" s="4" t="s">
        <v>13</v>
      </c>
      <c r="D730" s="4" t="s">
        <v>13</v>
      </c>
      <c r="E730" s="4" t="s">
        <v>9</v>
      </c>
      <c r="F730" s="4"/>
      <c r="G730" s="4" t="s">
        <v>9</v>
      </c>
      <c r="H730" s="19" t="s">
        <v>9</v>
      </c>
      <c r="I730" t="str">
        <f>VLOOKUP(A730,All!A:A,1,FALSE)</f>
        <v>Westmont</v>
      </c>
    </row>
    <row r="731" spans="1:9" ht="15.75" thickBot="1" x14ac:dyDescent="0.3">
      <c r="A731" s="20" t="s">
        <v>864</v>
      </c>
      <c r="B731" s="7">
        <v>326</v>
      </c>
      <c r="C731" s="6" t="s">
        <v>13</v>
      </c>
      <c r="D731" s="6" t="s">
        <v>13</v>
      </c>
      <c r="E731" s="6"/>
      <c r="F731" s="6"/>
      <c r="G731" s="6" t="s">
        <v>9</v>
      </c>
      <c r="H731" s="21" t="s">
        <v>9</v>
      </c>
      <c r="I731" t="str">
        <f>VLOOKUP(A731,All!A:A,1,FALSE)</f>
        <v>Westville</v>
      </c>
    </row>
    <row r="732" spans="1:9" ht="15.75" thickBot="1" x14ac:dyDescent="0.3">
      <c r="A732" s="18" t="s">
        <v>865</v>
      </c>
      <c r="B732" s="8">
        <v>1844</v>
      </c>
      <c r="C732" s="4" t="s">
        <v>11</v>
      </c>
      <c r="D732" s="4" t="s">
        <v>11</v>
      </c>
      <c r="E732" s="4" t="s">
        <v>12</v>
      </c>
      <c r="F732" s="4" t="s">
        <v>13</v>
      </c>
      <c r="G732" s="4" t="s">
        <v>12</v>
      </c>
      <c r="H732" s="19" t="s">
        <v>12</v>
      </c>
      <c r="I732" t="str">
        <f>VLOOKUP(A732,All!A:A,1,FALSE)</f>
        <v>Wheaton (North)</v>
      </c>
    </row>
    <row r="733" spans="1:9" ht="15.75" thickBot="1" x14ac:dyDescent="0.3">
      <c r="A733" s="20" t="s">
        <v>866</v>
      </c>
      <c r="B733" s="7" t="s">
        <v>867</v>
      </c>
      <c r="C733" s="10" t="s">
        <v>12</v>
      </c>
      <c r="D733" s="10" t="s">
        <v>12</v>
      </c>
      <c r="E733" s="10" t="s">
        <v>13</v>
      </c>
      <c r="F733" s="10" t="s">
        <v>9</v>
      </c>
      <c r="G733" s="10" t="s">
        <v>13</v>
      </c>
      <c r="H733" s="23" t="s">
        <v>13</v>
      </c>
      <c r="I733" t="str">
        <f>VLOOKUP(A733,All!A:A,1,FALSE)</f>
        <v>Wheaton (St. Francis)</v>
      </c>
    </row>
    <row r="734" spans="1:9" ht="15.75" thickBot="1" x14ac:dyDescent="0.3">
      <c r="A734" s="18" t="s">
        <v>868</v>
      </c>
      <c r="B734" s="8">
        <v>1824</v>
      </c>
      <c r="C734" s="4" t="s">
        <v>11</v>
      </c>
      <c r="D734" s="4" t="s">
        <v>11</v>
      </c>
      <c r="E734" s="4" t="s">
        <v>12</v>
      </c>
      <c r="F734" s="4" t="s">
        <v>13</v>
      </c>
      <c r="G734" s="4" t="s">
        <v>12</v>
      </c>
      <c r="H734" s="19" t="s">
        <v>12</v>
      </c>
      <c r="I734" t="str">
        <f>VLOOKUP(A734,All!A:A,1,FALSE)</f>
        <v>Wheaton (W. Warrenville South)</v>
      </c>
    </row>
    <row r="735" spans="1:9" ht="15.75" thickBot="1" x14ac:dyDescent="0.3">
      <c r="A735" s="20" t="s">
        <v>869</v>
      </c>
      <c r="B735" s="5">
        <v>1658</v>
      </c>
      <c r="C735" s="6" t="s">
        <v>11</v>
      </c>
      <c r="D735" s="6" t="s">
        <v>11</v>
      </c>
      <c r="E735" s="6" t="s">
        <v>13</v>
      </c>
      <c r="F735" s="6" t="s">
        <v>13</v>
      </c>
      <c r="G735" s="6" t="s">
        <v>12</v>
      </c>
      <c r="H735" s="21" t="s">
        <v>12</v>
      </c>
      <c r="I735" t="str">
        <f>VLOOKUP(A735,All!A:A,1,FALSE)</f>
        <v>Wheeling</v>
      </c>
    </row>
    <row r="736" spans="1:9" ht="15.75" thickBot="1" x14ac:dyDescent="0.3">
      <c r="A736" s="18" t="s">
        <v>870</v>
      </c>
      <c r="B736" s="3">
        <v>239</v>
      </c>
      <c r="C736" s="4" t="s">
        <v>9</v>
      </c>
      <c r="D736" s="4" t="s">
        <v>9</v>
      </c>
      <c r="E736" s="4"/>
      <c r="F736" s="4"/>
      <c r="G736" s="4" t="s">
        <v>9</v>
      </c>
      <c r="H736" s="19" t="s">
        <v>9</v>
      </c>
      <c r="I736" t="str">
        <f>VLOOKUP(A736,All!A:A,1,FALSE)</f>
        <v>White Hall (North Greene)</v>
      </c>
    </row>
    <row r="737" spans="1:9" ht="15.75" thickBot="1" x14ac:dyDescent="0.3">
      <c r="A737" s="20" t="s">
        <v>871</v>
      </c>
      <c r="B737" s="7">
        <v>95</v>
      </c>
      <c r="C737" s="9" t="s">
        <v>9</v>
      </c>
      <c r="D737" s="9" t="s">
        <v>9</v>
      </c>
      <c r="E737" s="6"/>
      <c r="F737" s="6"/>
      <c r="G737" s="6"/>
      <c r="H737" s="21"/>
      <c r="I737" t="str">
        <f>VLOOKUP(A737,All!A:A,1,FALSE)</f>
        <v>Williamsfield</v>
      </c>
    </row>
    <row r="738" spans="1:9" ht="15.75" thickBot="1" x14ac:dyDescent="0.3">
      <c r="A738" s="18" t="s">
        <v>872</v>
      </c>
      <c r="B738" s="3">
        <v>454</v>
      </c>
      <c r="C738" s="4" t="s">
        <v>13</v>
      </c>
      <c r="D738" s="4" t="s">
        <v>13</v>
      </c>
      <c r="E738" s="4" t="s">
        <v>9</v>
      </c>
      <c r="F738" s="4"/>
      <c r="G738" s="4" t="s">
        <v>13</v>
      </c>
      <c r="H738" s="19" t="s">
        <v>13</v>
      </c>
      <c r="I738" t="str">
        <f>VLOOKUP(A738,All!A:A,1,FALSE)</f>
        <v>Williamsville</v>
      </c>
    </row>
    <row r="739" spans="1:9" ht="15.75" thickBot="1" x14ac:dyDescent="0.3">
      <c r="A739" s="20" t="s">
        <v>873</v>
      </c>
      <c r="B739" s="7" t="s">
        <v>874</v>
      </c>
      <c r="C739" s="10" t="s">
        <v>11</v>
      </c>
      <c r="D739" s="10" t="s">
        <v>11</v>
      </c>
      <c r="E739" s="10" t="s">
        <v>12</v>
      </c>
      <c r="F739" s="10" t="s">
        <v>13</v>
      </c>
      <c r="G739" s="10" t="s">
        <v>12</v>
      </c>
      <c r="H739" s="23" t="s">
        <v>12</v>
      </c>
      <c r="I739" t="str">
        <f>VLOOKUP(A739,All!A:A,1,FALSE)</f>
        <v>Wilmette (Loyola Academy)</v>
      </c>
    </row>
    <row r="740" spans="1:9" ht="15.75" thickBot="1" x14ac:dyDescent="0.3">
      <c r="A740" s="18" t="s">
        <v>875</v>
      </c>
      <c r="B740" s="3" t="s">
        <v>876</v>
      </c>
      <c r="C740" s="4"/>
      <c r="D740" s="10" t="s">
        <v>13</v>
      </c>
      <c r="E740" s="10" t="s">
        <v>9</v>
      </c>
      <c r="F740" s="4"/>
      <c r="G740" s="4"/>
      <c r="H740" s="24" t="s">
        <v>9</v>
      </c>
      <c r="I740" t="str">
        <f>VLOOKUP(A740,All!A:A,1,FALSE)</f>
        <v>Wilmette (Regina Dominican)</v>
      </c>
    </row>
    <row r="741" spans="1:9" ht="15.75" thickBot="1" x14ac:dyDescent="0.3">
      <c r="A741" s="20" t="s">
        <v>877</v>
      </c>
      <c r="B741" s="7">
        <v>400</v>
      </c>
      <c r="C741" s="6" t="s">
        <v>13</v>
      </c>
      <c r="D741" s="6" t="s">
        <v>13</v>
      </c>
      <c r="E741" s="6" t="s">
        <v>9</v>
      </c>
      <c r="F741" s="6"/>
      <c r="G741" s="6" t="s">
        <v>9</v>
      </c>
      <c r="H741" s="21" t="s">
        <v>9</v>
      </c>
      <c r="I741" t="str">
        <f>VLOOKUP(A741,All!A:A,1,FALSE)</f>
        <v>Wilmington</v>
      </c>
    </row>
    <row r="742" spans="1:9" ht="15.75" thickBot="1" x14ac:dyDescent="0.3">
      <c r="A742" s="18" t="s">
        <v>878</v>
      </c>
      <c r="B742" s="3">
        <v>167</v>
      </c>
      <c r="C742" s="4"/>
      <c r="D742" s="9" t="s">
        <v>9</v>
      </c>
      <c r="E742" s="4"/>
      <c r="F742" s="4"/>
      <c r="G742" s="9" t="s">
        <v>9</v>
      </c>
      <c r="H742" s="22" t="s">
        <v>9</v>
      </c>
      <c r="I742" t="str">
        <f>VLOOKUP(A742,All!A:A,1,FALSE)</f>
        <v>Winchester</v>
      </c>
    </row>
    <row r="743" spans="1:9" ht="15.75" thickBot="1" x14ac:dyDescent="0.3">
      <c r="A743" s="20" t="s">
        <v>879</v>
      </c>
      <c r="B743" s="7">
        <v>78</v>
      </c>
      <c r="C743" s="6"/>
      <c r="D743" s="9" t="s">
        <v>9</v>
      </c>
      <c r="E743" s="6"/>
      <c r="F743" s="6"/>
      <c r="G743" s="6"/>
      <c r="H743" s="21"/>
      <c r="I743" t="str">
        <f>VLOOKUP(A743,All!A:A,1,FALSE)</f>
        <v>Windsor</v>
      </c>
    </row>
    <row r="744" spans="1:9" ht="15.75" thickBot="1" x14ac:dyDescent="0.3">
      <c r="A744" s="18" t="s">
        <v>880</v>
      </c>
      <c r="B744" s="3">
        <v>399</v>
      </c>
      <c r="C744" s="4" t="s">
        <v>13</v>
      </c>
      <c r="D744" s="4" t="s">
        <v>13</v>
      </c>
      <c r="E744" s="4" t="s">
        <v>9</v>
      </c>
      <c r="F744" s="4"/>
      <c r="G744" s="4" t="s">
        <v>9</v>
      </c>
      <c r="H744" s="19" t="s">
        <v>9</v>
      </c>
      <c r="I744" t="str">
        <f>VLOOKUP(A744,All!A:A,1,FALSE)</f>
        <v>Winnebago</v>
      </c>
    </row>
    <row r="745" spans="1:9" ht="15.75" thickBot="1" x14ac:dyDescent="0.3">
      <c r="A745" s="20" t="s">
        <v>881</v>
      </c>
      <c r="B745" s="5">
        <v>3613</v>
      </c>
      <c r="C745" s="6" t="s">
        <v>11</v>
      </c>
      <c r="D745" s="6" t="s">
        <v>11</v>
      </c>
      <c r="E745" s="6" t="s">
        <v>12</v>
      </c>
      <c r="F745" s="6" t="s">
        <v>13</v>
      </c>
      <c r="G745" s="6" t="s">
        <v>12</v>
      </c>
      <c r="H745" s="21" t="s">
        <v>12</v>
      </c>
      <c r="I745" t="str">
        <f>VLOOKUP(A745,All!A:A,1,FALSE)</f>
        <v>Winnetka (New Trier)</v>
      </c>
    </row>
    <row r="746" spans="1:9" ht="15.75" thickBot="1" x14ac:dyDescent="0.3">
      <c r="A746" s="18" t="s">
        <v>882</v>
      </c>
      <c r="B746" s="3" t="s">
        <v>883</v>
      </c>
      <c r="C746" s="11" t="s">
        <v>9</v>
      </c>
      <c r="D746" s="4"/>
      <c r="E746" s="10" t="s">
        <v>9</v>
      </c>
      <c r="F746" s="10" t="s">
        <v>9</v>
      </c>
      <c r="G746" s="10" t="s">
        <v>9</v>
      </c>
      <c r="H746" s="23" t="s">
        <v>9</v>
      </c>
      <c r="I746" t="str">
        <f>VLOOKUP(A746,All!A:A,1,FALSE)</f>
        <v>Winnetka (North Shore Country Day)</v>
      </c>
    </row>
    <row r="747" spans="1:9" ht="15.75" thickBot="1" x14ac:dyDescent="0.3">
      <c r="A747" s="20" t="s">
        <v>884</v>
      </c>
      <c r="B747" s="7">
        <v>69</v>
      </c>
      <c r="C747" s="6" t="s">
        <v>9</v>
      </c>
      <c r="D747" s="6" t="s">
        <v>9</v>
      </c>
      <c r="E747" s="6"/>
      <c r="F747" s="6"/>
      <c r="G747" s="6"/>
      <c r="H747" s="21"/>
      <c r="I747" t="str">
        <f>VLOOKUP(A747,All!A:A,1,FALSE)</f>
        <v>Wolf Lake (Shawnee)</v>
      </c>
    </row>
    <row r="748" spans="1:9" ht="15.75" thickBot="1" x14ac:dyDescent="0.3">
      <c r="A748" s="18" t="s">
        <v>885</v>
      </c>
      <c r="B748" s="3">
        <v>515</v>
      </c>
      <c r="C748" s="4" t="s">
        <v>13</v>
      </c>
      <c r="D748" s="4" t="s">
        <v>13</v>
      </c>
      <c r="E748" s="4" t="s">
        <v>9</v>
      </c>
      <c r="F748" s="4"/>
      <c r="G748" s="4" t="s">
        <v>13</v>
      </c>
      <c r="H748" s="19" t="s">
        <v>13</v>
      </c>
      <c r="I748" t="str">
        <f>VLOOKUP(A748,All!A:A,1,FALSE)</f>
        <v>Wood River (East Alton-W.R.)</v>
      </c>
    </row>
    <row r="749" spans="1:9" ht="15.75" thickBot="1" x14ac:dyDescent="0.3">
      <c r="A749" s="20" t="s">
        <v>886</v>
      </c>
      <c r="B749" s="7">
        <v>96</v>
      </c>
      <c r="C749" s="9" t="s">
        <v>9</v>
      </c>
      <c r="D749" s="9" t="s">
        <v>9</v>
      </c>
      <c r="E749" s="6"/>
      <c r="F749" s="6"/>
      <c r="G749" s="6"/>
      <c r="H749" s="21"/>
      <c r="I749" t="str">
        <f>VLOOKUP(A749,All!A:A,1,FALSE)</f>
        <v>Woodhull (AlWood)</v>
      </c>
    </row>
    <row r="750" spans="1:9" ht="15.75" thickBot="1" x14ac:dyDescent="0.3">
      <c r="A750" s="18" t="s">
        <v>887</v>
      </c>
      <c r="B750" s="3">
        <v>173</v>
      </c>
      <c r="C750" s="4" t="s">
        <v>9</v>
      </c>
      <c r="D750" s="4" t="s">
        <v>9</v>
      </c>
      <c r="E750" s="4"/>
      <c r="F750" s="4"/>
      <c r="G750" s="4" t="s">
        <v>9</v>
      </c>
      <c r="H750" s="19" t="s">
        <v>9</v>
      </c>
      <c r="I750" t="str">
        <f>VLOOKUP(A750,All!A:A,1,FALSE)</f>
        <v>Woodlawn</v>
      </c>
    </row>
    <row r="751" spans="1:9" ht="15.75" thickBot="1" x14ac:dyDescent="0.3">
      <c r="A751" s="20" t="s">
        <v>888</v>
      </c>
      <c r="B751" s="7">
        <v>986</v>
      </c>
      <c r="C751" s="6" t="s">
        <v>12</v>
      </c>
      <c r="D751" s="6" t="s">
        <v>12</v>
      </c>
      <c r="E751" s="6" t="s">
        <v>13</v>
      </c>
      <c r="F751" s="6" t="s">
        <v>9</v>
      </c>
      <c r="G751" s="6" t="s">
        <v>13</v>
      </c>
      <c r="H751" s="21" t="s">
        <v>13</v>
      </c>
      <c r="I751" t="str">
        <f>VLOOKUP(A751,All!A:A,1,FALSE)</f>
        <v>Woodstock (H.S.)</v>
      </c>
    </row>
    <row r="752" spans="1:9" ht="15.75" thickBot="1" x14ac:dyDescent="0.3">
      <c r="A752" s="18" t="s">
        <v>889</v>
      </c>
      <c r="B752" s="3" t="s">
        <v>890</v>
      </c>
      <c r="C752" s="11" t="s">
        <v>9</v>
      </c>
      <c r="D752" s="10" t="s">
        <v>13</v>
      </c>
      <c r="E752" s="10" t="s">
        <v>9</v>
      </c>
      <c r="F752" s="10" t="s">
        <v>9</v>
      </c>
      <c r="G752" s="10" t="s">
        <v>13</v>
      </c>
      <c r="H752" s="23" t="s">
        <v>13</v>
      </c>
      <c r="I752" t="str">
        <f>VLOOKUP(A752,All!A:A,1,FALSE)</f>
        <v>Woodstock (Marian)</v>
      </c>
    </row>
    <row r="753" spans="1:9" ht="15.75" thickBot="1" x14ac:dyDescent="0.3">
      <c r="A753" s="20" t="s">
        <v>891</v>
      </c>
      <c r="B753" s="7">
        <v>935</v>
      </c>
      <c r="C753" s="6" t="s">
        <v>12</v>
      </c>
      <c r="D753" s="6" t="s">
        <v>12</v>
      </c>
      <c r="E753" s="6" t="s">
        <v>13</v>
      </c>
      <c r="F753" s="6" t="s">
        <v>9</v>
      </c>
      <c r="G753" s="6" t="s">
        <v>13</v>
      </c>
      <c r="H753" s="21" t="s">
        <v>13</v>
      </c>
      <c r="I753" t="str">
        <f>VLOOKUP(A753,All!A:A,1,FALSE)</f>
        <v>Woodstock (North)</v>
      </c>
    </row>
    <row r="754" spans="1:9" ht="15.75" thickBot="1" x14ac:dyDescent="0.3">
      <c r="A754" s="18" t="s">
        <v>892</v>
      </c>
      <c r="B754" s="8">
        <v>2188</v>
      </c>
      <c r="C754" s="4" t="s">
        <v>11</v>
      </c>
      <c r="D754" s="4" t="s">
        <v>11</v>
      </c>
      <c r="E754" s="4" t="s">
        <v>12</v>
      </c>
      <c r="F754" s="4" t="s">
        <v>13</v>
      </c>
      <c r="G754" s="4" t="s">
        <v>12</v>
      </c>
      <c r="H754" s="19" t="s">
        <v>12</v>
      </c>
      <c r="I754" t="str">
        <f>VLOOKUP(A754,All!A:A,1,FALSE)</f>
        <v>Yorkville (H.S.)</v>
      </c>
    </row>
    <row r="755" spans="1:9" ht="15.75" thickBot="1" x14ac:dyDescent="0.3">
      <c r="A755" s="25" t="s">
        <v>0</v>
      </c>
      <c r="B755" s="1" t="s">
        <v>1</v>
      </c>
      <c r="C755" s="2" t="s">
        <v>2</v>
      </c>
      <c r="D755" s="2" t="s">
        <v>3</v>
      </c>
      <c r="E755" s="2" t="s">
        <v>4</v>
      </c>
      <c r="F755" s="2" t="s">
        <v>5</v>
      </c>
      <c r="G755" s="2" t="s">
        <v>6</v>
      </c>
      <c r="H755" s="26" t="s">
        <v>7</v>
      </c>
      <c r="I755" t="str">
        <f>VLOOKUP(A755,All!A:A,1,FALSE)</f>
        <v>School</v>
      </c>
    </row>
    <row r="756" spans="1:9" ht="15.75" thickBot="1" x14ac:dyDescent="0.3">
      <c r="A756" s="20" t="s">
        <v>893</v>
      </c>
      <c r="B756" s="7" t="s">
        <v>894</v>
      </c>
      <c r="C756" s="10" t="s">
        <v>9</v>
      </c>
      <c r="D756" s="6"/>
      <c r="E756" s="6"/>
      <c r="F756" s="6"/>
      <c r="G756" s="6"/>
      <c r="H756" s="21"/>
      <c r="I756" t="str">
        <f>VLOOKUP(A756,All!A:A,1,FALSE)</f>
        <v>Yorkville (Parkview Christian Academy)</v>
      </c>
    </row>
    <row r="757" spans="1:9" ht="15.75" thickBot="1" x14ac:dyDescent="0.3">
      <c r="A757" s="18" t="s">
        <v>895</v>
      </c>
      <c r="B757" s="3" t="s">
        <v>896</v>
      </c>
      <c r="C757" s="11" t="s">
        <v>9</v>
      </c>
      <c r="D757" s="11" t="s">
        <v>9</v>
      </c>
      <c r="E757" s="4"/>
      <c r="F757" s="4"/>
      <c r="G757" s="10" t="s">
        <v>9</v>
      </c>
      <c r="H757" s="23" t="s">
        <v>9</v>
      </c>
      <c r="I757" t="str">
        <f>VLOOKUP(A757,All!A:A,1,FALSE)</f>
        <v>Yorkville (Y. Christian)</v>
      </c>
    </row>
    <row r="758" spans="1:9" ht="15.75" thickBot="1" x14ac:dyDescent="0.3">
      <c r="A758" s="20" t="s">
        <v>897</v>
      </c>
      <c r="B758" s="7">
        <v>130</v>
      </c>
      <c r="C758" s="9" t="s">
        <v>13</v>
      </c>
      <c r="D758" s="9" t="s">
        <v>13</v>
      </c>
      <c r="E758" s="6"/>
      <c r="F758" s="6"/>
      <c r="G758" s="6"/>
      <c r="H758" s="21"/>
      <c r="I758" t="str">
        <f>VLOOKUP(A758,All!A:A,1,FALSE)</f>
        <v>Zeigler (Z.-Royalton)</v>
      </c>
    </row>
    <row r="759" spans="1:9" ht="15.75" thickBot="1" x14ac:dyDescent="0.3">
      <c r="A759" s="28" t="s">
        <v>898</v>
      </c>
      <c r="B759" s="29">
        <v>2060</v>
      </c>
      <c r="C759" s="30" t="s">
        <v>11</v>
      </c>
      <c r="D759" s="30" t="s">
        <v>11</v>
      </c>
      <c r="E759" s="30" t="s">
        <v>12</v>
      </c>
      <c r="F759" s="30" t="s">
        <v>13</v>
      </c>
      <c r="G759" s="30" t="s">
        <v>12</v>
      </c>
      <c r="H759" s="31" t="s">
        <v>12</v>
      </c>
      <c r="I759" t="str">
        <f>VLOOKUP(A759,All!A:A,1,FALSE)</f>
        <v>Zion (Z.-Benton)</v>
      </c>
    </row>
  </sheetData>
  <autoFilter ref="A1:I759" xr:uid="{E433EC5A-4A65-440C-8E21-59CB7A45C8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</vt:lpstr>
      <vt:lpstr>Flag Football</vt:lpstr>
      <vt:lpstr>All by Sport</vt:lpstr>
      <vt:lpstr>Private by Sport</vt:lpstr>
      <vt:lpstr>Public v Private</vt:lpstr>
      <vt:lpstr>Fall</vt:lpstr>
      <vt:lpstr>Winter</vt:lpstr>
      <vt:lpstr>Spring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Mason</dc:creator>
  <cp:lastModifiedBy>Mark Mason</cp:lastModifiedBy>
  <dcterms:created xsi:type="dcterms:W3CDTF">2026-07-02T18:30:47Z</dcterms:created>
  <dcterms:modified xsi:type="dcterms:W3CDTF">2026-07-02T21:24:41Z</dcterms:modified>
</cp:coreProperties>
</file>